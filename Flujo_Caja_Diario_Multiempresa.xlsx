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spcapital-my.sharepoint.com/personal/pramirez_sspcap_com/Documents/Z_PARA COMPARTIR/Z_TESORERIA CORP/2. FLUJOS DIARIOS/2026/Reporteria Bi/"/>
    </mc:Choice>
  </mc:AlternateContent>
  <xr:revisionPtr revIDLastSave="9430" documentId="8_{BBC9EA4E-7F3B-475F-B61B-890F681C3A1C}" xr6:coauthVersionLast="47" xr6:coauthVersionMax="47" xr10:uidLastSave="{E742A3C3-241D-4288-8969-7A62CF64DA5C}"/>
  <bookViews>
    <workbookView xWindow="11520" yWindow="0" windowWidth="11520" windowHeight="12360" tabRatio="597" firstSheet="6" activeTab="7" xr2:uid="{00000000-000D-0000-FFFF-FFFF00000000}"/>
  </bookViews>
  <sheets>
    <sheet name="Saldos Iniciales" sheetId="2" r:id="rId1"/>
    <sheet name="Listas" sheetId="4" r:id="rId2"/>
    <sheet name="Cuentas" sheetId="10" r:id="rId3"/>
    <sheet name="Movimientos" sheetId="1" r:id="rId4"/>
    <sheet name="SaldoBanco" sheetId="7" r:id="rId5"/>
    <sheet name="Control de Saldos" sheetId="3" r:id="rId6"/>
    <sheet name="Saldos Diarios" sheetId="6" r:id="rId7"/>
    <sheet name="Lista diaria" sheetId="9" r:id="rId8"/>
  </sheets>
  <definedNames>
    <definedName name="_xlnm._FilterDatabase" localSheetId="5" hidden="1">'Control de Saldos'!$A$1:$C$34</definedName>
    <definedName name="_xlnm._FilterDatabase" localSheetId="2" hidden="1">Cuentas!$A$1:$C$52</definedName>
    <definedName name="_xlnm._FilterDatabase" localSheetId="1" hidden="1">Listas!$A$1:$G$52</definedName>
    <definedName name="_xlnm._FilterDatabase" localSheetId="3" hidden="1">Movimientos!$L$1334:$L$1335</definedName>
    <definedName name="_xlnm._FilterDatabase" localSheetId="0" hidden="1">'Saldos Iniciales'!$A$1:$D$34</definedName>
    <definedName name="DatosExternos_1" localSheetId="7" hidden="1">'Lista diaria'!$A$1:$D$4705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69" i="6" l="1"/>
  <c r="C169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AE169" i="6" s="1"/>
  <c r="Q169" i="6"/>
  <c r="R169" i="6"/>
  <c r="S169" i="6"/>
  <c r="T169" i="6"/>
  <c r="U169" i="6"/>
  <c r="V169" i="6"/>
  <c r="W169" i="6"/>
  <c r="X169" i="6"/>
  <c r="Y169" i="6"/>
  <c r="Z169" i="6"/>
  <c r="AA169" i="6"/>
  <c r="AB169" i="6"/>
  <c r="AC169" i="6"/>
  <c r="AD169" i="6"/>
  <c r="N1269" i="1"/>
  <c r="O1269" i="1"/>
  <c r="P1269" i="1"/>
  <c r="N1270" i="1"/>
  <c r="O1270" i="1"/>
  <c r="P1270" i="1"/>
  <c r="N1271" i="1"/>
  <c r="O1271" i="1"/>
  <c r="P1271" i="1"/>
  <c r="N1272" i="1"/>
  <c r="O1272" i="1"/>
  <c r="P1272" i="1"/>
  <c r="N1273" i="1"/>
  <c r="O1273" i="1"/>
  <c r="P1273" i="1"/>
  <c r="N1274" i="1"/>
  <c r="O1274" i="1"/>
  <c r="P1274" i="1" s="1"/>
  <c r="N1275" i="1"/>
  <c r="O1275" i="1"/>
  <c r="P1275" i="1"/>
  <c r="N1276" i="1"/>
  <c r="O1276" i="1"/>
  <c r="P1276" i="1"/>
  <c r="M1269" i="1"/>
  <c r="M1270" i="1"/>
  <c r="M1271" i="1"/>
  <c r="M1272" i="1"/>
  <c r="M1273" i="1"/>
  <c r="M1274" i="1"/>
  <c r="M1275" i="1"/>
  <c r="M1276" i="1"/>
  <c r="K1269" i="1"/>
  <c r="K1270" i="1"/>
  <c r="K1271" i="1"/>
  <c r="K1272" i="1"/>
  <c r="K1273" i="1"/>
  <c r="K1274" i="1"/>
  <c r="K1275" i="1"/>
  <c r="K1276" i="1"/>
  <c r="H1269" i="1"/>
  <c r="I1269" i="1"/>
  <c r="H1270" i="1"/>
  <c r="I1270" i="1"/>
  <c r="H1271" i="1"/>
  <c r="I1271" i="1"/>
  <c r="H1272" i="1"/>
  <c r="I1272" i="1"/>
  <c r="H1273" i="1"/>
  <c r="I1273" i="1"/>
  <c r="H1274" i="1"/>
  <c r="I1274" i="1"/>
  <c r="H1275" i="1"/>
  <c r="I1275" i="1"/>
  <c r="H1276" i="1"/>
  <c r="I1276" i="1"/>
  <c r="E1269" i="1"/>
  <c r="E1270" i="1"/>
  <c r="E1271" i="1"/>
  <c r="E1272" i="1"/>
  <c r="E1273" i="1"/>
  <c r="E1274" i="1"/>
  <c r="E1275" i="1"/>
  <c r="E1276" i="1"/>
  <c r="C1269" i="1"/>
  <c r="C1270" i="1"/>
  <c r="C1271" i="1"/>
  <c r="C1272" i="1"/>
  <c r="C1273" i="1"/>
  <c r="C1274" i="1"/>
  <c r="C1275" i="1"/>
  <c r="C1276" i="1"/>
  <c r="AC2" i="6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D2" i="6"/>
  <c r="AD3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R1265" i="1"/>
  <c r="R1266" i="1"/>
  <c r="R1267" i="1"/>
  <c r="R1268" i="1"/>
  <c r="R1231" i="1"/>
  <c r="R1227" i="1"/>
  <c r="N1231" i="1"/>
  <c r="O1231" i="1"/>
  <c r="P1231" i="1"/>
  <c r="N1227" i="1"/>
  <c r="P1227" i="1" s="1"/>
  <c r="O1227" i="1"/>
  <c r="K1231" i="1"/>
  <c r="K1227" i="1"/>
  <c r="H1231" i="1"/>
  <c r="I1231" i="1"/>
  <c r="H1227" i="1"/>
  <c r="I1227" i="1"/>
  <c r="E1231" i="1"/>
  <c r="E1227" i="1"/>
  <c r="C1231" i="1"/>
  <c r="C1227" i="1"/>
  <c r="K1268" i="1"/>
  <c r="N1188" i="1"/>
  <c r="P1188" i="1" s="1"/>
  <c r="O1188" i="1"/>
  <c r="K1188" i="1"/>
  <c r="H1188" i="1"/>
  <c r="I1188" i="1"/>
  <c r="E1188" i="1"/>
  <c r="C1188" i="1"/>
  <c r="N1248" i="1"/>
  <c r="O1248" i="1"/>
  <c r="P1248" i="1"/>
  <c r="N1249" i="1"/>
  <c r="O1249" i="1"/>
  <c r="P1249" i="1" s="1"/>
  <c r="N1250" i="1"/>
  <c r="O1250" i="1"/>
  <c r="P1250" i="1"/>
  <c r="N1251" i="1"/>
  <c r="O1251" i="1"/>
  <c r="P1251" i="1"/>
  <c r="N1252" i="1"/>
  <c r="O1252" i="1"/>
  <c r="P1252" i="1"/>
  <c r="N1253" i="1"/>
  <c r="O1253" i="1"/>
  <c r="P1253" i="1"/>
  <c r="N1254" i="1"/>
  <c r="O1254" i="1"/>
  <c r="P1254" i="1" s="1"/>
  <c r="N1255" i="1"/>
  <c r="O1255" i="1"/>
  <c r="P1255" i="1"/>
  <c r="N1256" i="1"/>
  <c r="O1256" i="1"/>
  <c r="P1256" i="1"/>
  <c r="N1257" i="1"/>
  <c r="O1257" i="1"/>
  <c r="P1257" i="1" s="1"/>
  <c r="N1258" i="1"/>
  <c r="O1258" i="1"/>
  <c r="P1258" i="1"/>
  <c r="N1259" i="1"/>
  <c r="O1259" i="1"/>
  <c r="P1259" i="1" s="1"/>
  <c r="N1260" i="1"/>
  <c r="O1260" i="1"/>
  <c r="P1260" i="1" s="1"/>
  <c r="N1261" i="1"/>
  <c r="O1261" i="1"/>
  <c r="P1261" i="1" s="1"/>
  <c r="N1262" i="1"/>
  <c r="P1262" i="1" s="1"/>
  <c r="O1262" i="1"/>
  <c r="N1263" i="1"/>
  <c r="O1263" i="1"/>
  <c r="P1263" i="1" s="1"/>
  <c r="N1264" i="1"/>
  <c r="O1264" i="1"/>
  <c r="P1264" i="1" s="1"/>
  <c r="N1265" i="1"/>
  <c r="O1265" i="1"/>
  <c r="P1265" i="1"/>
  <c r="N1266" i="1"/>
  <c r="O1266" i="1"/>
  <c r="P1266" i="1" s="1"/>
  <c r="N1267" i="1"/>
  <c r="O1267" i="1"/>
  <c r="P1267" i="1" s="1"/>
  <c r="N1268" i="1"/>
  <c r="O1268" i="1"/>
  <c r="P1268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H1248" i="1"/>
  <c r="I1248" i="1"/>
  <c r="H1249" i="1"/>
  <c r="I1249" i="1"/>
  <c r="H1250" i="1"/>
  <c r="I1250" i="1"/>
  <c r="H1251" i="1"/>
  <c r="I1251" i="1"/>
  <c r="H1252" i="1"/>
  <c r="I1252" i="1"/>
  <c r="H1253" i="1"/>
  <c r="I1253" i="1"/>
  <c r="H1254" i="1"/>
  <c r="I1254" i="1"/>
  <c r="H1255" i="1"/>
  <c r="I1255" i="1"/>
  <c r="H1256" i="1"/>
  <c r="I1256" i="1"/>
  <c r="H1257" i="1"/>
  <c r="I1257" i="1"/>
  <c r="H1258" i="1"/>
  <c r="I1258" i="1"/>
  <c r="H1259" i="1"/>
  <c r="I1259" i="1"/>
  <c r="H1260" i="1"/>
  <c r="I1260" i="1"/>
  <c r="H1261" i="1"/>
  <c r="I1261" i="1"/>
  <c r="H1262" i="1"/>
  <c r="I1262" i="1"/>
  <c r="H1263" i="1"/>
  <c r="I1263" i="1"/>
  <c r="H1264" i="1"/>
  <c r="I1264" i="1"/>
  <c r="H1265" i="1"/>
  <c r="I1265" i="1"/>
  <c r="H1266" i="1"/>
  <c r="I1266" i="1"/>
  <c r="H1267" i="1"/>
  <c r="I1267" i="1"/>
  <c r="H1268" i="1"/>
  <c r="I1268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N1242" i="1"/>
  <c r="O1242" i="1"/>
  <c r="P1242" i="1"/>
  <c r="N1243" i="1"/>
  <c r="O1243" i="1"/>
  <c r="P1243" i="1"/>
  <c r="N1244" i="1"/>
  <c r="O1244" i="1"/>
  <c r="P1244" i="1"/>
  <c r="N1245" i="1"/>
  <c r="O1245" i="1"/>
  <c r="P1245" i="1"/>
  <c r="N1246" i="1"/>
  <c r="O1246" i="1"/>
  <c r="P1246" i="1"/>
  <c r="N1247" i="1"/>
  <c r="O1247" i="1"/>
  <c r="P1247" i="1"/>
  <c r="K1242" i="1"/>
  <c r="K1243" i="1"/>
  <c r="K1244" i="1"/>
  <c r="K1245" i="1"/>
  <c r="K1246" i="1"/>
  <c r="K1247" i="1"/>
  <c r="H1242" i="1"/>
  <c r="I1242" i="1"/>
  <c r="H1243" i="1"/>
  <c r="I1243" i="1"/>
  <c r="H1244" i="1"/>
  <c r="I1244" i="1"/>
  <c r="H1245" i="1"/>
  <c r="I1245" i="1"/>
  <c r="H1246" i="1"/>
  <c r="I1246" i="1"/>
  <c r="H1247" i="1"/>
  <c r="I1247" i="1"/>
  <c r="E1242" i="1"/>
  <c r="E1243" i="1"/>
  <c r="E1244" i="1"/>
  <c r="E1245" i="1"/>
  <c r="E1246" i="1"/>
  <c r="E1247" i="1"/>
  <c r="C1242" i="1"/>
  <c r="C1243" i="1"/>
  <c r="C1244" i="1"/>
  <c r="C1245" i="1"/>
  <c r="C1246" i="1"/>
  <c r="C1247" i="1"/>
  <c r="N1235" i="1"/>
  <c r="O1235" i="1"/>
  <c r="P1235" i="1" s="1"/>
  <c r="N1236" i="1"/>
  <c r="O1236" i="1"/>
  <c r="P1236" i="1"/>
  <c r="N1237" i="1"/>
  <c r="P1237" i="1" s="1"/>
  <c r="O1237" i="1"/>
  <c r="N1238" i="1"/>
  <c r="O1238" i="1"/>
  <c r="P1238" i="1" s="1"/>
  <c r="N1239" i="1"/>
  <c r="O1239" i="1"/>
  <c r="P1239" i="1"/>
  <c r="N1240" i="1"/>
  <c r="O1240" i="1"/>
  <c r="P1240" i="1"/>
  <c r="N1241" i="1"/>
  <c r="O1241" i="1"/>
  <c r="P1241" i="1" s="1"/>
  <c r="K1236" i="1"/>
  <c r="K1237" i="1"/>
  <c r="K1238" i="1"/>
  <c r="K1239" i="1"/>
  <c r="K1240" i="1"/>
  <c r="K1241" i="1"/>
  <c r="H1235" i="1"/>
  <c r="I1235" i="1"/>
  <c r="H1236" i="1"/>
  <c r="I1236" i="1"/>
  <c r="H1237" i="1"/>
  <c r="I1237" i="1"/>
  <c r="H1238" i="1"/>
  <c r="I1238" i="1"/>
  <c r="H1239" i="1"/>
  <c r="I1239" i="1"/>
  <c r="H1240" i="1"/>
  <c r="I1240" i="1"/>
  <c r="H1241" i="1"/>
  <c r="I1241" i="1"/>
  <c r="E1236" i="1"/>
  <c r="E1237" i="1"/>
  <c r="E1238" i="1"/>
  <c r="E1239" i="1"/>
  <c r="E1240" i="1"/>
  <c r="E1241" i="1"/>
  <c r="C1236" i="1"/>
  <c r="C1237" i="1"/>
  <c r="C1238" i="1"/>
  <c r="C1239" i="1"/>
  <c r="C1240" i="1"/>
  <c r="C1241" i="1"/>
  <c r="N1230" i="1"/>
  <c r="O1230" i="1"/>
  <c r="P1230" i="1" s="1"/>
  <c r="N1232" i="1"/>
  <c r="O1232" i="1"/>
  <c r="P1232" i="1"/>
  <c r="N1233" i="1"/>
  <c r="O1233" i="1"/>
  <c r="P1233" i="1" s="1"/>
  <c r="N1234" i="1"/>
  <c r="O1234" i="1"/>
  <c r="P1234" i="1" s="1"/>
  <c r="K1230" i="1"/>
  <c r="K1232" i="1"/>
  <c r="K1233" i="1"/>
  <c r="K1234" i="1"/>
  <c r="K1235" i="1"/>
  <c r="H1230" i="1"/>
  <c r="I1230" i="1"/>
  <c r="H1232" i="1"/>
  <c r="I1232" i="1"/>
  <c r="H1233" i="1"/>
  <c r="I1233" i="1"/>
  <c r="H1234" i="1"/>
  <c r="I1234" i="1"/>
  <c r="E1230" i="1"/>
  <c r="E1232" i="1"/>
  <c r="E1233" i="1"/>
  <c r="E1234" i="1"/>
  <c r="E1235" i="1"/>
  <c r="C1230" i="1"/>
  <c r="C1232" i="1"/>
  <c r="C1233" i="1"/>
  <c r="C1234" i="1"/>
  <c r="C1235" i="1"/>
  <c r="N1209" i="1"/>
  <c r="O1209" i="1"/>
  <c r="P1209" i="1" s="1"/>
  <c r="N1210" i="1"/>
  <c r="O1210" i="1"/>
  <c r="P1210" i="1"/>
  <c r="N1211" i="1"/>
  <c r="O1211" i="1"/>
  <c r="P1211" i="1"/>
  <c r="N1212" i="1"/>
  <c r="O1212" i="1"/>
  <c r="P1212" i="1"/>
  <c r="N1213" i="1"/>
  <c r="O1213" i="1"/>
  <c r="P1213" i="1"/>
  <c r="N1214" i="1"/>
  <c r="O1214" i="1"/>
  <c r="P1214" i="1" s="1"/>
  <c r="N1215" i="1"/>
  <c r="O1215" i="1"/>
  <c r="P1215" i="1"/>
  <c r="N1216" i="1"/>
  <c r="O1216" i="1"/>
  <c r="P1216" i="1" s="1"/>
  <c r="N1217" i="1"/>
  <c r="O1217" i="1"/>
  <c r="P1217" i="1" s="1"/>
  <c r="N1218" i="1"/>
  <c r="O1218" i="1"/>
  <c r="P1218" i="1"/>
  <c r="N1219" i="1"/>
  <c r="O1219" i="1"/>
  <c r="P1219" i="1"/>
  <c r="N1220" i="1"/>
  <c r="O1220" i="1"/>
  <c r="P1220" i="1"/>
  <c r="N1221" i="1"/>
  <c r="O1221" i="1"/>
  <c r="P1221" i="1"/>
  <c r="N1222" i="1"/>
  <c r="O1222" i="1"/>
  <c r="P1222" i="1" s="1"/>
  <c r="N1223" i="1"/>
  <c r="O1223" i="1"/>
  <c r="P1223" i="1"/>
  <c r="N1224" i="1"/>
  <c r="O1224" i="1"/>
  <c r="P1224" i="1" s="1"/>
  <c r="N1225" i="1"/>
  <c r="O1225" i="1"/>
  <c r="P1225" i="1" s="1"/>
  <c r="N1226" i="1"/>
  <c r="O1226" i="1"/>
  <c r="P1226" i="1"/>
  <c r="N1228" i="1"/>
  <c r="O1228" i="1"/>
  <c r="P1228" i="1"/>
  <c r="N1229" i="1"/>
  <c r="O1229" i="1"/>
  <c r="P1229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8" i="1"/>
  <c r="K1229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8" i="1"/>
  <c r="I1229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8" i="1"/>
  <c r="H1229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8" i="1"/>
  <c r="E1229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8" i="1"/>
  <c r="C1229" i="1"/>
  <c r="N1207" i="1"/>
  <c r="O1207" i="1"/>
  <c r="P1207" i="1" s="1"/>
  <c r="Q1207" i="1"/>
  <c r="R1207" i="1"/>
  <c r="N1208" i="1"/>
  <c r="O1208" i="1"/>
  <c r="P1208" i="1" s="1"/>
  <c r="Q1208" i="1"/>
  <c r="R1208" i="1"/>
  <c r="K1207" i="1"/>
  <c r="I1207" i="1"/>
  <c r="E1207" i="1"/>
  <c r="E1208" i="1"/>
  <c r="C1207" i="1"/>
  <c r="C1208" i="1"/>
  <c r="N3" i="1"/>
  <c r="P3" i="1" s="1"/>
  <c r="O3" i="1"/>
  <c r="Q3" i="1"/>
  <c r="R3" i="1"/>
  <c r="N4" i="1"/>
  <c r="O4" i="1"/>
  <c r="P4" i="1" s="1"/>
  <c r="Q4" i="1"/>
  <c r="R4" i="1"/>
  <c r="N5" i="1"/>
  <c r="O5" i="1"/>
  <c r="P5" i="1"/>
  <c r="Q5" i="1"/>
  <c r="R5" i="1"/>
  <c r="N6" i="1"/>
  <c r="O6" i="1"/>
  <c r="P6" i="1"/>
  <c r="Q6" i="1"/>
  <c r="R6" i="1"/>
  <c r="N7" i="1"/>
  <c r="O7" i="1"/>
  <c r="P7" i="1"/>
  <c r="Q7" i="1"/>
  <c r="R7" i="1"/>
  <c r="N8" i="1"/>
  <c r="O8" i="1"/>
  <c r="P8" i="1"/>
  <c r="Q8" i="1"/>
  <c r="R8" i="1"/>
  <c r="N9" i="1"/>
  <c r="O9" i="1"/>
  <c r="P9" i="1"/>
  <c r="Q9" i="1"/>
  <c r="R9" i="1"/>
  <c r="N10" i="1"/>
  <c r="O10" i="1"/>
  <c r="P10" i="1" s="1"/>
  <c r="Q10" i="1"/>
  <c r="R10" i="1"/>
  <c r="N11" i="1"/>
  <c r="O11" i="1"/>
  <c r="P11" i="1"/>
  <c r="Q11" i="1"/>
  <c r="R11" i="1"/>
  <c r="N12" i="1"/>
  <c r="O12" i="1"/>
  <c r="P12" i="1" s="1"/>
  <c r="Q12" i="1"/>
  <c r="R12" i="1"/>
  <c r="N13" i="1"/>
  <c r="O13" i="1"/>
  <c r="P13" i="1"/>
  <c r="Q13" i="1"/>
  <c r="R13" i="1"/>
  <c r="N14" i="1"/>
  <c r="O14" i="1"/>
  <c r="P14" i="1"/>
  <c r="Q14" i="1"/>
  <c r="R14" i="1"/>
  <c r="N15" i="1"/>
  <c r="O15" i="1"/>
  <c r="P15" i="1"/>
  <c r="Q15" i="1"/>
  <c r="R15" i="1"/>
  <c r="N16" i="1"/>
  <c r="O16" i="1"/>
  <c r="P16" i="1"/>
  <c r="Q16" i="1"/>
  <c r="R16" i="1"/>
  <c r="N17" i="1"/>
  <c r="O17" i="1"/>
  <c r="P17" i="1"/>
  <c r="Q17" i="1"/>
  <c r="R17" i="1"/>
  <c r="N18" i="1"/>
  <c r="O18" i="1"/>
  <c r="P18" i="1"/>
  <c r="Q18" i="1"/>
  <c r="R18" i="1"/>
  <c r="N19" i="1"/>
  <c r="O19" i="1"/>
  <c r="P19" i="1"/>
  <c r="Q19" i="1"/>
  <c r="R19" i="1"/>
  <c r="N20" i="1"/>
  <c r="P20" i="1" s="1"/>
  <c r="O20" i="1"/>
  <c r="Q20" i="1"/>
  <c r="R20" i="1"/>
  <c r="N21" i="1"/>
  <c r="O21" i="1"/>
  <c r="P21" i="1"/>
  <c r="Q21" i="1"/>
  <c r="R21" i="1"/>
  <c r="N22" i="1"/>
  <c r="O22" i="1"/>
  <c r="P22" i="1"/>
  <c r="Q22" i="1"/>
  <c r="R22" i="1"/>
  <c r="N23" i="1"/>
  <c r="P23" i="1" s="1"/>
  <c r="O23" i="1"/>
  <c r="Q23" i="1"/>
  <c r="R23" i="1"/>
  <c r="N24" i="1"/>
  <c r="P24" i="1" s="1"/>
  <c r="O24" i="1"/>
  <c r="Q24" i="1"/>
  <c r="R24" i="1"/>
  <c r="N25" i="1"/>
  <c r="O25" i="1"/>
  <c r="P25" i="1"/>
  <c r="Q25" i="1"/>
  <c r="R25" i="1"/>
  <c r="N26" i="1"/>
  <c r="O26" i="1"/>
  <c r="P26" i="1"/>
  <c r="Q26" i="1"/>
  <c r="R26" i="1"/>
  <c r="N27" i="1"/>
  <c r="O27" i="1"/>
  <c r="P27" i="1"/>
  <c r="Q27" i="1"/>
  <c r="R27" i="1"/>
  <c r="N28" i="1"/>
  <c r="O28" i="1"/>
  <c r="P28" i="1" s="1"/>
  <c r="Q28" i="1"/>
  <c r="R28" i="1"/>
  <c r="N29" i="1"/>
  <c r="O29" i="1"/>
  <c r="P29" i="1" s="1"/>
  <c r="Q29" i="1"/>
  <c r="R29" i="1"/>
  <c r="N30" i="1"/>
  <c r="O30" i="1"/>
  <c r="P30" i="1"/>
  <c r="Q30" i="1"/>
  <c r="R30" i="1"/>
  <c r="N31" i="1"/>
  <c r="O31" i="1"/>
  <c r="P31" i="1" s="1"/>
  <c r="Q31" i="1"/>
  <c r="R31" i="1"/>
  <c r="N32" i="1"/>
  <c r="P32" i="1" s="1"/>
  <c r="O32" i="1"/>
  <c r="Q32" i="1"/>
  <c r="R32" i="1"/>
  <c r="N33" i="1"/>
  <c r="P33" i="1" s="1"/>
  <c r="O33" i="1"/>
  <c r="Q33" i="1"/>
  <c r="R33" i="1"/>
  <c r="N34" i="1"/>
  <c r="O34" i="1"/>
  <c r="P34" i="1"/>
  <c r="Q34" i="1"/>
  <c r="R34" i="1"/>
  <c r="N35" i="1"/>
  <c r="O35" i="1"/>
  <c r="P35" i="1"/>
  <c r="Q35" i="1"/>
  <c r="R35" i="1"/>
  <c r="N36" i="1"/>
  <c r="O36" i="1"/>
  <c r="P36" i="1" s="1"/>
  <c r="Q36" i="1"/>
  <c r="R36" i="1"/>
  <c r="N37" i="1"/>
  <c r="O37" i="1"/>
  <c r="P37" i="1"/>
  <c r="Q37" i="1"/>
  <c r="R37" i="1"/>
  <c r="N38" i="1"/>
  <c r="O38" i="1"/>
  <c r="P38" i="1" s="1"/>
  <c r="Q38" i="1"/>
  <c r="R38" i="1"/>
  <c r="N39" i="1"/>
  <c r="O39" i="1"/>
  <c r="P39" i="1"/>
  <c r="Q39" i="1"/>
  <c r="R39" i="1"/>
  <c r="N40" i="1"/>
  <c r="P40" i="1" s="1"/>
  <c r="O40" i="1"/>
  <c r="Q40" i="1"/>
  <c r="R40" i="1"/>
  <c r="N41" i="1"/>
  <c r="O41" i="1"/>
  <c r="P41" i="1" s="1"/>
  <c r="Q41" i="1"/>
  <c r="R41" i="1"/>
  <c r="N42" i="1"/>
  <c r="O42" i="1"/>
  <c r="P42" i="1"/>
  <c r="Q42" i="1"/>
  <c r="R42" i="1"/>
  <c r="N43" i="1"/>
  <c r="O43" i="1"/>
  <c r="P43" i="1"/>
  <c r="Q43" i="1"/>
  <c r="R43" i="1"/>
  <c r="N44" i="1"/>
  <c r="O44" i="1"/>
  <c r="P44" i="1" s="1"/>
  <c r="Q44" i="1"/>
  <c r="R44" i="1"/>
  <c r="N45" i="1"/>
  <c r="O45" i="1"/>
  <c r="P45" i="1"/>
  <c r="Q45" i="1"/>
  <c r="R45" i="1"/>
  <c r="N46" i="1"/>
  <c r="O46" i="1"/>
  <c r="P46" i="1"/>
  <c r="Q46" i="1"/>
  <c r="R46" i="1"/>
  <c r="N47" i="1"/>
  <c r="O47" i="1"/>
  <c r="P47" i="1"/>
  <c r="Q47" i="1"/>
  <c r="R47" i="1"/>
  <c r="N48" i="1"/>
  <c r="P48" i="1" s="1"/>
  <c r="O48" i="1"/>
  <c r="Q48" i="1"/>
  <c r="R48" i="1"/>
  <c r="N49" i="1"/>
  <c r="O49" i="1"/>
  <c r="P49" i="1"/>
  <c r="Q49" i="1"/>
  <c r="R49" i="1"/>
  <c r="N50" i="1"/>
  <c r="O50" i="1"/>
  <c r="P50" i="1" s="1"/>
  <c r="Q50" i="1"/>
  <c r="R50" i="1"/>
  <c r="N51" i="1"/>
  <c r="O51" i="1"/>
  <c r="P51" i="1" s="1"/>
  <c r="Q51" i="1"/>
  <c r="R51" i="1"/>
  <c r="N52" i="1"/>
  <c r="O52" i="1"/>
  <c r="P52" i="1" s="1"/>
  <c r="Q52" i="1"/>
  <c r="R52" i="1"/>
  <c r="N53" i="1"/>
  <c r="O53" i="1"/>
  <c r="P53" i="1" s="1"/>
  <c r="Q53" i="1"/>
  <c r="R53" i="1"/>
  <c r="N54" i="1"/>
  <c r="O54" i="1"/>
  <c r="P54" i="1" s="1"/>
  <c r="Q54" i="1"/>
  <c r="R54" i="1"/>
  <c r="N55" i="1"/>
  <c r="P55" i="1" s="1"/>
  <c r="O55" i="1"/>
  <c r="Q55" i="1"/>
  <c r="R55" i="1"/>
  <c r="N56" i="1"/>
  <c r="O56" i="1"/>
  <c r="P56" i="1"/>
  <c r="Q56" i="1"/>
  <c r="R56" i="1"/>
  <c r="N57" i="1"/>
  <c r="P57" i="1" s="1"/>
  <c r="O57" i="1"/>
  <c r="Q57" i="1"/>
  <c r="R57" i="1"/>
  <c r="N58" i="1"/>
  <c r="O58" i="1"/>
  <c r="P58" i="1"/>
  <c r="Q58" i="1"/>
  <c r="R58" i="1"/>
  <c r="N59" i="1"/>
  <c r="O59" i="1"/>
  <c r="P59" i="1"/>
  <c r="Q59" i="1"/>
  <c r="R59" i="1"/>
  <c r="N60" i="1"/>
  <c r="O60" i="1"/>
  <c r="P60" i="1" s="1"/>
  <c r="Q60" i="1"/>
  <c r="R60" i="1"/>
  <c r="N61" i="1"/>
  <c r="O61" i="1"/>
  <c r="P61" i="1"/>
  <c r="Q61" i="1"/>
  <c r="R61" i="1"/>
  <c r="N62" i="1"/>
  <c r="O62" i="1"/>
  <c r="P62" i="1"/>
  <c r="Q62" i="1"/>
  <c r="R62" i="1"/>
  <c r="N63" i="1"/>
  <c r="O63" i="1"/>
  <c r="P63" i="1" s="1"/>
  <c r="Q63" i="1"/>
  <c r="R63" i="1"/>
  <c r="N64" i="1"/>
  <c r="P64" i="1" s="1"/>
  <c r="O64" i="1"/>
  <c r="Q64" i="1"/>
  <c r="R64" i="1"/>
  <c r="N65" i="1"/>
  <c r="P65" i="1" s="1"/>
  <c r="O65" i="1"/>
  <c r="Q65" i="1"/>
  <c r="R65" i="1"/>
  <c r="N66" i="1"/>
  <c r="O66" i="1"/>
  <c r="P66" i="1" s="1"/>
  <c r="Q66" i="1"/>
  <c r="R66" i="1"/>
  <c r="N67" i="1"/>
  <c r="O67" i="1"/>
  <c r="P67" i="1" s="1"/>
  <c r="Q67" i="1"/>
  <c r="R67" i="1"/>
  <c r="N68" i="1"/>
  <c r="O68" i="1"/>
  <c r="P68" i="1" s="1"/>
  <c r="Q68" i="1"/>
  <c r="R68" i="1"/>
  <c r="N69" i="1"/>
  <c r="O69" i="1"/>
  <c r="P69" i="1"/>
  <c r="Q69" i="1"/>
  <c r="R69" i="1"/>
  <c r="N70" i="1"/>
  <c r="O70" i="1"/>
  <c r="P70" i="1" s="1"/>
  <c r="Q70" i="1"/>
  <c r="R70" i="1"/>
  <c r="N71" i="1"/>
  <c r="O71" i="1"/>
  <c r="P71" i="1"/>
  <c r="Q71" i="1"/>
  <c r="R71" i="1"/>
  <c r="N72" i="1"/>
  <c r="O72" i="1"/>
  <c r="P72" i="1"/>
  <c r="Q72" i="1"/>
  <c r="R72" i="1"/>
  <c r="N73" i="1"/>
  <c r="O73" i="1"/>
  <c r="P73" i="1" s="1"/>
  <c r="Q73" i="1"/>
  <c r="R73" i="1"/>
  <c r="N74" i="1"/>
  <c r="O74" i="1"/>
  <c r="P74" i="1" s="1"/>
  <c r="Q74" i="1"/>
  <c r="R74" i="1"/>
  <c r="N75" i="1"/>
  <c r="O75" i="1"/>
  <c r="P75" i="1"/>
  <c r="Q75" i="1"/>
  <c r="R75" i="1"/>
  <c r="N76" i="1"/>
  <c r="O76" i="1"/>
  <c r="P76" i="1" s="1"/>
  <c r="Q76" i="1"/>
  <c r="R76" i="1"/>
  <c r="N77" i="1"/>
  <c r="O77" i="1"/>
  <c r="P77" i="1"/>
  <c r="Q77" i="1"/>
  <c r="R77" i="1"/>
  <c r="N78" i="1"/>
  <c r="O78" i="1"/>
  <c r="P78" i="1"/>
  <c r="Q78" i="1"/>
  <c r="R78" i="1"/>
  <c r="N79" i="1"/>
  <c r="P79" i="1" s="1"/>
  <c r="O79" i="1"/>
  <c r="Q79" i="1"/>
  <c r="R79" i="1"/>
  <c r="N80" i="1"/>
  <c r="O80" i="1"/>
  <c r="P80" i="1"/>
  <c r="Q80" i="1"/>
  <c r="R80" i="1"/>
  <c r="N81" i="1"/>
  <c r="O81" i="1"/>
  <c r="P81" i="1"/>
  <c r="Q81" i="1"/>
  <c r="R81" i="1"/>
  <c r="N82" i="1"/>
  <c r="O82" i="1"/>
  <c r="P82" i="1" s="1"/>
  <c r="Q82" i="1"/>
  <c r="R82" i="1"/>
  <c r="N83" i="1"/>
  <c r="O83" i="1"/>
  <c r="P83" i="1"/>
  <c r="Q83" i="1"/>
  <c r="R83" i="1"/>
  <c r="N84" i="1"/>
  <c r="O84" i="1"/>
  <c r="P84" i="1" s="1"/>
  <c r="Q84" i="1"/>
  <c r="R84" i="1"/>
  <c r="N85" i="1"/>
  <c r="O85" i="1"/>
  <c r="P85" i="1"/>
  <c r="Q85" i="1"/>
  <c r="R85" i="1"/>
  <c r="N86" i="1"/>
  <c r="O86" i="1"/>
  <c r="P86" i="1"/>
  <c r="Q86" i="1"/>
  <c r="R86" i="1"/>
  <c r="N87" i="1"/>
  <c r="O87" i="1"/>
  <c r="P87" i="1"/>
  <c r="Q87" i="1"/>
  <c r="R87" i="1"/>
  <c r="N88" i="1"/>
  <c r="O88" i="1"/>
  <c r="P88" i="1" s="1"/>
  <c r="Q88" i="1"/>
  <c r="R88" i="1"/>
  <c r="N89" i="1"/>
  <c r="O89" i="1"/>
  <c r="P89" i="1" s="1"/>
  <c r="Q89" i="1"/>
  <c r="R89" i="1"/>
  <c r="N90" i="1"/>
  <c r="O90" i="1"/>
  <c r="P90" i="1" s="1"/>
  <c r="Q90" i="1"/>
  <c r="R90" i="1"/>
  <c r="N91" i="1"/>
  <c r="O91" i="1"/>
  <c r="P91" i="1" s="1"/>
  <c r="Q91" i="1"/>
  <c r="R91" i="1"/>
  <c r="N92" i="1"/>
  <c r="O92" i="1"/>
  <c r="P92" i="1" s="1"/>
  <c r="Q92" i="1"/>
  <c r="R92" i="1"/>
  <c r="N93" i="1"/>
  <c r="O93" i="1"/>
  <c r="P93" i="1" s="1"/>
  <c r="Q93" i="1"/>
  <c r="R93" i="1"/>
  <c r="N94" i="1"/>
  <c r="O94" i="1"/>
  <c r="P94" i="1" s="1"/>
  <c r="Q94" i="1"/>
  <c r="R94" i="1"/>
  <c r="N95" i="1"/>
  <c r="O95" i="1"/>
  <c r="P95" i="1" s="1"/>
  <c r="Q95" i="1"/>
  <c r="R95" i="1"/>
  <c r="N96" i="1"/>
  <c r="P96" i="1" s="1"/>
  <c r="O96" i="1"/>
  <c r="Q96" i="1"/>
  <c r="R96" i="1"/>
  <c r="N97" i="1"/>
  <c r="P97" i="1" s="1"/>
  <c r="O97" i="1"/>
  <c r="Q97" i="1"/>
  <c r="R97" i="1"/>
  <c r="N98" i="1"/>
  <c r="O98" i="1"/>
  <c r="P98" i="1" s="1"/>
  <c r="Q98" i="1"/>
  <c r="R98" i="1"/>
  <c r="N99" i="1"/>
  <c r="O99" i="1"/>
  <c r="P99" i="1" s="1"/>
  <c r="Q99" i="1"/>
  <c r="R99" i="1"/>
  <c r="N100" i="1"/>
  <c r="O100" i="1"/>
  <c r="P100" i="1" s="1"/>
  <c r="Q100" i="1"/>
  <c r="R100" i="1"/>
  <c r="N101" i="1"/>
  <c r="O101" i="1"/>
  <c r="P101" i="1"/>
  <c r="Q101" i="1"/>
  <c r="R101" i="1"/>
  <c r="N102" i="1"/>
  <c r="O102" i="1"/>
  <c r="P102" i="1" s="1"/>
  <c r="Q102" i="1"/>
  <c r="R102" i="1"/>
  <c r="N103" i="1"/>
  <c r="O103" i="1"/>
  <c r="P103" i="1"/>
  <c r="Q103" i="1"/>
  <c r="R103" i="1"/>
  <c r="N104" i="1"/>
  <c r="O104" i="1"/>
  <c r="P104" i="1" s="1"/>
  <c r="Q104" i="1"/>
  <c r="R104" i="1"/>
  <c r="N105" i="1"/>
  <c r="O105" i="1"/>
  <c r="P105" i="1" s="1"/>
  <c r="Q105" i="1"/>
  <c r="R105" i="1"/>
  <c r="N106" i="1"/>
  <c r="O106" i="1"/>
  <c r="P106" i="1" s="1"/>
  <c r="Q106" i="1"/>
  <c r="R106" i="1"/>
  <c r="N107" i="1"/>
  <c r="O107" i="1"/>
  <c r="P107" i="1" s="1"/>
  <c r="Q107" i="1"/>
  <c r="R107" i="1"/>
  <c r="N108" i="1"/>
  <c r="O108" i="1"/>
  <c r="P108" i="1" s="1"/>
  <c r="Q108" i="1"/>
  <c r="R108" i="1"/>
  <c r="N109" i="1"/>
  <c r="O109" i="1"/>
  <c r="P109" i="1" s="1"/>
  <c r="Q109" i="1"/>
  <c r="R109" i="1"/>
  <c r="N110" i="1"/>
  <c r="O110" i="1"/>
  <c r="P110" i="1"/>
  <c r="Q110" i="1"/>
  <c r="R110" i="1"/>
  <c r="N111" i="1"/>
  <c r="O111" i="1"/>
  <c r="P111" i="1"/>
  <c r="Q111" i="1"/>
  <c r="R111" i="1"/>
  <c r="N112" i="1"/>
  <c r="O112" i="1"/>
  <c r="P112" i="1"/>
  <c r="Q112" i="1"/>
  <c r="R112" i="1"/>
  <c r="N113" i="1"/>
  <c r="O113" i="1"/>
  <c r="P113" i="1"/>
  <c r="Q113" i="1"/>
  <c r="R113" i="1"/>
  <c r="N114" i="1"/>
  <c r="O114" i="1"/>
  <c r="P114" i="1"/>
  <c r="Q114" i="1"/>
  <c r="R114" i="1"/>
  <c r="N115" i="1"/>
  <c r="O115" i="1"/>
  <c r="P115" i="1" s="1"/>
  <c r="Q115" i="1"/>
  <c r="R115" i="1"/>
  <c r="N116" i="1"/>
  <c r="O116" i="1"/>
  <c r="P116" i="1" s="1"/>
  <c r="Q116" i="1"/>
  <c r="R116" i="1"/>
  <c r="N117" i="1"/>
  <c r="O117" i="1"/>
  <c r="P117" i="1" s="1"/>
  <c r="Q117" i="1"/>
  <c r="R117" i="1"/>
  <c r="N118" i="1"/>
  <c r="O118" i="1"/>
  <c r="P118" i="1" s="1"/>
  <c r="Q118" i="1"/>
  <c r="R118" i="1"/>
  <c r="N119" i="1"/>
  <c r="O119" i="1"/>
  <c r="P119" i="1" s="1"/>
  <c r="Q119" i="1"/>
  <c r="R119" i="1"/>
  <c r="N120" i="1"/>
  <c r="O120" i="1"/>
  <c r="P120" i="1"/>
  <c r="Q120" i="1"/>
  <c r="R120" i="1"/>
  <c r="N121" i="1"/>
  <c r="O121" i="1"/>
  <c r="P121" i="1" s="1"/>
  <c r="Q121" i="1"/>
  <c r="R121" i="1"/>
  <c r="N122" i="1"/>
  <c r="O122" i="1"/>
  <c r="P122" i="1"/>
  <c r="Q122" i="1"/>
  <c r="R122" i="1"/>
  <c r="N123" i="1"/>
  <c r="O123" i="1"/>
  <c r="P123" i="1" s="1"/>
  <c r="Q123" i="1"/>
  <c r="R123" i="1"/>
  <c r="N124" i="1"/>
  <c r="O124" i="1"/>
  <c r="P124" i="1" s="1"/>
  <c r="Q124" i="1"/>
  <c r="R124" i="1"/>
  <c r="N125" i="1"/>
  <c r="O125" i="1"/>
  <c r="P125" i="1"/>
  <c r="Q125" i="1"/>
  <c r="R125" i="1"/>
  <c r="N126" i="1"/>
  <c r="O126" i="1"/>
  <c r="P126" i="1"/>
  <c r="Q126" i="1"/>
  <c r="R126" i="1"/>
  <c r="N127" i="1"/>
  <c r="O127" i="1"/>
  <c r="P127" i="1" s="1"/>
  <c r="Q127" i="1"/>
  <c r="R127" i="1"/>
  <c r="N128" i="1"/>
  <c r="O128" i="1"/>
  <c r="P128" i="1"/>
  <c r="Q128" i="1"/>
  <c r="R128" i="1"/>
  <c r="N129" i="1"/>
  <c r="O129" i="1"/>
  <c r="P129" i="1"/>
  <c r="Q129" i="1"/>
  <c r="R129" i="1"/>
  <c r="N130" i="1"/>
  <c r="O130" i="1"/>
  <c r="P130" i="1" s="1"/>
  <c r="Q130" i="1"/>
  <c r="R130" i="1"/>
  <c r="N131" i="1"/>
  <c r="O131" i="1"/>
  <c r="P131" i="1" s="1"/>
  <c r="Q131" i="1"/>
  <c r="R131" i="1"/>
  <c r="N132" i="1"/>
  <c r="O132" i="1"/>
  <c r="P132" i="1" s="1"/>
  <c r="Q132" i="1"/>
  <c r="R132" i="1"/>
  <c r="N133" i="1"/>
  <c r="O133" i="1"/>
  <c r="P133" i="1" s="1"/>
  <c r="Q133" i="1"/>
  <c r="R133" i="1"/>
  <c r="N134" i="1"/>
  <c r="O134" i="1"/>
  <c r="P134" i="1" s="1"/>
  <c r="Q134" i="1"/>
  <c r="R134" i="1"/>
  <c r="N135" i="1"/>
  <c r="O135" i="1"/>
  <c r="P135" i="1" s="1"/>
  <c r="Q135" i="1"/>
  <c r="R135" i="1"/>
  <c r="N136" i="1"/>
  <c r="O136" i="1"/>
  <c r="P136" i="1" s="1"/>
  <c r="Q136" i="1"/>
  <c r="R136" i="1"/>
  <c r="N137" i="1"/>
  <c r="O137" i="1"/>
  <c r="P137" i="1" s="1"/>
  <c r="Q137" i="1"/>
  <c r="R137" i="1"/>
  <c r="N138" i="1"/>
  <c r="O138" i="1"/>
  <c r="P138" i="1" s="1"/>
  <c r="Q138" i="1"/>
  <c r="R138" i="1"/>
  <c r="N139" i="1"/>
  <c r="O139" i="1"/>
  <c r="P139" i="1" s="1"/>
  <c r="Q139" i="1"/>
  <c r="R139" i="1"/>
  <c r="N140" i="1"/>
  <c r="O140" i="1"/>
  <c r="P140" i="1" s="1"/>
  <c r="Q140" i="1"/>
  <c r="R140" i="1"/>
  <c r="N141" i="1"/>
  <c r="O141" i="1"/>
  <c r="P141" i="1" s="1"/>
  <c r="Q141" i="1"/>
  <c r="R141" i="1"/>
  <c r="N142" i="1"/>
  <c r="O142" i="1"/>
  <c r="P142" i="1"/>
  <c r="Q142" i="1"/>
  <c r="R142" i="1"/>
  <c r="N143" i="1"/>
  <c r="P143" i="1" s="1"/>
  <c r="O143" i="1"/>
  <c r="Q143" i="1"/>
  <c r="R143" i="1"/>
  <c r="N144" i="1"/>
  <c r="O144" i="1"/>
  <c r="P144" i="1" s="1"/>
  <c r="Q144" i="1"/>
  <c r="R144" i="1"/>
  <c r="N145" i="1"/>
  <c r="P145" i="1" s="1"/>
  <c r="O145" i="1"/>
  <c r="Q145" i="1"/>
  <c r="R145" i="1"/>
  <c r="N146" i="1"/>
  <c r="P146" i="1" s="1"/>
  <c r="O146" i="1"/>
  <c r="Q146" i="1"/>
  <c r="R146" i="1"/>
  <c r="N147" i="1"/>
  <c r="P147" i="1" s="1"/>
  <c r="O147" i="1"/>
  <c r="Q147" i="1"/>
  <c r="R147" i="1"/>
  <c r="N148" i="1"/>
  <c r="O148" i="1"/>
  <c r="P148" i="1" s="1"/>
  <c r="Q148" i="1"/>
  <c r="R148" i="1"/>
  <c r="N149" i="1"/>
  <c r="O149" i="1"/>
  <c r="P149" i="1" s="1"/>
  <c r="Q149" i="1"/>
  <c r="R149" i="1"/>
  <c r="N150" i="1"/>
  <c r="O150" i="1"/>
  <c r="P150" i="1" s="1"/>
  <c r="Q150" i="1"/>
  <c r="R150" i="1"/>
  <c r="N151" i="1"/>
  <c r="O151" i="1"/>
  <c r="P151" i="1" s="1"/>
  <c r="Q151" i="1"/>
  <c r="R151" i="1"/>
  <c r="N152" i="1"/>
  <c r="O152" i="1"/>
  <c r="P152" i="1" s="1"/>
  <c r="Q152" i="1"/>
  <c r="R152" i="1"/>
  <c r="N153" i="1"/>
  <c r="O153" i="1"/>
  <c r="P153" i="1" s="1"/>
  <c r="Q153" i="1"/>
  <c r="R153" i="1"/>
  <c r="N154" i="1"/>
  <c r="O154" i="1"/>
  <c r="P154" i="1" s="1"/>
  <c r="Q154" i="1"/>
  <c r="R154" i="1"/>
  <c r="N155" i="1"/>
  <c r="O155" i="1"/>
  <c r="P155" i="1"/>
  <c r="Q155" i="1"/>
  <c r="R155" i="1"/>
  <c r="N156" i="1"/>
  <c r="O156" i="1"/>
  <c r="P156" i="1" s="1"/>
  <c r="Q156" i="1"/>
  <c r="R156" i="1"/>
  <c r="N157" i="1"/>
  <c r="O157" i="1"/>
  <c r="P157" i="1"/>
  <c r="Q157" i="1"/>
  <c r="R157" i="1"/>
  <c r="N158" i="1"/>
  <c r="O158" i="1"/>
  <c r="P158" i="1" s="1"/>
  <c r="Q158" i="1"/>
  <c r="R158" i="1"/>
  <c r="N159" i="1"/>
  <c r="O159" i="1"/>
  <c r="P159" i="1"/>
  <c r="Q159" i="1"/>
  <c r="R159" i="1"/>
  <c r="N160" i="1"/>
  <c r="O160" i="1"/>
  <c r="P160" i="1" s="1"/>
  <c r="Q160" i="1"/>
  <c r="R160" i="1"/>
  <c r="N161" i="1"/>
  <c r="O161" i="1"/>
  <c r="P161" i="1" s="1"/>
  <c r="Q161" i="1"/>
  <c r="R161" i="1"/>
  <c r="N162" i="1"/>
  <c r="O162" i="1"/>
  <c r="P162" i="1"/>
  <c r="Q162" i="1"/>
  <c r="R162" i="1"/>
  <c r="N163" i="1"/>
  <c r="O163" i="1"/>
  <c r="P163" i="1"/>
  <c r="Q163" i="1"/>
  <c r="R163" i="1"/>
  <c r="N164" i="1"/>
  <c r="O164" i="1"/>
  <c r="P164" i="1"/>
  <c r="Q164" i="1"/>
  <c r="R164" i="1"/>
  <c r="N165" i="1"/>
  <c r="O165" i="1"/>
  <c r="P165" i="1" s="1"/>
  <c r="Q165" i="1"/>
  <c r="R165" i="1"/>
  <c r="N166" i="1"/>
  <c r="O166" i="1"/>
  <c r="P166" i="1"/>
  <c r="Q166" i="1"/>
  <c r="R166" i="1"/>
  <c r="N167" i="1"/>
  <c r="O167" i="1"/>
  <c r="P167" i="1"/>
  <c r="Q167" i="1"/>
  <c r="R167" i="1"/>
  <c r="N168" i="1"/>
  <c r="O168" i="1"/>
  <c r="P168" i="1"/>
  <c r="Q168" i="1"/>
  <c r="R168" i="1"/>
  <c r="N169" i="1"/>
  <c r="O169" i="1"/>
  <c r="P169" i="1" s="1"/>
  <c r="Q169" i="1"/>
  <c r="R169" i="1"/>
  <c r="N170" i="1"/>
  <c r="P170" i="1" s="1"/>
  <c r="O170" i="1"/>
  <c r="Q170" i="1"/>
  <c r="R170" i="1"/>
  <c r="N171" i="1"/>
  <c r="O171" i="1"/>
  <c r="P171" i="1"/>
  <c r="Q171" i="1"/>
  <c r="R171" i="1"/>
  <c r="N172" i="1"/>
  <c r="O172" i="1"/>
  <c r="P172" i="1"/>
  <c r="Q172" i="1"/>
  <c r="R172" i="1"/>
  <c r="N173" i="1"/>
  <c r="P173" i="1" s="1"/>
  <c r="O173" i="1"/>
  <c r="Q173" i="1"/>
  <c r="R173" i="1"/>
  <c r="N174" i="1"/>
  <c r="O174" i="1"/>
  <c r="P174" i="1"/>
  <c r="Q174" i="1"/>
  <c r="R174" i="1"/>
  <c r="N175" i="1"/>
  <c r="P175" i="1" s="1"/>
  <c r="O175" i="1"/>
  <c r="Q175" i="1"/>
  <c r="R175" i="1"/>
  <c r="N176" i="1"/>
  <c r="P176" i="1" s="1"/>
  <c r="O176" i="1"/>
  <c r="Q176" i="1"/>
  <c r="R176" i="1"/>
  <c r="N177" i="1"/>
  <c r="P177" i="1" s="1"/>
  <c r="O177" i="1"/>
  <c r="Q177" i="1"/>
  <c r="R177" i="1"/>
  <c r="N178" i="1"/>
  <c r="O178" i="1"/>
  <c r="P178" i="1"/>
  <c r="Q178" i="1"/>
  <c r="R178" i="1"/>
  <c r="N179" i="1"/>
  <c r="O179" i="1"/>
  <c r="P179" i="1"/>
  <c r="Q179" i="1"/>
  <c r="R179" i="1"/>
  <c r="N180" i="1"/>
  <c r="O180" i="1"/>
  <c r="P180" i="1"/>
  <c r="Q180" i="1"/>
  <c r="R180" i="1"/>
  <c r="N181" i="1"/>
  <c r="O181" i="1"/>
  <c r="P181" i="1" s="1"/>
  <c r="Q181" i="1"/>
  <c r="R181" i="1"/>
  <c r="N182" i="1"/>
  <c r="O182" i="1"/>
  <c r="P182" i="1"/>
  <c r="Q182" i="1"/>
  <c r="R182" i="1"/>
  <c r="N183" i="1"/>
  <c r="O183" i="1"/>
  <c r="P183" i="1"/>
  <c r="Q183" i="1"/>
  <c r="R183" i="1"/>
  <c r="N184" i="1"/>
  <c r="O184" i="1"/>
  <c r="P184" i="1"/>
  <c r="Q184" i="1"/>
  <c r="R184" i="1"/>
  <c r="N185" i="1"/>
  <c r="P185" i="1" s="1"/>
  <c r="O185" i="1"/>
  <c r="Q185" i="1"/>
  <c r="R185" i="1"/>
  <c r="N186" i="1"/>
  <c r="O186" i="1"/>
  <c r="P186" i="1" s="1"/>
  <c r="Q186" i="1"/>
  <c r="R186" i="1"/>
  <c r="N187" i="1"/>
  <c r="O187" i="1"/>
  <c r="P187" i="1"/>
  <c r="Q187" i="1"/>
  <c r="R187" i="1"/>
  <c r="N188" i="1"/>
  <c r="P188" i="1" s="1"/>
  <c r="O188" i="1"/>
  <c r="Q188" i="1"/>
  <c r="R188" i="1"/>
  <c r="N189" i="1"/>
  <c r="P189" i="1" s="1"/>
  <c r="O189" i="1"/>
  <c r="Q189" i="1"/>
  <c r="R189" i="1"/>
  <c r="N190" i="1"/>
  <c r="O190" i="1"/>
  <c r="P190" i="1"/>
  <c r="Q190" i="1"/>
  <c r="R190" i="1"/>
  <c r="N191" i="1"/>
  <c r="O191" i="1"/>
  <c r="P191" i="1"/>
  <c r="Q191" i="1"/>
  <c r="R191" i="1"/>
  <c r="N192" i="1"/>
  <c r="O192" i="1"/>
  <c r="P192" i="1"/>
  <c r="Q192" i="1"/>
  <c r="R192" i="1"/>
  <c r="N193" i="1"/>
  <c r="O193" i="1"/>
  <c r="P193" i="1" s="1"/>
  <c r="Q193" i="1"/>
  <c r="R193" i="1"/>
  <c r="N194" i="1"/>
  <c r="O194" i="1"/>
  <c r="P194" i="1"/>
  <c r="Q194" i="1"/>
  <c r="R194" i="1"/>
  <c r="N195" i="1"/>
  <c r="O195" i="1"/>
  <c r="P195" i="1"/>
  <c r="Q195" i="1"/>
  <c r="R195" i="1"/>
  <c r="N196" i="1"/>
  <c r="O196" i="1"/>
  <c r="P196" i="1"/>
  <c r="Q196" i="1"/>
  <c r="R196" i="1"/>
  <c r="N197" i="1"/>
  <c r="O197" i="1"/>
  <c r="P197" i="1" s="1"/>
  <c r="Q197" i="1"/>
  <c r="R197" i="1"/>
  <c r="N198" i="1"/>
  <c r="O198" i="1"/>
  <c r="P198" i="1" s="1"/>
  <c r="Q198" i="1"/>
  <c r="R198" i="1"/>
  <c r="N199" i="1"/>
  <c r="O199" i="1"/>
  <c r="P199" i="1" s="1"/>
  <c r="Q199" i="1"/>
  <c r="R199" i="1"/>
  <c r="N200" i="1"/>
  <c r="O200" i="1"/>
  <c r="P200" i="1"/>
  <c r="Q200" i="1"/>
  <c r="R200" i="1"/>
  <c r="N201" i="1"/>
  <c r="O201" i="1"/>
  <c r="P201" i="1" s="1"/>
  <c r="Q201" i="1"/>
  <c r="R201" i="1"/>
  <c r="N202" i="1"/>
  <c r="O202" i="1"/>
  <c r="P202" i="1" s="1"/>
  <c r="Q202" i="1"/>
  <c r="R202" i="1"/>
  <c r="N203" i="1"/>
  <c r="O203" i="1"/>
  <c r="P203" i="1" s="1"/>
  <c r="Q203" i="1"/>
  <c r="R203" i="1"/>
  <c r="N204" i="1"/>
  <c r="O204" i="1"/>
  <c r="P204" i="1" s="1"/>
  <c r="Q204" i="1"/>
  <c r="R204" i="1"/>
  <c r="N205" i="1"/>
  <c r="O205" i="1"/>
  <c r="P205" i="1" s="1"/>
  <c r="Q205" i="1"/>
  <c r="R205" i="1"/>
  <c r="N206" i="1"/>
  <c r="O206" i="1"/>
  <c r="P206" i="1" s="1"/>
  <c r="Q206" i="1"/>
  <c r="R206" i="1"/>
  <c r="N207" i="1"/>
  <c r="O207" i="1"/>
  <c r="P207" i="1"/>
  <c r="Q207" i="1"/>
  <c r="R207" i="1"/>
  <c r="N208" i="1"/>
  <c r="O208" i="1"/>
  <c r="P208" i="1"/>
  <c r="Q208" i="1"/>
  <c r="R208" i="1"/>
  <c r="N209" i="1"/>
  <c r="O209" i="1"/>
  <c r="P209" i="1" s="1"/>
  <c r="Q209" i="1"/>
  <c r="R209" i="1"/>
  <c r="N210" i="1"/>
  <c r="O210" i="1"/>
  <c r="P210" i="1" s="1"/>
  <c r="Q210" i="1"/>
  <c r="R210" i="1"/>
  <c r="N211" i="1"/>
  <c r="O211" i="1"/>
  <c r="P211" i="1" s="1"/>
  <c r="Q211" i="1"/>
  <c r="R211" i="1"/>
  <c r="N212" i="1"/>
  <c r="O212" i="1"/>
  <c r="P212" i="1" s="1"/>
  <c r="Q212" i="1"/>
  <c r="R212" i="1"/>
  <c r="N213" i="1"/>
  <c r="O213" i="1"/>
  <c r="P213" i="1"/>
  <c r="Q213" i="1"/>
  <c r="R213" i="1"/>
  <c r="N214" i="1"/>
  <c r="P214" i="1" s="1"/>
  <c r="O214" i="1"/>
  <c r="Q214" i="1"/>
  <c r="R214" i="1"/>
  <c r="N215" i="1"/>
  <c r="O215" i="1"/>
  <c r="P215" i="1" s="1"/>
  <c r="Q215" i="1"/>
  <c r="R215" i="1"/>
  <c r="N216" i="1"/>
  <c r="O216" i="1"/>
  <c r="P216" i="1"/>
  <c r="Q216" i="1"/>
  <c r="R216" i="1"/>
  <c r="N217" i="1"/>
  <c r="O217" i="1"/>
  <c r="P217" i="1" s="1"/>
  <c r="Q217" i="1"/>
  <c r="R217" i="1"/>
  <c r="N218" i="1"/>
  <c r="O218" i="1"/>
  <c r="P218" i="1"/>
  <c r="Q218" i="1"/>
  <c r="R218" i="1"/>
  <c r="N219" i="1"/>
  <c r="O219" i="1"/>
  <c r="P219" i="1"/>
  <c r="Q219" i="1"/>
  <c r="R219" i="1"/>
  <c r="N220" i="1"/>
  <c r="O220" i="1"/>
  <c r="P220" i="1" s="1"/>
  <c r="Q220" i="1"/>
  <c r="R220" i="1"/>
  <c r="N221" i="1"/>
  <c r="P221" i="1" s="1"/>
  <c r="O221" i="1"/>
  <c r="Q221" i="1"/>
  <c r="R221" i="1"/>
  <c r="N222" i="1"/>
  <c r="O222" i="1"/>
  <c r="P222" i="1" s="1"/>
  <c r="Q222" i="1"/>
  <c r="R222" i="1"/>
  <c r="N223" i="1"/>
  <c r="O223" i="1"/>
  <c r="P223" i="1" s="1"/>
  <c r="Q223" i="1"/>
  <c r="R223" i="1"/>
  <c r="N224" i="1"/>
  <c r="O224" i="1"/>
  <c r="P224" i="1" s="1"/>
  <c r="Q224" i="1"/>
  <c r="R224" i="1"/>
  <c r="N225" i="1"/>
  <c r="O225" i="1"/>
  <c r="P225" i="1" s="1"/>
  <c r="Q225" i="1"/>
  <c r="R225" i="1"/>
  <c r="N226" i="1"/>
  <c r="O226" i="1"/>
  <c r="P226" i="1"/>
  <c r="Q226" i="1"/>
  <c r="R226" i="1"/>
  <c r="N227" i="1"/>
  <c r="O227" i="1"/>
  <c r="P227" i="1" s="1"/>
  <c r="Q227" i="1"/>
  <c r="R227" i="1"/>
  <c r="N228" i="1"/>
  <c r="O228" i="1"/>
  <c r="P228" i="1" s="1"/>
  <c r="Q228" i="1"/>
  <c r="R228" i="1"/>
  <c r="N229" i="1"/>
  <c r="O229" i="1"/>
  <c r="P229" i="1" s="1"/>
  <c r="Q229" i="1"/>
  <c r="R229" i="1"/>
  <c r="N230" i="1"/>
  <c r="P230" i="1" s="1"/>
  <c r="O230" i="1"/>
  <c r="Q230" i="1"/>
  <c r="R230" i="1"/>
  <c r="N231" i="1"/>
  <c r="O231" i="1"/>
  <c r="P231" i="1" s="1"/>
  <c r="Q231" i="1"/>
  <c r="R231" i="1"/>
  <c r="N232" i="1"/>
  <c r="O232" i="1"/>
  <c r="P232" i="1"/>
  <c r="Q232" i="1"/>
  <c r="R232" i="1"/>
  <c r="N233" i="1"/>
  <c r="O233" i="1"/>
  <c r="P233" i="1" s="1"/>
  <c r="Q233" i="1"/>
  <c r="R233" i="1"/>
  <c r="N234" i="1"/>
  <c r="O234" i="1"/>
  <c r="P234" i="1" s="1"/>
  <c r="Q234" i="1"/>
  <c r="R234" i="1"/>
  <c r="N235" i="1"/>
  <c r="O235" i="1"/>
  <c r="P235" i="1"/>
  <c r="Q235" i="1"/>
  <c r="R235" i="1"/>
  <c r="N236" i="1"/>
  <c r="O236" i="1"/>
  <c r="P236" i="1" s="1"/>
  <c r="Q236" i="1"/>
  <c r="R236" i="1"/>
  <c r="N237" i="1"/>
  <c r="O237" i="1"/>
  <c r="P237" i="1" s="1"/>
  <c r="Q237" i="1"/>
  <c r="R237" i="1"/>
  <c r="N238" i="1"/>
  <c r="O238" i="1"/>
  <c r="P238" i="1"/>
  <c r="Q238" i="1"/>
  <c r="R238" i="1"/>
  <c r="N239" i="1"/>
  <c r="O239" i="1"/>
  <c r="P239" i="1" s="1"/>
  <c r="Q239" i="1"/>
  <c r="R239" i="1"/>
  <c r="N240" i="1"/>
  <c r="O240" i="1"/>
  <c r="P240" i="1" s="1"/>
  <c r="Q240" i="1"/>
  <c r="R240" i="1"/>
  <c r="N241" i="1"/>
  <c r="O241" i="1"/>
  <c r="P241" i="1" s="1"/>
  <c r="Q241" i="1"/>
  <c r="R241" i="1"/>
  <c r="N242" i="1"/>
  <c r="O242" i="1"/>
  <c r="P242" i="1"/>
  <c r="Q242" i="1"/>
  <c r="R242" i="1"/>
  <c r="N243" i="1"/>
  <c r="O243" i="1"/>
  <c r="P243" i="1" s="1"/>
  <c r="Q243" i="1"/>
  <c r="R243" i="1"/>
  <c r="N244" i="1"/>
  <c r="O244" i="1"/>
  <c r="P244" i="1" s="1"/>
  <c r="Q244" i="1"/>
  <c r="R244" i="1"/>
  <c r="N245" i="1"/>
  <c r="O245" i="1"/>
  <c r="P245" i="1" s="1"/>
  <c r="Q245" i="1"/>
  <c r="R245" i="1"/>
  <c r="N246" i="1"/>
  <c r="O246" i="1"/>
  <c r="P246" i="1" s="1"/>
  <c r="Q246" i="1"/>
  <c r="R246" i="1"/>
  <c r="N247" i="1"/>
  <c r="O247" i="1"/>
  <c r="P247" i="1" s="1"/>
  <c r="Q247" i="1"/>
  <c r="R247" i="1"/>
  <c r="N248" i="1"/>
  <c r="O248" i="1"/>
  <c r="P248" i="1"/>
  <c r="Q248" i="1"/>
  <c r="R248" i="1"/>
  <c r="N249" i="1"/>
  <c r="P249" i="1" s="1"/>
  <c r="O249" i="1"/>
  <c r="Q249" i="1"/>
  <c r="R249" i="1"/>
  <c r="N250" i="1"/>
  <c r="O250" i="1"/>
  <c r="P250" i="1" s="1"/>
  <c r="Q250" i="1"/>
  <c r="R250" i="1"/>
  <c r="N251" i="1"/>
  <c r="O251" i="1"/>
  <c r="P251" i="1" s="1"/>
  <c r="Q251" i="1"/>
  <c r="R251" i="1"/>
  <c r="N252" i="1"/>
  <c r="O252" i="1"/>
  <c r="P252" i="1" s="1"/>
  <c r="Q252" i="1"/>
  <c r="R252" i="1"/>
  <c r="N253" i="1"/>
  <c r="O253" i="1"/>
  <c r="P253" i="1"/>
  <c r="Q253" i="1"/>
  <c r="R253" i="1"/>
  <c r="N254" i="1"/>
  <c r="O254" i="1"/>
  <c r="P254" i="1"/>
  <c r="Q254" i="1"/>
  <c r="R254" i="1"/>
  <c r="N255" i="1"/>
  <c r="O255" i="1"/>
  <c r="P255" i="1"/>
  <c r="Q255" i="1"/>
  <c r="R255" i="1"/>
  <c r="N256" i="1"/>
  <c r="O256" i="1"/>
  <c r="P256" i="1" s="1"/>
  <c r="Q256" i="1"/>
  <c r="R256" i="1"/>
  <c r="N257" i="1"/>
  <c r="O257" i="1"/>
  <c r="P257" i="1" s="1"/>
  <c r="Q257" i="1"/>
  <c r="R257" i="1"/>
  <c r="N258" i="1"/>
  <c r="O258" i="1"/>
  <c r="P258" i="1"/>
  <c r="Q258" i="1"/>
  <c r="R258" i="1"/>
  <c r="N259" i="1"/>
  <c r="O259" i="1"/>
  <c r="P259" i="1"/>
  <c r="Q259" i="1"/>
  <c r="R259" i="1"/>
  <c r="N260" i="1"/>
  <c r="O260" i="1"/>
  <c r="P260" i="1"/>
  <c r="Q260" i="1"/>
  <c r="R260" i="1"/>
  <c r="N261" i="1"/>
  <c r="O261" i="1"/>
  <c r="P261" i="1" s="1"/>
  <c r="Q261" i="1"/>
  <c r="R261" i="1"/>
  <c r="N262" i="1"/>
  <c r="P262" i="1" s="1"/>
  <c r="O262" i="1"/>
  <c r="Q262" i="1"/>
  <c r="R262" i="1"/>
  <c r="N263" i="1"/>
  <c r="O263" i="1"/>
  <c r="P263" i="1" s="1"/>
  <c r="Q263" i="1"/>
  <c r="R263" i="1"/>
  <c r="N264" i="1"/>
  <c r="O264" i="1"/>
  <c r="P264" i="1"/>
  <c r="Q264" i="1"/>
  <c r="R264" i="1"/>
  <c r="N265" i="1"/>
  <c r="O265" i="1"/>
  <c r="P265" i="1" s="1"/>
  <c r="Q265" i="1"/>
  <c r="R265" i="1"/>
  <c r="N266" i="1"/>
  <c r="O266" i="1"/>
  <c r="P266" i="1" s="1"/>
  <c r="Q266" i="1"/>
  <c r="R266" i="1"/>
  <c r="N267" i="1"/>
  <c r="O267" i="1"/>
  <c r="P267" i="1" s="1"/>
  <c r="Q267" i="1"/>
  <c r="R267" i="1"/>
  <c r="N268" i="1"/>
  <c r="P268" i="1" s="1"/>
  <c r="O268" i="1"/>
  <c r="Q268" i="1"/>
  <c r="R268" i="1"/>
  <c r="N269" i="1"/>
  <c r="O269" i="1"/>
  <c r="P269" i="1"/>
  <c r="Q269" i="1"/>
  <c r="R269" i="1"/>
  <c r="N270" i="1"/>
  <c r="O270" i="1"/>
  <c r="P270" i="1" s="1"/>
  <c r="Q270" i="1"/>
  <c r="R270" i="1"/>
  <c r="N271" i="1"/>
  <c r="O271" i="1"/>
  <c r="P271" i="1" s="1"/>
  <c r="Q271" i="1"/>
  <c r="R271" i="1"/>
  <c r="N272" i="1"/>
  <c r="O272" i="1"/>
  <c r="P272" i="1" s="1"/>
  <c r="Q272" i="1"/>
  <c r="R272" i="1"/>
  <c r="N273" i="1"/>
  <c r="O273" i="1"/>
  <c r="P273" i="1" s="1"/>
  <c r="Q273" i="1"/>
  <c r="R273" i="1"/>
  <c r="N274" i="1"/>
  <c r="O274" i="1"/>
  <c r="P274" i="1"/>
  <c r="Q274" i="1"/>
  <c r="R274" i="1"/>
  <c r="N275" i="1"/>
  <c r="O275" i="1"/>
  <c r="P275" i="1" s="1"/>
  <c r="Q275" i="1"/>
  <c r="R275" i="1"/>
  <c r="N276" i="1"/>
  <c r="O276" i="1"/>
  <c r="P276" i="1"/>
  <c r="Q276" i="1"/>
  <c r="R276" i="1"/>
  <c r="N277" i="1"/>
  <c r="O277" i="1"/>
  <c r="P277" i="1" s="1"/>
  <c r="Q277" i="1"/>
  <c r="R277" i="1"/>
  <c r="N278" i="1"/>
  <c r="O278" i="1"/>
  <c r="P278" i="1"/>
  <c r="Q278" i="1"/>
  <c r="R278" i="1"/>
  <c r="N279" i="1"/>
  <c r="O279" i="1"/>
  <c r="P279" i="1"/>
  <c r="Q279" i="1"/>
  <c r="R279" i="1"/>
  <c r="N280" i="1"/>
  <c r="P280" i="1" s="1"/>
  <c r="O280" i="1"/>
  <c r="Q280" i="1"/>
  <c r="R280" i="1"/>
  <c r="N281" i="1"/>
  <c r="P281" i="1" s="1"/>
  <c r="O281" i="1"/>
  <c r="Q281" i="1"/>
  <c r="R281" i="1"/>
  <c r="N282" i="1"/>
  <c r="O282" i="1"/>
  <c r="P282" i="1"/>
  <c r="Q282" i="1"/>
  <c r="R282" i="1"/>
  <c r="N283" i="1"/>
  <c r="O283" i="1"/>
  <c r="P283" i="1"/>
  <c r="Q283" i="1"/>
  <c r="R283" i="1"/>
  <c r="N284" i="1"/>
  <c r="O284" i="1"/>
  <c r="P284" i="1" s="1"/>
  <c r="Q284" i="1"/>
  <c r="R284" i="1"/>
  <c r="N285" i="1"/>
  <c r="O285" i="1"/>
  <c r="P285" i="1" s="1"/>
  <c r="Q285" i="1"/>
  <c r="R285" i="1"/>
  <c r="N286" i="1"/>
  <c r="O286" i="1"/>
  <c r="P286" i="1"/>
  <c r="Q286" i="1"/>
  <c r="R286" i="1"/>
  <c r="N287" i="1"/>
  <c r="O287" i="1"/>
  <c r="P287" i="1" s="1"/>
  <c r="Q287" i="1"/>
  <c r="R287" i="1"/>
  <c r="N288" i="1"/>
  <c r="O288" i="1"/>
  <c r="P288" i="1" s="1"/>
  <c r="Q288" i="1"/>
  <c r="R288" i="1"/>
  <c r="N289" i="1"/>
  <c r="O289" i="1"/>
  <c r="P289" i="1" s="1"/>
  <c r="Q289" i="1"/>
  <c r="R289" i="1"/>
  <c r="N290" i="1"/>
  <c r="O290" i="1"/>
  <c r="P290" i="1" s="1"/>
  <c r="Q290" i="1"/>
  <c r="R290" i="1"/>
  <c r="N291" i="1"/>
  <c r="O291" i="1"/>
  <c r="P291" i="1" s="1"/>
  <c r="Q291" i="1"/>
  <c r="R291" i="1"/>
  <c r="N292" i="1"/>
  <c r="O292" i="1"/>
  <c r="P292" i="1"/>
  <c r="Q292" i="1"/>
  <c r="R292" i="1"/>
  <c r="N293" i="1"/>
  <c r="O293" i="1"/>
  <c r="P293" i="1" s="1"/>
  <c r="Q293" i="1"/>
  <c r="R293" i="1"/>
  <c r="N294" i="1"/>
  <c r="O294" i="1"/>
  <c r="P294" i="1"/>
  <c r="Q294" i="1"/>
  <c r="R294" i="1"/>
  <c r="N295" i="1"/>
  <c r="O295" i="1"/>
  <c r="P295" i="1" s="1"/>
  <c r="Q295" i="1"/>
  <c r="R295" i="1"/>
  <c r="N296" i="1"/>
  <c r="O296" i="1"/>
  <c r="P296" i="1" s="1"/>
  <c r="Q296" i="1"/>
  <c r="R296" i="1"/>
  <c r="N297" i="1"/>
  <c r="P297" i="1" s="1"/>
  <c r="O297" i="1"/>
  <c r="Q297" i="1"/>
  <c r="R297" i="1"/>
  <c r="N298" i="1"/>
  <c r="O298" i="1"/>
  <c r="P298" i="1" s="1"/>
  <c r="Q298" i="1"/>
  <c r="R298" i="1"/>
  <c r="N299" i="1"/>
  <c r="O299" i="1"/>
  <c r="P299" i="1"/>
  <c r="Q299" i="1"/>
  <c r="R299" i="1"/>
  <c r="N300" i="1"/>
  <c r="O300" i="1"/>
  <c r="P300" i="1"/>
  <c r="Q300" i="1"/>
  <c r="R300" i="1"/>
  <c r="N301" i="1"/>
  <c r="O301" i="1"/>
  <c r="P301" i="1" s="1"/>
  <c r="Q301" i="1"/>
  <c r="R301" i="1"/>
  <c r="N302" i="1"/>
  <c r="O302" i="1"/>
  <c r="P302" i="1"/>
  <c r="Q302" i="1"/>
  <c r="R302" i="1"/>
  <c r="N303" i="1"/>
  <c r="O303" i="1"/>
  <c r="P303" i="1" s="1"/>
  <c r="Q303" i="1"/>
  <c r="R303" i="1"/>
  <c r="N304" i="1"/>
  <c r="O304" i="1"/>
  <c r="P304" i="1" s="1"/>
  <c r="Q304" i="1"/>
  <c r="R304" i="1"/>
  <c r="N305" i="1"/>
  <c r="O305" i="1"/>
  <c r="P305" i="1" s="1"/>
  <c r="Q305" i="1"/>
  <c r="R305" i="1"/>
  <c r="N306" i="1"/>
  <c r="O306" i="1"/>
  <c r="P306" i="1"/>
  <c r="Q306" i="1"/>
  <c r="R306" i="1"/>
  <c r="N307" i="1"/>
  <c r="O307" i="1"/>
  <c r="P307" i="1" s="1"/>
  <c r="Q307" i="1"/>
  <c r="R307" i="1"/>
  <c r="N308" i="1"/>
  <c r="O308" i="1"/>
  <c r="P308" i="1" s="1"/>
  <c r="Q308" i="1"/>
  <c r="R308" i="1"/>
  <c r="N309" i="1"/>
  <c r="P309" i="1" s="1"/>
  <c r="O309" i="1"/>
  <c r="Q309" i="1"/>
  <c r="R309" i="1"/>
  <c r="N310" i="1"/>
  <c r="O310" i="1"/>
  <c r="P310" i="1" s="1"/>
  <c r="Q310" i="1"/>
  <c r="R310" i="1"/>
  <c r="N311" i="1"/>
  <c r="O311" i="1"/>
  <c r="P311" i="1"/>
  <c r="Q311" i="1"/>
  <c r="R311" i="1"/>
  <c r="N312" i="1"/>
  <c r="O312" i="1"/>
  <c r="P312" i="1"/>
  <c r="Q312" i="1"/>
  <c r="R312" i="1"/>
  <c r="N313" i="1"/>
  <c r="P313" i="1" s="1"/>
  <c r="O313" i="1"/>
  <c r="Q313" i="1"/>
  <c r="R313" i="1"/>
  <c r="N314" i="1"/>
  <c r="P314" i="1" s="1"/>
  <c r="O314" i="1"/>
  <c r="Q314" i="1"/>
  <c r="R314" i="1"/>
  <c r="N315" i="1"/>
  <c r="O315" i="1"/>
  <c r="P315" i="1"/>
  <c r="Q315" i="1"/>
  <c r="R315" i="1"/>
  <c r="N316" i="1"/>
  <c r="O316" i="1"/>
  <c r="P316" i="1"/>
  <c r="Q316" i="1"/>
  <c r="R316" i="1"/>
  <c r="N317" i="1"/>
  <c r="O317" i="1"/>
  <c r="P317" i="1" s="1"/>
  <c r="Q317" i="1"/>
  <c r="R317" i="1"/>
  <c r="N318" i="1"/>
  <c r="O318" i="1"/>
  <c r="P318" i="1"/>
  <c r="Q318" i="1"/>
  <c r="R318" i="1"/>
  <c r="N319" i="1"/>
  <c r="O319" i="1"/>
  <c r="P319" i="1" s="1"/>
  <c r="Q319" i="1"/>
  <c r="R319" i="1"/>
  <c r="N320" i="1"/>
  <c r="O320" i="1"/>
  <c r="P320" i="1" s="1"/>
  <c r="Q320" i="1"/>
  <c r="R320" i="1"/>
  <c r="N321" i="1"/>
  <c r="O321" i="1"/>
  <c r="P321" i="1" s="1"/>
  <c r="Q321" i="1"/>
  <c r="R321" i="1"/>
  <c r="N322" i="1"/>
  <c r="O322" i="1"/>
  <c r="P322" i="1" s="1"/>
  <c r="Q322" i="1"/>
  <c r="R322" i="1"/>
  <c r="N323" i="1"/>
  <c r="O323" i="1"/>
  <c r="P323" i="1" s="1"/>
  <c r="Q323" i="1"/>
  <c r="R323" i="1"/>
  <c r="N324" i="1"/>
  <c r="O324" i="1"/>
  <c r="P324" i="1"/>
  <c r="Q324" i="1"/>
  <c r="R324" i="1"/>
  <c r="N325" i="1"/>
  <c r="O325" i="1"/>
  <c r="P325" i="1" s="1"/>
  <c r="Q325" i="1"/>
  <c r="R325" i="1"/>
  <c r="N326" i="1"/>
  <c r="O326" i="1"/>
  <c r="P326" i="1"/>
  <c r="Q326" i="1"/>
  <c r="R326" i="1"/>
  <c r="N327" i="1"/>
  <c r="O327" i="1"/>
  <c r="P327" i="1" s="1"/>
  <c r="Q327" i="1"/>
  <c r="R327" i="1"/>
  <c r="N328" i="1"/>
  <c r="O328" i="1"/>
  <c r="P328" i="1"/>
  <c r="Q328" i="1"/>
  <c r="R328" i="1"/>
  <c r="N329" i="1"/>
  <c r="O329" i="1"/>
  <c r="P329" i="1" s="1"/>
  <c r="Q329" i="1"/>
  <c r="R329" i="1"/>
  <c r="N330" i="1"/>
  <c r="O330" i="1"/>
  <c r="P330" i="1" s="1"/>
  <c r="Q330" i="1"/>
  <c r="R330" i="1"/>
  <c r="N331" i="1"/>
  <c r="O331" i="1"/>
  <c r="P331" i="1" s="1"/>
  <c r="Q331" i="1"/>
  <c r="R331" i="1"/>
  <c r="N332" i="1"/>
  <c r="O332" i="1"/>
  <c r="P332" i="1" s="1"/>
  <c r="Q332" i="1"/>
  <c r="R332" i="1"/>
  <c r="N333" i="1"/>
  <c r="O333" i="1"/>
  <c r="P333" i="1"/>
  <c r="Q333" i="1"/>
  <c r="R333" i="1"/>
  <c r="N334" i="1"/>
  <c r="O334" i="1"/>
  <c r="P334" i="1"/>
  <c r="Q334" i="1"/>
  <c r="R334" i="1"/>
  <c r="N335" i="1"/>
  <c r="O335" i="1"/>
  <c r="P335" i="1" s="1"/>
  <c r="Q335" i="1"/>
  <c r="R335" i="1"/>
  <c r="N336" i="1"/>
  <c r="O336" i="1"/>
  <c r="P336" i="1" s="1"/>
  <c r="Q336" i="1"/>
  <c r="R336" i="1"/>
  <c r="N337" i="1"/>
  <c r="O337" i="1"/>
  <c r="P337" i="1" s="1"/>
  <c r="Q337" i="1"/>
  <c r="R337" i="1"/>
  <c r="N338" i="1"/>
  <c r="O338" i="1"/>
  <c r="P338" i="1"/>
  <c r="Q338" i="1"/>
  <c r="R338" i="1"/>
  <c r="N339" i="1"/>
  <c r="O339" i="1"/>
  <c r="P339" i="1" s="1"/>
  <c r="Q339" i="1"/>
  <c r="R339" i="1"/>
  <c r="N340" i="1"/>
  <c r="O340" i="1"/>
  <c r="P340" i="1" s="1"/>
  <c r="Q340" i="1"/>
  <c r="R340" i="1"/>
  <c r="N341" i="1"/>
  <c r="O341" i="1"/>
  <c r="P341" i="1"/>
  <c r="Q341" i="1"/>
  <c r="R341" i="1"/>
  <c r="N342" i="1"/>
  <c r="O342" i="1"/>
  <c r="P342" i="1"/>
  <c r="Q342" i="1"/>
  <c r="R342" i="1"/>
  <c r="N343" i="1"/>
  <c r="O343" i="1"/>
  <c r="P343" i="1"/>
  <c r="Q343" i="1"/>
  <c r="R343" i="1"/>
  <c r="N344" i="1"/>
  <c r="O344" i="1"/>
  <c r="P344" i="1" s="1"/>
  <c r="Q344" i="1"/>
  <c r="R344" i="1"/>
  <c r="N345" i="1"/>
  <c r="O345" i="1"/>
  <c r="P345" i="1" s="1"/>
  <c r="Q345" i="1"/>
  <c r="R345" i="1"/>
  <c r="N346" i="1"/>
  <c r="O346" i="1"/>
  <c r="P346" i="1"/>
  <c r="Q346" i="1"/>
  <c r="R346" i="1"/>
  <c r="N347" i="1"/>
  <c r="P347" i="1" s="1"/>
  <c r="O347" i="1"/>
  <c r="Q347" i="1"/>
  <c r="R347" i="1"/>
  <c r="N348" i="1"/>
  <c r="O348" i="1"/>
  <c r="P348" i="1" s="1"/>
  <c r="Q348" i="1"/>
  <c r="R348" i="1"/>
  <c r="N349" i="1"/>
  <c r="O349" i="1"/>
  <c r="P349" i="1" s="1"/>
  <c r="Q349" i="1"/>
  <c r="R349" i="1"/>
  <c r="N350" i="1"/>
  <c r="P350" i="1" s="1"/>
  <c r="O350" i="1"/>
  <c r="Q350" i="1"/>
  <c r="R350" i="1"/>
  <c r="N351" i="1"/>
  <c r="O351" i="1"/>
  <c r="P351" i="1"/>
  <c r="Q351" i="1"/>
  <c r="R351" i="1"/>
  <c r="N352" i="1"/>
  <c r="O352" i="1"/>
  <c r="P352" i="1" s="1"/>
  <c r="Q352" i="1"/>
  <c r="R352" i="1"/>
  <c r="N353" i="1"/>
  <c r="O353" i="1"/>
  <c r="P353" i="1" s="1"/>
  <c r="Q353" i="1"/>
  <c r="R353" i="1"/>
  <c r="N354" i="1"/>
  <c r="O354" i="1"/>
  <c r="P354" i="1" s="1"/>
  <c r="Q354" i="1"/>
  <c r="R354" i="1"/>
  <c r="N355" i="1"/>
  <c r="O355" i="1"/>
  <c r="P355" i="1" s="1"/>
  <c r="Q355" i="1"/>
  <c r="R355" i="1"/>
  <c r="N356" i="1"/>
  <c r="O356" i="1"/>
  <c r="P356" i="1"/>
  <c r="Q356" i="1"/>
  <c r="R356" i="1"/>
  <c r="N357" i="1"/>
  <c r="O357" i="1"/>
  <c r="P357" i="1"/>
  <c r="Q357" i="1"/>
  <c r="R357" i="1"/>
  <c r="N358" i="1"/>
  <c r="O358" i="1"/>
  <c r="P358" i="1"/>
  <c r="Q358" i="1"/>
  <c r="R358" i="1"/>
  <c r="N359" i="1"/>
  <c r="O359" i="1"/>
  <c r="P359" i="1"/>
  <c r="Q359" i="1"/>
  <c r="R359" i="1"/>
  <c r="N360" i="1"/>
  <c r="O360" i="1"/>
  <c r="P360" i="1" s="1"/>
  <c r="Q360" i="1"/>
  <c r="R360" i="1"/>
  <c r="N361" i="1"/>
  <c r="O361" i="1"/>
  <c r="P361" i="1" s="1"/>
  <c r="Q361" i="1"/>
  <c r="R361" i="1"/>
  <c r="N362" i="1"/>
  <c r="O362" i="1"/>
  <c r="P362" i="1" s="1"/>
  <c r="Q362" i="1"/>
  <c r="R362" i="1"/>
  <c r="N363" i="1"/>
  <c r="O363" i="1"/>
  <c r="P363" i="1"/>
  <c r="Q363" i="1"/>
  <c r="R363" i="1"/>
  <c r="N364" i="1"/>
  <c r="O364" i="1"/>
  <c r="P364" i="1"/>
  <c r="Q364" i="1"/>
  <c r="R364" i="1"/>
  <c r="N365" i="1"/>
  <c r="O365" i="1"/>
  <c r="P365" i="1"/>
  <c r="Q365" i="1"/>
  <c r="R365" i="1"/>
  <c r="N366" i="1"/>
  <c r="O366" i="1"/>
  <c r="P366" i="1"/>
  <c r="Q366" i="1"/>
  <c r="R366" i="1"/>
  <c r="N367" i="1"/>
  <c r="O367" i="1"/>
  <c r="P367" i="1" s="1"/>
  <c r="Q367" i="1"/>
  <c r="R367" i="1"/>
  <c r="N368" i="1"/>
  <c r="O368" i="1"/>
  <c r="P368" i="1" s="1"/>
  <c r="Q368" i="1"/>
  <c r="R368" i="1"/>
  <c r="N369" i="1"/>
  <c r="O369" i="1"/>
  <c r="P369" i="1" s="1"/>
  <c r="Q369" i="1"/>
  <c r="R369" i="1"/>
  <c r="N370" i="1"/>
  <c r="O370" i="1"/>
  <c r="P370" i="1" s="1"/>
  <c r="Q370" i="1"/>
  <c r="R370" i="1"/>
  <c r="N371" i="1"/>
  <c r="O371" i="1"/>
  <c r="P371" i="1"/>
  <c r="Q371" i="1"/>
  <c r="R371" i="1"/>
  <c r="N372" i="1"/>
  <c r="P372" i="1" s="1"/>
  <c r="O372" i="1"/>
  <c r="Q372" i="1"/>
  <c r="R372" i="1"/>
  <c r="N373" i="1"/>
  <c r="P373" i="1" s="1"/>
  <c r="O373" i="1"/>
  <c r="Q373" i="1"/>
  <c r="R373" i="1"/>
  <c r="N374" i="1"/>
  <c r="O374" i="1"/>
  <c r="P374" i="1"/>
  <c r="Q374" i="1"/>
  <c r="R374" i="1"/>
  <c r="N375" i="1"/>
  <c r="O375" i="1"/>
  <c r="P375" i="1"/>
  <c r="Q375" i="1"/>
  <c r="R375" i="1"/>
  <c r="N376" i="1"/>
  <c r="P376" i="1" s="1"/>
  <c r="O376" i="1"/>
  <c r="Q376" i="1"/>
  <c r="R376" i="1"/>
  <c r="N377" i="1"/>
  <c r="O377" i="1"/>
  <c r="P377" i="1" s="1"/>
  <c r="Q377" i="1"/>
  <c r="R377" i="1"/>
  <c r="N378" i="1"/>
  <c r="O378" i="1"/>
  <c r="P378" i="1" s="1"/>
  <c r="Q378" i="1"/>
  <c r="R378" i="1"/>
  <c r="N379" i="1"/>
  <c r="O379" i="1"/>
  <c r="P379" i="1"/>
  <c r="Q379" i="1"/>
  <c r="R379" i="1"/>
  <c r="N380" i="1"/>
  <c r="O380" i="1"/>
  <c r="P380" i="1"/>
  <c r="Q380" i="1"/>
  <c r="R380" i="1"/>
  <c r="N381" i="1"/>
  <c r="O381" i="1"/>
  <c r="P381" i="1"/>
  <c r="Q381" i="1"/>
  <c r="R381" i="1"/>
  <c r="N382" i="1"/>
  <c r="O382" i="1"/>
  <c r="P382" i="1"/>
  <c r="Q382" i="1"/>
  <c r="R382" i="1"/>
  <c r="N383" i="1"/>
  <c r="O383" i="1"/>
  <c r="P383" i="1"/>
  <c r="Q383" i="1"/>
  <c r="R383" i="1"/>
  <c r="N384" i="1"/>
  <c r="O384" i="1"/>
  <c r="P384" i="1"/>
  <c r="Q384" i="1"/>
  <c r="R384" i="1"/>
  <c r="N385" i="1"/>
  <c r="O385" i="1"/>
  <c r="P385" i="1" s="1"/>
  <c r="Q385" i="1"/>
  <c r="R385" i="1"/>
  <c r="N386" i="1"/>
  <c r="O386" i="1"/>
  <c r="P386" i="1"/>
  <c r="Q386" i="1"/>
  <c r="R386" i="1"/>
  <c r="N387" i="1"/>
  <c r="O387" i="1"/>
  <c r="P387" i="1" s="1"/>
  <c r="Q387" i="1"/>
  <c r="R387" i="1"/>
  <c r="N388" i="1"/>
  <c r="O388" i="1"/>
  <c r="P388" i="1"/>
  <c r="Q388" i="1"/>
  <c r="R388" i="1"/>
  <c r="N389" i="1"/>
  <c r="O389" i="1"/>
  <c r="P389" i="1"/>
  <c r="Q389" i="1"/>
  <c r="R389" i="1"/>
  <c r="N390" i="1"/>
  <c r="P390" i="1" s="1"/>
  <c r="O390" i="1"/>
  <c r="Q390" i="1"/>
  <c r="R390" i="1"/>
  <c r="N391" i="1"/>
  <c r="O391" i="1"/>
  <c r="P391" i="1" s="1"/>
  <c r="Q391" i="1"/>
  <c r="R391" i="1"/>
  <c r="N392" i="1"/>
  <c r="O392" i="1"/>
  <c r="P392" i="1"/>
  <c r="Q392" i="1"/>
  <c r="R392" i="1"/>
  <c r="N393" i="1"/>
  <c r="P393" i="1" s="1"/>
  <c r="O393" i="1"/>
  <c r="Q393" i="1"/>
  <c r="R393" i="1"/>
  <c r="N394" i="1"/>
  <c r="O394" i="1"/>
  <c r="P394" i="1" s="1"/>
  <c r="Q394" i="1"/>
  <c r="R394" i="1"/>
  <c r="N395" i="1"/>
  <c r="O395" i="1"/>
  <c r="P395" i="1" s="1"/>
  <c r="Q395" i="1"/>
  <c r="R395" i="1"/>
  <c r="N396" i="1"/>
  <c r="O396" i="1"/>
  <c r="P396" i="1" s="1"/>
  <c r="Q396" i="1"/>
  <c r="R396" i="1"/>
  <c r="N397" i="1"/>
  <c r="O397" i="1"/>
  <c r="P397" i="1"/>
  <c r="Q397" i="1"/>
  <c r="R397" i="1"/>
  <c r="N398" i="1"/>
  <c r="O398" i="1"/>
  <c r="P398" i="1" s="1"/>
  <c r="Q398" i="1"/>
  <c r="R398" i="1"/>
  <c r="N399" i="1"/>
  <c r="O399" i="1"/>
  <c r="P399" i="1" s="1"/>
  <c r="Q399" i="1"/>
  <c r="R399" i="1"/>
  <c r="N400" i="1"/>
  <c r="O400" i="1"/>
  <c r="P400" i="1" s="1"/>
  <c r="Q400" i="1"/>
  <c r="R400" i="1"/>
  <c r="N401" i="1"/>
  <c r="O401" i="1"/>
  <c r="P401" i="1" s="1"/>
  <c r="Q401" i="1"/>
  <c r="R401" i="1"/>
  <c r="N402" i="1"/>
  <c r="O402" i="1"/>
  <c r="P402" i="1" s="1"/>
  <c r="Q402" i="1"/>
  <c r="R402" i="1"/>
  <c r="N403" i="1"/>
  <c r="O403" i="1"/>
  <c r="P403" i="1" s="1"/>
  <c r="Q403" i="1"/>
  <c r="R403" i="1"/>
  <c r="N404" i="1"/>
  <c r="O404" i="1"/>
  <c r="P404" i="1"/>
  <c r="Q404" i="1"/>
  <c r="R404" i="1"/>
  <c r="N405" i="1"/>
  <c r="O405" i="1"/>
  <c r="P405" i="1"/>
  <c r="Q405" i="1"/>
  <c r="R405" i="1"/>
  <c r="N406" i="1"/>
  <c r="O406" i="1"/>
  <c r="P406" i="1"/>
  <c r="Q406" i="1"/>
  <c r="R406" i="1"/>
  <c r="N407" i="1"/>
  <c r="O407" i="1"/>
  <c r="P407" i="1" s="1"/>
  <c r="Q407" i="1"/>
  <c r="R407" i="1"/>
  <c r="N408" i="1"/>
  <c r="O408" i="1"/>
  <c r="P408" i="1" s="1"/>
  <c r="Q408" i="1"/>
  <c r="R408" i="1"/>
  <c r="N409" i="1"/>
  <c r="O409" i="1"/>
  <c r="P409" i="1" s="1"/>
  <c r="Q409" i="1"/>
  <c r="R409" i="1"/>
  <c r="N410" i="1"/>
  <c r="O410" i="1"/>
  <c r="P410" i="1"/>
  <c r="Q410" i="1"/>
  <c r="R410" i="1"/>
  <c r="N411" i="1"/>
  <c r="O411" i="1"/>
  <c r="P411" i="1"/>
  <c r="Q411" i="1"/>
  <c r="R411" i="1"/>
  <c r="N412" i="1"/>
  <c r="O412" i="1"/>
  <c r="P412" i="1" s="1"/>
  <c r="Q412" i="1"/>
  <c r="R412" i="1"/>
  <c r="N413" i="1"/>
  <c r="P413" i="1" s="1"/>
  <c r="O413" i="1"/>
  <c r="Q413" i="1"/>
  <c r="R413" i="1"/>
  <c r="N414" i="1"/>
  <c r="O414" i="1"/>
  <c r="P414" i="1" s="1"/>
  <c r="Q414" i="1"/>
  <c r="R414" i="1"/>
  <c r="N415" i="1"/>
  <c r="O415" i="1"/>
  <c r="P415" i="1"/>
  <c r="Q415" i="1"/>
  <c r="R415" i="1"/>
  <c r="N416" i="1"/>
  <c r="O416" i="1"/>
  <c r="P416" i="1" s="1"/>
  <c r="Q416" i="1"/>
  <c r="R416" i="1"/>
  <c r="N417" i="1"/>
  <c r="O417" i="1"/>
  <c r="P417" i="1" s="1"/>
  <c r="Q417" i="1"/>
  <c r="R417" i="1"/>
  <c r="N418" i="1"/>
  <c r="O418" i="1"/>
  <c r="P418" i="1" s="1"/>
  <c r="Q418" i="1"/>
  <c r="R418" i="1"/>
  <c r="N419" i="1"/>
  <c r="O419" i="1"/>
  <c r="P419" i="1" s="1"/>
  <c r="Q419" i="1"/>
  <c r="R419" i="1"/>
  <c r="N420" i="1"/>
  <c r="O420" i="1"/>
  <c r="P420" i="1"/>
  <c r="Q420" i="1"/>
  <c r="R420" i="1"/>
  <c r="N421" i="1"/>
  <c r="O421" i="1"/>
  <c r="P421" i="1" s="1"/>
  <c r="Q421" i="1"/>
  <c r="R421" i="1"/>
  <c r="N422" i="1"/>
  <c r="O422" i="1"/>
  <c r="P422" i="1"/>
  <c r="Q422" i="1"/>
  <c r="R422" i="1"/>
  <c r="N423" i="1"/>
  <c r="O423" i="1"/>
  <c r="P423" i="1"/>
  <c r="Q423" i="1"/>
  <c r="R423" i="1"/>
  <c r="N424" i="1"/>
  <c r="O424" i="1"/>
  <c r="P424" i="1"/>
  <c r="Q424" i="1"/>
  <c r="R424" i="1"/>
  <c r="N425" i="1"/>
  <c r="P425" i="1" s="1"/>
  <c r="O425" i="1"/>
  <c r="Q425" i="1"/>
  <c r="R425" i="1"/>
  <c r="N426" i="1"/>
  <c r="O426" i="1"/>
  <c r="P426" i="1" s="1"/>
  <c r="Q426" i="1"/>
  <c r="R426" i="1"/>
  <c r="N427" i="1"/>
  <c r="O427" i="1"/>
  <c r="P427" i="1" s="1"/>
  <c r="Q427" i="1"/>
  <c r="R427" i="1"/>
  <c r="N428" i="1"/>
  <c r="O428" i="1"/>
  <c r="P428" i="1"/>
  <c r="Q428" i="1"/>
  <c r="R428" i="1"/>
  <c r="N429" i="1"/>
  <c r="O429" i="1"/>
  <c r="P429" i="1" s="1"/>
  <c r="Q429" i="1"/>
  <c r="R429" i="1"/>
  <c r="N430" i="1"/>
  <c r="O430" i="1"/>
  <c r="P430" i="1"/>
  <c r="Q430" i="1"/>
  <c r="R430" i="1"/>
  <c r="N431" i="1"/>
  <c r="P431" i="1" s="1"/>
  <c r="O431" i="1"/>
  <c r="Q431" i="1"/>
  <c r="R431" i="1"/>
  <c r="N432" i="1"/>
  <c r="P432" i="1" s="1"/>
  <c r="O432" i="1"/>
  <c r="Q432" i="1"/>
  <c r="R432" i="1"/>
  <c r="N433" i="1"/>
  <c r="O433" i="1"/>
  <c r="P433" i="1" s="1"/>
  <c r="Q433" i="1"/>
  <c r="R433" i="1"/>
  <c r="N434" i="1"/>
  <c r="O434" i="1"/>
  <c r="P434" i="1" s="1"/>
  <c r="Q434" i="1"/>
  <c r="R434" i="1"/>
  <c r="N435" i="1"/>
  <c r="O435" i="1"/>
  <c r="P435" i="1" s="1"/>
  <c r="Q435" i="1"/>
  <c r="R435" i="1"/>
  <c r="N436" i="1"/>
  <c r="O436" i="1"/>
  <c r="P436" i="1" s="1"/>
  <c r="Q436" i="1"/>
  <c r="R436" i="1"/>
  <c r="N437" i="1"/>
  <c r="O437" i="1"/>
  <c r="P437" i="1" s="1"/>
  <c r="Q437" i="1"/>
  <c r="R437" i="1"/>
  <c r="N438" i="1"/>
  <c r="O438" i="1"/>
  <c r="P438" i="1"/>
  <c r="Q438" i="1"/>
  <c r="R438" i="1"/>
  <c r="N439" i="1"/>
  <c r="O439" i="1"/>
  <c r="P439" i="1" s="1"/>
  <c r="Q439" i="1"/>
  <c r="R439" i="1"/>
  <c r="N440" i="1"/>
  <c r="O440" i="1"/>
  <c r="P440" i="1"/>
  <c r="Q440" i="1"/>
  <c r="R440" i="1"/>
  <c r="N441" i="1"/>
  <c r="O441" i="1"/>
  <c r="P441" i="1" s="1"/>
  <c r="Q441" i="1"/>
  <c r="R441" i="1"/>
  <c r="N442" i="1"/>
  <c r="P442" i="1" s="1"/>
  <c r="O442" i="1"/>
  <c r="Q442" i="1"/>
  <c r="R442" i="1"/>
  <c r="N443" i="1"/>
  <c r="O443" i="1"/>
  <c r="P443" i="1"/>
  <c r="Q443" i="1"/>
  <c r="R443" i="1"/>
  <c r="N444" i="1"/>
  <c r="O444" i="1"/>
  <c r="P444" i="1" s="1"/>
  <c r="Q444" i="1"/>
  <c r="R444" i="1"/>
  <c r="N445" i="1"/>
  <c r="O445" i="1"/>
  <c r="P445" i="1"/>
  <c r="Q445" i="1"/>
  <c r="R445" i="1"/>
  <c r="N446" i="1"/>
  <c r="O446" i="1"/>
  <c r="P446" i="1" s="1"/>
  <c r="Q446" i="1"/>
  <c r="R446" i="1"/>
  <c r="N447" i="1"/>
  <c r="O447" i="1"/>
  <c r="P447" i="1"/>
  <c r="Q447" i="1"/>
  <c r="R447" i="1"/>
  <c r="N448" i="1"/>
  <c r="O448" i="1"/>
  <c r="P448" i="1" s="1"/>
  <c r="Q448" i="1"/>
  <c r="R448" i="1"/>
  <c r="N449" i="1"/>
  <c r="O449" i="1"/>
  <c r="P449" i="1" s="1"/>
  <c r="Q449" i="1"/>
  <c r="R449" i="1"/>
  <c r="N450" i="1"/>
  <c r="O450" i="1"/>
  <c r="P450" i="1"/>
  <c r="Q450" i="1"/>
  <c r="R450" i="1"/>
  <c r="N451" i="1"/>
  <c r="O451" i="1"/>
  <c r="P451" i="1" s="1"/>
  <c r="Q451" i="1"/>
  <c r="R451" i="1"/>
  <c r="N452" i="1"/>
  <c r="O452" i="1"/>
  <c r="P452" i="1"/>
  <c r="Q452" i="1"/>
  <c r="R452" i="1"/>
  <c r="N453" i="1"/>
  <c r="O453" i="1"/>
  <c r="P453" i="1" s="1"/>
  <c r="Q453" i="1"/>
  <c r="R453" i="1"/>
  <c r="N454" i="1"/>
  <c r="O454" i="1"/>
  <c r="P454" i="1" s="1"/>
  <c r="Q454" i="1"/>
  <c r="R454" i="1"/>
  <c r="N455" i="1"/>
  <c r="O455" i="1"/>
  <c r="P455" i="1" s="1"/>
  <c r="Q455" i="1"/>
  <c r="R455" i="1"/>
  <c r="N456" i="1"/>
  <c r="O456" i="1"/>
  <c r="P456" i="1"/>
  <c r="Q456" i="1"/>
  <c r="R456" i="1"/>
  <c r="N457" i="1"/>
  <c r="O457" i="1"/>
  <c r="P457" i="1" s="1"/>
  <c r="Q457" i="1"/>
  <c r="R457" i="1"/>
  <c r="N458" i="1"/>
  <c r="O458" i="1"/>
  <c r="P458" i="1" s="1"/>
  <c r="Q458" i="1"/>
  <c r="R458" i="1"/>
  <c r="N459" i="1"/>
  <c r="O459" i="1"/>
  <c r="P459" i="1" s="1"/>
  <c r="Q459" i="1"/>
  <c r="R459" i="1"/>
  <c r="N460" i="1"/>
  <c r="O460" i="1"/>
  <c r="P460" i="1" s="1"/>
  <c r="Q460" i="1"/>
  <c r="R460" i="1"/>
  <c r="N461" i="1"/>
  <c r="O461" i="1"/>
  <c r="P461" i="1" s="1"/>
  <c r="Q461" i="1"/>
  <c r="R461" i="1"/>
  <c r="N462" i="1"/>
  <c r="O462" i="1"/>
  <c r="P462" i="1"/>
  <c r="Q462" i="1"/>
  <c r="R462" i="1"/>
  <c r="N463" i="1"/>
  <c r="O463" i="1"/>
  <c r="P463" i="1"/>
  <c r="Q463" i="1"/>
  <c r="R463" i="1"/>
  <c r="N464" i="1"/>
  <c r="O464" i="1"/>
  <c r="P464" i="1" s="1"/>
  <c r="Q464" i="1"/>
  <c r="R464" i="1"/>
  <c r="N465" i="1"/>
  <c r="O465" i="1"/>
  <c r="P465" i="1" s="1"/>
  <c r="Q465" i="1"/>
  <c r="R465" i="1"/>
  <c r="N466" i="1"/>
  <c r="O466" i="1"/>
  <c r="P466" i="1"/>
  <c r="Q466" i="1"/>
  <c r="R466" i="1"/>
  <c r="N467" i="1"/>
  <c r="O467" i="1"/>
  <c r="P467" i="1"/>
  <c r="Q467" i="1"/>
  <c r="R467" i="1"/>
  <c r="N468" i="1"/>
  <c r="O468" i="1"/>
  <c r="P468" i="1"/>
  <c r="Q468" i="1"/>
  <c r="R468" i="1"/>
  <c r="N469" i="1"/>
  <c r="O469" i="1"/>
  <c r="P469" i="1"/>
  <c r="Q469" i="1"/>
  <c r="R469" i="1"/>
  <c r="N470" i="1"/>
  <c r="O470" i="1"/>
  <c r="P470" i="1"/>
  <c r="Q470" i="1"/>
  <c r="R470" i="1"/>
  <c r="N471" i="1"/>
  <c r="O471" i="1"/>
  <c r="P471" i="1"/>
  <c r="Q471" i="1"/>
  <c r="R471" i="1"/>
  <c r="N472" i="1"/>
  <c r="O472" i="1"/>
  <c r="P472" i="1" s="1"/>
  <c r="Q472" i="1"/>
  <c r="R472" i="1"/>
  <c r="N473" i="1"/>
  <c r="O473" i="1"/>
  <c r="P473" i="1" s="1"/>
  <c r="Q473" i="1"/>
  <c r="R473" i="1"/>
  <c r="N474" i="1"/>
  <c r="O474" i="1"/>
  <c r="P474" i="1"/>
  <c r="Q474" i="1"/>
  <c r="R474" i="1"/>
  <c r="N475" i="1"/>
  <c r="O475" i="1"/>
  <c r="P475" i="1"/>
  <c r="Q475" i="1"/>
  <c r="R475" i="1"/>
  <c r="N476" i="1"/>
  <c r="O476" i="1"/>
  <c r="P476" i="1" s="1"/>
  <c r="Q476" i="1"/>
  <c r="R476" i="1"/>
  <c r="N477" i="1"/>
  <c r="O477" i="1"/>
  <c r="P477" i="1" s="1"/>
  <c r="Q477" i="1"/>
  <c r="R477" i="1"/>
  <c r="N478" i="1"/>
  <c r="P478" i="1" s="1"/>
  <c r="O478" i="1"/>
  <c r="Q478" i="1"/>
  <c r="R478" i="1"/>
  <c r="N479" i="1"/>
  <c r="O479" i="1"/>
  <c r="P479" i="1"/>
  <c r="Q479" i="1"/>
  <c r="R479" i="1"/>
  <c r="N480" i="1"/>
  <c r="O480" i="1"/>
  <c r="P480" i="1" s="1"/>
  <c r="Q480" i="1"/>
  <c r="R480" i="1"/>
  <c r="N481" i="1"/>
  <c r="O481" i="1"/>
  <c r="P481" i="1" s="1"/>
  <c r="Q481" i="1"/>
  <c r="R481" i="1"/>
  <c r="N482" i="1"/>
  <c r="O482" i="1"/>
  <c r="P482" i="1"/>
  <c r="Q482" i="1"/>
  <c r="R482" i="1"/>
  <c r="N483" i="1"/>
  <c r="O483" i="1"/>
  <c r="P483" i="1" s="1"/>
  <c r="Q483" i="1"/>
  <c r="R483" i="1"/>
  <c r="N484" i="1"/>
  <c r="O484" i="1"/>
  <c r="P484" i="1" s="1"/>
  <c r="Q484" i="1"/>
  <c r="R484" i="1"/>
  <c r="N485" i="1"/>
  <c r="O485" i="1"/>
  <c r="P485" i="1" s="1"/>
  <c r="Q485" i="1"/>
  <c r="R485" i="1"/>
  <c r="N486" i="1"/>
  <c r="O486" i="1"/>
  <c r="P486" i="1" s="1"/>
  <c r="Q486" i="1"/>
  <c r="R486" i="1"/>
  <c r="N487" i="1"/>
  <c r="O487" i="1"/>
  <c r="P487" i="1"/>
  <c r="Q487" i="1"/>
  <c r="R487" i="1"/>
  <c r="N488" i="1"/>
  <c r="O488" i="1"/>
  <c r="P488" i="1"/>
  <c r="Q488" i="1"/>
  <c r="R488" i="1"/>
  <c r="N489" i="1"/>
  <c r="O489" i="1"/>
  <c r="P489" i="1" s="1"/>
  <c r="Q489" i="1"/>
  <c r="R489" i="1"/>
  <c r="N490" i="1"/>
  <c r="O490" i="1"/>
  <c r="P490" i="1" s="1"/>
  <c r="Q490" i="1"/>
  <c r="R490" i="1"/>
  <c r="N491" i="1"/>
  <c r="O491" i="1"/>
  <c r="P491" i="1"/>
  <c r="Q491" i="1"/>
  <c r="R491" i="1"/>
  <c r="N492" i="1"/>
  <c r="O492" i="1"/>
  <c r="P492" i="1"/>
  <c r="Q492" i="1"/>
  <c r="R492" i="1"/>
  <c r="N493" i="1"/>
  <c r="O493" i="1"/>
  <c r="P493" i="1" s="1"/>
  <c r="Q493" i="1"/>
  <c r="R493" i="1"/>
  <c r="N494" i="1"/>
  <c r="O494" i="1"/>
  <c r="P494" i="1" s="1"/>
  <c r="Q494" i="1"/>
  <c r="R494" i="1"/>
  <c r="N495" i="1"/>
  <c r="O495" i="1"/>
  <c r="P495" i="1"/>
  <c r="Q495" i="1"/>
  <c r="R495" i="1"/>
  <c r="N496" i="1"/>
  <c r="O496" i="1"/>
  <c r="P496" i="1" s="1"/>
  <c r="Q496" i="1"/>
  <c r="R496" i="1"/>
  <c r="N497" i="1"/>
  <c r="O497" i="1"/>
  <c r="P497" i="1" s="1"/>
  <c r="Q497" i="1"/>
  <c r="R497" i="1"/>
  <c r="N498" i="1"/>
  <c r="O498" i="1"/>
  <c r="P498" i="1" s="1"/>
  <c r="Q498" i="1"/>
  <c r="R498" i="1"/>
  <c r="N499" i="1"/>
  <c r="O499" i="1"/>
  <c r="P499" i="1" s="1"/>
  <c r="Q499" i="1"/>
  <c r="R499" i="1"/>
  <c r="N500" i="1"/>
  <c r="O500" i="1"/>
  <c r="P500" i="1" s="1"/>
  <c r="Q500" i="1"/>
  <c r="R500" i="1"/>
  <c r="N501" i="1"/>
  <c r="O501" i="1"/>
  <c r="P501" i="1" s="1"/>
  <c r="Q501" i="1"/>
  <c r="R501" i="1"/>
  <c r="N502" i="1"/>
  <c r="O502" i="1"/>
  <c r="P502" i="1" s="1"/>
  <c r="Q502" i="1"/>
  <c r="R502" i="1"/>
  <c r="N503" i="1"/>
  <c r="O503" i="1"/>
  <c r="P503" i="1" s="1"/>
  <c r="Q503" i="1"/>
  <c r="R503" i="1"/>
  <c r="N504" i="1"/>
  <c r="O504" i="1"/>
  <c r="P504" i="1"/>
  <c r="Q504" i="1"/>
  <c r="R504" i="1"/>
  <c r="N505" i="1"/>
  <c r="O505" i="1"/>
  <c r="P505" i="1" s="1"/>
  <c r="Q505" i="1"/>
  <c r="R505" i="1"/>
  <c r="N506" i="1"/>
  <c r="O506" i="1"/>
  <c r="P506" i="1" s="1"/>
  <c r="Q506" i="1"/>
  <c r="R506" i="1"/>
  <c r="N507" i="1"/>
  <c r="O507" i="1"/>
  <c r="P507" i="1" s="1"/>
  <c r="Q507" i="1"/>
  <c r="R507" i="1"/>
  <c r="N508" i="1"/>
  <c r="O508" i="1"/>
  <c r="P508" i="1" s="1"/>
  <c r="Q508" i="1"/>
  <c r="R508" i="1"/>
  <c r="N509" i="1"/>
  <c r="O509" i="1"/>
  <c r="P509" i="1"/>
  <c r="Q509" i="1"/>
  <c r="R509" i="1"/>
  <c r="N510" i="1"/>
  <c r="O510" i="1"/>
  <c r="P510" i="1" s="1"/>
  <c r="Q510" i="1"/>
  <c r="R510" i="1"/>
  <c r="N511" i="1"/>
  <c r="O511" i="1"/>
  <c r="P511" i="1" s="1"/>
  <c r="Q511" i="1"/>
  <c r="R511" i="1"/>
  <c r="N512" i="1"/>
  <c r="O512" i="1"/>
  <c r="P512" i="1"/>
  <c r="Q512" i="1"/>
  <c r="R512" i="1"/>
  <c r="N513" i="1"/>
  <c r="O513" i="1"/>
  <c r="P513" i="1" s="1"/>
  <c r="Q513" i="1"/>
  <c r="R513" i="1"/>
  <c r="N514" i="1"/>
  <c r="O514" i="1"/>
  <c r="P514" i="1"/>
  <c r="Q514" i="1"/>
  <c r="R514" i="1"/>
  <c r="N515" i="1"/>
  <c r="O515" i="1"/>
  <c r="P515" i="1" s="1"/>
  <c r="Q515" i="1"/>
  <c r="R515" i="1"/>
  <c r="N516" i="1"/>
  <c r="O516" i="1"/>
  <c r="P516" i="1"/>
  <c r="Q516" i="1"/>
  <c r="R516" i="1"/>
  <c r="N517" i="1"/>
  <c r="P517" i="1" s="1"/>
  <c r="O517" i="1"/>
  <c r="Q517" i="1"/>
  <c r="R517" i="1"/>
  <c r="N518" i="1"/>
  <c r="O518" i="1"/>
  <c r="P518" i="1"/>
  <c r="Q518" i="1"/>
  <c r="R518" i="1"/>
  <c r="N519" i="1"/>
  <c r="P519" i="1" s="1"/>
  <c r="O519" i="1"/>
  <c r="Q519" i="1"/>
  <c r="R519" i="1"/>
  <c r="N520" i="1"/>
  <c r="O520" i="1"/>
  <c r="P520" i="1"/>
  <c r="Q520" i="1"/>
  <c r="R520" i="1"/>
  <c r="N521" i="1"/>
  <c r="O521" i="1"/>
  <c r="P521" i="1" s="1"/>
  <c r="Q521" i="1"/>
  <c r="R521" i="1"/>
  <c r="N522" i="1"/>
  <c r="P522" i="1" s="1"/>
  <c r="O522" i="1"/>
  <c r="Q522" i="1"/>
  <c r="R522" i="1"/>
  <c r="N523" i="1"/>
  <c r="O523" i="1"/>
  <c r="P523" i="1"/>
  <c r="Q523" i="1"/>
  <c r="R523" i="1"/>
  <c r="N524" i="1"/>
  <c r="O524" i="1"/>
  <c r="P524" i="1" s="1"/>
  <c r="Q524" i="1"/>
  <c r="R524" i="1"/>
  <c r="N525" i="1"/>
  <c r="O525" i="1"/>
  <c r="P525" i="1" s="1"/>
  <c r="Q525" i="1"/>
  <c r="R525" i="1"/>
  <c r="N526" i="1"/>
  <c r="O526" i="1"/>
  <c r="P526" i="1" s="1"/>
  <c r="Q526" i="1"/>
  <c r="R526" i="1"/>
  <c r="N527" i="1"/>
  <c r="P527" i="1" s="1"/>
  <c r="O527" i="1"/>
  <c r="Q527" i="1"/>
  <c r="R527" i="1"/>
  <c r="N528" i="1"/>
  <c r="O528" i="1"/>
  <c r="P528" i="1"/>
  <c r="Q528" i="1"/>
  <c r="R528" i="1"/>
  <c r="N529" i="1"/>
  <c r="O529" i="1"/>
  <c r="P529" i="1" s="1"/>
  <c r="Q529" i="1"/>
  <c r="R529" i="1"/>
  <c r="N530" i="1"/>
  <c r="O530" i="1"/>
  <c r="P530" i="1"/>
  <c r="Q530" i="1"/>
  <c r="R530" i="1"/>
  <c r="N531" i="1"/>
  <c r="O531" i="1"/>
  <c r="P531" i="1" s="1"/>
  <c r="Q531" i="1"/>
  <c r="R531" i="1"/>
  <c r="N532" i="1"/>
  <c r="O532" i="1"/>
  <c r="P532" i="1"/>
  <c r="Q532" i="1"/>
  <c r="R532" i="1"/>
  <c r="N533" i="1"/>
  <c r="O533" i="1"/>
  <c r="P533" i="1"/>
  <c r="Q533" i="1"/>
  <c r="R533" i="1"/>
  <c r="N534" i="1"/>
  <c r="O534" i="1"/>
  <c r="P534" i="1" s="1"/>
  <c r="Q534" i="1"/>
  <c r="R534" i="1"/>
  <c r="N535" i="1"/>
  <c r="O535" i="1"/>
  <c r="P535" i="1" s="1"/>
  <c r="Q535" i="1"/>
  <c r="R535" i="1"/>
  <c r="N536" i="1"/>
  <c r="O536" i="1"/>
  <c r="P536" i="1"/>
  <c r="Q536" i="1"/>
  <c r="R536" i="1"/>
  <c r="N537" i="1"/>
  <c r="O537" i="1"/>
  <c r="P537" i="1" s="1"/>
  <c r="Q537" i="1"/>
  <c r="R537" i="1"/>
  <c r="N538" i="1"/>
  <c r="O538" i="1"/>
  <c r="P538" i="1" s="1"/>
  <c r="Q538" i="1"/>
  <c r="R538" i="1"/>
  <c r="N539" i="1"/>
  <c r="O539" i="1"/>
  <c r="P539" i="1" s="1"/>
  <c r="Q539" i="1"/>
  <c r="R539" i="1"/>
  <c r="N540" i="1"/>
  <c r="O540" i="1"/>
  <c r="P540" i="1" s="1"/>
  <c r="Q540" i="1"/>
  <c r="R540" i="1"/>
  <c r="N541" i="1"/>
  <c r="O541" i="1"/>
  <c r="P541" i="1" s="1"/>
  <c r="Q541" i="1"/>
  <c r="R541" i="1"/>
  <c r="N542" i="1"/>
  <c r="O542" i="1"/>
  <c r="P542" i="1"/>
  <c r="Q542" i="1"/>
  <c r="R542" i="1"/>
  <c r="N543" i="1"/>
  <c r="O543" i="1"/>
  <c r="P543" i="1"/>
  <c r="Q543" i="1"/>
  <c r="R543" i="1"/>
  <c r="N544" i="1"/>
  <c r="O544" i="1"/>
  <c r="P544" i="1" s="1"/>
  <c r="Q544" i="1"/>
  <c r="R544" i="1"/>
  <c r="N545" i="1"/>
  <c r="O545" i="1"/>
  <c r="P545" i="1" s="1"/>
  <c r="Q545" i="1"/>
  <c r="R545" i="1"/>
  <c r="N546" i="1"/>
  <c r="O546" i="1"/>
  <c r="P546" i="1"/>
  <c r="Q546" i="1"/>
  <c r="R546" i="1"/>
  <c r="N547" i="1"/>
  <c r="O547" i="1"/>
  <c r="P547" i="1"/>
  <c r="Q547" i="1"/>
  <c r="R547" i="1"/>
  <c r="N548" i="1"/>
  <c r="O548" i="1"/>
  <c r="P548" i="1"/>
  <c r="Q548" i="1"/>
  <c r="R548" i="1"/>
  <c r="N549" i="1"/>
  <c r="O549" i="1"/>
  <c r="P549" i="1" s="1"/>
  <c r="Q549" i="1"/>
  <c r="R549" i="1"/>
  <c r="N550" i="1"/>
  <c r="O550" i="1"/>
  <c r="P550" i="1"/>
  <c r="Q550" i="1"/>
  <c r="R550" i="1"/>
  <c r="N551" i="1"/>
  <c r="O551" i="1"/>
  <c r="P551" i="1"/>
  <c r="Q551" i="1"/>
  <c r="R551" i="1"/>
  <c r="N552" i="1"/>
  <c r="O552" i="1"/>
  <c r="P552" i="1" s="1"/>
  <c r="Q552" i="1"/>
  <c r="R552" i="1"/>
  <c r="N553" i="1"/>
  <c r="O553" i="1"/>
  <c r="P553" i="1" s="1"/>
  <c r="Q553" i="1"/>
  <c r="R553" i="1"/>
  <c r="N554" i="1"/>
  <c r="O554" i="1"/>
  <c r="P554" i="1" s="1"/>
  <c r="Q554" i="1"/>
  <c r="R554" i="1"/>
  <c r="N555" i="1"/>
  <c r="O555" i="1"/>
  <c r="P555" i="1" s="1"/>
  <c r="Q555" i="1"/>
  <c r="R555" i="1"/>
  <c r="N556" i="1"/>
  <c r="O556" i="1"/>
  <c r="P556" i="1" s="1"/>
  <c r="Q556" i="1"/>
  <c r="R556" i="1"/>
  <c r="N557" i="1"/>
  <c r="P557" i="1" s="1"/>
  <c r="O557" i="1"/>
  <c r="Q557" i="1"/>
  <c r="R557" i="1"/>
  <c r="N558" i="1"/>
  <c r="O558" i="1"/>
  <c r="P558" i="1"/>
  <c r="Q558" i="1"/>
  <c r="R558" i="1"/>
  <c r="N559" i="1"/>
  <c r="O559" i="1"/>
  <c r="P559" i="1"/>
  <c r="Q559" i="1"/>
  <c r="R559" i="1"/>
  <c r="N560" i="1"/>
  <c r="O560" i="1"/>
  <c r="P560" i="1" s="1"/>
  <c r="Q560" i="1"/>
  <c r="R560" i="1"/>
  <c r="N561" i="1"/>
  <c r="P561" i="1" s="1"/>
  <c r="O561" i="1"/>
  <c r="Q561" i="1"/>
  <c r="R561" i="1"/>
  <c r="N562" i="1"/>
  <c r="O562" i="1"/>
  <c r="P562" i="1" s="1"/>
  <c r="Q562" i="1"/>
  <c r="R562" i="1"/>
  <c r="N563" i="1"/>
  <c r="O563" i="1"/>
  <c r="P563" i="1" s="1"/>
  <c r="Q563" i="1"/>
  <c r="R563" i="1"/>
  <c r="N564" i="1"/>
  <c r="O564" i="1"/>
  <c r="P564" i="1" s="1"/>
  <c r="Q564" i="1"/>
  <c r="R564" i="1"/>
  <c r="N565" i="1"/>
  <c r="O565" i="1"/>
  <c r="P565" i="1" s="1"/>
  <c r="Q565" i="1"/>
  <c r="R565" i="1"/>
  <c r="N566" i="1"/>
  <c r="O566" i="1"/>
  <c r="P566" i="1" s="1"/>
  <c r="Q566" i="1"/>
  <c r="R566" i="1"/>
  <c r="N567" i="1"/>
  <c r="O567" i="1"/>
  <c r="P567" i="1" s="1"/>
  <c r="Q567" i="1"/>
  <c r="R567" i="1"/>
  <c r="N568" i="1"/>
  <c r="O568" i="1"/>
  <c r="P568" i="1"/>
  <c r="Q568" i="1"/>
  <c r="R568" i="1"/>
  <c r="N569" i="1"/>
  <c r="O569" i="1"/>
  <c r="P569" i="1" s="1"/>
  <c r="Q569" i="1"/>
  <c r="R569" i="1"/>
  <c r="N570" i="1"/>
  <c r="O570" i="1"/>
  <c r="P570" i="1" s="1"/>
  <c r="Q570" i="1"/>
  <c r="R570" i="1"/>
  <c r="N571" i="1"/>
  <c r="O571" i="1"/>
  <c r="P571" i="1"/>
  <c r="Q571" i="1"/>
  <c r="R571" i="1"/>
  <c r="N572" i="1"/>
  <c r="O572" i="1"/>
  <c r="P572" i="1" s="1"/>
  <c r="Q572" i="1"/>
  <c r="R572" i="1"/>
  <c r="N573" i="1"/>
  <c r="O573" i="1"/>
  <c r="P573" i="1" s="1"/>
  <c r="Q573" i="1"/>
  <c r="R573" i="1"/>
  <c r="N574" i="1"/>
  <c r="O574" i="1"/>
  <c r="P574" i="1" s="1"/>
  <c r="Q574" i="1"/>
  <c r="R574" i="1"/>
  <c r="N575" i="1"/>
  <c r="O575" i="1"/>
  <c r="P575" i="1" s="1"/>
  <c r="Q575" i="1"/>
  <c r="R575" i="1"/>
  <c r="N576" i="1"/>
  <c r="O576" i="1"/>
  <c r="P576" i="1" s="1"/>
  <c r="Q576" i="1"/>
  <c r="R576" i="1"/>
  <c r="N577" i="1"/>
  <c r="O577" i="1"/>
  <c r="P577" i="1" s="1"/>
  <c r="Q577" i="1"/>
  <c r="R577" i="1"/>
  <c r="N578" i="1"/>
  <c r="O578" i="1"/>
  <c r="P578" i="1" s="1"/>
  <c r="Q578" i="1"/>
  <c r="R578" i="1"/>
  <c r="N579" i="1"/>
  <c r="O579" i="1"/>
  <c r="P579" i="1"/>
  <c r="Q579" i="1"/>
  <c r="R579" i="1"/>
  <c r="N580" i="1"/>
  <c r="O580" i="1"/>
  <c r="P580" i="1" s="1"/>
  <c r="Q580" i="1"/>
  <c r="R580" i="1"/>
  <c r="N581" i="1"/>
  <c r="O581" i="1"/>
  <c r="P581" i="1" s="1"/>
  <c r="Q581" i="1"/>
  <c r="R581" i="1"/>
  <c r="N582" i="1"/>
  <c r="O582" i="1"/>
  <c r="P582" i="1"/>
  <c r="Q582" i="1"/>
  <c r="R582" i="1"/>
  <c r="N583" i="1"/>
  <c r="P583" i="1" s="1"/>
  <c r="O583" i="1"/>
  <c r="Q583" i="1"/>
  <c r="R583" i="1"/>
  <c r="N584" i="1"/>
  <c r="O584" i="1"/>
  <c r="P584" i="1"/>
  <c r="Q584" i="1"/>
  <c r="R584" i="1"/>
  <c r="N585" i="1"/>
  <c r="O585" i="1"/>
  <c r="P585" i="1" s="1"/>
  <c r="Q585" i="1"/>
  <c r="R585" i="1"/>
  <c r="N586" i="1"/>
  <c r="O586" i="1"/>
  <c r="P586" i="1" s="1"/>
  <c r="Q586" i="1"/>
  <c r="R586" i="1"/>
  <c r="N587" i="1"/>
  <c r="O587" i="1"/>
  <c r="P587" i="1"/>
  <c r="Q587" i="1"/>
  <c r="R587" i="1"/>
  <c r="N588" i="1"/>
  <c r="O588" i="1"/>
  <c r="P588" i="1" s="1"/>
  <c r="Q588" i="1"/>
  <c r="R588" i="1"/>
  <c r="N589" i="1"/>
  <c r="O589" i="1"/>
  <c r="P589" i="1"/>
  <c r="Q589" i="1"/>
  <c r="R589" i="1"/>
  <c r="N590" i="1"/>
  <c r="O590" i="1"/>
  <c r="P590" i="1" s="1"/>
  <c r="Q590" i="1"/>
  <c r="R590" i="1"/>
  <c r="N591" i="1"/>
  <c r="O591" i="1"/>
  <c r="P591" i="1"/>
  <c r="Q591" i="1"/>
  <c r="R591" i="1"/>
  <c r="N592" i="1"/>
  <c r="O592" i="1"/>
  <c r="P592" i="1"/>
  <c r="Q592" i="1"/>
  <c r="R592" i="1"/>
  <c r="N593" i="1"/>
  <c r="O593" i="1"/>
  <c r="P593" i="1" s="1"/>
  <c r="Q593" i="1"/>
  <c r="R593" i="1"/>
  <c r="N594" i="1"/>
  <c r="O594" i="1"/>
  <c r="P594" i="1" s="1"/>
  <c r="Q594" i="1"/>
  <c r="R594" i="1"/>
  <c r="N595" i="1"/>
  <c r="O595" i="1"/>
  <c r="P595" i="1"/>
  <c r="Q595" i="1"/>
  <c r="R595" i="1"/>
  <c r="N596" i="1"/>
  <c r="O596" i="1"/>
  <c r="P596" i="1"/>
  <c r="Q596" i="1"/>
  <c r="R596" i="1"/>
  <c r="N597" i="1"/>
  <c r="O597" i="1"/>
  <c r="P597" i="1" s="1"/>
  <c r="Q597" i="1"/>
  <c r="R597" i="1"/>
  <c r="N598" i="1"/>
  <c r="O598" i="1"/>
  <c r="P598" i="1" s="1"/>
  <c r="Q598" i="1"/>
  <c r="R598" i="1"/>
  <c r="N599" i="1"/>
  <c r="O599" i="1"/>
  <c r="P599" i="1" s="1"/>
  <c r="Q599" i="1"/>
  <c r="R599" i="1"/>
  <c r="N600" i="1"/>
  <c r="O600" i="1"/>
  <c r="P600" i="1"/>
  <c r="Q600" i="1"/>
  <c r="R600" i="1"/>
  <c r="N601" i="1"/>
  <c r="O601" i="1"/>
  <c r="P601" i="1" s="1"/>
  <c r="Q601" i="1"/>
  <c r="R601" i="1"/>
  <c r="N602" i="1"/>
  <c r="O602" i="1"/>
  <c r="P602" i="1" s="1"/>
  <c r="Q602" i="1"/>
  <c r="R602" i="1"/>
  <c r="N603" i="1"/>
  <c r="O603" i="1"/>
  <c r="P603" i="1" s="1"/>
  <c r="Q603" i="1"/>
  <c r="R603" i="1"/>
  <c r="N604" i="1"/>
  <c r="O604" i="1"/>
  <c r="P604" i="1" s="1"/>
  <c r="Q604" i="1"/>
  <c r="R604" i="1"/>
  <c r="N605" i="1"/>
  <c r="O605" i="1"/>
  <c r="P605" i="1"/>
  <c r="Q605" i="1"/>
  <c r="R605" i="1"/>
  <c r="N606" i="1"/>
  <c r="P606" i="1" s="1"/>
  <c r="O606" i="1"/>
  <c r="Q606" i="1"/>
  <c r="R606" i="1"/>
  <c r="N607" i="1"/>
  <c r="O607" i="1"/>
  <c r="P607" i="1"/>
  <c r="Q607" i="1"/>
  <c r="R607" i="1"/>
  <c r="N608" i="1"/>
  <c r="O608" i="1"/>
  <c r="P608" i="1" s="1"/>
  <c r="Q608" i="1"/>
  <c r="R608" i="1"/>
  <c r="N609" i="1"/>
  <c r="O609" i="1"/>
  <c r="P609" i="1" s="1"/>
  <c r="Q609" i="1"/>
  <c r="R609" i="1"/>
  <c r="N610" i="1"/>
  <c r="O610" i="1"/>
  <c r="P610" i="1"/>
  <c r="Q610" i="1"/>
  <c r="R610" i="1"/>
  <c r="N611" i="1"/>
  <c r="O611" i="1"/>
  <c r="P611" i="1" s="1"/>
  <c r="Q611" i="1"/>
  <c r="R611" i="1"/>
  <c r="N612" i="1"/>
  <c r="O612" i="1"/>
  <c r="P612" i="1" s="1"/>
  <c r="Q612" i="1"/>
  <c r="R612" i="1"/>
  <c r="N613" i="1"/>
  <c r="O613" i="1"/>
  <c r="P613" i="1" s="1"/>
  <c r="Q613" i="1"/>
  <c r="R613" i="1"/>
  <c r="N614" i="1"/>
  <c r="O614" i="1"/>
  <c r="P614" i="1"/>
  <c r="Q614" i="1"/>
  <c r="R614" i="1"/>
  <c r="N615" i="1"/>
  <c r="O615" i="1"/>
  <c r="P615" i="1" s="1"/>
  <c r="Q615" i="1"/>
  <c r="R615" i="1"/>
  <c r="N616" i="1"/>
  <c r="O616" i="1"/>
  <c r="P616" i="1"/>
  <c r="Q616" i="1"/>
  <c r="R616" i="1"/>
  <c r="N617" i="1"/>
  <c r="O617" i="1"/>
  <c r="P617" i="1" s="1"/>
  <c r="Q617" i="1"/>
  <c r="R617" i="1"/>
  <c r="N618" i="1"/>
  <c r="O618" i="1"/>
  <c r="P618" i="1" s="1"/>
  <c r="Q618" i="1"/>
  <c r="R618" i="1"/>
  <c r="N619" i="1"/>
  <c r="O619" i="1"/>
  <c r="P619" i="1"/>
  <c r="Q619" i="1"/>
  <c r="R619" i="1"/>
  <c r="N620" i="1"/>
  <c r="O620" i="1"/>
  <c r="P620" i="1" s="1"/>
  <c r="Q620" i="1"/>
  <c r="R620" i="1"/>
  <c r="N621" i="1"/>
  <c r="P621" i="1" s="1"/>
  <c r="O621" i="1"/>
  <c r="Q621" i="1"/>
  <c r="R621" i="1"/>
  <c r="N622" i="1"/>
  <c r="O622" i="1"/>
  <c r="P622" i="1" s="1"/>
  <c r="Q622" i="1"/>
  <c r="R622" i="1"/>
  <c r="N623" i="1"/>
  <c r="O623" i="1"/>
  <c r="P623" i="1"/>
  <c r="Q623" i="1"/>
  <c r="R623" i="1"/>
  <c r="N624" i="1"/>
  <c r="O624" i="1"/>
  <c r="P624" i="1" s="1"/>
  <c r="Q624" i="1"/>
  <c r="R624" i="1"/>
  <c r="N625" i="1"/>
  <c r="O625" i="1"/>
  <c r="P625" i="1" s="1"/>
  <c r="Q625" i="1"/>
  <c r="R625" i="1"/>
  <c r="N626" i="1"/>
  <c r="P626" i="1" s="1"/>
  <c r="O626" i="1"/>
  <c r="Q626" i="1"/>
  <c r="R626" i="1"/>
  <c r="N627" i="1"/>
  <c r="P627" i="1" s="1"/>
  <c r="O627" i="1"/>
  <c r="Q627" i="1"/>
  <c r="R627" i="1"/>
  <c r="N628" i="1"/>
  <c r="O628" i="1"/>
  <c r="P628" i="1" s="1"/>
  <c r="Q628" i="1"/>
  <c r="R628" i="1"/>
  <c r="N629" i="1"/>
  <c r="O629" i="1"/>
  <c r="P629" i="1" s="1"/>
  <c r="Q629" i="1"/>
  <c r="R629" i="1"/>
  <c r="N630" i="1"/>
  <c r="O630" i="1"/>
  <c r="P630" i="1" s="1"/>
  <c r="Q630" i="1"/>
  <c r="R630" i="1"/>
  <c r="N631" i="1"/>
  <c r="O631" i="1"/>
  <c r="P631" i="1" s="1"/>
  <c r="Q631" i="1"/>
  <c r="R631" i="1"/>
  <c r="N632" i="1"/>
  <c r="O632" i="1"/>
  <c r="P632" i="1"/>
  <c r="Q632" i="1"/>
  <c r="R632" i="1"/>
  <c r="N633" i="1"/>
  <c r="O633" i="1"/>
  <c r="P633" i="1" s="1"/>
  <c r="Q633" i="1"/>
  <c r="R633" i="1"/>
  <c r="N634" i="1"/>
  <c r="O634" i="1"/>
  <c r="P634" i="1" s="1"/>
  <c r="Q634" i="1"/>
  <c r="R634" i="1"/>
  <c r="N635" i="1"/>
  <c r="O635" i="1"/>
  <c r="P635" i="1"/>
  <c r="Q635" i="1"/>
  <c r="R635" i="1"/>
  <c r="N636" i="1"/>
  <c r="O636" i="1"/>
  <c r="P636" i="1" s="1"/>
  <c r="Q636" i="1"/>
  <c r="R636" i="1"/>
  <c r="N637" i="1"/>
  <c r="O637" i="1"/>
  <c r="P637" i="1" s="1"/>
  <c r="Q637" i="1"/>
  <c r="R637" i="1"/>
  <c r="N638" i="1"/>
  <c r="O638" i="1"/>
  <c r="P638" i="1"/>
  <c r="Q638" i="1"/>
  <c r="R638" i="1"/>
  <c r="N639" i="1"/>
  <c r="O639" i="1"/>
  <c r="P639" i="1" s="1"/>
  <c r="Q639" i="1"/>
  <c r="R639" i="1"/>
  <c r="N640" i="1"/>
  <c r="P640" i="1" s="1"/>
  <c r="O640" i="1"/>
  <c r="Q640" i="1"/>
  <c r="R640" i="1"/>
  <c r="N641" i="1"/>
  <c r="O641" i="1"/>
  <c r="P641" i="1" s="1"/>
  <c r="Q641" i="1"/>
  <c r="R641" i="1"/>
  <c r="N642" i="1"/>
  <c r="O642" i="1"/>
  <c r="P642" i="1" s="1"/>
  <c r="Q642" i="1"/>
  <c r="R642" i="1"/>
  <c r="N643" i="1"/>
  <c r="O643" i="1"/>
  <c r="P643" i="1" s="1"/>
  <c r="Q643" i="1"/>
  <c r="R643" i="1"/>
  <c r="N644" i="1"/>
  <c r="P644" i="1" s="1"/>
  <c r="O644" i="1"/>
  <c r="Q644" i="1"/>
  <c r="R644" i="1"/>
  <c r="N645" i="1"/>
  <c r="P645" i="1" s="1"/>
  <c r="O645" i="1"/>
  <c r="Q645" i="1"/>
  <c r="R645" i="1"/>
  <c r="N646" i="1"/>
  <c r="P646" i="1" s="1"/>
  <c r="O646" i="1"/>
  <c r="Q646" i="1"/>
  <c r="R646" i="1"/>
  <c r="N647" i="1"/>
  <c r="P647" i="1" s="1"/>
  <c r="O647" i="1"/>
  <c r="Q647" i="1"/>
  <c r="R647" i="1"/>
  <c r="N648" i="1"/>
  <c r="O648" i="1"/>
  <c r="P648" i="1"/>
  <c r="Q648" i="1"/>
  <c r="R648" i="1"/>
  <c r="N649" i="1"/>
  <c r="O649" i="1"/>
  <c r="P649" i="1" s="1"/>
  <c r="Q649" i="1"/>
  <c r="R649" i="1"/>
  <c r="N650" i="1"/>
  <c r="O650" i="1"/>
  <c r="P650" i="1" s="1"/>
  <c r="Q650" i="1"/>
  <c r="R650" i="1"/>
  <c r="N651" i="1"/>
  <c r="O651" i="1"/>
  <c r="P651" i="1"/>
  <c r="Q651" i="1"/>
  <c r="R651" i="1"/>
  <c r="N652" i="1"/>
  <c r="P652" i="1" s="1"/>
  <c r="O652" i="1"/>
  <c r="Q652" i="1"/>
  <c r="R652" i="1"/>
  <c r="N653" i="1"/>
  <c r="O653" i="1"/>
  <c r="P653" i="1"/>
  <c r="Q653" i="1"/>
  <c r="R653" i="1"/>
  <c r="N654" i="1"/>
  <c r="P654" i="1" s="1"/>
  <c r="O654" i="1"/>
  <c r="Q654" i="1"/>
  <c r="R654" i="1"/>
  <c r="N655" i="1"/>
  <c r="P655" i="1" s="1"/>
  <c r="O655" i="1"/>
  <c r="Q655" i="1"/>
  <c r="R655" i="1"/>
  <c r="N656" i="1"/>
  <c r="O656" i="1"/>
  <c r="P656" i="1"/>
  <c r="Q656" i="1"/>
  <c r="R656" i="1"/>
  <c r="N657" i="1"/>
  <c r="O657" i="1"/>
  <c r="P657" i="1" s="1"/>
  <c r="Q657" i="1"/>
  <c r="R657" i="1"/>
  <c r="N658" i="1"/>
  <c r="O658" i="1"/>
  <c r="P658" i="1" s="1"/>
  <c r="Q658" i="1"/>
  <c r="R658" i="1"/>
  <c r="N659" i="1"/>
  <c r="O659" i="1"/>
  <c r="P659" i="1" s="1"/>
  <c r="Q659" i="1"/>
  <c r="R659" i="1"/>
  <c r="N660" i="1"/>
  <c r="O660" i="1"/>
  <c r="P660" i="1" s="1"/>
  <c r="Q660" i="1"/>
  <c r="R660" i="1"/>
  <c r="N661" i="1"/>
  <c r="O661" i="1"/>
  <c r="P661" i="1"/>
  <c r="Q661" i="1"/>
  <c r="R661" i="1"/>
  <c r="N662" i="1"/>
  <c r="P662" i="1" s="1"/>
  <c r="O662" i="1"/>
  <c r="Q662" i="1"/>
  <c r="R662" i="1"/>
  <c r="N663" i="1"/>
  <c r="O663" i="1"/>
  <c r="P663" i="1"/>
  <c r="Q663" i="1"/>
  <c r="R663" i="1"/>
  <c r="N664" i="1"/>
  <c r="O664" i="1"/>
  <c r="P664" i="1"/>
  <c r="Q664" i="1"/>
  <c r="R664" i="1"/>
  <c r="N665" i="1"/>
  <c r="O665" i="1"/>
  <c r="P665" i="1" s="1"/>
  <c r="Q665" i="1"/>
  <c r="R665" i="1"/>
  <c r="N666" i="1"/>
  <c r="O666" i="1"/>
  <c r="P666" i="1"/>
  <c r="Q666" i="1"/>
  <c r="R666" i="1"/>
  <c r="N667" i="1"/>
  <c r="O667" i="1"/>
  <c r="P667" i="1"/>
  <c r="Q667" i="1"/>
  <c r="R667" i="1"/>
  <c r="N668" i="1"/>
  <c r="O668" i="1"/>
  <c r="P668" i="1" s="1"/>
  <c r="Q668" i="1"/>
  <c r="R668" i="1"/>
  <c r="N669" i="1"/>
  <c r="O669" i="1"/>
  <c r="P669" i="1" s="1"/>
  <c r="Q669" i="1"/>
  <c r="R669" i="1"/>
  <c r="N670" i="1"/>
  <c r="O670" i="1"/>
  <c r="P670" i="1" s="1"/>
  <c r="Q670" i="1"/>
  <c r="R670" i="1"/>
  <c r="N671" i="1"/>
  <c r="O671" i="1"/>
  <c r="P671" i="1" s="1"/>
  <c r="Q671" i="1"/>
  <c r="R671" i="1"/>
  <c r="N672" i="1"/>
  <c r="P672" i="1" s="1"/>
  <c r="O672" i="1"/>
  <c r="Q672" i="1"/>
  <c r="R672" i="1"/>
  <c r="N673" i="1"/>
  <c r="O673" i="1"/>
  <c r="P673" i="1" s="1"/>
  <c r="Q673" i="1"/>
  <c r="R673" i="1"/>
  <c r="N674" i="1"/>
  <c r="O674" i="1"/>
  <c r="P674" i="1" s="1"/>
  <c r="Q674" i="1"/>
  <c r="R674" i="1"/>
  <c r="N675" i="1"/>
  <c r="O675" i="1"/>
  <c r="P675" i="1"/>
  <c r="Q675" i="1"/>
  <c r="R675" i="1"/>
  <c r="N676" i="1"/>
  <c r="O676" i="1"/>
  <c r="P676" i="1" s="1"/>
  <c r="Q676" i="1"/>
  <c r="R676" i="1"/>
  <c r="N677" i="1"/>
  <c r="O677" i="1"/>
  <c r="P677" i="1" s="1"/>
  <c r="Q677" i="1"/>
  <c r="R677" i="1"/>
  <c r="N678" i="1"/>
  <c r="O678" i="1"/>
  <c r="P678" i="1"/>
  <c r="Q678" i="1"/>
  <c r="R678" i="1"/>
  <c r="N679" i="1"/>
  <c r="O679" i="1"/>
  <c r="P679" i="1"/>
  <c r="Q679" i="1"/>
  <c r="R679" i="1"/>
  <c r="N680" i="1"/>
  <c r="O680" i="1"/>
  <c r="P680" i="1"/>
  <c r="Q680" i="1"/>
  <c r="R680" i="1"/>
  <c r="N681" i="1"/>
  <c r="O681" i="1"/>
  <c r="P681" i="1" s="1"/>
  <c r="Q681" i="1"/>
  <c r="R681" i="1"/>
  <c r="N682" i="1"/>
  <c r="O682" i="1"/>
  <c r="P682" i="1" s="1"/>
  <c r="Q682" i="1"/>
  <c r="R682" i="1"/>
  <c r="N683" i="1"/>
  <c r="O683" i="1"/>
  <c r="P683" i="1" s="1"/>
  <c r="Q683" i="1"/>
  <c r="R683" i="1"/>
  <c r="N684" i="1"/>
  <c r="O684" i="1"/>
  <c r="P684" i="1"/>
  <c r="Q684" i="1"/>
  <c r="R684" i="1"/>
  <c r="N685" i="1"/>
  <c r="O685" i="1"/>
  <c r="P685" i="1"/>
  <c r="Q685" i="1"/>
  <c r="R685" i="1"/>
  <c r="N686" i="1"/>
  <c r="O686" i="1"/>
  <c r="P686" i="1" s="1"/>
  <c r="Q686" i="1"/>
  <c r="R686" i="1"/>
  <c r="N687" i="1"/>
  <c r="O687" i="1"/>
  <c r="P687" i="1" s="1"/>
  <c r="Q687" i="1"/>
  <c r="R687" i="1"/>
  <c r="N688" i="1"/>
  <c r="O688" i="1"/>
  <c r="P688" i="1" s="1"/>
  <c r="Q688" i="1"/>
  <c r="R688" i="1"/>
  <c r="N689" i="1"/>
  <c r="O689" i="1"/>
  <c r="P689" i="1" s="1"/>
  <c r="Q689" i="1"/>
  <c r="R689" i="1"/>
  <c r="N690" i="1"/>
  <c r="O690" i="1"/>
  <c r="P690" i="1" s="1"/>
  <c r="Q690" i="1"/>
  <c r="R690" i="1"/>
  <c r="N691" i="1"/>
  <c r="O691" i="1"/>
  <c r="P691" i="1" s="1"/>
  <c r="Q691" i="1"/>
  <c r="R691" i="1"/>
  <c r="N692" i="1"/>
  <c r="O692" i="1"/>
  <c r="P692" i="1"/>
  <c r="Q692" i="1"/>
  <c r="R692" i="1"/>
  <c r="N693" i="1"/>
  <c r="O693" i="1"/>
  <c r="P693" i="1" s="1"/>
  <c r="Q693" i="1"/>
  <c r="R693" i="1"/>
  <c r="N694" i="1"/>
  <c r="O694" i="1"/>
  <c r="P694" i="1" s="1"/>
  <c r="Q694" i="1"/>
  <c r="R694" i="1"/>
  <c r="N695" i="1"/>
  <c r="O695" i="1"/>
  <c r="P695" i="1" s="1"/>
  <c r="Q695" i="1"/>
  <c r="R695" i="1"/>
  <c r="N696" i="1"/>
  <c r="O696" i="1"/>
  <c r="P696" i="1"/>
  <c r="Q696" i="1"/>
  <c r="R696" i="1"/>
  <c r="N697" i="1"/>
  <c r="O697" i="1"/>
  <c r="P697" i="1" s="1"/>
  <c r="Q697" i="1"/>
  <c r="R697" i="1"/>
  <c r="N698" i="1"/>
  <c r="O698" i="1"/>
  <c r="P698" i="1" s="1"/>
  <c r="Q698" i="1"/>
  <c r="R698" i="1"/>
  <c r="N699" i="1"/>
  <c r="O699" i="1"/>
  <c r="P699" i="1" s="1"/>
  <c r="Q699" i="1"/>
  <c r="R699" i="1"/>
  <c r="N700" i="1"/>
  <c r="P700" i="1" s="1"/>
  <c r="O700" i="1"/>
  <c r="Q700" i="1"/>
  <c r="R700" i="1"/>
  <c r="N701" i="1"/>
  <c r="P701" i="1" s="1"/>
  <c r="O701" i="1"/>
  <c r="Q701" i="1"/>
  <c r="R701" i="1"/>
  <c r="N702" i="1"/>
  <c r="O702" i="1"/>
  <c r="P702" i="1"/>
  <c r="Q702" i="1"/>
  <c r="R702" i="1"/>
  <c r="N703" i="1"/>
  <c r="O703" i="1"/>
  <c r="P703" i="1"/>
  <c r="Q703" i="1"/>
  <c r="R703" i="1"/>
  <c r="N704" i="1"/>
  <c r="O704" i="1"/>
  <c r="P704" i="1" s="1"/>
  <c r="Q704" i="1"/>
  <c r="R704" i="1"/>
  <c r="N705" i="1"/>
  <c r="O705" i="1"/>
  <c r="P705" i="1" s="1"/>
  <c r="Q705" i="1"/>
  <c r="R705" i="1"/>
  <c r="N706" i="1"/>
  <c r="P706" i="1" s="1"/>
  <c r="O706" i="1"/>
  <c r="Q706" i="1"/>
  <c r="R706" i="1"/>
  <c r="N707" i="1"/>
  <c r="O707" i="1"/>
  <c r="P707" i="1"/>
  <c r="Q707" i="1"/>
  <c r="R707" i="1"/>
  <c r="N708" i="1"/>
  <c r="O708" i="1"/>
  <c r="P708" i="1"/>
  <c r="Q708" i="1"/>
  <c r="R708" i="1"/>
  <c r="N709" i="1"/>
  <c r="O709" i="1"/>
  <c r="P709" i="1" s="1"/>
  <c r="Q709" i="1"/>
  <c r="R709" i="1"/>
  <c r="N710" i="1"/>
  <c r="O710" i="1"/>
  <c r="P710" i="1" s="1"/>
  <c r="Q710" i="1"/>
  <c r="R710" i="1"/>
  <c r="N711" i="1"/>
  <c r="O711" i="1"/>
  <c r="P711" i="1" s="1"/>
  <c r="Q711" i="1"/>
  <c r="R711" i="1"/>
  <c r="N712" i="1"/>
  <c r="O712" i="1"/>
  <c r="P712" i="1"/>
  <c r="Q712" i="1"/>
  <c r="R712" i="1"/>
  <c r="N713" i="1"/>
  <c r="O713" i="1"/>
  <c r="P713" i="1" s="1"/>
  <c r="Q713" i="1"/>
  <c r="R713" i="1"/>
  <c r="N714" i="1"/>
  <c r="O714" i="1"/>
  <c r="P714" i="1" s="1"/>
  <c r="Q714" i="1"/>
  <c r="R714" i="1"/>
  <c r="N715" i="1"/>
  <c r="O715" i="1"/>
  <c r="P715" i="1" s="1"/>
  <c r="Q715" i="1"/>
  <c r="R715" i="1"/>
  <c r="N716" i="1"/>
  <c r="O716" i="1"/>
  <c r="P716" i="1" s="1"/>
  <c r="Q716" i="1"/>
  <c r="R716" i="1"/>
  <c r="N717" i="1"/>
  <c r="O717" i="1"/>
  <c r="P717" i="1" s="1"/>
  <c r="Q717" i="1"/>
  <c r="R717" i="1"/>
  <c r="N718" i="1"/>
  <c r="O718" i="1"/>
  <c r="P718" i="1" s="1"/>
  <c r="Q718" i="1"/>
  <c r="R718" i="1"/>
  <c r="N719" i="1"/>
  <c r="O719" i="1"/>
  <c r="P719" i="1" s="1"/>
  <c r="Q719" i="1"/>
  <c r="R719" i="1"/>
  <c r="N720" i="1"/>
  <c r="O720" i="1"/>
  <c r="P720" i="1"/>
  <c r="Q720" i="1"/>
  <c r="R720" i="1"/>
  <c r="N721" i="1"/>
  <c r="O721" i="1"/>
  <c r="P721" i="1" s="1"/>
  <c r="Q721" i="1"/>
  <c r="R721" i="1"/>
  <c r="N722" i="1"/>
  <c r="O722" i="1"/>
  <c r="P722" i="1"/>
  <c r="Q722" i="1"/>
  <c r="R722" i="1"/>
  <c r="N723" i="1"/>
  <c r="O723" i="1"/>
  <c r="P723" i="1" s="1"/>
  <c r="Q723" i="1"/>
  <c r="R723" i="1"/>
  <c r="N724" i="1"/>
  <c r="O724" i="1"/>
  <c r="P724" i="1" s="1"/>
  <c r="Q724" i="1"/>
  <c r="R724" i="1"/>
  <c r="N725" i="1"/>
  <c r="O725" i="1"/>
  <c r="P725" i="1"/>
  <c r="Q725" i="1"/>
  <c r="R725" i="1"/>
  <c r="N726" i="1"/>
  <c r="O726" i="1"/>
  <c r="P726" i="1" s="1"/>
  <c r="Q726" i="1"/>
  <c r="R726" i="1"/>
  <c r="N727" i="1"/>
  <c r="O727" i="1"/>
  <c r="P727" i="1"/>
  <c r="Q727" i="1"/>
  <c r="R727" i="1"/>
  <c r="N728" i="1"/>
  <c r="O728" i="1"/>
  <c r="P728" i="1"/>
  <c r="Q728" i="1"/>
  <c r="R728" i="1"/>
  <c r="N729" i="1"/>
  <c r="P729" i="1" s="1"/>
  <c r="O729" i="1"/>
  <c r="Q729" i="1"/>
  <c r="R729" i="1"/>
  <c r="N730" i="1"/>
  <c r="O730" i="1"/>
  <c r="P730" i="1"/>
  <c r="Q730" i="1"/>
  <c r="R730" i="1"/>
  <c r="N731" i="1"/>
  <c r="O731" i="1"/>
  <c r="P731" i="1"/>
  <c r="Q731" i="1"/>
  <c r="R731" i="1"/>
  <c r="N732" i="1"/>
  <c r="O732" i="1"/>
  <c r="P732" i="1" s="1"/>
  <c r="Q732" i="1"/>
  <c r="R732" i="1"/>
  <c r="N733" i="1"/>
  <c r="O733" i="1"/>
  <c r="P733" i="1"/>
  <c r="Q733" i="1"/>
  <c r="R733" i="1"/>
  <c r="N734" i="1"/>
  <c r="O734" i="1"/>
  <c r="P734" i="1"/>
  <c r="Q734" i="1"/>
  <c r="R734" i="1"/>
  <c r="N735" i="1"/>
  <c r="O735" i="1"/>
  <c r="P735" i="1" s="1"/>
  <c r="Q735" i="1"/>
  <c r="R735" i="1"/>
  <c r="N736" i="1"/>
  <c r="O736" i="1"/>
  <c r="P736" i="1" s="1"/>
  <c r="Q736" i="1"/>
  <c r="R736" i="1"/>
  <c r="N737" i="1"/>
  <c r="P737" i="1" s="1"/>
  <c r="O737" i="1"/>
  <c r="Q737" i="1"/>
  <c r="R737" i="1"/>
  <c r="N738" i="1"/>
  <c r="P738" i="1" s="1"/>
  <c r="O738" i="1"/>
  <c r="Q738" i="1"/>
  <c r="R738" i="1"/>
  <c r="N739" i="1"/>
  <c r="O739" i="1"/>
  <c r="P739" i="1" s="1"/>
  <c r="Q739" i="1"/>
  <c r="R739" i="1"/>
  <c r="N740" i="1"/>
  <c r="O740" i="1"/>
  <c r="P740" i="1"/>
  <c r="Q740" i="1"/>
  <c r="R740" i="1"/>
  <c r="N741" i="1"/>
  <c r="P741" i="1" s="1"/>
  <c r="O741" i="1"/>
  <c r="Q741" i="1"/>
  <c r="R741" i="1"/>
  <c r="N742" i="1"/>
  <c r="O742" i="1"/>
  <c r="P742" i="1" s="1"/>
  <c r="Q742" i="1"/>
  <c r="R742" i="1"/>
  <c r="N743" i="1"/>
  <c r="O743" i="1"/>
  <c r="P743" i="1"/>
  <c r="Q743" i="1"/>
  <c r="R743" i="1"/>
  <c r="N744" i="1"/>
  <c r="O744" i="1"/>
  <c r="P744" i="1" s="1"/>
  <c r="Q744" i="1"/>
  <c r="R744" i="1"/>
  <c r="N745" i="1"/>
  <c r="O745" i="1"/>
  <c r="P745" i="1" s="1"/>
  <c r="Q745" i="1"/>
  <c r="R745" i="1"/>
  <c r="N746" i="1"/>
  <c r="O746" i="1"/>
  <c r="P746" i="1" s="1"/>
  <c r="Q746" i="1"/>
  <c r="R746" i="1"/>
  <c r="N747" i="1"/>
  <c r="O747" i="1"/>
  <c r="P747" i="1" s="1"/>
  <c r="Q747" i="1"/>
  <c r="R747" i="1"/>
  <c r="N748" i="1"/>
  <c r="O748" i="1"/>
  <c r="P748" i="1"/>
  <c r="Q748" i="1"/>
  <c r="R748" i="1"/>
  <c r="N749" i="1"/>
  <c r="O749" i="1"/>
  <c r="P749" i="1" s="1"/>
  <c r="Q749" i="1"/>
  <c r="R749" i="1"/>
  <c r="N750" i="1"/>
  <c r="O750" i="1"/>
  <c r="P750" i="1" s="1"/>
  <c r="Q750" i="1"/>
  <c r="R750" i="1"/>
  <c r="N751" i="1"/>
  <c r="O751" i="1"/>
  <c r="P751" i="1"/>
  <c r="Q751" i="1"/>
  <c r="R751" i="1"/>
  <c r="N752" i="1"/>
  <c r="O752" i="1"/>
  <c r="P752" i="1" s="1"/>
  <c r="Q752" i="1"/>
  <c r="R752" i="1"/>
  <c r="N753" i="1"/>
  <c r="O753" i="1"/>
  <c r="P753" i="1" s="1"/>
  <c r="Q753" i="1"/>
  <c r="R753" i="1"/>
  <c r="N754" i="1"/>
  <c r="O754" i="1"/>
  <c r="P754" i="1" s="1"/>
  <c r="Q754" i="1"/>
  <c r="R754" i="1"/>
  <c r="N755" i="1"/>
  <c r="O755" i="1"/>
  <c r="P755" i="1" s="1"/>
  <c r="Q755" i="1"/>
  <c r="R755" i="1"/>
  <c r="N756" i="1"/>
  <c r="O756" i="1"/>
  <c r="P756" i="1"/>
  <c r="Q756" i="1"/>
  <c r="R756" i="1"/>
  <c r="N757" i="1"/>
  <c r="P757" i="1" s="1"/>
  <c r="O757" i="1"/>
  <c r="Q757" i="1"/>
  <c r="R757" i="1"/>
  <c r="N758" i="1"/>
  <c r="O758" i="1"/>
  <c r="P758" i="1"/>
  <c r="Q758" i="1"/>
  <c r="R758" i="1"/>
  <c r="N759" i="1"/>
  <c r="O759" i="1"/>
  <c r="P759" i="1" s="1"/>
  <c r="Q759" i="1"/>
  <c r="R759" i="1"/>
  <c r="N760" i="1"/>
  <c r="O760" i="1"/>
  <c r="P760" i="1" s="1"/>
  <c r="Q760" i="1"/>
  <c r="R760" i="1"/>
  <c r="N761" i="1"/>
  <c r="P761" i="1" s="1"/>
  <c r="O761" i="1"/>
  <c r="Q761" i="1"/>
  <c r="R761" i="1"/>
  <c r="N762" i="1"/>
  <c r="O762" i="1"/>
  <c r="P762" i="1" s="1"/>
  <c r="Q762" i="1"/>
  <c r="R762" i="1"/>
  <c r="N763" i="1"/>
  <c r="O763" i="1"/>
  <c r="P763" i="1"/>
  <c r="Q763" i="1"/>
  <c r="R763" i="1"/>
  <c r="N764" i="1"/>
  <c r="O764" i="1"/>
  <c r="P764" i="1" s="1"/>
  <c r="Q764" i="1"/>
  <c r="R764" i="1"/>
  <c r="N765" i="1"/>
  <c r="O765" i="1"/>
  <c r="P765" i="1"/>
  <c r="Q765" i="1"/>
  <c r="R765" i="1"/>
  <c r="N766" i="1"/>
  <c r="O766" i="1"/>
  <c r="P766" i="1" s="1"/>
  <c r="Q766" i="1"/>
  <c r="R766" i="1"/>
  <c r="N767" i="1"/>
  <c r="O767" i="1"/>
  <c r="P767" i="1" s="1"/>
  <c r="Q767" i="1"/>
  <c r="R767" i="1"/>
  <c r="N768" i="1"/>
  <c r="O768" i="1"/>
  <c r="P768" i="1" s="1"/>
  <c r="Q768" i="1"/>
  <c r="R768" i="1"/>
  <c r="N769" i="1"/>
  <c r="P769" i="1" s="1"/>
  <c r="O769" i="1"/>
  <c r="Q769" i="1"/>
  <c r="R769" i="1"/>
  <c r="N770" i="1"/>
  <c r="P770" i="1" s="1"/>
  <c r="O770" i="1"/>
  <c r="Q770" i="1"/>
  <c r="R770" i="1"/>
  <c r="N771" i="1"/>
  <c r="O771" i="1"/>
  <c r="P771" i="1"/>
  <c r="Q771" i="1"/>
  <c r="R771" i="1"/>
  <c r="N772" i="1"/>
  <c r="P772" i="1" s="1"/>
  <c r="O772" i="1"/>
  <c r="Q772" i="1"/>
  <c r="R772" i="1"/>
  <c r="N773" i="1"/>
  <c r="O773" i="1"/>
  <c r="P773" i="1" s="1"/>
  <c r="Q773" i="1"/>
  <c r="R773" i="1"/>
  <c r="N774" i="1"/>
  <c r="O774" i="1"/>
  <c r="P774" i="1" s="1"/>
  <c r="Q774" i="1"/>
  <c r="R774" i="1"/>
  <c r="N775" i="1"/>
  <c r="O775" i="1"/>
  <c r="P775" i="1" s="1"/>
  <c r="Q775" i="1"/>
  <c r="R775" i="1"/>
  <c r="N776" i="1"/>
  <c r="O776" i="1"/>
  <c r="P776" i="1"/>
  <c r="Q776" i="1"/>
  <c r="R776" i="1"/>
  <c r="N777" i="1"/>
  <c r="O777" i="1"/>
  <c r="P777" i="1" s="1"/>
  <c r="Q777" i="1"/>
  <c r="R777" i="1"/>
  <c r="N778" i="1"/>
  <c r="O778" i="1"/>
  <c r="P778" i="1" s="1"/>
  <c r="Q778" i="1"/>
  <c r="R778" i="1"/>
  <c r="N779" i="1"/>
  <c r="O779" i="1"/>
  <c r="P779" i="1" s="1"/>
  <c r="Q779" i="1"/>
  <c r="R779" i="1"/>
  <c r="N780" i="1"/>
  <c r="O780" i="1"/>
  <c r="P780" i="1" s="1"/>
  <c r="Q780" i="1"/>
  <c r="R780" i="1"/>
  <c r="N781" i="1"/>
  <c r="O781" i="1"/>
  <c r="P781" i="1" s="1"/>
  <c r="Q781" i="1"/>
  <c r="R781" i="1"/>
  <c r="N782" i="1"/>
  <c r="O782" i="1"/>
  <c r="P782" i="1" s="1"/>
  <c r="Q782" i="1"/>
  <c r="R782" i="1"/>
  <c r="N783" i="1"/>
  <c r="O783" i="1"/>
  <c r="P783" i="1" s="1"/>
  <c r="Q783" i="1"/>
  <c r="R783" i="1"/>
  <c r="N784" i="1"/>
  <c r="O784" i="1"/>
  <c r="P784" i="1" s="1"/>
  <c r="Q784" i="1"/>
  <c r="R784" i="1"/>
  <c r="N785" i="1"/>
  <c r="O785" i="1"/>
  <c r="P785" i="1" s="1"/>
  <c r="Q785" i="1"/>
  <c r="R785" i="1"/>
  <c r="N786" i="1"/>
  <c r="O786" i="1"/>
  <c r="P786" i="1" s="1"/>
  <c r="Q786" i="1"/>
  <c r="R786" i="1"/>
  <c r="N787" i="1"/>
  <c r="O787" i="1"/>
  <c r="P787" i="1" s="1"/>
  <c r="Q787" i="1"/>
  <c r="R787" i="1"/>
  <c r="N788" i="1"/>
  <c r="O788" i="1"/>
  <c r="P788" i="1" s="1"/>
  <c r="Q788" i="1"/>
  <c r="R788" i="1"/>
  <c r="N789" i="1"/>
  <c r="O789" i="1"/>
  <c r="P789" i="1" s="1"/>
  <c r="Q789" i="1"/>
  <c r="R789" i="1"/>
  <c r="N790" i="1"/>
  <c r="O790" i="1"/>
  <c r="P790" i="1" s="1"/>
  <c r="Q790" i="1"/>
  <c r="R790" i="1"/>
  <c r="N791" i="1"/>
  <c r="O791" i="1"/>
  <c r="P791" i="1"/>
  <c r="Q791" i="1"/>
  <c r="R791" i="1"/>
  <c r="N792" i="1"/>
  <c r="O792" i="1"/>
  <c r="P792" i="1" s="1"/>
  <c r="Q792" i="1"/>
  <c r="R792" i="1"/>
  <c r="N793" i="1"/>
  <c r="P793" i="1" s="1"/>
  <c r="O793" i="1"/>
  <c r="Q793" i="1"/>
  <c r="R793" i="1"/>
  <c r="N794" i="1"/>
  <c r="O794" i="1"/>
  <c r="P794" i="1" s="1"/>
  <c r="Q794" i="1"/>
  <c r="R794" i="1"/>
  <c r="N795" i="1"/>
  <c r="P795" i="1" s="1"/>
  <c r="O795" i="1"/>
  <c r="Q795" i="1"/>
  <c r="R795" i="1"/>
  <c r="N796" i="1"/>
  <c r="O796" i="1"/>
  <c r="P796" i="1" s="1"/>
  <c r="Q796" i="1"/>
  <c r="R796" i="1"/>
  <c r="N797" i="1"/>
  <c r="O797" i="1"/>
  <c r="P797" i="1"/>
  <c r="Q797" i="1"/>
  <c r="R797" i="1"/>
  <c r="N798" i="1"/>
  <c r="O798" i="1"/>
  <c r="P798" i="1"/>
  <c r="Q798" i="1"/>
  <c r="R798" i="1"/>
  <c r="N799" i="1"/>
  <c r="O799" i="1"/>
  <c r="P799" i="1"/>
  <c r="Q799" i="1"/>
  <c r="R799" i="1"/>
  <c r="N800" i="1"/>
  <c r="O800" i="1"/>
  <c r="P800" i="1" s="1"/>
  <c r="Q800" i="1"/>
  <c r="R800" i="1"/>
  <c r="N801" i="1"/>
  <c r="O801" i="1"/>
  <c r="P801" i="1"/>
  <c r="Q801" i="1"/>
  <c r="R801" i="1"/>
  <c r="N802" i="1"/>
  <c r="O802" i="1"/>
  <c r="P802" i="1" s="1"/>
  <c r="Q802" i="1"/>
  <c r="R802" i="1"/>
  <c r="N803" i="1"/>
  <c r="O803" i="1"/>
  <c r="P803" i="1" s="1"/>
  <c r="Q803" i="1"/>
  <c r="R803" i="1"/>
  <c r="N804" i="1"/>
  <c r="P804" i="1" s="1"/>
  <c r="O804" i="1"/>
  <c r="Q804" i="1"/>
  <c r="R804" i="1"/>
  <c r="N805" i="1"/>
  <c r="O805" i="1"/>
  <c r="P805" i="1" s="1"/>
  <c r="Q805" i="1"/>
  <c r="R805" i="1"/>
  <c r="N806" i="1"/>
  <c r="O806" i="1"/>
  <c r="P806" i="1" s="1"/>
  <c r="Q806" i="1"/>
  <c r="R806" i="1"/>
  <c r="N807" i="1"/>
  <c r="O807" i="1"/>
  <c r="P807" i="1"/>
  <c r="Q807" i="1"/>
  <c r="R807" i="1"/>
  <c r="N808" i="1"/>
  <c r="O808" i="1"/>
  <c r="P808" i="1" s="1"/>
  <c r="Q808" i="1"/>
  <c r="R808" i="1"/>
  <c r="N809" i="1"/>
  <c r="O809" i="1"/>
  <c r="P809" i="1"/>
  <c r="Q809" i="1"/>
  <c r="R809" i="1"/>
  <c r="N810" i="1"/>
  <c r="P810" i="1" s="1"/>
  <c r="O810" i="1"/>
  <c r="Q810" i="1"/>
  <c r="R810" i="1"/>
  <c r="N811" i="1"/>
  <c r="O811" i="1"/>
  <c r="P811" i="1" s="1"/>
  <c r="Q811" i="1"/>
  <c r="R811" i="1"/>
  <c r="N812" i="1"/>
  <c r="O812" i="1"/>
  <c r="P812" i="1" s="1"/>
  <c r="Q812" i="1"/>
  <c r="R812" i="1"/>
  <c r="N813" i="1"/>
  <c r="O813" i="1"/>
  <c r="P813" i="1"/>
  <c r="Q813" i="1"/>
  <c r="R813" i="1"/>
  <c r="N814" i="1"/>
  <c r="O814" i="1"/>
  <c r="P814" i="1" s="1"/>
  <c r="Q814" i="1"/>
  <c r="R814" i="1"/>
  <c r="N815" i="1"/>
  <c r="O815" i="1"/>
  <c r="P815" i="1" s="1"/>
  <c r="Q815" i="1"/>
  <c r="R815" i="1"/>
  <c r="N816" i="1"/>
  <c r="O816" i="1"/>
  <c r="P816" i="1" s="1"/>
  <c r="Q816" i="1"/>
  <c r="R816" i="1"/>
  <c r="N817" i="1"/>
  <c r="O817" i="1"/>
  <c r="P817" i="1" s="1"/>
  <c r="Q817" i="1"/>
  <c r="R817" i="1"/>
  <c r="N818" i="1"/>
  <c r="O818" i="1"/>
  <c r="P818" i="1"/>
  <c r="Q818" i="1"/>
  <c r="R818" i="1"/>
  <c r="N819" i="1"/>
  <c r="O819" i="1"/>
  <c r="P819" i="1" s="1"/>
  <c r="Q819" i="1"/>
  <c r="R819" i="1"/>
  <c r="N820" i="1"/>
  <c r="O820" i="1"/>
  <c r="P820" i="1" s="1"/>
  <c r="Q820" i="1"/>
  <c r="R820" i="1"/>
  <c r="N821" i="1"/>
  <c r="O821" i="1"/>
  <c r="P821" i="1" s="1"/>
  <c r="Q821" i="1"/>
  <c r="R821" i="1"/>
  <c r="N822" i="1"/>
  <c r="O822" i="1"/>
  <c r="P822" i="1" s="1"/>
  <c r="Q822" i="1"/>
  <c r="R822" i="1"/>
  <c r="N823" i="1"/>
  <c r="O823" i="1"/>
  <c r="P823" i="1" s="1"/>
  <c r="Q823" i="1"/>
  <c r="R823" i="1"/>
  <c r="N824" i="1"/>
  <c r="O824" i="1"/>
  <c r="P824" i="1" s="1"/>
  <c r="Q824" i="1"/>
  <c r="R824" i="1"/>
  <c r="N825" i="1"/>
  <c r="O825" i="1"/>
  <c r="P825" i="1" s="1"/>
  <c r="Q825" i="1"/>
  <c r="R825" i="1"/>
  <c r="N826" i="1"/>
  <c r="O826" i="1"/>
  <c r="P826" i="1"/>
  <c r="Q826" i="1"/>
  <c r="R826" i="1"/>
  <c r="N827" i="1"/>
  <c r="O827" i="1"/>
  <c r="P827" i="1" s="1"/>
  <c r="Q827" i="1"/>
  <c r="R827" i="1"/>
  <c r="N828" i="1"/>
  <c r="O828" i="1"/>
  <c r="P828" i="1" s="1"/>
  <c r="Q828" i="1"/>
  <c r="R828" i="1"/>
  <c r="N829" i="1"/>
  <c r="O829" i="1"/>
  <c r="P829" i="1"/>
  <c r="Q829" i="1"/>
  <c r="R829" i="1"/>
  <c r="N830" i="1"/>
  <c r="O830" i="1"/>
  <c r="P830" i="1"/>
  <c r="Q830" i="1"/>
  <c r="R830" i="1"/>
  <c r="N831" i="1"/>
  <c r="O831" i="1"/>
  <c r="P831" i="1" s="1"/>
  <c r="Q831" i="1"/>
  <c r="R831" i="1"/>
  <c r="N832" i="1"/>
  <c r="O832" i="1"/>
  <c r="P832" i="1"/>
  <c r="Q832" i="1"/>
  <c r="R832" i="1"/>
  <c r="N833" i="1"/>
  <c r="O833" i="1"/>
  <c r="P833" i="1" s="1"/>
  <c r="Q833" i="1"/>
  <c r="R833" i="1"/>
  <c r="N834" i="1"/>
  <c r="O834" i="1"/>
  <c r="P834" i="1"/>
  <c r="Q834" i="1"/>
  <c r="R834" i="1"/>
  <c r="N835" i="1"/>
  <c r="P835" i="1" s="1"/>
  <c r="O835" i="1"/>
  <c r="Q835" i="1"/>
  <c r="R835" i="1"/>
  <c r="N836" i="1"/>
  <c r="P836" i="1" s="1"/>
  <c r="O836" i="1"/>
  <c r="Q836" i="1"/>
  <c r="R836" i="1"/>
  <c r="N837" i="1"/>
  <c r="O837" i="1"/>
  <c r="P837" i="1"/>
  <c r="Q837" i="1"/>
  <c r="R837" i="1"/>
  <c r="N838" i="1"/>
  <c r="O838" i="1"/>
  <c r="P838" i="1"/>
  <c r="Q838" i="1"/>
  <c r="R838" i="1"/>
  <c r="N839" i="1"/>
  <c r="P839" i="1" s="1"/>
  <c r="O839" i="1"/>
  <c r="Q839" i="1"/>
  <c r="R839" i="1"/>
  <c r="N840" i="1"/>
  <c r="O840" i="1"/>
  <c r="P840" i="1" s="1"/>
  <c r="Q840" i="1"/>
  <c r="R840" i="1"/>
  <c r="N841" i="1"/>
  <c r="O841" i="1"/>
  <c r="P841" i="1" s="1"/>
  <c r="Q841" i="1"/>
  <c r="R841" i="1"/>
  <c r="N842" i="1"/>
  <c r="O842" i="1"/>
  <c r="P842" i="1"/>
  <c r="Q842" i="1"/>
  <c r="R842" i="1"/>
  <c r="N843" i="1"/>
  <c r="O843" i="1"/>
  <c r="P843" i="1" s="1"/>
  <c r="Q843" i="1"/>
  <c r="R843" i="1"/>
  <c r="N844" i="1"/>
  <c r="P844" i="1" s="1"/>
  <c r="O844" i="1"/>
  <c r="Q844" i="1"/>
  <c r="R844" i="1"/>
  <c r="N845" i="1"/>
  <c r="O845" i="1"/>
  <c r="P845" i="1" s="1"/>
  <c r="Q845" i="1"/>
  <c r="R845" i="1"/>
  <c r="N846" i="1"/>
  <c r="O846" i="1"/>
  <c r="P846" i="1"/>
  <c r="Q846" i="1"/>
  <c r="R846" i="1"/>
  <c r="N847" i="1"/>
  <c r="O847" i="1"/>
  <c r="P847" i="1"/>
  <c r="Q847" i="1"/>
  <c r="R847" i="1"/>
  <c r="N848" i="1"/>
  <c r="P848" i="1" s="1"/>
  <c r="O848" i="1"/>
  <c r="Q848" i="1"/>
  <c r="R848" i="1"/>
  <c r="N849" i="1"/>
  <c r="P849" i="1" s="1"/>
  <c r="O849" i="1"/>
  <c r="Q849" i="1"/>
  <c r="R849" i="1"/>
  <c r="N850" i="1"/>
  <c r="O850" i="1"/>
  <c r="P850" i="1"/>
  <c r="Q850" i="1"/>
  <c r="R850" i="1"/>
  <c r="N851" i="1"/>
  <c r="O851" i="1"/>
  <c r="P851" i="1" s="1"/>
  <c r="Q851" i="1"/>
  <c r="R851" i="1"/>
  <c r="N852" i="1"/>
  <c r="O852" i="1"/>
  <c r="P852" i="1" s="1"/>
  <c r="Q852" i="1"/>
  <c r="R852" i="1"/>
  <c r="N853" i="1"/>
  <c r="O853" i="1"/>
  <c r="P853" i="1" s="1"/>
  <c r="Q853" i="1"/>
  <c r="R853" i="1"/>
  <c r="N854" i="1"/>
  <c r="O854" i="1"/>
  <c r="P854" i="1" s="1"/>
  <c r="Q854" i="1"/>
  <c r="R854" i="1"/>
  <c r="N855" i="1"/>
  <c r="O855" i="1"/>
  <c r="P855" i="1" s="1"/>
  <c r="Q855" i="1"/>
  <c r="R855" i="1"/>
  <c r="N856" i="1"/>
  <c r="O856" i="1"/>
  <c r="P856" i="1" s="1"/>
  <c r="Q856" i="1"/>
  <c r="R856" i="1"/>
  <c r="N857" i="1"/>
  <c r="O857" i="1"/>
  <c r="P857" i="1"/>
  <c r="Q857" i="1"/>
  <c r="R857" i="1"/>
  <c r="N858" i="1"/>
  <c r="O858" i="1"/>
  <c r="P858" i="1"/>
  <c r="Q858" i="1"/>
  <c r="R858" i="1"/>
  <c r="N859" i="1"/>
  <c r="O859" i="1"/>
  <c r="P859" i="1" s="1"/>
  <c r="Q859" i="1"/>
  <c r="R859" i="1"/>
  <c r="N860" i="1"/>
  <c r="O860" i="1"/>
  <c r="P860" i="1" s="1"/>
  <c r="Q860" i="1"/>
  <c r="R860" i="1"/>
  <c r="N861" i="1"/>
  <c r="O861" i="1"/>
  <c r="P861" i="1" s="1"/>
  <c r="Q861" i="1"/>
  <c r="R861" i="1"/>
  <c r="N862" i="1"/>
  <c r="O862" i="1"/>
  <c r="P862" i="1"/>
  <c r="Q862" i="1"/>
  <c r="R862" i="1"/>
  <c r="N863" i="1"/>
  <c r="P863" i="1" s="1"/>
  <c r="O863" i="1"/>
  <c r="Q863" i="1"/>
  <c r="R863" i="1"/>
  <c r="N864" i="1"/>
  <c r="O864" i="1"/>
  <c r="P864" i="1"/>
  <c r="Q864" i="1"/>
  <c r="R864" i="1"/>
  <c r="N865" i="1"/>
  <c r="O865" i="1"/>
  <c r="P865" i="1"/>
  <c r="Q865" i="1"/>
  <c r="R865" i="1"/>
  <c r="N866" i="1"/>
  <c r="O866" i="1"/>
  <c r="P866" i="1"/>
  <c r="Q866" i="1"/>
  <c r="R866" i="1"/>
  <c r="N867" i="1"/>
  <c r="P867" i="1" s="1"/>
  <c r="O867" i="1"/>
  <c r="Q867" i="1"/>
  <c r="R867" i="1"/>
  <c r="N868" i="1"/>
  <c r="O868" i="1"/>
  <c r="P868" i="1" s="1"/>
  <c r="Q868" i="1"/>
  <c r="R868" i="1"/>
  <c r="N869" i="1"/>
  <c r="O869" i="1"/>
  <c r="P869" i="1"/>
  <c r="Q869" i="1"/>
  <c r="R869" i="1"/>
  <c r="N870" i="1"/>
  <c r="O870" i="1"/>
  <c r="P870" i="1" s="1"/>
  <c r="Q870" i="1"/>
  <c r="R870" i="1"/>
  <c r="N871" i="1"/>
  <c r="O871" i="1"/>
  <c r="P871" i="1" s="1"/>
  <c r="Q871" i="1"/>
  <c r="R871" i="1"/>
  <c r="N872" i="1"/>
  <c r="P872" i="1" s="1"/>
  <c r="O872" i="1"/>
  <c r="Q872" i="1"/>
  <c r="R872" i="1"/>
  <c r="N873" i="1"/>
  <c r="O873" i="1"/>
  <c r="P873" i="1" s="1"/>
  <c r="Q873" i="1"/>
  <c r="R873" i="1"/>
  <c r="N874" i="1"/>
  <c r="O874" i="1"/>
  <c r="P874" i="1" s="1"/>
  <c r="Q874" i="1"/>
  <c r="R874" i="1"/>
  <c r="N875" i="1"/>
  <c r="O875" i="1"/>
  <c r="P875" i="1" s="1"/>
  <c r="Q875" i="1"/>
  <c r="R875" i="1"/>
  <c r="N876" i="1"/>
  <c r="O876" i="1"/>
  <c r="P876" i="1" s="1"/>
  <c r="Q876" i="1"/>
  <c r="R876" i="1"/>
  <c r="N877" i="1"/>
  <c r="O877" i="1"/>
  <c r="P877" i="1"/>
  <c r="Q877" i="1"/>
  <c r="R877" i="1"/>
  <c r="N878" i="1"/>
  <c r="O878" i="1"/>
  <c r="P878" i="1"/>
  <c r="Q878" i="1"/>
  <c r="R878" i="1"/>
  <c r="N879" i="1"/>
  <c r="O879" i="1"/>
  <c r="P879" i="1" s="1"/>
  <c r="Q879" i="1"/>
  <c r="R879" i="1"/>
  <c r="N880" i="1"/>
  <c r="O880" i="1"/>
  <c r="P880" i="1" s="1"/>
  <c r="Q880" i="1"/>
  <c r="R880" i="1"/>
  <c r="N881" i="1"/>
  <c r="O881" i="1"/>
  <c r="P881" i="1"/>
  <c r="Q881" i="1"/>
  <c r="R881" i="1"/>
  <c r="N882" i="1"/>
  <c r="O882" i="1"/>
  <c r="P882" i="1" s="1"/>
  <c r="Q882" i="1"/>
  <c r="R882" i="1"/>
  <c r="N883" i="1"/>
  <c r="O883" i="1"/>
  <c r="P883" i="1" s="1"/>
  <c r="Q883" i="1"/>
  <c r="R883" i="1"/>
  <c r="N884" i="1"/>
  <c r="O884" i="1"/>
  <c r="P884" i="1" s="1"/>
  <c r="Q884" i="1"/>
  <c r="R884" i="1"/>
  <c r="N885" i="1"/>
  <c r="O885" i="1"/>
  <c r="P885" i="1" s="1"/>
  <c r="Q885" i="1"/>
  <c r="R885" i="1"/>
  <c r="N886" i="1"/>
  <c r="O886" i="1"/>
  <c r="P886" i="1" s="1"/>
  <c r="Q886" i="1"/>
  <c r="R886" i="1"/>
  <c r="N887" i="1"/>
  <c r="O887" i="1"/>
  <c r="P887" i="1" s="1"/>
  <c r="Q887" i="1"/>
  <c r="R887" i="1"/>
  <c r="N888" i="1"/>
  <c r="O888" i="1"/>
  <c r="P888" i="1"/>
  <c r="Q888" i="1"/>
  <c r="R888" i="1"/>
  <c r="N889" i="1"/>
  <c r="O889" i="1"/>
  <c r="P889" i="1"/>
  <c r="Q889" i="1"/>
  <c r="R889" i="1"/>
  <c r="N890" i="1"/>
  <c r="P890" i="1" s="1"/>
  <c r="O890" i="1"/>
  <c r="Q890" i="1"/>
  <c r="R890" i="1"/>
  <c r="N891" i="1"/>
  <c r="O891" i="1"/>
  <c r="P891" i="1" s="1"/>
  <c r="Q891" i="1"/>
  <c r="R891" i="1"/>
  <c r="N892" i="1"/>
  <c r="O892" i="1"/>
  <c r="P892" i="1" s="1"/>
  <c r="Q892" i="1"/>
  <c r="R892" i="1"/>
  <c r="N893" i="1"/>
  <c r="O893" i="1"/>
  <c r="P893" i="1" s="1"/>
  <c r="Q893" i="1"/>
  <c r="R893" i="1"/>
  <c r="N894" i="1"/>
  <c r="O894" i="1"/>
  <c r="P894" i="1"/>
  <c r="Q894" i="1"/>
  <c r="R894" i="1"/>
  <c r="N895" i="1"/>
  <c r="O895" i="1"/>
  <c r="P895" i="1" s="1"/>
  <c r="Q895" i="1"/>
  <c r="R895" i="1"/>
  <c r="N896" i="1"/>
  <c r="O896" i="1"/>
  <c r="P896" i="1"/>
  <c r="Q896" i="1"/>
  <c r="R896" i="1"/>
  <c r="N897" i="1"/>
  <c r="O897" i="1"/>
  <c r="P897" i="1"/>
  <c r="Q897" i="1"/>
  <c r="R897" i="1"/>
  <c r="N898" i="1"/>
  <c r="O898" i="1"/>
  <c r="P898" i="1" s="1"/>
  <c r="Q898" i="1"/>
  <c r="R898" i="1"/>
  <c r="N899" i="1"/>
  <c r="P899" i="1" s="1"/>
  <c r="O899" i="1"/>
  <c r="Q899" i="1"/>
  <c r="R899" i="1"/>
  <c r="N900" i="1"/>
  <c r="P900" i="1" s="1"/>
  <c r="O900" i="1"/>
  <c r="Q900" i="1"/>
  <c r="R900" i="1"/>
  <c r="N901" i="1"/>
  <c r="O901" i="1"/>
  <c r="P901" i="1"/>
  <c r="Q901" i="1"/>
  <c r="R901" i="1"/>
  <c r="N902" i="1"/>
  <c r="O902" i="1"/>
  <c r="P902" i="1"/>
  <c r="Q902" i="1"/>
  <c r="R902" i="1"/>
  <c r="N903" i="1"/>
  <c r="O903" i="1"/>
  <c r="P903" i="1" s="1"/>
  <c r="Q903" i="1"/>
  <c r="R903" i="1"/>
  <c r="N904" i="1"/>
  <c r="O904" i="1"/>
  <c r="P904" i="1"/>
  <c r="Q904" i="1"/>
  <c r="R904" i="1"/>
  <c r="N905" i="1"/>
  <c r="P905" i="1" s="1"/>
  <c r="O905" i="1"/>
  <c r="Q905" i="1"/>
  <c r="R905" i="1"/>
  <c r="N906" i="1"/>
  <c r="O906" i="1"/>
  <c r="P906" i="1" s="1"/>
  <c r="Q906" i="1"/>
  <c r="R906" i="1"/>
  <c r="N907" i="1"/>
  <c r="O907" i="1"/>
  <c r="P907" i="1" s="1"/>
  <c r="Q907" i="1"/>
  <c r="R907" i="1"/>
  <c r="N908" i="1"/>
  <c r="O908" i="1"/>
  <c r="P908" i="1" s="1"/>
  <c r="Q908" i="1"/>
  <c r="R908" i="1"/>
  <c r="N909" i="1"/>
  <c r="O909" i="1"/>
  <c r="P909" i="1"/>
  <c r="Q909" i="1"/>
  <c r="R909" i="1"/>
  <c r="N910" i="1"/>
  <c r="O910" i="1"/>
  <c r="P910" i="1"/>
  <c r="Q910" i="1"/>
  <c r="R910" i="1"/>
  <c r="N911" i="1"/>
  <c r="O911" i="1"/>
  <c r="P911" i="1" s="1"/>
  <c r="Q911" i="1"/>
  <c r="R911" i="1"/>
  <c r="N912" i="1"/>
  <c r="O912" i="1"/>
  <c r="P912" i="1"/>
  <c r="Q912" i="1"/>
  <c r="R912" i="1"/>
  <c r="N913" i="1"/>
  <c r="O913" i="1"/>
  <c r="P913" i="1"/>
  <c r="Q913" i="1"/>
  <c r="R913" i="1"/>
  <c r="N914" i="1"/>
  <c r="O914" i="1"/>
  <c r="P914" i="1" s="1"/>
  <c r="Q914" i="1"/>
  <c r="R914" i="1"/>
  <c r="N915" i="1"/>
  <c r="O915" i="1"/>
  <c r="P915" i="1" s="1"/>
  <c r="Q915" i="1"/>
  <c r="R915" i="1"/>
  <c r="N916" i="1"/>
  <c r="O916" i="1"/>
  <c r="P916" i="1" s="1"/>
  <c r="Q916" i="1"/>
  <c r="R916" i="1"/>
  <c r="N917" i="1"/>
  <c r="O917" i="1"/>
  <c r="P917" i="1"/>
  <c r="Q917" i="1"/>
  <c r="R917" i="1"/>
  <c r="N918" i="1"/>
  <c r="O918" i="1"/>
  <c r="P918" i="1"/>
  <c r="Q918" i="1"/>
  <c r="R918" i="1"/>
  <c r="N919" i="1"/>
  <c r="O919" i="1"/>
  <c r="P919" i="1" s="1"/>
  <c r="Q919" i="1"/>
  <c r="R919" i="1"/>
  <c r="N920" i="1"/>
  <c r="O920" i="1"/>
  <c r="P920" i="1"/>
  <c r="Q920" i="1"/>
  <c r="R920" i="1"/>
  <c r="N921" i="1"/>
  <c r="O921" i="1"/>
  <c r="P921" i="1"/>
  <c r="Q921" i="1"/>
  <c r="R921" i="1"/>
  <c r="N922" i="1"/>
  <c r="P922" i="1" s="1"/>
  <c r="O922" i="1"/>
  <c r="Q922" i="1"/>
  <c r="R922" i="1"/>
  <c r="N923" i="1"/>
  <c r="O923" i="1"/>
  <c r="P923" i="1" s="1"/>
  <c r="Q923" i="1"/>
  <c r="R923" i="1"/>
  <c r="N924" i="1"/>
  <c r="O924" i="1"/>
  <c r="P924" i="1" s="1"/>
  <c r="Q924" i="1"/>
  <c r="R924" i="1"/>
  <c r="N925" i="1"/>
  <c r="O925" i="1"/>
  <c r="P925" i="1" s="1"/>
  <c r="Q925" i="1"/>
  <c r="R925" i="1"/>
  <c r="N926" i="1"/>
  <c r="O926" i="1"/>
  <c r="P926" i="1" s="1"/>
  <c r="Q926" i="1"/>
  <c r="R926" i="1"/>
  <c r="N927" i="1"/>
  <c r="O927" i="1"/>
  <c r="P927" i="1" s="1"/>
  <c r="Q927" i="1"/>
  <c r="R927" i="1"/>
  <c r="N928" i="1"/>
  <c r="O928" i="1"/>
  <c r="P928" i="1"/>
  <c r="Q928" i="1"/>
  <c r="R928" i="1"/>
  <c r="N929" i="1"/>
  <c r="O929" i="1"/>
  <c r="P929" i="1" s="1"/>
  <c r="Q929" i="1"/>
  <c r="R929" i="1"/>
  <c r="N930" i="1"/>
  <c r="O930" i="1"/>
  <c r="P930" i="1"/>
  <c r="Q930" i="1"/>
  <c r="R930" i="1"/>
  <c r="N931" i="1"/>
  <c r="O931" i="1"/>
  <c r="P931" i="1" s="1"/>
  <c r="Q931" i="1"/>
  <c r="R931" i="1"/>
  <c r="N932" i="1"/>
  <c r="O932" i="1"/>
  <c r="P932" i="1" s="1"/>
  <c r="Q932" i="1"/>
  <c r="R932" i="1"/>
  <c r="N933" i="1"/>
  <c r="O933" i="1"/>
  <c r="P933" i="1" s="1"/>
  <c r="Q933" i="1"/>
  <c r="R933" i="1"/>
  <c r="N934" i="1"/>
  <c r="O934" i="1"/>
  <c r="P934" i="1" s="1"/>
  <c r="Q934" i="1"/>
  <c r="R934" i="1"/>
  <c r="N935" i="1"/>
  <c r="O935" i="1"/>
  <c r="P935" i="1" s="1"/>
  <c r="Q935" i="1"/>
  <c r="R935" i="1"/>
  <c r="N936" i="1"/>
  <c r="O936" i="1"/>
  <c r="P936" i="1"/>
  <c r="Q936" i="1"/>
  <c r="R936" i="1"/>
  <c r="N937" i="1"/>
  <c r="O937" i="1"/>
  <c r="P937" i="1" s="1"/>
  <c r="Q937" i="1"/>
  <c r="R937" i="1"/>
  <c r="N938" i="1"/>
  <c r="O938" i="1"/>
  <c r="P938" i="1"/>
  <c r="Q938" i="1"/>
  <c r="R938" i="1"/>
  <c r="N939" i="1"/>
  <c r="O939" i="1"/>
  <c r="P939" i="1" s="1"/>
  <c r="Q939" i="1"/>
  <c r="R939" i="1"/>
  <c r="N940" i="1"/>
  <c r="P940" i="1" s="1"/>
  <c r="O940" i="1"/>
  <c r="Q940" i="1"/>
  <c r="R940" i="1"/>
  <c r="N941" i="1"/>
  <c r="O941" i="1"/>
  <c r="P941" i="1" s="1"/>
  <c r="Q941" i="1"/>
  <c r="R941" i="1"/>
  <c r="N942" i="1"/>
  <c r="O942" i="1"/>
  <c r="P942" i="1" s="1"/>
  <c r="Q942" i="1"/>
  <c r="R942" i="1"/>
  <c r="N943" i="1"/>
  <c r="P943" i="1" s="1"/>
  <c r="O943" i="1"/>
  <c r="Q943" i="1"/>
  <c r="R943" i="1"/>
  <c r="N944" i="1"/>
  <c r="P944" i="1" s="1"/>
  <c r="O944" i="1"/>
  <c r="Q944" i="1"/>
  <c r="R944" i="1"/>
  <c r="N945" i="1"/>
  <c r="O945" i="1"/>
  <c r="P945" i="1" s="1"/>
  <c r="Q945" i="1"/>
  <c r="R945" i="1"/>
  <c r="N946" i="1"/>
  <c r="O946" i="1"/>
  <c r="P946" i="1"/>
  <c r="Q946" i="1"/>
  <c r="R946" i="1"/>
  <c r="N947" i="1"/>
  <c r="P947" i="1" s="1"/>
  <c r="O947" i="1"/>
  <c r="Q947" i="1"/>
  <c r="R947" i="1"/>
  <c r="N948" i="1"/>
  <c r="O948" i="1"/>
  <c r="P948" i="1" s="1"/>
  <c r="Q948" i="1"/>
  <c r="R948" i="1"/>
  <c r="N949" i="1"/>
  <c r="O949" i="1"/>
  <c r="P949" i="1"/>
  <c r="Q949" i="1"/>
  <c r="R949" i="1"/>
  <c r="N950" i="1"/>
  <c r="O950" i="1"/>
  <c r="P950" i="1"/>
  <c r="Q950" i="1"/>
  <c r="R950" i="1"/>
  <c r="N951" i="1"/>
  <c r="O951" i="1"/>
  <c r="P951" i="1" s="1"/>
  <c r="Q951" i="1"/>
  <c r="R951" i="1"/>
  <c r="N952" i="1"/>
  <c r="O952" i="1"/>
  <c r="P952" i="1"/>
  <c r="Q952" i="1"/>
  <c r="R952" i="1"/>
  <c r="N953" i="1"/>
  <c r="P953" i="1" s="1"/>
  <c r="O953" i="1"/>
  <c r="Q953" i="1"/>
  <c r="R953" i="1"/>
  <c r="N954" i="1"/>
  <c r="P954" i="1" s="1"/>
  <c r="O954" i="1"/>
  <c r="Q954" i="1"/>
  <c r="R954" i="1"/>
  <c r="N955" i="1"/>
  <c r="O955" i="1"/>
  <c r="P955" i="1" s="1"/>
  <c r="Q955" i="1"/>
  <c r="R955" i="1"/>
  <c r="N956" i="1"/>
  <c r="O956" i="1"/>
  <c r="P956" i="1" s="1"/>
  <c r="Q956" i="1"/>
  <c r="R956" i="1"/>
  <c r="N957" i="1"/>
  <c r="O957" i="1"/>
  <c r="P957" i="1"/>
  <c r="Q957" i="1"/>
  <c r="R957" i="1"/>
  <c r="N958" i="1"/>
  <c r="O958" i="1"/>
  <c r="P958" i="1" s="1"/>
  <c r="Q958" i="1"/>
  <c r="R958" i="1"/>
  <c r="N959" i="1"/>
  <c r="O959" i="1"/>
  <c r="P959" i="1" s="1"/>
  <c r="Q959" i="1"/>
  <c r="R959" i="1"/>
  <c r="N960" i="1"/>
  <c r="O960" i="1"/>
  <c r="P960" i="1"/>
  <c r="Q960" i="1"/>
  <c r="R960" i="1"/>
  <c r="N961" i="1"/>
  <c r="O961" i="1"/>
  <c r="P961" i="1"/>
  <c r="Q961" i="1"/>
  <c r="R961" i="1"/>
  <c r="N962" i="1"/>
  <c r="O962" i="1"/>
  <c r="P962" i="1"/>
  <c r="Q962" i="1"/>
  <c r="R962" i="1"/>
  <c r="N963" i="1"/>
  <c r="O963" i="1"/>
  <c r="P963" i="1" s="1"/>
  <c r="Q963" i="1"/>
  <c r="R963" i="1"/>
  <c r="N964" i="1"/>
  <c r="O964" i="1"/>
  <c r="P964" i="1" s="1"/>
  <c r="Q964" i="1"/>
  <c r="R964" i="1"/>
  <c r="N965" i="1"/>
  <c r="O965" i="1"/>
  <c r="P965" i="1" s="1"/>
  <c r="Q965" i="1"/>
  <c r="R965" i="1"/>
  <c r="N966" i="1"/>
  <c r="O966" i="1"/>
  <c r="P966" i="1" s="1"/>
  <c r="Q966" i="1"/>
  <c r="R966" i="1"/>
  <c r="N967" i="1"/>
  <c r="O967" i="1"/>
  <c r="P967" i="1"/>
  <c r="Q967" i="1"/>
  <c r="R967" i="1"/>
  <c r="N968" i="1"/>
  <c r="O968" i="1"/>
  <c r="P968" i="1"/>
  <c r="Q968" i="1"/>
  <c r="R968" i="1"/>
  <c r="N969" i="1"/>
  <c r="P969" i="1" s="1"/>
  <c r="O969" i="1"/>
  <c r="Q969" i="1"/>
  <c r="R969" i="1"/>
  <c r="N970" i="1"/>
  <c r="O970" i="1"/>
  <c r="P970" i="1"/>
  <c r="Q970" i="1"/>
  <c r="R970" i="1"/>
  <c r="N971" i="1"/>
  <c r="O971" i="1"/>
  <c r="P971" i="1" s="1"/>
  <c r="Q971" i="1"/>
  <c r="R971" i="1"/>
  <c r="N972" i="1"/>
  <c r="O972" i="1"/>
  <c r="P972" i="1"/>
  <c r="Q972" i="1"/>
  <c r="R972" i="1"/>
  <c r="N973" i="1"/>
  <c r="O973" i="1"/>
  <c r="P973" i="1" s="1"/>
  <c r="Q973" i="1"/>
  <c r="R973" i="1"/>
  <c r="N974" i="1"/>
  <c r="O974" i="1"/>
  <c r="P974" i="1" s="1"/>
  <c r="Q974" i="1"/>
  <c r="R974" i="1"/>
  <c r="N975" i="1"/>
  <c r="O975" i="1"/>
  <c r="P975" i="1" s="1"/>
  <c r="Q975" i="1"/>
  <c r="R975" i="1"/>
  <c r="N976" i="1"/>
  <c r="O976" i="1"/>
  <c r="P976" i="1" s="1"/>
  <c r="Q976" i="1"/>
  <c r="R976" i="1"/>
  <c r="N977" i="1"/>
  <c r="O977" i="1"/>
  <c r="P977" i="1"/>
  <c r="Q977" i="1"/>
  <c r="R977" i="1"/>
  <c r="N978" i="1"/>
  <c r="O978" i="1"/>
  <c r="P978" i="1"/>
  <c r="Q978" i="1"/>
  <c r="R978" i="1"/>
  <c r="N979" i="1"/>
  <c r="O979" i="1"/>
  <c r="P979" i="1" s="1"/>
  <c r="Q979" i="1"/>
  <c r="R979" i="1"/>
  <c r="N980" i="1"/>
  <c r="O980" i="1"/>
  <c r="P980" i="1"/>
  <c r="Q980" i="1"/>
  <c r="R980" i="1"/>
  <c r="N981" i="1"/>
  <c r="O981" i="1"/>
  <c r="P981" i="1"/>
  <c r="Q981" i="1"/>
  <c r="R981" i="1"/>
  <c r="N982" i="1"/>
  <c r="O982" i="1"/>
  <c r="P982" i="1"/>
  <c r="Q982" i="1"/>
  <c r="R982" i="1"/>
  <c r="N983" i="1"/>
  <c r="O983" i="1"/>
  <c r="P983" i="1" s="1"/>
  <c r="Q983" i="1"/>
  <c r="R983" i="1"/>
  <c r="N984" i="1"/>
  <c r="O984" i="1"/>
  <c r="P984" i="1"/>
  <c r="Q984" i="1"/>
  <c r="R984" i="1"/>
  <c r="N985" i="1"/>
  <c r="O985" i="1"/>
  <c r="P985" i="1" s="1"/>
  <c r="Q985" i="1"/>
  <c r="R985" i="1"/>
  <c r="N986" i="1"/>
  <c r="O986" i="1"/>
  <c r="P986" i="1" s="1"/>
  <c r="Q986" i="1"/>
  <c r="R986" i="1"/>
  <c r="N987" i="1"/>
  <c r="O987" i="1"/>
  <c r="P987" i="1" s="1"/>
  <c r="Q987" i="1"/>
  <c r="R987" i="1"/>
  <c r="N988" i="1"/>
  <c r="O988" i="1"/>
  <c r="P988" i="1" s="1"/>
  <c r="Q988" i="1"/>
  <c r="R988" i="1"/>
  <c r="N989" i="1"/>
  <c r="O989" i="1"/>
  <c r="P989" i="1"/>
  <c r="Q989" i="1"/>
  <c r="R989" i="1"/>
  <c r="N990" i="1"/>
  <c r="O990" i="1"/>
  <c r="P990" i="1"/>
  <c r="Q990" i="1"/>
  <c r="R990" i="1"/>
  <c r="N991" i="1"/>
  <c r="O991" i="1"/>
  <c r="P991" i="1" s="1"/>
  <c r="Q991" i="1"/>
  <c r="R991" i="1"/>
  <c r="N992" i="1"/>
  <c r="O992" i="1"/>
  <c r="P992" i="1"/>
  <c r="Q992" i="1"/>
  <c r="R992" i="1"/>
  <c r="N993" i="1"/>
  <c r="O993" i="1"/>
  <c r="P993" i="1"/>
  <c r="Q993" i="1"/>
  <c r="R993" i="1"/>
  <c r="N994" i="1"/>
  <c r="O994" i="1"/>
  <c r="P994" i="1" s="1"/>
  <c r="Q994" i="1"/>
  <c r="R994" i="1"/>
  <c r="N995" i="1"/>
  <c r="P995" i="1" s="1"/>
  <c r="O995" i="1"/>
  <c r="Q995" i="1"/>
  <c r="R995" i="1"/>
  <c r="N996" i="1"/>
  <c r="O996" i="1"/>
  <c r="P996" i="1" s="1"/>
  <c r="Q996" i="1"/>
  <c r="R996" i="1"/>
  <c r="N997" i="1"/>
  <c r="O997" i="1"/>
  <c r="P997" i="1" s="1"/>
  <c r="Q997" i="1"/>
  <c r="R997" i="1"/>
  <c r="N998" i="1"/>
  <c r="O998" i="1"/>
  <c r="P998" i="1"/>
  <c r="Q998" i="1"/>
  <c r="R998" i="1"/>
  <c r="N999" i="1"/>
  <c r="O999" i="1"/>
  <c r="P999" i="1"/>
  <c r="Q999" i="1"/>
  <c r="R999" i="1"/>
  <c r="N1000" i="1"/>
  <c r="O1000" i="1"/>
  <c r="P1000" i="1"/>
  <c r="Q1000" i="1"/>
  <c r="R1000" i="1"/>
  <c r="N1001" i="1"/>
  <c r="O1001" i="1"/>
  <c r="P1001" i="1"/>
  <c r="Q1001" i="1"/>
  <c r="R1001" i="1"/>
  <c r="N1002" i="1"/>
  <c r="O1002" i="1"/>
  <c r="P1002" i="1"/>
  <c r="Q1002" i="1"/>
  <c r="R1002" i="1"/>
  <c r="N1003" i="1"/>
  <c r="O1003" i="1"/>
  <c r="P1003" i="1"/>
  <c r="Q1003" i="1"/>
  <c r="R1003" i="1"/>
  <c r="N1004" i="1"/>
  <c r="O1004" i="1"/>
  <c r="P1004" i="1"/>
  <c r="Q1004" i="1"/>
  <c r="R1004" i="1"/>
  <c r="N1005" i="1"/>
  <c r="O1005" i="1"/>
  <c r="P1005" i="1" s="1"/>
  <c r="Q1005" i="1"/>
  <c r="R1005" i="1"/>
  <c r="N1006" i="1"/>
  <c r="O1006" i="1"/>
  <c r="P1006" i="1"/>
  <c r="Q1006" i="1"/>
  <c r="R1006" i="1"/>
  <c r="N1007" i="1"/>
  <c r="O1007" i="1"/>
  <c r="P1007" i="1" s="1"/>
  <c r="Q1007" i="1"/>
  <c r="R1007" i="1"/>
  <c r="N1008" i="1"/>
  <c r="O1008" i="1"/>
  <c r="P1008" i="1"/>
  <c r="Q1008" i="1"/>
  <c r="R1008" i="1"/>
  <c r="N1009" i="1"/>
  <c r="O1009" i="1"/>
  <c r="P1009" i="1"/>
  <c r="Q1009" i="1"/>
  <c r="R1009" i="1"/>
  <c r="N1010" i="1"/>
  <c r="P1010" i="1" s="1"/>
  <c r="O1010" i="1"/>
  <c r="Q1010" i="1"/>
  <c r="R1010" i="1"/>
  <c r="N1011" i="1"/>
  <c r="O1011" i="1"/>
  <c r="P1011" i="1" s="1"/>
  <c r="Q1011" i="1"/>
  <c r="R1011" i="1"/>
  <c r="N1012" i="1"/>
  <c r="O1012" i="1"/>
  <c r="P1012" i="1" s="1"/>
  <c r="Q1012" i="1"/>
  <c r="R1012" i="1"/>
  <c r="N1013" i="1"/>
  <c r="O1013" i="1"/>
  <c r="P1013" i="1" s="1"/>
  <c r="Q1013" i="1"/>
  <c r="R1013" i="1"/>
  <c r="N1014" i="1"/>
  <c r="O1014" i="1"/>
  <c r="P1014" i="1"/>
  <c r="Q1014" i="1"/>
  <c r="R1014" i="1"/>
  <c r="N1015" i="1"/>
  <c r="O1015" i="1"/>
  <c r="P1015" i="1" s="1"/>
  <c r="Q1015" i="1"/>
  <c r="R1015" i="1"/>
  <c r="N1016" i="1"/>
  <c r="O1016" i="1"/>
  <c r="P1016" i="1"/>
  <c r="Q1016" i="1"/>
  <c r="R1016" i="1"/>
  <c r="N1017" i="1"/>
  <c r="O1017" i="1"/>
  <c r="P1017" i="1" s="1"/>
  <c r="Q1017" i="1"/>
  <c r="R1017" i="1"/>
  <c r="N1018" i="1"/>
  <c r="O1018" i="1"/>
  <c r="P1018" i="1"/>
  <c r="Q1018" i="1"/>
  <c r="R1018" i="1"/>
  <c r="N1019" i="1"/>
  <c r="O1019" i="1"/>
  <c r="P1019" i="1"/>
  <c r="Q1019" i="1"/>
  <c r="R1019" i="1"/>
  <c r="N1020" i="1"/>
  <c r="P1020" i="1" s="1"/>
  <c r="O1020" i="1"/>
  <c r="Q1020" i="1"/>
  <c r="R1020" i="1"/>
  <c r="N1021" i="1"/>
  <c r="P1021" i="1" s="1"/>
  <c r="O1021" i="1"/>
  <c r="Q1021" i="1"/>
  <c r="R1021" i="1"/>
  <c r="N1022" i="1"/>
  <c r="O1022" i="1"/>
  <c r="P1022" i="1"/>
  <c r="Q1022" i="1"/>
  <c r="R1022" i="1"/>
  <c r="N1023" i="1"/>
  <c r="O1023" i="1"/>
  <c r="P1023" i="1" s="1"/>
  <c r="Q1023" i="1"/>
  <c r="R1023" i="1"/>
  <c r="N1024" i="1"/>
  <c r="O1024" i="1"/>
  <c r="P1024" i="1"/>
  <c r="Q1024" i="1"/>
  <c r="R1024" i="1"/>
  <c r="N1025" i="1"/>
  <c r="O1025" i="1"/>
  <c r="P1025" i="1" s="1"/>
  <c r="Q1025" i="1"/>
  <c r="R1025" i="1"/>
  <c r="N1026" i="1"/>
  <c r="O1026" i="1"/>
  <c r="P1026" i="1" s="1"/>
  <c r="Q1026" i="1"/>
  <c r="R1026" i="1"/>
  <c r="N1027" i="1"/>
  <c r="O1027" i="1"/>
  <c r="P1027" i="1" s="1"/>
  <c r="Q1027" i="1"/>
  <c r="R1027" i="1"/>
  <c r="N1028" i="1"/>
  <c r="O1028" i="1"/>
  <c r="P1028" i="1"/>
  <c r="Q1028" i="1"/>
  <c r="R1028" i="1"/>
  <c r="N1029" i="1"/>
  <c r="O1029" i="1"/>
  <c r="P1029" i="1" s="1"/>
  <c r="Q1029" i="1"/>
  <c r="R1029" i="1"/>
  <c r="N1030" i="1"/>
  <c r="O1030" i="1"/>
  <c r="P1030" i="1"/>
  <c r="Q1030" i="1"/>
  <c r="R1030" i="1"/>
  <c r="N1031" i="1"/>
  <c r="O1031" i="1"/>
  <c r="P1031" i="1" s="1"/>
  <c r="Q1031" i="1"/>
  <c r="R1031" i="1"/>
  <c r="N1032" i="1"/>
  <c r="O1032" i="1"/>
  <c r="P1032" i="1" s="1"/>
  <c r="Q1032" i="1"/>
  <c r="R1032" i="1"/>
  <c r="N1033" i="1"/>
  <c r="O1033" i="1"/>
  <c r="P1033" i="1"/>
  <c r="Q1033" i="1"/>
  <c r="R1033" i="1"/>
  <c r="N1034" i="1"/>
  <c r="P1034" i="1" s="1"/>
  <c r="O1034" i="1"/>
  <c r="Q1034" i="1"/>
  <c r="R1034" i="1"/>
  <c r="N1035" i="1"/>
  <c r="O1035" i="1"/>
  <c r="P1035" i="1"/>
  <c r="Q1035" i="1"/>
  <c r="R1035" i="1"/>
  <c r="N1036" i="1"/>
  <c r="O1036" i="1"/>
  <c r="P1036" i="1"/>
  <c r="Q1036" i="1"/>
  <c r="R1036" i="1"/>
  <c r="N1037" i="1"/>
  <c r="O1037" i="1"/>
  <c r="P1037" i="1" s="1"/>
  <c r="Q1037" i="1"/>
  <c r="R1037" i="1"/>
  <c r="N1038" i="1"/>
  <c r="O1038" i="1"/>
  <c r="P1038" i="1"/>
  <c r="Q1038" i="1"/>
  <c r="R1038" i="1"/>
  <c r="N1039" i="1"/>
  <c r="O1039" i="1"/>
  <c r="P1039" i="1" s="1"/>
  <c r="Q1039" i="1"/>
  <c r="R1039" i="1"/>
  <c r="N1040" i="1"/>
  <c r="O1040" i="1"/>
  <c r="P1040" i="1" s="1"/>
  <c r="Q1040" i="1"/>
  <c r="R1040" i="1"/>
  <c r="N1041" i="1"/>
  <c r="O1041" i="1"/>
  <c r="P1041" i="1"/>
  <c r="Q1041" i="1"/>
  <c r="R1041" i="1"/>
  <c r="N1042" i="1"/>
  <c r="O1042" i="1"/>
  <c r="P1042" i="1"/>
  <c r="Q1042" i="1"/>
  <c r="R1042" i="1"/>
  <c r="N1043" i="1"/>
  <c r="O1043" i="1"/>
  <c r="P1043" i="1"/>
  <c r="Q1043" i="1"/>
  <c r="R1043" i="1"/>
  <c r="N1044" i="1"/>
  <c r="O1044" i="1"/>
  <c r="P1044" i="1"/>
  <c r="Q1044" i="1"/>
  <c r="R1044" i="1"/>
  <c r="N1045" i="1"/>
  <c r="O1045" i="1"/>
  <c r="P1045" i="1" s="1"/>
  <c r="Q1045" i="1"/>
  <c r="R1045" i="1"/>
  <c r="N1046" i="1"/>
  <c r="O1046" i="1"/>
  <c r="P1046" i="1" s="1"/>
  <c r="Q1046" i="1"/>
  <c r="R1046" i="1"/>
  <c r="N1047" i="1"/>
  <c r="O1047" i="1"/>
  <c r="P1047" i="1" s="1"/>
  <c r="Q1047" i="1"/>
  <c r="R1047" i="1"/>
  <c r="N1048" i="1"/>
  <c r="O1048" i="1"/>
  <c r="P1048" i="1" s="1"/>
  <c r="Q1048" i="1"/>
  <c r="R1048" i="1"/>
  <c r="N1049" i="1"/>
  <c r="O1049" i="1"/>
  <c r="P1049" i="1"/>
  <c r="Q1049" i="1"/>
  <c r="R1049" i="1"/>
  <c r="N1050" i="1"/>
  <c r="O1050" i="1"/>
  <c r="P1050" i="1"/>
  <c r="Q1050" i="1"/>
  <c r="R1050" i="1"/>
  <c r="N1051" i="1"/>
  <c r="O1051" i="1"/>
  <c r="P1051" i="1" s="1"/>
  <c r="Q1051" i="1"/>
  <c r="R1051" i="1"/>
  <c r="N1052" i="1"/>
  <c r="O1052" i="1"/>
  <c r="P1052" i="1" s="1"/>
  <c r="Q1052" i="1"/>
  <c r="R1052" i="1"/>
  <c r="N1053" i="1"/>
  <c r="O1053" i="1"/>
  <c r="P1053" i="1" s="1"/>
  <c r="Q1053" i="1"/>
  <c r="R1053" i="1"/>
  <c r="N1054" i="1"/>
  <c r="O1054" i="1"/>
  <c r="P1054" i="1" s="1"/>
  <c r="Q1054" i="1"/>
  <c r="R1054" i="1"/>
  <c r="N1055" i="1"/>
  <c r="O1055" i="1"/>
  <c r="P1055" i="1"/>
  <c r="Q1055" i="1"/>
  <c r="R1055" i="1"/>
  <c r="N1056" i="1"/>
  <c r="O1056" i="1"/>
  <c r="P1056" i="1" s="1"/>
  <c r="Q1056" i="1"/>
  <c r="R1056" i="1"/>
  <c r="N1057" i="1"/>
  <c r="O1057" i="1"/>
  <c r="P1057" i="1" s="1"/>
  <c r="Q1057" i="1"/>
  <c r="R1057" i="1"/>
  <c r="N1058" i="1"/>
  <c r="O1058" i="1"/>
  <c r="P1058" i="1"/>
  <c r="Q1058" i="1"/>
  <c r="R1058" i="1"/>
  <c r="N1059" i="1"/>
  <c r="O1059" i="1"/>
  <c r="P1059" i="1" s="1"/>
  <c r="Q1059" i="1"/>
  <c r="R1059" i="1"/>
  <c r="N1060" i="1"/>
  <c r="O1060" i="1"/>
  <c r="P1060" i="1"/>
  <c r="Q1060" i="1"/>
  <c r="R1060" i="1"/>
  <c r="N1061" i="1"/>
  <c r="O1061" i="1"/>
  <c r="P1061" i="1" s="1"/>
  <c r="Q1061" i="1"/>
  <c r="R1061" i="1"/>
  <c r="N1062" i="1"/>
  <c r="O1062" i="1"/>
  <c r="P1062" i="1"/>
  <c r="Q1062" i="1"/>
  <c r="R1062" i="1"/>
  <c r="N1063" i="1"/>
  <c r="O1063" i="1"/>
  <c r="P1063" i="1"/>
  <c r="Q1063" i="1"/>
  <c r="R1063" i="1"/>
  <c r="N1064" i="1"/>
  <c r="O1064" i="1"/>
  <c r="P1064" i="1"/>
  <c r="Q1064" i="1"/>
  <c r="R1064" i="1"/>
  <c r="N1065" i="1"/>
  <c r="O1065" i="1"/>
  <c r="P1065" i="1"/>
  <c r="Q1065" i="1"/>
  <c r="R1065" i="1"/>
  <c r="N1066" i="1"/>
  <c r="O1066" i="1"/>
  <c r="P1066" i="1"/>
  <c r="Q1066" i="1"/>
  <c r="R1066" i="1"/>
  <c r="N1067" i="1"/>
  <c r="O1067" i="1"/>
  <c r="P1067" i="1" s="1"/>
  <c r="Q1067" i="1"/>
  <c r="R1067" i="1"/>
  <c r="N1068" i="1"/>
  <c r="O1068" i="1"/>
  <c r="P1068" i="1" s="1"/>
  <c r="Q1068" i="1"/>
  <c r="R1068" i="1"/>
  <c r="N1069" i="1"/>
  <c r="O1069" i="1"/>
  <c r="P1069" i="1" s="1"/>
  <c r="Q1069" i="1"/>
  <c r="R1069" i="1"/>
  <c r="N1070" i="1"/>
  <c r="O1070" i="1"/>
  <c r="P1070" i="1" s="1"/>
  <c r="Q1070" i="1"/>
  <c r="R1070" i="1"/>
  <c r="N1071" i="1"/>
  <c r="O1071" i="1"/>
  <c r="P1071" i="1" s="1"/>
  <c r="Q1071" i="1"/>
  <c r="R1071" i="1"/>
  <c r="N1072" i="1"/>
  <c r="O1072" i="1"/>
  <c r="P1072" i="1" s="1"/>
  <c r="Q1072" i="1"/>
  <c r="R1072" i="1"/>
  <c r="N1073" i="1"/>
  <c r="O1073" i="1"/>
  <c r="P1073" i="1"/>
  <c r="Q1073" i="1"/>
  <c r="R1073" i="1"/>
  <c r="N1074" i="1"/>
  <c r="O1074" i="1"/>
  <c r="P1074" i="1"/>
  <c r="Q1074" i="1"/>
  <c r="R1074" i="1"/>
  <c r="N1075" i="1"/>
  <c r="O1075" i="1"/>
  <c r="P1075" i="1" s="1"/>
  <c r="Q1075" i="1"/>
  <c r="R1075" i="1"/>
  <c r="N1076" i="1"/>
  <c r="O1076" i="1"/>
  <c r="P1076" i="1" s="1"/>
  <c r="Q1076" i="1"/>
  <c r="R1076" i="1"/>
  <c r="N1077" i="1"/>
  <c r="O1077" i="1"/>
  <c r="P1077" i="1" s="1"/>
  <c r="Q1077" i="1"/>
  <c r="R1077" i="1"/>
  <c r="N1078" i="1"/>
  <c r="O1078" i="1"/>
  <c r="P1078" i="1" s="1"/>
  <c r="Q1078" i="1"/>
  <c r="R1078" i="1"/>
  <c r="N1079" i="1"/>
  <c r="O1079" i="1"/>
  <c r="P1079" i="1" s="1"/>
  <c r="Q1079" i="1"/>
  <c r="R1079" i="1"/>
  <c r="N1080" i="1"/>
  <c r="O1080" i="1"/>
  <c r="P1080" i="1"/>
  <c r="Q1080" i="1"/>
  <c r="R1080" i="1"/>
  <c r="N1081" i="1"/>
  <c r="O1081" i="1"/>
  <c r="P1081" i="1"/>
  <c r="Q1081" i="1"/>
  <c r="R1081" i="1"/>
  <c r="N1082" i="1"/>
  <c r="O1082" i="1"/>
  <c r="P1082" i="1"/>
  <c r="Q1082" i="1"/>
  <c r="R1082" i="1"/>
  <c r="N1083" i="1"/>
  <c r="O1083" i="1"/>
  <c r="P1083" i="1" s="1"/>
  <c r="Q1083" i="1"/>
  <c r="R1083" i="1"/>
  <c r="N1084" i="1"/>
  <c r="O1084" i="1"/>
  <c r="P1084" i="1" s="1"/>
  <c r="Q1084" i="1"/>
  <c r="R1084" i="1"/>
  <c r="N1085" i="1"/>
  <c r="O1085" i="1"/>
  <c r="P1085" i="1" s="1"/>
  <c r="Q1085" i="1"/>
  <c r="R1085" i="1"/>
  <c r="N1086" i="1"/>
  <c r="O1086" i="1"/>
  <c r="P1086" i="1"/>
  <c r="Q1086" i="1"/>
  <c r="R1086" i="1"/>
  <c r="N1087" i="1"/>
  <c r="O1087" i="1"/>
  <c r="P1087" i="1" s="1"/>
  <c r="Q1087" i="1"/>
  <c r="R1087" i="1"/>
  <c r="N1088" i="1"/>
  <c r="O1088" i="1"/>
  <c r="P1088" i="1"/>
  <c r="Q1088" i="1"/>
  <c r="R1088" i="1"/>
  <c r="N1089" i="1"/>
  <c r="O1089" i="1"/>
  <c r="P1089" i="1" s="1"/>
  <c r="Q1089" i="1"/>
  <c r="R1089" i="1"/>
  <c r="N1090" i="1"/>
  <c r="O1090" i="1"/>
  <c r="P1090" i="1" s="1"/>
  <c r="Q1090" i="1"/>
  <c r="R1090" i="1"/>
  <c r="N1091" i="1"/>
  <c r="O1091" i="1"/>
  <c r="P1091" i="1"/>
  <c r="Q1091" i="1"/>
  <c r="R1091" i="1"/>
  <c r="N1092" i="1"/>
  <c r="O1092" i="1"/>
  <c r="P1092" i="1" s="1"/>
  <c r="Q1092" i="1"/>
  <c r="R1092" i="1"/>
  <c r="N1093" i="1"/>
  <c r="O1093" i="1"/>
  <c r="P1093" i="1" s="1"/>
  <c r="Q1093" i="1"/>
  <c r="R1093" i="1"/>
  <c r="N1094" i="1"/>
  <c r="O1094" i="1"/>
  <c r="P1094" i="1" s="1"/>
  <c r="Q1094" i="1"/>
  <c r="R1094" i="1"/>
  <c r="N1095" i="1"/>
  <c r="O1095" i="1"/>
  <c r="P1095" i="1" s="1"/>
  <c r="Q1095" i="1"/>
  <c r="R1095" i="1"/>
  <c r="N1096" i="1"/>
  <c r="O1096" i="1"/>
  <c r="P1096" i="1" s="1"/>
  <c r="Q1096" i="1"/>
  <c r="R1096" i="1"/>
  <c r="N1097" i="1"/>
  <c r="O1097" i="1"/>
  <c r="P1097" i="1"/>
  <c r="Q1097" i="1"/>
  <c r="R1097" i="1"/>
  <c r="N1098" i="1"/>
  <c r="P1098" i="1" s="1"/>
  <c r="O1098" i="1"/>
  <c r="Q1098" i="1"/>
  <c r="R1098" i="1"/>
  <c r="N1099" i="1"/>
  <c r="O1099" i="1"/>
  <c r="P1099" i="1" s="1"/>
  <c r="Q1099" i="1"/>
  <c r="R1099" i="1"/>
  <c r="N1100" i="1"/>
  <c r="O1100" i="1"/>
  <c r="P1100" i="1" s="1"/>
  <c r="Q1100" i="1"/>
  <c r="R1100" i="1"/>
  <c r="N1101" i="1"/>
  <c r="O1101" i="1"/>
  <c r="P1101" i="1" s="1"/>
  <c r="Q1101" i="1"/>
  <c r="R1101" i="1"/>
  <c r="N1102" i="1"/>
  <c r="O1102" i="1"/>
  <c r="P1102" i="1" s="1"/>
  <c r="Q1102" i="1"/>
  <c r="R1102" i="1"/>
  <c r="N1103" i="1"/>
  <c r="O1103" i="1"/>
  <c r="P1103" i="1" s="1"/>
  <c r="Q1103" i="1"/>
  <c r="R1103" i="1"/>
  <c r="N1104" i="1"/>
  <c r="O1104" i="1"/>
  <c r="P1104" i="1" s="1"/>
  <c r="Q1104" i="1"/>
  <c r="R1104" i="1"/>
  <c r="N1105" i="1"/>
  <c r="O1105" i="1"/>
  <c r="P1105" i="1"/>
  <c r="Q1105" i="1"/>
  <c r="R1105" i="1"/>
  <c r="N1106" i="1"/>
  <c r="O1106" i="1"/>
  <c r="P1106" i="1" s="1"/>
  <c r="Q1106" i="1"/>
  <c r="R1106" i="1"/>
  <c r="N1107" i="1"/>
  <c r="O1107" i="1"/>
  <c r="P1107" i="1"/>
  <c r="Q1107" i="1"/>
  <c r="R1107" i="1"/>
  <c r="N1108" i="1"/>
  <c r="O1108" i="1"/>
  <c r="P1108" i="1" s="1"/>
  <c r="Q1108" i="1"/>
  <c r="R1108" i="1"/>
  <c r="N1109" i="1"/>
  <c r="O1109" i="1"/>
  <c r="P1109" i="1" s="1"/>
  <c r="Q1109" i="1"/>
  <c r="R1109" i="1"/>
  <c r="N1110" i="1"/>
  <c r="O1110" i="1"/>
  <c r="P1110" i="1" s="1"/>
  <c r="Q1110" i="1"/>
  <c r="R1110" i="1"/>
  <c r="N1111" i="1"/>
  <c r="O1111" i="1"/>
  <c r="P1111" i="1" s="1"/>
  <c r="Q1111" i="1"/>
  <c r="R1111" i="1"/>
  <c r="N1112" i="1"/>
  <c r="O1112" i="1"/>
  <c r="P1112" i="1" s="1"/>
  <c r="Q1112" i="1"/>
  <c r="R1112" i="1"/>
  <c r="N1113" i="1"/>
  <c r="O1113" i="1"/>
  <c r="P1113" i="1" s="1"/>
  <c r="Q1113" i="1"/>
  <c r="R1113" i="1"/>
  <c r="N1114" i="1"/>
  <c r="O1114" i="1"/>
  <c r="P1114" i="1"/>
  <c r="Q1114" i="1"/>
  <c r="R1114" i="1"/>
  <c r="N1115" i="1"/>
  <c r="O1115" i="1"/>
  <c r="P1115" i="1" s="1"/>
  <c r="Q1115" i="1"/>
  <c r="R1115" i="1"/>
  <c r="N1116" i="1"/>
  <c r="O1116" i="1"/>
  <c r="P1116" i="1" s="1"/>
  <c r="Q1116" i="1"/>
  <c r="R1116" i="1"/>
  <c r="N1117" i="1"/>
  <c r="O1117" i="1"/>
  <c r="P1117" i="1" s="1"/>
  <c r="Q1117" i="1"/>
  <c r="R1117" i="1"/>
  <c r="N1118" i="1"/>
  <c r="O1118" i="1"/>
  <c r="P1118" i="1"/>
  <c r="Q1118" i="1"/>
  <c r="R1118" i="1"/>
  <c r="N1119" i="1"/>
  <c r="O1119" i="1"/>
  <c r="P1119" i="1" s="1"/>
  <c r="Q1119" i="1"/>
  <c r="R1119" i="1"/>
  <c r="N1120" i="1"/>
  <c r="O1120" i="1"/>
  <c r="P1120" i="1"/>
  <c r="Q1120" i="1"/>
  <c r="R1120" i="1"/>
  <c r="N1121" i="1"/>
  <c r="O1121" i="1"/>
  <c r="P1121" i="1"/>
  <c r="Q1121" i="1"/>
  <c r="R1121" i="1"/>
  <c r="N1122" i="1"/>
  <c r="O1122" i="1"/>
  <c r="P1122" i="1"/>
  <c r="Q1122" i="1"/>
  <c r="R1122" i="1"/>
  <c r="N1123" i="1"/>
  <c r="O1123" i="1"/>
  <c r="P1123" i="1" s="1"/>
  <c r="Q1123" i="1"/>
  <c r="R1123" i="1"/>
  <c r="N1124" i="1"/>
  <c r="O1124" i="1"/>
  <c r="P1124" i="1" s="1"/>
  <c r="Q1124" i="1"/>
  <c r="R1124" i="1"/>
  <c r="N1125" i="1"/>
  <c r="O1125" i="1"/>
  <c r="P1125" i="1" s="1"/>
  <c r="Q1125" i="1"/>
  <c r="R1125" i="1"/>
  <c r="N1126" i="1"/>
  <c r="O1126" i="1"/>
  <c r="P1126" i="1"/>
  <c r="Q1126" i="1"/>
  <c r="R1126" i="1"/>
  <c r="N1127" i="1"/>
  <c r="O1127" i="1"/>
  <c r="P1127" i="1" s="1"/>
  <c r="Q1127" i="1"/>
  <c r="R1127" i="1"/>
  <c r="N1128" i="1"/>
  <c r="O1128" i="1"/>
  <c r="P1128" i="1" s="1"/>
  <c r="Q1128" i="1"/>
  <c r="R1128" i="1"/>
  <c r="N1129" i="1"/>
  <c r="O1129" i="1"/>
  <c r="P1129" i="1"/>
  <c r="Q1129" i="1"/>
  <c r="R1129" i="1"/>
  <c r="N1130" i="1"/>
  <c r="O1130" i="1"/>
  <c r="P1130" i="1" s="1"/>
  <c r="Q1130" i="1"/>
  <c r="R1130" i="1"/>
  <c r="N1131" i="1"/>
  <c r="O1131" i="1"/>
  <c r="P1131" i="1" s="1"/>
  <c r="Q1131" i="1"/>
  <c r="R1131" i="1"/>
  <c r="N1132" i="1"/>
  <c r="P1132" i="1" s="1"/>
  <c r="O1132" i="1"/>
  <c r="Q1132" i="1"/>
  <c r="R1132" i="1"/>
  <c r="N1133" i="1"/>
  <c r="O1133" i="1"/>
  <c r="P1133" i="1" s="1"/>
  <c r="Q1133" i="1"/>
  <c r="R1133" i="1"/>
  <c r="N1134" i="1"/>
  <c r="O1134" i="1"/>
  <c r="P1134" i="1"/>
  <c r="Q1134" i="1"/>
  <c r="R1134" i="1"/>
  <c r="N1135" i="1"/>
  <c r="O1135" i="1"/>
  <c r="P1135" i="1" s="1"/>
  <c r="Q1135" i="1"/>
  <c r="R1135" i="1"/>
  <c r="N1136" i="1"/>
  <c r="O1136" i="1"/>
  <c r="P1136" i="1" s="1"/>
  <c r="Q1136" i="1"/>
  <c r="R1136" i="1"/>
  <c r="N1137" i="1"/>
  <c r="O1137" i="1"/>
  <c r="P1137" i="1"/>
  <c r="Q1137" i="1"/>
  <c r="R1137" i="1"/>
  <c r="N1138" i="1"/>
  <c r="O1138" i="1"/>
  <c r="P1138" i="1" s="1"/>
  <c r="Q1138" i="1"/>
  <c r="R1138" i="1"/>
  <c r="N1139" i="1"/>
  <c r="O1139" i="1"/>
  <c r="P1139" i="1"/>
  <c r="Q1139" i="1"/>
  <c r="R1139" i="1"/>
  <c r="N1140" i="1"/>
  <c r="P1140" i="1" s="1"/>
  <c r="O1140" i="1"/>
  <c r="Q1140" i="1"/>
  <c r="R1140" i="1"/>
  <c r="N1141" i="1"/>
  <c r="P1141" i="1" s="1"/>
  <c r="O1141" i="1"/>
  <c r="Q1141" i="1"/>
  <c r="R1141" i="1"/>
  <c r="N1142" i="1"/>
  <c r="O1142" i="1"/>
  <c r="P1142" i="1"/>
  <c r="Q1142" i="1"/>
  <c r="R1142" i="1"/>
  <c r="N1143" i="1"/>
  <c r="O1143" i="1"/>
  <c r="P1143" i="1" s="1"/>
  <c r="Q1143" i="1"/>
  <c r="R1143" i="1"/>
  <c r="N1144" i="1"/>
  <c r="P1144" i="1" s="1"/>
  <c r="O1144" i="1"/>
  <c r="Q1144" i="1"/>
  <c r="R1144" i="1"/>
  <c r="N1145" i="1"/>
  <c r="O1145" i="1"/>
  <c r="P1145" i="1"/>
  <c r="Q1145" i="1"/>
  <c r="R1145" i="1"/>
  <c r="N1146" i="1"/>
  <c r="O1146" i="1"/>
  <c r="P1146" i="1" s="1"/>
  <c r="Q1146" i="1"/>
  <c r="R1146" i="1"/>
  <c r="N1147" i="1"/>
  <c r="O1147" i="1"/>
  <c r="P1147" i="1"/>
  <c r="Q1147" i="1"/>
  <c r="R1147" i="1"/>
  <c r="N1148" i="1"/>
  <c r="O1148" i="1"/>
  <c r="P1148" i="1" s="1"/>
  <c r="Q1148" i="1"/>
  <c r="R1148" i="1"/>
  <c r="N1149" i="1"/>
  <c r="O1149" i="1"/>
  <c r="P1149" i="1" s="1"/>
  <c r="Q1149" i="1"/>
  <c r="R1149" i="1"/>
  <c r="N1150" i="1"/>
  <c r="O1150" i="1"/>
  <c r="P1150" i="1"/>
  <c r="Q1150" i="1"/>
  <c r="R1150" i="1"/>
  <c r="N1151" i="1"/>
  <c r="O1151" i="1"/>
  <c r="P1151" i="1" s="1"/>
  <c r="Q1151" i="1"/>
  <c r="R1151" i="1"/>
  <c r="N1152" i="1"/>
  <c r="O1152" i="1"/>
  <c r="P1152" i="1" s="1"/>
  <c r="Q1152" i="1"/>
  <c r="R1152" i="1"/>
  <c r="N1153" i="1"/>
  <c r="O1153" i="1"/>
  <c r="P1153" i="1"/>
  <c r="Q1153" i="1"/>
  <c r="R1153" i="1"/>
  <c r="N1154" i="1"/>
  <c r="O1154" i="1"/>
  <c r="P1154" i="1" s="1"/>
  <c r="Q1154" i="1"/>
  <c r="R1154" i="1"/>
  <c r="N1155" i="1"/>
  <c r="O1155" i="1"/>
  <c r="P1155" i="1" s="1"/>
  <c r="Q1155" i="1"/>
  <c r="R1155" i="1"/>
  <c r="N1156" i="1"/>
  <c r="O1156" i="1"/>
  <c r="P1156" i="1" s="1"/>
  <c r="Q1156" i="1"/>
  <c r="R1156" i="1"/>
  <c r="N1157" i="1"/>
  <c r="O1157" i="1"/>
  <c r="P1157" i="1" s="1"/>
  <c r="Q1157" i="1"/>
  <c r="R1157" i="1"/>
  <c r="N1158" i="1"/>
  <c r="O1158" i="1"/>
  <c r="P1158" i="1" s="1"/>
  <c r="Q1158" i="1"/>
  <c r="R1158" i="1"/>
  <c r="N1159" i="1"/>
  <c r="O1159" i="1"/>
  <c r="P1159" i="1" s="1"/>
  <c r="Q1159" i="1"/>
  <c r="R1159" i="1"/>
  <c r="N1160" i="1"/>
  <c r="O1160" i="1"/>
  <c r="P1160" i="1" s="1"/>
  <c r="Q1160" i="1"/>
  <c r="R1160" i="1"/>
  <c r="N1161" i="1"/>
  <c r="O1161" i="1"/>
  <c r="P1161" i="1" s="1"/>
  <c r="Q1161" i="1"/>
  <c r="R1161" i="1"/>
  <c r="N1162" i="1"/>
  <c r="O1162" i="1"/>
  <c r="P1162" i="1"/>
  <c r="Q1162" i="1"/>
  <c r="R1162" i="1"/>
  <c r="N1163" i="1"/>
  <c r="O1163" i="1"/>
  <c r="P1163" i="1" s="1"/>
  <c r="Q1163" i="1"/>
  <c r="R1163" i="1"/>
  <c r="N1164" i="1"/>
  <c r="O1164" i="1"/>
  <c r="P1164" i="1" s="1"/>
  <c r="Q1164" i="1"/>
  <c r="R1164" i="1"/>
  <c r="N1165" i="1"/>
  <c r="P1165" i="1" s="1"/>
  <c r="O1165" i="1"/>
  <c r="Q1165" i="1"/>
  <c r="R1165" i="1"/>
  <c r="N1166" i="1"/>
  <c r="O1166" i="1"/>
  <c r="P1166" i="1"/>
  <c r="Q1166" i="1"/>
  <c r="R1166" i="1"/>
  <c r="N1167" i="1"/>
  <c r="O1167" i="1"/>
  <c r="P1167" i="1" s="1"/>
  <c r="Q1167" i="1"/>
  <c r="R1167" i="1"/>
  <c r="N1168" i="1"/>
  <c r="P1168" i="1" s="1"/>
  <c r="O1168" i="1"/>
  <c r="Q1168" i="1"/>
  <c r="R1168" i="1"/>
  <c r="N1169" i="1"/>
  <c r="O1169" i="1"/>
  <c r="P1169" i="1"/>
  <c r="Q1169" i="1"/>
  <c r="R1169" i="1"/>
  <c r="N1170" i="1"/>
  <c r="O1170" i="1"/>
  <c r="P1170" i="1" s="1"/>
  <c r="Q1170" i="1"/>
  <c r="R1170" i="1"/>
  <c r="N1171" i="1"/>
  <c r="O1171" i="1"/>
  <c r="P1171" i="1"/>
  <c r="Q1171" i="1"/>
  <c r="R1171" i="1"/>
  <c r="N1172" i="1"/>
  <c r="O1172" i="1"/>
  <c r="P1172" i="1" s="1"/>
  <c r="Q1172" i="1"/>
  <c r="R1172" i="1"/>
  <c r="N1173" i="1"/>
  <c r="O1173" i="1"/>
  <c r="P1173" i="1" s="1"/>
  <c r="Q1173" i="1"/>
  <c r="R1173" i="1"/>
  <c r="N1174" i="1"/>
  <c r="O1174" i="1"/>
  <c r="P1174" i="1" s="1"/>
  <c r="Q1174" i="1"/>
  <c r="R1174" i="1"/>
  <c r="N1175" i="1"/>
  <c r="O1175" i="1"/>
  <c r="P1175" i="1" s="1"/>
  <c r="Q1175" i="1"/>
  <c r="R1175" i="1"/>
  <c r="N1176" i="1"/>
  <c r="O1176" i="1"/>
  <c r="P1176" i="1" s="1"/>
  <c r="Q1176" i="1"/>
  <c r="R1176" i="1"/>
  <c r="N1177" i="1"/>
  <c r="O1177" i="1"/>
  <c r="P1177" i="1"/>
  <c r="Q1177" i="1"/>
  <c r="R1177" i="1"/>
  <c r="N1178" i="1"/>
  <c r="P1178" i="1" s="1"/>
  <c r="O1178" i="1"/>
  <c r="Q1178" i="1"/>
  <c r="R1178" i="1"/>
  <c r="N1179" i="1"/>
  <c r="O1179" i="1"/>
  <c r="P1179" i="1" s="1"/>
  <c r="Q1179" i="1"/>
  <c r="R1179" i="1"/>
  <c r="N1180" i="1"/>
  <c r="P1180" i="1" s="1"/>
  <c r="O1180" i="1"/>
  <c r="Q1180" i="1"/>
  <c r="R1180" i="1"/>
  <c r="N1181" i="1"/>
  <c r="O1181" i="1"/>
  <c r="P1181" i="1" s="1"/>
  <c r="Q1181" i="1"/>
  <c r="R1181" i="1"/>
  <c r="N1182" i="1"/>
  <c r="O1182" i="1"/>
  <c r="P1182" i="1"/>
  <c r="Q1182" i="1"/>
  <c r="R1182" i="1"/>
  <c r="N1183" i="1"/>
  <c r="O1183" i="1"/>
  <c r="P1183" i="1"/>
  <c r="Q1183" i="1"/>
  <c r="R1183" i="1"/>
  <c r="N1184" i="1"/>
  <c r="O1184" i="1"/>
  <c r="P1184" i="1" s="1"/>
  <c r="Q1184" i="1"/>
  <c r="R1184" i="1"/>
  <c r="N1185" i="1"/>
  <c r="O1185" i="1"/>
  <c r="P1185" i="1"/>
  <c r="Q1185" i="1"/>
  <c r="R1185" i="1"/>
  <c r="N1186" i="1"/>
  <c r="O1186" i="1"/>
  <c r="P1186" i="1" s="1"/>
  <c r="Q1186" i="1"/>
  <c r="R1186" i="1"/>
  <c r="N1187" i="1"/>
  <c r="O1187" i="1"/>
  <c r="P1187" i="1" s="1"/>
  <c r="Q1187" i="1"/>
  <c r="R1187" i="1"/>
  <c r="N1189" i="1"/>
  <c r="P1189" i="1" s="1"/>
  <c r="O1189" i="1"/>
  <c r="Q1189" i="1"/>
  <c r="R1189" i="1"/>
  <c r="N1190" i="1"/>
  <c r="O1190" i="1"/>
  <c r="P1190" i="1" s="1"/>
  <c r="Q1190" i="1"/>
  <c r="R1190" i="1"/>
  <c r="N1191" i="1"/>
  <c r="O1191" i="1"/>
  <c r="P1191" i="1"/>
  <c r="Q1191" i="1"/>
  <c r="R1191" i="1"/>
  <c r="N1192" i="1"/>
  <c r="O1192" i="1"/>
  <c r="P1192" i="1" s="1"/>
  <c r="Q1192" i="1"/>
  <c r="R1192" i="1"/>
  <c r="N1193" i="1"/>
  <c r="O1193" i="1"/>
  <c r="P1193" i="1" s="1"/>
  <c r="Q1193" i="1"/>
  <c r="R1193" i="1"/>
  <c r="N1194" i="1"/>
  <c r="O1194" i="1"/>
  <c r="P1194" i="1"/>
  <c r="Q1194" i="1"/>
  <c r="R1194" i="1"/>
  <c r="N1195" i="1"/>
  <c r="O1195" i="1"/>
  <c r="P1195" i="1"/>
  <c r="Q1195" i="1"/>
  <c r="R1195" i="1"/>
  <c r="N1196" i="1"/>
  <c r="O1196" i="1"/>
  <c r="P1196" i="1"/>
  <c r="Q1196" i="1"/>
  <c r="R1196" i="1"/>
  <c r="N1197" i="1"/>
  <c r="O1197" i="1"/>
  <c r="P1197" i="1" s="1"/>
  <c r="Q1197" i="1"/>
  <c r="R1197" i="1"/>
  <c r="N1198" i="1"/>
  <c r="O1198" i="1"/>
  <c r="P1198" i="1" s="1"/>
  <c r="Q1198" i="1"/>
  <c r="R1198" i="1"/>
  <c r="N1199" i="1"/>
  <c r="O1199" i="1"/>
  <c r="P1199" i="1"/>
  <c r="Q1199" i="1"/>
  <c r="R1199" i="1"/>
  <c r="N1200" i="1"/>
  <c r="O1200" i="1"/>
  <c r="P1200" i="1"/>
  <c r="Q1200" i="1"/>
  <c r="R1200" i="1"/>
  <c r="N1201" i="1"/>
  <c r="O1201" i="1"/>
  <c r="P1201" i="1" s="1"/>
  <c r="Q1201" i="1"/>
  <c r="R1201" i="1"/>
  <c r="N1202" i="1"/>
  <c r="O1202" i="1"/>
  <c r="P1202" i="1"/>
  <c r="Q1202" i="1"/>
  <c r="R1202" i="1"/>
  <c r="N1203" i="1"/>
  <c r="O1203" i="1"/>
  <c r="P1203" i="1"/>
  <c r="Q1203" i="1"/>
  <c r="R1203" i="1"/>
  <c r="N1204" i="1"/>
  <c r="O1204" i="1"/>
  <c r="P1204" i="1"/>
  <c r="Q1204" i="1"/>
  <c r="R1204" i="1"/>
  <c r="N1205" i="1"/>
  <c r="O1205" i="1"/>
  <c r="P1205" i="1" s="1"/>
  <c r="Q1205" i="1"/>
  <c r="R1205" i="1"/>
  <c r="N1206" i="1"/>
  <c r="O1206" i="1"/>
  <c r="P1206" i="1" s="1"/>
  <c r="Q1206" i="1"/>
  <c r="R120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2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R2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8" i="1"/>
  <c r="R1229" i="1"/>
  <c r="R1230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18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Q2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8" i="1"/>
  <c r="Q1229" i="1"/>
  <c r="Q1230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188" i="1"/>
  <c r="Q1231" i="1"/>
  <c r="Q1227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H1067" i="1"/>
  <c r="I1067" i="1"/>
  <c r="E1067" i="1"/>
  <c r="H1197" i="1"/>
  <c r="I1197" i="1"/>
  <c r="H1198" i="1"/>
  <c r="I1198" i="1"/>
  <c r="H1199" i="1"/>
  <c r="I1199" i="1"/>
  <c r="H1200" i="1"/>
  <c r="I1200" i="1"/>
  <c r="H1201" i="1"/>
  <c r="I1201" i="1"/>
  <c r="H1202" i="1"/>
  <c r="I1202" i="1"/>
  <c r="H1203" i="1"/>
  <c r="I1203" i="1"/>
  <c r="H1204" i="1"/>
  <c r="I1204" i="1"/>
  <c r="H1205" i="1"/>
  <c r="I1205" i="1"/>
  <c r="H1206" i="1"/>
  <c r="I1206" i="1"/>
  <c r="E1197" i="1"/>
  <c r="E1198" i="1"/>
  <c r="E1199" i="1"/>
  <c r="E1200" i="1"/>
  <c r="E1201" i="1"/>
  <c r="E1202" i="1"/>
  <c r="E1203" i="1"/>
  <c r="E1204" i="1"/>
  <c r="E1205" i="1"/>
  <c r="E1206" i="1"/>
  <c r="AD132" i="6" l="1"/>
  <c r="AC168" i="6"/>
  <c r="AC128" i="6"/>
  <c r="AC129" i="6"/>
  <c r="AC130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D125" i="6"/>
  <c r="AD126" i="6"/>
  <c r="AD127" i="6"/>
  <c r="AD128" i="6"/>
  <c r="AD129" i="6"/>
  <c r="AD131" i="6"/>
  <c r="AD130" i="6"/>
  <c r="AD149" i="6"/>
  <c r="AD150" i="6"/>
  <c r="AD151" i="6"/>
  <c r="AD152" i="6"/>
  <c r="AD153" i="6"/>
  <c r="AD154" i="6"/>
  <c r="AD147" i="6"/>
  <c r="AD146" i="6"/>
  <c r="AD145" i="6"/>
  <c r="AD144" i="6"/>
  <c r="AD143" i="6"/>
  <c r="AD142" i="6"/>
  <c r="AD141" i="6"/>
  <c r="AD140" i="6"/>
  <c r="AD139" i="6"/>
  <c r="AD138" i="6"/>
  <c r="AD148" i="6"/>
  <c r="AD137" i="6"/>
  <c r="AD136" i="6"/>
  <c r="AD135" i="6"/>
  <c r="AD134" i="6"/>
  <c r="AD133" i="6"/>
  <c r="AD163" i="6"/>
  <c r="AD164" i="6"/>
  <c r="AD165" i="6"/>
  <c r="AD166" i="6"/>
  <c r="AD167" i="6"/>
  <c r="AD156" i="6"/>
  <c r="AD155" i="6"/>
  <c r="AD168" i="6"/>
  <c r="AD157" i="6"/>
  <c r="AD162" i="6"/>
  <c r="AD161" i="6"/>
  <c r="AD160" i="6"/>
  <c r="AD159" i="6"/>
  <c r="AD158" i="6"/>
  <c r="AC126" i="6"/>
  <c r="AC127" i="6"/>
  <c r="AC125" i="6"/>
  <c r="AC134" i="6"/>
  <c r="AC131" i="6"/>
  <c r="AC132" i="6"/>
  <c r="AC133" i="6"/>
  <c r="M1227" i="1"/>
  <c r="M1231" i="1"/>
  <c r="M917" i="1"/>
  <c r="M918" i="1"/>
  <c r="M947" i="1"/>
  <c r="M955" i="1"/>
  <c r="M956" i="1"/>
  <c r="M957" i="1"/>
  <c r="M958" i="1"/>
  <c r="M959" i="1"/>
  <c r="M960" i="1"/>
  <c r="M961" i="1"/>
  <c r="M1001" i="1"/>
  <c r="M895" i="1"/>
  <c r="M893" i="1"/>
  <c r="M899" i="1"/>
  <c r="M904" i="1"/>
  <c r="M938" i="1"/>
  <c r="M946" i="1"/>
  <c r="M880" i="1"/>
  <c r="M896" i="1"/>
  <c r="M901" i="1"/>
  <c r="M919" i="1"/>
  <c r="M940" i="1"/>
  <c r="M894" i="1"/>
  <c r="M898" i="1"/>
  <c r="M900" i="1"/>
  <c r="M945" i="1"/>
  <c r="M879" i="1"/>
  <c r="M897" i="1"/>
  <c r="M902" i="1"/>
  <c r="M937" i="1"/>
  <c r="M939" i="1"/>
  <c r="M1208" i="1"/>
  <c r="M995" i="1"/>
  <c r="M1010" i="1"/>
  <c r="M1015" i="1"/>
  <c r="M1030" i="1"/>
  <c r="M1076" i="1"/>
  <c r="M1092" i="1"/>
  <c r="M1137" i="1"/>
  <c r="M997" i="1"/>
  <c r="M1012" i="1"/>
  <c r="M1029" i="1"/>
  <c r="M1037" i="1"/>
  <c r="M1056" i="1"/>
  <c r="M1078" i="1"/>
  <c r="M1090" i="1"/>
  <c r="M1118" i="1"/>
  <c r="M1136" i="1"/>
  <c r="M962" i="1"/>
  <c r="M996" i="1"/>
  <c r="M1011" i="1"/>
  <c r="M1014" i="1"/>
  <c r="M1028" i="1"/>
  <c r="M1031" i="1"/>
  <c r="M1041" i="1"/>
  <c r="M1060" i="1"/>
  <c r="M1077" i="1"/>
  <c r="M1087" i="1"/>
  <c r="M1119" i="1"/>
  <c r="M973" i="1"/>
  <c r="M972" i="1"/>
  <c r="M999" i="1"/>
  <c r="M1128" i="1"/>
  <c r="M971" i="1"/>
  <c r="M998" i="1"/>
  <c r="M1013" i="1"/>
  <c r="M1027" i="1"/>
  <c r="M1036" i="1"/>
  <c r="M1066" i="1"/>
  <c r="M1086" i="1"/>
  <c r="M1094" i="1"/>
  <c r="M1129" i="1"/>
  <c r="M1057" i="1"/>
  <c r="M1058" i="1"/>
  <c r="M1059" i="1"/>
  <c r="M1065" i="1"/>
  <c r="M1074" i="1"/>
  <c r="M1088" i="1"/>
  <c r="M1116" i="1"/>
  <c r="M1055" i="1"/>
  <c r="M1075" i="1"/>
  <c r="M1089" i="1"/>
  <c r="M1091" i="1"/>
  <c r="M1093" i="1"/>
  <c r="M1117" i="1"/>
  <c r="M1127" i="1"/>
  <c r="M1147" i="1"/>
  <c r="M1148" i="1"/>
  <c r="M1149" i="1"/>
  <c r="M1189" i="1"/>
  <c r="M1190" i="1"/>
  <c r="M1191" i="1"/>
  <c r="M1192" i="1"/>
  <c r="M1193" i="1"/>
  <c r="M1197" i="1"/>
  <c r="M1198" i="1"/>
  <c r="M1199" i="1"/>
  <c r="M1200" i="1"/>
  <c r="M1201" i="1"/>
  <c r="M1202" i="1"/>
  <c r="M1203" i="1"/>
  <c r="M67" i="1"/>
  <c r="M81" i="1"/>
  <c r="M82" i="1"/>
  <c r="M218" i="1"/>
  <c r="M234" i="1"/>
  <c r="M235" i="1"/>
  <c r="M236" i="1"/>
  <c r="M237" i="1"/>
  <c r="M238" i="1"/>
  <c r="M239" i="1"/>
  <c r="M258" i="1"/>
  <c r="M1188" i="1"/>
  <c r="M1232" i="1"/>
  <c r="M1224" i="1"/>
  <c r="M1226" i="1"/>
  <c r="M1229" i="1"/>
  <c r="M223" i="1"/>
  <c r="M224" i="1"/>
  <c r="M222" i="1"/>
  <c r="M227" i="1"/>
  <c r="M1264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5" i="1"/>
  <c r="M1266" i="1"/>
  <c r="M1267" i="1"/>
  <c r="M1268" i="1"/>
  <c r="M1242" i="1"/>
  <c r="M1243" i="1"/>
  <c r="M1244" i="1"/>
  <c r="M1245" i="1"/>
  <c r="M1246" i="1"/>
  <c r="M1247" i="1"/>
  <c r="M1236" i="1"/>
  <c r="M1237" i="1"/>
  <c r="M1238" i="1"/>
  <c r="M1239" i="1"/>
  <c r="M1240" i="1"/>
  <c r="M1241" i="1"/>
  <c r="M1230" i="1"/>
  <c r="M1233" i="1"/>
  <c r="M1234" i="1"/>
  <c r="M1235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5" i="1"/>
  <c r="M1228" i="1"/>
  <c r="M3" i="1"/>
  <c r="W165" i="6"/>
  <c r="X165" i="6"/>
  <c r="Y165" i="6"/>
  <c r="M269" i="1"/>
  <c r="M270" i="1"/>
  <c r="M271" i="1"/>
  <c r="M272" i="1"/>
  <c r="M273" i="1"/>
  <c r="M274" i="1"/>
  <c r="M276" i="1"/>
  <c r="M277" i="1"/>
  <c r="M278" i="1"/>
  <c r="M279" i="1"/>
  <c r="M281" i="1"/>
  <c r="M283" i="1"/>
  <c r="M284" i="1"/>
  <c r="M285" i="1"/>
  <c r="M287" i="1"/>
  <c r="M288" i="1"/>
  <c r="M289" i="1"/>
  <c r="M291" i="1"/>
  <c r="M292" i="1"/>
  <c r="M293" i="1"/>
  <c r="AA165" i="6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5" i="1"/>
  <c r="M446" i="1"/>
  <c r="M78" i="1"/>
  <c r="M116" i="1"/>
  <c r="M57" i="1"/>
  <c r="M187" i="1"/>
  <c r="M186" i="1"/>
  <c r="M175" i="1"/>
  <c r="M251" i="1"/>
  <c r="M185" i="1"/>
  <c r="M23" i="1"/>
  <c r="M221" i="1"/>
  <c r="M91" i="1"/>
  <c r="M252" i="1"/>
  <c r="M42" i="1"/>
  <c r="M41" i="1"/>
  <c r="M169" i="1"/>
  <c r="M168" i="1"/>
  <c r="M213" i="1"/>
  <c r="M58" i="1"/>
  <c r="M214" i="1"/>
  <c r="M166" i="1"/>
  <c r="M92" i="1"/>
  <c r="M167" i="1"/>
  <c r="M83" i="1"/>
  <c r="M69" i="1"/>
  <c r="M90" i="1"/>
  <c r="M77" i="1"/>
  <c r="M61" i="1"/>
  <c r="M217" i="1"/>
  <c r="M225" i="1"/>
  <c r="M70" i="1"/>
  <c r="M242" i="1"/>
  <c r="M189" i="1"/>
  <c r="M226" i="1"/>
  <c r="M60" i="1"/>
  <c r="M121" i="1"/>
  <c r="M84" i="1"/>
  <c r="M36" i="1"/>
  <c r="M228" i="1"/>
  <c r="M62" i="1"/>
  <c r="M45" i="1"/>
  <c r="M145" i="1"/>
  <c r="M110" i="1"/>
  <c r="M229" i="1"/>
  <c r="M115" i="1"/>
  <c r="M46" i="1"/>
  <c r="M112" i="1"/>
  <c r="M111" i="1"/>
  <c r="M122" i="1"/>
  <c r="M114" i="1"/>
  <c r="M63" i="1"/>
  <c r="M177" i="1"/>
  <c r="M113" i="1"/>
  <c r="M15" i="1"/>
  <c r="M170" i="1"/>
  <c r="M37" i="1"/>
  <c r="M47" i="1"/>
  <c r="M96" i="1"/>
  <c r="M230" i="1"/>
  <c r="M64" i="1"/>
  <c r="M191" i="1"/>
  <c r="M190" i="1"/>
  <c r="M174" i="1"/>
  <c r="M133" i="1"/>
  <c r="M130" i="1"/>
  <c r="M129" i="1"/>
  <c r="M128" i="1"/>
  <c r="M206" i="1"/>
  <c r="M109" i="1"/>
  <c r="M266" i="1"/>
  <c r="M248" i="1"/>
  <c r="M181" i="1"/>
  <c r="M127" i="1"/>
  <c r="M182" i="1"/>
  <c r="M119" i="1"/>
  <c r="M231" i="1"/>
  <c r="M183" i="1"/>
  <c r="M207" i="1"/>
  <c r="M267" i="1"/>
  <c r="M19" i="1"/>
  <c r="M65" i="1"/>
  <c r="M247" i="1"/>
  <c r="M232" i="1"/>
  <c r="M68" i="1"/>
  <c r="M204" i="1"/>
  <c r="M209" i="1"/>
  <c r="M205" i="1"/>
  <c r="M72" i="1"/>
  <c r="M73" i="1"/>
  <c r="M74" i="1"/>
  <c r="M268" i="1"/>
  <c r="M76" i="1"/>
  <c r="M243" i="1"/>
  <c r="M264" i="1"/>
  <c r="M80" i="1"/>
  <c r="M164" i="1"/>
  <c r="M87" i="1"/>
  <c r="M108" i="1"/>
  <c r="M208" i="1"/>
  <c r="M211" i="1"/>
  <c r="M246" i="1"/>
  <c r="M233" i="1"/>
  <c r="M21" i="1"/>
  <c r="M265" i="1"/>
  <c r="M134" i="1"/>
  <c r="M210" i="1"/>
  <c r="M165" i="1"/>
  <c r="M143" i="1"/>
  <c r="M144" i="1"/>
  <c r="M245" i="1"/>
  <c r="M161" i="1"/>
  <c r="M105" i="1"/>
  <c r="M106" i="1"/>
  <c r="M107" i="1"/>
  <c r="M118" i="1"/>
  <c r="M131" i="1"/>
  <c r="M132" i="1"/>
  <c r="M135" i="1"/>
  <c r="M136" i="1"/>
  <c r="M137" i="1"/>
  <c r="M162" i="1"/>
  <c r="M163" i="1"/>
  <c r="M200" i="1"/>
  <c r="M201" i="1"/>
  <c r="M202" i="1"/>
  <c r="M203" i="1"/>
  <c r="M260" i="1"/>
  <c r="M30" i="1"/>
  <c r="M219" i="1"/>
  <c r="M31" i="1"/>
  <c r="M38" i="1"/>
  <c r="M39" i="1"/>
  <c r="M53" i="1"/>
  <c r="M261" i="1"/>
  <c r="M54" i="1"/>
  <c r="M56" i="1"/>
  <c r="M75" i="1"/>
  <c r="M88" i="1"/>
  <c r="M89" i="1"/>
  <c r="M124" i="1"/>
  <c r="M244" i="1"/>
  <c r="M172" i="1"/>
  <c r="M212" i="1"/>
  <c r="M184" i="1"/>
  <c r="M138" i="1"/>
  <c r="M139" i="1"/>
  <c r="M35" i="1"/>
  <c r="M250" i="1"/>
  <c r="M71" i="1"/>
  <c r="M249" i="1"/>
  <c r="M120" i="1"/>
  <c r="M123" i="1"/>
  <c r="M125" i="1"/>
  <c r="M79" i="1"/>
  <c r="M95" i="1"/>
  <c r="M216" i="1"/>
  <c r="M26" i="1"/>
  <c r="M94" i="1"/>
  <c r="M188" i="1"/>
  <c r="M44" i="1"/>
  <c r="M173" i="1"/>
  <c r="M215" i="1"/>
  <c r="M141" i="1"/>
  <c r="M142" i="1"/>
  <c r="M43" i="1"/>
  <c r="M93" i="1"/>
  <c r="M176" i="1"/>
  <c r="M253" i="1"/>
  <c r="M59" i="1"/>
  <c r="M102" i="1"/>
  <c r="M103" i="1"/>
  <c r="M104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97" i="1"/>
  <c r="M27" i="1"/>
  <c r="M254" i="1"/>
  <c r="M193" i="1"/>
  <c r="M256" i="1"/>
  <c r="M255" i="1"/>
  <c r="M192" i="1"/>
  <c r="M194" i="1"/>
  <c r="M195" i="1"/>
  <c r="M196" i="1"/>
  <c r="M197" i="1"/>
  <c r="M198" i="1"/>
  <c r="M199" i="1"/>
  <c r="M98" i="1"/>
  <c r="M51" i="1"/>
  <c r="M50" i="1"/>
  <c r="M49" i="1"/>
  <c r="M257" i="1"/>
  <c r="M99" i="1"/>
  <c r="M100" i="1"/>
  <c r="M101" i="1"/>
  <c r="M52" i="1"/>
  <c r="M48" i="1"/>
  <c r="M126" i="1"/>
  <c r="M259" i="1"/>
  <c r="M29" i="1"/>
  <c r="M178" i="1"/>
  <c r="M171" i="1"/>
  <c r="M240" i="1"/>
  <c r="M85" i="1"/>
  <c r="M66" i="1"/>
  <c r="M241" i="1"/>
  <c r="M55" i="1"/>
  <c r="M34" i="1"/>
  <c r="M86" i="1"/>
  <c r="M220" i="1"/>
  <c r="M33" i="1"/>
  <c r="M140" i="1"/>
  <c r="M117" i="1"/>
  <c r="M180" i="1"/>
  <c r="M263" i="1"/>
  <c r="M262" i="1"/>
  <c r="M179" i="1"/>
  <c r="Y164" i="6"/>
  <c r="W161" i="6"/>
  <c r="X161" i="6"/>
  <c r="W162" i="6"/>
  <c r="Z161" i="6"/>
  <c r="M1207" i="1"/>
  <c r="AA161" i="6"/>
  <c r="AB161" i="6"/>
  <c r="AB164" i="6"/>
  <c r="V160" i="6"/>
  <c r="W160" i="6"/>
  <c r="X160" i="6"/>
  <c r="Y160" i="6"/>
  <c r="Z160" i="6"/>
  <c r="AA160" i="6"/>
  <c r="AB160" i="6"/>
  <c r="AA164" i="6"/>
  <c r="Z164" i="6"/>
  <c r="Y163" i="6"/>
  <c r="Y161" i="6"/>
  <c r="X164" i="6"/>
  <c r="W164" i="6"/>
  <c r="V164" i="6"/>
  <c r="X163" i="6"/>
  <c r="AB163" i="6"/>
  <c r="W163" i="6"/>
  <c r="AA163" i="6"/>
  <c r="Z163" i="6"/>
  <c r="V162" i="6"/>
  <c r="V161" i="6"/>
  <c r="X162" i="6"/>
  <c r="Y162" i="6"/>
  <c r="Z162" i="6"/>
  <c r="AA162" i="6"/>
  <c r="AB162" i="6"/>
  <c r="M974" i="1"/>
  <c r="M949" i="1"/>
  <c r="F160" i="6"/>
  <c r="M926" i="1"/>
  <c r="M835" i="1"/>
  <c r="M924" i="1"/>
  <c r="M923" i="1"/>
  <c r="M498" i="1"/>
  <c r="M872" i="1"/>
  <c r="M862" i="1"/>
  <c r="M843" i="1"/>
  <c r="M842" i="1"/>
  <c r="M839" i="1"/>
  <c r="M925" i="1"/>
  <c r="M2" i="1"/>
  <c r="M829" i="1"/>
  <c r="M826" i="1"/>
  <c r="M806" i="1"/>
  <c r="M766" i="1"/>
  <c r="F163" i="6"/>
  <c r="M1156" i="1"/>
  <c r="M525" i="1"/>
  <c r="M710" i="1"/>
  <c r="M709" i="1"/>
  <c r="M708" i="1"/>
  <c r="M704" i="1"/>
  <c r="F164" i="6"/>
  <c r="M703" i="1"/>
  <c r="M661" i="1"/>
  <c r="M652" i="1"/>
  <c r="M651" i="1"/>
  <c r="M645" i="1"/>
  <c r="M644" i="1"/>
  <c r="M547" i="1"/>
  <c r="F161" i="6"/>
  <c r="M626" i="1"/>
  <c r="M619" i="1"/>
  <c r="M552" i="1"/>
  <c r="M593" i="1"/>
  <c r="M592" i="1"/>
  <c r="M555" i="1"/>
  <c r="F162" i="6"/>
  <c r="M1155" i="1"/>
  <c r="M1154" i="1"/>
  <c r="M1140" i="1"/>
  <c r="M1139" i="1"/>
  <c r="M1120" i="1"/>
  <c r="M1096" i="1"/>
  <c r="M1095" i="1"/>
  <c r="M1073" i="1"/>
  <c r="M1062" i="1"/>
  <c r="M1043" i="1"/>
  <c r="M1042" i="1"/>
  <c r="M1033" i="1"/>
  <c r="M1019" i="1"/>
  <c r="M1002" i="1"/>
  <c r="M976" i="1"/>
  <c r="M975" i="1"/>
  <c r="K162" i="6"/>
  <c r="K163" i="6"/>
  <c r="M847" i="1"/>
  <c r="M883" i="1"/>
  <c r="K161" i="6"/>
  <c r="K160" i="6"/>
  <c r="M1159" i="1"/>
  <c r="K164" i="6"/>
  <c r="M679" i="1"/>
  <c r="L163" i="6"/>
  <c r="L160" i="6"/>
  <c r="M884" i="1"/>
  <c r="L161" i="6"/>
  <c r="M1160" i="1"/>
  <c r="L162" i="6"/>
  <c r="M680" i="1"/>
  <c r="L164" i="6"/>
  <c r="P162" i="6"/>
  <c r="M681" i="1"/>
  <c r="P164" i="6"/>
  <c r="P163" i="6"/>
  <c r="M1161" i="1"/>
  <c r="M885" i="1"/>
  <c r="P160" i="6"/>
  <c r="P161" i="6"/>
  <c r="M740" i="1"/>
  <c r="M8" i="1"/>
  <c r="M769" i="1"/>
  <c r="Q163" i="6"/>
  <c r="M802" i="1"/>
  <c r="M848" i="1"/>
  <c r="M886" i="1"/>
  <c r="M1162" i="1"/>
  <c r="M864" i="1"/>
  <c r="M874" i="1"/>
  <c r="M745" i="1"/>
  <c r="Q161" i="6"/>
  <c r="Q160" i="6"/>
  <c r="M748" i="1"/>
  <c r="M548" i="1"/>
  <c r="M1080" i="1"/>
  <c r="Q162" i="6"/>
  <c r="M739" i="1"/>
  <c r="M738" i="1"/>
  <c r="M744" i="1"/>
  <c r="M682" i="1"/>
  <c r="M737" i="1"/>
  <c r="M1063" i="1"/>
  <c r="M747" i="1"/>
  <c r="M746" i="1"/>
  <c r="M1081" i="1"/>
  <c r="Q164" i="6"/>
  <c r="M887" i="1"/>
  <c r="M683" i="1"/>
  <c r="M1163" i="1"/>
  <c r="M1005" i="1"/>
  <c r="R162" i="6"/>
  <c r="M876" i="1"/>
  <c r="M556" i="1"/>
  <c r="R163" i="6"/>
  <c r="M1097" i="1"/>
  <c r="M621" i="1"/>
  <c r="M684" i="1"/>
  <c r="R161" i="6"/>
  <c r="M494" i="1"/>
  <c r="M865" i="1"/>
  <c r="M849" i="1"/>
  <c r="M1082" i="1"/>
  <c r="M1164" i="1"/>
  <c r="R160" i="6"/>
  <c r="M888" i="1"/>
  <c r="M875" i="1"/>
  <c r="R164" i="6"/>
  <c r="M1122" i="1"/>
  <c r="M686" i="1"/>
  <c r="M687" i="1"/>
  <c r="M688" i="1"/>
  <c r="M689" i="1"/>
  <c r="M690" i="1"/>
  <c r="M691" i="1"/>
  <c r="M692" i="1"/>
  <c r="M696" i="1"/>
  <c r="M741" i="1"/>
  <c r="M755" i="1"/>
  <c r="M762" i="1"/>
  <c r="S163" i="6"/>
  <c r="M877" i="1"/>
  <c r="S162" i="6"/>
  <c r="M889" i="1"/>
  <c r="M906" i="1"/>
  <c r="M907" i="1"/>
  <c r="M908" i="1"/>
  <c r="M1006" i="1"/>
  <c r="M1020" i="1"/>
  <c r="S160" i="6"/>
  <c r="M1083" i="1"/>
  <c r="M1084" i="1"/>
  <c r="M1085" i="1"/>
  <c r="M1098" i="1"/>
  <c r="S164" i="6"/>
  <c r="M1123" i="1"/>
  <c r="M1124" i="1"/>
  <c r="M1125" i="1"/>
  <c r="M1126" i="1"/>
  <c r="M1134" i="1"/>
  <c r="M1165" i="1"/>
  <c r="M1166" i="1"/>
  <c r="M1167" i="1"/>
  <c r="M693" i="1"/>
  <c r="M478" i="1"/>
  <c r="M1007" i="1"/>
  <c r="M685" i="1"/>
  <c r="S161" i="6"/>
  <c r="D161" i="6"/>
  <c r="D163" i="6"/>
  <c r="M830" i="1"/>
  <c r="D162" i="6"/>
  <c r="D160" i="6"/>
  <c r="M952" i="1"/>
  <c r="M646" i="1"/>
  <c r="M647" i="1"/>
  <c r="M655" i="1"/>
  <c r="M499" i="1"/>
  <c r="M1144" i="1"/>
  <c r="M1034" i="1"/>
  <c r="M867" i="1"/>
  <c r="M838" i="1"/>
  <c r="D164" i="6"/>
  <c r="M1196" i="1"/>
  <c r="M485" i="1"/>
  <c r="M1186" i="1"/>
  <c r="M1195" i="1"/>
  <c r="M1115" i="1"/>
  <c r="M1114" i="1"/>
  <c r="M1194" i="1"/>
  <c r="M1187" i="1"/>
  <c r="M970" i="1"/>
  <c r="M969" i="1"/>
  <c r="M695" i="1"/>
  <c r="U164" i="6"/>
  <c r="M641" i="1"/>
  <c r="M1185" i="1"/>
  <c r="M694" i="1"/>
  <c r="U161" i="6"/>
  <c r="M730" i="1"/>
  <c r="M731" i="1"/>
  <c r="M732" i="1"/>
  <c r="M553" i="1"/>
  <c r="M733" i="1"/>
  <c r="M584" i="1"/>
  <c r="M734" i="1"/>
  <c r="M578" i="1"/>
  <c r="M670" i="1"/>
  <c r="M471" i="1"/>
  <c r="M472" i="1"/>
  <c r="M473" i="1"/>
  <c r="M868" i="1"/>
  <c r="M474" i="1"/>
  <c r="U162" i="6"/>
  <c r="M521" i="1"/>
  <c r="M535" i="1"/>
  <c r="M475" i="1"/>
  <c r="M476" i="1"/>
  <c r="U160" i="6"/>
  <c r="M544" i="1"/>
  <c r="M545" i="1"/>
  <c r="M546" i="1"/>
  <c r="M640" i="1"/>
  <c r="M824" i="1"/>
  <c r="M859" i="1"/>
  <c r="M858" i="1"/>
  <c r="M857" i="1"/>
  <c r="M477" i="1"/>
  <c r="M479" i="1"/>
  <c r="M856" i="1"/>
  <c r="M491" i="1"/>
  <c r="M1035" i="1"/>
  <c r="M729" i="1"/>
  <c r="M1026" i="1"/>
  <c r="M808" i="1"/>
  <c r="M618" i="1"/>
  <c r="M617" i="1"/>
  <c r="M913" i="1"/>
  <c r="M912" i="1"/>
  <c r="M911" i="1"/>
  <c r="M616" i="1"/>
  <c r="M615" i="1"/>
  <c r="M520" i="1"/>
  <c r="M519" i="1"/>
  <c r="M614" i="1"/>
  <c r="M994" i="1"/>
  <c r="M993" i="1"/>
  <c r="M992" i="1"/>
  <c r="M991" i="1"/>
  <c r="M892" i="1"/>
  <c r="M795" i="1"/>
  <c r="M796" i="1"/>
  <c r="M797" i="1"/>
  <c r="M823" i="1"/>
  <c r="M798" i="1"/>
  <c r="M799" i="1"/>
  <c r="M1204" i="1"/>
  <c r="U163" i="6"/>
  <c r="H162" i="6"/>
  <c r="H164" i="6"/>
  <c r="M698" i="1"/>
  <c r="M882" i="1"/>
  <c r="H161" i="6"/>
  <c r="M1158" i="1"/>
  <c r="H163" i="6"/>
  <c r="M608" i="1"/>
  <c r="M516" i="1"/>
  <c r="M550" i="1"/>
  <c r="M1109" i="1"/>
  <c r="M1108" i="1"/>
  <c r="M1107" i="1"/>
  <c r="M607" i="1"/>
  <c r="M606" i="1"/>
  <c r="M468" i="1"/>
  <c r="M577" i="1"/>
  <c r="M866" i="1"/>
  <c r="M749" i="1"/>
  <c r="M750" i="1"/>
  <c r="M1053" i="1"/>
  <c r="M1052" i="1"/>
  <c r="M1051" i="1"/>
  <c r="M751" i="1"/>
  <c r="M820" i="1"/>
  <c r="M855" i="1"/>
  <c r="M854" i="1"/>
  <c r="M1025" i="1"/>
  <c r="M853" i="1"/>
  <c r="M576" i="1"/>
  <c r="M752" i="1"/>
  <c r="M753" i="1"/>
  <c r="M819" i="1"/>
  <c r="M754" i="1"/>
  <c r="M575" i="1"/>
  <c r="M790" i="1"/>
  <c r="M990" i="1"/>
  <c r="M512" i="1"/>
  <c r="M1054" i="1"/>
  <c r="G163" i="6"/>
  <c r="G161" i="6"/>
  <c r="M534" i="1"/>
  <c r="M822" i="1"/>
  <c r="M533" i="1"/>
  <c r="M792" i="1"/>
  <c r="M532" i="1"/>
  <c r="M813" i="1"/>
  <c r="M791" i="1"/>
  <c r="M513" i="1"/>
  <c r="M514" i="1"/>
  <c r="M650" i="1"/>
  <c r="M987" i="1"/>
  <c r="M988" i="1"/>
  <c r="M1182" i="1"/>
  <c r="M1181" i="1"/>
  <c r="M966" i="1"/>
  <c r="M1180" i="1"/>
  <c r="M722" i="1"/>
  <c r="M723" i="1"/>
  <c r="M724" i="1"/>
  <c r="M725" i="1"/>
  <c r="M807" i="1"/>
  <c r="M515" i="1"/>
  <c r="M726" i="1"/>
  <c r="G164" i="6"/>
  <c r="M467" i="1"/>
  <c r="M1146" i="1"/>
  <c r="M1113" i="1"/>
  <c r="G162" i="6"/>
  <c r="M1112" i="1"/>
  <c r="M1135" i="1"/>
  <c r="M1111" i="1"/>
  <c r="M989" i="1"/>
  <c r="M583" i="1"/>
  <c r="M1110" i="1"/>
  <c r="M613" i="1"/>
  <c r="M612" i="1"/>
  <c r="M611" i="1"/>
  <c r="M676" i="1"/>
  <c r="M891" i="1"/>
  <c r="M610" i="1"/>
  <c r="M609" i="1"/>
  <c r="M821" i="1"/>
  <c r="M495" i="1"/>
  <c r="M586" i="1"/>
  <c r="M587" i="1"/>
  <c r="M1153" i="1"/>
  <c r="M1205" i="1"/>
  <c r="M484" i="1"/>
  <c r="M951" i="1"/>
  <c r="M948" i="1"/>
  <c r="M942" i="1"/>
  <c r="M922" i="1"/>
  <c r="M493" i="1"/>
  <c r="M497" i="1"/>
  <c r="M861" i="1"/>
  <c r="M1079" i="1"/>
  <c r="M1072" i="1"/>
  <c r="M1071" i="1"/>
  <c r="M1070" i="1"/>
  <c r="M860" i="1"/>
  <c r="M841" i="1"/>
  <c r="M840" i="1"/>
  <c r="M828" i="1"/>
  <c r="M825" i="1"/>
  <c r="M697" i="1"/>
  <c r="M811" i="1"/>
  <c r="M809" i="1"/>
  <c r="M1039" i="1"/>
  <c r="M756" i="1"/>
  <c r="M524" i="1"/>
  <c r="M742" i="1"/>
  <c r="M1018" i="1"/>
  <c r="M554" i="1"/>
  <c r="M642" i="1"/>
  <c r="M643" i="1"/>
  <c r="M707" i="1"/>
  <c r="M660" i="1"/>
  <c r="M706" i="1"/>
  <c r="M702" i="1"/>
  <c r="M671" i="1"/>
  <c r="M701" i="1"/>
  <c r="M700" i="1"/>
  <c r="M1130" i="1"/>
  <c r="M1131" i="1"/>
  <c r="M585" i="1"/>
  <c r="M1132" i="1"/>
  <c r="M845" i="1"/>
  <c r="M846" i="1"/>
  <c r="C163" i="6"/>
  <c r="M1121" i="1"/>
  <c r="M1141" i="1"/>
  <c r="M836" i="1"/>
  <c r="M620" i="1"/>
  <c r="M1157" i="1"/>
  <c r="M674" i="1"/>
  <c r="M673" i="1"/>
  <c r="M665" i="1"/>
  <c r="M664" i="1"/>
  <c r="M654" i="1"/>
  <c r="M594" i="1"/>
  <c r="M927" i="1"/>
  <c r="M873" i="1"/>
  <c r="M881" i="1"/>
  <c r="M653" i="1"/>
  <c r="M863" i="1"/>
  <c r="M844" i="1"/>
  <c r="C164" i="6"/>
  <c r="M810" i="1"/>
  <c r="C161" i="6"/>
  <c r="M905" i="1"/>
  <c r="M1004" i="1"/>
  <c r="M1003" i="1"/>
  <c r="C162" i="6"/>
  <c r="M663" i="1"/>
  <c r="M662" i="1"/>
  <c r="M950" i="1"/>
  <c r="M526" i="1"/>
  <c r="M768" i="1"/>
  <c r="M767" i="1"/>
  <c r="M743" i="1"/>
  <c r="M837" i="1"/>
  <c r="M1143" i="1"/>
  <c r="M1142" i="1"/>
  <c r="M1133" i="1"/>
  <c r="M507" i="1"/>
  <c r="M1173" i="1"/>
  <c r="M1174" i="1"/>
  <c r="M1105" i="1"/>
  <c r="M1104" i="1"/>
  <c r="M1103" i="1"/>
  <c r="M1102" i="1"/>
  <c r="M1101" i="1"/>
  <c r="M1100" i="1"/>
  <c r="M1099" i="1"/>
  <c r="M1175" i="1"/>
  <c r="M1064" i="1"/>
  <c r="M1176" i="1"/>
  <c r="M1050" i="1"/>
  <c r="M1049" i="1"/>
  <c r="M1048" i="1"/>
  <c r="M1047" i="1"/>
  <c r="M1046" i="1"/>
  <c r="M1045" i="1"/>
  <c r="M1024" i="1"/>
  <c r="M1009" i="1"/>
  <c r="M986" i="1"/>
  <c r="M985" i="1"/>
  <c r="M984" i="1"/>
  <c r="M983" i="1"/>
  <c r="M982" i="1"/>
  <c r="M1106" i="1"/>
  <c r="M981" i="1"/>
  <c r="M980" i="1"/>
  <c r="M979" i="1"/>
  <c r="M509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508" i="1"/>
  <c r="M931" i="1"/>
  <c r="M569" i="1"/>
  <c r="M816" i="1"/>
  <c r="M568" i="1"/>
  <c r="M850" i="1"/>
  <c r="M851" i="1"/>
  <c r="M852" i="1"/>
  <c r="M506" i="1"/>
  <c r="M505" i="1"/>
  <c r="M504" i="1"/>
  <c r="M815" i="1"/>
  <c r="M814" i="1"/>
  <c r="M567" i="1"/>
  <c r="M528" i="1"/>
  <c r="M529" i="1"/>
  <c r="M530" i="1"/>
  <c r="M936" i="1"/>
  <c r="M564" i="1"/>
  <c r="M869" i="1"/>
  <c r="M832" i="1"/>
  <c r="M503" i="1"/>
  <c r="M502" i="1"/>
  <c r="M598" i="1"/>
  <c r="M599" i="1"/>
  <c r="M600" i="1"/>
  <c r="M601" i="1"/>
  <c r="M602" i="1"/>
  <c r="M603" i="1"/>
  <c r="M604" i="1"/>
  <c r="M605" i="1"/>
  <c r="M570" i="1"/>
  <c r="M571" i="1"/>
  <c r="M890" i="1"/>
  <c r="M572" i="1"/>
  <c r="M573" i="1"/>
  <c r="M574" i="1"/>
  <c r="M909" i="1"/>
  <c r="M928" i="1"/>
  <c r="M549" i="1"/>
  <c r="M929" i="1"/>
  <c r="M930" i="1"/>
  <c r="M720" i="1"/>
  <c r="M719" i="1"/>
  <c r="M718" i="1"/>
  <c r="M717" i="1"/>
  <c r="M716" i="1"/>
  <c r="M715" i="1"/>
  <c r="M714" i="1"/>
  <c r="M562" i="1"/>
  <c r="M563" i="1"/>
  <c r="M932" i="1"/>
  <c r="M818" i="1"/>
  <c r="M933" i="1"/>
  <c r="M934" i="1"/>
  <c r="M935" i="1"/>
  <c r="M713" i="1"/>
  <c r="M712" i="1"/>
  <c r="M943" i="1"/>
  <c r="M711" i="1"/>
  <c r="M944" i="1"/>
  <c r="M531" i="1"/>
  <c r="M561" i="1"/>
  <c r="M817" i="1"/>
  <c r="M833" i="1"/>
  <c r="M953" i="1"/>
  <c r="M834" i="1"/>
  <c r="M565" i="1"/>
  <c r="M954" i="1"/>
  <c r="M803" i="1"/>
  <c r="M566" i="1"/>
  <c r="M464" i="1"/>
  <c r="M964" i="1"/>
  <c r="M463" i="1"/>
  <c r="M462" i="1"/>
  <c r="M461" i="1"/>
  <c r="M460" i="1"/>
  <c r="M459" i="1"/>
  <c r="M458" i="1"/>
  <c r="M457" i="1"/>
  <c r="M510" i="1"/>
  <c r="M1168" i="1"/>
  <c r="M1169" i="1"/>
  <c r="M1170" i="1"/>
  <c r="M1171" i="1"/>
  <c r="M1172" i="1"/>
  <c r="M466" i="1"/>
  <c r="M757" i="1"/>
  <c r="M788" i="1"/>
  <c r="M910" i="1"/>
  <c r="M511" i="1"/>
  <c r="M465" i="1"/>
  <c r="M965" i="1"/>
  <c r="M721" i="1"/>
  <c r="M789" i="1"/>
  <c r="M1179" i="1"/>
  <c r="M637" i="1"/>
  <c r="M1151" i="1"/>
  <c r="I163" i="6"/>
  <c r="M579" i="1"/>
  <c r="M871" i="1"/>
  <c r="M870" i="1"/>
  <c r="M735" i="1"/>
  <c r="I161" i="6"/>
  <c r="M678" i="1"/>
  <c r="I164" i="6"/>
  <c r="M804" i="1"/>
  <c r="M677" i="1"/>
  <c r="M761" i="1"/>
  <c r="I162" i="6"/>
  <c r="M1038" i="1"/>
  <c r="M1150" i="1"/>
  <c r="J162" i="6"/>
  <c r="J161" i="6"/>
  <c r="J164" i="6"/>
  <c r="M941" i="1"/>
  <c r="M536" i="1"/>
  <c r="M903" i="1"/>
  <c r="M705" i="1"/>
  <c r="M522" i="1"/>
  <c r="M1138" i="1"/>
  <c r="M963" i="1"/>
  <c r="M736" i="1"/>
  <c r="J163" i="6"/>
  <c r="M1152" i="1"/>
  <c r="M483" i="1"/>
  <c r="M916" i="1"/>
  <c r="M759" i="1"/>
  <c r="M760" i="1"/>
  <c r="M162" i="6"/>
  <c r="M763" i="1"/>
  <c r="M920" i="1"/>
  <c r="M537" i="1"/>
  <c r="M764" i="1"/>
  <c r="M765" i="1"/>
  <c r="M523" i="1"/>
  <c r="M496" i="1"/>
  <c r="M758" i="1"/>
  <c r="M160" i="6"/>
  <c r="M914" i="1"/>
  <c r="M163" i="6"/>
  <c r="M921" i="1"/>
  <c r="M164" i="6"/>
  <c r="M161" i="6"/>
  <c r="M915" i="1"/>
  <c r="M800" i="1"/>
  <c r="M1017" i="1"/>
  <c r="M1016" i="1"/>
  <c r="M801" i="1"/>
  <c r="M672" i="1"/>
  <c r="M805" i="1"/>
  <c r="M812" i="1"/>
  <c r="M1061" i="1"/>
  <c r="M551" i="1"/>
  <c r="M588" i="1"/>
  <c r="M1032" i="1"/>
  <c r="T161" i="6"/>
  <c r="T162" i="6"/>
  <c r="T163" i="6"/>
  <c r="T160" i="6"/>
  <c r="M638" i="1"/>
  <c r="M639" i="1"/>
  <c r="M794" i="1"/>
  <c r="M727" i="1"/>
  <c r="M728" i="1"/>
  <c r="M793" i="1"/>
  <c r="M518" i="1"/>
  <c r="M1183" i="1"/>
  <c r="M1184" i="1"/>
  <c r="M517" i="1"/>
  <c r="M967" i="1"/>
  <c r="M968" i="1"/>
  <c r="M470" i="1"/>
  <c r="M469" i="1"/>
  <c r="T164" i="6"/>
  <c r="M878" i="1"/>
  <c r="M675" i="1"/>
  <c r="M1145" i="1"/>
  <c r="E162" i="6"/>
  <c r="E161" i="6"/>
  <c r="E163" i="6"/>
  <c r="E164" i="6"/>
  <c r="N162" i="6"/>
  <c r="N160" i="6"/>
  <c r="N163" i="6"/>
  <c r="N164" i="6"/>
  <c r="N161" i="6"/>
  <c r="M543" i="1"/>
  <c r="O163" i="6"/>
  <c r="O164" i="6"/>
  <c r="O161" i="6"/>
  <c r="O162" i="6"/>
  <c r="O160" i="6"/>
  <c r="M539" i="1"/>
  <c r="M624" i="1"/>
  <c r="M629" i="1"/>
  <c r="M625" i="1"/>
  <c r="M627" i="1"/>
  <c r="M628" i="1"/>
  <c r="M1008" i="1"/>
  <c r="M630" i="1"/>
  <c r="M631" i="1"/>
  <c r="M632" i="1"/>
  <c r="M633" i="1"/>
  <c r="M634" i="1"/>
  <c r="M635" i="1"/>
  <c r="M636" i="1"/>
  <c r="M648" i="1"/>
  <c r="M649" i="1"/>
  <c r="M656" i="1"/>
  <c r="M501" i="1"/>
  <c r="M500" i="1"/>
  <c r="M657" i="1"/>
  <c r="M559" i="1"/>
  <c r="M658" i="1"/>
  <c r="M659" i="1"/>
  <c r="M542" i="1"/>
  <c r="M666" i="1"/>
  <c r="M667" i="1"/>
  <c r="M668" i="1"/>
  <c r="M669" i="1"/>
  <c r="M596" i="1"/>
  <c r="M558" i="1"/>
  <c r="M487" i="1"/>
  <c r="M582" i="1"/>
  <c r="M581" i="1"/>
  <c r="M538" i="1"/>
  <c r="M527" i="1"/>
  <c r="M589" i="1"/>
  <c r="M580" i="1"/>
  <c r="M541" i="1"/>
  <c r="M699" i="1"/>
  <c r="M590" i="1"/>
  <c r="M1069" i="1"/>
  <c r="M1068" i="1"/>
  <c r="M1067" i="1"/>
  <c r="M1044" i="1"/>
  <c r="M1040" i="1"/>
  <c r="M480" i="1"/>
  <c r="M1023" i="1"/>
  <c r="M1022" i="1"/>
  <c r="M1021" i="1"/>
  <c r="M481" i="1"/>
  <c r="M591" i="1"/>
  <c r="M557" i="1"/>
  <c r="M490" i="1"/>
  <c r="M489" i="1"/>
  <c r="M827" i="1"/>
  <c r="M488" i="1"/>
  <c r="M482" i="1"/>
  <c r="M595" i="1"/>
  <c r="M831" i="1"/>
  <c r="M597" i="1"/>
  <c r="M492" i="1"/>
  <c r="M978" i="1"/>
  <c r="M977" i="1"/>
  <c r="M622" i="1"/>
  <c r="M486" i="1"/>
  <c r="M560" i="1"/>
  <c r="M623" i="1"/>
  <c r="M540" i="1"/>
  <c r="M455" i="1"/>
  <c r="D166" i="6"/>
  <c r="M453" i="1"/>
  <c r="M452" i="1"/>
  <c r="M451" i="1"/>
  <c r="M450" i="1"/>
  <c r="M449" i="1"/>
  <c r="M448" i="1"/>
  <c r="M447" i="1"/>
  <c r="Z167" i="6"/>
  <c r="V165" i="6"/>
  <c r="U165" i="6"/>
  <c r="T165" i="6"/>
  <c r="S165" i="6"/>
  <c r="R165" i="6"/>
  <c r="Q165" i="6"/>
  <c r="P165" i="6"/>
  <c r="O165" i="6"/>
  <c r="N165" i="6"/>
  <c r="M165" i="6"/>
  <c r="L165" i="6"/>
  <c r="K165" i="6"/>
  <c r="J165" i="6"/>
  <c r="I165" i="6"/>
  <c r="G165" i="6"/>
  <c r="F165" i="6"/>
  <c r="E165" i="6"/>
  <c r="D165" i="6"/>
  <c r="C165" i="6"/>
  <c r="AB166" i="6"/>
  <c r="AA166" i="6"/>
  <c r="Z166" i="6"/>
  <c r="Y166" i="6"/>
  <c r="X166" i="6"/>
  <c r="W166" i="6"/>
  <c r="V166" i="6"/>
  <c r="M454" i="1"/>
  <c r="U166" i="6"/>
  <c r="T166" i="6"/>
  <c r="S166" i="6"/>
  <c r="R166" i="6"/>
  <c r="Q166" i="6"/>
  <c r="P166" i="6"/>
  <c r="H165" i="6"/>
  <c r="E167" i="6"/>
  <c r="O166" i="6"/>
  <c r="N166" i="6"/>
  <c r="M166" i="6"/>
  <c r="L166" i="6"/>
  <c r="K166" i="6"/>
  <c r="J166" i="6"/>
  <c r="I166" i="6"/>
  <c r="H166" i="6"/>
  <c r="G166" i="6"/>
  <c r="C166" i="6"/>
  <c r="AB167" i="6"/>
  <c r="AA167" i="6"/>
  <c r="Y167" i="6"/>
  <c r="X167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M456" i="1"/>
  <c r="Z165" i="6"/>
  <c r="M275" i="1"/>
  <c r="M308" i="1"/>
  <c r="AB165" i="6"/>
  <c r="M328" i="1"/>
  <c r="V163" i="6"/>
  <c r="M444" i="1"/>
  <c r="M11" i="1"/>
  <c r="M13" i="1"/>
  <c r="M7" i="1"/>
  <c r="D168" i="6"/>
  <c r="G168" i="6"/>
  <c r="I168" i="6"/>
  <c r="L168" i="6"/>
  <c r="O168" i="6"/>
  <c r="Q168" i="6"/>
  <c r="T168" i="6"/>
  <c r="V168" i="6"/>
  <c r="W168" i="6"/>
  <c r="AB168" i="6"/>
  <c r="C168" i="6"/>
  <c r="E168" i="6"/>
  <c r="F168" i="6"/>
  <c r="H168" i="6"/>
  <c r="J168" i="6"/>
  <c r="K168" i="6"/>
  <c r="M168" i="6"/>
  <c r="N168" i="6"/>
  <c r="P168" i="6"/>
  <c r="R168" i="6"/>
  <c r="S168" i="6"/>
  <c r="U168" i="6"/>
  <c r="X168" i="6"/>
  <c r="Y168" i="6"/>
  <c r="Z168" i="6"/>
  <c r="AA168" i="6"/>
  <c r="D167" i="6"/>
  <c r="C167" i="6"/>
  <c r="F166" i="6"/>
  <c r="E166" i="6"/>
  <c r="E160" i="6"/>
  <c r="C160" i="6"/>
  <c r="J160" i="6"/>
  <c r="I160" i="6"/>
  <c r="H160" i="6"/>
  <c r="G160" i="6"/>
  <c r="M294" i="1"/>
  <c r="M286" i="1"/>
  <c r="M22" i="1"/>
  <c r="M14" i="1"/>
  <c r="M6" i="1"/>
  <c r="M5" i="1"/>
  <c r="M28" i="1"/>
  <c r="M20" i="1"/>
  <c r="M12" i="1"/>
  <c r="M4" i="1"/>
  <c r="M290" i="1"/>
  <c r="M282" i="1"/>
  <c r="M18" i="1"/>
  <c r="M10" i="1"/>
  <c r="M1206" i="1"/>
  <c r="M1178" i="1"/>
  <c r="M1177" i="1"/>
  <c r="M25" i="1"/>
  <c r="M17" i="1"/>
  <c r="M9" i="1"/>
  <c r="M1000" i="1"/>
  <c r="M280" i="1"/>
  <c r="M40" i="1"/>
  <c r="M32" i="1"/>
  <c r="M24" i="1"/>
  <c r="M16" i="1"/>
  <c r="W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E119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9" i="1"/>
  <c r="E1190" i="1"/>
  <c r="E1191" i="1"/>
  <c r="E1192" i="1"/>
  <c r="E1193" i="1"/>
  <c r="E1194" i="1"/>
  <c r="E1195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I241" i="1"/>
  <c r="H241" i="1"/>
  <c r="I240" i="1"/>
  <c r="H240" i="1"/>
  <c r="E240" i="1"/>
  <c r="AE165" i="6" l="1"/>
  <c r="AE161" i="6"/>
  <c r="AE162" i="6"/>
  <c r="AE167" i="6"/>
  <c r="AE163" i="6"/>
  <c r="AE164" i="6"/>
  <c r="AE168" i="6"/>
  <c r="AE166" i="6"/>
  <c r="AE160" i="6"/>
  <c r="N159" i="6"/>
  <c r="I904" i="1" l="1"/>
  <c r="H904" i="1"/>
  <c r="AB2" i="6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A2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Z2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Y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X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V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H879" i="1"/>
  <c r="I879" i="1"/>
  <c r="H880" i="1"/>
  <c r="I880" i="1"/>
  <c r="I921" i="1"/>
  <c r="H921" i="1"/>
  <c r="I920" i="1"/>
  <c r="H920" i="1"/>
  <c r="I1152" i="1"/>
  <c r="H1152" i="1"/>
  <c r="I1138" i="1"/>
  <c r="H1138" i="1"/>
  <c r="I963" i="1"/>
  <c r="H963" i="1"/>
  <c r="I941" i="1"/>
  <c r="H941" i="1"/>
  <c r="I903" i="1"/>
  <c r="H903" i="1"/>
  <c r="I1038" i="1"/>
  <c r="H1038" i="1"/>
  <c r="I1151" i="1"/>
  <c r="H1151" i="1"/>
  <c r="I1150" i="1"/>
  <c r="H1150" i="1"/>
  <c r="I1017" i="1"/>
  <c r="H1017" i="1"/>
  <c r="I1016" i="1"/>
  <c r="H1016" i="1"/>
  <c r="I1189" i="1"/>
  <c r="I1190" i="1"/>
  <c r="I1191" i="1"/>
  <c r="I1192" i="1"/>
  <c r="I1193" i="1"/>
  <c r="I1194" i="1"/>
  <c r="I1195" i="1"/>
  <c r="I1196" i="1"/>
  <c r="H1196" i="1"/>
  <c r="H1195" i="1"/>
  <c r="H1194" i="1"/>
  <c r="H1193" i="1"/>
  <c r="H1192" i="1"/>
  <c r="H1191" i="1"/>
  <c r="H1190" i="1"/>
  <c r="H1189" i="1"/>
  <c r="X159" i="6" l="1"/>
  <c r="V159" i="6"/>
  <c r="AA159" i="6"/>
  <c r="AB159" i="6"/>
  <c r="H942" i="1"/>
  <c r="H943" i="1"/>
  <c r="H944" i="1"/>
  <c r="H2" i="1"/>
  <c r="H3" i="1"/>
  <c r="H4" i="1"/>
  <c r="H5" i="1"/>
  <c r="H6" i="1"/>
  <c r="H7" i="1"/>
  <c r="H8" i="1"/>
  <c r="I899" i="1"/>
  <c r="I900" i="1"/>
  <c r="I901" i="1"/>
  <c r="I902" i="1"/>
  <c r="I917" i="1"/>
  <c r="I918" i="1"/>
  <c r="I919" i="1"/>
  <c r="I940" i="1"/>
  <c r="I947" i="1"/>
  <c r="I962" i="1"/>
  <c r="I1001" i="1"/>
  <c r="I1014" i="1"/>
  <c r="I1015" i="1"/>
  <c r="I1031" i="1"/>
  <c r="I1078" i="1"/>
  <c r="I1088" i="1"/>
  <c r="I1089" i="1"/>
  <c r="I1090" i="1"/>
  <c r="I1091" i="1"/>
  <c r="I1092" i="1"/>
  <c r="I1119" i="1"/>
  <c r="I1129" i="1"/>
  <c r="I1137" i="1"/>
  <c r="I898" i="1"/>
  <c r="H899" i="1"/>
  <c r="H900" i="1"/>
  <c r="H901" i="1"/>
  <c r="H902" i="1"/>
  <c r="H917" i="1"/>
  <c r="H918" i="1"/>
  <c r="H919" i="1"/>
  <c r="H940" i="1"/>
  <c r="H947" i="1"/>
  <c r="H962" i="1"/>
  <c r="H1001" i="1"/>
  <c r="H1014" i="1"/>
  <c r="H1015" i="1"/>
  <c r="H1031" i="1"/>
  <c r="H1078" i="1"/>
  <c r="H1088" i="1"/>
  <c r="H1089" i="1"/>
  <c r="H1090" i="1"/>
  <c r="H1091" i="1"/>
  <c r="H1092" i="1"/>
  <c r="H1119" i="1"/>
  <c r="H1129" i="1"/>
  <c r="H1137" i="1"/>
  <c r="H898" i="1"/>
  <c r="I894" i="1"/>
  <c r="I895" i="1"/>
  <c r="I896" i="1"/>
  <c r="I897" i="1"/>
  <c r="I946" i="1"/>
  <c r="I1012" i="1"/>
  <c r="I1013" i="1"/>
  <c r="I1029" i="1"/>
  <c r="I1030" i="1"/>
  <c r="I1036" i="1"/>
  <c r="I1037" i="1"/>
  <c r="I1041" i="1"/>
  <c r="I1057" i="1"/>
  <c r="I1058" i="1"/>
  <c r="I1059" i="1"/>
  <c r="I1060" i="1"/>
  <c r="I1074" i="1"/>
  <c r="I1075" i="1"/>
  <c r="I1076" i="1"/>
  <c r="I1077" i="1"/>
  <c r="I1086" i="1"/>
  <c r="I1087" i="1"/>
  <c r="I1093" i="1"/>
  <c r="I1094" i="1"/>
  <c r="I1117" i="1"/>
  <c r="I1118" i="1"/>
  <c r="I1127" i="1"/>
  <c r="I1128" i="1"/>
  <c r="I1149" i="1"/>
  <c r="H1149" i="1"/>
  <c r="H1127" i="1"/>
  <c r="H1128" i="1"/>
  <c r="H1117" i="1"/>
  <c r="H1118" i="1"/>
  <c r="H1093" i="1"/>
  <c r="H1094" i="1"/>
  <c r="H1086" i="1"/>
  <c r="H1087" i="1"/>
  <c r="H1074" i="1"/>
  <c r="H1075" i="1"/>
  <c r="H1076" i="1"/>
  <c r="H1077" i="1"/>
  <c r="H1057" i="1"/>
  <c r="H1058" i="1"/>
  <c r="H1059" i="1"/>
  <c r="H1060" i="1"/>
  <c r="H1041" i="1"/>
  <c r="H1036" i="1"/>
  <c r="H1037" i="1"/>
  <c r="H1029" i="1"/>
  <c r="H1030" i="1"/>
  <c r="H1012" i="1"/>
  <c r="H1013" i="1"/>
  <c r="H946" i="1"/>
  <c r="H894" i="1"/>
  <c r="H895" i="1"/>
  <c r="H896" i="1"/>
  <c r="H897" i="1"/>
  <c r="I939" i="1"/>
  <c r="H939" i="1"/>
  <c r="I999" i="1"/>
  <c r="I1000" i="1"/>
  <c r="H999" i="1"/>
  <c r="H1000" i="1"/>
  <c r="I893" i="1"/>
  <c r="I938" i="1"/>
  <c r="I945" i="1"/>
  <c r="I956" i="1"/>
  <c r="I957" i="1"/>
  <c r="I958" i="1"/>
  <c r="I959" i="1"/>
  <c r="I960" i="1"/>
  <c r="I961" i="1"/>
  <c r="I972" i="1"/>
  <c r="I973" i="1"/>
  <c r="I995" i="1"/>
  <c r="I996" i="1"/>
  <c r="I997" i="1"/>
  <c r="I998" i="1"/>
  <c r="I1027" i="1"/>
  <c r="I1028" i="1"/>
  <c r="I1056" i="1"/>
  <c r="I1065" i="1"/>
  <c r="I1066" i="1"/>
  <c r="I1136" i="1"/>
  <c r="I1148" i="1"/>
  <c r="H1148" i="1"/>
  <c r="H1136" i="1"/>
  <c r="H1065" i="1"/>
  <c r="H1066" i="1"/>
  <c r="H1056" i="1"/>
  <c r="H1027" i="1"/>
  <c r="H1028" i="1"/>
  <c r="H995" i="1"/>
  <c r="H996" i="1"/>
  <c r="H997" i="1"/>
  <c r="H998" i="1"/>
  <c r="H972" i="1"/>
  <c r="H973" i="1"/>
  <c r="H959" i="1"/>
  <c r="H960" i="1"/>
  <c r="H961" i="1"/>
  <c r="H956" i="1"/>
  <c r="H957" i="1"/>
  <c r="H958" i="1"/>
  <c r="H945" i="1"/>
  <c r="H938" i="1"/>
  <c r="H893" i="1"/>
  <c r="I937" i="1"/>
  <c r="I955" i="1"/>
  <c r="I971" i="1"/>
  <c r="I1010" i="1"/>
  <c r="I1011" i="1"/>
  <c r="I1055" i="1"/>
  <c r="I1116" i="1"/>
  <c r="I1147" i="1"/>
  <c r="H1147" i="1"/>
  <c r="H1116" i="1"/>
  <c r="H1055" i="1"/>
  <c r="H1010" i="1"/>
  <c r="H1011" i="1"/>
  <c r="H955" i="1"/>
  <c r="H971" i="1"/>
  <c r="H937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I1135" i="1"/>
  <c r="I1139" i="1"/>
  <c r="I1140" i="1"/>
  <c r="I1141" i="1"/>
  <c r="I1142" i="1"/>
  <c r="I1143" i="1"/>
  <c r="I1144" i="1"/>
  <c r="I1145" i="1"/>
  <c r="I1146" i="1"/>
  <c r="H1139" i="1"/>
  <c r="H1140" i="1"/>
  <c r="H1141" i="1"/>
  <c r="H1142" i="1"/>
  <c r="H1143" i="1"/>
  <c r="H1144" i="1"/>
  <c r="H1145" i="1"/>
  <c r="H1146" i="1"/>
  <c r="I1130" i="1"/>
  <c r="I1131" i="1"/>
  <c r="I1132" i="1"/>
  <c r="I1133" i="1"/>
  <c r="I1134" i="1"/>
  <c r="H1130" i="1"/>
  <c r="H1131" i="1"/>
  <c r="H1132" i="1"/>
  <c r="H1133" i="1"/>
  <c r="H1134" i="1"/>
  <c r="H1135" i="1"/>
  <c r="I1120" i="1"/>
  <c r="I1121" i="1"/>
  <c r="I1122" i="1"/>
  <c r="I1123" i="1"/>
  <c r="I1124" i="1"/>
  <c r="I1125" i="1"/>
  <c r="I1126" i="1"/>
  <c r="H1120" i="1"/>
  <c r="H1121" i="1"/>
  <c r="H1122" i="1"/>
  <c r="H1123" i="1"/>
  <c r="H1124" i="1"/>
  <c r="H1125" i="1"/>
  <c r="H1126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I1079" i="1"/>
  <c r="I1080" i="1"/>
  <c r="I1081" i="1"/>
  <c r="I1082" i="1"/>
  <c r="I1083" i="1"/>
  <c r="I1084" i="1"/>
  <c r="I1085" i="1"/>
  <c r="H1079" i="1"/>
  <c r="H1080" i="1"/>
  <c r="H1081" i="1"/>
  <c r="H1082" i="1"/>
  <c r="H1083" i="1"/>
  <c r="H1084" i="1"/>
  <c r="H1085" i="1"/>
  <c r="H1068" i="1"/>
  <c r="I1068" i="1"/>
  <c r="H1069" i="1"/>
  <c r="I1069" i="1"/>
  <c r="H1070" i="1"/>
  <c r="I1070" i="1"/>
  <c r="H1071" i="1"/>
  <c r="I1071" i="1"/>
  <c r="H1072" i="1"/>
  <c r="I1072" i="1"/>
  <c r="H1073" i="1"/>
  <c r="I1073" i="1"/>
  <c r="I1061" i="1"/>
  <c r="I1062" i="1"/>
  <c r="I1063" i="1"/>
  <c r="I1064" i="1"/>
  <c r="H1061" i="1"/>
  <c r="H1062" i="1"/>
  <c r="H1063" i="1"/>
  <c r="H1064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I1002" i="1"/>
  <c r="I1003" i="1"/>
  <c r="I1004" i="1"/>
  <c r="I1005" i="1"/>
  <c r="I1006" i="1"/>
  <c r="I1007" i="1"/>
  <c r="I1008" i="1"/>
  <c r="I1009" i="1"/>
  <c r="I1018" i="1"/>
  <c r="I1019" i="1"/>
  <c r="I1020" i="1"/>
  <c r="I1021" i="1"/>
  <c r="I1022" i="1"/>
  <c r="I1023" i="1"/>
  <c r="I1024" i="1"/>
  <c r="I1025" i="1"/>
  <c r="I1026" i="1"/>
  <c r="I1032" i="1"/>
  <c r="I1033" i="1"/>
  <c r="I1034" i="1"/>
  <c r="I1035" i="1"/>
  <c r="I1039" i="1"/>
  <c r="I1040" i="1"/>
  <c r="H1002" i="1"/>
  <c r="H1003" i="1"/>
  <c r="H1004" i="1"/>
  <c r="H1005" i="1"/>
  <c r="H1006" i="1"/>
  <c r="H1007" i="1"/>
  <c r="H1008" i="1"/>
  <c r="H1009" i="1"/>
  <c r="H1018" i="1"/>
  <c r="H1019" i="1"/>
  <c r="H1020" i="1"/>
  <c r="H1021" i="1"/>
  <c r="H1022" i="1"/>
  <c r="H1023" i="1"/>
  <c r="H1024" i="1"/>
  <c r="H1025" i="1"/>
  <c r="H1026" i="1"/>
  <c r="H1032" i="1"/>
  <c r="H1033" i="1"/>
  <c r="H1034" i="1"/>
  <c r="H1035" i="1"/>
  <c r="H1039" i="1"/>
  <c r="H1040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I948" i="1"/>
  <c r="I949" i="1"/>
  <c r="I950" i="1"/>
  <c r="I951" i="1"/>
  <c r="I952" i="1"/>
  <c r="I953" i="1"/>
  <c r="I954" i="1"/>
  <c r="I964" i="1"/>
  <c r="I965" i="1"/>
  <c r="I966" i="1"/>
  <c r="I967" i="1"/>
  <c r="I968" i="1"/>
  <c r="I969" i="1"/>
  <c r="I970" i="1"/>
  <c r="H948" i="1"/>
  <c r="H949" i="1"/>
  <c r="H950" i="1"/>
  <c r="H951" i="1"/>
  <c r="H952" i="1"/>
  <c r="H953" i="1"/>
  <c r="H954" i="1"/>
  <c r="H964" i="1"/>
  <c r="H965" i="1"/>
  <c r="H966" i="1"/>
  <c r="H967" i="1"/>
  <c r="H968" i="1"/>
  <c r="H969" i="1"/>
  <c r="H970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42" i="1"/>
  <c r="I943" i="1"/>
  <c r="I944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I870" i="1"/>
  <c r="I871" i="1"/>
  <c r="I804" i="1"/>
  <c r="I735" i="1"/>
  <c r="I800" i="1"/>
  <c r="I801" i="1"/>
  <c r="I763" i="1"/>
  <c r="I764" i="1"/>
  <c r="I765" i="1"/>
  <c r="I736" i="1"/>
  <c r="I705" i="1"/>
  <c r="H870" i="1"/>
  <c r="H871" i="1"/>
  <c r="H804" i="1"/>
  <c r="H735" i="1"/>
  <c r="H800" i="1"/>
  <c r="H801" i="1"/>
  <c r="H763" i="1"/>
  <c r="H764" i="1"/>
  <c r="H765" i="1"/>
  <c r="H736" i="1"/>
  <c r="H705" i="1"/>
  <c r="I882" i="1"/>
  <c r="I883" i="1"/>
  <c r="I884" i="1"/>
  <c r="I885" i="1"/>
  <c r="I886" i="1"/>
  <c r="I887" i="1"/>
  <c r="I888" i="1"/>
  <c r="I889" i="1"/>
  <c r="I905" i="1"/>
  <c r="I906" i="1"/>
  <c r="I907" i="1"/>
  <c r="I908" i="1"/>
  <c r="I890" i="1"/>
  <c r="I891" i="1"/>
  <c r="I892" i="1"/>
  <c r="I909" i="1"/>
  <c r="I910" i="1"/>
  <c r="I911" i="1"/>
  <c r="I912" i="1"/>
  <c r="I913" i="1"/>
  <c r="I914" i="1"/>
  <c r="I915" i="1"/>
  <c r="I916" i="1"/>
  <c r="H882" i="1"/>
  <c r="H883" i="1"/>
  <c r="H884" i="1"/>
  <c r="H885" i="1"/>
  <c r="H886" i="1"/>
  <c r="H887" i="1"/>
  <c r="H888" i="1"/>
  <c r="H889" i="1"/>
  <c r="H905" i="1"/>
  <c r="H906" i="1"/>
  <c r="H907" i="1"/>
  <c r="H908" i="1"/>
  <c r="H890" i="1"/>
  <c r="H891" i="1"/>
  <c r="H892" i="1"/>
  <c r="H909" i="1"/>
  <c r="H910" i="1"/>
  <c r="H911" i="1"/>
  <c r="H912" i="1"/>
  <c r="H913" i="1"/>
  <c r="H914" i="1"/>
  <c r="H915" i="1"/>
  <c r="H916" i="1"/>
  <c r="H881" i="1"/>
  <c r="I872" i="1"/>
  <c r="I873" i="1"/>
  <c r="I874" i="1"/>
  <c r="I875" i="1"/>
  <c r="I876" i="1"/>
  <c r="I877" i="1"/>
  <c r="I878" i="1"/>
  <c r="I881" i="1"/>
  <c r="H872" i="1"/>
  <c r="H873" i="1"/>
  <c r="H874" i="1"/>
  <c r="H875" i="1"/>
  <c r="H876" i="1"/>
  <c r="H877" i="1"/>
  <c r="H878" i="1"/>
  <c r="I859" i="1"/>
  <c r="I860" i="1"/>
  <c r="I861" i="1"/>
  <c r="I862" i="1"/>
  <c r="I863" i="1"/>
  <c r="I864" i="1"/>
  <c r="I865" i="1"/>
  <c r="I866" i="1"/>
  <c r="I867" i="1"/>
  <c r="I868" i="1"/>
  <c r="I869" i="1"/>
  <c r="H860" i="1"/>
  <c r="H861" i="1"/>
  <c r="H862" i="1"/>
  <c r="H863" i="1"/>
  <c r="H864" i="1"/>
  <c r="H865" i="1"/>
  <c r="H866" i="1"/>
  <c r="H867" i="1"/>
  <c r="H868" i="1"/>
  <c r="H86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I839" i="1"/>
  <c r="H839" i="1"/>
  <c r="I835" i="1"/>
  <c r="I836" i="1"/>
  <c r="I837" i="1"/>
  <c r="I838" i="1"/>
  <c r="H835" i="1"/>
  <c r="H836" i="1"/>
  <c r="H837" i="1"/>
  <c r="H838" i="1"/>
  <c r="I828" i="1"/>
  <c r="I829" i="1"/>
  <c r="I830" i="1"/>
  <c r="I831" i="1"/>
  <c r="I832" i="1"/>
  <c r="I833" i="1"/>
  <c r="I834" i="1"/>
  <c r="H828" i="1"/>
  <c r="H829" i="1"/>
  <c r="H830" i="1"/>
  <c r="H831" i="1"/>
  <c r="H832" i="1"/>
  <c r="H833" i="1"/>
  <c r="H834" i="1"/>
  <c r="I827" i="1"/>
  <c r="H827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I808" i="1"/>
  <c r="I809" i="1"/>
  <c r="I810" i="1"/>
  <c r="I758" i="1"/>
  <c r="I759" i="1"/>
  <c r="I760" i="1"/>
  <c r="I761" i="1"/>
  <c r="H809" i="1"/>
  <c r="H810" i="1"/>
  <c r="H758" i="1"/>
  <c r="H759" i="1"/>
  <c r="H760" i="1"/>
  <c r="H761" i="1"/>
  <c r="I802" i="1"/>
  <c r="I803" i="1"/>
  <c r="I805" i="1"/>
  <c r="I806" i="1"/>
  <c r="I807" i="1"/>
  <c r="J159" i="6" l="1"/>
  <c r="Y159" i="6"/>
  <c r="O159" i="6"/>
  <c r="Z159" i="6"/>
  <c r="M159" i="6"/>
  <c r="W159" i="6"/>
  <c r="I159" i="6"/>
  <c r="W130" i="6"/>
  <c r="W128" i="6"/>
  <c r="W134" i="6"/>
  <c r="W148" i="6"/>
  <c r="W146" i="6"/>
  <c r="W153" i="6"/>
  <c r="W151" i="6"/>
  <c r="W126" i="6"/>
  <c r="W140" i="6"/>
  <c r="W138" i="6"/>
  <c r="W145" i="6"/>
  <c r="W143" i="6"/>
  <c r="W157" i="6"/>
  <c r="W132" i="6"/>
  <c r="W137" i="6"/>
  <c r="W135" i="6"/>
  <c r="W149" i="6"/>
  <c r="W155" i="6"/>
  <c r="W129" i="6"/>
  <c r="W127" i="6"/>
  <c r="W141" i="6"/>
  <c r="W147" i="6"/>
  <c r="W152" i="6"/>
  <c r="W158" i="6"/>
  <c r="W133" i="6"/>
  <c r="W139" i="6"/>
  <c r="W144" i="6"/>
  <c r="W150" i="6"/>
  <c r="W125" i="6"/>
  <c r="W131" i="6"/>
  <c r="W136" i="6"/>
  <c r="W142" i="6"/>
  <c r="W156" i="6"/>
  <c r="W154" i="6"/>
  <c r="H802" i="1"/>
  <c r="H803" i="1"/>
  <c r="H805" i="1"/>
  <c r="H806" i="1"/>
  <c r="H807" i="1"/>
  <c r="H808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I755" i="1"/>
  <c r="I750" i="1"/>
  <c r="I751" i="1"/>
  <c r="I752" i="1"/>
  <c r="I753" i="1"/>
  <c r="I754" i="1"/>
  <c r="I756" i="1"/>
  <c r="I762" i="1"/>
  <c r="I757" i="1"/>
  <c r="H755" i="1"/>
  <c r="H750" i="1"/>
  <c r="H751" i="1"/>
  <c r="H752" i="1"/>
  <c r="H753" i="1"/>
  <c r="H754" i="1"/>
  <c r="H756" i="1"/>
  <c r="H762" i="1"/>
  <c r="H757" i="1"/>
  <c r="I734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I700" i="1"/>
  <c r="I701" i="1"/>
  <c r="I702" i="1"/>
  <c r="I703" i="1"/>
  <c r="I704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H700" i="1"/>
  <c r="H701" i="1"/>
  <c r="H702" i="1"/>
  <c r="H703" i="1"/>
  <c r="H704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I699" i="1"/>
  <c r="I697" i="1"/>
  <c r="I698" i="1"/>
  <c r="H697" i="1"/>
  <c r="H698" i="1"/>
  <c r="H699" i="1"/>
  <c r="I679" i="1" l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6" i="1"/>
  <c r="I694" i="1"/>
  <c r="I695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6" i="1"/>
  <c r="H694" i="1"/>
  <c r="H695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I589" i="1"/>
  <c r="I590" i="1"/>
  <c r="I591" i="1"/>
  <c r="H590" i="1"/>
  <c r="H591" i="1"/>
  <c r="I585" i="1"/>
  <c r="I586" i="1"/>
  <c r="I587" i="1"/>
  <c r="I588" i="1"/>
  <c r="H585" i="1"/>
  <c r="H586" i="1"/>
  <c r="H587" i="1"/>
  <c r="H588" i="1"/>
  <c r="H589" i="1"/>
  <c r="I580" i="1"/>
  <c r="I581" i="1"/>
  <c r="I582" i="1"/>
  <c r="I583" i="1"/>
  <c r="I584" i="1"/>
  <c r="H580" i="1"/>
  <c r="H581" i="1"/>
  <c r="H582" i="1"/>
  <c r="H583" i="1"/>
  <c r="H584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51" i="1"/>
  <c r="I551" i="1"/>
  <c r="H552" i="1"/>
  <c r="I552" i="1"/>
  <c r="H553" i="1"/>
  <c r="I553" i="1"/>
  <c r="I547" i="1"/>
  <c r="I548" i="1"/>
  <c r="I549" i="1"/>
  <c r="I550" i="1"/>
  <c r="K159" i="6"/>
  <c r="L159" i="6"/>
  <c r="P159" i="6"/>
  <c r="I496" i="1"/>
  <c r="I523" i="1"/>
  <c r="I537" i="1"/>
  <c r="I483" i="1"/>
  <c r="I522" i="1"/>
  <c r="I536" i="1"/>
  <c r="H540" i="1"/>
  <c r="H541" i="1"/>
  <c r="H542" i="1"/>
  <c r="H543" i="1"/>
  <c r="H544" i="1"/>
  <c r="H545" i="1"/>
  <c r="H546" i="1"/>
  <c r="H538" i="1"/>
  <c r="I538" i="1"/>
  <c r="I539" i="1"/>
  <c r="I540" i="1"/>
  <c r="I541" i="1"/>
  <c r="I542" i="1"/>
  <c r="I543" i="1"/>
  <c r="I544" i="1"/>
  <c r="I545" i="1"/>
  <c r="I546" i="1"/>
  <c r="I451" i="1"/>
  <c r="I480" i="1"/>
  <c r="I481" i="1"/>
  <c r="I482" i="1"/>
  <c r="I486" i="1"/>
  <c r="I487" i="1"/>
  <c r="I488" i="1"/>
  <c r="I489" i="1"/>
  <c r="I490" i="1"/>
  <c r="I492" i="1"/>
  <c r="T159" i="6" l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493" i="1"/>
  <c r="I497" i="1"/>
  <c r="I498" i="1"/>
  <c r="I494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495" i="1"/>
  <c r="I512" i="1"/>
  <c r="I513" i="1"/>
  <c r="I514" i="1"/>
  <c r="I515" i="1"/>
  <c r="I516" i="1"/>
  <c r="I517" i="1"/>
  <c r="I518" i="1"/>
  <c r="I519" i="1"/>
  <c r="I520" i="1"/>
  <c r="I521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451" i="1"/>
  <c r="H480" i="1"/>
  <c r="H481" i="1"/>
  <c r="H482" i="1"/>
  <c r="H486" i="1"/>
  <c r="H487" i="1"/>
  <c r="H488" i="1"/>
  <c r="H489" i="1"/>
  <c r="H490" i="1"/>
  <c r="H492" i="1"/>
  <c r="H539" i="1"/>
  <c r="H483" i="1"/>
  <c r="H522" i="1"/>
  <c r="H536" i="1"/>
  <c r="H496" i="1"/>
  <c r="H523" i="1"/>
  <c r="H537" i="1"/>
  <c r="H547" i="1"/>
  <c r="H548" i="1"/>
  <c r="H549" i="1"/>
  <c r="H550" i="1"/>
  <c r="H493" i="1"/>
  <c r="H497" i="1"/>
  <c r="H498" i="1"/>
  <c r="H494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495" i="1"/>
  <c r="H512" i="1"/>
  <c r="H513" i="1"/>
  <c r="H514" i="1"/>
  <c r="H515" i="1"/>
  <c r="H516" i="1"/>
  <c r="H517" i="1"/>
  <c r="H518" i="1"/>
  <c r="H519" i="1"/>
  <c r="H520" i="1"/>
  <c r="H521" i="1"/>
  <c r="H35" i="3"/>
  <c r="I35" i="3" s="1"/>
  <c r="I491" i="1"/>
  <c r="H491" i="1"/>
  <c r="H371" i="1"/>
  <c r="I371" i="1"/>
  <c r="Y35" i="3" l="1"/>
  <c r="T35" i="3"/>
  <c r="I484" i="1"/>
  <c r="I485" i="1"/>
  <c r="H484" i="1"/>
  <c r="H485" i="1"/>
  <c r="H479" i="1"/>
  <c r="I479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I441" i="1"/>
  <c r="I442" i="1"/>
  <c r="I443" i="1"/>
  <c r="I444" i="1"/>
  <c r="I445" i="1"/>
  <c r="I446" i="1"/>
  <c r="I447" i="1"/>
  <c r="I448" i="1"/>
  <c r="I449" i="1"/>
  <c r="I450" i="1"/>
  <c r="I452" i="1"/>
  <c r="H452" i="1"/>
  <c r="O4" i="3"/>
  <c r="H441" i="1"/>
  <c r="H442" i="1"/>
  <c r="H443" i="1"/>
  <c r="H444" i="1"/>
  <c r="H445" i="1"/>
  <c r="H446" i="1"/>
  <c r="H447" i="1"/>
  <c r="H448" i="1"/>
  <c r="H449" i="1"/>
  <c r="H450" i="1"/>
  <c r="T33" i="3" l="1"/>
  <c r="U33" i="3"/>
  <c r="Y33" i="3"/>
  <c r="P29" i="3"/>
  <c r="Y30" i="3"/>
  <c r="T28" i="3"/>
  <c r="O28" i="3"/>
  <c r="Z22" i="3"/>
  <c r="T22" i="3"/>
  <c r="U22" i="3"/>
  <c r="O23" i="3"/>
  <c r="Y23" i="3"/>
  <c r="J23" i="3"/>
  <c r="U23" i="3"/>
  <c r="T23" i="3"/>
  <c r="O24" i="3"/>
  <c r="O26" i="3"/>
  <c r="O20" i="3"/>
  <c r="O35" i="3"/>
  <c r="P21" i="3"/>
  <c r="P11" i="3"/>
  <c r="P27" i="3"/>
  <c r="P24" i="3"/>
  <c r="P30" i="3"/>
  <c r="P22" i="3"/>
  <c r="P13" i="3"/>
  <c r="O33" i="3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1" i="1"/>
  <c r="I432" i="1"/>
  <c r="I433" i="1"/>
  <c r="I434" i="1"/>
  <c r="I435" i="1"/>
  <c r="I436" i="1"/>
  <c r="I437" i="1"/>
  <c r="I438" i="1"/>
  <c r="H431" i="1"/>
  <c r="H432" i="1"/>
  <c r="H433" i="1"/>
  <c r="H434" i="1"/>
  <c r="H435" i="1"/>
  <c r="H436" i="1"/>
  <c r="H437" i="1"/>
  <c r="H438" i="1"/>
  <c r="H411" i="1"/>
  <c r="H412" i="1"/>
  <c r="H414" i="1"/>
  <c r="H423" i="1"/>
  <c r="H415" i="1"/>
  <c r="H416" i="1"/>
  <c r="H424" i="1"/>
  <c r="H425" i="1"/>
  <c r="H417" i="1"/>
  <c r="H418" i="1"/>
  <c r="H419" i="1"/>
  <c r="H426" i="1"/>
  <c r="H427" i="1"/>
  <c r="H420" i="1"/>
  <c r="H421" i="1"/>
  <c r="H422" i="1"/>
  <c r="H428" i="1"/>
  <c r="H429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P19" i="3" l="1"/>
  <c r="Y19" i="3"/>
  <c r="U19" i="3"/>
  <c r="P18" i="3"/>
  <c r="K19" i="3"/>
  <c r="J32" i="3"/>
  <c r="Y18" i="3"/>
  <c r="T18" i="3"/>
  <c r="J18" i="3"/>
  <c r="Z18" i="3"/>
  <c r="O18" i="3"/>
  <c r="I370" i="1"/>
  <c r="I372" i="1"/>
  <c r="I373" i="1"/>
  <c r="I374" i="1"/>
  <c r="I375" i="1"/>
  <c r="I376" i="1"/>
  <c r="H372" i="1"/>
  <c r="H373" i="1"/>
  <c r="H374" i="1"/>
  <c r="H375" i="1"/>
  <c r="H376" i="1"/>
  <c r="T5" i="3" l="1"/>
  <c r="O5" i="3"/>
  <c r="Y5" i="3"/>
  <c r="J8" i="3"/>
  <c r="I367" i="1"/>
  <c r="H367" i="1"/>
  <c r="I362" i="1"/>
  <c r="I363" i="1"/>
  <c r="I364" i="1"/>
  <c r="I365" i="1"/>
  <c r="I366" i="1"/>
  <c r="I368" i="1"/>
  <c r="I369" i="1"/>
  <c r="H368" i="1"/>
  <c r="H369" i="1"/>
  <c r="H370" i="1"/>
  <c r="I239" i="1"/>
  <c r="E239" i="1"/>
  <c r="H239" i="1"/>
  <c r="H362" i="1"/>
  <c r="H363" i="1"/>
  <c r="H364" i="1"/>
  <c r="H365" i="1"/>
  <c r="H366" i="1"/>
  <c r="N2" i="1"/>
  <c r="P2" i="1" s="1"/>
  <c r="O2" i="1"/>
  <c r="Z25" i="3" l="1"/>
  <c r="K25" i="3"/>
  <c r="O25" i="3"/>
  <c r="E238" i="1"/>
  <c r="H238" i="1"/>
  <c r="I238" i="1"/>
  <c r="E159" i="6"/>
  <c r="H159" i="6"/>
  <c r="I236" i="1"/>
  <c r="I237" i="1"/>
  <c r="E236" i="1"/>
  <c r="E237" i="1"/>
  <c r="H236" i="1"/>
  <c r="H237" i="1"/>
  <c r="D159" i="6"/>
  <c r="I234" i="1"/>
  <c r="I235" i="1"/>
  <c r="E235" i="1"/>
  <c r="H235" i="1"/>
  <c r="E234" i="1"/>
  <c r="H234" i="1"/>
  <c r="I361" i="1"/>
  <c r="H361" i="1"/>
  <c r="I356" i="1"/>
  <c r="I357" i="1"/>
  <c r="I358" i="1"/>
  <c r="I359" i="1"/>
  <c r="I360" i="1"/>
  <c r="I355" i="1"/>
  <c r="H356" i="1"/>
  <c r="H357" i="1"/>
  <c r="H358" i="1"/>
  <c r="H359" i="1"/>
  <c r="H360" i="1"/>
  <c r="H355" i="1"/>
  <c r="T26" i="3" l="1"/>
  <c r="T20" i="3"/>
  <c r="T24" i="3"/>
  <c r="Y21" i="3"/>
  <c r="U11" i="3"/>
  <c r="U24" i="3"/>
  <c r="O27" i="3"/>
  <c r="Y24" i="3"/>
  <c r="Y27" i="3"/>
  <c r="Z24" i="3"/>
  <c r="U20" i="3"/>
  <c r="U13" i="3"/>
  <c r="T13" i="3"/>
  <c r="T4" i="3"/>
  <c r="K13" i="3"/>
  <c r="J4" i="3"/>
  <c r="Z4" i="3"/>
  <c r="J13" i="3"/>
  <c r="Y20" i="3"/>
  <c r="Y13" i="3"/>
  <c r="K4" i="3"/>
  <c r="Y26" i="3"/>
  <c r="Y11" i="3"/>
  <c r="Y4" i="3"/>
  <c r="P4" i="3"/>
  <c r="U4" i="3"/>
  <c r="J20" i="3"/>
  <c r="P20" i="3"/>
  <c r="Z11" i="3"/>
  <c r="O11" i="3"/>
  <c r="K26" i="3"/>
  <c r="Z26" i="3"/>
  <c r="K11" i="3"/>
  <c r="J26" i="3"/>
  <c r="U26" i="3"/>
  <c r="P26" i="3"/>
  <c r="T11" i="3"/>
  <c r="J9" i="3"/>
  <c r="P15" i="3"/>
  <c r="U15" i="3"/>
  <c r="Y15" i="3"/>
  <c r="K15" i="3"/>
  <c r="J15" i="3"/>
  <c r="Z15" i="3"/>
  <c r="T15" i="3"/>
  <c r="O15" i="3"/>
  <c r="Z7" i="3"/>
  <c r="P7" i="3"/>
  <c r="Y7" i="3"/>
  <c r="T7" i="3"/>
  <c r="U7" i="3"/>
  <c r="J7" i="3"/>
  <c r="K7" i="3"/>
  <c r="O7" i="3"/>
  <c r="Z17" i="3"/>
  <c r="K17" i="3"/>
  <c r="U17" i="3"/>
  <c r="O17" i="3"/>
  <c r="Y17" i="3"/>
  <c r="J17" i="3"/>
  <c r="T17" i="3"/>
  <c r="P17" i="3"/>
  <c r="J25" i="3"/>
  <c r="K5" i="3"/>
  <c r="T19" i="3"/>
  <c r="K22" i="3"/>
  <c r="Y22" i="3"/>
  <c r="K28" i="3"/>
  <c r="U30" i="3"/>
  <c r="Z23" i="3"/>
  <c r="P35" i="3"/>
  <c r="K35" i="3"/>
  <c r="U35" i="3"/>
  <c r="U5" i="3"/>
  <c r="K18" i="3"/>
  <c r="Z29" i="3"/>
  <c r="Z33" i="3"/>
  <c r="Z30" i="3"/>
  <c r="K33" i="3"/>
  <c r="Y25" i="3"/>
  <c r="P25" i="3"/>
  <c r="P5" i="3"/>
  <c r="O19" i="3"/>
  <c r="U18" i="3"/>
  <c r="P28" i="3"/>
  <c r="O30" i="3"/>
  <c r="O22" i="3"/>
  <c r="P23" i="3"/>
  <c r="U28" i="3"/>
  <c r="Z28" i="3"/>
  <c r="U21" i="3"/>
  <c r="K21" i="3"/>
  <c r="K20" i="3"/>
  <c r="T25" i="3"/>
  <c r="Z5" i="3"/>
  <c r="Z35" i="3"/>
  <c r="Z27" i="3"/>
  <c r="K24" i="3"/>
  <c r="U25" i="3"/>
  <c r="J5" i="3"/>
  <c r="Z19" i="3"/>
  <c r="K23" i="3"/>
  <c r="P33" i="3"/>
  <c r="Y28" i="3"/>
  <c r="U27" i="3"/>
  <c r="J27" i="3"/>
  <c r="O21" i="3"/>
  <c r="Z13" i="3"/>
  <c r="Z20" i="3"/>
  <c r="K16" i="3"/>
  <c r="U38" i="6"/>
  <c r="U41" i="6"/>
  <c r="U34" i="6"/>
  <c r="N35" i="6"/>
  <c r="G38" i="6"/>
  <c r="T37" i="6"/>
  <c r="P37" i="6"/>
  <c r="K30" i="3"/>
  <c r="K27" i="3"/>
  <c r="Z21" i="3"/>
  <c r="K6" i="3"/>
  <c r="K42" i="6"/>
  <c r="G40" i="6"/>
  <c r="J41" i="6"/>
  <c r="U35" i="6"/>
  <c r="C37" i="6"/>
  <c r="P39" i="6"/>
  <c r="M35" i="6"/>
  <c r="C35" i="6"/>
  <c r="M41" i="6"/>
  <c r="D39" i="6"/>
  <c r="O41" i="6"/>
  <c r="Q36" i="6"/>
  <c r="N38" i="6"/>
  <c r="G39" i="6"/>
  <c r="L34" i="6"/>
  <c r="K34" i="6"/>
  <c r="F40" i="6"/>
  <c r="G36" i="6"/>
  <c r="D41" i="6"/>
  <c r="T33" i="6"/>
  <c r="C41" i="6"/>
  <c r="J34" i="6"/>
  <c r="N42" i="6"/>
  <c r="T6" i="3"/>
  <c r="N33" i="6"/>
  <c r="N36" i="6"/>
  <c r="G33" i="6"/>
  <c r="Q33" i="6"/>
  <c r="F36" i="6"/>
  <c r="E37" i="6"/>
  <c r="H42" i="6"/>
  <c r="N41" i="6"/>
  <c r="O35" i="6"/>
  <c r="N40" i="6"/>
  <c r="L36" i="6"/>
  <c r="C40" i="6"/>
  <c r="T40" i="6"/>
  <c r="Q39" i="6"/>
  <c r="T35" i="6"/>
  <c r="R36" i="6"/>
  <c r="I36" i="6"/>
  <c r="M33" i="6"/>
  <c r="J33" i="6"/>
  <c r="M38" i="6"/>
  <c r="H33" i="6"/>
  <c r="C39" i="6"/>
  <c r="D35" i="6"/>
  <c r="Z6" i="3"/>
  <c r="Q41" i="6"/>
  <c r="R33" i="6"/>
  <c r="J35" i="6"/>
  <c r="E39" i="6"/>
  <c r="J37" i="6"/>
  <c r="T38" i="6"/>
  <c r="K38" i="6"/>
  <c r="P42" i="6"/>
  <c r="F34" i="6"/>
  <c r="K37" i="6"/>
  <c r="E36" i="6"/>
  <c r="J6" i="3"/>
  <c r="H41" i="6"/>
  <c r="R34" i="6"/>
  <c r="O37" i="6"/>
  <c r="S39" i="6"/>
  <c r="H39" i="6"/>
  <c r="S37" i="6"/>
  <c r="G41" i="6"/>
  <c r="S41" i="6"/>
  <c r="P34" i="6"/>
  <c r="S35" i="6"/>
  <c r="M36" i="6"/>
  <c r="Y6" i="3"/>
  <c r="E41" i="6"/>
  <c r="O38" i="6"/>
  <c r="M34" i="6"/>
  <c r="L40" i="6"/>
  <c r="O33" i="6"/>
  <c r="H34" i="6"/>
  <c r="O34" i="6"/>
  <c r="D42" i="6"/>
  <c r="Q38" i="6"/>
  <c r="J40" i="6"/>
  <c r="F33" i="6"/>
  <c r="P41" i="6"/>
  <c r="U39" i="6"/>
  <c r="U40" i="6"/>
  <c r="T39" i="6"/>
  <c r="N34" i="6"/>
  <c r="K35" i="6"/>
  <c r="O39" i="6"/>
  <c r="M37" i="6"/>
  <c r="U42" i="6"/>
  <c r="F35" i="6"/>
  <c r="R35" i="6"/>
  <c r="R40" i="6"/>
  <c r="P6" i="3"/>
  <c r="I37" i="6"/>
  <c r="E33" i="6"/>
  <c r="N39" i="6"/>
  <c r="S33" i="6"/>
  <c r="J36" i="6"/>
  <c r="C36" i="6"/>
  <c r="G37" i="6"/>
  <c r="E40" i="6"/>
  <c r="U33" i="6"/>
  <c r="Q34" i="6"/>
  <c r="R39" i="6"/>
  <c r="D34" i="6"/>
  <c r="I38" i="6"/>
  <c r="I42" i="6"/>
  <c r="K39" i="6"/>
  <c r="I41" i="6"/>
  <c r="G34" i="6"/>
  <c r="C33" i="6"/>
  <c r="Q42" i="6"/>
  <c r="L39" i="6"/>
  <c r="L38" i="6"/>
  <c r="T41" i="6"/>
  <c r="D38" i="6"/>
  <c r="T36" i="6"/>
  <c r="Q40" i="6"/>
  <c r="L41" i="6"/>
  <c r="D33" i="6"/>
  <c r="Q35" i="6"/>
  <c r="T42" i="6"/>
  <c r="U37" i="6"/>
  <c r="O42" i="6"/>
  <c r="D37" i="6"/>
  <c r="P35" i="6"/>
  <c r="C34" i="6"/>
  <c r="M42" i="6"/>
  <c r="I33" i="6"/>
  <c r="H37" i="6"/>
  <c r="K41" i="6"/>
  <c r="O6" i="3"/>
  <c r="P33" i="6"/>
  <c r="P36" i="6"/>
  <c r="O40" i="6"/>
  <c r="P40" i="6"/>
  <c r="K33" i="6"/>
  <c r="R41" i="6"/>
  <c r="R42" i="6"/>
  <c r="I40" i="6"/>
  <c r="S36" i="6"/>
  <c r="R37" i="6"/>
  <c r="H36" i="6"/>
  <c r="L33" i="6"/>
  <c r="M39" i="6"/>
  <c r="L37" i="6"/>
  <c r="D40" i="6"/>
  <c r="E38" i="6"/>
  <c r="I39" i="6"/>
  <c r="E42" i="6"/>
  <c r="H38" i="6"/>
  <c r="S34" i="6"/>
  <c r="T34" i="6"/>
  <c r="F39" i="6"/>
  <c r="F42" i="6"/>
  <c r="L42" i="6"/>
  <c r="U36" i="6"/>
  <c r="G35" i="6"/>
  <c r="E35" i="6"/>
  <c r="J42" i="6"/>
  <c r="G42" i="6"/>
  <c r="H40" i="6"/>
  <c r="J39" i="6"/>
  <c r="N37" i="6"/>
  <c r="R38" i="6"/>
  <c r="K40" i="6"/>
  <c r="C42" i="6"/>
  <c r="D36" i="6"/>
  <c r="C38" i="6"/>
  <c r="F38" i="6"/>
  <c r="S38" i="6"/>
  <c r="F41" i="6"/>
  <c r="E34" i="6"/>
  <c r="J38" i="6"/>
  <c r="O36" i="6"/>
  <c r="S42" i="6"/>
  <c r="I34" i="6"/>
  <c r="H35" i="6"/>
  <c r="L35" i="6"/>
  <c r="I35" i="6"/>
  <c r="M40" i="6"/>
  <c r="K36" i="6"/>
  <c r="S40" i="6"/>
  <c r="P38" i="6"/>
  <c r="F37" i="6"/>
  <c r="Q37" i="6"/>
  <c r="U6" i="3"/>
  <c r="J16" i="3"/>
  <c r="Z16" i="3"/>
  <c r="O16" i="3"/>
  <c r="U16" i="3"/>
  <c r="Y16" i="3"/>
  <c r="T16" i="3"/>
  <c r="P16" i="3"/>
  <c r="I4" i="1"/>
  <c r="I5" i="1"/>
  <c r="I6" i="1"/>
  <c r="I7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3" i="1"/>
  <c r="I233" i="1"/>
  <c r="H232" i="1"/>
  <c r="I232" i="1"/>
  <c r="H231" i="1"/>
  <c r="I231" i="1"/>
  <c r="H242" i="1"/>
  <c r="I242" i="1"/>
  <c r="H243" i="1"/>
  <c r="I243" i="1"/>
  <c r="H244" i="1"/>
  <c r="I244" i="1"/>
  <c r="H245" i="1"/>
  <c r="I245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8" i="1"/>
  <c r="I268" i="1"/>
  <c r="H264" i="1"/>
  <c r="I264" i="1"/>
  <c r="H265" i="1"/>
  <c r="I265" i="1"/>
  <c r="H246" i="1"/>
  <c r="I246" i="1"/>
  <c r="H266" i="1"/>
  <c r="I266" i="1"/>
  <c r="H247" i="1"/>
  <c r="I247" i="1"/>
  <c r="H267" i="1"/>
  <c r="I267" i="1"/>
  <c r="H248" i="1"/>
  <c r="I248" i="1"/>
  <c r="H269" i="1"/>
  <c r="I269" i="1"/>
  <c r="H270" i="1"/>
  <c r="I270" i="1"/>
  <c r="H273" i="1"/>
  <c r="I273" i="1"/>
  <c r="H271" i="1"/>
  <c r="I271" i="1"/>
  <c r="H272" i="1"/>
  <c r="I272" i="1"/>
  <c r="H275" i="1"/>
  <c r="I275" i="1"/>
  <c r="H276" i="1"/>
  <c r="I276" i="1"/>
  <c r="H274" i="1"/>
  <c r="I274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9" i="1"/>
  <c r="I309" i="1"/>
  <c r="H308" i="1"/>
  <c r="I308" i="1"/>
  <c r="H285" i="1"/>
  <c r="I285" i="1"/>
  <c r="H310" i="1"/>
  <c r="I310" i="1"/>
  <c r="H311" i="1"/>
  <c r="I311" i="1"/>
  <c r="H312" i="1"/>
  <c r="I312" i="1"/>
  <c r="H313" i="1"/>
  <c r="I313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H333" i="1"/>
  <c r="H334" i="1"/>
  <c r="H315" i="1"/>
  <c r="H344" i="1"/>
  <c r="H345" i="1"/>
  <c r="H335" i="1"/>
  <c r="H336" i="1"/>
  <c r="H337" i="1"/>
  <c r="H338" i="1"/>
  <c r="H339" i="1"/>
  <c r="H340" i="1"/>
  <c r="H341" i="1"/>
  <c r="H346" i="1"/>
  <c r="H347" i="1"/>
  <c r="H348" i="1"/>
  <c r="H349" i="1"/>
  <c r="H350" i="1"/>
  <c r="R159" i="6"/>
  <c r="I346" i="1"/>
  <c r="I347" i="1"/>
  <c r="I348" i="1"/>
  <c r="I349" i="1"/>
  <c r="I350" i="1"/>
  <c r="I342" i="1"/>
  <c r="I351" i="1"/>
  <c r="I352" i="1"/>
  <c r="I353" i="1"/>
  <c r="I354" i="1"/>
  <c r="I343" i="1"/>
  <c r="O2" i="3"/>
  <c r="U31" i="3"/>
  <c r="H342" i="1"/>
  <c r="H351" i="1"/>
  <c r="H352" i="1"/>
  <c r="H353" i="1"/>
  <c r="H354" i="1"/>
  <c r="H343" i="1"/>
  <c r="I332" i="1"/>
  <c r="I333" i="1"/>
  <c r="I334" i="1"/>
  <c r="I315" i="1"/>
  <c r="I344" i="1"/>
  <c r="I345" i="1"/>
  <c r="I335" i="1"/>
  <c r="I336" i="1"/>
  <c r="I337" i="1"/>
  <c r="I338" i="1"/>
  <c r="I339" i="1"/>
  <c r="I340" i="1"/>
  <c r="I341" i="1"/>
  <c r="O13" i="3"/>
  <c r="Q159" i="6" l="1"/>
  <c r="F159" i="6"/>
  <c r="S159" i="6"/>
  <c r="U159" i="6"/>
  <c r="C159" i="6"/>
  <c r="G159" i="6"/>
  <c r="I155" i="6"/>
  <c r="I156" i="6"/>
  <c r="J125" i="6"/>
  <c r="I158" i="6"/>
  <c r="I157" i="6"/>
  <c r="I154" i="6"/>
  <c r="O127" i="6"/>
  <c r="I125" i="6"/>
  <c r="C126" i="6"/>
  <c r="R126" i="6"/>
  <c r="D127" i="6"/>
  <c r="AA127" i="6"/>
  <c r="M125" i="6"/>
  <c r="AB125" i="6"/>
  <c r="V126" i="6"/>
  <c r="P127" i="6"/>
  <c r="G127" i="6"/>
  <c r="X125" i="6"/>
  <c r="J126" i="6"/>
  <c r="Y126" i="6"/>
  <c r="S127" i="6"/>
  <c r="E125" i="6"/>
  <c r="T125" i="6"/>
  <c r="N126" i="6"/>
  <c r="H127" i="6"/>
  <c r="AB126" i="6"/>
  <c r="V127" i="6"/>
  <c r="P125" i="6"/>
  <c r="Q126" i="6"/>
  <c r="K127" i="6"/>
  <c r="Z127" i="6"/>
  <c r="L125" i="6"/>
  <c r="F126" i="6"/>
  <c r="U126" i="6"/>
  <c r="T126" i="6"/>
  <c r="N127" i="6"/>
  <c r="H125" i="6"/>
  <c r="O125" i="6"/>
  <c r="I126" i="6"/>
  <c r="C127" i="6"/>
  <c r="R127" i="6"/>
  <c r="D125" i="6"/>
  <c r="AA125" i="6"/>
  <c r="M126" i="6"/>
  <c r="L126" i="6"/>
  <c r="F127" i="6"/>
  <c r="U127" i="6"/>
  <c r="G125" i="6"/>
  <c r="X126" i="6"/>
  <c r="J127" i="6"/>
  <c r="Y127" i="6"/>
  <c r="S125" i="6"/>
  <c r="E126" i="6"/>
  <c r="D126" i="6"/>
  <c r="AA126" i="6"/>
  <c r="M127" i="6"/>
  <c r="AB127" i="6"/>
  <c r="V125" i="6"/>
  <c r="P126" i="6"/>
  <c r="Q127" i="6"/>
  <c r="K125" i="6"/>
  <c r="Z125" i="6"/>
  <c r="Y125" i="6"/>
  <c r="S126" i="6"/>
  <c r="E127" i="6"/>
  <c r="T127" i="6"/>
  <c r="N125" i="6"/>
  <c r="H126" i="6"/>
  <c r="O126" i="6"/>
  <c r="I127" i="6"/>
  <c r="C125" i="6"/>
  <c r="R125" i="6"/>
  <c r="Q125" i="6"/>
  <c r="K126" i="6"/>
  <c r="Z126" i="6"/>
  <c r="L127" i="6"/>
  <c r="F125" i="6"/>
  <c r="U125" i="6"/>
  <c r="G126" i="6"/>
  <c r="X127" i="6"/>
  <c r="U29" i="3"/>
  <c r="O29" i="3"/>
  <c r="O8" i="3"/>
  <c r="P8" i="3"/>
  <c r="O34" i="3"/>
  <c r="P34" i="3"/>
  <c r="O31" i="3"/>
  <c r="P31" i="3"/>
  <c r="Z31" i="3"/>
  <c r="O9" i="3"/>
  <c r="P9" i="3"/>
  <c r="U32" i="3"/>
  <c r="P32" i="3"/>
  <c r="O32" i="3"/>
  <c r="P12" i="3"/>
  <c r="O12" i="3"/>
  <c r="O3" i="3"/>
  <c r="P3" i="3"/>
  <c r="T2" i="3"/>
  <c r="P2" i="3"/>
  <c r="T34" i="3"/>
  <c r="U34" i="3"/>
  <c r="Y31" i="3"/>
  <c r="T31" i="3"/>
  <c r="Y29" i="3"/>
  <c r="AA29" i="3" s="1"/>
  <c r="T29" i="3"/>
  <c r="Y9" i="3"/>
  <c r="U9" i="3"/>
  <c r="T9" i="3"/>
  <c r="U2" i="3"/>
  <c r="Y12" i="3"/>
  <c r="T12" i="3"/>
  <c r="U12" i="3"/>
  <c r="Y3" i="3"/>
  <c r="Z3" i="3"/>
  <c r="T3" i="3"/>
  <c r="U3" i="3"/>
  <c r="Y32" i="3"/>
  <c r="T32" i="3"/>
  <c r="Y8" i="3"/>
  <c r="T8" i="3"/>
  <c r="U8" i="3"/>
  <c r="D113" i="6"/>
  <c r="Y34" i="3"/>
  <c r="Y2" i="3"/>
  <c r="Z2" i="3"/>
  <c r="I64" i="6"/>
  <c r="M105" i="6"/>
  <c r="D79" i="6"/>
  <c r="N43" i="6"/>
  <c r="I133" i="6"/>
  <c r="K134" i="6"/>
  <c r="L154" i="6"/>
  <c r="N138" i="6"/>
  <c r="I73" i="6"/>
  <c r="R52" i="6"/>
  <c r="F79" i="6"/>
  <c r="S112" i="6"/>
  <c r="J92" i="6"/>
  <c r="N117" i="6"/>
  <c r="E70" i="6"/>
  <c r="E109" i="6"/>
  <c r="N74" i="6"/>
  <c r="F106" i="6"/>
  <c r="K70" i="6"/>
  <c r="J49" i="6"/>
  <c r="K122" i="6"/>
  <c r="L110" i="6"/>
  <c r="G70" i="6"/>
  <c r="K116" i="6"/>
  <c r="C82" i="6"/>
  <c r="C131" i="6"/>
  <c r="T100" i="6"/>
  <c r="T87" i="6"/>
  <c r="H84" i="6"/>
  <c r="C81" i="6"/>
  <c r="O46" i="6"/>
  <c r="D140" i="6"/>
  <c r="L114" i="6"/>
  <c r="C49" i="6"/>
  <c r="F103" i="6"/>
  <c r="O136" i="6"/>
  <c r="N71" i="6"/>
  <c r="U66" i="6"/>
  <c r="E77" i="6"/>
  <c r="L82" i="6"/>
  <c r="D128" i="6"/>
  <c r="E118" i="6"/>
  <c r="N103" i="6"/>
  <c r="D145" i="6"/>
  <c r="D63" i="6"/>
  <c r="G96" i="6"/>
  <c r="E60" i="6"/>
  <c r="Q89" i="6"/>
  <c r="F83" i="6"/>
  <c r="O146" i="6"/>
  <c r="G104" i="6"/>
  <c r="K89" i="6"/>
  <c r="T114" i="6"/>
  <c r="G68" i="6"/>
  <c r="R148" i="6"/>
  <c r="H136" i="6"/>
  <c r="L120" i="6"/>
  <c r="P137" i="6"/>
  <c r="C130" i="6"/>
  <c r="E49" i="6"/>
  <c r="I117" i="6"/>
  <c r="C61" i="6"/>
  <c r="P54" i="6"/>
  <c r="N140" i="6"/>
  <c r="G78" i="6"/>
  <c r="E96" i="6"/>
  <c r="R123" i="6"/>
  <c r="Q138" i="6"/>
  <c r="O155" i="6"/>
  <c r="S52" i="6"/>
  <c r="N49" i="6"/>
  <c r="T116" i="6"/>
  <c r="U96" i="6"/>
  <c r="P97" i="6"/>
  <c r="G71" i="6"/>
  <c r="E117" i="6"/>
  <c r="Q119" i="6"/>
  <c r="U124" i="6"/>
  <c r="G73" i="6"/>
  <c r="J79" i="6"/>
  <c r="S71" i="6"/>
  <c r="K59" i="6"/>
  <c r="S128" i="6"/>
  <c r="H150" i="6"/>
  <c r="T134" i="6"/>
  <c r="L133" i="6"/>
  <c r="G141" i="6"/>
  <c r="T74" i="6"/>
  <c r="D135" i="6"/>
  <c r="M87" i="6"/>
  <c r="K88" i="6"/>
  <c r="U128" i="6"/>
  <c r="K34" i="3"/>
  <c r="Z34" i="3"/>
  <c r="U156" i="6"/>
  <c r="P156" i="6"/>
  <c r="X157" i="6"/>
  <c r="J156" i="6"/>
  <c r="S157" i="6"/>
  <c r="AB158" i="6"/>
  <c r="P157" i="6"/>
  <c r="V140" i="6"/>
  <c r="AB135" i="6"/>
  <c r="T156" i="6"/>
  <c r="Y141" i="6"/>
  <c r="Z140" i="6"/>
  <c r="AB156" i="6"/>
  <c r="V144" i="6"/>
  <c r="V146" i="6"/>
  <c r="Z128" i="6"/>
  <c r="X142" i="6"/>
  <c r="Z132" i="6"/>
  <c r="J91" i="6"/>
  <c r="D98" i="6"/>
  <c r="Q50" i="6"/>
  <c r="J70" i="6"/>
  <c r="AB134" i="6"/>
  <c r="V130" i="6"/>
  <c r="J86" i="6"/>
  <c r="M81" i="6"/>
  <c r="D88" i="6"/>
  <c r="U69" i="6"/>
  <c r="F132" i="6"/>
  <c r="AB138" i="6"/>
  <c r="X128" i="6"/>
  <c r="Q116" i="6"/>
  <c r="M44" i="6"/>
  <c r="M57" i="6"/>
  <c r="K85" i="6"/>
  <c r="D58" i="6"/>
  <c r="Y154" i="6"/>
  <c r="V139" i="6"/>
  <c r="AA134" i="6"/>
  <c r="C73" i="6"/>
  <c r="J144" i="6"/>
  <c r="E43" i="6"/>
  <c r="C79" i="6"/>
  <c r="Z154" i="6"/>
  <c r="S136" i="6"/>
  <c r="N123" i="6"/>
  <c r="H48" i="6"/>
  <c r="S100" i="6"/>
  <c r="Y133" i="6"/>
  <c r="X154" i="6"/>
  <c r="C91" i="6"/>
  <c r="C69" i="6"/>
  <c r="C89" i="6"/>
  <c r="J151" i="6"/>
  <c r="O82" i="6"/>
  <c r="AB143" i="6"/>
  <c r="I131" i="6"/>
  <c r="D111" i="6"/>
  <c r="U95" i="6"/>
  <c r="D133" i="6"/>
  <c r="P131" i="6"/>
  <c r="V137" i="6"/>
  <c r="P106" i="6"/>
  <c r="M96" i="6"/>
  <c r="I130" i="6"/>
  <c r="G146" i="6"/>
  <c r="S154" i="6"/>
  <c r="O55" i="6"/>
  <c r="D44" i="6"/>
  <c r="K63" i="6"/>
  <c r="C92" i="6"/>
  <c r="G61" i="6"/>
  <c r="D87" i="6"/>
  <c r="O119" i="6"/>
  <c r="Y157" i="6"/>
  <c r="K156" i="6"/>
  <c r="G158" i="6"/>
  <c r="D157" i="6"/>
  <c r="F158" i="6"/>
  <c r="AB145" i="6"/>
  <c r="V145" i="6"/>
  <c r="L156" i="6"/>
  <c r="Z150" i="6"/>
  <c r="AA149" i="6"/>
  <c r="M157" i="6"/>
  <c r="E158" i="6"/>
  <c r="AB136" i="6"/>
  <c r="AA129" i="6"/>
  <c r="R114" i="6"/>
  <c r="M114" i="6"/>
  <c r="M80" i="6"/>
  <c r="U132" i="6"/>
  <c r="F155" i="6"/>
  <c r="H156" i="6"/>
  <c r="X138" i="6"/>
  <c r="I120" i="6"/>
  <c r="L148" i="6"/>
  <c r="D143" i="6"/>
  <c r="T88" i="6"/>
  <c r="G109" i="6"/>
  <c r="AA140" i="6"/>
  <c r="V148" i="6"/>
  <c r="Y137" i="6"/>
  <c r="L117" i="6"/>
  <c r="C78" i="6"/>
  <c r="C108" i="6"/>
  <c r="R116" i="6"/>
  <c r="H142" i="6"/>
  <c r="AA143" i="6"/>
  <c r="Y152" i="6"/>
  <c r="I145" i="6"/>
  <c r="I51" i="6"/>
  <c r="J61" i="6"/>
  <c r="L139" i="6"/>
  <c r="Y156" i="6"/>
  <c r="K50" i="6"/>
  <c r="S149" i="6"/>
  <c r="P123" i="6"/>
  <c r="P142" i="6"/>
  <c r="F136" i="6"/>
  <c r="AA138" i="6"/>
  <c r="AB146" i="6"/>
  <c r="Y155" i="6"/>
  <c r="I98" i="6"/>
  <c r="P63" i="6"/>
  <c r="M88" i="6"/>
  <c r="Q49" i="6"/>
  <c r="F102" i="6"/>
  <c r="V153" i="6"/>
  <c r="X143" i="6"/>
  <c r="T105" i="6"/>
  <c r="U75" i="6"/>
  <c r="M71" i="6"/>
  <c r="P64" i="6"/>
  <c r="F89" i="6"/>
  <c r="U122" i="6"/>
  <c r="J78" i="6"/>
  <c r="G118" i="6"/>
  <c r="S155" i="6"/>
  <c r="T154" i="6"/>
  <c r="S46" i="6"/>
  <c r="J88" i="6"/>
  <c r="P43" i="6"/>
  <c r="Y142" i="6"/>
  <c r="S132" i="6"/>
  <c r="T147" i="6"/>
  <c r="H83" i="6"/>
  <c r="U158" i="6"/>
  <c r="G156" i="6"/>
  <c r="T157" i="6"/>
  <c r="O156" i="6"/>
  <c r="V147" i="6"/>
  <c r="V128" i="6"/>
  <c r="J158" i="6"/>
  <c r="X141" i="6"/>
  <c r="N157" i="6"/>
  <c r="AB129" i="6"/>
  <c r="AA153" i="6"/>
  <c r="O158" i="6"/>
  <c r="V131" i="6"/>
  <c r="K158" i="6"/>
  <c r="Z129" i="6"/>
  <c r="X135" i="6"/>
  <c r="AA132" i="6"/>
  <c r="H149" i="6"/>
  <c r="N115" i="6"/>
  <c r="E104" i="6"/>
  <c r="I63" i="6"/>
  <c r="D108" i="6"/>
  <c r="Z157" i="6"/>
  <c r="Z149" i="6"/>
  <c r="Z136" i="6"/>
  <c r="K97" i="6"/>
  <c r="P145" i="6"/>
  <c r="R74" i="6"/>
  <c r="G148" i="6"/>
  <c r="M64" i="6"/>
  <c r="AB142" i="6"/>
  <c r="M132" i="6"/>
  <c r="M100" i="6"/>
  <c r="H100" i="6"/>
  <c r="J84" i="6"/>
  <c r="D65" i="6"/>
  <c r="N55" i="6"/>
  <c r="P48" i="6"/>
  <c r="C90" i="6"/>
  <c r="Q74" i="6"/>
  <c r="V156" i="6"/>
  <c r="X149" i="6"/>
  <c r="X133" i="6"/>
  <c r="F51" i="6"/>
  <c r="C99" i="6"/>
  <c r="G113" i="6"/>
  <c r="S81" i="6"/>
  <c r="R121" i="6"/>
  <c r="Y143" i="6"/>
  <c r="Y130" i="6"/>
  <c r="R82" i="6"/>
  <c r="L123" i="6"/>
  <c r="T124" i="6"/>
  <c r="S94" i="6"/>
  <c r="Y132" i="6"/>
  <c r="V136" i="6"/>
  <c r="Z130" i="6"/>
  <c r="E124" i="6"/>
  <c r="T129" i="6"/>
  <c r="C113" i="6"/>
  <c r="H146" i="6"/>
  <c r="M130" i="6"/>
  <c r="U79" i="6"/>
  <c r="P115" i="6"/>
  <c r="I108" i="6"/>
  <c r="O57" i="6"/>
  <c r="M55" i="6"/>
  <c r="L105" i="6"/>
  <c r="G145" i="6"/>
  <c r="O68" i="6"/>
  <c r="Q93" i="6"/>
  <c r="T71" i="6"/>
  <c r="D139" i="6"/>
  <c r="E116" i="6"/>
  <c r="T108" i="6"/>
  <c r="O157" i="6"/>
  <c r="V157" i="6"/>
  <c r="AA158" i="6"/>
  <c r="C156" i="6"/>
  <c r="E156" i="6"/>
  <c r="Z143" i="6"/>
  <c r="Y158" i="6"/>
  <c r="L158" i="6"/>
  <c r="Y150" i="6"/>
  <c r="AA128" i="6"/>
  <c r="X156" i="6"/>
  <c r="Y144" i="6"/>
  <c r="AB155" i="6"/>
  <c r="AA148" i="6"/>
  <c r="R100" i="6"/>
  <c r="M43" i="6"/>
  <c r="P86" i="6"/>
  <c r="D116" i="6"/>
  <c r="I151" i="6"/>
  <c r="AA130" i="6"/>
  <c r="D149" i="6"/>
  <c r="I77" i="6"/>
  <c r="E129" i="6"/>
  <c r="Q61" i="6"/>
  <c r="H79" i="6"/>
  <c r="Y136" i="6"/>
  <c r="U142" i="6"/>
  <c r="H152" i="6"/>
  <c r="S144" i="6"/>
  <c r="P147" i="6"/>
  <c r="E45" i="6"/>
  <c r="Y128" i="6"/>
  <c r="AB132" i="6"/>
  <c r="X140" i="6"/>
  <c r="R51" i="6"/>
  <c r="F130" i="6"/>
  <c r="U92" i="6"/>
  <c r="J145" i="6"/>
  <c r="V150" i="6"/>
  <c r="X132" i="6"/>
  <c r="AA146" i="6"/>
  <c r="M147" i="6"/>
  <c r="T92" i="6"/>
  <c r="O121" i="6"/>
  <c r="G121" i="6"/>
  <c r="C86" i="6"/>
  <c r="H135" i="6"/>
  <c r="K154" i="6"/>
  <c r="R136" i="6"/>
  <c r="K113" i="6"/>
  <c r="G92" i="6"/>
  <c r="Z133" i="6"/>
  <c r="X155" i="6"/>
  <c r="AA139" i="6"/>
  <c r="R53" i="6"/>
  <c r="U72" i="6"/>
  <c r="E149" i="6"/>
  <c r="N120" i="6"/>
  <c r="O131" i="6"/>
  <c r="P73" i="6"/>
  <c r="R84" i="6"/>
  <c r="R140" i="6"/>
  <c r="M73" i="6"/>
  <c r="R115" i="6"/>
  <c r="O87" i="6"/>
  <c r="K123" i="6"/>
  <c r="M131" i="6"/>
  <c r="L136" i="6"/>
  <c r="U88" i="6"/>
  <c r="Q130" i="6"/>
  <c r="F121" i="6"/>
  <c r="F156" i="6"/>
  <c r="Q156" i="6"/>
  <c r="Q157" i="6"/>
  <c r="D158" i="6"/>
  <c r="N158" i="6"/>
  <c r="G157" i="6"/>
  <c r="Z158" i="6"/>
  <c r="Y135" i="6"/>
  <c r="X151" i="6"/>
  <c r="AA156" i="6"/>
  <c r="AB147" i="6"/>
  <c r="Z145" i="6"/>
  <c r="AB137" i="6"/>
  <c r="AB157" i="6"/>
  <c r="AB149" i="6"/>
  <c r="Z131" i="6"/>
  <c r="X129" i="6"/>
  <c r="AA131" i="6"/>
  <c r="T91" i="6"/>
  <c r="C66" i="6"/>
  <c r="L80" i="6"/>
  <c r="U131" i="6"/>
  <c r="G129" i="6"/>
  <c r="AB148" i="6"/>
  <c r="AA145" i="6"/>
  <c r="J75" i="6"/>
  <c r="J54" i="6"/>
  <c r="I119" i="6"/>
  <c r="D43" i="6"/>
  <c r="Q112" i="6"/>
  <c r="X131" i="6"/>
  <c r="AB141" i="6"/>
  <c r="M153" i="6"/>
  <c r="G72" i="6"/>
  <c r="F150" i="6"/>
  <c r="G90" i="6"/>
  <c r="N114" i="6"/>
  <c r="AB133" i="6"/>
  <c r="N107" i="6"/>
  <c r="O96" i="6"/>
  <c r="C98" i="6"/>
  <c r="H45" i="6"/>
  <c r="S151" i="6"/>
  <c r="AB150" i="6"/>
  <c r="Z151" i="6"/>
  <c r="AB139" i="6"/>
  <c r="O112" i="6"/>
  <c r="P146" i="6"/>
  <c r="R83" i="6"/>
  <c r="E142" i="6"/>
  <c r="G137" i="6"/>
  <c r="Y129" i="6"/>
  <c r="Z147" i="6"/>
  <c r="R99" i="6"/>
  <c r="R101" i="6"/>
  <c r="E47" i="6"/>
  <c r="U144" i="6"/>
  <c r="D151" i="6"/>
  <c r="C158" i="6"/>
  <c r="V129" i="6"/>
  <c r="Z152" i="6"/>
  <c r="P103" i="6"/>
  <c r="M120" i="6"/>
  <c r="T60" i="6"/>
  <c r="H117" i="6"/>
  <c r="G139" i="6"/>
  <c r="O100" i="6"/>
  <c r="T43" i="6"/>
  <c r="M86" i="6"/>
  <c r="L138" i="6"/>
  <c r="N112" i="6"/>
  <c r="E48" i="6"/>
  <c r="T46" i="6"/>
  <c r="H121" i="6"/>
  <c r="E120" i="6"/>
  <c r="S76" i="6"/>
  <c r="C54" i="6"/>
  <c r="D84" i="6"/>
  <c r="E136" i="6"/>
  <c r="G107" i="6"/>
  <c r="F74" i="6"/>
  <c r="R71" i="6"/>
  <c r="J147" i="6"/>
  <c r="G111" i="6"/>
  <c r="L137" i="6"/>
  <c r="E80" i="6"/>
  <c r="I49" i="6"/>
  <c r="P135" i="6"/>
  <c r="AA157" i="6"/>
  <c r="P158" i="6"/>
  <c r="Z156" i="6"/>
  <c r="H158" i="6"/>
  <c r="E157" i="6"/>
  <c r="X134" i="6"/>
  <c r="S156" i="6"/>
  <c r="AB140" i="6"/>
  <c r="AA154" i="6"/>
  <c r="Y146" i="6"/>
  <c r="AA135" i="6"/>
  <c r="V143" i="6"/>
  <c r="Y140" i="6"/>
  <c r="P65" i="6"/>
  <c r="Q136" i="6"/>
  <c r="O99" i="6"/>
  <c r="K140" i="6"/>
  <c r="L95" i="6"/>
  <c r="AA142" i="6"/>
  <c r="V142" i="6"/>
  <c r="AB154" i="6"/>
  <c r="H96" i="6"/>
  <c r="D82" i="6"/>
  <c r="F76" i="6"/>
  <c r="D148" i="6"/>
  <c r="Z155" i="6"/>
  <c r="AA136" i="6"/>
  <c r="S74" i="6"/>
  <c r="M121" i="6"/>
  <c r="K91" i="6"/>
  <c r="F50" i="6"/>
  <c r="Z142" i="6"/>
  <c r="D120" i="6"/>
  <c r="D68" i="6"/>
  <c r="F154" i="6"/>
  <c r="M93" i="6"/>
  <c r="M91" i="6"/>
  <c r="Z134" i="6"/>
  <c r="X153" i="6"/>
  <c r="AB130" i="6"/>
  <c r="G76" i="6"/>
  <c r="G45" i="6"/>
  <c r="H104" i="6"/>
  <c r="M158" i="6"/>
  <c r="Z146" i="6"/>
  <c r="V151" i="6"/>
  <c r="C63" i="6"/>
  <c r="D97" i="6"/>
  <c r="E68" i="6"/>
  <c r="L65" i="6"/>
  <c r="D70" i="6"/>
  <c r="X150" i="6"/>
  <c r="Y134" i="6"/>
  <c r="U43" i="6"/>
  <c r="T69" i="6"/>
  <c r="G153" i="6"/>
  <c r="F122" i="6"/>
  <c r="T112" i="6"/>
  <c r="J52" i="6"/>
  <c r="H134" i="6"/>
  <c r="C149" i="6"/>
  <c r="N135" i="6"/>
  <c r="S107" i="6"/>
  <c r="G74" i="6"/>
  <c r="G120" i="6"/>
  <c r="G144" i="6"/>
  <c r="G58" i="6"/>
  <c r="D75" i="6"/>
  <c r="N105" i="6"/>
  <c r="H74" i="6"/>
  <c r="O76" i="6"/>
  <c r="T99" i="6"/>
  <c r="C118" i="6"/>
  <c r="P139" i="6"/>
  <c r="O85" i="6"/>
  <c r="R117" i="6"/>
  <c r="H130" i="6"/>
  <c r="N156" i="6"/>
  <c r="U157" i="6"/>
  <c r="K157" i="6"/>
  <c r="M156" i="6"/>
  <c r="X158" i="6"/>
  <c r="F157" i="6"/>
  <c r="Y145" i="6"/>
  <c r="X136" i="6"/>
  <c r="AA147" i="6"/>
  <c r="V134" i="6"/>
  <c r="J157" i="6"/>
  <c r="AB151" i="6"/>
  <c r="X139" i="6"/>
  <c r="AB153" i="6"/>
  <c r="Z139" i="6"/>
  <c r="AA152" i="6"/>
  <c r="L74" i="6"/>
  <c r="T135" i="6"/>
  <c r="U45" i="6"/>
  <c r="F80" i="6"/>
  <c r="U109" i="6"/>
  <c r="L129" i="6"/>
  <c r="R143" i="6"/>
  <c r="T65" i="6"/>
  <c r="L157" i="6"/>
  <c r="X148" i="6"/>
  <c r="V138" i="6"/>
  <c r="I123" i="6"/>
  <c r="C121" i="6"/>
  <c r="K78" i="6"/>
  <c r="I141" i="6"/>
  <c r="D110" i="6"/>
  <c r="R157" i="6"/>
  <c r="AA151" i="6"/>
  <c r="E65" i="6"/>
  <c r="M110" i="6"/>
  <c r="P108" i="6"/>
  <c r="N79" i="6"/>
  <c r="I109" i="6"/>
  <c r="AB131" i="6"/>
  <c r="AA150" i="6"/>
  <c r="V132" i="6"/>
  <c r="H49" i="6"/>
  <c r="E130" i="6"/>
  <c r="O49" i="6"/>
  <c r="T48" i="6"/>
  <c r="V158" i="6"/>
  <c r="AA155" i="6"/>
  <c r="K133" i="6"/>
  <c r="G52" i="6"/>
  <c r="D103" i="6"/>
  <c r="E75" i="6"/>
  <c r="I102" i="6"/>
  <c r="X145" i="6"/>
  <c r="X152" i="6"/>
  <c r="Q139" i="6"/>
  <c r="L53" i="6"/>
  <c r="C55" i="6"/>
  <c r="O53" i="6"/>
  <c r="Y153" i="6"/>
  <c r="O69" i="6"/>
  <c r="U82" i="6"/>
  <c r="Q55" i="6"/>
  <c r="U155" i="6"/>
  <c r="E154" i="6"/>
  <c r="O111" i="6"/>
  <c r="F147" i="6"/>
  <c r="R113" i="6"/>
  <c r="D112" i="6"/>
  <c r="G66" i="6"/>
  <c r="F143" i="6"/>
  <c r="I153" i="6"/>
  <c r="C134" i="6"/>
  <c r="F46" i="6"/>
  <c r="E138" i="6"/>
  <c r="J129" i="6"/>
  <c r="I79" i="6"/>
  <c r="J140" i="6"/>
  <c r="N62" i="6"/>
  <c r="Q131" i="6"/>
  <c r="U140" i="6"/>
  <c r="H157" i="6"/>
  <c r="J95" i="6"/>
  <c r="L75" i="6"/>
  <c r="K55" i="6"/>
  <c r="O64" i="6"/>
  <c r="K46" i="6"/>
  <c r="J146" i="6"/>
  <c r="Q148" i="6"/>
  <c r="P105" i="6"/>
  <c r="N86" i="6"/>
  <c r="H124" i="6"/>
  <c r="K115" i="6"/>
  <c r="F107" i="6"/>
  <c r="Q153" i="6"/>
  <c r="I78" i="6"/>
  <c r="L99" i="6"/>
  <c r="F45" i="6"/>
  <c r="N130" i="6"/>
  <c r="Q86" i="6"/>
  <c r="J62" i="6"/>
  <c r="K83" i="6"/>
  <c r="D136" i="6"/>
  <c r="M146" i="6"/>
  <c r="K60" i="6"/>
  <c r="T66" i="6"/>
  <c r="J96" i="6"/>
  <c r="H76" i="6"/>
  <c r="G108" i="6"/>
  <c r="Q143" i="6"/>
  <c r="F98" i="6"/>
  <c r="M97" i="6"/>
  <c r="H115" i="6"/>
  <c r="N57" i="6"/>
  <c r="S85" i="6"/>
  <c r="C109" i="6"/>
  <c r="P68" i="6"/>
  <c r="P47" i="6"/>
  <c r="K151" i="6"/>
  <c r="E84" i="6"/>
  <c r="S106" i="6"/>
  <c r="H123" i="6"/>
  <c r="AA144" i="6"/>
  <c r="S49" i="6"/>
  <c r="R65" i="6"/>
  <c r="T78" i="6"/>
  <c r="N154" i="6"/>
  <c r="U114" i="6"/>
  <c r="H69" i="6"/>
  <c r="I80" i="6"/>
  <c r="F114" i="6"/>
  <c r="S91" i="6"/>
  <c r="R64" i="6"/>
  <c r="C80" i="6"/>
  <c r="C88" i="6"/>
  <c r="J97" i="6"/>
  <c r="U90" i="6"/>
  <c r="T123" i="6"/>
  <c r="N146" i="6"/>
  <c r="P151" i="6"/>
  <c r="C64" i="6"/>
  <c r="J130" i="6"/>
  <c r="D64" i="6"/>
  <c r="O149" i="6"/>
  <c r="G133" i="6"/>
  <c r="D131" i="6"/>
  <c r="K49" i="6"/>
  <c r="M54" i="6"/>
  <c r="Q142" i="6"/>
  <c r="U146" i="6"/>
  <c r="I58" i="6"/>
  <c r="N45" i="6"/>
  <c r="Q66" i="6"/>
  <c r="R59" i="6"/>
  <c r="E97" i="6"/>
  <c r="C147" i="6"/>
  <c r="K98" i="6"/>
  <c r="T55" i="6"/>
  <c r="E123" i="6"/>
  <c r="S122" i="6"/>
  <c r="O109" i="6"/>
  <c r="P79" i="6"/>
  <c r="M103" i="6"/>
  <c r="L43" i="6"/>
  <c r="R130" i="6"/>
  <c r="S87" i="6"/>
  <c r="Q90" i="6"/>
  <c r="J124" i="6"/>
  <c r="D74" i="6"/>
  <c r="C123" i="6"/>
  <c r="I104" i="6"/>
  <c r="F118" i="6"/>
  <c r="E94" i="6"/>
  <c r="T93" i="6"/>
  <c r="P124" i="6"/>
  <c r="D146" i="6"/>
  <c r="P52" i="6"/>
  <c r="J98" i="6"/>
  <c r="U107" i="6"/>
  <c r="R158" i="6"/>
  <c r="Y139" i="6"/>
  <c r="Y149" i="6"/>
  <c r="J114" i="6"/>
  <c r="C70" i="6"/>
  <c r="R46" i="6"/>
  <c r="I152" i="6"/>
  <c r="S129" i="6"/>
  <c r="M50" i="6"/>
  <c r="S66" i="6"/>
  <c r="P111" i="6"/>
  <c r="C150" i="6"/>
  <c r="L104" i="6"/>
  <c r="G91" i="6"/>
  <c r="P57" i="6"/>
  <c r="U85" i="6"/>
  <c r="H102" i="6"/>
  <c r="I72" i="6"/>
  <c r="Q77" i="6"/>
  <c r="H43" i="6"/>
  <c r="G88" i="6"/>
  <c r="Q98" i="6"/>
  <c r="G130" i="6"/>
  <c r="M69" i="6"/>
  <c r="H129" i="6"/>
  <c r="J110" i="6"/>
  <c r="N101" i="6"/>
  <c r="M45" i="6"/>
  <c r="M70" i="6"/>
  <c r="F53" i="6"/>
  <c r="L46" i="6"/>
  <c r="F66" i="6"/>
  <c r="L111" i="6"/>
  <c r="K142" i="6"/>
  <c r="P61" i="6"/>
  <c r="N145" i="6"/>
  <c r="K109" i="6"/>
  <c r="T54" i="6"/>
  <c r="S58" i="6"/>
  <c r="E140" i="6"/>
  <c r="R118" i="6"/>
  <c r="L60" i="6"/>
  <c r="K131" i="6"/>
  <c r="I118" i="6"/>
  <c r="F144" i="6"/>
  <c r="T51" i="6"/>
  <c r="L147" i="6"/>
  <c r="D101" i="6"/>
  <c r="M58" i="6"/>
  <c r="R132" i="6"/>
  <c r="L113" i="6"/>
  <c r="K95" i="6"/>
  <c r="L98" i="6"/>
  <c r="F58" i="6"/>
  <c r="F139" i="6"/>
  <c r="N124" i="6"/>
  <c r="D150" i="6"/>
  <c r="U135" i="6"/>
  <c r="H119" i="6"/>
  <c r="I91" i="6"/>
  <c r="G53" i="6"/>
  <c r="Q114" i="6"/>
  <c r="Q78" i="6"/>
  <c r="F140" i="6"/>
  <c r="N70" i="6"/>
  <c r="S84" i="6"/>
  <c r="O79" i="6"/>
  <c r="U102" i="6"/>
  <c r="E86" i="6"/>
  <c r="J113" i="6"/>
  <c r="P118" i="6"/>
  <c r="G94" i="6"/>
  <c r="C151" i="6"/>
  <c r="Q57" i="6"/>
  <c r="L56" i="6"/>
  <c r="O73" i="6"/>
  <c r="J83" i="6"/>
  <c r="M60" i="6"/>
  <c r="F145" i="6"/>
  <c r="L59" i="6"/>
  <c r="N109" i="6"/>
  <c r="S121" i="6"/>
  <c r="U87" i="6"/>
  <c r="Q81" i="6"/>
  <c r="M46" i="6"/>
  <c r="H89" i="6"/>
  <c r="Q135" i="6"/>
  <c r="C44" i="6"/>
  <c r="Q110" i="6"/>
  <c r="O138" i="6"/>
  <c r="I74" i="6"/>
  <c r="O93" i="6"/>
  <c r="R67" i="6"/>
  <c r="J100" i="6"/>
  <c r="Q149" i="6"/>
  <c r="R50" i="6"/>
  <c r="S111" i="6"/>
  <c r="K79" i="6"/>
  <c r="K146" i="6"/>
  <c r="E98" i="6"/>
  <c r="R44" i="6"/>
  <c r="P72" i="6"/>
  <c r="Q111" i="6"/>
  <c r="U51" i="6"/>
  <c r="I68" i="6"/>
  <c r="I122" i="6"/>
  <c r="L69" i="6"/>
  <c r="T61" i="6"/>
  <c r="I121" i="6"/>
  <c r="K77" i="6"/>
  <c r="J117" i="6"/>
  <c r="I48" i="6"/>
  <c r="C58" i="6"/>
  <c r="N147" i="6"/>
  <c r="D134" i="6"/>
  <c r="Q102" i="6"/>
  <c r="F88" i="6"/>
  <c r="U50" i="6"/>
  <c r="Q65" i="6"/>
  <c r="R49" i="6"/>
  <c r="T153" i="6"/>
  <c r="T77" i="6"/>
  <c r="Q68" i="6"/>
  <c r="J116" i="6"/>
  <c r="R80" i="6"/>
  <c r="S139" i="6"/>
  <c r="H68" i="6"/>
  <c r="C101" i="6"/>
  <c r="F137" i="6"/>
  <c r="P88" i="6"/>
  <c r="Q146" i="6"/>
  <c r="C148" i="6"/>
  <c r="S101" i="6"/>
  <c r="G97" i="6"/>
  <c r="J48" i="6"/>
  <c r="L128" i="6"/>
  <c r="Q144" i="6"/>
  <c r="U60" i="6"/>
  <c r="R70" i="6"/>
  <c r="E137" i="6"/>
  <c r="O48" i="6"/>
  <c r="R94" i="6"/>
  <c r="O72" i="6"/>
  <c r="P50" i="6"/>
  <c r="Q69" i="6"/>
  <c r="O145" i="6"/>
  <c r="J102" i="6"/>
  <c r="C72" i="6"/>
  <c r="O88" i="6"/>
  <c r="T117" i="6"/>
  <c r="H118" i="6"/>
  <c r="H44" i="6"/>
  <c r="I136" i="6"/>
  <c r="M152" i="6"/>
  <c r="H113" i="6"/>
  <c r="P152" i="6"/>
  <c r="K153" i="6"/>
  <c r="U145" i="6"/>
  <c r="G51" i="6"/>
  <c r="O106" i="6"/>
  <c r="N110" i="6"/>
  <c r="L68" i="6"/>
  <c r="L131" i="6"/>
  <c r="S158" i="6"/>
  <c r="Z153" i="6"/>
  <c r="V135" i="6"/>
  <c r="C74" i="6"/>
  <c r="H53" i="6"/>
  <c r="H116" i="6"/>
  <c r="M72" i="6"/>
  <c r="J67" i="6"/>
  <c r="T52" i="6"/>
  <c r="P117" i="6"/>
  <c r="J134" i="6"/>
  <c r="D102" i="6"/>
  <c r="Q105" i="6"/>
  <c r="N61" i="6"/>
  <c r="C133" i="6"/>
  <c r="I110" i="6"/>
  <c r="L124" i="6"/>
  <c r="P149" i="6"/>
  <c r="C122" i="6"/>
  <c r="O89" i="6"/>
  <c r="Z135" i="6"/>
  <c r="C85" i="6"/>
  <c r="T120" i="6"/>
  <c r="F123" i="6"/>
  <c r="U133" i="6"/>
  <c r="K124" i="6"/>
  <c r="K75" i="6"/>
  <c r="J135" i="6"/>
  <c r="C107" i="6"/>
  <c r="O151" i="6"/>
  <c r="L155" i="6"/>
  <c r="H145" i="6"/>
  <c r="O153" i="6"/>
  <c r="J69" i="6"/>
  <c r="L47" i="6"/>
  <c r="N153" i="6"/>
  <c r="P90" i="6"/>
  <c r="N155" i="6"/>
  <c r="F68" i="6"/>
  <c r="G56" i="6"/>
  <c r="U91" i="6"/>
  <c r="H78" i="6"/>
  <c r="E99" i="6"/>
  <c r="E57" i="6"/>
  <c r="P87" i="6"/>
  <c r="P128" i="6"/>
  <c r="R142" i="6"/>
  <c r="D104" i="6"/>
  <c r="K145" i="6"/>
  <c r="H153" i="6"/>
  <c r="K101" i="6"/>
  <c r="G103" i="6"/>
  <c r="H63" i="6"/>
  <c r="P154" i="6"/>
  <c r="E145" i="6"/>
  <c r="E78" i="6"/>
  <c r="I112" i="6"/>
  <c r="U56" i="6"/>
  <c r="M66" i="6"/>
  <c r="T58" i="6"/>
  <c r="G65" i="6"/>
  <c r="Q82" i="6"/>
  <c r="K144" i="6"/>
  <c r="S80" i="6"/>
  <c r="H59" i="6"/>
  <c r="Q79" i="6"/>
  <c r="C117" i="6"/>
  <c r="E89" i="6"/>
  <c r="M124" i="6"/>
  <c r="T84" i="6"/>
  <c r="E110" i="6"/>
  <c r="N47" i="6"/>
  <c r="U58" i="6"/>
  <c r="S140" i="6"/>
  <c r="K129" i="6"/>
  <c r="T94" i="6"/>
  <c r="K90" i="6"/>
  <c r="J143" i="6"/>
  <c r="L142" i="6"/>
  <c r="G106" i="6"/>
  <c r="R150" i="6"/>
  <c r="E101" i="6"/>
  <c r="E46" i="6"/>
  <c r="K82" i="6"/>
  <c r="Q121" i="6"/>
  <c r="G142" i="6"/>
  <c r="M84" i="6"/>
  <c r="E64" i="6"/>
  <c r="C132" i="6"/>
  <c r="M135" i="6"/>
  <c r="F65" i="6"/>
  <c r="Q113" i="6"/>
  <c r="T45" i="6"/>
  <c r="P107" i="6"/>
  <c r="G85" i="6"/>
  <c r="R149" i="6"/>
  <c r="L52" i="6"/>
  <c r="E71" i="6"/>
  <c r="N65" i="6"/>
  <c r="F63" i="6"/>
  <c r="Q88" i="6"/>
  <c r="D48" i="6"/>
  <c r="H62" i="6"/>
  <c r="N106" i="6"/>
  <c r="F91" i="6"/>
  <c r="T86" i="6"/>
  <c r="Q43" i="6"/>
  <c r="D77" i="6"/>
  <c r="O91" i="6"/>
  <c r="F135" i="6"/>
  <c r="H81" i="6"/>
  <c r="T82" i="6"/>
  <c r="L83" i="6"/>
  <c r="U47" i="6"/>
  <c r="E103" i="6"/>
  <c r="T155" i="6"/>
  <c r="L144" i="6"/>
  <c r="P77" i="6"/>
  <c r="Q129" i="6"/>
  <c r="E128" i="6"/>
  <c r="L51" i="6"/>
  <c r="Q67" i="6"/>
  <c r="H77" i="6"/>
  <c r="O50" i="6"/>
  <c r="Q151" i="6"/>
  <c r="Q76" i="6"/>
  <c r="F142" i="6"/>
  <c r="K72" i="6"/>
  <c r="S83" i="6"/>
  <c r="T53" i="6"/>
  <c r="S90" i="6"/>
  <c r="R152" i="6"/>
  <c r="U83" i="6"/>
  <c r="F110" i="6"/>
  <c r="C140" i="6"/>
  <c r="E151" i="6"/>
  <c r="U76" i="6"/>
  <c r="S148" i="6"/>
  <c r="Q147" i="6"/>
  <c r="G84" i="6"/>
  <c r="M149" i="6"/>
  <c r="O120" i="6"/>
  <c r="C157" i="6"/>
  <c r="D156" i="6"/>
  <c r="R156" i="6"/>
  <c r="Y131" i="6"/>
  <c r="Z148" i="6"/>
  <c r="AA137" i="6"/>
  <c r="Z144" i="6"/>
  <c r="X147" i="6"/>
  <c r="V152" i="6"/>
  <c r="AB144" i="6"/>
  <c r="K96" i="6"/>
  <c r="O144" i="6"/>
  <c r="M99" i="6"/>
  <c r="F134" i="6"/>
  <c r="R111" i="6"/>
  <c r="F109" i="6"/>
  <c r="C115" i="6"/>
  <c r="K114" i="6"/>
  <c r="P140" i="6"/>
  <c r="H55" i="6"/>
  <c r="I87" i="6"/>
  <c r="S89" i="6"/>
  <c r="R88" i="6"/>
  <c r="N56" i="6"/>
  <c r="C137" i="6"/>
  <c r="I105" i="6"/>
  <c r="C111" i="6"/>
  <c r="L151" i="6"/>
  <c r="O124" i="6"/>
  <c r="R133" i="6"/>
  <c r="C152" i="6"/>
  <c r="C128" i="6"/>
  <c r="L108" i="6"/>
  <c r="X146" i="6"/>
  <c r="S62" i="6"/>
  <c r="G77" i="6"/>
  <c r="I86" i="6"/>
  <c r="M77" i="6"/>
  <c r="R76" i="6"/>
  <c r="N84" i="6"/>
  <c r="H90" i="6"/>
  <c r="K74" i="6"/>
  <c r="J55" i="6"/>
  <c r="I53" i="6"/>
  <c r="U89" i="6"/>
  <c r="P70" i="6"/>
  <c r="F92" i="6"/>
  <c r="C155" i="6"/>
  <c r="O142" i="6"/>
  <c r="I92" i="6"/>
  <c r="I100" i="6"/>
  <c r="E141" i="6"/>
  <c r="P153" i="6"/>
  <c r="J141" i="6"/>
  <c r="J106" i="6"/>
  <c r="E88" i="6"/>
  <c r="I111" i="6"/>
  <c r="K94" i="6"/>
  <c r="Q44" i="6"/>
  <c r="K132" i="6"/>
  <c r="S53" i="6"/>
  <c r="H101" i="6"/>
  <c r="T137" i="6"/>
  <c r="N69" i="6"/>
  <c r="H111" i="6"/>
  <c r="M123" i="6"/>
  <c r="T96" i="6"/>
  <c r="D49" i="6"/>
  <c r="F124" i="6"/>
  <c r="R102" i="6"/>
  <c r="N54" i="6"/>
  <c r="I147" i="6"/>
  <c r="R87" i="6"/>
  <c r="U81" i="6"/>
  <c r="P78" i="6"/>
  <c r="L55" i="6"/>
  <c r="J66" i="6"/>
  <c r="H122" i="6"/>
  <c r="N73" i="6"/>
  <c r="Q134" i="6"/>
  <c r="Q60" i="6"/>
  <c r="H106" i="6"/>
  <c r="I132" i="6"/>
  <c r="T59" i="6"/>
  <c r="Q92" i="6"/>
  <c r="L130" i="6"/>
  <c r="N129" i="6"/>
  <c r="U97" i="6"/>
  <c r="M119" i="6"/>
  <c r="C138" i="6"/>
  <c r="L58" i="6"/>
  <c r="U113" i="6"/>
  <c r="O61" i="6"/>
  <c r="R110" i="6"/>
  <c r="L71" i="6"/>
  <c r="S63" i="6"/>
  <c r="E52" i="6"/>
  <c r="S150" i="6"/>
  <c r="H86" i="6"/>
  <c r="O133" i="6"/>
  <c r="Q133" i="6"/>
  <c r="Q54" i="6"/>
  <c r="G95" i="6"/>
  <c r="M154" i="6"/>
  <c r="R81" i="6"/>
  <c r="E150" i="6"/>
  <c r="E108" i="6"/>
  <c r="M79" i="6"/>
  <c r="L57" i="6"/>
  <c r="K135" i="6"/>
  <c r="N131" i="6"/>
  <c r="U108" i="6"/>
  <c r="G135" i="6"/>
  <c r="O107" i="6"/>
  <c r="H71" i="6"/>
  <c r="D57" i="6"/>
  <c r="H67" i="6"/>
  <c r="I54" i="6"/>
  <c r="K104" i="6"/>
  <c r="N66" i="6"/>
  <c r="N58" i="6"/>
  <c r="T79" i="6"/>
  <c r="R154" i="6"/>
  <c r="R58" i="6"/>
  <c r="K148" i="6"/>
  <c r="AA141" i="6"/>
  <c r="K68" i="6"/>
  <c r="J148" i="6"/>
  <c r="V149" i="6"/>
  <c r="X137" i="6"/>
  <c r="AA133" i="6"/>
  <c r="Y138" i="6"/>
  <c r="E79" i="6"/>
  <c r="H139" i="6"/>
  <c r="N102" i="6"/>
  <c r="U78" i="6"/>
  <c r="M98" i="6"/>
  <c r="R119" i="6"/>
  <c r="V133" i="6"/>
  <c r="L121" i="6"/>
  <c r="H51" i="6"/>
  <c r="R129" i="6"/>
  <c r="R122" i="6"/>
  <c r="Q128" i="6"/>
  <c r="P136" i="6"/>
  <c r="Q137" i="6"/>
  <c r="G82" i="6"/>
  <c r="M140" i="6"/>
  <c r="J90" i="6"/>
  <c r="F120" i="6"/>
  <c r="U84" i="6"/>
  <c r="E73" i="6"/>
  <c r="K80" i="6"/>
  <c r="E44" i="6"/>
  <c r="O132" i="6"/>
  <c r="D147" i="6"/>
  <c r="V154" i="6"/>
  <c r="T102" i="6"/>
  <c r="T122" i="6"/>
  <c r="Q124" i="6"/>
  <c r="F93" i="6"/>
  <c r="K84" i="6"/>
  <c r="K47" i="6"/>
  <c r="J82" i="6"/>
  <c r="G154" i="6"/>
  <c r="N94" i="6"/>
  <c r="T158" i="6"/>
  <c r="P66" i="6"/>
  <c r="R98" i="6"/>
  <c r="L149" i="6"/>
  <c r="Q132" i="6"/>
  <c r="Q51" i="6"/>
  <c r="F148" i="6"/>
  <c r="S68" i="6"/>
  <c r="I99" i="6"/>
  <c r="S143" i="6"/>
  <c r="Y151" i="6"/>
  <c r="M128" i="6"/>
  <c r="U74" i="6"/>
  <c r="Q83" i="6"/>
  <c r="N87" i="6"/>
  <c r="T138" i="6"/>
  <c r="S142" i="6"/>
  <c r="I148" i="6"/>
  <c r="G63" i="6"/>
  <c r="K64" i="6"/>
  <c r="U143" i="6"/>
  <c r="S60" i="6"/>
  <c r="S77" i="6"/>
  <c r="D78" i="6"/>
  <c r="C110" i="6"/>
  <c r="J118" i="6"/>
  <c r="J65" i="6"/>
  <c r="C144" i="6"/>
  <c r="J60" i="6"/>
  <c r="P133" i="6"/>
  <c r="M92" i="6"/>
  <c r="N118" i="6"/>
  <c r="U104" i="6"/>
  <c r="T68" i="6"/>
  <c r="T95" i="6"/>
  <c r="H143" i="6"/>
  <c r="Q154" i="6"/>
  <c r="E100" i="6"/>
  <c r="R92" i="6"/>
  <c r="N88" i="6"/>
  <c r="U62" i="6"/>
  <c r="S54" i="6"/>
  <c r="K150" i="6"/>
  <c r="D47" i="6"/>
  <c r="F57" i="6"/>
  <c r="G48" i="6"/>
  <c r="E139" i="6"/>
  <c r="Q108" i="6"/>
  <c r="C116" i="6"/>
  <c r="G155" i="6"/>
  <c r="K120" i="6"/>
  <c r="L45" i="6"/>
  <c r="G117" i="6"/>
  <c r="H132" i="6"/>
  <c r="F104" i="6"/>
  <c r="O122" i="6"/>
  <c r="H87" i="6"/>
  <c r="G105" i="6"/>
  <c r="P58" i="6"/>
  <c r="G143" i="6"/>
  <c r="E61" i="6"/>
  <c r="J105" i="6"/>
  <c r="F55" i="6"/>
  <c r="N104" i="6"/>
  <c r="H72" i="6"/>
  <c r="S153" i="6"/>
  <c r="U48" i="6"/>
  <c r="D137" i="6"/>
  <c r="O65" i="6"/>
  <c r="P82" i="6"/>
  <c r="F43" i="6"/>
  <c r="R48" i="6"/>
  <c r="R75" i="6"/>
  <c r="M47" i="6"/>
  <c r="U141" i="6"/>
  <c r="J81" i="6"/>
  <c r="G64" i="6"/>
  <c r="J154" i="6"/>
  <c r="Q101" i="6"/>
  <c r="E135" i="6"/>
  <c r="G57" i="6"/>
  <c r="L97" i="6"/>
  <c r="I116" i="6"/>
  <c r="U99" i="6"/>
  <c r="L134" i="6"/>
  <c r="D52" i="6"/>
  <c r="P98" i="6"/>
  <c r="G147" i="6"/>
  <c r="G140" i="6"/>
  <c r="U93" i="6"/>
  <c r="C53" i="6"/>
  <c r="T47" i="6"/>
  <c r="L54" i="6"/>
  <c r="I90" i="6"/>
  <c r="L61" i="6"/>
  <c r="C119" i="6"/>
  <c r="N64" i="6"/>
  <c r="S93" i="6"/>
  <c r="C124" i="6"/>
  <c r="F86" i="6"/>
  <c r="S137" i="6"/>
  <c r="P116" i="6"/>
  <c r="F141" i="6"/>
  <c r="N122" i="6"/>
  <c r="J56" i="6"/>
  <c r="L48" i="6"/>
  <c r="S59" i="6"/>
  <c r="O43" i="6"/>
  <c r="L140" i="6"/>
  <c r="AB152" i="6"/>
  <c r="K69" i="6"/>
  <c r="Q46" i="6"/>
  <c r="O59" i="6"/>
  <c r="M85" i="6"/>
  <c r="R109" i="6"/>
  <c r="C93" i="6"/>
  <c r="AB128" i="6"/>
  <c r="F71" i="6"/>
  <c r="D72" i="6"/>
  <c r="U134" i="6"/>
  <c r="C47" i="6"/>
  <c r="L106" i="6"/>
  <c r="Q106" i="6"/>
  <c r="F82" i="6"/>
  <c r="G122" i="6"/>
  <c r="D76" i="6"/>
  <c r="E122" i="6"/>
  <c r="I96" i="6"/>
  <c r="D51" i="6"/>
  <c r="T145" i="6"/>
  <c r="N95" i="6"/>
  <c r="F73" i="6"/>
  <c r="I57" i="6"/>
  <c r="M145" i="6"/>
  <c r="O56" i="6"/>
  <c r="K81" i="6"/>
  <c r="H93" i="6"/>
  <c r="K73" i="6"/>
  <c r="J74" i="6"/>
  <c r="H88" i="6"/>
  <c r="D81" i="6"/>
  <c r="I143" i="6"/>
  <c r="L78" i="6"/>
  <c r="I55" i="6"/>
  <c r="Q103" i="6"/>
  <c r="G102" i="6"/>
  <c r="H58" i="6"/>
  <c r="S116" i="6"/>
  <c r="T44" i="6"/>
  <c r="L152" i="6"/>
  <c r="P93" i="6"/>
  <c r="U53" i="6"/>
  <c r="S92" i="6"/>
  <c r="Q109" i="6"/>
  <c r="Y147" i="6"/>
  <c r="P60" i="6"/>
  <c r="C94" i="6"/>
  <c r="J108" i="6"/>
  <c r="T90" i="6"/>
  <c r="K61" i="6"/>
  <c r="O116" i="6"/>
  <c r="U120" i="6"/>
  <c r="X144" i="6"/>
  <c r="J142" i="6"/>
  <c r="O108" i="6"/>
  <c r="F60" i="6"/>
  <c r="T81" i="6"/>
  <c r="Q118" i="6"/>
  <c r="S120" i="6"/>
  <c r="F152" i="6"/>
  <c r="N133" i="6"/>
  <c r="P85" i="6"/>
  <c r="D109" i="6"/>
  <c r="F133" i="6"/>
  <c r="E147" i="6"/>
  <c r="P141" i="6"/>
  <c r="R93" i="6"/>
  <c r="R137" i="6"/>
  <c r="N46" i="6"/>
  <c r="H47" i="6"/>
  <c r="K45" i="6"/>
  <c r="M136" i="6"/>
  <c r="G152" i="6"/>
  <c r="M133" i="6"/>
  <c r="D96" i="6"/>
  <c r="P94" i="6"/>
  <c r="I129" i="6"/>
  <c r="S70" i="6"/>
  <c r="P122" i="6"/>
  <c r="C50" i="6"/>
  <c r="E67" i="6"/>
  <c r="P119" i="6"/>
  <c r="D132" i="6"/>
  <c r="D67" i="6"/>
  <c r="J72" i="6"/>
  <c r="N108" i="6"/>
  <c r="O101" i="6"/>
  <c r="K105" i="6"/>
  <c r="Q100" i="6"/>
  <c r="R145" i="6"/>
  <c r="T132" i="6"/>
  <c r="O129" i="6"/>
  <c r="L84" i="6"/>
  <c r="E62" i="6"/>
  <c r="D46" i="6"/>
  <c r="G50" i="6"/>
  <c r="L116" i="6"/>
  <c r="J44" i="6"/>
  <c r="S88" i="6"/>
  <c r="J107" i="6"/>
  <c r="P102" i="6"/>
  <c r="I67" i="6"/>
  <c r="E144" i="6"/>
  <c r="U111" i="6"/>
  <c r="I113" i="6"/>
  <c r="E115" i="6"/>
  <c r="I146" i="6"/>
  <c r="O83" i="6"/>
  <c r="C106" i="6"/>
  <c r="N92" i="6"/>
  <c r="R138" i="6"/>
  <c r="P138" i="6"/>
  <c r="U63" i="6"/>
  <c r="G138" i="6"/>
  <c r="H107" i="6"/>
  <c r="Q122" i="6"/>
  <c r="Q62" i="6"/>
  <c r="Q97" i="6"/>
  <c r="N134" i="6"/>
  <c r="Q45" i="6"/>
  <c r="S102" i="6"/>
  <c r="P95" i="6"/>
  <c r="U136" i="6"/>
  <c r="O47" i="6"/>
  <c r="G75" i="6"/>
  <c r="S113" i="6"/>
  <c r="J132" i="6"/>
  <c r="J153" i="6"/>
  <c r="Q115" i="6"/>
  <c r="M118" i="6"/>
  <c r="F113" i="6"/>
  <c r="I46" i="6"/>
  <c r="S64" i="6"/>
  <c r="J87" i="6"/>
  <c r="N76" i="6"/>
  <c r="K86" i="6"/>
  <c r="Q72" i="6"/>
  <c r="C142" i="6"/>
  <c r="G44" i="6"/>
  <c r="P130" i="6"/>
  <c r="P91" i="6"/>
  <c r="N93" i="6"/>
  <c r="S47" i="6"/>
  <c r="S110" i="6"/>
  <c r="O63" i="6"/>
  <c r="R77" i="6"/>
  <c r="G62" i="6"/>
  <c r="Z138" i="6"/>
  <c r="Y148" i="6"/>
  <c r="P83" i="6"/>
  <c r="R60" i="6"/>
  <c r="F112" i="6"/>
  <c r="I85" i="6"/>
  <c r="I52" i="6"/>
  <c r="G86" i="6"/>
  <c r="L66" i="6"/>
  <c r="E90" i="6"/>
  <c r="S134" i="6"/>
  <c r="D91" i="6"/>
  <c r="J93" i="6"/>
  <c r="L76" i="6"/>
  <c r="J68" i="6"/>
  <c r="K43" i="6"/>
  <c r="O130" i="6"/>
  <c r="M95" i="6"/>
  <c r="R61" i="6"/>
  <c r="K57" i="6"/>
  <c r="H140" i="6"/>
  <c r="S50" i="6"/>
  <c r="N72" i="6"/>
  <c r="O66" i="6"/>
  <c r="I50" i="6"/>
  <c r="R73" i="6"/>
  <c r="K136" i="6"/>
  <c r="O95" i="6"/>
  <c r="U103" i="6"/>
  <c r="C102" i="6"/>
  <c r="G89" i="6"/>
  <c r="M65" i="6"/>
  <c r="P101" i="6"/>
  <c r="P143" i="6"/>
  <c r="H80" i="6"/>
  <c r="L122" i="6"/>
  <c r="H155" i="6"/>
  <c r="P44" i="6"/>
  <c r="R69" i="6"/>
  <c r="K92" i="6"/>
  <c r="E81" i="6"/>
  <c r="C135" i="6"/>
  <c r="Z137" i="6"/>
  <c r="L153" i="6"/>
  <c r="D124" i="6"/>
  <c r="K56" i="6"/>
  <c r="S131" i="6"/>
  <c r="F146" i="6"/>
  <c r="C97" i="6"/>
  <c r="N139" i="6"/>
  <c r="I134" i="6"/>
  <c r="Q152" i="6"/>
  <c r="Z141" i="6"/>
  <c r="K76" i="6"/>
  <c r="H137" i="6"/>
  <c r="L146" i="6"/>
  <c r="S123" i="6"/>
  <c r="J58" i="6"/>
  <c r="U100" i="6"/>
  <c r="J94" i="6"/>
  <c r="Q158" i="6"/>
  <c r="V155" i="6"/>
  <c r="R56" i="6"/>
  <c r="R141" i="6"/>
  <c r="U106" i="6"/>
  <c r="Q48" i="6"/>
  <c r="G79" i="6"/>
  <c r="L107" i="6"/>
  <c r="G132" i="6"/>
  <c r="F81" i="6"/>
  <c r="Q52" i="6"/>
  <c r="K130" i="6"/>
  <c r="M138" i="6"/>
  <c r="F99" i="6"/>
  <c r="J73" i="6"/>
  <c r="H99" i="6"/>
  <c r="N80" i="6"/>
  <c r="J63" i="6"/>
  <c r="P113" i="6"/>
  <c r="Q120" i="6"/>
  <c r="P89" i="6"/>
  <c r="N44" i="6"/>
  <c r="N119" i="6"/>
  <c r="H57" i="6"/>
  <c r="V141" i="6"/>
  <c r="F48" i="6"/>
  <c r="H60" i="6"/>
  <c r="D90" i="6"/>
  <c r="U138" i="6"/>
  <c r="M109" i="6"/>
  <c r="P62" i="6"/>
  <c r="M63" i="6"/>
  <c r="U73" i="6"/>
  <c r="R90" i="6"/>
  <c r="C57" i="6"/>
  <c r="T121" i="6"/>
  <c r="D118" i="6"/>
  <c r="E106" i="6"/>
  <c r="J133" i="6"/>
  <c r="L44" i="6"/>
  <c r="I88" i="6"/>
  <c r="R86" i="6"/>
  <c r="X130" i="6"/>
  <c r="I84" i="6"/>
  <c r="G46" i="6"/>
  <c r="P92" i="6"/>
  <c r="R131" i="6"/>
  <c r="F95" i="6"/>
  <c r="S55" i="6"/>
  <c r="U148" i="6"/>
  <c r="I97" i="6"/>
  <c r="I89" i="6"/>
  <c r="J121" i="6"/>
  <c r="O92" i="6"/>
  <c r="G134" i="6"/>
  <c r="L86" i="6"/>
  <c r="R85" i="6"/>
  <c r="D92" i="6"/>
  <c r="D62" i="6"/>
  <c r="U49" i="6"/>
  <c r="T113" i="6"/>
  <c r="M82" i="6"/>
  <c r="O103" i="6"/>
  <c r="S61" i="6"/>
  <c r="S117" i="6"/>
  <c r="E114" i="6"/>
  <c r="H103" i="6"/>
  <c r="L64" i="6"/>
  <c r="M108" i="6"/>
  <c r="M104" i="6"/>
  <c r="D114" i="6"/>
  <c r="C84" i="6"/>
  <c r="K93" i="6"/>
  <c r="U44" i="6"/>
  <c r="H82" i="6"/>
  <c r="N99" i="6"/>
  <c r="J112" i="6"/>
  <c r="U68" i="6"/>
  <c r="L101" i="6"/>
  <c r="H56" i="6"/>
  <c r="G151" i="6"/>
  <c r="C143" i="6"/>
  <c r="P49" i="6"/>
  <c r="F105" i="6"/>
  <c r="I101" i="6"/>
  <c r="D152" i="6"/>
  <c r="M59" i="6"/>
  <c r="D94" i="6"/>
  <c r="J119" i="6"/>
  <c r="J45" i="6"/>
  <c r="R79" i="6"/>
  <c r="C153" i="6"/>
  <c r="I135" i="6"/>
  <c r="N53" i="6"/>
  <c r="T104" i="6"/>
  <c r="M107" i="6"/>
  <c r="N83" i="6"/>
  <c r="E58" i="6"/>
  <c r="I47" i="6"/>
  <c r="P53" i="6"/>
  <c r="G119" i="6"/>
  <c r="O80" i="6"/>
  <c r="R134" i="6"/>
  <c r="T57" i="6"/>
  <c r="J131" i="6"/>
  <c r="O114" i="6"/>
  <c r="J115" i="6"/>
  <c r="R78" i="6"/>
  <c r="N137" i="6"/>
  <c r="E55" i="6"/>
  <c r="I45" i="6"/>
  <c r="H52" i="6"/>
  <c r="U54" i="6"/>
  <c r="K139" i="6"/>
  <c r="I137" i="6"/>
  <c r="T73" i="6"/>
  <c r="M68" i="6"/>
  <c r="H64" i="6"/>
  <c r="T148" i="6"/>
  <c r="D93" i="6"/>
  <c r="I59" i="6"/>
  <c r="G54" i="6"/>
  <c r="N48" i="6"/>
  <c r="R135" i="6"/>
  <c r="S119" i="6"/>
  <c r="I107" i="6"/>
  <c r="C87" i="6"/>
  <c r="S51" i="6"/>
  <c r="M143" i="6"/>
  <c r="N60" i="6"/>
  <c r="S138" i="6"/>
  <c r="D53" i="6"/>
  <c r="I56" i="6"/>
  <c r="K71" i="6"/>
  <c r="N148" i="6"/>
  <c r="U117" i="6"/>
  <c r="M78" i="6"/>
  <c r="C95" i="6"/>
  <c r="K103" i="6"/>
  <c r="E121" i="6"/>
  <c r="R63" i="6"/>
  <c r="P75" i="6"/>
  <c r="I70" i="6"/>
  <c r="K117" i="6"/>
  <c r="G136" i="6"/>
  <c r="D54" i="6"/>
  <c r="S145" i="6"/>
  <c r="P99" i="6"/>
  <c r="K31" i="3"/>
  <c r="J31" i="3"/>
  <c r="M155" i="6"/>
  <c r="D71" i="6"/>
  <c r="D45" i="6"/>
  <c r="D155" i="6"/>
  <c r="O97" i="6"/>
  <c r="F138" i="6"/>
  <c r="O94" i="6"/>
  <c r="D142" i="6"/>
  <c r="S65" i="6"/>
  <c r="M111" i="6"/>
  <c r="U118" i="6"/>
  <c r="F128" i="6"/>
  <c r="U116" i="6"/>
  <c r="D66" i="6"/>
  <c r="E102" i="6"/>
  <c r="T136" i="6"/>
  <c r="O137" i="6"/>
  <c r="L100" i="6"/>
  <c r="K99" i="6"/>
  <c r="J109" i="6"/>
  <c r="T70" i="6"/>
  <c r="H110" i="6"/>
  <c r="H54" i="6"/>
  <c r="K111" i="6"/>
  <c r="K107" i="6"/>
  <c r="C65" i="6"/>
  <c r="O110" i="6"/>
  <c r="T72" i="6"/>
  <c r="D99" i="6"/>
  <c r="H120" i="6"/>
  <c r="N151" i="6"/>
  <c r="F119" i="6"/>
  <c r="L132" i="6"/>
  <c r="T97" i="6"/>
  <c r="R120" i="6"/>
  <c r="I93" i="6"/>
  <c r="J71" i="6"/>
  <c r="N132" i="6"/>
  <c r="I150" i="6"/>
  <c r="C139" i="6"/>
  <c r="J152" i="6"/>
  <c r="N82" i="6"/>
  <c r="R47" i="6"/>
  <c r="L89" i="6"/>
  <c r="P67" i="6"/>
  <c r="L135" i="6"/>
  <c r="E132" i="6"/>
  <c r="S43" i="6"/>
  <c r="U59" i="6"/>
  <c r="C51" i="6"/>
  <c r="L87" i="6"/>
  <c r="C43" i="6"/>
  <c r="F101" i="6"/>
  <c r="E113" i="6"/>
  <c r="K54" i="6"/>
  <c r="E119" i="6"/>
  <c r="H154" i="6"/>
  <c r="T109" i="6"/>
  <c r="M116" i="6"/>
  <c r="F59" i="6"/>
  <c r="E59" i="6"/>
  <c r="M48" i="6"/>
  <c r="T140" i="6"/>
  <c r="F54" i="6"/>
  <c r="H141" i="6"/>
  <c r="F151" i="6"/>
  <c r="M94" i="6"/>
  <c r="N121" i="6"/>
  <c r="H128" i="6"/>
  <c r="H61" i="6"/>
  <c r="D106" i="6"/>
  <c r="R97" i="6"/>
  <c r="T139" i="6"/>
  <c r="M56" i="6"/>
  <c r="N100" i="6"/>
  <c r="F96" i="6"/>
  <c r="N91" i="6"/>
  <c r="K138" i="6"/>
  <c r="E83" i="6"/>
  <c r="S48" i="6"/>
  <c r="N67" i="6"/>
  <c r="H97" i="6"/>
  <c r="L102" i="6"/>
  <c r="U101" i="6"/>
  <c r="F52" i="6"/>
  <c r="P46" i="6"/>
  <c r="O78" i="6"/>
  <c r="S57" i="6"/>
  <c r="L93" i="6"/>
  <c r="S45" i="6"/>
  <c r="O52" i="6"/>
  <c r="T80" i="6"/>
  <c r="D59" i="6"/>
  <c r="F87" i="6"/>
  <c r="U150" i="6"/>
  <c r="K52" i="6"/>
  <c r="J139" i="6"/>
  <c r="G93" i="6"/>
  <c r="L94" i="6"/>
  <c r="C75" i="6"/>
  <c r="P74" i="6"/>
  <c r="R144" i="6"/>
  <c r="M137" i="6"/>
  <c r="G47" i="6"/>
  <c r="R103" i="6"/>
  <c r="S69" i="6"/>
  <c r="L141" i="6"/>
  <c r="N152" i="6"/>
  <c r="H73" i="6"/>
  <c r="L77" i="6"/>
  <c r="E152" i="6"/>
  <c r="G87" i="6"/>
  <c r="M151" i="6"/>
  <c r="M134" i="6"/>
  <c r="M148" i="6"/>
  <c r="T76" i="6"/>
  <c r="E85" i="6"/>
  <c r="E69" i="6"/>
  <c r="K143" i="6"/>
  <c r="R147" i="6"/>
  <c r="Q56" i="6"/>
  <c r="T50" i="6"/>
  <c r="T49" i="6"/>
  <c r="L118" i="6"/>
  <c r="K149" i="6"/>
  <c r="F149" i="6"/>
  <c r="M62" i="6"/>
  <c r="J77" i="6"/>
  <c r="S72" i="6"/>
  <c r="N111" i="6"/>
  <c r="S79" i="6"/>
  <c r="F67" i="6"/>
  <c r="E53" i="6"/>
  <c r="L150" i="6"/>
  <c r="C68" i="6"/>
  <c r="F94" i="6"/>
  <c r="C141" i="6"/>
  <c r="Q99" i="6"/>
  <c r="G123" i="6"/>
  <c r="P71" i="6"/>
  <c r="O77" i="6"/>
  <c r="G124" i="6"/>
  <c r="I81" i="6"/>
  <c r="O135" i="6"/>
  <c r="S78" i="6"/>
  <c r="T56" i="6"/>
  <c r="M49" i="6"/>
  <c r="P134" i="6"/>
  <c r="O147" i="6"/>
  <c r="G69" i="6"/>
  <c r="J85" i="6"/>
  <c r="T119" i="6"/>
  <c r="D55" i="6"/>
  <c r="F61" i="6"/>
  <c r="J28" i="3"/>
  <c r="T30" i="3"/>
  <c r="V30" i="3" s="1"/>
  <c r="J19" i="3"/>
  <c r="J33" i="3"/>
  <c r="J22" i="3"/>
  <c r="T21" i="3"/>
  <c r="V21" i="3" s="1"/>
  <c r="T27" i="3"/>
  <c r="V27" i="3" s="1"/>
  <c r="J11" i="3"/>
  <c r="J35" i="3"/>
  <c r="J24" i="3"/>
  <c r="J21" i="3"/>
  <c r="J30" i="3"/>
  <c r="J34" i="3"/>
  <c r="K2" i="3"/>
  <c r="K3" i="3"/>
  <c r="Z14" i="3"/>
  <c r="U14" i="3"/>
  <c r="O14" i="3"/>
  <c r="P14" i="3"/>
  <c r="K14" i="3"/>
  <c r="Y14" i="3"/>
  <c r="J14" i="3"/>
  <c r="T14" i="3"/>
  <c r="K119" i="6"/>
  <c r="S118" i="6"/>
  <c r="D61" i="6"/>
  <c r="K87" i="6"/>
  <c r="K147" i="6"/>
  <c r="R43" i="6"/>
  <c r="C52" i="6"/>
  <c r="U55" i="6"/>
  <c r="P112" i="6"/>
  <c r="Q95" i="6"/>
  <c r="S73" i="6"/>
  <c r="N113" i="6"/>
  <c r="K102" i="6"/>
  <c r="Q70" i="6"/>
  <c r="I69" i="6"/>
  <c r="I95" i="6"/>
  <c r="I128" i="6"/>
  <c r="H91" i="6"/>
  <c r="H95" i="6"/>
  <c r="M113" i="6"/>
  <c r="J47" i="6"/>
  <c r="C114" i="6"/>
  <c r="S115" i="6"/>
  <c r="O117" i="6"/>
  <c r="R153" i="6"/>
  <c r="D154" i="6"/>
  <c r="I103" i="6"/>
  <c r="P69" i="6"/>
  <c r="P81" i="6"/>
  <c r="R96" i="6"/>
  <c r="G49" i="6"/>
  <c r="J89" i="6"/>
  <c r="F72" i="6"/>
  <c r="O44" i="6"/>
  <c r="H94" i="6"/>
  <c r="I94" i="6"/>
  <c r="D80" i="6"/>
  <c r="L81" i="6"/>
  <c r="Q87" i="6"/>
  <c r="T142" i="6"/>
  <c r="C112" i="6"/>
  <c r="H98" i="6"/>
  <c r="N75" i="6"/>
  <c r="O81" i="6"/>
  <c r="H92" i="6"/>
  <c r="T85" i="6"/>
  <c r="Q155" i="6"/>
  <c r="L143" i="6"/>
  <c r="O140" i="6"/>
  <c r="K118" i="6"/>
  <c r="U67" i="6"/>
  <c r="U110" i="6"/>
  <c r="R54" i="6"/>
  <c r="P150" i="6"/>
  <c r="G131" i="6"/>
  <c r="I149" i="6"/>
  <c r="R139" i="6"/>
  <c r="Q80" i="6"/>
  <c r="P148" i="6"/>
  <c r="D73" i="6"/>
  <c r="C120" i="6"/>
  <c r="N81" i="6"/>
  <c r="L85" i="6"/>
  <c r="Q140" i="6"/>
  <c r="J51" i="6"/>
  <c r="I66" i="6"/>
  <c r="C100" i="6"/>
  <c r="U115" i="6"/>
  <c r="S86" i="6"/>
  <c r="H75" i="6"/>
  <c r="L63" i="6"/>
  <c r="N77" i="6"/>
  <c r="C77" i="6"/>
  <c r="C105" i="6"/>
  <c r="C48" i="6"/>
  <c r="C60" i="6"/>
  <c r="R55" i="6"/>
  <c r="O75" i="6"/>
  <c r="R104" i="6"/>
  <c r="O67" i="6"/>
  <c r="M83" i="6"/>
  <c r="E50" i="6"/>
  <c r="I144" i="6"/>
  <c r="U94" i="6"/>
  <c r="K155" i="6"/>
  <c r="J50" i="6"/>
  <c r="Q53" i="6"/>
  <c r="C76" i="6"/>
  <c r="C45" i="6"/>
  <c r="O86" i="6"/>
  <c r="U98" i="6"/>
  <c r="T143" i="6"/>
  <c r="U52" i="6"/>
  <c r="N144" i="6"/>
  <c r="S98" i="6"/>
  <c r="D129" i="6"/>
  <c r="G80" i="6"/>
  <c r="D117" i="6"/>
  <c r="K48" i="6"/>
  <c r="S104" i="6"/>
  <c r="T141" i="6"/>
  <c r="D50" i="6"/>
  <c r="L91" i="6"/>
  <c r="J155" i="6"/>
  <c r="J2" i="3"/>
  <c r="G149" i="6"/>
  <c r="H70" i="6"/>
  <c r="N141" i="6"/>
  <c r="O74" i="6"/>
  <c r="J57" i="6"/>
  <c r="F84" i="6"/>
  <c r="O139" i="6"/>
  <c r="U70" i="6"/>
  <c r="C62" i="6"/>
  <c r="M106" i="6"/>
  <c r="L67" i="6"/>
  <c r="C96" i="6"/>
  <c r="G100" i="6"/>
  <c r="J138" i="6"/>
  <c r="N89" i="6"/>
  <c r="I76" i="6"/>
  <c r="E111" i="6"/>
  <c r="T152" i="6"/>
  <c r="S135" i="6"/>
  <c r="U153" i="6"/>
  <c r="F153" i="6"/>
  <c r="R106" i="6"/>
  <c r="Q58" i="6"/>
  <c r="I124" i="6"/>
  <c r="I114" i="6"/>
  <c r="P84" i="6"/>
  <c r="S75" i="6"/>
  <c r="T75" i="6"/>
  <c r="G43" i="6"/>
  <c r="H108" i="6"/>
  <c r="P109" i="6"/>
  <c r="G101" i="6"/>
  <c r="O148" i="6"/>
  <c r="I65" i="6"/>
  <c r="F111" i="6"/>
  <c r="U64" i="6"/>
  <c r="U77" i="6"/>
  <c r="T110" i="6"/>
  <c r="N136" i="6"/>
  <c r="E143" i="6"/>
  <c r="S133" i="6"/>
  <c r="C146" i="6"/>
  <c r="S105" i="6"/>
  <c r="J104" i="6"/>
  <c r="S141" i="6"/>
  <c r="H109" i="6"/>
  <c r="P132" i="6"/>
  <c r="T89" i="6"/>
  <c r="U112" i="6"/>
  <c r="Q94" i="6"/>
  <c r="P96" i="6"/>
  <c r="O154" i="6"/>
  <c r="D89" i="6"/>
  <c r="P55" i="6"/>
  <c r="E91" i="6"/>
  <c r="Q47" i="6"/>
  <c r="G114" i="6"/>
  <c r="J122" i="6"/>
  <c r="T98" i="6"/>
  <c r="D144" i="6"/>
  <c r="I71" i="6"/>
  <c r="P110" i="6"/>
  <c r="P144" i="6"/>
  <c r="O150" i="6"/>
  <c r="P100" i="6"/>
  <c r="G150" i="6"/>
  <c r="I44" i="6"/>
  <c r="R146" i="6"/>
  <c r="O90" i="6"/>
  <c r="F49" i="6"/>
  <c r="T64" i="6"/>
  <c r="K108" i="6"/>
  <c r="D56" i="6"/>
  <c r="E56" i="6"/>
  <c r="Q73" i="6"/>
  <c r="M76" i="6"/>
  <c r="N68" i="6"/>
  <c r="S124" i="6"/>
  <c r="G81" i="6"/>
  <c r="O102" i="6"/>
  <c r="S96" i="6"/>
  <c r="H65" i="6"/>
  <c r="P56" i="6"/>
  <c r="S130" i="6"/>
  <c r="F75" i="6"/>
  <c r="I142" i="6"/>
  <c r="I115" i="6"/>
  <c r="S95" i="6"/>
  <c r="D130" i="6"/>
  <c r="O113" i="6"/>
  <c r="K106" i="6"/>
  <c r="U152" i="6"/>
  <c r="Q145" i="6"/>
  <c r="S103" i="6"/>
  <c r="P80" i="6"/>
  <c r="J53" i="6"/>
  <c r="I106" i="6"/>
  <c r="K53" i="6"/>
  <c r="R95" i="6"/>
  <c r="Q63" i="6"/>
  <c r="J12" i="3"/>
  <c r="R66" i="6"/>
  <c r="J46" i="6"/>
  <c r="K32" i="3"/>
  <c r="Z32" i="3"/>
  <c r="K8" i="3"/>
  <c r="Z8" i="3"/>
  <c r="M90" i="6"/>
  <c r="M112" i="6"/>
  <c r="L70" i="6"/>
  <c r="C103" i="6"/>
  <c r="K141" i="6"/>
  <c r="U130" i="6"/>
  <c r="D85" i="6"/>
  <c r="O105" i="6"/>
  <c r="O115" i="6"/>
  <c r="K62" i="6"/>
  <c r="U119" i="6"/>
  <c r="C154" i="6"/>
  <c r="K100" i="6"/>
  <c r="D105" i="6"/>
  <c r="N128" i="6"/>
  <c r="Q141" i="6"/>
  <c r="Q96" i="6"/>
  <c r="J137" i="6"/>
  <c r="I60" i="6"/>
  <c r="E74" i="6"/>
  <c r="R112" i="6"/>
  <c r="M51" i="6"/>
  <c r="I138" i="6"/>
  <c r="T103" i="6"/>
  <c r="P104" i="6"/>
  <c r="F47" i="6"/>
  <c r="Q104" i="6"/>
  <c r="C67" i="6"/>
  <c r="E76" i="6"/>
  <c r="L109" i="6"/>
  <c r="D115" i="6"/>
  <c r="H112" i="6"/>
  <c r="R105" i="6"/>
  <c r="M142" i="6"/>
  <c r="T151" i="6"/>
  <c r="U46" i="6"/>
  <c r="R128" i="6"/>
  <c r="D119" i="6"/>
  <c r="E92" i="6"/>
  <c r="P114" i="6"/>
  <c r="T149" i="6"/>
  <c r="M139" i="6"/>
  <c r="U149" i="6"/>
  <c r="J99" i="6"/>
  <c r="H144" i="6"/>
  <c r="K66" i="6"/>
  <c r="E72" i="6"/>
  <c r="N50" i="6"/>
  <c r="E54" i="6"/>
  <c r="N116" i="6"/>
  <c r="N98" i="6"/>
  <c r="U80" i="6"/>
  <c r="S67" i="6"/>
  <c r="O45" i="6"/>
  <c r="E146" i="6"/>
  <c r="M144" i="6"/>
  <c r="R124" i="6"/>
  <c r="T101" i="6"/>
  <c r="H66" i="6"/>
  <c r="S147" i="6"/>
  <c r="T62" i="6"/>
  <c r="F56" i="6"/>
  <c r="M150" i="6"/>
  <c r="T106" i="6"/>
  <c r="E112" i="6"/>
  <c r="L79" i="6"/>
  <c r="Q84" i="6"/>
  <c r="D138" i="6"/>
  <c r="L73" i="6"/>
  <c r="O134" i="6"/>
  <c r="K51" i="6"/>
  <c r="L119" i="6"/>
  <c r="I83" i="6"/>
  <c r="C56" i="6"/>
  <c r="G128" i="6"/>
  <c r="J80" i="6"/>
  <c r="F100" i="6"/>
  <c r="L88" i="6"/>
  <c r="I62" i="6"/>
  <c r="H133" i="6"/>
  <c r="Q91" i="6"/>
  <c r="E66" i="6"/>
  <c r="G60" i="6"/>
  <c r="S99" i="6"/>
  <c r="U154" i="6"/>
  <c r="O62" i="6"/>
  <c r="N90" i="6"/>
  <c r="O71" i="6"/>
  <c r="O98" i="6"/>
  <c r="T131" i="6"/>
  <c r="F78" i="6"/>
  <c r="U105" i="6"/>
  <c r="N51" i="6"/>
  <c r="L62" i="6"/>
  <c r="J76" i="6"/>
  <c r="C136" i="6"/>
  <c r="R89" i="6"/>
  <c r="K67" i="6"/>
  <c r="N78" i="6"/>
  <c r="T133" i="6"/>
  <c r="R151" i="6"/>
  <c r="S146" i="6"/>
  <c r="L92" i="6"/>
  <c r="J3" i="3"/>
  <c r="F85" i="6"/>
  <c r="K29" i="3"/>
  <c r="J29" i="3"/>
  <c r="U10" i="3"/>
  <c r="P10" i="3"/>
  <c r="O10" i="3"/>
  <c r="J10" i="3"/>
  <c r="Z10" i="3"/>
  <c r="T10" i="3"/>
  <c r="Y10" i="3"/>
  <c r="K10" i="3"/>
  <c r="G115" i="6"/>
  <c r="K44" i="6"/>
  <c r="T83" i="6"/>
  <c r="F116" i="6"/>
  <c r="M115" i="6"/>
  <c r="J123" i="6"/>
  <c r="P129" i="6"/>
  <c r="H147" i="6"/>
  <c r="H105" i="6"/>
  <c r="Q150" i="6"/>
  <c r="E63" i="6"/>
  <c r="U137" i="6"/>
  <c r="J59" i="6"/>
  <c r="P45" i="6"/>
  <c r="G98" i="6"/>
  <c r="T144" i="6"/>
  <c r="T150" i="6"/>
  <c r="P121" i="6"/>
  <c r="L115" i="6"/>
  <c r="E133" i="6"/>
  <c r="D95" i="6"/>
  <c r="E107" i="6"/>
  <c r="E153" i="6"/>
  <c r="L96" i="6"/>
  <c r="T118" i="6"/>
  <c r="S56" i="6"/>
  <c r="F108" i="6"/>
  <c r="J101" i="6"/>
  <c r="H138" i="6"/>
  <c r="K65" i="6"/>
  <c r="G116" i="6"/>
  <c r="T107" i="6"/>
  <c r="E93" i="6"/>
  <c r="F77" i="6"/>
  <c r="U123" i="6"/>
  <c r="K128" i="6"/>
  <c r="R155" i="6"/>
  <c r="D123" i="6"/>
  <c r="M61" i="6"/>
  <c r="O84" i="6"/>
  <c r="M102" i="6"/>
  <c r="T146" i="6"/>
  <c r="R72" i="6"/>
  <c r="P59" i="6"/>
  <c r="F44" i="6"/>
  <c r="C83" i="6"/>
  <c r="O118" i="6"/>
  <c r="O143" i="6"/>
  <c r="E134" i="6"/>
  <c r="J150" i="6"/>
  <c r="E87" i="6"/>
  <c r="N59" i="6"/>
  <c r="K58" i="6"/>
  <c r="N52" i="6"/>
  <c r="I43" i="6"/>
  <c r="E131" i="6"/>
  <c r="Q75" i="6"/>
  <c r="N97" i="6"/>
  <c r="R108" i="6"/>
  <c r="S82" i="6"/>
  <c r="L103" i="6"/>
  <c r="N96" i="6"/>
  <c r="K112" i="6"/>
  <c r="M74" i="6"/>
  <c r="O104" i="6"/>
  <c r="D100" i="6"/>
  <c r="T115" i="6"/>
  <c r="G55" i="6"/>
  <c r="D107" i="6"/>
  <c r="S109" i="6"/>
  <c r="I139" i="6"/>
  <c r="N85" i="6"/>
  <c r="R107" i="6"/>
  <c r="F129" i="6"/>
  <c r="K137" i="6"/>
  <c r="J43" i="6"/>
  <c r="C46" i="6"/>
  <c r="C59" i="6"/>
  <c r="O51" i="6"/>
  <c r="D153" i="6"/>
  <c r="M75" i="6"/>
  <c r="U57" i="6"/>
  <c r="D86" i="6"/>
  <c r="D83" i="6"/>
  <c r="J149" i="6"/>
  <c r="J103" i="6"/>
  <c r="D141" i="6"/>
  <c r="K110" i="6"/>
  <c r="M53" i="6"/>
  <c r="Q123" i="6"/>
  <c r="O60" i="6"/>
  <c r="O141" i="6"/>
  <c r="I75" i="6"/>
  <c r="L49" i="6"/>
  <c r="C129" i="6"/>
  <c r="D122" i="6"/>
  <c r="Q117" i="6"/>
  <c r="O128" i="6"/>
  <c r="E155" i="6"/>
  <c r="M129" i="6"/>
  <c r="P155" i="6"/>
  <c r="U121" i="6"/>
  <c r="N143" i="6"/>
  <c r="M101" i="6"/>
  <c r="I140" i="6"/>
  <c r="K9" i="3"/>
  <c r="Z9" i="3"/>
  <c r="Z12" i="3"/>
  <c r="K12" i="3"/>
  <c r="P120" i="6"/>
  <c r="M52" i="6"/>
  <c r="E82" i="6"/>
  <c r="E105" i="6"/>
  <c r="L90" i="6"/>
  <c r="O152" i="6"/>
  <c r="Q59" i="6"/>
  <c r="U71" i="6"/>
  <c r="F90" i="6"/>
  <c r="I61" i="6"/>
  <c r="K121" i="6"/>
  <c r="M67" i="6"/>
  <c r="U151" i="6"/>
  <c r="U139" i="6"/>
  <c r="O123" i="6"/>
  <c r="F62" i="6"/>
  <c r="L112" i="6"/>
  <c r="R62" i="6"/>
  <c r="S44" i="6"/>
  <c r="Q71" i="6"/>
  <c r="U129" i="6"/>
  <c r="F115" i="6"/>
  <c r="I82" i="6"/>
  <c r="J120" i="6"/>
  <c r="S152" i="6"/>
  <c r="T111" i="6"/>
  <c r="H50" i="6"/>
  <c r="J136" i="6"/>
  <c r="U65" i="6"/>
  <c r="L50" i="6"/>
  <c r="D69" i="6"/>
  <c r="S97" i="6"/>
  <c r="T130" i="6"/>
  <c r="G83" i="6"/>
  <c r="D60" i="6"/>
  <c r="G112" i="6"/>
  <c r="H114" i="6"/>
  <c r="M122" i="6"/>
  <c r="H151" i="6"/>
  <c r="D121" i="6"/>
  <c r="M89" i="6"/>
  <c r="C104" i="6"/>
  <c r="H131" i="6"/>
  <c r="U86" i="6"/>
  <c r="J128" i="6"/>
  <c r="E51" i="6"/>
  <c r="R68" i="6"/>
  <c r="Q107" i="6"/>
  <c r="Q85" i="6"/>
  <c r="F117" i="6"/>
  <c r="Q64" i="6"/>
  <c r="E148" i="6"/>
  <c r="E95" i="6"/>
  <c r="F97" i="6"/>
  <c r="T67" i="6"/>
  <c r="R45" i="6"/>
  <c r="H85" i="6"/>
  <c r="N142" i="6"/>
  <c r="F64" i="6"/>
  <c r="C71" i="6"/>
  <c r="H46" i="6"/>
  <c r="F69" i="6"/>
  <c r="K152" i="6"/>
  <c r="T128" i="6"/>
  <c r="J111" i="6"/>
  <c r="U61" i="6"/>
  <c r="R57" i="6"/>
  <c r="G110" i="6"/>
  <c r="O54" i="6"/>
  <c r="N149" i="6"/>
  <c r="N63" i="6"/>
  <c r="O58" i="6"/>
  <c r="F70" i="6"/>
  <c r="C145" i="6"/>
  <c r="S114" i="6"/>
  <c r="G59" i="6"/>
  <c r="R91" i="6"/>
  <c r="G67" i="6"/>
  <c r="S108" i="6"/>
  <c r="M117" i="6"/>
  <c r="T63" i="6"/>
  <c r="G99" i="6"/>
  <c r="U147" i="6"/>
  <c r="L72" i="6"/>
  <c r="F131" i="6"/>
  <c r="N150" i="6"/>
  <c r="O70" i="6"/>
  <c r="H148" i="6"/>
  <c r="J64" i="6"/>
  <c r="M141" i="6"/>
  <c r="P76" i="6"/>
  <c r="P51" i="6"/>
  <c r="L145" i="6"/>
  <c r="AE36" i="6"/>
  <c r="AE39" i="6"/>
  <c r="AE40" i="6"/>
  <c r="AE41" i="6"/>
  <c r="AE35" i="6"/>
  <c r="AE38" i="6"/>
  <c r="AE42" i="6"/>
  <c r="AE34" i="6"/>
  <c r="AE37" i="6"/>
  <c r="AE33" i="6"/>
  <c r="AA21" i="3"/>
  <c r="AA20" i="3"/>
  <c r="AA11" i="3"/>
  <c r="V26" i="3"/>
  <c r="V28" i="3"/>
  <c r="AA23" i="3"/>
  <c r="AA16" i="3"/>
  <c r="AA15" i="3"/>
  <c r="V13" i="3"/>
  <c r="V16" i="3"/>
  <c r="V15" i="3"/>
  <c r="V4" i="3"/>
  <c r="AA4" i="3"/>
  <c r="AA25" i="3"/>
  <c r="AA17" i="3"/>
  <c r="V23" i="3"/>
  <c r="AA28" i="3"/>
  <c r="V5" i="3"/>
  <c r="AA18" i="3"/>
  <c r="AA35" i="3"/>
  <c r="AA27" i="3"/>
  <c r="AA26" i="3"/>
  <c r="AA19" i="3"/>
  <c r="AA22" i="3"/>
  <c r="AA33" i="3"/>
  <c r="AA24" i="3"/>
  <c r="AA6" i="3"/>
  <c r="AA13" i="3"/>
  <c r="AA5" i="3"/>
  <c r="AA7" i="3"/>
  <c r="AA30" i="3"/>
  <c r="V18" i="3"/>
  <c r="V35" i="3"/>
  <c r="V7" i="3"/>
  <c r="V33" i="3"/>
  <c r="V25" i="3"/>
  <c r="V19" i="3"/>
  <c r="V6" i="3"/>
  <c r="V24" i="3"/>
  <c r="V20" i="3"/>
  <c r="V17" i="3"/>
  <c r="V11" i="3"/>
  <c r="V22" i="3"/>
  <c r="D4" i="7"/>
  <c r="C9" i="7"/>
  <c r="C8" i="7"/>
  <c r="C7" i="7"/>
  <c r="C6" i="7"/>
  <c r="C5" i="7"/>
  <c r="C4" i="7"/>
  <c r="C3" i="7"/>
  <c r="C2" i="7"/>
  <c r="B9" i="7"/>
  <c r="B8" i="7"/>
  <c r="B7" i="7"/>
  <c r="B6" i="7"/>
  <c r="B5" i="7"/>
  <c r="B4" i="7"/>
  <c r="B3" i="7"/>
  <c r="B2" i="7"/>
  <c r="AE159" i="6" l="1"/>
  <c r="V32" i="3"/>
  <c r="V12" i="3"/>
  <c r="AA31" i="3"/>
  <c r="AE126" i="6"/>
  <c r="AE127" i="6"/>
  <c r="AE125" i="6"/>
  <c r="V3" i="3"/>
  <c r="AA34" i="3"/>
  <c r="AA3" i="3"/>
  <c r="AE158" i="6"/>
  <c r="AE157" i="6"/>
  <c r="AE156" i="6"/>
  <c r="AA8" i="3"/>
  <c r="AA32" i="3"/>
  <c r="AE56" i="6"/>
  <c r="AE75" i="6"/>
  <c r="AE77" i="6"/>
  <c r="AE72" i="6"/>
  <c r="AE105" i="6"/>
  <c r="AE61" i="6"/>
  <c r="AE48" i="6"/>
  <c r="AE60" i="6"/>
  <c r="AE114" i="6"/>
  <c r="AE49" i="6"/>
  <c r="AE123" i="6"/>
  <c r="AE116" i="6"/>
  <c r="AE50" i="6"/>
  <c r="AE65" i="6"/>
  <c r="AE97" i="6"/>
  <c r="AE155" i="6"/>
  <c r="AE85" i="6"/>
  <c r="AE55" i="6"/>
  <c r="AE113" i="6"/>
  <c r="AE73" i="6"/>
  <c r="AE103" i="6"/>
  <c r="AE52" i="6"/>
  <c r="AE59" i="6"/>
  <c r="AE84" i="6"/>
  <c r="AE109" i="6"/>
  <c r="AE88" i="6"/>
  <c r="AE80" i="6"/>
  <c r="AE94" i="6"/>
  <c r="AE54" i="6"/>
  <c r="AE78" i="6"/>
  <c r="AE121" i="6"/>
  <c r="AE146" i="6"/>
  <c r="AE67" i="6"/>
  <c r="AE124" i="6"/>
  <c r="AE95" i="6"/>
  <c r="AE119" i="6"/>
  <c r="AE101" i="6"/>
  <c r="AE107" i="6"/>
  <c r="AE102" i="6"/>
  <c r="AE89" i="6"/>
  <c r="AE43" i="6"/>
  <c r="AE83" i="6"/>
  <c r="AE53" i="6"/>
  <c r="AE122" i="6"/>
  <c r="AE47" i="6"/>
  <c r="AE57" i="6"/>
  <c r="AE66" i="6"/>
  <c r="AE81" i="6"/>
  <c r="AE112" i="6"/>
  <c r="AE120" i="6"/>
  <c r="AE82" i="6"/>
  <c r="AE87" i="6"/>
  <c r="AE93" i="6"/>
  <c r="AE118" i="6"/>
  <c r="AE111" i="6"/>
  <c r="AE64" i="6"/>
  <c r="AE79" i="6"/>
  <c r="AE70" i="6"/>
  <c r="AE90" i="6"/>
  <c r="AE98" i="6"/>
  <c r="AE51" i="6"/>
  <c r="AE62" i="6"/>
  <c r="AE106" i="6"/>
  <c r="AE58" i="6"/>
  <c r="AE76" i="6"/>
  <c r="AE45" i="6"/>
  <c r="AE92" i="6"/>
  <c r="AE115" i="6"/>
  <c r="AE108" i="6"/>
  <c r="AE46" i="6"/>
  <c r="AE104" i="6"/>
  <c r="AE117" i="6"/>
  <c r="AE110" i="6"/>
  <c r="AE86" i="6"/>
  <c r="AE69" i="6"/>
  <c r="AE91" i="6"/>
  <c r="AE63" i="6"/>
  <c r="AE96" i="6"/>
  <c r="AE100" i="6"/>
  <c r="AE71" i="6"/>
  <c r="AE68" i="6"/>
  <c r="AE44" i="6"/>
  <c r="AE74" i="6"/>
  <c r="AE99" i="6"/>
  <c r="AE145" i="6"/>
  <c r="AE136" i="6"/>
  <c r="AE132" i="6"/>
  <c r="AE153" i="6"/>
  <c r="AE144" i="6"/>
  <c r="AE138" i="6"/>
  <c r="AE143" i="6"/>
  <c r="AE154" i="6"/>
  <c r="AE141" i="6"/>
  <c r="AE147" i="6"/>
  <c r="AE151" i="6"/>
  <c r="AE129" i="6"/>
  <c r="AE135" i="6"/>
  <c r="AE134" i="6"/>
  <c r="AE140" i="6"/>
  <c r="AE148" i="6"/>
  <c r="AE128" i="6"/>
  <c r="AE152" i="6"/>
  <c r="AE149" i="6"/>
  <c r="AE139" i="6"/>
  <c r="AE142" i="6"/>
  <c r="AE131" i="6"/>
  <c r="AE133" i="6"/>
  <c r="AE130" i="6"/>
  <c r="AE150" i="6"/>
  <c r="AE137" i="6"/>
  <c r="AA12" i="3"/>
  <c r="AA2" i="3"/>
  <c r="AA9" i="3"/>
  <c r="AA14" i="3"/>
  <c r="AA10" i="3"/>
  <c r="V29" i="3"/>
  <c r="V2" i="3"/>
  <c r="V34" i="3"/>
  <c r="V9" i="3"/>
  <c r="V8" i="3"/>
  <c r="V31" i="3"/>
  <c r="V14" i="3"/>
  <c r="V10" i="3"/>
  <c r="Q35" i="3"/>
  <c r="L35" i="3"/>
  <c r="M35" i="3"/>
  <c r="N35" i="3" s="1"/>
  <c r="R35" i="3" s="1"/>
  <c r="S35" i="3" s="1"/>
  <c r="W35" i="3" s="1"/>
  <c r="X35" i="3" s="1"/>
  <c r="AB35" i="3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l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D2" i="7"/>
  <c r="E2" i="7" s="1"/>
  <c r="D3" i="7"/>
  <c r="E3" i="7" s="1"/>
  <c r="E4" i="7"/>
  <c r="D5" i="7"/>
  <c r="E5" i="7" s="1"/>
  <c r="D6" i="7"/>
  <c r="E6" i="7" s="1"/>
  <c r="D7" i="7"/>
  <c r="E7" i="7" s="1"/>
  <c r="D8" i="7"/>
  <c r="E8" i="7" s="1"/>
  <c r="D9" i="7"/>
  <c r="E9" i="7" s="1"/>
  <c r="Q2" i="3" l="1"/>
  <c r="H2" i="3"/>
  <c r="L23" i="3"/>
  <c r="L9" i="3"/>
  <c r="L15" i="3"/>
  <c r="H7" i="3"/>
  <c r="L27" i="3"/>
  <c r="Q29" i="3"/>
  <c r="L22" i="3"/>
  <c r="Q15" i="3"/>
  <c r="H17" i="3"/>
  <c r="H20" i="3"/>
  <c r="H14" i="3"/>
  <c r="Q16" i="3"/>
  <c r="H16" i="3"/>
  <c r="L30" i="3"/>
  <c r="L10" i="3"/>
  <c r="H21" i="3"/>
  <c r="H24" i="3"/>
  <c r="H15" i="3"/>
  <c r="H13" i="3"/>
  <c r="H27" i="3"/>
  <c r="L18" i="3"/>
  <c r="H25" i="3"/>
  <c r="L31" i="3"/>
  <c r="Q14" i="3"/>
  <c r="Q4" i="3"/>
  <c r="Q6" i="3"/>
  <c r="Q27" i="3"/>
  <c r="Q33" i="3"/>
  <c r="L3" i="3"/>
  <c r="L20" i="3"/>
  <c r="H11" i="3"/>
  <c r="H26" i="3"/>
  <c r="L28" i="3"/>
  <c r="Q5" i="3"/>
  <c r="L34" i="3"/>
  <c r="Q17" i="3"/>
  <c r="Q20" i="3"/>
  <c r="L11" i="3"/>
  <c r="L24" i="3"/>
  <c r="L13" i="3"/>
  <c r="H33" i="3"/>
  <c r="Q13" i="3"/>
  <c r="L14" i="3"/>
  <c r="L7" i="3"/>
  <c r="Q25" i="3"/>
  <c r="L21" i="3"/>
  <c r="L16" i="3"/>
  <c r="Q7" i="3"/>
  <c r="L25" i="3"/>
  <c r="L33" i="3"/>
  <c r="L4" i="3"/>
  <c r="L6" i="3"/>
  <c r="Q21" i="3"/>
  <c r="Q26" i="3"/>
  <c r="L17" i="3"/>
  <c r="Q11" i="3"/>
  <c r="L26" i="3"/>
  <c r="Q24" i="3"/>
  <c r="L2" i="3"/>
  <c r="L32" i="3"/>
  <c r="L19" i="3"/>
  <c r="H28" i="3"/>
  <c r="H31" i="3"/>
  <c r="H8" i="3"/>
  <c r="L12" i="3"/>
  <c r="H29" i="3"/>
  <c r="Q23" i="3"/>
  <c r="H9" i="3"/>
  <c r="Q31" i="3"/>
  <c r="Q19" i="3"/>
  <c r="H32" i="3"/>
  <c r="L8" i="3"/>
  <c r="Q34" i="3"/>
  <c r="Q9" i="3"/>
  <c r="L5" i="3"/>
  <c r="Q8" i="3"/>
  <c r="Q3" i="3"/>
  <c r="L29" i="3"/>
  <c r="Q32" i="3"/>
  <c r="Q22" i="3"/>
  <c r="Q10" i="3"/>
  <c r="Q12" i="3"/>
  <c r="Q30" i="3"/>
  <c r="Q18" i="3"/>
  <c r="Q28" i="3"/>
  <c r="H34" i="3"/>
  <c r="H30" i="3"/>
  <c r="H12" i="3"/>
  <c r="H19" i="3"/>
  <c r="H22" i="3"/>
  <c r="H18" i="3"/>
  <c r="H10" i="3"/>
  <c r="H23" i="3"/>
  <c r="H3" i="3"/>
  <c r="I3" i="3" s="1"/>
  <c r="H5" i="3"/>
  <c r="H6" i="3"/>
  <c r="H4" i="3"/>
  <c r="I4" i="3" s="1"/>
  <c r="M10" i="3" l="1"/>
  <c r="N10" i="3" s="1"/>
  <c r="R10" i="3" s="1"/>
  <c r="S10" i="3" s="1"/>
  <c r="W10" i="3" s="1"/>
  <c r="X10" i="3" s="1"/>
  <c r="AB10" i="3" s="1"/>
  <c r="I10" i="3"/>
  <c r="I9" i="3"/>
  <c r="M9" i="3" s="1"/>
  <c r="N9" i="3" s="1"/>
  <c r="R9" i="3" s="1"/>
  <c r="S9" i="3" s="1"/>
  <c r="W9" i="3" s="1"/>
  <c r="X9" i="3" s="1"/>
  <c r="AB9" i="3" s="1"/>
  <c r="I27" i="3"/>
  <c r="M27" i="3" s="1"/>
  <c r="N27" i="3" s="1"/>
  <c r="R27" i="3" s="1"/>
  <c r="S27" i="3" s="1"/>
  <c r="W27" i="3" s="1"/>
  <c r="X27" i="3" s="1"/>
  <c r="AB27" i="3" s="1"/>
  <c r="I7" i="3"/>
  <c r="M7" i="3" s="1"/>
  <c r="N7" i="3" s="1"/>
  <c r="R7" i="3" s="1"/>
  <c r="S7" i="3" s="1"/>
  <c r="W7" i="3" s="1"/>
  <c r="X7" i="3" s="1"/>
  <c r="AB7" i="3" s="1"/>
  <c r="M22" i="3"/>
  <c r="N22" i="3" s="1"/>
  <c r="R22" i="3" s="1"/>
  <c r="S22" i="3" s="1"/>
  <c r="W22" i="3" s="1"/>
  <c r="X22" i="3" s="1"/>
  <c r="AB22" i="3" s="1"/>
  <c r="I22" i="3"/>
  <c r="M29" i="3"/>
  <c r="N29" i="3" s="1"/>
  <c r="R29" i="3" s="1"/>
  <c r="S29" i="3" s="1"/>
  <c r="W29" i="3" s="1"/>
  <c r="X29" i="3" s="1"/>
  <c r="AB29" i="3" s="1"/>
  <c r="I29" i="3"/>
  <c r="I15" i="3"/>
  <c r="M15" i="3" s="1"/>
  <c r="N15" i="3" s="1"/>
  <c r="R15" i="3" s="1"/>
  <c r="S15" i="3" s="1"/>
  <c r="W15" i="3" s="1"/>
  <c r="X15" i="3" s="1"/>
  <c r="AB15" i="3" s="1"/>
  <c r="I20" i="3"/>
  <c r="M20" i="3" s="1"/>
  <c r="N20" i="3" s="1"/>
  <c r="R20" i="3" s="1"/>
  <c r="S20" i="3" s="1"/>
  <c r="W20" i="3" s="1"/>
  <c r="X20" i="3" s="1"/>
  <c r="AB20" i="3" s="1"/>
  <c r="M18" i="3"/>
  <c r="N18" i="3" s="1"/>
  <c r="R18" i="3" s="1"/>
  <c r="S18" i="3" s="1"/>
  <c r="W18" i="3" s="1"/>
  <c r="X18" i="3" s="1"/>
  <c r="AB18" i="3" s="1"/>
  <c r="I18" i="3"/>
  <c r="M19" i="3"/>
  <c r="N19" i="3" s="1"/>
  <c r="R19" i="3" s="1"/>
  <c r="S19" i="3" s="1"/>
  <c r="W19" i="3" s="1"/>
  <c r="X19" i="3" s="1"/>
  <c r="AB19" i="3" s="1"/>
  <c r="I19" i="3"/>
  <c r="I33" i="3"/>
  <c r="M33" i="3" s="1"/>
  <c r="N33" i="3" s="1"/>
  <c r="R33" i="3" s="1"/>
  <c r="S33" i="3" s="1"/>
  <c r="W33" i="3" s="1"/>
  <c r="X33" i="3" s="1"/>
  <c r="AB33" i="3" s="1"/>
  <c r="I24" i="3"/>
  <c r="M24" i="3" s="1"/>
  <c r="N24" i="3" s="1"/>
  <c r="R24" i="3" s="1"/>
  <c r="S24" i="3" s="1"/>
  <c r="W24" i="3" s="1"/>
  <c r="X24" i="3" s="1"/>
  <c r="AB24" i="3" s="1"/>
  <c r="M17" i="3"/>
  <c r="N17" i="3" s="1"/>
  <c r="R17" i="3" s="1"/>
  <c r="S17" i="3" s="1"/>
  <c r="W17" i="3" s="1"/>
  <c r="X17" i="3" s="1"/>
  <c r="AB17" i="3" s="1"/>
  <c r="I17" i="3"/>
  <c r="M2" i="3"/>
  <c r="I2" i="3"/>
  <c r="I14" i="3"/>
  <c r="M14" i="3" s="1"/>
  <c r="N14" i="3" s="1"/>
  <c r="R14" i="3" s="1"/>
  <c r="S14" i="3" s="1"/>
  <c r="W14" i="3" s="1"/>
  <c r="X14" i="3" s="1"/>
  <c r="AB14" i="3" s="1"/>
  <c r="I6" i="3"/>
  <c r="M6" i="3" s="1"/>
  <c r="N6" i="3" s="1"/>
  <c r="R6" i="3" s="1"/>
  <c r="S6" i="3" s="1"/>
  <c r="W6" i="3" s="1"/>
  <c r="X6" i="3" s="1"/>
  <c r="AB6" i="3" s="1"/>
  <c r="M12" i="3"/>
  <c r="N12" i="3" s="1"/>
  <c r="R12" i="3" s="1"/>
  <c r="S12" i="3" s="1"/>
  <c r="W12" i="3" s="1"/>
  <c r="X12" i="3" s="1"/>
  <c r="AB12" i="3" s="1"/>
  <c r="I12" i="3"/>
  <c r="M8" i="3"/>
  <c r="N8" i="3" s="1"/>
  <c r="R8" i="3" s="1"/>
  <c r="S8" i="3" s="1"/>
  <c r="W8" i="3" s="1"/>
  <c r="X8" i="3" s="1"/>
  <c r="AB8" i="3" s="1"/>
  <c r="I8" i="3"/>
  <c r="I26" i="3"/>
  <c r="M26" i="3" s="1"/>
  <c r="N26" i="3" s="1"/>
  <c r="R26" i="3" s="1"/>
  <c r="S26" i="3" s="1"/>
  <c r="W26" i="3" s="1"/>
  <c r="X26" i="3" s="1"/>
  <c r="AB26" i="3" s="1"/>
  <c r="I21" i="3"/>
  <c r="M21" i="3" s="1"/>
  <c r="N21" i="3" s="1"/>
  <c r="R21" i="3" s="1"/>
  <c r="S21" i="3" s="1"/>
  <c r="W21" i="3" s="1"/>
  <c r="X21" i="3" s="1"/>
  <c r="AB21" i="3" s="1"/>
  <c r="M5" i="3"/>
  <c r="N5" i="3" s="1"/>
  <c r="R5" i="3" s="1"/>
  <c r="S5" i="3" s="1"/>
  <c r="W5" i="3" s="1"/>
  <c r="X5" i="3" s="1"/>
  <c r="AB5" i="3" s="1"/>
  <c r="I5" i="3"/>
  <c r="M30" i="3"/>
  <c r="N30" i="3" s="1"/>
  <c r="R30" i="3" s="1"/>
  <c r="S30" i="3" s="1"/>
  <c r="W30" i="3" s="1"/>
  <c r="X30" i="3" s="1"/>
  <c r="AB30" i="3" s="1"/>
  <c r="I30" i="3"/>
  <c r="I32" i="3"/>
  <c r="M32" i="3" s="1"/>
  <c r="N32" i="3" s="1"/>
  <c r="R32" i="3" s="1"/>
  <c r="S32" i="3" s="1"/>
  <c r="W32" i="3" s="1"/>
  <c r="X32" i="3" s="1"/>
  <c r="AB32" i="3" s="1"/>
  <c r="I31" i="3"/>
  <c r="M31" i="3" s="1"/>
  <c r="N31" i="3" s="1"/>
  <c r="R31" i="3" s="1"/>
  <c r="S31" i="3" s="1"/>
  <c r="W31" i="3" s="1"/>
  <c r="X31" i="3" s="1"/>
  <c r="AB31" i="3" s="1"/>
  <c r="M11" i="3"/>
  <c r="N11" i="3" s="1"/>
  <c r="R11" i="3" s="1"/>
  <c r="S11" i="3" s="1"/>
  <c r="W11" i="3" s="1"/>
  <c r="X11" i="3" s="1"/>
  <c r="AB11" i="3" s="1"/>
  <c r="I11" i="3"/>
  <c r="M34" i="3"/>
  <c r="N34" i="3" s="1"/>
  <c r="R34" i="3" s="1"/>
  <c r="S34" i="3" s="1"/>
  <c r="W34" i="3" s="1"/>
  <c r="X34" i="3" s="1"/>
  <c r="AB34" i="3" s="1"/>
  <c r="I34" i="3"/>
  <c r="I28" i="3"/>
  <c r="M28" i="3" s="1"/>
  <c r="N28" i="3" s="1"/>
  <c r="R28" i="3" s="1"/>
  <c r="S28" i="3" s="1"/>
  <c r="W28" i="3" s="1"/>
  <c r="X28" i="3" s="1"/>
  <c r="AB28" i="3" s="1"/>
  <c r="I25" i="3"/>
  <c r="M25" i="3" s="1"/>
  <c r="N25" i="3" s="1"/>
  <c r="R25" i="3" s="1"/>
  <c r="S25" i="3" s="1"/>
  <c r="W25" i="3" s="1"/>
  <c r="X25" i="3" s="1"/>
  <c r="AB25" i="3" s="1"/>
  <c r="M13" i="3"/>
  <c r="N13" i="3" s="1"/>
  <c r="R13" i="3" s="1"/>
  <c r="S13" i="3" s="1"/>
  <c r="W13" i="3" s="1"/>
  <c r="X13" i="3" s="1"/>
  <c r="AB13" i="3" s="1"/>
  <c r="I13" i="3"/>
  <c r="M23" i="3"/>
  <c r="N23" i="3" s="1"/>
  <c r="R23" i="3" s="1"/>
  <c r="S23" i="3" s="1"/>
  <c r="W23" i="3" s="1"/>
  <c r="X23" i="3" s="1"/>
  <c r="AB23" i="3" s="1"/>
  <c r="I23" i="3"/>
  <c r="I16" i="3"/>
  <c r="M16" i="3" s="1"/>
  <c r="N16" i="3" s="1"/>
  <c r="R16" i="3" s="1"/>
  <c r="S16" i="3" s="1"/>
  <c r="W16" i="3" s="1"/>
  <c r="X16" i="3" s="1"/>
  <c r="AB16" i="3" s="1"/>
  <c r="M4" i="3"/>
  <c r="N4" i="3" s="1"/>
  <c r="R4" i="3" s="1"/>
  <c r="S4" i="3" s="1"/>
  <c r="W4" i="3" s="1"/>
  <c r="X4" i="3" s="1"/>
  <c r="AB4" i="3" s="1"/>
  <c r="M3" i="3"/>
  <c r="N3" i="3" s="1"/>
  <c r="R3" i="3" s="1"/>
  <c r="S3" i="3" s="1"/>
  <c r="W3" i="3" s="1"/>
  <c r="X3" i="3" s="1"/>
  <c r="AB3" i="3" s="1"/>
  <c r="N2" i="3" l="1"/>
  <c r="R2" i="3" l="1"/>
  <c r="S2" i="3" l="1"/>
  <c r="W2" i="3" s="1"/>
  <c r="X2" i="3" s="1"/>
  <c r="AB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F6C919-78A0-4491-B58A-D8A08C6B2ACB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2" xr16:uid="{D01B749E-31CB-49E8-B029-82D2CE3B7FBD}" keepAlive="1" name="Consulta - Tabla3" description="Conexión a la consulta 'Tabla3' en el libro." type="5" refreshedVersion="0" background="1" saveData="1">
    <dbPr connection="Provider=Microsoft.Mashup.OleDb.1;Data Source=$Workbook$;Location=Tabla3;Extended Properties=&quot;&quot;" command="SELECT * FROM [Tabla3]"/>
  </connection>
  <connection id="3" xr16:uid="{2D4E70FB-DB25-4731-9C78-700B01FD0A55}" keepAlive="1" name="Consulta - Tabla3 (2)" description="Conexión a la consulta 'Tabla3 (2)' en el libro." type="5" refreshedVersion="8" background="1" saveData="1">
    <dbPr connection="Provider=Microsoft.Mashup.OleDb.1;Data Source=$Workbook$;Location=&quot;Tabla3 (2)&quot;;Extended Properties=&quot;&quot;" command="SELECT * FROM [Tabla3 (2)]"/>
  </connection>
</connections>
</file>

<file path=xl/sharedStrings.xml><?xml version="1.0" encoding="utf-8"?>
<sst xmlns="http://schemas.openxmlformats.org/spreadsheetml/2006/main" count="10562" uniqueCount="218">
  <si>
    <t>ID</t>
  </si>
  <si>
    <t>Fecha</t>
  </si>
  <si>
    <t>Empresa</t>
  </si>
  <si>
    <t>Cuenta Bancaria</t>
  </si>
  <si>
    <t>Tipo de Movimiento</t>
  </si>
  <si>
    <t>Monto (S/)</t>
  </si>
  <si>
    <t>Monto con signo</t>
  </si>
  <si>
    <t>Mes/Año</t>
  </si>
  <si>
    <t>Saldo del dia (acumulado)</t>
  </si>
  <si>
    <t>Ingreso</t>
  </si>
  <si>
    <t>Egreso</t>
  </si>
  <si>
    <t>Mes/Año inicio</t>
  </si>
  <si>
    <t>Saldo Inicial</t>
  </si>
  <si>
    <t>Cuenta</t>
  </si>
  <si>
    <t>Empresas</t>
  </si>
  <si>
    <t>Cuentas Bancarias</t>
  </si>
  <si>
    <t>Tipos</t>
  </si>
  <si>
    <t>CFT Group</t>
  </si>
  <si>
    <t>M1B</t>
  </si>
  <si>
    <t>Durand</t>
  </si>
  <si>
    <t>A&amp;M Imports</t>
  </si>
  <si>
    <t>SSP Capital</t>
  </si>
  <si>
    <t>Cross Family Trust</t>
  </si>
  <si>
    <t>Cross Security Trust</t>
  </si>
  <si>
    <t>Electrama</t>
  </si>
  <si>
    <t>Sacred Valley Capital</t>
  </si>
  <si>
    <t>YWC Capital</t>
  </si>
  <si>
    <t>Soweto</t>
  </si>
  <si>
    <t>Green Stone Trust</t>
  </si>
  <si>
    <t>EC Auto</t>
  </si>
  <si>
    <t>Arbor Capital Properties</t>
  </si>
  <si>
    <t>2515 Overbrook</t>
  </si>
  <si>
    <t>112 Florida Ave</t>
  </si>
  <si>
    <t>3628 Thomas Ave</t>
  </si>
  <si>
    <t>Green Harbor Trust</t>
  </si>
  <si>
    <t>Go Blue</t>
  </si>
  <si>
    <t>Bank of America</t>
  </si>
  <si>
    <t xml:space="preserve">Amerant Bank </t>
  </si>
  <si>
    <t>Eg.Gastos Operativos (Proveedor)</t>
  </si>
  <si>
    <t>Eg.Gastos Operativos (Tarjeta credito)</t>
  </si>
  <si>
    <t>Eg.Gastos Personal (Nomina, bono, etc)</t>
  </si>
  <si>
    <t>Eg.Gastos Personal (Seguro Medico)</t>
  </si>
  <si>
    <t>Eg.Gastos Personal (Taxes)</t>
  </si>
  <si>
    <t>Eg.Gastos Personal (Trustee)</t>
  </si>
  <si>
    <t>Eg.Gastos Bancarios</t>
  </si>
  <si>
    <t>Eg.Impuestos</t>
  </si>
  <si>
    <t>Eg.Deuda Terceros (Intereses)</t>
  </si>
  <si>
    <t>Eg.Deuda Terceros (Capital)</t>
  </si>
  <si>
    <t>Eg.Deuda Terceros (Intereses+Capital)</t>
  </si>
  <si>
    <t>Eg.Deuda Relacionadas (Intereses)</t>
  </si>
  <si>
    <t>Eg.Deuda Relacionadas (Capital)</t>
  </si>
  <si>
    <t>Eg.Deuda Relacionadas (Intereses+Capital)</t>
  </si>
  <si>
    <t>Eg.Inversiones Aporte de Capital a Unidades de negocio</t>
  </si>
  <si>
    <t>Eg.Inversiones Aporte de Capital a Empresas relacionadas</t>
  </si>
  <si>
    <t>Eg.Inversiones Capex</t>
  </si>
  <si>
    <t>Eg.Inversiones Marcy Venture</t>
  </si>
  <si>
    <t>Eg.Inversiones Software</t>
  </si>
  <si>
    <t>Eg.Inversiones Compra de Acciones</t>
  </si>
  <si>
    <t>Eg.Inversiones Otros</t>
  </si>
  <si>
    <t>Eg.Dividendos (MC,AC,CST)</t>
  </si>
  <si>
    <t>Eg.Distribucion a socios (CFT,CCT,CST)</t>
  </si>
  <si>
    <t>Eg.Prestamos Concedidos a Unidades de negocio</t>
  </si>
  <si>
    <t>Eg.Prestamos Concedidos a Empresas relacionadas</t>
  </si>
  <si>
    <t>Eg.Prestamos Concedidos a Socios</t>
  </si>
  <si>
    <t>Eg.Transferencias entre cuentas  (Misma entidad legal)</t>
  </si>
  <si>
    <t>Eg.Otros egresos operativos</t>
  </si>
  <si>
    <t>Ing.Dividendos Recibidos de Unidades de Negocio</t>
  </si>
  <si>
    <t>Ing.Dividendos Recibidos de Empresas Relacionadas</t>
  </si>
  <si>
    <t>Ing.Intereses Recibidos de Unidad de Negocio</t>
  </si>
  <si>
    <t>Ing.Intereses Recibidos de Empresas Relacionadas</t>
  </si>
  <si>
    <t>Ing.Capital Recibido de Unidad de Negocio</t>
  </si>
  <si>
    <t>Ing.Capital Recibido de Empresas Relacionadas</t>
  </si>
  <si>
    <t>Ing.Interes+Capital Recibido de Unidad de Negocio</t>
  </si>
  <si>
    <t>Ing.Interes+Capital Recibido de Empresas Relacionadas</t>
  </si>
  <si>
    <t>Ing.Deuda Recibida de Unidades de negocio</t>
  </si>
  <si>
    <t>Ing.Deuda Recibida de Empresas relacionadas</t>
  </si>
  <si>
    <t>Ing.Deuda Recibida de Terceros</t>
  </si>
  <si>
    <t>Ing.Recibe Aporte de Capital de Empresas relacionadas</t>
  </si>
  <si>
    <t>Ing.Recibe Aporte de Capital de Unidades de negocio</t>
  </si>
  <si>
    <t>Ing.Distribucion a socios</t>
  </si>
  <si>
    <t>Ing.Exportacion de oro de Unidad de Negocio</t>
  </si>
  <si>
    <t>Ing.Cobro de Renta (Real State)</t>
  </si>
  <si>
    <t>Ing.Devolucion Gastos Operativos (Proveedor)</t>
  </si>
  <si>
    <t>Ing.Devolucion de Aporte de Capital</t>
  </si>
  <si>
    <t>Ing.Interes bancario</t>
  </si>
  <si>
    <t>Ing.Transferencias entre cuentas  (Misma entidad legal)</t>
  </si>
  <si>
    <t>Ing.Otros Ingresos Inversion</t>
  </si>
  <si>
    <t>Ing.Otros Ingresos Operativos</t>
  </si>
  <si>
    <t>Operativo</t>
  </si>
  <si>
    <t>Financiamiento</t>
  </si>
  <si>
    <t>Inversion</t>
  </si>
  <si>
    <t>Concepto</t>
  </si>
  <si>
    <t>Categoria</t>
  </si>
  <si>
    <t>2026-05</t>
  </si>
  <si>
    <t>Bank of America - CFT Group - 4415-USD</t>
  </si>
  <si>
    <t>Amerant Bank  - CFT Group - 1906-USD</t>
  </si>
  <si>
    <t>Northern Trust - CFT Group - 1355-USD</t>
  </si>
  <si>
    <t>Amerant Bank  - M1B - 0906-USD</t>
  </si>
  <si>
    <t>Amerant Bank DACA - M1B - 8231-USD</t>
  </si>
  <si>
    <t>Amerant Bank  - Durand - 0106-USD</t>
  </si>
  <si>
    <t>Bank of America - A&amp;M Imports - 3797-USD</t>
  </si>
  <si>
    <t>Bank of America - SSP Capital - 2580-USD</t>
  </si>
  <si>
    <t>Bank of America - SSP Capital - 1655-USD</t>
  </si>
  <si>
    <t>EFG  - SSP Capital - 21.0-USD</t>
  </si>
  <si>
    <t>Amerant Bank  - SSP Capital - 4706-USD</t>
  </si>
  <si>
    <t>Northern Trust - SSP Capital - 1452-USD</t>
  </si>
  <si>
    <t>Amerant Bank Money Market - SSP Capital - 1006-USD</t>
  </si>
  <si>
    <t>Amerant Bank DACA - SSP Capital - 9873-USD</t>
  </si>
  <si>
    <t>Ocean Bank - Cross Family Trust - 3405-USD</t>
  </si>
  <si>
    <t>Northern Trust - Cross Family Trust - 9263-USD</t>
  </si>
  <si>
    <t>Bank of America - Cross Family Trust - 3124-USD</t>
  </si>
  <si>
    <t>Amerant Bank  - Cross Family Trust - 4706-USD</t>
  </si>
  <si>
    <t>Bank of America - Cross Security Trust - 6642-USD</t>
  </si>
  <si>
    <t>Chase Bank - Electrama - 6520-USD</t>
  </si>
  <si>
    <t>Bank of America - Sacred Valley Capital - 4376-USD</t>
  </si>
  <si>
    <t>Bank of America - YWC Capital - 0282-USD</t>
  </si>
  <si>
    <t>Citibank - Soweto - 6910-USD</t>
  </si>
  <si>
    <t>Bank of America - Green Stone Trust - 3632-USD</t>
  </si>
  <si>
    <t>Bank Morgan Stanley - EC Auto - 9286-USD</t>
  </si>
  <si>
    <t>Amerant Bank  - EC Auto - 4606-USD</t>
  </si>
  <si>
    <t>Bank of America - Arbor Capital Properties - 3262-USD</t>
  </si>
  <si>
    <t>Bank of America - 2515 Overbrook - 4648-USD</t>
  </si>
  <si>
    <t>Bank of America - 2515 Overbrook - 9923-USD</t>
  </si>
  <si>
    <t>Bank of America - 112 Florida Ave - 3259-USD</t>
  </si>
  <si>
    <t>Bank of America - 3628 Thomas Ave - 4406-USD</t>
  </si>
  <si>
    <t>Amerant Bank  - Green Harbor Trust - 7253-USD</t>
  </si>
  <si>
    <t>Amerant Bank  - Go Blue - 8206-USD</t>
  </si>
  <si>
    <t>Banco</t>
  </si>
  <si>
    <t>2026-06</t>
  </si>
  <si>
    <t>2026-07</t>
  </si>
  <si>
    <t>Saldo inicial</t>
  </si>
  <si>
    <t>Valor</t>
  </si>
  <si>
    <t>2026-08</t>
  </si>
  <si>
    <t>2026-09</t>
  </si>
  <si>
    <t>2026-10</t>
  </si>
  <si>
    <t>Saldo Final 05/25</t>
  </si>
  <si>
    <t>Saldo Inicial 05/25</t>
  </si>
  <si>
    <t>Ingresos 05/25</t>
  </si>
  <si>
    <t>Egresos 05/25</t>
  </si>
  <si>
    <t>Saldo Inicial 06/25</t>
  </si>
  <si>
    <t>Ingresos 06/25</t>
  </si>
  <si>
    <t>Egresos 06/25</t>
  </si>
  <si>
    <t>Variacion 05/25</t>
  </si>
  <si>
    <t>Variacion 06/25</t>
  </si>
  <si>
    <t>Día</t>
  </si>
  <si>
    <t>TOTAL CONSOLIDADO</t>
  </si>
  <si>
    <t>Northern Trust</t>
  </si>
  <si>
    <t>Ocean Bank</t>
  </si>
  <si>
    <t>Chase Bank</t>
  </si>
  <si>
    <t>Citibank</t>
  </si>
  <si>
    <t>Bank Morgan Stanley</t>
  </si>
  <si>
    <t>Ext/Int</t>
  </si>
  <si>
    <t>Externo</t>
  </si>
  <si>
    <t>Interno</t>
  </si>
  <si>
    <t>Categoria / Concepto</t>
  </si>
  <si>
    <t>Descripcion</t>
  </si>
  <si>
    <t>Variación</t>
  </si>
  <si>
    <t>N° Cuentas</t>
  </si>
  <si>
    <t>Saldo Actual (USD)</t>
  </si>
  <si>
    <t>Saldo Inicial (USD)</t>
  </si>
  <si>
    <t>Amerant Bank</t>
  </si>
  <si>
    <t>EFG</t>
  </si>
  <si>
    <t>Movimientos (USD)</t>
  </si>
  <si>
    <t xml:space="preserve">Atributo </t>
  </si>
  <si>
    <t>Saldo Final 06/26</t>
  </si>
  <si>
    <t>Amerant Bank  - Go Blue - 1557-USD</t>
  </si>
  <si>
    <t>2026-11</t>
  </si>
  <si>
    <t>2026-12</t>
  </si>
  <si>
    <t>Saldo Inicial 07/26</t>
  </si>
  <si>
    <t>Ingresos 07/26</t>
  </si>
  <si>
    <t>Egresos 07/26</t>
  </si>
  <si>
    <t>Variacion 07/26</t>
  </si>
  <si>
    <t>Saldo Final 07/26</t>
  </si>
  <si>
    <t>Saldo Inicial 08/26</t>
  </si>
  <si>
    <t>Ingresos 08/26</t>
  </si>
  <si>
    <t>Egresos 08/26</t>
  </si>
  <si>
    <t>Variacion 08/26</t>
  </si>
  <si>
    <t>Saldo Final 08/26</t>
  </si>
  <si>
    <t>Saldo Inicial 09/26</t>
  </si>
  <si>
    <t>Ingresos 09/26</t>
  </si>
  <si>
    <t>Egresos 09/26</t>
  </si>
  <si>
    <t>Variacion 09/26</t>
  </si>
  <si>
    <t>Saldo Final 09/26</t>
  </si>
  <si>
    <t>Amerant Bank  - Carmen Cross Irrevocable Trust - 3406-USD</t>
  </si>
  <si>
    <t>Amerant Bank  - CFT 1 residence LLC - 6607-USD</t>
  </si>
  <si>
    <t>Amerant Bank  - SIYP LLC - 7820-USD</t>
  </si>
  <si>
    <t>Amerant Bank  - Prendamas SRL - 8160-USD</t>
  </si>
  <si>
    <t>Amerant Bank  - Pacha Ventures LLC - 0206-USD</t>
  </si>
  <si>
    <t>Amerant Bank  - CFT 1 residence LLC - 0573-USD</t>
  </si>
  <si>
    <t>Amerant Bank  - 360 Harbor Lane LLC - 9306-USD</t>
  </si>
  <si>
    <t>Bank of America - Five Capital  - 3094-USD</t>
  </si>
  <si>
    <t>Bank of America - Nobe Aparments - 2113-USD</t>
  </si>
  <si>
    <t>Bank of America - Nobe Aparments - 8047-USD</t>
  </si>
  <si>
    <t>Pacha Ventures LLC</t>
  </si>
  <si>
    <t>Carmen Cross Irrevocable Trust</t>
  </si>
  <si>
    <t>SIYP LLC</t>
  </si>
  <si>
    <t>Prendamas SRL</t>
  </si>
  <si>
    <t>360 Harbor Lane LLC</t>
  </si>
  <si>
    <t xml:space="preserve">Five Capital </t>
  </si>
  <si>
    <t>Nobe Aparments</t>
  </si>
  <si>
    <t>Amerant Bank  - EC AUTO LLC (no existe) - 0509-USD</t>
  </si>
  <si>
    <t>EC AUTO LLC (no existe)</t>
  </si>
  <si>
    <t>Amerant Bank DACA</t>
  </si>
  <si>
    <t xml:space="preserve">EFG </t>
  </si>
  <si>
    <t>Amerant Bank Money Market</t>
  </si>
  <si>
    <t>Subsidiaria</t>
  </si>
  <si>
    <t>Cuenta bancaria</t>
  </si>
  <si>
    <t>SSP Group</t>
  </si>
  <si>
    <t>Michael Cross</t>
  </si>
  <si>
    <t>Unidades de Negocio</t>
  </si>
  <si>
    <t>Trust</t>
  </si>
  <si>
    <t>Grupo</t>
  </si>
  <si>
    <t>Five Capital</t>
  </si>
  <si>
    <t>Bank of America - SIYP LLC - 2179-USD</t>
  </si>
  <si>
    <t>CFT1 Residence</t>
  </si>
  <si>
    <t>Estate</t>
  </si>
  <si>
    <t>Don Cross Life</t>
  </si>
  <si>
    <t>Bank of America - Don Cross Life Trust - 9372-USD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</si>
</sst>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S/&quot;#,##0.00;&quot;(S/&quot;#,##0.00\);\-"/>
    <numFmt numFmtId="165" formatCode="[$S/-280A]\ #,##0.00;[Red]\-[$S/-280A]\ #,##0.00"/>
    <numFmt numFmtId="166" formatCode="&quot;$&quot;#,##0.00;\(&quot;$&quot;#,##0.00\);&quot;-&quot;"/>
    <numFmt numFmtId="167" formatCode="&quot;$&quot;\ #,##0.00"/>
  </numFmts>
  <fonts count="2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8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FFD700"/>
      <name val="Calibri"/>
      <family val="2"/>
      <charset val="1"/>
    </font>
    <font>
      <sz val="10"/>
      <color rgb="FF00206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00800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rgb="FFFF0000"/>
      <name val="Calibri"/>
      <family val="2"/>
    </font>
    <font>
      <sz val="10"/>
      <color rgb="FF0000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CCFFFF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9DC3E6"/>
      </left>
      <right/>
      <top style="thin">
        <color rgb="FF9DC3E6"/>
      </top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/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 style="thin">
        <color rgb="FFBDD7EE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84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3" borderId="1" xfId="0" applyNumberFormat="1" applyFont="1" applyFill="1" applyBorder="1"/>
    <xf numFmtId="0" fontId="2" fillId="0" borderId="1" xfId="0" applyFont="1" applyBorder="1" applyAlignment="1">
      <alignment horizontal="left" vertical="center"/>
    </xf>
    <xf numFmtId="164" fontId="2" fillId="5" borderId="1" xfId="0" applyNumberFormat="1" applyFont="1" applyFill="1" applyBorder="1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165" fontId="4" fillId="0" borderId="1" xfId="0" applyNumberFormat="1" applyFont="1" applyBorder="1"/>
    <xf numFmtId="164" fontId="9" fillId="8" borderId="1" xfId="0" applyNumberFormat="1" applyFont="1" applyFill="1" applyBorder="1"/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/>
    <xf numFmtId="166" fontId="6" fillId="0" borderId="0" xfId="0" applyNumberFormat="1" applyFont="1"/>
    <xf numFmtId="0" fontId="10" fillId="0" borderId="0" xfId="0" applyFont="1"/>
    <xf numFmtId="4" fontId="1" fillId="2" borderId="0" xfId="0" applyNumberFormat="1" applyFont="1" applyFill="1" applyAlignment="1">
      <alignment horizontal="center" vertical="center"/>
    </xf>
    <xf numFmtId="4" fontId="4" fillId="0" borderId="0" xfId="0" applyNumberFormat="1" applyFont="1"/>
    <xf numFmtId="0" fontId="11" fillId="7" borderId="6" xfId="0" applyFont="1" applyFill="1" applyBorder="1" applyAlignment="1">
      <alignment horizontal="center"/>
    </xf>
    <xf numFmtId="0" fontId="11" fillId="7" borderId="7" xfId="0" applyFont="1" applyFill="1" applyBorder="1" applyAlignment="1">
      <alignment horizontal="center"/>
    </xf>
    <xf numFmtId="0" fontId="12" fillId="0" borderId="8" xfId="0" applyFont="1" applyBorder="1"/>
    <xf numFmtId="0" fontId="12" fillId="0" borderId="10" xfId="0" applyFont="1" applyBorder="1"/>
    <xf numFmtId="0" fontId="13" fillId="0" borderId="10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67" fontId="14" fillId="0" borderId="10" xfId="0" applyNumberFormat="1" applyFont="1" applyBorder="1"/>
    <xf numFmtId="167" fontId="14" fillId="0" borderId="8" xfId="0" applyNumberFormat="1" applyFont="1" applyBorder="1"/>
    <xf numFmtId="4" fontId="15" fillId="0" borderId="9" xfId="0" applyNumberFormat="1" applyFont="1" applyBorder="1"/>
    <xf numFmtId="14" fontId="3" fillId="9" borderId="1" xfId="0" applyNumberFormat="1" applyFont="1" applyFill="1" applyBorder="1"/>
    <xf numFmtId="14" fontId="3" fillId="9" borderId="0" xfId="0" applyNumberFormat="1" applyFont="1" applyFill="1"/>
    <xf numFmtId="0" fontId="3" fillId="9" borderId="1" xfId="0" applyFont="1" applyFill="1" applyBorder="1"/>
    <xf numFmtId="0" fontId="3" fillId="9" borderId="0" xfId="0" applyFont="1" applyFill="1"/>
    <xf numFmtId="164" fontId="3" fillId="9" borderId="1" xfId="0" applyNumberFormat="1" applyFont="1" applyFill="1" applyBorder="1"/>
    <xf numFmtId="164" fontId="3" fillId="9" borderId="0" xfId="0" applyNumberFormat="1" applyFont="1" applyFill="1"/>
    <xf numFmtId="164" fontId="0" fillId="0" borderId="1" xfId="0" applyNumberFormat="1" applyBorder="1"/>
    <xf numFmtId="0" fontId="2" fillId="0" borderId="14" xfId="0" applyFont="1" applyBorder="1"/>
    <xf numFmtId="0" fontId="3" fillId="0" borderId="14" xfId="0" applyFont="1" applyBorder="1"/>
    <xf numFmtId="164" fontId="2" fillId="0" borderId="14" xfId="0" applyNumberFormat="1" applyFont="1" applyBorder="1"/>
    <xf numFmtId="164" fontId="2" fillId="8" borderId="1" xfId="0" applyNumberFormat="1" applyFont="1" applyFill="1" applyBorder="1"/>
    <xf numFmtId="14" fontId="3" fillId="11" borderId="0" xfId="0" applyNumberFormat="1" applyFont="1" applyFill="1"/>
    <xf numFmtId="0" fontId="3" fillId="11" borderId="1" xfId="0" applyFont="1" applyFill="1" applyBorder="1"/>
    <xf numFmtId="0" fontId="3" fillId="11" borderId="0" xfId="0" applyFont="1" applyFill="1"/>
    <xf numFmtId="0" fontId="3" fillId="11" borderId="14" xfId="0" applyFont="1" applyFill="1" applyBorder="1"/>
    <xf numFmtId="164" fontId="3" fillId="11" borderId="0" xfId="0" applyNumberFormat="1" applyFont="1" applyFill="1"/>
    <xf numFmtId="0" fontId="2" fillId="11" borderId="0" xfId="0" applyFont="1" applyFill="1" applyAlignment="1">
      <alignment horizontal="center" vertical="center"/>
    </xf>
    <xf numFmtId="164" fontId="0" fillId="0" borderId="14" xfId="0" applyNumberFormat="1" applyBorder="1"/>
    <xf numFmtId="0" fontId="0" fillId="0" borderId="0" xfId="0" applyAlignment="1">
      <alignment vertical="center"/>
    </xf>
    <xf numFmtId="0" fontId="16" fillId="10" borderId="11" xfId="0" applyFont="1" applyFill="1" applyBorder="1" applyAlignment="1">
      <alignment vertical="center"/>
    </xf>
    <xf numFmtId="0" fontId="16" fillId="10" borderId="12" xfId="0" applyFont="1" applyFill="1" applyBorder="1" applyAlignment="1">
      <alignment vertical="center"/>
    </xf>
    <xf numFmtId="14" fontId="16" fillId="10" borderId="12" xfId="0" applyNumberFormat="1" applyFont="1" applyFill="1" applyBorder="1" applyAlignment="1">
      <alignment vertical="center"/>
    </xf>
    <xf numFmtId="0" fontId="16" fillId="10" borderId="13" xfId="0" applyFont="1" applyFill="1" applyBorder="1" applyAlignment="1">
      <alignment vertical="center"/>
    </xf>
    <xf numFmtId="43" fontId="4" fillId="0" borderId="0" xfId="1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43" fontId="1" fillId="2" borderId="1" xfId="1" applyFont="1" applyFill="1" applyBorder="1" applyAlignment="1">
      <alignment horizontal="right" vertical="center"/>
    </xf>
    <xf numFmtId="43" fontId="4" fillId="0" borderId="0" xfId="1" applyFont="1" applyBorder="1" applyAlignment="1">
      <alignment horizontal="right"/>
    </xf>
    <xf numFmtId="0" fontId="18" fillId="6" borderId="0" xfId="0" applyFont="1" applyFill="1"/>
    <xf numFmtId="0" fontId="19" fillId="12" borderId="0" xfId="0" applyFont="1" applyFill="1"/>
    <xf numFmtId="0" fontId="20" fillId="0" borderId="0" xfId="0" applyFont="1" applyAlignment="1">
      <alignment indent="1"/>
    </xf>
    <xf numFmtId="0" fontId="21" fillId="0" borderId="1" xfId="0" applyFont="1" applyBorder="1"/>
    <xf numFmtId="0" fontId="21" fillId="0" borderId="14" xfId="0" applyFont="1" applyBorder="1"/>
    <xf numFmtId="14" fontId="3" fillId="8" borderId="0" xfId="0" applyNumberFormat="1" applyFont="1" applyFill="1"/>
    <xf numFmtId="0" fontId="3" fillId="8" borderId="14" xfId="0" applyFont="1" applyFill="1" applyBorder="1"/>
    <xf numFmtId="0" fontId="3" fillId="8" borderId="0" xfId="0" applyFont="1" applyFill="1"/>
    <xf numFmtId="164" fontId="3" fillId="8" borderId="0" xfId="0" applyNumberFormat="1" applyFont="1" applyFill="1"/>
    <xf numFmtId="0" fontId="2" fillId="8" borderId="0" xfId="0" applyFont="1" applyFill="1" applyAlignment="1">
      <alignment horizontal="center" vertical="center"/>
    </xf>
    <xf numFmtId="0" fontId="0" fillId="8" borderId="0" xfId="0" applyFill="1"/>
    <xf numFmtId="0" fontId="2" fillId="8" borderId="1" xfId="0" applyFont="1" applyFill="1" applyBorder="1"/>
    <xf numFmtId="0" fontId="3" fillId="8" borderId="1" xfId="0" applyFont="1" applyFill="1" applyBorder="1"/>
    <xf numFmtId="0" fontId="22" fillId="0" borderId="0" xfId="0" applyFont="1"/>
    <xf numFmtId="0" fontId="23" fillId="12" borderId="0" xfId="0" applyFont="1" applyFill="1"/>
    <xf numFmtId="0" fontId="24" fillId="0" borderId="14" xfId="0" applyFont="1" applyBorder="1"/>
    <xf numFmtId="0" fontId="20" fillId="13" borderId="0" xfId="0" applyFont="1" applyFill="1" applyAlignment="1">
      <alignment indent="1"/>
    </xf>
    <xf numFmtId="0" fontId="0" fillId="0" borderId="0" xfId="1" applyNumberFormat="1" applyFont="1"/>
    <xf numFmtId="0" fontId="0" fillId="0" borderId="0" xfId="0" applyNumberFormat="1"/>
  </cellXfs>
  <cellStyles count="2">
    <cellStyle name="Millares" xfId="1" builtinId="3"/>
    <cellStyle name="Normal" xfId="0" builtinId="0"/>
  </cellStyles>
  <dxfs count="50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ont>
        <color rgb="FF7B0000"/>
      </font>
      <fill>
        <patternFill patternType="solid">
          <fgColor indexed="64"/>
          <bgColor rgb="FFFF6666"/>
        </patternFill>
      </fill>
    </dxf>
    <dxf>
      <font>
        <b/>
        <i val="0"/>
        <color rgb="FFCC0000"/>
      </font>
      <fill>
        <patternFill patternType="solid">
          <fgColor indexed="64"/>
          <bgColor rgb="FFFFCCC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none">
          <fgColor indexed="64"/>
          <bgColor auto="1"/>
        </patternFill>
      </fill>
    </dxf>
    <dxf>
      <numFmt numFmtId="166" formatCode="&quot;$&quot;#,##0.00;\(&quot;$&quot;#,##0.00\);&quot;-&quot;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z val="10"/>
        <name val="Arial"/>
      </font>
    </dxf>
    <dxf>
      <font>
        <sz val="10"/>
        <name val="Arial"/>
      </font>
    </dxf>
    <dxf>
      <numFmt numFmtId="4" formatCode="#,##0.00"/>
    </dxf>
    <dxf>
      <numFmt numFmtId="35" formatCode="_-* #,##0.00_-;\-* #,##0.00_-;_-* &quot;-&quot;??_-;_-@_-"/>
      <alignment horizontal="right" vertical="bottom" textRotation="0" wrapText="0" indent="0" justifyLastLine="0" shrinkToFit="0" readingOrder="0"/>
    </dxf>
    <dxf>
      <numFmt numFmtId="35" formatCode="_-* #,##0.00_-;\-* #,##0.00_-;_-* &quot;-&quot;??_-;_-@_-"/>
      <alignment horizontal="right" vertical="bottom" textRotation="0" wrapText="0" indent="0" justifyLastLine="0" shrinkToFit="0" readingOrder="0"/>
    </dxf>
    <dxf>
      <fill>
        <patternFill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numFmt numFmtId="0" formatCode="General"/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alignment vertical="center" textRotation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1188DEB6-8ECC-41E6-9BD2-4E58994B787A}" autoFormatId="16" applyNumberFormats="0" applyBorderFormats="0" applyFontFormats="0" applyPatternFormats="0" applyAlignmentFormats="0" applyWidthHeightFormats="0">
  <queryTableRefresh nextId="5">
    <queryTableFields count="4">
      <queryTableField id="1" name="Atributo" tableColumnId="1"/>
      <queryTableField id="4" dataBound="0" tableColumnId="4"/>
      <queryTableField id="2" name="Fecha" tableColumnId="2"/>
      <queryTableField id="3" name="Valor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ovimientos" displayName="tblMovimientos" ref="A1:R1324" totalsRowShown="0" headerRowDxfId="47">
  <autoFilter ref="A1:R1324" xr:uid="{00000000-0009-0000-0100-000001000000}"/>
  <tableColumns count="18">
    <tableColumn id="1" xr3:uid="{00000000-0010-0000-0000-000001000000}" name="ID"/>
    <tableColumn id="2" xr3:uid="{00000000-0010-0000-0000-000002000000}" name="Fecha" dataDxfId="46"/>
    <tableColumn id="3" xr3:uid="{00000000-0010-0000-0000-000003000000}" name="Empresa"/>
    <tableColumn id="4" xr3:uid="{00000000-0010-0000-0000-000004000000}" name="Cuenta Bancaria" dataDxfId="45"/>
    <tableColumn id="12" xr3:uid="{4E4C6484-6819-4411-A0F3-4017EFF8C28C}" name="Banco" dataDxfId="44">
      <calculatedColumnFormula>_xlfn.XLOOKUP(tblMovimientos[[#This Row],[Cuenta Bancaria]],Listas!$B:$B,Listas!$C:$C,"")</calculatedColumnFormula>
    </tableColumn>
    <tableColumn id="5" xr3:uid="{00000000-0010-0000-0000-000005000000}" name="Tipo de Movimiento" dataDxfId="43"/>
    <tableColumn id="6" xr3:uid="{00000000-0010-0000-0000-000006000000}" name="Categoria / Concepto" dataDxfId="42"/>
    <tableColumn id="7" xr3:uid="{00000000-0010-0000-0000-000007000000}" name="Descripcion" dataDxfId="41">
      <calculatedColumnFormula>IFERROR(_xlfn.XLOOKUP(G2,Listas!E:E,Listas!F:F,""),"")</calculatedColumnFormula>
    </tableColumn>
    <tableColumn id="13" xr3:uid="{44ABE6CE-2513-45FC-BD14-32E930AFDBBD}" name="Ext/Int" dataDxfId="40"/>
    <tableColumn id="8" xr3:uid="{00000000-0010-0000-0000-000008000000}" name="Monto (S/)" dataDxfId="39"/>
    <tableColumn id="9" xr3:uid="{00000000-0010-0000-0000-000009000000}" name="Monto con signo"/>
    <tableColumn id="10" xr3:uid="{00000000-0010-0000-0000-00000A000000}" name="Mes/Año"/>
    <tableColumn id="11" xr3:uid="{00000000-0010-0000-0000-00000B000000}" name="Saldo del dia (acumulado)"/>
    <tableColumn id="14" xr3:uid="{D6B924A6-151C-4732-8854-0B9052EE3DF3}" name="Ingreso" dataDxfId="38">
      <calculatedColumnFormula>IF(tblMovimientos[[#This Row],[Tipo de Movimiento]]="Ingreso",tblMovimientos[[#This Row],[Monto (S/)]],"0")</calculatedColumnFormula>
    </tableColumn>
    <tableColumn id="15" xr3:uid="{925961E2-8EE5-4518-8B26-CADC36CA5299}" name="Egreso" dataDxfId="37">
      <calculatedColumnFormula>IF(tblMovimientos[[#This Row],[Tipo de Movimiento]]="Egreso",tblMovimientos[[#This Row],[Monto (S/)]],"0")</calculatedColumnFormula>
    </tableColumn>
    <tableColumn id="16" xr3:uid="{13E7E2A0-8C32-4C4E-9A86-FBA5B9ECD6C2}" name="Variación" dataDxfId="36">
      <calculatedColumnFormula>IF(tblMovimientos[[#This Row],[Tipo de Movimiento]]="Ingreso",tblMovimientos[[#This Row],[Ingreso]],-tblMovimientos[[#This Row],[Egreso]])</calculatedColumnFormula>
    </tableColumn>
    <tableColumn id="17" xr3:uid="{191A9902-D266-4509-852B-0D4826A1F79A}" name="Grupo" dataDxfId="35">
      <calculatedColumnFormula>_xlfn.XLOOKUP(tblMovimientos[[#This Row],[Cuenta Bancaria]],Cuentas!$C:$C,Cuentas!$A:$A,"")&amp;""</calculatedColumnFormula>
    </tableColumn>
    <tableColumn id="18" xr3:uid="{DEE4E516-9E32-4D1A-96CF-0A156E4B5BF9}" name="Subsidiaria" dataDxfId="34">
      <calculatedColumnFormula>_xlfn.XLOOKUP(tblMovimientos[[#This Row],[Cuenta Bancaria]],Cuentas!$C:$C,Cuentas!$B:$B,"",0,-1)&amp;""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15436C-AC07-4BC7-AF63-CF4210A06BB4}" name="Tabla3" displayName="Tabla3" ref="A1:AE498" totalsRowShown="0" headerRowDxfId="33" dataDxfId="31" headerRowBorderDxfId="32" tableBorderDxfId="30">
  <autoFilter ref="A1:AE498" xr:uid="{F415436C-AC07-4BC7-AF63-CF4210A06BB4}"/>
  <tableColumns count="31">
    <tableColumn id="1" xr3:uid="{63FFD75C-E666-43DD-8029-F430E7835BEE}" name="Día" dataDxfId="29"/>
    <tableColumn id="2" xr3:uid="{3C0A637E-5BCF-4DAA-A47B-1062D26CE0FC}" name="Fecha" dataDxfId="28"/>
    <tableColumn id="3" xr3:uid="{AA52C2CE-0BC6-4D55-8E20-0938296D1C23}" name="CFT Group" dataDxfId="27"/>
    <tableColumn id="4" xr3:uid="{EE7D0652-E6C8-4122-A765-D1B09096A21E}" name="M1B" dataDxfId="26"/>
    <tableColumn id="5" xr3:uid="{B4646433-2F6C-4447-A177-6AD7A4B88B6F}" name="Durand" dataDxfId="25"/>
    <tableColumn id="6" xr3:uid="{DCA1C6D9-C3E1-43F4-A721-4008460687C7}" name="A&amp;M Imports" dataDxfId="24"/>
    <tableColumn id="7" xr3:uid="{D4A7DE77-6043-4E65-8D3F-445DF17D93F1}" name="SSP Capital" dataDxfId="23"/>
    <tableColumn id="8" xr3:uid="{64A897BF-46B4-411E-BA9D-FE799CF2FEFB}" name="Cross Family Trust" dataDxfId="22"/>
    <tableColumn id="9" xr3:uid="{22730D08-F998-46A3-A6B6-4BF23E38D8F9}" name="Cross Security Trust" dataDxfId="21"/>
    <tableColumn id="10" xr3:uid="{BB5B9930-003E-4DC5-8E5D-067C1CF1A456}" name="Electrama" dataDxfId="20"/>
    <tableColumn id="11" xr3:uid="{72B1FF5A-A2B1-4F18-A8C8-32EEB09E3A17}" name="Sacred Valley Capital" dataDxfId="19"/>
    <tableColumn id="12" xr3:uid="{8285724C-9042-463F-8339-13C60DCBF2F4}" name="YWC Capital" dataDxfId="18"/>
    <tableColumn id="13" xr3:uid="{A6BA6873-5C5A-44C1-A199-00F91718164E}" name="Soweto" dataDxfId="17"/>
    <tableColumn id="14" xr3:uid="{50FB5920-A571-4DC5-9E26-0EF4F33A880F}" name="Green Stone Trust" dataDxfId="16"/>
    <tableColumn id="15" xr3:uid="{F3DE628D-3663-4B8C-88C3-8ED6C47CDAD0}" name="EC Auto" dataDxfId="15"/>
    <tableColumn id="16" xr3:uid="{63079263-2DC8-47D4-869E-EF7FF8CC83E2}" name="Arbor Capital Properties" dataDxfId="14"/>
    <tableColumn id="17" xr3:uid="{F0CCDB07-528A-4A91-A40E-B313EA61AC5A}" name="2515 Overbrook" dataDxfId="13"/>
    <tableColumn id="18" xr3:uid="{A92B8B5E-42D0-409B-819B-93575E6B5338}" name="112 Florida Ave" dataDxfId="12"/>
    <tableColumn id="19" xr3:uid="{E8590E2C-955F-4887-9F19-BD4E50391F39}" name="3628 Thomas Ave" dataDxfId="11"/>
    <tableColumn id="20" xr3:uid="{C99311AE-E772-4C28-A5BF-F01473FDC99C}" name="Green Harbor Trust" dataDxfId="10"/>
    <tableColumn id="21" xr3:uid="{531291F0-F871-4ED7-85FB-D95349130FEE}" name="Go Blue" dataDxfId="9"/>
    <tableColumn id="23" xr3:uid="{9482A23A-DDD8-4BCD-9CDB-3CDC5879257B}" name="Pacha Ventures LLC"/>
    <tableColumn id="24" xr3:uid="{15C4188D-98FF-44F4-991B-1AF8CC1D5622}" name="CFT1 Residence"/>
    <tableColumn id="25" xr3:uid="{3F299F41-AE0C-4D11-B191-3C39C6C4B812}" name="Carmen Cross Irrevocable Trust"/>
    <tableColumn id="26" xr3:uid="{01D5CC48-42AF-4B2B-BAC4-605C8DF33887}" name="SIYP LLC"/>
    <tableColumn id="27" xr3:uid="{959AAA22-994F-41E7-A741-DEC22812C824}" name="Prendamas SRL"/>
    <tableColumn id="28" xr3:uid="{DAFDCE10-8201-480E-9D5E-519B6033D0A1}" name="360 Harbor Lane LLC"/>
    <tableColumn id="29" xr3:uid="{F827C526-FC77-4BA6-A9F6-E39031D09618}" name="Five Capital"/>
    <tableColumn id="30" xr3:uid="{78A0A09F-D488-4073-B98C-DAC29FBDAE3E}" name="Nobe Aparments">
      <calculatedColumnFormula>IF(YEAR($B2)*100+MONTH($B2)&lt;--SUBSTITUTE(_xlfn.XLOOKUP("Nobe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Aparments",Movimientos!$B$1:$B$1324,"&lt;="&amp;$B2))</calculatedColumnFormula>
    </tableColumn>
    <tableColumn id="31" xr3:uid="{B7FCEAC8-A443-40BE-865E-326615D350BA}" name="Don Cross Life" dataDxfId="8">
      <calculatedColumnFormula>IF(YEAR($B2)*100+MONTH($B2)&lt;--SUBSTITUTE(_xlfn.XLOOKUP("Don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Life",Movimientos!$B$1:$B$1324,"&lt;="&amp;$B2))</calculatedColumnFormula>
    </tableColumn>
    <tableColumn id="22" xr3:uid="{9970DF30-CB1E-4EE7-A51A-8EEDF7EFDE4C}" name="TOTAL CONSOLIDADO" dataDxfId="7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C5E576C-56D5-4661-AEE8-C56EAF46506C}" name="Tabla3__2" displayName="Tabla3__2" ref="A1:D4705" tableType="queryTable" totalsRowShown="0" headerRowDxfId="49" headerRowBorderDxfId="48">
  <autoFilter ref="A1:D4705" xr:uid="{2C5E576C-56D5-4661-AEE8-C56EAF46506C}"/>
  <tableColumns count="4">
    <tableColumn id="1" xr3:uid="{C5F72CE6-A217-4AAA-B890-634003E10415}" uniqueName="1" name="Empresa" queryTableFieldId="1" dataDxfId="3"/>
    <tableColumn id="4" xr3:uid="{1BFD00E9-36EE-42D9-A985-B1FC2CE4E317}" uniqueName="4" name="Saldo inicial" queryTableFieldId="4" dataDxfId="2"/>
    <tableColumn id="2" xr3:uid="{EA09EB92-4B2D-420E-B39F-7A131A47C123}" uniqueName="2" name="Atributo " queryTableFieldId="2" dataDxfId="1"/>
    <tableColumn id="3" xr3:uid="{7F3D748F-7261-4F7B-AD03-AAD9519C3F7D}" uniqueName="3" name="Valor" queryTableFieldId="3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0F63ED-F037-4DD1-9206-6E1F2C838EB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35b74c0-3d34-4059-91f9-280c8fa9291b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zoomScale="70" zoomScaleNormal="70" workbookViewId="0">
      <pane ySplit="1" topLeftCell="A27" activePane="bottomLeft" state="frozen"/>
      <selection pane="bottomLeft" activeCell="D48" sqref="D48"/>
    </sheetView>
  </sheetViews>
  <sheetFormatPr baseColWidth="10" defaultColWidth="8.6640625" defaultRowHeight="14.4" x14ac:dyDescent="0.3"/>
  <cols>
    <col min="1" max="1" width="26" customWidth="1"/>
    <col min="2" max="2" width="45.6640625" bestFit="1" customWidth="1"/>
    <col min="3" max="3" width="16" customWidth="1"/>
    <col min="4" max="4" width="18" customWidth="1"/>
    <col min="5" max="5" width="12.6640625" bestFit="1" customWidth="1"/>
  </cols>
  <sheetData>
    <row r="1" spans="1:5" x14ac:dyDescent="0.3">
      <c r="A1" s="2" t="s">
        <v>2</v>
      </c>
      <c r="B1" s="2" t="s">
        <v>3</v>
      </c>
      <c r="C1" s="2" t="s">
        <v>11</v>
      </c>
      <c r="D1" s="2" t="s">
        <v>12</v>
      </c>
    </row>
    <row r="2" spans="1:5" x14ac:dyDescent="0.3">
      <c r="A2" s="8" t="s">
        <v>17</v>
      </c>
      <c r="B2" s="8" t="s">
        <v>94</v>
      </c>
      <c r="C2" s="9" t="s">
        <v>129</v>
      </c>
      <c r="D2" s="10">
        <v>132689.04999999999</v>
      </c>
      <c r="E2" t="s">
        <v>93</v>
      </c>
    </row>
    <row r="3" spans="1:5" x14ac:dyDescent="0.3">
      <c r="A3" s="8" t="s">
        <v>17</v>
      </c>
      <c r="B3" s="8" t="s">
        <v>95</v>
      </c>
      <c r="C3" s="9" t="s">
        <v>129</v>
      </c>
      <c r="D3" s="10">
        <v>62799.530000000261</v>
      </c>
      <c r="E3" t="s">
        <v>93</v>
      </c>
    </row>
    <row r="4" spans="1:5" x14ac:dyDescent="0.3">
      <c r="A4" s="8" t="s">
        <v>17</v>
      </c>
      <c r="B4" s="8" t="s">
        <v>96</v>
      </c>
      <c r="C4" s="9" t="s">
        <v>129</v>
      </c>
      <c r="D4" s="10">
        <v>5274.85</v>
      </c>
      <c r="E4" t="s">
        <v>93</v>
      </c>
    </row>
    <row r="5" spans="1:5" x14ac:dyDescent="0.3">
      <c r="A5" s="8" t="s">
        <v>18</v>
      </c>
      <c r="B5" s="8" t="s">
        <v>97</v>
      </c>
      <c r="C5" s="9" t="s">
        <v>129</v>
      </c>
      <c r="D5" s="10">
        <v>39539.53999999995</v>
      </c>
      <c r="E5" t="s">
        <v>93</v>
      </c>
    </row>
    <row r="6" spans="1:5" x14ac:dyDescent="0.3">
      <c r="A6" s="8" t="s">
        <v>18</v>
      </c>
      <c r="B6" s="8" t="s">
        <v>98</v>
      </c>
      <c r="C6" s="9" t="s">
        <v>129</v>
      </c>
      <c r="D6" s="10">
        <v>5000</v>
      </c>
      <c r="E6" t="s">
        <v>93</v>
      </c>
    </row>
    <row r="7" spans="1:5" x14ac:dyDescent="0.3">
      <c r="A7" s="8" t="s">
        <v>19</v>
      </c>
      <c r="B7" s="8" t="s">
        <v>99</v>
      </c>
      <c r="C7" s="9" t="s">
        <v>129</v>
      </c>
      <c r="D7" s="10">
        <v>1669.89</v>
      </c>
      <c r="E7" t="s">
        <v>93</v>
      </c>
    </row>
    <row r="8" spans="1:5" x14ac:dyDescent="0.3">
      <c r="A8" s="8" t="s">
        <v>20</v>
      </c>
      <c r="B8" s="8" t="s">
        <v>100</v>
      </c>
      <c r="C8" s="9" t="s">
        <v>129</v>
      </c>
      <c r="D8" s="10">
        <v>177088.59</v>
      </c>
      <c r="E8" t="s">
        <v>93</v>
      </c>
    </row>
    <row r="9" spans="1:5" x14ac:dyDescent="0.3">
      <c r="A9" s="8" t="s">
        <v>21</v>
      </c>
      <c r="B9" s="8" t="s">
        <v>101</v>
      </c>
      <c r="C9" s="9" t="s">
        <v>129</v>
      </c>
      <c r="D9" s="10">
        <v>12379.18</v>
      </c>
      <c r="E9" t="s">
        <v>93</v>
      </c>
    </row>
    <row r="10" spans="1:5" x14ac:dyDescent="0.3">
      <c r="A10" s="8" t="s">
        <v>21</v>
      </c>
      <c r="B10" s="8" t="s">
        <v>102</v>
      </c>
      <c r="C10" s="9" t="s">
        <v>129</v>
      </c>
      <c r="D10" s="10">
        <v>759.07</v>
      </c>
      <c r="E10" t="s">
        <v>93</v>
      </c>
    </row>
    <row r="11" spans="1:5" x14ac:dyDescent="0.3">
      <c r="A11" s="8" t="s">
        <v>21</v>
      </c>
      <c r="B11" s="8" t="s">
        <v>103</v>
      </c>
      <c r="C11" s="9" t="s">
        <v>129</v>
      </c>
      <c r="D11" s="10"/>
      <c r="E11" t="s">
        <v>93</v>
      </c>
    </row>
    <row r="12" spans="1:5" x14ac:dyDescent="0.3">
      <c r="A12" s="8" t="s">
        <v>21</v>
      </c>
      <c r="B12" s="8" t="s">
        <v>104</v>
      </c>
      <c r="C12" s="9" t="s">
        <v>129</v>
      </c>
      <c r="D12" s="10">
        <v>219857.81999999937</v>
      </c>
      <c r="E12" t="s">
        <v>93</v>
      </c>
    </row>
    <row r="13" spans="1:5" x14ac:dyDescent="0.3">
      <c r="A13" s="8" t="s">
        <v>21</v>
      </c>
      <c r="B13" s="8" t="s">
        <v>105</v>
      </c>
      <c r="C13" s="9" t="s">
        <v>129</v>
      </c>
      <c r="D13" s="10">
        <v>4870.1099999999997</v>
      </c>
      <c r="E13" t="s">
        <v>93</v>
      </c>
    </row>
    <row r="14" spans="1:5" x14ac:dyDescent="0.3">
      <c r="A14" s="8" t="s">
        <v>21</v>
      </c>
      <c r="B14" s="8" t="s">
        <v>106</v>
      </c>
      <c r="C14" s="9" t="s">
        <v>129</v>
      </c>
      <c r="D14" s="10">
        <v>747521.2</v>
      </c>
      <c r="E14" t="s">
        <v>93</v>
      </c>
    </row>
    <row r="15" spans="1:5" x14ac:dyDescent="0.3">
      <c r="A15" s="8" t="s">
        <v>21</v>
      </c>
      <c r="B15" s="8" t="s">
        <v>107</v>
      </c>
      <c r="C15" s="9" t="s">
        <v>129</v>
      </c>
      <c r="D15" s="10">
        <v>5000</v>
      </c>
      <c r="E15" t="s">
        <v>93</v>
      </c>
    </row>
    <row r="16" spans="1:5" x14ac:dyDescent="0.3">
      <c r="A16" s="8" t="s">
        <v>22</v>
      </c>
      <c r="B16" s="8" t="s">
        <v>108</v>
      </c>
      <c r="C16" s="9" t="s">
        <v>129</v>
      </c>
      <c r="D16" s="10">
        <v>57206.89</v>
      </c>
      <c r="E16" t="s">
        <v>93</v>
      </c>
    </row>
    <row r="17" spans="1:5" x14ac:dyDescent="0.3">
      <c r="A17" s="8" t="s">
        <v>22</v>
      </c>
      <c r="B17" s="8" t="s">
        <v>109</v>
      </c>
      <c r="C17" s="9" t="s">
        <v>129</v>
      </c>
      <c r="D17" s="10">
        <v>6365</v>
      </c>
      <c r="E17" t="s">
        <v>93</v>
      </c>
    </row>
    <row r="18" spans="1:5" x14ac:dyDescent="0.3">
      <c r="A18" s="8" t="s">
        <v>22</v>
      </c>
      <c r="B18" s="8" t="s">
        <v>110</v>
      </c>
      <c r="C18" s="9" t="s">
        <v>129</v>
      </c>
      <c r="D18" s="10">
        <v>13221.89</v>
      </c>
      <c r="E18" t="s">
        <v>93</v>
      </c>
    </row>
    <row r="19" spans="1:5" x14ac:dyDescent="0.3">
      <c r="A19" s="8" t="s">
        <v>22</v>
      </c>
      <c r="B19" s="8" t="s">
        <v>111</v>
      </c>
      <c r="C19" s="9" t="s">
        <v>129</v>
      </c>
      <c r="D19" s="10">
        <v>65717.600000000006</v>
      </c>
      <c r="E19" t="s">
        <v>93</v>
      </c>
    </row>
    <row r="20" spans="1:5" x14ac:dyDescent="0.3">
      <c r="A20" s="8" t="s">
        <v>23</v>
      </c>
      <c r="B20" s="8" t="s">
        <v>112</v>
      </c>
      <c r="C20" s="9" t="s">
        <v>129</v>
      </c>
      <c r="D20" s="10">
        <v>13088.59</v>
      </c>
      <c r="E20" t="s">
        <v>93</v>
      </c>
    </row>
    <row r="21" spans="1:5" x14ac:dyDescent="0.3">
      <c r="A21" s="8" t="s">
        <v>24</v>
      </c>
      <c r="B21" s="8" t="s">
        <v>113</v>
      </c>
      <c r="C21" s="9" t="s">
        <v>129</v>
      </c>
      <c r="D21" s="10">
        <v>92.02</v>
      </c>
      <c r="E21" t="s">
        <v>128</v>
      </c>
    </row>
    <row r="22" spans="1:5" x14ac:dyDescent="0.3">
      <c r="A22" s="8" t="s">
        <v>25</v>
      </c>
      <c r="B22" s="8" t="s">
        <v>114</v>
      </c>
      <c r="C22" s="9" t="s">
        <v>129</v>
      </c>
      <c r="D22" s="10">
        <v>144.25</v>
      </c>
      <c r="E22" t="s">
        <v>93</v>
      </c>
    </row>
    <row r="23" spans="1:5" x14ac:dyDescent="0.3">
      <c r="A23" s="8" t="s">
        <v>26</v>
      </c>
      <c r="B23" s="8" t="s">
        <v>115</v>
      </c>
      <c r="C23" s="9" t="s">
        <v>129</v>
      </c>
      <c r="D23" s="10">
        <v>2297.67</v>
      </c>
      <c r="E23" t="s">
        <v>93</v>
      </c>
    </row>
    <row r="24" spans="1:5" x14ac:dyDescent="0.3">
      <c r="A24" s="8" t="s">
        <v>27</v>
      </c>
      <c r="B24" s="8" t="s">
        <v>116</v>
      </c>
      <c r="C24" s="9" t="s">
        <v>129</v>
      </c>
      <c r="D24" s="10">
        <v>3364.94</v>
      </c>
      <c r="E24" t="s">
        <v>93</v>
      </c>
    </row>
    <row r="25" spans="1:5" x14ac:dyDescent="0.3">
      <c r="A25" s="8" t="s">
        <v>28</v>
      </c>
      <c r="B25" s="8" t="s">
        <v>117</v>
      </c>
      <c r="C25" s="9" t="s">
        <v>129</v>
      </c>
      <c r="D25" s="10">
        <v>1968.99</v>
      </c>
      <c r="E25" t="s">
        <v>93</v>
      </c>
    </row>
    <row r="26" spans="1:5" x14ac:dyDescent="0.3">
      <c r="A26" s="8" t="s">
        <v>29</v>
      </c>
      <c r="B26" s="8" t="s">
        <v>118</v>
      </c>
      <c r="C26" s="9" t="s">
        <v>129</v>
      </c>
      <c r="D26" s="10">
        <v>0</v>
      </c>
      <c r="E26" t="s">
        <v>93</v>
      </c>
    </row>
    <row r="27" spans="1:5" x14ac:dyDescent="0.3">
      <c r="A27" s="8" t="s">
        <v>29</v>
      </c>
      <c r="B27" s="8" t="s">
        <v>119</v>
      </c>
      <c r="C27" s="9" t="s">
        <v>129</v>
      </c>
      <c r="D27" s="10">
        <v>901.34</v>
      </c>
      <c r="E27" t="s">
        <v>93</v>
      </c>
    </row>
    <row r="28" spans="1:5" x14ac:dyDescent="0.3">
      <c r="A28" s="8" t="s">
        <v>30</v>
      </c>
      <c r="B28" s="8" t="s">
        <v>120</v>
      </c>
      <c r="C28" s="9" t="s">
        <v>129</v>
      </c>
      <c r="D28" s="10">
        <v>1460.08</v>
      </c>
      <c r="E28" t="s">
        <v>93</v>
      </c>
    </row>
    <row r="29" spans="1:5" x14ac:dyDescent="0.3">
      <c r="A29" s="8" t="s">
        <v>31</v>
      </c>
      <c r="B29" s="8" t="s">
        <v>121</v>
      </c>
      <c r="C29" s="9" t="s">
        <v>129</v>
      </c>
      <c r="D29" s="10">
        <v>26266.509999999962</v>
      </c>
      <c r="E29" t="s">
        <v>93</v>
      </c>
    </row>
    <row r="30" spans="1:5" x14ac:dyDescent="0.3">
      <c r="A30" s="8" t="s">
        <v>31</v>
      </c>
      <c r="B30" s="8" t="s">
        <v>122</v>
      </c>
      <c r="C30" s="9" t="s">
        <v>129</v>
      </c>
      <c r="D30" s="10">
        <v>350.42</v>
      </c>
      <c r="E30" t="s">
        <v>93</v>
      </c>
    </row>
    <row r="31" spans="1:5" x14ac:dyDescent="0.3">
      <c r="A31" s="8" t="s">
        <v>32</v>
      </c>
      <c r="B31" s="8" t="s">
        <v>123</v>
      </c>
      <c r="C31" s="9" t="s">
        <v>129</v>
      </c>
      <c r="D31" s="10">
        <v>9902.5400000000009</v>
      </c>
      <c r="E31" t="s">
        <v>93</v>
      </c>
    </row>
    <row r="32" spans="1:5" x14ac:dyDescent="0.3">
      <c r="A32" s="8" t="s">
        <v>33</v>
      </c>
      <c r="B32" s="8" t="s">
        <v>124</v>
      </c>
      <c r="C32" s="9" t="s">
        <v>129</v>
      </c>
      <c r="D32" s="10">
        <v>25061.43</v>
      </c>
      <c r="E32" t="s">
        <v>93</v>
      </c>
    </row>
    <row r="33" spans="1:5" x14ac:dyDescent="0.3">
      <c r="A33" s="8" t="s">
        <v>34</v>
      </c>
      <c r="B33" s="8" t="s">
        <v>125</v>
      </c>
      <c r="C33" s="9" t="s">
        <v>129</v>
      </c>
      <c r="D33" s="10">
        <v>345</v>
      </c>
      <c r="E33" t="s">
        <v>93</v>
      </c>
    </row>
    <row r="34" spans="1:5" x14ac:dyDescent="0.3">
      <c r="A34" s="8" t="s">
        <v>35</v>
      </c>
      <c r="B34" s="8" t="s">
        <v>126</v>
      </c>
      <c r="C34" s="9" t="s">
        <v>129</v>
      </c>
      <c r="D34" s="10">
        <v>13656.26</v>
      </c>
      <c r="E34" t="s">
        <v>93</v>
      </c>
    </row>
    <row r="35" spans="1:5" x14ac:dyDescent="0.3">
      <c r="A35" s="8" t="s">
        <v>35</v>
      </c>
      <c r="B35" s="8" t="s">
        <v>165</v>
      </c>
      <c r="C35" s="9" t="s">
        <v>129</v>
      </c>
      <c r="D35" s="10">
        <v>5293.35</v>
      </c>
      <c r="E35" t="s">
        <v>129</v>
      </c>
    </row>
    <row r="36" spans="1:5" x14ac:dyDescent="0.3">
      <c r="A36" s="8" t="s">
        <v>193</v>
      </c>
      <c r="B36" s="8" t="s">
        <v>187</v>
      </c>
      <c r="C36" s="9" t="s">
        <v>133</v>
      </c>
      <c r="D36" s="10">
        <v>301167.45</v>
      </c>
    </row>
    <row r="37" spans="1:5" x14ac:dyDescent="0.3">
      <c r="A37" s="8" t="s">
        <v>214</v>
      </c>
      <c r="B37" s="8" t="s">
        <v>188</v>
      </c>
      <c r="C37" s="9" t="s">
        <v>133</v>
      </c>
      <c r="D37" s="10">
        <v>1855.87</v>
      </c>
    </row>
    <row r="38" spans="1:5" x14ac:dyDescent="0.3">
      <c r="A38" s="8" t="s">
        <v>214</v>
      </c>
      <c r="B38" s="8" t="s">
        <v>184</v>
      </c>
      <c r="C38" s="9" t="s">
        <v>133</v>
      </c>
      <c r="D38" s="10">
        <v>49579.06</v>
      </c>
    </row>
    <row r="39" spans="1:5" x14ac:dyDescent="0.3">
      <c r="A39" s="8" t="s">
        <v>194</v>
      </c>
      <c r="B39" s="8" t="s">
        <v>183</v>
      </c>
      <c r="C39" s="9" t="s">
        <v>133</v>
      </c>
      <c r="D39" s="10">
        <v>3631.96</v>
      </c>
    </row>
    <row r="40" spans="1:5" x14ac:dyDescent="0.3">
      <c r="A40" s="8" t="s">
        <v>195</v>
      </c>
      <c r="B40" s="8" t="s">
        <v>185</v>
      </c>
      <c r="C40" s="9" t="s">
        <v>133</v>
      </c>
      <c r="D40" s="10">
        <v>2301.3000000000002</v>
      </c>
    </row>
    <row r="41" spans="1:5" x14ac:dyDescent="0.3">
      <c r="A41" s="8" t="s">
        <v>196</v>
      </c>
      <c r="B41" s="8" t="s">
        <v>186</v>
      </c>
      <c r="C41" s="9" t="s">
        <v>133</v>
      </c>
      <c r="D41" s="10">
        <v>92394.879999999976</v>
      </c>
    </row>
    <row r="42" spans="1:5" x14ac:dyDescent="0.3">
      <c r="A42" s="8" t="s">
        <v>197</v>
      </c>
      <c r="B42" s="8" t="s">
        <v>189</v>
      </c>
      <c r="C42" s="9" t="s">
        <v>133</v>
      </c>
      <c r="D42" s="10">
        <v>794.01</v>
      </c>
    </row>
    <row r="43" spans="1:5" x14ac:dyDescent="0.3">
      <c r="A43" s="8" t="s">
        <v>198</v>
      </c>
      <c r="B43" s="8" t="s">
        <v>190</v>
      </c>
      <c r="C43" s="9" t="s">
        <v>133</v>
      </c>
      <c r="D43" s="10">
        <v>5445.57</v>
      </c>
    </row>
    <row r="44" spans="1:5" x14ac:dyDescent="0.3">
      <c r="A44" s="8" t="s">
        <v>195</v>
      </c>
      <c r="B44" s="8" t="s">
        <v>213</v>
      </c>
      <c r="C44" s="9" t="s">
        <v>133</v>
      </c>
      <c r="D44" s="10">
        <v>18.13</v>
      </c>
    </row>
    <row r="45" spans="1:5" x14ac:dyDescent="0.3">
      <c r="A45" s="8" t="s">
        <v>199</v>
      </c>
      <c r="B45" s="8" t="s">
        <v>191</v>
      </c>
      <c r="C45" s="9" t="s">
        <v>133</v>
      </c>
      <c r="D45" s="10">
        <v>206959.21</v>
      </c>
    </row>
    <row r="46" spans="1:5" x14ac:dyDescent="0.3">
      <c r="A46" s="8" t="s">
        <v>199</v>
      </c>
      <c r="B46" s="8" t="s">
        <v>192</v>
      </c>
      <c r="C46" s="9" t="s">
        <v>133</v>
      </c>
      <c r="D46" s="10">
        <v>31093.71</v>
      </c>
    </row>
    <row r="47" spans="1:5" x14ac:dyDescent="0.3">
      <c r="A47" s="8" t="s">
        <v>216</v>
      </c>
      <c r="B47" s="8" t="s">
        <v>217</v>
      </c>
      <c r="C47" s="9" t="s">
        <v>133</v>
      </c>
      <c r="D47" s="10">
        <v>303874.71999999997</v>
      </c>
    </row>
  </sheetData>
  <autoFilter ref="A1:D34" xr:uid="{00000000-0001-0000-0100-000000000000}"/>
  <phoneticPr fontId="5" type="noConversion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Listas!$A$2:$A$4</xm:f>
          </x14:formula1>
          <x14:formula2>
            <xm:f>0</xm:f>
          </x14:formula2>
          <xm:sqref>A19:A35</xm:sqref>
        </x14:dataValidation>
        <x14:dataValidation type="list" allowBlank="1" xr:uid="{D8BDD68B-FBBC-4D80-A791-DE0A898502F6}">
          <x14:formula1>
            <xm:f>Listas!$A$2:$A$20</xm:f>
          </x14:formula1>
          <xm:sqref>A2:A18</xm:sqref>
        </x14:dataValidation>
        <x14:dataValidation type="list" allowBlank="1" xr:uid="{753A07D4-02FC-4976-ADEF-82A8995F5D7D}">
          <x14:formula1>
            <xm:f>Listas!$B$2:$B$34</xm:f>
          </x14:formula1>
          <xm:sqref>B7:B33</xm:sqref>
        </x14:dataValidation>
        <x14:dataValidation type="list" allowBlank="1" xr:uid="{F0C463F4-3AF2-4592-8752-E8BD2AC974AD}">
          <x14:formula1>
            <xm:f>Listas!$B$2:$B$40</xm:f>
          </x14:formula1>
          <xm:sqref>B2:B6</xm:sqref>
        </x14:dataValidation>
        <x14:dataValidation type="list" allowBlank="1" xr:uid="{66AB37D1-D6AF-4016-BAEE-6B798A11D214}">
          <x14:formula1>
            <xm:f>Listas!$B$2:$B$50</xm:f>
          </x14:formula1>
          <xm:sqref>B34:B35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3"/>
  <sheetViews>
    <sheetView zoomScale="70" zoomScaleNormal="70" workbookViewId="0">
      <pane ySplit="1" topLeftCell="A23" activePane="bottomLeft" state="frozen"/>
      <selection pane="bottomLeft" activeCell="B48" sqref="B48"/>
    </sheetView>
  </sheetViews>
  <sheetFormatPr baseColWidth="10" defaultColWidth="8.6640625" defaultRowHeight="14.4" x14ac:dyDescent="0.3"/>
  <cols>
    <col min="1" max="1" width="29.33203125" customWidth="1"/>
    <col min="2" max="2" width="45.6640625" bestFit="1" customWidth="1"/>
    <col min="3" max="3" width="18.6640625" customWidth="1"/>
    <col min="4" max="4" width="12" customWidth="1"/>
    <col min="5" max="5" width="49.44140625" bestFit="1" customWidth="1"/>
    <col min="6" max="7" width="13.44140625" bestFit="1" customWidth="1"/>
  </cols>
  <sheetData>
    <row r="1" spans="1:7" x14ac:dyDescent="0.3">
      <c r="A1" s="2" t="s">
        <v>14</v>
      </c>
      <c r="B1" s="2" t="s">
        <v>15</v>
      </c>
      <c r="C1" s="14" t="s">
        <v>127</v>
      </c>
      <c r="D1" s="2" t="s">
        <v>16</v>
      </c>
      <c r="E1" s="2" t="s">
        <v>91</v>
      </c>
      <c r="F1" s="14" t="s">
        <v>92</v>
      </c>
      <c r="G1" s="14" t="s">
        <v>151</v>
      </c>
    </row>
    <row r="2" spans="1:7" x14ac:dyDescent="0.3">
      <c r="A2" s="13" t="s">
        <v>17</v>
      </c>
      <c r="B2" s="13" t="s">
        <v>94</v>
      </c>
      <c r="C2" s="13" t="s">
        <v>36</v>
      </c>
      <c r="D2" s="13" t="s">
        <v>9</v>
      </c>
      <c r="E2" s="13" t="s">
        <v>38</v>
      </c>
      <c r="F2" s="13" t="s">
        <v>88</v>
      </c>
      <c r="G2" s="13" t="s">
        <v>152</v>
      </c>
    </row>
    <row r="3" spans="1:7" x14ac:dyDescent="0.3">
      <c r="A3" s="13" t="s">
        <v>17</v>
      </c>
      <c r="B3" s="13" t="s">
        <v>95</v>
      </c>
      <c r="C3" s="13" t="s">
        <v>37</v>
      </c>
      <c r="D3" s="13" t="s">
        <v>10</v>
      </c>
      <c r="E3" s="13" t="s">
        <v>39</v>
      </c>
      <c r="F3" s="13" t="s">
        <v>88</v>
      </c>
      <c r="G3" s="13" t="s">
        <v>152</v>
      </c>
    </row>
    <row r="4" spans="1:7" x14ac:dyDescent="0.3">
      <c r="A4" s="13" t="s">
        <v>17</v>
      </c>
      <c r="B4" s="26" t="s">
        <v>96</v>
      </c>
      <c r="C4" s="13" t="s">
        <v>146</v>
      </c>
      <c r="E4" s="13" t="s">
        <v>40</v>
      </c>
      <c r="F4" s="13" t="s">
        <v>88</v>
      </c>
      <c r="G4" s="13" t="s">
        <v>152</v>
      </c>
    </row>
    <row r="5" spans="1:7" x14ac:dyDescent="0.3">
      <c r="A5" s="13" t="s">
        <v>18</v>
      </c>
      <c r="B5" s="13" t="s">
        <v>97</v>
      </c>
      <c r="C5" s="13" t="s">
        <v>37</v>
      </c>
      <c r="E5" s="13" t="s">
        <v>41</v>
      </c>
      <c r="F5" s="13" t="s">
        <v>88</v>
      </c>
      <c r="G5" s="13" t="s">
        <v>152</v>
      </c>
    </row>
    <row r="6" spans="1:7" x14ac:dyDescent="0.3">
      <c r="A6" s="13" t="s">
        <v>18</v>
      </c>
      <c r="B6" s="13" t="s">
        <v>98</v>
      </c>
      <c r="C6" s="13" t="s">
        <v>202</v>
      </c>
      <c r="E6" s="13" t="s">
        <v>42</v>
      </c>
      <c r="F6" s="13" t="s">
        <v>88</v>
      </c>
      <c r="G6" s="13" t="s">
        <v>152</v>
      </c>
    </row>
    <row r="7" spans="1:7" x14ac:dyDescent="0.3">
      <c r="A7" s="13" t="s">
        <v>19</v>
      </c>
      <c r="B7" s="13" t="s">
        <v>99</v>
      </c>
      <c r="C7" s="13" t="s">
        <v>37</v>
      </c>
      <c r="E7" s="13" t="s">
        <v>43</v>
      </c>
      <c r="F7" s="13" t="s">
        <v>88</v>
      </c>
      <c r="G7" s="13" t="s">
        <v>152</v>
      </c>
    </row>
    <row r="8" spans="1:7" x14ac:dyDescent="0.3">
      <c r="A8" s="13" t="s">
        <v>20</v>
      </c>
      <c r="B8" s="13" t="s">
        <v>100</v>
      </c>
      <c r="C8" s="13" t="s">
        <v>36</v>
      </c>
      <c r="E8" s="13" t="s">
        <v>44</v>
      </c>
      <c r="F8" s="13" t="s">
        <v>88</v>
      </c>
      <c r="G8" s="13" t="s">
        <v>152</v>
      </c>
    </row>
    <row r="9" spans="1:7" x14ac:dyDescent="0.3">
      <c r="A9" s="13" t="s">
        <v>21</v>
      </c>
      <c r="B9" s="13" t="s">
        <v>101</v>
      </c>
      <c r="C9" s="13" t="s">
        <v>36</v>
      </c>
      <c r="E9" s="13" t="s">
        <v>45</v>
      </c>
      <c r="F9" s="13" t="s">
        <v>88</v>
      </c>
      <c r="G9" s="13" t="s">
        <v>152</v>
      </c>
    </row>
    <row r="10" spans="1:7" x14ac:dyDescent="0.3">
      <c r="A10" s="13" t="s">
        <v>21</v>
      </c>
      <c r="B10" s="13" t="s">
        <v>102</v>
      </c>
      <c r="C10" s="13" t="s">
        <v>36</v>
      </c>
      <c r="E10" s="13" t="s">
        <v>46</v>
      </c>
      <c r="F10" s="13" t="s">
        <v>89</v>
      </c>
      <c r="G10" s="13" t="s">
        <v>152</v>
      </c>
    </row>
    <row r="11" spans="1:7" x14ac:dyDescent="0.3">
      <c r="A11" s="13" t="s">
        <v>21</v>
      </c>
      <c r="B11" s="13" t="s">
        <v>103</v>
      </c>
      <c r="C11" s="13" t="s">
        <v>203</v>
      </c>
      <c r="E11" s="13" t="s">
        <v>47</v>
      </c>
      <c r="F11" s="13" t="s">
        <v>89</v>
      </c>
      <c r="G11" s="13" t="s">
        <v>152</v>
      </c>
    </row>
    <row r="12" spans="1:7" x14ac:dyDescent="0.3">
      <c r="A12" s="13" t="s">
        <v>21</v>
      </c>
      <c r="B12" s="13" t="s">
        <v>104</v>
      </c>
      <c r="C12" s="13" t="s">
        <v>37</v>
      </c>
      <c r="E12" s="13" t="s">
        <v>48</v>
      </c>
      <c r="F12" s="13" t="s">
        <v>89</v>
      </c>
      <c r="G12" s="13" t="s">
        <v>152</v>
      </c>
    </row>
    <row r="13" spans="1:7" x14ac:dyDescent="0.3">
      <c r="A13" s="13" t="s">
        <v>21</v>
      </c>
      <c r="B13" s="13" t="s">
        <v>105</v>
      </c>
      <c r="C13" s="13" t="s">
        <v>146</v>
      </c>
      <c r="E13" s="13" t="s">
        <v>49</v>
      </c>
      <c r="F13" s="13" t="s">
        <v>89</v>
      </c>
      <c r="G13" s="13" t="s">
        <v>152</v>
      </c>
    </row>
    <row r="14" spans="1:7" x14ac:dyDescent="0.3">
      <c r="A14" s="13" t="s">
        <v>21</v>
      </c>
      <c r="B14" s="13" t="s">
        <v>106</v>
      </c>
      <c r="C14" s="13" t="s">
        <v>204</v>
      </c>
      <c r="E14" s="13" t="s">
        <v>50</v>
      </c>
      <c r="F14" s="13" t="s">
        <v>89</v>
      </c>
      <c r="G14" s="13" t="s">
        <v>152</v>
      </c>
    </row>
    <row r="15" spans="1:7" x14ac:dyDescent="0.3">
      <c r="A15" s="13" t="s">
        <v>21</v>
      </c>
      <c r="B15" s="13" t="s">
        <v>107</v>
      </c>
      <c r="C15" s="13" t="s">
        <v>202</v>
      </c>
      <c r="E15" s="13" t="s">
        <v>51</v>
      </c>
      <c r="F15" s="13" t="s">
        <v>89</v>
      </c>
      <c r="G15" s="13" t="s">
        <v>152</v>
      </c>
    </row>
    <row r="16" spans="1:7" x14ac:dyDescent="0.3">
      <c r="A16" s="13" t="s">
        <v>22</v>
      </c>
      <c r="B16" s="26" t="s">
        <v>110</v>
      </c>
      <c r="C16" s="13" t="s">
        <v>36</v>
      </c>
      <c r="E16" s="13" t="s">
        <v>52</v>
      </c>
      <c r="F16" s="13" t="s">
        <v>90</v>
      </c>
      <c r="G16" s="13" t="s">
        <v>152</v>
      </c>
    </row>
    <row r="17" spans="1:7" x14ac:dyDescent="0.3">
      <c r="A17" s="13" t="s">
        <v>22</v>
      </c>
      <c r="B17" s="13" t="s">
        <v>109</v>
      </c>
      <c r="C17" s="13" t="s">
        <v>146</v>
      </c>
      <c r="E17" s="13" t="s">
        <v>53</v>
      </c>
      <c r="F17" s="13" t="s">
        <v>90</v>
      </c>
      <c r="G17" s="13" t="s">
        <v>153</v>
      </c>
    </row>
    <row r="18" spans="1:7" x14ac:dyDescent="0.3">
      <c r="A18" s="13" t="s">
        <v>22</v>
      </c>
      <c r="B18" s="13" t="s">
        <v>108</v>
      </c>
      <c r="C18" s="13" t="s">
        <v>147</v>
      </c>
      <c r="E18" s="13" t="s">
        <v>54</v>
      </c>
      <c r="F18" s="13" t="s">
        <v>90</v>
      </c>
      <c r="G18" s="13" t="s">
        <v>152</v>
      </c>
    </row>
    <row r="19" spans="1:7" x14ac:dyDescent="0.3">
      <c r="A19" s="13" t="s">
        <v>22</v>
      </c>
      <c r="B19" s="13" t="s">
        <v>111</v>
      </c>
      <c r="C19" s="13" t="s">
        <v>37</v>
      </c>
      <c r="E19" s="13" t="s">
        <v>55</v>
      </c>
      <c r="F19" s="13" t="s">
        <v>90</v>
      </c>
      <c r="G19" s="13" t="s">
        <v>152</v>
      </c>
    </row>
    <row r="20" spans="1:7" x14ac:dyDescent="0.3">
      <c r="A20" s="13" t="s">
        <v>23</v>
      </c>
      <c r="B20" s="13" t="s">
        <v>112</v>
      </c>
      <c r="C20" s="13" t="s">
        <v>36</v>
      </c>
      <c r="E20" s="13" t="s">
        <v>56</v>
      </c>
      <c r="F20" s="13" t="s">
        <v>90</v>
      </c>
      <c r="G20" s="13" t="s">
        <v>152</v>
      </c>
    </row>
    <row r="21" spans="1:7" x14ac:dyDescent="0.3">
      <c r="A21" s="13" t="s">
        <v>24</v>
      </c>
      <c r="B21" s="26" t="s">
        <v>113</v>
      </c>
      <c r="C21" s="13" t="s">
        <v>148</v>
      </c>
      <c r="E21" s="13" t="s">
        <v>57</v>
      </c>
      <c r="F21" s="13" t="s">
        <v>90</v>
      </c>
      <c r="G21" s="13" t="s">
        <v>152</v>
      </c>
    </row>
    <row r="22" spans="1:7" x14ac:dyDescent="0.3">
      <c r="A22" s="13" t="s">
        <v>25</v>
      </c>
      <c r="B22" s="13" t="s">
        <v>114</v>
      </c>
      <c r="C22" s="13" t="s">
        <v>36</v>
      </c>
      <c r="E22" s="13" t="s">
        <v>58</v>
      </c>
      <c r="F22" s="13" t="s">
        <v>90</v>
      </c>
      <c r="G22" s="13" t="s">
        <v>152</v>
      </c>
    </row>
    <row r="23" spans="1:7" x14ac:dyDescent="0.3">
      <c r="A23" s="13" t="s">
        <v>26</v>
      </c>
      <c r="B23" s="13" t="s">
        <v>115</v>
      </c>
      <c r="C23" s="13" t="s">
        <v>36</v>
      </c>
      <c r="E23" s="13" t="s">
        <v>59</v>
      </c>
      <c r="F23" s="13" t="s">
        <v>90</v>
      </c>
      <c r="G23" s="13" t="s">
        <v>152</v>
      </c>
    </row>
    <row r="24" spans="1:7" x14ac:dyDescent="0.3">
      <c r="A24" s="13" t="s">
        <v>27</v>
      </c>
      <c r="B24" s="26" t="s">
        <v>116</v>
      </c>
      <c r="C24" s="13" t="s">
        <v>149</v>
      </c>
      <c r="E24" s="13" t="s">
        <v>60</v>
      </c>
      <c r="F24" s="13" t="s">
        <v>90</v>
      </c>
      <c r="G24" s="13" t="s">
        <v>153</v>
      </c>
    </row>
    <row r="25" spans="1:7" x14ac:dyDescent="0.3">
      <c r="A25" s="13" t="s">
        <v>28</v>
      </c>
      <c r="B25" s="13" t="s">
        <v>117</v>
      </c>
      <c r="C25" s="13" t="s">
        <v>36</v>
      </c>
      <c r="E25" s="13" t="s">
        <v>61</v>
      </c>
      <c r="F25" s="13" t="s">
        <v>88</v>
      </c>
      <c r="G25" s="13" t="s">
        <v>152</v>
      </c>
    </row>
    <row r="26" spans="1:7" x14ac:dyDescent="0.3">
      <c r="A26" s="13" t="s">
        <v>29</v>
      </c>
      <c r="B26" s="26" t="s">
        <v>118</v>
      </c>
      <c r="C26" s="13" t="s">
        <v>150</v>
      </c>
      <c r="E26" s="13" t="s">
        <v>62</v>
      </c>
      <c r="F26" s="13" t="s">
        <v>88</v>
      </c>
      <c r="G26" s="13" t="s">
        <v>153</v>
      </c>
    </row>
    <row r="27" spans="1:7" x14ac:dyDescent="0.3">
      <c r="A27" s="13" t="s">
        <v>29</v>
      </c>
      <c r="B27" s="13" t="s">
        <v>119</v>
      </c>
      <c r="C27" s="13" t="s">
        <v>37</v>
      </c>
      <c r="E27" s="13" t="s">
        <v>63</v>
      </c>
      <c r="F27" s="13" t="s">
        <v>88</v>
      </c>
      <c r="G27" s="13" t="s">
        <v>152</v>
      </c>
    </row>
    <row r="28" spans="1:7" x14ac:dyDescent="0.3">
      <c r="A28" s="13" t="s">
        <v>30</v>
      </c>
      <c r="B28" s="13" t="s">
        <v>120</v>
      </c>
      <c r="C28" s="13" t="s">
        <v>36</v>
      </c>
      <c r="E28" s="13" t="s">
        <v>64</v>
      </c>
      <c r="F28" s="13" t="s">
        <v>88</v>
      </c>
      <c r="G28" s="13" t="s">
        <v>153</v>
      </c>
    </row>
    <row r="29" spans="1:7" x14ac:dyDescent="0.3">
      <c r="A29" s="13" t="s">
        <v>31</v>
      </c>
      <c r="B29" s="13" t="s">
        <v>121</v>
      </c>
      <c r="C29" s="13" t="s">
        <v>36</v>
      </c>
      <c r="E29" s="13" t="s">
        <v>65</v>
      </c>
      <c r="F29" s="13" t="s">
        <v>88</v>
      </c>
      <c r="G29" s="13" t="s">
        <v>152</v>
      </c>
    </row>
    <row r="30" spans="1:7" x14ac:dyDescent="0.3">
      <c r="A30" s="13" t="s">
        <v>31</v>
      </c>
      <c r="B30" s="13" t="s">
        <v>122</v>
      </c>
      <c r="C30" s="13" t="s">
        <v>36</v>
      </c>
      <c r="E30" s="13"/>
      <c r="F30" s="13"/>
      <c r="G30" s="13"/>
    </row>
    <row r="31" spans="1:7" x14ac:dyDescent="0.3">
      <c r="A31" s="13" t="s">
        <v>32</v>
      </c>
      <c r="B31" s="13" t="s">
        <v>123</v>
      </c>
      <c r="C31" s="13" t="s">
        <v>36</v>
      </c>
      <c r="E31" s="13" t="s">
        <v>66</v>
      </c>
      <c r="F31" s="13" t="s">
        <v>90</v>
      </c>
      <c r="G31" s="13" t="s">
        <v>152</v>
      </c>
    </row>
    <row r="32" spans="1:7" x14ac:dyDescent="0.3">
      <c r="A32" s="13" t="s">
        <v>33</v>
      </c>
      <c r="B32" s="13" t="s">
        <v>124</v>
      </c>
      <c r="C32" s="13" t="s">
        <v>36</v>
      </c>
      <c r="E32" s="13" t="s">
        <v>67</v>
      </c>
      <c r="F32" s="13" t="s">
        <v>90</v>
      </c>
      <c r="G32" s="13" t="s">
        <v>153</v>
      </c>
    </row>
    <row r="33" spans="1:7" x14ac:dyDescent="0.3">
      <c r="A33" s="13" t="s">
        <v>34</v>
      </c>
      <c r="B33" s="13" t="s">
        <v>125</v>
      </c>
      <c r="C33" s="13" t="s">
        <v>37</v>
      </c>
      <c r="E33" s="13" t="s">
        <v>68</v>
      </c>
      <c r="F33" s="13" t="s">
        <v>88</v>
      </c>
      <c r="G33" s="13" t="s">
        <v>152</v>
      </c>
    </row>
    <row r="34" spans="1:7" x14ac:dyDescent="0.3">
      <c r="A34" s="13" t="s">
        <v>35</v>
      </c>
      <c r="B34" s="13" t="s">
        <v>126</v>
      </c>
      <c r="C34" s="13" t="s">
        <v>37</v>
      </c>
      <c r="E34" s="13" t="s">
        <v>69</v>
      </c>
      <c r="F34" s="13" t="s">
        <v>88</v>
      </c>
      <c r="G34" s="13" t="s">
        <v>153</v>
      </c>
    </row>
    <row r="35" spans="1:7" x14ac:dyDescent="0.3">
      <c r="A35" s="13" t="s">
        <v>201</v>
      </c>
      <c r="B35" s="13" t="s">
        <v>200</v>
      </c>
      <c r="C35" s="13" t="s">
        <v>37</v>
      </c>
      <c r="E35" s="13" t="s">
        <v>70</v>
      </c>
      <c r="F35" s="13" t="s">
        <v>88</v>
      </c>
      <c r="G35" s="13" t="s">
        <v>152</v>
      </c>
    </row>
    <row r="36" spans="1:7" x14ac:dyDescent="0.3">
      <c r="A36" s="13" t="s">
        <v>35</v>
      </c>
      <c r="B36" s="13" t="s">
        <v>165</v>
      </c>
      <c r="C36" s="13" t="s">
        <v>37</v>
      </c>
      <c r="E36" s="13" t="s">
        <v>71</v>
      </c>
      <c r="F36" s="13" t="s">
        <v>88</v>
      </c>
      <c r="G36" s="13" t="s">
        <v>153</v>
      </c>
    </row>
    <row r="37" spans="1:7" x14ac:dyDescent="0.3">
      <c r="A37" s="13" t="s">
        <v>193</v>
      </c>
      <c r="B37" s="13" t="s">
        <v>187</v>
      </c>
      <c r="C37" s="13" t="s">
        <v>37</v>
      </c>
      <c r="E37" s="13" t="s">
        <v>72</v>
      </c>
      <c r="F37" s="13" t="s">
        <v>88</v>
      </c>
      <c r="G37" s="13" t="s">
        <v>152</v>
      </c>
    </row>
    <row r="38" spans="1:7" x14ac:dyDescent="0.3">
      <c r="A38" s="13" t="s">
        <v>214</v>
      </c>
      <c r="B38" s="13" t="s">
        <v>188</v>
      </c>
      <c r="C38" s="13" t="s">
        <v>37</v>
      </c>
      <c r="E38" s="13" t="s">
        <v>73</v>
      </c>
      <c r="F38" s="13" t="s">
        <v>88</v>
      </c>
      <c r="G38" s="13" t="s">
        <v>153</v>
      </c>
    </row>
    <row r="39" spans="1:7" x14ac:dyDescent="0.3">
      <c r="A39" s="13" t="s">
        <v>214</v>
      </c>
      <c r="B39" s="13" t="s">
        <v>184</v>
      </c>
      <c r="C39" s="13" t="s">
        <v>37</v>
      </c>
      <c r="E39" s="13" t="s">
        <v>74</v>
      </c>
      <c r="F39" s="13" t="s">
        <v>89</v>
      </c>
      <c r="G39" s="13" t="s">
        <v>152</v>
      </c>
    </row>
    <row r="40" spans="1:7" x14ac:dyDescent="0.3">
      <c r="A40" s="13" t="s">
        <v>194</v>
      </c>
      <c r="B40" s="13" t="s">
        <v>183</v>
      </c>
      <c r="C40" s="13" t="s">
        <v>37</v>
      </c>
      <c r="E40" s="13" t="s">
        <v>75</v>
      </c>
      <c r="F40" s="13" t="s">
        <v>89</v>
      </c>
      <c r="G40" s="13" t="s">
        <v>153</v>
      </c>
    </row>
    <row r="41" spans="1:7" x14ac:dyDescent="0.3">
      <c r="A41" s="13" t="s">
        <v>195</v>
      </c>
      <c r="B41" s="13" t="s">
        <v>185</v>
      </c>
      <c r="C41" s="13" t="s">
        <v>37</v>
      </c>
      <c r="E41" s="13" t="s">
        <v>76</v>
      </c>
      <c r="F41" s="13" t="s">
        <v>89</v>
      </c>
      <c r="G41" s="13" t="s">
        <v>152</v>
      </c>
    </row>
    <row r="42" spans="1:7" x14ac:dyDescent="0.3">
      <c r="A42" s="13" t="s">
        <v>196</v>
      </c>
      <c r="B42" s="13" t="s">
        <v>186</v>
      </c>
      <c r="C42" s="13" t="s">
        <v>37</v>
      </c>
      <c r="E42" s="13" t="s">
        <v>77</v>
      </c>
      <c r="F42" s="13" t="s">
        <v>90</v>
      </c>
      <c r="G42" s="13" t="s">
        <v>153</v>
      </c>
    </row>
    <row r="43" spans="1:7" x14ac:dyDescent="0.3">
      <c r="A43" s="13" t="s">
        <v>197</v>
      </c>
      <c r="B43" s="13" t="s">
        <v>189</v>
      </c>
      <c r="C43" s="13" t="s">
        <v>37</v>
      </c>
      <c r="E43" s="13" t="s">
        <v>78</v>
      </c>
      <c r="F43" s="13" t="s">
        <v>90</v>
      </c>
      <c r="G43" s="13" t="s">
        <v>152</v>
      </c>
    </row>
    <row r="44" spans="1:7" x14ac:dyDescent="0.3">
      <c r="A44" s="13" t="s">
        <v>198</v>
      </c>
      <c r="B44" s="13" t="s">
        <v>190</v>
      </c>
      <c r="C44" s="13" t="s">
        <v>36</v>
      </c>
      <c r="E44" s="13" t="s">
        <v>79</v>
      </c>
      <c r="F44" s="13" t="s">
        <v>90</v>
      </c>
      <c r="G44" s="13" t="s">
        <v>152</v>
      </c>
    </row>
    <row r="45" spans="1:7" x14ac:dyDescent="0.3">
      <c r="A45" s="13" t="s">
        <v>195</v>
      </c>
      <c r="B45" s="13" t="s">
        <v>213</v>
      </c>
      <c r="C45" s="13" t="s">
        <v>36</v>
      </c>
      <c r="E45" s="13" t="s">
        <v>80</v>
      </c>
      <c r="F45" s="13" t="s">
        <v>88</v>
      </c>
      <c r="G45" s="13" t="s">
        <v>152</v>
      </c>
    </row>
    <row r="46" spans="1:7" x14ac:dyDescent="0.3">
      <c r="A46" s="13" t="s">
        <v>199</v>
      </c>
      <c r="B46" s="13" t="s">
        <v>191</v>
      </c>
      <c r="C46" s="13" t="s">
        <v>36</v>
      </c>
      <c r="E46" s="13" t="s">
        <v>81</v>
      </c>
      <c r="F46" s="13" t="s">
        <v>88</v>
      </c>
      <c r="G46" s="13" t="s">
        <v>152</v>
      </c>
    </row>
    <row r="47" spans="1:7" x14ac:dyDescent="0.3">
      <c r="A47" s="13" t="s">
        <v>199</v>
      </c>
      <c r="B47" s="13" t="s">
        <v>192</v>
      </c>
      <c r="C47" s="13" t="s">
        <v>36</v>
      </c>
      <c r="E47" s="13" t="s">
        <v>82</v>
      </c>
      <c r="F47" s="13" t="s">
        <v>88</v>
      </c>
      <c r="G47" s="13" t="s">
        <v>152</v>
      </c>
    </row>
    <row r="48" spans="1:7" x14ac:dyDescent="0.3">
      <c r="A48" s="13" t="s">
        <v>216</v>
      </c>
      <c r="B48" s="8" t="s">
        <v>217</v>
      </c>
      <c r="C48" s="13" t="s">
        <v>36</v>
      </c>
      <c r="E48" s="13" t="s">
        <v>83</v>
      </c>
      <c r="F48" s="13" t="s">
        <v>90</v>
      </c>
      <c r="G48" s="13" t="s">
        <v>153</v>
      </c>
    </row>
    <row r="49" spans="1:7" x14ac:dyDescent="0.3">
      <c r="A49" s="13"/>
      <c r="B49" s="13"/>
      <c r="C49" s="13"/>
      <c r="E49" s="13" t="s">
        <v>84</v>
      </c>
      <c r="F49" s="13" t="s">
        <v>88</v>
      </c>
      <c r="G49" s="13" t="s">
        <v>152</v>
      </c>
    </row>
    <row r="50" spans="1:7" x14ac:dyDescent="0.3">
      <c r="A50" s="13"/>
      <c r="B50" s="13"/>
      <c r="C50" s="13"/>
      <c r="E50" s="13" t="s">
        <v>85</v>
      </c>
      <c r="F50" s="13" t="s">
        <v>88</v>
      </c>
      <c r="G50" s="13" t="s">
        <v>153</v>
      </c>
    </row>
    <row r="51" spans="1:7" x14ac:dyDescent="0.3">
      <c r="E51" s="13" t="s">
        <v>86</v>
      </c>
      <c r="F51" s="13" t="s">
        <v>90</v>
      </c>
      <c r="G51" s="13" t="s">
        <v>152</v>
      </c>
    </row>
    <row r="52" spans="1:7" x14ac:dyDescent="0.3">
      <c r="E52" s="13" t="s">
        <v>87</v>
      </c>
      <c r="F52" s="13" t="s">
        <v>88</v>
      </c>
      <c r="G52" s="13" t="s">
        <v>152</v>
      </c>
    </row>
    <row r="53" spans="1:7" x14ac:dyDescent="0.3">
      <c r="F53" s="13"/>
      <c r="G53" s="13"/>
    </row>
  </sheetData>
  <autoFilter ref="A1:G52" xr:uid="{00000000-0001-0000-0300-000000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DA3FC-741E-47A5-AE85-807AA8056302}">
  <dimension ref="A1:J53"/>
  <sheetViews>
    <sheetView topLeftCell="A28" zoomScale="70" zoomScaleNormal="70" workbookViewId="0">
      <selection activeCell="C53" sqref="C53"/>
    </sheetView>
  </sheetViews>
  <sheetFormatPr baseColWidth="10" defaultColWidth="11.5546875" defaultRowHeight="14.4" x14ac:dyDescent="0.3"/>
  <cols>
    <col min="1" max="1" width="25.109375" customWidth="1"/>
    <col min="2" max="2" width="18" customWidth="1"/>
    <col min="3" max="3" width="53.21875" customWidth="1"/>
  </cols>
  <sheetData>
    <row r="1" spans="1:10" x14ac:dyDescent="0.3">
      <c r="A1" s="65" t="s">
        <v>211</v>
      </c>
      <c r="B1" s="65" t="s">
        <v>205</v>
      </c>
      <c r="C1" s="65" t="s">
        <v>206</v>
      </c>
    </row>
    <row r="2" spans="1:10" x14ac:dyDescent="0.3">
      <c r="A2" s="66" t="s">
        <v>207</v>
      </c>
      <c r="B2" s="66"/>
      <c r="C2" s="67" t="s">
        <v>94</v>
      </c>
      <c r="J2" s="67"/>
    </row>
    <row r="3" spans="1:10" x14ac:dyDescent="0.3">
      <c r="A3" s="66" t="s">
        <v>207</v>
      </c>
      <c r="B3" s="66"/>
      <c r="C3" s="67" t="s">
        <v>95</v>
      </c>
      <c r="J3" s="67"/>
    </row>
    <row r="4" spans="1:10" x14ac:dyDescent="0.3">
      <c r="A4" s="66" t="s">
        <v>207</v>
      </c>
      <c r="B4" s="66"/>
      <c r="C4" s="67" t="s">
        <v>96</v>
      </c>
      <c r="J4" s="67"/>
    </row>
    <row r="5" spans="1:10" x14ac:dyDescent="0.3">
      <c r="A5" s="66" t="s">
        <v>207</v>
      </c>
      <c r="B5" s="66"/>
      <c r="C5" s="67" t="s">
        <v>97</v>
      </c>
      <c r="J5" s="67"/>
    </row>
    <row r="6" spans="1:10" x14ac:dyDescent="0.3">
      <c r="A6" s="66" t="s">
        <v>207</v>
      </c>
      <c r="B6" s="66"/>
      <c r="C6" s="67" t="s">
        <v>98</v>
      </c>
      <c r="J6" s="67"/>
    </row>
    <row r="7" spans="1:10" x14ac:dyDescent="0.3">
      <c r="A7" s="66" t="s">
        <v>207</v>
      </c>
      <c r="B7" s="66"/>
      <c r="C7" s="67" t="s">
        <v>99</v>
      </c>
      <c r="J7" s="67"/>
    </row>
    <row r="8" spans="1:10" x14ac:dyDescent="0.3">
      <c r="A8" s="66" t="s">
        <v>207</v>
      </c>
      <c r="B8" s="66"/>
      <c r="C8" s="67" t="s">
        <v>100</v>
      </c>
    </row>
    <row r="9" spans="1:10" x14ac:dyDescent="0.3">
      <c r="A9" s="66" t="s">
        <v>207</v>
      </c>
      <c r="B9" s="66"/>
      <c r="C9" s="67" t="s">
        <v>101</v>
      </c>
    </row>
    <row r="10" spans="1:10" x14ac:dyDescent="0.3">
      <c r="A10" s="66" t="s">
        <v>207</v>
      </c>
      <c r="B10" s="66"/>
      <c r="C10" s="67" t="s">
        <v>102</v>
      </c>
    </row>
    <row r="11" spans="1:10" x14ac:dyDescent="0.3">
      <c r="A11" s="66" t="s">
        <v>207</v>
      </c>
      <c r="B11" s="66"/>
      <c r="C11" s="67" t="s">
        <v>104</v>
      </c>
    </row>
    <row r="12" spans="1:10" x14ac:dyDescent="0.3">
      <c r="A12" s="66" t="s">
        <v>207</v>
      </c>
      <c r="B12" s="66"/>
      <c r="C12" s="67" t="s">
        <v>105</v>
      </c>
    </row>
    <row r="13" spans="1:10" x14ac:dyDescent="0.3">
      <c r="A13" s="66" t="s">
        <v>207</v>
      </c>
      <c r="B13" s="66"/>
      <c r="C13" s="67" t="s">
        <v>106</v>
      </c>
    </row>
    <row r="14" spans="1:10" x14ac:dyDescent="0.3">
      <c r="A14" s="66" t="s">
        <v>207</v>
      </c>
      <c r="B14" s="66"/>
      <c r="C14" s="67" t="s">
        <v>107</v>
      </c>
    </row>
    <row r="15" spans="1:10" x14ac:dyDescent="0.3">
      <c r="A15" s="66" t="s">
        <v>207</v>
      </c>
      <c r="B15" s="66"/>
      <c r="C15" s="67" t="s">
        <v>110</v>
      </c>
    </row>
    <row r="16" spans="1:10" x14ac:dyDescent="0.3">
      <c r="A16" s="66" t="s">
        <v>207</v>
      </c>
      <c r="B16" s="66"/>
      <c r="C16" s="67" t="s">
        <v>109</v>
      </c>
    </row>
    <row r="17" spans="1:3" x14ac:dyDescent="0.3">
      <c r="A17" s="66" t="s">
        <v>207</v>
      </c>
      <c r="B17" s="66"/>
      <c r="C17" s="67" t="s">
        <v>108</v>
      </c>
    </row>
    <row r="18" spans="1:3" x14ac:dyDescent="0.3">
      <c r="A18" s="66" t="s">
        <v>207</v>
      </c>
      <c r="B18" s="66"/>
      <c r="C18" s="67" t="s">
        <v>111</v>
      </c>
    </row>
    <row r="19" spans="1:3" x14ac:dyDescent="0.3">
      <c r="A19" s="66" t="s">
        <v>207</v>
      </c>
      <c r="B19" s="66"/>
      <c r="C19" s="67" t="s">
        <v>112</v>
      </c>
    </row>
    <row r="20" spans="1:3" x14ac:dyDescent="0.3">
      <c r="A20" s="66" t="s">
        <v>207</v>
      </c>
      <c r="B20" s="66"/>
      <c r="C20" s="67" t="s">
        <v>113</v>
      </c>
    </row>
    <row r="21" spans="1:3" x14ac:dyDescent="0.3">
      <c r="A21" s="66" t="s">
        <v>207</v>
      </c>
      <c r="B21" s="66"/>
      <c r="C21" s="67" t="s">
        <v>114</v>
      </c>
    </row>
    <row r="22" spans="1:3" x14ac:dyDescent="0.3">
      <c r="A22" s="66" t="s">
        <v>207</v>
      </c>
      <c r="B22" s="66"/>
      <c r="C22" s="67" t="s">
        <v>115</v>
      </c>
    </row>
    <row r="23" spans="1:3" x14ac:dyDescent="0.3">
      <c r="A23" s="66" t="s">
        <v>207</v>
      </c>
      <c r="B23" s="66"/>
      <c r="C23" s="67" t="s">
        <v>116</v>
      </c>
    </row>
    <row r="24" spans="1:3" x14ac:dyDescent="0.3">
      <c r="A24" s="66" t="s">
        <v>207</v>
      </c>
      <c r="B24" s="66"/>
      <c r="C24" s="81" t="s">
        <v>117</v>
      </c>
    </row>
    <row r="25" spans="1:3" x14ac:dyDescent="0.3">
      <c r="A25" s="66" t="s">
        <v>207</v>
      </c>
      <c r="B25" s="66"/>
      <c r="C25" s="67" t="s">
        <v>119</v>
      </c>
    </row>
    <row r="26" spans="1:3" x14ac:dyDescent="0.3">
      <c r="A26" s="66" t="s">
        <v>207</v>
      </c>
      <c r="B26" s="66"/>
      <c r="C26" s="67" t="s">
        <v>120</v>
      </c>
    </row>
    <row r="27" spans="1:3" x14ac:dyDescent="0.3">
      <c r="A27" s="66" t="s">
        <v>207</v>
      </c>
      <c r="B27" s="66"/>
      <c r="C27" s="67" t="s">
        <v>121</v>
      </c>
    </row>
    <row r="28" spans="1:3" x14ac:dyDescent="0.3">
      <c r="A28" s="66" t="s">
        <v>207</v>
      </c>
      <c r="B28" s="66"/>
      <c r="C28" s="67" t="s">
        <v>122</v>
      </c>
    </row>
    <row r="29" spans="1:3" x14ac:dyDescent="0.3">
      <c r="A29" s="66" t="s">
        <v>207</v>
      </c>
      <c r="B29" s="66"/>
      <c r="C29" s="67" t="s">
        <v>123</v>
      </c>
    </row>
    <row r="30" spans="1:3" x14ac:dyDescent="0.3">
      <c r="A30" s="66" t="s">
        <v>207</v>
      </c>
      <c r="B30" s="66"/>
      <c r="C30" s="67" t="s">
        <v>124</v>
      </c>
    </row>
    <row r="31" spans="1:3" x14ac:dyDescent="0.3">
      <c r="A31" s="66" t="s">
        <v>207</v>
      </c>
      <c r="B31" s="66"/>
      <c r="C31" s="67" t="s">
        <v>125</v>
      </c>
    </row>
    <row r="32" spans="1:3" x14ac:dyDescent="0.3">
      <c r="A32" s="66" t="s">
        <v>207</v>
      </c>
      <c r="B32" s="66"/>
      <c r="C32" s="67" t="s">
        <v>126</v>
      </c>
    </row>
    <row r="33" spans="1:3" x14ac:dyDescent="0.3">
      <c r="A33" s="66" t="s">
        <v>207</v>
      </c>
      <c r="B33" s="66"/>
      <c r="C33" s="67" t="s">
        <v>165</v>
      </c>
    </row>
    <row r="34" spans="1:3" x14ac:dyDescent="0.3">
      <c r="A34" s="79" t="s">
        <v>208</v>
      </c>
      <c r="B34" s="66"/>
      <c r="C34" s="67" t="s">
        <v>187</v>
      </c>
    </row>
    <row r="35" spans="1:3" x14ac:dyDescent="0.3">
      <c r="A35" s="79" t="s">
        <v>208</v>
      </c>
      <c r="B35" s="79"/>
      <c r="C35" s="67" t="s">
        <v>185</v>
      </c>
    </row>
    <row r="36" spans="1:3" x14ac:dyDescent="0.3">
      <c r="A36" s="79" t="s">
        <v>208</v>
      </c>
      <c r="B36" s="79"/>
      <c r="C36" s="67" t="s">
        <v>189</v>
      </c>
    </row>
    <row r="37" spans="1:3" x14ac:dyDescent="0.3">
      <c r="A37" s="79" t="s">
        <v>208</v>
      </c>
      <c r="B37" s="79"/>
      <c r="C37" s="67" t="s">
        <v>190</v>
      </c>
    </row>
    <row r="38" spans="1:3" x14ac:dyDescent="0.3">
      <c r="A38" s="79" t="s">
        <v>208</v>
      </c>
      <c r="B38" s="79"/>
      <c r="C38" s="67" t="s">
        <v>213</v>
      </c>
    </row>
    <row r="39" spans="1:3" x14ac:dyDescent="0.3">
      <c r="A39" s="66" t="s">
        <v>194</v>
      </c>
      <c r="B39" s="66"/>
      <c r="C39" s="67" t="s">
        <v>188</v>
      </c>
    </row>
    <row r="40" spans="1:3" x14ac:dyDescent="0.3">
      <c r="A40" s="66" t="s">
        <v>194</v>
      </c>
      <c r="B40" s="66"/>
      <c r="C40" s="67" t="s">
        <v>184</v>
      </c>
    </row>
    <row r="41" spans="1:3" x14ac:dyDescent="0.3">
      <c r="A41" s="66" t="s">
        <v>194</v>
      </c>
      <c r="B41" s="66"/>
      <c r="C41" s="67" t="s">
        <v>183</v>
      </c>
    </row>
    <row r="42" spans="1:3" x14ac:dyDescent="0.3">
      <c r="A42" s="66" t="s">
        <v>215</v>
      </c>
      <c r="B42" s="66"/>
      <c r="C42" s="67" t="s">
        <v>191</v>
      </c>
    </row>
    <row r="43" spans="1:3" x14ac:dyDescent="0.3">
      <c r="A43" s="66" t="s">
        <v>215</v>
      </c>
      <c r="B43" s="66"/>
      <c r="C43" s="67" t="s">
        <v>192</v>
      </c>
    </row>
    <row r="44" spans="1:3" x14ac:dyDescent="0.3">
      <c r="A44" s="66" t="s">
        <v>209</v>
      </c>
      <c r="B44" s="66"/>
      <c r="C44" s="67" t="s">
        <v>186</v>
      </c>
    </row>
    <row r="45" spans="1:3" x14ac:dyDescent="0.3">
      <c r="A45" s="66"/>
      <c r="B45" s="66" t="s">
        <v>210</v>
      </c>
      <c r="C45" s="67" t="s">
        <v>110</v>
      </c>
    </row>
    <row r="46" spans="1:3" x14ac:dyDescent="0.3">
      <c r="A46" s="66"/>
      <c r="B46" s="66" t="s">
        <v>210</v>
      </c>
      <c r="C46" s="67" t="s">
        <v>109</v>
      </c>
    </row>
    <row r="47" spans="1:3" x14ac:dyDescent="0.3">
      <c r="A47" s="66"/>
      <c r="B47" s="66" t="s">
        <v>210</v>
      </c>
      <c r="C47" s="67" t="s">
        <v>108</v>
      </c>
    </row>
    <row r="48" spans="1:3" x14ac:dyDescent="0.3">
      <c r="A48" s="66"/>
      <c r="B48" s="66" t="s">
        <v>210</v>
      </c>
      <c r="C48" s="67" t="s">
        <v>111</v>
      </c>
    </row>
    <row r="49" spans="1:3" x14ac:dyDescent="0.3">
      <c r="A49" s="66"/>
      <c r="B49" s="66" t="s">
        <v>210</v>
      </c>
      <c r="C49" s="67" t="s">
        <v>112</v>
      </c>
    </row>
    <row r="50" spans="1:3" x14ac:dyDescent="0.3">
      <c r="A50" s="66"/>
      <c r="B50" s="66" t="s">
        <v>210</v>
      </c>
      <c r="C50" s="67" t="s">
        <v>183</v>
      </c>
    </row>
    <row r="51" spans="1:3" x14ac:dyDescent="0.3">
      <c r="A51" s="66"/>
      <c r="B51" s="66" t="s">
        <v>210</v>
      </c>
      <c r="C51" s="67" t="s">
        <v>117</v>
      </c>
    </row>
    <row r="52" spans="1:3" x14ac:dyDescent="0.3">
      <c r="A52" s="66"/>
      <c r="B52" s="66" t="s">
        <v>210</v>
      </c>
      <c r="C52" s="67" t="s">
        <v>125</v>
      </c>
    </row>
    <row r="53" spans="1:3" x14ac:dyDescent="0.3">
      <c r="A53" s="66"/>
      <c r="B53" s="66" t="s">
        <v>210</v>
      </c>
      <c r="C53" s="67" t="s">
        <v>217</v>
      </c>
    </row>
  </sheetData>
  <autoFilter ref="A1:C52" xr:uid="{BD5DA3FC-741E-47A5-AE85-807AA8056302}"/>
  <conditionalFormatting sqref="J2:J7 C2:C53">
    <cfRule type="duplicateValues" dxfId="6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R1324"/>
  <sheetViews>
    <sheetView topLeftCell="K1" zoomScale="70" zoomScaleNormal="70" workbookViewId="0">
      <pane ySplit="1" topLeftCell="A1250" activePane="bottomLeft" state="frozen"/>
      <selection pane="bottomLeft" activeCell="R1269" sqref="R1269"/>
    </sheetView>
  </sheetViews>
  <sheetFormatPr baseColWidth="10" defaultColWidth="8.6640625" defaultRowHeight="14.4" x14ac:dyDescent="0.3"/>
  <cols>
    <col min="1" max="1" width="1.6640625" style="3" customWidth="1"/>
    <col min="2" max="2" width="10.5546875" style="39" customWidth="1"/>
    <col min="3" max="3" width="19.21875" style="4" customWidth="1"/>
    <col min="4" max="4" width="48.33203125" style="41" customWidth="1"/>
    <col min="5" max="5" width="18.109375" style="4" customWidth="1"/>
    <col min="6" max="6" width="8.5546875" style="41" customWidth="1"/>
    <col min="7" max="7" width="38.21875" style="41" customWidth="1"/>
    <col min="8" max="8" width="18" style="4" customWidth="1"/>
    <col min="9" max="9" width="16.5546875" style="4" customWidth="1"/>
    <col min="10" max="10" width="14" style="43" customWidth="1"/>
    <col min="11" max="11" width="16" style="5" customWidth="1"/>
    <col min="12" max="12" width="10" style="15" customWidth="1"/>
    <col min="13" max="13" width="17.44140625" style="44" customWidth="1"/>
    <col min="14" max="14" width="14.21875" style="61" bestFit="1" customWidth="1"/>
    <col min="15" max="15" width="13.77734375" style="61" bestFit="1" customWidth="1"/>
    <col min="16" max="16" width="16" style="28" bestFit="1" customWidth="1"/>
    <col min="17" max="17" width="22.44140625" customWidth="1"/>
    <col min="18" max="18" width="14.88671875" customWidth="1"/>
  </cols>
  <sheetData>
    <row r="1" spans="1:18" s="56" customFormat="1" ht="30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127</v>
      </c>
      <c r="F1" s="2" t="s">
        <v>4</v>
      </c>
      <c r="G1" s="2" t="s">
        <v>154</v>
      </c>
      <c r="H1" s="2" t="s">
        <v>155</v>
      </c>
      <c r="I1" s="2" t="s">
        <v>151</v>
      </c>
      <c r="J1" s="2" t="s">
        <v>5</v>
      </c>
      <c r="K1" s="2" t="s">
        <v>6</v>
      </c>
      <c r="L1" s="2" t="s">
        <v>7</v>
      </c>
      <c r="M1" s="62" t="s">
        <v>8</v>
      </c>
      <c r="N1" s="63" t="s">
        <v>9</v>
      </c>
      <c r="O1" s="63" t="s">
        <v>10</v>
      </c>
      <c r="P1" s="27" t="s">
        <v>156</v>
      </c>
      <c r="Q1" s="27" t="s">
        <v>211</v>
      </c>
      <c r="R1" s="27" t="s">
        <v>205</v>
      </c>
    </row>
    <row r="2" spans="1:18" x14ac:dyDescent="0.3">
      <c r="B2" s="38">
        <v>46143</v>
      </c>
      <c r="C2" s="4" t="str">
        <f>_xlfn.XLOOKUP(tblMovimientos[[#This Row],[Cuenta Bancaria]],Listas!$B:$B,Listas!$A:$A,"")</f>
        <v>A&amp;M Imports</v>
      </c>
      <c r="D2" s="40" t="s">
        <v>100</v>
      </c>
      <c r="E2" s="4" t="str">
        <f>_xlfn.XLOOKUP(tblMovimientos[[#This Row],[Cuenta Bancaria]],Listas!$B:$B,Listas!$C:$C,"")</f>
        <v>Bank of America</v>
      </c>
      <c r="F2" s="40" t="s">
        <v>9</v>
      </c>
      <c r="G2" s="40" t="s">
        <v>80</v>
      </c>
      <c r="H2" s="4" t="str">
        <f>IFERROR(_xlfn.XLOOKUP(G2,Listas!E:E,Listas!F:F,""),"")</f>
        <v>Operativo</v>
      </c>
      <c r="I2" s="4" t="s">
        <v>152</v>
      </c>
      <c r="J2" s="42">
        <v>400000</v>
      </c>
      <c r="K2" s="5">
        <f t="shared" ref="K2:K65" si="0">IF(F2="Ingreso",J2,-J2)</f>
        <v>400000</v>
      </c>
      <c r="L2" s="6" t="s">
        <v>93</v>
      </c>
      <c r="M2" s="44">
        <f>SUMIFS('Saldos Iniciales'!$D:$D,'Saldos Iniciales'!$A:$A,C2,'Saldos Iniciales'!$B:$B,D2)+SUMIFS($K$1:$K$1324,$C$1:$C$1324,C2,$D$1:$D$1324,D2,$B$1:$B$1324,"&lt;="&amp;B2)</f>
        <v>589990.30000000005</v>
      </c>
      <c r="N2" s="61">
        <f>IF(tblMovimientos[[#This Row],[Tipo de Movimiento]]="Ingreso",tblMovimientos[[#This Row],[Monto (S/)]],"0")</f>
        <v>400000</v>
      </c>
      <c r="O2" s="61" t="str">
        <f>IF(tblMovimientos[[#This Row],[Tipo de Movimiento]]="Egreso",tblMovimientos[[#This Row],[Monto (S/)]],"0")</f>
        <v>0</v>
      </c>
      <c r="P2" s="28">
        <f>IF(tblMovimientos[[#This Row],[Tipo de Movimiento]]="Ingreso",tblMovimientos[[#This Row],[Ingreso]],-tblMovimientos[[#This Row],[Egreso]])</f>
        <v>400000</v>
      </c>
      <c r="Q2" s="78" t="str">
        <f>_xlfn.XLOOKUP(tblMovimientos[[#This Row],[Cuenta Bancaria]],Cuentas!$C:$C,Cuentas!$A:$A,"")&amp;""</f>
        <v>SSP Group</v>
      </c>
      <c r="R2" s="78" t="str">
        <f>_xlfn.XLOOKUP(tblMovimientos[[#This Row],[Cuenta Bancaria]],Cuentas!$C:$C,Cuentas!$B:$B,"",0,-1)&amp;""</f>
        <v/>
      </c>
    </row>
    <row r="3" spans="1:18" x14ac:dyDescent="0.3">
      <c r="B3" s="38">
        <v>46143</v>
      </c>
      <c r="C3" s="4" t="str">
        <f>_xlfn.XLOOKUP(tblMovimientos[[#This Row],[Cuenta Bancaria]],Listas!$B:$B,Listas!$A:$A,"")</f>
        <v>A&amp;M Imports</v>
      </c>
      <c r="D3" s="40" t="s">
        <v>100</v>
      </c>
      <c r="E3" s="4" t="str">
        <f>_xlfn.XLOOKUP(tblMovimientos[[#This Row],[Cuenta Bancaria]],Listas!$B:$B,Listas!$C:$C,"")</f>
        <v>Bank of America</v>
      </c>
      <c r="F3" s="40" t="s">
        <v>9</v>
      </c>
      <c r="G3" s="40" t="s">
        <v>68</v>
      </c>
      <c r="H3" s="4" t="str">
        <f>IFERROR(_xlfn.XLOOKUP(G3,Listas!E:E,Listas!F:F,""),"")</f>
        <v>Operativo</v>
      </c>
      <c r="I3" s="4" t="s">
        <v>152</v>
      </c>
      <c r="J3" s="42">
        <v>12901.71</v>
      </c>
      <c r="K3" s="5">
        <f t="shared" si="0"/>
        <v>12901.71</v>
      </c>
      <c r="L3" s="6" t="s">
        <v>93</v>
      </c>
      <c r="M3" s="44">
        <f>SUMIFS('Saldos Iniciales'!$D:$D,'Saldos Iniciales'!$A:$A,C3,'Saldos Iniciales'!$B:$B,D3)+SUMIFS($K$1:$K$1324,$C$1:$C$1324,C3,$D$1:$D$1324,D3,$B$1:$B$1324,"&lt;="&amp;B3)</f>
        <v>589990.30000000005</v>
      </c>
      <c r="N3" s="61">
        <f>IF(tblMovimientos[[#This Row],[Tipo de Movimiento]]="Ingreso",tblMovimientos[[#This Row],[Monto (S/)]],"0")</f>
        <v>12901.71</v>
      </c>
      <c r="O3" s="61" t="str">
        <f>IF(tblMovimientos[[#This Row],[Tipo de Movimiento]]="Egreso",tblMovimientos[[#This Row],[Monto (S/)]],"0")</f>
        <v>0</v>
      </c>
      <c r="P3" s="28">
        <f>IF(tblMovimientos[[#This Row],[Tipo de Movimiento]]="Ingreso",tblMovimientos[[#This Row],[Ingreso]],-tblMovimientos[[#This Row],[Egreso]])</f>
        <v>12901.71</v>
      </c>
      <c r="Q3" s="78" t="str">
        <f>_xlfn.XLOOKUP(tblMovimientos[[#This Row],[Cuenta Bancaria]],Cuentas!$C:$C,Cuentas!$A:$A,"")&amp;""</f>
        <v>SSP Group</v>
      </c>
      <c r="R3" s="78" t="str">
        <f>_xlfn.XLOOKUP(tblMovimientos[[#This Row],[Cuenta Bancaria]],Cuentas!$C:$C,Cuentas!$B:$B,"",0,-1)&amp;""</f>
        <v/>
      </c>
    </row>
    <row r="4" spans="1:18" x14ac:dyDescent="0.3">
      <c r="B4" s="38">
        <v>46143</v>
      </c>
      <c r="C4" s="4" t="str">
        <f>_xlfn.XLOOKUP(tblMovimientos[[#This Row],[Cuenta Bancaria]],Listas!$B:$B,Listas!$A:$A,"")</f>
        <v>Sacred Valley Capital</v>
      </c>
      <c r="D4" s="40" t="s">
        <v>114</v>
      </c>
      <c r="E4" s="4" t="str">
        <f>_xlfn.XLOOKUP(tblMovimientos[[#This Row],[Cuenta Bancaria]],Listas!$B:$B,Listas!$C:$C,"")</f>
        <v>Bank of America</v>
      </c>
      <c r="F4" s="40" t="s">
        <v>10</v>
      </c>
      <c r="G4" s="40" t="s">
        <v>44</v>
      </c>
      <c r="H4" s="4" t="str">
        <f>IFERROR(_xlfn.XLOOKUP(G4,Listas!E:E,Listas!F:F,""),"")</f>
        <v>Operativo</v>
      </c>
      <c r="I4" s="46" t="str">
        <f>IFERROR(_xlfn.XLOOKUP(G4,Listas!E:E,Listas!G:G,""),"")</f>
        <v>Externo</v>
      </c>
      <c r="J4" s="42">
        <v>29.95</v>
      </c>
      <c r="K4" s="5">
        <f t="shared" si="0"/>
        <v>-29.95</v>
      </c>
      <c r="L4" s="6" t="s">
        <v>93</v>
      </c>
      <c r="M4" s="44">
        <f>SUMIFS('Saldos Iniciales'!$D:$D,'Saldos Iniciales'!$A:$A,C4,'Saldos Iniciales'!$B:$B,D4)+SUMIFS($K$1:$K$1324,$C$1:$C$1324,C4,$D$1:$D$1324,D4,$B$1:$B$1324,"&lt;="&amp;B4)</f>
        <v>114.3</v>
      </c>
      <c r="N4" s="61" t="str">
        <f>IF(tblMovimientos[[#This Row],[Tipo de Movimiento]]="Ingreso",tblMovimientos[[#This Row],[Monto (S/)]],"0")</f>
        <v>0</v>
      </c>
      <c r="O4" s="61">
        <f>IF(tblMovimientos[[#This Row],[Tipo de Movimiento]]="Egreso",tblMovimientos[[#This Row],[Monto (S/)]],"0")</f>
        <v>29.95</v>
      </c>
      <c r="P4" s="28">
        <f>IF(tblMovimientos[[#This Row],[Tipo de Movimiento]]="Ingreso",tblMovimientos[[#This Row],[Ingreso]],-tblMovimientos[[#This Row],[Egreso]])</f>
        <v>-29.95</v>
      </c>
      <c r="Q4" s="78" t="str">
        <f>_xlfn.XLOOKUP(tblMovimientos[[#This Row],[Cuenta Bancaria]],Cuentas!$C:$C,Cuentas!$A:$A,"")&amp;""</f>
        <v>SSP Group</v>
      </c>
      <c r="R4" s="78" t="str">
        <f>_xlfn.XLOOKUP(tblMovimientos[[#This Row],[Cuenta Bancaria]],Cuentas!$C:$C,Cuentas!$B:$B,"",0,-1)&amp;""</f>
        <v/>
      </c>
    </row>
    <row r="5" spans="1:18" x14ac:dyDescent="0.3">
      <c r="B5" s="38">
        <v>46143</v>
      </c>
      <c r="C5" s="4" t="str">
        <f>_xlfn.XLOOKUP(tblMovimientos[[#This Row],[Cuenta Bancaria]],Listas!$B:$B,Listas!$A:$A,"")</f>
        <v>YWC Capital</v>
      </c>
      <c r="D5" s="40" t="s">
        <v>115</v>
      </c>
      <c r="E5" s="4" t="str">
        <f>_xlfn.XLOOKUP(tblMovimientos[[#This Row],[Cuenta Bancaria]],Listas!$B:$B,Listas!$C:$C,"")</f>
        <v>Bank of America</v>
      </c>
      <c r="F5" s="40" t="s">
        <v>10</v>
      </c>
      <c r="G5" s="40" t="s">
        <v>44</v>
      </c>
      <c r="H5" s="4" t="str">
        <f>IFERROR(_xlfn.XLOOKUP(G5,Listas!E:E,Listas!F:F,""),"")</f>
        <v>Operativo</v>
      </c>
      <c r="I5" s="46" t="str">
        <f>IFERROR(_xlfn.XLOOKUP(G5,Listas!E:E,Listas!G:G,""),"")</f>
        <v>Externo</v>
      </c>
      <c r="J5" s="42">
        <v>29.95</v>
      </c>
      <c r="K5" s="5">
        <f t="shared" si="0"/>
        <v>-29.95</v>
      </c>
      <c r="L5" s="6" t="s">
        <v>93</v>
      </c>
      <c r="M5" s="44">
        <f>SUMIFS('Saldos Iniciales'!$D:$D,'Saldos Iniciales'!$A:$A,C5,'Saldos Iniciales'!$B:$B,D5)+SUMIFS($K$1:$K$1324,$C$1:$C$1324,C5,$D$1:$D$1324,D5,$B$1:$B$1324,"&lt;="&amp;B5)</f>
        <v>2267.7200000000003</v>
      </c>
      <c r="N5" s="61" t="str">
        <f>IF(tblMovimientos[[#This Row],[Tipo de Movimiento]]="Ingreso",tblMovimientos[[#This Row],[Monto (S/)]],"0")</f>
        <v>0</v>
      </c>
      <c r="O5" s="61">
        <f>IF(tblMovimientos[[#This Row],[Tipo de Movimiento]]="Egreso",tblMovimientos[[#This Row],[Monto (S/)]],"0")</f>
        <v>29.95</v>
      </c>
      <c r="P5" s="28">
        <f>IF(tblMovimientos[[#This Row],[Tipo de Movimiento]]="Ingreso",tblMovimientos[[#This Row],[Ingreso]],-tblMovimientos[[#This Row],[Egreso]])</f>
        <v>-29.95</v>
      </c>
      <c r="Q5" s="78" t="str">
        <f>_xlfn.XLOOKUP(tblMovimientos[[#This Row],[Cuenta Bancaria]],Cuentas!$C:$C,Cuentas!$A:$A,"")&amp;""</f>
        <v>SSP Group</v>
      </c>
      <c r="R5" s="78" t="str">
        <f>_xlfn.XLOOKUP(tblMovimientos[[#This Row],[Cuenta Bancaria]],Cuentas!$C:$C,Cuentas!$B:$B,"",0,-1)&amp;""</f>
        <v/>
      </c>
    </row>
    <row r="6" spans="1:18" x14ac:dyDescent="0.3">
      <c r="B6" s="38">
        <v>46143</v>
      </c>
      <c r="C6" s="4" t="str">
        <f>_xlfn.XLOOKUP(tblMovimientos[[#This Row],[Cuenta Bancaria]],Listas!$B:$B,Listas!$A:$A,"")</f>
        <v>Arbor Capital Properties</v>
      </c>
      <c r="D6" s="40" t="s">
        <v>120</v>
      </c>
      <c r="E6" s="4" t="str">
        <f>_xlfn.XLOOKUP(tblMovimientos[[#This Row],[Cuenta Bancaria]],Listas!$B:$B,Listas!$C:$C,"")</f>
        <v>Bank of America</v>
      </c>
      <c r="F6" s="40" t="s">
        <v>10</v>
      </c>
      <c r="G6" s="40" t="s">
        <v>44</v>
      </c>
      <c r="H6" s="4" t="str">
        <f>IFERROR(_xlfn.XLOOKUP(G6,Listas!E:E,Listas!F:F,""),"")</f>
        <v>Operativo</v>
      </c>
      <c r="I6" s="46" t="str">
        <f>IFERROR(_xlfn.XLOOKUP(G6,Listas!E:E,Listas!G:G,""),"")</f>
        <v>Externo</v>
      </c>
      <c r="J6" s="42">
        <v>16</v>
      </c>
      <c r="K6" s="5">
        <f t="shared" si="0"/>
        <v>-16</v>
      </c>
      <c r="L6" s="6" t="s">
        <v>93</v>
      </c>
      <c r="M6" s="44">
        <f>SUMIFS('Saldos Iniciales'!$D:$D,'Saldos Iniciales'!$A:$A,C6,'Saldos Iniciales'!$B:$B,D6)+SUMIFS($K$1:$K$1324,$C$1:$C$1324,C6,$D$1:$D$1324,D6,$B$1:$B$1324,"&lt;="&amp;B6)</f>
        <v>1444.08</v>
      </c>
      <c r="N6" s="61" t="str">
        <f>IF(tblMovimientos[[#This Row],[Tipo de Movimiento]]="Ingreso",tblMovimientos[[#This Row],[Monto (S/)]],"0")</f>
        <v>0</v>
      </c>
      <c r="O6" s="61">
        <f>IF(tblMovimientos[[#This Row],[Tipo de Movimiento]]="Egreso",tblMovimientos[[#This Row],[Monto (S/)]],"0")</f>
        <v>16</v>
      </c>
      <c r="P6" s="28">
        <f>IF(tblMovimientos[[#This Row],[Tipo de Movimiento]]="Ingreso",tblMovimientos[[#This Row],[Ingreso]],-tblMovimientos[[#This Row],[Egreso]])</f>
        <v>-16</v>
      </c>
      <c r="Q6" s="78" t="str">
        <f>_xlfn.XLOOKUP(tblMovimientos[[#This Row],[Cuenta Bancaria]],Cuentas!$C:$C,Cuentas!$A:$A,"")&amp;""</f>
        <v>SSP Group</v>
      </c>
      <c r="R6" s="78" t="str">
        <f>_xlfn.XLOOKUP(tblMovimientos[[#This Row],[Cuenta Bancaria]],Cuentas!$C:$C,Cuentas!$B:$B,"",0,-1)&amp;""</f>
        <v/>
      </c>
    </row>
    <row r="7" spans="1:18" x14ac:dyDescent="0.3">
      <c r="B7" s="38">
        <v>46143</v>
      </c>
      <c r="C7" s="4" t="str">
        <f>_xlfn.XLOOKUP(tblMovimientos[[#This Row],[Cuenta Bancaria]],Listas!$B:$B,Listas!$A:$A,"")</f>
        <v>2515 Overbrook</v>
      </c>
      <c r="D7" s="40" t="s">
        <v>121</v>
      </c>
      <c r="E7" s="4" t="str">
        <f>_xlfn.XLOOKUP(tblMovimientos[[#This Row],[Cuenta Bancaria]],Listas!$B:$B,Listas!$C:$C,"")</f>
        <v>Bank of America</v>
      </c>
      <c r="F7" s="40" t="s">
        <v>9</v>
      </c>
      <c r="G7" s="40" t="s">
        <v>81</v>
      </c>
      <c r="H7" s="4" t="str">
        <f>IFERROR(_xlfn.XLOOKUP(G7,Listas!E:E,Listas!F:F,""),"")</f>
        <v>Operativo</v>
      </c>
      <c r="I7" s="46" t="str">
        <f>IFERROR(_xlfn.XLOOKUP(G7,Listas!E:E,Listas!G:G,""),"")</f>
        <v>Externo</v>
      </c>
      <c r="J7" s="42">
        <v>5250</v>
      </c>
      <c r="K7" s="5">
        <f t="shared" si="0"/>
        <v>5250</v>
      </c>
      <c r="L7" s="6" t="s">
        <v>93</v>
      </c>
      <c r="M7" s="44">
        <f>SUMIFS('Saldos Iniciales'!$D:$D,'Saldos Iniciales'!$A:$A,C7,'Saldos Iniciales'!$B:$B,D7)+SUMIFS($K$1:$K$1324,$C$1:$C$1324,C7,$D$1:$D$1324,D7,$B$1:$B$1324,"&lt;="&amp;B7)</f>
        <v>22922.179999999964</v>
      </c>
      <c r="N7" s="61">
        <f>IF(tblMovimientos[[#This Row],[Tipo de Movimiento]]="Ingreso",tblMovimientos[[#This Row],[Monto (S/)]],"0")</f>
        <v>5250</v>
      </c>
      <c r="O7" s="61" t="str">
        <f>IF(tblMovimientos[[#This Row],[Tipo de Movimiento]]="Egreso",tblMovimientos[[#This Row],[Monto (S/)]],"0")</f>
        <v>0</v>
      </c>
      <c r="P7" s="28">
        <f>IF(tblMovimientos[[#This Row],[Tipo de Movimiento]]="Ingreso",tblMovimientos[[#This Row],[Ingreso]],-tblMovimientos[[#This Row],[Egreso]])</f>
        <v>5250</v>
      </c>
      <c r="Q7" s="78" t="str">
        <f>_xlfn.XLOOKUP(tblMovimientos[[#This Row],[Cuenta Bancaria]],Cuentas!$C:$C,Cuentas!$A:$A,"")&amp;""</f>
        <v>SSP Group</v>
      </c>
      <c r="R7" s="78" t="str">
        <f>_xlfn.XLOOKUP(tblMovimientos[[#This Row],[Cuenta Bancaria]],Cuentas!$C:$C,Cuentas!$B:$B,"",0,-1)&amp;""</f>
        <v/>
      </c>
    </row>
    <row r="8" spans="1:18" x14ac:dyDescent="0.3">
      <c r="B8" s="38">
        <v>46143</v>
      </c>
      <c r="C8" s="4" t="str">
        <f>_xlfn.XLOOKUP(tblMovimientos[[#This Row],[Cuenta Bancaria]],Listas!$B:$B,Listas!$A:$A,"")</f>
        <v>2515 Overbrook</v>
      </c>
      <c r="D8" s="40" t="s">
        <v>121</v>
      </c>
      <c r="E8" s="4" t="str">
        <f>_xlfn.XLOOKUP(tblMovimientos[[#This Row],[Cuenta Bancaria]],Listas!$B:$B,Listas!$C:$C,"")</f>
        <v>Bank of America</v>
      </c>
      <c r="F8" s="40" t="s">
        <v>10</v>
      </c>
      <c r="G8" s="40" t="s">
        <v>48</v>
      </c>
      <c r="H8" s="4" t="str">
        <f>IFERROR(_xlfn.XLOOKUP(G8,Listas!E:E,Listas!F:F,""),"")</f>
        <v>Financiamiento</v>
      </c>
      <c r="I8" s="46" t="str">
        <f>IFERROR(_xlfn.XLOOKUP(G8,Listas!E:E,Listas!G:G,""),"")</f>
        <v>Externo</v>
      </c>
      <c r="J8" s="42">
        <v>8578.33</v>
      </c>
      <c r="K8" s="5">
        <f t="shared" si="0"/>
        <v>-8578.33</v>
      </c>
      <c r="L8" s="6" t="s">
        <v>93</v>
      </c>
      <c r="M8" s="44">
        <f>SUMIFS('Saldos Iniciales'!$D:$D,'Saldos Iniciales'!$A:$A,C8,'Saldos Iniciales'!$B:$B,D8)+SUMIFS($K$1:$K$1324,$C$1:$C$1324,C8,$D$1:$D$1324,D8,$B$1:$B$1324,"&lt;="&amp;B8)</f>
        <v>22922.179999999964</v>
      </c>
      <c r="N8" s="61" t="str">
        <f>IF(tblMovimientos[[#This Row],[Tipo de Movimiento]]="Ingreso",tblMovimientos[[#This Row],[Monto (S/)]],"0")</f>
        <v>0</v>
      </c>
      <c r="O8" s="61">
        <f>IF(tblMovimientos[[#This Row],[Tipo de Movimiento]]="Egreso",tblMovimientos[[#This Row],[Monto (S/)]],"0")</f>
        <v>8578.33</v>
      </c>
      <c r="P8" s="28">
        <f>IF(tblMovimientos[[#This Row],[Tipo de Movimiento]]="Ingreso",tblMovimientos[[#This Row],[Ingreso]],-tblMovimientos[[#This Row],[Egreso]])</f>
        <v>-8578.33</v>
      </c>
      <c r="Q8" s="78" t="str">
        <f>_xlfn.XLOOKUP(tblMovimientos[[#This Row],[Cuenta Bancaria]],Cuentas!$C:$C,Cuentas!$A:$A,"")&amp;""</f>
        <v>SSP Group</v>
      </c>
      <c r="R8" s="78" t="str">
        <f>_xlfn.XLOOKUP(tblMovimientos[[#This Row],[Cuenta Bancaria]],Cuentas!$C:$C,Cuentas!$B:$B,"",0,-1)&amp;""</f>
        <v/>
      </c>
    </row>
    <row r="9" spans="1:18" x14ac:dyDescent="0.3">
      <c r="B9" s="38">
        <v>46143</v>
      </c>
      <c r="C9" s="4" t="str">
        <f>_xlfn.XLOOKUP(tblMovimientos[[#This Row],[Cuenta Bancaria]],Listas!$B:$B,Listas!$A:$A,"")</f>
        <v>2515 Overbrook</v>
      </c>
      <c r="D9" s="40" t="s">
        <v>121</v>
      </c>
      <c r="E9" s="4" t="str">
        <f>_xlfn.XLOOKUP(tblMovimientos[[#This Row],[Cuenta Bancaria]],Listas!$B:$B,Listas!$C:$C,"")</f>
        <v>Bank of America</v>
      </c>
      <c r="F9" s="40" t="s">
        <v>10</v>
      </c>
      <c r="G9" s="40" t="s">
        <v>44</v>
      </c>
      <c r="H9" s="4" t="str">
        <f>IFERROR(_xlfn.XLOOKUP(G9,Listas!E:E,Listas!F:F,""),"")</f>
        <v>Operativo</v>
      </c>
      <c r="I9" s="46" t="str">
        <f>IFERROR(_xlfn.XLOOKUP(G9,Listas!E:E,Listas!G:G,""),"")</f>
        <v>Externo</v>
      </c>
      <c r="J9" s="42">
        <v>16</v>
      </c>
      <c r="K9" s="5">
        <f t="shared" si="0"/>
        <v>-16</v>
      </c>
      <c r="L9" s="6" t="s">
        <v>93</v>
      </c>
      <c r="M9" s="44">
        <f>SUMIFS('Saldos Iniciales'!$D:$D,'Saldos Iniciales'!$A:$A,C9,'Saldos Iniciales'!$B:$B,D9)+SUMIFS($K$1:$K$1324,$C$1:$C$1324,C9,$D$1:$D$1324,D9,$B$1:$B$1324,"&lt;="&amp;B9)</f>
        <v>22922.179999999964</v>
      </c>
      <c r="N9" s="61" t="str">
        <f>IF(tblMovimientos[[#This Row],[Tipo de Movimiento]]="Ingreso",tblMovimientos[[#This Row],[Monto (S/)]],"0")</f>
        <v>0</v>
      </c>
      <c r="O9" s="61">
        <f>IF(tblMovimientos[[#This Row],[Tipo de Movimiento]]="Egreso",tblMovimientos[[#This Row],[Monto (S/)]],"0")</f>
        <v>16</v>
      </c>
      <c r="P9" s="28">
        <f>IF(tblMovimientos[[#This Row],[Tipo de Movimiento]]="Ingreso",tblMovimientos[[#This Row],[Ingreso]],-tblMovimientos[[#This Row],[Egreso]])</f>
        <v>-16</v>
      </c>
      <c r="Q9" s="78" t="str">
        <f>_xlfn.XLOOKUP(tblMovimientos[[#This Row],[Cuenta Bancaria]],Cuentas!$C:$C,Cuentas!$A:$A,"")&amp;""</f>
        <v>SSP Group</v>
      </c>
      <c r="R9" s="78" t="str">
        <f>_xlfn.XLOOKUP(tblMovimientos[[#This Row],[Cuenta Bancaria]],Cuentas!$C:$C,Cuentas!$B:$B,"",0,-1)&amp;""</f>
        <v/>
      </c>
    </row>
    <row r="10" spans="1:18" x14ac:dyDescent="0.3">
      <c r="B10" s="38">
        <v>46143</v>
      </c>
      <c r="C10" s="4" t="str">
        <f>_xlfn.XLOOKUP(tblMovimientos[[#This Row],[Cuenta Bancaria]],Listas!$B:$B,Listas!$A:$A,"")</f>
        <v>2515 Overbrook</v>
      </c>
      <c r="D10" s="40" t="s">
        <v>122</v>
      </c>
      <c r="E10" s="4" t="str">
        <f>_xlfn.XLOOKUP(tblMovimientos[[#This Row],[Cuenta Bancaria]],Listas!$B:$B,Listas!$C:$C,"")</f>
        <v>Bank of America</v>
      </c>
      <c r="F10" s="40" t="s">
        <v>10</v>
      </c>
      <c r="G10" s="40" t="s">
        <v>44</v>
      </c>
      <c r="H10" s="4" t="str">
        <f>IFERROR(_xlfn.XLOOKUP(G10,Listas!E:E,Listas!F:F,""),"")</f>
        <v>Operativo</v>
      </c>
      <c r="I10" s="46" t="str">
        <f>IFERROR(_xlfn.XLOOKUP(G10,Listas!E:E,Listas!G:G,""),"")</f>
        <v>Externo</v>
      </c>
      <c r="J10" s="42">
        <v>10</v>
      </c>
      <c r="K10" s="5">
        <f t="shared" si="0"/>
        <v>-10</v>
      </c>
      <c r="L10" s="6" t="s">
        <v>93</v>
      </c>
      <c r="M10" s="44">
        <f>SUMIFS('Saldos Iniciales'!$D:$D,'Saldos Iniciales'!$A:$A,C10,'Saldos Iniciales'!$B:$B,D10)+SUMIFS($K$1:$K$1324,$C$1:$C$1324,C10,$D$1:$D$1324,D10,$B$1:$B$1324,"&lt;="&amp;B10)</f>
        <v>340.42</v>
      </c>
      <c r="N10" s="61" t="str">
        <f>IF(tblMovimientos[[#This Row],[Tipo de Movimiento]]="Ingreso",tblMovimientos[[#This Row],[Monto (S/)]],"0")</f>
        <v>0</v>
      </c>
      <c r="O10" s="61">
        <f>IF(tblMovimientos[[#This Row],[Tipo de Movimiento]]="Egreso",tblMovimientos[[#This Row],[Monto (S/)]],"0")</f>
        <v>10</v>
      </c>
      <c r="P10" s="28">
        <f>IF(tblMovimientos[[#This Row],[Tipo de Movimiento]]="Ingreso",tblMovimientos[[#This Row],[Ingreso]],-tblMovimientos[[#This Row],[Egreso]])</f>
        <v>-10</v>
      </c>
      <c r="Q10" s="78" t="str">
        <f>_xlfn.XLOOKUP(tblMovimientos[[#This Row],[Cuenta Bancaria]],Cuentas!$C:$C,Cuentas!$A:$A,"")&amp;""</f>
        <v>SSP Group</v>
      </c>
      <c r="R10" s="78" t="str">
        <f>_xlfn.XLOOKUP(tblMovimientos[[#This Row],[Cuenta Bancaria]],Cuentas!$C:$C,Cuentas!$B:$B,"",0,-1)&amp;""</f>
        <v/>
      </c>
    </row>
    <row r="11" spans="1:18" x14ac:dyDescent="0.3">
      <c r="B11" s="38">
        <v>46143</v>
      </c>
      <c r="C11" s="4" t="str">
        <f>_xlfn.XLOOKUP(tblMovimientos[[#This Row],[Cuenta Bancaria]],Listas!$B:$B,Listas!$A:$A,"")</f>
        <v>112 Florida Ave</v>
      </c>
      <c r="D11" s="40" t="s">
        <v>123</v>
      </c>
      <c r="E11" s="4" t="str">
        <f>_xlfn.XLOOKUP(tblMovimientos[[#This Row],[Cuenta Bancaria]],Listas!$B:$B,Listas!$C:$C,"")</f>
        <v>Bank of America</v>
      </c>
      <c r="F11" s="40" t="s">
        <v>9</v>
      </c>
      <c r="G11" s="40" t="s">
        <v>81</v>
      </c>
      <c r="H11" s="4" t="str">
        <f>IFERROR(_xlfn.XLOOKUP(G11,Listas!E:E,Listas!F:F,""),"")</f>
        <v>Operativo</v>
      </c>
      <c r="I11" s="46" t="str">
        <f>IFERROR(_xlfn.XLOOKUP(G11,Listas!E:E,Listas!G:G,""),"")</f>
        <v>Externo</v>
      </c>
      <c r="J11" s="42">
        <v>6750</v>
      </c>
      <c r="K11" s="5">
        <f t="shared" si="0"/>
        <v>6750</v>
      </c>
      <c r="L11" s="6" t="s">
        <v>93</v>
      </c>
      <c r="M11" s="44">
        <f>SUMIFS('Saldos Iniciales'!$D:$D,'Saldos Iniciales'!$A:$A,C11,'Saldos Iniciales'!$B:$B,D11)+SUMIFS($K$1:$K$1324,$C$1:$C$1324,C11,$D$1:$D$1324,D11,$B$1:$B$1324,"&lt;="&amp;B11)</f>
        <v>6853.9100000000017</v>
      </c>
      <c r="N11" s="61">
        <f>IF(tblMovimientos[[#This Row],[Tipo de Movimiento]]="Ingreso",tblMovimientos[[#This Row],[Monto (S/)]],"0")</f>
        <v>6750</v>
      </c>
      <c r="O11" s="61" t="str">
        <f>IF(tblMovimientos[[#This Row],[Tipo de Movimiento]]="Egreso",tblMovimientos[[#This Row],[Monto (S/)]],"0")</f>
        <v>0</v>
      </c>
      <c r="P11" s="28">
        <f>IF(tblMovimientos[[#This Row],[Tipo de Movimiento]]="Ingreso",tblMovimientos[[#This Row],[Ingreso]],-tblMovimientos[[#This Row],[Egreso]])</f>
        <v>6750</v>
      </c>
      <c r="Q11" s="78" t="str">
        <f>_xlfn.XLOOKUP(tblMovimientos[[#This Row],[Cuenta Bancaria]],Cuentas!$C:$C,Cuentas!$A:$A,"")&amp;""</f>
        <v>SSP Group</v>
      </c>
      <c r="R11" s="78" t="str">
        <f>_xlfn.XLOOKUP(tblMovimientos[[#This Row],[Cuenta Bancaria]],Cuentas!$C:$C,Cuentas!$B:$B,"",0,-1)&amp;""</f>
        <v/>
      </c>
    </row>
    <row r="12" spans="1:18" x14ac:dyDescent="0.3">
      <c r="B12" s="38">
        <v>46143</v>
      </c>
      <c r="C12" s="4" t="str">
        <f>_xlfn.XLOOKUP(tblMovimientos[[#This Row],[Cuenta Bancaria]],Listas!$B:$B,Listas!$A:$A,"")</f>
        <v>112 Florida Ave</v>
      </c>
      <c r="D12" s="40" t="s">
        <v>123</v>
      </c>
      <c r="E12" s="4" t="str">
        <f>_xlfn.XLOOKUP(tblMovimientos[[#This Row],[Cuenta Bancaria]],Listas!$B:$B,Listas!$C:$C,"")</f>
        <v>Bank of America</v>
      </c>
      <c r="F12" s="40" t="s">
        <v>10</v>
      </c>
      <c r="G12" s="40" t="s">
        <v>48</v>
      </c>
      <c r="H12" s="4" t="str">
        <f>IFERROR(_xlfn.XLOOKUP(G12,Listas!E:E,Listas!F:F,""),"")</f>
        <v>Financiamiento</v>
      </c>
      <c r="I12" s="46" t="str">
        <f>IFERROR(_xlfn.XLOOKUP(G12,Listas!E:E,Listas!G:G,""),"")</f>
        <v>Externo</v>
      </c>
      <c r="J12" s="42">
        <v>9798.6299999999992</v>
      </c>
      <c r="K12" s="5">
        <f t="shared" si="0"/>
        <v>-9798.6299999999992</v>
      </c>
      <c r="L12" s="6" t="s">
        <v>93</v>
      </c>
      <c r="M12" s="44">
        <f>SUMIFS('Saldos Iniciales'!$D:$D,'Saldos Iniciales'!$A:$A,C12,'Saldos Iniciales'!$B:$B,D12)+SUMIFS($K$1:$K$1324,$C$1:$C$1324,C12,$D$1:$D$1324,D12,$B$1:$B$1324,"&lt;="&amp;B12)</f>
        <v>6853.9100000000017</v>
      </c>
      <c r="N12" s="61" t="str">
        <f>IF(tblMovimientos[[#This Row],[Tipo de Movimiento]]="Ingreso",tblMovimientos[[#This Row],[Monto (S/)]],"0")</f>
        <v>0</v>
      </c>
      <c r="O12" s="61">
        <f>IF(tblMovimientos[[#This Row],[Tipo de Movimiento]]="Egreso",tblMovimientos[[#This Row],[Monto (S/)]],"0")</f>
        <v>9798.6299999999992</v>
      </c>
      <c r="P12" s="28">
        <f>IF(tblMovimientos[[#This Row],[Tipo de Movimiento]]="Ingreso",tblMovimientos[[#This Row],[Ingreso]],-tblMovimientos[[#This Row],[Egreso]])</f>
        <v>-9798.6299999999992</v>
      </c>
      <c r="Q12" s="78" t="str">
        <f>_xlfn.XLOOKUP(tblMovimientos[[#This Row],[Cuenta Bancaria]],Cuentas!$C:$C,Cuentas!$A:$A,"")&amp;""</f>
        <v>SSP Group</v>
      </c>
      <c r="R12" s="78" t="str">
        <f>_xlfn.XLOOKUP(tblMovimientos[[#This Row],[Cuenta Bancaria]],Cuentas!$C:$C,Cuentas!$B:$B,"",0,-1)&amp;""</f>
        <v/>
      </c>
    </row>
    <row r="13" spans="1:18" x14ac:dyDescent="0.3">
      <c r="B13" s="38">
        <v>46143</v>
      </c>
      <c r="C13" s="4" t="str">
        <f>_xlfn.XLOOKUP(tblMovimientos[[#This Row],[Cuenta Bancaria]],Listas!$B:$B,Listas!$A:$A,"")</f>
        <v>3628 Thomas Ave</v>
      </c>
      <c r="D13" s="40" t="s">
        <v>124</v>
      </c>
      <c r="E13" s="4" t="str">
        <f>_xlfn.XLOOKUP(tblMovimientos[[#This Row],[Cuenta Bancaria]],Listas!$B:$B,Listas!$C:$C,"")</f>
        <v>Bank of America</v>
      </c>
      <c r="F13" s="40" t="s">
        <v>9</v>
      </c>
      <c r="G13" s="40" t="s">
        <v>81</v>
      </c>
      <c r="H13" s="4" t="str">
        <f>IFERROR(_xlfn.XLOOKUP(G13,Listas!E:E,Listas!F:F,""),"")</f>
        <v>Operativo</v>
      </c>
      <c r="I13" s="46" t="str">
        <f>IFERROR(_xlfn.XLOOKUP(G13,Listas!E:E,Listas!G:G,""),"")</f>
        <v>Externo</v>
      </c>
      <c r="J13" s="42">
        <v>5050</v>
      </c>
      <c r="K13" s="5">
        <f t="shared" si="0"/>
        <v>5050</v>
      </c>
      <c r="L13" s="6" t="s">
        <v>93</v>
      </c>
      <c r="M13" s="44">
        <f>SUMIFS('Saldos Iniciales'!$D:$D,'Saldos Iniciales'!$A:$A,C13,'Saldos Iniciales'!$B:$B,D13)+SUMIFS($K$1:$K$1324,$C$1:$C$1324,C13,$D$1:$D$1324,D13,$B$1:$B$1324,"&lt;="&amp;B13)</f>
        <v>21338.39</v>
      </c>
      <c r="N13" s="61">
        <f>IF(tblMovimientos[[#This Row],[Tipo de Movimiento]]="Ingreso",tblMovimientos[[#This Row],[Monto (S/)]],"0")</f>
        <v>5050</v>
      </c>
      <c r="O13" s="61" t="str">
        <f>IF(tblMovimientos[[#This Row],[Tipo de Movimiento]]="Egreso",tblMovimientos[[#This Row],[Monto (S/)]],"0")</f>
        <v>0</v>
      </c>
      <c r="P13" s="28">
        <f>IF(tblMovimientos[[#This Row],[Tipo de Movimiento]]="Ingreso",tblMovimientos[[#This Row],[Ingreso]],-tblMovimientos[[#This Row],[Egreso]])</f>
        <v>5050</v>
      </c>
      <c r="Q13" s="78" t="str">
        <f>_xlfn.XLOOKUP(tblMovimientos[[#This Row],[Cuenta Bancaria]],Cuentas!$C:$C,Cuentas!$A:$A,"")&amp;""</f>
        <v>SSP Group</v>
      </c>
      <c r="R13" s="78" t="str">
        <f>_xlfn.XLOOKUP(tblMovimientos[[#This Row],[Cuenta Bancaria]],Cuentas!$C:$C,Cuentas!$B:$B,"",0,-1)&amp;""</f>
        <v/>
      </c>
    </row>
    <row r="14" spans="1:18" x14ac:dyDescent="0.3">
      <c r="B14" s="38">
        <v>46143</v>
      </c>
      <c r="C14" s="4" t="str">
        <f>_xlfn.XLOOKUP(tblMovimientos[[#This Row],[Cuenta Bancaria]],Listas!$B:$B,Listas!$A:$A,"")</f>
        <v>3628 Thomas Ave</v>
      </c>
      <c r="D14" s="40" t="s">
        <v>124</v>
      </c>
      <c r="E14" s="4" t="str">
        <f>_xlfn.XLOOKUP(tblMovimientos[[#This Row],[Cuenta Bancaria]],Listas!$B:$B,Listas!$C:$C,"")</f>
        <v>Bank of America</v>
      </c>
      <c r="F14" s="40" t="s">
        <v>10</v>
      </c>
      <c r="G14" s="40" t="s">
        <v>48</v>
      </c>
      <c r="H14" s="4" t="str">
        <f>IFERROR(_xlfn.XLOOKUP(G14,Listas!E:E,Listas!F:F,""),"")</f>
        <v>Financiamiento</v>
      </c>
      <c r="I14" s="46" t="str">
        <f>IFERROR(_xlfn.XLOOKUP(G14,Listas!E:E,Listas!G:G,""),"")</f>
        <v>Externo</v>
      </c>
      <c r="J14" s="42">
        <v>8773.0400000000009</v>
      </c>
      <c r="K14" s="5">
        <f t="shared" si="0"/>
        <v>-8773.0400000000009</v>
      </c>
      <c r="L14" s="6" t="s">
        <v>93</v>
      </c>
      <c r="M14" s="44">
        <f>SUMIFS('Saldos Iniciales'!$D:$D,'Saldos Iniciales'!$A:$A,C14,'Saldos Iniciales'!$B:$B,D14)+SUMIFS($K$1:$K$1324,$C$1:$C$1324,C14,$D$1:$D$1324,D14,$B$1:$B$1324,"&lt;="&amp;B14)</f>
        <v>21338.39</v>
      </c>
      <c r="N14" s="61" t="str">
        <f>IF(tblMovimientos[[#This Row],[Tipo de Movimiento]]="Ingreso",tblMovimientos[[#This Row],[Monto (S/)]],"0")</f>
        <v>0</v>
      </c>
      <c r="O14" s="61">
        <f>IF(tblMovimientos[[#This Row],[Tipo de Movimiento]]="Egreso",tblMovimientos[[#This Row],[Monto (S/)]],"0")</f>
        <v>8773.0400000000009</v>
      </c>
      <c r="P14" s="28">
        <f>IF(tblMovimientos[[#This Row],[Tipo de Movimiento]]="Ingreso",tblMovimientos[[#This Row],[Ingreso]],-tblMovimientos[[#This Row],[Egreso]])</f>
        <v>-8773.0400000000009</v>
      </c>
      <c r="Q14" s="78" t="str">
        <f>_xlfn.XLOOKUP(tblMovimientos[[#This Row],[Cuenta Bancaria]],Cuentas!$C:$C,Cuentas!$A:$A,"")&amp;""</f>
        <v>SSP Group</v>
      </c>
      <c r="R14" s="78" t="str">
        <f>_xlfn.XLOOKUP(tblMovimientos[[#This Row],[Cuenta Bancaria]],Cuentas!$C:$C,Cuentas!$B:$B,"",0,-1)&amp;""</f>
        <v/>
      </c>
    </row>
    <row r="15" spans="1:18" x14ac:dyDescent="0.3">
      <c r="B15" s="38">
        <v>46143</v>
      </c>
      <c r="C15" s="4" t="str">
        <f>_xlfn.XLOOKUP(tblMovimientos[[#This Row],[Cuenta Bancaria]],Listas!$B:$B,Listas!$A:$A,"")</f>
        <v>M1B</v>
      </c>
      <c r="D15" s="40" t="s">
        <v>97</v>
      </c>
      <c r="E15" s="4" t="str">
        <f>_xlfn.XLOOKUP(tblMovimientos[[#This Row],[Cuenta Bancaria]],Listas!$B:$B,Listas!$C:$C,"")</f>
        <v xml:space="preserve">Amerant Bank </v>
      </c>
      <c r="F15" s="40" t="s">
        <v>9</v>
      </c>
      <c r="G15" s="40" t="s">
        <v>68</v>
      </c>
      <c r="H15" s="4" t="str">
        <f>IFERROR(_xlfn.XLOOKUP(G15,Listas!E:E,Listas!F:F,""),"")</f>
        <v>Operativo</v>
      </c>
      <c r="I15" s="46" t="str">
        <f>IFERROR(_xlfn.XLOOKUP(G15,Listas!E:E,Listas!G:G,""),"")</f>
        <v>Externo</v>
      </c>
      <c r="J15" s="42">
        <v>6748.49</v>
      </c>
      <c r="K15" s="5">
        <f t="shared" si="0"/>
        <v>6748.49</v>
      </c>
      <c r="L15" s="6" t="s">
        <v>93</v>
      </c>
      <c r="M15" s="44">
        <f>SUMIFS('Saldos Iniciales'!$D:$D,'Saldos Iniciales'!$A:$A,C15,'Saldos Iniciales'!$B:$B,D15)+SUMIFS($K$1:$K$1324,$C$1:$C$1324,C15,$D$1:$D$1324,D15,$B$1:$B$1324,"&lt;="&amp;B15)</f>
        <v>46288.029999999948</v>
      </c>
      <c r="N15" s="61">
        <f>IF(tblMovimientos[[#This Row],[Tipo de Movimiento]]="Ingreso",tblMovimientos[[#This Row],[Monto (S/)]],"0")</f>
        <v>6748.49</v>
      </c>
      <c r="O15" s="61" t="str">
        <f>IF(tblMovimientos[[#This Row],[Tipo de Movimiento]]="Egreso",tblMovimientos[[#This Row],[Monto (S/)]],"0")</f>
        <v>0</v>
      </c>
      <c r="P15" s="28">
        <f>IF(tblMovimientos[[#This Row],[Tipo de Movimiento]]="Ingreso",tblMovimientos[[#This Row],[Ingreso]],-tblMovimientos[[#This Row],[Egreso]])</f>
        <v>6748.49</v>
      </c>
      <c r="Q15" s="78" t="str">
        <f>_xlfn.XLOOKUP(tblMovimientos[[#This Row],[Cuenta Bancaria]],Cuentas!$C:$C,Cuentas!$A:$A,"")&amp;""</f>
        <v>SSP Group</v>
      </c>
      <c r="R15" s="78" t="str">
        <f>_xlfn.XLOOKUP(tblMovimientos[[#This Row],[Cuenta Bancaria]],Cuentas!$C:$C,Cuentas!$B:$B,"",0,-1)&amp;""</f>
        <v/>
      </c>
    </row>
    <row r="16" spans="1:18" x14ac:dyDescent="0.3">
      <c r="B16" s="38">
        <v>46143</v>
      </c>
      <c r="C16" s="4" t="str">
        <f>_xlfn.XLOOKUP(tblMovimientos[[#This Row],[Cuenta Bancaria]],Listas!$B:$B,Listas!$A:$A,"")</f>
        <v>Go Blue</v>
      </c>
      <c r="D16" s="40" t="s">
        <v>126</v>
      </c>
      <c r="E16" s="4" t="str">
        <f>_xlfn.XLOOKUP(tblMovimientos[[#This Row],[Cuenta Bancaria]],Listas!$B:$B,Listas!$C:$C,"")</f>
        <v xml:space="preserve">Amerant Bank </v>
      </c>
      <c r="F16" s="40" t="s">
        <v>10</v>
      </c>
      <c r="G16" s="40" t="s">
        <v>38</v>
      </c>
      <c r="H16" s="4" t="str">
        <f>IFERROR(_xlfn.XLOOKUP(G16,Listas!E:E,Listas!F:F,""),"")</f>
        <v>Operativo</v>
      </c>
      <c r="I16" s="46" t="str">
        <f>IFERROR(_xlfn.XLOOKUP(G16,Listas!E:E,Listas!G:G,""),"")</f>
        <v>Externo</v>
      </c>
      <c r="J16" s="42">
        <v>165</v>
      </c>
      <c r="K16" s="5">
        <f t="shared" si="0"/>
        <v>-165</v>
      </c>
      <c r="L16" s="6" t="s">
        <v>93</v>
      </c>
      <c r="M16" s="44">
        <f>SUMIFS('Saldos Iniciales'!$D:$D,'Saldos Iniciales'!$A:$A,C16,'Saldos Iniciales'!$B:$B,D16)+SUMIFS($K$1:$K$1324,$C$1:$C$1324,C16,$D$1:$D$1324,D16,$B$1:$B$1324,"&lt;="&amp;B16)</f>
        <v>13491.26</v>
      </c>
      <c r="N16" s="61" t="str">
        <f>IF(tblMovimientos[[#This Row],[Tipo de Movimiento]]="Ingreso",tblMovimientos[[#This Row],[Monto (S/)]],"0")</f>
        <v>0</v>
      </c>
      <c r="O16" s="61">
        <f>IF(tblMovimientos[[#This Row],[Tipo de Movimiento]]="Egreso",tblMovimientos[[#This Row],[Monto (S/)]],"0")</f>
        <v>165</v>
      </c>
      <c r="P16" s="28">
        <f>IF(tblMovimientos[[#This Row],[Tipo de Movimiento]]="Ingreso",tblMovimientos[[#This Row],[Ingreso]],-tblMovimientos[[#This Row],[Egreso]])</f>
        <v>-165</v>
      </c>
      <c r="Q16" s="78" t="str">
        <f>_xlfn.XLOOKUP(tblMovimientos[[#This Row],[Cuenta Bancaria]],Cuentas!$C:$C,Cuentas!$A:$A,"")&amp;""</f>
        <v>SSP Group</v>
      </c>
      <c r="R16" s="78" t="str">
        <f>_xlfn.XLOOKUP(tblMovimientos[[#This Row],[Cuenta Bancaria]],Cuentas!$C:$C,Cuentas!$B:$B,"",0,-1)&amp;""</f>
        <v/>
      </c>
    </row>
    <row r="17" spans="2:18" x14ac:dyDescent="0.3">
      <c r="B17" s="38">
        <v>46146</v>
      </c>
      <c r="C17" s="4" t="str">
        <f>_xlfn.XLOOKUP(tblMovimientos[[#This Row],[Cuenta Bancaria]],Listas!$B:$B,Listas!$A:$A,"")</f>
        <v>Cross Family Trust</v>
      </c>
      <c r="D17" s="40" t="s">
        <v>110</v>
      </c>
      <c r="E17" s="4" t="str">
        <f>_xlfn.XLOOKUP(tblMovimientos[[#This Row],[Cuenta Bancaria]],Listas!$B:$B,Listas!$C:$C,"")</f>
        <v>Bank of America</v>
      </c>
      <c r="F17" s="40" t="s">
        <v>10</v>
      </c>
      <c r="G17" s="40" t="s">
        <v>43</v>
      </c>
      <c r="H17" s="4" t="str">
        <f>IFERROR(_xlfn.XLOOKUP(G17,Listas!E:E,Listas!F:F,""),"")</f>
        <v>Operativo</v>
      </c>
      <c r="I17" s="46" t="str">
        <f>IFERROR(_xlfn.XLOOKUP(G17,Listas!E:E,Listas!G:G,""),"")</f>
        <v>Externo</v>
      </c>
      <c r="J17" s="42">
        <v>6000</v>
      </c>
      <c r="K17" s="5">
        <f t="shared" si="0"/>
        <v>-6000</v>
      </c>
      <c r="L17" s="6" t="s">
        <v>93</v>
      </c>
      <c r="M17" s="44">
        <f>SUMIFS('Saldos Iniciales'!$D:$D,'Saldos Iniciales'!$A:$A,C17,'Saldos Iniciales'!$B:$B,D17)+SUMIFS($K$1:$K$1324,$C$1:$C$1324,C17,$D$1:$D$1324,D17,$B$1:$B$1324,"&lt;="&amp;B17)</f>
        <v>7221.8899999999994</v>
      </c>
      <c r="N17" s="61" t="str">
        <f>IF(tblMovimientos[[#This Row],[Tipo de Movimiento]]="Ingreso",tblMovimientos[[#This Row],[Monto (S/)]],"0")</f>
        <v>0</v>
      </c>
      <c r="O17" s="61">
        <f>IF(tblMovimientos[[#This Row],[Tipo de Movimiento]]="Egreso",tblMovimientos[[#This Row],[Monto (S/)]],"0")</f>
        <v>6000</v>
      </c>
      <c r="P17" s="28">
        <f>IF(tblMovimientos[[#This Row],[Tipo de Movimiento]]="Ingreso",tblMovimientos[[#This Row],[Ingreso]],-tblMovimientos[[#This Row],[Egreso]])</f>
        <v>-6000</v>
      </c>
      <c r="Q17" s="78" t="str">
        <f>_xlfn.XLOOKUP(tblMovimientos[[#This Row],[Cuenta Bancaria]],Cuentas!$C:$C,Cuentas!$A:$A,"")&amp;""</f>
        <v>SSP Group</v>
      </c>
      <c r="R17" s="78" t="str">
        <f>_xlfn.XLOOKUP(tblMovimientos[[#This Row],[Cuenta Bancaria]],Cuentas!$C:$C,Cuentas!$B:$B,"",0,-1)&amp;""</f>
        <v>Trust</v>
      </c>
    </row>
    <row r="18" spans="2:18" x14ac:dyDescent="0.3">
      <c r="B18" s="38">
        <v>46146</v>
      </c>
      <c r="C18" s="4" t="str">
        <f>_xlfn.XLOOKUP(tblMovimientos[[#This Row],[Cuenta Bancaria]],Listas!$B:$B,Listas!$A:$A,"")</f>
        <v>2515 Overbrook</v>
      </c>
      <c r="D18" s="40" t="s">
        <v>121</v>
      </c>
      <c r="E18" s="4" t="str">
        <f>_xlfn.XLOOKUP(tblMovimientos[[#This Row],[Cuenta Bancaria]],Listas!$B:$B,Listas!$C:$C,"")</f>
        <v>Bank of America</v>
      </c>
      <c r="F18" s="40" t="s">
        <v>10</v>
      </c>
      <c r="G18" s="40" t="s">
        <v>44</v>
      </c>
      <c r="H18" s="4" t="str">
        <f>IFERROR(_xlfn.XLOOKUP(G18,Listas!E:E,Listas!F:F,""),"")</f>
        <v>Operativo</v>
      </c>
      <c r="I18" s="46" t="str">
        <f>IFERROR(_xlfn.XLOOKUP(G18,Listas!E:E,Listas!G:G,""),"")</f>
        <v>Externo</v>
      </c>
      <c r="J18" s="42">
        <v>15</v>
      </c>
      <c r="K18" s="5">
        <f t="shared" si="0"/>
        <v>-15</v>
      </c>
      <c r="L18" s="6" t="s">
        <v>93</v>
      </c>
      <c r="M18" s="44">
        <f>SUMIFS('Saldos Iniciales'!$D:$D,'Saldos Iniciales'!$A:$A,C18,'Saldos Iniciales'!$B:$B,D18)+SUMIFS($K$1:$K$1324,$C$1:$C$1324,C18,$D$1:$D$1324,D18,$B$1:$B$1324,"&lt;="&amp;B18)</f>
        <v>22907.179999999964</v>
      </c>
      <c r="N18" s="61" t="str">
        <f>IF(tblMovimientos[[#This Row],[Tipo de Movimiento]]="Ingreso",tblMovimientos[[#This Row],[Monto (S/)]],"0")</f>
        <v>0</v>
      </c>
      <c r="O18" s="61">
        <f>IF(tblMovimientos[[#This Row],[Tipo de Movimiento]]="Egreso",tblMovimientos[[#This Row],[Monto (S/)]],"0")</f>
        <v>15</v>
      </c>
      <c r="P18" s="28">
        <f>IF(tblMovimientos[[#This Row],[Tipo de Movimiento]]="Ingreso",tblMovimientos[[#This Row],[Ingreso]],-tblMovimientos[[#This Row],[Egreso]])</f>
        <v>-15</v>
      </c>
      <c r="Q18" s="78" t="str">
        <f>_xlfn.XLOOKUP(tblMovimientos[[#This Row],[Cuenta Bancaria]],Cuentas!$C:$C,Cuentas!$A:$A,"")&amp;""</f>
        <v>SSP Group</v>
      </c>
      <c r="R18" s="78" t="str">
        <f>_xlfn.XLOOKUP(tblMovimientos[[#This Row],[Cuenta Bancaria]],Cuentas!$C:$C,Cuentas!$B:$B,"",0,-1)&amp;""</f>
        <v/>
      </c>
    </row>
    <row r="19" spans="2:18" x14ac:dyDescent="0.3">
      <c r="B19" s="38">
        <v>46146</v>
      </c>
      <c r="C19" s="4" t="str">
        <f>_xlfn.XLOOKUP(tblMovimientos[[#This Row],[Cuenta Bancaria]],Listas!$B:$B,Listas!$A:$A,"")</f>
        <v>Go Blue</v>
      </c>
      <c r="D19" s="40" t="s">
        <v>126</v>
      </c>
      <c r="E19" s="4" t="str">
        <f>_xlfn.XLOOKUP(tblMovimientos[[#This Row],[Cuenta Bancaria]],Listas!$B:$B,Listas!$C:$C,"")</f>
        <v xml:space="preserve">Amerant Bank </v>
      </c>
      <c r="F19" s="40" t="s">
        <v>10</v>
      </c>
      <c r="G19" s="40" t="s">
        <v>38</v>
      </c>
      <c r="H19" s="4" t="str">
        <f>IFERROR(_xlfn.XLOOKUP(G19,Listas!E:E,Listas!F:F,""),"")</f>
        <v>Operativo</v>
      </c>
      <c r="I19" s="46" t="str">
        <f>IFERROR(_xlfn.XLOOKUP(G19,Listas!E:E,Listas!G:G,""),"")</f>
        <v>Externo</v>
      </c>
      <c r="J19" s="42">
        <v>1020</v>
      </c>
      <c r="K19" s="5">
        <f t="shared" si="0"/>
        <v>-1020</v>
      </c>
      <c r="L19" s="6" t="s">
        <v>93</v>
      </c>
      <c r="M19" s="44">
        <f>SUMIFS('Saldos Iniciales'!$D:$D,'Saldos Iniciales'!$A:$A,C19,'Saldos Iniciales'!$B:$B,D19)+SUMIFS($K$1:$K$1324,$C$1:$C$1324,C19,$D$1:$D$1324,D19,$B$1:$B$1324,"&lt;="&amp;B19)</f>
        <v>8782.25</v>
      </c>
      <c r="N19" s="61" t="str">
        <f>IF(tblMovimientos[[#This Row],[Tipo de Movimiento]]="Ingreso",tblMovimientos[[#This Row],[Monto (S/)]],"0")</f>
        <v>0</v>
      </c>
      <c r="O19" s="61">
        <f>IF(tblMovimientos[[#This Row],[Tipo de Movimiento]]="Egreso",tblMovimientos[[#This Row],[Monto (S/)]],"0")</f>
        <v>1020</v>
      </c>
      <c r="P19" s="28">
        <f>IF(tblMovimientos[[#This Row],[Tipo de Movimiento]]="Ingreso",tblMovimientos[[#This Row],[Ingreso]],-tblMovimientos[[#This Row],[Egreso]])</f>
        <v>-1020</v>
      </c>
      <c r="Q19" s="78" t="str">
        <f>_xlfn.XLOOKUP(tblMovimientos[[#This Row],[Cuenta Bancaria]],Cuentas!$C:$C,Cuentas!$A:$A,"")&amp;""</f>
        <v>SSP Group</v>
      </c>
      <c r="R19" s="78" t="str">
        <f>_xlfn.XLOOKUP(tblMovimientos[[#This Row],[Cuenta Bancaria]],Cuentas!$C:$C,Cuentas!$B:$B,"",0,-1)&amp;""</f>
        <v/>
      </c>
    </row>
    <row r="20" spans="2:18" x14ac:dyDescent="0.3">
      <c r="B20" s="38">
        <v>46146</v>
      </c>
      <c r="C20" s="4" t="str">
        <f>_xlfn.XLOOKUP(tblMovimientos[[#This Row],[Cuenta Bancaria]],Listas!$B:$B,Listas!$A:$A,"")</f>
        <v>SSP Capital</v>
      </c>
      <c r="D20" s="40" t="s">
        <v>104</v>
      </c>
      <c r="E20" s="4" t="str">
        <f>_xlfn.XLOOKUP(tblMovimientos[[#This Row],[Cuenta Bancaria]],Listas!$B:$B,Listas!$C:$C,"")</f>
        <v xml:space="preserve">Amerant Bank </v>
      </c>
      <c r="F20" s="40" t="s">
        <v>9</v>
      </c>
      <c r="G20" s="40" t="s">
        <v>76</v>
      </c>
      <c r="H20" s="4" t="str">
        <f>IFERROR(_xlfn.XLOOKUP(G20,Listas!E:E,Listas!F:F,""),"")</f>
        <v>Financiamiento</v>
      </c>
      <c r="I20" s="46" t="str">
        <f>IFERROR(_xlfn.XLOOKUP(G20,Listas!E:E,Listas!G:G,""),"")</f>
        <v>Externo</v>
      </c>
      <c r="J20" s="42">
        <v>800000</v>
      </c>
      <c r="K20" s="5">
        <f t="shared" si="0"/>
        <v>800000</v>
      </c>
      <c r="L20" s="6" t="s">
        <v>93</v>
      </c>
      <c r="M20" s="44">
        <f>SUMIFS('Saldos Iniciales'!$D:$D,'Saldos Iniciales'!$A:$A,C20,'Saldos Iniciales'!$B:$B,D20)+SUMIFS($K$1:$K$1324,$C$1:$C$1324,C20,$D$1:$D$1324,D20,$B$1:$B$1324,"&lt;="&amp;B20)</f>
        <v>1019857.8199999994</v>
      </c>
      <c r="N20" s="61">
        <f>IF(tblMovimientos[[#This Row],[Tipo de Movimiento]]="Ingreso",tblMovimientos[[#This Row],[Monto (S/)]],"0")</f>
        <v>800000</v>
      </c>
      <c r="O20" s="61" t="str">
        <f>IF(tblMovimientos[[#This Row],[Tipo de Movimiento]]="Egreso",tblMovimientos[[#This Row],[Monto (S/)]],"0")</f>
        <v>0</v>
      </c>
      <c r="P20" s="28">
        <f>IF(tblMovimientos[[#This Row],[Tipo de Movimiento]]="Ingreso",tblMovimientos[[#This Row],[Ingreso]],-tblMovimientos[[#This Row],[Egreso]])</f>
        <v>800000</v>
      </c>
      <c r="Q20" s="78" t="str">
        <f>_xlfn.XLOOKUP(tblMovimientos[[#This Row],[Cuenta Bancaria]],Cuentas!$C:$C,Cuentas!$A:$A,"")&amp;""</f>
        <v>SSP Group</v>
      </c>
      <c r="R20" s="78" t="str">
        <f>_xlfn.XLOOKUP(tblMovimientos[[#This Row],[Cuenta Bancaria]],Cuentas!$C:$C,Cuentas!$B:$B,"",0,-1)&amp;""</f>
        <v/>
      </c>
    </row>
    <row r="21" spans="2:18" x14ac:dyDescent="0.3">
      <c r="B21" s="38">
        <v>46146</v>
      </c>
      <c r="C21" s="4" t="str">
        <f>_xlfn.XLOOKUP(tblMovimientos[[#This Row],[Cuenta Bancaria]],Listas!$B:$B,Listas!$A:$A,"")</f>
        <v>Go Blue</v>
      </c>
      <c r="D21" s="40" t="s">
        <v>126</v>
      </c>
      <c r="E21" s="4" t="str">
        <f>_xlfn.XLOOKUP(tblMovimientos[[#This Row],[Cuenta Bancaria]],Listas!$B:$B,Listas!$C:$C,"")</f>
        <v xml:space="preserve">Amerant Bank </v>
      </c>
      <c r="F21" s="40" t="s">
        <v>10</v>
      </c>
      <c r="G21" s="40" t="s">
        <v>38</v>
      </c>
      <c r="H21" s="4" t="str">
        <f>IFERROR(_xlfn.XLOOKUP(G21,Listas!E:E,Listas!F:F,""),"")</f>
        <v>Operativo</v>
      </c>
      <c r="I21" s="46" t="str">
        <f>IFERROR(_xlfn.XLOOKUP(G21,Listas!E:E,Listas!G:G,""),"")</f>
        <v>Externo</v>
      </c>
      <c r="J21" s="42">
        <v>3689.01</v>
      </c>
      <c r="K21" s="5">
        <f t="shared" si="0"/>
        <v>-3689.01</v>
      </c>
      <c r="L21" s="6" t="s">
        <v>93</v>
      </c>
      <c r="M21" s="44">
        <f>SUMIFS('Saldos Iniciales'!$D:$D,'Saldos Iniciales'!$A:$A,C21,'Saldos Iniciales'!$B:$B,D21)+SUMIFS($K$1:$K$1324,$C$1:$C$1324,C21,$D$1:$D$1324,D21,$B$1:$B$1324,"&lt;="&amp;B21)</f>
        <v>8782.25</v>
      </c>
      <c r="N21" s="61" t="str">
        <f>IF(tblMovimientos[[#This Row],[Tipo de Movimiento]]="Ingreso",tblMovimientos[[#This Row],[Monto (S/)]],"0")</f>
        <v>0</v>
      </c>
      <c r="O21" s="61">
        <f>IF(tblMovimientos[[#This Row],[Tipo de Movimiento]]="Egreso",tblMovimientos[[#This Row],[Monto (S/)]],"0")</f>
        <v>3689.01</v>
      </c>
      <c r="P21" s="28">
        <f>IF(tblMovimientos[[#This Row],[Tipo de Movimiento]]="Ingreso",tblMovimientos[[#This Row],[Ingreso]],-tblMovimientos[[#This Row],[Egreso]])</f>
        <v>-3689.01</v>
      </c>
      <c r="Q21" s="78" t="str">
        <f>_xlfn.XLOOKUP(tblMovimientos[[#This Row],[Cuenta Bancaria]],Cuentas!$C:$C,Cuentas!$A:$A,"")&amp;""</f>
        <v>SSP Group</v>
      </c>
      <c r="R21" s="78" t="str">
        <f>_xlfn.XLOOKUP(tblMovimientos[[#This Row],[Cuenta Bancaria]],Cuentas!$C:$C,Cuentas!$B:$B,"",0,-1)&amp;""</f>
        <v/>
      </c>
    </row>
    <row r="22" spans="2:18" x14ac:dyDescent="0.3">
      <c r="B22" s="38">
        <v>46147</v>
      </c>
      <c r="C22" s="4" t="str">
        <f>_xlfn.XLOOKUP(tblMovimientos[[#This Row],[Cuenta Bancaria]],Listas!$B:$B,Listas!$A:$A,"")</f>
        <v>SSP Capital</v>
      </c>
      <c r="D22" s="40" t="s">
        <v>101</v>
      </c>
      <c r="E22" s="4" t="str">
        <f>_xlfn.XLOOKUP(tblMovimientos[[#This Row],[Cuenta Bancaria]],Listas!$B:$B,Listas!$C:$C,"")</f>
        <v>Bank of America</v>
      </c>
      <c r="F22" s="40" t="s">
        <v>10</v>
      </c>
      <c r="G22" s="40" t="s">
        <v>38</v>
      </c>
      <c r="H22" s="4" t="str">
        <f>IFERROR(_xlfn.XLOOKUP(G22,Listas!E:E,Listas!F:F,""),"")</f>
        <v>Operativo</v>
      </c>
      <c r="I22" s="46" t="str">
        <f>IFERROR(_xlfn.XLOOKUP(G22,Listas!E:E,Listas!G:G,""),"")</f>
        <v>Externo</v>
      </c>
      <c r="J22" s="42">
        <v>695.29</v>
      </c>
      <c r="K22" s="5">
        <f t="shared" si="0"/>
        <v>-695.29</v>
      </c>
      <c r="L22" s="6" t="s">
        <v>93</v>
      </c>
      <c r="M22" s="44">
        <f>SUMIFS('Saldos Iniciales'!$D:$D,'Saldos Iniciales'!$A:$A,C22,'Saldos Iniciales'!$B:$B,D22)+SUMIFS($K$1:$K$1324,$C$1:$C$1324,C22,$D$1:$D$1324,D22,$B$1:$B$1324,"&lt;="&amp;B22)</f>
        <v>11683.89</v>
      </c>
      <c r="N22" s="61" t="str">
        <f>IF(tblMovimientos[[#This Row],[Tipo de Movimiento]]="Ingreso",tblMovimientos[[#This Row],[Monto (S/)]],"0")</f>
        <v>0</v>
      </c>
      <c r="O22" s="61">
        <f>IF(tblMovimientos[[#This Row],[Tipo de Movimiento]]="Egreso",tblMovimientos[[#This Row],[Monto (S/)]],"0")</f>
        <v>695.29</v>
      </c>
      <c r="P22" s="28">
        <f>IF(tblMovimientos[[#This Row],[Tipo de Movimiento]]="Ingreso",tblMovimientos[[#This Row],[Ingreso]],-tblMovimientos[[#This Row],[Egreso]])</f>
        <v>-695.29</v>
      </c>
      <c r="Q22" s="78" t="str">
        <f>_xlfn.XLOOKUP(tblMovimientos[[#This Row],[Cuenta Bancaria]],Cuentas!$C:$C,Cuentas!$A:$A,"")&amp;""</f>
        <v>SSP Group</v>
      </c>
      <c r="R22" s="78" t="str">
        <f>_xlfn.XLOOKUP(tblMovimientos[[#This Row],[Cuenta Bancaria]],Cuentas!$C:$C,Cuentas!$B:$B,"",0,-1)&amp;""</f>
        <v/>
      </c>
    </row>
    <row r="23" spans="2:18" x14ac:dyDescent="0.3">
      <c r="B23" s="38">
        <v>46147</v>
      </c>
      <c r="C23" s="4" t="str">
        <f>_xlfn.XLOOKUP(tblMovimientos[[#This Row],[Cuenta Bancaria]],Listas!$B:$B,Listas!$A:$A,"")</f>
        <v>A&amp;M Imports</v>
      </c>
      <c r="D23" s="40" t="s">
        <v>100</v>
      </c>
      <c r="E23" s="4" t="str">
        <f>_xlfn.XLOOKUP(tblMovimientos[[#This Row],[Cuenta Bancaria]],Listas!$B:$B,Listas!$C:$C,"")</f>
        <v>Bank of America</v>
      </c>
      <c r="F23" s="40" t="s">
        <v>9</v>
      </c>
      <c r="G23" s="40" t="s">
        <v>71</v>
      </c>
      <c r="H23" s="4" t="str">
        <f>IFERROR(_xlfn.XLOOKUP(G23,Listas!E:E,Listas!F:F,""),"")</f>
        <v>Operativo</v>
      </c>
      <c r="I23" s="46" t="str">
        <f>IFERROR(_xlfn.XLOOKUP(G23,Listas!E:E,Listas!G:G,""),"")</f>
        <v>Interno</v>
      </c>
      <c r="J23" s="42">
        <v>700000</v>
      </c>
      <c r="K23" s="5">
        <f t="shared" si="0"/>
        <v>700000</v>
      </c>
      <c r="L23" s="6" t="s">
        <v>93</v>
      </c>
      <c r="M23" s="44">
        <f>SUMIFS('Saldos Iniciales'!$D:$D,'Saldos Iniciales'!$A:$A,C23,'Saldos Iniciales'!$B:$B,D23)+SUMIFS($K$1:$K$1324,$C$1:$C$1324,C23,$D$1:$D$1324,D23,$B$1:$B$1324,"&lt;="&amp;B23)</f>
        <v>989990.29999999993</v>
      </c>
      <c r="N23" s="61">
        <f>IF(tblMovimientos[[#This Row],[Tipo de Movimiento]]="Ingreso",tblMovimientos[[#This Row],[Monto (S/)]],"0")</f>
        <v>700000</v>
      </c>
      <c r="O23" s="61" t="str">
        <f>IF(tblMovimientos[[#This Row],[Tipo de Movimiento]]="Egreso",tblMovimientos[[#This Row],[Monto (S/)]],"0")</f>
        <v>0</v>
      </c>
      <c r="P23" s="28">
        <f>IF(tblMovimientos[[#This Row],[Tipo de Movimiento]]="Ingreso",tblMovimientos[[#This Row],[Ingreso]],-tblMovimientos[[#This Row],[Egreso]])</f>
        <v>700000</v>
      </c>
      <c r="Q23" s="78" t="str">
        <f>_xlfn.XLOOKUP(tblMovimientos[[#This Row],[Cuenta Bancaria]],Cuentas!$C:$C,Cuentas!$A:$A,"")&amp;""</f>
        <v>SSP Group</v>
      </c>
      <c r="R23" s="78" t="str">
        <f>_xlfn.XLOOKUP(tblMovimientos[[#This Row],[Cuenta Bancaria]],Cuentas!$C:$C,Cuentas!$B:$B,"",0,-1)&amp;""</f>
        <v/>
      </c>
    </row>
    <row r="24" spans="2:18" x14ac:dyDescent="0.3">
      <c r="B24" s="38">
        <v>46147</v>
      </c>
      <c r="C24" s="4" t="str">
        <f>_xlfn.XLOOKUP(tblMovimientos[[#This Row],[Cuenta Bancaria]],Listas!$B:$B,Listas!$A:$A,"")</f>
        <v>A&amp;M Imports</v>
      </c>
      <c r="D24" s="40" t="s">
        <v>100</v>
      </c>
      <c r="E24" s="4" t="str">
        <f>_xlfn.XLOOKUP(tblMovimientos[[#This Row],[Cuenta Bancaria]],Listas!$B:$B,Listas!$C:$C,"")</f>
        <v>Bank of America</v>
      </c>
      <c r="F24" s="40" t="s">
        <v>9</v>
      </c>
      <c r="G24" s="40" t="s">
        <v>70</v>
      </c>
      <c r="H24" s="4" t="str">
        <f>IFERROR(_xlfn.XLOOKUP(G24,Listas!E:E,Listas!F:F,""),"")</f>
        <v>Operativo</v>
      </c>
      <c r="I24" s="46" t="str">
        <f>IFERROR(_xlfn.XLOOKUP(G24,Listas!E:E,Listas!G:G,""),"")</f>
        <v>Externo</v>
      </c>
      <c r="J24" s="42">
        <v>500000</v>
      </c>
      <c r="K24" s="5">
        <f t="shared" si="0"/>
        <v>500000</v>
      </c>
      <c r="L24" s="6" t="s">
        <v>93</v>
      </c>
      <c r="M24" s="44">
        <f>SUMIFS('Saldos Iniciales'!$D:$D,'Saldos Iniciales'!$A:$A,C24,'Saldos Iniciales'!$B:$B,D24)+SUMIFS($K$1:$K$1324,$C$1:$C$1324,C24,$D$1:$D$1324,D24,$B$1:$B$1324,"&lt;="&amp;B24)</f>
        <v>989990.29999999993</v>
      </c>
      <c r="N24" s="61">
        <f>IF(tblMovimientos[[#This Row],[Tipo de Movimiento]]="Ingreso",tblMovimientos[[#This Row],[Monto (S/)]],"0")</f>
        <v>500000</v>
      </c>
      <c r="O24" s="61" t="str">
        <f>IF(tblMovimientos[[#This Row],[Tipo de Movimiento]]="Egreso",tblMovimientos[[#This Row],[Monto (S/)]],"0")</f>
        <v>0</v>
      </c>
      <c r="P24" s="28">
        <f>IF(tblMovimientos[[#This Row],[Tipo de Movimiento]]="Ingreso",tblMovimientos[[#This Row],[Ingreso]],-tblMovimientos[[#This Row],[Egreso]])</f>
        <v>500000</v>
      </c>
      <c r="Q24" s="78" t="str">
        <f>_xlfn.XLOOKUP(tblMovimientos[[#This Row],[Cuenta Bancaria]],Cuentas!$C:$C,Cuentas!$A:$A,"")&amp;""</f>
        <v>SSP Group</v>
      </c>
      <c r="R24" s="78" t="str">
        <f>_xlfn.XLOOKUP(tblMovimientos[[#This Row],[Cuenta Bancaria]],Cuentas!$C:$C,Cuentas!$B:$B,"",0,-1)&amp;""</f>
        <v/>
      </c>
    </row>
    <row r="25" spans="2:18" x14ac:dyDescent="0.3">
      <c r="B25" s="39">
        <v>46147</v>
      </c>
      <c r="C25" s="4" t="str">
        <f>_xlfn.XLOOKUP(tblMovimientos[[#This Row],[Cuenta Bancaria]],Listas!$B:$B,Listas!$A:$A,"")</f>
        <v>A&amp;M Imports</v>
      </c>
      <c r="D25" s="40" t="s">
        <v>100</v>
      </c>
      <c r="E25" s="4" t="str">
        <f>_xlfn.XLOOKUP(tblMovimientos[[#This Row],[Cuenta Bancaria]],Listas!$B:$B,Listas!$C:$C,"")</f>
        <v>Bank of America</v>
      </c>
      <c r="F25" s="41" t="s">
        <v>10</v>
      </c>
      <c r="G25" s="40" t="s">
        <v>59</v>
      </c>
      <c r="H25" s="4" t="str">
        <f>IFERROR(_xlfn.XLOOKUP(G25,Listas!E:E,Listas!F:F,""),"")</f>
        <v>Inversion</v>
      </c>
      <c r="I25" s="46" t="str">
        <f>IFERROR(_xlfn.XLOOKUP(G25,Listas!E:E,Listas!G:G,""),"")</f>
        <v>Externo</v>
      </c>
      <c r="J25" s="43">
        <v>800000</v>
      </c>
      <c r="K25" s="5">
        <f t="shared" si="0"/>
        <v>-800000</v>
      </c>
      <c r="L25" s="6" t="s">
        <v>93</v>
      </c>
      <c r="M25" s="44">
        <f>SUMIFS('Saldos Iniciales'!$D:$D,'Saldos Iniciales'!$A:$A,C25,'Saldos Iniciales'!$B:$B,D25)+SUMIFS($K$1:$K$1324,$C$1:$C$1324,C25,$D$1:$D$1324,D25,$B$1:$B$1324,"&lt;="&amp;B25)</f>
        <v>989990.29999999993</v>
      </c>
      <c r="N25" s="61" t="str">
        <f>IF(tblMovimientos[[#This Row],[Tipo de Movimiento]]="Ingreso",tblMovimientos[[#This Row],[Monto (S/)]],"0")</f>
        <v>0</v>
      </c>
      <c r="O25" s="61">
        <f>IF(tblMovimientos[[#This Row],[Tipo de Movimiento]]="Egreso",tblMovimientos[[#This Row],[Monto (S/)]],"0")</f>
        <v>800000</v>
      </c>
      <c r="P25" s="28">
        <f>IF(tblMovimientos[[#This Row],[Tipo de Movimiento]]="Ingreso",tblMovimientos[[#This Row],[Ingreso]],-tblMovimientos[[#This Row],[Egreso]])</f>
        <v>-800000</v>
      </c>
      <c r="Q25" s="78" t="str">
        <f>_xlfn.XLOOKUP(tblMovimientos[[#This Row],[Cuenta Bancaria]],Cuentas!$C:$C,Cuentas!$A:$A,"")&amp;""</f>
        <v>SSP Group</v>
      </c>
      <c r="R25" s="78" t="str">
        <f>_xlfn.XLOOKUP(tblMovimientos[[#This Row],[Cuenta Bancaria]],Cuentas!$C:$C,Cuentas!$B:$B,"",0,-1)&amp;""</f>
        <v/>
      </c>
    </row>
    <row r="26" spans="2:18" x14ac:dyDescent="0.3">
      <c r="B26" s="39">
        <v>46147</v>
      </c>
      <c r="C26" s="4" t="str">
        <f>_xlfn.XLOOKUP(tblMovimientos[[#This Row],[Cuenta Bancaria]],Listas!$B:$B,Listas!$A:$A,"")</f>
        <v>CFT Group</v>
      </c>
      <c r="D26" s="40" t="s">
        <v>94</v>
      </c>
      <c r="E26" s="4" t="str">
        <f>_xlfn.XLOOKUP(tblMovimientos[[#This Row],[Cuenta Bancaria]],Listas!$B:$B,Listas!$C:$C,"")</f>
        <v>Bank of America</v>
      </c>
      <c r="F26" s="41" t="s">
        <v>10</v>
      </c>
      <c r="G26" s="40" t="s">
        <v>64</v>
      </c>
      <c r="H26" s="4" t="str">
        <f>IFERROR(_xlfn.XLOOKUP(G26,Listas!E:E,Listas!F:F,""),"")</f>
        <v>Operativo</v>
      </c>
      <c r="I26" s="46" t="str">
        <f>IFERROR(_xlfn.XLOOKUP(G26,Listas!E:E,Listas!G:G,""),"")</f>
        <v>Interno</v>
      </c>
      <c r="J26" s="43">
        <v>110000</v>
      </c>
      <c r="K26" s="5">
        <f t="shared" si="0"/>
        <v>-110000</v>
      </c>
      <c r="L26" s="6" t="s">
        <v>93</v>
      </c>
      <c r="M26" s="44">
        <f>SUMIFS('Saldos Iniciales'!$D:$D,'Saldos Iniciales'!$A:$A,C26,'Saldos Iniciales'!$B:$B,D26)+SUMIFS($K$1:$K$1324,$C$1:$C$1324,C26,$D$1:$D$1324,D26,$B$1:$B$1324,"&lt;="&amp;B26)</f>
        <v>22689.049999999988</v>
      </c>
      <c r="N26" s="61" t="str">
        <f>IF(tblMovimientos[[#This Row],[Tipo de Movimiento]]="Ingreso",tblMovimientos[[#This Row],[Monto (S/)]],"0")</f>
        <v>0</v>
      </c>
      <c r="O26" s="61">
        <f>IF(tblMovimientos[[#This Row],[Tipo de Movimiento]]="Egreso",tblMovimientos[[#This Row],[Monto (S/)]],"0")</f>
        <v>110000</v>
      </c>
      <c r="P26" s="28">
        <f>IF(tblMovimientos[[#This Row],[Tipo de Movimiento]]="Ingreso",tblMovimientos[[#This Row],[Ingreso]],-tblMovimientos[[#This Row],[Egreso]])</f>
        <v>-110000</v>
      </c>
      <c r="Q26" s="78" t="str">
        <f>_xlfn.XLOOKUP(tblMovimientos[[#This Row],[Cuenta Bancaria]],Cuentas!$C:$C,Cuentas!$A:$A,"")&amp;""</f>
        <v>SSP Group</v>
      </c>
      <c r="R26" s="78" t="str">
        <f>_xlfn.XLOOKUP(tblMovimientos[[#This Row],[Cuenta Bancaria]],Cuentas!$C:$C,Cuentas!$B:$B,"",0,-1)&amp;""</f>
        <v/>
      </c>
    </row>
    <row r="27" spans="2:18" x14ac:dyDescent="0.3">
      <c r="B27" s="39">
        <v>46147</v>
      </c>
      <c r="C27" s="4" t="str">
        <f>_xlfn.XLOOKUP(tblMovimientos[[#This Row],[Cuenta Bancaria]],Listas!$B:$B,Listas!$A:$A,"")</f>
        <v>CFT Group</v>
      </c>
      <c r="D27" s="40" t="s">
        <v>95</v>
      </c>
      <c r="E27" s="4" t="str">
        <f>_xlfn.XLOOKUP(tblMovimientos[[#This Row],[Cuenta Bancaria]],Listas!$B:$B,Listas!$C:$C,"")</f>
        <v xml:space="preserve">Amerant Bank </v>
      </c>
      <c r="F27" s="41" t="s">
        <v>9</v>
      </c>
      <c r="G27" s="40" t="s">
        <v>85</v>
      </c>
      <c r="H27" s="4" t="str">
        <f>IFERROR(_xlfn.XLOOKUP(G27,Listas!E:E,Listas!F:F,""),"")</f>
        <v>Operativo</v>
      </c>
      <c r="I27" s="46" t="str">
        <f>IFERROR(_xlfn.XLOOKUP(G27,Listas!E:E,Listas!G:G,""),"")</f>
        <v>Interno</v>
      </c>
      <c r="J27" s="43">
        <v>110000</v>
      </c>
      <c r="K27" s="5">
        <f t="shared" si="0"/>
        <v>110000</v>
      </c>
      <c r="L27" s="6" t="s">
        <v>93</v>
      </c>
      <c r="M27" s="44">
        <f>SUMIFS('Saldos Iniciales'!$D:$D,'Saldos Iniciales'!$A:$A,C27,'Saldos Iniciales'!$B:$B,D27)+SUMIFS($K$1:$K$1324,$C$1:$C$1324,C27,$D$1:$D$1324,D27,$B$1:$B$1324,"&lt;="&amp;B27)</f>
        <v>169799.53000000026</v>
      </c>
      <c r="N27" s="61">
        <f>IF(tblMovimientos[[#This Row],[Tipo de Movimiento]]="Ingreso",tblMovimientos[[#This Row],[Monto (S/)]],"0")</f>
        <v>110000</v>
      </c>
      <c r="O27" s="61" t="str">
        <f>IF(tblMovimientos[[#This Row],[Tipo de Movimiento]]="Egreso",tblMovimientos[[#This Row],[Monto (S/)]],"0")</f>
        <v>0</v>
      </c>
      <c r="P27" s="28">
        <f>IF(tblMovimientos[[#This Row],[Tipo de Movimiento]]="Ingreso",tblMovimientos[[#This Row],[Ingreso]],-tblMovimientos[[#This Row],[Egreso]])</f>
        <v>110000</v>
      </c>
      <c r="Q27" s="78" t="str">
        <f>_xlfn.XLOOKUP(tblMovimientos[[#This Row],[Cuenta Bancaria]],Cuentas!$C:$C,Cuentas!$A:$A,"")&amp;""</f>
        <v>SSP Group</v>
      </c>
      <c r="R27" s="78" t="str">
        <f>_xlfn.XLOOKUP(tblMovimientos[[#This Row],[Cuenta Bancaria]],Cuentas!$C:$C,Cuentas!$B:$B,"",0,-1)&amp;""</f>
        <v/>
      </c>
    </row>
    <row r="28" spans="2:18" x14ac:dyDescent="0.3">
      <c r="B28" s="39">
        <v>46147</v>
      </c>
      <c r="C28" s="4" t="str">
        <f>_xlfn.XLOOKUP(tblMovimientos[[#This Row],[Cuenta Bancaria]],Listas!$B:$B,Listas!$A:$A,"")</f>
        <v>CFT Group</v>
      </c>
      <c r="D28" s="40" t="s">
        <v>95</v>
      </c>
      <c r="E28" s="4" t="str">
        <f>_xlfn.XLOOKUP(tblMovimientos[[#This Row],[Cuenta Bancaria]],Listas!$B:$B,Listas!$C:$C,"")</f>
        <v xml:space="preserve">Amerant Bank </v>
      </c>
      <c r="F28" s="41" t="s">
        <v>10</v>
      </c>
      <c r="G28" s="40" t="s">
        <v>62</v>
      </c>
      <c r="H28" s="4" t="str">
        <f>IFERROR(_xlfn.XLOOKUP(G28,Listas!E:E,Listas!F:F,""),"")</f>
        <v>Operativo</v>
      </c>
      <c r="I28" s="46" t="str">
        <f>IFERROR(_xlfn.XLOOKUP(G28,Listas!E:E,Listas!G:G,""),"")</f>
        <v>Interno</v>
      </c>
      <c r="J28" s="43">
        <v>3000</v>
      </c>
      <c r="K28" s="5">
        <f t="shared" si="0"/>
        <v>-3000</v>
      </c>
      <c r="L28" s="6" t="s">
        <v>93</v>
      </c>
      <c r="M28" s="44">
        <f>SUMIFS('Saldos Iniciales'!$D:$D,'Saldos Iniciales'!$A:$A,C28,'Saldos Iniciales'!$B:$B,D28)+SUMIFS($K$1:$K$1324,$C$1:$C$1324,C28,$D$1:$D$1324,D28,$B$1:$B$1324,"&lt;="&amp;B28)</f>
        <v>169799.53000000026</v>
      </c>
      <c r="N28" s="61" t="str">
        <f>IF(tblMovimientos[[#This Row],[Tipo de Movimiento]]="Ingreso",tblMovimientos[[#This Row],[Monto (S/)]],"0")</f>
        <v>0</v>
      </c>
      <c r="O28" s="61">
        <f>IF(tblMovimientos[[#This Row],[Tipo de Movimiento]]="Egreso",tblMovimientos[[#This Row],[Monto (S/)]],"0")</f>
        <v>3000</v>
      </c>
      <c r="P28" s="28">
        <f>IF(tblMovimientos[[#This Row],[Tipo de Movimiento]]="Ingreso",tblMovimientos[[#This Row],[Ingreso]],-tblMovimientos[[#This Row],[Egreso]])</f>
        <v>-3000</v>
      </c>
      <c r="Q28" s="78" t="str">
        <f>_xlfn.XLOOKUP(tblMovimientos[[#This Row],[Cuenta Bancaria]],Cuentas!$C:$C,Cuentas!$A:$A,"")&amp;""</f>
        <v>SSP Group</v>
      </c>
      <c r="R28" s="78" t="str">
        <f>_xlfn.XLOOKUP(tblMovimientos[[#This Row],[Cuenta Bancaria]],Cuentas!$C:$C,Cuentas!$B:$B,"",0,-1)&amp;""</f>
        <v/>
      </c>
    </row>
    <row r="29" spans="2:18" x14ac:dyDescent="0.3">
      <c r="B29" s="39">
        <v>46147</v>
      </c>
      <c r="C29" s="4" t="str">
        <f>_xlfn.XLOOKUP(tblMovimientos[[#This Row],[Cuenta Bancaria]],Listas!$B:$B,Listas!$A:$A,"")</f>
        <v>Cross Family Trust</v>
      </c>
      <c r="D29" s="40" t="s">
        <v>111</v>
      </c>
      <c r="E29" s="4" t="str">
        <f>_xlfn.XLOOKUP(tblMovimientos[[#This Row],[Cuenta Bancaria]],Listas!$B:$B,Listas!$C:$C,"")</f>
        <v xml:space="preserve">Amerant Bank </v>
      </c>
      <c r="F29" s="41" t="s">
        <v>10</v>
      </c>
      <c r="G29" s="40" t="s">
        <v>65</v>
      </c>
      <c r="H29" s="4" t="str">
        <f>IFERROR(_xlfn.XLOOKUP(G29,Listas!E:E,Listas!F:F,""),"")</f>
        <v>Operativo</v>
      </c>
      <c r="I29" s="46" t="str">
        <f>IFERROR(_xlfn.XLOOKUP(G29,Listas!E:E,Listas!G:G,""),"")</f>
        <v>Externo</v>
      </c>
      <c r="J29" s="43">
        <v>15000</v>
      </c>
      <c r="K29" s="5">
        <f t="shared" si="0"/>
        <v>-15000</v>
      </c>
      <c r="L29" s="6" t="s">
        <v>93</v>
      </c>
      <c r="M29" s="44">
        <f>SUMIFS('Saldos Iniciales'!$D:$D,'Saldos Iniciales'!$A:$A,C29,'Saldos Iniciales'!$B:$B,D29)+SUMIFS($K$1:$K$1324,$C$1:$C$1324,C29,$D$1:$D$1324,D29,$B$1:$B$1324,"&lt;="&amp;B29)</f>
        <v>50717.600000000006</v>
      </c>
      <c r="N29" s="61" t="str">
        <f>IF(tblMovimientos[[#This Row],[Tipo de Movimiento]]="Ingreso",tblMovimientos[[#This Row],[Monto (S/)]],"0")</f>
        <v>0</v>
      </c>
      <c r="O29" s="61">
        <f>IF(tblMovimientos[[#This Row],[Tipo de Movimiento]]="Egreso",tblMovimientos[[#This Row],[Monto (S/)]],"0")</f>
        <v>15000</v>
      </c>
      <c r="P29" s="28">
        <f>IF(tblMovimientos[[#This Row],[Tipo de Movimiento]]="Ingreso",tblMovimientos[[#This Row],[Ingreso]],-tblMovimientos[[#This Row],[Egreso]])</f>
        <v>-15000</v>
      </c>
      <c r="Q29" s="78" t="str">
        <f>_xlfn.XLOOKUP(tblMovimientos[[#This Row],[Cuenta Bancaria]],Cuentas!$C:$C,Cuentas!$A:$A,"")&amp;""</f>
        <v>SSP Group</v>
      </c>
      <c r="R29" s="78" t="str">
        <f>_xlfn.XLOOKUP(tblMovimientos[[#This Row],[Cuenta Bancaria]],Cuentas!$C:$C,Cuentas!$B:$B,"",0,-1)&amp;""</f>
        <v>Trust</v>
      </c>
    </row>
    <row r="30" spans="2:18" x14ac:dyDescent="0.3">
      <c r="B30" s="39">
        <v>46147</v>
      </c>
      <c r="C30" s="4" t="str">
        <f>_xlfn.XLOOKUP(tblMovimientos[[#This Row],[Cuenta Bancaria]],Listas!$B:$B,Listas!$A:$A,"")</f>
        <v>SSP Capital</v>
      </c>
      <c r="D30" s="40" t="s">
        <v>104</v>
      </c>
      <c r="E30" s="4" t="str">
        <f>_xlfn.XLOOKUP(tblMovimientos[[#This Row],[Cuenta Bancaria]],Listas!$B:$B,Listas!$C:$C,"")</f>
        <v xml:space="preserve">Amerant Bank </v>
      </c>
      <c r="F30" s="41" t="s">
        <v>10</v>
      </c>
      <c r="G30" s="40" t="s">
        <v>38</v>
      </c>
      <c r="H30" s="4" t="str">
        <f>IFERROR(_xlfn.XLOOKUP(G30,Listas!E:E,Listas!F:F,""),"")</f>
        <v>Operativo</v>
      </c>
      <c r="I30" s="46" t="str">
        <f>IFERROR(_xlfn.XLOOKUP(G30,Listas!E:E,Listas!G:G,""),"")</f>
        <v>Externo</v>
      </c>
      <c r="J30" s="43">
        <v>800</v>
      </c>
      <c r="K30" s="5">
        <f t="shared" si="0"/>
        <v>-800</v>
      </c>
      <c r="L30" s="6" t="s">
        <v>93</v>
      </c>
      <c r="M30" s="44">
        <f>SUMIFS('Saldos Iniciales'!$D:$D,'Saldos Iniciales'!$A:$A,C30,'Saldos Iniciales'!$B:$B,D30)+SUMIFS($K$1:$K$1324,$C$1:$C$1324,C30,$D$1:$D$1324,D30,$B$1:$B$1324,"&lt;="&amp;B30)</f>
        <v>319057.81999999937</v>
      </c>
      <c r="N30" s="61" t="str">
        <f>IF(tblMovimientos[[#This Row],[Tipo de Movimiento]]="Ingreso",tblMovimientos[[#This Row],[Monto (S/)]],"0")</f>
        <v>0</v>
      </c>
      <c r="O30" s="61">
        <f>IF(tblMovimientos[[#This Row],[Tipo de Movimiento]]="Egreso",tblMovimientos[[#This Row],[Monto (S/)]],"0")</f>
        <v>800</v>
      </c>
      <c r="P30" s="28">
        <f>IF(tblMovimientos[[#This Row],[Tipo de Movimiento]]="Ingreso",tblMovimientos[[#This Row],[Ingreso]],-tblMovimientos[[#This Row],[Egreso]])</f>
        <v>-800</v>
      </c>
      <c r="Q30" s="78" t="str">
        <f>_xlfn.XLOOKUP(tblMovimientos[[#This Row],[Cuenta Bancaria]],Cuentas!$C:$C,Cuentas!$A:$A,"")&amp;""</f>
        <v>SSP Group</v>
      </c>
      <c r="R30" s="78" t="str">
        <f>_xlfn.XLOOKUP(tblMovimientos[[#This Row],[Cuenta Bancaria]],Cuentas!$C:$C,Cuentas!$B:$B,"",0,-1)&amp;""</f>
        <v/>
      </c>
    </row>
    <row r="31" spans="2:18" x14ac:dyDescent="0.3">
      <c r="B31" s="39">
        <v>46147</v>
      </c>
      <c r="C31" s="4" t="str">
        <f>_xlfn.XLOOKUP(tblMovimientos[[#This Row],[Cuenta Bancaria]],Listas!$B:$B,Listas!$A:$A,"")</f>
        <v>SSP Capital</v>
      </c>
      <c r="D31" s="40" t="s">
        <v>104</v>
      </c>
      <c r="E31" s="4" t="str">
        <f>_xlfn.XLOOKUP(tblMovimientos[[#This Row],[Cuenta Bancaria]],Listas!$B:$B,Listas!$C:$C,"")</f>
        <v xml:space="preserve">Amerant Bank </v>
      </c>
      <c r="F31" s="41" t="s">
        <v>10</v>
      </c>
      <c r="G31" s="40" t="s">
        <v>50</v>
      </c>
      <c r="H31" s="4" t="str">
        <f>IFERROR(_xlfn.XLOOKUP(G31,Listas!E:E,Listas!F:F,""),"")</f>
        <v>Financiamiento</v>
      </c>
      <c r="I31" s="46" t="str">
        <f>IFERROR(_xlfn.XLOOKUP(G31,Listas!E:E,Listas!G:G,""),"")</f>
        <v>Externo</v>
      </c>
      <c r="J31" s="43">
        <v>700000</v>
      </c>
      <c r="K31" s="5">
        <f t="shared" si="0"/>
        <v>-700000</v>
      </c>
      <c r="L31" s="6" t="s">
        <v>93</v>
      </c>
      <c r="M31" s="44">
        <f>SUMIFS('Saldos Iniciales'!$D:$D,'Saldos Iniciales'!$A:$A,C31,'Saldos Iniciales'!$B:$B,D31)+SUMIFS($K$1:$K$1324,$C$1:$C$1324,C31,$D$1:$D$1324,D31,$B$1:$B$1324,"&lt;="&amp;B31)</f>
        <v>319057.81999999937</v>
      </c>
      <c r="N31" s="61" t="str">
        <f>IF(tblMovimientos[[#This Row],[Tipo de Movimiento]]="Ingreso",tblMovimientos[[#This Row],[Monto (S/)]],"0")</f>
        <v>0</v>
      </c>
      <c r="O31" s="61">
        <f>IF(tblMovimientos[[#This Row],[Tipo de Movimiento]]="Egreso",tblMovimientos[[#This Row],[Monto (S/)]],"0")</f>
        <v>700000</v>
      </c>
      <c r="P31" s="28">
        <f>IF(tblMovimientos[[#This Row],[Tipo de Movimiento]]="Ingreso",tblMovimientos[[#This Row],[Ingreso]],-tblMovimientos[[#This Row],[Egreso]])</f>
        <v>-700000</v>
      </c>
      <c r="Q31" s="78" t="str">
        <f>_xlfn.XLOOKUP(tblMovimientos[[#This Row],[Cuenta Bancaria]],Cuentas!$C:$C,Cuentas!$A:$A,"")&amp;""</f>
        <v>SSP Group</v>
      </c>
      <c r="R31" s="78" t="str">
        <f>_xlfn.XLOOKUP(tblMovimientos[[#This Row],[Cuenta Bancaria]],Cuentas!$C:$C,Cuentas!$B:$B,"",0,-1)&amp;""</f>
        <v/>
      </c>
    </row>
    <row r="32" spans="2:18" x14ac:dyDescent="0.3">
      <c r="B32" s="39">
        <v>46147</v>
      </c>
      <c r="C32" s="4" t="str">
        <f>_xlfn.XLOOKUP(tblMovimientos[[#This Row],[Cuenta Bancaria]],Listas!$B:$B,Listas!$A:$A,"")</f>
        <v>Cross Security Trust</v>
      </c>
      <c r="D32" s="40" t="s">
        <v>112</v>
      </c>
      <c r="E32" s="4" t="str">
        <f>_xlfn.XLOOKUP(tblMovimientos[[#This Row],[Cuenta Bancaria]],Listas!$B:$B,Listas!$C:$C,"")</f>
        <v>Bank of America</v>
      </c>
      <c r="F32" s="41" t="s">
        <v>9</v>
      </c>
      <c r="G32" s="40" t="s">
        <v>76</v>
      </c>
      <c r="H32" s="4" t="str">
        <f>IFERROR(_xlfn.XLOOKUP(G32,Listas!E:E,Listas!F:F,""),"")</f>
        <v>Financiamiento</v>
      </c>
      <c r="I32" s="46" t="str">
        <f>IFERROR(_xlfn.XLOOKUP(G32,Listas!E:E,Listas!G:G,""),"")</f>
        <v>Externo</v>
      </c>
      <c r="J32" s="43">
        <v>800000</v>
      </c>
      <c r="K32" s="5">
        <f t="shared" si="0"/>
        <v>800000</v>
      </c>
      <c r="L32" s="6" t="s">
        <v>93</v>
      </c>
      <c r="M32" s="44">
        <f>SUMIFS('Saldos Iniciales'!$D:$D,'Saldos Iniciales'!$A:$A,C32,'Saldos Iniciales'!$B:$B,D32)+SUMIFS($K$1:$K$1324,$C$1:$C$1324,C32,$D$1:$D$1324,D32,$B$1:$B$1324,"&lt;="&amp;B32)</f>
        <v>813088.59</v>
      </c>
      <c r="N32" s="61">
        <f>IF(tblMovimientos[[#This Row],[Tipo de Movimiento]]="Ingreso",tblMovimientos[[#This Row],[Monto (S/)]],"0")</f>
        <v>800000</v>
      </c>
      <c r="O32" s="61" t="str">
        <f>IF(tblMovimientos[[#This Row],[Tipo de Movimiento]]="Egreso",tblMovimientos[[#This Row],[Monto (S/)]],"0")</f>
        <v>0</v>
      </c>
      <c r="P32" s="28">
        <f>IF(tblMovimientos[[#This Row],[Tipo de Movimiento]]="Ingreso",tblMovimientos[[#This Row],[Ingreso]],-tblMovimientos[[#This Row],[Egreso]])</f>
        <v>800000</v>
      </c>
      <c r="Q32" s="78" t="str">
        <f>_xlfn.XLOOKUP(tblMovimientos[[#This Row],[Cuenta Bancaria]],Cuentas!$C:$C,Cuentas!$A:$A,"")&amp;""</f>
        <v>SSP Group</v>
      </c>
      <c r="R32" s="78" t="str">
        <f>_xlfn.XLOOKUP(tblMovimientos[[#This Row],[Cuenta Bancaria]],Cuentas!$C:$C,Cuentas!$B:$B,"",0,-1)&amp;""</f>
        <v>Trust</v>
      </c>
    </row>
    <row r="33" spans="2:18" x14ac:dyDescent="0.3">
      <c r="B33" s="39">
        <v>46147</v>
      </c>
      <c r="C33" s="4" t="str">
        <f>_xlfn.XLOOKUP(tblMovimientos[[#This Row],[Cuenta Bancaria]],Listas!$B:$B,Listas!$A:$A,"")</f>
        <v>Electrama</v>
      </c>
      <c r="D33" s="40" t="s">
        <v>113</v>
      </c>
      <c r="E33" s="4" t="str">
        <f>_xlfn.XLOOKUP(tblMovimientos[[#This Row],[Cuenta Bancaria]],Listas!$B:$B,Listas!$C:$C,"")</f>
        <v>Chase Bank</v>
      </c>
      <c r="F33" s="41" t="s">
        <v>9</v>
      </c>
      <c r="G33" s="40" t="s">
        <v>75</v>
      </c>
      <c r="H33" s="4" t="str">
        <f>IFERROR(_xlfn.XLOOKUP(G33,Listas!E:E,Listas!F:F,""),"")</f>
        <v>Financiamiento</v>
      </c>
      <c r="I33" s="46" t="str">
        <f>IFERROR(_xlfn.XLOOKUP(G33,Listas!E:E,Listas!G:G,""),"")</f>
        <v>Interno</v>
      </c>
      <c r="J33" s="43">
        <v>3000</v>
      </c>
      <c r="K33" s="5">
        <f t="shared" si="0"/>
        <v>3000</v>
      </c>
      <c r="L33" s="6" t="s">
        <v>93</v>
      </c>
      <c r="M33" s="44">
        <f>SUMIFS('Saldos Iniciales'!$D:$D,'Saldos Iniciales'!$A:$A,C33,'Saldos Iniciales'!$B:$B,D33)+SUMIFS($K$1:$K$1324,$C$1:$C$1324,C33,$D$1:$D$1324,D33,$B$1:$B$1324,"&lt;="&amp;B33)</f>
        <v>3052.02</v>
      </c>
      <c r="N33" s="61">
        <f>IF(tblMovimientos[[#This Row],[Tipo de Movimiento]]="Ingreso",tblMovimientos[[#This Row],[Monto (S/)]],"0")</f>
        <v>3000</v>
      </c>
      <c r="O33" s="61" t="str">
        <f>IF(tblMovimientos[[#This Row],[Tipo de Movimiento]]="Egreso",tblMovimientos[[#This Row],[Monto (S/)]],"0")</f>
        <v>0</v>
      </c>
      <c r="P33" s="28">
        <f>IF(tblMovimientos[[#This Row],[Tipo de Movimiento]]="Ingreso",tblMovimientos[[#This Row],[Ingreso]],-tblMovimientos[[#This Row],[Egreso]])</f>
        <v>3000</v>
      </c>
      <c r="Q33" s="78" t="str">
        <f>_xlfn.XLOOKUP(tblMovimientos[[#This Row],[Cuenta Bancaria]],Cuentas!$C:$C,Cuentas!$A:$A,"")&amp;""</f>
        <v>SSP Group</v>
      </c>
      <c r="R33" s="78" t="str">
        <f>_xlfn.XLOOKUP(tblMovimientos[[#This Row],[Cuenta Bancaria]],Cuentas!$C:$C,Cuentas!$B:$B,"",0,-1)&amp;""</f>
        <v/>
      </c>
    </row>
    <row r="34" spans="2:18" x14ac:dyDescent="0.3">
      <c r="B34" s="39">
        <v>46147</v>
      </c>
      <c r="C34" s="4" t="str">
        <f>_xlfn.XLOOKUP(tblMovimientos[[#This Row],[Cuenta Bancaria]],Listas!$B:$B,Listas!$A:$A,"")</f>
        <v>Electrama</v>
      </c>
      <c r="D34" s="40" t="s">
        <v>113</v>
      </c>
      <c r="E34" s="4" t="str">
        <f>_xlfn.XLOOKUP(tblMovimientos[[#This Row],[Cuenta Bancaria]],Listas!$B:$B,Listas!$C:$C,"")</f>
        <v>Chase Bank</v>
      </c>
      <c r="F34" s="41" t="s">
        <v>10</v>
      </c>
      <c r="G34" s="40" t="s">
        <v>38</v>
      </c>
      <c r="H34" s="4" t="str">
        <f>IFERROR(_xlfn.XLOOKUP(G34,Listas!E:E,Listas!F:F,""),"")</f>
        <v>Operativo</v>
      </c>
      <c r="I34" s="46" t="str">
        <f>IFERROR(_xlfn.XLOOKUP(G34,Listas!E:E,Listas!G:G,""),"")</f>
        <v>Externo</v>
      </c>
      <c r="J34" s="43">
        <v>40</v>
      </c>
      <c r="K34" s="5">
        <f t="shared" si="0"/>
        <v>-40</v>
      </c>
      <c r="L34" s="6" t="s">
        <v>93</v>
      </c>
      <c r="M34" s="44">
        <f>SUMIFS('Saldos Iniciales'!$D:$D,'Saldos Iniciales'!$A:$A,C34,'Saldos Iniciales'!$B:$B,D34)+SUMIFS($K$1:$K$1324,$C$1:$C$1324,C34,$D$1:$D$1324,D34,$B$1:$B$1324,"&lt;="&amp;B34)</f>
        <v>3052.02</v>
      </c>
      <c r="N34" s="61" t="str">
        <f>IF(tblMovimientos[[#This Row],[Tipo de Movimiento]]="Ingreso",tblMovimientos[[#This Row],[Monto (S/)]],"0")</f>
        <v>0</v>
      </c>
      <c r="O34" s="61">
        <f>IF(tblMovimientos[[#This Row],[Tipo de Movimiento]]="Egreso",tblMovimientos[[#This Row],[Monto (S/)]],"0")</f>
        <v>40</v>
      </c>
      <c r="P34" s="28">
        <f>IF(tblMovimientos[[#This Row],[Tipo de Movimiento]]="Ingreso",tblMovimientos[[#This Row],[Ingreso]],-tblMovimientos[[#This Row],[Egreso]])</f>
        <v>-40</v>
      </c>
      <c r="Q34" s="78" t="str">
        <f>_xlfn.XLOOKUP(tblMovimientos[[#This Row],[Cuenta Bancaria]],Cuentas!$C:$C,Cuentas!$A:$A,"")&amp;""</f>
        <v>SSP Group</v>
      </c>
      <c r="R34" s="78" t="str">
        <f>_xlfn.XLOOKUP(tblMovimientos[[#This Row],[Cuenta Bancaria]],Cuentas!$C:$C,Cuentas!$B:$B,"",0,-1)&amp;""</f>
        <v/>
      </c>
    </row>
    <row r="35" spans="2:18" x14ac:dyDescent="0.3">
      <c r="B35" s="39">
        <v>46148</v>
      </c>
      <c r="C35" s="4" t="str">
        <f>_xlfn.XLOOKUP(tblMovimientos[[#This Row],[Cuenta Bancaria]],Listas!$B:$B,Listas!$A:$A,"")</f>
        <v>SSP Capital</v>
      </c>
      <c r="D35" s="40" t="s">
        <v>101</v>
      </c>
      <c r="E35" s="4" t="str">
        <f>_xlfn.XLOOKUP(tblMovimientos[[#This Row],[Cuenta Bancaria]],Listas!$B:$B,Listas!$C:$C,"")</f>
        <v>Bank of America</v>
      </c>
      <c r="F35" s="41" t="s">
        <v>10</v>
      </c>
      <c r="G35" s="40" t="s">
        <v>41</v>
      </c>
      <c r="H35" s="4" t="str">
        <f>IFERROR(_xlfn.XLOOKUP(G35,Listas!E:E,Listas!F:F,""),"")</f>
        <v>Operativo</v>
      </c>
      <c r="I35" s="46" t="str">
        <f>IFERROR(_xlfn.XLOOKUP(G35,Listas!E:E,Listas!G:G,""),"")</f>
        <v>Externo</v>
      </c>
      <c r="J35" s="43">
        <v>7679.78</v>
      </c>
      <c r="K35" s="5">
        <f t="shared" si="0"/>
        <v>-7679.78</v>
      </c>
      <c r="L35" s="6" t="s">
        <v>93</v>
      </c>
      <c r="M35" s="44">
        <f>SUMIFS('Saldos Iniciales'!$D:$D,'Saldos Iniciales'!$A:$A,C35,'Saldos Iniciales'!$B:$B,D35)+SUMIFS($K$1:$K$1324,$C$1:$C$1324,C35,$D$1:$D$1324,D35,$B$1:$B$1324,"&lt;="&amp;B35)</f>
        <v>4004.1100000000006</v>
      </c>
      <c r="N35" s="61" t="str">
        <f>IF(tblMovimientos[[#This Row],[Tipo de Movimiento]]="Ingreso",tblMovimientos[[#This Row],[Monto (S/)]],"0")</f>
        <v>0</v>
      </c>
      <c r="O35" s="61">
        <f>IF(tblMovimientos[[#This Row],[Tipo de Movimiento]]="Egreso",tblMovimientos[[#This Row],[Monto (S/)]],"0")</f>
        <v>7679.78</v>
      </c>
      <c r="P35" s="28">
        <f>IF(tblMovimientos[[#This Row],[Tipo de Movimiento]]="Ingreso",tblMovimientos[[#This Row],[Ingreso]],-tblMovimientos[[#This Row],[Egreso]])</f>
        <v>-7679.78</v>
      </c>
      <c r="Q35" s="78" t="str">
        <f>_xlfn.XLOOKUP(tblMovimientos[[#This Row],[Cuenta Bancaria]],Cuentas!$C:$C,Cuentas!$A:$A,"")&amp;""</f>
        <v>SSP Group</v>
      </c>
      <c r="R35" s="78" t="str">
        <f>_xlfn.XLOOKUP(tblMovimientos[[#This Row],[Cuenta Bancaria]],Cuentas!$C:$C,Cuentas!$B:$B,"",0,-1)&amp;""</f>
        <v/>
      </c>
    </row>
    <row r="36" spans="2:18" x14ac:dyDescent="0.3">
      <c r="B36" s="39">
        <v>46148</v>
      </c>
      <c r="C36" s="4" t="str">
        <f>_xlfn.XLOOKUP(tblMovimientos[[#This Row],[Cuenta Bancaria]],Listas!$B:$B,Listas!$A:$A,"")</f>
        <v>112 Florida Ave</v>
      </c>
      <c r="D36" s="40" t="s">
        <v>123</v>
      </c>
      <c r="E36" s="4" t="str">
        <f>_xlfn.XLOOKUP(tblMovimientos[[#This Row],[Cuenta Bancaria]],Listas!$B:$B,Listas!$C:$C,"")</f>
        <v>Bank of America</v>
      </c>
      <c r="F36" s="41" t="s">
        <v>10</v>
      </c>
      <c r="G36" s="40" t="s">
        <v>38</v>
      </c>
      <c r="H36" s="4" t="str">
        <f>IFERROR(_xlfn.XLOOKUP(G36,Listas!E:E,Listas!F:F,""),"")</f>
        <v>Operativo</v>
      </c>
      <c r="I36" s="46" t="str">
        <f>IFERROR(_xlfn.XLOOKUP(G36,Listas!E:E,Listas!G:G,""),"")</f>
        <v>Externo</v>
      </c>
      <c r="J36" s="43">
        <v>1718.85</v>
      </c>
      <c r="K36" s="5">
        <f t="shared" si="0"/>
        <v>-1718.85</v>
      </c>
      <c r="L36" s="6" t="s">
        <v>93</v>
      </c>
      <c r="M36" s="44">
        <f>SUMIFS('Saldos Iniciales'!$D:$D,'Saldos Iniciales'!$A:$A,C36,'Saldos Iniciales'!$B:$B,D36)+SUMIFS($K$1:$K$1324,$C$1:$C$1324,C36,$D$1:$D$1324,D36,$B$1:$B$1324,"&lt;="&amp;B36)</f>
        <v>5135.0600000000013</v>
      </c>
      <c r="N36" s="61" t="str">
        <f>IF(tblMovimientos[[#This Row],[Tipo de Movimiento]]="Ingreso",tblMovimientos[[#This Row],[Monto (S/)]],"0")</f>
        <v>0</v>
      </c>
      <c r="O36" s="61">
        <f>IF(tblMovimientos[[#This Row],[Tipo de Movimiento]]="Egreso",tblMovimientos[[#This Row],[Monto (S/)]],"0")</f>
        <v>1718.85</v>
      </c>
      <c r="P36" s="28">
        <f>IF(tblMovimientos[[#This Row],[Tipo de Movimiento]]="Ingreso",tblMovimientos[[#This Row],[Ingreso]],-tblMovimientos[[#This Row],[Egreso]])</f>
        <v>-1718.85</v>
      </c>
      <c r="Q36" s="78" t="str">
        <f>_xlfn.XLOOKUP(tblMovimientos[[#This Row],[Cuenta Bancaria]],Cuentas!$C:$C,Cuentas!$A:$A,"")&amp;""</f>
        <v>SSP Group</v>
      </c>
      <c r="R36" s="78" t="str">
        <f>_xlfn.XLOOKUP(tblMovimientos[[#This Row],[Cuenta Bancaria]],Cuentas!$C:$C,Cuentas!$B:$B,"",0,-1)&amp;""</f>
        <v/>
      </c>
    </row>
    <row r="37" spans="2:18" x14ac:dyDescent="0.3">
      <c r="B37" s="39">
        <v>46148</v>
      </c>
      <c r="C37" s="4" t="str">
        <f>_xlfn.XLOOKUP(tblMovimientos[[#This Row],[Cuenta Bancaria]],Listas!$B:$B,Listas!$A:$A,"")</f>
        <v>M1B</v>
      </c>
      <c r="D37" s="40" t="s">
        <v>97</v>
      </c>
      <c r="E37" s="4" t="str">
        <f>_xlfn.XLOOKUP(tblMovimientos[[#This Row],[Cuenta Bancaria]],Listas!$B:$B,Listas!$C:$C,"")</f>
        <v xml:space="preserve">Amerant Bank </v>
      </c>
      <c r="F37" s="41" t="s">
        <v>9</v>
      </c>
      <c r="G37" s="40" t="s">
        <v>70</v>
      </c>
      <c r="H37" s="4" t="str">
        <f>IFERROR(_xlfn.XLOOKUP(G37,Listas!E:E,Listas!F:F,""),"")</f>
        <v>Operativo</v>
      </c>
      <c r="I37" s="46" t="str">
        <f>IFERROR(_xlfn.XLOOKUP(G37,Listas!E:E,Listas!G:G,""),"")</f>
        <v>Externo</v>
      </c>
      <c r="J37" s="43">
        <v>575000</v>
      </c>
      <c r="K37" s="5">
        <f t="shared" si="0"/>
        <v>575000</v>
      </c>
      <c r="L37" s="6" t="s">
        <v>93</v>
      </c>
      <c r="M37" s="44">
        <f>SUMIFS('Saldos Iniciales'!$D:$D,'Saldos Iniciales'!$A:$A,C37,'Saldos Iniciales'!$B:$B,D37)+SUMIFS($K$1:$K$1324,$C$1:$C$1324,C37,$D$1:$D$1324,D37,$B$1:$B$1324,"&lt;="&amp;B37)</f>
        <v>621288.02999999991</v>
      </c>
      <c r="N37" s="61">
        <f>IF(tblMovimientos[[#This Row],[Tipo de Movimiento]]="Ingreso",tblMovimientos[[#This Row],[Monto (S/)]],"0")</f>
        <v>575000</v>
      </c>
      <c r="O37" s="61" t="str">
        <f>IF(tblMovimientos[[#This Row],[Tipo de Movimiento]]="Egreso",tblMovimientos[[#This Row],[Monto (S/)]],"0")</f>
        <v>0</v>
      </c>
      <c r="P37" s="28">
        <f>IF(tblMovimientos[[#This Row],[Tipo de Movimiento]]="Ingreso",tblMovimientos[[#This Row],[Ingreso]],-tblMovimientos[[#This Row],[Egreso]])</f>
        <v>575000</v>
      </c>
      <c r="Q37" s="78" t="str">
        <f>_xlfn.XLOOKUP(tblMovimientos[[#This Row],[Cuenta Bancaria]],Cuentas!$C:$C,Cuentas!$A:$A,"")&amp;""</f>
        <v>SSP Group</v>
      </c>
      <c r="R37" s="78" t="str">
        <f>_xlfn.XLOOKUP(tblMovimientos[[#This Row],[Cuenta Bancaria]],Cuentas!$C:$C,Cuentas!$B:$B,"",0,-1)&amp;""</f>
        <v/>
      </c>
    </row>
    <row r="38" spans="2:18" x14ac:dyDescent="0.3">
      <c r="B38" s="39">
        <v>46148</v>
      </c>
      <c r="C38" s="4" t="str">
        <f>_xlfn.XLOOKUP(tblMovimientos[[#This Row],[Cuenta Bancaria]],Listas!$B:$B,Listas!$A:$A,"")</f>
        <v>SSP Capital</v>
      </c>
      <c r="D38" s="40" t="s">
        <v>104</v>
      </c>
      <c r="E38" s="4" t="str">
        <f>_xlfn.XLOOKUP(tblMovimientos[[#This Row],[Cuenta Bancaria]],Listas!$B:$B,Listas!$C:$C,"")</f>
        <v xml:space="preserve">Amerant Bank </v>
      </c>
      <c r="F38" s="41" t="s">
        <v>10</v>
      </c>
      <c r="G38" s="40" t="s">
        <v>60</v>
      </c>
      <c r="H38" s="4" t="str">
        <f>IFERROR(_xlfn.XLOOKUP(G38,Listas!E:E,Listas!F:F,""),"")</f>
        <v>Inversion</v>
      </c>
      <c r="I38" s="46" t="str">
        <f>IFERROR(_xlfn.XLOOKUP(G38,Listas!E:E,Listas!G:G,""),"")</f>
        <v>Interno</v>
      </c>
      <c r="J38" s="43">
        <v>120000</v>
      </c>
      <c r="K38" s="5">
        <f t="shared" si="0"/>
        <v>-120000</v>
      </c>
      <c r="L38" s="6" t="s">
        <v>93</v>
      </c>
      <c r="M38" s="44">
        <f>SUMIFS('Saldos Iniciales'!$D:$D,'Saldos Iniciales'!$A:$A,C38,'Saldos Iniciales'!$B:$B,D38)+SUMIFS($K$1:$K$1324,$C$1:$C$1324,C38,$D$1:$D$1324,D38,$B$1:$B$1324,"&lt;="&amp;B38)</f>
        <v>199057.81999999937</v>
      </c>
      <c r="N38" s="61" t="str">
        <f>IF(tblMovimientos[[#This Row],[Tipo de Movimiento]]="Ingreso",tblMovimientos[[#This Row],[Monto (S/)]],"0")</f>
        <v>0</v>
      </c>
      <c r="O38" s="61">
        <f>IF(tblMovimientos[[#This Row],[Tipo de Movimiento]]="Egreso",tblMovimientos[[#This Row],[Monto (S/)]],"0")</f>
        <v>120000</v>
      </c>
      <c r="P38" s="28">
        <f>IF(tblMovimientos[[#This Row],[Tipo de Movimiento]]="Ingreso",tblMovimientos[[#This Row],[Ingreso]],-tblMovimientos[[#This Row],[Egreso]])</f>
        <v>-120000</v>
      </c>
      <c r="Q38" s="78" t="str">
        <f>_xlfn.XLOOKUP(tblMovimientos[[#This Row],[Cuenta Bancaria]],Cuentas!$C:$C,Cuentas!$A:$A,"")&amp;""</f>
        <v>SSP Group</v>
      </c>
      <c r="R38" s="78" t="str">
        <f>_xlfn.XLOOKUP(tblMovimientos[[#This Row],[Cuenta Bancaria]],Cuentas!$C:$C,Cuentas!$B:$B,"",0,-1)&amp;""</f>
        <v/>
      </c>
    </row>
    <row r="39" spans="2:18" x14ac:dyDescent="0.3">
      <c r="B39" s="39">
        <v>46149</v>
      </c>
      <c r="C39" s="4" t="str">
        <f>_xlfn.XLOOKUP(tblMovimientos[[#This Row],[Cuenta Bancaria]],Listas!$B:$B,Listas!$A:$A,"")</f>
        <v>SSP Capital</v>
      </c>
      <c r="D39" s="40" t="s">
        <v>104</v>
      </c>
      <c r="E39" s="4" t="str">
        <f>_xlfn.XLOOKUP(tblMovimientos[[#This Row],[Cuenta Bancaria]],Listas!$B:$B,Listas!$C:$C,"")</f>
        <v xml:space="preserve">Amerant Bank </v>
      </c>
      <c r="F39" s="41" t="s">
        <v>10</v>
      </c>
      <c r="G39" s="40" t="s">
        <v>56</v>
      </c>
      <c r="H39" s="4" t="str">
        <f>IFERROR(_xlfn.XLOOKUP(G39,Listas!E:E,Listas!F:F,""),"")</f>
        <v>Inversion</v>
      </c>
      <c r="I39" s="46" t="str">
        <f>IFERROR(_xlfn.XLOOKUP(G39,Listas!E:E,Listas!G:G,""),"")</f>
        <v>Externo</v>
      </c>
      <c r="J39" s="43">
        <v>374.25</v>
      </c>
      <c r="K39" s="5">
        <f t="shared" si="0"/>
        <v>-374.25</v>
      </c>
      <c r="L39" s="6" t="s">
        <v>93</v>
      </c>
      <c r="M39" s="44">
        <f>SUMIFS('Saldos Iniciales'!$D:$D,'Saldos Iniciales'!$A:$A,C39,'Saldos Iniciales'!$B:$B,D39)+SUMIFS($K$1:$K$1324,$C$1:$C$1324,C39,$D$1:$D$1324,D39,$B$1:$B$1324,"&lt;="&amp;B39)</f>
        <v>148736.90999999936</v>
      </c>
      <c r="N39" s="61" t="str">
        <f>IF(tblMovimientos[[#This Row],[Tipo de Movimiento]]="Ingreso",tblMovimientos[[#This Row],[Monto (S/)]],"0")</f>
        <v>0</v>
      </c>
      <c r="O39" s="61">
        <f>IF(tblMovimientos[[#This Row],[Tipo de Movimiento]]="Egreso",tblMovimientos[[#This Row],[Monto (S/)]],"0")</f>
        <v>374.25</v>
      </c>
      <c r="P39" s="28">
        <f>IF(tblMovimientos[[#This Row],[Tipo de Movimiento]]="Ingreso",tblMovimientos[[#This Row],[Ingreso]],-tblMovimientos[[#This Row],[Egreso]])</f>
        <v>-374.25</v>
      </c>
      <c r="Q39" s="78" t="str">
        <f>_xlfn.XLOOKUP(tblMovimientos[[#This Row],[Cuenta Bancaria]],Cuentas!$C:$C,Cuentas!$A:$A,"")&amp;""</f>
        <v>SSP Group</v>
      </c>
      <c r="R39" s="78" t="str">
        <f>_xlfn.XLOOKUP(tblMovimientos[[#This Row],[Cuenta Bancaria]],Cuentas!$C:$C,Cuentas!$B:$B,"",0,-1)&amp;""</f>
        <v/>
      </c>
    </row>
    <row r="40" spans="2:18" x14ac:dyDescent="0.3">
      <c r="B40" s="39">
        <v>46149</v>
      </c>
      <c r="C40" s="4" t="str">
        <f>_xlfn.XLOOKUP(tblMovimientos[[#This Row],[Cuenta Bancaria]],Listas!$B:$B,Listas!$A:$A,"")</f>
        <v>SSP Capital</v>
      </c>
      <c r="D40" s="40" t="s">
        <v>101</v>
      </c>
      <c r="E40" s="4" t="str">
        <f>_xlfn.XLOOKUP(tblMovimientos[[#This Row],[Cuenta Bancaria]],Listas!$B:$B,Listas!$C:$C,"")</f>
        <v>Bank of America</v>
      </c>
      <c r="F40" s="41" t="s">
        <v>9</v>
      </c>
      <c r="G40" s="40" t="s">
        <v>73</v>
      </c>
      <c r="H40" s="4" t="str">
        <f>IFERROR(_xlfn.XLOOKUP(G40,Listas!E:E,Listas!F:F,""),"")</f>
        <v>Operativo</v>
      </c>
      <c r="I40" s="46" t="str">
        <f>IFERROR(_xlfn.XLOOKUP(G40,Listas!E:E,Listas!G:G,""),"")</f>
        <v>Interno</v>
      </c>
      <c r="J40" s="43">
        <v>15321.74</v>
      </c>
      <c r="K40" s="5">
        <f t="shared" si="0"/>
        <v>15321.74</v>
      </c>
      <c r="L40" s="6" t="s">
        <v>93</v>
      </c>
      <c r="M40" s="44">
        <f>SUMIFS('Saldos Iniciales'!$D:$D,'Saldos Iniciales'!$A:$A,C40,'Saldos Iniciales'!$B:$B,D40)+SUMIFS($K$1:$K$1324,$C$1:$C$1324,C40,$D$1:$D$1324,D40,$B$1:$B$1324,"&lt;="&amp;B40)</f>
        <v>19325.849999999999</v>
      </c>
      <c r="N40" s="61">
        <f>IF(tblMovimientos[[#This Row],[Tipo de Movimiento]]="Ingreso",tblMovimientos[[#This Row],[Monto (S/)]],"0")</f>
        <v>15321.74</v>
      </c>
      <c r="O40" s="61" t="str">
        <f>IF(tblMovimientos[[#This Row],[Tipo de Movimiento]]="Egreso",tblMovimientos[[#This Row],[Monto (S/)]],"0")</f>
        <v>0</v>
      </c>
      <c r="P40" s="28">
        <f>IF(tblMovimientos[[#This Row],[Tipo de Movimiento]]="Ingreso",tblMovimientos[[#This Row],[Ingreso]],-tblMovimientos[[#This Row],[Egreso]])</f>
        <v>15321.74</v>
      </c>
      <c r="Q40" s="78" t="str">
        <f>_xlfn.XLOOKUP(tblMovimientos[[#This Row],[Cuenta Bancaria]],Cuentas!$C:$C,Cuentas!$A:$A,"")&amp;""</f>
        <v>SSP Group</v>
      </c>
      <c r="R40" s="78" t="str">
        <f>_xlfn.XLOOKUP(tblMovimientos[[#This Row],[Cuenta Bancaria]],Cuentas!$C:$C,Cuentas!$B:$B,"",0,-1)&amp;""</f>
        <v/>
      </c>
    </row>
    <row r="41" spans="2:18" x14ac:dyDescent="0.3">
      <c r="B41" s="39">
        <v>46149</v>
      </c>
      <c r="C41" s="4" t="str">
        <f>_xlfn.XLOOKUP(tblMovimientos[[#This Row],[Cuenta Bancaria]],Listas!$B:$B,Listas!$A:$A,"")</f>
        <v>A&amp;M Imports</v>
      </c>
      <c r="D41" s="40" t="s">
        <v>100</v>
      </c>
      <c r="E41" s="4" t="str">
        <f>_xlfn.XLOOKUP(tblMovimientos[[#This Row],[Cuenta Bancaria]],Listas!$B:$B,Listas!$C:$C,"")</f>
        <v>Bank of America</v>
      </c>
      <c r="F41" s="41" t="s">
        <v>10</v>
      </c>
      <c r="G41" s="40" t="s">
        <v>51</v>
      </c>
      <c r="H41" s="4" t="str">
        <f>IFERROR(_xlfn.XLOOKUP(G41,Listas!E:E,Listas!F:F,""),"")</f>
        <v>Financiamiento</v>
      </c>
      <c r="I41" s="46" t="str">
        <f>IFERROR(_xlfn.XLOOKUP(G41,Listas!E:E,Listas!G:G,""),"")</f>
        <v>Externo</v>
      </c>
      <c r="J41" s="43">
        <v>15321.74</v>
      </c>
      <c r="K41" s="5">
        <f t="shared" si="0"/>
        <v>-15321.74</v>
      </c>
      <c r="L41" s="6" t="s">
        <v>93</v>
      </c>
      <c r="M41" s="44">
        <f>SUMIFS('Saldos Iniciales'!$D:$D,'Saldos Iniciales'!$A:$A,C41,'Saldos Iniciales'!$B:$B,D41)+SUMIFS($K$1:$K$1324,$C$1:$C$1324,C41,$D$1:$D$1324,D41,$B$1:$B$1324,"&lt;="&amp;B41)</f>
        <v>274668.55999999994</v>
      </c>
      <c r="N41" s="61" t="str">
        <f>IF(tblMovimientos[[#This Row],[Tipo de Movimiento]]="Ingreso",tblMovimientos[[#This Row],[Monto (S/)]],"0")</f>
        <v>0</v>
      </c>
      <c r="O41" s="61">
        <f>IF(tblMovimientos[[#This Row],[Tipo de Movimiento]]="Egreso",tblMovimientos[[#This Row],[Monto (S/)]],"0")</f>
        <v>15321.74</v>
      </c>
      <c r="P41" s="28">
        <f>IF(tblMovimientos[[#This Row],[Tipo de Movimiento]]="Ingreso",tblMovimientos[[#This Row],[Ingreso]],-tblMovimientos[[#This Row],[Egreso]])</f>
        <v>-15321.74</v>
      </c>
      <c r="Q41" s="78" t="str">
        <f>_xlfn.XLOOKUP(tblMovimientos[[#This Row],[Cuenta Bancaria]],Cuentas!$C:$C,Cuentas!$A:$A,"")&amp;""</f>
        <v>SSP Group</v>
      </c>
      <c r="R41" s="78" t="str">
        <f>_xlfn.XLOOKUP(tblMovimientos[[#This Row],[Cuenta Bancaria]],Cuentas!$C:$C,Cuentas!$B:$B,"",0,-1)&amp;""</f>
        <v/>
      </c>
    </row>
    <row r="42" spans="2:18" x14ac:dyDescent="0.3">
      <c r="B42" s="39">
        <v>46149</v>
      </c>
      <c r="C42" s="4" t="str">
        <f>_xlfn.XLOOKUP(tblMovimientos[[#This Row],[Cuenta Bancaria]],Listas!$B:$B,Listas!$A:$A,"")</f>
        <v>A&amp;M Imports</v>
      </c>
      <c r="D42" s="40" t="s">
        <v>100</v>
      </c>
      <c r="E42" s="4" t="str">
        <f>_xlfn.XLOOKUP(tblMovimientos[[#This Row],[Cuenta Bancaria]],Listas!$B:$B,Listas!$C:$C,"")</f>
        <v>Bank of America</v>
      </c>
      <c r="F42" s="41" t="s">
        <v>10</v>
      </c>
      <c r="G42" s="40" t="s">
        <v>59</v>
      </c>
      <c r="H42" s="4" t="str">
        <f>IFERROR(_xlfn.XLOOKUP(G42,Listas!E:E,Listas!F:F,""),"")</f>
        <v>Inversion</v>
      </c>
      <c r="I42" s="46" t="str">
        <f>IFERROR(_xlfn.XLOOKUP(G42,Listas!E:E,Listas!G:G,""),"")</f>
        <v>Externo</v>
      </c>
      <c r="J42" s="43">
        <v>700000</v>
      </c>
      <c r="K42" s="5">
        <f t="shared" si="0"/>
        <v>-700000</v>
      </c>
      <c r="L42" s="6" t="s">
        <v>93</v>
      </c>
      <c r="M42" s="44">
        <f>SUMIFS('Saldos Iniciales'!$D:$D,'Saldos Iniciales'!$A:$A,C42,'Saldos Iniciales'!$B:$B,D42)+SUMIFS($K$1:$K$1324,$C$1:$C$1324,C42,$D$1:$D$1324,D42,$B$1:$B$1324,"&lt;="&amp;B42)</f>
        <v>274668.55999999994</v>
      </c>
      <c r="N42" s="61" t="str">
        <f>IF(tblMovimientos[[#This Row],[Tipo de Movimiento]]="Ingreso",tblMovimientos[[#This Row],[Monto (S/)]],"0")</f>
        <v>0</v>
      </c>
      <c r="O42" s="61">
        <f>IF(tblMovimientos[[#This Row],[Tipo de Movimiento]]="Egreso",tblMovimientos[[#This Row],[Monto (S/)]],"0")</f>
        <v>700000</v>
      </c>
      <c r="P42" s="28">
        <f>IF(tblMovimientos[[#This Row],[Tipo de Movimiento]]="Ingreso",tblMovimientos[[#This Row],[Ingreso]],-tblMovimientos[[#This Row],[Egreso]])</f>
        <v>-700000</v>
      </c>
      <c r="Q42" s="78" t="str">
        <f>_xlfn.XLOOKUP(tblMovimientos[[#This Row],[Cuenta Bancaria]],Cuentas!$C:$C,Cuentas!$A:$A,"")&amp;""</f>
        <v>SSP Group</v>
      </c>
      <c r="R42" s="78" t="str">
        <f>_xlfn.XLOOKUP(tblMovimientos[[#This Row],[Cuenta Bancaria]],Cuentas!$C:$C,Cuentas!$B:$B,"",0,-1)&amp;""</f>
        <v/>
      </c>
    </row>
    <row r="43" spans="2:18" x14ac:dyDescent="0.3">
      <c r="B43" s="39">
        <v>46149</v>
      </c>
      <c r="C43" s="4" t="str">
        <f>_xlfn.XLOOKUP(tblMovimientos[[#This Row],[Cuenta Bancaria]],Listas!$B:$B,Listas!$A:$A,"")</f>
        <v>CFT Group</v>
      </c>
      <c r="D43" s="40" t="s">
        <v>94</v>
      </c>
      <c r="E43" s="4" t="str">
        <f>_xlfn.XLOOKUP(tblMovimientos[[#This Row],[Cuenta Bancaria]],Listas!$B:$B,Listas!$C:$C,"")</f>
        <v>Bank of America</v>
      </c>
      <c r="F43" s="41" t="s">
        <v>10</v>
      </c>
      <c r="G43" s="40" t="s">
        <v>50</v>
      </c>
      <c r="H43" s="4" t="str">
        <f>IFERROR(_xlfn.XLOOKUP(G43,Listas!E:E,Listas!F:F,""),"")</f>
        <v>Financiamiento</v>
      </c>
      <c r="I43" s="46" t="str">
        <f>IFERROR(_xlfn.XLOOKUP(G43,Listas!E:E,Listas!G:G,""),"")</f>
        <v>Externo</v>
      </c>
      <c r="J43" s="43">
        <v>10000</v>
      </c>
      <c r="K43" s="5">
        <f t="shared" si="0"/>
        <v>-10000</v>
      </c>
      <c r="L43" s="6" t="s">
        <v>93</v>
      </c>
      <c r="M43" s="44">
        <f>SUMIFS('Saldos Iniciales'!$D:$D,'Saldos Iniciales'!$A:$A,C43,'Saldos Iniciales'!$B:$B,D43)+SUMIFS($K$1:$K$1324,$C$1:$C$1324,C43,$D$1:$D$1324,D43,$B$1:$B$1324,"&lt;="&amp;B43)</f>
        <v>2689.0499999999884</v>
      </c>
      <c r="N43" s="61" t="str">
        <f>IF(tblMovimientos[[#This Row],[Tipo de Movimiento]]="Ingreso",tblMovimientos[[#This Row],[Monto (S/)]],"0")</f>
        <v>0</v>
      </c>
      <c r="O43" s="61">
        <f>IF(tblMovimientos[[#This Row],[Tipo de Movimiento]]="Egreso",tblMovimientos[[#This Row],[Monto (S/)]],"0")</f>
        <v>10000</v>
      </c>
      <c r="P43" s="28">
        <f>IF(tblMovimientos[[#This Row],[Tipo de Movimiento]]="Ingreso",tblMovimientos[[#This Row],[Ingreso]],-tblMovimientos[[#This Row],[Egreso]])</f>
        <v>-10000</v>
      </c>
      <c r="Q43" s="78" t="str">
        <f>_xlfn.XLOOKUP(tblMovimientos[[#This Row],[Cuenta Bancaria]],Cuentas!$C:$C,Cuentas!$A:$A,"")&amp;""</f>
        <v>SSP Group</v>
      </c>
      <c r="R43" s="78" t="str">
        <f>_xlfn.XLOOKUP(tblMovimientos[[#This Row],[Cuenta Bancaria]],Cuentas!$C:$C,Cuentas!$B:$B,"",0,-1)&amp;""</f>
        <v/>
      </c>
    </row>
    <row r="44" spans="2:18" x14ac:dyDescent="0.3">
      <c r="B44" s="39">
        <v>46149</v>
      </c>
      <c r="C44" s="4" t="str">
        <f>_xlfn.XLOOKUP(tblMovimientos[[#This Row],[Cuenta Bancaria]],Listas!$B:$B,Listas!$A:$A,"")</f>
        <v>CFT Group</v>
      </c>
      <c r="D44" s="40" t="s">
        <v>94</v>
      </c>
      <c r="E44" s="4" t="str">
        <f>_xlfn.XLOOKUP(tblMovimientos[[#This Row],[Cuenta Bancaria]],Listas!$B:$B,Listas!$C:$C,"")</f>
        <v>Bank of America</v>
      </c>
      <c r="F44" s="41" t="s">
        <v>10</v>
      </c>
      <c r="G44" s="40" t="s">
        <v>50</v>
      </c>
      <c r="H44" s="4" t="str">
        <f>IFERROR(_xlfn.XLOOKUP(G44,Listas!E:E,Listas!F:F,""),"")</f>
        <v>Financiamiento</v>
      </c>
      <c r="I44" s="46" t="str">
        <f>IFERROR(_xlfn.XLOOKUP(G44,Listas!E:E,Listas!G:G,""),"")</f>
        <v>Externo</v>
      </c>
      <c r="J44" s="43">
        <v>10000</v>
      </c>
      <c r="K44" s="5">
        <f t="shared" si="0"/>
        <v>-10000</v>
      </c>
      <c r="L44" s="6" t="s">
        <v>93</v>
      </c>
      <c r="M44" s="44">
        <f>SUMIFS('Saldos Iniciales'!$D:$D,'Saldos Iniciales'!$A:$A,C44,'Saldos Iniciales'!$B:$B,D44)+SUMIFS($K$1:$K$1324,$C$1:$C$1324,C44,$D$1:$D$1324,D44,$B$1:$B$1324,"&lt;="&amp;B44)</f>
        <v>2689.0499999999884</v>
      </c>
      <c r="N44" s="61" t="str">
        <f>IF(tblMovimientos[[#This Row],[Tipo de Movimiento]]="Ingreso",tblMovimientos[[#This Row],[Monto (S/)]],"0")</f>
        <v>0</v>
      </c>
      <c r="O44" s="61">
        <f>IF(tblMovimientos[[#This Row],[Tipo de Movimiento]]="Egreso",tblMovimientos[[#This Row],[Monto (S/)]],"0")</f>
        <v>10000</v>
      </c>
      <c r="P44" s="28">
        <f>IF(tblMovimientos[[#This Row],[Tipo de Movimiento]]="Ingreso",tblMovimientos[[#This Row],[Ingreso]],-tblMovimientos[[#This Row],[Egreso]])</f>
        <v>-10000</v>
      </c>
      <c r="Q44" s="78" t="str">
        <f>_xlfn.XLOOKUP(tblMovimientos[[#This Row],[Cuenta Bancaria]],Cuentas!$C:$C,Cuentas!$A:$A,"")&amp;""</f>
        <v>SSP Group</v>
      </c>
      <c r="R44" s="78" t="str">
        <f>_xlfn.XLOOKUP(tblMovimientos[[#This Row],[Cuenta Bancaria]],Cuentas!$C:$C,Cuentas!$B:$B,"",0,-1)&amp;""</f>
        <v/>
      </c>
    </row>
    <row r="45" spans="2:18" x14ac:dyDescent="0.3">
      <c r="B45" s="39">
        <v>46149</v>
      </c>
      <c r="C45" s="4" t="str">
        <f>_xlfn.XLOOKUP(tblMovimientos[[#This Row],[Cuenta Bancaria]],Listas!$B:$B,Listas!$A:$A,"")</f>
        <v>112 Florida Ave</v>
      </c>
      <c r="D45" s="40" t="s">
        <v>123</v>
      </c>
      <c r="E45" s="4" t="str">
        <f>_xlfn.XLOOKUP(tblMovimientos[[#This Row],[Cuenta Bancaria]],Listas!$B:$B,Listas!$C:$C,"")</f>
        <v>Bank of America</v>
      </c>
      <c r="F45" s="41" t="s">
        <v>9</v>
      </c>
      <c r="G45" s="40" t="s">
        <v>71</v>
      </c>
      <c r="H45" s="4" t="str">
        <f>IFERROR(_xlfn.XLOOKUP(G45,Listas!E:E,Listas!F:F,""),"")</f>
        <v>Operativo</v>
      </c>
      <c r="I45" s="46" t="str">
        <f>IFERROR(_xlfn.XLOOKUP(G45,Listas!E:E,Listas!G:G,""),"")</f>
        <v>Interno</v>
      </c>
      <c r="J45" s="43">
        <v>10000</v>
      </c>
      <c r="K45" s="5">
        <f t="shared" si="0"/>
        <v>10000</v>
      </c>
      <c r="L45" s="6" t="s">
        <v>93</v>
      </c>
      <c r="M45" s="44">
        <f>SUMIFS('Saldos Iniciales'!$D:$D,'Saldos Iniciales'!$A:$A,C45,'Saldos Iniciales'!$B:$B,D45)+SUMIFS($K$1:$K$1324,$C$1:$C$1324,C45,$D$1:$D$1324,D45,$B$1:$B$1324,"&lt;="&amp;B45)</f>
        <v>15135.060000000001</v>
      </c>
      <c r="N45" s="61">
        <f>IF(tblMovimientos[[#This Row],[Tipo de Movimiento]]="Ingreso",tblMovimientos[[#This Row],[Monto (S/)]],"0")</f>
        <v>10000</v>
      </c>
      <c r="O45" s="61" t="str">
        <f>IF(tblMovimientos[[#This Row],[Tipo de Movimiento]]="Egreso",tblMovimientos[[#This Row],[Monto (S/)]],"0")</f>
        <v>0</v>
      </c>
      <c r="P45" s="28">
        <f>IF(tblMovimientos[[#This Row],[Tipo de Movimiento]]="Ingreso",tblMovimientos[[#This Row],[Ingreso]],-tblMovimientos[[#This Row],[Egreso]])</f>
        <v>10000</v>
      </c>
      <c r="Q45" s="78" t="str">
        <f>_xlfn.XLOOKUP(tblMovimientos[[#This Row],[Cuenta Bancaria]],Cuentas!$C:$C,Cuentas!$A:$A,"")&amp;""</f>
        <v>SSP Group</v>
      </c>
      <c r="R45" s="78" t="str">
        <f>_xlfn.XLOOKUP(tblMovimientos[[#This Row],[Cuenta Bancaria]],Cuentas!$C:$C,Cuentas!$B:$B,"",0,-1)&amp;""</f>
        <v/>
      </c>
    </row>
    <row r="46" spans="2:18" x14ac:dyDescent="0.3">
      <c r="B46" s="39">
        <v>46149</v>
      </c>
      <c r="C46" s="4" t="str">
        <f>_xlfn.XLOOKUP(tblMovimientos[[#This Row],[Cuenta Bancaria]],Listas!$B:$B,Listas!$A:$A,"")</f>
        <v>3628 Thomas Ave</v>
      </c>
      <c r="D46" s="40" t="s">
        <v>124</v>
      </c>
      <c r="E46" s="4" t="str">
        <f>_xlfn.XLOOKUP(tblMovimientos[[#This Row],[Cuenta Bancaria]],Listas!$B:$B,Listas!$C:$C,"")</f>
        <v>Bank of America</v>
      </c>
      <c r="F46" s="41" t="s">
        <v>9</v>
      </c>
      <c r="G46" s="40" t="s">
        <v>71</v>
      </c>
      <c r="H46" s="4" t="str">
        <f>IFERROR(_xlfn.XLOOKUP(G46,Listas!E:E,Listas!F:F,""),"")</f>
        <v>Operativo</v>
      </c>
      <c r="I46" s="46" t="str">
        <f>IFERROR(_xlfn.XLOOKUP(G46,Listas!E:E,Listas!G:G,""),"")</f>
        <v>Interno</v>
      </c>
      <c r="J46" s="43">
        <v>10000</v>
      </c>
      <c r="K46" s="5">
        <f t="shared" si="0"/>
        <v>10000</v>
      </c>
      <c r="L46" s="6" t="s">
        <v>93</v>
      </c>
      <c r="M46" s="44">
        <f>SUMIFS('Saldos Iniciales'!$D:$D,'Saldos Iniciales'!$A:$A,C46,'Saldos Iniciales'!$B:$B,D46)+SUMIFS($K$1:$K$1324,$C$1:$C$1324,C46,$D$1:$D$1324,D46,$B$1:$B$1324,"&lt;="&amp;B46)</f>
        <v>31338.39</v>
      </c>
      <c r="N46" s="61">
        <f>IF(tblMovimientos[[#This Row],[Tipo de Movimiento]]="Ingreso",tblMovimientos[[#This Row],[Monto (S/)]],"0")</f>
        <v>10000</v>
      </c>
      <c r="O46" s="61" t="str">
        <f>IF(tblMovimientos[[#This Row],[Tipo de Movimiento]]="Egreso",tblMovimientos[[#This Row],[Monto (S/)]],"0")</f>
        <v>0</v>
      </c>
      <c r="P46" s="28">
        <f>IF(tblMovimientos[[#This Row],[Tipo de Movimiento]]="Ingreso",tblMovimientos[[#This Row],[Ingreso]],-tblMovimientos[[#This Row],[Egreso]])</f>
        <v>10000</v>
      </c>
      <c r="Q46" s="78" t="str">
        <f>_xlfn.XLOOKUP(tblMovimientos[[#This Row],[Cuenta Bancaria]],Cuentas!$C:$C,Cuentas!$A:$A,"")&amp;""</f>
        <v>SSP Group</v>
      </c>
      <c r="R46" s="78" t="str">
        <f>_xlfn.XLOOKUP(tblMovimientos[[#This Row],[Cuenta Bancaria]],Cuentas!$C:$C,Cuentas!$B:$B,"",0,-1)&amp;""</f>
        <v/>
      </c>
    </row>
    <row r="47" spans="2:18" x14ac:dyDescent="0.3">
      <c r="B47" s="39">
        <v>46149</v>
      </c>
      <c r="C47" s="4" t="str">
        <f>_xlfn.XLOOKUP(tblMovimientos[[#This Row],[Cuenta Bancaria]],Listas!$B:$B,Listas!$A:$A,"")</f>
        <v>M1B</v>
      </c>
      <c r="D47" s="40" t="s">
        <v>97</v>
      </c>
      <c r="E47" s="4" t="str">
        <f>_xlfn.XLOOKUP(tblMovimientos[[#This Row],[Cuenta Bancaria]],Listas!$B:$B,Listas!$C:$C,"")</f>
        <v xml:space="preserve">Amerant Bank </v>
      </c>
      <c r="F47" s="41" t="s">
        <v>10</v>
      </c>
      <c r="G47" s="40" t="s">
        <v>50</v>
      </c>
      <c r="H47" s="4" t="str">
        <f>IFERROR(_xlfn.XLOOKUP(G47,Listas!E:E,Listas!F:F,""),"")</f>
        <v>Financiamiento</v>
      </c>
      <c r="I47" s="46" t="str">
        <f>IFERROR(_xlfn.XLOOKUP(G47,Listas!E:E,Listas!G:G,""),"")</f>
        <v>Externo</v>
      </c>
      <c r="J47" s="43">
        <v>570000</v>
      </c>
      <c r="K47" s="5">
        <f t="shared" si="0"/>
        <v>-570000</v>
      </c>
      <c r="L47" s="6" t="s">
        <v>93</v>
      </c>
      <c r="M47" s="44">
        <f>SUMIFS('Saldos Iniciales'!$D:$D,'Saldos Iniciales'!$A:$A,C47,'Saldos Iniciales'!$B:$B,D47)+SUMIFS($K$1:$K$1324,$C$1:$C$1324,C47,$D$1:$D$1324,D47,$B$1:$B$1324,"&lt;="&amp;B47)</f>
        <v>51288.029999999941</v>
      </c>
      <c r="N47" s="61" t="str">
        <f>IF(tblMovimientos[[#This Row],[Tipo de Movimiento]]="Ingreso",tblMovimientos[[#This Row],[Monto (S/)]],"0")</f>
        <v>0</v>
      </c>
      <c r="O47" s="61">
        <f>IF(tblMovimientos[[#This Row],[Tipo de Movimiento]]="Egreso",tblMovimientos[[#This Row],[Monto (S/)]],"0")</f>
        <v>570000</v>
      </c>
      <c r="P47" s="28">
        <f>IF(tblMovimientos[[#This Row],[Tipo de Movimiento]]="Ingreso",tblMovimientos[[#This Row],[Ingreso]],-tblMovimientos[[#This Row],[Egreso]])</f>
        <v>-570000</v>
      </c>
      <c r="Q47" s="78" t="str">
        <f>_xlfn.XLOOKUP(tblMovimientos[[#This Row],[Cuenta Bancaria]],Cuentas!$C:$C,Cuentas!$A:$A,"")&amp;""</f>
        <v>SSP Group</v>
      </c>
      <c r="R47" s="78" t="str">
        <f>_xlfn.XLOOKUP(tblMovimientos[[#This Row],[Cuenta Bancaria]],Cuentas!$C:$C,Cuentas!$B:$B,"",0,-1)&amp;""</f>
        <v/>
      </c>
    </row>
    <row r="48" spans="2:18" x14ac:dyDescent="0.3">
      <c r="B48" s="39">
        <v>46149</v>
      </c>
      <c r="C48" s="4" t="str">
        <f>_xlfn.XLOOKUP(tblMovimientos[[#This Row],[Cuenta Bancaria]],Listas!$B:$B,Listas!$A:$A,"")</f>
        <v>CFT Group</v>
      </c>
      <c r="D48" s="40" t="s">
        <v>95</v>
      </c>
      <c r="E48" s="4" t="str">
        <f>_xlfn.XLOOKUP(tblMovimientos[[#This Row],[Cuenta Bancaria]],Listas!$B:$B,Listas!$C:$C,"")</f>
        <v xml:space="preserve">Amerant Bank </v>
      </c>
      <c r="F48" s="41" t="s">
        <v>9</v>
      </c>
      <c r="G48" s="40" t="s">
        <v>71</v>
      </c>
      <c r="H48" s="4" t="str">
        <f>IFERROR(_xlfn.XLOOKUP(G48,Listas!E:E,Listas!F:F,""),"")</f>
        <v>Operativo</v>
      </c>
      <c r="I48" s="46" t="str">
        <f>IFERROR(_xlfn.XLOOKUP(G48,Listas!E:E,Listas!G:G,""),"")</f>
        <v>Interno</v>
      </c>
      <c r="J48" s="43">
        <v>570000</v>
      </c>
      <c r="K48" s="5">
        <f t="shared" si="0"/>
        <v>570000</v>
      </c>
      <c r="L48" s="6" t="s">
        <v>93</v>
      </c>
      <c r="M48" s="44">
        <f>SUMIFS('Saldos Iniciales'!$D:$D,'Saldos Iniciales'!$A:$A,C48,'Saldos Iniciales'!$B:$B,D48)+SUMIFS($K$1:$K$1324,$C$1:$C$1324,C48,$D$1:$D$1324,D48,$B$1:$B$1324,"&lt;="&amp;B48)</f>
        <v>439799.53000000026</v>
      </c>
      <c r="N48" s="61">
        <f>IF(tblMovimientos[[#This Row],[Tipo de Movimiento]]="Ingreso",tblMovimientos[[#This Row],[Monto (S/)]],"0")</f>
        <v>570000</v>
      </c>
      <c r="O48" s="61" t="str">
        <f>IF(tblMovimientos[[#This Row],[Tipo de Movimiento]]="Egreso",tblMovimientos[[#This Row],[Monto (S/)]],"0")</f>
        <v>0</v>
      </c>
      <c r="P48" s="28">
        <f>IF(tblMovimientos[[#This Row],[Tipo de Movimiento]]="Ingreso",tblMovimientos[[#This Row],[Ingreso]],-tblMovimientos[[#This Row],[Egreso]])</f>
        <v>570000</v>
      </c>
      <c r="Q48" s="78" t="str">
        <f>_xlfn.XLOOKUP(tblMovimientos[[#This Row],[Cuenta Bancaria]],Cuentas!$C:$C,Cuentas!$A:$A,"")&amp;""</f>
        <v>SSP Group</v>
      </c>
      <c r="R48" s="78" t="str">
        <f>_xlfn.XLOOKUP(tblMovimientos[[#This Row],[Cuenta Bancaria]],Cuentas!$C:$C,Cuentas!$B:$B,"",0,-1)&amp;""</f>
        <v/>
      </c>
    </row>
    <row r="49" spans="2:18" x14ac:dyDescent="0.3">
      <c r="B49" s="39">
        <v>46149</v>
      </c>
      <c r="C49" s="4" t="str">
        <f>_xlfn.XLOOKUP(tblMovimientos[[#This Row],[Cuenta Bancaria]],Listas!$B:$B,Listas!$A:$A,"")</f>
        <v>CFT Group</v>
      </c>
      <c r="D49" s="40" t="s">
        <v>95</v>
      </c>
      <c r="E49" s="4" t="str">
        <f>_xlfn.XLOOKUP(tblMovimientos[[#This Row],[Cuenta Bancaria]],Listas!$B:$B,Listas!$C:$C,"")</f>
        <v xml:space="preserve">Amerant Bank </v>
      </c>
      <c r="F49" s="41" t="s">
        <v>10</v>
      </c>
      <c r="G49" s="40" t="s">
        <v>61</v>
      </c>
      <c r="H49" s="4" t="str">
        <f>IFERROR(_xlfn.XLOOKUP(G49,Listas!E:E,Listas!F:F,""),"")</f>
        <v>Operativo</v>
      </c>
      <c r="I49" s="46" t="str">
        <f>IFERROR(_xlfn.XLOOKUP(G49,Listas!E:E,Listas!G:G,""),"")</f>
        <v>Externo</v>
      </c>
      <c r="J49" s="43">
        <v>30000</v>
      </c>
      <c r="K49" s="5">
        <f t="shared" si="0"/>
        <v>-30000</v>
      </c>
      <c r="L49" s="6" t="s">
        <v>93</v>
      </c>
      <c r="M49" s="44">
        <f>SUMIFS('Saldos Iniciales'!$D:$D,'Saldos Iniciales'!$A:$A,C49,'Saldos Iniciales'!$B:$B,D49)+SUMIFS($K$1:$K$1324,$C$1:$C$1324,C49,$D$1:$D$1324,D49,$B$1:$B$1324,"&lt;="&amp;B49)</f>
        <v>439799.53000000026</v>
      </c>
      <c r="N49" s="61" t="str">
        <f>IF(tblMovimientos[[#This Row],[Tipo de Movimiento]]="Ingreso",tblMovimientos[[#This Row],[Monto (S/)]],"0")</f>
        <v>0</v>
      </c>
      <c r="O49" s="61">
        <f>IF(tblMovimientos[[#This Row],[Tipo de Movimiento]]="Egreso",tblMovimientos[[#This Row],[Monto (S/)]],"0")</f>
        <v>30000</v>
      </c>
      <c r="P49" s="28">
        <f>IF(tblMovimientos[[#This Row],[Tipo de Movimiento]]="Ingreso",tblMovimientos[[#This Row],[Ingreso]],-tblMovimientos[[#This Row],[Egreso]])</f>
        <v>-30000</v>
      </c>
      <c r="Q49" s="78" t="str">
        <f>_xlfn.XLOOKUP(tblMovimientos[[#This Row],[Cuenta Bancaria]],Cuentas!$C:$C,Cuentas!$A:$A,"")&amp;""</f>
        <v>SSP Group</v>
      </c>
      <c r="R49" s="78" t="str">
        <f>_xlfn.XLOOKUP(tblMovimientos[[#This Row],[Cuenta Bancaria]],Cuentas!$C:$C,Cuentas!$B:$B,"",0,-1)&amp;""</f>
        <v/>
      </c>
    </row>
    <row r="50" spans="2:18" x14ac:dyDescent="0.3">
      <c r="B50" s="39">
        <v>46149</v>
      </c>
      <c r="C50" s="4" t="str">
        <f>_xlfn.XLOOKUP(tblMovimientos[[#This Row],[Cuenta Bancaria]],Listas!$B:$B,Listas!$A:$A,"")</f>
        <v>CFT Group</v>
      </c>
      <c r="D50" s="40" t="s">
        <v>95</v>
      </c>
      <c r="E50" s="4" t="str">
        <f>_xlfn.XLOOKUP(tblMovimientos[[#This Row],[Cuenta Bancaria]],Listas!$B:$B,Listas!$C:$C,"")</f>
        <v xml:space="preserve">Amerant Bank </v>
      </c>
      <c r="F50" s="41" t="s">
        <v>10</v>
      </c>
      <c r="G50" s="40" t="s">
        <v>61</v>
      </c>
      <c r="H50" s="4" t="str">
        <f>IFERROR(_xlfn.XLOOKUP(G50,Listas!E:E,Listas!F:F,""),"")</f>
        <v>Operativo</v>
      </c>
      <c r="I50" s="46" t="str">
        <f>IFERROR(_xlfn.XLOOKUP(G50,Listas!E:E,Listas!G:G,""),"")</f>
        <v>Externo</v>
      </c>
      <c r="J50" s="43">
        <v>70000</v>
      </c>
      <c r="K50" s="5">
        <f t="shared" si="0"/>
        <v>-70000</v>
      </c>
      <c r="L50" s="6" t="s">
        <v>93</v>
      </c>
      <c r="M50" s="44">
        <f>SUMIFS('Saldos Iniciales'!$D:$D,'Saldos Iniciales'!$A:$A,C50,'Saldos Iniciales'!$B:$B,D50)+SUMIFS($K$1:$K$1324,$C$1:$C$1324,C50,$D$1:$D$1324,D50,$B$1:$B$1324,"&lt;="&amp;B50)</f>
        <v>439799.53000000026</v>
      </c>
      <c r="N50" s="61" t="str">
        <f>IF(tblMovimientos[[#This Row],[Tipo de Movimiento]]="Ingreso",tblMovimientos[[#This Row],[Monto (S/)]],"0")</f>
        <v>0</v>
      </c>
      <c r="O50" s="61">
        <f>IF(tblMovimientos[[#This Row],[Tipo de Movimiento]]="Egreso",tblMovimientos[[#This Row],[Monto (S/)]],"0")</f>
        <v>70000</v>
      </c>
      <c r="P50" s="28">
        <f>IF(tblMovimientos[[#This Row],[Tipo de Movimiento]]="Ingreso",tblMovimientos[[#This Row],[Ingreso]],-tblMovimientos[[#This Row],[Egreso]])</f>
        <v>-70000</v>
      </c>
      <c r="Q50" s="78" t="str">
        <f>_xlfn.XLOOKUP(tblMovimientos[[#This Row],[Cuenta Bancaria]],Cuentas!$C:$C,Cuentas!$A:$A,"")&amp;""</f>
        <v>SSP Group</v>
      </c>
      <c r="R50" s="78" t="str">
        <f>_xlfn.XLOOKUP(tblMovimientos[[#This Row],[Cuenta Bancaria]],Cuentas!$C:$C,Cuentas!$B:$B,"",0,-1)&amp;""</f>
        <v/>
      </c>
    </row>
    <row r="51" spans="2:18" x14ac:dyDescent="0.3">
      <c r="B51" s="39">
        <v>46149</v>
      </c>
      <c r="C51" s="4" t="str">
        <f>_xlfn.XLOOKUP(tblMovimientos[[#This Row],[Cuenta Bancaria]],Listas!$B:$B,Listas!$A:$A,"")</f>
        <v>CFT Group</v>
      </c>
      <c r="D51" s="40" t="s">
        <v>95</v>
      </c>
      <c r="E51" s="4" t="str">
        <f>_xlfn.XLOOKUP(tblMovimientos[[#This Row],[Cuenta Bancaria]],Listas!$B:$B,Listas!$C:$C,"")</f>
        <v xml:space="preserve">Amerant Bank </v>
      </c>
      <c r="F51" s="41" t="s">
        <v>10</v>
      </c>
      <c r="G51" s="40" t="s">
        <v>61</v>
      </c>
      <c r="H51" s="4" t="str">
        <f>IFERROR(_xlfn.XLOOKUP(G51,Listas!E:E,Listas!F:F,""),"")</f>
        <v>Operativo</v>
      </c>
      <c r="I51" s="46" t="str">
        <f>IFERROR(_xlfn.XLOOKUP(G51,Listas!E:E,Listas!G:G,""),"")</f>
        <v>Externo</v>
      </c>
      <c r="J51" s="43">
        <v>100000</v>
      </c>
      <c r="K51" s="5">
        <f t="shared" si="0"/>
        <v>-100000</v>
      </c>
      <c r="L51" s="6" t="s">
        <v>93</v>
      </c>
      <c r="M51" s="44">
        <f>SUMIFS('Saldos Iniciales'!$D:$D,'Saldos Iniciales'!$A:$A,C51,'Saldos Iniciales'!$B:$B,D51)+SUMIFS($K$1:$K$1324,$C$1:$C$1324,C51,$D$1:$D$1324,D51,$B$1:$B$1324,"&lt;="&amp;B51)</f>
        <v>439799.53000000026</v>
      </c>
      <c r="N51" s="61" t="str">
        <f>IF(tblMovimientos[[#This Row],[Tipo de Movimiento]]="Ingreso",tblMovimientos[[#This Row],[Monto (S/)]],"0")</f>
        <v>0</v>
      </c>
      <c r="O51" s="61">
        <f>IF(tblMovimientos[[#This Row],[Tipo de Movimiento]]="Egreso",tblMovimientos[[#This Row],[Monto (S/)]],"0")</f>
        <v>100000</v>
      </c>
      <c r="P51" s="28">
        <f>IF(tblMovimientos[[#This Row],[Tipo de Movimiento]]="Ingreso",tblMovimientos[[#This Row],[Ingreso]],-tblMovimientos[[#This Row],[Egreso]])</f>
        <v>-100000</v>
      </c>
      <c r="Q51" s="78" t="str">
        <f>_xlfn.XLOOKUP(tblMovimientos[[#This Row],[Cuenta Bancaria]],Cuentas!$C:$C,Cuentas!$A:$A,"")&amp;""</f>
        <v>SSP Group</v>
      </c>
      <c r="R51" s="78" t="str">
        <f>_xlfn.XLOOKUP(tblMovimientos[[#This Row],[Cuenta Bancaria]],Cuentas!$C:$C,Cuentas!$B:$B,"",0,-1)&amp;""</f>
        <v/>
      </c>
    </row>
    <row r="52" spans="2:18" x14ac:dyDescent="0.3">
      <c r="B52" s="39">
        <v>46149</v>
      </c>
      <c r="C52" s="4" t="str">
        <f>_xlfn.XLOOKUP(tblMovimientos[[#This Row],[Cuenta Bancaria]],Listas!$B:$B,Listas!$A:$A,"")</f>
        <v>CFT Group</v>
      </c>
      <c r="D52" s="40" t="s">
        <v>95</v>
      </c>
      <c r="E52" s="4" t="str">
        <f>_xlfn.XLOOKUP(tblMovimientos[[#This Row],[Cuenta Bancaria]],Listas!$B:$B,Listas!$C:$C,"")</f>
        <v xml:space="preserve">Amerant Bank </v>
      </c>
      <c r="F52" s="41" t="s">
        <v>10</v>
      </c>
      <c r="G52" s="40" t="s">
        <v>61</v>
      </c>
      <c r="H52" s="4" t="str">
        <f>IFERROR(_xlfn.XLOOKUP(G52,Listas!E:E,Listas!F:F,""),"")</f>
        <v>Operativo</v>
      </c>
      <c r="I52" s="46" t="str">
        <f>IFERROR(_xlfn.XLOOKUP(G52,Listas!E:E,Listas!G:G,""),"")</f>
        <v>Externo</v>
      </c>
      <c r="J52" s="43">
        <v>100000</v>
      </c>
      <c r="K52" s="5">
        <f t="shared" si="0"/>
        <v>-100000</v>
      </c>
      <c r="L52" s="6" t="s">
        <v>93</v>
      </c>
      <c r="M52" s="44">
        <f>SUMIFS('Saldos Iniciales'!$D:$D,'Saldos Iniciales'!$A:$A,C52,'Saldos Iniciales'!$B:$B,D52)+SUMIFS($K$1:$K$1324,$C$1:$C$1324,C52,$D$1:$D$1324,D52,$B$1:$B$1324,"&lt;="&amp;B52)</f>
        <v>439799.53000000026</v>
      </c>
      <c r="N52" s="61" t="str">
        <f>IF(tblMovimientos[[#This Row],[Tipo de Movimiento]]="Ingreso",tblMovimientos[[#This Row],[Monto (S/)]],"0")</f>
        <v>0</v>
      </c>
      <c r="O52" s="61">
        <f>IF(tblMovimientos[[#This Row],[Tipo de Movimiento]]="Egreso",tblMovimientos[[#This Row],[Monto (S/)]],"0")</f>
        <v>100000</v>
      </c>
      <c r="P52" s="28">
        <f>IF(tblMovimientos[[#This Row],[Tipo de Movimiento]]="Ingreso",tblMovimientos[[#This Row],[Ingreso]],-tblMovimientos[[#This Row],[Egreso]])</f>
        <v>-100000</v>
      </c>
      <c r="Q52" s="78" t="str">
        <f>_xlfn.XLOOKUP(tblMovimientos[[#This Row],[Cuenta Bancaria]],Cuentas!$C:$C,Cuentas!$A:$A,"")&amp;""</f>
        <v>SSP Group</v>
      </c>
      <c r="R52" s="78" t="str">
        <f>_xlfn.XLOOKUP(tblMovimientos[[#This Row],[Cuenta Bancaria]],Cuentas!$C:$C,Cuentas!$B:$B,"",0,-1)&amp;""</f>
        <v/>
      </c>
    </row>
    <row r="53" spans="2:18" x14ac:dyDescent="0.3">
      <c r="B53" s="39">
        <v>46149</v>
      </c>
      <c r="C53" s="4" t="str">
        <f>_xlfn.XLOOKUP(tblMovimientos[[#This Row],[Cuenta Bancaria]],Listas!$B:$B,Listas!$A:$A,"")</f>
        <v>SSP Capital</v>
      </c>
      <c r="D53" s="40" t="s">
        <v>104</v>
      </c>
      <c r="E53" s="4" t="str">
        <f>_xlfn.XLOOKUP(tblMovimientos[[#This Row],[Cuenta Bancaria]],Listas!$B:$B,Listas!$C:$C,"")</f>
        <v xml:space="preserve">Amerant Bank </v>
      </c>
      <c r="F53" s="41" t="s">
        <v>10</v>
      </c>
      <c r="G53" s="40" t="s">
        <v>56</v>
      </c>
      <c r="H53" s="4" t="str">
        <f>IFERROR(_xlfn.XLOOKUP(G53,Listas!E:E,Listas!F:F,""),"")</f>
        <v>Inversion</v>
      </c>
      <c r="I53" s="46" t="str">
        <f>IFERROR(_xlfn.XLOOKUP(G53,Listas!E:E,Listas!G:G,""),"")</f>
        <v>Externo</v>
      </c>
      <c r="J53" s="43">
        <v>13706.66</v>
      </c>
      <c r="K53" s="5">
        <f t="shared" si="0"/>
        <v>-13706.66</v>
      </c>
      <c r="L53" s="6" t="s">
        <v>93</v>
      </c>
      <c r="M53" s="44">
        <f>SUMIFS('Saldos Iniciales'!$D:$D,'Saldos Iniciales'!$A:$A,C53,'Saldos Iniciales'!$B:$B,D53)+SUMIFS($K$1:$K$1324,$C$1:$C$1324,C53,$D$1:$D$1324,D53,$B$1:$B$1324,"&lt;="&amp;B53)</f>
        <v>148736.90999999936</v>
      </c>
      <c r="N53" s="61" t="str">
        <f>IF(tblMovimientos[[#This Row],[Tipo de Movimiento]]="Ingreso",tblMovimientos[[#This Row],[Monto (S/)]],"0")</f>
        <v>0</v>
      </c>
      <c r="O53" s="61">
        <f>IF(tblMovimientos[[#This Row],[Tipo de Movimiento]]="Egreso",tblMovimientos[[#This Row],[Monto (S/)]],"0")</f>
        <v>13706.66</v>
      </c>
      <c r="P53" s="28">
        <f>IF(tblMovimientos[[#This Row],[Tipo de Movimiento]]="Ingreso",tblMovimientos[[#This Row],[Ingreso]],-tblMovimientos[[#This Row],[Egreso]])</f>
        <v>-13706.66</v>
      </c>
      <c r="Q53" s="78" t="str">
        <f>_xlfn.XLOOKUP(tblMovimientos[[#This Row],[Cuenta Bancaria]],Cuentas!$C:$C,Cuentas!$A:$A,"")&amp;""</f>
        <v>SSP Group</v>
      </c>
      <c r="R53" s="78" t="str">
        <f>_xlfn.XLOOKUP(tblMovimientos[[#This Row],[Cuenta Bancaria]],Cuentas!$C:$C,Cuentas!$B:$B,"",0,-1)&amp;""</f>
        <v/>
      </c>
    </row>
    <row r="54" spans="2:18" x14ac:dyDescent="0.3">
      <c r="B54" s="39">
        <v>46149</v>
      </c>
      <c r="C54" s="4" t="str">
        <f>_xlfn.XLOOKUP(tblMovimientos[[#This Row],[Cuenta Bancaria]],Listas!$B:$B,Listas!$A:$A,"")</f>
        <v>SSP Capital</v>
      </c>
      <c r="D54" s="40" t="s">
        <v>104</v>
      </c>
      <c r="E54" s="4" t="str">
        <f>_xlfn.XLOOKUP(tblMovimientos[[#This Row],[Cuenta Bancaria]],Listas!$B:$B,Listas!$C:$C,"")</f>
        <v xml:space="preserve">Amerant Bank </v>
      </c>
      <c r="F54" s="41" t="s">
        <v>10</v>
      </c>
      <c r="G54" s="40" t="s">
        <v>56</v>
      </c>
      <c r="H54" s="4" t="str">
        <f>IFERROR(_xlfn.XLOOKUP(G54,Listas!E:E,Listas!F:F,""),"")</f>
        <v>Inversion</v>
      </c>
      <c r="I54" s="46" t="str">
        <f>IFERROR(_xlfn.XLOOKUP(G54,Listas!E:E,Listas!G:G,""),"")</f>
        <v>Externo</v>
      </c>
      <c r="J54" s="43">
        <v>36240</v>
      </c>
      <c r="K54" s="5">
        <f t="shared" si="0"/>
        <v>-36240</v>
      </c>
      <c r="L54" s="6" t="s">
        <v>93</v>
      </c>
      <c r="M54" s="44">
        <f>SUMIFS('Saldos Iniciales'!$D:$D,'Saldos Iniciales'!$A:$A,C54,'Saldos Iniciales'!$B:$B,D54)+SUMIFS($K$1:$K$1324,$C$1:$C$1324,C54,$D$1:$D$1324,D54,$B$1:$B$1324,"&lt;="&amp;B54)</f>
        <v>148736.90999999936</v>
      </c>
      <c r="N54" s="61" t="str">
        <f>IF(tblMovimientos[[#This Row],[Tipo de Movimiento]]="Ingreso",tblMovimientos[[#This Row],[Monto (S/)]],"0")</f>
        <v>0</v>
      </c>
      <c r="O54" s="61">
        <f>IF(tblMovimientos[[#This Row],[Tipo de Movimiento]]="Egreso",tblMovimientos[[#This Row],[Monto (S/)]],"0")</f>
        <v>36240</v>
      </c>
      <c r="P54" s="28">
        <f>IF(tblMovimientos[[#This Row],[Tipo de Movimiento]]="Ingreso",tblMovimientos[[#This Row],[Ingreso]],-tblMovimientos[[#This Row],[Egreso]])</f>
        <v>-36240</v>
      </c>
      <c r="Q54" s="78" t="str">
        <f>_xlfn.XLOOKUP(tblMovimientos[[#This Row],[Cuenta Bancaria]],Cuentas!$C:$C,Cuentas!$A:$A,"")&amp;""</f>
        <v>SSP Group</v>
      </c>
      <c r="R54" s="78" t="str">
        <f>_xlfn.XLOOKUP(tblMovimientos[[#This Row],[Cuenta Bancaria]],Cuentas!$C:$C,Cuentas!$B:$B,"",0,-1)&amp;""</f>
        <v/>
      </c>
    </row>
    <row r="55" spans="2:18" x14ac:dyDescent="0.3">
      <c r="B55" s="39">
        <v>46149</v>
      </c>
      <c r="C55" s="4" t="str">
        <f>_xlfn.XLOOKUP(tblMovimientos[[#This Row],[Cuenta Bancaria]],Listas!$B:$B,Listas!$A:$A,"")</f>
        <v>Cross Security Trust</v>
      </c>
      <c r="D55" s="40" t="s">
        <v>112</v>
      </c>
      <c r="E55" s="4" t="str">
        <f>_xlfn.XLOOKUP(tblMovimientos[[#This Row],[Cuenta Bancaria]],Listas!$B:$B,Listas!$C:$C,"")</f>
        <v>Bank of America</v>
      </c>
      <c r="F55" s="41" t="s">
        <v>9</v>
      </c>
      <c r="G55" s="40" t="s">
        <v>67</v>
      </c>
      <c r="H55" s="4" t="str">
        <f>IFERROR(_xlfn.XLOOKUP(G55,Listas!E:E,Listas!F:F,""),"")</f>
        <v>Inversion</v>
      </c>
      <c r="I55" s="46" t="str">
        <f>IFERROR(_xlfn.XLOOKUP(G55,Listas!E:E,Listas!G:G,""),"")</f>
        <v>Interno</v>
      </c>
      <c r="J55" s="43">
        <v>700000</v>
      </c>
      <c r="K55" s="5">
        <f t="shared" si="0"/>
        <v>700000</v>
      </c>
      <c r="L55" s="6" t="s">
        <v>93</v>
      </c>
      <c r="M55" s="44">
        <f>SUMIFS('Saldos Iniciales'!$D:$D,'Saldos Iniciales'!$A:$A,C55,'Saldos Iniciales'!$B:$B,D55)+SUMIFS($K$1:$K$1324,$C$1:$C$1324,C55,$D$1:$D$1324,D55,$B$1:$B$1324,"&lt;="&amp;B55)</f>
        <v>1513088.59</v>
      </c>
      <c r="N55" s="61">
        <f>IF(tblMovimientos[[#This Row],[Tipo de Movimiento]]="Ingreso",tblMovimientos[[#This Row],[Monto (S/)]],"0")</f>
        <v>700000</v>
      </c>
      <c r="O55" s="61" t="str">
        <f>IF(tblMovimientos[[#This Row],[Tipo de Movimiento]]="Egreso",tblMovimientos[[#This Row],[Monto (S/)]],"0")</f>
        <v>0</v>
      </c>
      <c r="P55" s="28">
        <f>IF(tblMovimientos[[#This Row],[Tipo de Movimiento]]="Ingreso",tblMovimientos[[#This Row],[Ingreso]],-tblMovimientos[[#This Row],[Egreso]])</f>
        <v>700000</v>
      </c>
      <c r="Q55" s="78" t="str">
        <f>_xlfn.XLOOKUP(tblMovimientos[[#This Row],[Cuenta Bancaria]],Cuentas!$C:$C,Cuentas!$A:$A,"")&amp;""</f>
        <v>SSP Group</v>
      </c>
      <c r="R55" s="78" t="str">
        <f>_xlfn.XLOOKUP(tblMovimientos[[#This Row],[Cuenta Bancaria]],Cuentas!$C:$C,Cuentas!$B:$B,"",0,-1)&amp;""</f>
        <v>Trust</v>
      </c>
    </row>
    <row r="56" spans="2:18" x14ac:dyDescent="0.3">
      <c r="B56" s="39">
        <v>46150</v>
      </c>
      <c r="C56" s="4" t="str">
        <f>_xlfn.XLOOKUP(tblMovimientos[[#This Row],[Cuenta Bancaria]],Listas!$B:$B,Listas!$A:$A,"")</f>
        <v>SSP Capital</v>
      </c>
      <c r="D56" s="40" t="s">
        <v>104</v>
      </c>
      <c r="E56" s="4" t="str">
        <f>_xlfn.XLOOKUP(tblMovimientos[[#This Row],[Cuenta Bancaria]],Listas!$B:$B,Listas!$C:$C,"")</f>
        <v xml:space="preserve">Amerant Bank </v>
      </c>
      <c r="F56" s="41" t="s">
        <v>10</v>
      </c>
      <c r="G56" s="40" t="s">
        <v>44</v>
      </c>
      <c r="H56" s="4" t="str">
        <f>IFERROR(_xlfn.XLOOKUP(G56,Listas!E:E,Listas!F:F,""),"")</f>
        <v>Operativo</v>
      </c>
      <c r="I56" s="46" t="str">
        <f>IFERROR(_xlfn.XLOOKUP(G56,Listas!E:E,Listas!G:G,""),"")</f>
        <v>Externo</v>
      </c>
      <c r="J56" s="43">
        <v>2382.7199999999998</v>
      </c>
      <c r="K56" s="5">
        <f t="shared" si="0"/>
        <v>-2382.7199999999998</v>
      </c>
      <c r="L56" s="6" t="s">
        <v>93</v>
      </c>
      <c r="M56" s="44">
        <f>SUMIFS('Saldos Iniciales'!$D:$D,'Saldos Iniciales'!$A:$A,C56,'Saldos Iniciales'!$B:$B,D56)+SUMIFS($K$1:$K$1324,$C$1:$C$1324,C56,$D$1:$D$1324,D56,$B$1:$B$1324,"&lt;="&amp;B56)</f>
        <v>146354.18999999936</v>
      </c>
      <c r="N56" s="61" t="str">
        <f>IF(tblMovimientos[[#This Row],[Tipo de Movimiento]]="Ingreso",tblMovimientos[[#This Row],[Monto (S/)]],"0")</f>
        <v>0</v>
      </c>
      <c r="O56" s="61">
        <f>IF(tblMovimientos[[#This Row],[Tipo de Movimiento]]="Egreso",tblMovimientos[[#This Row],[Monto (S/)]],"0")</f>
        <v>2382.7199999999998</v>
      </c>
      <c r="P56" s="28">
        <f>IF(tblMovimientos[[#This Row],[Tipo de Movimiento]]="Ingreso",tblMovimientos[[#This Row],[Ingreso]],-tblMovimientos[[#This Row],[Egreso]])</f>
        <v>-2382.7199999999998</v>
      </c>
      <c r="Q56" s="78" t="str">
        <f>_xlfn.XLOOKUP(tblMovimientos[[#This Row],[Cuenta Bancaria]],Cuentas!$C:$C,Cuentas!$A:$A,"")&amp;""</f>
        <v>SSP Group</v>
      </c>
      <c r="R56" s="78" t="str">
        <f>_xlfn.XLOOKUP(tblMovimientos[[#This Row],[Cuenta Bancaria]],Cuentas!$C:$C,Cuentas!$B:$B,"",0,-1)&amp;""</f>
        <v/>
      </c>
    </row>
    <row r="57" spans="2:18" x14ac:dyDescent="0.3">
      <c r="B57" s="39">
        <v>46150</v>
      </c>
      <c r="C57" s="4" t="str">
        <f>_xlfn.XLOOKUP(tblMovimientos[[#This Row],[Cuenta Bancaria]],Listas!$B:$B,Listas!$A:$A,"")</f>
        <v>A&amp;M Imports</v>
      </c>
      <c r="D57" s="40" t="s">
        <v>100</v>
      </c>
      <c r="E57" s="4" t="str">
        <f>_xlfn.XLOOKUP(tblMovimientos[[#This Row],[Cuenta Bancaria]],Listas!$B:$B,Listas!$C:$C,"")</f>
        <v>Bank of America</v>
      </c>
      <c r="F57" s="41" t="s">
        <v>9</v>
      </c>
      <c r="G57" s="40" t="s">
        <v>70</v>
      </c>
      <c r="H57" s="4" t="str">
        <f>IFERROR(_xlfn.XLOOKUP(G57,Listas!E:E,Listas!F:F,""),"")</f>
        <v>Operativo</v>
      </c>
      <c r="I57" s="46" t="str">
        <f>IFERROR(_xlfn.XLOOKUP(G57,Listas!E:E,Listas!G:G,""),"")</f>
        <v>Externo</v>
      </c>
      <c r="J57" s="43">
        <v>500000</v>
      </c>
      <c r="K57" s="5">
        <f t="shared" si="0"/>
        <v>500000</v>
      </c>
      <c r="L57" s="6" t="s">
        <v>93</v>
      </c>
      <c r="M57" s="44">
        <f>SUMIFS('Saldos Iniciales'!$D:$D,'Saldos Iniciales'!$A:$A,C57,'Saldos Iniciales'!$B:$B,D57)+SUMIFS($K$1:$K$1324,$C$1:$C$1324,C57,$D$1:$D$1324,D57,$B$1:$B$1324,"&lt;="&amp;B57)</f>
        <v>792366.49999999988</v>
      </c>
      <c r="N57" s="61">
        <f>IF(tblMovimientos[[#This Row],[Tipo de Movimiento]]="Ingreso",tblMovimientos[[#This Row],[Monto (S/)]],"0")</f>
        <v>500000</v>
      </c>
      <c r="O57" s="61" t="str">
        <f>IF(tblMovimientos[[#This Row],[Tipo de Movimiento]]="Egreso",tblMovimientos[[#This Row],[Monto (S/)]],"0")</f>
        <v>0</v>
      </c>
      <c r="P57" s="28">
        <f>IF(tblMovimientos[[#This Row],[Tipo de Movimiento]]="Ingreso",tblMovimientos[[#This Row],[Ingreso]],-tblMovimientos[[#This Row],[Egreso]])</f>
        <v>500000</v>
      </c>
      <c r="Q57" s="78" t="str">
        <f>_xlfn.XLOOKUP(tblMovimientos[[#This Row],[Cuenta Bancaria]],Cuentas!$C:$C,Cuentas!$A:$A,"")&amp;""</f>
        <v>SSP Group</v>
      </c>
      <c r="R57" s="78" t="str">
        <f>_xlfn.XLOOKUP(tblMovimientos[[#This Row],[Cuenta Bancaria]],Cuentas!$C:$C,Cuentas!$B:$B,"",0,-1)&amp;""</f>
        <v/>
      </c>
    </row>
    <row r="58" spans="2:18" x14ac:dyDescent="0.3">
      <c r="B58" s="39">
        <v>46150</v>
      </c>
      <c r="C58" s="4" t="str">
        <f>_xlfn.XLOOKUP(tblMovimientos[[#This Row],[Cuenta Bancaria]],Listas!$B:$B,Listas!$A:$A,"")</f>
        <v>A&amp;M Imports</v>
      </c>
      <c r="D58" s="40" t="s">
        <v>100</v>
      </c>
      <c r="E58" s="4" t="str">
        <f>_xlfn.XLOOKUP(tblMovimientos[[#This Row],[Cuenta Bancaria]],Listas!$B:$B,Listas!$C:$C,"")</f>
        <v>Bank of America</v>
      </c>
      <c r="F58" s="41" t="s">
        <v>9</v>
      </c>
      <c r="G58" s="40" t="s">
        <v>68</v>
      </c>
      <c r="H58" s="4" t="str">
        <f>IFERROR(_xlfn.XLOOKUP(G58,Listas!E:E,Listas!F:F,""),"")</f>
        <v>Operativo</v>
      </c>
      <c r="I58" s="46" t="str">
        <f>IFERROR(_xlfn.XLOOKUP(G58,Listas!E:E,Listas!G:G,""),"")</f>
        <v>Externo</v>
      </c>
      <c r="J58" s="43">
        <v>17697.939999999999</v>
      </c>
      <c r="K58" s="5">
        <f t="shared" si="0"/>
        <v>17697.939999999999</v>
      </c>
      <c r="L58" s="6" t="s">
        <v>93</v>
      </c>
      <c r="M58" s="44">
        <f>SUMIFS('Saldos Iniciales'!$D:$D,'Saldos Iniciales'!$A:$A,C58,'Saldos Iniciales'!$B:$B,D58)+SUMIFS($K$1:$K$1324,$C$1:$C$1324,C58,$D$1:$D$1324,D58,$B$1:$B$1324,"&lt;="&amp;B58)</f>
        <v>792366.49999999988</v>
      </c>
      <c r="N58" s="61">
        <f>IF(tblMovimientos[[#This Row],[Tipo de Movimiento]]="Ingreso",tblMovimientos[[#This Row],[Monto (S/)]],"0")</f>
        <v>17697.939999999999</v>
      </c>
      <c r="O58" s="61" t="str">
        <f>IF(tblMovimientos[[#This Row],[Tipo de Movimiento]]="Egreso",tblMovimientos[[#This Row],[Monto (S/)]],"0")</f>
        <v>0</v>
      </c>
      <c r="P58" s="28">
        <f>IF(tblMovimientos[[#This Row],[Tipo de Movimiento]]="Ingreso",tblMovimientos[[#This Row],[Ingreso]],-tblMovimientos[[#This Row],[Egreso]])</f>
        <v>17697.939999999999</v>
      </c>
      <c r="Q58" s="78" t="str">
        <f>_xlfn.XLOOKUP(tblMovimientos[[#This Row],[Cuenta Bancaria]],Cuentas!$C:$C,Cuentas!$A:$A,"")&amp;""</f>
        <v>SSP Group</v>
      </c>
      <c r="R58" s="78" t="str">
        <f>_xlfn.XLOOKUP(tblMovimientos[[#This Row],[Cuenta Bancaria]],Cuentas!$C:$C,Cuentas!$B:$B,"",0,-1)&amp;""</f>
        <v/>
      </c>
    </row>
    <row r="59" spans="2:18" x14ac:dyDescent="0.3">
      <c r="B59" s="39">
        <v>46150</v>
      </c>
      <c r="C59" s="4" t="str">
        <f>_xlfn.XLOOKUP(tblMovimientos[[#This Row],[Cuenta Bancaria]],Listas!$B:$B,Listas!$A:$A,"")</f>
        <v>CFT Group</v>
      </c>
      <c r="D59" s="40" t="s">
        <v>94</v>
      </c>
      <c r="E59" s="4" t="str">
        <f>_xlfn.XLOOKUP(tblMovimientos[[#This Row],[Cuenta Bancaria]],Listas!$B:$B,Listas!$C:$C,"")</f>
        <v>Bank of America</v>
      </c>
      <c r="F59" s="41" t="s">
        <v>9</v>
      </c>
      <c r="G59" s="40" t="s">
        <v>68</v>
      </c>
      <c r="H59" s="4" t="str">
        <f>IFERROR(_xlfn.XLOOKUP(G59,Listas!E:E,Listas!F:F,""),"")</f>
        <v>Operativo</v>
      </c>
      <c r="I59" s="46" t="str">
        <f>IFERROR(_xlfn.XLOOKUP(G59,Listas!E:E,Listas!G:G,""),"")</f>
        <v>Externo</v>
      </c>
      <c r="J59" s="43">
        <v>65164.32</v>
      </c>
      <c r="K59" s="5">
        <f t="shared" si="0"/>
        <v>65164.32</v>
      </c>
      <c r="L59" s="6" t="s">
        <v>93</v>
      </c>
      <c r="M59" s="44">
        <f>SUMIFS('Saldos Iniciales'!$D:$D,'Saldos Iniciales'!$A:$A,C59,'Saldos Iniciales'!$B:$B,D59)+SUMIFS($K$1:$K$1324,$C$1:$C$1324,C59,$D$1:$D$1324,D59,$B$1:$B$1324,"&lt;="&amp;B59)</f>
        <v>67853.37</v>
      </c>
      <c r="N59" s="61">
        <f>IF(tblMovimientos[[#This Row],[Tipo de Movimiento]]="Ingreso",tblMovimientos[[#This Row],[Monto (S/)]],"0")</f>
        <v>65164.32</v>
      </c>
      <c r="O59" s="61" t="str">
        <f>IF(tblMovimientos[[#This Row],[Tipo de Movimiento]]="Egreso",tblMovimientos[[#This Row],[Monto (S/)]],"0")</f>
        <v>0</v>
      </c>
      <c r="P59" s="28">
        <f>IF(tblMovimientos[[#This Row],[Tipo de Movimiento]]="Ingreso",tblMovimientos[[#This Row],[Ingreso]],-tblMovimientos[[#This Row],[Egreso]])</f>
        <v>65164.32</v>
      </c>
      <c r="Q59" s="78" t="str">
        <f>_xlfn.XLOOKUP(tblMovimientos[[#This Row],[Cuenta Bancaria]],Cuentas!$C:$C,Cuentas!$A:$A,"")&amp;""</f>
        <v>SSP Group</v>
      </c>
      <c r="R59" s="78" t="str">
        <f>_xlfn.XLOOKUP(tblMovimientos[[#This Row],[Cuenta Bancaria]],Cuentas!$C:$C,Cuentas!$B:$B,"",0,-1)&amp;""</f>
        <v/>
      </c>
    </row>
    <row r="60" spans="2:18" x14ac:dyDescent="0.3">
      <c r="B60" s="39">
        <v>46150</v>
      </c>
      <c r="C60" s="4" t="str">
        <f>_xlfn.XLOOKUP(tblMovimientos[[#This Row],[Cuenta Bancaria]],Listas!$B:$B,Listas!$A:$A,"")</f>
        <v>2515 Overbrook</v>
      </c>
      <c r="D60" s="40" t="s">
        <v>121</v>
      </c>
      <c r="E60" s="4" t="str">
        <f>_xlfn.XLOOKUP(tblMovimientos[[#This Row],[Cuenta Bancaria]],Listas!$B:$B,Listas!$C:$C,"")</f>
        <v>Bank of America</v>
      </c>
      <c r="F60" s="41" t="s">
        <v>10</v>
      </c>
      <c r="G60" s="40" t="s">
        <v>38</v>
      </c>
      <c r="H60" s="4" t="str">
        <f>IFERROR(_xlfn.XLOOKUP(G60,Listas!E:E,Listas!F:F,""),"")</f>
        <v>Operativo</v>
      </c>
      <c r="I60" s="46" t="str">
        <f>IFERROR(_xlfn.XLOOKUP(G60,Listas!E:E,Listas!G:G,""),"")</f>
        <v>Externo</v>
      </c>
      <c r="J60" s="43">
        <v>2625</v>
      </c>
      <c r="K60" s="5">
        <f t="shared" si="0"/>
        <v>-2625</v>
      </c>
      <c r="L60" s="6" t="s">
        <v>93</v>
      </c>
      <c r="M60" s="44">
        <f>SUMIFS('Saldos Iniciales'!$D:$D,'Saldos Iniciales'!$A:$A,C60,'Saldos Iniciales'!$B:$B,D60)+SUMIFS($K$1:$K$1324,$C$1:$C$1324,C60,$D$1:$D$1324,D60,$B$1:$B$1324,"&lt;="&amp;B60)</f>
        <v>20252.179999999964</v>
      </c>
      <c r="N60" s="61" t="str">
        <f>IF(tblMovimientos[[#This Row],[Tipo de Movimiento]]="Ingreso",tblMovimientos[[#This Row],[Monto (S/)]],"0")</f>
        <v>0</v>
      </c>
      <c r="O60" s="61">
        <f>IF(tblMovimientos[[#This Row],[Tipo de Movimiento]]="Egreso",tblMovimientos[[#This Row],[Monto (S/)]],"0")</f>
        <v>2625</v>
      </c>
      <c r="P60" s="28">
        <f>IF(tblMovimientos[[#This Row],[Tipo de Movimiento]]="Ingreso",tblMovimientos[[#This Row],[Ingreso]],-tblMovimientos[[#This Row],[Egreso]])</f>
        <v>-2625</v>
      </c>
      <c r="Q60" s="78" t="str">
        <f>_xlfn.XLOOKUP(tblMovimientos[[#This Row],[Cuenta Bancaria]],Cuentas!$C:$C,Cuentas!$A:$A,"")&amp;""</f>
        <v>SSP Group</v>
      </c>
      <c r="R60" s="78" t="str">
        <f>_xlfn.XLOOKUP(tblMovimientos[[#This Row],[Cuenta Bancaria]],Cuentas!$C:$C,Cuentas!$B:$B,"",0,-1)&amp;""</f>
        <v/>
      </c>
    </row>
    <row r="61" spans="2:18" x14ac:dyDescent="0.3">
      <c r="B61" s="39">
        <v>46150</v>
      </c>
      <c r="C61" s="4" t="str">
        <f>_xlfn.XLOOKUP(tblMovimientos[[#This Row],[Cuenta Bancaria]],Listas!$B:$B,Listas!$A:$A,"")</f>
        <v>2515 Overbrook</v>
      </c>
      <c r="D61" s="40" t="s">
        <v>121</v>
      </c>
      <c r="E61" s="4" t="str">
        <f>_xlfn.XLOOKUP(tblMovimientos[[#This Row],[Cuenta Bancaria]],Listas!$B:$B,Listas!$C:$C,"")</f>
        <v>Bank of America</v>
      </c>
      <c r="F61" s="41" t="s">
        <v>10</v>
      </c>
      <c r="G61" s="40" t="s">
        <v>44</v>
      </c>
      <c r="H61" s="4" t="str">
        <f>IFERROR(_xlfn.XLOOKUP(G61,Listas!E:E,Listas!F:F,""),"")</f>
        <v>Operativo</v>
      </c>
      <c r="I61" s="46" t="str">
        <f>IFERROR(_xlfn.XLOOKUP(G61,Listas!E:E,Listas!G:G,""),"")</f>
        <v>Externo</v>
      </c>
      <c r="J61" s="43">
        <v>30</v>
      </c>
      <c r="K61" s="5">
        <f t="shared" si="0"/>
        <v>-30</v>
      </c>
      <c r="L61" s="6" t="s">
        <v>93</v>
      </c>
      <c r="M61" s="44">
        <f>SUMIFS('Saldos Iniciales'!$D:$D,'Saldos Iniciales'!$A:$A,C61,'Saldos Iniciales'!$B:$B,D61)+SUMIFS($K$1:$K$1324,$C$1:$C$1324,C61,$D$1:$D$1324,D61,$B$1:$B$1324,"&lt;="&amp;B61)</f>
        <v>20252.179999999964</v>
      </c>
      <c r="N61" s="61" t="str">
        <f>IF(tblMovimientos[[#This Row],[Tipo de Movimiento]]="Ingreso",tblMovimientos[[#This Row],[Monto (S/)]],"0")</f>
        <v>0</v>
      </c>
      <c r="O61" s="61">
        <f>IF(tblMovimientos[[#This Row],[Tipo de Movimiento]]="Egreso",tblMovimientos[[#This Row],[Monto (S/)]],"0")</f>
        <v>30</v>
      </c>
      <c r="P61" s="28">
        <f>IF(tblMovimientos[[#This Row],[Tipo de Movimiento]]="Ingreso",tblMovimientos[[#This Row],[Ingreso]],-tblMovimientos[[#This Row],[Egreso]])</f>
        <v>-30</v>
      </c>
      <c r="Q61" s="78" t="str">
        <f>_xlfn.XLOOKUP(tblMovimientos[[#This Row],[Cuenta Bancaria]],Cuentas!$C:$C,Cuentas!$A:$A,"")&amp;""</f>
        <v>SSP Group</v>
      </c>
      <c r="R61" s="78" t="str">
        <f>_xlfn.XLOOKUP(tblMovimientos[[#This Row],[Cuenta Bancaria]],Cuentas!$C:$C,Cuentas!$B:$B,"",0,-1)&amp;""</f>
        <v/>
      </c>
    </row>
    <row r="62" spans="2:18" x14ac:dyDescent="0.3">
      <c r="B62" s="39">
        <v>46150</v>
      </c>
      <c r="C62" s="4" t="str">
        <f>_xlfn.XLOOKUP(tblMovimientos[[#This Row],[Cuenta Bancaria]],Listas!$B:$B,Listas!$A:$A,"")</f>
        <v>112 Florida Ave</v>
      </c>
      <c r="D62" s="40" t="s">
        <v>123</v>
      </c>
      <c r="E62" s="4" t="str">
        <f>_xlfn.XLOOKUP(tblMovimientos[[#This Row],[Cuenta Bancaria]],Listas!$B:$B,Listas!$C:$C,"")</f>
        <v>Bank of America</v>
      </c>
      <c r="F62" s="41" t="s">
        <v>10</v>
      </c>
      <c r="G62" s="40" t="s">
        <v>44</v>
      </c>
      <c r="H62" s="4" t="str">
        <f>IFERROR(_xlfn.XLOOKUP(G62,Listas!E:E,Listas!F:F,""),"")</f>
        <v>Operativo</v>
      </c>
      <c r="I62" s="46" t="str">
        <f>IFERROR(_xlfn.XLOOKUP(G62,Listas!E:E,Listas!G:G,""),"")</f>
        <v>Externo</v>
      </c>
      <c r="J62" s="43">
        <v>15</v>
      </c>
      <c r="K62" s="5">
        <f t="shared" si="0"/>
        <v>-15</v>
      </c>
      <c r="L62" s="6" t="s">
        <v>93</v>
      </c>
      <c r="M62" s="44">
        <f>SUMIFS('Saldos Iniciales'!$D:$D,'Saldos Iniciales'!$A:$A,C62,'Saldos Iniciales'!$B:$B,D62)+SUMIFS($K$1:$K$1324,$C$1:$C$1324,C62,$D$1:$D$1324,D62,$B$1:$B$1324,"&lt;="&amp;B62)</f>
        <v>15120.060000000001</v>
      </c>
      <c r="N62" s="61" t="str">
        <f>IF(tblMovimientos[[#This Row],[Tipo de Movimiento]]="Ingreso",tblMovimientos[[#This Row],[Monto (S/)]],"0")</f>
        <v>0</v>
      </c>
      <c r="O62" s="61">
        <f>IF(tblMovimientos[[#This Row],[Tipo de Movimiento]]="Egreso",tblMovimientos[[#This Row],[Monto (S/)]],"0")</f>
        <v>15</v>
      </c>
      <c r="P62" s="28">
        <f>IF(tblMovimientos[[#This Row],[Tipo de Movimiento]]="Ingreso",tblMovimientos[[#This Row],[Ingreso]],-tblMovimientos[[#This Row],[Egreso]])</f>
        <v>-15</v>
      </c>
      <c r="Q62" s="78" t="str">
        <f>_xlfn.XLOOKUP(tblMovimientos[[#This Row],[Cuenta Bancaria]],Cuentas!$C:$C,Cuentas!$A:$A,"")&amp;""</f>
        <v>SSP Group</v>
      </c>
      <c r="R62" s="78" t="str">
        <f>_xlfn.XLOOKUP(tblMovimientos[[#This Row],[Cuenta Bancaria]],Cuentas!$C:$C,Cuentas!$B:$B,"",0,-1)&amp;""</f>
        <v/>
      </c>
    </row>
    <row r="63" spans="2:18" x14ac:dyDescent="0.3">
      <c r="B63" s="39">
        <v>46150</v>
      </c>
      <c r="C63" s="4" t="str">
        <f>_xlfn.XLOOKUP(tblMovimientos[[#This Row],[Cuenta Bancaria]],Listas!$B:$B,Listas!$A:$A,"")</f>
        <v>3628 Thomas Ave</v>
      </c>
      <c r="D63" s="40" t="s">
        <v>124</v>
      </c>
      <c r="E63" s="4" t="str">
        <f>_xlfn.XLOOKUP(tblMovimientos[[#This Row],[Cuenta Bancaria]],Listas!$B:$B,Listas!$C:$C,"")</f>
        <v>Bank of America</v>
      </c>
      <c r="F63" s="41" t="s">
        <v>10</v>
      </c>
      <c r="G63" s="40" t="s">
        <v>44</v>
      </c>
      <c r="H63" s="4" t="str">
        <f>IFERROR(_xlfn.XLOOKUP(G63,Listas!E:E,Listas!F:F,""),"")</f>
        <v>Operativo</v>
      </c>
      <c r="I63" s="46" t="str">
        <f>IFERROR(_xlfn.XLOOKUP(G63,Listas!E:E,Listas!G:G,""),"")</f>
        <v>Externo</v>
      </c>
      <c r="J63" s="43">
        <v>15</v>
      </c>
      <c r="K63" s="5">
        <f t="shared" si="0"/>
        <v>-15</v>
      </c>
      <c r="L63" s="6" t="s">
        <v>93</v>
      </c>
      <c r="M63" s="44">
        <f>SUMIFS('Saldos Iniciales'!$D:$D,'Saldos Iniciales'!$A:$A,C63,'Saldos Iniciales'!$B:$B,D63)+SUMIFS($K$1:$K$1324,$C$1:$C$1324,C63,$D$1:$D$1324,D63,$B$1:$B$1324,"&lt;="&amp;B63)</f>
        <v>31323.39</v>
      </c>
      <c r="N63" s="61" t="str">
        <f>IF(tblMovimientos[[#This Row],[Tipo de Movimiento]]="Ingreso",tblMovimientos[[#This Row],[Monto (S/)]],"0")</f>
        <v>0</v>
      </c>
      <c r="O63" s="61">
        <f>IF(tblMovimientos[[#This Row],[Tipo de Movimiento]]="Egreso",tblMovimientos[[#This Row],[Monto (S/)]],"0")</f>
        <v>15</v>
      </c>
      <c r="P63" s="28">
        <f>IF(tblMovimientos[[#This Row],[Tipo de Movimiento]]="Ingreso",tblMovimientos[[#This Row],[Ingreso]],-tblMovimientos[[#This Row],[Egreso]])</f>
        <v>-15</v>
      </c>
      <c r="Q63" s="78" t="str">
        <f>_xlfn.XLOOKUP(tblMovimientos[[#This Row],[Cuenta Bancaria]],Cuentas!$C:$C,Cuentas!$A:$A,"")&amp;""</f>
        <v>SSP Group</v>
      </c>
      <c r="R63" s="78" t="str">
        <f>_xlfn.XLOOKUP(tblMovimientos[[#This Row],[Cuenta Bancaria]],Cuentas!$C:$C,Cuentas!$B:$B,"",0,-1)&amp;""</f>
        <v/>
      </c>
    </row>
    <row r="64" spans="2:18" x14ac:dyDescent="0.3">
      <c r="B64" s="39">
        <v>46150</v>
      </c>
      <c r="C64" s="4" t="str">
        <f>_xlfn.XLOOKUP(tblMovimientos[[#This Row],[Cuenta Bancaria]],Listas!$B:$B,Listas!$A:$A,"")</f>
        <v>M1B</v>
      </c>
      <c r="D64" s="40" t="s">
        <v>97</v>
      </c>
      <c r="E64" s="4" t="str">
        <f>_xlfn.XLOOKUP(tblMovimientos[[#This Row],[Cuenta Bancaria]],Listas!$B:$B,Listas!$C:$C,"")</f>
        <v xml:space="preserve">Amerant Bank </v>
      </c>
      <c r="F64" s="41" t="s">
        <v>9</v>
      </c>
      <c r="G64" s="40" t="s">
        <v>68</v>
      </c>
      <c r="H64" s="4" t="str">
        <f>IFERROR(_xlfn.XLOOKUP(G64,Listas!E:E,Listas!F:F,""),"")</f>
        <v>Operativo</v>
      </c>
      <c r="I64" s="46" t="str">
        <f>IFERROR(_xlfn.XLOOKUP(G64,Listas!E:E,Listas!G:G,""),"")</f>
        <v>Externo</v>
      </c>
      <c r="J64" s="43">
        <v>2552.06</v>
      </c>
      <c r="K64" s="5">
        <f t="shared" si="0"/>
        <v>2552.06</v>
      </c>
      <c r="L64" s="6" t="s">
        <v>93</v>
      </c>
      <c r="M64" s="44">
        <f>SUMIFS('Saldos Iniciales'!$D:$D,'Saldos Iniciales'!$A:$A,C64,'Saldos Iniciales'!$B:$B,D64)+SUMIFS($K$1:$K$1324,$C$1:$C$1324,C64,$D$1:$D$1324,D64,$B$1:$B$1324,"&lt;="&amp;B64)</f>
        <v>53840.089999999938</v>
      </c>
      <c r="N64" s="61">
        <f>IF(tblMovimientos[[#This Row],[Tipo de Movimiento]]="Ingreso",tblMovimientos[[#This Row],[Monto (S/)]],"0")</f>
        <v>2552.06</v>
      </c>
      <c r="O64" s="61" t="str">
        <f>IF(tblMovimientos[[#This Row],[Tipo de Movimiento]]="Egreso",tblMovimientos[[#This Row],[Monto (S/)]],"0")</f>
        <v>0</v>
      </c>
      <c r="P64" s="28">
        <f>IF(tblMovimientos[[#This Row],[Tipo de Movimiento]]="Ingreso",tblMovimientos[[#This Row],[Ingreso]],-tblMovimientos[[#This Row],[Egreso]])</f>
        <v>2552.06</v>
      </c>
      <c r="Q64" s="78" t="str">
        <f>_xlfn.XLOOKUP(tblMovimientos[[#This Row],[Cuenta Bancaria]],Cuentas!$C:$C,Cuentas!$A:$A,"")&amp;""</f>
        <v>SSP Group</v>
      </c>
      <c r="R64" s="78" t="str">
        <f>_xlfn.XLOOKUP(tblMovimientos[[#This Row],[Cuenta Bancaria]],Cuentas!$C:$C,Cuentas!$B:$B,"",0,-1)&amp;""</f>
        <v/>
      </c>
    </row>
    <row r="65" spans="2:18" x14ac:dyDescent="0.3">
      <c r="B65" s="39">
        <v>46150</v>
      </c>
      <c r="C65" s="4" t="str">
        <f>_xlfn.XLOOKUP(tblMovimientos[[#This Row],[Cuenta Bancaria]],Listas!$B:$B,Listas!$A:$A,"")</f>
        <v>Go Blue</v>
      </c>
      <c r="D65" s="40" t="s">
        <v>126</v>
      </c>
      <c r="E65" s="4" t="str">
        <f>_xlfn.XLOOKUP(tblMovimientos[[#This Row],[Cuenta Bancaria]],Listas!$B:$B,Listas!$C:$C,"")</f>
        <v xml:space="preserve">Amerant Bank </v>
      </c>
      <c r="F65" s="41" t="s">
        <v>9</v>
      </c>
      <c r="G65" s="40" t="s">
        <v>77</v>
      </c>
      <c r="H65" s="4" t="str">
        <f>IFERROR(_xlfn.XLOOKUP(G65,Listas!E:E,Listas!F:F,""),"")</f>
        <v>Inversion</v>
      </c>
      <c r="I65" s="46" t="str">
        <f>IFERROR(_xlfn.XLOOKUP(G65,Listas!E:E,Listas!G:G,""),"")</f>
        <v>Interno</v>
      </c>
      <c r="J65" s="43">
        <v>15000</v>
      </c>
      <c r="K65" s="5">
        <f t="shared" si="0"/>
        <v>15000</v>
      </c>
      <c r="L65" s="6" t="s">
        <v>93</v>
      </c>
      <c r="M65" s="44">
        <f>SUMIFS('Saldos Iniciales'!$D:$D,'Saldos Iniciales'!$A:$A,C65,'Saldos Iniciales'!$B:$B,D65)+SUMIFS($K$1:$K$1324,$C$1:$C$1324,C65,$D$1:$D$1324,D65,$B$1:$B$1324,"&lt;="&amp;B65)</f>
        <v>23782.25</v>
      </c>
      <c r="N65" s="61">
        <f>IF(tblMovimientos[[#This Row],[Tipo de Movimiento]]="Ingreso",tblMovimientos[[#This Row],[Monto (S/)]],"0")</f>
        <v>15000</v>
      </c>
      <c r="O65" s="61" t="str">
        <f>IF(tblMovimientos[[#This Row],[Tipo de Movimiento]]="Egreso",tblMovimientos[[#This Row],[Monto (S/)]],"0")</f>
        <v>0</v>
      </c>
      <c r="P65" s="28">
        <f>IF(tblMovimientos[[#This Row],[Tipo de Movimiento]]="Ingreso",tblMovimientos[[#This Row],[Ingreso]],-tblMovimientos[[#This Row],[Egreso]])</f>
        <v>15000</v>
      </c>
      <c r="Q65" s="78" t="str">
        <f>_xlfn.XLOOKUP(tblMovimientos[[#This Row],[Cuenta Bancaria]],Cuentas!$C:$C,Cuentas!$A:$A,"")&amp;""</f>
        <v>SSP Group</v>
      </c>
      <c r="R65" s="78" t="str">
        <f>_xlfn.XLOOKUP(tblMovimientos[[#This Row],[Cuenta Bancaria]],Cuentas!$C:$C,Cuentas!$B:$B,"",0,-1)&amp;""</f>
        <v/>
      </c>
    </row>
    <row r="66" spans="2:18" x14ac:dyDescent="0.3">
      <c r="B66" s="39">
        <v>46150</v>
      </c>
      <c r="C66" s="4" t="str">
        <f>_xlfn.XLOOKUP(tblMovimientos[[#This Row],[Cuenta Bancaria]],Listas!$B:$B,Listas!$A:$A,"")</f>
        <v>Cross Security Trust</v>
      </c>
      <c r="D66" s="40" t="s">
        <v>112</v>
      </c>
      <c r="E66" s="4" t="str">
        <f>_xlfn.XLOOKUP(tblMovimientos[[#This Row],[Cuenta Bancaria]],Listas!$B:$B,Listas!$C:$C,"")</f>
        <v>Bank of America</v>
      </c>
      <c r="F66" s="41" t="s">
        <v>10</v>
      </c>
      <c r="G66" s="40" t="s">
        <v>59</v>
      </c>
      <c r="H66" s="4" t="str">
        <f>IFERROR(_xlfn.XLOOKUP(G66,Listas!E:E,Listas!F:F,""),"")</f>
        <v>Inversion</v>
      </c>
      <c r="I66" s="46" t="str">
        <f>IFERROR(_xlfn.XLOOKUP(G66,Listas!E:E,Listas!G:G,""),"")</f>
        <v>Externo</v>
      </c>
      <c r="J66" s="43">
        <v>1500000</v>
      </c>
      <c r="K66" s="5">
        <f t="shared" ref="K66:K129" si="1">IF(F66="Ingreso",J66,-J66)</f>
        <v>-1500000</v>
      </c>
      <c r="L66" s="6" t="s">
        <v>93</v>
      </c>
      <c r="M66" s="44">
        <f>SUMIFS('Saldos Iniciales'!$D:$D,'Saldos Iniciales'!$A:$A,C66,'Saldos Iniciales'!$B:$B,D66)+SUMIFS($K$1:$K$1324,$C$1:$C$1324,C66,$D$1:$D$1324,D66,$B$1:$B$1324,"&lt;="&amp;B66)</f>
        <v>13088.59</v>
      </c>
      <c r="N66" s="61" t="str">
        <f>IF(tblMovimientos[[#This Row],[Tipo de Movimiento]]="Ingreso",tblMovimientos[[#This Row],[Monto (S/)]],"0")</f>
        <v>0</v>
      </c>
      <c r="O66" s="61">
        <f>IF(tblMovimientos[[#This Row],[Tipo de Movimiento]]="Egreso",tblMovimientos[[#This Row],[Monto (S/)]],"0")</f>
        <v>1500000</v>
      </c>
      <c r="P66" s="28">
        <f>IF(tblMovimientos[[#This Row],[Tipo de Movimiento]]="Ingreso",tblMovimientos[[#This Row],[Ingreso]],-tblMovimientos[[#This Row],[Egreso]])</f>
        <v>-1500000</v>
      </c>
      <c r="Q66" s="78" t="str">
        <f>_xlfn.XLOOKUP(tblMovimientos[[#This Row],[Cuenta Bancaria]],Cuentas!$C:$C,Cuentas!$A:$A,"")&amp;""</f>
        <v>SSP Group</v>
      </c>
      <c r="R66" s="78" t="str">
        <f>_xlfn.XLOOKUP(tblMovimientos[[#This Row],[Cuenta Bancaria]],Cuentas!$C:$C,Cuentas!$B:$B,"",0,-1)&amp;""</f>
        <v>Trust</v>
      </c>
    </row>
    <row r="67" spans="2:18" x14ac:dyDescent="0.3">
      <c r="B67" s="39">
        <v>46150</v>
      </c>
      <c r="C67" s="4" t="str">
        <f>_xlfn.XLOOKUP(tblMovimientos[[#This Row],[Cuenta Bancaria]],Listas!$B:$B,Listas!$A:$A,"")</f>
        <v>Soweto</v>
      </c>
      <c r="D67" s="40" t="s">
        <v>116</v>
      </c>
      <c r="E67" s="4" t="str">
        <f>_xlfn.XLOOKUP(tblMovimientos[[#This Row],[Cuenta Bancaria]],Listas!$B:$B,Listas!$C:$C,"")</f>
        <v>Citibank</v>
      </c>
      <c r="F67" s="41" t="s">
        <v>10</v>
      </c>
      <c r="G67" s="40" t="s">
        <v>38</v>
      </c>
      <c r="H67" s="4" t="str">
        <f>IFERROR(_xlfn.XLOOKUP(G67,Listas!E:E,Listas!F:F,""),"")</f>
        <v>Operativo</v>
      </c>
      <c r="I67" s="46" t="str">
        <f>IFERROR(_xlfn.XLOOKUP(G67,Listas!E:E,Listas!G:G,""),"")</f>
        <v>Externo</v>
      </c>
      <c r="J67" s="43">
        <v>15</v>
      </c>
      <c r="K67" s="5">
        <f t="shared" si="1"/>
        <v>-15</v>
      </c>
      <c r="L67" s="6" t="s">
        <v>93</v>
      </c>
      <c r="M67" s="44">
        <f>SUMIFS('Saldos Iniciales'!$D:$D,'Saldos Iniciales'!$A:$A,C67,'Saldos Iniciales'!$B:$B,D67)+SUMIFS($K$1:$K$1324,$C$1:$C$1324,C67,$D$1:$D$1324,D67,$B$1:$B$1324,"&lt;="&amp;B67)</f>
        <v>3349.94</v>
      </c>
      <c r="N67" s="61" t="str">
        <f>IF(tblMovimientos[[#This Row],[Tipo de Movimiento]]="Ingreso",tblMovimientos[[#This Row],[Monto (S/)]],"0")</f>
        <v>0</v>
      </c>
      <c r="O67" s="61">
        <f>IF(tblMovimientos[[#This Row],[Tipo de Movimiento]]="Egreso",tblMovimientos[[#This Row],[Monto (S/)]],"0")</f>
        <v>15</v>
      </c>
      <c r="P67" s="28">
        <f>IF(tblMovimientos[[#This Row],[Tipo de Movimiento]]="Ingreso",tblMovimientos[[#This Row],[Ingreso]],-tblMovimientos[[#This Row],[Egreso]])</f>
        <v>-15</v>
      </c>
      <c r="Q67" s="78" t="str">
        <f>_xlfn.XLOOKUP(tblMovimientos[[#This Row],[Cuenta Bancaria]],Cuentas!$C:$C,Cuentas!$A:$A,"")&amp;""</f>
        <v>SSP Group</v>
      </c>
      <c r="R67" s="78" t="str">
        <f>_xlfn.XLOOKUP(tblMovimientos[[#This Row],[Cuenta Bancaria]],Cuentas!$C:$C,Cuentas!$B:$B,"",0,-1)&amp;""</f>
        <v/>
      </c>
    </row>
    <row r="68" spans="2:18" x14ac:dyDescent="0.3">
      <c r="B68" s="39">
        <v>46153</v>
      </c>
      <c r="C68" s="4" t="str">
        <f>_xlfn.XLOOKUP(tblMovimientos[[#This Row],[Cuenta Bancaria]],Listas!$B:$B,Listas!$A:$A,"")</f>
        <v>Go Blue</v>
      </c>
      <c r="D68" s="40" t="s">
        <v>126</v>
      </c>
      <c r="E68" s="4" t="str">
        <f>_xlfn.XLOOKUP(tblMovimientos[[#This Row],[Cuenta Bancaria]],Listas!$B:$B,Listas!$C:$C,"")</f>
        <v xml:space="preserve">Amerant Bank </v>
      </c>
      <c r="F68" s="41" t="s">
        <v>10</v>
      </c>
      <c r="G68" s="40" t="s">
        <v>38</v>
      </c>
      <c r="H68" s="4" t="str">
        <f>IFERROR(_xlfn.XLOOKUP(G68,Listas!E:E,Listas!F:F,""),"")</f>
        <v>Operativo</v>
      </c>
      <c r="I68" s="46" t="str">
        <f>IFERROR(_xlfn.XLOOKUP(G68,Listas!E:E,Listas!G:G,""),"")</f>
        <v>Externo</v>
      </c>
      <c r="J68" s="43">
        <v>20</v>
      </c>
      <c r="K68" s="5">
        <f t="shared" si="1"/>
        <v>-20</v>
      </c>
      <c r="L68" s="6" t="s">
        <v>93</v>
      </c>
      <c r="M68" s="44">
        <f>SUMIFS('Saldos Iniciales'!$D:$D,'Saldos Iniciales'!$A:$A,C68,'Saldos Iniciales'!$B:$B,D68)+SUMIFS($K$1:$K$1324,$C$1:$C$1324,C68,$D$1:$D$1324,D68,$B$1:$B$1324,"&lt;="&amp;B68)</f>
        <v>16956.59</v>
      </c>
      <c r="N68" s="61" t="str">
        <f>IF(tblMovimientos[[#This Row],[Tipo de Movimiento]]="Ingreso",tblMovimientos[[#This Row],[Monto (S/)]],"0")</f>
        <v>0</v>
      </c>
      <c r="O68" s="61">
        <f>IF(tblMovimientos[[#This Row],[Tipo de Movimiento]]="Egreso",tblMovimientos[[#This Row],[Monto (S/)]],"0")</f>
        <v>20</v>
      </c>
      <c r="P68" s="28">
        <f>IF(tblMovimientos[[#This Row],[Tipo de Movimiento]]="Ingreso",tblMovimientos[[#This Row],[Ingreso]],-tblMovimientos[[#This Row],[Egreso]])</f>
        <v>-20</v>
      </c>
      <c r="Q68" s="78" t="str">
        <f>_xlfn.XLOOKUP(tblMovimientos[[#This Row],[Cuenta Bancaria]],Cuentas!$C:$C,Cuentas!$A:$A,"")&amp;""</f>
        <v>SSP Group</v>
      </c>
      <c r="R68" s="78" t="str">
        <f>_xlfn.XLOOKUP(tblMovimientos[[#This Row],[Cuenta Bancaria]],Cuentas!$C:$C,Cuentas!$B:$B,"",0,-1)&amp;""</f>
        <v/>
      </c>
    </row>
    <row r="69" spans="2:18" x14ac:dyDescent="0.3">
      <c r="B69" s="39">
        <v>46153</v>
      </c>
      <c r="C69" s="4" t="str">
        <f>_xlfn.XLOOKUP(tblMovimientos[[#This Row],[Cuenta Bancaria]],Listas!$B:$B,Listas!$A:$A,"")</f>
        <v>A&amp;M Imports</v>
      </c>
      <c r="D69" s="40" t="s">
        <v>100</v>
      </c>
      <c r="E69" s="4" t="str">
        <f>_xlfn.XLOOKUP(tblMovimientos[[#This Row],[Cuenta Bancaria]],Listas!$B:$B,Listas!$C:$C,"")</f>
        <v>Bank of America</v>
      </c>
      <c r="F69" s="41" t="s">
        <v>9</v>
      </c>
      <c r="G69" s="40" t="s">
        <v>70</v>
      </c>
      <c r="H69" s="4" t="str">
        <f>IFERROR(_xlfn.XLOOKUP(G69,Listas!E:E,Listas!F:F,""),"")</f>
        <v>Operativo</v>
      </c>
      <c r="I69" s="46" t="str">
        <f>IFERROR(_xlfn.XLOOKUP(G69,Listas!E:E,Listas!G:G,""),"")</f>
        <v>Externo</v>
      </c>
      <c r="J69" s="43">
        <v>576000</v>
      </c>
      <c r="K69" s="5">
        <f t="shared" si="1"/>
        <v>576000</v>
      </c>
      <c r="L69" s="6" t="s">
        <v>93</v>
      </c>
      <c r="M69" s="44">
        <f>SUMIFS('Saldos Iniciales'!$D:$D,'Saldos Iniciales'!$A:$A,C69,'Saldos Iniciales'!$B:$B,D69)+SUMIFS($K$1:$K$1324,$C$1:$C$1324,C69,$D$1:$D$1324,D69,$B$1:$B$1324,"&lt;="&amp;B69)</f>
        <v>1368366.5</v>
      </c>
      <c r="N69" s="61">
        <f>IF(tblMovimientos[[#This Row],[Tipo de Movimiento]]="Ingreso",tblMovimientos[[#This Row],[Monto (S/)]],"0")</f>
        <v>576000</v>
      </c>
      <c r="O69" s="61" t="str">
        <f>IF(tblMovimientos[[#This Row],[Tipo de Movimiento]]="Egreso",tblMovimientos[[#This Row],[Monto (S/)]],"0")</f>
        <v>0</v>
      </c>
      <c r="P69" s="28">
        <f>IF(tblMovimientos[[#This Row],[Tipo de Movimiento]]="Ingreso",tblMovimientos[[#This Row],[Ingreso]],-tblMovimientos[[#This Row],[Egreso]])</f>
        <v>576000</v>
      </c>
      <c r="Q69" s="78" t="str">
        <f>_xlfn.XLOOKUP(tblMovimientos[[#This Row],[Cuenta Bancaria]],Cuentas!$C:$C,Cuentas!$A:$A,"")&amp;""</f>
        <v>SSP Group</v>
      </c>
      <c r="R69" s="78" t="str">
        <f>_xlfn.XLOOKUP(tblMovimientos[[#This Row],[Cuenta Bancaria]],Cuentas!$C:$C,Cuentas!$B:$B,"",0,-1)&amp;""</f>
        <v/>
      </c>
    </row>
    <row r="70" spans="2:18" x14ac:dyDescent="0.3">
      <c r="B70" s="39">
        <v>46153</v>
      </c>
      <c r="C70" s="4" t="str">
        <f>_xlfn.XLOOKUP(tblMovimientos[[#This Row],[Cuenta Bancaria]],Listas!$B:$B,Listas!$A:$A,"")</f>
        <v>2515 Overbrook</v>
      </c>
      <c r="D70" s="40" t="s">
        <v>121</v>
      </c>
      <c r="E70" s="4" t="str">
        <f>_xlfn.XLOOKUP(tblMovimientos[[#This Row],[Cuenta Bancaria]],Listas!$B:$B,Listas!$C:$C,"")</f>
        <v>Bank of America</v>
      </c>
      <c r="F70" s="41" t="s">
        <v>10</v>
      </c>
      <c r="G70" s="40" t="s">
        <v>38</v>
      </c>
      <c r="H70" s="4" t="str">
        <f>IFERROR(_xlfn.XLOOKUP(G70,Listas!E:E,Listas!F:F,""),"")</f>
        <v>Operativo</v>
      </c>
      <c r="I70" s="46" t="str">
        <f>IFERROR(_xlfn.XLOOKUP(G70,Listas!E:E,Listas!G:G,""),"")</f>
        <v>Externo</v>
      </c>
      <c r="J70" s="43">
        <v>1500</v>
      </c>
      <c r="K70" s="5">
        <f t="shared" si="1"/>
        <v>-1500</v>
      </c>
      <c r="L70" s="6" t="s">
        <v>93</v>
      </c>
      <c r="M70" s="44">
        <f>SUMIFS('Saldos Iniciales'!$D:$D,'Saldos Iniciales'!$A:$A,C70,'Saldos Iniciales'!$B:$B,D70)+SUMIFS($K$1:$K$1324,$C$1:$C$1324,C70,$D$1:$D$1324,D70,$B$1:$B$1324,"&lt;="&amp;B70)</f>
        <v>18752.179999999964</v>
      </c>
      <c r="N70" s="61" t="str">
        <f>IF(tblMovimientos[[#This Row],[Tipo de Movimiento]]="Ingreso",tblMovimientos[[#This Row],[Monto (S/)]],"0")</f>
        <v>0</v>
      </c>
      <c r="O70" s="61">
        <f>IF(tblMovimientos[[#This Row],[Tipo de Movimiento]]="Egreso",tblMovimientos[[#This Row],[Monto (S/)]],"0")</f>
        <v>1500</v>
      </c>
      <c r="P70" s="28">
        <f>IF(tblMovimientos[[#This Row],[Tipo de Movimiento]]="Ingreso",tblMovimientos[[#This Row],[Ingreso]],-tblMovimientos[[#This Row],[Egreso]])</f>
        <v>-1500</v>
      </c>
      <c r="Q70" s="78" t="str">
        <f>_xlfn.XLOOKUP(tblMovimientos[[#This Row],[Cuenta Bancaria]],Cuentas!$C:$C,Cuentas!$A:$A,"")&amp;""</f>
        <v>SSP Group</v>
      </c>
      <c r="R70" s="78" t="str">
        <f>_xlfn.XLOOKUP(tblMovimientos[[#This Row],[Cuenta Bancaria]],Cuentas!$C:$C,Cuentas!$B:$B,"",0,-1)&amp;""</f>
        <v/>
      </c>
    </row>
    <row r="71" spans="2:18" x14ac:dyDescent="0.3">
      <c r="B71" s="39">
        <v>46153</v>
      </c>
      <c r="C71" s="4" t="str">
        <f>_xlfn.XLOOKUP(tblMovimientos[[#This Row],[Cuenta Bancaria]],Listas!$B:$B,Listas!$A:$A,"")</f>
        <v>SSP Capital</v>
      </c>
      <c r="D71" s="40" t="s">
        <v>101</v>
      </c>
      <c r="E71" s="4" t="str">
        <f>_xlfn.XLOOKUP(tblMovimientos[[#This Row],[Cuenta Bancaria]],Listas!$B:$B,Listas!$C:$C,"")</f>
        <v>Bank of America</v>
      </c>
      <c r="F71" s="41" t="s">
        <v>10</v>
      </c>
      <c r="G71" s="40" t="s">
        <v>38</v>
      </c>
      <c r="H71" s="4" t="str">
        <f>IFERROR(_xlfn.XLOOKUP(G71,Listas!E:E,Listas!F:F,""),"")</f>
        <v>Operativo</v>
      </c>
      <c r="I71" s="46" t="str">
        <f>IFERROR(_xlfn.XLOOKUP(G71,Listas!E:E,Listas!G:G,""),"")</f>
        <v>Externo</v>
      </c>
      <c r="J71" s="43">
        <v>1291.6500000000001</v>
      </c>
      <c r="K71" s="5">
        <f t="shared" si="1"/>
        <v>-1291.6500000000001</v>
      </c>
      <c r="L71" s="6" t="s">
        <v>93</v>
      </c>
      <c r="M71" s="44">
        <f>SUMIFS('Saldos Iniciales'!$D:$D,'Saldos Iniciales'!$A:$A,C71,'Saldos Iniciales'!$B:$B,D71)+SUMIFS($K$1:$K$1324,$C$1:$C$1324,C71,$D$1:$D$1324,D71,$B$1:$B$1324,"&lt;="&amp;B71)</f>
        <v>18034.2</v>
      </c>
      <c r="N71" s="61" t="str">
        <f>IF(tblMovimientos[[#This Row],[Tipo de Movimiento]]="Ingreso",tblMovimientos[[#This Row],[Monto (S/)]],"0")</f>
        <v>0</v>
      </c>
      <c r="O71" s="61">
        <f>IF(tblMovimientos[[#This Row],[Tipo de Movimiento]]="Egreso",tblMovimientos[[#This Row],[Monto (S/)]],"0")</f>
        <v>1291.6500000000001</v>
      </c>
      <c r="P71" s="28">
        <f>IF(tblMovimientos[[#This Row],[Tipo de Movimiento]]="Ingreso",tblMovimientos[[#This Row],[Ingreso]],-tblMovimientos[[#This Row],[Egreso]])</f>
        <v>-1291.6500000000001</v>
      </c>
      <c r="Q71" s="78" t="str">
        <f>_xlfn.XLOOKUP(tblMovimientos[[#This Row],[Cuenta Bancaria]],Cuentas!$C:$C,Cuentas!$A:$A,"")&amp;""</f>
        <v>SSP Group</v>
      </c>
      <c r="R71" s="78" t="str">
        <f>_xlfn.XLOOKUP(tblMovimientos[[#This Row],[Cuenta Bancaria]],Cuentas!$C:$C,Cuentas!$B:$B,"",0,-1)&amp;""</f>
        <v/>
      </c>
    </row>
    <row r="72" spans="2:18" x14ac:dyDescent="0.3">
      <c r="B72" s="39">
        <v>46153</v>
      </c>
      <c r="C72" s="4" t="str">
        <f>_xlfn.XLOOKUP(tblMovimientos[[#This Row],[Cuenta Bancaria]],Listas!$B:$B,Listas!$A:$A,"")</f>
        <v>Go Blue</v>
      </c>
      <c r="D72" s="40" t="s">
        <v>126</v>
      </c>
      <c r="E72" s="4" t="str">
        <f>_xlfn.XLOOKUP(tblMovimientos[[#This Row],[Cuenta Bancaria]],Listas!$B:$B,Listas!$C:$C,"")</f>
        <v xml:space="preserve">Amerant Bank </v>
      </c>
      <c r="F72" s="41" t="s">
        <v>10</v>
      </c>
      <c r="G72" s="40" t="s">
        <v>38</v>
      </c>
      <c r="H72" s="4" t="str">
        <f>IFERROR(_xlfn.XLOOKUP(G72,Listas!E:E,Listas!F:F,""),"")</f>
        <v>Operativo</v>
      </c>
      <c r="I72" s="46" t="str">
        <f>IFERROR(_xlfn.XLOOKUP(G72,Listas!E:E,Listas!G:G,""),"")</f>
        <v>Externo</v>
      </c>
      <c r="J72" s="43">
        <v>65.86</v>
      </c>
      <c r="K72" s="5">
        <f t="shared" si="1"/>
        <v>-65.86</v>
      </c>
      <c r="L72" s="6" t="s">
        <v>93</v>
      </c>
      <c r="M72" s="44">
        <f>SUMIFS('Saldos Iniciales'!$D:$D,'Saldos Iniciales'!$A:$A,C72,'Saldos Iniciales'!$B:$B,D72)+SUMIFS($K$1:$K$1324,$C$1:$C$1324,C72,$D$1:$D$1324,D72,$B$1:$B$1324,"&lt;="&amp;B72)</f>
        <v>16956.59</v>
      </c>
      <c r="N72" s="61" t="str">
        <f>IF(tblMovimientos[[#This Row],[Tipo de Movimiento]]="Ingreso",tblMovimientos[[#This Row],[Monto (S/)]],"0")</f>
        <v>0</v>
      </c>
      <c r="O72" s="61">
        <f>IF(tblMovimientos[[#This Row],[Tipo de Movimiento]]="Egreso",tblMovimientos[[#This Row],[Monto (S/)]],"0")</f>
        <v>65.86</v>
      </c>
      <c r="P72" s="28">
        <f>IF(tblMovimientos[[#This Row],[Tipo de Movimiento]]="Ingreso",tblMovimientos[[#This Row],[Ingreso]],-tblMovimientos[[#This Row],[Egreso]])</f>
        <v>-65.86</v>
      </c>
      <c r="Q72" s="78" t="str">
        <f>_xlfn.XLOOKUP(tblMovimientos[[#This Row],[Cuenta Bancaria]],Cuentas!$C:$C,Cuentas!$A:$A,"")&amp;""</f>
        <v>SSP Group</v>
      </c>
      <c r="R72" s="78" t="str">
        <f>_xlfn.XLOOKUP(tblMovimientos[[#This Row],[Cuenta Bancaria]],Cuentas!$C:$C,Cuentas!$B:$B,"",0,-1)&amp;""</f>
        <v/>
      </c>
    </row>
    <row r="73" spans="2:18" x14ac:dyDescent="0.3">
      <c r="B73" s="39">
        <v>46153</v>
      </c>
      <c r="C73" s="4" t="str">
        <f>_xlfn.XLOOKUP(tblMovimientos[[#This Row],[Cuenta Bancaria]],Listas!$B:$B,Listas!$A:$A,"")</f>
        <v>Go Blue</v>
      </c>
      <c r="D73" s="40" t="s">
        <v>126</v>
      </c>
      <c r="E73" s="4" t="str">
        <f>_xlfn.XLOOKUP(tblMovimientos[[#This Row],[Cuenta Bancaria]],Listas!$B:$B,Listas!$C:$C,"")</f>
        <v xml:space="preserve">Amerant Bank </v>
      </c>
      <c r="F73" s="41" t="s">
        <v>10</v>
      </c>
      <c r="G73" s="40" t="s">
        <v>38</v>
      </c>
      <c r="H73" s="4" t="str">
        <f>IFERROR(_xlfn.XLOOKUP(G73,Listas!E:E,Listas!F:F,""),"")</f>
        <v>Operativo</v>
      </c>
      <c r="I73" s="46" t="str">
        <f>IFERROR(_xlfn.XLOOKUP(G73,Listas!E:E,Listas!G:G,""),"")</f>
        <v>Externo</v>
      </c>
      <c r="J73" s="43">
        <v>163</v>
      </c>
      <c r="K73" s="5">
        <f t="shared" si="1"/>
        <v>-163</v>
      </c>
      <c r="L73" s="6" t="s">
        <v>93</v>
      </c>
      <c r="M73" s="44">
        <f>SUMIFS('Saldos Iniciales'!$D:$D,'Saldos Iniciales'!$A:$A,C73,'Saldos Iniciales'!$B:$B,D73)+SUMIFS($K$1:$K$1324,$C$1:$C$1324,C73,$D$1:$D$1324,D73,$B$1:$B$1324,"&lt;="&amp;B73)</f>
        <v>16956.59</v>
      </c>
      <c r="N73" s="61" t="str">
        <f>IF(tblMovimientos[[#This Row],[Tipo de Movimiento]]="Ingreso",tblMovimientos[[#This Row],[Monto (S/)]],"0")</f>
        <v>0</v>
      </c>
      <c r="O73" s="61">
        <f>IF(tblMovimientos[[#This Row],[Tipo de Movimiento]]="Egreso",tblMovimientos[[#This Row],[Monto (S/)]],"0")</f>
        <v>163</v>
      </c>
      <c r="P73" s="28">
        <f>IF(tblMovimientos[[#This Row],[Tipo de Movimiento]]="Ingreso",tblMovimientos[[#This Row],[Ingreso]],-tblMovimientos[[#This Row],[Egreso]])</f>
        <v>-163</v>
      </c>
      <c r="Q73" s="78" t="str">
        <f>_xlfn.XLOOKUP(tblMovimientos[[#This Row],[Cuenta Bancaria]],Cuentas!$C:$C,Cuentas!$A:$A,"")&amp;""</f>
        <v>SSP Group</v>
      </c>
      <c r="R73" s="78" t="str">
        <f>_xlfn.XLOOKUP(tblMovimientos[[#This Row],[Cuenta Bancaria]],Cuentas!$C:$C,Cuentas!$B:$B,"",0,-1)&amp;""</f>
        <v/>
      </c>
    </row>
    <row r="74" spans="2:18" x14ac:dyDescent="0.3">
      <c r="B74" s="39">
        <v>46153</v>
      </c>
      <c r="C74" s="4" t="str">
        <f>_xlfn.XLOOKUP(tblMovimientos[[#This Row],[Cuenta Bancaria]],Listas!$B:$B,Listas!$A:$A,"")</f>
        <v>Go Blue</v>
      </c>
      <c r="D74" s="40" t="s">
        <v>126</v>
      </c>
      <c r="E74" s="4" t="str">
        <f>_xlfn.XLOOKUP(tblMovimientos[[#This Row],[Cuenta Bancaria]],Listas!$B:$B,Listas!$C:$C,"")</f>
        <v xml:space="preserve">Amerant Bank </v>
      </c>
      <c r="F74" s="41" t="s">
        <v>10</v>
      </c>
      <c r="G74" s="40" t="s">
        <v>38</v>
      </c>
      <c r="H74" s="4" t="str">
        <f>IFERROR(_xlfn.XLOOKUP(G74,Listas!E:E,Listas!F:F,""),"")</f>
        <v>Operativo</v>
      </c>
      <c r="I74" s="46" t="str">
        <f>IFERROR(_xlfn.XLOOKUP(G74,Listas!E:E,Listas!G:G,""),"")</f>
        <v>Externo</v>
      </c>
      <c r="J74" s="43">
        <v>576.79999999999995</v>
      </c>
      <c r="K74" s="5">
        <f t="shared" si="1"/>
        <v>-576.79999999999995</v>
      </c>
      <c r="L74" s="6" t="s">
        <v>93</v>
      </c>
      <c r="M74" s="44">
        <f>SUMIFS('Saldos Iniciales'!$D:$D,'Saldos Iniciales'!$A:$A,C74,'Saldos Iniciales'!$B:$B,D74)+SUMIFS($K$1:$K$1324,$C$1:$C$1324,C74,$D$1:$D$1324,D74,$B$1:$B$1324,"&lt;="&amp;B74)</f>
        <v>16956.59</v>
      </c>
      <c r="N74" s="61" t="str">
        <f>IF(tblMovimientos[[#This Row],[Tipo de Movimiento]]="Ingreso",tblMovimientos[[#This Row],[Monto (S/)]],"0")</f>
        <v>0</v>
      </c>
      <c r="O74" s="61">
        <f>IF(tblMovimientos[[#This Row],[Tipo de Movimiento]]="Egreso",tblMovimientos[[#This Row],[Monto (S/)]],"0")</f>
        <v>576.79999999999995</v>
      </c>
      <c r="P74" s="28">
        <f>IF(tblMovimientos[[#This Row],[Tipo de Movimiento]]="Ingreso",tblMovimientos[[#This Row],[Ingreso]],-tblMovimientos[[#This Row],[Egreso]])</f>
        <v>-576.79999999999995</v>
      </c>
      <c r="Q74" s="78" t="str">
        <f>_xlfn.XLOOKUP(tblMovimientos[[#This Row],[Cuenta Bancaria]],Cuentas!$C:$C,Cuentas!$A:$A,"")&amp;""</f>
        <v>SSP Group</v>
      </c>
      <c r="R74" s="78" t="str">
        <f>_xlfn.XLOOKUP(tblMovimientos[[#This Row],[Cuenta Bancaria]],Cuentas!$C:$C,Cuentas!$B:$B,"",0,-1)&amp;""</f>
        <v/>
      </c>
    </row>
    <row r="75" spans="2:18" x14ac:dyDescent="0.3">
      <c r="B75" s="39">
        <v>46153</v>
      </c>
      <c r="C75" s="4" t="str">
        <f>_xlfn.XLOOKUP(tblMovimientos[[#This Row],[Cuenta Bancaria]],Listas!$B:$B,Listas!$A:$A,"")</f>
        <v>SSP Capital</v>
      </c>
      <c r="D75" s="40" t="s">
        <v>104</v>
      </c>
      <c r="E75" s="4" t="str">
        <f>_xlfn.XLOOKUP(tblMovimientos[[#This Row],[Cuenta Bancaria]],Listas!$B:$B,Listas!$C:$C,"")</f>
        <v xml:space="preserve">Amerant Bank </v>
      </c>
      <c r="F75" s="41" t="s">
        <v>9</v>
      </c>
      <c r="G75" s="40" t="s">
        <v>66</v>
      </c>
      <c r="H75" s="4" t="str">
        <f>IFERROR(_xlfn.XLOOKUP(G75,Listas!E:E,Listas!F:F,""),"")</f>
        <v>Inversion</v>
      </c>
      <c r="I75" s="46" t="str">
        <f>IFERROR(_xlfn.XLOOKUP(G75,Listas!E:E,Listas!G:G,""),"")</f>
        <v>Externo</v>
      </c>
      <c r="J75" s="43">
        <v>239975</v>
      </c>
      <c r="K75" s="5">
        <f t="shared" si="1"/>
        <v>239975</v>
      </c>
      <c r="L75" s="6" t="s">
        <v>93</v>
      </c>
      <c r="M75" s="44">
        <f>SUMIFS('Saldos Iniciales'!$D:$D,'Saldos Iniciales'!$A:$A,C75,'Saldos Iniciales'!$B:$B,D75)+SUMIFS($K$1:$K$1324,$C$1:$C$1324,C75,$D$1:$D$1324,D75,$B$1:$B$1324,"&lt;="&amp;B75)</f>
        <v>386329.18999999936</v>
      </c>
      <c r="N75" s="61">
        <f>IF(tblMovimientos[[#This Row],[Tipo de Movimiento]]="Ingreso",tblMovimientos[[#This Row],[Monto (S/)]],"0")</f>
        <v>239975</v>
      </c>
      <c r="O75" s="61" t="str">
        <f>IF(tblMovimientos[[#This Row],[Tipo de Movimiento]]="Egreso",tblMovimientos[[#This Row],[Monto (S/)]],"0")</f>
        <v>0</v>
      </c>
      <c r="P75" s="28">
        <f>IF(tblMovimientos[[#This Row],[Tipo de Movimiento]]="Ingreso",tblMovimientos[[#This Row],[Ingreso]],-tblMovimientos[[#This Row],[Egreso]])</f>
        <v>239975</v>
      </c>
      <c r="Q75" s="78" t="str">
        <f>_xlfn.XLOOKUP(tblMovimientos[[#This Row],[Cuenta Bancaria]],Cuentas!$C:$C,Cuentas!$A:$A,"")&amp;""</f>
        <v>SSP Group</v>
      </c>
      <c r="R75" s="78" t="str">
        <f>_xlfn.XLOOKUP(tblMovimientos[[#This Row],[Cuenta Bancaria]],Cuentas!$C:$C,Cuentas!$B:$B,"",0,-1)&amp;""</f>
        <v/>
      </c>
    </row>
    <row r="76" spans="2:18" x14ac:dyDescent="0.3">
      <c r="B76" s="39">
        <v>46153</v>
      </c>
      <c r="C76" s="4" t="str">
        <f>_xlfn.XLOOKUP(tblMovimientos[[#This Row],[Cuenta Bancaria]],Listas!$B:$B,Listas!$A:$A,"")</f>
        <v>Go Blue</v>
      </c>
      <c r="D76" s="40" t="s">
        <v>126</v>
      </c>
      <c r="E76" s="4" t="str">
        <f>_xlfn.XLOOKUP(tblMovimientos[[#This Row],[Cuenta Bancaria]],Listas!$B:$B,Listas!$C:$C,"")</f>
        <v xml:space="preserve">Amerant Bank </v>
      </c>
      <c r="F76" s="41" t="s">
        <v>10</v>
      </c>
      <c r="G76" s="40" t="s">
        <v>38</v>
      </c>
      <c r="H76" s="4" t="str">
        <f>IFERROR(_xlfn.XLOOKUP(G76,Listas!E:E,Listas!F:F,""),"")</f>
        <v>Operativo</v>
      </c>
      <c r="I76" s="46" t="str">
        <f>IFERROR(_xlfn.XLOOKUP(G76,Listas!E:E,Listas!G:G,""),"")</f>
        <v>Externo</v>
      </c>
      <c r="J76" s="43">
        <v>6000</v>
      </c>
      <c r="K76" s="5">
        <f t="shared" si="1"/>
        <v>-6000</v>
      </c>
      <c r="L76" s="6" t="s">
        <v>93</v>
      </c>
      <c r="M76" s="44">
        <f>SUMIFS('Saldos Iniciales'!$D:$D,'Saldos Iniciales'!$A:$A,C76,'Saldos Iniciales'!$B:$B,D76)+SUMIFS($K$1:$K$1324,$C$1:$C$1324,C76,$D$1:$D$1324,D76,$B$1:$B$1324,"&lt;="&amp;B76)</f>
        <v>16956.59</v>
      </c>
      <c r="N76" s="61" t="str">
        <f>IF(tblMovimientos[[#This Row],[Tipo de Movimiento]]="Ingreso",tblMovimientos[[#This Row],[Monto (S/)]],"0")</f>
        <v>0</v>
      </c>
      <c r="O76" s="61">
        <f>IF(tblMovimientos[[#This Row],[Tipo de Movimiento]]="Egreso",tblMovimientos[[#This Row],[Monto (S/)]],"0")</f>
        <v>6000</v>
      </c>
      <c r="P76" s="28">
        <f>IF(tblMovimientos[[#This Row],[Tipo de Movimiento]]="Ingreso",tblMovimientos[[#This Row],[Ingreso]],-tblMovimientos[[#This Row],[Egreso]])</f>
        <v>-6000</v>
      </c>
      <c r="Q76" s="78" t="str">
        <f>_xlfn.XLOOKUP(tblMovimientos[[#This Row],[Cuenta Bancaria]],Cuentas!$C:$C,Cuentas!$A:$A,"")&amp;""</f>
        <v>SSP Group</v>
      </c>
      <c r="R76" s="78" t="str">
        <f>_xlfn.XLOOKUP(tblMovimientos[[#This Row],[Cuenta Bancaria]],Cuentas!$C:$C,Cuentas!$B:$B,"",0,-1)&amp;""</f>
        <v/>
      </c>
    </row>
    <row r="77" spans="2:18" x14ac:dyDescent="0.3">
      <c r="B77" s="39">
        <v>46154</v>
      </c>
      <c r="C77" s="4" t="str">
        <f>_xlfn.XLOOKUP(tblMovimientos[[#This Row],[Cuenta Bancaria]],Listas!$B:$B,Listas!$A:$A,"")</f>
        <v>A&amp;M Imports</v>
      </c>
      <c r="D77" s="40" t="s">
        <v>100</v>
      </c>
      <c r="E77" s="4" t="str">
        <f>_xlfn.XLOOKUP(tblMovimientos[[#This Row],[Cuenta Bancaria]],Listas!$B:$B,Listas!$C:$C,"")</f>
        <v>Bank of America</v>
      </c>
      <c r="F77" s="41" t="s">
        <v>10</v>
      </c>
      <c r="G77" s="40" t="s">
        <v>61</v>
      </c>
      <c r="H77" s="4" t="str">
        <f>IFERROR(_xlfn.XLOOKUP(G77,Listas!E:E,Listas!F:F,""),"")</f>
        <v>Operativo</v>
      </c>
      <c r="I77" s="46" t="str">
        <f>IFERROR(_xlfn.XLOOKUP(G77,Listas!E:E,Listas!G:G,""),"")</f>
        <v>Externo</v>
      </c>
      <c r="J77" s="43">
        <v>60000</v>
      </c>
      <c r="K77" s="5">
        <f t="shared" si="1"/>
        <v>-60000</v>
      </c>
      <c r="L77" s="6" t="s">
        <v>93</v>
      </c>
      <c r="M77" s="44">
        <f>SUMIFS('Saldos Iniciales'!$D:$D,'Saldos Iniciales'!$A:$A,C77,'Saldos Iniciales'!$B:$B,D77)+SUMIFS($K$1:$K$1324,$C$1:$C$1324,C77,$D$1:$D$1324,D77,$B$1:$B$1324,"&lt;="&amp;B77)</f>
        <v>1226185.8999999999</v>
      </c>
      <c r="N77" s="61" t="str">
        <f>IF(tblMovimientos[[#This Row],[Tipo de Movimiento]]="Ingreso",tblMovimientos[[#This Row],[Monto (S/)]],"0")</f>
        <v>0</v>
      </c>
      <c r="O77" s="61">
        <f>IF(tblMovimientos[[#This Row],[Tipo de Movimiento]]="Egreso",tblMovimientos[[#This Row],[Monto (S/)]],"0")</f>
        <v>60000</v>
      </c>
      <c r="P77" s="28">
        <f>IF(tblMovimientos[[#This Row],[Tipo de Movimiento]]="Ingreso",tblMovimientos[[#This Row],[Ingreso]],-tblMovimientos[[#This Row],[Egreso]])</f>
        <v>-60000</v>
      </c>
      <c r="Q77" s="78" t="str">
        <f>_xlfn.XLOOKUP(tblMovimientos[[#This Row],[Cuenta Bancaria]],Cuentas!$C:$C,Cuentas!$A:$A,"")&amp;""</f>
        <v>SSP Group</v>
      </c>
      <c r="R77" s="78" t="str">
        <f>_xlfn.XLOOKUP(tblMovimientos[[#This Row],[Cuenta Bancaria]],Cuentas!$C:$C,Cuentas!$B:$B,"",0,-1)&amp;""</f>
        <v/>
      </c>
    </row>
    <row r="78" spans="2:18" x14ac:dyDescent="0.3">
      <c r="B78" s="39">
        <v>46154</v>
      </c>
      <c r="C78" s="4" t="str">
        <f>_xlfn.XLOOKUP(tblMovimientos[[#This Row],[Cuenta Bancaria]],Listas!$B:$B,Listas!$A:$A,"")</f>
        <v>A&amp;M Imports</v>
      </c>
      <c r="D78" s="40" t="s">
        <v>100</v>
      </c>
      <c r="E78" s="4" t="str">
        <f>_xlfn.XLOOKUP(tblMovimientos[[#This Row],[Cuenta Bancaria]],Listas!$B:$B,Listas!$C:$C,"")</f>
        <v>Bank of America</v>
      </c>
      <c r="F78" s="41" t="s">
        <v>10</v>
      </c>
      <c r="G78" s="40" t="s">
        <v>51</v>
      </c>
      <c r="H78" s="4" t="str">
        <f>IFERROR(_xlfn.XLOOKUP(G78,Listas!E:E,Listas!F:F,""),"")</f>
        <v>Financiamiento</v>
      </c>
      <c r="I78" s="46" t="str">
        <f>IFERROR(_xlfn.XLOOKUP(G78,Listas!E:E,Listas!G:G,""),"")</f>
        <v>Externo</v>
      </c>
      <c r="J78" s="43">
        <v>82180.600000000006</v>
      </c>
      <c r="K78" s="5">
        <f t="shared" si="1"/>
        <v>-82180.600000000006</v>
      </c>
      <c r="L78" s="6" t="s">
        <v>93</v>
      </c>
      <c r="M78" s="44">
        <f>SUMIFS('Saldos Iniciales'!$D:$D,'Saldos Iniciales'!$A:$A,C78,'Saldos Iniciales'!$B:$B,D78)+SUMIFS($K$1:$K$1324,$C$1:$C$1324,C78,$D$1:$D$1324,D78,$B$1:$B$1324,"&lt;="&amp;B78)</f>
        <v>1226185.8999999999</v>
      </c>
      <c r="N78" s="61" t="str">
        <f>IF(tblMovimientos[[#This Row],[Tipo de Movimiento]]="Ingreso",tblMovimientos[[#This Row],[Monto (S/)]],"0")</f>
        <v>0</v>
      </c>
      <c r="O78" s="61">
        <f>IF(tblMovimientos[[#This Row],[Tipo de Movimiento]]="Egreso",tblMovimientos[[#This Row],[Monto (S/)]],"0")</f>
        <v>82180.600000000006</v>
      </c>
      <c r="P78" s="28">
        <f>IF(tblMovimientos[[#This Row],[Tipo de Movimiento]]="Ingreso",tblMovimientos[[#This Row],[Ingreso]],-tblMovimientos[[#This Row],[Egreso]])</f>
        <v>-82180.600000000006</v>
      </c>
      <c r="Q78" s="78" t="str">
        <f>_xlfn.XLOOKUP(tblMovimientos[[#This Row],[Cuenta Bancaria]],Cuentas!$C:$C,Cuentas!$A:$A,"")&amp;""</f>
        <v>SSP Group</v>
      </c>
      <c r="R78" s="78" t="str">
        <f>_xlfn.XLOOKUP(tblMovimientos[[#This Row],[Cuenta Bancaria]],Cuentas!$C:$C,Cuentas!$B:$B,"",0,-1)&amp;""</f>
        <v/>
      </c>
    </row>
    <row r="79" spans="2:18" x14ac:dyDescent="0.3">
      <c r="B79" s="39">
        <v>46154</v>
      </c>
      <c r="C79" s="4" t="str">
        <f>_xlfn.XLOOKUP(tblMovimientos[[#This Row],[Cuenta Bancaria]],Listas!$B:$B,Listas!$A:$A,"")</f>
        <v>CFT Group</v>
      </c>
      <c r="D79" s="40" t="s">
        <v>94</v>
      </c>
      <c r="E79" s="4" t="str">
        <f>_xlfn.XLOOKUP(tblMovimientos[[#This Row],[Cuenta Bancaria]],Listas!$B:$B,Listas!$C:$C,"")</f>
        <v>Bank of America</v>
      </c>
      <c r="F79" s="41" t="s">
        <v>9</v>
      </c>
      <c r="G79" s="40" t="s">
        <v>68</v>
      </c>
      <c r="H79" s="4" t="str">
        <f>IFERROR(_xlfn.XLOOKUP(G79,Listas!E:E,Listas!F:F,""),"")</f>
        <v>Operativo</v>
      </c>
      <c r="I79" s="46" t="str">
        <f>IFERROR(_xlfn.XLOOKUP(G79,Listas!E:E,Listas!G:G,""),"")</f>
        <v>Externo</v>
      </c>
      <c r="J79" s="43">
        <v>93805.54</v>
      </c>
      <c r="K79" s="5">
        <f t="shared" si="1"/>
        <v>93805.54</v>
      </c>
      <c r="L79" s="6" t="s">
        <v>93</v>
      </c>
      <c r="M79" s="44">
        <f>SUMIFS('Saldos Iniciales'!$D:$D,'Saldos Iniciales'!$A:$A,C79,'Saldos Iniciales'!$B:$B,D79)+SUMIFS($K$1:$K$1324,$C$1:$C$1324,C79,$D$1:$D$1324,D79,$B$1:$B$1324,"&lt;="&amp;B79)</f>
        <v>161658.90999999997</v>
      </c>
      <c r="N79" s="61">
        <f>IF(tblMovimientos[[#This Row],[Tipo de Movimiento]]="Ingreso",tblMovimientos[[#This Row],[Monto (S/)]],"0")</f>
        <v>93805.54</v>
      </c>
      <c r="O79" s="61" t="str">
        <f>IF(tblMovimientos[[#This Row],[Tipo de Movimiento]]="Egreso",tblMovimientos[[#This Row],[Monto (S/)]],"0")</f>
        <v>0</v>
      </c>
      <c r="P79" s="28">
        <f>IF(tblMovimientos[[#This Row],[Tipo de Movimiento]]="Ingreso",tblMovimientos[[#This Row],[Ingreso]],-tblMovimientos[[#This Row],[Egreso]])</f>
        <v>93805.54</v>
      </c>
      <c r="Q79" s="78" t="str">
        <f>_xlfn.XLOOKUP(tblMovimientos[[#This Row],[Cuenta Bancaria]],Cuentas!$C:$C,Cuentas!$A:$A,"")&amp;""</f>
        <v>SSP Group</v>
      </c>
      <c r="R79" s="78" t="str">
        <f>_xlfn.XLOOKUP(tblMovimientos[[#This Row],[Cuenta Bancaria]],Cuentas!$C:$C,Cuentas!$B:$B,"",0,-1)&amp;""</f>
        <v/>
      </c>
    </row>
    <row r="80" spans="2:18" x14ac:dyDescent="0.3">
      <c r="B80" s="39">
        <v>46154</v>
      </c>
      <c r="C80" s="4" t="str">
        <f>_xlfn.XLOOKUP(tblMovimientos[[#This Row],[Cuenta Bancaria]],Listas!$B:$B,Listas!$A:$A,"")</f>
        <v>Go Blue</v>
      </c>
      <c r="D80" s="40" t="s">
        <v>126</v>
      </c>
      <c r="E80" s="4" t="str">
        <f>_xlfn.XLOOKUP(tblMovimientos[[#This Row],[Cuenta Bancaria]],Listas!$B:$B,Listas!$C:$C,"")</f>
        <v xml:space="preserve">Amerant Bank </v>
      </c>
      <c r="F80" s="41" t="s">
        <v>10</v>
      </c>
      <c r="G80" s="40" t="s">
        <v>38</v>
      </c>
      <c r="H80" s="4" t="str">
        <f>IFERROR(_xlfn.XLOOKUP(G80,Listas!E:E,Listas!F:F,""),"")</f>
        <v>Operativo</v>
      </c>
      <c r="I80" s="46" t="str">
        <f>IFERROR(_xlfn.XLOOKUP(G80,Listas!E:E,Listas!G:G,""),"")</f>
        <v>Externo</v>
      </c>
      <c r="J80" s="43">
        <v>215</v>
      </c>
      <c r="K80" s="5">
        <f t="shared" si="1"/>
        <v>-215</v>
      </c>
      <c r="L80" s="6" t="s">
        <v>93</v>
      </c>
      <c r="M80" s="44">
        <f>SUMIFS('Saldos Iniciales'!$D:$D,'Saldos Iniciales'!$A:$A,C80,'Saldos Iniciales'!$B:$B,D80)+SUMIFS($K$1:$K$1324,$C$1:$C$1324,C80,$D$1:$D$1324,D80,$B$1:$B$1324,"&lt;="&amp;B80)</f>
        <v>16741.59</v>
      </c>
      <c r="N80" s="61" t="str">
        <f>IF(tblMovimientos[[#This Row],[Tipo de Movimiento]]="Ingreso",tblMovimientos[[#This Row],[Monto (S/)]],"0")</f>
        <v>0</v>
      </c>
      <c r="O80" s="61">
        <f>IF(tblMovimientos[[#This Row],[Tipo de Movimiento]]="Egreso",tblMovimientos[[#This Row],[Monto (S/)]],"0")</f>
        <v>215</v>
      </c>
      <c r="P80" s="28">
        <f>IF(tblMovimientos[[#This Row],[Tipo de Movimiento]]="Ingreso",tblMovimientos[[#This Row],[Ingreso]],-tblMovimientos[[#This Row],[Egreso]])</f>
        <v>-215</v>
      </c>
      <c r="Q80" s="78" t="str">
        <f>_xlfn.XLOOKUP(tblMovimientos[[#This Row],[Cuenta Bancaria]],Cuentas!$C:$C,Cuentas!$A:$A,"")&amp;""</f>
        <v>SSP Group</v>
      </c>
      <c r="R80" s="78" t="str">
        <f>_xlfn.XLOOKUP(tblMovimientos[[#This Row],[Cuenta Bancaria]],Cuentas!$C:$C,Cuentas!$B:$B,"",0,-1)&amp;""</f>
        <v/>
      </c>
    </row>
    <row r="81" spans="2:18" x14ac:dyDescent="0.3">
      <c r="B81" s="39">
        <v>46154</v>
      </c>
      <c r="C81" s="4" t="str">
        <f>_xlfn.XLOOKUP(tblMovimientos[[#This Row],[Cuenta Bancaria]],Listas!$B:$B,Listas!$A:$A,"")</f>
        <v>CFT Group</v>
      </c>
      <c r="D81" s="40" t="s">
        <v>96</v>
      </c>
      <c r="E81" s="4" t="str">
        <f>_xlfn.XLOOKUP(tblMovimientos[[#This Row],[Cuenta Bancaria]],Listas!$B:$B,Listas!$C:$C,"")</f>
        <v>Northern Trust</v>
      </c>
      <c r="F81" s="41" t="s">
        <v>10</v>
      </c>
      <c r="G81" s="40" t="s">
        <v>38</v>
      </c>
      <c r="H81" s="4" t="str">
        <f>IFERROR(_xlfn.XLOOKUP(G81,Listas!E:E,Listas!F:F,""),"")</f>
        <v>Operativo</v>
      </c>
      <c r="I81" s="46" t="str">
        <f>IFERROR(_xlfn.XLOOKUP(G81,Listas!E:E,Listas!G:G,""),"")</f>
        <v>Externo</v>
      </c>
      <c r="J81" s="43">
        <v>18.82</v>
      </c>
      <c r="K81" s="5">
        <f t="shared" si="1"/>
        <v>-18.82</v>
      </c>
      <c r="L81" s="6" t="s">
        <v>93</v>
      </c>
      <c r="M81" s="44">
        <f>SUMIFS('Saldos Iniciales'!$D:$D,'Saldos Iniciales'!$A:$A,C81,'Saldos Iniciales'!$B:$B,D81)+SUMIFS($K$1:$K$1324,$C$1:$C$1324,C81,$D$1:$D$1324,D81,$B$1:$B$1324,"&lt;="&amp;B81)</f>
        <v>5256.0300000000007</v>
      </c>
      <c r="N81" s="61" t="str">
        <f>IF(tblMovimientos[[#This Row],[Tipo de Movimiento]]="Ingreso",tblMovimientos[[#This Row],[Monto (S/)]],"0")</f>
        <v>0</v>
      </c>
      <c r="O81" s="61">
        <f>IF(tblMovimientos[[#This Row],[Tipo de Movimiento]]="Egreso",tblMovimientos[[#This Row],[Monto (S/)]],"0")</f>
        <v>18.82</v>
      </c>
      <c r="P81" s="28">
        <f>IF(tblMovimientos[[#This Row],[Tipo de Movimiento]]="Ingreso",tblMovimientos[[#This Row],[Ingreso]],-tblMovimientos[[#This Row],[Egreso]])</f>
        <v>-18.82</v>
      </c>
      <c r="Q81" s="78" t="str">
        <f>_xlfn.XLOOKUP(tblMovimientos[[#This Row],[Cuenta Bancaria]],Cuentas!$C:$C,Cuentas!$A:$A,"")&amp;""</f>
        <v>SSP Group</v>
      </c>
      <c r="R81" s="78" t="str">
        <f>_xlfn.XLOOKUP(tblMovimientos[[#This Row],[Cuenta Bancaria]],Cuentas!$C:$C,Cuentas!$B:$B,"",0,-1)&amp;""</f>
        <v/>
      </c>
    </row>
    <row r="82" spans="2:18" x14ac:dyDescent="0.3">
      <c r="B82" s="39">
        <v>46154</v>
      </c>
      <c r="C82" s="4" t="str">
        <f>_xlfn.XLOOKUP(tblMovimientos[[#This Row],[Cuenta Bancaria]],Listas!$B:$B,Listas!$A:$A,"")</f>
        <v>SSP Capital</v>
      </c>
      <c r="D82" s="40" t="s">
        <v>105</v>
      </c>
      <c r="E82" s="4" t="str">
        <f>_xlfn.XLOOKUP(tblMovimientos[[#This Row],[Cuenta Bancaria]],Listas!$B:$B,Listas!$C:$C,"")</f>
        <v>Northern Trust</v>
      </c>
      <c r="F82" s="41" t="s">
        <v>10</v>
      </c>
      <c r="G82" s="40" t="s">
        <v>38</v>
      </c>
      <c r="H82" s="4" t="str">
        <f>IFERROR(_xlfn.XLOOKUP(G82,Listas!E:E,Listas!F:F,""),"")</f>
        <v>Operativo</v>
      </c>
      <c r="I82" s="46" t="str">
        <f>IFERROR(_xlfn.XLOOKUP(G82,Listas!E:E,Listas!G:G,""),"")</f>
        <v>Externo</v>
      </c>
      <c r="J82" s="43">
        <v>108.91</v>
      </c>
      <c r="K82" s="5">
        <f t="shared" si="1"/>
        <v>-108.91</v>
      </c>
      <c r="L82" s="6" t="s">
        <v>93</v>
      </c>
      <c r="M82" s="44">
        <f>SUMIFS('Saldos Iniciales'!$D:$D,'Saldos Iniciales'!$A:$A,C82,'Saldos Iniciales'!$B:$B,D82)+SUMIFS($K$1:$K$1324,$C$1:$C$1324,C82,$D$1:$D$1324,D82,$B$1:$B$1324,"&lt;="&amp;B82)</f>
        <v>4761.2</v>
      </c>
      <c r="N82" s="61" t="str">
        <f>IF(tblMovimientos[[#This Row],[Tipo de Movimiento]]="Ingreso",tblMovimientos[[#This Row],[Monto (S/)]],"0")</f>
        <v>0</v>
      </c>
      <c r="O82" s="61">
        <f>IF(tblMovimientos[[#This Row],[Tipo de Movimiento]]="Egreso",tblMovimientos[[#This Row],[Monto (S/)]],"0")</f>
        <v>108.91</v>
      </c>
      <c r="P82" s="28">
        <f>IF(tblMovimientos[[#This Row],[Tipo de Movimiento]]="Ingreso",tblMovimientos[[#This Row],[Ingreso]],-tblMovimientos[[#This Row],[Egreso]])</f>
        <v>-108.91</v>
      </c>
      <c r="Q82" s="78" t="str">
        <f>_xlfn.XLOOKUP(tblMovimientos[[#This Row],[Cuenta Bancaria]],Cuentas!$C:$C,Cuentas!$A:$A,"")&amp;""</f>
        <v>SSP Group</v>
      </c>
      <c r="R82" s="78" t="str">
        <f>_xlfn.XLOOKUP(tblMovimientos[[#This Row],[Cuenta Bancaria]],Cuentas!$C:$C,Cuentas!$B:$B,"",0,-1)&amp;""</f>
        <v/>
      </c>
    </row>
    <row r="83" spans="2:18" x14ac:dyDescent="0.3">
      <c r="B83" s="39">
        <v>46155</v>
      </c>
      <c r="C83" s="4" t="str">
        <f>_xlfn.XLOOKUP(tblMovimientos[[#This Row],[Cuenta Bancaria]],Listas!$B:$B,Listas!$A:$A,"")</f>
        <v>A&amp;M Imports</v>
      </c>
      <c r="D83" s="40" t="s">
        <v>100</v>
      </c>
      <c r="E83" s="4" t="str">
        <f>_xlfn.XLOOKUP(tblMovimientos[[#This Row],[Cuenta Bancaria]],Listas!$B:$B,Listas!$C:$C,"")</f>
        <v>Bank of America</v>
      </c>
      <c r="F83" s="41" t="s">
        <v>9</v>
      </c>
      <c r="G83" s="40" t="s">
        <v>68</v>
      </c>
      <c r="H83" s="4" t="str">
        <f>IFERROR(_xlfn.XLOOKUP(G83,Listas!E:E,Listas!F:F,""),"")</f>
        <v>Operativo</v>
      </c>
      <c r="I83" s="46" t="str">
        <f>IFERROR(_xlfn.XLOOKUP(G83,Listas!E:E,Listas!G:G,""),"")</f>
        <v>Externo</v>
      </c>
      <c r="J83" s="43">
        <v>16493.77</v>
      </c>
      <c r="K83" s="5">
        <f t="shared" si="1"/>
        <v>16493.77</v>
      </c>
      <c r="L83" s="6" t="s">
        <v>93</v>
      </c>
      <c r="M83" s="44">
        <f>SUMIFS('Saldos Iniciales'!$D:$D,'Saldos Iniciales'!$A:$A,C83,'Saldos Iniciales'!$B:$B,D83)+SUMIFS($K$1:$K$1324,$C$1:$C$1324,C83,$D$1:$D$1324,D83,$B$1:$B$1324,"&lt;="&amp;B83)</f>
        <v>1242679.67</v>
      </c>
      <c r="N83" s="61">
        <f>IF(tblMovimientos[[#This Row],[Tipo de Movimiento]]="Ingreso",tblMovimientos[[#This Row],[Monto (S/)]],"0")</f>
        <v>16493.77</v>
      </c>
      <c r="O83" s="61" t="str">
        <f>IF(tblMovimientos[[#This Row],[Tipo de Movimiento]]="Egreso",tblMovimientos[[#This Row],[Monto (S/)]],"0")</f>
        <v>0</v>
      </c>
      <c r="P83" s="28">
        <f>IF(tblMovimientos[[#This Row],[Tipo de Movimiento]]="Ingreso",tblMovimientos[[#This Row],[Ingreso]],-tblMovimientos[[#This Row],[Egreso]])</f>
        <v>16493.77</v>
      </c>
      <c r="Q83" s="78" t="str">
        <f>_xlfn.XLOOKUP(tblMovimientos[[#This Row],[Cuenta Bancaria]],Cuentas!$C:$C,Cuentas!$A:$A,"")&amp;""</f>
        <v>SSP Group</v>
      </c>
      <c r="R83" s="78" t="str">
        <f>_xlfn.XLOOKUP(tblMovimientos[[#This Row],[Cuenta Bancaria]],Cuentas!$C:$C,Cuentas!$B:$B,"",0,-1)&amp;""</f>
        <v/>
      </c>
    </row>
    <row r="84" spans="2:18" x14ac:dyDescent="0.3">
      <c r="B84" s="39">
        <v>46155</v>
      </c>
      <c r="C84" s="4" t="str">
        <f>_xlfn.XLOOKUP(tblMovimientos[[#This Row],[Cuenta Bancaria]],Listas!$B:$B,Listas!$A:$A,"")</f>
        <v>2515 Overbrook</v>
      </c>
      <c r="D84" s="40" t="s">
        <v>121</v>
      </c>
      <c r="E84" s="4" t="str">
        <f>_xlfn.XLOOKUP(tblMovimientos[[#This Row],[Cuenta Bancaria]],Listas!$B:$B,Listas!$C:$C,"")</f>
        <v>Bank of America</v>
      </c>
      <c r="F84" s="41" t="s">
        <v>10</v>
      </c>
      <c r="G84" s="40" t="s">
        <v>38</v>
      </c>
      <c r="H84" s="4" t="str">
        <f>IFERROR(_xlfn.XLOOKUP(G84,Listas!E:E,Listas!F:F,""),"")</f>
        <v>Operativo</v>
      </c>
      <c r="I84" s="46" t="str">
        <f>IFERROR(_xlfn.XLOOKUP(G84,Listas!E:E,Listas!G:G,""),"")</f>
        <v>Externo</v>
      </c>
      <c r="J84" s="43">
        <v>850</v>
      </c>
      <c r="K84" s="5">
        <f t="shared" si="1"/>
        <v>-850</v>
      </c>
      <c r="L84" s="6" t="s">
        <v>93</v>
      </c>
      <c r="M84" s="44">
        <f>SUMIFS('Saldos Iniciales'!$D:$D,'Saldos Iniciales'!$A:$A,C84,'Saldos Iniciales'!$B:$B,D84)+SUMIFS($K$1:$K$1324,$C$1:$C$1324,C84,$D$1:$D$1324,D84,$B$1:$B$1324,"&lt;="&amp;B84)</f>
        <v>17902.179999999964</v>
      </c>
      <c r="N84" s="61" t="str">
        <f>IF(tblMovimientos[[#This Row],[Tipo de Movimiento]]="Ingreso",tblMovimientos[[#This Row],[Monto (S/)]],"0")</f>
        <v>0</v>
      </c>
      <c r="O84" s="61">
        <f>IF(tblMovimientos[[#This Row],[Tipo de Movimiento]]="Egreso",tblMovimientos[[#This Row],[Monto (S/)]],"0")</f>
        <v>850</v>
      </c>
      <c r="P84" s="28">
        <f>IF(tblMovimientos[[#This Row],[Tipo de Movimiento]]="Ingreso",tblMovimientos[[#This Row],[Ingreso]],-tblMovimientos[[#This Row],[Egreso]])</f>
        <v>-850</v>
      </c>
      <c r="Q84" s="78" t="str">
        <f>_xlfn.XLOOKUP(tblMovimientos[[#This Row],[Cuenta Bancaria]],Cuentas!$C:$C,Cuentas!$A:$A,"")&amp;""</f>
        <v>SSP Group</v>
      </c>
      <c r="R84" s="78" t="str">
        <f>_xlfn.XLOOKUP(tblMovimientos[[#This Row],[Cuenta Bancaria]],Cuentas!$C:$C,Cuentas!$B:$B,"",0,-1)&amp;""</f>
        <v/>
      </c>
    </row>
    <row r="85" spans="2:18" x14ac:dyDescent="0.3">
      <c r="B85" s="39">
        <v>46155</v>
      </c>
      <c r="C85" s="4" t="str">
        <f>_xlfn.XLOOKUP(tblMovimientos[[#This Row],[Cuenta Bancaria]],Listas!$B:$B,Listas!$A:$A,"")</f>
        <v>Cross Security Trust</v>
      </c>
      <c r="D85" s="40" t="s">
        <v>112</v>
      </c>
      <c r="E85" s="4" t="str">
        <f>_xlfn.XLOOKUP(tblMovimientos[[#This Row],[Cuenta Bancaria]],Listas!$B:$B,Listas!$C:$C,"")</f>
        <v>Bank of America</v>
      </c>
      <c r="F85" s="41" t="s">
        <v>9</v>
      </c>
      <c r="G85" s="40" t="s">
        <v>87</v>
      </c>
      <c r="H85" s="4" t="str">
        <f>IFERROR(_xlfn.XLOOKUP(G85,Listas!E:E,Listas!F:F,""),"")</f>
        <v>Operativo</v>
      </c>
      <c r="I85" s="46" t="str">
        <f>IFERROR(_xlfn.XLOOKUP(G85,Listas!E:E,Listas!G:G,""),"")</f>
        <v>Externo</v>
      </c>
      <c r="J85" s="43">
        <v>1.78</v>
      </c>
      <c r="K85" s="5">
        <f t="shared" si="1"/>
        <v>1.78</v>
      </c>
      <c r="L85" s="6" t="s">
        <v>93</v>
      </c>
      <c r="M85" s="44">
        <f>SUMIFS('Saldos Iniciales'!$D:$D,'Saldos Iniciales'!$A:$A,C85,'Saldos Iniciales'!$B:$B,D85)+SUMIFS($K$1:$K$1324,$C$1:$C$1324,C85,$D$1:$D$1324,D85,$B$1:$B$1324,"&lt;="&amp;B85)</f>
        <v>13090.37</v>
      </c>
      <c r="N85" s="61">
        <f>IF(tblMovimientos[[#This Row],[Tipo de Movimiento]]="Ingreso",tblMovimientos[[#This Row],[Monto (S/)]],"0")</f>
        <v>1.78</v>
      </c>
      <c r="O85" s="61" t="str">
        <f>IF(tblMovimientos[[#This Row],[Tipo de Movimiento]]="Egreso",tblMovimientos[[#This Row],[Monto (S/)]],"0")</f>
        <v>0</v>
      </c>
      <c r="P85" s="28">
        <f>IF(tblMovimientos[[#This Row],[Tipo de Movimiento]]="Ingreso",tblMovimientos[[#This Row],[Ingreso]],-tblMovimientos[[#This Row],[Egreso]])</f>
        <v>1.78</v>
      </c>
      <c r="Q85" s="78" t="str">
        <f>_xlfn.XLOOKUP(tblMovimientos[[#This Row],[Cuenta Bancaria]],Cuentas!$C:$C,Cuentas!$A:$A,"")&amp;""</f>
        <v>SSP Group</v>
      </c>
      <c r="R85" s="78" t="str">
        <f>_xlfn.XLOOKUP(tblMovimientos[[#This Row],[Cuenta Bancaria]],Cuentas!$C:$C,Cuentas!$B:$B,"",0,-1)&amp;""</f>
        <v>Trust</v>
      </c>
    </row>
    <row r="86" spans="2:18" x14ac:dyDescent="0.3">
      <c r="B86" s="39">
        <v>46155</v>
      </c>
      <c r="C86" s="4" t="str">
        <f>_xlfn.XLOOKUP(tblMovimientos[[#This Row],[Cuenta Bancaria]],Listas!$B:$B,Listas!$A:$A,"")</f>
        <v>Electrama</v>
      </c>
      <c r="D86" s="40" t="s">
        <v>113</v>
      </c>
      <c r="E86" s="4" t="str">
        <f>_xlfn.XLOOKUP(tblMovimientos[[#This Row],[Cuenta Bancaria]],Listas!$B:$B,Listas!$C:$C,"")</f>
        <v>Chase Bank</v>
      </c>
      <c r="F86" s="41" t="s">
        <v>10</v>
      </c>
      <c r="G86" s="40" t="s">
        <v>38</v>
      </c>
      <c r="H86" s="4" t="str">
        <f>IFERROR(_xlfn.XLOOKUP(G86,Listas!E:E,Listas!F:F,""),"")</f>
        <v>Operativo</v>
      </c>
      <c r="I86" s="46" t="str">
        <f>IFERROR(_xlfn.XLOOKUP(G86,Listas!E:E,Listas!G:G,""),"")</f>
        <v>Externo</v>
      </c>
      <c r="J86" s="43">
        <v>1270.43</v>
      </c>
      <c r="K86" s="5">
        <f t="shared" si="1"/>
        <v>-1270.43</v>
      </c>
      <c r="L86" s="6" t="s">
        <v>93</v>
      </c>
      <c r="M86" s="44">
        <f>SUMIFS('Saldos Iniciales'!$D:$D,'Saldos Iniciales'!$A:$A,C86,'Saldos Iniciales'!$B:$B,D86)+SUMIFS($K$1:$K$1324,$C$1:$C$1324,C86,$D$1:$D$1324,D86,$B$1:$B$1324,"&lt;="&amp;B86)</f>
        <v>1781.59</v>
      </c>
      <c r="N86" s="61" t="str">
        <f>IF(tblMovimientos[[#This Row],[Tipo de Movimiento]]="Ingreso",tblMovimientos[[#This Row],[Monto (S/)]],"0")</f>
        <v>0</v>
      </c>
      <c r="O86" s="61">
        <f>IF(tblMovimientos[[#This Row],[Tipo de Movimiento]]="Egreso",tblMovimientos[[#This Row],[Monto (S/)]],"0")</f>
        <v>1270.43</v>
      </c>
      <c r="P86" s="28">
        <f>IF(tblMovimientos[[#This Row],[Tipo de Movimiento]]="Ingreso",tblMovimientos[[#This Row],[Ingreso]],-tblMovimientos[[#This Row],[Egreso]])</f>
        <v>-1270.43</v>
      </c>
      <c r="Q86" s="78" t="str">
        <f>_xlfn.XLOOKUP(tblMovimientos[[#This Row],[Cuenta Bancaria]],Cuentas!$C:$C,Cuentas!$A:$A,"")&amp;""</f>
        <v>SSP Group</v>
      </c>
      <c r="R86" s="78" t="str">
        <f>_xlfn.XLOOKUP(tblMovimientos[[#This Row],[Cuenta Bancaria]],Cuentas!$C:$C,Cuentas!$B:$B,"",0,-1)&amp;""</f>
        <v/>
      </c>
    </row>
    <row r="87" spans="2:18" x14ac:dyDescent="0.3">
      <c r="B87" s="39">
        <v>46156</v>
      </c>
      <c r="C87" s="4" t="str">
        <f>_xlfn.XLOOKUP(tblMovimientos[[#This Row],[Cuenta Bancaria]],Listas!$B:$B,Listas!$A:$A,"")</f>
        <v>Go Blue</v>
      </c>
      <c r="D87" s="40" t="s">
        <v>126</v>
      </c>
      <c r="E87" s="4" t="str">
        <f>_xlfn.XLOOKUP(tblMovimientos[[#This Row],[Cuenta Bancaria]],Listas!$B:$B,Listas!$C:$C,"")</f>
        <v xml:space="preserve">Amerant Bank </v>
      </c>
      <c r="F87" s="41" t="s">
        <v>10</v>
      </c>
      <c r="G87" s="40" t="s">
        <v>44</v>
      </c>
      <c r="H87" s="4" t="str">
        <f>IFERROR(_xlfn.XLOOKUP(G87,Listas!E:E,Listas!F:F,""),"")</f>
        <v>Operativo</v>
      </c>
      <c r="I87" s="46" t="str">
        <f>IFERROR(_xlfn.XLOOKUP(G87,Listas!E:E,Listas!G:G,""),"")</f>
        <v>Externo</v>
      </c>
      <c r="J87" s="43">
        <v>15</v>
      </c>
      <c r="K87" s="5">
        <f t="shared" si="1"/>
        <v>-15</v>
      </c>
      <c r="L87" s="6" t="s">
        <v>93</v>
      </c>
      <c r="M87" s="44">
        <f>SUMIFS('Saldos Iniciales'!$D:$D,'Saldos Iniciales'!$A:$A,C87,'Saldos Iniciales'!$B:$B,D87)+SUMIFS($K$1:$K$1324,$C$1:$C$1324,C87,$D$1:$D$1324,D87,$B$1:$B$1324,"&lt;="&amp;B87)</f>
        <v>14226.59</v>
      </c>
      <c r="N87" s="61" t="str">
        <f>IF(tblMovimientos[[#This Row],[Tipo de Movimiento]]="Ingreso",tblMovimientos[[#This Row],[Monto (S/)]],"0")</f>
        <v>0</v>
      </c>
      <c r="O87" s="61">
        <f>IF(tblMovimientos[[#This Row],[Tipo de Movimiento]]="Egreso",tblMovimientos[[#This Row],[Monto (S/)]],"0")</f>
        <v>15</v>
      </c>
      <c r="P87" s="28">
        <f>IF(tblMovimientos[[#This Row],[Tipo de Movimiento]]="Ingreso",tblMovimientos[[#This Row],[Ingreso]],-tblMovimientos[[#This Row],[Egreso]])</f>
        <v>-15</v>
      </c>
      <c r="Q87" s="78" t="str">
        <f>_xlfn.XLOOKUP(tblMovimientos[[#This Row],[Cuenta Bancaria]],Cuentas!$C:$C,Cuentas!$A:$A,"")&amp;""</f>
        <v>SSP Group</v>
      </c>
      <c r="R87" s="78" t="str">
        <f>_xlfn.XLOOKUP(tblMovimientos[[#This Row],[Cuenta Bancaria]],Cuentas!$C:$C,Cuentas!$B:$B,"",0,-1)&amp;""</f>
        <v/>
      </c>
    </row>
    <row r="88" spans="2:18" x14ac:dyDescent="0.3">
      <c r="B88" s="39">
        <v>46156</v>
      </c>
      <c r="C88" s="4" t="str">
        <f>_xlfn.XLOOKUP(tblMovimientos[[#This Row],[Cuenta Bancaria]],Listas!$B:$B,Listas!$A:$A,"")</f>
        <v>SSP Capital</v>
      </c>
      <c r="D88" s="40" t="s">
        <v>104</v>
      </c>
      <c r="E88" s="4" t="str">
        <f>_xlfn.XLOOKUP(tblMovimientos[[#This Row],[Cuenta Bancaria]],Listas!$B:$B,Listas!$C:$C,"")</f>
        <v xml:space="preserve">Amerant Bank </v>
      </c>
      <c r="F88" s="41" t="s">
        <v>10</v>
      </c>
      <c r="G88" s="40" t="s">
        <v>38</v>
      </c>
      <c r="H88" s="4" t="str">
        <f>IFERROR(_xlfn.XLOOKUP(G88,Listas!E:E,Listas!F:F,""),"")</f>
        <v>Operativo</v>
      </c>
      <c r="I88" s="46" t="str">
        <f>IFERROR(_xlfn.XLOOKUP(G88,Listas!E:E,Listas!G:G,""),"")</f>
        <v>Externo</v>
      </c>
      <c r="J88" s="43">
        <v>295</v>
      </c>
      <c r="K88" s="5">
        <f t="shared" si="1"/>
        <v>-295</v>
      </c>
      <c r="L88" s="6" t="s">
        <v>93</v>
      </c>
      <c r="M88" s="44">
        <f>SUMIFS('Saldos Iniciales'!$D:$D,'Saldos Iniciales'!$A:$A,C88,'Saldos Iniciales'!$B:$B,D88)+SUMIFS($K$1:$K$1324,$C$1:$C$1324,C88,$D$1:$D$1324,D88,$B$1:$B$1324,"&lt;="&amp;B88)</f>
        <v>176117.51999999938</v>
      </c>
      <c r="N88" s="61" t="str">
        <f>IF(tblMovimientos[[#This Row],[Tipo de Movimiento]]="Ingreso",tblMovimientos[[#This Row],[Monto (S/)]],"0")</f>
        <v>0</v>
      </c>
      <c r="O88" s="61">
        <f>IF(tblMovimientos[[#This Row],[Tipo de Movimiento]]="Egreso",tblMovimientos[[#This Row],[Monto (S/)]],"0")</f>
        <v>295</v>
      </c>
      <c r="P88" s="28">
        <f>IF(tblMovimientos[[#This Row],[Tipo de Movimiento]]="Ingreso",tblMovimientos[[#This Row],[Ingreso]],-tblMovimientos[[#This Row],[Egreso]])</f>
        <v>-295</v>
      </c>
      <c r="Q88" s="78" t="str">
        <f>_xlfn.XLOOKUP(tblMovimientos[[#This Row],[Cuenta Bancaria]],Cuentas!$C:$C,Cuentas!$A:$A,"")&amp;""</f>
        <v>SSP Group</v>
      </c>
      <c r="R88" s="78" t="str">
        <f>_xlfn.XLOOKUP(tblMovimientos[[#This Row],[Cuenta Bancaria]],Cuentas!$C:$C,Cuentas!$B:$B,"",0,-1)&amp;""</f>
        <v/>
      </c>
    </row>
    <row r="89" spans="2:18" x14ac:dyDescent="0.3">
      <c r="B89" s="39">
        <v>46156</v>
      </c>
      <c r="C89" s="4" t="str">
        <f>_xlfn.XLOOKUP(tblMovimientos[[#This Row],[Cuenta Bancaria]],Listas!$B:$B,Listas!$A:$A,"")</f>
        <v>SSP Capital</v>
      </c>
      <c r="D89" s="40" t="s">
        <v>104</v>
      </c>
      <c r="E89" s="4" t="str">
        <f>_xlfn.XLOOKUP(tblMovimientos[[#This Row],[Cuenta Bancaria]],Listas!$B:$B,Listas!$C:$C,"")</f>
        <v xml:space="preserve">Amerant Bank </v>
      </c>
      <c r="F89" s="41" t="s">
        <v>10</v>
      </c>
      <c r="G89" s="40" t="s">
        <v>46</v>
      </c>
      <c r="H89" s="4" t="str">
        <f>IFERROR(_xlfn.XLOOKUP(G89,Listas!E:E,Listas!F:F,""),"")</f>
        <v>Financiamiento</v>
      </c>
      <c r="I89" s="46" t="str">
        <f>IFERROR(_xlfn.XLOOKUP(G89,Listas!E:E,Listas!G:G,""),"")</f>
        <v>Externo</v>
      </c>
      <c r="J89" s="43">
        <v>7083.33</v>
      </c>
      <c r="K89" s="5">
        <f t="shared" si="1"/>
        <v>-7083.33</v>
      </c>
      <c r="L89" s="6" t="s">
        <v>93</v>
      </c>
      <c r="M89" s="44">
        <f>SUMIFS('Saldos Iniciales'!$D:$D,'Saldos Iniciales'!$A:$A,C89,'Saldos Iniciales'!$B:$B,D89)+SUMIFS($K$1:$K$1324,$C$1:$C$1324,C89,$D$1:$D$1324,D89,$B$1:$B$1324,"&lt;="&amp;B89)</f>
        <v>176117.51999999938</v>
      </c>
      <c r="N89" s="61" t="str">
        <f>IF(tblMovimientos[[#This Row],[Tipo de Movimiento]]="Ingreso",tblMovimientos[[#This Row],[Monto (S/)]],"0")</f>
        <v>0</v>
      </c>
      <c r="O89" s="61">
        <f>IF(tblMovimientos[[#This Row],[Tipo de Movimiento]]="Egreso",tblMovimientos[[#This Row],[Monto (S/)]],"0")</f>
        <v>7083.33</v>
      </c>
      <c r="P89" s="28">
        <f>IF(tblMovimientos[[#This Row],[Tipo de Movimiento]]="Ingreso",tblMovimientos[[#This Row],[Ingreso]],-tblMovimientos[[#This Row],[Egreso]])</f>
        <v>-7083.33</v>
      </c>
      <c r="Q89" s="78" t="str">
        <f>_xlfn.XLOOKUP(tblMovimientos[[#This Row],[Cuenta Bancaria]],Cuentas!$C:$C,Cuentas!$A:$A,"")&amp;""</f>
        <v>SSP Group</v>
      </c>
      <c r="R89" s="78" t="str">
        <f>_xlfn.XLOOKUP(tblMovimientos[[#This Row],[Cuenta Bancaria]],Cuentas!$C:$C,Cuentas!$B:$B,"",0,-1)&amp;""</f>
        <v/>
      </c>
    </row>
    <row r="90" spans="2:18" x14ac:dyDescent="0.3">
      <c r="B90" s="39">
        <v>46156</v>
      </c>
      <c r="C90" s="4" t="str">
        <f>_xlfn.XLOOKUP(tblMovimientos[[#This Row],[Cuenta Bancaria]],Listas!$B:$B,Listas!$A:$A,"")</f>
        <v>A&amp;M Imports</v>
      </c>
      <c r="D90" s="40" t="s">
        <v>100</v>
      </c>
      <c r="E90" s="4" t="str">
        <f>_xlfn.XLOOKUP(tblMovimientos[[#This Row],[Cuenta Bancaria]],Listas!$B:$B,Listas!$C:$C,"")</f>
        <v>Bank of America</v>
      </c>
      <c r="F90" s="41" t="s">
        <v>10</v>
      </c>
      <c r="G90" s="40" t="s">
        <v>61</v>
      </c>
      <c r="H90" s="4" t="str">
        <f>IFERROR(_xlfn.XLOOKUP(G90,Listas!E:E,Listas!F:F,""),"")</f>
        <v>Operativo</v>
      </c>
      <c r="I90" s="46" t="str">
        <f>IFERROR(_xlfn.XLOOKUP(G90,Listas!E:E,Listas!G:G,""),"")</f>
        <v>Externo</v>
      </c>
      <c r="J90" s="43">
        <v>200000</v>
      </c>
      <c r="K90" s="5">
        <f t="shared" si="1"/>
        <v>-200000</v>
      </c>
      <c r="L90" s="6" t="s">
        <v>93</v>
      </c>
      <c r="M90" s="44">
        <f>SUMIFS('Saldos Iniciales'!$D:$D,'Saldos Iniciales'!$A:$A,C90,'Saldos Iniciales'!$B:$B,D90)+SUMIFS($K$1:$K$1324,$C$1:$C$1324,C90,$D$1:$D$1324,D90,$B$1:$B$1324,"&lt;="&amp;B90)</f>
        <v>832679.66999999981</v>
      </c>
      <c r="N90" s="61" t="str">
        <f>IF(tblMovimientos[[#This Row],[Tipo de Movimiento]]="Ingreso",tblMovimientos[[#This Row],[Monto (S/)]],"0")</f>
        <v>0</v>
      </c>
      <c r="O90" s="61">
        <f>IF(tblMovimientos[[#This Row],[Tipo de Movimiento]]="Egreso",tblMovimientos[[#This Row],[Monto (S/)]],"0")</f>
        <v>200000</v>
      </c>
      <c r="P90" s="28">
        <f>IF(tblMovimientos[[#This Row],[Tipo de Movimiento]]="Ingreso",tblMovimientos[[#This Row],[Ingreso]],-tblMovimientos[[#This Row],[Egreso]])</f>
        <v>-200000</v>
      </c>
      <c r="Q90" s="78" t="str">
        <f>_xlfn.XLOOKUP(tblMovimientos[[#This Row],[Cuenta Bancaria]],Cuentas!$C:$C,Cuentas!$A:$A,"")&amp;""</f>
        <v>SSP Group</v>
      </c>
      <c r="R90" s="78" t="str">
        <f>_xlfn.XLOOKUP(tblMovimientos[[#This Row],[Cuenta Bancaria]],Cuentas!$C:$C,Cuentas!$B:$B,"",0,-1)&amp;""</f>
        <v/>
      </c>
    </row>
    <row r="91" spans="2:18" x14ac:dyDescent="0.3">
      <c r="B91" s="39">
        <v>46156</v>
      </c>
      <c r="C91" s="4" t="str">
        <f>_xlfn.XLOOKUP(tblMovimientos[[#This Row],[Cuenta Bancaria]],Listas!$B:$B,Listas!$A:$A,"")</f>
        <v>A&amp;M Imports</v>
      </c>
      <c r="D91" s="40" t="s">
        <v>100</v>
      </c>
      <c r="E91" s="4" t="str">
        <f>_xlfn.XLOOKUP(tblMovimientos[[#This Row],[Cuenta Bancaria]],Listas!$B:$B,Listas!$C:$C,"")</f>
        <v>Bank of America</v>
      </c>
      <c r="F91" s="41" t="s">
        <v>10</v>
      </c>
      <c r="G91" s="40" t="s">
        <v>61</v>
      </c>
      <c r="H91" s="4" t="str">
        <f>IFERROR(_xlfn.XLOOKUP(G91,Listas!E:E,Listas!F:F,""),"")</f>
        <v>Operativo</v>
      </c>
      <c r="I91" s="46" t="str">
        <f>IFERROR(_xlfn.XLOOKUP(G91,Listas!E:E,Listas!G:G,""),"")</f>
        <v>Externo</v>
      </c>
      <c r="J91" s="43">
        <v>60000</v>
      </c>
      <c r="K91" s="5">
        <f t="shared" si="1"/>
        <v>-60000</v>
      </c>
      <c r="L91" s="6" t="s">
        <v>93</v>
      </c>
      <c r="M91" s="44">
        <f>SUMIFS('Saldos Iniciales'!$D:$D,'Saldos Iniciales'!$A:$A,C91,'Saldos Iniciales'!$B:$B,D91)+SUMIFS($K$1:$K$1324,$C$1:$C$1324,C91,$D$1:$D$1324,D91,$B$1:$B$1324,"&lt;="&amp;B91)</f>
        <v>832679.66999999981</v>
      </c>
      <c r="N91" s="61" t="str">
        <f>IF(tblMovimientos[[#This Row],[Tipo de Movimiento]]="Ingreso",tblMovimientos[[#This Row],[Monto (S/)]],"0")</f>
        <v>0</v>
      </c>
      <c r="O91" s="61">
        <f>IF(tblMovimientos[[#This Row],[Tipo de Movimiento]]="Egreso",tblMovimientos[[#This Row],[Monto (S/)]],"0")</f>
        <v>60000</v>
      </c>
      <c r="P91" s="28">
        <f>IF(tblMovimientos[[#This Row],[Tipo de Movimiento]]="Ingreso",tblMovimientos[[#This Row],[Ingreso]],-tblMovimientos[[#This Row],[Egreso]])</f>
        <v>-60000</v>
      </c>
      <c r="Q91" s="78" t="str">
        <f>_xlfn.XLOOKUP(tblMovimientos[[#This Row],[Cuenta Bancaria]],Cuentas!$C:$C,Cuentas!$A:$A,"")&amp;""</f>
        <v>SSP Group</v>
      </c>
      <c r="R91" s="78" t="str">
        <f>_xlfn.XLOOKUP(tblMovimientos[[#This Row],[Cuenta Bancaria]],Cuentas!$C:$C,Cuentas!$B:$B,"",0,-1)&amp;""</f>
        <v/>
      </c>
    </row>
    <row r="92" spans="2:18" x14ac:dyDescent="0.3">
      <c r="B92" s="39">
        <v>46156</v>
      </c>
      <c r="C92" s="4" t="str">
        <f>_xlfn.XLOOKUP(tblMovimientos[[#This Row],[Cuenta Bancaria]],Listas!$B:$B,Listas!$A:$A,"")</f>
        <v>A&amp;M Imports</v>
      </c>
      <c r="D92" s="40" t="s">
        <v>100</v>
      </c>
      <c r="E92" s="4" t="str">
        <f>_xlfn.XLOOKUP(tblMovimientos[[#This Row],[Cuenta Bancaria]],Listas!$B:$B,Listas!$C:$C,"")</f>
        <v>Bank of America</v>
      </c>
      <c r="F92" s="41" t="s">
        <v>10</v>
      </c>
      <c r="G92" s="40" t="s">
        <v>61</v>
      </c>
      <c r="H92" s="4" t="str">
        <f>IFERROR(_xlfn.XLOOKUP(G92,Listas!E:E,Listas!F:F,""),"")</f>
        <v>Operativo</v>
      </c>
      <c r="I92" s="46" t="str">
        <f>IFERROR(_xlfn.XLOOKUP(G92,Listas!E:E,Listas!G:G,""),"")</f>
        <v>Externo</v>
      </c>
      <c r="J92" s="43">
        <v>150000</v>
      </c>
      <c r="K92" s="5">
        <f t="shared" si="1"/>
        <v>-150000</v>
      </c>
      <c r="L92" s="6" t="s">
        <v>93</v>
      </c>
      <c r="M92" s="44">
        <f>SUMIFS('Saldos Iniciales'!$D:$D,'Saldos Iniciales'!$A:$A,C92,'Saldos Iniciales'!$B:$B,D92)+SUMIFS($K$1:$K$1324,$C$1:$C$1324,C92,$D$1:$D$1324,D92,$B$1:$B$1324,"&lt;="&amp;B92)</f>
        <v>832679.66999999981</v>
      </c>
      <c r="N92" s="61" t="str">
        <f>IF(tblMovimientos[[#This Row],[Tipo de Movimiento]]="Ingreso",tblMovimientos[[#This Row],[Monto (S/)]],"0")</f>
        <v>0</v>
      </c>
      <c r="O92" s="61">
        <f>IF(tblMovimientos[[#This Row],[Tipo de Movimiento]]="Egreso",tblMovimientos[[#This Row],[Monto (S/)]],"0")</f>
        <v>150000</v>
      </c>
      <c r="P92" s="28">
        <f>IF(tblMovimientos[[#This Row],[Tipo de Movimiento]]="Ingreso",tblMovimientos[[#This Row],[Ingreso]],-tblMovimientos[[#This Row],[Egreso]])</f>
        <v>-150000</v>
      </c>
      <c r="Q92" s="78" t="str">
        <f>_xlfn.XLOOKUP(tblMovimientos[[#This Row],[Cuenta Bancaria]],Cuentas!$C:$C,Cuentas!$A:$A,"")&amp;""</f>
        <v>SSP Group</v>
      </c>
      <c r="R92" s="78" t="str">
        <f>_xlfn.XLOOKUP(tblMovimientos[[#This Row],[Cuenta Bancaria]],Cuentas!$C:$C,Cuentas!$B:$B,"",0,-1)&amp;""</f>
        <v/>
      </c>
    </row>
    <row r="93" spans="2:18" x14ac:dyDescent="0.3">
      <c r="B93" s="39">
        <v>46156</v>
      </c>
      <c r="C93" s="4" t="str">
        <f>_xlfn.XLOOKUP(tblMovimientos[[#This Row],[Cuenta Bancaria]],Listas!$B:$B,Listas!$A:$A,"")</f>
        <v>CFT Group</v>
      </c>
      <c r="D93" s="40" t="s">
        <v>94</v>
      </c>
      <c r="E93" s="4" t="str">
        <f>_xlfn.XLOOKUP(tblMovimientos[[#This Row],[Cuenta Bancaria]],Listas!$B:$B,Listas!$C:$C,"")</f>
        <v>Bank of America</v>
      </c>
      <c r="F93" s="41" t="s">
        <v>10</v>
      </c>
      <c r="G93" s="40" t="s">
        <v>61</v>
      </c>
      <c r="H93" s="4" t="str">
        <f>IFERROR(_xlfn.XLOOKUP(G93,Listas!E:E,Listas!F:F,""),"")</f>
        <v>Operativo</v>
      </c>
      <c r="I93" s="46" t="str">
        <f>IFERROR(_xlfn.XLOOKUP(G93,Listas!E:E,Listas!G:G,""),"")</f>
        <v>Externo</v>
      </c>
      <c r="J93" s="43">
        <v>100000</v>
      </c>
      <c r="K93" s="5">
        <f t="shared" si="1"/>
        <v>-100000</v>
      </c>
      <c r="L93" s="6" t="s">
        <v>93</v>
      </c>
      <c r="M93" s="44">
        <f>SUMIFS('Saldos Iniciales'!$D:$D,'Saldos Iniciales'!$A:$A,C93,'Saldos Iniciales'!$B:$B,D93)+SUMIFS($K$1:$K$1324,$C$1:$C$1324,C93,$D$1:$D$1324,D93,$B$1:$B$1324,"&lt;="&amp;B93)</f>
        <v>11613.909999999974</v>
      </c>
      <c r="N93" s="61" t="str">
        <f>IF(tblMovimientos[[#This Row],[Tipo de Movimiento]]="Ingreso",tblMovimientos[[#This Row],[Monto (S/)]],"0")</f>
        <v>0</v>
      </c>
      <c r="O93" s="61">
        <f>IF(tblMovimientos[[#This Row],[Tipo de Movimiento]]="Egreso",tblMovimientos[[#This Row],[Monto (S/)]],"0")</f>
        <v>100000</v>
      </c>
      <c r="P93" s="28">
        <f>IF(tblMovimientos[[#This Row],[Tipo de Movimiento]]="Ingreso",tblMovimientos[[#This Row],[Ingreso]],-tblMovimientos[[#This Row],[Egreso]])</f>
        <v>-100000</v>
      </c>
      <c r="Q93" s="78" t="str">
        <f>_xlfn.XLOOKUP(tblMovimientos[[#This Row],[Cuenta Bancaria]],Cuentas!$C:$C,Cuentas!$A:$A,"")&amp;""</f>
        <v>SSP Group</v>
      </c>
      <c r="R93" s="78" t="str">
        <f>_xlfn.XLOOKUP(tblMovimientos[[#This Row],[Cuenta Bancaria]],Cuentas!$C:$C,Cuentas!$B:$B,"",0,-1)&amp;""</f>
        <v/>
      </c>
    </row>
    <row r="94" spans="2:18" x14ac:dyDescent="0.3">
      <c r="B94" s="39">
        <v>46156</v>
      </c>
      <c r="C94" s="4" t="str">
        <f>_xlfn.XLOOKUP(tblMovimientos[[#This Row],[Cuenta Bancaria]],Listas!$B:$B,Listas!$A:$A,"")</f>
        <v>CFT Group</v>
      </c>
      <c r="D94" s="40" t="s">
        <v>94</v>
      </c>
      <c r="E94" s="4" t="str">
        <f>_xlfn.XLOOKUP(tblMovimientos[[#This Row],[Cuenta Bancaria]],Listas!$B:$B,Listas!$C:$C,"")</f>
        <v>Bank of America</v>
      </c>
      <c r="F94" s="41" t="s">
        <v>10</v>
      </c>
      <c r="G94" s="40" t="s">
        <v>64</v>
      </c>
      <c r="H94" s="4" t="str">
        <f>IFERROR(_xlfn.XLOOKUP(G94,Listas!E:E,Listas!F:F,""),"")</f>
        <v>Operativo</v>
      </c>
      <c r="I94" s="46" t="str">
        <f>IFERROR(_xlfn.XLOOKUP(G94,Listas!E:E,Listas!G:G,""),"")</f>
        <v>Interno</v>
      </c>
      <c r="J94" s="43">
        <v>50000</v>
      </c>
      <c r="K94" s="5">
        <f t="shared" si="1"/>
        <v>-50000</v>
      </c>
      <c r="L94" s="6" t="s">
        <v>93</v>
      </c>
      <c r="M94" s="44">
        <f>SUMIFS('Saldos Iniciales'!$D:$D,'Saldos Iniciales'!$A:$A,C94,'Saldos Iniciales'!$B:$B,D94)+SUMIFS($K$1:$K$1324,$C$1:$C$1324,C94,$D$1:$D$1324,D94,$B$1:$B$1324,"&lt;="&amp;B94)</f>
        <v>11613.909999999974</v>
      </c>
      <c r="N94" s="61" t="str">
        <f>IF(tblMovimientos[[#This Row],[Tipo de Movimiento]]="Ingreso",tblMovimientos[[#This Row],[Monto (S/)]],"0")</f>
        <v>0</v>
      </c>
      <c r="O94" s="61">
        <f>IF(tblMovimientos[[#This Row],[Tipo de Movimiento]]="Egreso",tblMovimientos[[#This Row],[Monto (S/)]],"0")</f>
        <v>50000</v>
      </c>
      <c r="P94" s="28">
        <f>IF(tblMovimientos[[#This Row],[Tipo de Movimiento]]="Ingreso",tblMovimientos[[#This Row],[Ingreso]],-tblMovimientos[[#This Row],[Egreso]])</f>
        <v>-50000</v>
      </c>
      <c r="Q94" s="78" t="str">
        <f>_xlfn.XLOOKUP(tblMovimientos[[#This Row],[Cuenta Bancaria]],Cuentas!$C:$C,Cuentas!$A:$A,"")&amp;""</f>
        <v>SSP Group</v>
      </c>
      <c r="R94" s="78" t="str">
        <f>_xlfn.XLOOKUP(tblMovimientos[[#This Row],[Cuenta Bancaria]],Cuentas!$C:$C,Cuentas!$B:$B,"",0,-1)&amp;""</f>
        <v/>
      </c>
    </row>
    <row r="95" spans="2:18" x14ac:dyDescent="0.3">
      <c r="B95" s="39">
        <v>46156</v>
      </c>
      <c r="C95" s="4" t="str">
        <f>_xlfn.XLOOKUP(tblMovimientos[[#This Row],[Cuenta Bancaria]],Listas!$B:$B,Listas!$A:$A,"")</f>
        <v>CFT Group</v>
      </c>
      <c r="D95" s="40" t="s">
        <v>94</v>
      </c>
      <c r="E95" s="4" t="str">
        <f>_xlfn.XLOOKUP(tblMovimientos[[#This Row],[Cuenta Bancaria]],Listas!$B:$B,Listas!$C:$C,"")</f>
        <v>Bank of America</v>
      </c>
      <c r="F95" s="41" t="s">
        <v>10</v>
      </c>
      <c r="G95" s="40" t="s">
        <v>44</v>
      </c>
      <c r="H95" s="4" t="str">
        <f>IFERROR(_xlfn.XLOOKUP(G95,Listas!E:E,Listas!F:F,""),"")</f>
        <v>Operativo</v>
      </c>
      <c r="I95" s="46" t="str">
        <f>IFERROR(_xlfn.XLOOKUP(G95,Listas!E:E,Listas!G:G,""),"")</f>
        <v>Externo</v>
      </c>
      <c r="J95" s="43">
        <v>45</v>
      </c>
      <c r="K95" s="5">
        <f t="shared" si="1"/>
        <v>-45</v>
      </c>
      <c r="L95" s="6" t="s">
        <v>93</v>
      </c>
      <c r="M95" s="44">
        <f>SUMIFS('Saldos Iniciales'!$D:$D,'Saldos Iniciales'!$A:$A,C95,'Saldos Iniciales'!$B:$B,D95)+SUMIFS($K$1:$K$1324,$C$1:$C$1324,C95,$D$1:$D$1324,D95,$B$1:$B$1324,"&lt;="&amp;B95)</f>
        <v>11613.909999999974</v>
      </c>
      <c r="N95" s="61" t="str">
        <f>IF(tblMovimientos[[#This Row],[Tipo de Movimiento]]="Ingreso",tblMovimientos[[#This Row],[Monto (S/)]],"0")</f>
        <v>0</v>
      </c>
      <c r="O95" s="61">
        <f>IF(tblMovimientos[[#This Row],[Tipo de Movimiento]]="Egreso",tblMovimientos[[#This Row],[Monto (S/)]],"0")</f>
        <v>45</v>
      </c>
      <c r="P95" s="28">
        <f>IF(tblMovimientos[[#This Row],[Tipo de Movimiento]]="Ingreso",tblMovimientos[[#This Row],[Ingreso]],-tblMovimientos[[#This Row],[Egreso]])</f>
        <v>-45</v>
      </c>
      <c r="Q95" s="78" t="str">
        <f>_xlfn.XLOOKUP(tblMovimientos[[#This Row],[Cuenta Bancaria]],Cuentas!$C:$C,Cuentas!$A:$A,"")&amp;""</f>
        <v>SSP Group</v>
      </c>
      <c r="R95" s="78" t="str">
        <f>_xlfn.XLOOKUP(tblMovimientos[[#This Row],[Cuenta Bancaria]],Cuentas!$C:$C,Cuentas!$B:$B,"",0,-1)&amp;""</f>
        <v/>
      </c>
    </row>
    <row r="96" spans="2:18" x14ac:dyDescent="0.3">
      <c r="B96" s="39">
        <v>46156</v>
      </c>
      <c r="C96" s="4" t="str">
        <f>_xlfn.XLOOKUP(tblMovimientos[[#This Row],[Cuenta Bancaria]],Listas!$B:$B,Listas!$A:$A,"")</f>
        <v>M1B</v>
      </c>
      <c r="D96" s="40" t="s">
        <v>97</v>
      </c>
      <c r="E96" s="4" t="str">
        <f>_xlfn.XLOOKUP(tblMovimientos[[#This Row],[Cuenta Bancaria]],Listas!$B:$B,Listas!$C:$C,"")</f>
        <v xml:space="preserve">Amerant Bank </v>
      </c>
      <c r="F96" s="41" t="s">
        <v>9</v>
      </c>
      <c r="G96" s="40" t="s">
        <v>68</v>
      </c>
      <c r="H96" s="4" t="str">
        <f>IFERROR(_xlfn.XLOOKUP(G96,Listas!E:E,Listas!F:F,""),"")</f>
        <v>Operativo</v>
      </c>
      <c r="I96" s="46" t="str">
        <f>IFERROR(_xlfn.XLOOKUP(G96,Listas!E:E,Listas!G:G,""),"")</f>
        <v>Externo</v>
      </c>
      <c r="J96" s="43">
        <v>920.07</v>
      </c>
      <c r="K96" s="5">
        <f t="shared" si="1"/>
        <v>920.07</v>
      </c>
      <c r="L96" s="6" t="s">
        <v>93</v>
      </c>
      <c r="M96" s="44">
        <f>SUMIFS('Saldos Iniciales'!$D:$D,'Saldos Iniciales'!$A:$A,C96,'Saldos Iniciales'!$B:$B,D96)+SUMIFS($K$1:$K$1324,$C$1:$C$1324,C96,$D$1:$D$1324,D96,$B$1:$B$1324,"&lt;="&amp;B96)</f>
        <v>54760.159999999938</v>
      </c>
      <c r="N96" s="61">
        <f>IF(tblMovimientos[[#This Row],[Tipo de Movimiento]]="Ingreso",tblMovimientos[[#This Row],[Monto (S/)]],"0")</f>
        <v>920.07</v>
      </c>
      <c r="O96" s="61" t="str">
        <f>IF(tblMovimientos[[#This Row],[Tipo de Movimiento]]="Egreso",tblMovimientos[[#This Row],[Monto (S/)]],"0")</f>
        <v>0</v>
      </c>
      <c r="P96" s="28">
        <f>IF(tblMovimientos[[#This Row],[Tipo de Movimiento]]="Ingreso",tblMovimientos[[#This Row],[Ingreso]],-tblMovimientos[[#This Row],[Egreso]])</f>
        <v>920.07</v>
      </c>
      <c r="Q96" s="78" t="str">
        <f>_xlfn.XLOOKUP(tblMovimientos[[#This Row],[Cuenta Bancaria]],Cuentas!$C:$C,Cuentas!$A:$A,"")&amp;""</f>
        <v>SSP Group</v>
      </c>
      <c r="R96" s="78" t="str">
        <f>_xlfn.XLOOKUP(tblMovimientos[[#This Row],[Cuenta Bancaria]],Cuentas!$C:$C,Cuentas!$B:$B,"",0,-1)&amp;""</f>
        <v/>
      </c>
    </row>
    <row r="97" spans="2:18" x14ac:dyDescent="0.3">
      <c r="B97" s="39">
        <v>46156</v>
      </c>
      <c r="C97" s="4" t="str">
        <f>_xlfn.XLOOKUP(tblMovimientos[[#This Row],[Cuenta Bancaria]],Listas!$B:$B,Listas!$A:$A,"")</f>
        <v>CFT Group</v>
      </c>
      <c r="D97" s="40" t="s">
        <v>95</v>
      </c>
      <c r="E97" s="4" t="str">
        <f>_xlfn.XLOOKUP(tblMovimientos[[#This Row],[Cuenta Bancaria]],Listas!$B:$B,Listas!$C:$C,"")</f>
        <v xml:space="preserve">Amerant Bank </v>
      </c>
      <c r="F97" s="41" t="s">
        <v>9</v>
      </c>
      <c r="G97" s="40" t="s">
        <v>85</v>
      </c>
      <c r="H97" s="4" t="str">
        <f>IFERROR(_xlfn.XLOOKUP(G97,Listas!E:E,Listas!F:F,""),"")</f>
        <v>Operativo</v>
      </c>
      <c r="I97" s="46" t="str">
        <f>IFERROR(_xlfn.XLOOKUP(G97,Listas!E:E,Listas!G:G,""),"")</f>
        <v>Interno</v>
      </c>
      <c r="J97" s="43">
        <v>50000</v>
      </c>
      <c r="K97" s="5">
        <f t="shared" si="1"/>
        <v>50000</v>
      </c>
      <c r="L97" s="6" t="s">
        <v>93</v>
      </c>
      <c r="M97" s="44">
        <f>SUMIFS('Saldos Iniciales'!$D:$D,'Saldos Iniciales'!$A:$A,C97,'Saldos Iniciales'!$B:$B,D97)+SUMIFS($K$1:$K$1324,$C$1:$C$1324,C97,$D$1:$D$1324,D97,$B$1:$B$1324,"&lt;="&amp;B97)</f>
        <v>148882.87000000023</v>
      </c>
      <c r="N97" s="61">
        <f>IF(tblMovimientos[[#This Row],[Tipo de Movimiento]]="Ingreso",tblMovimientos[[#This Row],[Monto (S/)]],"0")</f>
        <v>50000</v>
      </c>
      <c r="O97" s="61" t="str">
        <f>IF(tblMovimientos[[#This Row],[Tipo de Movimiento]]="Egreso",tblMovimientos[[#This Row],[Monto (S/)]],"0")</f>
        <v>0</v>
      </c>
      <c r="P97" s="28">
        <f>IF(tblMovimientos[[#This Row],[Tipo de Movimiento]]="Ingreso",tblMovimientos[[#This Row],[Ingreso]],-tblMovimientos[[#This Row],[Egreso]])</f>
        <v>50000</v>
      </c>
      <c r="Q97" s="78" t="str">
        <f>_xlfn.XLOOKUP(tblMovimientos[[#This Row],[Cuenta Bancaria]],Cuentas!$C:$C,Cuentas!$A:$A,"")&amp;""</f>
        <v>SSP Group</v>
      </c>
      <c r="R97" s="78" t="str">
        <f>_xlfn.XLOOKUP(tblMovimientos[[#This Row],[Cuenta Bancaria]],Cuentas!$C:$C,Cuentas!$B:$B,"",0,-1)&amp;""</f>
        <v/>
      </c>
    </row>
    <row r="98" spans="2:18" x14ac:dyDescent="0.3">
      <c r="B98" s="39">
        <v>46156</v>
      </c>
      <c r="C98" s="4" t="str">
        <f>_xlfn.XLOOKUP(tblMovimientos[[#This Row],[Cuenta Bancaria]],Listas!$B:$B,Listas!$A:$A,"")</f>
        <v>CFT Group</v>
      </c>
      <c r="D98" s="40" t="s">
        <v>95</v>
      </c>
      <c r="E98" s="4" t="str">
        <f>_xlfn.XLOOKUP(tblMovimientos[[#This Row],[Cuenta Bancaria]],Listas!$B:$B,Listas!$C:$C,"")</f>
        <v xml:space="preserve">Amerant Bank </v>
      </c>
      <c r="F98" s="41" t="s">
        <v>10</v>
      </c>
      <c r="G98" s="40" t="s">
        <v>46</v>
      </c>
      <c r="H98" s="4" t="str">
        <f>IFERROR(_xlfn.XLOOKUP(G98,Listas!E:E,Listas!F:F,""),"")</f>
        <v>Financiamiento</v>
      </c>
      <c r="I98" s="46" t="str">
        <f>IFERROR(_xlfn.XLOOKUP(G98,Listas!E:E,Listas!G:G,""),"")</f>
        <v>Externo</v>
      </c>
      <c r="J98" s="43">
        <v>5000</v>
      </c>
      <c r="K98" s="5">
        <f t="shared" si="1"/>
        <v>-5000</v>
      </c>
      <c r="L98" s="6" t="s">
        <v>93</v>
      </c>
      <c r="M98" s="44">
        <f>SUMIFS('Saldos Iniciales'!$D:$D,'Saldos Iniciales'!$A:$A,C98,'Saldos Iniciales'!$B:$B,D98)+SUMIFS($K$1:$K$1324,$C$1:$C$1324,C98,$D$1:$D$1324,D98,$B$1:$B$1324,"&lt;="&amp;B98)</f>
        <v>148882.87000000023</v>
      </c>
      <c r="N98" s="61" t="str">
        <f>IF(tblMovimientos[[#This Row],[Tipo de Movimiento]]="Ingreso",tblMovimientos[[#This Row],[Monto (S/)]],"0")</f>
        <v>0</v>
      </c>
      <c r="O98" s="61">
        <f>IF(tblMovimientos[[#This Row],[Tipo de Movimiento]]="Egreso",tblMovimientos[[#This Row],[Monto (S/)]],"0")</f>
        <v>5000</v>
      </c>
      <c r="P98" s="28">
        <f>IF(tblMovimientos[[#This Row],[Tipo de Movimiento]]="Ingreso",tblMovimientos[[#This Row],[Ingreso]],-tblMovimientos[[#This Row],[Egreso]])</f>
        <v>-5000</v>
      </c>
      <c r="Q98" s="78" t="str">
        <f>_xlfn.XLOOKUP(tblMovimientos[[#This Row],[Cuenta Bancaria]],Cuentas!$C:$C,Cuentas!$A:$A,"")&amp;""</f>
        <v>SSP Group</v>
      </c>
      <c r="R98" s="78" t="str">
        <f>_xlfn.XLOOKUP(tblMovimientos[[#This Row],[Cuenta Bancaria]],Cuentas!$C:$C,Cuentas!$B:$B,"",0,-1)&amp;""</f>
        <v/>
      </c>
    </row>
    <row r="99" spans="2:18" x14ac:dyDescent="0.3">
      <c r="B99" s="39">
        <v>46156</v>
      </c>
      <c r="C99" s="4" t="str">
        <f>_xlfn.XLOOKUP(tblMovimientos[[#This Row],[Cuenta Bancaria]],Listas!$B:$B,Listas!$A:$A,"")</f>
        <v>CFT Group</v>
      </c>
      <c r="D99" s="40" t="s">
        <v>95</v>
      </c>
      <c r="E99" s="4" t="str">
        <f>_xlfn.XLOOKUP(tblMovimientos[[#This Row],[Cuenta Bancaria]],Listas!$B:$B,Listas!$C:$C,"")</f>
        <v xml:space="preserve">Amerant Bank </v>
      </c>
      <c r="F99" s="41" t="s">
        <v>10</v>
      </c>
      <c r="G99" s="40" t="s">
        <v>46</v>
      </c>
      <c r="H99" s="4" t="str">
        <f>IFERROR(_xlfn.XLOOKUP(G99,Listas!E:E,Listas!F:F,""),"")</f>
        <v>Financiamiento</v>
      </c>
      <c r="I99" s="46" t="str">
        <f>IFERROR(_xlfn.XLOOKUP(G99,Listas!E:E,Listas!G:G,""),"")</f>
        <v>Externo</v>
      </c>
      <c r="J99" s="43">
        <v>27083.33</v>
      </c>
      <c r="K99" s="5">
        <f t="shared" si="1"/>
        <v>-27083.33</v>
      </c>
      <c r="L99" s="6" t="s">
        <v>93</v>
      </c>
      <c r="M99" s="44">
        <f>SUMIFS('Saldos Iniciales'!$D:$D,'Saldos Iniciales'!$A:$A,C99,'Saldos Iniciales'!$B:$B,D99)+SUMIFS($K$1:$K$1324,$C$1:$C$1324,C99,$D$1:$D$1324,D99,$B$1:$B$1324,"&lt;="&amp;B99)</f>
        <v>148882.87000000023</v>
      </c>
      <c r="N99" s="61" t="str">
        <f>IF(tblMovimientos[[#This Row],[Tipo de Movimiento]]="Ingreso",tblMovimientos[[#This Row],[Monto (S/)]],"0")</f>
        <v>0</v>
      </c>
      <c r="O99" s="61">
        <f>IF(tblMovimientos[[#This Row],[Tipo de Movimiento]]="Egreso",tblMovimientos[[#This Row],[Monto (S/)]],"0")</f>
        <v>27083.33</v>
      </c>
      <c r="P99" s="28">
        <f>IF(tblMovimientos[[#This Row],[Tipo de Movimiento]]="Ingreso",tblMovimientos[[#This Row],[Ingreso]],-tblMovimientos[[#This Row],[Egreso]])</f>
        <v>-27083.33</v>
      </c>
      <c r="Q99" s="78" t="str">
        <f>_xlfn.XLOOKUP(tblMovimientos[[#This Row],[Cuenta Bancaria]],Cuentas!$C:$C,Cuentas!$A:$A,"")&amp;""</f>
        <v>SSP Group</v>
      </c>
      <c r="R99" s="78" t="str">
        <f>_xlfn.XLOOKUP(tblMovimientos[[#This Row],[Cuenta Bancaria]],Cuentas!$C:$C,Cuentas!$B:$B,"",0,-1)&amp;""</f>
        <v/>
      </c>
    </row>
    <row r="100" spans="2:18" x14ac:dyDescent="0.3">
      <c r="B100" s="39">
        <v>46156</v>
      </c>
      <c r="C100" s="4" t="str">
        <f>_xlfn.XLOOKUP(tblMovimientos[[#This Row],[Cuenta Bancaria]],Listas!$B:$B,Listas!$A:$A,"")</f>
        <v>CFT Group</v>
      </c>
      <c r="D100" s="40" t="s">
        <v>95</v>
      </c>
      <c r="E100" s="4" t="str">
        <f>_xlfn.XLOOKUP(tblMovimientos[[#This Row],[Cuenta Bancaria]],Listas!$B:$B,Listas!$C:$C,"")</f>
        <v xml:space="preserve">Amerant Bank </v>
      </c>
      <c r="F100" s="41" t="s">
        <v>10</v>
      </c>
      <c r="G100" s="40" t="s">
        <v>61</v>
      </c>
      <c r="H100" s="4" t="str">
        <f>IFERROR(_xlfn.XLOOKUP(G100,Listas!E:E,Listas!F:F,""),"")</f>
        <v>Operativo</v>
      </c>
      <c r="I100" s="46" t="str">
        <f>IFERROR(_xlfn.XLOOKUP(G100,Listas!E:E,Listas!G:G,""),"")</f>
        <v>Externo</v>
      </c>
      <c r="J100" s="43">
        <v>40000</v>
      </c>
      <c r="K100" s="5">
        <f t="shared" si="1"/>
        <v>-40000</v>
      </c>
      <c r="L100" s="6" t="s">
        <v>93</v>
      </c>
      <c r="M100" s="44">
        <f>SUMIFS('Saldos Iniciales'!$D:$D,'Saldos Iniciales'!$A:$A,C100,'Saldos Iniciales'!$B:$B,D100)+SUMIFS($K$1:$K$1324,$C$1:$C$1324,C100,$D$1:$D$1324,D100,$B$1:$B$1324,"&lt;="&amp;B100)</f>
        <v>148882.87000000023</v>
      </c>
      <c r="N100" s="61" t="str">
        <f>IF(tblMovimientos[[#This Row],[Tipo de Movimiento]]="Ingreso",tblMovimientos[[#This Row],[Monto (S/)]],"0")</f>
        <v>0</v>
      </c>
      <c r="O100" s="61">
        <f>IF(tblMovimientos[[#This Row],[Tipo de Movimiento]]="Egreso",tblMovimientos[[#This Row],[Monto (S/)]],"0")</f>
        <v>40000</v>
      </c>
      <c r="P100" s="28">
        <f>IF(tblMovimientos[[#This Row],[Tipo de Movimiento]]="Ingreso",tblMovimientos[[#This Row],[Ingreso]],-tblMovimientos[[#This Row],[Egreso]])</f>
        <v>-40000</v>
      </c>
      <c r="Q100" s="78" t="str">
        <f>_xlfn.XLOOKUP(tblMovimientos[[#This Row],[Cuenta Bancaria]],Cuentas!$C:$C,Cuentas!$A:$A,"")&amp;""</f>
        <v>SSP Group</v>
      </c>
      <c r="R100" s="78" t="str">
        <f>_xlfn.XLOOKUP(tblMovimientos[[#This Row],[Cuenta Bancaria]],Cuentas!$C:$C,Cuentas!$B:$B,"",0,-1)&amp;""</f>
        <v/>
      </c>
    </row>
    <row r="101" spans="2:18" x14ac:dyDescent="0.3">
      <c r="B101" s="39">
        <v>46156</v>
      </c>
      <c r="C101" s="4" t="str">
        <f>_xlfn.XLOOKUP(tblMovimientos[[#This Row],[Cuenta Bancaria]],Listas!$B:$B,Listas!$A:$A,"")</f>
        <v>CFT Group</v>
      </c>
      <c r="D101" s="40" t="s">
        <v>95</v>
      </c>
      <c r="E101" s="4" t="str">
        <f>_xlfn.XLOOKUP(tblMovimientos[[#This Row],[Cuenta Bancaria]],Listas!$B:$B,Listas!$C:$C,"")</f>
        <v xml:space="preserve">Amerant Bank </v>
      </c>
      <c r="F101" s="41" t="s">
        <v>10</v>
      </c>
      <c r="G101" s="40" t="s">
        <v>46</v>
      </c>
      <c r="H101" s="4" t="str">
        <f>IFERROR(_xlfn.XLOOKUP(G101,Listas!E:E,Listas!F:F,""),"")</f>
        <v>Financiamiento</v>
      </c>
      <c r="I101" s="46" t="str">
        <f>IFERROR(_xlfn.XLOOKUP(G101,Listas!E:E,Listas!G:G,""),"")</f>
        <v>Externo</v>
      </c>
      <c r="J101" s="43">
        <v>56000</v>
      </c>
      <c r="K101" s="5">
        <f t="shared" si="1"/>
        <v>-56000</v>
      </c>
      <c r="L101" s="6" t="s">
        <v>93</v>
      </c>
      <c r="M101" s="44">
        <f>SUMIFS('Saldos Iniciales'!$D:$D,'Saldos Iniciales'!$A:$A,C101,'Saldos Iniciales'!$B:$B,D101)+SUMIFS($K$1:$K$1324,$C$1:$C$1324,C101,$D$1:$D$1324,D101,$B$1:$B$1324,"&lt;="&amp;B101)</f>
        <v>148882.87000000023</v>
      </c>
      <c r="N101" s="61" t="str">
        <f>IF(tblMovimientos[[#This Row],[Tipo de Movimiento]]="Ingreso",tblMovimientos[[#This Row],[Monto (S/)]],"0")</f>
        <v>0</v>
      </c>
      <c r="O101" s="61">
        <f>IF(tblMovimientos[[#This Row],[Tipo de Movimiento]]="Egreso",tblMovimientos[[#This Row],[Monto (S/)]],"0")</f>
        <v>56000</v>
      </c>
      <c r="P101" s="28">
        <f>IF(tblMovimientos[[#This Row],[Tipo de Movimiento]]="Ingreso",tblMovimientos[[#This Row],[Ingreso]],-tblMovimientos[[#This Row],[Egreso]])</f>
        <v>-56000</v>
      </c>
      <c r="Q101" s="78" t="str">
        <f>_xlfn.XLOOKUP(tblMovimientos[[#This Row],[Cuenta Bancaria]],Cuentas!$C:$C,Cuentas!$A:$A,"")&amp;""</f>
        <v>SSP Group</v>
      </c>
      <c r="R101" s="78" t="str">
        <f>_xlfn.XLOOKUP(tblMovimientos[[#This Row],[Cuenta Bancaria]],Cuentas!$C:$C,Cuentas!$B:$B,"",0,-1)&amp;""</f>
        <v/>
      </c>
    </row>
    <row r="102" spans="2:18" x14ac:dyDescent="0.3">
      <c r="B102" s="39">
        <v>46156</v>
      </c>
      <c r="C102" s="4" t="str">
        <f>_xlfn.XLOOKUP(tblMovimientos[[#This Row],[Cuenta Bancaria]],Listas!$B:$B,Listas!$A:$A,"")</f>
        <v>CFT Group</v>
      </c>
      <c r="D102" s="40" t="s">
        <v>95</v>
      </c>
      <c r="E102" s="4" t="str">
        <f>_xlfn.XLOOKUP(tblMovimientos[[#This Row],[Cuenta Bancaria]],Listas!$B:$B,Listas!$C:$C,"")</f>
        <v xml:space="preserve">Amerant Bank </v>
      </c>
      <c r="F102" s="41" t="s">
        <v>10</v>
      </c>
      <c r="G102" s="40" t="s">
        <v>61</v>
      </c>
      <c r="H102" s="4" t="str">
        <f>IFERROR(_xlfn.XLOOKUP(G102,Listas!E:E,Listas!F:F,""),"")</f>
        <v>Operativo</v>
      </c>
      <c r="I102" s="46" t="str">
        <f>IFERROR(_xlfn.XLOOKUP(G102,Listas!E:E,Listas!G:G,""),"")</f>
        <v>Externo</v>
      </c>
      <c r="J102" s="43">
        <v>60000</v>
      </c>
      <c r="K102" s="5">
        <f t="shared" si="1"/>
        <v>-60000</v>
      </c>
      <c r="L102" s="6" t="s">
        <v>93</v>
      </c>
      <c r="M102" s="44">
        <f>SUMIFS('Saldos Iniciales'!$D:$D,'Saldos Iniciales'!$A:$A,C102,'Saldos Iniciales'!$B:$B,D102)+SUMIFS($K$1:$K$1324,$C$1:$C$1324,C102,$D$1:$D$1324,D102,$B$1:$B$1324,"&lt;="&amp;B102)</f>
        <v>148882.87000000023</v>
      </c>
      <c r="N102" s="61" t="str">
        <f>IF(tblMovimientos[[#This Row],[Tipo de Movimiento]]="Ingreso",tblMovimientos[[#This Row],[Monto (S/)]],"0")</f>
        <v>0</v>
      </c>
      <c r="O102" s="61">
        <f>IF(tblMovimientos[[#This Row],[Tipo de Movimiento]]="Egreso",tblMovimientos[[#This Row],[Monto (S/)]],"0")</f>
        <v>60000</v>
      </c>
      <c r="P102" s="28">
        <f>IF(tblMovimientos[[#This Row],[Tipo de Movimiento]]="Ingreso",tblMovimientos[[#This Row],[Ingreso]],-tblMovimientos[[#This Row],[Egreso]])</f>
        <v>-60000</v>
      </c>
      <c r="Q102" s="78" t="str">
        <f>_xlfn.XLOOKUP(tblMovimientos[[#This Row],[Cuenta Bancaria]],Cuentas!$C:$C,Cuentas!$A:$A,"")&amp;""</f>
        <v>SSP Group</v>
      </c>
      <c r="R102" s="78" t="str">
        <f>_xlfn.XLOOKUP(tblMovimientos[[#This Row],[Cuenta Bancaria]],Cuentas!$C:$C,Cuentas!$B:$B,"",0,-1)&amp;""</f>
        <v/>
      </c>
    </row>
    <row r="103" spans="2:18" x14ac:dyDescent="0.3">
      <c r="B103" s="39">
        <v>46156</v>
      </c>
      <c r="C103" s="4" t="str">
        <f>_xlfn.XLOOKUP(tblMovimientos[[#This Row],[Cuenta Bancaria]],Listas!$B:$B,Listas!$A:$A,"")</f>
        <v>CFT Group</v>
      </c>
      <c r="D103" s="40" t="s">
        <v>95</v>
      </c>
      <c r="E103" s="4" t="str">
        <f>_xlfn.XLOOKUP(tblMovimientos[[#This Row],[Cuenta Bancaria]],Listas!$B:$B,Listas!$C:$C,"")</f>
        <v xml:space="preserve">Amerant Bank </v>
      </c>
      <c r="F103" s="41" t="s">
        <v>10</v>
      </c>
      <c r="G103" s="40" t="s">
        <v>46</v>
      </c>
      <c r="H103" s="4" t="str">
        <f>IFERROR(_xlfn.XLOOKUP(G103,Listas!E:E,Listas!F:F,""),"")</f>
        <v>Financiamiento</v>
      </c>
      <c r="I103" s="46" t="str">
        <f>IFERROR(_xlfn.XLOOKUP(G103,Listas!E:E,Listas!G:G,""),"")</f>
        <v>Externo</v>
      </c>
      <c r="J103" s="43">
        <v>70000</v>
      </c>
      <c r="K103" s="5">
        <f t="shared" si="1"/>
        <v>-70000</v>
      </c>
      <c r="L103" s="6" t="s">
        <v>93</v>
      </c>
      <c r="M103" s="44">
        <f>SUMIFS('Saldos Iniciales'!$D:$D,'Saldos Iniciales'!$A:$A,C103,'Saldos Iniciales'!$B:$B,D103)+SUMIFS($K$1:$K$1324,$C$1:$C$1324,C103,$D$1:$D$1324,D103,$B$1:$B$1324,"&lt;="&amp;B103)</f>
        <v>148882.87000000023</v>
      </c>
      <c r="N103" s="61" t="str">
        <f>IF(tblMovimientos[[#This Row],[Tipo de Movimiento]]="Ingreso",tblMovimientos[[#This Row],[Monto (S/)]],"0")</f>
        <v>0</v>
      </c>
      <c r="O103" s="61">
        <f>IF(tblMovimientos[[#This Row],[Tipo de Movimiento]]="Egreso",tblMovimientos[[#This Row],[Monto (S/)]],"0")</f>
        <v>70000</v>
      </c>
      <c r="P103" s="28">
        <f>IF(tblMovimientos[[#This Row],[Tipo de Movimiento]]="Ingreso",tblMovimientos[[#This Row],[Ingreso]],-tblMovimientos[[#This Row],[Egreso]])</f>
        <v>-70000</v>
      </c>
      <c r="Q103" s="78" t="str">
        <f>_xlfn.XLOOKUP(tblMovimientos[[#This Row],[Cuenta Bancaria]],Cuentas!$C:$C,Cuentas!$A:$A,"")&amp;""</f>
        <v>SSP Group</v>
      </c>
      <c r="R103" s="78" t="str">
        <f>_xlfn.XLOOKUP(tblMovimientos[[#This Row],[Cuenta Bancaria]],Cuentas!$C:$C,Cuentas!$B:$B,"",0,-1)&amp;""</f>
        <v/>
      </c>
    </row>
    <row r="104" spans="2:18" x14ac:dyDescent="0.3">
      <c r="B104" s="39">
        <v>46156</v>
      </c>
      <c r="C104" s="4" t="str">
        <f>_xlfn.XLOOKUP(tblMovimientos[[#This Row],[Cuenta Bancaria]],Listas!$B:$B,Listas!$A:$A,"")</f>
        <v>CFT Group</v>
      </c>
      <c r="D104" s="40" t="s">
        <v>95</v>
      </c>
      <c r="E104" s="4" t="str">
        <f>_xlfn.XLOOKUP(tblMovimientos[[#This Row],[Cuenta Bancaria]],Listas!$B:$B,Listas!$C:$C,"")</f>
        <v xml:space="preserve">Amerant Bank </v>
      </c>
      <c r="F104" s="41" t="s">
        <v>10</v>
      </c>
      <c r="G104" s="40" t="s">
        <v>46</v>
      </c>
      <c r="H104" s="4" t="str">
        <f>IFERROR(_xlfn.XLOOKUP(G104,Listas!E:E,Listas!F:F,""),"")</f>
        <v>Financiamiento</v>
      </c>
      <c r="I104" s="46" t="str">
        <f>IFERROR(_xlfn.XLOOKUP(G104,Listas!E:E,Listas!G:G,""),"")</f>
        <v>Externo</v>
      </c>
      <c r="J104" s="43">
        <v>82833.33</v>
      </c>
      <c r="K104" s="5">
        <f t="shared" si="1"/>
        <v>-82833.33</v>
      </c>
      <c r="L104" s="6" t="s">
        <v>93</v>
      </c>
      <c r="M104" s="44">
        <f>SUMIFS('Saldos Iniciales'!$D:$D,'Saldos Iniciales'!$A:$A,C104,'Saldos Iniciales'!$B:$B,D104)+SUMIFS($K$1:$K$1324,$C$1:$C$1324,C104,$D$1:$D$1324,D104,$B$1:$B$1324,"&lt;="&amp;B104)</f>
        <v>148882.87000000023</v>
      </c>
      <c r="N104" s="61" t="str">
        <f>IF(tblMovimientos[[#This Row],[Tipo de Movimiento]]="Ingreso",tblMovimientos[[#This Row],[Monto (S/)]],"0")</f>
        <v>0</v>
      </c>
      <c r="O104" s="61">
        <f>IF(tblMovimientos[[#This Row],[Tipo de Movimiento]]="Egreso",tblMovimientos[[#This Row],[Monto (S/)]],"0")</f>
        <v>82833.33</v>
      </c>
      <c r="P104" s="28">
        <f>IF(tblMovimientos[[#This Row],[Tipo de Movimiento]]="Ingreso",tblMovimientos[[#This Row],[Ingreso]],-tblMovimientos[[#This Row],[Egreso]])</f>
        <v>-82833.33</v>
      </c>
      <c r="Q104" s="78" t="str">
        <f>_xlfn.XLOOKUP(tblMovimientos[[#This Row],[Cuenta Bancaria]],Cuentas!$C:$C,Cuentas!$A:$A,"")&amp;""</f>
        <v>SSP Group</v>
      </c>
      <c r="R104" s="78" t="str">
        <f>_xlfn.XLOOKUP(tblMovimientos[[#This Row],[Cuenta Bancaria]],Cuentas!$C:$C,Cuentas!$B:$B,"",0,-1)&amp;""</f>
        <v/>
      </c>
    </row>
    <row r="105" spans="2:18" x14ac:dyDescent="0.3">
      <c r="B105" s="39">
        <v>46156</v>
      </c>
      <c r="C105" s="4" t="str">
        <f>_xlfn.XLOOKUP(tblMovimientos[[#This Row],[Cuenta Bancaria]],Listas!$B:$B,Listas!$A:$A,"")</f>
        <v>SSP Capital</v>
      </c>
      <c r="D105" s="40" t="s">
        <v>104</v>
      </c>
      <c r="E105" s="4" t="str">
        <f>_xlfn.XLOOKUP(tblMovimientos[[#This Row],[Cuenta Bancaria]],Listas!$B:$B,Listas!$C:$C,"")</f>
        <v xml:space="preserve">Amerant Bank </v>
      </c>
      <c r="F105" s="41" t="s">
        <v>10</v>
      </c>
      <c r="G105" s="40" t="s">
        <v>60</v>
      </c>
      <c r="H105" s="4" t="str">
        <f>IFERROR(_xlfn.XLOOKUP(G105,Listas!E:E,Listas!F:F,""),"")</f>
        <v>Inversion</v>
      </c>
      <c r="I105" s="46" t="str">
        <f>IFERROR(_xlfn.XLOOKUP(G105,Listas!E:E,Listas!G:G,""),"")</f>
        <v>Interno</v>
      </c>
      <c r="J105" s="43">
        <v>50000</v>
      </c>
      <c r="K105" s="5">
        <f t="shared" si="1"/>
        <v>-50000</v>
      </c>
      <c r="L105" s="6" t="s">
        <v>93</v>
      </c>
      <c r="M105" s="44">
        <f>SUMIFS('Saldos Iniciales'!$D:$D,'Saldos Iniciales'!$A:$A,C105,'Saldos Iniciales'!$B:$B,D105)+SUMIFS($K$1:$K$1324,$C$1:$C$1324,C105,$D$1:$D$1324,D105,$B$1:$B$1324,"&lt;="&amp;B105)</f>
        <v>176117.51999999938</v>
      </c>
      <c r="N105" s="61" t="str">
        <f>IF(tblMovimientos[[#This Row],[Tipo de Movimiento]]="Ingreso",tblMovimientos[[#This Row],[Monto (S/)]],"0")</f>
        <v>0</v>
      </c>
      <c r="O105" s="61">
        <f>IF(tblMovimientos[[#This Row],[Tipo de Movimiento]]="Egreso",tblMovimientos[[#This Row],[Monto (S/)]],"0")</f>
        <v>50000</v>
      </c>
      <c r="P105" s="28">
        <f>IF(tblMovimientos[[#This Row],[Tipo de Movimiento]]="Ingreso",tblMovimientos[[#This Row],[Ingreso]],-tblMovimientos[[#This Row],[Egreso]])</f>
        <v>-50000</v>
      </c>
      <c r="Q105" s="78" t="str">
        <f>_xlfn.XLOOKUP(tblMovimientos[[#This Row],[Cuenta Bancaria]],Cuentas!$C:$C,Cuentas!$A:$A,"")&amp;""</f>
        <v>SSP Group</v>
      </c>
      <c r="R105" s="78" t="str">
        <f>_xlfn.XLOOKUP(tblMovimientos[[#This Row],[Cuenta Bancaria]],Cuentas!$C:$C,Cuentas!$B:$B,"",0,-1)&amp;""</f>
        <v/>
      </c>
    </row>
    <row r="106" spans="2:18" x14ac:dyDescent="0.3">
      <c r="B106" s="39">
        <v>46156</v>
      </c>
      <c r="C106" s="4" t="str">
        <f>_xlfn.XLOOKUP(tblMovimientos[[#This Row],[Cuenta Bancaria]],Listas!$B:$B,Listas!$A:$A,"")</f>
        <v>SSP Capital</v>
      </c>
      <c r="D106" s="40" t="s">
        <v>104</v>
      </c>
      <c r="E106" s="4" t="str">
        <f>_xlfn.XLOOKUP(tblMovimientos[[#This Row],[Cuenta Bancaria]],Listas!$B:$B,Listas!$C:$C,"")</f>
        <v xml:space="preserve">Amerant Bank </v>
      </c>
      <c r="F106" s="41" t="s">
        <v>10</v>
      </c>
      <c r="G106" s="40" t="s">
        <v>46</v>
      </c>
      <c r="H106" s="4" t="str">
        <f>IFERROR(_xlfn.XLOOKUP(G106,Listas!E:E,Listas!F:F,""),"")</f>
        <v>Financiamiento</v>
      </c>
      <c r="I106" s="46" t="str">
        <f>IFERROR(_xlfn.XLOOKUP(G106,Listas!E:E,Listas!G:G,""),"")</f>
        <v>Externo</v>
      </c>
      <c r="J106" s="43">
        <v>53666.67</v>
      </c>
      <c r="K106" s="5">
        <f t="shared" si="1"/>
        <v>-53666.67</v>
      </c>
      <c r="L106" s="6" t="s">
        <v>93</v>
      </c>
      <c r="M106" s="44">
        <f>SUMIFS('Saldos Iniciales'!$D:$D,'Saldos Iniciales'!$A:$A,C106,'Saldos Iniciales'!$B:$B,D106)+SUMIFS($K$1:$K$1324,$C$1:$C$1324,C106,$D$1:$D$1324,D106,$B$1:$B$1324,"&lt;="&amp;B106)</f>
        <v>176117.51999999938</v>
      </c>
      <c r="N106" s="61" t="str">
        <f>IF(tblMovimientos[[#This Row],[Tipo de Movimiento]]="Ingreso",tblMovimientos[[#This Row],[Monto (S/)]],"0")</f>
        <v>0</v>
      </c>
      <c r="O106" s="61">
        <f>IF(tblMovimientos[[#This Row],[Tipo de Movimiento]]="Egreso",tblMovimientos[[#This Row],[Monto (S/)]],"0")</f>
        <v>53666.67</v>
      </c>
      <c r="P106" s="28">
        <f>IF(tblMovimientos[[#This Row],[Tipo de Movimiento]]="Ingreso",tblMovimientos[[#This Row],[Ingreso]],-tblMovimientos[[#This Row],[Egreso]])</f>
        <v>-53666.67</v>
      </c>
      <c r="Q106" s="78" t="str">
        <f>_xlfn.XLOOKUP(tblMovimientos[[#This Row],[Cuenta Bancaria]],Cuentas!$C:$C,Cuentas!$A:$A,"")&amp;""</f>
        <v>SSP Group</v>
      </c>
      <c r="R106" s="78" t="str">
        <f>_xlfn.XLOOKUP(tblMovimientos[[#This Row],[Cuenta Bancaria]],Cuentas!$C:$C,Cuentas!$B:$B,"",0,-1)&amp;""</f>
        <v/>
      </c>
    </row>
    <row r="107" spans="2:18" x14ac:dyDescent="0.3">
      <c r="B107" s="39">
        <v>46156</v>
      </c>
      <c r="C107" s="4" t="str">
        <f>_xlfn.XLOOKUP(tblMovimientos[[#This Row],[Cuenta Bancaria]],Listas!$B:$B,Listas!$A:$A,"")</f>
        <v>SSP Capital</v>
      </c>
      <c r="D107" s="40" t="s">
        <v>104</v>
      </c>
      <c r="E107" s="4" t="str">
        <f>_xlfn.XLOOKUP(tblMovimientos[[#This Row],[Cuenta Bancaria]],Listas!$B:$B,Listas!$C:$C,"")</f>
        <v xml:space="preserve">Amerant Bank </v>
      </c>
      <c r="F107" s="41" t="s">
        <v>10</v>
      </c>
      <c r="G107" s="40" t="s">
        <v>46</v>
      </c>
      <c r="H107" s="4" t="str">
        <f>IFERROR(_xlfn.XLOOKUP(G107,Listas!E:E,Listas!F:F,""),"")</f>
        <v>Financiamiento</v>
      </c>
      <c r="I107" s="46" t="str">
        <f>IFERROR(_xlfn.XLOOKUP(G107,Listas!E:E,Listas!G:G,""),"")</f>
        <v>Externo</v>
      </c>
      <c r="J107" s="43">
        <v>99166.67</v>
      </c>
      <c r="K107" s="5">
        <f t="shared" si="1"/>
        <v>-99166.67</v>
      </c>
      <c r="L107" s="6" t="s">
        <v>93</v>
      </c>
      <c r="M107" s="44">
        <f>SUMIFS('Saldos Iniciales'!$D:$D,'Saldos Iniciales'!$A:$A,C107,'Saldos Iniciales'!$B:$B,D107)+SUMIFS($K$1:$K$1324,$C$1:$C$1324,C107,$D$1:$D$1324,D107,$B$1:$B$1324,"&lt;="&amp;B107)</f>
        <v>176117.51999999938</v>
      </c>
      <c r="N107" s="61" t="str">
        <f>IF(tblMovimientos[[#This Row],[Tipo de Movimiento]]="Ingreso",tblMovimientos[[#This Row],[Monto (S/)]],"0")</f>
        <v>0</v>
      </c>
      <c r="O107" s="61">
        <f>IF(tblMovimientos[[#This Row],[Tipo de Movimiento]]="Egreso",tblMovimientos[[#This Row],[Monto (S/)]],"0")</f>
        <v>99166.67</v>
      </c>
      <c r="P107" s="28">
        <f>IF(tblMovimientos[[#This Row],[Tipo de Movimiento]]="Ingreso",tblMovimientos[[#This Row],[Ingreso]],-tblMovimientos[[#This Row],[Egreso]])</f>
        <v>-99166.67</v>
      </c>
      <c r="Q107" s="78" t="str">
        <f>_xlfn.XLOOKUP(tblMovimientos[[#This Row],[Cuenta Bancaria]],Cuentas!$C:$C,Cuentas!$A:$A,"")&amp;""</f>
        <v>SSP Group</v>
      </c>
      <c r="R107" s="78" t="str">
        <f>_xlfn.XLOOKUP(tblMovimientos[[#This Row],[Cuenta Bancaria]],Cuentas!$C:$C,Cuentas!$B:$B,"",0,-1)&amp;""</f>
        <v/>
      </c>
    </row>
    <row r="108" spans="2:18" x14ac:dyDescent="0.3">
      <c r="B108" s="39">
        <v>46156</v>
      </c>
      <c r="C108" s="4" t="str">
        <f>_xlfn.XLOOKUP(tblMovimientos[[#This Row],[Cuenta Bancaria]],Listas!$B:$B,Listas!$A:$A,"")</f>
        <v>Go Blue</v>
      </c>
      <c r="D108" s="40" t="s">
        <v>126</v>
      </c>
      <c r="E108" s="4" t="str">
        <f>_xlfn.XLOOKUP(tblMovimientos[[#This Row],[Cuenta Bancaria]],Listas!$B:$B,Listas!$C:$C,"")</f>
        <v xml:space="preserve">Amerant Bank </v>
      </c>
      <c r="F108" s="41" t="s">
        <v>10</v>
      </c>
      <c r="G108" s="40" t="s">
        <v>38</v>
      </c>
      <c r="H108" s="4" t="str">
        <f>IFERROR(_xlfn.XLOOKUP(G108,Listas!E:E,Listas!F:F,""),"")</f>
        <v>Operativo</v>
      </c>
      <c r="I108" s="46" t="str">
        <f>IFERROR(_xlfn.XLOOKUP(G108,Listas!E:E,Listas!G:G,""),"")</f>
        <v>Externo</v>
      </c>
      <c r="J108" s="43">
        <v>2500</v>
      </c>
      <c r="K108" s="5">
        <f t="shared" si="1"/>
        <v>-2500</v>
      </c>
      <c r="L108" s="6" t="s">
        <v>93</v>
      </c>
      <c r="M108" s="44">
        <f>SUMIFS('Saldos Iniciales'!$D:$D,'Saldos Iniciales'!$A:$A,C108,'Saldos Iniciales'!$B:$B,D108)+SUMIFS($K$1:$K$1324,$C$1:$C$1324,C108,$D$1:$D$1324,D108,$B$1:$B$1324,"&lt;="&amp;B108)</f>
        <v>14226.59</v>
      </c>
      <c r="N108" s="61" t="str">
        <f>IF(tblMovimientos[[#This Row],[Tipo de Movimiento]]="Ingreso",tblMovimientos[[#This Row],[Monto (S/)]],"0")</f>
        <v>0</v>
      </c>
      <c r="O108" s="61">
        <f>IF(tblMovimientos[[#This Row],[Tipo de Movimiento]]="Egreso",tblMovimientos[[#This Row],[Monto (S/)]],"0")</f>
        <v>2500</v>
      </c>
      <c r="P108" s="28">
        <f>IF(tblMovimientos[[#This Row],[Tipo de Movimiento]]="Ingreso",tblMovimientos[[#This Row],[Ingreso]],-tblMovimientos[[#This Row],[Egreso]])</f>
        <v>-2500</v>
      </c>
      <c r="Q108" s="78" t="str">
        <f>_xlfn.XLOOKUP(tblMovimientos[[#This Row],[Cuenta Bancaria]],Cuentas!$C:$C,Cuentas!$A:$A,"")&amp;""</f>
        <v>SSP Group</v>
      </c>
      <c r="R108" s="78" t="str">
        <f>_xlfn.XLOOKUP(tblMovimientos[[#This Row],[Cuenta Bancaria]],Cuentas!$C:$C,Cuentas!$B:$B,"",0,-1)&amp;""</f>
        <v/>
      </c>
    </row>
    <row r="109" spans="2:18" x14ac:dyDescent="0.3">
      <c r="B109" s="39">
        <v>46157</v>
      </c>
      <c r="C109" s="4" t="str">
        <f>_xlfn.XLOOKUP(tblMovimientos[[#This Row],[Cuenta Bancaria]],Listas!$B:$B,Listas!$A:$A,"")</f>
        <v>Go Blue</v>
      </c>
      <c r="D109" s="40" t="s">
        <v>126</v>
      </c>
      <c r="E109" s="4" t="str">
        <f>_xlfn.XLOOKUP(tblMovimientos[[#This Row],[Cuenta Bancaria]],Listas!$B:$B,Listas!$C:$C,"")</f>
        <v xml:space="preserve">Amerant Bank </v>
      </c>
      <c r="F109" s="41" t="s">
        <v>10</v>
      </c>
      <c r="G109" s="40" t="s">
        <v>38</v>
      </c>
      <c r="H109" s="4" t="str">
        <f>IFERROR(_xlfn.XLOOKUP(G109,Listas!E:E,Listas!F:F,""),"")</f>
        <v>Operativo</v>
      </c>
      <c r="I109" s="46" t="str">
        <f>IFERROR(_xlfn.XLOOKUP(G109,Listas!E:E,Listas!G:G,""),"")</f>
        <v>Externo</v>
      </c>
      <c r="J109" s="43">
        <v>50</v>
      </c>
      <c r="K109" s="5">
        <f t="shared" si="1"/>
        <v>-50</v>
      </c>
      <c r="L109" s="6" t="s">
        <v>93</v>
      </c>
      <c r="M109" s="44">
        <f>SUMIFS('Saldos Iniciales'!$D:$D,'Saldos Iniciales'!$A:$A,C109,'Saldos Iniciales'!$B:$B,D109)+SUMIFS($K$1:$K$1324,$C$1:$C$1324,C109,$D$1:$D$1324,D109,$B$1:$B$1324,"&lt;="&amp;B109)</f>
        <v>14176.59</v>
      </c>
      <c r="N109" s="61" t="str">
        <f>IF(tblMovimientos[[#This Row],[Tipo de Movimiento]]="Ingreso",tblMovimientos[[#This Row],[Monto (S/)]],"0")</f>
        <v>0</v>
      </c>
      <c r="O109" s="61">
        <f>IF(tblMovimientos[[#This Row],[Tipo de Movimiento]]="Egreso",tblMovimientos[[#This Row],[Monto (S/)]],"0")</f>
        <v>50</v>
      </c>
      <c r="P109" s="28">
        <f>IF(tblMovimientos[[#This Row],[Tipo de Movimiento]]="Ingreso",tblMovimientos[[#This Row],[Ingreso]],-tblMovimientos[[#This Row],[Egreso]])</f>
        <v>-50</v>
      </c>
      <c r="Q109" s="78" t="str">
        <f>_xlfn.XLOOKUP(tblMovimientos[[#This Row],[Cuenta Bancaria]],Cuentas!$C:$C,Cuentas!$A:$A,"")&amp;""</f>
        <v>SSP Group</v>
      </c>
      <c r="R109" s="78" t="str">
        <f>_xlfn.XLOOKUP(tblMovimientos[[#This Row],[Cuenta Bancaria]],Cuentas!$C:$C,Cuentas!$B:$B,"",0,-1)&amp;""</f>
        <v/>
      </c>
    </row>
    <row r="110" spans="2:18" x14ac:dyDescent="0.3">
      <c r="B110" s="39">
        <v>46157</v>
      </c>
      <c r="C110" s="4" t="str">
        <f>_xlfn.XLOOKUP(tblMovimientos[[#This Row],[Cuenta Bancaria]],Listas!$B:$B,Listas!$A:$A,"")</f>
        <v>3628 Thomas Ave</v>
      </c>
      <c r="D110" s="40" t="s">
        <v>124</v>
      </c>
      <c r="E110" s="4" t="str">
        <f>_xlfn.XLOOKUP(tblMovimientos[[#This Row],[Cuenta Bancaria]],Listas!$B:$B,Listas!$C:$C,"")</f>
        <v>Bank of America</v>
      </c>
      <c r="F110" s="41" t="s">
        <v>10</v>
      </c>
      <c r="G110" s="40" t="s">
        <v>38</v>
      </c>
      <c r="H110" s="4" t="str">
        <f>IFERROR(_xlfn.XLOOKUP(G110,Listas!E:E,Listas!F:F,""),"")</f>
        <v>Operativo</v>
      </c>
      <c r="I110" s="46" t="str">
        <f>IFERROR(_xlfn.XLOOKUP(G110,Listas!E:E,Listas!G:G,""),"")</f>
        <v>Externo</v>
      </c>
      <c r="J110" s="43">
        <v>1650</v>
      </c>
      <c r="K110" s="5">
        <f t="shared" si="1"/>
        <v>-1650</v>
      </c>
      <c r="L110" s="6" t="s">
        <v>93</v>
      </c>
      <c r="M110" s="44">
        <f>SUMIFS('Saldos Iniciales'!$D:$D,'Saldos Iniciales'!$A:$A,C110,'Saldos Iniciales'!$B:$B,D110)+SUMIFS($K$1:$K$1324,$C$1:$C$1324,C110,$D$1:$D$1324,D110,$B$1:$B$1324,"&lt;="&amp;B110)</f>
        <v>27011.27</v>
      </c>
      <c r="N110" s="61" t="str">
        <f>IF(tblMovimientos[[#This Row],[Tipo de Movimiento]]="Ingreso",tblMovimientos[[#This Row],[Monto (S/)]],"0")</f>
        <v>0</v>
      </c>
      <c r="O110" s="61">
        <f>IF(tblMovimientos[[#This Row],[Tipo de Movimiento]]="Egreso",tblMovimientos[[#This Row],[Monto (S/)]],"0")</f>
        <v>1650</v>
      </c>
      <c r="P110" s="28">
        <f>IF(tblMovimientos[[#This Row],[Tipo de Movimiento]]="Ingreso",tblMovimientos[[#This Row],[Ingreso]],-tblMovimientos[[#This Row],[Egreso]])</f>
        <v>-1650</v>
      </c>
      <c r="Q110" s="78" t="str">
        <f>_xlfn.XLOOKUP(tblMovimientos[[#This Row],[Cuenta Bancaria]],Cuentas!$C:$C,Cuentas!$A:$A,"")&amp;""</f>
        <v>SSP Group</v>
      </c>
      <c r="R110" s="78" t="str">
        <f>_xlfn.XLOOKUP(tblMovimientos[[#This Row],[Cuenta Bancaria]],Cuentas!$C:$C,Cuentas!$B:$B,"",0,-1)&amp;""</f>
        <v/>
      </c>
    </row>
    <row r="111" spans="2:18" x14ac:dyDescent="0.3">
      <c r="B111" s="39">
        <v>46157</v>
      </c>
      <c r="C111" s="4" t="str">
        <f>_xlfn.XLOOKUP(tblMovimientos[[#This Row],[Cuenta Bancaria]],Listas!$B:$B,Listas!$A:$A,"")</f>
        <v>3628 Thomas Ave</v>
      </c>
      <c r="D111" s="40" t="s">
        <v>124</v>
      </c>
      <c r="E111" s="4" t="str">
        <f>_xlfn.XLOOKUP(tblMovimientos[[#This Row],[Cuenta Bancaria]],Listas!$B:$B,Listas!$C:$C,"")</f>
        <v>Bank of America</v>
      </c>
      <c r="F111" s="41" t="s">
        <v>10</v>
      </c>
      <c r="G111" s="40" t="s">
        <v>38</v>
      </c>
      <c r="H111" s="4" t="str">
        <f>IFERROR(_xlfn.XLOOKUP(G111,Listas!E:E,Listas!F:F,""),"")</f>
        <v>Operativo</v>
      </c>
      <c r="I111" s="46" t="str">
        <f>IFERROR(_xlfn.XLOOKUP(G111,Listas!E:E,Listas!G:G,""),"")</f>
        <v>Externo</v>
      </c>
      <c r="J111" s="43">
        <v>2200</v>
      </c>
      <c r="K111" s="5">
        <f t="shared" si="1"/>
        <v>-2200</v>
      </c>
      <c r="L111" s="6" t="s">
        <v>93</v>
      </c>
      <c r="M111" s="44">
        <f>SUMIFS('Saldos Iniciales'!$D:$D,'Saldos Iniciales'!$A:$A,C111,'Saldos Iniciales'!$B:$B,D111)+SUMIFS($K$1:$K$1324,$C$1:$C$1324,C111,$D$1:$D$1324,D111,$B$1:$B$1324,"&lt;="&amp;B111)</f>
        <v>27011.27</v>
      </c>
      <c r="N111" s="61" t="str">
        <f>IF(tblMovimientos[[#This Row],[Tipo de Movimiento]]="Ingreso",tblMovimientos[[#This Row],[Monto (S/)]],"0")</f>
        <v>0</v>
      </c>
      <c r="O111" s="61">
        <f>IF(tblMovimientos[[#This Row],[Tipo de Movimiento]]="Egreso",tblMovimientos[[#This Row],[Monto (S/)]],"0")</f>
        <v>2200</v>
      </c>
      <c r="P111" s="28">
        <f>IF(tblMovimientos[[#This Row],[Tipo de Movimiento]]="Ingreso",tblMovimientos[[#This Row],[Ingreso]],-tblMovimientos[[#This Row],[Egreso]])</f>
        <v>-2200</v>
      </c>
      <c r="Q111" s="78" t="str">
        <f>_xlfn.XLOOKUP(tblMovimientos[[#This Row],[Cuenta Bancaria]],Cuentas!$C:$C,Cuentas!$A:$A,"")&amp;""</f>
        <v>SSP Group</v>
      </c>
      <c r="R111" s="78" t="str">
        <f>_xlfn.XLOOKUP(tblMovimientos[[#This Row],[Cuenta Bancaria]],Cuentas!$C:$C,Cuentas!$B:$B,"",0,-1)&amp;""</f>
        <v/>
      </c>
    </row>
    <row r="112" spans="2:18" x14ac:dyDescent="0.3">
      <c r="B112" s="39">
        <v>46157</v>
      </c>
      <c r="C112" s="4" t="str">
        <f>_xlfn.XLOOKUP(tblMovimientos[[#This Row],[Cuenta Bancaria]],Listas!$B:$B,Listas!$A:$A,"")</f>
        <v>3628 Thomas Ave</v>
      </c>
      <c r="D112" s="40" t="s">
        <v>124</v>
      </c>
      <c r="E112" s="4" t="str">
        <f>_xlfn.XLOOKUP(tblMovimientos[[#This Row],[Cuenta Bancaria]],Listas!$B:$B,Listas!$C:$C,"")</f>
        <v>Bank of America</v>
      </c>
      <c r="F112" s="41" t="s">
        <v>10</v>
      </c>
      <c r="G112" s="40" t="s">
        <v>38</v>
      </c>
      <c r="H112" s="4" t="str">
        <f>IFERROR(_xlfn.XLOOKUP(G112,Listas!E:E,Listas!F:F,""),"")</f>
        <v>Operativo</v>
      </c>
      <c r="I112" s="46" t="str">
        <f>IFERROR(_xlfn.XLOOKUP(G112,Listas!E:E,Listas!G:G,""),"")</f>
        <v>Externo</v>
      </c>
      <c r="J112" s="43">
        <v>160</v>
      </c>
      <c r="K112" s="5">
        <f t="shared" si="1"/>
        <v>-160</v>
      </c>
      <c r="L112" s="6" t="s">
        <v>93</v>
      </c>
      <c r="M112" s="44">
        <f>SUMIFS('Saldos Iniciales'!$D:$D,'Saldos Iniciales'!$A:$A,C112,'Saldos Iniciales'!$B:$B,D112)+SUMIFS($K$1:$K$1324,$C$1:$C$1324,C112,$D$1:$D$1324,D112,$B$1:$B$1324,"&lt;="&amp;B112)</f>
        <v>27011.27</v>
      </c>
      <c r="N112" s="61" t="str">
        <f>IF(tblMovimientos[[#This Row],[Tipo de Movimiento]]="Ingreso",tblMovimientos[[#This Row],[Monto (S/)]],"0")</f>
        <v>0</v>
      </c>
      <c r="O112" s="61">
        <f>IF(tblMovimientos[[#This Row],[Tipo de Movimiento]]="Egreso",tblMovimientos[[#This Row],[Monto (S/)]],"0")</f>
        <v>160</v>
      </c>
      <c r="P112" s="28">
        <f>IF(tblMovimientos[[#This Row],[Tipo de Movimiento]]="Ingreso",tblMovimientos[[#This Row],[Ingreso]],-tblMovimientos[[#This Row],[Egreso]])</f>
        <v>-160</v>
      </c>
      <c r="Q112" s="78" t="str">
        <f>_xlfn.XLOOKUP(tblMovimientos[[#This Row],[Cuenta Bancaria]],Cuentas!$C:$C,Cuentas!$A:$A,"")&amp;""</f>
        <v>SSP Group</v>
      </c>
      <c r="R112" s="78" t="str">
        <f>_xlfn.XLOOKUP(tblMovimientos[[#This Row],[Cuenta Bancaria]],Cuentas!$C:$C,Cuentas!$B:$B,"",0,-1)&amp;""</f>
        <v/>
      </c>
    </row>
    <row r="113" spans="2:18" x14ac:dyDescent="0.3">
      <c r="B113" s="39">
        <v>46157</v>
      </c>
      <c r="C113" s="4" t="str">
        <f>_xlfn.XLOOKUP(tblMovimientos[[#This Row],[Cuenta Bancaria]],Listas!$B:$B,Listas!$A:$A,"")</f>
        <v>3628 Thomas Ave</v>
      </c>
      <c r="D113" s="40" t="s">
        <v>124</v>
      </c>
      <c r="E113" s="4" t="str">
        <f>_xlfn.XLOOKUP(tblMovimientos[[#This Row],[Cuenta Bancaria]],Listas!$B:$B,Listas!$C:$C,"")</f>
        <v>Bank of America</v>
      </c>
      <c r="F113" s="41" t="s">
        <v>10</v>
      </c>
      <c r="G113" s="40" t="s">
        <v>38</v>
      </c>
      <c r="H113" s="4" t="str">
        <f>IFERROR(_xlfn.XLOOKUP(G113,Listas!E:E,Listas!F:F,""),"")</f>
        <v>Operativo</v>
      </c>
      <c r="I113" s="46" t="str">
        <f>IFERROR(_xlfn.XLOOKUP(G113,Listas!E:E,Listas!G:G,""),"")</f>
        <v>Externo</v>
      </c>
      <c r="J113" s="43">
        <v>100</v>
      </c>
      <c r="K113" s="5">
        <f t="shared" si="1"/>
        <v>-100</v>
      </c>
      <c r="L113" s="6" t="s">
        <v>93</v>
      </c>
      <c r="M113" s="44">
        <f>SUMIFS('Saldos Iniciales'!$D:$D,'Saldos Iniciales'!$A:$A,C113,'Saldos Iniciales'!$B:$B,D113)+SUMIFS($K$1:$K$1324,$C$1:$C$1324,C113,$D$1:$D$1324,D113,$B$1:$B$1324,"&lt;="&amp;B113)</f>
        <v>27011.27</v>
      </c>
      <c r="N113" s="61" t="str">
        <f>IF(tblMovimientos[[#This Row],[Tipo de Movimiento]]="Ingreso",tblMovimientos[[#This Row],[Monto (S/)]],"0")</f>
        <v>0</v>
      </c>
      <c r="O113" s="61">
        <f>IF(tblMovimientos[[#This Row],[Tipo de Movimiento]]="Egreso",tblMovimientos[[#This Row],[Monto (S/)]],"0")</f>
        <v>100</v>
      </c>
      <c r="P113" s="28">
        <f>IF(tblMovimientos[[#This Row],[Tipo de Movimiento]]="Ingreso",tblMovimientos[[#This Row],[Ingreso]],-tblMovimientos[[#This Row],[Egreso]])</f>
        <v>-100</v>
      </c>
      <c r="Q113" s="78" t="str">
        <f>_xlfn.XLOOKUP(tblMovimientos[[#This Row],[Cuenta Bancaria]],Cuentas!$C:$C,Cuentas!$A:$A,"")&amp;""</f>
        <v>SSP Group</v>
      </c>
      <c r="R113" s="78" t="str">
        <f>_xlfn.XLOOKUP(tblMovimientos[[#This Row],[Cuenta Bancaria]],Cuentas!$C:$C,Cuentas!$B:$B,"",0,-1)&amp;""</f>
        <v/>
      </c>
    </row>
    <row r="114" spans="2:18" x14ac:dyDescent="0.3">
      <c r="B114" s="39">
        <v>46157</v>
      </c>
      <c r="C114" s="4" t="str">
        <f>_xlfn.XLOOKUP(tblMovimientos[[#This Row],[Cuenta Bancaria]],Listas!$B:$B,Listas!$A:$A,"")</f>
        <v>3628 Thomas Ave</v>
      </c>
      <c r="D114" s="40" t="s">
        <v>124</v>
      </c>
      <c r="E114" s="4" t="str">
        <f>_xlfn.XLOOKUP(tblMovimientos[[#This Row],[Cuenta Bancaria]],Listas!$B:$B,Listas!$C:$C,"")</f>
        <v>Bank of America</v>
      </c>
      <c r="F114" s="41" t="s">
        <v>10</v>
      </c>
      <c r="G114" s="40" t="s">
        <v>38</v>
      </c>
      <c r="H114" s="4" t="str">
        <f>IFERROR(_xlfn.XLOOKUP(G114,Listas!E:E,Listas!F:F,""),"")</f>
        <v>Operativo</v>
      </c>
      <c r="I114" s="46" t="str">
        <f>IFERROR(_xlfn.XLOOKUP(G114,Listas!E:E,Listas!G:G,""),"")</f>
        <v>Externo</v>
      </c>
      <c r="J114" s="43">
        <v>200</v>
      </c>
      <c r="K114" s="5">
        <f t="shared" si="1"/>
        <v>-200</v>
      </c>
      <c r="L114" s="6" t="s">
        <v>93</v>
      </c>
      <c r="M114" s="44">
        <f>SUMIFS('Saldos Iniciales'!$D:$D,'Saldos Iniciales'!$A:$A,C114,'Saldos Iniciales'!$B:$B,D114)+SUMIFS($K$1:$K$1324,$C$1:$C$1324,C114,$D$1:$D$1324,D114,$B$1:$B$1324,"&lt;="&amp;B114)</f>
        <v>27011.27</v>
      </c>
      <c r="N114" s="61" t="str">
        <f>IF(tblMovimientos[[#This Row],[Tipo de Movimiento]]="Ingreso",tblMovimientos[[#This Row],[Monto (S/)]],"0")</f>
        <v>0</v>
      </c>
      <c r="O114" s="61">
        <f>IF(tblMovimientos[[#This Row],[Tipo de Movimiento]]="Egreso",tblMovimientos[[#This Row],[Monto (S/)]],"0")</f>
        <v>200</v>
      </c>
      <c r="P114" s="28">
        <f>IF(tblMovimientos[[#This Row],[Tipo de Movimiento]]="Ingreso",tblMovimientos[[#This Row],[Ingreso]],-tblMovimientos[[#This Row],[Egreso]])</f>
        <v>-200</v>
      </c>
      <c r="Q114" s="78" t="str">
        <f>_xlfn.XLOOKUP(tblMovimientos[[#This Row],[Cuenta Bancaria]],Cuentas!$C:$C,Cuentas!$A:$A,"")&amp;""</f>
        <v>SSP Group</v>
      </c>
      <c r="R114" s="78" t="str">
        <f>_xlfn.XLOOKUP(tblMovimientos[[#This Row],[Cuenta Bancaria]],Cuentas!$C:$C,Cuentas!$B:$B,"",0,-1)&amp;""</f>
        <v/>
      </c>
    </row>
    <row r="115" spans="2:18" x14ac:dyDescent="0.3">
      <c r="B115" s="39">
        <v>46157</v>
      </c>
      <c r="C115" s="4" t="str">
        <f>_xlfn.XLOOKUP(tblMovimientos[[#This Row],[Cuenta Bancaria]],Listas!$B:$B,Listas!$A:$A,"")</f>
        <v>3628 Thomas Ave</v>
      </c>
      <c r="D115" s="40" t="s">
        <v>124</v>
      </c>
      <c r="E115" s="4" t="str">
        <f>_xlfn.XLOOKUP(tblMovimientos[[#This Row],[Cuenta Bancaria]],Listas!$B:$B,Listas!$C:$C,"")</f>
        <v>Bank of America</v>
      </c>
      <c r="F115" s="41" t="s">
        <v>10</v>
      </c>
      <c r="G115" s="40" t="s">
        <v>38</v>
      </c>
      <c r="H115" s="4" t="str">
        <f>IFERROR(_xlfn.XLOOKUP(G115,Listas!E:E,Listas!F:F,""),"")</f>
        <v>Operativo</v>
      </c>
      <c r="I115" s="46" t="str">
        <f>IFERROR(_xlfn.XLOOKUP(G115,Listas!E:E,Listas!G:G,""),"")</f>
        <v>Externo</v>
      </c>
      <c r="J115" s="43">
        <v>2.12</v>
      </c>
      <c r="K115" s="5">
        <f t="shared" si="1"/>
        <v>-2.12</v>
      </c>
      <c r="L115" s="6" t="s">
        <v>93</v>
      </c>
      <c r="M115" s="44">
        <f>SUMIFS('Saldos Iniciales'!$D:$D,'Saldos Iniciales'!$A:$A,C115,'Saldos Iniciales'!$B:$B,D115)+SUMIFS($K$1:$K$1324,$C$1:$C$1324,C115,$D$1:$D$1324,D115,$B$1:$B$1324,"&lt;="&amp;B115)</f>
        <v>27011.27</v>
      </c>
      <c r="N115" s="61" t="str">
        <f>IF(tblMovimientos[[#This Row],[Tipo de Movimiento]]="Ingreso",tblMovimientos[[#This Row],[Monto (S/)]],"0")</f>
        <v>0</v>
      </c>
      <c r="O115" s="61">
        <f>IF(tblMovimientos[[#This Row],[Tipo de Movimiento]]="Egreso",tblMovimientos[[#This Row],[Monto (S/)]],"0")</f>
        <v>2.12</v>
      </c>
      <c r="P115" s="28">
        <f>IF(tblMovimientos[[#This Row],[Tipo de Movimiento]]="Ingreso",tblMovimientos[[#This Row],[Ingreso]],-tblMovimientos[[#This Row],[Egreso]])</f>
        <v>-2.12</v>
      </c>
      <c r="Q115" s="78" t="str">
        <f>_xlfn.XLOOKUP(tblMovimientos[[#This Row],[Cuenta Bancaria]],Cuentas!$C:$C,Cuentas!$A:$A,"")&amp;""</f>
        <v>SSP Group</v>
      </c>
      <c r="R115" s="78" t="str">
        <f>_xlfn.XLOOKUP(tblMovimientos[[#This Row],[Cuenta Bancaria]],Cuentas!$C:$C,Cuentas!$B:$B,"",0,-1)&amp;""</f>
        <v/>
      </c>
    </row>
    <row r="116" spans="2:18" x14ac:dyDescent="0.3">
      <c r="B116" s="39">
        <v>46157</v>
      </c>
      <c r="C116" s="4" t="str">
        <f>_xlfn.XLOOKUP(tblMovimientos[[#This Row],[Cuenta Bancaria]],Listas!$B:$B,Listas!$A:$A,"")</f>
        <v>A&amp;M Imports</v>
      </c>
      <c r="D116" s="40" t="s">
        <v>100</v>
      </c>
      <c r="E116" s="4" t="str">
        <f>_xlfn.XLOOKUP(tblMovimientos[[#This Row],[Cuenta Bancaria]],Listas!$B:$B,Listas!$C:$C,"")</f>
        <v>Bank of America</v>
      </c>
      <c r="F116" s="41" t="s">
        <v>10</v>
      </c>
      <c r="G116" s="40" t="s">
        <v>44</v>
      </c>
      <c r="H116" s="4" t="str">
        <f>IFERROR(_xlfn.XLOOKUP(G116,Listas!E:E,Listas!F:F,""),"")</f>
        <v>Operativo</v>
      </c>
      <c r="I116" s="46" t="str">
        <f>IFERROR(_xlfn.XLOOKUP(G116,Listas!E:E,Listas!G:G,""),"")</f>
        <v>Externo</v>
      </c>
      <c r="J116" s="43">
        <v>603.46</v>
      </c>
      <c r="K116" s="5">
        <f t="shared" si="1"/>
        <v>-603.46</v>
      </c>
      <c r="L116" s="6" t="s">
        <v>93</v>
      </c>
      <c r="M116" s="44">
        <f>SUMIFS('Saldos Iniciales'!$D:$D,'Saldos Iniciales'!$A:$A,C116,'Saldos Iniciales'!$B:$B,D116)+SUMIFS($K$1:$K$1324,$C$1:$C$1324,C116,$D$1:$D$1324,D116,$B$1:$B$1324,"&lt;="&amp;B116)</f>
        <v>832076.20999999985</v>
      </c>
      <c r="N116" s="61" t="str">
        <f>IF(tblMovimientos[[#This Row],[Tipo de Movimiento]]="Ingreso",tblMovimientos[[#This Row],[Monto (S/)]],"0")</f>
        <v>0</v>
      </c>
      <c r="O116" s="61">
        <f>IF(tblMovimientos[[#This Row],[Tipo de Movimiento]]="Egreso",tblMovimientos[[#This Row],[Monto (S/)]],"0")</f>
        <v>603.46</v>
      </c>
      <c r="P116" s="28">
        <f>IF(tblMovimientos[[#This Row],[Tipo de Movimiento]]="Ingreso",tblMovimientos[[#This Row],[Ingreso]],-tblMovimientos[[#This Row],[Egreso]])</f>
        <v>-603.46</v>
      </c>
      <c r="Q116" s="78" t="str">
        <f>_xlfn.XLOOKUP(tblMovimientos[[#This Row],[Cuenta Bancaria]],Cuentas!$C:$C,Cuentas!$A:$A,"")&amp;""</f>
        <v>SSP Group</v>
      </c>
      <c r="R116" s="78" t="str">
        <f>_xlfn.XLOOKUP(tblMovimientos[[#This Row],[Cuenta Bancaria]],Cuentas!$C:$C,Cuentas!$B:$B,"",0,-1)&amp;""</f>
        <v/>
      </c>
    </row>
    <row r="117" spans="2:18" x14ac:dyDescent="0.3">
      <c r="B117" s="39">
        <v>46157</v>
      </c>
      <c r="C117" s="4" t="str">
        <f>_xlfn.XLOOKUP(tblMovimientos[[#This Row],[Cuenta Bancaria]],Listas!$B:$B,Listas!$A:$A,"")</f>
        <v>SSP Capital</v>
      </c>
      <c r="D117" s="40" t="s">
        <v>102</v>
      </c>
      <c r="E117" s="4" t="str">
        <f>_xlfn.XLOOKUP(tblMovimientos[[#This Row],[Cuenta Bancaria]],Listas!$B:$B,Listas!$C:$C,"")</f>
        <v>Bank of America</v>
      </c>
      <c r="F117" s="41" t="s">
        <v>10</v>
      </c>
      <c r="G117" s="40" t="s">
        <v>44</v>
      </c>
      <c r="H117" s="4" t="str">
        <f>IFERROR(_xlfn.XLOOKUP(G117,Listas!E:E,Listas!F:F,""),"")</f>
        <v>Operativo</v>
      </c>
      <c r="I117" s="46" t="str">
        <f>IFERROR(_xlfn.XLOOKUP(G117,Listas!E:E,Listas!G:G,""),"")</f>
        <v>Externo</v>
      </c>
      <c r="J117" s="43">
        <v>29.41</v>
      </c>
      <c r="K117" s="5">
        <f t="shared" si="1"/>
        <v>-29.41</v>
      </c>
      <c r="L117" s="6" t="s">
        <v>93</v>
      </c>
      <c r="M117" s="44">
        <f>SUMIFS('Saldos Iniciales'!$D:$D,'Saldos Iniciales'!$A:$A,C117,'Saldos Iniciales'!$B:$B,D117)+SUMIFS($K$1:$K$1324,$C$1:$C$1324,C117,$D$1:$D$1324,D117,$B$1:$B$1324,"&lt;="&amp;B117)</f>
        <v>729.66000000000008</v>
      </c>
      <c r="N117" s="61" t="str">
        <f>IF(tblMovimientos[[#This Row],[Tipo de Movimiento]]="Ingreso",tblMovimientos[[#This Row],[Monto (S/)]],"0")</f>
        <v>0</v>
      </c>
      <c r="O117" s="61">
        <f>IF(tblMovimientos[[#This Row],[Tipo de Movimiento]]="Egreso",tblMovimientos[[#This Row],[Monto (S/)]],"0")</f>
        <v>29.41</v>
      </c>
      <c r="P117" s="28">
        <f>IF(tblMovimientos[[#This Row],[Tipo de Movimiento]]="Ingreso",tblMovimientos[[#This Row],[Ingreso]],-tblMovimientos[[#This Row],[Egreso]])</f>
        <v>-29.41</v>
      </c>
      <c r="Q117" s="78" t="str">
        <f>_xlfn.XLOOKUP(tblMovimientos[[#This Row],[Cuenta Bancaria]],Cuentas!$C:$C,Cuentas!$A:$A,"")&amp;""</f>
        <v>SSP Group</v>
      </c>
      <c r="R117" s="78" t="str">
        <f>_xlfn.XLOOKUP(tblMovimientos[[#This Row],[Cuenta Bancaria]],Cuentas!$C:$C,Cuentas!$B:$B,"",0,-1)&amp;""</f>
        <v/>
      </c>
    </row>
    <row r="118" spans="2:18" x14ac:dyDescent="0.3">
      <c r="B118" s="39">
        <v>46160</v>
      </c>
      <c r="C118" s="4" t="str">
        <f>_xlfn.XLOOKUP(tblMovimientos[[#This Row],[Cuenta Bancaria]],Listas!$B:$B,Listas!$A:$A,"")</f>
        <v>SSP Capital</v>
      </c>
      <c r="D118" s="40" t="s">
        <v>104</v>
      </c>
      <c r="E118" s="4" t="str">
        <f>_xlfn.XLOOKUP(tblMovimientos[[#This Row],[Cuenta Bancaria]],Listas!$B:$B,Listas!$C:$C,"")</f>
        <v xml:space="preserve">Amerant Bank </v>
      </c>
      <c r="F118" s="41" t="s">
        <v>10</v>
      </c>
      <c r="G118" s="40" t="s">
        <v>39</v>
      </c>
      <c r="H118" s="4" t="str">
        <f>IFERROR(_xlfn.XLOOKUP(G118,Listas!E:E,Listas!F:F,""),"")</f>
        <v>Operativo</v>
      </c>
      <c r="I118" s="46" t="str">
        <f>IFERROR(_xlfn.XLOOKUP(G118,Listas!E:E,Listas!G:G,""),"")</f>
        <v>Externo</v>
      </c>
      <c r="J118" s="43">
        <v>20960.11</v>
      </c>
      <c r="K118" s="5">
        <f t="shared" si="1"/>
        <v>-20960.11</v>
      </c>
      <c r="L118" s="6" t="s">
        <v>93</v>
      </c>
      <c r="M118" s="44">
        <f>SUMIFS('Saldos Iniciales'!$D:$D,'Saldos Iniciales'!$A:$A,C118,'Saldos Iniciales'!$B:$B,D118)+SUMIFS($K$1:$K$1324,$C$1:$C$1324,C118,$D$1:$D$1324,D118,$B$1:$B$1324,"&lt;="&amp;B118)</f>
        <v>155157.40999999939</v>
      </c>
      <c r="N118" s="61" t="str">
        <f>IF(tblMovimientos[[#This Row],[Tipo de Movimiento]]="Ingreso",tblMovimientos[[#This Row],[Monto (S/)]],"0")</f>
        <v>0</v>
      </c>
      <c r="O118" s="61">
        <f>IF(tblMovimientos[[#This Row],[Tipo de Movimiento]]="Egreso",tblMovimientos[[#This Row],[Monto (S/)]],"0")</f>
        <v>20960.11</v>
      </c>
      <c r="P118" s="28">
        <f>IF(tblMovimientos[[#This Row],[Tipo de Movimiento]]="Ingreso",tblMovimientos[[#This Row],[Ingreso]],-tblMovimientos[[#This Row],[Egreso]])</f>
        <v>-20960.11</v>
      </c>
      <c r="Q118" s="78" t="str">
        <f>_xlfn.XLOOKUP(tblMovimientos[[#This Row],[Cuenta Bancaria]],Cuentas!$C:$C,Cuentas!$A:$A,"")&amp;""</f>
        <v>SSP Group</v>
      </c>
      <c r="R118" s="78" t="str">
        <f>_xlfn.XLOOKUP(tblMovimientos[[#This Row],[Cuenta Bancaria]],Cuentas!$C:$C,Cuentas!$B:$B,"",0,-1)&amp;""</f>
        <v/>
      </c>
    </row>
    <row r="119" spans="2:18" x14ac:dyDescent="0.3">
      <c r="B119" s="39">
        <v>46160</v>
      </c>
      <c r="C119" s="4" t="str">
        <f>_xlfn.XLOOKUP(tblMovimientos[[#This Row],[Cuenta Bancaria]],Listas!$B:$B,Listas!$A:$A,"")</f>
        <v>Go Blue</v>
      </c>
      <c r="D119" s="40" t="s">
        <v>126</v>
      </c>
      <c r="E119" s="4" t="str">
        <f>_xlfn.XLOOKUP(tblMovimientos[[#This Row],[Cuenta Bancaria]],Listas!$B:$B,Listas!$C:$C,"")</f>
        <v xml:space="preserve">Amerant Bank </v>
      </c>
      <c r="F119" s="41" t="s">
        <v>10</v>
      </c>
      <c r="G119" s="40" t="s">
        <v>38</v>
      </c>
      <c r="H119" s="4" t="str">
        <f>IFERROR(_xlfn.XLOOKUP(G119,Listas!E:E,Listas!F:F,""),"")</f>
        <v>Operativo</v>
      </c>
      <c r="I119" s="46" t="str">
        <f>IFERROR(_xlfn.XLOOKUP(G119,Listas!E:E,Listas!G:G,""),"")</f>
        <v>Externo</v>
      </c>
      <c r="J119" s="43">
        <v>235.38</v>
      </c>
      <c r="K119" s="5">
        <f t="shared" si="1"/>
        <v>-235.38</v>
      </c>
      <c r="L119" s="6" t="s">
        <v>93</v>
      </c>
      <c r="M119" s="44">
        <f>SUMIFS('Saldos Iniciales'!$D:$D,'Saldos Iniciales'!$A:$A,C119,'Saldos Iniciales'!$B:$B,D119)+SUMIFS($K$1:$K$1324,$C$1:$C$1324,C119,$D$1:$D$1324,D119,$B$1:$B$1324,"&lt;="&amp;B119)</f>
        <v>13941.210000000001</v>
      </c>
      <c r="N119" s="61" t="str">
        <f>IF(tblMovimientos[[#This Row],[Tipo de Movimiento]]="Ingreso",tblMovimientos[[#This Row],[Monto (S/)]],"0")</f>
        <v>0</v>
      </c>
      <c r="O119" s="61">
        <f>IF(tblMovimientos[[#This Row],[Tipo de Movimiento]]="Egreso",tblMovimientos[[#This Row],[Monto (S/)]],"0")</f>
        <v>235.38</v>
      </c>
      <c r="P119" s="28">
        <f>IF(tblMovimientos[[#This Row],[Tipo de Movimiento]]="Ingreso",tblMovimientos[[#This Row],[Ingreso]],-tblMovimientos[[#This Row],[Egreso]])</f>
        <v>-235.38</v>
      </c>
      <c r="Q119" s="78" t="str">
        <f>_xlfn.XLOOKUP(tblMovimientos[[#This Row],[Cuenta Bancaria]],Cuentas!$C:$C,Cuentas!$A:$A,"")&amp;""</f>
        <v>SSP Group</v>
      </c>
      <c r="R119" s="78" t="str">
        <f>_xlfn.XLOOKUP(tblMovimientos[[#This Row],[Cuenta Bancaria]],Cuentas!$C:$C,Cuentas!$B:$B,"",0,-1)&amp;""</f>
        <v/>
      </c>
    </row>
    <row r="120" spans="2:18" x14ac:dyDescent="0.3">
      <c r="B120" s="39">
        <v>46160</v>
      </c>
      <c r="C120" s="4" t="str">
        <f>_xlfn.XLOOKUP(tblMovimientos[[#This Row],[Cuenta Bancaria]],Listas!$B:$B,Listas!$A:$A,"")</f>
        <v>SSP Capital</v>
      </c>
      <c r="D120" s="40" t="s">
        <v>101</v>
      </c>
      <c r="E120" s="4" t="str">
        <f>_xlfn.XLOOKUP(tblMovimientos[[#This Row],[Cuenta Bancaria]],Listas!$B:$B,Listas!$C:$C,"")</f>
        <v>Bank of America</v>
      </c>
      <c r="F120" s="41" t="s">
        <v>10</v>
      </c>
      <c r="G120" s="40" t="s">
        <v>38</v>
      </c>
      <c r="H120" s="4" t="str">
        <f>IFERROR(_xlfn.XLOOKUP(G120,Listas!E:E,Listas!F:F,""),"")</f>
        <v>Operativo</v>
      </c>
      <c r="I120" s="46" t="str">
        <f>IFERROR(_xlfn.XLOOKUP(G120,Listas!E:E,Listas!G:G,""),"")</f>
        <v>Externo</v>
      </c>
      <c r="J120" s="43">
        <v>2490.36</v>
      </c>
      <c r="K120" s="5">
        <f t="shared" si="1"/>
        <v>-2490.36</v>
      </c>
      <c r="L120" s="6" t="s">
        <v>93</v>
      </c>
      <c r="M120" s="44">
        <f>SUMIFS('Saldos Iniciales'!$D:$D,'Saldos Iniciales'!$A:$A,C120,'Saldos Iniciales'!$B:$B,D120)+SUMIFS($K$1:$K$1324,$C$1:$C$1324,C120,$D$1:$D$1324,D120,$B$1:$B$1324,"&lt;="&amp;B120)</f>
        <v>15543.84</v>
      </c>
      <c r="N120" s="61" t="str">
        <f>IF(tblMovimientos[[#This Row],[Tipo de Movimiento]]="Ingreso",tblMovimientos[[#This Row],[Monto (S/)]],"0")</f>
        <v>0</v>
      </c>
      <c r="O120" s="61">
        <f>IF(tblMovimientos[[#This Row],[Tipo de Movimiento]]="Egreso",tblMovimientos[[#This Row],[Monto (S/)]],"0")</f>
        <v>2490.36</v>
      </c>
      <c r="P120" s="28">
        <f>IF(tblMovimientos[[#This Row],[Tipo de Movimiento]]="Ingreso",tblMovimientos[[#This Row],[Ingreso]],-tblMovimientos[[#This Row],[Egreso]])</f>
        <v>-2490.36</v>
      </c>
      <c r="Q120" s="78" t="str">
        <f>_xlfn.XLOOKUP(tblMovimientos[[#This Row],[Cuenta Bancaria]],Cuentas!$C:$C,Cuentas!$A:$A,"")&amp;""</f>
        <v>SSP Group</v>
      </c>
      <c r="R120" s="78" t="str">
        <f>_xlfn.XLOOKUP(tblMovimientos[[#This Row],[Cuenta Bancaria]],Cuentas!$C:$C,Cuentas!$B:$B,"",0,-1)&amp;""</f>
        <v/>
      </c>
    </row>
    <row r="121" spans="2:18" x14ac:dyDescent="0.3">
      <c r="B121" s="39">
        <v>46160</v>
      </c>
      <c r="C121" s="4" t="str">
        <f>_xlfn.XLOOKUP(tblMovimientos[[#This Row],[Cuenta Bancaria]],Listas!$B:$B,Listas!$A:$A,"")</f>
        <v>2515 Overbrook</v>
      </c>
      <c r="D121" s="40" t="s">
        <v>121</v>
      </c>
      <c r="E121" s="4" t="str">
        <f>_xlfn.XLOOKUP(tblMovimientos[[#This Row],[Cuenta Bancaria]],Listas!$B:$B,Listas!$C:$C,"")</f>
        <v>Bank of America</v>
      </c>
      <c r="F121" s="41" t="s">
        <v>10</v>
      </c>
      <c r="G121" s="40" t="s">
        <v>38</v>
      </c>
      <c r="H121" s="4" t="str">
        <f>IFERROR(_xlfn.XLOOKUP(G121,Listas!E:E,Listas!F:F,""),"")</f>
        <v>Operativo</v>
      </c>
      <c r="I121" s="46" t="str">
        <f>IFERROR(_xlfn.XLOOKUP(G121,Listas!E:E,Listas!G:G,""),"")</f>
        <v>Externo</v>
      </c>
      <c r="J121" s="43">
        <v>2779</v>
      </c>
      <c r="K121" s="5">
        <f t="shared" si="1"/>
        <v>-2779</v>
      </c>
      <c r="L121" s="6" t="s">
        <v>93</v>
      </c>
      <c r="M121" s="44">
        <f>SUMIFS('Saldos Iniciales'!$D:$D,'Saldos Iniciales'!$A:$A,C121,'Saldos Iniciales'!$B:$B,D121)+SUMIFS($K$1:$K$1324,$C$1:$C$1324,C121,$D$1:$D$1324,D121,$B$1:$B$1324,"&lt;="&amp;B121)</f>
        <v>15123.179999999962</v>
      </c>
      <c r="N121" s="61" t="str">
        <f>IF(tblMovimientos[[#This Row],[Tipo de Movimiento]]="Ingreso",tblMovimientos[[#This Row],[Monto (S/)]],"0")</f>
        <v>0</v>
      </c>
      <c r="O121" s="61">
        <f>IF(tblMovimientos[[#This Row],[Tipo de Movimiento]]="Egreso",tblMovimientos[[#This Row],[Monto (S/)]],"0")</f>
        <v>2779</v>
      </c>
      <c r="P121" s="28">
        <f>IF(tblMovimientos[[#This Row],[Tipo de Movimiento]]="Ingreso",tblMovimientos[[#This Row],[Ingreso]],-tblMovimientos[[#This Row],[Egreso]])</f>
        <v>-2779</v>
      </c>
      <c r="Q121" s="78" t="str">
        <f>_xlfn.XLOOKUP(tblMovimientos[[#This Row],[Cuenta Bancaria]],Cuentas!$C:$C,Cuentas!$A:$A,"")&amp;""</f>
        <v>SSP Group</v>
      </c>
      <c r="R121" s="78" t="str">
        <f>_xlfn.XLOOKUP(tblMovimientos[[#This Row],[Cuenta Bancaria]],Cuentas!$C:$C,Cuentas!$B:$B,"",0,-1)&amp;""</f>
        <v/>
      </c>
    </row>
    <row r="122" spans="2:18" x14ac:dyDescent="0.3">
      <c r="B122" s="39">
        <v>46160</v>
      </c>
      <c r="C122" s="4" t="str">
        <f>_xlfn.XLOOKUP(tblMovimientos[[#This Row],[Cuenta Bancaria]],Listas!$B:$B,Listas!$A:$A,"")</f>
        <v>3628 Thomas Ave</v>
      </c>
      <c r="D122" s="40" t="s">
        <v>124</v>
      </c>
      <c r="E122" s="4" t="str">
        <f>_xlfn.XLOOKUP(tblMovimientos[[#This Row],[Cuenta Bancaria]],Listas!$B:$B,Listas!$C:$C,"")</f>
        <v>Bank of America</v>
      </c>
      <c r="F122" s="41" t="s">
        <v>10</v>
      </c>
      <c r="G122" s="40" t="s">
        <v>44</v>
      </c>
      <c r="H122" s="4" t="str">
        <f>IFERROR(_xlfn.XLOOKUP(G122,Listas!E:E,Listas!F:F,""),"")</f>
        <v>Operativo</v>
      </c>
      <c r="I122" s="46" t="str">
        <f>IFERROR(_xlfn.XLOOKUP(G122,Listas!E:E,Listas!G:G,""),"")</f>
        <v>Externo</v>
      </c>
      <c r="J122" s="43">
        <v>5</v>
      </c>
      <c r="K122" s="5">
        <f t="shared" si="1"/>
        <v>-5</v>
      </c>
      <c r="L122" s="6" t="s">
        <v>93</v>
      </c>
      <c r="M122" s="44">
        <f>SUMIFS('Saldos Iniciales'!$D:$D,'Saldos Iniciales'!$A:$A,C122,'Saldos Iniciales'!$B:$B,D122)+SUMIFS($K$1:$K$1324,$C$1:$C$1324,C122,$D$1:$D$1324,D122,$B$1:$B$1324,"&lt;="&amp;B122)</f>
        <v>27006.27</v>
      </c>
      <c r="N122" s="61" t="str">
        <f>IF(tblMovimientos[[#This Row],[Tipo de Movimiento]]="Ingreso",tblMovimientos[[#This Row],[Monto (S/)]],"0")</f>
        <v>0</v>
      </c>
      <c r="O122" s="61">
        <f>IF(tblMovimientos[[#This Row],[Tipo de Movimiento]]="Egreso",tblMovimientos[[#This Row],[Monto (S/)]],"0")</f>
        <v>5</v>
      </c>
      <c r="P122" s="28">
        <f>IF(tblMovimientos[[#This Row],[Tipo de Movimiento]]="Ingreso",tblMovimientos[[#This Row],[Ingreso]],-tblMovimientos[[#This Row],[Egreso]])</f>
        <v>-5</v>
      </c>
      <c r="Q122" s="78" t="str">
        <f>_xlfn.XLOOKUP(tblMovimientos[[#This Row],[Cuenta Bancaria]],Cuentas!$C:$C,Cuentas!$A:$A,"")&amp;""</f>
        <v>SSP Group</v>
      </c>
      <c r="R122" s="78" t="str">
        <f>_xlfn.XLOOKUP(tblMovimientos[[#This Row],[Cuenta Bancaria]],Cuentas!$C:$C,Cuentas!$B:$B,"",0,-1)&amp;""</f>
        <v/>
      </c>
    </row>
    <row r="123" spans="2:18" x14ac:dyDescent="0.3">
      <c r="B123" s="39">
        <v>46161</v>
      </c>
      <c r="C123" s="4" t="str">
        <f>_xlfn.XLOOKUP(tblMovimientos[[#This Row],[Cuenta Bancaria]],Listas!$B:$B,Listas!$A:$A,"")</f>
        <v>SSP Capital</v>
      </c>
      <c r="D123" s="40" t="s">
        <v>101</v>
      </c>
      <c r="E123" s="4" t="str">
        <f>_xlfn.XLOOKUP(tblMovimientos[[#This Row],[Cuenta Bancaria]],Listas!$B:$B,Listas!$C:$C,"")</f>
        <v>Bank of America</v>
      </c>
      <c r="F123" s="41" t="s">
        <v>10</v>
      </c>
      <c r="G123" s="40" t="s">
        <v>38</v>
      </c>
      <c r="H123" s="4" t="str">
        <f>IFERROR(_xlfn.XLOOKUP(G123,Listas!E:E,Listas!F:F,""),"")</f>
        <v>Operativo</v>
      </c>
      <c r="I123" s="46" t="str">
        <f>IFERROR(_xlfn.XLOOKUP(G123,Listas!E:E,Listas!G:G,""),"")</f>
        <v>Externo</v>
      </c>
      <c r="J123" s="43">
        <v>2383.4899999999998</v>
      </c>
      <c r="K123" s="5">
        <f t="shared" si="1"/>
        <v>-2383.4899999999998</v>
      </c>
      <c r="L123" s="6" t="s">
        <v>93</v>
      </c>
      <c r="M123" s="44">
        <f>SUMIFS('Saldos Iniciales'!$D:$D,'Saldos Iniciales'!$A:$A,C123,'Saldos Iniciales'!$B:$B,D123)+SUMIFS($K$1:$K$1324,$C$1:$C$1324,C123,$D$1:$D$1324,D123,$B$1:$B$1324,"&lt;="&amp;B123)</f>
        <v>12423.310000000001</v>
      </c>
      <c r="N123" s="61" t="str">
        <f>IF(tblMovimientos[[#This Row],[Tipo de Movimiento]]="Ingreso",tblMovimientos[[#This Row],[Monto (S/)]],"0")</f>
        <v>0</v>
      </c>
      <c r="O123" s="61">
        <f>IF(tblMovimientos[[#This Row],[Tipo de Movimiento]]="Egreso",tblMovimientos[[#This Row],[Monto (S/)]],"0")</f>
        <v>2383.4899999999998</v>
      </c>
      <c r="P123" s="28">
        <f>IF(tblMovimientos[[#This Row],[Tipo de Movimiento]]="Ingreso",tblMovimientos[[#This Row],[Ingreso]],-tblMovimientos[[#This Row],[Egreso]])</f>
        <v>-2383.4899999999998</v>
      </c>
      <c r="Q123" s="78" t="str">
        <f>_xlfn.XLOOKUP(tblMovimientos[[#This Row],[Cuenta Bancaria]],Cuentas!$C:$C,Cuentas!$A:$A,"")&amp;""</f>
        <v>SSP Group</v>
      </c>
      <c r="R123" s="78" t="str">
        <f>_xlfn.XLOOKUP(tblMovimientos[[#This Row],[Cuenta Bancaria]],Cuentas!$C:$C,Cuentas!$B:$B,"",0,-1)&amp;""</f>
        <v/>
      </c>
    </row>
    <row r="124" spans="2:18" x14ac:dyDescent="0.3">
      <c r="B124" s="39">
        <v>46161</v>
      </c>
      <c r="C124" s="4" t="str">
        <f>_xlfn.XLOOKUP(tblMovimientos[[#This Row],[Cuenta Bancaria]],Listas!$B:$B,Listas!$A:$A,"")</f>
        <v>SSP Capital</v>
      </c>
      <c r="D124" s="40" t="s">
        <v>101</v>
      </c>
      <c r="E124" s="4" t="str">
        <f>_xlfn.XLOOKUP(tblMovimientos[[#This Row],[Cuenta Bancaria]],Listas!$B:$B,Listas!$C:$C,"")</f>
        <v>Bank of America</v>
      </c>
      <c r="F124" s="41" t="s">
        <v>10</v>
      </c>
      <c r="G124" s="40" t="s">
        <v>38</v>
      </c>
      <c r="H124" s="4" t="str">
        <f>IFERROR(_xlfn.XLOOKUP(G124,Listas!E:E,Listas!F:F,""),"")</f>
        <v>Operativo</v>
      </c>
      <c r="I124" s="46" t="str">
        <f>IFERROR(_xlfn.XLOOKUP(G124,Listas!E:E,Listas!G:G,""),"")</f>
        <v>Externo</v>
      </c>
      <c r="J124" s="43">
        <v>737.04</v>
      </c>
      <c r="K124" s="5">
        <f t="shared" si="1"/>
        <v>-737.04</v>
      </c>
      <c r="L124" s="6" t="s">
        <v>93</v>
      </c>
      <c r="M124" s="44">
        <f>SUMIFS('Saldos Iniciales'!$D:$D,'Saldos Iniciales'!$A:$A,C124,'Saldos Iniciales'!$B:$B,D124)+SUMIFS($K$1:$K$1324,$C$1:$C$1324,C124,$D$1:$D$1324,D124,$B$1:$B$1324,"&lt;="&amp;B124)</f>
        <v>12423.310000000001</v>
      </c>
      <c r="N124" s="61" t="str">
        <f>IF(tblMovimientos[[#This Row],[Tipo de Movimiento]]="Ingreso",tblMovimientos[[#This Row],[Monto (S/)]],"0")</f>
        <v>0</v>
      </c>
      <c r="O124" s="61">
        <f>IF(tblMovimientos[[#This Row],[Tipo de Movimiento]]="Egreso",tblMovimientos[[#This Row],[Monto (S/)]],"0")</f>
        <v>737.04</v>
      </c>
      <c r="P124" s="28">
        <f>IF(tblMovimientos[[#This Row],[Tipo de Movimiento]]="Ingreso",tblMovimientos[[#This Row],[Ingreso]],-tblMovimientos[[#This Row],[Egreso]])</f>
        <v>-737.04</v>
      </c>
      <c r="Q124" s="78" t="str">
        <f>_xlfn.XLOOKUP(tblMovimientos[[#This Row],[Cuenta Bancaria]],Cuentas!$C:$C,Cuentas!$A:$A,"")&amp;""</f>
        <v>SSP Group</v>
      </c>
      <c r="R124" s="78" t="str">
        <f>_xlfn.XLOOKUP(tblMovimientos[[#This Row],[Cuenta Bancaria]],Cuentas!$C:$C,Cuentas!$B:$B,"",0,-1)&amp;""</f>
        <v/>
      </c>
    </row>
    <row r="125" spans="2:18" x14ac:dyDescent="0.3">
      <c r="B125" s="39">
        <v>46161</v>
      </c>
      <c r="C125" s="4" t="str">
        <f>_xlfn.XLOOKUP(tblMovimientos[[#This Row],[Cuenta Bancaria]],Listas!$B:$B,Listas!$A:$A,"")</f>
        <v>CFT Group</v>
      </c>
      <c r="D125" s="40" t="s">
        <v>94</v>
      </c>
      <c r="E125" s="4" t="str">
        <f>_xlfn.XLOOKUP(tblMovimientos[[#This Row],[Cuenta Bancaria]],Listas!$B:$B,Listas!$C:$C,"")</f>
        <v>Bank of America</v>
      </c>
      <c r="F125" s="41" t="s">
        <v>9</v>
      </c>
      <c r="G125" s="40" t="s">
        <v>70</v>
      </c>
      <c r="H125" s="4" t="str">
        <f>IFERROR(_xlfn.XLOOKUP(G125,Listas!E:E,Listas!F:F,""),"")</f>
        <v>Operativo</v>
      </c>
      <c r="I125" s="46" t="str">
        <f>IFERROR(_xlfn.XLOOKUP(G125,Listas!E:E,Listas!G:G,""),"")</f>
        <v>Externo</v>
      </c>
      <c r="J125" s="43">
        <v>650000</v>
      </c>
      <c r="K125" s="5">
        <f t="shared" si="1"/>
        <v>650000</v>
      </c>
      <c r="L125" s="6" t="s">
        <v>93</v>
      </c>
      <c r="M125" s="44">
        <f>SUMIFS('Saldos Iniciales'!$D:$D,'Saldos Iniciales'!$A:$A,C125,'Saldos Iniciales'!$B:$B,D125)+SUMIFS($K$1:$K$1324,$C$1:$C$1324,C125,$D$1:$D$1324,D125,$B$1:$B$1324,"&lt;="&amp;B125)</f>
        <v>661613.90999999992</v>
      </c>
      <c r="N125" s="61">
        <f>IF(tblMovimientos[[#This Row],[Tipo de Movimiento]]="Ingreso",tblMovimientos[[#This Row],[Monto (S/)]],"0")</f>
        <v>650000</v>
      </c>
      <c r="O125" s="61" t="str">
        <f>IF(tblMovimientos[[#This Row],[Tipo de Movimiento]]="Egreso",tblMovimientos[[#This Row],[Monto (S/)]],"0")</f>
        <v>0</v>
      </c>
      <c r="P125" s="28">
        <f>IF(tblMovimientos[[#This Row],[Tipo de Movimiento]]="Ingreso",tblMovimientos[[#This Row],[Ingreso]],-tblMovimientos[[#This Row],[Egreso]])</f>
        <v>650000</v>
      </c>
      <c r="Q125" s="78" t="str">
        <f>_xlfn.XLOOKUP(tblMovimientos[[#This Row],[Cuenta Bancaria]],Cuentas!$C:$C,Cuentas!$A:$A,"")&amp;""</f>
        <v>SSP Group</v>
      </c>
      <c r="R125" s="78" t="str">
        <f>_xlfn.XLOOKUP(tblMovimientos[[#This Row],[Cuenta Bancaria]],Cuentas!$C:$C,Cuentas!$B:$B,"",0,-1)&amp;""</f>
        <v/>
      </c>
    </row>
    <row r="126" spans="2:18" x14ac:dyDescent="0.3">
      <c r="B126" s="39">
        <v>46161</v>
      </c>
      <c r="C126" s="4" t="str">
        <f>_xlfn.XLOOKUP(tblMovimientos[[#This Row],[Cuenta Bancaria]],Listas!$B:$B,Listas!$A:$A,"")</f>
        <v>Cross Family Trust</v>
      </c>
      <c r="D126" s="40" t="s">
        <v>111</v>
      </c>
      <c r="E126" s="4" t="str">
        <f>_xlfn.XLOOKUP(tblMovimientos[[#This Row],[Cuenta Bancaria]],Listas!$B:$B,Listas!$C:$C,"")</f>
        <v xml:space="preserve">Amerant Bank </v>
      </c>
      <c r="F126" s="41" t="s">
        <v>10</v>
      </c>
      <c r="G126" s="40" t="s">
        <v>53</v>
      </c>
      <c r="H126" s="4" t="str">
        <f>IFERROR(_xlfn.XLOOKUP(G126,Listas!E:E,Listas!F:F,""),"")</f>
        <v>Inversion</v>
      </c>
      <c r="I126" s="46" t="str">
        <f>IFERROR(_xlfn.XLOOKUP(G126,Listas!E:E,Listas!G:G,""),"")</f>
        <v>Interno</v>
      </c>
      <c r="J126" s="43">
        <v>30000</v>
      </c>
      <c r="K126" s="5">
        <f t="shared" si="1"/>
        <v>-30000</v>
      </c>
      <c r="L126" s="6" t="s">
        <v>93</v>
      </c>
      <c r="M126" s="44">
        <f>SUMIFS('Saldos Iniciales'!$D:$D,'Saldos Iniciales'!$A:$A,C126,'Saldos Iniciales'!$B:$B,D126)+SUMIFS($K$1:$K$1324,$C$1:$C$1324,C126,$D$1:$D$1324,D126,$B$1:$B$1324,"&lt;="&amp;B126)</f>
        <v>20717.600000000006</v>
      </c>
      <c r="N126" s="61" t="str">
        <f>IF(tblMovimientos[[#This Row],[Tipo de Movimiento]]="Ingreso",tblMovimientos[[#This Row],[Monto (S/)]],"0")</f>
        <v>0</v>
      </c>
      <c r="O126" s="61">
        <f>IF(tblMovimientos[[#This Row],[Tipo de Movimiento]]="Egreso",tblMovimientos[[#This Row],[Monto (S/)]],"0")</f>
        <v>30000</v>
      </c>
      <c r="P126" s="28">
        <f>IF(tblMovimientos[[#This Row],[Tipo de Movimiento]]="Ingreso",tblMovimientos[[#This Row],[Ingreso]],-tblMovimientos[[#This Row],[Egreso]])</f>
        <v>-30000</v>
      </c>
      <c r="Q126" s="78" t="str">
        <f>_xlfn.XLOOKUP(tblMovimientos[[#This Row],[Cuenta Bancaria]],Cuentas!$C:$C,Cuentas!$A:$A,"")&amp;""</f>
        <v>SSP Group</v>
      </c>
      <c r="R126" s="78" t="str">
        <f>_xlfn.XLOOKUP(tblMovimientos[[#This Row],[Cuenta Bancaria]],Cuentas!$C:$C,Cuentas!$B:$B,"",0,-1)&amp;""</f>
        <v>Trust</v>
      </c>
    </row>
    <row r="127" spans="2:18" x14ac:dyDescent="0.3">
      <c r="B127" s="39">
        <v>46161</v>
      </c>
      <c r="C127" s="4" t="str">
        <f>_xlfn.XLOOKUP(tblMovimientos[[#This Row],[Cuenta Bancaria]],Listas!$B:$B,Listas!$A:$A,"")</f>
        <v>Go Blue</v>
      </c>
      <c r="D127" s="40" t="s">
        <v>126</v>
      </c>
      <c r="E127" s="4" t="str">
        <f>_xlfn.XLOOKUP(tblMovimientos[[#This Row],[Cuenta Bancaria]],Listas!$B:$B,Listas!$C:$C,"")</f>
        <v xml:space="preserve">Amerant Bank </v>
      </c>
      <c r="F127" s="41" t="s">
        <v>10</v>
      </c>
      <c r="G127" s="40" t="s">
        <v>38</v>
      </c>
      <c r="H127" s="4" t="str">
        <f>IFERROR(_xlfn.XLOOKUP(G127,Listas!E:E,Listas!F:F,""),"")</f>
        <v>Operativo</v>
      </c>
      <c r="I127" s="46" t="str">
        <f>IFERROR(_xlfn.XLOOKUP(G127,Listas!E:E,Listas!G:G,""),"")</f>
        <v>Externo</v>
      </c>
      <c r="J127" s="43">
        <v>25000</v>
      </c>
      <c r="K127" s="5">
        <f t="shared" si="1"/>
        <v>-25000</v>
      </c>
      <c r="L127" s="6" t="s">
        <v>93</v>
      </c>
      <c r="M127" s="44">
        <f>SUMIFS('Saldos Iniciales'!$D:$D,'Saldos Iniciales'!$A:$A,C127,'Saldos Iniciales'!$B:$B,D127)+SUMIFS($K$1:$K$1324,$C$1:$C$1324,C127,$D$1:$D$1324,D127,$B$1:$B$1324,"&lt;="&amp;B127)</f>
        <v>18941.21</v>
      </c>
      <c r="N127" s="61" t="str">
        <f>IF(tblMovimientos[[#This Row],[Tipo de Movimiento]]="Ingreso",tblMovimientos[[#This Row],[Monto (S/)]],"0")</f>
        <v>0</v>
      </c>
      <c r="O127" s="61">
        <f>IF(tblMovimientos[[#This Row],[Tipo de Movimiento]]="Egreso",tblMovimientos[[#This Row],[Monto (S/)]],"0")</f>
        <v>25000</v>
      </c>
      <c r="P127" s="28">
        <f>IF(tblMovimientos[[#This Row],[Tipo de Movimiento]]="Ingreso",tblMovimientos[[#This Row],[Ingreso]],-tblMovimientos[[#This Row],[Egreso]])</f>
        <v>-25000</v>
      </c>
      <c r="Q127" s="78" t="str">
        <f>_xlfn.XLOOKUP(tblMovimientos[[#This Row],[Cuenta Bancaria]],Cuentas!$C:$C,Cuentas!$A:$A,"")&amp;""</f>
        <v>SSP Group</v>
      </c>
      <c r="R127" s="78" t="str">
        <f>_xlfn.XLOOKUP(tblMovimientos[[#This Row],[Cuenta Bancaria]],Cuentas!$C:$C,Cuentas!$B:$B,"",0,-1)&amp;""</f>
        <v/>
      </c>
    </row>
    <row r="128" spans="2:18" x14ac:dyDescent="0.3">
      <c r="B128" s="39">
        <v>46161</v>
      </c>
      <c r="C128" s="4" t="str">
        <f>_xlfn.XLOOKUP(tblMovimientos[[#This Row],[Cuenta Bancaria]],Listas!$B:$B,Listas!$A:$A,"")</f>
        <v>Go Blue</v>
      </c>
      <c r="D128" s="40" t="s">
        <v>126</v>
      </c>
      <c r="E128" s="4" t="str">
        <f>_xlfn.XLOOKUP(tblMovimientos[[#This Row],[Cuenta Bancaria]],Listas!$B:$B,Listas!$C:$C,"")</f>
        <v xml:space="preserve">Amerant Bank </v>
      </c>
      <c r="F128" s="41" t="s">
        <v>9</v>
      </c>
      <c r="G128" s="40" t="s">
        <v>77</v>
      </c>
      <c r="H128" s="4" t="str">
        <f>IFERROR(_xlfn.XLOOKUP(G128,Listas!E:E,Listas!F:F,""),"")</f>
        <v>Inversion</v>
      </c>
      <c r="I128" s="46" t="str">
        <f>IFERROR(_xlfn.XLOOKUP(G128,Listas!E:E,Listas!G:G,""),"")</f>
        <v>Interno</v>
      </c>
      <c r="J128" s="43">
        <v>30000</v>
      </c>
      <c r="K128" s="5">
        <f t="shared" si="1"/>
        <v>30000</v>
      </c>
      <c r="L128" s="6" t="s">
        <v>93</v>
      </c>
      <c r="M128" s="44">
        <f>SUMIFS('Saldos Iniciales'!$D:$D,'Saldos Iniciales'!$A:$A,C128,'Saldos Iniciales'!$B:$B,D128)+SUMIFS($K$1:$K$1324,$C$1:$C$1324,C128,$D$1:$D$1324,D128,$B$1:$B$1324,"&lt;="&amp;B128)</f>
        <v>18941.21</v>
      </c>
      <c r="N128" s="61">
        <f>IF(tblMovimientos[[#This Row],[Tipo de Movimiento]]="Ingreso",tblMovimientos[[#This Row],[Monto (S/)]],"0")</f>
        <v>30000</v>
      </c>
      <c r="O128" s="61" t="str">
        <f>IF(tblMovimientos[[#This Row],[Tipo de Movimiento]]="Egreso",tblMovimientos[[#This Row],[Monto (S/)]],"0")</f>
        <v>0</v>
      </c>
      <c r="P128" s="28">
        <f>IF(tblMovimientos[[#This Row],[Tipo de Movimiento]]="Ingreso",tblMovimientos[[#This Row],[Ingreso]],-tblMovimientos[[#This Row],[Egreso]])</f>
        <v>30000</v>
      </c>
      <c r="Q128" s="78" t="str">
        <f>_xlfn.XLOOKUP(tblMovimientos[[#This Row],[Cuenta Bancaria]],Cuentas!$C:$C,Cuentas!$A:$A,"")&amp;""</f>
        <v>SSP Group</v>
      </c>
      <c r="R128" s="78" t="str">
        <f>_xlfn.XLOOKUP(tblMovimientos[[#This Row],[Cuenta Bancaria]],Cuentas!$C:$C,Cuentas!$B:$B,"",0,-1)&amp;""</f>
        <v/>
      </c>
    </row>
    <row r="129" spans="2:18" x14ac:dyDescent="0.3">
      <c r="B129" s="39">
        <v>46162</v>
      </c>
      <c r="C129" s="4" t="str">
        <f>_xlfn.XLOOKUP(tblMovimientos[[#This Row],[Cuenta Bancaria]],Listas!$B:$B,Listas!$A:$A,"")</f>
        <v>Go Blue</v>
      </c>
      <c r="D129" s="40" t="s">
        <v>126</v>
      </c>
      <c r="E129" s="4" t="str">
        <f>_xlfn.XLOOKUP(tblMovimientos[[#This Row],[Cuenta Bancaria]],Listas!$B:$B,Listas!$C:$C,"")</f>
        <v xml:space="preserve">Amerant Bank </v>
      </c>
      <c r="F129" s="41" t="s">
        <v>10</v>
      </c>
      <c r="G129" s="40" t="s">
        <v>44</v>
      </c>
      <c r="H129" s="4" t="str">
        <f>IFERROR(_xlfn.XLOOKUP(G129,Listas!E:E,Listas!F:F,""),"")</f>
        <v>Operativo</v>
      </c>
      <c r="I129" s="46" t="str">
        <f>IFERROR(_xlfn.XLOOKUP(G129,Listas!E:E,Listas!G:G,""),"")</f>
        <v>Externo</v>
      </c>
      <c r="J129" s="43">
        <v>15</v>
      </c>
      <c r="K129" s="5">
        <f t="shared" si="1"/>
        <v>-15</v>
      </c>
      <c r="L129" s="6" t="s">
        <v>93</v>
      </c>
      <c r="M129" s="44">
        <f>SUMIFS('Saldos Iniciales'!$D:$D,'Saldos Iniciales'!$A:$A,C129,'Saldos Iniciales'!$B:$B,D129)+SUMIFS($K$1:$K$1324,$C$1:$C$1324,C129,$D$1:$D$1324,D129,$B$1:$B$1324,"&lt;="&amp;B129)</f>
        <v>8168.0700000000006</v>
      </c>
      <c r="N129" s="61" t="str">
        <f>IF(tblMovimientos[[#This Row],[Tipo de Movimiento]]="Ingreso",tblMovimientos[[#This Row],[Monto (S/)]],"0")</f>
        <v>0</v>
      </c>
      <c r="O129" s="61">
        <f>IF(tblMovimientos[[#This Row],[Tipo de Movimiento]]="Egreso",tblMovimientos[[#This Row],[Monto (S/)]],"0")</f>
        <v>15</v>
      </c>
      <c r="P129" s="28">
        <f>IF(tblMovimientos[[#This Row],[Tipo de Movimiento]]="Ingreso",tblMovimientos[[#This Row],[Ingreso]],-tblMovimientos[[#This Row],[Egreso]])</f>
        <v>-15</v>
      </c>
      <c r="Q129" s="78" t="str">
        <f>_xlfn.XLOOKUP(tblMovimientos[[#This Row],[Cuenta Bancaria]],Cuentas!$C:$C,Cuentas!$A:$A,"")&amp;""</f>
        <v>SSP Group</v>
      </c>
      <c r="R129" s="78" t="str">
        <f>_xlfn.XLOOKUP(tblMovimientos[[#This Row],[Cuenta Bancaria]],Cuentas!$C:$C,Cuentas!$B:$B,"",0,-1)&amp;""</f>
        <v/>
      </c>
    </row>
    <row r="130" spans="2:18" x14ac:dyDescent="0.3">
      <c r="B130" s="39">
        <v>46162</v>
      </c>
      <c r="C130" s="4" t="str">
        <f>_xlfn.XLOOKUP(tblMovimientos[[#This Row],[Cuenta Bancaria]],Listas!$B:$B,Listas!$A:$A,"")</f>
        <v>Go Blue</v>
      </c>
      <c r="D130" s="40" t="s">
        <v>126</v>
      </c>
      <c r="E130" s="4" t="str">
        <f>_xlfn.XLOOKUP(tblMovimientos[[#This Row],[Cuenta Bancaria]],Listas!$B:$B,Listas!$C:$C,"")</f>
        <v xml:space="preserve">Amerant Bank </v>
      </c>
      <c r="F130" s="41" t="s">
        <v>10</v>
      </c>
      <c r="G130" s="40" t="s">
        <v>44</v>
      </c>
      <c r="H130" s="4" t="str">
        <f>IFERROR(_xlfn.XLOOKUP(G130,Listas!E:E,Listas!F:F,""),"")</f>
        <v>Operativo</v>
      </c>
      <c r="I130" s="46" t="str">
        <f>IFERROR(_xlfn.XLOOKUP(G130,Listas!E:E,Listas!G:G,""),"")</f>
        <v>Externo</v>
      </c>
      <c r="J130" s="43">
        <v>15</v>
      </c>
      <c r="K130" s="5">
        <f t="shared" ref="K130:K193" si="2">IF(F130="Ingreso",J130,-J130)</f>
        <v>-15</v>
      </c>
      <c r="L130" s="6" t="s">
        <v>93</v>
      </c>
      <c r="M130" s="44">
        <f>SUMIFS('Saldos Iniciales'!$D:$D,'Saldos Iniciales'!$A:$A,C130,'Saldos Iniciales'!$B:$B,D130)+SUMIFS($K$1:$K$1324,$C$1:$C$1324,C130,$D$1:$D$1324,D130,$B$1:$B$1324,"&lt;="&amp;B130)</f>
        <v>8168.0700000000006</v>
      </c>
      <c r="N130" s="61" t="str">
        <f>IF(tblMovimientos[[#This Row],[Tipo de Movimiento]]="Ingreso",tblMovimientos[[#This Row],[Monto (S/)]],"0")</f>
        <v>0</v>
      </c>
      <c r="O130" s="61">
        <f>IF(tblMovimientos[[#This Row],[Tipo de Movimiento]]="Egreso",tblMovimientos[[#This Row],[Monto (S/)]],"0")</f>
        <v>15</v>
      </c>
      <c r="P130" s="28">
        <f>IF(tblMovimientos[[#This Row],[Tipo de Movimiento]]="Ingreso",tblMovimientos[[#This Row],[Ingreso]],-tblMovimientos[[#This Row],[Egreso]])</f>
        <v>-15</v>
      </c>
      <c r="Q130" s="78" t="str">
        <f>_xlfn.XLOOKUP(tblMovimientos[[#This Row],[Cuenta Bancaria]],Cuentas!$C:$C,Cuentas!$A:$A,"")&amp;""</f>
        <v>SSP Group</v>
      </c>
      <c r="R130" s="78" t="str">
        <f>_xlfn.XLOOKUP(tblMovimientos[[#This Row],[Cuenta Bancaria]],Cuentas!$C:$C,Cuentas!$B:$B,"",0,-1)&amp;""</f>
        <v/>
      </c>
    </row>
    <row r="131" spans="2:18" x14ac:dyDescent="0.3">
      <c r="B131" s="39">
        <v>46162</v>
      </c>
      <c r="C131" s="4" t="str">
        <f>_xlfn.XLOOKUP(tblMovimientos[[#This Row],[Cuenta Bancaria]],Listas!$B:$B,Listas!$A:$A,"")</f>
        <v>SSP Capital</v>
      </c>
      <c r="D131" s="40" t="s">
        <v>104</v>
      </c>
      <c r="E131" s="4" t="str">
        <f>_xlfn.XLOOKUP(tblMovimientos[[#This Row],[Cuenta Bancaria]],Listas!$B:$B,Listas!$C:$C,"")</f>
        <v xml:space="preserve">Amerant Bank </v>
      </c>
      <c r="F131" s="41" t="s">
        <v>10</v>
      </c>
      <c r="G131" s="40" t="s">
        <v>46</v>
      </c>
      <c r="H131" s="4" t="str">
        <f>IFERROR(_xlfn.XLOOKUP(G131,Listas!E:E,Listas!F:F,""),"")</f>
        <v>Financiamiento</v>
      </c>
      <c r="I131" s="46" t="str">
        <f>IFERROR(_xlfn.XLOOKUP(G131,Listas!E:E,Listas!G:G,""),"")</f>
        <v>Externo</v>
      </c>
      <c r="J131" s="43">
        <v>2472.2199999999998</v>
      </c>
      <c r="K131" s="5">
        <f t="shared" si="2"/>
        <v>-2472.2199999999998</v>
      </c>
      <c r="L131" s="6" t="s">
        <v>93</v>
      </c>
      <c r="M131" s="44">
        <f>SUMIFS('Saldos Iniciales'!$D:$D,'Saldos Iniciales'!$A:$A,C131,'Saldos Iniciales'!$B:$B,D131)+SUMIFS($K$1:$K$1324,$C$1:$C$1324,C131,$D$1:$D$1324,D131,$B$1:$B$1324,"&lt;="&amp;B131)</f>
        <v>211018.51999999938</v>
      </c>
      <c r="N131" s="61" t="str">
        <f>IF(tblMovimientos[[#This Row],[Tipo de Movimiento]]="Ingreso",tblMovimientos[[#This Row],[Monto (S/)]],"0")</f>
        <v>0</v>
      </c>
      <c r="O131" s="61">
        <f>IF(tblMovimientos[[#This Row],[Tipo de Movimiento]]="Egreso",tblMovimientos[[#This Row],[Monto (S/)]],"0")</f>
        <v>2472.2199999999998</v>
      </c>
      <c r="P131" s="28">
        <f>IF(tblMovimientos[[#This Row],[Tipo de Movimiento]]="Ingreso",tblMovimientos[[#This Row],[Ingreso]],-tblMovimientos[[#This Row],[Egreso]])</f>
        <v>-2472.2199999999998</v>
      </c>
      <c r="Q131" s="78" t="str">
        <f>_xlfn.XLOOKUP(tblMovimientos[[#This Row],[Cuenta Bancaria]],Cuentas!$C:$C,Cuentas!$A:$A,"")&amp;""</f>
        <v>SSP Group</v>
      </c>
      <c r="R131" s="78" t="str">
        <f>_xlfn.XLOOKUP(tblMovimientos[[#This Row],[Cuenta Bancaria]],Cuentas!$C:$C,Cuentas!$B:$B,"",0,-1)&amp;""</f>
        <v/>
      </c>
    </row>
    <row r="132" spans="2:18" x14ac:dyDescent="0.3">
      <c r="B132" s="39">
        <v>46162</v>
      </c>
      <c r="C132" s="4" t="str">
        <f>_xlfn.XLOOKUP(tblMovimientos[[#This Row],[Cuenta Bancaria]],Listas!$B:$B,Listas!$A:$A,"")</f>
        <v>SSP Capital</v>
      </c>
      <c r="D132" s="40" t="s">
        <v>104</v>
      </c>
      <c r="E132" s="4" t="str">
        <f>_xlfn.XLOOKUP(tblMovimientos[[#This Row],[Cuenta Bancaria]],Listas!$B:$B,Listas!$C:$C,"")</f>
        <v xml:space="preserve">Amerant Bank </v>
      </c>
      <c r="F132" s="41" t="s">
        <v>10</v>
      </c>
      <c r="G132" s="40" t="s">
        <v>65</v>
      </c>
      <c r="H132" s="4" t="str">
        <f>IFERROR(_xlfn.XLOOKUP(G132,Listas!E:E,Listas!F:F,""),"")</f>
        <v>Operativo</v>
      </c>
      <c r="I132" s="46" t="str">
        <f>IFERROR(_xlfn.XLOOKUP(G132,Listas!E:E,Listas!G:G,""),"")</f>
        <v>Externo</v>
      </c>
      <c r="J132" s="43">
        <v>20000</v>
      </c>
      <c r="K132" s="5">
        <f t="shared" si="2"/>
        <v>-20000</v>
      </c>
      <c r="L132" s="6" t="s">
        <v>93</v>
      </c>
      <c r="M132" s="44">
        <f>SUMIFS('Saldos Iniciales'!$D:$D,'Saldos Iniciales'!$A:$A,C132,'Saldos Iniciales'!$B:$B,D132)+SUMIFS($K$1:$K$1324,$C$1:$C$1324,C132,$D$1:$D$1324,D132,$B$1:$B$1324,"&lt;="&amp;B132)</f>
        <v>211018.51999999938</v>
      </c>
      <c r="N132" s="61" t="str">
        <f>IF(tblMovimientos[[#This Row],[Tipo de Movimiento]]="Ingreso",tblMovimientos[[#This Row],[Monto (S/)]],"0")</f>
        <v>0</v>
      </c>
      <c r="O132" s="61">
        <f>IF(tblMovimientos[[#This Row],[Tipo de Movimiento]]="Egreso",tblMovimientos[[#This Row],[Monto (S/)]],"0")</f>
        <v>20000</v>
      </c>
      <c r="P132" s="28">
        <f>IF(tblMovimientos[[#This Row],[Tipo de Movimiento]]="Ingreso",tblMovimientos[[#This Row],[Ingreso]],-tblMovimientos[[#This Row],[Egreso]])</f>
        <v>-20000</v>
      </c>
      <c r="Q132" s="78" t="str">
        <f>_xlfn.XLOOKUP(tblMovimientos[[#This Row],[Cuenta Bancaria]],Cuentas!$C:$C,Cuentas!$A:$A,"")&amp;""</f>
        <v>SSP Group</v>
      </c>
      <c r="R132" s="78" t="str">
        <f>_xlfn.XLOOKUP(tblMovimientos[[#This Row],[Cuenta Bancaria]],Cuentas!$C:$C,Cuentas!$B:$B,"",0,-1)&amp;""</f>
        <v/>
      </c>
    </row>
    <row r="133" spans="2:18" x14ac:dyDescent="0.3">
      <c r="B133" s="39">
        <v>46162</v>
      </c>
      <c r="C133" s="4" t="str">
        <f>_xlfn.XLOOKUP(tblMovimientos[[#This Row],[Cuenta Bancaria]],Listas!$B:$B,Listas!$A:$A,"")</f>
        <v>Go Blue</v>
      </c>
      <c r="D133" s="40" t="s">
        <v>126</v>
      </c>
      <c r="E133" s="4" t="str">
        <f>_xlfn.XLOOKUP(tblMovimientos[[#This Row],[Cuenta Bancaria]],Listas!$B:$B,Listas!$C:$C,"")</f>
        <v xml:space="preserve">Amerant Bank </v>
      </c>
      <c r="F133" s="41" t="s">
        <v>10</v>
      </c>
      <c r="G133" s="40" t="s">
        <v>38</v>
      </c>
      <c r="H133" s="4" t="str">
        <f>IFERROR(_xlfn.XLOOKUP(G133,Listas!E:E,Listas!F:F,""),"")</f>
        <v>Operativo</v>
      </c>
      <c r="I133" s="46" t="str">
        <f>IFERROR(_xlfn.XLOOKUP(G133,Listas!E:E,Listas!G:G,""),"")</f>
        <v>Externo</v>
      </c>
      <c r="J133" s="43">
        <v>45</v>
      </c>
      <c r="K133" s="5">
        <f t="shared" si="2"/>
        <v>-45</v>
      </c>
      <c r="L133" s="6" t="s">
        <v>93</v>
      </c>
      <c r="M133" s="44">
        <f>SUMIFS('Saldos Iniciales'!$D:$D,'Saldos Iniciales'!$A:$A,C133,'Saldos Iniciales'!$B:$B,D133)+SUMIFS($K$1:$K$1324,$C$1:$C$1324,C133,$D$1:$D$1324,D133,$B$1:$B$1324,"&lt;="&amp;B133)</f>
        <v>8168.0700000000006</v>
      </c>
      <c r="N133" s="61" t="str">
        <f>IF(tblMovimientos[[#This Row],[Tipo de Movimiento]]="Ingreso",tblMovimientos[[#This Row],[Monto (S/)]],"0")</f>
        <v>0</v>
      </c>
      <c r="O133" s="61">
        <f>IF(tblMovimientos[[#This Row],[Tipo de Movimiento]]="Egreso",tblMovimientos[[#This Row],[Monto (S/)]],"0")</f>
        <v>45</v>
      </c>
      <c r="P133" s="28">
        <f>IF(tblMovimientos[[#This Row],[Tipo de Movimiento]]="Ingreso",tblMovimientos[[#This Row],[Ingreso]],-tblMovimientos[[#This Row],[Egreso]])</f>
        <v>-45</v>
      </c>
      <c r="Q133" s="78" t="str">
        <f>_xlfn.XLOOKUP(tblMovimientos[[#This Row],[Cuenta Bancaria]],Cuentas!$C:$C,Cuentas!$A:$A,"")&amp;""</f>
        <v>SSP Group</v>
      </c>
      <c r="R133" s="78" t="str">
        <f>_xlfn.XLOOKUP(tblMovimientos[[#This Row],[Cuenta Bancaria]],Cuentas!$C:$C,Cuentas!$B:$B,"",0,-1)&amp;""</f>
        <v/>
      </c>
    </row>
    <row r="134" spans="2:18" x14ac:dyDescent="0.3">
      <c r="B134" s="39">
        <v>46162</v>
      </c>
      <c r="C134" s="4" t="str">
        <f>_xlfn.XLOOKUP(tblMovimientos[[#This Row],[Cuenta Bancaria]],Listas!$B:$B,Listas!$A:$A,"")</f>
        <v>Go Blue</v>
      </c>
      <c r="D134" s="40" t="s">
        <v>126</v>
      </c>
      <c r="E134" s="4" t="str">
        <f>_xlfn.XLOOKUP(tblMovimientos[[#This Row],[Cuenta Bancaria]],Listas!$B:$B,Listas!$C:$C,"")</f>
        <v xml:space="preserve">Amerant Bank </v>
      </c>
      <c r="F134" s="41" t="s">
        <v>10</v>
      </c>
      <c r="G134" s="40" t="s">
        <v>38</v>
      </c>
      <c r="H134" s="4" t="str">
        <f>IFERROR(_xlfn.XLOOKUP(G134,Listas!E:E,Listas!F:F,""),"")</f>
        <v>Operativo</v>
      </c>
      <c r="I134" s="46" t="str">
        <f>IFERROR(_xlfn.XLOOKUP(G134,Listas!E:E,Listas!G:G,""),"")</f>
        <v>Externo</v>
      </c>
      <c r="J134" s="43">
        <v>49</v>
      </c>
      <c r="K134" s="5">
        <f t="shared" si="2"/>
        <v>-49</v>
      </c>
      <c r="L134" s="6" t="s">
        <v>93</v>
      </c>
      <c r="M134" s="44">
        <f>SUMIFS('Saldos Iniciales'!$D:$D,'Saldos Iniciales'!$A:$A,C134,'Saldos Iniciales'!$B:$B,D134)+SUMIFS($K$1:$K$1324,$C$1:$C$1324,C134,$D$1:$D$1324,D134,$B$1:$B$1324,"&lt;="&amp;B134)</f>
        <v>8168.0700000000006</v>
      </c>
      <c r="N134" s="61" t="str">
        <f>IF(tblMovimientos[[#This Row],[Tipo de Movimiento]]="Ingreso",tblMovimientos[[#This Row],[Monto (S/)]],"0")</f>
        <v>0</v>
      </c>
      <c r="O134" s="61">
        <f>IF(tblMovimientos[[#This Row],[Tipo de Movimiento]]="Egreso",tblMovimientos[[#This Row],[Monto (S/)]],"0")</f>
        <v>49</v>
      </c>
      <c r="P134" s="28">
        <f>IF(tblMovimientos[[#This Row],[Tipo de Movimiento]]="Ingreso",tblMovimientos[[#This Row],[Ingreso]],-tblMovimientos[[#This Row],[Egreso]])</f>
        <v>-49</v>
      </c>
      <c r="Q134" s="78" t="str">
        <f>_xlfn.XLOOKUP(tblMovimientos[[#This Row],[Cuenta Bancaria]],Cuentas!$C:$C,Cuentas!$A:$A,"")&amp;""</f>
        <v>SSP Group</v>
      </c>
      <c r="R134" s="78" t="str">
        <f>_xlfn.XLOOKUP(tblMovimientos[[#This Row],[Cuenta Bancaria]],Cuentas!$C:$C,Cuentas!$B:$B,"",0,-1)&amp;""</f>
        <v/>
      </c>
    </row>
    <row r="135" spans="2:18" x14ac:dyDescent="0.3">
      <c r="B135" s="39">
        <v>46162</v>
      </c>
      <c r="C135" s="4" t="str">
        <f>_xlfn.XLOOKUP(tblMovimientos[[#This Row],[Cuenta Bancaria]],Listas!$B:$B,Listas!$A:$A,"")</f>
        <v>SSP Capital</v>
      </c>
      <c r="D135" s="40" t="s">
        <v>104</v>
      </c>
      <c r="E135" s="4" t="str">
        <f>_xlfn.XLOOKUP(tblMovimientos[[#This Row],[Cuenta Bancaria]],Listas!$B:$B,Listas!$C:$C,"")</f>
        <v xml:space="preserve">Amerant Bank </v>
      </c>
      <c r="F135" s="41" t="s">
        <v>10</v>
      </c>
      <c r="G135" s="40" t="s">
        <v>46</v>
      </c>
      <c r="H135" s="4" t="str">
        <f>IFERROR(_xlfn.XLOOKUP(G135,Listas!E:E,Listas!F:F,""),"")</f>
        <v>Financiamiento</v>
      </c>
      <c r="I135" s="46" t="str">
        <f>IFERROR(_xlfn.XLOOKUP(G135,Listas!E:E,Listas!G:G,""),"")</f>
        <v>Externo</v>
      </c>
      <c r="J135" s="43">
        <v>26250</v>
      </c>
      <c r="K135" s="5">
        <f t="shared" si="2"/>
        <v>-26250</v>
      </c>
      <c r="L135" s="6" t="s">
        <v>93</v>
      </c>
      <c r="M135" s="44">
        <f>SUMIFS('Saldos Iniciales'!$D:$D,'Saldos Iniciales'!$A:$A,C135,'Saldos Iniciales'!$B:$B,D135)+SUMIFS($K$1:$K$1324,$C$1:$C$1324,C135,$D$1:$D$1324,D135,$B$1:$B$1324,"&lt;="&amp;B135)</f>
        <v>211018.51999999938</v>
      </c>
      <c r="N135" s="61" t="str">
        <f>IF(tblMovimientos[[#This Row],[Tipo de Movimiento]]="Ingreso",tblMovimientos[[#This Row],[Monto (S/)]],"0")</f>
        <v>0</v>
      </c>
      <c r="O135" s="61">
        <f>IF(tblMovimientos[[#This Row],[Tipo de Movimiento]]="Egreso",tblMovimientos[[#This Row],[Monto (S/)]],"0")</f>
        <v>26250</v>
      </c>
      <c r="P135" s="28">
        <f>IF(tblMovimientos[[#This Row],[Tipo de Movimiento]]="Ingreso",tblMovimientos[[#This Row],[Ingreso]],-tblMovimientos[[#This Row],[Egreso]])</f>
        <v>-26250</v>
      </c>
      <c r="Q135" s="78" t="str">
        <f>_xlfn.XLOOKUP(tblMovimientos[[#This Row],[Cuenta Bancaria]],Cuentas!$C:$C,Cuentas!$A:$A,"")&amp;""</f>
        <v>SSP Group</v>
      </c>
      <c r="R135" s="78" t="str">
        <f>_xlfn.XLOOKUP(tblMovimientos[[#This Row],[Cuenta Bancaria]],Cuentas!$C:$C,Cuentas!$B:$B,"",0,-1)&amp;""</f>
        <v/>
      </c>
    </row>
    <row r="136" spans="2:18" x14ac:dyDescent="0.3">
      <c r="B136" s="39">
        <v>46162</v>
      </c>
      <c r="C136" s="4" t="str">
        <f>_xlfn.XLOOKUP(tblMovimientos[[#This Row],[Cuenta Bancaria]],Listas!$B:$B,Listas!$A:$A,"")</f>
        <v>SSP Capital</v>
      </c>
      <c r="D136" s="40" t="s">
        <v>104</v>
      </c>
      <c r="E136" s="4" t="str">
        <f>_xlfn.XLOOKUP(tblMovimientos[[#This Row],[Cuenta Bancaria]],Listas!$B:$B,Listas!$C:$C,"")</f>
        <v xml:space="preserve">Amerant Bank </v>
      </c>
      <c r="F136" s="41" t="s">
        <v>10</v>
      </c>
      <c r="G136" s="40" t="s">
        <v>46</v>
      </c>
      <c r="H136" s="4" t="str">
        <f>IFERROR(_xlfn.XLOOKUP(G136,Listas!E:E,Listas!F:F,""),"")</f>
        <v>Financiamiento</v>
      </c>
      <c r="I136" s="46" t="str">
        <f>IFERROR(_xlfn.XLOOKUP(G136,Listas!E:E,Listas!G:G,""),"")</f>
        <v>Externo</v>
      </c>
      <c r="J136" s="43">
        <v>45833.33</v>
      </c>
      <c r="K136" s="5">
        <f t="shared" si="2"/>
        <v>-45833.33</v>
      </c>
      <c r="L136" s="6" t="s">
        <v>93</v>
      </c>
      <c r="M136" s="44">
        <f>SUMIFS('Saldos Iniciales'!$D:$D,'Saldos Iniciales'!$A:$A,C136,'Saldos Iniciales'!$B:$B,D136)+SUMIFS($K$1:$K$1324,$C$1:$C$1324,C136,$D$1:$D$1324,D136,$B$1:$B$1324,"&lt;="&amp;B136)</f>
        <v>211018.51999999938</v>
      </c>
      <c r="N136" s="61" t="str">
        <f>IF(tblMovimientos[[#This Row],[Tipo de Movimiento]]="Ingreso",tblMovimientos[[#This Row],[Monto (S/)]],"0")</f>
        <v>0</v>
      </c>
      <c r="O136" s="61">
        <f>IF(tblMovimientos[[#This Row],[Tipo de Movimiento]]="Egreso",tblMovimientos[[#This Row],[Monto (S/)]],"0")</f>
        <v>45833.33</v>
      </c>
      <c r="P136" s="28">
        <f>IF(tblMovimientos[[#This Row],[Tipo de Movimiento]]="Ingreso",tblMovimientos[[#This Row],[Ingreso]],-tblMovimientos[[#This Row],[Egreso]])</f>
        <v>-45833.33</v>
      </c>
      <c r="Q136" s="78" t="str">
        <f>_xlfn.XLOOKUP(tblMovimientos[[#This Row],[Cuenta Bancaria]],Cuentas!$C:$C,Cuentas!$A:$A,"")&amp;""</f>
        <v>SSP Group</v>
      </c>
      <c r="R136" s="78" t="str">
        <f>_xlfn.XLOOKUP(tblMovimientos[[#This Row],[Cuenta Bancaria]],Cuentas!$C:$C,Cuentas!$B:$B,"",0,-1)&amp;""</f>
        <v/>
      </c>
    </row>
    <row r="137" spans="2:18" x14ac:dyDescent="0.3">
      <c r="B137" s="39">
        <v>46162</v>
      </c>
      <c r="C137" s="4" t="str">
        <f>_xlfn.XLOOKUP(tblMovimientos[[#This Row],[Cuenta Bancaria]],Listas!$B:$B,Listas!$A:$A,"")</f>
        <v>SSP Capital</v>
      </c>
      <c r="D137" s="40" t="s">
        <v>104</v>
      </c>
      <c r="E137" s="4" t="str">
        <f>_xlfn.XLOOKUP(tblMovimientos[[#This Row],[Cuenta Bancaria]],Listas!$B:$B,Listas!$C:$C,"")</f>
        <v xml:space="preserve">Amerant Bank </v>
      </c>
      <c r="F137" s="41" t="s">
        <v>10</v>
      </c>
      <c r="G137" s="40" t="s">
        <v>46</v>
      </c>
      <c r="H137" s="4" t="str">
        <f>IFERROR(_xlfn.XLOOKUP(G137,Listas!E:E,Listas!F:F,""),"")</f>
        <v>Financiamiento</v>
      </c>
      <c r="I137" s="46" t="str">
        <f>IFERROR(_xlfn.XLOOKUP(G137,Listas!E:E,Listas!G:G,""),"")</f>
        <v>Externo</v>
      </c>
      <c r="J137" s="43">
        <v>49583.34</v>
      </c>
      <c r="K137" s="5">
        <f t="shared" si="2"/>
        <v>-49583.34</v>
      </c>
      <c r="L137" s="6" t="s">
        <v>93</v>
      </c>
      <c r="M137" s="44">
        <f>SUMIFS('Saldos Iniciales'!$D:$D,'Saldos Iniciales'!$A:$A,C137,'Saldos Iniciales'!$B:$B,D137)+SUMIFS($K$1:$K$1324,$C$1:$C$1324,C137,$D$1:$D$1324,D137,$B$1:$B$1324,"&lt;="&amp;B137)</f>
        <v>211018.51999999938</v>
      </c>
      <c r="N137" s="61" t="str">
        <f>IF(tblMovimientos[[#This Row],[Tipo de Movimiento]]="Ingreso",tblMovimientos[[#This Row],[Monto (S/)]],"0")</f>
        <v>0</v>
      </c>
      <c r="O137" s="61">
        <f>IF(tblMovimientos[[#This Row],[Tipo de Movimiento]]="Egreso",tblMovimientos[[#This Row],[Monto (S/)]],"0")</f>
        <v>49583.34</v>
      </c>
      <c r="P137" s="28">
        <f>IF(tblMovimientos[[#This Row],[Tipo de Movimiento]]="Ingreso",tblMovimientos[[#This Row],[Ingreso]],-tblMovimientos[[#This Row],[Egreso]])</f>
        <v>-49583.34</v>
      </c>
      <c r="Q137" s="78" t="str">
        <f>_xlfn.XLOOKUP(tblMovimientos[[#This Row],[Cuenta Bancaria]],Cuentas!$C:$C,Cuentas!$A:$A,"")&amp;""</f>
        <v>SSP Group</v>
      </c>
      <c r="R137" s="78" t="str">
        <f>_xlfn.XLOOKUP(tblMovimientos[[#This Row],[Cuenta Bancaria]],Cuentas!$C:$C,Cuentas!$B:$B,"",0,-1)&amp;""</f>
        <v/>
      </c>
    </row>
    <row r="138" spans="2:18" x14ac:dyDescent="0.3">
      <c r="B138" s="39">
        <v>46162</v>
      </c>
      <c r="C138" s="4" t="str">
        <f>_xlfn.XLOOKUP(tblMovimientos[[#This Row],[Cuenta Bancaria]],Listas!$B:$B,Listas!$A:$A,"")</f>
        <v>SSP Capital</v>
      </c>
      <c r="D138" s="40" t="s">
        <v>101</v>
      </c>
      <c r="E138" s="4" t="str">
        <f>_xlfn.XLOOKUP(tblMovimientos[[#This Row],[Cuenta Bancaria]],Listas!$B:$B,Listas!$C:$C,"")</f>
        <v>Bank of America</v>
      </c>
      <c r="F138" s="41" t="s">
        <v>10</v>
      </c>
      <c r="G138" s="40" t="s">
        <v>38</v>
      </c>
      <c r="H138" s="4" t="str">
        <f>IFERROR(_xlfn.XLOOKUP(G138,Listas!E:E,Listas!F:F,""),"")</f>
        <v>Operativo</v>
      </c>
      <c r="I138" s="46" t="str">
        <f>IFERROR(_xlfn.XLOOKUP(G138,Listas!E:E,Listas!G:G,""),"")</f>
        <v>Externo</v>
      </c>
      <c r="J138" s="43">
        <v>6.35</v>
      </c>
      <c r="K138" s="5">
        <f t="shared" si="2"/>
        <v>-6.35</v>
      </c>
      <c r="L138" s="6" t="s">
        <v>93</v>
      </c>
      <c r="M138" s="44">
        <f>SUMIFS('Saldos Iniciales'!$D:$D,'Saldos Iniciales'!$A:$A,C138,'Saldos Iniciales'!$B:$B,D138)+SUMIFS($K$1:$K$1324,$C$1:$C$1324,C138,$D$1:$D$1324,D138,$B$1:$B$1324,"&lt;="&amp;B138)</f>
        <v>12325.960000000001</v>
      </c>
      <c r="N138" s="61" t="str">
        <f>IF(tblMovimientos[[#This Row],[Tipo de Movimiento]]="Ingreso",tblMovimientos[[#This Row],[Monto (S/)]],"0")</f>
        <v>0</v>
      </c>
      <c r="O138" s="61">
        <f>IF(tblMovimientos[[#This Row],[Tipo de Movimiento]]="Egreso",tblMovimientos[[#This Row],[Monto (S/)]],"0")</f>
        <v>6.35</v>
      </c>
      <c r="P138" s="28">
        <f>IF(tblMovimientos[[#This Row],[Tipo de Movimiento]]="Ingreso",tblMovimientos[[#This Row],[Ingreso]],-tblMovimientos[[#This Row],[Egreso]])</f>
        <v>-6.35</v>
      </c>
      <c r="Q138" s="78" t="str">
        <f>_xlfn.XLOOKUP(tblMovimientos[[#This Row],[Cuenta Bancaria]],Cuentas!$C:$C,Cuentas!$A:$A,"")&amp;""</f>
        <v>SSP Group</v>
      </c>
      <c r="R138" s="78" t="str">
        <f>_xlfn.XLOOKUP(tblMovimientos[[#This Row],[Cuenta Bancaria]],Cuentas!$C:$C,Cuentas!$B:$B,"",0,-1)&amp;""</f>
        <v/>
      </c>
    </row>
    <row r="139" spans="2:18" x14ac:dyDescent="0.3">
      <c r="B139" s="39">
        <v>46162</v>
      </c>
      <c r="C139" s="4" t="str">
        <f>_xlfn.XLOOKUP(tblMovimientos[[#This Row],[Cuenta Bancaria]],Listas!$B:$B,Listas!$A:$A,"")</f>
        <v>SSP Capital</v>
      </c>
      <c r="D139" s="40" t="s">
        <v>101</v>
      </c>
      <c r="E139" s="4" t="str">
        <f>_xlfn.XLOOKUP(tblMovimientos[[#This Row],[Cuenta Bancaria]],Listas!$B:$B,Listas!$C:$C,"")</f>
        <v>Bank of America</v>
      </c>
      <c r="F139" s="41" t="s">
        <v>10</v>
      </c>
      <c r="G139" s="40" t="s">
        <v>41</v>
      </c>
      <c r="H139" s="4" t="str">
        <f>IFERROR(_xlfn.XLOOKUP(G139,Listas!E:E,Listas!F:F,""),"")</f>
        <v>Operativo</v>
      </c>
      <c r="I139" s="46" t="str">
        <f>IFERROR(_xlfn.XLOOKUP(G139,Listas!E:E,Listas!G:G,""),"")</f>
        <v>Externo</v>
      </c>
      <c r="J139" s="43">
        <v>91</v>
      </c>
      <c r="K139" s="5">
        <f t="shared" si="2"/>
        <v>-91</v>
      </c>
      <c r="L139" s="6" t="s">
        <v>93</v>
      </c>
      <c r="M139" s="44">
        <f>SUMIFS('Saldos Iniciales'!$D:$D,'Saldos Iniciales'!$A:$A,C139,'Saldos Iniciales'!$B:$B,D139)+SUMIFS($K$1:$K$1324,$C$1:$C$1324,C139,$D$1:$D$1324,D139,$B$1:$B$1324,"&lt;="&amp;B139)</f>
        <v>12325.960000000001</v>
      </c>
      <c r="N139" s="61" t="str">
        <f>IF(tblMovimientos[[#This Row],[Tipo de Movimiento]]="Ingreso",tblMovimientos[[#This Row],[Monto (S/)]],"0")</f>
        <v>0</v>
      </c>
      <c r="O139" s="61">
        <f>IF(tblMovimientos[[#This Row],[Tipo de Movimiento]]="Egreso",tblMovimientos[[#This Row],[Monto (S/)]],"0")</f>
        <v>91</v>
      </c>
      <c r="P139" s="28">
        <f>IF(tblMovimientos[[#This Row],[Tipo de Movimiento]]="Ingreso",tblMovimientos[[#This Row],[Ingreso]],-tblMovimientos[[#This Row],[Egreso]])</f>
        <v>-91</v>
      </c>
      <c r="Q139" s="78" t="str">
        <f>_xlfn.XLOOKUP(tblMovimientos[[#This Row],[Cuenta Bancaria]],Cuentas!$C:$C,Cuentas!$A:$A,"")&amp;""</f>
        <v>SSP Group</v>
      </c>
      <c r="R139" s="78" t="str">
        <f>_xlfn.XLOOKUP(tblMovimientos[[#This Row],[Cuenta Bancaria]],Cuentas!$C:$C,Cuentas!$B:$B,"",0,-1)&amp;""</f>
        <v/>
      </c>
    </row>
    <row r="140" spans="2:18" x14ac:dyDescent="0.3">
      <c r="B140" s="39">
        <v>46162</v>
      </c>
      <c r="C140" s="4" t="str">
        <f>_xlfn.XLOOKUP(tblMovimientos[[#This Row],[Cuenta Bancaria]],Listas!$B:$B,Listas!$A:$A,"")</f>
        <v>SSP Capital</v>
      </c>
      <c r="D140" s="40" t="s">
        <v>102</v>
      </c>
      <c r="E140" s="4" t="str">
        <f>_xlfn.XLOOKUP(tblMovimientos[[#This Row],[Cuenta Bancaria]],Listas!$B:$B,Listas!$C:$C,"")</f>
        <v>Bank of America</v>
      </c>
      <c r="F140" s="41" t="s">
        <v>10</v>
      </c>
      <c r="G140" s="40" t="s">
        <v>38</v>
      </c>
      <c r="H140" s="4" t="str">
        <f>IFERROR(_xlfn.XLOOKUP(G140,Listas!E:E,Listas!F:F,""),"")</f>
        <v>Operativo</v>
      </c>
      <c r="I140" s="46" t="str">
        <f>IFERROR(_xlfn.XLOOKUP(G140,Listas!E:E,Listas!G:G,""),"")</f>
        <v>Externo</v>
      </c>
      <c r="J140" s="43">
        <v>166.66</v>
      </c>
      <c r="K140" s="5">
        <f t="shared" si="2"/>
        <v>-166.66</v>
      </c>
      <c r="L140" s="6" t="s">
        <v>93</v>
      </c>
      <c r="M140" s="44">
        <f>SUMIFS('Saldos Iniciales'!$D:$D,'Saldos Iniciales'!$A:$A,C140,'Saldos Iniciales'!$B:$B,D140)+SUMIFS($K$1:$K$1324,$C$1:$C$1324,C140,$D$1:$D$1324,D140,$B$1:$B$1324,"&lt;="&amp;B140)</f>
        <v>563</v>
      </c>
      <c r="N140" s="61" t="str">
        <f>IF(tblMovimientos[[#This Row],[Tipo de Movimiento]]="Ingreso",tblMovimientos[[#This Row],[Monto (S/)]],"0")</f>
        <v>0</v>
      </c>
      <c r="O140" s="61">
        <f>IF(tblMovimientos[[#This Row],[Tipo de Movimiento]]="Egreso",tblMovimientos[[#This Row],[Monto (S/)]],"0")</f>
        <v>166.66</v>
      </c>
      <c r="P140" s="28">
        <f>IF(tblMovimientos[[#This Row],[Tipo de Movimiento]]="Ingreso",tblMovimientos[[#This Row],[Ingreso]],-tblMovimientos[[#This Row],[Egreso]])</f>
        <v>-166.66</v>
      </c>
      <c r="Q140" s="78" t="str">
        <f>_xlfn.XLOOKUP(tblMovimientos[[#This Row],[Cuenta Bancaria]],Cuentas!$C:$C,Cuentas!$A:$A,"")&amp;""</f>
        <v>SSP Group</v>
      </c>
      <c r="R140" s="78" t="str">
        <f>_xlfn.XLOOKUP(tblMovimientos[[#This Row],[Cuenta Bancaria]],Cuentas!$C:$C,Cuentas!$B:$B,"",0,-1)&amp;""</f>
        <v/>
      </c>
    </row>
    <row r="141" spans="2:18" x14ac:dyDescent="0.3">
      <c r="B141" s="39">
        <v>46162</v>
      </c>
      <c r="C141" s="4" t="str">
        <f>_xlfn.XLOOKUP(tblMovimientos[[#This Row],[Cuenta Bancaria]],Listas!$B:$B,Listas!$A:$A,"")</f>
        <v>CFT Group</v>
      </c>
      <c r="D141" s="40" t="s">
        <v>94</v>
      </c>
      <c r="E141" s="4" t="str">
        <f>_xlfn.XLOOKUP(tblMovimientos[[#This Row],[Cuenta Bancaria]],Listas!$B:$B,Listas!$C:$C,"")</f>
        <v>Bank of America</v>
      </c>
      <c r="F141" s="41" t="s">
        <v>10</v>
      </c>
      <c r="G141" s="40" t="s">
        <v>64</v>
      </c>
      <c r="H141" s="4" t="str">
        <f>IFERROR(_xlfn.XLOOKUP(G141,Listas!E:E,Listas!F:F,""),"")</f>
        <v>Operativo</v>
      </c>
      <c r="I141" s="46" t="str">
        <f>IFERROR(_xlfn.XLOOKUP(G141,Listas!E:E,Listas!G:G,""),"")</f>
        <v>Interno</v>
      </c>
      <c r="J141" s="43">
        <v>650000</v>
      </c>
      <c r="K141" s="5">
        <f t="shared" si="2"/>
        <v>-650000</v>
      </c>
      <c r="L141" s="6" t="s">
        <v>93</v>
      </c>
      <c r="M141" s="44">
        <f>SUMIFS('Saldos Iniciales'!$D:$D,'Saldos Iniciales'!$A:$A,C141,'Saldos Iniciales'!$B:$B,D141)+SUMIFS($K$1:$K$1324,$C$1:$C$1324,C141,$D$1:$D$1324,D141,$B$1:$B$1324,"&lt;="&amp;B141)</f>
        <v>11583.909999999974</v>
      </c>
      <c r="N141" s="61" t="str">
        <f>IF(tblMovimientos[[#This Row],[Tipo de Movimiento]]="Ingreso",tblMovimientos[[#This Row],[Monto (S/)]],"0")</f>
        <v>0</v>
      </c>
      <c r="O141" s="61">
        <f>IF(tblMovimientos[[#This Row],[Tipo de Movimiento]]="Egreso",tblMovimientos[[#This Row],[Monto (S/)]],"0")</f>
        <v>650000</v>
      </c>
      <c r="P141" s="28">
        <f>IF(tblMovimientos[[#This Row],[Tipo de Movimiento]]="Ingreso",tblMovimientos[[#This Row],[Ingreso]],-tblMovimientos[[#This Row],[Egreso]])</f>
        <v>-650000</v>
      </c>
      <c r="Q141" s="78" t="str">
        <f>_xlfn.XLOOKUP(tblMovimientos[[#This Row],[Cuenta Bancaria]],Cuentas!$C:$C,Cuentas!$A:$A,"")&amp;""</f>
        <v>SSP Group</v>
      </c>
      <c r="R141" s="78" t="str">
        <f>_xlfn.XLOOKUP(tblMovimientos[[#This Row],[Cuenta Bancaria]],Cuentas!$C:$C,Cuentas!$B:$B,"",0,-1)&amp;""</f>
        <v/>
      </c>
    </row>
    <row r="142" spans="2:18" x14ac:dyDescent="0.3">
      <c r="B142" s="39">
        <v>46162</v>
      </c>
      <c r="C142" s="4" t="str">
        <f>_xlfn.XLOOKUP(tblMovimientos[[#This Row],[Cuenta Bancaria]],Listas!$B:$B,Listas!$A:$A,"")</f>
        <v>CFT Group</v>
      </c>
      <c r="D142" s="40" t="s">
        <v>94</v>
      </c>
      <c r="E142" s="4" t="str">
        <f>_xlfn.XLOOKUP(tblMovimientos[[#This Row],[Cuenta Bancaria]],Listas!$B:$B,Listas!$C:$C,"")</f>
        <v>Bank of America</v>
      </c>
      <c r="F142" s="41" t="s">
        <v>10</v>
      </c>
      <c r="G142" s="40" t="s">
        <v>44</v>
      </c>
      <c r="H142" s="4" t="str">
        <f>IFERROR(_xlfn.XLOOKUP(G142,Listas!E:E,Listas!F:F,""),"")</f>
        <v>Operativo</v>
      </c>
      <c r="I142" s="46" t="str">
        <f>IFERROR(_xlfn.XLOOKUP(G142,Listas!E:E,Listas!G:G,""),"")</f>
        <v>Externo</v>
      </c>
      <c r="J142" s="43">
        <v>30</v>
      </c>
      <c r="K142" s="5">
        <f t="shared" si="2"/>
        <v>-30</v>
      </c>
      <c r="L142" s="6" t="s">
        <v>93</v>
      </c>
      <c r="M142" s="44">
        <f>SUMIFS('Saldos Iniciales'!$D:$D,'Saldos Iniciales'!$A:$A,C142,'Saldos Iniciales'!$B:$B,D142)+SUMIFS($K$1:$K$1324,$C$1:$C$1324,C142,$D$1:$D$1324,D142,$B$1:$B$1324,"&lt;="&amp;B142)</f>
        <v>11583.909999999974</v>
      </c>
      <c r="N142" s="61" t="str">
        <f>IF(tblMovimientos[[#This Row],[Tipo de Movimiento]]="Ingreso",tblMovimientos[[#This Row],[Monto (S/)]],"0")</f>
        <v>0</v>
      </c>
      <c r="O142" s="61">
        <f>IF(tblMovimientos[[#This Row],[Tipo de Movimiento]]="Egreso",tblMovimientos[[#This Row],[Monto (S/)]],"0")</f>
        <v>30</v>
      </c>
      <c r="P142" s="28">
        <f>IF(tblMovimientos[[#This Row],[Tipo de Movimiento]]="Ingreso",tblMovimientos[[#This Row],[Ingreso]],-tblMovimientos[[#This Row],[Egreso]])</f>
        <v>-30</v>
      </c>
      <c r="Q142" s="78" t="str">
        <f>_xlfn.XLOOKUP(tblMovimientos[[#This Row],[Cuenta Bancaria]],Cuentas!$C:$C,Cuentas!$A:$A,"")&amp;""</f>
        <v>SSP Group</v>
      </c>
      <c r="R142" s="78" t="str">
        <f>_xlfn.XLOOKUP(tblMovimientos[[#This Row],[Cuenta Bancaria]],Cuentas!$C:$C,Cuentas!$B:$B,"",0,-1)&amp;""</f>
        <v/>
      </c>
    </row>
    <row r="143" spans="2:18" x14ac:dyDescent="0.3">
      <c r="B143" s="39">
        <v>46162</v>
      </c>
      <c r="C143" s="4" t="str">
        <f>_xlfn.XLOOKUP(tblMovimientos[[#This Row],[Cuenta Bancaria]],Listas!$B:$B,Listas!$A:$A,"")</f>
        <v>Cross Family Trust</v>
      </c>
      <c r="D143" s="40" t="s">
        <v>110</v>
      </c>
      <c r="E143" s="4" t="str">
        <f>_xlfn.XLOOKUP(tblMovimientos[[#This Row],[Cuenta Bancaria]],Listas!$B:$B,Listas!$C:$C,"")</f>
        <v>Bank of America</v>
      </c>
      <c r="F143" s="41" t="s">
        <v>9</v>
      </c>
      <c r="G143" s="40" t="s">
        <v>79</v>
      </c>
      <c r="H143" s="4" t="str">
        <f>IFERROR(_xlfn.XLOOKUP(G143,Listas!E:E,Listas!F:F,""),"")</f>
        <v>Inversion</v>
      </c>
      <c r="I143" s="46" t="str">
        <f>IFERROR(_xlfn.XLOOKUP(G143,Listas!E:E,Listas!G:G,""),"")</f>
        <v>Externo</v>
      </c>
      <c r="J143" s="43">
        <v>50000</v>
      </c>
      <c r="K143" s="5">
        <f t="shared" si="2"/>
        <v>50000</v>
      </c>
      <c r="L143" s="6" t="s">
        <v>93</v>
      </c>
      <c r="M143" s="44">
        <f>SUMIFS('Saldos Iniciales'!$D:$D,'Saldos Iniciales'!$A:$A,C143,'Saldos Iniciales'!$B:$B,D143)+SUMIFS($K$1:$K$1324,$C$1:$C$1324,C143,$D$1:$D$1324,D143,$B$1:$B$1324,"&lt;="&amp;B143)</f>
        <v>57206.89</v>
      </c>
      <c r="N143" s="61">
        <f>IF(tblMovimientos[[#This Row],[Tipo de Movimiento]]="Ingreso",tblMovimientos[[#This Row],[Monto (S/)]],"0")</f>
        <v>50000</v>
      </c>
      <c r="O143" s="61" t="str">
        <f>IF(tblMovimientos[[#This Row],[Tipo de Movimiento]]="Egreso",tblMovimientos[[#This Row],[Monto (S/)]],"0")</f>
        <v>0</v>
      </c>
      <c r="P143" s="28">
        <f>IF(tblMovimientos[[#This Row],[Tipo de Movimiento]]="Ingreso",tblMovimientos[[#This Row],[Ingreso]],-tblMovimientos[[#This Row],[Egreso]])</f>
        <v>50000</v>
      </c>
      <c r="Q143" s="78" t="str">
        <f>_xlfn.XLOOKUP(tblMovimientos[[#This Row],[Cuenta Bancaria]],Cuentas!$C:$C,Cuentas!$A:$A,"")&amp;""</f>
        <v>SSP Group</v>
      </c>
      <c r="R143" s="78" t="str">
        <f>_xlfn.XLOOKUP(tblMovimientos[[#This Row],[Cuenta Bancaria]],Cuentas!$C:$C,Cuentas!$B:$B,"",0,-1)&amp;""</f>
        <v>Trust</v>
      </c>
    </row>
    <row r="144" spans="2:18" x14ac:dyDescent="0.3">
      <c r="B144" s="39">
        <v>46162</v>
      </c>
      <c r="C144" s="4" t="str">
        <f>_xlfn.XLOOKUP(tblMovimientos[[#This Row],[Cuenta Bancaria]],Listas!$B:$B,Listas!$A:$A,"")</f>
        <v>Cross Family Trust</v>
      </c>
      <c r="D144" s="40" t="s">
        <v>110</v>
      </c>
      <c r="E144" s="4" t="str">
        <f>_xlfn.XLOOKUP(tblMovimientos[[#This Row],[Cuenta Bancaria]],Listas!$B:$B,Listas!$C:$C,"")</f>
        <v>Bank of America</v>
      </c>
      <c r="F144" s="41" t="s">
        <v>10</v>
      </c>
      <c r="G144" s="40" t="s">
        <v>44</v>
      </c>
      <c r="H144" s="4" t="str">
        <f>IFERROR(_xlfn.XLOOKUP(G144,Listas!E:E,Listas!F:F,""),"")</f>
        <v>Operativo</v>
      </c>
      <c r="I144" s="46" t="str">
        <f>IFERROR(_xlfn.XLOOKUP(G144,Listas!E:E,Listas!G:G,""),"")</f>
        <v>Externo</v>
      </c>
      <c r="J144" s="43">
        <v>15</v>
      </c>
      <c r="K144" s="5">
        <f t="shared" si="2"/>
        <v>-15</v>
      </c>
      <c r="L144" s="6" t="s">
        <v>93</v>
      </c>
      <c r="M144" s="44">
        <f>SUMIFS('Saldos Iniciales'!$D:$D,'Saldos Iniciales'!$A:$A,C144,'Saldos Iniciales'!$B:$B,D144)+SUMIFS($K$1:$K$1324,$C$1:$C$1324,C144,$D$1:$D$1324,D144,$B$1:$B$1324,"&lt;="&amp;B144)</f>
        <v>57206.89</v>
      </c>
      <c r="N144" s="61" t="str">
        <f>IF(tblMovimientos[[#This Row],[Tipo de Movimiento]]="Ingreso",tblMovimientos[[#This Row],[Monto (S/)]],"0")</f>
        <v>0</v>
      </c>
      <c r="O144" s="61">
        <f>IF(tblMovimientos[[#This Row],[Tipo de Movimiento]]="Egreso",tblMovimientos[[#This Row],[Monto (S/)]],"0")</f>
        <v>15</v>
      </c>
      <c r="P144" s="28">
        <f>IF(tblMovimientos[[#This Row],[Tipo de Movimiento]]="Ingreso",tblMovimientos[[#This Row],[Ingreso]],-tblMovimientos[[#This Row],[Egreso]])</f>
        <v>-15</v>
      </c>
      <c r="Q144" s="78" t="str">
        <f>_xlfn.XLOOKUP(tblMovimientos[[#This Row],[Cuenta Bancaria]],Cuentas!$C:$C,Cuentas!$A:$A,"")&amp;""</f>
        <v>SSP Group</v>
      </c>
      <c r="R144" s="78" t="str">
        <f>_xlfn.XLOOKUP(tblMovimientos[[#This Row],[Cuenta Bancaria]],Cuentas!$C:$C,Cuentas!$B:$B,"",0,-1)&amp;""</f>
        <v>Trust</v>
      </c>
    </row>
    <row r="145" spans="2:18" x14ac:dyDescent="0.3">
      <c r="B145" s="39">
        <v>46162</v>
      </c>
      <c r="C145" s="4" t="str">
        <f>_xlfn.XLOOKUP(tblMovimientos[[#This Row],[Cuenta Bancaria]],Listas!$B:$B,Listas!$A:$A,"")</f>
        <v>3628 Thomas Ave</v>
      </c>
      <c r="D145" s="40" t="s">
        <v>124</v>
      </c>
      <c r="E145" s="4" t="str">
        <f>_xlfn.XLOOKUP(tblMovimientos[[#This Row],[Cuenta Bancaria]],Listas!$B:$B,Listas!$C:$C,"")</f>
        <v>Bank of America</v>
      </c>
      <c r="F145" s="41" t="s">
        <v>9</v>
      </c>
      <c r="G145" s="40" t="s">
        <v>82</v>
      </c>
      <c r="H145" s="4" t="str">
        <f>IFERROR(_xlfn.XLOOKUP(G145,Listas!E:E,Listas!F:F,""),"")</f>
        <v>Operativo</v>
      </c>
      <c r="I145" s="46" t="str">
        <f>IFERROR(_xlfn.XLOOKUP(G145,Listas!E:E,Listas!G:G,""),"")</f>
        <v>Externo</v>
      </c>
      <c r="J145" s="43">
        <v>2200</v>
      </c>
      <c r="K145" s="5">
        <f t="shared" si="2"/>
        <v>2200</v>
      </c>
      <c r="L145" s="6" t="s">
        <v>93</v>
      </c>
      <c r="M145" s="44">
        <f>SUMIFS('Saldos Iniciales'!$D:$D,'Saldos Iniciales'!$A:$A,C145,'Saldos Iniciales'!$B:$B,D145)+SUMIFS($K$1:$K$1324,$C$1:$C$1324,C145,$D$1:$D$1324,D145,$B$1:$B$1324,"&lt;="&amp;B145)</f>
        <v>29206.27</v>
      </c>
      <c r="N145" s="61">
        <f>IF(tblMovimientos[[#This Row],[Tipo de Movimiento]]="Ingreso",tblMovimientos[[#This Row],[Monto (S/)]],"0")</f>
        <v>2200</v>
      </c>
      <c r="O145" s="61" t="str">
        <f>IF(tblMovimientos[[#This Row],[Tipo de Movimiento]]="Egreso",tblMovimientos[[#This Row],[Monto (S/)]],"0")</f>
        <v>0</v>
      </c>
      <c r="P145" s="28">
        <f>IF(tblMovimientos[[#This Row],[Tipo de Movimiento]]="Ingreso",tblMovimientos[[#This Row],[Ingreso]],-tblMovimientos[[#This Row],[Egreso]])</f>
        <v>2200</v>
      </c>
      <c r="Q145" s="78" t="str">
        <f>_xlfn.XLOOKUP(tblMovimientos[[#This Row],[Cuenta Bancaria]],Cuentas!$C:$C,Cuentas!$A:$A,"")&amp;""</f>
        <v>SSP Group</v>
      </c>
      <c r="R145" s="78" t="str">
        <f>_xlfn.XLOOKUP(tblMovimientos[[#This Row],[Cuenta Bancaria]],Cuentas!$C:$C,Cuentas!$B:$B,"",0,-1)&amp;""</f>
        <v/>
      </c>
    </row>
    <row r="146" spans="2:18" x14ac:dyDescent="0.3">
      <c r="B146" s="39">
        <v>46162</v>
      </c>
      <c r="C146" s="4" t="str">
        <f>_xlfn.XLOOKUP(tblMovimientos[[#This Row],[Cuenta Bancaria]],Listas!$B:$B,Listas!$A:$A,"")</f>
        <v>CFT Group</v>
      </c>
      <c r="D146" s="40" t="s">
        <v>95</v>
      </c>
      <c r="E146" s="4" t="str">
        <f>_xlfn.XLOOKUP(tblMovimientos[[#This Row],[Cuenta Bancaria]],Listas!$B:$B,Listas!$C:$C,"")</f>
        <v xml:space="preserve">Amerant Bank </v>
      </c>
      <c r="F146" s="41" t="s">
        <v>9</v>
      </c>
      <c r="G146" s="40" t="s">
        <v>86</v>
      </c>
      <c r="H146" s="4" t="str">
        <f>IFERROR(_xlfn.XLOOKUP(G146,Listas!E:E,Listas!F:F,""),"")</f>
        <v>Inversion</v>
      </c>
      <c r="I146" s="46" t="str">
        <f>IFERROR(_xlfn.XLOOKUP(G146,Listas!E:E,Listas!G:G,""),"")</f>
        <v>Externo</v>
      </c>
      <c r="J146" s="43">
        <v>25274</v>
      </c>
      <c r="K146" s="5">
        <f t="shared" si="2"/>
        <v>25274</v>
      </c>
      <c r="L146" s="6" t="s">
        <v>93</v>
      </c>
      <c r="M146" s="44">
        <f>SUMIFS('Saldos Iniciales'!$D:$D,'Saldos Iniciales'!$A:$A,C146,'Saldos Iniciales'!$B:$B,D146)+SUMIFS($K$1:$K$1324,$C$1:$C$1324,C146,$D$1:$D$1324,D146,$B$1:$B$1324,"&lt;="&amp;B146)</f>
        <v>125481.8600000001</v>
      </c>
      <c r="N146" s="61">
        <f>IF(tblMovimientos[[#This Row],[Tipo de Movimiento]]="Ingreso",tblMovimientos[[#This Row],[Monto (S/)]],"0")</f>
        <v>25274</v>
      </c>
      <c r="O146" s="61" t="str">
        <f>IF(tblMovimientos[[#This Row],[Tipo de Movimiento]]="Egreso",tblMovimientos[[#This Row],[Monto (S/)]],"0")</f>
        <v>0</v>
      </c>
      <c r="P146" s="28">
        <f>IF(tblMovimientos[[#This Row],[Tipo de Movimiento]]="Ingreso",tblMovimientos[[#This Row],[Ingreso]],-tblMovimientos[[#This Row],[Egreso]])</f>
        <v>25274</v>
      </c>
      <c r="Q146" s="78" t="str">
        <f>_xlfn.XLOOKUP(tblMovimientos[[#This Row],[Cuenta Bancaria]],Cuentas!$C:$C,Cuentas!$A:$A,"")&amp;""</f>
        <v>SSP Group</v>
      </c>
      <c r="R146" s="78" t="str">
        <f>_xlfn.XLOOKUP(tblMovimientos[[#This Row],[Cuenta Bancaria]],Cuentas!$C:$C,Cuentas!$B:$B,"",0,-1)&amp;""</f>
        <v/>
      </c>
    </row>
    <row r="147" spans="2:18" x14ac:dyDescent="0.3">
      <c r="B147" s="39">
        <v>46162</v>
      </c>
      <c r="C147" s="4" t="str">
        <f>_xlfn.XLOOKUP(tblMovimientos[[#This Row],[Cuenta Bancaria]],Listas!$B:$B,Listas!$A:$A,"")</f>
        <v>CFT Group</v>
      </c>
      <c r="D147" s="40" t="s">
        <v>95</v>
      </c>
      <c r="E147" s="4" t="str">
        <f>_xlfn.XLOOKUP(tblMovimientos[[#This Row],[Cuenta Bancaria]],Listas!$B:$B,Listas!$C:$C,"")</f>
        <v xml:space="preserve">Amerant Bank </v>
      </c>
      <c r="F147" s="41" t="s">
        <v>9</v>
      </c>
      <c r="G147" s="40" t="s">
        <v>85</v>
      </c>
      <c r="H147" s="4" t="str">
        <f>IFERROR(_xlfn.XLOOKUP(G147,Listas!E:E,Listas!F:F,""),"")</f>
        <v>Operativo</v>
      </c>
      <c r="I147" s="46" t="str">
        <f>IFERROR(_xlfn.XLOOKUP(G147,Listas!E:E,Listas!G:G,""),"")</f>
        <v>Interno</v>
      </c>
      <c r="J147" s="43">
        <v>650000</v>
      </c>
      <c r="K147" s="5">
        <f t="shared" si="2"/>
        <v>650000</v>
      </c>
      <c r="L147" s="6" t="s">
        <v>93</v>
      </c>
      <c r="M147" s="44">
        <f>SUMIFS('Saldos Iniciales'!$D:$D,'Saldos Iniciales'!$A:$A,C147,'Saldos Iniciales'!$B:$B,D147)+SUMIFS($K$1:$K$1324,$C$1:$C$1324,C147,$D$1:$D$1324,D147,$B$1:$B$1324,"&lt;="&amp;B147)</f>
        <v>125481.8600000001</v>
      </c>
      <c r="N147" s="61">
        <f>IF(tblMovimientos[[#This Row],[Tipo de Movimiento]]="Ingreso",tblMovimientos[[#This Row],[Monto (S/)]],"0")</f>
        <v>650000</v>
      </c>
      <c r="O147" s="61" t="str">
        <f>IF(tblMovimientos[[#This Row],[Tipo de Movimiento]]="Egreso",tblMovimientos[[#This Row],[Monto (S/)]],"0")</f>
        <v>0</v>
      </c>
      <c r="P147" s="28">
        <f>IF(tblMovimientos[[#This Row],[Tipo de Movimiento]]="Ingreso",tblMovimientos[[#This Row],[Ingreso]],-tblMovimientos[[#This Row],[Egreso]])</f>
        <v>650000</v>
      </c>
      <c r="Q147" s="78" t="str">
        <f>_xlfn.XLOOKUP(tblMovimientos[[#This Row],[Cuenta Bancaria]],Cuentas!$C:$C,Cuentas!$A:$A,"")&amp;""</f>
        <v>SSP Group</v>
      </c>
      <c r="R147" s="78" t="str">
        <f>_xlfn.XLOOKUP(tblMovimientos[[#This Row],[Cuenta Bancaria]],Cuentas!$C:$C,Cuentas!$B:$B,"",0,-1)&amp;""</f>
        <v/>
      </c>
    </row>
    <row r="148" spans="2:18" x14ac:dyDescent="0.3">
      <c r="B148" s="39">
        <v>46162</v>
      </c>
      <c r="C148" s="4" t="str">
        <f>_xlfn.XLOOKUP(tblMovimientos[[#This Row],[Cuenta Bancaria]],Listas!$B:$B,Listas!$A:$A,"")</f>
        <v>CFT Group</v>
      </c>
      <c r="D148" s="40" t="s">
        <v>95</v>
      </c>
      <c r="E148" s="4" t="str">
        <f>_xlfn.XLOOKUP(tblMovimientos[[#This Row],[Cuenta Bancaria]],Listas!$B:$B,Listas!$C:$C,"")</f>
        <v xml:space="preserve">Amerant Bank </v>
      </c>
      <c r="F148" s="41" t="s">
        <v>10</v>
      </c>
      <c r="G148" s="40" t="s">
        <v>46</v>
      </c>
      <c r="H148" s="4" t="str">
        <f>IFERROR(_xlfn.XLOOKUP(G148,Listas!E:E,Listas!F:F,""),"")</f>
        <v>Financiamiento</v>
      </c>
      <c r="I148" s="46" t="str">
        <f>IFERROR(_xlfn.XLOOKUP(G148,Listas!E:E,Listas!G:G,""),"")</f>
        <v>Externo</v>
      </c>
      <c r="J148" s="43">
        <v>2366.67</v>
      </c>
      <c r="K148" s="5">
        <f t="shared" si="2"/>
        <v>-2366.67</v>
      </c>
      <c r="L148" s="6" t="s">
        <v>93</v>
      </c>
      <c r="M148" s="44">
        <f>SUMIFS('Saldos Iniciales'!$D:$D,'Saldos Iniciales'!$A:$A,C148,'Saldos Iniciales'!$B:$B,D148)+SUMIFS($K$1:$K$1324,$C$1:$C$1324,C148,$D$1:$D$1324,D148,$B$1:$B$1324,"&lt;="&amp;B148)</f>
        <v>125481.8600000001</v>
      </c>
      <c r="N148" s="61" t="str">
        <f>IF(tblMovimientos[[#This Row],[Tipo de Movimiento]]="Ingreso",tblMovimientos[[#This Row],[Monto (S/)]],"0")</f>
        <v>0</v>
      </c>
      <c r="O148" s="61">
        <f>IF(tblMovimientos[[#This Row],[Tipo de Movimiento]]="Egreso",tblMovimientos[[#This Row],[Monto (S/)]],"0")</f>
        <v>2366.67</v>
      </c>
      <c r="P148" s="28">
        <f>IF(tblMovimientos[[#This Row],[Tipo de Movimiento]]="Ingreso",tblMovimientos[[#This Row],[Ingreso]],-tblMovimientos[[#This Row],[Egreso]])</f>
        <v>-2366.67</v>
      </c>
      <c r="Q148" s="78" t="str">
        <f>_xlfn.XLOOKUP(tblMovimientos[[#This Row],[Cuenta Bancaria]],Cuentas!$C:$C,Cuentas!$A:$A,"")&amp;""</f>
        <v>SSP Group</v>
      </c>
      <c r="R148" s="78" t="str">
        <f>_xlfn.XLOOKUP(tblMovimientos[[#This Row],[Cuenta Bancaria]],Cuentas!$C:$C,Cuentas!$B:$B,"",0,-1)&amp;""</f>
        <v/>
      </c>
    </row>
    <row r="149" spans="2:18" x14ac:dyDescent="0.3">
      <c r="B149" s="39">
        <v>46162</v>
      </c>
      <c r="C149" s="4" t="str">
        <f>_xlfn.XLOOKUP(tblMovimientos[[#This Row],[Cuenta Bancaria]],Listas!$B:$B,Listas!$A:$A,"")</f>
        <v>CFT Group</v>
      </c>
      <c r="D149" s="40" t="s">
        <v>95</v>
      </c>
      <c r="E149" s="4" t="str">
        <f>_xlfn.XLOOKUP(tblMovimientos[[#This Row],[Cuenta Bancaria]],Listas!$B:$B,Listas!$C:$C,"")</f>
        <v xml:space="preserve">Amerant Bank </v>
      </c>
      <c r="F149" s="41" t="s">
        <v>10</v>
      </c>
      <c r="G149" s="40" t="s">
        <v>46</v>
      </c>
      <c r="H149" s="4" t="str">
        <f>IFERROR(_xlfn.XLOOKUP(G149,Listas!E:E,Listas!F:F,""),"")</f>
        <v>Financiamiento</v>
      </c>
      <c r="I149" s="46" t="str">
        <f>IFERROR(_xlfn.XLOOKUP(G149,Listas!E:E,Listas!G:G,""),"")</f>
        <v>Externo</v>
      </c>
      <c r="J149" s="43">
        <v>2916.67</v>
      </c>
      <c r="K149" s="5">
        <f t="shared" si="2"/>
        <v>-2916.67</v>
      </c>
      <c r="L149" s="6" t="s">
        <v>93</v>
      </c>
      <c r="M149" s="44">
        <f>SUMIFS('Saldos Iniciales'!$D:$D,'Saldos Iniciales'!$A:$A,C149,'Saldos Iniciales'!$B:$B,D149)+SUMIFS($K$1:$K$1324,$C$1:$C$1324,C149,$D$1:$D$1324,D149,$B$1:$B$1324,"&lt;="&amp;B149)</f>
        <v>125481.8600000001</v>
      </c>
      <c r="N149" s="61" t="str">
        <f>IF(tblMovimientos[[#This Row],[Tipo de Movimiento]]="Ingreso",tblMovimientos[[#This Row],[Monto (S/)]],"0")</f>
        <v>0</v>
      </c>
      <c r="O149" s="61">
        <f>IF(tblMovimientos[[#This Row],[Tipo de Movimiento]]="Egreso",tblMovimientos[[#This Row],[Monto (S/)]],"0")</f>
        <v>2916.67</v>
      </c>
      <c r="P149" s="28">
        <f>IF(tblMovimientos[[#This Row],[Tipo de Movimiento]]="Ingreso",tblMovimientos[[#This Row],[Ingreso]],-tblMovimientos[[#This Row],[Egreso]])</f>
        <v>-2916.67</v>
      </c>
      <c r="Q149" s="78" t="str">
        <f>_xlfn.XLOOKUP(tblMovimientos[[#This Row],[Cuenta Bancaria]],Cuentas!$C:$C,Cuentas!$A:$A,"")&amp;""</f>
        <v>SSP Group</v>
      </c>
      <c r="R149" s="78" t="str">
        <f>_xlfn.XLOOKUP(tblMovimientos[[#This Row],[Cuenta Bancaria]],Cuentas!$C:$C,Cuentas!$B:$B,"",0,-1)&amp;""</f>
        <v/>
      </c>
    </row>
    <row r="150" spans="2:18" x14ac:dyDescent="0.3">
      <c r="B150" s="39">
        <v>46162</v>
      </c>
      <c r="C150" s="4" t="str">
        <f>_xlfn.XLOOKUP(tblMovimientos[[#This Row],[Cuenta Bancaria]],Listas!$B:$B,Listas!$A:$A,"")</f>
        <v>CFT Group</v>
      </c>
      <c r="D150" s="40" t="s">
        <v>95</v>
      </c>
      <c r="E150" s="4" t="str">
        <f>_xlfn.XLOOKUP(tblMovimientos[[#This Row],[Cuenta Bancaria]],Listas!$B:$B,Listas!$C:$C,"")</f>
        <v xml:space="preserve">Amerant Bank </v>
      </c>
      <c r="F150" s="41" t="s">
        <v>10</v>
      </c>
      <c r="G150" s="40" t="s">
        <v>46</v>
      </c>
      <c r="H150" s="4" t="str">
        <f>IFERROR(_xlfn.XLOOKUP(G150,Listas!E:E,Listas!F:F,""),"")</f>
        <v>Financiamiento</v>
      </c>
      <c r="I150" s="46" t="str">
        <f>IFERROR(_xlfn.XLOOKUP(G150,Listas!E:E,Listas!G:G,""),"")</f>
        <v>Externo</v>
      </c>
      <c r="J150" s="43">
        <v>3500</v>
      </c>
      <c r="K150" s="5">
        <f t="shared" si="2"/>
        <v>-3500</v>
      </c>
      <c r="L150" s="6" t="s">
        <v>93</v>
      </c>
      <c r="M150" s="44">
        <f>SUMIFS('Saldos Iniciales'!$D:$D,'Saldos Iniciales'!$A:$A,C150,'Saldos Iniciales'!$B:$B,D150)+SUMIFS($K$1:$K$1324,$C$1:$C$1324,C150,$D$1:$D$1324,D150,$B$1:$B$1324,"&lt;="&amp;B150)</f>
        <v>125481.8600000001</v>
      </c>
      <c r="N150" s="61" t="str">
        <f>IF(tblMovimientos[[#This Row],[Tipo de Movimiento]]="Ingreso",tblMovimientos[[#This Row],[Monto (S/)]],"0")</f>
        <v>0</v>
      </c>
      <c r="O150" s="61">
        <f>IF(tblMovimientos[[#This Row],[Tipo de Movimiento]]="Egreso",tblMovimientos[[#This Row],[Monto (S/)]],"0")</f>
        <v>3500</v>
      </c>
      <c r="P150" s="28">
        <f>IF(tblMovimientos[[#This Row],[Tipo de Movimiento]]="Ingreso",tblMovimientos[[#This Row],[Ingreso]],-tblMovimientos[[#This Row],[Egreso]])</f>
        <v>-3500</v>
      </c>
      <c r="Q150" s="78" t="str">
        <f>_xlfn.XLOOKUP(tblMovimientos[[#This Row],[Cuenta Bancaria]],Cuentas!$C:$C,Cuentas!$A:$A,"")&amp;""</f>
        <v>SSP Group</v>
      </c>
      <c r="R150" s="78" t="str">
        <f>_xlfn.XLOOKUP(tblMovimientos[[#This Row],[Cuenta Bancaria]],Cuentas!$C:$C,Cuentas!$B:$B,"",0,-1)&amp;""</f>
        <v/>
      </c>
    </row>
    <row r="151" spans="2:18" x14ac:dyDescent="0.3">
      <c r="B151" s="39">
        <v>46162</v>
      </c>
      <c r="C151" s="4" t="str">
        <f>_xlfn.XLOOKUP(tblMovimientos[[#This Row],[Cuenta Bancaria]],Listas!$B:$B,Listas!$A:$A,"")</f>
        <v>CFT Group</v>
      </c>
      <c r="D151" s="40" t="s">
        <v>95</v>
      </c>
      <c r="E151" s="4" t="str">
        <f>_xlfn.XLOOKUP(tblMovimientos[[#This Row],[Cuenta Bancaria]],Listas!$B:$B,Listas!$C:$C,"")</f>
        <v xml:space="preserve">Amerant Bank </v>
      </c>
      <c r="F151" s="41" t="s">
        <v>10</v>
      </c>
      <c r="G151" s="40" t="s">
        <v>46</v>
      </c>
      <c r="H151" s="4" t="str">
        <f>IFERROR(_xlfn.XLOOKUP(G151,Listas!E:E,Listas!F:F,""),"")</f>
        <v>Financiamiento</v>
      </c>
      <c r="I151" s="46" t="str">
        <f>IFERROR(_xlfn.XLOOKUP(G151,Listas!E:E,Listas!G:G,""),"")</f>
        <v>Externo</v>
      </c>
      <c r="J151" s="43">
        <v>3708.33</v>
      </c>
      <c r="K151" s="5">
        <f t="shared" si="2"/>
        <v>-3708.33</v>
      </c>
      <c r="L151" s="6" t="s">
        <v>93</v>
      </c>
      <c r="M151" s="44">
        <f>SUMIFS('Saldos Iniciales'!$D:$D,'Saldos Iniciales'!$A:$A,C151,'Saldos Iniciales'!$B:$B,D151)+SUMIFS($K$1:$K$1324,$C$1:$C$1324,C151,$D$1:$D$1324,D151,$B$1:$B$1324,"&lt;="&amp;B151)</f>
        <v>125481.8600000001</v>
      </c>
      <c r="N151" s="61" t="str">
        <f>IF(tblMovimientos[[#This Row],[Tipo de Movimiento]]="Ingreso",tblMovimientos[[#This Row],[Monto (S/)]],"0")</f>
        <v>0</v>
      </c>
      <c r="O151" s="61">
        <f>IF(tblMovimientos[[#This Row],[Tipo de Movimiento]]="Egreso",tblMovimientos[[#This Row],[Monto (S/)]],"0")</f>
        <v>3708.33</v>
      </c>
      <c r="P151" s="28">
        <f>IF(tblMovimientos[[#This Row],[Tipo de Movimiento]]="Ingreso",tblMovimientos[[#This Row],[Ingreso]],-tblMovimientos[[#This Row],[Egreso]])</f>
        <v>-3708.33</v>
      </c>
      <c r="Q151" s="78" t="str">
        <f>_xlfn.XLOOKUP(tblMovimientos[[#This Row],[Cuenta Bancaria]],Cuentas!$C:$C,Cuentas!$A:$A,"")&amp;""</f>
        <v>SSP Group</v>
      </c>
      <c r="R151" s="78" t="str">
        <f>_xlfn.XLOOKUP(tblMovimientos[[#This Row],[Cuenta Bancaria]],Cuentas!$C:$C,Cuentas!$B:$B,"",0,-1)&amp;""</f>
        <v/>
      </c>
    </row>
    <row r="152" spans="2:18" x14ac:dyDescent="0.3">
      <c r="B152" s="39">
        <v>46162</v>
      </c>
      <c r="C152" s="4" t="str">
        <f>_xlfn.XLOOKUP(tblMovimientos[[#This Row],[Cuenta Bancaria]],Listas!$B:$B,Listas!$A:$A,"")</f>
        <v>CFT Group</v>
      </c>
      <c r="D152" s="40" t="s">
        <v>95</v>
      </c>
      <c r="E152" s="4" t="str">
        <f>_xlfn.XLOOKUP(tblMovimientos[[#This Row],[Cuenta Bancaria]],Listas!$B:$B,Listas!$C:$C,"")</f>
        <v xml:space="preserve">Amerant Bank </v>
      </c>
      <c r="F152" s="41" t="s">
        <v>10</v>
      </c>
      <c r="G152" s="40" t="s">
        <v>46</v>
      </c>
      <c r="H152" s="4" t="str">
        <f>IFERROR(_xlfn.XLOOKUP(G152,Listas!E:E,Listas!F:F,""),"")</f>
        <v>Financiamiento</v>
      </c>
      <c r="I152" s="46" t="str">
        <f>IFERROR(_xlfn.XLOOKUP(G152,Listas!E:E,Listas!G:G,""),"")</f>
        <v>Externo</v>
      </c>
      <c r="J152" s="43">
        <v>10266.67</v>
      </c>
      <c r="K152" s="5">
        <f t="shared" si="2"/>
        <v>-10266.67</v>
      </c>
      <c r="L152" s="6" t="s">
        <v>93</v>
      </c>
      <c r="M152" s="44">
        <f>SUMIFS('Saldos Iniciales'!$D:$D,'Saldos Iniciales'!$A:$A,C152,'Saldos Iniciales'!$B:$B,D152)+SUMIFS($K$1:$K$1324,$C$1:$C$1324,C152,$D$1:$D$1324,D152,$B$1:$B$1324,"&lt;="&amp;B152)</f>
        <v>125481.8600000001</v>
      </c>
      <c r="N152" s="61" t="str">
        <f>IF(tblMovimientos[[#This Row],[Tipo de Movimiento]]="Ingreso",tblMovimientos[[#This Row],[Monto (S/)]],"0")</f>
        <v>0</v>
      </c>
      <c r="O152" s="61">
        <f>IF(tblMovimientos[[#This Row],[Tipo de Movimiento]]="Egreso",tblMovimientos[[#This Row],[Monto (S/)]],"0")</f>
        <v>10266.67</v>
      </c>
      <c r="P152" s="28">
        <f>IF(tblMovimientos[[#This Row],[Tipo de Movimiento]]="Ingreso",tblMovimientos[[#This Row],[Ingreso]],-tblMovimientos[[#This Row],[Egreso]])</f>
        <v>-10266.67</v>
      </c>
      <c r="Q152" s="78" t="str">
        <f>_xlfn.XLOOKUP(tblMovimientos[[#This Row],[Cuenta Bancaria]],Cuentas!$C:$C,Cuentas!$A:$A,"")&amp;""</f>
        <v>SSP Group</v>
      </c>
      <c r="R152" s="78" t="str">
        <f>_xlfn.XLOOKUP(tblMovimientos[[#This Row],[Cuenta Bancaria]],Cuentas!$C:$C,Cuentas!$B:$B,"",0,-1)&amp;""</f>
        <v/>
      </c>
    </row>
    <row r="153" spans="2:18" x14ac:dyDescent="0.3">
      <c r="B153" s="39">
        <v>46162</v>
      </c>
      <c r="C153" s="4" t="str">
        <f>_xlfn.XLOOKUP(tblMovimientos[[#This Row],[Cuenta Bancaria]],Listas!$B:$B,Listas!$A:$A,"")</f>
        <v>CFT Group</v>
      </c>
      <c r="D153" s="40" t="s">
        <v>95</v>
      </c>
      <c r="E153" s="4" t="str">
        <f>_xlfn.XLOOKUP(tblMovimientos[[#This Row],[Cuenta Bancaria]],Listas!$B:$B,Listas!$C:$C,"")</f>
        <v xml:space="preserve">Amerant Bank </v>
      </c>
      <c r="F153" s="41" t="s">
        <v>10</v>
      </c>
      <c r="G153" s="40" t="s">
        <v>46</v>
      </c>
      <c r="H153" s="4" t="str">
        <f>IFERROR(_xlfn.XLOOKUP(G153,Listas!E:E,Listas!F:F,""),"")</f>
        <v>Financiamiento</v>
      </c>
      <c r="I153" s="46" t="str">
        <f>IFERROR(_xlfn.XLOOKUP(G153,Listas!E:E,Listas!G:G,""),"")</f>
        <v>Externo</v>
      </c>
      <c r="J153" s="43">
        <v>11666.67</v>
      </c>
      <c r="K153" s="5">
        <f t="shared" si="2"/>
        <v>-11666.67</v>
      </c>
      <c r="L153" s="6" t="s">
        <v>93</v>
      </c>
      <c r="M153" s="44">
        <f>SUMIFS('Saldos Iniciales'!$D:$D,'Saldos Iniciales'!$A:$A,C153,'Saldos Iniciales'!$B:$B,D153)+SUMIFS($K$1:$K$1324,$C$1:$C$1324,C153,$D$1:$D$1324,D153,$B$1:$B$1324,"&lt;="&amp;B153)</f>
        <v>125481.8600000001</v>
      </c>
      <c r="N153" s="61" t="str">
        <f>IF(tblMovimientos[[#This Row],[Tipo de Movimiento]]="Ingreso",tblMovimientos[[#This Row],[Monto (S/)]],"0")</f>
        <v>0</v>
      </c>
      <c r="O153" s="61">
        <f>IF(tblMovimientos[[#This Row],[Tipo de Movimiento]]="Egreso",tblMovimientos[[#This Row],[Monto (S/)]],"0")</f>
        <v>11666.67</v>
      </c>
      <c r="P153" s="28">
        <f>IF(tblMovimientos[[#This Row],[Tipo de Movimiento]]="Ingreso",tblMovimientos[[#This Row],[Ingreso]],-tblMovimientos[[#This Row],[Egreso]])</f>
        <v>-11666.67</v>
      </c>
      <c r="Q153" s="78" t="str">
        <f>_xlfn.XLOOKUP(tblMovimientos[[#This Row],[Cuenta Bancaria]],Cuentas!$C:$C,Cuentas!$A:$A,"")&amp;""</f>
        <v>SSP Group</v>
      </c>
      <c r="R153" s="78" t="str">
        <f>_xlfn.XLOOKUP(tblMovimientos[[#This Row],[Cuenta Bancaria]],Cuentas!$C:$C,Cuentas!$B:$B,"",0,-1)&amp;""</f>
        <v/>
      </c>
    </row>
    <row r="154" spans="2:18" x14ac:dyDescent="0.3">
      <c r="B154" s="39">
        <v>46162</v>
      </c>
      <c r="C154" s="4" t="str">
        <f>_xlfn.XLOOKUP(tblMovimientos[[#This Row],[Cuenta Bancaria]],Listas!$B:$B,Listas!$A:$A,"")</f>
        <v>CFT Group</v>
      </c>
      <c r="D154" s="40" t="s">
        <v>95</v>
      </c>
      <c r="E154" s="4" t="str">
        <f>_xlfn.XLOOKUP(tblMovimientos[[#This Row],[Cuenta Bancaria]],Listas!$B:$B,Listas!$C:$C,"")</f>
        <v xml:space="preserve">Amerant Bank </v>
      </c>
      <c r="F154" s="41" t="s">
        <v>10</v>
      </c>
      <c r="G154" s="40" t="s">
        <v>46</v>
      </c>
      <c r="H154" s="4" t="str">
        <f>IFERROR(_xlfn.XLOOKUP(G154,Listas!E:E,Listas!F:F,""),"")</f>
        <v>Financiamiento</v>
      </c>
      <c r="I154" s="46" t="str">
        <f>IFERROR(_xlfn.XLOOKUP(G154,Listas!E:E,Listas!G:G,""),"")</f>
        <v>Externo</v>
      </c>
      <c r="J154" s="43">
        <v>22166.67</v>
      </c>
      <c r="K154" s="5">
        <f t="shared" si="2"/>
        <v>-22166.67</v>
      </c>
      <c r="L154" s="6" t="s">
        <v>93</v>
      </c>
      <c r="M154" s="44">
        <f>SUMIFS('Saldos Iniciales'!$D:$D,'Saldos Iniciales'!$A:$A,C154,'Saldos Iniciales'!$B:$B,D154)+SUMIFS($K$1:$K$1324,$C$1:$C$1324,C154,$D$1:$D$1324,D154,$B$1:$B$1324,"&lt;="&amp;B154)</f>
        <v>125481.8600000001</v>
      </c>
      <c r="N154" s="61" t="str">
        <f>IF(tblMovimientos[[#This Row],[Tipo de Movimiento]]="Ingreso",tblMovimientos[[#This Row],[Monto (S/)]],"0")</f>
        <v>0</v>
      </c>
      <c r="O154" s="61">
        <f>IF(tblMovimientos[[#This Row],[Tipo de Movimiento]]="Egreso",tblMovimientos[[#This Row],[Monto (S/)]],"0")</f>
        <v>22166.67</v>
      </c>
      <c r="P154" s="28">
        <f>IF(tblMovimientos[[#This Row],[Tipo de Movimiento]]="Ingreso",tblMovimientos[[#This Row],[Ingreso]],-tblMovimientos[[#This Row],[Egreso]])</f>
        <v>-22166.67</v>
      </c>
      <c r="Q154" s="78" t="str">
        <f>_xlfn.XLOOKUP(tblMovimientos[[#This Row],[Cuenta Bancaria]],Cuentas!$C:$C,Cuentas!$A:$A,"")&amp;""</f>
        <v>SSP Group</v>
      </c>
      <c r="R154" s="78" t="str">
        <f>_xlfn.XLOOKUP(tblMovimientos[[#This Row],[Cuenta Bancaria]],Cuentas!$C:$C,Cuentas!$B:$B,"",0,-1)&amp;""</f>
        <v/>
      </c>
    </row>
    <row r="155" spans="2:18" x14ac:dyDescent="0.3">
      <c r="B155" s="39">
        <v>46162</v>
      </c>
      <c r="C155" s="4" t="str">
        <f>_xlfn.XLOOKUP(tblMovimientos[[#This Row],[Cuenta Bancaria]],Listas!$B:$B,Listas!$A:$A,"")</f>
        <v>CFT Group</v>
      </c>
      <c r="D155" s="40" t="s">
        <v>95</v>
      </c>
      <c r="E155" s="4" t="str">
        <f>_xlfn.XLOOKUP(tblMovimientos[[#This Row],[Cuenta Bancaria]],Listas!$B:$B,Listas!$C:$C,"")</f>
        <v xml:space="preserve">Amerant Bank </v>
      </c>
      <c r="F155" s="41" t="s">
        <v>10</v>
      </c>
      <c r="G155" s="40" t="s">
        <v>46</v>
      </c>
      <c r="H155" s="4" t="str">
        <f>IFERROR(_xlfn.XLOOKUP(G155,Listas!E:E,Listas!F:F,""),"")</f>
        <v>Financiamiento</v>
      </c>
      <c r="I155" s="46" t="str">
        <f>IFERROR(_xlfn.XLOOKUP(G155,Listas!E:E,Listas!G:G,""),"")</f>
        <v>Externo</v>
      </c>
      <c r="J155" s="43">
        <v>23333.33</v>
      </c>
      <c r="K155" s="5">
        <f t="shared" si="2"/>
        <v>-23333.33</v>
      </c>
      <c r="L155" s="6" t="s">
        <v>93</v>
      </c>
      <c r="M155" s="44">
        <f>SUMIFS('Saldos Iniciales'!$D:$D,'Saldos Iniciales'!$A:$A,C155,'Saldos Iniciales'!$B:$B,D155)+SUMIFS($K$1:$K$1324,$C$1:$C$1324,C155,$D$1:$D$1324,D155,$B$1:$B$1324,"&lt;="&amp;B155)</f>
        <v>125481.8600000001</v>
      </c>
      <c r="N155" s="61" t="str">
        <f>IF(tblMovimientos[[#This Row],[Tipo de Movimiento]]="Ingreso",tblMovimientos[[#This Row],[Monto (S/)]],"0")</f>
        <v>0</v>
      </c>
      <c r="O155" s="61">
        <f>IF(tblMovimientos[[#This Row],[Tipo de Movimiento]]="Egreso",tblMovimientos[[#This Row],[Monto (S/)]],"0")</f>
        <v>23333.33</v>
      </c>
      <c r="P155" s="28">
        <f>IF(tblMovimientos[[#This Row],[Tipo de Movimiento]]="Ingreso",tblMovimientos[[#This Row],[Ingreso]],-tblMovimientos[[#This Row],[Egreso]])</f>
        <v>-23333.33</v>
      </c>
      <c r="Q155" s="78" t="str">
        <f>_xlfn.XLOOKUP(tblMovimientos[[#This Row],[Cuenta Bancaria]],Cuentas!$C:$C,Cuentas!$A:$A,"")&amp;""</f>
        <v>SSP Group</v>
      </c>
      <c r="R155" s="78" t="str">
        <f>_xlfn.XLOOKUP(tblMovimientos[[#This Row],[Cuenta Bancaria]],Cuentas!$C:$C,Cuentas!$B:$B,"",0,-1)&amp;""</f>
        <v/>
      </c>
    </row>
    <row r="156" spans="2:18" x14ac:dyDescent="0.3">
      <c r="B156" s="39">
        <v>46162</v>
      </c>
      <c r="C156" s="4" t="str">
        <f>_xlfn.XLOOKUP(tblMovimientos[[#This Row],[Cuenta Bancaria]],Listas!$B:$B,Listas!$A:$A,"")</f>
        <v>CFT Group</v>
      </c>
      <c r="D156" s="40" t="s">
        <v>95</v>
      </c>
      <c r="E156" s="4" t="str">
        <f>_xlfn.XLOOKUP(tblMovimientos[[#This Row],[Cuenta Bancaria]],Listas!$B:$B,Listas!$C:$C,"")</f>
        <v xml:space="preserve">Amerant Bank </v>
      </c>
      <c r="F156" s="41" t="s">
        <v>10</v>
      </c>
      <c r="G156" s="40" t="s">
        <v>61</v>
      </c>
      <c r="H156" s="4" t="str">
        <f>IFERROR(_xlfn.XLOOKUP(G156,Listas!E:E,Listas!F:F,""),"")</f>
        <v>Operativo</v>
      </c>
      <c r="I156" s="46" t="str">
        <f>IFERROR(_xlfn.XLOOKUP(G156,Listas!E:E,Listas!G:G,""),"")</f>
        <v>Externo</v>
      </c>
      <c r="J156" s="43">
        <v>35000</v>
      </c>
      <c r="K156" s="5">
        <f t="shared" si="2"/>
        <v>-35000</v>
      </c>
      <c r="L156" s="6" t="s">
        <v>93</v>
      </c>
      <c r="M156" s="44">
        <f>SUMIFS('Saldos Iniciales'!$D:$D,'Saldos Iniciales'!$A:$A,C156,'Saldos Iniciales'!$B:$B,D156)+SUMIFS($K$1:$K$1324,$C$1:$C$1324,C156,$D$1:$D$1324,D156,$B$1:$B$1324,"&lt;="&amp;B156)</f>
        <v>125481.8600000001</v>
      </c>
      <c r="N156" s="61" t="str">
        <f>IF(tblMovimientos[[#This Row],[Tipo de Movimiento]]="Ingreso",tblMovimientos[[#This Row],[Monto (S/)]],"0")</f>
        <v>0</v>
      </c>
      <c r="O156" s="61">
        <f>IF(tblMovimientos[[#This Row],[Tipo de Movimiento]]="Egreso",tblMovimientos[[#This Row],[Monto (S/)]],"0")</f>
        <v>35000</v>
      </c>
      <c r="P156" s="28">
        <f>IF(tblMovimientos[[#This Row],[Tipo de Movimiento]]="Ingreso",tblMovimientos[[#This Row],[Ingreso]],-tblMovimientos[[#This Row],[Egreso]])</f>
        <v>-35000</v>
      </c>
      <c r="Q156" s="78" t="str">
        <f>_xlfn.XLOOKUP(tblMovimientos[[#This Row],[Cuenta Bancaria]],Cuentas!$C:$C,Cuentas!$A:$A,"")&amp;""</f>
        <v>SSP Group</v>
      </c>
      <c r="R156" s="78" t="str">
        <f>_xlfn.XLOOKUP(tblMovimientos[[#This Row],[Cuenta Bancaria]],Cuentas!$C:$C,Cuentas!$B:$B,"",0,-1)&amp;""</f>
        <v/>
      </c>
    </row>
    <row r="157" spans="2:18" x14ac:dyDescent="0.3">
      <c r="B157" s="39">
        <v>46162</v>
      </c>
      <c r="C157" s="4" t="str">
        <f>_xlfn.XLOOKUP(tblMovimientos[[#This Row],[Cuenta Bancaria]],Listas!$B:$B,Listas!$A:$A,"")</f>
        <v>CFT Group</v>
      </c>
      <c r="D157" s="40" t="s">
        <v>95</v>
      </c>
      <c r="E157" s="4" t="str">
        <f>_xlfn.XLOOKUP(tblMovimientos[[#This Row],[Cuenta Bancaria]],Listas!$B:$B,Listas!$C:$C,"")</f>
        <v xml:space="preserve">Amerant Bank </v>
      </c>
      <c r="F157" s="41" t="s">
        <v>10</v>
      </c>
      <c r="G157" s="40" t="s">
        <v>61</v>
      </c>
      <c r="H157" s="4" t="str">
        <f>IFERROR(_xlfn.XLOOKUP(G157,Listas!E:E,Listas!F:F,""),"")</f>
        <v>Operativo</v>
      </c>
      <c r="I157" s="46" t="str">
        <f>IFERROR(_xlfn.XLOOKUP(G157,Listas!E:E,Listas!G:G,""),"")</f>
        <v>Externo</v>
      </c>
      <c r="J157" s="43">
        <v>65000</v>
      </c>
      <c r="K157" s="5">
        <f t="shared" si="2"/>
        <v>-65000</v>
      </c>
      <c r="L157" s="6" t="s">
        <v>93</v>
      </c>
      <c r="M157" s="44">
        <f>SUMIFS('Saldos Iniciales'!$D:$D,'Saldos Iniciales'!$A:$A,C157,'Saldos Iniciales'!$B:$B,D157)+SUMIFS($K$1:$K$1324,$C$1:$C$1324,C157,$D$1:$D$1324,D157,$B$1:$B$1324,"&lt;="&amp;B157)</f>
        <v>125481.8600000001</v>
      </c>
      <c r="N157" s="61" t="str">
        <f>IF(tblMovimientos[[#This Row],[Tipo de Movimiento]]="Ingreso",tblMovimientos[[#This Row],[Monto (S/)]],"0")</f>
        <v>0</v>
      </c>
      <c r="O157" s="61">
        <f>IF(tblMovimientos[[#This Row],[Tipo de Movimiento]]="Egreso",tblMovimientos[[#This Row],[Monto (S/)]],"0")</f>
        <v>65000</v>
      </c>
      <c r="P157" s="28">
        <f>IF(tblMovimientos[[#This Row],[Tipo de Movimiento]]="Ingreso",tblMovimientos[[#This Row],[Ingreso]],-tblMovimientos[[#This Row],[Egreso]])</f>
        <v>-65000</v>
      </c>
      <c r="Q157" s="78" t="str">
        <f>_xlfn.XLOOKUP(tblMovimientos[[#This Row],[Cuenta Bancaria]],Cuentas!$C:$C,Cuentas!$A:$A,"")&amp;""</f>
        <v>SSP Group</v>
      </c>
      <c r="R157" s="78" t="str">
        <f>_xlfn.XLOOKUP(tblMovimientos[[#This Row],[Cuenta Bancaria]],Cuentas!$C:$C,Cuentas!$B:$B,"",0,-1)&amp;""</f>
        <v/>
      </c>
    </row>
    <row r="158" spans="2:18" x14ac:dyDescent="0.3">
      <c r="B158" s="39">
        <v>46162</v>
      </c>
      <c r="C158" s="4" t="str">
        <f>_xlfn.XLOOKUP(tblMovimientos[[#This Row],[Cuenta Bancaria]],Listas!$B:$B,Listas!$A:$A,"")</f>
        <v>CFT Group</v>
      </c>
      <c r="D158" s="40" t="s">
        <v>95</v>
      </c>
      <c r="E158" s="4" t="str">
        <f>_xlfn.XLOOKUP(tblMovimientos[[#This Row],[Cuenta Bancaria]],Listas!$B:$B,Listas!$C:$C,"")</f>
        <v xml:space="preserve">Amerant Bank </v>
      </c>
      <c r="F158" s="41" t="s">
        <v>10</v>
      </c>
      <c r="G158" s="40" t="s">
        <v>46</v>
      </c>
      <c r="H158" s="4" t="str">
        <f>IFERROR(_xlfn.XLOOKUP(G158,Listas!E:E,Listas!F:F,""),"")</f>
        <v>Financiamiento</v>
      </c>
      <c r="I158" s="46" t="str">
        <f>IFERROR(_xlfn.XLOOKUP(G158,Listas!E:E,Listas!G:G,""),"")</f>
        <v>Externo</v>
      </c>
      <c r="J158" s="43">
        <v>68750</v>
      </c>
      <c r="K158" s="5">
        <f t="shared" si="2"/>
        <v>-68750</v>
      </c>
      <c r="L158" s="6" t="s">
        <v>93</v>
      </c>
      <c r="M158" s="44">
        <f>SUMIFS('Saldos Iniciales'!$D:$D,'Saldos Iniciales'!$A:$A,C158,'Saldos Iniciales'!$B:$B,D158)+SUMIFS($K$1:$K$1324,$C$1:$C$1324,C158,$D$1:$D$1324,D158,$B$1:$B$1324,"&lt;="&amp;B158)</f>
        <v>125481.8600000001</v>
      </c>
      <c r="N158" s="61" t="str">
        <f>IF(tblMovimientos[[#This Row],[Tipo de Movimiento]]="Ingreso",tblMovimientos[[#This Row],[Monto (S/)]],"0")</f>
        <v>0</v>
      </c>
      <c r="O158" s="61">
        <f>IF(tblMovimientos[[#This Row],[Tipo de Movimiento]]="Egreso",tblMovimientos[[#This Row],[Monto (S/)]],"0")</f>
        <v>68750</v>
      </c>
      <c r="P158" s="28">
        <f>IF(tblMovimientos[[#This Row],[Tipo de Movimiento]]="Ingreso",tblMovimientos[[#This Row],[Ingreso]],-tblMovimientos[[#This Row],[Egreso]])</f>
        <v>-68750</v>
      </c>
      <c r="Q158" s="78" t="str">
        <f>_xlfn.XLOOKUP(tblMovimientos[[#This Row],[Cuenta Bancaria]],Cuentas!$C:$C,Cuentas!$A:$A,"")&amp;""</f>
        <v>SSP Group</v>
      </c>
      <c r="R158" s="78" t="str">
        <f>_xlfn.XLOOKUP(tblMovimientos[[#This Row],[Cuenta Bancaria]],Cuentas!$C:$C,Cuentas!$B:$B,"",0,-1)&amp;""</f>
        <v/>
      </c>
    </row>
    <row r="159" spans="2:18" x14ac:dyDescent="0.3">
      <c r="B159" s="39">
        <v>46162</v>
      </c>
      <c r="C159" s="4" t="str">
        <f>_xlfn.XLOOKUP(tblMovimientos[[#This Row],[Cuenta Bancaria]],Listas!$B:$B,Listas!$A:$A,"")</f>
        <v>CFT Group</v>
      </c>
      <c r="D159" s="40" t="s">
        <v>95</v>
      </c>
      <c r="E159" s="4" t="str">
        <f>_xlfn.XLOOKUP(tblMovimientos[[#This Row],[Cuenta Bancaria]],Listas!$B:$B,Listas!$C:$C,"")</f>
        <v xml:space="preserve">Amerant Bank </v>
      </c>
      <c r="F159" s="41" t="s">
        <v>10</v>
      </c>
      <c r="G159" s="40" t="s">
        <v>61</v>
      </c>
      <c r="H159" s="4" t="str">
        <f>IFERROR(_xlfn.XLOOKUP(G159,Listas!E:E,Listas!F:F,""),"")</f>
        <v>Operativo</v>
      </c>
      <c r="I159" s="46" t="str">
        <f>IFERROR(_xlfn.XLOOKUP(G159,Listas!E:E,Listas!G:G,""),"")</f>
        <v>Externo</v>
      </c>
      <c r="J159" s="43">
        <v>100000</v>
      </c>
      <c r="K159" s="5">
        <f t="shared" si="2"/>
        <v>-100000</v>
      </c>
      <c r="L159" s="6" t="s">
        <v>93</v>
      </c>
      <c r="M159" s="44">
        <f>SUMIFS('Saldos Iniciales'!$D:$D,'Saldos Iniciales'!$A:$A,C159,'Saldos Iniciales'!$B:$B,D159)+SUMIFS($K$1:$K$1324,$C$1:$C$1324,C159,$D$1:$D$1324,D159,$B$1:$B$1324,"&lt;="&amp;B159)</f>
        <v>125481.8600000001</v>
      </c>
      <c r="N159" s="61" t="str">
        <f>IF(tblMovimientos[[#This Row],[Tipo de Movimiento]]="Ingreso",tblMovimientos[[#This Row],[Monto (S/)]],"0")</f>
        <v>0</v>
      </c>
      <c r="O159" s="61">
        <f>IF(tblMovimientos[[#This Row],[Tipo de Movimiento]]="Egreso",tblMovimientos[[#This Row],[Monto (S/)]],"0")</f>
        <v>100000</v>
      </c>
      <c r="P159" s="28">
        <f>IF(tblMovimientos[[#This Row],[Tipo de Movimiento]]="Ingreso",tblMovimientos[[#This Row],[Ingreso]],-tblMovimientos[[#This Row],[Egreso]])</f>
        <v>-100000</v>
      </c>
      <c r="Q159" s="78" t="str">
        <f>_xlfn.XLOOKUP(tblMovimientos[[#This Row],[Cuenta Bancaria]],Cuentas!$C:$C,Cuentas!$A:$A,"")&amp;""</f>
        <v>SSP Group</v>
      </c>
      <c r="R159" s="78" t="str">
        <f>_xlfn.XLOOKUP(tblMovimientos[[#This Row],[Cuenta Bancaria]],Cuentas!$C:$C,Cuentas!$B:$B,"",0,-1)&amp;""</f>
        <v/>
      </c>
    </row>
    <row r="160" spans="2:18" x14ac:dyDescent="0.3">
      <c r="B160" s="39">
        <v>46162</v>
      </c>
      <c r="C160" s="4" t="str">
        <f>_xlfn.XLOOKUP(tblMovimientos[[#This Row],[Cuenta Bancaria]],Listas!$B:$B,Listas!$A:$A,"")</f>
        <v>CFT Group</v>
      </c>
      <c r="D160" s="40" t="s">
        <v>95</v>
      </c>
      <c r="E160" s="4" t="str">
        <f>_xlfn.XLOOKUP(tblMovimientos[[#This Row],[Cuenta Bancaria]],Listas!$B:$B,Listas!$C:$C,"")</f>
        <v xml:space="preserve">Amerant Bank </v>
      </c>
      <c r="F160" s="41" t="s">
        <v>10</v>
      </c>
      <c r="G160" s="40" t="s">
        <v>62</v>
      </c>
      <c r="H160" s="4" t="str">
        <f>IFERROR(_xlfn.XLOOKUP(G160,Listas!E:E,Listas!F:F,""),"")</f>
        <v>Operativo</v>
      </c>
      <c r="I160" s="46" t="str">
        <f>IFERROR(_xlfn.XLOOKUP(G160,Listas!E:E,Listas!G:G,""),"")</f>
        <v>Interno</v>
      </c>
      <c r="J160" s="43">
        <v>350000</v>
      </c>
      <c r="K160" s="5">
        <f t="shared" si="2"/>
        <v>-350000</v>
      </c>
      <c r="L160" s="6" t="s">
        <v>93</v>
      </c>
      <c r="M160" s="44">
        <f>SUMIFS('Saldos Iniciales'!$D:$D,'Saldos Iniciales'!$A:$A,C160,'Saldos Iniciales'!$B:$B,D160)+SUMIFS($K$1:$K$1324,$C$1:$C$1324,C160,$D$1:$D$1324,D160,$B$1:$B$1324,"&lt;="&amp;B160)</f>
        <v>125481.8600000001</v>
      </c>
      <c r="N160" s="61" t="str">
        <f>IF(tblMovimientos[[#This Row],[Tipo de Movimiento]]="Ingreso",tblMovimientos[[#This Row],[Monto (S/)]],"0")</f>
        <v>0</v>
      </c>
      <c r="O160" s="61">
        <f>IF(tblMovimientos[[#This Row],[Tipo de Movimiento]]="Egreso",tblMovimientos[[#This Row],[Monto (S/)]],"0")</f>
        <v>350000</v>
      </c>
      <c r="P160" s="28">
        <f>IF(tblMovimientos[[#This Row],[Tipo de Movimiento]]="Ingreso",tblMovimientos[[#This Row],[Ingreso]],-tblMovimientos[[#This Row],[Egreso]])</f>
        <v>-350000</v>
      </c>
      <c r="Q160" s="78" t="str">
        <f>_xlfn.XLOOKUP(tblMovimientos[[#This Row],[Cuenta Bancaria]],Cuentas!$C:$C,Cuentas!$A:$A,"")&amp;""</f>
        <v>SSP Group</v>
      </c>
      <c r="R160" s="78" t="str">
        <f>_xlfn.XLOOKUP(tblMovimientos[[#This Row],[Cuenta Bancaria]],Cuentas!$C:$C,Cuentas!$B:$B,"",0,-1)&amp;""</f>
        <v/>
      </c>
    </row>
    <row r="161" spans="2:18" x14ac:dyDescent="0.3">
      <c r="B161" s="39">
        <v>46162</v>
      </c>
      <c r="C161" s="4" t="str">
        <f>_xlfn.XLOOKUP(tblMovimientos[[#This Row],[Cuenta Bancaria]],Listas!$B:$B,Listas!$A:$A,"")</f>
        <v>SSP Capital</v>
      </c>
      <c r="D161" s="40" t="s">
        <v>104</v>
      </c>
      <c r="E161" s="4" t="str">
        <f>_xlfn.XLOOKUP(tblMovimientos[[#This Row],[Cuenta Bancaria]],Listas!$B:$B,Listas!$C:$C,"")</f>
        <v xml:space="preserve">Amerant Bank </v>
      </c>
      <c r="F161" s="41" t="s">
        <v>10</v>
      </c>
      <c r="G161" s="40" t="s">
        <v>60</v>
      </c>
      <c r="H161" s="4" t="str">
        <f>IFERROR(_xlfn.XLOOKUP(G161,Listas!E:E,Listas!F:F,""),"")</f>
        <v>Inversion</v>
      </c>
      <c r="I161" s="46" t="str">
        <f>IFERROR(_xlfn.XLOOKUP(G161,Listas!E:E,Listas!G:G,""),"")</f>
        <v>Interno</v>
      </c>
      <c r="J161" s="43">
        <v>50000</v>
      </c>
      <c r="K161" s="5">
        <f t="shared" si="2"/>
        <v>-50000</v>
      </c>
      <c r="L161" s="6" t="s">
        <v>93</v>
      </c>
      <c r="M161" s="44">
        <f>SUMIFS('Saldos Iniciales'!$D:$D,'Saldos Iniciales'!$A:$A,C161,'Saldos Iniciales'!$B:$B,D161)+SUMIFS($K$1:$K$1324,$C$1:$C$1324,C161,$D$1:$D$1324,D161,$B$1:$B$1324,"&lt;="&amp;B161)</f>
        <v>211018.51999999938</v>
      </c>
      <c r="N161" s="61" t="str">
        <f>IF(tblMovimientos[[#This Row],[Tipo de Movimiento]]="Ingreso",tblMovimientos[[#This Row],[Monto (S/)]],"0")</f>
        <v>0</v>
      </c>
      <c r="O161" s="61">
        <f>IF(tblMovimientos[[#This Row],[Tipo de Movimiento]]="Egreso",tblMovimientos[[#This Row],[Monto (S/)]],"0")</f>
        <v>50000</v>
      </c>
      <c r="P161" s="28">
        <f>IF(tblMovimientos[[#This Row],[Tipo de Movimiento]]="Ingreso",tblMovimientos[[#This Row],[Ingreso]],-tblMovimientos[[#This Row],[Egreso]])</f>
        <v>-50000</v>
      </c>
      <c r="Q161" s="78" t="str">
        <f>_xlfn.XLOOKUP(tblMovimientos[[#This Row],[Cuenta Bancaria]],Cuentas!$C:$C,Cuentas!$A:$A,"")&amp;""</f>
        <v>SSP Group</v>
      </c>
      <c r="R161" s="78" t="str">
        <f>_xlfn.XLOOKUP(tblMovimientos[[#This Row],[Cuenta Bancaria]],Cuentas!$C:$C,Cuentas!$B:$B,"",0,-1)&amp;""</f>
        <v/>
      </c>
    </row>
    <row r="162" spans="2:18" x14ac:dyDescent="0.3">
      <c r="B162" s="39">
        <v>46162</v>
      </c>
      <c r="C162" s="4" t="str">
        <f>_xlfn.XLOOKUP(tblMovimientos[[#This Row],[Cuenta Bancaria]],Listas!$B:$B,Listas!$A:$A,"")</f>
        <v>SSP Capital</v>
      </c>
      <c r="D162" s="41" t="s">
        <v>104</v>
      </c>
      <c r="E162" s="4" t="str">
        <f>_xlfn.XLOOKUP(tblMovimientos[[#This Row],[Cuenta Bancaria]],Listas!$B:$B,Listas!$C:$C,"")</f>
        <v xml:space="preserve">Amerant Bank </v>
      </c>
      <c r="F162" s="41" t="s">
        <v>10</v>
      </c>
      <c r="G162" s="41" t="s">
        <v>60</v>
      </c>
      <c r="H162" s="4" t="str">
        <f>IFERROR(_xlfn.XLOOKUP(G162,Listas!E:E,Listas!F:F,""),"")</f>
        <v>Inversion</v>
      </c>
      <c r="I162" s="46" t="str">
        <f>IFERROR(_xlfn.XLOOKUP(G162,Listas!E:E,Listas!G:G,""),"")</f>
        <v>Interno</v>
      </c>
      <c r="J162" s="43">
        <v>100000</v>
      </c>
      <c r="K162" s="5">
        <f t="shared" si="2"/>
        <v>-100000</v>
      </c>
      <c r="L162" s="6" t="s">
        <v>93</v>
      </c>
      <c r="M162" s="44">
        <f>SUMIFS('Saldos Iniciales'!$D:$D,'Saldos Iniciales'!$A:$A,C162,'Saldos Iniciales'!$B:$B,D162)+SUMIFS($K$1:$K$1324,$C$1:$C$1324,C162,$D$1:$D$1324,D162,$B$1:$B$1324,"&lt;="&amp;B162)</f>
        <v>211018.51999999938</v>
      </c>
      <c r="N162" s="61" t="str">
        <f>IF(tblMovimientos[[#This Row],[Tipo de Movimiento]]="Ingreso",tblMovimientos[[#This Row],[Monto (S/)]],"0")</f>
        <v>0</v>
      </c>
      <c r="O162" s="61">
        <f>IF(tblMovimientos[[#This Row],[Tipo de Movimiento]]="Egreso",tblMovimientos[[#This Row],[Monto (S/)]],"0")</f>
        <v>100000</v>
      </c>
      <c r="P162" s="28">
        <f>IF(tblMovimientos[[#This Row],[Tipo de Movimiento]]="Ingreso",tblMovimientos[[#This Row],[Ingreso]],-tblMovimientos[[#This Row],[Egreso]])</f>
        <v>-100000</v>
      </c>
      <c r="Q162" s="78" t="str">
        <f>_xlfn.XLOOKUP(tblMovimientos[[#This Row],[Cuenta Bancaria]],Cuentas!$C:$C,Cuentas!$A:$A,"")&amp;""</f>
        <v>SSP Group</v>
      </c>
      <c r="R162" s="78" t="str">
        <f>_xlfn.XLOOKUP(tblMovimientos[[#This Row],[Cuenta Bancaria]],Cuentas!$C:$C,Cuentas!$B:$B,"",0,-1)&amp;""</f>
        <v/>
      </c>
    </row>
    <row r="163" spans="2:18" x14ac:dyDescent="0.3">
      <c r="B163" s="39">
        <v>46162</v>
      </c>
      <c r="C163" s="4" t="str">
        <f>_xlfn.XLOOKUP(tblMovimientos[[#This Row],[Cuenta Bancaria]],Listas!$B:$B,Listas!$A:$A,"")</f>
        <v>SSP Capital</v>
      </c>
      <c r="D163" s="41" t="s">
        <v>104</v>
      </c>
      <c r="E163" s="4" t="str">
        <f>_xlfn.XLOOKUP(tblMovimientos[[#This Row],[Cuenta Bancaria]],Listas!$B:$B,Listas!$C:$C,"")</f>
        <v xml:space="preserve">Amerant Bank </v>
      </c>
      <c r="F163" s="41" t="s">
        <v>9</v>
      </c>
      <c r="G163" s="41" t="s">
        <v>75</v>
      </c>
      <c r="H163" s="4" t="str">
        <f>IFERROR(_xlfn.XLOOKUP(G163,Listas!E:E,Listas!F:F,""),"")</f>
        <v>Financiamiento</v>
      </c>
      <c r="I163" s="46" t="str">
        <f>IFERROR(_xlfn.XLOOKUP(G163,Listas!E:E,Listas!G:G,""),"")</f>
        <v>Interno</v>
      </c>
      <c r="J163" s="43">
        <v>350000</v>
      </c>
      <c r="K163" s="5">
        <f t="shared" si="2"/>
        <v>350000</v>
      </c>
      <c r="L163" s="6" t="s">
        <v>93</v>
      </c>
      <c r="M163" s="44">
        <f>SUMIFS('Saldos Iniciales'!$D:$D,'Saldos Iniciales'!$A:$A,C163,'Saldos Iniciales'!$B:$B,D163)+SUMIFS($K$1:$K$1324,$C$1:$C$1324,C163,$D$1:$D$1324,D163,$B$1:$B$1324,"&lt;="&amp;B163)</f>
        <v>211018.51999999938</v>
      </c>
      <c r="N163" s="61">
        <f>IF(tblMovimientos[[#This Row],[Tipo de Movimiento]]="Ingreso",tblMovimientos[[#This Row],[Monto (S/)]],"0")</f>
        <v>350000</v>
      </c>
      <c r="O163" s="61" t="str">
        <f>IF(tblMovimientos[[#This Row],[Tipo de Movimiento]]="Egreso",tblMovimientos[[#This Row],[Monto (S/)]],"0")</f>
        <v>0</v>
      </c>
      <c r="P163" s="28">
        <f>IF(tblMovimientos[[#This Row],[Tipo de Movimiento]]="Ingreso",tblMovimientos[[#This Row],[Ingreso]],-tblMovimientos[[#This Row],[Egreso]])</f>
        <v>350000</v>
      </c>
      <c r="Q163" s="78" t="str">
        <f>_xlfn.XLOOKUP(tblMovimientos[[#This Row],[Cuenta Bancaria]],Cuentas!$C:$C,Cuentas!$A:$A,"")&amp;""</f>
        <v>SSP Group</v>
      </c>
      <c r="R163" s="78" t="str">
        <f>_xlfn.XLOOKUP(tblMovimientos[[#This Row],[Cuenta Bancaria]],Cuentas!$C:$C,Cuentas!$B:$B,"",0,-1)&amp;""</f>
        <v/>
      </c>
    </row>
    <row r="164" spans="2:18" x14ac:dyDescent="0.3">
      <c r="B164" s="39">
        <v>46162</v>
      </c>
      <c r="C164" s="4" t="str">
        <f>_xlfn.XLOOKUP(tblMovimientos[[#This Row],[Cuenta Bancaria]],Listas!$B:$B,Listas!$A:$A,"")</f>
        <v>Go Blue</v>
      </c>
      <c r="D164" s="41" t="s">
        <v>126</v>
      </c>
      <c r="E164" s="4" t="str">
        <f>_xlfn.XLOOKUP(tblMovimientos[[#This Row],[Cuenta Bancaria]],Listas!$B:$B,Listas!$C:$C,"")</f>
        <v xml:space="preserve">Amerant Bank </v>
      </c>
      <c r="F164" s="41" t="s">
        <v>10</v>
      </c>
      <c r="G164" s="41" t="s">
        <v>38</v>
      </c>
      <c r="H164" s="4" t="str">
        <f>IFERROR(_xlfn.XLOOKUP(G164,Listas!E:E,Listas!F:F,""),"")</f>
        <v>Operativo</v>
      </c>
      <c r="I164" s="46" t="str">
        <f>IFERROR(_xlfn.XLOOKUP(G164,Listas!E:E,Listas!G:G,""),"")</f>
        <v>Externo</v>
      </c>
      <c r="J164" s="43">
        <v>5199.1400000000003</v>
      </c>
      <c r="K164" s="5">
        <f t="shared" si="2"/>
        <v>-5199.1400000000003</v>
      </c>
      <c r="L164" s="6" t="s">
        <v>93</v>
      </c>
      <c r="M164" s="44">
        <f>SUMIFS('Saldos Iniciales'!$D:$D,'Saldos Iniciales'!$A:$A,C164,'Saldos Iniciales'!$B:$B,D164)+SUMIFS($K$1:$K$1324,$C$1:$C$1324,C164,$D$1:$D$1324,D164,$B$1:$B$1324,"&lt;="&amp;B164)</f>
        <v>8168.0700000000006</v>
      </c>
      <c r="N164" s="61" t="str">
        <f>IF(tblMovimientos[[#This Row],[Tipo de Movimiento]]="Ingreso",tblMovimientos[[#This Row],[Monto (S/)]],"0")</f>
        <v>0</v>
      </c>
      <c r="O164" s="61">
        <f>IF(tblMovimientos[[#This Row],[Tipo de Movimiento]]="Egreso",tblMovimientos[[#This Row],[Monto (S/)]],"0")</f>
        <v>5199.1400000000003</v>
      </c>
      <c r="P164" s="28">
        <f>IF(tblMovimientos[[#This Row],[Tipo de Movimiento]]="Ingreso",tblMovimientos[[#This Row],[Ingreso]],-tblMovimientos[[#This Row],[Egreso]])</f>
        <v>-5199.1400000000003</v>
      </c>
      <c r="Q164" s="78" t="str">
        <f>_xlfn.XLOOKUP(tblMovimientos[[#This Row],[Cuenta Bancaria]],Cuentas!$C:$C,Cuentas!$A:$A,"")&amp;""</f>
        <v>SSP Group</v>
      </c>
      <c r="R164" s="78" t="str">
        <f>_xlfn.XLOOKUP(tblMovimientos[[#This Row],[Cuenta Bancaria]],Cuentas!$C:$C,Cuentas!$B:$B,"",0,-1)&amp;""</f>
        <v/>
      </c>
    </row>
    <row r="165" spans="2:18" x14ac:dyDescent="0.3">
      <c r="B165" s="39">
        <v>46162</v>
      </c>
      <c r="C165" s="4" t="str">
        <f>_xlfn.XLOOKUP(tblMovimientos[[#This Row],[Cuenta Bancaria]],Listas!$B:$B,Listas!$A:$A,"")</f>
        <v>Go Blue</v>
      </c>
      <c r="D165" s="41" t="s">
        <v>126</v>
      </c>
      <c r="E165" s="4" t="str">
        <f>_xlfn.XLOOKUP(tblMovimientos[[#This Row],[Cuenta Bancaria]],Listas!$B:$B,Listas!$C:$C,"")</f>
        <v xml:space="preserve">Amerant Bank </v>
      </c>
      <c r="F165" s="41" t="s">
        <v>10</v>
      </c>
      <c r="G165" s="41" t="s">
        <v>38</v>
      </c>
      <c r="H165" s="4" t="str">
        <f>IFERROR(_xlfn.XLOOKUP(G165,Listas!E:E,Listas!F:F,""),"")</f>
        <v>Operativo</v>
      </c>
      <c r="I165" s="46" t="str">
        <f>IFERROR(_xlfn.XLOOKUP(G165,Listas!E:E,Listas!G:G,""),"")</f>
        <v>Externo</v>
      </c>
      <c r="J165" s="43">
        <v>5450</v>
      </c>
      <c r="K165" s="5">
        <f t="shared" si="2"/>
        <v>-5450</v>
      </c>
      <c r="L165" s="6" t="s">
        <v>93</v>
      </c>
      <c r="M165" s="44">
        <f>SUMIFS('Saldos Iniciales'!$D:$D,'Saldos Iniciales'!$A:$A,C165,'Saldos Iniciales'!$B:$B,D165)+SUMIFS($K$1:$K$1324,$C$1:$C$1324,C165,$D$1:$D$1324,D165,$B$1:$B$1324,"&lt;="&amp;B165)</f>
        <v>8168.0700000000006</v>
      </c>
      <c r="N165" s="61" t="str">
        <f>IF(tblMovimientos[[#This Row],[Tipo de Movimiento]]="Ingreso",tblMovimientos[[#This Row],[Monto (S/)]],"0")</f>
        <v>0</v>
      </c>
      <c r="O165" s="61">
        <f>IF(tblMovimientos[[#This Row],[Tipo de Movimiento]]="Egreso",tblMovimientos[[#This Row],[Monto (S/)]],"0")</f>
        <v>5450</v>
      </c>
      <c r="P165" s="28">
        <f>IF(tblMovimientos[[#This Row],[Tipo de Movimiento]]="Ingreso",tblMovimientos[[#This Row],[Ingreso]],-tblMovimientos[[#This Row],[Egreso]])</f>
        <v>-5450</v>
      </c>
      <c r="Q165" s="78" t="str">
        <f>_xlfn.XLOOKUP(tblMovimientos[[#This Row],[Cuenta Bancaria]],Cuentas!$C:$C,Cuentas!$A:$A,"")&amp;""</f>
        <v>SSP Group</v>
      </c>
      <c r="R165" s="78" t="str">
        <f>_xlfn.XLOOKUP(tblMovimientos[[#This Row],[Cuenta Bancaria]],Cuentas!$C:$C,Cuentas!$B:$B,"",0,-1)&amp;""</f>
        <v/>
      </c>
    </row>
    <row r="166" spans="2:18" x14ac:dyDescent="0.3">
      <c r="B166" s="39">
        <v>46163</v>
      </c>
      <c r="C166" s="4" t="str">
        <f>_xlfn.XLOOKUP(tblMovimientos[[#This Row],[Cuenta Bancaria]],Listas!$B:$B,Listas!$A:$A,"")</f>
        <v>A&amp;M Imports</v>
      </c>
      <c r="D166" s="41" t="s">
        <v>100</v>
      </c>
      <c r="E166" s="4" t="str">
        <f>_xlfn.XLOOKUP(tblMovimientos[[#This Row],[Cuenta Bancaria]],Listas!$B:$B,Listas!$C:$C,"")</f>
        <v>Bank of America</v>
      </c>
      <c r="F166" s="41" t="s">
        <v>10</v>
      </c>
      <c r="G166" s="41" t="s">
        <v>61</v>
      </c>
      <c r="H166" s="4" t="str">
        <f>IFERROR(_xlfn.XLOOKUP(G166,Listas!E:E,Listas!F:F,""),"")</f>
        <v>Operativo</v>
      </c>
      <c r="I166" s="46" t="str">
        <f>IFERROR(_xlfn.XLOOKUP(G166,Listas!E:E,Listas!G:G,""),"")</f>
        <v>Externo</v>
      </c>
      <c r="J166" s="43">
        <v>60000</v>
      </c>
      <c r="K166" s="5">
        <f t="shared" si="2"/>
        <v>-60000</v>
      </c>
      <c r="L166" s="6" t="s">
        <v>93</v>
      </c>
      <c r="M166" s="44">
        <f>SUMIFS('Saldos Iniciales'!$D:$D,'Saldos Iniciales'!$A:$A,C166,'Saldos Iniciales'!$B:$B,D166)+SUMIFS($K$1:$K$1324,$C$1:$C$1324,C166,$D$1:$D$1324,D166,$B$1:$B$1324,"&lt;="&amp;B166)</f>
        <v>497076.20999999985</v>
      </c>
      <c r="N166" s="61" t="str">
        <f>IF(tblMovimientos[[#This Row],[Tipo de Movimiento]]="Ingreso",tblMovimientos[[#This Row],[Monto (S/)]],"0")</f>
        <v>0</v>
      </c>
      <c r="O166" s="61">
        <f>IF(tblMovimientos[[#This Row],[Tipo de Movimiento]]="Egreso",tblMovimientos[[#This Row],[Monto (S/)]],"0")</f>
        <v>60000</v>
      </c>
      <c r="P166" s="28">
        <f>IF(tblMovimientos[[#This Row],[Tipo de Movimiento]]="Ingreso",tblMovimientos[[#This Row],[Ingreso]],-tblMovimientos[[#This Row],[Egreso]])</f>
        <v>-60000</v>
      </c>
      <c r="Q166" s="78" t="str">
        <f>_xlfn.XLOOKUP(tblMovimientos[[#This Row],[Cuenta Bancaria]],Cuentas!$C:$C,Cuentas!$A:$A,"")&amp;""</f>
        <v>SSP Group</v>
      </c>
      <c r="R166" s="78" t="str">
        <f>_xlfn.XLOOKUP(tblMovimientos[[#This Row],[Cuenta Bancaria]],Cuentas!$C:$C,Cuentas!$B:$B,"",0,-1)&amp;""</f>
        <v/>
      </c>
    </row>
    <row r="167" spans="2:18" x14ac:dyDescent="0.3">
      <c r="B167" s="39">
        <v>46163</v>
      </c>
      <c r="C167" s="4" t="str">
        <f>_xlfn.XLOOKUP(tblMovimientos[[#This Row],[Cuenta Bancaria]],Listas!$B:$B,Listas!$A:$A,"")</f>
        <v>A&amp;M Imports</v>
      </c>
      <c r="D167" s="41" t="s">
        <v>100</v>
      </c>
      <c r="E167" s="4" t="str">
        <f>_xlfn.XLOOKUP(tblMovimientos[[#This Row],[Cuenta Bancaria]],Listas!$B:$B,Listas!$C:$C,"")</f>
        <v>Bank of America</v>
      </c>
      <c r="F167" s="41" t="s">
        <v>10</v>
      </c>
      <c r="G167" s="41" t="s">
        <v>60</v>
      </c>
      <c r="H167" s="4" t="str">
        <f>IFERROR(_xlfn.XLOOKUP(G167,Listas!E:E,Listas!F:F,""),"")</f>
        <v>Inversion</v>
      </c>
      <c r="I167" s="46" t="str">
        <f>IFERROR(_xlfn.XLOOKUP(G167,Listas!E:E,Listas!G:G,""),"")</f>
        <v>Interno</v>
      </c>
      <c r="J167" s="43">
        <v>75000</v>
      </c>
      <c r="K167" s="5">
        <f t="shared" si="2"/>
        <v>-75000</v>
      </c>
      <c r="L167" s="6" t="s">
        <v>93</v>
      </c>
      <c r="M167" s="44">
        <f>SUMIFS('Saldos Iniciales'!$D:$D,'Saldos Iniciales'!$A:$A,C167,'Saldos Iniciales'!$B:$B,D167)+SUMIFS($K$1:$K$1324,$C$1:$C$1324,C167,$D$1:$D$1324,D167,$B$1:$B$1324,"&lt;="&amp;B167)</f>
        <v>497076.20999999985</v>
      </c>
      <c r="N167" s="61" t="str">
        <f>IF(tblMovimientos[[#This Row],[Tipo de Movimiento]]="Ingreso",tblMovimientos[[#This Row],[Monto (S/)]],"0")</f>
        <v>0</v>
      </c>
      <c r="O167" s="61">
        <f>IF(tblMovimientos[[#This Row],[Tipo de Movimiento]]="Egreso",tblMovimientos[[#This Row],[Monto (S/)]],"0")</f>
        <v>75000</v>
      </c>
      <c r="P167" s="28">
        <f>IF(tblMovimientos[[#This Row],[Tipo de Movimiento]]="Ingreso",tblMovimientos[[#This Row],[Ingreso]],-tblMovimientos[[#This Row],[Egreso]])</f>
        <v>-75000</v>
      </c>
      <c r="Q167" s="78" t="str">
        <f>_xlfn.XLOOKUP(tblMovimientos[[#This Row],[Cuenta Bancaria]],Cuentas!$C:$C,Cuentas!$A:$A,"")&amp;""</f>
        <v>SSP Group</v>
      </c>
      <c r="R167" s="78" t="str">
        <f>_xlfn.XLOOKUP(tblMovimientos[[#This Row],[Cuenta Bancaria]],Cuentas!$C:$C,Cuentas!$B:$B,"",0,-1)&amp;""</f>
        <v/>
      </c>
    </row>
    <row r="168" spans="2:18" x14ac:dyDescent="0.3">
      <c r="B168" s="39">
        <v>46163</v>
      </c>
      <c r="C168" s="4" t="str">
        <f>_xlfn.XLOOKUP(tblMovimientos[[#This Row],[Cuenta Bancaria]],Listas!$B:$B,Listas!$A:$A,"")</f>
        <v>A&amp;M Imports</v>
      </c>
      <c r="D168" s="41" t="s">
        <v>100</v>
      </c>
      <c r="E168" s="4" t="str">
        <f>_xlfn.XLOOKUP(tblMovimientos[[#This Row],[Cuenta Bancaria]],Listas!$B:$B,Listas!$C:$C,"")</f>
        <v>Bank of America</v>
      </c>
      <c r="F168" s="41" t="s">
        <v>10</v>
      </c>
      <c r="G168" s="41" t="s">
        <v>61</v>
      </c>
      <c r="H168" s="4" t="str">
        <f>IFERROR(_xlfn.XLOOKUP(G168,Listas!E:E,Listas!F:F,""),"")</f>
        <v>Operativo</v>
      </c>
      <c r="I168" s="46" t="str">
        <f>IFERROR(_xlfn.XLOOKUP(G168,Listas!E:E,Listas!G:G,""),"")</f>
        <v>Externo</v>
      </c>
      <c r="J168" s="43">
        <v>100000</v>
      </c>
      <c r="K168" s="5">
        <f t="shared" si="2"/>
        <v>-100000</v>
      </c>
      <c r="L168" s="6" t="s">
        <v>93</v>
      </c>
      <c r="M168" s="44">
        <f>SUMIFS('Saldos Iniciales'!$D:$D,'Saldos Iniciales'!$A:$A,C168,'Saldos Iniciales'!$B:$B,D168)+SUMIFS($K$1:$K$1324,$C$1:$C$1324,C168,$D$1:$D$1324,D168,$B$1:$B$1324,"&lt;="&amp;B168)</f>
        <v>497076.20999999985</v>
      </c>
      <c r="N168" s="61" t="str">
        <f>IF(tblMovimientos[[#This Row],[Tipo de Movimiento]]="Ingreso",tblMovimientos[[#This Row],[Monto (S/)]],"0")</f>
        <v>0</v>
      </c>
      <c r="O168" s="61">
        <f>IF(tblMovimientos[[#This Row],[Tipo de Movimiento]]="Egreso",tblMovimientos[[#This Row],[Monto (S/)]],"0")</f>
        <v>100000</v>
      </c>
      <c r="P168" s="28">
        <f>IF(tblMovimientos[[#This Row],[Tipo de Movimiento]]="Ingreso",tblMovimientos[[#This Row],[Ingreso]],-tblMovimientos[[#This Row],[Egreso]])</f>
        <v>-100000</v>
      </c>
      <c r="Q168" s="78" t="str">
        <f>_xlfn.XLOOKUP(tblMovimientos[[#This Row],[Cuenta Bancaria]],Cuentas!$C:$C,Cuentas!$A:$A,"")&amp;""</f>
        <v>SSP Group</v>
      </c>
      <c r="R168" s="78" t="str">
        <f>_xlfn.XLOOKUP(tblMovimientos[[#This Row],[Cuenta Bancaria]],Cuentas!$C:$C,Cuentas!$B:$B,"",0,-1)&amp;""</f>
        <v/>
      </c>
    </row>
    <row r="169" spans="2:18" x14ac:dyDescent="0.3">
      <c r="B169" s="39">
        <v>46163</v>
      </c>
      <c r="C169" s="4" t="str">
        <f>_xlfn.XLOOKUP(tblMovimientos[[#This Row],[Cuenta Bancaria]],Listas!$B:$B,Listas!$A:$A,"")</f>
        <v>A&amp;M Imports</v>
      </c>
      <c r="D169" s="41" t="s">
        <v>100</v>
      </c>
      <c r="E169" s="4" t="str">
        <f>_xlfn.XLOOKUP(tblMovimientos[[#This Row],[Cuenta Bancaria]],Listas!$B:$B,Listas!$C:$C,"")</f>
        <v>Bank of America</v>
      </c>
      <c r="F169" s="41" t="s">
        <v>10</v>
      </c>
      <c r="G169" s="41" t="s">
        <v>61</v>
      </c>
      <c r="H169" s="4" t="str">
        <f>IFERROR(_xlfn.XLOOKUP(G169,Listas!E:E,Listas!F:F,""),"")</f>
        <v>Operativo</v>
      </c>
      <c r="I169" s="46" t="str">
        <f>IFERROR(_xlfn.XLOOKUP(G169,Listas!E:E,Listas!G:G,""),"")</f>
        <v>Externo</v>
      </c>
      <c r="J169" s="43">
        <v>100000</v>
      </c>
      <c r="K169" s="5">
        <f t="shared" si="2"/>
        <v>-100000</v>
      </c>
      <c r="L169" s="6" t="s">
        <v>93</v>
      </c>
      <c r="M169" s="44">
        <f>SUMIFS('Saldos Iniciales'!$D:$D,'Saldos Iniciales'!$A:$A,C169,'Saldos Iniciales'!$B:$B,D169)+SUMIFS($K$1:$K$1324,$C$1:$C$1324,C169,$D$1:$D$1324,D169,$B$1:$B$1324,"&lt;="&amp;B169)</f>
        <v>497076.20999999985</v>
      </c>
      <c r="N169" s="61" t="str">
        <f>IF(tblMovimientos[[#This Row],[Tipo de Movimiento]]="Ingreso",tblMovimientos[[#This Row],[Monto (S/)]],"0")</f>
        <v>0</v>
      </c>
      <c r="O169" s="61">
        <f>IF(tblMovimientos[[#This Row],[Tipo de Movimiento]]="Egreso",tblMovimientos[[#This Row],[Monto (S/)]],"0")</f>
        <v>100000</v>
      </c>
      <c r="P169" s="28">
        <f>IF(tblMovimientos[[#This Row],[Tipo de Movimiento]]="Ingreso",tblMovimientos[[#This Row],[Ingreso]],-tblMovimientos[[#This Row],[Egreso]])</f>
        <v>-100000</v>
      </c>
      <c r="Q169" s="78" t="str">
        <f>_xlfn.XLOOKUP(tblMovimientos[[#This Row],[Cuenta Bancaria]],Cuentas!$C:$C,Cuentas!$A:$A,"")&amp;""</f>
        <v>SSP Group</v>
      </c>
      <c r="R169" s="78" t="str">
        <f>_xlfn.XLOOKUP(tblMovimientos[[#This Row],[Cuenta Bancaria]],Cuentas!$C:$C,Cuentas!$B:$B,"",0,-1)&amp;""</f>
        <v/>
      </c>
    </row>
    <row r="170" spans="2:18" x14ac:dyDescent="0.3">
      <c r="B170" s="39">
        <v>46163</v>
      </c>
      <c r="C170" s="4" t="str">
        <f>_xlfn.XLOOKUP(tblMovimientos[[#This Row],[Cuenta Bancaria]],Listas!$B:$B,Listas!$A:$A,"")</f>
        <v>M1B</v>
      </c>
      <c r="D170" s="41" t="s">
        <v>97</v>
      </c>
      <c r="E170" s="4" t="str">
        <f>_xlfn.XLOOKUP(tblMovimientos[[#This Row],[Cuenta Bancaria]],Listas!$B:$B,Listas!$C:$C,"")</f>
        <v xml:space="preserve">Amerant Bank </v>
      </c>
      <c r="F170" s="41" t="s">
        <v>9</v>
      </c>
      <c r="G170" s="41" t="s">
        <v>87</v>
      </c>
      <c r="H170" s="4" t="str">
        <f>IFERROR(_xlfn.XLOOKUP(G170,Listas!E:E,Listas!F:F,""),"")</f>
        <v>Operativo</v>
      </c>
      <c r="I170" s="46" t="str">
        <f>IFERROR(_xlfn.XLOOKUP(G170,Listas!E:E,Listas!G:G,""),"")</f>
        <v>Externo</v>
      </c>
      <c r="J170" s="43">
        <v>600000</v>
      </c>
      <c r="K170" s="5">
        <f t="shared" si="2"/>
        <v>600000</v>
      </c>
      <c r="L170" s="6" t="s">
        <v>93</v>
      </c>
      <c r="M170" s="44">
        <f>SUMIFS('Saldos Iniciales'!$D:$D,'Saldos Iniciales'!$A:$A,C170,'Saldos Iniciales'!$B:$B,D170)+SUMIFS($K$1:$K$1324,$C$1:$C$1324,C170,$D$1:$D$1324,D170,$B$1:$B$1324,"&lt;="&amp;B170)</f>
        <v>654760.15999999992</v>
      </c>
      <c r="N170" s="61">
        <f>IF(tblMovimientos[[#This Row],[Tipo de Movimiento]]="Ingreso",tblMovimientos[[#This Row],[Monto (S/)]],"0")</f>
        <v>600000</v>
      </c>
      <c r="O170" s="61" t="str">
        <f>IF(tblMovimientos[[#This Row],[Tipo de Movimiento]]="Egreso",tblMovimientos[[#This Row],[Monto (S/)]],"0")</f>
        <v>0</v>
      </c>
      <c r="P170" s="28">
        <f>IF(tblMovimientos[[#This Row],[Tipo de Movimiento]]="Ingreso",tblMovimientos[[#This Row],[Ingreso]],-tblMovimientos[[#This Row],[Egreso]])</f>
        <v>600000</v>
      </c>
      <c r="Q170" s="78" t="str">
        <f>_xlfn.XLOOKUP(tblMovimientos[[#This Row],[Cuenta Bancaria]],Cuentas!$C:$C,Cuentas!$A:$A,"")&amp;""</f>
        <v>SSP Group</v>
      </c>
      <c r="R170" s="78" t="str">
        <f>_xlfn.XLOOKUP(tblMovimientos[[#This Row],[Cuenta Bancaria]],Cuentas!$C:$C,Cuentas!$B:$B,"",0,-1)&amp;""</f>
        <v/>
      </c>
    </row>
    <row r="171" spans="2:18" x14ac:dyDescent="0.3">
      <c r="B171" s="39">
        <v>46163</v>
      </c>
      <c r="C171" s="4" t="str">
        <f>_xlfn.XLOOKUP(tblMovimientos[[#This Row],[Cuenta Bancaria]],Listas!$B:$B,Listas!$A:$A,"")</f>
        <v>Cross Security Trust</v>
      </c>
      <c r="D171" s="41" t="s">
        <v>112</v>
      </c>
      <c r="E171" s="4" t="str">
        <f>_xlfn.XLOOKUP(tblMovimientos[[#This Row],[Cuenta Bancaria]],Listas!$B:$B,Listas!$C:$C,"")</f>
        <v>Bank of America</v>
      </c>
      <c r="F171" s="41" t="s">
        <v>9</v>
      </c>
      <c r="G171" s="41" t="s">
        <v>67</v>
      </c>
      <c r="H171" s="4" t="str">
        <f>IFERROR(_xlfn.XLOOKUP(G171,Listas!E:E,Listas!F:F,""),"")</f>
        <v>Inversion</v>
      </c>
      <c r="I171" s="46" t="str">
        <f>IFERROR(_xlfn.XLOOKUP(G171,Listas!E:E,Listas!G:G,""),"")</f>
        <v>Interno</v>
      </c>
      <c r="J171" s="43">
        <v>75000</v>
      </c>
      <c r="K171" s="5">
        <f t="shared" si="2"/>
        <v>75000</v>
      </c>
      <c r="L171" s="6" t="s">
        <v>93</v>
      </c>
      <c r="M171" s="44">
        <f>SUMIFS('Saldos Iniciales'!$D:$D,'Saldos Iniciales'!$A:$A,C171,'Saldos Iniciales'!$B:$B,D171)+SUMIFS($K$1:$K$1324,$C$1:$C$1324,C171,$D$1:$D$1324,D171,$B$1:$B$1324,"&lt;="&amp;B171)</f>
        <v>88090.37</v>
      </c>
      <c r="N171" s="61">
        <f>IF(tblMovimientos[[#This Row],[Tipo de Movimiento]]="Ingreso",tblMovimientos[[#This Row],[Monto (S/)]],"0")</f>
        <v>75000</v>
      </c>
      <c r="O171" s="61" t="str">
        <f>IF(tblMovimientos[[#This Row],[Tipo de Movimiento]]="Egreso",tblMovimientos[[#This Row],[Monto (S/)]],"0")</f>
        <v>0</v>
      </c>
      <c r="P171" s="28">
        <f>IF(tblMovimientos[[#This Row],[Tipo de Movimiento]]="Ingreso",tblMovimientos[[#This Row],[Ingreso]],-tblMovimientos[[#This Row],[Egreso]])</f>
        <v>75000</v>
      </c>
      <c r="Q171" s="78" t="str">
        <f>_xlfn.XLOOKUP(tblMovimientos[[#This Row],[Cuenta Bancaria]],Cuentas!$C:$C,Cuentas!$A:$A,"")&amp;""</f>
        <v>SSP Group</v>
      </c>
      <c r="R171" s="78" t="str">
        <f>_xlfn.XLOOKUP(tblMovimientos[[#This Row],[Cuenta Bancaria]],Cuentas!$C:$C,Cuentas!$B:$B,"",0,-1)&amp;""</f>
        <v>Trust</v>
      </c>
    </row>
    <row r="172" spans="2:18" x14ac:dyDescent="0.3">
      <c r="B172" s="39">
        <v>46164</v>
      </c>
      <c r="C172" s="4" t="str">
        <f>_xlfn.XLOOKUP(tblMovimientos[[#This Row],[Cuenta Bancaria]],Listas!$B:$B,Listas!$A:$A,"")</f>
        <v>SSP Capital</v>
      </c>
      <c r="D172" s="41" t="s">
        <v>101</v>
      </c>
      <c r="E172" s="4" t="str">
        <f>_xlfn.XLOOKUP(tblMovimientos[[#This Row],[Cuenta Bancaria]],Listas!$B:$B,Listas!$C:$C,"")</f>
        <v>Bank of America</v>
      </c>
      <c r="F172" s="41" t="s">
        <v>10</v>
      </c>
      <c r="G172" s="41" t="s">
        <v>38</v>
      </c>
      <c r="H172" s="4" t="str">
        <f>IFERROR(_xlfn.XLOOKUP(G172,Listas!E:E,Listas!F:F,""),"")</f>
        <v>Operativo</v>
      </c>
      <c r="I172" s="46" t="str">
        <f>IFERROR(_xlfn.XLOOKUP(G172,Listas!E:E,Listas!G:G,""),"")</f>
        <v>Externo</v>
      </c>
      <c r="J172" s="43">
        <v>762.99</v>
      </c>
      <c r="K172" s="5">
        <f t="shared" si="2"/>
        <v>-762.99</v>
      </c>
      <c r="L172" s="6" t="s">
        <v>93</v>
      </c>
      <c r="M172" s="44">
        <f>SUMIFS('Saldos Iniciales'!$D:$D,'Saldos Iniciales'!$A:$A,C172,'Saldos Iniciales'!$B:$B,D172)+SUMIFS($K$1:$K$1324,$C$1:$C$1324,C172,$D$1:$D$1324,D172,$B$1:$B$1324,"&lt;="&amp;B172)</f>
        <v>11562.970000000001</v>
      </c>
      <c r="N172" s="61" t="str">
        <f>IF(tblMovimientos[[#This Row],[Tipo de Movimiento]]="Ingreso",tblMovimientos[[#This Row],[Monto (S/)]],"0")</f>
        <v>0</v>
      </c>
      <c r="O172" s="61">
        <f>IF(tblMovimientos[[#This Row],[Tipo de Movimiento]]="Egreso",tblMovimientos[[#This Row],[Monto (S/)]],"0")</f>
        <v>762.99</v>
      </c>
      <c r="P172" s="28">
        <f>IF(tblMovimientos[[#This Row],[Tipo de Movimiento]]="Ingreso",tblMovimientos[[#This Row],[Ingreso]],-tblMovimientos[[#This Row],[Egreso]])</f>
        <v>-762.99</v>
      </c>
      <c r="Q172" s="78" t="str">
        <f>_xlfn.XLOOKUP(tblMovimientos[[#This Row],[Cuenta Bancaria]],Cuentas!$C:$C,Cuentas!$A:$A,"")&amp;""</f>
        <v>SSP Group</v>
      </c>
      <c r="R172" s="78" t="str">
        <f>_xlfn.XLOOKUP(tblMovimientos[[#This Row],[Cuenta Bancaria]],Cuentas!$C:$C,Cuentas!$B:$B,"",0,-1)&amp;""</f>
        <v/>
      </c>
    </row>
    <row r="173" spans="2:18" x14ac:dyDescent="0.3">
      <c r="B173" s="39">
        <v>46168</v>
      </c>
      <c r="C173" s="4" t="str">
        <f>_xlfn.XLOOKUP(tblMovimientos[[#This Row],[Cuenta Bancaria]],Listas!$B:$B,Listas!$A:$A,"")</f>
        <v>CFT Group</v>
      </c>
      <c r="D173" s="41" t="s">
        <v>94</v>
      </c>
      <c r="E173" s="4" t="str">
        <f>_xlfn.XLOOKUP(tblMovimientos[[#This Row],[Cuenta Bancaria]],Listas!$B:$B,Listas!$C:$C,"")</f>
        <v>Bank of America</v>
      </c>
      <c r="F173" s="41" t="s">
        <v>9</v>
      </c>
      <c r="G173" s="41" t="s">
        <v>68</v>
      </c>
      <c r="H173" s="4" t="str">
        <f>IFERROR(_xlfn.XLOOKUP(G173,Listas!E:E,Listas!F:F,""),"")</f>
        <v>Operativo</v>
      </c>
      <c r="I173" s="46" t="str">
        <f>IFERROR(_xlfn.XLOOKUP(G173,Listas!E:E,Listas!G:G,""),"")</f>
        <v>Externo</v>
      </c>
      <c r="J173" s="43">
        <v>110832.53</v>
      </c>
      <c r="K173" s="5">
        <f t="shared" si="2"/>
        <v>110832.53</v>
      </c>
      <c r="L173" s="6" t="s">
        <v>93</v>
      </c>
      <c r="M173" s="44">
        <f>SUMIFS('Saldos Iniciales'!$D:$D,'Saldos Iniciales'!$A:$A,C173,'Saldos Iniciales'!$B:$B,D173)+SUMIFS($K$1:$K$1324,$C$1:$C$1324,C173,$D$1:$D$1324,D173,$B$1:$B$1324,"&lt;="&amp;B173)</f>
        <v>122416.43999999997</v>
      </c>
      <c r="N173" s="61">
        <f>IF(tblMovimientos[[#This Row],[Tipo de Movimiento]]="Ingreso",tblMovimientos[[#This Row],[Monto (S/)]],"0")</f>
        <v>110832.53</v>
      </c>
      <c r="O173" s="61" t="str">
        <f>IF(tblMovimientos[[#This Row],[Tipo de Movimiento]]="Egreso",tblMovimientos[[#This Row],[Monto (S/)]],"0")</f>
        <v>0</v>
      </c>
      <c r="P173" s="28">
        <f>IF(tblMovimientos[[#This Row],[Tipo de Movimiento]]="Ingreso",tblMovimientos[[#This Row],[Ingreso]],-tblMovimientos[[#This Row],[Egreso]])</f>
        <v>110832.53</v>
      </c>
      <c r="Q173" s="78" t="str">
        <f>_xlfn.XLOOKUP(tblMovimientos[[#This Row],[Cuenta Bancaria]],Cuentas!$C:$C,Cuentas!$A:$A,"")&amp;""</f>
        <v>SSP Group</v>
      </c>
      <c r="R173" s="78" t="str">
        <f>_xlfn.XLOOKUP(tblMovimientos[[#This Row],[Cuenta Bancaria]],Cuentas!$C:$C,Cuentas!$B:$B,"",0,-1)&amp;""</f>
        <v/>
      </c>
    </row>
    <row r="174" spans="2:18" x14ac:dyDescent="0.3">
      <c r="B174" s="39">
        <v>46168</v>
      </c>
      <c r="C174" s="4" t="str">
        <f>_xlfn.XLOOKUP(tblMovimientos[[#This Row],[Cuenta Bancaria]],Listas!$B:$B,Listas!$A:$A,"")</f>
        <v>M1B</v>
      </c>
      <c r="D174" s="41" t="s">
        <v>97</v>
      </c>
      <c r="E174" s="4" t="str">
        <f>_xlfn.XLOOKUP(tblMovimientos[[#This Row],[Cuenta Bancaria]],Listas!$B:$B,Listas!$C:$C,"")</f>
        <v xml:space="preserve">Amerant Bank </v>
      </c>
      <c r="F174" s="41" t="s">
        <v>9</v>
      </c>
      <c r="G174" s="41" t="s">
        <v>87</v>
      </c>
      <c r="H174" s="4" t="str">
        <f>IFERROR(_xlfn.XLOOKUP(G174,Listas!E:E,Listas!F:F,""),"")</f>
        <v>Operativo</v>
      </c>
      <c r="I174" s="46" t="str">
        <f>IFERROR(_xlfn.XLOOKUP(G174,Listas!E:E,Listas!G:G,""),"")</f>
        <v>Externo</v>
      </c>
      <c r="J174" s="43">
        <v>600000</v>
      </c>
      <c r="K174" s="5">
        <f t="shared" si="2"/>
        <v>600000</v>
      </c>
      <c r="L174" s="6" t="s">
        <v>93</v>
      </c>
      <c r="M174" s="44">
        <f>SUMIFS('Saldos Iniciales'!$D:$D,'Saldos Iniciales'!$A:$A,C174,'Saldos Iniciales'!$B:$B,D174)+SUMIFS($K$1:$K$1324,$C$1:$C$1324,C174,$D$1:$D$1324,D174,$B$1:$B$1324,"&lt;="&amp;B174)</f>
        <v>1254760.1600000001</v>
      </c>
      <c r="N174" s="61">
        <f>IF(tblMovimientos[[#This Row],[Tipo de Movimiento]]="Ingreso",tblMovimientos[[#This Row],[Monto (S/)]],"0")</f>
        <v>600000</v>
      </c>
      <c r="O174" s="61" t="str">
        <f>IF(tblMovimientos[[#This Row],[Tipo de Movimiento]]="Egreso",tblMovimientos[[#This Row],[Monto (S/)]],"0")</f>
        <v>0</v>
      </c>
      <c r="P174" s="28">
        <f>IF(tblMovimientos[[#This Row],[Tipo de Movimiento]]="Ingreso",tblMovimientos[[#This Row],[Ingreso]],-tblMovimientos[[#This Row],[Egreso]])</f>
        <v>600000</v>
      </c>
      <c r="Q174" s="78" t="str">
        <f>_xlfn.XLOOKUP(tblMovimientos[[#This Row],[Cuenta Bancaria]],Cuentas!$C:$C,Cuentas!$A:$A,"")&amp;""</f>
        <v>SSP Group</v>
      </c>
      <c r="R174" s="78" t="str">
        <f>_xlfn.XLOOKUP(tblMovimientos[[#This Row],[Cuenta Bancaria]],Cuentas!$C:$C,Cuentas!$B:$B,"",0,-1)&amp;""</f>
        <v/>
      </c>
    </row>
    <row r="175" spans="2:18" x14ac:dyDescent="0.3">
      <c r="B175" s="39">
        <v>46169</v>
      </c>
      <c r="C175" s="4" t="str">
        <f>_xlfn.XLOOKUP(tblMovimientos[[#This Row],[Cuenta Bancaria]],Listas!$B:$B,Listas!$A:$A,"")</f>
        <v>A&amp;M Imports</v>
      </c>
      <c r="D175" s="41" t="s">
        <v>100</v>
      </c>
      <c r="E175" s="4" t="str">
        <f>_xlfn.XLOOKUP(tblMovimientos[[#This Row],[Cuenta Bancaria]],Listas!$B:$B,Listas!$C:$C,"")</f>
        <v>Bank of America</v>
      </c>
      <c r="F175" s="41" t="s">
        <v>9</v>
      </c>
      <c r="G175" s="41" t="s">
        <v>68</v>
      </c>
      <c r="H175" s="4" t="str">
        <f>IFERROR(_xlfn.XLOOKUP(G175,Listas!E:E,Listas!F:F,""),"")</f>
        <v>Operativo</v>
      </c>
      <c r="I175" s="46" t="str">
        <f>IFERROR(_xlfn.XLOOKUP(G175,Listas!E:E,Listas!G:G,""),"")</f>
        <v>Externo</v>
      </c>
      <c r="J175" s="43">
        <v>17540.53</v>
      </c>
      <c r="K175" s="5">
        <f t="shared" si="2"/>
        <v>17540.53</v>
      </c>
      <c r="L175" s="6" t="s">
        <v>93</v>
      </c>
      <c r="M175" s="44">
        <f>SUMIFS('Saldos Iniciales'!$D:$D,'Saldos Iniciales'!$A:$A,C175,'Saldos Iniciales'!$B:$B,D175)+SUMIFS($K$1:$K$1324,$C$1:$C$1324,C175,$D$1:$D$1324,D175,$B$1:$B$1324,"&lt;="&amp;B175)</f>
        <v>514616.73999999987</v>
      </c>
      <c r="N175" s="61">
        <f>IF(tblMovimientos[[#This Row],[Tipo de Movimiento]]="Ingreso",tblMovimientos[[#This Row],[Monto (S/)]],"0")</f>
        <v>17540.53</v>
      </c>
      <c r="O175" s="61" t="str">
        <f>IF(tblMovimientos[[#This Row],[Tipo de Movimiento]]="Egreso",tblMovimientos[[#This Row],[Monto (S/)]],"0")</f>
        <v>0</v>
      </c>
      <c r="P175" s="28">
        <f>IF(tblMovimientos[[#This Row],[Tipo de Movimiento]]="Ingreso",tblMovimientos[[#This Row],[Ingreso]],-tblMovimientos[[#This Row],[Egreso]])</f>
        <v>17540.53</v>
      </c>
      <c r="Q175" s="78" t="str">
        <f>_xlfn.XLOOKUP(tblMovimientos[[#This Row],[Cuenta Bancaria]],Cuentas!$C:$C,Cuentas!$A:$A,"")&amp;""</f>
        <v>SSP Group</v>
      </c>
      <c r="R175" s="78" t="str">
        <f>_xlfn.XLOOKUP(tblMovimientos[[#This Row],[Cuenta Bancaria]],Cuentas!$C:$C,Cuentas!$B:$B,"",0,-1)&amp;""</f>
        <v/>
      </c>
    </row>
    <row r="176" spans="2:18" x14ac:dyDescent="0.3">
      <c r="B176" s="39">
        <v>46169</v>
      </c>
      <c r="C176" s="4" t="str">
        <f>_xlfn.XLOOKUP(tblMovimientos[[#This Row],[Cuenta Bancaria]],Listas!$B:$B,Listas!$A:$A,"")</f>
        <v>CFT Group</v>
      </c>
      <c r="D176" s="41" t="s">
        <v>94</v>
      </c>
      <c r="E176" s="4" t="str">
        <f>_xlfn.XLOOKUP(tblMovimientos[[#This Row],[Cuenta Bancaria]],Listas!$B:$B,Listas!$C:$C,"")</f>
        <v>Bank of America</v>
      </c>
      <c r="F176" s="41" t="s">
        <v>9</v>
      </c>
      <c r="G176" s="41" t="s">
        <v>68</v>
      </c>
      <c r="H176" s="4" t="str">
        <f>IFERROR(_xlfn.XLOOKUP(G176,Listas!E:E,Listas!F:F,""),"")</f>
        <v>Operativo</v>
      </c>
      <c r="I176" s="46" t="str">
        <f>IFERROR(_xlfn.XLOOKUP(G176,Listas!E:E,Listas!G:G,""),"")</f>
        <v>Externo</v>
      </c>
      <c r="J176" s="43">
        <v>6217.37</v>
      </c>
      <c r="K176" s="5">
        <f t="shared" si="2"/>
        <v>6217.37</v>
      </c>
      <c r="L176" s="6" t="s">
        <v>93</v>
      </c>
      <c r="M176" s="44">
        <f>SUMIFS('Saldos Iniciales'!$D:$D,'Saldos Iniciales'!$A:$A,C176,'Saldos Iniciales'!$B:$B,D176)+SUMIFS($K$1:$K$1324,$C$1:$C$1324,C176,$D$1:$D$1324,D176,$B$1:$B$1324,"&lt;="&amp;B176)</f>
        <v>128633.80999999997</v>
      </c>
      <c r="N176" s="61">
        <f>IF(tblMovimientos[[#This Row],[Tipo de Movimiento]]="Ingreso",tblMovimientos[[#This Row],[Monto (S/)]],"0")</f>
        <v>6217.37</v>
      </c>
      <c r="O176" s="61" t="str">
        <f>IF(tblMovimientos[[#This Row],[Tipo de Movimiento]]="Egreso",tblMovimientos[[#This Row],[Monto (S/)]],"0")</f>
        <v>0</v>
      </c>
      <c r="P176" s="28">
        <f>IF(tblMovimientos[[#This Row],[Tipo de Movimiento]]="Ingreso",tblMovimientos[[#This Row],[Ingreso]],-tblMovimientos[[#This Row],[Egreso]])</f>
        <v>6217.37</v>
      </c>
      <c r="Q176" s="78" t="str">
        <f>_xlfn.XLOOKUP(tblMovimientos[[#This Row],[Cuenta Bancaria]],Cuentas!$C:$C,Cuentas!$A:$A,"")&amp;""</f>
        <v>SSP Group</v>
      </c>
      <c r="R176" s="78" t="str">
        <f>_xlfn.XLOOKUP(tblMovimientos[[#This Row],[Cuenta Bancaria]],Cuentas!$C:$C,Cuentas!$B:$B,"",0,-1)&amp;""</f>
        <v/>
      </c>
    </row>
    <row r="177" spans="2:18" x14ac:dyDescent="0.3">
      <c r="B177" s="39">
        <v>46169</v>
      </c>
      <c r="C177" s="4" t="str">
        <f>_xlfn.XLOOKUP(tblMovimientos[[#This Row],[Cuenta Bancaria]],Listas!$B:$B,Listas!$A:$A,"")</f>
        <v>3628 Thomas Ave</v>
      </c>
      <c r="D177" s="41" t="s">
        <v>124</v>
      </c>
      <c r="E177" s="4" t="str">
        <f>_xlfn.XLOOKUP(tblMovimientos[[#This Row],[Cuenta Bancaria]],Listas!$B:$B,Listas!$C:$C,"")</f>
        <v>Bank of America</v>
      </c>
      <c r="F177" s="41" t="s">
        <v>9</v>
      </c>
      <c r="G177" s="41" t="s">
        <v>81</v>
      </c>
      <c r="H177" s="4" t="str">
        <f>IFERROR(_xlfn.XLOOKUP(G177,Listas!E:E,Listas!F:F,""),"")</f>
        <v>Operativo</v>
      </c>
      <c r="I177" s="46" t="str">
        <f>IFERROR(_xlfn.XLOOKUP(G177,Listas!E:E,Listas!G:G,""),"")</f>
        <v>Externo</v>
      </c>
      <c r="J177" s="43">
        <v>4400</v>
      </c>
      <c r="K177" s="5">
        <f t="shared" si="2"/>
        <v>4400</v>
      </c>
      <c r="L177" s="6" t="s">
        <v>93</v>
      </c>
      <c r="M177" s="44">
        <f>SUMIFS('Saldos Iniciales'!$D:$D,'Saldos Iniciales'!$A:$A,C177,'Saldos Iniciales'!$B:$B,D177)+SUMIFS($K$1:$K$1324,$C$1:$C$1324,C177,$D$1:$D$1324,D177,$B$1:$B$1324,"&lt;="&amp;B177)</f>
        <v>33606.270000000004</v>
      </c>
      <c r="N177" s="61">
        <f>IF(tblMovimientos[[#This Row],[Tipo de Movimiento]]="Ingreso",tblMovimientos[[#This Row],[Monto (S/)]],"0")</f>
        <v>4400</v>
      </c>
      <c r="O177" s="61" t="str">
        <f>IF(tblMovimientos[[#This Row],[Tipo de Movimiento]]="Egreso",tblMovimientos[[#This Row],[Monto (S/)]],"0")</f>
        <v>0</v>
      </c>
      <c r="P177" s="28">
        <f>IF(tblMovimientos[[#This Row],[Tipo de Movimiento]]="Ingreso",tblMovimientos[[#This Row],[Ingreso]],-tblMovimientos[[#This Row],[Egreso]])</f>
        <v>4400</v>
      </c>
      <c r="Q177" s="78" t="str">
        <f>_xlfn.XLOOKUP(tblMovimientos[[#This Row],[Cuenta Bancaria]],Cuentas!$C:$C,Cuentas!$A:$A,"")&amp;""</f>
        <v>SSP Group</v>
      </c>
      <c r="R177" s="78" t="str">
        <f>_xlfn.XLOOKUP(tblMovimientos[[#This Row],[Cuenta Bancaria]],Cuentas!$C:$C,Cuentas!$B:$B,"",0,-1)&amp;""</f>
        <v/>
      </c>
    </row>
    <row r="178" spans="2:18" x14ac:dyDescent="0.3">
      <c r="B178" s="39">
        <v>46169</v>
      </c>
      <c r="C178" s="4" t="str">
        <f>_xlfn.XLOOKUP(tblMovimientos[[#This Row],[Cuenta Bancaria]],Listas!$B:$B,Listas!$A:$A,"")</f>
        <v>Cross Family Trust</v>
      </c>
      <c r="D178" s="41" t="s">
        <v>111</v>
      </c>
      <c r="E178" s="4" t="str">
        <f>_xlfn.XLOOKUP(tblMovimientos[[#This Row],[Cuenta Bancaria]],Listas!$B:$B,Listas!$C:$C,"")</f>
        <v xml:space="preserve">Amerant Bank </v>
      </c>
      <c r="F178" s="41" t="s">
        <v>10</v>
      </c>
      <c r="G178" s="41" t="s">
        <v>53</v>
      </c>
      <c r="H178" s="4" t="str">
        <f>IFERROR(_xlfn.XLOOKUP(G178,Listas!E:E,Listas!F:F,""),"")</f>
        <v>Inversion</v>
      </c>
      <c r="I178" s="46" t="str">
        <f>IFERROR(_xlfn.XLOOKUP(G178,Listas!E:E,Listas!G:G,""),"")</f>
        <v>Interno</v>
      </c>
      <c r="J178" s="43">
        <v>10000</v>
      </c>
      <c r="K178" s="5">
        <f t="shared" si="2"/>
        <v>-10000</v>
      </c>
      <c r="L178" s="6" t="s">
        <v>93</v>
      </c>
      <c r="M178" s="44">
        <f>SUMIFS('Saldos Iniciales'!$D:$D,'Saldos Iniciales'!$A:$A,C178,'Saldos Iniciales'!$B:$B,D178)+SUMIFS($K$1:$K$1324,$C$1:$C$1324,C178,$D$1:$D$1324,D178,$B$1:$B$1324,"&lt;="&amp;B178)</f>
        <v>10717.600000000006</v>
      </c>
      <c r="N178" s="61" t="str">
        <f>IF(tblMovimientos[[#This Row],[Tipo de Movimiento]]="Ingreso",tblMovimientos[[#This Row],[Monto (S/)]],"0")</f>
        <v>0</v>
      </c>
      <c r="O178" s="61">
        <f>IF(tblMovimientos[[#This Row],[Tipo de Movimiento]]="Egreso",tblMovimientos[[#This Row],[Monto (S/)]],"0")</f>
        <v>10000</v>
      </c>
      <c r="P178" s="28">
        <f>IF(tblMovimientos[[#This Row],[Tipo de Movimiento]]="Ingreso",tblMovimientos[[#This Row],[Ingreso]],-tblMovimientos[[#This Row],[Egreso]])</f>
        <v>-10000</v>
      </c>
      <c r="Q178" s="78" t="str">
        <f>_xlfn.XLOOKUP(tblMovimientos[[#This Row],[Cuenta Bancaria]],Cuentas!$C:$C,Cuentas!$A:$A,"")&amp;""</f>
        <v>SSP Group</v>
      </c>
      <c r="R178" s="78" t="str">
        <f>_xlfn.XLOOKUP(tblMovimientos[[#This Row],[Cuenta Bancaria]],Cuentas!$C:$C,Cuentas!$B:$B,"",0,-1)&amp;""</f>
        <v>Trust</v>
      </c>
    </row>
    <row r="179" spans="2:18" x14ac:dyDescent="0.3">
      <c r="B179" s="39">
        <v>46169</v>
      </c>
      <c r="C179" s="4" t="str">
        <f>_xlfn.XLOOKUP(tblMovimientos[[#This Row],[Cuenta Bancaria]],Listas!$B:$B,Listas!$A:$A,"")</f>
        <v>Green Harbor Trust</v>
      </c>
      <c r="D179" s="41" t="s">
        <v>125</v>
      </c>
      <c r="E179" s="4" t="str">
        <f>_xlfn.XLOOKUP(tblMovimientos[[#This Row],[Cuenta Bancaria]],Listas!$B:$B,Listas!$C:$C,"")</f>
        <v xml:space="preserve">Amerant Bank </v>
      </c>
      <c r="F179" s="41" t="s">
        <v>9</v>
      </c>
      <c r="G179" s="41" t="s">
        <v>77</v>
      </c>
      <c r="H179" s="4" t="str">
        <f>IFERROR(_xlfn.XLOOKUP(G179,Listas!E:E,Listas!F:F,""),"")</f>
        <v>Inversion</v>
      </c>
      <c r="I179" s="46" t="str">
        <f>IFERROR(_xlfn.XLOOKUP(G179,Listas!E:E,Listas!G:G,""),"")</f>
        <v>Interno</v>
      </c>
      <c r="J179" s="43">
        <v>10000</v>
      </c>
      <c r="K179" s="5">
        <f t="shared" si="2"/>
        <v>10000</v>
      </c>
      <c r="L179" s="6" t="s">
        <v>93</v>
      </c>
      <c r="M179" s="44">
        <f>SUMIFS('Saldos Iniciales'!$D:$D,'Saldos Iniciales'!$A:$A,C179,'Saldos Iniciales'!$B:$B,D179)+SUMIFS($K$1:$K$1324,$C$1:$C$1324,C179,$D$1:$D$1324,D179,$B$1:$B$1324,"&lt;="&amp;B179)</f>
        <v>345</v>
      </c>
      <c r="N179" s="61">
        <f>IF(tblMovimientos[[#This Row],[Tipo de Movimiento]]="Ingreso",tblMovimientos[[#This Row],[Monto (S/)]],"0")</f>
        <v>10000</v>
      </c>
      <c r="O179" s="61" t="str">
        <f>IF(tblMovimientos[[#This Row],[Tipo de Movimiento]]="Egreso",tblMovimientos[[#This Row],[Monto (S/)]],"0")</f>
        <v>0</v>
      </c>
      <c r="P179" s="28">
        <f>IF(tblMovimientos[[#This Row],[Tipo de Movimiento]]="Ingreso",tblMovimientos[[#This Row],[Ingreso]],-tblMovimientos[[#This Row],[Egreso]])</f>
        <v>10000</v>
      </c>
      <c r="Q179" s="78" t="str">
        <f>_xlfn.XLOOKUP(tblMovimientos[[#This Row],[Cuenta Bancaria]],Cuentas!$C:$C,Cuentas!$A:$A,"")&amp;""</f>
        <v>SSP Group</v>
      </c>
      <c r="R179" s="78" t="str">
        <f>_xlfn.XLOOKUP(tblMovimientos[[#This Row],[Cuenta Bancaria]],Cuentas!$C:$C,Cuentas!$B:$B,"",0,-1)&amp;""</f>
        <v>Trust</v>
      </c>
    </row>
    <row r="180" spans="2:18" x14ac:dyDescent="0.3">
      <c r="B180" s="39">
        <v>46169</v>
      </c>
      <c r="C180" s="4" t="str">
        <f>_xlfn.XLOOKUP(tblMovimientos[[#This Row],[Cuenta Bancaria]],Listas!$B:$B,Listas!$A:$A,"")</f>
        <v>Green Harbor Trust</v>
      </c>
      <c r="D180" s="41" t="s">
        <v>125</v>
      </c>
      <c r="E180" s="4" t="str">
        <f>_xlfn.XLOOKUP(tblMovimientos[[#This Row],[Cuenta Bancaria]],Listas!$B:$B,Listas!$C:$C,"")</f>
        <v xml:space="preserve">Amerant Bank </v>
      </c>
      <c r="F180" s="41" t="s">
        <v>10</v>
      </c>
      <c r="G180" s="41" t="s">
        <v>53</v>
      </c>
      <c r="H180" s="4" t="str">
        <f>IFERROR(_xlfn.XLOOKUP(G180,Listas!E:E,Listas!F:F,""),"")</f>
        <v>Inversion</v>
      </c>
      <c r="I180" s="46" t="str">
        <f>IFERROR(_xlfn.XLOOKUP(G180,Listas!E:E,Listas!G:G,""),"")</f>
        <v>Interno</v>
      </c>
      <c r="J180" s="43">
        <v>10000</v>
      </c>
      <c r="K180" s="5">
        <f t="shared" si="2"/>
        <v>-10000</v>
      </c>
      <c r="L180" s="6" t="s">
        <v>93</v>
      </c>
      <c r="M180" s="44">
        <f>SUMIFS('Saldos Iniciales'!$D:$D,'Saldos Iniciales'!$A:$A,C180,'Saldos Iniciales'!$B:$B,D180)+SUMIFS($K$1:$K$1324,$C$1:$C$1324,C180,$D$1:$D$1324,D180,$B$1:$B$1324,"&lt;="&amp;B180)</f>
        <v>345</v>
      </c>
      <c r="N180" s="61" t="str">
        <f>IF(tblMovimientos[[#This Row],[Tipo de Movimiento]]="Ingreso",tblMovimientos[[#This Row],[Monto (S/)]],"0")</f>
        <v>0</v>
      </c>
      <c r="O180" s="61">
        <f>IF(tblMovimientos[[#This Row],[Tipo de Movimiento]]="Egreso",tblMovimientos[[#This Row],[Monto (S/)]],"0")</f>
        <v>10000</v>
      </c>
      <c r="P180" s="28">
        <f>IF(tblMovimientos[[#This Row],[Tipo de Movimiento]]="Ingreso",tblMovimientos[[#This Row],[Ingreso]],-tblMovimientos[[#This Row],[Egreso]])</f>
        <v>-10000</v>
      </c>
      <c r="Q180" s="78" t="str">
        <f>_xlfn.XLOOKUP(tblMovimientos[[#This Row],[Cuenta Bancaria]],Cuentas!$C:$C,Cuentas!$A:$A,"")&amp;""</f>
        <v>SSP Group</v>
      </c>
      <c r="R180" s="78" t="str">
        <f>_xlfn.XLOOKUP(tblMovimientos[[#This Row],[Cuenta Bancaria]],Cuentas!$C:$C,Cuentas!$B:$B,"",0,-1)&amp;""</f>
        <v>Trust</v>
      </c>
    </row>
    <row r="181" spans="2:18" x14ac:dyDescent="0.3">
      <c r="B181" s="39">
        <v>46169</v>
      </c>
      <c r="C181" s="4" t="str">
        <f>_xlfn.XLOOKUP(tblMovimientos[[#This Row],[Cuenta Bancaria]],Listas!$B:$B,Listas!$A:$A,"")</f>
        <v>Go Blue</v>
      </c>
      <c r="D181" s="41" t="s">
        <v>126</v>
      </c>
      <c r="E181" s="4" t="str">
        <f>_xlfn.XLOOKUP(tblMovimientos[[#This Row],[Cuenta Bancaria]],Listas!$B:$B,Listas!$C:$C,"")</f>
        <v xml:space="preserve">Amerant Bank </v>
      </c>
      <c r="F181" s="41" t="s">
        <v>10</v>
      </c>
      <c r="G181" s="41" t="s">
        <v>38</v>
      </c>
      <c r="H181" s="4" t="str">
        <f>IFERROR(_xlfn.XLOOKUP(G181,Listas!E:E,Listas!F:F,""),"")</f>
        <v>Operativo</v>
      </c>
      <c r="I181" s="46" t="str">
        <f>IFERROR(_xlfn.XLOOKUP(G181,Listas!E:E,Listas!G:G,""),"")</f>
        <v>Externo</v>
      </c>
      <c r="J181" s="43">
        <v>51.35</v>
      </c>
      <c r="K181" s="5">
        <f t="shared" si="2"/>
        <v>-51.35</v>
      </c>
      <c r="L181" s="6" t="s">
        <v>93</v>
      </c>
      <c r="M181" s="44">
        <f>SUMIFS('Saldos Iniciales'!$D:$D,'Saldos Iniciales'!$A:$A,C181,'Saldos Iniciales'!$B:$B,D181)+SUMIFS($K$1:$K$1324,$C$1:$C$1324,C181,$D$1:$D$1324,D181,$B$1:$B$1324,"&lt;="&amp;B181)</f>
        <v>17588.03</v>
      </c>
      <c r="N181" s="61" t="str">
        <f>IF(tblMovimientos[[#This Row],[Tipo de Movimiento]]="Ingreso",tblMovimientos[[#This Row],[Monto (S/)]],"0")</f>
        <v>0</v>
      </c>
      <c r="O181" s="61">
        <f>IF(tblMovimientos[[#This Row],[Tipo de Movimiento]]="Egreso",tblMovimientos[[#This Row],[Monto (S/)]],"0")</f>
        <v>51.35</v>
      </c>
      <c r="P181" s="28">
        <f>IF(tblMovimientos[[#This Row],[Tipo de Movimiento]]="Ingreso",tblMovimientos[[#This Row],[Ingreso]],-tblMovimientos[[#This Row],[Egreso]])</f>
        <v>-51.35</v>
      </c>
      <c r="Q181" s="78" t="str">
        <f>_xlfn.XLOOKUP(tblMovimientos[[#This Row],[Cuenta Bancaria]],Cuentas!$C:$C,Cuentas!$A:$A,"")&amp;""</f>
        <v>SSP Group</v>
      </c>
      <c r="R181" s="78" t="str">
        <f>_xlfn.XLOOKUP(tblMovimientos[[#This Row],[Cuenta Bancaria]],Cuentas!$C:$C,Cuentas!$B:$B,"",0,-1)&amp;""</f>
        <v/>
      </c>
    </row>
    <row r="182" spans="2:18" x14ac:dyDescent="0.3">
      <c r="B182" s="39">
        <v>46169</v>
      </c>
      <c r="C182" s="4" t="str">
        <f>_xlfn.XLOOKUP(tblMovimientos[[#This Row],[Cuenta Bancaria]],Listas!$B:$B,Listas!$A:$A,"")</f>
        <v>Go Blue</v>
      </c>
      <c r="D182" s="41" t="s">
        <v>126</v>
      </c>
      <c r="E182" s="4" t="str">
        <f>_xlfn.XLOOKUP(tblMovimientos[[#This Row],[Cuenta Bancaria]],Listas!$B:$B,Listas!$C:$C,"")</f>
        <v xml:space="preserve">Amerant Bank </v>
      </c>
      <c r="F182" s="41" t="s">
        <v>10</v>
      </c>
      <c r="G182" s="41" t="s">
        <v>38</v>
      </c>
      <c r="H182" s="4" t="str">
        <f>IFERROR(_xlfn.XLOOKUP(G182,Listas!E:E,Listas!F:F,""),"")</f>
        <v>Operativo</v>
      </c>
      <c r="I182" s="46" t="str">
        <f>IFERROR(_xlfn.XLOOKUP(G182,Listas!E:E,Listas!G:G,""),"")</f>
        <v>Externo</v>
      </c>
      <c r="J182" s="43">
        <v>528.69000000000005</v>
      </c>
      <c r="K182" s="5">
        <f t="shared" si="2"/>
        <v>-528.69000000000005</v>
      </c>
      <c r="L182" s="6" t="s">
        <v>93</v>
      </c>
      <c r="M182" s="44">
        <f>SUMIFS('Saldos Iniciales'!$D:$D,'Saldos Iniciales'!$A:$A,C182,'Saldos Iniciales'!$B:$B,D182)+SUMIFS($K$1:$K$1324,$C$1:$C$1324,C182,$D$1:$D$1324,D182,$B$1:$B$1324,"&lt;="&amp;B182)</f>
        <v>17588.03</v>
      </c>
      <c r="N182" s="61" t="str">
        <f>IF(tblMovimientos[[#This Row],[Tipo de Movimiento]]="Ingreso",tblMovimientos[[#This Row],[Monto (S/)]],"0")</f>
        <v>0</v>
      </c>
      <c r="O182" s="61">
        <f>IF(tblMovimientos[[#This Row],[Tipo de Movimiento]]="Egreso",tblMovimientos[[#This Row],[Monto (S/)]],"0")</f>
        <v>528.69000000000005</v>
      </c>
      <c r="P182" s="28">
        <f>IF(tblMovimientos[[#This Row],[Tipo de Movimiento]]="Ingreso",tblMovimientos[[#This Row],[Ingreso]],-tblMovimientos[[#This Row],[Egreso]])</f>
        <v>-528.69000000000005</v>
      </c>
      <c r="Q182" s="78" t="str">
        <f>_xlfn.XLOOKUP(tblMovimientos[[#This Row],[Cuenta Bancaria]],Cuentas!$C:$C,Cuentas!$A:$A,"")&amp;""</f>
        <v>SSP Group</v>
      </c>
      <c r="R182" s="78" t="str">
        <f>_xlfn.XLOOKUP(tblMovimientos[[#This Row],[Cuenta Bancaria]],Cuentas!$C:$C,Cuentas!$B:$B,"",0,-1)&amp;""</f>
        <v/>
      </c>
    </row>
    <row r="183" spans="2:18" x14ac:dyDescent="0.3">
      <c r="B183" s="39">
        <v>46169</v>
      </c>
      <c r="C183" s="4" t="str">
        <f>_xlfn.XLOOKUP(tblMovimientos[[#This Row],[Cuenta Bancaria]],Listas!$B:$B,Listas!$A:$A,"")</f>
        <v>Go Blue</v>
      </c>
      <c r="D183" s="41" t="s">
        <v>126</v>
      </c>
      <c r="E183" s="4" t="str">
        <f>_xlfn.XLOOKUP(tblMovimientos[[#This Row],[Cuenta Bancaria]],Listas!$B:$B,Listas!$C:$C,"")</f>
        <v xml:space="preserve">Amerant Bank </v>
      </c>
      <c r="F183" s="41" t="s">
        <v>9</v>
      </c>
      <c r="G183" s="41" t="s">
        <v>77</v>
      </c>
      <c r="H183" s="4" t="str">
        <f>IFERROR(_xlfn.XLOOKUP(G183,Listas!E:E,Listas!F:F,""),"")</f>
        <v>Inversion</v>
      </c>
      <c r="I183" s="46" t="str">
        <f>IFERROR(_xlfn.XLOOKUP(G183,Listas!E:E,Listas!G:G,""),"")</f>
        <v>Interno</v>
      </c>
      <c r="J183" s="43">
        <v>10000</v>
      </c>
      <c r="K183" s="5">
        <f t="shared" si="2"/>
        <v>10000</v>
      </c>
      <c r="L183" s="6" t="s">
        <v>93</v>
      </c>
      <c r="M183" s="44">
        <f>SUMIFS('Saldos Iniciales'!$D:$D,'Saldos Iniciales'!$A:$A,C183,'Saldos Iniciales'!$B:$B,D183)+SUMIFS($K$1:$K$1324,$C$1:$C$1324,C183,$D$1:$D$1324,D183,$B$1:$B$1324,"&lt;="&amp;B183)</f>
        <v>17588.03</v>
      </c>
      <c r="N183" s="61">
        <f>IF(tblMovimientos[[#This Row],[Tipo de Movimiento]]="Ingreso",tblMovimientos[[#This Row],[Monto (S/)]],"0")</f>
        <v>10000</v>
      </c>
      <c r="O183" s="61" t="str">
        <f>IF(tblMovimientos[[#This Row],[Tipo de Movimiento]]="Egreso",tblMovimientos[[#This Row],[Monto (S/)]],"0")</f>
        <v>0</v>
      </c>
      <c r="P183" s="28">
        <f>IF(tblMovimientos[[#This Row],[Tipo de Movimiento]]="Ingreso",tblMovimientos[[#This Row],[Ingreso]],-tblMovimientos[[#This Row],[Egreso]])</f>
        <v>10000</v>
      </c>
      <c r="Q183" s="78" t="str">
        <f>_xlfn.XLOOKUP(tblMovimientos[[#This Row],[Cuenta Bancaria]],Cuentas!$C:$C,Cuentas!$A:$A,"")&amp;""</f>
        <v>SSP Group</v>
      </c>
      <c r="R183" s="78" t="str">
        <f>_xlfn.XLOOKUP(tblMovimientos[[#This Row],[Cuenta Bancaria]],Cuentas!$C:$C,Cuentas!$B:$B,"",0,-1)&amp;""</f>
        <v/>
      </c>
    </row>
    <row r="184" spans="2:18" x14ac:dyDescent="0.3">
      <c r="B184" s="39">
        <v>46170</v>
      </c>
      <c r="C184" s="4" t="str">
        <f>_xlfn.XLOOKUP(tblMovimientos[[#This Row],[Cuenta Bancaria]],Listas!$B:$B,Listas!$A:$A,"")</f>
        <v>SSP Capital</v>
      </c>
      <c r="D184" s="41" t="s">
        <v>101</v>
      </c>
      <c r="E184" s="4" t="str">
        <f>_xlfn.XLOOKUP(tblMovimientos[[#This Row],[Cuenta Bancaria]],Listas!$B:$B,Listas!$C:$C,"")</f>
        <v>Bank of America</v>
      </c>
      <c r="F184" s="41" t="s">
        <v>10</v>
      </c>
      <c r="G184" s="41" t="s">
        <v>38</v>
      </c>
      <c r="H184" s="4" t="str">
        <f>IFERROR(_xlfn.XLOOKUP(G184,Listas!E:E,Listas!F:F,""),"")</f>
        <v>Operativo</v>
      </c>
      <c r="I184" s="46" t="str">
        <f>IFERROR(_xlfn.XLOOKUP(G184,Listas!E:E,Listas!G:G,""),"")</f>
        <v>Externo</v>
      </c>
      <c r="J184" s="43">
        <v>526.75</v>
      </c>
      <c r="K184" s="5">
        <f t="shared" si="2"/>
        <v>-526.75</v>
      </c>
      <c r="L184" s="6" t="s">
        <v>93</v>
      </c>
      <c r="M184" s="44">
        <f>SUMIFS('Saldos Iniciales'!$D:$D,'Saldos Iniciales'!$A:$A,C184,'Saldos Iniciales'!$B:$B,D184)+SUMIFS($K$1:$K$1324,$C$1:$C$1324,C184,$D$1:$D$1324,D184,$B$1:$B$1324,"&lt;="&amp;B184)</f>
        <v>11036.220000000001</v>
      </c>
      <c r="N184" s="61" t="str">
        <f>IF(tblMovimientos[[#This Row],[Tipo de Movimiento]]="Ingreso",tblMovimientos[[#This Row],[Monto (S/)]],"0")</f>
        <v>0</v>
      </c>
      <c r="O184" s="61">
        <f>IF(tblMovimientos[[#This Row],[Tipo de Movimiento]]="Egreso",tblMovimientos[[#This Row],[Monto (S/)]],"0")</f>
        <v>526.75</v>
      </c>
      <c r="P184" s="28">
        <f>IF(tblMovimientos[[#This Row],[Tipo de Movimiento]]="Ingreso",tblMovimientos[[#This Row],[Ingreso]],-tblMovimientos[[#This Row],[Egreso]])</f>
        <v>-526.75</v>
      </c>
      <c r="Q184" s="78" t="str">
        <f>_xlfn.XLOOKUP(tblMovimientos[[#This Row],[Cuenta Bancaria]],Cuentas!$C:$C,Cuentas!$A:$A,"")&amp;""</f>
        <v>SSP Group</v>
      </c>
      <c r="R184" s="78" t="str">
        <f>_xlfn.XLOOKUP(tblMovimientos[[#This Row],[Cuenta Bancaria]],Cuentas!$C:$C,Cuentas!$B:$B,"",0,-1)&amp;""</f>
        <v/>
      </c>
    </row>
    <row r="185" spans="2:18" x14ac:dyDescent="0.3">
      <c r="B185" s="39">
        <v>46170</v>
      </c>
      <c r="C185" s="4" t="str">
        <f>_xlfn.XLOOKUP(tblMovimientos[[#This Row],[Cuenta Bancaria]],Listas!$B:$B,Listas!$A:$A,"")</f>
        <v>A&amp;M Imports</v>
      </c>
      <c r="D185" s="41" t="s">
        <v>100</v>
      </c>
      <c r="E185" s="4" t="str">
        <f>_xlfn.XLOOKUP(tblMovimientos[[#This Row],[Cuenta Bancaria]],Listas!$B:$B,Listas!$C:$C,"")</f>
        <v>Bank of America</v>
      </c>
      <c r="F185" s="41" t="s">
        <v>9</v>
      </c>
      <c r="G185" s="41" t="s">
        <v>68</v>
      </c>
      <c r="H185" s="4" t="str">
        <f>IFERROR(_xlfn.XLOOKUP(G185,Listas!E:E,Listas!F:F,""),"")</f>
        <v>Operativo</v>
      </c>
      <c r="I185" s="46" t="str">
        <f>IFERROR(_xlfn.XLOOKUP(G185,Listas!E:E,Listas!G:G,""),"")</f>
        <v>Externo</v>
      </c>
      <c r="J185" s="43">
        <v>21979.11</v>
      </c>
      <c r="K185" s="5">
        <f t="shared" si="2"/>
        <v>21979.11</v>
      </c>
      <c r="L185" s="6" t="s">
        <v>93</v>
      </c>
      <c r="M185" s="44">
        <f>SUMIFS('Saldos Iniciales'!$D:$D,'Saldos Iniciales'!$A:$A,C185,'Saldos Iniciales'!$B:$B,D185)+SUMIFS($K$1:$K$1324,$C$1:$C$1324,C185,$D$1:$D$1324,D185,$B$1:$B$1324,"&lt;="&amp;B185)</f>
        <v>376595.84999999986</v>
      </c>
      <c r="N185" s="61">
        <f>IF(tblMovimientos[[#This Row],[Tipo de Movimiento]]="Ingreso",tblMovimientos[[#This Row],[Monto (S/)]],"0")</f>
        <v>21979.11</v>
      </c>
      <c r="O185" s="61" t="str">
        <f>IF(tblMovimientos[[#This Row],[Tipo de Movimiento]]="Egreso",tblMovimientos[[#This Row],[Monto (S/)]],"0")</f>
        <v>0</v>
      </c>
      <c r="P185" s="28">
        <f>IF(tblMovimientos[[#This Row],[Tipo de Movimiento]]="Ingreso",tblMovimientos[[#This Row],[Ingreso]],-tblMovimientos[[#This Row],[Egreso]])</f>
        <v>21979.11</v>
      </c>
      <c r="Q185" s="78" t="str">
        <f>_xlfn.XLOOKUP(tblMovimientos[[#This Row],[Cuenta Bancaria]],Cuentas!$C:$C,Cuentas!$A:$A,"")&amp;""</f>
        <v>SSP Group</v>
      </c>
      <c r="R185" s="78" t="str">
        <f>_xlfn.XLOOKUP(tblMovimientos[[#This Row],[Cuenta Bancaria]],Cuentas!$C:$C,Cuentas!$B:$B,"",0,-1)&amp;""</f>
        <v/>
      </c>
    </row>
    <row r="186" spans="2:18" x14ac:dyDescent="0.3">
      <c r="B186" s="39">
        <v>46170</v>
      </c>
      <c r="C186" s="4" t="str">
        <f>_xlfn.XLOOKUP(tblMovimientos[[#This Row],[Cuenta Bancaria]],Listas!$B:$B,Listas!$A:$A,"")</f>
        <v>A&amp;M Imports</v>
      </c>
      <c r="D186" s="41" t="s">
        <v>100</v>
      </c>
      <c r="E186" s="4" t="str">
        <f>_xlfn.XLOOKUP(tblMovimientos[[#This Row],[Cuenta Bancaria]],Listas!$B:$B,Listas!$C:$C,"")</f>
        <v>Bank of America</v>
      </c>
      <c r="F186" s="41" t="s">
        <v>10</v>
      </c>
      <c r="G186" s="41" t="s">
        <v>61</v>
      </c>
      <c r="H186" s="4" t="str">
        <f>IFERROR(_xlfn.XLOOKUP(G186,Listas!E:E,Listas!F:F,""),"")</f>
        <v>Operativo</v>
      </c>
      <c r="I186" s="46" t="str">
        <f>IFERROR(_xlfn.XLOOKUP(G186,Listas!E:E,Listas!G:G,""),"")</f>
        <v>Externo</v>
      </c>
      <c r="J186" s="43">
        <v>60000</v>
      </c>
      <c r="K186" s="5">
        <f t="shared" si="2"/>
        <v>-60000</v>
      </c>
      <c r="L186" s="6" t="s">
        <v>93</v>
      </c>
      <c r="M186" s="44">
        <f>SUMIFS('Saldos Iniciales'!$D:$D,'Saldos Iniciales'!$A:$A,C186,'Saldos Iniciales'!$B:$B,D186)+SUMIFS($K$1:$K$1324,$C$1:$C$1324,C186,$D$1:$D$1324,D186,$B$1:$B$1324,"&lt;="&amp;B186)</f>
        <v>376595.84999999986</v>
      </c>
      <c r="N186" s="61" t="str">
        <f>IF(tblMovimientos[[#This Row],[Tipo de Movimiento]]="Ingreso",tblMovimientos[[#This Row],[Monto (S/)]],"0")</f>
        <v>0</v>
      </c>
      <c r="O186" s="61">
        <f>IF(tblMovimientos[[#This Row],[Tipo de Movimiento]]="Egreso",tblMovimientos[[#This Row],[Monto (S/)]],"0")</f>
        <v>60000</v>
      </c>
      <c r="P186" s="28">
        <f>IF(tblMovimientos[[#This Row],[Tipo de Movimiento]]="Ingreso",tblMovimientos[[#This Row],[Ingreso]],-tblMovimientos[[#This Row],[Egreso]])</f>
        <v>-60000</v>
      </c>
      <c r="Q186" s="78" t="str">
        <f>_xlfn.XLOOKUP(tblMovimientos[[#This Row],[Cuenta Bancaria]],Cuentas!$C:$C,Cuentas!$A:$A,"")&amp;""</f>
        <v>SSP Group</v>
      </c>
      <c r="R186" s="78" t="str">
        <f>_xlfn.XLOOKUP(tblMovimientos[[#This Row],[Cuenta Bancaria]],Cuentas!$C:$C,Cuentas!$B:$B,"",0,-1)&amp;""</f>
        <v/>
      </c>
    </row>
    <row r="187" spans="2:18" x14ac:dyDescent="0.3">
      <c r="B187" s="39">
        <v>46170</v>
      </c>
      <c r="C187" s="4" t="str">
        <f>_xlfn.XLOOKUP(tblMovimientos[[#This Row],[Cuenta Bancaria]],Listas!$B:$B,Listas!$A:$A,"")</f>
        <v>A&amp;M Imports</v>
      </c>
      <c r="D187" s="41" t="s">
        <v>100</v>
      </c>
      <c r="E187" s="4" t="str">
        <f>_xlfn.XLOOKUP(tblMovimientos[[#This Row],[Cuenta Bancaria]],Listas!$B:$B,Listas!$C:$C,"")</f>
        <v>Bank of America</v>
      </c>
      <c r="F187" s="41" t="s">
        <v>10</v>
      </c>
      <c r="G187" s="41" t="s">
        <v>61</v>
      </c>
      <c r="H187" s="4" t="str">
        <f>IFERROR(_xlfn.XLOOKUP(G187,Listas!E:E,Listas!F:F,""),"")</f>
        <v>Operativo</v>
      </c>
      <c r="I187" s="46" t="str">
        <f>IFERROR(_xlfn.XLOOKUP(G187,Listas!E:E,Listas!G:G,""),"")</f>
        <v>Externo</v>
      </c>
      <c r="J187" s="43">
        <v>100000</v>
      </c>
      <c r="K187" s="5">
        <f t="shared" si="2"/>
        <v>-100000</v>
      </c>
      <c r="L187" s="6" t="s">
        <v>93</v>
      </c>
      <c r="M187" s="44">
        <f>SUMIFS('Saldos Iniciales'!$D:$D,'Saldos Iniciales'!$A:$A,C187,'Saldos Iniciales'!$B:$B,D187)+SUMIFS($K$1:$K$1324,$C$1:$C$1324,C187,$D$1:$D$1324,D187,$B$1:$B$1324,"&lt;="&amp;B187)</f>
        <v>376595.84999999986</v>
      </c>
      <c r="N187" s="61" t="str">
        <f>IF(tblMovimientos[[#This Row],[Tipo de Movimiento]]="Ingreso",tblMovimientos[[#This Row],[Monto (S/)]],"0")</f>
        <v>0</v>
      </c>
      <c r="O187" s="61">
        <f>IF(tblMovimientos[[#This Row],[Tipo de Movimiento]]="Egreso",tblMovimientos[[#This Row],[Monto (S/)]],"0")</f>
        <v>100000</v>
      </c>
      <c r="P187" s="28">
        <f>IF(tblMovimientos[[#This Row],[Tipo de Movimiento]]="Ingreso",tblMovimientos[[#This Row],[Ingreso]],-tblMovimientos[[#This Row],[Egreso]])</f>
        <v>-100000</v>
      </c>
      <c r="Q187" s="78" t="str">
        <f>_xlfn.XLOOKUP(tblMovimientos[[#This Row],[Cuenta Bancaria]],Cuentas!$C:$C,Cuentas!$A:$A,"")&amp;""</f>
        <v>SSP Group</v>
      </c>
      <c r="R187" s="78" t="str">
        <f>_xlfn.XLOOKUP(tblMovimientos[[#This Row],[Cuenta Bancaria]],Cuentas!$C:$C,Cuentas!$B:$B,"",0,-1)&amp;""</f>
        <v/>
      </c>
    </row>
    <row r="188" spans="2:18" x14ac:dyDescent="0.3">
      <c r="B188" s="39">
        <v>46170</v>
      </c>
      <c r="C188" s="4" t="str">
        <f>_xlfn.XLOOKUP(tblMovimientos[[#This Row],[Cuenta Bancaria]],Listas!$B:$B,Listas!$A:$A,"")</f>
        <v>CFT Group</v>
      </c>
      <c r="D188" s="41" t="s">
        <v>94</v>
      </c>
      <c r="E188" s="4" t="str">
        <f>_xlfn.XLOOKUP(tblMovimientos[[#This Row],[Cuenta Bancaria]],Listas!$B:$B,Listas!$C:$C,"")</f>
        <v>Bank of America</v>
      </c>
      <c r="F188" s="41" t="s">
        <v>9</v>
      </c>
      <c r="G188" s="41" t="s">
        <v>68</v>
      </c>
      <c r="H188" s="4" t="str">
        <f>IFERROR(_xlfn.XLOOKUP(G188,Listas!E:E,Listas!F:F,""),"")</f>
        <v>Operativo</v>
      </c>
      <c r="I188" s="46" t="str">
        <f>IFERROR(_xlfn.XLOOKUP(G188,Listas!E:E,Listas!G:G,""),"")</f>
        <v>Externo</v>
      </c>
      <c r="J188" s="43">
        <v>68444.820000000007</v>
      </c>
      <c r="K188" s="5">
        <f t="shared" si="2"/>
        <v>68444.820000000007</v>
      </c>
      <c r="L188" s="6" t="s">
        <v>93</v>
      </c>
      <c r="M188" s="44">
        <f>SUMIFS('Saldos Iniciales'!$D:$D,'Saldos Iniciales'!$A:$A,C188,'Saldos Iniciales'!$B:$B,D188)+SUMIFS($K$1:$K$1324,$C$1:$C$1324,C188,$D$1:$D$1324,D188,$B$1:$B$1324,"&lt;="&amp;B188)</f>
        <v>197078.62999999998</v>
      </c>
      <c r="N188" s="61">
        <f>IF(tblMovimientos[[#This Row],[Tipo de Movimiento]]="Ingreso",tblMovimientos[[#This Row],[Monto (S/)]],"0")</f>
        <v>68444.820000000007</v>
      </c>
      <c r="O188" s="61" t="str">
        <f>IF(tblMovimientos[[#This Row],[Tipo de Movimiento]]="Egreso",tblMovimientos[[#This Row],[Monto (S/)]],"0")</f>
        <v>0</v>
      </c>
      <c r="P188" s="28">
        <f>IF(tblMovimientos[[#This Row],[Tipo de Movimiento]]="Ingreso",tblMovimientos[[#This Row],[Ingreso]],-tblMovimientos[[#This Row],[Egreso]])</f>
        <v>68444.820000000007</v>
      </c>
      <c r="Q188" s="78" t="str">
        <f>_xlfn.XLOOKUP(tblMovimientos[[#This Row],[Cuenta Bancaria]],Cuentas!$C:$C,Cuentas!$A:$A,"")&amp;""</f>
        <v>SSP Group</v>
      </c>
      <c r="R188" s="78" t="str">
        <f>_xlfn.XLOOKUP(tblMovimientos[[#This Row],[Cuenta Bancaria]],Cuentas!$C:$C,Cuentas!$B:$B,"",0,-1)&amp;""</f>
        <v/>
      </c>
    </row>
    <row r="189" spans="2:18" x14ac:dyDescent="0.3">
      <c r="B189" s="39">
        <v>46170</v>
      </c>
      <c r="C189" s="4" t="str">
        <f>_xlfn.XLOOKUP(tblMovimientos[[#This Row],[Cuenta Bancaria]],Listas!$B:$B,Listas!$A:$A,"")</f>
        <v>2515 Overbrook</v>
      </c>
      <c r="D189" s="41" t="s">
        <v>121</v>
      </c>
      <c r="E189" s="4" t="str">
        <f>_xlfn.XLOOKUP(tblMovimientos[[#This Row],[Cuenta Bancaria]],Listas!$B:$B,Listas!$C:$C,"")</f>
        <v>Bank of America</v>
      </c>
      <c r="F189" s="41" t="s">
        <v>9</v>
      </c>
      <c r="G189" s="41" t="s">
        <v>71</v>
      </c>
      <c r="H189" s="4" t="str">
        <f>IFERROR(_xlfn.XLOOKUP(G189,Listas!E:E,Listas!F:F,""),"")</f>
        <v>Operativo</v>
      </c>
      <c r="I189" s="46" t="str">
        <f>IFERROR(_xlfn.XLOOKUP(G189,Listas!E:E,Listas!G:G,""),"")</f>
        <v>Interno</v>
      </c>
      <c r="J189" s="43">
        <v>20000</v>
      </c>
      <c r="K189" s="5">
        <f t="shared" si="2"/>
        <v>20000</v>
      </c>
      <c r="L189" s="6" t="s">
        <v>93</v>
      </c>
      <c r="M189" s="44">
        <f>SUMIFS('Saldos Iniciales'!$D:$D,'Saldos Iniciales'!$A:$A,C189,'Saldos Iniciales'!$B:$B,D189)+SUMIFS($K$1:$K$1324,$C$1:$C$1324,C189,$D$1:$D$1324,D189,$B$1:$B$1324,"&lt;="&amp;B189)</f>
        <v>35123.179999999964</v>
      </c>
      <c r="N189" s="61">
        <f>IF(tblMovimientos[[#This Row],[Tipo de Movimiento]]="Ingreso",tblMovimientos[[#This Row],[Monto (S/)]],"0")</f>
        <v>20000</v>
      </c>
      <c r="O189" s="61" t="str">
        <f>IF(tblMovimientos[[#This Row],[Tipo de Movimiento]]="Egreso",tblMovimientos[[#This Row],[Monto (S/)]],"0")</f>
        <v>0</v>
      </c>
      <c r="P189" s="28">
        <f>IF(tblMovimientos[[#This Row],[Tipo de Movimiento]]="Ingreso",tblMovimientos[[#This Row],[Ingreso]],-tblMovimientos[[#This Row],[Egreso]])</f>
        <v>20000</v>
      </c>
      <c r="Q189" s="78" t="str">
        <f>_xlfn.XLOOKUP(tblMovimientos[[#This Row],[Cuenta Bancaria]],Cuentas!$C:$C,Cuentas!$A:$A,"")&amp;""</f>
        <v>SSP Group</v>
      </c>
      <c r="R189" s="78" t="str">
        <f>_xlfn.XLOOKUP(tblMovimientos[[#This Row],[Cuenta Bancaria]],Cuentas!$C:$C,Cuentas!$B:$B,"",0,-1)&amp;""</f>
        <v/>
      </c>
    </row>
    <row r="190" spans="2:18" x14ac:dyDescent="0.3">
      <c r="B190" s="39">
        <v>46170</v>
      </c>
      <c r="C190" s="4" t="str">
        <f>_xlfn.XLOOKUP(tblMovimientos[[#This Row],[Cuenta Bancaria]],Listas!$B:$B,Listas!$A:$A,"")</f>
        <v>M1B</v>
      </c>
      <c r="D190" s="41" t="s">
        <v>97</v>
      </c>
      <c r="E190" s="4" t="str">
        <f>_xlfn.XLOOKUP(tblMovimientos[[#This Row],[Cuenta Bancaria]],Listas!$B:$B,Listas!$C:$C,"")</f>
        <v xml:space="preserve">Amerant Bank </v>
      </c>
      <c r="F190" s="41" t="s">
        <v>9</v>
      </c>
      <c r="G190" s="41" t="s">
        <v>68</v>
      </c>
      <c r="H190" s="4" t="str">
        <f>IFERROR(_xlfn.XLOOKUP(G190,Listas!E:E,Listas!F:F,""),"")</f>
        <v>Operativo</v>
      </c>
      <c r="I190" s="46" t="str">
        <f>IFERROR(_xlfn.XLOOKUP(G190,Listas!E:E,Listas!G:G,""),"")</f>
        <v>Externo</v>
      </c>
      <c r="J190" s="43">
        <v>2637.12</v>
      </c>
      <c r="K190" s="5">
        <f t="shared" si="2"/>
        <v>2637.12</v>
      </c>
      <c r="L190" s="6" t="s">
        <v>93</v>
      </c>
      <c r="M190" s="44">
        <f>SUMIFS('Saldos Iniciales'!$D:$D,'Saldos Iniciales'!$A:$A,C190,'Saldos Iniciales'!$B:$B,D190)+SUMIFS($K$1:$K$1324,$C$1:$C$1324,C190,$D$1:$D$1324,D190,$B$1:$B$1324,"&lt;="&amp;B190)</f>
        <v>57397.280000000173</v>
      </c>
      <c r="N190" s="61">
        <f>IF(tblMovimientos[[#This Row],[Tipo de Movimiento]]="Ingreso",tblMovimientos[[#This Row],[Monto (S/)]],"0")</f>
        <v>2637.12</v>
      </c>
      <c r="O190" s="61" t="str">
        <f>IF(tblMovimientos[[#This Row],[Tipo de Movimiento]]="Egreso",tblMovimientos[[#This Row],[Monto (S/)]],"0")</f>
        <v>0</v>
      </c>
      <c r="P190" s="28">
        <f>IF(tblMovimientos[[#This Row],[Tipo de Movimiento]]="Ingreso",tblMovimientos[[#This Row],[Ingreso]],-tblMovimientos[[#This Row],[Egreso]])</f>
        <v>2637.12</v>
      </c>
      <c r="Q190" s="78" t="str">
        <f>_xlfn.XLOOKUP(tblMovimientos[[#This Row],[Cuenta Bancaria]],Cuentas!$C:$C,Cuentas!$A:$A,"")&amp;""</f>
        <v>SSP Group</v>
      </c>
      <c r="R190" s="78" t="str">
        <f>_xlfn.XLOOKUP(tblMovimientos[[#This Row],[Cuenta Bancaria]],Cuentas!$C:$C,Cuentas!$B:$B,"",0,-1)&amp;""</f>
        <v/>
      </c>
    </row>
    <row r="191" spans="2:18" x14ac:dyDescent="0.3">
      <c r="B191" s="39">
        <v>46170</v>
      </c>
      <c r="C191" s="4" t="str">
        <f>_xlfn.XLOOKUP(tblMovimientos[[#This Row],[Cuenta Bancaria]],Listas!$B:$B,Listas!$A:$A,"")</f>
        <v>M1B</v>
      </c>
      <c r="D191" s="41" t="s">
        <v>97</v>
      </c>
      <c r="E191" s="4" t="str">
        <f>_xlfn.XLOOKUP(tblMovimientos[[#This Row],[Cuenta Bancaria]],Listas!$B:$B,Listas!$C:$C,"")</f>
        <v xml:space="preserve">Amerant Bank </v>
      </c>
      <c r="F191" s="41" t="s">
        <v>10</v>
      </c>
      <c r="G191" s="41" t="s">
        <v>65</v>
      </c>
      <c r="H191" s="4" t="str">
        <f>IFERROR(_xlfn.XLOOKUP(G191,Listas!E:E,Listas!F:F,""),"")</f>
        <v>Operativo</v>
      </c>
      <c r="I191" s="46" t="str">
        <f>IFERROR(_xlfn.XLOOKUP(G191,Listas!E:E,Listas!G:G,""),"")</f>
        <v>Externo</v>
      </c>
      <c r="J191" s="43">
        <v>1200000</v>
      </c>
      <c r="K191" s="5">
        <f t="shared" si="2"/>
        <v>-1200000</v>
      </c>
      <c r="L191" s="6" t="s">
        <v>93</v>
      </c>
      <c r="M191" s="44">
        <f>SUMIFS('Saldos Iniciales'!$D:$D,'Saldos Iniciales'!$A:$A,C191,'Saldos Iniciales'!$B:$B,D191)+SUMIFS($K$1:$K$1324,$C$1:$C$1324,C191,$D$1:$D$1324,D191,$B$1:$B$1324,"&lt;="&amp;B191)</f>
        <v>57397.280000000173</v>
      </c>
      <c r="N191" s="61" t="str">
        <f>IF(tblMovimientos[[#This Row],[Tipo de Movimiento]]="Ingreso",tblMovimientos[[#This Row],[Monto (S/)]],"0")</f>
        <v>0</v>
      </c>
      <c r="O191" s="61">
        <f>IF(tblMovimientos[[#This Row],[Tipo de Movimiento]]="Egreso",tblMovimientos[[#This Row],[Monto (S/)]],"0")</f>
        <v>1200000</v>
      </c>
      <c r="P191" s="28">
        <f>IF(tblMovimientos[[#This Row],[Tipo de Movimiento]]="Ingreso",tblMovimientos[[#This Row],[Ingreso]],-tblMovimientos[[#This Row],[Egreso]])</f>
        <v>-1200000</v>
      </c>
      <c r="Q191" s="78" t="str">
        <f>_xlfn.XLOOKUP(tblMovimientos[[#This Row],[Cuenta Bancaria]],Cuentas!$C:$C,Cuentas!$A:$A,"")&amp;""</f>
        <v>SSP Group</v>
      </c>
      <c r="R191" s="78" t="str">
        <f>_xlfn.XLOOKUP(tblMovimientos[[#This Row],[Cuenta Bancaria]],Cuentas!$C:$C,Cuentas!$B:$B,"",0,-1)&amp;""</f>
        <v/>
      </c>
    </row>
    <row r="192" spans="2:18" x14ac:dyDescent="0.3">
      <c r="B192" s="39">
        <v>46170</v>
      </c>
      <c r="C192" s="4" t="str">
        <f>_xlfn.XLOOKUP(tblMovimientos[[#This Row],[Cuenta Bancaria]],Listas!$B:$B,Listas!$A:$A,"")</f>
        <v>CFT Group</v>
      </c>
      <c r="D192" s="41" t="s">
        <v>95</v>
      </c>
      <c r="E192" s="4" t="str">
        <f>_xlfn.XLOOKUP(tblMovimientos[[#This Row],[Cuenta Bancaria]],Listas!$B:$B,Listas!$C:$C,"")</f>
        <v xml:space="preserve">Amerant Bank </v>
      </c>
      <c r="F192" s="41" t="s">
        <v>9</v>
      </c>
      <c r="G192" s="41" t="s">
        <v>70</v>
      </c>
      <c r="H192" s="4" t="str">
        <f>IFERROR(_xlfn.XLOOKUP(G192,Listas!E:E,Listas!F:F,""),"")</f>
        <v>Operativo</v>
      </c>
      <c r="I192" s="46" t="str">
        <f>IFERROR(_xlfn.XLOOKUP(G192,Listas!E:E,Listas!G:G,""),"")</f>
        <v>Externo</v>
      </c>
      <c r="J192" s="43">
        <v>1200000</v>
      </c>
      <c r="K192" s="5">
        <f t="shared" si="2"/>
        <v>1200000</v>
      </c>
      <c r="L192" s="6" t="s">
        <v>93</v>
      </c>
      <c r="M192" s="44">
        <f>SUMIFS('Saldos Iniciales'!$D:$D,'Saldos Iniciales'!$A:$A,C192,'Saldos Iniciales'!$B:$B,D192)+SUMIFS($K$1:$K$1324,$C$1:$C$1324,C192,$D$1:$D$1324,D192,$B$1:$B$1324,"&lt;="&amp;B192)</f>
        <v>784648.53</v>
      </c>
      <c r="N192" s="61">
        <f>IF(tblMovimientos[[#This Row],[Tipo de Movimiento]]="Ingreso",tblMovimientos[[#This Row],[Monto (S/)]],"0")</f>
        <v>1200000</v>
      </c>
      <c r="O192" s="61" t="str">
        <f>IF(tblMovimientos[[#This Row],[Tipo de Movimiento]]="Egreso",tblMovimientos[[#This Row],[Monto (S/)]],"0")</f>
        <v>0</v>
      </c>
      <c r="P192" s="28">
        <f>IF(tblMovimientos[[#This Row],[Tipo de Movimiento]]="Ingreso",tblMovimientos[[#This Row],[Ingreso]],-tblMovimientos[[#This Row],[Egreso]])</f>
        <v>1200000</v>
      </c>
      <c r="Q192" s="78" t="str">
        <f>_xlfn.XLOOKUP(tblMovimientos[[#This Row],[Cuenta Bancaria]],Cuentas!$C:$C,Cuentas!$A:$A,"")&amp;""</f>
        <v>SSP Group</v>
      </c>
      <c r="R192" s="78" t="str">
        <f>_xlfn.XLOOKUP(tblMovimientos[[#This Row],[Cuenta Bancaria]],Cuentas!$C:$C,Cuentas!$B:$B,"",0,-1)&amp;""</f>
        <v/>
      </c>
    </row>
    <row r="193" spans="2:18" x14ac:dyDescent="0.3">
      <c r="B193" s="39">
        <v>46170</v>
      </c>
      <c r="C193" s="4" t="str">
        <f>_xlfn.XLOOKUP(tblMovimientos[[#This Row],[Cuenta Bancaria]],Listas!$B:$B,Listas!$A:$A,"")</f>
        <v>CFT Group</v>
      </c>
      <c r="D193" s="41" t="s">
        <v>95</v>
      </c>
      <c r="E193" s="4" t="str">
        <f>_xlfn.XLOOKUP(tblMovimientos[[#This Row],[Cuenta Bancaria]],Listas!$B:$B,Listas!$C:$C,"")</f>
        <v xml:space="preserve">Amerant Bank </v>
      </c>
      <c r="F193" s="41" t="s">
        <v>10</v>
      </c>
      <c r="G193" s="41" t="s">
        <v>46</v>
      </c>
      <c r="H193" s="4" t="str">
        <f>IFERROR(_xlfn.XLOOKUP(G193,Listas!E:E,Listas!F:F,""),"")</f>
        <v>Financiamiento</v>
      </c>
      <c r="I193" s="46" t="str">
        <f>IFERROR(_xlfn.XLOOKUP(G193,Listas!E:E,Listas!G:G,""),"")</f>
        <v>Externo</v>
      </c>
      <c r="J193" s="43">
        <v>10000</v>
      </c>
      <c r="K193" s="5">
        <f t="shared" si="2"/>
        <v>-10000</v>
      </c>
      <c r="L193" s="6" t="s">
        <v>93</v>
      </c>
      <c r="M193" s="44">
        <f>SUMIFS('Saldos Iniciales'!$D:$D,'Saldos Iniciales'!$A:$A,C193,'Saldos Iniciales'!$B:$B,D193)+SUMIFS($K$1:$K$1324,$C$1:$C$1324,C193,$D$1:$D$1324,D193,$B$1:$B$1324,"&lt;="&amp;B193)</f>
        <v>784648.53</v>
      </c>
      <c r="N193" s="61" t="str">
        <f>IF(tblMovimientos[[#This Row],[Tipo de Movimiento]]="Ingreso",tblMovimientos[[#This Row],[Monto (S/)]],"0")</f>
        <v>0</v>
      </c>
      <c r="O193" s="61">
        <f>IF(tblMovimientos[[#This Row],[Tipo de Movimiento]]="Egreso",tblMovimientos[[#This Row],[Monto (S/)]],"0")</f>
        <v>10000</v>
      </c>
      <c r="P193" s="28">
        <f>IF(tblMovimientos[[#This Row],[Tipo de Movimiento]]="Ingreso",tblMovimientos[[#This Row],[Ingreso]],-tblMovimientos[[#This Row],[Egreso]])</f>
        <v>-10000</v>
      </c>
      <c r="Q193" s="78" t="str">
        <f>_xlfn.XLOOKUP(tblMovimientos[[#This Row],[Cuenta Bancaria]],Cuentas!$C:$C,Cuentas!$A:$A,"")&amp;""</f>
        <v>SSP Group</v>
      </c>
      <c r="R193" s="78" t="str">
        <f>_xlfn.XLOOKUP(tblMovimientos[[#This Row],[Cuenta Bancaria]],Cuentas!$C:$C,Cuentas!$B:$B,"",0,-1)&amp;""</f>
        <v/>
      </c>
    </row>
    <row r="194" spans="2:18" x14ac:dyDescent="0.3">
      <c r="B194" s="39">
        <v>46170</v>
      </c>
      <c r="C194" s="4" t="str">
        <f>_xlfn.XLOOKUP(tblMovimientos[[#This Row],[Cuenta Bancaria]],Listas!$B:$B,Listas!$A:$A,"")</f>
        <v>CFT Group</v>
      </c>
      <c r="D194" s="41" t="s">
        <v>95</v>
      </c>
      <c r="E194" s="4" t="str">
        <f>_xlfn.XLOOKUP(tblMovimientos[[#This Row],[Cuenta Bancaria]],Listas!$B:$B,Listas!$C:$C,"")</f>
        <v xml:space="preserve">Amerant Bank </v>
      </c>
      <c r="F194" s="41" t="s">
        <v>10</v>
      </c>
      <c r="G194" s="41" t="s">
        <v>46</v>
      </c>
      <c r="H194" s="4" t="str">
        <f>IFERROR(_xlfn.XLOOKUP(G194,Listas!E:E,Listas!F:F,""),"")</f>
        <v>Financiamiento</v>
      </c>
      <c r="I194" s="46" t="str">
        <f>IFERROR(_xlfn.XLOOKUP(G194,Listas!E:E,Listas!G:G,""),"")</f>
        <v>Externo</v>
      </c>
      <c r="J194" s="43">
        <v>10833.33</v>
      </c>
      <c r="K194" s="5">
        <f t="shared" ref="K194:K257" si="3">IF(F194="Ingreso",J194,-J194)</f>
        <v>-10833.33</v>
      </c>
      <c r="L194" s="6" t="s">
        <v>93</v>
      </c>
      <c r="M194" s="44">
        <f>SUMIFS('Saldos Iniciales'!$D:$D,'Saldos Iniciales'!$A:$A,C194,'Saldos Iniciales'!$B:$B,D194)+SUMIFS($K$1:$K$1324,$C$1:$C$1324,C194,$D$1:$D$1324,D194,$B$1:$B$1324,"&lt;="&amp;B194)</f>
        <v>784648.53</v>
      </c>
      <c r="N194" s="61" t="str">
        <f>IF(tblMovimientos[[#This Row],[Tipo de Movimiento]]="Ingreso",tblMovimientos[[#This Row],[Monto (S/)]],"0")</f>
        <v>0</v>
      </c>
      <c r="O194" s="61">
        <f>IF(tblMovimientos[[#This Row],[Tipo de Movimiento]]="Egreso",tblMovimientos[[#This Row],[Monto (S/)]],"0")</f>
        <v>10833.33</v>
      </c>
      <c r="P194" s="28">
        <f>IF(tblMovimientos[[#This Row],[Tipo de Movimiento]]="Ingreso",tblMovimientos[[#This Row],[Ingreso]],-tblMovimientos[[#This Row],[Egreso]])</f>
        <v>-10833.33</v>
      </c>
      <c r="Q194" s="78" t="str">
        <f>_xlfn.XLOOKUP(tblMovimientos[[#This Row],[Cuenta Bancaria]],Cuentas!$C:$C,Cuentas!$A:$A,"")&amp;""</f>
        <v>SSP Group</v>
      </c>
      <c r="R194" s="78" t="str">
        <f>_xlfn.XLOOKUP(tblMovimientos[[#This Row],[Cuenta Bancaria]],Cuentas!$C:$C,Cuentas!$B:$B,"",0,-1)&amp;""</f>
        <v/>
      </c>
    </row>
    <row r="195" spans="2:18" x14ac:dyDescent="0.3">
      <c r="B195" s="39">
        <v>46170</v>
      </c>
      <c r="C195" s="4" t="str">
        <f>_xlfn.XLOOKUP(tblMovimientos[[#This Row],[Cuenta Bancaria]],Listas!$B:$B,Listas!$A:$A,"")</f>
        <v>CFT Group</v>
      </c>
      <c r="D195" s="41" t="s">
        <v>95</v>
      </c>
      <c r="E195" s="4" t="str">
        <f>_xlfn.XLOOKUP(tblMovimientos[[#This Row],[Cuenta Bancaria]],Listas!$B:$B,Listas!$C:$C,"")</f>
        <v xml:space="preserve">Amerant Bank </v>
      </c>
      <c r="F195" s="41" t="s">
        <v>10</v>
      </c>
      <c r="G195" s="41" t="s">
        <v>50</v>
      </c>
      <c r="H195" s="4" t="str">
        <f>IFERROR(_xlfn.XLOOKUP(G195,Listas!E:E,Listas!F:F,""),"")</f>
        <v>Financiamiento</v>
      </c>
      <c r="I195" s="46" t="str">
        <f>IFERROR(_xlfn.XLOOKUP(G195,Listas!E:E,Listas!G:G,""),"")</f>
        <v>Externo</v>
      </c>
      <c r="J195" s="43">
        <v>20000</v>
      </c>
      <c r="K195" s="5">
        <f t="shared" si="3"/>
        <v>-20000</v>
      </c>
      <c r="L195" s="6" t="s">
        <v>93</v>
      </c>
      <c r="M195" s="44">
        <f>SUMIFS('Saldos Iniciales'!$D:$D,'Saldos Iniciales'!$A:$A,C195,'Saldos Iniciales'!$B:$B,D195)+SUMIFS($K$1:$K$1324,$C$1:$C$1324,C195,$D$1:$D$1324,D195,$B$1:$B$1324,"&lt;="&amp;B195)</f>
        <v>784648.53</v>
      </c>
      <c r="N195" s="61" t="str">
        <f>IF(tblMovimientos[[#This Row],[Tipo de Movimiento]]="Ingreso",tblMovimientos[[#This Row],[Monto (S/)]],"0")</f>
        <v>0</v>
      </c>
      <c r="O195" s="61">
        <f>IF(tblMovimientos[[#This Row],[Tipo de Movimiento]]="Egreso",tblMovimientos[[#This Row],[Monto (S/)]],"0")</f>
        <v>20000</v>
      </c>
      <c r="P195" s="28">
        <f>IF(tblMovimientos[[#This Row],[Tipo de Movimiento]]="Ingreso",tblMovimientos[[#This Row],[Ingreso]],-tblMovimientos[[#This Row],[Egreso]])</f>
        <v>-20000</v>
      </c>
      <c r="Q195" s="78" t="str">
        <f>_xlfn.XLOOKUP(tblMovimientos[[#This Row],[Cuenta Bancaria]],Cuentas!$C:$C,Cuentas!$A:$A,"")&amp;""</f>
        <v>SSP Group</v>
      </c>
      <c r="R195" s="78" t="str">
        <f>_xlfn.XLOOKUP(tblMovimientos[[#This Row],[Cuenta Bancaria]],Cuentas!$C:$C,Cuentas!$B:$B,"",0,-1)&amp;""</f>
        <v/>
      </c>
    </row>
    <row r="196" spans="2:18" x14ac:dyDescent="0.3">
      <c r="B196" s="39">
        <v>46170</v>
      </c>
      <c r="C196" s="4" t="str">
        <f>_xlfn.XLOOKUP(tblMovimientos[[#This Row],[Cuenta Bancaria]],Listas!$B:$B,Listas!$A:$A,"")</f>
        <v>CFT Group</v>
      </c>
      <c r="D196" s="41" t="s">
        <v>95</v>
      </c>
      <c r="E196" s="4" t="str">
        <f>_xlfn.XLOOKUP(tblMovimientos[[#This Row],[Cuenta Bancaria]],Listas!$B:$B,Listas!$C:$C,"")</f>
        <v xml:space="preserve">Amerant Bank </v>
      </c>
      <c r="F196" s="41" t="s">
        <v>10</v>
      </c>
      <c r="G196" s="41" t="s">
        <v>61</v>
      </c>
      <c r="H196" s="4" t="str">
        <f>IFERROR(_xlfn.XLOOKUP(G196,Listas!E:E,Listas!F:F,""),"")</f>
        <v>Operativo</v>
      </c>
      <c r="I196" s="46" t="str">
        <f>IFERROR(_xlfn.XLOOKUP(G196,Listas!E:E,Listas!G:G,""),"")</f>
        <v>Externo</v>
      </c>
      <c r="J196" s="43">
        <v>40000</v>
      </c>
      <c r="K196" s="5">
        <f t="shared" si="3"/>
        <v>-40000</v>
      </c>
      <c r="L196" s="6" t="s">
        <v>93</v>
      </c>
      <c r="M196" s="44">
        <f>SUMIFS('Saldos Iniciales'!$D:$D,'Saldos Iniciales'!$A:$A,C196,'Saldos Iniciales'!$B:$B,D196)+SUMIFS($K$1:$K$1324,$C$1:$C$1324,C196,$D$1:$D$1324,D196,$B$1:$B$1324,"&lt;="&amp;B196)</f>
        <v>784648.53</v>
      </c>
      <c r="N196" s="61" t="str">
        <f>IF(tblMovimientos[[#This Row],[Tipo de Movimiento]]="Ingreso",tblMovimientos[[#This Row],[Monto (S/)]],"0")</f>
        <v>0</v>
      </c>
      <c r="O196" s="61">
        <f>IF(tblMovimientos[[#This Row],[Tipo de Movimiento]]="Egreso",tblMovimientos[[#This Row],[Monto (S/)]],"0")</f>
        <v>40000</v>
      </c>
      <c r="P196" s="28">
        <f>IF(tblMovimientos[[#This Row],[Tipo de Movimiento]]="Ingreso",tblMovimientos[[#This Row],[Ingreso]],-tblMovimientos[[#This Row],[Egreso]])</f>
        <v>-40000</v>
      </c>
      <c r="Q196" s="78" t="str">
        <f>_xlfn.XLOOKUP(tblMovimientos[[#This Row],[Cuenta Bancaria]],Cuentas!$C:$C,Cuentas!$A:$A,"")&amp;""</f>
        <v>SSP Group</v>
      </c>
      <c r="R196" s="78" t="str">
        <f>_xlfn.XLOOKUP(tblMovimientos[[#This Row],[Cuenta Bancaria]],Cuentas!$C:$C,Cuentas!$B:$B,"",0,-1)&amp;""</f>
        <v/>
      </c>
    </row>
    <row r="197" spans="2:18" x14ac:dyDescent="0.3">
      <c r="B197" s="39">
        <v>46170</v>
      </c>
      <c r="C197" s="4" t="str">
        <f>_xlfn.XLOOKUP(tblMovimientos[[#This Row],[Cuenta Bancaria]],Listas!$B:$B,Listas!$A:$A,"")</f>
        <v>CFT Group</v>
      </c>
      <c r="D197" s="41" t="s">
        <v>95</v>
      </c>
      <c r="E197" s="4" t="str">
        <f>_xlfn.XLOOKUP(tblMovimientos[[#This Row],[Cuenta Bancaria]],Listas!$B:$B,Listas!$C:$C,"")</f>
        <v xml:space="preserve">Amerant Bank </v>
      </c>
      <c r="F197" s="41" t="s">
        <v>10</v>
      </c>
      <c r="G197" s="41" t="s">
        <v>61</v>
      </c>
      <c r="H197" s="4" t="str">
        <f>IFERROR(_xlfn.XLOOKUP(G197,Listas!E:E,Listas!F:F,""),"")</f>
        <v>Operativo</v>
      </c>
      <c r="I197" s="46" t="str">
        <f>IFERROR(_xlfn.XLOOKUP(G197,Listas!E:E,Listas!G:G,""),"")</f>
        <v>Externo</v>
      </c>
      <c r="J197" s="43">
        <v>60000</v>
      </c>
      <c r="K197" s="5">
        <f t="shared" si="3"/>
        <v>-60000</v>
      </c>
      <c r="L197" s="6" t="s">
        <v>93</v>
      </c>
      <c r="M197" s="44">
        <f>SUMIFS('Saldos Iniciales'!$D:$D,'Saldos Iniciales'!$A:$A,C197,'Saldos Iniciales'!$B:$B,D197)+SUMIFS($K$1:$K$1324,$C$1:$C$1324,C197,$D$1:$D$1324,D197,$B$1:$B$1324,"&lt;="&amp;B197)</f>
        <v>784648.53</v>
      </c>
      <c r="N197" s="61" t="str">
        <f>IF(tblMovimientos[[#This Row],[Tipo de Movimiento]]="Ingreso",tblMovimientos[[#This Row],[Monto (S/)]],"0")</f>
        <v>0</v>
      </c>
      <c r="O197" s="61">
        <f>IF(tblMovimientos[[#This Row],[Tipo de Movimiento]]="Egreso",tblMovimientos[[#This Row],[Monto (S/)]],"0")</f>
        <v>60000</v>
      </c>
      <c r="P197" s="28">
        <f>IF(tblMovimientos[[#This Row],[Tipo de Movimiento]]="Ingreso",tblMovimientos[[#This Row],[Ingreso]],-tblMovimientos[[#This Row],[Egreso]])</f>
        <v>-60000</v>
      </c>
      <c r="Q197" s="78" t="str">
        <f>_xlfn.XLOOKUP(tblMovimientos[[#This Row],[Cuenta Bancaria]],Cuentas!$C:$C,Cuentas!$A:$A,"")&amp;""</f>
        <v>SSP Group</v>
      </c>
      <c r="R197" s="78" t="str">
        <f>_xlfn.XLOOKUP(tblMovimientos[[#This Row],[Cuenta Bancaria]],Cuentas!$C:$C,Cuentas!$B:$B,"",0,-1)&amp;""</f>
        <v/>
      </c>
    </row>
    <row r="198" spans="2:18" x14ac:dyDescent="0.3">
      <c r="B198" s="39">
        <v>46170</v>
      </c>
      <c r="C198" s="4" t="str">
        <f>_xlfn.XLOOKUP(tblMovimientos[[#This Row],[Cuenta Bancaria]],Listas!$B:$B,Listas!$A:$A,"")</f>
        <v>CFT Group</v>
      </c>
      <c r="D198" s="41" t="s">
        <v>95</v>
      </c>
      <c r="E198" s="4" t="str">
        <f>_xlfn.XLOOKUP(tblMovimientos[[#This Row],[Cuenta Bancaria]],Listas!$B:$B,Listas!$C:$C,"")</f>
        <v xml:space="preserve">Amerant Bank </v>
      </c>
      <c r="F198" s="41" t="s">
        <v>10</v>
      </c>
      <c r="G198" s="41" t="s">
        <v>61</v>
      </c>
      <c r="H198" s="4" t="str">
        <f>IFERROR(_xlfn.XLOOKUP(G198,Listas!E:E,Listas!F:F,""),"")</f>
        <v>Operativo</v>
      </c>
      <c r="I198" s="46" t="str">
        <f>IFERROR(_xlfn.XLOOKUP(G198,Listas!E:E,Listas!G:G,""),"")</f>
        <v>Externo</v>
      </c>
      <c r="J198" s="43">
        <v>100000</v>
      </c>
      <c r="K198" s="5">
        <f t="shared" si="3"/>
        <v>-100000</v>
      </c>
      <c r="L198" s="6" t="s">
        <v>93</v>
      </c>
      <c r="M198" s="44">
        <f>SUMIFS('Saldos Iniciales'!$D:$D,'Saldos Iniciales'!$A:$A,C198,'Saldos Iniciales'!$B:$B,D198)+SUMIFS($K$1:$K$1324,$C$1:$C$1324,C198,$D$1:$D$1324,D198,$B$1:$B$1324,"&lt;="&amp;B198)</f>
        <v>784648.53</v>
      </c>
      <c r="N198" s="61" t="str">
        <f>IF(tblMovimientos[[#This Row],[Tipo de Movimiento]]="Ingreso",tblMovimientos[[#This Row],[Monto (S/)]],"0")</f>
        <v>0</v>
      </c>
      <c r="O198" s="61">
        <f>IF(tblMovimientos[[#This Row],[Tipo de Movimiento]]="Egreso",tblMovimientos[[#This Row],[Monto (S/)]],"0")</f>
        <v>100000</v>
      </c>
      <c r="P198" s="28">
        <f>IF(tblMovimientos[[#This Row],[Tipo de Movimiento]]="Ingreso",tblMovimientos[[#This Row],[Ingreso]],-tblMovimientos[[#This Row],[Egreso]])</f>
        <v>-100000</v>
      </c>
      <c r="Q198" s="78" t="str">
        <f>_xlfn.XLOOKUP(tblMovimientos[[#This Row],[Cuenta Bancaria]],Cuentas!$C:$C,Cuentas!$A:$A,"")&amp;""</f>
        <v>SSP Group</v>
      </c>
      <c r="R198" s="78" t="str">
        <f>_xlfn.XLOOKUP(tblMovimientos[[#This Row],[Cuenta Bancaria]],Cuentas!$C:$C,Cuentas!$B:$B,"",0,-1)&amp;""</f>
        <v/>
      </c>
    </row>
    <row r="199" spans="2:18" x14ac:dyDescent="0.3">
      <c r="B199" s="39">
        <v>46170</v>
      </c>
      <c r="C199" s="4" t="str">
        <f>_xlfn.XLOOKUP(tblMovimientos[[#This Row],[Cuenta Bancaria]],Listas!$B:$B,Listas!$A:$A,"")</f>
        <v>CFT Group</v>
      </c>
      <c r="D199" s="41" t="s">
        <v>95</v>
      </c>
      <c r="E199" s="4" t="str">
        <f>_xlfn.XLOOKUP(tblMovimientos[[#This Row],[Cuenta Bancaria]],Listas!$B:$B,Listas!$C:$C,"")</f>
        <v xml:space="preserve">Amerant Bank </v>
      </c>
      <c r="F199" s="41" t="s">
        <v>10</v>
      </c>
      <c r="G199" s="41" t="s">
        <v>62</v>
      </c>
      <c r="H199" s="4" t="str">
        <f>IFERROR(_xlfn.XLOOKUP(G199,Listas!E:E,Listas!F:F,""),"")</f>
        <v>Operativo</v>
      </c>
      <c r="I199" s="46" t="str">
        <f>IFERROR(_xlfn.XLOOKUP(G199,Listas!E:E,Listas!G:G,""),"")</f>
        <v>Interno</v>
      </c>
      <c r="J199" s="43">
        <v>300000</v>
      </c>
      <c r="K199" s="5">
        <f t="shared" si="3"/>
        <v>-300000</v>
      </c>
      <c r="L199" s="6" t="s">
        <v>93</v>
      </c>
      <c r="M199" s="44">
        <f>SUMIFS('Saldos Iniciales'!$D:$D,'Saldos Iniciales'!$A:$A,C199,'Saldos Iniciales'!$B:$B,D199)+SUMIFS($K$1:$K$1324,$C$1:$C$1324,C199,$D$1:$D$1324,D199,$B$1:$B$1324,"&lt;="&amp;B199)</f>
        <v>784648.53</v>
      </c>
      <c r="N199" s="61" t="str">
        <f>IF(tblMovimientos[[#This Row],[Tipo de Movimiento]]="Ingreso",tblMovimientos[[#This Row],[Monto (S/)]],"0")</f>
        <v>0</v>
      </c>
      <c r="O199" s="61">
        <f>IF(tblMovimientos[[#This Row],[Tipo de Movimiento]]="Egreso",tblMovimientos[[#This Row],[Monto (S/)]],"0")</f>
        <v>300000</v>
      </c>
      <c r="P199" s="28">
        <f>IF(tblMovimientos[[#This Row],[Tipo de Movimiento]]="Ingreso",tblMovimientos[[#This Row],[Ingreso]],-tblMovimientos[[#This Row],[Egreso]])</f>
        <v>-300000</v>
      </c>
      <c r="Q199" s="78" t="str">
        <f>_xlfn.XLOOKUP(tblMovimientos[[#This Row],[Cuenta Bancaria]],Cuentas!$C:$C,Cuentas!$A:$A,"")&amp;""</f>
        <v>SSP Group</v>
      </c>
      <c r="R199" s="78" t="str">
        <f>_xlfn.XLOOKUP(tblMovimientos[[#This Row],[Cuenta Bancaria]],Cuentas!$C:$C,Cuentas!$B:$B,"",0,-1)&amp;""</f>
        <v/>
      </c>
    </row>
    <row r="200" spans="2:18" x14ac:dyDescent="0.3">
      <c r="B200" s="39">
        <v>46170</v>
      </c>
      <c r="C200" s="4" t="str">
        <f>_xlfn.XLOOKUP(tblMovimientos[[#This Row],[Cuenta Bancaria]],Listas!$B:$B,Listas!$A:$A,"")</f>
        <v>SSP Capital</v>
      </c>
      <c r="D200" s="41" t="s">
        <v>104</v>
      </c>
      <c r="E200" s="4" t="str">
        <f>_xlfn.XLOOKUP(tblMovimientos[[#This Row],[Cuenta Bancaria]],Listas!$B:$B,Listas!$C:$C,"")</f>
        <v xml:space="preserve">Amerant Bank </v>
      </c>
      <c r="F200" s="41" t="s">
        <v>9</v>
      </c>
      <c r="G200" s="41" t="s">
        <v>75</v>
      </c>
      <c r="H200" s="4" t="str">
        <f>IFERROR(_xlfn.XLOOKUP(G200,Listas!E:E,Listas!F:F,""),"")</f>
        <v>Financiamiento</v>
      </c>
      <c r="I200" s="46" t="str">
        <f>IFERROR(_xlfn.XLOOKUP(G200,Listas!E:E,Listas!G:G,""),"")</f>
        <v>Interno</v>
      </c>
      <c r="J200" s="43">
        <v>300000</v>
      </c>
      <c r="K200" s="5">
        <f t="shared" si="3"/>
        <v>300000</v>
      </c>
      <c r="L200" s="6" t="s">
        <v>93</v>
      </c>
      <c r="M200" s="44">
        <f>SUMIFS('Saldos Iniciales'!$D:$D,'Saldos Iniciales'!$A:$A,C200,'Saldos Iniciales'!$B:$B,D200)+SUMIFS($K$1:$K$1324,$C$1:$C$1324,C200,$D$1:$D$1324,D200,$B$1:$B$1324,"&lt;="&amp;B200)</f>
        <v>321514.8599999994</v>
      </c>
      <c r="N200" s="61">
        <f>IF(tblMovimientos[[#This Row],[Tipo de Movimiento]]="Ingreso",tblMovimientos[[#This Row],[Monto (S/)]],"0")</f>
        <v>300000</v>
      </c>
      <c r="O200" s="61" t="str">
        <f>IF(tblMovimientos[[#This Row],[Tipo de Movimiento]]="Egreso",tblMovimientos[[#This Row],[Monto (S/)]],"0")</f>
        <v>0</v>
      </c>
      <c r="P200" s="28">
        <f>IF(tblMovimientos[[#This Row],[Tipo de Movimiento]]="Ingreso",tblMovimientos[[#This Row],[Ingreso]],-tblMovimientos[[#This Row],[Egreso]])</f>
        <v>300000</v>
      </c>
      <c r="Q200" s="78" t="str">
        <f>_xlfn.XLOOKUP(tblMovimientos[[#This Row],[Cuenta Bancaria]],Cuentas!$C:$C,Cuentas!$A:$A,"")&amp;""</f>
        <v>SSP Group</v>
      </c>
      <c r="R200" s="78" t="str">
        <f>_xlfn.XLOOKUP(tblMovimientos[[#This Row],[Cuenta Bancaria]],Cuentas!$C:$C,Cuentas!$B:$B,"",0,-1)&amp;""</f>
        <v/>
      </c>
    </row>
    <row r="201" spans="2:18" x14ac:dyDescent="0.3">
      <c r="B201" s="39">
        <v>46170</v>
      </c>
      <c r="C201" s="4" t="str">
        <f>_xlfn.XLOOKUP(tblMovimientos[[#This Row],[Cuenta Bancaria]],Listas!$B:$B,Listas!$A:$A,"")</f>
        <v>SSP Capital</v>
      </c>
      <c r="D201" s="41" t="s">
        <v>104</v>
      </c>
      <c r="E201" s="4" t="str">
        <f>_xlfn.XLOOKUP(tblMovimientos[[#This Row],[Cuenta Bancaria]],Listas!$B:$B,Listas!$C:$C,"")</f>
        <v xml:space="preserve">Amerant Bank </v>
      </c>
      <c r="F201" s="41" t="s">
        <v>10</v>
      </c>
      <c r="G201" s="41" t="s">
        <v>38</v>
      </c>
      <c r="H201" s="4" t="str">
        <f>IFERROR(_xlfn.XLOOKUP(G201,Listas!E:E,Listas!F:F,""),"")</f>
        <v>Operativo</v>
      </c>
      <c r="I201" s="46" t="str">
        <f>IFERROR(_xlfn.XLOOKUP(G201,Listas!E:E,Listas!G:G,""),"")</f>
        <v>Externo</v>
      </c>
      <c r="J201" s="43">
        <v>10753.2</v>
      </c>
      <c r="K201" s="5">
        <f t="shared" si="3"/>
        <v>-10753.2</v>
      </c>
      <c r="L201" s="6" t="s">
        <v>93</v>
      </c>
      <c r="M201" s="44">
        <f>SUMIFS('Saldos Iniciales'!$D:$D,'Saldos Iniciales'!$A:$A,C201,'Saldos Iniciales'!$B:$B,D201)+SUMIFS($K$1:$K$1324,$C$1:$C$1324,C201,$D$1:$D$1324,D201,$B$1:$B$1324,"&lt;="&amp;B201)</f>
        <v>321514.8599999994</v>
      </c>
      <c r="N201" s="61" t="str">
        <f>IF(tblMovimientos[[#This Row],[Tipo de Movimiento]]="Ingreso",tblMovimientos[[#This Row],[Monto (S/)]],"0")</f>
        <v>0</v>
      </c>
      <c r="O201" s="61">
        <f>IF(tblMovimientos[[#This Row],[Tipo de Movimiento]]="Egreso",tblMovimientos[[#This Row],[Monto (S/)]],"0")</f>
        <v>10753.2</v>
      </c>
      <c r="P201" s="28">
        <f>IF(tblMovimientos[[#This Row],[Tipo de Movimiento]]="Ingreso",tblMovimientos[[#This Row],[Ingreso]],-tblMovimientos[[#This Row],[Egreso]])</f>
        <v>-10753.2</v>
      </c>
      <c r="Q201" s="78" t="str">
        <f>_xlfn.XLOOKUP(tblMovimientos[[#This Row],[Cuenta Bancaria]],Cuentas!$C:$C,Cuentas!$A:$A,"")&amp;""</f>
        <v>SSP Group</v>
      </c>
      <c r="R201" s="78" t="str">
        <f>_xlfn.XLOOKUP(tblMovimientos[[#This Row],[Cuenta Bancaria]],Cuentas!$C:$C,Cuentas!$B:$B,"",0,-1)&amp;""</f>
        <v/>
      </c>
    </row>
    <row r="202" spans="2:18" x14ac:dyDescent="0.3">
      <c r="B202" s="39">
        <v>46170</v>
      </c>
      <c r="C202" s="4" t="str">
        <f>_xlfn.XLOOKUP(tblMovimientos[[#This Row],[Cuenta Bancaria]],Listas!$B:$B,Listas!$A:$A,"")</f>
        <v>SSP Capital</v>
      </c>
      <c r="D202" s="41" t="s">
        <v>104</v>
      </c>
      <c r="E202" s="4" t="str">
        <f>_xlfn.XLOOKUP(tblMovimientos[[#This Row],[Cuenta Bancaria]],Listas!$B:$B,Listas!$C:$C,"")</f>
        <v xml:space="preserve">Amerant Bank </v>
      </c>
      <c r="F202" s="41" t="s">
        <v>10</v>
      </c>
      <c r="G202" s="41" t="s">
        <v>56</v>
      </c>
      <c r="H202" s="4" t="str">
        <f>IFERROR(_xlfn.XLOOKUP(G202,Listas!E:E,Listas!F:F,""),"")</f>
        <v>Inversion</v>
      </c>
      <c r="I202" s="46" t="str">
        <f>IFERROR(_xlfn.XLOOKUP(G202,Listas!E:E,Listas!G:G,""),"")</f>
        <v>Externo</v>
      </c>
      <c r="J202" s="43">
        <v>16733.29</v>
      </c>
      <c r="K202" s="5">
        <f t="shared" si="3"/>
        <v>-16733.29</v>
      </c>
      <c r="L202" s="6" t="s">
        <v>93</v>
      </c>
      <c r="M202" s="44">
        <f>SUMIFS('Saldos Iniciales'!$D:$D,'Saldos Iniciales'!$A:$A,C202,'Saldos Iniciales'!$B:$B,D202)+SUMIFS($K$1:$K$1324,$C$1:$C$1324,C202,$D$1:$D$1324,D202,$B$1:$B$1324,"&lt;="&amp;B202)</f>
        <v>321514.8599999994</v>
      </c>
      <c r="N202" s="61" t="str">
        <f>IF(tblMovimientos[[#This Row],[Tipo de Movimiento]]="Ingreso",tblMovimientos[[#This Row],[Monto (S/)]],"0")</f>
        <v>0</v>
      </c>
      <c r="O202" s="61">
        <f>IF(tblMovimientos[[#This Row],[Tipo de Movimiento]]="Egreso",tblMovimientos[[#This Row],[Monto (S/)]],"0")</f>
        <v>16733.29</v>
      </c>
      <c r="P202" s="28">
        <f>IF(tblMovimientos[[#This Row],[Tipo de Movimiento]]="Ingreso",tblMovimientos[[#This Row],[Ingreso]],-tblMovimientos[[#This Row],[Egreso]])</f>
        <v>-16733.29</v>
      </c>
      <c r="Q202" s="78" t="str">
        <f>_xlfn.XLOOKUP(tblMovimientos[[#This Row],[Cuenta Bancaria]],Cuentas!$C:$C,Cuentas!$A:$A,"")&amp;""</f>
        <v>SSP Group</v>
      </c>
      <c r="R202" s="78" t="str">
        <f>_xlfn.XLOOKUP(tblMovimientos[[#This Row],[Cuenta Bancaria]],Cuentas!$C:$C,Cuentas!$B:$B,"",0,-1)&amp;""</f>
        <v/>
      </c>
    </row>
    <row r="203" spans="2:18" x14ac:dyDescent="0.3">
      <c r="B203" s="39">
        <v>46170</v>
      </c>
      <c r="C203" s="4" t="str">
        <f>_xlfn.XLOOKUP(tblMovimientos[[#This Row],[Cuenta Bancaria]],Listas!$B:$B,Listas!$A:$A,"")</f>
        <v>SSP Capital</v>
      </c>
      <c r="D203" s="41" t="s">
        <v>104</v>
      </c>
      <c r="E203" s="4" t="str">
        <f>_xlfn.XLOOKUP(tblMovimientos[[#This Row],[Cuenta Bancaria]],Listas!$B:$B,Listas!$C:$C,"")</f>
        <v xml:space="preserve">Amerant Bank </v>
      </c>
      <c r="F203" s="41" t="s">
        <v>10</v>
      </c>
      <c r="G203" s="41" t="s">
        <v>40</v>
      </c>
      <c r="H203" s="4" t="str">
        <f>IFERROR(_xlfn.XLOOKUP(G203,Listas!E:E,Listas!F:F,""),"")</f>
        <v>Operativo</v>
      </c>
      <c r="I203" s="46" t="str">
        <f>IFERROR(_xlfn.XLOOKUP(G203,Listas!E:E,Listas!G:G,""),"")</f>
        <v>Externo</v>
      </c>
      <c r="J203" s="43">
        <v>162017.17000000001</v>
      </c>
      <c r="K203" s="5">
        <f t="shared" si="3"/>
        <v>-162017.17000000001</v>
      </c>
      <c r="L203" s="6" t="s">
        <v>93</v>
      </c>
      <c r="M203" s="44">
        <f>SUMIFS('Saldos Iniciales'!$D:$D,'Saldos Iniciales'!$A:$A,C203,'Saldos Iniciales'!$B:$B,D203)+SUMIFS($K$1:$K$1324,$C$1:$C$1324,C203,$D$1:$D$1324,D203,$B$1:$B$1324,"&lt;="&amp;B203)</f>
        <v>321514.8599999994</v>
      </c>
      <c r="N203" s="61" t="str">
        <f>IF(tblMovimientos[[#This Row],[Tipo de Movimiento]]="Ingreso",tblMovimientos[[#This Row],[Monto (S/)]],"0")</f>
        <v>0</v>
      </c>
      <c r="O203" s="61">
        <f>IF(tblMovimientos[[#This Row],[Tipo de Movimiento]]="Egreso",tblMovimientos[[#This Row],[Monto (S/)]],"0")</f>
        <v>162017.17000000001</v>
      </c>
      <c r="P203" s="28">
        <f>IF(tblMovimientos[[#This Row],[Tipo de Movimiento]]="Ingreso",tblMovimientos[[#This Row],[Ingreso]],-tblMovimientos[[#This Row],[Egreso]])</f>
        <v>-162017.17000000001</v>
      </c>
      <c r="Q203" s="78" t="str">
        <f>_xlfn.XLOOKUP(tblMovimientos[[#This Row],[Cuenta Bancaria]],Cuentas!$C:$C,Cuentas!$A:$A,"")&amp;""</f>
        <v>SSP Group</v>
      </c>
      <c r="R203" s="78" t="str">
        <f>_xlfn.XLOOKUP(tblMovimientos[[#This Row],[Cuenta Bancaria]],Cuentas!$C:$C,Cuentas!$B:$B,"",0,-1)&amp;""</f>
        <v/>
      </c>
    </row>
    <row r="204" spans="2:18" x14ac:dyDescent="0.3">
      <c r="B204" s="39">
        <v>46170</v>
      </c>
      <c r="C204" s="4" t="str">
        <f>_xlfn.XLOOKUP(tblMovimientos[[#This Row],[Cuenta Bancaria]],Listas!$B:$B,Listas!$A:$A,"")</f>
        <v>Go Blue</v>
      </c>
      <c r="D204" s="41" t="s">
        <v>126</v>
      </c>
      <c r="E204" s="4" t="str">
        <f>_xlfn.XLOOKUP(tblMovimientos[[#This Row],[Cuenta Bancaria]],Listas!$B:$B,Listas!$C:$C,"")</f>
        <v xml:space="preserve">Amerant Bank </v>
      </c>
      <c r="F204" s="41" t="s">
        <v>10</v>
      </c>
      <c r="G204" s="41" t="s">
        <v>44</v>
      </c>
      <c r="H204" s="4" t="str">
        <f>IFERROR(_xlfn.XLOOKUP(G204,Listas!E:E,Listas!F:F,""),"")</f>
        <v>Operativo</v>
      </c>
      <c r="I204" s="46" t="str">
        <f>IFERROR(_xlfn.XLOOKUP(G204,Listas!E:E,Listas!G:G,""),"")</f>
        <v>Externo</v>
      </c>
      <c r="J204" s="43">
        <v>15</v>
      </c>
      <c r="K204" s="5">
        <f t="shared" si="3"/>
        <v>-15</v>
      </c>
      <c r="L204" s="6" t="s">
        <v>93</v>
      </c>
      <c r="M204" s="44">
        <f>SUMIFS('Saldos Iniciales'!$D:$D,'Saldos Iniciales'!$A:$A,C204,'Saldos Iniciales'!$B:$B,D204)+SUMIFS($K$1:$K$1324,$C$1:$C$1324,C204,$D$1:$D$1324,D204,$B$1:$B$1324,"&lt;="&amp;B204)</f>
        <v>9076.2400000000016</v>
      </c>
      <c r="N204" s="61" t="str">
        <f>IF(tblMovimientos[[#This Row],[Tipo de Movimiento]]="Ingreso",tblMovimientos[[#This Row],[Monto (S/)]],"0")</f>
        <v>0</v>
      </c>
      <c r="O204" s="61">
        <f>IF(tblMovimientos[[#This Row],[Tipo de Movimiento]]="Egreso",tblMovimientos[[#This Row],[Monto (S/)]],"0")</f>
        <v>15</v>
      </c>
      <c r="P204" s="28">
        <f>IF(tblMovimientos[[#This Row],[Tipo de Movimiento]]="Ingreso",tblMovimientos[[#This Row],[Ingreso]],-tblMovimientos[[#This Row],[Egreso]])</f>
        <v>-15</v>
      </c>
      <c r="Q204" s="78" t="str">
        <f>_xlfn.XLOOKUP(tblMovimientos[[#This Row],[Cuenta Bancaria]],Cuentas!$C:$C,Cuentas!$A:$A,"")&amp;""</f>
        <v>SSP Group</v>
      </c>
      <c r="R204" s="78" t="str">
        <f>_xlfn.XLOOKUP(tblMovimientos[[#This Row],[Cuenta Bancaria]],Cuentas!$C:$C,Cuentas!$B:$B,"",0,-1)&amp;""</f>
        <v/>
      </c>
    </row>
    <row r="205" spans="2:18" x14ac:dyDescent="0.3">
      <c r="B205" s="39">
        <v>46170</v>
      </c>
      <c r="C205" s="4" t="str">
        <f>_xlfn.XLOOKUP(tblMovimientos[[#This Row],[Cuenta Bancaria]],Listas!$B:$B,Listas!$A:$A,"")</f>
        <v>Go Blue</v>
      </c>
      <c r="D205" s="41" t="s">
        <v>126</v>
      </c>
      <c r="E205" s="4" t="str">
        <f>_xlfn.XLOOKUP(tblMovimientos[[#This Row],[Cuenta Bancaria]],Listas!$B:$B,Listas!$C:$C,"")</f>
        <v xml:space="preserve">Amerant Bank </v>
      </c>
      <c r="F205" s="41" t="s">
        <v>10</v>
      </c>
      <c r="G205" s="41" t="s">
        <v>44</v>
      </c>
      <c r="H205" s="4" t="str">
        <f>IFERROR(_xlfn.XLOOKUP(G205,Listas!E:E,Listas!F:F,""),"")</f>
        <v>Operativo</v>
      </c>
      <c r="I205" s="46" t="str">
        <f>IFERROR(_xlfn.XLOOKUP(G205,Listas!E:E,Listas!G:G,""),"")</f>
        <v>Externo</v>
      </c>
      <c r="J205" s="43">
        <v>15</v>
      </c>
      <c r="K205" s="5">
        <f t="shared" si="3"/>
        <v>-15</v>
      </c>
      <c r="L205" s="6" t="s">
        <v>93</v>
      </c>
      <c r="M205" s="44">
        <f>SUMIFS('Saldos Iniciales'!$D:$D,'Saldos Iniciales'!$A:$A,C205,'Saldos Iniciales'!$B:$B,D205)+SUMIFS($K$1:$K$1324,$C$1:$C$1324,C205,$D$1:$D$1324,D205,$B$1:$B$1324,"&lt;="&amp;B205)</f>
        <v>9076.2400000000016</v>
      </c>
      <c r="N205" s="61" t="str">
        <f>IF(tblMovimientos[[#This Row],[Tipo de Movimiento]]="Ingreso",tblMovimientos[[#This Row],[Monto (S/)]],"0")</f>
        <v>0</v>
      </c>
      <c r="O205" s="61">
        <f>IF(tblMovimientos[[#This Row],[Tipo de Movimiento]]="Egreso",tblMovimientos[[#This Row],[Monto (S/)]],"0")</f>
        <v>15</v>
      </c>
      <c r="P205" s="28">
        <f>IF(tblMovimientos[[#This Row],[Tipo de Movimiento]]="Ingreso",tblMovimientos[[#This Row],[Ingreso]],-tblMovimientos[[#This Row],[Egreso]])</f>
        <v>-15</v>
      </c>
      <c r="Q205" s="78" t="str">
        <f>_xlfn.XLOOKUP(tblMovimientos[[#This Row],[Cuenta Bancaria]],Cuentas!$C:$C,Cuentas!$A:$A,"")&amp;""</f>
        <v>SSP Group</v>
      </c>
      <c r="R205" s="78" t="str">
        <f>_xlfn.XLOOKUP(tblMovimientos[[#This Row],[Cuenta Bancaria]],Cuentas!$C:$C,Cuentas!$B:$B,"",0,-1)&amp;""</f>
        <v/>
      </c>
    </row>
    <row r="206" spans="2:18" x14ac:dyDescent="0.3">
      <c r="B206" s="39">
        <v>46170</v>
      </c>
      <c r="C206" s="4" t="str">
        <f>_xlfn.XLOOKUP(tblMovimientos[[#This Row],[Cuenta Bancaria]],Listas!$B:$B,Listas!$A:$A,"")</f>
        <v>Go Blue</v>
      </c>
      <c r="D206" s="41" t="s">
        <v>126</v>
      </c>
      <c r="E206" s="4" t="str">
        <f>_xlfn.XLOOKUP(tblMovimientos[[#This Row],[Cuenta Bancaria]],Listas!$B:$B,Listas!$C:$C,"")</f>
        <v xml:space="preserve">Amerant Bank </v>
      </c>
      <c r="F206" s="41" t="s">
        <v>10</v>
      </c>
      <c r="G206" s="41" t="s">
        <v>44</v>
      </c>
      <c r="H206" s="4" t="str">
        <f>IFERROR(_xlfn.XLOOKUP(G206,Listas!E:E,Listas!F:F,""),"")</f>
        <v>Operativo</v>
      </c>
      <c r="I206" s="46" t="str">
        <f>IFERROR(_xlfn.XLOOKUP(G206,Listas!E:E,Listas!G:G,""),"")</f>
        <v>Externo</v>
      </c>
      <c r="J206" s="43">
        <v>15</v>
      </c>
      <c r="K206" s="5">
        <f t="shared" si="3"/>
        <v>-15</v>
      </c>
      <c r="L206" s="6" t="s">
        <v>93</v>
      </c>
      <c r="M206" s="44">
        <f>SUMIFS('Saldos Iniciales'!$D:$D,'Saldos Iniciales'!$A:$A,C206,'Saldos Iniciales'!$B:$B,D206)+SUMIFS($K$1:$K$1324,$C$1:$C$1324,C206,$D$1:$D$1324,D206,$B$1:$B$1324,"&lt;="&amp;B206)</f>
        <v>9076.2400000000016</v>
      </c>
      <c r="N206" s="61" t="str">
        <f>IF(tblMovimientos[[#This Row],[Tipo de Movimiento]]="Ingreso",tblMovimientos[[#This Row],[Monto (S/)]],"0")</f>
        <v>0</v>
      </c>
      <c r="O206" s="61">
        <f>IF(tblMovimientos[[#This Row],[Tipo de Movimiento]]="Egreso",tblMovimientos[[#This Row],[Monto (S/)]],"0")</f>
        <v>15</v>
      </c>
      <c r="P206" s="28">
        <f>IF(tblMovimientos[[#This Row],[Tipo de Movimiento]]="Ingreso",tblMovimientos[[#This Row],[Ingreso]],-tblMovimientos[[#This Row],[Egreso]])</f>
        <v>-15</v>
      </c>
      <c r="Q206" s="78" t="str">
        <f>_xlfn.XLOOKUP(tblMovimientos[[#This Row],[Cuenta Bancaria]],Cuentas!$C:$C,Cuentas!$A:$A,"")&amp;""</f>
        <v>SSP Group</v>
      </c>
      <c r="R206" s="78" t="str">
        <f>_xlfn.XLOOKUP(tblMovimientos[[#This Row],[Cuenta Bancaria]],Cuentas!$C:$C,Cuentas!$B:$B,"",0,-1)&amp;""</f>
        <v/>
      </c>
    </row>
    <row r="207" spans="2:18" x14ac:dyDescent="0.3">
      <c r="B207" s="39">
        <v>46170</v>
      </c>
      <c r="C207" s="4" t="str">
        <f>_xlfn.XLOOKUP(tblMovimientos[[#This Row],[Cuenta Bancaria]],Listas!$B:$B,Listas!$A:$A,"")</f>
        <v>Go Blue</v>
      </c>
      <c r="D207" s="41" t="s">
        <v>126</v>
      </c>
      <c r="E207" s="4" t="str">
        <f>_xlfn.XLOOKUP(tblMovimientos[[#This Row],[Cuenta Bancaria]],Listas!$B:$B,Listas!$C:$C,"")</f>
        <v xml:space="preserve">Amerant Bank </v>
      </c>
      <c r="F207" s="41" t="s">
        <v>10</v>
      </c>
      <c r="G207" s="41" t="s">
        <v>44</v>
      </c>
      <c r="H207" s="4" t="str">
        <f>IFERROR(_xlfn.XLOOKUP(G207,Listas!E:E,Listas!F:F,""),"")</f>
        <v>Operativo</v>
      </c>
      <c r="I207" s="46" t="str">
        <f>IFERROR(_xlfn.XLOOKUP(G207,Listas!E:E,Listas!G:G,""),"")</f>
        <v>Externo</v>
      </c>
      <c r="J207" s="43">
        <v>15</v>
      </c>
      <c r="K207" s="5">
        <f t="shared" si="3"/>
        <v>-15</v>
      </c>
      <c r="L207" s="6" t="s">
        <v>93</v>
      </c>
      <c r="M207" s="44">
        <f>SUMIFS('Saldos Iniciales'!$D:$D,'Saldos Iniciales'!$A:$A,C207,'Saldos Iniciales'!$B:$B,D207)+SUMIFS($K$1:$K$1324,$C$1:$C$1324,C207,$D$1:$D$1324,D207,$B$1:$B$1324,"&lt;="&amp;B207)</f>
        <v>9076.2400000000016</v>
      </c>
      <c r="N207" s="61" t="str">
        <f>IF(tblMovimientos[[#This Row],[Tipo de Movimiento]]="Ingreso",tblMovimientos[[#This Row],[Monto (S/)]],"0")</f>
        <v>0</v>
      </c>
      <c r="O207" s="61">
        <f>IF(tblMovimientos[[#This Row],[Tipo de Movimiento]]="Egreso",tblMovimientos[[#This Row],[Monto (S/)]],"0")</f>
        <v>15</v>
      </c>
      <c r="P207" s="28">
        <f>IF(tblMovimientos[[#This Row],[Tipo de Movimiento]]="Ingreso",tblMovimientos[[#This Row],[Ingreso]],-tblMovimientos[[#This Row],[Egreso]])</f>
        <v>-15</v>
      </c>
      <c r="Q207" s="78" t="str">
        <f>_xlfn.XLOOKUP(tblMovimientos[[#This Row],[Cuenta Bancaria]],Cuentas!$C:$C,Cuentas!$A:$A,"")&amp;""</f>
        <v>SSP Group</v>
      </c>
      <c r="R207" s="78" t="str">
        <f>_xlfn.XLOOKUP(tblMovimientos[[#This Row],[Cuenta Bancaria]],Cuentas!$C:$C,Cuentas!$B:$B,"",0,-1)&amp;""</f>
        <v/>
      </c>
    </row>
    <row r="208" spans="2:18" x14ac:dyDescent="0.3">
      <c r="B208" s="39">
        <v>46170</v>
      </c>
      <c r="C208" s="4" t="str">
        <f>_xlfn.XLOOKUP(tblMovimientos[[#This Row],[Cuenta Bancaria]],Listas!$B:$B,Listas!$A:$A,"")</f>
        <v>Go Blue</v>
      </c>
      <c r="D208" s="41" t="s">
        <v>126</v>
      </c>
      <c r="E208" s="4" t="str">
        <f>_xlfn.XLOOKUP(tblMovimientos[[#This Row],[Cuenta Bancaria]],Listas!$B:$B,Listas!$C:$C,"")</f>
        <v xml:space="preserve">Amerant Bank </v>
      </c>
      <c r="F208" s="41" t="s">
        <v>10</v>
      </c>
      <c r="G208" s="41" t="s">
        <v>38</v>
      </c>
      <c r="H208" s="4" t="str">
        <f>IFERROR(_xlfn.XLOOKUP(G208,Listas!E:E,Listas!F:F,""),"")</f>
        <v>Operativo</v>
      </c>
      <c r="I208" s="46" t="str">
        <f>IFERROR(_xlfn.XLOOKUP(G208,Listas!E:E,Listas!G:G,""),"")</f>
        <v>Externo</v>
      </c>
      <c r="J208" s="43">
        <v>951.3</v>
      </c>
      <c r="K208" s="5">
        <f t="shared" si="3"/>
        <v>-951.3</v>
      </c>
      <c r="L208" s="6" t="s">
        <v>93</v>
      </c>
      <c r="M208" s="44">
        <f>SUMIFS('Saldos Iniciales'!$D:$D,'Saldos Iniciales'!$A:$A,C208,'Saldos Iniciales'!$B:$B,D208)+SUMIFS($K$1:$K$1324,$C$1:$C$1324,C208,$D$1:$D$1324,D208,$B$1:$B$1324,"&lt;="&amp;B208)</f>
        <v>9076.2400000000016</v>
      </c>
      <c r="N208" s="61" t="str">
        <f>IF(tblMovimientos[[#This Row],[Tipo de Movimiento]]="Ingreso",tblMovimientos[[#This Row],[Monto (S/)]],"0")</f>
        <v>0</v>
      </c>
      <c r="O208" s="61">
        <f>IF(tblMovimientos[[#This Row],[Tipo de Movimiento]]="Egreso",tblMovimientos[[#This Row],[Monto (S/)]],"0")</f>
        <v>951.3</v>
      </c>
      <c r="P208" s="28">
        <f>IF(tblMovimientos[[#This Row],[Tipo de Movimiento]]="Ingreso",tblMovimientos[[#This Row],[Ingreso]],-tblMovimientos[[#This Row],[Egreso]])</f>
        <v>-951.3</v>
      </c>
      <c r="Q208" s="78" t="str">
        <f>_xlfn.XLOOKUP(tblMovimientos[[#This Row],[Cuenta Bancaria]],Cuentas!$C:$C,Cuentas!$A:$A,"")&amp;""</f>
        <v>SSP Group</v>
      </c>
      <c r="R208" s="78" t="str">
        <f>_xlfn.XLOOKUP(tblMovimientos[[#This Row],[Cuenta Bancaria]],Cuentas!$C:$C,Cuentas!$B:$B,"",0,-1)&amp;""</f>
        <v/>
      </c>
    </row>
    <row r="209" spans="2:18" x14ac:dyDescent="0.3">
      <c r="B209" s="39">
        <v>46170</v>
      </c>
      <c r="C209" s="4" t="str">
        <f>_xlfn.XLOOKUP(tblMovimientos[[#This Row],[Cuenta Bancaria]],Listas!$B:$B,Listas!$A:$A,"")</f>
        <v>Go Blue</v>
      </c>
      <c r="D209" s="41" t="s">
        <v>126</v>
      </c>
      <c r="E209" s="4" t="str">
        <f>_xlfn.XLOOKUP(tblMovimientos[[#This Row],[Cuenta Bancaria]],Listas!$B:$B,Listas!$C:$C,"")</f>
        <v xml:space="preserve">Amerant Bank </v>
      </c>
      <c r="F209" s="41" t="s">
        <v>10</v>
      </c>
      <c r="G209" s="41" t="s">
        <v>38</v>
      </c>
      <c r="H209" s="4" t="str">
        <f>IFERROR(_xlfn.XLOOKUP(G209,Listas!E:E,Listas!F:F,""),"")</f>
        <v>Operativo</v>
      </c>
      <c r="I209" s="46" t="str">
        <f>IFERROR(_xlfn.XLOOKUP(G209,Listas!E:E,Listas!G:G,""),"")</f>
        <v>Externo</v>
      </c>
      <c r="J209" s="43">
        <v>1981.86</v>
      </c>
      <c r="K209" s="5">
        <f t="shared" si="3"/>
        <v>-1981.86</v>
      </c>
      <c r="L209" s="6" t="s">
        <v>93</v>
      </c>
      <c r="M209" s="44">
        <f>SUMIFS('Saldos Iniciales'!$D:$D,'Saldos Iniciales'!$A:$A,C209,'Saldos Iniciales'!$B:$B,D209)+SUMIFS($K$1:$K$1324,$C$1:$C$1324,C209,$D$1:$D$1324,D209,$B$1:$B$1324,"&lt;="&amp;B209)</f>
        <v>9076.2400000000016</v>
      </c>
      <c r="N209" s="61" t="str">
        <f>IF(tblMovimientos[[#This Row],[Tipo de Movimiento]]="Ingreso",tblMovimientos[[#This Row],[Monto (S/)]],"0")</f>
        <v>0</v>
      </c>
      <c r="O209" s="61">
        <f>IF(tblMovimientos[[#This Row],[Tipo de Movimiento]]="Egreso",tblMovimientos[[#This Row],[Monto (S/)]],"0")</f>
        <v>1981.86</v>
      </c>
      <c r="P209" s="28">
        <f>IF(tblMovimientos[[#This Row],[Tipo de Movimiento]]="Ingreso",tblMovimientos[[#This Row],[Ingreso]],-tblMovimientos[[#This Row],[Egreso]])</f>
        <v>-1981.86</v>
      </c>
      <c r="Q209" s="78" t="str">
        <f>_xlfn.XLOOKUP(tblMovimientos[[#This Row],[Cuenta Bancaria]],Cuentas!$C:$C,Cuentas!$A:$A,"")&amp;""</f>
        <v>SSP Group</v>
      </c>
      <c r="R209" s="78" t="str">
        <f>_xlfn.XLOOKUP(tblMovimientos[[#This Row],[Cuenta Bancaria]],Cuentas!$C:$C,Cuentas!$B:$B,"",0,-1)&amp;""</f>
        <v/>
      </c>
    </row>
    <row r="210" spans="2:18" x14ac:dyDescent="0.3">
      <c r="B210" s="39">
        <v>46170</v>
      </c>
      <c r="C210" s="4" t="str">
        <f>_xlfn.XLOOKUP(tblMovimientos[[#This Row],[Cuenta Bancaria]],Listas!$B:$B,Listas!$A:$A,"")</f>
        <v>Go Blue</v>
      </c>
      <c r="D210" s="41" t="s">
        <v>126</v>
      </c>
      <c r="E210" s="4" t="str">
        <f>_xlfn.XLOOKUP(tblMovimientos[[#This Row],[Cuenta Bancaria]],Listas!$B:$B,Listas!$C:$C,"")</f>
        <v xml:space="preserve">Amerant Bank </v>
      </c>
      <c r="F210" s="41" t="s">
        <v>10</v>
      </c>
      <c r="G210" s="41" t="s">
        <v>38</v>
      </c>
      <c r="H210" s="4" t="str">
        <f>IFERROR(_xlfn.XLOOKUP(G210,Listas!E:E,Listas!F:F,""),"")</f>
        <v>Operativo</v>
      </c>
      <c r="I210" s="46" t="str">
        <f>IFERROR(_xlfn.XLOOKUP(G210,Listas!E:E,Listas!G:G,""),"")</f>
        <v>Externo</v>
      </c>
      <c r="J210" s="43">
        <v>2500</v>
      </c>
      <c r="K210" s="5">
        <f t="shared" si="3"/>
        <v>-2500</v>
      </c>
      <c r="L210" s="6" t="s">
        <v>93</v>
      </c>
      <c r="M210" s="44">
        <f>SUMIFS('Saldos Iniciales'!$D:$D,'Saldos Iniciales'!$A:$A,C210,'Saldos Iniciales'!$B:$B,D210)+SUMIFS($K$1:$K$1324,$C$1:$C$1324,C210,$D$1:$D$1324,D210,$B$1:$B$1324,"&lt;="&amp;B210)</f>
        <v>9076.2400000000016</v>
      </c>
      <c r="N210" s="61" t="str">
        <f>IF(tblMovimientos[[#This Row],[Tipo de Movimiento]]="Ingreso",tblMovimientos[[#This Row],[Monto (S/)]],"0")</f>
        <v>0</v>
      </c>
      <c r="O210" s="61">
        <f>IF(tblMovimientos[[#This Row],[Tipo de Movimiento]]="Egreso",tblMovimientos[[#This Row],[Monto (S/)]],"0")</f>
        <v>2500</v>
      </c>
      <c r="P210" s="28">
        <f>IF(tblMovimientos[[#This Row],[Tipo de Movimiento]]="Ingreso",tblMovimientos[[#This Row],[Ingreso]],-tblMovimientos[[#This Row],[Egreso]])</f>
        <v>-2500</v>
      </c>
      <c r="Q210" s="78" t="str">
        <f>_xlfn.XLOOKUP(tblMovimientos[[#This Row],[Cuenta Bancaria]],Cuentas!$C:$C,Cuentas!$A:$A,"")&amp;""</f>
        <v>SSP Group</v>
      </c>
      <c r="R210" s="78" t="str">
        <f>_xlfn.XLOOKUP(tblMovimientos[[#This Row],[Cuenta Bancaria]],Cuentas!$C:$C,Cuentas!$B:$B,"",0,-1)&amp;""</f>
        <v/>
      </c>
    </row>
    <row r="211" spans="2:18" x14ac:dyDescent="0.3">
      <c r="B211" s="39">
        <v>46170</v>
      </c>
      <c r="C211" s="4" t="str">
        <f>_xlfn.XLOOKUP(tblMovimientos[[#This Row],[Cuenta Bancaria]],Listas!$B:$B,Listas!$A:$A,"")</f>
        <v>Go Blue</v>
      </c>
      <c r="D211" s="41" t="s">
        <v>126</v>
      </c>
      <c r="E211" s="4" t="str">
        <f>_xlfn.XLOOKUP(tblMovimientos[[#This Row],[Cuenta Bancaria]],Listas!$B:$B,Listas!$C:$C,"")</f>
        <v xml:space="preserve">Amerant Bank </v>
      </c>
      <c r="F211" s="41" t="s">
        <v>10</v>
      </c>
      <c r="G211" s="41" t="s">
        <v>38</v>
      </c>
      <c r="H211" s="4" t="str">
        <f>IFERROR(_xlfn.XLOOKUP(G211,Listas!E:E,Listas!F:F,""),"")</f>
        <v>Operativo</v>
      </c>
      <c r="I211" s="46" t="str">
        <f>IFERROR(_xlfn.XLOOKUP(G211,Listas!E:E,Listas!G:G,""),"")</f>
        <v>Externo</v>
      </c>
      <c r="J211" s="43">
        <v>3018.63</v>
      </c>
      <c r="K211" s="5">
        <f t="shared" si="3"/>
        <v>-3018.63</v>
      </c>
      <c r="L211" s="6" t="s">
        <v>93</v>
      </c>
      <c r="M211" s="44">
        <f>SUMIFS('Saldos Iniciales'!$D:$D,'Saldos Iniciales'!$A:$A,C211,'Saldos Iniciales'!$B:$B,D211)+SUMIFS($K$1:$K$1324,$C$1:$C$1324,C211,$D$1:$D$1324,D211,$B$1:$B$1324,"&lt;="&amp;B211)</f>
        <v>9076.2400000000016</v>
      </c>
      <c r="N211" s="61" t="str">
        <f>IF(tblMovimientos[[#This Row],[Tipo de Movimiento]]="Ingreso",tblMovimientos[[#This Row],[Monto (S/)]],"0")</f>
        <v>0</v>
      </c>
      <c r="O211" s="61">
        <f>IF(tblMovimientos[[#This Row],[Tipo de Movimiento]]="Egreso",tblMovimientos[[#This Row],[Monto (S/)]],"0")</f>
        <v>3018.63</v>
      </c>
      <c r="P211" s="28">
        <f>IF(tblMovimientos[[#This Row],[Tipo de Movimiento]]="Ingreso",tblMovimientos[[#This Row],[Ingreso]],-tblMovimientos[[#This Row],[Egreso]])</f>
        <v>-3018.63</v>
      </c>
      <c r="Q211" s="78" t="str">
        <f>_xlfn.XLOOKUP(tblMovimientos[[#This Row],[Cuenta Bancaria]],Cuentas!$C:$C,Cuentas!$A:$A,"")&amp;""</f>
        <v>SSP Group</v>
      </c>
      <c r="R211" s="78" t="str">
        <f>_xlfn.XLOOKUP(tblMovimientos[[#This Row],[Cuenta Bancaria]],Cuentas!$C:$C,Cuentas!$B:$B,"",0,-1)&amp;""</f>
        <v/>
      </c>
    </row>
    <row r="212" spans="2:18" x14ac:dyDescent="0.3">
      <c r="B212" s="39">
        <v>46171</v>
      </c>
      <c r="C212" s="4" t="str">
        <f>_xlfn.XLOOKUP(tblMovimientos[[#This Row],[Cuenta Bancaria]],Listas!$B:$B,Listas!$A:$A,"")</f>
        <v>SSP Capital</v>
      </c>
      <c r="D212" s="41" t="s">
        <v>101</v>
      </c>
      <c r="E212" s="4" t="str">
        <f>_xlfn.XLOOKUP(tblMovimientos[[#This Row],[Cuenta Bancaria]],Listas!$B:$B,Listas!$C:$C,"")</f>
        <v>Bank of America</v>
      </c>
      <c r="F212" s="41" t="s">
        <v>10</v>
      </c>
      <c r="G212" s="41" t="s">
        <v>38</v>
      </c>
      <c r="H212" s="4" t="str">
        <f>IFERROR(_xlfn.XLOOKUP(G212,Listas!E:E,Listas!F:F,""),"")</f>
        <v>Operativo</v>
      </c>
      <c r="I212" s="46" t="str">
        <f>IFERROR(_xlfn.XLOOKUP(G212,Listas!E:E,Listas!G:G,""),"")</f>
        <v>Externo</v>
      </c>
      <c r="J212" s="43">
        <v>193.01</v>
      </c>
      <c r="K212" s="5">
        <f t="shared" si="3"/>
        <v>-193.01</v>
      </c>
      <c r="L212" s="6" t="s">
        <v>93</v>
      </c>
      <c r="M212" s="44">
        <f>SUMIFS('Saldos Iniciales'!$D:$D,'Saldos Iniciales'!$A:$A,C212,'Saldos Iniciales'!$B:$B,D212)+SUMIFS($K$1:$K$1324,$C$1:$C$1324,C212,$D$1:$D$1324,D212,$B$1:$B$1324,"&lt;="&amp;B212)</f>
        <v>10843.210000000001</v>
      </c>
      <c r="N212" s="61" t="str">
        <f>IF(tblMovimientos[[#This Row],[Tipo de Movimiento]]="Ingreso",tblMovimientos[[#This Row],[Monto (S/)]],"0")</f>
        <v>0</v>
      </c>
      <c r="O212" s="61">
        <f>IF(tblMovimientos[[#This Row],[Tipo de Movimiento]]="Egreso",tblMovimientos[[#This Row],[Monto (S/)]],"0")</f>
        <v>193.01</v>
      </c>
      <c r="P212" s="28">
        <f>IF(tblMovimientos[[#This Row],[Tipo de Movimiento]]="Ingreso",tblMovimientos[[#This Row],[Ingreso]],-tblMovimientos[[#This Row],[Egreso]])</f>
        <v>-193.01</v>
      </c>
      <c r="Q212" s="78" t="str">
        <f>_xlfn.XLOOKUP(tblMovimientos[[#This Row],[Cuenta Bancaria]],Cuentas!$C:$C,Cuentas!$A:$A,"")&amp;""</f>
        <v>SSP Group</v>
      </c>
      <c r="R212" s="78" t="str">
        <f>_xlfn.XLOOKUP(tblMovimientos[[#This Row],[Cuenta Bancaria]],Cuentas!$C:$C,Cuentas!$B:$B,"",0,-1)&amp;""</f>
        <v/>
      </c>
    </row>
    <row r="213" spans="2:18" x14ac:dyDescent="0.3">
      <c r="B213" s="39">
        <v>46171</v>
      </c>
      <c r="C213" s="4" t="str">
        <f>_xlfn.XLOOKUP(tblMovimientos[[#This Row],[Cuenta Bancaria]],Listas!$B:$B,Listas!$A:$A,"")</f>
        <v>A&amp;M Imports</v>
      </c>
      <c r="D213" s="41" t="s">
        <v>100</v>
      </c>
      <c r="E213" s="4" t="str">
        <f>_xlfn.XLOOKUP(tblMovimientos[[#This Row],[Cuenta Bancaria]],Listas!$B:$B,Listas!$C:$C,"")</f>
        <v>Bank of America</v>
      </c>
      <c r="F213" s="41" t="s">
        <v>9</v>
      </c>
      <c r="G213" s="41" t="s">
        <v>80</v>
      </c>
      <c r="H213" s="4" t="str">
        <f>IFERROR(_xlfn.XLOOKUP(G213,Listas!E:E,Listas!F:F,""),"")</f>
        <v>Operativo</v>
      </c>
      <c r="I213" s="46" t="str">
        <f>IFERROR(_xlfn.XLOOKUP(G213,Listas!E:E,Listas!G:G,""),"")</f>
        <v>Externo</v>
      </c>
      <c r="J213" s="43">
        <v>46804.94</v>
      </c>
      <c r="K213" s="5">
        <f t="shared" si="3"/>
        <v>46804.94</v>
      </c>
      <c r="L213" s="6" t="s">
        <v>93</v>
      </c>
      <c r="M213" s="44">
        <f>SUMIFS('Saldos Iniciales'!$D:$D,'Saldos Iniciales'!$A:$A,C213,'Saldos Iniciales'!$B:$B,D213)+SUMIFS($K$1:$K$1324,$C$1:$C$1324,C213,$D$1:$D$1324,D213,$B$1:$B$1324,"&lt;="&amp;B213)</f>
        <v>424853.11999999988</v>
      </c>
      <c r="N213" s="61">
        <f>IF(tblMovimientos[[#This Row],[Tipo de Movimiento]]="Ingreso",tblMovimientos[[#This Row],[Monto (S/)]],"0")</f>
        <v>46804.94</v>
      </c>
      <c r="O213" s="61" t="str">
        <f>IF(tblMovimientos[[#This Row],[Tipo de Movimiento]]="Egreso",tblMovimientos[[#This Row],[Monto (S/)]],"0")</f>
        <v>0</v>
      </c>
      <c r="P213" s="28">
        <f>IF(tblMovimientos[[#This Row],[Tipo de Movimiento]]="Ingreso",tblMovimientos[[#This Row],[Ingreso]],-tblMovimientos[[#This Row],[Egreso]])</f>
        <v>46804.94</v>
      </c>
      <c r="Q213" s="78" t="str">
        <f>_xlfn.XLOOKUP(tblMovimientos[[#This Row],[Cuenta Bancaria]],Cuentas!$C:$C,Cuentas!$A:$A,"")&amp;""</f>
        <v>SSP Group</v>
      </c>
      <c r="R213" s="78" t="str">
        <f>_xlfn.XLOOKUP(tblMovimientos[[#This Row],[Cuenta Bancaria]],Cuentas!$C:$C,Cuentas!$B:$B,"",0,-1)&amp;""</f>
        <v/>
      </c>
    </row>
    <row r="214" spans="2:18" x14ac:dyDescent="0.3">
      <c r="B214" s="39">
        <v>46171</v>
      </c>
      <c r="C214" s="4" t="str">
        <f>_xlfn.XLOOKUP(tblMovimientos[[#This Row],[Cuenta Bancaria]],Listas!$B:$B,Listas!$A:$A,"")</f>
        <v>A&amp;M Imports</v>
      </c>
      <c r="D214" s="41" t="s">
        <v>100</v>
      </c>
      <c r="E214" s="4" t="str">
        <f>_xlfn.XLOOKUP(tblMovimientos[[#This Row],[Cuenta Bancaria]],Listas!$B:$B,Listas!$C:$C,"")</f>
        <v>Bank of America</v>
      </c>
      <c r="F214" s="41" t="s">
        <v>9</v>
      </c>
      <c r="G214" s="41" t="s">
        <v>68</v>
      </c>
      <c r="H214" s="4" t="str">
        <f>IFERROR(_xlfn.XLOOKUP(G214,Listas!E:E,Listas!F:F,""),"")</f>
        <v>Operativo</v>
      </c>
      <c r="I214" s="46" t="str">
        <f>IFERROR(_xlfn.XLOOKUP(G214,Listas!E:E,Listas!G:G,""),"")</f>
        <v>Externo</v>
      </c>
      <c r="J214" s="43">
        <v>1452.33</v>
      </c>
      <c r="K214" s="5">
        <f t="shared" si="3"/>
        <v>1452.33</v>
      </c>
      <c r="L214" s="6" t="s">
        <v>93</v>
      </c>
      <c r="M214" s="44">
        <f>SUMIFS('Saldos Iniciales'!$D:$D,'Saldos Iniciales'!$A:$A,C214,'Saldos Iniciales'!$B:$B,D214)+SUMIFS($K$1:$K$1324,$C$1:$C$1324,C214,$D$1:$D$1324,D214,$B$1:$B$1324,"&lt;="&amp;B214)</f>
        <v>424853.11999999988</v>
      </c>
      <c r="N214" s="61">
        <f>IF(tblMovimientos[[#This Row],[Tipo de Movimiento]]="Ingreso",tblMovimientos[[#This Row],[Monto (S/)]],"0")</f>
        <v>1452.33</v>
      </c>
      <c r="O214" s="61" t="str">
        <f>IF(tblMovimientos[[#This Row],[Tipo de Movimiento]]="Egreso",tblMovimientos[[#This Row],[Monto (S/)]],"0")</f>
        <v>0</v>
      </c>
      <c r="P214" s="28">
        <f>IF(tblMovimientos[[#This Row],[Tipo de Movimiento]]="Ingreso",tblMovimientos[[#This Row],[Ingreso]],-tblMovimientos[[#This Row],[Egreso]])</f>
        <v>1452.33</v>
      </c>
      <c r="Q214" s="78" t="str">
        <f>_xlfn.XLOOKUP(tblMovimientos[[#This Row],[Cuenta Bancaria]],Cuentas!$C:$C,Cuentas!$A:$A,"")&amp;""</f>
        <v>SSP Group</v>
      </c>
      <c r="R214" s="78" t="str">
        <f>_xlfn.XLOOKUP(tblMovimientos[[#This Row],[Cuenta Bancaria]],Cuentas!$C:$C,Cuentas!$B:$B,"",0,-1)&amp;""</f>
        <v/>
      </c>
    </row>
    <row r="215" spans="2:18" x14ac:dyDescent="0.3">
      <c r="B215" s="39">
        <v>46171</v>
      </c>
      <c r="C215" s="4" t="str">
        <f>_xlfn.XLOOKUP(tblMovimientos[[#This Row],[Cuenta Bancaria]],Listas!$B:$B,Listas!$A:$A,"")</f>
        <v>CFT Group</v>
      </c>
      <c r="D215" s="41" t="s">
        <v>94</v>
      </c>
      <c r="E215" s="4" t="str">
        <f>_xlfn.XLOOKUP(tblMovimientos[[#This Row],[Cuenta Bancaria]],Listas!$B:$B,Listas!$C:$C,"")</f>
        <v>Bank of America</v>
      </c>
      <c r="F215" s="41" t="s">
        <v>10</v>
      </c>
      <c r="G215" s="41" t="s">
        <v>40</v>
      </c>
      <c r="H215" s="4" t="str">
        <f>IFERROR(_xlfn.XLOOKUP(G215,Listas!E:E,Listas!F:F,""),"")</f>
        <v>Operativo</v>
      </c>
      <c r="I215" s="46" t="str">
        <f>IFERROR(_xlfn.XLOOKUP(G215,Listas!E:E,Listas!G:G,""),"")</f>
        <v>Externo</v>
      </c>
      <c r="J215" s="43">
        <v>2977.95</v>
      </c>
      <c r="K215" s="5">
        <f t="shared" si="3"/>
        <v>-2977.95</v>
      </c>
      <c r="L215" s="6" t="s">
        <v>93</v>
      </c>
      <c r="M215" s="44">
        <f>SUMIFS('Saldos Iniciales'!$D:$D,'Saldos Iniciales'!$A:$A,C215,'Saldos Iniciales'!$B:$B,D215)+SUMIFS($K$1:$K$1324,$C$1:$C$1324,C215,$D$1:$D$1324,D215,$B$1:$B$1324,"&lt;="&amp;B215)</f>
        <v>193489.58</v>
      </c>
      <c r="N215" s="61" t="str">
        <f>IF(tblMovimientos[[#This Row],[Tipo de Movimiento]]="Ingreso",tblMovimientos[[#This Row],[Monto (S/)]],"0")</f>
        <v>0</v>
      </c>
      <c r="O215" s="61">
        <f>IF(tblMovimientos[[#This Row],[Tipo de Movimiento]]="Egreso",tblMovimientos[[#This Row],[Monto (S/)]],"0")</f>
        <v>2977.95</v>
      </c>
      <c r="P215" s="28">
        <f>IF(tblMovimientos[[#This Row],[Tipo de Movimiento]]="Ingreso",tblMovimientos[[#This Row],[Ingreso]],-tblMovimientos[[#This Row],[Egreso]])</f>
        <v>-2977.95</v>
      </c>
      <c r="Q215" s="78" t="str">
        <f>_xlfn.XLOOKUP(tblMovimientos[[#This Row],[Cuenta Bancaria]],Cuentas!$C:$C,Cuentas!$A:$A,"")&amp;""</f>
        <v>SSP Group</v>
      </c>
      <c r="R215" s="78" t="str">
        <f>_xlfn.XLOOKUP(tblMovimientos[[#This Row],[Cuenta Bancaria]],Cuentas!$C:$C,Cuentas!$B:$B,"",0,-1)&amp;""</f>
        <v/>
      </c>
    </row>
    <row r="216" spans="2:18" x14ac:dyDescent="0.3">
      <c r="B216" s="39">
        <v>46171</v>
      </c>
      <c r="C216" s="4" t="str">
        <f>_xlfn.XLOOKUP(tblMovimientos[[#This Row],[Cuenta Bancaria]],Listas!$B:$B,Listas!$A:$A,"")</f>
        <v>CFT Group</v>
      </c>
      <c r="D216" s="41" t="s">
        <v>94</v>
      </c>
      <c r="E216" s="4" t="str">
        <f>_xlfn.XLOOKUP(tblMovimientos[[#This Row],[Cuenta Bancaria]],Listas!$B:$B,Listas!$C:$C,"")</f>
        <v>Bank of America</v>
      </c>
      <c r="F216" s="41" t="s">
        <v>10</v>
      </c>
      <c r="G216" s="41" t="s">
        <v>42</v>
      </c>
      <c r="H216" s="4" t="str">
        <f>IFERROR(_xlfn.XLOOKUP(G216,Listas!E:E,Listas!F:F,""),"")</f>
        <v>Operativo</v>
      </c>
      <c r="I216" s="46" t="str">
        <f>IFERROR(_xlfn.XLOOKUP(G216,Listas!E:E,Listas!G:G,""),"")</f>
        <v>Externo</v>
      </c>
      <c r="J216" s="43">
        <v>611.1</v>
      </c>
      <c r="K216" s="5">
        <f t="shared" si="3"/>
        <v>-611.1</v>
      </c>
      <c r="L216" s="6" t="s">
        <v>93</v>
      </c>
      <c r="M216" s="44">
        <f>SUMIFS('Saldos Iniciales'!$D:$D,'Saldos Iniciales'!$A:$A,C216,'Saldos Iniciales'!$B:$B,D216)+SUMIFS($K$1:$K$1324,$C$1:$C$1324,C216,$D$1:$D$1324,D216,$B$1:$B$1324,"&lt;="&amp;B216)</f>
        <v>193489.58</v>
      </c>
      <c r="N216" s="61" t="str">
        <f>IF(tblMovimientos[[#This Row],[Tipo de Movimiento]]="Ingreso",tblMovimientos[[#This Row],[Monto (S/)]],"0")</f>
        <v>0</v>
      </c>
      <c r="O216" s="61">
        <f>IF(tblMovimientos[[#This Row],[Tipo de Movimiento]]="Egreso",tblMovimientos[[#This Row],[Monto (S/)]],"0")</f>
        <v>611.1</v>
      </c>
      <c r="P216" s="28">
        <f>IF(tblMovimientos[[#This Row],[Tipo de Movimiento]]="Ingreso",tblMovimientos[[#This Row],[Ingreso]],-tblMovimientos[[#This Row],[Egreso]])</f>
        <v>-611.1</v>
      </c>
      <c r="Q216" s="78" t="str">
        <f>_xlfn.XLOOKUP(tblMovimientos[[#This Row],[Cuenta Bancaria]],Cuentas!$C:$C,Cuentas!$A:$A,"")&amp;""</f>
        <v>SSP Group</v>
      </c>
      <c r="R216" s="78" t="str">
        <f>_xlfn.XLOOKUP(tblMovimientos[[#This Row],[Cuenta Bancaria]],Cuentas!$C:$C,Cuentas!$B:$B,"",0,-1)&amp;""</f>
        <v/>
      </c>
    </row>
    <row r="217" spans="2:18" x14ac:dyDescent="0.3">
      <c r="B217" s="39">
        <v>46171</v>
      </c>
      <c r="C217" s="4" t="str">
        <f>_xlfn.XLOOKUP(tblMovimientos[[#This Row],[Cuenta Bancaria]],Listas!$B:$B,Listas!$A:$A,"")</f>
        <v>2515 Overbrook</v>
      </c>
      <c r="D217" s="41" t="s">
        <v>121</v>
      </c>
      <c r="E217" s="4" t="str">
        <f>_xlfn.XLOOKUP(tblMovimientos[[#This Row],[Cuenta Bancaria]],Listas!$B:$B,Listas!$C:$C,"")</f>
        <v>Bank of America</v>
      </c>
      <c r="F217" s="41" t="s">
        <v>10</v>
      </c>
      <c r="G217" s="41" t="s">
        <v>44</v>
      </c>
      <c r="H217" s="4" t="str">
        <f>IFERROR(_xlfn.XLOOKUP(G217,Listas!E:E,Listas!F:F,""),"")</f>
        <v>Operativo</v>
      </c>
      <c r="I217" s="46" t="str">
        <f>IFERROR(_xlfn.XLOOKUP(G217,Listas!E:E,Listas!G:G,""),"")</f>
        <v>Externo</v>
      </c>
      <c r="J217" s="43">
        <v>15</v>
      </c>
      <c r="K217" s="5">
        <f t="shared" si="3"/>
        <v>-15</v>
      </c>
      <c r="L217" s="6" t="s">
        <v>93</v>
      </c>
      <c r="M217" s="44">
        <f>SUMIFS('Saldos Iniciales'!$D:$D,'Saldos Iniciales'!$A:$A,C217,'Saldos Iniciales'!$B:$B,D217)+SUMIFS($K$1:$K$1324,$C$1:$C$1324,C217,$D$1:$D$1324,D217,$B$1:$B$1324,"&lt;="&amp;B217)</f>
        <v>35108.179999999964</v>
      </c>
      <c r="N217" s="61" t="str">
        <f>IF(tblMovimientos[[#This Row],[Tipo de Movimiento]]="Ingreso",tblMovimientos[[#This Row],[Monto (S/)]],"0")</f>
        <v>0</v>
      </c>
      <c r="O217" s="61">
        <f>IF(tblMovimientos[[#This Row],[Tipo de Movimiento]]="Egreso",tblMovimientos[[#This Row],[Monto (S/)]],"0")</f>
        <v>15</v>
      </c>
      <c r="P217" s="28">
        <f>IF(tblMovimientos[[#This Row],[Tipo de Movimiento]]="Ingreso",tblMovimientos[[#This Row],[Ingreso]],-tblMovimientos[[#This Row],[Egreso]])</f>
        <v>-15</v>
      </c>
      <c r="Q217" s="78" t="str">
        <f>_xlfn.XLOOKUP(tblMovimientos[[#This Row],[Cuenta Bancaria]],Cuentas!$C:$C,Cuentas!$A:$A,"")&amp;""</f>
        <v>SSP Group</v>
      </c>
      <c r="R217" s="78" t="str">
        <f>_xlfn.XLOOKUP(tblMovimientos[[#This Row],[Cuenta Bancaria]],Cuentas!$C:$C,Cuentas!$B:$B,"",0,-1)&amp;""</f>
        <v/>
      </c>
    </row>
    <row r="218" spans="2:18" x14ac:dyDescent="0.3">
      <c r="B218" s="39">
        <v>46171</v>
      </c>
      <c r="C218" s="4" t="str">
        <f>_xlfn.XLOOKUP(tblMovimientos[[#This Row],[Cuenta Bancaria]],Listas!$B:$B,Listas!$A:$A,"")</f>
        <v>SSP Capital</v>
      </c>
      <c r="D218" s="41" t="s">
        <v>106</v>
      </c>
      <c r="E218" s="4" t="str">
        <f>_xlfn.XLOOKUP(tblMovimientos[[#This Row],[Cuenta Bancaria]],Listas!$B:$B,Listas!$C:$C,"")</f>
        <v>Amerant Bank Money Market</v>
      </c>
      <c r="F218" s="41" t="s">
        <v>9</v>
      </c>
      <c r="G218" s="41" t="s">
        <v>84</v>
      </c>
      <c r="H218" s="4" t="str">
        <f>IFERROR(_xlfn.XLOOKUP(G218,Listas!E:E,Listas!F:F,""),"")</f>
        <v>Operativo</v>
      </c>
      <c r="I218" s="46" t="str">
        <f>IFERROR(_xlfn.XLOOKUP(G218,Listas!E:E,Listas!G:G,""),"")</f>
        <v>Externo</v>
      </c>
      <c r="J218" s="43">
        <v>2291.75</v>
      </c>
      <c r="K218" s="5">
        <f t="shared" si="3"/>
        <v>2291.75</v>
      </c>
      <c r="L218" s="6" t="s">
        <v>93</v>
      </c>
      <c r="M218" s="44">
        <f>SUMIFS('Saldos Iniciales'!$D:$D,'Saldos Iniciales'!$A:$A,C218,'Saldos Iniciales'!$B:$B,D218)+SUMIFS($K$1:$K$1324,$C$1:$C$1324,C218,$D$1:$D$1324,D218,$B$1:$B$1324,"&lt;="&amp;B218)</f>
        <v>749812.95</v>
      </c>
      <c r="N218" s="61">
        <f>IF(tblMovimientos[[#This Row],[Tipo de Movimiento]]="Ingreso",tblMovimientos[[#This Row],[Monto (S/)]],"0")</f>
        <v>2291.75</v>
      </c>
      <c r="O218" s="61" t="str">
        <f>IF(tblMovimientos[[#This Row],[Tipo de Movimiento]]="Egreso",tblMovimientos[[#This Row],[Monto (S/)]],"0")</f>
        <v>0</v>
      </c>
      <c r="P218" s="28">
        <f>IF(tblMovimientos[[#This Row],[Tipo de Movimiento]]="Ingreso",tblMovimientos[[#This Row],[Ingreso]],-tblMovimientos[[#This Row],[Egreso]])</f>
        <v>2291.75</v>
      </c>
      <c r="Q218" s="78" t="str">
        <f>_xlfn.XLOOKUP(tblMovimientos[[#This Row],[Cuenta Bancaria]],Cuentas!$C:$C,Cuentas!$A:$A,"")&amp;""</f>
        <v>SSP Group</v>
      </c>
      <c r="R218" s="78" t="str">
        <f>_xlfn.XLOOKUP(tblMovimientos[[#This Row],[Cuenta Bancaria]],Cuentas!$C:$C,Cuentas!$B:$B,"",0,-1)&amp;""</f>
        <v/>
      </c>
    </row>
    <row r="219" spans="2:18" x14ac:dyDescent="0.3">
      <c r="B219" s="39">
        <v>46171</v>
      </c>
      <c r="C219" s="4" t="str">
        <f>_xlfn.XLOOKUP(tblMovimientos[[#This Row],[Cuenta Bancaria]],Listas!$B:$B,Listas!$A:$A,"")</f>
        <v>SSP Capital</v>
      </c>
      <c r="D219" s="41" t="s">
        <v>104</v>
      </c>
      <c r="E219" s="4" t="str">
        <f>_xlfn.XLOOKUP(tblMovimientos[[#This Row],[Cuenta Bancaria]],Listas!$B:$B,Listas!$C:$C,"")</f>
        <v xml:space="preserve">Amerant Bank </v>
      </c>
      <c r="F219" s="41" t="s">
        <v>10</v>
      </c>
      <c r="G219" s="41" t="s">
        <v>42</v>
      </c>
      <c r="H219" s="4" t="str">
        <f>IFERROR(_xlfn.XLOOKUP(G219,Listas!E:E,Listas!F:F,""),"")</f>
        <v>Operativo</v>
      </c>
      <c r="I219" s="46" t="str">
        <f>IFERROR(_xlfn.XLOOKUP(G219,Listas!E:E,Listas!G:G,""),"")</f>
        <v>Externo</v>
      </c>
      <c r="J219" s="43">
        <v>76593.55</v>
      </c>
      <c r="K219" s="5">
        <f t="shared" si="3"/>
        <v>-76593.55</v>
      </c>
      <c r="L219" s="6" t="s">
        <v>93</v>
      </c>
      <c r="M219" s="44">
        <f>SUMIFS('Saldos Iniciales'!$D:$D,'Saldos Iniciales'!$A:$A,C219,'Saldos Iniciales'!$B:$B,D219)+SUMIFS($K$1:$K$1324,$C$1:$C$1324,C219,$D$1:$D$1324,D219,$B$1:$B$1324,"&lt;="&amp;B219)</f>
        <v>244921.30999999936</v>
      </c>
      <c r="N219" s="61" t="str">
        <f>IF(tblMovimientos[[#This Row],[Tipo de Movimiento]]="Ingreso",tblMovimientos[[#This Row],[Monto (S/)]],"0")</f>
        <v>0</v>
      </c>
      <c r="O219" s="61">
        <f>IF(tblMovimientos[[#This Row],[Tipo de Movimiento]]="Egreso",tblMovimientos[[#This Row],[Monto (S/)]],"0")</f>
        <v>76593.55</v>
      </c>
      <c r="P219" s="28">
        <f>IF(tblMovimientos[[#This Row],[Tipo de Movimiento]]="Ingreso",tblMovimientos[[#This Row],[Ingreso]],-tblMovimientos[[#This Row],[Egreso]])</f>
        <v>-76593.55</v>
      </c>
      <c r="Q219" s="78" t="str">
        <f>_xlfn.XLOOKUP(tblMovimientos[[#This Row],[Cuenta Bancaria]],Cuentas!$C:$C,Cuentas!$A:$A,"")&amp;""</f>
        <v>SSP Group</v>
      </c>
      <c r="R219" s="78" t="str">
        <f>_xlfn.XLOOKUP(tblMovimientos[[#This Row],[Cuenta Bancaria]],Cuentas!$C:$C,Cuentas!$B:$B,"",0,-1)&amp;""</f>
        <v/>
      </c>
    </row>
    <row r="220" spans="2:18" x14ac:dyDescent="0.3">
      <c r="B220" s="39">
        <v>46171</v>
      </c>
      <c r="C220" s="4" t="str">
        <f>_xlfn.XLOOKUP(tblMovimientos[[#This Row],[Cuenta Bancaria]],Listas!$B:$B,Listas!$A:$A,"")</f>
        <v>Electrama</v>
      </c>
      <c r="D220" s="41" t="s">
        <v>113</v>
      </c>
      <c r="E220" s="4" t="str">
        <f>_xlfn.XLOOKUP(tblMovimientos[[#This Row],[Cuenta Bancaria]],Listas!$B:$B,Listas!$C:$C,"")</f>
        <v>Chase Bank</v>
      </c>
      <c r="F220" s="41" t="s">
        <v>10</v>
      </c>
      <c r="G220" s="40" t="s">
        <v>38</v>
      </c>
      <c r="H220" s="4" t="str">
        <f>IFERROR(_xlfn.XLOOKUP(G220,Listas!E:E,Listas!F:F,""),"")</f>
        <v>Operativo</v>
      </c>
      <c r="I220" s="46" t="str">
        <f>IFERROR(_xlfn.XLOOKUP(G220,Listas!E:E,Listas!G:G,""),"")</f>
        <v>Externo</v>
      </c>
      <c r="J220" s="43">
        <v>1270.43</v>
      </c>
      <c r="K220" s="5">
        <f t="shared" si="3"/>
        <v>-1270.43</v>
      </c>
      <c r="L220" s="6" t="s">
        <v>93</v>
      </c>
      <c r="M220" s="44">
        <f>SUMIFS('Saldos Iniciales'!$D:$D,'Saldos Iniciales'!$A:$A,C220,'Saldos Iniciales'!$B:$B,D220)+SUMIFS($K$1:$K$1324,$C$1:$C$1324,C220,$D$1:$D$1324,D220,$B$1:$B$1324,"&lt;="&amp;B220)</f>
        <v>511.15999999999985</v>
      </c>
      <c r="N220" s="61" t="str">
        <f>IF(tblMovimientos[[#This Row],[Tipo de Movimiento]]="Ingreso",tblMovimientos[[#This Row],[Monto (S/)]],"0")</f>
        <v>0</v>
      </c>
      <c r="O220" s="61">
        <f>IF(tblMovimientos[[#This Row],[Tipo de Movimiento]]="Egreso",tblMovimientos[[#This Row],[Monto (S/)]],"0")</f>
        <v>1270.43</v>
      </c>
      <c r="P220" s="28">
        <f>IF(tblMovimientos[[#This Row],[Tipo de Movimiento]]="Ingreso",tblMovimientos[[#This Row],[Ingreso]],-tblMovimientos[[#This Row],[Egreso]])</f>
        <v>-1270.43</v>
      </c>
      <c r="Q220" s="78" t="str">
        <f>_xlfn.XLOOKUP(tblMovimientos[[#This Row],[Cuenta Bancaria]],Cuentas!$C:$C,Cuentas!$A:$A,"")&amp;""</f>
        <v>SSP Group</v>
      </c>
      <c r="R220" s="78" t="str">
        <f>_xlfn.XLOOKUP(tblMovimientos[[#This Row],[Cuenta Bancaria]],Cuentas!$C:$C,Cuentas!$B:$B,"",0,-1)&amp;""</f>
        <v/>
      </c>
    </row>
    <row r="221" spans="2:18" x14ac:dyDescent="0.3">
      <c r="B221" s="39">
        <v>46174</v>
      </c>
      <c r="C221" s="4" t="str">
        <f>_xlfn.XLOOKUP(tblMovimientos[[#This Row],[Cuenta Bancaria]],Listas!$B:$B,Listas!$A:$A,"")</f>
        <v>A&amp;M Imports</v>
      </c>
      <c r="D221" s="41" t="s">
        <v>100</v>
      </c>
      <c r="E221" s="4" t="str">
        <f>_xlfn.XLOOKUP(tblMovimientos[[#This Row],[Cuenta Bancaria]],Listas!$B:$B,Listas!$C:$C,"")</f>
        <v>Bank of America</v>
      </c>
      <c r="F221" s="41" t="s">
        <v>9</v>
      </c>
      <c r="G221" s="41" t="s">
        <v>80</v>
      </c>
      <c r="H221" s="4" t="str">
        <f>IFERROR(_xlfn.XLOOKUP(G221,Listas!E:E,Listas!F:F,""),"")</f>
        <v>Operativo</v>
      </c>
      <c r="I221" s="46" t="str">
        <f>IFERROR(_xlfn.XLOOKUP(G221,Listas!E:E,Listas!G:G,""),"")</f>
        <v>Externo</v>
      </c>
      <c r="J221" s="43">
        <v>380000</v>
      </c>
      <c r="K221" s="5">
        <f t="shared" si="3"/>
        <v>380000</v>
      </c>
      <c r="L221" s="15" t="s">
        <v>128</v>
      </c>
      <c r="M221" s="44">
        <f>SUMIFS('Saldos Iniciales'!$D:$D,'Saldos Iniciales'!$A:$A,C221,'Saldos Iniciales'!$B:$B,D221)+SUMIFS($K$1:$K$1324,$C$1:$C$1324,C221,$D$1:$D$1324,D221,$B$1:$B$1324,"&lt;="&amp;B221)</f>
        <v>804853.11999999988</v>
      </c>
      <c r="N221" s="61">
        <f>IF(tblMovimientos[[#This Row],[Tipo de Movimiento]]="Ingreso",tblMovimientos[[#This Row],[Monto (S/)]],"0")</f>
        <v>380000</v>
      </c>
      <c r="O221" s="61" t="str">
        <f>IF(tblMovimientos[[#This Row],[Tipo de Movimiento]]="Egreso",tblMovimientos[[#This Row],[Monto (S/)]],"0")</f>
        <v>0</v>
      </c>
      <c r="P221" s="28">
        <f>IF(tblMovimientos[[#This Row],[Tipo de Movimiento]]="Ingreso",tblMovimientos[[#This Row],[Ingreso]],-tblMovimientos[[#This Row],[Egreso]])</f>
        <v>380000</v>
      </c>
      <c r="Q221" s="78" t="str">
        <f>_xlfn.XLOOKUP(tblMovimientos[[#This Row],[Cuenta Bancaria]],Cuentas!$C:$C,Cuentas!$A:$A,"")&amp;""</f>
        <v>SSP Group</v>
      </c>
      <c r="R221" s="78" t="str">
        <f>_xlfn.XLOOKUP(tblMovimientos[[#This Row],[Cuenta Bancaria]],Cuentas!$C:$C,Cuentas!$B:$B,"",0,-1)&amp;""</f>
        <v/>
      </c>
    </row>
    <row r="222" spans="2:18" x14ac:dyDescent="0.3">
      <c r="B222" s="39">
        <v>46174</v>
      </c>
      <c r="C222" s="4" t="str">
        <f>_xlfn.XLOOKUP(tblMovimientos[[#This Row],[Cuenta Bancaria]],Listas!$B:$B,Listas!$A:$A,"")</f>
        <v>Sacred Valley Capital</v>
      </c>
      <c r="D222" s="41" t="s">
        <v>114</v>
      </c>
      <c r="E222" s="4" t="str">
        <f>_xlfn.XLOOKUP(tblMovimientos[[#This Row],[Cuenta Bancaria]],Listas!$B:$B,Listas!$C:$C,"")</f>
        <v>Bank of America</v>
      </c>
      <c r="F222" s="41" t="s">
        <v>10</v>
      </c>
      <c r="G222" s="41" t="s">
        <v>44</v>
      </c>
      <c r="H222" s="4" t="str">
        <f>IFERROR(_xlfn.XLOOKUP(G222,Listas!E:E,Listas!F:F,""),"")</f>
        <v>Operativo</v>
      </c>
      <c r="I222" s="46" t="str">
        <f>IFERROR(_xlfn.XLOOKUP(G222,Listas!E:E,Listas!G:G,""),"")</f>
        <v>Externo</v>
      </c>
      <c r="J222" s="43">
        <v>29.95</v>
      </c>
      <c r="K222" s="5">
        <f t="shared" si="3"/>
        <v>-29.95</v>
      </c>
      <c r="L222" s="15" t="s">
        <v>128</v>
      </c>
      <c r="M222" s="44">
        <f>SUMIFS('Saldos Iniciales'!$D:$D,'Saldos Iniciales'!$A:$A,C222,'Saldos Iniciales'!$B:$B,D222)+SUMIFS($K$1:$K$1324,$C$1:$C$1324,C222,$D$1:$D$1324,D222,$B$1:$B$1324,"&lt;="&amp;B222)</f>
        <v>84.35</v>
      </c>
      <c r="N222" s="61" t="str">
        <f>IF(tblMovimientos[[#This Row],[Tipo de Movimiento]]="Ingreso",tblMovimientos[[#This Row],[Monto (S/)]],"0")</f>
        <v>0</v>
      </c>
      <c r="O222" s="61">
        <f>IF(tblMovimientos[[#This Row],[Tipo de Movimiento]]="Egreso",tblMovimientos[[#This Row],[Monto (S/)]],"0")</f>
        <v>29.95</v>
      </c>
      <c r="P222" s="28">
        <f>IF(tblMovimientos[[#This Row],[Tipo de Movimiento]]="Ingreso",tblMovimientos[[#This Row],[Ingreso]],-tblMovimientos[[#This Row],[Egreso]])</f>
        <v>-29.95</v>
      </c>
      <c r="Q222" s="78" t="str">
        <f>_xlfn.XLOOKUP(tblMovimientos[[#This Row],[Cuenta Bancaria]],Cuentas!$C:$C,Cuentas!$A:$A,"")&amp;""</f>
        <v>SSP Group</v>
      </c>
      <c r="R222" s="78" t="str">
        <f>_xlfn.XLOOKUP(tblMovimientos[[#This Row],[Cuenta Bancaria]],Cuentas!$C:$C,Cuentas!$B:$B,"",0,-1)&amp;""</f>
        <v/>
      </c>
    </row>
    <row r="223" spans="2:18" x14ac:dyDescent="0.3">
      <c r="B223" s="39">
        <v>46174</v>
      </c>
      <c r="C223" s="4" t="str">
        <f>_xlfn.XLOOKUP(tblMovimientos[[#This Row],[Cuenta Bancaria]],Listas!$B:$B,Listas!$A:$A,"")</f>
        <v>YWC Capital</v>
      </c>
      <c r="D223" s="41" t="s">
        <v>115</v>
      </c>
      <c r="E223" s="4" t="str">
        <f>_xlfn.XLOOKUP(tblMovimientos[[#This Row],[Cuenta Bancaria]],Listas!$B:$B,Listas!$C:$C,"")</f>
        <v>Bank of America</v>
      </c>
      <c r="F223" s="41" t="s">
        <v>10</v>
      </c>
      <c r="G223" s="41" t="s">
        <v>44</v>
      </c>
      <c r="H223" s="4" t="str">
        <f>IFERROR(_xlfn.XLOOKUP(G223,Listas!E:E,Listas!F:F,""),"")</f>
        <v>Operativo</v>
      </c>
      <c r="I223" s="46" t="str">
        <f>IFERROR(_xlfn.XLOOKUP(G223,Listas!E:E,Listas!G:G,""),"")</f>
        <v>Externo</v>
      </c>
      <c r="J223" s="43">
        <v>29.95</v>
      </c>
      <c r="K223" s="5">
        <f t="shared" si="3"/>
        <v>-29.95</v>
      </c>
      <c r="L223" s="15" t="s">
        <v>128</v>
      </c>
      <c r="M223" s="44">
        <f>SUMIFS('Saldos Iniciales'!$D:$D,'Saldos Iniciales'!$A:$A,C223,'Saldos Iniciales'!$B:$B,D223)+SUMIFS($K$1:$K$1324,$C$1:$C$1324,C223,$D$1:$D$1324,D223,$B$1:$B$1324,"&lt;="&amp;B223)</f>
        <v>2237.77</v>
      </c>
      <c r="N223" s="61" t="str">
        <f>IF(tblMovimientos[[#This Row],[Tipo de Movimiento]]="Ingreso",tblMovimientos[[#This Row],[Monto (S/)]],"0")</f>
        <v>0</v>
      </c>
      <c r="O223" s="61">
        <f>IF(tblMovimientos[[#This Row],[Tipo de Movimiento]]="Egreso",tblMovimientos[[#This Row],[Monto (S/)]],"0")</f>
        <v>29.95</v>
      </c>
      <c r="P223" s="28">
        <f>IF(tblMovimientos[[#This Row],[Tipo de Movimiento]]="Ingreso",tblMovimientos[[#This Row],[Ingreso]],-tblMovimientos[[#This Row],[Egreso]])</f>
        <v>-29.95</v>
      </c>
      <c r="Q223" s="78" t="str">
        <f>_xlfn.XLOOKUP(tblMovimientos[[#This Row],[Cuenta Bancaria]],Cuentas!$C:$C,Cuentas!$A:$A,"")&amp;""</f>
        <v>SSP Group</v>
      </c>
      <c r="R223" s="78" t="str">
        <f>_xlfn.XLOOKUP(tblMovimientos[[#This Row],[Cuenta Bancaria]],Cuentas!$C:$C,Cuentas!$B:$B,"",0,-1)&amp;""</f>
        <v/>
      </c>
    </row>
    <row r="224" spans="2:18" x14ac:dyDescent="0.3">
      <c r="B224" s="39">
        <v>46174</v>
      </c>
      <c r="C224" s="4" t="str">
        <f>_xlfn.XLOOKUP(tblMovimientos[[#This Row],[Cuenta Bancaria]],Listas!$B:$B,Listas!$A:$A,"")</f>
        <v>Arbor Capital Properties</v>
      </c>
      <c r="D224" s="41" t="s">
        <v>120</v>
      </c>
      <c r="E224" s="4" t="str">
        <f>_xlfn.XLOOKUP(tblMovimientos[[#This Row],[Cuenta Bancaria]],Listas!$B:$B,Listas!$C:$C,"")</f>
        <v>Bank of America</v>
      </c>
      <c r="F224" s="41" t="s">
        <v>10</v>
      </c>
      <c r="G224" s="41" t="s">
        <v>44</v>
      </c>
      <c r="H224" s="4" t="str">
        <f>IFERROR(_xlfn.XLOOKUP(G224,Listas!E:E,Listas!F:F,""),"")</f>
        <v>Operativo</v>
      </c>
      <c r="I224" s="46" t="str">
        <f>IFERROR(_xlfn.XLOOKUP(G224,Listas!E:E,Listas!G:G,""),"")</f>
        <v>Externo</v>
      </c>
      <c r="J224" s="43">
        <v>16</v>
      </c>
      <c r="K224" s="5">
        <f t="shared" si="3"/>
        <v>-16</v>
      </c>
      <c r="L224" s="15" t="s">
        <v>128</v>
      </c>
      <c r="M224" s="44">
        <f>SUMIFS('Saldos Iniciales'!$D:$D,'Saldos Iniciales'!$A:$A,C224,'Saldos Iniciales'!$B:$B,D224)+SUMIFS($K$1:$K$1324,$C$1:$C$1324,C224,$D$1:$D$1324,D224,$B$1:$B$1324,"&lt;="&amp;B224)</f>
        <v>1428.08</v>
      </c>
      <c r="N224" s="61" t="str">
        <f>IF(tblMovimientos[[#This Row],[Tipo de Movimiento]]="Ingreso",tblMovimientos[[#This Row],[Monto (S/)]],"0")</f>
        <v>0</v>
      </c>
      <c r="O224" s="61">
        <f>IF(tblMovimientos[[#This Row],[Tipo de Movimiento]]="Egreso",tblMovimientos[[#This Row],[Monto (S/)]],"0")</f>
        <v>16</v>
      </c>
      <c r="P224" s="28">
        <f>IF(tblMovimientos[[#This Row],[Tipo de Movimiento]]="Ingreso",tblMovimientos[[#This Row],[Ingreso]],-tblMovimientos[[#This Row],[Egreso]])</f>
        <v>-16</v>
      </c>
      <c r="Q224" s="78" t="str">
        <f>_xlfn.XLOOKUP(tblMovimientos[[#This Row],[Cuenta Bancaria]],Cuentas!$C:$C,Cuentas!$A:$A,"")&amp;""</f>
        <v>SSP Group</v>
      </c>
      <c r="R224" s="78" t="str">
        <f>_xlfn.XLOOKUP(tblMovimientos[[#This Row],[Cuenta Bancaria]],Cuentas!$C:$C,Cuentas!$B:$B,"",0,-1)&amp;""</f>
        <v/>
      </c>
    </row>
    <row r="225" spans="2:18" x14ac:dyDescent="0.3">
      <c r="B225" s="39">
        <v>46174</v>
      </c>
      <c r="C225" s="4" t="str">
        <f>_xlfn.XLOOKUP(tblMovimientos[[#This Row],[Cuenta Bancaria]],Listas!$B:$B,Listas!$A:$A,"")</f>
        <v>2515 Overbrook</v>
      </c>
      <c r="D225" s="41" t="s">
        <v>121</v>
      </c>
      <c r="E225" s="4" t="str">
        <f>_xlfn.XLOOKUP(tblMovimientos[[#This Row],[Cuenta Bancaria]],Listas!$B:$B,Listas!$C:$C,"")</f>
        <v>Bank of America</v>
      </c>
      <c r="F225" s="41" t="s">
        <v>10</v>
      </c>
      <c r="G225" s="41" t="s">
        <v>38</v>
      </c>
      <c r="H225" s="4" t="str">
        <f>IFERROR(_xlfn.XLOOKUP(G225,Listas!E:E,Listas!F:F,""),"")</f>
        <v>Operativo</v>
      </c>
      <c r="I225" s="46" t="str">
        <f>IFERROR(_xlfn.XLOOKUP(G225,Listas!E:E,Listas!G:G,""),"")</f>
        <v>Externo</v>
      </c>
      <c r="J225" s="43">
        <v>489</v>
      </c>
      <c r="K225" s="5">
        <f t="shared" si="3"/>
        <v>-489</v>
      </c>
      <c r="L225" s="15" t="s">
        <v>128</v>
      </c>
      <c r="M225" s="44">
        <f>SUMIFS('Saldos Iniciales'!$D:$D,'Saldos Iniciales'!$A:$A,C225,'Saldos Iniciales'!$B:$B,D225)+SUMIFS($K$1:$K$1324,$C$1:$C$1324,C225,$D$1:$D$1324,D225,$B$1:$B$1324,"&lt;="&amp;B225)</f>
        <v>26085.849999999962</v>
      </c>
      <c r="N225" s="61" t="str">
        <f>IF(tblMovimientos[[#This Row],[Tipo de Movimiento]]="Ingreso",tblMovimientos[[#This Row],[Monto (S/)]],"0")</f>
        <v>0</v>
      </c>
      <c r="O225" s="61">
        <f>IF(tblMovimientos[[#This Row],[Tipo de Movimiento]]="Egreso",tblMovimientos[[#This Row],[Monto (S/)]],"0")</f>
        <v>489</v>
      </c>
      <c r="P225" s="28">
        <f>IF(tblMovimientos[[#This Row],[Tipo de Movimiento]]="Ingreso",tblMovimientos[[#This Row],[Ingreso]],-tblMovimientos[[#This Row],[Egreso]])</f>
        <v>-489</v>
      </c>
      <c r="Q225" s="78" t="str">
        <f>_xlfn.XLOOKUP(tblMovimientos[[#This Row],[Cuenta Bancaria]],Cuentas!$C:$C,Cuentas!$A:$A,"")&amp;""</f>
        <v>SSP Group</v>
      </c>
      <c r="R225" s="78" t="str">
        <f>_xlfn.XLOOKUP(tblMovimientos[[#This Row],[Cuenta Bancaria]],Cuentas!$C:$C,Cuentas!$B:$B,"",0,-1)&amp;""</f>
        <v/>
      </c>
    </row>
    <row r="226" spans="2:18" x14ac:dyDescent="0.3">
      <c r="B226" s="39">
        <v>46174</v>
      </c>
      <c r="C226" s="4" t="str">
        <f>_xlfn.XLOOKUP(tblMovimientos[[#This Row],[Cuenta Bancaria]],Listas!$B:$B,Listas!$A:$A,"")</f>
        <v>2515 Overbrook</v>
      </c>
      <c r="D226" s="41" t="s">
        <v>121</v>
      </c>
      <c r="E226" s="4" t="str">
        <f>_xlfn.XLOOKUP(tblMovimientos[[#This Row],[Cuenta Bancaria]],Listas!$B:$B,Listas!$C:$C,"")</f>
        <v>Bank of America</v>
      </c>
      <c r="F226" s="41" t="s">
        <v>10</v>
      </c>
      <c r="G226" s="41" t="s">
        <v>65</v>
      </c>
      <c r="H226" s="4" t="str">
        <f>IFERROR(_xlfn.XLOOKUP(G226,Listas!E:E,Listas!F:F,""),"")</f>
        <v>Operativo</v>
      </c>
      <c r="I226" s="46" t="str">
        <f>IFERROR(_xlfn.XLOOKUP(G226,Listas!E:E,Listas!G:G,""),"")</f>
        <v>Externo</v>
      </c>
      <c r="J226" s="43">
        <v>8533.33</v>
      </c>
      <c r="K226" s="5">
        <f t="shared" si="3"/>
        <v>-8533.33</v>
      </c>
      <c r="L226" s="15" t="s">
        <v>128</v>
      </c>
      <c r="M226" s="44">
        <f>SUMIFS('Saldos Iniciales'!$D:$D,'Saldos Iniciales'!$A:$A,C226,'Saldos Iniciales'!$B:$B,D226)+SUMIFS($K$1:$K$1324,$C$1:$C$1324,C226,$D$1:$D$1324,D226,$B$1:$B$1324,"&lt;="&amp;B226)</f>
        <v>26085.849999999962</v>
      </c>
      <c r="N226" s="61" t="str">
        <f>IF(tblMovimientos[[#This Row],[Tipo de Movimiento]]="Ingreso",tblMovimientos[[#This Row],[Monto (S/)]],"0")</f>
        <v>0</v>
      </c>
      <c r="O226" s="61">
        <f>IF(tblMovimientos[[#This Row],[Tipo de Movimiento]]="Egreso",tblMovimientos[[#This Row],[Monto (S/)]],"0")</f>
        <v>8533.33</v>
      </c>
      <c r="P226" s="28">
        <f>IF(tblMovimientos[[#This Row],[Tipo de Movimiento]]="Ingreso",tblMovimientos[[#This Row],[Ingreso]],-tblMovimientos[[#This Row],[Egreso]])</f>
        <v>-8533.33</v>
      </c>
      <c r="Q226" s="78" t="str">
        <f>_xlfn.XLOOKUP(tblMovimientos[[#This Row],[Cuenta Bancaria]],Cuentas!$C:$C,Cuentas!$A:$A,"")&amp;""</f>
        <v>SSP Group</v>
      </c>
      <c r="R226" s="78" t="str">
        <f>_xlfn.XLOOKUP(tblMovimientos[[#This Row],[Cuenta Bancaria]],Cuentas!$C:$C,Cuentas!$B:$B,"",0,-1)&amp;""</f>
        <v/>
      </c>
    </row>
    <row r="227" spans="2:18" x14ac:dyDescent="0.3">
      <c r="B227" s="39">
        <v>46174</v>
      </c>
      <c r="C227" s="4" t="str">
        <f>_xlfn.XLOOKUP(tblMovimientos[[#This Row],[Cuenta Bancaria]],Listas!$B:$B,Listas!$A:$A,"")</f>
        <v>2515 Overbrook</v>
      </c>
      <c r="D227" s="41" t="s">
        <v>122</v>
      </c>
      <c r="E227" s="4" t="str">
        <f>_xlfn.XLOOKUP(tblMovimientos[[#This Row],[Cuenta Bancaria]],Listas!$B:$B,Listas!$C:$C,"")</f>
        <v>Bank of America</v>
      </c>
      <c r="F227" s="41" t="s">
        <v>10</v>
      </c>
      <c r="G227" s="41" t="s">
        <v>44</v>
      </c>
      <c r="H227" s="4" t="str">
        <f>IFERROR(_xlfn.XLOOKUP(G227,Listas!E:E,Listas!F:F,""),"")</f>
        <v>Operativo</v>
      </c>
      <c r="I227" s="46" t="str">
        <f>IFERROR(_xlfn.XLOOKUP(G227,Listas!E:E,Listas!G:G,""),"")</f>
        <v>Externo</v>
      </c>
      <c r="J227" s="43">
        <v>10</v>
      </c>
      <c r="K227" s="5">
        <f t="shared" si="3"/>
        <v>-10</v>
      </c>
      <c r="L227" s="15" t="s">
        <v>128</v>
      </c>
      <c r="M227" s="44">
        <f>SUMIFS('Saldos Iniciales'!$D:$D,'Saldos Iniciales'!$A:$A,C227,'Saldos Iniciales'!$B:$B,D227)+SUMIFS($K$1:$K$1324,$C$1:$C$1324,C227,$D$1:$D$1324,D227,$B$1:$B$1324,"&lt;="&amp;B227)</f>
        <v>330.42</v>
      </c>
      <c r="N227" s="61" t="str">
        <f>IF(tblMovimientos[[#This Row],[Tipo de Movimiento]]="Ingreso",tblMovimientos[[#This Row],[Monto (S/)]],"0")</f>
        <v>0</v>
      </c>
      <c r="O227" s="61">
        <f>IF(tblMovimientos[[#This Row],[Tipo de Movimiento]]="Egreso",tblMovimientos[[#This Row],[Monto (S/)]],"0")</f>
        <v>10</v>
      </c>
      <c r="P227" s="28">
        <f>IF(tblMovimientos[[#This Row],[Tipo de Movimiento]]="Ingreso",tblMovimientos[[#This Row],[Ingreso]],-tblMovimientos[[#This Row],[Egreso]])</f>
        <v>-10</v>
      </c>
      <c r="Q227" s="78" t="str">
        <f>_xlfn.XLOOKUP(tblMovimientos[[#This Row],[Cuenta Bancaria]],Cuentas!$C:$C,Cuentas!$A:$A,"")&amp;""</f>
        <v>SSP Group</v>
      </c>
      <c r="R227" s="78" t="str">
        <f>_xlfn.XLOOKUP(tblMovimientos[[#This Row],[Cuenta Bancaria]],Cuentas!$C:$C,Cuentas!$B:$B,"",0,-1)&amp;""</f>
        <v/>
      </c>
    </row>
    <row r="228" spans="2:18" x14ac:dyDescent="0.3">
      <c r="B228" s="39">
        <v>46174</v>
      </c>
      <c r="C228" s="4" t="str">
        <f>_xlfn.XLOOKUP(tblMovimientos[[#This Row],[Cuenta Bancaria]],Listas!$B:$B,Listas!$A:$A,"")</f>
        <v>112 Florida Ave</v>
      </c>
      <c r="D228" s="41" t="s">
        <v>123</v>
      </c>
      <c r="E228" s="4" t="str">
        <f>_xlfn.XLOOKUP(tblMovimientos[[#This Row],[Cuenta Bancaria]],Listas!$B:$B,Listas!$C:$C,"")</f>
        <v>Bank of America</v>
      </c>
      <c r="F228" s="41" t="s">
        <v>10</v>
      </c>
      <c r="G228" s="41" t="s">
        <v>48</v>
      </c>
      <c r="H228" s="4" t="str">
        <f>IFERROR(_xlfn.XLOOKUP(G228,Listas!E:E,Listas!F:F,""),"")</f>
        <v>Financiamiento</v>
      </c>
      <c r="I228" s="46" t="str">
        <f>IFERROR(_xlfn.XLOOKUP(G228,Listas!E:E,Listas!G:G,""),"")</f>
        <v>Externo</v>
      </c>
      <c r="J228" s="43">
        <v>9798.6299999999992</v>
      </c>
      <c r="K228" s="5">
        <f t="shared" si="3"/>
        <v>-9798.6299999999992</v>
      </c>
      <c r="L228" s="15" t="s">
        <v>128</v>
      </c>
      <c r="M228" s="44">
        <f>SUMIFS('Saldos Iniciales'!$D:$D,'Saldos Iniciales'!$A:$A,C228,'Saldos Iniciales'!$B:$B,D228)+SUMIFS($K$1:$K$1324,$C$1:$C$1324,C228,$D$1:$D$1324,D228,$B$1:$B$1324,"&lt;="&amp;B228)</f>
        <v>5321.4300000000021</v>
      </c>
      <c r="N228" s="61" t="str">
        <f>IF(tblMovimientos[[#This Row],[Tipo de Movimiento]]="Ingreso",tblMovimientos[[#This Row],[Monto (S/)]],"0")</f>
        <v>0</v>
      </c>
      <c r="O228" s="61">
        <f>IF(tblMovimientos[[#This Row],[Tipo de Movimiento]]="Egreso",tblMovimientos[[#This Row],[Monto (S/)]],"0")</f>
        <v>9798.6299999999992</v>
      </c>
      <c r="P228" s="28">
        <f>IF(tblMovimientos[[#This Row],[Tipo de Movimiento]]="Ingreso",tblMovimientos[[#This Row],[Ingreso]],-tblMovimientos[[#This Row],[Egreso]])</f>
        <v>-9798.6299999999992</v>
      </c>
      <c r="Q228" s="78" t="str">
        <f>_xlfn.XLOOKUP(tblMovimientos[[#This Row],[Cuenta Bancaria]],Cuentas!$C:$C,Cuentas!$A:$A,"")&amp;""</f>
        <v>SSP Group</v>
      </c>
      <c r="R228" s="78" t="str">
        <f>_xlfn.XLOOKUP(tblMovimientos[[#This Row],[Cuenta Bancaria]],Cuentas!$C:$C,Cuentas!$B:$B,"",0,-1)&amp;""</f>
        <v/>
      </c>
    </row>
    <row r="229" spans="2:18" x14ac:dyDescent="0.3">
      <c r="B229" s="39">
        <v>46174</v>
      </c>
      <c r="C229" s="4" t="str">
        <f>_xlfn.XLOOKUP(tblMovimientos[[#This Row],[Cuenta Bancaria]],Listas!$B:$B,Listas!$A:$A,"")</f>
        <v>3628 Thomas Ave</v>
      </c>
      <c r="D229" s="41" t="s">
        <v>124</v>
      </c>
      <c r="E229" s="4" t="str">
        <f>_xlfn.XLOOKUP(tblMovimientos[[#This Row],[Cuenta Bancaria]],Listas!$B:$B,Listas!$C:$C,"")</f>
        <v>Bank of America</v>
      </c>
      <c r="F229" s="41" t="s">
        <v>10</v>
      </c>
      <c r="G229" s="41" t="s">
        <v>48</v>
      </c>
      <c r="H229" s="4" t="str">
        <f>IFERROR(_xlfn.XLOOKUP(G229,Listas!E:E,Listas!F:F,""),"")</f>
        <v>Financiamiento</v>
      </c>
      <c r="I229" s="46" t="str">
        <f>IFERROR(_xlfn.XLOOKUP(G229,Listas!E:E,Listas!G:G,""),"")</f>
        <v>Externo</v>
      </c>
      <c r="J229" s="43">
        <v>8773.0400000000009</v>
      </c>
      <c r="K229" s="5">
        <f t="shared" si="3"/>
        <v>-8773.0400000000009</v>
      </c>
      <c r="L229" s="15" t="s">
        <v>128</v>
      </c>
      <c r="M229" s="44">
        <f>SUMIFS('Saldos Iniciales'!$D:$D,'Saldos Iniciales'!$A:$A,C229,'Saldos Iniciales'!$B:$B,D229)+SUMIFS($K$1:$K$1324,$C$1:$C$1324,C229,$D$1:$D$1324,D229,$B$1:$B$1324,"&lt;="&amp;B229)</f>
        <v>24833.23</v>
      </c>
      <c r="N229" s="61" t="str">
        <f>IF(tblMovimientos[[#This Row],[Tipo de Movimiento]]="Ingreso",tblMovimientos[[#This Row],[Monto (S/)]],"0")</f>
        <v>0</v>
      </c>
      <c r="O229" s="61">
        <f>IF(tblMovimientos[[#This Row],[Tipo de Movimiento]]="Egreso",tblMovimientos[[#This Row],[Monto (S/)]],"0")</f>
        <v>8773.0400000000009</v>
      </c>
      <c r="P229" s="28">
        <f>IF(tblMovimientos[[#This Row],[Tipo de Movimiento]]="Ingreso",tblMovimientos[[#This Row],[Ingreso]],-tblMovimientos[[#This Row],[Egreso]])</f>
        <v>-8773.0400000000009</v>
      </c>
      <c r="Q229" s="78" t="str">
        <f>_xlfn.XLOOKUP(tblMovimientos[[#This Row],[Cuenta Bancaria]],Cuentas!$C:$C,Cuentas!$A:$A,"")&amp;""</f>
        <v>SSP Group</v>
      </c>
      <c r="R229" s="78" t="str">
        <f>_xlfn.XLOOKUP(tblMovimientos[[#This Row],[Cuenta Bancaria]],Cuentas!$C:$C,Cuentas!$B:$B,"",0,-1)&amp;""</f>
        <v/>
      </c>
    </row>
    <row r="230" spans="2:18" x14ac:dyDescent="0.3">
      <c r="B230" s="39">
        <v>46174</v>
      </c>
      <c r="C230" s="4" t="str">
        <f>_xlfn.XLOOKUP(tblMovimientos[[#This Row],[Cuenta Bancaria]],Listas!$B:$B,Listas!$A:$A,"")</f>
        <v>M1B</v>
      </c>
      <c r="D230" s="41" t="s">
        <v>97</v>
      </c>
      <c r="E230" s="4" t="str">
        <f>_xlfn.XLOOKUP(tblMovimientos[[#This Row],[Cuenta Bancaria]],Listas!$B:$B,Listas!$C:$C,"")</f>
        <v xml:space="preserve">Amerant Bank </v>
      </c>
      <c r="F230" s="41" t="s">
        <v>9</v>
      </c>
      <c r="G230" s="41" t="s">
        <v>68</v>
      </c>
      <c r="H230" s="4" t="str">
        <f>IFERROR(_xlfn.XLOOKUP(G230,Listas!E:E,Listas!F:F,""),"")</f>
        <v>Operativo</v>
      </c>
      <c r="I230" s="46" t="str">
        <f>IFERROR(_xlfn.XLOOKUP(G230,Listas!E:E,Listas!G:G,""),"")</f>
        <v>Externo</v>
      </c>
      <c r="J230" s="43">
        <v>6979.11</v>
      </c>
      <c r="K230" s="5">
        <f t="shared" si="3"/>
        <v>6979.11</v>
      </c>
      <c r="L230" s="15" t="s">
        <v>128</v>
      </c>
      <c r="M230" s="44">
        <f>SUMIFS('Saldos Iniciales'!$D:$D,'Saldos Iniciales'!$A:$A,C230,'Saldos Iniciales'!$B:$B,D230)+SUMIFS($K$1:$K$1324,$C$1:$C$1324,C230,$D$1:$D$1324,D230,$B$1:$B$1324,"&lt;="&amp;B230)</f>
        <v>64376.390000000174</v>
      </c>
      <c r="N230" s="61">
        <f>IF(tblMovimientos[[#This Row],[Tipo de Movimiento]]="Ingreso",tblMovimientos[[#This Row],[Monto (S/)]],"0")</f>
        <v>6979.11</v>
      </c>
      <c r="O230" s="61" t="str">
        <f>IF(tblMovimientos[[#This Row],[Tipo de Movimiento]]="Egreso",tblMovimientos[[#This Row],[Monto (S/)]],"0")</f>
        <v>0</v>
      </c>
      <c r="P230" s="28">
        <f>IF(tblMovimientos[[#This Row],[Tipo de Movimiento]]="Ingreso",tblMovimientos[[#This Row],[Ingreso]],-tblMovimientos[[#This Row],[Egreso]])</f>
        <v>6979.11</v>
      </c>
      <c r="Q230" s="78" t="str">
        <f>_xlfn.XLOOKUP(tblMovimientos[[#This Row],[Cuenta Bancaria]],Cuentas!$C:$C,Cuentas!$A:$A,"")&amp;""</f>
        <v>SSP Group</v>
      </c>
      <c r="R230" s="78" t="str">
        <f>_xlfn.XLOOKUP(tblMovimientos[[#This Row],[Cuenta Bancaria]],Cuentas!$C:$C,Cuentas!$B:$B,"",0,-1)&amp;""</f>
        <v/>
      </c>
    </row>
    <row r="231" spans="2:18" x14ac:dyDescent="0.3">
      <c r="B231" s="39">
        <v>46174</v>
      </c>
      <c r="C231" s="4" t="str">
        <f>_xlfn.XLOOKUP(tblMovimientos[[#This Row],[Cuenta Bancaria]],Listas!$B:$B,Listas!$A:$A,"")</f>
        <v>Go Blue</v>
      </c>
      <c r="D231" s="41" t="s">
        <v>126</v>
      </c>
      <c r="E231" s="4" t="str">
        <f>_xlfn.XLOOKUP(tblMovimientos[[#This Row],[Cuenta Bancaria]],Listas!$B:$B,Listas!$C:$C,"")</f>
        <v xml:space="preserve">Amerant Bank </v>
      </c>
      <c r="F231" s="41" t="s">
        <v>10</v>
      </c>
      <c r="G231" s="41" t="s">
        <v>38</v>
      </c>
      <c r="H231" s="4" t="str">
        <f>IFERROR(_xlfn.XLOOKUP(G231,Listas!E:E,Listas!F:F,""),"")</f>
        <v>Operativo</v>
      </c>
      <c r="I231" s="46" t="str">
        <f>IFERROR(_xlfn.XLOOKUP(G231,Listas!E:E,Listas!G:G,""),"")</f>
        <v>Externo</v>
      </c>
      <c r="J231" s="43">
        <v>165</v>
      </c>
      <c r="K231" s="5">
        <f t="shared" si="3"/>
        <v>-165</v>
      </c>
      <c r="L231" s="15" t="s">
        <v>128</v>
      </c>
      <c r="M231" s="44">
        <f>SUMIFS('Saldos Iniciales'!$D:$D,'Saldos Iniciales'!$A:$A,C231,'Saldos Iniciales'!$B:$B,D231)+SUMIFS($K$1:$K$1324,$C$1:$C$1324,C231,$D$1:$D$1324,D231,$B$1:$B$1324,"&lt;="&amp;B231)</f>
        <v>6824.47</v>
      </c>
      <c r="N231" s="61" t="str">
        <f>IF(tblMovimientos[[#This Row],[Tipo de Movimiento]]="Ingreso",tblMovimientos[[#This Row],[Monto (S/)]],"0")</f>
        <v>0</v>
      </c>
      <c r="O231" s="61">
        <f>IF(tblMovimientos[[#This Row],[Tipo de Movimiento]]="Egreso",tblMovimientos[[#This Row],[Monto (S/)]],"0")</f>
        <v>165</v>
      </c>
      <c r="P231" s="28">
        <f>IF(tblMovimientos[[#This Row],[Tipo de Movimiento]]="Ingreso",tblMovimientos[[#This Row],[Ingreso]],-tblMovimientos[[#This Row],[Egreso]])</f>
        <v>-165</v>
      </c>
      <c r="Q231" s="78" t="str">
        <f>_xlfn.XLOOKUP(tblMovimientos[[#This Row],[Cuenta Bancaria]],Cuentas!$C:$C,Cuentas!$A:$A,"")&amp;""</f>
        <v>SSP Group</v>
      </c>
      <c r="R231" s="78" t="str">
        <f>_xlfn.XLOOKUP(tblMovimientos[[#This Row],[Cuenta Bancaria]],Cuentas!$C:$C,Cuentas!$B:$B,"",0,-1)&amp;""</f>
        <v/>
      </c>
    </row>
    <row r="232" spans="2:18" x14ac:dyDescent="0.3">
      <c r="B232" s="39">
        <v>46174</v>
      </c>
      <c r="C232" s="4" t="str">
        <f>_xlfn.XLOOKUP(tblMovimientos[[#This Row],[Cuenta Bancaria]],Listas!$B:$B,Listas!$A:$A,"")</f>
        <v>Go Blue</v>
      </c>
      <c r="D232" s="41" t="s">
        <v>126</v>
      </c>
      <c r="E232" s="4" t="str">
        <f>_xlfn.XLOOKUP(tblMovimientos[[#This Row],[Cuenta Bancaria]],Listas!$B:$B,Listas!$C:$C,"")</f>
        <v xml:space="preserve">Amerant Bank </v>
      </c>
      <c r="F232" s="41" t="s">
        <v>10</v>
      </c>
      <c r="G232" s="41" t="s">
        <v>38</v>
      </c>
      <c r="H232" s="4" t="str">
        <f>IFERROR(_xlfn.XLOOKUP(G232,Listas!E:E,Listas!F:F,""),"")</f>
        <v>Operativo</v>
      </c>
      <c r="I232" s="46" t="str">
        <f>IFERROR(_xlfn.XLOOKUP(G232,Listas!E:E,Listas!G:G,""),"")</f>
        <v>Externo</v>
      </c>
      <c r="J232" s="43">
        <v>493.38</v>
      </c>
      <c r="K232" s="5">
        <f t="shared" si="3"/>
        <v>-493.38</v>
      </c>
      <c r="L232" s="15" t="s">
        <v>128</v>
      </c>
      <c r="M232" s="44">
        <f>SUMIFS('Saldos Iniciales'!$D:$D,'Saldos Iniciales'!$A:$A,C232,'Saldos Iniciales'!$B:$B,D232)+SUMIFS($K$1:$K$1324,$C$1:$C$1324,C232,$D$1:$D$1324,D232,$B$1:$B$1324,"&lt;="&amp;B232)</f>
        <v>6824.47</v>
      </c>
      <c r="N232" s="61" t="str">
        <f>IF(tblMovimientos[[#This Row],[Tipo de Movimiento]]="Ingreso",tblMovimientos[[#This Row],[Monto (S/)]],"0")</f>
        <v>0</v>
      </c>
      <c r="O232" s="61">
        <f>IF(tblMovimientos[[#This Row],[Tipo de Movimiento]]="Egreso",tblMovimientos[[#This Row],[Monto (S/)]],"0")</f>
        <v>493.38</v>
      </c>
      <c r="P232" s="28">
        <f>IF(tblMovimientos[[#This Row],[Tipo de Movimiento]]="Ingreso",tblMovimientos[[#This Row],[Ingreso]],-tblMovimientos[[#This Row],[Egreso]])</f>
        <v>-493.38</v>
      </c>
      <c r="Q232" s="78" t="str">
        <f>_xlfn.XLOOKUP(tblMovimientos[[#This Row],[Cuenta Bancaria]],Cuentas!$C:$C,Cuentas!$A:$A,"")&amp;""</f>
        <v>SSP Group</v>
      </c>
      <c r="R232" s="78" t="str">
        <f>_xlfn.XLOOKUP(tblMovimientos[[#This Row],[Cuenta Bancaria]],Cuentas!$C:$C,Cuentas!$B:$B,"",0,-1)&amp;""</f>
        <v/>
      </c>
    </row>
    <row r="233" spans="2:18" x14ac:dyDescent="0.3">
      <c r="B233" s="39">
        <v>46174</v>
      </c>
      <c r="C233" s="4" t="str">
        <f>_xlfn.XLOOKUP(tblMovimientos[[#This Row],[Cuenta Bancaria]],Listas!$B:$B,Listas!$A:$A,"")</f>
        <v>Go Blue</v>
      </c>
      <c r="D233" s="41" t="s">
        <v>126</v>
      </c>
      <c r="E233" s="4" t="str">
        <f>_xlfn.XLOOKUP(tblMovimientos[[#This Row],[Cuenta Bancaria]],Listas!$B:$B,Listas!$C:$C,"")</f>
        <v xml:space="preserve">Amerant Bank </v>
      </c>
      <c r="F233" s="41" t="s">
        <v>10</v>
      </c>
      <c r="G233" s="41" t="s">
        <v>38</v>
      </c>
      <c r="H233" s="4" t="str">
        <f>IFERROR(_xlfn.XLOOKUP(G233,Listas!E:E,Listas!F:F,""),"")</f>
        <v>Operativo</v>
      </c>
      <c r="I233" s="46" t="str">
        <f>IFERROR(_xlfn.XLOOKUP(G233,Listas!E:E,Listas!G:G,""),"")</f>
        <v>Externo</v>
      </c>
      <c r="J233" s="43">
        <v>1593.39</v>
      </c>
      <c r="K233" s="5">
        <f t="shared" si="3"/>
        <v>-1593.39</v>
      </c>
      <c r="L233" s="15" t="s">
        <v>128</v>
      </c>
      <c r="M233" s="44">
        <f>SUMIFS('Saldos Iniciales'!$D:$D,'Saldos Iniciales'!$A:$A,C233,'Saldos Iniciales'!$B:$B,D233)+SUMIFS($K$1:$K$1324,$C$1:$C$1324,C233,$D$1:$D$1324,D233,$B$1:$B$1324,"&lt;="&amp;B233)</f>
        <v>6824.47</v>
      </c>
      <c r="N233" s="61" t="str">
        <f>IF(tblMovimientos[[#This Row],[Tipo de Movimiento]]="Ingreso",tblMovimientos[[#This Row],[Monto (S/)]],"0")</f>
        <v>0</v>
      </c>
      <c r="O233" s="61">
        <f>IF(tblMovimientos[[#This Row],[Tipo de Movimiento]]="Egreso",tblMovimientos[[#This Row],[Monto (S/)]],"0")</f>
        <v>1593.39</v>
      </c>
      <c r="P233" s="28">
        <f>IF(tblMovimientos[[#This Row],[Tipo de Movimiento]]="Ingreso",tblMovimientos[[#This Row],[Ingreso]],-tblMovimientos[[#This Row],[Egreso]])</f>
        <v>-1593.39</v>
      </c>
      <c r="Q233" s="78" t="str">
        <f>_xlfn.XLOOKUP(tblMovimientos[[#This Row],[Cuenta Bancaria]],Cuentas!$C:$C,Cuentas!$A:$A,"")&amp;""</f>
        <v>SSP Group</v>
      </c>
      <c r="R233" s="78" t="str">
        <f>_xlfn.XLOOKUP(tblMovimientos[[#This Row],[Cuenta Bancaria]],Cuentas!$C:$C,Cuentas!$B:$B,"",0,-1)&amp;""</f>
        <v/>
      </c>
    </row>
    <row r="234" spans="2:18" x14ac:dyDescent="0.3">
      <c r="B234" s="49">
        <v>46174</v>
      </c>
      <c r="C234" s="50" t="str">
        <f>_xlfn.XLOOKUP(tblMovimientos[[#This Row],[Cuenta Bancaria]],Listas!$B:$B,Listas!$A:$A,"")</f>
        <v>M1B</v>
      </c>
      <c r="D234" s="51" t="s">
        <v>98</v>
      </c>
      <c r="E234" s="50" t="str">
        <f>_xlfn.XLOOKUP(tblMovimientos[[#This Row],[Cuenta Bancaria]],Listas!$B:$B,Listas!$C:$C,"")</f>
        <v>Amerant Bank DACA</v>
      </c>
      <c r="F234" s="51" t="s">
        <v>10</v>
      </c>
      <c r="G234" s="51" t="s">
        <v>44</v>
      </c>
      <c r="H234" s="50" t="str">
        <f>IFERROR(_xlfn.XLOOKUP(G234,Listas!E:E,Listas!F:F,""),"")</f>
        <v>Operativo</v>
      </c>
      <c r="I234" s="52" t="str">
        <f>IFERROR(_xlfn.XLOOKUP(G234,Listas!E:E,Listas!G:G,""),"")</f>
        <v>Externo</v>
      </c>
      <c r="J234" s="53">
        <v>0</v>
      </c>
      <c r="K234" s="5">
        <f t="shared" si="3"/>
        <v>0</v>
      </c>
      <c r="L234" s="54" t="s">
        <v>128</v>
      </c>
      <c r="M234" s="44">
        <f>SUMIFS('Saldos Iniciales'!$D:$D,'Saldos Iniciales'!$A:$A,C234,'Saldos Iniciales'!$B:$B,D234)+SUMIFS($K$1:$K$1324,$C$1:$C$1324,C234,$D$1:$D$1324,D234,$B$1:$B$1324,"&lt;="&amp;B234)</f>
        <v>5000</v>
      </c>
      <c r="N234" s="61" t="str">
        <f>IF(tblMovimientos[[#This Row],[Tipo de Movimiento]]="Ingreso",tblMovimientos[[#This Row],[Monto (S/)]],"0")</f>
        <v>0</v>
      </c>
      <c r="O234" s="61">
        <f>IF(tblMovimientos[[#This Row],[Tipo de Movimiento]]="Egreso",tblMovimientos[[#This Row],[Monto (S/)]],"0")</f>
        <v>0</v>
      </c>
      <c r="P234" s="28">
        <f>IF(tblMovimientos[[#This Row],[Tipo de Movimiento]]="Ingreso",tblMovimientos[[#This Row],[Ingreso]],-tblMovimientos[[#This Row],[Egreso]])</f>
        <v>0</v>
      </c>
      <c r="Q234" s="78" t="str">
        <f>_xlfn.XLOOKUP(tblMovimientos[[#This Row],[Cuenta Bancaria]],Cuentas!$C:$C,Cuentas!$A:$A,"")&amp;""</f>
        <v>SSP Group</v>
      </c>
      <c r="R234" s="78" t="str">
        <f>_xlfn.XLOOKUP(tblMovimientos[[#This Row],[Cuenta Bancaria]],Cuentas!$C:$C,Cuentas!$B:$B,"",0,-1)&amp;""</f>
        <v/>
      </c>
    </row>
    <row r="235" spans="2:18" x14ac:dyDescent="0.3">
      <c r="B235" s="49">
        <v>46174</v>
      </c>
      <c r="C235" s="50" t="str">
        <f>_xlfn.XLOOKUP(tblMovimientos[[#This Row],[Cuenta Bancaria]],Listas!$B:$B,Listas!$A:$A,"")</f>
        <v>SSP Capital</v>
      </c>
      <c r="D235" s="51" t="s">
        <v>107</v>
      </c>
      <c r="E235" s="50" t="str">
        <f>_xlfn.XLOOKUP(tblMovimientos[[#This Row],[Cuenta Bancaria]],Listas!$B:$B,Listas!$C:$C,"")</f>
        <v>Amerant Bank DACA</v>
      </c>
      <c r="F235" s="51" t="s">
        <v>10</v>
      </c>
      <c r="G235" s="51" t="s">
        <v>44</v>
      </c>
      <c r="H235" s="50" t="str">
        <f>IFERROR(_xlfn.XLOOKUP(G235,Listas!E:E,Listas!F:F,""),"")</f>
        <v>Operativo</v>
      </c>
      <c r="I235" s="52" t="str">
        <f>IFERROR(_xlfn.XLOOKUP(G235,Listas!E:E,Listas!G:G,""),"")</f>
        <v>Externo</v>
      </c>
      <c r="J235" s="53">
        <v>0</v>
      </c>
      <c r="K235" s="5">
        <f t="shared" si="3"/>
        <v>0</v>
      </c>
      <c r="L235" s="54" t="s">
        <v>128</v>
      </c>
      <c r="M235" s="44">
        <f>SUMIFS('Saldos Iniciales'!$D:$D,'Saldos Iniciales'!$A:$A,C235,'Saldos Iniciales'!$B:$B,D235)+SUMIFS($K$1:$K$1324,$C$1:$C$1324,C235,$D$1:$D$1324,D235,$B$1:$B$1324,"&lt;="&amp;B235)</f>
        <v>5000</v>
      </c>
      <c r="N235" s="61" t="str">
        <f>IF(tblMovimientos[[#This Row],[Tipo de Movimiento]]="Ingreso",tblMovimientos[[#This Row],[Monto (S/)]],"0")</f>
        <v>0</v>
      </c>
      <c r="O235" s="61">
        <f>IF(tblMovimientos[[#This Row],[Tipo de Movimiento]]="Egreso",tblMovimientos[[#This Row],[Monto (S/)]],"0")</f>
        <v>0</v>
      </c>
      <c r="P235" s="28">
        <f>IF(tblMovimientos[[#This Row],[Tipo de Movimiento]]="Ingreso",tblMovimientos[[#This Row],[Ingreso]],-tblMovimientos[[#This Row],[Egreso]])</f>
        <v>0</v>
      </c>
      <c r="Q235" s="78" t="str">
        <f>_xlfn.XLOOKUP(tblMovimientos[[#This Row],[Cuenta Bancaria]],Cuentas!$C:$C,Cuentas!$A:$A,"")&amp;""</f>
        <v>SSP Group</v>
      </c>
      <c r="R235" s="78" t="str">
        <f>_xlfn.XLOOKUP(tblMovimientos[[#This Row],[Cuenta Bancaria]],Cuentas!$C:$C,Cuentas!$B:$B,"",0,-1)&amp;""</f>
        <v/>
      </c>
    </row>
    <row r="236" spans="2:18" x14ac:dyDescent="0.3">
      <c r="B236" s="49">
        <v>46174</v>
      </c>
      <c r="C236" s="50" t="str">
        <f>_xlfn.XLOOKUP(tblMovimientos[[#This Row],[Cuenta Bancaria]],Listas!$B:$B,Listas!$A:$A,"")</f>
        <v>Cross Family Trust</v>
      </c>
      <c r="D236" s="51" t="s">
        <v>108</v>
      </c>
      <c r="E236" s="50" t="str">
        <f>_xlfn.XLOOKUP(tblMovimientos[[#This Row],[Cuenta Bancaria]],Listas!$B:$B,Listas!$C:$C,"")</f>
        <v>Ocean Bank</v>
      </c>
      <c r="F236" s="51" t="s">
        <v>10</v>
      </c>
      <c r="G236" s="51" t="s">
        <v>44</v>
      </c>
      <c r="H236" s="50" t="str">
        <f>IFERROR(_xlfn.XLOOKUP(G236,Listas!E:E,Listas!F:F,""),"")</f>
        <v>Operativo</v>
      </c>
      <c r="I236" s="52" t="str">
        <f>IFERROR(_xlfn.XLOOKUP(G236,Listas!E:E,Listas!G:G,""),"")</f>
        <v>Externo</v>
      </c>
      <c r="J236" s="53">
        <v>0</v>
      </c>
      <c r="K236" s="5">
        <f t="shared" si="3"/>
        <v>0</v>
      </c>
      <c r="L236" s="54" t="s">
        <v>128</v>
      </c>
      <c r="M236" s="44">
        <f>SUMIFS('Saldos Iniciales'!$D:$D,'Saldos Iniciales'!$A:$A,C236,'Saldos Iniciales'!$B:$B,D236)+SUMIFS($K$1:$K$1324,$C$1:$C$1324,C236,$D$1:$D$1324,D236,$B$1:$B$1324,"&lt;="&amp;B236)</f>
        <v>57206.89</v>
      </c>
      <c r="N236" s="61" t="str">
        <f>IF(tblMovimientos[[#This Row],[Tipo de Movimiento]]="Ingreso",tblMovimientos[[#This Row],[Monto (S/)]],"0")</f>
        <v>0</v>
      </c>
      <c r="O236" s="61">
        <f>IF(tblMovimientos[[#This Row],[Tipo de Movimiento]]="Egreso",tblMovimientos[[#This Row],[Monto (S/)]],"0")</f>
        <v>0</v>
      </c>
      <c r="P236" s="28">
        <f>IF(tblMovimientos[[#This Row],[Tipo de Movimiento]]="Ingreso",tblMovimientos[[#This Row],[Ingreso]],-tblMovimientos[[#This Row],[Egreso]])</f>
        <v>0</v>
      </c>
      <c r="Q236" s="78" t="str">
        <f>_xlfn.XLOOKUP(tblMovimientos[[#This Row],[Cuenta Bancaria]],Cuentas!$C:$C,Cuentas!$A:$A,"")&amp;""</f>
        <v>SSP Group</v>
      </c>
      <c r="R236" s="78" t="str">
        <f>_xlfn.XLOOKUP(tblMovimientos[[#This Row],[Cuenta Bancaria]],Cuentas!$C:$C,Cuentas!$B:$B,"",0,-1)&amp;""</f>
        <v>Trust</v>
      </c>
    </row>
    <row r="237" spans="2:18" x14ac:dyDescent="0.3">
      <c r="B237" s="49">
        <v>46174</v>
      </c>
      <c r="C237" s="50" t="str">
        <f>_xlfn.XLOOKUP(tblMovimientos[[#This Row],[Cuenta Bancaria]],Listas!$B:$B,Listas!$A:$A,"")</f>
        <v>Cross Family Trust</v>
      </c>
      <c r="D237" s="51" t="s">
        <v>109</v>
      </c>
      <c r="E237" s="50" t="str">
        <f>_xlfn.XLOOKUP(tblMovimientos[[#This Row],[Cuenta Bancaria]],Listas!$B:$B,Listas!$C:$C,"")</f>
        <v>Northern Trust</v>
      </c>
      <c r="F237" s="51" t="s">
        <v>10</v>
      </c>
      <c r="G237" s="51" t="s">
        <v>44</v>
      </c>
      <c r="H237" s="50" t="str">
        <f>IFERROR(_xlfn.XLOOKUP(G237,Listas!E:E,Listas!F:F,""),"")</f>
        <v>Operativo</v>
      </c>
      <c r="I237" s="52" t="str">
        <f>IFERROR(_xlfn.XLOOKUP(G237,Listas!E:E,Listas!G:G,""),"")</f>
        <v>Externo</v>
      </c>
      <c r="J237" s="53">
        <v>0</v>
      </c>
      <c r="K237" s="5">
        <f t="shared" si="3"/>
        <v>0</v>
      </c>
      <c r="L237" s="54" t="s">
        <v>128</v>
      </c>
      <c r="M237" s="44">
        <f>SUMIFS('Saldos Iniciales'!$D:$D,'Saldos Iniciales'!$A:$A,C237,'Saldos Iniciales'!$B:$B,D237)+SUMIFS($K$1:$K$1324,$C$1:$C$1324,C237,$D$1:$D$1324,D237,$B$1:$B$1324,"&lt;="&amp;B237)</f>
        <v>6365</v>
      </c>
      <c r="N237" s="61" t="str">
        <f>IF(tblMovimientos[[#This Row],[Tipo de Movimiento]]="Ingreso",tblMovimientos[[#This Row],[Monto (S/)]],"0")</f>
        <v>0</v>
      </c>
      <c r="O237" s="61">
        <f>IF(tblMovimientos[[#This Row],[Tipo de Movimiento]]="Egreso",tblMovimientos[[#This Row],[Monto (S/)]],"0")</f>
        <v>0</v>
      </c>
      <c r="P237" s="28">
        <f>IF(tblMovimientos[[#This Row],[Tipo de Movimiento]]="Ingreso",tblMovimientos[[#This Row],[Ingreso]],-tblMovimientos[[#This Row],[Egreso]])</f>
        <v>0</v>
      </c>
      <c r="Q237" s="78" t="str">
        <f>_xlfn.XLOOKUP(tblMovimientos[[#This Row],[Cuenta Bancaria]],Cuentas!$C:$C,Cuentas!$A:$A,"")&amp;""</f>
        <v>SSP Group</v>
      </c>
      <c r="R237" s="78" t="str">
        <f>_xlfn.XLOOKUP(tblMovimientos[[#This Row],[Cuenta Bancaria]],Cuentas!$C:$C,Cuentas!$B:$B,"",0,-1)&amp;""</f>
        <v>Trust</v>
      </c>
    </row>
    <row r="238" spans="2:18" x14ac:dyDescent="0.3">
      <c r="B238" s="49">
        <v>46174</v>
      </c>
      <c r="C238" s="50" t="str">
        <f>_xlfn.XLOOKUP(tblMovimientos[[#This Row],[Cuenta Bancaria]],Listas!$B:$B,Listas!$A:$A,"")</f>
        <v>Durand</v>
      </c>
      <c r="D238" s="51" t="s">
        <v>99</v>
      </c>
      <c r="E238" s="50" t="str">
        <f>_xlfn.XLOOKUP(tblMovimientos[[#This Row],[Cuenta Bancaria]],Listas!$B:$B,Listas!$C:$C,"")</f>
        <v xml:space="preserve">Amerant Bank </v>
      </c>
      <c r="F238" s="51" t="s">
        <v>10</v>
      </c>
      <c r="G238" s="51" t="s">
        <v>44</v>
      </c>
      <c r="H238" s="50" t="str">
        <f>IFERROR(_xlfn.XLOOKUP(G238,Listas!E:E,Listas!F:F,""),"")</f>
        <v>Operativo</v>
      </c>
      <c r="I238" s="52" t="str">
        <f>IFERROR(_xlfn.XLOOKUP(G238,Listas!E:E,Listas!G:G,""),"")</f>
        <v>Externo</v>
      </c>
      <c r="J238" s="53">
        <v>0</v>
      </c>
      <c r="K238" s="5">
        <f t="shared" si="3"/>
        <v>0</v>
      </c>
      <c r="L238" s="54" t="s">
        <v>128</v>
      </c>
      <c r="M238" s="44">
        <f>SUMIFS('Saldos Iniciales'!$D:$D,'Saldos Iniciales'!$A:$A,C238,'Saldos Iniciales'!$B:$B,D238)+SUMIFS($K$1:$K$1324,$C$1:$C$1324,C238,$D$1:$D$1324,D238,$B$1:$B$1324,"&lt;="&amp;B238)</f>
        <v>1669.89</v>
      </c>
      <c r="N238" s="61" t="str">
        <f>IF(tblMovimientos[[#This Row],[Tipo de Movimiento]]="Ingreso",tblMovimientos[[#This Row],[Monto (S/)]],"0")</f>
        <v>0</v>
      </c>
      <c r="O238" s="61">
        <f>IF(tblMovimientos[[#This Row],[Tipo de Movimiento]]="Egreso",tblMovimientos[[#This Row],[Monto (S/)]],"0")</f>
        <v>0</v>
      </c>
      <c r="P238" s="28">
        <f>IF(tblMovimientos[[#This Row],[Tipo de Movimiento]]="Ingreso",tblMovimientos[[#This Row],[Ingreso]],-tblMovimientos[[#This Row],[Egreso]])</f>
        <v>0</v>
      </c>
      <c r="Q238" s="78" t="str">
        <f>_xlfn.XLOOKUP(tblMovimientos[[#This Row],[Cuenta Bancaria]],Cuentas!$C:$C,Cuentas!$A:$A,"")&amp;""</f>
        <v>SSP Group</v>
      </c>
      <c r="R238" s="78" t="str">
        <f>_xlfn.XLOOKUP(tblMovimientos[[#This Row],[Cuenta Bancaria]],Cuentas!$C:$C,Cuentas!$B:$B,"",0,-1)&amp;""</f>
        <v/>
      </c>
    </row>
    <row r="239" spans="2:18" x14ac:dyDescent="0.3">
      <c r="B239" s="49">
        <v>46174</v>
      </c>
      <c r="C239" s="50" t="str">
        <f>_xlfn.XLOOKUP(tblMovimientos[[#This Row],[Cuenta Bancaria]],Listas!$B:$B,Listas!$A:$A,"")</f>
        <v>Green Stone Trust</v>
      </c>
      <c r="D239" s="51" t="s">
        <v>117</v>
      </c>
      <c r="E239" s="50" t="str">
        <f>_xlfn.XLOOKUP(tblMovimientos[[#This Row],[Cuenta Bancaria]],Listas!$B:$B,Listas!$C:$C,"")</f>
        <v>Bank of America</v>
      </c>
      <c r="F239" s="51" t="s">
        <v>10</v>
      </c>
      <c r="G239" s="51" t="s">
        <v>44</v>
      </c>
      <c r="H239" s="50" t="str">
        <f>IFERROR(_xlfn.XLOOKUP(G239,Listas!E:E,Listas!F:F,""),"")</f>
        <v>Operativo</v>
      </c>
      <c r="I239" s="52" t="str">
        <f>IFERROR(_xlfn.XLOOKUP(G239,Listas!E:E,Listas!G:G,""),"")</f>
        <v>Externo</v>
      </c>
      <c r="J239" s="53"/>
      <c r="K239" s="5">
        <f t="shared" si="3"/>
        <v>0</v>
      </c>
      <c r="L239" s="54" t="s">
        <v>128</v>
      </c>
      <c r="M239" s="44">
        <f>SUMIFS('Saldos Iniciales'!$D:$D,'Saldos Iniciales'!$A:$A,C239,'Saldos Iniciales'!$B:$B,D239)+SUMIFS($K$1:$K$1324,$C$1:$C$1324,C239,$D$1:$D$1324,D239,$B$1:$B$1324,"&lt;="&amp;B239)</f>
        <v>1968.99</v>
      </c>
      <c r="N239" s="61" t="str">
        <f>IF(tblMovimientos[[#This Row],[Tipo de Movimiento]]="Ingreso",tblMovimientos[[#This Row],[Monto (S/)]],"0")</f>
        <v>0</v>
      </c>
      <c r="O239" s="61">
        <f>IF(tblMovimientos[[#This Row],[Tipo de Movimiento]]="Egreso",tblMovimientos[[#This Row],[Monto (S/)]],"0")</f>
        <v>0</v>
      </c>
      <c r="P239" s="28">
        <f>IF(tblMovimientos[[#This Row],[Tipo de Movimiento]]="Ingreso",tblMovimientos[[#This Row],[Ingreso]],-tblMovimientos[[#This Row],[Egreso]])</f>
        <v>0</v>
      </c>
      <c r="Q239" s="78" t="str">
        <f>_xlfn.XLOOKUP(tblMovimientos[[#This Row],[Cuenta Bancaria]],Cuentas!$C:$C,Cuentas!$A:$A,"")&amp;""</f>
        <v>SSP Group</v>
      </c>
      <c r="R239" s="78" t="str">
        <f>_xlfn.XLOOKUP(tblMovimientos[[#This Row],[Cuenta Bancaria]],Cuentas!$C:$C,Cuentas!$B:$B,"",0,-1)&amp;""</f>
        <v>Trust</v>
      </c>
    </row>
    <row r="240" spans="2:18" x14ac:dyDescent="0.3">
      <c r="B240" s="39">
        <v>46174</v>
      </c>
      <c r="C240" s="4" t="str">
        <f>_xlfn.XLOOKUP(tblMovimientos[[#This Row],[Cuenta Bancaria]],Listas!$B:$B,Listas!$A:$A,"")</f>
        <v>Cross Security Trust</v>
      </c>
      <c r="D240" s="41" t="s">
        <v>112</v>
      </c>
      <c r="E240" s="68" t="str">
        <f>_xlfn.XLOOKUP(tblMovimientos[[#This Row],[Cuenta Bancaria]],Listas!$B:$B,Listas!$C:$C,"")</f>
        <v>Bank of America</v>
      </c>
      <c r="F240" s="41" t="s">
        <v>10</v>
      </c>
      <c r="G240" s="41" t="s">
        <v>38</v>
      </c>
      <c r="H240" s="4" t="str">
        <f>IFERROR(_xlfn.XLOOKUP(G240,Listas!E:E,Listas!F:F,""),"")</f>
        <v>Operativo</v>
      </c>
      <c r="I240" s="69" t="str">
        <f>IFERROR(_xlfn.XLOOKUP(G240,Listas!E:E,Listas!G:G,""),"")</f>
        <v>Externo</v>
      </c>
      <c r="J240" s="43">
        <v>13270</v>
      </c>
      <c r="K240" s="5">
        <f t="shared" si="3"/>
        <v>-13270</v>
      </c>
      <c r="L240" s="15" t="s">
        <v>128</v>
      </c>
      <c r="M240" s="44">
        <f>SUMIFS('Saldos Iniciales'!$D:$D,'Saldos Iniciales'!$A:$A,C240,'Saldos Iniciales'!$B:$B,D240)+SUMIFS($K$1:$K$1324,$C$1:$C$1324,C240,$D$1:$D$1324,D240,$B$1:$B$1324,"&lt;="&amp;B240)</f>
        <v>20375.37</v>
      </c>
      <c r="N240" s="61" t="str">
        <f>IF(tblMovimientos[[#This Row],[Tipo de Movimiento]]="Ingreso",tblMovimientos[[#This Row],[Monto (S/)]],"0")</f>
        <v>0</v>
      </c>
      <c r="O240" s="61">
        <f>IF(tblMovimientos[[#This Row],[Tipo de Movimiento]]="Egreso",tblMovimientos[[#This Row],[Monto (S/)]],"0")</f>
        <v>13270</v>
      </c>
      <c r="P240" s="28">
        <f>IF(tblMovimientos[[#This Row],[Tipo de Movimiento]]="Ingreso",tblMovimientos[[#This Row],[Ingreso]],-tblMovimientos[[#This Row],[Egreso]])</f>
        <v>-13270</v>
      </c>
      <c r="Q240" s="78" t="str">
        <f>_xlfn.XLOOKUP(tblMovimientos[[#This Row],[Cuenta Bancaria]],Cuentas!$C:$C,Cuentas!$A:$A,"")&amp;""</f>
        <v>SSP Group</v>
      </c>
      <c r="R240" s="78" t="str">
        <f>_xlfn.XLOOKUP(tblMovimientos[[#This Row],[Cuenta Bancaria]],Cuentas!$C:$C,Cuentas!$B:$B,"",0,-1)&amp;""</f>
        <v>Trust</v>
      </c>
    </row>
    <row r="241" spans="2:18" x14ac:dyDescent="0.3">
      <c r="B241" s="39">
        <v>46174</v>
      </c>
      <c r="C241" s="4" t="str">
        <f>_xlfn.XLOOKUP(tblMovimientos[[#This Row],[Cuenta Bancaria]],Listas!$B:$B,Listas!$A:$A,"")</f>
        <v>Cross Security Trust</v>
      </c>
      <c r="D241" s="41" t="s">
        <v>112</v>
      </c>
      <c r="E241" s="68" t="str">
        <f>_xlfn.XLOOKUP(tblMovimientos[[#This Row],[Cuenta Bancaria]],Listas!$B:$B,Listas!$C:$C,"")</f>
        <v>Bank of America</v>
      </c>
      <c r="F241" s="41" t="s">
        <v>10</v>
      </c>
      <c r="G241" s="41" t="s">
        <v>38</v>
      </c>
      <c r="H241" s="4" t="str">
        <f>IFERROR(_xlfn.XLOOKUP(G241,Listas!E:E,Listas!F:F,""),"")</f>
        <v>Operativo</v>
      </c>
      <c r="I241" s="69" t="str">
        <f>IFERROR(_xlfn.XLOOKUP(G241,Listas!E:E,Listas!G:G,""),"")</f>
        <v>Externo</v>
      </c>
      <c r="J241" s="43">
        <v>54445</v>
      </c>
      <c r="K241" s="5">
        <f t="shared" si="3"/>
        <v>-54445</v>
      </c>
      <c r="L241" s="15" t="s">
        <v>128</v>
      </c>
      <c r="M241" s="44">
        <f>SUMIFS('Saldos Iniciales'!$D:$D,'Saldos Iniciales'!$A:$A,C241,'Saldos Iniciales'!$B:$B,D241)+SUMIFS($K$1:$K$1324,$C$1:$C$1324,C241,$D$1:$D$1324,D241,$B$1:$B$1324,"&lt;="&amp;B241)</f>
        <v>20375.37</v>
      </c>
      <c r="N241" s="61" t="str">
        <f>IF(tblMovimientos[[#This Row],[Tipo de Movimiento]]="Ingreso",tblMovimientos[[#This Row],[Monto (S/)]],"0")</f>
        <v>0</v>
      </c>
      <c r="O241" s="61">
        <f>IF(tblMovimientos[[#This Row],[Tipo de Movimiento]]="Egreso",tblMovimientos[[#This Row],[Monto (S/)]],"0")</f>
        <v>54445</v>
      </c>
      <c r="P241" s="28">
        <f>IF(tblMovimientos[[#This Row],[Tipo de Movimiento]]="Ingreso",tblMovimientos[[#This Row],[Ingreso]],-tblMovimientos[[#This Row],[Egreso]])</f>
        <v>-54445</v>
      </c>
      <c r="Q241" s="78" t="str">
        <f>_xlfn.XLOOKUP(tblMovimientos[[#This Row],[Cuenta Bancaria]],Cuentas!$C:$C,Cuentas!$A:$A,"")&amp;""</f>
        <v>SSP Group</v>
      </c>
      <c r="R241" s="78" t="str">
        <f>_xlfn.XLOOKUP(tblMovimientos[[#This Row],[Cuenta Bancaria]],Cuentas!$C:$C,Cuentas!$B:$B,"",0,-1)&amp;""</f>
        <v>Trust</v>
      </c>
    </row>
    <row r="242" spans="2:18" x14ac:dyDescent="0.3">
      <c r="B242" s="39">
        <v>46175</v>
      </c>
      <c r="C242" s="4" t="str">
        <f>_xlfn.XLOOKUP(tblMovimientos[[#This Row],[Cuenta Bancaria]],Listas!$B:$B,Listas!$A:$A,"")</f>
        <v>2515 Overbrook</v>
      </c>
      <c r="D242" s="41" t="s">
        <v>121</v>
      </c>
      <c r="E242" s="68" t="str">
        <f>_xlfn.XLOOKUP(tblMovimientos[[#This Row],[Cuenta Bancaria]],Listas!$B:$B,Listas!$C:$C,"")</f>
        <v>Bank of America</v>
      </c>
      <c r="F242" s="41" t="s">
        <v>10</v>
      </c>
      <c r="G242" s="41" t="s">
        <v>38</v>
      </c>
      <c r="H242" s="4" t="str">
        <f>IFERROR(_xlfn.XLOOKUP(G242,Listas!E:E,Listas!F:F,""),"")</f>
        <v>Operativo</v>
      </c>
      <c r="I242" s="46" t="str">
        <f>IFERROR(_xlfn.XLOOKUP(G242,Listas!E:E,Listas!G:G,""),"")</f>
        <v>Externo</v>
      </c>
      <c r="J242" s="43">
        <v>626.29999999999995</v>
      </c>
      <c r="K242" s="5">
        <f t="shared" si="3"/>
        <v>-626.29999999999995</v>
      </c>
      <c r="L242" s="15" t="s">
        <v>128</v>
      </c>
      <c r="M242" s="44">
        <f>SUMIFS('Saldos Iniciales'!$D:$D,'Saldos Iniciales'!$A:$A,C242,'Saldos Iniciales'!$B:$B,D242)+SUMIFS($K$1:$K$1324,$C$1:$C$1324,C242,$D$1:$D$1324,D242,$B$1:$B$1324,"&lt;="&amp;B242)</f>
        <v>25459.549999999963</v>
      </c>
      <c r="N242" s="61" t="str">
        <f>IF(tblMovimientos[[#This Row],[Tipo de Movimiento]]="Ingreso",tblMovimientos[[#This Row],[Monto (S/)]],"0")</f>
        <v>0</v>
      </c>
      <c r="O242" s="61">
        <f>IF(tblMovimientos[[#This Row],[Tipo de Movimiento]]="Egreso",tblMovimientos[[#This Row],[Monto (S/)]],"0")</f>
        <v>626.29999999999995</v>
      </c>
      <c r="P242" s="28">
        <f>IF(tblMovimientos[[#This Row],[Tipo de Movimiento]]="Ingreso",tblMovimientos[[#This Row],[Ingreso]],-tblMovimientos[[#This Row],[Egreso]])</f>
        <v>-626.29999999999995</v>
      </c>
      <c r="Q242" s="78" t="str">
        <f>_xlfn.XLOOKUP(tblMovimientos[[#This Row],[Cuenta Bancaria]],Cuentas!$C:$C,Cuentas!$A:$A,"")&amp;""</f>
        <v>SSP Group</v>
      </c>
      <c r="R242" s="78" t="str">
        <f>_xlfn.XLOOKUP(tblMovimientos[[#This Row],[Cuenta Bancaria]],Cuentas!$C:$C,Cuentas!$B:$B,"",0,-1)&amp;""</f>
        <v/>
      </c>
    </row>
    <row r="243" spans="2:18" x14ac:dyDescent="0.3">
      <c r="B243" s="39">
        <v>46175</v>
      </c>
      <c r="C243" s="4" t="str">
        <f>_xlfn.XLOOKUP(tblMovimientos[[#This Row],[Cuenta Bancaria]],Listas!$B:$B,Listas!$A:$A,"")</f>
        <v>Go Blue</v>
      </c>
      <c r="D243" s="41" t="s">
        <v>126</v>
      </c>
      <c r="E243" s="68" t="str">
        <f>_xlfn.XLOOKUP(tblMovimientos[[#This Row],[Cuenta Bancaria]],Listas!$B:$B,Listas!$C:$C,"")</f>
        <v xml:space="preserve">Amerant Bank </v>
      </c>
      <c r="F243" s="41" t="s">
        <v>10</v>
      </c>
      <c r="G243" s="41" t="s">
        <v>38</v>
      </c>
      <c r="H243" s="4" t="str">
        <f>IFERROR(_xlfn.XLOOKUP(G243,Listas!E:E,Listas!F:F,""),"")</f>
        <v>Operativo</v>
      </c>
      <c r="I243" s="46" t="str">
        <f>IFERROR(_xlfn.XLOOKUP(G243,Listas!E:E,Listas!G:G,""),"")</f>
        <v>Externo</v>
      </c>
      <c r="J243" s="43">
        <v>3309.58</v>
      </c>
      <c r="K243" s="5">
        <f t="shared" si="3"/>
        <v>-3309.58</v>
      </c>
      <c r="L243" s="15" t="s">
        <v>128</v>
      </c>
      <c r="M243" s="44">
        <f>SUMIFS('Saldos Iniciales'!$D:$D,'Saldos Iniciales'!$A:$A,C243,'Saldos Iniciales'!$B:$B,D243)+SUMIFS($K$1:$K$1324,$C$1:$C$1324,C243,$D$1:$D$1324,D243,$B$1:$B$1324,"&lt;="&amp;B243)</f>
        <v>3514.8900000000012</v>
      </c>
      <c r="N243" s="61" t="str">
        <f>IF(tblMovimientos[[#This Row],[Tipo de Movimiento]]="Ingreso",tblMovimientos[[#This Row],[Monto (S/)]],"0")</f>
        <v>0</v>
      </c>
      <c r="O243" s="61">
        <f>IF(tblMovimientos[[#This Row],[Tipo de Movimiento]]="Egreso",tblMovimientos[[#This Row],[Monto (S/)]],"0")</f>
        <v>3309.58</v>
      </c>
      <c r="P243" s="28">
        <f>IF(tblMovimientos[[#This Row],[Tipo de Movimiento]]="Ingreso",tblMovimientos[[#This Row],[Ingreso]],-tblMovimientos[[#This Row],[Egreso]])</f>
        <v>-3309.58</v>
      </c>
      <c r="Q243" s="78" t="str">
        <f>_xlfn.XLOOKUP(tblMovimientos[[#This Row],[Cuenta Bancaria]],Cuentas!$C:$C,Cuentas!$A:$A,"")&amp;""</f>
        <v>SSP Group</v>
      </c>
      <c r="R243" s="78" t="str">
        <f>_xlfn.XLOOKUP(tblMovimientos[[#This Row],[Cuenta Bancaria]],Cuentas!$C:$C,Cuentas!$B:$B,"",0,-1)&amp;""</f>
        <v/>
      </c>
    </row>
    <row r="244" spans="2:18" x14ac:dyDescent="0.3">
      <c r="B244" s="39">
        <v>46176</v>
      </c>
      <c r="C244" s="4" t="str">
        <f>_xlfn.XLOOKUP(tblMovimientos[[#This Row],[Cuenta Bancaria]],Listas!$B:$B,Listas!$A:$A,"")</f>
        <v>SSP Capital</v>
      </c>
      <c r="D244" s="41" t="s">
        <v>101</v>
      </c>
      <c r="E244" s="68" t="str">
        <f>_xlfn.XLOOKUP(tblMovimientos[[#This Row],[Cuenta Bancaria]],Listas!$B:$B,Listas!$C:$C,"")</f>
        <v>Bank of America</v>
      </c>
      <c r="F244" s="41" t="s">
        <v>10</v>
      </c>
      <c r="G244" s="41" t="s">
        <v>38</v>
      </c>
      <c r="H244" s="4" t="str">
        <f>IFERROR(_xlfn.XLOOKUP(G244,Listas!E:E,Listas!F:F,""),"")</f>
        <v>Operativo</v>
      </c>
      <c r="I244" s="46" t="str">
        <f>IFERROR(_xlfn.XLOOKUP(G244,Listas!E:E,Listas!G:G,""),"")</f>
        <v>Externo</v>
      </c>
      <c r="J244" s="43">
        <v>290.01</v>
      </c>
      <c r="K244" s="5">
        <f t="shared" si="3"/>
        <v>-290.01</v>
      </c>
      <c r="L244" s="15" t="s">
        <v>128</v>
      </c>
      <c r="M244" s="44">
        <f>SUMIFS('Saldos Iniciales'!$D:$D,'Saldos Iniciales'!$A:$A,C244,'Saldos Iniciales'!$B:$B,D244)+SUMIFS($K$1:$K$1324,$C$1:$C$1324,C244,$D$1:$D$1324,D244,$B$1:$B$1324,"&lt;="&amp;B244)</f>
        <v>10553.2</v>
      </c>
      <c r="N244" s="61" t="str">
        <f>IF(tblMovimientos[[#This Row],[Tipo de Movimiento]]="Ingreso",tblMovimientos[[#This Row],[Monto (S/)]],"0")</f>
        <v>0</v>
      </c>
      <c r="O244" s="61">
        <f>IF(tblMovimientos[[#This Row],[Tipo de Movimiento]]="Egreso",tblMovimientos[[#This Row],[Monto (S/)]],"0")</f>
        <v>290.01</v>
      </c>
      <c r="P244" s="28">
        <f>IF(tblMovimientos[[#This Row],[Tipo de Movimiento]]="Ingreso",tblMovimientos[[#This Row],[Ingreso]],-tblMovimientos[[#This Row],[Egreso]])</f>
        <v>-290.01</v>
      </c>
      <c r="Q244" s="78" t="str">
        <f>_xlfn.XLOOKUP(tblMovimientos[[#This Row],[Cuenta Bancaria]],Cuentas!$C:$C,Cuentas!$A:$A,"")&amp;""</f>
        <v>SSP Group</v>
      </c>
      <c r="R244" s="78" t="str">
        <f>_xlfn.XLOOKUP(tblMovimientos[[#This Row],[Cuenta Bancaria]],Cuentas!$C:$C,Cuentas!$B:$B,"",0,-1)&amp;""</f>
        <v/>
      </c>
    </row>
    <row r="245" spans="2:18" x14ac:dyDescent="0.3">
      <c r="B245" s="39">
        <v>46176</v>
      </c>
      <c r="C245" s="4" t="str">
        <f>_xlfn.XLOOKUP(tblMovimientos[[#This Row],[Cuenta Bancaria]],Listas!$B:$B,Listas!$A:$A,"")</f>
        <v>Cross Family Trust</v>
      </c>
      <c r="D245" s="41" t="s">
        <v>110</v>
      </c>
      <c r="E245" s="68" t="str">
        <f>_xlfn.XLOOKUP(tblMovimientos[[#This Row],[Cuenta Bancaria]],Listas!$B:$B,Listas!$C:$C,"")</f>
        <v>Bank of America</v>
      </c>
      <c r="F245" s="41" t="s">
        <v>10</v>
      </c>
      <c r="G245" s="41" t="s">
        <v>38</v>
      </c>
      <c r="H245" s="4" t="str">
        <f>IFERROR(_xlfn.XLOOKUP(G245,Listas!E:E,Listas!F:F,""),"")</f>
        <v>Operativo</v>
      </c>
      <c r="I245" s="46" t="str">
        <f>IFERROR(_xlfn.XLOOKUP(G245,Listas!E:E,Listas!G:G,""),"")</f>
        <v>Externo</v>
      </c>
      <c r="J245" s="43">
        <v>6000</v>
      </c>
      <c r="K245" s="5">
        <f t="shared" si="3"/>
        <v>-6000</v>
      </c>
      <c r="L245" s="15" t="s">
        <v>128</v>
      </c>
      <c r="M245" s="44">
        <f>SUMIFS('Saldos Iniciales'!$D:$D,'Saldos Iniciales'!$A:$A,C245,'Saldos Iniciales'!$B:$B,D245)+SUMIFS($K$1:$K$1324,$C$1:$C$1324,C245,$D$1:$D$1324,D245,$B$1:$B$1324,"&lt;="&amp;B245)</f>
        <v>51206.89</v>
      </c>
      <c r="N245" s="61" t="str">
        <f>IF(tblMovimientos[[#This Row],[Tipo de Movimiento]]="Ingreso",tblMovimientos[[#This Row],[Monto (S/)]],"0")</f>
        <v>0</v>
      </c>
      <c r="O245" s="61">
        <f>IF(tblMovimientos[[#This Row],[Tipo de Movimiento]]="Egreso",tblMovimientos[[#This Row],[Monto (S/)]],"0")</f>
        <v>6000</v>
      </c>
      <c r="P245" s="28">
        <f>IF(tblMovimientos[[#This Row],[Tipo de Movimiento]]="Ingreso",tblMovimientos[[#This Row],[Ingreso]],-tblMovimientos[[#This Row],[Egreso]])</f>
        <v>-6000</v>
      </c>
      <c r="Q245" s="78" t="str">
        <f>_xlfn.XLOOKUP(tblMovimientos[[#This Row],[Cuenta Bancaria]],Cuentas!$C:$C,Cuentas!$A:$A,"")&amp;""</f>
        <v>SSP Group</v>
      </c>
      <c r="R245" s="78" t="str">
        <f>_xlfn.XLOOKUP(tblMovimientos[[#This Row],[Cuenta Bancaria]],Cuentas!$C:$C,Cuentas!$B:$B,"",0,-1)&amp;""</f>
        <v>Trust</v>
      </c>
    </row>
    <row r="246" spans="2:18" x14ac:dyDescent="0.3">
      <c r="B246" s="39">
        <v>46177</v>
      </c>
      <c r="C246" s="4" t="str">
        <f>_xlfn.XLOOKUP(tblMovimientos[[#This Row],[Cuenta Bancaria]],Listas!$B:$B,Listas!$A:$A,"")</f>
        <v>Go Blue</v>
      </c>
      <c r="D246" s="41" t="s">
        <v>126</v>
      </c>
      <c r="E246" s="68" t="str">
        <f>_xlfn.XLOOKUP(tblMovimientos[[#This Row],[Cuenta Bancaria]],Listas!$B:$B,Listas!$C:$C,"")</f>
        <v xml:space="preserve">Amerant Bank </v>
      </c>
      <c r="F246" s="41" t="s">
        <v>10</v>
      </c>
      <c r="G246" s="41" t="s">
        <v>44</v>
      </c>
      <c r="H246" s="4" t="str">
        <f>IFERROR(_xlfn.XLOOKUP(G246,Listas!E:E,Listas!F:F,""),"")</f>
        <v>Operativo</v>
      </c>
      <c r="I246" s="46" t="str">
        <f>IFERROR(_xlfn.XLOOKUP(G246,Listas!E:E,Listas!G:G,""),"")</f>
        <v>Externo</v>
      </c>
      <c r="J246" s="43">
        <v>15</v>
      </c>
      <c r="K246" s="5">
        <f t="shared" si="3"/>
        <v>-15</v>
      </c>
      <c r="L246" s="15" t="s">
        <v>128</v>
      </c>
      <c r="M246" s="44">
        <f>SUMIFS('Saldos Iniciales'!$D:$D,'Saldos Iniciales'!$A:$A,C246,'Saldos Iniciales'!$B:$B,D246)+SUMIFS($K$1:$K$1324,$C$1:$C$1324,C246,$D$1:$D$1324,D246,$B$1:$B$1324,"&lt;="&amp;B246)</f>
        <v>2422.7400000000034</v>
      </c>
      <c r="N246" s="61" t="str">
        <f>IF(tblMovimientos[[#This Row],[Tipo de Movimiento]]="Ingreso",tblMovimientos[[#This Row],[Monto (S/)]],"0")</f>
        <v>0</v>
      </c>
      <c r="O246" s="61">
        <f>IF(tblMovimientos[[#This Row],[Tipo de Movimiento]]="Egreso",tblMovimientos[[#This Row],[Monto (S/)]],"0")</f>
        <v>15</v>
      </c>
      <c r="P246" s="28">
        <f>IF(tblMovimientos[[#This Row],[Tipo de Movimiento]]="Ingreso",tblMovimientos[[#This Row],[Ingreso]],-tblMovimientos[[#This Row],[Egreso]])</f>
        <v>-15</v>
      </c>
      <c r="Q246" s="78" t="str">
        <f>_xlfn.XLOOKUP(tblMovimientos[[#This Row],[Cuenta Bancaria]],Cuentas!$C:$C,Cuentas!$A:$A,"")&amp;""</f>
        <v>SSP Group</v>
      </c>
      <c r="R246" s="78" t="str">
        <f>_xlfn.XLOOKUP(tblMovimientos[[#This Row],[Cuenta Bancaria]],Cuentas!$C:$C,Cuentas!$B:$B,"",0,-1)&amp;""</f>
        <v/>
      </c>
    </row>
    <row r="247" spans="2:18" x14ac:dyDescent="0.3">
      <c r="B247" s="39">
        <v>46177</v>
      </c>
      <c r="C247" s="4" t="str">
        <f>_xlfn.XLOOKUP(tblMovimientos[[#This Row],[Cuenta Bancaria]],Listas!$B:$B,Listas!$A:$A,"")</f>
        <v>Go Blue</v>
      </c>
      <c r="D247" s="41" t="s">
        <v>126</v>
      </c>
      <c r="E247" s="68" t="str">
        <f>_xlfn.XLOOKUP(tblMovimientos[[#This Row],[Cuenta Bancaria]],Listas!$B:$B,Listas!$C:$C,"")</f>
        <v xml:space="preserve">Amerant Bank </v>
      </c>
      <c r="F247" s="41" t="s">
        <v>10</v>
      </c>
      <c r="G247" s="41" t="s">
        <v>44</v>
      </c>
      <c r="H247" s="4" t="str">
        <f>IFERROR(_xlfn.XLOOKUP(G247,Listas!E:E,Listas!F:F,""),"")</f>
        <v>Operativo</v>
      </c>
      <c r="I247" s="46" t="str">
        <f>IFERROR(_xlfn.XLOOKUP(G247,Listas!E:E,Listas!G:G,""),"")</f>
        <v>Externo</v>
      </c>
      <c r="J247" s="43">
        <v>15</v>
      </c>
      <c r="K247" s="5">
        <f t="shared" si="3"/>
        <v>-15</v>
      </c>
      <c r="L247" s="15" t="s">
        <v>128</v>
      </c>
      <c r="M247" s="44">
        <f>SUMIFS('Saldos Iniciales'!$D:$D,'Saldos Iniciales'!$A:$A,C247,'Saldos Iniciales'!$B:$B,D247)+SUMIFS($K$1:$K$1324,$C$1:$C$1324,C247,$D$1:$D$1324,D247,$B$1:$B$1324,"&lt;="&amp;B247)</f>
        <v>2422.7400000000034</v>
      </c>
      <c r="N247" s="61" t="str">
        <f>IF(tblMovimientos[[#This Row],[Tipo de Movimiento]]="Ingreso",tblMovimientos[[#This Row],[Monto (S/)]],"0")</f>
        <v>0</v>
      </c>
      <c r="O247" s="61">
        <f>IF(tblMovimientos[[#This Row],[Tipo de Movimiento]]="Egreso",tblMovimientos[[#This Row],[Monto (S/)]],"0")</f>
        <v>15</v>
      </c>
      <c r="P247" s="28">
        <f>IF(tblMovimientos[[#This Row],[Tipo de Movimiento]]="Ingreso",tblMovimientos[[#This Row],[Ingreso]],-tblMovimientos[[#This Row],[Egreso]])</f>
        <v>-15</v>
      </c>
      <c r="Q247" s="78" t="str">
        <f>_xlfn.XLOOKUP(tblMovimientos[[#This Row],[Cuenta Bancaria]],Cuentas!$C:$C,Cuentas!$A:$A,"")&amp;""</f>
        <v>SSP Group</v>
      </c>
      <c r="R247" s="78" t="str">
        <f>_xlfn.XLOOKUP(tblMovimientos[[#This Row],[Cuenta Bancaria]],Cuentas!$C:$C,Cuentas!$B:$B,"",0,-1)&amp;""</f>
        <v/>
      </c>
    </row>
    <row r="248" spans="2:18" x14ac:dyDescent="0.3">
      <c r="B248" s="39">
        <v>46177</v>
      </c>
      <c r="C248" s="4" t="str">
        <f>_xlfn.XLOOKUP(tblMovimientos[[#This Row],[Cuenta Bancaria]],Listas!$B:$B,Listas!$A:$A,"")</f>
        <v>Go Blue</v>
      </c>
      <c r="D248" s="41" t="s">
        <v>126</v>
      </c>
      <c r="E248" s="68" t="str">
        <f>_xlfn.XLOOKUP(tblMovimientos[[#This Row],[Cuenta Bancaria]],Listas!$B:$B,Listas!$C:$C,"")</f>
        <v xml:space="preserve">Amerant Bank </v>
      </c>
      <c r="F248" s="41" t="s">
        <v>10</v>
      </c>
      <c r="G248" s="41" t="s">
        <v>44</v>
      </c>
      <c r="H248" s="4" t="str">
        <f>IFERROR(_xlfn.XLOOKUP(G248,Listas!E:E,Listas!F:F,""),"")</f>
        <v>Operativo</v>
      </c>
      <c r="I248" s="46" t="str">
        <f>IFERROR(_xlfn.XLOOKUP(G248,Listas!E:E,Listas!G:G,""),"")</f>
        <v>Externo</v>
      </c>
      <c r="J248" s="43">
        <v>15</v>
      </c>
      <c r="K248" s="5">
        <f t="shared" si="3"/>
        <v>-15</v>
      </c>
      <c r="L248" s="15" t="s">
        <v>128</v>
      </c>
      <c r="M248" s="44">
        <f>SUMIFS('Saldos Iniciales'!$D:$D,'Saldos Iniciales'!$A:$A,C248,'Saldos Iniciales'!$B:$B,D248)+SUMIFS($K$1:$K$1324,$C$1:$C$1324,C248,$D$1:$D$1324,D248,$B$1:$B$1324,"&lt;="&amp;B248)</f>
        <v>2422.7400000000034</v>
      </c>
      <c r="N248" s="61" t="str">
        <f>IF(tblMovimientos[[#This Row],[Tipo de Movimiento]]="Ingreso",tblMovimientos[[#This Row],[Monto (S/)]],"0")</f>
        <v>0</v>
      </c>
      <c r="O248" s="61">
        <f>IF(tblMovimientos[[#This Row],[Tipo de Movimiento]]="Egreso",tblMovimientos[[#This Row],[Monto (S/)]],"0")</f>
        <v>15</v>
      </c>
      <c r="P248" s="28">
        <f>IF(tblMovimientos[[#This Row],[Tipo de Movimiento]]="Ingreso",tblMovimientos[[#This Row],[Ingreso]],-tblMovimientos[[#This Row],[Egreso]])</f>
        <v>-15</v>
      </c>
      <c r="Q248" s="78" t="str">
        <f>_xlfn.XLOOKUP(tblMovimientos[[#This Row],[Cuenta Bancaria]],Cuentas!$C:$C,Cuentas!$A:$A,"")&amp;""</f>
        <v>SSP Group</v>
      </c>
      <c r="R248" s="78" t="str">
        <f>_xlfn.XLOOKUP(tblMovimientos[[#This Row],[Cuenta Bancaria]],Cuentas!$C:$C,Cuentas!$B:$B,"",0,-1)&amp;""</f>
        <v/>
      </c>
    </row>
    <row r="249" spans="2:18" x14ac:dyDescent="0.3">
      <c r="B249" s="39">
        <v>46177</v>
      </c>
      <c r="C249" s="4" t="str">
        <f>_xlfn.XLOOKUP(tblMovimientos[[#This Row],[Cuenta Bancaria]],Listas!$B:$B,Listas!$A:$A,"")</f>
        <v>SSP Capital</v>
      </c>
      <c r="D249" s="41" t="s">
        <v>101</v>
      </c>
      <c r="E249" s="68" t="str">
        <f>_xlfn.XLOOKUP(tblMovimientos[[#This Row],[Cuenta Bancaria]],Listas!$B:$B,Listas!$C:$C,"")</f>
        <v>Bank of America</v>
      </c>
      <c r="F249" s="41" t="s">
        <v>9</v>
      </c>
      <c r="G249" s="41" t="s">
        <v>68</v>
      </c>
      <c r="H249" s="4" t="str">
        <f>IFERROR(_xlfn.XLOOKUP(G249,Listas!E:E,Listas!F:F,""),"")</f>
        <v>Operativo</v>
      </c>
      <c r="I249" s="46" t="str">
        <f>IFERROR(_xlfn.XLOOKUP(G249,Listas!E:E,Listas!G:G,""),"")</f>
        <v>Externo</v>
      </c>
      <c r="J249" s="43">
        <v>15307.88</v>
      </c>
      <c r="K249" s="5">
        <f t="shared" si="3"/>
        <v>15307.88</v>
      </c>
      <c r="L249" s="15" t="s">
        <v>128</v>
      </c>
      <c r="M249" s="44">
        <f>SUMIFS('Saldos Iniciales'!$D:$D,'Saldos Iniciales'!$A:$A,C249,'Saldos Iniciales'!$B:$B,D249)+SUMIFS($K$1:$K$1324,$C$1:$C$1324,C249,$D$1:$D$1324,D249,$B$1:$B$1324,"&lt;="&amp;B249)</f>
        <v>25322.66</v>
      </c>
      <c r="N249" s="61">
        <f>IF(tblMovimientos[[#This Row],[Tipo de Movimiento]]="Ingreso",tblMovimientos[[#This Row],[Monto (S/)]],"0")</f>
        <v>15307.88</v>
      </c>
      <c r="O249" s="61" t="str">
        <f>IF(tblMovimientos[[#This Row],[Tipo de Movimiento]]="Egreso",tblMovimientos[[#This Row],[Monto (S/)]],"0")</f>
        <v>0</v>
      </c>
      <c r="P249" s="28">
        <f>IF(tblMovimientos[[#This Row],[Tipo de Movimiento]]="Ingreso",tblMovimientos[[#This Row],[Ingreso]],-tblMovimientos[[#This Row],[Egreso]])</f>
        <v>15307.88</v>
      </c>
      <c r="Q249" s="78" t="str">
        <f>_xlfn.XLOOKUP(tblMovimientos[[#This Row],[Cuenta Bancaria]],Cuentas!$C:$C,Cuentas!$A:$A,"")&amp;""</f>
        <v>SSP Group</v>
      </c>
      <c r="R249" s="78" t="str">
        <f>_xlfn.XLOOKUP(tblMovimientos[[#This Row],[Cuenta Bancaria]],Cuentas!$C:$C,Cuentas!$B:$B,"",0,-1)&amp;""</f>
        <v/>
      </c>
    </row>
    <row r="250" spans="2:18" x14ac:dyDescent="0.3">
      <c r="B250" s="39">
        <v>46177</v>
      </c>
      <c r="C250" s="4" t="str">
        <f>_xlfn.XLOOKUP(tblMovimientos[[#This Row],[Cuenta Bancaria]],Listas!$B:$B,Listas!$A:$A,"")</f>
        <v>SSP Capital</v>
      </c>
      <c r="D250" s="41" t="s">
        <v>101</v>
      </c>
      <c r="E250" s="68" t="str">
        <f>_xlfn.XLOOKUP(tblMovimientos[[#This Row],[Cuenta Bancaria]],Listas!$B:$B,Listas!$C:$C,"")</f>
        <v>Bank of America</v>
      </c>
      <c r="F250" s="41" t="s">
        <v>10</v>
      </c>
      <c r="G250" s="41" t="s">
        <v>38</v>
      </c>
      <c r="H250" s="4" t="str">
        <f>IFERROR(_xlfn.XLOOKUP(G250,Listas!E:E,Listas!F:F,""),"")</f>
        <v>Operativo</v>
      </c>
      <c r="I250" s="46" t="str">
        <f>IFERROR(_xlfn.XLOOKUP(G250,Listas!E:E,Listas!G:G,""),"")</f>
        <v>Externo</v>
      </c>
      <c r="J250" s="43">
        <v>538.41999999999996</v>
      </c>
      <c r="K250" s="5">
        <f t="shared" si="3"/>
        <v>-538.41999999999996</v>
      </c>
      <c r="L250" s="15" t="s">
        <v>128</v>
      </c>
      <c r="M250" s="44">
        <f>SUMIFS('Saldos Iniciales'!$D:$D,'Saldos Iniciales'!$A:$A,C250,'Saldos Iniciales'!$B:$B,D250)+SUMIFS($K$1:$K$1324,$C$1:$C$1324,C250,$D$1:$D$1324,D250,$B$1:$B$1324,"&lt;="&amp;B250)</f>
        <v>25322.66</v>
      </c>
      <c r="N250" s="61" t="str">
        <f>IF(tblMovimientos[[#This Row],[Tipo de Movimiento]]="Ingreso",tblMovimientos[[#This Row],[Monto (S/)]],"0")</f>
        <v>0</v>
      </c>
      <c r="O250" s="61">
        <f>IF(tblMovimientos[[#This Row],[Tipo de Movimiento]]="Egreso",tblMovimientos[[#This Row],[Monto (S/)]],"0")</f>
        <v>538.41999999999996</v>
      </c>
      <c r="P250" s="28">
        <f>IF(tblMovimientos[[#This Row],[Tipo de Movimiento]]="Ingreso",tblMovimientos[[#This Row],[Ingreso]],-tblMovimientos[[#This Row],[Egreso]])</f>
        <v>-538.41999999999996</v>
      </c>
      <c r="Q250" s="78" t="str">
        <f>_xlfn.XLOOKUP(tblMovimientos[[#This Row],[Cuenta Bancaria]],Cuentas!$C:$C,Cuentas!$A:$A,"")&amp;""</f>
        <v>SSP Group</v>
      </c>
      <c r="R250" s="78" t="str">
        <f>_xlfn.XLOOKUP(tblMovimientos[[#This Row],[Cuenta Bancaria]],Cuentas!$C:$C,Cuentas!$B:$B,"",0,-1)&amp;""</f>
        <v/>
      </c>
    </row>
    <row r="251" spans="2:18" x14ac:dyDescent="0.3">
      <c r="B251" s="39">
        <v>46177</v>
      </c>
      <c r="C251" s="4" t="str">
        <f>_xlfn.XLOOKUP(tblMovimientos[[#This Row],[Cuenta Bancaria]],Listas!$B:$B,Listas!$A:$A,"")</f>
        <v>A&amp;M Imports</v>
      </c>
      <c r="D251" s="41" t="s">
        <v>100</v>
      </c>
      <c r="E251" s="68" t="str">
        <f>_xlfn.XLOOKUP(tblMovimientos[[#This Row],[Cuenta Bancaria]],Listas!$B:$B,Listas!$C:$C,"")</f>
        <v>Bank of America</v>
      </c>
      <c r="F251" s="41" t="s">
        <v>10</v>
      </c>
      <c r="G251" s="41" t="s">
        <v>61</v>
      </c>
      <c r="H251" s="4" t="str">
        <f>IFERROR(_xlfn.XLOOKUP(G251,Listas!E:E,Listas!F:F,""),"")</f>
        <v>Operativo</v>
      </c>
      <c r="I251" s="46" t="str">
        <f>IFERROR(_xlfn.XLOOKUP(G251,Listas!E:E,Listas!G:G,""),"")</f>
        <v>Externo</v>
      </c>
      <c r="J251" s="43">
        <v>60000</v>
      </c>
      <c r="K251" s="5">
        <f t="shared" si="3"/>
        <v>-60000</v>
      </c>
      <c r="L251" s="15" t="s">
        <v>128</v>
      </c>
      <c r="M251" s="44">
        <f>SUMIFS('Saldos Iniciales'!$D:$D,'Saldos Iniciales'!$A:$A,C251,'Saldos Iniciales'!$B:$B,D251)+SUMIFS($K$1:$K$1324,$C$1:$C$1324,C251,$D$1:$D$1324,D251,$B$1:$B$1324,"&lt;="&amp;B251)</f>
        <v>729545.23999999987</v>
      </c>
      <c r="N251" s="61" t="str">
        <f>IF(tblMovimientos[[#This Row],[Tipo de Movimiento]]="Ingreso",tblMovimientos[[#This Row],[Monto (S/)]],"0")</f>
        <v>0</v>
      </c>
      <c r="O251" s="61">
        <f>IF(tblMovimientos[[#This Row],[Tipo de Movimiento]]="Egreso",tblMovimientos[[#This Row],[Monto (S/)]],"0")</f>
        <v>60000</v>
      </c>
      <c r="P251" s="28">
        <f>IF(tblMovimientos[[#This Row],[Tipo de Movimiento]]="Ingreso",tblMovimientos[[#This Row],[Ingreso]],-tblMovimientos[[#This Row],[Egreso]])</f>
        <v>-60000</v>
      </c>
      <c r="Q251" s="78" t="str">
        <f>_xlfn.XLOOKUP(tblMovimientos[[#This Row],[Cuenta Bancaria]],Cuentas!$C:$C,Cuentas!$A:$A,"")&amp;""</f>
        <v>SSP Group</v>
      </c>
      <c r="R251" s="78" t="str">
        <f>_xlfn.XLOOKUP(tblMovimientos[[#This Row],[Cuenta Bancaria]],Cuentas!$C:$C,Cuentas!$B:$B,"",0,-1)&amp;""</f>
        <v/>
      </c>
    </row>
    <row r="252" spans="2:18" x14ac:dyDescent="0.3">
      <c r="B252" s="39">
        <v>46177</v>
      </c>
      <c r="C252" s="4" t="str">
        <f>_xlfn.XLOOKUP(tblMovimientos[[#This Row],[Cuenta Bancaria]],Listas!$B:$B,Listas!$A:$A,"")</f>
        <v>A&amp;M Imports</v>
      </c>
      <c r="D252" s="41" t="s">
        <v>100</v>
      </c>
      <c r="E252" s="68" t="str">
        <f>_xlfn.XLOOKUP(tblMovimientos[[#This Row],[Cuenta Bancaria]],Listas!$B:$B,Listas!$C:$C,"")</f>
        <v>Bank of America</v>
      </c>
      <c r="F252" s="41" t="s">
        <v>10</v>
      </c>
      <c r="G252" s="41" t="s">
        <v>49</v>
      </c>
      <c r="H252" s="4" t="str">
        <f>IFERROR(_xlfn.XLOOKUP(G252,Listas!E:E,Listas!F:F,""),"")</f>
        <v>Financiamiento</v>
      </c>
      <c r="I252" s="46" t="str">
        <f>IFERROR(_xlfn.XLOOKUP(G252,Listas!E:E,Listas!G:G,""),"")</f>
        <v>Externo</v>
      </c>
      <c r="J252" s="43">
        <v>15307.88</v>
      </c>
      <c r="K252" s="5">
        <f t="shared" si="3"/>
        <v>-15307.88</v>
      </c>
      <c r="L252" s="15" t="s">
        <v>128</v>
      </c>
      <c r="M252" s="44">
        <f>SUMIFS('Saldos Iniciales'!$D:$D,'Saldos Iniciales'!$A:$A,C252,'Saldos Iniciales'!$B:$B,D252)+SUMIFS($K$1:$K$1324,$C$1:$C$1324,C252,$D$1:$D$1324,D252,$B$1:$B$1324,"&lt;="&amp;B252)</f>
        <v>729545.23999999987</v>
      </c>
      <c r="N252" s="61" t="str">
        <f>IF(tblMovimientos[[#This Row],[Tipo de Movimiento]]="Ingreso",tblMovimientos[[#This Row],[Monto (S/)]],"0")</f>
        <v>0</v>
      </c>
      <c r="O252" s="61">
        <f>IF(tblMovimientos[[#This Row],[Tipo de Movimiento]]="Egreso",tblMovimientos[[#This Row],[Monto (S/)]],"0")</f>
        <v>15307.88</v>
      </c>
      <c r="P252" s="28">
        <f>IF(tblMovimientos[[#This Row],[Tipo de Movimiento]]="Ingreso",tblMovimientos[[#This Row],[Ingreso]],-tblMovimientos[[#This Row],[Egreso]])</f>
        <v>-15307.88</v>
      </c>
      <c r="Q252" s="78" t="str">
        <f>_xlfn.XLOOKUP(tblMovimientos[[#This Row],[Cuenta Bancaria]],Cuentas!$C:$C,Cuentas!$A:$A,"")&amp;""</f>
        <v>SSP Group</v>
      </c>
      <c r="R252" s="78" t="str">
        <f>_xlfn.XLOOKUP(tblMovimientos[[#This Row],[Cuenta Bancaria]],Cuentas!$C:$C,Cuentas!$B:$B,"",0,-1)&amp;""</f>
        <v/>
      </c>
    </row>
    <row r="253" spans="2:18" x14ac:dyDescent="0.3">
      <c r="B253" s="39">
        <v>46177</v>
      </c>
      <c r="C253" s="4" t="str">
        <f>_xlfn.XLOOKUP(tblMovimientos[[#This Row],[Cuenta Bancaria]],Listas!$B:$B,Listas!$A:$A,"")</f>
        <v>CFT Group</v>
      </c>
      <c r="D253" s="41" t="s">
        <v>94</v>
      </c>
      <c r="E253" s="68" t="str">
        <f>_xlfn.XLOOKUP(tblMovimientos[[#This Row],[Cuenta Bancaria]],Listas!$B:$B,Listas!$C:$C,"")</f>
        <v>Bank of America</v>
      </c>
      <c r="F253" s="41" t="s">
        <v>10</v>
      </c>
      <c r="G253" s="41" t="s">
        <v>64</v>
      </c>
      <c r="H253" s="4" t="str">
        <f>IFERROR(_xlfn.XLOOKUP(G253,Listas!E:E,Listas!F:F,""),"")</f>
        <v>Operativo</v>
      </c>
      <c r="I253" s="46" t="str">
        <f>IFERROR(_xlfn.XLOOKUP(G253,Listas!E:E,Listas!G:G,""),"")</f>
        <v>Interno</v>
      </c>
      <c r="J253" s="43">
        <v>185000</v>
      </c>
      <c r="K253" s="5">
        <f t="shared" si="3"/>
        <v>-185000</v>
      </c>
      <c r="L253" s="15" t="s">
        <v>128</v>
      </c>
      <c r="M253" s="44">
        <f>SUMIFS('Saldos Iniciales'!$D:$D,'Saldos Iniciales'!$A:$A,C253,'Saldos Iniciales'!$B:$B,D253)+SUMIFS($K$1:$K$1324,$C$1:$C$1324,C253,$D$1:$D$1324,D253,$B$1:$B$1324,"&lt;="&amp;B253)</f>
        <v>8489.5799999999872</v>
      </c>
      <c r="N253" s="61" t="str">
        <f>IF(tblMovimientos[[#This Row],[Tipo de Movimiento]]="Ingreso",tblMovimientos[[#This Row],[Monto (S/)]],"0")</f>
        <v>0</v>
      </c>
      <c r="O253" s="61">
        <f>IF(tblMovimientos[[#This Row],[Tipo de Movimiento]]="Egreso",tblMovimientos[[#This Row],[Monto (S/)]],"0")</f>
        <v>185000</v>
      </c>
      <c r="P253" s="28">
        <f>IF(tblMovimientos[[#This Row],[Tipo de Movimiento]]="Ingreso",tblMovimientos[[#This Row],[Ingreso]],-tblMovimientos[[#This Row],[Egreso]])</f>
        <v>-185000</v>
      </c>
      <c r="Q253" s="78" t="str">
        <f>_xlfn.XLOOKUP(tblMovimientos[[#This Row],[Cuenta Bancaria]],Cuentas!$C:$C,Cuentas!$A:$A,"")&amp;""</f>
        <v>SSP Group</v>
      </c>
      <c r="R253" s="78" t="str">
        <f>_xlfn.XLOOKUP(tblMovimientos[[#This Row],[Cuenta Bancaria]],Cuentas!$C:$C,Cuentas!$B:$B,"",0,-1)&amp;""</f>
        <v/>
      </c>
    </row>
    <row r="254" spans="2:18" x14ac:dyDescent="0.3">
      <c r="B254" s="39">
        <v>46177</v>
      </c>
      <c r="C254" s="4" t="str">
        <f>_xlfn.XLOOKUP(tblMovimientos[[#This Row],[Cuenta Bancaria]],Listas!$B:$B,Listas!$A:$A,"")</f>
        <v>CFT Group</v>
      </c>
      <c r="D254" s="41" t="s">
        <v>95</v>
      </c>
      <c r="E254" s="68" t="str">
        <f>_xlfn.XLOOKUP(tblMovimientos[[#This Row],[Cuenta Bancaria]],Listas!$B:$B,Listas!$C:$C,"")</f>
        <v xml:space="preserve">Amerant Bank </v>
      </c>
      <c r="F254" s="41" t="s">
        <v>9</v>
      </c>
      <c r="G254" s="41" t="s">
        <v>85</v>
      </c>
      <c r="H254" s="4" t="str">
        <f>IFERROR(_xlfn.XLOOKUP(G254,Listas!E:E,Listas!F:F,""),"")</f>
        <v>Operativo</v>
      </c>
      <c r="I254" s="46" t="str">
        <f>IFERROR(_xlfn.XLOOKUP(G254,Listas!E:E,Listas!G:G,""),"")</f>
        <v>Interno</v>
      </c>
      <c r="J254" s="43">
        <v>185000</v>
      </c>
      <c r="K254" s="5">
        <f t="shared" si="3"/>
        <v>185000</v>
      </c>
      <c r="L254" s="15" t="s">
        <v>128</v>
      </c>
      <c r="M254" s="44">
        <f>SUMIFS('Saldos Iniciales'!$D:$D,'Saldos Iniciales'!$A:$A,C254,'Saldos Iniciales'!$B:$B,D254)+SUMIFS($K$1:$K$1324,$C$1:$C$1324,C254,$D$1:$D$1324,D254,$B$1:$B$1324,"&lt;="&amp;B254)</f>
        <v>719648.53</v>
      </c>
      <c r="N254" s="61">
        <f>IF(tblMovimientos[[#This Row],[Tipo de Movimiento]]="Ingreso",tblMovimientos[[#This Row],[Monto (S/)]],"0")</f>
        <v>185000</v>
      </c>
      <c r="O254" s="61" t="str">
        <f>IF(tblMovimientos[[#This Row],[Tipo de Movimiento]]="Egreso",tblMovimientos[[#This Row],[Monto (S/)]],"0")</f>
        <v>0</v>
      </c>
      <c r="P254" s="28">
        <f>IF(tblMovimientos[[#This Row],[Tipo de Movimiento]]="Ingreso",tblMovimientos[[#This Row],[Ingreso]],-tblMovimientos[[#This Row],[Egreso]])</f>
        <v>185000</v>
      </c>
      <c r="Q254" s="78" t="str">
        <f>_xlfn.XLOOKUP(tblMovimientos[[#This Row],[Cuenta Bancaria]],Cuentas!$C:$C,Cuentas!$A:$A,"")&amp;""</f>
        <v>SSP Group</v>
      </c>
      <c r="R254" s="78" t="str">
        <f>_xlfn.XLOOKUP(tblMovimientos[[#This Row],[Cuenta Bancaria]],Cuentas!$C:$C,Cuentas!$B:$B,"",0,-1)&amp;""</f>
        <v/>
      </c>
    </row>
    <row r="255" spans="2:18" x14ac:dyDescent="0.3">
      <c r="B255" s="39">
        <v>46177</v>
      </c>
      <c r="C255" s="4" t="str">
        <f>_xlfn.XLOOKUP(tblMovimientos[[#This Row],[Cuenta Bancaria]],Listas!$B:$B,Listas!$A:$A,"")</f>
        <v>CFT Group</v>
      </c>
      <c r="D255" s="41" t="s">
        <v>95</v>
      </c>
      <c r="E255" s="68" t="str">
        <f>_xlfn.XLOOKUP(tblMovimientos[[#This Row],[Cuenta Bancaria]],Listas!$B:$B,Listas!$C:$C,"")</f>
        <v xml:space="preserve">Amerant Bank </v>
      </c>
      <c r="F255" s="41" t="s">
        <v>10</v>
      </c>
      <c r="G255" s="41" t="s">
        <v>61</v>
      </c>
      <c r="H255" s="4" t="str">
        <f>IFERROR(_xlfn.XLOOKUP(G255,Listas!E:E,Listas!F:F,""),"")</f>
        <v>Operativo</v>
      </c>
      <c r="I255" s="46" t="str">
        <f>IFERROR(_xlfn.XLOOKUP(G255,Listas!E:E,Listas!G:G,""),"")</f>
        <v>Externo</v>
      </c>
      <c r="J255" s="43">
        <v>30000</v>
      </c>
      <c r="K255" s="5">
        <f t="shared" si="3"/>
        <v>-30000</v>
      </c>
      <c r="L255" s="15" t="s">
        <v>128</v>
      </c>
      <c r="M255" s="44">
        <f>SUMIFS('Saldos Iniciales'!$D:$D,'Saldos Iniciales'!$A:$A,C255,'Saldos Iniciales'!$B:$B,D255)+SUMIFS($K$1:$K$1324,$C$1:$C$1324,C255,$D$1:$D$1324,D255,$B$1:$B$1324,"&lt;="&amp;B255)</f>
        <v>719648.53</v>
      </c>
      <c r="N255" s="61" t="str">
        <f>IF(tblMovimientos[[#This Row],[Tipo de Movimiento]]="Ingreso",tblMovimientos[[#This Row],[Monto (S/)]],"0")</f>
        <v>0</v>
      </c>
      <c r="O255" s="61">
        <f>IF(tblMovimientos[[#This Row],[Tipo de Movimiento]]="Egreso",tblMovimientos[[#This Row],[Monto (S/)]],"0")</f>
        <v>30000</v>
      </c>
      <c r="P255" s="28">
        <f>IF(tblMovimientos[[#This Row],[Tipo de Movimiento]]="Ingreso",tblMovimientos[[#This Row],[Ingreso]],-tblMovimientos[[#This Row],[Egreso]])</f>
        <v>-30000</v>
      </c>
      <c r="Q255" s="78" t="str">
        <f>_xlfn.XLOOKUP(tblMovimientos[[#This Row],[Cuenta Bancaria]],Cuentas!$C:$C,Cuentas!$A:$A,"")&amp;""</f>
        <v>SSP Group</v>
      </c>
      <c r="R255" s="78" t="str">
        <f>_xlfn.XLOOKUP(tblMovimientos[[#This Row],[Cuenta Bancaria]],Cuentas!$C:$C,Cuentas!$B:$B,"",0,-1)&amp;""</f>
        <v/>
      </c>
    </row>
    <row r="256" spans="2:18" x14ac:dyDescent="0.3">
      <c r="B256" s="39">
        <v>46177</v>
      </c>
      <c r="C256" s="4" t="str">
        <f>_xlfn.XLOOKUP(tblMovimientos[[#This Row],[Cuenta Bancaria]],Listas!$B:$B,Listas!$A:$A,"")</f>
        <v>CFT Group</v>
      </c>
      <c r="D256" s="41" t="s">
        <v>95</v>
      </c>
      <c r="E256" s="68" t="str">
        <f>_xlfn.XLOOKUP(tblMovimientos[[#This Row],[Cuenta Bancaria]],Listas!$B:$B,Listas!$C:$C,"")</f>
        <v xml:space="preserve">Amerant Bank </v>
      </c>
      <c r="F256" s="41" t="s">
        <v>10</v>
      </c>
      <c r="G256" s="41" t="s">
        <v>61</v>
      </c>
      <c r="H256" s="4" t="str">
        <f>IFERROR(_xlfn.XLOOKUP(G256,Listas!E:E,Listas!F:F,""),"")</f>
        <v>Operativo</v>
      </c>
      <c r="I256" s="46" t="str">
        <f>IFERROR(_xlfn.XLOOKUP(G256,Listas!E:E,Listas!G:G,""),"")</f>
        <v>Externo</v>
      </c>
      <c r="J256" s="43">
        <v>70000</v>
      </c>
      <c r="K256" s="5">
        <f t="shared" si="3"/>
        <v>-70000</v>
      </c>
      <c r="L256" s="15" t="s">
        <v>128</v>
      </c>
      <c r="M256" s="44">
        <f>SUMIFS('Saldos Iniciales'!$D:$D,'Saldos Iniciales'!$A:$A,C256,'Saldos Iniciales'!$B:$B,D256)+SUMIFS($K$1:$K$1324,$C$1:$C$1324,C256,$D$1:$D$1324,D256,$B$1:$B$1324,"&lt;="&amp;B256)</f>
        <v>719648.53</v>
      </c>
      <c r="N256" s="61" t="str">
        <f>IF(tblMovimientos[[#This Row],[Tipo de Movimiento]]="Ingreso",tblMovimientos[[#This Row],[Monto (S/)]],"0")</f>
        <v>0</v>
      </c>
      <c r="O256" s="61">
        <f>IF(tblMovimientos[[#This Row],[Tipo de Movimiento]]="Egreso",tblMovimientos[[#This Row],[Monto (S/)]],"0")</f>
        <v>70000</v>
      </c>
      <c r="P256" s="28">
        <f>IF(tblMovimientos[[#This Row],[Tipo de Movimiento]]="Ingreso",tblMovimientos[[#This Row],[Ingreso]],-tblMovimientos[[#This Row],[Egreso]])</f>
        <v>-70000</v>
      </c>
      <c r="Q256" s="78" t="str">
        <f>_xlfn.XLOOKUP(tblMovimientos[[#This Row],[Cuenta Bancaria]],Cuentas!$C:$C,Cuentas!$A:$A,"")&amp;""</f>
        <v>SSP Group</v>
      </c>
      <c r="R256" s="78" t="str">
        <f>_xlfn.XLOOKUP(tblMovimientos[[#This Row],[Cuenta Bancaria]],Cuentas!$C:$C,Cuentas!$B:$B,"",0,-1)&amp;""</f>
        <v/>
      </c>
    </row>
    <row r="257" spans="2:18" x14ac:dyDescent="0.3">
      <c r="B257" s="39">
        <v>46177</v>
      </c>
      <c r="C257" s="4" t="str">
        <f>_xlfn.XLOOKUP(tblMovimientos[[#This Row],[Cuenta Bancaria]],Listas!$B:$B,Listas!$A:$A,"")</f>
        <v>CFT Group</v>
      </c>
      <c r="D257" s="41" t="s">
        <v>95</v>
      </c>
      <c r="E257" s="68" t="str">
        <f>_xlfn.XLOOKUP(tblMovimientos[[#This Row],[Cuenta Bancaria]],Listas!$B:$B,Listas!$C:$C,"")</f>
        <v xml:space="preserve">Amerant Bank </v>
      </c>
      <c r="F257" s="41" t="s">
        <v>10</v>
      </c>
      <c r="G257" s="41" t="s">
        <v>50</v>
      </c>
      <c r="H257" s="4" t="str">
        <f>IFERROR(_xlfn.XLOOKUP(G257,Listas!E:E,Listas!F:F,""),"")</f>
        <v>Financiamiento</v>
      </c>
      <c r="I257" s="46" t="str">
        <f>IFERROR(_xlfn.XLOOKUP(G257,Listas!E:E,Listas!G:G,""),"")</f>
        <v>Externo</v>
      </c>
      <c r="J257" s="43">
        <v>150000</v>
      </c>
      <c r="K257" s="5">
        <f t="shared" si="3"/>
        <v>-150000</v>
      </c>
      <c r="L257" s="15" t="s">
        <v>128</v>
      </c>
      <c r="M257" s="44">
        <f>SUMIFS('Saldos Iniciales'!$D:$D,'Saldos Iniciales'!$A:$A,C257,'Saldos Iniciales'!$B:$B,D257)+SUMIFS($K$1:$K$1324,$C$1:$C$1324,C257,$D$1:$D$1324,D257,$B$1:$B$1324,"&lt;="&amp;B257)</f>
        <v>719648.53</v>
      </c>
      <c r="N257" s="61" t="str">
        <f>IF(tblMovimientos[[#This Row],[Tipo de Movimiento]]="Ingreso",tblMovimientos[[#This Row],[Monto (S/)]],"0")</f>
        <v>0</v>
      </c>
      <c r="O257" s="61">
        <f>IF(tblMovimientos[[#This Row],[Tipo de Movimiento]]="Egreso",tblMovimientos[[#This Row],[Monto (S/)]],"0")</f>
        <v>150000</v>
      </c>
      <c r="P257" s="28">
        <f>IF(tblMovimientos[[#This Row],[Tipo de Movimiento]]="Ingreso",tblMovimientos[[#This Row],[Ingreso]],-tblMovimientos[[#This Row],[Egreso]])</f>
        <v>-150000</v>
      </c>
      <c r="Q257" s="78" t="str">
        <f>_xlfn.XLOOKUP(tblMovimientos[[#This Row],[Cuenta Bancaria]],Cuentas!$C:$C,Cuentas!$A:$A,"")&amp;""</f>
        <v>SSP Group</v>
      </c>
      <c r="R257" s="78" t="str">
        <f>_xlfn.XLOOKUP(tblMovimientos[[#This Row],[Cuenta Bancaria]],Cuentas!$C:$C,Cuentas!$B:$B,"",0,-1)&amp;""</f>
        <v/>
      </c>
    </row>
    <row r="258" spans="2:18" x14ac:dyDescent="0.3">
      <c r="B258" s="39">
        <v>46177</v>
      </c>
      <c r="C258" s="4" t="str">
        <f>_xlfn.XLOOKUP(tblMovimientos[[#This Row],[Cuenta Bancaria]],Listas!$B:$B,Listas!$A:$A,"")</f>
        <v>EC Auto</v>
      </c>
      <c r="D258" s="41" t="s">
        <v>119</v>
      </c>
      <c r="E258" s="68" t="str">
        <f>_xlfn.XLOOKUP(tblMovimientos[[#This Row],[Cuenta Bancaria]],Listas!$B:$B,Listas!$C:$C,"")</f>
        <v xml:space="preserve">Amerant Bank </v>
      </c>
      <c r="F258" s="41" t="s">
        <v>10</v>
      </c>
      <c r="G258" s="41" t="s">
        <v>38</v>
      </c>
      <c r="H258" s="4" t="str">
        <f>IFERROR(_xlfn.XLOOKUP(G258,Listas!E:E,Listas!F:F,""),"")</f>
        <v>Operativo</v>
      </c>
      <c r="I258" s="46" t="str">
        <f>IFERROR(_xlfn.XLOOKUP(G258,Listas!E:E,Listas!G:G,""),"")</f>
        <v>Externo</v>
      </c>
      <c r="J258" s="43">
        <v>518.65</v>
      </c>
      <c r="K258" s="5">
        <f t="shared" ref="K258:K321" si="4">IF(F258="Ingreso",J258,-J258)</f>
        <v>-518.65</v>
      </c>
      <c r="L258" s="15" t="s">
        <v>128</v>
      </c>
      <c r="M258" s="44">
        <f>SUMIFS('Saldos Iniciales'!$D:$D,'Saldos Iniciales'!$A:$A,C258,'Saldos Iniciales'!$B:$B,D258)+SUMIFS($K$1:$K$1324,$C$1:$C$1324,C258,$D$1:$D$1324,D258,$B$1:$B$1324,"&lt;="&amp;B258)</f>
        <v>382.69000000000005</v>
      </c>
      <c r="N258" s="61" t="str">
        <f>IF(tblMovimientos[[#This Row],[Tipo de Movimiento]]="Ingreso",tblMovimientos[[#This Row],[Monto (S/)]],"0")</f>
        <v>0</v>
      </c>
      <c r="O258" s="61">
        <f>IF(tblMovimientos[[#This Row],[Tipo de Movimiento]]="Egreso",tblMovimientos[[#This Row],[Monto (S/)]],"0")</f>
        <v>518.65</v>
      </c>
      <c r="P258" s="28">
        <f>IF(tblMovimientos[[#This Row],[Tipo de Movimiento]]="Ingreso",tblMovimientos[[#This Row],[Ingreso]],-tblMovimientos[[#This Row],[Egreso]])</f>
        <v>-518.65</v>
      </c>
      <c r="Q258" s="78" t="str">
        <f>_xlfn.XLOOKUP(tblMovimientos[[#This Row],[Cuenta Bancaria]],Cuentas!$C:$C,Cuentas!$A:$A,"")&amp;""</f>
        <v>SSP Group</v>
      </c>
      <c r="R258" s="78" t="str">
        <f>_xlfn.XLOOKUP(tblMovimientos[[#This Row],[Cuenta Bancaria]],Cuentas!$C:$C,Cuentas!$B:$B,"",0,-1)&amp;""</f>
        <v/>
      </c>
    </row>
    <row r="259" spans="2:18" x14ac:dyDescent="0.3">
      <c r="B259" s="39">
        <v>46177</v>
      </c>
      <c r="C259" s="4" t="str">
        <f>_xlfn.XLOOKUP(tblMovimientos[[#This Row],[Cuenta Bancaria]],Listas!$B:$B,Listas!$A:$A,"")</f>
        <v>Cross Family Trust</v>
      </c>
      <c r="D259" s="41" t="s">
        <v>111</v>
      </c>
      <c r="E259" s="68" t="str">
        <f>_xlfn.XLOOKUP(tblMovimientos[[#This Row],[Cuenta Bancaria]],Listas!$B:$B,Listas!$C:$C,"")</f>
        <v xml:space="preserve">Amerant Bank </v>
      </c>
      <c r="F259" s="41" t="s">
        <v>10</v>
      </c>
      <c r="G259" s="41" t="s">
        <v>64</v>
      </c>
      <c r="H259" s="4" t="str">
        <f>IFERROR(_xlfn.XLOOKUP(G259,Listas!E:E,Listas!F:F,""),"")</f>
        <v>Operativo</v>
      </c>
      <c r="I259" s="46" t="str">
        <f>IFERROR(_xlfn.XLOOKUP(G259,Listas!E:E,Listas!G:G,""),"")</f>
        <v>Interno</v>
      </c>
      <c r="J259" s="43">
        <v>9000</v>
      </c>
      <c r="K259" s="5">
        <f t="shared" si="4"/>
        <v>-9000</v>
      </c>
      <c r="L259" s="15" t="s">
        <v>128</v>
      </c>
      <c r="M259" s="44">
        <f>SUMIFS('Saldos Iniciales'!$D:$D,'Saldos Iniciales'!$A:$A,C259,'Saldos Iniciales'!$B:$B,D259)+SUMIFS($K$1:$K$1324,$C$1:$C$1324,C259,$D$1:$D$1324,D259,$B$1:$B$1324,"&lt;="&amp;B259)</f>
        <v>1717.6000000000058</v>
      </c>
      <c r="N259" s="61" t="str">
        <f>IF(tblMovimientos[[#This Row],[Tipo de Movimiento]]="Ingreso",tblMovimientos[[#This Row],[Monto (S/)]],"0")</f>
        <v>0</v>
      </c>
      <c r="O259" s="61">
        <f>IF(tblMovimientos[[#This Row],[Tipo de Movimiento]]="Egreso",tblMovimientos[[#This Row],[Monto (S/)]],"0")</f>
        <v>9000</v>
      </c>
      <c r="P259" s="28">
        <f>IF(tblMovimientos[[#This Row],[Tipo de Movimiento]]="Ingreso",tblMovimientos[[#This Row],[Ingreso]],-tblMovimientos[[#This Row],[Egreso]])</f>
        <v>-9000</v>
      </c>
      <c r="Q259" s="78" t="str">
        <f>_xlfn.XLOOKUP(tblMovimientos[[#This Row],[Cuenta Bancaria]],Cuentas!$C:$C,Cuentas!$A:$A,"")&amp;""</f>
        <v>SSP Group</v>
      </c>
      <c r="R259" s="78" t="str">
        <f>_xlfn.XLOOKUP(tblMovimientos[[#This Row],[Cuenta Bancaria]],Cuentas!$C:$C,Cuentas!$B:$B,"",0,-1)&amp;""</f>
        <v>Trust</v>
      </c>
    </row>
    <row r="260" spans="2:18" x14ac:dyDescent="0.3">
      <c r="B260" s="39">
        <v>46177</v>
      </c>
      <c r="C260" s="4" t="str">
        <f>_xlfn.XLOOKUP(tblMovimientos[[#This Row],[Cuenta Bancaria]],Listas!$B:$B,Listas!$A:$A,"")</f>
        <v>SSP Capital</v>
      </c>
      <c r="D260" s="41" t="s">
        <v>104</v>
      </c>
      <c r="E260" s="68" t="str">
        <f>_xlfn.XLOOKUP(tblMovimientos[[#This Row],[Cuenta Bancaria]],Listas!$B:$B,Listas!$C:$C,"")</f>
        <v xml:space="preserve">Amerant Bank </v>
      </c>
      <c r="F260" s="41" t="s">
        <v>9</v>
      </c>
      <c r="G260" s="41" t="s">
        <v>75</v>
      </c>
      <c r="H260" s="4" t="str">
        <f>IFERROR(_xlfn.XLOOKUP(G260,Listas!E:E,Listas!F:F,""),"")</f>
        <v>Financiamiento</v>
      </c>
      <c r="I260" s="46" t="str">
        <f>IFERROR(_xlfn.XLOOKUP(G260,Listas!E:E,Listas!G:G,""),"")</f>
        <v>Interno</v>
      </c>
      <c r="J260" s="43">
        <v>150000</v>
      </c>
      <c r="K260" s="5">
        <f t="shared" si="4"/>
        <v>150000</v>
      </c>
      <c r="L260" s="15" t="s">
        <v>128</v>
      </c>
      <c r="M260" s="44">
        <f>SUMIFS('Saldos Iniciales'!$D:$D,'Saldos Iniciales'!$A:$A,C260,'Saldos Iniciales'!$B:$B,D260)+SUMIFS($K$1:$K$1324,$C$1:$C$1324,C260,$D$1:$D$1324,D260,$B$1:$B$1324,"&lt;="&amp;B260)</f>
        <v>386254.63999999932</v>
      </c>
      <c r="N260" s="61">
        <f>IF(tblMovimientos[[#This Row],[Tipo de Movimiento]]="Ingreso",tblMovimientos[[#This Row],[Monto (S/)]],"0")</f>
        <v>150000</v>
      </c>
      <c r="O260" s="61" t="str">
        <f>IF(tblMovimientos[[#This Row],[Tipo de Movimiento]]="Egreso",tblMovimientos[[#This Row],[Monto (S/)]],"0")</f>
        <v>0</v>
      </c>
      <c r="P260" s="28">
        <f>IF(tblMovimientos[[#This Row],[Tipo de Movimiento]]="Ingreso",tblMovimientos[[#This Row],[Ingreso]],-tblMovimientos[[#This Row],[Egreso]])</f>
        <v>150000</v>
      </c>
      <c r="Q260" s="78" t="str">
        <f>_xlfn.XLOOKUP(tblMovimientos[[#This Row],[Cuenta Bancaria]],Cuentas!$C:$C,Cuentas!$A:$A,"")&amp;""</f>
        <v>SSP Group</v>
      </c>
      <c r="R260" s="78" t="str">
        <f>_xlfn.XLOOKUP(tblMovimientos[[#This Row],[Cuenta Bancaria]],Cuentas!$C:$C,Cuentas!$B:$B,"",0,-1)&amp;""</f>
        <v/>
      </c>
    </row>
    <row r="261" spans="2:18" x14ac:dyDescent="0.3">
      <c r="B261" s="39">
        <v>46177</v>
      </c>
      <c r="C261" s="4" t="str">
        <f>_xlfn.XLOOKUP(tblMovimientos[[#This Row],[Cuenta Bancaria]],Listas!$B:$B,Listas!$A:$A,"")</f>
        <v>SSP Capital</v>
      </c>
      <c r="D261" s="41" t="s">
        <v>104</v>
      </c>
      <c r="E261" s="68" t="str">
        <f>_xlfn.XLOOKUP(tblMovimientos[[#This Row],[Cuenta Bancaria]],Listas!$B:$B,Listas!$C:$C,"")</f>
        <v xml:space="preserve">Amerant Bank </v>
      </c>
      <c r="F261" s="41" t="s">
        <v>10</v>
      </c>
      <c r="G261" s="41" t="s">
        <v>46</v>
      </c>
      <c r="H261" s="4" t="str">
        <f>IFERROR(_xlfn.XLOOKUP(G261,Listas!E:E,Listas!F:F,""),"")</f>
        <v>Financiamiento</v>
      </c>
      <c r="I261" s="46" t="str">
        <f>IFERROR(_xlfn.XLOOKUP(G261,Listas!E:E,Listas!G:G,""),"")</f>
        <v>Externo</v>
      </c>
      <c r="J261" s="43">
        <v>8666.67</v>
      </c>
      <c r="K261" s="5">
        <f t="shared" si="4"/>
        <v>-8666.67</v>
      </c>
      <c r="L261" s="15" t="s">
        <v>128</v>
      </c>
      <c r="M261" s="44">
        <f>SUMIFS('Saldos Iniciales'!$D:$D,'Saldos Iniciales'!$A:$A,C261,'Saldos Iniciales'!$B:$B,D261)+SUMIFS($K$1:$K$1324,$C$1:$C$1324,C261,$D$1:$D$1324,D261,$B$1:$B$1324,"&lt;="&amp;B261)</f>
        <v>386254.63999999932</v>
      </c>
      <c r="N261" s="61" t="str">
        <f>IF(tblMovimientos[[#This Row],[Tipo de Movimiento]]="Ingreso",tblMovimientos[[#This Row],[Monto (S/)]],"0")</f>
        <v>0</v>
      </c>
      <c r="O261" s="61">
        <f>IF(tblMovimientos[[#This Row],[Tipo de Movimiento]]="Egreso",tblMovimientos[[#This Row],[Monto (S/)]],"0")</f>
        <v>8666.67</v>
      </c>
      <c r="P261" s="28">
        <f>IF(tblMovimientos[[#This Row],[Tipo de Movimiento]]="Ingreso",tblMovimientos[[#This Row],[Ingreso]],-tblMovimientos[[#This Row],[Egreso]])</f>
        <v>-8666.67</v>
      </c>
      <c r="Q261" s="78" t="str">
        <f>_xlfn.XLOOKUP(tblMovimientos[[#This Row],[Cuenta Bancaria]],Cuentas!$C:$C,Cuentas!$A:$A,"")&amp;""</f>
        <v>SSP Group</v>
      </c>
      <c r="R261" s="78" t="str">
        <f>_xlfn.XLOOKUP(tblMovimientos[[#This Row],[Cuenta Bancaria]],Cuentas!$C:$C,Cuentas!$B:$B,"",0,-1)&amp;""</f>
        <v/>
      </c>
    </row>
    <row r="262" spans="2:18" x14ac:dyDescent="0.3">
      <c r="B262" s="39">
        <v>46177</v>
      </c>
      <c r="C262" s="4" t="str">
        <f>_xlfn.XLOOKUP(tblMovimientos[[#This Row],[Cuenta Bancaria]],Listas!$B:$B,Listas!$A:$A,"")</f>
        <v>Green Harbor Trust</v>
      </c>
      <c r="D262" s="41" t="s">
        <v>125</v>
      </c>
      <c r="E262" s="68" t="str">
        <f>_xlfn.XLOOKUP(tblMovimientos[[#This Row],[Cuenta Bancaria]],Listas!$B:$B,Listas!$C:$C,"")</f>
        <v xml:space="preserve">Amerant Bank </v>
      </c>
      <c r="F262" s="41" t="s">
        <v>9</v>
      </c>
      <c r="G262" s="41" t="s">
        <v>85</v>
      </c>
      <c r="H262" s="4" t="str">
        <f>IFERROR(_xlfn.XLOOKUP(G262,Listas!E:E,Listas!F:F,""),"")</f>
        <v>Operativo</v>
      </c>
      <c r="I262" s="46" t="str">
        <f>IFERROR(_xlfn.XLOOKUP(G262,Listas!E:E,Listas!G:G,""),"")</f>
        <v>Interno</v>
      </c>
      <c r="J262" s="43">
        <v>9000</v>
      </c>
      <c r="K262" s="5">
        <f t="shared" si="4"/>
        <v>9000</v>
      </c>
      <c r="L262" s="15" t="s">
        <v>128</v>
      </c>
      <c r="M262" s="44">
        <f>SUMIFS('Saldos Iniciales'!$D:$D,'Saldos Iniciales'!$A:$A,C262,'Saldos Iniciales'!$B:$B,D262)+SUMIFS($K$1:$K$1324,$C$1:$C$1324,C262,$D$1:$D$1324,D262,$B$1:$B$1324,"&lt;="&amp;B262)</f>
        <v>345</v>
      </c>
      <c r="N262" s="61">
        <f>IF(tblMovimientos[[#This Row],[Tipo de Movimiento]]="Ingreso",tblMovimientos[[#This Row],[Monto (S/)]],"0")</f>
        <v>9000</v>
      </c>
      <c r="O262" s="61" t="str">
        <f>IF(tblMovimientos[[#This Row],[Tipo de Movimiento]]="Egreso",tblMovimientos[[#This Row],[Monto (S/)]],"0")</f>
        <v>0</v>
      </c>
      <c r="P262" s="28">
        <f>IF(tblMovimientos[[#This Row],[Tipo de Movimiento]]="Ingreso",tblMovimientos[[#This Row],[Ingreso]],-tblMovimientos[[#This Row],[Egreso]])</f>
        <v>9000</v>
      </c>
      <c r="Q262" s="78" t="str">
        <f>_xlfn.XLOOKUP(tblMovimientos[[#This Row],[Cuenta Bancaria]],Cuentas!$C:$C,Cuentas!$A:$A,"")&amp;""</f>
        <v>SSP Group</v>
      </c>
      <c r="R262" s="78" t="str">
        <f>_xlfn.XLOOKUP(tblMovimientos[[#This Row],[Cuenta Bancaria]],Cuentas!$C:$C,Cuentas!$B:$B,"",0,-1)&amp;""</f>
        <v>Trust</v>
      </c>
    </row>
    <row r="263" spans="2:18" x14ac:dyDescent="0.3">
      <c r="B263" s="39">
        <v>46177</v>
      </c>
      <c r="C263" s="4" t="str">
        <f>_xlfn.XLOOKUP(tblMovimientos[[#This Row],[Cuenta Bancaria]],Listas!$B:$B,Listas!$A:$A,"")</f>
        <v>Green Harbor Trust</v>
      </c>
      <c r="D263" s="41" t="s">
        <v>125</v>
      </c>
      <c r="E263" s="68" t="str">
        <f>_xlfn.XLOOKUP(tblMovimientos[[#This Row],[Cuenta Bancaria]],Listas!$B:$B,Listas!$C:$C,"")</f>
        <v xml:space="preserve">Amerant Bank </v>
      </c>
      <c r="F263" s="41" t="s">
        <v>10</v>
      </c>
      <c r="G263" s="41" t="s">
        <v>64</v>
      </c>
      <c r="H263" s="4" t="str">
        <f>IFERROR(_xlfn.XLOOKUP(G263,Listas!E:E,Listas!F:F,""),"")</f>
        <v>Operativo</v>
      </c>
      <c r="I263" s="46" t="str">
        <f>IFERROR(_xlfn.XLOOKUP(G263,Listas!E:E,Listas!G:G,""),"")</f>
        <v>Interno</v>
      </c>
      <c r="J263" s="43">
        <v>9000</v>
      </c>
      <c r="K263" s="5">
        <f t="shared" si="4"/>
        <v>-9000</v>
      </c>
      <c r="L263" s="15" t="s">
        <v>128</v>
      </c>
      <c r="M263" s="44">
        <f>SUMIFS('Saldos Iniciales'!$D:$D,'Saldos Iniciales'!$A:$A,C263,'Saldos Iniciales'!$B:$B,D263)+SUMIFS($K$1:$K$1324,$C$1:$C$1324,C263,$D$1:$D$1324,D263,$B$1:$B$1324,"&lt;="&amp;B263)</f>
        <v>345</v>
      </c>
      <c r="N263" s="61" t="str">
        <f>IF(tblMovimientos[[#This Row],[Tipo de Movimiento]]="Ingreso",tblMovimientos[[#This Row],[Monto (S/)]],"0")</f>
        <v>0</v>
      </c>
      <c r="O263" s="61">
        <f>IF(tblMovimientos[[#This Row],[Tipo de Movimiento]]="Egreso",tblMovimientos[[#This Row],[Monto (S/)]],"0")</f>
        <v>9000</v>
      </c>
      <c r="P263" s="28">
        <f>IF(tblMovimientos[[#This Row],[Tipo de Movimiento]]="Ingreso",tblMovimientos[[#This Row],[Ingreso]],-tblMovimientos[[#This Row],[Egreso]])</f>
        <v>-9000</v>
      </c>
      <c r="Q263" s="78" t="str">
        <f>_xlfn.XLOOKUP(tblMovimientos[[#This Row],[Cuenta Bancaria]],Cuentas!$C:$C,Cuentas!$A:$A,"")&amp;""</f>
        <v>SSP Group</v>
      </c>
      <c r="R263" s="78" t="str">
        <f>_xlfn.XLOOKUP(tblMovimientos[[#This Row],[Cuenta Bancaria]],Cuentas!$C:$C,Cuentas!$B:$B,"",0,-1)&amp;""</f>
        <v>Trust</v>
      </c>
    </row>
    <row r="264" spans="2:18" x14ac:dyDescent="0.3">
      <c r="B264" s="39">
        <v>46177</v>
      </c>
      <c r="C264" s="4" t="str">
        <f>_xlfn.XLOOKUP(tblMovimientos[[#This Row],[Cuenta Bancaria]],Listas!$B:$B,Listas!$A:$A,"")</f>
        <v>Go Blue</v>
      </c>
      <c r="D264" s="41" t="s">
        <v>126</v>
      </c>
      <c r="E264" s="68" t="str">
        <f>_xlfn.XLOOKUP(tblMovimientos[[#This Row],[Cuenta Bancaria]],Listas!$B:$B,Listas!$C:$C,"")</f>
        <v xml:space="preserve">Amerant Bank </v>
      </c>
      <c r="F264" s="41" t="s">
        <v>10</v>
      </c>
      <c r="G264" s="41" t="s">
        <v>38</v>
      </c>
      <c r="H264" s="4" t="str">
        <f>IFERROR(_xlfn.XLOOKUP(G264,Listas!E:E,Listas!F:F,""),"")</f>
        <v>Operativo</v>
      </c>
      <c r="I264" s="46" t="str">
        <f>IFERROR(_xlfn.XLOOKUP(G264,Listas!E:E,Listas!G:G,""),"")</f>
        <v>Externo</v>
      </c>
      <c r="J264" s="43">
        <v>250</v>
      </c>
      <c r="K264" s="5">
        <f t="shared" si="4"/>
        <v>-250</v>
      </c>
      <c r="L264" s="15" t="s">
        <v>128</v>
      </c>
      <c r="M264" s="44">
        <f>SUMIFS('Saldos Iniciales'!$D:$D,'Saldos Iniciales'!$A:$A,C264,'Saldos Iniciales'!$B:$B,D264)+SUMIFS($K$1:$K$1324,$C$1:$C$1324,C264,$D$1:$D$1324,D264,$B$1:$B$1324,"&lt;="&amp;B264)</f>
        <v>2422.7400000000034</v>
      </c>
      <c r="N264" s="61" t="str">
        <f>IF(tblMovimientos[[#This Row],[Tipo de Movimiento]]="Ingreso",tblMovimientos[[#This Row],[Monto (S/)]],"0")</f>
        <v>0</v>
      </c>
      <c r="O264" s="61">
        <f>IF(tblMovimientos[[#This Row],[Tipo de Movimiento]]="Egreso",tblMovimientos[[#This Row],[Monto (S/)]],"0")</f>
        <v>250</v>
      </c>
      <c r="P264" s="28">
        <f>IF(tblMovimientos[[#This Row],[Tipo de Movimiento]]="Ingreso",tblMovimientos[[#This Row],[Ingreso]],-tblMovimientos[[#This Row],[Egreso]])</f>
        <v>-250</v>
      </c>
      <c r="Q264" s="78" t="str">
        <f>_xlfn.XLOOKUP(tblMovimientos[[#This Row],[Cuenta Bancaria]],Cuentas!$C:$C,Cuentas!$A:$A,"")&amp;""</f>
        <v>SSP Group</v>
      </c>
      <c r="R264" s="78" t="str">
        <f>_xlfn.XLOOKUP(tblMovimientos[[#This Row],[Cuenta Bancaria]],Cuentas!$C:$C,Cuentas!$B:$B,"",0,-1)&amp;""</f>
        <v/>
      </c>
    </row>
    <row r="265" spans="2:18" x14ac:dyDescent="0.3">
      <c r="B265" s="39">
        <v>46177</v>
      </c>
      <c r="C265" s="4" t="str">
        <f>_xlfn.XLOOKUP(tblMovimientos[[#This Row],[Cuenta Bancaria]],Listas!$B:$B,Listas!$A:$A,"")</f>
        <v>Go Blue</v>
      </c>
      <c r="D265" s="41" t="s">
        <v>126</v>
      </c>
      <c r="E265" s="68" t="str">
        <f>_xlfn.XLOOKUP(tblMovimientos[[#This Row],[Cuenta Bancaria]],Listas!$B:$B,Listas!$C:$C,"")</f>
        <v xml:space="preserve">Amerant Bank </v>
      </c>
      <c r="F265" s="41" t="s">
        <v>10</v>
      </c>
      <c r="G265" s="41" t="s">
        <v>38</v>
      </c>
      <c r="H265" s="4" t="str">
        <f>IFERROR(_xlfn.XLOOKUP(G265,Listas!E:E,Listas!F:F,""),"")</f>
        <v>Operativo</v>
      </c>
      <c r="I265" s="46" t="str">
        <f>IFERROR(_xlfn.XLOOKUP(G265,Listas!E:E,Listas!G:G,""),"")</f>
        <v>Externo</v>
      </c>
      <c r="J265" s="43">
        <v>2175</v>
      </c>
      <c r="K265" s="5">
        <f t="shared" si="4"/>
        <v>-2175</v>
      </c>
      <c r="L265" s="15" t="s">
        <v>128</v>
      </c>
      <c r="M265" s="44">
        <f>SUMIFS('Saldos Iniciales'!$D:$D,'Saldos Iniciales'!$A:$A,C265,'Saldos Iniciales'!$B:$B,D265)+SUMIFS($K$1:$K$1324,$C$1:$C$1324,C265,$D$1:$D$1324,D265,$B$1:$B$1324,"&lt;="&amp;B265)</f>
        <v>2422.7400000000034</v>
      </c>
      <c r="N265" s="61" t="str">
        <f>IF(tblMovimientos[[#This Row],[Tipo de Movimiento]]="Ingreso",tblMovimientos[[#This Row],[Monto (S/)]],"0")</f>
        <v>0</v>
      </c>
      <c r="O265" s="61">
        <f>IF(tblMovimientos[[#This Row],[Tipo de Movimiento]]="Egreso",tblMovimientos[[#This Row],[Monto (S/)]],"0")</f>
        <v>2175</v>
      </c>
      <c r="P265" s="28">
        <f>IF(tblMovimientos[[#This Row],[Tipo de Movimiento]]="Ingreso",tblMovimientos[[#This Row],[Ingreso]],-tblMovimientos[[#This Row],[Egreso]])</f>
        <v>-2175</v>
      </c>
      <c r="Q265" s="78" t="str">
        <f>_xlfn.XLOOKUP(tblMovimientos[[#This Row],[Cuenta Bancaria]],Cuentas!$C:$C,Cuentas!$A:$A,"")&amp;""</f>
        <v>SSP Group</v>
      </c>
      <c r="R265" s="78" t="str">
        <f>_xlfn.XLOOKUP(tblMovimientos[[#This Row],[Cuenta Bancaria]],Cuentas!$C:$C,Cuentas!$B:$B,"",0,-1)&amp;""</f>
        <v/>
      </c>
    </row>
    <row r="266" spans="2:18" x14ac:dyDescent="0.3">
      <c r="B266" s="39">
        <v>46177</v>
      </c>
      <c r="C266" s="4" t="str">
        <f>_xlfn.XLOOKUP(tblMovimientos[[#This Row],[Cuenta Bancaria]],Listas!$B:$B,Listas!$A:$A,"")</f>
        <v>Go Blue</v>
      </c>
      <c r="D266" s="41" t="s">
        <v>126</v>
      </c>
      <c r="E266" s="68" t="str">
        <f>_xlfn.XLOOKUP(tblMovimientos[[#This Row],[Cuenta Bancaria]],Listas!$B:$B,Listas!$C:$C,"")</f>
        <v xml:space="preserve">Amerant Bank </v>
      </c>
      <c r="F266" s="41" t="s">
        <v>10</v>
      </c>
      <c r="G266" s="41" t="s">
        <v>38</v>
      </c>
      <c r="H266" s="4" t="str">
        <f>IFERROR(_xlfn.XLOOKUP(G266,Listas!E:E,Listas!F:F,""),"")</f>
        <v>Operativo</v>
      </c>
      <c r="I266" s="46" t="str">
        <f>IFERROR(_xlfn.XLOOKUP(G266,Listas!E:E,Listas!G:G,""),"")</f>
        <v>Externo</v>
      </c>
      <c r="J266" s="43">
        <v>3622.15</v>
      </c>
      <c r="K266" s="5">
        <f t="shared" si="4"/>
        <v>-3622.15</v>
      </c>
      <c r="L266" s="15" t="s">
        <v>128</v>
      </c>
      <c r="M266" s="44">
        <f>SUMIFS('Saldos Iniciales'!$D:$D,'Saldos Iniciales'!$A:$A,C266,'Saldos Iniciales'!$B:$B,D266)+SUMIFS($K$1:$K$1324,$C$1:$C$1324,C266,$D$1:$D$1324,D266,$B$1:$B$1324,"&lt;="&amp;B266)</f>
        <v>2422.7400000000034</v>
      </c>
      <c r="N266" s="61" t="str">
        <f>IF(tblMovimientos[[#This Row],[Tipo de Movimiento]]="Ingreso",tblMovimientos[[#This Row],[Monto (S/)]],"0")</f>
        <v>0</v>
      </c>
      <c r="O266" s="61">
        <f>IF(tblMovimientos[[#This Row],[Tipo de Movimiento]]="Egreso",tblMovimientos[[#This Row],[Monto (S/)]],"0")</f>
        <v>3622.15</v>
      </c>
      <c r="P266" s="28">
        <f>IF(tblMovimientos[[#This Row],[Tipo de Movimiento]]="Ingreso",tblMovimientos[[#This Row],[Ingreso]],-tblMovimientos[[#This Row],[Egreso]])</f>
        <v>-3622.15</v>
      </c>
      <c r="Q266" s="78" t="str">
        <f>_xlfn.XLOOKUP(tblMovimientos[[#This Row],[Cuenta Bancaria]],Cuentas!$C:$C,Cuentas!$A:$A,"")&amp;""</f>
        <v>SSP Group</v>
      </c>
      <c r="R266" s="78" t="str">
        <f>_xlfn.XLOOKUP(tblMovimientos[[#This Row],[Cuenta Bancaria]],Cuentas!$C:$C,Cuentas!$B:$B,"",0,-1)&amp;""</f>
        <v/>
      </c>
    </row>
    <row r="267" spans="2:18" x14ac:dyDescent="0.3">
      <c r="B267" s="39">
        <v>46177</v>
      </c>
      <c r="C267" s="4" t="str">
        <f>_xlfn.XLOOKUP(tblMovimientos[[#This Row],[Cuenta Bancaria]],Listas!$B:$B,Listas!$A:$A,"")</f>
        <v>Go Blue</v>
      </c>
      <c r="D267" s="41" t="s">
        <v>126</v>
      </c>
      <c r="E267" s="68" t="str">
        <f>_xlfn.XLOOKUP(tblMovimientos[[#This Row],[Cuenta Bancaria]],Listas!$B:$B,Listas!$C:$C,"")</f>
        <v xml:space="preserve">Amerant Bank </v>
      </c>
      <c r="F267" s="41" t="s">
        <v>10</v>
      </c>
      <c r="G267" s="41" t="s">
        <v>38</v>
      </c>
      <c r="H267" s="4" t="str">
        <f>IFERROR(_xlfn.XLOOKUP(G267,Listas!E:E,Listas!F:F,""),"")</f>
        <v>Operativo</v>
      </c>
      <c r="I267" s="46" t="str">
        <f>IFERROR(_xlfn.XLOOKUP(G267,Listas!E:E,Listas!G:G,""),"")</f>
        <v>Externo</v>
      </c>
      <c r="J267" s="43">
        <v>4000</v>
      </c>
      <c r="K267" s="5">
        <f t="shared" si="4"/>
        <v>-4000</v>
      </c>
      <c r="L267" s="15" t="s">
        <v>128</v>
      </c>
      <c r="M267" s="44">
        <f>SUMIFS('Saldos Iniciales'!$D:$D,'Saldos Iniciales'!$A:$A,C267,'Saldos Iniciales'!$B:$B,D267)+SUMIFS($K$1:$K$1324,$C$1:$C$1324,C267,$D$1:$D$1324,D267,$B$1:$B$1324,"&lt;="&amp;B267)</f>
        <v>2422.7400000000034</v>
      </c>
      <c r="N267" s="61" t="str">
        <f>IF(tblMovimientos[[#This Row],[Tipo de Movimiento]]="Ingreso",tblMovimientos[[#This Row],[Monto (S/)]],"0")</f>
        <v>0</v>
      </c>
      <c r="O267" s="61">
        <f>IF(tblMovimientos[[#This Row],[Tipo de Movimiento]]="Egreso",tblMovimientos[[#This Row],[Monto (S/)]],"0")</f>
        <v>4000</v>
      </c>
      <c r="P267" s="28">
        <f>IF(tblMovimientos[[#This Row],[Tipo de Movimiento]]="Ingreso",tblMovimientos[[#This Row],[Ingreso]],-tblMovimientos[[#This Row],[Egreso]])</f>
        <v>-4000</v>
      </c>
      <c r="Q267" s="78" t="str">
        <f>_xlfn.XLOOKUP(tblMovimientos[[#This Row],[Cuenta Bancaria]],Cuentas!$C:$C,Cuentas!$A:$A,"")&amp;""</f>
        <v>SSP Group</v>
      </c>
      <c r="R267" s="78" t="str">
        <f>_xlfn.XLOOKUP(tblMovimientos[[#This Row],[Cuenta Bancaria]],Cuentas!$C:$C,Cuentas!$B:$B,"",0,-1)&amp;""</f>
        <v/>
      </c>
    </row>
    <row r="268" spans="2:18" x14ac:dyDescent="0.3">
      <c r="B268" s="39">
        <v>46177</v>
      </c>
      <c r="C268" s="4" t="str">
        <f>_xlfn.XLOOKUP(tblMovimientos[[#This Row],[Cuenta Bancaria]],Listas!$B:$B,Listas!$A:$A,"")</f>
        <v>Go Blue</v>
      </c>
      <c r="D268" s="41" t="s">
        <v>126</v>
      </c>
      <c r="E268" s="68" t="str">
        <f>_xlfn.XLOOKUP(tblMovimientos[[#This Row],[Cuenta Bancaria]],Listas!$B:$B,Listas!$C:$C,"")</f>
        <v xml:space="preserve">Amerant Bank </v>
      </c>
      <c r="F268" s="41" t="s">
        <v>9</v>
      </c>
      <c r="G268" s="41" t="s">
        <v>85</v>
      </c>
      <c r="H268" s="4" t="str">
        <f>IFERROR(_xlfn.XLOOKUP(G268,Listas!E:E,Listas!F:F,""),"")</f>
        <v>Operativo</v>
      </c>
      <c r="I268" s="46" t="str">
        <f>IFERROR(_xlfn.XLOOKUP(G268,Listas!E:E,Listas!G:G,""),"")</f>
        <v>Interno</v>
      </c>
      <c r="J268" s="43">
        <v>9000</v>
      </c>
      <c r="K268" s="5">
        <f t="shared" si="4"/>
        <v>9000</v>
      </c>
      <c r="L268" s="15" t="s">
        <v>128</v>
      </c>
      <c r="M268" s="44">
        <f>SUMIFS('Saldos Iniciales'!$D:$D,'Saldos Iniciales'!$A:$A,C268,'Saldos Iniciales'!$B:$B,D268)+SUMIFS($K$1:$K$1324,$C$1:$C$1324,C268,$D$1:$D$1324,D268,$B$1:$B$1324,"&lt;="&amp;B268)</f>
        <v>2422.7400000000034</v>
      </c>
      <c r="N268" s="61">
        <f>IF(tblMovimientos[[#This Row],[Tipo de Movimiento]]="Ingreso",tblMovimientos[[#This Row],[Monto (S/)]],"0")</f>
        <v>9000</v>
      </c>
      <c r="O268" s="61" t="str">
        <f>IF(tblMovimientos[[#This Row],[Tipo de Movimiento]]="Egreso",tblMovimientos[[#This Row],[Monto (S/)]],"0")</f>
        <v>0</v>
      </c>
      <c r="P268" s="28">
        <f>IF(tblMovimientos[[#This Row],[Tipo de Movimiento]]="Ingreso",tblMovimientos[[#This Row],[Ingreso]],-tblMovimientos[[#This Row],[Egreso]])</f>
        <v>9000</v>
      </c>
      <c r="Q268" s="78" t="str">
        <f>_xlfn.XLOOKUP(tblMovimientos[[#This Row],[Cuenta Bancaria]],Cuentas!$C:$C,Cuentas!$A:$A,"")&amp;""</f>
        <v>SSP Group</v>
      </c>
      <c r="R268" s="78" t="str">
        <f>_xlfn.XLOOKUP(tblMovimientos[[#This Row],[Cuenta Bancaria]],Cuentas!$C:$C,Cuentas!$B:$B,"",0,-1)&amp;""</f>
        <v/>
      </c>
    </row>
    <row r="269" spans="2:18" x14ac:dyDescent="0.3">
      <c r="B269" s="39">
        <v>46178</v>
      </c>
      <c r="C269" s="4" t="str">
        <f>_xlfn.XLOOKUP(tblMovimientos[[#This Row],[Cuenta Bancaria]],Listas!$B:$B,Listas!$A:$A,"")</f>
        <v>SSP Capital</v>
      </c>
      <c r="D269" s="41" t="s">
        <v>101</v>
      </c>
      <c r="E269" s="68" t="str">
        <f>_xlfn.XLOOKUP(tblMovimientos[[#This Row],[Cuenta Bancaria]],Listas!$B:$B,Listas!$C:$C,"")</f>
        <v>Bank of America</v>
      </c>
      <c r="F269" s="41" t="s">
        <v>10</v>
      </c>
      <c r="G269" s="41" t="s">
        <v>38</v>
      </c>
      <c r="H269" s="4" t="str">
        <f>IFERROR(_xlfn.XLOOKUP(G269,Listas!E:E,Listas!F:F,""),"")</f>
        <v>Operativo</v>
      </c>
      <c r="I269" s="46" t="str">
        <f>IFERROR(_xlfn.XLOOKUP(G269,Listas!E:E,Listas!G:G,""),"")</f>
        <v>Externo</v>
      </c>
      <c r="J269" s="43">
        <v>6.35</v>
      </c>
      <c r="K269" s="5">
        <f t="shared" si="4"/>
        <v>-6.35</v>
      </c>
      <c r="L269" s="15" t="s">
        <v>128</v>
      </c>
      <c r="M269" s="44">
        <f>SUMIFS('Saldos Iniciales'!$D:$D,'Saldos Iniciales'!$A:$A,C269,'Saldos Iniciales'!$B:$B,D269)+SUMIFS($K$1:$K$1324,$C$1:$C$1324,C269,$D$1:$D$1324,D269,$B$1:$B$1324,"&lt;="&amp;B269)</f>
        <v>17636.53</v>
      </c>
      <c r="N269" s="61" t="str">
        <f>IF(tblMovimientos[[#This Row],[Tipo de Movimiento]]="Ingreso",tblMovimientos[[#This Row],[Monto (S/)]],"0")</f>
        <v>0</v>
      </c>
      <c r="O269" s="61">
        <f>IF(tblMovimientos[[#This Row],[Tipo de Movimiento]]="Egreso",tblMovimientos[[#This Row],[Monto (S/)]],"0")</f>
        <v>6.35</v>
      </c>
      <c r="P269" s="28">
        <f>IF(tblMovimientos[[#This Row],[Tipo de Movimiento]]="Ingreso",tblMovimientos[[#This Row],[Ingreso]],-tblMovimientos[[#This Row],[Egreso]])</f>
        <v>-6.35</v>
      </c>
      <c r="Q269" s="78" t="str">
        <f>_xlfn.XLOOKUP(tblMovimientos[[#This Row],[Cuenta Bancaria]],Cuentas!$C:$C,Cuentas!$A:$A,"")&amp;""</f>
        <v>SSP Group</v>
      </c>
      <c r="R269" s="78" t="str">
        <f>_xlfn.XLOOKUP(tblMovimientos[[#This Row],[Cuenta Bancaria]],Cuentas!$C:$C,Cuentas!$B:$B,"",0,-1)&amp;""</f>
        <v/>
      </c>
    </row>
    <row r="270" spans="2:18" x14ac:dyDescent="0.3">
      <c r="B270" s="39">
        <v>46178</v>
      </c>
      <c r="C270" s="4" t="str">
        <f>_xlfn.XLOOKUP(tblMovimientos[[#This Row],[Cuenta Bancaria]],Listas!$B:$B,Listas!$A:$A,"")</f>
        <v>SSP Capital</v>
      </c>
      <c r="D270" s="41" t="s">
        <v>101</v>
      </c>
      <c r="E270" s="68" t="str">
        <f>_xlfn.XLOOKUP(tblMovimientos[[#This Row],[Cuenta Bancaria]],Listas!$B:$B,Listas!$C:$C,"")</f>
        <v>Bank of America</v>
      </c>
      <c r="F270" s="41" t="s">
        <v>10</v>
      </c>
      <c r="G270" s="41" t="s">
        <v>41</v>
      </c>
      <c r="H270" s="4" t="str">
        <f>IFERROR(_xlfn.XLOOKUP(G270,Listas!E:E,Listas!F:F,""),"")</f>
        <v>Operativo</v>
      </c>
      <c r="I270" s="46" t="str">
        <f>IFERROR(_xlfn.XLOOKUP(G270,Listas!E:E,Listas!G:G,""),"")</f>
        <v>Externo</v>
      </c>
      <c r="J270" s="43">
        <v>7679.78</v>
      </c>
      <c r="K270" s="5">
        <f t="shared" si="4"/>
        <v>-7679.78</v>
      </c>
      <c r="L270" s="15" t="s">
        <v>128</v>
      </c>
      <c r="M270" s="44">
        <f>SUMIFS('Saldos Iniciales'!$D:$D,'Saldos Iniciales'!$A:$A,C270,'Saldos Iniciales'!$B:$B,D270)+SUMIFS($K$1:$K$1324,$C$1:$C$1324,C270,$D$1:$D$1324,D270,$B$1:$B$1324,"&lt;="&amp;B270)</f>
        <v>17636.53</v>
      </c>
      <c r="N270" s="61" t="str">
        <f>IF(tblMovimientos[[#This Row],[Tipo de Movimiento]]="Ingreso",tblMovimientos[[#This Row],[Monto (S/)]],"0")</f>
        <v>0</v>
      </c>
      <c r="O270" s="61">
        <f>IF(tblMovimientos[[#This Row],[Tipo de Movimiento]]="Egreso",tblMovimientos[[#This Row],[Monto (S/)]],"0")</f>
        <v>7679.78</v>
      </c>
      <c r="P270" s="28">
        <f>IF(tblMovimientos[[#This Row],[Tipo de Movimiento]]="Ingreso",tblMovimientos[[#This Row],[Ingreso]],-tblMovimientos[[#This Row],[Egreso]])</f>
        <v>-7679.78</v>
      </c>
      <c r="Q270" s="78" t="str">
        <f>_xlfn.XLOOKUP(tblMovimientos[[#This Row],[Cuenta Bancaria]],Cuentas!$C:$C,Cuentas!$A:$A,"")&amp;""</f>
        <v>SSP Group</v>
      </c>
      <c r="R270" s="78" t="str">
        <f>_xlfn.XLOOKUP(tblMovimientos[[#This Row],[Cuenta Bancaria]],Cuentas!$C:$C,Cuentas!$B:$B,"",0,-1)&amp;""</f>
        <v/>
      </c>
    </row>
    <row r="271" spans="2:18" x14ac:dyDescent="0.3">
      <c r="B271" s="39">
        <v>46181</v>
      </c>
      <c r="C271" s="4" t="str">
        <f>_xlfn.XLOOKUP(tblMovimientos[[#This Row],[Cuenta Bancaria]],Listas!$B:$B,Listas!$A:$A,"")</f>
        <v>Go Blue</v>
      </c>
      <c r="D271" s="41" t="s">
        <v>126</v>
      </c>
      <c r="E271" s="68" t="str">
        <f>_xlfn.XLOOKUP(tblMovimientos[[#This Row],[Cuenta Bancaria]],Listas!$B:$B,Listas!$C:$C,"")</f>
        <v xml:space="preserve">Amerant Bank </v>
      </c>
      <c r="F271" s="41" t="s">
        <v>10</v>
      </c>
      <c r="G271" s="41" t="s">
        <v>38</v>
      </c>
      <c r="H271" s="4" t="str">
        <f>IFERROR(_xlfn.XLOOKUP(G271,Listas!E:E,Listas!F:F,""),"")</f>
        <v>Operativo</v>
      </c>
      <c r="I271" s="46" t="str">
        <f>IFERROR(_xlfn.XLOOKUP(G271,Listas!E:E,Listas!G:G,""),"")</f>
        <v>Externo</v>
      </c>
      <c r="J271" s="43">
        <v>0.01</v>
      </c>
      <c r="K271" s="5">
        <f t="shared" si="4"/>
        <v>-0.01</v>
      </c>
      <c r="L271" s="15" t="s">
        <v>128</v>
      </c>
      <c r="M271" s="44">
        <f>SUMIFS('Saldos Iniciales'!$D:$D,'Saldos Iniciales'!$A:$A,C271,'Saldos Iniciales'!$B:$B,D271)+SUMIFS($K$1:$K$1324,$C$1:$C$1324,C271,$D$1:$D$1324,D271,$B$1:$B$1324,"&lt;="&amp;B271)</f>
        <v>1451.1500000000033</v>
      </c>
      <c r="N271" s="61" t="str">
        <f>IF(tblMovimientos[[#This Row],[Tipo de Movimiento]]="Ingreso",tblMovimientos[[#This Row],[Monto (S/)]],"0")</f>
        <v>0</v>
      </c>
      <c r="O271" s="61">
        <f>IF(tblMovimientos[[#This Row],[Tipo de Movimiento]]="Egreso",tblMovimientos[[#This Row],[Monto (S/)]],"0")</f>
        <v>0.01</v>
      </c>
      <c r="P271" s="28">
        <f>IF(tblMovimientos[[#This Row],[Tipo de Movimiento]]="Ingreso",tblMovimientos[[#This Row],[Ingreso]],-tblMovimientos[[#This Row],[Egreso]])</f>
        <v>-0.01</v>
      </c>
      <c r="Q271" s="78" t="str">
        <f>_xlfn.XLOOKUP(tblMovimientos[[#This Row],[Cuenta Bancaria]],Cuentas!$C:$C,Cuentas!$A:$A,"")&amp;""</f>
        <v>SSP Group</v>
      </c>
      <c r="R271" s="78" t="str">
        <f>_xlfn.XLOOKUP(tblMovimientos[[#This Row],[Cuenta Bancaria]],Cuentas!$C:$C,Cuentas!$B:$B,"",0,-1)&amp;""</f>
        <v/>
      </c>
    </row>
    <row r="272" spans="2:18" x14ac:dyDescent="0.3">
      <c r="B272" s="39">
        <v>46181</v>
      </c>
      <c r="C272" s="4" t="str">
        <f>_xlfn.XLOOKUP(tblMovimientos[[#This Row],[Cuenta Bancaria]],Listas!$B:$B,Listas!$A:$A,"")</f>
        <v>Go Blue</v>
      </c>
      <c r="D272" s="41" t="s">
        <v>126</v>
      </c>
      <c r="E272" s="68" t="str">
        <f>_xlfn.XLOOKUP(tblMovimientos[[#This Row],[Cuenta Bancaria]],Listas!$B:$B,Listas!$C:$C,"")</f>
        <v xml:space="preserve">Amerant Bank </v>
      </c>
      <c r="F272" s="41" t="s">
        <v>10</v>
      </c>
      <c r="G272" s="41" t="s">
        <v>38</v>
      </c>
      <c r="H272" s="4" t="str">
        <f>IFERROR(_xlfn.XLOOKUP(G272,Listas!E:E,Listas!F:F,""),"")</f>
        <v>Operativo</v>
      </c>
      <c r="I272" s="46" t="str">
        <f>IFERROR(_xlfn.XLOOKUP(G272,Listas!E:E,Listas!G:G,""),"")</f>
        <v>Externo</v>
      </c>
      <c r="J272" s="43">
        <v>232.06</v>
      </c>
      <c r="K272" s="5">
        <f t="shared" si="4"/>
        <v>-232.06</v>
      </c>
      <c r="L272" s="15" t="s">
        <v>128</v>
      </c>
      <c r="M272" s="44">
        <f>SUMIFS('Saldos Iniciales'!$D:$D,'Saldos Iniciales'!$A:$A,C272,'Saldos Iniciales'!$B:$B,D272)+SUMIFS($K$1:$K$1324,$C$1:$C$1324,C272,$D$1:$D$1324,D272,$B$1:$B$1324,"&lt;="&amp;B272)</f>
        <v>1451.1500000000033</v>
      </c>
      <c r="N272" s="61" t="str">
        <f>IF(tblMovimientos[[#This Row],[Tipo de Movimiento]]="Ingreso",tblMovimientos[[#This Row],[Monto (S/)]],"0")</f>
        <v>0</v>
      </c>
      <c r="O272" s="61">
        <f>IF(tblMovimientos[[#This Row],[Tipo de Movimiento]]="Egreso",tblMovimientos[[#This Row],[Monto (S/)]],"0")</f>
        <v>232.06</v>
      </c>
      <c r="P272" s="28">
        <f>IF(tblMovimientos[[#This Row],[Tipo de Movimiento]]="Ingreso",tblMovimientos[[#This Row],[Ingreso]],-tblMovimientos[[#This Row],[Egreso]])</f>
        <v>-232.06</v>
      </c>
      <c r="Q272" s="78" t="str">
        <f>_xlfn.XLOOKUP(tblMovimientos[[#This Row],[Cuenta Bancaria]],Cuentas!$C:$C,Cuentas!$A:$A,"")&amp;""</f>
        <v>SSP Group</v>
      </c>
      <c r="R272" s="78" t="str">
        <f>_xlfn.XLOOKUP(tblMovimientos[[#This Row],[Cuenta Bancaria]],Cuentas!$C:$C,Cuentas!$B:$B,"",0,-1)&amp;""</f>
        <v/>
      </c>
    </row>
    <row r="273" spans="2:18" x14ac:dyDescent="0.3">
      <c r="B273" s="39">
        <v>46181</v>
      </c>
      <c r="C273" s="4" t="str">
        <f>_xlfn.XLOOKUP(tblMovimientos[[#This Row],[Cuenta Bancaria]],Listas!$B:$B,Listas!$A:$A,"")</f>
        <v>Go Blue</v>
      </c>
      <c r="D273" s="41" t="s">
        <v>126</v>
      </c>
      <c r="E273" s="68" t="str">
        <f>_xlfn.XLOOKUP(tblMovimientos[[#This Row],[Cuenta Bancaria]],Listas!$B:$B,Listas!$C:$C,"")</f>
        <v xml:space="preserve">Amerant Bank </v>
      </c>
      <c r="F273" s="41" t="s">
        <v>10</v>
      </c>
      <c r="G273" s="41" t="s">
        <v>38</v>
      </c>
      <c r="H273" s="4" t="str">
        <f>IFERROR(_xlfn.XLOOKUP(G273,Listas!E:E,Listas!F:F,""),"")</f>
        <v>Operativo</v>
      </c>
      <c r="I273" s="46" t="str">
        <f>IFERROR(_xlfn.XLOOKUP(G273,Listas!E:E,Listas!G:G,""),"")</f>
        <v>Externo</v>
      </c>
      <c r="J273" s="43">
        <v>739.52</v>
      </c>
      <c r="K273" s="5">
        <f t="shared" si="4"/>
        <v>-739.52</v>
      </c>
      <c r="L273" s="15" t="s">
        <v>128</v>
      </c>
      <c r="M273" s="44">
        <f>SUMIFS('Saldos Iniciales'!$D:$D,'Saldos Iniciales'!$A:$A,C273,'Saldos Iniciales'!$B:$B,D273)+SUMIFS($K$1:$K$1324,$C$1:$C$1324,C273,$D$1:$D$1324,D273,$B$1:$B$1324,"&lt;="&amp;B273)</f>
        <v>1451.1500000000033</v>
      </c>
      <c r="N273" s="61" t="str">
        <f>IF(tblMovimientos[[#This Row],[Tipo de Movimiento]]="Ingreso",tblMovimientos[[#This Row],[Monto (S/)]],"0")</f>
        <v>0</v>
      </c>
      <c r="O273" s="61">
        <f>IF(tblMovimientos[[#This Row],[Tipo de Movimiento]]="Egreso",tblMovimientos[[#This Row],[Monto (S/)]],"0")</f>
        <v>739.52</v>
      </c>
      <c r="P273" s="28">
        <f>IF(tblMovimientos[[#This Row],[Tipo de Movimiento]]="Ingreso",tblMovimientos[[#This Row],[Ingreso]],-tblMovimientos[[#This Row],[Egreso]])</f>
        <v>-739.52</v>
      </c>
      <c r="Q273" s="78" t="str">
        <f>_xlfn.XLOOKUP(tblMovimientos[[#This Row],[Cuenta Bancaria]],Cuentas!$C:$C,Cuentas!$A:$A,"")&amp;""</f>
        <v>SSP Group</v>
      </c>
      <c r="R273" s="78" t="str">
        <f>_xlfn.XLOOKUP(tblMovimientos[[#This Row],[Cuenta Bancaria]],Cuentas!$C:$C,Cuentas!$B:$B,"",0,-1)&amp;""</f>
        <v/>
      </c>
    </row>
    <row r="274" spans="2:18" x14ac:dyDescent="0.3">
      <c r="B274" s="39">
        <v>46182</v>
      </c>
      <c r="C274" s="4" t="str">
        <f>_xlfn.XLOOKUP(tblMovimientos[[#This Row],[Cuenta Bancaria]],Listas!$B:$B,Listas!$A:$A,"")</f>
        <v>Go Blue</v>
      </c>
      <c r="D274" s="41" t="s">
        <v>126</v>
      </c>
      <c r="E274" s="68" t="str">
        <f>_xlfn.XLOOKUP(tblMovimientos[[#This Row],[Cuenta Bancaria]],Listas!$B:$B,Listas!$C:$C,"")</f>
        <v xml:space="preserve">Amerant Bank </v>
      </c>
      <c r="F274" s="41" t="s">
        <v>10</v>
      </c>
      <c r="G274" s="41" t="s">
        <v>38</v>
      </c>
      <c r="H274" s="4" t="str">
        <f>IFERROR(_xlfn.XLOOKUP(G274,Listas!E:E,Listas!F:F,""),"")</f>
        <v>Operativo</v>
      </c>
      <c r="I274" s="46" t="str">
        <f>IFERROR(_xlfn.XLOOKUP(G274,Listas!E:E,Listas!G:G,""),"")</f>
        <v>Externo</v>
      </c>
      <c r="J274" s="43">
        <v>46.76</v>
      </c>
      <c r="K274" s="5">
        <f t="shared" si="4"/>
        <v>-46.76</v>
      </c>
      <c r="L274" s="15" t="s">
        <v>128</v>
      </c>
      <c r="M274" s="44">
        <f>SUMIFS('Saldos Iniciales'!$D:$D,'Saldos Iniciales'!$A:$A,C274,'Saldos Iniciales'!$B:$B,D274)+SUMIFS($K$1:$K$1324,$C$1:$C$1324,C274,$D$1:$D$1324,D274,$B$1:$B$1324,"&lt;="&amp;B274)</f>
        <v>1289.7300000000032</v>
      </c>
      <c r="N274" s="61" t="str">
        <f>IF(tblMovimientos[[#This Row],[Tipo de Movimiento]]="Ingreso",tblMovimientos[[#This Row],[Monto (S/)]],"0")</f>
        <v>0</v>
      </c>
      <c r="O274" s="61">
        <f>IF(tblMovimientos[[#This Row],[Tipo de Movimiento]]="Egreso",tblMovimientos[[#This Row],[Monto (S/)]],"0")</f>
        <v>46.76</v>
      </c>
      <c r="P274" s="28">
        <f>IF(tblMovimientos[[#This Row],[Tipo de Movimiento]]="Ingreso",tblMovimientos[[#This Row],[Ingreso]],-tblMovimientos[[#This Row],[Egreso]])</f>
        <v>-46.76</v>
      </c>
      <c r="Q274" s="78" t="str">
        <f>_xlfn.XLOOKUP(tblMovimientos[[#This Row],[Cuenta Bancaria]],Cuentas!$C:$C,Cuentas!$A:$A,"")&amp;""</f>
        <v>SSP Group</v>
      </c>
      <c r="R274" s="78" t="str">
        <f>_xlfn.XLOOKUP(tblMovimientos[[#This Row],[Cuenta Bancaria]],Cuentas!$C:$C,Cuentas!$B:$B,"",0,-1)&amp;""</f>
        <v/>
      </c>
    </row>
    <row r="275" spans="2:18" x14ac:dyDescent="0.3">
      <c r="B275" s="39">
        <v>46182</v>
      </c>
      <c r="C275" s="4" t="str">
        <f>_xlfn.XLOOKUP(tblMovimientos[[#This Row],[Cuenta Bancaria]],Listas!$B:$B,Listas!$A:$A,"")</f>
        <v>Go Blue</v>
      </c>
      <c r="D275" s="41" t="s">
        <v>126</v>
      </c>
      <c r="E275" s="68" t="str">
        <f>_xlfn.XLOOKUP(tblMovimientos[[#This Row],[Cuenta Bancaria]],Listas!$B:$B,Listas!$C:$C,"")</f>
        <v xml:space="preserve">Amerant Bank </v>
      </c>
      <c r="F275" s="41" t="s">
        <v>10</v>
      </c>
      <c r="G275" s="41" t="s">
        <v>38</v>
      </c>
      <c r="H275" s="4" t="str">
        <f>IFERROR(_xlfn.XLOOKUP(G275,Listas!E:E,Listas!F:F,""),"")</f>
        <v>Operativo</v>
      </c>
      <c r="I275" s="46" t="str">
        <f>IFERROR(_xlfn.XLOOKUP(G275,Listas!E:E,Listas!G:G,""),"")</f>
        <v>Externo</v>
      </c>
      <c r="J275" s="43">
        <v>114.66</v>
      </c>
      <c r="K275" s="5">
        <f t="shared" si="4"/>
        <v>-114.66</v>
      </c>
      <c r="L275" s="15" t="s">
        <v>128</v>
      </c>
      <c r="M275" s="44">
        <f>SUMIFS('Saldos Iniciales'!$D:$D,'Saldos Iniciales'!$A:$A,C275,'Saldos Iniciales'!$B:$B,D275)+SUMIFS($K$1:$K$1324,$C$1:$C$1324,C275,$D$1:$D$1324,D275,$B$1:$B$1324,"&lt;="&amp;B275)</f>
        <v>1289.7300000000032</v>
      </c>
      <c r="N275" s="61" t="str">
        <f>IF(tblMovimientos[[#This Row],[Tipo de Movimiento]]="Ingreso",tblMovimientos[[#This Row],[Monto (S/)]],"0")</f>
        <v>0</v>
      </c>
      <c r="O275" s="61">
        <f>IF(tblMovimientos[[#This Row],[Tipo de Movimiento]]="Egreso",tblMovimientos[[#This Row],[Monto (S/)]],"0")</f>
        <v>114.66</v>
      </c>
      <c r="P275" s="28">
        <f>IF(tblMovimientos[[#This Row],[Tipo de Movimiento]]="Ingreso",tblMovimientos[[#This Row],[Ingreso]],-tblMovimientos[[#This Row],[Egreso]])</f>
        <v>-114.66</v>
      </c>
      <c r="Q275" s="78" t="str">
        <f>_xlfn.XLOOKUP(tblMovimientos[[#This Row],[Cuenta Bancaria]],Cuentas!$C:$C,Cuentas!$A:$A,"")&amp;""</f>
        <v>SSP Group</v>
      </c>
      <c r="R275" s="78" t="str">
        <f>_xlfn.XLOOKUP(tblMovimientos[[#This Row],[Cuenta Bancaria]],Cuentas!$C:$C,Cuentas!$B:$B,"",0,-1)&amp;""</f>
        <v/>
      </c>
    </row>
    <row r="276" spans="2:18" x14ac:dyDescent="0.3">
      <c r="B276" s="39">
        <v>46182</v>
      </c>
      <c r="C276" s="4" t="str">
        <f>_xlfn.XLOOKUP(tblMovimientos[[#This Row],[Cuenta Bancaria]],Listas!$B:$B,Listas!$A:$A,"")</f>
        <v>SSP Capital</v>
      </c>
      <c r="D276" s="41" t="s">
        <v>104</v>
      </c>
      <c r="E276" s="68" t="str">
        <f>_xlfn.XLOOKUP(tblMovimientos[[#This Row],[Cuenta Bancaria]],Listas!$B:$B,Listas!$C:$C,"")</f>
        <v xml:space="preserve">Amerant Bank </v>
      </c>
      <c r="F276" s="41" t="s">
        <v>10</v>
      </c>
      <c r="G276" s="41" t="s">
        <v>44</v>
      </c>
      <c r="H276" s="4" t="str">
        <f>IFERROR(_xlfn.XLOOKUP(G276,Listas!E:E,Listas!F:F,""),"")</f>
        <v>Operativo</v>
      </c>
      <c r="I276" s="46" t="str">
        <f>IFERROR(_xlfn.XLOOKUP(G276,Listas!E:E,Listas!G:G,""),"")</f>
        <v>Externo</v>
      </c>
      <c r="J276" s="43">
        <v>2462.62</v>
      </c>
      <c r="K276" s="5">
        <f t="shared" si="4"/>
        <v>-2462.62</v>
      </c>
      <c r="L276" s="15" t="s">
        <v>128</v>
      </c>
      <c r="M276" s="44">
        <f>SUMIFS('Saldos Iniciales'!$D:$D,'Saldos Iniciales'!$A:$A,C276,'Saldos Iniciales'!$B:$B,D276)+SUMIFS($K$1:$K$1324,$C$1:$C$1324,C276,$D$1:$D$1324,D276,$B$1:$B$1324,"&lt;="&amp;B276)</f>
        <v>383792.01999999932</v>
      </c>
      <c r="N276" s="61" t="str">
        <f>IF(tblMovimientos[[#This Row],[Tipo de Movimiento]]="Ingreso",tblMovimientos[[#This Row],[Monto (S/)]],"0")</f>
        <v>0</v>
      </c>
      <c r="O276" s="61">
        <f>IF(tblMovimientos[[#This Row],[Tipo de Movimiento]]="Egreso",tblMovimientos[[#This Row],[Monto (S/)]],"0")</f>
        <v>2462.62</v>
      </c>
      <c r="P276" s="28">
        <f>IF(tblMovimientos[[#This Row],[Tipo de Movimiento]]="Ingreso",tblMovimientos[[#This Row],[Ingreso]],-tblMovimientos[[#This Row],[Egreso]])</f>
        <v>-2462.62</v>
      </c>
      <c r="Q276" s="78" t="str">
        <f>_xlfn.XLOOKUP(tblMovimientos[[#This Row],[Cuenta Bancaria]],Cuentas!$C:$C,Cuentas!$A:$A,"")&amp;""</f>
        <v>SSP Group</v>
      </c>
      <c r="R276" s="78" t="str">
        <f>_xlfn.XLOOKUP(tblMovimientos[[#This Row],[Cuenta Bancaria]],Cuentas!$C:$C,Cuentas!$B:$B,"",0,-1)&amp;""</f>
        <v/>
      </c>
    </row>
    <row r="277" spans="2:18" x14ac:dyDescent="0.3">
      <c r="B277" s="39">
        <v>46182</v>
      </c>
      <c r="C277" s="4" t="str">
        <f>_xlfn.XLOOKUP(tblMovimientos[[#This Row],[Cuenta Bancaria]],Listas!$B:$B,Listas!$A:$A,"")</f>
        <v>SSP Capital</v>
      </c>
      <c r="D277" s="41" t="s">
        <v>101</v>
      </c>
      <c r="E277" s="68" t="str">
        <f>_xlfn.XLOOKUP(tblMovimientos[[#This Row],[Cuenta Bancaria]],Listas!$B:$B,Listas!$C:$C,"")</f>
        <v>Bank of America</v>
      </c>
      <c r="F277" s="41" t="s">
        <v>10</v>
      </c>
      <c r="G277" s="41" t="s">
        <v>38</v>
      </c>
      <c r="H277" s="4" t="str">
        <f>IFERROR(_xlfn.XLOOKUP(G277,Listas!E:E,Listas!F:F,""),"")</f>
        <v>Operativo</v>
      </c>
      <c r="I277" s="46" t="str">
        <f>IFERROR(_xlfn.XLOOKUP(G277,Listas!E:E,Listas!G:G,""),"")</f>
        <v>Externo</v>
      </c>
      <c r="J277" s="43">
        <v>1291.6500000000001</v>
      </c>
      <c r="K277" s="5">
        <f t="shared" si="4"/>
        <v>-1291.6500000000001</v>
      </c>
      <c r="L277" s="15" t="s">
        <v>128</v>
      </c>
      <c r="M277" s="44">
        <f>SUMIFS('Saldos Iniciales'!$D:$D,'Saldos Iniciales'!$A:$A,C277,'Saldos Iniciales'!$B:$B,D277)+SUMIFS($K$1:$K$1324,$C$1:$C$1324,C277,$D$1:$D$1324,D277,$B$1:$B$1324,"&lt;="&amp;B277)</f>
        <v>16344.88</v>
      </c>
      <c r="N277" s="61" t="str">
        <f>IF(tblMovimientos[[#This Row],[Tipo de Movimiento]]="Ingreso",tblMovimientos[[#This Row],[Monto (S/)]],"0")</f>
        <v>0</v>
      </c>
      <c r="O277" s="61">
        <f>IF(tblMovimientos[[#This Row],[Tipo de Movimiento]]="Egreso",tblMovimientos[[#This Row],[Monto (S/)]],"0")</f>
        <v>1291.6500000000001</v>
      </c>
      <c r="P277" s="28">
        <f>IF(tblMovimientos[[#This Row],[Tipo de Movimiento]]="Ingreso",tblMovimientos[[#This Row],[Ingreso]],-tblMovimientos[[#This Row],[Egreso]])</f>
        <v>-1291.6500000000001</v>
      </c>
      <c r="Q277" s="78" t="str">
        <f>_xlfn.XLOOKUP(tblMovimientos[[#This Row],[Cuenta Bancaria]],Cuentas!$C:$C,Cuentas!$A:$A,"")&amp;""</f>
        <v>SSP Group</v>
      </c>
      <c r="R277" s="78" t="str">
        <f>_xlfn.XLOOKUP(tblMovimientos[[#This Row],[Cuenta Bancaria]],Cuentas!$C:$C,Cuentas!$B:$B,"",0,-1)&amp;""</f>
        <v/>
      </c>
    </row>
    <row r="278" spans="2:18" x14ac:dyDescent="0.3">
      <c r="B278" s="39">
        <v>46182</v>
      </c>
      <c r="C278" s="4" t="str">
        <f>_xlfn.XLOOKUP(tblMovimientos[[#This Row],[Cuenta Bancaria]],Listas!$B:$B,Listas!$A:$A,"")</f>
        <v>CFT Group</v>
      </c>
      <c r="D278" s="41" t="s">
        <v>94</v>
      </c>
      <c r="E278" s="68" t="str">
        <f>_xlfn.XLOOKUP(tblMovimientos[[#This Row],[Cuenta Bancaria]],Listas!$B:$B,Listas!$C:$C,"")</f>
        <v>Bank of America</v>
      </c>
      <c r="F278" s="41" t="s">
        <v>9</v>
      </c>
      <c r="G278" s="41" t="s">
        <v>72</v>
      </c>
      <c r="H278" s="4" t="str">
        <f>IFERROR(_xlfn.XLOOKUP(G278,Listas!E:E,Listas!F:F,""),"")</f>
        <v>Operativo</v>
      </c>
      <c r="I278" s="46" t="str">
        <f>IFERROR(_xlfn.XLOOKUP(G278,Listas!E:E,Listas!G:G,""),"")</f>
        <v>Externo</v>
      </c>
      <c r="J278" s="43">
        <v>113987.15</v>
      </c>
      <c r="K278" s="5">
        <f t="shared" si="4"/>
        <v>113987.15</v>
      </c>
      <c r="L278" s="15" t="s">
        <v>128</v>
      </c>
      <c r="M278" s="44">
        <f>SUMIFS('Saldos Iniciales'!$D:$D,'Saldos Iniciales'!$A:$A,C278,'Saldos Iniciales'!$B:$B,D278)+SUMIFS($K$1:$K$1324,$C$1:$C$1324,C278,$D$1:$D$1324,D278,$B$1:$B$1324,"&lt;="&amp;B278)</f>
        <v>122476.72999999998</v>
      </c>
      <c r="N278" s="61">
        <f>IF(tblMovimientos[[#This Row],[Tipo de Movimiento]]="Ingreso",tblMovimientos[[#This Row],[Monto (S/)]],"0")</f>
        <v>113987.15</v>
      </c>
      <c r="O278" s="61" t="str">
        <f>IF(tblMovimientos[[#This Row],[Tipo de Movimiento]]="Egreso",tblMovimientos[[#This Row],[Monto (S/)]],"0")</f>
        <v>0</v>
      </c>
      <c r="P278" s="28">
        <f>IF(tblMovimientos[[#This Row],[Tipo de Movimiento]]="Ingreso",tblMovimientos[[#This Row],[Ingreso]],-tblMovimientos[[#This Row],[Egreso]])</f>
        <v>113987.15</v>
      </c>
      <c r="Q278" s="78" t="str">
        <f>_xlfn.XLOOKUP(tblMovimientos[[#This Row],[Cuenta Bancaria]],Cuentas!$C:$C,Cuentas!$A:$A,"")&amp;""</f>
        <v>SSP Group</v>
      </c>
      <c r="R278" s="78" t="str">
        <f>_xlfn.XLOOKUP(tblMovimientos[[#This Row],[Cuenta Bancaria]],Cuentas!$C:$C,Cuentas!$B:$B,"",0,-1)&amp;""</f>
        <v/>
      </c>
    </row>
    <row r="279" spans="2:18" x14ac:dyDescent="0.3">
      <c r="B279" s="39">
        <v>46183</v>
      </c>
      <c r="C279" s="4" t="str">
        <f>_xlfn.XLOOKUP(tblMovimientos[[#This Row],[Cuenta Bancaria]],Listas!$B:$B,Listas!$A:$A,"")</f>
        <v>CFT Group</v>
      </c>
      <c r="D279" s="41" t="s">
        <v>95</v>
      </c>
      <c r="E279" s="68" t="str">
        <f>_xlfn.XLOOKUP(tblMovimientos[[#This Row],[Cuenta Bancaria]],Listas!$B:$B,Listas!$C:$C,"")</f>
        <v xml:space="preserve">Amerant Bank </v>
      </c>
      <c r="F279" s="41" t="s">
        <v>9</v>
      </c>
      <c r="G279" s="41" t="s">
        <v>76</v>
      </c>
      <c r="H279" s="4" t="str">
        <f>IFERROR(_xlfn.XLOOKUP(G279,Listas!E:E,Listas!F:F,""),"")</f>
        <v>Financiamiento</v>
      </c>
      <c r="I279" s="46" t="str">
        <f>IFERROR(_xlfn.XLOOKUP(G279,Listas!E:E,Listas!G:G,""),"")</f>
        <v>Externo</v>
      </c>
      <c r="J279" s="43">
        <v>255000</v>
      </c>
      <c r="K279" s="5">
        <f t="shared" si="4"/>
        <v>255000</v>
      </c>
      <c r="L279" s="15" t="s">
        <v>128</v>
      </c>
      <c r="M279" s="44">
        <f>SUMIFS('Saldos Iniciales'!$D:$D,'Saldos Iniciales'!$A:$A,C279,'Saldos Iniciales'!$B:$B,D279)+SUMIFS($K$1:$K$1324,$C$1:$C$1324,C279,$D$1:$D$1324,D279,$B$1:$B$1324,"&lt;="&amp;B279)</f>
        <v>1974648.53</v>
      </c>
      <c r="N279" s="61">
        <f>IF(tblMovimientos[[#This Row],[Tipo de Movimiento]]="Ingreso",tblMovimientos[[#This Row],[Monto (S/)]],"0")</f>
        <v>255000</v>
      </c>
      <c r="O279" s="61" t="str">
        <f>IF(tblMovimientos[[#This Row],[Tipo de Movimiento]]="Egreso",tblMovimientos[[#This Row],[Monto (S/)]],"0")</f>
        <v>0</v>
      </c>
      <c r="P279" s="28">
        <f>IF(tblMovimientos[[#This Row],[Tipo de Movimiento]]="Ingreso",tblMovimientos[[#This Row],[Ingreso]],-tblMovimientos[[#This Row],[Egreso]])</f>
        <v>255000</v>
      </c>
      <c r="Q279" s="78" t="str">
        <f>_xlfn.XLOOKUP(tblMovimientos[[#This Row],[Cuenta Bancaria]],Cuentas!$C:$C,Cuentas!$A:$A,"")&amp;""</f>
        <v>SSP Group</v>
      </c>
      <c r="R279" s="78" t="str">
        <f>_xlfn.XLOOKUP(tblMovimientos[[#This Row],[Cuenta Bancaria]],Cuentas!$C:$C,Cuentas!$B:$B,"",0,-1)&amp;""</f>
        <v/>
      </c>
    </row>
    <row r="280" spans="2:18" x14ac:dyDescent="0.3">
      <c r="B280" s="39">
        <v>46183</v>
      </c>
      <c r="C280" s="4" t="str">
        <f>_xlfn.XLOOKUP(tblMovimientos[[#This Row],[Cuenta Bancaria]],Listas!$B:$B,Listas!$A:$A,"")</f>
        <v>CFT Group</v>
      </c>
      <c r="D280" s="41" t="s">
        <v>95</v>
      </c>
      <c r="E280" s="68" t="str">
        <f>_xlfn.XLOOKUP(tblMovimientos[[#This Row],[Cuenta Bancaria]],Listas!$B:$B,Listas!$C:$C,"")</f>
        <v xml:space="preserve">Amerant Bank </v>
      </c>
      <c r="F280" s="41" t="s">
        <v>9</v>
      </c>
      <c r="G280" s="41" t="s">
        <v>76</v>
      </c>
      <c r="H280" s="4" t="str">
        <f>IFERROR(_xlfn.XLOOKUP(G280,Listas!E:E,Listas!F:F,""),"")</f>
        <v>Financiamiento</v>
      </c>
      <c r="I280" s="46" t="str">
        <f>IFERROR(_xlfn.XLOOKUP(G280,Listas!E:E,Listas!G:G,""),"")</f>
        <v>Externo</v>
      </c>
      <c r="J280" s="43">
        <v>1000000</v>
      </c>
      <c r="K280" s="5">
        <f t="shared" si="4"/>
        <v>1000000</v>
      </c>
      <c r="L280" s="15" t="s">
        <v>128</v>
      </c>
      <c r="M280" s="44">
        <f>SUMIFS('Saldos Iniciales'!$D:$D,'Saldos Iniciales'!$A:$A,C280,'Saldos Iniciales'!$B:$B,D280)+SUMIFS($K$1:$K$1324,$C$1:$C$1324,C280,$D$1:$D$1324,D280,$B$1:$B$1324,"&lt;="&amp;B280)</f>
        <v>1974648.53</v>
      </c>
      <c r="N280" s="61">
        <f>IF(tblMovimientos[[#This Row],[Tipo de Movimiento]]="Ingreso",tblMovimientos[[#This Row],[Monto (S/)]],"0")</f>
        <v>1000000</v>
      </c>
      <c r="O280" s="61" t="str">
        <f>IF(tblMovimientos[[#This Row],[Tipo de Movimiento]]="Egreso",tblMovimientos[[#This Row],[Monto (S/)]],"0")</f>
        <v>0</v>
      </c>
      <c r="P280" s="28">
        <f>IF(tblMovimientos[[#This Row],[Tipo de Movimiento]]="Ingreso",tblMovimientos[[#This Row],[Ingreso]],-tblMovimientos[[#This Row],[Egreso]])</f>
        <v>1000000</v>
      </c>
      <c r="Q280" s="78" t="str">
        <f>_xlfn.XLOOKUP(tblMovimientos[[#This Row],[Cuenta Bancaria]],Cuentas!$C:$C,Cuentas!$A:$A,"")&amp;""</f>
        <v>SSP Group</v>
      </c>
      <c r="R280" s="78" t="str">
        <f>_xlfn.XLOOKUP(tblMovimientos[[#This Row],[Cuenta Bancaria]],Cuentas!$C:$C,Cuentas!$B:$B,"",0,-1)&amp;""</f>
        <v/>
      </c>
    </row>
    <row r="281" spans="2:18" x14ac:dyDescent="0.3">
      <c r="B281" s="39">
        <v>46183</v>
      </c>
      <c r="C281" s="4" t="str">
        <f>_xlfn.XLOOKUP(tblMovimientos[[#This Row],[Cuenta Bancaria]],Listas!$B:$B,Listas!$A:$A,"")</f>
        <v>A&amp;M Imports</v>
      </c>
      <c r="D281" s="41" t="s">
        <v>100</v>
      </c>
      <c r="E281" s="68" t="str">
        <f>_xlfn.XLOOKUP(tblMovimientos[[#This Row],[Cuenta Bancaria]],Listas!$B:$B,Listas!$C:$C,"")</f>
        <v>Bank of America</v>
      </c>
      <c r="F281" s="41" t="s">
        <v>9</v>
      </c>
      <c r="G281" s="41" t="s">
        <v>72</v>
      </c>
      <c r="H281" s="4" t="str">
        <f>IFERROR(_xlfn.XLOOKUP(G281,Listas!E:E,Listas!F:F,""),"")</f>
        <v>Operativo</v>
      </c>
      <c r="I281" s="46" t="str">
        <f>IFERROR(_xlfn.XLOOKUP(G281,Listas!E:E,Listas!G:G,""),"")</f>
        <v>Externo</v>
      </c>
      <c r="J281" s="43">
        <v>14761.57</v>
      </c>
      <c r="K281" s="5">
        <f t="shared" si="4"/>
        <v>14761.57</v>
      </c>
      <c r="L281" s="15" t="s">
        <v>128</v>
      </c>
      <c r="M281" s="44">
        <f>SUMIFS('Saldos Iniciales'!$D:$D,'Saldos Iniciales'!$A:$A,C281,'Saldos Iniciales'!$B:$B,D281)+SUMIFS($K$1:$K$1324,$C$1:$C$1324,C281,$D$1:$D$1324,D281,$B$1:$B$1324,"&lt;="&amp;B281)</f>
        <v>744306.80999999982</v>
      </c>
      <c r="N281" s="61">
        <f>IF(tblMovimientos[[#This Row],[Tipo de Movimiento]]="Ingreso",tblMovimientos[[#This Row],[Monto (S/)]],"0")</f>
        <v>14761.57</v>
      </c>
      <c r="O281" s="61" t="str">
        <f>IF(tblMovimientos[[#This Row],[Tipo de Movimiento]]="Egreso",tblMovimientos[[#This Row],[Monto (S/)]],"0")</f>
        <v>0</v>
      </c>
      <c r="P281" s="28">
        <f>IF(tblMovimientos[[#This Row],[Tipo de Movimiento]]="Ingreso",tblMovimientos[[#This Row],[Ingreso]],-tblMovimientos[[#This Row],[Egreso]])</f>
        <v>14761.57</v>
      </c>
      <c r="Q281" s="78" t="str">
        <f>_xlfn.XLOOKUP(tblMovimientos[[#This Row],[Cuenta Bancaria]],Cuentas!$C:$C,Cuentas!$A:$A,"")&amp;""</f>
        <v>SSP Group</v>
      </c>
      <c r="R281" s="78" t="str">
        <f>_xlfn.XLOOKUP(tblMovimientos[[#This Row],[Cuenta Bancaria]],Cuentas!$C:$C,Cuentas!$B:$B,"",0,-1)&amp;""</f>
        <v/>
      </c>
    </row>
    <row r="282" spans="2:18" x14ac:dyDescent="0.3">
      <c r="B282" s="39">
        <v>46183</v>
      </c>
      <c r="C282" s="4" t="str">
        <f>_xlfn.XLOOKUP(tblMovimientos[[#This Row],[Cuenta Bancaria]],Listas!$B:$B,Listas!$A:$A,"")</f>
        <v>CFT Group</v>
      </c>
      <c r="D282" s="41" t="s">
        <v>94</v>
      </c>
      <c r="E282" s="68" t="str">
        <f>_xlfn.XLOOKUP(tblMovimientos[[#This Row],[Cuenta Bancaria]],Listas!$B:$B,Listas!$C:$C,"")</f>
        <v>Bank of America</v>
      </c>
      <c r="F282" s="41" t="s">
        <v>9</v>
      </c>
      <c r="G282" s="41" t="s">
        <v>72</v>
      </c>
      <c r="H282" s="4" t="str">
        <f>IFERROR(_xlfn.XLOOKUP(G282,Listas!E:E,Listas!F:F,""),"")</f>
        <v>Operativo</v>
      </c>
      <c r="I282" s="46" t="str">
        <f>IFERROR(_xlfn.XLOOKUP(G282,Listas!E:E,Listas!G:G,""),"")</f>
        <v>Externo</v>
      </c>
      <c r="J282" s="43">
        <v>99279.52</v>
      </c>
      <c r="K282" s="5">
        <f t="shared" si="4"/>
        <v>99279.52</v>
      </c>
      <c r="L282" s="15" t="s">
        <v>128</v>
      </c>
      <c r="M282" s="44">
        <f>SUMIFS('Saldos Iniciales'!$D:$D,'Saldos Iniciales'!$A:$A,C282,'Saldos Iniciales'!$B:$B,D282)+SUMIFS($K$1:$K$1324,$C$1:$C$1324,C282,$D$1:$D$1324,D282,$B$1:$B$1324,"&lt;="&amp;B282)</f>
        <v>308841.39</v>
      </c>
      <c r="N282" s="61">
        <f>IF(tblMovimientos[[#This Row],[Tipo de Movimiento]]="Ingreso",tblMovimientos[[#This Row],[Monto (S/)]],"0")</f>
        <v>99279.52</v>
      </c>
      <c r="O282" s="61" t="str">
        <f>IF(tblMovimientos[[#This Row],[Tipo de Movimiento]]="Egreso",tblMovimientos[[#This Row],[Monto (S/)]],"0")</f>
        <v>0</v>
      </c>
      <c r="P282" s="28">
        <f>IF(tblMovimientos[[#This Row],[Tipo de Movimiento]]="Ingreso",tblMovimientos[[#This Row],[Ingreso]],-tblMovimientos[[#This Row],[Egreso]])</f>
        <v>99279.52</v>
      </c>
      <c r="Q282" s="78" t="str">
        <f>_xlfn.XLOOKUP(tblMovimientos[[#This Row],[Cuenta Bancaria]],Cuentas!$C:$C,Cuentas!$A:$A,"")&amp;""</f>
        <v>SSP Group</v>
      </c>
      <c r="R282" s="78" t="str">
        <f>_xlfn.XLOOKUP(tblMovimientos[[#This Row],[Cuenta Bancaria]],Cuentas!$C:$C,Cuentas!$B:$B,"",0,-1)&amp;""</f>
        <v/>
      </c>
    </row>
    <row r="283" spans="2:18" x14ac:dyDescent="0.3">
      <c r="B283" s="39">
        <v>46183</v>
      </c>
      <c r="C283" s="4" t="str">
        <f>_xlfn.XLOOKUP(tblMovimientos[[#This Row],[Cuenta Bancaria]],Listas!$B:$B,Listas!$A:$A,"")</f>
        <v>CFT Group</v>
      </c>
      <c r="D283" s="41" t="s">
        <v>94</v>
      </c>
      <c r="E283" s="68" t="str">
        <f>_xlfn.XLOOKUP(tblMovimientos[[#This Row],[Cuenta Bancaria]],Listas!$B:$B,Listas!$C:$C,"")</f>
        <v>Bank of America</v>
      </c>
      <c r="F283" s="41" t="s">
        <v>9</v>
      </c>
      <c r="G283" s="41" t="s">
        <v>72</v>
      </c>
      <c r="H283" s="4" t="str">
        <f>IFERROR(_xlfn.XLOOKUP(G283,Listas!E:E,Listas!F:F,""),"")</f>
        <v>Operativo</v>
      </c>
      <c r="I283" s="46" t="str">
        <f>IFERROR(_xlfn.XLOOKUP(G283,Listas!E:E,Listas!G:G,""),"")</f>
        <v>Externo</v>
      </c>
      <c r="J283" s="43">
        <v>87085.14</v>
      </c>
      <c r="K283" s="5">
        <f t="shared" si="4"/>
        <v>87085.14</v>
      </c>
      <c r="L283" s="15" t="s">
        <v>128</v>
      </c>
      <c r="M283" s="44">
        <f>SUMIFS('Saldos Iniciales'!$D:$D,'Saldos Iniciales'!$A:$A,C283,'Saldos Iniciales'!$B:$B,D283)+SUMIFS($K$1:$K$1324,$C$1:$C$1324,C283,$D$1:$D$1324,D283,$B$1:$B$1324,"&lt;="&amp;B283)</f>
        <v>308841.39</v>
      </c>
      <c r="N283" s="61">
        <f>IF(tblMovimientos[[#This Row],[Tipo de Movimiento]]="Ingreso",tblMovimientos[[#This Row],[Monto (S/)]],"0")</f>
        <v>87085.14</v>
      </c>
      <c r="O283" s="61" t="str">
        <f>IF(tblMovimientos[[#This Row],[Tipo de Movimiento]]="Egreso",tblMovimientos[[#This Row],[Monto (S/)]],"0")</f>
        <v>0</v>
      </c>
      <c r="P283" s="28">
        <f>IF(tblMovimientos[[#This Row],[Tipo de Movimiento]]="Ingreso",tblMovimientos[[#This Row],[Ingreso]],-tblMovimientos[[#This Row],[Egreso]])</f>
        <v>87085.14</v>
      </c>
      <c r="Q283" s="78" t="str">
        <f>_xlfn.XLOOKUP(tblMovimientos[[#This Row],[Cuenta Bancaria]],Cuentas!$C:$C,Cuentas!$A:$A,"")&amp;""</f>
        <v>SSP Group</v>
      </c>
      <c r="R283" s="78" t="str">
        <f>_xlfn.XLOOKUP(tblMovimientos[[#This Row],[Cuenta Bancaria]],Cuentas!$C:$C,Cuentas!$B:$B,"",0,-1)&amp;""</f>
        <v/>
      </c>
    </row>
    <row r="284" spans="2:18" x14ac:dyDescent="0.3">
      <c r="B284" s="39">
        <v>46183</v>
      </c>
      <c r="C284" s="4" t="str">
        <f>_xlfn.XLOOKUP(tblMovimientos[[#This Row],[Cuenta Bancaria]],Listas!$B:$B,Listas!$A:$A,"")</f>
        <v>3628 Thomas Ave</v>
      </c>
      <c r="D284" s="41" t="s">
        <v>124</v>
      </c>
      <c r="E284" s="68" t="str">
        <f>_xlfn.XLOOKUP(tblMovimientos[[#This Row],[Cuenta Bancaria]],Listas!$B:$B,Listas!$C:$C,"")</f>
        <v>Bank of America</v>
      </c>
      <c r="F284" s="41" t="s">
        <v>10</v>
      </c>
      <c r="G284" s="41" t="s">
        <v>38</v>
      </c>
      <c r="H284" s="4" t="str">
        <f>IFERROR(_xlfn.XLOOKUP(G284,Listas!E:E,Listas!F:F,""),"")</f>
        <v>Operativo</v>
      </c>
      <c r="I284" s="46" t="str">
        <f>IFERROR(_xlfn.XLOOKUP(G284,Listas!E:E,Listas!G:G,""),"")</f>
        <v>Externo</v>
      </c>
      <c r="J284" s="43">
        <v>89.25</v>
      </c>
      <c r="K284" s="5">
        <f t="shared" si="4"/>
        <v>-89.25</v>
      </c>
      <c r="L284" s="15" t="s">
        <v>128</v>
      </c>
      <c r="M284" s="44">
        <f>SUMIFS('Saldos Iniciales'!$D:$D,'Saldos Iniciales'!$A:$A,C284,'Saldos Iniciales'!$B:$B,D284)+SUMIFS($K$1:$K$1324,$C$1:$C$1324,C284,$D$1:$D$1324,D284,$B$1:$B$1324,"&lt;="&amp;B284)</f>
        <v>24743.98</v>
      </c>
      <c r="N284" s="61" t="str">
        <f>IF(tblMovimientos[[#This Row],[Tipo de Movimiento]]="Ingreso",tblMovimientos[[#This Row],[Monto (S/)]],"0")</f>
        <v>0</v>
      </c>
      <c r="O284" s="61">
        <f>IF(tblMovimientos[[#This Row],[Tipo de Movimiento]]="Egreso",tblMovimientos[[#This Row],[Monto (S/)]],"0")</f>
        <v>89.25</v>
      </c>
      <c r="P284" s="28">
        <f>IF(tblMovimientos[[#This Row],[Tipo de Movimiento]]="Ingreso",tblMovimientos[[#This Row],[Ingreso]],-tblMovimientos[[#This Row],[Egreso]])</f>
        <v>-89.25</v>
      </c>
      <c r="Q284" s="78" t="str">
        <f>_xlfn.XLOOKUP(tblMovimientos[[#This Row],[Cuenta Bancaria]],Cuentas!$C:$C,Cuentas!$A:$A,"")&amp;""</f>
        <v>SSP Group</v>
      </c>
      <c r="R284" s="78" t="str">
        <f>_xlfn.XLOOKUP(tblMovimientos[[#This Row],[Cuenta Bancaria]],Cuentas!$C:$C,Cuentas!$B:$B,"",0,-1)&amp;""</f>
        <v/>
      </c>
    </row>
    <row r="285" spans="2:18" x14ac:dyDescent="0.3">
      <c r="B285" s="39">
        <v>46184</v>
      </c>
      <c r="C285" s="4" t="str">
        <f>_xlfn.XLOOKUP(tblMovimientos[[#This Row],[Cuenta Bancaria]],Listas!$B:$B,Listas!$A:$A,"")</f>
        <v>Go Blue</v>
      </c>
      <c r="D285" s="41" t="s">
        <v>126</v>
      </c>
      <c r="E285" s="68" t="str">
        <f>_xlfn.XLOOKUP(tblMovimientos[[#This Row],[Cuenta Bancaria]],Listas!$B:$B,Listas!$C:$C,"")</f>
        <v xml:space="preserve">Amerant Bank </v>
      </c>
      <c r="F285" s="41" t="s">
        <v>10</v>
      </c>
      <c r="G285" s="41" t="s">
        <v>44</v>
      </c>
      <c r="H285" s="4" t="str">
        <f>IFERROR(_xlfn.XLOOKUP(G285,Listas!E:E,Listas!F:F,""),"")</f>
        <v>Operativo</v>
      </c>
      <c r="I285" s="46" t="str">
        <f>IFERROR(_xlfn.XLOOKUP(G285,Listas!E:E,Listas!G:G,""),"")</f>
        <v>Externo</v>
      </c>
      <c r="J285" s="43">
        <v>15</v>
      </c>
      <c r="K285" s="5">
        <f t="shared" si="4"/>
        <v>-15</v>
      </c>
      <c r="L285" s="15" t="s">
        <v>128</v>
      </c>
      <c r="M285" s="44">
        <f>SUMIFS('Saldos Iniciales'!$D:$D,'Saldos Iniciales'!$A:$A,C285,'Saldos Iniciales'!$B:$B,D285)+SUMIFS($K$1:$K$1324,$C$1:$C$1324,C285,$D$1:$D$1324,D285,$B$1:$B$1324,"&lt;="&amp;B285)</f>
        <v>48774.73</v>
      </c>
      <c r="N285" s="61" t="str">
        <f>IF(tblMovimientos[[#This Row],[Tipo de Movimiento]]="Ingreso",tblMovimientos[[#This Row],[Monto (S/)]],"0")</f>
        <v>0</v>
      </c>
      <c r="O285" s="61">
        <f>IF(tblMovimientos[[#This Row],[Tipo de Movimiento]]="Egreso",tblMovimientos[[#This Row],[Monto (S/)]],"0")</f>
        <v>15</v>
      </c>
      <c r="P285" s="28">
        <f>IF(tblMovimientos[[#This Row],[Tipo de Movimiento]]="Ingreso",tblMovimientos[[#This Row],[Ingreso]],-tblMovimientos[[#This Row],[Egreso]])</f>
        <v>-15</v>
      </c>
      <c r="Q285" s="78" t="str">
        <f>_xlfn.XLOOKUP(tblMovimientos[[#This Row],[Cuenta Bancaria]],Cuentas!$C:$C,Cuentas!$A:$A,"")&amp;""</f>
        <v>SSP Group</v>
      </c>
      <c r="R285" s="78" t="str">
        <f>_xlfn.XLOOKUP(tblMovimientos[[#This Row],[Cuenta Bancaria]],Cuentas!$C:$C,Cuentas!$B:$B,"",0,-1)&amp;""</f>
        <v/>
      </c>
    </row>
    <row r="286" spans="2:18" x14ac:dyDescent="0.3">
      <c r="B286" s="39">
        <v>46184</v>
      </c>
      <c r="C286" s="4" t="str">
        <f>_xlfn.XLOOKUP(tblMovimientos[[#This Row],[Cuenta Bancaria]],Listas!$B:$B,Listas!$A:$A,"")</f>
        <v>A&amp;M Imports</v>
      </c>
      <c r="D286" s="41" t="s">
        <v>100</v>
      </c>
      <c r="E286" s="68" t="str">
        <f>_xlfn.XLOOKUP(tblMovimientos[[#This Row],[Cuenta Bancaria]],Listas!$B:$B,Listas!$C:$C,"")</f>
        <v>Bank of America</v>
      </c>
      <c r="F286" s="41" t="s">
        <v>10</v>
      </c>
      <c r="G286" s="41" t="s">
        <v>61</v>
      </c>
      <c r="H286" s="4" t="str">
        <f>IFERROR(_xlfn.XLOOKUP(G286,Listas!E:E,Listas!F:F,""),"")</f>
        <v>Operativo</v>
      </c>
      <c r="I286" s="46" t="str">
        <f>IFERROR(_xlfn.XLOOKUP(G286,Listas!E:E,Listas!G:G,""),"")</f>
        <v>Externo</v>
      </c>
      <c r="J286" s="43">
        <v>60000</v>
      </c>
      <c r="K286" s="5">
        <f t="shared" si="4"/>
        <v>-60000</v>
      </c>
      <c r="L286" s="15" t="s">
        <v>128</v>
      </c>
      <c r="M286" s="44">
        <f>SUMIFS('Saldos Iniciales'!$D:$D,'Saldos Iniciales'!$A:$A,C286,'Saldos Iniciales'!$B:$B,D286)+SUMIFS($K$1:$K$1324,$C$1:$C$1324,C286,$D$1:$D$1324,D286,$B$1:$B$1324,"&lt;="&amp;B286)</f>
        <v>564626.20999999985</v>
      </c>
      <c r="N286" s="61" t="str">
        <f>IF(tblMovimientos[[#This Row],[Tipo de Movimiento]]="Ingreso",tblMovimientos[[#This Row],[Monto (S/)]],"0")</f>
        <v>0</v>
      </c>
      <c r="O286" s="61">
        <f>IF(tblMovimientos[[#This Row],[Tipo de Movimiento]]="Egreso",tblMovimientos[[#This Row],[Monto (S/)]],"0")</f>
        <v>60000</v>
      </c>
      <c r="P286" s="28">
        <f>IF(tblMovimientos[[#This Row],[Tipo de Movimiento]]="Ingreso",tblMovimientos[[#This Row],[Ingreso]],-tblMovimientos[[#This Row],[Egreso]])</f>
        <v>-60000</v>
      </c>
      <c r="Q286" s="78" t="str">
        <f>_xlfn.XLOOKUP(tblMovimientos[[#This Row],[Cuenta Bancaria]],Cuentas!$C:$C,Cuentas!$A:$A,"")&amp;""</f>
        <v>SSP Group</v>
      </c>
      <c r="R286" s="78" t="str">
        <f>_xlfn.XLOOKUP(tblMovimientos[[#This Row],[Cuenta Bancaria]],Cuentas!$C:$C,Cuentas!$B:$B,"",0,-1)&amp;""</f>
        <v/>
      </c>
    </row>
    <row r="287" spans="2:18" x14ac:dyDescent="0.3">
      <c r="B287" s="39">
        <v>46184</v>
      </c>
      <c r="C287" s="4" t="str">
        <f>_xlfn.XLOOKUP(tblMovimientos[[#This Row],[Cuenta Bancaria]],Listas!$B:$B,Listas!$A:$A,"")</f>
        <v>A&amp;M Imports</v>
      </c>
      <c r="D287" s="41" t="s">
        <v>100</v>
      </c>
      <c r="E287" s="68" t="str">
        <f>_xlfn.XLOOKUP(tblMovimientos[[#This Row],[Cuenta Bancaria]],Listas!$B:$B,Listas!$C:$C,"")</f>
        <v>Bank of America</v>
      </c>
      <c r="F287" s="41" t="s">
        <v>10</v>
      </c>
      <c r="G287" s="41" t="s">
        <v>51</v>
      </c>
      <c r="H287" s="4" t="str">
        <f>IFERROR(_xlfn.XLOOKUP(G287,Listas!E:E,Listas!F:F,""),"")</f>
        <v>Financiamiento</v>
      </c>
      <c r="I287" s="46" t="str">
        <f>IFERROR(_xlfn.XLOOKUP(G287,Listas!E:E,Listas!G:G,""),"")</f>
        <v>Externo</v>
      </c>
      <c r="J287" s="43">
        <v>119680.6</v>
      </c>
      <c r="K287" s="5">
        <f t="shared" si="4"/>
        <v>-119680.6</v>
      </c>
      <c r="L287" s="15" t="s">
        <v>128</v>
      </c>
      <c r="M287" s="44">
        <f>SUMIFS('Saldos Iniciales'!$D:$D,'Saldos Iniciales'!$A:$A,C287,'Saldos Iniciales'!$B:$B,D287)+SUMIFS($K$1:$K$1324,$C$1:$C$1324,C287,$D$1:$D$1324,D287,$B$1:$B$1324,"&lt;="&amp;B287)</f>
        <v>564626.20999999985</v>
      </c>
      <c r="N287" s="61" t="str">
        <f>IF(tblMovimientos[[#This Row],[Tipo de Movimiento]]="Ingreso",tblMovimientos[[#This Row],[Monto (S/)]],"0")</f>
        <v>0</v>
      </c>
      <c r="O287" s="61">
        <f>IF(tblMovimientos[[#This Row],[Tipo de Movimiento]]="Egreso",tblMovimientos[[#This Row],[Monto (S/)]],"0")</f>
        <v>119680.6</v>
      </c>
      <c r="P287" s="28">
        <f>IF(tblMovimientos[[#This Row],[Tipo de Movimiento]]="Ingreso",tblMovimientos[[#This Row],[Ingreso]],-tblMovimientos[[#This Row],[Egreso]])</f>
        <v>-119680.6</v>
      </c>
      <c r="Q287" s="78" t="str">
        <f>_xlfn.XLOOKUP(tblMovimientos[[#This Row],[Cuenta Bancaria]],Cuentas!$C:$C,Cuentas!$A:$A,"")&amp;""</f>
        <v>SSP Group</v>
      </c>
      <c r="R287" s="78" t="str">
        <f>_xlfn.XLOOKUP(tblMovimientos[[#This Row],[Cuenta Bancaria]],Cuentas!$C:$C,Cuentas!$B:$B,"",0,-1)&amp;""</f>
        <v/>
      </c>
    </row>
    <row r="288" spans="2:18" x14ac:dyDescent="0.3">
      <c r="B288" s="39">
        <v>46184</v>
      </c>
      <c r="C288" s="4" t="str">
        <f>_xlfn.XLOOKUP(tblMovimientos[[#This Row],[Cuenta Bancaria]],Listas!$B:$B,Listas!$A:$A,"")</f>
        <v>CFT Group</v>
      </c>
      <c r="D288" s="41" t="s">
        <v>95</v>
      </c>
      <c r="E288" s="68" t="str">
        <f>_xlfn.XLOOKUP(tblMovimientos[[#This Row],[Cuenta Bancaria]],Listas!$B:$B,Listas!$C:$C,"")</f>
        <v xml:space="preserve">Amerant Bank </v>
      </c>
      <c r="F288" s="41" t="s">
        <v>10</v>
      </c>
      <c r="G288" s="41" t="s">
        <v>46</v>
      </c>
      <c r="H288" s="4" t="str">
        <f>IFERROR(_xlfn.XLOOKUP(G288,Listas!E:E,Listas!F:F,""),"")</f>
        <v>Financiamiento</v>
      </c>
      <c r="I288" s="46" t="str">
        <f>IFERROR(_xlfn.XLOOKUP(G288,Listas!E:E,Listas!G:G,""),"")</f>
        <v>Externo</v>
      </c>
      <c r="J288" s="43">
        <v>2916.67</v>
      </c>
      <c r="K288" s="5">
        <f t="shared" si="4"/>
        <v>-2916.67</v>
      </c>
      <c r="L288" s="15" t="s">
        <v>128</v>
      </c>
      <c r="M288" s="44">
        <f>SUMIFS('Saldos Iniciales'!$D:$D,'Saldos Iniciales'!$A:$A,C288,'Saldos Iniciales'!$B:$B,D288)+SUMIFS($K$1:$K$1324,$C$1:$C$1324,C288,$D$1:$D$1324,D288,$B$1:$B$1324,"&lt;="&amp;B288)</f>
        <v>1523687.4200000002</v>
      </c>
      <c r="N288" s="61" t="str">
        <f>IF(tblMovimientos[[#This Row],[Tipo de Movimiento]]="Ingreso",tblMovimientos[[#This Row],[Monto (S/)]],"0")</f>
        <v>0</v>
      </c>
      <c r="O288" s="61">
        <f>IF(tblMovimientos[[#This Row],[Tipo de Movimiento]]="Egreso",tblMovimientos[[#This Row],[Monto (S/)]],"0")</f>
        <v>2916.67</v>
      </c>
      <c r="P288" s="28">
        <f>IF(tblMovimientos[[#This Row],[Tipo de Movimiento]]="Ingreso",tblMovimientos[[#This Row],[Ingreso]],-tblMovimientos[[#This Row],[Egreso]])</f>
        <v>-2916.67</v>
      </c>
      <c r="Q288" s="78" t="str">
        <f>_xlfn.XLOOKUP(tblMovimientos[[#This Row],[Cuenta Bancaria]],Cuentas!$C:$C,Cuentas!$A:$A,"")&amp;""</f>
        <v>SSP Group</v>
      </c>
      <c r="R288" s="78" t="str">
        <f>_xlfn.XLOOKUP(tblMovimientos[[#This Row],[Cuenta Bancaria]],Cuentas!$C:$C,Cuentas!$B:$B,"",0,-1)&amp;""</f>
        <v/>
      </c>
    </row>
    <row r="289" spans="1:18" x14ac:dyDescent="0.3">
      <c r="B289" s="39">
        <v>46184</v>
      </c>
      <c r="C289" s="4" t="str">
        <f>_xlfn.XLOOKUP(tblMovimientos[[#This Row],[Cuenta Bancaria]],Listas!$B:$B,Listas!$A:$A,"")</f>
        <v>CFT Group</v>
      </c>
      <c r="D289" s="41" t="s">
        <v>95</v>
      </c>
      <c r="E289" s="68" t="str">
        <f>_xlfn.XLOOKUP(tblMovimientos[[#This Row],[Cuenta Bancaria]],Listas!$B:$B,Listas!$C:$C,"")</f>
        <v xml:space="preserve">Amerant Bank </v>
      </c>
      <c r="F289" s="41" t="s">
        <v>10</v>
      </c>
      <c r="G289" s="41" t="s">
        <v>46</v>
      </c>
      <c r="H289" s="4" t="str">
        <f>IFERROR(_xlfn.XLOOKUP(G289,Listas!E:E,Listas!F:F,""),"")</f>
        <v>Financiamiento</v>
      </c>
      <c r="I289" s="46" t="str">
        <f>IFERROR(_xlfn.XLOOKUP(G289,Listas!E:E,Listas!G:G,""),"")</f>
        <v>Externo</v>
      </c>
      <c r="J289" s="43">
        <v>5166.67</v>
      </c>
      <c r="K289" s="5">
        <f t="shared" si="4"/>
        <v>-5166.67</v>
      </c>
      <c r="L289" s="15" t="s">
        <v>128</v>
      </c>
      <c r="M289" s="44">
        <f>SUMIFS('Saldos Iniciales'!$D:$D,'Saldos Iniciales'!$A:$A,C289,'Saldos Iniciales'!$B:$B,D289)+SUMIFS($K$1:$K$1324,$C$1:$C$1324,C289,$D$1:$D$1324,D289,$B$1:$B$1324,"&lt;="&amp;B289)</f>
        <v>1523687.4200000002</v>
      </c>
      <c r="N289" s="61" t="str">
        <f>IF(tblMovimientos[[#This Row],[Tipo de Movimiento]]="Ingreso",tblMovimientos[[#This Row],[Monto (S/)]],"0")</f>
        <v>0</v>
      </c>
      <c r="O289" s="61">
        <f>IF(tblMovimientos[[#This Row],[Tipo de Movimiento]]="Egreso",tblMovimientos[[#This Row],[Monto (S/)]],"0")</f>
        <v>5166.67</v>
      </c>
      <c r="P289" s="28">
        <f>IF(tblMovimientos[[#This Row],[Tipo de Movimiento]]="Ingreso",tblMovimientos[[#This Row],[Ingreso]],-tblMovimientos[[#This Row],[Egreso]])</f>
        <v>-5166.67</v>
      </c>
      <c r="Q289" s="78" t="str">
        <f>_xlfn.XLOOKUP(tblMovimientos[[#This Row],[Cuenta Bancaria]],Cuentas!$C:$C,Cuentas!$A:$A,"")&amp;""</f>
        <v>SSP Group</v>
      </c>
      <c r="R289" s="78" t="str">
        <f>_xlfn.XLOOKUP(tblMovimientos[[#This Row],[Cuenta Bancaria]],Cuentas!$C:$C,Cuentas!$B:$B,"",0,-1)&amp;""</f>
        <v/>
      </c>
    </row>
    <row r="290" spans="1:18" x14ac:dyDescent="0.3">
      <c r="B290" s="39">
        <v>46184</v>
      </c>
      <c r="C290" s="4" t="str">
        <f>_xlfn.XLOOKUP(tblMovimientos[[#This Row],[Cuenta Bancaria]],Listas!$B:$B,Listas!$A:$A,"")</f>
        <v>CFT Group</v>
      </c>
      <c r="D290" s="41" t="s">
        <v>95</v>
      </c>
      <c r="E290" s="68" t="str">
        <f>_xlfn.XLOOKUP(tblMovimientos[[#This Row],[Cuenta Bancaria]],Listas!$B:$B,Listas!$C:$C,"")</f>
        <v xml:space="preserve">Amerant Bank </v>
      </c>
      <c r="F290" s="41" t="s">
        <v>10</v>
      </c>
      <c r="G290" s="41" t="s">
        <v>46</v>
      </c>
      <c r="H290" s="4" t="str">
        <f>IFERROR(_xlfn.XLOOKUP(G290,Listas!E:E,Listas!F:F,""),"")</f>
        <v>Financiamiento</v>
      </c>
      <c r="I290" s="46" t="str">
        <f>IFERROR(_xlfn.XLOOKUP(G290,Listas!E:E,Listas!G:G,""),"")</f>
        <v>Externo</v>
      </c>
      <c r="J290" s="43">
        <v>27083.33</v>
      </c>
      <c r="K290" s="5">
        <f t="shared" si="4"/>
        <v>-27083.33</v>
      </c>
      <c r="L290" s="15" t="s">
        <v>128</v>
      </c>
      <c r="M290" s="44">
        <f>SUMIFS('Saldos Iniciales'!$D:$D,'Saldos Iniciales'!$A:$A,C290,'Saldos Iniciales'!$B:$B,D290)+SUMIFS($K$1:$K$1324,$C$1:$C$1324,C290,$D$1:$D$1324,D290,$B$1:$B$1324,"&lt;="&amp;B290)</f>
        <v>1523687.4200000002</v>
      </c>
      <c r="N290" s="61" t="str">
        <f>IF(tblMovimientos[[#This Row],[Tipo de Movimiento]]="Ingreso",tblMovimientos[[#This Row],[Monto (S/)]],"0")</f>
        <v>0</v>
      </c>
      <c r="O290" s="61">
        <f>IF(tblMovimientos[[#This Row],[Tipo de Movimiento]]="Egreso",tblMovimientos[[#This Row],[Monto (S/)]],"0")</f>
        <v>27083.33</v>
      </c>
      <c r="P290" s="28">
        <f>IF(tblMovimientos[[#This Row],[Tipo de Movimiento]]="Ingreso",tblMovimientos[[#This Row],[Ingreso]],-tblMovimientos[[#This Row],[Egreso]])</f>
        <v>-27083.33</v>
      </c>
      <c r="Q290" s="78" t="str">
        <f>_xlfn.XLOOKUP(tblMovimientos[[#This Row],[Cuenta Bancaria]],Cuentas!$C:$C,Cuentas!$A:$A,"")&amp;""</f>
        <v>SSP Group</v>
      </c>
      <c r="R290" s="78" t="str">
        <f>_xlfn.XLOOKUP(tblMovimientos[[#This Row],[Cuenta Bancaria]],Cuentas!$C:$C,Cuentas!$B:$B,"",0,-1)&amp;""</f>
        <v/>
      </c>
    </row>
    <row r="291" spans="1:18" x14ac:dyDescent="0.3">
      <c r="B291" s="39">
        <v>46184</v>
      </c>
      <c r="C291" s="4" t="str">
        <f>_xlfn.XLOOKUP(tblMovimientos[[#This Row],[Cuenta Bancaria]],Listas!$B:$B,Listas!$A:$A,"")</f>
        <v>CFT Group</v>
      </c>
      <c r="D291" s="41" t="s">
        <v>95</v>
      </c>
      <c r="E291" s="68" t="str">
        <f>_xlfn.XLOOKUP(tblMovimientos[[#This Row],[Cuenta Bancaria]],Listas!$B:$B,Listas!$C:$C,"")</f>
        <v xml:space="preserve">Amerant Bank </v>
      </c>
      <c r="F291" s="41" t="s">
        <v>10</v>
      </c>
      <c r="G291" s="41" t="s">
        <v>61</v>
      </c>
      <c r="H291" s="4" t="str">
        <f>IFERROR(_xlfn.XLOOKUP(G291,Listas!E:E,Listas!F:F,""),"")</f>
        <v>Operativo</v>
      </c>
      <c r="I291" s="46" t="str">
        <f>IFERROR(_xlfn.XLOOKUP(G291,Listas!E:E,Listas!G:G,""),"")</f>
        <v>Externo</v>
      </c>
      <c r="J291" s="43">
        <v>40000</v>
      </c>
      <c r="K291" s="5">
        <f t="shared" si="4"/>
        <v>-40000</v>
      </c>
      <c r="L291" s="15" t="s">
        <v>128</v>
      </c>
      <c r="M291" s="44">
        <f>SUMIFS('Saldos Iniciales'!$D:$D,'Saldos Iniciales'!$A:$A,C291,'Saldos Iniciales'!$B:$B,D291)+SUMIFS($K$1:$K$1324,$C$1:$C$1324,C291,$D$1:$D$1324,D291,$B$1:$B$1324,"&lt;="&amp;B291)</f>
        <v>1523687.4200000002</v>
      </c>
      <c r="N291" s="61" t="str">
        <f>IF(tblMovimientos[[#This Row],[Tipo de Movimiento]]="Ingreso",tblMovimientos[[#This Row],[Monto (S/)]],"0")</f>
        <v>0</v>
      </c>
      <c r="O291" s="61">
        <f>IF(tblMovimientos[[#This Row],[Tipo de Movimiento]]="Egreso",tblMovimientos[[#This Row],[Monto (S/)]],"0")</f>
        <v>40000</v>
      </c>
      <c r="P291" s="28">
        <f>IF(tblMovimientos[[#This Row],[Tipo de Movimiento]]="Ingreso",tblMovimientos[[#This Row],[Ingreso]],-tblMovimientos[[#This Row],[Egreso]])</f>
        <v>-40000</v>
      </c>
      <c r="Q291" s="78" t="str">
        <f>_xlfn.XLOOKUP(tblMovimientos[[#This Row],[Cuenta Bancaria]],Cuentas!$C:$C,Cuentas!$A:$A,"")&amp;""</f>
        <v>SSP Group</v>
      </c>
      <c r="R291" s="78" t="str">
        <f>_xlfn.XLOOKUP(tblMovimientos[[#This Row],[Cuenta Bancaria]],Cuentas!$C:$C,Cuentas!$B:$B,"",0,-1)&amp;""</f>
        <v/>
      </c>
    </row>
    <row r="292" spans="1:18" x14ac:dyDescent="0.3">
      <c r="B292" s="39">
        <v>46184</v>
      </c>
      <c r="C292" s="4" t="str">
        <f>_xlfn.XLOOKUP(tblMovimientos[[#This Row],[Cuenta Bancaria]],Listas!$B:$B,Listas!$A:$A,"")</f>
        <v>CFT Group</v>
      </c>
      <c r="D292" s="41" t="s">
        <v>95</v>
      </c>
      <c r="E292" s="68" t="str">
        <f>_xlfn.XLOOKUP(tblMovimientos[[#This Row],[Cuenta Bancaria]],Listas!$B:$B,Listas!$C:$C,"")</f>
        <v xml:space="preserve">Amerant Bank </v>
      </c>
      <c r="F292" s="41" t="s">
        <v>10</v>
      </c>
      <c r="G292" s="41" t="s">
        <v>46</v>
      </c>
      <c r="H292" s="4" t="str">
        <f>IFERROR(_xlfn.XLOOKUP(G292,Listas!E:E,Listas!F:F,""),"")</f>
        <v>Financiamiento</v>
      </c>
      <c r="I292" s="46" t="str">
        <f>IFERROR(_xlfn.XLOOKUP(G292,Listas!E:E,Listas!G:G,""),"")</f>
        <v>Externo</v>
      </c>
      <c r="J292" s="43">
        <v>57866.67</v>
      </c>
      <c r="K292" s="5">
        <f t="shared" si="4"/>
        <v>-57866.67</v>
      </c>
      <c r="L292" s="15" t="s">
        <v>128</v>
      </c>
      <c r="M292" s="44">
        <f>SUMIFS('Saldos Iniciales'!$D:$D,'Saldos Iniciales'!$A:$A,C292,'Saldos Iniciales'!$B:$B,D292)+SUMIFS($K$1:$K$1324,$C$1:$C$1324,C292,$D$1:$D$1324,D292,$B$1:$B$1324,"&lt;="&amp;B292)</f>
        <v>1523687.4200000002</v>
      </c>
      <c r="N292" s="61" t="str">
        <f>IF(tblMovimientos[[#This Row],[Tipo de Movimiento]]="Ingreso",tblMovimientos[[#This Row],[Monto (S/)]],"0")</f>
        <v>0</v>
      </c>
      <c r="O292" s="61">
        <f>IF(tblMovimientos[[#This Row],[Tipo de Movimiento]]="Egreso",tblMovimientos[[#This Row],[Monto (S/)]],"0")</f>
        <v>57866.67</v>
      </c>
      <c r="P292" s="28">
        <f>IF(tblMovimientos[[#This Row],[Tipo de Movimiento]]="Ingreso",tblMovimientos[[#This Row],[Ingreso]],-tblMovimientos[[#This Row],[Egreso]])</f>
        <v>-57866.67</v>
      </c>
      <c r="Q292" s="78" t="str">
        <f>_xlfn.XLOOKUP(tblMovimientos[[#This Row],[Cuenta Bancaria]],Cuentas!$C:$C,Cuentas!$A:$A,"")&amp;""</f>
        <v>SSP Group</v>
      </c>
      <c r="R292" s="78" t="str">
        <f>_xlfn.XLOOKUP(tblMovimientos[[#This Row],[Cuenta Bancaria]],Cuentas!$C:$C,Cuentas!$B:$B,"",0,-1)&amp;""</f>
        <v/>
      </c>
    </row>
    <row r="293" spans="1:18" x14ac:dyDescent="0.3">
      <c r="B293" s="39">
        <v>46184</v>
      </c>
      <c r="C293" s="4" t="str">
        <f>_xlfn.XLOOKUP(tblMovimientos[[#This Row],[Cuenta Bancaria]],Listas!$B:$B,Listas!$A:$A,"")</f>
        <v>CFT Group</v>
      </c>
      <c r="D293" s="41" t="s">
        <v>95</v>
      </c>
      <c r="E293" s="68" t="str">
        <f>_xlfn.XLOOKUP(tblMovimientos[[#This Row],[Cuenta Bancaria]],Listas!$B:$B,Listas!$C:$C,"")</f>
        <v xml:space="preserve">Amerant Bank </v>
      </c>
      <c r="F293" s="41" t="s">
        <v>10</v>
      </c>
      <c r="G293" s="41" t="s">
        <v>61</v>
      </c>
      <c r="H293" s="4" t="str">
        <f>IFERROR(_xlfn.XLOOKUP(G293,Listas!E:E,Listas!F:F,""),"")</f>
        <v>Operativo</v>
      </c>
      <c r="I293" s="46" t="str">
        <f>IFERROR(_xlfn.XLOOKUP(G293,Listas!E:E,Listas!G:G,""),"")</f>
        <v>Externo</v>
      </c>
      <c r="J293" s="43">
        <v>60000</v>
      </c>
      <c r="K293" s="5">
        <f t="shared" si="4"/>
        <v>-60000</v>
      </c>
      <c r="L293" s="15" t="s">
        <v>128</v>
      </c>
      <c r="M293" s="44">
        <f>SUMIFS('Saldos Iniciales'!$D:$D,'Saldos Iniciales'!$A:$A,C293,'Saldos Iniciales'!$B:$B,D293)+SUMIFS($K$1:$K$1324,$C$1:$C$1324,C293,$D$1:$D$1324,D293,$B$1:$B$1324,"&lt;="&amp;B293)</f>
        <v>1523687.4200000002</v>
      </c>
      <c r="N293" s="61" t="str">
        <f>IF(tblMovimientos[[#This Row],[Tipo de Movimiento]]="Ingreso",tblMovimientos[[#This Row],[Monto (S/)]],"0")</f>
        <v>0</v>
      </c>
      <c r="O293" s="61">
        <f>IF(tblMovimientos[[#This Row],[Tipo de Movimiento]]="Egreso",tblMovimientos[[#This Row],[Monto (S/)]],"0")</f>
        <v>60000</v>
      </c>
      <c r="P293" s="28">
        <f>IF(tblMovimientos[[#This Row],[Tipo de Movimiento]]="Ingreso",tblMovimientos[[#This Row],[Ingreso]],-tblMovimientos[[#This Row],[Egreso]])</f>
        <v>-60000</v>
      </c>
      <c r="Q293" s="78" t="str">
        <f>_xlfn.XLOOKUP(tblMovimientos[[#This Row],[Cuenta Bancaria]],Cuentas!$C:$C,Cuentas!$A:$A,"")&amp;""</f>
        <v>SSP Group</v>
      </c>
      <c r="R293" s="78" t="str">
        <f>_xlfn.XLOOKUP(tblMovimientos[[#This Row],[Cuenta Bancaria]],Cuentas!$C:$C,Cuentas!$B:$B,"",0,-1)&amp;""</f>
        <v/>
      </c>
    </row>
    <row r="294" spans="1:18" x14ac:dyDescent="0.3">
      <c r="B294" s="39">
        <v>46184</v>
      </c>
      <c r="C294" s="4" t="str">
        <f>_xlfn.XLOOKUP(tblMovimientos[[#This Row],[Cuenta Bancaria]],Listas!$B:$B,Listas!$A:$A,"")</f>
        <v>CFT Group</v>
      </c>
      <c r="D294" s="41" t="s">
        <v>95</v>
      </c>
      <c r="E294" s="68" t="str">
        <f>_xlfn.XLOOKUP(tblMovimientos[[#This Row],[Cuenta Bancaria]],Listas!$B:$B,Listas!$C:$C,"")</f>
        <v xml:space="preserve">Amerant Bank </v>
      </c>
      <c r="F294" s="41" t="s">
        <v>10</v>
      </c>
      <c r="G294" s="41" t="s">
        <v>46</v>
      </c>
      <c r="H294" s="4" t="str">
        <f>IFERROR(_xlfn.XLOOKUP(G294,Listas!E:E,Listas!F:F,""),"")</f>
        <v>Financiamiento</v>
      </c>
      <c r="I294" s="46" t="str">
        <f>IFERROR(_xlfn.XLOOKUP(G294,Listas!E:E,Listas!G:G,""),"")</f>
        <v>Externo</v>
      </c>
      <c r="J294" s="43">
        <v>72333.33</v>
      </c>
      <c r="K294" s="5">
        <f t="shared" si="4"/>
        <v>-72333.33</v>
      </c>
      <c r="L294" s="15" t="s">
        <v>128</v>
      </c>
      <c r="M294" s="44">
        <f>SUMIFS('Saldos Iniciales'!$D:$D,'Saldos Iniciales'!$A:$A,C294,'Saldos Iniciales'!$B:$B,D294)+SUMIFS($K$1:$K$1324,$C$1:$C$1324,C294,$D$1:$D$1324,D294,$B$1:$B$1324,"&lt;="&amp;B294)</f>
        <v>1523687.4200000002</v>
      </c>
      <c r="N294" s="61" t="str">
        <f>IF(tblMovimientos[[#This Row],[Tipo de Movimiento]]="Ingreso",tblMovimientos[[#This Row],[Monto (S/)]],"0")</f>
        <v>0</v>
      </c>
      <c r="O294" s="61">
        <f>IF(tblMovimientos[[#This Row],[Tipo de Movimiento]]="Egreso",tblMovimientos[[#This Row],[Monto (S/)]],"0")</f>
        <v>72333.33</v>
      </c>
      <c r="P294" s="28">
        <f>IF(tblMovimientos[[#This Row],[Tipo de Movimiento]]="Ingreso",tblMovimientos[[#This Row],[Ingreso]],-tblMovimientos[[#This Row],[Egreso]])</f>
        <v>-72333.33</v>
      </c>
      <c r="Q294" s="78" t="str">
        <f>_xlfn.XLOOKUP(tblMovimientos[[#This Row],[Cuenta Bancaria]],Cuentas!$C:$C,Cuentas!$A:$A,"")&amp;""</f>
        <v>SSP Group</v>
      </c>
      <c r="R294" s="78" t="str">
        <f>_xlfn.XLOOKUP(tblMovimientos[[#This Row],[Cuenta Bancaria]],Cuentas!$C:$C,Cuentas!$B:$B,"",0,-1)&amp;""</f>
        <v/>
      </c>
    </row>
    <row r="295" spans="1:18" x14ac:dyDescent="0.3">
      <c r="B295" s="39">
        <v>46184</v>
      </c>
      <c r="C295" s="4" t="str">
        <f>_xlfn.XLOOKUP(tblMovimientos[[#This Row],[Cuenta Bancaria]],Listas!$B:$B,Listas!$A:$A,"")</f>
        <v>CFT Group</v>
      </c>
      <c r="D295" s="41" t="s">
        <v>95</v>
      </c>
      <c r="E295" s="68" t="str">
        <f>_xlfn.XLOOKUP(tblMovimientos[[#This Row],[Cuenta Bancaria]],Listas!$B:$B,Listas!$C:$C,"")</f>
        <v xml:space="preserve">Amerant Bank </v>
      </c>
      <c r="F295" s="41" t="s">
        <v>10</v>
      </c>
      <c r="G295" s="41" t="s">
        <v>46</v>
      </c>
      <c r="H295" s="4" t="str">
        <f>IFERROR(_xlfn.XLOOKUP(G295,Listas!E:E,Listas!F:F,""),"")</f>
        <v>Financiamiento</v>
      </c>
      <c r="I295" s="46" t="str">
        <f>IFERROR(_xlfn.XLOOKUP(G295,Listas!E:E,Listas!G:G,""),"")</f>
        <v>Externo</v>
      </c>
      <c r="J295" s="43">
        <v>85594.44</v>
      </c>
      <c r="K295" s="5">
        <f t="shared" si="4"/>
        <v>-85594.44</v>
      </c>
      <c r="L295" s="15" t="s">
        <v>128</v>
      </c>
      <c r="M295" s="44">
        <f>SUMIFS('Saldos Iniciales'!$D:$D,'Saldos Iniciales'!$A:$A,C295,'Saldos Iniciales'!$B:$B,D295)+SUMIFS($K$1:$K$1324,$C$1:$C$1324,C295,$D$1:$D$1324,D295,$B$1:$B$1324,"&lt;="&amp;B295)</f>
        <v>1523687.4200000002</v>
      </c>
      <c r="N295" s="61" t="str">
        <f>IF(tblMovimientos[[#This Row],[Tipo de Movimiento]]="Ingreso",tblMovimientos[[#This Row],[Monto (S/)]],"0")</f>
        <v>0</v>
      </c>
      <c r="O295" s="61">
        <f>IF(tblMovimientos[[#This Row],[Tipo de Movimiento]]="Egreso",tblMovimientos[[#This Row],[Monto (S/)]],"0")</f>
        <v>85594.44</v>
      </c>
      <c r="P295" s="28">
        <f>IF(tblMovimientos[[#This Row],[Tipo de Movimiento]]="Ingreso",tblMovimientos[[#This Row],[Ingreso]],-tblMovimientos[[#This Row],[Egreso]])</f>
        <v>-85594.44</v>
      </c>
      <c r="Q295" s="78" t="str">
        <f>_xlfn.XLOOKUP(tblMovimientos[[#This Row],[Cuenta Bancaria]],Cuentas!$C:$C,Cuentas!$A:$A,"")&amp;""</f>
        <v>SSP Group</v>
      </c>
      <c r="R295" s="78" t="str">
        <f>_xlfn.XLOOKUP(tblMovimientos[[#This Row],[Cuenta Bancaria]],Cuentas!$C:$C,Cuentas!$B:$B,"",0,-1)&amp;""</f>
        <v/>
      </c>
    </row>
    <row r="296" spans="1:18" x14ac:dyDescent="0.3">
      <c r="B296" s="39">
        <v>46184</v>
      </c>
      <c r="C296" s="4" t="str">
        <f>_xlfn.XLOOKUP(tblMovimientos[[#This Row],[Cuenta Bancaria]],Listas!$B:$B,Listas!$A:$A,"")</f>
        <v>CFT Group</v>
      </c>
      <c r="D296" s="41" t="s">
        <v>95</v>
      </c>
      <c r="E296" s="68" t="str">
        <f>_xlfn.XLOOKUP(tblMovimientos[[#This Row],[Cuenta Bancaria]],Listas!$B:$B,Listas!$C:$C,"")</f>
        <v xml:space="preserve">Amerant Bank </v>
      </c>
      <c r="F296" s="41" t="s">
        <v>10</v>
      </c>
      <c r="G296" s="41" t="s">
        <v>61</v>
      </c>
      <c r="H296" s="4" t="str">
        <f>IFERROR(_xlfn.XLOOKUP(G296,Listas!E:E,Listas!F:F,""),"")</f>
        <v>Operativo</v>
      </c>
      <c r="I296" s="46" t="str">
        <f>IFERROR(_xlfn.XLOOKUP(G296,Listas!E:E,Listas!G:G,""),"")</f>
        <v>Externo</v>
      </c>
      <c r="J296" s="43">
        <v>100000</v>
      </c>
      <c r="K296" s="5">
        <f t="shared" si="4"/>
        <v>-100000</v>
      </c>
      <c r="L296" s="15" t="s">
        <v>128</v>
      </c>
      <c r="M296" s="44">
        <f>SUMIFS('Saldos Iniciales'!$D:$D,'Saldos Iniciales'!$A:$A,C296,'Saldos Iniciales'!$B:$B,D296)+SUMIFS($K$1:$K$1324,$C$1:$C$1324,C296,$D$1:$D$1324,D296,$B$1:$B$1324,"&lt;="&amp;B296)</f>
        <v>1523687.4200000002</v>
      </c>
      <c r="N296" s="61" t="str">
        <f>IF(tblMovimientos[[#This Row],[Tipo de Movimiento]]="Ingreso",tblMovimientos[[#This Row],[Monto (S/)]],"0")</f>
        <v>0</v>
      </c>
      <c r="O296" s="61">
        <f>IF(tblMovimientos[[#This Row],[Tipo de Movimiento]]="Egreso",tblMovimientos[[#This Row],[Monto (S/)]],"0")</f>
        <v>100000</v>
      </c>
      <c r="P296" s="28">
        <f>IF(tblMovimientos[[#This Row],[Tipo de Movimiento]]="Ingreso",tblMovimientos[[#This Row],[Ingreso]],-tblMovimientos[[#This Row],[Egreso]])</f>
        <v>-100000</v>
      </c>
      <c r="Q296" s="78" t="str">
        <f>_xlfn.XLOOKUP(tblMovimientos[[#This Row],[Cuenta Bancaria]],Cuentas!$C:$C,Cuentas!$A:$A,"")&amp;""</f>
        <v>SSP Group</v>
      </c>
      <c r="R296" s="78" t="str">
        <f>_xlfn.XLOOKUP(tblMovimientos[[#This Row],[Cuenta Bancaria]],Cuentas!$C:$C,Cuentas!$B:$B,"",0,-1)&amp;""</f>
        <v/>
      </c>
    </row>
    <row r="297" spans="1:18" x14ac:dyDescent="0.3">
      <c r="B297" s="39">
        <v>46184</v>
      </c>
      <c r="C297" s="4" t="str">
        <f>_xlfn.XLOOKUP(tblMovimientos[[#This Row],[Cuenta Bancaria]],Listas!$B:$B,Listas!$A:$A,"")</f>
        <v>Cross Family Trust</v>
      </c>
      <c r="D297" s="41" t="s">
        <v>111</v>
      </c>
      <c r="E297" s="68" t="str">
        <f>_xlfn.XLOOKUP(tblMovimientos[[#This Row],[Cuenta Bancaria]],Listas!$B:$B,Listas!$C:$C,"")</f>
        <v xml:space="preserve">Amerant Bank </v>
      </c>
      <c r="F297" s="41" t="s">
        <v>9</v>
      </c>
      <c r="G297" s="41" t="s">
        <v>75</v>
      </c>
      <c r="H297" s="4" t="str">
        <f>IFERROR(_xlfn.XLOOKUP(G297,Listas!E:E,Listas!F:F,""),"")</f>
        <v>Financiamiento</v>
      </c>
      <c r="I297" s="46" t="str">
        <f>IFERROR(_xlfn.XLOOKUP(G297,Listas!E:E,Listas!G:G,""),"")</f>
        <v>Interno</v>
      </c>
      <c r="J297" s="43">
        <v>50000</v>
      </c>
      <c r="K297" s="5">
        <f t="shared" si="4"/>
        <v>50000</v>
      </c>
      <c r="L297" s="15" t="s">
        <v>128</v>
      </c>
      <c r="M297" s="44">
        <f>SUMIFS('Saldos Iniciales'!$D:$D,'Saldos Iniciales'!$A:$A,C297,'Saldos Iniciales'!$B:$B,D297)+SUMIFS($K$1:$K$1324,$C$1:$C$1324,C297,$D$1:$D$1324,D297,$B$1:$B$1324,"&lt;="&amp;B297)</f>
        <v>1717.6000000000058</v>
      </c>
      <c r="N297" s="61">
        <f>IF(tblMovimientos[[#This Row],[Tipo de Movimiento]]="Ingreso",tblMovimientos[[#This Row],[Monto (S/)]],"0")</f>
        <v>50000</v>
      </c>
      <c r="O297" s="61" t="str">
        <f>IF(tblMovimientos[[#This Row],[Tipo de Movimiento]]="Egreso",tblMovimientos[[#This Row],[Monto (S/)]],"0")</f>
        <v>0</v>
      </c>
      <c r="P297" s="28">
        <f>IF(tblMovimientos[[#This Row],[Tipo de Movimiento]]="Ingreso",tblMovimientos[[#This Row],[Ingreso]],-tblMovimientos[[#This Row],[Egreso]])</f>
        <v>50000</v>
      </c>
      <c r="Q297" s="78" t="str">
        <f>_xlfn.XLOOKUP(tblMovimientos[[#This Row],[Cuenta Bancaria]],Cuentas!$C:$C,Cuentas!$A:$A,"")&amp;""</f>
        <v>SSP Group</v>
      </c>
      <c r="R297" s="78" t="str">
        <f>_xlfn.XLOOKUP(tblMovimientos[[#This Row],[Cuenta Bancaria]],Cuentas!$C:$C,Cuentas!$B:$B,"",0,-1)&amp;""</f>
        <v>Trust</v>
      </c>
    </row>
    <row r="298" spans="1:18" x14ac:dyDescent="0.3">
      <c r="B298" s="39">
        <v>46184</v>
      </c>
      <c r="C298" s="4" t="str">
        <f>_xlfn.XLOOKUP(tblMovimientos[[#This Row],[Cuenta Bancaria]],Listas!$B:$B,Listas!$A:$A,"")</f>
        <v>Cross Family Trust</v>
      </c>
      <c r="D298" s="41" t="s">
        <v>111</v>
      </c>
      <c r="E298" s="68" t="str">
        <f>_xlfn.XLOOKUP(tblMovimientos[[#This Row],[Cuenta Bancaria]],Listas!$B:$B,Listas!$C:$C,"")</f>
        <v xml:space="preserve">Amerant Bank </v>
      </c>
      <c r="F298" s="41" t="s">
        <v>10</v>
      </c>
      <c r="G298" s="41" t="s">
        <v>64</v>
      </c>
      <c r="H298" s="4" t="str">
        <f>IFERROR(_xlfn.XLOOKUP(G298,Listas!E:E,Listas!F:F,""),"")</f>
        <v>Operativo</v>
      </c>
      <c r="I298" s="46" t="str">
        <f>IFERROR(_xlfn.XLOOKUP(G298,Listas!E:E,Listas!G:G,""),"")</f>
        <v>Interno</v>
      </c>
      <c r="J298" s="43">
        <v>50000</v>
      </c>
      <c r="K298" s="5">
        <f t="shared" si="4"/>
        <v>-50000</v>
      </c>
      <c r="L298" s="15" t="s">
        <v>128</v>
      </c>
      <c r="M298" s="44">
        <f>SUMIFS('Saldos Iniciales'!$D:$D,'Saldos Iniciales'!$A:$A,C298,'Saldos Iniciales'!$B:$B,D298)+SUMIFS($K$1:$K$1324,$C$1:$C$1324,C298,$D$1:$D$1324,D298,$B$1:$B$1324,"&lt;="&amp;B298)</f>
        <v>1717.6000000000058</v>
      </c>
      <c r="N298" s="61" t="str">
        <f>IF(tblMovimientos[[#This Row],[Tipo de Movimiento]]="Ingreso",tblMovimientos[[#This Row],[Monto (S/)]],"0")</f>
        <v>0</v>
      </c>
      <c r="O298" s="61">
        <f>IF(tblMovimientos[[#This Row],[Tipo de Movimiento]]="Egreso",tblMovimientos[[#This Row],[Monto (S/)]],"0")</f>
        <v>50000</v>
      </c>
      <c r="P298" s="28">
        <f>IF(tblMovimientos[[#This Row],[Tipo de Movimiento]]="Ingreso",tblMovimientos[[#This Row],[Ingreso]],-tblMovimientos[[#This Row],[Egreso]])</f>
        <v>-50000</v>
      </c>
      <c r="Q298" s="78" t="str">
        <f>_xlfn.XLOOKUP(tblMovimientos[[#This Row],[Cuenta Bancaria]],Cuentas!$C:$C,Cuentas!$A:$A,"")&amp;""</f>
        <v>SSP Group</v>
      </c>
      <c r="R298" s="78" t="str">
        <f>_xlfn.XLOOKUP(tblMovimientos[[#This Row],[Cuenta Bancaria]],Cuentas!$C:$C,Cuentas!$B:$B,"",0,-1)&amp;""</f>
        <v>Trust</v>
      </c>
    </row>
    <row r="299" spans="1:18" x14ac:dyDescent="0.3">
      <c r="B299" s="39">
        <v>46184</v>
      </c>
      <c r="C299" s="4" t="str">
        <f>_xlfn.XLOOKUP(tblMovimientos[[#This Row],[Cuenta Bancaria]],Listas!$B:$B,Listas!$A:$A,"")</f>
        <v>SSP Capital</v>
      </c>
      <c r="D299" s="41" t="s">
        <v>104</v>
      </c>
      <c r="E299" s="68" t="str">
        <f>_xlfn.XLOOKUP(tblMovimientos[[#This Row],[Cuenta Bancaria]],Listas!$B:$B,Listas!$C:$C,"")</f>
        <v xml:space="preserve">Amerant Bank </v>
      </c>
      <c r="F299" s="41" t="s">
        <v>10</v>
      </c>
      <c r="G299" s="41" t="s">
        <v>38</v>
      </c>
      <c r="H299" s="4" t="str">
        <f>IFERROR(_xlfn.XLOOKUP(G299,Listas!E:E,Listas!F:F,""),"")</f>
        <v>Operativo</v>
      </c>
      <c r="I299" s="46" t="str">
        <f>IFERROR(_xlfn.XLOOKUP(G299,Listas!E:E,Listas!G:G,""),"")</f>
        <v>Externo</v>
      </c>
      <c r="J299" s="43">
        <v>295</v>
      </c>
      <c r="K299" s="5">
        <f t="shared" si="4"/>
        <v>-295</v>
      </c>
      <c r="L299" s="15" t="s">
        <v>128</v>
      </c>
      <c r="M299" s="44">
        <f>SUMIFS('Saldos Iniciales'!$D:$D,'Saldos Iniciales'!$A:$A,C299,'Saldos Iniciales'!$B:$B,D299)+SUMIFS($K$1:$K$1324,$C$1:$C$1324,C299,$D$1:$D$1324,D299,$B$1:$B$1324,"&lt;="&amp;B299)</f>
        <v>18249.799999999348</v>
      </c>
      <c r="N299" s="61" t="str">
        <f>IF(tblMovimientos[[#This Row],[Tipo de Movimiento]]="Ingreso",tblMovimientos[[#This Row],[Monto (S/)]],"0")</f>
        <v>0</v>
      </c>
      <c r="O299" s="61">
        <f>IF(tblMovimientos[[#This Row],[Tipo de Movimiento]]="Egreso",tblMovimientos[[#This Row],[Monto (S/)]],"0")</f>
        <v>295</v>
      </c>
      <c r="P299" s="28">
        <f>IF(tblMovimientos[[#This Row],[Tipo de Movimiento]]="Ingreso",tblMovimientos[[#This Row],[Ingreso]],-tblMovimientos[[#This Row],[Egreso]])</f>
        <v>-295</v>
      </c>
      <c r="Q299" s="78" t="str">
        <f>_xlfn.XLOOKUP(tblMovimientos[[#This Row],[Cuenta Bancaria]],Cuentas!$C:$C,Cuentas!$A:$A,"")&amp;""</f>
        <v>SSP Group</v>
      </c>
      <c r="R299" s="78" t="str">
        <f>_xlfn.XLOOKUP(tblMovimientos[[#This Row],[Cuenta Bancaria]],Cuentas!$C:$C,Cuentas!$B:$B,"",0,-1)&amp;""</f>
        <v/>
      </c>
    </row>
    <row r="300" spans="1:18" x14ac:dyDescent="0.3">
      <c r="B300" s="39">
        <v>46184</v>
      </c>
      <c r="C300" s="4" t="str">
        <f>_xlfn.XLOOKUP(tblMovimientos[[#This Row],[Cuenta Bancaria]],Listas!$B:$B,Listas!$A:$A,"")</f>
        <v>SSP Capital</v>
      </c>
      <c r="D300" s="41" t="s">
        <v>104</v>
      </c>
      <c r="E300" s="68" t="str">
        <f>_xlfn.XLOOKUP(tblMovimientos[[#This Row],[Cuenta Bancaria]],Listas!$B:$B,Listas!$C:$C,"")</f>
        <v xml:space="preserve">Amerant Bank </v>
      </c>
      <c r="F300" s="41" t="s">
        <v>10</v>
      </c>
      <c r="G300" s="41" t="s">
        <v>46</v>
      </c>
      <c r="H300" s="4" t="str">
        <f>IFERROR(_xlfn.XLOOKUP(G300,Listas!E:E,Listas!F:F,""),"")</f>
        <v>Financiamiento</v>
      </c>
      <c r="I300" s="46" t="str">
        <f>IFERROR(_xlfn.XLOOKUP(G300,Listas!E:E,Listas!G:G,""),"")</f>
        <v>Externo</v>
      </c>
      <c r="J300" s="43">
        <v>7319.44</v>
      </c>
      <c r="K300" s="5">
        <f t="shared" si="4"/>
        <v>-7319.44</v>
      </c>
      <c r="L300" s="15" t="s">
        <v>128</v>
      </c>
      <c r="M300" s="44">
        <f>SUMIFS('Saldos Iniciales'!$D:$D,'Saldos Iniciales'!$A:$A,C300,'Saldos Iniciales'!$B:$B,D300)+SUMIFS($K$1:$K$1324,$C$1:$C$1324,C300,$D$1:$D$1324,D300,$B$1:$B$1324,"&lt;="&amp;B300)</f>
        <v>18249.799999999348</v>
      </c>
      <c r="N300" s="61" t="str">
        <f>IF(tblMovimientos[[#This Row],[Tipo de Movimiento]]="Ingreso",tblMovimientos[[#This Row],[Monto (S/)]],"0")</f>
        <v>0</v>
      </c>
      <c r="O300" s="61">
        <f>IF(tblMovimientos[[#This Row],[Tipo de Movimiento]]="Egreso",tblMovimientos[[#This Row],[Monto (S/)]],"0")</f>
        <v>7319.44</v>
      </c>
      <c r="P300" s="28">
        <f>IF(tblMovimientos[[#This Row],[Tipo de Movimiento]]="Ingreso",tblMovimientos[[#This Row],[Ingreso]],-tblMovimientos[[#This Row],[Egreso]])</f>
        <v>-7319.44</v>
      </c>
      <c r="Q300" s="78" t="str">
        <f>_xlfn.XLOOKUP(tblMovimientos[[#This Row],[Cuenta Bancaria]],Cuentas!$C:$C,Cuentas!$A:$A,"")&amp;""</f>
        <v>SSP Group</v>
      </c>
      <c r="R300" s="78" t="str">
        <f>_xlfn.XLOOKUP(tblMovimientos[[#This Row],[Cuenta Bancaria]],Cuentas!$C:$C,Cuentas!$B:$B,"",0,-1)&amp;""</f>
        <v/>
      </c>
    </row>
    <row r="301" spans="1:18" x14ac:dyDescent="0.3">
      <c r="B301" s="39">
        <v>46184</v>
      </c>
      <c r="C301" s="4" t="str">
        <f>_xlfn.XLOOKUP(tblMovimientos[[#This Row],[Cuenta Bancaria]],Listas!$B:$B,Listas!$A:$A,"")</f>
        <v>SSP Capital</v>
      </c>
      <c r="D301" s="41" t="s">
        <v>104</v>
      </c>
      <c r="E301" s="68" t="str">
        <f>_xlfn.XLOOKUP(tblMovimientos[[#This Row],[Cuenta Bancaria]],Listas!$B:$B,Listas!$C:$C,"")</f>
        <v xml:space="preserve">Amerant Bank </v>
      </c>
      <c r="F301" s="41" t="s">
        <v>10</v>
      </c>
      <c r="G301" s="41" t="s">
        <v>48</v>
      </c>
      <c r="H301" s="4" t="str">
        <f>IFERROR(_xlfn.XLOOKUP(G301,Listas!E:E,Listas!F:F,""),"")</f>
        <v>Financiamiento</v>
      </c>
      <c r="I301" s="46" t="str">
        <f>IFERROR(_xlfn.XLOOKUP(G301,Listas!E:E,Listas!G:G,""),"")</f>
        <v>Externo</v>
      </c>
      <c r="J301" s="43">
        <v>55455.56</v>
      </c>
      <c r="K301" s="5">
        <f t="shared" si="4"/>
        <v>-55455.56</v>
      </c>
      <c r="L301" s="15" t="s">
        <v>128</v>
      </c>
      <c r="M301" s="44">
        <f>SUMIFS('Saldos Iniciales'!$D:$D,'Saldos Iniciales'!$A:$A,C301,'Saldos Iniciales'!$B:$B,D301)+SUMIFS($K$1:$K$1324,$C$1:$C$1324,C301,$D$1:$D$1324,D301,$B$1:$B$1324,"&lt;="&amp;B301)</f>
        <v>18249.799999999348</v>
      </c>
      <c r="N301" s="61" t="str">
        <f>IF(tblMovimientos[[#This Row],[Tipo de Movimiento]]="Ingreso",tblMovimientos[[#This Row],[Monto (S/)]],"0")</f>
        <v>0</v>
      </c>
      <c r="O301" s="61">
        <f>IF(tblMovimientos[[#This Row],[Tipo de Movimiento]]="Egreso",tblMovimientos[[#This Row],[Monto (S/)]],"0")</f>
        <v>55455.56</v>
      </c>
      <c r="P301" s="28">
        <f>IF(tblMovimientos[[#This Row],[Tipo de Movimiento]]="Ingreso",tblMovimientos[[#This Row],[Ingreso]],-tblMovimientos[[#This Row],[Egreso]])</f>
        <v>-55455.56</v>
      </c>
      <c r="Q301" s="78" t="str">
        <f>_xlfn.XLOOKUP(tblMovimientos[[#This Row],[Cuenta Bancaria]],Cuentas!$C:$C,Cuentas!$A:$A,"")&amp;""</f>
        <v>SSP Group</v>
      </c>
      <c r="R301" s="78" t="str">
        <f>_xlfn.XLOOKUP(tblMovimientos[[#This Row],[Cuenta Bancaria]],Cuentas!$C:$C,Cuentas!$B:$B,"",0,-1)&amp;""</f>
        <v/>
      </c>
    </row>
    <row r="302" spans="1:18" x14ac:dyDescent="0.3">
      <c r="B302" s="39">
        <v>46184</v>
      </c>
      <c r="C302" s="4" t="str">
        <f>_xlfn.XLOOKUP(tblMovimientos[[#This Row],[Cuenta Bancaria]],Listas!$B:$B,Listas!$A:$A,"")</f>
        <v>SSP Capital</v>
      </c>
      <c r="D302" s="41" t="s">
        <v>104</v>
      </c>
      <c r="E302" s="68" t="str">
        <f>_xlfn.XLOOKUP(tblMovimientos[[#This Row],[Cuenta Bancaria]],Listas!$B:$B,Listas!$C:$C,"")</f>
        <v xml:space="preserve">Amerant Bank </v>
      </c>
      <c r="F302" s="41" t="s">
        <v>10</v>
      </c>
      <c r="G302" s="41" t="s">
        <v>48</v>
      </c>
      <c r="H302" s="4" t="str">
        <f>IFERROR(_xlfn.XLOOKUP(G302,Listas!E:E,Listas!F:F,""),"")</f>
        <v>Financiamiento</v>
      </c>
      <c r="I302" s="46" t="str">
        <f>IFERROR(_xlfn.XLOOKUP(G302,Listas!E:E,Listas!G:G,""),"")</f>
        <v>Externo</v>
      </c>
      <c r="J302" s="43">
        <v>102472.22</v>
      </c>
      <c r="K302" s="5">
        <f t="shared" si="4"/>
        <v>-102472.22</v>
      </c>
      <c r="L302" s="15" t="s">
        <v>128</v>
      </c>
      <c r="M302" s="44">
        <f>SUMIFS('Saldos Iniciales'!$D:$D,'Saldos Iniciales'!$A:$A,C302,'Saldos Iniciales'!$B:$B,D302)+SUMIFS($K$1:$K$1324,$C$1:$C$1324,C302,$D$1:$D$1324,D302,$B$1:$B$1324,"&lt;="&amp;B302)</f>
        <v>18249.799999999348</v>
      </c>
      <c r="N302" s="61" t="str">
        <f>IF(tblMovimientos[[#This Row],[Tipo de Movimiento]]="Ingreso",tblMovimientos[[#This Row],[Monto (S/)]],"0")</f>
        <v>0</v>
      </c>
      <c r="O302" s="61">
        <f>IF(tblMovimientos[[#This Row],[Tipo de Movimiento]]="Egreso",tblMovimientos[[#This Row],[Monto (S/)]],"0")</f>
        <v>102472.22</v>
      </c>
      <c r="P302" s="28">
        <f>IF(tblMovimientos[[#This Row],[Tipo de Movimiento]]="Ingreso",tblMovimientos[[#This Row],[Ingreso]],-tblMovimientos[[#This Row],[Egreso]])</f>
        <v>-102472.22</v>
      </c>
      <c r="Q302" s="78" t="str">
        <f>_xlfn.XLOOKUP(tblMovimientos[[#This Row],[Cuenta Bancaria]],Cuentas!$C:$C,Cuentas!$A:$A,"")&amp;""</f>
        <v>SSP Group</v>
      </c>
      <c r="R302" s="78" t="str">
        <f>_xlfn.XLOOKUP(tblMovimientos[[#This Row],[Cuenta Bancaria]],Cuentas!$C:$C,Cuentas!$B:$B,"",0,-1)&amp;""</f>
        <v/>
      </c>
    </row>
    <row r="303" spans="1:18" x14ac:dyDescent="0.3">
      <c r="A303" s="45"/>
      <c r="B303" s="39">
        <v>46184</v>
      </c>
      <c r="C303" s="4" t="str">
        <f>_xlfn.XLOOKUP(tblMovimientos[[#This Row],[Cuenta Bancaria]],Listas!$B:$B,Listas!$A:$A,"")</f>
        <v>SSP Capital</v>
      </c>
      <c r="D303" s="41" t="s">
        <v>104</v>
      </c>
      <c r="E303" s="68" t="str">
        <f>_xlfn.XLOOKUP(tblMovimientos[[#This Row],[Cuenta Bancaria]],Listas!$B:$B,Listas!$C:$C,"")</f>
        <v xml:space="preserve">Amerant Bank </v>
      </c>
      <c r="F303" s="41" t="s">
        <v>10</v>
      </c>
      <c r="G303" s="41" t="s">
        <v>64</v>
      </c>
      <c r="H303" s="4" t="str">
        <f>IFERROR(_xlfn.XLOOKUP(G303,Listas!E:E,Listas!F:F,""),"")</f>
        <v>Operativo</v>
      </c>
      <c r="I303" s="46" t="str">
        <f>IFERROR(_xlfn.XLOOKUP(G303,Listas!E:E,Listas!G:G,""),"")</f>
        <v>Interno</v>
      </c>
      <c r="J303" s="43">
        <v>50000</v>
      </c>
      <c r="K303" s="5">
        <f t="shared" si="4"/>
        <v>-50000</v>
      </c>
      <c r="L303" s="15" t="s">
        <v>128</v>
      </c>
      <c r="M303" s="44">
        <f>SUMIFS('Saldos Iniciales'!$D:$D,'Saldos Iniciales'!$A:$A,C303,'Saldos Iniciales'!$B:$B,D303)+SUMIFS($K$1:$K$1324,$C$1:$C$1324,C303,$D$1:$D$1324,D303,$B$1:$B$1324,"&lt;="&amp;B303)</f>
        <v>18249.799999999348</v>
      </c>
      <c r="N303" s="61" t="str">
        <f>IF(tblMovimientos[[#This Row],[Tipo de Movimiento]]="Ingreso",tblMovimientos[[#This Row],[Monto (S/)]],"0")</f>
        <v>0</v>
      </c>
      <c r="O303" s="61">
        <f>IF(tblMovimientos[[#This Row],[Tipo de Movimiento]]="Egreso",tblMovimientos[[#This Row],[Monto (S/)]],"0")</f>
        <v>50000</v>
      </c>
      <c r="P303" s="28">
        <f>IF(tblMovimientos[[#This Row],[Tipo de Movimiento]]="Ingreso",tblMovimientos[[#This Row],[Ingreso]],-tblMovimientos[[#This Row],[Egreso]])</f>
        <v>-50000</v>
      </c>
      <c r="Q303" s="78" t="str">
        <f>_xlfn.XLOOKUP(tblMovimientos[[#This Row],[Cuenta Bancaria]],Cuentas!$C:$C,Cuentas!$A:$A,"")&amp;""</f>
        <v>SSP Group</v>
      </c>
      <c r="R303" s="78" t="str">
        <f>_xlfn.XLOOKUP(tblMovimientos[[#This Row],[Cuenta Bancaria]],Cuentas!$C:$C,Cuentas!$B:$B,"",0,-1)&amp;""</f>
        <v/>
      </c>
    </row>
    <row r="304" spans="1:18" x14ac:dyDescent="0.3">
      <c r="B304" s="39">
        <v>46184</v>
      </c>
      <c r="C304" s="4" t="str">
        <f>_xlfn.XLOOKUP(tblMovimientos[[#This Row],[Cuenta Bancaria]],Listas!$B:$B,Listas!$A:$A,"")</f>
        <v>SSP Capital</v>
      </c>
      <c r="D304" s="41" t="s">
        <v>104</v>
      </c>
      <c r="E304" s="68" t="str">
        <f>_xlfn.XLOOKUP(tblMovimientos[[#This Row],[Cuenta Bancaria]],Listas!$B:$B,Listas!$C:$C,"")</f>
        <v xml:space="preserve">Amerant Bank </v>
      </c>
      <c r="F304" s="41" t="s">
        <v>10</v>
      </c>
      <c r="G304" s="41" t="s">
        <v>64</v>
      </c>
      <c r="H304" s="4" t="str">
        <f>IFERROR(_xlfn.XLOOKUP(G304,Listas!E:E,Listas!F:F,""),"")</f>
        <v>Operativo</v>
      </c>
      <c r="I304" s="46" t="str">
        <f>IFERROR(_xlfn.XLOOKUP(G304,Listas!E:E,Listas!G:G,""),"")</f>
        <v>Interno</v>
      </c>
      <c r="J304" s="43">
        <v>50000</v>
      </c>
      <c r="K304" s="5">
        <f t="shared" si="4"/>
        <v>-50000</v>
      </c>
      <c r="L304" s="15" t="s">
        <v>128</v>
      </c>
      <c r="M304" s="44">
        <f>SUMIFS('Saldos Iniciales'!$D:$D,'Saldos Iniciales'!$A:$A,C304,'Saldos Iniciales'!$B:$B,D304)+SUMIFS($K$1:$K$1324,$C$1:$C$1324,C304,$D$1:$D$1324,D304,$B$1:$B$1324,"&lt;="&amp;B304)</f>
        <v>18249.799999999348</v>
      </c>
      <c r="N304" s="61" t="str">
        <f>IF(tblMovimientos[[#This Row],[Tipo de Movimiento]]="Ingreso",tblMovimientos[[#This Row],[Monto (S/)]],"0")</f>
        <v>0</v>
      </c>
      <c r="O304" s="61">
        <f>IF(tblMovimientos[[#This Row],[Tipo de Movimiento]]="Egreso",tblMovimientos[[#This Row],[Monto (S/)]],"0")</f>
        <v>50000</v>
      </c>
      <c r="P304" s="28">
        <f>IF(tblMovimientos[[#This Row],[Tipo de Movimiento]]="Ingreso",tblMovimientos[[#This Row],[Ingreso]],-tblMovimientos[[#This Row],[Egreso]])</f>
        <v>-50000</v>
      </c>
      <c r="Q304" s="78" t="str">
        <f>_xlfn.XLOOKUP(tblMovimientos[[#This Row],[Cuenta Bancaria]],Cuentas!$C:$C,Cuentas!$A:$A,"")&amp;""</f>
        <v>SSP Group</v>
      </c>
      <c r="R304" s="78" t="str">
        <f>_xlfn.XLOOKUP(tblMovimientos[[#This Row],[Cuenta Bancaria]],Cuentas!$C:$C,Cuentas!$B:$B,"",0,-1)&amp;""</f>
        <v/>
      </c>
    </row>
    <row r="305" spans="2:18" x14ac:dyDescent="0.3">
      <c r="B305" s="39">
        <v>46184</v>
      </c>
      <c r="C305" s="4" t="str">
        <f>_xlfn.XLOOKUP(tblMovimientos[[#This Row],[Cuenta Bancaria]],Listas!$B:$B,Listas!$A:$A,"")</f>
        <v>SSP Capital</v>
      </c>
      <c r="D305" s="41" t="s">
        <v>104</v>
      </c>
      <c r="E305" s="68" t="str">
        <f>_xlfn.XLOOKUP(tblMovimientos[[#This Row],[Cuenta Bancaria]],Listas!$B:$B,Listas!$C:$C,"")</f>
        <v xml:space="preserve">Amerant Bank </v>
      </c>
      <c r="F305" s="41" t="s">
        <v>10</v>
      </c>
      <c r="G305" s="41" t="s">
        <v>52</v>
      </c>
      <c r="H305" s="4" t="str">
        <f>IFERROR(_xlfn.XLOOKUP(G305,Listas!E:E,Listas!F:F,""),"")</f>
        <v>Inversion</v>
      </c>
      <c r="I305" s="46" t="str">
        <f>IFERROR(_xlfn.XLOOKUP(G305,Listas!E:E,Listas!G:G,""),"")</f>
        <v>Externo</v>
      </c>
      <c r="J305" s="43">
        <v>100000</v>
      </c>
      <c r="K305" s="5">
        <f t="shared" si="4"/>
        <v>-100000</v>
      </c>
      <c r="L305" s="15" t="s">
        <v>128</v>
      </c>
      <c r="M305" s="44">
        <f>SUMIFS('Saldos Iniciales'!$D:$D,'Saldos Iniciales'!$A:$A,C305,'Saldos Iniciales'!$B:$B,D305)+SUMIFS($K$1:$K$1324,$C$1:$C$1324,C305,$D$1:$D$1324,D305,$B$1:$B$1324,"&lt;="&amp;B305)</f>
        <v>18249.799999999348</v>
      </c>
      <c r="N305" s="61" t="str">
        <f>IF(tblMovimientos[[#This Row],[Tipo de Movimiento]]="Ingreso",tblMovimientos[[#This Row],[Monto (S/)]],"0")</f>
        <v>0</v>
      </c>
      <c r="O305" s="61">
        <f>IF(tblMovimientos[[#This Row],[Tipo de Movimiento]]="Egreso",tblMovimientos[[#This Row],[Monto (S/)]],"0")</f>
        <v>100000</v>
      </c>
      <c r="P305" s="28">
        <f>IF(tblMovimientos[[#This Row],[Tipo de Movimiento]]="Ingreso",tblMovimientos[[#This Row],[Ingreso]],-tblMovimientos[[#This Row],[Egreso]])</f>
        <v>-100000</v>
      </c>
      <c r="Q305" s="78" t="str">
        <f>_xlfn.XLOOKUP(tblMovimientos[[#This Row],[Cuenta Bancaria]],Cuentas!$C:$C,Cuentas!$A:$A,"")&amp;""</f>
        <v>SSP Group</v>
      </c>
      <c r="R305" s="78" t="str">
        <f>_xlfn.XLOOKUP(tblMovimientos[[#This Row],[Cuenta Bancaria]],Cuentas!$C:$C,Cuentas!$B:$B,"",0,-1)&amp;""</f>
        <v/>
      </c>
    </row>
    <row r="306" spans="2:18" x14ac:dyDescent="0.3">
      <c r="B306" s="39">
        <v>46184</v>
      </c>
      <c r="C306" s="4" t="str">
        <f>_xlfn.XLOOKUP(tblMovimientos[[#This Row],[Cuenta Bancaria]],Listas!$B:$B,Listas!$A:$A,"")</f>
        <v>Green Harbor Trust</v>
      </c>
      <c r="D306" s="41" t="s">
        <v>125</v>
      </c>
      <c r="E306" s="68" t="str">
        <f>_xlfn.XLOOKUP(tblMovimientos[[#This Row],[Cuenta Bancaria]],Listas!$B:$B,Listas!$C:$C,"")</f>
        <v xml:space="preserve">Amerant Bank </v>
      </c>
      <c r="F306" s="41" t="s">
        <v>9</v>
      </c>
      <c r="G306" s="41" t="s">
        <v>75</v>
      </c>
      <c r="H306" s="4" t="str">
        <f>IFERROR(_xlfn.XLOOKUP(G306,Listas!E:E,Listas!F:F,""),"")</f>
        <v>Financiamiento</v>
      </c>
      <c r="I306" s="46" t="str">
        <f>IFERROR(_xlfn.XLOOKUP(G306,Listas!E:E,Listas!G:G,""),"")</f>
        <v>Interno</v>
      </c>
      <c r="J306" s="43">
        <v>50000</v>
      </c>
      <c r="K306" s="5">
        <f t="shared" si="4"/>
        <v>50000</v>
      </c>
      <c r="L306" s="15" t="s">
        <v>128</v>
      </c>
      <c r="M306" s="44">
        <f>SUMIFS('Saldos Iniciales'!$D:$D,'Saldos Iniciales'!$A:$A,C306,'Saldos Iniciales'!$B:$B,D306)+SUMIFS($K$1:$K$1324,$C$1:$C$1324,C306,$D$1:$D$1324,D306,$B$1:$B$1324,"&lt;="&amp;B306)</f>
        <v>345</v>
      </c>
      <c r="N306" s="61">
        <f>IF(tblMovimientos[[#This Row],[Tipo de Movimiento]]="Ingreso",tblMovimientos[[#This Row],[Monto (S/)]],"0")</f>
        <v>50000</v>
      </c>
      <c r="O306" s="61" t="str">
        <f>IF(tblMovimientos[[#This Row],[Tipo de Movimiento]]="Egreso",tblMovimientos[[#This Row],[Monto (S/)]],"0")</f>
        <v>0</v>
      </c>
      <c r="P306" s="28">
        <f>IF(tblMovimientos[[#This Row],[Tipo de Movimiento]]="Ingreso",tblMovimientos[[#This Row],[Ingreso]],-tblMovimientos[[#This Row],[Egreso]])</f>
        <v>50000</v>
      </c>
      <c r="Q306" s="78" t="str">
        <f>_xlfn.XLOOKUP(tblMovimientos[[#This Row],[Cuenta Bancaria]],Cuentas!$C:$C,Cuentas!$A:$A,"")&amp;""</f>
        <v>SSP Group</v>
      </c>
      <c r="R306" s="78" t="str">
        <f>_xlfn.XLOOKUP(tblMovimientos[[#This Row],[Cuenta Bancaria]],Cuentas!$C:$C,Cuentas!$B:$B,"",0,-1)&amp;""</f>
        <v>Trust</v>
      </c>
    </row>
    <row r="307" spans="2:18" x14ac:dyDescent="0.3">
      <c r="B307" s="39">
        <v>46184</v>
      </c>
      <c r="C307" s="4" t="str">
        <f>_xlfn.XLOOKUP(tblMovimientos[[#This Row],[Cuenta Bancaria]],Listas!$B:$B,Listas!$A:$A,"")</f>
        <v>Green Harbor Trust</v>
      </c>
      <c r="D307" s="41" t="s">
        <v>125</v>
      </c>
      <c r="E307" s="68" t="str">
        <f>_xlfn.XLOOKUP(tblMovimientos[[#This Row],[Cuenta Bancaria]],Listas!$B:$B,Listas!$C:$C,"")</f>
        <v xml:space="preserve">Amerant Bank </v>
      </c>
      <c r="F307" s="41" t="s">
        <v>10</v>
      </c>
      <c r="G307" s="41" t="s">
        <v>64</v>
      </c>
      <c r="H307" s="4" t="str">
        <f>IFERROR(_xlfn.XLOOKUP(G307,Listas!E:E,Listas!F:F,""),"")</f>
        <v>Operativo</v>
      </c>
      <c r="I307" s="46" t="str">
        <f>IFERROR(_xlfn.XLOOKUP(G307,Listas!E:E,Listas!G:G,""),"")</f>
        <v>Interno</v>
      </c>
      <c r="J307" s="43">
        <v>50000</v>
      </c>
      <c r="K307" s="5">
        <f t="shared" si="4"/>
        <v>-50000</v>
      </c>
      <c r="L307" s="15" t="s">
        <v>128</v>
      </c>
      <c r="M307" s="44">
        <f>SUMIFS('Saldos Iniciales'!$D:$D,'Saldos Iniciales'!$A:$A,C307,'Saldos Iniciales'!$B:$B,D307)+SUMIFS($K$1:$K$1324,$C$1:$C$1324,C307,$D$1:$D$1324,D307,$B$1:$B$1324,"&lt;="&amp;B307)</f>
        <v>345</v>
      </c>
      <c r="N307" s="61" t="str">
        <f>IF(tblMovimientos[[#This Row],[Tipo de Movimiento]]="Ingreso",tblMovimientos[[#This Row],[Monto (S/)]],"0")</f>
        <v>0</v>
      </c>
      <c r="O307" s="61">
        <f>IF(tblMovimientos[[#This Row],[Tipo de Movimiento]]="Egreso",tblMovimientos[[#This Row],[Monto (S/)]],"0")</f>
        <v>50000</v>
      </c>
      <c r="P307" s="28">
        <f>IF(tblMovimientos[[#This Row],[Tipo de Movimiento]]="Ingreso",tblMovimientos[[#This Row],[Ingreso]],-tblMovimientos[[#This Row],[Egreso]])</f>
        <v>-50000</v>
      </c>
      <c r="Q307" s="78" t="str">
        <f>_xlfn.XLOOKUP(tblMovimientos[[#This Row],[Cuenta Bancaria]],Cuentas!$C:$C,Cuentas!$A:$A,"")&amp;""</f>
        <v>SSP Group</v>
      </c>
      <c r="R307" s="78" t="str">
        <f>_xlfn.XLOOKUP(tblMovimientos[[#This Row],[Cuenta Bancaria]],Cuentas!$C:$C,Cuentas!$B:$B,"",0,-1)&amp;""</f>
        <v>Trust</v>
      </c>
    </row>
    <row r="308" spans="2:18" x14ac:dyDescent="0.3">
      <c r="B308" s="39">
        <v>46184</v>
      </c>
      <c r="C308" s="4" t="str">
        <f>_xlfn.XLOOKUP(tblMovimientos[[#This Row],[Cuenta Bancaria]],Listas!$B:$B,Listas!$A:$A,"")</f>
        <v>Go Blue</v>
      </c>
      <c r="D308" s="41" t="s">
        <v>126</v>
      </c>
      <c r="E308" s="68" t="str">
        <f>_xlfn.XLOOKUP(tblMovimientos[[#This Row],[Cuenta Bancaria]],Listas!$B:$B,Listas!$C:$C,"")</f>
        <v xml:space="preserve">Amerant Bank </v>
      </c>
      <c r="F308" s="41" t="s">
        <v>10</v>
      </c>
      <c r="G308" s="41" t="s">
        <v>38</v>
      </c>
      <c r="H308" s="4" t="str">
        <f>IFERROR(_xlfn.XLOOKUP(G308,Listas!E:E,Listas!F:F,""),"")</f>
        <v>Operativo</v>
      </c>
      <c r="I308" s="46" t="str">
        <f>IFERROR(_xlfn.XLOOKUP(G308,Listas!E:E,Listas!G:G,""),"")</f>
        <v>Externo</v>
      </c>
      <c r="J308" s="43">
        <v>2500</v>
      </c>
      <c r="K308" s="5">
        <f t="shared" si="4"/>
        <v>-2500</v>
      </c>
      <c r="L308" s="15" t="s">
        <v>128</v>
      </c>
      <c r="M308" s="44">
        <f>SUMIFS('Saldos Iniciales'!$D:$D,'Saldos Iniciales'!$A:$A,C308,'Saldos Iniciales'!$B:$B,D308)+SUMIFS($K$1:$K$1324,$C$1:$C$1324,C308,$D$1:$D$1324,D308,$B$1:$B$1324,"&lt;="&amp;B308)</f>
        <v>48774.73</v>
      </c>
      <c r="N308" s="61" t="str">
        <f>IF(tblMovimientos[[#This Row],[Tipo de Movimiento]]="Ingreso",tblMovimientos[[#This Row],[Monto (S/)]],"0")</f>
        <v>0</v>
      </c>
      <c r="O308" s="61">
        <f>IF(tblMovimientos[[#This Row],[Tipo de Movimiento]]="Egreso",tblMovimientos[[#This Row],[Monto (S/)]],"0")</f>
        <v>2500</v>
      </c>
      <c r="P308" s="28">
        <f>IF(tblMovimientos[[#This Row],[Tipo de Movimiento]]="Ingreso",tblMovimientos[[#This Row],[Ingreso]],-tblMovimientos[[#This Row],[Egreso]])</f>
        <v>-2500</v>
      </c>
      <c r="Q308" s="78" t="str">
        <f>_xlfn.XLOOKUP(tblMovimientos[[#This Row],[Cuenta Bancaria]],Cuentas!$C:$C,Cuentas!$A:$A,"")&amp;""</f>
        <v>SSP Group</v>
      </c>
      <c r="R308" s="78" t="str">
        <f>_xlfn.XLOOKUP(tblMovimientos[[#This Row],[Cuenta Bancaria]],Cuentas!$C:$C,Cuentas!$B:$B,"",0,-1)&amp;""</f>
        <v/>
      </c>
    </row>
    <row r="309" spans="2:18" x14ac:dyDescent="0.3">
      <c r="B309" s="39">
        <v>46184</v>
      </c>
      <c r="C309" s="4" t="str">
        <f>_xlfn.XLOOKUP(tblMovimientos[[#This Row],[Cuenta Bancaria]],Listas!$B:$B,Listas!$A:$A,"")</f>
        <v>Go Blue</v>
      </c>
      <c r="D309" s="41" t="s">
        <v>126</v>
      </c>
      <c r="E309" s="68" t="str">
        <f>_xlfn.XLOOKUP(tblMovimientos[[#This Row],[Cuenta Bancaria]],Listas!$B:$B,Listas!$C:$C,"")</f>
        <v xml:space="preserve">Amerant Bank </v>
      </c>
      <c r="F309" s="41" t="s">
        <v>9</v>
      </c>
      <c r="G309" s="41" t="s">
        <v>75</v>
      </c>
      <c r="H309" s="4" t="str">
        <f>IFERROR(_xlfn.XLOOKUP(G309,Listas!E:E,Listas!F:F,""),"")</f>
        <v>Financiamiento</v>
      </c>
      <c r="I309" s="46" t="str">
        <f>IFERROR(_xlfn.XLOOKUP(G309,Listas!E:E,Listas!G:G,""),"")</f>
        <v>Interno</v>
      </c>
      <c r="J309" s="43">
        <v>50000</v>
      </c>
      <c r="K309" s="5">
        <f t="shared" si="4"/>
        <v>50000</v>
      </c>
      <c r="L309" s="15" t="s">
        <v>128</v>
      </c>
      <c r="M309" s="44">
        <f>SUMIFS('Saldos Iniciales'!$D:$D,'Saldos Iniciales'!$A:$A,C309,'Saldos Iniciales'!$B:$B,D309)+SUMIFS($K$1:$K$1324,$C$1:$C$1324,C309,$D$1:$D$1324,D309,$B$1:$B$1324,"&lt;="&amp;B309)</f>
        <v>48774.73</v>
      </c>
      <c r="N309" s="61">
        <f>IF(tblMovimientos[[#This Row],[Tipo de Movimiento]]="Ingreso",tblMovimientos[[#This Row],[Monto (S/)]],"0")</f>
        <v>50000</v>
      </c>
      <c r="O309" s="61" t="str">
        <f>IF(tblMovimientos[[#This Row],[Tipo de Movimiento]]="Egreso",tblMovimientos[[#This Row],[Monto (S/)]],"0")</f>
        <v>0</v>
      </c>
      <c r="P309" s="28">
        <f>IF(tblMovimientos[[#This Row],[Tipo de Movimiento]]="Ingreso",tblMovimientos[[#This Row],[Ingreso]],-tblMovimientos[[#This Row],[Egreso]])</f>
        <v>50000</v>
      </c>
      <c r="Q309" s="78" t="str">
        <f>_xlfn.XLOOKUP(tblMovimientos[[#This Row],[Cuenta Bancaria]],Cuentas!$C:$C,Cuentas!$A:$A,"")&amp;""</f>
        <v>SSP Group</v>
      </c>
      <c r="R309" s="78" t="str">
        <f>_xlfn.XLOOKUP(tblMovimientos[[#This Row],[Cuenta Bancaria]],Cuentas!$C:$C,Cuentas!$B:$B,"",0,-1)&amp;""</f>
        <v/>
      </c>
    </row>
    <row r="310" spans="2:18" x14ac:dyDescent="0.3">
      <c r="B310" s="39">
        <v>46185</v>
      </c>
      <c r="C310" s="4" t="str">
        <f>_xlfn.XLOOKUP(tblMovimientos[[#This Row],[Cuenta Bancaria]],Listas!$B:$B,Listas!$A:$A,"")</f>
        <v>SSP Capital</v>
      </c>
      <c r="D310" s="41" t="s">
        <v>101</v>
      </c>
      <c r="E310" s="68" t="str">
        <f>_xlfn.XLOOKUP(tblMovimientos[[#This Row],[Cuenta Bancaria]],Listas!$B:$B,Listas!$C:$C,"")</f>
        <v>Bank of America</v>
      </c>
      <c r="F310" s="41" t="s">
        <v>10</v>
      </c>
      <c r="G310" s="41" t="s">
        <v>38</v>
      </c>
      <c r="H310" s="4" t="str">
        <f>IFERROR(_xlfn.XLOOKUP(G310,Listas!E:E,Listas!F:F,""),"")</f>
        <v>Operativo</v>
      </c>
      <c r="I310" s="46" t="str">
        <f>IFERROR(_xlfn.XLOOKUP(G310,Listas!E:E,Listas!G:G,""),"")</f>
        <v>Externo</v>
      </c>
      <c r="J310" s="43">
        <v>1383</v>
      </c>
      <c r="K310" s="5">
        <f t="shared" si="4"/>
        <v>-1383</v>
      </c>
      <c r="L310" s="15" t="s">
        <v>128</v>
      </c>
      <c r="M310" s="44">
        <f>SUMIFS('Saldos Iniciales'!$D:$D,'Saldos Iniciales'!$A:$A,C310,'Saldos Iniciales'!$B:$B,D310)+SUMIFS($K$1:$K$1324,$C$1:$C$1324,C310,$D$1:$D$1324,D310,$B$1:$B$1324,"&lt;="&amp;B310)</f>
        <v>14961.88</v>
      </c>
      <c r="N310" s="61" t="str">
        <f>IF(tblMovimientos[[#This Row],[Tipo de Movimiento]]="Ingreso",tblMovimientos[[#This Row],[Monto (S/)]],"0")</f>
        <v>0</v>
      </c>
      <c r="O310" s="61">
        <f>IF(tblMovimientos[[#This Row],[Tipo de Movimiento]]="Egreso",tblMovimientos[[#This Row],[Monto (S/)]],"0")</f>
        <v>1383</v>
      </c>
      <c r="P310" s="28">
        <f>IF(tblMovimientos[[#This Row],[Tipo de Movimiento]]="Ingreso",tblMovimientos[[#This Row],[Ingreso]],-tblMovimientos[[#This Row],[Egreso]])</f>
        <v>-1383</v>
      </c>
      <c r="Q310" s="78" t="str">
        <f>_xlfn.XLOOKUP(tblMovimientos[[#This Row],[Cuenta Bancaria]],Cuentas!$C:$C,Cuentas!$A:$A,"")&amp;""</f>
        <v>SSP Group</v>
      </c>
      <c r="R310" s="78" t="str">
        <f>_xlfn.XLOOKUP(tblMovimientos[[#This Row],[Cuenta Bancaria]],Cuentas!$C:$C,Cuentas!$B:$B,"",0,-1)&amp;""</f>
        <v/>
      </c>
    </row>
    <row r="311" spans="2:18" x14ac:dyDescent="0.3">
      <c r="B311" s="39">
        <v>46185</v>
      </c>
      <c r="C311" s="4" t="str">
        <f>_xlfn.XLOOKUP(tblMovimientos[[#This Row],[Cuenta Bancaria]],Listas!$B:$B,Listas!$A:$A,"")</f>
        <v>2515 Overbrook</v>
      </c>
      <c r="D311" s="41" t="s">
        <v>121</v>
      </c>
      <c r="E311" s="68" t="str">
        <f>_xlfn.XLOOKUP(tblMovimientos[[#This Row],[Cuenta Bancaria]],Listas!$B:$B,Listas!$C:$C,"")</f>
        <v>Bank of America</v>
      </c>
      <c r="F311" s="41" t="s">
        <v>9</v>
      </c>
      <c r="G311" s="41" t="s">
        <v>81</v>
      </c>
      <c r="H311" s="4" t="str">
        <f>IFERROR(_xlfn.XLOOKUP(G311,Listas!E:E,Listas!F:F,""),"")</f>
        <v>Operativo</v>
      </c>
      <c r="I311" s="46" t="str">
        <f>IFERROR(_xlfn.XLOOKUP(G311,Listas!E:E,Listas!G:G,""),"")</f>
        <v>Externo</v>
      </c>
      <c r="J311" s="43">
        <v>2000</v>
      </c>
      <c r="K311" s="5">
        <f t="shared" si="4"/>
        <v>2000</v>
      </c>
      <c r="L311" s="15" t="s">
        <v>128</v>
      </c>
      <c r="M311" s="44">
        <f>SUMIFS('Saldos Iniciales'!$D:$D,'Saldos Iniciales'!$A:$A,C311,'Saldos Iniciales'!$B:$B,D311)+SUMIFS($K$1:$K$1324,$C$1:$C$1324,C311,$D$1:$D$1324,D311,$B$1:$B$1324,"&lt;="&amp;B311)</f>
        <v>27459.549999999963</v>
      </c>
      <c r="N311" s="61">
        <f>IF(tblMovimientos[[#This Row],[Tipo de Movimiento]]="Ingreso",tblMovimientos[[#This Row],[Monto (S/)]],"0")</f>
        <v>2000</v>
      </c>
      <c r="O311" s="61" t="str">
        <f>IF(tblMovimientos[[#This Row],[Tipo de Movimiento]]="Egreso",tblMovimientos[[#This Row],[Monto (S/)]],"0")</f>
        <v>0</v>
      </c>
      <c r="P311" s="28">
        <f>IF(tblMovimientos[[#This Row],[Tipo de Movimiento]]="Ingreso",tblMovimientos[[#This Row],[Ingreso]],-tblMovimientos[[#This Row],[Egreso]])</f>
        <v>2000</v>
      </c>
      <c r="Q311" s="78" t="str">
        <f>_xlfn.XLOOKUP(tblMovimientos[[#This Row],[Cuenta Bancaria]],Cuentas!$C:$C,Cuentas!$A:$A,"")&amp;""</f>
        <v>SSP Group</v>
      </c>
      <c r="R311" s="78" t="str">
        <f>_xlfn.XLOOKUP(tblMovimientos[[#This Row],[Cuenta Bancaria]],Cuentas!$C:$C,Cuentas!$B:$B,"",0,-1)&amp;""</f>
        <v/>
      </c>
    </row>
    <row r="312" spans="2:18" x14ac:dyDescent="0.3">
      <c r="B312" s="39">
        <v>46185</v>
      </c>
      <c r="C312" s="4" t="str">
        <f>_xlfn.XLOOKUP(tblMovimientos[[#This Row],[Cuenta Bancaria]],Listas!$B:$B,Listas!$A:$A,"")</f>
        <v>3628 Thomas Ave</v>
      </c>
      <c r="D312" s="41" t="s">
        <v>124</v>
      </c>
      <c r="E312" s="68" t="str">
        <f>_xlfn.XLOOKUP(tblMovimientos[[#This Row],[Cuenta Bancaria]],Listas!$B:$B,Listas!$C:$C,"")</f>
        <v>Bank of America</v>
      </c>
      <c r="F312" s="41" t="s">
        <v>10</v>
      </c>
      <c r="G312" s="41" t="s">
        <v>38</v>
      </c>
      <c r="H312" s="4" t="str">
        <f>IFERROR(_xlfn.XLOOKUP(G312,Listas!E:E,Listas!F:F,""),"")</f>
        <v>Operativo</v>
      </c>
      <c r="I312" s="46" t="str">
        <f>IFERROR(_xlfn.XLOOKUP(G312,Listas!E:E,Listas!G:G,""),"")</f>
        <v>Externo</v>
      </c>
      <c r="J312" s="43">
        <v>259.13</v>
      </c>
      <c r="K312" s="5">
        <f t="shared" si="4"/>
        <v>-259.13</v>
      </c>
      <c r="L312" s="15" t="s">
        <v>128</v>
      </c>
      <c r="M312" s="44">
        <f>SUMIFS('Saldos Iniciales'!$D:$D,'Saldos Iniciales'!$A:$A,C312,'Saldos Iniciales'!$B:$B,D312)+SUMIFS($K$1:$K$1324,$C$1:$C$1324,C312,$D$1:$D$1324,D312,$B$1:$B$1324,"&lt;="&amp;B312)</f>
        <v>24484.85</v>
      </c>
      <c r="N312" s="61" t="str">
        <f>IF(tblMovimientos[[#This Row],[Tipo de Movimiento]]="Ingreso",tblMovimientos[[#This Row],[Monto (S/)]],"0")</f>
        <v>0</v>
      </c>
      <c r="O312" s="61">
        <f>IF(tblMovimientos[[#This Row],[Tipo de Movimiento]]="Egreso",tblMovimientos[[#This Row],[Monto (S/)]],"0")</f>
        <v>259.13</v>
      </c>
      <c r="P312" s="28">
        <f>IF(tblMovimientos[[#This Row],[Tipo de Movimiento]]="Ingreso",tblMovimientos[[#This Row],[Ingreso]],-tblMovimientos[[#This Row],[Egreso]])</f>
        <v>-259.13</v>
      </c>
      <c r="Q312" s="78" t="str">
        <f>_xlfn.XLOOKUP(tblMovimientos[[#This Row],[Cuenta Bancaria]],Cuentas!$C:$C,Cuentas!$A:$A,"")&amp;""</f>
        <v>SSP Group</v>
      </c>
      <c r="R312" s="78" t="str">
        <f>_xlfn.XLOOKUP(tblMovimientos[[#This Row],[Cuenta Bancaria]],Cuentas!$C:$C,Cuentas!$B:$B,"",0,-1)&amp;""</f>
        <v/>
      </c>
    </row>
    <row r="313" spans="2:18" x14ac:dyDescent="0.3">
      <c r="B313" s="39">
        <v>46185</v>
      </c>
      <c r="C313" s="4" t="str">
        <f>_xlfn.XLOOKUP(tblMovimientos[[#This Row],[Cuenta Bancaria]],Listas!$B:$B,Listas!$A:$A,"")</f>
        <v>SSP Capital</v>
      </c>
      <c r="D313" s="41" t="s">
        <v>104</v>
      </c>
      <c r="E313" s="68" t="str">
        <f>_xlfn.XLOOKUP(tblMovimientos[[#This Row],[Cuenta Bancaria]],Listas!$B:$B,Listas!$C:$C,"")</f>
        <v xml:space="preserve">Amerant Bank </v>
      </c>
      <c r="F313" s="41" t="s">
        <v>9</v>
      </c>
      <c r="G313" s="41" t="s">
        <v>76</v>
      </c>
      <c r="H313" s="4" t="str">
        <f>IFERROR(_xlfn.XLOOKUP(G313,Listas!E:E,Listas!F:F,""),"")</f>
        <v>Financiamiento</v>
      </c>
      <c r="I313" s="46" t="str">
        <f>IFERROR(_xlfn.XLOOKUP(G313,Listas!E:E,Listas!G:G,""),"")</f>
        <v>Externo</v>
      </c>
      <c r="J313" s="43">
        <v>2970000</v>
      </c>
      <c r="K313" s="5">
        <f t="shared" si="4"/>
        <v>2970000</v>
      </c>
      <c r="L313" s="15" t="s">
        <v>128</v>
      </c>
      <c r="M313" s="44">
        <f>SUMIFS('Saldos Iniciales'!$D:$D,'Saldos Iniciales'!$A:$A,C313,'Saldos Iniciales'!$B:$B,D313)+SUMIFS($K$1:$K$1324,$C$1:$C$1324,C313,$D$1:$D$1324,D313,$B$1:$B$1324,"&lt;="&amp;B313)</f>
        <v>2988249.7999999993</v>
      </c>
      <c r="N313" s="61">
        <f>IF(tblMovimientos[[#This Row],[Tipo de Movimiento]]="Ingreso",tblMovimientos[[#This Row],[Monto (S/)]],"0")</f>
        <v>2970000</v>
      </c>
      <c r="O313" s="61" t="str">
        <f>IF(tblMovimientos[[#This Row],[Tipo de Movimiento]]="Egreso",tblMovimientos[[#This Row],[Monto (S/)]],"0")</f>
        <v>0</v>
      </c>
      <c r="P313" s="28">
        <f>IF(tblMovimientos[[#This Row],[Tipo de Movimiento]]="Ingreso",tblMovimientos[[#This Row],[Ingreso]],-tblMovimientos[[#This Row],[Egreso]])</f>
        <v>2970000</v>
      </c>
      <c r="Q313" s="78" t="str">
        <f>_xlfn.XLOOKUP(tblMovimientos[[#This Row],[Cuenta Bancaria]],Cuentas!$C:$C,Cuentas!$A:$A,"")&amp;""</f>
        <v>SSP Group</v>
      </c>
      <c r="R313" s="78" t="str">
        <f>_xlfn.XLOOKUP(tblMovimientos[[#This Row],[Cuenta Bancaria]],Cuentas!$C:$C,Cuentas!$B:$B,"",0,-1)&amp;""</f>
        <v/>
      </c>
    </row>
    <row r="314" spans="2:18" x14ac:dyDescent="0.3">
      <c r="B314" s="39">
        <v>46185</v>
      </c>
      <c r="C314" s="4" t="str">
        <f>_xlfn.XLOOKUP(tblMovimientos[[#This Row],[Cuenta Bancaria]],Listas!$B:$B,Listas!$A:$A,"")</f>
        <v>Cross Security Trust</v>
      </c>
      <c r="D314" s="41" t="s">
        <v>112</v>
      </c>
      <c r="E314" s="68" t="str">
        <f>_xlfn.XLOOKUP(tblMovimientos[[#This Row],[Cuenta Bancaria]],Listas!$B:$B,Listas!$C:$C,"")</f>
        <v>Bank of America</v>
      </c>
      <c r="F314" s="41" t="s">
        <v>9</v>
      </c>
      <c r="G314" s="41" t="s">
        <v>84</v>
      </c>
      <c r="I314" s="69"/>
      <c r="J314" s="43">
        <v>0.62</v>
      </c>
      <c r="K314" s="5">
        <f t="shared" si="4"/>
        <v>0.62</v>
      </c>
      <c r="L314" s="15" t="s">
        <v>128</v>
      </c>
      <c r="M314" s="44">
        <f>SUMIFS('Saldos Iniciales'!$D:$D,'Saldos Iniciales'!$A:$A,C314,'Saldos Iniciales'!$B:$B,D314)+SUMIFS($K$1:$K$1324,$C$1:$C$1324,C314,$D$1:$D$1324,D314,$B$1:$B$1324,"&lt;="&amp;B314)</f>
        <v>20375.989999999998</v>
      </c>
      <c r="N314" s="61">
        <f>IF(tblMovimientos[[#This Row],[Tipo de Movimiento]]="Ingreso",tblMovimientos[[#This Row],[Monto (S/)]],"0")</f>
        <v>0.62</v>
      </c>
      <c r="O314" s="61" t="str">
        <f>IF(tblMovimientos[[#This Row],[Tipo de Movimiento]]="Egreso",tblMovimientos[[#This Row],[Monto (S/)]],"0")</f>
        <v>0</v>
      </c>
      <c r="P314" s="28">
        <f>IF(tblMovimientos[[#This Row],[Tipo de Movimiento]]="Ingreso",tblMovimientos[[#This Row],[Ingreso]],-tblMovimientos[[#This Row],[Egreso]])</f>
        <v>0.62</v>
      </c>
      <c r="Q314" s="78" t="str">
        <f>_xlfn.XLOOKUP(tblMovimientos[[#This Row],[Cuenta Bancaria]],Cuentas!$C:$C,Cuentas!$A:$A,"")&amp;""</f>
        <v>SSP Group</v>
      </c>
      <c r="R314" s="78" t="str">
        <f>_xlfn.XLOOKUP(tblMovimientos[[#This Row],[Cuenta Bancaria]],Cuentas!$C:$C,Cuentas!$B:$B,"",0,-1)&amp;""</f>
        <v>Trust</v>
      </c>
    </row>
    <row r="315" spans="2:18" x14ac:dyDescent="0.3">
      <c r="B315" s="39">
        <v>46188</v>
      </c>
      <c r="C315" s="4" t="str">
        <f>_xlfn.XLOOKUP(tblMovimientos[[#This Row],[Cuenta Bancaria]],Listas!$B:$B,Listas!$A:$A,"")</f>
        <v>Go Blue</v>
      </c>
      <c r="D315" s="41" t="s">
        <v>126</v>
      </c>
      <c r="E315" s="68" t="str">
        <f>_xlfn.XLOOKUP(tblMovimientos[[#This Row],[Cuenta Bancaria]],Listas!$B:$B,Listas!$C:$C,"")</f>
        <v xml:space="preserve">Amerant Bank </v>
      </c>
      <c r="F315" s="41" t="s">
        <v>10</v>
      </c>
      <c r="G315" s="41" t="s">
        <v>38</v>
      </c>
      <c r="H315" s="4" t="str">
        <f>IFERROR(_xlfn.XLOOKUP(G315,Listas!E:E,Listas!F:F,""),"")</f>
        <v>Operativo</v>
      </c>
      <c r="I315" s="46" t="str">
        <f>IFERROR(_xlfn.XLOOKUP(G315,Listas!E:E,Listas!G:G,""),"")</f>
        <v>Externo</v>
      </c>
      <c r="J315" s="43">
        <v>50</v>
      </c>
      <c r="K315" s="5">
        <f t="shared" si="4"/>
        <v>-50</v>
      </c>
      <c r="L315" s="15" t="s">
        <v>128</v>
      </c>
      <c r="M315" s="44">
        <f>SUMIFS('Saldos Iniciales'!$D:$D,'Saldos Iniciales'!$A:$A,C315,'Saldos Iniciales'!$B:$B,D315)+SUMIFS($K$1:$K$1324,$C$1:$C$1324,C315,$D$1:$D$1324,D315,$B$1:$B$1324,"&lt;="&amp;B315)</f>
        <v>48724.73</v>
      </c>
      <c r="N315" s="61" t="str">
        <f>IF(tblMovimientos[[#This Row],[Tipo de Movimiento]]="Ingreso",tblMovimientos[[#This Row],[Monto (S/)]],"0")</f>
        <v>0</v>
      </c>
      <c r="O315" s="61">
        <f>IF(tblMovimientos[[#This Row],[Tipo de Movimiento]]="Egreso",tblMovimientos[[#This Row],[Monto (S/)]],"0")</f>
        <v>50</v>
      </c>
      <c r="P315" s="28">
        <f>IF(tblMovimientos[[#This Row],[Tipo de Movimiento]]="Ingreso",tblMovimientos[[#This Row],[Ingreso]],-tblMovimientos[[#This Row],[Egreso]])</f>
        <v>-50</v>
      </c>
      <c r="Q315" s="78" t="str">
        <f>_xlfn.XLOOKUP(tblMovimientos[[#This Row],[Cuenta Bancaria]],Cuentas!$C:$C,Cuentas!$A:$A,"")&amp;""</f>
        <v>SSP Group</v>
      </c>
      <c r="R315" s="78" t="str">
        <f>_xlfn.XLOOKUP(tblMovimientos[[#This Row],[Cuenta Bancaria]],Cuentas!$C:$C,Cuentas!$B:$B,"",0,-1)&amp;""</f>
        <v/>
      </c>
    </row>
    <row r="316" spans="2:18" x14ac:dyDescent="0.3">
      <c r="B316" s="39">
        <v>46188</v>
      </c>
      <c r="C316" s="4" t="str">
        <f>_xlfn.XLOOKUP(tblMovimientos[[#This Row],[Cuenta Bancaria]],Listas!$B:$B,Listas!$A:$A,"")</f>
        <v>CFT Group</v>
      </c>
      <c r="D316" s="41" t="s">
        <v>95</v>
      </c>
      <c r="E316" s="68" t="str">
        <f>_xlfn.XLOOKUP(tblMovimientos[[#This Row],[Cuenta Bancaria]],Listas!$B:$B,Listas!$C:$C,"")</f>
        <v xml:space="preserve">Amerant Bank </v>
      </c>
      <c r="F316" s="41" t="s">
        <v>9</v>
      </c>
      <c r="G316" s="41" t="s">
        <v>85</v>
      </c>
      <c r="H316" s="4" t="str">
        <f>IFERROR(_xlfn.XLOOKUP(G316,Listas!E:E,Listas!F:F,""),"")</f>
        <v>Operativo</v>
      </c>
      <c r="I316" s="46" t="str">
        <f>IFERROR(_xlfn.XLOOKUP(G316,Listas!E:E,Listas!G:G,""),"")</f>
        <v>Interno</v>
      </c>
      <c r="J316" s="43">
        <v>270000</v>
      </c>
      <c r="K316" s="5">
        <f t="shared" si="4"/>
        <v>270000</v>
      </c>
      <c r="L316" s="15" t="s">
        <v>128</v>
      </c>
      <c r="M316" s="44">
        <f>SUMIFS('Saldos Iniciales'!$D:$D,'Saldos Iniciales'!$A:$A,C316,'Saldos Iniciales'!$B:$B,D316)+SUMIFS($K$1:$K$1324,$C$1:$C$1324,C316,$D$1:$D$1324,D316,$B$1:$B$1324,"&lt;="&amp;B316)</f>
        <v>968878.52000000025</v>
      </c>
      <c r="N316" s="61">
        <f>IF(tblMovimientos[[#This Row],[Tipo de Movimiento]]="Ingreso",tblMovimientos[[#This Row],[Monto (S/)]],"0")</f>
        <v>270000</v>
      </c>
      <c r="O316" s="61" t="str">
        <f>IF(tblMovimientos[[#This Row],[Tipo de Movimiento]]="Egreso",tblMovimientos[[#This Row],[Monto (S/)]],"0")</f>
        <v>0</v>
      </c>
      <c r="P316" s="28">
        <f>IF(tblMovimientos[[#This Row],[Tipo de Movimiento]]="Ingreso",tblMovimientos[[#This Row],[Ingreso]],-tblMovimientos[[#This Row],[Egreso]])</f>
        <v>270000</v>
      </c>
      <c r="Q316" s="78" t="str">
        <f>_xlfn.XLOOKUP(tblMovimientos[[#This Row],[Cuenta Bancaria]],Cuentas!$C:$C,Cuentas!$A:$A,"")&amp;""</f>
        <v>SSP Group</v>
      </c>
      <c r="R316" s="78" t="str">
        <f>_xlfn.XLOOKUP(tblMovimientos[[#This Row],[Cuenta Bancaria]],Cuentas!$C:$C,Cuentas!$B:$B,"",0,-1)&amp;""</f>
        <v/>
      </c>
    </row>
    <row r="317" spans="2:18" x14ac:dyDescent="0.3">
      <c r="B317" s="39">
        <v>46188</v>
      </c>
      <c r="C317" s="4" t="str">
        <f>_xlfn.XLOOKUP(tblMovimientos[[#This Row],[Cuenta Bancaria]],Listas!$B:$B,Listas!$A:$A,"")</f>
        <v>CFT Group</v>
      </c>
      <c r="D317" s="41" t="s">
        <v>95</v>
      </c>
      <c r="E317" s="68" t="str">
        <f>_xlfn.XLOOKUP(tblMovimientos[[#This Row],[Cuenta Bancaria]],Listas!$B:$B,Listas!$C:$C,"")</f>
        <v xml:space="preserve">Amerant Bank </v>
      </c>
      <c r="F317" s="41" t="s">
        <v>10</v>
      </c>
      <c r="G317" s="41" t="s">
        <v>48</v>
      </c>
      <c r="H317" s="4" t="str">
        <f>IFERROR(_xlfn.XLOOKUP(G317,Listas!E:E,Listas!F:F,""),"")</f>
        <v>Financiamiento</v>
      </c>
      <c r="I317" s="46" t="str">
        <f>IFERROR(_xlfn.XLOOKUP(G317,Listas!E:E,Listas!G:G,""),"")</f>
        <v>Externo</v>
      </c>
      <c r="J317" s="43">
        <v>2366.67</v>
      </c>
      <c r="K317" s="5">
        <f t="shared" si="4"/>
        <v>-2366.67</v>
      </c>
      <c r="L317" s="15" t="s">
        <v>128</v>
      </c>
      <c r="M317" s="44">
        <f>SUMIFS('Saldos Iniciales'!$D:$D,'Saldos Iniciales'!$A:$A,C317,'Saldos Iniciales'!$B:$B,D317)+SUMIFS($K$1:$K$1324,$C$1:$C$1324,C317,$D$1:$D$1324,D317,$B$1:$B$1324,"&lt;="&amp;B317)</f>
        <v>968878.52000000025</v>
      </c>
      <c r="N317" s="61" t="str">
        <f>IF(tblMovimientos[[#This Row],[Tipo de Movimiento]]="Ingreso",tblMovimientos[[#This Row],[Monto (S/)]],"0")</f>
        <v>0</v>
      </c>
      <c r="O317" s="61">
        <f>IF(tblMovimientos[[#This Row],[Tipo de Movimiento]]="Egreso",tblMovimientos[[#This Row],[Monto (S/)]],"0")</f>
        <v>2366.67</v>
      </c>
      <c r="P317" s="28">
        <f>IF(tblMovimientos[[#This Row],[Tipo de Movimiento]]="Ingreso",tblMovimientos[[#This Row],[Ingreso]],-tblMovimientos[[#This Row],[Egreso]])</f>
        <v>-2366.67</v>
      </c>
      <c r="Q317" s="78" t="str">
        <f>_xlfn.XLOOKUP(tblMovimientos[[#This Row],[Cuenta Bancaria]],Cuentas!$C:$C,Cuentas!$A:$A,"")&amp;""</f>
        <v>SSP Group</v>
      </c>
      <c r="R317" s="78" t="str">
        <f>_xlfn.XLOOKUP(tblMovimientos[[#This Row],[Cuenta Bancaria]],Cuentas!$C:$C,Cuentas!$B:$B,"",0,-1)&amp;""</f>
        <v/>
      </c>
    </row>
    <row r="318" spans="2:18" x14ac:dyDescent="0.3">
      <c r="B318" s="39">
        <v>46188</v>
      </c>
      <c r="C318" s="4" t="str">
        <f>_xlfn.XLOOKUP(tblMovimientos[[#This Row],[Cuenta Bancaria]],Listas!$B:$B,Listas!$A:$A,"")</f>
        <v>CFT Group</v>
      </c>
      <c r="D318" s="41" t="s">
        <v>95</v>
      </c>
      <c r="E318" s="68" t="str">
        <f>_xlfn.XLOOKUP(tblMovimientos[[#This Row],[Cuenta Bancaria]],Listas!$B:$B,Listas!$C:$C,"")</f>
        <v xml:space="preserve">Amerant Bank </v>
      </c>
      <c r="F318" s="41" t="s">
        <v>10</v>
      </c>
      <c r="G318" s="41" t="s">
        <v>48</v>
      </c>
      <c r="H318" s="4" t="str">
        <f>IFERROR(_xlfn.XLOOKUP(G318,Listas!E:E,Listas!F:F,""),"")</f>
        <v>Financiamiento</v>
      </c>
      <c r="I318" s="46" t="str">
        <f>IFERROR(_xlfn.XLOOKUP(G318,Listas!E:E,Listas!G:G,""),"")</f>
        <v>Externo</v>
      </c>
      <c r="J318" s="43">
        <v>3500</v>
      </c>
      <c r="K318" s="5">
        <f t="shared" si="4"/>
        <v>-3500</v>
      </c>
      <c r="L318" s="15" t="s">
        <v>128</v>
      </c>
      <c r="M318" s="44">
        <f>SUMIFS('Saldos Iniciales'!$D:$D,'Saldos Iniciales'!$A:$A,C318,'Saldos Iniciales'!$B:$B,D318)+SUMIFS($K$1:$K$1324,$C$1:$C$1324,C318,$D$1:$D$1324,D318,$B$1:$B$1324,"&lt;="&amp;B318)</f>
        <v>968878.52000000025</v>
      </c>
      <c r="N318" s="61" t="str">
        <f>IF(tblMovimientos[[#This Row],[Tipo de Movimiento]]="Ingreso",tblMovimientos[[#This Row],[Monto (S/)]],"0")</f>
        <v>0</v>
      </c>
      <c r="O318" s="61">
        <f>IF(tblMovimientos[[#This Row],[Tipo de Movimiento]]="Egreso",tblMovimientos[[#This Row],[Monto (S/)]],"0")</f>
        <v>3500</v>
      </c>
      <c r="P318" s="28">
        <f>IF(tblMovimientos[[#This Row],[Tipo de Movimiento]]="Ingreso",tblMovimientos[[#This Row],[Ingreso]],-tblMovimientos[[#This Row],[Egreso]])</f>
        <v>-3500</v>
      </c>
      <c r="Q318" s="78" t="str">
        <f>_xlfn.XLOOKUP(tblMovimientos[[#This Row],[Cuenta Bancaria]],Cuentas!$C:$C,Cuentas!$A:$A,"")&amp;""</f>
        <v>SSP Group</v>
      </c>
      <c r="R318" s="78" t="str">
        <f>_xlfn.XLOOKUP(tblMovimientos[[#This Row],[Cuenta Bancaria]],Cuentas!$C:$C,Cuentas!$B:$B,"",0,-1)&amp;""</f>
        <v/>
      </c>
    </row>
    <row r="319" spans="2:18" x14ac:dyDescent="0.3">
      <c r="B319" s="39">
        <v>46188</v>
      </c>
      <c r="C319" s="4" t="str">
        <f>_xlfn.XLOOKUP(tblMovimientos[[#This Row],[Cuenta Bancaria]],Listas!$B:$B,Listas!$A:$A,"")</f>
        <v>CFT Group</v>
      </c>
      <c r="D319" s="41" t="s">
        <v>95</v>
      </c>
      <c r="E319" s="68" t="str">
        <f>_xlfn.XLOOKUP(tblMovimientos[[#This Row],[Cuenta Bancaria]],Listas!$B:$B,Listas!$C:$C,"")</f>
        <v xml:space="preserve">Amerant Bank </v>
      </c>
      <c r="F319" s="41" t="s">
        <v>10</v>
      </c>
      <c r="G319" s="41" t="s">
        <v>48</v>
      </c>
      <c r="H319" s="4" t="str">
        <f>IFERROR(_xlfn.XLOOKUP(G319,Listas!E:E,Listas!F:F,""),"")</f>
        <v>Financiamiento</v>
      </c>
      <c r="I319" s="46" t="str">
        <f>IFERROR(_xlfn.XLOOKUP(G319,Listas!E:E,Listas!G:G,""),"")</f>
        <v>Externo</v>
      </c>
      <c r="J319" s="43">
        <v>10608.89</v>
      </c>
      <c r="K319" s="5">
        <f t="shared" si="4"/>
        <v>-10608.89</v>
      </c>
      <c r="L319" s="15" t="s">
        <v>128</v>
      </c>
      <c r="M319" s="44">
        <f>SUMIFS('Saldos Iniciales'!$D:$D,'Saldos Iniciales'!$A:$A,C319,'Saldos Iniciales'!$B:$B,D319)+SUMIFS($K$1:$K$1324,$C$1:$C$1324,C319,$D$1:$D$1324,D319,$B$1:$B$1324,"&lt;="&amp;B319)</f>
        <v>968878.52000000025</v>
      </c>
      <c r="N319" s="61" t="str">
        <f>IF(tblMovimientos[[#This Row],[Tipo de Movimiento]]="Ingreso",tblMovimientos[[#This Row],[Monto (S/)]],"0")</f>
        <v>0</v>
      </c>
      <c r="O319" s="61">
        <f>IF(tblMovimientos[[#This Row],[Tipo de Movimiento]]="Egreso",tblMovimientos[[#This Row],[Monto (S/)]],"0")</f>
        <v>10608.89</v>
      </c>
      <c r="P319" s="28">
        <f>IF(tblMovimientos[[#This Row],[Tipo de Movimiento]]="Ingreso",tblMovimientos[[#This Row],[Ingreso]],-tblMovimientos[[#This Row],[Egreso]])</f>
        <v>-10608.89</v>
      </c>
      <c r="Q319" s="78" t="str">
        <f>_xlfn.XLOOKUP(tblMovimientos[[#This Row],[Cuenta Bancaria]],Cuentas!$C:$C,Cuentas!$A:$A,"")&amp;""</f>
        <v>SSP Group</v>
      </c>
      <c r="R319" s="78" t="str">
        <f>_xlfn.XLOOKUP(tblMovimientos[[#This Row],[Cuenta Bancaria]],Cuentas!$C:$C,Cuentas!$B:$B,"",0,-1)&amp;""</f>
        <v/>
      </c>
    </row>
    <row r="320" spans="2:18" x14ac:dyDescent="0.3">
      <c r="B320" s="39">
        <v>46188</v>
      </c>
      <c r="C320" s="4" t="str">
        <f>_xlfn.XLOOKUP(tblMovimientos[[#This Row],[Cuenta Bancaria]],Listas!$B:$B,Listas!$A:$A,"")</f>
        <v>CFT Group</v>
      </c>
      <c r="D320" s="41" t="s">
        <v>95</v>
      </c>
      <c r="E320" s="68" t="str">
        <f>_xlfn.XLOOKUP(tblMovimientos[[#This Row],[Cuenta Bancaria]],Listas!$B:$B,Listas!$C:$C,"")</f>
        <v xml:space="preserve">Amerant Bank </v>
      </c>
      <c r="F320" s="41" t="s">
        <v>10</v>
      </c>
      <c r="G320" s="41" t="s">
        <v>48</v>
      </c>
      <c r="H320" s="4" t="str">
        <f>IFERROR(_xlfn.XLOOKUP(G320,Listas!E:E,Listas!F:F,""),"")</f>
        <v>Financiamiento</v>
      </c>
      <c r="I320" s="46" t="str">
        <f>IFERROR(_xlfn.XLOOKUP(G320,Listas!E:E,Listas!G:G,""),"")</f>
        <v>Externo</v>
      </c>
      <c r="J320" s="43">
        <v>12055.56</v>
      </c>
      <c r="K320" s="5">
        <f t="shared" si="4"/>
        <v>-12055.56</v>
      </c>
      <c r="L320" s="15" t="s">
        <v>128</v>
      </c>
      <c r="M320" s="44">
        <f>SUMIFS('Saldos Iniciales'!$D:$D,'Saldos Iniciales'!$A:$A,C320,'Saldos Iniciales'!$B:$B,D320)+SUMIFS($K$1:$K$1324,$C$1:$C$1324,C320,$D$1:$D$1324,D320,$B$1:$B$1324,"&lt;="&amp;B320)</f>
        <v>968878.52000000025</v>
      </c>
      <c r="N320" s="61" t="str">
        <f>IF(tblMovimientos[[#This Row],[Tipo de Movimiento]]="Ingreso",tblMovimientos[[#This Row],[Monto (S/)]],"0")</f>
        <v>0</v>
      </c>
      <c r="O320" s="61">
        <f>IF(tblMovimientos[[#This Row],[Tipo de Movimiento]]="Egreso",tblMovimientos[[#This Row],[Monto (S/)]],"0")</f>
        <v>12055.56</v>
      </c>
      <c r="P320" s="28">
        <f>IF(tblMovimientos[[#This Row],[Tipo de Movimiento]]="Ingreso",tblMovimientos[[#This Row],[Ingreso]],-tblMovimientos[[#This Row],[Egreso]])</f>
        <v>-12055.56</v>
      </c>
      <c r="Q320" s="78" t="str">
        <f>_xlfn.XLOOKUP(tblMovimientos[[#This Row],[Cuenta Bancaria]],Cuentas!$C:$C,Cuentas!$A:$A,"")&amp;""</f>
        <v>SSP Group</v>
      </c>
      <c r="R320" s="78" t="str">
        <f>_xlfn.XLOOKUP(tblMovimientos[[#This Row],[Cuenta Bancaria]],Cuentas!$C:$C,Cuentas!$B:$B,"",0,-1)&amp;""</f>
        <v/>
      </c>
    </row>
    <row r="321" spans="1:18" x14ac:dyDescent="0.3">
      <c r="B321" s="39">
        <v>46188</v>
      </c>
      <c r="C321" s="4" t="str">
        <f>_xlfn.XLOOKUP(tblMovimientos[[#This Row],[Cuenta Bancaria]],Listas!$B:$B,Listas!$A:$A,"")</f>
        <v>CFT Group</v>
      </c>
      <c r="D321" s="41" t="s">
        <v>95</v>
      </c>
      <c r="E321" s="68" t="str">
        <f>_xlfn.XLOOKUP(tblMovimientos[[#This Row],[Cuenta Bancaria]],Listas!$B:$B,Listas!$C:$C,"")</f>
        <v xml:space="preserve">Amerant Bank </v>
      </c>
      <c r="F321" s="41" t="s">
        <v>10</v>
      </c>
      <c r="G321" s="41" t="s">
        <v>48</v>
      </c>
      <c r="H321" s="4" t="str">
        <f>IFERROR(_xlfn.XLOOKUP(G321,Listas!E:E,Listas!F:F,""),"")</f>
        <v>Financiamiento</v>
      </c>
      <c r="I321" s="46" t="str">
        <f>IFERROR(_xlfn.XLOOKUP(G321,Listas!E:E,Listas!G:G,""),"")</f>
        <v>Externo</v>
      </c>
      <c r="J321" s="43">
        <v>22166.67</v>
      </c>
      <c r="K321" s="5">
        <f t="shared" si="4"/>
        <v>-22166.67</v>
      </c>
      <c r="L321" s="15" t="s">
        <v>128</v>
      </c>
      <c r="M321" s="44">
        <f>SUMIFS('Saldos Iniciales'!$D:$D,'Saldos Iniciales'!$A:$A,C321,'Saldos Iniciales'!$B:$B,D321)+SUMIFS($K$1:$K$1324,$C$1:$C$1324,C321,$D$1:$D$1324,D321,$B$1:$B$1324,"&lt;="&amp;B321)</f>
        <v>968878.52000000025</v>
      </c>
      <c r="N321" s="61" t="str">
        <f>IF(tblMovimientos[[#This Row],[Tipo de Movimiento]]="Ingreso",tblMovimientos[[#This Row],[Monto (S/)]],"0")</f>
        <v>0</v>
      </c>
      <c r="O321" s="61">
        <f>IF(tblMovimientos[[#This Row],[Tipo de Movimiento]]="Egreso",tblMovimientos[[#This Row],[Monto (S/)]],"0")</f>
        <v>22166.67</v>
      </c>
      <c r="P321" s="28">
        <f>IF(tblMovimientos[[#This Row],[Tipo de Movimiento]]="Ingreso",tblMovimientos[[#This Row],[Ingreso]],-tblMovimientos[[#This Row],[Egreso]])</f>
        <v>-22166.67</v>
      </c>
      <c r="Q321" s="78" t="str">
        <f>_xlfn.XLOOKUP(tblMovimientos[[#This Row],[Cuenta Bancaria]],Cuentas!$C:$C,Cuentas!$A:$A,"")&amp;""</f>
        <v>SSP Group</v>
      </c>
      <c r="R321" s="78" t="str">
        <f>_xlfn.XLOOKUP(tblMovimientos[[#This Row],[Cuenta Bancaria]],Cuentas!$C:$C,Cuentas!$B:$B,"",0,-1)&amp;""</f>
        <v/>
      </c>
    </row>
    <row r="322" spans="1:18" x14ac:dyDescent="0.3">
      <c r="B322" s="39">
        <v>46188</v>
      </c>
      <c r="C322" s="4" t="str">
        <f>_xlfn.XLOOKUP(tblMovimientos[[#This Row],[Cuenta Bancaria]],Listas!$B:$B,Listas!$A:$A,"")</f>
        <v>CFT Group</v>
      </c>
      <c r="D322" s="41" t="s">
        <v>95</v>
      </c>
      <c r="E322" s="68" t="str">
        <f>_xlfn.XLOOKUP(tblMovimientos[[#This Row],[Cuenta Bancaria]],Listas!$B:$B,Listas!$C:$C,"")</f>
        <v xml:space="preserve">Amerant Bank </v>
      </c>
      <c r="F322" s="41" t="s">
        <v>10</v>
      </c>
      <c r="G322" s="41" t="s">
        <v>48</v>
      </c>
      <c r="H322" s="4" t="str">
        <f>IFERROR(_xlfn.XLOOKUP(G322,Listas!E:E,Listas!F:F,""),"")</f>
        <v>Financiamiento</v>
      </c>
      <c r="I322" s="46" t="str">
        <f>IFERROR(_xlfn.XLOOKUP(G322,Listas!E:E,Listas!G:G,""),"")</f>
        <v>Externo</v>
      </c>
      <c r="J322" s="43">
        <v>24111.11</v>
      </c>
      <c r="K322" s="5">
        <f t="shared" ref="K322:K385" si="5">IF(F322="Ingreso",J322,-J322)</f>
        <v>-24111.11</v>
      </c>
      <c r="L322" s="15" t="s">
        <v>128</v>
      </c>
      <c r="M322" s="44">
        <f>SUMIFS('Saldos Iniciales'!$D:$D,'Saldos Iniciales'!$A:$A,C322,'Saldos Iniciales'!$B:$B,D322)+SUMIFS($K$1:$K$1324,$C$1:$C$1324,C322,$D$1:$D$1324,D322,$B$1:$B$1324,"&lt;="&amp;B322)</f>
        <v>968878.52000000025</v>
      </c>
      <c r="N322" s="61" t="str">
        <f>IF(tblMovimientos[[#This Row],[Tipo de Movimiento]]="Ingreso",tblMovimientos[[#This Row],[Monto (S/)]],"0")</f>
        <v>0</v>
      </c>
      <c r="O322" s="61">
        <f>IF(tblMovimientos[[#This Row],[Tipo de Movimiento]]="Egreso",tblMovimientos[[#This Row],[Monto (S/)]],"0")</f>
        <v>24111.11</v>
      </c>
      <c r="P322" s="28">
        <f>IF(tblMovimientos[[#This Row],[Tipo de Movimiento]]="Ingreso",tblMovimientos[[#This Row],[Ingreso]],-tblMovimientos[[#This Row],[Egreso]])</f>
        <v>-24111.11</v>
      </c>
      <c r="Q322" s="78" t="str">
        <f>_xlfn.XLOOKUP(tblMovimientos[[#This Row],[Cuenta Bancaria]],Cuentas!$C:$C,Cuentas!$A:$A,"")&amp;""</f>
        <v>SSP Group</v>
      </c>
      <c r="R322" s="78" t="str">
        <f>_xlfn.XLOOKUP(tblMovimientos[[#This Row],[Cuenta Bancaria]],Cuentas!$C:$C,Cuentas!$B:$B,"",0,-1)&amp;""</f>
        <v/>
      </c>
    </row>
    <row r="323" spans="1:18" x14ac:dyDescent="0.3">
      <c r="B323" s="39">
        <v>46188</v>
      </c>
      <c r="C323" s="4" t="str">
        <f>_xlfn.XLOOKUP(tblMovimientos[[#This Row],[Cuenta Bancaria]],Listas!$B:$B,Listas!$A:$A,"")</f>
        <v>CFT Group</v>
      </c>
      <c r="D323" s="41" t="s">
        <v>95</v>
      </c>
      <c r="E323" s="68" t="str">
        <f>_xlfn.XLOOKUP(tblMovimientos[[#This Row],[Cuenta Bancaria]],Listas!$B:$B,Listas!$C:$C,"")</f>
        <v xml:space="preserve">Amerant Bank </v>
      </c>
      <c r="F323" s="41" t="s">
        <v>10</v>
      </c>
      <c r="G323" s="41" t="s">
        <v>61</v>
      </c>
      <c r="H323" s="4" t="str">
        <f>IFERROR(_xlfn.XLOOKUP(G323,Listas!E:E,Listas!F:F,""),"")</f>
        <v>Operativo</v>
      </c>
      <c r="I323" s="46" t="str">
        <f>IFERROR(_xlfn.XLOOKUP(G323,Listas!E:E,Listas!G:G,""),"")</f>
        <v>Externo</v>
      </c>
      <c r="J323" s="43">
        <v>40000</v>
      </c>
      <c r="K323" s="5">
        <f t="shared" si="5"/>
        <v>-40000</v>
      </c>
      <c r="L323" s="15" t="s">
        <v>128</v>
      </c>
      <c r="M323" s="44">
        <f>SUMIFS('Saldos Iniciales'!$D:$D,'Saldos Iniciales'!$A:$A,C323,'Saldos Iniciales'!$B:$B,D323)+SUMIFS($K$1:$K$1324,$C$1:$C$1324,C323,$D$1:$D$1324,D323,$B$1:$B$1324,"&lt;="&amp;B323)</f>
        <v>968878.52000000025</v>
      </c>
      <c r="N323" s="61" t="str">
        <f>IF(tblMovimientos[[#This Row],[Tipo de Movimiento]]="Ingreso",tblMovimientos[[#This Row],[Monto (S/)]],"0")</f>
        <v>0</v>
      </c>
      <c r="O323" s="61">
        <f>IF(tblMovimientos[[#This Row],[Tipo de Movimiento]]="Egreso",tblMovimientos[[#This Row],[Monto (S/)]],"0")</f>
        <v>40000</v>
      </c>
      <c r="P323" s="28">
        <f>IF(tblMovimientos[[#This Row],[Tipo de Movimiento]]="Ingreso",tblMovimientos[[#This Row],[Ingreso]],-tblMovimientos[[#This Row],[Egreso]])</f>
        <v>-40000</v>
      </c>
      <c r="Q323" s="78" t="str">
        <f>_xlfn.XLOOKUP(tblMovimientos[[#This Row],[Cuenta Bancaria]],Cuentas!$C:$C,Cuentas!$A:$A,"")&amp;""</f>
        <v>SSP Group</v>
      </c>
      <c r="R323" s="78" t="str">
        <f>_xlfn.XLOOKUP(tblMovimientos[[#This Row],[Cuenta Bancaria]],Cuentas!$C:$C,Cuentas!$B:$B,"",0,-1)&amp;""</f>
        <v/>
      </c>
    </row>
    <row r="324" spans="1:18" x14ac:dyDescent="0.3">
      <c r="B324" s="39">
        <v>46188</v>
      </c>
      <c r="C324" s="4" t="str">
        <f>_xlfn.XLOOKUP(tblMovimientos[[#This Row],[Cuenta Bancaria]],Listas!$B:$B,Listas!$A:$A,"")</f>
        <v>CFT Group</v>
      </c>
      <c r="D324" s="41" t="s">
        <v>95</v>
      </c>
      <c r="E324" s="68" t="str">
        <f>_xlfn.XLOOKUP(tblMovimientos[[#This Row],[Cuenta Bancaria]],Listas!$B:$B,Listas!$C:$C,"")</f>
        <v xml:space="preserve">Amerant Bank </v>
      </c>
      <c r="F324" s="41" t="s">
        <v>10</v>
      </c>
      <c r="G324" s="41" t="s">
        <v>61</v>
      </c>
      <c r="H324" s="4" t="str">
        <f>IFERROR(_xlfn.XLOOKUP(G324,Listas!E:E,Listas!F:F,""),"")</f>
        <v>Operativo</v>
      </c>
      <c r="I324" s="46" t="str">
        <f>IFERROR(_xlfn.XLOOKUP(G324,Listas!E:E,Listas!G:G,""),"")</f>
        <v>Externo</v>
      </c>
      <c r="J324" s="43">
        <v>60000</v>
      </c>
      <c r="K324" s="5">
        <f t="shared" si="5"/>
        <v>-60000</v>
      </c>
      <c r="L324" s="15" t="s">
        <v>128</v>
      </c>
      <c r="M324" s="44">
        <f>SUMIFS('Saldos Iniciales'!$D:$D,'Saldos Iniciales'!$A:$A,C324,'Saldos Iniciales'!$B:$B,D324)+SUMIFS($K$1:$K$1324,$C$1:$C$1324,C324,$D$1:$D$1324,D324,$B$1:$B$1324,"&lt;="&amp;B324)</f>
        <v>968878.52000000025</v>
      </c>
      <c r="N324" s="61" t="str">
        <f>IF(tblMovimientos[[#This Row],[Tipo de Movimiento]]="Ingreso",tblMovimientos[[#This Row],[Monto (S/)]],"0")</f>
        <v>0</v>
      </c>
      <c r="O324" s="61">
        <f>IF(tblMovimientos[[#This Row],[Tipo de Movimiento]]="Egreso",tblMovimientos[[#This Row],[Monto (S/)]],"0")</f>
        <v>60000</v>
      </c>
      <c r="P324" s="28">
        <f>IF(tblMovimientos[[#This Row],[Tipo de Movimiento]]="Ingreso",tblMovimientos[[#This Row],[Ingreso]],-tblMovimientos[[#This Row],[Egreso]])</f>
        <v>-60000</v>
      </c>
      <c r="Q324" s="78" t="str">
        <f>_xlfn.XLOOKUP(tblMovimientos[[#This Row],[Cuenta Bancaria]],Cuentas!$C:$C,Cuentas!$A:$A,"")&amp;""</f>
        <v>SSP Group</v>
      </c>
      <c r="R324" s="78" t="str">
        <f>_xlfn.XLOOKUP(tblMovimientos[[#This Row],[Cuenta Bancaria]],Cuentas!$C:$C,Cuentas!$B:$B,"",0,-1)&amp;""</f>
        <v/>
      </c>
    </row>
    <row r="325" spans="1:18" x14ac:dyDescent="0.3">
      <c r="B325" s="39">
        <v>46188</v>
      </c>
      <c r="C325" s="4" t="str">
        <f>_xlfn.XLOOKUP(tblMovimientos[[#This Row],[Cuenta Bancaria]],Listas!$B:$B,Listas!$A:$A,"")</f>
        <v>CFT Group</v>
      </c>
      <c r="D325" s="41" t="s">
        <v>95</v>
      </c>
      <c r="E325" s="68" t="str">
        <f>_xlfn.XLOOKUP(tblMovimientos[[#This Row],[Cuenta Bancaria]],Listas!$B:$B,Listas!$C:$C,"")</f>
        <v xml:space="preserve">Amerant Bank </v>
      </c>
      <c r="F325" s="41" t="s">
        <v>10</v>
      </c>
      <c r="G325" s="41" t="s">
        <v>61</v>
      </c>
      <c r="H325" s="4" t="str">
        <f>IFERROR(_xlfn.XLOOKUP(G325,Listas!E:E,Listas!F:F,""),"")</f>
        <v>Operativo</v>
      </c>
      <c r="I325" s="46" t="str">
        <f>IFERROR(_xlfn.XLOOKUP(G325,Listas!E:E,Listas!G:G,""),"")</f>
        <v>Externo</v>
      </c>
      <c r="J325" s="43">
        <v>100000</v>
      </c>
      <c r="K325" s="5">
        <f t="shared" si="5"/>
        <v>-100000</v>
      </c>
      <c r="L325" s="15" t="s">
        <v>128</v>
      </c>
      <c r="M325" s="44">
        <f>SUMIFS('Saldos Iniciales'!$D:$D,'Saldos Iniciales'!$A:$A,C325,'Saldos Iniciales'!$B:$B,D325)+SUMIFS($K$1:$K$1324,$C$1:$C$1324,C325,$D$1:$D$1324,D325,$B$1:$B$1324,"&lt;="&amp;B325)</f>
        <v>968878.52000000025</v>
      </c>
      <c r="N325" s="61" t="str">
        <f>IF(tblMovimientos[[#This Row],[Tipo de Movimiento]]="Ingreso",tblMovimientos[[#This Row],[Monto (S/)]],"0")</f>
        <v>0</v>
      </c>
      <c r="O325" s="61">
        <f>IF(tblMovimientos[[#This Row],[Tipo de Movimiento]]="Egreso",tblMovimientos[[#This Row],[Monto (S/)]],"0")</f>
        <v>100000</v>
      </c>
      <c r="P325" s="28">
        <f>IF(tblMovimientos[[#This Row],[Tipo de Movimiento]]="Ingreso",tblMovimientos[[#This Row],[Ingreso]],-tblMovimientos[[#This Row],[Egreso]])</f>
        <v>-100000</v>
      </c>
      <c r="Q325" s="78" t="str">
        <f>_xlfn.XLOOKUP(tblMovimientos[[#This Row],[Cuenta Bancaria]],Cuentas!$C:$C,Cuentas!$A:$A,"")&amp;""</f>
        <v>SSP Group</v>
      </c>
      <c r="R325" s="78" t="str">
        <f>_xlfn.XLOOKUP(tblMovimientos[[#This Row],[Cuenta Bancaria]],Cuentas!$C:$C,Cuentas!$B:$B,"",0,-1)&amp;""</f>
        <v/>
      </c>
    </row>
    <row r="326" spans="1:18" x14ac:dyDescent="0.3">
      <c r="B326" s="39">
        <v>46188</v>
      </c>
      <c r="C326" s="4" t="str">
        <f>_xlfn.XLOOKUP(tblMovimientos[[#This Row],[Cuenta Bancaria]],Listas!$B:$B,Listas!$A:$A,"")</f>
        <v>CFT Group</v>
      </c>
      <c r="D326" s="41" t="s">
        <v>95</v>
      </c>
      <c r="E326" s="68" t="str">
        <f>_xlfn.XLOOKUP(tblMovimientos[[#This Row],[Cuenta Bancaria]],Listas!$B:$B,Listas!$C:$C,"")</f>
        <v xml:space="preserve">Amerant Bank </v>
      </c>
      <c r="F326" s="41" t="s">
        <v>10</v>
      </c>
      <c r="G326" s="41" t="s">
        <v>61</v>
      </c>
      <c r="H326" s="4" t="str">
        <f>IFERROR(_xlfn.XLOOKUP(G326,Listas!E:E,Listas!F:F,""),"")</f>
        <v>Operativo</v>
      </c>
      <c r="I326" s="46" t="str">
        <f>IFERROR(_xlfn.XLOOKUP(G326,Listas!E:E,Listas!G:G,""),"")</f>
        <v>Externo</v>
      </c>
      <c r="J326" s="43">
        <v>150000</v>
      </c>
      <c r="K326" s="5">
        <f t="shared" si="5"/>
        <v>-150000</v>
      </c>
      <c r="L326" s="15" t="s">
        <v>128</v>
      </c>
      <c r="M326" s="44">
        <f>SUMIFS('Saldos Iniciales'!$D:$D,'Saldos Iniciales'!$A:$A,C326,'Saldos Iniciales'!$B:$B,D326)+SUMIFS($K$1:$K$1324,$C$1:$C$1324,C326,$D$1:$D$1324,D326,$B$1:$B$1324,"&lt;="&amp;B326)</f>
        <v>968878.52000000025</v>
      </c>
      <c r="N326" s="61" t="str">
        <f>IF(tblMovimientos[[#This Row],[Tipo de Movimiento]]="Ingreso",tblMovimientos[[#This Row],[Monto (S/)]],"0")</f>
        <v>0</v>
      </c>
      <c r="O326" s="61">
        <f>IF(tblMovimientos[[#This Row],[Tipo de Movimiento]]="Egreso",tblMovimientos[[#This Row],[Monto (S/)]],"0")</f>
        <v>150000</v>
      </c>
      <c r="P326" s="28">
        <f>IF(tblMovimientos[[#This Row],[Tipo de Movimiento]]="Ingreso",tblMovimientos[[#This Row],[Ingreso]],-tblMovimientos[[#This Row],[Egreso]])</f>
        <v>-150000</v>
      </c>
      <c r="Q326" s="78" t="str">
        <f>_xlfn.XLOOKUP(tblMovimientos[[#This Row],[Cuenta Bancaria]],Cuentas!$C:$C,Cuentas!$A:$A,"")&amp;""</f>
        <v>SSP Group</v>
      </c>
      <c r="R326" s="78" t="str">
        <f>_xlfn.XLOOKUP(tblMovimientos[[#This Row],[Cuenta Bancaria]],Cuentas!$C:$C,Cuentas!$B:$B,"",0,-1)&amp;""</f>
        <v/>
      </c>
    </row>
    <row r="327" spans="1:18" x14ac:dyDescent="0.3">
      <c r="B327" s="39">
        <v>46188</v>
      </c>
      <c r="C327" s="4" t="str">
        <f>_xlfn.XLOOKUP(tblMovimientos[[#This Row],[Cuenta Bancaria]],Listas!$B:$B,Listas!$A:$A,"")</f>
        <v>CFT Group</v>
      </c>
      <c r="D327" s="41" t="s">
        <v>95</v>
      </c>
      <c r="E327" s="68" t="str">
        <f>_xlfn.XLOOKUP(tblMovimientos[[#This Row],[Cuenta Bancaria]],Listas!$B:$B,Listas!$C:$C,"")</f>
        <v xml:space="preserve">Amerant Bank </v>
      </c>
      <c r="F327" s="41" t="s">
        <v>10</v>
      </c>
      <c r="G327" s="41" t="s">
        <v>61</v>
      </c>
      <c r="H327" s="4" t="str">
        <f>IFERROR(_xlfn.XLOOKUP(G327,Listas!E:E,Listas!F:F,""),"")</f>
        <v>Operativo</v>
      </c>
      <c r="I327" s="46" t="str">
        <f>IFERROR(_xlfn.XLOOKUP(G327,Listas!E:E,Listas!G:G,""),"")</f>
        <v>Externo</v>
      </c>
      <c r="J327" s="43">
        <v>200000</v>
      </c>
      <c r="K327" s="5">
        <f t="shared" si="5"/>
        <v>-200000</v>
      </c>
      <c r="L327" s="15" t="s">
        <v>128</v>
      </c>
      <c r="M327" s="44">
        <f>SUMIFS('Saldos Iniciales'!$D:$D,'Saldos Iniciales'!$A:$A,C327,'Saldos Iniciales'!$B:$B,D327)+SUMIFS($K$1:$K$1324,$C$1:$C$1324,C327,$D$1:$D$1324,D327,$B$1:$B$1324,"&lt;="&amp;B327)</f>
        <v>968878.52000000025</v>
      </c>
      <c r="N327" s="61" t="str">
        <f>IF(tblMovimientos[[#This Row],[Tipo de Movimiento]]="Ingreso",tblMovimientos[[#This Row],[Monto (S/)]],"0")</f>
        <v>0</v>
      </c>
      <c r="O327" s="61">
        <f>IF(tblMovimientos[[#This Row],[Tipo de Movimiento]]="Egreso",tblMovimientos[[#This Row],[Monto (S/)]],"0")</f>
        <v>200000</v>
      </c>
      <c r="P327" s="28">
        <f>IF(tblMovimientos[[#This Row],[Tipo de Movimiento]]="Ingreso",tblMovimientos[[#This Row],[Ingreso]],-tblMovimientos[[#This Row],[Egreso]])</f>
        <v>-200000</v>
      </c>
      <c r="Q327" s="78" t="str">
        <f>_xlfn.XLOOKUP(tblMovimientos[[#This Row],[Cuenta Bancaria]],Cuentas!$C:$C,Cuentas!$A:$A,"")&amp;""</f>
        <v>SSP Group</v>
      </c>
      <c r="R327" s="78" t="str">
        <f>_xlfn.XLOOKUP(tblMovimientos[[#This Row],[Cuenta Bancaria]],Cuentas!$C:$C,Cuentas!$B:$B,"",0,-1)&amp;""</f>
        <v/>
      </c>
    </row>
    <row r="328" spans="1:18" x14ac:dyDescent="0.3">
      <c r="B328" s="39">
        <v>46188</v>
      </c>
      <c r="C328" s="4" t="str">
        <f>_xlfn.XLOOKUP(tblMovimientos[[#This Row],[Cuenta Bancaria]],Listas!$B:$B,Listas!$A:$A,"")</f>
        <v>CFT Group</v>
      </c>
      <c r="D328" s="41" t="s">
        <v>95</v>
      </c>
      <c r="E328" s="68" t="str">
        <f>_xlfn.XLOOKUP(tblMovimientos[[#This Row],[Cuenta Bancaria]],Listas!$B:$B,Listas!$C:$C,"")</f>
        <v xml:space="preserve">Amerant Bank </v>
      </c>
      <c r="F328" s="41" t="s">
        <v>10</v>
      </c>
      <c r="G328" s="41" t="s">
        <v>61</v>
      </c>
      <c r="H328" s="4" t="str">
        <f>IFERROR(_xlfn.XLOOKUP(G328,Listas!E:E,Listas!F:F,""),"")</f>
        <v>Operativo</v>
      </c>
      <c r="I328" s="46" t="str">
        <f>IFERROR(_xlfn.XLOOKUP(G328,Listas!E:E,Listas!G:G,""),"")</f>
        <v>Externo</v>
      </c>
      <c r="J328" s="43">
        <v>200000</v>
      </c>
      <c r="K328" s="5">
        <f t="shared" si="5"/>
        <v>-200000</v>
      </c>
      <c r="L328" s="15" t="s">
        <v>128</v>
      </c>
      <c r="M328" s="44">
        <f>SUMIFS('Saldos Iniciales'!$D:$D,'Saldos Iniciales'!$A:$A,C328,'Saldos Iniciales'!$B:$B,D328)+SUMIFS($K$1:$K$1324,$C$1:$C$1324,C328,$D$1:$D$1324,D328,$B$1:$B$1324,"&lt;="&amp;B328)</f>
        <v>968878.52000000025</v>
      </c>
      <c r="N328" s="61" t="str">
        <f>IF(tblMovimientos[[#This Row],[Tipo de Movimiento]]="Ingreso",tblMovimientos[[#This Row],[Monto (S/)]],"0")</f>
        <v>0</v>
      </c>
      <c r="O328" s="61">
        <f>IF(tblMovimientos[[#This Row],[Tipo de Movimiento]]="Egreso",tblMovimientos[[#This Row],[Monto (S/)]],"0")</f>
        <v>200000</v>
      </c>
      <c r="P328" s="28">
        <f>IF(tblMovimientos[[#This Row],[Tipo de Movimiento]]="Ingreso",tblMovimientos[[#This Row],[Ingreso]],-tblMovimientos[[#This Row],[Egreso]])</f>
        <v>-200000</v>
      </c>
      <c r="Q328" s="78" t="str">
        <f>_xlfn.XLOOKUP(tblMovimientos[[#This Row],[Cuenta Bancaria]],Cuentas!$C:$C,Cuentas!$A:$A,"")&amp;""</f>
        <v>SSP Group</v>
      </c>
      <c r="R328" s="78" t="str">
        <f>_xlfn.XLOOKUP(tblMovimientos[[#This Row],[Cuenta Bancaria]],Cuentas!$C:$C,Cuentas!$B:$B,"",0,-1)&amp;""</f>
        <v/>
      </c>
    </row>
    <row r="329" spans="1:18" x14ac:dyDescent="0.3">
      <c r="B329" s="39">
        <v>46188</v>
      </c>
      <c r="C329" s="4" t="str">
        <f>_xlfn.XLOOKUP(tblMovimientos[[#This Row],[Cuenta Bancaria]],Listas!$B:$B,Listas!$A:$A,"")</f>
        <v>SSP Capital</v>
      </c>
      <c r="D329" s="41" t="s">
        <v>104</v>
      </c>
      <c r="E329" s="68" t="str">
        <f>_xlfn.XLOOKUP(tblMovimientos[[#This Row],[Cuenta Bancaria]],Listas!$B:$B,Listas!$C:$C,"")</f>
        <v xml:space="preserve">Amerant Bank </v>
      </c>
      <c r="F329" s="41" t="s">
        <v>10</v>
      </c>
      <c r="G329" s="41" t="s">
        <v>48</v>
      </c>
      <c r="H329" s="4" t="str">
        <f>IFERROR(_xlfn.XLOOKUP(G329,Listas!E:E,Listas!F:F,""),"")</f>
        <v>Financiamiento</v>
      </c>
      <c r="I329" s="46" t="str">
        <f>IFERROR(_xlfn.XLOOKUP(G329,Listas!E:E,Listas!G:G,""),"")</f>
        <v>Externo</v>
      </c>
      <c r="J329" s="43">
        <v>26250</v>
      </c>
      <c r="K329" s="5">
        <f t="shared" si="5"/>
        <v>-26250</v>
      </c>
      <c r="L329" s="15" t="s">
        <v>128</v>
      </c>
      <c r="M329" s="44">
        <f>SUMIFS('Saldos Iniciales'!$D:$D,'Saldos Iniciales'!$A:$A,C329,'Saldos Iniciales'!$B:$B,D329)+SUMIFS($K$1:$K$1324,$C$1:$C$1324,C329,$D$1:$D$1324,D329,$B$1:$B$1324,"&lt;="&amp;B329)</f>
        <v>2502067.6299999994</v>
      </c>
      <c r="N329" s="61" t="str">
        <f>IF(tblMovimientos[[#This Row],[Tipo de Movimiento]]="Ingreso",tblMovimientos[[#This Row],[Monto (S/)]],"0")</f>
        <v>0</v>
      </c>
      <c r="O329" s="61">
        <f>IF(tblMovimientos[[#This Row],[Tipo de Movimiento]]="Egreso",tblMovimientos[[#This Row],[Monto (S/)]],"0")</f>
        <v>26250</v>
      </c>
      <c r="P329" s="28">
        <f>IF(tblMovimientos[[#This Row],[Tipo de Movimiento]]="Ingreso",tblMovimientos[[#This Row],[Ingreso]],-tblMovimientos[[#This Row],[Egreso]])</f>
        <v>-26250</v>
      </c>
      <c r="Q329" s="78" t="str">
        <f>_xlfn.XLOOKUP(tblMovimientos[[#This Row],[Cuenta Bancaria]],Cuentas!$C:$C,Cuentas!$A:$A,"")&amp;""</f>
        <v>SSP Group</v>
      </c>
      <c r="R329" s="78" t="str">
        <f>_xlfn.XLOOKUP(tblMovimientos[[#This Row],[Cuenta Bancaria]],Cuentas!$C:$C,Cuentas!$B:$B,"",0,-1)&amp;""</f>
        <v/>
      </c>
    </row>
    <row r="330" spans="1:18" x14ac:dyDescent="0.3">
      <c r="B330" s="39">
        <v>46188</v>
      </c>
      <c r="C330" s="4" t="str">
        <f>_xlfn.XLOOKUP(tblMovimientos[[#This Row],[Cuenta Bancaria]],Listas!$B:$B,Listas!$A:$A,"")</f>
        <v>SSP Capital</v>
      </c>
      <c r="D330" s="41" t="s">
        <v>104</v>
      </c>
      <c r="E330" s="68" t="str">
        <f>_xlfn.XLOOKUP(tblMovimientos[[#This Row],[Cuenta Bancaria]],Listas!$B:$B,Listas!$C:$C,"")</f>
        <v xml:space="preserve">Amerant Bank </v>
      </c>
      <c r="F330" s="41" t="s">
        <v>10</v>
      </c>
      <c r="G330" s="41" t="s">
        <v>48</v>
      </c>
      <c r="H330" s="4" t="str">
        <f>IFERROR(_xlfn.XLOOKUP(G330,Listas!E:E,Listas!F:F,""),"")</f>
        <v>Financiamiento</v>
      </c>
      <c r="I330" s="46" t="str">
        <f>IFERROR(_xlfn.XLOOKUP(G330,Listas!E:E,Listas!G:G,""),"")</f>
        <v>Externo</v>
      </c>
      <c r="J330" s="43">
        <v>32435</v>
      </c>
      <c r="K330" s="5">
        <f t="shared" si="5"/>
        <v>-32435</v>
      </c>
      <c r="L330" s="15" t="s">
        <v>128</v>
      </c>
      <c r="M330" s="44">
        <f>SUMIFS('Saldos Iniciales'!$D:$D,'Saldos Iniciales'!$A:$A,C330,'Saldos Iniciales'!$B:$B,D330)+SUMIFS($K$1:$K$1324,$C$1:$C$1324,C330,$D$1:$D$1324,D330,$B$1:$B$1324,"&lt;="&amp;B330)</f>
        <v>2502067.6299999994</v>
      </c>
      <c r="N330" s="61" t="str">
        <f>IF(tblMovimientos[[#This Row],[Tipo de Movimiento]]="Ingreso",tblMovimientos[[#This Row],[Monto (S/)]],"0")</f>
        <v>0</v>
      </c>
      <c r="O330" s="61">
        <f>IF(tblMovimientos[[#This Row],[Tipo de Movimiento]]="Egreso",tblMovimientos[[#This Row],[Monto (S/)]],"0")</f>
        <v>32435</v>
      </c>
      <c r="P330" s="28">
        <f>IF(tblMovimientos[[#This Row],[Tipo de Movimiento]]="Ingreso",tblMovimientos[[#This Row],[Ingreso]],-tblMovimientos[[#This Row],[Egreso]])</f>
        <v>-32435</v>
      </c>
      <c r="Q330" s="78" t="str">
        <f>_xlfn.XLOOKUP(tblMovimientos[[#This Row],[Cuenta Bancaria]],Cuentas!$C:$C,Cuentas!$A:$A,"")&amp;""</f>
        <v>SSP Group</v>
      </c>
      <c r="R330" s="78" t="str">
        <f>_xlfn.XLOOKUP(tblMovimientos[[#This Row],[Cuenta Bancaria]],Cuentas!$C:$C,Cuentas!$B:$B,"",0,-1)&amp;""</f>
        <v/>
      </c>
    </row>
    <row r="331" spans="1:18" x14ac:dyDescent="0.3">
      <c r="B331" s="39">
        <v>46188</v>
      </c>
      <c r="C331" s="4" t="str">
        <f>_xlfn.XLOOKUP(tblMovimientos[[#This Row],[Cuenta Bancaria]],Listas!$B:$B,Listas!$A:$A,"")</f>
        <v>SSP Capital</v>
      </c>
      <c r="D331" s="41" t="s">
        <v>104</v>
      </c>
      <c r="E331" s="68" t="str">
        <f>_xlfn.XLOOKUP(tblMovimientos[[#This Row],[Cuenta Bancaria]],Listas!$B:$B,Listas!$C:$C,"")</f>
        <v xml:space="preserve">Amerant Bank </v>
      </c>
      <c r="F331" s="41" t="s">
        <v>10</v>
      </c>
      <c r="G331" s="41" t="s">
        <v>48</v>
      </c>
      <c r="H331" s="4" t="str">
        <f>IFERROR(_xlfn.XLOOKUP(G331,Listas!E:E,Listas!F:F,""),"")</f>
        <v>Financiamiento</v>
      </c>
      <c r="I331" s="46" t="str">
        <f>IFERROR(_xlfn.XLOOKUP(G331,Listas!E:E,Listas!G:G,""),"")</f>
        <v>Externo</v>
      </c>
      <c r="J331" s="43">
        <v>49583.34</v>
      </c>
      <c r="K331" s="5">
        <f t="shared" si="5"/>
        <v>-49583.34</v>
      </c>
      <c r="L331" s="15" t="s">
        <v>128</v>
      </c>
      <c r="M331" s="44">
        <f>SUMIFS('Saldos Iniciales'!$D:$D,'Saldos Iniciales'!$A:$A,C331,'Saldos Iniciales'!$B:$B,D331)+SUMIFS($K$1:$K$1324,$C$1:$C$1324,C331,$D$1:$D$1324,D331,$B$1:$B$1324,"&lt;="&amp;B331)</f>
        <v>2502067.6299999994</v>
      </c>
      <c r="N331" s="61" t="str">
        <f>IF(tblMovimientos[[#This Row],[Tipo de Movimiento]]="Ingreso",tblMovimientos[[#This Row],[Monto (S/)]],"0")</f>
        <v>0</v>
      </c>
      <c r="O331" s="61">
        <f>IF(tblMovimientos[[#This Row],[Tipo de Movimiento]]="Egreso",tblMovimientos[[#This Row],[Monto (S/)]],"0")</f>
        <v>49583.34</v>
      </c>
      <c r="P331" s="28">
        <f>IF(tblMovimientos[[#This Row],[Tipo de Movimiento]]="Ingreso",tblMovimientos[[#This Row],[Ingreso]],-tblMovimientos[[#This Row],[Egreso]])</f>
        <v>-49583.34</v>
      </c>
      <c r="Q331" s="78" t="str">
        <f>_xlfn.XLOOKUP(tblMovimientos[[#This Row],[Cuenta Bancaria]],Cuentas!$C:$C,Cuentas!$A:$A,"")&amp;""</f>
        <v>SSP Group</v>
      </c>
      <c r="R331" s="78" t="str">
        <f>_xlfn.XLOOKUP(tblMovimientos[[#This Row],[Cuenta Bancaria]],Cuentas!$C:$C,Cuentas!$B:$B,"",0,-1)&amp;""</f>
        <v/>
      </c>
    </row>
    <row r="332" spans="1:18" x14ac:dyDescent="0.3">
      <c r="B332" s="39">
        <v>46188</v>
      </c>
      <c r="C332" s="4" t="str">
        <f>_xlfn.XLOOKUP(tblMovimientos[[#This Row],[Cuenta Bancaria]],Listas!$B:$B,Listas!$A:$A,"")</f>
        <v>SSP Capital</v>
      </c>
      <c r="D332" s="41" t="s">
        <v>104</v>
      </c>
      <c r="E332" s="68" t="str">
        <f>_xlfn.XLOOKUP(tblMovimientos[[#This Row],[Cuenta Bancaria]],Listas!$B:$B,Listas!$C:$C,"")</f>
        <v xml:space="preserve">Amerant Bank </v>
      </c>
      <c r="F332" s="41" t="s">
        <v>10</v>
      </c>
      <c r="G332" s="41" t="s">
        <v>48</v>
      </c>
      <c r="H332" s="4" t="str">
        <f>IFERROR(_xlfn.XLOOKUP(G332,Listas!E:E,Listas!F:F,""),"")</f>
        <v>Financiamiento</v>
      </c>
      <c r="I332" s="46" t="str">
        <f>IFERROR(_xlfn.XLOOKUP(G332,Listas!E:E,Listas!G:G,""),"")</f>
        <v>Externo</v>
      </c>
      <c r="J332" s="43">
        <v>23313.83</v>
      </c>
      <c r="K332" s="5">
        <f t="shared" si="5"/>
        <v>-23313.83</v>
      </c>
      <c r="L332" s="15" t="s">
        <v>128</v>
      </c>
      <c r="M332" s="44">
        <f>SUMIFS('Saldos Iniciales'!$D:$D,'Saldos Iniciales'!$A:$A,C332,'Saldos Iniciales'!$B:$B,D332)+SUMIFS($K$1:$K$1324,$C$1:$C$1324,C332,$D$1:$D$1324,D332,$B$1:$B$1324,"&lt;="&amp;B332)</f>
        <v>2502067.6299999994</v>
      </c>
      <c r="N332" s="61" t="str">
        <f>IF(tblMovimientos[[#This Row],[Tipo de Movimiento]]="Ingreso",tblMovimientos[[#This Row],[Monto (S/)]],"0")</f>
        <v>0</v>
      </c>
      <c r="O332" s="61">
        <f>IF(tblMovimientos[[#This Row],[Tipo de Movimiento]]="Egreso",tblMovimientos[[#This Row],[Monto (S/)]],"0")</f>
        <v>23313.83</v>
      </c>
      <c r="P332" s="28">
        <f>IF(tblMovimientos[[#This Row],[Tipo de Movimiento]]="Ingreso",tblMovimientos[[#This Row],[Ingreso]],-tblMovimientos[[#This Row],[Egreso]])</f>
        <v>-23313.83</v>
      </c>
      <c r="Q332" s="78" t="str">
        <f>_xlfn.XLOOKUP(tblMovimientos[[#This Row],[Cuenta Bancaria]],Cuentas!$C:$C,Cuentas!$A:$A,"")&amp;""</f>
        <v>SSP Group</v>
      </c>
      <c r="R332" s="78" t="str">
        <f>_xlfn.XLOOKUP(tblMovimientos[[#This Row],[Cuenta Bancaria]],Cuentas!$C:$C,Cuentas!$B:$B,"",0,-1)&amp;""</f>
        <v/>
      </c>
    </row>
    <row r="333" spans="1:18" x14ac:dyDescent="0.3">
      <c r="A333" s="45"/>
      <c r="B333" s="39">
        <v>46188</v>
      </c>
      <c r="C333" s="4" t="str">
        <f>_xlfn.XLOOKUP(tblMovimientos[[#This Row],[Cuenta Bancaria]],Listas!$B:$B,Listas!$A:$A,"")</f>
        <v>SSP Capital</v>
      </c>
      <c r="D333" s="41" t="s">
        <v>104</v>
      </c>
      <c r="E333" s="68" t="str">
        <f>_xlfn.XLOOKUP(tblMovimientos[[#This Row],[Cuenta Bancaria]],Listas!$B:$B,Listas!$C:$C,"")</f>
        <v xml:space="preserve">Amerant Bank </v>
      </c>
      <c r="F333" s="41" t="s">
        <v>10</v>
      </c>
      <c r="G333" s="41" t="s">
        <v>64</v>
      </c>
      <c r="H333" s="4" t="str">
        <f>IFERROR(_xlfn.XLOOKUP(G333,Listas!E:E,Listas!F:F,""),"")</f>
        <v>Operativo</v>
      </c>
      <c r="I333" s="46" t="str">
        <f>IFERROR(_xlfn.XLOOKUP(G333,Listas!E:E,Listas!G:G,""),"")</f>
        <v>Interno</v>
      </c>
      <c r="J333" s="43">
        <v>54600</v>
      </c>
      <c r="K333" s="5">
        <f t="shared" si="5"/>
        <v>-54600</v>
      </c>
      <c r="L333" s="15" t="s">
        <v>128</v>
      </c>
      <c r="M333" s="44">
        <f>SUMIFS('Saldos Iniciales'!$D:$D,'Saldos Iniciales'!$A:$A,C333,'Saldos Iniciales'!$B:$B,D333)+SUMIFS($K$1:$K$1324,$C$1:$C$1324,C333,$D$1:$D$1324,D333,$B$1:$B$1324,"&lt;="&amp;B333)</f>
        <v>2502067.6299999994</v>
      </c>
      <c r="N333" s="61" t="str">
        <f>IF(tblMovimientos[[#This Row],[Tipo de Movimiento]]="Ingreso",tblMovimientos[[#This Row],[Monto (S/)]],"0")</f>
        <v>0</v>
      </c>
      <c r="O333" s="61">
        <f>IF(tblMovimientos[[#This Row],[Tipo de Movimiento]]="Egreso",tblMovimientos[[#This Row],[Monto (S/)]],"0")</f>
        <v>54600</v>
      </c>
      <c r="P333" s="28">
        <f>IF(tblMovimientos[[#This Row],[Tipo de Movimiento]]="Ingreso",tblMovimientos[[#This Row],[Ingreso]],-tblMovimientos[[#This Row],[Egreso]])</f>
        <v>-54600</v>
      </c>
      <c r="Q333" s="78" t="str">
        <f>_xlfn.XLOOKUP(tblMovimientos[[#This Row],[Cuenta Bancaria]],Cuentas!$C:$C,Cuentas!$A:$A,"")&amp;""</f>
        <v>SSP Group</v>
      </c>
      <c r="R333" s="78" t="str">
        <f>_xlfn.XLOOKUP(tblMovimientos[[#This Row],[Cuenta Bancaria]],Cuentas!$C:$C,Cuentas!$B:$B,"",0,-1)&amp;""</f>
        <v/>
      </c>
    </row>
    <row r="334" spans="1:18" x14ac:dyDescent="0.3">
      <c r="B334" s="39">
        <v>46188</v>
      </c>
      <c r="C334" s="4" t="str">
        <f>_xlfn.XLOOKUP(tblMovimientos[[#This Row],[Cuenta Bancaria]],Listas!$B:$B,Listas!$A:$A,"")</f>
        <v>SSP Capital</v>
      </c>
      <c r="D334" s="41" t="s">
        <v>104</v>
      </c>
      <c r="E334" s="68" t="str">
        <f>_xlfn.XLOOKUP(tblMovimientos[[#This Row],[Cuenta Bancaria]],Listas!$B:$B,Listas!$C:$C,"")</f>
        <v xml:space="preserve">Amerant Bank </v>
      </c>
      <c r="F334" s="41" t="s">
        <v>10</v>
      </c>
      <c r="G334" s="41" t="s">
        <v>61</v>
      </c>
      <c r="H334" s="4" t="str">
        <f>IFERROR(_xlfn.XLOOKUP(G334,Listas!E:E,Listas!F:F,""),"")</f>
        <v>Operativo</v>
      </c>
      <c r="I334" s="46" t="str">
        <f>IFERROR(_xlfn.XLOOKUP(G334,Listas!E:E,Listas!G:G,""),"")</f>
        <v>Externo</v>
      </c>
      <c r="J334" s="43">
        <v>300000</v>
      </c>
      <c r="K334" s="5">
        <f t="shared" si="5"/>
        <v>-300000</v>
      </c>
      <c r="L334" s="15" t="s">
        <v>128</v>
      </c>
      <c r="M334" s="44">
        <f>SUMIFS('Saldos Iniciales'!$D:$D,'Saldos Iniciales'!$A:$A,C334,'Saldos Iniciales'!$B:$B,D334)+SUMIFS($K$1:$K$1324,$C$1:$C$1324,C334,$D$1:$D$1324,D334,$B$1:$B$1324,"&lt;="&amp;B334)</f>
        <v>2502067.6299999994</v>
      </c>
      <c r="N334" s="61" t="str">
        <f>IF(tblMovimientos[[#This Row],[Tipo de Movimiento]]="Ingreso",tblMovimientos[[#This Row],[Monto (S/)]],"0")</f>
        <v>0</v>
      </c>
      <c r="O334" s="61">
        <f>IF(tblMovimientos[[#This Row],[Tipo de Movimiento]]="Egreso",tblMovimientos[[#This Row],[Monto (S/)]],"0")</f>
        <v>300000</v>
      </c>
      <c r="P334" s="28">
        <f>IF(tblMovimientos[[#This Row],[Tipo de Movimiento]]="Ingreso",tblMovimientos[[#This Row],[Ingreso]],-tblMovimientos[[#This Row],[Egreso]])</f>
        <v>-300000</v>
      </c>
      <c r="Q334" s="78" t="str">
        <f>_xlfn.XLOOKUP(tblMovimientos[[#This Row],[Cuenta Bancaria]],Cuentas!$C:$C,Cuentas!$A:$A,"")&amp;""</f>
        <v>SSP Group</v>
      </c>
      <c r="R334" s="78" t="str">
        <f>_xlfn.XLOOKUP(tblMovimientos[[#This Row],[Cuenta Bancaria]],Cuentas!$C:$C,Cuentas!$B:$B,"",0,-1)&amp;""</f>
        <v/>
      </c>
    </row>
    <row r="335" spans="1:18" x14ac:dyDescent="0.3">
      <c r="B335" s="39">
        <v>46188</v>
      </c>
      <c r="C335" s="4" t="str">
        <f>_xlfn.XLOOKUP(tblMovimientos[[#This Row],[Cuenta Bancaria]],Listas!$B:$B,Listas!$A:$A,"")</f>
        <v>SSP Capital</v>
      </c>
      <c r="D335" s="41" t="s">
        <v>102</v>
      </c>
      <c r="E335" s="68" t="str">
        <f>_xlfn.XLOOKUP(tblMovimientos[[#This Row],[Cuenta Bancaria]],Listas!$B:$B,Listas!$C:$C,"")</f>
        <v>Bank of America</v>
      </c>
      <c r="F335" s="41" t="s">
        <v>10</v>
      </c>
      <c r="G335" s="41" t="s">
        <v>44</v>
      </c>
      <c r="H335" s="4" t="str">
        <f>IFERROR(_xlfn.XLOOKUP(G335,Listas!E:E,Listas!F:F,""),"")</f>
        <v>Operativo</v>
      </c>
      <c r="I335" s="46" t="str">
        <f>IFERROR(_xlfn.XLOOKUP(G335,Listas!E:E,Listas!G:G,""),"")</f>
        <v>Externo</v>
      </c>
      <c r="J335" s="43">
        <v>29.42</v>
      </c>
      <c r="K335" s="5">
        <f t="shared" si="5"/>
        <v>-29.42</v>
      </c>
      <c r="L335" s="15" t="s">
        <v>128</v>
      </c>
      <c r="M335" s="44">
        <f>SUMIFS('Saldos Iniciales'!$D:$D,'Saldos Iniciales'!$A:$A,C335,'Saldos Iniciales'!$B:$B,D335)+SUMIFS($K$1:$K$1324,$C$1:$C$1324,C335,$D$1:$D$1324,D335,$B$1:$B$1324,"&lt;="&amp;B335)</f>
        <v>533.58000000000004</v>
      </c>
      <c r="N335" s="61" t="str">
        <f>IF(tblMovimientos[[#This Row],[Tipo de Movimiento]]="Ingreso",tblMovimientos[[#This Row],[Monto (S/)]],"0")</f>
        <v>0</v>
      </c>
      <c r="O335" s="61">
        <f>IF(tblMovimientos[[#This Row],[Tipo de Movimiento]]="Egreso",tblMovimientos[[#This Row],[Monto (S/)]],"0")</f>
        <v>29.42</v>
      </c>
      <c r="P335" s="28">
        <f>IF(tblMovimientos[[#This Row],[Tipo de Movimiento]]="Ingreso",tblMovimientos[[#This Row],[Ingreso]],-tblMovimientos[[#This Row],[Egreso]])</f>
        <v>-29.42</v>
      </c>
      <c r="Q335" s="78" t="str">
        <f>_xlfn.XLOOKUP(tblMovimientos[[#This Row],[Cuenta Bancaria]],Cuentas!$C:$C,Cuentas!$A:$A,"")&amp;""</f>
        <v>SSP Group</v>
      </c>
      <c r="R335" s="78" t="str">
        <f>_xlfn.XLOOKUP(tblMovimientos[[#This Row],[Cuenta Bancaria]],Cuentas!$C:$C,Cuentas!$B:$B,"",0,-1)&amp;""</f>
        <v/>
      </c>
    </row>
    <row r="336" spans="1:18" x14ac:dyDescent="0.3">
      <c r="B336" s="39">
        <v>46188</v>
      </c>
      <c r="C336" s="4" t="str">
        <f>_xlfn.XLOOKUP(tblMovimientos[[#This Row],[Cuenta Bancaria]],Listas!$B:$B,Listas!$A:$A,"")</f>
        <v>A&amp;M Imports</v>
      </c>
      <c r="D336" s="41" t="s">
        <v>100</v>
      </c>
      <c r="E336" s="68" t="str">
        <f>_xlfn.XLOOKUP(tblMovimientos[[#This Row],[Cuenta Bancaria]],Listas!$B:$B,Listas!$C:$C,"")</f>
        <v>Bank of America</v>
      </c>
      <c r="F336" s="41" t="s">
        <v>10</v>
      </c>
      <c r="G336" s="41" t="s">
        <v>61</v>
      </c>
      <c r="H336" s="4" t="str">
        <f>IFERROR(_xlfn.XLOOKUP(G336,Listas!E:E,Listas!F:F,""),"")</f>
        <v>Operativo</v>
      </c>
      <c r="I336" s="46" t="str">
        <f>IFERROR(_xlfn.XLOOKUP(G336,Listas!E:E,Listas!G:G,""),"")</f>
        <v>Externo</v>
      </c>
      <c r="J336" s="43">
        <v>60000</v>
      </c>
      <c r="K336" s="5">
        <f t="shared" si="5"/>
        <v>-60000</v>
      </c>
      <c r="L336" s="15" t="s">
        <v>128</v>
      </c>
      <c r="M336" s="44">
        <f>SUMIFS('Saldos Iniciales'!$D:$D,'Saldos Iniciales'!$A:$A,C336,'Saldos Iniciales'!$B:$B,D336)+SUMIFS($K$1:$K$1324,$C$1:$C$1324,C336,$D$1:$D$1324,D336,$B$1:$B$1324,"&lt;="&amp;B336)</f>
        <v>503904.80999999982</v>
      </c>
      <c r="N336" s="61" t="str">
        <f>IF(tblMovimientos[[#This Row],[Tipo de Movimiento]]="Ingreso",tblMovimientos[[#This Row],[Monto (S/)]],"0")</f>
        <v>0</v>
      </c>
      <c r="O336" s="61">
        <f>IF(tblMovimientos[[#This Row],[Tipo de Movimiento]]="Egreso",tblMovimientos[[#This Row],[Monto (S/)]],"0")</f>
        <v>60000</v>
      </c>
      <c r="P336" s="28">
        <f>IF(tblMovimientos[[#This Row],[Tipo de Movimiento]]="Ingreso",tblMovimientos[[#This Row],[Ingreso]],-tblMovimientos[[#This Row],[Egreso]])</f>
        <v>-60000</v>
      </c>
      <c r="Q336" s="78" t="str">
        <f>_xlfn.XLOOKUP(tblMovimientos[[#This Row],[Cuenta Bancaria]],Cuentas!$C:$C,Cuentas!$A:$A,"")&amp;""</f>
        <v>SSP Group</v>
      </c>
      <c r="R336" s="78" t="str">
        <f>_xlfn.XLOOKUP(tblMovimientos[[#This Row],[Cuenta Bancaria]],Cuentas!$C:$C,Cuentas!$B:$B,"",0,-1)&amp;""</f>
        <v/>
      </c>
    </row>
    <row r="337" spans="1:18" x14ac:dyDescent="0.3">
      <c r="B337" s="39">
        <v>46188</v>
      </c>
      <c r="C337" s="4" t="str">
        <f>_xlfn.XLOOKUP(tblMovimientos[[#This Row],[Cuenta Bancaria]],Listas!$B:$B,Listas!$A:$A,"")</f>
        <v>A&amp;M Imports</v>
      </c>
      <c r="D337" s="41" t="s">
        <v>100</v>
      </c>
      <c r="E337" s="68" t="str">
        <f>_xlfn.XLOOKUP(tblMovimientos[[#This Row],[Cuenta Bancaria]],Listas!$B:$B,Listas!$C:$C,"")</f>
        <v>Bank of America</v>
      </c>
      <c r="F337" s="41" t="s">
        <v>10</v>
      </c>
      <c r="G337" s="41" t="s">
        <v>44</v>
      </c>
      <c r="H337" s="4" t="str">
        <f>IFERROR(_xlfn.XLOOKUP(G337,Listas!E:E,Listas!F:F,""),"")</f>
        <v>Operativo</v>
      </c>
      <c r="I337" s="46" t="str">
        <f>IFERROR(_xlfn.XLOOKUP(G337,Listas!E:E,Listas!G:G,""),"")</f>
        <v>Externo</v>
      </c>
      <c r="J337" s="43">
        <v>721.4</v>
      </c>
      <c r="K337" s="5">
        <f t="shared" si="5"/>
        <v>-721.4</v>
      </c>
      <c r="L337" s="15" t="s">
        <v>128</v>
      </c>
      <c r="M337" s="44">
        <f>SUMIFS('Saldos Iniciales'!$D:$D,'Saldos Iniciales'!$A:$A,C337,'Saldos Iniciales'!$B:$B,D337)+SUMIFS($K$1:$K$1324,$C$1:$C$1324,C337,$D$1:$D$1324,D337,$B$1:$B$1324,"&lt;="&amp;B337)</f>
        <v>503904.80999999982</v>
      </c>
      <c r="N337" s="61" t="str">
        <f>IF(tblMovimientos[[#This Row],[Tipo de Movimiento]]="Ingreso",tblMovimientos[[#This Row],[Monto (S/)]],"0")</f>
        <v>0</v>
      </c>
      <c r="O337" s="61">
        <f>IF(tblMovimientos[[#This Row],[Tipo de Movimiento]]="Egreso",tblMovimientos[[#This Row],[Monto (S/)]],"0")</f>
        <v>721.4</v>
      </c>
      <c r="P337" s="28">
        <f>IF(tblMovimientos[[#This Row],[Tipo de Movimiento]]="Ingreso",tblMovimientos[[#This Row],[Ingreso]],-tblMovimientos[[#This Row],[Egreso]])</f>
        <v>-721.4</v>
      </c>
      <c r="Q337" s="78" t="str">
        <f>_xlfn.XLOOKUP(tblMovimientos[[#This Row],[Cuenta Bancaria]],Cuentas!$C:$C,Cuentas!$A:$A,"")&amp;""</f>
        <v>SSP Group</v>
      </c>
      <c r="R337" s="78" t="str">
        <f>_xlfn.XLOOKUP(tblMovimientos[[#This Row],[Cuenta Bancaria]],Cuentas!$C:$C,Cuentas!$B:$B,"",0,-1)&amp;""</f>
        <v/>
      </c>
    </row>
    <row r="338" spans="1:18" x14ac:dyDescent="0.3">
      <c r="B338" s="39">
        <v>46188</v>
      </c>
      <c r="C338" s="4" t="str">
        <f>_xlfn.XLOOKUP(tblMovimientos[[#This Row],[Cuenta Bancaria]],Listas!$B:$B,Listas!$A:$A,"")</f>
        <v>CFT Group</v>
      </c>
      <c r="D338" s="41" t="s">
        <v>94</v>
      </c>
      <c r="E338" s="68" t="str">
        <f>_xlfn.XLOOKUP(tblMovimientos[[#This Row],[Cuenta Bancaria]],Listas!$B:$B,Listas!$C:$C,"")</f>
        <v>Bank of America</v>
      </c>
      <c r="F338" s="41" t="s">
        <v>10</v>
      </c>
      <c r="G338" s="41" t="s">
        <v>64</v>
      </c>
      <c r="H338" s="4" t="str">
        <f>IFERROR(_xlfn.XLOOKUP(G338,Listas!E:E,Listas!F:F,""),"")</f>
        <v>Operativo</v>
      </c>
      <c r="I338" s="46" t="str">
        <f>IFERROR(_xlfn.XLOOKUP(G338,Listas!E:E,Listas!G:G,""),"")</f>
        <v>Interno</v>
      </c>
      <c r="J338" s="43">
        <v>270000</v>
      </c>
      <c r="K338" s="5">
        <f t="shared" si="5"/>
        <v>-270000</v>
      </c>
      <c r="L338" s="15" t="s">
        <v>128</v>
      </c>
      <c r="M338" s="44">
        <f>SUMIFS('Saldos Iniciales'!$D:$D,'Saldos Iniciales'!$A:$A,C338,'Saldos Iniciales'!$B:$B,D338)+SUMIFS($K$1:$K$1324,$C$1:$C$1324,C338,$D$1:$D$1324,D338,$B$1:$B$1324,"&lt;="&amp;B338)</f>
        <v>11841.389999999985</v>
      </c>
      <c r="N338" s="61" t="str">
        <f>IF(tblMovimientos[[#This Row],[Tipo de Movimiento]]="Ingreso",tblMovimientos[[#This Row],[Monto (S/)]],"0")</f>
        <v>0</v>
      </c>
      <c r="O338" s="61">
        <f>IF(tblMovimientos[[#This Row],[Tipo de Movimiento]]="Egreso",tblMovimientos[[#This Row],[Monto (S/)]],"0")</f>
        <v>270000</v>
      </c>
      <c r="P338" s="28">
        <f>IF(tblMovimientos[[#This Row],[Tipo de Movimiento]]="Ingreso",tblMovimientos[[#This Row],[Ingreso]],-tblMovimientos[[#This Row],[Egreso]])</f>
        <v>-270000</v>
      </c>
      <c r="Q338" s="78" t="str">
        <f>_xlfn.XLOOKUP(tblMovimientos[[#This Row],[Cuenta Bancaria]],Cuentas!$C:$C,Cuentas!$A:$A,"")&amp;""</f>
        <v>SSP Group</v>
      </c>
      <c r="R338" s="78" t="str">
        <f>_xlfn.XLOOKUP(tblMovimientos[[#This Row],[Cuenta Bancaria]],Cuentas!$C:$C,Cuentas!$B:$B,"",0,-1)&amp;""</f>
        <v/>
      </c>
    </row>
    <row r="339" spans="1:18" x14ac:dyDescent="0.3">
      <c r="B339" s="39">
        <v>46188</v>
      </c>
      <c r="C339" s="4" t="str">
        <f>_xlfn.XLOOKUP(tblMovimientos[[#This Row],[Cuenta Bancaria]],Listas!$B:$B,Listas!$A:$A,"")</f>
        <v>CFT Group</v>
      </c>
      <c r="D339" s="41" t="s">
        <v>94</v>
      </c>
      <c r="E339" s="68" t="str">
        <f>_xlfn.XLOOKUP(tblMovimientos[[#This Row],[Cuenta Bancaria]],Listas!$B:$B,Listas!$C:$C,"")</f>
        <v>Bank of America</v>
      </c>
      <c r="F339" s="41" t="s">
        <v>10</v>
      </c>
      <c r="G339" s="41" t="s">
        <v>62</v>
      </c>
      <c r="H339" s="4" t="str">
        <f>IFERROR(_xlfn.XLOOKUP(G339,Listas!E:E,Listas!F:F,""),"")</f>
        <v>Operativo</v>
      </c>
      <c r="I339" s="46" t="str">
        <f>IFERROR(_xlfn.XLOOKUP(G339,Listas!E:E,Listas!G:G,""),"")</f>
        <v>Interno</v>
      </c>
      <c r="J339" s="43">
        <v>12000</v>
      </c>
      <c r="K339" s="5">
        <f t="shared" si="5"/>
        <v>-12000</v>
      </c>
      <c r="L339" s="15" t="s">
        <v>128</v>
      </c>
      <c r="M339" s="44">
        <f>SUMIFS('Saldos Iniciales'!$D:$D,'Saldos Iniciales'!$A:$A,C339,'Saldos Iniciales'!$B:$B,D339)+SUMIFS($K$1:$K$1324,$C$1:$C$1324,C339,$D$1:$D$1324,D339,$B$1:$B$1324,"&lt;="&amp;B339)</f>
        <v>11841.389999999985</v>
      </c>
      <c r="N339" s="61" t="str">
        <f>IF(tblMovimientos[[#This Row],[Tipo de Movimiento]]="Ingreso",tblMovimientos[[#This Row],[Monto (S/)]],"0")</f>
        <v>0</v>
      </c>
      <c r="O339" s="61">
        <f>IF(tblMovimientos[[#This Row],[Tipo de Movimiento]]="Egreso",tblMovimientos[[#This Row],[Monto (S/)]],"0")</f>
        <v>12000</v>
      </c>
      <c r="P339" s="28">
        <f>IF(tblMovimientos[[#This Row],[Tipo de Movimiento]]="Ingreso",tblMovimientos[[#This Row],[Ingreso]],-tblMovimientos[[#This Row],[Egreso]])</f>
        <v>-12000</v>
      </c>
      <c r="Q339" s="78" t="str">
        <f>_xlfn.XLOOKUP(tblMovimientos[[#This Row],[Cuenta Bancaria]],Cuentas!$C:$C,Cuentas!$A:$A,"")&amp;""</f>
        <v>SSP Group</v>
      </c>
      <c r="R339" s="78" t="str">
        <f>_xlfn.XLOOKUP(tblMovimientos[[#This Row],[Cuenta Bancaria]],Cuentas!$C:$C,Cuentas!$B:$B,"",0,-1)&amp;""</f>
        <v/>
      </c>
    </row>
    <row r="340" spans="1:18" x14ac:dyDescent="0.3">
      <c r="B340" s="39">
        <v>46188</v>
      </c>
      <c r="C340" s="4" t="str">
        <f>_xlfn.XLOOKUP(tblMovimientos[[#This Row],[Cuenta Bancaria]],Listas!$B:$B,Listas!$A:$A,"")</f>
        <v>CFT Group</v>
      </c>
      <c r="D340" s="41" t="s">
        <v>94</v>
      </c>
      <c r="E340" s="68" t="str">
        <f>_xlfn.XLOOKUP(tblMovimientos[[#This Row],[Cuenta Bancaria]],Listas!$B:$B,Listas!$C:$C,"")</f>
        <v>Bank of America</v>
      </c>
      <c r="F340" s="41" t="s">
        <v>10</v>
      </c>
      <c r="G340" s="41" t="s">
        <v>62</v>
      </c>
      <c r="H340" s="4" t="str">
        <f>IFERROR(_xlfn.XLOOKUP(G340,Listas!E:E,Listas!F:F,""),"")</f>
        <v>Operativo</v>
      </c>
      <c r="I340" s="46" t="str">
        <f>IFERROR(_xlfn.XLOOKUP(G340,Listas!E:E,Listas!G:G,""),"")</f>
        <v>Interno</v>
      </c>
      <c r="J340" s="43">
        <v>15000</v>
      </c>
      <c r="K340" s="5">
        <f t="shared" si="5"/>
        <v>-15000</v>
      </c>
      <c r="L340" s="15" t="s">
        <v>128</v>
      </c>
      <c r="M340" s="44">
        <f>SUMIFS('Saldos Iniciales'!$D:$D,'Saldos Iniciales'!$A:$A,C340,'Saldos Iniciales'!$B:$B,D340)+SUMIFS($K$1:$K$1324,$C$1:$C$1324,C340,$D$1:$D$1324,D340,$B$1:$B$1324,"&lt;="&amp;B340)</f>
        <v>11841.389999999985</v>
      </c>
      <c r="N340" s="61" t="str">
        <f>IF(tblMovimientos[[#This Row],[Tipo de Movimiento]]="Ingreso",tblMovimientos[[#This Row],[Monto (S/)]],"0")</f>
        <v>0</v>
      </c>
      <c r="O340" s="61">
        <f>IF(tblMovimientos[[#This Row],[Tipo de Movimiento]]="Egreso",tblMovimientos[[#This Row],[Monto (S/)]],"0")</f>
        <v>15000</v>
      </c>
      <c r="P340" s="28">
        <f>IF(tblMovimientos[[#This Row],[Tipo de Movimiento]]="Ingreso",tblMovimientos[[#This Row],[Ingreso]],-tblMovimientos[[#This Row],[Egreso]])</f>
        <v>-15000</v>
      </c>
      <c r="Q340" s="78" t="str">
        <f>_xlfn.XLOOKUP(tblMovimientos[[#This Row],[Cuenta Bancaria]],Cuentas!$C:$C,Cuentas!$A:$A,"")&amp;""</f>
        <v>SSP Group</v>
      </c>
      <c r="R340" s="78" t="str">
        <f>_xlfn.XLOOKUP(tblMovimientos[[#This Row],[Cuenta Bancaria]],Cuentas!$C:$C,Cuentas!$B:$B,"",0,-1)&amp;""</f>
        <v/>
      </c>
    </row>
    <row r="341" spans="1:18" x14ac:dyDescent="0.3">
      <c r="B341" s="39">
        <v>46188</v>
      </c>
      <c r="C341" s="4" t="str">
        <f>_xlfn.XLOOKUP(tblMovimientos[[#This Row],[Cuenta Bancaria]],Listas!$B:$B,Listas!$A:$A,"")</f>
        <v>2515 Overbrook</v>
      </c>
      <c r="D341" s="41" t="s">
        <v>121</v>
      </c>
      <c r="E341" s="68" t="str">
        <f>_xlfn.XLOOKUP(tblMovimientos[[#This Row],[Cuenta Bancaria]],Listas!$B:$B,Listas!$C:$C,"")</f>
        <v>Bank of America</v>
      </c>
      <c r="F341" s="41" t="s">
        <v>9</v>
      </c>
      <c r="G341" s="41" t="s">
        <v>81</v>
      </c>
      <c r="H341" s="4" t="str">
        <f>IFERROR(_xlfn.XLOOKUP(G341,Listas!E:E,Listas!F:F,""),"")</f>
        <v>Operativo</v>
      </c>
      <c r="I341" s="46" t="str">
        <f>IFERROR(_xlfn.XLOOKUP(G341,Listas!E:E,Listas!G:G,""),"")</f>
        <v>Externo</v>
      </c>
      <c r="J341" s="43">
        <v>2000</v>
      </c>
      <c r="K341" s="5">
        <f t="shared" si="5"/>
        <v>2000</v>
      </c>
      <c r="L341" s="15" t="s">
        <v>128</v>
      </c>
      <c r="M341" s="44">
        <f>SUMIFS('Saldos Iniciales'!$D:$D,'Saldos Iniciales'!$A:$A,C341,'Saldos Iniciales'!$B:$B,D341)+SUMIFS($K$1:$K$1324,$C$1:$C$1324,C341,$D$1:$D$1324,D341,$B$1:$B$1324,"&lt;="&amp;B341)</f>
        <v>29459.549999999963</v>
      </c>
      <c r="N341" s="61">
        <f>IF(tblMovimientos[[#This Row],[Tipo de Movimiento]]="Ingreso",tblMovimientos[[#This Row],[Monto (S/)]],"0")</f>
        <v>2000</v>
      </c>
      <c r="O341" s="61" t="str">
        <f>IF(tblMovimientos[[#This Row],[Tipo de Movimiento]]="Egreso",tblMovimientos[[#This Row],[Monto (S/)]],"0")</f>
        <v>0</v>
      </c>
      <c r="P341" s="28">
        <f>IF(tblMovimientos[[#This Row],[Tipo de Movimiento]]="Ingreso",tblMovimientos[[#This Row],[Ingreso]],-tblMovimientos[[#This Row],[Egreso]])</f>
        <v>2000</v>
      </c>
      <c r="Q341" s="78" t="str">
        <f>_xlfn.XLOOKUP(tblMovimientos[[#This Row],[Cuenta Bancaria]],Cuentas!$C:$C,Cuentas!$A:$A,"")&amp;""</f>
        <v>SSP Group</v>
      </c>
      <c r="R341" s="78" t="str">
        <f>_xlfn.XLOOKUP(tblMovimientos[[#This Row],[Cuenta Bancaria]],Cuentas!$C:$C,Cuentas!$B:$B,"",0,-1)&amp;""</f>
        <v/>
      </c>
    </row>
    <row r="342" spans="1:18" x14ac:dyDescent="0.3">
      <c r="B342" s="39">
        <v>46188</v>
      </c>
      <c r="C342" s="4" t="str">
        <f>_xlfn.XLOOKUP(tblMovimientos[[#This Row],[Cuenta Bancaria]],Listas!$B:$B,Listas!$A:$A,"")</f>
        <v>3628 Thomas Ave</v>
      </c>
      <c r="D342" s="41" t="s">
        <v>124</v>
      </c>
      <c r="E342" s="68" t="str">
        <f>_xlfn.XLOOKUP(tblMovimientos[[#This Row],[Cuenta Bancaria]],Listas!$B:$B,Listas!$C:$C,"")</f>
        <v>Bank of America</v>
      </c>
      <c r="F342" s="41" t="s">
        <v>10</v>
      </c>
      <c r="G342" s="41" t="s">
        <v>38</v>
      </c>
      <c r="H342" s="4" t="str">
        <f>IFERROR(_xlfn.XLOOKUP(G342,Listas!E:E,Listas!F:F,""),"")</f>
        <v>Operativo</v>
      </c>
      <c r="I342" s="46" t="str">
        <f>IFERROR(_xlfn.XLOOKUP(G342,Listas!E:E,Listas!G:G,""),"")</f>
        <v>Externo</v>
      </c>
      <c r="J342" s="43">
        <v>4000</v>
      </c>
      <c r="K342" s="5">
        <f t="shared" si="5"/>
        <v>-4000</v>
      </c>
      <c r="L342" s="15" t="s">
        <v>128</v>
      </c>
      <c r="M342" s="44">
        <f>SUMIFS('Saldos Iniciales'!$D:$D,'Saldos Iniciales'!$A:$A,C342,'Saldos Iniciales'!$B:$B,D342)+SUMIFS($K$1:$K$1324,$C$1:$C$1324,C342,$D$1:$D$1324,D342,$B$1:$B$1324,"&lt;="&amp;B342)</f>
        <v>20484.849999999999</v>
      </c>
      <c r="N342" s="61" t="str">
        <f>IF(tblMovimientos[[#This Row],[Tipo de Movimiento]]="Ingreso",tblMovimientos[[#This Row],[Monto (S/)]],"0")</f>
        <v>0</v>
      </c>
      <c r="O342" s="61">
        <f>IF(tblMovimientos[[#This Row],[Tipo de Movimiento]]="Egreso",tblMovimientos[[#This Row],[Monto (S/)]],"0")</f>
        <v>4000</v>
      </c>
      <c r="P342" s="28">
        <f>IF(tblMovimientos[[#This Row],[Tipo de Movimiento]]="Ingreso",tblMovimientos[[#This Row],[Ingreso]],-tblMovimientos[[#This Row],[Egreso]])</f>
        <v>-4000</v>
      </c>
      <c r="Q342" s="78" t="str">
        <f>_xlfn.XLOOKUP(tblMovimientos[[#This Row],[Cuenta Bancaria]],Cuentas!$C:$C,Cuentas!$A:$A,"")&amp;""</f>
        <v>SSP Group</v>
      </c>
      <c r="R342" s="78" t="str">
        <f>_xlfn.XLOOKUP(tblMovimientos[[#This Row],[Cuenta Bancaria]],Cuentas!$C:$C,Cuentas!$B:$B,"",0,-1)&amp;""</f>
        <v/>
      </c>
    </row>
    <row r="343" spans="1:18" x14ac:dyDescent="0.3">
      <c r="B343" s="39">
        <v>46188</v>
      </c>
      <c r="C343" s="4" t="str">
        <f>_xlfn.XLOOKUP(tblMovimientos[[#This Row],[Cuenta Bancaria]],Listas!$B:$B,Listas!$A:$A,"")</f>
        <v>SSP Capital</v>
      </c>
      <c r="D343" s="41" t="s">
        <v>106</v>
      </c>
      <c r="E343" s="68" t="str">
        <f>_xlfn.XLOOKUP(tblMovimientos[[#This Row],[Cuenta Bancaria]],Listas!$B:$B,Listas!$C:$C,"")</f>
        <v>Amerant Bank Money Market</v>
      </c>
      <c r="F343" s="41" t="s">
        <v>9</v>
      </c>
      <c r="G343" s="41" t="s">
        <v>85</v>
      </c>
      <c r="H343" s="4" t="str">
        <f>IFERROR(_xlfn.XLOOKUP(G343,Listas!E:E,Listas!F:F,""),"")</f>
        <v>Operativo</v>
      </c>
      <c r="I343" s="46" t="str">
        <f>IFERROR(_xlfn.XLOOKUP(G343,Listas!E:E,Listas!G:G,""),"")</f>
        <v>Interno</v>
      </c>
      <c r="J343" s="43">
        <v>54600</v>
      </c>
      <c r="K343" s="5">
        <f t="shared" si="5"/>
        <v>54600</v>
      </c>
      <c r="L343" s="15" t="s">
        <v>128</v>
      </c>
      <c r="M343" s="44">
        <f>SUMIFS('Saldos Iniciales'!$D:$D,'Saldos Iniciales'!$A:$A,C343,'Saldos Iniciales'!$B:$B,D343)+SUMIFS($K$1:$K$1324,$C$1:$C$1324,C343,$D$1:$D$1324,D343,$B$1:$B$1324,"&lt;="&amp;B343)</f>
        <v>804412.95</v>
      </c>
      <c r="N343" s="61">
        <f>IF(tblMovimientos[[#This Row],[Tipo de Movimiento]]="Ingreso",tblMovimientos[[#This Row],[Monto (S/)]],"0")</f>
        <v>54600</v>
      </c>
      <c r="O343" s="61" t="str">
        <f>IF(tblMovimientos[[#This Row],[Tipo de Movimiento]]="Egreso",tblMovimientos[[#This Row],[Monto (S/)]],"0")</f>
        <v>0</v>
      </c>
      <c r="P343" s="28">
        <f>IF(tblMovimientos[[#This Row],[Tipo de Movimiento]]="Ingreso",tblMovimientos[[#This Row],[Ingreso]],-tblMovimientos[[#This Row],[Egreso]])</f>
        <v>54600</v>
      </c>
      <c r="Q343" s="78" t="str">
        <f>_xlfn.XLOOKUP(tblMovimientos[[#This Row],[Cuenta Bancaria]],Cuentas!$C:$C,Cuentas!$A:$A,"")&amp;""</f>
        <v>SSP Group</v>
      </c>
      <c r="R343" s="78" t="str">
        <f>_xlfn.XLOOKUP(tblMovimientos[[#This Row],[Cuenta Bancaria]],Cuentas!$C:$C,Cuentas!$B:$B,"",0,-1)&amp;""</f>
        <v/>
      </c>
    </row>
    <row r="344" spans="1:18" x14ac:dyDescent="0.3">
      <c r="A344" s="45"/>
      <c r="B344" s="39">
        <v>46189</v>
      </c>
      <c r="C344" s="4" t="str">
        <f>_xlfn.XLOOKUP(tblMovimientos[[#This Row],[Cuenta Bancaria]],Listas!$B:$B,Listas!$A:$A,"")</f>
        <v>Go Blue</v>
      </c>
      <c r="D344" s="41" t="s">
        <v>126</v>
      </c>
      <c r="E344" s="68" t="str">
        <f>_xlfn.XLOOKUP(tblMovimientos[[#This Row],[Cuenta Bancaria]],Listas!$B:$B,Listas!$C:$C,"")</f>
        <v xml:space="preserve">Amerant Bank </v>
      </c>
      <c r="F344" s="41" t="s">
        <v>10</v>
      </c>
      <c r="G344" s="41" t="s">
        <v>38</v>
      </c>
      <c r="H344" s="46" t="str">
        <f>IFERROR(_xlfn.XLOOKUP(G344,Listas!E:E,Listas!F:F,""),"")</f>
        <v>Operativo</v>
      </c>
      <c r="I344" s="46" t="str">
        <f>IFERROR(_xlfn.XLOOKUP(G344,Listas!E:E,Listas!G:G,""),"")</f>
        <v>Externo</v>
      </c>
      <c r="J344" s="43">
        <v>522</v>
      </c>
      <c r="K344" s="5">
        <f t="shared" si="5"/>
        <v>-522</v>
      </c>
      <c r="L344" s="15" t="s">
        <v>128</v>
      </c>
      <c r="M344" s="44">
        <f>SUMIFS('Saldos Iniciales'!$D:$D,'Saldos Iniciales'!$A:$A,C344,'Saldos Iniciales'!$B:$B,D344)+SUMIFS($K$1:$K$1324,$C$1:$C$1324,C344,$D$1:$D$1324,D344,$B$1:$B$1324,"&lt;="&amp;B344)</f>
        <v>46041.01</v>
      </c>
      <c r="N344" s="61" t="str">
        <f>IF(tblMovimientos[[#This Row],[Tipo de Movimiento]]="Ingreso",tblMovimientos[[#This Row],[Monto (S/)]],"0")</f>
        <v>0</v>
      </c>
      <c r="O344" s="61">
        <f>IF(tblMovimientos[[#This Row],[Tipo de Movimiento]]="Egreso",tblMovimientos[[#This Row],[Monto (S/)]],"0")</f>
        <v>522</v>
      </c>
      <c r="P344" s="28">
        <f>IF(tblMovimientos[[#This Row],[Tipo de Movimiento]]="Ingreso",tblMovimientos[[#This Row],[Ingreso]],-tblMovimientos[[#This Row],[Egreso]])</f>
        <v>-522</v>
      </c>
      <c r="Q344" s="78" t="str">
        <f>_xlfn.XLOOKUP(tblMovimientos[[#This Row],[Cuenta Bancaria]],Cuentas!$C:$C,Cuentas!$A:$A,"")&amp;""</f>
        <v>SSP Group</v>
      </c>
      <c r="R344" s="78" t="str">
        <f>_xlfn.XLOOKUP(tblMovimientos[[#This Row],[Cuenta Bancaria]],Cuentas!$C:$C,Cuentas!$B:$B,"",0,-1)&amp;""</f>
        <v/>
      </c>
    </row>
    <row r="345" spans="1:18" x14ac:dyDescent="0.3">
      <c r="B345" s="39">
        <v>46189</v>
      </c>
      <c r="C345" s="4" t="str">
        <f>_xlfn.XLOOKUP(tblMovimientos[[#This Row],[Cuenta Bancaria]],Listas!$B:$B,Listas!$A:$A,"")</f>
        <v>Go Blue</v>
      </c>
      <c r="D345" s="41" t="s">
        <v>126</v>
      </c>
      <c r="E345" s="68" t="str">
        <f>_xlfn.XLOOKUP(tblMovimientos[[#This Row],[Cuenta Bancaria]],Listas!$B:$B,Listas!$C:$C,"")</f>
        <v xml:space="preserve">Amerant Bank </v>
      </c>
      <c r="F345" s="41" t="s">
        <v>10</v>
      </c>
      <c r="G345" s="41" t="s">
        <v>38</v>
      </c>
      <c r="H345" s="4" t="str">
        <f>IFERROR(_xlfn.XLOOKUP(G345,Listas!E:E,Listas!F:F,""),"")</f>
        <v>Operativo</v>
      </c>
      <c r="I345" s="46" t="str">
        <f>IFERROR(_xlfn.XLOOKUP(G345,Listas!E:E,Listas!G:G,""),"")</f>
        <v>Externo</v>
      </c>
      <c r="J345" s="43">
        <v>2161.7199999999998</v>
      </c>
      <c r="K345" s="5">
        <f t="shared" si="5"/>
        <v>-2161.7199999999998</v>
      </c>
      <c r="L345" s="15" t="s">
        <v>128</v>
      </c>
      <c r="M345" s="44">
        <f>SUMIFS('Saldos Iniciales'!$D:$D,'Saldos Iniciales'!$A:$A,C345,'Saldos Iniciales'!$B:$B,D345)+SUMIFS($K$1:$K$1324,$C$1:$C$1324,C345,$D$1:$D$1324,D345,$B$1:$B$1324,"&lt;="&amp;B345)</f>
        <v>46041.01</v>
      </c>
      <c r="N345" s="61" t="str">
        <f>IF(tblMovimientos[[#This Row],[Tipo de Movimiento]]="Ingreso",tblMovimientos[[#This Row],[Monto (S/)]],"0")</f>
        <v>0</v>
      </c>
      <c r="O345" s="61">
        <f>IF(tblMovimientos[[#This Row],[Tipo de Movimiento]]="Egreso",tblMovimientos[[#This Row],[Monto (S/)]],"0")</f>
        <v>2161.7199999999998</v>
      </c>
      <c r="P345" s="28">
        <f>IF(tblMovimientos[[#This Row],[Tipo de Movimiento]]="Ingreso",tblMovimientos[[#This Row],[Ingreso]],-tblMovimientos[[#This Row],[Egreso]])</f>
        <v>-2161.7199999999998</v>
      </c>
      <c r="Q345" s="78" t="str">
        <f>_xlfn.XLOOKUP(tblMovimientos[[#This Row],[Cuenta Bancaria]],Cuentas!$C:$C,Cuentas!$A:$A,"")&amp;""</f>
        <v>SSP Group</v>
      </c>
      <c r="R345" s="78" t="str">
        <f>_xlfn.XLOOKUP(tblMovimientos[[#This Row],[Cuenta Bancaria]],Cuentas!$C:$C,Cuentas!$B:$B,"",0,-1)&amp;""</f>
        <v/>
      </c>
    </row>
    <row r="346" spans="1:18" x14ac:dyDescent="0.3">
      <c r="B346" s="39">
        <v>46189</v>
      </c>
      <c r="C346" s="4" t="str">
        <f>_xlfn.XLOOKUP(tblMovimientos[[#This Row],[Cuenta Bancaria]],Listas!$B:$B,Listas!$A:$A,"")</f>
        <v>SSP Capital</v>
      </c>
      <c r="D346" s="41" t="s">
        <v>101</v>
      </c>
      <c r="E346" s="68" t="str">
        <f>_xlfn.XLOOKUP(tblMovimientos[[#This Row],[Cuenta Bancaria]],Listas!$B:$B,Listas!$C:$C,"")</f>
        <v>Bank of America</v>
      </c>
      <c r="F346" s="41" t="s">
        <v>10</v>
      </c>
      <c r="G346" s="41" t="s">
        <v>38</v>
      </c>
      <c r="H346" s="4" t="str">
        <f>IFERROR(_xlfn.XLOOKUP(G346,Listas!E:E,Listas!F:F,""),"")</f>
        <v>Operativo</v>
      </c>
      <c r="I346" s="46" t="str">
        <f>IFERROR(_xlfn.XLOOKUP(G346,Listas!E:E,Listas!G:G,""),"")</f>
        <v>Externo</v>
      </c>
      <c r="J346" s="43">
        <v>2490.36</v>
      </c>
      <c r="K346" s="5">
        <f t="shared" si="5"/>
        <v>-2490.36</v>
      </c>
      <c r="L346" s="15" t="s">
        <v>128</v>
      </c>
      <c r="M346" s="44">
        <f>SUMIFS('Saldos Iniciales'!$D:$D,'Saldos Iniciales'!$A:$A,C346,'Saldos Iniciales'!$B:$B,D346)+SUMIFS($K$1:$K$1324,$C$1:$C$1324,C346,$D$1:$D$1324,D346,$B$1:$B$1324,"&lt;="&amp;B346)</f>
        <v>12471.52</v>
      </c>
      <c r="N346" s="61" t="str">
        <f>IF(tblMovimientos[[#This Row],[Tipo de Movimiento]]="Ingreso",tblMovimientos[[#This Row],[Monto (S/)]],"0")</f>
        <v>0</v>
      </c>
      <c r="O346" s="61">
        <f>IF(tblMovimientos[[#This Row],[Tipo de Movimiento]]="Egreso",tblMovimientos[[#This Row],[Monto (S/)]],"0")</f>
        <v>2490.36</v>
      </c>
      <c r="P346" s="28">
        <f>IF(tblMovimientos[[#This Row],[Tipo de Movimiento]]="Ingreso",tblMovimientos[[#This Row],[Ingreso]],-tblMovimientos[[#This Row],[Egreso]])</f>
        <v>-2490.36</v>
      </c>
      <c r="Q346" s="78" t="str">
        <f>_xlfn.XLOOKUP(tblMovimientos[[#This Row],[Cuenta Bancaria]],Cuentas!$C:$C,Cuentas!$A:$A,"")&amp;""</f>
        <v>SSP Group</v>
      </c>
      <c r="R346" s="78" t="str">
        <f>_xlfn.XLOOKUP(tblMovimientos[[#This Row],[Cuenta Bancaria]],Cuentas!$C:$C,Cuentas!$B:$B,"",0,-1)&amp;""</f>
        <v/>
      </c>
    </row>
    <row r="347" spans="1:18" x14ac:dyDescent="0.3">
      <c r="B347" s="39">
        <v>46189</v>
      </c>
      <c r="C347" s="4" t="str">
        <f>_xlfn.XLOOKUP(tblMovimientos[[#This Row],[Cuenta Bancaria]],Listas!$B:$B,Listas!$A:$A,"")</f>
        <v>CFT Group</v>
      </c>
      <c r="D347" s="41" t="s">
        <v>94</v>
      </c>
      <c r="E347" s="68" t="str">
        <f>_xlfn.XLOOKUP(tblMovimientos[[#This Row],[Cuenta Bancaria]],Listas!$B:$B,Listas!$C:$C,"")</f>
        <v>Bank of America</v>
      </c>
      <c r="F347" s="41" t="s">
        <v>9</v>
      </c>
      <c r="G347" s="41" t="s">
        <v>72</v>
      </c>
      <c r="H347" s="4" t="str">
        <f>IFERROR(_xlfn.XLOOKUP(G347,Listas!E:E,Listas!F:F,""),"")</f>
        <v>Operativo</v>
      </c>
      <c r="I347" s="46" t="str">
        <f>IFERROR(_xlfn.XLOOKUP(G347,Listas!E:E,Listas!G:G,""),"")</f>
        <v>Externo</v>
      </c>
      <c r="J347" s="43">
        <v>100392.81</v>
      </c>
      <c r="K347" s="5">
        <f t="shared" si="5"/>
        <v>100392.81</v>
      </c>
      <c r="L347" s="15" t="s">
        <v>128</v>
      </c>
      <c r="M347" s="44">
        <f>SUMIFS('Saldos Iniciales'!$D:$D,'Saldos Iniciales'!$A:$A,C347,'Saldos Iniciales'!$B:$B,D347)+SUMIFS($K$1:$K$1324,$C$1:$C$1324,C347,$D$1:$D$1324,D347,$B$1:$B$1324,"&lt;="&amp;B347)</f>
        <v>112224.19999999998</v>
      </c>
      <c r="N347" s="61">
        <f>IF(tblMovimientos[[#This Row],[Tipo de Movimiento]]="Ingreso",tblMovimientos[[#This Row],[Monto (S/)]],"0")</f>
        <v>100392.81</v>
      </c>
      <c r="O347" s="61" t="str">
        <f>IF(tblMovimientos[[#This Row],[Tipo de Movimiento]]="Egreso",tblMovimientos[[#This Row],[Monto (S/)]],"0")</f>
        <v>0</v>
      </c>
      <c r="P347" s="28">
        <f>IF(tblMovimientos[[#This Row],[Tipo de Movimiento]]="Ingreso",tblMovimientos[[#This Row],[Ingreso]],-tblMovimientos[[#This Row],[Egreso]])</f>
        <v>100392.81</v>
      </c>
      <c r="Q347" s="78" t="str">
        <f>_xlfn.XLOOKUP(tblMovimientos[[#This Row],[Cuenta Bancaria]],Cuentas!$C:$C,Cuentas!$A:$A,"")&amp;""</f>
        <v>SSP Group</v>
      </c>
      <c r="R347" s="78" t="str">
        <f>_xlfn.XLOOKUP(tblMovimientos[[#This Row],[Cuenta Bancaria]],Cuentas!$C:$C,Cuentas!$B:$B,"",0,-1)&amp;""</f>
        <v/>
      </c>
    </row>
    <row r="348" spans="1:18" x14ac:dyDescent="0.3">
      <c r="B348" s="39">
        <v>46189</v>
      </c>
      <c r="C348" s="4" t="str">
        <f>_xlfn.XLOOKUP(tblMovimientos[[#This Row],[Cuenta Bancaria]],Listas!$B:$B,Listas!$A:$A,"")</f>
        <v>CFT Group</v>
      </c>
      <c r="D348" s="41" t="s">
        <v>94</v>
      </c>
      <c r="E348" s="68" t="str">
        <f>_xlfn.XLOOKUP(tblMovimientos[[#This Row],[Cuenta Bancaria]],Listas!$B:$B,Listas!$C:$C,"")</f>
        <v>Bank of America</v>
      </c>
      <c r="F348" s="41" t="s">
        <v>10</v>
      </c>
      <c r="G348" s="41" t="s">
        <v>44</v>
      </c>
      <c r="H348" s="4" t="str">
        <f>IFERROR(_xlfn.XLOOKUP(G348,Listas!E:E,Listas!F:F,""),"")</f>
        <v>Operativo</v>
      </c>
      <c r="I348" s="46" t="str">
        <f>IFERROR(_xlfn.XLOOKUP(G348,Listas!E:E,Listas!G:G,""),"")</f>
        <v>Externo</v>
      </c>
      <c r="J348" s="43">
        <v>5</v>
      </c>
      <c r="K348" s="5">
        <f t="shared" si="5"/>
        <v>-5</v>
      </c>
      <c r="L348" s="15" t="s">
        <v>128</v>
      </c>
      <c r="M348" s="44">
        <f>SUMIFS('Saldos Iniciales'!$D:$D,'Saldos Iniciales'!$A:$A,C348,'Saldos Iniciales'!$B:$B,D348)+SUMIFS($K$1:$K$1324,$C$1:$C$1324,C348,$D$1:$D$1324,D348,$B$1:$B$1324,"&lt;="&amp;B348)</f>
        <v>112224.19999999998</v>
      </c>
      <c r="N348" s="61" t="str">
        <f>IF(tblMovimientos[[#This Row],[Tipo de Movimiento]]="Ingreso",tblMovimientos[[#This Row],[Monto (S/)]],"0")</f>
        <v>0</v>
      </c>
      <c r="O348" s="61">
        <f>IF(tblMovimientos[[#This Row],[Tipo de Movimiento]]="Egreso",tblMovimientos[[#This Row],[Monto (S/)]],"0")</f>
        <v>5</v>
      </c>
      <c r="P348" s="28">
        <f>IF(tblMovimientos[[#This Row],[Tipo de Movimiento]]="Ingreso",tblMovimientos[[#This Row],[Ingreso]],-tblMovimientos[[#This Row],[Egreso]])</f>
        <v>-5</v>
      </c>
      <c r="Q348" s="78" t="str">
        <f>_xlfn.XLOOKUP(tblMovimientos[[#This Row],[Cuenta Bancaria]],Cuentas!$C:$C,Cuentas!$A:$A,"")&amp;""</f>
        <v>SSP Group</v>
      </c>
      <c r="R348" s="78" t="str">
        <f>_xlfn.XLOOKUP(tblMovimientos[[#This Row],[Cuenta Bancaria]],Cuentas!$C:$C,Cuentas!$B:$B,"",0,-1)&amp;""</f>
        <v/>
      </c>
    </row>
    <row r="349" spans="1:18" x14ac:dyDescent="0.3">
      <c r="B349" s="39">
        <v>46189</v>
      </c>
      <c r="C349" s="4" t="str">
        <f>_xlfn.XLOOKUP(tblMovimientos[[#This Row],[Cuenta Bancaria]],Listas!$B:$B,Listas!$A:$A,"")</f>
        <v>CFT Group</v>
      </c>
      <c r="D349" s="41" t="s">
        <v>94</v>
      </c>
      <c r="E349" s="68" t="str">
        <f>_xlfn.XLOOKUP(tblMovimientos[[#This Row],[Cuenta Bancaria]],Listas!$B:$B,Listas!$C:$C,"")</f>
        <v>Bank of America</v>
      </c>
      <c r="F349" s="41" t="s">
        <v>10</v>
      </c>
      <c r="G349" s="41" t="s">
        <v>44</v>
      </c>
      <c r="H349" s="4" t="str">
        <f>IFERROR(_xlfn.XLOOKUP(G349,Listas!E:E,Listas!F:F,""),"")</f>
        <v>Operativo</v>
      </c>
      <c r="I349" s="46" t="str">
        <f>IFERROR(_xlfn.XLOOKUP(G349,Listas!E:E,Listas!G:G,""),"")</f>
        <v>Externo</v>
      </c>
      <c r="J349" s="43">
        <v>5</v>
      </c>
      <c r="K349" s="5">
        <f t="shared" si="5"/>
        <v>-5</v>
      </c>
      <c r="L349" s="15" t="s">
        <v>128</v>
      </c>
      <c r="M349" s="44">
        <f>SUMIFS('Saldos Iniciales'!$D:$D,'Saldos Iniciales'!$A:$A,C349,'Saldos Iniciales'!$B:$B,D349)+SUMIFS($K$1:$K$1324,$C$1:$C$1324,C349,$D$1:$D$1324,D349,$B$1:$B$1324,"&lt;="&amp;B349)</f>
        <v>112224.19999999998</v>
      </c>
      <c r="N349" s="61" t="str">
        <f>IF(tblMovimientos[[#This Row],[Tipo de Movimiento]]="Ingreso",tblMovimientos[[#This Row],[Monto (S/)]],"0")</f>
        <v>0</v>
      </c>
      <c r="O349" s="61">
        <f>IF(tblMovimientos[[#This Row],[Tipo de Movimiento]]="Egreso",tblMovimientos[[#This Row],[Monto (S/)]],"0")</f>
        <v>5</v>
      </c>
      <c r="P349" s="28">
        <f>IF(tblMovimientos[[#This Row],[Tipo de Movimiento]]="Ingreso",tblMovimientos[[#This Row],[Ingreso]],-tblMovimientos[[#This Row],[Egreso]])</f>
        <v>-5</v>
      </c>
      <c r="Q349" s="78" t="str">
        <f>_xlfn.XLOOKUP(tblMovimientos[[#This Row],[Cuenta Bancaria]],Cuentas!$C:$C,Cuentas!$A:$A,"")&amp;""</f>
        <v>SSP Group</v>
      </c>
      <c r="R349" s="78" t="str">
        <f>_xlfn.XLOOKUP(tblMovimientos[[#This Row],[Cuenta Bancaria]],Cuentas!$C:$C,Cuentas!$B:$B,"",0,-1)&amp;""</f>
        <v/>
      </c>
    </row>
    <row r="350" spans="1:18" x14ac:dyDescent="0.3">
      <c r="A350" s="45"/>
      <c r="B350" s="39">
        <v>46189</v>
      </c>
      <c r="C350" s="4" t="str">
        <f>_xlfn.XLOOKUP(tblMovimientos[[#This Row],[Cuenta Bancaria]],Listas!$B:$B,Listas!$A:$A,"")</f>
        <v>112 Florida Ave</v>
      </c>
      <c r="D350" s="41" t="s">
        <v>123</v>
      </c>
      <c r="E350" s="68" t="str">
        <f>_xlfn.XLOOKUP(tblMovimientos[[#This Row],[Cuenta Bancaria]],Listas!$B:$B,Listas!$C:$C,"")</f>
        <v>Bank of America</v>
      </c>
      <c r="F350" s="41" t="s">
        <v>9</v>
      </c>
      <c r="G350" s="41" t="s">
        <v>75</v>
      </c>
      <c r="H350" s="46" t="str">
        <f>IFERROR(_xlfn.XLOOKUP(G350,Listas!E:E,Listas!F:F,""),"")</f>
        <v>Financiamiento</v>
      </c>
      <c r="I350" s="46" t="str">
        <f>IFERROR(_xlfn.XLOOKUP(G350,Listas!E:E,Listas!G:G,""),"")</f>
        <v>Interno</v>
      </c>
      <c r="J350" s="43">
        <v>15000</v>
      </c>
      <c r="K350" s="5">
        <f t="shared" si="5"/>
        <v>15000</v>
      </c>
      <c r="L350" s="15" t="s">
        <v>128</v>
      </c>
      <c r="M350" s="44">
        <f>SUMIFS('Saldos Iniciales'!$D:$D,'Saldos Iniciales'!$A:$A,C350,'Saldos Iniciales'!$B:$B,D350)+SUMIFS($K$1:$K$1324,$C$1:$C$1324,C350,$D$1:$D$1324,D350,$B$1:$B$1324,"&lt;="&amp;B350)</f>
        <v>20321.43</v>
      </c>
      <c r="N350" s="61">
        <f>IF(tblMovimientos[[#This Row],[Tipo de Movimiento]]="Ingreso",tblMovimientos[[#This Row],[Monto (S/)]],"0")</f>
        <v>15000</v>
      </c>
      <c r="O350" s="61" t="str">
        <f>IF(tblMovimientos[[#This Row],[Tipo de Movimiento]]="Egreso",tblMovimientos[[#This Row],[Monto (S/)]],"0")</f>
        <v>0</v>
      </c>
      <c r="P350" s="28">
        <f>IF(tblMovimientos[[#This Row],[Tipo de Movimiento]]="Ingreso",tblMovimientos[[#This Row],[Ingreso]],-tblMovimientos[[#This Row],[Egreso]])</f>
        <v>15000</v>
      </c>
      <c r="Q350" s="78" t="str">
        <f>_xlfn.XLOOKUP(tblMovimientos[[#This Row],[Cuenta Bancaria]],Cuentas!$C:$C,Cuentas!$A:$A,"")&amp;""</f>
        <v>SSP Group</v>
      </c>
      <c r="R350" s="78" t="str">
        <f>_xlfn.XLOOKUP(tblMovimientos[[#This Row],[Cuenta Bancaria]],Cuentas!$C:$C,Cuentas!$B:$B,"",0,-1)&amp;""</f>
        <v/>
      </c>
    </row>
    <row r="351" spans="1:18" x14ac:dyDescent="0.3">
      <c r="B351" s="39">
        <v>46189</v>
      </c>
      <c r="C351" s="4" t="str">
        <f>_xlfn.XLOOKUP(tblMovimientos[[#This Row],[Cuenta Bancaria]],Listas!$B:$B,Listas!$A:$A,"")</f>
        <v>3628 Thomas Ave</v>
      </c>
      <c r="D351" s="41" t="s">
        <v>124</v>
      </c>
      <c r="E351" s="68" t="str">
        <f>_xlfn.XLOOKUP(tblMovimientos[[#This Row],[Cuenta Bancaria]],Listas!$B:$B,Listas!$C:$C,"")</f>
        <v>Bank of America</v>
      </c>
      <c r="F351" s="41" t="s">
        <v>10</v>
      </c>
      <c r="G351" s="41" t="s">
        <v>38</v>
      </c>
      <c r="H351" s="4" t="str">
        <f>IFERROR(_xlfn.XLOOKUP(G351,Listas!E:E,Listas!F:F,""),"")</f>
        <v>Operativo</v>
      </c>
      <c r="I351" s="46" t="str">
        <f>IFERROR(_xlfn.XLOOKUP(G351,Listas!E:E,Listas!G:G,""),"")</f>
        <v>Externo</v>
      </c>
      <c r="J351" s="43">
        <v>173.5</v>
      </c>
      <c r="K351" s="5">
        <f t="shared" si="5"/>
        <v>-173.5</v>
      </c>
      <c r="L351" s="15" t="s">
        <v>128</v>
      </c>
      <c r="M351" s="44">
        <f>SUMIFS('Saldos Iniciales'!$D:$D,'Saldos Iniciales'!$A:$A,C351,'Saldos Iniciales'!$B:$B,D351)+SUMIFS($K$1:$K$1324,$C$1:$C$1324,C351,$D$1:$D$1324,D351,$B$1:$B$1324,"&lt;="&amp;B351)</f>
        <v>19811.349999999999</v>
      </c>
      <c r="N351" s="61" t="str">
        <f>IF(tblMovimientos[[#This Row],[Tipo de Movimiento]]="Ingreso",tblMovimientos[[#This Row],[Monto (S/)]],"0")</f>
        <v>0</v>
      </c>
      <c r="O351" s="61">
        <f>IF(tblMovimientos[[#This Row],[Tipo de Movimiento]]="Egreso",tblMovimientos[[#This Row],[Monto (S/)]],"0")</f>
        <v>173.5</v>
      </c>
      <c r="P351" s="28">
        <f>IF(tblMovimientos[[#This Row],[Tipo de Movimiento]]="Ingreso",tblMovimientos[[#This Row],[Ingreso]],-tblMovimientos[[#This Row],[Egreso]])</f>
        <v>-173.5</v>
      </c>
      <c r="Q351" s="78" t="str">
        <f>_xlfn.XLOOKUP(tblMovimientos[[#This Row],[Cuenta Bancaria]],Cuentas!$C:$C,Cuentas!$A:$A,"")&amp;""</f>
        <v>SSP Group</v>
      </c>
      <c r="R351" s="78" t="str">
        <f>_xlfn.XLOOKUP(tblMovimientos[[#This Row],[Cuenta Bancaria]],Cuentas!$C:$C,Cuentas!$B:$B,"",0,-1)&amp;""</f>
        <v/>
      </c>
    </row>
    <row r="352" spans="1:18" x14ac:dyDescent="0.3">
      <c r="A352" s="45"/>
      <c r="B352" s="39">
        <v>46189</v>
      </c>
      <c r="C352" s="4" t="str">
        <f>_xlfn.XLOOKUP(tblMovimientos[[#This Row],[Cuenta Bancaria]],Listas!$B:$B,Listas!$A:$A,"")</f>
        <v>3628 Thomas Ave</v>
      </c>
      <c r="D352" s="41" t="s">
        <v>124</v>
      </c>
      <c r="E352" s="68" t="str">
        <f>_xlfn.XLOOKUP(tblMovimientos[[#This Row],[Cuenta Bancaria]],Listas!$B:$B,Listas!$C:$C,"")</f>
        <v>Bank of America</v>
      </c>
      <c r="F352" s="41" t="s">
        <v>10</v>
      </c>
      <c r="G352" s="41" t="s">
        <v>38</v>
      </c>
      <c r="H352" s="46" t="str">
        <f>IFERROR(_xlfn.XLOOKUP(G352,Listas!E:E,Listas!F:F,""),"")</f>
        <v>Operativo</v>
      </c>
      <c r="I352" s="46" t="str">
        <f>IFERROR(_xlfn.XLOOKUP(G352,Listas!E:E,Listas!G:G,""),"")</f>
        <v>Externo</v>
      </c>
      <c r="J352" s="43">
        <v>220</v>
      </c>
      <c r="K352" s="5">
        <f t="shared" si="5"/>
        <v>-220</v>
      </c>
      <c r="L352" s="15" t="s">
        <v>128</v>
      </c>
      <c r="M352" s="44">
        <f>SUMIFS('Saldos Iniciales'!$D:$D,'Saldos Iniciales'!$A:$A,C352,'Saldos Iniciales'!$B:$B,D352)+SUMIFS($K$1:$K$1324,$C$1:$C$1324,C352,$D$1:$D$1324,D352,$B$1:$B$1324,"&lt;="&amp;B352)</f>
        <v>19811.349999999999</v>
      </c>
      <c r="N352" s="61" t="str">
        <f>IF(tblMovimientos[[#This Row],[Tipo de Movimiento]]="Ingreso",tblMovimientos[[#This Row],[Monto (S/)]],"0")</f>
        <v>0</v>
      </c>
      <c r="O352" s="61">
        <f>IF(tblMovimientos[[#This Row],[Tipo de Movimiento]]="Egreso",tblMovimientos[[#This Row],[Monto (S/)]],"0")</f>
        <v>220</v>
      </c>
      <c r="P352" s="28">
        <f>IF(tblMovimientos[[#This Row],[Tipo de Movimiento]]="Ingreso",tblMovimientos[[#This Row],[Ingreso]],-tblMovimientos[[#This Row],[Egreso]])</f>
        <v>-220</v>
      </c>
      <c r="Q352" s="78" t="str">
        <f>_xlfn.XLOOKUP(tblMovimientos[[#This Row],[Cuenta Bancaria]],Cuentas!$C:$C,Cuentas!$A:$A,"")&amp;""</f>
        <v>SSP Group</v>
      </c>
      <c r="R352" s="78" t="str">
        <f>_xlfn.XLOOKUP(tblMovimientos[[#This Row],[Cuenta Bancaria]],Cuentas!$C:$C,Cuentas!$B:$B,"",0,-1)&amp;""</f>
        <v/>
      </c>
    </row>
    <row r="353" spans="1:18" x14ac:dyDescent="0.3">
      <c r="B353" s="39">
        <v>46189</v>
      </c>
      <c r="C353" s="4" t="str">
        <f>_xlfn.XLOOKUP(tblMovimientos[[#This Row],[Cuenta Bancaria]],Listas!$B:$B,Listas!$A:$A,"")</f>
        <v>3628 Thomas Ave</v>
      </c>
      <c r="D353" s="41" t="s">
        <v>124</v>
      </c>
      <c r="E353" s="68" t="str">
        <f>_xlfn.XLOOKUP(tblMovimientos[[#This Row],[Cuenta Bancaria]],Listas!$B:$B,Listas!$C:$C,"")</f>
        <v>Bank of America</v>
      </c>
      <c r="F353" s="41" t="s">
        <v>10</v>
      </c>
      <c r="G353" s="41" t="s">
        <v>38</v>
      </c>
      <c r="H353" s="4" t="str">
        <f>IFERROR(_xlfn.XLOOKUP(G353,Listas!E:E,Listas!F:F,""),"")</f>
        <v>Operativo</v>
      </c>
      <c r="I353" s="46" t="str">
        <f>IFERROR(_xlfn.XLOOKUP(G353,Listas!E:E,Listas!G:G,""),"")</f>
        <v>Externo</v>
      </c>
      <c r="J353" s="43">
        <v>80</v>
      </c>
      <c r="K353" s="5">
        <f t="shared" si="5"/>
        <v>-80</v>
      </c>
      <c r="L353" s="15" t="s">
        <v>128</v>
      </c>
      <c r="M353" s="44">
        <f>SUMIFS('Saldos Iniciales'!$D:$D,'Saldos Iniciales'!$A:$A,C353,'Saldos Iniciales'!$B:$B,D353)+SUMIFS($K$1:$K$1324,$C$1:$C$1324,C353,$D$1:$D$1324,D353,$B$1:$B$1324,"&lt;="&amp;B353)</f>
        <v>19811.349999999999</v>
      </c>
      <c r="N353" s="61" t="str">
        <f>IF(tblMovimientos[[#This Row],[Tipo de Movimiento]]="Ingreso",tblMovimientos[[#This Row],[Monto (S/)]],"0")</f>
        <v>0</v>
      </c>
      <c r="O353" s="61">
        <f>IF(tblMovimientos[[#This Row],[Tipo de Movimiento]]="Egreso",tblMovimientos[[#This Row],[Monto (S/)]],"0")</f>
        <v>80</v>
      </c>
      <c r="P353" s="28">
        <f>IF(tblMovimientos[[#This Row],[Tipo de Movimiento]]="Ingreso",tblMovimientos[[#This Row],[Ingreso]],-tblMovimientos[[#This Row],[Egreso]])</f>
        <v>-80</v>
      </c>
      <c r="Q353" s="78" t="str">
        <f>_xlfn.XLOOKUP(tblMovimientos[[#This Row],[Cuenta Bancaria]],Cuentas!$C:$C,Cuentas!$A:$A,"")&amp;""</f>
        <v>SSP Group</v>
      </c>
      <c r="R353" s="78" t="str">
        <f>_xlfn.XLOOKUP(tblMovimientos[[#This Row],[Cuenta Bancaria]],Cuentas!$C:$C,Cuentas!$B:$B,"",0,-1)&amp;""</f>
        <v/>
      </c>
    </row>
    <row r="354" spans="1:18" x14ac:dyDescent="0.3">
      <c r="B354" s="39">
        <v>46189</v>
      </c>
      <c r="C354" s="4" t="str">
        <f>_xlfn.XLOOKUP(tblMovimientos[[#This Row],[Cuenta Bancaria]],Listas!$B:$B,Listas!$A:$A,"")</f>
        <v>3628 Thomas Ave</v>
      </c>
      <c r="D354" s="41" t="s">
        <v>124</v>
      </c>
      <c r="E354" s="68" t="str">
        <f>_xlfn.XLOOKUP(tblMovimientos[[#This Row],[Cuenta Bancaria]],Listas!$B:$B,Listas!$C:$C,"")</f>
        <v>Bank of America</v>
      </c>
      <c r="F354" s="41" t="s">
        <v>10</v>
      </c>
      <c r="G354" s="41" t="s">
        <v>38</v>
      </c>
      <c r="H354" s="4" t="str">
        <f>IFERROR(_xlfn.XLOOKUP(G354,Listas!E:E,Listas!F:F,""),"")</f>
        <v>Operativo</v>
      </c>
      <c r="I354" s="46" t="str">
        <f>IFERROR(_xlfn.XLOOKUP(G354,Listas!E:E,Listas!G:G,""),"")</f>
        <v>Externo</v>
      </c>
      <c r="J354" s="43">
        <v>200</v>
      </c>
      <c r="K354" s="5">
        <f t="shared" si="5"/>
        <v>-200</v>
      </c>
      <c r="L354" s="15" t="s">
        <v>128</v>
      </c>
      <c r="M354" s="44">
        <f>SUMIFS('Saldos Iniciales'!$D:$D,'Saldos Iniciales'!$A:$A,C354,'Saldos Iniciales'!$B:$B,D354)+SUMIFS($K$1:$K$1324,$C$1:$C$1324,C354,$D$1:$D$1324,D354,$B$1:$B$1324,"&lt;="&amp;B354)</f>
        <v>19811.349999999999</v>
      </c>
      <c r="N354" s="61" t="str">
        <f>IF(tblMovimientos[[#This Row],[Tipo de Movimiento]]="Ingreso",tblMovimientos[[#This Row],[Monto (S/)]],"0")</f>
        <v>0</v>
      </c>
      <c r="O354" s="61">
        <f>IF(tblMovimientos[[#This Row],[Tipo de Movimiento]]="Egreso",tblMovimientos[[#This Row],[Monto (S/)]],"0")</f>
        <v>200</v>
      </c>
      <c r="P354" s="28">
        <f>IF(tblMovimientos[[#This Row],[Tipo de Movimiento]]="Ingreso",tblMovimientos[[#This Row],[Ingreso]],-tblMovimientos[[#This Row],[Egreso]])</f>
        <v>-200</v>
      </c>
      <c r="Q354" s="78" t="str">
        <f>_xlfn.XLOOKUP(tblMovimientos[[#This Row],[Cuenta Bancaria]],Cuentas!$C:$C,Cuentas!$A:$A,"")&amp;""</f>
        <v>SSP Group</v>
      </c>
      <c r="R354" s="78" t="str">
        <f>_xlfn.XLOOKUP(tblMovimientos[[#This Row],[Cuenta Bancaria]],Cuentas!$C:$C,Cuentas!$B:$B,"",0,-1)&amp;""</f>
        <v/>
      </c>
    </row>
    <row r="355" spans="1:18" x14ac:dyDescent="0.3">
      <c r="B355" s="39">
        <v>46190</v>
      </c>
      <c r="C355" s="4" t="str">
        <f>_xlfn.XLOOKUP(tblMovimientos[[#This Row],[Cuenta Bancaria]],Listas!$B:$B,Listas!$A:$A,"")</f>
        <v>Go Blue</v>
      </c>
      <c r="D355" s="41" t="s">
        <v>126</v>
      </c>
      <c r="E355" s="68" t="str">
        <f>_xlfn.XLOOKUP(tblMovimientos[[#This Row],[Cuenta Bancaria]],Listas!$B:$B,Listas!$C:$C,"")</f>
        <v xml:space="preserve">Amerant Bank </v>
      </c>
      <c r="F355" s="41" t="s">
        <v>10</v>
      </c>
      <c r="G355" s="41" t="s">
        <v>38</v>
      </c>
      <c r="H355" s="4" t="str">
        <f>IFERROR(_xlfn.XLOOKUP(G355,Listas!E:E,Listas!F:F,""),"")</f>
        <v>Operativo</v>
      </c>
      <c r="I355" s="46" t="str">
        <f>IFERROR(_xlfn.XLOOKUP(G355,Listas!E:E,Listas!G:G,""),"")</f>
        <v>Externo</v>
      </c>
      <c r="J355" s="43">
        <v>1000</v>
      </c>
      <c r="K355" s="5">
        <f t="shared" si="5"/>
        <v>-1000</v>
      </c>
      <c r="L355" s="15" t="s">
        <v>128</v>
      </c>
      <c r="M355" s="44">
        <f>SUMIFS('Saldos Iniciales'!$D:$D,'Saldos Iniciales'!$A:$A,C355,'Saldos Iniciales'!$B:$B,D355)+SUMIFS($K$1:$K$1324,$C$1:$C$1324,C355,$D$1:$D$1324,D355,$B$1:$B$1324,"&lt;="&amp;B355)</f>
        <v>45041.01</v>
      </c>
      <c r="N355" s="61" t="str">
        <f>IF(tblMovimientos[[#This Row],[Tipo de Movimiento]]="Ingreso",tblMovimientos[[#This Row],[Monto (S/)]],"0")</f>
        <v>0</v>
      </c>
      <c r="O355" s="61">
        <f>IF(tblMovimientos[[#This Row],[Tipo de Movimiento]]="Egreso",tblMovimientos[[#This Row],[Monto (S/)]],"0")</f>
        <v>1000</v>
      </c>
      <c r="P355" s="28">
        <f>IF(tblMovimientos[[#This Row],[Tipo de Movimiento]]="Ingreso",tblMovimientos[[#This Row],[Ingreso]],-tblMovimientos[[#This Row],[Egreso]])</f>
        <v>-1000</v>
      </c>
      <c r="Q355" s="78" t="str">
        <f>_xlfn.XLOOKUP(tblMovimientos[[#This Row],[Cuenta Bancaria]],Cuentas!$C:$C,Cuentas!$A:$A,"")&amp;""</f>
        <v>SSP Group</v>
      </c>
      <c r="R355" s="78" t="str">
        <f>_xlfn.XLOOKUP(tblMovimientos[[#This Row],[Cuenta Bancaria]],Cuentas!$C:$C,Cuentas!$B:$B,"",0,-1)&amp;""</f>
        <v/>
      </c>
    </row>
    <row r="356" spans="1:18" x14ac:dyDescent="0.3">
      <c r="B356" s="39">
        <v>46190</v>
      </c>
      <c r="C356" s="4" t="str">
        <f>_xlfn.XLOOKUP(tblMovimientos[[#This Row],[Cuenta Bancaria]],Listas!$B:$B,Listas!$A:$A,"")</f>
        <v>SSP Capital</v>
      </c>
      <c r="D356" s="41" t="s">
        <v>101</v>
      </c>
      <c r="E356" s="68" t="str">
        <f>_xlfn.XLOOKUP(tblMovimientos[[#This Row],[Cuenta Bancaria]],Listas!$B:$B,Listas!$C:$C,"")</f>
        <v>Bank of America</v>
      </c>
      <c r="F356" s="41" t="s">
        <v>10</v>
      </c>
      <c r="G356" s="41" t="s">
        <v>38</v>
      </c>
      <c r="H356" s="4" t="str">
        <f>IFERROR(_xlfn.XLOOKUP(G356,Listas!E:E,Listas!F:F,""),"")</f>
        <v>Operativo</v>
      </c>
      <c r="I356" s="46" t="str">
        <f>IFERROR(_xlfn.XLOOKUP(G356,Listas!E:E,Listas!G:G,""),"")</f>
        <v>Externo</v>
      </c>
      <c r="J356" s="43">
        <v>2383.4899999999998</v>
      </c>
      <c r="K356" s="5">
        <f t="shared" si="5"/>
        <v>-2383.4899999999998</v>
      </c>
      <c r="L356" s="15" t="s">
        <v>128</v>
      </c>
      <c r="M356" s="44">
        <f>SUMIFS('Saldos Iniciales'!$D:$D,'Saldos Iniciales'!$A:$A,C356,'Saldos Iniciales'!$B:$B,D356)+SUMIFS($K$1:$K$1324,$C$1:$C$1324,C356,$D$1:$D$1324,D356,$B$1:$B$1324,"&lt;="&amp;B356)</f>
        <v>10088.029999999999</v>
      </c>
      <c r="N356" s="61" t="str">
        <f>IF(tblMovimientos[[#This Row],[Tipo de Movimiento]]="Ingreso",tblMovimientos[[#This Row],[Monto (S/)]],"0")</f>
        <v>0</v>
      </c>
      <c r="O356" s="61">
        <f>IF(tblMovimientos[[#This Row],[Tipo de Movimiento]]="Egreso",tblMovimientos[[#This Row],[Monto (S/)]],"0")</f>
        <v>2383.4899999999998</v>
      </c>
      <c r="P356" s="28">
        <f>IF(tblMovimientos[[#This Row],[Tipo de Movimiento]]="Ingreso",tblMovimientos[[#This Row],[Ingreso]],-tblMovimientos[[#This Row],[Egreso]])</f>
        <v>-2383.4899999999998</v>
      </c>
      <c r="Q356" s="78" t="str">
        <f>_xlfn.XLOOKUP(tblMovimientos[[#This Row],[Cuenta Bancaria]],Cuentas!$C:$C,Cuentas!$A:$A,"")&amp;""</f>
        <v>SSP Group</v>
      </c>
      <c r="R356" s="78" t="str">
        <f>_xlfn.XLOOKUP(tblMovimientos[[#This Row],[Cuenta Bancaria]],Cuentas!$C:$C,Cuentas!$B:$B,"",0,-1)&amp;""</f>
        <v/>
      </c>
    </row>
    <row r="357" spans="1:18" x14ac:dyDescent="0.3">
      <c r="B357" s="39">
        <v>46190</v>
      </c>
      <c r="C357" s="4" t="str">
        <f>_xlfn.XLOOKUP(tblMovimientos[[#This Row],[Cuenta Bancaria]],Listas!$B:$B,Listas!$A:$A,"")</f>
        <v>CFT Group</v>
      </c>
      <c r="D357" s="41" t="s">
        <v>94</v>
      </c>
      <c r="E357" s="68" t="str">
        <f>_xlfn.XLOOKUP(tblMovimientos[[#This Row],[Cuenta Bancaria]],Listas!$B:$B,Listas!$C:$C,"")</f>
        <v>Bank of America</v>
      </c>
      <c r="F357" s="41" t="s">
        <v>9</v>
      </c>
      <c r="G357" s="41" t="s">
        <v>75</v>
      </c>
      <c r="H357" s="4" t="str">
        <f>IFERROR(_xlfn.XLOOKUP(G357,Listas!E:E,Listas!F:F,""),"")</f>
        <v>Financiamiento</v>
      </c>
      <c r="I357" s="46" t="str">
        <f>IFERROR(_xlfn.XLOOKUP(G357,Listas!E:E,Listas!G:G,""),"")</f>
        <v>Interno</v>
      </c>
      <c r="J357" s="43">
        <v>12000</v>
      </c>
      <c r="K357" s="5">
        <f t="shared" si="5"/>
        <v>12000</v>
      </c>
      <c r="L357" s="15" t="s">
        <v>128</v>
      </c>
      <c r="M357" s="44">
        <f>SUMIFS('Saldos Iniciales'!$D:$D,'Saldos Iniciales'!$A:$A,C357,'Saldos Iniciales'!$B:$B,D357)+SUMIFS($K$1:$K$1324,$C$1:$C$1324,C357,$D$1:$D$1324,D357,$B$1:$B$1324,"&lt;="&amp;B357)</f>
        <v>124224.19999999998</v>
      </c>
      <c r="N357" s="61">
        <f>IF(tblMovimientos[[#This Row],[Tipo de Movimiento]]="Ingreso",tblMovimientos[[#This Row],[Monto (S/)]],"0")</f>
        <v>12000</v>
      </c>
      <c r="O357" s="61" t="str">
        <f>IF(tblMovimientos[[#This Row],[Tipo de Movimiento]]="Egreso",tblMovimientos[[#This Row],[Monto (S/)]],"0")</f>
        <v>0</v>
      </c>
      <c r="P357" s="28">
        <f>IF(tblMovimientos[[#This Row],[Tipo de Movimiento]]="Ingreso",tblMovimientos[[#This Row],[Ingreso]],-tblMovimientos[[#This Row],[Egreso]])</f>
        <v>12000</v>
      </c>
      <c r="Q357" s="78" t="str">
        <f>_xlfn.XLOOKUP(tblMovimientos[[#This Row],[Cuenta Bancaria]],Cuentas!$C:$C,Cuentas!$A:$A,"")&amp;""</f>
        <v>SSP Group</v>
      </c>
      <c r="R357" s="78" t="str">
        <f>_xlfn.XLOOKUP(tblMovimientos[[#This Row],[Cuenta Bancaria]],Cuentas!$C:$C,Cuentas!$B:$B,"",0,-1)&amp;""</f>
        <v/>
      </c>
    </row>
    <row r="358" spans="1:18" x14ac:dyDescent="0.3">
      <c r="B358" s="39">
        <v>46190</v>
      </c>
      <c r="C358" s="4" t="str">
        <f>_xlfn.XLOOKUP(tblMovimientos[[#This Row],[Cuenta Bancaria]],Listas!$B:$B,Listas!$A:$A,"")</f>
        <v>3628 Thomas Ave</v>
      </c>
      <c r="D358" s="41" t="s">
        <v>124</v>
      </c>
      <c r="E358" s="68" t="str">
        <f>_xlfn.XLOOKUP(tblMovimientos[[#This Row],[Cuenta Bancaria]],Listas!$B:$B,Listas!$C:$C,"")</f>
        <v>Bank of America</v>
      </c>
      <c r="F358" s="41" t="s">
        <v>10</v>
      </c>
      <c r="G358" s="41" t="s">
        <v>38</v>
      </c>
      <c r="H358" s="4" t="str">
        <f>IFERROR(_xlfn.XLOOKUP(G358,Listas!E:E,Listas!F:F,""),"")</f>
        <v>Operativo</v>
      </c>
      <c r="I358" s="46" t="str">
        <f>IFERROR(_xlfn.XLOOKUP(G358,Listas!E:E,Listas!G:G,""),"")</f>
        <v>Externo</v>
      </c>
      <c r="J358" s="43">
        <v>2200</v>
      </c>
      <c r="K358" s="5">
        <f t="shared" si="5"/>
        <v>-2200</v>
      </c>
      <c r="L358" s="15" t="s">
        <v>128</v>
      </c>
      <c r="M358" s="44">
        <f>SUMIFS('Saldos Iniciales'!$D:$D,'Saldos Iniciales'!$A:$A,C358,'Saldos Iniciales'!$B:$B,D358)+SUMIFS($K$1:$K$1324,$C$1:$C$1324,C358,$D$1:$D$1324,D358,$B$1:$B$1324,"&lt;="&amp;B358)</f>
        <v>16681.349999999999</v>
      </c>
      <c r="N358" s="61" t="str">
        <f>IF(tblMovimientos[[#This Row],[Tipo de Movimiento]]="Ingreso",tblMovimientos[[#This Row],[Monto (S/)]],"0")</f>
        <v>0</v>
      </c>
      <c r="O358" s="61">
        <f>IF(tblMovimientos[[#This Row],[Tipo de Movimiento]]="Egreso",tblMovimientos[[#This Row],[Monto (S/)]],"0")</f>
        <v>2200</v>
      </c>
      <c r="P358" s="28">
        <f>IF(tblMovimientos[[#This Row],[Tipo de Movimiento]]="Ingreso",tblMovimientos[[#This Row],[Ingreso]],-tblMovimientos[[#This Row],[Egreso]])</f>
        <v>-2200</v>
      </c>
      <c r="Q358" s="78" t="str">
        <f>_xlfn.XLOOKUP(tblMovimientos[[#This Row],[Cuenta Bancaria]],Cuentas!$C:$C,Cuentas!$A:$A,"")&amp;""</f>
        <v>SSP Group</v>
      </c>
      <c r="R358" s="78" t="str">
        <f>_xlfn.XLOOKUP(tblMovimientos[[#This Row],[Cuenta Bancaria]],Cuentas!$C:$C,Cuentas!$B:$B,"",0,-1)&amp;""</f>
        <v/>
      </c>
    </row>
    <row r="359" spans="1:18" x14ac:dyDescent="0.3">
      <c r="B359" s="39">
        <v>46190</v>
      </c>
      <c r="C359" s="4" t="str">
        <f>_xlfn.XLOOKUP(tblMovimientos[[#This Row],[Cuenta Bancaria]],Listas!$B:$B,Listas!$A:$A,"")</f>
        <v>3628 Thomas Ave</v>
      </c>
      <c r="D359" s="41" t="s">
        <v>124</v>
      </c>
      <c r="E359" s="68" t="str">
        <f>_xlfn.XLOOKUP(tblMovimientos[[#This Row],[Cuenta Bancaria]],Listas!$B:$B,Listas!$C:$C,"")</f>
        <v>Bank of America</v>
      </c>
      <c r="F359" s="41" t="s">
        <v>10</v>
      </c>
      <c r="G359" s="41" t="s">
        <v>38</v>
      </c>
      <c r="H359" s="4" t="str">
        <f>IFERROR(_xlfn.XLOOKUP(G359,Listas!E:E,Listas!F:F,""),"")</f>
        <v>Operativo</v>
      </c>
      <c r="I359" s="46" t="str">
        <f>IFERROR(_xlfn.XLOOKUP(G359,Listas!E:E,Listas!G:G,""),"")</f>
        <v>Externo</v>
      </c>
      <c r="J359" s="43">
        <v>900</v>
      </c>
      <c r="K359" s="5">
        <f t="shared" si="5"/>
        <v>-900</v>
      </c>
      <c r="L359" s="15" t="s">
        <v>128</v>
      </c>
      <c r="M359" s="44">
        <f>SUMIFS('Saldos Iniciales'!$D:$D,'Saldos Iniciales'!$A:$A,C359,'Saldos Iniciales'!$B:$B,D359)+SUMIFS($K$1:$K$1324,$C$1:$C$1324,C359,$D$1:$D$1324,D359,$B$1:$B$1324,"&lt;="&amp;B359)</f>
        <v>16681.349999999999</v>
      </c>
      <c r="N359" s="61" t="str">
        <f>IF(tblMovimientos[[#This Row],[Tipo de Movimiento]]="Ingreso",tblMovimientos[[#This Row],[Monto (S/)]],"0")</f>
        <v>0</v>
      </c>
      <c r="O359" s="61">
        <f>IF(tblMovimientos[[#This Row],[Tipo de Movimiento]]="Egreso",tblMovimientos[[#This Row],[Monto (S/)]],"0")</f>
        <v>900</v>
      </c>
      <c r="P359" s="28">
        <f>IF(tblMovimientos[[#This Row],[Tipo de Movimiento]]="Ingreso",tblMovimientos[[#This Row],[Ingreso]],-tblMovimientos[[#This Row],[Egreso]])</f>
        <v>-900</v>
      </c>
      <c r="Q359" s="78" t="str">
        <f>_xlfn.XLOOKUP(tblMovimientos[[#This Row],[Cuenta Bancaria]],Cuentas!$C:$C,Cuentas!$A:$A,"")&amp;""</f>
        <v>SSP Group</v>
      </c>
      <c r="R359" s="78" t="str">
        <f>_xlfn.XLOOKUP(tblMovimientos[[#This Row],[Cuenta Bancaria]],Cuentas!$C:$C,Cuentas!$B:$B,"",0,-1)&amp;""</f>
        <v/>
      </c>
    </row>
    <row r="360" spans="1:18" x14ac:dyDescent="0.3">
      <c r="B360" s="39">
        <v>46190</v>
      </c>
      <c r="C360" s="4" t="str">
        <f>_xlfn.XLOOKUP(tblMovimientos[[#This Row],[Cuenta Bancaria]],Listas!$B:$B,Listas!$A:$A,"")</f>
        <v>3628 Thomas Ave</v>
      </c>
      <c r="D360" s="41" t="s">
        <v>124</v>
      </c>
      <c r="E360" s="68" t="str">
        <f>_xlfn.XLOOKUP(tblMovimientos[[#This Row],[Cuenta Bancaria]],Listas!$B:$B,Listas!$C:$C,"")</f>
        <v>Bank of America</v>
      </c>
      <c r="F360" s="41" t="s">
        <v>10</v>
      </c>
      <c r="G360" s="41" t="s">
        <v>44</v>
      </c>
      <c r="H360" s="4" t="str">
        <f>IFERROR(_xlfn.XLOOKUP(G360,Listas!E:E,Listas!F:F,""),"")</f>
        <v>Operativo</v>
      </c>
      <c r="I360" s="46" t="str">
        <f>IFERROR(_xlfn.XLOOKUP(G360,Listas!E:E,Listas!G:G,""),"")</f>
        <v>Externo</v>
      </c>
      <c r="J360" s="43">
        <v>30</v>
      </c>
      <c r="K360" s="5">
        <f t="shared" si="5"/>
        <v>-30</v>
      </c>
      <c r="L360" s="15" t="s">
        <v>128</v>
      </c>
      <c r="M360" s="44">
        <f>SUMIFS('Saldos Iniciales'!$D:$D,'Saldos Iniciales'!$A:$A,C360,'Saldos Iniciales'!$B:$B,D360)+SUMIFS($K$1:$K$1324,$C$1:$C$1324,C360,$D$1:$D$1324,D360,$B$1:$B$1324,"&lt;="&amp;B360)</f>
        <v>16681.349999999999</v>
      </c>
      <c r="N360" s="61" t="str">
        <f>IF(tblMovimientos[[#This Row],[Tipo de Movimiento]]="Ingreso",tblMovimientos[[#This Row],[Monto (S/)]],"0")</f>
        <v>0</v>
      </c>
      <c r="O360" s="61">
        <f>IF(tblMovimientos[[#This Row],[Tipo de Movimiento]]="Egreso",tblMovimientos[[#This Row],[Monto (S/)]],"0")</f>
        <v>30</v>
      </c>
      <c r="P360" s="28">
        <f>IF(tblMovimientos[[#This Row],[Tipo de Movimiento]]="Ingreso",tblMovimientos[[#This Row],[Ingreso]],-tblMovimientos[[#This Row],[Egreso]])</f>
        <v>-30</v>
      </c>
      <c r="Q360" s="78" t="str">
        <f>_xlfn.XLOOKUP(tblMovimientos[[#This Row],[Cuenta Bancaria]],Cuentas!$C:$C,Cuentas!$A:$A,"")&amp;""</f>
        <v>SSP Group</v>
      </c>
      <c r="R360" s="78" t="str">
        <f>_xlfn.XLOOKUP(tblMovimientos[[#This Row],[Cuenta Bancaria]],Cuentas!$C:$C,Cuentas!$B:$B,"",0,-1)&amp;""</f>
        <v/>
      </c>
    </row>
    <row r="361" spans="1:18" x14ac:dyDescent="0.3">
      <c r="B361" s="39">
        <v>46191</v>
      </c>
      <c r="C361" s="4" t="str">
        <f>_xlfn.XLOOKUP(tblMovimientos[[#This Row],[Cuenta Bancaria]],Listas!$B:$B,Listas!$A:$A,"")</f>
        <v>SSP Capital</v>
      </c>
      <c r="D361" s="41" t="s">
        <v>102</v>
      </c>
      <c r="E361" s="68" t="str">
        <f>_xlfn.XLOOKUP(tblMovimientos[[#This Row],[Cuenta Bancaria]],Listas!$B:$B,Listas!$C:$C,"")</f>
        <v>Bank of America</v>
      </c>
      <c r="F361" s="41" t="s">
        <v>10</v>
      </c>
      <c r="G361" s="41" t="s">
        <v>38</v>
      </c>
      <c r="H361" s="4" t="str">
        <f>IFERROR(_xlfn.XLOOKUP(G361,Listas!E:E,Listas!F:F,""),"")</f>
        <v>Operativo</v>
      </c>
      <c r="I361" s="46" t="str">
        <f>IFERROR(_xlfn.XLOOKUP(G361,Listas!E:E,Listas!G:G,""),"")</f>
        <v>Externo</v>
      </c>
      <c r="J361" s="43">
        <v>166.66</v>
      </c>
      <c r="K361" s="5">
        <f t="shared" si="5"/>
        <v>-166.66</v>
      </c>
      <c r="L361" s="15" t="s">
        <v>128</v>
      </c>
      <c r="M361" s="44">
        <f>SUMIFS('Saldos Iniciales'!$D:$D,'Saldos Iniciales'!$A:$A,C361,'Saldos Iniciales'!$B:$B,D361)+SUMIFS($K$1:$K$1324,$C$1:$C$1324,C361,$D$1:$D$1324,D361,$B$1:$B$1324,"&lt;="&amp;B361)</f>
        <v>366.92000000000007</v>
      </c>
      <c r="N361" s="61" t="str">
        <f>IF(tblMovimientos[[#This Row],[Tipo de Movimiento]]="Ingreso",tblMovimientos[[#This Row],[Monto (S/)]],"0")</f>
        <v>0</v>
      </c>
      <c r="O361" s="61">
        <f>IF(tblMovimientos[[#This Row],[Tipo de Movimiento]]="Egreso",tblMovimientos[[#This Row],[Monto (S/)]],"0")</f>
        <v>166.66</v>
      </c>
      <c r="P361" s="28">
        <f>IF(tblMovimientos[[#This Row],[Tipo de Movimiento]]="Ingreso",tblMovimientos[[#This Row],[Ingreso]],-tblMovimientos[[#This Row],[Egreso]])</f>
        <v>-166.66</v>
      </c>
      <c r="Q361" s="78" t="str">
        <f>_xlfn.XLOOKUP(tblMovimientos[[#This Row],[Cuenta Bancaria]],Cuentas!$C:$C,Cuentas!$A:$A,"")&amp;""</f>
        <v>SSP Group</v>
      </c>
      <c r="R361" s="78" t="str">
        <f>_xlfn.XLOOKUP(tblMovimientos[[#This Row],[Cuenta Bancaria]],Cuentas!$C:$C,Cuentas!$B:$B,"",0,-1)&amp;""</f>
        <v/>
      </c>
    </row>
    <row r="362" spans="1:18" x14ac:dyDescent="0.3">
      <c r="B362" s="39">
        <v>46195</v>
      </c>
      <c r="C362" s="4" t="str">
        <f>_xlfn.XLOOKUP(tblMovimientos[[#This Row],[Cuenta Bancaria]],Listas!$B:$B,Listas!$A:$A,"")</f>
        <v>SSP Capital</v>
      </c>
      <c r="D362" s="41" t="s">
        <v>101</v>
      </c>
      <c r="E362" s="68" t="str">
        <f>_xlfn.XLOOKUP(tblMovimientos[[#This Row],[Cuenta Bancaria]],Listas!$B:$B,Listas!$C:$C,"")</f>
        <v>Bank of America</v>
      </c>
      <c r="F362" s="41" t="s">
        <v>10</v>
      </c>
      <c r="G362" s="41" t="s">
        <v>38</v>
      </c>
      <c r="H362" s="4" t="str">
        <f>IFERROR(_xlfn.XLOOKUP(G362,Listas!E:E,Listas!F:F,""),"")</f>
        <v>Operativo</v>
      </c>
      <c r="I362" s="46" t="str">
        <f>IFERROR(_xlfn.XLOOKUP(G362,Listas!E:E,Listas!G:G,""),"")</f>
        <v>Externo</v>
      </c>
      <c r="J362" s="43">
        <v>737.04</v>
      </c>
      <c r="K362" s="5">
        <f t="shared" si="5"/>
        <v>-737.04</v>
      </c>
      <c r="L362" s="15" t="s">
        <v>128</v>
      </c>
      <c r="M362" s="44">
        <f>SUMIFS('Saldos Iniciales'!$D:$D,'Saldos Iniciales'!$A:$A,C362,'Saldos Iniciales'!$B:$B,D362)+SUMIFS($K$1:$K$1324,$C$1:$C$1324,C362,$D$1:$D$1324,D362,$B$1:$B$1324,"&lt;="&amp;B362)</f>
        <v>9259.99</v>
      </c>
      <c r="N362" s="61" t="str">
        <f>IF(tblMovimientos[[#This Row],[Tipo de Movimiento]]="Ingreso",tblMovimientos[[#This Row],[Monto (S/)]],"0")</f>
        <v>0</v>
      </c>
      <c r="O362" s="61">
        <f>IF(tblMovimientos[[#This Row],[Tipo de Movimiento]]="Egreso",tblMovimientos[[#This Row],[Monto (S/)]],"0")</f>
        <v>737.04</v>
      </c>
      <c r="P362" s="28">
        <f>IF(tblMovimientos[[#This Row],[Tipo de Movimiento]]="Ingreso",tblMovimientos[[#This Row],[Ingreso]],-tblMovimientos[[#This Row],[Egreso]])</f>
        <v>-737.04</v>
      </c>
      <c r="Q362" s="78" t="str">
        <f>_xlfn.XLOOKUP(tblMovimientos[[#This Row],[Cuenta Bancaria]],Cuentas!$C:$C,Cuentas!$A:$A,"")&amp;""</f>
        <v>SSP Group</v>
      </c>
      <c r="R362" s="78" t="str">
        <f>_xlfn.XLOOKUP(tblMovimientos[[#This Row],[Cuenta Bancaria]],Cuentas!$C:$C,Cuentas!$B:$B,"",0,-1)&amp;""</f>
        <v/>
      </c>
    </row>
    <row r="363" spans="1:18" x14ac:dyDescent="0.3">
      <c r="A363" s="45"/>
      <c r="B363" s="39">
        <v>46195</v>
      </c>
      <c r="C363" s="4" t="str">
        <f>_xlfn.XLOOKUP(tblMovimientos[[#This Row],[Cuenta Bancaria]],Listas!$B:$B,Listas!$A:$A,"")</f>
        <v>SSP Capital</v>
      </c>
      <c r="D363" s="41" t="s">
        <v>101</v>
      </c>
      <c r="E363" s="68" t="str">
        <f>_xlfn.XLOOKUP(tblMovimientos[[#This Row],[Cuenta Bancaria]],Listas!$B:$B,Listas!$C:$C,"")</f>
        <v>Bank of America</v>
      </c>
      <c r="F363" s="41" t="s">
        <v>10</v>
      </c>
      <c r="G363" s="41" t="s">
        <v>41</v>
      </c>
      <c r="H363" s="46" t="str">
        <f>IFERROR(_xlfn.XLOOKUP(G363,Listas!E:E,Listas!F:F,""),"")</f>
        <v>Operativo</v>
      </c>
      <c r="I363" s="46" t="str">
        <f>IFERROR(_xlfn.XLOOKUP(G363,Listas!E:E,Listas!G:G,""),"")</f>
        <v>Externo</v>
      </c>
      <c r="J363" s="43">
        <v>91</v>
      </c>
      <c r="K363" s="5">
        <f t="shared" si="5"/>
        <v>-91</v>
      </c>
      <c r="L363" s="15" t="s">
        <v>128</v>
      </c>
      <c r="M363" s="44">
        <f>SUMIFS('Saldos Iniciales'!$D:$D,'Saldos Iniciales'!$A:$A,C363,'Saldos Iniciales'!$B:$B,D363)+SUMIFS($K$1:$K$1324,$C$1:$C$1324,C363,$D$1:$D$1324,D363,$B$1:$B$1324,"&lt;="&amp;B363)</f>
        <v>9259.99</v>
      </c>
      <c r="N363" s="61" t="str">
        <f>IF(tblMovimientos[[#This Row],[Tipo de Movimiento]]="Ingreso",tblMovimientos[[#This Row],[Monto (S/)]],"0")</f>
        <v>0</v>
      </c>
      <c r="O363" s="61">
        <f>IF(tblMovimientos[[#This Row],[Tipo de Movimiento]]="Egreso",tblMovimientos[[#This Row],[Monto (S/)]],"0")</f>
        <v>91</v>
      </c>
      <c r="P363" s="28">
        <f>IF(tblMovimientos[[#This Row],[Tipo de Movimiento]]="Ingreso",tblMovimientos[[#This Row],[Ingreso]],-tblMovimientos[[#This Row],[Egreso]])</f>
        <v>-91</v>
      </c>
      <c r="Q363" s="78" t="str">
        <f>_xlfn.XLOOKUP(tblMovimientos[[#This Row],[Cuenta Bancaria]],Cuentas!$C:$C,Cuentas!$A:$A,"")&amp;""</f>
        <v>SSP Group</v>
      </c>
      <c r="R363" s="78" t="str">
        <f>_xlfn.XLOOKUP(tblMovimientos[[#This Row],[Cuenta Bancaria]],Cuentas!$C:$C,Cuentas!$B:$B,"",0,-1)&amp;""</f>
        <v/>
      </c>
    </row>
    <row r="364" spans="1:18" x14ac:dyDescent="0.3">
      <c r="A364" s="45"/>
      <c r="B364" s="39">
        <v>46195</v>
      </c>
      <c r="C364" s="4" t="str">
        <f>_xlfn.XLOOKUP(tblMovimientos[[#This Row],[Cuenta Bancaria]],Listas!$B:$B,Listas!$A:$A,"")</f>
        <v>2515 Overbrook</v>
      </c>
      <c r="D364" s="41" t="s">
        <v>121</v>
      </c>
      <c r="E364" s="68" t="str">
        <f>_xlfn.XLOOKUP(tblMovimientos[[#This Row],[Cuenta Bancaria]],Listas!$B:$B,Listas!$C:$C,"")</f>
        <v>Bank of America</v>
      </c>
      <c r="F364" s="41" t="s">
        <v>9</v>
      </c>
      <c r="G364" s="41" t="s">
        <v>81</v>
      </c>
      <c r="H364" s="46" t="str">
        <f>IFERROR(_xlfn.XLOOKUP(G364,Listas!E:E,Listas!F:F,""),"")</f>
        <v>Operativo</v>
      </c>
      <c r="I364" s="46" t="str">
        <f>IFERROR(_xlfn.XLOOKUP(G364,Listas!E:E,Listas!G:G,""),"")</f>
        <v>Externo</v>
      </c>
      <c r="J364" s="43">
        <v>1250</v>
      </c>
      <c r="K364" s="5">
        <f t="shared" si="5"/>
        <v>1250</v>
      </c>
      <c r="L364" s="15" t="s">
        <v>128</v>
      </c>
      <c r="M364" s="44">
        <f>SUMIFS('Saldos Iniciales'!$D:$D,'Saldos Iniciales'!$A:$A,C364,'Saldos Iniciales'!$B:$B,D364)+SUMIFS($K$1:$K$1324,$C$1:$C$1324,C364,$D$1:$D$1324,D364,$B$1:$B$1324,"&lt;="&amp;B364)</f>
        <v>30709.549999999963</v>
      </c>
      <c r="N364" s="61">
        <f>IF(tblMovimientos[[#This Row],[Tipo de Movimiento]]="Ingreso",tblMovimientos[[#This Row],[Monto (S/)]],"0")</f>
        <v>1250</v>
      </c>
      <c r="O364" s="61" t="str">
        <f>IF(tblMovimientos[[#This Row],[Tipo de Movimiento]]="Egreso",tblMovimientos[[#This Row],[Monto (S/)]],"0")</f>
        <v>0</v>
      </c>
      <c r="P364" s="28">
        <f>IF(tblMovimientos[[#This Row],[Tipo de Movimiento]]="Ingreso",tblMovimientos[[#This Row],[Ingreso]],-tblMovimientos[[#This Row],[Egreso]])</f>
        <v>1250</v>
      </c>
      <c r="Q364" s="78" t="str">
        <f>_xlfn.XLOOKUP(tblMovimientos[[#This Row],[Cuenta Bancaria]],Cuentas!$C:$C,Cuentas!$A:$A,"")&amp;""</f>
        <v>SSP Group</v>
      </c>
      <c r="R364" s="78" t="str">
        <f>_xlfn.XLOOKUP(tblMovimientos[[#This Row],[Cuenta Bancaria]],Cuentas!$C:$C,Cuentas!$B:$B,"",0,-1)&amp;""</f>
        <v/>
      </c>
    </row>
    <row r="365" spans="1:18" x14ac:dyDescent="0.3">
      <c r="B365" s="39">
        <v>46195</v>
      </c>
      <c r="C365" s="4" t="str">
        <f>_xlfn.XLOOKUP(tblMovimientos[[#This Row],[Cuenta Bancaria]],Listas!$B:$B,Listas!$A:$A,"")</f>
        <v>CFT Group</v>
      </c>
      <c r="D365" s="41" t="s">
        <v>95</v>
      </c>
      <c r="E365" s="68" t="str">
        <f>_xlfn.XLOOKUP(tblMovimientos[[#This Row],[Cuenta Bancaria]],Listas!$B:$B,Listas!$C:$C,"")</f>
        <v xml:space="preserve">Amerant Bank </v>
      </c>
      <c r="F365" s="41" t="s">
        <v>9</v>
      </c>
      <c r="G365" s="41" t="s">
        <v>72</v>
      </c>
      <c r="H365" s="4" t="str">
        <f>IFERROR(_xlfn.XLOOKUP(G365,Listas!E:E,Listas!F:F,""),"")</f>
        <v>Operativo</v>
      </c>
      <c r="I365" s="46" t="str">
        <f>IFERROR(_xlfn.XLOOKUP(G365,Listas!E:E,Listas!G:G,""),"")</f>
        <v>Externo</v>
      </c>
      <c r="J365" s="43">
        <v>114973.39</v>
      </c>
      <c r="K365" s="5">
        <f t="shared" si="5"/>
        <v>114973.39</v>
      </c>
      <c r="L365" s="15" t="s">
        <v>128</v>
      </c>
      <c r="M365" s="44">
        <f>SUMIFS('Saldos Iniciales'!$D:$D,'Saldos Iniciales'!$A:$A,C365,'Saldos Iniciales'!$B:$B,D365)+SUMIFS($K$1:$K$1324,$C$1:$C$1324,C365,$D$1:$D$1324,D365,$B$1:$B$1324,"&lt;="&amp;B365)</f>
        <v>7483851.9100000001</v>
      </c>
      <c r="N365" s="61">
        <f>IF(tblMovimientos[[#This Row],[Tipo de Movimiento]]="Ingreso",tblMovimientos[[#This Row],[Monto (S/)]],"0")</f>
        <v>114973.39</v>
      </c>
      <c r="O365" s="61" t="str">
        <f>IF(tblMovimientos[[#This Row],[Tipo de Movimiento]]="Egreso",tblMovimientos[[#This Row],[Monto (S/)]],"0")</f>
        <v>0</v>
      </c>
      <c r="P365" s="28">
        <f>IF(tblMovimientos[[#This Row],[Tipo de Movimiento]]="Ingreso",tblMovimientos[[#This Row],[Ingreso]],-tblMovimientos[[#This Row],[Egreso]])</f>
        <v>114973.39</v>
      </c>
      <c r="Q365" s="78" t="str">
        <f>_xlfn.XLOOKUP(tblMovimientos[[#This Row],[Cuenta Bancaria]],Cuentas!$C:$C,Cuentas!$A:$A,"")&amp;""</f>
        <v>SSP Group</v>
      </c>
      <c r="R365" s="78" t="str">
        <f>_xlfn.XLOOKUP(tblMovimientos[[#This Row],[Cuenta Bancaria]],Cuentas!$C:$C,Cuentas!$B:$B,"",0,-1)&amp;""</f>
        <v/>
      </c>
    </row>
    <row r="366" spans="1:18" x14ac:dyDescent="0.3">
      <c r="B366" s="39">
        <v>46195</v>
      </c>
      <c r="C366" s="4" t="str">
        <f>_xlfn.XLOOKUP(tblMovimientos[[#This Row],[Cuenta Bancaria]],Listas!$B:$B,Listas!$A:$A,"")</f>
        <v>CFT Group</v>
      </c>
      <c r="D366" s="41" t="s">
        <v>95</v>
      </c>
      <c r="E366" s="68" t="str">
        <f>_xlfn.XLOOKUP(tblMovimientos[[#This Row],[Cuenta Bancaria]],Listas!$B:$B,Listas!$C:$C,"")</f>
        <v xml:space="preserve">Amerant Bank </v>
      </c>
      <c r="F366" s="41" t="s">
        <v>9</v>
      </c>
      <c r="G366" s="41" t="s">
        <v>72</v>
      </c>
      <c r="H366" s="4" t="str">
        <f>IFERROR(_xlfn.XLOOKUP(G366,Listas!E:E,Listas!F:F,""),"")</f>
        <v>Operativo</v>
      </c>
      <c r="I366" s="46" t="str">
        <f>IFERROR(_xlfn.XLOOKUP(G366,Listas!E:E,Listas!G:G,""),"")</f>
        <v>Externo</v>
      </c>
      <c r="J366" s="43">
        <v>6400000</v>
      </c>
      <c r="K366" s="5">
        <f t="shared" si="5"/>
        <v>6400000</v>
      </c>
      <c r="L366" s="15" t="s">
        <v>128</v>
      </c>
      <c r="M366" s="44">
        <f>SUMIFS('Saldos Iniciales'!$D:$D,'Saldos Iniciales'!$A:$A,C366,'Saldos Iniciales'!$B:$B,D366)+SUMIFS($K$1:$K$1324,$C$1:$C$1324,C366,$D$1:$D$1324,D366,$B$1:$B$1324,"&lt;="&amp;B366)</f>
        <v>7483851.9100000001</v>
      </c>
      <c r="N366" s="61">
        <f>IF(tblMovimientos[[#This Row],[Tipo de Movimiento]]="Ingreso",tblMovimientos[[#This Row],[Monto (S/)]],"0")</f>
        <v>6400000</v>
      </c>
      <c r="O366" s="61" t="str">
        <f>IF(tblMovimientos[[#This Row],[Tipo de Movimiento]]="Egreso",tblMovimientos[[#This Row],[Monto (S/)]],"0")</f>
        <v>0</v>
      </c>
      <c r="P366" s="28">
        <f>IF(tblMovimientos[[#This Row],[Tipo de Movimiento]]="Ingreso",tblMovimientos[[#This Row],[Ingreso]],-tblMovimientos[[#This Row],[Egreso]])</f>
        <v>6400000</v>
      </c>
      <c r="Q366" s="78" t="str">
        <f>_xlfn.XLOOKUP(tblMovimientos[[#This Row],[Cuenta Bancaria]],Cuentas!$C:$C,Cuentas!$A:$A,"")&amp;""</f>
        <v>SSP Group</v>
      </c>
      <c r="R366" s="78" t="str">
        <f>_xlfn.XLOOKUP(tblMovimientos[[#This Row],[Cuenta Bancaria]],Cuentas!$C:$C,Cuentas!$B:$B,"",0,-1)&amp;""</f>
        <v/>
      </c>
    </row>
    <row r="367" spans="1:18" x14ac:dyDescent="0.3">
      <c r="A367" s="45"/>
      <c r="B367" s="39">
        <v>46195</v>
      </c>
      <c r="C367" s="4" t="str">
        <f>_xlfn.XLOOKUP(tblMovimientos[[#This Row],[Cuenta Bancaria]],Listas!$B:$B,Listas!$A:$A,"")</f>
        <v>Go Blue</v>
      </c>
      <c r="D367" s="41" t="s">
        <v>126</v>
      </c>
      <c r="E367" s="68" t="str">
        <f>_xlfn.XLOOKUP(tblMovimientos[[#This Row],[Cuenta Bancaria]],Listas!$B:$B,Listas!$C:$C,"")</f>
        <v xml:space="preserve">Amerant Bank </v>
      </c>
      <c r="F367" s="41" t="s">
        <v>10</v>
      </c>
      <c r="G367" s="41" t="s">
        <v>38</v>
      </c>
      <c r="H367" s="46" t="str">
        <f>IFERROR(_xlfn.XLOOKUP(G367,Listas!E:E,Listas!F:F,""),"")</f>
        <v>Operativo</v>
      </c>
      <c r="I367" s="46" t="str">
        <f>IFERROR(_xlfn.XLOOKUP(G367,Listas!E:E,Listas!G:G,""),"")</f>
        <v>Externo</v>
      </c>
      <c r="J367" s="43">
        <v>224.68</v>
      </c>
      <c r="K367" s="5">
        <f t="shared" si="5"/>
        <v>-224.68</v>
      </c>
      <c r="L367" s="15" t="s">
        <v>128</v>
      </c>
      <c r="M367" s="44">
        <f>SUMIFS('Saldos Iniciales'!$D:$D,'Saldos Iniciales'!$A:$A,C367,'Saldos Iniciales'!$B:$B,D367)+SUMIFS($K$1:$K$1324,$C$1:$C$1324,C367,$D$1:$D$1324,D367,$B$1:$B$1324,"&lt;="&amp;B367)</f>
        <v>44816.33</v>
      </c>
      <c r="N367" s="61" t="str">
        <f>IF(tblMovimientos[[#This Row],[Tipo de Movimiento]]="Ingreso",tblMovimientos[[#This Row],[Monto (S/)]],"0")</f>
        <v>0</v>
      </c>
      <c r="O367" s="61">
        <f>IF(tblMovimientos[[#This Row],[Tipo de Movimiento]]="Egreso",tblMovimientos[[#This Row],[Monto (S/)]],"0")</f>
        <v>224.68</v>
      </c>
      <c r="P367" s="28">
        <f>IF(tblMovimientos[[#This Row],[Tipo de Movimiento]]="Ingreso",tblMovimientos[[#This Row],[Ingreso]],-tblMovimientos[[#This Row],[Egreso]])</f>
        <v>-224.68</v>
      </c>
      <c r="Q367" s="78" t="str">
        <f>_xlfn.XLOOKUP(tblMovimientos[[#This Row],[Cuenta Bancaria]],Cuentas!$C:$C,Cuentas!$A:$A,"")&amp;""</f>
        <v>SSP Group</v>
      </c>
      <c r="R367" s="78" t="str">
        <f>_xlfn.XLOOKUP(tblMovimientos[[#This Row],[Cuenta Bancaria]],Cuentas!$C:$C,Cuentas!$B:$B,"",0,-1)&amp;""</f>
        <v/>
      </c>
    </row>
    <row r="368" spans="1:18" x14ac:dyDescent="0.3">
      <c r="A368" s="45"/>
      <c r="B368" s="39">
        <v>46196</v>
      </c>
      <c r="C368" s="4" t="str">
        <f>_xlfn.XLOOKUP(tblMovimientos[[#This Row],[Cuenta Bancaria]],Listas!$B:$B,Listas!$A:$A,"")</f>
        <v>Go Blue</v>
      </c>
      <c r="D368" s="41" t="s">
        <v>126</v>
      </c>
      <c r="E368" s="68" t="str">
        <f>_xlfn.XLOOKUP(tblMovimientos[[#This Row],[Cuenta Bancaria]],Listas!$B:$B,Listas!$C:$C,"")</f>
        <v xml:space="preserve">Amerant Bank </v>
      </c>
      <c r="F368" s="41" t="s">
        <v>10</v>
      </c>
      <c r="G368" s="41" t="s">
        <v>38</v>
      </c>
      <c r="H368" s="4" t="str">
        <f>IFERROR(_xlfn.XLOOKUP(G368,Listas!E:E,Listas!F:F,""),"")</f>
        <v>Operativo</v>
      </c>
      <c r="I368" s="46" t="str">
        <f>IFERROR(_xlfn.XLOOKUP(G368,Listas!E:E,Listas!G:G,""),"")</f>
        <v>Externo</v>
      </c>
      <c r="J368" s="43">
        <v>42.79</v>
      </c>
      <c r="K368" s="5">
        <f t="shared" si="5"/>
        <v>-42.79</v>
      </c>
      <c r="L368" s="15" t="s">
        <v>128</v>
      </c>
      <c r="M368" s="44">
        <f>SUMIFS('Saldos Iniciales'!$D:$D,'Saldos Iniciales'!$A:$A,C368,'Saldos Iniciales'!$B:$B,D368)+SUMIFS($K$1:$K$1324,$C$1:$C$1324,C368,$D$1:$D$1324,D368,$B$1:$B$1324,"&lt;="&amp;B368)</f>
        <v>44687.96</v>
      </c>
      <c r="N368" s="61" t="str">
        <f>IF(tblMovimientos[[#This Row],[Tipo de Movimiento]]="Ingreso",tblMovimientos[[#This Row],[Monto (S/)]],"0")</f>
        <v>0</v>
      </c>
      <c r="O368" s="61">
        <f>IF(tblMovimientos[[#This Row],[Tipo de Movimiento]]="Egreso",tblMovimientos[[#This Row],[Monto (S/)]],"0")</f>
        <v>42.79</v>
      </c>
      <c r="P368" s="28">
        <f>IF(tblMovimientos[[#This Row],[Tipo de Movimiento]]="Ingreso",tblMovimientos[[#This Row],[Ingreso]],-tblMovimientos[[#This Row],[Egreso]])</f>
        <v>-42.79</v>
      </c>
      <c r="Q368" s="78" t="str">
        <f>_xlfn.XLOOKUP(tblMovimientos[[#This Row],[Cuenta Bancaria]],Cuentas!$C:$C,Cuentas!$A:$A,"")&amp;""</f>
        <v>SSP Group</v>
      </c>
      <c r="R368" s="78" t="str">
        <f>_xlfn.XLOOKUP(tblMovimientos[[#This Row],[Cuenta Bancaria]],Cuentas!$C:$C,Cuentas!$B:$B,"",0,-1)&amp;""</f>
        <v/>
      </c>
    </row>
    <row r="369" spans="1:18" x14ac:dyDescent="0.3">
      <c r="B369" s="39">
        <v>46196</v>
      </c>
      <c r="C369" s="4" t="str">
        <f>_xlfn.XLOOKUP(tblMovimientos[[#This Row],[Cuenta Bancaria]],Listas!$B:$B,Listas!$A:$A,"")</f>
        <v>Go Blue</v>
      </c>
      <c r="D369" s="41" t="s">
        <v>126</v>
      </c>
      <c r="E369" s="68" t="str">
        <f>_xlfn.XLOOKUP(tblMovimientos[[#This Row],[Cuenta Bancaria]],Listas!$B:$B,Listas!$C:$C,"")</f>
        <v xml:space="preserve">Amerant Bank </v>
      </c>
      <c r="F369" s="41" t="s">
        <v>10</v>
      </c>
      <c r="G369" s="41" t="s">
        <v>38</v>
      </c>
      <c r="H369" s="4" t="str">
        <f>IFERROR(_xlfn.XLOOKUP(G369,Listas!E:E,Listas!F:F,""),"")</f>
        <v>Operativo</v>
      </c>
      <c r="I369" s="46" t="str">
        <f>IFERROR(_xlfn.XLOOKUP(G369,Listas!E:E,Listas!G:G,""),"")</f>
        <v>Externo</v>
      </c>
      <c r="J369" s="43">
        <v>42.79</v>
      </c>
      <c r="K369" s="5">
        <f t="shared" si="5"/>
        <v>-42.79</v>
      </c>
      <c r="L369" s="15" t="s">
        <v>128</v>
      </c>
      <c r="M369" s="44">
        <f>SUMIFS('Saldos Iniciales'!$D:$D,'Saldos Iniciales'!$A:$A,C369,'Saldos Iniciales'!$B:$B,D369)+SUMIFS($K$1:$K$1324,$C$1:$C$1324,C369,$D$1:$D$1324,D369,$B$1:$B$1324,"&lt;="&amp;B369)</f>
        <v>44687.96</v>
      </c>
      <c r="N369" s="61" t="str">
        <f>IF(tblMovimientos[[#This Row],[Tipo de Movimiento]]="Ingreso",tblMovimientos[[#This Row],[Monto (S/)]],"0")</f>
        <v>0</v>
      </c>
      <c r="O369" s="61">
        <f>IF(tblMovimientos[[#This Row],[Tipo de Movimiento]]="Egreso",tblMovimientos[[#This Row],[Monto (S/)]],"0")</f>
        <v>42.79</v>
      </c>
      <c r="P369" s="28">
        <f>IF(tblMovimientos[[#This Row],[Tipo de Movimiento]]="Ingreso",tblMovimientos[[#This Row],[Ingreso]],-tblMovimientos[[#This Row],[Egreso]])</f>
        <v>-42.79</v>
      </c>
      <c r="Q369" s="78" t="str">
        <f>_xlfn.XLOOKUP(tblMovimientos[[#This Row],[Cuenta Bancaria]],Cuentas!$C:$C,Cuentas!$A:$A,"")&amp;""</f>
        <v>SSP Group</v>
      </c>
      <c r="R369" s="78" t="str">
        <f>_xlfn.XLOOKUP(tblMovimientos[[#This Row],[Cuenta Bancaria]],Cuentas!$C:$C,Cuentas!$B:$B,"",0,-1)&amp;""</f>
        <v/>
      </c>
    </row>
    <row r="370" spans="1:18" x14ac:dyDescent="0.3">
      <c r="B370" s="39">
        <v>46196</v>
      </c>
      <c r="C370" s="4" t="str">
        <f>_xlfn.XLOOKUP(tblMovimientos[[#This Row],[Cuenta Bancaria]],Listas!$B:$B,Listas!$A:$A,"")</f>
        <v>Go Blue</v>
      </c>
      <c r="D370" s="41" t="s">
        <v>126</v>
      </c>
      <c r="E370" s="68" t="str">
        <f>_xlfn.XLOOKUP(tblMovimientos[[#This Row],[Cuenta Bancaria]],Listas!$B:$B,Listas!$C:$C,"")</f>
        <v xml:space="preserve">Amerant Bank </v>
      </c>
      <c r="F370" s="41" t="s">
        <v>10</v>
      </c>
      <c r="G370" s="41" t="s">
        <v>38</v>
      </c>
      <c r="H370" s="4" t="str">
        <f>IFERROR(_xlfn.XLOOKUP(G370,Listas!E:E,Listas!F:F,""),"")</f>
        <v>Operativo</v>
      </c>
      <c r="I370" s="46" t="str">
        <f>IFERROR(_xlfn.XLOOKUP(G370,Listas!E:E,Listas!G:G,""),"")</f>
        <v>Externo</v>
      </c>
      <c r="J370" s="43">
        <v>42.79</v>
      </c>
      <c r="K370" s="5">
        <f t="shared" si="5"/>
        <v>-42.79</v>
      </c>
      <c r="L370" s="15" t="s">
        <v>128</v>
      </c>
      <c r="M370" s="44">
        <f>SUMIFS('Saldos Iniciales'!$D:$D,'Saldos Iniciales'!$A:$A,C370,'Saldos Iniciales'!$B:$B,D370)+SUMIFS($K$1:$K$1324,$C$1:$C$1324,C370,$D$1:$D$1324,D370,$B$1:$B$1324,"&lt;="&amp;B370)</f>
        <v>44687.96</v>
      </c>
      <c r="N370" s="61" t="str">
        <f>IF(tblMovimientos[[#This Row],[Tipo de Movimiento]]="Ingreso",tblMovimientos[[#This Row],[Monto (S/)]],"0")</f>
        <v>0</v>
      </c>
      <c r="O370" s="61">
        <f>IF(tblMovimientos[[#This Row],[Tipo de Movimiento]]="Egreso",tblMovimientos[[#This Row],[Monto (S/)]],"0")</f>
        <v>42.79</v>
      </c>
      <c r="P370" s="28">
        <f>IF(tblMovimientos[[#This Row],[Tipo de Movimiento]]="Ingreso",tblMovimientos[[#This Row],[Ingreso]],-tblMovimientos[[#This Row],[Egreso]])</f>
        <v>-42.79</v>
      </c>
      <c r="Q370" s="78" t="str">
        <f>_xlfn.XLOOKUP(tblMovimientos[[#This Row],[Cuenta Bancaria]],Cuentas!$C:$C,Cuentas!$A:$A,"")&amp;""</f>
        <v>SSP Group</v>
      </c>
      <c r="R370" s="78" t="str">
        <f>_xlfn.XLOOKUP(tblMovimientos[[#This Row],[Cuenta Bancaria]],Cuentas!$C:$C,Cuentas!$B:$B,"",0,-1)&amp;""</f>
        <v/>
      </c>
    </row>
    <row r="371" spans="1:18" x14ac:dyDescent="0.3">
      <c r="B371" s="39">
        <v>46196</v>
      </c>
      <c r="C371" s="4" t="str">
        <f>_xlfn.XLOOKUP(tblMovimientos[[#This Row],[Cuenta Bancaria]],Listas!$B:$B,Listas!$A:$A,"")</f>
        <v>CFT Group</v>
      </c>
      <c r="D371" s="41" t="s">
        <v>95</v>
      </c>
      <c r="E371" s="68" t="str">
        <f>_xlfn.XLOOKUP(tblMovimientos[[#This Row],[Cuenta Bancaria]],Listas!$B:$B,Listas!$C:$C,"")</f>
        <v xml:space="preserve">Amerant Bank </v>
      </c>
      <c r="F371" s="41" t="s">
        <v>9</v>
      </c>
      <c r="G371" s="41" t="s">
        <v>68</v>
      </c>
      <c r="H371" s="4" t="str">
        <f>IFERROR(_xlfn.XLOOKUP(G371,Listas!E:E,Listas!F:F,""),"")</f>
        <v>Operativo</v>
      </c>
      <c r="I371" s="46" t="str">
        <f>IFERROR(_xlfn.XLOOKUP(G371,Listas!E:E,Listas!G:G,""),"")</f>
        <v>Externo</v>
      </c>
      <c r="J371" s="43">
        <v>62409.45</v>
      </c>
      <c r="K371" s="5">
        <f t="shared" si="5"/>
        <v>62409.45</v>
      </c>
      <c r="L371" s="15" t="s">
        <v>128</v>
      </c>
      <c r="M371" s="44">
        <f>SUMIFS('Saldos Iniciales'!$D:$D,'Saldos Iniciales'!$A:$A,C371,'Saldos Iniciales'!$B:$B,D371)+SUMIFS($K$1:$K$1324,$C$1:$C$1324,C371,$D$1:$D$1324,D371,$B$1:$B$1324,"&lt;="&amp;B371)</f>
        <v>7546261.3600000003</v>
      </c>
      <c r="N371" s="61">
        <f>IF(tblMovimientos[[#This Row],[Tipo de Movimiento]]="Ingreso",tblMovimientos[[#This Row],[Monto (S/)]],"0")</f>
        <v>62409.45</v>
      </c>
      <c r="O371" s="61" t="str">
        <f>IF(tblMovimientos[[#This Row],[Tipo de Movimiento]]="Egreso",tblMovimientos[[#This Row],[Monto (S/)]],"0")</f>
        <v>0</v>
      </c>
      <c r="P371" s="28">
        <f>IF(tblMovimientos[[#This Row],[Tipo de Movimiento]]="Ingreso",tblMovimientos[[#This Row],[Ingreso]],-tblMovimientos[[#This Row],[Egreso]])</f>
        <v>62409.45</v>
      </c>
      <c r="Q371" s="78" t="str">
        <f>_xlfn.XLOOKUP(tblMovimientos[[#This Row],[Cuenta Bancaria]],Cuentas!$C:$C,Cuentas!$A:$A,"")&amp;""</f>
        <v>SSP Group</v>
      </c>
      <c r="R371" s="78" t="str">
        <f>_xlfn.XLOOKUP(tblMovimientos[[#This Row],[Cuenta Bancaria]],Cuentas!$C:$C,Cuentas!$B:$B,"",0,-1)&amp;""</f>
        <v/>
      </c>
    </row>
    <row r="372" spans="1:18" x14ac:dyDescent="0.3">
      <c r="B372" s="39">
        <v>46197</v>
      </c>
      <c r="C372" s="4" t="str">
        <f>_xlfn.XLOOKUP(tblMovimientos[[#This Row],[Cuenta Bancaria]],Listas!$B:$B,Listas!$A:$A,"")</f>
        <v>A&amp;M Imports</v>
      </c>
      <c r="D372" s="41" t="s">
        <v>100</v>
      </c>
      <c r="E372" s="68" t="str">
        <f>_xlfn.XLOOKUP(tblMovimientos[[#This Row],[Cuenta Bancaria]],Listas!$B:$B,Listas!$C:$C,"")</f>
        <v>Bank of America</v>
      </c>
      <c r="F372" s="41" t="s">
        <v>9</v>
      </c>
      <c r="G372" s="41" t="s">
        <v>68</v>
      </c>
      <c r="H372" s="4" t="str">
        <f>IFERROR(_xlfn.XLOOKUP(G372,Listas!E:E,Listas!F:F,""),"")</f>
        <v>Operativo</v>
      </c>
      <c r="I372" s="46" t="str">
        <f>IFERROR(_xlfn.XLOOKUP(G372,Listas!E:E,Listas!G:G,""),"")</f>
        <v>Externo</v>
      </c>
      <c r="J372" s="43">
        <v>23134.93</v>
      </c>
      <c r="K372" s="5">
        <f t="shared" si="5"/>
        <v>23134.93</v>
      </c>
      <c r="L372" s="15" t="s">
        <v>128</v>
      </c>
      <c r="M372" s="44">
        <f>SUMIFS('Saldos Iniciales'!$D:$D,'Saldos Iniciales'!$A:$A,C372,'Saldos Iniciales'!$B:$B,D372)+SUMIFS($K$1:$K$1324,$C$1:$C$1324,C372,$D$1:$D$1324,D372,$B$1:$B$1324,"&lt;="&amp;B372)</f>
        <v>532766.72999999986</v>
      </c>
      <c r="N372" s="61">
        <f>IF(tblMovimientos[[#This Row],[Tipo de Movimiento]]="Ingreso",tblMovimientos[[#This Row],[Monto (S/)]],"0")</f>
        <v>23134.93</v>
      </c>
      <c r="O372" s="61" t="str">
        <f>IF(tblMovimientos[[#This Row],[Tipo de Movimiento]]="Egreso",tblMovimientos[[#This Row],[Monto (S/)]],"0")</f>
        <v>0</v>
      </c>
      <c r="P372" s="28">
        <f>IF(tblMovimientos[[#This Row],[Tipo de Movimiento]]="Ingreso",tblMovimientos[[#This Row],[Ingreso]],-tblMovimientos[[#This Row],[Egreso]])</f>
        <v>23134.93</v>
      </c>
      <c r="Q372" s="78" t="str">
        <f>_xlfn.XLOOKUP(tblMovimientos[[#This Row],[Cuenta Bancaria]],Cuentas!$C:$C,Cuentas!$A:$A,"")&amp;""</f>
        <v>SSP Group</v>
      </c>
      <c r="R372" s="78" t="str">
        <f>_xlfn.XLOOKUP(tblMovimientos[[#This Row],[Cuenta Bancaria]],Cuentas!$C:$C,Cuentas!$B:$B,"",0,-1)&amp;""</f>
        <v/>
      </c>
    </row>
    <row r="373" spans="1:18" x14ac:dyDescent="0.3">
      <c r="A373" s="45"/>
      <c r="B373" s="39">
        <v>46197</v>
      </c>
      <c r="C373" s="4" t="str">
        <f>_xlfn.XLOOKUP(tblMovimientos[[#This Row],[Cuenta Bancaria]],Listas!$B:$B,Listas!$A:$A,"")</f>
        <v>A&amp;M Imports</v>
      </c>
      <c r="D373" s="41" t="s">
        <v>100</v>
      </c>
      <c r="E373" s="68" t="str">
        <f>_xlfn.XLOOKUP(tblMovimientos[[#This Row],[Cuenta Bancaria]],Listas!$B:$B,Listas!$C:$C,"")</f>
        <v>Bank of America</v>
      </c>
      <c r="F373" s="41" t="s">
        <v>9</v>
      </c>
      <c r="G373" s="41" t="s">
        <v>68</v>
      </c>
      <c r="H373" s="46" t="str">
        <f>IFERROR(_xlfn.XLOOKUP(G373,Listas!E:E,Listas!F:F,""),"")</f>
        <v>Operativo</v>
      </c>
      <c r="I373" s="46" t="str">
        <f>IFERROR(_xlfn.XLOOKUP(G373,Listas!E:E,Listas!G:G,""),"")</f>
        <v>Externo</v>
      </c>
      <c r="J373" s="43">
        <v>5726.99</v>
      </c>
      <c r="K373" s="5">
        <f t="shared" si="5"/>
        <v>5726.99</v>
      </c>
      <c r="L373" s="15" t="s">
        <v>128</v>
      </c>
      <c r="M373" s="44">
        <f>SUMIFS('Saldos Iniciales'!$D:$D,'Saldos Iniciales'!$A:$A,C373,'Saldos Iniciales'!$B:$B,D373)+SUMIFS($K$1:$K$1324,$C$1:$C$1324,C373,$D$1:$D$1324,D373,$B$1:$B$1324,"&lt;="&amp;B373)</f>
        <v>532766.72999999986</v>
      </c>
      <c r="N373" s="61">
        <f>IF(tblMovimientos[[#This Row],[Tipo de Movimiento]]="Ingreso",tblMovimientos[[#This Row],[Monto (S/)]],"0")</f>
        <v>5726.99</v>
      </c>
      <c r="O373" s="61" t="str">
        <f>IF(tblMovimientos[[#This Row],[Tipo de Movimiento]]="Egreso",tblMovimientos[[#This Row],[Monto (S/)]],"0")</f>
        <v>0</v>
      </c>
      <c r="P373" s="28">
        <f>IF(tblMovimientos[[#This Row],[Tipo de Movimiento]]="Ingreso",tblMovimientos[[#This Row],[Ingreso]],-tblMovimientos[[#This Row],[Egreso]])</f>
        <v>5726.99</v>
      </c>
      <c r="Q373" s="78" t="str">
        <f>_xlfn.XLOOKUP(tblMovimientos[[#This Row],[Cuenta Bancaria]],Cuentas!$C:$C,Cuentas!$A:$A,"")&amp;""</f>
        <v>SSP Group</v>
      </c>
      <c r="R373" s="78" t="str">
        <f>_xlfn.XLOOKUP(tblMovimientos[[#This Row],[Cuenta Bancaria]],Cuentas!$C:$C,Cuentas!$B:$B,"",0,-1)&amp;""</f>
        <v/>
      </c>
    </row>
    <row r="374" spans="1:18" x14ac:dyDescent="0.3">
      <c r="B374" s="39">
        <v>46197</v>
      </c>
      <c r="C374" s="4" t="str">
        <f>_xlfn.XLOOKUP(tblMovimientos[[#This Row],[Cuenta Bancaria]],Listas!$B:$B,Listas!$A:$A,"")</f>
        <v>CFT Group</v>
      </c>
      <c r="D374" s="41" t="s">
        <v>94</v>
      </c>
      <c r="E374" s="68" t="str">
        <f>_xlfn.XLOOKUP(tblMovimientos[[#This Row],[Cuenta Bancaria]],Listas!$B:$B,Listas!$C:$C,"")</f>
        <v>Bank of America</v>
      </c>
      <c r="F374" s="41" t="s">
        <v>9</v>
      </c>
      <c r="G374" s="41" t="s">
        <v>72</v>
      </c>
      <c r="H374" s="4" t="str">
        <f>IFERROR(_xlfn.XLOOKUP(G374,Listas!E:E,Listas!F:F,""),"")</f>
        <v>Operativo</v>
      </c>
      <c r="I374" s="46" t="str">
        <f>IFERROR(_xlfn.XLOOKUP(G374,Listas!E:E,Listas!G:G,""),"")</f>
        <v>Externo</v>
      </c>
      <c r="J374" s="43">
        <v>67069.119999999995</v>
      </c>
      <c r="K374" s="5">
        <f t="shared" si="5"/>
        <v>67069.119999999995</v>
      </c>
      <c r="L374" s="15" t="s">
        <v>128</v>
      </c>
      <c r="M374" s="44">
        <f>SUMIFS('Saldos Iniciales'!$D:$D,'Saldos Iniciales'!$A:$A,C374,'Saldos Iniciales'!$B:$B,D374)+SUMIFS($K$1:$K$1324,$C$1:$C$1324,C374,$D$1:$D$1324,D374,$B$1:$B$1324,"&lt;="&amp;B374)</f>
        <v>191293.31999999998</v>
      </c>
      <c r="N374" s="61">
        <f>IF(tblMovimientos[[#This Row],[Tipo de Movimiento]]="Ingreso",tblMovimientos[[#This Row],[Monto (S/)]],"0")</f>
        <v>67069.119999999995</v>
      </c>
      <c r="O374" s="61" t="str">
        <f>IF(tblMovimientos[[#This Row],[Tipo de Movimiento]]="Egreso",tblMovimientos[[#This Row],[Monto (S/)]],"0")</f>
        <v>0</v>
      </c>
      <c r="P374" s="28">
        <f>IF(tblMovimientos[[#This Row],[Tipo de Movimiento]]="Ingreso",tblMovimientos[[#This Row],[Ingreso]],-tblMovimientos[[#This Row],[Egreso]])</f>
        <v>67069.119999999995</v>
      </c>
      <c r="Q374" s="78" t="str">
        <f>_xlfn.XLOOKUP(tblMovimientos[[#This Row],[Cuenta Bancaria]],Cuentas!$C:$C,Cuentas!$A:$A,"")&amp;""</f>
        <v>SSP Group</v>
      </c>
      <c r="R374" s="78" t="str">
        <f>_xlfn.XLOOKUP(tblMovimientos[[#This Row],[Cuenta Bancaria]],Cuentas!$C:$C,Cuentas!$B:$B,"",0,-1)&amp;""</f>
        <v/>
      </c>
    </row>
    <row r="375" spans="1:18" x14ac:dyDescent="0.3">
      <c r="B375" s="39">
        <v>46197</v>
      </c>
      <c r="C375" s="4" t="str">
        <f>_xlfn.XLOOKUP(tblMovimientos[[#This Row],[Cuenta Bancaria]],Listas!$B:$B,Listas!$A:$A,"")</f>
        <v>M1B</v>
      </c>
      <c r="D375" s="41" t="s">
        <v>97</v>
      </c>
      <c r="E375" s="68" t="str">
        <f>_xlfn.XLOOKUP(tblMovimientos[[#This Row],[Cuenta Bancaria]],Listas!$B:$B,Listas!$C:$C,"")</f>
        <v xml:space="preserve">Amerant Bank </v>
      </c>
      <c r="F375" s="41" t="s">
        <v>9</v>
      </c>
      <c r="G375" s="41" t="s">
        <v>68</v>
      </c>
      <c r="H375" s="4" t="str">
        <f>IFERROR(_xlfn.XLOOKUP(G375,Listas!E:E,Listas!F:F,""),"")</f>
        <v>Operativo</v>
      </c>
      <c r="I375" s="46" t="str">
        <f>IFERROR(_xlfn.XLOOKUP(G375,Listas!E:E,Listas!G:G,""),"")</f>
        <v>Externo</v>
      </c>
      <c r="J375" s="43">
        <v>457.74</v>
      </c>
      <c r="K375" s="5">
        <f t="shared" si="5"/>
        <v>457.74</v>
      </c>
      <c r="L375" s="15" t="s">
        <v>128</v>
      </c>
      <c r="M375" s="44">
        <f>SUMIFS('Saldos Iniciales'!$D:$D,'Saldos Iniciales'!$A:$A,C375,'Saldos Iniciales'!$B:$B,D375)+SUMIFS($K$1:$K$1324,$C$1:$C$1324,C375,$D$1:$D$1324,D375,$B$1:$B$1324,"&lt;="&amp;B375)</f>
        <v>67386.190000000177</v>
      </c>
      <c r="N375" s="61">
        <f>IF(tblMovimientos[[#This Row],[Tipo de Movimiento]]="Ingreso",tblMovimientos[[#This Row],[Monto (S/)]],"0")</f>
        <v>457.74</v>
      </c>
      <c r="O375" s="61" t="str">
        <f>IF(tblMovimientos[[#This Row],[Tipo de Movimiento]]="Egreso",tblMovimientos[[#This Row],[Monto (S/)]],"0")</f>
        <v>0</v>
      </c>
      <c r="P375" s="28">
        <f>IF(tblMovimientos[[#This Row],[Tipo de Movimiento]]="Ingreso",tblMovimientos[[#This Row],[Ingreso]],-tblMovimientos[[#This Row],[Egreso]])</f>
        <v>457.74</v>
      </c>
      <c r="Q375" s="78" t="str">
        <f>_xlfn.XLOOKUP(tblMovimientos[[#This Row],[Cuenta Bancaria]],Cuentas!$C:$C,Cuentas!$A:$A,"")&amp;""</f>
        <v>SSP Group</v>
      </c>
      <c r="R375" s="78" t="str">
        <f>_xlfn.XLOOKUP(tblMovimientos[[#This Row],[Cuenta Bancaria]],Cuentas!$C:$C,Cuentas!$B:$B,"",0,-1)&amp;""</f>
        <v/>
      </c>
    </row>
    <row r="376" spans="1:18" x14ac:dyDescent="0.3">
      <c r="B376" s="39">
        <v>46197</v>
      </c>
      <c r="C376" s="4" t="str">
        <f>_xlfn.XLOOKUP(tblMovimientos[[#This Row],[Cuenta Bancaria]],Listas!$B:$B,Listas!$A:$A,"")</f>
        <v>M1B</v>
      </c>
      <c r="D376" s="41" t="s">
        <v>97</v>
      </c>
      <c r="E376" s="68" t="str">
        <f>_xlfn.XLOOKUP(tblMovimientos[[#This Row],[Cuenta Bancaria]],Listas!$B:$B,Listas!$C:$C,"")</f>
        <v xml:space="preserve">Amerant Bank </v>
      </c>
      <c r="F376" s="41" t="s">
        <v>9</v>
      </c>
      <c r="G376" s="41" t="s">
        <v>68</v>
      </c>
      <c r="H376" s="4" t="str">
        <f>IFERROR(_xlfn.XLOOKUP(G376,Listas!E:E,Listas!F:F,""),"")</f>
        <v>Operativo</v>
      </c>
      <c r="I376" s="46" t="str">
        <f>IFERROR(_xlfn.XLOOKUP(G376,Listas!E:E,Listas!G:G,""),"")</f>
        <v>Externo</v>
      </c>
      <c r="J376" s="43">
        <v>2552.06</v>
      </c>
      <c r="K376" s="5">
        <f t="shared" si="5"/>
        <v>2552.06</v>
      </c>
      <c r="L376" s="15" t="s">
        <v>128</v>
      </c>
      <c r="M376" s="44">
        <f>SUMIFS('Saldos Iniciales'!$D:$D,'Saldos Iniciales'!$A:$A,C376,'Saldos Iniciales'!$B:$B,D376)+SUMIFS($K$1:$K$1324,$C$1:$C$1324,C376,$D$1:$D$1324,D376,$B$1:$B$1324,"&lt;="&amp;B376)</f>
        <v>67386.190000000177</v>
      </c>
      <c r="N376" s="61">
        <f>IF(tblMovimientos[[#This Row],[Tipo de Movimiento]]="Ingreso",tblMovimientos[[#This Row],[Monto (S/)]],"0")</f>
        <v>2552.06</v>
      </c>
      <c r="O376" s="61" t="str">
        <f>IF(tblMovimientos[[#This Row],[Tipo de Movimiento]]="Egreso",tblMovimientos[[#This Row],[Monto (S/)]],"0")</f>
        <v>0</v>
      </c>
      <c r="P376" s="28">
        <f>IF(tblMovimientos[[#This Row],[Tipo de Movimiento]]="Ingreso",tblMovimientos[[#This Row],[Ingreso]],-tblMovimientos[[#This Row],[Egreso]])</f>
        <v>2552.06</v>
      </c>
      <c r="Q376" s="78" t="str">
        <f>_xlfn.XLOOKUP(tblMovimientos[[#This Row],[Cuenta Bancaria]],Cuentas!$C:$C,Cuentas!$A:$A,"")&amp;""</f>
        <v>SSP Group</v>
      </c>
      <c r="R376" s="78" t="str">
        <f>_xlfn.XLOOKUP(tblMovimientos[[#This Row],[Cuenta Bancaria]],Cuentas!$C:$C,Cuentas!$B:$B,"",0,-1)&amp;""</f>
        <v/>
      </c>
    </row>
    <row r="377" spans="1:18" x14ac:dyDescent="0.3">
      <c r="B377" s="39">
        <v>46198</v>
      </c>
      <c r="C377" s="4" t="str">
        <f>_xlfn.XLOOKUP(tblMovimientos[[#This Row],[Cuenta Bancaria]],Listas!$B:$B,Listas!$A:$A,"")</f>
        <v>A&amp;M Imports</v>
      </c>
      <c r="D377" s="41" t="s">
        <v>100</v>
      </c>
      <c r="E377" s="68" t="str">
        <f>_xlfn.XLOOKUP(tblMovimientos[[#This Row],[Cuenta Bancaria]],Listas!$B:$B,Listas!$C:$C,"")</f>
        <v>Bank of America</v>
      </c>
      <c r="F377" s="41" t="s">
        <v>10</v>
      </c>
      <c r="G377" s="41" t="s">
        <v>61</v>
      </c>
      <c r="H377" s="4" t="str">
        <f>IFERROR(_xlfn.XLOOKUP(G377,Listas!E:E,Listas!F:F,""),"")</f>
        <v>Operativo</v>
      </c>
      <c r="I377" s="46" t="str">
        <f>IFERROR(_xlfn.XLOOKUP(G377,Listas!E:E,Listas!G:G,""),"")</f>
        <v>Externo</v>
      </c>
      <c r="J377" s="43">
        <v>60000</v>
      </c>
      <c r="K377" s="5">
        <f t="shared" si="5"/>
        <v>-60000</v>
      </c>
      <c r="L377" s="15" t="s">
        <v>128</v>
      </c>
      <c r="M377" s="44">
        <f>SUMIFS('Saldos Iniciales'!$D:$D,'Saldos Iniciales'!$A:$A,C377,'Saldos Iniciales'!$B:$B,D377)+SUMIFS($K$1:$K$1324,$C$1:$C$1324,C377,$D$1:$D$1324,D377,$B$1:$B$1324,"&lt;="&amp;B377)</f>
        <v>472766.72999999986</v>
      </c>
      <c r="N377" s="61" t="str">
        <f>IF(tblMovimientos[[#This Row],[Tipo de Movimiento]]="Ingreso",tblMovimientos[[#This Row],[Monto (S/)]],"0")</f>
        <v>0</v>
      </c>
      <c r="O377" s="61">
        <f>IF(tblMovimientos[[#This Row],[Tipo de Movimiento]]="Egreso",tblMovimientos[[#This Row],[Monto (S/)]],"0")</f>
        <v>60000</v>
      </c>
      <c r="P377" s="28">
        <f>IF(tblMovimientos[[#This Row],[Tipo de Movimiento]]="Ingreso",tblMovimientos[[#This Row],[Ingreso]],-tblMovimientos[[#This Row],[Egreso]])</f>
        <v>-60000</v>
      </c>
      <c r="Q377" s="78" t="str">
        <f>_xlfn.XLOOKUP(tblMovimientos[[#This Row],[Cuenta Bancaria]],Cuentas!$C:$C,Cuentas!$A:$A,"")&amp;""</f>
        <v>SSP Group</v>
      </c>
      <c r="R377" s="78" t="str">
        <f>_xlfn.XLOOKUP(tblMovimientos[[#This Row],[Cuenta Bancaria]],Cuentas!$C:$C,Cuentas!$B:$B,"",0,-1)&amp;""</f>
        <v/>
      </c>
    </row>
    <row r="378" spans="1:18" x14ac:dyDescent="0.3">
      <c r="B378" s="39">
        <v>46198</v>
      </c>
      <c r="C378" s="4" t="str">
        <f>_xlfn.XLOOKUP(tblMovimientos[[#This Row],[Cuenta Bancaria]],Listas!$B:$B,Listas!$A:$A,"")</f>
        <v>CFT Group</v>
      </c>
      <c r="D378" s="41" t="s">
        <v>94</v>
      </c>
      <c r="E378" s="68" t="str">
        <f>_xlfn.XLOOKUP(tblMovimientos[[#This Row],[Cuenta Bancaria]],Listas!$B:$B,Listas!$C:$C,"")</f>
        <v>Bank of America</v>
      </c>
      <c r="F378" s="41" t="s">
        <v>10</v>
      </c>
      <c r="G378" s="41" t="s">
        <v>62</v>
      </c>
      <c r="H378" s="4" t="str">
        <f>IFERROR(_xlfn.XLOOKUP(G378,Listas!E:E,Listas!F:F,""),"")</f>
        <v>Operativo</v>
      </c>
      <c r="I378" s="46" t="str">
        <f>IFERROR(_xlfn.XLOOKUP(G378,Listas!E:E,Listas!G:G,""),"")</f>
        <v>Interno</v>
      </c>
      <c r="J378" s="43">
        <v>150000</v>
      </c>
      <c r="K378" s="5">
        <f t="shared" si="5"/>
        <v>-150000</v>
      </c>
      <c r="L378" s="15" t="s">
        <v>128</v>
      </c>
      <c r="M378" s="44">
        <f>SUMIFS('Saldos Iniciales'!$D:$D,'Saldos Iniciales'!$A:$A,C378,'Saldos Iniciales'!$B:$B,D378)+SUMIFS($K$1:$K$1324,$C$1:$C$1324,C378,$D$1:$D$1324,D378,$B$1:$B$1324,"&lt;="&amp;B378)</f>
        <v>29293.319999999978</v>
      </c>
      <c r="N378" s="61" t="str">
        <f>IF(tblMovimientos[[#This Row],[Tipo de Movimiento]]="Ingreso",tblMovimientos[[#This Row],[Monto (S/)]],"0")</f>
        <v>0</v>
      </c>
      <c r="O378" s="61">
        <f>IF(tblMovimientos[[#This Row],[Tipo de Movimiento]]="Egreso",tblMovimientos[[#This Row],[Monto (S/)]],"0")</f>
        <v>150000</v>
      </c>
      <c r="P378" s="28">
        <f>IF(tblMovimientos[[#This Row],[Tipo de Movimiento]]="Ingreso",tblMovimientos[[#This Row],[Ingreso]],-tblMovimientos[[#This Row],[Egreso]])</f>
        <v>-150000</v>
      </c>
      <c r="Q378" s="78" t="str">
        <f>_xlfn.XLOOKUP(tblMovimientos[[#This Row],[Cuenta Bancaria]],Cuentas!$C:$C,Cuentas!$A:$A,"")&amp;""</f>
        <v>SSP Group</v>
      </c>
      <c r="R378" s="78" t="str">
        <f>_xlfn.XLOOKUP(tblMovimientos[[#This Row],[Cuenta Bancaria]],Cuentas!$C:$C,Cuentas!$B:$B,"",0,-1)&amp;""</f>
        <v/>
      </c>
    </row>
    <row r="379" spans="1:18" x14ac:dyDescent="0.3">
      <c r="B379" s="39">
        <v>46198</v>
      </c>
      <c r="C379" s="4" t="str">
        <f>_xlfn.XLOOKUP(tblMovimientos[[#This Row],[Cuenta Bancaria]],Listas!$B:$B,Listas!$A:$A,"")</f>
        <v>CFT Group</v>
      </c>
      <c r="D379" s="41" t="s">
        <v>94</v>
      </c>
      <c r="E379" s="68" t="str">
        <f>_xlfn.XLOOKUP(tblMovimientos[[#This Row],[Cuenta Bancaria]],Listas!$B:$B,Listas!$C:$C,"")</f>
        <v>Bank of America</v>
      </c>
      <c r="F379" s="41" t="s">
        <v>10</v>
      </c>
      <c r="G379" s="41" t="s">
        <v>62</v>
      </c>
      <c r="H379" s="4" t="str">
        <f>IFERROR(_xlfn.XLOOKUP(G379,Listas!E:E,Listas!F:F,""),"")</f>
        <v>Operativo</v>
      </c>
      <c r="I379" s="46" t="str">
        <f>IFERROR(_xlfn.XLOOKUP(G379,Listas!E:E,Listas!G:G,""),"")</f>
        <v>Interno</v>
      </c>
      <c r="J379" s="43">
        <v>12000</v>
      </c>
      <c r="K379" s="5">
        <f t="shared" si="5"/>
        <v>-12000</v>
      </c>
      <c r="L379" s="15" t="s">
        <v>128</v>
      </c>
      <c r="M379" s="44">
        <f>SUMIFS('Saldos Iniciales'!$D:$D,'Saldos Iniciales'!$A:$A,C379,'Saldos Iniciales'!$B:$B,D379)+SUMIFS($K$1:$K$1324,$C$1:$C$1324,C379,$D$1:$D$1324,D379,$B$1:$B$1324,"&lt;="&amp;B379)</f>
        <v>29293.319999999978</v>
      </c>
      <c r="N379" s="61" t="str">
        <f>IF(tblMovimientos[[#This Row],[Tipo de Movimiento]]="Ingreso",tblMovimientos[[#This Row],[Monto (S/)]],"0")</f>
        <v>0</v>
      </c>
      <c r="O379" s="61">
        <f>IF(tblMovimientos[[#This Row],[Tipo de Movimiento]]="Egreso",tblMovimientos[[#This Row],[Monto (S/)]],"0")</f>
        <v>12000</v>
      </c>
      <c r="P379" s="28">
        <f>IF(tblMovimientos[[#This Row],[Tipo de Movimiento]]="Ingreso",tblMovimientos[[#This Row],[Ingreso]],-tblMovimientos[[#This Row],[Egreso]])</f>
        <v>-12000</v>
      </c>
      <c r="Q379" s="78" t="str">
        <f>_xlfn.XLOOKUP(tblMovimientos[[#This Row],[Cuenta Bancaria]],Cuentas!$C:$C,Cuentas!$A:$A,"")&amp;""</f>
        <v>SSP Group</v>
      </c>
      <c r="R379" s="78" t="str">
        <f>_xlfn.XLOOKUP(tblMovimientos[[#This Row],[Cuenta Bancaria]],Cuentas!$C:$C,Cuentas!$B:$B,"",0,-1)&amp;""</f>
        <v/>
      </c>
    </row>
    <row r="380" spans="1:18" x14ac:dyDescent="0.3">
      <c r="B380" s="39">
        <v>46198</v>
      </c>
      <c r="C380" s="4" t="str">
        <f>_xlfn.XLOOKUP(tblMovimientos[[#This Row],[Cuenta Bancaria]],Listas!$B:$B,Listas!$A:$A,"")</f>
        <v>3628 Thomas Ave</v>
      </c>
      <c r="D380" s="41" t="s">
        <v>124</v>
      </c>
      <c r="E380" s="68" t="str">
        <f>_xlfn.XLOOKUP(tblMovimientos[[#This Row],[Cuenta Bancaria]],Listas!$B:$B,Listas!$C:$C,"")</f>
        <v>Bank of America</v>
      </c>
      <c r="F380" s="41" t="s">
        <v>9</v>
      </c>
      <c r="G380" s="41" t="s">
        <v>75</v>
      </c>
      <c r="H380" s="4" t="str">
        <f>IFERROR(_xlfn.XLOOKUP(G380,Listas!E:E,Listas!F:F,""),"")</f>
        <v>Financiamiento</v>
      </c>
      <c r="I380" s="46" t="str">
        <f>IFERROR(_xlfn.XLOOKUP(G380,Listas!E:E,Listas!G:G,""),"")</f>
        <v>Interno</v>
      </c>
      <c r="J380" s="43">
        <v>12000</v>
      </c>
      <c r="K380" s="5">
        <f t="shared" si="5"/>
        <v>12000</v>
      </c>
      <c r="L380" s="15" t="s">
        <v>128</v>
      </c>
      <c r="M380" s="44">
        <f>SUMIFS('Saldos Iniciales'!$D:$D,'Saldos Iniciales'!$A:$A,C380,'Saldos Iniciales'!$B:$B,D380)+SUMIFS($K$1:$K$1324,$C$1:$C$1324,C380,$D$1:$D$1324,D380,$B$1:$B$1324,"&lt;="&amp;B380)</f>
        <v>28473.599999999999</v>
      </c>
      <c r="N380" s="61">
        <f>IF(tblMovimientos[[#This Row],[Tipo de Movimiento]]="Ingreso",tblMovimientos[[#This Row],[Monto (S/)]],"0")</f>
        <v>12000</v>
      </c>
      <c r="O380" s="61" t="str">
        <f>IF(tblMovimientos[[#This Row],[Tipo de Movimiento]]="Egreso",tblMovimientos[[#This Row],[Monto (S/)]],"0")</f>
        <v>0</v>
      </c>
      <c r="P380" s="28">
        <f>IF(tblMovimientos[[#This Row],[Tipo de Movimiento]]="Ingreso",tblMovimientos[[#This Row],[Ingreso]],-tblMovimientos[[#This Row],[Egreso]])</f>
        <v>12000</v>
      </c>
      <c r="Q380" s="78" t="str">
        <f>_xlfn.XLOOKUP(tblMovimientos[[#This Row],[Cuenta Bancaria]],Cuentas!$C:$C,Cuentas!$A:$A,"")&amp;""</f>
        <v>SSP Group</v>
      </c>
      <c r="R380" s="78" t="str">
        <f>_xlfn.XLOOKUP(tblMovimientos[[#This Row],[Cuenta Bancaria]],Cuentas!$C:$C,Cuentas!$B:$B,"",0,-1)&amp;""</f>
        <v/>
      </c>
    </row>
    <row r="381" spans="1:18" x14ac:dyDescent="0.3">
      <c r="B381" s="39">
        <v>46198</v>
      </c>
      <c r="C381" s="4" t="str">
        <f>_xlfn.XLOOKUP(tblMovimientos[[#This Row],[Cuenta Bancaria]],Listas!$B:$B,Listas!$A:$A,"")</f>
        <v>3628 Thomas Ave</v>
      </c>
      <c r="D381" s="41" t="s">
        <v>124</v>
      </c>
      <c r="E381" s="68" t="str">
        <f>_xlfn.XLOOKUP(tblMovimientos[[#This Row],[Cuenta Bancaria]],Listas!$B:$B,Listas!$C:$C,"")</f>
        <v>Bank of America</v>
      </c>
      <c r="F381" s="41" t="s">
        <v>10</v>
      </c>
      <c r="G381" s="41" t="s">
        <v>38</v>
      </c>
      <c r="H381" s="4" t="str">
        <f>IFERROR(_xlfn.XLOOKUP(G381,Listas!E:E,Listas!F:F,""),"")</f>
        <v>Operativo</v>
      </c>
      <c r="I381" s="46" t="str">
        <f>IFERROR(_xlfn.XLOOKUP(G381,Listas!E:E,Listas!G:G,""),"")</f>
        <v>Externo</v>
      </c>
      <c r="J381" s="43">
        <v>207.75</v>
      </c>
      <c r="K381" s="5">
        <f t="shared" si="5"/>
        <v>-207.75</v>
      </c>
      <c r="L381" s="15" t="s">
        <v>128</v>
      </c>
      <c r="M381" s="44">
        <f>SUMIFS('Saldos Iniciales'!$D:$D,'Saldos Iniciales'!$A:$A,C381,'Saldos Iniciales'!$B:$B,D381)+SUMIFS($K$1:$K$1324,$C$1:$C$1324,C381,$D$1:$D$1324,D381,$B$1:$B$1324,"&lt;="&amp;B381)</f>
        <v>28473.599999999999</v>
      </c>
      <c r="N381" s="61" t="str">
        <f>IF(tblMovimientos[[#This Row],[Tipo de Movimiento]]="Ingreso",tblMovimientos[[#This Row],[Monto (S/)]],"0")</f>
        <v>0</v>
      </c>
      <c r="O381" s="61">
        <f>IF(tblMovimientos[[#This Row],[Tipo de Movimiento]]="Egreso",tblMovimientos[[#This Row],[Monto (S/)]],"0")</f>
        <v>207.75</v>
      </c>
      <c r="P381" s="28">
        <f>IF(tblMovimientos[[#This Row],[Tipo de Movimiento]]="Ingreso",tblMovimientos[[#This Row],[Ingreso]],-tblMovimientos[[#This Row],[Egreso]])</f>
        <v>-207.75</v>
      </c>
      <c r="Q381" s="78" t="str">
        <f>_xlfn.XLOOKUP(tblMovimientos[[#This Row],[Cuenta Bancaria]],Cuentas!$C:$C,Cuentas!$A:$A,"")&amp;""</f>
        <v>SSP Group</v>
      </c>
      <c r="R381" s="78" t="str">
        <f>_xlfn.XLOOKUP(tblMovimientos[[#This Row],[Cuenta Bancaria]],Cuentas!$C:$C,Cuentas!$B:$B,"",0,-1)&amp;""</f>
        <v/>
      </c>
    </row>
    <row r="382" spans="1:18" x14ac:dyDescent="0.3">
      <c r="B382" s="39">
        <v>46198</v>
      </c>
      <c r="C382" s="4" t="str">
        <f>_xlfn.XLOOKUP(tblMovimientos[[#This Row],[Cuenta Bancaria]],Listas!$B:$B,Listas!$A:$A,"")</f>
        <v>CFT Group</v>
      </c>
      <c r="D382" s="41" t="s">
        <v>95</v>
      </c>
      <c r="E382" s="68" t="str">
        <f>_xlfn.XLOOKUP(tblMovimientos[[#This Row],[Cuenta Bancaria]],Listas!$B:$B,Listas!$C:$C,"")</f>
        <v xml:space="preserve">Amerant Bank </v>
      </c>
      <c r="F382" s="41" t="s">
        <v>9</v>
      </c>
      <c r="H382" s="4">
        <f>IFERROR(_xlfn.XLOOKUP(G382,Listas!E:E,Listas!F:F,""),"")</f>
        <v>0</v>
      </c>
      <c r="I382" s="46">
        <f>IFERROR(_xlfn.XLOOKUP(G382,Listas!E:E,Listas!G:G,""),"")</f>
        <v>0</v>
      </c>
      <c r="J382" s="43">
        <v>10000</v>
      </c>
      <c r="K382" s="5">
        <f t="shared" si="5"/>
        <v>10000</v>
      </c>
      <c r="L382" s="15" t="s">
        <v>128</v>
      </c>
      <c r="M382" s="44">
        <f>SUMIFS('Saldos Iniciales'!$D:$D,'Saldos Iniciales'!$A:$A,C382,'Saldos Iniciales'!$B:$B,D382)+SUMIFS($K$1:$K$1324,$C$1:$C$1324,C382,$D$1:$D$1324,D382,$B$1:$B$1324,"&lt;="&amp;B382)</f>
        <v>6264386.3600000003</v>
      </c>
      <c r="N382" s="61">
        <f>IF(tblMovimientos[[#This Row],[Tipo de Movimiento]]="Ingreso",tblMovimientos[[#This Row],[Monto (S/)]],"0")</f>
        <v>10000</v>
      </c>
      <c r="O382" s="61" t="str">
        <f>IF(tblMovimientos[[#This Row],[Tipo de Movimiento]]="Egreso",tblMovimientos[[#This Row],[Monto (S/)]],"0")</f>
        <v>0</v>
      </c>
      <c r="P382" s="28">
        <f>IF(tblMovimientos[[#This Row],[Tipo de Movimiento]]="Ingreso",tblMovimientos[[#This Row],[Ingreso]],-tblMovimientos[[#This Row],[Egreso]])</f>
        <v>10000</v>
      </c>
      <c r="Q382" s="78" t="str">
        <f>_xlfn.XLOOKUP(tblMovimientos[[#This Row],[Cuenta Bancaria]],Cuentas!$C:$C,Cuentas!$A:$A,"")&amp;""</f>
        <v>SSP Group</v>
      </c>
      <c r="R382" s="78" t="str">
        <f>_xlfn.XLOOKUP(tblMovimientos[[#This Row],[Cuenta Bancaria]],Cuentas!$C:$C,Cuentas!$B:$B,"",0,-1)&amp;""</f>
        <v/>
      </c>
    </row>
    <row r="383" spans="1:18" x14ac:dyDescent="0.3">
      <c r="B383" s="39">
        <v>46198</v>
      </c>
      <c r="C383" s="4" t="str">
        <f>_xlfn.XLOOKUP(tblMovimientos[[#This Row],[Cuenta Bancaria]],Listas!$B:$B,Listas!$A:$A,"")</f>
        <v>CFT Group</v>
      </c>
      <c r="D383" s="41" t="s">
        <v>95</v>
      </c>
      <c r="E383" s="68" t="str">
        <f>_xlfn.XLOOKUP(tblMovimientos[[#This Row],[Cuenta Bancaria]],Listas!$B:$B,Listas!$C:$C,"")</f>
        <v xml:space="preserve">Amerant Bank </v>
      </c>
      <c r="F383" s="41" t="s">
        <v>9</v>
      </c>
      <c r="G383" s="41" t="s">
        <v>75</v>
      </c>
      <c r="H383" s="4" t="str">
        <f>IFERROR(_xlfn.XLOOKUP(G383,Listas!E:E,Listas!F:F,""),"")</f>
        <v>Financiamiento</v>
      </c>
      <c r="I383" s="46" t="str">
        <f>IFERROR(_xlfn.XLOOKUP(G383,Listas!E:E,Listas!G:G,""),"")</f>
        <v>Interno</v>
      </c>
      <c r="J383" s="43">
        <v>150000</v>
      </c>
      <c r="K383" s="5">
        <f t="shared" si="5"/>
        <v>150000</v>
      </c>
      <c r="L383" s="15" t="s">
        <v>128</v>
      </c>
      <c r="M383" s="44">
        <f>SUMIFS('Saldos Iniciales'!$D:$D,'Saldos Iniciales'!$A:$A,C383,'Saldos Iniciales'!$B:$B,D383)+SUMIFS($K$1:$K$1324,$C$1:$C$1324,C383,$D$1:$D$1324,D383,$B$1:$B$1324,"&lt;="&amp;B383)</f>
        <v>6264386.3600000003</v>
      </c>
      <c r="N383" s="61">
        <f>IF(tblMovimientos[[#This Row],[Tipo de Movimiento]]="Ingreso",tblMovimientos[[#This Row],[Monto (S/)]],"0")</f>
        <v>150000</v>
      </c>
      <c r="O383" s="61" t="str">
        <f>IF(tblMovimientos[[#This Row],[Tipo de Movimiento]]="Egreso",tblMovimientos[[#This Row],[Monto (S/)]],"0")</f>
        <v>0</v>
      </c>
      <c r="P383" s="28">
        <f>IF(tblMovimientos[[#This Row],[Tipo de Movimiento]]="Ingreso",tblMovimientos[[#This Row],[Ingreso]],-tblMovimientos[[#This Row],[Egreso]])</f>
        <v>150000</v>
      </c>
      <c r="Q383" s="78" t="str">
        <f>_xlfn.XLOOKUP(tblMovimientos[[#This Row],[Cuenta Bancaria]],Cuentas!$C:$C,Cuentas!$A:$A,"")&amp;""</f>
        <v>SSP Group</v>
      </c>
      <c r="R383" s="78" t="str">
        <f>_xlfn.XLOOKUP(tblMovimientos[[#This Row],[Cuenta Bancaria]],Cuentas!$C:$C,Cuentas!$B:$B,"",0,-1)&amp;""</f>
        <v/>
      </c>
    </row>
    <row r="384" spans="1:18" x14ac:dyDescent="0.3">
      <c r="B384" s="39">
        <v>46198</v>
      </c>
      <c r="C384" s="4" t="str">
        <f>_xlfn.XLOOKUP(tblMovimientos[[#This Row],[Cuenta Bancaria]],Listas!$B:$B,Listas!$A:$A,"")</f>
        <v>CFT Group</v>
      </c>
      <c r="D384" s="41" t="s">
        <v>95</v>
      </c>
      <c r="E384" s="68" t="str">
        <f>_xlfn.XLOOKUP(tblMovimientos[[#This Row],[Cuenta Bancaria]],Listas!$B:$B,Listas!$C:$C,"")</f>
        <v xml:space="preserve">Amerant Bank </v>
      </c>
      <c r="F384" s="41" t="s">
        <v>9</v>
      </c>
      <c r="G384" s="41" t="s">
        <v>77</v>
      </c>
      <c r="H384" s="4" t="str">
        <f>IFERROR(_xlfn.XLOOKUP(G384,Listas!E:E,Listas!F:F,""),"")</f>
        <v>Inversion</v>
      </c>
      <c r="I384" s="46" t="str">
        <f>IFERROR(_xlfn.XLOOKUP(G384,Listas!E:E,Listas!G:G,""),"")</f>
        <v>Interno</v>
      </c>
      <c r="J384" s="43">
        <v>500000</v>
      </c>
      <c r="K384" s="5">
        <f t="shared" si="5"/>
        <v>500000</v>
      </c>
      <c r="L384" s="15" t="s">
        <v>128</v>
      </c>
      <c r="M384" s="44">
        <f>SUMIFS('Saldos Iniciales'!$D:$D,'Saldos Iniciales'!$A:$A,C384,'Saldos Iniciales'!$B:$B,D384)+SUMIFS($K$1:$K$1324,$C$1:$C$1324,C384,$D$1:$D$1324,D384,$B$1:$B$1324,"&lt;="&amp;B384)</f>
        <v>6264386.3600000003</v>
      </c>
      <c r="N384" s="61">
        <f>IF(tblMovimientos[[#This Row],[Tipo de Movimiento]]="Ingreso",tblMovimientos[[#This Row],[Monto (S/)]],"0")</f>
        <v>500000</v>
      </c>
      <c r="O384" s="61" t="str">
        <f>IF(tblMovimientos[[#This Row],[Tipo de Movimiento]]="Egreso",tblMovimientos[[#This Row],[Monto (S/)]],"0")</f>
        <v>0</v>
      </c>
      <c r="P384" s="28">
        <f>IF(tblMovimientos[[#This Row],[Tipo de Movimiento]]="Ingreso",tblMovimientos[[#This Row],[Ingreso]],-tblMovimientos[[#This Row],[Egreso]])</f>
        <v>500000</v>
      </c>
      <c r="Q384" s="78" t="str">
        <f>_xlfn.XLOOKUP(tblMovimientos[[#This Row],[Cuenta Bancaria]],Cuentas!$C:$C,Cuentas!$A:$A,"")&amp;""</f>
        <v>SSP Group</v>
      </c>
      <c r="R384" s="78" t="str">
        <f>_xlfn.XLOOKUP(tblMovimientos[[#This Row],[Cuenta Bancaria]],Cuentas!$C:$C,Cuentas!$B:$B,"",0,-1)&amp;""</f>
        <v/>
      </c>
    </row>
    <row r="385" spans="2:18" x14ac:dyDescent="0.3">
      <c r="B385" s="39">
        <v>46198</v>
      </c>
      <c r="C385" s="4" t="str">
        <f>_xlfn.XLOOKUP(tblMovimientos[[#This Row],[Cuenta Bancaria]],Listas!$B:$B,Listas!$A:$A,"")</f>
        <v>CFT Group</v>
      </c>
      <c r="D385" s="41" t="s">
        <v>95</v>
      </c>
      <c r="E385" s="68" t="str">
        <f>_xlfn.XLOOKUP(tblMovimientos[[#This Row],[Cuenta Bancaria]],Listas!$B:$B,Listas!$C:$C,"")</f>
        <v xml:space="preserve">Amerant Bank </v>
      </c>
      <c r="F385" s="41" t="s">
        <v>10</v>
      </c>
      <c r="G385" s="41" t="s">
        <v>46</v>
      </c>
      <c r="H385" s="4" t="str">
        <f>IFERROR(_xlfn.XLOOKUP(G385,Listas!E:E,Listas!F:F,""),"")</f>
        <v>Financiamiento</v>
      </c>
      <c r="I385" s="46" t="str">
        <f>IFERROR(_xlfn.XLOOKUP(G385,Listas!E:E,Listas!G:G,""),"")</f>
        <v>Externo</v>
      </c>
      <c r="J385" s="43">
        <v>10000</v>
      </c>
      <c r="K385" s="5">
        <f t="shared" si="5"/>
        <v>-10000</v>
      </c>
      <c r="L385" s="15" t="s">
        <v>128</v>
      </c>
      <c r="M385" s="44">
        <f>SUMIFS('Saldos Iniciales'!$D:$D,'Saldos Iniciales'!$A:$A,C385,'Saldos Iniciales'!$B:$B,D385)+SUMIFS($K$1:$K$1324,$C$1:$C$1324,C385,$D$1:$D$1324,D385,$B$1:$B$1324,"&lt;="&amp;B385)</f>
        <v>6264386.3600000003</v>
      </c>
      <c r="N385" s="61" t="str">
        <f>IF(tblMovimientos[[#This Row],[Tipo de Movimiento]]="Ingreso",tblMovimientos[[#This Row],[Monto (S/)]],"0")</f>
        <v>0</v>
      </c>
      <c r="O385" s="61">
        <f>IF(tblMovimientos[[#This Row],[Tipo de Movimiento]]="Egreso",tblMovimientos[[#This Row],[Monto (S/)]],"0")</f>
        <v>10000</v>
      </c>
      <c r="P385" s="28">
        <f>IF(tblMovimientos[[#This Row],[Tipo de Movimiento]]="Ingreso",tblMovimientos[[#This Row],[Ingreso]],-tblMovimientos[[#This Row],[Egreso]])</f>
        <v>-10000</v>
      </c>
      <c r="Q385" s="78" t="str">
        <f>_xlfn.XLOOKUP(tblMovimientos[[#This Row],[Cuenta Bancaria]],Cuentas!$C:$C,Cuentas!$A:$A,"")&amp;""</f>
        <v>SSP Group</v>
      </c>
      <c r="R385" s="78" t="str">
        <f>_xlfn.XLOOKUP(tblMovimientos[[#This Row],[Cuenta Bancaria]],Cuentas!$C:$C,Cuentas!$B:$B,"",0,-1)&amp;""</f>
        <v/>
      </c>
    </row>
    <row r="386" spans="2:18" x14ac:dyDescent="0.3">
      <c r="B386" s="39">
        <v>46198</v>
      </c>
      <c r="C386" s="4" t="str">
        <f>_xlfn.XLOOKUP(tblMovimientos[[#This Row],[Cuenta Bancaria]],Listas!$B:$B,Listas!$A:$A,"")</f>
        <v>CFT Group</v>
      </c>
      <c r="D386" s="41" t="s">
        <v>95</v>
      </c>
      <c r="E386" s="68" t="str">
        <f>_xlfn.XLOOKUP(tblMovimientos[[#This Row],[Cuenta Bancaria]],Listas!$B:$B,Listas!$C:$C,"")</f>
        <v xml:space="preserve">Amerant Bank </v>
      </c>
      <c r="F386" s="41" t="s">
        <v>10</v>
      </c>
      <c r="G386" s="41" t="s">
        <v>46</v>
      </c>
      <c r="H386" s="4" t="str">
        <f>IFERROR(_xlfn.XLOOKUP(G386,Listas!E:E,Listas!F:F,""),"")</f>
        <v>Financiamiento</v>
      </c>
      <c r="I386" s="46" t="str">
        <f>IFERROR(_xlfn.XLOOKUP(G386,Listas!E:E,Listas!G:G,""),"")</f>
        <v>Externo</v>
      </c>
      <c r="J386" s="43">
        <v>10833.33</v>
      </c>
      <c r="K386" s="5">
        <f t="shared" ref="K386:K449" si="6">IF(F386="Ingreso",J386,-J386)</f>
        <v>-10833.33</v>
      </c>
      <c r="L386" s="15" t="s">
        <v>128</v>
      </c>
      <c r="M386" s="44">
        <f>SUMIFS('Saldos Iniciales'!$D:$D,'Saldos Iniciales'!$A:$A,C386,'Saldos Iniciales'!$B:$B,D386)+SUMIFS($K$1:$K$1324,$C$1:$C$1324,C386,$D$1:$D$1324,D386,$B$1:$B$1324,"&lt;="&amp;B386)</f>
        <v>6264386.3600000003</v>
      </c>
      <c r="N386" s="61" t="str">
        <f>IF(tblMovimientos[[#This Row],[Tipo de Movimiento]]="Ingreso",tblMovimientos[[#This Row],[Monto (S/)]],"0")</f>
        <v>0</v>
      </c>
      <c r="O386" s="61">
        <f>IF(tblMovimientos[[#This Row],[Tipo de Movimiento]]="Egreso",tblMovimientos[[#This Row],[Monto (S/)]],"0")</f>
        <v>10833.33</v>
      </c>
      <c r="P386" s="28">
        <f>IF(tblMovimientos[[#This Row],[Tipo de Movimiento]]="Ingreso",tblMovimientos[[#This Row],[Ingreso]],-tblMovimientos[[#This Row],[Egreso]])</f>
        <v>-10833.33</v>
      </c>
      <c r="Q386" s="78" t="str">
        <f>_xlfn.XLOOKUP(tblMovimientos[[#This Row],[Cuenta Bancaria]],Cuentas!$C:$C,Cuentas!$A:$A,"")&amp;""</f>
        <v>SSP Group</v>
      </c>
      <c r="R386" s="78" t="str">
        <f>_xlfn.XLOOKUP(tblMovimientos[[#This Row],[Cuenta Bancaria]],Cuentas!$C:$C,Cuentas!$B:$B,"",0,-1)&amp;""</f>
        <v/>
      </c>
    </row>
    <row r="387" spans="2:18" x14ac:dyDescent="0.3">
      <c r="B387" s="39">
        <v>46198</v>
      </c>
      <c r="C387" s="4" t="str">
        <f>_xlfn.XLOOKUP(tblMovimientos[[#This Row],[Cuenta Bancaria]],Listas!$B:$B,Listas!$A:$A,"")</f>
        <v>CFT Group</v>
      </c>
      <c r="D387" s="41" t="s">
        <v>95</v>
      </c>
      <c r="E387" s="68" t="str">
        <f>_xlfn.XLOOKUP(tblMovimientos[[#This Row],[Cuenta Bancaria]],Listas!$B:$B,Listas!$C:$C,"")</f>
        <v xml:space="preserve">Amerant Bank </v>
      </c>
      <c r="F387" s="41" t="s">
        <v>10</v>
      </c>
      <c r="G387" s="41" t="s">
        <v>46</v>
      </c>
      <c r="H387" s="4" t="str">
        <f>IFERROR(_xlfn.XLOOKUP(G387,Listas!E:E,Listas!F:F,""),"")</f>
        <v>Financiamiento</v>
      </c>
      <c r="I387" s="46" t="str">
        <f>IFERROR(_xlfn.XLOOKUP(G387,Listas!E:E,Listas!G:G,""),"")</f>
        <v>Externo</v>
      </c>
      <c r="J387" s="43">
        <v>71041.67</v>
      </c>
      <c r="K387" s="5">
        <f t="shared" si="6"/>
        <v>-71041.67</v>
      </c>
      <c r="L387" s="15" t="s">
        <v>128</v>
      </c>
      <c r="M387" s="44">
        <f>SUMIFS('Saldos Iniciales'!$D:$D,'Saldos Iniciales'!$A:$A,C387,'Saldos Iniciales'!$B:$B,D387)+SUMIFS($K$1:$K$1324,$C$1:$C$1324,C387,$D$1:$D$1324,D387,$B$1:$B$1324,"&lt;="&amp;B387)</f>
        <v>6264386.3600000003</v>
      </c>
      <c r="N387" s="61" t="str">
        <f>IF(tblMovimientos[[#This Row],[Tipo de Movimiento]]="Ingreso",tblMovimientos[[#This Row],[Monto (S/)]],"0")</f>
        <v>0</v>
      </c>
      <c r="O387" s="61">
        <f>IF(tblMovimientos[[#This Row],[Tipo de Movimiento]]="Egreso",tblMovimientos[[#This Row],[Monto (S/)]],"0")</f>
        <v>71041.67</v>
      </c>
      <c r="P387" s="28">
        <f>IF(tblMovimientos[[#This Row],[Tipo de Movimiento]]="Ingreso",tblMovimientos[[#This Row],[Ingreso]],-tblMovimientos[[#This Row],[Egreso]])</f>
        <v>-71041.67</v>
      </c>
      <c r="Q387" s="78" t="str">
        <f>_xlfn.XLOOKUP(tblMovimientos[[#This Row],[Cuenta Bancaria]],Cuentas!$C:$C,Cuentas!$A:$A,"")&amp;""</f>
        <v>SSP Group</v>
      </c>
      <c r="R387" s="78" t="str">
        <f>_xlfn.XLOOKUP(tblMovimientos[[#This Row],[Cuenta Bancaria]],Cuentas!$C:$C,Cuentas!$B:$B,"",0,-1)&amp;""</f>
        <v/>
      </c>
    </row>
    <row r="388" spans="2:18" x14ac:dyDescent="0.3">
      <c r="B388" s="39">
        <v>46198</v>
      </c>
      <c r="C388" s="4" t="str">
        <f>_xlfn.XLOOKUP(tblMovimientos[[#This Row],[Cuenta Bancaria]],Listas!$B:$B,Listas!$A:$A,"")</f>
        <v>CFT Group</v>
      </c>
      <c r="D388" s="41" t="s">
        <v>95</v>
      </c>
      <c r="E388" s="68" t="str">
        <f>_xlfn.XLOOKUP(tblMovimientos[[#This Row],[Cuenta Bancaria]],Listas!$B:$B,Listas!$C:$C,"")</f>
        <v xml:space="preserve">Amerant Bank </v>
      </c>
      <c r="F388" s="41" t="s">
        <v>10</v>
      </c>
      <c r="G388" s="41" t="s">
        <v>62</v>
      </c>
      <c r="H388" s="4" t="str">
        <f>IFERROR(_xlfn.XLOOKUP(G388,Listas!E:E,Listas!F:F,""),"")</f>
        <v>Operativo</v>
      </c>
      <c r="I388" s="46" t="str">
        <f>IFERROR(_xlfn.XLOOKUP(G388,Listas!E:E,Listas!G:G,""),"")</f>
        <v>Interno</v>
      </c>
      <c r="J388" s="43">
        <v>1850000</v>
      </c>
      <c r="K388" s="5">
        <f t="shared" si="6"/>
        <v>-1850000</v>
      </c>
      <c r="L388" s="15" t="s">
        <v>128</v>
      </c>
      <c r="M388" s="44">
        <f>SUMIFS('Saldos Iniciales'!$D:$D,'Saldos Iniciales'!$A:$A,C388,'Saldos Iniciales'!$B:$B,D388)+SUMIFS($K$1:$K$1324,$C$1:$C$1324,C388,$D$1:$D$1324,D388,$B$1:$B$1324,"&lt;="&amp;B388)</f>
        <v>6264386.3600000003</v>
      </c>
      <c r="N388" s="61" t="str">
        <f>IF(tblMovimientos[[#This Row],[Tipo de Movimiento]]="Ingreso",tblMovimientos[[#This Row],[Monto (S/)]],"0")</f>
        <v>0</v>
      </c>
      <c r="O388" s="61">
        <f>IF(tblMovimientos[[#This Row],[Tipo de Movimiento]]="Egreso",tblMovimientos[[#This Row],[Monto (S/)]],"0")</f>
        <v>1850000</v>
      </c>
      <c r="P388" s="28">
        <f>IF(tblMovimientos[[#This Row],[Tipo de Movimiento]]="Ingreso",tblMovimientos[[#This Row],[Ingreso]],-tblMovimientos[[#This Row],[Egreso]])</f>
        <v>-1850000</v>
      </c>
      <c r="Q388" s="78" t="str">
        <f>_xlfn.XLOOKUP(tblMovimientos[[#This Row],[Cuenta Bancaria]],Cuentas!$C:$C,Cuentas!$A:$A,"")&amp;""</f>
        <v>SSP Group</v>
      </c>
      <c r="R388" s="78" t="str">
        <f>_xlfn.XLOOKUP(tblMovimientos[[#This Row],[Cuenta Bancaria]],Cuentas!$C:$C,Cuentas!$B:$B,"",0,-1)&amp;""</f>
        <v/>
      </c>
    </row>
    <row r="389" spans="2:18" x14ac:dyDescent="0.3">
      <c r="B389" s="39">
        <v>46198</v>
      </c>
      <c r="C389" s="4" t="str">
        <f>_xlfn.XLOOKUP(tblMovimientos[[#This Row],[Cuenta Bancaria]],Listas!$B:$B,Listas!$A:$A,"")</f>
        <v>Cross Family Trust</v>
      </c>
      <c r="D389" s="41" t="s">
        <v>111</v>
      </c>
      <c r="E389" s="68" t="str">
        <f>_xlfn.XLOOKUP(tblMovimientos[[#This Row],[Cuenta Bancaria]],Listas!$B:$B,Listas!$C:$C,"")</f>
        <v xml:space="preserve">Amerant Bank </v>
      </c>
      <c r="F389" s="41" t="s">
        <v>9</v>
      </c>
      <c r="G389" s="41" t="s">
        <v>79</v>
      </c>
      <c r="H389" s="4" t="str">
        <f>IFERROR(_xlfn.XLOOKUP(G389,Listas!E:E,Listas!F:F,""),"")</f>
        <v>Inversion</v>
      </c>
      <c r="I389" s="46" t="str">
        <f>IFERROR(_xlfn.XLOOKUP(G389,Listas!E:E,Listas!G:G,""),"")</f>
        <v>Externo</v>
      </c>
      <c r="J389" s="43">
        <v>150000</v>
      </c>
      <c r="K389" s="5">
        <f t="shared" si="6"/>
        <v>150000</v>
      </c>
      <c r="L389" s="15" t="s">
        <v>128</v>
      </c>
      <c r="M389" s="44">
        <f>SUMIFS('Saldos Iniciales'!$D:$D,'Saldos Iniciales'!$A:$A,C389,'Saldos Iniciales'!$B:$B,D389)+SUMIFS($K$1:$K$1324,$C$1:$C$1324,C389,$D$1:$D$1324,D389,$B$1:$B$1324,"&lt;="&amp;B389)</f>
        <v>1881717.6</v>
      </c>
      <c r="N389" s="61">
        <f>IF(tblMovimientos[[#This Row],[Tipo de Movimiento]]="Ingreso",tblMovimientos[[#This Row],[Monto (S/)]],"0")</f>
        <v>150000</v>
      </c>
      <c r="O389" s="61" t="str">
        <f>IF(tblMovimientos[[#This Row],[Tipo de Movimiento]]="Egreso",tblMovimientos[[#This Row],[Monto (S/)]],"0")</f>
        <v>0</v>
      </c>
      <c r="P389" s="28">
        <f>IF(tblMovimientos[[#This Row],[Tipo de Movimiento]]="Ingreso",tblMovimientos[[#This Row],[Ingreso]],-tblMovimientos[[#This Row],[Egreso]])</f>
        <v>150000</v>
      </c>
      <c r="Q389" s="78" t="str">
        <f>_xlfn.XLOOKUP(tblMovimientos[[#This Row],[Cuenta Bancaria]],Cuentas!$C:$C,Cuentas!$A:$A,"")&amp;""</f>
        <v>SSP Group</v>
      </c>
      <c r="R389" s="78" t="str">
        <f>_xlfn.XLOOKUP(tblMovimientos[[#This Row],[Cuenta Bancaria]],Cuentas!$C:$C,Cuentas!$B:$B,"",0,-1)&amp;""</f>
        <v>Trust</v>
      </c>
    </row>
    <row r="390" spans="2:18" x14ac:dyDescent="0.3">
      <c r="B390" s="39">
        <v>46198</v>
      </c>
      <c r="C390" s="4" t="str">
        <f>_xlfn.XLOOKUP(tblMovimientos[[#This Row],[Cuenta Bancaria]],Listas!$B:$B,Listas!$A:$A,"")</f>
        <v>Cross Family Trust</v>
      </c>
      <c r="D390" s="41" t="s">
        <v>111</v>
      </c>
      <c r="E390" s="68" t="str">
        <f>_xlfn.XLOOKUP(tblMovimientos[[#This Row],[Cuenta Bancaria]],Listas!$B:$B,Listas!$C:$C,"")</f>
        <v xml:space="preserve">Amerant Bank </v>
      </c>
      <c r="F390" s="41" t="s">
        <v>9</v>
      </c>
      <c r="G390" s="41" t="s">
        <v>79</v>
      </c>
      <c r="H390" s="4" t="str">
        <f>IFERROR(_xlfn.XLOOKUP(G390,Listas!E:E,Listas!F:F,""),"")</f>
        <v>Inversion</v>
      </c>
      <c r="I390" s="46" t="str">
        <f>IFERROR(_xlfn.XLOOKUP(G390,Listas!E:E,Listas!G:G,""),"")</f>
        <v>Externo</v>
      </c>
      <c r="J390" s="43">
        <v>2380000</v>
      </c>
      <c r="K390" s="5">
        <f t="shared" si="6"/>
        <v>2380000</v>
      </c>
      <c r="L390" s="15" t="s">
        <v>128</v>
      </c>
      <c r="M390" s="44">
        <f>SUMIFS('Saldos Iniciales'!$D:$D,'Saldos Iniciales'!$A:$A,C390,'Saldos Iniciales'!$B:$B,D390)+SUMIFS($K$1:$K$1324,$C$1:$C$1324,C390,$D$1:$D$1324,D390,$B$1:$B$1324,"&lt;="&amp;B390)</f>
        <v>1881717.6</v>
      </c>
      <c r="N390" s="61">
        <f>IF(tblMovimientos[[#This Row],[Tipo de Movimiento]]="Ingreso",tblMovimientos[[#This Row],[Monto (S/)]],"0")</f>
        <v>2380000</v>
      </c>
      <c r="O390" s="61" t="str">
        <f>IF(tblMovimientos[[#This Row],[Tipo de Movimiento]]="Egreso",tblMovimientos[[#This Row],[Monto (S/)]],"0")</f>
        <v>0</v>
      </c>
      <c r="P390" s="28">
        <f>IF(tblMovimientos[[#This Row],[Tipo de Movimiento]]="Ingreso",tblMovimientos[[#This Row],[Ingreso]],-tblMovimientos[[#This Row],[Egreso]])</f>
        <v>2380000</v>
      </c>
      <c r="Q390" s="78" t="str">
        <f>_xlfn.XLOOKUP(tblMovimientos[[#This Row],[Cuenta Bancaria]],Cuentas!$C:$C,Cuentas!$A:$A,"")&amp;""</f>
        <v>SSP Group</v>
      </c>
      <c r="R390" s="78" t="str">
        <f>_xlfn.XLOOKUP(tblMovimientos[[#This Row],[Cuenta Bancaria]],Cuentas!$C:$C,Cuentas!$B:$B,"",0,-1)&amp;""</f>
        <v>Trust</v>
      </c>
    </row>
    <row r="391" spans="2:18" x14ac:dyDescent="0.3">
      <c r="B391" s="39">
        <v>46198</v>
      </c>
      <c r="C391" s="4" t="str">
        <f>_xlfn.XLOOKUP(tblMovimientos[[#This Row],[Cuenta Bancaria]],Listas!$B:$B,Listas!$A:$A,"")</f>
        <v>Cross Family Trust</v>
      </c>
      <c r="D391" s="41" t="s">
        <v>111</v>
      </c>
      <c r="E391" s="68" t="str">
        <f>_xlfn.XLOOKUP(tblMovimientos[[#This Row],[Cuenta Bancaria]],Listas!$B:$B,Listas!$C:$C,"")</f>
        <v xml:space="preserve">Amerant Bank </v>
      </c>
      <c r="F391" s="41" t="s">
        <v>10</v>
      </c>
      <c r="G391" s="41" t="s">
        <v>60</v>
      </c>
      <c r="H391" s="4" t="str">
        <f>IFERROR(_xlfn.XLOOKUP(G391,Listas!E:E,Listas!F:F,""),"")</f>
        <v>Inversion</v>
      </c>
      <c r="I391" s="46" t="str">
        <f>IFERROR(_xlfn.XLOOKUP(G391,Listas!E:E,Listas!G:G,""),"")</f>
        <v>Interno</v>
      </c>
      <c r="J391" s="43">
        <v>150000</v>
      </c>
      <c r="K391" s="5">
        <f t="shared" si="6"/>
        <v>-150000</v>
      </c>
      <c r="L391" s="15" t="s">
        <v>128</v>
      </c>
      <c r="M391" s="44">
        <f>SUMIFS('Saldos Iniciales'!$D:$D,'Saldos Iniciales'!$A:$A,C391,'Saldos Iniciales'!$B:$B,D391)+SUMIFS($K$1:$K$1324,$C$1:$C$1324,C391,$D$1:$D$1324,D391,$B$1:$B$1324,"&lt;="&amp;B391)</f>
        <v>1881717.6</v>
      </c>
      <c r="N391" s="61" t="str">
        <f>IF(tblMovimientos[[#This Row],[Tipo de Movimiento]]="Ingreso",tblMovimientos[[#This Row],[Monto (S/)]],"0")</f>
        <v>0</v>
      </c>
      <c r="O391" s="61">
        <f>IF(tblMovimientos[[#This Row],[Tipo de Movimiento]]="Egreso",tblMovimientos[[#This Row],[Monto (S/)]],"0")</f>
        <v>150000</v>
      </c>
      <c r="P391" s="28">
        <f>IF(tblMovimientos[[#This Row],[Tipo de Movimiento]]="Ingreso",tblMovimientos[[#This Row],[Ingreso]],-tblMovimientos[[#This Row],[Egreso]])</f>
        <v>-150000</v>
      </c>
      <c r="Q391" s="78" t="str">
        <f>_xlfn.XLOOKUP(tblMovimientos[[#This Row],[Cuenta Bancaria]],Cuentas!$C:$C,Cuentas!$A:$A,"")&amp;""</f>
        <v>SSP Group</v>
      </c>
      <c r="R391" s="78" t="str">
        <f>_xlfn.XLOOKUP(tblMovimientos[[#This Row],[Cuenta Bancaria]],Cuentas!$C:$C,Cuentas!$B:$B,"",0,-1)&amp;""</f>
        <v>Trust</v>
      </c>
    </row>
    <row r="392" spans="2:18" x14ac:dyDescent="0.3">
      <c r="B392" s="39">
        <v>46198</v>
      </c>
      <c r="C392" s="4" t="str">
        <f>_xlfn.XLOOKUP(tblMovimientos[[#This Row],[Cuenta Bancaria]],Listas!$B:$B,Listas!$A:$A,"")</f>
        <v>Cross Family Trust</v>
      </c>
      <c r="D392" s="41" t="s">
        <v>111</v>
      </c>
      <c r="E392" s="68" t="str">
        <f>_xlfn.XLOOKUP(tblMovimientos[[#This Row],[Cuenta Bancaria]],Listas!$B:$B,Listas!$C:$C,"")</f>
        <v xml:space="preserve">Amerant Bank </v>
      </c>
      <c r="F392" s="41" t="s">
        <v>10</v>
      </c>
      <c r="G392" s="41" t="s">
        <v>53</v>
      </c>
      <c r="H392" s="4" t="str">
        <f>IFERROR(_xlfn.XLOOKUP(G392,Listas!E:E,Listas!F:F,""),"")</f>
        <v>Inversion</v>
      </c>
      <c r="I392" s="46" t="str">
        <f>IFERROR(_xlfn.XLOOKUP(G392,Listas!E:E,Listas!G:G,""),"")</f>
        <v>Interno</v>
      </c>
      <c r="J392" s="43">
        <v>500000</v>
      </c>
      <c r="K392" s="5">
        <f t="shared" si="6"/>
        <v>-500000</v>
      </c>
      <c r="L392" s="15" t="s">
        <v>128</v>
      </c>
      <c r="M392" s="44">
        <f>SUMIFS('Saldos Iniciales'!$D:$D,'Saldos Iniciales'!$A:$A,C392,'Saldos Iniciales'!$B:$B,D392)+SUMIFS($K$1:$K$1324,$C$1:$C$1324,C392,$D$1:$D$1324,D392,$B$1:$B$1324,"&lt;="&amp;B392)</f>
        <v>1881717.6</v>
      </c>
      <c r="N392" s="61" t="str">
        <f>IF(tblMovimientos[[#This Row],[Tipo de Movimiento]]="Ingreso",tblMovimientos[[#This Row],[Monto (S/)]],"0")</f>
        <v>0</v>
      </c>
      <c r="O392" s="61">
        <f>IF(tblMovimientos[[#This Row],[Tipo de Movimiento]]="Egreso",tblMovimientos[[#This Row],[Monto (S/)]],"0")</f>
        <v>500000</v>
      </c>
      <c r="P392" s="28">
        <f>IF(tblMovimientos[[#This Row],[Tipo de Movimiento]]="Ingreso",tblMovimientos[[#This Row],[Ingreso]],-tblMovimientos[[#This Row],[Egreso]])</f>
        <v>-500000</v>
      </c>
      <c r="Q392" s="78" t="str">
        <f>_xlfn.XLOOKUP(tblMovimientos[[#This Row],[Cuenta Bancaria]],Cuentas!$C:$C,Cuentas!$A:$A,"")&amp;""</f>
        <v>SSP Group</v>
      </c>
      <c r="R392" s="78" t="str">
        <f>_xlfn.XLOOKUP(tblMovimientos[[#This Row],[Cuenta Bancaria]],Cuentas!$C:$C,Cuentas!$B:$B,"",0,-1)&amp;""</f>
        <v>Trust</v>
      </c>
    </row>
    <row r="393" spans="2:18" x14ac:dyDescent="0.3">
      <c r="B393" s="39">
        <v>46198</v>
      </c>
      <c r="C393" s="4" t="str">
        <f>_xlfn.XLOOKUP(tblMovimientos[[#This Row],[Cuenta Bancaria]],Listas!$B:$B,Listas!$A:$A,"")</f>
        <v>SSP Capital</v>
      </c>
      <c r="D393" s="41" t="s">
        <v>104</v>
      </c>
      <c r="E393" s="68" t="str">
        <f>_xlfn.XLOOKUP(tblMovimientos[[#This Row],[Cuenta Bancaria]],Listas!$B:$B,Listas!$C:$C,"")</f>
        <v xml:space="preserve">Amerant Bank </v>
      </c>
      <c r="F393" s="41" t="s">
        <v>9</v>
      </c>
      <c r="G393" s="41" t="s">
        <v>75</v>
      </c>
      <c r="H393" s="4" t="str">
        <f>IFERROR(_xlfn.XLOOKUP(G393,Listas!E:E,Listas!F:F,""),"")</f>
        <v>Financiamiento</v>
      </c>
      <c r="I393" s="46" t="str">
        <f>IFERROR(_xlfn.XLOOKUP(G393,Listas!E:E,Listas!G:G,""),"")</f>
        <v>Interno</v>
      </c>
      <c r="J393" s="43">
        <v>1850000</v>
      </c>
      <c r="K393" s="5">
        <f t="shared" si="6"/>
        <v>1850000</v>
      </c>
      <c r="L393" s="15" t="s">
        <v>128</v>
      </c>
      <c r="M393" s="44">
        <f>SUMIFS('Saldos Iniciales'!$D:$D,'Saldos Iniciales'!$A:$A,C393,'Saldos Iniciales'!$B:$B,D393)+SUMIFS($K$1:$K$1324,$C$1:$C$1324,C393,$D$1:$D$1324,D393,$B$1:$B$1324,"&lt;="&amp;B393)</f>
        <v>1109351.6499999994</v>
      </c>
      <c r="N393" s="61">
        <f>IF(tblMovimientos[[#This Row],[Tipo de Movimiento]]="Ingreso",tblMovimientos[[#This Row],[Monto (S/)]],"0")</f>
        <v>1850000</v>
      </c>
      <c r="O393" s="61" t="str">
        <f>IF(tblMovimientos[[#This Row],[Tipo de Movimiento]]="Egreso",tblMovimientos[[#This Row],[Monto (S/)]],"0")</f>
        <v>0</v>
      </c>
      <c r="P393" s="28">
        <f>IF(tblMovimientos[[#This Row],[Tipo de Movimiento]]="Ingreso",tblMovimientos[[#This Row],[Ingreso]],-tblMovimientos[[#This Row],[Egreso]])</f>
        <v>1850000</v>
      </c>
      <c r="Q393" s="78" t="str">
        <f>_xlfn.XLOOKUP(tblMovimientos[[#This Row],[Cuenta Bancaria]],Cuentas!$C:$C,Cuentas!$A:$A,"")&amp;""</f>
        <v>SSP Group</v>
      </c>
      <c r="R393" s="78" t="str">
        <f>_xlfn.XLOOKUP(tblMovimientos[[#This Row],[Cuenta Bancaria]],Cuentas!$C:$C,Cuentas!$B:$B,"",0,-1)&amp;""</f>
        <v/>
      </c>
    </row>
    <row r="394" spans="2:18" x14ac:dyDescent="0.3">
      <c r="B394" s="39">
        <v>46198</v>
      </c>
      <c r="C394" s="4" t="str">
        <f>_xlfn.XLOOKUP(tblMovimientos[[#This Row],[Cuenta Bancaria]],Listas!$B:$B,Listas!$A:$A,"")</f>
        <v>SSP Capital</v>
      </c>
      <c r="D394" s="41" t="s">
        <v>104</v>
      </c>
      <c r="E394" s="68" t="str">
        <f>_xlfn.XLOOKUP(tblMovimientos[[#This Row],[Cuenta Bancaria]],Listas!$B:$B,Listas!$C:$C,"")</f>
        <v xml:space="preserve">Amerant Bank </v>
      </c>
      <c r="F394" s="41" t="s">
        <v>10</v>
      </c>
      <c r="G394" s="41" t="s">
        <v>46</v>
      </c>
      <c r="H394" s="4" t="str">
        <f>IFERROR(_xlfn.XLOOKUP(G394,Listas!E:E,Listas!F:F,""),"")</f>
        <v>Financiamiento</v>
      </c>
      <c r="I394" s="46" t="str">
        <f>IFERROR(_xlfn.XLOOKUP(G394,Listas!E:E,Listas!G:G,""),"")</f>
        <v>Externo</v>
      </c>
      <c r="J394" s="43">
        <v>4071.45</v>
      </c>
      <c r="K394" s="5">
        <f t="shared" si="6"/>
        <v>-4071.45</v>
      </c>
      <c r="L394" s="15" t="s">
        <v>128</v>
      </c>
      <c r="M394" s="44">
        <f>SUMIFS('Saldos Iniciales'!$D:$D,'Saldos Iniciales'!$A:$A,C394,'Saldos Iniciales'!$B:$B,D394)+SUMIFS($K$1:$K$1324,$C$1:$C$1324,C394,$D$1:$D$1324,D394,$B$1:$B$1324,"&lt;="&amp;B394)</f>
        <v>1109351.6499999994</v>
      </c>
      <c r="N394" s="61" t="str">
        <f>IF(tblMovimientos[[#This Row],[Tipo de Movimiento]]="Ingreso",tblMovimientos[[#This Row],[Monto (S/)]],"0")</f>
        <v>0</v>
      </c>
      <c r="O394" s="61">
        <f>IF(tblMovimientos[[#This Row],[Tipo de Movimiento]]="Egreso",tblMovimientos[[#This Row],[Monto (S/)]],"0")</f>
        <v>4071.45</v>
      </c>
      <c r="P394" s="28">
        <f>IF(tblMovimientos[[#This Row],[Tipo de Movimiento]]="Ingreso",tblMovimientos[[#This Row],[Ingreso]],-tblMovimientos[[#This Row],[Egreso]])</f>
        <v>-4071.45</v>
      </c>
      <c r="Q394" s="78" t="str">
        <f>_xlfn.XLOOKUP(tblMovimientos[[#This Row],[Cuenta Bancaria]],Cuentas!$C:$C,Cuentas!$A:$A,"")&amp;""</f>
        <v>SSP Group</v>
      </c>
      <c r="R394" s="78" t="str">
        <f>_xlfn.XLOOKUP(tblMovimientos[[#This Row],[Cuenta Bancaria]],Cuentas!$C:$C,Cuentas!$B:$B,"",0,-1)&amp;""</f>
        <v/>
      </c>
    </row>
    <row r="395" spans="2:18" x14ac:dyDescent="0.3">
      <c r="B395" s="39">
        <v>46198</v>
      </c>
      <c r="C395" s="4" t="str">
        <f>_xlfn.XLOOKUP(tblMovimientos[[#This Row],[Cuenta Bancaria]],Listas!$B:$B,Listas!$A:$A,"")</f>
        <v>SSP Capital</v>
      </c>
      <c r="D395" s="41" t="s">
        <v>104</v>
      </c>
      <c r="E395" s="68" t="str">
        <f>_xlfn.XLOOKUP(tblMovimientos[[#This Row],[Cuenta Bancaria]],Listas!$B:$B,Listas!$C:$C,"")</f>
        <v xml:space="preserve">Amerant Bank </v>
      </c>
      <c r="F395" s="41" t="s">
        <v>10</v>
      </c>
      <c r="G395" s="41" t="s">
        <v>46</v>
      </c>
      <c r="H395" s="4" t="str">
        <f>IFERROR(_xlfn.XLOOKUP(G395,Listas!E:E,Listas!F:F,""),"")</f>
        <v>Financiamiento</v>
      </c>
      <c r="I395" s="46" t="str">
        <f>IFERROR(_xlfn.XLOOKUP(G395,Listas!E:E,Listas!G:G,""),"")</f>
        <v>Externo</v>
      </c>
      <c r="J395" s="43">
        <v>8400</v>
      </c>
      <c r="K395" s="5">
        <f t="shared" si="6"/>
        <v>-8400</v>
      </c>
      <c r="L395" s="15" t="s">
        <v>128</v>
      </c>
      <c r="M395" s="44">
        <f>SUMIFS('Saldos Iniciales'!$D:$D,'Saldos Iniciales'!$A:$A,C395,'Saldos Iniciales'!$B:$B,D395)+SUMIFS($K$1:$K$1324,$C$1:$C$1324,C395,$D$1:$D$1324,D395,$B$1:$B$1324,"&lt;="&amp;B395)</f>
        <v>1109351.6499999994</v>
      </c>
      <c r="N395" s="61" t="str">
        <f>IF(tblMovimientos[[#This Row],[Tipo de Movimiento]]="Ingreso",tblMovimientos[[#This Row],[Monto (S/)]],"0")</f>
        <v>0</v>
      </c>
      <c r="O395" s="61">
        <f>IF(tblMovimientos[[#This Row],[Tipo de Movimiento]]="Egreso",tblMovimientos[[#This Row],[Monto (S/)]],"0")</f>
        <v>8400</v>
      </c>
      <c r="P395" s="28">
        <f>IF(tblMovimientos[[#This Row],[Tipo de Movimiento]]="Ingreso",tblMovimientos[[#This Row],[Ingreso]],-tblMovimientos[[#This Row],[Egreso]])</f>
        <v>-8400</v>
      </c>
      <c r="Q395" s="78" t="str">
        <f>_xlfn.XLOOKUP(tblMovimientos[[#This Row],[Cuenta Bancaria]],Cuentas!$C:$C,Cuentas!$A:$A,"")&amp;""</f>
        <v>SSP Group</v>
      </c>
      <c r="R395" s="78" t="str">
        <f>_xlfn.XLOOKUP(tblMovimientos[[#This Row],[Cuenta Bancaria]],Cuentas!$C:$C,Cuentas!$B:$B,"",0,-1)&amp;""</f>
        <v/>
      </c>
    </row>
    <row r="396" spans="2:18" x14ac:dyDescent="0.3">
      <c r="B396" s="39">
        <v>46198</v>
      </c>
      <c r="C396" s="4" t="str">
        <f>_xlfn.XLOOKUP(tblMovimientos[[#This Row],[Cuenta Bancaria]],Listas!$B:$B,Listas!$A:$A,"")</f>
        <v>SSP Capital</v>
      </c>
      <c r="D396" s="41" t="s">
        <v>104</v>
      </c>
      <c r="E396" s="68" t="str">
        <f>_xlfn.XLOOKUP(tblMovimientos[[#This Row],[Cuenta Bancaria]],Listas!$B:$B,Listas!$C:$C,"")</f>
        <v xml:space="preserve">Amerant Bank </v>
      </c>
      <c r="F396" s="41" t="s">
        <v>10</v>
      </c>
      <c r="G396" s="41" t="s">
        <v>46</v>
      </c>
      <c r="H396" s="4" t="str">
        <f>IFERROR(_xlfn.XLOOKUP(G396,Listas!E:E,Listas!F:F,""),"")</f>
        <v>Financiamiento</v>
      </c>
      <c r="I396" s="46" t="str">
        <f>IFERROR(_xlfn.XLOOKUP(G396,Listas!E:E,Listas!G:G,""),"")</f>
        <v>Externo</v>
      </c>
      <c r="J396" s="43">
        <v>8666.67</v>
      </c>
      <c r="K396" s="5">
        <f t="shared" si="6"/>
        <v>-8666.67</v>
      </c>
      <c r="L396" s="15" t="s">
        <v>128</v>
      </c>
      <c r="M396" s="44">
        <f>SUMIFS('Saldos Iniciales'!$D:$D,'Saldos Iniciales'!$A:$A,C396,'Saldos Iniciales'!$B:$B,D396)+SUMIFS($K$1:$K$1324,$C$1:$C$1324,C396,$D$1:$D$1324,D396,$B$1:$B$1324,"&lt;="&amp;B396)</f>
        <v>1109351.6499999994</v>
      </c>
      <c r="N396" s="61" t="str">
        <f>IF(tblMovimientos[[#This Row],[Tipo de Movimiento]]="Ingreso",tblMovimientos[[#This Row],[Monto (S/)]],"0")</f>
        <v>0</v>
      </c>
      <c r="O396" s="61">
        <f>IF(tblMovimientos[[#This Row],[Tipo de Movimiento]]="Egreso",tblMovimientos[[#This Row],[Monto (S/)]],"0")</f>
        <v>8666.67</v>
      </c>
      <c r="P396" s="28">
        <f>IF(tblMovimientos[[#This Row],[Tipo de Movimiento]]="Ingreso",tblMovimientos[[#This Row],[Ingreso]],-tblMovimientos[[#This Row],[Egreso]])</f>
        <v>-8666.67</v>
      </c>
      <c r="Q396" s="78" t="str">
        <f>_xlfn.XLOOKUP(tblMovimientos[[#This Row],[Cuenta Bancaria]],Cuentas!$C:$C,Cuentas!$A:$A,"")&amp;""</f>
        <v>SSP Group</v>
      </c>
      <c r="R396" s="78" t="str">
        <f>_xlfn.XLOOKUP(tblMovimientos[[#This Row],[Cuenta Bancaria]],Cuentas!$C:$C,Cuentas!$B:$B,"",0,-1)&amp;""</f>
        <v/>
      </c>
    </row>
    <row r="397" spans="2:18" x14ac:dyDescent="0.3">
      <c r="B397" s="39">
        <v>46198</v>
      </c>
      <c r="C397" s="4" t="str">
        <f>_xlfn.XLOOKUP(tblMovimientos[[#This Row],[Cuenta Bancaria]],Listas!$B:$B,Listas!$A:$A,"")</f>
        <v>SSP Capital</v>
      </c>
      <c r="D397" s="41" t="s">
        <v>104</v>
      </c>
      <c r="E397" s="68" t="str">
        <f>_xlfn.XLOOKUP(tblMovimientos[[#This Row],[Cuenta Bancaria]],Listas!$B:$B,Listas!$C:$C,"")</f>
        <v xml:space="preserve">Amerant Bank </v>
      </c>
      <c r="F397" s="41" t="s">
        <v>10</v>
      </c>
      <c r="G397" s="41" t="s">
        <v>46</v>
      </c>
      <c r="H397" s="4" t="str">
        <f>IFERROR(_xlfn.XLOOKUP(G397,Listas!E:E,Listas!F:F,""),"")</f>
        <v>Financiamiento</v>
      </c>
      <c r="I397" s="46" t="str">
        <f>IFERROR(_xlfn.XLOOKUP(G397,Listas!E:E,Listas!G:G,""),"")</f>
        <v>Externo</v>
      </c>
      <c r="J397" s="43">
        <v>10753.2</v>
      </c>
      <c r="K397" s="5">
        <f t="shared" si="6"/>
        <v>-10753.2</v>
      </c>
      <c r="L397" s="15" t="s">
        <v>128</v>
      </c>
      <c r="M397" s="44">
        <f>SUMIFS('Saldos Iniciales'!$D:$D,'Saldos Iniciales'!$A:$A,C397,'Saldos Iniciales'!$B:$B,D397)+SUMIFS($K$1:$K$1324,$C$1:$C$1324,C397,$D$1:$D$1324,D397,$B$1:$B$1324,"&lt;="&amp;B397)</f>
        <v>1109351.6499999994</v>
      </c>
      <c r="N397" s="61" t="str">
        <f>IF(tblMovimientos[[#This Row],[Tipo de Movimiento]]="Ingreso",tblMovimientos[[#This Row],[Monto (S/)]],"0")</f>
        <v>0</v>
      </c>
      <c r="O397" s="61">
        <f>IF(tblMovimientos[[#This Row],[Tipo de Movimiento]]="Egreso",tblMovimientos[[#This Row],[Monto (S/)]],"0")</f>
        <v>10753.2</v>
      </c>
      <c r="P397" s="28">
        <f>IF(tblMovimientos[[#This Row],[Tipo de Movimiento]]="Ingreso",tblMovimientos[[#This Row],[Ingreso]],-tblMovimientos[[#This Row],[Egreso]])</f>
        <v>-10753.2</v>
      </c>
      <c r="Q397" s="78" t="str">
        <f>_xlfn.XLOOKUP(tblMovimientos[[#This Row],[Cuenta Bancaria]],Cuentas!$C:$C,Cuentas!$A:$A,"")&amp;""</f>
        <v>SSP Group</v>
      </c>
      <c r="R397" s="78" t="str">
        <f>_xlfn.XLOOKUP(tblMovimientos[[#This Row],[Cuenta Bancaria]],Cuentas!$C:$C,Cuentas!$B:$B,"",0,-1)&amp;""</f>
        <v/>
      </c>
    </row>
    <row r="398" spans="2:18" x14ac:dyDescent="0.3">
      <c r="B398" s="39">
        <v>46198</v>
      </c>
      <c r="C398" s="4" t="str">
        <f>_xlfn.XLOOKUP(tblMovimientos[[#This Row],[Cuenta Bancaria]],Listas!$B:$B,Listas!$A:$A,"")</f>
        <v>SSP Capital</v>
      </c>
      <c r="D398" s="41" t="s">
        <v>104</v>
      </c>
      <c r="E398" s="68" t="str">
        <f>_xlfn.XLOOKUP(tblMovimientos[[#This Row],[Cuenta Bancaria]],Listas!$B:$B,Listas!$C:$C,"")</f>
        <v xml:space="preserve">Amerant Bank </v>
      </c>
      <c r="F398" s="41" t="s">
        <v>10</v>
      </c>
      <c r="G398" s="41" t="s">
        <v>46</v>
      </c>
      <c r="H398" s="4" t="str">
        <f>IFERROR(_xlfn.XLOOKUP(G398,Listas!E:E,Listas!F:F,""),"")</f>
        <v>Financiamiento</v>
      </c>
      <c r="I398" s="46" t="str">
        <f>IFERROR(_xlfn.XLOOKUP(G398,Listas!E:E,Listas!G:G,""),"")</f>
        <v>Externo</v>
      </c>
      <c r="J398" s="43">
        <v>33463.550000000003</v>
      </c>
      <c r="K398" s="5">
        <f t="shared" si="6"/>
        <v>-33463.550000000003</v>
      </c>
      <c r="L398" s="15" t="s">
        <v>128</v>
      </c>
      <c r="M398" s="44">
        <f>SUMIFS('Saldos Iniciales'!$D:$D,'Saldos Iniciales'!$A:$A,C398,'Saldos Iniciales'!$B:$B,D398)+SUMIFS($K$1:$K$1324,$C$1:$C$1324,C398,$D$1:$D$1324,D398,$B$1:$B$1324,"&lt;="&amp;B398)</f>
        <v>1109351.6499999994</v>
      </c>
      <c r="N398" s="61" t="str">
        <f>IF(tblMovimientos[[#This Row],[Tipo de Movimiento]]="Ingreso",tblMovimientos[[#This Row],[Monto (S/)]],"0")</f>
        <v>0</v>
      </c>
      <c r="O398" s="61">
        <f>IF(tblMovimientos[[#This Row],[Tipo de Movimiento]]="Egreso",tblMovimientos[[#This Row],[Monto (S/)]],"0")</f>
        <v>33463.550000000003</v>
      </c>
      <c r="P398" s="28">
        <f>IF(tblMovimientos[[#This Row],[Tipo de Movimiento]]="Ingreso",tblMovimientos[[#This Row],[Ingreso]],-tblMovimientos[[#This Row],[Egreso]])</f>
        <v>-33463.550000000003</v>
      </c>
      <c r="Q398" s="78" t="str">
        <f>_xlfn.XLOOKUP(tblMovimientos[[#This Row],[Cuenta Bancaria]],Cuentas!$C:$C,Cuentas!$A:$A,"")&amp;""</f>
        <v>SSP Group</v>
      </c>
      <c r="R398" s="78" t="str">
        <f>_xlfn.XLOOKUP(tblMovimientos[[#This Row],[Cuenta Bancaria]],Cuentas!$C:$C,Cuentas!$B:$B,"",0,-1)&amp;""</f>
        <v/>
      </c>
    </row>
    <row r="399" spans="2:18" x14ac:dyDescent="0.3">
      <c r="B399" s="39">
        <v>46198</v>
      </c>
      <c r="C399" s="4" t="str">
        <f>_xlfn.XLOOKUP(tblMovimientos[[#This Row],[Cuenta Bancaria]],Listas!$B:$B,Listas!$A:$A,"")</f>
        <v>SSP Capital</v>
      </c>
      <c r="D399" s="41" t="s">
        <v>104</v>
      </c>
      <c r="E399" s="68" t="str">
        <f>_xlfn.XLOOKUP(tblMovimientos[[#This Row],[Cuenta Bancaria]],Listas!$B:$B,Listas!$C:$C,"")</f>
        <v xml:space="preserve">Amerant Bank </v>
      </c>
      <c r="F399" s="41" t="s">
        <v>10</v>
      </c>
      <c r="G399" s="41" t="s">
        <v>46</v>
      </c>
      <c r="H399" s="4" t="str">
        <f>IFERROR(_xlfn.XLOOKUP(G399,Listas!E:E,Listas!F:F,""),"")</f>
        <v>Financiamiento</v>
      </c>
      <c r="I399" s="46" t="str">
        <f>IFERROR(_xlfn.XLOOKUP(G399,Listas!E:E,Listas!G:G,""),"")</f>
        <v>Externo</v>
      </c>
      <c r="J399" s="43">
        <v>47361.11</v>
      </c>
      <c r="K399" s="5">
        <f t="shared" si="6"/>
        <v>-47361.11</v>
      </c>
      <c r="L399" s="15" t="s">
        <v>128</v>
      </c>
      <c r="M399" s="44">
        <f>SUMIFS('Saldos Iniciales'!$D:$D,'Saldos Iniciales'!$A:$A,C399,'Saldos Iniciales'!$B:$B,D399)+SUMIFS($K$1:$K$1324,$C$1:$C$1324,C399,$D$1:$D$1324,D399,$B$1:$B$1324,"&lt;="&amp;B399)</f>
        <v>1109351.6499999994</v>
      </c>
      <c r="N399" s="61" t="str">
        <f>IF(tblMovimientos[[#This Row],[Tipo de Movimiento]]="Ingreso",tblMovimientos[[#This Row],[Monto (S/)]],"0")</f>
        <v>0</v>
      </c>
      <c r="O399" s="61">
        <f>IF(tblMovimientos[[#This Row],[Tipo de Movimiento]]="Egreso",tblMovimientos[[#This Row],[Monto (S/)]],"0")</f>
        <v>47361.11</v>
      </c>
      <c r="P399" s="28">
        <f>IF(tblMovimientos[[#This Row],[Tipo de Movimiento]]="Ingreso",tblMovimientos[[#This Row],[Ingreso]],-tblMovimientos[[#This Row],[Egreso]])</f>
        <v>-47361.11</v>
      </c>
      <c r="Q399" s="78" t="str">
        <f>_xlfn.XLOOKUP(tblMovimientos[[#This Row],[Cuenta Bancaria]],Cuentas!$C:$C,Cuentas!$A:$A,"")&amp;""</f>
        <v>SSP Group</v>
      </c>
      <c r="R399" s="78" t="str">
        <f>_xlfn.XLOOKUP(tblMovimientos[[#This Row],[Cuenta Bancaria]],Cuentas!$C:$C,Cuentas!$B:$B,"",0,-1)&amp;""</f>
        <v/>
      </c>
    </row>
    <row r="400" spans="2:18" x14ac:dyDescent="0.3">
      <c r="B400" s="39">
        <v>46198</v>
      </c>
      <c r="C400" s="4" t="str">
        <f>_xlfn.XLOOKUP(tblMovimientos[[#This Row],[Cuenta Bancaria]],Listas!$B:$B,Listas!$A:$A,"")</f>
        <v>SSP Capital</v>
      </c>
      <c r="D400" s="41" t="s">
        <v>104</v>
      </c>
      <c r="E400" s="68" t="str">
        <f>_xlfn.XLOOKUP(tblMovimientos[[#This Row],[Cuenta Bancaria]],Listas!$B:$B,Listas!$C:$C,"")</f>
        <v xml:space="preserve">Amerant Bank </v>
      </c>
      <c r="F400" s="41" t="s">
        <v>10</v>
      </c>
      <c r="G400" s="41" t="s">
        <v>60</v>
      </c>
      <c r="H400" s="4" t="str">
        <f>IFERROR(_xlfn.XLOOKUP(G400,Listas!E:E,Listas!F:F,""),"")</f>
        <v>Inversion</v>
      </c>
      <c r="I400" s="46" t="str">
        <f>IFERROR(_xlfn.XLOOKUP(G400,Listas!E:E,Listas!G:G,""),"")</f>
        <v>Interno</v>
      </c>
      <c r="J400" s="43">
        <v>310000</v>
      </c>
      <c r="K400" s="5">
        <f t="shared" si="6"/>
        <v>-310000</v>
      </c>
      <c r="L400" s="15" t="s">
        <v>128</v>
      </c>
      <c r="M400" s="44">
        <f>SUMIFS('Saldos Iniciales'!$D:$D,'Saldos Iniciales'!$A:$A,C400,'Saldos Iniciales'!$B:$B,D400)+SUMIFS($K$1:$K$1324,$C$1:$C$1324,C400,$D$1:$D$1324,D400,$B$1:$B$1324,"&lt;="&amp;B400)</f>
        <v>1109351.6499999994</v>
      </c>
      <c r="N400" s="61" t="str">
        <f>IF(tblMovimientos[[#This Row],[Tipo de Movimiento]]="Ingreso",tblMovimientos[[#This Row],[Monto (S/)]],"0")</f>
        <v>0</v>
      </c>
      <c r="O400" s="61">
        <f>IF(tblMovimientos[[#This Row],[Tipo de Movimiento]]="Egreso",tblMovimientos[[#This Row],[Monto (S/)]],"0")</f>
        <v>310000</v>
      </c>
      <c r="P400" s="28">
        <f>IF(tblMovimientos[[#This Row],[Tipo de Movimiento]]="Ingreso",tblMovimientos[[#This Row],[Ingreso]],-tblMovimientos[[#This Row],[Egreso]])</f>
        <v>-310000</v>
      </c>
      <c r="Q400" s="78" t="str">
        <f>_xlfn.XLOOKUP(tblMovimientos[[#This Row],[Cuenta Bancaria]],Cuentas!$C:$C,Cuentas!$A:$A,"")&amp;""</f>
        <v>SSP Group</v>
      </c>
      <c r="R400" s="78" t="str">
        <f>_xlfn.XLOOKUP(tblMovimientos[[#This Row],[Cuenta Bancaria]],Cuentas!$C:$C,Cuentas!$B:$B,"",0,-1)&amp;""</f>
        <v/>
      </c>
    </row>
    <row r="401" spans="1:18" x14ac:dyDescent="0.3">
      <c r="B401" s="39">
        <v>46198</v>
      </c>
      <c r="C401" s="4" t="str">
        <f>_xlfn.XLOOKUP(tblMovimientos[[#This Row],[Cuenta Bancaria]],Listas!$B:$B,Listas!$A:$A,"")</f>
        <v>SSP Capital</v>
      </c>
      <c r="D401" s="41" t="s">
        <v>104</v>
      </c>
      <c r="E401" s="68" t="str">
        <f>_xlfn.XLOOKUP(tblMovimientos[[#This Row],[Cuenta Bancaria]],Listas!$B:$B,Listas!$C:$C,"")</f>
        <v xml:space="preserve">Amerant Bank </v>
      </c>
      <c r="F401" s="41" t="s">
        <v>10</v>
      </c>
      <c r="G401" s="41" t="s">
        <v>60</v>
      </c>
      <c r="H401" s="4" t="str">
        <f>IFERROR(_xlfn.XLOOKUP(G401,Listas!E:E,Listas!F:F,""),"")</f>
        <v>Inversion</v>
      </c>
      <c r="I401" s="46" t="str">
        <f>IFERROR(_xlfn.XLOOKUP(G401,Listas!E:E,Listas!G:G,""),"")</f>
        <v>Interno</v>
      </c>
      <c r="J401" s="43">
        <v>90000</v>
      </c>
      <c r="K401" s="5">
        <f t="shared" si="6"/>
        <v>-90000</v>
      </c>
      <c r="L401" s="15" t="s">
        <v>128</v>
      </c>
      <c r="M401" s="44">
        <f>SUMIFS('Saldos Iniciales'!$D:$D,'Saldos Iniciales'!$A:$A,C401,'Saldos Iniciales'!$B:$B,D401)+SUMIFS($K$1:$K$1324,$C$1:$C$1324,C401,$D$1:$D$1324,D401,$B$1:$B$1324,"&lt;="&amp;B401)</f>
        <v>1109351.6499999994</v>
      </c>
      <c r="N401" s="61" t="str">
        <f>IF(tblMovimientos[[#This Row],[Tipo de Movimiento]]="Ingreso",tblMovimientos[[#This Row],[Monto (S/)]],"0")</f>
        <v>0</v>
      </c>
      <c r="O401" s="61">
        <f>IF(tblMovimientos[[#This Row],[Tipo de Movimiento]]="Egreso",tblMovimientos[[#This Row],[Monto (S/)]],"0")</f>
        <v>90000</v>
      </c>
      <c r="P401" s="28">
        <f>IF(tblMovimientos[[#This Row],[Tipo de Movimiento]]="Ingreso",tblMovimientos[[#This Row],[Ingreso]],-tblMovimientos[[#This Row],[Egreso]])</f>
        <v>-90000</v>
      </c>
      <c r="Q401" s="78" t="str">
        <f>_xlfn.XLOOKUP(tblMovimientos[[#This Row],[Cuenta Bancaria]],Cuentas!$C:$C,Cuentas!$A:$A,"")&amp;""</f>
        <v>SSP Group</v>
      </c>
      <c r="R401" s="78" t="str">
        <f>_xlfn.XLOOKUP(tblMovimientos[[#This Row],[Cuenta Bancaria]],Cuentas!$C:$C,Cuentas!$B:$B,"",0,-1)&amp;""</f>
        <v/>
      </c>
    </row>
    <row r="402" spans="1:18" x14ac:dyDescent="0.3">
      <c r="B402" s="39">
        <v>46198</v>
      </c>
      <c r="C402" s="4" t="str">
        <f>_xlfn.XLOOKUP(tblMovimientos[[#This Row],[Cuenta Bancaria]],Listas!$B:$B,Listas!$A:$A,"")</f>
        <v>SSP Capital</v>
      </c>
      <c r="D402" s="41" t="s">
        <v>104</v>
      </c>
      <c r="E402" s="68" t="str">
        <f>_xlfn.XLOOKUP(tblMovimientos[[#This Row],[Cuenta Bancaria]],Listas!$B:$B,Listas!$C:$C,"")</f>
        <v xml:space="preserve">Amerant Bank </v>
      </c>
      <c r="F402" s="41" t="s">
        <v>10</v>
      </c>
      <c r="G402" s="41" t="s">
        <v>62</v>
      </c>
      <c r="H402" s="4" t="str">
        <f>IFERROR(_xlfn.XLOOKUP(G402,Listas!E:E,Listas!F:F,""),"")</f>
        <v>Operativo</v>
      </c>
      <c r="I402" s="46" t="str">
        <f>IFERROR(_xlfn.XLOOKUP(G402,Listas!E:E,Listas!G:G,""),"")</f>
        <v>Interno</v>
      </c>
      <c r="J402" s="43">
        <v>150000</v>
      </c>
      <c r="K402" s="5">
        <f t="shared" si="6"/>
        <v>-150000</v>
      </c>
      <c r="L402" s="15" t="s">
        <v>128</v>
      </c>
      <c r="M402" s="44">
        <f>SUMIFS('Saldos Iniciales'!$D:$D,'Saldos Iniciales'!$A:$A,C402,'Saldos Iniciales'!$B:$B,D402)+SUMIFS($K$1:$K$1324,$C$1:$C$1324,C402,$D$1:$D$1324,D402,$B$1:$B$1324,"&lt;="&amp;B402)</f>
        <v>1109351.6499999994</v>
      </c>
      <c r="N402" s="61" t="str">
        <f>IF(tblMovimientos[[#This Row],[Tipo de Movimiento]]="Ingreso",tblMovimientos[[#This Row],[Monto (S/)]],"0")</f>
        <v>0</v>
      </c>
      <c r="O402" s="61">
        <f>IF(tblMovimientos[[#This Row],[Tipo de Movimiento]]="Egreso",tblMovimientos[[#This Row],[Monto (S/)]],"0")</f>
        <v>150000</v>
      </c>
      <c r="P402" s="28">
        <f>IF(tblMovimientos[[#This Row],[Tipo de Movimiento]]="Ingreso",tblMovimientos[[#This Row],[Ingreso]],-tblMovimientos[[#This Row],[Egreso]])</f>
        <v>-150000</v>
      </c>
      <c r="Q402" s="78" t="str">
        <f>_xlfn.XLOOKUP(tblMovimientos[[#This Row],[Cuenta Bancaria]],Cuentas!$C:$C,Cuentas!$A:$A,"")&amp;""</f>
        <v>SSP Group</v>
      </c>
      <c r="R402" s="78" t="str">
        <f>_xlfn.XLOOKUP(tblMovimientos[[#This Row],[Cuenta Bancaria]],Cuentas!$C:$C,Cuentas!$B:$B,"",0,-1)&amp;""</f>
        <v/>
      </c>
    </row>
    <row r="403" spans="1:18" x14ac:dyDescent="0.3">
      <c r="B403" s="39">
        <v>46198</v>
      </c>
      <c r="C403" s="4" t="str">
        <f>_xlfn.XLOOKUP(tblMovimientos[[#This Row],[Cuenta Bancaria]],Listas!$B:$B,Listas!$A:$A,"")</f>
        <v>SSP Capital</v>
      </c>
      <c r="D403" s="41" t="s">
        <v>104</v>
      </c>
      <c r="E403" s="68" t="str">
        <f>_xlfn.XLOOKUP(tblMovimientos[[#This Row],[Cuenta Bancaria]],Listas!$B:$B,Listas!$C:$C,"")</f>
        <v xml:space="preserve">Amerant Bank </v>
      </c>
      <c r="F403" s="41" t="s">
        <v>10</v>
      </c>
      <c r="G403" s="41" t="s">
        <v>61</v>
      </c>
      <c r="H403" s="4" t="str">
        <f>IFERROR(_xlfn.XLOOKUP(G403,Listas!E:E,Listas!F:F,""),"")</f>
        <v>Operativo</v>
      </c>
      <c r="I403" s="46" t="str">
        <f>IFERROR(_xlfn.XLOOKUP(G403,Listas!E:E,Listas!G:G,""),"")</f>
        <v>Externo</v>
      </c>
      <c r="J403" s="43">
        <v>200000</v>
      </c>
      <c r="K403" s="5">
        <f t="shared" si="6"/>
        <v>-200000</v>
      </c>
      <c r="L403" s="15" t="s">
        <v>128</v>
      </c>
      <c r="M403" s="44">
        <f>SUMIFS('Saldos Iniciales'!$D:$D,'Saldos Iniciales'!$A:$A,C403,'Saldos Iniciales'!$B:$B,D403)+SUMIFS($K$1:$K$1324,$C$1:$C$1324,C403,$D$1:$D$1324,D403,$B$1:$B$1324,"&lt;="&amp;B403)</f>
        <v>1109351.6499999994</v>
      </c>
      <c r="N403" s="61" t="str">
        <f>IF(tblMovimientos[[#This Row],[Tipo de Movimiento]]="Ingreso",tblMovimientos[[#This Row],[Monto (S/)]],"0")</f>
        <v>0</v>
      </c>
      <c r="O403" s="61">
        <f>IF(tblMovimientos[[#This Row],[Tipo de Movimiento]]="Egreso",tblMovimientos[[#This Row],[Monto (S/)]],"0")</f>
        <v>200000</v>
      </c>
      <c r="P403" s="28">
        <f>IF(tblMovimientos[[#This Row],[Tipo de Movimiento]]="Ingreso",tblMovimientos[[#This Row],[Ingreso]],-tblMovimientos[[#This Row],[Egreso]])</f>
        <v>-200000</v>
      </c>
      <c r="Q403" s="78" t="str">
        <f>_xlfn.XLOOKUP(tblMovimientos[[#This Row],[Cuenta Bancaria]],Cuentas!$C:$C,Cuentas!$A:$A,"")&amp;""</f>
        <v>SSP Group</v>
      </c>
      <c r="R403" s="78" t="str">
        <f>_xlfn.XLOOKUP(tblMovimientos[[#This Row],[Cuenta Bancaria]],Cuentas!$C:$C,Cuentas!$B:$B,"",0,-1)&amp;""</f>
        <v/>
      </c>
    </row>
    <row r="404" spans="1:18" x14ac:dyDescent="0.3">
      <c r="B404" s="39">
        <v>46198</v>
      </c>
      <c r="C404" s="4" t="str">
        <f>_xlfn.XLOOKUP(tblMovimientos[[#This Row],[Cuenta Bancaria]],Listas!$B:$B,Listas!$A:$A,"")</f>
        <v>SSP Capital</v>
      </c>
      <c r="D404" s="41" t="s">
        <v>104</v>
      </c>
      <c r="E404" s="68" t="str">
        <f>_xlfn.XLOOKUP(tblMovimientos[[#This Row],[Cuenta Bancaria]],Listas!$B:$B,Listas!$C:$C,"")</f>
        <v xml:space="preserve">Amerant Bank </v>
      </c>
      <c r="F404" s="41" t="s">
        <v>10</v>
      </c>
      <c r="G404" s="41" t="s">
        <v>60</v>
      </c>
      <c r="H404" s="4" t="str">
        <f>IFERROR(_xlfn.XLOOKUP(G404,Listas!E:E,Listas!F:F,""),"")</f>
        <v>Inversion</v>
      </c>
      <c r="I404" s="46" t="str">
        <f>IFERROR(_xlfn.XLOOKUP(G404,Listas!E:E,Listas!G:G,""),"")</f>
        <v>Interno</v>
      </c>
      <c r="J404" s="43">
        <v>2380000</v>
      </c>
      <c r="K404" s="5">
        <f t="shared" si="6"/>
        <v>-2380000</v>
      </c>
      <c r="L404" s="15" t="s">
        <v>128</v>
      </c>
      <c r="M404" s="44">
        <f>SUMIFS('Saldos Iniciales'!$D:$D,'Saldos Iniciales'!$A:$A,C404,'Saldos Iniciales'!$B:$B,D404)+SUMIFS($K$1:$K$1324,$C$1:$C$1324,C404,$D$1:$D$1324,D404,$B$1:$B$1324,"&lt;="&amp;B404)</f>
        <v>1109351.6499999994</v>
      </c>
      <c r="N404" s="61" t="str">
        <f>IF(tblMovimientos[[#This Row],[Tipo de Movimiento]]="Ingreso",tblMovimientos[[#This Row],[Monto (S/)]],"0")</f>
        <v>0</v>
      </c>
      <c r="O404" s="61">
        <f>IF(tblMovimientos[[#This Row],[Tipo de Movimiento]]="Egreso",tblMovimientos[[#This Row],[Monto (S/)]],"0")</f>
        <v>2380000</v>
      </c>
      <c r="P404" s="28">
        <f>IF(tblMovimientos[[#This Row],[Tipo de Movimiento]]="Ingreso",tblMovimientos[[#This Row],[Ingreso]],-tblMovimientos[[#This Row],[Egreso]])</f>
        <v>-2380000</v>
      </c>
      <c r="Q404" s="78" t="str">
        <f>_xlfn.XLOOKUP(tblMovimientos[[#This Row],[Cuenta Bancaria]],Cuentas!$C:$C,Cuentas!$A:$A,"")&amp;""</f>
        <v>SSP Group</v>
      </c>
      <c r="R404" s="78" t="str">
        <f>_xlfn.XLOOKUP(tblMovimientos[[#This Row],[Cuenta Bancaria]],Cuentas!$C:$C,Cuentas!$B:$B,"",0,-1)&amp;""</f>
        <v/>
      </c>
    </row>
    <row r="405" spans="1:18" x14ac:dyDescent="0.3">
      <c r="B405" s="39">
        <v>46198</v>
      </c>
      <c r="C405" s="4" t="str">
        <f>_xlfn.XLOOKUP(tblMovimientos[[#This Row],[Cuenta Bancaria]],Listas!$B:$B,Listas!$A:$A,"")</f>
        <v>Go Blue</v>
      </c>
      <c r="D405" s="41" t="s">
        <v>126</v>
      </c>
      <c r="E405" s="68" t="str">
        <f>_xlfn.XLOOKUP(tblMovimientos[[#This Row],[Cuenta Bancaria]],Listas!$B:$B,Listas!$C:$C,"")</f>
        <v xml:space="preserve">Amerant Bank </v>
      </c>
      <c r="F405" s="41" t="s">
        <v>10</v>
      </c>
      <c r="G405" s="41" t="s">
        <v>38</v>
      </c>
      <c r="H405" s="4" t="str">
        <f>IFERROR(_xlfn.XLOOKUP(G405,Listas!E:E,Listas!F:F,""),"")</f>
        <v>Operativo</v>
      </c>
      <c r="I405" s="46" t="str">
        <f>IFERROR(_xlfn.XLOOKUP(G405,Listas!E:E,Listas!G:G,""),"")</f>
        <v>Externo</v>
      </c>
      <c r="J405" s="43">
        <v>1896.6</v>
      </c>
      <c r="K405" s="5">
        <f t="shared" si="6"/>
        <v>-1896.6</v>
      </c>
      <c r="L405" s="15" t="s">
        <v>128</v>
      </c>
      <c r="M405" s="44">
        <f>SUMIFS('Saldos Iniciales'!$D:$D,'Saldos Iniciales'!$A:$A,C405,'Saldos Iniciales'!$B:$B,D405)+SUMIFS($K$1:$K$1324,$C$1:$C$1324,C405,$D$1:$D$1324,D405,$B$1:$B$1324,"&lt;="&amp;B405)</f>
        <v>32732.080000000002</v>
      </c>
      <c r="N405" s="61" t="str">
        <f>IF(tblMovimientos[[#This Row],[Tipo de Movimiento]]="Ingreso",tblMovimientos[[#This Row],[Monto (S/)]],"0")</f>
        <v>0</v>
      </c>
      <c r="O405" s="61">
        <f>IF(tblMovimientos[[#This Row],[Tipo de Movimiento]]="Egreso",tblMovimientos[[#This Row],[Monto (S/)]],"0")</f>
        <v>1896.6</v>
      </c>
      <c r="P405" s="28">
        <f>IF(tblMovimientos[[#This Row],[Tipo de Movimiento]]="Ingreso",tblMovimientos[[#This Row],[Ingreso]],-tblMovimientos[[#This Row],[Egreso]])</f>
        <v>-1896.6</v>
      </c>
      <c r="Q405" s="78" t="str">
        <f>_xlfn.XLOOKUP(tblMovimientos[[#This Row],[Cuenta Bancaria]],Cuentas!$C:$C,Cuentas!$A:$A,"")&amp;""</f>
        <v>SSP Group</v>
      </c>
      <c r="R405" s="78" t="str">
        <f>_xlfn.XLOOKUP(tblMovimientos[[#This Row],[Cuenta Bancaria]],Cuentas!$C:$C,Cuentas!$B:$B,"",0,-1)&amp;""</f>
        <v/>
      </c>
    </row>
    <row r="406" spans="1:18" x14ac:dyDescent="0.3">
      <c r="B406" s="39">
        <v>46198</v>
      </c>
      <c r="C406" s="4" t="str">
        <f>_xlfn.XLOOKUP(tblMovimientos[[#This Row],[Cuenta Bancaria]],Listas!$B:$B,Listas!$A:$A,"")</f>
        <v>Go Blue</v>
      </c>
      <c r="D406" s="41" t="s">
        <v>126</v>
      </c>
      <c r="E406" s="68" t="str">
        <f>_xlfn.XLOOKUP(tblMovimientos[[#This Row],[Cuenta Bancaria]],Listas!$B:$B,Listas!$C:$C,"")</f>
        <v xml:space="preserve">Amerant Bank </v>
      </c>
      <c r="F406" s="41" t="s">
        <v>10</v>
      </c>
      <c r="G406" s="41" t="s">
        <v>44</v>
      </c>
      <c r="H406" s="4" t="str">
        <f>IFERROR(_xlfn.XLOOKUP(G406,Listas!E:E,Listas!F:F,""),"")</f>
        <v>Operativo</v>
      </c>
      <c r="I406" s="46" t="str">
        <f>IFERROR(_xlfn.XLOOKUP(G406,Listas!E:E,Listas!G:G,""),"")</f>
        <v>Externo</v>
      </c>
      <c r="J406" s="43">
        <v>15</v>
      </c>
      <c r="K406" s="5">
        <f t="shared" si="6"/>
        <v>-15</v>
      </c>
      <c r="L406" s="15" t="s">
        <v>128</v>
      </c>
      <c r="M406" s="44">
        <f>SUMIFS('Saldos Iniciales'!$D:$D,'Saldos Iniciales'!$A:$A,C406,'Saldos Iniciales'!$B:$B,D406)+SUMIFS($K$1:$K$1324,$C$1:$C$1324,C406,$D$1:$D$1324,D406,$B$1:$B$1324,"&lt;="&amp;B406)</f>
        <v>32732.080000000002</v>
      </c>
      <c r="N406" s="61" t="str">
        <f>IF(tblMovimientos[[#This Row],[Tipo de Movimiento]]="Ingreso",tblMovimientos[[#This Row],[Monto (S/)]],"0")</f>
        <v>0</v>
      </c>
      <c r="O406" s="61">
        <f>IF(tblMovimientos[[#This Row],[Tipo de Movimiento]]="Egreso",tblMovimientos[[#This Row],[Monto (S/)]],"0")</f>
        <v>15</v>
      </c>
      <c r="P406" s="28">
        <f>IF(tblMovimientos[[#This Row],[Tipo de Movimiento]]="Ingreso",tblMovimientos[[#This Row],[Ingreso]],-tblMovimientos[[#This Row],[Egreso]])</f>
        <v>-15</v>
      </c>
      <c r="Q406" s="78" t="str">
        <f>_xlfn.XLOOKUP(tblMovimientos[[#This Row],[Cuenta Bancaria]],Cuentas!$C:$C,Cuentas!$A:$A,"")&amp;""</f>
        <v>SSP Group</v>
      </c>
      <c r="R406" s="78" t="str">
        <f>_xlfn.XLOOKUP(tblMovimientos[[#This Row],[Cuenta Bancaria]],Cuentas!$C:$C,Cuentas!$B:$B,"",0,-1)&amp;""</f>
        <v/>
      </c>
    </row>
    <row r="407" spans="1:18" x14ac:dyDescent="0.3">
      <c r="A407" s="45"/>
      <c r="B407" s="39">
        <v>46198</v>
      </c>
      <c r="C407" s="4" t="str">
        <f>_xlfn.XLOOKUP(tblMovimientos[[#This Row],[Cuenta Bancaria]],Listas!$B:$B,Listas!$A:$A,"")</f>
        <v>Go Blue</v>
      </c>
      <c r="D407" s="41" t="s">
        <v>126</v>
      </c>
      <c r="E407" s="68" t="str">
        <f>_xlfn.XLOOKUP(tblMovimientos[[#This Row],[Cuenta Bancaria]],Listas!$B:$B,Listas!$C:$C,"")</f>
        <v xml:space="preserve">Amerant Bank </v>
      </c>
      <c r="F407" s="41" t="s">
        <v>10</v>
      </c>
      <c r="G407" s="41" t="s">
        <v>38</v>
      </c>
      <c r="H407" s="46" t="str">
        <f>IFERROR(_xlfn.XLOOKUP(G407,Listas!E:E,Listas!F:F,""),"")</f>
        <v>Operativo</v>
      </c>
      <c r="I407" s="46" t="str">
        <f>IFERROR(_xlfn.XLOOKUP(G407,Listas!E:E,Listas!G:G,""),"")</f>
        <v>Externo</v>
      </c>
      <c r="J407" s="43">
        <v>2500</v>
      </c>
      <c r="K407" s="5">
        <f t="shared" si="6"/>
        <v>-2500</v>
      </c>
      <c r="L407" s="15" t="s">
        <v>128</v>
      </c>
      <c r="M407" s="44">
        <f>SUMIFS('Saldos Iniciales'!$D:$D,'Saldos Iniciales'!$A:$A,C407,'Saldos Iniciales'!$B:$B,D407)+SUMIFS($K$1:$K$1324,$C$1:$C$1324,C407,$D$1:$D$1324,D407,$B$1:$B$1324,"&lt;="&amp;B407)</f>
        <v>32732.080000000002</v>
      </c>
      <c r="N407" s="61" t="str">
        <f>IF(tblMovimientos[[#This Row],[Tipo de Movimiento]]="Ingreso",tblMovimientos[[#This Row],[Monto (S/)]],"0")</f>
        <v>0</v>
      </c>
      <c r="O407" s="61">
        <f>IF(tblMovimientos[[#This Row],[Tipo de Movimiento]]="Egreso",tblMovimientos[[#This Row],[Monto (S/)]],"0")</f>
        <v>2500</v>
      </c>
      <c r="P407" s="28">
        <f>IF(tblMovimientos[[#This Row],[Tipo de Movimiento]]="Ingreso",tblMovimientos[[#This Row],[Ingreso]],-tblMovimientos[[#This Row],[Egreso]])</f>
        <v>-2500</v>
      </c>
      <c r="Q407" s="78" t="str">
        <f>_xlfn.XLOOKUP(tblMovimientos[[#This Row],[Cuenta Bancaria]],Cuentas!$C:$C,Cuentas!$A:$A,"")&amp;""</f>
        <v>SSP Group</v>
      </c>
      <c r="R407" s="78" t="str">
        <f>_xlfn.XLOOKUP(tblMovimientos[[#This Row],[Cuenta Bancaria]],Cuentas!$C:$C,Cuentas!$B:$B,"",0,-1)&amp;""</f>
        <v/>
      </c>
    </row>
    <row r="408" spans="1:18" x14ac:dyDescent="0.3">
      <c r="B408" s="39">
        <v>46198</v>
      </c>
      <c r="C408" s="4" t="str">
        <f>_xlfn.XLOOKUP(tblMovimientos[[#This Row],[Cuenta Bancaria]],Listas!$B:$B,Listas!$A:$A,"")</f>
        <v>Go Blue</v>
      </c>
      <c r="D408" s="41" t="s">
        <v>126</v>
      </c>
      <c r="E408" s="68" t="str">
        <f>_xlfn.XLOOKUP(tblMovimientos[[#This Row],[Cuenta Bancaria]],Listas!$B:$B,Listas!$C:$C,"")</f>
        <v xml:space="preserve">Amerant Bank </v>
      </c>
      <c r="F408" s="41" t="s">
        <v>10</v>
      </c>
      <c r="G408" s="41" t="s">
        <v>44</v>
      </c>
      <c r="H408" s="4" t="str">
        <f>IFERROR(_xlfn.XLOOKUP(G408,Listas!E:E,Listas!F:F,""),"")</f>
        <v>Operativo</v>
      </c>
      <c r="I408" s="46" t="str">
        <f>IFERROR(_xlfn.XLOOKUP(G408,Listas!E:E,Listas!G:G,""),"")</f>
        <v>Externo</v>
      </c>
      <c r="J408" s="43">
        <v>15</v>
      </c>
      <c r="K408" s="5">
        <f t="shared" si="6"/>
        <v>-15</v>
      </c>
      <c r="L408" s="15" t="s">
        <v>128</v>
      </c>
      <c r="M408" s="44">
        <f>SUMIFS('Saldos Iniciales'!$D:$D,'Saldos Iniciales'!$A:$A,C408,'Saldos Iniciales'!$B:$B,D408)+SUMIFS($K$1:$K$1324,$C$1:$C$1324,C408,$D$1:$D$1324,D408,$B$1:$B$1324,"&lt;="&amp;B408)</f>
        <v>32732.080000000002</v>
      </c>
      <c r="N408" s="61" t="str">
        <f>IF(tblMovimientos[[#This Row],[Tipo de Movimiento]]="Ingreso",tblMovimientos[[#This Row],[Monto (S/)]],"0")</f>
        <v>0</v>
      </c>
      <c r="O408" s="61">
        <f>IF(tblMovimientos[[#This Row],[Tipo de Movimiento]]="Egreso",tblMovimientos[[#This Row],[Monto (S/)]],"0")</f>
        <v>15</v>
      </c>
      <c r="P408" s="28">
        <f>IF(tblMovimientos[[#This Row],[Tipo de Movimiento]]="Ingreso",tblMovimientos[[#This Row],[Ingreso]],-tblMovimientos[[#This Row],[Egreso]])</f>
        <v>-15</v>
      </c>
      <c r="Q408" s="78" t="str">
        <f>_xlfn.XLOOKUP(tblMovimientos[[#This Row],[Cuenta Bancaria]],Cuentas!$C:$C,Cuentas!$A:$A,"")&amp;""</f>
        <v>SSP Group</v>
      </c>
      <c r="R408" s="78" t="str">
        <f>_xlfn.XLOOKUP(tblMovimientos[[#This Row],[Cuenta Bancaria]],Cuentas!$C:$C,Cuentas!$B:$B,"",0,-1)&amp;""</f>
        <v/>
      </c>
    </row>
    <row r="409" spans="1:18" x14ac:dyDescent="0.3">
      <c r="B409" s="39">
        <v>46198</v>
      </c>
      <c r="C409" s="4" t="str">
        <f>_xlfn.XLOOKUP(tblMovimientos[[#This Row],[Cuenta Bancaria]],Listas!$B:$B,Listas!$A:$A,"")</f>
        <v>Go Blue</v>
      </c>
      <c r="D409" s="41" t="s">
        <v>126</v>
      </c>
      <c r="E409" s="68" t="str">
        <f>_xlfn.XLOOKUP(tblMovimientos[[#This Row],[Cuenta Bancaria]],Listas!$B:$B,Listas!$C:$C,"")</f>
        <v xml:space="preserve">Amerant Bank </v>
      </c>
      <c r="F409" s="41" t="s">
        <v>10</v>
      </c>
      <c r="G409" s="41" t="s">
        <v>38</v>
      </c>
      <c r="H409" s="4" t="str">
        <f>IFERROR(_xlfn.XLOOKUP(G409,Listas!E:E,Listas!F:F,""),"")</f>
        <v>Operativo</v>
      </c>
      <c r="I409" s="46" t="str">
        <f>IFERROR(_xlfn.XLOOKUP(G409,Listas!E:E,Listas!G:G,""),"")</f>
        <v>Externo</v>
      </c>
      <c r="J409" s="43">
        <v>2577.2800000000002</v>
      </c>
      <c r="K409" s="5">
        <f t="shared" si="6"/>
        <v>-2577.2800000000002</v>
      </c>
      <c r="L409" s="15" t="s">
        <v>128</v>
      </c>
      <c r="M409" s="44">
        <f>SUMIFS('Saldos Iniciales'!$D:$D,'Saldos Iniciales'!$A:$A,C409,'Saldos Iniciales'!$B:$B,D409)+SUMIFS($K$1:$K$1324,$C$1:$C$1324,C409,$D$1:$D$1324,D409,$B$1:$B$1324,"&lt;="&amp;B409)</f>
        <v>32732.080000000002</v>
      </c>
      <c r="N409" s="61" t="str">
        <f>IF(tblMovimientos[[#This Row],[Tipo de Movimiento]]="Ingreso",tblMovimientos[[#This Row],[Monto (S/)]],"0")</f>
        <v>0</v>
      </c>
      <c r="O409" s="61">
        <f>IF(tblMovimientos[[#This Row],[Tipo de Movimiento]]="Egreso",tblMovimientos[[#This Row],[Monto (S/)]],"0")</f>
        <v>2577.2800000000002</v>
      </c>
      <c r="P409" s="28">
        <f>IF(tblMovimientos[[#This Row],[Tipo de Movimiento]]="Ingreso",tblMovimientos[[#This Row],[Ingreso]],-tblMovimientos[[#This Row],[Egreso]])</f>
        <v>-2577.2800000000002</v>
      </c>
      <c r="Q409" s="78" t="str">
        <f>_xlfn.XLOOKUP(tblMovimientos[[#This Row],[Cuenta Bancaria]],Cuentas!$C:$C,Cuentas!$A:$A,"")&amp;""</f>
        <v>SSP Group</v>
      </c>
      <c r="R409" s="78" t="str">
        <f>_xlfn.XLOOKUP(tblMovimientos[[#This Row],[Cuenta Bancaria]],Cuentas!$C:$C,Cuentas!$B:$B,"",0,-1)&amp;""</f>
        <v/>
      </c>
    </row>
    <row r="410" spans="1:18" x14ac:dyDescent="0.3">
      <c r="B410" s="39">
        <v>46198</v>
      </c>
      <c r="C410" s="4" t="str">
        <f>_xlfn.XLOOKUP(tblMovimientos[[#This Row],[Cuenta Bancaria]],Listas!$B:$B,Listas!$A:$A,"")</f>
        <v>Go Blue</v>
      </c>
      <c r="D410" s="41" t="s">
        <v>126</v>
      </c>
      <c r="E410" s="68" t="str">
        <f>_xlfn.XLOOKUP(tblMovimientos[[#This Row],[Cuenta Bancaria]],Listas!$B:$B,Listas!$C:$C,"")</f>
        <v xml:space="preserve">Amerant Bank </v>
      </c>
      <c r="F410" s="41" t="s">
        <v>10</v>
      </c>
      <c r="G410" s="41" t="s">
        <v>44</v>
      </c>
      <c r="H410" s="4" t="str">
        <f>IFERROR(_xlfn.XLOOKUP(G410,Listas!E:E,Listas!F:F,""),"")</f>
        <v>Operativo</v>
      </c>
      <c r="I410" s="46" t="str">
        <f>IFERROR(_xlfn.XLOOKUP(G410,Listas!E:E,Listas!G:G,""),"")</f>
        <v>Externo</v>
      </c>
      <c r="J410" s="43">
        <v>15</v>
      </c>
      <c r="K410" s="5">
        <f t="shared" si="6"/>
        <v>-15</v>
      </c>
      <c r="L410" s="15" t="s">
        <v>128</v>
      </c>
      <c r="M410" s="44">
        <f>SUMIFS('Saldos Iniciales'!$D:$D,'Saldos Iniciales'!$A:$A,C410,'Saldos Iniciales'!$B:$B,D410)+SUMIFS($K$1:$K$1324,$C$1:$C$1324,C410,$D$1:$D$1324,D410,$B$1:$B$1324,"&lt;="&amp;B410)</f>
        <v>32732.080000000002</v>
      </c>
      <c r="N410" s="61" t="str">
        <f>IF(tblMovimientos[[#This Row],[Tipo de Movimiento]]="Ingreso",tblMovimientos[[#This Row],[Monto (S/)]],"0")</f>
        <v>0</v>
      </c>
      <c r="O410" s="61">
        <f>IF(tblMovimientos[[#This Row],[Tipo de Movimiento]]="Egreso",tblMovimientos[[#This Row],[Monto (S/)]],"0")</f>
        <v>15</v>
      </c>
      <c r="P410" s="28">
        <f>IF(tblMovimientos[[#This Row],[Tipo de Movimiento]]="Ingreso",tblMovimientos[[#This Row],[Ingreso]],-tblMovimientos[[#This Row],[Egreso]])</f>
        <v>-15</v>
      </c>
      <c r="Q410" s="78" t="str">
        <f>_xlfn.XLOOKUP(tblMovimientos[[#This Row],[Cuenta Bancaria]],Cuentas!$C:$C,Cuentas!$A:$A,"")&amp;""</f>
        <v>SSP Group</v>
      </c>
      <c r="R410" s="78" t="str">
        <f>_xlfn.XLOOKUP(tblMovimientos[[#This Row],[Cuenta Bancaria]],Cuentas!$C:$C,Cuentas!$B:$B,"",0,-1)&amp;""</f>
        <v/>
      </c>
    </row>
    <row r="411" spans="1:18" x14ac:dyDescent="0.3">
      <c r="B411" s="39">
        <v>46198</v>
      </c>
      <c r="C411" s="4" t="str">
        <f>_xlfn.XLOOKUP(tblMovimientos[[#This Row],[Cuenta Bancaria]],Listas!$B:$B,Listas!$A:$A,"")</f>
        <v>Go Blue</v>
      </c>
      <c r="D411" s="41" t="s">
        <v>126</v>
      </c>
      <c r="E411" s="68" t="str">
        <f>_xlfn.XLOOKUP(tblMovimientos[[#This Row],[Cuenta Bancaria]],Listas!$B:$B,Listas!$C:$C,"")</f>
        <v xml:space="preserve">Amerant Bank </v>
      </c>
      <c r="F411" s="41" t="s">
        <v>10</v>
      </c>
      <c r="G411" s="41" t="s">
        <v>38</v>
      </c>
      <c r="H411" s="4" t="str">
        <f>IFERROR(_xlfn.XLOOKUP(G411,Listas!E:E,Listas!F:F,""),"")</f>
        <v>Operativo</v>
      </c>
      <c r="I411" s="46" t="str">
        <f>IFERROR(_xlfn.XLOOKUP(G411,Listas!E:E,Listas!G:G,""),"")</f>
        <v>Externo</v>
      </c>
      <c r="J411" s="43">
        <v>4922</v>
      </c>
      <c r="K411" s="5">
        <f t="shared" si="6"/>
        <v>-4922</v>
      </c>
      <c r="L411" s="15" t="s">
        <v>128</v>
      </c>
      <c r="M411" s="44">
        <f>SUMIFS('Saldos Iniciales'!$D:$D,'Saldos Iniciales'!$A:$A,C411,'Saldos Iniciales'!$B:$B,D411)+SUMIFS($K$1:$K$1324,$C$1:$C$1324,C411,$D$1:$D$1324,D411,$B$1:$B$1324,"&lt;="&amp;B411)</f>
        <v>32732.080000000002</v>
      </c>
      <c r="N411" s="61" t="str">
        <f>IF(tblMovimientos[[#This Row],[Tipo de Movimiento]]="Ingreso",tblMovimientos[[#This Row],[Monto (S/)]],"0")</f>
        <v>0</v>
      </c>
      <c r="O411" s="61">
        <f>IF(tblMovimientos[[#This Row],[Tipo de Movimiento]]="Egreso",tblMovimientos[[#This Row],[Monto (S/)]],"0")</f>
        <v>4922</v>
      </c>
      <c r="P411" s="28">
        <f>IF(tblMovimientos[[#This Row],[Tipo de Movimiento]]="Ingreso",tblMovimientos[[#This Row],[Ingreso]],-tblMovimientos[[#This Row],[Egreso]])</f>
        <v>-4922</v>
      </c>
      <c r="Q411" s="78" t="str">
        <f>_xlfn.XLOOKUP(tblMovimientos[[#This Row],[Cuenta Bancaria]],Cuentas!$C:$C,Cuentas!$A:$A,"")&amp;""</f>
        <v>SSP Group</v>
      </c>
      <c r="R411" s="78" t="str">
        <f>_xlfn.XLOOKUP(tblMovimientos[[#This Row],[Cuenta Bancaria]],Cuentas!$C:$C,Cuentas!$B:$B,"",0,-1)&amp;""</f>
        <v/>
      </c>
    </row>
    <row r="412" spans="1:18" x14ac:dyDescent="0.3">
      <c r="B412" s="39">
        <v>46198</v>
      </c>
      <c r="C412" s="4" t="str">
        <f>_xlfn.XLOOKUP(tblMovimientos[[#This Row],[Cuenta Bancaria]],Listas!$B:$B,Listas!$A:$A,"")</f>
        <v>Go Blue</v>
      </c>
      <c r="D412" s="41" t="s">
        <v>126</v>
      </c>
      <c r="E412" s="68" t="str">
        <f>_xlfn.XLOOKUP(tblMovimientos[[#This Row],[Cuenta Bancaria]],Listas!$B:$B,Listas!$C:$C,"")</f>
        <v xml:space="preserve">Amerant Bank </v>
      </c>
      <c r="F412" s="41" t="s">
        <v>10</v>
      </c>
      <c r="G412" s="41" t="s">
        <v>44</v>
      </c>
      <c r="H412" s="4" t="str">
        <f>IFERROR(_xlfn.XLOOKUP(G412,Listas!E:E,Listas!F:F,""),"")</f>
        <v>Operativo</v>
      </c>
      <c r="I412" s="46" t="str">
        <f>IFERROR(_xlfn.XLOOKUP(G412,Listas!E:E,Listas!G:G,""),"")</f>
        <v>Externo</v>
      </c>
      <c r="J412" s="43">
        <v>15</v>
      </c>
      <c r="K412" s="5">
        <f t="shared" si="6"/>
        <v>-15</v>
      </c>
      <c r="L412" s="15" t="s">
        <v>128</v>
      </c>
      <c r="M412" s="44">
        <f>SUMIFS('Saldos Iniciales'!$D:$D,'Saldos Iniciales'!$A:$A,C412,'Saldos Iniciales'!$B:$B,D412)+SUMIFS($K$1:$K$1324,$C$1:$C$1324,C412,$D$1:$D$1324,D412,$B$1:$B$1324,"&lt;="&amp;B412)</f>
        <v>32732.080000000002</v>
      </c>
      <c r="N412" s="61" t="str">
        <f>IF(tblMovimientos[[#This Row],[Tipo de Movimiento]]="Ingreso",tblMovimientos[[#This Row],[Monto (S/)]],"0")</f>
        <v>0</v>
      </c>
      <c r="O412" s="61">
        <f>IF(tblMovimientos[[#This Row],[Tipo de Movimiento]]="Egreso",tblMovimientos[[#This Row],[Monto (S/)]],"0")</f>
        <v>15</v>
      </c>
      <c r="P412" s="28">
        <f>IF(tblMovimientos[[#This Row],[Tipo de Movimiento]]="Ingreso",tblMovimientos[[#This Row],[Ingreso]],-tblMovimientos[[#This Row],[Egreso]])</f>
        <v>-15</v>
      </c>
      <c r="Q412" s="78" t="str">
        <f>_xlfn.XLOOKUP(tblMovimientos[[#This Row],[Cuenta Bancaria]],Cuentas!$C:$C,Cuentas!$A:$A,"")&amp;""</f>
        <v>SSP Group</v>
      </c>
      <c r="R412" s="78" t="str">
        <f>_xlfn.XLOOKUP(tblMovimientos[[#This Row],[Cuenta Bancaria]],Cuentas!$C:$C,Cuentas!$B:$B,"",0,-1)&amp;""</f>
        <v/>
      </c>
    </row>
    <row r="413" spans="1:18" x14ac:dyDescent="0.3">
      <c r="B413" s="39">
        <v>46198</v>
      </c>
      <c r="C413" s="4" t="str">
        <f>_xlfn.XLOOKUP(tblMovimientos[[#This Row],[Cuenta Bancaria]],Listas!$B:$B,Listas!$A:$A,"")</f>
        <v>Cross Security Trust</v>
      </c>
      <c r="D413" s="41" t="s">
        <v>112</v>
      </c>
      <c r="E413" s="68" t="str">
        <f>_xlfn.XLOOKUP(tblMovimientos[[#This Row],[Cuenta Bancaria]],Listas!$B:$B,Listas!$C:$C,"")</f>
        <v>Bank of America</v>
      </c>
      <c r="F413" s="41" t="s">
        <v>9</v>
      </c>
      <c r="G413" s="41" t="s">
        <v>79</v>
      </c>
      <c r="I413" s="69"/>
      <c r="J413" s="43">
        <v>310000</v>
      </c>
      <c r="K413" s="5">
        <f t="shared" si="6"/>
        <v>310000</v>
      </c>
      <c r="L413" s="15" t="s">
        <v>128</v>
      </c>
      <c r="M413" s="44">
        <f>SUMIFS('Saldos Iniciales'!$D:$D,'Saldos Iniciales'!$A:$A,C413,'Saldos Iniciales'!$B:$B,D413)+SUMIFS($K$1:$K$1324,$C$1:$C$1324,C413,$D$1:$D$1324,D413,$B$1:$B$1324,"&lt;="&amp;B413)</f>
        <v>330375.99000000005</v>
      </c>
      <c r="N413" s="61">
        <f>IF(tblMovimientos[[#This Row],[Tipo de Movimiento]]="Ingreso",tblMovimientos[[#This Row],[Monto (S/)]],"0")</f>
        <v>310000</v>
      </c>
      <c r="O413" s="61" t="str">
        <f>IF(tblMovimientos[[#This Row],[Tipo de Movimiento]]="Egreso",tblMovimientos[[#This Row],[Monto (S/)]],"0")</f>
        <v>0</v>
      </c>
      <c r="P413" s="28">
        <f>IF(tblMovimientos[[#This Row],[Tipo de Movimiento]]="Ingreso",tblMovimientos[[#This Row],[Ingreso]],-tblMovimientos[[#This Row],[Egreso]])</f>
        <v>310000</v>
      </c>
      <c r="Q413" s="78" t="str">
        <f>_xlfn.XLOOKUP(tblMovimientos[[#This Row],[Cuenta Bancaria]],Cuentas!$C:$C,Cuentas!$A:$A,"")&amp;""</f>
        <v>SSP Group</v>
      </c>
      <c r="R413" s="78" t="str">
        <f>_xlfn.XLOOKUP(tblMovimientos[[#This Row],[Cuenta Bancaria]],Cuentas!$C:$C,Cuentas!$B:$B,"",0,-1)&amp;""</f>
        <v>Trust</v>
      </c>
    </row>
    <row r="414" spans="1:18" x14ac:dyDescent="0.3">
      <c r="B414" s="39">
        <v>46199</v>
      </c>
      <c r="C414" s="4" t="str">
        <f>_xlfn.XLOOKUP(tblMovimientos[[#This Row],[Cuenta Bancaria]],Listas!$B:$B,Listas!$A:$A,"")</f>
        <v>SSP Capital</v>
      </c>
      <c r="D414" s="41" t="s">
        <v>101</v>
      </c>
      <c r="E414" s="68" t="str">
        <f>_xlfn.XLOOKUP(tblMovimientos[[#This Row],[Cuenta Bancaria]],Listas!$B:$B,Listas!$C:$C,"")</f>
        <v>Bank of America</v>
      </c>
      <c r="F414" s="41" t="s">
        <v>10</v>
      </c>
      <c r="G414" s="41" t="s">
        <v>38</v>
      </c>
      <c r="H414" s="4" t="str">
        <f>IFERROR(_xlfn.XLOOKUP(G414,Listas!E:E,Listas!F:F,""),"")</f>
        <v>Operativo</v>
      </c>
      <c r="I414" s="46" t="str">
        <f>IFERROR(_xlfn.XLOOKUP(G414,Listas!E:E,Listas!G:G,""),"")</f>
        <v>Externo</v>
      </c>
      <c r="J414" s="43">
        <v>762.99</v>
      </c>
      <c r="K414" s="5">
        <f t="shared" si="6"/>
        <v>-762.99</v>
      </c>
      <c r="L414" s="15" t="s">
        <v>128</v>
      </c>
      <c r="M414" s="44">
        <f>SUMIFS('Saldos Iniciales'!$D:$D,'Saldos Iniciales'!$A:$A,C414,'Saldos Iniciales'!$B:$B,D414)+SUMIFS($K$1:$K$1324,$C$1:$C$1324,C414,$D$1:$D$1324,D414,$B$1:$B$1324,"&lt;="&amp;B414)</f>
        <v>8497</v>
      </c>
      <c r="N414" s="61" t="str">
        <f>IF(tblMovimientos[[#This Row],[Tipo de Movimiento]]="Ingreso",tblMovimientos[[#This Row],[Monto (S/)]],"0")</f>
        <v>0</v>
      </c>
      <c r="O414" s="61">
        <f>IF(tblMovimientos[[#This Row],[Tipo de Movimiento]]="Egreso",tblMovimientos[[#This Row],[Monto (S/)]],"0")</f>
        <v>762.99</v>
      </c>
      <c r="P414" s="28">
        <f>IF(tblMovimientos[[#This Row],[Tipo de Movimiento]]="Ingreso",tblMovimientos[[#This Row],[Ingreso]],-tblMovimientos[[#This Row],[Egreso]])</f>
        <v>-762.99</v>
      </c>
      <c r="Q414" s="78" t="str">
        <f>_xlfn.XLOOKUP(tblMovimientos[[#This Row],[Cuenta Bancaria]],Cuentas!$C:$C,Cuentas!$A:$A,"")&amp;""</f>
        <v>SSP Group</v>
      </c>
      <c r="R414" s="78" t="str">
        <f>_xlfn.XLOOKUP(tblMovimientos[[#This Row],[Cuenta Bancaria]],Cuentas!$C:$C,Cuentas!$B:$B,"",0,-1)&amp;""</f>
        <v/>
      </c>
    </row>
    <row r="415" spans="1:18" x14ac:dyDescent="0.3">
      <c r="B415" s="39">
        <v>46199</v>
      </c>
      <c r="C415" s="4" t="str">
        <f>_xlfn.XLOOKUP(tblMovimientos[[#This Row],[Cuenta Bancaria]],Listas!$B:$B,Listas!$A:$A,"")</f>
        <v>CFT Group</v>
      </c>
      <c r="D415" s="41" t="s">
        <v>94</v>
      </c>
      <c r="E415" s="68" t="str">
        <f>_xlfn.XLOOKUP(tblMovimientos[[#This Row],[Cuenta Bancaria]],Listas!$B:$B,Listas!$C:$C,"")</f>
        <v>Bank of America</v>
      </c>
      <c r="F415" s="41" t="s">
        <v>10</v>
      </c>
      <c r="G415" s="41" t="s">
        <v>49</v>
      </c>
      <c r="H415" s="4" t="str">
        <f>IFERROR(_xlfn.XLOOKUP(G415,Listas!E:E,Listas!F:F,""),"")</f>
        <v>Financiamiento</v>
      </c>
      <c r="I415" s="46" t="str">
        <f>IFERROR(_xlfn.XLOOKUP(G415,Listas!E:E,Listas!G:G,""),"")</f>
        <v>Externo</v>
      </c>
      <c r="J415" s="43">
        <v>850</v>
      </c>
      <c r="K415" s="5">
        <f t="shared" si="6"/>
        <v>-850</v>
      </c>
      <c r="L415" s="15" t="s">
        <v>128</v>
      </c>
      <c r="M415" s="44">
        <f>SUMIFS('Saldos Iniciales'!$D:$D,'Saldos Iniciales'!$A:$A,C415,'Saldos Iniciales'!$B:$B,D415)+SUMIFS($K$1:$K$1324,$C$1:$C$1324,C415,$D$1:$D$1324,D415,$B$1:$B$1324,"&lt;="&amp;B415)</f>
        <v>28413.319999999978</v>
      </c>
      <c r="N415" s="61" t="str">
        <f>IF(tblMovimientos[[#This Row],[Tipo de Movimiento]]="Ingreso",tblMovimientos[[#This Row],[Monto (S/)]],"0")</f>
        <v>0</v>
      </c>
      <c r="O415" s="61">
        <f>IF(tblMovimientos[[#This Row],[Tipo de Movimiento]]="Egreso",tblMovimientos[[#This Row],[Monto (S/)]],"0")</f>
        <v>850</v>
      </c>
      <c r="P415" s="28">
        <f>IF(tblMovimientos[[#This Row],[Tipo de Movimiento]]="Ingreso",tblMovimientos[[#This Row],[Ingreso]],-tblMovimientos[[#This Row],[Egreso]])</f>
        <v>-850</v>
      </c>
      <c r="Q415" s="78" t="str">
        <f>_xlfn.XLOOKUP(tblMovimientos[[#This Row],[Cuenta Bancaria]],Cuentas!$C:$C,Cuentas!$A:$A,"")&amp;""</f>
        <v>SSP Group</v>
      </c>
      <c r="R415" s="78" t="str">
        <f>_xlfn.XLOOKUP(tblMovimientos[[#This Row],[Cuenta Bancaria]],Cuentas!$C:$C,Cuentas!$B:$B,"",0,-1)&amp;""</f>
        <v/>
      </c>
    </row>
    <row r="416" spans="1:18" x14ac:dyDescent="0.3">
      <c r="B416" s="39">
        <v>46199</v>
      </c>
      <c r="C416" s="4" t="str">
        <f>_xlfn.XLOOKUP(tblMovimientos[[#This Row],[Cuenta Bancaria]],Listas!$B:$B,Listas!$A:$A,"")</f>
        <v>CFT Group</v>
      </c>
      <c r="D416" s="41" t="s">
        <v>94</v>
      </c>
      <c r="E416" s="68" t="str">
        <f>_xlfn.XLOOKUP(tblMovimientos[[#This Row],[Cuenta Bancaria]],Listas!$B:$B,Listas!$C:$C,"")</f>
        <v>Bank of America</v>
      </c>
      <c r="F416" s="41" t="s">
        <v>10</v>
      </c>
      <c r="G416" s="41" t="s">
        <v>44</v>
      </c>
      <c r="H416" s="4" t="str">
        <f>IFERROR(_xlfn.XLOOKUP(G416,Listas!E:E,Listas!F:F,""),"")</f>
        <v>Operativo</v>
      </c>
      <c r="I416" s="46" t="str">
        <f>IFERROR(_xlfn.XLOOKUP(G416,Listas!E:E,Listas!G:G,""),"")</f>
        <v>Externo</v>
      </c>
      <c r="J416" s="43">
        <v>30</v>
      </c>
      <c r="K416" s="5">
        <f t="shared" si="6"/>
        <v>-30</v>
      </c>
      <c r="L416" s="15" t="s">
        <v>128</v>
      </c>
      <c r="M416" s="44">
        <f>SUMIFS('Saldos Iniciales'!$D:$D,'Saldos Iniciales'!$A:$A,C416,'Saldos Iniciales'!$B:$B,D416)+SUMIFS($K$1:$K$1324,$C$1:$C$1324,C416,$D$1:$D$1324,D416,$B$1:$B$1324,"&lt;="&amp;B416)</f>
        <v>28413.319999999978</v>
      </c>
      <c r="N416" s="61" t="str">
        <f>IF(tblMovimientos[[#This Row],[Tipo de Movimiento]]="Ingreso",tblMovimientos[[#This Row],[Monto (S/)]],"0")</f>
        <v>0</v>
      </c>
      <c r="O416" s="61">
        <f>IF(tblMovimientos[[#This Row],[Tipo de Movimiento]]="Egreso",tblMovimientos[[#This Row],[Monto (S/)]],"0")</f>
        <v>30</v>
      </c>
      <c r="P416" s="28">
        <f>IF(tblMovimientos[[#This Row],[Tipo de Movimiento]]="Ingreso",tblMovimientos[[#This Row],[Ingreso]],-tblMovimientos[[#This Row],[Egreso]])</f>
        <v>-30</v>
      </c>
      <c r="Q416" s="78" t="str">
        <f>_xlfn.XLOOKUP(tblMovimientos[[#This Row],[Cuenta Bancaria]],Cuentas!$C:$C,Cuentas!$A:$A,"")&amp;""</f>
        <v>SSP Group</v>
      </c>
      <c r="R416" s="78" t="str">
        <f>_xlfn.XLOOKUP(tblMovimientos[[#This Row],[Cuenta Bancaria]],Cuentas!$C:$C,Cuentas!$B:$B,"",0,-1)&amp;""</f>
        <v/>
      </c>
    </row>
    <row r="417" spans="1:18" x14ac:dyDescent="0.3">
      <c r="B417" s="39">
        <v>46199</v>
      </c>
      <c r="C417" s="4" t="str">
        <f>_xlfn.XLOOKUP(tblMovimientos[[#This Row],[Cuenta Bancaria]],Listas!$B:$B,Listas!$A:$A,"")</f>
        <v>3628 Thomas Ave</v>
      </c>
      <c r="D417" s="41" t="s">
        <v>124</v>
      </c>
      <c r="E417" s="68" t="str">
        <f>_xlfn.XLOOKUP(tblMovimientos[[#This Row],[Cuenta Bancaria]],Listas!$B:$B,Listas!$C:$C,"")</f>
        <v>Bank of America</v>
      </c>
      <c r="F417" s="41" t="s">
        <v>10</v>
      </c>
      <c r="G417" s="41" t="s">
        <v>44</v>
      </c>
      <c r="H417" s="4" t="str">
        <f>IFERROR(_xlfn.XLOOKUP(G417,Listas!E:E,Listas!F:F,""),"")</f>
        <v>Operativo</v>
      </c>
      <c r="I417" s="46" t="str">
        <f>IFERROR(_xlfn.XLOOKUP(G417,Listas!E:E,Listas!G:G,""),"")</f>
        <v>Externo</v>
      </c>
      <c r="J417" s="43">
        <v>15</v>
      </c>
      <c r="K417" s="5">
        <f t="shared" si="6"/>
        <v>-15</v>
      </c>
      <c r="L417" s="15" t="s">
        <v>128</v>
      </c>
      <c r="M417" s="44">
        <f>SUMIFS('Saldos Iniciales'!$D:$D,'Saldos Iniciales'!$A:$A,C417,'Saldos Iniciales'!$B:$B,D417)+SUMIFS($K$1:$K$1324,$C$1:$C$1324,C417,$D$1:$D$1324,D417,$B$1:$B$1324,"&lt;="&amp;B417)</f>
        <v>28458.6</v>
      </c>
      <c r="N417" s="61" t="str">
        <f>IF(tblMovimientos[[#This Row],[Tipo de Movimiento]]="Ingreso",tblMovimientos[[#This Row],[Monto (S/)]],"0")</f>
        <v>0</v>
      </c>
      <c r="O417" s="61">
        <f>IF(tblMovimientos[[#This Row],[Tipo de Movimiento]]="Egreso",tblMovimientos[[#This Row],[Monto (S/)]],"0")</f>
        <v>15</v>
      </c>
      <c r="P417" s="28">
        <f>IF(tblMovimientos[[#This Row],[Tipo de Movimiento]]="Ingreso",tblMovimientos[[#This Row],[Ingreso]],-tblMovimientos[[#This Row],[Egreso]])</f>
        <v>-15</v>
      </c>
      <c r="Q417" s="78" t="str">
        <f>_xlfn.XLOOKUP(tblMovimientos[[#This Row],[Cuenta Bancaria]],Cuentas!$C:$C,Cuentas!$A:$A,"")&amp;""</f>
        <v>SSP Group</v>
      </c>
      <c r="R417" s="78" t="str">
        <f>_xlfn.XLOOKUP(tblMovimientos[[#This Row],[Cuenta Bancaria]],Cuentas!$C:$C,Cuentas!$B:$B,"",0,-1)&amp;""</f>
        <v/>
      </c>
    </row>
    <row r="418" spans="1:18" x14ac:dyDescent="0.3">
      <c r="B418" s="39">
        <v>46199</v>
      </c>
      <c r="C418" s="4" t="str">
        <f>_xlfn.XLOOKUP(tblMovimientos[[#This Row],[Cuenta Bancaria]],Listas!$B:$B,Listas!$A:$A,"")</f>
        <v>CFT Group</v>
      </c>
      <c r="D418" s="41" t="s">
        <v>95</v>
      </c>
      <c r="E418" s="68" t="str">
        <f>_xlfn.XLOOKUP(tblMovimientos[[#This Row],[Cuenta Bancaria]],Listas!$B:$B,Listas!$C:$C,"")</f>
        <v xml:space="preserve">Amerant Bank </v>
      </c>
      <c r="F418" s="41" t="s">
        <v>10</v>
      </c>
      <c r="G418" s="41" t="s">
        <v>46</v>
      </c>
      <c r="H418" s="4" t="str">
        <f>IFERROR(_xlfn.XLOOKUP(G418,Listas!E:E,Listas!F:F,""),"")</f>
        <v>Financiamiento</v>
      </c>
      <c r="I418" s="46" t="str">
        <f>IFERROR(_xlfn.XLOOKUP(G418,Listas!E:E,Listas!G:G,""),"")</f>
        <v>Externo</v>
      </c>
      <c r="J418" s="43">
        <v>10000</v>
      </c>
      <c r="K418" s="5">
        <f t="shared" si="6"/>
        <v>-10000</v>
      </c>
      <c r="L418" s="15" t="s">
        <v>128</v>
      </c>
      <c r="M418" s="44">
        <f>SUMIFS('Saldos Iniciales'!$D:$D,'Saldos Iniciales'!$A:$A,C418,'Saldos Iniciales'!$B:$B,D418)+SUMIFS($K$1:$K$1324,$C$1:$C$1324,C418,$D$1:$D$1324,D418,$B$1:$B$1324,"&lt;="&amp;B418)</f>
        <v>6254386.3600000003</v>
      </c>
      <c r="N418" s="61" t="str">
        <f>IF(tblMovimientos[[#This Row],[Tipo de Movimiento]]="Ingreso",tblMovimientos[[#This Row],[Monto (S/)]],"0")</f>
        <v>0</v>
      </c>
      <c r="O418" s="61">
        <f>IF(tblMovimientos[[#This Row],[Tipo de Movimiento]]="Egreso",tblMovimientos[[#This Row],[Monto (S/)]],"0")</f>
        <v>10000</v>
      </c>
      <c r="P418" s="28">
        <f>IF(tblMovimientos[[#This Row],[Tipo de Movimiento]]="Ingreso",tblMovimientos[[#This Row],[Ingreso]],-tblMovimientos[[#This Row],[Egreso]])</f>
        <v>-10000</v>
      </c>
      <c r="Q418" s="78" t="str">
        <f>_xlfn.XLOOKUP(tblMovimientos[[#This Row],[Cuenta Bancaria]],Cuentas!$C:$C,Cuentas!$A:$A,"")&amp;""</f>
        <v>SSP Group</v>
      </c>
      <c r="R418" s="78" t="str">
        <f>_xlfn.XLOOKUP(tblMovimientos[[#This Row],[Cuenta Bancaria]],Cuentas!$C:$C,Cuentas!$B:$B,"",0,-1)&amp;""</f>
        <v/>
      </c>
    </row>
    <row r="419" spans="1:18" x14ac:dyDescent="0.3">
      <c r="B419" s="39">
        <v>46199</v>
      </c>
      <c r="C419" s="4" t="str">
        <f>_xlfn.XLOOKUP(tblMovimientos[[#This Row],[Cuenta Bancaria]],Listas!$B:$B,Listas!$A:$A,"")</f>
        <v>Cross Family Trust</v>
      </c>
      <c r="D419" s="41" t="s">
        <v>111</v>
      </c>
      <c r="E419" s="68" t="str">
        <f>_xlfn.XLOOKUP(tblMovimientos[[#This Row],[Cuenta Bancaria]],Listas!$B:$B,Listas!$C:$C,"")</f>
        <v xml:space="preserve">Amerant Bank </v>
      </c>
      <c r="F419" s="41" t="s">
        <v>10</v>
      </c>
      <c r="G419" s="41" t="s">
        <v>60</v>
      </c>
      <c r="H419" s="4" t="str">
        <f>IFERROR(_xlfn.XLOOKUP(G419,Listas!E:E,Listas!F:F,""),"")</f>
        <v>Inversion</v>
      </c>
      <c r="I419" s="46" t="str">
        <f>IFERROR(_xlfn.XLOOKUP(G419,Listas!E:E,Listas!G:G,""),"")</f>
        <v>Interno</v>
      </c>
      <c r="J419" s="43">
        <v>600000</v>
      </c>
      <c r="K419" s="5">
        <f t="shared" si="6"/>
        <v>-600000</v>
      </c>
      <c r="L419" s="15" t="s">
        <v>128</v>
      </c>
      <c r="M419" s="44">
        <f>SUMIFS('Saldos Iniciales'!$D:$D,'Saldos Iniciales'!$A:$A,C419,'Saldos Iniciales'!$B:$B,D419)+SUMIFS($K$1:$K$1324,$C$1:$C$1324,C419,$D$1:$D$1324,D419,$B$1:$B$1324,"&lt;="&amp;B419)</f>
        <v>1281717.6000000001</v>
      </c>
      <c r="N419" s="61" t="str">
        <f>IF(tblMovimientos[[#This Row],[Tipo de Movimiento]]="Ingreso",tblMovimientos[[#This Row],[Monto (S/)]],"0")</f>
        <v>0</v>
      </c>
      <c r="O419" s="61">
        <f>IF(tblMovimientos[[#This Row],[Tipo de Movimiento]]="Egreso",tblMovimientos[[#This Row],[Monto (S/)]],"0")</f>
        <v>600000</v>
      </c>
      <c r="P419" s="28">
        <f>IF(tblMovimientos[[#This Row],[Tipo de Movimiento]]="Ingreso",tblMovimientos[[#This Row],[Ingreso]],-tblMovimientos[[#This Row],[Egreso]])</f>
        <v>-600000</v>
      </c>
      <c r="Q419" s="78" t="str">
        <f>_xlfn.XLOOKUP(tblMovimientos[[#This Row],[Cuenta Bancaria]],Cuentas!$C:$C,Cuentas!$A:$A,"")&amp;""</f>
        <v>SSP Group</v>
      </c>
      <c r="R419" s="78" t="str">
        <f>_xlfn.XLOOKUP(tblMovimientos[[#This Row],[Cuenta Bancaria]],Cuentas!$C:$C,Cuentas!$B:$B,"",0,-1)&amp;""</f>
        <v>Trust</v>
      </c>
    </row>
    <row r="420" spans="1:18" x14ac:dyDescent="0.3">
      <c r="B420" s="39">
        <v>46199</v>
      </c>
      <c r="C420" s="4" t="str">
        <f>_xlfn.XLOOKUP(tblMovimientos[[#This Row],[Cuenta Bancaria]],Listas!$B:$B,Listas!$A:$A,"")</f>
        <v>Go Blue</v>
      </c>
      <c r="D420" s="41" t="s">
        <v>126</v>
      </c>
      <c r="E420" s="68" t="str">
        <f>_xlfn.XLOOKUP(tblMovimientos[[#This Row],[Cuenta Bancaria]],Listas!$B:$B,Listas!$C:$C,"")</f>
        <v xml:space="preserve">Amerant Bank </v>
      </c>
      <c r="F420" s="41" t="s">
        <v>10</v>
      </c>
      <c r="G420" s="41" t="s">
        <v>38</v>
      </c>
      <c r="H420" s="4" t="str">
        <f>IFERROR(_xlfn.XLOOKUP(G420,Listas!E:E,Listas!F:F,""),"")</f>
        <v>Operativo</v>
      </c>
      <c r="I420" s="46" t="str">
        <f>IFERROR(_xlfn.XLOOKUP(G420,Listas!E:E,Listas!G:G,""),"")</f>
        <v>Externo</v>
      </c>
      <c r="J420" s="43">
        <v>3091.79</v>
      </c>
      <c r="K420" s="5">
        <f t="shared" si="6"/>
        <v>-3091.79</v>
      </c>
      <c r="L420" s="15" t="s">
        <v>128</v>
      </c>
      <c r="M420" s="44">
        <f>SUMIFS('Saldos Iniciales'!$D:$D,'Saldos Iniciales'!$A:$A,C420,'Saldos Iniciales'!$B:$B,D420)+SUMIFS($K$1:$K$1324,$C$1:$C$1324,C420,$D$1:$D$1324,D420,$B$1:$B$1324,"&lt;="&amp;B420)</f>
        <v>24625.29</v>
      </c>
      <c r="N420" s="61" t="str">
        <f>IF(tblMovimientos[[#This Row],[Tipo de Movimiento]]="Ingreso",tblMovimientos[[#This Row],[Monto (S/)]],"0")</f>
        <v>0</v>
      </c>
      <c r="O420" s="61">
        <f>IF(tblMovimientos[[#This Row],[Tipo de Movimiento]]="Egreso",tblMovimientos[[#This Row],[Monto (S/)]],"0")</f>
        <v>3091.79</v>
      </c>
      <c r="P420" s="28">
        <f>IF(tblMovimientos[[#This Row],[Tipo de Movimiento]]="Ingreso",tblMovimientos[[#This Row],[Ingreso]],-tblMovimientos[[#This Row],[Egreso]])</f>
        <v>-3091.79</v>
      </c>
      <c r="Q420" s="78" t="str">
        <f>_xlfn.XLOOKUP(tblMovimientos[[#This Row],[Cuenta Bancaria]],Cuentas!$C:$C,Cuentas!$A:$A,"")&amp;""</f>
        <v>SSP Group</v>
      </c>
      <c r="R420" s="78" t="str">
        <f>_xlfn.XLOOKUP(tblMovimientos[[#This Row],[Cuenta Bancaria]],Cuentas!$C:$C,Cuentas!$B:$B,"",0,-1)&amp;""</f>
        <v/>
      </c>
    </row>
    <row r="421" spans="1:18" x14ac:dyDescent="0.3">
      <c r="B421" s="39">
        <v>46199</v>
      </c>
      <c r="C421" s="4" t="str">
        <f>_xlfn.XLOOKUP(tblMovimientos[[#This Row],[Cuenta Bancaria]],Listas!$B:$B,Listas!$A:$A,"")</f>
        <v>Go Blue</v>
      </c>
      <c r="D421" s="41" t="s">
        <v>126</v>
      </c>
      <c r="E421" s="68" t="str">
        <f>_xlfn.XLOOKUP(tblMovimientos[[#This Row],[Cuenta Bancaria]],Listas!$B:$B,Listas!$C:$C,"")</f>
        <v xml:space="preserve">Amerant Bank </v>
      </c>
      <c r="F421" s="41" t="s">
        <v>10</v>
      </c>
      <c r="G421" s="41" t="s">
        <v>44</v>
      </c>
      <c r="H421" s="4" t="str">
        <f>IFERROR(_xlfn.XLOOKUP(G421,Listas!E:E,Listas!F:F,""),"")</f>
        <v>Operativo</v>
      </c>
      <c r="I421" s="46" t="str">
        <f>IFERROR(_xlfn.XLOOKUP(G421,Listas!E:E,Listas!G:G,""),"")</f>
        <v>Externo</v>
      </c>
      <c r="J421" s="43">
        <v>15</v>
      </c>
      <c r="K421" s="5">
        <f t="shared" si="6"/>
        <v>-15</v>
      </c>
      <c r="L421" s="15" t="s">
        <v>128</v>
      </c>
      <c r="M421" s="44">
        <f>SUMIFS('Saldos Iniciales'!$D:$D,'Saldos Iniciales'!$A:$A,C421,'Saldos Iniciales'!$B:$B,D421)+SUMIFS($K$1:$K$1324,$C$1:$C$1324,C421,$D$1:$D$1324,D421,$B$1:$B$1324,"&lt;="&amp;B421)</f>
        <v>24625.29</v>
      </c>
      <c r="N421" s="61" t="str">
        <f>IF(tblMovimientos[[#This Row],[Tipo de Movimiento]]="Ingreso",tblMovimientos[[#This Row],[Monto (S/)]],"0")</f>
        <v>0</v>
      </c>
      <c r="O421" s="61">
        <f>IF(tblMovimientos[[#This Row],[Tipo de Movimiento]]="Egreso",tblMovimientos[[#This Row],[Monto (S/)]],"0")</f>
        <v>15</v>
      </c>
      <c r="P421" s="28">
        <f>IF(tblMovimientos[[#This Row],[Tipo de Movimiento]]="Ingreso",tblMovimientos[[#This Row],[Ingreso]],-tblMovimientos[[#This Row],[Egreso]])</f>
        <v>-15</v>
      </c>
      <c r="Q421" s="78" t="str">
        <f>_xlfn.XLOOKUP(tblMovimientos[[#This Row],[Cuenta Bancaria]],Cuentas!$C:$C,Cuentas!$A:$A,"")&amp;""</f>
        <v>SSP Group</v>
      </c>
      <c r="R421" s="78" t="str">
        <f>_xlfn.XLOOKUP(tblMovimientos[[#This Row],[Cuenta Bancaria]],Cuentas!$C:$C,Cuentas!$B:$B,"",0,-1)&amp;""</f>
        <v/>
      </c>
    </row>
    <row r="422" spans="1:18" x14ac:dyDescent="0.3">
      <c r="B422" s="39">
        <v>46199</v>
      </c>
      <c r="C422" s="4" t="str">
        <f>_xlfn.XLOOKUP(tblMovimientos[[#This Row],[Cuenta Bancaria]],Listas!$B:$B,Listas!$A:$A,"")</f>
        <v>Go Blue</v>
      </c>
      <c r="D422" s="41" t="s">
        <v>126</v>
      </c>
      <c r="E422" s="68" t="str">
        <f>_xlfn.XLOOKUP(tblMovimientos[[#This Row],[Cuenta Bancaria]],Listas!$B:$B,Listas!$C:$C,"")</f>
        <v xml:space="preserve">Amerant Bank </v>
      </c>
      <c r="F422" s="41" t="s">
        <v>10</v>
      </c>
      <c r="H422" s="4">
        <f>IFERROR(_xlfn.XLOOKUP(G422,Listas!E:E,Listas!F:F,""),"")</f>
        <v>0</v>
      </c>
      <c r="I422" s="46">
        <f>IFERROR(_xlfn.XLOOKUP(G422,Listas!E:E,Listas!G:G,""),"")</f>
        <v>0</v>
      </c>
      <c r="J422" s="43">
        <v>5000</v>
      </c>
      <c r="K422" s="5">
        <f t="shared" si="6"/>
        <v>-5000</v>
      </c>
      <c r="L422" s="15" t="s">
        <v>128</v>
      </c>
      <c r="M422" s="44">
        <f>SUMIFS('Saldos Iniciales'!$D:$D,'Saldos Iniciales'!$A:$A,C422,'Saldos Iniciales'!$B:$B,D422)+SUMIFS($K$1:$K$1324,$C$1:$C$1324,C422,$D$1:$D$1324,D422,$B$1:$B$1324,"&lt;="&amp;B422)</f>
        <v>24625.29</v>
      </c>
      <c r="N422" s="61" t="str">
        <f>IF(tblMovimientos[[#This Row],[Tipo de Movimiento]]="Ingreso",tblMovimientos[[#This Row],[Monto (S/)]],"0")</f>
        <v>0</v>
      </c>
      <c r="O422" s="61">
        <f>IF(tblMovimientos[[#This Row],[Tipo de Movimiento]]="Egreso",tblMovimientos[[#This Row],[Monto (S/)]],"0")</f>
        <v>5000</v>
      </c>
      <c r="P422" s="28">
        <f>IF(tblMovimientos[[#This Row],[Tipo de Movimiento]]="Ingreso",tblMovimientos[[#This Row],[Ingreso]],-tblMovimientos[[#This Row],[Egreso]])</f>
        <v>-5000</v>
      </c>
      <c r="Q422" s="78" t="str">
        <f>_xlfn.XLOOKUP(tblMovimientos[[#This Row],[Cuenta Bancaria]],Cuentas!$C:$C,Cuentas!$A:$A,"")&amp;""</f>
        <v>SSP Group</v>
      </c>
      <c r="R422" s="78" t="str">
        <f>_xlfn.XLOOKUP(tblMovimientos[[#This Row],[Cuenta Bancaria]],Cuentas!$C:$C,Cuentas!$B:$B,"",0,-1)&amp;""</f>
        <v/>
      </c>
    </row>
    <row r="423" spans="1:18" x14ac:dyDescent="0.3">
      <c r="B423" s="39">
        <v>46202</v>
      </c>
      <c r="C423" s="4" t="str">
        <f>_xlfn.XLOOKUP(tblMovimientos[[#This Row],[Cuenta Bancaria]],Listas!$B:$B,Listas!$A:$A,"")</f>
        <v>A&amp;M Imports</v>
      </c>
      <c r="D423" s="41" t="s">
        <v>100</v>
      </c>
      <c r="E423" s="68" t="str">
        <f>_xlfn.XLOOKUP(tblMovimientos[[#This Row],[Cuenta Bancaria]],Listas!$B:$B,Listas!$C:$C,"")</f>
        <v>Bank of America</v>
      </c>
      <c r="F423" s="41" t="s">
        <v>9</v>
      </c>
      <c r="G423" s="41" t="s">
        <v>82</v>
      </c>
      <c r="H423" s="4" t="str">
        <f>IFERROR(_xlfn.XLOOKUP(G423,Listas!E:E,Listas!F:F,""),"")</f>
        <v>Operativo</v>
      </c>
      <c r="I423" s="46" t="str">
        <f>IFERROR(_xlfn.XLOOKUP(G423,Listas!E:E,Listas!G:G,""),"")</f>
        <v>Externo</v>
      </c>
      <c r="J423" s="43">
        <v>16978.900000000001</v>
      </c>
      <c r="K423" s="5">
        <f t="shared" si="6"/>
        <v>16978.900000000001</v>
      </c>
      <c r="L423" s="15" t="s">
        <v>128</v>
      </c>
      <c r="M423" s="44">
        <f>SUMIFS('Saldos Iniciales'!$D:$D,'Saldos Iniciales'!$A:$A,C423,'Saldos Iniciales'!$B:$B,D423)+SUMIFS($K$1:$K$1324,$C$1:$C$1324,C423,$D$1:$D$1324,D423,$B$1:$B$1324,"&lt;="&amp;B423)</f>
        <v>489745.62999999989</v>
      </c>
      <c r="N423" s="61">
        <f>IF(tblMovimientos[[#This Row],[Tipo de Movimiento]]="Ingreso",tblMovimientos[[#This Row],[Monto (S/)]],"0")</f>
        <v>16978.900000000001</v>
      </c>
      <c r="O423" s="61" t="str">
        <f>IF(tblMovimientos[[#This Row],[Tipo de Movimiento]]="Egreso",tblMovimientos[[#This Row],[Monto (S/)]],"0")</f>
        <v>0</v>
      </c>
      <c r="P423" s="28">
        <f>IF(tblMovimientos[[#This Row],[Tipo de Movimiento]]="Ingreso",tblMovimientos[[#This Row],[Ingreso]],-tblMovimientos[[#This Row],[Egreso]])</f>
        <v>16978.900000000001</v>
      </c>
      <c r="Q423" s="78" t="str">
        <f>_xlfn.XLOOKUP(tblMovimientos[[#This Row],[Cuenta Bancaria]],Cuentas!$C:$C,Cuentas!$A:$A,"")&amp;""</f>
        <v>SSP Group</v>
      </c>
      <c r="R423" s="78" t="str">
        <f>_xlfn.XLOOKUP(tblMovimientos[[#This Row],[Cuenta Bancaria]],Cuentas!$C:$C,Cuentas!$B:$B,"",0,-1)&amp;""</f>
        <v/>
      </c>
    </row>
    <row r="424" spans="1:18" x14ac:dyDescent="0.3">
      <c r="B424" s="39">
        <v>46202</v>
      </c>
      <c r="C424" s="4" t="str">
        <f>_xlfn.XLOOKUP(tblMovimientos[[#This Row],[Cuenta Bancaria]],Listas!$B:$B,Listas!$A:$A,"")</f>
        <v>CFT Group</v>
      </c>
      <c r="D424" s="41" t="s">
        <v>94</v>
      </c>
      <c r="E424" s="68" t="str">
        <f>_xlfn.XLOOKUP(tblMovimientos[[#This Row],[Cuenta Bancaria]],Listas!$B:$B,Listas!$C:$C,"")</f>
        <v>Bank of America</v>
      </c>
      <c r="F424" s="41" t="s">
        <v>9</v>
      </c>
      <c r="G424" s="41" t="s">
        <v>68</v>
      </c>
      <c r="H424" s="4" t="str">
        <f>IFERROR(_xlfn.XLOOKUP(G424,Listas!E:E,Listas!F:F,""),"")</f>
        <v>Operativo</v>
      </c>
      <c r="I424" s="46" t="str">
        <f>IFERROR(_xlfn.XLOOKUP(G424,Listas!E:E,Listas!G:G,""),"")</f>
        <v>Externo</v>
      </c>
      <c r="J424" s="43">
        <v>6021.16</v>
      </c>
      <c r="K424" s="5">
        <f t="shared" si="6"/>
        <v>6021.16</v>
      </c>
      <c r="L424" s="15" t="s">
        <v>128</v>
      </c>
      <c r="M424" s="44">
        <f>SUMIFS('Saldos Iniciales'!$D:$D,'Saldos Iniciales'!$A:$A,C424,'Saldos Iniciales'!$B:$B,D424)+SUMIFS($K$1:$K$1324,$C$1:$C$1324,C424,$D$1:$D$1324,D424,$B$1:$B$1324,"&lt;="&amp;B424)</f>
        <v>39532.419999999984</v>
      </c>
      <c r="N424" s="61">
        <f>IF(tblMovimientos[[#This Row],[Tipo de Movimiento]]="Ingreso",tblMovimientos[[#This Row],[Monto (S/)]],"0")</f>
        <v>6021.16</v>
      </c>
      <c r="O424" s="61" t="str">
        <f>IF(tblMovimientos[[#This Row],[Tipo de Movimiento]]="Egreso",tblMovimientos[[#This Row],[Monto (S/)]],"0")</f>
        <v>0</v>
      </c>
      <c r="P424" s="28">
        <f>IF(tblMovimientos[[#This Row],[Tipo de Movimiento]]="Ingreso",tblMovimientos[[#This Row],[Ingreso]],-tblMovimientos[[#This Row],[Egreso]])</f>
        <v>6021.16</v>
      </c>
      <c r="Q424" s="78" t="str">
        <f>_xlfn.XLOOKUP(tblMovimientos[[#This Row],[Cuenta Bancaria]],Cuentas!$C:$C,Cuentas!$A:$A,"")&amp;""</f>
        <v>SSP Group</v>
      </c>
      <c r="R424" s="78" t="str">
        <f>_xlfn.XLOOKUP(tblMovimientos[[#This Row],[Cuenta Bancaria]],Cuentas!$C:$C,Cuentas!$B:$B,"",0,-1)&amp;""</f>
        <v/>
      </c>
    </row>
    <row r="425" spans="1:18" x14ac:dyDescent="0.3">
      <c r="A425" s="45"/>
      <c r="B425" s="39">
        <v>46202</v>
      </c>
      <c r="C425" s="4" t="str">
        <f>_xlfn.XLOOKUP(tblMovimientos[[#This Row],[Cuenta Bancaria]],Listas!$B:$B,Listas!$A:$A,"")</f>
        <v>CFT Group</v>
      </c>
      <c r="D425" s="41" t="s">
        <v>94</v>
      </c>
      <c r="E425" s="68" t="str">
        <f>_xlfn.XLOOKUP(tblMovimientos[[#This Row],[Cuenta Bancaria]],Listas!$B:$B,Listas!$C:$C,"")</f>
        <v>Bank of America</v>
      </c>
      <c r="F425" s="41" t="s">
        <v>9</v>
      </c>
      <c r="G425" s="41" t="s">
        <v>68</v>
      </c>
      <c r="H425" s="46" t="str">
        <f>IFERROR(_xlfn.XLOOKUP(G425,Listas!E:E,Listas!F:F,""),"")</f>
        <v>Operativo</v>
      </c>
      <c r="I425" s="46" t="str">
        <f>IFERROR(_xlfn.XLOOKUP(G425,Listas!E:E,Listas!G:G,""),"")</f>
        <v>Externo</v>
      </c>
      <c r="J425" s="43">
        <v>5097.9399999999996</v>
      </c>
      <c r="K425" s="5">
        <f t="shared" si="6"/>
        <v>5097.9399999999996</v>
      </c>
      <c r="L425" s="15" t="s">
        <v>128</v>
      </c>
      <c r="M425" s="44">
        <f>SUMIFS('Saldos Iniciales'!$D:$D,'Saldos Iniciales'!$A:$A,C425,'Saldos Iniciales'!$B:$B,D425)+SUMIFS($K$1:$K$1324,$C$1:$C$1324,C425,$D$1:$D$1324,D425,$B$1:$B$1324,"&lt;="&amp;B425)</f>
        <v>39532.419999999984</v>
      </c>
      <c r="N425" s="61">
        <f>IF(tblMovimientos[[#This Row],[Tipo de Movimiento]]="Ingreso",tblMovimientos[[#This Row],[Monto (S/)]],"0")</f>
        <v>5097.9399999999996</v>
      </c>
      <c r="O425" s="61" t="str">
        <f>IF(tblMovimientos[[#This Row],[Tipo de Movimiento]]="Egreso",tblMovimientos[[#This Row],[Monto (S/)]],"0")</f>
        <v>0</v>
      </c>
      <c r="P425" s="28">
        <f>IF(tblMovimientos[[#This Row],[Tipo de Movimiento]]="Ingreso",tblMovimientos[[#This Row],[Ingreso]],-tblMovimientos[[#This Row],[Egreso]])</f>
        <v>5097.9399999999996</v>
      </c>
      <c r="Q425" s="78" t="str">
        <f>_xlfn.XLOOKUP(tblMovimientos[[#This Row],[Cuenta Bancaria]],Cuentas!$C:$C,Cuentas!$A:$A,"")&amp;""</f>
        <v>SSP Group</v>
      </c>
      <c r="R425" s="78" t="str">
        <f>_xlfn.XLOOKUP(tblMovimientos[[#This Row],[Cuenta Bancaria]],Cuentas!$C:$C,Cuentas!$B:$B,"",0,-1)&amp;""</f>
        <v/>
      </c>
    </row>
    <row r="426" spans="1:18" x14ac:dyDescent="0.3">
      <c r="B426" s="39">
        <v>46202</v>
      </c>
      <c r="C426" s="4" t="str">
        <f>_xlfn.XLOOKUP(tblMovimientos[[#This Row],[Cuenta Bancaria]],Listas!$B:$B,Listas!$A:$A,"")</f>
        <v>Cross Family Trust</v>
      </c>
      <c r="D426" s="41" t="s">
        <v>111</v>
      </c>
      <c r="E426" s="68" t="str">
        <f>_xlfn.XLOOKUP(tblMovimientos[[#This Row],[Cuenta Bancaria]],Listas!$B:$B,Listas!$C:$C,"")</f>
        <v xml:space="preserve">Amerant Bank </v>
      </c>
      <c r="F426" s="41" t="s">
        <v>10</v>
      </c>
      <c r="G426" s="41" t="s">
        <v>60</v>
      </c>
      <c r="H426" s="4" t="str">
        <f>IFERROR(_xlfn.XLOOKUP(G426,Listas!E:E,Listas!F:F,""),"")</f>
        <v>Inversion</v>
      </c>
      <c r="I426" s="46" t="str">
        <f>IFERROR(_xlfn.XLOOKUP(G426,Listas!E:E,Listas!G:G,""),"")</f>
        <v>Interno</v>
      </c>
      <c r="J426" s="43">
        <v>1000000</v>
      </c>
      <c r="K426" s="5">
        <f t="shared" si="6"/>
        <v>-1000000</v>
      </c>
      <c r="L426" s="15" t="s">
        <v>128</v>
      </c>
      <c r="M426" s="44">
        <f>SUMIFS('Saldos Iniciales'!$D:$D,'Saldos Iniciales'!$A:$A,C426,'Saldos Iniciales'!$B:$B,D426)+SUMIFS($K$1:$K$1324,$C$1:$C$1324,C426,$D$1:$D$1324,D426,$B$1:$B$1324,"&lt;="&amp;B426)</f>
        <v>281717.59999999998</v>
      </c>
      <c r="N426" s="61" t="str">
        <f>IF(tblMovimientos[[#This Row],[Tipo de Movimiento]]="Ingreso",tblMovimientos[[#This Row],[Monto (S/)]],"0")</f>
        <v>0</v>
      </c>
      <c r="O426" s="61">
        <f>IF(tblMovimientos[[#This Row],[Tipo de Movimiento]]="Egreso",tblMovimientos[[#This Row],[Monto (S/)]],"0")</f>
        <v>1000000</v>
      </c>
      <c r="P426" s="28">
        <f>IF(tblMovimientos[[#This Row],[Tipo de Movimiento]]="Ingreso",tblMovimientos[[#This Row],[Ingreso]],-tblMovimientos[[#This Row],[Egreso]])</f>
        <v>-1000000</v>
      </c>
      <c r="Q426" s="78" t="str">
        <f>_xlfn.XLOOKUP(tblMovimientos[[#This Row],[Cuenta Bancaria]],Cuentas!$C:$C,Cuentas!$A:$A,"")&amp;""</f>
        <v>SSP Group</v>
      </c>
      <c r="R426" s="78" t="str">
        <f>_xlfn.XLOOKUP(tblMovimientos[[#This Row],[Cuenta Bancaria]],Cuentas!$C:$C,Cuentas!$B:$B,"",0,-1)&amp;""</f>
        <v>Trust</v>
      </c>
    </row>
    <row r="427" spans="1:18" x14ac:dyDescent="0.3">
      <c r="B427" s="39">
        <v>46202</v>
      </c>
      <c r="C427" s="4" t="str">
        <f>_xlfn.XLOOKUP(tblMovimientos[[#This Row],[Cuenta Bancaria]],Listas!$B:$B,Listas!$A:$A,"")</f>
        <v>SSP Capital</v>
      </c>
      <c r="D427" s="41" t="s">
        <v>104</v>
      </c>
      <c r="E427" s="68" t="str">
        <f>_xlfn.XLOOKUP(tblMovimientos[[#This Row],[Cuenta Bancaria]],Listas!$B:$B,Listas!$C:$C,"")</f>
        <v xml:space="preserve">Amerant Bank </v>
      </c>
      <c r="F427" s="41" t="s">
        <v>10</v>
      </c>
      <c r="G427" s="41" t="s">
        <v>40</v>
      </c>
      <c r="H427" s="4" t="str">
        <f>IFERROR(_xlfn.XLOOKUP(G427,Listas!E:E,Listas!F:F,""),"")</f>
        <v>Operativo</v>
      </c>
      <c r="I427" s="46" t="str">
        <f>IFERROR(_xlfn.XLOOKUP(G427,Listas!E:E,Listas!G:G,""),"")</f>
        <v>Externo</v>
      </c>
      <c r="J427" s="43">
        <v>164221.79999999999</v>
      </c>
      <c r="K427" s="5">
        <f t="shared" si="6"/>
        <v>-164221.79999999999</v>
      </c>
      <c r="L427" s="15" t="s">
        <v>128</v>
      </c>
      <c r="M427" s="44">
        <f>SUMIFS('Saldos Iniciales'!$D:$D,'Saldos Iniciales'!$A:$A,C427,'Saldos Iniciales'!$B:$B,D427)+SUMIFS($K$1:$K$1324,$C$1:$C$1324,C427,$D$1:$D$1324,D427,$B$1:$B$1324,"&lt;="&amp;B427)</f>
        <v>945129.84999999939</v>
      </c>
      <c r="N427" s="61" t="str">
        <f>IF(tblMovimientos[[#This Row],[Tipo de Movimiento]]="Ingreso",tblMovimientos[[#This Row],[Monto (S/)]],"0")</f>
        <v>0</v>
      </c>
      <c r="O427" s="61">
        <f>IF(tblMovimientos[[#This Row],[Tipo de Movimiento]]="Egreso",tblMovimientos[[#This Row],[Monto (S/)]],"0")</f>
        <v>164221.79999999999</v>
      </c>
      <c r="P427" s="28">
        <f>IF(tblMovimientos[[#This Row],[Tipo de Movimiento]]="Ingreso",tblMovimientos[[#This Row],[Ingreso]],-tblMovimientos[[#This Row],[Egreso]])</f>
        <v>-164221.79999999999</v>
      </c>
      <c r="Q427" s="78" t="str">
        <f>_xlfn.XLOOKUP(tblMovimientos[[#This Row],[Cuenta Bancaria]],Cuentas!$C:$C,Cuentas!$A:$A,"")&amp;""</f>
        <v>SSP Group</v>
      </c>
      <c r="R427" s="78" t="str">
        <f>_xlfn.XLOOKUP(tblMovimientos[[#This Row],[Cuenta Bancaria]],Cuentas!$C:$C,Cuentas!$B:$B,"",0,-1)&amp;""</f>
        <v/>
      </c>
    </row>
    <row r="428" spans="1:18" x14ac:dyDescent="0.3">
      <c r="B428" s="39">
        <v>46202</v>
      </c>
      <c r="C428" s="4" t="str">
        <f>_xlfn.XLOOKUP(tblMovimientos[[#This Row],[Cuenta Bancaria]],Listas!$B:$B,Listas!$A:$A,"")</f>
        <v>Go Blue</v>
      </c>
      <c r="D428" s="41" t="s">
        <v>126</v>
      </c>
      <c r="E428" s="68" t="str">
        <f>_xlfn.XLOOKUP(tblMovimientos[[#This Row],[Cuenta Bancaria]],Listas!$B:$B,Listas!$C:$C,"")</f>
        <v xml:space="preserve">Amerant Bank </v>
      </c>
      <c r="F428" s="41" t="s">
        <v>10</v>
      </c>
      <c r="G428" s="41" t="s">
        <v>38</v>
      </c>
      <c r="H428" s="4" t="str">
        <f>IFERROR(_xlfn.XLOOKUP(G428,Listas!E:E,Listas!F:F,""),"")</f>
        <v>Operativo</v>
      </c>
      <c r="I428" s="46" t="str">
        <f>IFERROR(_xlfn.XLOOKUP(G428,Listas!E:E,Listas!G:G,""),"")</f>
        <v>Externo</v>
      </c>
      <c r="J428" s="43">
        <v>45.86</v>
      </c>
      <c r="K428" s="5">
        <f t="shared" si="6"/>
        <v>-45.86</v>
      </c>
      <c r="L428" s="15" t="s">
        <v>128</v>
      </c>
      <c r="M428" s="44">
        <f>SUMIFS('Saldos Iniciales'!$D:$D,'Saldos Iniciales'!$A:$A,C428,'Saldos Iniciales'!$B:$B,D428)+SUMIFS($K$1:$K$1324,$C$1:$C$1324,C428,$D$1:$D$1324,D428,$B$1:$B$1324,"&lt;="&amp;B428)</f>
        <v>18579.43</v>
      </c>
      <c r="N428" s="61" t="str">
        <f>IF(tblMovimientos[[#This Row],[Tipo de Movimiento]]="Ingreso",tblMovimientos[[#This Row],[Monto (S/)]],"0")</f>
        <v>0</v>
      </c>
      <c r="O428" s="61">
        <f>IF(tblMovimientos[[#This Row],[Tipo de Movimiento]]="Egreso",tblMovimientos[[#This Row],[Monto (S/)]],"0")</f>
        <v>45.86</v>
      </c>
      <c r="P428" s="28">
        <f>IF(tblMovimientos[[#This Row],[Tipo de Movimiento]]="Ingreso",tblMovimientos[[#This Row],[Ingreso]],-tblMovimientos[[#This Row],[Egreso]])</f>
        <v>-45.86</v>
      </c>
      <c r="Q428" s="78" t="str">
        <f>_xlfn.XLOOKUP(tblMovimientos[[#This Row],[Cuenta Bancaria]],Cuentas!$C:$C,Cuentas!$A:$A,"")&amp;""</f>
        <v>SSP Group</v>
      </c>
      <c r="R428" s="78" t="str">
        <f>_xlfn.XLOOKUP(tblMovimientos[[#This Row],[Cuenta Bancaria]],Cuentas!$C:$C,Cuentas!$B:$B,"",0,-1)&amp;""</f>
        <v/>
      </c>
    </row>
    <row r="429" spans="1:18" x14ac:dyDescent="0.3">
      <c r="B429" s="39">
        <v>46202</v>
      </c>
      <c r="C429" s="4" t="str">
        <f>_xlfn.XLOOKUP(tblMovimientos[[#This Row],[Cuenta Bancaria]],Listas!$B:$B,Listas!$A:$A,"")</f>
        <v>Go Blue</v>
      </c>
      <c r="D429" s="41" t="s">
        <v>126</v>
      </c>
      <c r="E429" s="68" t="str">
        <f>_xlfn.XLOOKUP(tblMovimientos[[#This Row],[Cuenta Bancaria]],Listas!$B:$B,Listas!$C:$C,"")</f>
        <v xml:space="preserve">Amerant Bank </v>
      </c>
      <c r="F429" s="41" t="s">
        <v>10</v>
      </c>
      <c r="H429" s="4">
        <f>IFERROR(_xlfn.XLOOKUP(G429,Listas!E:E,Listas!F:F,""),"")</f>
        <v>0</v>
      </c>
      <c r="I429" s="46">
        <f>IFERROR(_xlfn.XLOOKUP(G429,Listas!E:E,Listas!G:G,""),"")</f>
        <v>0</v>
      </c>
      <c r="J429" s="43">
        <v>6000</v>
      </c>
      <c r="K429" s="5">
        <f t="shared" si="6"/>
        <v>-6000</v>
      </c>
      <c r="L429" s="15" t="s">
        <v>128</v>
      </c>
      <c r="M429" s="44">
        <f>SUMIFS('Saldos Iniciales'!$D:$D,'Saldos Iniciales'!$A:$A,C429,'Saldos Iniciales'!$B:$B,D429)+SUMIFS($K$1:$K$1324,$C$1:$C$1324,C429,$D$1:$D$1324,D429,$B$1:$B$1324,"&lt;="&amp;B429)</f>
        <v>18579.43</v>
      </c>
      <c r="N429" s="61" t="str">
        <f>IF(tblMovimientos[[#This Row],[Tipo de Movimiento]]="Ingreso",tblMovimientos[[#This Row],[Monto (S/)]],"0")</f>
        <v>0</v>
      </c>
      <c r="O429" s="61">
        <f>IF(tblMovimientos[[#This Row],[Tipo de Movimiento]]="Egreso",tblMovimientos[[#This Row],[Monto (S/)]],"0")</f>
        <v>6000</v>
      </c>
      <c r="P429" s="28">
        <f>IF(tblMovimientos[[#This Row],[Tipo de Movimiento]]="Ingreso",tblMovimientos[[#This Row],[Ingreso]],-tblMovimientos[[#This Row],[Egreso]])</f>
        <v>-6000</v>
      </c>
      <c r="Q429" s="78" t="str">
        <f>_xlfn.XLOOKUP(tblMovimientos[[#This Row],[Cuenta Bancaria]],Cuentas!$C:$C,Cuentas!$A:$A,"")&amp;""</f>
        <v>SSP Group</v>
      </c>
      <c r="R429" s="78" t="str">
        <f>_xlfn.XLOOKUP(tblMovimientos[[#This Row],[Cuenta Bancaria]],Cuentas!$C:$C,Cuentas!$B:$B,"",0,-1)&amp;""</f>
        <v/>
      </c>
    </row>
    <row r="430" spans="1:18" x14ac:dyDescent="0.3">
      <c r="B430" s="39">
        <v>46202</v>
      </c>
      <c r="C430" s="4" t="str">
        <f>_xlfn.XLOOKUP(tblMovimientos[[#This Row],[Cuenta Bancaria]],Listas!$B:$B,Listas!$A:$A,"")</f>
        <v>Cross Security Trust</v>
      </c>
      <c r="D430" s="41" t="s">
        <v>112</v>
      </c>
      <c r="E430" s="68" t="str">
        <f>_xlfn.XLOOKUP(tblMovimientos[[#This Row],[Cuenta Bancaria]],Listas!$B:$B,Listas!$C:$C,"")</f>
        <v>Bank of America</v>
      </c>
      <c r="F430" s="41" t="s">
        <v>10</v>
      </c>
      <c r="G430" s="41" t="s">
        <v>38</v>
      </c>
      <c r="I430" s="69"/>
      <c r="J430" s="43">
        <v>2970</v>
      </c>
      <c r="K430" s="5">
        <f t="shared" si="6"/>
        <v>-2970</v>
      </c>
      <c r="L430" s="15" t="s">
        <v>128</v>
      </c>
      <c r="M430" s="44">
        <f>SUMIFS('Saldos Iniciales'!$D:$D,'Saldos Iniciales'!$A:$A,C430,'Saldos Iniciales'!$B:$B,D430)+SUMIFS($K$1:$K$1324,$C$1:$C$1324,C430,$D$1:$D$1324,D430,$B$1:$B$1324,"&lt;="&amp;B430)</f>
        <v>327405.99000000005</v>
      </c>
      <c r="N430" s="61" t="str">
        <f>IF(tblMovimientos[[#This Row],[Tipo de Movimiento]]="Ingreso",tblMovimientos[[#This Row],[Monto (S/)]],"0")</f>
        <v>0</v>
      </c>
      <c r="O430" s="61">
        <f>IF(tblMovimientos[[#This Row],[Tipo de Movimiento]]="Egreso",tblMovimientos[[#This Row],[Monto (S/)]],"0")</f>
        <v>2970</v>
      </c>
      <c r="P430" s="28">
        <f>IF(tblMovimientos[[#This Row],[Tipo de Movimiento]]="Ingreso",tblMovimientos[[#This Row],[Ingreso]],-tblMovimientos[[#This Row],[Egreso]])</f>
        <v>-2970</v>
      </c>
      <c r="Q430" s="78" t="str">
        <f>_xlfn.XLOOKUP(tblMovimientos[[#This Row],[Cuenta Bancaria]],Cuentas!$C:$C,Cuentas!$A:$A,"")&amp;""</f>
        <v>SSP Group</v>
      </c>
      <c r="R430" s="78" t="str">
        <f>_xlfn.XLOOKUP(tblMovimientos[[#This Row],[Cuenta Bancaria]],Cuentas!$C:$C,Cuentas!$B:$B,"",0,-1)&amp;""</f>
        <v>Trust</v>
      </c>
    </row>
    <row r="431" spans="1:18" x14ac:dyDescent="0.3">
      <c r="B431" s="39">
        <v>46203</v>
      </c>
      <c r="C431" s="4" t="str">
        <f>_xlfn.XLOOKUP(tblMovimientos[[#This Row],[Cuenta Bancaria]],Listas!$B:$B,Listas!$A:$A,"")</f>
        <v>M1B</v>
      </c>
      <c r="D431" s="41" t="s">
        <v>97</v>
      </c>
      <c r="E431" s="68" t="str">
        <f>_xlfn.XLOOKUP(tblMovimientos[[#This Row],[Cuenta Bancaria]],Listas!$B:$B,Listas!$C:$C,"")</f>
        <v xml:space="preserve">Amerant Bank </v>
      </c>
      <c r="F431" s="41" t="s">
        <v>9</v>
      </c>
      <c r="G431" s="41" t="s">
        <v>68</v>
      </c>
      <c r="H431" s="4" t="str">
        <f>IFERROR(_xlfn.XLOOKUP(G431,Listas!E:E,Listas!F:F,""),"")</f>
        <v>Operativo</v>
      </c>
      <c r="I431" s="46" t="str">
        <f>IFERROR(_xlfn.XLOOKUP(G431,Listas!E:E,Listas!G:G,""),"")</f>
        <v>Externo</v>
      </c>
      <c r="J431" s="43">
        <v>6753.49</v>
      </c>
      <c r="K431" s="5">
        <f t="shared" si="6"/>
        <v>6753.49</v>
      </c>
      <c r="L431" s="15" t="s">
        <v>128</v>
      </c>
      <c r="M431" s="44">
        <f>SUMIFS('Saldos Iniciales'!$D:$D,'Saldos Iniciales'!$A:$A,C431,'Saldos Iniciales'!$B:$B,D431)+SUMIFS($K$1:$K$1324,$C$1:$C$1324,C431,$D$1:$D$1324,D431,$B$1:$B$1324,"&lt;="&amp;B431)</f>
        <v>74139.680000000168</v>
      </c>
      <c r="N431" s="61">
        <f>IF(tblMovimientos[[#This Row],[Tipo de Movimiento]]="Ingreso",tblMovimientos[[#This Row],[Monto (S/)]],"0")</f>
        <v>6753.49</v>
      </c>
      <c r="O431" s="61" t="str">
        <f>IF(tblMovimientos[[#This Row],[Tipo de Movimiento]]="Egreso",tblMovimientos[[#This Row],[Monto (S/)]],"0")</f>
        <v>0</v>
      </c>
      <c r="P431" s="28">
        <f>IF(tblMovimientos[[#This Row],[Tipo de Movimiento]]="Ingreso",tblMovimientos[[#This Row],[Ingreso]],-tblMovimientos[[#This Row],[Egreso]])</f>
        <v>6753.49</v>
      </c>
      <c r="Q431" s="78" t="str">
        <f>_xlfn.XLOOKUP(tblMovimientos[[#This Row],[Cuenta Bancaria]],Cuentas!$C:$C,Cuentas!$A:$A,"")&amp;""</f>
        <v>SSP Group</v>
      </c>
      <c r="R431" s="78" t="str">
        <f>_xlfn.XLOOKUP(tblMovimientos[[#This Row],[Cuenta Bancaria]],Cuentas!$C:$C,Cuentas!$B:$B,"",0,-1)&amp;""</f>
        <v/>
      </c>
    </row>
    <row r="432" spans="1:18" x14ac:dyDescent="0.3">
      <c r="B432" s="39">
        <v>46203</v>
      </c>
      <c r="C432" s="4" t="str">
        <f>_xlfn.XLOOKUP(tblMovimientos[[#This Row],[Cuenta Bancaria]],Listas!$B:$B,Listas!$A:$A,"")</f>
        <v>SSP Capital</v>
      </c>
      <c r="D432" s="41" t="s">
        <v>106</v>
      </c>
      <c r="E432" s="68" t="str">
        <f>_xlfn.XLOOKUP(tblMovimientos[[#This Row],[Cuenta Bancaria]],Listas!$B:$B,Listas!$C:$C,"")</f>
        <v>Amerant Bank Money Market</v>
      </c>
      <c r="F432" s="41" t="s">
        <v>9</v>
      </c>
      <c r="G432" s="41" t="s">
        <v>84</v>
      </c>
      <c r="H432" s="4" t="str">
        <f>IFERROR(_xlfn.XLOOKUP(G432,Listas!E:E,Listas!F:F,""),"")</f>
        <v>Operativo</v>
      </c>
      <c r="I432" s="46" t="str">
        <f>IFERROR(_xlfn.XLOOKUP(G432,Listas!E:E,Listas!G:G,""),"")</f>
        <v>Externo</v>
      </c>
      <c r="J432" s="43">
        <v>2267.66</v>
      </c>
      <c r="K432" s="5">
        <f t="shared" si="6"/>
        <v>2267.66</v>
      </c>
      <c r="L432" s="15" t="s">
        <v>128</v>
      </c>
      <c r="M432" s="44">
        <f>SUMIFS('Saldos Iniciales'!$D:$D,'Saldos Iniciales'!$A:$A,C432,'Saldos Iniciales'!$B:$B,D432)+SUMIFS($K$1:$K$1324,$C$1:$C$1324,C432,$D$1:$D$1324,D432,$B$1:$B$1324,"&lt;="&amp;B432)</f>
        <v>806680.61</v>
      </c>
      <c r="N432" s="61">
        <f>IF(tblMovimientos[[#This Row],[Tipo de Movimiento]]="Ingreso",tblMovimientos[[#This Row],[Monto (S/)]],"0")</f>
        <v>2267.66</v>
      </c>
      <c r="O432" s="61" t="str">
        <f>IF(tblMovimientos[[#This Row],[Tipo de Movimiento]]="Egreso",tblMovimientos[[#This Row],[Monto (S/)]],"0")</f>
        <v>0</v>
      </c>
      <c r="P432" s="28">
        <f>IF(tblMovimientos[[#This Row],[Tipo de Movimiento]]="Ingreso",tblMovimientos[[#This Row],[Ingreso]],-tblMovimientos[[#This Row],[Egreso]])</f>
        <v>2267.66</v>
      </c>
      <c r="Q432" s="78" t="str">
        <f>_xlfn.XLOOKUP(tblMovimientos[[#This Row],[Cuenta Bancaria]],Cuentas!$C:$C,Cuentas!$A:$A,"")&amp;""</f>
        <v>SSP Group</v>
      </c>
      <c r="R432" s="78" t="str">
        <f>_xlfn.XLOOKUP(tblMovimientos[[#This Row],[Cuenta Bancaria]],Cuentas!$C:$C,Cuentas!$B:$B,"",0,-1)&amp;""</f>
        <v/>
      </c>
    </row>
    <row r="433" spans="1:18" x14ac:dyDescent="0.3">
      <c r="A433" s="45"/>
      <c r="B433" s="39">
        <v>46203</v>
      </c>
      <c r="C433" s="4" t="str">
        <f>_xlfn.XLOOKUP(tblMovimientos[[#This Row],[Cuenta Bancaria]],Listas!$B:$B,Listas!$A:$A,"")</f>
        <v>SSP Capital</v>
      </c>
      <c r="D433" s="41" t="s">
        <v>104</v>
      </c>
      <c r="E433" s="68" t="str">
        <f>_xlfn.XLOOKUP(tblMovimientos[[#This Row],[Cuenta Bancaria]],Listas!$B:$B,Listas!$C:$C,"")</f>
        <v xml:space="preserve">Amerant Bank </v>
      </c>
      <c r="F433" s="41" t="s">
        <v>10</v>
      </c>
      <c r="G433" s="41" t="s">
        <v>42</v>
      </c>
      <c r="H433" s="46" t="str">
        <f>IFERROR(_xlfn.XLOOKUP(G433,Listas!E:E,Listas!F:F,""),"")</f>
        <v>Operativo</v>
      </c>
      <c r="I433" s="46" t="str">
        <f>IFERROR(_xlfn.XLOOKUP(G433,Listas!E:E,Listas!G:G,""),"")</f>
        <v>Externo</v>
      </c>
      <c r="J433" s="43">
        <v>73431.09</v>
      </c>
      <c r="K433" s="5">
        <f t="shared" si="6"/>
        <v>-73431.09</v>
      </c>
      <c r="L433" s="15" t="s">
        <v>128</v>
      </c>
      <c r="M433" s="44">
        <f>SUMIFS('Saldos Iniciales'!$D:$D,'Saldos Iniciales'!$A:$A,C433,'Saldos Iniciales'!$B:$B,D433)+SUMIFS($K$1:$K$1324,$C$1:$C$1324,C433,$D$1:$D$1324,D433,$B$1:$B$1324,"&lt;="&amp;B433)</f>
        <v>871698.75999999943</v>
      </c>
      <c r="N433" s="61" t="str">
        <f>IF(tblMovimientos[[#This Row],[Tipo de Movimiento]]="Ingreso",tblMovimientos[[#This Row],[Monto (S/)]],"0")</f>
        <v>0</v>
      </c>
      <c r="O433" s="61">
        <f>IF(tblMovimientos[[#This Row],[Tipo de Movimiento]]="Egreso",tblMovimientos[[#This Row],[Monto (S/)]],"0")</f>
        <v>73431.09</v>
      </c>
      <c r="P433" s="28">
        <f>IF(tblMovimientos[[#This Row],[Tipo de Movimiento]]="Ingreso",tblMovimientos[[#This Row],[Ingreso]],-tblMovimientos[[#This Row],[Egreso]])</f>
        <v>-73431.09</v>
      </c>
      <c r="Q433" s="78" t="str">
        <f>_xlfn.XLOOKUP(tblMovimientos[[#This Row],[Cuenta Bancaria]],Cuentas!$C:$C,Cuentas!$A:$A,"")&amp;""</f>
        <v>SSP Group</v>
      </c>
      <c r="R433" s="78" t="str">
        <f>_xlfn.XLOOKUP(tblMovimientos[[#This Row],[Cuenta Bancaria]],Cuentas!$C:$C,Cuentas!$B:$B,"",0,-1)&amp;""</f>
        <v/>
      </c>
    </row>
    <row r="434" spans="1:18" x14ac:dyDescent="0.3">
      <c r="B434" s="39">
        <v>46203</v>
      </c>
      <c r="C434" s="4" t="str">
        <f>_xlfn.XLOOKUP(tblMovimientos[[#This Row],[Cuenta Bancaria]],Listas!$B:$B,Listas!$A:$A,"")</f>
        <v>SSP Capital</v>
      </c>
      <c r="D434" s="41" t="s">
        <v>101</v>
      </c>
      <c r="E434" s="68" t="str">
        <f>_xlfn.XLOOKUP(tblMovimientos[[#This Row],[Cuenta Bancaria]],Listas!$B:$B,Listas!$C:$C,"")</f>
        <v>Bank of America</v>
      </c>
      <c r="F434" s="41" t="s">
        <v>10</v>
      </c>
      <c r="G434" s="41" t="s">
        <v>38</v>
      </c>
      <c r="H434" s="4" t="str">
        <f>IFERROR(_xlfn.XLOOKUP(G434,Listas!E:E,Listas!F:F,""),"")</f>
        <v>Operativo</v>
      </c>
      <c r="I434" s="46" t="str">
        <f>IFERROR(_xlfn.XLOOKUP(G434,Listas!E:E,Listas!G:G,""),"")</f>
        <v>Externo</v>
      </c>
      <c r="J434" s="43">
        <v>526.75</v>
      </c>
      <c r="K434" s="5">
        <f t="shared" si="6"/>
        <v>-526.75</v>
      </c>
      <c r="L434" s="15" t="s">
        <v>128</v>
      </c>
      <c r="M434" s="44">
        <f>SUMIFS('Saldos Iniciales'!$D:$D,'Saldos Iniciales'!$A:$A,C434,'Saldos Iniciales'!$B:$B,D434)+SUMIFS($K$1:$K$1324,$C$1:$C$1324,C434,$D$1:$D$1324,D434,$B$1:$B$1324,"&lt;="&amp;B434)</f>
        <v>7777.24</v>
      </c>
      <c r="N434" s="61" t="str">
        <f>IF(tblMovimientos[[#This Row],[Tipo de Movimiento]]="Ingreso",tblMovimientos[[#This Row],[Monto (S/)]],"0")</f>
        <v>0</v>
      </c>
      <c r="O434" s="61">
        <f>IF(tblMovimientos[[#This Row],[Tipo de Movimiento]]="Egreso",tblMovimientos[[#This Row],[Monto (S/)]],"0")</f>
        <v>526.75</v>
      </c>
      <c r="P434" s="28">
        <f>IF(tblMovimientos[[#This Row],[Tipo de Movimiento]]="Ingreso",tblMovimientos[[#This Row],[Ingreso]],-tblMovimientos[[#This Row],[Egreso]])</f>
        <v>-526.75</v>
      </c>
      <c r="Q434" s="78" t="str">
        <f>_xlfn.XLOOKUP(tblMovimientos[[#This Row],[Cuenta Bancaria]],Cuentas!$C:$C,Cuentas!$A:$A,"")&amp;""</f>
        <v>SSP Group</v>
      </c>
      <c r="R434" s="78" t="str">
        <f>_xlfn.XLOOKUP(tblMovimientos[[#This Row],[Cuenta Bancaria]],Cuentas!$C:$C,Cuentas!$B:$B,"",0,-1)&amp;""</f>
        <v/>
      </c>
    </row>
    <row r="435" spans="1:18" x14ac:dyDescent="0.3">
      <c r="B435" s="39">
        <v>46203</v>
      </c>
      <c r="C435" s="4" t="str">
        <f>_xlfn.XLOOKUP(tblMovimientos[[#This Row],[Cuenta Bancaria]],Listas!$B:$B,Listas!$A:$A,"")</f>
        <v>SSP Capital</v>
      </c>
      <c r="D435" s="41" t="s">
        <v>101</v>
      </c>
      <c r="E435" s="68" t="str">
        <f>_xlfn.XLOOKUP(tblMovimientos[[#This Row],[Cuenta Bancaria]],Listas!$B:$B,Listas!$C:$C,"")</f>
        <v>Bank of America</v>
      </c>
      <c r="F435" s="41" t="s">
        <v>10</v>
      </c>
      <c r="G435" s="41" t="s">
        <v>38</v>
      </c>
      <c r="H435" s="4" t="str">
        <f>IFERROR(_xlfn.XLOOKUP(G435,Listas!E:E,Listas!F:F,""),"")</f>
        <v>Operativo</v>
      </c>
      <c r="I435" s="46" t="str">
        <f>IFERROR(_xlfn.XLOOKUP(G435,Listas!E:E,Listas!G:G,""),"")</f>
        <v>Externo</v>
      </c>
      <c r="J435" s="43">
        <v>193.01</v>
      </c>
      <c r="K435" s="5">
        <f t="shared" si="6"/>
        <v>-193.01</v>
      </c>
      <c r="L435" s="15" t="s">
        <v>128</v>
      </c>
      <c r="M435" s="44">
        <f>SUMIFS('Saldos Iniciales'!$D:$D,'Saldos Iniciales'!$A:$A,C435,'Saldos Iniciales'!$B:$B,D435)+SUMIFS($K$1:$K$1324,$C$1:$C$1324,C435,$D$1:$D$1324,D435,$B$1:$B$1324,"&lt;="&amp;B435)</f>
        <v>7777.24</v>
      </c>
      <c r="N435" s="61" t="str">
        <f>IF(tblMovimientos[[#This Row],[Tipo de Movimiento]]="Ingreso",tblMovimientos[[#This Row],[Monto (S/)]],"0")</f>
        <v>0</v>
      </c>
      <c r="O435" s="61">
        <f>IF(tblMovimientos[[#This Row],[Tipo de Movimiento]]="Egreso",tblMovimientos[[#This Row],[Monto (S/)]],"0")</f>
        <v>193.01</v>
      </c>
      <c r="P435" s="28">
        <f>IF(tblMovimientos[[#This Row],[Tipo de Movimiento]]="Ingreso",tblMovimientos[[#This Row],[Ingreso]],-tblMovimientos[[#This Row],[Egreso]])</f>
        <v>-193.01</v>
      </c>
      <c r="Q435" s="78" t="str">
        <f>_xlfn.XLOOKUP(tblMovimientos[[#This Row],[Cuenta Bancaria]],Cuentas!$C:$C,Cuentas!$A:$A,"")&amp;""</f>
        <v>SSP Group</v>
      </c>
      <c r="R435" s="78" t="str">
        <f>_xlfn.XLOOKUP(tblMovimientos[[#This Row],[Cuenta Bancaria]],Cuentas!$C:$C,Cuentas!$B:$B,"",0,-1)&amp;""</f>
        <v/>
      </c>
    </row>
    <row r="436" spans="1:18" x14ac:dyDescent="0.3">
      <c r="B436" s="39">
        <v>46203</v>
      </c>
      <c r="C436" s="4" t="str">
        <f>_xlfn.XLOOKUP(tblMovimientos[[#This Row],[Cuenta Bancaria]],Listas!$B:$B,Listas!$A:$A,"")</f>
        <v>CFT Group</v>
      </c>
      <c r="D436" s="41" t="s">
        <v>94</v>
      </c>
      <c r="E436" s="68" t="str">
        <f>_xlfn.XLOOKUP(tblMovimientos[[#This Row],[Cuenta Bancaria]],Listas!$B:$B,Listas!$C:$C,"")</f>
        <v>Bank of America</v>
      </c>
      <c r="F436" s="41" t="s">
        <v>10</v>
      </c>
      <c r="G436" s="41" t="s">
        <v>38</v>
      </c>
      <c r="H436" s="4" t="str">
        <f>IFERROR(_xlfn.XLOOKUP(G436,Listas!E:E,Listas!F:F,""),"")</f>
        <v>Operativo</v>
      </c>
      <c r="I436" s="46" t="str">
        <f>IFERROR(_xlfn.XLOOKUP(G436,Listas!E:E,Listas!G:G,""),"")</f>
        <v>Externo</v>
      </c>
      <c r="J436" s="43">
        <v>2977.94</v>
      </c>
      <c r="K436" s="5">
        <f t="shared" si="6"/>
        <v>-2977.94</v>
      </c>
      <c r="L436" s="15" t="s">
        <v>128</v>
      </c>
      <c r="M436" s="44">
        <f>SUMIFS('Saldos Iniciales'!$D:$D,'Saldos Iniciales'!$A:$A,C436,'Saldos Iniciales'!$B:$B,D436)+SUMIFS($K$1:$K$1324,$C$1:$C$1324,C436,$D$1:$D$1324,D436,$B$1:$B$1324,"&lt;="&amp;B436)</f>
        <v>35943.359999999986</v>
      </c>
      <c r="N436" s="61" t="str">
        <f>IF(tblMovimientos[[#This Row],[Tipo de Movimiento]]="Ingreso",tblMovimientos[[#This Row],[Monto (S/)]],"0")</f>
        <v>0</v>
      </c>
      <c r="O436" s="61">
        <f>IF(tblMovimientos[[#This Row],[Tipo de Movimiento]]="Egreso",tblMovimientos[[#This Row],[Monto (S/)]],"0")</f>
        <v>2977.94</v>
      </c>
      <c r="P436" s="28">
        <f>IF(tblMovimientos[[#This Row],[Tipo de Movimiento]]="Ingreso",tblMovimientos[[#This Row],[Ingreso]],-tblMovimientos[[#This Row],[Egreso]])</f>
        <v>-2977.94</v>
      </c>
      <c r="Q436" s="78" t="str">
        <f>_xlfn.XLOOKUP(tblMovimientos[[#This Row],[Cuenta Bancaria]],Cuentas!$C:$C,Cuentas!$A:$A,"")&amp;""</f>
        <v>SSP Group</v>
      </c>
      <c r="R436" s="78" t="str">
        <f>_xlfn.XLOOKUP(tblMovimientos[[#This Row],[Cuenta Bancaria]],Cuentas!$C:$C,Cuentas!$B:$B,"",0,-1)&amp;""</f>
        <v/>
      </c>
    </row>
    <row r="437" spans="1:18" x14ac:dyDescent="0.3">
      <c r="B437" s="39">
        <v>46203</v>
      </c>
      <c r="C437" s="4" t="str">
        <f>_xlfn.XLOOKUP(tblMovimientos[[#This Row],[Cuenta Bancaria]],Listas!$B:$B,Listas!$A:$A,"")</f>
        <v>CFT Group</v>
      </c>
      <c r="D437" s="41" t="s">
        <v>94</v>
      </c>
      <c r="E437" s="68" t="str">
        <f>_xlfn.XLOOKUP(tblMovimientos[[#This Row],[Cuenta Bancaria]],Listas!$B:$B,Listas!$C:$C,"")</f>
        <v>Bank of America</v>
      </c>
      <c r="F437" s="41" t="s">
        <v>10</v>
      </c>
      <c r="G437" s="41" t="s">
        <v>40</v>
      </c>
      <c r="H437" s="4" t="str">
        <f>IFERROR(_xlfn.XLOOKUP(G437,Listas!E:E,Listas!F:F,""),"")</f>
        <v>Operativo</v>
      </c>
      <c r="I437" s="46" t="str">
        <f>IFERROR(_xlfn.XLOOKUP(G437,Listas!E:E,Listas!G:G,""),"")</f>
        <v>Externo</v>
      </c>
      <c r="J437" s="43">
        <v>611.12</v>
      </c>
      <c r="K437" s="5">
        <f t="shared" si="6"/>
        <v>-611.12</v>
      </c>
      <c r="L437" s="15" t="s">
        <v>128</v>
      </c>
      <c r="M437" s="44">
        <f>SUMIFS('Saldos Iniciales'!$D:$D,'Saldos Iniciales'!$A:$A,C437,'Saldos Iniciales'!$B:$B,D437)+SUMIFS($K$1:$K$1324,$C$1:$C$1324,C437,$D$1:$D$1324,D437,$B$1:$B$1324,"&lt;="&amp;B437)</f>
        <v>35943.359999999986</v>
      </c>
      <c r="N437" s="61" t="str">
        <f>IF(tblMovimientos[[#This Row],[Tipo de Movimiento]]="Ingreso",tblMovimientos[[#This Row],[Monto (S/)]],"0")</f>
        <v>0</v>
      </c>
      <c r="O437" s="61">
        <f>IF(tblMovimientos[[#This Row],[Tipo de Movimiento]]="Egreso",tblMovimientos[[#This Row],[Monto (S/)]],"0")</f>
        <v>611.12</v>
      </c>
      <c r="P437" s="28">
        <f>IF(tblMovimientos[[#This Row],[Tipo de Movimiento]]="Ingreso",tblMovimientos[[#This Row],[Ingreso]],-tblMovimientos[[#This Row],[Egreso]])</f>
        <v>-611.12</v>
      </c>
      <c r="Q437" s="78" t="str">
        <f>_xlfn.XLOOKUP(tblMovimientos[[#This Row],[Cuenta Bancaria]],Cuentas!$C:$C,Cuentas!$A:$A,"")&amp;""</f>
        <v>SSP Group</v>
      </c>
      <c r="R437" s="78" t="str">
        <f>_xlfn.XLOOKUP(tblMovimientos[[#This Row],[Cuenta Bancaria]],Cuentas!$C:$C,Cuentas!$B:$B,"",0,-1)&amp;""</f>
        <v/>
      </c>
    </row>
    <row r="438" spans="1:18" x14ac:dyDescent="0.3">
      <c r="B438" s="39">
        <v>46203</v>
      </c>
      <c r="C438" s="4" t="str">
        <f>_xlfn.XLOOKUP(tblMovimientos[[#This Row],[Cuenta Bancaria]],Listas!$B:$B,Listas!$A:$A,"")</f>
        <v>Cross Family Trust</v>
      </c>
      <c r="D438" s="41" t="s">
        <v>110</v>
      </c>
      <c r="E438" s="68" t="str">
        <f>_xlfn.XLOOKUP(tblMovimientos[[#This Row],[Cuenta Bancaria]],Listas!$B:$B,Listas!$C:$C,"")</f>
        <v>Bank of America</v>
      </c>
      <c r="F438" s="41" t="s">
        <v>10</v>
      </c>
      <c r="G438" s="41" t="s">
        <v>38</v>
      </c>
      <c r="H438" s="4" t="str">
        <f>IFERROR(_xlfn.XLOOKUP(G438,Listas!E:E,Listas!F:F,""),"")</f>
        <v>Operativo</v>
      </c>
      <c r="I438" s="46" t="str">
        <f>IFERROR(_xlfn.XLOOKUP(G438,Listas!E:E,Listas!G:G,""),"")</f>
        <v>Externo</v>
      </c>
      <c r="J438" s="43">
        <v>6000</v>
      </c>
      <c r="K438" s="5">
        <f t="shared" si="6"/>
        <v>-6000</v>
      </c>
      <c r="L438" s="15" t="s">
        <v>128</v>
      </c>
      <c r="M438" s="44">
        <f>SUMIFS('Saldos Iniciales'!$D:$D,'Saldos Iniciales'!$A:$A,C438,'Saldos Iniciales'!$B:$B,D438)+SUMIFS($K$1:$K$1324,$C$1:$C$1324,C438,$D$1:$D$1324,D438,$B$1:$B$1324,"&lt;="&amp;B438)</f>
        <v>45206.89</v>
      </c>
      <c r="N438" s="61" t="str">
        <f>IF(tblMovimientos[[#This Row],[Tipo de Movimiento]]="Ingreso",tblMovimientos[[#This Row],[Monto (S/)]],"0")</f>
        <v>0</v>
      </c>
      <c r="O438" s="61">
        <f>IF(tblMovimientos[[#This Row],[Tipo de Movimiento]]="Egreso",tblMovimientos[[#This Row],[Monto (S/)]],"0")</f>
        <v>6000</v>
      </c>
      <c r="P438" s="28">
        <f>IF(tblMovimientos[[#This Row],[Tipo de Movimiento]]="Ingreso",tblMovimientos[[#This Row],[Ingreso]],-tblMovimientos[[#This Row],[Egreso]])</f>
        <v>-6000</v>
      </c>
      <c r="Q438" s="78" t="str">
        <f>_xlfn.XLOOKUP(tblMovimientos[[#This Row],[Cuenta Bancaria]],Cuentas!$C:$C,Cuentas!$A:$A,"")&amp;""</f>
        <v>SSP Group</v>
      </c>
      <c r="R438" s="78" t="str">
        <f>_xlfn.XLOOKUP(tblMovimientos[[#This Row],[Cuenta Bancaria]],Cuentas!$C:$C,Cuentas!$B:$B,"",0,-1)&amp;""</f>
        <v>Trust</v>
      </c>
    </row>
    <row r="439" spans="1:18" x14ac:dyDescent="0.3">
      <c r="B439" s="39">
        <v>46203</v>
      </c>
      <c r="C439" s="4" t="str">
        <f>_xlfn.XLOOKUP(tblMovimientos[[#This Row],[Cuenta Bancaria]],Listas!$B:$B,Listas!$A:$A,"")</f>
        <v>Cross Security Trust</v>
      </c>
      <c r="D439" s="41" t="s">
        <v>112</v>
      </c>
      <c r="E439" s="68" t="str">
        <f>_xlfn.XLOOKUP(tblMovimientos[[#This Row],[Cuenta Bancaria]],Listas!$B:$B,Listas!$C:$C,"")</f>
        <v>Bank of America</v>
      </c>
      <c r="F439" s="41" t="s">
        <v>10</v>
      </c>
      <c r="G439" s="41" t="s">
        <v>38</v>
      </c>
      <c r="I439" s="69"/>
      <c r="J439" s="43">
        <v>48163</v>
      </c>
      <c r="K439" s="5">
        <f t="shared" si="6"/>
        <v>-48163</v>
      </c>
      <c r="L439" s="15" t="s">
        <v>128</v>
      </c>
      <c r="M439" s="44">
        <f>SUMIFS('Saldos Iniciales'!$D:$D,'Saldos Iniciales'!$A:$A,C439,'Saldos Iniciales'!$B:$B,D439)+SUMIFS($K$1:$K$1324,$C$1:$C$1324,C439,$D$1:$D$1324,D439,$B$1:$B$1324,"&lt;="&amp;B439)</f>
        <v>267503.99000000005</v>
      </c>
      <c r="N439" s="61" t="str">
        <f>IF(tblMovimientos[[#This Row],[Tipo de Movimiento]]="Ingreso",tblMovimientos[[#This Row],[Monto (S/)]],"0")</f>
        <v>0</v>
      </c>
      <c r="O439" s="61">
        <f>IF(tblMovimientos[[#This Row],[Tipo de Movimiento]]="Egreso",tblMovimientos[[#This Row],[Monto (S/)]],"0")</f>
        <v>48163</v>
      </c>
      <c r="P439" s="28">
        <f>IF(tblMovimientos[[#This Row],[Tipo de Movimiento]]="Ingreso",tblMovimientos[[#This Row],[Ingreso]],-tblMovimientos[[#This Row],[Egreso]])</f>
        <v>-48163</v>
      </c>
      <c r="Q439" s="78" t="str">
        <f>_xlfn.XLOOKUP(tblMovimientos[[#This Row],[Cuenta Bancaria]],Cuentas!$C:$C,Cuentas!$A:$A,"")&amp;""</f>
        <v>SSP Group</v>
      </c>
      <c r="R439" s="78" t="str">
        <f>_xlfn.XLOOKUP(tblMovimientos[[#This Row],[Cuenta Bancaria]],Cuentas!$C:$C,Cuentas!$B:$B,"",0,-1)&amp;""</f>
        <v>Trust</v>
      </c>
    </row>
    <row r="440" spans="1:18" x14ac:dyDescent="0.3">
      <c r="B440" s="39">
        <v>46203</v>
      </c>
      <c r="C440" s="4" t="str">
        <f>_xlfn.XLOOKUP(tblMovimientos[[#This Row],[Cuenta Bancaria]],Listas!$B:$B,Listas!$A:$A,"")</f>
        <v>Cross Security Trust</v>
      </c>
      <c r="D440" s="41" t="s">
        <v>112</v>
      </c>
      <c r="E440" s="68" t="str">
        <f>_xlfn.XLOOKUP(tblMovimientos[[#This Row],[Cuenta Bancaria]],Listas!$B:$B,Listas!$C:$C,"")</f>
        <v>Bank of America</v>
      </c>
      <c r="F440" s="41" t="s">
        <v>10</v>
      </c>
      <c r="G440" s="41" t="s">
        <v>38</v>
      </c>
      <c r="I440" s="69"/>
      <c r="J440" s="43">
        <v>11739</v>
      </c>
      <c r="K440" s="5">
        <f t="shared" si="6"/>
        <v>-11739</v>
      </c>
      <c r="L440" s="15" t="s">
        <v>128</v>
      </c>
      <c r="M440" s="44">
        <f>SUMIFS('Saldos Iniciales'!$D:$D,'Saldos Iniciales'!$A:$A,C440,'Saldos Iniciales'!$B:$B,D440)+SUMIFS($K$1:$K$1324,$C$1:$C$1324,C440,$D$1:$D$1324,D440,$B$1:$B$1324,"&lt;="&amp;B440)</f>
        <v>267503.99000000005</v>
      </c>
      <c r="N440" s="61" t="str">
        <f>IF(tblMovimientos[[#This Row],[Tipo de Movimiento]]="Ingreso",tblMovimientos[[#This Row],[Monto (S/)]],"0")</f>
        <v>0</v>
      </c>
      <c r="O440" s="61">
        <f>IF(tblMovimientos[[#This Row],[Tipo de Movimiento]]="Egreso",tblMovimientos[[#This Row],[Monto (S/)]],"0")</f>
        <v>11739</v>
      </c>
      <c r="P440" s="28">
        <f>IF(tblMovimientos[[#This Row],[Tipo de Movimiento]]="Ingreso",tblMovimientos[[#This Row],[Ingreso]],-tblMovimientos[[#This Row],[Egreso]])</f>
        <v>-11739</v>
      </c>
      <c r="Q440" s="78" t="str">
        <f>_xlfn.XLOOKUP(tblMovimientos[[#This Row],[Cuenta Bancaria]],Cuentas!$C:$C,Cuentas!$A:$A,"")&amp;""</f>
        <v>SSP Group</v>
      </c>
      <c r="R440" s="78" t="str">
        <f>_xlfn.XLOOKUP(tblMovimientos[[#This Row],[Cuenta Bancaria]],Cuentas!$C:$C,Cuentas!$B:$B,"",0,-1)&amp;""</f>
        <v>Trust</v>
      </c>
    </row>
    <row r="441" spans="1:18" x14ac:dyDescent="0.3">
      <c r="B441" s="39">
        <v>46204</v>
      </c>
      <c r="C441" s="4" t="str">
        <f>_xlfn.XLOOKUP(tblMovimientos[[#This Row],[Cuenta Bancaria]],Listas!$B:$B,Listas!$A:$A,"")</f>
        <v>Go Blue</v>
      </c>
      <c r="D441" s="41" t="s">
        <v>126</v>
      </c>
      <c r="E441" s="68" t="str">
        <f>_xlfn.XLOOKUP(tblMovimientos[[#This Row],[Cuenta Bancaria]],Listas!$B:$B,Listas!$C:$C,"")</f>
        <v xml:space="preserve">Amerant Bank </v>
      </c>
      <c r="F441" s="41" t="s">
        <v>10</v>
      </c>
      <c r="G441" s="41" t="s">
        <v>38</v>
      </c>
      <c r="H441" s="4" t="str">
        <f>IFERROR(_xlfn.XLOOKUP(G441,Listas!E:E,Listas!F:F,""),"")</f>
        <v>Operativo</v>
      </c>
      <c r="I441" s="46" t="str">
        <f>IFERROR(_xlfn.XLOOKUP(G441,Listas!E:E,Listas!G:G,""),"")</f>
        <v>Externo</v>
      </c>
      <c r="J441" s="43">
        <v>175</v>
      </c>
      <c r="K441" s="5">
        <f t="shared" si="6"/>
        <v>-175</v>
      </c>
      <c r="L441" s="15" t="s">
        <v>129</v>
      </c>
      <c r="M441" s="44">
        <f>SUMIFS('Saldos Iniciales'!$D:$D,'Saldos Iniciales'!$A:$A,C441,'Saldos Iniciales'!$B:$B,D441)+SUMIFS($K$1:$K$1324,$C$1:$C$1324,C441,$D$1:$D$1324,D441,$B$1:$B$1324,"&lt;="&amp;B441)</f>
        <v>18404.43</v>
      </c>
      <c r="N441" s="61" t="str">
        <f>IF(tblMovimientos[[#This Row],[Tipo de Movimiento]]="Ingreso",tblMovimientos[[#This Row],[Monto (S/)]],"0")</f>
        <v>0</v>
      </c>
      <c r="O441" s="61">
        <f>IF(tblMovimientos[[#This Row],[Tipo de Movimiento]]="Egreso",tblMovimientos[[#This Row],[Monto (S/)]],"0")</f>
        <v>175</v>
      </c>
      <c r="P441" s="28">
        <f>IF(tblMovimientos[[#This Row],[Tipo de Movimiento]]="Ingreso",tblMovimientos[[#This Row],[Ingreso]],-tblMovimientos[[#This Row],[Egreso]])</f>
        <v>-175</v>
      </c>
      <c r="Q441" s="78" t="str">
        <f>_xlfn.XLOOKUP(tblMovimientos[[#This Row],[Cuenta Bancaria]],Cuentas!$C:$C,Cuentas!$A:$A,"")&amp;""</f>
        <v>SSP Group</v>
      </c>
      <c r="R441" s="78" t="str">
        <f>_xlfn.XLOOKUP(tblMovimientos[[#This Row],[Cuenta Bancaria]],Cuentas!$C:$C,Cuentas!$B:$B,"",0,-1)&amp;""</f>
        <v/>
      </c>
    </row>
    <row r="442" spans="1:18" x14ac:dyDescent="0.3">
      <c r="B442" s="39">
        <v>46204</v>
      </c>
      <c r="C442" s="4" t="str">
        <f>_xlfn.XLOOKUP(tblMovimientos[[#This Row],[Cuenta Bancaria]],Listas!$B:$B,Listas!$A:$A,"")</f>
        <v>A&amp;M Imports</v>
      </c>
      <c r="D442" s="41" t="s">
        <v>100</v>
      </c>
      <c r="E442" s="68" t="str">
        <f>_xlfn.XLOOKUP(tblMovimientos[[#This Row],[Cuenta Bancaria]],Listas!$B:$B,Listas!$C:$C,"")</f>
        <v>Bank of America</v>
      </c>
      <c r="F442" s="41" t="s">
        <v>9</v>
      </c>
      <c r="G442" s="41" t="s">
        <v>68</v>
      </c>
      <c r="H442" s="4" t="str">
        <f>IFERROR(_xlfn.XLOOKUP(G442,Listas!E:E,Listas!F:F,""),"")</f>
        <v>Operativo</v>
      </c>
      <c r="I442" s="46" t="str">
        <f>IFERROR(_xlfn.XLOOKUP(G442,Listas!E:E,Listas!G:G,""),"")</f>
        <v>Externo</v>
      </c>
      <c r="J442" s="43">
        <v>16785.27</v>
      </c>
      <c r="K442" s="5">
        <f t="shared" si="6"/>
        <v>16785.27</v>
      </c>
      <c r="L442" s="15" t="s">
        <v>129</v>
      </c>
      <c r="M442" s="44">
        <f>SUMIFS('Saldos Iniciales'!$D:$D,'Saldos Iniciales'!$A:$A,C442,'Saldos Iniciales'!$B:$B,D442)+SUMIFS($K$1:$K$1324,$C$1:$C$1324,C442,$D$1:$D$1324,D442,$B$1:$B$1324,"&lt;="&amp;B442)</f>
        <v>507936.37999999989</v>
      </c>
      <c r="N442" s="61">
        <f>IF(tblMovimientos[[#This Row],[Tipo de Movimiento]]="Ingreso",tblMovimientos[[#This Row],[Monto (S/)]],"0")</f>
        <v>16785.27</v>
      </c>
      <c r="O442" s="61" t="str">
        <f>IF(tblMovimientos[[#This Row],[Tipo de Movimiento]]="Egreso",tblMovimientos[[#This Row],[Monto (S/)]],"0")</f>
        <v>0</v>
      </c>
      <c r="P442" s="28">
        <f>IF(tblMovimientos[[#This Row],[Tipo de Movimiento]]="Ingreso",tblMovimientos[[#This Row],[Ingreso]],-tblMovimientos[[#This Row],[Egreso]])</f>
        <v>16785.27</v>
      </c>
      <c r="Q442" s="78" t="str">
        <f>_xlfn.XLOOKUP(tblMovimientos[[#This Row],[Cuenta Bancaria]],Cuentas!$C:$C,Cuentas!$A:$A,"")&amp;""</f>
        <v>SSP Group</v>
      </c>
      <c r="R442" s="78" t="str">
        <f>_xlfn.XLOOKUP(tblMovimientos[[#This Row],[Cuenta Bancaria]],Cuentas!$C:$C,Cuentas!$B:$B,"",0,-1)&amp;""</f>
        <v/>
      </c>
    </row>
    <row r="443" spans="1:18" x14ac:dyDescent="0.3">
      <c r="A443" s="45"/>
      <c r="B443" s="39">
        <v>46204</v>
      </c>
      <c r="C443" s="4" t="str">
        <f>_xlfn.XLOOKUP(tblMovimientos[[#This Row],[Cuenta Bancaria]],Listas!$B:$B,Listas!$A:$A,"")</f>
        <v>A&amp;M Imports</v>
      </c>
      <c r="D443" s="41" t="s">
        <v>100</v>
      </c>
      <c r="E443" s="68" t="str">
        <f>_xlfn.XLOOKUP(tblMovimientos[[#This Row],[Cuenta Bancaria]],Listas!$B:$B,Listas!$C:$C,"")</f>
        <v>Bank of America</v>
      </c>
      <c r="F443" s="41" t="s">
        <v>9</v>
      </c>
      <c r="G443" s="41" t="s">
        <v>68</v>
      </c>
      <c r="H443" s="46" t="str">
        <f>IFERROR(_xlfn.XLOOKUP(G443,Listas!E:E,Listas!F:F,""),"")</f>
        <v>Operativo</v>
      </c>
      <c r="I443" s="46" t="str">
        <f>IFERROR(_xlfn.XLOOKUP(G443,Listas!E:E,Listas!G:G,""),"")</f>
        <v>Externo</v>
      </c>
      <c r="J443" s="43">
        <v>1405.48</v>
      </c>
      <c r="K443" s="5">
        <f t="shared" si="6"/>
        <v>1405.48</v>
      </c>
      <c r="L443" s="15" t="s">
        <v>129</v>
      </c>
      <c r="M443" s="44">
        <f>SUMIFS('Saldos Iniciales'!$D:$D,'Saldos Iniciales'!$A:$A,C443,'Saldos Iniciales'!$B:$B,D443)+SUMIFS($K$1:$K$1324,$C$1:$C$1324,C443,$D$1:$D$1324,D443,$B$1:$B$1324,"&lt;="&amp;B443)</f>
        <v>507936.37999999989</v>
      </c>
      <c r="N443" s="61">
        <f>IF(tblMovimientos[[#This Row],[Tipo de Movimiento]]="Ingreso",tblMovimientos[[#This Row],[Monto (S/)]],"0")</f>
        <v>1405.48</v>
      </c>
      <c r="O443" s="61" t="str">
        <f>IF(tblMovimientos[[#This Row],[Tipo de Movimiento]]="Egreso",tblMovimientos[[#This Row],[Monto (S/)]],"0")</f>
        <v>0</v>
      </c>
      <c r="P443" s="28">
        <f>IF(tblMovimientos[[#This Row],[Tipo de Movimiento]]="Ingreso",tblMovimientos[[#This Row],[Ingreso]],-tblMovimientos[[#This Row],[Egreso]])</f>
        <v>1405.48</v>
      </c>
      <c r="Q443" s="78" t="str">
        <f>_xlfn.XLOOKUP(tblMovimientos[[#This Row],[Cuenta Bancaria]],Cuentas!$C:$C,Cuentas!$A:$A,"")&amp;""</f>
        <v>SSP Group</v>
      </c>
      <c r="R443" s="78" t="str">
        <f>_xlfn.XLOOKUP(tblMovimientos[[#This Row],[Cuenta Bancaria]],Cuentas!$C:$C,Cuentas!$B:$B,"",0,-1)&amp;""</f>
        <v/>
      </c>
    </row>
    <row r="444" spans="1:18" x14ac:dyDescent="0.3">
      <c r="B444" s="39">
        <v>46204</v>
      </c>
      <c r="C444" s="4" t="str">
        <f>_xlfn.XLOOKUP(tblMovimientos[[#This Row],[Cuenta Bancaria]],Listas!$B:$B,Listas!$A:$A,"")</f>
        <v>Sacred Valley Capital</v>
      </c>
      <c r="D444" s="41" t="s">
        <v>114</v>
      </c>
      <c r="E444" s="68" t="str">
        <f>_xlfn.XLOOKUP(tblMovimientos[[#This Row],[Cuenta Bancaria]],Listas!$B:$B,Listas!$C:$C,"")</f>
        <v>Bank of America</v>
      </c>
      <c r="F444" s="41" t="s">
        <v>10</v>
      </c>
      <c r="G444" s="41" t="s">
        <v>44</v>
      </c>
      <c r="H444" s="4" t="str">
        <f>IFERROR(_xlfn.XLOOKUP(G444,Listas!E:E,Listas!F:F,""),"")</f>
        <v>Operativo</v>
      </c>
      <c r="I444" s="46" t="str">
        <f>IFERROR(_xlfn.XLOOKUP(G444,Listas!E:E,Listas!G:G,""),"")</f>
        <v>Externo</v>
      </c>
      <c r="J444" s="43">
        <v>29.95</v>
      </c>
      <c r="K444" s="5">
        <f t="shared" si="6"/>
        <v>-29.95</v>
      </c>
      <c r="L444" s="15" t="s">
        <v>129</v>
      </c>
      <c r="M444" s="44">
        <f>SUMIFS('Saldos Iniciales'!$D:$D,'Saldos Iniciales'!$A:$A,C444,'Saldos Iniciales'!$B:$B,D444)+SUMIFS($K$1:$K$1324,$C$1:$C$1324,C444,$D$1:$D$1324,D444,$B$1:$B$1324,"&lt;="&amp;B444)</f>
        <v>54.400000000000006</v>
      </c>
      <c r="N444" s="61" t="str">
        <f>IF(tblMovimientos[[#This Row],[Tipo de Movimiento]]="Ingreso",tblMovimientos[[#This Row],[Monto (S/)]],"0")</f>
        <v>0</v>
      </c>
      <c r="O444" s="61">
        <f>IF(tblMovimientos[[#This Row],[Tipo de Movimiento]]="Egreso",tblMovimientos[[#This Row],[Monto (S/)]],"0")</f>
        <v>29.95</v>
      </c>
      <c r="P444" s="28">
        <f>IF(tblMovimientos[[#This Row],[Tipo de Movimiento]]="Ingreso",tblMovimientos[[#This Row],[Ingreso]],-tblMovimientos[[#This Row],[Egreso]])</f>
        <v>-29.95</v>
      </c>
      <c r="Q444" s="78" t="str">
        <f>_xlfn.XLOOKUP(tblMovimientos[[#This Row],[Cuenta Bancaria]],Cuentas!$C:$C,Cuentas!$A:$A,"")&amp;""</f>
        <v>SSP Group</v>
      </c>
      <c r="R444" s="78" t="str">
        <f>_xlfn.XLOOKUP(tblMovimientos[[#This Row],[Cuenta Bancaria]],Cuentas!$C:$C,Cuentas!$B:$B,"",0,-1)&amp;""</f>
        <v/>
      </c>
    </row>
    <row r="445" spans="1:18" x14ac:dyDescent="0.3">
      <c r="B445" s="39">
        <v>46204</v>
      </c>
      <c r="C445" s="4" t="str">
        <f>_xlfn.XLOOKUP(tblMovimientos[[#This Row],[Cuenta Bancaria]],Listas!$B:$B,Listas!$A:$A,"")</f>
        <v>YWC Capital</v>
      </c>
      <c r="D445" s="41" t="s">
        <v>115</v>
      </c>
      <c r="E445" s="68" t="str">
        <f>_xlfn.XLOOKUP(tblMovimientos[[#This Row],[Cuenta Bancaria]],Listas!$B:$B,Listas!$C:$C,"")</f>
        <v>Bank of America</v>
      </c>
      <c r="F445" s="41" t="s">
        <v>10</v>
      </c>
      <c r="G445" s="41" t="s">
        <v>44</v>
      </c>
      <c r="H445" s="4" t="str">
        <f>IFERROR(_xlfn.XLOOKUP(G445,Listas!E:E,Listas!F:F,""),"")</f>
        <v>Operativo</v>
      </c>
      <c r="I445" s="46" t="str">
        <f>IFERROR(_xlfn.XLOOKUP(G445,Listas!E:E,Listas!G:G,""),"")</f>
        <v>Externo</v>
      </c>
      <c r="J445" s="43">
        <v>29.95</v>
      </c>
      <c r="K445" s="5">
        <f t="shared" si="6"/>
        <v>-29.95</v>
      </c>
      <c r="L445" s="15" t="s">
        <v>129</v>
      </c>
      <c r="M445" s="44">
        <f>SUMIFS('Saldos Iniciales'!$D:$D,'Saldos Iniciales'!$A:$A,C445,'Saldos Iniciales'!$B:$B,D445)+SUMIFS($K$1:$K$1324,$C$1:$C$1324,C445,$D$1:$D$1324,D445,$B$1:$B$1324,"&lt;="&amp;B445)</f>
        <v>2207.8200000000002</v>
      </c>
      <c r="N445" s="61" t="str">
        <f>IF(tblMovimientos[[#This Row],[Tipo de Movimiento]]="Ingreso",tblMovimientos[[#This Row],[Monto (S/)]],"0")</f>
        <v>0</v>
      </c>
      <c r="O445" s="61">
        <f>IF(tblMovimientos[[#This Row],[Tipo de Movimiento]]="Egreso",tblMovimientos[[#This Row],[Monto (S/)]],"0")</f>
        <v>29.95</v>
      </c>
      <c r="P445" s="28">
        <f>IF(tblMovimientos[[#This Row],[Tipo de Movimiento]]="Ingreso",tblMovimientos[[#This Row],[Ingreso]],-tblMovimientos[[#This Row],[Egreso]])</f>
        <v>-29.95</v>
      </c>
      <c r="Q445" s="78" t="str">
        <f>_xlfn.XLOOKUP(tblMovimientos[[#This Row],[Cuenta Bancaria]],Cuentas!$C:$C,Cuentas!$A:$A,"")&amp;""</f>
        <v>SSP Group</v>
      </c>
      <c r="R445" s="78" t="str">
        <f>_xlfn.XLOOKUP(tblMovimientos[[#This Row],[Cuenta Bancaria]],Cuentas!$C:$C,Cuentas!$B:$B,"",0,-1)&amp;""</f>
        <v/>
      </c>
    </row>
    <row r="446" spans="1:18" x14ac:dyDescent="0.3">
      <c r="B446" s="39">
        <v>46204</v>
      </c>
      <c r="C446" s="4" t="str">
        <f>_xlfn.XLOOKUP(tblMovimientos[[#This Row],[Cuenta Bancaria]],Listas!$B:$B,Listas!$A:$A,"")</f>
        <v>Arbor Capital Properties</v>
      </c>
      <c r="D446" s="41" t="s">
        <v>120</v>
      </c>
      <c r="E446" s="68" t="str">
        <f>_xlfn.XLOOKUP(tblMovimientos[[#This Row],[Cuenta Bancaria]],Listas!$B:$B,Listas!$C:$C,"")</f>
        <v>Bank of America</v>
      </c>
      <c r="F446" s="41" t="s">
        <v>10</v>
      </c>
      <c r="G446" s="41" t="s">
        <v>44</v>
      </c>
      <c r="H446" s="4" t="str">
        <f>IFERROR(_xlfn.XLOOKUP(G446,Listas!E:E,Listas!F:F,""),"")</f>
        <v>Operativo</v>
      </c>
      <c r="I446" s="46" t="str">
        <f>IFERROR(_xlfn.XLOOKUP(G446,Listas!E:E,Listas!G:G,""),"")</f>
        <v>Externo</v>
      </c>
      <c r="J446" s="43">
        <v>16</v>
      </c>
      <c r="K446" s="5">
        <f t="shared" si="6"/>
        <v>-16</v>
      </c>
      <c r="L446" s="15" t="s">
        <v>129</v>
      </c>
      <c r="M446" s="44">
        <f>SUMIFS('Saldos Iniciales'!$D:$D,'Saldos Iniciales'!$A:$A,C446,'Saldos Iniciales'!$B:$B,D446)+SUMIFS($K$1:$K$1324,$C$1:$C$1324,C446,$D$1:$D$1324,D446,$B$1:$B$1324,"&lt;="&amp;B446)</f>
        <v>1412.08</v>
      </c>
      <c r="N446" s="61" t="str">
        <f>IF(tblMovimientos[[#This Row],[Tipo de Movimiento]]="Ingreso",tblMovimientos[[#This Row],[Monto (S/)]],"0")</f>
        <v>0</v>
      </c>
      <c r="O446" s="61">
        <f>IF(tblMovimientos[[#This Row],[Tipo de Movimiento]]="Egreso",tblMovimientos[[#This Row],[Monto (S/)]],"0")</f>
        <v>16</v>
      </c>
      <c r="P446" s="28">
        <f>IF(tblMovimientos[[#This Row],[Tipo de Movimiento]]="Ingreso",tblMovimientos[[#This Row],[Ingreso]],-tblMovimientos[[#This Row],[Egreso]])</f>
        <v>-16</v>
      </c>
      <c r="Q446" s="78" t="str">
        <f>_xlfn.XLOOKUP(tblMovimientos[[#This Row],[Cuenta Bancaria]],Cuentas!$C:$C,Cuentas!$A:$A,"")&amp;""</f>
        <v>SSP Group</v>
      </c>
      <c r="R446" s="78" t="str">
        <f>_xlfn.XLOOKUP(tblMovimientos[[#This Row],[Cuenta Bancaria]],Cuentas!$C:$C,Cuentas!$B:$B,"",0,-1)&amp;""</f>
        <v/>
      </c>
    </row>
    <row r="447" spans="1:18" x14ac:dyDescent="0.3">
      <c r="B447" s="39">
        <v>46204</v>
      </c>
      <c r="C447" s="4" t="str">
        <f>_xlfn.XLOOKUP(tblMovimientos[[#This Row],[Cuenta Bancaria]],Listas!$B:$B,Listas!$A:$A,"")</f>
        <v>2515 Overbrook</v>
      </c>
      <c r="D447" s="41" t="s">
        <v>121</v>
      </c>
      <c r="E447" s="68" t="str">
        <f>_xlfn.XLOOKUP(tblMovimientos[[#This Row],[Cuenta Bancaria]],Listas!$B:$B,Listas!$C:$C,"")</f>
        <v>Bank of America</v>
      </c>
      <c r="F447" s="41" t="s">
        <v>10</v>
      </c>
      <c r="G447" s="41" t="s">
        <v>46</v>
      </c>
      <c r="H447" s="4" t="str">
        <f>IFERROR(_xlfn.XLOOKUP(G447,Listas!E:E,Listas!F:F,""),"")</f>
        <v>Financiamiento</v>
      </c>
      <c r="I447" s="46" t="str">
        <f>IFERROR(_xlfn.XLOOKUP(G447,Listas!E:E,Listas!G:G,""),"")</f>
        <v>Externo</v>
      </c>
      <c r="J447" s="43">
        <v>8533.33</v>
      </c>
      <c r="K447" s="5">
        <f t="shared" si="6"/>
        <v>-8533.33</v>
      </c>
      <c r="L447" s="15" t="s">
        <v>129</v>
      </c>
      <c r="M447" s="44">
        <f>SUMIFS('Saldos Iniciales'!$D:$D,'Saldos Iniciales'!$A:$A,C447,'Saldos Iniciales'!$B:$B,D447)+SUMIFS($K$1:$K$1324,$C$1:$C$1324,C447,$D$1:$D$1324,D447,$B$1:$B$1324,"&lt;="&amp;B447)</f>
        <v>22176.219999999961</v>
      </c>
      <c r="N447" s="61" t="str">
        <f>IF(tblMovimientos[[#This Row],[Tipo de Movimiento]]="Ingreso",tblMovimientos[[#This Row],[Monto (S/)]],"0")</f>
        <v>0</v>
      </c>
      <c r="O447" s="61">
        <f>IF(tblMovimientos[[#This Row],[Tipo de Movimiento]]="Egreso",tblMovimientos[[#This Row],[Monto (S/)]],"0")</f>
        <v>8533.33</v>
      </c>
      <c r="P447" s="28">
        <f>IF(tblMovimientos[[#This Row],[Tipo de Movimiento]]="Ingreso",tblMovimientos[[#This Row],[Ingreso]],-tblMovimientos[[#This Row],[Egreso]])</f>
        <v>-8533.33</v>
      </c>
      <c r="Q447" s="78" t="str">
        <f>_xlfn.XLOOKUP(tblMovimientos[[#This Row],[Cuenta Bancaria]],Cuentas!$C:$C,Cuentas!$A:$A,"")&amp;""</f>
        <v>SSP Group</v>
      </c>
      <c r="R447" s="78" t="str">
        <f>_xlfn.XLOOKUP(tblMovimientos[[#This Row],[Cuenta Bancaria]],Cuentas!$C:$C,Cuentas!$B:$B,"",0,-1)&amp;""</f>
        <v/>
      </c>
    </row>
    <row r="448" spans="1:18" x14ac:dyDescent="0.3">
      <c r="B448" s="39">
        <v>46204</v>
      </c>
      <c r="C448" s="4" t="str">
        <f>_xlfn.XLOOKUP(tblMovimientos[[#This Row],[Cuenta Bancaria]],Listas!$B:$B,Listas!$A:$A,"")</f>
        <v>2515 Overbrook</v>
      </c>
      <c r="D448" s="41" t="s">
        <v>122</v>
      </c>
      <c r="E448" s="68" t="str">
        <f>_xlfn.XLOOKUP(tblMovimientos[[#This Row],[Cuenta Bancaria]],Listas!$B:$B,Listas!$C:$C,"")</f>
        <v>Bank of America</v>
      </c>
      <c r="F448" s="41" t="s">
        <v>10</v>
      </c>
      <c r="G448" s="41" t="s">
        <v>44</v>
      </c>
      <c r="H448" s="4" t="str">
        <f>IFERROR(_xlfn.XLOOKUP(G448,Listas!E:E,Listas!F:F,""),"")</f>
        <v>Operativo</v>
      </c>
      <c r="I448" s="46" t="str">
        <f>IFERROR(_xlfn.XLOOKUP(G448,Listas!E:E,Listas!G:G,""),"")</f>
        <v>Externo</v>
      </c>
      <c r="J448" s="43">
        <v>10</v>
      </c>
      <c r="K448" s="5">
        <f t="shared" si="6"/>
        <v>-10</v>
      </c>
      <c r="L448" s="15" t="s">
        <v>129</v>
      </c>
      <c r="M448" s="44">
        <f>SUMIFS('Saldos Iniciales'!$D:$D,'Saldos Iniciales'!$A:$A,C448,'Saldos Iniciales'!$B:$B,D448)+SUMIFS($K$1:$K$1324,$C$1:$C$1324,C448,$D$1:$D$1324,D448,$B$1:$B$1324,"&lt;="&amp;B448)</f>
        <v>320.42</v>
      </c>
      <c r="N448" s="61" t="str">
        <f>IF(tblMovimientos[[#This Row],[Tipo de Movimiento]]="Ingreso",tblMovimientos[[#This Row],[Monto (S/)]],"0")</f>
        <v>0</v>
      </c>
      <c r="O448" s="61">
        <f>IF(tblMovimientos[[#This Row],[Tipo de Movimiento]]="Egreso",tblMovimientos[[#This Row],[Monto (S/)]],"0")</f>
        <v>10</v>
      </c>
      <c r="P448" s="28">
        <f>IF(tblMovimientos[[#This Row],[Tipo de Movimiento]]="Ingreso",tblMovimientos[[#This Row],[Ingreso]],-tblMovimientos[[#This Row],[Egreso]])</f>
        <v>-10</v>
      </c>
      <c r="Q448" s="78" t="str">
        <f>_xlfn.XLOOKUP(tblMovimientos[[#This Row],[Cuenta Bancaria]],Cuentas!$C:$C,Cuentas!$A:$A,"")&amp;""</f>
        <v>SSP Group</v>
      </c>
      <c r="R448" s="78" t="str">
        <f>_xlfn.XLOOKUP(tblMovimientos[[#This Row],[Cuenta Bancaria]],Cuentas!$C:$C,Cuentas!$B:$B,"",0,-1)&amp;""</f>
        <v/>
      </c>
    </row>
    <row r="449" spans="2:18" x14ac:dyDescent="0.3">
      <c r="B449" s="39">
        <v>46204</v>
      </c>
      <c r="C449" s="4" t="str">
        <f>_xlfn.XLOOKUP(tblMovimientos[[#This Row],[Cuenta Bancaria]],Listas!$B:$B,Listas!$A:$A,"")</f>
        <v>112 Florida Ave</v>
      </c>
      <c r="D449" s="41" t="s">
        <v>123</v>
      </c>
      <c r="E449" s="68" t="str">
        <f>_xlfn.XLOOKUP(tblMovimientos[[#This Row],[Cuenta Bancaria]],Listas!$B:$B,Listas!$C:$C,"")</f>
        <v>Bank of America</v>
      </c>
      <c r="F449" s="41" t="s">
        <v>10</v>
      </c>
      <c r="G449" s="41" t="s">
        <v>48</v>
      </c>
      <c r="H449" s="4" t="str">
        <f>IFERROR(_xlfn.XLOOKUP(G449,Listas!E:E,Listas!F:F,""),"")</f>
        <v>Financiamiento</v>
      </c>
      <c r="I449" s="46" t="str">
        <f>IFERROR(_xlfn.XLOOKUP(G449,Listas!E:E,Listas!G:G,""),"")</f>
        <v>Externo</v>
      </c>
      <c r="J449" s="43">
        <v>9798.6299999999992</v>
      </c>
      <c r="K449" s="5">
        <f t="shared" si="6"/>
        <v>-9798.6299999999992</v>
      </c>
      <c r="L449" s="15" t="s">
        <v>129</v>
      </c>
      <c r="M449" s="44">
        <f>SUMIFS('Saldos Iniciales'!$D:$D,'Saldos Iniciales'!$A:$A,C449,'Saldos Iniciales'!$B:$B,D449)+SUMIFS($K$1:$K$1324,$C$1:$C$1324,C449,$D$1:$D$1324,D449,$B$1:$B$1324,"&lt;="&amp;B449)</f>
        <v>10522.800000000003</v>
      </c>
      <c r="N449" s="61" t="str">
        <f>IF(tblMovimientos[[#This Row],[Tipo de Movimiento]]="Ingreso",tblMovimientos[[#This Row],[Monto (S/)]],"0")</f>
        <v>0</v>
      </c>
      <c r="O449" s="61">
        <f>IF(tblMovimientos[[#This Row],[Tipo de Movimiento]]="Egreso",tblMovimientos[[#This Row],[Monto (S/)]],"0")</f>
        <v>9798.6299999999992</v>
      </c>
      <c r="P449" s="28">
        <f>IF(tblMovimientos[[#This Row],[Tipo de Movimiento]]="Ingreso",tblMovimientos[[#This Row],[Ingreso]],-tblMovimientos[[#This Row],[Egreso]])</f>
        <v>-9798.6299999999992</v>
      </c>
      <c r="Q449" s="78" t="str">
        <f>_xlfn.XLOOKUP(tblMovimientos[[#This Row],[Cuenta Bancaria]],Cuentas!$C:$C,Cuentas!$A:$A,"")&amp;""</f>
        <v>SSP Group</v>
      </c>
      <c r="R449" s="78" t="str">
        <f>_xlfn.XLOOKUP(tblMovimientos[[#This Row],[Cuenta Bancaria]],Cuentas!$C:$C,Cuentas!$B:$B,"",0,-1)&amp;""</f>
        <v/>
      </c>
    </row>
    <row r="450" spans="2:18" x14ac:dyDescent="0.3">
      <c r="B450" s="39">
        <v>46204</v>
      </c>
      <c r="C450" s="4" t="str">
        <f>_xlfn.XLOOKUP(tblMovimientos[[#This Row],[Cuenta Bancaria]],Listas!$B:$B,Listas!$A:$A,"")</f>
        <v>3628 Thomas Ave</v>
      </c>
      <c r="D450" s="41" t="s">
        <v>124</v>
      </c>
      <c r="E450" s="68" t="str">
        <f>_xlfn.XLOOKUP(tblMovimientos[[#This Row],[Cuenta Bancaria]],Listas!$B:$B,Listas!$C:$C,"")</f>
        <v>Bank of America</v>
      </c>
      <c r="F450" s="41" t="s">
        <v>10</v>
      </c>
      <c r="G450" s="41" t="s">
        <v>48</v>
      </c>
      <c r="H450" s="4" t="str">
        <f>IFERROR(_xlfn.XLOOKUP(G450,Listas!E:E,Listas!F:F,""),"")</f>
        <v>Financiamiento</v>
      </c>
      <c r="I450" s="46" t="str">
        <f>IFERROR(_xlfn.XLOOKUP(G450,Listas!E:E,Listas!G:G,""),"")</f>
        <v>Externo</v>
      </c>
      <c r="J450" s="43">
        <v>8773.0400000000009</v>
      </c>
      <c r="K450" s="5">
        <f t="shared" ref="K450:K513" si="7">IF(F450="Ingreso",J450,-J450)</f>
        <v>-8773.0400000000009</v>
      </c>
      <c r="L450" s="15" t="s">
        <v>129</v>
      </c>
      <c r="M450" s="44">
        <f>SUMIFS('Saldos Iniciales'!$D:$D,'Saldos Iniciales'!$A:$A,C450,'Saldos Iniciales'!$B:$B,D450)+SUMIFS($K$1:$K$1324,$C$1:$C$1324,C450,$D$1:$D$1324,D450,$B$1:$B$1324,"&lt;="&amp;B450)</f>
        <v>19685.559999999998</v>
      </c>
      <c r="N450" s="61" t="str">
        <f>IF(tblMovimientos[[#This Row],[Tipo de Movimiento]]="Ingreso",tblMovimientos[[#This Row],[Monto (S/)]],"0")</f>
        <v>0</v>
      </c>
      <c r="O450" s="61">
        <f>IF(tblMovimientos[[#This Row],[Tipo de Movimiento]]="Egreso",tblMovimientos[[#This Row],[Monto (S/)]],"0")</f>
        <v>8773.0400000000009</v>
      </c>
      <c r="P450" s="28">
        <f>IF(tblMovimientos[[#This Row],[Tipo de Movimiento]]="Ingreso",tblMovimientos[[#This Row],[Ingreso]],-tblMovimientos[[#This Row],[Egreso]])</f>
        <v>-8773.0400000000009</v>
      </c>
      <c r="Q450" s="78" t="str">
        <f>_xlfn.XLOOKUP(tblMovimientos[[#This Row],[Cuenta Bancaria]],Cuentas!$C:$C,Cuentas!$A:$A,"")&amp;""</f>
        <v>SSP Group</v>
      </c>
      <c r="R450" s="78" t="str">
        <f>_xlfn.XLOOKUP(tblMovimientos[[#This Row],[Cuenta Bancaria]],Cuentas!$C:$C,Cuentas!$B:$B,"",0,-1)&amp;""</f>
        <v/>
      </c>
    </row>
    <row r="451" spans="2:18" x14ac:dyDescent="0.3">
      <c r="B451" s="39">
        <v>46204</v>
      </c>
      <c r="C451" s="4" t="str">
        <f>_xlfn.XLOOKUP(tblMovimientos[[#This Row],[Cuenta Bancaria]],Listas!$B:$B,Listas!$A:$A,"")</f>
        <v>Go Blue</v>
      </c>
      <c r="D451" s="41" t="s">
        <v>165</v>
      </c>
      <c r="E451" s="68" t="str">
        <f>_xlfn.XLOOKUP(tblMovimientos[[#This Row],[Cuenta Bancaria]],Listas!$B:$B,Listas!$C:$C,"")</f>
        <v xml:space="preserve">Amerant Bank </v>
      </c>
      <c r="F451" s="41" t="s">
        <v>10</v>
      </c>
      <c r="G451" s="41" t="s">
        <v>38</v>
      </c>
      <c r="H451" s="4" t="str">
        <f>IFERROR(_xlfn.XLOOKUP(G451,Listas!E:E,Listas!F:F,""),"")</f>
        <v>Operativo</v>
      </c>
      <c r="I451" s="46" t="str">
        <f>IFERROR(_xlfn.XLOOKUP(G451,Listas!E:E,Listas!G:G,""),"")</f>
        <v>Externo</v>
      </c>
      <c r="J451" s="43">
        <v>258.5</v>
      </c>
      <c r="K451" s="5">
        <f t="shared" si="7"/>
        <v>-258.5</v>
      </c>
      <c r="L451" s="15" t="s">
        <v>129</v>
      </c>
      <c r="M451" s="44">
        <f>SUMIFS('Saldos Iniciales'!$D:$D,'Saldos Iniciales'!$A:$A,C451,'Saldos Iniciales'!$B:$B,D451)+SUMIFS($K$1:$K$1324,$C$1:$C$1324,C451,$D$1:$D$1324,D451,$B$1:$B$1324,"&lt;="&amp;B451)</f>
        <v>5034.8500000000004</v>
      </c>
      <c r="N451" s="61" t="str">
        <f>IF(tblMovimientos[[#This Row],[Tipo de Movimiento]]="Ingreso",tblMovimientos[[#This Row],[Monto (S/)]],"0")</f>
        <v>0</v>
      </c>
      <c r="O451" s="61">
        <f>IF(tblMovimientos[[#This Row],[Tipo de Movimiento]]="Egreso",tblMovimientos[[#This Row],[Monto (S/)]],"0")</f>
        <v>258.5</v>
      </c>
      <c r="P451" s="28">
        <f>IF(tblMovimientos[[#This Row],[Tipo de Movimiento]]="Ingreso",tblMovimientos[[#This Row],[Ingreso]],-tblMovimientos[[#This Row],[Egreso]])</f>
        <v>-258.5</v>
      </c>
      <c r="Q451" s="78" t="str">
        <f>_xlfn.XLOOKUP(tblMovimientos[[#This Row],[Cuenta Bancaria]],Cuentas!$C:$C,Cuentas!$A:$A,"")&amp;""</f>
        <v>SSP Group</v>
      </c>
      <c r="R451" s="78" t="str">
        <f>_xlfn.XLOOKUP(tblMovimientos[[#This Row],[Cuenta Bancaria]],Cuentas!$C:$C,Cuentas!$B:$B,"",0,-1)&amp;""</f>
        <v/>
      </c>
    </row>
    <row r="452" spans="2:18" x14ac:dyDescent="0.3">
      <c r="B452" s="39">
        <v>46205</v>
      </c>
      <c r="C452" s="4" t="str">
        <f>_xlfn.XLOOKUP(tblMovimientos[[#This Row],[Cuenta Bancaria]],Listas!$B:$B,Listas!$A:$A,"")</f>
        <v>SSP Capital</v>
      </c>
      <c r="D452" s="41" t="s">
        <v>101</v>
      </c>
      <c r="E452" s="68" t="str">
        <f>_xlfn.XLOOKUP(tblMovimientos[[#This Row],[Cuenta Bancaria]],Listas!$B:$B,Listas!$C:$C,"")</f>
        <v>Bank of America</v>
      </c>
      <c r="F452" s="41" t="s">
        <v>9</v>
      </c>
      <c r="G452" s="41" t="s">
        <v>73</v>
      </c>
      <c r="H452" s="4" t="str">
        <f>IFERROR(_xlfn.XLOOKUP(G452,Listas!E:E,Listas!F:F,""),"")</f>
        <v>Operativo</v>
      </c>
      <c r="I452" s="46" t="str">
        <f>IFERROR(_xlfn.XLOOKUP(G452,Listas!E:E,Listas!G:G,""),"")</f>
        <v>Interno</v>
      </c>
      <c r="J452" s="43">
        <v>15280.15</v>
      </c>
      <c r="K452" s="5">
        <f t="shared" si="7"/>
        <v>15280.15</v>
      </c>
      <c r="L452" s="15" t="s">
        <v>129</v>
      </c>
      <c r="M452" s="44">
        <f>SUMIFS('Saldos Iniciales'!$D:$D,'Saldos Iniciales'!$A:$A,C452,'Saldos Iniciales'!$B:$B,D452)+SUMIFS($K$1:$K$1324,$C$1:$C$1324,C452,$D$1:$D$1324,D452,$B$1:$B$1324,"&lt;="&amp;B452)</f>
        <v>23057.39</v>
      </c>
      <c r="N452" s="61">
        <f>IF(tblMovimientos[[#This Row],[Tipo de Movimiento]]="Ingreso",tblMovimientos[[#This Row],[Monto (S/)]],"0")</f>
        <v>15280.15</v>
      </c>
      <c r="O452" s="61" t="str">
        <f>IF(tblMovimientos[[#This Row],[Tipo de Movimiento]]="Egreso",tblMovimientos[[#This Row],[Monto (S/)]],"0")</f>
        <v>0</v>
      </c>
      <c r="P452" s="28">
        <f>IF(tblMovimientos[[#This Row],[Tipo de Movimiento]]="Ingreso",tblMovimientos[[#This Row],[Ingreso]],-tblMovimientos[[#This Row],[Egreso]])</f>
        <v>15280.15</v>
      </c>
      <c r="Q452" s="78" t="str">
        <f>_xlfn.XLOOKUP(tblMovimientos[[#This Row],[Cuenta Bancaria]],Cuentas!$C:$C,Cuentas!$A:$A,"")&amp;""</f>
        <v>SSP Group</v>
      </c>
      <c r="R452" s="78" t="str">
        <f>_xlfn.XLOOKUP(tblMovimientos[[#This Row],[Cuenta Bancaria]],Cuentas!$C:$C,Cuentas!$B:$B,"",0,-1)&amp;""</f>
        <v/>
      </c>
    </row>
    <row r="453" spans="2:18" x14ac:dyDescent="0.3">
      <c r="B453" s="39">
        <v>46205</v>
      </c>
      <c r="C453" s="4" t="str">
        <f>_xlfn.XLOOKUP(tblMovimientos[[#This Row],[Cuenta Bancaria]],Listas!$B:$B,Listas!$A:$A,"")</f>
        <v>A&amp;M Imports</v>
      </c>
      <c r="D453" s="41" t="s">
        <v>100</v>
      </c>
      <c r="E453" s="68" t="str">
        <f>_xlfn.XLOOKUP(tblMovimientos[[#This Row],[Cuenta Bancaria]],Listas!$B:$B,Listas!$C:$C,"")</f>
        <v>Bank of America</v>
      </c>
      <c r="F453" s="41" t="s">
        <v>10</v>
      </c>
      <c r="G453" s="41" t="s">
        <v>61</v>
      </c>
      <c r="H453" s="4" t="str">
        <f>IFERROR(_xlfn.XLOOKUP(G453,Listas!E:E,Listas!F:F,""),"")</f>
        <v>Operativo</v>
      </c>
      <c r="I453" s="46" t="str">
        <f>IFERROR(_xlfn.XLOOKUP(G453,Listas!E:E,Listas!G:G,""),"")</f>
        <v>Externo</v>
      </c>
      <c r="J453" s="43">
        <v>60000</v>
      </c>
      <c r="K453" s="5">
        <f t="shared" si="7"/>
        <v>-60000</v>
      </c>
      <c r="L453" s="15" t="s">
        <v>129</v>
      </c>
      <c r="M453" s="44">
        <f>SUMIFS('Saldos Iniciales'!$D:$D,'Saldos Iniciales'!$A:$A,C453,'Saldos Iniciales'!$B:$B,D453)+SUMIFS($K$1:$K$1324,$C$1:$C$1324,C453,$D$1:$D$1324,D453,$B$1:$B$1324,"&lt;="&amp;B453)</f>
        <v>350475.62999999989</v>
      </c>
      <c r="N453" s="61" t="str">
        <f>IF(tblMovimientos[[#This Row],[Tipo de Movimiento]]="Ingreso",tblMovimientos[[#This Row],[Monto (S/)]],"0")</f>
        <v>0</v>
      </c>
      <c r="O453" s="61">
        <f>IF(tblMovimientos[[#This Row],[Tipo de Movimiento]]="Egreso",tblMovimientos[[#This Row],[Monto (S/)]],"0")</f>
        <v>60000</v>
      </c>
      <c r="P453" s="28">
        <f>IF(tblMovimientos[[#This Row],[Tipo de Movimiento]]="Ingreso",tblMovimientos[[#This Row],[Ingreso]],-tblMovimientos[[#This Row],[Egreso]])</f>
        <v>-60000</v>
      </c>
      <c r="Q453" s="78" t="str">
        <f>_xlfn.XLOOKUP(tblMovimientos[[#This Row],[Cuenta Bancaria]],Cuentas!$C:$C,Cuentas!$A:$A,"")&amp;""</f>
        <v>SSP Group</v>
      </c>
      <c r="R453" s="78" t="str">
        <f>_xlfn.XLOOKUP(tblMovimientos[[#This Row],[Cuenta Bancaria]],Cuentas!$C:$C,Cuentas!$B:$B,"",0,-1)&amp;""</f>
        <v/>
      </c>
    </row>
    <row r="454" spans="2:18" x14ac:dyDescent="0.3">
      <c r="B454" s="39">
        <v>46205</v>
      </c>
      <c r="C454" s="4" t="str">
        <f>_xlfn.XLOOKUP(tblMovimientos[[#This Row],[Cuenta Bancaria]],Listas!$B:$B,Listas!$A:$A,"")</f>
        <v>A&amp;M Imports</v>
      </c>
      <c r="D454" s="41" t="s">
        <v>100</v>
      </c>
      <c r="E454" s="68" t="str">
        <f>_xlfn.XLOOKUP(tblMovimientos[[#This Row],[Cuenta Bancaria]],Listas!$B:$B,Listas!$C:$C,"")</f>
        <v>Bank of America</v>
      </c>
      <c r="F454" s="41" t="s">
        <v>10</v>
      </c>
      <c r="G454" s="41" t="s">
        <v>51</v>
      </c>
      <c r="H454" s="4" t="str">
        <f>IFERROR(_xlfn.XLOOKUP(G454,Listas!E:E,Listas!F:F,""),"")</f>
        <v>Financiamiento</v>
      </c>
      <c r="I454" s="46" t="str">
        <f>IFERROR(_xlfn.XLOOKUP(G454,Listas!E:E,Listas!G:G,""),"")</f>
        <v>Externo</v>
      </c>
      <c r="J454" s="43">
        <v>15280.15</v>
      </c>
      <c r="K454" s="5">
        <f t="shared" si="7"/>
        <v>-15280.15</v>
      </c>
      <c r="L454" s="15" t="s">
        <v>129</v>
      </c>
      <c r="M454" s="44">
        <f>SUMIFS('Saldos Iniciales'!$D:$D,'Saldos Iniciales'!$A:$A,C454,'Saldos Iniciales'!$B:$B,D454)+SUMIFS($K$1:$K$1324,$C$1:$C$1324,C454,$D$1:$D$1324,D454,$B$1:$B$1324,"&lt;="&amp;B454)</f>
        <v>350475.62999999989</v>
      </c>
      <c r="N454" s="61" t="str">
        <f>IF(tblMovimientos[[#This Row],[Tipo de Movimiento]]="Ingreso",tblMovimientos[[#This Row],[Monto (S/)]],"0")</f>
        <v>0</v>
      </c>
      <c r="O454" s="61">
        <f>IF(tblMovimientos[[#This Row],[Tipo de Movimiento]]="Egreso",tblMovimientos[[#This Row],[Monto (S/)]],"0")</f>
        <v>15280.15</v>
      </c>
      <c r="P454" s="28">
        <f>IF(tblMovimientos[[#This Row],[Tipo de Movimiento]]="Ingreso",tblMovimientos[[#This Row],[Ingreso]],-tblMovimientos[[#This Row],[Egreso]])</f>
        <v>-15280.15</v>
      </c>
      <c r="Q454" s="78" t="str">
        <f>_xlfn.XLOOKUP(tblMovimientos[[#This Row],[Cuenta Bancaria]],Cuentas!$C:$C,Cuentas!$A:$A,"")&amp;""</f>
        <v>SSP Group</v>
      </c>
      <c r="R454" s="78" t="str">
        <f>_xlfn.XLOOKUP(tblMovimientos[[#This Row],[Cuenta Bancaria]],Cuentas!$C:$C,Cuentas!$B:$B,"",0,-1)&amp;""</f>
        <v/>
      </c>
    </row>
    <row r="455" spans="2:18" x14ac:dyDescent="0.3">
      <c r="B455" s="39">
        <v>46205</v>
      </c>
      <c r="C455" s="4" t="str">
        <f>_xlfn.XLOOKUP(tblMovimientos[[#This Row],[Cuenta Bancaria]],Listas!$B:$B,Listas!$A:$A,"")</f>
        <v>A&amp;M Imports</v>
      </c>
      <c r="D455" s="41" t="s">
        <v>100</v>
      </c>
      <c r="E455" s="68" t="str">
        <f>_xlfn.XLOOKUP(tblMovimientos[[#This Row],[Cuenta Bancaria]],Listas!$B:$B,Listas!$C:$C,"")</f>
        <v>Bank of America</v>
      </c>
      <c r="F455" s="41" t="s">
        <v>10</v>
      </c>
      <c r="G455" s="41" t="s">
        <v>51</v>
      </c>
      <c r="H455" s="4" t="str">
        <f>IFERROR(_xlfn.XLOOKUP(G455,Listas!E:E,Listas!F:F,""),"")</f>
        <v>Financiamiento</v>
      </c>
      <c r="I455" s="46" t="str">
        <f>IFERROR(_xlfn.XLOOKUP(G455,Listas!E:E,Listas!G:G,""),"")</f>
        <v>Externo</v>
      </c>
      <c r="J455" s="43">
        <v>82180.600000000006</v>
      </c>
      <c r="K455" s="5">
        <f t="shared" si="7"/>
        <v>-82180.600000000006</v>
      </c>
      <c r="L455" s="15" t="s">
        <v>129</v>
      </c>
      <c r="M455" s="44">
        <f>SUMIFS('Saldos Iniciales'!$D:$D,'Saldos Iniciales'!$A:$A,C455,'Saldos Iniciales'!$B:$B,D455)+SUMIFS($K$1:$K$1324,$C$1:$C$1324,C455,$D$1:$D$1324,D455,$B$1:$B$1324,"&lt;="&amp;B455)</f>
        <v>350475.62999999989</v>
      </c>
      <c r="N455" s="61" t="str">
        <f>IF(tblMovimientos[[#This Row],[Tipo de Movimiento]]="Ingreso",tblMovimientos[[#This Row],[Monto (S/)]],"0")</f>
        <v>0</v>
      </c>
      <c r="O455" s="61">
        <f>IF(tblMovimientos[[#This Row],[Tipo de Movimiento]]="Egreso",tblMovimientos[[#This Row],[Monto (S/)]],"0")</f>
        <v>82180.600000000006</v>
      </c>
      <c r="P455" s="28">
        <f>IF(tblMovimientos[[#This Row],[Tipo de Movimiento]]="Ingreso",tblMovimientos[[#This Row],[Ingreso]],-tblMovimientos[[#This Row],[Egreso]])</f>
        <v>-82180.600000000006</v>
      </c>
      <c r="Q455" s="78" t="str">
        <f>_xlfn.XLOOKUP(tblMovimientos[[#This Row],[Cuenta Bancaria]],Cuentas!$C:$C,Cuentas!$A:$A,"")&amp;""</f>
        <v>SSP Group</v>
      </c>
      <c r="R455" s="78" t="str">
        <f>_xlfn.XLOOKUP(tblMovimientos[[#This Row],[Cuenta Bancaria]],Cuentas!$C:$C,Cuentas!$B:$B,"",0,-1)&amp;""</f>
        <v/>
      </c>
    </row>
    <row r="456" spans="2:18" x14ac:dyDescent="0.3">
      <c r="B456" s="39">
        <v>46205</v>
      </c>
      <c r="C456" s="4" t="str">
        <f>_xlfn.XLOOKUP(tblMovimientos[[#This Row],[Cuenta Bancaria]],Listas!$B:$B,Listas!$A:$A,"")</f>
        <v>3628 Thomas Ave</v>
      </c>
      <c r="D456" s="41" t="s">
        <v>124</v>
      </c>
      <c r="E456" s="68" t="str">
        <f>_xlfn.XLOOKUP(tblMovimientos[[#This Row],[Cuenta Bancaria]],Listas!$B:$B,Listas!$C:$C,"")</f>
        <v>Bank of America</v>
      </c>
      <c r="F456" s="41" t="s">
        <v>9</v>
      </c>
      <c r="G456" s="41" t="s">
        <v>81</v>
      </c>
      <c r="H456" s="4" t="str">
        <f>IFERROR(_xlfn.XLOOKUP(G456,Listas!E:E,Listas!F:F,""),"")</f>
        <v>Operativo</v>
      </c>
      <c r="I456" s="46" t="str">
        <f>IFERROR(_xlfn.XLOOKUP(G456,Listas!E:E,Listas!G:G,""),"")</f>
        <v>Externo</v>
      </c>
      <c r="J456" s="43">
        <v>4400</v>
      </c>
      <c r="K456" s="5">
        <f t="shared" si="7"/>
        <v>4400</v>
      </c>
      <c r="L456" s="15" t="s">
        <v>129</v>
      </c>
      <c r="M456" s="44">
        <f>SUMIFS('Saldos Iniciales'!$D:$D,'Saldos Iniciales'!$A:$A,C456,'Saldos Iniciales'!$B:$B,D456)+SUMIFS($K$1:$K$1324,$C$1:$C$1324,C456,$D$1:$D$1324,D456,$B$1:$B$1324,"&lt;="&amp;B456)</f>
        <v>28485.559999999998</v>
      </c>
      <c r="N456" s="61">
        <f>IF(tblMovimientos[[#This Row],[Tipo de Movimiento]]="Ingreso",tblMovimientos[[#This Row],[Monto (S/)]],"0")</f>
        <v>4400</v>
      </c>
      <c r="O456" s="61" t="str">
        <f>IF(tblMovimientos[[#This Row],[Tipo de Movimiento]]="Egreso",tblMovimientos[[#This Row],[Monto (S/)]],"0")</f>
        <v>0</v>
      </c>
      <c r="P456" s="28">
        <f>IF(tblMovimientos[[#This Row],[Tipo de Movimiento]]="Ingreso",tblMovimientos[[#This Row],[Ingreso]],-tblMovimientos[[#This Row],[Egreso]])</f>
        <v>4400</v>
      </c>
      <c r="Q456" s="78" t="str">
        <f>_xlfn.XLOOKUP(tblMovimientos[[#This Row],[Cuenta Bancaria]],Cuentas!$C:$C,Cuentas!$A:$A,"")&amp;""</f>
        <v>SSP Group</v>
      </c>
      <c r="R456" s="78" t="str">
        <f>_xlfn.XLOOKUP(tblMovimientos[[#This Row],[Cuenta Bancaria]],Cuentas!$C:$C,Cuentas!$B:$B,"",0,-1)&amp;""</f>
        <v/>
      </c>
    </row>
    <row r="457" spans="2:18" x14ac:dyDescent="0.3">
      <c r="B457" s="39">
        <v>46205</v>
      </c>
      <c r="C457" s="4" t="str">
        <f>_xlfn.XLOOKUP(tblMovimientos[[#This Row],[Cuenta Bancaria]],Listas!$B:$B,Listas!$A:$A,"")</f>
        <v>CFT Group</v>
      </c>
      <c r="D457" s="41" t="s">
        <v>95</v>
      </c>
      <c r="E457" s="68" t="str">
        <f>_xlfn.XLOOKUP(tblMovimientos[[#This Row],[Cuenta Bancaria]],Listas!$B:$B,Listas!$C:$C,"")</f>
        <v xml:space="preserve">Amerant Bank </v>
      </c>
      <c r="F457" s="41" t="s">
        <v>10</v>
      </c>
      <c r="G457" s="41" t="s">
        <v>55</v>
      </c>
      <c r="H457" s="4" t="str">
        <f>IFERROR(_xlfn.XLOOKUP(G457,Listas!E:E,Listas!F:F,""),"")</f>
        <v>Inversion</v>
      </c>
      <c r="I457" s="46" t="str">
        <f>IFERROR(_xlfn.XLOOKUP(G457,Listas!E:E,Listas!G:G,""),"")</f>
        <v>Externo</v>
      </c>
      <c r="J457" s="43">
        <v>3000</v>
      </c>
      <c r="K457" s="5">
        <f t="shared" si="7"/>
        <v>-3000</v>
      </c>
      <c r="L457" s="15" t="s">
        <v>129</v>
      </c>
      <c r="M457" s="44">
        <f>SUMIFS('Saldos Iniciales'!$D:$D,'Saldos Iniciales'!$A:$A,C457,'Saldos Iniciales'!$B:$B,D457)+SUMIFS($K$1:$K$1324,$C$1:$C$1324,C457,$D$1:$D$1324,D457,$B$1:$B$1324,"&lt;="&amp;B457)</f>
        <v>5551386.3600000003</v>
      </c>
      <c r="N457" s="61" t="str">
        <f>IF(tblMovimientos[[#This Row],[Tipo de Movimiento]]="Ingreso",tblMovimientos[[#This Row],[Monto (S/)]],"0")</f>
        <v>0</v>
      </c>
      <c r="O457" s="61">
        <f>IF(tblMovimientos[[#This Row],[Tipo de Movimiento]]="Egreso",tblMovimientos[[#This Row],[Monto (S/)]],"0")</f>
        <v>3000</v>
      </c>
      <c r="P457" s="28">
        <f>IF(tblMovimientos[[#This Row],[Tipo de Movimiento]]="Ingreso",tblMovimientos[[#This Row],[Ingreso]],-tblMovimientos[[#This Row],[Egreso]])</f>
        <v>-3000</v>
      </c>
      <c r="Q457" s="78" t="str">
        <f>_xlfn.XLOOKUP(tblMovimientos[[#This Row],[Cuenta Bancaria]],Cuentas!$C:$C,Cuentas!$A:$A,"")&amp;""</f>
        <v>SSP Group</v>
      </c>
      <c r="R457" s="78" t="str">
        <f>_xlfn.XLOOKUP(tblMovimientos[[#This Row],[Cuenta Bancaria]],Cuentas!$C:$C,Cuentas!$B:$B,"",0,-1)&amp;""</f>
        <v/>
      </c>
    </row>
    <row r="458" spans="2:18" x14ac:dyDescent="0.3">
      <c r="B458" s="39">
        <v>46205</v>
      </c>
      <c r="C458" s="4" t="str">
        <f>_xlfn.XLOOKUP(tblMovimientos[[#This Row],[Cuenta Bancaria]],Listas!$B:$B,Listas!$A:$A,"")</f>
        <v>CFT Group</v>
      </c>
      <c r="D458" s="41" t="s">
        <v>95</v>
      </c>
      <c r="E458" s="68" t="str">
        <f>_xlfn.XLOOKUP(tblMovimientos[[#This Row],[Cuenta Bancaria]],Listas!$B:$B,Listas!$C:$C,"")</f>
        <v xml:space="preserve">Amerant Bank </v>
      </c>
      <c r="F458" s="41" t="s">
        <v>10</v>
      </c>
      <c r="G458" s="41" t="s">
        <v>61</v>
      </c>
      <c r="H458" s="4" t="str">
        <f>IFERROR(_xlfn.XLOOKUP(G458,Listas!E:E,Listas!F:F,""),"")</f>
        <v>Operativo</v>
      </c>
      <c r="I458" s="46" t="str">
        <f>IFERROR(_xlfn.XLOOKUP(G458,Listas!E:E,Listas!G:G,""),"")</f>
        <v>Externo</v>
      </c>
      <c r="J458" s="43">
        <v>55000</v>
      </c>
      <c r="K458" s="5">
        <f t="shared" si="7"/>
        <v>-55000</v>
      </c>
      <c r="L458" s="15" t="s">
        <v>129</v>
      </c>
      <c r="M458" s="44">
        <f>SUMIFS('Saldos Iniciales'!$D:$D,'Saldos Iniciales'!$A:$A,C458,'Saldos Iniciales'!$B:$B,D458)+SUMIFS($K$1:$K$1324,$C$1:$C$1324,C458,$D$1:$D$1324,D458,$B$1:$B$1324,"&lt;="&amp;B458)</f>
        <v>5551386.3600000003</v>
      </c>
      <c r="N458" s="61" t="str">
        <f>IF(tblMovimientos[[#This Row],[Tipo de Movimiento]]="Ingreso",tblMovimientos[[#This Row],[Monto (S/)]],"0")</f>
        <v>0</v>
      </c>
      <c r="O458" s="61">
        <f>IF(tblMovimientos[[#This Row],[Tipo de Movimiento]]="Egreso",tblMovimientos[[#This Row],[Monto (S/)]],"0")</f>
        <v>55000</v>
      </c>
      <c r="P458" s="28">
        <f>IF(tblMovimientos[[#This Row],[Tipo de Movimiento]]="Ingreso",tblMovimientos[[#This Row],[Ingreso]],-tblMovimientos[[#This Row],[Egreso]])</f>
        <v>-55000</v>
      </c>
      <c r="Q458" s="78" t="str">
        <f>_xlfn.XLOOKUP(tblMovimientos[[#This Row],[Cuenta Bancaria]],Cuentas!$C:$C,Cuentas!$A:$A,"")&amp;""</f>
        <v>SSP Group</v>
      </c>
      <c r="R458" s="78" t="str">
        <f>_xlfn.XLOOKUP(tblMovimientos[[#This Row],[Cuenta Bancaria]],Cuentas!$C:$C,Cuentas!$B:$B,"",0,-1)&amp;""</f>
        <v/>
      </c>
    </row>
    <row r="459" spans="2:18" x14ac:dyDescent="0.3">
      <c r="B459" s="39">
        <v>46205</v>
      </c>
      <c r="C459" s="4" t="str">
        <f>_xlfn.XLOOKUP(tblMovimientos[[#This Row],[Cuenta Bancaria]],Listas!$B:$B,Listas!$A:$A,"")</f>
        <v>CFT Group</v>
      </c>
      <c r="D459" s="41" t="s">
        <v>95</v>
      </c>
      <c r="E459" s="68" t="str">
        <f>_xlfn.XLOOKUP(tblMovimientos[[#This Row],[Cuenta Bancaria]],Listas!$B:$B,Listas!$C:$C,"")</f>
        <v xml:space="preserve">Amerant Bank </v>
      </c>
      <c r="F459" s="41" t="s">
        <v>10</v>
      </c>
      <c r="G459" s="41" t="s">
        <v>61</v>
      </c>
      <c r="H459" s="4" t="str">
        <f>IFERROR(_xlfn.XLOOKUP(G459,Listas!E:E,Listas!F:F,""),"")</f>
        <v>Operativo</v>
      </c>
      <c r="I459" s="46" t="str">
        <f>IFERROR(_xlfn.XLOOKUP(G459,Listas!E:E,Listas!G:G,""),"")</f>
        <v>Externo</v>
      </c>
      <c r="J459" s="43">
        <v>60000</v>
      </c>
      <c r="K459" s="5">
        <f t="shared" si="7"/>
        <v>-60000</v>
      </c>
      <c r="L459" s="15" t="s">
        <v>129</v>
      </c>
      <c r="M459" s="44">
        <f>SUMIFS('Saldos Iniciales'!$D:$D,'Saldos Iniciales'!$A:$A,C459,'Saldos Iniciales'!$B:$B,D459)+SUMIFS($K$1:$K$1324,$C$1:$C$1324,C459,$D$1:$D$1324,D459,$B$1:$B$1324,"&lt;="&amp;B459)</f>
        <v>5551386.3600000003</v>
      </c>
      <c r="N459" s="61" t="str">
        <f>IF(tblMovimientos[[#This Row],[Tipo de Movimiento]]="Ingreso",tblMovimientos[[#This Row],[Monto (S/)]],"0")</f>
        <v>0</v>
      </c>
      <c r="O459" s="61">
        <f>IF(tblMovimientos[[#This Row],[Tipo de Movimiento]]="Egreso",tblMovimientos[[#This Row],[Monto (S/)]],"0")</f>
        <v>60000</v>
      </c>
      <c r="P459" s="28">
        <f>IF(tblMovimientos[[#This Row],[Tipo de Movimiento]]="Ingreso",tblMovimientos[[#This Row],[Ingreso]],-tblMovimientos[[#This Row],[Egreso]])</f>
        <v>-60000</v>
      </c>
      <c r="Q459" s="78" t="str">
        <f>_xlfn.XLOOKUP(tblMovimientos[[#This Row],[Cuenta Bancaria]],Cuentas!$C:$C,Cuentas!$A:$A,"")&amp;""</f>
        <v>SSP Group</v>
      </c>
      <c r="R459" s="78" t="str">
        <f>_xlfn.XLOOKUP(tblMovimientos[[#This Row],[Cuenta Bancaria]],Cuentas!$C:$C,Cuentas!$B:$B,"",0,-1)&amp;""</f>
        <v/>
      </c>
    </row>
    <row r="460" spans="2:18" x14ac:dyDescent="0.3">
      <c r="B460" s="39">
        <v>46205</v>
      </c>
      <c r="C460" s="4" t="str">
        <f>_xlfn.XLOOKUP(tblMovimientos[[#This Row],[Cuenta Bancaria]],Listas!$B:$B,Listas!$A:$A,"")</f>
        <v>CFT Group</v>
      </c>
      <c r="D460" s="41" t="s">
        <v>95</v>
      </c>
      <c r="E460" s="68" t="str">
        <f>_xlfn.XLOOKUP(tblMovimientos[[#This Row],[Cuenta Bancaria]],Listas!$B:$B,Listas!$C:$C,"")</f>
        <v xml:space="preserve">Amerant Bank </v>
      </c>
      <c r="F460" s="41" t="s">
        <v>10</v>
      </c>
      <c r="G460" s="41" t="s">
        <v>61</v>
      </c>
      <c r="H460" s="4" t="str">
        <f>IFERROR(_xlfn.XLOOKUP(G460,Listas!E:E,Listas!F:F,""),"")</f>
        <v>Operativo</v>
      </c>
      <c r="I460" s="46" t="str">
        <f>IFERROR(_xlfn.XLOOKUP(G460,Listas!E:E,Listas!G:G,""),"")</f>
        <v>Externo</v>
      </c>
      <c r="J460" s="43">
        <v>85000</v>
      </c>
      <c r="K460" s="5">
        <f t="shared" si="7"/>
        <v>-85000</v>
      </c>
      <c r="L460" s="15" t="s">
        <v>129</v>
      </c>
      <c r="M460" s="44">
        <f>SUMIFS('Saldos Iniciales'!$D:$D,'Saldos Iniciales'!$A:$A,C460,'Saldos Iniciales'!$B:$B,D460)+SUMIFS($K$1:$K$1324,$C$1:$C$1324,C460,$D$1:$D$1324,D460,$B$1:$B$1324,"&lt;="&amp;B460)</f>
        <v>5551386.3600000003</v>
      </c>
      <c r="N460" s="61" t="str">
        <f>IF(tblMovimientos[[#This Row],[Tipo de Movimiento]]="Ingreso",tblMovimientos[[#This Row],[Monto (S/)]],"0")</f>
        <v>0</v>
      </c>
      <c r="O460" s="61">
        <f>IF(tblMovimientos[[#This Row],[Tipo de Movimiento]]="Egreso",tblMovimientos[[#This Row],[Monto (S/)]],"0")</f>
        <v>85000</v>
      </c>
      <c r="P460" s="28">
        <f>IF(tblMovimientos[[#This Row],[Tipo de Movimiento]]="Ingreso",tblMovimientos[[#This Row],[Ingreso]],-tblMovimientos[[#This Row],[Egreso]])</f>
        <v>-85000</v>
      </c>
      <c r="Q460" s="78" t="str">
        <f>_xlfn.XLOOKUP(tblMovimientos[[#This Row],[Cuenta Bancaria]],Cuentas!$C:$C,Cuentas!$A:$A,"")&amp;""</f>
        <v>SSP Group</v>
      </c>
      <c r="R460" s="78" t="str">
        <f>_xlfn.XLOOKUP(tblMovimientos[[#This Row],[Cuenta Bancaria]],Cuentas!$C:$C,Cuentas!$B:$B,"",0,-1)&amp;""</f>
        <v/>
      </c>
    </row>
    <row r="461" spans="2:18" x14ac:dyDescent="0.3">
      <c r="B461" s="39">
        <v>46205</v>
      </c>
      <c r="C461" s="4" t="str">
        <f>_xlfn.XLOOKUP(tblMovimientos[[#This Row],[Cuenta Bancaria]],Listas!$B:$B,Listas!$A:$A,"")</f>
        <v>CFT Group</v>
      </c>
      <c r="D461" s="41" t="s">
        <v>95</v>
      </c>
      <c r="E461" s="68" t="str">
        <f>_xlfn.XLOOKUP(tblMovimientos[[#This Row],[Cuenta Bancaria]],Listas!$B:$B,Listas!$C:$C,"")</f>
        <v xml:space="preserve">Amerant Bank </v>
      </c>
      <c r="F461" s="41" t="s">
        <v>10</v>
      </c>
      <c r="G461" s="41" t="s">
        <v>61</v>
      </c>
      <c r="H461" s="4" t="str">
        <f>IFERROR(_xlfn.XLOOKUP(G461,Listas!E:E,Listas!F:F,""),"")</f>
        <v>Operativo</v>
      </c>
      <c r="I461" s="46" t="str">
        <f>IFERROR(_xlfn.XLOOKUP(G461,Listas!E:E,Listas!G:G,""),"")</f>
        <v>Externo</v>
      </c>
      <c r="J461" s="43">
        <v>100000</v>
      </c>
      <c r="K461" s="5">
        <f t="shared" si="7"/>
        <v>-100000</v>
      </c>
      <c r="L461" s="15" t="s">
        <v>129</v>
      </c>
      <c r="M461" s="44">
        <f>SUMIFS('Saldos Iniciales'!$D:$D,'Saldos Iniciales'!$A:$A,C461,'Saldos Iniciales'!$B:$B,D461)+SUMIFS($K$1:$K$1324,$C$1:$C$1324,C461,$D$1:$D$1324,D461,$B$1:$B$1324,"&lt;="&amp;B461)</f>
        <v>5551386.3600000003</v>
      </c>
      <c r="N461" s="61" t="str">
        <f>IF(tblMovimientos[[#This Row],[Tipo de Movimiento]]="Ingreso",tblMovimientos[[#This Row],[Monto (S/)]],"0")</f>
        <v>0</v>
      </c>
      <c r="O461" s="61">
        <f>IF(tblMovimientos[[#This Row],[Tipo de Movimiento]]="Egreso",tblMovimientos[[#This Row],[Monto (S/)]],"0")</f>
        <v>100000</v>
      </c>
      <c r="P461" s="28">
        <f>IF(tblMovimientos[[#This Row],[Tipo de Movimiento]]="Ingreso",tblMovimientos[[#This Row],[Ingreso]],-tblMovimientos[[#This Row],[Egreso]])</f>
        <v>-100000</v>
      </c>
      <c r="Q461" s="78" t="str">
        <f>_xlfn.XLOOKUP(tblMovimientos[[#This Row],[Cuenta Bancaria]],Cuentas!$C:$C,Cuentas!$A:$A,"")&amp;""</f>
        <v>SSP Group</v>
      </c>
      <c r="R461" s="78" t="str">
        <f>_xlfn.XLOOKUP(tblMovimientos[[#This Row],[Cuenta Bancaria]],Cuentas!$C:$C,Cuentas!$B:$B,"",0,-1)&amp;""</f>
        <v/>
      </c>
    </row>
    <row r="462" spans="2:18" x14ac:dyDescent="0.3">
      <c r="B462" s="39">
        <v>46205</v>
      </c>
      <c r="C462" s="4" t="str">
        <f>_xlfn.XLOOKUP(tblMovimientos[[#This Row],[Cuenta Bancaria]],Listas!$B:$B,Listas!$A:$A,"")</f>
        <v>CFT Group</v>
      </c>
      <c r="D462" s="41" t="s">
        <v>95</v>
      </c>
      <c r="E462" s="68" t="str">
        <f>_xlfn.XLOOKUP(tblMovimientos[[#This Row],[Cuenta Bancaria]],Listas!$B:$B,Listas!$C:$C,"")</f>
        <v xml:space="preserve">Amerant Bank </v>
      </c>
      <c r="F462" s="41" t="s">
        <v>10</v>
      </c>
      <c r="G462" s="41" t="s">
        <v>61</v>
      </c>
      <c r="H462" s="4" t="str">
        <f>IFERROR(_xlfn.XLOOKUP(G462,Listas!E:E,Listas!F:F,""),"")</f>
        <v>Operativo</v>
      </c>
      <c r="I462" s="46" t="str">
        <f>IFERROR(_xlfn.XLOOKUP(G462,Listas!E:E,Listas!G:G,""),"")</f>
        <v>Externo</v>
      </c>
      <c r="J462" s="43">
        <v>100000</v>
      </c>
      <c r="K462" s="5">
        <f t="shared" si="7"/>
        <v>-100000</v>
      </c>
      <c r="L462" s="15" t="s">
        <v>129</v>
      </c>
      <c r="M462" s="44">
        <f>SUMIFS('Saldos Iniciales'!$D:$D,'Saldos Iniciales'!$A:$A,C462,'Saldos Iniciales'!$B:$B,D462)+SUMIFS($K$1:$K$1324,$C$1:$C$1324,C462,$D$1:$D$1324,D462,$B$1:$B$1324,"&lt;="&amp;B462)</f>
        <v>5551386.3600000003</v>
      </c>
      <c r="N462" s="61" t="str">
        <f>IF(tblMovimientos[[#This Row],[Tipo de Movimiento]]="Ingreso",tblMovimientos[[#This Row],[Monto (S/)]],"0")</f>
        <v>0</v>
      </c>
      <c r="O462" s="61">
        <f>IF(tblMovimientos[[#This Row],[Tipo de Movimiento]]="Egreso",tblMovimientos[[#This Row],[Monto (S/)]],"0")</f>
        <v>100000</v>
      </c>
      <c r="P462" s="28">
        <f>IF(tblMovimientos[[#This Row],[Tipo de Movimiento]]="Ingreso",tblMovimientos[[#This Row],[Ingreso]],-tblMovimientos[[#This Row],[Egreso]])</f>
        <v>-100000</v>
      </c>
      <c r="Q462" s="78" t="str">
        <f>_xlfn.XLOOKUP(tblMovimientos[[#This Row],[Cuenta Bancaria]],Cuentas!$C:$C,Cuentas!$A:$A,"")&amp;""</f>
        <v>SSP Group</v>
      </c>
      <c r="R462" s="78" t="str">
        <f>_xlfn.XLOOKUP(tblMovimientos[[#This Row],[Cuenta Bancaria]],Cuentas!$C:$C,Cuentas!$B:$B,"",0,-1)&amp;""</f>
        <v/>
      </c>
    </row>
    <row r="463" spans="2:18" x14ac:dyDescent="0.3">
      <c r="B463" s="39">
        <v>46205</v>
      </c>
      <c r="C463" s="4" t="str">
        <f>_xlfn.XLOOKUP(tblMovimientos[[#This Row],[Cuenta Bancaria]],Listas!$B:$B,Listas!$A:$A,"")</f>
        <v>CFT Group</v>
      </c>
      <c r="D463" s="41" t="s">
        <v>95</v>
      </c>
      <c r="E463" s="68" t="str">
        <f>_xlfn.XLOOKUP(tblMovimientos[[#This Row],[Cuenta Bancaria]],Listas!$B:$B,Listas!$C:$C,"")</f>
        <v xml:space="preserve">Amerant Bank </v>
      </c>
      <c r="F463" s="41" t="s">
        <v>10</v>
      </c>
      <c r="G463" s="41" t="s">
        <v>61</v>
      </c>
      <c r="H463" s="4" t="str">
        <f>IFERROR(_xlfn.XLOOKUP(G463,Listas!E:E,Listas!F:F,""),"")</f>
        <v>Operativo</v>
      </c>
      <c r="I463" s="46" t="str">
        <f>IFERROR(_xlfn.XLOOKUP(G463,Listas!E:E,Listas!G:G,""),"")</f>
        <v>Externo</v>
      </c>
      <c r="J463" s="43">
        <v>100000</v>
      </c>
      <c r="K463" s="5">
        <f t="shared" si="7"/>
        <v>-100000</v>
      </c>
      <c r="L463" s="15" t="s">
        <v>129</v>
      </c>
      <c r="M463" s="44">
        <f>SUMIFS('Saldos Iniciales'!$D:$D,'Saldos Iniciales'!$A:$A,C463,'Saldos Iniciales'!$B:$B,D463)+SUMIFS($K$1:$K$1324,$C$1:$C$1324,C463,$D$1:$D$1324,D463,$B$1:$B$1324,"&lt;="&amp;B463)</f>
        <v>5551386.3600000003</v>
      </c>
      <c r="N463" s="61" t="str">
        <f>IF(tblMovimientos[[#This Row],[Tipo de Movimiento]]="Ingreso",tblMovimientos[[#This Row],[Monto (S/)]],"0")</f>
        <v>0</v>
      </c>
      <c r="O463" s="61">
        <f>IF(tblMovimientos[[#This Row],[Tipo de Movimiento]]="Egreso",tblMovimientos[[#This Row],[Monto (S/)]],"0")</f>
        <v>100000</v>
      </c>
      <c r="P463" s="28">
        <f>IF(tblMovimientos[[#This Row],[Tipo de Movimiento]]="Ingreso",tblMovimientos[[#This Row],[Ingreso]],-tblMovimientos[[#This Row],[Egreso]])</f>
        <v>-100000</v>
      </c>
      <c r="Q463" s="78" t="str">
        <f>_xlfn.XLOOKUP(tblMovimientos[[#This Row],[Cuenta Bancaria]],Cuentas!$C:$C,Cuentas!$A:$A,"")&amp;""</f>
        <v>SSP Group</v>
      </c>
      <c r="R463" s="78" t="str">
        <f>_xlfn.XLOOKUP(tblMovimientos[[#This Row],[Cuenta Bancaria]],Cuentas!$C:$C,Cuentas!$B:$B,"",0,-1)&amp;""</f>
        <v/>
      </c>
    </row>
    <row r="464" spans="2:18" x14ac:dyDescent="0.3">
      <c r="B464" s="39">
        <v>46205</v>
      </c>
      <c r="C464" s="4" t="str">
        <f>_xlfn.XLOOKUP(tblMovimientos[[#This Row],[Cuenta Bancaria]],Listas!$B:$B,Listas!$A:$A,"")</f>
        <v>CFT Group</v>
      </c>
      <c r="D464" s="41" t="s">
        <v>95</v>
      </c>
      <c r="E464" s="68" t="str">
        <f>_xlfn.XLOOKUP(tblMovimientos[[#This Row],[Cuenta Bancaria]],Listas!$B:$B,Listas!$C:$C,"")</f>
        <v xml:space="preserve">Amerant Bank </v>
      </c>
      <c r="F464" s="41" t="s">
        <v>10</v>
      </c>
      <c r="G464" s="41" t="s">
        <v>61</v>
      </c>
      <c r="H464" s="4" t="str">
        <f>IFERROR(_xlfn.XLOOKUP(G464,Listas!E:E,Listas!F:F,""),"")</f>
        <v>Operativo</v>
      </c>
      <c r="I464" s="46" t="str">
        <f>IFERROR(_xlfn.XLOOKUP(G464,Listas!E:E,Listas!G:G,""),"")</f>
        <v>Externo</v>
      </c>
      <c r="J464" s="43">
        <v>200000</v>
      </c>
      <c r="K464" s="5">
        <f t="shared" si="7"/>
        <v>-200000</v>
      </c>
      <c r="L464" s="15" t="s">
        <v>129</v>
      </c>
      <c r="M464" s="44">
        <f>SUMIFS('Saldos Iniciales'!$D:$D,'Saldos Iniciales'!$A:$A,C464,'Saldos Iniciales'!$B:$B,D464)+SUMIFS($K$1:$K$1324,$C$1:$C$1324,C464,$D$1:$D$1324,D464,$B$1:$B$1324,"&lt;="&amp;B464)</f>
        <v>5551386.3600000003</v>
      </c>
      <c r="N464" s="61" t="str">
        <f>IF(tblMovimientos[[#This Row],[Tipo de Movimiento]]="Ingreso",tblMovimientos[[#This Row],[Monto (S/)]],"0")</f>
        <v>0</v>
      </c>
      <c r="O464" s="61">
        <f>IF(tblMovimientos[[#This Row],[Tipo de Movimiento]]="Egreso",tblMovimientos[[#This Row],[Monto (S/)]],"0")</f>
        <v>200000</v>
      </c>
      <c r="P464" s="28">
        <f>IF(tblMovimientos[[#This Row],[Tipo de Movimiento]]="Ingreso",tblMovimientos[[#This Row],[Ingreso]],-tblMovimientos[[#This Row],[Egreso]])</f>
        <v>-200000</v>
      </c>
      <c r="Q464" s="78" t="str">
        <f>_xlfn.XLOOKUP(tblMovimientos[[#This Row],[Cuenta Bancaria]],Cuentas!$C:$C,Cuentas!$A:$A,"")&amp;""</f>
        <v>SSP Group</v>
      </c>
      <c r="R464" s="78" t="str">
        <f>_xlfn.XLOOKUP(tblMovimientos[[#This Row],[Cuenta Bancaria]],Cuentas!$C:$C,Cuentas!$B:$B,"",0,-1)&amp;""</f>
        <v/>
      </c>
    </row>
    <row r="465" spans="1:18" x14ac:dyDescent="0.3">
      <c r="B465" s="39">
        <v>46205</v>
      </c>
      <c r="C465" s="4" t="str">
        <f>_xlfn.XLOOKUP(tblMovimientos[[#This Row],[Cuenta Bancaria]],Listas!$B:$B,Listas!$A:$A,"")</f>
        <v>Cross Family Trust</v>
      </c>
      <c r="D465" s="41" t="s">
        <v>111</v>
      </c>
      <c r="E465" s="68" t="str">
        <f>_xlfn.XLOOKUP(tblMovimientos[[#This Row],[Cuenta Bancaria]],Listas!$B:$B,Listas!$C:$C,"")</f>
        <v xml:space="preserve">Amerant Bank </v>
      </c>
      <c r="F465" s="41" t="s">
        <v>10</v>
      </c>
      <c r="G465" s="41" t="s">
        <v>53</v>
      </c>
      <c r="H465" s="4" t="str">
        <f>IFERROR(_xlfn.XLOOKUP(G465,Listas!E:E,Listas!F:F,""),"")</f>
        <v>Inversion</v>
      </c>
      <c r="I465" s="46" t="str">
        <f>IFERROR(_xlfn.XLOOKUP(G465,Listas!E:E,Listas!G:G,""),"")</f>
        <v>Interno</v>
      </c>
      <c r="J465" s="43">
        <v>20000</v>
      </c>
      <c r="K465" s="5">
        <f t="shared" si="7"/>
        <v>-20000</v>
      </c>
      <c r="L465" s="15" t="s">
        <v>129</v>
      </c>
      <c r="M465" s="44">
        <f>SUMIFS('Saldos Iniciales'!$D:$D,'Saldos Iniciales'!$A:$A,C465,'Saldos Iniciales'!$B:$B,D465)+SUMIFS($K$1:$K$1324,$C$1:$C$1324,C465,$D$1:$D$1324,D465,$B$1:$B$1324,"&lt;="&amp;B465)</f>
        <v>111717.6</v>
      </c>
      <c r="N465" s="61" t="str">
        <f>IF(tblMovimientos[[#This Row],[Tipo de Movimiento]]="Ingreso",tblMovimientos[[#This Row],[Monto (S/)]],"0")</f>
        <v>0</v>
      </c>
      <c r="O465" s="61">
        <f>IF(tblMovimientos[[#This Row],[Tipo de Movimiento]]="Egreso",tblMovimientos[[#This Row],[Monto (S/)]],"0")</f>
        <v>20000</v>
      </c>
      <c r="P465" s="28">
        <f>IF(tblMovimientos[[#This Row],[Tipo de Movimiento]]="Ingreso",tblMovimientos[[#This Row],[Ingreso]],-tblMovimientos[[#This Row],[Egreso]])</f>
        <v>-20000</v>
      </c>
      <c r="Q465" s="78" t="str">
        <f>_xlfn.XLOOKUP(tblMovimientos[[#This Row],[Cuenta Bancaria]],Cuentas!$C:$C,Cuentas!$A:$A,"")&amp;""</f>
        <v>SSP Group</v>
      </c>
      <c r="R465" s="78" t="str">
        <f>_xlfn.XLOOKUP(tblMovimientos[[#This Row],[Cuenta Bancaria]],Cuentas!$C:$C,Cuentas!$B:$B,"",0,-1)&amp;""</f>
        <v>Trust</v>
      </c>
    </row>
    <row r="466" spans="1:18" x14ac:dyDescent="0.3">
      <c r="B466" s="39">
        <v>46205</v>
      </c>
      <c r="C466" s="4" t="str">
        <f>_xlfn.XLOOKUP(tblMovimientos[[#This Row],[Cuenta Bancaria]],Listas!$B:$B,Listas!$A:$A,"")</f>
        <v>Cross Family Trust</v>
      </c>
      <c r="D466" s="41" t="s">
        <v>111</v>
      </c>
      <c r="E466" s="68" t="str">
        <f>_xlfn.XLOOKUP(tblMovimientos[[#This Row],[Cuenta Bancaria]],Listas!$B:$B,Listas!$C:$C,"")</f>
        <v xml:space="preserve">Amerant Bank </v>
      </c>
      <c r="F466" s="41" t="s">
        <v>10</v>
      </c>
      <c r="G466" s="41" t="s">
        <v>53</v>
      </c>
      <c r="H466" s="4" t="str">
        <f>IFERROR(_xlfn.XLOOKUP(G466,Listas!E:E,Listas!F:F,""),"")</f>
        <v>Inversion</v>
      </c>
      <c r="I466" s="46" t="str">
        <f>IFERROR(_xlfn.XLOOKUP(G466,Listas!E:E,Listas!G:G,""),"")</f>
        <v>Interno</v>
      </c>
      <c r="J466" s="43">
        <v>150000</v>
      </c>
      <c r="K466" s="5">
        <f t="shared" si="7"/>
        <v>-150000</v>
      </c>
      <c r="L466" s="15" t="s">
        <v>129</v>
      </c>
      <c r="M466" s="44">
        <f>SUMIFS('Saldos Iniciales'!$D:$D,'Saldos Iniciales'!$A:$A,C466,'Saldos Iniciales'!$B:$B,D466)+SUMIFS($K$1:$K$1324,$C$1:$C$1324,C466,$D$1:$D$1324,D466,$B$1:$B$1324,"&lt;="&amp;B466)</f>
        <v>111717.6</v>
      </c>
      <c r="N466" s="61" t="str">
        <f>IF(tblMovimientos[[#This Row],[Tipo de Movimiento]]="Ingreso",tblMovimientos[[#This Row],[Monto (S/)]],"0")</f>
        <v>0</v>
      </c>
      <c r="O466" s="61">
        <f>IF(tblMovimientos[[#This Row],[Tipo de Movimiento]]="Egreso",tblMovimientos[[#This Row],[Monto (S/)]],"0")</f>
        <v>150000</v>
      </c>
      <c r="P466" s="28">
        <f>IF(tblMovimientos[[#This Row],[Tipo de Movimiento]]="Ingreso",tblMovimientos[[#This Row],[Ingreso]],-tblMovimientos[[#This Row],[Egreso]])</f>
        <v>-150000</v>
      </c>
      <c r="Q466" s="78" t="str">
        <f>_xlfn.XLOOKUP(tblMovimientos[[#This Row],[Cuenta Bancaria]],Cuentas!$C:$C,Cuentas!$A:$A,"")&amp;""</f>
        <v>SSP Group</v>
      </c>
      <c r="R466" s="78" t="str">
        <f>_xlfn.XLOOKUP(tblMovimientos[[#This Row],[Cuenta Bancaria]],Cuentas!$C:$C,Cuentas!$B:$B,"",0,-1)&amp;""</f>
        <v>Trust</v>
      </c>
    </row>
    <row r="467" spans="1:18" x14ac:dyDescent="0.3">
      <c r="B467" s="39">
        <v>46205</v>
      </c>
      <c r="C467" s="4" t="str">
        <f>_xlfn.XLOOKUP(tblMovimientos[[#This Row],[Cuenta Bancaria]],Listas!$B:$B,Listas!$A:$A,"")</f>
        <v>SSP Capital</v>
      </c>
      <c r="D467" s="41" t="s">
        <v>104</v>
      </c>
      <c r="E467" s="68" t="str">
        <f>_xlfn.XLOOKUP(tblMovimientos[[#This Row],[Cuenta Bancaria]],Listas!$B:$B,Listas!$C:$C,"")</f>
        <v xml:space="preserve">Amerant Bank </v>
      </c>
      <c r="F467" s="41" t="s">
        <v>9</v>
      </c>
      <c r="G467" s="41" t="s">
        <v>77</v>
      </c>
      <c r="H467" s="4" t="str">
        <f>IFERROR(_xlfn.XLOOKUP(G467,Listas!E:E,Listas!F:F,""),"")</f>
        <v>Inversion</v>
      </c>
      <c r="I467" s="46" t="str">
        <f>IFERROR(_xlfn.XLOOKUP(G467,Listas!E:E,Listas!G:G,""),"")</f>
        <v>Interno</v>
      </c>
      <c r="J467" s="43">
        <v>150000</v>
      </c>
      <c r="K467" s="5">
        <f t="shared" si="7"/>
        <v>150000</v>
      </c>
      <c r="L467" s="15" t="s">
        <v>129</v>
      </c>
      <c r="M467" s="44">
        <f>SUMIFS('Saldos Iniciales'!$D:$D,'Saldos Iniciales'!$A:$A,C467,'Saldos Iniciales'!$B:$B,D467)+SUMIFS($K$1:$K$1324,$C$1:$C$1324,C467,$D$1:$D$1324,D467,$B$1:$B$1324,"&lt;="&amp;B467)</f>
        <v>921698.75999999943</v>
      </c>
      <c r="N467" s="61">
        <f>IF(tblMovimientos[[#This Row],[Tipo de Movimiento]]="Ingreso",tblMovimientos[[#This Row],[Monto (S/)]],"0")</f>
        <v>150000</v>
      </c>
      <c r="O467" s="61" t="str">
        <f>IF(tblMovimientos[[#This Row],[Tipo de Movimiento]]="Egreso",tblMovimientos[[#This Row],[Monto (S/)]],"0")</f>
        <v>0</v>
      </c>
      <c r="P467" s="28">
        <f>IF(tblMovimientos[[#This Row],[Tipo de Movimiento]]="Ingreso",tblMovimientos[[#This Row],[Ingreso]],-tblMovimientos[[#This Row],[Egreso]])</f>
        <v>150000</v>
      </c>
      <c r="Q467" s="78" t="str">
        <f>_xlfn.XLOOKUP(tblMovimientos[[#This Row],[Cuenta Bancaria]],Cuentas!$C:$C,Cuentas!$A:$A,"")&amp;""</f>
        <v>SSP Group</v>
      </c>
      <c r="R467" s="78" t="str">
        <f>_xlfn.XLOOKUP(tblMovimientos[[#This Row],[Cuenta Bancaria]],Cuentas!$C:$C,Cuentas!$B:$B,"",0,-1)&amp;""</f>
        <v/>
      </c>
    </row>
    <row r="468" spans="1:18" x14ac:dyDescent="0.3">
      <c r="B468" s="39">
        <v>46205</v>
      </c>
      <c r="C468" s="4" t="str">
        <f>_xlfn.XLOOKUP(tblMovimientos[[#This Row],[Cuenta Bancaria]],Listas!$B:$B,Listas!$A:$A,"")</f>
        <v>SSP Capital</v>
      </c>
      <c r="D468" s="41" t="s">
        <v>104</v>
      </c>
      <c r="E468" s="68" t="str">
        <f>_xlfn.XLOOKUP(tblMovimientos[[#This Row],[Cuenta Bancaria]],Listas!$B:$B,Listas!$C:$C,"")</f>
        <v xml:space="preserve">Amerant Bank </v>
      </c>
      <c r="F468" s="41" t="s">
        <v>10</v>
      </c>
      <c r="G468" s="41" t="s">
        <v>53</v>
      </c>
      <c r="H468" s="4" t="str">
        <f>IFERROR(_xlfn.XLOOKUP(G468,Listas!E:E,Listas!F:F,""),"")</f>
        <v>Inversion</v>
      </c>
      <c r="I468" s="46" t="str">
        <f>IFERROR(_xlfn.XLOOKUP(G468,Listas!E:E,Listas!G:G,""),"")</f>
        <v>Interno</v>
      </c>
      <c r="J468" s="43">
        <v>100000</v>
      </c>
      <c r="K468" s="5">
        <f t="shared" si="7"/>
        <v>-100000</v>
      </c>
      <c r="L468" s="15" t="s">
        <v>129</v>
      </c>
      <c r="M468" s="44">
        <f>SUMIFS('Saldos Iniciales'!$D:$D,'Saldos Iniciales'!$A:$A,C468,'Saldos Iniciales'!$B:$B,D468)+SUMIFS($K$1:$K$1324,$C$1:$C$1324,C468,$D$1:$D$1324,D468,$B$1:$B$1324,"&lt;="&amp;B468)</f>
        <v>921698.75999999943</v>
      </c>
      <c r="N468" s="61" t="str">
        <f>IF(tblMovimientos[[#This Row],[Tipo de Movimiento]]="Ingreso",tblMovimientos[[#This Row],[Monto (S/)]],"0")</f>
        <v>0</v>
      </c>
      <c r="O468" s="61">
        <f>IF(tblMovimientos[[#This Row],[Tipo de Movimiento]]="Egreso",tblMovimientos[[#This Row],[Monto (S/)]],"0")</f>
        <v>100000</v>
      </c>
      <c r="P468" s="28">
        <f>IF(tblMovimientos[[#This Row],[Tipo de Movimiento]]="Ingreso",tblMovimientos[[#This Row],[Ingreso]],-tblMovimientos[[#This Row],[Egreso]])</f>
        <v>-100000</v>
      </c>
      <c r="Q468" s="78" t="str">
        <f>_xlfn.XLOOKUP(tblMovimientos[[#This Row],[Cuenta Bancaria]],Cuentas!$C:$C,Cuentas!$A:$A,"")&amp;""</f>
        <v>SSP Group</v>
      </c>
      <c r="R468" s="78" t="str">
        <f>_xlfn.XLOOKUP(tblMovimientos[[#This Row],[Cuenta Bancaria]],Cuentas!$C:$C,Cuentas!$B:$B,"",0,-1)&amp;""</f>
        <v/>
      </c>
    </row>
    <row r="469" spans="1:18" x14ac:dyDescent="0.3">
      <c r="B469" s="39">
        <v>46205</v>
      </c>
      <c r="C469" s="4" t="str">
        <f>_xlfn.XLOOKUP(tblMovimientos[[#This Row],[Cuenta Bancaria]],Listas!$B:$B,Listas!$A:$A,"")</f>
        <v>Green Harbor Trust</v>
      </c>
      <c r="D469" s="41" t="s">
        <v>125</v>
      </c>
      <c r="E469" s="68" t="str">
        <f>_xlfn.XLOOKUP(tblMovimientos[[#This Row],[Cuenta Bancaria]],Listas!$B:$B,Listas!$C:$C,"")</f>
        <v xml:space="preserve">Amerant Bank </v>
      </c>
      <c r="F469" s="41" t="s">
        <v>9</v>
      </c>
      <c r="G469" s="41" t="s">
        <v>77</v>
      </c>
      <c r="H469" s="4" t="str">
        <f>IFERROR(_xlfn.XLOOKUP(G469,Listas!E:E,Listas!F:F,""),"")</f>
        <v>Inversion</v>
      </c>
      <c r="I469" s="46" t="str">
        <f>IFERROR(_xlfn.XLOOKUP(G469,Listas!E:E,Listas!G:G,""),"")</f>
        <v>Interno</v>
      </c>
      <c r="J469" s="43">
        <v>20000</v>
      </c>
      <c r="K469" s="5">
        <f t="shared" si="7"/>
        <v>20000</v>
      </c>
      <c r="L469" s="15" t="s">
        <v>129</v>
      </c>
      <c r="M469" s="44">
        <f>SUMIFS('Saldos Iniciales'!$D:$D,'Saldos Iniciales'!$A:$A,C469,'Saldos Iniciales'!$B:$B,D469)+SUMIFS($K$1:$K$1324,$C$1:$C$1324,C469,$D$1:$D$1324,D469,$B$1:$B$1324,"&lt;="&amp;B469)</f>
        <v>345</v>
      </c>
      <c r="N469" s="61">
        <f>IF(tblMovimientos[[#This Row],[Tipo de Movimiento]]="Ingreso",tblMovimientos[[#This Row],[Monto (S/)]],"0")</f>
        <v>20000</v>
      </c>
      <c r="O469" s="61" t="str">
        <f>IF(tblMovimientos[[#This Row],[Tipo de Movimiento]]="Egreso",tblMovimientos[[#This Row],[Monto (S/)]],"0")</f>
        <v>0</v>
      </c>
      <c r="P469" s="28">
        <f>IF(tblMovimientos[[#This Row],[Tipo de Movimiento]]="Ingreso",tblMovimientos[[#This Row],[Ingreso]],-tblMovimientos[[#This Row],[Egreso]])</f>
        <v>20000</v>
      </c>
      <c r="Q469" s="78" t="str">
        <f>_xlfn.XLOOKUP(tblMovimientos[[#This Row],[Cuenta Bancaria]],Cuentas!$C:$C,Cuentas!$A:$A,"")&amp;""</f>
        <v>SSP Group</v>
      </c>
      <c r="R469" s="78" t="str">
        <f>_xlfn.XLOOKUP(tblMovimientos[[#This Row],[Cuenta Bancaria]],Cuentas!$C:$C,Cuentas!$B:$B,"",0,-1)&amp;""</f>
        <v>Trust</v>
      </c>
    </row>
    <row r="470" spans="1:18" x14ac:dyDescent="0.3">
      <c r="A470" s="45"/>
      <c r="B470" s="39">
        <v>46205</v>
      </c>
      <c r="C470" s="4" t="str">
        <f>_xlfn.XLOOKUP(tblMovimientos[[#This Row],[Cuenta Bancaria]],Listas!$B:$B,Listas!$A:$A,"")</f>
        <v>Green Harbor Trust</v>
      </c>
      <c r="D470" s="41" t="s">
        <v>125</v>
      </c>
      <c r="E470" s="68" t="str">
        <f>_xlfn.XLOOKUP(tblMovimientos[[#This Row],[Cuenta Bancaria]],Listas!$B:$B,Listas!$C:$C,"")</f>
        <v xml:space="preserve">Amerant Bank </v>
      </c>
      <c r="F470" s="41" t="s">
        <v>10</v>
      </c>
      <c r="G470" s="41" t="s">
        <v>53</v>
      </c>
      <c r="H470" s="4" t="str">
        <f>IFERROR(_xlfn.XLOOKUP(G470,Listas!E:E,Listas!F:F,""),"")</f>
        <v>Inversion</v>
      </c>
      <c r="I470" s="46" t="str">
        <f>IFERROR(_xlfn.XLOOKUP(G470,Listas!E:E,Listas!G:G,""),"")</f>
        <v>Interno</v>
      </c>
      <c r="J470" s="43">
        <v>20000</v>
      </c>
      <c r="K470" s="5">
        <f t="shared" si="7"/>
        <v>-20000</v>
      </c>
      <c r="L470" s="15" t="s">
        <v>129</v>
      </c>
      <c r="M470" s="44">
        <f>SUMIFS('Saldos Iniciales'!$D:$D,'Saldos Iniciales'!$A:$A,C470,'Saldos Iniciales'!$B:$B,D470)+SUMIFS($K$1:$K$1324,$C$1:$C$1324,C470,$D$1:$D$1324,D470,$B$1:$B$1324,"&lt;="&amp;B470)</f>
        <v>345</v>
      </c>
      <c r="N470" s="61" t="str">
        <f>IF(tblMovimientos[[#This Row],[Tipo de Movimiento]]="Ingreso",tblMovimientos[[#This Row],[Monto (S/)]],"0")</f>
        <v>0</v>
      </c>
      <c r="O470" s="61">
        <f>IF(tblMovimientos[[#This Row],[Tipo de Movimiento]]="Egreso",tblMovimientos[[#This Row],[Monto (S/)]],"0")</f>
        <v>20000</v>
      </c>
      <c r="P470" s="28">
        <f>IF(tblMovimientos[[#This Row],[Tipo de Movimiento]]="Ingreso",tblMovimientos[[#This Row],[Ingreso]],-tblMovimientos[[#This Row],[Egreso]])</f>
        <v>-20000</v>
      </c>
      <c r="Q470" s="78" t="str">
        <f>_xlfn.XLOOKUP(tblMovimientos[[#This Row],[Cuenta Bancaria]],Cuentas!$C:$C,Cuentas!$A:$A,"")&amp;""</f>
        <v>SSP Group</v>
      </c>
      <c r="R470" s="78" t="str">
        <f>_xlfn.XLOOKUP(tblMovimientos[[#This Row],[Cuenta Bancaria]],Cuentas!$C:$C,Cuentas!$B:$B,"",0,-1)&amp;""</f>
        <v>Trust</v>
      </c>
    </row>
    <row r="471" spans="1:18" x14ac:dyDescent="0.3">
      <c r="B471" s="39">
        <v>46205</v>
      </c>
      <c r="C471" s="4" t="str">
        <f>_xlfn.XLOOKUP(tblMovimientos[[#This Row],[Cuenta Bancaria]],Listas!$B:$B,Listas!$A:$A,"")</f>
        <v>Go Blue</v>
      </c>
      <c r="D471" s="41" t="s">
        <v>126</v>
      </c>
      <c r="E471" s="68" t="str">
        <f>_xlfn.XLOOKUP(tblMovimientos[[#This Row],[Cuenta Bancaria]],Listas!$B:$B,Listas!$C:$C,"")</f>
        <v xml:space="preserve">Amerant Bank </v>
      </c>
      <c r="F471" s="41" t="s">
        <v>9</v>
      </c>
      <c r="G471" s="41" t="s">
        <v>77</v>
      </c>
      <c r="H471" s="4" t="str">
        <f>IFERROR(_xlfn.XLOOKUP(G471,Listas!E:E,Listas!F:F,""),"")</f>
        <v>Inversion</v>
      </c>
      <c r="I471" s="46" t="str">
        <f>IFERROR(_xlfn.XLOOKUP(G471,Listas!E:E,Listas!G:G,""),"")</f>
        <v>Interno</v>
      </c>
      <c r="J471" s="43">
        <v>20000</v>
      </c>
      <c r="K471" s="5">
        <f t="shared" si="7"/>
        <v>20000</v>
      </c>
      <c r="L471" s="15" t="s">
        <v>129</v>
      </c>
      <c r="M471" s="44">
        <f>SUMIFS('Saldos Iniciales'!$D:$D,'Saldos Iniciales'!$A:$A,C471,'Saldos Iniciales'!$B:$B,D471)+SUMIFS($K$1:$K$1324,$C$1:$C$1324,C471,$D$1:$D$1324,D471,$B$1:$B$1324,"&lt;="&amp;B471)</f>
        <v>31206.370000000003</v>
      </c>
      <c r="N471" s="61">
        <f>IF(tblMovimientos[[#This Row],[Tipo de Movimiento]]="Ingreso",tblMovimientos[[#This Row],[Monto (S/)]],"0")</f>
        <v>20000</v>
      </c>
      <c r="O471" s="61" t="str">
        <f>IF(tblMovimientos[[#This Row],[Tipo de Movimiento]]="Egreso",tblMovimientos[[#This Row],[Monto (S/)]],"0")</f>
        <v>0</v>
      </c>
      <c r="P471" s="28">
        <f>IF(tblMovimientos[[#This Row],[Tipo de Movimiento]]="Ingreso",tblMovimientos[[#This Row],[Ingreso]],-tblMovimientos[[#This Row],[Egreso]])</f>
        <v>20000</v>
      </c>
      <c r="Q471" s="78" t="str">
        <f>_xlfn.XLOOKUP(tblMovimientos[[#This Row],[Cuenta Bancaria]],Cuentas!$C:$C,Cuentas!$A:$A,"")&amp;""</f>
        <v>SSP Group</v>
      </c>
      <c r="R471" s="78" t="str">
        <f>_xlfn.XLOOKUP(tblMovimientos[[#This Row],[Cuenta Bancaria]],Cuentas!$C:$C,Cuentas!$B:$B,"",0,-1)&amp;""</f>
        <v/>
      </c>
    </row>
    <row r="472" spans="1:18" x14ac:dyDescent="0.3">
      <c r="A472" s="45"/>
      <c r="B472" s="39">
        <v>46205</v>
      </c>
      <c r="C472" s="4" t="str">
        <f>_xlfn.XLOOKUP(tblMovimientos[[#This Row],[Cuenta Bancaria]],Listas!$B:$B,Listas!$A:$A,"")</f>
        <v>Go Blue</v>
      </c>
      <c r="D472" s="41" t="s">
        <v>126</v>
      </c>
      <c r="E472" s="68" t="str">
        <f>_xlfn.XLOOKUP(tblMovimientos[[#This Row],[Cuenta Bancaria]],Listas!$B:$B,Listas!$C:$C,"")</f>
        <v xml:space="preserve">Amerant Bank </v>
      </c>
      <c r="F472" s="41" t="s">
        <v>10</v>
      </c>
      <c r="G472" s="41" t="s">
        <v>38</v>
      </c>
      <c r="H472" s="46" t="str">
        <f>IFERROR(_xlfn.XLOOKUP(G472,Listas!E:E,Listas!F:F,""),"")</f>
        <v>Operativo</v>
      </c>
      <c r="I472" s="46" t="str">
        <f>IFERROR(_xlfn.XLOOKUP(G472,Listas!E:E,Listas!G:G,""),"")</f>
        <v>Externo</v>
      </c>
      <c r="J472" s="43">
        <v>2830.5</v>
      </c>
      <c r="K472" s="5">
        <f t="shared" si="7"/>
        <v>-2830.5</v>
      </c>
      <c r="L472" s="15" t="s">
        <v>129</v>
      </c>
      <c r="M472" s="44">
        <f>SUMIFS('Saldos Iniciales'!$D:$D,'Saldos Iniciales'!$A:$A,C472,'Saldos Iniciales'!$B:$B,D472)+SUMIFS($K$1:$K$1324,$C$1:$C$1324,C472,$D$1:$D$1324,D472,$B$1:$B$1324,"&lt;="&amp;B472)</f>
        <v>31206.370000000003</v>
      </c>
      <c r="N472" s="61" t="str">
        <f>IF(tblMovimientos[[#This Row],[Tipo de Movimiento]]="Ingreso",tblMovimientos[[#This Row],[Monto (S/)]],"0")</f>
        <v>0</v>
      </c>
      <c r="O472" s="61">
        <f>IF(tblMovimientos[[#This Row],[Tipo de Movimiento]]="Egreso",tblMovimientos[[#This Row],[Monto (S/)]],"0")</f>
        <v>2830.5</v>
      </c>
      <c r="P472" s="28">
        <f>IF(tblMovimientos[[#This Row],[Tipo de Movimiento]]="Ingreso",tblMovimientos[[#This Row],[Ingreso]],-tblMovimientos[[#This Row],[Egreso]])</f>
        <v>-2830.5</v>
      </c>
      <c r="Q472" s="78" t="str">
        <f>_xlfn.XLOOKUP(tblMovimientos[[#This Row],[Cuenta Bancaria]],Cuentas!$C:$C,Cuentas!$A:$A,"")&amp;""</f>
        <v>SSP Group</v>
      </c>
      <c r="R472" s="78" t="str">
        <f>_xlfn.XLOOKUP(tblMovimientos[[#This Row],[Cuenta Bancaria]],Cuentas!$C:$C,Cuentas!$B:$B,"",0,-1)&amp;""</f>
        <v/>
      </c>
    </row>
    <row r="473" spans="1:18" x14ac:dyDescent="0.3">
      <c r="B473" s="39">
        <v>46205</v>
      </c>
      <c r="C473" s="4" t="str">
        <f>_xlfn.XLOOKUP(tblMovimientos[[#This Row],[Cuenta Bancaria]],Listas!$B:$B,Listas!$A:$A,"")</f>
        <v>Go Blue</v>
      </c>
      <c r="D473" s="41" t="s">
        <v>126</v>
      </c>
      <c r="E473" s="68" t="str">
        <f>_xlfn.XLOOKUP(tblMovimientos[[#This Row],[Cuenta Bancaria]],Listas!$B:$B,Listas!$C:$C,"")</f>
        <v xml:space="preserve">Amerant Bank </v>
      </c>
      <c r="F473" s="41" t="s">
        <v>10</v>
      </c>
      <c r="G473" s="41" t="s">
        <v>38</v>
      </c>
      <c r="H473" s="4" t="str">
        <f>IFERROR(_xlfn.XLOOKUP(G473,Listas!E:E,Listas!F:F,""),"")</f>
        <v>Operativo</v>
      </c>
      <c r="I473" s="46" t="str">
        <f>IFERROR(_xlfn.XLOOKUP(G473,Listas!E:E,Listas!G:G,""),"")</f>
        <v>Externo</v>
      </c>
      <c r="J473" s="43">
        <v>350</v>
      </c>
      <c r="K473" s="5">
        <f t="shared" si="7"/>
        <v>-350</v>
      </c>
      <c r="L473" s="15" t="s">
        <v>129</v>
      </c>
      <c r="M473" s="44">
        <f>SUMIFS('Saldos Iniciales'!$D:$D,'Saldos Iniciales'!$A:$A,C473,'Saldos Iniciales'!$B:$B,D473)+SUMIFS($K$1:$K$1324,$C$1:$C$1324,C473,$D$1:$D$1324,D473,$B$1:$B$1324,"&lt;="&amp;B473)</f>
        <v>31206.370000000003</v>
      </c>
      <c r="N473" s="61" t="str">
        <f>IF(tblMovimientos[[#This Row],[Tipo de Movimiento]]="Ingreso",tblMovimientos[[#This Row],[Monto (S/)]],"0")</f>
        <v>0</v>
      </c>
      <c r="O473" s="61">
        <f>IF(tblMovimientos[[#This Row],[Tipo de Movimiento]]="Egreso",tblMovimientos[[#This Row],[Monto (S/)]],"0")</f>
        <v>350</v>
      </c>
      <c r="P473" s="28">
        <f>IF(tblMovimientos[[#This Row],[Tipo de Movimiento]]="Ingreso",tblMovimientos[[#This Row],[Ingreso]],-tblMovimientos[[#This Row],[Egreso]])</f>
        <v>-350</v>
      </c>
      <c r="Q473" s="78" t="str">
        <f>_xlfn.XLOOKUP(tblMovimientos[[#This Row],[Cuenta Bancaria]],Cuentas!$C:$C,Cuentas!$A:$A,"")&amp;""</f>
        <v>SSP Group</v>
      </c>
      <c r="R473" s="78" t="str">
        <f>_xlfn.XLOOKUP(tblMovimientos[[#This Row],[Cuenta Bancaria]],Cuentas!$C:$C,Cuentas!$B:$B,"",0,-1)&amp;""</f>
        <v/>
      </c>
    </row>
    <row r="474" spans="1:18" x14ac:dyDescent="0.3">
      <c r="B474" s="39">
        <v>46205</v>
      </c>
      <c r="C474" s="4" t="str">
        <f>_xlfn.XLOOKUP(tblMovimientos[[#This Row],[Cuenta Bancaria]],Listas!$B:$B,Listas!$A:$A,"")</f>
        <v>Go Blue</v>
      </c>
      <c r="D474" s="41" t="s">
        <v>126</v>
      </c>
      <c r="E474" s="68" t="str">
        <f>_xlfn.XLOOKUP(tblMovimientos[[#This Row],[Cuenta Bancaria]],Listas!$B:$B,Listas!$C:$C,"")</f>
        <v xml:space="preserve">Amerant Bank </v>
      </c>
      <c r="F474" s="41" t="s">
        <v>10</v>
      </c>
      <c r="G474" s="41" t="s">
        <v>38</v>
      </c>
      <c r="H474" s="4" t="str">
        <f>IFERROR(_xlfn.XLOOKUP(G474,Listas!E:E,Listas!F:F,""),"")</f>
        <v>Operativo</v>
      </c>
      <c r="I474" s="46" t="str">
        <f>IFERROR(_xlfn.XLOOKUP(G474,Listas!E:E,Listas!G:G,""),"")</f>
        <v>Externo</v>
      </c>
      <c r="J474" s="43">
        <v>610</v>
      </c>
      <c r="K474" s="5">
        <f t="shared" si="7"/>
        <v>-610</v>
      </c>
      <c r="L474" s="15" t="s">
        <v>129</v>
      </c>
      <c r="M474" s="44">
        <f>SUMIFS('Saldos Iniciales'!$D:$D,'Saldos Iniciales'!$A:$A,C474,'Saldos Iniciales'!$B:$B,D474)+SUMIFS($K$1:$K$1324,$C$1:$C$1324,C474,$D$1:$D$1324,D474,$B$1:$B$1324,"&lt;="&amp;B474)</f>
        <v>31206.370000000003</v>
      </c>
      <c r="N474" s="61" t="str">
        <f>IF(tblMovimientos[[#This Row],[Tipo de Movimiento]]="Ingreso",tblMovimientos[[#This Row],[Monto (S/)]],"0")</f>
        <v>0</v>
      </c>
      <c r="O474" s="61">
        <f>IF(tblMovimientos[[#This Row],[Tipo de Movimiento]]="Egreso",tblMovimientos[[#This Row],[Monto (S/)]],"0")</f>
        <v>610</v>
      </c>
      <c r="P474" s="28">
        <f>IF(tblMovimientos[[#This Row],[Tipo de Movimiento]]="Ingreso",tblMovimientos[[#This Row],[Ingreso]],-tblMovimientos[[#This Row],[Egreso]])</f>
        <v>-610</v>
      </c>
      <c r="Q474" s="78" t="str">
        <f>_xlfn.XLOOKUP(tblMovimientos[[#This Row],[Cuenta Bancaria]],Cuentas!$C:$C,Cuentas!$A:$A,"")&amp;""</f>
        <v>SSP Group</v>
      </c>
      <c r="R474" s="78" t="str">
        <f>_xlfn.XLOOKUP(tblMovimientos[[#This Row],[Cuenta Bancaria]],Cuentas!$C:$C,Cuentas!$B:$B,"",0,-1)&amp;""</f>
        <v/>
      </c>
    </row>
    <row r="475" spans="1:18" x14ac:dyDescent="0.3">
      <c r="B475" s="39">
        <v>46205</v>
      </c>
      <c r="C475" s="4" t="str">
        <f>_xlfn.XLOOKUP(tblMovimientos[[#This Row],[Cuenta Bancaria]],Listas!$B:$B,Listas!$A:$A,"")</f>
        <v>Go Blue</v>
      </c>
      <c r="D475" s="41" t="s">
        <v>126</v>
      </c>
      <c r="E475" s="68" t="str">
        <f>_xlfn.XLOOKUP(tblMovimientos[[#This Row],[Cuenta Bancaria]],Listas!$B:$B,Listas!$C:$C,"")</f>
        <v xml:space="preserve">Amerant Bank </v>
      </c>
      <c r="F475" s="41" t="s">
        <v>10</v>
      </c>
      <c r="G475" s="41" t="s">
        <v>44</v>
      </c>
      <c r="H475" s="4" t="str">
        <f>IFERROR(_xlfn.XLOOKUP(G475,Listas!E:E,Listas!F:F,""),"")</f>
        <v>Operativo</v>
      </c>
      <c r="I475" s="46" t="str">
        <f>IFERROR(_xlfn.XLOOKUP(G475,Listas!E:E,Listas!G:G,""),"")</f>
        <v>Externo</v>
      </c>
      <c r="J475" s="43">
        <v>15</v>
      </c>
      <c r="K475" s="5">
        <f t="shared" si="7"/>
        <v>-15</v>
      </c>
      <c r="L475" s="15" t="s">
        <v>129</v>
      </c>
      <c r="M475" s="44">
        <f>SUMIFS('Saldos Iniciales'!$D:$D,'Saldos Iniciales'!$A:$A,C475,'Saldos Iniciales'!$B:$B,D475)+SUMIFS($K$1:$K$1324,$C$1:$C$1324,C475,$D$1:$D$1324,D475,$B$1:$B$1324,"&lt;="&amp;B475)</f>
        <v>31206.370000000003</v>
      </c>
      <c r="N475" s="61" t="str">
        <f>IF(tblMovimientos[[#This Row],[Tipo de Movimiento]]="Ingreso",tblMovimientos[[#This Row],[Monto (S/)]],"0")</f>
        <v>0</v>
      </c>
      <c r="O475" s="61">
        <f>IF(tblMovimientos[[#This Row],[Tipo de Movimiento]]="Egreso",tblMovimientos[[#This Row],[Monto (S/)]],"0")</f>
        <v>15</v>
      </c>
      <c r="P475" s="28">
        <f>IF(tblMovimientos[[#This Row],[Tipo de Movimiento]]="Ingreso",tblMovimientos[[#This Row],[Ingreso]],-tblMovimientos[[#This Row],[Egreso]])</f>
        <v>-15</v>
      </c>
      <c r="Q475" s="78" t="str">
        <f>_xlfn.XLOOKUP(tblMovimientos[[#This Row],[Cuenta Bancaria]],Cuentas!$C:$C,Cuentas!$A:$A,"")&amp;""</f>
        <v>SSP Group</v>
      </c>
      <c r="R475" s="78" t="str">
        <f>_xlfn.XLOOKUP(tblMovimientos[[#This Row],[Cuenta Bancaria]],Cuentas!$C:$C,Cuentas!$B:$B,"",0,-1)&amp;""</f>
        <v/>
      </c>
    </row>
    <row r="476" spans="1:18" x14ac:dyDescent="0.3">
      <c r="B476" s="39">
        <v>46205</v>
      </c>
      <c r="C476" s="4" t="str">
        <f>_xlfn.XLOOKUP(tblMovimientos[[#This Row],[Cuenta Bancaria]],Listas!$B:$B,Listas!$A:$A,"")</f>
        <v>Go Blue</v>
      </c>
      <c r="D476" s="41" t="s">
        <v>126</v>
      </c>
      <c r="E476" s="68" t="str">
        <f>_xlfn.XLOOKUP(tblMovimientos[[#This Row],[Cuenta Bancaria]],Listas!$B:$B,Listas!$C:$C,"")</f>
        <v xml:space="preserve">Amerant Bank </v>
      </c>
      <c r="F476" s="41" t="s">
        <v>10</v>
      </c>
      <c r="G476" s="41" t="s">
        <v>38</v>
      </c>
      <c r="H476" s="4" t="str">
        <f>IFERROR(_xlfn.XLOOKUP(G476,Listas!E:E,Listas!F:F,""),"")</f>
        <v>Operativo</v>
      </c>
      <c r="I476" s="46" t="str">
        <f>IFERROR(_xlfn.XLOOKUP(G476,Listas!E:E,Listas!G:G,""),"")</f>
        <v>Externo</v>
      </c>
      <c r="J476" s="43">
        <v>82.98</v>
      </c>
      <c r="K476" s="5">
        <f t="shared" si="7"/>
        <v>-82.98</v>
      </c>
      <c r="L476" s="15" t="s">
        <v>129</v>
      </c>
      <c r="M476" s="44">
        <f>SUMIFS('Saldos Iniciales'!$D:$D,'Saldos Iniciales'!$A:$A,C476,'Saldos Iniciales'!$B:$B,D476)+SUMIFS($K$1:$K$1324,$C$1:$C$1324,C476,$D$1:$D$1324,D476,$B$1:$B$1324,"&lt;="&amp;B476)</f>
        <v>31206.370000000003</v>
      </c>
      <c r="N476" s="61" t="str">
        <f>IF(tblMovimientos[[#This Row],[Tipo de Movimiento]]="Ingreso",tblMovimientos[[#This Row],[Monto (S/)]],"0")</f>
        <v>0</v>
      </c>
      <c r="O476" s="61">
        <f>IF(tblMovimientos[[#This Row],[Tipo de Movimiento]]="Egreso",tblMovimientos[[#This Row],[Monto (S/)]],"0")</f>
        <v>82.98</v>
      </c>
      <c r="P476" s="28">
        <f>IF(tblMovimientos[[#This Row],[Tipo de Movimiento]]="Ingreso",tblMovimientos[[#This Row],[Ingreso]],-tblMovimientos[[#This Row],[Egreso]])</f>
        <v>-82.98</v>
      </c>
      <c r="Q476" s="78" t="str">
        <f>_xlfn.XLOOKUP(tblMovimientos[[#This Row],[Cuenta Bancaria]],Cuentas!$C:$C,Cuentas!$A:$A,"")&amp;""</f>
        <v>SSP Group</v>
      </c>
      <c r="R476" s="78" t="str">
        <f>_xlfn.XLOOKUP(tblMovimientos[[#This Row],[Cuenta Bancaria]],Cuentas!$C:$C,Cuentas!$B:$B,"",0,-1)&amp;""</f>
        <v/>
      </c>
    </row>
    <row r="477" spans="1:18" x14ac:dyDescent="0.3">
      <c r="B477" s="39">
        <v>46205</v>
      </c>
      <c r="C477" s="4" t="str">
        <f>_xlfn.XLOOKUP(tblMovimientos[[#This Row],[Cuenta Bancaria]],Listas!$B:$B,Listas!$A:$A,"")</f>
        <v>Go Blue</v>
      </c>
      <c r="D477" s="41" t="s">
        <v>126</v>
      </c>
      <c r="E477" s="68" t="str">
        <f>_xlfn.XLOOKUP(tblMovimientos[[#This Row],[Cuenta Bancaria]],Listas!$B:$B,Listas!$C:$C,"")</f>
        <v xml:space="preserve">Amerant Bank </v>
      </c>
      <c r="F477" s="41" t="s">
        <v>10</v>
      </c>
      <c r="G477" s="41" t="s">
        <v>38</v>
      </c>
      <c r="H477" s="4" t="str">
        <f>IFERROR(_xlfn.XLOOKUP(G477,Listas!E:E,Listas!F:F,""),"")</f>
        <v>Operativo</v>
      </c>
      <c r="I477" s="46" t="str">
        <f>IFERROR(_xlfn.XLOOKUP(G477,Listas!E:E,Listas!G:G,""),"")</f>
        <v>Externo</v>
      </c>
      <c r="J477" s="43">
        <v>3309.58</v>
      </c>
      <c r="K477" s="5">
        <f t="shared" si="7"/>
        <v>-3309.58</v>
      </c>
      <c r="L477" s="15" t="s">
        <v>129</v>
      </c>
      <c r="M477" s="44">
        <f>SUMIFS('Saldos Iniciales'!$D:$D,'Saldos Iniciales'!$A:$A,C477,'Saldos Iniciales'!$B:$B,D477)+SUMIFS($K$1:$K$1324,$C$1:$C$1324,C477,$D$1:$D$1324,D477,$B$1:$B$1324,"&lt;="&amp;B477)</f>
        <v>31206.370000000003</v>
      </c>
      <c r="N477" s="61" t="str">
        <f>IF(tblMovimientos[[#This Row],[Tipo de Movimiento]]="Ingreso",tblMovimientos[[#This Row],[Monto (S/)]],"0")</f>
        <v>0</v>
      </c>
      <c r="O477" s="61">
        <f>IF(tblMovimientos[[#This Row],[Tipo de Movimiento]]="Egreso",tblMovimientos[[#This Row],[Monto (S/)]],"0")</f>
        <v>3309.58</v>
      </c>
      <c r="P477" s="28">
        <f>IF(tblMovimientos[[#This Row],[Tipo de Movimiento]]="Ingreso",tblMovimientos[[#This Row],[Ingreso]],-tblMovimientos[[#This Row],[Egreso]])</f>
        <v>-3309.58</v>
      </c>
      <c r="Q477" s="78" t="str">
        <f>_xlfn.XLOOKUP(tblMovimientos[[#This Row],[Cuenta Bancaria]],Cuentas!$C:$C,Cuentas!$A:$A,"")&amp;""</f>
        <v>SSP Group</v>
      </c>
      <c r="R477" s="78" t="str">
        <f>_xlfn.XLOOKUP(tblMovimientos[[#This Row],[Cuenta Bancaria]],Cuentas!$C:$C,Cuentas!$B:$B,"",0,-1)&amp;""</f>
        <v/>
      </c>
    </row>
    <row r="478" spans="1:18" x14ac:dyDescent="0.3">
      <c r="B478" s="39">
        <v>46205</v>
      </c>
      <c r="C478" s="4" t="str">
        <f>_xlfn.XLOOKUP(tblMovimientos[[#This Row],[Cuenta Bancaria]],Listas!$B:$B,Listas!$A:$A,"")</f>
        <v>3628 Thomas Ave</v>
      </c>
      <c r="D478" s="41" t="s">
        <v>124</v>
      </c>
      <c r="E478" s="68" t="str">
        <f>_xlfn.XLOOKUP(tblMovimientos[[#This Row],[Cuenta Bancaria]],Listas!$B:$B,Listas!$C:$C,"")</f>
        <v>Bank of America</v>
      </c>
      <c r="F478" s="41" t="s">
        <v>9</v>
      </c>
      <c r="G478" s="41" t="s">
        <v>81</v>
      </c>
      <c r="H478" s="4" t="s">
        <v>88</v>
      </c>
      <c r="I478" s="46" t="s">
        <v>152</v>
      </c>
      <c r="J478" s="43">
        <v>4400</v>
      </c>
      <c r="K478" s="5">
        <f t="shared" si="7"/>
        <v>4400</v>
      </c>
      <c r="L478" s="15" t="s">
        <v>129</v>
      </c>
      <c r="M478" s="44">
        <f>SUMIFS('Saldos Iniciales'!$D:$D,'Saldos Iniciales'!$A:$A,C478,'Saldos Iniciales'!$B:$B,D478)+SUMIFS($K$1:$K$1324,$C$1:$C$1324,C478,$D$1:$D$1324,D478,$B$1:$B$1324,"&lt;="&amp;B478)</f>
        <v>28485.559999999998</v>
      </c>
      <c r="N478" s="61">
        <f>IF(tblMovimientos[[#This Row],[Tipo de Movimiento]]="Ingreso",tblMovimientos[[#This Row],[Monto (S/)]],"0")</f>
        <v>4400</v>
      </c>
      <c r="O478" s="61" t="str">
        <f>IF(tblMovimientos[[#This Row],[Tipo de Movimiento]]="Egreso",tblMovimientos[[#This Row],[Monto (S/)]],"0")</f>
        <v>0</v>
      </c>
      <c r="P478" s="28">
        <f>IF(tblMovimientos[[#This Row],[Tipo de Movimiento]]="Ingreso",tblMovimientos[[#This Row],[Ingreso]],-tblMovimientos[[#This Row],[Egreso]])</f>
        <v>4400</v>
      </c>
      <c r="Q478" s="78" t="str">
        <f>_xlfn.XLOOKUP(tblMovimientos[[#This Row],[Cuenta Bancaria]],Cuentas!$C:$C,Cuentas!$A:$A,"")&amp;""</f>
        <v>SSP Group</v>
      </c>
      <c r="R478" s="78" t="str">
        <f>_xlfn.XLOOKUP(tblMovimientos[[#This Row],[Cuenta Bancaria]],Cuentas!$C:$C,Cuentas!$B:$B,"",0,-1)&amp;""</f>
        <v/>
      </c>
    </row>
    <row r="479" spans="1:18" x14ac:dyDescent="0.3">
      <c r="B479" s="39">
        <v>46206</v>
      </c>
      <c r="C479" s="4" t="str">
        <f>_xlfn.XLOOKUP(tblMovimientos[[#This Row],[Cuenta Bancaria]],Listas!$B:$B,Listas!$A:$A,"")</f>
        <v>Go Blue</v>
      </c>
      <c r="D479" s="41" t="s">
        <v>126</v>
      </c>
      <c r="E479" s="68" t="str">
        <f>_xlfn.XLOOKUP(tblMovimientos[[#This Row],[Cuenta Bancaria]],Listas!$B:$B,Listas!$C:$C,"")</f>
        <v xml:space="preserve">Amerant Bank </v>
      </c>
      <c r="F479" s="41" t="s">
        <v>10</v>
      </c>
      <c r="G479" s="41" t="s">
        <v>38</v>
      </c>
      <c r="H479" s="4" t="str">
        <f>IFERROR(_xlfn.XLOOKUP(G479,Listas!E:E,Listas!F:F,""),"")</f>
        <v>Operativo</v>
      </c>
      <c r="I479" s="46" t="str">
        <f>IFERROR(_xlfn.XLOOKUP(G479,Listas!E:E,Listas!G:G,""),"")</f>
        <v>Externo</v>
      </c>
      <c r="J479" s="43">
        <v>2363.85</v>
      </c>
      <c r="K479" s="5">
        <f t="shared" si="7"/>
        <v>-2363.85</v>
      </c>
      <c r="L479" s="15" t="s">
        <v>129</v>
      </c>
      <c r="M479" s="44">
        <f>SUMIFS('Saldos Iniciales'!$D:$D,'Saldos Iniciales'!$A:$A,C479,'Saldos Iniciales'!$B:$B,D479)+SUMIFS($K$1:$K$1324,$C$1:$C$1324,C479,$D$1:$D$1324,D479,$B$1:$B$1324,"&lt;="&amp;B479)</f>
        <v>28842.52</v>
      </c>
      <c r="N479" s="61" t="str">
        <f>IF(tblMovimientos[[#This Row],[Tipo de Movimiento]]="Ingreso",tblMovimientos[[#This Row],[Monto (S/)]],"0")</f>
        <v>0</v>
      </c>
      <c r="O479" s="61">
        <f>IF(tblMovimientos[[#This Row],[Tipo de Movimiento]]="Egreso",tblMovimientos[[#This Row],[Monto (S/)]],"0")</f>
        <v>2363.85</v>
      </c>
      <c r="P479" s="28">
        <f>IF(tblMovimientos[[#This Row],[Tipo de Movimiento]]="Ingreso",tblMovimientos[[#This Row],[Ingreso]],-tblMovimientos[[#This Row],[Egreso]])</f>
        <v>-2363.85</v>
      </c>
      <c r="Q479" s="78" t="str">
        <f>_xlfn.XLOOKUP(tblMovimientos[[#This Row],[Cuenta Bancaria]],Cuentas!$C:$C,Cuentas!$A:$A,"")&amp;""</f>
        <v>SSP Group</v>
      </c>
      <c r="R479" s="78" t="str">
        <f>_xlfn.XLOOKUP(tblMovimientos[[#This Row],[Cuenta Bancaria]],Cuentas!$C:$C,Cuentas!$B:$B,"",0,-1)&amp;""</f>
        <v/>
      </c>
    </row>
    <row r="480" spans="1:18" x14ac:dyDescent="0.3">
      <c r="B480" s="39">
        <v>46206</v>
      </c>
      <c r="C480" s="4" t="str">
        <f>_xlfn.XLOOKUP(tblMovimientos[[#This Row],[Cuenta Bancaria]],Listas!$B:$B,Listas!$A:$A,"")</f>
        <v>Go Blue</v>
      </c>
      <c r="D480" s="41" t="s">
        <v>165</v>
      </c>
      <c r="E480" s="68" t="str">
        <f>_xlfn.XLOOKUP(tblMovimientos[[#This Row],[Cuenta Bancaria]],Listas!$B:$B,Listas!$C:$C,"")</f>
        <v xml:space="preserve">Amerant Bank </v>
      </c>
      <c r="F480" s="41" t="s">
        <v>10</v>
      </c>
      <c r="G480" s="41" t="s">
        <v>38</v>
      </c>
      <c r="H480" s="4" t="str">
        <f>IFERROR(_xlfn.XLOOKUP(G480,Listas!E:E,Listas!F:F,""),"")</f>
        <v>Operativo</v>
      </c>
      <c r="I480" s="46" t="str">
        <f>IFERROR(_xlfn.XLOOKUP(G480,Listas!E:E,Listas!G:G,""),"")</f>
        <v>Externo</v>
      </c>
      <c r="J480" s="43">
        <v>229.15</v>
      </c>
      <c r="K480" s="5">
        <f t="shared" si="7"/>
        <v>-229.15</v>
      </c>
      <c r="L480" s="15" t="s">
        <v>129</v>
      </c>
      <c r="M480" s="44">
        <f>SUMIFS('Saldos Iniciales'!$D:$D,'Saldos Iniciales'!$A:$A,C480,'Saldos Iniciales'!$B:$B,D480)+SUMIFS($K$1:$K$1324,$C$1:$C$1324,C480,$D$1:$D$1324,D480,$B$1:$B$1324,"&lt;="&amp;B480)</f>
        <v>4276.5200000000004</v>
      </c>
      <c r="N480" s="61" t="str">
        <f>IF(tblMovimientos[[#This Row],[Tipo de Movimiento]]="Ingreso",tblMovimientos[[#This Row],[Monto (S/)]],"0")</f>
        <v>0</v>
      </c>
      <c r="O480" s="61">
        <f>IF(tblMovimientos[[#This Row],[Tipo de Movimiento]]="Egreso",tblMovimientos[[#This Row],[Monto (S/)]],"0")</f>
        <v>229.15</v>
      </c>
      <c r="P480" s="28">
        <f>IF(tblMovimientos[[#This Row],[Tipo de Movimiento]]="Ingreso",tblMovimientos[[#This Row],[Ingreso]],-tblMovimientos[[#This Row],[Egreso]])</f>
        <v>-229.15</v>
      </c>
      <c r="Q480" s="78" t="str">
        <f>_xlfn.XLOOKUP(tblMovimientos[[#This Row],[Cuenta Bancaria]],Cuentas!$C:$C,Cuentas!$A:$A,"")&amp;""</f>
        <v>SSP Group</v>
      </c>
      <c r="R480" s="78" t="str">
        <f>_xlfn.XLOOKUP(tblMovimientos[[#This Row],[Cuenta Bancaria]],Cuentas!$C:$C,Cuentas!$B:$B,"",0,-1)&amp;""</f>
        <v/>
      </c>
    </row>
    <row r="481" spans="2:18" x14ac:dyDescent="0.3">
      <c r="B481" s="39">
        <v>46206</v>
      </c>
      <c r="C481" s="4" t="str">
        <f>_xlfn.XLOOKUP(tblMovimientos[[#This Row],[Cuenta Bancaria]],Listas!$B:$B,Listas!$A:$A,"")</f>
        <v>Go Blue</v>
      </c>
      <c r="D481" s="41" t="s">
        <v>165</v>
      </c>
      <c r="E481" s="68" t="str">
        <f>_xlfn.XLOOKUP(tblMovimientos[[#This Row],[Cuenta Bancaria]],Listas!$B:$B,Listas!$C:$C,"")</f>
        <v xml:space="preserve">Amerant Bank </v>
      </c>
      <c r="F481" s="41" t="s">
        <v>10</v>
      </c>
      <c r="G481" s="41" t="s">
        <v>38</v>
      </c>
      <c r="H481" s="4" t="str">
        <f>IFERROR(_xlfn.XLOOKUP(G481,Listas!E:E,Listas!F:F,""),"")</f>
        <v>Operativo</v>
      </c>
      <c r="I481" s="46" t="str">
        <f>IFERROR(_xlfn.XLOOKUP(G481,Listas!E:E,Listas!G:G,""),"")</f>
        <v>Externo</v>
      </c>
      <c r="J481" s="43">
        <v>499.22</v>
      </c>
      <c r="K481" s="5">
        <f t="shared" si="7"/>
        <v>-499.22</v>
      </c>
      <c r="L481" s="15" t="s">
        <v>129</v>
      </c>
      <c r="M481" s="44">
        <f>SUMIFS('Saldos Iniciales'!$D:$D,'Saldos Iniciales'!$A:$A,C481,'Saldos Iniciales'!$B:$B,D481)+SUMIFS($K$1:$K$1324,$C$1:$C$1324,C481,$D$1:$D$1324,D481,$B$1:$B$1324,"&lt;="&amp;B481)</f>
        <v>4276.5200000000004</v>
      </c>
      <c r="N481" s="61" t="str">
        <f>IF(tblMovimientos[[#This Row],[Tipo de Movimiento]]="Ingreso",tblMovimientos[[#This Row],[Monto (S/)]],"0")</f>
        <v>0</v>
      </c>
      <c r="O481" s="61">
        <f>IF(tblMovimientos[[#This Row],[Tipo de Movimiento]]="Egreso",tblMovimientos[[#This Row],[Monto (S/)]],"0")</f>
        <v>499.22</v>
      </c>
      <c r="P481" s="28">
        <f>IF(tblMovimientos[[#This Row],[Tipo de Movimiento]]="Ingreso",tblMovimientos[[#This Row],[Ingreso]],-tblMovimientos[[#This Row],[Egreso]])</f>
        <v>-499.22</v>
      </c>
      <c r="Q481" s="78" t="str">
        <f>_xlfn.XLOOKUP(tblMovimientos[[#This Row],[Cuenta Bancaria]],Cuentas!$C:$C,Cuentas!$A:$A,"")&amp;""</f>
        <v>SSP Group</v>
      </c>
      <c r="R481" s="78" t="str">
        <f>_xlfn.XLOOKUP(tblMovimientos[[#This Row],[Cuenta Bancaria]],Cuentas!$C:$C,Cuentas!$B:$B,"",0,-1)&amp;""</f>
        <v/>
      </c>
    </row>
    <row r="482" spans="2:18" x14ac:dyDescent="0.3">
      <c r="B482" s="39">
        <v>46206</v>
      </c>
      <c r="C482" s="4" t="str">
        <f>_xlfn.XLOOKUP(tblMovimientos[[#This Row],[Cuenta Bancaria]],Listas!$B:$B,Listas!$A:$A,"")</f>
        <v>Go Blue</v>
      </c>
      <c r="D482" s="41" t="s">
        <v>165</v>
      </c>
      <c r="E482" s="68" t="str">
        <f>_xlfn.XLOOKUP(tblMovimientos[[#This Row],[Cuenta Bancaria]],Listas!$B:$B,Listas!$C:$C,"")</f>
        <v xml:space="preserve">Amerant Bank </v>
      </c>
      <c r="F482" s="41" t="s">
        <v>10</v>
      </c>
      <c r="G482" s="41" t="s">
        <v>38</v>
      </c>
      <c r="H482" s="4" t="str">
        <f>IFERROR(_xlfn.XLOOKUP(G482,Listas!E:E,Listas!F:F,""),"")</f>
        <v>Operativo</v>
      </c>
      <c r="I482" s="46" t="str">
        <f>IFERROR(_xlfn.XLOOKUP(G482,Listas!E:E,Listas!G:G,""),"")</f>
        <v>Externo</v>
      </c>
      <c r="J482" s="43">
        <v>29.96</v>
      </c>
      <c r="K482" s="5">
        <f t="shared" si="7"/>
        <v>-29.96</v>
      </c>
      <c r="L482" s="15" t="s">
        <v>129</v>
      </c>
      <c r="M482" s="44">
        <f>SUMIFS('Saldos Iniciales'!$D:$D,'Saldos Iniciales'!$A:$A,C482,'Saldos Iniciales'!$B:$B,D482)+SUMIFS($K$1:$K$1324,$C$1:$C$1324,C482,$D$1:$D$1324,D482,$B$1:$B$1324,"&lt;="&amp;B482)</f>
        <v>4276.5200000000004</v>
      </c>
      <c r="N482" s="61" t="str">
        <f>IF(tblMovimientos[[#This Row],[Tipo de Movimiento]]="Ingreso",tblMovimientos[[#This Row],[Monto (S/)]],"0")</f>
        <v>0</v>
      </c>
      <c r="O482" s="61">
        <f>IF(tblMovimientos[[#This Row],[Tipo de Movimiento]]="Egreso",tblMovimientos[[#This Row],[Monto (S/)]],"0")</f>
        <v>29.96</v>
      </c>
      <c r="P482" s="28">
        <f>IF(tblMovimientos[[#This Row],[Tipo de Movimiento]]="Ingreso",tblMovimientos[[#This Row],[Ingreso]],-tblMovimientos[[#This Row],[Egreso]])</f>
        <v>-29.96</v>
      </c>
      <c r="Q482" s="78" t="str">
        <f>_xlfn.XLOOKUP(tblMovimientos[[#This Row],[Cuenta Bancaria]],Cuentas!$C:$C,Cuentas!$A:$A,"")&amp;""</f>
        <v>SSP Group</v>
      </c>
      <c r="R482" s="78" t="str">
        <f>_xlfn.XLOOKUP(tblMovimientos[[#This Row],[Cuenta Bancaria]],Cuentas!$C:$C,Cuentas!$B:$B,"",0,-1)&amp;""</f>
        <v/>
      </c>
    </row>
    <row r="483" spans="2:18" x14ac:dyDescent="0.3">
      <c r="B483" s="39">
        <v>46206</v>
      </c>
      <c r="C483" s="4" t="str">
        <f>_xlfn.XLOOKUP(tblMovimientos[[#This Row],[Cuenta Bancaria]],Listas!$B:$B,Listas!$A:$A,"")</f>
        <v>Electrama</v>
      </c>
      <c r="D483" s="41" t="s">
        <v>113</v>
      </c>
      <c r="E483" s="68" t="str">
        <f>_xlfn.XLOOKUP(tblMovimientos[[#This Row],[Cuenta Bancaria]],Listas!$B:$B,Listas!$C:$C,"")</f>
        <v>Chase Bank</v>
      </c>
      <c r="F483" s="41" t="s">
        <v>10</v>
      </c>
      <c r="G483" s="41" t="s">
        <v>44</v>
      </c>
      <c r="H483" s="4" t="str">
        <f>IFERROR(_xlfn.XLOOKUP(G483,Listas!E:E,Listas!F:F,""),"")</f>
        <v>Operativo</v>
      </c>
      <c r="I483" s="46" t="str">
        <f>IFERROR(_xlfn.XLOOKUP(G483,Listas!E:E,Listas!G:G,""),"")</f>
        <v>Externo</v>
      </c>
      <c r="J483" s="43">
        <v>40</v>
      </c>
      <c r="K483" s="5">
        <f t="shared" si="7"/>
        <v>-40</v>
      </c>
      <c r="L483" s="15" t="s">
        <v>129</v>
      </c>
      <c r="M483" s="44">
        <f>SUMIFS('Saldos Iniciales'!$D:$D,'Saldos Iniciales'!$A:$A,C483,'Saldos Iniciales'!$B:$B,D483)+SUMIFS($K$1:$K$1324,$C$1:$C$1324,C483,$D$1:$D$1324,D483,$B$1:$B$1324,"&lt;="&amp;B483)</f>
        <v>471.15999999999985</v>
      </c>
      <c r="N483" s="61" t="str">
        <f>IF(tblMovimientos[[#This Row],[Tipo de Movimiento]]="Ingreso",tblMovimientos[[#This Row],[Monto (S/)]],"0")</f>
        <v>0</v>
      </c>
      <c r="O483" s="61">
        <f>IF(tblMovimientos[[#This Row],[Tipo de Movimiento]]="Egreso",tblMovimientos[[#This Row],[Monto (S/)]],"0")</f>
        <v>40</v>
      </c>
      <c r="P483" s="28">
        <f>IF(tblMovimientos[[#This Row],[Tipo de Movimiento]]="Ingreso",tblMovimientos[[#This Row],[Ingreso]],-tblMovimientos[[#This Row],[Egreso]])</f>
        <v>-40</v>
      </c>
      <c r="Q483" s="78" t="str">
        <f>_xlfn.XLOOKUP(tblMovimientos[[#This Row],[Cuenta Bancaria]],Cuentas!$C:$C,Cuentas!$A:$A,"")&amp;""</f>
        <v>SSP Group</v>
      </c>
      <c r="R483" s="78" t="str">
        <f>_xlfn.XLOOKUP(tblMovimientos[[#This Row],[Cuenta Bancaria]],Cuentas!$C:$C,Cuentas!$B:$B,"",0,-1)&amp;""</f>
        <v/>
      </c>
    </row>
    <row r="484" spans="2:18" x14ac:dyDescent="0.3">
      <c r="B484" s="39">
        <v>46209</v>
      </c>
      <c r="C484" s="4" t="str">
        <f>_xlfn.XLOOKUP(tblMovimientos[[#This Row],[Cuenta Bancaria]],Listas!$B:$B,Listas!$A:$A,"")</f>
        <v>SSP Capital</v>
      </c>
      <c r="D484" s="41" t="s">
        <v>101</v>
      </c>
      <c r="E484" s="68" t="str">
        <f>_xlfn.XLOOKUP(tblMovimientos[[#This Row],[Cuenta Bancaria]],Listas!$B:$B,Listas!$C:$C,"")</f>
        <v>Bank of America</v>
      </c>
      <c r="F484" s="41" t="s">
        <v>10</v>
      </c>
      <c r="G484" s="41" t="s">
        <v>38</v>
      </c>
      <c r="H484" s="4" t="str">
        <f>IFERROR(_xlfn.XLOOKUP(G484,Listas!E:E,Listas!F:F,""),"")</f>
        <v>Operativo</v>
      </c>
      <c r="I484" s="46" t="str">
        <f>IFERROR(_xlfn.XLOOKUP(G484,Listas!E:E,Listas!G:G,""),"")</f>
        <v>Externo</v>
      </c>
      <c r="J484" s="43">
        <v>538.41999999999996</v>
      </c>
      <c r="K484" s="5">
        <f t="shared" si="7"/>
        <v>-538.41999999999996</v>
      </c>
      <c r="L484" s="15" t="s">
        <v>129</v>
      </c>
      <c r="M484" s="44">
        <f>SUMIFS('Saldos Iniciales'!$D:$D,'Saldos Iniciales'!$A:$A,C484,'Saldos Iniciales'!$B:$B,D484)+SUMIFS($K$1:$K$1324,$C$1:$C$1324,C484,$D$1:$D$1324,D484,$B$1:$B$1324,"&lt;="&amp;B484)</f>
        <v>22518.97</v>
      </c>
      <c r="N484" s="61" t="str">
        <f>IF(tblMovimientos[[#This Row],[Tipo de Movimiento]]="Ingreso",tblMovimientos[[#This Row],[Monto (S/)]],"0")</f>
        <v>0</v>
      </c>
      <c r="O484" s="61">
        <f>IF(tblMovimientos[[#This Row],[Tipo de Movimiento]]="Egreso",tblMovimientos[[#This Row],[Monto (S/)]],"0")</f>
        <v>538.41999999999996</v>
      </c>
      <c r="P484" s="28">
        <f>IF(tblMovimientos[[#This Row],[Tipo de Movimiento]]="Ingreso",tblMovimientos[[#This Row],[Ingreso]],-tblMovimientos[[#This Row],[Egreso]])</f>
        <v>-538.41999999999996</v>
      </c>
      <c r="Q484" s="78" t="str">
        <f>_xlfn.XLOOKUP(tblMovimientos[[#This Row],[Cuenta Bancaria]],Cuentas!$C:$C,Cuentas!$A:$A,"")&amp;""</f>
        <v>SSP Group</v>
      </c>
      <c r="R484" s="78" t="str">
        <f>_xlfn.XLOOKUP(tblMovimientos[[#This Row],[Cuenta Bancaria]],Cuentas!$C:$C,Cuentas!$B:$B,"",0,-1)&amp;""</f>
        <v/>
      </c>
    </row>
    <row r="485" spans="2:18" x14ac:dyDescent="0.3">
      <c r="B485" s="39">
        <v>46209</v>
      </c>
      <c r="C485" s="4" t="str">
        <f>_xlfn.XLOOKUP(tblMovimientos[[#This Row],[Cuenta Bancaria]],Listas!$B:$B,Listas!$A:$A,"")</f>
        <v>Go Blue</v>
      </c>
      <c r="D485" s="41" t="s">
        <v>126</v>
      </c>
      <c r="E485" s="68" t="str">
        <f>_xlfn.XLOOKUP(tblMovimientos[[#This Row],[Cuenta Bancaria]],Listas!$B:$B,Listas!$C:$C,"")</f>
        <v xml:space="preserve">Amerant Bank </v>
      </c>
      <c r="F485" s="41" t="s">
        <v>10</v>
      </c>
      <c r="G485" s="41" t="s">
        <v>38</v>
      </c>
      <c r="H485" s="4" t="str">
        <f>IFERROR(_xlfn.XLOOKUP(G485,Listas!E:E,Listas!F:F,""),"")</f>
        <v>Operativo</v>
      </c>
      <c r="I485" s="46" t="str">
        <f>IFERROR(_xlfn.XLOOKUP(G485,Listas!E:E,Listas!G:G,""),"")</f>
        <v>Externo</v>
      </c>
      <c r="J485" s="43">
        <v>17151.490000000002</v>
      </c>
      <c r="K485" s="5">
        <f t="shared" si="7"/>
        <v>-17151.490000000002</v>
      </c>
      <c r="L485" s="15" t="s">
        <v>129</v>
      </c>
      <c r="M485" s="44">
        <f>SUMIFS('Saldos Iniciales'!$D:$D,'Saldos Iniciales'!$A:$A,C485,'Saldos Iniciales'!$B:$B,D485)+SUMIFS($K$1:$K$1324,$C$1:$C$1324,C485,$D$1:$D$1324,D485,$B$1:$B$1324,"&lt;="&amp;B485)</f>
        <v>11691.029999999999</v>
      </c>
      <c r="N485" s="61" t="str">
        <f>IF(tblMovimientos[[#This Row],[Tipo de Movimiento]]="Ingreso",tblMovimientos[[#This Row],[Monto (S/)]],"0")</f>
        <v>0</v>
      </c>
      <c r="O485" s="61">
        <f>IF(tblMovimientos[[#This Row],[Tipo de Movimiento]]="Egreso",tblMovimientos[[#This Row],[Monto (S/)]],"0")</f>
        <v>17151.490000000002</v>
      </c>
      <c r="P485" s="28">
        <f>IF(tblMovimientos[[#This Row],[Tipo de Movimiento]]="Ingreso",tblMovimientos[[#This Row],[Ingreso]],-tblMovimientos[[#This Row],[Egreso]])</f>
        <v>-17151.490000000002</v>
      </c>
      <c r="Q485" s="78" t="str">
        <f>_xlfn.XLOOKUP(tblMovimientos[[#This Row],[Cuenta Bancaria]],Cuentas!$C:$C,Cuentas!$A:$A,"")&amp;""</f>
        <v>SSP Group</v>
      </c>
      <c r="R485" s="78" t="str">
        <f>_xlfn.XLOOKUP(tblMovimientos[[#This Row],[Cuenta Bancaria]],Cuentas!$C:$C,Cuentas!$B:$B,"",0,-1)&amp;""</f>
        <v/>
      </c>
    </row>
    <row r="486" spans="2:18" x14ac:dyDescent="0.3">
      <c r="B486" s="39">
        <v>46209</v>
      </c>
      <c r="C486" s="4" t="str">
        <f>_xlfn.XLOOKUP(tblMovimientos[[#This Row],[Cuenta Bancaria]],Listas!$B:$B,Listas!$A:$A,"")</f>
        <v>Go Blue</v>
      </c>
      <c r="D486" s="41" t="s">
        <v>165</v>
      </c>
      <c r="E486" s="68" t="str">
        <f>_xlfn.XLOOKUP(tblMovimientos[[#This Row],[Cuenta Bancaria]],Listas!$B:$B,Listas!$C:$C,"")</f>
        <v xml:space="preserve">Amerant Bank </v>
      </c>
      <c r="F486" s="41" t="s">
        <v>10</v>
      </c>
      <c r="G486" s="41" t="s">
        <v>38</v>
      </c>
      <c r="H486" s="4" t="str">
        <f>IFERROR(_xlfn.XLOOKUP(G486,Listas!E:E,Listas!F:F,""),"")</f>
        <v>Operativo</v>
      </c>
      <c r="I486" s="46" t="str">
        <f>IFERROR(_xlfn.XLOOKUP(G486,Listas!E:E,Listas!G:G,""),"")</f>
        <v>Externo</v>
      </c>
      <c r="J486" s="43">
        <v>30</v>
      </c>
      <c r="K486" s="5">
        <f t="shared" si="7"/>
        <v>-30</v>
      </c>
      <c r="L486" s="15" t="s">
        <v>129</v>
      </c>
      <c r="M486" s="44">
        <f>SUMIFS('Saldos Iniciales'!$D:$D,'Saldos Iniciales'!$A:$A,C486,'Saldos Iniciales'!$B:$B,D486)+SUMIFS($K$1:$K$1324,$C$1:$C$1324,C486,$D$1:$D$1324,D486,$B$1:$B$1324,"&lt;="&amp;B486)</f>
        <v>3474.3100000000004</v>
      </c>
      <c r="N486" s="61" t="str">
        <f>IF(tblMovimientos[[#This Row],[Tipo de Movimiento]]="Ingreso",tblMovimientos[[#This Row],[Monto (S/)]],"0")</f>
        <v>0</v>
      </c>
      <c r="O486" s="61">
        <f>IF(tblMovimientos[[#This Row],[Tipo de Movimiento]]="Egreso",tblMovimientos[[#This Row],[Monto (S/)]],"0")</f>
        <v>30</v>
      </c>
      <c r="P486" s="28">
        <f>IF(tblMovimientos[[#This Row],[Tipo de Movimiento]]="Ingreso",tblMovimientos[[#This Row],[Ingreso]],-tblMovimientos[[#This Row],[Egreso]])</f>
        <v>-30</v>
      </c>
      <c r="Q486" s="78" t="str">
        <f>_xlfn.XLOOKUP(tblMovimientos[[#This Row],[Cuenta Bancaria]],Cuentas!$C:$C,Cuentas!$A:$A,"")&amp;""</f>
        <v>SSP Group</v>
      </c>
      <c r="R486" s="78" t="str">
        <f>_xlfn.XLOOKUP(tblMovimientos[[#This Row],[Cuenta Bancaria]],Cuentas!$C:$C,Cuentas!$B:$B,"",0,-1)&amp;""</f>
        <v/>
      </c>
    </row>
    <row r="487" spans="2:18" x14ac:dyDescent="0.3">
      <c r="B487" s="39">
        <v>46209</v>
      </c>
      <c r="C487" s="4" t="str">
        <f>_xlfn.XLOOKUP(tblMovimientos[[#This Row],[Cuenta Bancaria]],Listas!$B:$B,Listas!$A:$A,"")</f>
        <v>Go Blue</v>
      </c>
      <c r="D487" s="41" t="s">
        <v>165</v>
      </c>
      <c r="E487" s="68" t="str">
        <f>_xlfn.XLOOKUP(tblMovimientos[[#This Row],[Cuenta Bancaria]],Listas!$B:$B,Listas!$C:$C,"")</f>
        <v xml:space="preserve">Amerant Bank </v>
      </c>
      <c r="F487" s="41" t="s">
        <v>10</v>
      </c>
      <c r="G487" s="41" t="s">
        <v>38</v>
      </c>
      <c r="H487" s="4" t="str">
        <f>IFERROR(_xlfn.XLOOKUP(G487,Listas!E:E,Listas!F:F,""),"")</f>
        <v>Operativo</v>
      </c>
      <c r="I487" s="46" t="str">
        <f>IFERROR(_xlfn.XLOOKUP(G487,Listas!E:E,Listas!G:G,""),"")</f>
        <v>Externo</v>
      </c>
      <c r="J487" s="43">
        <v>18</v>
      </c>
      <c r="K487" s="5">
        <f t="shared" si="7"/>
        <v>-18</v>
      </c>
      <c r="L487" s="15" t="s">
        <v>129</v>
      </c>
      <c r="M487" s="44">
        <f>SUMIFS('Saldos Iniciales'!$D:$D,'Saldos Iniciales'!$A:$A,C487,'Saldos Iniciales'!$B:$B,D487)+SUMIFS($K$1:$K$1324,$C$1:$C$1324,C487,$D$1:$D$1324,D487,$B$1:$B$1324,"&lt;="&amp;B487)</f>
        <v>3474.3100000000004</v>
      </c>
      <c r="N487" s="61" t="str">
        <f>IF(tblMovimientos[[#This Row],[Tipo de Movimiento]]="Ingreso",tblMovimientos[[#This Row],[Monto (S/)]],"0")</f>
        <v>0</v>
      </c>
      <c r="O487" s="61">
        <f>IF(tblMovimientos[[#This Row],[Tipo de Movimiento]]="Egreso",tblMovimientos[[#This Row],[Monto (S/)]],"0")</f>
        <v>18</v>
      </c>
      <c r="P487" s="28">
        <f>IF(tblMovimientos[[#This Row],[Tipo de Movimiento]]="Ingreso",tblMovimientos[[#This Row],[Ingreso]],-tblMovimientos[[#This Row],[Egreso]])</f>
        <v>-18</v>
      </c>
      <c r="Q487" s="78" t="str">
        <f>_xlfn.XLOOKUP(tblMovimientos[[#This Row],[Cuenta Bancaria]],Cuentas!$C:$C,Cuentas!$A:$A,"")&amp;""</f>
        <v>SSP Group</v>
      </c>
      <c r="R487" s="78" t="str">
        <f>_xlfn.XLOOKUP(tblMovimientos[[#This Row],[Cuenta Bancaria]],Cuentas!$C:$C,Cuentas!$B:$B,"",0,-1)&amp;""</f>
        <v/>
      </c>
    </row>
    <row r="488" spans="2:18" x14ac:dyDescent="0.3">
      <c r="B488" s="39">
        <v>46209</v>
      </c>
      <c r="C488" s="4" t="str">
        <f>_xlfn.XLOOKUP(tblMovimientos[[#This Row],[Cuenta Bancaria]],Listas!$B:$B,Listas!$A:$A,"")</f>
        <v>Go Blue</v>
      </c>
      <c r="D488" s="41" t="s">
        <v>165</v>
      </c>
      <c r="E488" s="68" t="str">
        <f>_xlfn.XLOOKUP(tblMovimientos[[#This Row],[Cuenta Bancaria]],Listas!$B:$B,Listas!$C:$C,"")</f>
        <v xml:space="preserve">Amerant Bank </v>
      </c>
      <c r="F488" s="41" t="s">
        <v>10</v>
      </c>
      <c r="G488" s="41" t="s">
        <v>38</v>
      </c>
      <c r="H488" s="4" t="str">
        <f>IFERROR(_xlfn.XLOOKUP(G488,Listas!E:E,Listas!F:F,""),"")</f>
        <v>Operativo</v>
      </c>
      <c r="I488" s="46" t="str">
        <f>IFERROR(_xlfn.XLOOKUP(G488,Listas!E:E,Listas!G:G,""),"")</f>
        <v>Externo</v>
      </c>
      <c r="J488" s="43">
        <v>458.35</v>
      </c>
      <c r="K488" s="5">
        <f t="shared" si="7"/>
        <v>-458.35</v>
      </c>
      <c r="L488" s="15" t="s">
        <v>129</v>
      </c>
      <c r="M488" s="44">
        <f>SUMIFS('Saldos Iniciales'!$D:$D,'Saldos Iniciales'!$A:$A,C488,'Saldos Iniciales'!$B:$B,D488)+SUMIFS($K$1:$K$1324,$C$1:$C$1324,C488,$D$1:$D$1324,D488,$B$1:$B$1324,"&lt;="&amp;B488)</f>
        <v>3474.3100000000004</v>
      </c>
      <c r="N488" s="61" t="str">
        <f>IF(tblMovimientos[[#This Row],[Tipo de Movimiento]]="Ingreso",tblMovimientos[[#This Row],[Monto (S/)]],"0")</f>
        <v>0</v>
      </c>
      <c r="O488" s="61">
        <f>IF(tblMovimientos[[#This Row],[Tipo de Movimiento]]="Egreso",tblMovimientos[[#This Row],[Monto (S/)]],"0")</f>
        <v>458.35</v>
      </c>
      <c r="P488" s="28">
        <f>IF(tblMovimientos[[#This Row],[Tipo de Movimiento]]="Ingreso",tblMovimientos[[#This Row],[Ingreso]],-tblMovimientos[[#This Row],[Egreso]])</f>
        <v>-458.35</v>
      </c>
      <c r="Q488" s="78" t="str">
        <f>_xlfn.XLOOKUP(tblMovimientos[[#This Row],[Cuenta Bancaria]],Cuentas!$C:$C,Cuentas!$A:$A,"")&amp;""</f>
        <v>SSP Group</v>
      </c>
      <c r="R488" s="78" t="str">
        <f>_xlfn.XLOOKUP(tblMovimientos[[#This Row],[Cuenta Bancaria]],Cuentas!$C:$C,Cuentas!$B:$B,"",0,-1)&amp;""</f>
        <v/>
      </c>
    </row>
    <row r="489" spans="2:18" x14ac:dyDescent="0.3">
      <c r="B489" s="39">
        <v>46209</v>
      </c>
      <c r="C489" s="4" t="str">
        <f>_xlfn.XLOOKUP(tblMovimientos[[#This Row],[Cuenta Bancaria]],Listas!$B:$B,Listas!$A:$A,"")</f>
        <v>Go Blue</v>
      </c>
      <c r="D489" s="41" t="s">
        <v>165</v>
      </c>
      <c r="E489" s="68" t="str">
        <f>_xlfn.XLOOKUP(tblMovimientos[[#This Row],[Cuenta Bancaria]],Listas!$B:$B,Listas!$C:$C,"")</f>
        <v xml:space="preserve">Amerant Bank </v>
      </c>
      <c r="F489" s="41" t="s">
        <v>10</v>
      </c>
      <c r="G489" s="41" t="s">
        <v>38</v>
      </c>
      <c r="H489" s="4" t="str">
        <f>IFERROR(_xlfn.XLOOKUP(G489,Listas!E:E,Listas!F:F,""),"")</f>
        <v>Operativo</v>
      </c>
      <c r="I489" s="46" t="str">
        <f>IFERROR(_xlfn.XLOOKUP(G489,Listas!E:E,Listas!G:G,""),"")</f>
        <v>Externo</v>
      </c>
      <c r="J489" s="43">
        <v>24</v>
      </c>
      <c r="K489" s="5">
        <f t="shared" si="7"/>
        <v>-24</v>
      </c>
      <c r="L489" s="15" t="s">
        <v>129</v>
      </c>
      <c r="M489" s="44">
        <f>SUMIFS('Saldos Iniciales'!$D:$D,'Saldos Iniciales'!$A:$A,C489,'Saldos Iniciales'!$B:$B,D489)+SUMIFS($K$1:$K$1324,$C$1:$C$1324,C489,$D$1:$D$1324,D489,$B$1:$B$1324,"&lt;="&amp;B489)</f>
        <v>3474.3100000000004</v>
      </c>
      <c r="N489" s="61" t="str">
        <f>IF(tblMovimientos[[#This Row],[Tipo de Movimiento]]="Ingreso",tblMovimientos[[#This Row],[Monto (S/)]],"0")</f>
        <v>0</v>
      </c>
      <c r="O489" s="61">
        <f>IF(tblMovimientos[[#This Row],[Tipo de Movimiento]]="Egreso",tblMovimientos[[#This Row],[Monto (S/)]],"0")</f>
        <v>24</v>
      </c>
      <c r="P489" s="28">
        <f>IF(tblMovimientos[[#This Row],[Tipo de Movimiento]]="Ingreso",tblMovimientos[[#This Row],[Ingreso]],-tblMovimientos[[#This Row],[Egreso]])</f>
        <v>-24</v>
      </c>
      <c r="Q489" s="78" t="str">
        <f>_xlfn.XLOOKUP(tblMovimientos[[#This Row],[Cuenta Bancaria]],Cuentas!$C:$C,Cuentas!$A:$A,"")&amp;""</f>
        <v>SSP Group</v>
      </c>
      <c r="R489" s="78" t="str">
        <f>_xlfn.XLOOKUP(tblMovimientos[[#This Row],[Cuenta Bancaria]],Cuentas!$C:$C,Cuentas!$B:$B,"",0,-1)&amp;""</f>
        <v/>
      </c>
    </row>
    <row r="490" spans="2:18" x14ac:dyDescent="0.3">
      <c r="B490" s="39">
        <v>46209</v>
      </c>
      <c r="C490" s="4" t="str">
        <f>_xlfn.XLOOKUP(tblMovimientos[[#This Row],[Cuenta Bancaria]],Listas!$B:$B,Listas!$A:$A,"")</f>
        <v>Go Blue</v>
      </c>
      <c r="D490" s="41" t="s">
        <v>165</v>
      </c>
      <c r="E490" s="68" t="str">
        <f>_xlfn.XLOOKUP(tblMovimientos[[#This Row],[Cuenta Bancaria]],Listas!$B:$B,Listas!$C:$C,"")</f>
        <v xml:space="preserve">Amerant Bank </v>
      </c>
      <c r="F490" s="41" t="s">
        <v>10</v>
      </c>
      <c r="G490" s="41" t="s">
        <v>38</v>
      </c>
      <c r="H490" s="4" t="str">
        <f>IFERROR(_xlfn.XLOOKUP(G490,Listas!E:E,Listas!F:F,""),"")</f>
        <v>Operativo</v>
      </c>
      <c r="I490" s="46" t="str">
        <f>IFERROR(_xlfn.XLOOKUP(G490,Listas!E:E,Listas!G:G,""),"")</f>
        <v>Externo</v>
      </c>
      <c r="J490" s="43">
        <v>271.86</v>
      </c>
      <c r="K490" s="5">
        <f t="shared" si="7"/>
        <v>-271.86</v>
      </c>
      <c r="L490" s="15" t="s">
        <v>129</v>
      </c>
      <c r="M490" s="44">
        <f>SUMIFS('Saldos Iniciales'!$D:$D,'Saldos Iniciales'!$A:$A,C490,'Saldos Iniciales'!$B:$B,D490)+SUMIFS($K$1:$K$1324,$C$1:$C$1324,C490,$D$1:$D$1324,D490,$B$1:$B$1324,"&lt;="&amp;B490)</f>
        <v>3474.3100000000004</v>
      </c>
      <c r="N490" s="61" t="str">
        <f>IF(tblMovimientos[[#This Row],[Tipo de Movimiento]]="Ingreso",tblMovimientos[[#This Row],[Monto (S/)]],"0")</f>
        <v>0</v>
      </c>
      <c r="O490" s="61">
        <f>IF(tblMovimientos[[#This Row],[Tipo de Movimiento]]="Egreso",tblMovimientos[[#This Row],[Monto (S/)]],"0")</f>
        <v>271.86</v>
      </c>
      <c r="P490" s="28">
        <f>IF(tblMovimientos[[#This Row],[Tipo de Movimiento]]="Ingreso",tblMovimientos[[#This Row],[Ingreso]],-tblMovimientos[[#This Row],[Egreso]])</f>
        <v>-271.86</v>
      </c>
      <c r="Q490" s="78" t="str">
        <f>_xlfn.XLOOKUP(tblMovimientos[[#This Row],[Cuenta Bancaria]],Cuentas!$C:$C,Cuentas!$A:$A,"")&amp;""</f>
        <v>SSP Group</v>
      </c>
      <c r="R490" s="78" t="str">
        <f>_xlfn.XLOOKUP(tblMovimientos[[#This Row],[Cuenta Bancaria]],Cuentas!$C:$C,Cuentas!$B:$B,"",0,-1)&amp;""</f>
        <v/>
      </c>
    </row>
    <row r="491" spans="2:18" x14ac:dyDescent="0.3">
      <c r="B491" s="39">
        <v>46210</v>
      </c>
      <c r="C491" s="4" t="str">
        <f>_xlfn.XLOOKUP(tblMovimientos[[#This Row],[Cuenta Bancaria]],Listas!$B:$B,Listas!$A:$A,"")</f>
        <v>Go Blue</v>
      </c>
      <c r="D491" s="41" t="s">
        <v>126</v>
      </c>
      <c r="E491" s="68" t="str">
        <f>_xlfn.XLOOKUP(tblMovimientos[[#This Row],[Cuenta Bancaria]],Listas!$B:$B,Listas!$C:$C,"")</f>
        <v xml:space="preserve">Amerant Bank </v>
      </c>
      <c r="F491" s="41" t="s">
        <v>10</v>
      </c>
      <c r="G491" s="41" t="s">
        <v>38</v>
      </c>
      <c r="H491" s="4" t="str">
        <f>IFERROR(_xlfn.XLOOKUP(G491,Listas!E:E,Listas!F:F,""),"")</f>
        <v>Operativo</v>
      </c>
      <c r="I491" s="46" t="str">
        <f>IFERROR(_xlfn.XLOOKUP(G491,Listas!E:E,Listas!G:G,""),"")</f>
        <v>Externo</v>
      </c>
      <c r="J491" s="43">
        <v>614.75</v>
      </c>
      <c r="K491" s="5">
        <f t="shared" si="7"/>
        <v>-614.75</v>
      </c>
      <c r="L491" s="15" t="s">
        <v>129</v>
      </c>
      <c r="M491" s="44">
        <f>SUMIFS('Saldos Iniciales'!$D:$D,'Saldos Iniciales'!$A:$A,C491,'Saldos Iniciales'!$B:$B,D491)+SUMIFS($K$1:$K$1324,$C$1:$C$1324,C491,$D$1:$D$1324,D491,$B$1:$B$1324,"&lt;="&amp;B491)</f>
        <v>11076.279999999999</v>
      </c>
      <c r="N491" s="61" t="str">
        <f>IF(tblMovimientos[[#This Row],[Tipo de Movimiento]]="Ingreso",tblMovimientos[[#This Row],[Monto (S/)]],"0")</f>
        <v>0</v>
      </c>
      <c r="O491" s="61">
        <f>IF(tblMovimientos[[#This Row],[Tipo de Movimiento]]="Egreso",tblMovimientos[[#This Row],[Monto (S/)]],"0")</f>
        <v>614.75</v>
      </c>
      <c r="P491" s="28">
        <f>IF(tblMovimientos[[#This Row],[Tipo de Movimiento]]="Ingreso",tblMovimientos[[#This Row],[Ingreso]],-tblMovimientos[[#This Row],[Egreso]])</f>
        <v>-614.75</v>
      </c>
      <c r="Q491" s="78" t="str">
        <f>_xlfn.XLOOKUP(tblMovimientos[[#This Row],[Cuenta Bancaria]],Cuentas!$C:$C,Cuentas!$A:$A,"")&amp;""</f>
        <v>SSP Group</v>
      </c>
      <c r="R491" s="78" t="str">
        <f>_xlfn.XLOOKUP(tblMovimientos[[#This Row],[Cuenta Bancaria]],Cuentas!$C:$C,Cuentas!$B:$B,"",0,-1)&amp;""</f>
        <v/>
      </c>
    </row>
    <row r="492" spans="2:18" x14ac:dyDescent="0.3">
      <c r="B492" s="39">
        <v>46210</v>
      </c>
      <c r="C492" s="4" t="str">
        <f>_xlfn.XLOOKUP(tblMovimientos[[#This Row],[Cuenta Bancaria]],Listas!$B:$B,Listas!$A:$A,"")</f>
        <v>Go Blue</v>
      </c>
      <c r="D492" s="41" t="s">
        <v>165</v>
      </c>
      <c r="E492" s="68" t="str">
        <f>_xlfn.XLOOKUP(tblMovimientos[[#This Row],[Cuenta Bancaria]],Listas!$B:$B,Listas!$C:$C,"")</f>
        <v xml:space="preserve">Amerant Bank </v>
      </c>
      <c r="F492" s="41" t="s">
        <v>10</v>
      </c>
      <c r="G492" s="41" t="s">
        <v>38</v>
      </c>
      <c r="H492" s="4" t="str">
        <f>IFERROR(_xlfn.XLOOKUP(G492,Listas!E:E,Listas!F:F,""),"")</f>
        <v>Operativo</v>
      </c>
      <c r="I492" s="46" t="str">
        <f>IFERROR(_xlfn.XLOOKUP(G492,Listas!E:E,Listas!G:G,""),"")</f>
        <v>Externo</v>
      </c>
      <c r="J492" s="43">
        <v>52</v>
      </c>
      <c r="K492" s="5">
        <f t="shared" si="7"/>
        <v>-52</v>
      </c>
      <c r="L492" s="15" t="s">
        <v>129</v>
      </c>
      <c r="M492" s="44">
        <f>SUMIFS('Saldos Iniciales'!$D:$D,'Saldos Iniciales'!$A:$A,C492,'Saldos Iniciales'!$B:$B,D492)+SUMIFS($K$1:$K$1324,$C$1:$C$1324,C492,$D$1:$D$1324,D492,$B$1:$B$1324,"&lt;="&amp;B492)</f>
        <v>3422.3100000000004</v>
      </c>
      <c r="N492" s="61" t="str">
        <f>IF(tblMovimientos[[#This Row],[Tipo de Movimiento]]="Ingreso",tblMovimientos[[#This Row],[Monto (S/)]],"0")</f>
        <v>0</v>
      </c>
      <c r="O492" s="61">
        <f>IF(tblMovimientos[[#This Row],[Tipo de Movimiento]]="Egreso",tblMovimientos[[#This Row],[Monto (S/)]],"0")</f>
        <v>52</v>
      </c>
      <c r="P492" s="28">
        <f>IF(tblMovimientos[[#This Row],[Tipo de Movimiento]]="Ingreso",tblMovimientos[[#This Row],[Ingreso]],-tblMovimientos[[#This Row],[Egreso]])</f>
        <v>-52</v>
      </c>
      <c r="Q492" s="78" t="str">
        <f>_xlfn.XLOOKUP(tblMovimientos[[#This Row],[Cuenta Bancaria]],Cuentas!$C:$C,Cuentas!$A:$A,"")&amp;""</f>
        <v>SSP Group</v>
      </c>
      <c r="R492" s="78" t="str">
        <f>_xlfn.XLOOKUP(tblMovimientos[[#This Row],[Cuenta Bancaria]],Cuentas!$C:$C,Cuentas!$B:$B,"",0,-1)&amp;""</f>
        <v/>
      </c>
    </row>
    <row r="493" spans="2:18" x14ac:dyDescent="0.3">
      <c r="B493" s="39">
        <v>46211</v>
      </c>
      <c r="C493" s="4" t="str">
        <f>_xlfn.XLOOKUP(tblMovimientos[[#This Row],[Cuenta Bancaria]],Listas!$B:$B,Listas!$A:$A,"")</f>
        <v>SSP Capital</v>
      </c>
      <c r="D493" s="41" t="s">
        <v>101</v>
      </c>
      <c r="E493" s="68" t="str">
        <f>_xlfn.XLOOKUP(tblMovimientos[[#This Row],[Cuenta Bancaria]],Listas!$B:$B,Listas!$C:$C,"")</f>
        <v>Bank of America</v>
      </c>
      <c r="F493" s="41" t="s">
        <v>10</v>
      </c>
      <c r="G493" s="41" t="s">
        <v>41</v>
      </c>
      <c r="H493" s="4" t="str">
        <f>IFERROR(_xlfn.XLOOKUP(G493,Listas!E:E,Listas!F:F,""),"")</f>
        <v>Operativo</v>
      </c>
      <c r="I493" s="46" t="str">
        <f>IFERROR(_xlfn.XLOOKUP(G493,Listas!E:E,Listas!G:G,""),"")</f>
        <v>Externo</v>
      </c>
      <c r="J493" s="43">
        <v>7679.78</v>
      </c>
      <c r="K493" s="5">
        <f t="shared" si="7"/>
        <v>-7679.78</v>
      </c>
      <c r="L493" s="15" t="s">
        <v>129</v>
      </c>
      <c r="M493" s="44">
        <f>SUMIFS('Saldos Iniciales'!$D:$D,'Saldos Iniciales'!$A:$A,C493,'Saldos Iniciales'!$B:$B,D493)+SUMIFS($K$1:$K$1324,$C$1:$C$1324,C493,$D$1:$D$1324,D493,$B$1:$B$1324,"&lt;="&amp;B493)</f>
        <v>14839.189999999999</v>
      </c>
      <c r="N493" s="61" t="str">
        <f>IF(tblMovimientos[[#This Row],[Tipo de Movimiento]]="Ingreso",tblMovimientos[[#This Row],[Monto (S/)]],"0")</f>
        <v>0</v>
      </c>
      <c r="O493" s="61">
        <f>IF(tblMovimientos[[#This Row],[Tipo de Movimiento]]="Egreso",tblMovimientos[[#This Row],[Monto (S/)]],"0")</f>
        <v>7679.78</v>
      </c>
      <c r="P493" s="28">
        <f>IF(tblMovimientos[[#This Row],[Tipo de Movimiento]]="Ingreso",tblMovimientos[[#This Row],[Ingreso]],-tblMovimientos[[#This Row],[Egreso]])</f>
        <v>-7679.78</v>
      </c>
      <c r="Q493" s="78" t="str">
        <f>_xlfn.XLOOKUP(tblMovimientos[[#This Row],[Cuenta Bancaria]],Cuentas!$C:$C,Cuentas!$A:$A,"")&amp;""</f>
        <v>SSP Group</v>
      </c>
      <c r="R493" s="78" t="str">
        <f>_xlfn.XLOOKUP(tblMovimientos[[#This Row],[Cuenta Bancaria]],Cuentas!$C:$C,Cuentas!$B:$B,"",0,-1)&amp;""</f>
        <v/>
      </c>
    </row>
    <row r="494" spans="2:18" x14ac:dyDescent="0.3">
      <c r="B494" s="39">
        <v>46211</v>
      </c>
      <c r="C494" s="4" t="str">
        <f>_xlfn.XLOOKUP(tblMovimientos[[#This Row],[Cuenta Bancaria]],Listas!$B:$B,Listas!$A:$A,"")</f>
        <v>112 Florida Ave</v>
      </c>
      <c r="D494" s="41" t="s">
        <v>123</v>
      </c>
      <c r="E494" s="68" t="str">
        <f>_xlfn.XLOOKUP(tblMovimientos[[#This Row],[Cuenta Bancaria]],Listas!$B:$B,Listas!$C:$C,"")</f>
        <v>Bank of America</v>
      </c>
      <c r="F494" s="41" t="s">
        <v>10</v>
      </c>
      <c r="G494" s="41" t="s">
        <v>38</v>
      </c>
      <c r="H494" s="4" t="str">
        <f>IFERROR(_xlfn.XLOOKUP(G494,Listas!E:E,Listas!F:F,""),"")</f>
        <v>Operativo</v>
      </c>
      <c r="I494" s="46" t="str">
        <f>IFERROR(_xlfn.XLOOKUP(G494,Listas!E:E,Listas!G:G,""),"")</f>
        <v>Externo</v>
      </c>
      <c r="J494" s="43">
        <v>4000</v>
      </c>
      <c r="K494" s="5">
        <f t="shared" si="7"/>
        <v>-4000</v>
      </c>
      <c r="L494" s="15" t="s">
        <v>129</v>
      </c>
      <c r="M494" s="44">
        <f>SUMIFS('Saldos Iniciales'!$D:$D,'Saldos Iniciales'!$A:$A,C494,'Saldos Iniciales'!$B:$B,D494)+SUMIFS($K$1:$K$1324,$C$1:$C$1324,C494,$D$1:$D$1324,D494,$B$1:$B$1324,"&lt;="&amp;B494)</f>
        <v>6522.8000000000029</v>
      </c>
      <c r="N494" s="61" t="str">
        <f>IF(tblMovimientos[[#This Row],[Tipo de Movimiento]]="Ingreso",tblMovimientos[[#This Row],[Monto (S/)]],"0")</f>
        <v>0</v>
      </c>
      <c r="O494" s="61">
        <f>IF(tblMovimientos[[#This Row],[Tipo de Movimiento]]="Egreso",tblMovimientos[[#This Row],[Monto (S/)]],"0")</f>
        <v>4000</v>
      </c>
      <c r="P494" s="28">
        <f>IF(tblMovimientos[[#This Row],[Tipo de Movimiento]]="Ingreso",tblMovimientos[[#This Row],[Ingreso]],-tblMovimientos[[#This Row],[Egreso]])</f>
        <v>-4000</v>
      </c>
      <c r="Q494" s="78" t="str">
        <f>_xlfn.XLOOKUP(tblMovimientos[[#This Row],[Cuenta Bancaria]],Cuentas!$C:$C,Cuentas!$A:$A,"")&amp;""</f>
        <v>SSP Group</v>
      </c>
      <c r="R494" s="78" t="str">
        <f>_xlfn.XLOOKUP(tblMovimientos[[#This Row],[Cuenta Bancaria]],Cuentas!$C:$C,Cuentas!$B:$B,"",0,-1)&amp;""</f>
        <v/>
      </c>
    </row>
    <row r="495" spans="2:18" x14ac:dyDescent="0.3">
      <c r="B495" s="39">
        <v>46211</v>
      </c>
      <c r="C495" s="4" t="str">
        <f>_xlfn.XLOOKUP(tblMovimientos[[#This Row],[Cuenta Bancaria]],Listas!$B:$B,Listas!$A:$A,"")</f>
        <v>SSP Capital</v>
      </c>
      <c r="D495" s="41" t="s">
        <v>104</v>
      </c>
      <c r="E495" s="68" t="str">
        <f>_xlfn.XLOOKUP(tblMovimientos[[#This Row],[Cuenta Bancaria]],Listas!$B:$B,Listas!$C:$C,"")</f>
        <v xml:space="preserve">Amerant Bank </v>
      </c>
      <c r="F495" s="41" t="s">
        <v>10</v>
      </c>
      <c r="G495" s="41" t="s">
        <v>44</v>
      </c>
      <c r="H495" s="4" t="str">
        <f>IFERROR(_xlfn.XLOOKUP(G495,Listas!E:E,Listas!F:F,""),"")</f>
        <v>Operativo</v>
      </c>
      <c r="I495" s="46" t="str">
        <f>IFERROR(_xlfn.XLOOKUP(G495,Listas!E:E,Listas!G:G,""),"")</f>
        <v>Externo</v>
      </c>
      <c r="J495" s="43">
        <v>1650.84</v>
      </c>
      <c r="K495" s="5">
        <f t="shared" si="7"/>
        <v>-1650.84</v>
      </c>
      <c r="L495" s="15" t="s">
        <v>129</v>
      </c>
      <c r="M495" s="44">
        <f>SUMIFS('Saldos Iniciales'!$D:$D,'Saldos Iniciales'!$A:$A,C495,'Saldos Iniciales'!$B:$B,D495)+SUMIFS($K$1:$K$1324,$C$1:$C$1324,C495,$D$1:$D$1324,D495,$B$1:$B$1324,"&lt;="&amp;B495)</f>
        <v>920047.91999999946</v>
      </c>
      <c r="N495" s="61" t="str">
        <f>IF(tblMovimientos[[#This Row],[Tipo de Movimiento]]="Ingreso",tblMovimientos[[#This Row],[Monto (S/)]],"0")</f>
        <v>0</v>
      </c>
      <c r="O495" s="61">
        <f>IF(tblMovimientos[[#This Row],[Tipo de Movimiento]]="Egreso",tblMovimientos[[#This Row],[Monto (S/)]],"0")</f>
        <v>1650.84</v>
      </c>
      <c r="P495" s="28">
        <f>IF(tblMovimientos[[#This Row],[Tipo de Movimiento]]="Ingreso",tblMovimientos[[#This Row],[Ingreso]],-tblMovimientos[[#This Row],[Egreso]])</f>
        <v>-1650.84</v>
      </c>
      <c r="Q495" s="78" t="str">
        <f>_xlfn.XLOOKUP(tblMovimientos[[#This Row],[Cuenta Bancaria]],Cuentas!$C:$C,Cuentas!$A:$A,"")&amp;""</f>
        <v>SSP Group</v>
      </c>
      <c r="R495" s="78" t="str">
        <f>_xlfn.XLOOKUP(tblMovimientos[[#This Row],[Cuenta Bancaria]],Cuentas!$C:$C,Cuentas!$B:$B,"",0,-1)&amp;""</f>
        <v/>
      </c>
    </row>
    <row r="496" spans="2:18" x14ac:dyDescent="0.3">
      <c r="B496" s="39">
        <v>46211</v>
      </c>
      <c r="C496" s="4" t="str">
        <f>_xlfn.XLOOKUP(tblMovimientos[[#This Row],[Cuenta Bancaria]],Listas!$B:$B,Listas!$A:$A,"")</f>
        <v>Soweto</v>
      </c>
      <c r="D496" s="41" t="s">
        <v>116</v>
      </c>
      <c r="E496" s="68" t="str">
        <f>_xlfn.XLOOKUP(tblMovimientos[[#This Row],[Cuenta Bancaria]],Listas!$B:$B,Listas!$C:$C,"")</f>
        <v>Citibank</v>
      </c>
      <c r="F496" s="41" t="s">
        <v>10</v>
      </c>
      <c r="G496" s="41" t="s">
        <v>44</v>
      </c>
      <c r="H496" s="4" t="str">
        <f>IFERROR(_xlfn.XLOOKUP(G496,Listas!E:E,Listas!F:F,""),"")</f>
        <v>Operativo</v>
      </c>
      <c r="I496" s="46" t="str">
        <f>IFERROR(_xlfn.XLOOKUP(G496,Listas!E:E,Listas!G:G,""),"")</f>
        <v>Externo</v>
      </c>
      <c r="J496" s="43">
        <v>15</v>
      </c>
      <c r="K496" s="5">
        <f t="shared" si="7"/>
        <v>-15</v>
      </c>
      <c r="L496" s="15" t="s">
        <v>129</v>
      </c>
      <c r="M496" s="44">
        <f>SUMIFS('Saldos Iniciales'!$D:$D,'Saldos Iniciales'!$A:$A,C496,'Saldos Iniciales'!$B:$B,D496)+SUMIFS($K$1:$K$1324,$C$1:$C$1324,C496,$D$1:$D$1324,D496,$B$1:$B$1324,"&lt;="&amp;B496)</f>
        <v>3334.94</v>
      </c>
      <c r="N496" s="61" t="str">
        <f>IF(tblMovimientos[[#This Row],[Tipo de Movimiento]]="Ingreso",tblMovimientos[[#This Row],[Monto (S/)]],"0")</f>
        <v>0</v>
      </c>
      <c r="O496" s="61">
        <f>IF(tblMovimientos[[#This Row],[Tipo de Movimiento]]="Egreso",tblMovimientos[[#This Row],[Monto (S/)]],"0")</f>
        <v>15</v>
      </c>
      <c r="P496" s="28">
        <f>IF(tblMovimientos[[#This Row],[Tipo de Movimiento]]="Ingreso",tblMovimientos[[#This Row],[Ingreso]],-tblMovimientos[[#This Row],[Egreso]])</f>
        <v>-15</v>
      </c>
      <c r="Q496" s="78" t="str">
        <f>_xlfn.XLOOKUP(tblMovimientos[[#This Row],[Cuenta Bancaria]],Cuentas!$C:$C,Cuentas!$A:$A,"")&amp;""</f>
        <v>SSP Group</v>
      </c>
      <c r="R496" s="78" t="str">
        <f>_xlfn.XLOOKUP(tblMovimientos[[#This Row],[Cuenta Bancaria]],Cuentas!$C:$C,Cuentas!$B:$B,"",0,-1)&amp;""</f>
        <v/>
      </c>
    </row>
    <row r="497" spans="1:18" x14ac:dyDescent="0.3">
      <c r="B497" s="39">
        <v>46212</v>
      </c>
      <c r="C497" s="4" t="str">
        <f>_xlfn.XLOOKUP(tblMovimientos[[#This Row],[Cuenta Bancaria]],Listas!$B:$B,Listas!$A:$A,"")</f>
        <v>SSP Capital</v>
      </c>
      <c r="D497" s="41" t="s">
        <v>101</v>
      </c>
      <c r="E497" s="68" t="str">
        <f>_xlfn.XLOOKUP(tblMovimientos[[#This Row],[Cuenta Bancaria]],Listas!$B:$B,Listas!$C:$C,"")</f>
        <v>Bank of America</v>
      </c>
      <c r="F497" s="41" t="s">
        <v>10</v>
      </c>
      <c r="G497" s="41" t="s">
        <v>38</v>
      </c>
      <c r="H497" s="4" t="str">
        <f>IFERROR(_xlfn.XLOOKUP(G497,Listas!E:E,Listas!F:F,""),"")</f>
        <v>Operativo</v>
      </c>
      <c r="I497" s="46" t="str">
        <f>IFERROR(_xlfn.XLOOKUP(G497,Listas!E:E,Listas!G:G,""),"")</f>
        <v>Externo</v>
      </c>
      <c r="J497" s="43">
        <v>1291.6500000000001</v>
      </c>
      <c r="K497" s="5">
        <f t="shared" si="7"/>
        <v>-1291.6500000000001</v>
      </c>
      <c r="L497" s="15" t="s">
        <v>129</v>
      </c>
      <c r="M497" s="44">
        <f>SUMIFS('Saldos Iniciales'!$D:$D,'Saldos Iniciales'!$A:$A,C497,'Saldos Iniciales'!$B:$B,D497)+SUMIFS($K$1:$K$1324,$C$1:$C$1324,C497,$D$1:$D$1324,D497,$B$1:$B$1324,"&lt;="&amp;B497)</f>
        <v>13547.539999999999</v>
      </c>
      <c r="N497" s="61" t="str">
        <f>IF(tblMovimientos[[#This Row],[Tipo de Movimiento]]="Ingreso",tblMovimientos[[#This Row],[Monto (S/)]],"0")</f>
        <v>0</v>
      </c>
      <c r="O497" s="61">
        <f>IF(tblMovimientos[[#This Row],[Tipo de Movimiento]]="Egreso",tblMovimientos[[#This Row],[Monto (S/)]],"0")</f>
        <v>1291.6500000000001</v>
      </c>
      <c r="P497" s="28">
        <f>IF(tblMovimientos[[#This Row],[Tipo de Movimiento]]="Ingreso",tblMovimientos[[#This Row],[Ingreso]],-tblMovimientos[[#This Row],[Egreso]])</f>
        <v>-1291.6500000000001</v>
      </c>
      <c r="Q497" s="78" t="str">
        <f>_xlfn.XLOOKUP(tblMovimientos[[#This Row],[Cuenta Bancaria]],Cuentas!$C:$C,Cuentas!$A:$A,"")&amp;""</f>
        <v>SSP Group</v>
      </c>
      <c r="R497" s="78" t="str">
        <f>_xlfn.XLOOKUP(tblMovimientos[[#This Row],[Cuenta Bancaria]],Cuentas!$C:$C,Cuentas!$B:$B,"",0,-1)&amp;""</f>
        <v/>
      </c>
    </row>
    <row r="498" spans="1:18" x14ac:dyDescent="0.3">
      <c r="B498" s="39">
        <v>46212</v>
      </c>
      <c r="C498" s="4" t="str">
        <f>_xlfn.XLOOKUP(tblMovimientos[[#This Row],[Cuenta Bancaria]],Listas!$B:$B,Listas!$A:$A,"")</f>
        <v>A&amp;M Imports</v>
      </c>
      <c r="D498" s="41" t="s">
        <v>100</v>
      </c>
      <c r="E498" s="68" t="str">
        <f>_xlfn.XLOOKUP(tblMovimientos[[#This Row],[Cuenta Bancaria]],Listas!$B:$B,Listas!$C:$C,"")</f>
        <v>Bank of America</v>
      </c>
      <c r="F498" s="41" t="s">
        <v>10</v>
      </c>
      <c r="G498" s="41" t="s">
        <v>61</v>
      </c>
      <c r="H498" s="4" t="str">
        <f>IFERROR(_xlfn.XLOOKUP(G498,Listas!E:E,Listas!F:F,""),"")</f>
        <v>Operativo</v>
      </c>
      <c r="I498" s="46" t="str">
        <f>IFERROR(_xlfn.XLOOKUP(G498,Listas!E:E,Listas!G:G,""),"")</f>
        <v>Externo</v>
      </c>
      <c r="J498" s="43">
        <v>60000</v>
      </c>
      <c r="K498" s="5">
        <f t="shared" si="7"/>
        <v>-60000</v>
      </c>
      <c r="L498" s="15" t="s">
        <v>129</v>
      </c>
      <c r="M498" s="44">
        <f>SUMIFS('Saldos Iniciales'!$D:$D,'Saldos Iniciales'!$A:$A,C498,'Saldos Iniciales'!$B:$B,D498)+SUMIFS($K$1:$K$1324,$C$1:$C$1324,C498,$D$1:$D$1324,D498,$B$1:$B$1324,"&lt;="&amp;B498)</f>
        <v>290475.62999999989</v>
      </c>
      <c r="N498" s="61" t="str">
        <f>IF(tblMovimientos[[#This Row],[Tipo de Movimiento]]="Ingreso",tblMovimientos[[#This Row],[Monto (S/)]],"0")</f>
        <v>0</v>
      </c>
      <c r="O498" s="61">
        <f>IF(tblMovimientos[[#This Row],[Tipo de Movimiento]]="Egreso",tblMovimientos[[#This Row],[Monto (S/)]],"0")</f>
        <v>60000</v>
      </c>
      <c r="P498" s="28">
        <f>IF(tblMovimientos[[#This Row],[Tipo de Movimiento]]="Ingreso",tblMovimientos[[#This Row],[Ingreso]],-tblMovimientos[[#This Row],[Egreso]])</f>
        <v>-60000</v>
      </c>
      <c r="Q498" s="78" t="str">
        <f>_xlfn.XLOOKUP(tblMovimientos[[#This Row],[Cuenta Bancaria]],Cuentas!$C:$C,Cuentas!$A:$A,"")&amp;""</f>
        <v>SSP Group</v>
      </c>
      <c r="R498" s="78" t="str">
        <f>_xlfn.XLOOKUP(tblMovimientos[[#This Row],[Cuenta Bancaria]],Cuentas!$C:$C,Cuentas!$B:$B,"",0,-1)&amp;""</f>
        <v/>
      </c>
    </row>
    <row r="499" spans="1:18" x14ac:dyDescent="0.3">
      <c r="B499" s="39">
        <v>46212</v>
      </c>
      <c r="C499" s="4" t="str">
        <f>_xlfn.XLOOKUP(tblMovimientos[[#This Row],[Cuenta Bancaria]],Listas!$B:$B,Listas!$A:$A,"")</f>
        <v>M1B</v>
      </c>
      <c r="D499" s="41" t="s">
        <v>97</v>
      </c>
      <c r="E499" s="68" t="str">
        <f>_xlfn.XLOOKUP(tblMovimientos[[#This Row],[Cuenta Bancaria]],Listas!$B:$B,Listas!$C:$C,"")</f>
        <v xml:space="preserve">Amerant Bank </v>
      </c>
      <c r="F499" s="41" t="s">
        <v>10</v>
      </c>
      <c r="G499" s="41" t="s">
        <v>38</v>
      </c>
      <c r="H499" s="4" t="str">
        <f>IFERROR(_xlfn.XLOOKUP(G499,Listas!E:E,Listas!F:F,""),"")</f>
        <v>Operativo</v>
      </c>
      <c r="I499" s="46" t="str">
        <f>IFERROR(_xlfn.XLOOKUP(G499,Listas!E:E,Listas!G:G,""),"")</f>
        <v>Externo</v>
      </c>
      <c r="J499" s="43">
        <v>5982</v>
      </c>
      <c r="K499" s="5">
        <f t="shared" si="7"/>
        <v>-5982</v>
      </c>
      <c r="L499" s="15" t="s">
        <v>129</v>
      </c>
      <c r="M499" s="44">
        <f>SUMIFS('Saldos Iniciales'!$D:$D,'Saldos Iniciales'!$A:$A,C499,'Saldos Iniciales'!$B:$B,D499)+SUMIFS($K$1:$K$1324,$C$1:$C$1324,C499,$D$1:$D$1324,D499,$B$1:$B$1324,"&lt;="&amp;B499)</f>
        <v>68157.680000000168</v>
      </c>
      <c r="N499" s="61" t="str">
        <f>IF(tblMovimientos[[#This Row],[Tipo de Movimiento]]="Ingreso",tblMovimientos[[#This Row],[Monto (S/)]],"0")</f>
        <v>0</v>
      </c>
      <c r="O499" s="61">
        <f>IF(tblMovimientos[[#This Row],[Tipo de Movimiento]]="Egreso",tblMovimientos[[#This Row],[Monto (S/)]],"0")</f>
        <v>5982</v>
      </c>
      <c r="P499" s="28">
        <f>IF(tblMovimientos[[#This Row],[Tipo de Movimiento]]="Ingreso",tblMovimientos[[#This Row],[Ingreso]],-tblMovimientos[[#This Row],[Egreso]])</f>
        <v>-5982</v>
      </c>
      <c r="Q499" s="78" t="str">
        <f>_xlfn.XLOOKUP(tblMovimientos[[#This Row],[Cuenta Bancaria]],Cuentas!$C:$C,Cuentas!$A:$A,"")&amp;""</f>
        <v>SSP Group</v>
      </c>
      <c r="R499" s="78" t="str">
        <f>_xlfn.XLOOKUP(tblMovimientos[[#This Row],[Cuenta Bancaria]],Cuentas!$C:$C,Cuentas!$B:$B,"",0,-1)&amp;""</f>
        <v/>
      </c>
    </row>
    <row r="500" spans="1:18" x14ac:dyDescent="0.3">
      <c r="B500" s="39">
        <v>46212</v>
      </c>
      <c r="C500" s="4" t="str">
        <f>_xlfn.XLOOKUP(tblMovimientos[[#This Row],[Cuenta Bancaria]],Listas!$B:$B,Listas!$A:$A,"")</f>
        <v>Go Blue</v>
      </c>
      <c r="D500" s="41" t="s">
        <v>165</v>
      </c>
      <c r="E500" s="68" t="str">
        <f>_xlfn.XLOOKUP(tblMovimientos[[#This Row],[Cuenta Bancaria]],Listas!$B:$B,Listas!$C:$C,"")</f>
        <v xml:space="preserve">Amerant Bank </v>
      </c>
      <c r="F500" s="41" t="s">
        <v>10</v>
      </c>
      <c r="G500" s="41" t="s">
        <v>38</v>
      </c>
      <c r="H500" s="4" t="str">
        <f>IFERROR(_xlfn.XLOOKUP(G500,Listas!E:E,Listas!F:F,""),"")</f>
        <v>Operativo</v>
      </c>
      <c r="I500" s="46" t="str">
        <f>IFERROR(_xlfn.XLOOKUP(G500,Listas!E:E,Listas!G:G,""),"")</f>
        <v>Externo</v>
      </c>
      <c r="J500" s="43">
        <v>47.47</v>
      </c>
      <c r="K500" s="5">
        <f t="shared" si="7"/>
        <v>-47.47</v>
      </c>
      <c r="L500" s="15" t="s">
        <v>129</v>
      </c>
      <c r="M500" s="44">
        <f>SUMIFS('Saldos Iniciales'!$D:$D,'Saldos Iniciales'!$A:$A,C500,'Saldos Iniciales'!$B:$B,D500)+SUMIFS($K$1:$K$1324,$C$1:$C$1324,C500,$D$1:$D$1324,D500,$B$1:$B$1324,"&lt;="&amp;B500)</f>
        <v>3338.84</v>
      </c>
      <c r="N500" s="61" t="str">
        <f>IF(tblMovimientos[[#This Row],[Tipo de Movimiento]]="Ingreso",tblMovimientos[[#This Row],[Monto (S/)]],"0")</f>
        <v>0</v>
      </c>
      <c r="O500" s="61">
        <f>IF(tblMovimientos[[#This Row],[Tipo de Movimiento]]="Egreso",tblMovimientos[[#This Row],[Monto (S/)]],"0")</f>
        <v>47.47</v>
      </c>
      <c r="P500" s="28">
        <f>IF(tblMovimientos[[#This Row],[Tipo de Movimiento]]="Ingreso",tblMovimientos[[#This Row],[Ingreso]],-tblMovimientos[[#This Row],[Egreso]])</f>
        <v>-47.47</v>
      </c>
      <c r="Q500" s="78" t="str">
        <f>_xlfn.XLOOKUP(tblMovimientos[[#This Row],[Cuenta Bancaria]],Cuentas!$C:$C,Cuentas!$A:$A,"")&amp;""</f>
        <v>SSP Group</v>
      </c>
      <c r="R500" s="78" t="str">
        <f>_xlfn.XLOOKUP(tblMovimientos[[#This Row],[Cuenta Bancaria]],Cuentas!$C:$C,Cuentas!$B:$B,"",0,-1)&amp;""</f>
        <v/>
      </c>
    </row>
    <row r="501" spans="1:18" x14ac:dyDescent="0.3">
      <c r="A501" s="45"/>
      <c r="B501" s="39">
        <v>46212</v>
      </c>
      <c r="C501" s="4" t="str">
        <f>_xlfn.XLOOKUP(tblMovimientos[[#This Row],[Cuenta Bancaria]],Listas!$B:$B,Listas!$A:$A,"")</f>
        <v>Go Blue</v>
      </c>
      <c r="D501" s="41" t="s">
        <v>165</v>
      </c>
      <c r="E501" s="68" t="str">
        <f>_xlfn.XLOOKUP(tblMovimientos[[#This Row],[Cuenta Bancaria]],Listas!$B:$B,Listas!$C:$C,"")</f>
        <v xml:space="preserve">Amerant Bank </v>
      </c>
      <c r="F501" s="41" t="s">
        <v>10</v>
      </c>
      <c r="G501" s="41" t="s">
        <v>38</v>
      </c>
      <c r="H501" s="46" t="str">
        <f>IFERROR(_xlfn.XLOOKUP(G501,Listas!E:E,Listas!F:F,""),"")</f>
        <v>Operativo</v>
      </c>
      <c r="I501" s="46" t="str">
        <f>IFERROR(_xlfn.XLOOKUP(G501,Listas!E:E,Listas!G:G,""),"")</f>
        <v>Externo</v>
      </c>
      <c r="J501" s="43">
        <v>36</v>
      </c>
      <c r="K501" s="5">
        <f t="shared" si="7"/>
        <v>-36</v>
      </c>
      <c r="L501" s="15" t="s">
        <v>129</v>
      </c>
      <c r="M501" s="44">
        <f>SUMIFS('Saldos Iniciales'!$D:$D,'Saldos Iniciales'!$A:$A,C501,'Saldos Iniciales'!$B:$B,D501)+SUMIFS($K$1:$K$1324,$C$1:$C$1324,C501,$D$1:$D$1324,D501,$B$1:$B$1324,"&lt;="&amp;B501)</f>
        <v>3338.84</v>
      </c>
      <c r="N501" s="61" t="str">
        <f>IF(tblMovimientos[[#This Row],[Tipo de Movimiento]]="Ingreso",tblMovimientos[[#This Row],[Monto (S/)]],"0")</f>
        <v>0</v>
      </c>
      <c r="O501" s="61">
        <f>IF(tblMovimientos[[#This Row],[Tipo de Movimiento]]="Egreso",tblMovimientos[[#This Row],[Monto (S/)]],"0")</f>
        <v>36</v>
      </c>
      <c r="P501" s="28">
        <f>IF(tblMovimientos[[#This Row],[Tipo de Movimiento]]="Ingreso",tblMovimientos[[#This Row],[Ingreso]],-tblMovimientos[[#This Row],[Egreso]])</f>
        <v>-36</v>
      </c>
      <c r="Q501" s="78" t="str">
        <f>_xlfn.XLOOKUP(tblMovimientos[[#This Row],[Cuenta Bancaria]],Cuentas!$C:$C,Cuentas!$A:$A,"")&amp;""</f>
        <v>SSP Group</v>
      </c>
      <c r="R501" s="78" t="str">
        <f>_xlfn.XLOOKUP(tblMovimientos[[#This Row],[Cuenta Bancaria]],Cuentas!$C:$C,Cuentas!$B:$B,"",0,-1)&amp;""</f>
        <v/>
      </c>
    </row>
    <row r="502" spans="1:18" x14ac:dyDescent="0.3">
      <c r="B502" s="39">
        <v>46212</v>
      </c>
      <c r="C502" s="4" t="str">
        <f>_xlfn.XLOOKUP(tblMovimientos[[#This Row],[Cuenta Bancaria]],Listas!$B:$B,Listas!$A:$A,"")</f>
        <v>CFT Group</v>
      </c>
      <c r="D502" s="41" t="s">
        <v>95</v>
      </c>
      <c r="E502" s="68" t="str">
        <f>_xlfn.XLOOKUP(tblMovimientos[[#This Row],[Cuenta Bancaria]],Listas!$B:$B,Listas!$C:$C,"")</f>
        <v xml:space="preserve">Amerant Bank </v>
      </c>
      <c r="F502" s="41" t="s">
        <v>10</v>
      </c>
      <c r="G502" s="41" t="s">
        <v>46</v>
      </c>
      <c r="H502" s="4" t="str">
        <f>IFERROR(_xlfn.XLOOKUP(G502,Listas!E:E,Listas!F:F,""),"")</f>
        <v>Financiamiento</v>
      </c>
      <c r="I502" s="46" t="str">
        <f>IFERROR(_xlfn.XLOOKUP(G502,Listas!E:E,Listas!G:G,""),"")</f>
        <v>Externo</v>
      </c>
      <c r="J502" s="43">
        <v>2975</v>
      </c>
      <c r="K502" s="5">
        <f t="shared" si="7"/>
        <v>-2975</v>
      </c>
      <c r="L502" s="15" t="s">
        <v>129</v>
      </c>
      <c r="M502" s="44">
        <f>SUMIFS('Saldos Iniciales'!$D:$D,'Saldos Iniciales'!$A:$A,C502,'Saldos Iniciales'!$B:$B,D502)+SUMIFS($K$1:$K$1324,$C$1:$C$1324,C502,$D$1:$D$1324,D502,$B$1:$B$1324,"&lt;="&amp;B502)</f>
        <v>4336744.6900000004</v>
      </c>
      <c r="N502" s="61" t="str">
        <f>IF(tblMovimientos[[#This Row],[Tipo de Movimiento]]="Ingreso",tblMovimientos[[#This Row],[Monto (S/)]],"0")</f>
        <v>0</v>
      </c>
      <c r="O502" s="61">
        <f>IF(tblMovimientos[[#This Row],[Tipo de Movimiento]]="Egreso",tblMovimientos[[#This Row],[Monto (S/)]],"0")</f>
        <v>2975</v>
      </c>
      <c r="P502" s="28">
        <f>IF(tblMovimientos[[#This Row],[Tipo de Movimiento]]="Ingreso",tblMovimientos[[#This Row],[Ingreso]],-tblMovimientos[[#This Row],[Egreso]])</f>
        <v>-2975</v>
      </c>
      <c r="Q502" s="78" t="str">
        <f>_xlfn.XLOOKUP(tblMovimientos[[#This Row],[Cuenta Bancaria]],Cuentas!$C:$C,Cuentas!$A:$A,"")&amp;""</f>
        <v>SSP Group</v>
      </c>
      <c r="R502" s="78" t="str">
        <f>_xlfn.XLOOKUP(tblMovimientos[[#This Row],[Cuenta Bancaria]],Cuentas!$C:$C,Cuentas!$B:$B,"",0,-1)&amp;""</f>
        <v/>
      </c>
    </row>
    <row r="503" spans="1:18" x14ac:dyDescent="0.3">
      <c r="B503" s="39">
        <v>46212</v>
      </c>
      <c r="C503" s="4" t="str">
        <f>_xlfn.XLOOKUP(tblMovimientos[[#This Row],[Cuenta Bancaria]],Listas!$B:$B,Listas!$A:$A,"")</f>
        <v>CFT Group</v>
      </c>
      <c r="D503" s="41" t="s">
        <v>95</v>
      </c>
      <c r="E503" s="68" t="str">
        <f>_xlfn.XLOOKUP(tblMovimientos[[#This Row],[Cuenta Bancaria]],Listas!$B:$B,Listas!$C:$C,"")</f>
        <v xml:space="preserve">Amerant Bank </v>
      </c>
      <c r="F503" s="41" t="s">
        <v>10</v>
      </c>
      <c r="G503" s="41" t="s">
        <v>46</v>
      </c>
      <c r="H503" s="4" t="str">
        <f>IFERROR(_xlfn.XLOOKUP(G503,Listas!E:E,Listas!F:F,""),"")</f>
        <v>Financiamiento</v>
      </c>
      <c r="I503" s="46" t="str">
        <f>IFERROR(_xlfn.XLOOKUP(G503,Listas!E:E,Listas!G:G,""),"")</f>
        <v>Externo</v>
      </c>
      <c r="J503" s="43">
        <v>11666.67</v>
      </c>
      <c r="K503" s="5">
        <f t="shared" si="7"/>
        <v>-11666.67</v>
      </c>
      <c r="L503" s="15" t="s">
        <v>129</v>
      </c>
      <c r="M503" s="44">
        <f>SUMIFS('Saldos Iniciales'!$D:$D,'Saldos Iniciales'!$A:$A,C503,'Saldos Iniciales'!$B:$B,D503)+SUMIFS($K$1:$K$1324,$C$1:$C$1324,C503,$D$1:$D$1324,D503,$B$1:$B$1324,"&lt;="&amp;B503)</f>
        <v>4336744.6900000004</v>
      </c>
      <c r="N503" s="61" t="str">
        <f>IF(tblMovimientos[[#This Row],[Tipo de Movimiento]]="Ingreso",tblMovimientos[[#This Row],[Monto (S/)]],"0")</f>
        <v>0</v>
      </c>
      <c r="O503" s="61">
        <f>IF(tblMovimientos[[#This Row],[Tipo de Movimiento]]="Egreso",tblMovimientos[[#This Row],[Monto (S/)]],"0")</f>
        <v>11666.67</v>
      </c>
      <c r="P503" s="28">
        <f>IF(tblMovimientos[[#This Row],[Tipo de Movimiento]]="Ingreso",tblMovimientos[[#This Row],[Ingreso]],-tblMovimientos[[#This Row],[Egreso]])</f>
        <v>-11666.67</v>
      </c>
      <c r="Q503" s="78" t="str">
        <f>_xlfn.XLOOKUP(tblMovimientos[[#This Row],[Cuenta Bancaria]],Cuentas!$C:$C,Cuentas!$A:$A,"")&amp;""</f>
        <v>SSP Group</v>
      </c>
      <c r="R503" s="78" t="str">
        <f>_xlfn.XLOOKUP(tblMovimientos[[#This Row],[Cuenta Bancaria]],Cuentas!$C:$C,Cuentas!$B:$B,"",0,-1)&amp;""</f>
        <v/>
      </c>
    </row>
    <row r="504" spans="1:18" x14ac:dyDescent="0.3">
      <c r="B504" s="39">
        <v>46212</v>
      </c>
      <c r="C504" s="4" t="str">
        <f>_xlfn.XLOOKUP(tblMovimientos[[#This Row],[Cuenta Bancaria]],Listas!$B:$B,Listas!$A:$A,"")</f>
        <v>CFT Group</v>
      </c>
      <c r="D504" s="41" t="s">
        <v>95</v>
      </c>
      <c r="E504" s="68" t="str">
        <f>_xlfn.XLOOKUP(tblMovimientos[[#This Row],[Cuenta Bancaria]],Listas!$B:$B,Listas!$C:$C,"")</f>
        <v xml:space="preserve">Amerant Bank </v>
      </c>
      <c r="F504" s="41" t="s">
        <v>10</v>
      </c>
      <c r="G504" s="41" t="s">
        <v>61</v>
      </c>
      <c r="H504" s="4" t="str">
        <f>IFERROR(_xlfn.XLOOKUP(G504,Listas!E:E,Listas!F:F,""),"")</f>
        <v>Operativo</v>
      </c>
      <c r="I504" s="46" t="str">
        <f>IFERROR(_xlfn.XLOOKUP(G504,Listas!E:E,Listas!G:G,""),"")</f>
        <v>Externo</v>
      </c>
      <c r="J504" s="43">
        <v>40000</v>
      </c>
      <c r="K504" s="5">
        <f t="shared" si="7"/>
        <v>-40000</v>
      </c>
      <c r="L504" s="15" t="s">
        <v>129</v>
      </c>
      <c r="M504" s="44">
        <f>SUMIFS('Saldos Iniciales'!$D:$D,'Saldos Iniciales'!$A:$A,C504,'Saldos Iniciales'!$B:$B,D504)+SUMIFS($K$1:$K$1324,$C$1:$C$1324,C504,$D$1:$D$1324,D504,$B$1:$B$1324,"&lt;="&amp;B504)</f>
        <v>4336744.6900000004</v>
      </c>
      <c r="N504" s="61" t="str">
        <f>IF(tblMovimientos[[#This Row],[Tipo de Movimiento]]="Ingreso",tblMovimientos[[#This Row],[Monto (S/)]],"0")</f>
        <v>0</v>
      </c>
      <c r="O504" s="61">
        <f>IF(tblMovimientos[[#This Row],[Tipo de Movimiento]]="Egreso",tblMovimientos[[#This Row],[Monto (S/)]],"0")</f>
        <v>40000</v>
      </c>
      <c r="P504" s="28">
        <f>IF(tblMovimientos[[#This Row],[Tipo de Movimiento]]="Ingreso",tblMovimientos[[#This Row],[Ingreso]],-tblMovimientos[[#This Row],[Egreso]])</f>
        <v>-40000</v>
      </c>
      <c r="Q504" s="78" t="str">
        <f>_xlfn.XLOOKUP(tblMovimientos[[#This Row],[Cuenta Bancaria]],Cuentas!$C:$C,Cuentas!$A:$A,"")&amp;""</f>
        <v>SSP Group</v>
      </c>
      <c r="R504" s="78" t="str">
        <f>_xlfn.XLOOKUP(tblMovimientos[[#This Row],[Cuenta Bancaria]],Cuentas!$C:$C,Cuentas!$B:$B,"",0,-1)&amp;""</f>
        <v/>
      </c>
    </row>
    <row r="505" spans="1:18" x14ac:dyDescent="0.3">
      <c r="B505" s="39">
        <v>46212</v>
      </c>
      <c r="C505" s="4" t="str">
        <f>_xlfn.XLOOKUP(tblMovimientos[[#This Row],[Cuenta Bancaria]],Listas!$B:$B,Listas!$A:$A,"")</f>
        <v>CFT Group</v>
      </c>
      <c r="D505" s="41" t="s">
        <v>95</v>
      </c>
      <c r="E505" s="68" t="str">
        <f>_xlfn.XLOOKUP(tblMovimientos[[#This Row],[Cuenta Bancaria]],Listas!$B:$B,Listas!$C:$C,"")</f>
        <v xml:space="preserve">Amerant Bank </v>
      </c>
      <c r="F505" s="41" t="s">
        <v>10</v>
      </c>
      <c r="G505" s="41" t="s">
        <v>61</v>
      </c>
      <c r="H505" s="4" t="str">
        <f>IFERROR(_xlfn.XLOOKUP(G505,Listas!E:E,Listas!F:F,""),"")</f>
        <v>Operativo</v>
      </c>
      <c r="I505" s="46" t="str">
        <f>IFERROR(_xlfn.XLOOKUP(G505,Listas!E:E,Listas!G:G,""),"")</f>
        <v>Externo</v>
      </c>
      <c r="J505" s="43">
        <v>60000</v>
      </c>
      <c r="K505" s="5">
        <f t="shared" si="7"/>
        <v>-60000</v>
      </c>
      <c r="L505" s="15" t="s">
        <v>129</v>
      </c>
      <c r="M505" s="44">
        <f>SUMIFS('Saldos Iniciales'!$D:$D,'Saldos Iniciales'!$A:$A,C505,'Saldos Iniciales'!$B:$B,D505)+SUMIFS($K$1:$K$1324,$C$1:$C$1324,C505,$D$1:$D$1324,D505,$B$1:$B$1324,"&lt;="&amp;B505)</f>
        <v>4336744.6900000004</v>
      </c>
      <c r="N505" s="61" t="str">
        <f>IF(tblMovimientos[[#This Row],[Tipo de Movimiento]]="Ingreso",tblMovimientos[[#This Row],[Monto (S/)]],"0")</f>
        <v>0</v>
      </c>
      <c r="O505" s="61">
        <f>IF(tblMovimientos[[#This Row],[Tipo de Movimiento]]="Egreso",tblMovimientos[[#This Row],[Monto (S/)]],"0")</f>
        <v>60000</v>
      </c>
      <c r="P505" s="28">
        <f>IF(tblMovimientos[[#This Row],[Tipo de Movimiento]]="Ingreso",tblMovimientos[[#This Row],[Ingreso]],-tblMovimientos[[#This Row],[Egreso]])</f>
        <v>-60000</v>
      </c>
      <c r="Q505" s="78" t="str">
        <f>_xlfn.XLOOKUP(tblMovimientos[[#This Row],[Cuenta Bancaria]],Cuentas!$C:$C,Cuentas!$A:$A,"")&amp;""</f>
        <v>SSP Group</v>
      </c>
      <c r="R505" s="78" t="str">
        <f>_xlfn.XLOOKUP(tblMovimientos[[#This Row],[Cuenta Bancaria]],Cuentas!$C:$C,Cuentas!$B:$B,"",0,-1)&amp;""</f>
        <v/>
      </c>
    </row>
    <row r="506" spans="1:18" x14ac:dyDescent="0.3">
      <c r="B506" s="39">
        <v>46212</v>
      </c>
      <c r="C506" s="4" t="str">
        <f>_xlfn.XLOOKUP(tblMovimientos[[#This Row],[Cuenta Bancaria]],Listas!$B:$B,Listas!$A:$A,"")</f>
        <v>CFT Group</v>
      </c>
      <c r="D506" s="41" t="s">
        <v>95</v>
      </c>
      <c r="E506" s="68" t="str">
        <f>_xlfn.XLOOKUP(tblMovimientos[[#This Row],[Cuenta Bancaria]],Listas!$B:$B,Listas!$C:$C,"")</f>
        <v xml:space="preserve">Amerant Bank </v>
      </c>
      <c r="F506" s="41" t="s">
        <v>10</v>
      </c>
      <c r="G506" s="41" t="s">
        <v>61</v>
      </c>
      <c r="H506" s="4" t="str">
        <f>IFERROR(_xlfn.XLOOKUP(G506,Listas!E:E,Listas!F:F,""),"")</f>
        <v>Operativo</v>
      </c>
      <c r="I506" s="46" t="str">
        <f>IFERROR(_xlfn.XLOOKUP(G506,Listas!E:E,Listas!G:G,""),"")</f>
        <v>Externo</v>
      </c>
      <c r="J506" s="43">
        <v>100000</v>
      </c>
      <c r="K506" s="5">
        <f t="shared" si="7"/>
        <v>-100000</v>
      </c>
      <c r="L506" s="15" t="s">
        <v>129</v>
      </c>
      <c r="M506" s="44">
        <f>SUMIFS('Saldos Iniciales'!$D:$D,'Saldos Iniciales'!$A:$A,C506,'Saldos Iniciales'!$B:$B,D506)+SUMIFS($K$1:$K$1324,$C$1:$C$1324,C506,$D$1:$D$1324,D506,$B$1:$B$1324,"&lt;="&amp;B506)</f>
        <v>4336744.6900000004</v>
      </c>
      <c r="N506" s="61" t="str">
        <f>IF(tblMovimientos[[#This Row],[Tipo de Movimiento]]="Ingreso",tblMovimientos[[#This Row],[Monto (S/)]],"0")</f>
        <v>0</v>
      </c>
      <c r="O506" s="61">
        <f>IF(tblMovimientos[[#This Row],[Tipo de Movimiento]]="Egreso",tblMovimientos[[#This Row],[Monto (S/)]],"0")</f>
        <v>100000</v>
      </c>
      <c r="P506" s="28">
        <f>IF(tblMovimientos[[#This Row],[Tipo de Movimiento]]="Ingreso",tblMovimientos[[#This Row],[Ingreso]],-tblMovimientos[[#This Row],[Egreso]])</f>
        <v>-100000</v>
      </c>
      <c r="Q506" s="78" t="str">
        <f>_xlfn.XLOOKUP(tblMovimientos[[#This Row],[Cuenta Bancaria]],Cuentas!$C:$C,Cuentas!$A:$A,"")&amp;""</f>
        <v>SSP Group</v>
      </c>
      <c r="R506" s="78" t="str">
        <f>_xlfn.XLOOKUP(tblMovimientos[[#This Row],[Cuenta Bancaria]],Cuentas!$C:$C,Cuentas!$B:$B,"",0,-1)&amp;""</f>
        <v/>
      </c>
    </row>
    <row r="507" spans="1:18" x14ac:dyDescent="0.3">
      <c r="B507" s="39">
        <v>46212</v>
      </c>
      <c r="C507" s="4" t="str">
        <f>_xlfn.XLOOKUP(tblMovimientos[[#This Row],[Cuenta Bancaria]],Listas!$B:$B,Listas!$A:$A,"")</f>
        <v>CFT Group</v>
      </c>
      <c r="D507" s="41" t="s">
        <v>95</v>
      </c>
      <c r="E507" s="68" t="str">
        <f>_xlfn.XLOOKUP(tblMovimientos[[#This Row],[Cuenta Bancaria]],Listas!$B:$B,Listas!$C:$C,"")</f>
        <v xml:space="preserve">Amerant Bank </v>
      </c>
      <c r="F507" s="41" t="s">
        <v>10</v>
      </c>
      <c r="G507" s="41" t="s">
        <v>61</v>
      </c>
      <c r="H507" s="4" t="str">
        <f>IFERROR(_xlfn.XLOOKUP(G507,Listas!E:E,Listas!F:F,""),"")</f>
        <v>Operativo</v>
      </c>
      <c r="I507" s="46" t="str">
        <f>IFERROR(_xlfn.XLOOKUP(G507,Listas!E:E,Listas!G:G,""),"")</f>
        <v>Externo</v>
      </c>
      <c r="J507" s="43">
        <v>100000</v>
      </c>
      <c r="K507" s="5">
        <f t="shared" si="7"/>
        <v>-100000</v>
      </c>
      <c r="L507" s="15" t="s">
        <v>129</v>
      </c>
      <c r="M507" s="44">
        <f>SUMIFS('Saldos Iniciales'!$D:$D,'Saldos Iniciales'!$A:$A,C507,'Saldos Iniciales'!$B:$B,D507)+SUMIFS($K$1:$K$1324,$C$1:$C$1324,C507,$D$1:$D$1324,D507,$B$1:$B$1324,"&lt;="&amp;B507)</f>
        <v>4336744.6900000004</v>
      </c>
      <c r="N507" s="61" t="str">
        <f>IF(tblMovimientos[[#This Row],[Tipo de Movimiento]]="Ingreso",tblMovimientos[[#This Row],[Monto (S/)]],"0")</f>
        <v>0</v>
      </c>
      <c r="O507" s="61">
        <f>IF(tblMovimientos[[#This Row],[Tipo de Movimiento]]="Egreso",tblMovimientos[[#This Row],[Monto (S/)]],"0")</f>
        <v>100000</v>
      </c>
      <c r="P507" s="28">
        <f>IF(tblMovimientos[[#This Row],[Tipo de Movimiento]]="Ingreso",tblMovimientos[[#This Row],[Ingreso]],-tblMovimientos[[#This Row],[Egreso]])</f>
        <v>-100000</v>
      </c>
      <c r="Q507" s="78" t="str">
        <f>_xlfn.XLOOKUP(tblMovimientos[[#This Row],[Cuenta Bancaria]],Cuentas!$C:$C,Cuentas!$A:$A,"")&amp;""</f>
        <v>SSP Group</v>
      </c>
      <c r="R507" s="78" t="str">
        <f>_xlfn.XLOOKUP(tblMovimientos[[#This Row],[Cuenta Bancaria]],Cuentas!$C:$C,Cuentas!$B:$B,"",0,-1)&amp;""</f>
        <v/>
      </c>
    </row>
    <row r="508" spans="1:18" x14ac:dyDescent="0.3">
      <c r="B508" s="39">
        <v>46212</v>
      </c>
      <c r="C508" s="4" t="str">
        <f>_xlfn.XLOOKUP(tblMovimientos[[#This Row],[Cuenta Bancaria]],Listas!$B:$B,Listas!$A:$A,"")</f>
        <v>CFT Group</v>
      </c>
      <c r="D508" s="41" t="s">
        <v>95</v>
      </c>
      <c r="E508" s="68" t="str">
        <f>_xlfn.XLOOKUP(tblMovimientos[[#This Row],[Cuenta Bancaria]],Listas!$B:$B,Listas!$C:$C,"")</f>
        <v xml:space="preserve">Amerant Bank </v>
      </c>
      <c r="F508" s="41" t="s">
        <v>10</v>
      </c>
      <c r="G508" s="41" t="s">
        <v>61</v>
      </c>
      <c r="H508" s="4" t="str">
        <f>IFERROR(_xlfn.XLOOKUP(G508,Listas!E:E,Listas!F:F,""),"")</f>
        <v>Operativo</v>
      </c>
      <c r="I508" s="46" t="str">
        <f>IFERROR(_xlfn.XLOOKUP(G508,Listas!E:E,Listas!G:G,""),"")</f>
        <v>Externo</v>
      </c>
      <c r="J508" s="43">
        <v>100000</v>
      </c>
      <c r="K508" s="5">
        <f t="shared" si="7"/>
        <v>-100000</v>
      </c>
      <c r="L508" s="15" t="s">
        <v>129</v>
      </c>
      <c r="M508" s="44">
        <f>SUMIFS('Saldos Iniciales'!$D:$D,'Saldos Iniciales'!$A:$A,C508,'Saldos Iniciales'!$B:$B,D508)+SUMIFS($K$1:$K$1324,$C$1:$C$1324,C508,$D$1:$D$1324,D508,$B$1:$B$1324,"&lt;="&amp;B508)</f>
        <v>4336744.6900000004</v>
      </c>
      <c r="N508" s="61" t="str">
        <f>IF(tblMovimientos[[#This Row],[Tipo de Movimiento]]="Ingreso",tblMovimientos[[#This Row],[Monto (S/)]],"0")</f>
        <v>0</v>
      </c>
      <c r="O508" s="61">
        <f>IF(tblMovimientos[[#This Row],[Tipo de Movimiento]]="Egreso",tblMovimientos[[#This Row],[Monto (S/)]],"0")</f>
        <v>100000</v>
      </c>
      <c r="P508" s="28">
        <f>IF(tblMovimientos[[#This Row],[Tipo de Movimiento]]="Ingreso",tblMovimientos[[#This Row],[Ingreso]],-tblMovimientos[[#This Row],[Egreso]])</f>
        <v>-100000</v>
      </c>
      <c r="Q508" s="78" t="str">
        <f>_xlfn.XLOOKUP(tblMovimientos[[#This Row],[Cuenta Bancaria]],Cuentas!$C:$C,Cuentas!$A:$A,"")&amp;""</f>
        <v>SSP Group</v>
      </c>
      <c r="R508" s="78" t="str">
        <f>_xlfn.XLOOKUP(tblMovimientos[[#This Row],[Cuenta Bancaria]],Cuentas!$C:$C,Cuentas!$B:$B,"",0,-1)&amp;""</f>
        <v/>
      </c>
    </row>
    <row r="509" spans="1:18" x14ac:dyDescent="0.3">
      <c r="B509" s="39">
        <v>46212</v>
      </c>
      <c r="C509" s="4" t="str">
        <f>_xlfn.XLOOKUP(tblMovimientos[[#This Row],[Cuenta Bancaria]],Listas!$B:$B,Listas!$A:$A,"")</f>
        <v>CFT Group</v>
      </c>
      <c r="D509" s="41" t="s">
        <v>95</v>
      </c>
      <c r="E509" s="68" t="str">
        <f>_xlfn.XLOOKUP(tblMovimientos[[#This Row],[Cuenta Bancaria]],Listas!$B:$B,Listas!$C:$C,"")</f>
        <v xml:space="preserve">Amerant Bank </v>
      </c>
      <c r="F509" s="41" t="s">
        <v>10</v>
      </c>
      <c r="G509" s="41" t="s">
        <v>48</v>
      </c>
      <c r="H509" s="4" t="str">
        <f>IFERROR(_xlfn.XLOOKUP(G509,Listas!E:E,Listas!F:F,""),"")</f>
        <v>Financiamiento</v>
      </c>
      <c r="I509" s="46" t="str">
        <f>IFERROR(_xlfn.XLOOKUP(G509,Listas!E:E,Listas!G:G,""),"")</f>
        <v>Externo</v>
      </c>
      <c r="J509" s="43">
        <v>200000</v>
      </c>
      <c r="K509" s="5">
        <f t="shared" si="7"/>
        <v>-200000</v>
      </c>
      <c r="L509" s="15" t="s">
        <v>129</v>
      </c>
      <c r="M509" s="44">
        <f>SUMIFS('Saldos Iniciales'!$D:$D,'Saldos Iniciales'!$A:$A,C509,'Saldos Iniciales'!$B:$B,D509)+SUMIFS($K$1:$K$1324,$C$1:$C$1324,C509,$D$1:$D$1324,D509,$B$1:$B$1324,"&lt;="&amp;B509)</f>
        <v>4336744.6900000004</v>
      </c>
      <c r="N509" s="61" t="str">
        <f>IF(tblMovimientos[[#This Row],[Tipo de Movimiento]]="Ingreso",tblMovimientos[[#This Row],[Monto (S/)]],"0")</f>
        <v>0</v>
      </c>
      <c r="O509" s="61">
        <f>IF(tblMovimientos[[#This Row],[Tipo de Movimiento]]="Egreso",tblMovimientos[[#This Row],[Monto (S/)]],"0")</f>
        <v>200000</v>
      </c>
      <c r="P509" s="28">
        <f>IF(tblMovimientos[[#This Row],[Tipo de Movimiento]]="Ingreso",tblMovimientos[[#This Row],[Ingreso]],-tblMovimientos[[#This Row],[Egreso]])</f>
        <v>-200000</v>
      </c>
      <c r="Q509" s="78" t="str">
        <f>_xlfn.XLOOKUP(tblMovimientos[[#This Row],[Cuenta Bancaria]],Cuentas!$C:$C,Cuentas!$A:$A,"")&amp;""</f>
        <v>SSP Group</v>
      </c>
      <c r="R509" s="78" t="str">
        <f>_xlfn.XLOOKUP(tblMovimientos[[#This Row],[Cuenta Bancaria]],Cuentas!$C:$C,Cuentas!$B:$B,"",0,-1)&amp;""</f>
        <v/>
      </c>
    </row>
    <row r="510" spans="1:18" x14ac:dyDescent="0.3">
      <c r="B510" s="39">
        <v>46212</v>
      </c>
      <c r="C510" s="4" t="str">
        <f>_xlfn.XLOOKUP(tblMovimientos[[#This Row],[Cuenta Bancaria]],Listas!$B:$B,Listas!$A:$A,"")</f>
        <v>CFT Group</v>
      </c>
      <c r="D510" s="41" t="s">
        <v>95</v>
      </c>
      <c r="E510" s="68" t="str">
        <f>_xlfn.XLOOKUP(tblMovimientos[[#This Row],[Cuenta Bancaria]],Listas!$B:$B,Listas!$C:$C,"")</f>
        <v xml:space="preserve">Amerant Bank </v>
      </c>
      <c r="F510" s="41" t="s">
        <v>10</v>
      </c>
      <c r="G510" s="41" t="s">
        <v>62</v>
      </c>
      <c r="H510" s="4" t="str">
        <f>IFERROR(_xlfn.XLOOKUP(G510,Listas!E:E,Listas!F:F,""),"")</f>
        <v>Operativo</v>
      </c>
      <c r="I510" s="46" t="str">
        <f>IFERROR(_xlfn.XLOOKUP(G510,Listas!E:E,Listas!G:G,""),"")</f>
        <v>Interno</v>
      </c>
      <c r="J510" s="43">
        <v>600000</v>
      </c>
      <c r="K510" s="5">
        <f t="shared" si="7"/>
        <v>-600000</v>
      </c>
      <c r="L510" s="15" t="s">
        <v>129</v>
      </c>
      <c r="M510" s="44">
        <f>SUMIFS('Saldos Iniciales'!$D:$D,'Saldos Iniciales'!$A:$A,C510,'Saldos Iniciales'!$B:$B,D510)+SUMIFS($K$1:$K$1324,$C$1:$C$1324,C510,$D$1:$D$1324,D510,$B$1:$B$1324,"&lt;="&amp;B510)</f>
        <v>4336744.6900000004</v>
      </c>
      <c r="N510" s="61" t="str">
        <f>IF(tblMovimientos[[#This Row],[Tipo de Movimiento]]="Ingreso",tblMovimientos[[#This Row],[Monto (S/)]],"0")</f>
        <v>0</v>
      </c>
      <c r="O510" s="61">
        <f>IF(tblMovimientos[[#This Row],[Tipo de Movimiento]]="Egreso",tblMovimientos[[#This Row],[Monto (S/)]],"0")</f>
        <v>600000</v>
      </c>
      <c r="P510" s="28">
        <f>IF(tblMovimientos[[#This Row],[Tipo de Movimiento]]="Ingreso",tblMovimientos[[#This Row],[Ingreso]],-tblMovimientos[[#This Row],[Egreso]])</f>
        <v>-600000</v>
      </c>
      <c r="Q510" s="78" t="str">
        <f>_xlfn.XLOOKUP(tblMovimientos[[#This Row],[Cuenta Bancaria]],Cuentas!$C:$C,Cuentas!$A:$A,"")&amp;""</f>
        <v>SSP Group</v>
      </c>
      <c r="R510" s="78" t="str">
        <f>_xlfn.XLOOKUP(tblMovimientos[[#This Row],[Cuenta Bancaria]],Cuentas!$C:$C,Cuentas!$B:$B,"",0,-1)&amp;""</f>
        <v/>
      </c>
    </row>
    <row r="511" spans="1:18" x14ac:dyDescent="0.3">
      <c r="B511" s="39">
        <v>46212</v>
      </c>
      <c r="C511" s="4" t="str">
        <f>_xlfn.XLOOKUP(tblMovimientos[[#This Row],[Cuenta Bancaria]],Listas!$B:$B,Listas!$A:$A,"")</f>
        <v>Cross Family Trust</v>
      </c>
      <c r="D511" s="41" t="s">
        <v>111</v>
      </c>
      <c r="E511" s="68" t="str">
        <f>_xlfn.XLOOKUP(tblMovimientos[[#This Row],[Cuenta Bancaria]],Listas!$B:$B,Listas!$C:$C,"")</f>
        <v xml:space="preserve">Amerant Bank </v>
      </c>
      <c r="F511" s="41" t="s">
        <v>10</v>
      </c>
      <c r="G511" s="41" t="s">
        <v>53</v>
      </c>
      <c r="H511" s="4" t="str">
        <f>IFERROR(_xlfn.XLOOKUP(G511,Listas!E:E,Listas!F:F,""),"")</f>
        <v>Inversion</v>
      </c>
      <c r="I511" s="46" t="str">
        <f>IFERROR(_xlfn.XLOOKUP(G511,Listas!E:E,Listas!G:G,""),"")</f>
        <v>Interno</v>
      </c>
      <c r="J511" s="43">
        <v>20000</v>
      </c>
      <c r="K511" s="5">
        <f t="shared" si="7"/>
        <v>-20000</v>
      </c>
      <c r="L511" s="15" t="s">
        <v>129</v>
      </c>
      <c r="M511" s="44">
        <f>SUMIFS('Saldos Iniciales'!$D:$D,'Saldos Iniciales'!$A:$A,C511,'Saldos Iniciales'!$B:$B,D511)+SUMIFS($K$1:$K$1324,$C$1:$C$1324,C511,$D$1:$D$1324,D511,$B$1:$B$1324,"&lt;="&amp;B511)</f>
        <v>91717.6</v>
      </c>
      <c r="N511" s="61" t="str">
        <f>IF(tblMovimientos[[#This Row],[Tipo de Movimiento]]="Ingreso",tblMovimientos[[#This Row],[Monto (S/)]],"0")</f>
        <v>0</v>
      </c>
      <c r="O511" s="61">
        <f>IF(tblMovimientos[[#This Row],[Tipo de Movimiento]]="Egreso",tblMovimientos[[#This Row],[Monto (S/)]],"0")</f>
        <v>20000</v>
      </c>
      <c r="P511" s="28">
        <f>IF(tblMovimientos[[#This Row],[Tipo de Movimiento]]="Ingreso",tblMovimientos[[#This Row],[Ingreso]],-tblMovimientos[[#This Row],[Egreso]])</f>
        <v>-20000</v>
      </c>
      <c r="Q511" s="78" t="str">
        <f>_xlfn.XLOOKUP(tblMovimientos[[#This Row],[Cuenta Bancaria]],Cuentas!$C:$C,Cuentas!$A:$A,"")&amp;""</f>
        <v>SSP Group</v>
      </c>
      <c r="R511" s="78" t="str">
        <f>_xlfn.XLOOKUP(tblMovimientos[[#This Row],[Cuenta Bancaria]],Cuentas!$C:$C,Cuentas!$B:$B,"",0,-1)&amp;""</f>
        <v>Trust</v>
      </c>
    </row>
    <row r="512" spans="1:18" x14ac:dyDescent="0.3">
      <c r="B512" s="39">
        <v>46212</v>
      </c>
      <c r="C512" s="4" t="str">
        <f>_xlfn.XLOOKUP(tblMovimientos[[#This Row],[Cuenta Bancaria]],Listas!$B:$B,Listas!$A:$A,"")</f>
        <v>SSP Capital</v>
      </c>
      <c r="D512" s="41" t="s">
        <v>104</v>
      </c>
      <c r="E512" s="68" t="str">
        <f>_xlfn.XLOOKUP(tblMovimientos[[#This Row],[Cuenta Bancaria]],Listas!$B:$B,Listas!$C:$C,"")</f>
        <v xml:space="preserve">Amerant Bank </v>
      </c>
      <c r="F512" s="41" t="s">
        <v>9</v>
      </c>
      <c r="G512" s="41" t="s">
        <v>75</v>
      </c>
      <c r="H512" s="4" t="str">
        <f>IFERROR(_xlfn.XLOOKUP(G512,Listas!E:E,Listas!F:F,""),"")</f>
        <v>Financiamiento</v>
      </c>
      <c r="I512" s="46" t="str">
        <f>IFERROR(_xlfn.XLOOKUP(G512,Listas!E:E,Listas!G:G,""),"")</f>
        <v>Interno</v>
      </c>
      <c r="J512" s="43">
        <v>600000</v>
      </c>
      <c r="K512" s="5">
        <f t="shared" si="7"/>
        <v>600000</v>
      </c>
      <c r="L512" s="15" t="s">
        <v>129</v>
      </c>
      <c r="M512" s="44">
        <f>SUMIFS('Saldos Iniciales'!$D:$D,'Saldos Iniciales'!$A:$A,C512,'Saldos Iniciales'!$B:$B,D512)+SUMIFS($K$1:$K$1324,$C$1:$C$1324,C512,$D$1:$D$1324,D512,$B$1:$B$1324,"&lt;="&amp;B512)</f>
        <v>1289236.6699999995</v>
      </c>
      <c r="N512" s="61">
        <f>IF(tblMovimientos[[#This Row],[Tipo de Movimiento]]="Ingreso",tblMovimientos[[#This Row],[Monto (S/)]],"0")</f>
        <v>600000</v>
      </c>
      <c r="O512" s="61" t="str">
        <f>IF(tblMovimientos[[#This Row],[Tipo de Movimiento]]="Egreso",tblMovimientos[[#This Row],[Monto (S/)]],"0")</f>
        <v>0</v>
      </c>
      <c r="P512" s="28">
        <f>IF(tblMovimientos[[#This Row],[Tipo de Movimiento]]="Ingreso",tblMovimientos[[#This Row],[Ingreso]],-tblMovimientos[[#This Row],[Egreso]])</f>
        <v>600000</v>
      </c>
      <c r="Q512" s="78" t="str">
        <f>_xlfn.XLOOKUP(tblMovimientos[[#This Row],[Cuenta Bancaria]],Cuentas!$C:$C,Cuentas!$A:$A,"")&amp;""</f>
        <v>SSP Group</v>
      </c>
      <c r="R512" s="78" t="str">
        <f>_xlfn.XLOOKUP(tblMovimientos[[#This Row],[Cuenta Bancaria]],Cuentas!$C:$C,Cuentas!$B:$B,"",0,-1)&amp;""</f>
        <v/>
      </c>
    </row>
    <row r="513" spans="2:18" x14ac:dyDescent="0.3">
      <c r="B513" s="39">
        <v>46212</v>
      </c>
      <c r="C513" s="4" t="str">
        <f>_xlfn.XLOOKUP(tblMovimientos[[#This Row],[Cuenta Bancaria]],Listas!$B:$B,Listas!$A:$A,"")</f>
        <v>SSP Capital</v>
      </c>
      <c r="D513" s="41" t="s">
        <v>104</v>
      </c>
      <c r="E513" s="68" t="str">
        <f>_xlfn.XLOOKUP(tblMovimientos[[#This Row],[Cuenta Bancaria]],Listas!$B:$B,Listas!$C:$C,"")</f>
        <v xml:space="preserve">Amerant Bank </v>
      </c>
      <c r="F513" s="41" t="s">
        <v>10</v>
      </c>
      <c r="G513" s="41" t="s">
        <v>38</v>
      </c>
      <c r="H513" s="4" t="str">
        <f>IFERROR(_xlfn.XLOOKUP(G513,Listas!E:E,Listas!F:F,""),"")</f>
        <v>Operativo</v>
      </c>
      <c r="I513" s="46" t="str">
        <f>IFERROR(_xlfn.XLOOKUP(G513,Listas!E:E,Listas!G:G,""),"")</f>
        <v>Externo</v>
      </c>
      <c r="J513" s="43">
        <v>295</v>
      </c>
      <c r="K513" s="5">
        <f t="shared" si="7"/>
        <v>-295</v>
      </c>
      <c r="L513" s="15" t="s">
        <v>129</v>
      </c>
      <c r="M513" s="44">
        <f>SUMIFS('Saldos Iniciales'!$D:$D,'Saldos Iniciales'!$A:$A,C513,'Saldos Iniciales'!$B:$B,D513)+SUMIFS($K$1:$K$1324,$C$1:$C$1324,C513,$D$1:$D$1324,D513,$B$1:$B$1324,"&lt;="&amp;B513)</f>
        <v>1289236.6699999995</v>
      </c>
      <c r="N513" s="61" t="str">
        <f>IF(tblMovimientos[[#This Row],[Tipo de Movimiento]]="Ingreso",tblMovimientos[[#This Row],[Monto (S/)]],"0")</f>
        <v>0</v>
      </c>
      <c r="O513" s="61">
        <f>IF(tblMovimientos[[#This Row],[Tipo de Movimiento]]="Egreso",tblMovimientos[[#This Row],[Monto (S/)]],"0")</f>
        <v>295</v>
      </c>
      <c r="P513" s="28">
        <f>IF(tblMovimientos[[#This Row],[Tipo de Movimiento]]="Ingreso",tblMovimientos[[#This Row],[Ingreso]],-tblMovimientos[[#This Row],[Egreso]])</f>
        <v>-295</v>
      </c>
      <c r="Q513" s="78" t="str">
        <f>_xlfn.XLOOKUP(tblMovimientos[[#This Row],[Cuenta Bancaria]],Cuentas!$C:$C,Cuentas!$A:$A,"")&amp;""</f>
        <v>SSP Group</v>
      </c>
      <c r="R513" s="78" t="str">
        <f>_xlfn.XLOOKUP(tblMovimientos[[#This Row],[Cuenta Bancaria]],Cuentas!$C:$C,Cuentas!$B:$B,"",0,-1)&amp;""</f>
        <v/>
      </c>
    </row>
    <row r="514" spans="2:18" x14ac:dyDescent="0.3">
      <c r="B514" s="39">
        <v>46212</v>
      </c>
      <c r="C514" s="4" t="str">
        <f>_xlfn.XLOOKUP(tblMovimientos[[#This Row],[Cuenta Bancaria]],Listas!$B:$B,Listas!$A:$A,"")</f>
        <v>SSP Capital</v>
      </c>
      <c r="D514" s="41" t="s">
        <v>104</v>
      </c>
      <c r="E514" s="68" t="str">
        <f>_xlfn.XLOOKUP(tblMovimientos[[#This Row],[Cuenta Bancaria]],Listas!$B:$B,Listas!$C:$C,"")</f>
        <v xml:space="preserve">Amerant Bank </v>
      </c>
      <c r="F514" s="41" t="s">
        <v>10</v>
      </c>
      <c r="G514" s="41" t="s">
        <v>38</v>
      </c>
      <c r="H514" s="4" t="str">
        <f>IFERROR(_xlfn.XLOOKUP(G514,Listas!E:E,Listas!F:F,""),"")</f>
        <v>Operativo</v>
      </c>
      <c r="I514" s="46" t="str">
        <f>IFERROR(_xlfn.XLOOKUP(G514,Listas!E:E,Listas!G:G,""),"")</f>
        <v>Externo</v>
      </c>
      <c r="J514" s="43">
        <v>24255</v>
      </c>
      <c r="K514" s="5">
        <f t="shared" ref="K514:K577" si="8">IF(F514="Ingreso",J514,-J514)</f>
        <v>-24255</v>
      </c>
      <c r="L514" s="15" t="s">
        <v>129</v>
      </c>
      <c r="M514" s="44">
        <f>SUMIFS('Saldos Iniciales'!$D:$D,'Saldos Iniciales'!$A:$A,C514,'Saldos Iniciales'!$B:$B,D514)+SUMIFS($K$1:$K$1324,$C$1:$C$1324,C514,$D$1:$D$1324,D514,$B$1:$B$1324,"&lt;="&amp;B514)</f>
        <v>1289236.6699999995</v>
      </c>
      <c r="N514" s="61" t="str">
        <f>IF(tblMovimientos[[#This Row],[Tipo de Movimiento]]="Ingreso",tblMovimientos[[#This Row],[Monto (S/)]],"0")</f>
        <v>0</v>
      </c>
      <c r="O514" s="61">
        <f>IF(tblMovimientos[[#This Row],[Tipo de Movimiento]]="Egreso",tblMovimientos[[#This Row],[Monto (S/)]],"0")</f>
        <v>24255</v>
      </c>
      <c r="P514" s="28">
        <f>IF(tblMovimientos[[#This Row],[Tipo de Movimiento]]="Ingreso",tblMovimientos[[#This Row],[Ingreso]],-tblMovimientos[[#This Row],[Egreso]])</f>
        <v>-24255</v>
      </c>
      <c r="Q514" s="78" t="str">
        <f>_xlfn.XLOOKUP(tblMovimientos[[#This Row],[Cuenta Bancaria]],Cuentas!$C:$C,Cuentas!$A:$A,"")&amp;""</f>
        <v>SSP Group</v>
      </c>
      <c r="R514" s="78" t="str">
        <f>_xlfn.XLOOKUP(tblMovimientos[[#This Row],[Cuenta Bancaria]],Cuentas!$C:$C,Cuentas!$B:$B,"",0,-1)&amp;""</f>
        <v/>
      </c>
    </row>
    <row r="515" spans="2:18" x14ac:dyDescent="0.3">
      <c r="B515" s="39">
        <v>46212</v>
      </c>
      <c r="C515" s="4" t="str">
        <f>_xlfn.XLOOKUP(tblMovimientos[[#This Row],[Cuenta Bancaria]],Listas!$B:$B,Listas!$A:$A,"")</f>
        <v>SSP Capital</v>
      </c>
      <c r="D515" s="41" t="s">
        <v>104</v>
      </c>
      <c r="E515" s="68" t="str">
        <f>_xlfn.XLOOKUP(tblMovimientos[[#This Row],[Cuenta Bancaria]],Listas!$B:$B,Listas!$C:$C,"")</f>
        <v xml:space="preserve">Amerant Bank </v>
      </c>
      <c r="F515" s="41" t="s">
        <v>10</v>
      </c>
      <c r="G515" s="41" t="s">
        <v>38</v>
      </c>
      <c r="H515" s="4" t="str">
        <f>IFERROR(_xlfn.XLOOKUP(G515,Listas!E:E,Listas!F:F,""),"")</f>
        <v>Operativo</v>
      </c>
      <c r="I515" s="46" t="str">
        <f>IFERROR(_xlfn.XLOOKUP(G515,Listas!E:E,Listas!G:G,""),"")</f>
        <v>Externo</v>
      </c>
      <c r="J515" s="43">
        <v>66261.25</v>
      </c>
      <c r="K515" s="5">
        <f t="shared" si="8"/>
        <v>-66261.25</v>
      </c>
      <c r="L515" s="15" t="s">
        <v>129</v>
      </c>
      <c r="M515" s="44">
        <f>SUMIFS('Saldos Iniciales'!$D:$D,'Saldos Iniciales'!$A:$A,C515,'Saldos Iniciales'!$B:$B,D515)+SUMIFS($K$1:$K$1324,$C$1:$C$1324,C515,$D$1:$D$1324,D515,$B$1:$B$1324,"&lt;="&amp;B515)</f>
        <v>1289236.6699999995</v>
      </c>
      <c r="N515" s="61" t="str">
        <f>IF(tblMovimientos[[#This Row],[Tipo de Movimiento]]="Ingreso",tblMovimientos[[#This Row],[Monto (S/)]],"0")</f>
        <v>0</v>
      </c>
      <c r="O515" s="61">
        <f>IF(tblMovimientos[[#This Row],[Tipo de Movimiento]]="Egreso",tblMovimientos[[#This Row],[Monto (S/)]],"0")</f>
        <v>66261.25</v>
      </c>
      <c r="P515" s="28">
        <f>IF(tblMovimientos[[#This Row],[Tipo de Movimiento]]="Ingreso",tblMovimientos[[#This Row],[Ingreso]],-tblMovimientos[[#This Row],[Egreso]])</f>
        <v>-66261.25</v>
      </c>
      <c r="Q515" s="78" t="str">
        <f>_xlfn.XLOOKUP(tblMovimientos[[#This Row],[Cuenta Bancaria]],Cuentas!$C:$C,Cuentas!$A:$A,"")&amp;""</f>
        <v>SSP Group</v>
      </c>
      <c r="R515" s="78" t="str">
        <f>_xlfn.XLOOKUP(tblMovimientos[[#This Row],[Cuenta Bancaria]],Cuentas!$C:$C,Cuentas!$B:$B,"",0,-1)&amp;""</f>
        <v/>
      </c>
    </row>
    <row r="516" spans="2:18" x14ac:dyDescent="0.3">
      <c r="B516" s="39">
        <v>46212</v>
      </c>
      <c r="C516" s="4" t="str">
        <f>_xlfn.XLOOKUP(tblMovimientos[[#This Row],[Cuenta Bancaria]],Listas!$B:$B,Listas!$A:$A,"")</f>
        <v>SSP Capital</v>
      </c>
      <c r="D516" s="41" t="s">
        <v>104</v>
      </c>
      <c r="E516" s="68" t="str">
        <f>_xlfn.XLOOKUP(tblMovimientos[[#This Row],[Cuenta Bancaria]],Listas!$B:$B,Listas!$C:$C,"")</f>
        <v xml:space="preserve">Amerant Bank </v>
      </c>
      <c r="F516" s="41" t="s">
        <v>10</v>
      </c>
      <c r="G516" s="41" t="s">
        <v>60</v>
      </c>
      <c r="H516" s="4" t="str">
        <f>IFERROR(_xlfn.XLOOKUP(G516,Listas!E:E,Listas!F:F,""),"")</f>
        <v>Inversion</v>
      </c>
      <c r="I516" s="46" t="str">
        <f>IFERROR(_xlfn.XLOOKUP(G516,Listas!E:E,Listas!G:G,""),"")</f>
        <v>Interno</v>
      </c>
      <c r="J516" s="43">
        <v>140000</v>
      </c>
      <c r="K516" s="5">
        <f t="shared" si="8"/>
        <v>-140000</v>
      </c>
      <c r="L516" s="15" t="s">
        <v>129</v>
      </c>
      <c r="M516" s="44">
        <f>SUMIFS('Saldos Iniciales'!$D:$D,'Saldos Iniciales'!$A:$A,C516,'Saldos Iniciales'!$B:$B,D516)+SUMIFS($K$1:$K$1324,$C$1:$C$1324,C516,$D$1:$D$1324,D516,$B$1:$B$1324,"&lt;="&amp;B516)</f>
        <v>1289236.6699999995</v>
      </c>
      <c r="N516" s="61" t="str">
        <f>IF(tblMovimientos[[#This Row],[Tipo de Movimiento]]="Ingreso",tblMovimientos[[#This Row],[Monto (S/)]],"0")</f>
        <v>0</v>
      </c>
      <c r="O516" s="61">
        <f>IF(tblMovimientos[[#This Row],[Tipo de Movimiento]]="Egreso",tblMovimientos[[#This Row],[Monto (S/)]],"0")</f>
        <v>140000</v>
      </c>
      <c r="P516" s="28">
        <f>IF(tblMovimientos[[#This Row],[Tipo de Movimiento]]="Ingreso",tblMovimientos[[#This Row],[Ingreso]],-tblMovimientos[[#This Row],[Egreso]])</f>
        <v>-140000</v>
      </c>
      <c r="Q516" s="78" t="str">
        <f>_xlfn.XLOOKUP(tblMovimientos[[#This Row],[Cuenta Bancaria]],Cuentas!$C:$C,Cuentas!$A:$A,"")&amp;""</f>
        <v>SSP Group</v>
      </c>
      <c r="R516" s="78" t="str">
        <f>_xlfn.XLOOKUP(tblMovimientos[[#This Row],[Cuenta Bancaria]],Cuentas!$C:$C,Cuentas!$B:$B,"",0,-1)&amp;""</f>
        <v/>
      </c>
    </row>
    <row r="517" spans="2:18" x14ac:dyDescent="0.3">
      <c r="B517" s="39">
        <v>46212</v>
      </c>
      <c r="C517" s="4" t="str">
        <f>_xlfn.XLOOKUP(tblMovimientos[[#This Row],[Cuenta Bancaria]],Listas!$B:$B,Listas!$A:$A,"")</f>
        <v>Green Harbor Trust</v>
      </c>
      <c r="D517" s="41" t="s">
        <v>125</v>
      </c>
      <c r="E517" s="68" t="str">
        <f>_xlfn.XLOOKUP(tblMovimientos[[#This Row],[Cuenta Bancaria]],Listas!$B:$B,Listas!$C:$C,"")</f>
        <v xml:space="preserve">Amerant Bank </v>
      </c>
      <c r="F517" s="41" t="s">
        <v>9</v>
      </c>
      <c r="G517" s="41" t="s">
        <v>77</v>
      </c>
      <c r="H517" s="4" t="str">
        <f>IFERROR(_xlfn.XLOOKUP(G517,Listas!E:E,Listas!F:F,""),"")</f>
        <v>Inversion</v>
      </c>
      <c r="I517" s="46" t="str">
        <f>IFERROR(_xlfn.XLOOKUP(G517,Listas!E:E,Listas!G:G,""),"")</f>
        <v>Interno</v>
      </c>
      <c r="J517" s="43">
        <v>20000</v>
      </c>
      <c r="K517" s="5">
        <f t="shared" si="8"/>
        <v>20000</v>
      </c>
      <c r="L517" s="15" t="s">
        <v>129</v>
      </c>
      <c r="M517" s="44">
        <f>SUMIFS('Saldos Iniciales'!$D:$D,'Saldos Iniciales'!$A:$A,C517,'Saldos Iniciales'!$B:$B,D517)+SUMIFS($K$1:$K$1324,$C$1:$C$1324,C517,$D$1:$D$1324,D517,$B$1:$B$1324,"&lt;="&amp;B517)</f>
        <v>345</v>
      </c>
      <c r="N517" s="61">
        <f>IF(tblMovimientos[[#This Row],[Tipo de Movimiento]]="Ingreso",tblMovimientos[[#This Row],[Monto (S/)]],"0")</f>
        <v>20000</v>
      </c>
      <c r="O517" s="61" t="str">
        <f>IF(tblMovimientos[[#This Row],[Tipo de Movimiento]]="Egreso",tblMovimientos[[#This Row],[Monto (S/)]],"0")</f>
        <v>0</v>
      </c>
      <c r="P517" s="28">
        <f>IF(tblMovimientos[[#This Row],[Tipo de Movimiento]]="Ingreso",tblMovimientos[[#This Row],[Ingreso]],-tblMovimientos[[#This Row],[Egreso]])</f>
        <v>20000</v>
      </c>
      <c r="Q517" s="78" t="str">
        <f>_xlfn.XLOOKUP(tblMovimientos[[#This Row],[Cuenta Bancaria]],Cuentas!$C:$C,Cuentas!$A:$A,"")&amp;""</f>
        <v>SSP Group</v>
      </c>
      <c r="R517" s="78" t="str">
        <f>_xlfn.XLOOKUP(tblMovimientos[[#This Row],[Cuenta Bancaria]],Cuentas!$C:$C,Cuentas!$B:$B,"",0,-1)&amp;""</f>
        <v>Trust</v>
      </c>
    </row>
    <row r="518" spans="2:18" x14ac:dyDescent="0.3">
      <c r="B518" s="39">
        <v>46212</v>
      </c>
      <c r="C518" s="4" t="str">
        <f>_xlfn.XLOOKUP(tblMovimientos[[#This Row],[Cuenta Bancaria]],Listas!$B:$B,Listas!$A:$A,"")</f>
        <v>Green Harbor Trust</v>
      </c>
      <c r="D518" s="41" t="s">
        <v>125</v>
      </c>
      <c r="E518" s="68" t="str">
        <f>_xlfn.XLOOKUP(tblMovimientos[[#This Row],[Cuenta Bancaria]],Listas!$B:$B,Listas!$C:$C,"")</f>
        <v xml:space="preserve">Amerant Bank </v>
      </c>
      <c r="F518" s="41" t="s">
        <v>10</v>
      </c>
      <c r="G518" s="41" t="s">
        <v>59</v>
      </c>
      <c r="H518" s="4" t="str">
        <f>IFERROR(_xlfn.XLOOKUP(G518,Listas!E:E,Listas!F:F,""),"")</f>
        <v>Inversion</v>
      </c>
      <c r="I518" s="46" t="str">
        <f>IFERROR(_xlfn.XLOOKUP(G518,Listas!E:E,Listas!G:G,""),"")</f>
        <v>Externo</v>
      </c>
      <c r="J518" s="43">
        <v>20000</v>
      </c>
      <c r="K518" s="5">
        <f t="shared" si="8"/>
        <v>-20000</v>
      </c>
      <c r="L518" s="15" t="s">
        <v>129</v>
      </c>
      <c r="M518" s="44">
        <f>SUMIFS('Saldos Iniciales'!$D:$D,'Saldos Iniciales'!$A:$A,C518,'Saldos Iniciales'!$B:$B,D518)+SUMIFS($K$1:$K$1324,$C$1:$C$1324,C518,$D$1:$D$1324,D518,$B$1:$B$1324,"&lt;="&amp;B518)</f>
        <v>345</v>
      </c>
      <c r="N518" s="61" t="str">
        <f>IF(tblMovimientos[[#This Row],[Tipo de Movimiento]]="Ingreso",tblMovimientos[[#This Row],[Monto (S/)]],"0")</f>
        <v>0</v>
      </c>
      <c r="O518" s="61">
        <f>IF(tblMovimientos[[#This Row],[Tipo de Movimiento]]="Egreso",tblMovimientos[[#This Row],[Monto (S/)]],"0")</f>
        <v>20000</v>
      </c>
      <c r="P518" s="28">
        <f>IF(tblMovimientos[[#This Row],[Tipo de Movimiento]]="Ingreso",tblMovimientos[[#This Row],[Ingreso]],-tblMovimientos[[#This Row],[Egreso]])</f>
        <v>-20000</v>
      </c>
      <c r="Q518" s="78" t="str">
        <f>_xlfn.XLOOKUP(tblMovimientos[[#This Row],[Cuenta Bancaria]],Cuentas!$C:$C,Cuentas!$A:$A,"")&amp;""</f>
        <v>SSP Group</v>
      </c>
      <c r="R518" s="78" t="str">
        <f>_xlfn.XLOOKUP(tblMovimientos[[#This Row],[Cuenta Bancaria]],Cuentas!$C:$C,Cuentas!$B:$B,"",0,-1)&amp;""</f>
        <v>Trust</v>
      </c>
    </row>
    <row r="519" spans="2:18" x14ac:dyDescent="0.3">
      <c r="B519" s="39">
        <v>46212</v>
      </c>
      <c r="C519" s="4" t="str">
        <f>_xlfn.XLOOKUP(tblMovimientos[[#This Row],[Cuenta Bancaria]],Listas!$B:$B,Listas!$A:$A,"")</f>
        <v>Go Blue</v>
      </c>
      <c r="D519" s="41" t="s">
        <v>126</v>
      </c>
      <c r="E519" s="68" t="str">
        <f>_xlfn.XLOOKUP(tblMovimientos[[#This Row],[Cuenta Bancaria]],Listas!$B:$B,Listas!$C:$C,"")</f>
        <v xml:space="preserve">Amerant Bank </v>
      </c>
      <c r="F519" s="41" t="s">
        <v>9</v>
      </c>
      <c r="G519" s="41" t="s">
        <v>77</v>
      </c>
      <c r="H519" s="4" t="str">
        <f>IFERROR(_xlfn.XLOOKUP(G519,Listas!E:E,Listas!F:F,""),"")</f>
        <v>Inversion</v>
      </c>
      <c r="I519" s="46" t="str">
        <f>IFERROR(_xlfn.XLOOKUP(G519,Listas!E:E,Listas!G:G,""),"")</f>
        <v>Interno</v>
      </c>
      <c r="J519" s="43">
        <v>20000</v>
      </c>
      <c r="K519" s="5">
        <f t="shared" si="8"/>
        <v>20000</v>
      </c>
      <c r="L519" s="15" t="s">
        <v>129</v>
      </c>
      <c r="M519" s="44">
        <f>SUMIFS('Saldos Iniciales'!$D:$D,'Saldos Iniciales'!$A:$A,C519,'Saldos Iniciales'!$B:$B,D519)+SUMIFS($K$1:$K$1324,$C$1:$C$1324,C519,$D$1:$D$1324,D519,$B$1:$B$1324,"&lt;="&amp;B519)</f>
        <v>28561.279999999999</v>
      </c>
      <c r="N519" s="61">
        <f>IF(tblMovimientos[[#This Row],[Tipo de Movimiento]]="Ingreso",tblMovimientos[[#This Row],[Monto (S/)]],"0")</f>
        <v>20000</v>
      </c>
      <c r="O519" s="61" t="str">
        <f>IF(tblMovimientos[[#This Row],[Tipo de Movimiento]]="Egreso",tblMovimientos[[#This Row],[Monto (S/)]],"0")</f>
        <v>0</v>
      </c>
      <c r="P519" s="28">
        <f>IF(tblMovimientos[[#This Row],[Tipo de Movimiento]]="Ingreso",tblMovimientos[[#This Row],[Ingreso]],-tblMovimientos[[#This Row],[Egreso]])</f>
        <v>20000</v>
      </c>
      <c r="Q519" s="78" t="str">
        <f>_xlfn.XLOOKUP(tblMovimientos[[#This Row],[Cuenta Bancaria]],Cuentas!$C:$C,Cuentas!$A:$A,"")&amp;""</f>
        <v>SSP Group</v>
      </c>
      <c r="R519" s="78" t="str">
        <f>_xlfn.XLOOKUP(tblMovimientos[[#This Row],[Cuenta Bancaria]],Cuentas!$C:$C,Cuentas!$B:$B,"",0,-1)&amp;""</f>
        <v/>
      </c>
    </row>
    <row r="520" spans="2:18" x14ac:dyDescent="0.3">
      <c r="B520" s="39">
        <v>46212</v>
      </c>
      <c r="C520" s="4" t="str">
        <f>_xlfn.XLOOKUP(tblMovimientos[[#This Row],[Cuenta Bancaria]],Listas!$B:$B,Listas!$A:$A,"")</f>
        <v>Go Blue</v>
      </c>
      <c r="D520" s="41" t="s">
        <v>126</v>
      </c>
      <c r="E520" s="68" t="str">
        <f>_xlfn.XLOOKUP(tblMovimientos[[#This Row],[Cuenta Bancaria]],Listas!$B:$B,Listas!$C:$C,"")</f>
        <v xml:space="preserve">Amerant Bank </v>
      </c>
      <c r="F520" s="41" t="s">
        <v>10</v>
      </c>
      <c r="G520" s="41" t="s">
        <v>38</v>
      </c>
      <c r="H520" s="4" t="str">
        <f>IFERROR(_xlfn.XLOOKUP(G520,Listas!E:E,Listas!F:F,""),"")</f>
        <v>Operativo</v>
      </c>
      <c r="I520" s="46" t="str">
        <f>IFERROR(_xlfn.XLOOKUP(G520,Listas!E:E,Listas!G:G,""),"")</f>
        <v>Externo</v>
      </c>
      <c r="J520" s="43">
        <v>2500</v>
      </c>
      <c r="K520" s="5">
        <f t="shared" si="8"/>
        <v>-2500</v>
      </c>
      <c r="L520" s="15" t="s">
        <v>129</v>
      </c>
      <c r="M520" s="44">
        <f>SUMIFS('Saldos Iniciales'!$D:$D,'Saldos Iniciales'!$A:$A,C520,'Saldos Iniciales'!$B:$B,D520)+SUMIFS($K$1:$K$1324,$C$1:$C$1324,C520,$D$1:$D$1324,D520,$B$1:$B$1324,"&lt;="&amp;B520)</f>
        <v>28561.279999999999</v>
      </c>
      <c r="N520" s="61" t="str">
        <f>IF(tblMovimientos[[#This Row],[Tipo de Movimiento]]="Ingreso",tblMovimientos[[#This Row],[Monto (S/)]],"0")</f>
        <v>0</v>
      </c>
      <c r="O520" s="61">
        <f>IF(tblMovimientos[[#This Row],[Tipo de Movimiento]]="Egreso",tblMovimientos[[#This Row],[Monto (S/)]],"0")</f>
        <v>2500</v>
      </c>
      <c r="P520" s="28">
        <f>IF(tblMovimientos[[#This Row],[Tipo de Movimiento]]="Ingreso",tblMovimientos[[#This Row],[Ingreso]],-tblMovimientos[[#This Row],[Egreso]])</f>
        <v>-2500</v>
      </c>
      <c r="Q520" s="78" t="str">
        <f>_xlfn.XLOOKUP(tblMovimientos[[#This Row],[Cuenta Bancaria]],Cuentas!$C:$C,Cuentas!$A:$A,"")&amp;""</f>
        <v>SSP Group</v>
      </c>
      <c r="R520" s="78" t="str">
        <f>_xlfn.XLOOKUP(tblMovimientos[[#This Row],[Cuenta Bancaria]],Cuentas!$C:$C,Cuentas!$B:$B,"",0,-1)&amp;""</f>
        <v/>
      </c>
    </row>
    <row r="521" spans="2:18" x14ac:dyDescent="0.3">
      <c r="B521" s="39">
        <v>46212</v>
      </c>
      <c r="C521" s="4" t="str">
        <f>_xlfn.XLOOKUP(tblMovimientos[[#This Row],[Cuenta Bancaria]],Listas!$B:$B,Listas!$A:$A,"")</f>
        <v>Go Blue</v>
      </c>
      <c r="D521" s="41" t="s">
        <v>126</v>
      </c>
      <c r="E521" s="68" t="str">
        <f>_xlfn.XLOOKUP(tblMovimientos[[#This Row],[Cuenta Bancaria]],Listas!$B:$B,Listas!$C:$C,"")</f>
        <v xml:space="preserve">Amerant Bank </v>
      </c>
      <c r="F521" s="41" t="s">
        <v>10</v>
      </c>
      <c r="G521" s="41" t="s">
        <v>44</v>
      </c>
      <c r="H521" s="4" t="str">
        <f>IFERROR(_xlfn.XLOOKUP(G521,Listas!E:E,Listas!F:F,""),"")</f>
        <v>Operativo</v>
      </c>
      <c r="I521" s="46" t="str">
        <f>IFERROR(_xlfn.XLOOKUP(G521,Listas!E:E,Listas!G:G,""),"")</f>
        <v>Externo</v>
      </c>
      <c r="J521" s="43">
        <v>15</v>
      </c>
      <c r="K521" s="5">
        <f t="shared" si="8"/>
        <v>-15</v>
      </c>
      <c r="L521" s="15" t="s">
        <v>129</v>
      </c>
      <c r="M521" s="44">
        <f>SUMIFS('Saldos Iniciales'!$D:$D,'Saldos Iniciales'!$A:$A,C521,'Saldos Iniciales'!$B:$B,D521)+SUMIFS($K$1:$K$1324,$C$1:$C$1324,C521,$D$1:$D$1324,D521,$B$1:$B$1324,"&lt;="&amp;B521)</f>
        <v>28561.279999999999</v>
      </c>
      <c r="N521" s="61" t="str">
        <f>IF(tblMovimientos[[#This Row],[Tipo de Movimiento]]="Ingreso",tblMovimientos[[#This Row],[Monto (S/)]],"0")</f>
        <v>0</v>
      </c>
      <c r="O521" s="61">
        <f>IF(tblMovimientos[[#This Row],[Tipo de Movimiento]]="Egreso",tblMovimientos[[#This Row],[Monto (S/)]],"0")</f>
        <v>15</v>
      </c>
      <c r="P521" s="28">
        <f>IF(tblMovimientos[[#This Row],[Tipo de Movimiento]]="Ingreso",tblMovimientos[[#This Row],[Ingreso]],-tblMovimientos[[#This Row],[Egreso]])</f>
        <v>-15</v>
      </c>
      <c r="Q521" s="78" t="str">
        <f>_xlfn.XLOOKUP(tblMovimientos[[#This Row],[Cuenta Bancaria]],Cuentas!$C:$C,Cuentas!$A:$A,"")&amp;""</f>
        <v>SSP Group</v>
      </c>
      <c r="R521" s="78" t="str">
        <f>_xlfn.XLOOKUP(tblMovimientos[[#This Row],[Cuenta Bancaria]],Cuentas!$C:$C,Cuentas!$B:$B,"",0,-1)&amp;""</f>
        <v/>
      </c>
    </row>
    <row r="522" spans="2:18" x14ac:dyDescent="0.3">
      <c r="B522" s="39">
        <v>46212</v>
      </c>
      <c r="C522" s="4" t="str">
        <f>_xlfn.XLOOKUP(tblMovimientos[[#This Row],[Cuenta Bancaria]],Listas!$B:$B,Listas!$A:$A,"")</f>
        <v>Electrama</v>
      </c>
      <c r="D522" s="41" t="s">
        <v>113</v>
      </c>
      <c r="E522" s="68" t="str">
        <f>_xlfn.XLOOKUP(tblMovimientos[[#This Row],[Cuenta Bancaria]],Listas!$B:$B,Listas!$C:$C,"")</f>
        <v>Chase Bank</v>
      </c>
      <c r="F522" s="41" t="s">
        <v>9</v>
      </c>
      <c r="G522" s="41" t="s">
        <v>66</v>
      </c>
      <c r="H522" s="4" t="str">
        <f>IFERROR(_xlfn.XLOOKUP(G522,Listas!E:E,Listas!F:F,""),"")</f>
        <v>Inversion</v>
      </c>
      <c r="I522" s="46" t="str">
        <f>IFERROR(_xlfn.XLOOKUP(G522,Listas!E:E,Listas!G:G,""),"")</f>
        <v>Externo</v>
      </c>
      <c r="J522" s="43">
        <v>14659.29</v>
      </c>
      <c r="K522" s="5">
        <f t="shared" si="8"/>
        <v>14659.29</v>
      </c>
      <c r="L522" s="15" t="s">
        <v>129</v>
      </c>
      <c r="M522" s="44">
        <f>SUMIFS('Saldos Iniciales'!$D:$D,'Saldos Iniciales'!$A:$A,C522,'Saldos Iniciales'!$B:$B,D522)+SUMIFS($K$1:$K$1324,$C$1:$C$1324,C522,$D$1:$D$1324,D522,$B$1:$B$1324,"&lt;="&amp;B522)</f>
        <v>15130.45</v>
      </c>
      <c r="N522" s="61">
        <f>IF(tblMovimientos[[#This Row],[Tipo de Movimiento]]="Ingreso",tblMovimientos[[#This Row],[Monto (S/)]],"0")</f>
        <v>14659.29</v>
      </c>
      <c r="O522" s="61" t="str">
        <f>IF(tblMovimientos[[#This Row],[Tipo de Movimiento]]="Egreso",tblMovimientos[[#This Row],[Monto (S/)]],"0")</f>
        <v>0</v>
      </c>
      <c r="P522" s="28">
        <f>IF(tblMovimientos[[#This Row],[Tipo de Movimiento]]="Ingreso",tblMovimientos[[#This Row],[Ingreso]],-tblMovimientos[[#This Row],[Egreso]])</f>
        <v>14659.29</v>
      </c>
      <c r="Q522" s="78" t="str">
        <f>_xlfn.XLOOKUP(tblMovimientos[[#This Row],[Cuenta Bancaria]],Cuentas!$C:$C,Cuentas!$A:$A,"")&amp;""</f>
        <v>SSP Group</v>
      </c>
      <c r="R522" s="78" t="str">
        <f>_xlfn.XLOOKUP(tblMovimientos[[#This Row],[Cuenta Bancaria]],Cuentas!$C:$C,Cuentas!$B:$B,"",0,-1)&amp;""</f>
        <v/>
      </c>
    </row>
    <row r="523" spans="2:18" x14ac:dyDescent="0.3">
      <c r="B523" s="39">
        <v>46212</v>
      </c>
      <c r="C523" s="4" t="str">
        <f>_xlfn.XLOOKUP(tblMovimientos[[#This Row],[Cuenta Bancaria]],Listas!$B:$B,Listas!$A:$A,"")</f>
        <v>Soweto</v>
      </c>
      <c r="D523" s="41" t="s">
        <v>116</v>
      </c>
      <c r="E523" s="68" t="str">
        <f>_xlfn.XLOOKUP(tblMovimientos[[#This Row],[Cuenta Bancaria]],Listas!$B:$B,Listas!$C:$C,"")</f>
        <v>Citibank</v>
      </c>
      <c r="F523" s="41" t="s">
        <v>9</v>
      </c>
      <c r="G523" s="41" t="s">
        <v>66</v>
      </c>
      <c r="H523" s="4" t="str">
        <f>IFERROR(_xlfn.XLOOKUP(G523,Listas!E:E,Listas!F:F,""),"")</f>
        <v>Inversion</v>
      </c>
      <c r="I523" s="46" t="str">
        <f>IFERROR(_xlfn.XLOOKUP(G523,Listas!E:E,Listas!G:G,""),"")</f>
        <v>Externo</v>
      </c>
      <c r="J523" s="43">
        <v>1451269.78</v>
      </c>
      <c r="K523" s="5">
        <f t="shared" si="8"/>
        <v>1451269.78</v>
      </c>
      <c r="L523" s="15" t="s">
        <v>129</v>
      </c>
      <c r="M523" s="44">
        <f>SUMIFS('Saldos Iniciales'!$D:$D,'Saldos Iniciales'!$A:$A,C523,'Saldos Iniciales'!$B:$B,D523)+SUMIFS($K$1:$K$1324,$C$1:$C$1324,C523,$D$1:$D$1324,D523,$B$1:$B$1324,"&lt;="&amp;B523)</f>
        <v>1454604.72</v>
      </c>
      <c r="N523" s="61">
        <f>IF(tblMovimientos[[#This Row],[Tipo de Movimiento]]="Ingreso",tblMovimientos[[#This Row],[Monto (S/)]],"0")</f>
        <v>1451269.78</v>
      </c>
      <c r="O523" s="61" t="str">
        <f>IF(tblMovimientos[[#This Row],[Tipo de Movimiento]]="Egreso",tblMovimientos[[#This Row],[Monto (S/)]],"0")</f>
        <v>0</v>
      </c>
      <c r="P523" s="28">
        <f>IF(tblMovimientos[[#This Row],[Tipo de Movimiento]]="Ingreso",tblMovimientos[[#This Row],[Ingreso]],-tblMovimientos[[#This Row],[Egreso]])</f>
        <v>1451269.78</v>
      </c>
      <c r="Q523" s="78" t="str">
        <f>_xlfn.XLOOKUP(tblMovimientos[[#This Row],[Cuenta Bancaria]],Cuentas!$C:$C,Cuentas!$A:$A,"")&amp;""</f>
        <v>SSP Group</v>
      </c>
      <c r="R523" s="78" t="str">
        <f>_xlfn.XLOOKUP(tblMovimientos[[#This Row],[Cuenta Bancaria]],Cuentas!$C:$C,Cuentas!$B:$B,"",0,-1)&amp;""</f>
        <v/>
      </c>
    </row>
    <row r="524" spans="2:18" x14ac:dyDescent="0.3">
      <c r="B524" s="39">
        <v>46213</v>
      </c>
      <c r="C524" s="4" t="str">
        <f>_xlfn.XLOOKUP(tblMovimientos[[#This Row],[Cuenta Bancaria]],Listas!$B:$B,Listas!$A:$A,"")</f>
        <v>SSP Capital</v>
      </c>
      <c r="D524" s="41" t="s">
        <v>101</v>
      </c>
      <c r="E524" s="68" t="str">
        <f>_xlfn.XLOOKUP(tblMovimientos[[#This Row],[Cuenta Bancaria]],Listas!$B:$B,Listas!$C:$C,"")</f>
        <v>Bank of America</v>
      </c>
      <c r="F524" s="41" t="s">
        <v>10</v>
      </c>
      <c r="G524" s="41" t="s">
        <v>38</v>
      </c>
      <c r="H524" s="4" t="str">
        <f>IFERROR(_xlfn.XLOOKUP(G524,Listas!E:E,Listas!F:F,""),"")</f>
        <v>Operativo</v>
      </c>
      <c r="I524" s="46" t="str">
        <f>IFERROR(_xlfn.XLOOKUP(G524,Listas!E:E,Listas!G:G,""),"")</f>
        <v>Externo</v>
      </c>
      <c r="J524" s="43">
        <v>424</v>
      </c>
      <c r="K524" s="5">
        <f t="shared" si="8"/>
        <v>-424</v>
      </c>
      <c r="L524" s="15" t="s">
        <v>129</v>
      </c>
      <c r="M524" s="44">
        <f>SUMIFS('Saldos Iniciales'!$D:$D,'Saldos Iniciales'!$A:$A,C524,'Saldos Iniciales'!$B:$B,D524)+SUMIFS($K$1:$K$1324,$C$1:$C$1324,C524,$D$1:$D$1324,D524,$B$1:$B$1324,"&lt;="&amp;B524)</f>
        <v>13123.539999999999</v>
      </c>
      <c r="N524" s="61" t="str">
        <f>IF(tblMovimientos[[#This Row],[Tipo de Movimiento]]="Ingreso",tblMovimientos[[#This Row],[Monto (S/)]],"0")</f>
        <v>0</v>
      </c>
      <c r="O524" s="61">
        <f>IF(tblMovimientos[[#This Row],[Tipo de Movimiento]]="Egreso",tblMovimientos[[#This Row],[Monto (S/)]],"0")</f>
        <v>424</v>
      </c>
      <c r="P524" s="28">
        <f>IF(tblMovimientos[[#This Row],[Tipo de Movimiento]]="Ingreso",tblMovimientos[[#This Row],[Ingreso]],-tblMovimientos[[#This Row],[Egreso]])</f>
        <v>-424</v>
      </c>
      <c r="Q524" s="78" t="str">
        <f>_xlfn.XLOOKUP(tblMovimientos[[#This Row],[Cuenta Bancaria]],Cuentas!$C:$C,Cuentas!$A:$A,"")&amp;""</f>
        <v>SSP Group</v>
      </c>
      <c r="R524" s="78" t="str">
        <f>_xlfn.XLOOKUP(tblMovimientos[[#This Row],[Cuenta Bancaria]],Cuentas!$C:$C,Cuentas!$B:$B,"",0,-1)&amp;""</f>
        <v/>
      </c>
    </row>
    <row r="525" spans="2:18" x14ac:dyDescent="0.3">
      <c r="B525" s="39">
        <v>46213</v>
      </c>
      <c r="C525" s="4" t="str">
        <f>_xlfn.XLOOKUP(tblMovimientos[[#This Row],[Cuenta Bancaria]],Listas!$B:$B,Listas!$A:$A,"")</f>
        <v>A&amp;M Imports</v>
      </c>
      <c r="D525" s="41" t="s">
        <v>100</v>
      </c>
      <c r="E525" s="68" t="str">
        <f>_xlfn.XLOOKUP(tblMovimientos[[#This Row],[Cuenta Bancaria]],Listas!$B:$B,Listas!$C:$C,"")</f>
        <v>Bank of America</v>
      </c>
      <c r="F525" s="41" t="s">
        <v>10</v>
      </c>
      <c r="G525" s="41" t="s">
        <v>38</v>
      </c>
      <c r="H525" s="4" t="str">
        <f>IFERROR(_xlfn.XLOOKUP(G525,Listas!E:E,Listas!F:F,""),"")</f>
        <v>Operativo</v>
      </c>
      <c r="I525" s="46" t="str">
        <f>IFERROR(_xlfn.XLOOKUP(G525,Listas!E:E,Listas!G:G,""),"")</f>
        <v>Externo</v>
      </c>
      <c r="J525" s="43">
        <v>334</v>
      </c>
      <c r="K525" s="5">
        <f t="shared" si="8"/>
        <v>-334</v>
      </c>
      <c r="L525" s="15" t="s">
        <v>129</v>
      </c>
      <c r="M525" s="44">
        <f>SUMIFS('Saldos Iniciales'!$D:$D,'Saldos Iniciales'!$A:$A,C525,'Saldos Iniciales'!$B:$B,D525)+SUMIFS($K$1:$K$1324,$C$1:$C$1324,C525,$D$1:$D$1324,D525,$B$1:$B$1324,"&lt;="&amp;B525)</f>
        <v>290141.62999999989</v>
      </c>
      <c r="N525" s="61" t="str">
        <f>IF(tblMovimientos[[#This Row],[Tipo de Movimiento]]="Ingreso",tblMovimientos[[#This Row],[Monto (S/)]],"0")</f>
        <v>0</v>
      </c>
      <c r="O525" s="61">
        <f>IF(tblMovimientos[[#This Row],[Tipo de Movimiento]]="Egreso",tblMovimientos[[#This Row],[Monto (S/)]],"0")</f>
        <v>334</v>
      </c>
      <c r="P525" s="28">
        <f>IF(tblMovimientos[[#This Row],[Tipo de Movimiento]]="Ingreso",tblMovimientos[[#This Row],[Ingreso]],-tblMovimientos[[#This Row],[Egreso]])</f>
        <v>-334</v>
      </c>
      <c r="Q525" s="78" t="str">
        <f>_xlfn.XLOOKUP(tblMovimientos[[#This Row],[Cuenta Bancaria]],Cuentas!$C:$C,Cuentas!$A:$A,"")&amp;""</f>
        <v>SSP Group</v>
      </c>
      <c r="R525" s="78" t="str">
        <f>_xlfn.XLOOKUP(tblMovimientos[[#This Row],[Cuenta Bancaria]],Cuentas!$C:$C,Cuentas!$B:$B,"",0,-1)&amp;""</f>
        <v/>
      </c>
    </row>
    <row r="526" spans="2:18" x14ac:dyDescent="0.3">
      <c r="B526" s="39">
        <v>46213</v>
      </c>
      <c r="C526" s="4" t="str">
        <f>_xlfn.XLOOKUP(tblMovimientos[[#This Row],[Cuenta Bancaria]],Listas!$B:$B,Listas!$A:$A,"")</f>
        <v>CFT Group</v>
      </c>
      <c r="D526" s="41" t="s">
        <v>94</v>
      </c>
      <c r="E526" s="68" t="str">
        <f>_xlfn.XLOOKUP(tblMovimientos[[#This Row],[Cuenta Bancaria]],Listas!$B:$B,Listas!$C:$C,"")</f>
        <v>Bank of America</v>
      </c>
      <c r="F526" s="41" t="s">
        <v>10</v>
      </c>
      <c r="G526" s="41" t="s">
        <v>38</v>
      </c>
      <c r="H526" s="4" t="str">
        <f>IFERROR(_xlfn.XLOOKUP(G526,Listas!E:E,Listas!F:F,""),"")</f>
        <v>Operativo</v>
      </c>
      <c r="I526" s="46" t="str">
        <f>IFERROR(_xlfn.XLOOKUP(G526,Listas!E:E,Listas!G:G,""),"")</f>
        <v>Externo</v>
      </c>
      <c r="J526" s="43">
        <v>355</v>
      </c>
      <c r="K526" s="5">
        <f t="shared" si="8"/>
        <v>-355</v>
      </c>
      <c r="L526" s="15" t="s">
        <v>129</v>
      </c>
      <c r="M526" s="44">
        <f>SUMIFS('Saldos Iniciales'!$D:$D,'Saldos Iniciales'!$A:$A,C526,'Saldos Iniciales'!$B:$B,D526)+SUMIFS($K$1:$K$1324,$C$1:$C$1324,C526,$D$1:$D$1324,D526,$B$1:$B$1324,"&lt;="&amp;B526)</f>
        <v>35588.359999999986</v>
      </c>
      <c r="N526" s="61" t="str">
        <f>IF(tblMovimientos[[#This Row],[Tipo de Movimiento]]="Ingreso",tblMovimientos[[#This Row],[Monto (S/)]],"0")</f>
        <v>0</v>
      </c>
      <c r="O526" s="61">
        <f>IF(tblMovimientos[[#This Row],[Tipo de Movimiento]]="Egreso",tblMovimientos[[#This Row],[Monto (S/)]],"0")</f>
        <v>355</v>
      </c>
      <c r="P526" s="28">
        <f>IF(tblMovimientos[[#This Row],[Tipo de Movimiento]]="Ingreso",tblMovimientos[[#This Row],[Ingreso]],-tblMovimientos[[#This Row],[Egreso]])</f>
        <v>-355</v>
      </c>
      <c r="Q526" s="78" t="str">
        <f>_xlfn.XLOOKUP(tblMovimientos[[#This Row],[Cuenta Bancaria]],Cuentas!$C:$C,Cuentas!$A:$A,"")&amp;""</f>
        <v>SSP Group</v>
      </c>
      <c r="R526" s="78" t="str">
        <f>_xlfn.XLOOKUP(tblMovimientos[[#This Row],[Cuenta Bancaria]],Cuentas!$C:$C,Cuentas!$B:$B,"",0,-1)&amp;""</f>
        <v/>
      </c>
    </row>
    <row r="527" spans="2:18" x14ac:dyDescent="0.3">
      <c r="B527" s="39">
        <v>46213</v>
      </c>
      <c r="C527" s="4" t="str">
        <f>_xlfn.XLOOKUP(tblMovimientos[[#This Row],[Cuenta Bancaria]],Listas!$B:$B,Listas!$A:$A,"")</f>
        <v>Go Blue</v>
      </c>
      <c r="D527" s="41" t="s">
        <v>165</v>
      </c>
      <c r="E527" s="68" t="str">
        <f>_xlfn.XLOOKUP(tblMovimientos[[#This Row],[Cuenta Bancaria]],Listas!$B:$B,Listas!$C:$C,"")</f>
        <v xml:space="preserve">Amerant Bank </v>
      </c>
      <c r="F527" s="41" t="s">
        <v>9</v>
      </c>
      <c r="G527" s="41" t="s">
        <v>85</v>
      </c>
      <c r="H527" s="4" t="str">
        <f>IFERROR(_xlfn.XLOOKUP(G527,Listas!E:E,Listas!F:F,""),"")</f>
        <v>Operativo</v>
      </c>
      <c r="I527" s="46" t="str">
        <f>IFERROR(_xlfn.XLOOKUP(G527,Listas!E:E,Listas!G:G,""),"")</f>
        <v>Interno</v>
      </c>
      <c r="J527" s="43">
        <v>2000</v>
      </c>
      <c r="K527" s="5">
        <f t="shared" si="8"/>
        <v>2000</v>
      </c>
      <c r="L527" s="15" t="s">
        <v>129</v>
      </c>
      <c r="M527" s="44">
        <f>SUMIFS('Saldos Iniciales'!$D:$D,'Saldos Iniciales'!$A:$A,C527,'Saldos Iniciales'!$B:$B,D527)+SUMIFS($K$1:$K$1324,$C$1:$C$1324,C527,$D$1:$D$1324,D527,$B$1:$B$1324,"&lt;="&amp;B527)</f>
        <v>5338.84</v>
      </c>
      <c r="N527" s="61">
        <f>IF(tblMovimientos[[#This Row],[Tipo de Movimiento]]="Ingreso",tblMovimientos[[#This Row],[Monto (S/)]],"0")</f>
        <v>2000</v>
      </c>
      <c r="O527" s="61" t="str">
        <f>IF(tblMovimientos[[#This Row],[Tipo de Movimiento]]="Egreso",tblMovimientos[[#This Row],[Monto (S/)]],"0")</f>
        <v>0</v>
      </c>
      <c r="P527" s="28">
        <f>IF(tblMovimientos[[#This Row],[Tipo de Movimiento]]="Ingreso",tblMovimientos[[#This Row],[Ingreso]],-tblMovimientos[[#This Row],[Egreso]])</f>
        <v>2000</v>
      </c>
      <c r="Q527" s="78" t="str">
        <f>_xlfn.XLOOKUP(tblMovimientos[[#This Row],[Cuenta Bancaria]],Cuentas!$C:$C,Cuentas!$A:$A,"")&amp;""</f>
        <v>SSP Group</v>
      </c>
      <c r="R527" s="78" t="str">
        <f>_xlfn.XLOOKUP(tblMovimientos[[#This Row],[Cuenta Bancaria]],Cuentas!$C:$C,Cuentas!$B:$B,"",0,-1)&amp;""</f>
        <v/>
      </c>
    </row>
    <row r="528" spans="2:18" x14ac:dyDescent="0.3">
      <c r="B528" s="39">
        <v>46213</v>
      </c>
      <c r="C528" s="4" t="str">
        <f>_xlfn.XLOOKUP(tblMovimientos[[#This Row],[Cuenta Bancaria]],Listas!$B:$B,Listas!$A:$A,"")</f>
        <v>CFT Group</v>
      </c>
      <c r="D528" s="41" t="s">
        <v>95</v>
      </c>
      <c r="E528" s="68" t="str">
        <f>_xlfn.XLOOKUP(tblMovimientos[[#This Row],[Cuenta Bancaria]],Listas!$B:$B,Listas!$C:$C,"")</f>
        <v xml:space="preserve">Amerant Bank </v>
      </c>
      <c r="F528" s="41" t="s">
        <v>10</v>
      </c>
      <c r="G528" s="41" t="s">
        <v>46</v>
      </c>
      <c r="H528" s="4" t="str">
        <f>IFERROR(_xlfn.XLOOKUP(G528,Listas!E:E,Listas!F:F,""),"")</f>
        <v>Financiamiento</v>
      </c>
      <c r="I528" s="46" t="str">
        <f>IFERROR(_xlfn.XLOOKUP(G528,Listas!E:E,Listas!G:G,""),"")</f>
        <v>Externo</v>
      </c>
      <c r="J528" s="43">
        <v>5000</v>
      </c>
      <c r="K528" s="5">
        <f t="shared" si="8"/>
        <v>-5000</v>
      </c>
      <c r="L528" s="15" t="s">
        <v>129</v>
      </c>
      <c r="M528" s="44">
        <f>SUMIFS('Saldos Iniciales'!$D:$D,'Saldos Iniciales'!$A:$A,C528,'Saldos Iniciales'!$B:$B,D528)+SUMIFS($K$1:$K$1324,$C$1:$C$1324,C528,$D$1:$D$1324,D528,$B$1:$B$1324,"&lt;="&amp;B528)</f>
        <v>4122911.3600000003</v>
      </c>
      <c r="N528" s="61" t="str">
        <f>IF(tblMovimientos[[#This Row],[Tipo de Movimiento]]="Ingreso",tblMovimientos[[#This Row],[Monto (S/)]],"0")</f>
        <v>0</v>
      </c>
      <c r="O528" s="61">
        <f>IF(tblMovimientos[[#This Row],[Tipo de Movimiento]]="Egreso",tblMovimientos[[#This Row],[Monto (S/)]],"0")</f>
        <v>5000</v>
      </c>
      <c r="P528" s="28">
        <f>IF(tblMovimientos[[#This Row],[Tipo de Movimiento]]="Ingreso",tblMovimientos[[#This Row],[Ingreso]],-tblMovimientos[[#This Row],[Egreso]])</f>
        <v>-5000</v>
      </c>
      <c r="Q528" s="78" t="str">
        <f>_xlfn.XLOOKUP(tblMovimientos[[#This Row],[Cuenta Bancaria]],Cuentas!$C:$C,Cuentas!$A:$A,"")&amp;""</f>
        <v>SSP Group</v>
      </c>
      <c r="R528" s="78" t="str">
        <f>_xlfn.XLOOKUP(tblMovimientos[[#This Row],[Cuenta Bancaria]],Cuentas!$C:$C,Cuentas!$B:$B,"",0,-1)&amp;""</f>
        <v/>
      </c>
    </row>
    <row r="529" spans="2:18" x14ac:dyDescent="0.3">
      <c r="B529" s="39">
        <v>46213</v>
      </c>
      <c r="C529" s="4" t="str">
        <f>_xlfn.XLOOKUP(tblMovimientos[[#This Row],[Cuenta Bancaria]],Listas!$B:$B,Listas!$A:$A,"")</f>
        <v>CFT Group</v>
      </c>
      <c r="D529" s="41" t="s">
        <v>95</v>
      </c>
      <c r="E529" s="68" t="str">
        <f>_xlfn.XLOOKUP(tblMovimientos[[#This Row],[Cuenta Bancaria]],Listas!$B:$B,Listas!$C:$C,"")</f>
        <v xml:space="preserve">Amerant Bank </v>
      </c>
      <c r="F529" s="41" t="s">
        <v>10</v>
      </c>
      <c r="G529" s="41" t="s">
        <v>46</v>
      </c>
      <c r="H529" s="4" t="str">
        <f>IFERROR(_xlfn.XLOOKUP(G529,Listas!E:E,Listas!F:F,""),"")</f>
        <v>Financiamiento</v>
      </c>
      <c r="I529" s="46" t="str">
        <f>IFERROR(_xlfn.XLOOKUP(G529,Listas!E:E,Listas!G:G,""),"")</f>
        <v>Externo</v>
      </c>
      <c r="J529" s="43">
        <v>56000</v>
      </c>
      <c r="K529" s="5">
        <f t="shared" si="8"/>
        <v>-56000</v>
      </c>
      <c r="L529" s="15" t="s">
        <v>129</v>
      </c>
      <c r="M529" s="44">
        <f>SUMIFS('Saldos Iniciales'!$D:$D,'Saldos Iniciales'!$A:$A,C529,'Saldos Iniciales'!$B:$B,D529)+SUMIFS($K$1:$K$1324,$C$1:$C$1324,C529,$D$1:$D$1324,D529,$B$1:$B$1324,"&lt;="&amp;B529)</f>
        <v>4122911.3600000003</v>
      </c>
      <c r="N529" s="61" t="str">
        <f>IF(tblMovimientos[[#This Row],[Tipo de Movimiento]]="Ingreso",tblMovimientos[[#This Row],[Monto (S/)]],"0")</f>
        <v>0</v>
      </c>
      <c r="O529" s="61">
        <f>IF(tblMovimientos[[#This Row],[Tipo de Movimiento]]="Egreso",tblMovimientos[[#This Row],[Monto (S/)]],"0")</f>
        <v>56000</v>
      </c>
      <c r="P529" s="28">
        <f>IF(tblMovimientos[[#This Row],[Tipo de Movimiento]]="Ingreso",tblMovimientos[[#This Row],[Ingreso]],-tblMovimientos[[#This Row],[Egreso]])</f>
        <v>-56000</v>
      </c>
      <c r="Q529" s="78" t="str">
        <f>_xlfn.XLOOKUP(tblMovimientos[[#This Row],[Cuenta Bancaria]],Cuentas!$C:$C,Cuentas!$A:$A,"")&amp;""</f>
        <v>SSP Group</v>
      </c>
      <c r="R529" s="78" t="str">
        <f>_xlfn.XLOOKUP(tblMovimientos[[#This Row],[Cuenta Bancaria]],Cuentas!$C:$C,Cuentas!$B:$B,"",0,-1)&amp;""</f>
        <v/>
      </c>
    </row>
    <row r="530" spans="2:18" x14ac:dyDescent="0.3">
      <c r="B530" s="39">
        <v>46213</v>
      </c>
      <c r="C530" s="4" t="str">
        <f>_xlfn.XLOOKUP(tblMovimientos[[#This Row],[Cuenta Bancaria]],Listas!$B:$B,Listas!$A:$A,"")</f>
        <v>CFT Group</v>
      </c>
      <c r="D530" s="41" t="s">
        <v>95</v>
      </c>
      <c r="E530" s="68" t="str">
        <f>_xlfn.XLOOKUP(tblMovimientos[[#This Row],[Cuenta Bancaria]],Listas!$B:$B,Listas!$C:$C,"")</f>
        <v xml:space="preserve">Amerant Bank </v>
      </c>
      <c r="F530" s="41" t="s">
        <v>10</v>
      </c>
      <c r="G530" s="41" t="s">
        <v>46</v>
      </c>
      <c r="H530" s="4" t="str">
        <f>IFERROR(_xlfn.XLOOKUP(G530,Listas!E:E,Listas!F:F,""),"")</f>
        <v>Financiamiento</v>
      </c>
      <c r="I530" s="46" t="str">
        <f>IFERROR(_xlfn.XLOOKUP(G530,Listas!E:E,Listas!G:G,""),"")</f>
        <v>Externo</v>
      </c>
      <c r="J530" s="43">
        <v>70000</v>
      </c>
      <c r="K530" s="5">
        <f t="shared" si="8"/>
        <v>-70000</v>
      </c>
      <c r="L530" s="15" t="s">
        <v>129</v>
      </c>
      <c r="M530" s="44">
        <f>SUMIFS('Saldos Iniciales'!$D:$D,'Saldos Iniciales'!$A:$A,C530,'Saldos Iniciales'!$B:$B,D530)+SUMIFS($K$1:$K$1324,$C$1:$C$1324,C530,$D$1:$D$1324,D530,$B$1:$B$1324,"&lt;="&amp;B530)</f>
        <v>4122911.3600000003</v>
      </c>
      <c r="N530" s="61" t="str">
        <f>IF(tblMovimientos[[#This Row],[Tipo de Movimiento]]="Ingreso",tblMovimientos[[#This Row],[Monto (S/)]],"0")</f>
        <v>0</v>
      </c>
      <c r="O530" s="61">
        <f>IF(tblMovimientos[[#This Row],[Tipo de Movimiento]]="Egreso",tblMovimientos[[#This Row],[Monto (S/)]],"0")</f>
        <v>70000</v>
      </c>
      <c r="P530" s="28">
        <f>IF(tblMovimientos[[#This Row],[Tipo de Movimiento]]="Ingreso",tblMovimientos[[#This Row],[Ingreso]],-tblMovimientos[[#This Row],[Egreso]])</f>
        <v>-70000</v>
      </c>
      <c r="Q530" s="78" t="str">
        <f>_xlfn.XLOOKUP(tblMovimientos[[#This Row],[Cuenta Bancaria]],Cuentas!$C:$C,Cuentas!$A:$A,"")&amp;""</f>
        <v>SSP Group</v>
      </c>
      <c r="R530" s="78" t="str">
        <f>_xlfn.XLOOKUP(tblMovimientos[[#This Row],[Cuenta Bancaria]],Cuentas!$C:$C,Cuentas!$B:$B,"",0,-1)&amp;""</f>
        <v/>
      </c>
    </row>
    <row r="531" spans="2:18" x14ac:dyDescent="0.3">
      <c r="B531" s="39">
        <v>46213</v>
      </c>
      <c r="C531" s="4" t="str">
        <f>_xlfn.XLOOKUP(tblMovimientos[[#This Row],[Cuenta Bancaria]],Listas!$B:$B,Listas!$A:$A,"")</f>
        <v>CFT Group</v>
      </c>
      <c r="D531" s="41" t="s">
        <v>95</v>
      </c>
      <c r="E531" s="68" t="str">
        <f>_xlfn.XLOOKUP(tblMovimientos[[#This Row],[Cuenta Bancaria]],Listas!$B:$B,Listas!$C:$C,"")</f>
        <v xml:space="preserve">Amerant Bank </v>
      </c>
      <c r="F531" s="41" t="s">
        <v>10</v>
      </c>
      <c r="G531" s="41" t="s">
        <v>46</v>
      </c>
      <c r="H531" s="4" t="str">
        <f>IFERROR(_xlfn.XLOOKUP(G531,Listas!E:E,Listas!F:F,""),"")</f>
        <v>Financiamiento</v>
      </c>
      <c r="I531" s="46" t="str">
        <f>IFERROR(_xlfn.XLOOKUP(G531,Listas!E:E,Listas!G:G,""),"")</f>
        <v>Externo</v>
      </c>
      <c r="J531" s="43">
        <v>82833.33</v>
      </c>
      <c r="K531" s="5">
        <f t="shared" si="8"/>
        <v>-82833.33</v>
      </c>
      <c r="L531" s="15" t="s">
        <v>129</v>
      </c>
      <c r="M531" s="44">
        <f>SUMIFS('Saldos Iniciales'!$D:$D,'Saldos Iniciales'!$A:$A,C531,'Saldos Iniciales'!$B:$B,D531)+SUMIFS($K$1:$K$1324,$C$1:$C$1324,C531,$D$1:$D$1324,D531,$B$1:$B$1324,"&lt;="&amp;B531)</f>
        <v>4122911.3600000003</v>
      </c>
      <c r="N531" s="61" t="str">
        <f>IF(tblMovimientos[[#This Row],[Tipo de Movimiento]]="Ingreso",tblMovimientos[[#This Row],[Monto (S/)]],"0")</f>
        <v>0</v>
      </c>
      <c r="O531" s="61">
        <f>IF(tblMovimientos[[#This Row],[Tipo de Movimiento]]="Egreso",tblMovimientos[[#This Row],[Monto (S/)]],"0")</f>
        <v>82833.33</v>
      </c>
      <c r="P531" s="28">
        <f>IF(tblMovimientos[[#This Row],[Tipo de Movimiento]]="Ingreso",tblMovimientos[[#This Row],[Ingreso]],-tblMovimientos[[#This Row],[Egreso]])</f>
        <v>-82833.33</v>
      </c>
      <c r="Q531" s="78" t="str">
        <f>_xlfn.XLOOKUP(tblMovimientos[[#This Row],[Cuenta Bancaria]],Cuentas!$C:$C,Cuentas!$A:$A,"")&amp;""</f>
        <v>SSP Group</v>
      </c>
      <c r="R531" s="78" t="str">
        <f>_xlfn.XLOOKUP(tblMovimientos[[#This Row],[Cuenta Bancaria]],Cuentas!$C:$C,Cuentas!$B:$B,"",0,-1)&amp;""</f>
        <v/>
      </c>
    </row>
    <row r="532" spans="2:18" x14ac:dyDescent="0.3">
      <c r="B532" s="39">
        <v>46213</v>
      </c>
      <c r="C532" s="4" t="str">
        <f>_xlfn.XLOOKUP(tblMovimientos[[#This Row],[Cuenta Bancaria]],Listas!$B:$B,Listas!$A:$A,"")</f>
        <v>SSP Capital</v>
      </c>
      <c r="D532" s="41" t="s">
        <v>104</v>
      </c>
      <c r="E532" s="68" t="str">
        <f>_xlfn.XLOOKUP(tblMovimientos[[#This Row],[Cuenta Bancaria]],Listas!$B:$B,Listas!$C:$C,"")</f>
        <v xml:space="preserve">Amerant Bank </v>
      </c>
      <c r="F532" s="41" t="s">
        <v>10</v>
      </c>
      <c r="G532" s="41" t="s">
        <v>46</v>
      </c>
      <c r="H532" s="4" t="str">
        <f>IFERROR(_xlfn.XLOOKUP(G532,Listas!E:E,Listas!F:F,""),"")</f>
        <v>Financiamiento</v>
      </c>
      <c r="I532" s="46" t="str">
        <f>IFERROR(_xlfn.XLOOKUP(G532,Listas!E:E,Listas!G:G,""),"")</f>
        <v>Externo</v>
      </c>
      <c r="J532" s="43">
        <v>9583.33</v>
      </c>
      <c r="K532" s="5">
        <f t="shared" si="8"/>
        <v>-9583.33</v>
      </c>
      <c r="L532" s="15" t="s">
        <v>129</v>
      </c>
      <c r="M532" s="44">
        <f>SUMIFS('Saldos Iniciales'!$D:$D,'Saldos Iniciales'!$A:$A,C532,'Saldos Iniciales'!$B:$B,D532)+SUMIFS($K$1:$K$1324,$C$1:$C$1324,C532,$D$1:$D$1324,D532,$B$1:$B$1324,"&lt;="&amp;B532)</f>
        <v>1091819.9999999993</v>
      </c>
      <c r="N532" s="61" t="str">
        <f>IF(tblMovimientos[[#This Row],[Tipo de Movimiento]]="Ingreso",tblMovimientos[[#This Row],[Monto (S/)]],"0")</f>
        <v>0</v>
      </c>
      <c r="O532" s="61">
        <f>IF(tblMovimientos[[#This Row],[Tipo de Movimiento]]="Egreso",tblMovimientos[[#This Row],[Monto (S/)]],"0")</f>
        <v>9583.33</v>
      </c>
      <c r="P532" s="28">
        <f>IF(tblMovimientos[[#This Row],[Tipo de Movimiento]]="Ingreso",tblMovimientos[[#This Row],[Ingreso]],-tblMovimientos[[#This Row],[Egreso]])</f>
        <v>-9583.33</v>
      </c>
      <c r="Q532" s="78" t="str">
        <f>_xlfn.XLOOKUP(tblMovimientos[[#This Row],[Cuenta Bancaria]],Cuentas!$C:$C,Cuentas!$A:$A,"")&amp;""</f>
        <v>SSP Group</v>
      </c>
      <c r="R532" s="78" t="str">
        <f>_xlfn.XLOOKUP(tblMovimientos[[#This Row],[Cuenta Bancaria]],Cuentas!$C:$C,Cuentas!$B:$B,"",0,-1)&amp;""</f>
        <v/>
      </c>
    </row>
    <row r="533" spans="2:18" x14ac:dyDescent="0.3">
      <c r="B533" s="39">
        <v>46213</v>
      </c>
      <c r="C533" s="4" t="str">
        <f>_xlfn.XLOOKUP(tblMovimientos[[#This Row],[Cuenta Bancaria]],Listas!$B:$B,Listas!$A:$A,"")</f>
        <v>SSP Capital</v>
      </c>
      <c r="D533" s="41" t="s">
        <v>104</v>
      </c>
      <c r="E533" s="68" t="str">
        <f>_xlfn.XLOOKUP(tblMovimientos[[#This Row],[Cuenta Bancaria]],Listas!$B:$B,Listas!$C:$C,"")</f>
        <v xml:space="preserve">Amerant Bank </v>
      </c>
      <c r="F533" s="41" t="s">
        <v>10</v>
      </c>
      <c r="G533" s="41" t="s">
        <v>46</v>
      </c>
      <c r="H533" s="4" t="str">
        <f>IFERROR(_xlfn.XLOOKUP(G533,Listas!E:E,Listas!F:F,""),"")</f>
        <v>Financiamiento</v>
      </c>
      <c r="I533" s="46" t="str">
        <f>IFERROR(_xlfn.XLOOKUP(G533,Listas!E:E,Listas!G:G,""),"")</f>
        <v>Externo</v>
      </c>
      <c r="J533" s="43">
        <v>53666.67</v>
      </c>
      <c r="K533" s="5">
        <f t="shared" si="8"/>
        <v>-53666.67</v>
      </c>
      <c r="L533" s="15" t="s">
        <v>129</v>
      </c>
      <c r="M533" s="44">
        <f>SUMIFS('Saldos Iniciales'!$D:$D,'Saldos Iniciales'!$A:$A,C533,'Saldos Iniciales'!$B:$B,D533)+SUMIFS($K$1:$K$1324,$C$1:$C$1324,C533,$D$1:$D$1324,D533,$B$1:$B$1324,"&lt;="&amp;B533)</f>
        <v>1091819.9999999993</v>
      </c>
      <c r="N533" s="61" t="str">
        <f>IF(tblMovimientos[[#This Row],[Tipo de Movimiento]]="Ingreso",tblMovimientos[[#This Row],[Monto (S/)]],"0")</f>
        <v>0</v>
      </c>
      <c r="O533" s="61">
        <f>IF(tblMovimientos[[#This Row],[Tipo de Movimiento]]="Egreso",tblMovimientos[[#This Row],[Monto (S/)]],"0")</f>
        <v>53666.67</v>
      </c>
      <c r="P533" s="28">
        <f>IF(tblMovimientos[[#This Row],[Tipo de Movimiento]]="Ingreso",tblMovimientos[[#This Row],[Ingreso]],-tblMovimientos[[#This Row],[Egreso]])</f>
        <v>-53666.67</v>
      </c>
      <c r="Q533" s="78" t="str">
        <f>_xlfn.XLOOKUP(tblMovimientos[[#This Row],[Cuenta Bancaria]],Cuentas!$C:$C,Cuentas!$A:$A,"")&amp;""</f>
        <v>SSP Group</v>
      </c>
      <c r="R533" s="78" t="str">
        <f>_xlfn.XLOOKUP(tblMovimientos[[#This Row],[Cuenta Bancaria]],Cuentas!$C:$C,Cuentas!$B:$B,"",0,-1)&amp;""</f>
        <v/>
      </c>
    </row>
    <row r="534" spans="2:18" x14ac:dyDescent="0.3">
      <c r="B534" s="39">
        <v>46213</v>
      </c>
      <c r="C534" s="4" t="str">
        <f>_xlfn.XLOOKUP(tblMovimientos[[#This Row],[Cuenta Bancaria]],Listas!$B:$B,Listas!$A:$A,"")</f>
        <v>SSP Capital</v>
      </c>
      <c r="D534" s="41" t="s">
        <v>104</v>
      </c>
      <c r="E534" s="68" t="str">
        <f>_xlfn.XLOOKUP(tblMovimientos[[#This Row],[Cuenta Bancaria]],Listas!$B:$B,Listas!$C:$C,"")</f>
        <v xml:space="preserve">Amerant Bank </v>
      </c>
      <c r="F534" s="41" t="s">
        <v>10</v>
      </c>
      <c r="G534" s="41" t="s">
        <v>46</v>
      </c>
      <c r="H534" s="4" t="str">
        <f>IFERROR(_xlfn.XLOOKUP(G534,Listas!E:E,Listas!F:F,""),"")</f>
        <v>Financiamiento</v>
      </c>
      <c r="I534" s="46" t="str">
        <f>IFERROR(_xlfn.XLOOKUP(G534,Listas!E:E,Listas!G:G,""),"")</f>
        <v>Externo</v>
      </c>
      <c r="J534" s="43">
        <v>134166.67000000001</v>
      </c>
      <c r="K534" s="5">
        <f t="shared" si="8"/>
        <v>-134166.67000000001</v>
      </c>
      <c r="L534" s="15" t="s">
        <v>129</v>
      </c>
      <c r="M534" s="44">
        <f>SUMIFS('Saldos Iniciales'!$D:$D,'Saldos Iniciales'!$A:$A,C534,'Saldos Iniciales'!$B:$B,D534)+SUMIFS($K$1:$K$1324,$C$1:$C$1324,C534,$D$1:$D$1324,D534,$B$1:$B$1324,"&lt;="&amp;B534)</f>
        <v>1091819.9999999993</v>
      </c>
      <c r="N534" s="61" t="str">
        <f>IF(tblMovimientos[[#This Row],[Tipo de Movimiento]]="Ingreso",tblMovimientos[[#This Row],[Monto (S/)]],"0")</f>
        <v>0</v>
      </c>
      <c r="O534" s="61">
        <f>IF(tblMovimientos[[#This Row],[Tipo de Movimiento]]="Egreso",tblMovimientos[[#This Row],[Monto (S/)]],"0")</f>
        <v>134166.67000000001</v>
      </c>
      <c r="P534" s="28">
        <f>IF(tblMovimientos[[#This Row],[Tipo de Movimiento]]="Ingreso",tblMovimientos[[#This Row],[Ingreso]],-tblMovimientos[[#This Row],[Egreso]])</f>
        <v>-134166.67000000001</v>
      </c>
      <c r="Q534" s="78" t="str">
        <f>_xlfn.XLOOKUP(tblMovimientos[[#This Row],[Cuenta Bancaria]],Cuentas!$C:$C,Cuentas!$A:$A,"")&amp;""</f>
        <v>SSP Group</v>
      </c>
      <c r="R534" s="78" t="str">
        <f>_xlfn.XLOOKUP(tblMovimientos[[#This Row],[Cuenta Bancaria]],Cuentas!$C:$C,Cuentas!$B:$B,"",0,-1)&amp;""</f>
        <v/>
      </c>
    </row>
    <row r="535" spans="2:18" x14ac:dyDescent="0.3">
      <c r="B535" s="39">
        <v>46213</v>
      </c>
      <c r="C535" s="4" t="str">
        <f>_xlfn.XLOOKUP(tblMovimientos[[#This Row],[Cuenta Bancaria]],Listas!$B:$B,Listas!$A:$A,"")</f>
        <v>Go Blue</v>
      </c>
      <c r="D535" s="41" t="s">
        <v>126</v>
      </c>
      <c r="E535" s="68" t="str">
        <f>_xlfn.XLOOKUP(tblMovimientos[[#This Row],[Cuenta Bancaria]],Listas!$B:$B,Listas!$C:$C,"")</f>
        <v xml:space="preserve">Amerant Bank </v>
      </c>
      <c r="F535" s="41" t="s">
        <v>10</v>
      </c>
      <c r="G535" s="41" t="s">
        <v>64</v>
      </c>
      <c r="H535" s="4" t="str">
        <f>IFERROR(_xlfn.XLOOKUP(G535,Listas!E:E,Listas!F:F,""),"")</f>
        <v>Operativo</v>
      </c>
      <c r="I535" s="46" t="str">
        <f>IFERROR(_xlfn.XLOOKUP(G535,Listas!E:E,Listas!G:G,""),"")</f>
        <v>Interno</v>
      </c>
      <c r="J535" s="43">
        <v>2000</v>
      </c>
      <c r="K535" s="5">
        <f t="shared" si="8"/>
        <v>-2000</v>
      </c>
      <c r="L535" s="15" t="s">
        <v>129</v>
      </c>
      <c r="M535" s="44">
        <f>SUMIFS('Saldos Iniciales'!$D:$D,'Saldos Iniciales'!$A:$A,C535,'Saldos Iniciales'!$B:$B,D535)+SUMIFS($K$1:$K$1324,$C$1:$C$1324,C535,$D$1:$D$1324,D535,$B$1:$B$1324,"&lt;="&amp;B535)</f>
        <v>26561.279999999999</v>
      </c>
      <c r="N535" s="61" t="str">
        <f>IF(tblMovimientos[[#This Row],[Tipo de Movimiento]]="Ingreso",tblMovimientos[[#This Row],[Monto (S/)]],"0")</f>
        <v>0</v>
      </c>
      <c r="O535" s="61">
        <f>IF(tblMovimientos[[#This Row],[Tipo de Movimiento]]="Egreso",tblMovimientos[[#This Row],[Monto (S/)]],"0")</f>
        <v>2000</v>
      </c>
      <c r="P535" s="28">
        <f>IF(tblMovimientos[[#This Row],[Tipo de Movimiento]]="Ingreso",tblMovimientos[[#This Row],[Ingreso]],-tblMovimientos[[#This Row],[Egreso]])</f>
        <v>-2000</v>
      </c>
      <c r="Q535" s="78" t="str">
        <f>_xlfn.XLOOKUP(tblMovimientos[[#This Row],[Cuenta Bancaria]],Cuentas!$C:$C,Cuentas!$A:$A,"")&amp;""</f>
        <v>SSP Group</v>
      </c>
      <c r="R535" s="78" t="str">
        <f>_xlfn.XLOOKUP(tblMovimientos[[#This Row],[Cuenta Bancaria]],Cuentas!$C:$C,Cuentas!$B:$B,"",0,-1)&amp;""</f>
        <v/>
      </c>
    </row>
    <row r="536" spans="2:18" x14ac:dyDescent="0.3">
      <c r="B536" s="39">
        <v>46213</v>
      </c>
      <c r="C536" s="4" t="str">
        <f>_xlfn.XLOOKUP(tblMovimientos[[#This Row],[Cuenta Bancaria]],Listas!$B:$B,Listas!$A:$A,"")</f>
        <v>Electrama</v>
      </c>
      <c r="D536" s="41" t="s">
        <v>113</v>
      </c>
      <c r="E536" s="68" t="str">
        <f>_xlfn.XLOOKUP(tblMovimientos[[#This Row],[Cuenta Bancaria]],Listas!$B:$B,Listas!$C:$C,"")</f>
        <v>Chase Bank</v>
      </c>
      <c r="F536" s="41" t="s">
        <v>10</v>
      </c>
      <c r="G536" s="41" t="s">
        <v>38</v>
      </c>
      <c r="H536" s="4" t="str">
        <f>IFERROR(_xlfn.XLOOKUP(G536,Listas!E:E,Listas!F:F,""),"")</f>
        <v>Operativo</v>
      </c>
      <c r="I536" s="46" t="str">
        <f>IFERROR(_xlfn.XLOOKUP(G536,Listas!E:E,Listas!G:G,""),"")</f>
        <v>Externo</v>
      </c>
      <c r="J536" s="43">
        <v>550</v>
      </c>
      <c r="K536" s="5">
        <f t="shared" si="8"/>
        <v>-550</v>
      </c>
      <c r="L536" s="15" t="s">
        <v>129</v>
      </c>
      <c r="M536" s="44">
        <f>SUMIFS('Saldos Iniciales'!$D:$D,'Saldos Iniciales'!$A:$A,C536,'Saldos Iniciales'!$B:$B,D536)+SUMIFS($K$1:$K$1324,$C$1:$C$1324,C536,$D$1:$D$1324,D536,$B$1:$B$1324,"&lt;="&amp;B536)</f>
        <v>14580.45</v>
      </c>
      <c r="N536" s="61" t="str">
        <f>IF(tblMovimientos[[#This Row],[Tipo de Movimiento]]="Ingreso",tblMovimientos[[#This Row],[Monto (S/)]],"0")</f>
        <v>0</v>
      </c>
      <c r="O536" s="61">
        <f>IF(tblMovimientos[[#This Row],[Tipo de Movimiento]]="Egreso",tblMovimientos[[#This Row],[Monto (S/)]],"0")</f>
        <v>550</v>
      </c>
      <c r="P536" s="28">
        <f>IF(tblMovimientos[[#This Row],[Tipo de Movimiento]]="Ingreso",tblMovimientos[[#This Row],[Ingreso]],-tblMovimientos[[#This Row],[Egreso]])</f>
        <v>-550</v>
      </c>
      <c r="Q536" s="78" t="str">
        <f>_xlfn.XLOOKUP(tblMovimientos[[#This Row],[Cuenta Bancaria]],Cuentas!$C:$C,Cuentas!$A:$A,"")&amp;""</f>
        <v>SSP Group</v>
      </c>
      <c r="R536" s="78" t="str">
        <f>_xlfn.XLOOKUP(tblMovimientos[[#This Row],[Cuenta Bancaria]],Cuentas!$C:$C,Cuentas!$B:$B,"",0,-1)&amp;""</f>
        <v/>
      </c>
    </row>
    <row r="537" spans="2:18" x14ac:dyDescent="0.3">
      <c r="B537" s="39">
        <v>46213</v>
      </c>
      <c r="C537" s="4" t="str">
        <f>_xlfn.XLOOKUP(tblMovimientos[[#This Row],[Cuenta Bancaria]],Listas!$B:$B,Listas!$A:$A,"")</f>
        <v>Soweto</v>
      </c>
      <c r="D537" s="41" t="s">
        <v>116</v>
      </c>
      <c r="E537" s="68" t="str">
        <f>_xlfn.XLOOKUP(tblMovimientos[[#This Row],[Cuenta Bancaria]],Listas!$B:$B,Listas!$C:$C,"")</f>
        <v>Citibank</v>
      </c>
      <c r="F537" s="41" t="s">
        <v>10</v>
      </c>
      <c r="G537" s="41" t="s">
        <v>44</v>
      </c>
      <c r="H537" s="4" t="str">
        <f>IFERROR(_xlfn.XLOOKUP(G537,Listas!E:E,Listas!F:F,""),"")</f>
        <v>Operativo</v>
      </c>
      <c r="I537" s="46" t="str">
        <f>IFERROR(_xlfn.XLOOKUP(G537,Listas!E:E,Listas!G:G,""),"")</f>
        <v>Externo</v>
      </c>
      <c r="J537" s="43">
        <v>15</v>
      </c>
      <c r="K537" s="5">
        <f t="shared" si="8"/>
        <v>-15</v>
      </c>
      <c r="L537" s="15" t="s">
        <v>129</v>
      </c>
      <c r="M537" s="44">
        <f>SUMIFS('Saldos Iniciales'!$D:$D,'Saldos Iniciales'!$A:$A,C537,'Saldos Iniciales'!$B:$B,D537)+SUMIFS($K$1:$K$1324,$C$1:$C$1324,C537,$D$1:$D$1324,D537,$B$1:$B$1324,"&lt;="&amp;B537)</f>
        <v>1454589.72</v>
      </c>
      <c r="N537" s="61" t="str">
        <f>IF(tblMovimientos[[#This Row],[Tipo de Movimiento]]="Ingreso",tblMovimientos[[#This Row],[Monto (S/)]],"0")</f>
        <v>0</v>
      </c>
      <c r="O537" s="61">
        <f>IF(tblMovimientos[[#This Row],[Tipo de Movimiento]]="Egreso",tblMovimientos[[#This Row],[Monto (S/)]],"0")</f>
        <v>15</v>
      </c>
      <c r="P537" s="28">
        <f>IF(tblMovimientos[[#This Row],[Tipo de Movimiento]]="Ingreso",tblMovimientos[[#This Row],[Ingreso]],-tblMovimientos[[#This Row],[Egreso]])</f>
        <v>-15</v>
      </c>
      <c r="Q537" s="78" t="str">
        <f>_xlfn.XLOOKUP(tblMovimientos[[#This Row],[Cuenta Bancaria]],Cuentas!$C:$C,Cuentas!$A:$A,"")&amp;""</f>
        <v>SSP Group</v>
      </c>
      <c r="R537" s="78" t="str">
        <f>_xlfn.XLOOKUP(tblMovimientos[[#This Row],[Cuenta Bancaria]],Cuentas!$C:$C,Cuentas!$B:$B,"",0,-1)&amp;""</f>
        <v/>
      </c>
    </row>
    <row r="538" spans="2:18" x14ac:dyDescent="0.3">
      <c r="B538" s="39">
        <v>46216</v>
      </c>
      <c r="C538" s="4" t="str">
        <f>_xlfn.XLOOKUP(tblMovimientos[[#This Row],[Cuenta Bancaria]],Listas!$B:$B,Listas!$A:$A,"")</f>
        <v>Go Blue</v>
      </c>
      <c r="D538" s="41" t="s">
        <v>165</v>
      </c>
      <c r="E538" s="68" t="str">
        <f>_xlfn.XLOOKUP(tblMovimientos[[#This Row],[Cuenta Bancaria]],Listas!$B:$B,Listas!$C:$C,"")</f>
        <v xml:space="preserve">Amerant Bank </v>
      </c>
      <c r="F538" s="41" t="s">
        <v>10</v>
      </c>
      <c r="G538" s="41" t="s">
        <v>38</v>
      </c>
      <c r="H538" s="4" t="str">
        <f>IFERROR(_xlfn.XLOOKUP(G538,Listas!E:E,Listas!F:F,""),"")</f>
        <v>Operativo</v>
      </c>
      <c r="I538" s="46" t="str">
        <f>IFERROR(_xlfn.XLOOKUP(G538,Listas!E:E,Listas!G:G,""),"")</f>
        <v>Externo</v>
      </c>
      <c r="J538" s="43">
        <v>24</v>
      </c>
      <c r="K538" s="5">
        <f t="shared" si="8"/>
        <v>-24</v>
      </c>
      <c r="L538" s="15" t="s">
        <v>129</v>
      </c>
      <c r="M538" s="44">
        <f>SUMIFS('Saldos Iniciales'!$D:$D,'Saldos Iniciales'!$A:$A,C538,'Saldos Iniciales'!$B:$B,D538)+SUMIFS($K$1:$K$1324,$C$1:$C$1324,C538,$D$1:$D$1324,D538,$B$1:$B$1324,"&lt;="&amp;B538)</f>
        <v>4458</v>
      </c>
      <c r="N538" s="61" t="str">
        <f>IF(tblMovimientos[[#This Row],[Tipo de Movimiento]]="Ingreso",tblMovimientos[[#This Row],[Monto (S/)]],"0")</f>
        <v>0</v>
      </c>
      <c r="O538" s="61">
        <f>IF(tblMovimientos[[#This Row],[Tipo de Movimiento]]="Egreso",tblMovimientos[[#This Row],[Monto (S/)]],"0")</f>
        <v>24</v>
      </c>
      <c r="P538" s="28">
        <f>IF(tblMovimientos[[#This Row],[Tipo de Movimiento]]="Ingreso",tblMovimientos[[#This Row],[Ingreso]],-tblMovimientos[[#This Row],[Egreso]])</f>
        <v>-24</v>
      </c>
      <c r="Q538" s="78" t="str">
        <f>_xlfn.XLOOKUP(tblMovimientos[[#This Row],[Cuenta Bancaria]],Cuentas!$C:$C,Cuentas!$A:$A,"")&amp;""</f>
        <v>SSP Group</v>
      </c>
      <c r="R538" s="78" t="str">
        <f>_xlfn.XLOOKUP(tblMovimientos[[#This Row],[Cuenta Bancaria]],Cuentas!$C:$C,Cuentas!$B:$B,"",0,-1)&amp;""</f>
        <v/>
      </c>
    </row>
    <row r="539" spans="2:18" x14ac:dyDescent="0.3">
      <c r="B539" s="39">
        <v>46216</v>
      </c>
      <c r="C539" s="4" t="str">
        <f>_xlfn.XLOOKUP(tblMovimientos[[#This Row],[Cuenta Bancaria]],Listas!$B:$B,Listas!$A:$A,"")</f>
        <v>Go Blue</v>
      </c>
      <c r="D539" s="41" t="s">
        <v>165</v>
      </c>
      <c r="E539" s="68" t="str">
        <f>_xlfn.XLOOKUP(tblMovimientos[[#This Row],[Cuenta Bancaria]],Listas!$B:$B,Listas!$C:$C,"")</f>
        <v xml:space="preserve">Amerant Bank </v>
      </c>
      <c r="F539" s="41" t="s">
        <v>10</v>
      </c>
      <c r="G539" s="41" t="s">
        <v>38</v>
      </c>
      <c r="H539" s="4" t="str">
        <f>IFERROR(_xlfn.XLOOKUP(G539,Listas!E:E,Listas!F:F,""),"")</f>
        <v>Operativo</v>
      </c>
      <c r="I539" s="46" t="str">
        <f>IFERROR(_xlfn.XLOOKUP(G539,Listas!E:E,Listas!G:G,""),"")</f>
        <v>Externo</v>
      </c>
      <c r="J539" s="43">
        <v>764.97</v>
      </c>
      <c r="K539" s="5">
        <f t="shared" si="8"/>
        <v>-764.97</v>
      </c>
      <c r="L539" s="15" t="s">
        <v>129</v>
      </c>
      <c r="M539" s="44">
        <f>SUMIFS('Saldos Iniciales'!$D:$D,'Saldos Iniciales'!$A:$A,C539,'Saldos Iniciales'!$B:$B,D539)+SUMIFS($K$1:$K$1324,$C$1:$C$1324,C539,$D$1:$D$1324,D539,$B$1:$B$1324,"&lt;="&amp;B539)</f>
        <v>4458</v>
      </c>
      <c r="N539" s="61" t="str">
        <f>IF(tblMovimientos[[#This Row],[Tipo de Movimiento]]="Ingreso",tblMovimientos[[#This Row],[Monto (S/)]],"0")</f>
        <v>0</v>
      </c>
      <c r="O539" s="61">
        <f>IF(tblMovimientos[[#This Row],[Tipo de Movimiento]]="Egreso",tblMovimientos[[#This Row],[Monto (S/)]],"0")</f>
        <v>764.97</v>
      </c>
      <c r="P539" s="28">
        <f>IF(tblMovimientos[[#This Row],[Tipo de Movimiento]]="Ingreso",tblMovimientos[[#This Row],[Ingreso]],-tblMovimientos[[#This Row],[Egreso]])</f>
        <v>-764.97</v>
      </c>
      <c r="Q539" s="78" t="str">
        <f>_xlfn.XLOOKUP(tblMovimientos[[#This Row],[Cuenta Bancaria]],Cuentas!$C:$C,Cuentas!$A:$A,"")&amp;""</f>
        <v>SSP Group</v>
      </c>
      <c r="R539" s="78" t="str">
        <f>_xlfn.XLOOKUP(tblMovimientos[[#This Row],[Cuenta Bancaria]],Cuentas!$C:$C,Cuentas!$B:$B,"",0,-1)&amp;""</f>
        <v/>
      </c>
    </row>
    <row r="540" spans="2:18" x14ac:dyDescent="0.3">
      <c r="B540" s="39">
        <v>46216</v>
      </c>
      <c r="C540" s="4" t="str">
        <f>_xlfn.XLOOKUP(tblMovimientos[[#This Row],[Cuenta Bancaria]],Listas!$B:$B,Listas!$A:$A,"")</f>
        <v>Go Blue</v>
      </c>
      <c r="D540" s="41" t="s">
        <v>165</v>
      </c>
      <c r="E540" s="68" t="str">
        <f>_xlfn.XLOOKUP(tblMovimientos[[#This Row],[Cuenta Bancaria]],Listas!$B:$B,Listas!$C:$C,"")</f>
        <v xml:space="preserve">Amerant Bank </v>
      </c>
      <c r="F540" s="41" t="s">
        <v>10</v>
      </c>
      <c r="G540" s="41" t="s">
        <v>38</v>
      </c>
      <c r="H540" s="4" t="str">
        <f>IFERROR(_xlfn.XLOOKUP(G540,Listas!E:E,Listas!F:F,""),"")</f>
        <v>Operativo</v>
      </c>
      <c r="I540" s="46" t="str">
        <f>IFERROR(_xlfn.XLOOKUP(G540,Listas!E:E,Listas!G:G,""),"")</f>
        <v>Externo</v>
      </c>
      <c r="J540" s="43">
        <v>24</v>
      </c>
      <c r="K540" s="5">
        <f t="shared" si="8"/>
        <v>-24</v>
      </c>
      <c r="L540" s="15" t="s">
        <v>129</v>
      </c>
      <c r="M540" s="44">
        <f>SUMIFS('Saldos Iniciales'!$D:$D,'Saldos Iniciales'!$A:$A,C540,'Saldos Iniciales'!$B:$B,D540)+SUMIFS($K$1:$K$1324,$C$1:$C$1324,C540,$D$1:$D$1324,D540,$B$1:$B$1324,"&lt;="&amp;B540)</f>
        <v>4458</v>
      </c>
      <c r="N540" s="61" t="str">
        <f>IF(tblMovimientos[[#This Row],[Tipo de Movimiento]]="Ingreso",tblMovimientos[[#This Row],[Monto (S/)]],"0")</f>
        <v>0</v>
      </c>
      <c r="O540" s="61">
        <f>IF(tblMovimientos[[#This Row],[Tipo de Movimiento]]="Egreso",tblMovimientos[[#This Row],[Monto (S/)]],"0")</f>
        <v>24</v>
      </c>
      <c r="P540" s="28">
        <f>IF(tblMovimientos[[#This Row],[Tipo de Movimiento]]="Ingreso",tblMovimientos[[#This Row],[Ingreso]],-tblMovimientos[[#This Row],[Egreso]])</f>
        <v>-24</v>
      </c>
      <c r="Q540" s="78" t="str">
        <f>_xlfn.XLOOKUP(tblMovimientos[[#This Row],[Cuenta Bancaria]],Cuentas!$C:$C,Cuentas!$A:$A,"")&amp;""</f>
        <v>SSP Group</v>
      </c>
      <c r="R540" s="78" t="str">
        <f>_xlfn.XLOOKUP(tblMovimientos[[#This Row],[Cuenta Bancaria]],Cuentas!$C:$C,Cuentas!$B:$B,"",0,-1)&amp;""</f>
        <v/>
      </c>
    </row>
    <row r="541" spans="2:18" x14ac:dyDescent="0.3">
      <c r="B541" s="39">
        <v>46216</v>
      </c>
      <c r="C541" s="4" t="str">
        <f>_xlfn.XLOOKUP(tblMovimientos[[#This Row],[Cuenta Bancaria]],Listas!$B:$B,Listas!$A:$A,"")</f>
        <v>Go Blue</v>
      </c>
      <c r="D541" s="41" t="s">
        <v>165</v>
      </c>
      <c r="E541" s="68" t="str">
        <f>_xlfn.XLOOKUP(tblMovimientos[[#This Row],[Cuenta Bancaria]],Listas!$B:$B,Listas!$C:$C,"")</f>
        <v xml:space="preserve">Amerant Bank </v>
      </c>
      <c r="F541" s="41" t="s">
        <v>10</v>
      </c>
      <c r="G541" s="41" t="s">
        <v>38</v>
      </c>
      <c r="H541" s="4" t="str">
        <f>IFERROR(_xlfn.XLOOKUP(G541,Listas!E:E,Listas!F:F,""),"")</f>
        <v>Operativo</v>
      </c>
      <c r="I541" s="46" t="str">
        <f>IFERROR(_xlfn.XLOOKUP(G541,Listas!E:E,Listas!G:G,""),"")</f>
        <v>Externo</v>
      </c>
      <c r="J541" s="43">
        <v>29.47</v>
      </c>
      <c r="K541" s="5">
        <f t="shared" si="8"/>
        <v>-29.47</v>
      </c>
      <c r="L541" s="15" t="s">
        <v>129</v>
      </c>
      <c r="M541" s="44">
        <f>SUMIFS('Saldos Iniciales'!$D:$D,'Saldos Iniciales'!$A:$A,C541,'Saldos Iniciales'!$B:$B,D541)+SUMIFS($K$1:$K$1324,$C$1:$C$1324,C541,$D$1:$D$1324,D541,$B$1:$B$1324,"&lt;="&amp;B541)</f>
        <v>4458</v>
      </c>
      <c r="N541" s="61" t="str">
        <f>IF(tblMovimientos[[#This Row],[Tipo de Movimiento]]="Ingreso",tblMovimientos[[#This Row],[Monto (S/)]],"0")</f>
        <v>0</v>
      </c>
      <c r="O541" s="61">
        <f>IF(tblMovimientos[[#This Row],[Tipo de Movimiento]]="Egreso",tblMovimientos[[#This Row],[Monto (S/)]],"0")</f>
        <v>29.47</v>
      </c>
      <c r="P541" s="28">
        <f>IF(tblMovimientos[[#This Row],[Tipo de Movimiento]]="Ingreso",tblMovimientos[[#This Row],[Ingreso]],-tblMovimientos[[#This Row],[Egreso]])</f>
        <v>-29.47</v>
      </c>
      <c r="Q541" s="78" t="str">
        <f>_xlfn.XLOOKUP(tblMovimientos[[#This Row],[Cuenta Bancaria]],Cuentas!$C:$C,Cuentas!$A:$A,"")&amp;""</f>
        <v>SSP Group</v>
      </c>
      <c r="R541" s="78" t="str">
        <f>_xlfn.XLOOKUP(tblMovimientos[[#This Row],[Cuenta Bancaria]],Cuentas!$C:$C,Cuentas!$B:$B,"",0,-1)&amp;""</f>
        <v/>
      </c>
    </row>
    <row r="542" spans="2:18" x14ac:dyDescent="0.3">
      <c r="B542" s="39">
        <v>46216</v>
      </c>
      <c r="C542" s="4" t="str">
        <f>_xlfn.XLOOKUP(tblMovimientos[[#This Row],[Cuenta Bancaria]],Listas!$B:$B,Listas!$A:$A,"")</f>
        <v>Go Blue</v>
      </c>
      <c r="D542" s="41" t="s">
        <v>165</v>
      </c>
      <c r="E542" s="68" t="str">
        <f>_xlfn.XLOOKUP(tblMovimientos[[#This Row],[Cuenta Bancaria]],Listas!$B:$B,Listas!$C:$C,"")</f>
        <v xml:space="preserve">Amerant Bank </v>
      </c>
      <c r="F542" s="41" t="s">
        <v>10</v>
      </c>
      <c r="G542" s="41" t="s">
        <v>38</v>
      </c>
      <c r="H542" s="4" t="str">
        <f>IFERROR(_xlfn.XLOOKUP(G542,Listas!E:E,Listas!F:F,""),"")</f>
        <v>Operativo</v>
      </c>
      <c r="I542" s="46" t="str">
        <f>IFERROR(_xlfn.XLOOKUP(G542,Listas!E:E,Listas!G:G,""),"")</f>
        <v>Externo</v>
      </c>
      <c r="J542" s="43">
        <v>38.4</v>
      </c>
      <c r="K542" s="5">
        <f t="shared" si="8"/>
        <v>-38.4</v>
      </c>
      <c r="L542" s="15" t="s">
        <v>129</v>
      </c>
      <c r="M542" s="44">
        <f>SUMIFS('Saldos Iniciales'!$D:$D,'Saldos Iniciales'!$A:$A,C542,'Saldos Iniciales'!$B:$B,D542)+SUMIFS($K$1:$K$1324,$C$1:$C$1324,C542,$D$1:$D$1324,D542,$B$1:$B$1324,"&lt;="&amp;B542)</f>
        <v>4458</v>
      </c>
      <c r="N542" s="61" t="str">
        <f>IF(tblMovimientos[[#This Row],[Tipo de Movimiento]]="Ingreso",tblMovimientos[[#This Row],[Monto (S/)]],"0")</f>
        <v>0</v>
      </c>
      <c r="O542" s="61">
        <f>IF(tblMovimientos[[#This Row],[Tipo de Movimiento]]="Egreso",tblMovimientos[[#This Row],[Monto (S/)]],"0")</f>
        <v>38.4</v>
      </c>
      <c r="P542" s="28">
        <f>IF(tblMovimientos[[#This Row],[Tipo de Movimiento]]="Ingreso",tblMovimientos[[#This Row],[Ingreso]],-tblMovimientos[[#This Row],[Egreso]])</f>
        <v>-38.4</v>
      </c>
      <c r="Q542" s="78" t="str">
        <f>_xlfn.XLOOKUP(tblMovimientos[[#This Row],[Cuenta Bancaria]],Cuentas!$C:$C,Cuentas!$A:$A,"")&amp;""</f>
        <v>SSP Group</v>
      </c>
      <c r="R542" s="78" t="str">
        <f>_xlfn.XLOOKUP(tblMovimientos[[#This Row],[Cuenta Bancaria]],Cuentas!$C:$C,Cuentas!$B:$B,"",0,-1)&amp;""</f>
        <v/>
      </c>
    </row>
    <row r="543" spans="2:18" x14ac:dyDescent="0.3">
      <c r="B543" s="39">
        <v>46216</v>
      </c>
      <c r="C543" s="4" t="str">
        <f>_xlfn.XLOOKUP(tblMovimientos[[#This Row],[Cuenta Bancaria]],Listas!$B:$B,Listas!$A:$A,"")</f>
        <v>EC Auto</v>
      </c>
      <c r="D543" s="41" t="s">
        <v>119</v>
      </c>
      <c r="E543" s="68" t="str">
        <f>_xlfn.XLOOKUP(tblMovimientos[[#This Row],[Cuenta Bancaria]],Listas!$B:$B,Listas!$C:$C,"")</f>
        <v xml:space="preserve">Amerant Bank </v>
      </c>
      <c r="F543" s="41" t="s">
        <v>9</v>
      </c>
      <c r="G543" s="41" t="s">
        <v>82</v>
      </c>
      <c r="H543" s="4" t="str">
        <f>IFERROR(_xlfn.XLOOKUP(G543,Listas!E:E,Listas!F:F,""),"")</f>
        <v>Operativo</v>
      </c>
      <c r="I543" s="46" t="str">
        <f>IFERROR(_xlfn.XLOOKUP(G543,Listas!E:E,Listas!G:G,""),"")</f>
        <v>Externo</v>
      </c>
      <c r="J543" s="43">
        <v>518.65</v>
      </c>
      <c r="K543" s="5">
        <f t="shared" si="8"/>
        <v>518.65</v>
      </c>
      <c r="L543" s="15" t="s">
        <v>129</v>
      </c>
      <c r="M543" s="44">
        <f>SUMIFS('Saldos Iniciales'!$D:$D,'Saldos Iniciales'!$A:$A,C543,'Saldos Iniciales'!$B:$B,D543)+SUMIFS($K$1:$K$1324,$C$1:$C$1324,C543,$D$1:$D$1324,D543,$B$1:$B$1324,"&lt;="&amp;B543)</f>
        <v>901.34</v>
      </c>
      <c r="N543" s="61">
        <f>IF(tblMovimientos[[#This Row],[Tipo de Movimiento]]="Ingreso",tblMovimientos[[#This Row],[Monto (S/)]],"0")</f>
        <v>518.65</v>
      </c>
      <c r="O543" s="61" t="str">
        <f>IF(tblMovimientos[[#This Row],[Tipo de Movimiento]]="Egreso",tblMovimientos[[#This Row],[Monto (S/)]],"0")</f>
        <v>0</v>
      </c>
      <c r="P543" s="28">
        <f>IF(tblMovimientos[[#This Row],[Tipo de Movimiento]]="Ingreso",tblMovimientos[[#This Row],[Ingreso]],-tblMovimientos[[#This Row],[Egreso]])</f>
        <v>518.65</v>
      </c>
      <c r="Q543" s="78" t="str">
        <f>_xlfn.XLOOKUP(tblMovimientos[[#This Row],[Cuenta Bancaria]],Cuentas!$C:$C,Cuentas!$A:$A,"")&amp;""</f>
        <v>SSP Group</v>
      </c>
      <c r="R543" s="78" t="str">
        <f>_xlfn.XLOOKUP(tblMovimientos[[#This Row],[Cuenta Bancaria]],Cuentas!$C:$C,Cuentas!$B:$B,"",0,-1)&amp;""</f>
        <v/>
      </c>
    </row>
    <row r="544" spans="2:18" x14ac:dyDescent="0.3">
      <c r="B544" s="39">
        <v>46216</v>
      </c>
      <c r="C544" s="4" t="str">
        <f>_xlfn.XLOOKUP(tblMovimientos[[#This Row],[Cuenta Bancaria]],Listas!$B:$B,Listas!$A:$A,"")</f>
        <v>Go Blue</v>
      </c>
      <c r="D544" s="41" t="s">
        <v>126</v>
      </c>
      <c r="E544" s="68" t="str">
        <f>_xlfn.XLOOKUP(tblMovimientos[[#This Row],[Cuenta Bancaria]],Listas!$B:$B,Listas!$C:$C,"")</f>
        <v xml:space="preserve">Amerant Bank </v>
      </c>
      <c r="F544" s="41" t="s">
        <v>10</v>
      </c>
      <c r="G544" s="41" t="s">
        <v>38</v>
      </c>
      <c r="H544" s="4" t="str">
        <f>IFERROR(_xlfn.XLOOKUP(G544,Listas!E:E,Listas!F:F,""),"")</f>
        <v>Operativo</v>
      </c>
      <c r="I544" s="46" t="str">
        <f>IFERROR(_xlfn.XLOOKUP(G544,Listas!E:E,Listas!G:G,""),"")</f>
        <v>Externo</v>
      </c>
      <c r="J544" s="43">
        <v>1104.78</v>
      </c>
      <c r="K544" s="5">
        <f t="shared" si="8"/>
        <v>-1104.78</v>
      </c>
      <c r="L544" s="15" t="s">
        <v>129</v>
      </c>
      <c r="M544" s="44">
        <f>SUMIFS('Saldos Iniciales'!$D:$D,'Saldos Iniciales'!$A:$A,C544,'Saldos Iniciales'!$B:$B,D544)+SUMIFS($K$1:$K$1324,$C$1:$C$1324,C544,$D$1:$D$1324,D544,$B$1:$B$1324,"&lt;="&amp;B544)</f>
        <v>20740.239999999998</v>
      </c>
      <c r="N544" s="61" t="str">
        <f>IF(tblMovimientos[[#This Row],[Tipo de Movimiento]]="Ingreso",tblMovimientos[[#This Row],[Monto (S/)]],"0")</f>
        <v>0</v>
      </c>
      <c r="O544" s="61">
        <f>IF(tblMovimientos[[#This Row],[Tipo de Movimiento]]="Egreso",tblMovimientos[[#This Row],[Monto (S/)]],"0")</f>
        <v>1104.78</v>
      </c>
      <c r="P544" s="28">
        <f>IF(tblMovimientos[[#This Row],[Tipo de Movimiento]]="Ingreso",tblMovimientos[[#This Row],[Ingreso]],-tblMovimientos[[#This Row],[Egreso]])</f>
        <v>-1104.78</v>
      </c>
      <c r="Q544" s="78" t="str">
        <f>_xlfn.XLOOKUP(tblMovimientos[[#This Row],[Cuenta Bancaria]],Cuentas!$C:$C,Cuentas!$A:$A,"")&amp;""</f>
        <v>SSP Group</v>
      </c>
      <c r="R544" s="78" t="str">
        <f>_xlfn.XLOOKUP(tblMovimientos[[#This Row],[Cuenta Bancaria]],Cuentas!$C:$C,Cuentas!$B:$B,"",0,-1)&amp;""</f>
        <v/>
      </c>
    </row>
    <row r="545" spans="2:18" x14ac:dyDescent="0.3">
      <c r="B545" s="39">
        <v>46216</v>
      </c>
      <c r="C545" s="4" t="str">
        <f>_xlfn.XLOOKUP(tblMovimientos[[#This Row],[Cuenta Bancaria]],Listas!$B:$B,Listas!$A:$A,"")</f>
        <v>Go Blue</v>
      </c>
      <c r="D545" s="41" t="s">
        <v>126</v>
      </c>
      <c r="E545" s="68" t="str">
        <f>_xlfn.XLOOKUP(tblMovimientos[[#This Row],[Cuenta Bancaria]],Listas!$B:$B,Listas!$C:$C,"")</f>
        <v xml:space="preserve">Amerant Bank </v>
      </c>
      <c r="F545" s="41" t="s">
        <v>10</v>
      </c>
      <c r="G545" s="41" t="s">
        <v>38</v>
      </c>
      <c r="H545" s="4" t="str">
        <f>IFERROR(_xlfn.XLOOKUP(G545,Listas!E:E,Listas!F:F,""),"")</f>
        <v>Operativo</v>
      </c>
      <c r="I545" s="46" t="str">
        <f>IFERROR(_xlfn.XLOOKUP(G545,Listas!E:E,Listas!G:G,""),"")</f>
        <v>Externo</v>
      </c>
      <c r="J545" s="43">
        <v>2209.56</v>
      </c>
      <c r="K545" s="5">
        <f t="shared" si="8"/>
        <v>-2209.56</v>
      </c>
      <c r="L545" s="15" t="s">
        <v>129</v>
      </c>
      <c r="M545" s="44">
        <f>SUMIFS('Saldos Iniciales'!$D:$D,'Saldos Iniciales'!$A:$A,C545,'Saldos Iniciales'!$B:$B,D545)+SUMIFS($K$1:$K$1324,$C$1:$C$1324,C545,$D$1:$D$1324,D545,$B$1:$B$1324,"&lt;="&amp;B545)</f>
        <v>20740.239999999998</v>
      </c>
      <c r="N545" s="61" t="str">
        <f>IF(tblMovimientos[[#This Row],[Tipo de Movimiento]]="Ingreso",tblMovimientos[[#This Row],[Monto (S/)]],"0")</f>
        <v>0</v>
      </c>
      <c r="O545" s="61">
        <f>IF(tblMovimientos[[#This Row],[Tipo de Movimiento]]="Egreso",tblMovimientos[[#This Row],[Monto (S/)]],"0")</f>
        <v>2209.56</v>
      </c>
      <c r="P545" s="28">
        <f>IF(tblMovimientos[[#This Row],[Tipo de Movimiento]]="Ingreso",tblMovimientos[[#This Row],[Ingreso]],-tblMovimientos[[#This Row],[Egreso]])</f>
        <v>-2209.56</v>
      </c>
      <c r="Q545" s="78" t="str">
        <f>_xlfn.XLOOKUP(tblMovimientos[[#This Row],[Cuenta Bancaria]],Cuentas!$C:$C,Cuentas!$A:$A,"")&amp;""</f>
        <v>SSP Group</v>
      </c>
      <c r="R545" s="78" t="str">
        <f>_xlfn.XLOOKUP(tblMovimientos[[#This Row],[Cuenta Bancaria]],Cuentas!$C:$C,Cuentas!$B:$B,"",0,-1)&amp;""</f>
        <v/>
      </c>
    </row>
    <row r="546" spans="2:18" x14ac:dyDescent="0.3">
      <c r="B546" s="39">
        <v>46216</v>
      </c>
      <c r="C546" s="4" t="str">
        <f>_xlfn.XLOOKUP(tblMovimientos[[#This Row],[Cuenta Bancaria]],Listas!$B:$B,Listas!$A:$A,"")</f>
        <v>Go Blue</v>
      </c>
      <c r="D546" s="41" t="s">
        <v>126</v>
      </c>
      <c r="E546" s="68" t="str">
        <f>_xlfn.XLOOKUP(tblMovimientos[[#This Row],[Cuenta Bancaria]],Listas!$B:$B,Listas!$C:$C,"")</f>
        <v xml:space="preserve">Amerant Bank </v>
      </c>
      <c r="F546" s="41" t="s">
        <v>10</v>
      </c>
      <c r="G546" s="41" t="s">
        <v>38</v>
      </c>
      <c r="H546" s="4" t="str">
        <f>IFERROR(_xlfn.XLOOKUP(G546,Listas!E:E,Listas!F:F,""),"")</f>
        <v>Operativo</v>
      </c>
      <c r="I546" s="46" t="str">
        <f>IFERROR(_xlfn.XLOOKUP(G546,Listas!E:E,Listas!G:G,""),"")</f>
        <v>Externo</v>
      </c>
      <c r="J546" s="43">
        <v>2506.6999999999998</v>
      </c>
      <c r="K546" s="5">
        <f t="shared" si="8"/>
        <v>-2506.6999999999998</v>
      </c>
      <c r="L546" s="15" t="s">
        <v>129</v>
      </c>
      <c r="M546" s="44">
        <f>SUMIFS('Saldos Iniciales'!$D:$D,'Saldos Iniciales'!$A:$A,C546,'Saldos Iniciales'!$B:$B,D546)+SUMIFS($K$1:$K$1324,$C$1:$C$1324,C546,$D$1:$D$1324,D546,$B$1:$B$1324,"&lt;="&amp;B546)</f>
        <v>20740.239999999998</v>
      </c>
      <c r="N546" s="61" t="str">
        <f>IF(tblMovimientos[[#This Row],[Tipo de Movimiento]]="Ingreso",tblMovimientos[[#This Row],[Monto (S/)]],"0")</f>
        <v>0</v>
      </c>
      <c r="O546" s="61">
        <f>IF(tblMovimientos[[#This Row],[Tipo de Movimiento]]="Egreso",tblMovimientos[[#This Row],[Monto (S/)]],"0")</f>
        <v>2506.6999999999998</v>
      </c>
      <c r="P546" s="28">
        <f>IF(tblMovimientos[[#This Row],[Tipo de Movimiento]]="Ingreso",tblMovimientos[[#This Row],[Ingreso]],-tblMovimientos[[#This Row],[Egreso]])</f>
        <v>-2506.6999999999998</v>
      </c>
      <c r="Q546" s="78" t="str">
        <f>_xlfn.XLOOKUP(tblMovimientos[[#This Row],[Cuenta Bancaria]],Cuentas!$C:$C,Cuentas!$A:$A,"")&amp;""</f>
        <v>SSP Group</v>
      </c>
      <c r="R546" s="78" t="str">
        <f>_xlfn.XLOOKUP(tblMovimientos[[#This Row],[Cuenta Bancaria]],Cuentas!$C:$C,Cuentas!$B:$B,"",0,-1)&amp;""</f>
        <v/>
      </c>
    </row>
    <row r="547" spans="2:18" x14ac:dyDescent="0.3">
      <c r="B547" s="39">
        <v>46217</v>
      </c>
      <c r="C547" s="4" t="str">
        <f>_xlfn.XLOOKUP(tblMovimientos[[#This Row],[Cuenta Bancaria]],Listas!$B:$B,Listas!$A:$A,"")</f>
        <v>A&amp;M Imports</v>
      </c>
      <c r="D547" s="41" t="s">
        <v>100</v>
      </c>
      <c r="E547" s="68" t="str">
        <f>_xlfn.XLOOKUP(tblMovimientos[[#This Row],[Cuenta Bancaria]],Listas!$B:$B,Listas!$C:$C,"")</f>
        <v>Bank of America</v>
      </c>
      <c r="F547" s="41" t="s">
        <v>9</v>
      </c>
      <c r="G547" s="41" t="s">
        <v>75</v>
      </c>
      <c r="H547" s="4" t="str">
        <f>IFERROR(_xlfn.XLOOKUP(G547,Listas!E:E,Listas!F:F,""),"")</f>
        <v>Financiamiento</v>
      </c>
      <c r="I547" s="46" t="str">
        <f>IFERROR(_xlfn.XLOOKUP(G547,Listas!E:E,Listas!G:G,""),"")</f>
        <v>Interno</v>
      </c>
      <c r="J547" s="43">
        <v>800000</v>
      </c>
      <c r="K547" s="5">
        <f t="shared" si="8"/>
        <v>800000</v>
      </c>
      <c r="L547" s="15" t="s">
        <v>129</v>
      </c>
      <c r="M547" s="44">
        <f>SUMIFS('Saldos Iniciales'!$D:$D,'Saldos Iniciales'!$A:$A,C547,'Saldos Iniciales'!$B:$B,D547)+SUMIFS($K$1:$K$1324,$C$1:$C$1324,C547,$D$1:$D$1324,D547,$B$1:$B$1324,"&lt;="&amp;B547)</f>
        <v>1090141.6299999999</v>
      </c>
      <c r="N547" s="61">
        <f>IF(tblMovimientos[[#This Row],[Tipo de Movimiento]]="Ingreso",tblMovimientos[[#This Row],[Monto (S/)]],"0")</f>
        <v>800000</v>
      </c>
      <c r="O547" s="61" t="str">
        <f>IF(tblMovimientos[[#This Row],[Tipo de Movimiento]]="Egreso",tblMovimientos[[#This Row],[Monto (S/)]],"0")</f>
        <v>0</v>
      </c>
      <c r="P547" s="28">
        <f>IF(tblMovimientos[[#This Row],[Tipo de Movimiento]]="Ingreso",tblMovimientos[[#This Row],[Ingreso]],-tblMovimientos[[#This Row],[Egreso]])</f>
        <v>800000</v>
      </c>
      <c r="Q547" s="78" t="str">
        <f>_xlfn.XLOOKUP(tblMovimientos[[#This Row],[Cuenta Bancaria]],Cuentas!$C:$C,Cuentas!$A:$A,"")&amp;""</f>
        <v>SSP Group</v>
      </c>
      <c r="R547" s="78" t="str">
        <f>_xlfn.XLOOKUP(tblMovimientos[[#This Row],[Cuenta Bancaria]],Cuentas!$C:$C,Cuentas!$B:$B,"",0,-1)&amp;""</f>
        <v/>
      </c>
    </row>
    <row r="548" spans="2:18" x14ac:dyDescent="0.3">
      <c r="B548" s="39">
        <v>46217</v>
      </c>
      <c r="C548" s="4" t="str">
        <f>_xlfn.XLOOKUP(tblMovimientos[[#This Row],[Cuenta Bancaria]],Listas!$B:$B,Listas!$A:$A,"")</f>
        <v>2515 Overbrook</v>
      </c>
      <c r="D548" s="41" t="s">
        <v>121</v>
      </c>
      <c r="E548" s="68" t="str">
        <f>_xlfn.XLOOKUP(tblMovimientos[[#This Row],[Cuenta Bancaria]],Listas!$B:$B,Listas!$C:$C,"")</f>
        <v>Bank of America</v>
      </c>
      <c r="F548" s="41" t="s">
        <v>10</v>
      </c>
      <c r="G548" s="41" t="s">
        <v>38</v>
      </c>
      <c r="H548" s="4" t="str">
        <f>IFERROR(_xlfn.XLOOKUP(G548,Listas!E:E,Listas!F:F,""),"")</f>
        <v>Operativo</v>
      </c>
      <c r="I548" s="46" t="str">
        <f>IFERROR(_xlfn.XLOOKUP(G548,Listas!E:E,Listas!G:G,""),"")</f>
        <v>Externo</v>
      </c>
      <c r="J548" s="43">
        <v>149.07</v>
      </c>
      <c r="K548" s="5">
        <f t="shared" si="8"/>
        <v>-149.07</v>
      </c>
      <c r="L548" s="15" t="s">
        <v>129</v>
      </c>
      <c r="M548" s="44">
        <f>SUMIFS('Saldos Iniciales'!$D:$D,'Saldos Iniciales'!$A:$A,C548,'Saldos Iniciales'!$B:$B,D548)+SUMIFS($K$1:$K$1324,$C$1:$C$1324,C548,$D$1:$D$1324,D548,$B$1:$B$1324,"&lt;="&amp;B548)</f>
        <v>22027.149999999961</v>
      </c>
      <c r="N548" s="61" t="str">
        <f>IF(tblMovimientos[[#This Row],[Tipo de Movimiento]]="Ingreso",tblMovimientos[[#This Row],[Monto (S/)]],"0")</f>
        <v>0</v>
      </c>
      <c r="O548" s="61">
        <f>IF(tblMovimientos[[#This Row],[Tipo de Movimiento]]="Egreso",tblMovimientos[[#This Row],[Monto (S/)]],"0")</f>
        <v>149.07</v>
      </c>
      <c r="P548" s="28">
        <f>IF(tblMovimientos[[#This Row],[Tipo de Movimiento]]="Ingreso",tblMovimientos[[#This Row],[Ingreso]],-tblMovimientos[[#This Row],[Egreso]])</f>
        <v>-149.07</v>
      </c>
      <c r="Q548" s="78" t="str">
        <f>_xlfn.XLOOKUP(tblMovimientos[[#This Row],[Cuenta Bancaria]],Cuentas!$C:$C,Cuentas!$A:$A,"")&amp;""</f>
        <v>SSP Group</v>
      </c>
      <c r="R548" s="78" t="str">
        <f>_xlfn.XLOOKUP(tblMovimientos[[#This Row],[Cuenta Bancaria]],Cuentas!$C:$C,Cuentas!$B:$B,"",0,-1)&amp;""</f>
        <v/>
      </c>
    </row>
    <row r="549" spans="2:18" x14ac:dyDescent="0.3">
      <c r="B549" s="39">
        <v>46217</v>
      </c>
      <c r="C549" s="4" t="str">
        <f>_xlfn.XLOOKUP(tblMovimientos[[#This Row],[Cuenta Bancaria]],Listas!$B:$B,Listas!$A:$A,"")</f>
        <v>CFT Group</v>
      </c>
      <c r="D549" s="41" t="s">
        <v>95</v>
      </c>
      <c r="E549" s="68" t="str">
        <f>_xlfn.XLOOKUP(tblMovimientos[[#This Row],[Cuenta Bancaria]],Listas!$B:$B,Listas!$C:$C,"")</f>
        <v xml:space="preserve">Amerant Bank </v>
      </c>
      <c r="F549" s="41" t="s">
        <v>10</v>
      </c>
      <c r="G549" s="41" t="s">
        <v>62</v>
      </c>
      <c r="H549" s="4" t="str">
        <f>IFERROR(_xlfn.XLOOKUP(G549,Listas!E:E,Listas!F:F,""),"")</f>
        <v>Operativo</v>
      </c>
      <c r="I549" s="46" t="str">
        <f>IFERROR(_xlfn.XLOOKUP(G549,Listas!E:E,Listas!G:G,""),"")</f>
        <v>Interno</v>
      </c>
      <c r="J549" s="43">
        <v>800000</v>
      </c>
      <c r="K549" s="5">
        <f t="shared" si="8"/>
        <v>-800000</v>
      </c>
      <c r="L549" s="15" t="s">
        <v>129</v>
      </c>
      <c r="M549" s="44">
        <f>SUMIFS('Saldos Iniciales'!$D:$D,'Saldos Iniciales'!$A:$A,C549,'Saldos Iniciales'!$B:$B,D549)+SUMIFS($K$1:$K$1324,$C$1:$C$1324,C549,$D$1:$D$1324,D549,$B$1:$B$1324,"&lt;="&amp;B549)</f>
        <v>3322911.3600000003</v>
      </c>
      <c r="N549" s="61" t="str">
        <f>IF(tblMovimientos[[#This Row],[Tipo de Movimiento]]="Ingreso",tblMovimientos[[#This Row],[Monto (S/)]],"0")</f>
        <v>0</v>
      </c>
      <c r="O549" s="61">
        <f>IF(tblMovimientos[[#This Row],[Tipo de Movimiento]]="Egreso",tblMovimientos[[#This Row],[Monto (S/)]],"0")</f>
        <v>800000</v>
      </c>
      <c r="P549" s="28">
        <f>IF(tblMovimientos[[#This Row],[Tipo de Movimiento]]="Ingreso",tblMovimientos[[#This Row],[Ingreso]],-tblMovimientos[[#This Row],[Egreso]])</f>
        <v>-800000</v>
      </c>
      <c r="Q549" s="78" t="str">
        <f>_xlfn.XLOOKUP(tblMovimientos[[#This Row],[Cuenta Bancaria]],Cuentas!$C:$C,Cuentas!$A:$A,"")&amp;""</f>
        <v>SSP Group</v>
      </c>
      <c r="R549" s="78" t="str">
        <f>_xlfn.XLOOKUP(tblMovimientos[[#This Row],[Cuenta Bancaria]],Cuentas!$C:$C,Cuentas!$B:$B,"",0,-1)&amp;""</f>
        <v/>
      </c>
    </row>
    <row r="550" spans="2:18" x14ac:dyDescent="0.3">
      <c r="B550" s="39">
        <v>46217</v>
      </c>
      <c r="C550" s="4" t="str">
        <f>_xlfn.XLOOKUP(tblMovimientos[[#This Row],[Cuenta Bancaria]],Listas!$B:$B,Listas!$A:$A,"")</f>
        <v>SSP Capital</v>
      </c>
      <c r="D550" s="41" t="s">
        <v>104</v>
      </c>
      <c r="E550" s="68" t="str">
        <f>_xlfn.XLOOKUP(tblMovimientos[[#This Row],[Cuenta Bancaria]],Listas!$B:$B,Listas!$C:$C,"")</f>
        <v xml:space="preserve">Amerant Bank </v>
      </c>
      <c r="F550" s="41" t="s">
        <v>10</v>
      </c>
      <c r="G550" s="41" t="s">
        <v>39</v>
      </c>
      <c r="H550" s="4" t="str">
        <f>IFERROR(_xlfn.XLOOKUP(G550,Listas!E:E,Listas!F:F,""),"")</f>
        <v>Operativo</v>
      </c>
      <c r="I550" s="46" t="str">
        <f>IFERROR(_xlfn.XLOOKUP(G550,Listas!E:E,Listas!G:G,""),"")</f>
        <v>Externo</v>
      </c>
      <c r="J550" s="43">
        <v>65209.38</v>
      </c>
      <c r="K550" s="5">
        <f t="shared" si="8"/>
        <v>-65209.38</v>
      </c>
      <c r="L550" s="15" t="s">
        <v>129</v>
      </c>
      <c r="M550" s="44">
        <f>SUMIFS('Saldos Iniciales'!$D:$D,'Saldos Iniciales'!$A:$A,C550,'Saldos Iniciales'!$B:$B,D550)+SUMIFS($K$1:$K$1324,$C$1:$C$1324,C550,$D$1:$D$1324,D550,$B$1:$B$1324,"&lt;="&amp;B550)</f>
        <v>1026610.6199999993</v>
      </c>
      <c r="N550" s="61" t="str">
        <f>IF(tblMovimientos[[#This Row],[Tipo de Movimiento]]="Ingreso",tblMovimientos[[#This Row],[Monto (S/)]],"0")</f>
        <v>0</v>
      </c>
      <c r="O550" s="61">
        <f>IF(tblMovimientos[[#This Row],[Tipo de Movimiento]]="Egreso",tblMovimientos[[#This Row],[Monto (S/)]],"0")</f>
        <v>65209.38</v>
      </c>
      <c r="P550" s="28">
        <f>IF(tblMovimientos[[#This Row],[Tipo de Movimiento]]="Ingreso",tblMovimientos[[#This Row],[Ingreso]],-tblMovimientos[[#This Row],[Egreso]])</f>
        <v>-65209.38</v>
      </c>
      <c r="Q550" s="78" t="str">
        <f>_xlfn.XLOOKUP(tblMovimientos[[#This Row],[Cuenta Bancaria]],Cuentas!$C:$C,Cuentas!$A:$A,"")&amp;""</f>
        <v>SSP Group</v>
      </c>
      <c r="R550" s="78" t="str">
        <f>_xlfn.XLOOKUP(tblMovimientos[[#This Row],[Cuenta Bancaria]],Cuentas!$C:$C,Cuentas!$B:$B,"",0,-1)&amp;""</f>
        <v/>
      </c>
    </row>
    <row r="551" spans="2:18" x14ac:dyDescent="0.3">
      <c r="B551" s="39">
        <v>46218</v>
      </c>
      <c r="C551" s="4" t="str">
        <f>_xlfn.XLOOKUP(tblMovimientos[[#This Row],[Cuenta Bancaria]],Listas!$B:$B,Listas!$A:$A,"")</f>
        <v>SSP Capital</v>
      </c>
      <c r="D551" s="41" t="s">
        <v>102</v>
      </c>
      <c r="E551" s="68" t="str">
        <f>_xlfn.XLOOKUP(tblMovimientos[[#This Row],[Cuenta Bancaria]],Listas!$B:$B,Listas!$C:$C,"")</f>
        <v>Bank of America</v>
      </c>
      <c r="F551" s="41" t="s">
        <v>10</v>
      </c>
      <c r="G551" s="41" t="s">
        <v>44</v>
      </c>
      <c r="H551" s="4" t="str">
        <f>IFERROR(_xlfn.XLOOKUP(G551,Listas!E:E,Listas!F:F,""),"")</f>
        <v>Operativo</v>
      </c>
      <c r="I551" s="46" t="str">
        <f>IFERROR(_xlfn.XLOOKUP(G551,Listas!E:E,Listas!G:G,""),"")</f>
        <v>Externo</v>
      </c>
      <c r="J551" s="43">
        <v>29.44</v>
      </c>
      <c r="K551" s="5">
        <f t="shared" si="8"/>
        <v>-29.44</v>
      </c>
      <c r="L551" s="15" t="s">
        <v>129</v>
      </c>
      <c r="M551" s="44">
        <f>SUMIFS('Saldos Iniciales'!$D:$D,'Saldos Iniciales'!$A:$A,C551,'Saldos Iniciales'!$B:$B,D551)+SUMIFS($K$1:$K$1324,$C$1:$C$1324,C551,$D$1:$D$1324,D551,$B$1:$B$1324,"&lt;="&amp;B551)</f>
        <v>337.48000000000008</v>
      </c>
      <c r="N551" s="61" t="str">
        <f>IF(tblMovimientos[[#This Row],[Tipo de Movimiento]]="Ingreso",tblMovimientos[[#This Row],[Monto (S/)]],"0")</f>
        <v>0</v>
      </c>
      <c r="O551" s="61">
        <f>IF(tblMovimientos[[#This Row],[Tipo de Movimiento]]="Egreso",tblMovimientos[[#This Row],[Monto (S/)]],"0")</f>
        <v>29.44</v>
      </c>
      <c r="P551" s="28">
        <f>IF(tblMovimientos[[#This Row],[Tipo de Movimiento]]="Ingreso",tblMovimientos[[#This Row],[Ingreso]],-tblMovimientos[[#This Row],[Egreso]])</f>
        <v>-29.44</v>
      </c>
      <c r="Q551" s="78" t="str">
        <f>_xlfn.XLOOKUP(tblMovimientos[[#This Row],[Cuenta Bancaria]],Cuentas!$C:$C,Cuentas!$A:$A,"")&amp;""</f>
        <v>SSP Group</v>
      </c>
      <c r="R551" s="78" t="str">
        <f>_xlfn.XLOOKUP(tblMovimientos[[#This Row],[Cuenta Bancaria]],Cuentas!$C:$C,Cuentas!$B:$B,"",0,-1)&amp;""</f>
        <v/>
      </c>
    </row>
    <row r="552" spans="2:18" x14ac:dyDescent="0.3">
      <c r="B552" s="39">
        <v>46218</v>
      </c>
      <c r="C552" s="4" t="str">
        <f>_xlfn.XLOOKUP(tblMovimientos[[#This Row],[Cuenta Bancaria]],Listas!$B:$B,Listas!$A:$A,"")</f>
        <v>A&amp;M Imports</v>
      </c>
      <c r="D552" s="41" t="s">
        <v>100</v>
      </c>
      <c r="E552" s="68" t="str">
        <f>_xlfn.XLOOKUP(tblMovimientos[[#This Row],[Cuenta Bancaria]],Listas!$B:$B,Listas!$C:$C,"")</f>
        <v>Bank of America</v>
      </c>
      <c r="F552" s="41" t="s">
        <v>10</v>
      </c>
      <c r="G552" s="41" t="s">
        <v>44</v>
      </c>
      <c r="H552" s="4" t="str">
        <f>IFERROR(_xlfn.XLOOKUP(G552,Listas!E:E,Listas!F:F,""),"")</f>
        <v>Operativo</v>
      </c>
      <c r="I552" s="46" t="str">
        <f>IFERROR(_xlfn.XLOOKUP(G552,Listas!E:E,Listas!G:G,""),"")</f>
        <v>Externo</v>
      </c>
      <c r="J552" s="43">
        <v>336.88</v>
      </c>
      <c r="K552" s="5">
        <f t="shared" si="8"/>
        <v>-336.88</v>
      </c>
      <c r="L552" s="15" t="s">
        <v>129</v>
      </c>
      <c r="M552" s="44">
        <f>SUMIFS('Saldos Iniciales'!$D:$D,'Saldos Iniciales'!$A:$A,C552,'Saldos Iniciales'!$B:$B,D552)+SUMIFS($K$1:$K$1324,$C$1:$C$1324,C552,$D$1:$D$1324,D552,$B$1:$B$1324,"&lt;="&amp;B552)</f>
        <v>1089804.7499999998</v>
      </c>
      <c r="N552" s="61" t="str">
        <f>IF(tblMovimientos[[#This Row],[Tipo de Movimiento]]="Ingreso",tblMovimientos[[#This Row],[Monto (S/)]],"0")</f>
        <v>0</v>
      </c>
      <c r="O552" s="61">
        <f>IF(tblMovimientos[[#This Row],[Tipo de Movimiento]]="Egreso",tblMovimientos[[#This Row],[Monto (S/)]],"0")</f>
        <v>336.88</v>
      </c>
      <c r="P552" s="28">
        <f>IF(tblMovimientos[[#This Row],[Tipo de Movimiento]]="Ingreso",tblMovimientos[[#This Row],[Ingreso]],-tblMovimientos[[#This Row],[Egreso]])</f>
        <v>-336.88</v>
      </c>
      <c r="Q552" s="78" t="str">
        <f>_xlfn.XLOOKUP(tblMovimientos[[#This Row],[Cuenta Bancaria]],Cuentas!$C:$C,Cuentas!$A:$A,"")&amp;""</f>
        <v>SSP Group</v>
      </c>
      <c r="R552" s="78" t="str">
        <f>_xlfn.XLOOKUP(tblMovimientos[[#This Row],[Cuenta Bancaria]],Cuentas!$C:$C,Cuentas!$B:$B,"",0,-1)&amp;""</f>
        <v/>
      </c>
    </row>
    <row r="553" spans="2:18" x14ac:dyDescent="0.3">
      <c r="B553" s="39">
        <v>46218</v>
      </c>
      <c r="C553" s="4" t="str">
        <f>_xlfn.XLOOKUP(tblMovimientos[[#This Row],[Cuenta Bancaria]],Listas!$B:$B,Listas!$A:$A,"")</f>
        <v>Go Blue</v>
      </c>
      <c r="D553" s="41" t="s">
        <v>126</v>
      </c>
      <c r="E553" s="68" t="str">
        <f>_xlfn.XLOOKUP(tblMovimientos[[#This Row],[Cuenta Bancaria]],Listas!$B:$B,Listas!$C:$C,"")</f>
        <v xml:space="preserve">Amerant Bank </v>
      </c>
      <c r="F553" s="41" t="s">
        <v>10</v>
      </c>
      <c r="G553" s="41" t="s">
        <v>38</v>
      </c>
      <c r="H553" s="4" t="str">
        <f>IFERROR(_xlfn.XLOOKUP(G553,Listas!E:E,Listas!F:F,""),"")</f>
        <v>Operativo</v>
      </c>
      <c r="I553" s="46" t="str">
        <f>IFERROR(_xlfn.XLOOKUP(G553,Listas!E:E,Listas!G:G,""),"")</f>
        <v>Externo</v>
      </c>
      <c r="J553" s="43">
        <v>175</v>
      </c>
      <c r="K553" s="5">
        <f t="shared" si="8"/>
        <v>-175</v>
      </c>
      <c r="L553" s="15" t="s">
        <v>129</v>
      </c>
      <c r="M553" s="44">
        <f>SUMIFS('Saldos Iniciales'!$D:$D,'Saldos Iniciales'!$A:$A,C553,'Saldos Iniciales'!$B:$B,D553)+SUMIFS($K$1:$K$1324,$C$1:$C$1324,C553,$D$1:$D$1324,D553,$B$1:$B$1324,"&lt;="&amp;B553)</f>
        <v>20565.239999999998</v>
      </c>
      <c r="N553" s="61" t="str">
        <f>IF(tblMovimientos[[#This Row],[Tipo de Movimiento]]="Ingreso",tblMovimientos[[#This Row],[Monto (S/)]],"0")</f>
        <v>0</v>
      </c>
      <c r="O553" s="61">
        <f>IF(tblMovimientos[[#This Row],[Tipo de Movimiento]]="Egreso",tblMovimientos[[#This Row],[Monto (S/)]],"0")</f>
        <v>175</v>
      </c>
      <c r="P553" s="28">
        <f>IF(tblMovimientos[[#This Row],[Tipo de Movimiento]]="Ingreso",tblMovimientos[[#This Row],[Ingreso]],-tblMovimientos[[#This Row],[Egreso]])</f>
        <v>-175</v>
      </c>
      <c r="Q553" s="78" t="str">
        <f>_xlfn.XLOOKUP(tblMovimientos[[#This Row],[Cuenta Bancaria]],Cuentas!$C:$C,Cuentas!$A:$A,"")&amp;""</f>
        <v>SSP Group</v>
      </c>
      <c r="R553" s="78" t="str">
        <f>_xlfn.XLOOKUP(tblMovimientos[[#This Row],[Cuenta Bancaria]],Cuentas!$C:$C,Cuentas!$B:$B,"",0,-1)&amp;""</f>
        <v/>
      </c>
    </row>
    <row r="554" spans="2:18" x14ac:dyDescent="0.3">
      <c r="B554" s="39">
        <v>46219</v>
      </c>
      <c r="C554" s="4" t="str">
        <f>_xlfn.XLOOKUP(tblMovimientos[[#This Row],[Cuenta Bancaria]],Listas!$B:$B,Listas!$A:$A,"")</f>
        <v>SSP Capital</v>
      </c>
      <c r="D554" s="41" t="s">
        <v>101</v>
      </c>
      <c r="E554" s="68" t="str">
        <f>_xlfn.XLOOKUP(tblMovimientos[[#This Row],[Cuenta Bancaria]],Listas!$B:$B,Listas!$C:$C,"")</f>
        <v>Bank of America</v>
      </c>
      <c r="F554" s="41" t="s">
        <v>10</v>
      </c>
      <c r="G554" s="41" t="s">
        <v>38</v>
      </c>
      <c r="H554" s="4" t="str">
        <f>IFERROR(_xlfn.XLOOKUP(G554,Listas!E:E,Listas!F:F,""),"")</f>
        <v>Operativo</v>
      </c>
      <c r="I554" s="46" t="str">
        <f>IFERROR(_xlfn.XLOOKUP(G554,Listas!E:E,Listas!G:G,""),"")</f>
        <v>Externo</v>
      </c>
      <c r="J554" s="43">
        <v>2490.36</v>
      </c>
      <c r="K554" s="5">
        <f t="shared" si="8"/>
        <v>-2490.36</v>
      </c>
      <c r="L554" s="15" t="s">
        <v>129</v>
      </c>
      <c r="M554" s="44">
        <f>SUMIFS('Saldos Iniciales'!$D:$D,'Saldos Iniciales'!$A:$A,C554,'Saldos Iniciales'!$B:$B,D554)+SUMIFS($K$1:$K$1324,$C$1:$C$1324,C554,$D$1:$D$1324,D554,$B$1:$B$1324,"&lt;="&amp;B554)</f>
        <v>10633.18</v>
      </c>
      <c r="N554" s="61" t="str">
        <f>IF(tblMovimientos[[#This Row],[Tipo de Movimiento]]="Ingreso",tblMovimientos[[#This Row],[Monto (S/)]],"0")</f>
        <v>0</v>
      </c>
      <c r="O554" s="61">
        <f>IF(tblMovimientos[[#This Row],[Tipo de Movimiento]]="Egreso",tblMovimientos[[#This Row],[Monto (S/)]],"0")</f>
        <v>2490.36</v>
      </c>
      <c r="P554" s="28">
        <f>IF(tblMovimientos[[#This Row],[Tipo de Movimiento]]="Ingreso",tblMovimientos[[#This Row],[Ingreso]],-tblMovimientos[[#This Row],[Egreso]])</f>
        <v>-2490.36</v>
      </c>
      <c r="Q554" s="78" t="str">
        <f>_xlfn.XLOOKUP(tblMovimientos[[#This Row],[Cuenta Bancaria]],Cuentas!$C:$C,Cuentas!$A:$A,"")&amp;""</f>
        <v>SSP Group</v>
      </c>
      <c r="R554" s="78" t="str">
        <f>_xlfn.XLOOKUP(tblMovimientos[[#This Row],[Cuenta Bancaria]],Cuentas!$C:$C,Cuentas!$B:$B,"",0,-1)&amp;""</f>
        <v/>
      </c>
    </row>
    <row r="555" spans="2:18" x14ac:dyDescent="0.3">
      <c r="B555" s="39">
        <v>46219</v>
      </c>
      <c r="C555" s="4" t="str">
        <f>_xlfn.XLOOKUP(tblMovimientos[[#This Row],[Cuenta Bancaria]],Listas!$B:$B,Listas!$A:$A,"")</f>
        <v>A&amp;M Imports</v>
      </c>
      <c r="D555" s="41" t="s">
        <v>100</v>
      </c>
      <c r="E555" s="68" t="str">
        <f>_xlfn.XLOOKUP(tblMovimientos[[#This Row],[Cuenta Bancaria]],Listas!$B:$B,Listas!$C:$C,"")</f>
        <v>Bank of America</v>
      </c>
      <c r="F555" s="41" t="s">
        <v>10</v>
      </c>
      <c r="G555" s="41" t="s">
        <v>61</v>
      </c>
      <c r="H555" s="4" t="str">
        <f>IFERROR(_xlfn.XLOOKUP(G555,Listas!E:E,Listas!F:F,""),"")</f>
        <v>Operativo</v>
      </c>
      <c r="I555" s="46" t="str">
        <f>IFERROR(_xlfn.XLOOKUP(G555,Listas!E:E,Listas!G:G,""),"")</f>
        <v>Externo</v>
      </c>
      <c r="J555" s="43">
        <v>60000</v>
      </c>
      <c r="K555" s="5">
        <f t="shared" si="8"/>
        <v>-60000</v>
      </c>
      <c r="L555" s="15" t="s">
        <v>129</v>
      </c>
      <c r="M555" s="44">
        <f>SUMIFS('Saldos Iniciales'!$D:$D,'Saldos Iniciales'!$A:$A,C555,'Saldos Iniciales'!$B:$B,D555)+SUMIFS($K$1:$K$1324,$C$1:$C$1324,C555,$D$1:$D$1324,D555,$B$1:$B$1324,"&lt;="&amp;B555)</f>
        <v>1029804.7499999998</v>
      </c>
      <c r="N555" s="61" t="str">
        <f>IF(tblMovimientos[[#This Row],[Tipo de Movimiento]]="Ingreso",tblMovimientos[[#This Row],[Monto (S/)]],"0")</f>
        <v>0</v>
      </c>
      <c r="O555" s="61">
        <f>IF(tblMovimientos[[#This Row],[Tipo de Movimiento]]="Egreso",tblMovimientos[[#This Row],[Monto (S/)]],"0")</f>
        <v>60000</v>
      </c>
      <c r="P555" s="28">
        <f>IF(tblMovimientos[[#This Row],[Tipo de Movimiento]]="Ingreso",tblMovimientos[[#This Row],[Ingreso]],-tblMovimientos[[#This Row],[Egreso]])</f>
        <v>-60000</v>
      </c>
      <c r="Q555" s="78" t="str">
        <f>_xlfn.XLOOKUP(tblMovimientos[[#This Row],[Cuenta Bancaria]],Cuentas!$C:$C,Cuentas!$A:$A,"")&amp;""</f>
        <v>SSP Group</v>
      </c>
      <c r="R555" s="78" t="str">
        <f>_xlfn.XLOOKUP(tblMovimientos[[#This Row],[Cuenta Bancaria]],Cuentas!$C:$C,Cuentas!$B:$B,"",0,-1)&amp;""</f>
        <v/>
      </c>
    </row>
    <row r="556" spans="2:18" x14ac:dyDescent="0.3">
      <c r="B556" s="39">
        <v>46219</v>
      </c>
      <c r="C556" s="4" t="str">
        <f>_xlfn.XLOOKUP(tblMovimientos[[#This Row],[Cuenta Bancaria]],Listas!$B:$B,Listas!$A:$A,"")</f>
        <v>112 Florida Ave</v>
      </c>
      <c r="D556" s="41" t="s">
        <v>123</v>
      </c>
      <c r="E556" s="68" t="str">
        <f>_xlfn.XLOOKUP(tblMovimientos[[#This Row],[Cuenta Bancaria]],Listas!$B:$B,Listas!$C:$C,"")</f>
        <v>Bank of America</v>
      </c>
      <c r="F556" s="41" t="s">
        <v>10</v>
      </c>
      <c r="G556" s="41" t="s">
        <v>38</v>
      </c>
      <c r="H556" s="4" t="str">
        <f>IFERROR(_xlfn.XLOOKUP(G556,Listas!E:E,Listas!F:F,""),"")</f>
        <v>Operativo</v>
      </c>
      <c r="I556" s="46" t="str">
        <f>IFERROR(_xlfn.XLOOKUP(G556,Listas!E:E,Listas!G:G,""),"")</f>
        <v>Externo</v>
      </c>
      <c r="J556" s="43">
        <v>3000</v>
      </c>
      <c r="K556" s="5">
        <f t="shared" si="8"/>
        <v>-3000</v>
      </c>
      <c r="L556" s="15" t="s">
        <v>129</v>
      </c>
      <c r="M556" s="44">
        <f>SUMIFS('Saldos Iniciales'!$D:$D,'Saldos Iniciales'!$A:$A,C556,'Saldos Iniciales'!$B:$B,D556)+SUMIFS($K$1:$K$1324,$C$1:$C$1324,C556,$D$1:$D$1324,D556,$B$1:$B$1324,"&lt;="&amp;B556)</f>
        <v>3522.8000000000029</v>
      </c>
      <c r="N556" s="61" t="str">
        <f>IF(tblMovimientos[[#This Row],[Tipo de Movimiento]]="Ingreso",tblMovimientos[[#This Row],[Monto (S/)]],"0")</f>
        <v>0</v>
      </c>
      <c r="O556" s="61">
        <f>IF(tblMovimientos[[#This Row],[Tipo de Movimiento]]="Egreso",tblMovimientos[[#This Row],[Monto (S/)]],"0")</f>
        <v>3000</v>
      </c>
      <c r="P556" s="28">
        <f>IF(tblMovimientos[[#This Row],[Tipo de Movimiento]]="Ingreso",tblMovimientos[[#This Row],[Ingreso]],-tblMovimientos[[#This Row],[Egreso]])</f>
        <v>-3000</v>
      </c>
      <c r="Q556" s="78" t="str">
        <f>_xlfn.XLOOKUP(tblMovimientos[[#This Row],[Cuenta Bancaria]],Cuentas!$C:$C,Cuentas!$A:$A,"")&amp;""</f>
        <v>SSP Group</v>
      </c>
      <c r="R556" s="78" t="str">
        <f>_xlfn.XLOOKUP(tblMovimientos[[#This Row],[Cuenta Bancaria]],Cuentas!$C:$C,Cuentas!$B:$B,"",0,-1)&amp;""</f>
        <v/>
      </c>
    </row>
    <row r="557" spans="2:18" x14ac:dyDescent="0.3">
      <c r="B557" s="39">
        <v>46219</v>
      </c>
      <c r="C557" s="4" t="str">
        <f>_xlfn.XLOOKUP(tblMovimientos[[#This Row],[Cuenta Bancaria]],Listas!$B:$B,Listas!$A:$A,"")</f>
        <v>Go Blue</v>
      </c>
      <c r="D557" s="41" t="s">
        <v>165</v>
      </c>
      <c r="E557" s="68" t="str">
        <f>_xlfn.XLOOKUP(tblMovimientos[[#This Row],[Cuenta Bancaria]],Listas!$B:$B,Listas!$C:$C,"")</f>
        <v xml:space="preserve">Amerant Bank </v>
      </c>
      <c r="F557" s="41" t="s">
        <v>9</v>
      </c>
      <c r="G557" s="41" t="s">
        <v>85</v>
      </c>
      <c r="H557" s="4" t="str">
        <f>IFERROR(_xlfn.XLOOKUP(G557,Listas!E:E,Listas!F:F,""),"")</f>
        <v>Operativo</v>
      </c>
      <c r="I557" s="46" t="str">
        <f>IFERROR(_xlfn.XLOOKUP(G557,Listas!E:E,Listas!G:G,""),"")</f>
        <v>Interno</v>
      </c>
      <c r="J557" s="43">
        <v>2000</v>
      </c>
      <c r="K557" s="5">
        <f t="shared" si="8"/>
        <v>2000</v>
      </c>
      <c r="L557" s="15" t="s">
        <v>129</v>
      </c>
      <c r="M557" s="44">
        <f>SUMIFS('Saldos Iniciales'!$D:$D,'Saldos Iniciales'!$A:$A,C557,'Saldos Iniciales'!$B:$B,D557)+SUMIFS($K$1:$K$1324,$C$1:$C$1324,C557,$D$1:$D$1324,D557,$B$1:$B$1324,"&lt;="&amp;B557)</f>
        <v>5413.6100000000006</v>
      </c>
      <c r="N557" s="61">
        <f>IF(tblMovimientos[[#This Row],[Tipo de Movimiento]]="Ingreso",tblMovimientos[[#This Row],[Monto (S/)]],"0")</f>
        <v>2000</v>
      </c>
      <c r="O557" s="61" t="str">
        <f>IF(tblMovimientos[[#This Row],[Tipo de Movimiento]]="Egreso",tblMovimientos[[#This Row],[Monto (S/)]],"0")</f>
        <v>0</v>
      </c>
      <c r="P557" s="28">
        <f>IF(tblMovimientos[[#This Row],[Tipo de Movimiento]]="Ingreso",tblMovimientos[[#This Row],[Ingreso]],-tblMovimientos[[#This Row],[Egreso]])</f>
        <v>2000</v>
      </c>
      <c r="Q557" s="78" t="str">
        <f>_xlfn.XLOOKUP(tblMovimientos[[#This Row],[Cuenta Bancaria]],Cuentas!$C:$C,Cuentas!$A:$A,"")&amp;""</f>
        <v>SSP Group</v>
      </c>
      <c r="R557" s="78" t="str">
        <f>_xlfn.XLOOKUP(tblMovimientos[[#This Row],[Cuenta Bancaria]],Cuentas!$C:$C,Cuentas!$B:$B,"",0,-1)&amp;""</f>
        <v/>
      </c>
    </row>
    <row r="558" spans="2:18" x14ac:dyDescent="0.3">
      <c r="B558" s="39">
        <v>46219</v>
      </c>
      <c r="C558" s="4" t="str">
        <f>_xlfn.XLOOKUP(tblMovimientos[[#This Row],[Cuenta Bancaria]],Listas!$B:$B,Listas!$A:$A,"")</f>
        <v>Go Blue</v>
      </c>
      <c r="D558" s="41" t="s">
        <v>165</v>
      </c>
      <c r="E558" s="68" t="str">
        <f>_xlfn.XLOOKUP(tblMovimientos[[#This Row],[Cuenta Bancaria]],Listas!$B:$B,Listas!$C:$C,"")</f>
        <v xml:space="preserve">Amerant Bank </v>
      </c>
      <c r="F558" s="41" t="s">
        <v>10</v>
      </c>
      <c r="G558" s="41" t="s">
        <v>38</v>
      </c>
      <c r="H558" s="4" t="str">
        <f>IFERROR(_xlfn.XLOOKUP(G558,Listas!E:E,Listas!F:F,""),"")</f>
        <v>Operativo</v>
      </c>
      <c r="I558" s="46" t="str">
        <f>IFERROR(_xlfn.XLOOKUP(G558,Listas!E:E,Listas!G:G,""),"")</f>
        <v>Externo</v>
      </c>
      <c r="J558" s="43">
        <v>938</v>
      </c>
      <c r="K558" s="5">
        <f t="shared" si="8"/>
        <v>-938</v>
      </c>
      <c r="L558" s="15" t="s">
        <v>129</v>
      </c>
      <c r="M558" s="44">
        <f>SUMIFS('Saldos Iniciales'!$D:$D,'Saldos Iniciales'!$A:$A,C558,'Saldos Iniciales'!$B:$B,D558)+SUMIFS($K$1:$K$1324,$C$1:$C$1324,C558,$D$1:$D$1324,D558,$B$1:$B$1324,"&lt;="&amp;B558)</f>
        <v>5413.6100000000006</v>
      </c>
      <c r="N558" s="61" t="str">
        <f>IF(tblMovimientos[[#This Row],[Tipo de Movimiento]]="Ingreso",tblMovimientos[[#This Row],[Monto (S/)]],"0")</f>
        <v>0</v>
      </c>
      <c r="O558" s="61">
        <f>IF(tblMovimientos[[#This Row],[Tipo de Movimiento]]="Egreso",tblMovimientos[[#This Row],[Monto (S/)]],"0")</f>
        <v>938</v>
      </c>
      <c r="P558" s="28">
        <f>IF(tblMovimientos[[#This Row],[Tipo de Movimiento]]="Ingreso",tblMovimientos[[#This Row],[Ingreso]],-tblMovimientos[[#This Row],[Egreso]])</f>
        <v>-938</v>
      </c>
      <c r="Q558" s="78" t="str">
        <f>_xlfn.XLOOKUP(tblMovimientos[[#This Row],[Cuenta Bancaria]],Cuentas!$C:$C,Cuentas!$A:$A,"")&amp;""</f>
        <v>SSP Group</v>
      </c>
      <c r="R558" s="78" t="str">
        <f>_xlfn.XLOOKUP(tblMovimientos[[#This Row],[Cuenta Bancaria]],Cuentas!$C:$C,Cuentas!$B:$B,"",0,-1)&amp;""</f>
        <v/>
      </c>
    </row>
    <row r="559" spans="2:18" x14ac:dyDescent="0.3">
      <c r="B559" s="39">
        <v>46219</v>
      </c>
      <c r="C559" s="4" t="str">
        <f>_xlfn.XLOOKUP(tblMovimientos[[#This Row],[Cuenta Bancaria]],Listas!$B:$B,Listas!$A:$A,"")</f>
        <v>Go Blue</v>
      </c>
      <c r="D559" s="41" t="s">
        <v>165</v>
      </c>
      <c r="E559" s="68" t="str">
        <f>_xlfn.XLOOKUP(tblMovimientos[[#This Row],[Cuenta Bancaria]],Listas!$B:$B,Listas!$C:$C,"")</f>
        <v xml:space="preserve">Amerant Bank </v>
      </c>
      <c r="F559" s="41" t="s">
        <v>10</v>
      </c>
      <c r="G559" s="41" t="s">
        <v>38</v>
      </c>
      <c r="H559" s="4" t="str">
        <f>IFERROR(_xlfn.XLOOKUP(G559,Listas!E:E,Listas!F:F,""),"")</f>
        <v>Operativo</v>
      </c>
      <c r="I559" s="46" t="str">
        <f>IFERROR(_xlfn.XLOOKUP(G559,Listas!E:E,Listas!G:G,""),"")</f>
        <v>Externo</v>
      </c>
      <c r="J559" s="43">
        <v>92.41</v>
      </c>
      <c r="K559" s="5">
        <f t="shared" si="8"/>
        <v>-92.41</v>
      </c>
      <c r="L559" s="15" t="s">
        <v>129</v>
      </c>
      <c r="M559" s="44">
        <f>SUMIFS('Saldos Iniciales'!$D:$D,'Saldos Iniciales'!$A:$A,C559,'Saldos Iniciales'!$B:$B,D559)+SUMIFS($K$1:$K$1324,$C$1:$C$1324,C559,$D$1:$D$1324,D559,$B$1:$B$1324,"&lt;="&amp;B559)</f>
        <v>5413.6100000000006</v>
      </c>
      <c r="N559" s="61" t="str">
        <f>IF(tblMovimientos[[#This Row],[Tipo de Movimiento]]="Ingreso",tblMovimientos[[#This Row],[Monto (S/)]],"0")</f>
        <v>0</v>
      </c>
      <c r="O559" s="61">
        <f>IF(tblMovimientos[[#This Row],[Tipo de Movimiento]]="Egreso",tblMovimientos[[#This Row],[Monto (S/)]],"0")</f>
        <v>92.41</v>
      </c>
      <c r="P559" s="28">
        <f>IF(tblMovimientos[[#This Row],[Tipo de Movimiento]]="Ingreso",tblMovimientos[[#This Row],[Ingreso]],-tblMovimientos[[#This Row],[Egreso]])</f>
        <v>-92.41</v>
      </c>
      <c r="Q559" s="78" t="str">
        <f>_xlfn.XLOOKUP(tblMovimientos[[#This Row],[Cuenta Bancaria]],Cuentas!$C:$C,Cuentas!$A:$A,"")&amp;""</f>
        <v>SSP Group</v>
      </c>
      <c r="R559" s="78" t="str">
        <f>_xlfn.XLOOKUP(tblMovimientos[[#This Row],[Cuenta Bancaria]],Cuentas!$C:$C,Cuentas!$B:$B,"",0,-1)&amp;""</f>
        <v/>
      </c>
    </row>
    <row r="560" spans="2:18" x14ac:dyDescent="0.3">
      <c r="B560" s="39">
        <v>46219</v>
      </c>
      <c r="C560" s="4" t="str">
        <f>_xlfn.XLOOKUP(tblMovimientos[[#This Row],[Cuenta Bancaria]],Listas!$B:$B,Listas!$A:$A,"")</f>
        <v>Go Blue</v>
      </c>
      <c r="D560" s="41" t="s">
        <v>165</v>
      </c>
      <c r="E560" s="68" t="str">
        <f>_xlfn.XLOOKUP(tblMovimientos[[#This Row],[Cuenta Bancaria]],Listas!$B:$B,Listas!$C:$C,"")</f>
        <v xml:space="preserve">Amerant Bank </v>
      </c>
      <c r="F560" s="41" t="s">
        <v>10</v>
      </c>
      <c r="G560" s="41" t="s">
        <v>38</v>
      </c>
      <c r="H560" s="4" t="str">
        <f>IFERROR(_xlfn.XLOOKUP(G560,Listas!E:E,Listas!F:F,""),"")</f>
        <v>Operativo</v>
      </c>
      <c r="I560" s="46" t="str">
        <f>IFERROR(_xlfn.XLOOKUP(G560,Listas!E:E,Listas!G:G,""),"")</f>
        <v>Externo</v>
      </c>
      <c r="J560" s="43">
        <v>13.98</v>
      </c>
      <c r="K560" s="5">
        <f t="shared" si="8"/>
        <v>-13.98</v>
      </c>
      <c r="L560" s="15" t="s">
        <v>129</v>
      </c>
      <c r="M560" s="44">
        <f>SUMIFS('Saldos Iniciales'!$D:$D,'Saldos Iniciales'!$A:$A,C560,'Saldos Iniciales'!$B:$B,D560)+SUMIFS($K$1:$K$1324,$C$1:$C$1324,C560,$D$1:$D$1324,D560,$B$1:$B$1324,"&lt;="&amp;B560)</f>
        <v>5413.6100000000006</v>
      </c>
      <c r="N560" s="61" t="str">
        <f>IF(tblMovimientos[[#This Row],[Tipo de Movimiento]]="Ingreso",tblMovimientos[[#This Row],[Monto (S/)]],"0")</f>
        <v>0</v>
      </c>
      <c r="O560" s="61">
        <f>IF(tblMovimientos[[#This Row],[Tipo de Movimiento]]="Egreso",tblMovimientos[[#This Row],[Monto (S/)]],"0")</f>
        <v>13.98</v>
      </c>
      <c r="P560" s="28">
        <f>IF(tblMovimientos[[#This Row],[Tipo de Movimiento]]="Ingreso",tblMovimientos[[#This Row],[Ingreso]],-tblMovimientos[[#This Row],[Egreso]])</f>
        <v>-13.98</v>
      </c>
      <c r="Q560" s="78" t="str">
        <f>_xlfn.XLOOKUP(tblMovimientos[[#This Row],[Cuenta Bancaria]],Cuentas!$C:$C,Cuentas!$A:$A,"")&amp;""</f>
        <v>SSP Group</v>
      </c>
      <c r="R560" s="78" t="str">
        <f>_xlfn.XLOOKUP(tblMovimientos[[#This Row],[Cuenta Bancaria]],Cuentas!$C:$C,Cuentas!$B:$B,"",0,-1)&amp;""</f>
        <v/>
      </c>
    </row>
    <row r="561" spans="1:18" x14ac:dyDescent="0.3">
      <c r="B561" s="39">
        <v>46219</v>
      </c>
      <c r="C561" s="4" t="str">
        <f>_xlfn.XLOOKUP(tblMovimientos[[#This Row],[Cuenta Bancaria]],Listas!$B:$B,Listas!$A:$A,"")</f>
        <v>CFT Group</v>
      </c>
      <c r="D561" s="41" t="s">
        <v>95</v>
      </c>
      <c r="E561" s="68" t="str">
        <f>_xlfn.XLOOKUP(tblMovimientos[[#This Row],[Cuenta Bancaria]],Listas!$B:$B,Listas!$C:$C,"")</f>
        <v xml:space="preserve">Amerant Bank </v>
      </c>
      <c r="F561" s="41" t="s">
        <v>9</v>
      </c>
      <c r="G561" s="41" t="s">
        <v>75</v>
      </c>
      <c r="H561" s="4" t="str">
        <f>IFERROR(_xlfn.XLOOKUP(G561,Listas!E:E,Listas!F:F,""),"")</f>
        <v>Financiamiento</v>
      </c>
      <c r="I561" s="46" t="str">
        <f>IFERROR(_xlfn.XLOOKUP(G561,Listas!E:E,Listas!G:G,""),"")</f>
        <v>Interno</v>
      </c>
      <c r="J561" s="43">
        <v>250000</v>
      </c>
      <c r="K561" s="5">
        <f t="shared" si="8"/>
        <v>250000</v>
      </c>
      <c r="L561" s="15" t="s">
        <v>129</v>
      </c>
      <c r="M561" s="44">
        <f>SUMIFS('Saldos Iniciales'!$D:$D,'Saldos Iniciales'!$A:$A,C561,'Saldos Iniciales'!$B:$B,D561)+SUMIFS($K$1:$K$1324,$C$1:$C$1324,C561,$D$1:$D$1324,D561,$B$1:$B$1324,"&lt;="&amp;B561)</f>
        <v>3069494.6800000006</v>
      </c>
      <c r="N561" s="61">
        <f>IF(tblMovimientos[[#This Row],[Tipo de Movimiento]]="Ingreso",tblMovimientos[[#This Row],[Monto (S/)]],"0")</f>
        <v>250000</v>
      </c>
      <c r="O561" s="61" t="str">
        <f>IF(tblMovimientos[[#This Row],[Tipo de Movimiento]]="Egreso",tblMovimientos[[#This Row],[Monto (S/)]],"0")</f>
        <v>0</v>
      </c>
      <c r="P561" s="28">
        <f>IF(tblMovimientos[[#This Row],[Tipo de Movimiento]]="Ingreso",tblMovimientos[[#This Row],[Ingreso]],-tblMovimientos[[#This Row],[Egreso]])</f>
        <v>250000</v>
      </c>
      <c r="Q561" s="78" t="str">
        <f>_xlfn.XLOOKUP(tblMovimientos[[#This Row],[Cuenta Bancaria]],Cuentas!$C:$C,Cuentas!$A:$A,"")&amp;""</f>
        <v>SSP Group</v>
      </c>
      <c r="R561" s="78" t="str">
        <f>_xlfn.XLOOKUP(tblMovimientos[[#This Row],[Cuenta Bancaria]],Cuentas!$C:$C,Cuentas!$B:$B,"",0,-1)&amp;""</f>
        <v/>
      </c>
    </row>
    <row r="562" spans="1:18" x14ac:dyDescent="0.3">
      <c r="B562" s="39">
        <v>46219</v>
      </c>
      <c r="C562" s="4" t="str">
        <f>_xlfn.XLOOKUP(tblMovimientos[[#This Row],[Cuenta Bancaria]],Listas!$B:$B,Listas!$A:$A,"")</f>
        <v>CFT Group</v>
      </c>
      <c r="D562" s="41" t="s">
        <v>95</v>
      </c>
      <c r="E562" s="68" t="str">
        <f>_xlfn.XLOOKUP(tblMovimientos[[#This Row],[Cuenta Bancaria]],Listas!$B:$B,Listas!$C:$C,"")</f>
        <v xml:space="preserve">Amerant Bank </v>
      </c>
      <c r="F562" s="41" t="s">
        <v>10</v>
      </c>
      <c r="G562" s="41" t="s">
        <v>46</v>
      </c>
      <c r="H562" s="4" t="str">
        <f>IFERROR(_xlfn.XLOOKUP(G562,Listas!E:E,Listas!F:F,""),"")</f>
        <v>Financiamiento</v>
      </c>
      <c r="I562" s="46" t="str">
        <f>IFERROR(_xlfn.XLOOKUP(G562,Listas!E:E,Listas!G:G,""),"")</f>
        <v>Externo</v>
      </c>
      <c r="J562" s="43">
        <v>2366.67</v>
      </c>
      <c r="K562" s="5">
        <f t="shared" si="8"/>
        <v>-2366.67</v>
      </c>
      <c r="L562" s="15" t="s">
        <v>129</v>
      </c>
      <c r="M562" s="44">
        <f>SUMIFS('Saldos Iniciales'!$D:$D,'Saldos Iniciales'!$A:$A,C562,'Saldos Iniciales'!$B:$B,D562)+SUMIFS($K$1:$K$1324,$C$1:$C$1324,C562,$D$1:$D$1324,D562,$B$1:$B$1324,"&lt;="&amp;B562)</f>
        <v>3069494.6800000006</v>
      </c>
      <c r="N562" s="61" t="str">
        <f>IF(tblMovimientos[[#This Row],[Tipo de Movimiento]]="Ingreso",tblMovimientos[[#This Row],[Monto (S/)]],"0")</f>
        <v>0</v>
      </c>
      <c r="O562" s="61">
        <f>IF(tblMovimientos[[#This Row],[Tipo de Movimiento]]="Egreso",tblMovimientos[[#This Row],[Monto (S/)]],"0")</f>
        <v>2366.67</v>
      </c>
      <c r="P562" s="28">
        <f>IF(tblMovimientos[[#This Row],[Tipo de Movimiento]]="Ingreso",tblMovimientos[[#This Row],[Ingreso]],-tblMovimientos[[#This Row],[Egreso]])</f>
        <v>-2366.67</v>
      </c>
      <c r="Q562" s="78" t="str">
        <f>_xlfn.XLOOKUP(tblMovimientos[[#This Row],[Cuenta Bancaria]],Cuentas!$C:$C,Cuentas!$A:$A,"")&amp;""</f>
        <v>SSP Group</v>
      </c>
      <c r="R562" s="78" t="str">
        <f>_xlfn.XLOOKUP(tblMovimientos[[#This Row],[Cuenta Bancaria]],Cuentas!$C:$C,Cuentas!$B:$B,"",0,-1)&amp;""</f>
        <v/>
      </c>
    </row>
    <row r="563" spans="1:18" x14ac:dyDescent="0.3">
      <c r="B563" s="39">
        <v>46219</v>
      </c>
      <c r="C563" s="4" t="str">
        <f>_xlfn.XLOOKUP(tblMovimientos[[#This Row],[Cuenta Bancaria]],Listas!$B:$B,Listas!$A:$A,"")</f>
        <v>CFT Group</v>
      </c>
      <c r="D563" s="41" t="s">
        <v>95</v>
      </c>
      <c r="E563" s="68" t="str">
        <f>_xlfn.XLOOKUP(tblMovimientos[[#This Row],[Cuenta Bancaria]],Listas!$B:$B,Listas!$C:$C,"")</f>
        <v xml:space="preserve">Amerant Bank </v>
      </c>
      <c r="F563" s="41" t="s">
        <v>10</v>
      </c>
      <c r="G563" s="41" t="s">
        <v>46</v>
      </c>
      <c r="H563" s="4" t="str">
        <f>IFERROR(_xlfn.XLOOKUP(G563,Listas!E:E,Listas!F:F,""),"")</f>
        <v>Financiamiento</v>
      </c>
      <c r="I563" s="46" t="str">
        <f>IFERROR(_xlfn.XLOOKUP(G563,Listas!E:E,Listas!G:G,""),"")</f>
        <v>Externo</v>
      </c>
      <c r="J563" s="43">
        <v>2916.67</v>
      </c>
      <c r="K563" s="5">
        <f t="shared" si="8"/>
        <v>-2916.67</v>
      </c>
      <c r="L563" s="15" t="s">
        <v>129</v>
      </c>
      <c r="M563" s="44">
        <f>SUMIFS('Saldos Iniciales'!$D:$D,'Saldos Iniciales'!$A:$A,C563,'Saldos Iniciales'!$B:$B,D563)+SUMIFS($K$1:$K$1324,$C$1:$C$1324,C563,$D$1:$D$1324,D563,$B$1:$B$1324,"&lt;="&amp;B563)</f>
        <v>3069494.6800000006</v>
      </c>
      <c r="N563" s="61" t="str">
        <f>IF(tblMovimientos[[#This Row],[Tipo de Movimiento]]="Ingreso",tblMovimientos[[#This Row],[Monto (S/)]],"0")</f>
        <v>0</v>
      </c>
      <c r="O563" s="61">
        <f>IF(tblMovimientos[[#This Row],[Tipo de Movimiento]]="Egreso",tblMovimientos[[#This Row],[Monto (S/)]],"0")</f>
        <v>2916.67</v>
      </c>
      <c r="P563" s="28">
        <f>IF(tblMovimientos[[#This Row],[Tipo de Movimiento]]="Ingreso",tblMovimientos[[#This Row],[Ingreso]],-tblMovimientos[[#This Row],[Egreso]])</f>
        <v>-2916.67</v>
      </c>
      <c r="Q563" s="78" t="str">
        <f>_xlfn.XLOOKUP(tblMovimientos[[#This Row],[Cuenta Bancaria]],Cuentas!$C:$C,Cuentas!$A:$A,"")&amp;""</f>
        <v>SSP Group</v>
      </c>
      <c r="R563" s="78" t="str">
        <f>_xlfn.XLOOKUP(tblMovimientos[[#This Row],[Cuenta Bancaria]],Cuentas!$C:$C,Cuentas!$B:$B,"",0,-1)&amp;""</f>
        <v/>
      </c>
    </row>
    <row r="564" spans="1:18" x14ac:dyDescent="0.3">
      <c r="B564" s="39">
        <v>46219</v>
      </c>
      <c r="C564" s="4" t="str">
        <f>_xlfn.XLOOKUP(tblMovimientos[[#This Row],[Cuenta Bancaria]],Listas!$B:$B,Listas!$A:$A,"")</f>
        <v>CFT Group</v>
      </c>
      <c r="D564" s="41" t="s">
        <v>95</v>
      </c>
      <c r="E564" s="68" t="str">
        <f>_xlfn.XLOOKUP(tblMovimientos[[#This Row],[Cuenta Bancaria]],Listas!$B:$B,Listas!$C:$C,"")</f>
        <v xml:space="preserve">Amerant Bank </v>
      </c>
      <c r="F564" s="41" t="s">
        <v>10</v>
      </c>
      <c r="G564" s="41" t="s">
        <v>46</v>
      </c>
      <c r="H564" s="4" t="str">
        <f>IFERROR(_xlfn.XLOOKUP(G564,Listas!E:E,Listas!F:F,""),"")</f>
        <v>Financiamiento</v>
      </c>
      <c r="I564" s="46" t="str">
        <f>IFERROR(_xlfn.XLOOKUP(G564,Listas!E:E,Listas!G:G,""),"")</f>
        <v>Externo</v>
      </c>
      <c r="J564" s="43">
        <v>3616.67</v>
      </c>
      <c r="K564" s="5">
        <f t="shared" si="8"/>
        <v>-3616.67</v>
      </c>
      <c r="L564" s="15" t="s">
        <v>129</v>
      </c>
      <c r="M564" s="44">
        <f>SUMIFS('Saldos Iniciales'!$D:$D,'Saldos Iniciales'!$A:$A,C564,'Saldos Iniciales'!$B:$B,D564)+SUMIFS($K$1:$K$1324,$C$1:$C$1324,C564,$D$1:$D$1324,D564,$B$1:$B$1324,"&lt;="&amp;B564)</f>
        <v>3069494.6800000006</v>
      </c>
      <c r="N564" s="61" t="str">
        <f>IF(tblMovimientos[[#This Row],[Tipo de Movimiento]]="Ingreso",tblMovimientos[[#This Row],[Monto (S/)]],"0")</f>
        <v>0</v>
      </c>
      <c r="O564" s="61">
        <f>IF(tblMovimientos[[#This Row],[Tipo de Movimiento]]="Egreso",tblMovimientos[[#This Row],[Monto (S/)]],"0")</f>
        <v>3616.67</v>
      </c>
      <c r="P564" s="28">
        <f>IF(tblMovimientos[[#This Row],[Tipo de Movimiento]]="Ingreso",tblMovimientos[[#This Row],[Ingreso]],-tblMovimientos[[#This Row],[Egreso]])</f>
        <v>-3616.67</v>
      </c>
      <c r="Q564" s="78" t="str">
        <f>_xlfn.XLOOKUP(tblMovimientos[[#This Row],[Cuenta Bancaria]],Cuentas!$C:$C,Cuentas!$A:$A,"")&amp;""</f>
        <v>SSP Group</v>
      </c>
      <c r="R564" s="78" t="str">
        <f>_xlfn.XLOOKUP(tblMovimientos[[#This Row],[Cuenta Bancaria]],Cuentas!$C:$C,Cuentas!$B:$B,"",0,-1)&amp;""</f>
        <v/>
      </c>
    </row>
    <row r="565" spans="1:18" x14ac:dyDescent="0.3">
      <c r="B565" s="39">
        <v>46219</v>
      </c>
      <c r="C565" s="4" t="str">
        <f>_xlfn.XLOOKUP(tblMovimientos[[#This Row],[Cuenta Bancaria]],Listas!$B:$B,Listas!$A:$A,"")</f>
        <v>CFT Group</v>
      </c>
      <c r="D565" s="41" t="s">
        <v>95</v>
      </c>
      <c r="E565" s="68" t="str">
        <f>_xlfn.XLOOKUP(tblMovimientos[[#This Row],[Cuenta Bancaria]],Listas!$B:$B,Listas!$C:$C,"")</f>
        <v xml:space="preserve">Amerant Bank </v>
      </c>
      <c r="F565" s="41" t="s">
        <v>10</v>
      </c>
      <c r="G565" s="41" t="s">
        <v>46</v>
      </c>
      <c r="H565" s="4" t="str">
        <f>IFERROR(_xlfn.XLOOKUP(G565,Listas!E:E,Listas!F:F,""),"")</f>
        <v>Financiamiento</v>
      </c>
      <c r="I565" s="46" t="str">
        <f>IFERROR(_xlfn.XLOOKUP(G565,Listas!E:E,Listas!G:G,""),"")</f>
        <v>Externo</v>
      </c>
      <c r="J565" s="43">
        <v>10266.67</v>
      </c>
      <c r="K565" s="5">
        <f t="shared" si="8"/>
        <v>-10266.67</v>
      </c>
      <c r="L565" s="15" t="s">
        <v>129</v>
      </c>
      <c r="M565" s="44">
        <f>SUMIFS('Saldos Iniciales'!$D:$D,'Saldos Iniciales'!$A:$A,C565,'Saldos Iniciales'!$B:$B,D565)+SUMIFS($K$1:$K$1324,$C$1:$C$1324,C565,$D$1:$D$1324,D565,$B$1:$B$1324,"&lt;="&amp;B565)</f>
        <v>3069494.6800000006</v>
      </c>
      <c r="N565" s="61" t="str">
        <f>IF(tblMovimientos[[#This Row],[Tipo de Movimiento]]="Ingreso",tblMovimientos[[#This Row],[Monto (S/)]],"0")</f>
        <v>0</v>
      </c>
      <c r="O565" s="61">
        <f>IF(tblMovimientos[[#This Row],[Tipo de Movimiento]]="Egreso",tblMovimientos[[#This Row],[Monto (S/)]],"0")</f>
        <v>10266.67</v>
      </c>
      <c r="P565" s="28">
        <f>IF(tblMovimientos[[#This Row],[Tipo de Movimiento]]="Ingreso",tblMovimientos[[#This Row],[Ingreso]],-tblMovimientos[[#This Row],[Egreso]])</f>
        <v>-10266.67</v>
      </c>
      <c r="Q565" s="78" t="str">
        <f>_xlfn.XLOOKUP(tblMovimientos[[#This Row],[Cuenta Bancaria]],Cuentas!$C:$C,Cuentas!$A:$A,"")&amp;""</f>
        <v>SSP Group</v>
      </c>
      <c r="R565" s="78" t="str">
        <f>_xlfn.XLOOKUP(tblMovimientos[[#This Row],[Cuenta Bancaria]],Cuentas!$C:$C,Cuentas!$B:$B,"",0,-1)&amp;""</f>
        <v/>
      </c>
    </row>
    <row r="566" spans="1:18" x14ac:dyDescent="0.3">
      <c r="B566" s="39">
        <v>46219</v>
      </c>
      <c r="C566" s="4" t="str">
        <f>_xlfn.XLOOKUP(tblMovimientos[[#This Row],[Cuenta Bancaria]],Listas!$B:$B,Listas!$A:$A,"")</f>
        <v>CFT Group</v>
      </c>
      <c r="D566" s="41" t="s">
        <v>95</v>
      </c>
      <c r="E566" s="68" t="str">
        <f>_xlfn.XLOOKUP(tblMovimientos[[#This Row],[Cuenta Bancaria]],Listas!$B:$B,Listas!$C:$C,"")</f>
        <v xml:space="preserve">Amerant Bank </v>
      </c>
      <c r="F566" s="41" t="s">
        <v>10</v>
      </c>
      <c r="G566" s="41" t="s">
        <v>46</v>
      </c>
      <c r="H566" s="4" t="str">
        <f>IFERROR(_xlfn.XLOOKUP(G566,Listas!E:E,Listas!F:F,""),"")</f>
        <v>Financiamiento</v>
      </c>
      <c r="I566" s="46" t="str">
        <f>IFERROR(_xlfn.XLOOKUP(G566,Listas!E:E,Listas!G:G,""),"")</f>
        <v>Externo</v>
      </c>
      <c r="J566" s="43">
        <v>11666.67</v>
      </c>
      <c r="K566" s="5">
        <f t="shared" si="8"/>
        <v>-11666.67</v>
      </c>
      <c r="L566" s="15" t="s">
        <v>129</v>
      </c>
      <c r="M566" s="44">
        <f>SUMIFS('Saldos Iniciales'!$D:$D,'Saldos Iniciales'!$A:$A,C566,'Saldos Iniciales'!$B:$B,D566)+SUMIFS($K$1:$K$1324,$C$1:$C$1324,C566,$D$1:$D$1324,D566,$B$1:$B$1324,"&lt;="&amp;B566)</f>
        <v>3069494.6800000006</v>
      </c>
      <c r="N566" s="61" t="str">
        <f>IF(tblMovimientos[[#This Row],[Tipo de Movimiento]]="Ingreso",tblMovimientos[[#This Row],[Monto (S/)]],"0")</f>
        <v>0</v>
      </c>
      <c r="O566" s="61">
        <f>IF(tblMovimientos[[#This Row],[Tipo de Movimiento]]="Egreso",tblMovimientos[[#This Row],[Monto (S/)]],"0")</f>
        <v>11666.67</v>
      </c>
      <c r="P566" s="28">
        <f>IF(tblMovimientos[[#This Row],[Tipo de Movimiento]]="Ingreso",tblMovimientos[[#This Row],[Ingreso]],-tblMovimientos[[#This Row],[Egreso]])</f>
        <v>-11666.67</v>
      </c>
      <c r="Q566" s="78" t="str">
        <f>_xlfn.XLOOKUP(tblMovimientos[[#This Row],[Cuenta Bancaria]],Cuentas!$C:$C,Cuentas!$A:$A,"")&amp;""</f>
        <v>SSP Group</v>
      </c>
      <c r="R566" s="78" t="str">
        <f>_xlfn.XLOOKUP(tblMovimientos[[#This Row],[Cuenta Bancaria]],Cuentas!$C:$C,Cuentas!$B:$B,"",0,-1)&amp;""</f>
        <v/>
      </c>
    </row>
    <row r="567" spans="1:18" x14ac:dyDescent="0.3">
      <c r="B567" s="39">
        <v>46219</v>
      </c>
      <c r="C567" s="4" t="str">
        <f>_xlfn.XLOOKUP(tblMovimientos[[#This Row],[Cuenta Bancaria]],Listas!$B:$B,Listas!$A:$A,"")</f>
        <v>CFT Group</v>
      </c>
      <c r="D567" s="41" t="s">
        <v>95</v>
      </c>
      <c r="E567" s="68" t="str">
        <f>_xlfn.XLOOKUP(tblMovimientos[[#This Row],[Cuenta Bancaria]],Listas!$B:$B,Listas!$C:$C,"")</f>
        <v xml:space="preserve">Amerant Bank </v>
      </c>
      <c r="F567" s="41" t="s">
        <v>10</v>
      </c>
      <c r="G567" s="41" t="s">
        <v>46</v>
      </c>
      <c r="H567" s="4" t="str">
        <f>IFERROR(_xlfn.XLOOKUP(G567,Listas!E:E,Listas!F:F,""),"")</f>
        <v>Financiamiento</v>
      </c>
      <c r="I567" s="46" t="str">
        <f>IFERROR(_xlfn.XLOOKUP(G567,Listas!E:E,Listas!G:G,""),"")</f>
        <v>Externo</v>
      </c>
      <c r="J567" s="43">
        <v>22166.67</v>
      </c>
      <c r="K567" s="5">
        <f t="shared" si="8"/>
        <v>-22166.67</v>
      </c>
      <c r="L567" s="15" t="s">
        <v>129</v>
      </c>
      <c r="M567" s="44">
        <f>SUMIFS('Saldos Iniciales'!$D:$D,'Saldos Iniciales'!$A:$A,C567,'Saldos Iniciales'!$B:$B,D567)+SUMIFS($K$1:$K$1324,$C$1:$C$1324,C567,$D$1:$D$1324,D567,$B$1:$B$1324,"&lt;="&amp;B567)</f>
        <v>3069494.6800000006</v>
      </c>
      <c r="N567" s="61" t="str">
        <f>IF(tblMovimientos[[#This Row],[Tipo de Movimiento]]="Ingreso",tblMovimientos[[#This Row],[Monto (S/)]],"0")</f>
        <v>0</v>
      </c>
      <c r="O567" s="61">
        <f>IF(tblMovimientos[[#This Row],[Tipo de Movimiento]]="Egreso",tblMovimientos[[#This Row],[Monto (S/)]],"0")</f>
        <v>22166.67</v>
      </c>
      <c r="P567" s="28">
        <f>IF(tblMovimientos[[#This Row],[Tipo de Movimiento]]="Ingreso",tblMovimientos[[#This Row],[Ingreso]],-tblMovimientos[[#This Row],[Egreso]])</f>
        <v>-22166.67</v>
      </c>
      <c r="Q567" s="78" t="str">
        <f>_xlfn.XLOOKUP(tblMovimientos[[#This Row],[Cuenta Bancaria]],Cuentas!$C:$C,Cuentas!$A:$A,"")&amp;""</f>
        <v>SSP Group</v>
      </c>
      <c r="R567" s="78" t="str">
        <f>_xlfn.XLOOKUP(tblMovimientos[[#This Row],[Cuenta Bancaria]],Cuentas!$C:$C,Cuentas!$B:$B,"",0,-1)&amp;""</f>
        <v/>
      </c>
    </row>
    <row r="568" spans="1:18" x14ac:dyDescent="0.3">
      <c r="B568" s="39">
        <v>46219</v>
      </c>
      <c r="C568" s="4" t="str">
        <f>_xlfn.XLOOKUP(tblMovimientos[[#This Row],[Cuenta Bancaria]],Listas!$B:$B,Listas!$A:$A,"")</f>
        <v>CFT Group</v>
      </c>
      <c r="D568" s="41" t="s">
        <v>95</v>
      </c>
      <c r="E568" s="68" t="str">
        <f>_xlfn.XLOOKUP(tblMovimientos[[#This Row],[Cuenta Bancaria]],Listas!$B:$B,Listas!$C:$C,"")</f>
        <v xml:space="preserve">Amerant Bank </v>
      </c>
      <c r="F568" s="41" t="s">
        <v>10</v>
      </c>
      <c r="G568" s="41" t="s">
        <v>46</v>
      </c>
      <c r="H568" s="4" t="str">
        <f>IFERROR(_xlfn.XLOOKUP(G568,Listas!E:E,Listas!F:F,""),"")</f>
        <v>Financiamiento</v>
      </c>
      <c r="I568" s="46" t="str">
        <f>IFERROR(_xlfn.XLOOKUP(G568,Listas!E:E,Listas!G:G,""),"")</f>
        <v>Externo</v>
      </c>
      <c r="J568" s="43">
        <v>23333.33</v>
      </c>
      <c r="K568" s="5">
        <f t="shared" si="8"/>
        <v>-23333.33</v>
      </c>
      <c r="L568" s="15" t="s">
        <v>129</v>
      </c>
      <c r="M568" s="44">
        <f>SUMIFS('Saldos Iniciales'!$D:$D,'Saldos Iniciales'!$A:$A,C568,'Saldos Iniciales'!$B:$B,D568)+SUMIFS($K$1:$K$1324,$C$1:$C$1324,C568,$D$1:$D$1324,D568,$B$1:$B$1324,"&lt;="&amp;B568)</f>
        <v>3069494.6800000006</v>
      </c>
      <c r="N568" s="61" t="str">
        <f>IF(tblMovimientos[[#This Row],[Tipo de Movimiento]]="Ingreso",tblMovimientos[[#This Row],[Monto (S/)]],"0")</f>
        <v>0</v>
      </c>
      <c r="O568" s="61">
        <f>IF(tblMovimientos[[#This Row],[Tipo de Movimiento]]="Egreso",tblMovimientos[[#This Row],[Monto (S/)]],"0")</f>
        <v>23333.33</v>
      </c>
      <c r="P568" s="28">
        <f>IF(tblMovimientos[[#This Row],[Tipo de Movimiento]]="Ingreso",tblMovimientos[[#This Row],[Ingreso]],-tblMovimientos[[#This Row],[Egreso]])</f>
        <v>-23333.33</v>
      </c>
      <c r="Q568" s="78" t="str">
        <f>_xlfn.XLOOKUP(tblMovimientos[[#This Row],[Cuenta Bancaria]],Cuentas!$C:$C,Cuentas!$A:$A,"")&amp;""</f>
        <v>SSP Group</v>
      </c>
      <c r="R568" s="78" t="str">
        <f>_xlfn.XLOOKUP(tblMovimientos[[#This Row],[Cuenta Bancaria]],Cuentas!$C:$C,Cuentas!$B:$B,"",0,-1)&amp;""</f>
        <v/>
      </c>
    </row>
    <row r="569" spans="1:18" x14ac:dyDescent="0.3">
      <c r="B569" s="39">
        <v>46219</v>
      </c>
      <c r="C569" s="4" t="str">
        <f>_xlfn.XLOOKUP(tblMovimientos[[#This Row],[Cuenta Bancaria]],Listas!$B:$B,Listas!$A:$A,"")</f>
        <v>CFT Group</v>
      </c>
      <c r="D569" s="41" t="s">
        <v>95</v>
      </c>
      <c r="E569" s="68" t="str">
        <f>_xlfn.XLOOKUP(tblMovimientos[[#This Row],[Cuenta Bancaria]],Listas!$B:$B,Listas!$C:$C,"")</f>
        <v xml:space="preserve">Amerant Bank </v>
      </c>
      <c r="F569" s="41" t="s">
        <v>10</v>
      </c>
      <c r="G569" s="41" t="s">
        <v>46</v>
      </c>
      <c r="H569" s="4" t="str">
        <f>IFERROR(_xlfn.XLOOKUP(G569,Listas!E:E,Listas!F:F,""),"")</f>
        <v>Financiamiento</v>
      </c>
      <c r="I569" s="46" t="str">
        <f>IFERROR(_xlfn.XLOOKUP(G569,Listas!E:E,Listas!G:G,""),"")</f>
        <v>Externo</v>
      </c>
      <c r="J569" s="43">
        <v>27083.33</v>
      </c>
      <c r="K569" s="5">
        <f t="shared" si="8"/>
        <v>-27083.33</v>
      </c>
      <c r="L569" s="15" t="s">
        <v>129</v>
      </c>
      <c r="M569" s="44">
        <f>SUMIFS('Saldos Iniciales'!$D:$D,'Saldos Iniciales'!$A:$A,C569,'Saldos Iniciales'!$B:$B,D569)+SUMIFS($K$1:$K$1324,$C$1:$C$1324,C569,$D$1:$D$1324,D569,$B$1:$B$1324,"&lt;="&amp;B569)</f>
        <v>3069494.6800000006</v>
      </c>
      <c r="N569" s="61" t="str">
        <f>IF(tblMovimientos[[#This Row],[Tipo de Movimiento]]="Ingreso",tblMovimientos[[#This Row],[Monto (S/)]],"0")</f>
        <v>0</v>
      </c>
      <c r="O569" s="61">
        <f>IF(tblMovimientos[[#This Row],[Tipo de Movimiento]]="Egreso",tblMovimientos[[#This Row],[Monto (S/)]],"0")</f>
        <v>27083.33</v>
      </c>
      <c r="P569" s="28">
        <f>IF(tblMovimientos[[#This Row],[Tipo de Movimiento]]="Ingreso",tblMovimientos[[#This Row],[Ingreso]],-tblMovimientos[[#This Row],[Egreso]])</f>
        <v>-27083.33</v>
      </c>
      <c r="Q569" s="78" t="str">
        <f>_xlfn.XLOOKUP(tblMovimientos[[#This Row],[Cuenta Bancaria]],Cuentas!$C:$C,Cuentas!$A:$A,"")&amp;""</f>
        <v>SSP Group</v>
      </c>
      <c r="R569" s="78" t="str">
        <f>_xlfn.XLOOKUP(tblMovimientos[[#This Row],[Cuenta Bancaria]],Cuentas!$C:$C,Cuentas!$B:$B,"",0,-1)&amp;""</f>
        <v/>
      </c>
    </row>
    <row r="570" spans="1:18" x14ac:dyDescent="0.3">
      <c r="A570" s="45"/>
      <c r="B570" s="39">
        <v>46219</v>
      </c>
      <c r="C570" s="4" t="str">
        <f>_xlfn.XLOOKUP(tblMovimientos[[#This Row],[Cuenta Bancaria]],Listas!$B:$B,Listas!$A:$A,"")</f>
        <v>CFT Group</v>
      </c>
      <c r="D570" s="41" t="s">
        <v>95</v>
      </c>
      <c r="E570" s="68" t="str">
        <f>_xlfn.XLOOKUP(tblMovimientos[[#This Row],[Cuenta Bancaria]],Listas!$B:$B,Listas!$C:$C,"")</f>
        <v xml:space="preserve">Amerant Bank </v>
      </c>
      <c r="F570" s="41" t="s">
        <v>10</v>
      </c>
      <c r="G570" s="41" t="s">
        <v>61</v>
      </c>
      <c r="H570" s="4" t="str">
        <f>IFERROR(_xlfn.XLOOKUP(G570,Listas!E:E,Listas!F:F,""),"")</f>
        <v>Operativo</v>
      </c>
      <c r="I570" s="46" t="str">
        <f>IFERROR(_xlfn.XLOOKUP(G570,Listas!E:E,Listas!G:G,""),"")</f>
        <v>Externo</v>
      </c>
      <c r="J570" s="43">
        <v>30000</v>
      </c>
      <c r="K570" s="5">
        <f t="shared" si="8"/>
        <v>-30000</v>
      </c>
      <c r="L570" s="15" t="s">
        <v>129</v>
      </c>
      <c r="M570" s="44">
        <f>SUMIFS('Saldos Iniciales'!$D:$D,'Saldos Iniciales'!$A:$A,C570,'Saldos Iniciales'!$B:$B,D570)+SUMIFS($K$1:$K$1324,$C$1:$C$1324,C570,$D$1:$D$1324,D570,$B$1:$B$1324,"&lt;="&amp;B570)</f>
        <v>3069494.6800000006</v>
      </c>
      <c r="N570" s="61" t="str">
        <f>IF(tblMovimientos[[#This Row],[Tipo de Movimiento]]="Ingreso",tblMovimientos[[#This Row],[Monto (S/)]],"0")</f>
        <v>0</v>
      </c>
      <c r="O570" s="61">
        <f>IF(tblMovimientos[[#This Row],[Tipo de Movimiento]]="Egreso",tblMovimientos[[#This Row],[Monto (S/)]],"0")</f>
        <v>30000</v>
      </c>
      <c r="P570" s="28">
        <f>IF(tblMovimientos[[#This Row],[Tipo de Movimiento]]="Ingreso",tblMovimientos[[#This Row],[Ingreso]],-tblMovimientos[[#This Row],[Egreso]])</f>
        <v>-30000</v>
      </c>
      <c r="Q570" s="78" t="str">
        <f>_xlfn.XLOOKUP(tblMovimientos[[#This Row],[Cuenta Bancaria]],Cuentas!$C:$C,Cuentas!$A:$A,"")&amp;""</f>
        <v>SSP Group</v>
      </c>
      <c r="R570" s="78" t="str">
        <f>_xlfn.XLOOKUP(tblMovimientos[[#This Row],[Cuenta Bancaria]],Cuentas!$C:$C,Cuentas!$B:$B,"",0,-1)&amp;""</f>
        <v/>
      </c>
    </row>
    <row r="571" spans="1:18" x14ac:dyDescent="0.3">
      <c r="B571" s="39">
        <v>46219</v>
      </c>
      <c r="C571" s="4" t="str">
        <f>_xlfn.XLOOKUP(tblMovimientos[[#This Row],[Cuenta Bancaria]],Listas!$B:$B,Listas!$A:$A,"")</f>
        <v>CFT Group</v>
      </c>
      <c r="D571" s="41" t="s">
        <v>95</v>
      </c>
      <c r="E571" s="68" t="str">
        <f>_xlfn.XLOOKUP(tblMovimientos[[#This Row],[Cuenta Bancaria]],Listas!$B:$B,Listas!$C:$C,"")</f>
        <v xml:space="preserve">Amerant Bank </v>
      </c>
      <c r="F571" s="41" t="s">
        <v>10</v>
      </c>
      <c r="G571" s="41" t="s">
        <v>61</v>
      </c>
      <c r="H571" s="4" t="str">
        <f>IFERROR(_xlfn.XLOOKUP(G571,Listas!E:E,Listas!F:F,""),"")</f>
        <v>Operativo</v>
      </c>
      <c r="I571" s="46" t="str">
        <f>IFERROR(_xlfn.XLOOKUP(G571,Listas!E:E,Listas!G:G,""),"")</f>
        <v>Externo</v>
      </c>
      <c r="J571" s="43">
        <v>70000</v>
      </c>
      <c r="K571" s="5">
        <f t="shared" si="8"/>
        <v>-70000</v>
      </c>
      <c r="L571" s="15" t="s">
        <v>129</v>
      </c>
      <c r="M571" s="44">
        <f>SUMIFS('Saldos Iniciales'!$D:$D,'Saldos Iniciales'!$A:$A,C571,'Saldos Iniciales'!$B:$B,D571)+SUMIFS($K$1:$K$1324,$C$1:$C$1324,C571,$D$1:$D$1324,D571,$B$1:$B$1324,"&lt;="&amp;B571)</f>
        <v>3069494.6800000006</v>
      </c>
      <c r="N571" s="61" t="str">
        <f>IF(tblMovimientos[[#This Row],[Tipo de Movimiento]]="Ingreso",tblMovimientos[[#This Row],[Monto (S/)]],"0")</f>
        <v>0</v>
      </c>
      <c r="O571" s="61">
        <f>IF(tblMovimientos[[#This Row],[Tipo de Movimiento]]="Egreso",tblMovimientos[[#This Row],[Monto (S/)]],"0")</f>
        <v>70000</v>
      </c>
      <c r="P571" s="28">
        <f>IF(tblMovimientos[[#This Row],[Tipo de Movimiento]]="Ingreso",tblMovimientos[[#This Row],[Ingreso]],-tblMovimientos[[#This Row],[Egreso]])</f>
        <v>-70000</v>
      </c>
      <c r="Q571" s="78" t="str">
        <f>_xlfn.XLOOKUP(tblMovimientos[[#This Row],[Cuenta Bancaria]],Cuentas!$C:$C,Cuentas!$A:$A,"")&amp;""</f>
        <v>SSP Group</v>
      </c>
      <c r="R571" s="78" t="str">
        <f>_xlfn.XLOOKUP(tblMovimientos[[#This Row],[Cuenta Bancaria]],Cuentas!$C:$C,Cuentas!$B:$B,"",0,-1)&amp;""</f>
        <v/>
      </c>
    </row>
    <row r="572" spans="1:18" x14ac:dyDescent="0.3">
      <c r="B572" s="39">
        <v>46219</v>
      </c>
      <c r="C572" s="4" t="str">
        <f>_xlfn.XLOOKUP(tblMovimientos[[#This Row],[Cuenta Bancaria]],Listas!$B:$B,Listas!$A:$A,"")</f>
        <v>CFT Group</v>
      </c>
      <c r="D572" s="41" t="s">
        <v>95</v>
      </c>
      <c r="E572" s="68" t="str">
        <f>_xlfn.XLOOKUP(tblMovimientos[[#This Row],[Cuenta Bancaria]],Listas!$B:$B,Listas!$C:$C,"")</f>
        <v xml:space="preserve">Amerant Bank </v>
      </c>
      <c r="F572" s="41" t="s">
        <v>10</v>
      </c>
      <c r="G572" s="41" t="s">
        <v>48</v>
      </c>
      <c r="H572" s="4" t="str">
        <f>IFERROR(_xlfn.XLOOKUP(G572,Listas!E:E,Listas!F:F,""),"")</f>
        <v>Financiamiento</v>
      </c>
      <c r="I572" s="46" t="str">
        <f>IFERROR(_xlfn.XLOOKUP(G572,Listas!E:E,Listas!G:G,""),"")</f>
        <v>Externo</v>
      </c>
      <c r="J572" s="43">
        <v>100000</v>
      </c>
      <c r="K572" s="5">
        <f t="shared" si="8"/>
        <v>-100000</v>
      </c>
      <c r="L572" s="15" t="s">
        <v>129</v>
      </c>
      <c r="M572" s="44">
        <f>SUMIFS('Saldos Iniciales'!$D:$D,'Saldos Iniciales'!$A:$A,C572,'Saldos Iniciales'!$B:$B,D572)+SUMIFS($K$1:$K$1324,$C$1:$C$1324,C572,$D$1:$D$1324,D572,$B$1:$B$1324,"&lt;="&amp;B572)</f>
        <v>3069494.6800000006</v>
      </c>
      <c r="N572" s="61" t="str">
        <f>IF(tblMovimientos[[#This Row],[Tipo de Movimiento]]="Ingreso",tblMovimientos[[#This Row],[Monto (S/)]],"0")</f>
        <v>0</v>
      </c>
      <c r="O572" s="61">
        <f>IF(tblMovimientos[[#This Row],[Tipo de Movimiento]]="Egreso",tblMovimientos[[#This Row],[Monto (S/)]],"0")</f>
        <v>100000</v>
      </c>
      <c r="P572" s="28">
        <f>IF(tblMovimientos[[#This Row],[Tipo de Movimiento]]="Ingreso",tblMovimientos[[#This Row],[Ingreso]],-tblMovimientos[[#This Row],[Egreso]])</f>
        <v>-100000</v>
      </c>
      <c r="Q572" s="78" t="str">
        <f>_xlfn.XLOOKUP(tblMovimientos[[#This Row],[Cuenta Bancaria]],Cuentas!$C:$C,Cuentas!$A:$A,"")&amp;""</f>
        <v>SSP Group</v>
      </c>
      <c r="R572" s="78" t="str">
        <f>_xlfn.XLOOKUP(tblMovimientos[[#This Row],[Cuenta Bancaria]],Cuentas!$C:$C,Cuentas!$B:$B,"",0,-1)&amp;""</f>
        <v/>
      </c>
    </row>
    <row r="573" spans="1:18" x14ac:dyDescent="0.3">
      <c r="B573" s="39">
        <v>46219</v>
      </c>
      <c r="C573" s="4" t="str">
        <f>_xlfn.XLOOKUP(tblMovimientos[[#This Row],[Cuenta Bancaria]],Listas!$B:$B,Listas!$A:$A,"")</f>
        <v>CFT Group</v>
      </c>
      <c r="D573" s="41" t="s">
        <v>95</v>
      </c>
      <c r="E573" s="68" t="str">
        <f>_xlfn.XLOOKUP(tblMovimientos[[#This Row],[Cuenta Bancaria]],Listas!$B:$B,Listas!$C:$C,"")</f>
        <v xml:space="preserve">Amerant Bank </v>
      </c>
      <c r="F573" s="41" t="s">
        <v>10</v>
      </c>
      <c r="G573" s="41" t="s">
        <v>61</v>
      </c>
      <c r="H573" s="4" t="str">
        <f>IFERROR(_xlfn.XLOOKUP(G573,Listas!E:E,Listas!F:F,""),"")</f>
        <v>Operativo</v>
      </c>
      <c r="I573" s="46" t="str">
        <f>IFERROR(_xlfn.XLOOKUP(G573,Listas!E:E,Listas!G:G,""),"")</f>
        <v>Externo</v>
      </c>
      <c r="J573" s="43">
        <v>100000</v>
      </c>
      <c r="K573" s="5">
        <f t="shared" si="8"/>
        <v>-100000</v>
      </c>
      <c r="L573" s="15" t="s">
        <v>129</v>
      </c>
      <c r="M573" s="44">
        <f>SUMIFS('Saldos Iniciales'!$D:$D,'Saldos Iniciales'!$A:$A,C573,'Saldos Iniciales'!$B:$B,D573)+SUMIFS($K$1:$K$1324,$C$1:$C$1324,C573,$D$1:$D$1324,D573,$B$1:$B$1324,"&lt;="&amp;B573)</f>
        <v>3069494.6800000006</v>
      </c>
      <c r="N573" s="61" t="str">
        <f>IF(tblMovimientos[[#This Row],[Tipo de Movimiento]]="Ingreso",tblMovimientos[[#This Row],[Monto (S/)]],"0")</f>
        <v>0</v>
      </c>
      <c r="O573" s="61">
        <f>IF(tblMovimientos[[#This Row],[Tipo de Movimiento]]="Egreso",tblMovimientos[[#This Row],[Monto (S/)]],"0")</f>
        <v>100000</v>
      </c>
      <c r="P573" s="28">
        <f>IF(tblMovimientos[[#This Row],[Tipo de Movimiento]]="Ingreso",tblMovimientos[[#This Row],[Ingreso]],-tblMovimientos[[#This Row],[Egreso]])</f>
        <v>-100000</v>
      </c>
      <c r="Q573" s="78" t="str">
        <f>_xlfn.XLOOKUP(tblMovimientos[[#This Row],[Cuenta Bancaria]],Cuentas!$C:$C,Cuentas!$A:$A,"")&amp;""</f>
        <v>SSP Group</v>
      </c>
      <c r="R573" s="78" t="str">
        <f>_xlfn.XLOOKUP(tblMovimientos[[#This Row],[Cuenta Bancaria]],Cuentas!$C:$C,Cuentas!$B:$B,"",0,-1)&amp;""</f>
        <v/>
      </c>
    </row>
    <row r="574" spans="1:18" x14ac:dyDescent="0.3">
      <c r="B574" s="39">
        <v>46219</v>
      </c>
      <c r="C574" s="4" t="str">
        <f>_xlfn.XLOOKUP(tblMovimientos[[#This Row],[Cuenta Bancaria]],Listas!$B:$B,Listas!$A:$A,"")</f>
        <v>CFT Group</v>
      </c>
      <c r="D574" s="41" t="s">
        <v>95</v>
      </c>
      <c r="E574" s="68" t="str">
        <f>_xlfn.XLOOKUP(tblMovimientos[[#This Row],[Cuenta Bancaria]],Listas!$B:$B,Listas!$C:$C,"")</f>
        <v xml:space="preserve">Amerant Bank </v>
      </c>
      <c r="F574" s="41" t="s">
        <v>10</v>
      </c>
      <c r="G574" s="41" t="s">
        <v>61</v>
      </c>
      <c r="H574" s="4" t="str">
        <f>IFERROR(_xlfn.XLOOKUP(G574,Listas!E:E,Listas!F:F,""),"")</f>
        <v>Operativo</v>
      </c>
      <c r="I574" s="46" t="str">
        <f>IFERROR(_xlfn.XLOOKUP(G574,Listas!E:E,Listas!G:G,""),"")</f>
        <v>Externo</v>
      </c>
      <c r="J574" s="43">
        <v>100000</v>
      </c>
      <c r="K574" s="5">
        <f t="shared" si="8"/>
        <v>-100000</v>
      </c>
      <c r="L574" s="15" t="s">
        <v>129</v>
      </c>
      <c r="M574" s="44">
        <f>SUMIFS('Saldos Iniciales'!$D:$D,'Saldos Iniciales'!$A:$A,C574,'Saldos Iniciales'!$B:$B,D574)+SUMIFS($K$1:$K$1324,$C$1:$C$1324,C574,$D$1:$D$1324,D574,$B$1:$B$1324,"&lt;="&amp;B574)</f>
        <v>3069494.6800000006</v>
      </c>
      <c r="N574" s="61" t="str">
        <f>IF(tblMovimientos[[#This Row],[Tipo de Movimiento]]="Ingreso",tblMovimientos[[#This Row],[Monto (S/)]],"0")</f>
        <v>0</v>
      </c>
      <c r="O574" s="61">
        <f>IF(tblMovimientos[[#This Row],[Tipo de Movimiento]]="Egreso",tblMovimientos[[#This Row],[Monto (S/)]],"0")</f>
        <v>100000</v>
      </c>
      <c r="P574" s="28">
        <f>IF(tblMovimientos[[#This Row],[Tipo de Movimiento]]="Ingreso",tblMovimientos[[#This Row],[Ingreso]],-tblMovimientos[[#This Row],[Egreso]])</f>
        <v>-100000</v>
      </c>
      <c r="Q574" s="78" t="str">
        <f>_xlfn.XLOOKUP(tblMovimientos[[#This Row],[Cuenta Bancaria]],Cuentas!$C:$C,Cuentas!$A:$A,"")&amp;""</f>
        <v>SSP Group</v>
      </c>
      <c r="R574" s="78" t="str">
        <f>_xlfn.XLOOKUP(tblMovimientos[[#This Row],[Cuenta Bancaria]],Cuentas!$C:$C,Cuentas!$B:$B,"",0,-1)&amp;""</f>
        <v/>
      </c>
    </row>
    <row r="575" spans="1:18" x14ac:dyDescent="0.3">
      <c r="A575" s="45"/>
      <c r="B575" s="39">
        <v>46219</v>
      </c>
      <c r="C575" s="4" t="str">
        <f>_xlfn.XLOOKUP(tblMovimientos[[#This Row],[Cuenta Bancaria]],Listas!$B:$B,Listas!$A:$A,"")</f>
        <v>SSP Capital</v>
      </c>
      <c r="D575" s="41" t="s">
        <v>104</v>
      </c>
      <c r="E575" s="68" t="str">
        <f>_xlfn.XLOOKUP(tblMovimientos[[#This Row],[Cuenta Bancaria]],Listas!$B:$B,Listas!$C:$C,"")</f>
        <v xml:space="preserve">Amerant Bank </v>
      </c>
      <c r="F575" s="41" t="s">
        <v>10</v>
      </c>
      <c r="G575" s="41" t="s">
        <v>46</v>
      </c>
      <c r="H575" s="46" t="str">
        <f>IFERROR(_xlfn.XLOOKUP(G575,Listas!E:E,Listas!F:F,""),"")</f>
        <v>Financiamiento</v>
      </c>
      <c r="I575" s="46" t="str">
        <f>IFERROR(_xlfn.XLOOKUP(G575,Listas!E:E,Listas!G:G,""),"")</f>
        <v>Externo</v>
      </c>
      <c r="J575" s="43">
        <v>26250</v>
      </c>
      <c r="K575" s="5">
        <f t="shared" si="8"/>
        <v>-26250</v>
      </c>
      <c r="L575" s="15" t="s">
        <v>129</v>
      </c>
      <c r="M575" s="44">
        <f>SUMIFS('Saldos Iniciales'!$D:$D,'Saldos Iniciales'!$A:$A,C575,'Saldos Iniciales'!$B:$B,D575)+SUMIFS($K$1:$K$1324,$C$1:$C$1324,C575,$D$1:$D$1324,D575,$B$1:$B$1324,"&lt;="&amp;B575)</f>
        <v>850777.27999999933</v>
      </c>
      <c r="N575" s="61" t="str">
        <f>IF(tblMovimientos[[#This Row],[Tipo de Movimiento]]="Ingreso",tblMovimientos[[#This Row],[Monto (S/)]],"0")</f>
        <v>0</v>
      </c>
      <c r="O575" s="61">
        <f>IF(tblMovimientos[[#This Row],[Tipo de Movimiento]]="Egreso",tblMovimientos[[#This Row],[Monto (S/)]],"0")</f>
        <v>26250</v>
      </c>
      <c r="P575" s="28">
        <f>IF(tblMovimientos[[#This Row],[Tipo de Movimiento]]="Ingreso",tblMovimientos[[#This Row],[Ingreso]],-tblMovimientos[[#This Row],[Egreso]])</f>
        <v>-26250</v>
      </c>
      <c r="Q575" s="78" t="str">
        <f>_xlfn.XLOOKUP(tblMovimientos[[#This Row],[Cuenta Bancaria]],Cuentas!$C:$C,Cuentas!$A:$A,"")&amp;""</f>
        <v>SSP Group</v>
      </c>
      <c r="R575" s="78" t="str">
        <f>_xlfn.XLOOKUP(tblMovimientos[[#This Row],[Cuenta Bancaria]],Cuentas!$C:$C,Cuentas!$B:$B,"",0,-1)&amp;""</f>
        <v/>
      </c>
    </row>
    <row r="576" spans="1:18" x14ac:dyDescent="0.3">
      <c r="B576" s="39">
        <v>46219</v>
      </c>
      <c r="C576" s="4" t="str">
        <f>_xlfn.XLOOKUP(tblMovimientos[[#This Row],[Cuenta Bancaria]],Listas!$B:$B,Listas!$A:$A,"")</f>
        <v>SSP Capital</v>
      </c>
      <c r="D576" s="41" t="s">
        <v>104</v>
      </c>
      <c r="E576" s="68" t="str">
        <f>_xlfn.XLOOKUP(tblMovimientos[[#This Row],[Cuenta Bancaria]],Listas!$B:$B,Listas!$C:$C,"")</f>
        <v xml:space="preserve">Amerant Bank </v>
      </c>
      <c r="F576" s="41" t="s">
        <v>10</v>
      </c>
      <c r="G576" s="41" t="s">
        <v>46</v>
      </c>
      <c r="H576" s="4" t="str">
        <f>IFERROR(_xlfn.XLOOKUP(G576,Listas!E:E,Listas!F:F,""),"")</f>
        <v>Financiamiento</v>
      </c>
      <c r="I576" s="46" t="str">
        <f>IFERROR(_xlfn.XLOOKUP(G576,Listas!E:E,Listas!G:G,""),"")</f>
        <v>Externo</v>
      </c>
      <c r="J576" s="43">
        <v>49583.34</v>
      </c>
      <c r="K576" s="5">
        <f t="shared" si="8"/>
        <v>-49583.34</v>
      </c>
      <c r="L576" s="15" t="s">
        <v>129</v>
      </c>
      <c r="M576" s="44">
        <f>SUMIFS('Saldos Iniciales'!$D:$D,'Saldos Iniciales'!$A:$A,C576,'Saldos Iniciales'!$B:$B,D576)+SUMIFS($K$1:$K$1324,$C$1:$C$1324,C576,$D$1:$D$1324,D576,$B$1:$B$1324,"&lt;="&amp;B576)</f>
        <v>850777.27999999933</v>
      </c>
      <c r="N576" s="61" t="str">
        <f>IF(tblMovimientos[[#This Row],[Tipo de Movimiento]]="Ingreso",tblMovimientos[[#This Row],[Monto (S/)]],"0")</f>
        <v>0</v>
      </c>
      <c r="O576" s="61">
        <f>IF(tblMovimientos[[#This Row],[Tipo de Movimiento]]="Egreso",tblMovimientos[[#This Row],[Monto (S/)]],"0")</f>
        <v>49583.34</v>
      </c>
      <c r="P576" s="28">
        <f>IF(tblMovimientos[[#This Row],[Tipo de Movimiento]]="Ingreso",tblMovimientos[[#This Row],[Ingreso]],-tblMovimientos[[#This Row],[Egreso]])</f>
        <v>-49583.34</v>
      </c>
      <c r="Q576" s="78" t="str">
        <f>_xlfn.XLOOKUP(tblMovimientos[[#This Row],[Cuenta Bancaria]],Cuentas!$C:$C,Cuentas!$A:$A,"")&amp;""</f>
        <v>SSP Group</v>
      </c>
      <c r="R576" s="78" t="str">
        <f>_xlfn.XLOOKUP(tblMovimientos[[#This Row],[Cuenta Bancaria]],Cuentas!$C:$C,Cuentas!$B:$B,"",0,-1)&amp;""</f>
        <v/>
      </c>
    </row>
    <row r="577" spans="1:18" x14ac:dyDescent="0.3">
      <c r="B577" s="39">
        <v>46219</v>
      </c>
      <c r="C577" s="4" t="str">
        <f>_xlfn.XLOOKUP(tblMovimientos[[#This Row],[Cuenta Bancaria]],Listas!$B:$B,Listas!$A:$A,"")</f>
        <v>SSP Capital</v>
      </c>
      <c r="D577" s="41" t="s">
        <v>104</v>
      </c>
      <c r="E577" s="68" t="str">
        <f>_xlfn.XLOOKUP(tblMovimientos[[#This Row],[Cuenta Bancaria]],Listas!$B:$B,Listas!$C:$C,"")</f>
        <v xml:space="preserve">Amerant Bank </v>
      </c>
      <c r="F577" s="41" t="s">
        <v>10</v>
      </c>
      <c r="G577" s="41" t="s">
        <v>62</v>
      </c>
      <c r="H577" s="4" t="str">
        <f>IFERROR(_xlfn.XLOOKUP(G577,Listas!E:E,Listas!F:F,""),"")</f>
        <v>Operativo</v>
      </c>
      <c r="I577" s="46" t="str">
        <f>IFERROR(_xlfn.XLOOKUP(G577,Listas!E:E,Listas!G:G,""),"")</f>
        <v>Interno</v>
      </c>
      <c r="J577" s="43">
        <v>100000</v>
      </c>
      <c r="K577" s="5">
        <f t="shared" si="8"/>
        <v>-100000</v>
      </c>
      <c r="L577" s="15" t="s">
        <v>129</v>
      </c>
      <c r="M577" s="44">
        <f>SUMIFS('Saldos Iniciales'!$D:$D,'Saldos Iniciales'!$A:$A,C577,'Saldos Iniciales'!$B:$B,D577)+SUMIFS($K$1:$K$1324,$C$1:$C$1324,C577,$D$1:$D$1324,D577,$B$1:$B$1324,"&lt;="&amp;B577)</f>
        <v>850777.27999999933</v>
      </c>
      <c r="N577" s="61" t="str">
        <f>IF(tblMovimientos[[#This Row],[Tipo de Movimiento]]="Ingreso",tblMovimientos[[#This Row],[Monto (S/)]],"0")</f>
        <v>0</v>
      </c>
      <c r="O577" s="61">
        <f>IF(tblMovimientos[[#This Row],[Tipo de Movimiento]]="Egreso",tblMovimientos[[#This Row],[Monto (S/)]],"0")</f>
        <v>100000</v>
      </c>
      <c r="P577" s="28">
        <f>IF(tblMovimientos[[#This Row],[Tipo de Movimiento]]="Ingreso",tblMovimientos[[#This Row],[Ingreso]],-tblMovimientos[[#This Row],[Egreso]])</f>
        <v>-100000</v>
      </c>
      <c r="Q577" s="78" t="str">
        <f>_xlfn.XLOOKUP(tblMovimientos[[#This Row],[Cuenta Bancaria]],Cuentas!$C:$C,Cuentas!$A:$A,"")&amp;""</f>
        <v>SSP Group</v>
      </c>
      <c r="R577" s="78" t="str">
        <f>_xlfn.XLOOKUP(tblMovimientos[[#This Row],[Cuenta Bancaria]],Cuentas!$C:$C,Cuentas!$B:$B,"",0,-1)&amp;""</f>
        <v/>
      </c>
    </row>
    <row r="578" spans="1:18" x14ac:dyDescent="0.3">
      <c r="B578" s="39">
        <v>46219</v>
      </c>
      <c r="C578" s="4" t="str">
        <f>_xlfn.XLOOKUP(tblMovimientos[[#This Row],[Cuenta Bancaria]],Listas!$B:$B,Listas!$A:$A,"")</f>
        <v>Go Blue</v>
      </c>
      <c r="D578" s="41" t="s">
        <v>126</v>
      </c>
      <c r="E578" s="68" t="str">
        <f>_xlfn.XLOOKUP(tblMovimientos[[#This Row],[Cuenta Bancaria]],Listas!$B:$B,Listas!$C:$C,"")</f>
        <v xml:space="preserve">Amerant Bank </v>
      </c>
      <c r="F578" s="41" t="s">
        <v>10</v>
      </c>
      <c r="G578" s="41" t="s">
        <v>64</v>
      </c>
      <c r="H578" s="4" t="str">
        <f>IFERROR(_xlfn.XLOOKUP(G578,Listas!E:E,Listas!F:F,""),"")</f>
        <v>Operativo</v>
      </c>
      <c r="I578" s="46" t="str">
        <f>IFERROR(_xlfn.XLOOKUP(G578,Listas!E:E,Listas!G:G,""),"")</f>
        <v>Interno</v>
      </c>
      <c r="J578" s="43">
        <v>2000</v>
      </c>
      <c r="K578" s="5">
        <f t="shared" ref="K578:K641" si="9">IF(F578="Ingreso",J578,-J578)</f>
        <v>-2000</v>
      </c>
      <c r="L578" s="15" t="s">
        <v>129</v>
      </c>
      <c r="M578" s="44">
        <f>SUMIFS('Saldos Iniciales'!$D:$D,'Saldos Iniciales'!$A:$A,C578,'Saldos Iniciales'!$B:$B,D578)+SUMIFS($K$1:$K$1324,$C$1:$C$1324,C578,$D$1:$D$1324,D578,$B$1:$B$1324,"&lt;="&amp;B578)</f>
        <v>18565.239999999998</v>
      </c>
      <c r="N578" s="61" t="str">
        <f>IF(tblMovimientos[[#This Row],[Tipo de Movimiento]]="Ingreso",tblMovimientos[[#This Row],[Monto (S/)]],"0")</f>
        <v>0</v>
      </c>
      <c r="O578" s="61">
        <f>IF(tblMovimientos[[#This Row],[Tipo de Movimiento]]="Egreso",tblMovimientos[[#This Row],[Monto (S/)]],"0")</f>
        <v>2000</v>
      </c>
      <c r="P578" s="28">
        <f>IF(tblMovimientos[[#This Row],[Tipo de Movimiento]]="Ingreso",tblMovimientos[[#This Row],[Ingreso]],-tblMovimientos[[#This Row],[Egreso]])</f>
        <v>-2000</v>
      </c>
      <c r="Q578" s="78" t="str">
        <f>_xlfn.XLOOKUP(tblMovimientos[[#This Row],[Cuenta Bancaria]],Cuentas!$C:$C,Cuentas!$A:$A,"")&amp;""</f>
        <v>SSP Group</v>
      </c>
      <c r="R578" s="78" t="str">
        <f>_xlfn.XLOOKUP(tblMovimientos[[#This Row],[Cuenta Bancaria]],Cuentas!$C:$C,Cuentas!$B:$B,"",0,-1)&amp;""</f>
        <v/>
      </c>
    </row>
    <row r="579" spans="1:18" x14ac:dyDescent="0.3">
      <c r="B579" s="39">
        <v>46219</v>
      </c>
      <c r="C579" s="4" t="str">
        <f>_xlfn.XLOOKUP(tblMovimientos[[#This Row],[Cuenta Bancaria]],Listas!$B:$B,Listas!$A:$A,"")</f>
        <v>Cross Security Trust</v>
      </c>
      <c r="D579" s="41" t="s">
        <v>112</v>
      </c>
      <c r="E579" s="68" t="str">
        <f>_xlfn.XLOOKUP(tblMovimientos[[#This Row],[Cuenta Bancaria]],Listas!$B:$B,Listas!$C:$C,"")</f>
        <v>Bank of America</v>
      </c>
      <c r="F579" s="41" t="s">
        <v>9</v>
      </c>
      <c r="G579" s="41" t="s">
        <v>84</v>
      </c>
      <c r="I579" s="69"/>
      <c r="J579" s="43">
        <v>3.46</v>
      </c>
      <c r="K579" s="5">
        <f t="shared" si="9"/>
        <v>3.46</v>
      </c>
      <c r="L579" s="15" t="s">
        <v>129</v>
      </c>
      <c r="M579" s="44">
        <f>SUMIFS('Saldos Iniciales'!$D:$D,'Saldos Iniciales'!$A:$A,C579,'Saldos Iniciales'!$B:$B,D579)+SUMIFS($K$1:$K$1324,$C$1:$C$1324,C579,$D$1:$D$1324,D579,$B$1:$B$1324,"&lt;="&amp;B579)</f>
        <v>267507.45</v>
      </c>
      <c r="N579" s="61">
        <f>IF(tblMovimientos[[#This Row],[Tipo de Movimiento]]="Ingreso",tblMovimientos[[#This Row],[Monto (S/)]],"0")</f>
        <v>3.46</v>
      </c>
      <c r="O579" s="61" t="str">
        <f>IF(tblMovimientos[[#This Row],[Tipo de Movimiento]]="Egreso",tblMovimientos[[#This Row],[Monto (S/)]],"0")</f>
        <v>0</v>
      </c>
      <c r="P579" s="28">
        <f>IF(tblMovimientos[[#This Row],[Tipo de Movimiento]]="Ingreso",tblMovimientos[[#This Row],[Ingreso]],-tblMovimientos[[#This Row],[Egreso]])</f>
        <v>3.46</v>
      </c>
      <c r="Q579" s="78" t="str">
        <f>_xlfn.XLOOKUP(tblMovimientos[[#This Row],[Cuenta Bancaria]],Cuentas!$C:$C,Cuentas!$A:$A,"")&amp;""</f>
        <v>SSP Group</v>
      </c>
      <c r="R579" s="78" t="str">
        <f>_xlfn.XLOOKUP(tblMovimientos[[#This Row],[Cuenta Bancaria]],Cuentas!$C:$C,Cuentas!$B:$B,"",0,-1)&amp;""</f>
        <v>Trust</v>
      </c>
    </row>
    <row r="580" spans="1:18" x14ac:dyDescent="0.3">
      <c r="A580" s="45"/>
      <c r="B580" s="39">
        <v>46220</v>
      </c>
      <c r="C580" s="4" t="str">
        <f>_xlfn.XLOOKUP(tblMovimientos[[#This Row],[Cuenta Bancaria]],Listas!$B:$B,Listas!$A:$A,"")</f>
        <v>Go Blue</v>
      </c>
      <c r="D580" s="41" t="s">
        <v>165</v>
      </c>
      <c r="E580" s="68" t="str">
        <f>_xlfn.XLOOKUP(tblMovimientos[[#This Row],[Cuenta Bancaria]],Listas!$B:$B,Listas!$C:$C,"")</f>
        <v xml:space="preserve">Amerant Bank </v>
      </c>
      <c r="F580" s="41" t="s">
        <v>10</v>
      </c>
      <c r="G580" s="41" t="s">
        <v>38</v>
      </c>
      <c r="H580" s="46" t="str">
        <f>IFERROR(_xlfn.XLOOKUP(G580,Listas!E:E,Listas!F:F,""),"")</f>
        <v>Operativo</v>
      </c>
      <c r="I580" s="46" t="str">
        <f>IFERROR(_xlfn.XLOOKUP(G580,Listas!E:E,Listas!G:G,""),"")</f>
        <v>Externo</v>
      </c>
      <c r="J580" s="43">
        <v>24</v>
      </c>
      <c r="K580" s="5">
        <f t="shared" si="9"/>
        <v>-24</v>
      </c>
      <c r="L580" s="15" t="s">
        <v>129</v>
      </c>
      <c r="M580" s="44">
        <f>SUMIFS('Saldos Iniciales'!$D:$D,'Saldos Iniciales'!$A:$A,C580,'Saldos Iniciales'!$B:$B,D580)+SUMIFS($K$1:$K$1324,$C$1:$C$1324,C580,$D$1:$D$1324,D580,$B$1:$B$1324,"&lt;="&amp;B580)</f>
        <v>3067.8500000000004</v>
      </c>
      <c r="N580" s="61" t="str">
        <f>IF(tblMovimientos[[#This Row],[Tipo de Movimiento]]="Ingreso",tblMovimientos[[#This Row],[Monto (S/)]],"0")</f>
        <v>0</v>
      </c>
      <c r="O580" s="61">
        <f>IF(tblMovimientos[[#This Row],[Tipo de Movimiento]]="Egreso",tblMovimientos[[#This Row],[Monto (S/)]],"0")</f>
        <v>24</v>
      </c>
      <c r="P580" s="28">
        <f>IF(tblMovimientos[[#This Row],[Tipo de Movimiento]]="Ingreso",tblMovimientos[[#This Row],[Ingreso]],-tblMovimientos[[#This Row],[Egreso]])</f>
        <v>-24</v>
      </c>
      <c r="Q580" s="78" t="str">
        <f>_xlfn.XLOOKUP(tblMovimientos[[#This Row],[Cuenta Bancaria]],Cuentas!$C:$C,Cuentas!$A:$A,"")&amp;""</f>
        <v>SSP Group</v>
      </c>
      <c r="R580" s="78" t="str">
        <f>_xlfn.XLOOKUP(tblMovimientos[[#This Row],[Cuenta Bancaria]],Cuentas!$C:$C,Cuentas!$B:$B,"",0,-1)&amp;""</f>
        <v/>
      </c>
    </row>
    <row r="581" spans="1:18" x14ac:dyDescent="0.3">
      <c r="B581" s="39">
        <v>46220</v>
      </c>
      <c r="C581" s="4" t="str">
        <f>_xlfn.XLOOKUP(tblMovimientos[[#This Row],[Cuenta Bancaria]],Listas!$B:$B,Listas!$A:$A,"")</f>
        <v>Go Blue</v>
      </c>
      <c r="D581" s="41" t="s">
        <v>165</v>
      </c>
      <c r="E581" s="68" t="str">
        <f>_xlfn.XLOOKUP(tblMovimientos[[#This Row],[Cuenta Bancaria]],Listas!$B:$B,Listas!$C:$C,"")</f>
        <v xml:space="preserve">Amerant Bank </v>
      </c>
      <c r="F581" s="41" t="s">
        <v>10</v>
      </c>
      <c r="G581" s="41" t="s">
        <v>38</v>
      </c>
      <c r="H581" s="4" t="str">
        <f>IFERROR(_xlfn.XLOOKUP(G581,Listas!E:E,Listas!F:F,""),"")</f>
        <v>Operativo</v>
      </c>
      <c r="I581" s="46" t="str">
        <f>IFERROR(_xlfn.XLOOKUP(G581,Listas!E:E,Listas!G:G,""),"")</f>
        <v>Externo</v>
      </c>
      <c r="J581" s="43">
        <v>2300.0300000000002</v>
      </c>
      <c r="K581" s="5">
        <f t="shared" si="9"/>
        <v>-2300.0300000000002</v>
      </c>
      <c r="L581" s="15" t="s">
        <v>129</v>
      </c>
      <c r="M581" s="44">
        <f>SUMIFS('Saldos Iniciales'!$D:$D,'Saldos Iniciales'!$A:$A,C581,'Saldos Iniciales'!$B:$B,D581)+SUMIFS($K$1:$K$1324,$C$1:$C$1324,C581,$D$1:$D$1324,D581,$B$1:$B$1324,"&lt;="&amp;B581)</f>
        <v>3067.8500000000004</v>
      </c>
      <c r="N581" s="61" t="str">
        <f>IF(tblMovimientos[[#This Row],[Tipo de Movimiento]]="Ingreso",tblMovimientos[[#This Row],[Monto (S/)]],"0")</f>
        <v>0</v>
      </c>
      <c r="O581" s="61">
        <f>IF(tblMovimientos[[#This Row],[Tipo de Movimiento]]="Egreso",tblMovimientos[[#This Row],[Monto (S/)]],"0")</f>
        <v>2300.0300000000002</v>
      </c>
      <c r="P581" s="28">
        <f>IF(tblMovimientos[[#This Row],[Tipo de Movimiento]]="Ingreso",tblMovimientos[[#This Row],[Ingreso]],-tblMovimientos[[#This Row],[Egreso]])</f>
        <v>-2300.0300000000002</v>
      </c>
      <c r="Q581" s="78" t="str">
        <f>_xlfn.XLOOKUP(tblMovimientos[[#This Row],[Cuenta Bancaria]],Cuentas!$C:$C,Cuentas!$A:$A,"")&amp;""</f>
        <v>SSP Group</v>
      </c>
      <c r="R581" s="78" t="str">
        <f>_xlfn.XLOOKUP(tblMovimientos[[#This Row],[Cuenta Bancaria]],Cuentas!$C:$C,Cuentas!$B:$B,"",0,-1)&amp;""</f>
        <v/>
      </c>
    </row>
    <row r="582" spans="1:18" x14ac:dyDescent="0.3">
      <c r="B582" s="39">
        <v>46220</v>
      </c>
      <c r="C582" s="4" t="str">
        <f>_xlfn.XLOOKUP(tblMovimientos[[#This Row],[Cuenta Bancaria]],Listas!$B:$B,Listas!$A:$A,"")</f>
        <v>Go Blue</v>
      </c>
      <c r="D582" s="41" t="s">
        <v>165</v>
      </c>
      <c r="E582" s="68" t="str">
        <f>_xlfn.XLOOKUP(tblMovimientos[[#This Row],[Cuenta Bancaria]],Listas!$B:$B,Listas!$C:$C,"")</f>
        <v xml:space="preserve">Amerant Bank </v>
      </c>
      <c r="F582" s="41" t="s">
        <v>10</v>
      </c>
      <c r="G582" s="41" t="s">
        <v>38</v>
      </c>
      <c r="H582" s="4" t="str">
        <f>IFERROR(_xlfn.XLOOKUP(G582,Listas!E:E,Listas!F:F,""),"")</f>
        <v>Operativo</v>
      </c>
      <c r="I582" s="46" t="str">
        <f>IFERROR(_xlfn.XLOOKUP(G582,Listas!E:E,Listas!G:G,""),"")</f>
        <v>Externo</v>
      </c>
      <c r="J582" s="43">
        <v>21.73</v>
      </c>
      <c r="K582" s="5">
        <f t="shared" si="9"/>
        <v>-21.73</v>
      </c>
      <c r="L582" s="15" t="s">
        <v>129</v>
      </c>
      <c r="M582" s="44">
        <f>SUMIFS('Saldos Iniciales'!$D:$D,'Saldos Iniciales'!$A:$A,C582,'Saldos Iniciales'!$B:$B,D582)+SUMIFS($K$1:$K$1324,$C$1:$C$1324,C582,$D$1:$D$1324,D582,$B$1:$B$1324,"&lt;="&amp;B582)</f>
        <v>3067.8500000000004</v>
      </c>
      <c r="N582" s="61" t="str">
        <f>IF(tblMovimientos[[#This Row],[Tipo de Movimiento]]="Ingreso",tblMovimientos[[#This Row],[Monto (S/)]],"0")</f>
        <v>0</v>
      </c>
      <c r="O582" s="61">
        <f>IF(tblMovimientos[[#This Row],[Tipo de Movimiento]]="Egreso",tblMovimientos[[#This Row],[Monto (S/)]],"0")</f>
        <v>21.73</v>
      </c>
      <c r="P582" s="28">
        <f>IF(tblMovimientos[[#This Row],[Tipo de Movimiento]]="Ingreso",tblMovimientos[[#This Row],[Ingreso]],-tblMovimientos[[#This Row],[Egreso]])</f>
        <v>-21.73</v>
      </c>
      <c r="Q582" s="78" t="str">
        <f>_xlfn.XLOOKUP(tblMovimientos[[#This Row],[Cuenta Bancaria]],Cuentas!$C:$C,Cuentas!$A:$A,"")&amp;""</f>
        <v>SSP Group</v>
      </c>
      <c r="R582" s="78" t="str">
        <f>_xlfn.XLOOKUP(tblMovimientos[[#This Row],[Cuenta Bancaria]],Cuentas!$C:$C,Cuentas!$B:$B,"",0,-1)&amp;""</f>
        <v/>
      </c>
    </row>
    <row r="583" spans="1:18" x14ac:dyDescent="0.3">
      <c r="B583" s="39">
        <v>46220</v>
      </c>
      <c r="C583" s="4" t="str">
        <f>_xlfn.XLOOKUP(tblMovimientos[[#This Row],[Cuenta Bancaria]],Listas!$B:$B,Listas!$A:$A,"")</f>
        <v>SSP Capital</v>
      </c>
      <c r="D583" s="41" t="s">
        <v>104</v>
      </c>
      <c r="E583" s="68" t="str">
        <f>_xlfn.XLOOKUP(tblMovimientos[[#This Row],[Cuenta Bancaria]],Listas!$B:$B,Listas!$C:$C,"")</f>
        <v xml:space="preserve">Amerant Bank </v>
      </c>
      <c r="F583" s="41" t="s">
        <v>9</v>
      </c>
      <c r="G583" s="41" t="s">
        <v>76</v>
      </c>
      <c r="H583" s="4" t="str">
        <f>IFERROR(_xlfn.XLOOKUP(G583,Listas!E:E,Listas!F:F,""),"")</f>
        <v>Financiamiento</v>
      </c>
      <c r="I583" s="46" t="str">
        <f>IFERROR(_xlfn.XLOOKUP(G583,Listas!E:E,Listas!G:G,""),"")</f>
        <v>Externo</v>
      </c>
      <c r="J583" s="43">
        <v>70000</v>
      </c>
      <c r="K583" s="5">
        <f t="shared" si="9"/>
        <v>70000</v>
      </c>
      <c r="L583" s="15" t="s">
        <v>129</v>
      </c>
      <c r="M583" s="44">
        <f>SUMIFS('Saldos Iniciales'!$D:$D,'Saldos Iniciales'!$A:$A,C583,'Saldos Iniciales'!$B:$B,D583)+SUMIFS($K$1:$K$1324,$C$1:$C$1324,C583,$D$1:$D$1324,D583,$B$1:$B$1324,"&lt;="&amp;B583)</f>
        <v>920777.27999999933</v>
      </c>
      <c r="N583" s="61">
        <f>IF(tblMovimientos[[#This Row],[Tipo de Movimiento]]="Ingreso",tblMovimientos[[#This Row],[Monto (S/)]],"0")</f>
        <v>70000</v>
      </c>
      <c r="O583" s="61" t="str">
        <f>IF(tblMovimientos[[#This Row],[Tipo de Movimiento]]="Egreso",tblMovimientos[[#This Row],[Monto (S/)]],"0")</f>
        <v>0</v>
      </c>
      <c r="P583" s="28">
        <f>IF(tblMovimientos[[#This Row],[Tipo de Movimiento]]="Ingreso",tblMovimientos[[#This Row],[Ingreso]],-tblMovimientos[[#This Row],[Egreso]])</f>
        <v>70000</v>
      </c>
      <c r="Q583" s="78" t="str">
        <f>_xlfn.XLOOKUP(tblMovimientos[[#This Row],[Cuenta Bancaria]],Cuentas!$C:$C,Cuentas!$A:$A,"")&amp;""</f>
        <v>SSP Group</v>
      </c>
      <c r="R583" s="78" t="str">
        <f>_xlfn.XLOOKUP(tblMovimientos[[#This Row],[Cuenta Bancaria]],Cuentas!$C:$C,Cuentas!$B:$B,"",0,-1)&amp;""</f>
        <v/>
      </c>
    </row>
    <row r="584" spans="1:18" x14ac:dyDescent="0.3">
      <c r="B584" s="39">
        <v>46220</v>
      </c>
      <c r="C584" s="4" t="str">
        <f>_xlfn.XLOOKUP(tblMovimientos[[#This Row],[Cuenta Bancaria]],Listas!$B:$B,Listas!$A:$A,"")</f>
        <v>Go Blue</v>
      </c>
      <c r="D584" s="41" t="s">
        <v>126</v>
      </c>
      <c r="E584" s="68" t="str">
        <f>_xlfn.XLOOKUP(tblMovimientos[[#This Row],[Cuenta Bancaria]],Listas!$B:$B,Listas!$C:$C,"")</f>
        <v xml:space="preserve">Amerant Bank </v>
      </c>
      <c r="F584" s="41" t="s">
        <v>10</v>
      </c>
      <c r="G584" s="41" t="s">
        <v>38</v>
      </c>
      <c r="H584" s="4" t="str">
        <f>IFERROR(_xlfn.XLOOKUP(G584,Listas!E:E,Listas!F:F,""),"")</f>
        <v>Operativo</v>
      </c>
      <c r="I584" s="46" t="str">
        <f>IFERROR(_xlfn.XLOOKUP(G584,Listas!E:E,Listas!G:G,""),"")</f>
        <v>Externo</v>
      </c>
      <c r="J584" s="43">
        <v>5402.47</v>
      </c>
      <c r="K584" s="5">
        <f t="shared" si="9"/>
        <v>-5402.47</v>
      </c>
      <c r="L584" s="15" t="s">
        <v>129</v>
      </c>
      <c r="M584" s="44">
        <f>SUMIFS('Saldos Iniciales'!$D:$D,'Saldos Iniciales'!$A:$A,C584,'Saldos Iniciales'!$B:$B,D584)+SUMIFS($K$1:$K$1324,$C$1:$C$1324,C584,$D$1:$D$1324,D584,$B$1:$B$1324,"&lt;="&amp;B584)</f>
        <v>13162.769999999997</v>
      </c>
      <c r="N584" s="61" t="str">
        <f>IF(tblMovimientos[[#This Row],[Tipo de Movimiento]]="Ingreso",tblMovimientos[[#This Row],[Monto (S/)]],"0")</f>
        <v>0</v>
      </c>
      <c r="O584" s="61">
        <f>IF(tblMovimientos[[#This Row],[Tipo de Movimiento]]="Egreso",tblMovimientos[[#This Row],[Monto (S/)]],"0")</f>
        <v>5402.47</v>
      </c>
      <c r="P584" s="28">
        <f>IF(tblMovimientos[[#This Row],[Tipo de Movimiento]]="Ingreso",tblMovimientos[[#This Row],[Ingreso]],-tblMovimientos[[#This Row],[Egreso]])</f>
        <v>-5402.47</v>
      </c>
      <c r="Q584" s="78" t="str">
        <f>_xlfn.XLOOKUP(tblMovimientos[[#This Row],[Cuenta Bancaria]],Cuentas!$C:$C,Cuentas!$A:$A,"")&amp;""</f>
        <v>SSP Group</v>
      </c>
      <c r="R584" s="78" t="str">
        <f>_xlfn.XLOOKUP(tblMovimientos[[#This Row],[Cuenta Bancaria]],Cuentas!$C:$C,Cuentas!$B:$B,"",0,-1)&amp;""</f>
        <v/>
      </c>
    </row>
    <row r="585" spans="1:18" x14ac:dyDescent="0.3">
      <c r="B585" s="39">
        <v>46223</v>
      </c>
      <c r="C585" s="4" t="str">
        <f>_xlfn.XLOOKUP(tblMovimientos[[#This Row],[Cuenta Bancaria]],Listas!$B:$B,Listas!$A:$A,"")</f>
        <v>SSP Capital</v>
      </c>
      <c r="D585" s="41" t="s">
        <v>101</v>
      </c>
      <c r="E585" s="68" t="str">
        <f>_xlfn.XLOOKUP(tblMovimientos[[#This Row],[Cuenta Bancaria]],Listas!$B:$B,Listas!$C:$C,"")</f>
        <v>Bank of America</v>
      </c>
      <c r="F585" s="41" t="s">
        <v>10</v>
      </c>
      <c r="G585" s="41" t="s">
        <v>38</v>
      </c>
      <c r="H585" s="4" t="str">
        <f>IFERROR(_xlfn.XLOOKUP(G585,Listas!E:E,Listas!F:F,""),"")</f>
        <v>Operativo</v>
      </c>
      <c r="I585" s="46" t="str">
        <f>IFERROR(_xlfn.XLOOKUP(G585,Listas!E:E,Listas!G:G,""),"")</f>
        <v>Externo</v>
      </c>
      <c r="J585" s="43">
        <v>2383.48</v>
      </c>
      <c r="K585" s="5">
        <f t="shared" si="9"/>
        <v>-2383.48</v>
      </c>
      <c r="L585" s="15" t="s">
        <v>129</v>
      </c>
      <c r="M585" s="44">
        <f>SUMIFS('Saldos Iniciales'!$D:$D,'Saldos Iniciales'!$A:$A,C585,'Saldos Iniciales'!$B:$B,D585)+SUMIFS($K$1:$K$1324,$C$1:$C$1324,C585,$D$1:$D$1324,D585,$B$1:$B$1324,"&lt;="&amp;B585)</f>
        <v>6867.9599999999991</v>
      </c>
      <c r="N585" s="61" t="str">
        <f>IF(tblMovimientos[[#This Row],[Tipo de Movimiento]]="Ingreso",tblMovimientos[[#This Row],[Monto (S/)]],"0")</f>
        <v>0</v>
      </c>
      <c r="O585" s="61">
        <f>IF(tblMovimientos[[#This Row],[Tipo de Movimiento]]="Egreso",tblMovimientos[[#This Row],[Monto (S/)]],"0")</f>
        <v>2383.48</v>
      </c>
      <c r="P585" s="28">
        <f>IF(tblMovimientos[[#This Row],[Tipo de Movimiento]]="Ingreso",tblMovimientos[[#This Row],[Ingreso]],-tblMovimientos[[#This Row],[Egreso]])</f>
        <v>-2383.48</v>
      </c>
      <c r="Q585" s="78" t="str">
        <f>_xlfn.XLOOKUP(tblMovimientos[[#This Row],[Cuenta Bancaria]],Cuentas!$C:$C,Cuentas!$A:$A,"")&amp;""</f>
        <v>SSP Group</v>
      </c>
      <c r="R585" s="78" t="str">
        <f>_xlfn.XLOOKUP(tblMovimientos[[#This Row],[Cuenta Bancaria]],Cuentas!$C:$C,Cuentas!$B:$B,"",0,-1)&amp;""</f>
        <v/>
      </c>
    </row>
    <row r="586" spans="1:18" x14ac:dyDescent="0.3">
      <c r="B586" s="39">
        <v>46223</v>
      </c>
      <c r="C586" s="4" t="str">
        <f>_xlfn.XLOOKUP(tblMovimientos[[#This Row],[Cuenta Bancaria]],Listas!$B:$B,Listas!$A:$A,"")</f>
        <v>SSP Capital</v>
      </c>
      <c r="D586" s="41" t="s">
        <v>101</v>
      </c>
      <c r="E586" s="68" t="str">
        <f>_xlfn.XLOOKUP(tblMovimientos[[#This Row],[Cuenta Bancaria]],Listas!$B:$B,Listas!$C:$C,"")</f>
        <v>Bank of America</v>
      </c>
      <c r="F586" s="41" t="s">
        <v>10</v>
      </c>
      <c r="G586" s="41" t="s">
        <v>38</v>
      </c>
      <c r="H586" s="4" t="str">
        <f>IFERROR(_xlfn.XLOOKUP(G586,Listas!E:E,Listas!F:F,""),"")</f>
        <v>Operativo</v>
      </c>
      <c r="I586" s="46" t="str">
        <f>IFERROR(_xlfn.XLOOKUP(G586,Listas!E:E,Listas!G:G,""),"")</f>
        <v>Externo</v>
      </c>
      <c r="J586" s="43">
        <v>737.04</v>
      </c>
      <c r="K586" s="5">
        <f t="shared" si="9"/>
        <v>-737.04</v>
      </c>
      <c r="L586" s="15" t="s">
        <v>129</v>
      </c>
      <c r="M586" s="44">
        <f>SUMIFS('Saldos Iniciales'!$D:$D,'Saldos Iniciales'!$A:$A,C586,'Saldos Iniciales'!$B:$B,D586)+SUMIFS($K$1:$K$1324,$C$1:$C$1324,C586,$D$1:$D$1324,D586,$B$1:$B$1324,"&lt;="&amp;B586)</f>
        <v>6867.9599999999991</v>
      </c>
      <c r="N586" s="61" t="str">
        <f>IF(tblMovimientos[[#This Row],[Tipo de Movimiento]]="Ingreso",tblMovimientos[[#This Row],[Monto (S/)]],"0")</f>
        <v>0</v>
      </c>
      <c r="O586" s="61">
        <f>IF(tblMovimientos[[#This Row],[Tipo de Movimiento]]="Egreso",tblMovimientos[[#This Row],[Monto (S/)]],"0")</f>
        <v>737.04</v>
      </c>
      <c r="P586" s="28">
        <f>IF(tblMovimientos[[#This Row],[Tipo de Movimiento]]="Ingreso",tblMovimientos[[#This Row],[Ingreso]],-tblMovimientos[[#This Row],[Egreso]])</f>
        <v>-737.04</v>
      </c>
      <c r="Q586" s="78" t="str">
        <f>_xlfn.XLOOKUP(tblMovimientos[[#This Row],[Cuenta Bancaria]],Cuentas!$C:$C,Cuentas!$A:$A,"")&amp;""</f>
        <v>SSP Group</v>
      </c>
      <c r="R586" s="78" t="str">
        <f>_xlfn.XLOOKUP(tblMovimientos[[#This Row],[Cuenta Bancaria]],Cuentas!$C:$C,Cuentas!$B:$B,"",0,-1)&amp;""</f>
        <v/>
      </c>
    </row>
    <row r="587" spans="1:18" x14ac:dyDescent="0.3">
      <c r="B587" s="39">
        <v>46223</v>
      </c>
      <c r="C587" s="4" t="str">
        <f>_xlfn.XLOOKUP(tblMovimientos[[#This Row],[Cuenta Bancaria]],Listas!$B:$B,Listas!$A:$A,"")</f>
        <v>SSP Capital</v>
      </c>
      <c r="D587" s="41" t="s">
        <v>101</v>
      </c>
      <c r="E587" s="68" t="str">
        <f>_xlfn.XLOOKUP(tblMovimientos[[#This Row],[Cuenta Bancaria]],Listas!$B:$B,Listas!$C:$C,"")</f>
        <v>Bank of America</v>
      </c>
      <c r="F587" s="41" t="s">
        <v>10</v>
      </c>
      <c r="G587" s="41" t="s">
        <v>41</v>
      </c>
      <c r="H587" s="4" t="str">
        <f>IFERROR(_xlfn.XLOOKUP(G587,Listas!E:E,Listas!F:F,""),"")</f>
        <v>Operativo</v>
      </c>
      <c r="I587" s="46" t="str">
        <f>IFERROR(_xlfn.XLOOKUP(G587,Listas!E:E,Listas!G:G,""),"")</f>
        <v>Externo</v>
      </c>
      <c r="J587" s="43">
        <v>644.70000000000005</v>
      </c>
      <c r="K587" s="5">
        <f t="shared" si="9"/>
        <v>-644.70000000000005</v>
      </c>
      <c r="L587" s="15" t="s">
        <v>129</v>
      </c>
      <c r="M587" s="44">
        <f>SUMIFS('Saldos Iniciales'!$D:$D,'Saldos Iniciales'!$A:$A,C587,'Saldos Iniciales'!$B:$B,D587)+SUMIFS($K$1:$K$1324,$C$1:$C$1324,C587,$D$1:$D$1324,D587,$B$1:$B$1324,"&lt;="&amp;B587)</f>
        <v>6867.9599999999991</v>
      </c>
      <c r="N587" s="61" t="str">
        <f>IF(tblMovimientos[[#This Row],[Tipo de Movimiento]]="Ingreso",tblMovimientos[[#This Row],[Monto (S/)]],"0")</f>
        <v>0</v>
      </c>
      <c r="O587" s="61">
        <f>IF(tblMovimientos[[#This Row],[Tipo de Movimiento]]="Egreso",tblMovimientos[[#This Row],[Monto (S/)]],"0")</f>
        <v>644.70000000000005</v>
      </c>
      <c r="P587" s="28">
        <f>IF(tblMovimientos[[#This Row],[Tipo de Movimiento]]="Ingreso",tblMovimientos[[#This Row],[Ingreso]],-tblMovimientos[[#This Row],[Egreso]])</f>
        <v>-644.70000000000005</v>
      </c>
      <c r="Q587" s="78" t="str">
        <f>_xlfn.XLOOKUP(tblMovimientos[[#This Row],[Cuenta Bancaria]],Cuentas!$C:$C,Cuentas!$A:$A,"")&amp;""</f>
        <v>SSP Group</v>
      </c>
      <c r="R587" s="78" t="str">
        <f>_xlfn.XLOOKUP(tblMovimientos[[#This Row],[Cuenta Bancaria]],Cuentas!$C:$C,Cuentas!$B:$B,"",0,-1)&amp;""</f>
        <v/>
      </c>
    </row>
    <row r="588" spans="1:18" x14ac:dyDescent="0.3">
      <c r="B588" s="39">
        <v>46223</v>
      </c>
      <c r="C588" s="4" t="str">
        <f>_xlfn.XLOOKUP(tblMovimientos[[#This Row],[Cuenta Bancaria]],Listas!$B:$B,Listas!$A:$A,"")</f>
        <v>SSP Capital</v>
      </c>
      <c r="D588" s="41" t="s">
        <v>102</v>
      </c>
      <c r="E588" s="68" t="str">
        <f>_xlfn.XLOOKUP(tblMovimientos[[#This Row],[Cuenta Bancaria]],Listas!$B:$B,Listas!$C:$C,"")</f>
        <v>Bank of America</v>
      </c>
      <c r="F588" s="41" t="s">
        <v>10</v>
      </c>
      <c r="G588" s="41" t="s">
        <v>38</v>
      </c>
      <c r="H588" s="4" t="str">
        <f>IFERROR(_xlfn.XLOOKUP(G588,Listas!E:E,Listas!F:F,""),"")</f>
        <v>Operativo</v>
      </c>
      <c r="I588" s="46" t="str">
        <f>IFERROR(_xlfn.XLOOKUP(G588,Listas!E:E,Listas!G:G,""),"")</f>
        <v>Externo</v>
      </c>
      <c r="J588" s="43">
        <v>166.66</v>
      </c>
      <c r="K588" s="5">
        <f t="shared" si="9"/>
        <v>-166.66</v>
      </c>
      <c r="L588" s="15" t="s">
        <v>129</v>
      </c>
      <c r="M588" s="44">
        <f>SUMIFS('Saldos Iniciales'!$D:$D,'Saldos Iniciales'!$A:$A,C588,'Saldos Iniciales'!$B:$B,D588)+SUMIFS($K$1:$K$1324,$C$1:$C$1324,C588,$D$1:$D$1324,D588,$B$1:$B$1324,"&lt;="&amp;B588)</f>
        <v>170.82000000000005</v>
      </c>
      <c r="N588" s="61" t="str">
        <f>IF(tblMovimientos[[#This Row],[Tipo de Movimiento]]="Ingreso",tblMovimientos[[#This Row],[Monto (S/)]],"0")</f>
        <v>0</v>
      </c>
      <c r="O588" s="61">
        <f>IF(tblMovimientos[[#This Row],[Tipo de Movimiento]]="Egreso",tblMovimientos[[#This Row],[Monto (S/)]],"0")</f>
        <v>166.66</v>
      </c>
      <c r="P588" s="28">
        <f>IF(tblMovimientos[[#This Row],[Tipo de Movimiento]]="Ingreso",tblMovimientos[[#This Row],[Ingreso]],-tblMovimientos[[#This Row],[Egreso]])</f>
        <v>-166.66</v>
      </c>
      <c r="Q588" s="78" t="str">
        <f>_xlfn.XLOOKUP(tblMovimientos[[#This Row],[Cuenta Bancaria]],Cuentas!$C:$C,Cuentas!$A:$A,"")&amp;""</f>
        <v>SSP Group</v>
      </c>
      <c r="R588" s="78" t="str">
        <f>_xlfn.XLOOKUP(tblMovimientos[[#This Row],[Cuenta Bancaria]],Cuentas!$C:$C,Cuentas!$B:$B,"",0,-1)&amp;""</f>
        <v/>
      </c>
    </row>
    <row r="589" spans="1:18" x14ac:dyDescent="0.3">
      <c r="B589" s="39">
        <v>46223</v>
      </c>
      <c r="C589" s="4" t="str">
        <f>_xlfn.XLOOKUP(tblMovimientos[[#This Row],[Cuenta Bancaria]],Listas!$B:$B,Listas!$A:$A,"")</f>
        <v>Go Blue</v>
      </c>
      <c r="D589" s="41" t="s">
        <v>165</v>
      </c>
      <c r="E589" s="68" t="str">
        <f>_xlfn.XLOOKUP(tblMovimientos[[#This Row],[Cuenta Bancaria]],Listas!$B:$B,Listas!$C:$C,"")</f>
        <v xml:space="preserve">Amerant Bank </v>
      </c>
      <c r="F589" s="41" t="s">
        <v>10</v>
      </c>
      <c r="G589" s="41" t="s">
        <v>38</v>
      </c>
      <c r="H589" s="4" t="str">
        <f>IFERROR(_xlfn.XLOOKUP(G589,Listas!E:E,Listas!F:F,""),"")</f>
        <v>Operativo</v>
      </c>
      <c r="I589" s="46" t="str">
        <f>IFERROR(_xlfn.XLOOKUP(G589,Listas!E:E,Listas!G:G,""),"")</f>
        <v>Externo</v>
      </c>
      <c r="J589" s="43">
        <v>2133.14</v>
      </c>
      <c r="K589" s="5">
        <f t="shared" si="9"/>
        <v>-2133.14</v>
      </c>
      <c r="L589" s="15" t="s">
        <v>129</v>
      </c>
      <c r="M589" s="44">
        <f>SUMIFS('Saldos Iniciales'!$D:$D,'Saldos Iniciales'!$A:$A,C589,'Saldos Iniciales'!$B:$B,D589)+SUMIFS($K$1:$K$1324,$C$1:$C$1324,C589,$D$1:$D$1324,D589,$B$1:$B$1324,"&lt;="&amp;B589)</f>
        <v>934.71000000000095</v>
      </c>
      <c r="N589" s="61" t="str">
        <f>IF(tblMovimientos[[#This Row],[Tipo de Movimiento]]="Ingreso",tblMovimientos[[#This Row],[Monto (S/)]],"0")</f>
        <v>0</v>
      </c>
      <c r="O589" s="61">
        <f>IF(tblMovimientos[[#This Row],[Tipo de Movimiento]]="Egreso",tblMovimientos[[#This Row],[Monto (S/)]],"0")</f>
        <v>2133.14</v>
      </c>
      <c r="P589" s="28">
        <f>IF(tblMovimientos[[#This Row],[Tipo de Movimiento]]="Ingreso",tblMovimientos[[#This Row],[Ingreso]],-tblMovimientos[[#This Row],[Egreso]])</f>
        <v>-2133.14</v>
      </c>
      <c r="Q589" s="78" t="str">
        <f>_xlfn.XLOOKUP(tblMovimientos[[#This Row],[Cuenta Bancaria]],Cuentas!$C:$C,Cuentas!$A:$A,"")&amp;""</f>
        <v>SSP Group</v>
      </c>
      <c r="R589" s="78" t="str">
        <f>_xlfn.XLOOKUP(tblMovimientos[[#This Row],[Cuenta Bancaria]],Cuentas!$C:$C,Cuentas!$B:$B,"",0,-1)&amp;""</f>
        <v/>
      </c>
    </row>
    <row r="590" spans="1:18" x14ac:dyDescent="0.3">
      <c r="B590" s="39">
        <v>46224</v>
      </c>
      <c r="C590" s="4" t="str">
        <f>_xlfn.XLOOKUP(tblMovimientos[[#This Row],[Cuenta Bancaria]],Listas!$B:$B,Listas!$A:$A,"")</f>
        <v>Go Blue</v>
      </c>
      <c r="D590" s="41" t="s">
        <v>165</v>
      </c>
      <c r="E590" s="68" t="str">
        <f>_xlfn.XLOOKUP(tblMovimientos[[#This Row],[Cuenta Bancaria]],Listas!$B:$B,Listas!$C:$C,"")</f>
        <v xml:space="preserve">Amerant Bank </v>
      </c>
      <c r="F590" s="41" t="s">
        <v>10</v>
      </c>
      <c r="G590" s="41" t="s">
        <v>38</v>
      </c>
      <c r="H590" s="4" t="str">
        <f>IFERROR(_xlfn.XLOOKUP(G590,Listas!E:E,Listas!F:F,""),"")</f>
        <v>Operativo</v>
      </c>
      <c r="I590" s="46" t="str">
        <f>IFERROR(_xlfn.XLOOKUP(G590,Listas!E:E,Listas!G:G,""),"")</f>
        <v>Externo</v>
      </c>
      <c r="J590" s="43">
        <v>205.5</v>
      </c>
      <c r="K590" s="5">
        <f t="shared" si="9"/>
        <v>-205.5</v>
      </c>
      <c r="L590" s="15" t="s">
        <v>129</v>
      </c>
      <c r="M590" s="44">
        <f>SUMIFS('Saldos Iniciales'!$D:$D,'Saldos Iniciales'!$A:$A,C590,'Saldos Iniciales'!$B:$B,D590)+SUMIFS($K$1:$K$1324,$C$1:$C$1324,C590,$D$1:$D$1324,D590,$B$1:$B$1324,"&lt;="&amp;B590)</f>
        <v>583.08000000000084</v>
      </c>
      <c r="N590" s="61" t="str">
        <f>IF(tblMovimientos[[#This Row],[Tipo de Movimiento]]="Ingreso",tblMovimientos[[#This Row],[Monto (S/)]],"0")</f>
        <v>0</v>
      </c>
      <c r="O590" s="61">
        <f>IF(tblMovimientos[[#This Row],[Tipo de Movimiento]]="Egreso",tblMovimientos[[#This Row],[Monto (S/)]],"0")</f>
        <v>205.5</v>
      </c>
      <c r="P590" s="28">
        <f>IF(tblMovimientos[[#This Row],[Tipo de Movimiento]]="Ingreso",tblMovimientos[[#This Row],[Ingreso]],-tblMovimientos[[#This Row],[Egreso]])</f>
        <v>-205.5</v>
      </c>
      <c r="Q590" s="78" t="str">
        <f>_xlfn.XLOOKUP(tblMovimientos[[#This Row],[Cuenta Bancaria]],Cuentas!$C:$C,Cuentas!$A:$A,"")&amp;""</f>
        <v>SSP Group</v>
      </c>
      <c r="R590" s="78" t="str">
        <f>_xlfn.XLOOKUP(tblMovimientos[[#This Row],[Cuenta Bancaria]],Cuentas!$C:$C,Cuentas!$B:$B,"",0,-1)&amp;""</f>
        <v/>
      </c>
    </row>
    <row r="591" spans="1:18" x14ac:dyDescent="0.3">
      <c r="B591" s="39">
        <v>46224</v>
      </c>
      <c r="C591" s="4" t="str">
        <f>_xlfn.XLOOKUP(tblMovimientos[[#This Row],[Cuenta Bancaria]],Listas!$B:$B,Listas!$A:$A,"")</f>
        <v>Go Blue</v>
      </c>
      <c r="D591" s="41" t="s">
        <v>165</v>
      </c>
      <c r="E591" s="68" t="str">
        <f>_xlfn.XLOOKUP(tblMovimientos[[#This Row],[Cuenta Bancaria]],Listas!$B:$B,Listas!$C:$C,"")</f>
        <v xml:space="preserve">Amerant Bank </v>
      </c>
      <c r="F591" s="41" t="s">
        <v>10</v>
      </c>
      <c r="G591" s="41" t="s">
        <v>38</v>
      </c>
      <c r="H591" s="4" t="str">
        <f>IFERROR(_xlfn.XLOOKUP(G591,Listas!E:E,Listas!F:F,""),"")</f>
        <v>Operativo</v>
      </c>
      <c r="I591" s="46" t="str">
        <f>IFERROR(_xlfn.XLOOKUP(G591,Listas!E:E,Listas!G:G,""),"")</f>
        <v>Externo</v>
      </c>
      <c r="J591" s="43">
        <v>146.13</v>
      </c>
      <c r="K591" s="5">
        <f t="shared" si="9"/>
        <v>-146.13</v>
      </c>
      <c r="L591" s="15" t="s">
        <v>129</v>
      </c>
      <c r="M591" s="44">
        <f>SUMIFS('Saldos Iniciales'!$D:$D,'Saldos Iniciales'!$A:$A,C591,'Saldos Iniciales'!$B:$B,D591)+SUMIFS($K$1:$K$1324,$C$1:$C$1324,C591,$D$1:$D$1324,D591,$B$1:$B$1324,"&lt;="&amp;B591)</f>
        <v>583.08000000000084</v>
      </c>
      <c r="N591" s="61" t="str">
        <f>IF(tblMovimientos[[#This Row],[Tipo de Movimiento]]="Ingreso",tblMovimientos[[#This Row],[Monto (S/)]],"0")</f>
        <v>0</v>
      </c>
      <c r="O591" s="61">
        <f>IF(tblMovimientos[[#This Row],[Tipo de Movimiento]]="Egreso",tblMovimientos[[#This Row],[Monto (S/)]],"0")</f>
        <v>146.13</v>
      </c>
      <c r="P591" s="28">
        <f>IF(tblMovimientos[[#This Row],[Tipo de Movimiento]]="Ingreso",tblMovimientos[[#This Row],[Ingreso]],-tblMovimientos[[#This Row],[Egreso]])</f>
        <v>-146.13</v>
      </c>
      <c r="Q591" s="78" t="str">
        <f>_xlfn.XLOOKUP(tblMovimientos[[#This Row],[Cuenta Bancaria]],Cuentas!$C:$C,Cuentas!$A:$A,"")&amp;""</f>
        <v>SSP Group</v>
      </c>
      <c r="R591" s="78" t="str">
        <f>_xlfn.XLOOKUP(tblMovimientos[[#This Row],[Cuenta Bancaria]],Cuentas!$C:$C,Cuentas!$B:$B,"",0,-1)&amp;""</f>
        <v/>
      </c>
    </row>
    <row r="592" spans="1:18" x14ac:dyDescent="0.3">
      <c r="B592" s="39">
        <v>46225</v>
      </c>
      <c r="C592" s="4" t="str">
        <f>_xlfn.XLOOKUP(tblMovimientos[[#This Row],[Cuenta Bancaria]],Listas!$B:$B,Listas!$A:$A,"")</f>
        <v>A&amp;M Imports</v>
      </c>
      <c r="D592" s="41" t="s">
        <v>100</v>
      </c>
      <c r="E592" s="68" t="str">
        <f>_xlfn.XLOOKUP(tblMovimientos[[#This Row],[Cuenta Bancaria]],Listas!$B:$B,Listas!$C:$C,"")</f>
        <v>Bank of America</v>
      </c>
      <c r="F592" s="41" t="s">
        <v>9</v>
      </c>
      <c r="G592" s="41" t="s">
        <v>80</v>
      </c>
      <c r="H592" s="4" t="str">
        <f>IFERROR(_xlfn.XLOOKUP(G592,Listas!E:E,Listas!F:F,""),"")</f>
        <v>Operativo</v>
      </c>
      <c r="I592" s="46" t="str">
        <f>IFERROR(_xlfn.XLOOKUP(G592,Listas!E:E,Listas!G:G,""),"")</f>
        <v>Externo</v>
      </c>
      <c r="J592" s="43">
        <v>32950.239999999998</v>
      </c>
      <c r="K592" s="5">
        <f t="shared" si="9"/>
        <v>32950.239999999998</v>
      </c>
      <c r="L592" s="15" t="s">
        <v>129</v>
      </c>
      <c r="M592" s="44">
        <f>SUMIFS('Saldos Iniciales'!$D:$D,'Saldos Iniciales'!$A:$A,C592,'Saldos Iniciales'!$B:$B,D592)+SUMIFS($K$1:$K$1324,$C$1:$C$1324,C592,$D$1:$D$1324,D592,$B$1:$B$1324,"&lt;="&amp;B592)</f>
        <v>1002754.9899999998</v>
      </c>
      <c r="N592" s="61">
        <f>IF(tblMovimientos[[#This Row],[Tipo de Movimiento]]="Ingreso",tblMovimientos[[#This Row],[Monto (S/)]],"0")</f>
        <v>32950.239999999998</v>
      </c>
      <c r="O592" s="61" t="str">
        <f>IF(tblMovimientos[[#This Row],[Tipo de Movimiento]]="Egreso",tblMovimientos[[#This Row],[Monto (S/)]],"0")</f>
        <v>0</v>
      </c>
      <c r="P592" s="28">
        <f>IF(tblMovimientos[[#This Row],[Tipo de Movimiento]]="Ingreso",tblMovimientos[[#This Row],[Ingreso]],-tblMovimientos[[#This Row],[Egreso]])</f>
        <v>32950.239999999998</v>
      </c>
      <c r="Q592" s="78" t="str">
        <f>_xlfn.XLOOKUP(tblMovimientos[[#This Row],[Cuenta Bancaria]],Cuentas!$C:$C,Cuentas!$A:$A,"")&amp;""</f>
        <v>SSP Group</v>
      </c>
      <c r="R592" s="78" t="str">
        <f>_xlfn.XLOOKUP(tblMovimientos[[#This Row],[Cuenta Bancaria]],Cuentas!$C:$C,Cuentas!$B:$B,"",0,-1)&amp;""</f>
        <v/>
      </c>
    </row>
    <row r="593" spans="2:18" x14ac:dyDescent="0.3">
      <c r="B593" s="39">
        <v>46225</v>
      </c>
      <c r="C593" s="4" t="str">
        <f>_xlfn.XLOOKUP(tblMovimientos[[#This Row],[Cuenta Bancaria]],Listas!$B:$B,Listas!$A:$A,"")</f>
        <v>A&amp;M Imports</v>
      </c>
      <c r="D593" s="41" t="s">
        <v>100</v>
      </c>
      <c r="E593" s="68" t="str">
        <f>_xlfn.XLOOKUP(tblMovimientos[[#This Row],[Cuenta Bancaria]],Listas!$B:$B,Listas!$C:$C,"")</f>
        <v>Bank of America</v>
      </c>
      <c r="F593" s="41" t="s">
        <v>10</v>
      </c>
      <c r="G593" s="41" t="s">
        <v>61</v>
      </c>
      <c r="H593" s="4" t="str">
        <f>IFERROR(_xlfn.XLOOKUP(G593,Listas!E:E,Listas!F:F,""),"")</f>
        <v>Operativo</v>
      </c>
      <c r="I593" s="46" t="str">
        <f>IFERROR(_xlfn.XLOOKUP(G593,Listas!E:E,Listas!G:G,""),"")</f>
        <v>Externo</v>
      </c>
      <c r="J593" s="43">
        <v>60000</v>
      </c>
      <c r="K593" s="5">
        <f t="shared" si="9"/>
        <v>-60000</v>
      </c>
      <c r="L593" s="15" t="s">
        <v>129</v>
      </c>
      <c r="M593" s="44">
        <f>SUMIFS('Saldos Iniciales'!$D:$D,'Saldos Iniciales'!$A:$A,C593,'Saldos Iniciales'!$B:$B,D593)+SUMIFS($K$1:$K$1324,$C$1:$C$1324,C593,$D$1:$D$1324,D593,$B$1:$B$1324,"&lt;="&amp;B593)</f>
        <v>1002754.9899999998</v>
      </c>
      <c r="N593" s="61" t="str">
        <f>IF(tblMovimientos[[#This Row],[Tipo de Movimiento]]="Ingreso",tblMovimientos[[#This Row],[Monto (S/)]],"0")</f>
        <v>0</v>
      </c>
      <c r="O593" s="61">
        <f>IF(tblMovimientos[[#This Row],[Tipo de Movimiento]]="Egreso",tblMovimientos[[#This Row],[Monto (S/)]],"0")</f>
        <v>60000</v>
      </c>
      <c r="P593" s="28">
        <f>IF(tblMovimientos[[#This Row],[Tipo de Movimiento]]="Ingreso",tblMovimientos[[#This Row],[Ingreso]],-tblMovimientos[[#This Row],[Egreso]])</f>
        <v>-60000</v>
      </c>
      <c r="Q593" s="78" t="str">
        <f>_xlfn.XLOOKUP(tblMovimientos[[#This Row],[Cuenta Bancaria]],Cuentas!$C:$C,Cuentas!$A:$A,"")&amp;""</f>
        <v>SSP Group</v>
      </c>
      <c r="R593" s="78" t="str">
        <f>_xlfn.XLOOKUP(tblMovimientos[[#This Row],[Cuenta Bancaria]],Cuentas!$C:$C,Cuentas!$B:$B,"",0,-1)&amp;""</f>
        <v/>
      </c>
    </row>
    <row r="594" spans="2:18" x14ac:dyDescent="0.3">
      <c r="B594" s="39">
        <v>46225</v>
      </c>
      <c r="C594" s="4" t="str">
        <f>_xlfn.XLOOKUP(tblMovimientos[[#This Row],[Cuenta Bancaria]],Listas!$B:$B,Listas!$A:$A,"")</f>
        <v>CFT Group</v>
      </c>
      <c r="D594" s="41" t="s">
        <v>94</v>
      </c>
      <c r="E594" s="68" t="str">
        <f>_xlfn.XLOOKUP(tblMovimientos[[#This Row],[Cuenta Bancaria]],Listas!$B:$B,Listas!$C:$C,"")</f>
        <v>Bank of America</v>
      </c>
      <c r="F594" s="41" t="s">
        <v>10</v>
      </c>
      <c r="G594" s="41" t="s">
        <v>62</v>
      </c>
      <c r="H594" s="4" t="str">
        <f>IFERROR(_xlfn.XLOOKUP(G594,Listas!E:E,Listas!F:F,""),"")</f>
        <v>Operativo</v>
      </c>
      <c r="I594" s="46" t="str">
        <f>IFERROR(_xlfn.XLOOKUP(G594,Listas!E:E,Listas!G:G,""),"")</f>
        <v>Interno</v>
      </c>
      <c r="J594" s="43">
        <v>15000</v>
      </c>
      <c r="K594" s="5">
        <f t="shared" si="9"/>
        <v>-15000</v>
      </c>
      <c r="L594" s="15" t="s">
        <v>129</v>
      </c>
      <c r="M594" s="44">
        <f>SUMIFS('Saldos Iniciales'!$D:$D,'Saldos Iniciales'!$A:$A,C594,'Saldos Iniciales'!$B:$B,D594)+SUMIFS($K$1:$K$1324,$C$1:$C$1324,C594,$D$1:$D$1324,D594,$B$1:$B$1324,"&lt;="&amp;B594)</f>
        <v>20588.359999999986</v>
      </c>
      <c r="N594" s="61" t="str">
        <f>IF(tblMovimientos[[#This Row],[Tipo de Movimiento]]="Ingreso",tblMovimientos[[#This Row],[Monto (S/)]],"0")</f>
        <v>0</v>
      </c>
      <c r="O594" s="61">
        <f>IF(tblMovimientos[[#This Row],[Tipo de Movimiento]]="Egreso",tblMovimientos[[#This Row],[Monto (S/)]],"0")</f>
        <v>15000</v>
      </c>
      <c r="P594" s="28">
        <f>IF(tblMovimientos[[#This Row],[Tipo de Movimiento]]="Ingreso",tblMovimientos[[#This Row],[Ingreso]],-tblMovimientos[[#This Row],[Egreso]])</f>
        <v>-15000</v>
      </c>
      <c r="Q594" s="78" t="str">
        <f>_xlfn.XLOOKUP(tblMovimientos[[#This Row],[Cuenta Bancaria]],Cuentas!$C:$C,Cuentas!$A:$A,"")&amp;""</f>
        <v>SSP Group</v>
      </c>
      <c r="R594" s="78" t="str">
        <f>_xlfn.XLOOKUP(tblMovimientos[[#This Row],[Cuenta Bancaria]],Cuentas!$C:$C,Cuentas!$B:$B,"",0,-1)&amp;""</f>
        <v/>
      </c>
    </row>
    <row r="595" spans="2:18" x14ac:dyDescent="0.3">
      <c r="B595" s="39">
        <v>46225</v>
      </c>
      <c r="C595" s="4" t="str">
        <f>_xlfn.XLOOKUP(tblMovimientos[[#This Row],[Cuenta Bancaria]],Listas!$B:$B,Listas!$A:$A,"")</f>
        <v>Go Blue</v>
      </c>
      <c r="D595" s="41" t="s">
        <v>165</v>
      </c>
      <c r="E595" s="68" t="str">
        <f>_xlfn.XLOOKUP(tblMovimientos[[#This Row],[Cuenta Bancaria]],Listas!$B:$B,Listas!$C:$C,"")</f>
        <v xml:space="preserve">Amerant Bank </v>
      </c>
      <c r="F595" s="41" t="s">
        <v>9</v>
      </c>
      <c r="G595" s="41" t="s">
        <v>85</v>
      </c>
      <c r="H595" s="4" t="str">
        <f>IFERROR(_xlfn.XLOOKUP(G595,Listas!E:E,Listas!F:F,""),"")</f>
        <v>Operativo</v>
      </c>
      <c r="I595" s="46" t="str">
        <f>IFERROR(_xlfn.XLOOKUP(G595,Listas!E:E,Listas!G:G,""),"")</f>
        <v>Interno</v>
      </c>
      <c r="J595" s="43">
        <v>5000</v>
      </c>
      <c r="K595" s="5">
        <f t="shared" si="9"/>
        <v>5000</v>
      </c>
      <c r="L595" s="15" t="s">
        <v>129</v>
      </c>
      <c r="M595" s="44">
        <f>SUMIFS('Saldos Iniciales'!$D:$D,'Saldos Iniciales'!$A:$A,C595,'Saldos Iniciales'!$B:$B,D595)+SUMIFS($K$1:$K$1324,$C$1:$C$1324,C595,$D$1:$D$1324,D595,$B$1:$B$1324,"&lt;="&amp;B595)</f>
        <v>5293.5800000000008</v>
      </c>
      <c r="N595" s="61">
        <f>IF(tblMovimientos[[#This Row],[Tipo de Movimiento]]="Ingreso",tblMovimientos[[#This Row],[Monto (S/)]],"0")</f>
        <v>5000</v>
      </c>
      <c r="O595" s="61" t="str">
        <f>IF(tblMovimientos[[#This Row],[Tipo de Movimiento]]="Egreso",tblMovimientos[[#This Row],[Monto (S/)]],"0")</f>
        <v>0</v>
      </c>
      <c r="P595" s="28">
        <f>IF(tblMovimientos[[#This Row],[Tipo de Movimiento]]="Ingreso",tblMovimientos[[#This Row],[Ingreso]],-tblMovimientos[[#This Row],[Egreso]])</f>
        <v>5000</v>
      </c>
      <c r="Q595" s="78" t="str">
        <f>_xlfn.XLOOKUP(tblMovimientos[[#This Row],[Cuenta Bancaria]],Cuentas!$C:$C,Cuentas!$A:$A,"")&amp;""</f>
        <v>SSP Group</v>
      </c>
      <c r="R595" s="78" t="str">
        <f>_xlfn.XLOOKUP(tblMovimientos[[#This Row],[Cuenta Bancaria]],Cuentas!$C:$C,Cuentas!$B:$B,"",0,-1)&amp;""</f>
        <v/>
      </c>
    </row>
    <row r="596" spans="2:18" x14ac:dyDescent="0.3">
      <c r="B596" s="39">
        <v>46225</v>
      </c>
      <c r="C596" s="4" t="str">
        <f>_xlfn.XLOOKUP(tblMovimientos[[#This Row],[Cuenta Bancaria]],Listas!$B:$B,Listas!$A:$A,"")</f>
        <v>Go Blue</v>
      </c>
      <c r="D596" s="41" t="s">
        <v>165</v>
      </c>
      <c r="E596" s="68" t="str">
        <f>_xlfn.XLOOKUP(tblMovimientos[[#This Row],[Cuenta Bancaria]],Listas!$B:$B,Listas!$C:$C,"")</f>
        <v xml:space="preserve">Amerant Bank </v>
      </c>
      <c r="F596" s="41" t="s">
        <v>10</v>
      </c>
      <c r="G596" s="41" t="s">
        <v>38</v>
      </c>
      <c r="H596" s="4" t="str">
        <f>IFERROR(_xlfn.XLOOKUP(G596,Listas!E:E,Listas!F:F,""),"")</f>
        <v>Operativo</v>
      </c>
      <c r="I596" s="46" t="str">
        <f>IFERROR(_xlfn.XLOOKUP(G596,Listas!E:E,Listas!G:G,""),"")</f>
        <v>Externo</v>
      </c>
      <c r="J596" s="43">
        <v>205.5</v>
      </c>
      <c r="K596" s="5">
        <f t="shared" si="9"/>
        <v>-205.5</v>
      </c>
      <c r="L596" s="15" t="s">
        <v>129</v>
      </c>
      <c r="M596" s="44">
        <f>SUMIFS('Saldos Iniciales'!$D:$D,'Saldos Iniciales'!$A:$A,C596,'Saldos Iniciales'!$B:$B,D596)+SUMIFS($K$1:$K$1324,$C$1:$C$1324,C596,$D$1:$D$1324,D596,$B$1:$B$1324,"&lt;="&amp;B596)</f>
        <v>5293.5800000000008</v>
      </c>
      <c r="N596" s="61" t="str">
        <f>IF(tblMovimientos[[#This Row],[Tipo de Movimiento]]="Ingreso",tblMovimientos[[#This Row],[Monto (S/)]],"0")</f>
        <v>0</v>
      </c>
      <c r="O596" s="61">
        <f>IF(tblMovimientos[[#This Row],[Tipo de Movimiento]]="Egreso",tblMovimientos[[#This Row],[Monto (S/)]],"0")</f>
        <v>205.5</v>
      </c>
      <c r="P596" s="28">
        <f>IF(tblMovimientos[[#This Row],[Tipo de Movimiento]]="Ingreso",tblMovimientos[[#This Row],[Ingreso]],-tblMovimientos[[#This Row],[Egreso]])</f>
        <v>-205.5</v>
      </c>
      <c r="Q596" s="78" t="str">
        <f>_xlfn.XLOOKUP(tblMovimientos[[#This Row],[Cuenta Bancaria]],Cuentas!$C:$C,Cuentas!$A:$A,"")&amp;""</f>
        <v>SSP Group</v>
      </c>
      <c r="R596" s="78" t="str">
        <f>_xlfn.XLOOKUP(tblMovimientos[[#This Row],[Cuenta Bancaria]],Cuentas!$C:$C,Cuentas!$B:$B,"",0,-1)&amp;""</f>
        <v/>
      </c>
    </row>
    <row r="597" spans="2:18" x14ac:dyDescent="0.3">
      <c r="B597" s="39">
        <v>46225</v>
      </c>
      <c r="C597" s="4" t="str">
        <f>_xlfn.XLOOKUP(tblMovimientos[[#This Row],[Cuenta Bancaria]],Listas!$B:$B,Listas!$A:$A,"")</f>
        <v>Go Blue</v>
      </c>
      <c r="D597" s="41" t="s">
        <v>165</v>
      </c>
      <c r="E597" s="68" t="str">
        <f>_xlfn.XLOOKUP(tblMovimientos[[#This Row],[Cuenta Bancaria]],Listas!$B:$B,Listas!$C:$C,"")</f>
        <v xml:space="preserve">Amerant Bank </v>
      </c>
      <c r="F597" s="41" t="s">
        <v>10</v>
      </c>
      <c r="G597" s="41" t="s">
        <v>38</v>
      </c>
      <c r="H597" s="4" t="str">
        <f>IFERROR(_xlfn.XLOOKUP(G597,Listas!E:E,Listas!F:F,""),"")</f>
        <v>Operativo</v>
      </c>
      <c r="I597" s="46" t="str">
        <f>IFERROR(_xlfn.XLOOKUP(G597,Listas!E:E,Listas!G:G,""),"")</f>
        <v>Externo</v>
      </c>
      <c r="J597" s="43">
        <v>84</v>
      </c>
      <c r="K597" s="5">
        <f t="shared" si="9"/>
        <v>-84</v>
      </c>
      <c r="L597" s="15" t="s">
        <v>129</v>
      </c>
      <c r="M597" s="44">
        <f>SUMIFS('Saldos Iniciales'!$D:$D,'Saldos Iniciales'!$A:$A,C597,'Saldos Iniciales'!$B:$B,D597)+SUMIFS($K$1:$K$1324,$C$1:$C$1324,C597,$D$1:$D$1324,D597,$B$1:$B$1324,"&lt;="&amp;B597)</f>
        <v>5293.5800000000008</v>
      </c>
      <c r="N597" s="61" t="str">
        <f>IF(tblMovimientos[[#This Row],[Tipo de Movimiento]]="Ingreso",tblMovimientos[[#This Row],[Monto (S/)]],"0")</f>
        <v>0</v>
      </c>
      <c r="O597" s="61">
        <f>IF(tblMovimientos[[#This Row],[Tipo de Movimiento]]="Egreso",tblMovimientos[[#This Row],[Monto (S/)]],"0")</f>
        <v>84</v>
      </c>
      <c r="P597" s="28">
        <f>IF(tblMovimientos[[#This Row],[Tipo de Movimiento]]="Ingreso",tblMovimientos[[#This Row],[Ingreso]],-tblMovimientos[[#This Row],[Egreso]])</f>
        <v>-84</v>
      </c>
      <c r="Q597" s="78" t="str">
        <f>_xlfn.XLOOKUP(tblMovimientos[[#This Row],[Cuenta Bancaria]],Cuentas!$C:$C,Cuentas!$A:$A,"")&amp;""</f>
        <v>SSP Group</v>
      </c>
      <c r="R597" s="78" t="str">
        <f>_xlfn.XLOOKUP(tblMovimientos[[#This Row],[Cuenta Bancaria]],Cuentas!$C:$C,Cuentas!$B:$B,"",0,-1)&amp;""</f>
        <v/>
      </c>
    </row>
    <row r="598" spans="2:18" x14ac:dyDescent="0.3">
      <c r="B598" s="39">
        <v>46225</v>
      </c>
      <c r="C598" s="4" t="str">
        <f>_xlfn.XLOOKUP(tblMovimientos[[#This Row],[Cuenta Bancaria]],Listas!$B:$B,Listas!$A:$A,"")</f>
        <v>CFT Group</v>
      </c>
      <c r="D598" s="41" t="s">
        <v>95</v>
      </c>
      <c r="E598" s="68" t="str">
        <f>_xlfn.XLOOKUP(tblMovimientos[[#This Row],[Cuenta Bancaria]],Listas!$B:$B,Listas!$C:$C,"")</f>
        <v xml:space="preserve">Amerant Bank </v>
      </c>
      <c r="F598" s="41" t="s">
        <v>10</v>
      </c>
      <c r="G598" s="41" t="s">
        <v>46</v>
      </c>
      <c r="H598" s="4" t="str">
        <f>IFERROR(_xlfn.XLOOKUP(G598,Listas!E:E,Listas!F:F,""),"")</f>
        <v>Financiamiento</v>
      </c>
      <c r="I598" s="46" t="str">
        <f>IFERROR(_xlfn.XLOOKUP(G598,Listas!E:E,Listas!G:G,""),"")</f>
        <v>Externo</v>
      </c>
      <c r="J598" s="43">
        <v>10000</v>
      </c>
      <c r="K598" s="5">
        <f t="shared" si="9"/>
        <v>-10000</v>
      </c>
      <c r="L598" s="15" t="s">
        <v>129</v>
      </c>
      <c r="M598" s="44">
        <f>SUMIFS('Saldos Iniciales'!$D:$D,'Saldos Iniciales'!$A:$A,C598,'Saldos Iniciales'!$B:$B,D598)+SUMIFS($K$1:$K$1324,$C$1:$C$1324,C598,$D$1:$D$1324,D598,$B$1:$B$1324,"&lt;="&amp;B598)</f>
        <v>2229911.3500000006</v>
      </c>
      <c r="N598" s="61" t="str">
        <f>IF(tblMovimientos[[#This Row],[Tipo de Movimiento]]="Ingreso",tblMovimientos[[#This Row],[Monto (S/)]],"0")</f>
        <v>0</v>
      </c>
      <c r="O598" s="61">
        <f>IF(tblMovimientos[[#This Row],[Tipo de Movimiento]]="Egreso",tblMovimientos[[#This Row],[Monto (S/)]],"0")</f>
        <v>10000</v>
      </c>
      <c r="P598" s="28">
        <f>IF(tblMovimientos[[#This Row],[Tipo de Movimiento]]="Ingreso",tblMovimientos[[#This Row],[Ingreso]],-tblMovimientos[[#This Row],[Egreso]])</f>
        <v>-10000</v>
      </c>
      <c r="Q598" s="78" t="str">
        <f>_xlfn.XLOOKUP(tblMovimientos[[#This Row],[Cuenta Bancaria]],Cuentas!$C:$C,Cuentas!$A:$A,"")&amp;""</f>
        <v>SSP Group</v>
      </c>
      <c r="R598" s="78" t="str">
        <f>_xlfn.XLOOKUP(tblMovimientos[[#This Row],[Cuenta Bancaria]],Cuentas!$C:$C,Cuentas!$B:$B,"",0,-1)&amp;""</f>
        <v/>
      </c>
    </row>
    <row r="599" spans="2:18" x14ac:dyDescent="0.3">
      <c r="B599" s="39">
        <v>46225</v>
      </c>
      <c r="C599" s="4" t="str">
        <f>_xlfn.XLOOKUP(tblMovimientos[[#This Row],[Cuenta Bancaria]],Listas!$B:$B,Listas!$A:$A,"")</f>
        <v>CFT Group</v>
      </c>
      <c r="D599" s="41" t="s">
        <v>95</v>
      </c>
      <c r="E599" s="68" t="str">
        <f>_xlfn.XLOOKUP(tblMovimientos[[#This Row],[Cuenta Bancaria]],Listas!$B:$B,Listas!$C:$C,"")</f>
        <v xml:space="preserve">Amerant Bank </v>
      </c>
      <c r="F599" s="41" t="s">
        <v>10</v>
      </c>
      <c r="G599" s="41" t="s">
        <v>46</v>
      </c>
      <c r="H599" s="4" t="str">
        <f>IFERROR(_xlfn.XLOOKUP(G599,Listas!E:E,Listas!F:F,""),"")</f>
        <v>Financiamiento</v>
      </c>
      <c r="I599" s="46" t="str">
        <f>IFERROR(_xlfn.XLOOKUP(G599,Listas!E:E,Listas!G:G,""),"")</f>
        <v>Externo</v>
      </c>
      <c r="J599" s="43">
        <v>10833.33</v>
      </c>
      <c r="K599" s="5">
        <f t="shared" si="9"/>
        <v>-10833.33</v>
      </c>
      <c r="L599" s="15" t="s">
        <v>129</v>
      </c>
      <c r="M599" s="44">
        <f>SUMIFS('Saldos Iniciales'!$D:$D,'Saldos Iniciales'!$A:$A,C599,'Saldos Iniciales'!$B:$B,D599)+SUMIFS($K$1:$K$1324,$C$1:$C$1324,C599,$D$1:$D$1324,D599,$B$1:$B$1324,"&lt;="&amp;B599)</f>
        <v>2229911.3500000006</v>
      </c>
      <c r="N599" s="61" t="str">
        <f>IF(tblMovimientos[[#This Row],[Tipo de Movimiento]]="Ingreso",tblMovimientos[[#This Row],[Monto (S/)]],"0")</f>
        <v>0</v>
      </c>
      <c r="O599" s="61">
        <f>IF(tblMovimientos[[#This Row],[Tipo de Movimiento]]="Egreso",tblMovimientos[[#This Row],[Monto (S/)]],"0")</f>
        <v>10833.33</v>
      </c>
      <c r="P599" s="28">
        <f>IF(tblMovimientos[[#This Row],[Tipo de Movimiento]]="Ingreso",tblMovimientos[[#This Row],[Ingreso]],-tblMovimientos[[#This Row],[Egreso]])</f>
        <v>-10833.33</v>
      </c>
      <c r="Q599" s="78" t="str">
        <f>_xlfn.XLOOKUP(tblMovimientos[[#This Row],[Cuenta Bancaria]],Cuentas!$C:$C,Cuentas!$A:$A,"")&amp;""</f>
        <v>SSP Group</v>
      </c>
      <c r="R599" s="78" t="str">
        <f>_xlfn.XLOOKUP(tblMovimientos[[#This Row],[Cuenta Bancaria]],Cuentas!$C:$C,Cuentas!$B:$B,"",0,-1)&amp;""</f>
        <v/>
      </c>
    </row>
    <row r="600" spans="2:18" x14ac:dyDescent="0.3">
      <c r="B600" s="39">
        <v>46225</v>
      </c>
      <c r="C600" s="4" t="str">
        <f>_xlfn.XLOOKUP(tblMovimientos[[#This Row],[Cuenta Bancaria]],Listas!$B:$B,Listas!$A:$A,"")</f>
        <v>CFT Group</v>
      </c>
      <c r="D600" s="41" t="s">
        <v>95</v>
      </c>
      <c r="E600" s="68" t="str">
        <f>_xlfn.XLOOKUP(tblMovimientos[[#This Row],[Cuenta Bancaria]],Listas!$B:$B,Listas!$C:$C,"")</f>
        <v xml:space="preserve">Amerant Bank </v>
      </c>
      <c r="F600" s="41" t="s">
        <v>10</v>
      </c>
      <c r="G600" s="41" t="s">
        <v>61</v>
      </c>
      <c r="H600" s="4" t="str">
        <f>IFERROR(_xlfn.XLOOKUP(G600,Listas!E:E,Listas!F:F,""),"")</f>
        <v>Operativo</v>
      </c>
      <c r="I600" s="46" t="str">
        <f>IFERROR(_xlfn.XLOOKUP(G600,Listas!E:E,Listas!G:G,""),"")</f>
        <v>Externo</v>
      </c>
      <c r="J600" s="43">
        <v>40000</v>
      </c>
      <c r="K600" s="5">
        <f t="shared" si="9"/>
        <v>-40000</v>
      </c>
      <c r="L600" s="15" t="s">
        <v>129</v>
      </c>
      <c r="M600" s="44">
        <f>SUMIFS('Saldos Iniciales'!$D:$D,'Saldos Iniciales'!$A:$A,C600,'Saldos Iniciales'!$B:$B,D600)+SUMIFS($K$1:$K$1324,$C$1:$C$1324,C600,$D$1:$D$1324,D600,$B$1:$B$1324,"&lt;="&amp;B600)</f>
        <v>2229911.3500000006</v>
      </c>
      <c r="N600" s="61" t="str">
        <f>IF(tblMovimientos[[#This Row],[Tipo de Movimiento]]="Ingreso",tblMovimientos[[#This Row],[Monto (S/)]],"0")</f>
        <v>0</v>
      </c>
      <c r="O600" s="61">
        <f>IF(tblMovimientos[[#This Row],[Tipo de Movimiento]]="Egreso",tblMovimientos[[#This Row],[Monto (S/)]],"0")</f>
        <v>40000</v>
      </c>
      <c r="P600" s="28">
        <f>IF(tblMovimientos[[#This Row],[Tipo de Movimiento]]="Ingreso",tblMovimientos[[#This Row],[Ingreso]],-tblMovimientos[[#This Row],[Egreso]])</f>
        <v>-40000</v>
      </c>
      <c r="Q600" s="78" t="str">
        <f>_xlfn.XLOOKUP(tblMovimientos[[#This Row],[Cuenta Bancaria]],Cuentas!$C:$C,Cuentas!$A:$A,"")&amp;""</f>
        <v>SSP Group</v>
      </c>
      <c r="R600" s="78" t="str">
        <f>_xlfn.XLOOKUP(tblMovimientos[[#This Row],[Cuenta Bancaria]],Cuentas!$C:$C,Cuentas!$B:$B,"",0,-1)&amp;""</f>
        <v/>
      </c>
    </row>
    <row r="601" spans="2:18" x14ac:dyDescent="0.3">
      <c r="B601" s="39">
        <v>46225</v>
      </c>
      <c r="C601" s="4" t="str">
        <f>_xlfn.XLOOKUP(tblMovimientos[[#This Row],[Cuenta Bancaria]],Listas!$B:$B,Listas!$A:$A,"")</f>
        <v>CFT Group</v>
      </c>
      <c r="D601" s="41" t="s">
        <v>95</v>
      </c>
      <c r="E601" s="68" t="str">
        <f>_xlfn.XLOOKUP(tblMovimientos[[#This Row],[Cuenta Bancaria]],Listas!$B:$B,Listas!$C:$C,"")</f>
        <v xml:space="preserve">Amerant Bank </v>
      </c>
      <c r="F601" s="41" t="s">
        <v>10</v>
      </c>
      <c r="G601" s="41" t="s">
        <v>61</v>
      </c>
      <c r="H601" s="4" t="str">
        <f>IFERROR(_xlfn.XLOOKUP(G601,Listas!E:E,Listas!F:F,""),"")</f>
        <v>Operativo</v>
      </c>
      <c r="I601" s="46" t="str">
        <f>IFERROR(_xlfn.XLOOKUP(G601,Listas!E:E,Listas!G:G,""),"")</f>
        <v>Externo</v>
      </c>
      <c r="J601" s="43">
        <v>50000</v>
      </c>
      <c r="K601" s="5">
        <f t="shared" si="9"/>
        <v>-50000</v>
      </c>
      <c r="L601" s="15" t="s">
        <v>129</v>
      </c>
      <c r="M601" s="44">
        <f>SUMIFS('Saldos Iniciales'!$D:$D,'Saldos Iniciales'!$A:$A,C601,'Saldos Iniciales'!$B:$B,D601)+SUMIFS($K$1:$K$1324,$C$1:$C$1324,C601,$D$1:$D$1324,D601,$B$1:$B$1324,"&lt;="&amp;B601)</f>
        <v>2229911.3500000006</v>
      </c>
      <c r="N601" s="61" t="str">
        <f>IF(tblMovimientos[[#This Row],[Tipo de Movimiento]]="Ingreso",tblMovimientos[[#This Row],[Monto (S/)]],"0")</f>
        <v>0</v>
      </c>
      <c r="O601" s="61">
        <f>IF(tblMovimientos[[#This Row],[Tipo de Movimiento]]="Egreso",tblMovimientos[[#This Row],[Monto (S/)]],"0")</f>
        <v>50000</v>
      </c>
      <c r="P601" s="28">
        <f>IF(tblMovimientos[[#This Row],[Tipo de Movimiento]]="Ingreso",tblMovimientos[[#This Row],[Ingreso]],-tblMovimientos[[#This Row],[Egreso]])</f>
        <v>-50000</v>
      </c>
      <c r="Q601" s="78" t="str">
        <f>_xlfn.XLOOKUP(tblMovimientos[[#This Row],[Cuenta Bancaria]],Cuentas!$C:$C,Cuentas!$A:$A,"")&amp;""</f>
        <v>SSP Group</v>
      </c>
      <c r="R601" s="78" t="str">
        <f>_xlfn.XLOOKUP(tblMovimientos[[#This Row],[Cuenta Bancaria]],Cuentas!$C:$C,Cuentas!$B:$B,"",0,-1)&amp;""</f>
        <v/>
      </c>
    </row>
    <row r="602" spans="2:18" x14ac:dyDescent="0.3">
      <c r="B602" s="39">
        <v>46225</v>
      </c>
      <c r="C602" s="4" t="str">
        <f>_xlfn.XLOOKUP(tblMovimientos[[#This Row],[Cuenta Bancaria]],Listas!$B:$B,Listas!$A:$A,"")</f>
        <v>CFT Group</v>
      </c>
      <c r="D602" s="41" t="s">
        <v>95</v>
      </c>
      <c r="E602" s="68" t="str">
        <f>_xlfn.XLOOKUP(tblMovimientos[[#This Row],[Cuenta Bancaria]],Listas!$B:$B,Listas!$C:$C,"")</f>
        <v xml:space="preserve">Amerant Bank </v>
      </c>
      <c r="F602" s="41" t="s">
        <v>10</v>
      </c>
      <c r="G602" s="41" t="s">
        <v>61</v>
      </c>
      <c r="H602" s="4" t="str">
        <f>IFERROR(_xlfn.XLOOKUP(G602,Listas!E:E,Listas!F:F,""),"")</f>
        <v>Operativo</v>
      </c>
      <c r="I602" s="46" t="str">
        <f>IFERROR(_xlfn.XLOOKUP(G602,Listas!E:E,Listas!G:G,""),"")</f>
        <v>Externo</v>
      </c>
      <c r="J602" s="43">
        <v>60000</v>
      </c>
      <c r="K602" s="5">
        <f t="shared" si="9"/>
        <v>-60000</v>
      </c>
      <c r="L602" s="15" t="s">
        <v>129</v>
      </c>
      <c r="M602" s="44">
        <f>SUMIFS('Saldos Iniciales'!$D:$D,'Saldos Iniciales'!$A:$A,C602,'Saldos Iniciales'!$B:$B,D602)+SUMIFS($K$1:$K$1324,$C$1:$C$1324,C602,$D$1:$D$1324,D602,$B$1:$B$1324,"&lt;="&amp;B602)</f>
        <v>2229911.3500000006</v>
      </c>
      <c r="N602" s="61" t="str">
        <f>IF(tblMovimientos[[#This Row],[Tipo de Movimiento]]="Ingreso",tblMovimientos[[#This Row],[Monto (S/)]],"0")</f>
        <v>0</v>
      </c>
      <c r="O602" s="61">
        <f>IF(tblMovimientos[[#This Row],[Tipo de Movimiento]]="Egreso",tblMovimientos[[#This Row],[Monto (S/)]],"0")</f>
        <v>60000</v>
      </c>
      <c r="P602" s="28">
        <f>IF(tblMovimientos[[#This Row],[Tipo de Movimiento]]="Ingreso",tblMovimientos[[#This Row],[Ingreso]],-tblMovimientos[[#This Row],[Egreso]])</f>
        <v>-60000</v>
      </c>
      <c r="Q602" s="78" t="str">
        <f>_xlfn.XLOOKUP(tblMovimientos[[#This Row],[Cuenta Bancaria]],Cuentas!$C:$C,Cuentas!$A:$A,"")&amp;""</f>
        <v>SSP Group</v>
      </c>
      <c r="R602" s="78" t="str">
        <f>_xlfn.XLOOKUP(tblMovimientos[[#This Row],[Cuenta Bancaria]],Cuentas!$C:$C,Cuentas!$B:$B,"",0,-1)&amp;""</f>
        <v/>
      </c>
    </row>
    <row r="603" spans="2:18" x14ac:dyDescent="0.3">
      <c r="B603" s="39">
        <v>46225</v>
      </c>
      <c r="C603" s="4" t="str">
        <f>_xlfn.XLOOKUP(tblMovimientos[[#This Row],[Cuenta Bancaria]],Listas!$B:$B,Listas!$A:$A,"")</f>
        <v>CFT Group</v>
      </c>
      <c r="D603" s="41" t="s">
        <v>95</v>
      </c>
      <c r="E603" s="68" t="str">
        <f>_xlfn.XLOOKUP(tblMovimientos[[#This Row],[Cuenta Bancaria]],Listas!$B:$B,Listas!$C:$C,"")</f>
        <v xml:space="preserve">Amerant Bank </v>
      </c>
      <c r="F603" s="41" t="s">
        <v>10</v>
      </c>
      <c r="G603" s="41" t="s">
        <v>46</v>
      </c>
      <c r="H603" s="4" t="str">
        <f>IFERROR(_xlfn.XLOOKUP(G603,Listas!E:E,Listas!F:F,""),"")</f>
        <v>Financiamiento</v>
      </c>
      <c r="I603" s="46" t="str">
        <f>IFERROR(_xlfn.XLOOKUP(G603,Listas!E:E,Listas!G:G,""),"")</f>
        <v>Externo</v>
      </c>
      <c r="J603" s="43">
        <v>68750</v>
      </c>
      <c r="K603" s="5">
        <f t="shared" si="9"/>
        <v>-68750</v>
      </c>
      <c r="L603" s="15" t="s">
        <v>129</v>
      </c>
      <c r="M603" s="44">
        <f>SUMIFS('Saldos Iniciales'!$D:$D,'Saldos Iniciales'!$A:$A,C603,'Saldos Iniciales'!$B:$B,D603)+SUMIFS($K$1:$K$1324,$C$1:$C$1324,C603,$D$1:$D$1324,D603,$B$1:$B$1324,"&lt;="&amp;B603)</f>
        <v>2229911.3500000006</v>
      </c>
      <c r="N603" s="61" t="str">
        <f>IF(tblMovimientos[[#This Row],[Tipo de Movimiento]]="Ingreso",tblMovimientos[[#This Row],[Monto (S/)]],"0")</f>
        <v>0</v>
      </c>
      <c r="O603" s="61">
        <f>IF(tblMovimientos[[#This Row],[Tipo de Movimiento]]="Egreso",tblMovimientos[[#This Row],[Monto (S/)]],"0")</f>
        <v>68750</v>
      </c>
      <c r="P603" s="28">
        <f>IF(tblMovimientos[[#This Row],[Tipo de Movimiento]]="Ingreso",tblMovimientos[[#This Row],[Ingreso]],-tblMovimientos[[#This Row],[Egreso]])</f>
        <v>-68750</v>
      </c>
      <c r="Q603" s="78" t="str">
        <f>_xlfn.XLOOKUP(tblMovimientos[[#This Row],[Cuenta Bancaria]],Cuentas!$C:$C,Cuentas!$A:$A,"")&amp;""</f>
        <v>SSP Group</v>
      </c>
      <c r="R603" s="78" t="str">
        <f>_xlfn.XLOOKUP(tblMovimientos[[#This Row],[Cuenta Bancaria]],Cuentas!$C:$C,Cuentas!$B:$B,"",0,-1)&amp;""</f>
        <v/>
      </c>
    </row>
    <row r="604" spans="2:18" x14ac:dyDescent="0.3">
      <c r="B604" s="39">
        <v>46225</v>
      </c>
      <c r="C604" s="4" t="str">
        <f>_xlfn.XLOOKUP(tblMovimientos[[#This Row],[Cuenta Bancaria]],Listas!$B:$B,Listas!$A:$A,"")</f>
        <v>CFT Group</v>
      </c>
      <c r="D604" s="41" t="s">
        <v>95</v>
      </c>
      <c r="E604" s="68" t="str">
        <f>_xlfn.XLOOKUP(tblMovimientos[[#This Row],[Cuenta Bancaria]],Listas!$B:$B,Listas!$C:$C,"")</f>
        <v xml:space="preserve">Amerant Bank </v>
      </c>
      <c r="F604" s="41" t="s">
        <v>10</v>
      </c>
      <c r="G604" s="41" t="s">
        <v>61</v>
      </c>
      <c r="H604" s="4" t="str">
        <f>IFERROR(_xlfn.XLOOKUP(G604,Listas!E:E,Listas!F:F,""),"")</f>
        <v>Operativo</v>
      </c>
      <c r="I604" s="46" t="str">
        <f>IFERROR(_xlfn.XLOOKUP(G604,Listas!E:E,Listas!G:G,""),"")</f>
        <v>Externo</v>
      </c>
      <c r="J604" s="43">
        <v>100000</v>
      </c>
      <c r="K604" s="5">
        <f t="shared" si="9"/>
        <v>-100000</v>
      </c>
      <c r="L604" s="15" t="s">
        <v>129</v>
      </c>
      <c r="M604" s="44">
        <f>SUMIFS('Saldos Iniciales'!$D:$D,'Saldos Iniciales'!$A:$A,C604,'Saldos Iniciales'!$B:$B,D604)+SUMIFS($K$1:$K$1324,$C$1:$C$1324,C604,$D$1:$D$1324,D604,$B$1:$B$1324,"&lt;="&amp;B604)</f>
        <v>2229911.3500000006</v>
      </c>
      <c r="N604" s="61" t="str">
        <f>IF(tblMovimientos[[#This Row],[Tipo de Movimiento]]="Ingreso",tblMovimientos[[#This Row],[Monto (S/)]],"0")</f>
        <v>0</v>
      </c>
      <c r="O604" s="61">
        <f>IF(tblMovimientos[[#This Row],[Tipo de Movimiento]]="Egreso",tblMovimientos[[#This Row],[Monto (S/)]],"0")</f>
        <v>100000</v>
      </c>
      <c r="P604" s="28">
        <f>IF(tblMovimientos[[#This Row],[Tipo de Movimiento]]="Ingreso",tblMovimientos[[#This Row],[Ingreso]],-tblMovimientos[[#This Row],[Egreso]])</f>
        <v>-100000</v>
      </c>
      <c r="Q604" s="78" t="str">
        <f>_xlfn.XLOOKUP(tblMovimientos[[#This Row],[Cuenta Bancaria]],Cuentas!$C:$C,Cuentas!$A:$A,"")&amp;""</f>
        <v>SSP Group</v>
      </c>
      <c r="R604" s="78" t="str">
        <f>_xlfn.XLOOKUP(tblMovimientos[[#This Row],[Cuenta Bancaria]],Cuentas!$C:$C,Cuentas!$B:$B,"",0,-1)&amp;""</f>
        <v/>
      </c>
    </row>
    <row r="605" spans="2:18" x14ac:dyDescent="0.3">
      <c r="B605" s="39">
        <v>46225</v>
      </c>
      <c r="C605" s="4" t="str">
        <f>_xlfn.XLOOKUP(tblMovimientos[[#This Row],[Cuenta Bancaria]],Listas!$B:$B,Listas!$A:$A,"")</f>
        <v>CFT Group</v>
      </c>
      <c r="D605" s="41" t="s">
        <v>95</v>
      </c>
      <c r="E605" s="68" t="str">
        <f>_xlfn.XLOOKUP(tblMovimientos[[#This Row],[Cuenta Bancaria]],Listas!$B:$B,Listas!$C:$C,"")</f>
        <v xml:space="preserve">Amerant Bank </v>
      </c>
      <c r="F605" s="41" t="s">
        <v>10</v>
      </c>
      <c r="G605" s="41" t="s">
        <v>62</v>
      </c>
      <c r="H605" s="4" t="str">
        <f>IFERROR(_xlfn.XLOOKUP(G605,Listas!E:E,Listas!F:F,""),"")</f>
        <v>Operativo</v>
      </c>
      <c r="I605" s="46" t="str">
        <f>IFERROR(_xlfn.XLOOKUP(G605,Listas!E:E,Listas!G:G,""),"")</f>
        <v>Interno</v>
      </c>
      <c r="J605" s="43">
        <v>500000</v>
      </c>
      <c r="K605" s="5">
        <f t="shared" si="9"/>
        <v>-500000</v>
      </c>
      <c r="L605" s="15" t="s">
        <v>129</v>
      </c>
      <c r="M605" s="44">
        <f>SUMIFS('Saldos Iniciales'!$D:$D,'Saldos Iniciales'!$A:$A,C605,'Saldos Iniciales'!$B:$B,D605)+SUMIFS($K$1:$K$1324,$C$1:$C$1324,C605,$D$1:$D$1324,D605,$B$1:$B$1324,"&lt;="&amp;B605)</f>
        <v>2229911.3500000006</v>
      </c>
      <c r="N605" s="61" t="str">
        <f>IF(tblMovimientos[[#This Row],[Tipo de Movimiento]]="Ingreso",tblMovimientos[[#This Row],[Monto (S/)]],"0")</f>
        <v>0</v>
      </c>
      <c r="O605" s="61">
        <f>IF(tblMovimientos[[#This Row],[Tipo de Movimiento]]="Egreso",tblMovimientos[[#This Row],[Monto (S/)]],"0")</f>
        <v>500000</v>
      </c>
      <c r="P605" s="28">
        <f>IF(tblMovimientos[[#This Row],[Tipo de Movimiento]]="Ingreso",tblMovimientos[[#This Row],[Ingreso]],-tblMovimientos[[#This Row],[Egreso]])</f>
        <v>-500000</v>
      </c>
      <c r="Q605" s="78" t="str">
        <f>_xlfn.XLOOKUP(tblMovimientos[[#This Row],[Cuenta Bancaria]],Cuentas!$C:$C,Cuentas!$A:$A,"")&amp;""</f>
        <v>SSP Group</v>
      </c>
      <c r="R605" s="78" t="str">
        <f>_xlfn.XLOOKUP(tblMovimientos[[#This Row],[Cuenta Bancaria]],Cuentas!$C:$C,Cuentas!$B:$B,"",0,-1)&amp;""</f>
        <v/>
      </c>
    </row>
    <row r="606" spans="2:18" x14ac:dyDescent="0.3">
      <c r="B606" s="39">
        <v>46225</v>
      </c>
      <c r="C606" s="4" t="str">
        <f>_xlfn.XLOOKUP(tblMovimientos[[#This Row],[Cuenta Bancaria]],Listas!$B:$B,Listas!$A:$A,"")</f>
        <v>SSP Capital</v>
      </c>
      <c r="D606" s="41" t="s">
        <v>104</v>
      </c>
      <c r="E606" s="68" t="str">
        <f>_xlfn.XLOOKUP(tblMovimientos[[#This Row],[Cuenta Bancaria]],Listas!$B:$B,Listas!$C:$C,"")</f>
        <v xml:space="preserve">Amerant Bank </v>
      </c>
      <c r="F606" s="41" t="s">
        <v>9</v>
      </c>
      <c r="G606" s="41" t="s">
        <v>75</v>
      </c>
      <c r="H606" s="4" t="str">
        <f>IFERROR(_xlfn.XLOOKUP(G606,Listas!E:E,Listas!F:F,""),"")</f>
        <v>Financiamiento</v>
      </c>
      <c r="I606" s="46" t="str">
        <f>IFERROR(_xlfn.XLOOKUP(G606,Listas!E:E,Listas!G:G,""),"")</f>
        <v>Interno</v>
      </c>
      <c r="J606" s="43">
        <v>500000</v>
      </c>
      <c r="K606" s="5">
        <f t="shared" si="9"/>
        <v>500000</v>
      </c>
      <c r="L606" s="15" t="s">
        <v>129</v>
      </c>
      <c r="M606" s="44">
        <f>SUMIFS('Saldos Iniciales'!$D:$D,'Saldos Iniciales'!$A:$A,C606,'Saldos Iniciales'!$B:$B,D606)+SUMIFS($K$1:$K$1324,$C$1:$C$1324,C606,$D$1:$D$1324,D606,$B$1:$B$1324,"&lt;="&amp;B606)</f>
        <v>1199397.2799999993</v>
      </c>
      <c r="N606" s="61">
        <f>IF(tblMovimientos[[#This Row],[Tipo de Movimiento]]="Ingreso",tblMovimientos[[#This Row],[Monto (S/)]],"0")</f>
        <v>500000</v>
      </c>
      <c r="O606" s="61" t="str">
        <f>IF(tblMovimientos[[#This Row],[Tipo de Movimiento]]="Egreso",tblMovimientos[[#This Row],[Monto (S/)]],"0")</f>
        <v>0</v>
      </c>
      <c r="P606" s="28">
        <f>IF(tblMovimientos[[#This Row],[Tipo de Movimiento]]="Ingreso",tblMovimientos[[#This Row],[Ingreso]],-tblMovimientos[[#This Row],[Egreso]])</f>
        <v>500000</v>
      </c>
      <c r="Q606" s="78" t="str">
        <f>_xlfn.XLOOKUP(tblMovimientos[[#This Row],[Cuenta Bancaria]],Cuentas!$C:$C,Cuentas!$A:$A,"")&amp;""</f>
        <v>SSP Group</v>
      </c>
      <c r="R606" s="78" t="str">
        <f>_xlfn.XLOOKUP(tblMovimientos[[#This Row],[Cuenta Bancaria]],Cuentas!$C:$C,Cuentas!$B:$B,"",0,-1)&amp;""</f>
        <v/>
      </c>
    </row>
    <row r="607" spans="2:18" x14ac:dyDescent="0.3">
      <c r="B607" s="39">
        <v>46225</v>
      </c>
      <c r="C607" s="4" t="str">
        <f>_xlfn.XLOOKUP(tblMovimientos[[#This Row],[Cuenta Bancaria]],Listas!$B:$B,Listas!$A:$A,"")</f>
        <v>SSP Capital</v>
      </c>
      <c r="D607" s="41" t="s">
        <v>104</v>
      </c>
      <c r="E607" s="68" t="str">
        <f>_xlfn.XLOOKUP(tblMovimientos[[#This Row],[Cuenta Bancaria]],Listas!$B:$B,Listas!$C:$C,"")</f>
        <v xml:space="preserve">Amerant Bank </v>
      </c>
      <c r="F607" s="41" t="s">
        <v>10</v>
      </c>
      <c r="G607" s="41" t="s">
        <v>38</v>
      </c>
      <c r="H607" s="4" t="str">
        <f>IFERROR(_xlfn.XLOOKUP(G607,Listas!E:E,Listas!F:F,""),"")</f>
        <v>Operativo</v>
      </c>
      <c r="I607" s="46" t="str">
        <f>IFERROR(_xlfn.XLOOKUP(G607,Listas!E:E,Listas!G:G,""),"")</f>
        <v>Externo</v>
      </c>
      <c r="J607" s="43">
        <v>4939.9799999999996</v>
      </c>
      <c r="K607" s="5">
        <f t="shared" si="9"/>
        <v>-4939.9799999999996</v>
      </c>
      <c r="L607" s="15" t="s">
        <v>129</v>
      </c>
      <c r="M607" s="44">
        <f>SUMIFS('Saldos Iniciales'!$D:$D,'Saldos Iniciales'!$A:$A,C607,'Saldos Iniciales'!$B:$B,D607)+SUMIFS($K$1:$K$1324,$C$1:$C$1324,C607,$D$1:$D$1324,D607,$B$1:$B$1324,"&lt;="&amp;B607)</f>
        <v>1199397.2799999993</v>
      </c>
      <c r="N607" s="61" t="str">
        <f>IF(tblMovimientos[[#This Row],[Tipo de Movimiento]]="Ingreso",tblMovimientos[[#This Row],[Monto (S/)]],"0")</f>
        <v>0</v>
      </c>
      <c r="O607" s="61">
        <f>IF(tblMovimientos[[#This Row],[Tipo de Movimiento]]="Egreso",tblMovimientos[[#This Row],[Monto (S/)]],"0")</f>
        <v>4939.9799999999996</v>
      </c>
      <c r="P607" s="28">
        <f>IF(tblMovimientos[[#This Row],[Tipo de Movimiento]]="Ingreso",tblMovimientos[[#This Row],[Ingreso]],-tblMovimientos[[#This Row],[Egreso]])</f>
        <v>-4939.9799999999996</v>
      </c>
      <c r="Q607" s="78" t="str">
        <f>_xlfn.XLOOKUP(tblMovimientos[[#This Row],[Cuenta Bancaria]],Cuentas!$C:$C,Cuentas!$A:$A,"")&amp;""</f>
        <v>SSP Group</v>
      </c>
      <c r="R607" s="78" t="str">
        <f>_xlfn.XLOOKUP(tblMovimientos[[#This Row],[Cuenta Bancaria]],Cuentas!$C:$C,Cuentas!$B:$B,"",0,-1)&amp;""</f>
        <v/>
      </c>
    </row>
    <row r="608" spans="2:18" x14ac:dyDescent="0.3">
      <c r="B608" s="39">
        <v>46225</v>
      </c>
      <c r="C608" s="4" t="str">
        <f>_xlfn.XLOOKUP(tblMovimientos[[#This Row],[Cuenta Bancaria]],Listas!$B:$B,Listas!$A:$A,"")</f>
        <v>SSP Capital</v>
      </c>
      <c r="D608" s="41" t="s">
        <v>104</v>
      </c>
      <c r="E608" s="68" t="str">
        <f>_xlfn.XLOOKUP(tblMovimientos[[#This Row],[Cuenta Bancaria]],Listas!$B:$B,Listas!$C:$C,"")</f>
        <v xml:space="preserve">Amerant Bank </v>
      </c>
      <c r="F608" s="41" t="s">
        <v>10</v>
      </c>
      <c r="G608" s="41" t="s">
        <v>38</v>
      </c>
      <c r="H608" s="4" t="str">
        <f>IFERROR(_xlfn.XLOOKUP(G608,Listas!E:E,Listas!F:F,""),"")</f>
        <v>Operativo</v>
      </c>
      <c r="I608" s="46" t="str">
        <f>IFERROR(_xlfn.XLOOKUP(G608,Listas!E:E,Listas!G:G,""),"")</f>
        <v>Externo</v>
      </c>
      <c r="J608" s="43">
        <v>8666.67</v>
      </c>
      <c r="K608" s="5">
        <f t="shared" si="9"/>
        <v>-8666.67</v>
      </c>
      <c r="L608" s="15" t="s">
        <v>129</v>
      </c>
      <c r="M608" s="44">
        <f>SUMIFS('Saldos Iniciales'!$D:$D,'Saldos Iniciales'!$A:$A,C608,'Saldos Iniciales'!$B:$B,D608)+SUMIFS($K$1:$K$1324,$C$1:$C$1324,C608,$D$1:$D$1324,D608,$B$1:$B$1324,"&lt;="&amp;B608)</f>
        <v>1199397.2799999993</v>
      </c>
      <c r="N608" s="61" t="str">
        <f>IF(tblMovimientos[[#This Row],[Tipo de Movimiento]]="Ingreso",tblMovimientos[[#This Row],[Monto (S/)]],"0")</f>
        <v>0</v>
      </c>
      <c r="O608" s="61">
        <f>IF(tblMovimientos[[#This Row],[Tipo de Movimiento]]="Egreso",tblMovimientos[[#This Row],[Monto (S/)]],"0")</f>
        <v>8666.67</v>
      </c>
      <c r="P608" s="28">
        <f>IF(tblMovimientos[[#This Row],[Tipo de Movimiento]]="Ingreso",tblMovimientos[[#This Row],[Ingreso]],-tblMovimientos[[#This Row],[Egreso]])</f>
        <v>-8666.67</v>
      </c>
      <c r="Q608" s="78" t="str">
        <f>_xlfn.XLOOKUP(tblMovimientos[[#This Row],[Cuenta Bancaria]],Cuentas!$C:$C,Cuentas!$A:$A,"")&amp;""</f>
        <v>SSP Group</v>
      </c>
      <c r="R608" s="78" t="str">
        <f>_xlfn.XLOOKUP(tblMovimientos[[#This Row],[Cuenta Bancaria]],Cuentas!$C:$C,Cuentas!$B:$B,"",0,-1)&amp;""</f>
        <v/>
      </c>
    </row>
    <row r="609" spans="1:18" x14ac:dyDescent="0.3">
      <c r="B609" s="39">
        <v>46225</v>
      </c>
      <c r="C609" s="4" t="str">
        <f>_xlfn.XLOOKUP(tblMovimientos[[#This Row],[Cuenta Bancaria]],Listas!$B:$B,Listas!$A:$A,"")</f>
        <v>SSP Capital</v>
      </c>
      <c r="D609" s="41" t="s">
        <v>104</v>
      </c>
      <c r="E609" s="68" t="str">
        <f>_xlfn.XLOOKUP(tblMovimientos[[#This Row],[Cuenta Bancaria]],Listas!$B:$B,Listas!$C:$C,"")</f>
        <v xml:space="preserve">Amerant Bank </v>
      </c>
      <c r="F609" s="41" t="s">
        <v>10</v>
      </c>
      <c r="G609" s="41" t="s">
        <v>38</v>
      </c>
      <c r="H609" s="4" t="str">
        <f>IFERROR(_xlfn.XLOOKUP(G609,Listas!E:E,Listas!F:F,""),"")</f>
        <v>Operativo</v>
      </c>
      <c r="I609" s="46" t="str">
        <f>IFERROR(_xlfn.XLOOKUP(G609,Listas!E:E,Listas!G:G,""),"")</f>
        <v>Externo</v>
      </c>
      <c r="J609" s="43">
        <v>10753.2</v>
      </c>
      <c r="K609" s="5">
        <f t="shared" si="9"/>
        <v>-10753.2</v>
      </c>
      <c r="L609" s="15" t="s">
        <v>129</v>
      </c>
      <c r="M609" s="44">
        <f>SUMIFS('Saldos Iniciales'!$D:$D,'Saldos Iniciales'!$A:$A,C609,'Saldos Iniciales'!$B:$B,D609)+SUMIFS($K$1:$K$1324,$C$1:$C$1324,C609,$D$1:$D$1324,D609,$B$1:$B$1324,"&lt;="&amp;B609)</f>
        <v>1199397.2799999993</v>
      </c>
      <c r="N609" s="61" t="str">
        <f>IF(tblMovimientos[[#This Row],[Tipo de Movimiento]]="Ingreso",tblMovimientos[[#This Row],[Monto (S/)]],"0")</f>
        <v>0</v>
      </c>
      <c r="O609" s="61">
        <f>IF(tblMovimientos[[#This Row],[Tipo de Movimiento]]="Egreso",tblMovimientos[[#This Row],[Monto (S/)]],"0")</f>
        <v>10753.2</v>
      </c>
      <c r="P609" s="28">
        <f>IF(tblMovimientos[[#This Row],[Tipo de Movimiento]]="Ingreso",tblMovimientos[[#This Row],[Ingreso]],-tblMovimientos[[#This Row],[Egreso]])</f>
        <v>-10753.2</v>
      </c>
      <c r="Q609" s="78" t="str">
        <f>_xlfn.XLOOKUP(tblMovimientos[[#This Row],[Cuenta Bancaria]],Cuentas!$C:$C,Cuentas!$A:$A,"")&amp;""</f>
        <v>SSP Group</v>
      </c>
      <c r="R609" s="78" t="str">
        <f>_xlfn.XLOOKUP(tblMovimientos[[#This Row],[Cuenta Bancaria]],Cuentas!$C:$C,Cuentas!$B:$B,"",0,-1)&amp;""</f>
        <v/>
      </c>
    </row>
    <row r="610" spans="1:18" x14ac:dyDescent="0.3">
      <c r="B610" s="39">
        <v>46225</v>
      </c>
      <c r="C610" s="4" t="str">
        <f>_xlfn.XLOOKUP(tblMovimientos[[#This Row],[Cuenta Bancaria]],Listas!$B:$B,Listas!$A:$A,"")</f>
        <v>SSP Capital</v>
      </c>
      <c r="D610" s="41" t="s">
        <v>104</v>
      </c>
      <c r="E610" s="68" t="str">
        <f>_xlfn.XLOOKUP(tblMovimientos[[#This Row],[Cuenta Bancaria]],Listas!$B:$B,Listas!$C:$C,"")</f>
        <v xml:space="preserve">Amerant Bank </v>
      </c>
      <c r="F610" s="41" t="s">
        <v>10</v>
      </c>
      <c r="G610" s="41" t="s">
        <v>46</v>
      </c>
      <c r="H610" s="4" t="str">
        <f>IFERROR(_xlfn.XLOOKUP(G610,Listas!E:E,Listas!F:F,""),"")</f>
        <v>Financiamiento</v>
      </c>
      <c r="I610" s="46" t="str">
        <f>IFERROR(_xlfn.XLOOKUP(G610,Listas!E:E,Listas!G:G,""),"")</f>
        <v>Externo</v>
      </c>
      <c r="J610" s="43">
        <v>13300.05</v>
      </c>
      <c r="K610" s="5">
        <f t="shared" si="9"/>
        <v>-13300.05</v>
      </c>
      <c r="L610" s="15" t="s">
        <v>129</v>
      </c>
      <c r="M610" s="44">
        <f>SUMIFS('Saldos Iniciales'!$D:$D,'Saldos Iniciales'!$A:$A,C610,'Saldos Iniciales'!$B:$B,D610)+SUMIFS($K$1:$K$1324,$C$1:$C$1324,C610,$D$1:$D$1324,D610,$B$1:$B$1324,"&lt;="&amp;B610)</f>
        <v>1199397.2799999993</v>
      </c>
      <c r="N610" s="61" t="str">
        <f>IF(tblMovimientos[[#This Row],[Tipo de Movimiento]]="Ingreso",tblMovimientos[[#This Row],[Monto (S/)]],"0")</f>
        <v>0</v>
      </c>
      <c r="O610" s="61">
        <f>IF(tblMovimientos[[#This Row],[Tipo de Movimiento]]="Egreso",tblMovimientos[[#This Row],[Monto (S/)]],"0")</f>
        <v>13300.05</v>
      </c>
      <c r="P610" s="28">
        <f>IF(tblMovimientos[[#This Row],[Tipo de Movimiento]]="Ingreso",tblMovimientos[[#This Row],[Ingreso]],-tblMovimientos[[#This Row],[Egreso]])</f>
        <v>-13300.05</v>
      </c>
      <c r="Q610" s="78" t="str">
        <f>_xlfn.XLOOKUP(tblMovimientos[[#This Row],[Cuenta Bancaria]],Cuentas!$C:$C,Cuentas!$A:$A,"")&amp;""</f>
        <v>SSP Group</v>
      </c>
      <c r="R610" s="78" t="str">
        <f>_xlfn.XLOOKUP(tblMovimientos[[#This Row],[Cuenta Bancaria]],Cuentas!$C:$C,Cuentas!$B:$B,"",0,-1)&amp;""</f>
        <v/>
      </c>
    </row>
    <row r="611" spans="1:18" x14ac:dyDescent="0.3">
      <c r="B611" s="39">
        <v>46225</v>
      </c>
      <c r="C611" s="4" t="str">
        <f>_xlfn.XLOOKUP(tblMovimientos[[#This Row],[Cuenta Bancaria]],Listas!$B:$B,Listas!$A:$A,"")</f>
        <v>SSP Capital</v>
      </c>
      <c r="D611" s="41" t="s">
        <v>104</v>
      </c>
      <c r="E611" s="68" t="str">
        <f>_xlfn.XLOOKUP(tblMovimientos[[#This Row],[Cuenta Bancaria]],Listas!$B:$B,Listas!$C:$C,"")</f>
        <v xml:space="preserve">Amerant Bank </v>
      </c>
      <c r="F611" s="41" t="s">
        <v>10</v>
      </c>
      <c r="G611" s="41" t="s">
        <v>38</v>
      </c>
      <c r="H611" s="4" t="str">
        <f>IFERROR(_xlfn.XLOOKUP(G611,Listas!E:E,Listas!F:F,""),"")</f>
        <v>Operativo</v>
      </c>
      <c r="I611" s="46" t="str">
        <f>IFERROR(_xlfn.XLOOKUP(G611,Listas!E:E,Listas!G:G,""),"")</f>
        <v>Externo</v>
      </c>
      <c r="J611" s="43">
        <v>28686.82</v>
      </c>
      <c r="K611" s="5">
        <f t="shared" si="9"/>
        <v>-28686.82</v>
      </c>
      <c r="L611" s="15" t="s">
        <v>129</v>
      </c>
      <c r="M611" s="44">
        <f>SUMIFS('Saldos Iniciales'!$D:$D,'Saldos Iniciales'!$A:$A,C611,'Saldos Iniciales'!$B:$B,D611)+SUMIFS($K$1:$K$1324,$C$1:$C$1324,C611,$D$1:$D$1324,D611,$B$1:$B$1324,"&lt;="&amp;B611)</f>
        <v>1199397.2799999993</v>
      </c>
      <c r="N611" s="61" t="str">
        <f>IF(tblMovimientos[[#This Row],[Tipo de Movimiento]]="Ingreso",tblMovimientos[[#This Row],[Monto (S/)]],"0")</f>
        <v>0</v>
      </c>
      <c r="O611" s="61">
        <f>IF(tblMovimientos[[#This Row],[Tipo de Movimiento]]="Egreso",tblMovimientos[[#This Row],[Monto (S/)]],"0")</f>
        <v>28686.82</v>
      </c>
      <c r="P611" s="28">
        <f>IF(tblMovimientos[[#This Row],[Tipo de Movimiento]]="Ingreso",tblMovimientos[[#This Row],[Ingreso]],-tblMovimientos[[#This Row],[Egreso]])</f>
        <v>-28686.82</v>
      </c>
      <c r="Q611" s="78" t="str">
        <f>_xlfn.XLOOKUP(tblMovimientos[[#This Row],[Cuenta Bancaria]],Cuentas!$C:$C,Cuentas!$A:$A,"")&amp;""</f>
        <v>SSP Group</v>
      </c>
      <c r="R611" s="78" t="str">
        <f>_xlfn.XLOOKUP(tblMovimientos[[#This Row],[Cuenta Bancaria]],Cuentas!$C:$C,Cuentas!$B:$B,"",0,-1)&amp;""</f>
        <v/>
      </c>
    </row>
    <row r="612" spans="1:18" x14ac:dyDescent="0.3">
      <c r="B612" s="39">
        <v>46225</v>
      </c>
      <c r="C612" s="4" t="str">
        <f>_xlfn.XLOOKUP(tblMovimientos[[#This Row],[Cuenta Bancaria]],Listas!$B:$B,Listas!$A:$A,"")</f>
        <v>SSP Capital</v>
      </c>
      <c r="D612" s="41" t="s">
        <v>104</v>
      </c>
      <c r="E612" s="68" t="str">
        <f>_xlfn.XLOOKUP(tblMovimientos[[#This Row],[Cuenta Bancaria]],Listas!$B:$B,Listas!$C:$C,"")</f>
        <v xml:space="preserve">Amerant Bank </v>
      </c>
      <c r="F612" s="41" t="s">
        <v>10</v>
      </c>
      <c r="G612" s="41" t="s">
        <v>46</v>
      </c>
      <c r="H612" s="4" t="str">
        <f>IFERROR(_xlfn.XLOOKUP(G612,Listas!E:E,Listas!F:F,""),"")</f>
        <v>Financiamiento</v>
      </c>
      <c r="I612" s="46" t="str">
        <f>IFERROR(_xlfn.XLOOKUP(G612,Listas!E:E,Listas!G:G,""),"")</f>
        <v>Externo</v>
      </c>
      <c r="J612" s="43">
        <v>45833.33</v>
      </c>
      <c r="K612" s="5">
        <f t="shared" si="9"/>
        <v>-45833.33</v>
      </c>
      <c r="L612" s="15" t="s">
        <v>129</v>
      </c>
      <c r="M612" s="44">
        <f>SUMIFS('Saldos Iniciales'!$D:$D,'Saldos Iniciales'!$A:$A,C612,'Saldos Iniciales'!$B:$B,D612)+SUMIFS($K$1:$K$1324,$C$1:$C$1324,C612,$D$1:$D$1324,D612,$B$1:$B$1324,"&lt;="&amp;B612)</f>
        <v>1199397.2799999993</v>
      </c>
      <c r="N612" s="61" t="str">
        <f>IF(tblMovimientos[[#This Row],[Tipo de Movimiento]]="Ingreso",tblMovimientos[[#This Row],[Monto (S/)]],"0")</f>
        <v>0</v>
      </c>
      <c r="O612" s="61">
        <f>IF(tblMovimientos[[#This Row],[Tipo de Movimiento]]="Egreso",tblMovimientos[[#This Row],[Monto (S/)]],"0")</f>
        <v>45833.33</v>
      </c>
      <c r="P612" s="28">
        <f>IF(tblMovimientos[[#This Row],[Tipo de Movimiento]]="Ingreso",tblMovimientos[[#This Row],[Ingreso]],-tblMovimientos[[#This Row],[Egreso]])</f>
        <v>-45833.33</v>
      </c>
      <c r="Q612" s="78" t="str">
        <f>_xlfn.XLOOKUP(tblMovimientos[[#This Row],[Cuenta Bancaria]],Cuentas!$C:$C,Cuentas!$A:$A,"")&amp;""</f>
        <v>SSP Group</v>
      </c>
      <c r="R612" s="78" t="str">
        <f>_xlfn.XLOOKUP(tblMovimientos[[#This Row],[Cuenta Bancaria]],Cuentas!$C:$C,Cuentas!$B:$B,"",0,-1)&amp;""</f>
        <v/>
      </c>
    </row>
    <row r="613" spans="1:18" x14ac:dyDescent="0.3">
      <c r="B613" s="39">
        <v>46225</v>
      </c>
      <c r="C613" s="4" t="str">
        <f>_xlfn.XLOOKUP(tblMovimientos[[#This Row],[Cuenta Bancaria]],Listas!$B:$B,Listas!$A:$A,"")</f>
        <v>SSP Capital</v>
      </c>
      <c r="D613" s="41" t="s">
        <v>104</v>
      </c>
      <c r="E613" s="68" t="str">
        <f>_xlfn.XLOOKUP(tblMovimientos[[#This Row],[Cuenta Bancaria]],Listas!$B:$B,Listas!$C:$C,"")</f>
        <v xml:space="preserve">Amerant Bank </v>
      </c>
      <c r="F613" s="41" t="s">
        <v>10</v>
      </c>
      <c r="G613" s="41" t="s">
        <v>46</v>
      </c>
      <c r="H613" s="4" t="str">
        <f>IFERROR(_xlfn.XLOOKUP(G613,Listas!E:E,Listas!F:F,""),"")</f>
        <v>Financiamiento</v>
      </c>
      <c r="I613" s="46" t="str">
        <f>IFERROR(_xlfn.XLOOKUP(G613,Listas!E:E,Listas!G:G,""),"")</f>
        <v>Externo</v>
      </c>
      <c r="J613" s="43">
        <v>109199.95</v>
      </c>
      <c r="K613" s="5">
        <f t="shared" si="9"/>
        <v>-109199.95</v>
      </c>
      <c r="L613" s="15" t="s">
        <v>129</v>
      </c>
      <c r="M613" s="44">
        <f>SUMIFS('Saldos Iniciales'!$D:$D,'Saldos Iniciales'!$A:$A,C613,'Saldos Iniciales'!$B:$B,D613)+SUMIFS($K$1:$K$1324,$C$1:$C$1324,C613,$D$1:$D$1324,D613,$B$1:$B$1324,"&lt;="&amp;B613)</f>
        <v>1199397.2799999993</v>
      </c>
      <c r="N613" s="61" t="str">
        <f>IF(tblMovimientos[[#This Row],[Tipo de Movimiento]]="Ingreso",tblMovimientos[[#This Row],[Monto (S/)]],"0")</f>
        <v>0</v>
      </c>
      <c r="O613" s="61">
        <f>IF(tblMovimientos[[#This Row],[Tipo de Movimiento]]="Egreso",tblMovimientos[[#This Row],[Monto (S/)]],"0")</f>
        <v>109199.95</v>
      </c>
      <c r="P613" s="28">
        <f>IF(tblMovimientos[[#This Row],[Tipo de Movimiento]]="Ingreso",tblMovimientos[[#This Row],[Ingreso]],-tblMovimientos[[#This Row],[Egreso]])</f>
        <v>-109199.95</v>
      </c>
      <c r="Q613" s="78" t="str">
        <f>_xlfn.XLOOKUP(tblMovimientos[[#This Row],[Cuenta Bancaria]],Cuentas!$C:$C,Cuentas!$A:$A,"")&amp;""</f>
        <v>SSP Group</v>
      </c>
      <c r="R613" s="78" t="str">
        <f>_xlfn.XLOOKUP(tblMovimientos[[#This Row],[Cuenta Bancaria]],Cuentas!$C:$C,Cuentas!$B:$B,"",0,-1)&amp;""</f>
        <v/>
      </c>
    </row>
    <row r="614" spans="1:18" x14ac:dyDescent="0.3">
      <c r="A614" s="45"/>
      <c r="B614" s="39">
        <v>46225</v>
      </c>
      <c r="C614" s="4" t="str">
        <f>_xlfn.XLOOKUP(tblMovimientos[[#This Row],[Cuenta Bancaria]],Listas!$B:$B,Listas!$A:$A,"")</f>
        <v>Go Blue</v>
      </c>
      <c r="D614" s="41" t="s">
        <v>126</v>
      </c>
      <c r="E614" s="68" t="str">
        <f>_xlfn.XLOOKUP(tblMovimientos[[#This Row],[Cuenta Bancaria]],Listas!$B:$B,Listas!$C:$C,"")</f>
        <v xml:space="preserve">Amerant Bank </v>
      </c>
      <c r="F614" s="41" t="s">
        <v>10</v>
      </c>
      <c r="G614" s="41" t="s">
        <v>38</v>
      </c>
      <c r="H614" s="46" t="str">
        <f>IFERROR(_xlfn.XLOOKUP(G614,Listas!E:E,Listas!F:F,""),"")</f>
        <v>Operativo</v>
      </c>
      <c r="I614" s="46" t="str">
        <f>IFERROR(_xlfn.XLOOKUP(G614,Listas!E:E,Listas!G:G,""),"")</f>
        <v>Externo</v>
      </c>
      <c r="J614" s="43">
        <v>674.06</v>
      </c>
      <c r="K614" s="5">
        <f t="shared" si="9"/>
        <v>-674.06</v>
      </c>
      <c r="L614" s="15" t="s">
        <v>129</v>
      </c>
      <c r="M614" s="44">
        <f>SUMIFS('Saldos Iniciales'!$D:$D,'Saldos Iniciales'!$A:$A,C614,'Saldos Iniciales'!$B:$B,D614)+SUMIFS($K$1:$K$1324,$C$1:$C$1324,C614,$D$1:$D$1324,D614,$B$1:$B$1324,"&lt;="&amp;B614)</f>
        <v>4958.7099999999973</v>
      </c>
      <c r="N614" s="61" t="str">
        <f>IF(tblMovimientos[[#This Row],[Tipo de Movimiento]]="Ingreso",tblMovimientos[[#This Row],[Monto (S/)]],"0")</f>
        <v>0</v>
      </c>
      <c r="O614" s="61">
        <f>IF(tblMovimientos[[#This Row],[Tipo de Movimiento]]="Egreso",tblMovimientos[[#This Row],[Monto (S/)]],"0")</f>
        <v>674.06</v>
      </c>
      <c r="P614" s="28">
        <f>IF(tblMovimientos[[#This Row],[Tipo de Movimiento]]="Ingreso",tblMovimientos[[#This Row],[Ingreso]],-tblMovimientos[[#This Row],[Egreso]])</f>
        <v>-674.06</v>
      </c>
      <c r="Q614" s="78" t="str">
        <f>_xlfn.XLOOKUP(tblMovimientos[[#This Row],[Cuenta Bancaria]],Cuentas!$C:$C,Cuentas!$A:$A,"")&amp;""</f>
        <v>SSP Group</v>
      </c>
      <c r="R614" s="78" t="str">
        <f>_xlfn.XLOOKUP(tblMovimientos[[#This Row],[Cuenta Bancaria]],Cuentas!$C:$C,Cuentas!$B:$B,"",0,-1)&amp;""</f>
        <v/>
      </c>
    </row>
    <row r="615" spans="1:18" x14ac:dyDescent="0.3">
      <c r="B615" s="39">
        <v>46225</v>
      </c>
      <c r="C615" s="4" t="str">
        <f>_xlfn.XLOOKUP(tblMovimientos[[#This Row],[Cuenta Bancaria]],Listas!$B:$B,Listas!$A:$A,"")</f>
        <v>Go Blue</v>
      </c>
      <c r="D615" s="41" t="s">
        <v>126</v>
      </c>
      <c r="E615" s="68" t="str">
        <f>_xlfn.XLOOKUP(tblMovimientos[[#This Row],[Cuenta Bancaria]],Listas!$B:$B,Listas!$C:$C,"")</f>
        <v xml:space="preserve">Amerant Bank </v>
      </c>
      <c r="F615" s="41" t="s">
        <v>10</v>
      </c>
      <c r="G615" s="41" t="s">
        <v>44</v>
      </c>
      <c r="H615" s="4" t="str">
        <f>IFERROR(_xlfn.XLOOKUP(G615,Listas!E:E,Listas!F:F,""),"")</f>
        <v>Operativo</v>
      </c>
      <c r="I615" s="46" t="str">
        <f>IFERROR(_xlfn.XLOOKUP(G615,Listas!E:E,Listas!G:G,""),"")</f>
        <v>Externo</v>
      </c>
      <c r="J615" s="43">
        <v>15</v>
      </c>
      <c r="K615" s="5">
        <f t="shared" si="9"/>
        <v>-15</v>
      </c>
      <c r="L615" s="15" t="s">
        <v>129</v>
      </c>
      <c r="M615" s="44">
        <f>SUMIFS('Saldos Iniciales'!$D:$D,'Saldos Iniciales'!$A:$A,C615,'Saldos Iniciales'!$B:$B,D615)+SUMIFS($K$1:$K$1324,$C$1:$C$1324,C615,$D$1:$D$1324,D615,$B$1:$B$1324,"&lt;="&amp;B615)</f>
        <v>4958.7099999999973</v>
      </c>
      <c r="N615" s="61" t="str">
        <f>IF(tblMovimientos[[#This Row],[Tipo de Movimiento]]="Ingreso",tblMovimientos[[#This Row],[Monto (S/)]],"0")</f>
        <v>0</v>
      </c>
      <c r="O615" s="61">
        <f>IF(tblMovimientos[[#This Row],[Tipo de Movimiento]]="Egreso",tblMovimientos[[#This Row],[Monto (S/)]],"0")</f>
        <v>15</v>
      </c>
      <c r="P615" s="28">
        <f>IF(tblMovimientos[[#This Row],[Tipo de Movimiento]]="Ingreso",tblMovimientos[[#This Row],[Ingreso]],-tblMovimientos[[#This Row],[Egreso]])</f>
        <v>-15</v>
      </c>
      <c r="Q615" s="78" t="str">
        <f>_xlfn.XLOOKUP(tblMovimientos[[#This Row],[Cuenta Bancaria]],Cuentas!$C:$C,Cuentas!$A:$A,"")&amp;""</f>
        <v>SSP Group</v>
      </c>
      <c r="R615" s="78" t="str">
        <f>_xlfn.XLOOKUP(tblMovimientos[[#This Row],[Cuenta Bancaria]],Cuentas!$C:$C,Cuentas!$B:$B,"",0,-1)&amp;""</f>
        <v/>
      </c>
    </row>
    <row r="616" spans="1:18" x14ac:dyDescent="0.3">
      <c r="B616" s="39">
        <v>46225</v>
      </c>
      <c r="C616" s="4" t="str">
        <f>_xlfn.XLOOKUP(tblMovimientos[[#This Row],[Cuenta Bancaria]],Listas!$B:$B,Listas!$A:$A,"")</f>
        <v>Go Blue</v>
      </c>
      <c r="D616" s="41" t="s">
        <v>126</v>
      </c>
      <c r="E616" s="68" t="str">
        <f>_xlfn.XLOOKUP(tblMovimientos[[#This Row],[Cuenta Bancaria]],Listas!$B:$B,Listas!$C:$C,"")</f>
        <v xml:space="preserve">Amerant Bank </v>
      </c>
      <c r="F616" s="41" t="s">
        <v>10</v>
      </c>
      <c r="G616" s="41" t="s">
        <v>38</v>
      </c>
      <c r="H616" s="4" t="str">
        <f>IFERROR(_xlfn.XLOOKUP(G616,Listas!E:E,Listas!F:F,""),"")</f>
        <v>Operativo</v>
      </c>
      <c r="I616" s="46" t="str">
        <f>IFERROR(_xlfn.XLOOKUP(G616,Listas!E:E,Listas!G:G,""),"")</f>
        <v>Externo</v>
      </c>
      <c r="J616" s="43">
        <v>2500</v>
      </c>
      <c r="K616" s="5">
        <f t="shared" si="9"/>
        <v>-2500</v>
      </c>
      <c r="L616" s="15" t="s">
        <v>129</v>
      </c>
      <c r="M616" s="44">
        <f>SUMIFS('Saldos Iniciales'!$D:$D,'Saldos Iniciales'!$A:$A,C616,'Saldos Iniciales'!$B:$B,D616)+SUMIFS($K$1:$K$1324,$C$1:$C$1324,C616,$D$1:$D$1324,D616,$B$1:$B$1324,"&lt;="&amp;B616)</f>
        <v>4958.7099999999973</v>
      </c>
      <c r="N616" s="61" t="str">
        <f>IF(tblMovimientos[[#This Row],[Tipo de Movimiento]]="Ingreso",tblMovimientos[[#This Row],[Monto (S/)]],"0")</f>
        <v>0</v>
      </c>
      <c r="O616" s="61">
        <f>IF(tblMovimientos[[#This Row],[Tipo de Movimiento]]="Egreso",tblMovimientos[[#This Row],[Monto (S/)]],"0")</f>
        <v>2500</v>
      </c>
      <c r="P616" s="28">
        <f>IF(tblMovimientos[[#This Row],[Tipo de Movimiento]]="Ingreso",tblMovimientos[[#This Row],[Ingreso]],-tblMovimientos[[#This Row],[Egreso]])</f>
        <v>-2500</v>
      </c>
      <c r="Q616" s="78" t="str">
        <f>_xlfn.XLOOKUP(tblMovimientos[[#This Row],[Cuenta Bancaria]],Cuentas!$C:$C,Cuentas!$A:$A,"")&amp;""</f>
        <v>SSP Group</v>
      </c>
      <c r="R616" s="78" t="str">
        <f>_xlfn.XLOOKUP(tblMovimientos[[#This Row],[Cuenta Bancaria]],Cuentas!$C:$C,Cuentas!$B:$B,"",0,-1)&amp;""</f>
        <v/>
      </c>
    </row>
    <row r="617" spans="1:18" x14ac:dyDescent="0.3">
      <c r="B617" s="39">
        <v>46225</v>
      </c>
      <c r="C617" s="4" t="str">
        <f>_xlfn.XLOOKUP(tblMovimientos[[#This Row],[Cuenta Bancaria]],Listas!$B:$B,Listas!$A:$A,"")</f>
        <v>Go Blue</v>
      </c>
      <c r="D617" s="41" t="s">
        <v>126</v>
      </c>
      <c r="E617" s="68" t="str">
        <f>_xlfn.XLOOKUP(tblMovimientos[[#This Row],[Cuenta Bancaria]],Listas!$B:$B,Listas!$C:$C,"")</f>
        <v xml:space="preserve">Amerant Bank </v>
      </c>
      <c r="F617" s="41" t="s">
        <v>10</v>
      </c>
      <c r="G617" s="41" t="s">
        <v>44</v>
      </c>
      <c r="H617" s="4" t="str">
        <f>IFERROR(_xlfn.XLOOKUP(G617,Listas!E:E,Listas!F:F,""),"")</f>
        <v>Operativo</v>
      </c>
      <c r="I617" s="46" t="str">
        <f>IFERROR(_xlfn.XLOOKUP(G617,Listas!E:E,Listas!G:G,""),"")</f>
        <v>Externo</v>
      </c>
      <c r="J617" s="43">
        <v>15</v>
      </c>
      <c r="K617" s="5">
        <f t="shared" si="9"/>
        <v>-15</v>
      </c>
      <c r="L617" s="15" t="s">
        <v>129</v>
      </c>
      <c r="M617" s="44">
        <f>SUMIFS('Saldos Iniciales'!$D:$D,'Saldos Iniciales'!$A:$A,C617,'Saldos Iniciales'!$B:$B,D617)+SUMIFS($K$1:$K$1324,$C$1:$C$1324,C617,$D$1:$D$1324,D617,$B$1:$B$1324,"&lt;="&amp;B617)</f>
        <v>4958.7099999999973</v>
      </c>
      <c r="N617" s="61" t="str">
        <f>IF(tblMovimientos[[#This Row],[Tipo de Movimiento]]="Ingreso",tblMovimientos[[#This Row],[Monto (S/)]],"0")</f>
        <v>0</v>
      </c>
      <c r="O617" s="61">
        <f>IF(tblMovimientos[[#This Row],[Tipo de Movimiento]]="Egreso",tblMovimientos[[#This Row],[Monto (S/)]],"0")</f>
        <v>15</v>
      </c>
      <c r="P617" s="28">
        <f>IF(tblMovimientos[[#This Row],[Tipo de Movimiento]]="Ingreso",tblMovimientos[[#This Row],[Ingreso]],-tblMovimientos[[#This Row],[Egreso]])</f>
        <v>-15</v>
      </c>
      <c r="Q617" s="78" t="str">
        <f>_xlfn.XLOOKUP(tblMovimientos[[#This Row],[Cuenta Bancaria]],Cuentas!$C:$C,Cuentas!$A:$A,"")&amp;""</f>
        <v>SSP Group</v>
      </c>
      <c r="R617" s="78" t="str">
        <f>_xlfn.XLOOKUP(tblMovimientos[[#This Row],[Cuenta Bancaria]],Cuentas!$C:$C,Cuentas!$B:$B,"",0,-1)&amp;""</f>
        <v/>
      </c>
    </row>
    <row r="618" spans="1:18" x14ac:dyDescent="0.3">
      <c r="B618" s="39">
        <v>46225</v>
      </c>
      <c r="C618" s="4" t="str">
        <f>_xlfn.XLOOKUP(tblMovimientos[[#This Row],[Cuenta Bancaria]],Listas!$B:$B,Listas!$A:$A,"")</f>
        <v>Go Blue</v>
      </c>
      <c r="D618" s="41" t="s">
        <v>126</v>
      </c>
      <c r="E618" s="68" t="str">
        <f>_xlfn.XLOOKUP(tblMovimientos[[#This Row],[Cuenta Bancaria]],Listas!$B:$B,Listas!$C:$C,"")</f>
        <v xml:space="preserve">Amerant Bank </v>
      </c>
      <c r="F618" s="41" t="s">
        <v>10</v>
      </c>
      <c r="G618" s="41" t="s">
        <v>64</v>
      </c>
      <c r="H618" s="4" t="str">
        <f>IFERROR(_xlfn.XLOOKUP(G618,Listas!E:E,Listas!F:F,""),"")</f>
        <v>Operativo</v>
      </c>
      <c r="I618" s="46" t="str">
        <f>IFERROR(_xlfn.XLOOKUP(G618,Listas!E:E,Listas!G:G,""),"")</f>
        <v>Interno</v>
      </c>
      <c r="J618" s="43">
        <v>5000</v>
      </c>
      <c r="K618" s="5">
        <f t="shared" si="9"/>
        <v>-5000</v>
      </c>
      <c r="L618" s="15" t="s">
        <v>129</v>
      </c>
      <c r="M618" s="44">
        <f>SUMIFS('Saldos Iniciales'!$D:$D,'Saldos Iniciales'!$A:$A,C618,'Saldos Iniciales'!$B:$B,D618)+SUMIFS($K$1:$K$1324,$C$1:$C$1324,C618,$D$1:$D$1324,D618,$B$1:$B$1324,"&lt;="&amp;B618)</f>
        <v>4958.7099999999973</v>
      </c>
      <c r="N618" s="61" t="str">
        <f>IF(tblMovimientos[[#This Row],[Tipo de Movimiento]]="Ingreso",tblMovimientos[[#This Row],[Monto (S/)]],"0")</f>
        <v>0</v>
      </c>
      <c r="O618" s="61">
        <f>IF(tblMovimientos[[#This Row],[Tipo de Movimiento]]="Egreso",tblMovimientos[[#This Row],[Monto (S/)]],"0")</f>
        <v>5000</v>
      </c>
      <c r="P618" s="28">
        <f>IF(tblMovimientos[[#This Row],[Tipo de Movimiento]]="Ingreso",tblMovimientos[[#This Row],[Ingreso]],-tblMovimientos[[#This Row],[Egreso]])</f>
        <v>-5000</v>
      </c>
      <c r="Q618" s="78" t="str">
        <f>_xlfn.XLOOKUP(tblMovimientos[[#This Row],[Cuenta Bancaria]],Cuentas!$C:$C,Cuentas!$A:$A,"")&amp;""</f>
        <v>SSP Group</v>
      </c>
      <c r="R618" s="78" t="str">
        <f>_xlfn.XLOOKUP(tblMovimientos[[#This Row],[Cuenta Bancaria]],Cuentas!$C:$C,Cuentas!$B:$B,"",0,-1)&amp;""</f>
        <v/>
      </c>
    </row>
    <row r="619" spans="1:18" x14ac:dyDescent="0.3">
      <c r="B619" s="39">
        <v>46226</v>
      </c>
      <c r="C619" s="4" t="str">
        <f>_xlfn.XLOOKUP(tblMovimientos[[#This Row],[Cuenta Bancaria]],Listas!$B:$B,Listas!$A:$A,"")</f>
        <v>A&amp;M Imports</v>
      </c>
      <c r="D619" s="41" t="s">
        <v>100</v>
      </c>
      <c r="E619" s="68" t="str">
        <f>_xlfn.XLOOKUP(tblMovimientos[[#This Row],[Cuenta Bancaria]],Listas!$B:$B,Listas!$C:$C,"")</f>
        <v>Bank of America</v>
      </c>
      <c r="F619" s="41" t="s">
        <v>9</v>
      </c>
      <c r="G619" s="41" t="s">
        <v>80</v>
      </c>
      <c r="H619" s="4" t="str">
        <f>IFERROR(_xlfn.XLOOKUP(G619,Listas!E:E,Listas!F:F,""),"")</f>
        <v>Operativo</v>
      </c>
      <c r="I619" s="46" t="str">
        <f>IFERROR(_xlfn.XLOOKUP(G619,Listas!E:E,Listas!G:G,""),"")</f>
        <v>Externo</v>
      </c>
      <c r="J619" s="43">
        <v>39989.699999999997</v>
      </c>
      <c r="K619" s="5">
        <f t="shared" si="9"/>
        <v>39989.699999999997</v>
      </c>
      <c r="L619" s="15" t="s">
        <v>129</v>
      </c>
      <c r="M619" s="44">
        <f>SUMIFS('Saldos Iniciales'!$D:$D,'Saldos Iniciales'!$A:$A,C619,'Saldos Iniciales'!$B:$B,D619)+SUMIFS($K$1:$K$1324,$C$1:$C$1324,C619,$D$1:$D$1324,D619,$B$1:$B$1324,"&lt;="&amp;B619)</f>
        <v>1042744.6899999997</v>
      </c>
      <c r="N619" s="61">
        <f>IF(tblMovimientos[[#This Row],[Tipo de Movimiento]]="Ingreso",tblMovimientos[[#This Row],[Monto (S/)]],"0")</f>
        <v>39989.699999999997</v>
      </c>
      <c r="O619" s="61" t="str">
        <f>IF(tblMovimientos[[#This Row],[Tipo de Movimiento]]="Egreso",tblMovimientos[[#This Row],[Monto (S/)]],"0")</f>
        <v>0</v>
      </c>
      <c r="P619" s="28">
        <f>IF(tblMovimientos[[#This Row],[Tipo de Movimiento]]="Ingreso",tblMovimientos[[#This Row],[Ingreso]],-tblMovimientos[[#This Row],[Egreso]])</f>
        <v>39989.699999999997</v>
      </c>
      <c r="Q619" s="78" t="str">
        <f>_xlfn.XLOOKUP(tblMovimientos[[#This Row],[Cuenta Bancaria]],Cuentas!$C:$C,Cuentas!$A:$A,"")&amp;""</f>
        <v>SSP Group</v>
      </c>
      <c r="R619" s="78" t="str">
        <f>_xlfn.XLOOKUP(tblMovimientos[[#This Row],[Cuenta Bancaria]],Cuentas!$C:$C,Cuentas!$B:$B,"",0,-1)&amp;""</f>
        <v/>
      </c>
    </row>
    <row r="620" spans="1:18" x14ac:dyDescent="0.3">
      <c r="B620" s="39">
        <v>46226</v>
      </c>
      <c r="C620" s="4" t="str">
        <f>_xlfn.XLOOKUP(tblMovimientos[[#This Row],[Cuenta Bancaria]],Listas!$B:$B,Listas!$A:$A,"")</f>
        <v>CFT Group</v>
      </c>
      <c r="D620" s="41" t="s">
        <v>94</v>
      </c>
      <c r="E620" s="68" t="str">
        <f>_xlfn.XLOOKUP(tblMovimientos[[#This Row],[Cuenta Bancaria]],Listas!$B:$B,Listas!$C:$C,"")</f>
        <v>Bank of America</v>
      </c>
      <c r="F620" s="41" t="s">
        <v>10</v>
      </c>
      <c r="G620" s="41" t="s">
        <v>44</v>
      </c>
      <c r="H620" s="4" t="str">
        <f>IFERROR(_xlfn.XLOOKUP(G620,Listas!E:E,Listas!F:F,""),"")</f>
        <v>Operativo</v>
      </c>
      <c r="I620" s="46" t="str">
        <f>IFERROR(_xlfn.XLOOKUP(G620,Listas!E:E,Listas!G:G,""),"")</f>
        <v>Externo</v>
      </c>
      <c r="J620" s="43">
        <v>5</v>
      </c>
      <c r="K620" s="5">
        <f t="shared" si="9"/>
        <v>-5</v>
      </c>
      <c r="L620" s="15" t="s">
        <v>129</v>
      </c>
      <c r="M620" s="44">
        <f>SUMIFS('Saldos Iniciales'!$D:$D,'Saldos Iniciales'!$A:$A,C620,'Saldos Iniciales'!$B:$B,D620)+SUMIFS($K$1:$K$1324,$C$1:$C$1324,C620,$D$1:$D$1324,D620,$B$1:$B$1324,"&lt;="&amp;B620)</f>
        <v>20583.359999999986</v>
      </c>
      <c r="N620" s="61" t="str">
        <f>IF(tblMovimientos[[#This Row],[Tipo de Movimiento]]="Ingreso",tblMovimientos[[#This Row],[Monto (S/)]],"0")</f>
        <v>0</v>
      </c>
      <c r="O620" s="61">
        <f>IF(tblMovimientos[[#This Row],[Tipo de Movimiento]]="Egreso",tblMovimientos[[#This Row],[Monto (S/)]],"0")</f>
        <v>5</v>
      </c>
      <c r="P620" s="28">
        <f>IF(tblMovimientos[[#This Row],[Tipo de Movimiento]]="Ingreso",tblMovimientos[[#This Row],[Ingreso]],-tblMovimientos[[#This Row],[Egreso]])</f>
        <v>-5</v>
      </c>
      <c r="Q620" s="78" t="str">
        <f>_xlfn.XLOOKUP(tblMovimientos[[#This Row],[Cuenta Bancaria]],Cuentas!$C:$C,Cuentas!$A:$A,"")&amp;""</f>
        <v>SSP Group</v>
      </c>
      <c r="R620" s="78" t="str">
        <f>_xlfn.XLOOKUP(tblMovimientos[[#This Row],[Cuenta Bancaria]],Cuentas!$C:$C,Cuentas!$B:$B,"",0,-1)&amp;""</f>
        <v/>
      </c>
    </row>
    <row r="621" spans="1:18" x14ac:dyDescent="0.3">
      <c r="B621" s="39">
        <v>46226</v>
      </c>
      <c r="C621" s="4" t="str">
        <f>_xlfn.XLOOKUP(tblMovimientos[[#This Row],[Cuenta Bancaria]],Listas!$B:$B,Listas!$A:$A,"")</f>
        <v>112 Florida Ave</v>
      </c>
      <c r="D621" s="41" t="s">
        <v>123</v>
      </c>
      <c r="E621" s="68" t="str">
        <f>_xlfn.XLOOKUP(tblMovimientos[[#This Row],[Cuenta Bancaria]],Listas!$B:$B,Listas!$C:$C,"")</f>
        <v>Bank of America</v>
      </c>
      <c r="F621" s="41" t="s">
        <v>9</v>
      </c>
      <c r="G621" s="41" t="s">
        <v>75</v>
      </c>
      <c r="H621" s="4" t="str">
        <f>IFERROR(_xlfn.XLOOKUP(G621,Listas!E:E,Listas!F:F,""),"")</f>
        <v>Financiamiento</v>
      </c>
      <c r="I621" s="46" t="str">
        <f>IFERROR(_xlfn.XLOOKUP(G621,Listas!E:E,Listas!G:G,""),"")</f>
        <v>Interno</v>
      </c>
      <c r="J621" s="43">
        <v>15000</v>
      </c>
      <c r="K621" s="5">
        <f t="shared" si="9"/>
        <v>15000</v>
      </c>
      <c r="L621" s="15" t="s">
        <v>129</v>
      </c>
      <c r="M621" s="44">
        <f>SUMIFS('Saldos Iniciales'!$D:$D,'Saldos Iniciales'!$A:$A,C621,'Saldos Iniciales'!$B:$B,D621)+SUMIFS($K$1:$K$1324,$C$1:$C$1324,C621,$D$1:$D$1324,D621,$B$1:$B$1324,"&lt;="&amp;B621)</f>
        <v>18522.800000000003</v>
      </c>
      <c r="N621" s="61">
        <f>IF(tblMovimientos[[#This Row],[Tipo de Movimiento]]="Ingreso",tblMovimientos[[#This Row],[Monto (S/)]],"0")</f>
        <v>15000</v>
      </c>
      <c r="O621" s="61" t="str">
        <f>IF(tblMovimientos[[#This Row],[Tipo de Movimiento]]="Egreso",tblMovimientos[[#This Row],[Monto (S/)]],"0")</f>
        <v>0</v>
      </c>
      <c r="P621" s="28">
        <f>IF(tblMovimientos[[#This Row],[Tipo de Movimiento]]="Ingreso",tblMovimientos[[#This Row],[Ingreso]],-tblMovimientos[[#This Row],[Egreso]])</f>
        <v>15000</v>
      </c>
      <c r="Q621" s="78" t="str">
        <f>_xlfn.XLOOKUP(tblMovimientos[[#This Row],[Cuenta Bancaria]],Cuentas!$C:$C,Cuentas!$A:$A,"")&amp;""</f>
        <v>SSP Group</v>
      </c>
      <c r="R621" s="78" t="str">
        <f>_xlfn.XLOOKUP(tblMovimientos[[#This Row],[Cuenta Bancaria]],Cuentas!$C:$C,Cuentas!$B:$B,"",0,-1)&amp;""</f>
        <v/>
      </c>
    </row>
    <row r="622" spans="1:18" x14ac:dyDescent="0.3">
      <c r="B622" s="39">
        <v>46226</v>
      </c>
      <c r="C622" s="4" t="str">
        <f>_xlfn.XLOOKUP(tblMovimientos[[#This Row],[Cuenta Bancaria]],Listas!$B:$B,Listas!$A:$A,"")</f>
        <v>Go Blue</v>
      </c>
      <c r="D622" s="41" t="s">
        <v>165</v>
      </c>
      <c r="E622" s="68" t="str">
        <f>_xlfn.XLOOKUP(tblMovimientos[[#This Row],[Cuenta Bancaria]],Listas!$B:$B,Listas!$C:$C,"")</f>
        <v xml:space="preserve">Amerant Bank </v>
      </c>
      <c r="F622" s="41" t="s">
        <v>10</v>
      </c>
      <c r="G622" s="41" t="s">
        <v>38</v>
      </c>
      <c r="H622" s="4" t="str">
        <f>IFERROR(_xlfn.XLOOKUP(G622,Listas!E:E,Listas!F:F,""),"")</f>
        <v>Operativo</v>
      </c>
      <c r="I622" s="46" t="str">
        <f>IFERROR(_xlfn.XLOOKUP(G622,Listas!E:E,Listas!G:G,""),"")</f>
        <v>Externo</v>
      </c>
      <c r="J622" s="43">
        <v>185.5</v>
      </c>
      <c r="K622" s="5">
        <f t="shared" si="9"/>
        <v>-185.5</v>
      </c>
      <c r="L622" s="15" t="s">
        <v>129</v>
      </c>
      <c r="M622" s="44">
        <f>SUMIFS('Saldos Iniciales'!$D:$D,'Saldos Iniciales'!$A:$A,C622,'Saldos Iniciales'!$B:$B,D622)+SUMIFS($K$1:$K$1324,$C$1:$C$1324,C622,$D$1:$D$1324,D622,$B$1:$B$1324,"&lt;="&amp;B622)</f>
        <v>5000.0000000000009</v>
      </c>
      <c r="N622" s="61" t="str">
        <f>IF(tblMovimientos[[#This Row],[Tipo de Movimiento]]="Ingreso",tblMovimientos[[#This Row],[Monto (S/)]],"0")</f>
        <v>0</v>
      </c>
      <c r="O622" s="61">
        <f>IF(tblMovimientos[[#This Row],[Tipo de Movimiento]]="Egreso",tblMovimientos[[#This Row],[Monto (S/)]],"0")</f>
        <v>185.5</v>
      </c>
      <c r="P622" s="28">
        <f>IF(tblMovimientos[[#This Row],[Tipo de Movimiento]]="Ingreso",tblMovimientos[[#This Row],[Ingreso]],-tblMovimientos[[#This Row],[Egreso]])</f>
        <v>-185.5</v>
      </c>
      <c r="Q622" s="78" t="str">
        <f>_xlfn.XLOOKUP(tblMovimientos[[#This Row],[Cuenta Bancaria]],Cuentas!$C:$C,Cuentas!$A:$A,"")&amp;""</f>
        <v>SSP Group</v>
      </c>
      <c r="R622" s="78" t="str">
        <f>_xlfn.XLOOKUP(tblMovimientos[[#This Row],[Cuenta Bancaria]],Cuentas!$C:$C,Cuentas!$B:$B,"",0,-1)&amp;""</f>
        <v/>
      </c>
    </row>
    <row r="623" spans="1:18" x14ac:dyDescent="0.3">
      <c r="B623" s="39">
        <v>46226</v>
      </c>
      <c r="C623" s="4" t="str">
        <f>_xlfn.XLOOKUP(tblMovimientos[[#This Row],[Cuenta Bancaria]],Listas!$B:$B,Listas!$A:$A,"")</f>
        <v>Go Blue</v>
      </c>
      <c r="D623" s="41" t="s">
        <v>165</v>
      </c>
      <c r="E623" s="68" t="str">
        <f>_xlfn.XLOOKUP(tblMovimientos[[#This Row],[Cuenta Bancaria]],Listas!$B:$B,Listas!$C:$C,"")</f>
        <v xml:space="preserve">Amerant Bank </v>
      </c>
      <c r="F623" s="41" t="s">
        <v>10</v>
      </c>
      <c r="G623" s="41" t="s">
        <v>38</v>
      </c>
      <c r="H623" s="4" t="str">
        <f>IFERROR(_xlfn.XLOOKUP(G623,Listas!E:E,Listas!F:F,""),"")</f>
        <v>Operativo</v>
      </c>
      <c r="I623" s="46" t="str">
        <f>IFERROR(_xlfn.XLOOKUP(G623,Listas!E:E,Listas!G:G,""),"")</f>
        <v>Externo</v>
      </c>
      <c r="J623" s="43">
        <v>108.08</v>
      </c>
      <c r="K623" s="5">
        <f t="shared" si="9"/>
        <v>-108.08</v>
      </c>
      <c r="L623" s="15" t="s">
        <v>129</v>
      </c>
      <c r="M623" s="44">
        <f>SUMIFS('Saldos Iniciales'!$D:$D,'Saldos Iniciales'!$A:$A,C623,'Saldos Iniciales'!$B:$B,D623)+SUMIFS($K$1:$K$1324,$C$1:$C$1324,C623,$D$1:$D$1324,D623,$B$1:$B$1324,"&lt;="&amp;B623)</f>
        <v>5000.0000000000009</v>
      </c>
      <c r="N623" s="61" t="str">
        <f>IF(tblMovimientos[[#This Row],[Tipo de Movimiento]]="Ingreso",tblMovimientos[[#This Row],[Monto (S/)]],"0")</f>
        <v>0</v>
      </c>
      <c r="O623" s="61">
        <f>IF(tblMovimientos[[#This Row],[Tipo de Movimiento]]="Egreso",tblMovimientos[[#This Row],[Monto (S/)]],"0")</f>
        <v>108.08</v>
      </c>
      <c r="P623" s="28">
        <f>IF(tblMovimientos[[#This Row],[Tipo de Movimiento]]="Ingreso",tblMovimientos[[#This Row],[Ingreso]],-tblMovimientos[[#This Row],[Egreso]])</f>
        <v>-108.08</v>
      </c>
      <c r="Q623" s="78" t="str">
        <f>_xlfn.XLOOKUP(tblMovimientos[[#This Row],[Cuenta Bancaria]],Cuentas!$C:$C,Cuentas!$A:$A,"")&amp;""</f>
        <v>SSP Group</v>
      </c>
      <c r="R623" s="78" t="str">
        <f>_xlfn.XLOOKUP(tblMovimientos[[#This Row],[Cuenta Bancaria]],Cuentas!$C:$C,Cuentas!$B:$B,"",0,-1)&amp;""</f>
        <v/>
      </c>
    </row>
    <row r="624" spans="1:18" x14ac:dyDescent="0.3">
      <c r="B624" s="39">
        <v>46227</v>
      </c>
      <c r="C624" s="4" t="str">
        <f>_xlfn.XLOOKUP(tblMovimientos[[#This Row],[Cuenta Bancaria]],Listas!$B:$B,Listas!$A:$A,"")</f>
        <v>Go Blue</v>
      </c>
      <c r="D624" s="41" t="s">
        <v>165</v>
      </c>
      <c r="E624" s="68" t="str">
        <f>_xlfn.XLOOKUP(tblMovimientos[[#This Row],[Cuenta Bancaria]],Listas!$B:$B,Listas!$C:$C,"")</f>
        <v xml:space="preserve">Amerant Bank </v>
      </c>
      <c r="F624" s="41" t="s">
        <v>10</v>
      </c>
      <c r="G624" s="41" t="s">
        <v>38</v>
      </c>
      <c r="H624" s="4" t="str">
        <f>IFERROR(_xlfn.XLOOKUP(G624,Listas!E:E,Listas!F:F,""),"")</f>
        <v>Operativo</v>
      </c>
      <c r="I624" s="46" t="str">
        <f>IFERROR(_xlfn.XLOOKUP(G624,Listas!E:E,Listas!G:G,""),"")</f>
        <v>Externo</v>
      </c>
      <c r="J624" s="43">
        <v>236.32</v>
      </c>
      <c r="K624" s="5">
        <f t="shared" si="9"/>
        <v>-236.32</v>
      </c>
      <c r="L624" s="15" t="s">
        <v>129</v>
      </c>
      <c r="M624" s="44">
        <f>SUMIFS('Saldos Iniciales'!$D:$D,'Saldos Iniciales'!$A:$A,C624,'Saldos Iniciales'!$B:$B,D624)+SUMIFS($K$1:$K$1324,$C$1:$C$1324,C624,$D$1:$D$1324,D624,$B$1:$B$1324,"&lt;="&amp;B624)</f>
        <v>4598.920000000001</v>
      </c>
      <c r="N624" s="61" t="str">
        <f>IF(tblMovimientos[[#This Row],[Tipo de Movimiento]]="Ingreso",tblMovimientos[[#This Row],[Monto (S/)]],"0")</f>
        <v>0</v>
      </c>
      <c r="O624" s="61">
        <f>IF(tblMovimientos[[#This Row],[Tipo de Movimiento]]="Egreso",tblMovimientos[[#This Row],[Monto (S/)]],"0")</f>
        <v>236.32</v>
      </c>
      <c r="P624" s="28">
        <f>IF(tblMovimientos[[#This Row],[Tipo de Movimiento]]="Ingreso",tblMovimientos[[#This Row],[Ingreso]],-tblMovimientos[[#This Row],[Egreso]])</f>
        <v>-236.32</v>
      </c>
      <c r="Q624" s="78" t="str">
        <f>_xlfn.XLOOKUP(tblMovimientos[[#This Row],[Cuenta Bancaria]],Cuentas!$C:$C,Cuentas!$A:$A,"")&amp;""</f>
        <v>SSP Group</v>
      </c>
      <c r="R624" s="78" t="str">
        <f>_xlfn.XLOOKUP(tblMovimientos[[#This Row],[Cuenta Bancaria]],Cuentas!$C:$C,Cuentas!$B:$B,"",0,-1)&amp;""</f>
        <v/>
      </c>
    </row>
    <row r="625" spans="2:18" x14ac:dyDescent="0.3">
      <c r="B625" s="39">
        <v>46227</v>
      </c>
      <c r="C625" s="4" t="str">
        <f>_xlfn.XLOOKUP(tblMovimientos[[#This Row],[Cuenta Bancaria]],Listas!$B:$B,Listas!$A:$A,"")</f>
        <v>Go Blue</v>
      </c>
      <c r="D625" s="41" t="s">
        <v>165</v>
      </c>
      <c r="E625" s="68" t="str">
        <f>_xlfn.XLOOKUP(tblMovimientos[[#This Row],[Cuenta Bancaria]],Listas!$B:$B,Listas!$C:$C,"")</f>
        <v xml:space="preserve">Amerant Bank </v>
      </c>
      <c r="F625" s="41" t="s">
        <v>10</v>
      </c>
      <c r="G625" s="41" t="s">
        <v>38</v>
      </c>
      <c r="H625" s="4" t="str">
        <f>IFERROR(_xlfn.XLOOKUP(G625,Listas!E:E,Listas!F:F,""),"")</f>
        <v>Operativo</v>
      </c>
      <c r="I625" s="46" t="str">
        <f>IFERROR(_xlfn.XLOOKUP(G625,Listas!E:E,Listas!G:G,""),"")</f>
        <v>Externo</v>
      </c>
      <c r="J625" s="43">
        <v>164.76</v>
      </c>
      <c r="K625" s="5">
        <f t="shared" si="9"/>
        <v>-164.76</v>
      </c>
      <c r="L625" s="15" t="s">
        <v>129</v>
      </c>
      <c r="M625" s="44">
        <f>SUMIFS('Saldos Iniciales'!$D:$D,'Saldos Iniciales'!$A:$A,C625,'Saldos Iniciales'!$B:$B,D625)+SUMIFS($K$1:$K$1324,$C$1:$C$1324,C625,$D$1:$D$1324,D625,$B$1:$B$1324,"&lt;="&amp;B625)</f>
        <v>4598.920000000001</v>
      </c>
      <c r="N625" s="61" t="str">
        <f>IF(tblMovimientos[[#This Row],[Tipo de Movimiento]]="Ingreso",tblMovimientos[[#This Row],[Monto (S/)]],"0")</f>
        <v>0</v>
      </c>
      <c r="O625" s="61">
        <f>IF(tblMovimientos[[#This Row],[Tipo de Movimiento]]="Egreso",tblMovimientos[[#This Row],[Monto (S/)]],"0")</f>
        <v>164.76</v>
      </c>
      <c r="P625" s="28">
        <f>IF(tblMovimientos[[#This Row],[Tipo de Movimiento]]="Ingreso",tblMovimientos[[#This Row],[Ingreso]],-tblMovimientos[[#This Row],[Egreso]])</f>
        <v>-164.76</v>
      </c>
      <c r="Q625" s="78" t="str">
        <f>_xlfn.XLOOKUP(tblMovimientos[[#This Row],[Cuenta Bancaria]],Cuentas!$C:$C,Cuentas!$A:$A,"")&amp;""</f>
        <v>SSP Group</v>
      </c>
      <c r="R625" s="78" t="str">
        <f>_xlfn.XLOOKUP(tblMovimientos[[#This Row],[Cuenta Bancaria]],Cuentas!$C:$C,Cuentas!$B:$B,"",0,-1)&amp;""</f>
        <v/>
      </c>
    </row>
    <row r="626" spans="2:18" x14ac:dyDescent="0.3">
      <c r="B626" s="39">
        <v>46230</v>
      </c>
      <c r="C626" s="4" t="str">
        <f>_xlfn.XLOOKUP(tblMovimientos[[#This Row],[Cuenta Bancaria]],Listas!$B:$B,Listas!$A:$A,"")</f>
        <v>A&amp;M Imports</v>
      </c>
      <c r="D626" s="41" t="s">
        <v>100</v>
      </c>
      <c r="E626" s="68" t="str">
        <f>_xlfn.XLOOKUP(tblMovimientos[[#This Row],[Cuenta Bancaria]],Listas!$B:$B,Listas!$C:$C,"")</f>
        <v>Bank of America</v>
      </c>
      <c r="F626" s="41" t="s">
        <v>9</v>
      </c>
      <c r="G626" s="41" t="s">
        <v>80</v>
      </c>
      <c r="H626" s="4" t="str">
        <f>IFERROR(_xlfn.XLOOKUP(G626,Listas!E:E,Listas!F:F,""),"")</f>
        <v>Operativo</v>
      </c>
      <c r="I626" s="46" t="str">
        <f>IFERROR(_xlfn.XLOOKUP(G626,Listas!E:E,Listas!G:G,""),"")</f>
        <v>Externo</v>
      </c>
      <c r="J626" s="43">
        <v>350000</v>
      </c>
      <c r="K626" s="5">
        <f t="shared" si="9"/>
        <v>350000</v>
      </c>
      <c r="L626" s="15" t="s">
        <v>129</v>
      </c>
      <c r="M626" s="44">
        <f>SUMIFS('Saldos Iniciales'!$D:$D,'Saldos Iniciales'!$A:$A,C626,'Saldos Iniciales'!$B:$B,D626)+SUMIFS($K$1:$K$1324,$C$1:$C$1324,C626,$D$1:$D$1324,D626,$B$1:$B$1324,"&lt;="&amp;B626)</f>
        <v>1392744.6899999997</v>
      </c>
      <c r="N626" s="61">
        <f>IF(tblMovimientos[[#This Row],[Tipo de Movimiento]]="Ingreso",tblMovimientos[[#This Row],[Monto (S/)]],"0")</f>
        <v>350000</v>
      </c>
      <c r="O626" s="61" t="str">
        <f>IF(tblMovimientos[[#This Row],[Tipo de Movimiento]]="Egreso",tblMovimientos[[#This Row],[Monto (S/)]],"0")</f>
        <v>0</v>
      </c>
      <c r="P626" s="28">
        <f>IF(tblMovimientos[[#This Row],[Tipo de Movimiento]]="Ingreso",tblMovimientos[[#This Row],[Ingreso]],-tblMovimientos[[#This Row],[Egreso]])</f>
        <v>350000</v>
      </c>
      <c r="Q626" s="78" t="str">
        <f>_xlfn.XLOOKUP(tblMovimientos[[#This Row],[Cuenta Bancaria]],Cuentas!$C:$C,Cuentas!$A:$A,"")&amp;""</f>
        <v>SSP Group</v>
      </c>
      <c r="R626" s="78" t="str">
        <f>_xlfn.XLOOKUP(tblMovimientos[[#This Row],[Cuenta Bancaria]],Cuentas!$C:$C,Cuentas!$B:$B,"",0,-1)&amp;""</f>
        <v/>
      </c>
    </row>
    <row r="627" spans="2:18" x14ac:dyDescent="0.3">
      <c r="B627" s="39">
        <v>46230</v>
      </c>
      <c r="C627" s="4" t="str">
        <f>_xlfn.XLOOKUP(tblMovimientos[[#This Row],[Cuenta Bancaria]],Listas!$B:$B,Listas!$A:$A,"")</f>
        <v>Go Blue</v>
      </c>
      <c r="D627" s="41" t="s">
        <v>165</v>
      </c>
      <c r="E627" s="68" t="str">
        <f>_xlfn.XLOOKUP(tblMovimientos[[#This Row],[Cuenta Bancaria]],Listas!$B:$B,Listas!$C:$C,"")</f>
        <v xml:space="preserve">Amerant Bank </v>
      </c>
      <c r="F627" s="41" t="s">
        <v>9</v>
      </c>
      <c r="G627" s="41" t="s">
        <v>85</v>
      </c>
      <c r="H627" s="4" t="str">
        <f>IFERROR(_xlfn.XLOOKUP(G627,Listas!E:E,Listas!F:F,""),"")</f>
        <v>Operativo</v>
      </c>
      <c r="I627" s="46" t="str">
        <f>IFERROR(_xlfn.XLOOKUP(G627,Listas!E:E,Listas!G:G,""),"")</f>
        <v>Interno</v>
      </c>
      <c r="J627" s="43">
        <v>4000</v>
      </c>
      <c r="K627" s="5">
        <f t="shared" si="9"/>
        <v>4000</v>
      </c>
      <c r="L627" s="15" t="s">
        <v>129</v>
      </c>
      <c r="M627" s="44">
        <f>SUMIFS('Saldos Iniciales'!$D:$D,'Saldos Iniciales'!$A:$A,C627,'Saldos Iniciales'!$B:$B,D627)+SUMIFS($K$1:$K$1324,$C$1:$C$1324,C627,$D$1:$D$1324,D627,$B$1:$B$1324,"&lt;="&amp;B627)</f>
        <v>4459.4700000000012</v>
      </c>
      <c r="N627" s="61">
        <f>IF(tblMovimientos[[#This Row],[Tipo de Movimiento]]="Ingreso",tblMovimientos[[#This Row],[Monto (S/)]],"0")</f>
        <v>4000</v>
      </c>
      <c r="O627" s="61" t="str">
        <f>IF(tblMovimientos[[#This Row],[Tipo de Movimiento]]="Egreso",tblMovimientos[[#This Row],[Monto (S/)]],"0")</f>
        <v>0</v>
      </c>
      <c r="P627" s="28">
        <f>IF(tblMovimientos[[#This Row],[Tipo de Movimiento]]="Ingreso",tblMovimientos[[#This Row],[Ingreso]],-tblMovimientos[[#This Row],[Egreso]])</f>
        <v>4000</v>
      </c>
      <c r="Q627" s="78" t="str">
        <f>_xlfn.XLOOKUP(tblMovimientos[[#This Row],[Cuenta Bancaria]],Cuentas!$C:$C,Cuentas!$A:$A,"")&amp;""</f>
        <v>SSP Group</v>
      </c>
      <c r="R627" s="78" t="str">
        <f>_xlfn.XLOOKUP(tblMovimientos[[#This Row],[Cuenta Bancaria]],Cuentas!$C:$C,Cuentas!$B:$B,"",0,-1)&amp;""</f>
        <v/>
      </c>
    </row>
    <row r="628" spans="2:18" x14ac:dyDescent="0.3">
      <c r="B628" s="39">
        <v>46230</v>
      </c>
      <c r="C628" s="4" t="str">
        <f>_xlfn.XLOOKUP(tblMovimientos[[#This Row],[Cuenta Bancaria]],Listas!$B:$B,Listas!$A:$A,"")</f>
        <v>Go Blue</v>
      </c>
      <c r="D628" s="41" t="s">
        <v>165</v>
      </c>
      <c r="E628" s="68" t="str">
        <f>_xlfn.XLOOKUP(tblMovimientos[[#This Row],[Cuenta Bancaria]],Listas!$B:$B,Listas!$C:$C,"")</f>
        <v xml:space="preserve">Amerant Bank </v>
      </c>
      <c r="F628" s="41" t="s">
        <v>10</v>
      </c>
      <c r="G628" s="41" t="s">
        <v>38</v>
      </c>
      <c r="H628" s="4" t="str">
        <f>IFERROR(_xlfn.XLOOKUP(G628,Listas!E:E,Listas!F:F,""),"")</f>
        <v>Operativo</v>
      </c>
      <c r="I628" s="46" t="str">
        <f>IFERROR(_xlfn.XLOOKUP(G628,Listas!E:E,Listas!G:G,""),"")</f>
        <v>Externo</v>
      </c>
      <c r="J628" s="43">
        <v>1969.07</v>
      </c>
      <c r="K628" s="5">
        <f t="shared" si="9"/>
        <v>-1969.07</v>
      </c>
      <c r="L628" s="15" t="s">
        <v>129</v>
      </c>
      <c r="M628" s="44">
        <f>SUMIFS('Saldos Iniciales'!$D:$D,'Saldos Iniciales'!$A:$A,C628,'Saldos Iniciales'!$B:$B,D628)+SUMIFS($K$1:$K$1324,$C$1:$C$1324,C628,$D$1:$D$1324,D628,$B$1:$B$1324,"&lt;="&amp;B628)</f>
        <v>4459.4700000000012</v>
      </c>
      <c r="N628" s="61" t="str">
        <f>IF(tblMovimientos[[#This Row],[Tipo de Movimiento]]="Ingreso",tblMovimientos[[#This Row],[Monto (S/)]],"0")</f>
        <v>0</v>
      </c>
      <c r="O628" s="61">
        <f>IF(tblMovimientos[[#This Row],[Tipo de Movimiento]]="Egreso",tblMovimientos[[#This Row],[Monto (S/)]],"0")</f>
        <v>1969.07</v>
      </c>
      <c r="P628" s="28">
        <f>IF(tblMovimientos[[#This Row],[Tipo de Movimiento]]="Ingreso",tblMovimientos[[#This Row],[Ingreso]],-tblMovimientos[[#This Row],[Egreso]])</f>
        <v>-1969.07</v>
      </c>
      <c r="Q628" s="78" t="str">
        <f>_xlfn.XLOOKUP(tblMovimientos[[#This Row],[Cuenta Bancaria]],Cuentas!$C:$C,Cuentas!$A:$A,"")&amp;""</f>
        <v>SSP Group</v>
      </c>
      <c r="R628" s="78" t="str">
        <f>_xlfn.XLOOKUP(tblMovimientos[[#This Row],[Cuenta Bancaria]],Cuentas!$C:$C,Cuentas!$B:$B,"",0,-1)&amp;""</f>
        <v/>
      </c>
    </row>
    <row r="629" spans="2:18" x14ac:dyDescent="0.3">
      <c r="B629" s="39">
        <v>46230</v>
      </c>
      <c r="C629" s="4" t="str">
        <f>_xlfn.XLOOKUP(tblMovimientos[[#This Row],[Cuenta Bancaria]],Listas!$B:$B,Listas!$A:$A,"")</f>
        <v>Go Blue</v>
      </c>
      <c r="D629" s="41" t="s">
        <v>165</v>
      </c>
      <c r="E629" s="68" t="str">
        <f>_xlfn.XLOOKUP(tblMovimientos[[#This Row],[Cuenta Bancaria]],Listas!$B:$B,Listas!$C:$C,"")</f>
        <v xml:space="preserve">Amerant Bank </v>
      </c>
      <c r="F629" s="41" t="s">
        <v>10</v>
      </c>
      <c r="G629" s="41" t="s">
        <v>38</v>
      </c>
      <c r="H629" s="4" t="str">
        <f>IFERROR(_xlfn.XLOOKUP(G629,Listas!E:E,Listas!F:F,""),"")</f>
        <v>Operativo</v>
      </c>
      <c r="I629" s="46" t="str">
        <f>IFERROR(_xlfn.XLOOKUP(G629,Listas!E:E,Listas!G:G,""),"")</f>
        <v>Externo</v>
      </c>
      <c r="J629" s="43">
        <v>145.56</v>
      </c>
      <c r="K629" s="5">
        <f t="shared" si="9"/>
        <v>-145.56</v>
      </c>
      <c r="L629" s="15" t="s">
        <v>129</v>
      </c>
      <c r="M629" s="44">
        <f>SUMIFS('Saldos Iniciales'!$D:$D,'Saldos Iniciales'!$A:$A,C629,'Saldos Iniciales'!$B:$B,D629)+SUMIFS($K$1:$K$1324,$C$1:$C$1324,C629,$D$1:$D$1324,D629,$B$1:$B$1324,"&lt;="&amp;B629)</f>
        <v>4459.4700000000012</v>
      </c>
      <c r="N629" s="61" t="str">
        <f>IF(tblMovimientos[[#This Row],[Tipo de Movimiento]]="Ingreso",tblMovimientos[[#This Row],[Monto (S/)]],"0")</f>
        <v>0</v>
      </c>
      <c r="O629" s="61">
        <f>IF(tblMovimientos[[#This Row],[Tipo de Movimiento]]="Egreso",tblMovimientos[[#This Row],[Monto (S/)]],"0")</f>
        <v>145.56</v>
      </c>
      <c r="P629" s="28">
        <f>IF(tblMovimientos[[#This Row],[Tipo de Movimiento]]="Ingreso",tblMovimientos[[#This Row],[Ingreso]],-tblMovimientos[[#This Row],[Egreso]])</f>
        <v>-145.56</v>
      </c>
      <c r="Q629" s="78" t="str">
        <f>_xlfn.XLOOKUP(tblMovimientos[[#This Row],[Cuenta Bancaria]],Cuentas!$C:$C,Cuentas!$A:$A,"")&amp;""</f>
        <v>SSP Group</v>
      </c>
      <c r="R629" s="78" t="str">
        <f>_xlfn.XLOOKUP(tblMovimientos[[#This Row],[Cuenta Bancaria]],Cuentas!$C:$C,Cuentas!$B:$B,"",0,-1)&amp;""</f>
        <v/>
      </c>
    </row>
    <row r="630" spans="2:18" x14ac:dyDescent="0.3">
      <c r="B630" s="39">
        <v>46230</v>
      </c>
      <c r="C630" s="4" t="str">
        <f>_xlfn.XLOOKUP(tblMovimientos[[#This Row],[Cuenta Bancaria]],Listas!$B:$B,Listas!$A:$A,"")</f>
        <v>Go Blue</v>
      </c>
      <c r="D630" s="41" t="s">
        <v>165</v>
      </c>
      <c r="E630" s="68" t="str">
        <f>_xlfn.XLOOKUP(tblMovimientos[[#This Row],[Cuenta Bancaria]],Listas!$B:$B,Listas!$C:$C,"")</f>
        <v xml:space="preserve">Amerant Bank </v>
      </c>
      <c r="F630" s="41" t="s">
        <v>10</v>
      </c>
      <c r="G630" s="41" t="s">
        <v>38</v>
      </c>
      <c r="H630" s="4" t="str">
        <f>IFERROR(_xlfn.XLOOKUP(G630,Listas!E:E,Listas!F:F,""),"")</f>
        <v>Operativo</v>
      </c>
      <c r="I630" s="46" t="str">
        <f>IFERROR(_xlfn.XLOOKUP(G630,Listas!E:E,Listas!G:G,""),"")</f>
        <v>Externo</v>
      </c>
      <c r="J630" s="43">
        <v>132.26</v>
      </c>
      <c r="K630" s="5">
        <f t="shared" si="9"/>
        <v>-132.26</v>
      </c>
      <c r="L630" s="15" t="s">
        <v>129</v>
      </c>
      <c r="M630" s="44">
        <f>SUMIFS('Saldos Iniciales'!$D:$D,'Saldos Iniciales'!$A:$A,C630,'Saldos Iniciales'!$B:$B,D630)+SUMIFS($K$1:$K$1324,$C$1:$C$1324,C630,$D$1:$D$1324,D630,$B$1:$B$1324,"&lt;="&amp;B630)</f>
        <v>4459.4700000000012</v>
      </c>
      <c r="N630" s="61" t="str">
        <f>IF(tblMovimientos[[#This Row],[Tipo de Movimiento]]="Ingreso",tblMovimientos[[#This Row],[Monto (S/)]],"0")</f>
        <v>0</v>
      </c>
      <c r="O630" s="61">
        <f>IF(tblMovimientos[[#This Row],[Tipo de Movimiento]]="Egreso",tblMovimientos[[#This Row],[Monto (S/)]],"0")</f>
        <v>132.26</v>
      </c>
      <c r="P630" s="28">
        <f>IF(tblMovimientos[[#This Row],[Tipo de Movimiento]]="Ingreso",tblMovimientos[[#This Row],[Ingreso]],-tblMovimientos[[#This Row],[Egreso]])</f>
        <v>-132.26</v>
      </c>
      <c r="Q630" s="78" t="str">
        <f>_xlfn.XLOOKUP(tblMovimientos[[#This Row],[Cuenta Bancaria]],Cuentas!$C:$C,Cuentas!$A:$A,"")&amp;""</f>
        <v>SSP Group</v>
      </c>
      <c r="R630" s="78" t="str">
        <f>_xlfn.XLOOKUP(tblMovimientos[[#This Row],[Cuenta Bancaria]],Cuentas!$C:$C,Cuentas!$B:$B,"",0,-1)&amp;""</f>
        <v/>
      </c>
    </row>
    <row r="631" spans="2:18" x14ac:dyDescent="0.3">
      <c r="B631" s="39">
        <v>46230</v>
      </c>
      <c r="C631" s="4" t="str">
        <f>_xlfn.XLOOKUP(tblMovimientos[[#This Row],[Cuenta Bancaria]],Listas!$B:$B,Listas!$A:$A,"")</f>
        <v>Go Blue</v>
      </c>
      <c r="D631" s="41" t="s">
        <v>165</v>
      </c>
      <c r="E631" s="68" t="str">
        <f>_xlfn.XLOOKUP(tblMovimientos[[#This Row],[Cuenta Bancaria]],Listas!$B:$B,Listas!$C:$C,"")</f>
        <v xml:space="preserve">Amerant Bank </v>
      </c>
      <c r="F631" s="41" t="s">
        <v>10</v>
      </c>
      <c r="G631" s="41" t="s">
        <v>38</v>
      </c>
      <c r="H631" s="4" t="str">
        <f>IFERROR(_xlfn.XLOOKUP(G631,Listas!E:E,Listas!F:F,""),"")</f>
        <v>Operativo</v>
      </c>
      <c r="I631" s="46" t="str">
        <f>IFERROR(_xlfn.XLOOKUP(G631,Listas!E:E,Listas!G:G,""),"")</f>
        <v>Externo</v>
      </c>
      <c r="J631" s="43">
        <v>1463.85</v>
      </c>
      <c r="K631" s="5">
        <f t="shared" si="9"/>
        <v>-1463.85</v>
      </c>
      <c r="L631" s="15" t="s">
        <v>129</v>
      </c>
      <c r="M631" s="44">
        <f>SUMIFS('Saldos Iniciales'!$D:$D,'Saldos Iniciales'!$A:$A,C631,'Saldos Iniciales'!$B:$B,D631)+SUMIFS($K$1:$K$1324,$C$1:$C$1324,C631,$D$1:$D$1324,D631,$B$1:$B$1324,"&lt;="&amp;B631)</f>
        <v>4459.4700000000012</v>
      </c>
      <c r="N631" s="61" t="str">
        <f>IF(tblMovimientos[[#This Row],[Tipo de Movimiento]]="Ingreso",tblMovimientos[[#This Row],[Monto (S/)]],"0")</f>
        <v>0</v>
      </c>
      <c r="O631" s="61">
        <f>IF(tblMovimientos[[#This Row],[Tipo de Movimiento]]="Egreso",tblMovimientos[[#This Row],[Monto (S/)]],"0")</f>
        <v>1463.85</v>
      </c>
      <c r="P631" s="28">
        <f>IF(tblMovimientos[[#This Row],[Tipo de Movimiento]]="Ingreso",tblMovimientos[[#This Row],[Ingreso]],-tblMovimientos[[#This Row],[Egreso]])</f>
        <v>-1463.85</v>
      </c>
      <c r="Q631" s="78" t="str">
        <f>_xlfn.XLOOKUP(tblMovimientos[[#This Row],[Cuenta Bancaria]],Cuentas!$C:$C,Cuentas!$A:$A,"")&amp;""</f>
        <v>SSP Group</v>
      </c>
      <c r="R631" s="78" t="str">
        <f>_xlfn.XLOOKUP(tblMovimientos[[#This Row],[Cuenta Bancaria]],Cuentas!$C:$C,Cuentas!$B:$B,"",0,-1)&amp;""</f>
        <v/>
      </c>
    </row>
    <row r="632" spans="2:18" x14ac:dyDescent="0.3">
      <c r="B632" s="39">
        <v>46230</v>
      </c>
      <c r="C632" s="4" t="str">
        <f>_xlfn.XLOOKUP(tblMovimientos[[#This Row],[Cuenta Bancaria]],Listas!$B:$B,Listas!$A:$A,"")</f>
        <v>Go Blue</v>
      </c>
      <c r="D632" s="41" t="s">
        <v>165</v>
      </c>
      <c r="E632" s="68" t="str">
        <f>_xlfn.XLOOKUP(tblMovimientos[[#This Row],[Cuenta Bancaria]],Listas!$B:$B,Listas!$C:$C,"")</f>
        <v xml:space="preserve">Amerant Bank </v>
      </c>
      <c r="F632" s="41" t="s">
        <v>10</v>
      </c>
      <c r="G632" s="41" t="s">
        <v>38</v>
      </c>
      <c r="H632" s="4" t="str">
        <f>IFERROR(_xlfn.XLOOKUP(G632,Listas!E:E,Listas!F:F,""),"")</f>
        <v>Operativo</v>
      </c>
      <c r="I632" s="46" t="str">
        <f>IFERROR(_xlfn.XLOOKUP(G632,Listas!E:E,Listas!G:G,""),"")</f>
        <v>Externo</v>
      </c>
      <c r="J632" s="43">
        <v>74.7</v>
      </c>
      <c r="K632" s="5">
        <f t="shared" si="9"/>
        <v>-74.7</v>
      </c>
      <c r="L632" s="15" t="s">
        <v>129</v>
      </c>
      <c r="M632" s="44">
        <f>SUMIFS('Saldos Iniciales'!$D:$D,'Saldos Iniciales'!$A:$A,C632,'Saldos Iniciales'!$B:$B,D632)+SUMIFS($K$1:$K$1324,$C$1:$C$1324,C632,$D$1:$D$1324,D632,$B$1:$B$1324,"&lt;="&amp;B632)</f>
        <v>4459.4700000000012</v>
      </c>
      <c r="N632" s="61" t="str">
        <f>IF(tblMovimientos[[#This Row],[Tipo de Movimiento]]="Ingreso",tblMovimientos[[#This Row],[Monto (S/)]],"0")</f>
        <v>0</v>
      </c>
      <c r="O632" s="61">
        <f>IF(tblMovimientos[[#This Row],[Tipo de Movimiento]]="Egreso",tblMovimientos[[#This Row],[Monto (S/)]],"0")</f>
        <v>74.7</v>
      </c>
      <c r="P632" s="28">
        <f>IF(tblMovimientos[[#This Row],[Tipo de Movimiento]]="Ingreso",tblMovimientos[[#This Row],[Ingreso]],-tblMovimientos[[#This Row],[Egreso]])</f>
        <v>-74.7</v>
      </c>
      <c r="Q632" s="78" t="str">
        <f>_xlfn.XLOOKUP(tblMovimientos[[#This Row],[Cuenta Bancaria]],Cuentas!$C:$C,Cuentas!$A:$A,"")&amp;""</f>
        <v>SSP Group</v>
      </c>
      <c r="R632" s="78" t="str">
        <f>_xlfn.XLOOKUP(tblMovimientos[[#This Row],[Cuenta Bancaria]],Cuentas!$C:$C,Cuentas!$B:$B,"",0,-1)&amp;""</f>
        <v/>
      </c>
    </row>
    <row r="633" spans="2:18" x14ac:dyDescent="0.3">
      <c r="B633" s="39">
        <v>46230</v>
      </c>
      <c r="C633" s="4" t="str">
        <f>_xlfn.XLOOKUP(tblMovimientos[[#This Row],[Cuenta Bancaria]],Listas!$B:$B,Listas!$A:$A,"")</f>
        <v>Go Blue</v>
      </c>
      <c r="D633" s="41" t="s">
        <v>165</v>
      </c>
      <c r="E633" s="68" t="str">
        <f>_xlfn.XLOOKUP(tblMovimientos[[#This Row],[Cuenta Bancaria]],Listas!$B:$B,Listas!$C:$C,"")</f>
        <v xml:space="preserve">Amerant Bank </v>
      </c>
      <c r="F633" s="41" t="s">
        <v>10</v>
      </c>
      <c r="G633" s="41" t="s">
        <v>38</v>
      </c>
      <c r="H633" s="4" t="str">
        <f>IFERROR(_xlfn.XLOOKUP(G633,Listas!E:E,Listas!F:F,""),"")</f>
        <v>Operativo</v>
      </c>
      <c r="I633" s="46" t="str">
        <f>IFERROR(_xlfn.XLOOKUP(G633,Listas!E:E,Listas!G:G,""),"")</f>
        <v>Externo</v>
      </c>
      <c r="J633" s="43">
        <v>116.96</v>
      </c>
      <c r="K633" s="5">
        <f t="shared" si="9"/>
        <v>-116.96</v>
      </c>
      <c r="L633" s="15" t="s">
        <v>129</v>
      </c>
      <c r="M633" s="44">
        <f>SUMIFS('Saldos Iniciales'!$D:$D,'Saldos Iniciales'!$A:$A,C633,'Saldos Iniciales'!$B:$B,D633)+SUMIFS($K$1:$K$1324,$C$1:$C$1324,C633,$D$1:$D$1324,D633,$B$1:$B$1324,"&lt;="&amp;B633)</f>
        <v>4459.4700000000012</v>
      </c>
      <c r="N633" s="61" t="str">
        <f>IF(tblMovimientos[[#This Row],[Tipo de Movimiento]]="Ingreso",tblMovimientos[[#This Row],[Monto (S/)]],"0")</f>
        <v>0</v>
      </c>
      <c r="O633" s="61">
        <f>IF(tblMovimientos[[#This Row],[Tipo de Movimiento]]="Egreso",tblMovimientos[[#This Row],[Monto (S/)]],"0")</f>
        <v>116.96</v>
      </c>
      <c r="P633" s="28">
        <f>IF(tblMovimientos[[#This Row],[Tipo de Movimiento]]="Ingreso",tblMovimientos[[#This Row],[Ingreso]],-tblMovimientos[[#This Row],[Egreso]])</f>
        <v>-116.96</v>
      </c>
      <c r="Q633" s="78" t="str">
        <f>_xlfn.XLOOKUP(tblMovimientos[[#This Row],[Cuenta Bancaria]],Cuentas!$C:$C,Cuentas!$A:$A,"")&amp;""</f>
        <v>SSP Group</v>
      </c>
      <c r="R633" s="78" t="str">
        <f>_xlfn.XLOOKUP(tblMovimientos[[#This Row],[Cuenta Bancaria]],Cuentas!$C:$C,Cuentas!$B:$B,"",0,-1)&amp;""</f>
        <v/>
      </c>
    </row>
    <row r="634" spans="2:18" x14ac:dyDescent="0.3">
      <c r="B634" s="39">
        <v>46230</v>
      </c>
      <c r="C634" s="4" t="str">
        <f>_xlfn.XLOOKUP(tblMovimientos[[#This Row],[Cuenta Bancaria]],Listas!$B:$B,Listas!$A:$A,"")</f>
        <v>Go Blue</v>
      </c>
      <c r="D634" s="41" t="s">
        <v>165</v>
      </c>
      <c r="E634" s="68" t="str">
        <f>_xlfn.XLOOKUP(tblMovimientos[[#This Row],[Cuenta Bancaria]],Listas!$B:$B,Listas!$C:$C,"")</f>
        <v xml:space="preserve">Amerant Bank </v>
      </c>
      <c r="F634" s="41" t="s">
        <v>10</v>
      </c>
      <c r="G634" s="41" t="s">
        <v>38</v>
      </c>
      <c r="H634" s="4" t="str">
        <f>IFERROR(_xlfn.XLOOKUP(G634,Listas!E:E,Listas!F:F,""),"")</f>
        <v>Operativo</v>
      </c>
      <c r="I634" s="46" t="str">
        <f>IFERROR(_xlfn.XLOOKUP(G634,Listas!E:E,Listas!G:G,""),"")</f>
        <v>Externo</v>
      </c>
      <c r="J634" s="43">
        <v>79.430000000000007</v>
      </c>
      <c r="K634" s="5">
        <f t="shared" si="9"/>
        <v>-79.430000000000007</v>
      </c>
      <c r="L634" s="15" t="s">
        <v>129</v>
      </c>
      <c r="M634" s="44">
        <f>SUMIFS('Saldos Iniciales'!$D:$D,'Saldos Iniciales'!$A:$A,C634,'Saldos Iniciales'!$B:$B,D634)+SUMIFS($K$1:$K$1324,$C$1:$C$1324,C634,$D$1:$D$1324,D634,$B$1:$B$1324,"&lt;="&amp;B634)</f>
        <v>4459.4700000000012</v>
      </c>
      <c r="N634" s="61" t="str">
        <f>IF(tblMovimientos[[#This Row],[Tipo de Movimiento]]="Ingreso",tblMovimientos[[#This Row],[Monto (S/)]],"0")</f>
        <v>0</v>
      </c>
      <c r="O634" s="61">
        <f>IF(tblMovimientos[[#This Row],[Tipo de Movimiento]]="Egreso",tblMovimientos[[#This Row],[Monto (S/)]],"0")</f>
        <v>79.430000000000007</v>
      </c>
      <c r="P634" s="28">
        <f>IF(tblMovimientos[[#This Row],[Tipo de Movimiento]]="Ingreso",tblMovimientos[[#This Row],[Ingreso]],-tblMovimientos[[#This Row],[Egreso]])</f>
        <v>-79.430000000000007</v>
      </c>
      <c r="Q634" s="78" t="str">
        <f>_xlfn.XLOOKUP(tblMovimientos[[#This Row],[Cuenta Bancaria]],Cuentas!$C:$C,Cuentas!$A:$A,"")&amp;""</f>
        <v>SSP Group</v>
      </c>
      <c r="R634" s="78" t="str">
        <f>_xlfn.XLOOKUP(tblMovimientos[[#This Row],[Cuenta Bancaria]],Cuentas!$C:$C,Cuentas!$B:$B,"",0,-1)&amp;""</f>
        <v/>
      </c>
    </row>
    <row r="635" spans="2:18" x14ac:dyDescent="0.3">
      <c r="B635" s="39">
        <v>46230</v>
      </c>
      <c r="C635" s="4" t="str">
        <f>_xlfn.XLOOKUP(tblMovimientos[[#This Row],[Cuenta Bancaria]],Listas!$B:$B,Listas!$A:$A,"")</f>
        <v>Go Blue</v>
      </c>
      <c r="D635" s="41" t="s">
        <v>165</v>
      </c>
      <c r="E635" s="68" t="str">
        <f>_xlfn.XLOOKUP(tblMovimientos[[#This Row],[Cuenta Bancaria]],Listas!$B:$B,Listas!$C:$C,"")</f>
        <v xml:space="preserve">Amerant Bank </v>
      </c>
      <c r="F635" s="41" t="s">
        <v>10</v>
      </c>
      <c r="G635" s="41" t="s">
        <v>38</v>
      </c>
      <c r="H635" s="4" t="str">
        <f>IFERROR(_xlfn.XLOOKUP(G635,Listas!E:E,Listas!F:F,""),"")</f>
        <v>Operativo</v>
      </c>
      <c r="I635" s="46" t="str">
        <f>IFERROR(_xlfn.XLOOKUP(G635,Listas!E:E,Listas!G:G,""),"")</f>
        <v>Externo</v>
      </c>
      <c r="J635" s="43">
        <v>81.56</v>
      </c>
      <c r="K635" s="5">
        <f t="shared" si="9"/>
        <v>-81.56</v>
      </c>
      <c r="L635" s="15" t="s">
        <v>129</v>
      </c>
      <c r="M635" s="44">
        <f>SUMIFS('Saldos Iniciales'!$D:$D,'Saldos Iniciales'!$A:$A,C635,'Saldos Iniciales'!$B:$B,D635)+SUMIFS($K$1:$K$1324,$C$1:$C$1324,C635,$D$1:$D$1324,D635,$B$1:$B$1324,"&lt;="&amp;B635)</f>
        <v>4459.4700000000012</v>
      </c>
      <c r="N635" s="61" t="str">
        <f>IF(tblMovimientos[[#This Row],[Tipo de Movimiento]]="Ingreso",tblMovimientos[[#This Row],[Monto (S/)]],"0")</f>
        <v>0</v>
      </c>
      <c r="O635" s="61">
        <f>IF(tblMovimientos[[#This Row],[Tipo de Movimiento]]="Egreso",tblMovimientos[[#This Row],[Monto (S/)]],"0")</f>
        <v>81.56</v>
      </c>
      <c r="P635" s="28">
        <f>IF(tblMovimientos[[#This Row],[Tipo de Movimiento]]="Ingreso",tblMovimientos[[#This Row],[Ingreso]],-tblMovimientos[[#This Row],[Egreso]])</f>
        <v>-81.56</v>
      </c>
      <c r="Q635" s="78" t="str">
        <f>_xlfn.XLOOKUP(tblMovimientos[[#This Row],[Cuenta Bancaria]],Cuentas!$C:$C,Cuentas!$A:$A,"")&amp;""</f>
        <v>SSP Group</v>
      </c>
      <c r="R635" s="78" t="str">
        <f>_xlfn.XLOOKUP(tblMovimientos[[#This Row],[Cuenta Bancaria]],Cuentas!$C:$C,Cuentas!$B:$B,"",0,-1)&amp;""</f>
        <v/>
      </c>
    </row>
    <row r="636" spans="2:18" x14ac:dyDescent="0.3">
      <c r="B636" s="39">
        <v>46230</v>
      </c>
      <c r="C636" s="4" t="str">
        <f>_xlfn.XLOOKUP(tblMovimientos[[#This Row],[Cuenta Bancaria]],Listas!$B:$B,Listas!$A:$A,"")</f>
        <v>Go Blue</v>
      </c>
      <c r="D636" s="41" t="s">
        <v>165</v>
      </c>
      <c r="E636" s="68" t="str">
        <f>_xlfn.XLOOKUP(tblMovimientos[[#This Row],[Cuenta Bancaria]],Listas!$B:$B,Listas!$C:$C,"")</f>
        <v xml:space="preserve">Amerant Bank </v>
      </c>
      <c r="F636" s="41" t="s">
        <v>10</v>
      </c>
      <c r="G636" s="41" t="s">
        <v>38</v>
      </c>
      <c r="H636" s="4" t="str">
        <f>IFERROR(_xlfn.XLOOKUP(G636,Listas!E:E,Listas!F:F,""),"")</f>
        <v>Operativo</v>
      </c>
      <c r="I636" s="46" t="str">
        <f>IFERROR(_xlfn.XLOOKUP(G636,Listas!E:E,Listas!G:G,""),"")</f>
        <v>Externo</v>
      </c>
      <c r="J636" s="43">
        <v>76.06</v>
      </c>
      <c r="K636" s="5">
        <f t="shared" si="9"/>
        <v>-76.06</v>
      </c>
      <c r="L636" s="15" t="s">
        <v>129</v>
      </c>
      <c r="M636" s="44">
        <f>SUMIFS('Saldos Iniciales'!$D:$D,'Saldos Iniciales'!$A:$A,C636,'Saldos Iniciales'!$B:$B,D636)+SUMIFS($K$1:$K$1324,$C$1:$C$1324,C636,$D$1:$D$1324,D636,$B$1:$B$1324,"&lt;="&amp;B636)</f>
        <v>4459.4700000000012</v>
      </c>
      <c r="N636" s="61" t="str">
        <f>IF(tblMovimientos[[#This Row],[Tipo de Movimiento]]="Ingreso",tblMovimientos[[#This Row],[Monto (S/)]],"0")</f>
        <v>0</v>
      </c>
      <c r="O636" s="61">
        <f>IF(tblMovimientos[[#This Row],[Tipo de Movimiento]]="Egreso",tblMovimientos[[#This Row],[Monto (S/)]],"0")</f>
        <v>76.06</v>
      </c>
      <c r="P636" s="28">
        <f>IF(tblMovimientos[[#This Row],[Tipo de Movimiento]]="Ingreso",tblMovimientos[[#This Row],[Ingreso]],-tblMovimientos[[#This Row],[Egreso]])</f>
        <v>-76.06</v>
      </c>
      <c r="Q636" s="78" t="str">
        <f>_xlfn.XLOOKUP(tblMovimientos[[#This Row],[Cuenta Bancaria]],Cuentas!$C:$C,Cuentas!$A:$A,"")&amp;""</f>
        <v>SSP Group</v>
      </c>
      <c r="R636" s="78" t="str">
        <f>_xlfn.XLOOKUP(tblMovimientos[[#This Row],[Cuenta Bancaria]],Cuentas!$C:$C,Cuentas!$B:$B,"",0,-1)&amp;""</f>
        <v/>
      </c>
    </row>
    <row r="637" spans="2:18" x14ac:dyDescent="0.3">
      <c r="B637" s="39">
        <v>46230</v>
      </c>
      <c r="C637" s="4" t="str">
        <f>_xlfn.XLOOKUP(tblMovimientos[[#This Row],[Cuenta Bancaria]],Listas!$B:$B,Listas!$A:$A,"")</f>
        <v>Cross Family Trust</v>
      </c>
      <c r="D637" s="41" t="s">
        <v>111</v>
      </c>
      <c r="E637" s="68" t="str">
        <f>_xlfn.XLOOKUP(tblMovimientos[[#This Row],[Cuenta Bancaria]],Listas!$B:$B,Listas!$C:$C,"")</f>
        <v xml:space="preserve">Amerant Bank </v>
      </c>
      <c r="F637" s="41" t="s">
        <v>10</v>
      </c>
      <c r="G637" s="41" t="s">
        <v>53</v>
      </c>
      <c r="H637" s="4" t="str">
        <f>IFERROR(_xlfn.XLOOKUP(G637,Listas!E:E,Listas!F:F,""),"")</f>
        <v>Inversion</v>
      </c>
      <c r="I637" s="46" t="str">
        <f>IFERROR(_xlfn.XLOOKUP(G637,Listas!E:E,Listas!G:G,""),"")</f>
        <v>Interno</v>
      </c>
      <c r="J637" s="43">
        <v>10000</v>
      </c>
      <c r="K637" s="5">
        <f t="shared" si="9"/>
        <v>-10000</v>
      </c>
      <c r="L637" s="15" t="s">
        <v>129</v>
      </c>
      <c r="M637" s="44">
        <f>SUMIFS('Saldos Iniciales'!$D:$D,'Saldos Iniciales'!$A:$A,C637,'Saldos Iniciales'!$B:$B,D637)+SUMIFS($K$1:$K$1324,$C$1:$C$1324,C637,$D$1:$D$1324,D637,$B$1:$B$1324,"&lt;="&amp;B637)</f>
        <v>81717.600000000006</v>
      </c>
      <c r="N637" s="61" t="str">
        <f>IF(tblMovimientos[[#This Row],[Tipo de Movimiento]]="Ingreso",tblMovimientos[[#This Row],[Monto (S/)]],"0")</f>
        <v>0</v>
      </c>
      <c r="O637" s="61">
        <f>IF(tblMovimientos[[#This Row],[Tipo de Movimiento]]="Egreso",tblMovimientos[[#This Row],[Monto (S/)]],"0")</f>
        <v>10000</v>
      </c>
      <c r="P637" s="28">
        <f>IF(tblMovimientos[[#This Row],[Tipo de Movimiento]]="Ingreso",tblMovimientos[[#This Row],[Ingreso]],-tblMovimientos[[#This Row],[Egreso]])</f>
        <v>-10000</v>
      </c>
      <c r="Q637" s="78" t="str">
        <f>_xlfn.XLOOKUP(tblMovimientos[[#This Row],[Cuenta Bancaria]],Cuentas!$C:$C,Cuentas!$A:$A,"")&amp;""</f>
        <v>SSP Group</v>
      </c>
      <c r="R637" s="78" t="str">
        <f>_xlfn.XLOOKUP(tblMovimientos[[#This Row],[Cuenta Bancaria]],Cuentas!$C:$C,Cuentas!$B:$B,"",0,-1)&amp;""</f>
        <v>Trust</v>
      </c>
    </row>
    <row r="638" spans="2:18" x14ac:dyDescent="0.3">
      <c r="B638" s="39">
        <v>46230</v>
      </c>
      <c r="C638" s="4" t="str">
        <f>_xlfn.XLOOKUP(tblMovimientos[[#This Row],[Cuenta Bancaria]],Listas!$B:$B,Listas!$A:$A,"")</f>
        <v>Green Harbor Trust</v>
      </c>
      <c r="D638" s="41" t="s">
        <v>125</v>
      </c>
      <c r="E638" s="68" t="str">
        <f>_xlfn.XLOOKUP(tblMovimientos[[#This Row],[Cuenta Bancaria]],Listas!$B:$B,Listas!$C:$C,"")</f>
        <v xml:space="preserve">Amerant Bank </v>
      </c>
      <c r="F638" s="41" t="s">
        <v>9</v>
      </c>
      <c r="G638" s="41" t="s">
        <v>77</v>
      </c>
      <c r="H638" s="4" t="str">
        <f>IFERROR(_xlfn.XLOOKUP(G638,Listas!E:E,Listas!F:F,""),"")</f>
        <v>Inversion</v>
      </c>
      <c r="I638" s="46" t="str">
        <f>IFERROR(_xlfn.XLOOKUP(G638,Listas!E:E,Listas!G:G,""),"")</f>
        <v>Interno</v>
      </c>
      <c r="J638" s="43">
        <v>10000</v>
      </c>
      <c r="K638" s="5">
        <f t="shared" si="9"/>
        <v>10000</v>
      </c>
      <c r="L638" s="15" t="s">
        <v>129</v>
      </c>
      <c r="M638" s="44">
        <f>SUMIFS('Saldos Iniciales'!$D:$D,'Saldos Iniciales'!$A:$A,C638,'Saldos Iniciales'!$B:$B,D638)+SUMIFS($K$1:$K$1324,$C$1:$C$1324,C638,$D$1:$D$1324,D638,$B$1:$B$1324,"&lt;="&amp;B638)</f>
        <v>345</v>
      </c>
      <c r="N638" s="61">
        <f>IF(tblMovimientos[[#This Row],[Tipo de Movimiento]]="Ingreso",tblMovimientos[[#This Row],[Monto (S/)]],"0")</f>
        <v>10000</v>
      </c>
      <c r="O638" s="61" t="str">
        <f>IF(tblMovimientos[[#This Row],[Tipo de Movimiento]]="Egreso",tblMovimientos[[#This Row],[Monto (S/)]],"0")</f>
        <v>0</v>
      </c>
      <c r="P638" s="28">
        <f>IF(tblMovimientos[[#This Row],[Tipo de Movimiento]]="Ingreso",tblMovimientos[[#This Row],[Ingreso]],-tblMovimientos[[#This Row],[Egreso]])</f>
        <v>10000</v>
      </c>
      <c r="Q638" s="78" t="str">
        <f>_xlfn.XLOOKUP(tblMovimientos[[#This Row],[Cuenta Bancaria]],Cuentas!$C:$C,Cuentas!$A:$A,"")&amp;""</f>
        <v>SSP Group</v>
      </c>
      <c r="R638" s="78" t="str">
        <f>_xlfn.XLOOKUP(tblMovimientos[[#This Row],[Cuenta Bancaria]],Cuentas!$C:$C,Cuentas!$B:$B,"",0,-1)&amp;""</f>
        <v>Trust</v>
      </c>
    </row>
    <row r="639" spans="2:18" x14ac:dyDescent="0.3">
      <c r="B639" s="39">
        <v>46230</v>
      </c>
      <c r="C639" s="4" t="str">
        <f>_xlfn.XLOOKUP(tblMovimientos[[#This Row],[Cuenta Bancaria]],Listas!$B:$B,Listas!$A:$A,"")</f>
        <v>Green Harbor Trust</v>
      </c>
      <c r="D639" s="41" t="s">
        <v>125</v>
      </c>
      <c r="E639" s="68" t="str">
        <f>_xlfn.XLOOKUP(tblMovimientos[[#This Row],[Cuenta Bancaria]],Listas!$B:$B,Listas!$C:$C,"")</f>
        <v xml:space="preserve">Amerant Bank </v>
      </c>
      <c r="F639" s="41" t="s">
        <v>10</v>
      </c>
      <c r="G639" s="41" t="s">
        <v>53</v>
      </c>
      <c r="H639" s="4" t="str">
        <f>IFERROR(_xlfn.XLOOKUP(G639,Listas!E:E,Listas!F:F,""),"")</f>
        <v>Inversion</v>
      </c>
      <c r="I639" s="46" t="str">
        <f>IFERROR(_xlfn.XLOOKUP(G639,Listas!E:E,Listas!G:G,""),"")</f>
        <v>Interno</v>
      </c>
      <c r="J639" s="43">
        <v>10000</v>
      </c>
      <c r="K639" s="5">
        <f t="shared" si="9"/>
        <v>-10000</v>
      </c>
      <c r="L639" s="15" t="s">
        <v>129</v>
      </c>
      <c r="M639" s="44">
        <f>SUMIFS('Saldos Iniciales'!$D:$D,'Saldos Iniciales'!$A:$A,C639,'Saldos Iniciales'!$B:$B,D639)+SUMIFS($K$1:$K$1324,$C$1:$C$1324,C639,$D$1:$D$1324,D639,$B$1:$B$1324,"&lt;="&amp;B639)</f>
        <v>345</v>
      </c>
      <c r="N639" s="61" t="str">
        <f>IF(tblMovimientos[[#This Row],[Tipo de Movimiento]]="Ingreso",tblMovimientos[[#This Row],[Monto (S/)]],"0")</f>
        <v>0</v>
      </c>
      <c r="O639" s="61">
        <f>IF(tblMovimientos[[#This Row],[Tipo de Movimiento]]="Egreso",tblMovimientos[[#This Row],[Monto (S/)]],"0")</f>
        <v>10000</v>
      </c>
      <c r="P639" s="28">
        <f>IF(tblMovimientos[[#This Row],[Tipo de Movimiento]]="Ingreso",tblMovimientos[[#This Row],[Ingreso]],-tblMovimientos[[#This Row],[Egreso]])</f>
        <v>-10000</v>
      </c>
      <c r="Q639" s="78" t="str">
        <f>_xlfn.XLOOKUP(tblMovimientos[[#This Row],[Cuenta Bancaria]],Cuentas!$C:$C,Cuentas!$A:$A,"")&amp;""</f>
        <v>SSP Group</v>
      </c>
      <c r="R639" s="78" t="str">
        <f>_xlfn.XLOOKUP(tblMovimientos[[#This Row],[Cuenta Bancaria]],Cuentas!$C:$C,Cuentas!$B:$B,"",0,-1)&amp;""</f>
        <v>Trust</v>
      </c>
    </row>
    <row r="640" spans="2:18" x14ac:dyDescent="0.3">
      <c r="B640" s="39">
        <v>46230</v>
      </c>
      <c r="C640" s="4" t="str">
        <f>_xlfn.XLOOKUP(tblMovimientos[[#This Row],[Cuenta Bancaria]],Listas!$B:$B,Listas!$A:$A,"")</f>
        <v>Go Blue</v>
      </c>
      <c r="D640" s="41" t="s">
        <v>126</v>
      </c>
      <c r="E640" s="68" t="str">
        <f>_xlfn.XLOOKUP(tblMovimientos[[#This Row],[Cuenta Bancaria]],Listas!$B:$B,Listas!$C:$C,"")</f>
        <v xml:space="preserve">Amerant Bank </v>
      </c>
      <c r="F640" s="41" t="s">
        <v>9</v>
      </c>
      <c r="G640" s="41" t="s">
        <v>77</v>
      </c>
      <c r="H640" s="4" t="str">
        <f>IFERROR(_xlfn.XLOOKUP(G640,Listas!E:E,Listas!F:F,""),"")</f>
        <v>Inversion</v>
      </c>
      <c r="I640" s="46" t="str">
        <f>IFERROR(_xlfn.XLOOKUP(G640,Listas!E:E,Listas!G:G,""),"")</f>
        <v>Interno</v>
      </c>
      <c r="J640" s="43">
        <v>10000</v>
      </c>
      <c r="K640" s="5">
        <f t="shared" si="9"/>
        <v>10000</v>
      </c>
      <c r="L640" s="15" t="s">
        <v>129</v>
      </c>
      <c r="M640" s="44">
        <f>SUMIFS('Saldos Iniciales'!$D:$D,'Saldos Iniciales'!$A:$A,C640,'Saldos Iniciales'!$B:$B,D640)+SUMIFS($K$1:$K$1324,$C$1:$C$1324,C640,$D$1:$D$1324,D640,$B$1:$B$1324,"&lt;="&amp;B640)</f>
        <v>10958.709999999997</v>
      </c>
      <c r="N640" s="61">
        <f>IF(tblMovimientos[[#This Row],[Tipo de Movimiento]]="Ingreso",tblMovimientos[[#This Row],[Monto (S/)]],"0")</f>
        <v>10000</v>
      </c>
      <c r="O640" s="61" t="str">
        <f>IF(tblMovimientos[[#This Row],[Tipo de Movimiento]]="Egreso",tblMovimientos[[#This Row],[Monto (S/)]],"0")</f>
        <v>0</v>
      </c>
      <c r="P640" s="28">
        <f>IF(tblMovimientos[[#This Row],[Tipo de Movimiento]]="Ingreso",tblMovimientos[[#This Row],[Ingreso]],-tblMovimientos[[#This Row],[Egreso]])</f>
        <v>10000</v>
      </c>
      <c r="Q640" s="78" t="str">
        <f>_xlfn.XLOOKUP(tblMovimientos[[#This Row],[Cuenta Bancaria]],Cuentas!$C:$C,Cuentas!$A:$A,"")&amp;""</f>
        <v>SSP Group</v>
      </c>
      <c r="R640" s="78" t="str">
        <f>_xlfn.XLOOKUP(tblMovimientos[[#This Row],[Cuenta Bancaria]],Cuentas!$C:$C,Cuentas!$B:$B,"",0,-1)&amp;""</f>
        <v/>
      </c>
    </row>
    <row r="641" spans="2:18" x14ac:dyDescent="0.3">
      <c r="B641" s="39">
        <v>46230</v>
      </c>
      <c r="C641" s="4" t="str">
        <f>_xlfn.XLOOKUP(tblMovimientos[[#This Row],[Cuenta Bancaria]],Listas!$B:$B,Listas!$A:$A,"")</f>
        <v>Go Blue</v>
      </c>
      <c r="D641" s="41" t="s">
        <v>126</v>
      </c>
      <c r="E641" s="68" t="str">
        <f>_xlfn.XLOOKUP(tblMovimientos[[#This Row],[Cuenta Bancaria]],Listas!$B:$B,Listas!$C:$C,"")</f>
        <v xml:space="preserve">Amerant Bank </v>
      </c>
      <c r="F641" s="41" t="s">
        <v>10</v>
      </c>
      <c r="G641" s="41" t="s">
        <v>64</v>
      </c>
      <c r="H641" s="4" t="str">
        <f>IFERROR(_xlfn.XLOOKUP(G641,Listas!E:E,Listas!F:F,""),"")</f>
        <v>Operativo</v>
      </c>
      <c r="I641" s="46" t="str">
        <f>IFERROR(_xlfn.XLOOKUP(G641,Listas!E:E,Listas!G:G,""),"")</f>
        <v>Interno</v>
      </c>
      <c r="J641" s="43">
        <v>4000</v>
      </c>
      <c r="K641" s="5">
        <f t="shared" si="9"/>
        <v>-4000</v>
      </c>
      <c r="L641" s="15" t="s">
        <v>129</v>
      </c>
      <c r="M641" s="44">
        <f>SUMIFS('Saldos Iniciales'!$D:$D,'Saldos Iniciales'!$A:$A,C641,'Saldos Iniciales'!$B:$B,D641)+SUMIFS($K$1:$K$1324,$C$1:$C$1324,C641,$D$1:$D$1324,D641,$B$1:$B$1324,"&lt;="&amp;B641)</f>
        <v>10958.709999999997</v>
      </c>
      <c r="N641" s="61" t="str">
        <f>IF(tblMovimientos[[#This Row],[Tipo de Movimiento]]="Ingreso",tblMovimientos[[#This Row],[Monto (S/)]],"0")</f>
        <v>0</v>
      </c>
      <c r="O641" s="61">
        <f>IF(tblMovimientos[[#This Row],[Tipo de Movimiento]]="Egreso",tblMovimientos[[#This Row],[Monto (S/)]],"0")</f>
        <v>4000</v>
      </c>
      <c r="P641" s="28">
        <f>IF(tblMovimientos[[#This Row],[Tipo de Movimiento]]="Ingreso",tblMovimientos[[#This Row],[Ingreso]],-tblMovimientos[[#This Row],[Egreso]])</f>
        <v>-4000</v>
      </c>
      <c r="Q641" s="78" t="str">
        <f>_xlfn.XLOOKUP(tblMovimientos[[#This Row],[Cuenta Bancaria]],Cuentas!$C:$C,Cuentas!$A:$A,"")&amp;""</f>
        <v>SSP Group</v>
      </c>
      <c r="R641" s="78" t="str">
        <f>_xlfn.XLOOKUP(tblMovimientos[[#This Row],[Cuenta Bancaria]],Cuentas!$C:$C,Cuentas!$B:$B,"",0,-1)&amp;""</f>
        <v/>
      </c>
    </row>
    <row r="642" spans="2:18" x14ac:dyDescent="0.3">
      <c r="B642" s="39">
        <v>46231</v>
      </c>
      <c r="C642" s="4" t="str">
        <f>_xlfn.XLOOKUP(tblMovimientos[[#This Row],[Cuenta Bancaria]],Listas!$B:$B,Listas!$A:$A,"")</f>
        <v>SSP Capital</v>
      </c>
      <c r="D642" s="41" t="s">
        <v>101</v>
      </c>
      <c r="E642" s="68" t="str">
        <f>_xlfn.XLOOKUP(tblMovimientos[[#This Row],[Cuenta Bancaria]],Listas!$B:$B,Listas!$C:$C,"")</f>
        <v>Bank of America</v>
      </c>
      <c r="F642" s="41" t="s">
        <v>10</v>
      </c>
      <c r="G642" s="41" t="s">
        <v>38</v>
      </c>
      <c r="H642" s="4" t="str">
        <f>IFERROR(_xlfn.XLOOKUP(G642,Listas!E:E,Listas!F:F,""),"")</f>
        <v>Operativo</v>
      </c>
      <c r="I642" s="46" t="str">
        <f>IFERROR(_xlfn.XLOOKUP(G642,Listas!E:E,Listas!G:G,""),"")</f>
        <v>Externo</v>
      </c>
      <c r="J642" s="43">
        <v>526.75</v>
      </c>
      <c r="K642" s="5">
        <f t="shared" ref="K642:K705" si="10">IF(F642="Ingreso",J642,-J642)</f>
        <v>-526.75</v>
      </c>
      <c r="L642" s="15" t="s">
        <v>129</v>
      </c>
      <c r="M642" s="44">
        <f>SUMIFS('Saldos Iniciales'!$D:$D,'Saldos Iniciales'!$A:$A,C642,'Saldos Iniciales'!$B:$B,D642)+SUMIFS($K$1:$K$1324,$C$1:$C$1324,C642,$D$1:$D$1324,D642,$B$1:$B$1324,"&lt;="&amp;B642)</f>
        <v>6148.0199999999995</v>
      </c>
      <c r="N642" s="61" t="str">
        <f>IF(tblMovimientos[[#This Row],[Tipo de Movimiento]]="Ingreso",tblMovimientos[[#This Row],[Monto (S/)]],"0")</f>
        <v>0</v>
      </c>
      <c r="O642" s="61">
        <f>IF(tblMovimientos[[#This Row],[Tipo de Movimiento]]="Egreso",tblMovimientos[[#This Row],[Monto (S/)]],"0")</f>
        <v>526.75</v>
      </c>
      <c r="P642" s="28">
        <f>IF(tblMovimientos[[#This Row],[Tipo de Movimiento]]="Ingreso",tblMovimientos[[#This Row],[Ingreso]],-tblMovimientos[[#This Row],[Egreso]])</f>
        <v>-526.75</v>
      </c>
      <c r="Q642" s="78" t="str">
        <f>_xlfn.XLOOKUP(tblMovimientos[[#This Row],[Cuenta Bancaria]],Cuentas!$C:$C,Cuentas!$A:$A,"")&amp;""</f>
        <v>SSP Group</v>
      </c>
      <c r="R642" s="78" t="str">
        <f>_xlfn.XLOOKUP(tblMovimientos[[#This Row],[Cuenta Bancaria]],Cuentas!$C:$C,Cuentas!$B:$B,"",0,-1)&amp;""</f>
        <v/>
      </c>
    </row>
    <row r="643" spans="2:18" x14ac:dyDescent="0.3">
      <c r="B643" s="39">
        <v>46231</v>
      </c>
      <c r="C643" s="4" t="str">
        <f>_xlfn.XLOOKUP(tblMovimientos[[#This Row],[Cuenta Bancaria]],Listas!$B:$B,Listas!$A:$A,"")</f>
        <v>SSP Capital</v>
      </c>
      <c r="D643" s="41" t="s">
        <v>101</v>
      </c>
      <c r="E643" s="68" t="str">
        <f>_xlfn.XLOOKUP(tblMovimientos[[#This Row],[Cuenta Bancaria]],Listas!$B:$B,Listas!$C:$C,"")</f>
        <v>Bank of America</v>
      </c>
      <c r="F643" s="41" t="s">
        <v>10</v>
      </c>
      <c r="G643" s="41" t="s">
        <v>38</v>
      </c>
      <c r="H643" s="4" t="str">
        <f>IFERROR(_xlfn.XLOOKUP(G643,Listas!E:E,Listas!F:F,""),"")</f>
        <v>Operativo</v>
      </c>
      <c r="I643" s="46" t="str">
        <f>IFERROR(_xlfn.XLOOKUP(G643,Listas!E:E,Listas!G:G,""),"")</f>
        <v>Externo</v>
      </c>
      <c r="J643" s="43">
        <v>193.19</v>
      </c>
      <c r="K643" s="5">
        <f t="shared" si="10"/>
        <v>-193.19</v>
      </c>
      <c r="L643" s="15" t="s">
        <v>129</v>
      </c>
      <c r="M643" s="44">
        <f>SUMIFS('Saldos Iniciales'!$D:$D,'Saldos Iniciales'!$A:$A,C643,'Saldos Iniciales'!$B:$B,D643)+SUMIFS($K$1:$K$1324,$C$1:$C$1324,C643,$D$1:$D$1324,D643,$B$1:$B$1324,"&lt;="&amp;B643)</f>
        <v>6148.0199999999995</v>
      </c>
      <c r="N643" s="61" t="str">
        <f>IF(tblMovimientos[[#This Row],[Tipo de Movimiento]]="Ingreso",tblMovimientos[[#This Row],[Monto (S/)]],"0")</f>
        <v>0</v>
      </c>
      <c r="O643" s="61">
        <f>IF(tblMovimientos[[#This Row],[Tipo de Movimiento]]="Egreso",tblMovimientos[[#This Row],[Monto (S/)]],"0")</f>
        <v>193.19</v>
      </c>
      <c r="P643" s="28">
        <f>IF(tblMovimientos[[#This Row],[Tipo de Movimiento]]="Ingreso",tblMovimientos[[#This Row],[Ingreso]],-tblMovimientos[[#This Row],[Egreso]])</f>
        <v>-193.19</v>
      </c>
      <c r="Q643" s="78" t="str">
        <f>_xlfn.XLOOKUP(tblMovimientos[[#This Row],[Cuenta Bancaria]],Cuentas!$C:$C,Cuentas!$A:$A,"")&amp;""</f>
        <v>SSP Group</v>
      </c>
      <c r="R643" s="78" t="str">
        <f>_xlfn.XLOOKUP(tblMovimientos[[#This Row],[Cuenta Bancaria]],Cuentas!$C:$C,Cuentas!$B:$B,"",0,-1)&amp;""</f>
        <v/>
      </c>
    </row>
    <row r="644" spans="2:18" x14ac:dyDescent="0.3">
      <c r="B644" s="39">
        <v>46231</v>
      </c>
      <c r="C644" s="4" t="str">
        <f>_xlfn.XLOOKUP(tblMovimientos[[#This Row],[Cuenta Bancaria]],Listas!$B:$B,Listas!$A:$A,"")</f>
        <v>A&amp;M Imports</v>
      </c>
      <c r="D644" s="41" t="s">
        <v>100</v>
      </c>
      <c r="E644" s="68" t="str">
        <f>_xlfn.XLOOKUP(tblMovimientos[[#This Row],[Cuenta Bancaria]],Listas!$B:$B,Listas!$C:$C,"")</f>
        <v>Bank of America</v>
      </c>
      <c r="F644" s="41" t="s">
        <v>9</v>
      </c>
      <c r="G644" s="41" t="s">
        <v>68</v>
      </c>
      <c r="H644" s="4" t="str">
        <f>IFERROR(_xlfn.XLOOKUP(G644,Listas!E:E,Listas!F:F,""),"")</f>
        <v>Operativo</v>
      </c>
      <c r="I644" s="46" t="str">
        <f>IFERROR(_xlfn.XLOOKUP(G644,Listas!E:E,Listas!G:G,""),"")</f>
        <v>Externo</v>
      </c>
      <c r="J644" s="43">
        <v>17345.61</v>
      </c>
      <c r="K644" s="5">
        <f t="shared" si="10"/>
        <v>17345.61</v>
      </c>
      <c r="L644" s="15" t="s">
        <v>129</v>
      </c>
      <c r="M644" s="44">
        <f>SUMIFS('Saldos Iniciales'!$D:$D,'Saldos Iniciales'!$A:$A,C644,'Saldos Iniciales'!$B:$B,D644)+SUMIFS($K$1:$K$1324,$C$1:$C$1324,C644,$D$1:$D$1324,D644,$B$1:$B$1324,"&lt;="&amp;B644)</f>
        <v>1415636.7399999998</v>
      </c>
      <c r="N644" s="61">
        <f>IF(tblMovimientos[[#This Row],[Tipo de Movimiento]]="Ingreso",tblMovimientos[[#This Row],[Monto (S/)]],"0")</f>
        <v>17345.61</v>
      </c>
      <c r="O644" s="61" t="str">
        <f>IF(tblMovimientos[[#This Row],[Tipo de Movimiento]]="Egreso",tblMovimientos[[#This Row],[Monto (S/)]],"0")</f>
        <v>0</v>
      </c>
      <c r="P644" s="28">
        <f>IF(tblMovimientos[[#This Row],[Tipo de Movimiento]]="Ingreso",tblMovimientos[[#This Row],[Ingreso]],-tblMovimientos[[#This Row],[Egreso]])</f>
        <v>17345.61</v>
      </c>
      <c r="Q644" s="78" t="str">
        <f>_xlfn.XLOOKUP(tblMovimientos[[#This Row],[Cuenta Bancaria]],Cuentas!$C:$C,Cuentas!$A:$A,"")&amp;""</f>
        <v>SSP Group</v>
      </c>
      <c r="R644" s="78" t="str">
        <f>_xlfn.XLOOKUP(tblMovimientos[[#This Row],[Cuenta Bancaria]],Cuentas!$C:$C,Cuentas!$B:$B,"",0,-1)&amp;""</f>
        <v/>
      </c>
    </row>
    <row r="645" spans="2:18" x14ac:dyDescent="0.3">
      <c r="B645" s="39">
        <v>46231</v>
      </c>
      <c r="C645" s="4" t="str">
        <f>_xlfn.XLOOKUP(tblMovimientos[[#This Row],[Cuenta Bancaria]],Listas!$B:$B,Listas!$A:$A,"")</f>
        <v>A&amp;M Imports</v>
      </c>
      <c r="D645" s="41" t="s">
        <v>100</v>
      </c>
      <c r="E645" s="68" t="str">
        <f>_xlfn.XLOOKUP(tblMovimientos[[#This Row],[Cuenta Bancaria]],Listas!$B:$B,Listas!$C:$C,"")</f>
        <v>Bank of America</v>
      </c>
      <c r="F645" s="41" t="s">
        <v>9</v>
      </c>
      <c r="G645" s="41" t="s">
        <v>68</v>
      </c>
      <c r="H645" s="4" t="str">
        <f>IFERROR(_xlfn.XLOOKUP(G645,Listas!E:E,Listas!F:F,""),"")</f>
        <v>Operativo</v>
      </c>
      <c r="I645" s="46" t="str">
        <f>IFERROR(_xlfn.XLOOKUP(G645,Listas!E:E,Listas!G:G,""),"")</f>
        <v>Externo</v>
      </c>
      <c r="J645" s="43">
        <v>5546.44</v>
      </c>
      <c r="K645" s="5">
        <f t="shared" si="10"/>
        <v>5546.44</v>
      </c>
      <c r="L645" s="15" t="s">
        <v>129</v>
      </c>
      <c r="M645" s="44">
        <f>SUMIFS('Saldos Iniciales'!$D:$D,'Saldos Iniciales'!$A:$A,C645,'Saldos Iniciales'!$B:$B,D645)+SUMIFS($K$1:$K$1324,$C$1:$C$1324,C645,$D$1:$D$1324,D645,$B$1:$B$1324,"&lt;="&amp;B645)</f>
        <v>1415636.7399999998</v>
      </c>
      <c r="N645" s="61">
        <f>IF(tblMovimientos[[#This Row],[Tipo de Movimiento]]="Ingreso",tblMovimientos[[#This Row],[Monto (S/)]],"0")</f>
        <v>5546.44</v>
      </c>
      <c r="O645" s="61" t="str">
        <f>IF(tblMovimientos[[#This Row],[Tipo de Movimiento]]="Egreso",tblMovimientos[[#This Row],[Monto (S/)]],"0")</f>
        <v>0</v>
      </c>
      <c r="P645" s="28">
        <f>IF(tblMovimientos[[#This Row],[Tipo de Movimiento]]="Ingreso",tblMovimientos[[#This Row],[Ingreso]],-tblMovimientos[[#This Row],[Egreso]])</f>
        <v>5546.44</v>
      </c>
      <c r="Q645" s="78" t="str">
        <f>_xlfn.XLOOKUP(tblMovimientos[[#This Row],[Cuenta Bancaria]],Cuentas!$C:$C,Cuentas!$A:$A,"")&amp;""</f>
        <v>SSP Group</v>
      </c>
      <c r="R645" s="78" t="str">
        <f>_xlfn.XLOOKUP(tblMovimientos[[#This Row],[Cuenta Bancaria]],Cuentas!$C:$C,Cuentas!$B:$B,"",0,-1)&amp;""</f>
        <v/>
      </c>
    </row>
    <row r="646" spans="2:18" x14ac:dyDescent="0.3">
      <c r="B646" s="39">
        <v>46231</v>
      </c>
      <c r="C646" s="4" t="str">
        <f>_xlfn.XLOOKUP(tblMovimientos[[#This Row],[Cuenta Bancaria]],Listas!$B:$B,Listas!$A:$A,"")</f>
        <v>M1B</v>
      </c>
      <c r="D646" s="41" t="s">
        <v>97</v>
      </c>
      <c r="E646" s="68" t="str">
        <f>_xlfn.XLOOKUP(tblMovimientos[[#This Row],[Cuenta Bancaria]],Listas!$B:$B,Listas!$C:$C,"")</f>
        <v xml:space="preserve">Amerant Bank </v>
      </c>
      <c r="F646" s="41" t="s">
        <v>9</v>
      </c>
      <c r="G646" s="41" t="s">
        <v>68</v>
      </c>
      <c r="H646" s="4" t="str">
        <f>IFERROR(_xlfn.XLOOKUP(G646,Listas!E:E,Listas!F:F,""),"")</f>
        <v>Operativo</v>
      </c>
      <c r="I646" s="46" t="str">
        <f>IFERROR(_xlfn.XLOOKUP(G646,Listas!E:E,Listas!G:G,""),"")</f>
        <v>Externo</v>
      </c>
      <c r="J646" s="43">
        <v>442.33</v>
      </c>
      <c r="K646" s="5">
        <f t="shared" si="10"/>
        <v>442.33</v>
      </c>
      <c r="L646" s="15" t="s">
        <v>129</v>
      </c>
      <c r="M646" s="44">
        <f>SUMIFS('Saldos Iniciales'!$D:$D,'Saldos Iniciales'!$A:$A,C646,'Saldos Iniciales'!$B:$B,D646)+SUMIFS($K$1:$K$1324,$C$1:$C$1324,C646,$D$1:$D$1324,D646,$B$1:$B$1324,"&lt;="&amp;B646)</f>
        <v>75574.12000000017</v>
      </c>
      <c r="N646" s="61">
        <f>IF(tblMovimientos[[#This Row],[Tipo de Movimiento]]="Ingreso",tblMovimientos[[#This Row],[Monto (S/)]],"0")</f>
        <v>442.33</v>
      </c>
      <c r="O646" s="61" t="str">
        <f>IF(tblMovimientos[[#This Row],[Tipo de Movimiento]]="Egreso",tblMovimientos[[#This Row],[Monto (S/)]],"0")</f>
        <v>0</v>
      </c>
      <c r="P646" s="28">
        <f>IF(tblMovimientos[[#This Row],[Tipo de Movimiento]]="Ingreso",tblMovimientos[[#This Row],[Ingreso]],-tblMovimientos[[#This Row],[Egreso]])</f>
        <v>442.33</v>
      </c>
      <c r="Q646" s="78" t="str">
        <f>_xlfn.XLOOKUP(tblMovimientos[[#This Row],[Cuenta Bancaria]],Cuentas!$C:$C,Cuentas!$A:$A,"")&amp;""</f>
        <v>SSP Group</v>
      </c>
      <c r="R646" s="78" t="str">
        <f>_xlfn.XLOOKUP(tblMovimientos[[#This Row],[Cuenta Bancaria]],Cuentas!$C:$C,Cuentas!$B:$B,"",0,-1)&amp;""</f>
        <v/>
      </c>
    </row>
    <row r="647" spans="2:18" x14ac:dyDescent="0.3">
      <c r="B647" s="39">
        <v>46231</v>
      </c>
      <c r="C647" s="4" t="str">
        <f>_xlfn.XLOOKUP(tblMovimientos[[#This Row],[Cuenta Bancaria]],Listas!$B:$B,Listas!$A:$A,"")</f>
        <v>M1B</v>
      </c>
      <c r="D647" s="41" t="s">
        <v>97</v>
      </c>
      <c r="E647" s="68" t="str">
        <f>_xlfn.XLOOKUP(tblMovimientos[[#This Row],[Cuenta Bancaria]],Listas!$B:$B,Listas!$C:$C,"")</f>
        <v xml:space="preserve">Amerant Bank </v>
      </c>
      <c r="F647" s="41" t="s">
        <v>9</v>
      </c>
      <c r="G647" s="41" t="s">
        <v>68</v>
      </c>
      <c r="H647" s="4" t="str">
        <f>IFERROR(_xlfn.XLOOKUP(G647,Listas!E:E,Listas!F:F,""),"")</f>
        <v>Operativo</v>
      </c>
      <c r="I647" s="46" t="str">
        <f>IFERROR(_xlfn.XLOOKUP(G647,Listas!E:E,Listas!G:G,""),"")</f>
        <v>Externo</v>
      </c>
      <c r="J647" s="43">
        <v>6974.11</v>
      </c>
      <c r="K647" s="5">
        <f t="shared" si="10"/>
        <v>6974.11</v>
      </c>
      <c r="L647" s="15" t="s">
        <v>129</v>
      </c>
      <c r="M647" s="44">
        <f>SUMIFS('Saldos Iniciales'!$D:$D,'Saldos Iniciales'!$A:$A,C647,'Saldos Iniciales'!$B:$B,D647)+SUMIFS($K$1:$K$1324,$C$1:$C$1324,C647,$D$1:$D$1324,D647,$B$1:$B$1324,"&lt;="&amp;B647)</f>
        <v>75574.12000000017</v>
      </c>
      <c r="N647" s="61">
        <f>IF(tblMovimientos[[#This Row],[Tipo de Movimiento]]="Ingreso",tblMovimientos[[#This Row],[Monto (S/)]],"0")</f>
        <v>6974.11</v>
      </c>
      <c r="O647" s="61" t="str">
        <f>IF(tblMovimientos[[#This Row],[Tipo de Movimiento]]="Egreso",tblMovimientos[[#This Row],[Monto (S/)]],"0")</f>
        <v>0</v>
      </c>
      <c r="P647" s="28">
        <f>IF(tblMovimientos[[#This Row],[Tipo de Movimiento]]="Ingreso",tblMovimientos[[#This Row],[Ingreso]],-tblMovimientos[[#This Row],[Egreso]])</f>
        <v>6974.11</v>
      </c>
      <c r="Q647" s="78" t="str">
        <f>_xlfn.XLOOKUP(tblMovimientos[[#This Row],[Cuenta Bancaria]],Cuentas!$C:$C,Cuentas!$A:$A,"")&amp;""</f>
        <v>SSP Group</v>
      </c>
      <c r="R647" s="78" t="str">
        <f>_xlfn.XLOOKUP(tblMovimientos[[#This Row],[Cuenta Bancaria]],Cuentas!$C:$C,Cuentas!$B:$B,"",0,-1)&amp;""</f>
        <v/>
      </c>
    </row>
    <row r="648" spans="2:18" x14ac:dyDescent="0.3">
      <c r="B648" s="39">
        <v>46231</v>
      </c>
      <c r="C648" s="4" t="str">
        <f>_xlfn.XLOOKUP(tblMovimientos[[#This Row],[Cuenta Bancaria]],Listas!$B:$B,Listas!$A:$A,"")</f>
        <v>Go Blue</v>
      </c>
      <c r="D648" s="41" t="s">
        <v>165</v>
      </c>
      <c r="E648" s="68" t="str">
        <f>_xlfn.XLOOKUP(tblMovimientos[[#This Row],[Cuenta Bancaria]],Listas!$B:$B,Listas!$C:$C,"")</f>
        <v xml:space="preserve">Amerant Bank </v>
      </c>
      <c r="F648" s="41" t="s">
        <v>10</v>
      </c>
      <c r="G648" s="41" t="s">
        <v>38</v>
      </c>
      <c r="H648" s="4" t="str">
        <f>IFERROR(_xlfn.XLOOKUP(G648,Listas!E:E,Listas!F:F,""),"")</f>
        <v>Operativo</v>
      </c>
      <c r="I648" s="46" t="str">
        <f>IFERROR(_xlfn.XLOOKUP(G648,Listas!E:E,Listas!G:G,""),"")</f>
        <v>Externo</v>
      </c>
      <c r="J648" s="43">
        <v>237</v>
      </c>
      <c r="K648" s="5">
        <f t="shared" si="10"/>
        <v>-237</v>
      </c>
      <c r="L648" s="15" t="s">
        <v>129</v>
      </c>
      <c r="M648" s="44">
        <f>SUMIFS('Saldos Iniciales'!$D:$D,'Saldos Iniciales'!$A:$A,C648,'Saldos Iniciales'!$B:$B,D648)+SUMIFS($K$1:$K$1324,$C$1:$C$1324,C648,$D$1:$D$1324,D648,$B$1:$B$1324,"&lt;="&amp;B648)</f>
        <v>4135.380000000001</v>
      </c>
      <c r="N648" s="61" t="str">
        <f>IF(tblMovimientos[[#This Row],[Tipo de Movimiento]]="Ingreso",tblMovimientos[[#This Row],[Monto (S/)]],"0")</f>
        <v>0</v>
      </c>
      <c r="O648" s="61">
        <f>IF(tblMovimientos[[#This Row],[Tipo de Movimiento]]="Egreso",tblMovimientos[[#This Row],[Monto (S/)]],"0")</f>
        <v>237</v>
      </c>
      <c r="P648" s="28">
        <f>IF(tblMovimientos[[#This Row],[Tipo de Movimiento]]="Ingreso",tblMovimientos[[#This Row],[Ingreso]],-tblMovimientos[[#This Row],[Egreso]])</f>
        <v>-237</v>
      </c>
      <c r="Q648" s="78" t="str">
        <f>_xlfn.XLOOKUP(tblMovimientos[[#This Row],[Cuenta Bancaria]],Cuentas!$C:$C,Cuentas!$A:$A,"")&amp;""</f>
        <v>SSP Group</v>
      </c>
      <c r="R648" s="78" t="str">
        <f>_xlfn.XLOOKUP(tblMovimientos[[#This Row],[Cuenta Bancaria]],Cuentas!$C:$C,Cuentas!$B:$B,"",0,-1)&amp;""</f>
        <v/>
      </c>
    </row>
    <row r="649" spans="2:18" x14ac:dyDescent="0.3">
      <c r="B649" s="39">
        <v>46231</v>
      </c>
      <c r="C649" s="4" t="str">
        <f>_xlfn.XLOOKUP(tblMovimientos[[#This Row],[Cuenta Bancaria]],Listas!$B:$B,Listas!$A:$A,"")</f>
        <v>Go Blue</v>
      </c>
      <c r="D649" s="41" t="s">
        <v>165</v>
      </c>
      <c r="E649" s="68" t="str">
        <f>_xlfn.XLOOKUP(tblMovimientos[[#This Row],[Cuenta Bancaria]],Listas!$B:$B,Listas!$C:$C,"")</f>
        <v xml:space="preserve">Amerant Bank </v>
      </c>
      <c r="F649" s="41" t="s">
        <v>10</v>
      </c>
      <c r="G649" s="41" t="s">
        <v>38</v>
      </c>
      <c r="H649" s="4" t="str">
        <f>IFERROR(_xlfn.XLOOKUP(G649,Listas!E:E,Listas!F:F,""),"")</f>
        <v>Operativo</v>
      </c>
      <c r="I649" s="46" t="str">
        <f>IFERROR(_xlfn.XLOOKUP(G649,Listas!E:E,Listas!G:G,""),"")</f>
        <v>Externo</v>
      </c>
      <c r="J649" s="43">
        <v>87.09</v>
      </c>
      <c r="K649" s="5">
        <f t="shared" si="10"/>
        <v>-87.09</v>
      </c>
      <c r="L649" s="15" t="s">
        <v>129</v>
      </c>
      <c r="M649" s="44">
        <f>SUMIFS('Saldos Iniciales'!$D:$D,'Saldos Iniciales'!$A:$A,C649,'Saldos Iniciales'!$B:$B,D649)+SUMIFS($K$1:$K$1324,$C$1:$C$1324,C649,$D$1:$D$1324,D649,$B$1:$B$1324,"&lt;="&amp;B649)</f>
        <v>4135.380000000001</v>
      </c>
      <c r="N649" s="61" t="str">
        <f>IF(tblMovimientos[[#This Row],[Tipo de Movimiento]]="Ingreso",tblMovimientos[[#This Row],[Monto (S/)]],"0")</f>
        <v>0</v>
      </c>
      <c r="O649" s="61">
        <f>IF(tblMovimientos[[#This Row],[Tipo de Movimiento]]="Egreso",tblMovimientos[[#This Row],[Monto (S/)]],"0")</f>
        <v>87.09</v>
      </c>
      <c r="P649" s="28">
        <f>IF(tblMovimientos[[#This Row],[Tipo de Movimiento]]="Ingreso",tblMovimientos[[#This Row],[Ingreso]],-tblMovimientos[[#This Row],[Egreso]])</f>
        <v>-87.09</v>
      </c>
      <c r="Q649" s="78" t="str">
        <f>_xlfn.XLOOKUP(tblMovimientos[[#This Row],[Cuenta Bancaria]],Cuentas!$C:$C,Cuentas!$A:$A,"")&amp;""</f>
        <v>SSP Group</v>
      </c>
      <c r="R649" s="78" t="str">
        <f>_xlfn.XLOOKUP(tblMovimientos[[#This Row],[Cuenta Bancaria]],Cuentas!$C:$C,Cuentas!$B:$B,"",0,-1)&amp;""</f>
        <v/>
      </c>
    </row>
    <row r="650" spans="2:18" x14ac:dyDescent="0.3">
      <c r="B650" s="39">
        <v>46231</v>
      </c>
      <c r="C650" s="4" t="str">
        <f>_xlfn.XLOOKUP(tblMovimientos[[#This Row],[Cuenta Bancaria]],Listas!$B:$B,Listas!$A:$A,"")</f>
        <v>SSP Capital</v>
      </c>
      <c r="D650" s="41" t="s">
        <v>104</v>
      </c>
      <c r="E650" s="68" t="str">
        <f>_xlfn.XLOOKUP(tblMovimientos[[#This Row],[Cuenta Bancaria]],Listas!$B:$B,Listas!$C:$C,"")</f>
        <v xml:space="preserve">Amerant Bank </v>
      </c>
      <c r="F650" s="41" t="s">
        <v>10</v>
      </c>
      <c r="G650" s="41" t="s">
        <v>40</v>
      </c>
      <c r="H650" s="4" t="str">
        <f>IFERROR(_xlfn.XLOOKUP(G650,Listas!E:E,Listas!F:F,""),"")</f>
        <v>Operativo</v>
      </c>
      <c r="I650" s="46" t="str">
        <f>IFERROR(_xlfn.XLOOKUP(G650,Listas!E:E,Listas!G:G,""),"")</f>
        <v>Externo</v>
      </c>
      <c r="J650" s="43">
        <v>164160.82999999999</v>
      </c>
      <c r="K650" s="5">
        <f t="shared" si="10"/>
        <v>-164160.82999999999</v>
      </c>
      <c r="L650" s="15" t="s">
        <v>129</v>
      </c>
      <c r="M650" s="44">
        <f>SUMIFS('Saldos Iniciales'!$D:$D,'Saldos Iniciales'!$A:$A,C650,'Saldos Iniciales'!$B:$B,D650)+SUMIFS($K$1:$K$1324,$C$1:$C$1324,C650,$D$1:$D$1324,D650,$B$1:$B$1324,"&lt;="&amp;B650)</f>
        <v>1035236.4499999994</v>
      </c>
      <c r="N650" s="61" t="str">
        <f>IF(tblMovimientos[[#This Row],[Tipo de Movimiento]]="Ingreso",tblMovimientos[[#This Row],[Monto (S/)]],"0")</f>
        <v>0</v>
      </c>
      <c r="O650" s="61">
        <f>IF(tblMovimientos[[#This Row],[Tipo de Movimiento]]="Egreso",tblMovimientos[[#This Row],[Monto (S/)]],"0")</f>
        <v>164160.82999999999</v>
      </c>
      <c r="P650" s="28">
        <f>IF(tblMovimientos[[#This Row],[Tipo de Movimiento]]="Ingreso",tblMovimientos[[#This Row],[Ingreso]],-tblMovimientos[[#This Row],[Egreso]])</f>
        <v>-164160.82999999999</v>
      </c>
      <c r="Q650" s="78" t="str">
        <f>_xlfn.XLOOKUP(tblMovimientos[[#This Row],[Cuenta Bancaria]],Cuentas!$C:$C,Cuentas!$A:$A,"")&amp;""</f>
        <v>SSP Group</v>
      </c>
      <c r="R650" s="78" t="str">
        <f>_xlfn.XLOOKUP(tblMovimientos[[#This Row],[Cuenta Bancaria]],Cuentas!$C:$C,Cuentas!$B:$B,"",0,-1)&amp;""</f>
        <v/>
      </c>
    </row>
    <row r="651" spans="2:18" x14ac:dyDescent="0.3">
      <c r="B651" s="39">
        <v>46232</v>
      </c>
      <c r="C651" s="4" t="str">
        <f>_xlfn.XLOOKUP(tblMovimientos[[#This Row],[Cuenta Bancaria]],Listas!$B:$B,Listas!$A:$A,"")</f>
        <v>A&amp;M Imports</v>
      </c>
      <c r="D651" s="41" t="s">
        <v>100</v>
      </c>
      <c r="E651" s="68" t="str">
        <f>_xlfn.XLOOKUP(tblMovimientos[[#This Row],[Cuenta Bancaria]],Listas!$B:$B,Listas!$C:$C,"")</f>
        <v>Bank of America</v>
      </c>
      <c r="F651" s="41" t="s">
        <v>9</v>
      </c>
      <c r="G651" s="41" t="s">
        <v>68</v>
      </c>
      <c r="H651" s="4" t="str">
        <f>IFERROR(_xlfn.XLOOKUP(G651,Listas!E:E,Listas!F:F,""),"")</f>
        <v>Operativo</v>
      </c>
      <c r="I651" s="46" t="str">
        <f>IFERROR(_xlfn.XLOOKUP(G651,Listas!E:E,Listas!G:G,""),"")</f>
        <v>Externo</v>
      </c>
      <c r="J651" s="43">
        <v>17545.53</v>
      </c>
      <c r="K651" s="5">
        <f t="shared" si="10"/>
        <v>17545.53</v>
      </c>
      <c r="L651" s="15" t="s">
        <v>129</v>
      </c>
      <c r="M651" s="44">
        <f>SUMIFS('Saldos Iniciales'!$D:$D,'Saldos Iniciales'!$A:$A,C651,'Saldos Iniciales'!$B:$B,D651)+SUMIFS($K$1:$K$1324,$C$1:$C$1324,C651,$D$1:$D$1324,D651,$B$1:$B$1324,"&lt;="&amp;B651)</f>
        <v>1434634.5999999999</v>
      </c>
      <c r="N651" s="61">
        <f>IF(tblMovimientos[[#This Row],[Tipo de Movimiento]]="Ingreso",tblMovimientos[[#This Row],[Monto (S/)]],"0")</f>
        <v>17545.53</v>
      </c>
      <c r="O651" s="61" t="str">
        <f>IF(tblMovimientos[[#This Row],[Tipo de Movimiento]]="Egreso",tblMovimientos[[#This Row],[Monto (S/)]],"0")</f>
        <v>0</v>
      </c>
      <c r="P651" s="28">
        <f>IF(tblMovimientos[[#This Row],[Tipo de Movimiento]]="Ingreso",tblMovimientos[[#This Row],[Ingreso]],-tblMovimientos[[#This Row],[Egreso]])</f>
        <v>17545.53</v>
      </c>
      <c r="Q651" s="78" t="str">
        <f>_xlfn.XLOOKUP(tblMovimientos[[#This Row],[Cuenta Bancaria]],Cuentas!$C:$C,Cuentas!$A:$A,"")&amp;""</f>
        <v>SSP Group</v>
      </c>
      <c r="R651" s="78" t="str">
        <f>_xlfn.XLOOKUP(tblMovimientos[[#This Row],[Cuenta Bancaria]],Cuentas!$C:$C,Cuentas!$B:$B,"",0,-1)&amp;""</f>
        <v/>
      </c>
    </row>
    <row r="652" spans="2:18" x14ac:dyDescent="0.3">
      <c r="B652" s="39">
        <v>46232</v>
      </c>
      <c r="C652" s="4" t="str">
        <f>_xlfn.XLOOKUP(tblMovimientos[[#This Row],[Cuenta Bancaria]],Listas!$B:$B,Listas!$A:$A,"")</f>
        <v>A&amp;M Imports</v>
      </c>
      <c r="D652" s="41" t="s">
        <v>100</v>
      </c>
      <c r="E652" s="68" t="str">
        <f>_xlfn.XLOOKUP(tblMovimientos[[#This Row],[Cuenta Bancaria]],Listas!$B:$B,Listas!$C:$C,"")</f>
        <v>Bank of America</v>
      </c>
      <c r="F652" s="41" t="s">
        <v>9</v>
      </c>
      <c r="G652" s="41" t="s">
        <v>68</v>
      </c>
      <c r="H652" s="4" t="str">
        <f>IFERROR(_xlfn.XLOOKUP(G652,Listas!E:E,Listas!F:F,""),"")</f>
        <v>Operativo</v>
      </c>
      <c r="I652" s="46" t="str">
        <f>IFERROR(_xlfn.XLOOKUP(G652,Listas!E:E,Listas!G:G,""),"")</f>
        <v>Externo</v>
      </c>
      <c r="J652" s="43">
        <v>1452.33</v>
      </c>
      <c r="K652" s="5">
        <f t="shared" si="10"/>
        <v>1452.33</v>
      </c>
      <c r="L652" s="15" t="s">
        <v>129</v>
      </c>
      <c r="M652" s="44">
        <f>SUMIFS('Saldos Iniciales'!$D:$D,'Saldos Iniciales'!$A:$A,C652,'Saldos Iniciales'!$B:$B,D652)+SUMIFS($K$1:$K$1324,$C$1:$C$1324,C652,$D$1:$D$1324,D652,$B$1:$B$1324,"&lt;="&amp;B652)</f>
        <v>1434634.5999999999</v>
      </c>
      <c r="N652" s="61">
        <f>IF(tblMovimientos[[#This Row],[Tipo de Movimiento]]="Ingreso",tblMovimientos[[#This Row],[Monto (S/)]],"0")</f>
        <v>1452.33</v>
      </c>
      <c r="O652" s="61" t="str">
        <f>IF(tblMovimientos[[#This Row],[Tipo de Movimiento]]="Egreso",tblMovimientos[[#This Row],[Monto (S/)]],"0")</f>
        <v>0</v>
      </c>
      <c r="P652" s="28">
        <f>IF(tblMovimientos[[#This Row],[Tipo de Movimiento]]="Ingreso",tblMovimientos[[#This Row],[Ingreso]],-tblMovimientos[[#This Row],[Egreso]])</f>
        <v>1452.33</v>
      </c>
      <c r="Q652" s="78" t="str">
        <f>_xlfn.XLOOKUP(tblMovimientos[[#This Row],[Cuenta Bancaria]],Cuentas!$C:$C,Cuentas!$A:$A,"")&amp;""</f>
        <v>SSP Group</v>
      </c>
      <c r="R652" s="78" t="str">
        <f>_xlfn.XLOOKUP(tblMovimientos[[#This Row],[Cuenta Bancaria]],Cuentas!$C:$C,Cuentas!$B:$B,"",0,-1)&amp;""</f>
        <v/>
      </c>
    </row>
    <row r="653" spans="2:18" x14ac:dyDescent="0.3">
      <c r="B653" s="39">
        <v>46232</v>
      </c>
      <c r="C653" s="4" t="str">
        <f>_xlfn.XLOOKUP(tblMovimientos[[#This Row],[Cuenta Bancaria]],Listas!$B:$B,Listas!$A:$A,"")</f>
        <v>CFT Group</v>
      </c>
      <c r="D653" s="41" t="s">
        <v>94</v>
      </c>
      <c r="E653" s="68" t="str">
        <f>_xlfn.XLOOKUP(tblMovimientos[[#This Row],[Cuenta Bancaria]],Listas!$B:$B,Listas!$C:$C,"")</f>
        <v>Bank of America</v>
      </c>
      <c r="F653" s="41" t="s">
        <v>9</v>
      </c>
      <c r="G653" s="41" t="s">
        <v>68</v>
      </c>
      <c r="H653" s="4" t="str">
        <f>IFERROR(_xlfn.XLOOKUP(G653,Listas!E:E,Listas!F:F,""),"")</f>
        <v>Operativo</v>
      </c>
      <c r="I653" s="46" t="str">
        <f>IFERROR(_xlfn.XLOOKUP(G653,Listas!E:E,Listas!G:G,""),"")</f>
        <v>Externo</v>
      </c>
      <c r="J653" s="43">
        <v>7471.23</v>
      </c>
      <c r="K653" s="5">
        <f t="shared" si="10"/>
        <v>7471.23</v>
      </c>
      <c r="L653" s="15" t="s">
        <v>129</v>
      </c>
      <c r="M653" s="44">
        <f>SUMIFS('Saldos Iniciales'!$D:$D,'Saldos Iniciales'!$A:$A,C653,'Saldos Iniciales'!$B:$B,D653)+SUMIFS($K$1:$K$1324,$C$1:$C$1324,C653,$D$1:$D$1324,D653,$B$1:$B$1324,"&lt;="&amp;B653)</f>
        <v>35371.749999999985</v>
      </c>
      <c r="N653" s="61">
        <f>IF(tblMovimientos[[#This Row],[Tipo de Movimiento]]="Ingreso",tblMovimientos[[#This Row],[Monto (S/)]],"0")</f>
        <v>7471.23</v>
      </c>
      <c r="O653" s="61" t="str">
        <f>IF(tblMovimientos[[#This Row],[Tipo de Movimiento]]="Egreso",tblMovimientos[[#This Row],[Monto (S/)]],"0")</f>
        <v>0</v>
      </c>
      <c r="P653" s="28">
        <f>IF(tblMovimientos[[#This Row],[Tipo de Movimiento]]="Ingreso",tblMovimientos[[#This Row],[Ingreso]],-tblMovimientos[[#This Row],[Egreso]])</f>
        <v>7471.23</v>
      </c>
      <c r="Q653" s="78" t="str">
        <f>_xlfn.XLOOKUP(tblMovimientos[[#This Row],[Cuenta Bancaria]],Cuentas!$C:$C,Cuentas!$A:$A,"")&amp;""</f>
        <v>SSP Group</v>
      </c>
      <c r="R653" s="78" t="str">
        <f>_xlfn.XLOOKUP(tblMovimientos[[#This Row],[Cuenta Bancaria]],Cuentas!$C:$C,Cuentas!$B:$B,"",0,-1)&amp;""</f>
        <v/>
      </c>
    </row>
    <row r="654" spans="2:18" x14ac:dyDescent="0.3">
      <c r="B654" s="39">
        <v>46232</v>
      </c>
      <c r="C654" s="4" t="str">
        <f>_xlfn.XLOOKUP(tblMovimientos[[#This Row],[Cuenta Bancaria]],Listas!$B:$B,Listas!$A:$A,"")</f>
        <v>CFT Group</v>
      </c>
      <c r="D654" s="41" t="s">
        <v>94</v>
      </c>
      <c r="E654" s="68" t="str">
        <f>_xlfn.XLOOKUP(tblMovimientos[[#This Row],[Cuenta Bancaria]],Listas!$B:$B,Listas!$C:$C,"")</f>
        <v>Bank of America</v>
      </c>
      <c r="F654" s="41" t="s">
        <v>9</v>
      </c>
      <c r="G654" s="41" t="s">
        <v>68</v>
      </c>
      <c r="H654" s="4" t="str">
        <f>IFERROR(_xlfn.XLOOKUP(G654,Listas!E:E,Listas!F:F,""),"")</f>
        <v>Operativo</v>
      </c>
      <c r="I654" s="46" t="str">
        <f>IFERROR(_xlfn.XLOOKUP(G654,Listas!E:E,Listas!G:G,""),"")</f>
        <v>Externo</v>
      </c>
      <c r="J654" s="43">
        <v>7317.16</v>
      </c>
      <c r="K654" s="5">
        <f t="shared" si="10"/>
        <v>7317.16</v>
      </c>
      <c r="L654" s="15" t="s">
        <v>129</v>
      </c>
      <c r="M654" s="44">
        <f>SUMIFS('Saldos Iniciales'!$D:$D,'Saldos Iniciales'!$A:$A,C654,'Saldos Iniciales'!$B:$B,D654)+SUMIFS($K$1:$K$1324,$C$1:$C$1324,C654,$D$1:$D$1324,D654,$B$1:$B$1324,"&lt;="&amp;B654)</f>
        <v>35371.749999999985</v>
      </c>
      <c r="N654" s="61">
        <f>IF(tblMovimientos[[#This Row],[Tipo de Movimiento]]="Ingreso",tblMovimientos[[#This Row],[Monto (S/)]],"0")</f>
        <v>7317.16</v>
      </c>
      <c r="O654" s="61" t="str">
        <f>IF(tblMovimientos[[#This Row],[Tipo de Movimiento]]="Egreso",tblMovimientos[[#This Row],[Monto (S/)]],"0")</f>
        <v>0</v>
      </c>
      <c r="P654" s="28">
        <f>IF(tblMovimientos[[#This Row],[Tipo de Movimiento]]="Ingreso",tblMovimientos[[#This Row],[Ingreso]],-tblMovimientos[[#This Row],[Egreso]])</f>
        <v>7317.16</v>
      </c>
      <c r="Q654" s="78" t="str">
        <f>_xlfn.XLOOKUP(tblMovimientos[[#This Row],[Cuenta Bancaria]],Cuentas!$C:$C,Cuentas!$A:$A,"")&amp;""</f>
        <v>SSP Group</v>
      </c>
      <c r="R654" s="78" t="str">
        <f>_xlfn.XLOOKUP(tblMovimientos[[#This Row],[Cuenta Bancaria]],Cuentas!$C:$C,Cuentas!$B:$B,"",0,-1)&amp;""</f>
        <v/>
      </c>
    </row>
    <row r="655" spans="2:18" x14ac:dyDescent="0.3">
      <c r="B655" s="39">
        <v>46232</v>
      </c>
      <c r="C655" s="4" t="str">
        <f>_xlfn.XLOOKUP(tblMovimientos[[#This Row],[Cuenta Bancaria]],Listas!$B:$B,Listas!$A:$A,"")</f>
        <v>M1B</v>
      </c>
      <c r="D655" s="41" t="s">
        <v>97</v>
      </c>
      <c r="E655" s="68" t="str">
        <f>_xlfn.XLOOKUP(tblMovimientos[[#This Row],[Cuenta Bancaria]],Listas!$B:$B,Listas!$C:$C,"")</f>
        <v xml:space="preserve">Amerant Bank </v>
      </c>
      <c r="F655" s="41" t="s">
        <v>9</v>
      </c>
      <c r="G655" s="41" t="s">
        <v>68</v>
      </c>
      <c r="H655" s="4" t="str">
        <f>IFERROR(_xlfn.XLOOKUP(G655,Listas!E:E,Listas!F:F,""),"")</f>
        <v>Operativo</v>
      </c>
      <c r="I655" s="46" t="str">
        <f>IFERROR(_xlfn.XLOOKUP(G655,Listas!E:E,Listas!G:G,""),"")</f>
        <v>Externo</v>
      </c>
      <c r="J655" s="43">
        <v>2637.13</v>
      </c>
      <c r="K655" s="5">
        <f t="shared" si="10"/>
        <v>2637.13</v>
      </c>
      <c r="L655" s="15" t="s">
        <v>129</v>
      </c>
      <c r="M655" s="44">
        <f>SUMIFS('Saldos Iniciales'!$D:$D,'Saldos Iniciales'!$A:$A,C655,'Saldos Iniciales'!$B:$B,D655)+SUMIFS($K$1:$K$1324,$C$1:$C$1324,C655,$D$1:$D$1324,D655,$B$1:$B$1324,"&lt;="&amp;B655)</f>
        <v>78211.250000000175</v>
      </c>
      <c r="N655" s="61">
        <f>IF(tblMovimientos[[#This Row],[Tipo de Movimiento]]="Ingreso",tblMovimientos[[#This Row],[Monto (S/)]],"0")</f>
        <v>2637.13</v>
      </c>
      <c r="O655" s="61" t="str">
        <f>IF(tblMovimientos[[#This Row],[Tipo de Movimiento]]="Egreso",tblMovimientos[[#This Row],[Monto (S/)]],"0")</f>
        <v>0</v>
      </c>
      <c r="P655" s="28">
        <f>IF(tblMovimientos[[#This Row],[Tipo de Movimiento]]="Ingreso",tblMovimientos[[#This Row],[Ingreso]],-tblMovimientos[[#This Row],[Egreso]])</f>
        <v>2637.13</v>
      </c>
      <c r="Q655" s="78" t="str">
        <f>_xlfn.XLOOKUP(tblMovimientos[[#This Row],[Cuenta Bancaria]],Cuentas!$C:$C,Cuentas!$A:$A,"")&amp;""</f>
        <v>SSP Group</v>
      </c>
      <c r="R655" s="78" t="str">
        <f>_xlfn.XLOOKUP(tblMovimientos[[#This Row],[Cuenta Bancaria]],Cuentas!$C:$C,Cuentas!$B:$B,"",0,-1)&amp;""</f>
        <v/>
      </c>
    </row>
    <row r="656" spans="2:18" x14ac:dyDescent="0.3">
      <c r="B656" s="39">
        <v>46232</v>
      </c>
      <c r="C656" s="4" t="str">
        <f>_xlfn.XLOOKUP(tblMovimientos[[#This Row],[Cuenta Bancaria]],Listas!$B:$B,Listas!$A:$A,"")</f>
        <v>Go Blue</v>
      </c>
      <c r="D656" s="41" t="s">
        <v>165</v>
      </c>
      <c r="E656" s="68" t="str">
        <f>_xlfn.XLOOKUP(tblMovimientos[[#This Row],[Cuenta Bancaria]],Listas!$B:$B,Listas!$C:$C,"")</f>
        <v xml:space="preserve">Amerant Bank </v>
      </c>
      <c r="F656" s="41" t="s">
        <v>10</v>
      </c>
      <c r="G656" s="41" t="s">
        <v>38</v>
      </c>
      <c r="H656" s="4" t="str">
        <f>IFERROR(_xlfn.XLOOKUP(G656,Listas!E:E,Listas!F:F,""),"")</f>
        <v>Operativo</v>
      </c>
      <c r="I656" s="46" t="str">
        <f>IFERROR(_xlfn.XLOOKUP(G656,Listas!E:E,Listas!G:G,""),"")</f>
        <v>Externo</v>
      </c>
      <c r="J656" s="43">
        <v>168.79</v>
      </c>
      <c r="K656" s="5">
        <f t="shared" si="10"/>
        <v>-168.79</v>
      </c>
      <c r="L656" s="15" t="s">
        <v>129</v>
      </c>
      <c r="M656" s="44">
        <f>SUMIFS('Saldos Iniciales'!$D:$D,'Saldos Iniciales'!$A:$A,C656,'Saldos Iniciales'!$B:$B,D656)+SUMIFS($K$1:$K$1324,$C$1:$C$1324,C656,$D$1:$D$1324,D656,$B$1:$B$1324,"&lt;="&amp;B656)</f>
        <v>2511.070000000002</v>
      </c>
      <c r="N656" s="61" t="str">
        <f>IF(tblMovimientos[[#This Row],[Tipo de Movimiento]]="Ingreso",tblMovimientos[[#This Row],[Monto (S/)]],"0")</f>
        <v>0</v>
      </c>
      <c r="O656" s="61">
        <f>IF(tblMovimientos[[#This Row],[Tipo de Movimiento]]="Egreso",tblMovimientos[[#This Row],[Monto (S/)]],"0")</f>
        <v>168.79</v>
      </c>
      <c r="P656" s="28">
        <f>IF(tblMovimientos[[#This Row],[Tipo de Movimiento]]="Ingreso",tblMovimientos[[#This Row],[Ingreso]],-tblMovimientos[[#This Row],[Egreso]])</f>
        <v>-168.79</v>
      </c>
      <c r="Q656" s="78" t="str">
        <f>_xlfn.XLOOKUP(tblMovimientos[[#This Row],[Cuenta Bancaria]],Cuentas!$C:$C,Cuentas!$A:$A,"")&amp;""</f>
        <v>SSP Group</v>
      </c>
      <c r="R656" s="78" t="str">
        <f>_xlfn.XLOOKUP(tblMovimientos[[#This Row],[Cuenta Bancaria]],Cuentas!$C:$C,Cuentas!$B:$B,"",0,-1)&amp;""</f>
        <v/>
      </c>
    </row>
    <row r="657" spans="1:18" x14ac:dyDescent="0.3">
      <c r="B657" s="39">
        <v>46232</v>
      </c>
      <c r="C657" s="4" t="str">
        <f>_xlfn.XLOOKUP(tblMovimientos[[#This Row],[Cuenta Bancaria]],Listas!$B:$B,Listas!$A:$A,"")</f>
        <v>Go Blue</v>
      </c>
      <c r="D657" s="41" t="s">
        <v>165</v>
      </c>
      <c r="E657" s="68" t="str">
        <f>_xlfn.XLOOKUP(tblMovimientos[[#This Row],[Cuenta Bancaria]],Listas!$B:$B,Listas!$C:$C,"")</f>
        <v xml:space="preserve">Amerant Bank </v>
      </c>
      <c r="F657" s="41" t="s">
        <v>10</v>
      </c>
      <c r="G657" s="41" t="s">
        <v>38</v>
      </c>
      <c r="H657" s="4" t="str">
        <f>IFERROR(_xlfn.XLOOKUP(G657,Listas!E:E,Listas!F:F,""),"")</f>
        <v>Operativo</v>
      </c>
      <c r="I657" s="46" t="str">
        <f>IFERROR(_xlfn.XLOOKUP(G657,Listas!E:E,Listas!G:G,""),"")</f>
        <v>Externo</v>
      </c>
      <c r="J657" s="43">
        <v>1300.76</v>
      </c>
      <c r="K657" s="5">
        <f t="shared" si="10"/>
        <v>-1300.76</v>
      </c>
      <c r="L657" s="15" t="s">
        <v>129</v>
      </c>
      <c r="M657" s="44">
        <f>SUMIFS('Saldos Iniciales'!$D:$D,'Saldos Iniciales'!$A:$A,C657,'Saldos Iniciales'!$B:$B,D657)+SUMIFS($K$1:$K$1324,$C$1:$C$1324,C657,$D$1:$D$1324,D657,$B$1:$B$1324,"&lt;="&amp;B657)</f>
        <v>2511.070000000002</v>
      </c>
      <c r="N657" s="61" t="str">
        <f>IF(tblMovimientos[[#This Row],[Tipo de Movimiento]]="Ingreso",tblMovimientos[[#This Row],[Monto (S/)]],"0")</f>
        <v>0</v>
      </c>
      <c r="O657" s="61">
        <f>IF(tblMovimientos[[#This Row],[Tipo de Movimiento]]="Egreso",tblMovimientos[[#This Row],[Monto (S/)]],"0")</f>
        <v>1300.76</v>
      </c>
      <c r="P657" s="28">
        <f>IF(tblMovimientos[[#This Row],[Tipo de Movimiento]]="Ingreso",tblMovimientos[[#This Row],[Ingreso]],-tblMovimientos[[#This Row],[Egreso]])</f>
        <v>-1300.76</v>
      </c>
      <c r="Q657" s="78" t="str">
        <f>_xlfn.XLOOKUP(tblMovimientos[[#This Row],[Cuenta Bancaria]],Cuentas!$C:$C,Cuentas!$A:$A,"")&amp;""</f>
        <v>SSP Group</v>
      </c>
      <c r="R657" s="78" t="str">
        <f>_xlfn.XLOOKUP(tblMovimientos[[#This Row],[Cuenta Bancaria]],Cuentas!$C:$C,Cuentas!$B:$B,"",0,-1)&amp;""</f>
        <v/>
      </c>
    </row>
    <row r="658" spans="1:18" x14ac:dyDescent="0.3">
      <c r="B658" s="39">
        <v>46232</v>
      </c>
      <c r="C658" s="4" t="str">
        <f>_xlfn.XLOOKUP(tblMovimientos[[#This Row],[Cuenta Bancaria]],Listas!$B:$B,Listas!$A:$A,"")</f>
        <v>Go Blue</v>
      </c>
      <c r="D658" s="41" t="s">
        <v>165</v>
      </c>
      <c r="E658" s="68" t="str">
        <f>_xlfn.XLOOKUP(tblMovimientos[[#This Row],[Cuenta Bancaria]],Listas!$B:$B,Listas!$C:$C,"")</f>
        <v xml:space="preserve">Amerant Bank </v>
      </c>
      <c r="F658" s="41" t="s">
        <v>10</v>
      </c>
      <c r="G658" s="41" t="s">
        <v>38</v>
      </c>
      <c r="H658" s="4" t="str">
        <f>IFERROR(_xlfn.XLOOKUP(G658,Listas!E:E,Listas!F:F,""),"")</f>
        <v>Operativo</v>
      </c>
      <c r="I658" s="46" t="str">
        <f>IFERROR(_xlfn.XLOOKUP(G658,Listas!E:E,Listas!G:G,""),"")</f>
        <v>Externo</v>
      </c>
      <c r="J658" s="43">
        <v>132.08000000000001</v>
      </c>
      <c r="K658" s="5">
        <f t="shared" si="10"/>
        <v>-132.08000000000001</v>
      </c>
      <c r="L658" s="15" t="s">
        <v>129</v>
      </c>
      <c r="M658" s="44">
        <f>SUMIFS('Saldos Iniciales'!$D:$D,'Saldos Iniciales'!$A:$A,C658,'Saldos Iniciales'!$B:$B,D658)+SUMIFS($K$1:$K$1324,$C$1:$C$1324,C658,$D$1:$D$1324,D658,$B$1:$B$1324,"&lt;="&amp;B658)</f>
        <v>2511.070000000002</v>
      </c>
      <c r="N658" s="61" t="str">
        <f>IF(tblMovimientos[[#This Row],[Tipo de Movimiento]]="Ingreso",tblMovimientos[[#This Row],[Monto (S/)]],"0")</f>
        <v>0</v>
      </c>
      <c r="O658" s="61">
        <f>IF(tblMovimientos[[#This Row],[Tipo de Movimiento]]="Egreso",tblMovimientos[[#This Row],[Monto (S/)]],"0")</f>
        <v>132.08000000000001</v>
      </c>
      <c r="P658" s="28">
        <f>IF(tblMovimientos[[#This Row],[Tipo de Movimiento]]="Ingreso",tblMovimientos[[#This Row],[Ingreso]],-tblMovimientos[[#This Row],[Egreso]])</f>
        <v>-132.08000000000001</v>
      </c>
      <c r="Q658" s="78" t="str">
        <f>_xlfn.XLOOKUP(tblMovimientos[[#This Row],[Cuenta Bancaria]],Cuentas!$C:$C,Cuentas!$A:$A,"")&amp;""</f>
        <v>SSP Group</v>
      </c>
      <c r="R658" s="78" t="str">
        <f>_xlfn.XLOOKUP(tblMovimientos[[#This Row],[Cuenta Bancaria]],Cuentas!$C:$C,Cuentas!$B:$B,"",0,-1)&amp;""</f>
        <v/>
      </c>
    </row>
    <row r="659" spans="1:18" x14ac:dyDescent="0.3">
      <c r="B659" s="39">
        <v>46232</v>
      </c>
      <c r="C659" s="4" t="str">
        <f>_xlfn.XLOOKUP(tblMovimientos[[#This Row],[Cuenta Bancaria]],Listas!$B:$B,Listas!$A:$A,"")</f>
        <v>Go Blue</v>
      </c>
      <c r="D659" s="41" t="s">
        <v>165</v>
      </c>
      <c r="E659" s="68" t="str">
        <f>_xlfn.XLOOKUP(tblMovimientos[[#This Row],[Cuenta Bancaria]],Listas!$B:$B,Listas!$C:$C,"")</f>
        <v xml:space="preserve">Amerant Bank </v>
      </c>
      <c r="F659" s="41" t="s">
        <v>10</v>
      </c>
      <c r="G659" s="41" t="s">
        <v>38</v>
      </c>
      <c r="H659" s="4" t="str">
        <f>IFERROR(_xlfn.XLOOKUP(G659,Listas!E:E,Listas!F:F,""),"")</f>
        <v>Operativo</v>
      </c>
      <c r="I659" s="46" t="str">
        <f>IFERROR(_xlfn.XLOOKUP(G659,Listas!E:E,Listas!G:G,""),"")</f>
        <v>Externo</v>
      </c>
      <c r="J659" s="43">
        <v>22.68</v>
      </c>
      <c r="K659" s="5">
        <f t="shared" si="10"/>
        <v>-22.68</v>
      </c>
      <c r="L659" s="15" t="s">
        <v>129</v>
      </c>
      <c r="M659" s="44">
        <f>SUMIFS('Saldos Iniciales'!$D:$D,'Saldos Iniciales'!$A:$A,C659,'Saldos Iniciales'!$B:$B,D659)+SUMIFS($K$1:$K$1324,$C$1:$C$1324,C659,$D$1:$D$1324,D659,$B$1:$B$1324,"&lt;="&amp;B659)</f>
        <v>2511.070000000002</v>
      </c>
      <c r="N659" s="61" t="str">
        <f>IF(tblMovimientos[[#This Row],[Tipo de Movimiento]]="Ingreso",tblMovimientos[[#This Row],[Monto (S/)]],"0")</f>
        <v>0</v>
      </c>
      <c r="O659" s="61">
        <f>IF(tblMovimientos[[#This Row],[Tipo de Movimiento]]="Egreso",tblMovimientos[[#This Row],[Monto (S/)]],"0")</f>
        <v>22.68</v>
      </c>
      <c r="P659" s="28">
        <f>IF(tblMovimientos[[#This Row],[Tipo de Movimiento]]="Ingreso",tblMovimientos[[#This Row],[Ingreso]],-tblMovimientos[[#This Row],[Egreso]])</f>
        <v>-22.68</v>
      </c>
      <c r="Q659" s="78" t="str">
        <f>_xlfn.XLOOKUP(tblMovimientos[[#This Row],[Cuenta Bancaria]],Cuentas!$C:$C,Cuentas!$A:$A,"")&amp;""</f>
        <v>SSP Group</v>
      </c>
      <c r="R659" s="78" t="str">
        <f>_xlfn.XLOOKUP(tblMovimientos[[#This Row],[Cuenta Bancaria]],Cuentas!$C:$C,Cuentas!$B:$B,"",0,-1)&amp;""</f>
        <v/>
      </c>
    </row>
    <row r="660" spans="1:18" x14ac:dyDescent="0.3">
      <c r="B660" s="39">
        <v>46233</v>
      </c>
      <c r="C660" s="4" t="str">
        <f>_xlfn.XLOOKUP(tblMovimientos[[#This Row],[Cuenta Bancaria]],Listas!$B:$B,Listas!$A:$A,"")</f>
        <v>SSP Capital</v>
      </c>
      <c r="D660" s="41" t="s">
        <v>101</v>
      </c>
      <c r="E660" s="68" t="str">
        <f>_xlfn.XLOOKUP(tblMovimientos[[#This Row],[Cuenta Bancaria]],Listas!$B:$B,Listas!$C:$C,"")</f>
        <v>Bank of America</v>
      </c>
      <c r="F660" s="41" t="s">
        <v>10</v>
      </c>
      <c r="G660" s="41" t="s">
        <v>45</v>
      </c>
      <c r="H660" s="4" t="str">
        <f>IFERROR(_xlfn.XLOOKUP(G660,Listas!E:E,Listas!F:F,""),"")</f>
        <v>Operativo</v>
      </c>
      <c r="I660" s="46" t="str">
        <f>IFERROR(_xlfn.XLOOKUP(G660,Listas!E:E,Listas!G:G,""),"")</f>
        <v>Externo</v>
      </c>
      <c r="J660" s="43">
        <v>3.25</v>
      </c>
      <c r="K660" s="5">
        <f t="shared" si="10"/>
        <v>-3.25</v>
      </c>
      <c r="L660" s="15" t="s">
        <v>129</v>
      </c>
      <c r="M660" s="44">
        <f>SUMIFS('Saldos Iniciales'!$D:$D,'Saldos Iniciales'!$A:$A,C660,'Saldos Iniciales'!$B:$B,D660)+SUMIFS($K$1:$K$1324,$C$1:$C$1324,C660,$D$1:$D$1324,D660,$B$1:$B$1324,"&lt;="&amp;B660)</f>
        <v>6144.7699999999995</v>
      </c>
      <c r="N660" s="61" t="str">
        <f>IF(tblMovimientos[[#This Row],[Tipo de Movimiento]]="Ingreso",tblMovimientos[[#This Row],[Monto (S/)]],"0")</f>
        <v>0</v>
      </c>
      <c r="O660" s="61">
        <f>IF(tblMovimientos[[#This Row],[Tipo de Movimiento]]="Egreso",tblMovimientos[[#This Row],[Monto (S/)]],"0")</f>
        <v>3.25</v>
      </c>
      <c r="P660" s="28">
        <f>IF(tblMovimientos[[#This Row],[Tipo de Movimiento]]="Ingreso",tblMovimientos[[#This Row],[Ingreso]],-tblMovimientos[[#This Row],[Egreso]])</f>
        <v>-3.25</v>
      </c>
      <c r="Q660" s="78" t="str">
        <f>_xlfn.XLOOKUP(tblMovimientos[[#This Row],[Cuenta Bancaria]],Cuentas!$C:$C,Cuentas!$A:$A,"")&amp;""</f>
        <v>SSP Group</v>
      </c>
      <c r="R660" s="78" t="str">
        <f>_xlfn.XLOOKUP(tblMovimientos[[#This Row],[Cuenta Bancaria]],Cuentas!$C:$C,Cuentas!$B:$B,"",0,-1)&amp;""</f>
        <v/>
      </c>
    </row>
    <row r="661" spans="1:18" x14ac:dyDescent="0.3">
      <c r="B661" s="39">
        <v>46233</v>
      </c>
      <c r="C661" s="4" t="str">
        <f>_xlfn.XLOOKUP(tblMovimientos[[#This Row],[Cuenta Bancaria]],Listas!$B:$B,Listas!$A:$A,"")</f>
        <v>A&amp;M Imports</v>
      </c>
      <c r="D661" s="41" t="s">
        <v>100</v>
      </c>
      <c r="E661" s="68" t="str">
        <f>_xlfn.XLOOKUP(tblMovimientos[[#This Row],[Cuenta Bancaria]],Listas!$B:$B,Listas!$C:$C,"")</f>
        <v>Bank of America</v>
      </c>
      <c r="F661" s="41" t="s">
        <v>9</v>
      </c>
      <c r="G661" s="41" t="s">
        <v>68</v>
      </c>
      <c r="H661" s="4" t="str">
        <f>IFERROR(_xlfn.XLOOKUP(G661,Listas!E:E,Listas!F:F,""),"")</f>
        <v>Operativo</v>
      </c>
      <c r="I661" s="46" t="str">
        <f>IFERROR(_xlfn.XLOOKUP(G661,Listas!E:E,Listas!G:G,""),"")</f>
        <v>Externo</v>
      </c>
      <c r="J661" s="43">
        <v>23791.439999999999</v>
      </c>
      <c r="K661" s="5">
        <f t="shared" si="10"/>
        <v>23791.439999999999</v>
      </c>
      <c r="L661" s="15" t="s">
        <v>129</v>
      </c>
      <c r="M661" s="44">
        <f>SUMIFS('Saldos Iniciales'!$D:$D,'Saldos Iniciales'!$A:$A,C661,'Saldos Iniciales'!$B:$B,D661)+SUMIFS($K$1:$K$1324,$C$1:$C$1324,C661,$D$1:$D$1324,D661,$B$1:$B$1324,"&lt;="&amp;B661)</f>
        <v>1458426.0399999998</v>
      </c>
      <c r="N661" s="61">
        <f>IF(tblMovimientos[[#This Row],[Tipo de Movimiento]]="Ingreso",tblMovimientos[[#This Row],[Monto (S/)]],"0")</f>
        <v>23791.439999999999</v>
      </c>
      <c r="O661" s="61" t="str">
        <f>IF(tblMovimientos[[#This Row],[Tipo de Movimiento]]="Egreso",tblMovimientos[[#This Row],[Monto (S/)]],"0")</f>
        <v>0</v>
      </c>
      <c r="P661" s="28">
        <f>IF(tblMovimientos[[#This Row],[Tipo de Movimiento]]="Ingreso",tblMovimientos[[#This Row],[Ingreso]],-tblMovimientos[[#This Row],[Egreso]])</f>
        <v>23791.439999999999</v>
      </c>
      <c r="Q661" s="78" t="str">
        <f>_xlfn.XLOOKUP(tblMovimientos[[#This Row],[Cuenta Bancaria]],Cuentas!$C:$C,Cuentas!$A:$A,"")&amp;""</f>
        <v>SSP Group</v>
      </c>
      <c r="R661" s="78" t="str">
        <f>_xlfn.XLOOKUP(tblMovimientos[[#This Row],[Cuenta Bancaria]],Cuentas!$C:$C,Cuentas!$B:$B,"",0,-1)&amp;""</f>
        <v/>
      </c>
    </row>
    <row r="662" spans="1:18" x14ac:dyDescent="0.3">
      <c r="B662" s="39">
        <v>46233</v>
      </c>
      <c r="C662" s="4" t="str">
        <f>_xlfn.XLOOKUP(tblMovimientos[[#This Row],[Cuenta Bancaria]],Listas!$B:$B,Listas!$A:$A,"")</f>
        <v>CFT Group</v>
      </c>
      <c r="D662" s="41" t="s">
        <v>94</v>
      </c>
      <c r="E662" s="68" t="str">
        <f>_xlfn.XLOOKUP(tblMovimientos[[#This Row],[Cuenta Bancaria]],Listas!$B:$B,Listas!$C:$C,"")</f>
        <v>Bank of America</v>
      </c>
      <c r="F662" s="41" t="s">
        <v>9</v>
      </c>
      <c r="G662" s="41" t="s">
        <v>68</v>
      </c>
      <c r="H662" s="4" t="str">
        <f>IFERROR(_xlfn.XLOOKUP(G662,Listas!E:E,Listas!F:F,""),"")</f>
        <v>Operativo</v>
      </c>
      <c r="I662" s="46" t="str">
        <f>IFERROR(_xlfn.XLOOKUP(G662,Listas!E:E,Listas!G:G,""),"")</f>
        <v>Externo</v>
      </c>
      <c r="J662" s="43">
        <v>129678.6</v>
      </c>
      <c r="K662" s="5">
        <f t="shared" si="10"/>
        <v>129678.6</v>
      </c>
      <c r="L662" s="15" t="s">
        <v>129</v>
      </c>
      <c r="M662" s="44">
        <f>SUMIFS('Saldos Iniciales'!$D:$D,'Saldos Iniciales'!$A:$A,C662,'Saldos Iniciales'!$B:$B,D662)+SUMIFS($K$1:$K$1324,$C$1:$C$1324,C662,$D$1:$D$1324,D662,$B$1:$B$1324,"&lt;="&amp;B662)</f>
        <v>235183.32</v>
      </c>
      <c r="N662" s="61">
        <f>IF(tblMovimientos[[#This Row],[Tipo de Movimiento]]="Ingreso",tblMovimientos[[#This Row],[Monto (S/)]],"0")</f>
        <v>129678.6</v>
      </c>
      <c r="O662" s="61" t="str">
        <f>IF(tblMovimientos[[#This Row],[Tipo de Movimiento]]="Egreso",tblMovimientos[[#This Row],[Monto (S/)]],"0")</f>
        <v>0</v>
      </c>
      <c r="P662" s="28">
        <f>IF(tblMovimientos[[#This Row],[Tipo de Movimiento]]="Ingreso",tblMovimientos[[#This Row],[Ingreso]],-tblMovimientos[[#This Row],[Egreso]])</f>
        <v>129678.6</v>
      </c>
      <c r="Q662" s="78" t="str">
        <f>_xlfn.XLOOKUP(tblMovimientos[[#This Row],[Cuenta Bancaria]],Cuentas!$C:$C,Cuentas!$A:$A,"")&amp;""</f>
        <v>SSP Group</v>
      </c>
      <c r="R662" s="78" t="str">
        <f>_xlfn.XLOOKUP(tblMovimientos[[#This Row],[Cuenta Bancaria]],Cuentas!$C:$C,Cuentas!$B:$B,"",0,-1)&amp;""</f>
        <v/>
      </c>
    </row>
    <row r="663" spans="1:18" x14ac:dyDescent="0.3">
      <c r="B663" s="39">
        <v>46233</v>
      </c>
      <c r="C663" s="4" t="str">
        <f>_xlfn.XLOOKUP(tblMovimientos[[#This Row],[Cuenta Bancaria]],Listas!$B:$B,Listas!$A:$A,"")</f>
        <v>CFT Group</v>
      </c>
      <c r="D663" s="41" t="s">
        <v>94</v>
      </c>
      <c r="E663" s="68" t="str">
        <f>_xlfn.XLOOKUP(tblMovimientos[[#This Row],[Cuenta Bancaria]],Listas!$B:$B,Listas!$C:$C,"")</f>
        <v>Bank of America</v>
      </c>
      <c r="F663" s="41" t="s">
        <v>9</v>
      </c>
      <c r="G663" s="41" t="s">
        <v>68</v>
      </c>
      <c r="H663" s="4" t="str">
        <f>IFERROR(_xlfn.XLOOKUP(G663,Listas!E:E,Listas!F:F,""),"")</f>
        <v>Operativo</v>
      </c>
      <c r="I663" s="46" t="str">
        <f>IFERROR(_xlfn.XLOOKUP(G663,Listas!E:E,Listas!G:G,""),"")</f>
        <v>Externo</v>
      </c>
      <c r="J663" s="43">
        <v>71403.73</v>
      </c>
      <c r="K663" s="5">
        <f t="shared" si="10"/>
        <v>71403.73</v>
      </c>
      <c r="L663" s="15" t="s">
        <v>129</v>
      </c>
      <c r="M663" s="44">
        <f>SUMIFS('Saldos Iniciales'!$D:$D,'Saldos Iniciales'!$A:$A,C663,'Saldos Iniciales'!$B:$B,D663)+SUMIFS($K$1:$K$1324,$C$1:$C$1324,C663,$D$1:$D$1324,D663,$B$1:$B$1324,"&lt;="&amp;B663)</f>
        <v>235183.32</v>
      </c>
      <c r="N663" s="61">
        <f>IF(tblMovimientos[[#This Row],[Tipo de Movimiento]]="Ingreso",tblMovimientos[[#This Row],[Monto (S/)]],"0")</f>
        <v>71403.73</v>
      </c>
      <c r="O663" s="61" t="str">
        <f>IF(tblMovimientos[[#This Row],[Tipo de Movimiento]]="Egreso",tblMovimientos[[#This Row],[Monto (S/)]],"0")</f>
        <v>0</v>
      </c>
      <c r="P663" s="28">
        <f>IF(tblMovimientos[[#This Row],[Tipo de Movimiento]]="Ingreso",tblMovimientos[[#This Row],[Ingreso]],-tblMovimientos[[#This Row],[Egreso]])</f>
        <v>71403.73</v>
      </c>
      <c r="Q663" s="78" t="str">
        <f>_xlfn.XLOOKUP(tblMovimientos[[#This Row],[Cuenta Bancaria]],Cuentas!$C:$C,Cuentas!$A:$A,"")&amp;""</f>
        <v>SSP Group</v>
      </c>
      <c r="R663" s="78" t="str">
        <f>_xlfn.XLOOKUP(tblMovimientos[[#This Row],[Cuenta Bancaria]],Cuentas!$C:$C,Cuentas!$B:$B,"",0,-1)&amp;""</f>
        <v/>
      </c>
    </row>
    <row r="664" spans="1:18" x14ac:dyDescent="0.3">
      <c r="B664" s="39">
        <v>46233</v>
      </c>
      <c r="C664" s="4" t="str">
        <f>_xlfn.XLOOKUP(tblMovimientos[[#This Row],[Cuenta Bancaria]],Listas!$B:$B,Listas!$A:$A,"")</f>
        <v>CFT Group</v>
      </c>
      <c r="D664" s="41" t="s">
        <v>94</v>
      </c>
      <c r="E664" s="68" t="str">
        <f>_xlfn.XLOOKUP(tblMovimientos[[#This Row],[Cuenta Bancaria]],Listas!$B:$B,Listas!$C:$C,"")</f>
        <v>Bank of America</v>
      </c>
      <c r="F664" s="41" t="s">
        <v>10</v>
      </c>
      <c r="G664" s="41" t="s">
        <v>40</v>
      </c>
      <c r="H664" s="4" t="str">
        <f>IFERROR(_xlfn.XLOOKUP(G664,Listas!E:E,Listas!F:F,""),"")</f>
        <v>Operativo</v>
      </c>
      <c r="I664" s="46" t="str">
        <f>IFERROR(_xlfn.XLOOKUP(G664,Listas!E:E,Listas!G:G,""),"")</f>
        <v>Externo</v>
      </c>
      <c r="J664" s="43">
        <v>1270.43</v>
      </c>
      <c r="K664" s="5">
        <f t="shared" si="10"/>
        <v>-1270.43</v>
      </c>
      <c r="L664" s="15" t="s">
        <v>129</v>
      </c>
      <c r="M664" s="44">
        <f>SUMIFS('Saldos Iniciales'!$D:$D,'Saldos Iniciales'!$A:$A,C664,'Saldos Iniciales'!$B:$B,D664)+SUMIFS($K$1:$K$1324,$C$1:$C$1324,C664,$D$1:$D$1324,D664,$B$1:$B$1324,"&lt;="&amp;B664)</f>
        <v>235183.32</v>
      </c>
      <c r="N664" s="61" t="str">
        <f>IF(tblMovimientos[[#This Row],[Tipo de Movimiento]]="Ingreso",tblMovimientos[[#This Row],[Monto (S/)]],"0")</f>
        <v>0</v>
      </c>
      <c r="O664" s="61">
        <f>IF(tblMovimientos[[#This Row],[Tipo de Movimiento]]="Egreso",tblMovimientos[[#This Row],[Monto (S/)]],"0")</f>
        <v>1270.43</v>
      </c>
      <c r="P664" s="28">
        <f>IF(tblMovimientos[[#This Row],[Tipo de Movimiento]]="Ingreso",tblMovimientos[[#This Row],[Ingreso]],-tblMovimientos[[#This Row],[Egreso]])</f>
        <v>-1270.43</v>
      </c>
      <c r="Q664" s="78" t="str">
        <f>_xlfn.XLOOKUP(tblMovimientos[[#This Row],[Cuenta Bancaria]],Cuentas!$C:$C,Cuentas!$A:$A,"")&amp;""</f>
        <v>SSP Group</v>
      </c>
      <c r="R664" s="78" t="str">
        <f>_xlfn.XLOOKUP(tblMovimientos[[#This Row],[Cuenta Bancaria]],Cuentas!$C:$C,Cuentas!$B:$B,"",0,-1)&amp;""</f>
        <v/>
      </c>
    </row>
    <row r="665" spans="1:18" x14ac:dyDescent="0.3">
      <c r="B665" s="39">
        <v>46233</v>
      </c>
      <c r="C665" s="4" t="str">
        <f>_xlfn.XLOOKUP(tblMovimientos[[#This Row],[Cuenta Bancaria]],Listas!$B:$B,Listas!$A:$A,"")</f>
        <v>CFT Group</v>
      </c>
      <c r="D665" s="41" t="s">
        <v>94</v>
      </c>
      <c r="E665" s="68" t="str">
        <f>_xlfn.XLOOKUP(tblMovimientos[[#This Row],[Cuenta Bancaria]],Listas!$B:$B,Listas!$C:$C,"")</f>
        <v>Bank of America</v>
      </c>
      <c r="F665" s="41" t="s">
        <v>10</v>
      </c>
      <c r="G665" s="41" t="s">
        <v>45</v>
      </c>
      <c r="H665" s="4" t="str">
        <f>IFERROR(_xlfn.XLOOKUP(G665,Listas!E:E,Listas!F:F,""),"")</f>
        <v>Operativo</v>
      </c>
      <c r="I665" s="46" t="str">
        <f>IFERROR(_xlfn.XLOOKUP(G665,Listas!E:E,Listas!G:G,""),"")</f>
        <v>Externo</v>
      </c>
      <c r="J665" s="43">
        <v>0.33</v>
      </c>
      <c r="K665" s="5">
        <f t="shared" si="10"/>
        <v>-0.33</v>
      </c>
      <c r="L665" s="15" t="s">
        <v>129</v>
      </c>
      <c r="M665" s="44">
        <f>SUMIFS('Saldos Iniciales'!$D:$D,'Saldos Iniciales'!$A:$A,C665,'Saldos Iniciales'!$B:$B,D665)+SUMIFS($K$1:$K$1324,$C$1:$C$1324,C665,$D$1:$D$1324,D665,$B$1:$B$1324,"&lt;="&amp;B665)</f>
        <v>235183.32</v>
      </c>
      <c r="N665" s="61" t="str">
        <f>IF(tblMovimientos[[#This Row],[Tipo de Movimiento]]="Ingreso",tblMovimientos[[#This Row],[Monto (S/)]],"0")</f>
        <v>0</v>
      </c>
      <c r="O665" s="61">
        <f>IF(tblMovimientos[[#This Row],[Tipo de Movimiento]]="Egreso",tblMovimientos[[#This Row],[Monto (S/)]],"0")</f>
        <v>0.33</v>
      </c>
      <c r="P665" s="28">
        <f>IF(tblMovimientos[[#This Row],[Tipo de Movimiento]]="Ingreso",tblMovimientos[[#This Row],[Ingreso]],-tblMovimientos[[#This Row],[Egreso]])</f>
        <v>-0.33</v>
      </c>
      <c r="Q665" s="78" t="str">
        <f>_xlfn.XLOOKUP(tblMovimientos[[#This Row],[Cuenta Bancaria]],Cuentas!$C:$C,Cuentas!$A:$A,"")&amp;""</f>
        <v>SSP Group</v>
      </c>
      <c r="R665" s="78" t="str">
        <f>_xlfn.XLOOKUP(tblMovimientos[[#This Row],[Cuenta Bancaria]],Cuentas!$C:$C,Cuentas!$B:$B,"",0,-1)&amp;""</f>
        <v/>
      </c>
    </row>
    <row r="666" spans="1:18" x14ac:dyDescent="0.3">
      <c r="B666" s="39">
        <v>46233</v>
      </c>
      <c r="C666" s="4" t="str">
        <f>_xlfn.XLOOKUP(tblMovimientos[[#This Row],[Cuenta Bancaria]],Listas!$B:$B,Listas!$A:$A,"")</f>
        <v>Go Blue</v>
      </c>
      <c r="D666" s="41" t="s">
        <v>165</v>
      </c>
      <c r="E666" s="68" t="str">
        <f>_xlfn.XLOOKUP(tblMovimientos[[#This Row],[Cuenta Bancaria]],Listas!$B:$B,Listas!$C:$C,"")</f>
        <v xml:space="preserve">Amerant Bank </v>
      </c>
      <c r="F666" s="41" t="s">
        <v>9</v>
      </c>
      <c r="G666" s="41" t="s">
        <v>85</v>
      </c>
      <c r="H666" s="4" t="str">
        <f>IFERROR(_xlfn.XLOOKUP(G666,Listas!E:E,Listas!F:F,""),"")</f>
        <v>Operativo</v>
      </c>
      <c r="I666" s="46" t="str">
        <f>IFERROR(_xlfn.XLOOKUP(G666,Listas!E:E,Listas!G:G,""),"")</f>
        <v>Interno</v>
      </c>
      <c r="J666" s="43">
        <v>2000</v>
      </c>
      <c r="K666" s="5">
        <f t="shared" si="10"/>
        <v>2000</v>
      </c>
      <c r="L666" s="15" t="s">
        <v>129</v>
      </c>
      <c r="M666" s="44">
        <f>SUMIFS('Saldos Iniciales'!$D:$D,'Saldos Iniciales'!$A:$A,C666,'Saldos Iniciales'!$B:$B,D666)+SUMIFS($K$1:$K$1324,$C$1:$C$1324,C666,$D$1:$D$1324,D666,$B$1:$B$1324,"&lt;="&amp;B666)</f>
        <v>2676.2200000000021</v>
      </c>
      <c r="N666" s="61">
        <f>IF(tblMovimientos[[#This Row],[Tipo de Movimiento]]="Ingreso",tblMovimientos[[#This Row],[Monto (S/)]],"0")</f>
        <v>2000</v>
      </c>
      <c r="O666" s="61" t="str">
        <f>IF(tblMovimientos[[#This Row],[Tipo de Movimiento]]="Egreso",tblMovimientos[[#This Row],[Monto (S/)]],"0")</f>
        <v>0</v>
      </c>
      <c r="P666" s="28">
        <f>IF(tblMovimientos[[#This Row],[Tipo de Movimiento]]="Ingreso",tblMovimientos[[#This Row],[Ingreso]],-tblMovimientos[[#This Row],[Egreso]])</f>
        <v>2000</v>
      </c>
      <c r="Q666" s="78" t="str">
        <f>_xlfn.XLOOKUP(tblMovimientos[[#This Row],[Cuenta Bancaria]],Cuentas!$C:$C,Cuentas!$A:$A,"")&amp;""</f>
        <v>SSP Group</v>
      </c>
      <c r="R666" s="78" t="str">
        <f>_xlfn.XLOOKUP(tblMovimientos[[#This Row],[Cuenta Bancaria]],Cuentas!$C:$C,Cuentas!$B:$B,"",0,-1)&amp;""</f>
        <v/>
      </c>
    </row>
    <row r="667" spans="1:18" x14ac:dyDescent="0.3">
      <c r="A667" s="45"/>
      <c r="B667" s="39">
        <v>46233</v>
      </c>
      <c r="C667" s="4" t="str">
        <f>_xlfn.XLOOKUP(tblMovimientos[[#This Row],[Cuenta Bancaria]],Listas!$B:$B,Listas!$A:$A,"")</f>
        <v>Go Blue</v>
      </c>
      <c r="D667" s="41" t="s">
        <v>165</v>
      </c>
      <c r="E667" s="68" t="str">
        <f>_xlfn.XLOOKUP(tblMovimientos[[#This Row],[Cuenta Bancaria]],Listas!$B:$B,Listas!$C:$C,"")</f>
        <v xml:space="preserve">Amerant Bank </v>
      </c>
      <c r="F667" s="41" t="s">
        <v>10</v>
      </c>
      <c r="G667" s="41" t="s">
        <v>38</v>
      </c>
      <c r="H667" s="46" t="str">
        <f>IFERROR(_xlfn.XLOOKUP(G667,Listas!E:E,Listas!F:F,""),"")</f>
        <v>Operativo</v>
      </c>
      <c r="I667" s="46" t="str">
        <f>IFERROR(_xlfn.XLOOKUP(G667,Listas!E:E,Listas!G:G,""),"")</f>
        <v>Externo</v>
      </c>
      <c r="J667" s="43">
        <v>694</v>
      </c>
      <c r="K667" s="5">
        <f t="shared" si="10"/>
        <v>-694</v>
      </c>
      <c r="L667" s="15" t="s">
        <v>129</v>
      </c>
      <c r="M667" s="44">
        <f>SUMIFS('Saldos Iniciales'!$D:$D,'Saldos Iniciales'!$A:$A,C667,'Saldos Iniciales'!$B:$B,D667)+SUMIFS($K$1:$K$1324,$C$1:$C$1324,C667,$D$1:$D$1324,D667,$B$1:$B$1324,"&lt;="&amp;B667)</f>
        <v>2676.2200000000021</v>
      </c>
      <c r="N667" s="61" t="str">
        <f>IF(tblMovimientos[[#This Row],[Tipo de Movimiento]]="Ingreso",tblMovimientos[[#This Row],[Monto (S/)]],"0")</f>
        <v>0</v>
      </c>
      <c r="O667" s="61">
        <f>IF(tblMovimientos[[#This Row],[Tipo de Movimiento]]="Egreso",tblMovimientos[[#This Row],[Monto (S/)]],"0")</f>
        <v>694</v>
      </c>
      <c r="P667" s="28">
        <f>IF(tblMovimientos[[#This Row],[Tipo de Movimiento]]="Ingreso",tblMovimientos[[#This Row],[Ingreso]],-tblMovimientos[[#This Row],[Egreso]])</f>
        <v>-694</v>
      </c>
      <c r="Q667" s="78" t="str">
        <f>_xlfn.XLOOKUP(tblMovimientos[[#This Row],[Cuenta Bancaria]],Cuentas!$C:$C,Cuentas!$A:$A,"")&amp;""</f>
        <v>SSP Group</v>
      </c>
      <c r="R667" s="78" t="str">
        <f>_xlfn.XLOOKUP(tblMovimientos[[#This Row],[Cuenta Bancaria]],Cuentas!$C:$C,Cuentas!$B:$B,"",0,-1)&amp;""</f>
        <v/>
      </c>
    </row>
    <row r="668" spans="1:18" x14ac:dyDescent="0.3">
      <c r="B668" s="39">
        <v>46233</v>
      </c>
      <c r="C668" s="4" t="str">
        <f>_xlfn.XLOOKUP(tblMovimientos[[#This Row],[Cuenta Bancaria]],Listas!$B:$B,Listas!$A:$A,"")</f>
        <v>Go Blue</v>
      </c>
      <c r="D668" s="41" t="s">
        <v>165</v>
      </c>
      <c r="E668" s="68" t="str">
        <f>_xlfn.XLOOKUP(tblMovimientos[[#This Row],[Cuenta Bancaria]],Listas!$B:$B,Listas!$C:$C,"")</f>
        <v xml:space="preserve">Amerant Bank </v>
      </c>
      <c r="F668" s="41" t="s">
        <v>10</v>
      </c>
      <c r="G668" s="41" t="s">
        <v>38</v>
      </c>
      <c r="H668" s="4" t="str">
        <f>IFERROR(_xlfn.XLOOKUP(G668,Listas!E:E,Listas!F:F,""),"")</f>
        <v>Operativo</v>
      </c>
      <c r="I668" s="46" t="str">
        <f>IFERROR(_xlfn.XLOOKUP(G668,Listas!E:E,Listas!G:G,""),"")</f>
        <v>Externo</v>
      </c>
      <c r="J668" s="43">
        <v>1032.81</v>
      </c>
      <c r="K668" s="5">
        <f t="shared" si="10"/>
        <v>-1032.81</v>
      </c>
      <c r="L668" s="15" t="s">
        <v>129</v>
      </c>
      <c r="M668" s="44">
        <f>SUMIFS('Saldos Iniciales'!$D:$D,'Saldos Iniciales'!$A:$A,C668,'Saldos Iniciales'!$B:$B,D668)+SUMIFS($K$1:$K$1324,$C$1:$C$1324,C668,$D$1:$D$1324,D668,$B$1:$B$1324,"&lt;="&amp;B668)</f>
        <v>2676.2200000000021</v>
      </c>
      <c r="N668" s="61" t="str">
        <f>IF(tblMovimientos[[#This Row],[Tipo de Movimiento]]="Ingreso",tblMovimientos[[#This Row],[Monto (S/)]],"0")</f>
        <v>0</v>
      </c>
      <c r="O668" s="61">
        <f>IF(tblMovimientos[[#This Row],[Tipo de Movimiento]]="Egreso",tblMovimientos[[#This Row],[Monto (S/)]],"0")</f>
        <v>1032.81</v>
      </c>
      <c r="P668" s="28">
        <f>IF(tblMovimientos[[#This Row],[Tipo de Movimiento]]="Ingreso",tblMovimientos[[#This Row],[Ingreso]],-tblMovimientos[[#This Row],[Egreso]])</f>
        <v>-1032.81</v>
      </c>
      <c r="Q668" s="78" t="str">
        <f>_xlfn.XLOOKUP(tblMovimientos[[#This Row],[Cuenta Bancaria]],Cuentas!$C:$C,Cuentas!$A:$A,"")&amp;""</f>
        <v>SSP Group</v>
      </c>
      <c r="R668" s="78" t="str">
        <f>_xlfn.XLOOKUP(tblMovimientos[[#This Row],[Cuenta Bancaria]],Cuentas!$C:$C,Cuentas!$B:$B,"",0,-1)&amp;""</f>
        <v/>
      </c>
    </row>
    <row r="669" spans="1:18" x14ac:dyDescent="0.3">
      <c r="B669" s="39">
        <v>46233</v>
      </c>
      <c r="C669" s="4" t="str">
        <f>_xlfn.XLOOKUP(tblMovimientos[[#This Row],[Cuenta Bancaria]],Listas!$B:$B,Listas!$A:$A,"")</f>
        <v>Go Blue</v>
      </c>
      <c r="D669" s="41" t="s">
        <v>165</v>
      </c>
      <c r="E669" s="68" t="str">
        <f>_xlfn.XLOOKUP(tblMovimientos[[#This Row],[Cuenta Bancaria]],Listas!$B:$B,Listas!$C:$C,"")</f>
        <v xml:space="preserve">Amerant Bank </v>
      </c>
      <c r="F669" s="41" t="s">
        <v>10</v>
      </c>
      <c r="G669" s="41" t="s">
        <v>38</v>
      </c>
      <c r="H669" s="4" t="str">
        <f>IFERROR(_xlfn.XLOOKUP(G669,Listas!E:E,Listas!F:F,""),"")</f>
        <v>Operativo</v>
      </c>
      <c r="I669" s="46" t="str">
        <f>IFERROR(_xlfn.XLOOKUP(G669,Listas!E:E,Listas!G:G,""),"")</f>
        <v>Externo</v>
      </c>
      <c r="J669" s="43">
        <v>108.04</v>
      </c>
      <c r="K669" s="5">
        <f t="shared" si="10"/>
        <v>-108.04</v>
      </c>
      <c r="L669" s="15" t="s">
        <v>129</v>
      </c>
      <c r="M669" s="44">
        <f>SUMIFS('Saldos Iniciales'!$D:$D,'Saldos Iniciales'!$A:$A,C669,'Saldos Iniciales'!$B:$B,D669)+SUMIFS($K$1:$K$1324,$C$1:$C$1324,C669,$D$1:$D$1324,D669,$B$1:$B$1324,"&lt;="&amp;B669)</f>
        <v>2676.2200000000021</v>
      </c>
      <c r="N669" s="61" t="str">
        <f>IF(tblMovimientos[[#This Row],[Tipo de Movimiento]]="Ingreso",tblMovimientos[[#This Row],[Monto (S/)]],"0")</f>
        <v>0</v>
      </c>
      <c r="O669" s="61">
        <f>IF(tblMovimientos[[#This Row],[Tipo de Movimiento]]="Egreso",tblMovimientos[[#This Row],[Monto (S/)]],"0")</f>
        <v>108.04</v>
      </c>
      <c r="P669" s="28">
        <f>IF(tblMovimientos[[#This Row],[Tipo de Movimiento]]="Ingreso",tblMovimientos[[#This Row],[Ingreso]],-tblMovimientos[[#This Row],[Egreso]])</f>
        <v>-108.04</v>
      </c>
      <c r="Q669" s="78" t="str">
        <f>_xlfn.XLOOKUP(tblMovimientos[[#This Row],[Cuenta Bancaria]],Cuentas!$C:$C,Cuentas!$A:$A,"")&amp;""</f>
        <v>SSP Group</v>
      </c>
      <c r="R669" s="78" t="str">
        <f>_xlfn.XLOOKUP(tblMovimientos[[#This Row],[Cuenta Bancaria]],Cuentas!$C:$C,Cuentas!$B:$B,"",0,-1)&amp;""</f>
        <v/>
      </c>
    </row>
    <row r="670" spans="1:18" x14ac:dyDescent="0.3">
      <c r="B670" s="39">
        <v>46233</v>
      </c>
      <c r="C670" s="4" t="str">
        <f>_xlfn.XLOOKUP(tblMovimientos[[#This Row],[Cuenta Bancaria]],Listas!$B:$B,Listas!$A:$A,"")</f>
        <v>Go Blue</v>
      </c>
      <c r="D670" s="41" t="s">
        <v>126</v>
      </c>
      <c r="E670" s="68" t="str">
        <f>_xlfn.XLOOKUP(tblMovimientos[[#This Row],[Cuenta Bancaria]],Listas!$B:$B,Listas!$C:$C,"")</f>
        <v xml:space="preserve">Amerant Bank </v>
      </c>
      <c r="F670" s="41" t="s">
        <v>10</v>
      </c>
      <c r="G670" s="41" t="s">
        <v>64</v>
      </c>
      <c r="H670" s="4" t="str">
        <f>IFERROR(_xlfn.XLOOKUP(G670,Listas!E:E,Listas!F:F,""),"")</f>
        <v>Operativo</v>
      </c>
      <c r="I670" s="46" t="str">
        <f>IFERROR(_xlfn.XLOOKUP(G670,Listas!E:E,Listas!G:G,""),"")</f>
        <v>Interno</v>
      </c>
      <c r="J670" s="43">
        <v>2000</v>
      </c>
      <c r="K670" s="5">
        <f t="shared" si="10"/>
        <v>-2000</v>
      </c>
      <c r="L670" s="15" t="s">
        <v>129</v>
      </c>
      <c r="M670" s="44">
        <f>SUMIFS('Saldos Iniciales'!$D:$D,'Saldos Iniciales'!$A:$A,C670,'Saldos Iniciales'!$B:$B,D670)+SUMIFS($K$1:$K$1324,$C$1:$C$1324,C670,$D$1:$D$1324,D670,$B$1:$B$1324,"&lt;="&amp;B670)</f>
        <v>8958.7099999999973</v>
      </c>
      <c r="N670" s="61" t="str">
        <f>IF(tblMovimientos[[#This Row],[Tipo de Movimiento]]="Ingreso",tblMovimientos[[#This Row],[Monto (S/)]],"0")</f>
        <v>0</v>
      </c>
      <c r="O670" s="61">
        <f>IF(tblMovimientos[[#This Row],[Tipo de Movimiento]]="Egreso",tblMovimientos[[#This Row],[Monto (S/)]],"0")</f>
        <v>2000</v>
      </c>
      <c r="P670" s="28">
        <f>IF(tblMovimientos[[#This Row],[Tipo de Movimiento]]="Ingreso",tblMovimientos[[#This Row],[Ingreso]],-tblMovimientos[[#This Row],[Egreso]])</f>
        <v>-2000</v>
      </c>
      <c r="Q670" s="78" t="str">
        <f>_xlfn.XLOOKUP(tblMovimientos[[#This Row],[Cuenta Bancaria]],Cuentas!$C:$C,Cuentas!$A:$A,"")&amp;""</f>
        <v>SSP Group</v>
      </c>
      <c r="R670" s="78" t="str">
        <f>_xlfn.XLOOKUP(tblMovimientos[[#This Row],[Cuenta Bancaria]],Cuentas!$C:$C,Cuentas!$B:$B,"",0,-1)&amp;""</f>
        <v/>
      </c>
    </row>
    <row r="671" spans="1:18" x14ac:dyDescent="0.3">
      <c r="B671" s="39">
        <v>46234</v>
      </c>
      <c r="C671" s="4" t="str">
        <f>_xlfn.XLOOKUP(tblMovimientos[[#This Row],[Cuenta Bancaria]],Listas!$B:$B,Listas!$A:$A,"")</f>
        <v>SSP Capital</v>
      </c>
      <c r="D671" s="41" t="s">
        <v>101</v>
      </c>
      <c r="E671" s="68" t="str">
        <f>_xlfn.XLOOKUP(tblMovimientos[[#This Row],[Cuenta Bancaria]],Listas!$B:$B,Listas!$C:$C,"")</f>
        <v>Bank of America</v>
      </c>
      <c r="F671" s="41" t="s">
        <v>10</v>
      </c>
      <c r="G671" s="41" t="s">
        <v>64</v>
      </c>
      <c r="H671" s="4" t="str">
        <f>IFERROR(_xlfn.XLOOKUP(G671,Listas!E:E,Listas!F:F,""),"")</f>
        <v>Operativo</v>
      </c>
      <c r="I671" s="46" t="str">
        <f>IFERROR(_xlfn.XLOOKUP(G671,Listas!E:E,Listas!G:G,""),"")</f>
        <v>Interno</v>
      </c>
      <c r="J671" s="43">
        <v>1000</v>
      </c>
      <c r="K671" s="5">
        <f t="shared" si="10"/>
        <v>-1000</v>
      </c>
      <c r="L671" s="15" t="s">
        <v>129</v>
      </c>
      <c r="M671" s="44">
        <f>SUMIFS('Saldos Iniciales'!$D:$D,'Saldos Iniciales'!$A:$A,C671,'Saldos Iniciales'!$B:$B,D671)+SUMIFS($K$1:$K$1324,$C$1:$C$1324,C671,$D$1:$D$1324,D671,$B$1:$B$1324,"&lt;="&amp;B671)</f>
        <v>5144.7699999999995</v>
      </c>
      <c r="N671" s="61" t="str">
        <f>IF(tblMovimientos[[#This Row],[Tipo de Movimiento]]="Ingreso",tblMovimientos[[#This Row],[Monto (S/)]],"0")</f>
        <v>0</v>
      </c>
      <c r="O671" s="61">
        <f>IF(tblMovimientos[[#This Row],[Tipo de Movimiento]]="Egreso",tblMovimientos[[#This Row],[Monto (S/)]],"0")</f>
        <v>1000</v>
      </c>
      <c r="P671" s="28">
        <f>IF(tblMovimientos[[#This Row],[Tipo de Movimiento]]="Ingreso",tblMovimientos[[#This Row],[Ingreso]],-tblMovimientos[[#This Row],[Egreso]])</f>
        <v>-1000</v>
      </c>
      <c r="Q671" s="78" t="str">
        <f>_xlfn.XLOOKUP(tblMovimientos[[#This Row],[Cuenta Bancaria]],Cuentas!$C:$C,Cuentas!$A:$A,"")&amp;""</f>
        <v>SSP Group</v>
      </c>
      <c r="R671" s="78" t="str">
        <f>_xlfn.XLOOKUP(tblMovimientos[[#This Row],[Cuenta Bancaria]],Cuentas!$C:$C,Cuentas!$B:$B,"",0,-1)&amp;""</f>
        <v/>
      </c>
    </row>
    <row r="672" spans="1:18" x14ac:dyDescent="0.3">
      <c r="B672" s="39">
        <v>46234</v>
      </c>
      <c r="C672" s="4" t="str">
        <f>_xlfn.XLOOKUP(tblMovimientos[[#This Row],[Cuenta Bancaria]],Listas!$B:$B,Listas!$A:$A,"")</f>
        <v>SSP Capital</v>
      </c>
      <c r="D672" s="41" t="s">
        <v>102</v>
      </c>
      <c r="E672" s="68" t="str">
        <f>_xlfn.XLOOKUP(tblMovimientos[[#This Row],[Cuenta Bancaria]],Listas!$B:$B,Listas!$C:$C,"")</f>
        <v>Bank of America</v>
      </c>
      <c r="F672" s="41" t="s">
        <v>9</v>
      </c>
      <c r="G672" s="41" t="s">
        <v>85</v>
      </c>
      <c r="H672" s="4" t="str">
        <f>IFERROR(_xlfn.XLOOKUP(G672,Listas!E:E,Listas!F:F,""),"")</f>
        <v>Operativo</v>
      </c>
      <c r="I672" s="46" t="str">
        <f>IFERROR(_xlfn.XLOOKUP(G672,Listas!E:E,Listas!G:G,""),"")</f>
        <v>Interno</v>
      </c>
      <c r="J672" s="43">
        <v>1000</v>
      </c>
      <c r="K672" s="5">
        <f t="shared" si="10"/>
        <v>1000</v>
      </c>
      <c r="L672" s="15" t="s">
        <v>129</v>
      </c>
      <c r="M672" s="44">
        <f>SUMIFS('Saldos Iniciales'!$D:$D,'Saldos Iniciales'!$A:$A,C672,'Saldos Iniciales'!$B:$B,D672)+SUMIFS($K$1:$K$1324,$C$1:$C$1324,C672,$D$1:$D$1324,D672,$B$1:$B$1324,"&lt;="&amp;B672)</f>
        <v>1170.8200000000002</v>
      </c>
      <c r="N672" s="61">
        <f>IF(tblMovimientos[[#This Row],[Tipo de Movimiento]]="Ingreso",tblMovimientos[[#This Row],[Monto (S/)]],"0")</f>
        <v>1000</v>
      </c>
      <c r="O672" s="61" t="str">
        <f>IF(tblMovimientos[[#This Row],[Tipo de Movimiento]]="Egreso",tblMovimientos[[#This Row],[Monto (S/)]],"0")</f>
        <v>0</v>
      </c>
      <c r="P672" s="28">
        <f>IF(tblMovimientos[[#This Row],[Tipo de Movimiento]]="Ingreso",tblMovimientos[[#This Row],[Ingreso]],-tblMovimientos[[#This Row],[Egreso]])</f>
        <v>1000</v>
      </c>
      <c r="Q672" s="78" t="str">
        <f>_xlfn.XLOOKUP(tblMovimientos[[#This Row],[Cuenta Bancaria]],Cuentas!$C:$C,Cuentas!$A:$A,"")&amp;""</f>
        <v>SSP Group</v>
      </c>
      <c r="R672" s="78" t="str">
        <f>_xlfn.XLOOKUP(tblMovimientos[[#This Row],[Cuenta Bancaria]],Cuentas!$C:$C,Cuentas!$B:$B,"",0,-1)&amp;""</f>
        <v/>
      </c>
    </row>
    <row r="673" spans="1:18" x14ac:dyDescent="0.3">
      <c r="B673" s="39">
        <v>46234</v>
      </c>
      <c r="C673" s="4" t="str">
        <f>_xlfn.XLOOKUP(tblMovimientos[[#This Row],[Cuenta Bancaria]],Listas!$B:$B,Listas!$A:$A,"")</f>
        <v>CFT Group</v>
      </c>
      <c r="D673" s="41" t="s">
        <v>94</v>
      </c>
      <c r="E673" s="68" t="str">
        <f>_xlfn.XLOOKUP(tblMovimientos[[#This Row],[Cuenta Bancaria]],Listas!$B:$B,Listas!$C:$C,"")</f>
        <v>Bank of America</v>
      </c>
      <c r="F673" s="41" t="s">
        <v>10</v>
      </c>
      <c r="G673" s="41" t="s">
        <v>40</v>
      </c>
      <c r="H673" s="4" t="str">
        <f>IFERROR(_xlfn.XLOOKUP(G673,Listas!E:E,Listas!F:F,""),"")</f>
        <v>Operativo</v>
      </c>
      <c r="I673" s="46" t="str">
        <f>IFERROR(_xlfn.XLOOKUP(G673,Listas!E:E,Listas!G:G,""),"")</f>
        <v>Externo</v>
      </c>
      <c r="J673" s="43">
        <v>1707.52</v>
      </c>
      <c r="K673" s="5">
        <f t="shared" si="10"/>
        <v>-1707.52</v>
      </c>
      <c r="L673" s="15" t="s">
        <v>129</v>
      </c>
      <c r="M673" s="44">
        <f>SUMIFS('Saldos Iniciales'!$D:$D,'Saldos Iniciales'!$A:$A,C673,'Saldos Iniciales'!$B:$B,D673)+SUMIFS($K$1:$K$1324,$C$1:$C$1324,C673,$D$1:$D$1324,D673,$B$1:$B$1324,"&lt;="&amp;B673)</f>
        <v>232864.69999999998</v>
      </c>
      <c r="N673" s="61" t="str">
        <f>IF(tblMovimientos[[#This Row],[Tipo de Movimiento]]="Ingreso",tblMovimientos[[#This Row],[Monto (S/)]],"0")</f>
        <v>0</v>
      </c>
      <c r="O673" s="61">
        <f>IF(tblMovimientos[[#This Row],[Tipo de Movimiento]]="Egreso",tblMovimientos[[#This Row],[Monto (S/)]],"0")</f>
        <v>1707.52</v>
      </c>
      <c r="P673" s="28">
        <f>IF(tblMovimientos[[#This Row],[Tipo de Movimiento]]="Ingreso",tblMovimientos[[#This Row],[Ingreso]],-tblMovimientos[[#This Row],[Egreso]])</f>
        <v>-1707.52</v>
      </c>
      <c r="Q673" s="78" t="str">
        <f>_xlfn.XLOOKUP(tblMovimientos[[#This Row],[Cuenta Bancaria]],Cuentas!$C:$C,Cuentas!$A:$A,"")&amp;""</f>
        <v>SSP Group</v>
      </c>
      <c r="R673" s="78" t="str">
        <f>_xlfn.XLOOKUP(tblMovimientos[[#This Row],[Cuenta Bancaria]],Cuentas!$C:$C,Cuentas!$B:$B,"",0,-1)&amp;""</f>
        <v/>
      </c>
    </row>
    <row r="674" spans="1:18" x14ac:dyDescent="0.3">
      <c r="B674" s="39">
        <v>46234</v>
      </c>
      <c r="C674" s="4" t="str">
        <f>_xlfn.XLOOKUP(tblMovimientos[[#This Row],[Cuenta Bancaria]],Listas!$B:$B,Listas!$A:$A,"")</f>
        <v>CFT Group</v>
      </c>
      <c r="D674" s="41" t="s">
        <v>94</v>
      </c>
      <c r="E674" s="68" t="str">
        <f>_xlfn.XLOOKUP(tblMovimientos[[#This Row],[Cuenta Bancaria]],Listas!$B:$B,Listas!$C:$C,"")</f>
        <v>Bank of America</v>
      </c>
      <c r="F674" s="41" t="s">
        <v>10</v>
      </c>
      <c r="G674" s="41" t="s">
        <v>45</v>
      </c>
      <c r="H674" s="4" t="str">
        <f>IFERROR(_xlfn.XLOOKUP(G674,Listas!E:E,Listas!F:F,""),"")</f>
        <v>Operativo</v>
      </c>
      <c r="I674" s="46" t="str">
        <f>IFERROR(_xlfn.XLOOKUP(G674,Listas!E:E,Listas!G:G,""),"")</f>
        <v>Externo</v>
      </c>
      <c r="J674" s="43">
        <v>611.1</v>
      </c>
      <c r="K674" s="5">
        <f t="shared" si="10"/>
        <v>-611.1</v>
      </c>
      <c r="L674" s="15" t="s">
        <v>129</v>
      </c>
      <c r="M674" s="44">
        <f>SUMIFS('Saldos Iniciales'!$D:$D,'Saldos Iniciales'!$A:$A,C674,'Saldos Iniciales'!$B:$B,D674)+SUMIFS($K$1:$K$1324,$C$1:$C$1324,C674,$D$1:$D$1324,D674,$B$1:$B$1324,"&lt;="&amp;B674)</f>
        <v>232864.69999999998</v>
      </c>
      <c r="N674" s="61" t="str">
        <f>IF(tblMovimientos[[#This Row],[Tipo de Movimiento]]="Ingreso",tblMovimientos[[#This Row],[Monto (S/)]],"0")</f>
        <v>0</v>
      </c>
      <c r="O674" s="61">
        <f>IF(tblMovimientos[[#This Row],[Tipo de Movimiento]]="Egreso",tblMovimientos[[#This Row],[Monto (S/)]],"0")</f>
        <v>611.1</v>
      </c>
      <c r="P674" s="28">
        <f>IF(tblMovimientos[[#This Row],[Tipo de Movimiento]]="Ingreso",tblMovimientos[[#This Row],[Ingreso]],-tblMovimientos[[#This Row],[Egreso]])</f>
        <v>-611.1</v>
      </c>
      <c r="Q674" s="78" t="str">
        <f>_xlfn.XLOOKUP(tblMovimientos[[#This Row],[Cuenta Bancaria]],Cuentas!$C:$C,Cuentas!$A:$A,"")&amp;""</f>
        <v>SSP Group</v>
      </c>
      <c r="R674" s="78" t="str">
        <f>_xlfn.XLOOKUP(tblMovimientos[[#This Row],[Cuenta Bancaria]],Cuentas!$C:$C,Cuentas!$B:$B,"",0,-1)&amp;""</f>
        <v/>
      </c>
    </row>
    <row r="675" spans="1:18" x14ac:dyDescent="0.3">
      <c r="B675" s="39">
        <v>46234</v>
      </c>
      <c r="C675" s="4" t="str">
        <f>_xlfn.XLOOKUP(tblMovimientos[[#This Row],[Cuenta Bancaria]],Listas!$B:$B,Listas!$A:$A,"")</f>
        <v>SSP Capital</v>
      </c>
      <c r="D675" s="41" t="s">
        <v>106</v>
      </c>
      <c r="E675" s="68" t="str">
        <f>_xlfn.XLOOKUP(tblMovimientos[[#This Row],[Cuenta Bancaria]],Listas!$B:$B,Listas!$C:$C,"")</f>
        <v>Amerant Bank Money Market</v>
      </c>
      <c r="F675" s="41" t="s">
        <v>9</v>
      </c>
      <c r="G675" s="41" t="s">
        <v>84</v>
      </c>
      <c r="H675" s="4" t="str">
        <f>IFERROR(_xlfn.XLOOKUP(G675,Listas!E:E,Listas!F:F,""),"")</f>
        <v>Operativo</v>
      </c>
      <c r="I675" s="46" t="str">
        <f>IFERROR(_xlfn.XLOOKUP(G675,Listas!E:E,Listas!G:G,""),"")</f>
        <v>Externo</v>
      </c>
      <c r="J675" s="43">
        <v>2426.71</v>
      </c>
      <c r="K675" s="5">
        <f t="shared" si="10"/>
        <v>2426.71</v>
      </c>
      <c r="L675" s="15" t="s">
        <v>129</v>
      </c>
      <c r="M675" s="44">
        <f>SUMIFS('Saldos Iniciales'!$D:$D,'Saldos Iniciales'!$A:$A,C675,'Saldos Iniciales'!$B:$B,D675)+SUMIFS($K$1:$K$1324,$C$1:$C$1324,C675,$D$1:$D$1324,D675,$B$1:$B$1324,"&lt;="&amp;B675)</f>
        <v>809107.32</v>
      </c>
      <c r="N675" s="61">
        <f>IF(tblMovimientos[[#This Row],[Tipo de Movimiento]]="Ingreso",tblMovimientos[[#This Row],[Monto (S/)]],"0")</f>
        <v>2426.71</v>
      </c>
      <c r="O675" s="61" t="str">
        <f>IF(tblMovimientos[[#This Row],[Tipo de Movimiento]]="Egreso",tblMovimientos[[#This Row],[Monto (S/)]],"0")</f>
        <v>0</v>
      </c>
      <c r="P675" s="28">
        <f>IF(tblMovimientos[[#This Row],[Tipo de Movimiento]]="Ingreso",tblMovimientos[[#This Row],[Ingreso]],-tblMovimientos[[#This Row],[Egreso]])</f>
        <v>2426.71</v>
      </c>
      <c r="Q675" s="78" t="str">
        <f>_xlfn.XLOOKUP(tblMovimientos[[#This Row],[Cuenta Bancaria]],Cuentas!$C:$C,Cuentas!$A:$A,"")&amp;""</f>
        <v>SSP Group</v>
      </c>
      <c r="R675" s="78" t="str">
        <f>_xlfn.XLOOKUP(tblMovimientos[[#This Row],[Cuenta Bancaria]],Cuentas!$C:$C,Cuentas!$B:$B,"",0,-1)&amp;""</f>
        <v/>
      </c>
    </row>
    <row r="676" spans="1:18" x14ac:dyDescent="0.3">
      <c r="B676" s="39">
        <v>46234</v>
      </c>
      <c r="C676" s="4" t="str">
        <f>_xlfn.XLOOKUP(tblMovimientos[[#This Row],[Cuenta Bancaria]],Listas!$B:$B,Listas!$A:$A,"")</f>
        <v>SSP Capital</v>
      </c>
      <c r="D676" s="41" t="s">
        <v>104</v>
      </c>
      <c r="E676" s="68" t="str">
        <f>_xlfn.XLOOKUP(tblMovimientos[[#This Row],[Cuenta Bancaria]],Listas!$B:$B,Listas!$C:$C,"")</f>
        <v xml:space="preserve">Amerant Bank </v>
      </c>
      <c r="F676" s="41" t="s">
        <v>10</v>
      </c>
      <c r="G676" s="41" t="s">
        <v>45</v>
      </c>
      <c r="H676" s="4" t="str">
        <f>IFERROR(_xlfn.XLOOKUP(G676,Listas!E:E,Listas!F:F,""),"")</f>
        <v>Operativo</v>
      </c>
      <c r="I676" s="46" t="str">
        <f>IFERROR(_xlfn.XLOOKUP(G676,Listas!E:E,Listas!G:G,""),"")</f>
        <v>Externo</v>
      </c>
      <c r="J676" s="43">
        <v>345943.44</v>
      </c>
      <c r="K676" s="5">
        <f t="shared" si="10"/>
        <v>-345943.44</v>
      </c>
      <c r="L676" s="15" t="s">
        <v>129</v>
      </c>
      <c r="M676" s="44">
        <f>SUMIFS('Saldos Iniciales'!$D:$D,'Saldos Iniciales'!$A:$A,C676,'Saldos Iniciales'!$B:$B,D676)+SUMIFS($K$1:$K$1324,$C$1:$C$1324,C676,$D$1:$D$1324,D676,$B$1:$B$1324,"&lt;="&amp;B676)</f>
        <v>689293.00999999931</v>
      </c>
      <c r="N676" s="61" t="str">
        <f>IF(tblMovimientos[[#This Row],[Tipo de Movimiento]]="Ingreso",tblMovimientos[[#This Row],[Monto (S/)]],"0")</f>
        <v>0</v>
      </c>
      <c r="O676" s="61">
        <f>IF(tblMovimientos[[#This Row],[Tipo de Movimiento]]="Egreso",tblMovimientos[[#This Row],[Monto (S/)]],"0")</f>
        <v>345943.44</v>
      </c>
      <c r="P676" s="28">
        <f>IF(tblMovimientos[[#This Row],[Tipo de Movimiento]]="Ingreso",tblMovimientos[[#This Row],[Ingreso]],-tblMovimientos[[#This Row],[Egreso]])</f>
        <v>-345943.44</v>
      </c>
      <c r="Q676" s="78" t="str">
        <f>_xlfn.XLOOKUP(tblMovimientos[[#This Row],[Cuenta Bancaria]],Cuentas!$C:$C,Cuentas!$A:$A,"")&amp;""</f>
        <v>SSP Group</v>
      </c>
      <c r="R676" s="78" t="str">
        <f>_xlfn.XLOOKUP(tblMovimientos[[#This Row],[Cuenta Bancaria]],Cuentas!$C:$C,Cuentas!$B:$B,"",0,-1)&amp;""</f>
        <v/>
      </c>
    </row>
    <row r="677" spans="1:18" x14ac:dyDescent="0.3">
      <c r="B677" s="39">
        <v>46234</v>
      </c>
      <c r="C677" s="4" t="str">
        <f>_xlfn.XLOOKUP(tblMovimientos[[#This Row],[Cuenta Bancaria]],Listas!$B:$B,Listas!$A:$A,"")</f>
        <v>Cross Security Trust</v>
      </c>
      <c r="D677" s="41" t="s">
        <v>112</v>
      </c>
      <c r="E677" s="68" t="str">
        <f>_xlfn.XLOOKUP(tblMovimientos[[#This Row],[Cuenta Bancaria]],Listas!$B:$B,Listas!$C:$C,"")</f>
        <v>Bank of America</v>
      </c>
      <c r="F677" s="41" t="s">
        <v>10</v>
      </c>
      <c r="G677" s="41" t="s">
        <v>38</v>
      </c>
      <c r="I677" s="69"/>
      <c r="J677" s="43">
        <v>11739</v>
      </c>
      <c r="K677" s="5">
        <f t="shared" si="10"/>
        <v>-11739</v>
      </c>
      <c r="L677" s="15" t="s">
        <v>129</v>
      </c>
      <c r="M677" s="44">
        <f>SUMIFS('Saldos Iniciales'!$D:$D,'Saldos Iniciales'!$A:$A,C677,'Saldos Iniciales'!$B:$B,D677)+SUMIFS($K$1:$K$1324,$C$1:$C$1324,C677,$D$1:$D$1324,D677,$B$1:$B$1324,"&lt;="&amp;B677)</f>
        <v>207605.45</v>
      </c>
      <c r="N677" s="61" t="str">
        <f>IF(tblMovimientos[[#This Row],[Tipo de Movimiento]]="Ingreso",tblMovimientos[[#This Row],[Monto (S/)]],"0")</f>
        <v>0</v>
      </c>
      <c r="O677" s="61">
        <f>IF(tblMovimientos[[#This Row],[Tipo de Movimiento]]="Egreso",tblMovimientos[[#This Row],[Monto (S/)]],"0")</f>
        <v>11739</v>
      </c>
      <c r="P677" s="28">
        <f>IF(tblMovimientos[[#This Row],[Tipo de Movimiento]]="Ingreso",tblMovimientos[[#This Row],[Ingreso]],-tblMovimientos[[#This Row],[Egreso]])</f>
        <v>-11739</v>
      </c>
      <c r="Q677" s="78" t="str">
        <f>_xlfn.XLOOKUP(tblMovimientos[[#This Row],[Cuenta Bancaria]],Cuentas!$C:$C,Cuentas!$A:$A,"")&amp;""</f>
        <v>SSP Group</v>
      </c>
      <c r="R677" s="78" t="str">
        <f>_xlfn.XLOOKUP(tblMovimientos[[#This Row],[Cuenta Bancaria]],Cuentas!$C:$C,Cuentas!$B:$B,"",0,-1)&amp;""</f>
        <v>Trust</v>
      </c>
    </row>
    <row r="678" spans="1:18" x14ac:dyDescent="0.3">
      <c r="B678" s="39">
        <v>46234</v>
      </c>
      <c r="C678" s="4" t="str">
        <f>_xlfn.XLOOKUP(tblMovimientos[[#This Row],[Cuenta Bancaria]],Listas!$B:$B,Listas!$A:$A,"")</f>
        <v>Cross Security Trust</v>
      </c>
      <c r="D678" s="41" t="s">
        <v>112</v>
      </c>
      <c r="E678" s="68" t="str">
        <f>_xlfn.XLOOKUP(tblMovimientos[[#This Row],[Cuenta Bancaria]],Listas!$B:$B,Listas!$C:$C,"")</f>
        <v>Bank of America</v>
      </c>
      <c r="F678" s="41" t="s">
        <v>10</v>
      </c>
      <c r="G678" s="41" t="s">
        <v>38</v>
      </c>
      <c r="I678" s="69"/>
      <c r="J678" s="43">
        <v>48163</v>
      </c>
      <c r="K678" s="5">
        <f t="shared" si="10"/>
        <v>-48163</v>
      </c>
      <c r="L678" s="15" t="s">
        <v>129</v>
      </c>
      <c r="M678" s="44">
        <f>SUMIFS('Saldos Iniciales'!$D:$D,'Saldos Iniciales'!$A:$A,C678,'Saldos Iniciales'!$B:$B,D678)+SUMIFS($K$1:$K$1324,$C$1:$C$1324,C678,$D$1:$D$1324,D678,$B$1:$B$1324,"&lt;="&amp;B678)</f>
        <v>207605.45</v>
      </c>
      <c r="N678" s="61" t="str">
        <f>IF(tblMovimientos[[#This Row],[Tipo de Movimiento]]="Ingreso",tblMovimientos[[#This Row],[Monto (S/)]],"0")</f>
        <v>0</v>
      </c>
      <c r="O678" s="61">
        <f>IF(tblMovimientos[[#This Row],[Tipo de Movimiento]]="Egreso",tblMovimientos[[#This Row],[Monto (S/)]],"0")</f>
        <v>48163</v>
      </c>
      <c r="P678" s="28">
        <f>IF(tblMovimientos[[#This Row],[Tipo de Movimiento]]="Ingreso",tblMovimientos[[#This Row],[Ingreso]],-tblMovimientos[[#This Row],[Egreso]])</f>
        <v>-48163</v>
      </c>
      <c r="Q678" s="78" t="str">
        <f>_xlfn.XLOOKUP(tblMovimientos[[#This Row],[Cuenta Bancaria]],Cuentas!$C:$C,Cuentas!$A:$A,"")&amp;""</f>
        <v>SSP Group</v>
      </c>
      <c r="R678" s="78" t="str">
        <f>_xlfn.XLOOKUP(tblMovimientos[[#This Row],[Cuenta Bancaria]],Cuentas!$C:$C,Cuentas!$B:$B,"",0,-1)&amp;""</f>
        <v>Trust</v>
      </c>
    </row>
    <row r="679" spans="1:18" x14ac:dyDescent="0.3">
      <c r="B679" s="39">
        <v>46237</v>
      </c>
      <c r="C679" s="4" t="str">
        <f>_xlfn.XLOOKUP(tblMovimientos[[#This Row],[Cuenta Bancaria]],Listas!$B:$B,Listas!$A:$A,"")</f>
        <v>Sacred Valley Capital</v>
      </c>
      <c r="D679" s="41" t="s">
        <v>114</v>
      </c>
      <c r="E679" s="68" t="str">
        <f>_xlfn.XLOOKUP(tblMovimientos[[#This Row],[Cuenta Bancaria]],Listas!$B:$B,Listas!$C:$C,"")</f>
        <v>Bank of America</v>
      </c>
      <c r="F679" s="41" t="s">
        <v>10</v>
      </c>
      <c r="G679" s="41" t="s">
        <v>44</v>
      </c>
      <c r="H679" s="4" t="str">
        <f>IFERROR(_xlfn.XLOOKUP(G679,Listas!E:E,Listas!F:F,""),"")</f>
        <v>Operativo</v>
      </c>
      <c r="I679" s="46" t="str">
        <f>IFERROR(_xlfn.XLOOKUP(G679,Listas!E:E,Listas!G:G,""),"")</f>
        <v>Externo</v>
      </c>
      <c r="J679" s="43">
        <v>29.95</v>
      </c>
      <c r="K679" s="5">
        <f t="shared" si="10"/>
        <v>-29.95</v>
      </c>
      <c r="L679" s="15" t="s">
        <v>132</v>
      </c>
      <c r="M679" s="44">
        <f>SUMIFS('Saldos Iniciales'!$D:$D,'Saldos Iniciales'!$A:$A,C679,'Saldos Iniciales'!$B:$B,D679)+SUMIFS($K$1:$K$1324,$C$1:$C$1324,C679,$D$1:$D$1324,D679,$B$1:$B$1324,"&lt;="&amp;B679)</f>
        <v>24.450000000000003</v>
      </c>
      <c r="N679" s="61" t="str">
        <f>IF(tblMovimientos[[#This Row],[Tipo de Movimiento]]="Ingreso",tblMovimientos[[#This Row],[Monto (S/)]],"0")</f>
        <v>0</v>
      </c>
      <c r="O679" s="61">
        <f>IF(tblMovimientos[[#This Row],[Tipo de Movimiento]]="Egreso",tblMovimientos[[#This Row],[Monto (S/)]],"0")</f>
        <v>29.95</v>
      </c>
      <c r="P679" s="28">
        <f>IF(tblMovimientos[[#This Row],[Tipo de Movimiento]]="Ingreso",tblMovimientos[[#This Row],[Ingreso]],-tblMovimientos[[#This Row],[Egreso]])</f>
        <v>-29.95</v>
      </c>
      <c r="Q679" s="78" t="str">
        <f>_xlfn.XLOOKUP(tblMovimientos[[#This Row],[Cuenta Bancaria]],Cuentas!$C:$C,Cuentas!$A:$A,"")&amp;""</f>
        <v>SSP Group</v>
      </c>
      <c r="R679" s="78" t="str">
        <f>_xlfn.XLOOKUP(tblMovimientos[[#This Row],[Cuenta Bancaria]],Cuentas!$C:$C,Cuentas!$B:$B,"",0,-1)&amp;""</f>
        <v/>
      </c>
    </row>
    <row r="680" spans="1:18" x14ac:dyDescent="0.3">
      <c r="B680" s="39">
        <v>46237</v>
      </c>
      <c r="C680" s="4" t="str">
        <f>_xlfn.XLOOKUP(tblMovimientos[[#This Row],[Cuenta Bancaria]],Listas!$B:$B,Listas!$A:$A,"")</f>
        <v>YWC Capital</v>
      </c>
      <c r="D680" s="41" t="s">
        <v>115</v>
      </c>
      <c r="E680" s="68" t="str">
        <f>_xlfn.XLOOKUP(tblMovimientos[[#This Row],[Cuenta Bancaria]],Listas!$B:$B,Listas!$C:$C,"")</f>
        <v>Bank of America</v>
      </c>
      <c r="F680" s="41" t="s">
        <v>10</v>
      </c>
      <c r="G680" s="41" t="s">
        <v>44</v>
      </c>
      <c r="H680" s="4" t="str">
        <f>IFERROR(_xlfn.XLOOKUP(G680,Listas!E:E,Listas!F:F,""),"")</f>
        <v>Operativo</v>
      </c>
      <c r="I680" s="46" t="str">
        <f>IFERROR(_xlfn.XLOOKUP(G680,Listas!E:E,Listas!G:G,""),"")</f>
        <v>Externo</v>
      </c>
      <c r="J680" s="43">
        <v>29.95</v>
      </c>
      <c r="K680" s="5">
        <f t="shared" si="10"/>
        <v>-29.95</v>
      </c>
      <c r="L680" s="15" t="s">
        <v>132</v>
      </c>
      <c r="M680" s="44">
        <f>SUMIFS('Saldos Iniciales'!$D:$D,'Saldos Iniciales'!$A:$A,C680,'Saldos Iniciales'!$B:$B,D680)+SUMIFS($K$1:$K$1324,$C$1:$C$1324,C680,$D$1:$D$1324,D680,$B$1:$B$1324,"&lt;="&amp;B680)</f>
        <v>2177.87</v>
      </c>
      <c r="N680" s="61" t="str">
        <f>IF(tblMovimientos[[#This Row],[Tipo de Movimiento]]="Ingreso",tblMovimientos[[#This Row],[Monto (S/)]],"0")</f>
        <v>0</v>
      </c>
      <c r="O680" s="61">
        <f>IF(tblMovimientos[[#This Row],[Tipo de Movimiento]]="Egreso",tblMovimientos[[#This Row],[Monto (S/)]],"0")</f>
        <v>29.95</v>
      </c>
      <c r="P680" s="28">
        <f>IF(tblMovimientos[[#This Row],[Tipo de Movimiento]]="Ingreso",tblMovimientos[[#This Row],[Ingreso]],-tblMovimientos[[#This Row],[Egreso]])</f>
        <v>-29.95</v>
      </c>
      <c r="Q680" s="78" t="str">
        <f>_xlfn.XLOOKUP(tblMovimientos[[#This Row],[Cuenta Bancaria]],Cuentas!$C:$C,Cuentas!$A:$A,"")&amp;""</f>
        <v>SSP Group</v>
      </c>
      <c r="R680" s="78" t="str">
        <f>_xlfn.XLOOKUP(tblMovimientos[[#This Row],[Cuenta Bancaria]],Cuentas!$C:$C,Cuentas!$B:$B,"",0,-1)&amp;""</f>
        <v/>
      </c>
    </row>
    <row r="681" spans="1:18" x14ac:dyDescent="0.3">
      <c r="B681" s="39">
        <v>46237</v>
      </c>
      <c r="C681" s="4" t="str">
        <f>_xlfn.XLOOKUP(tblMovimientos[[#This Row],[Cuenta Bancaria]],Listas!$B:$B,Listas!$A:$A,"")</f>
        <v>Arbor Capital Properties</v>
      </c>
      <c r="D681" s="41" t="s">
        <v>120</v>
      </c>
      <c r="E681" s="68" t="str">
        <f>_xlfn.XLOOKUP(tblMovimientos[[#This Row],[Cuenta Bancaria]],Listas!$B:$B,Listas!$C:$C,"")</f>
        <v>Bank of America</v>
      </c>
      <c r="F681" s="41" t="s">
        <v>10</v>
      </c>
      <c r="G681" s="41" t="s">
        <v>44</v>
      </c>
      <c r="H681" s="4" t="str">
        <f>IFERROR(_xlfn.XLOOKUP(G681,Listas!E:E,Listas!F:F,""),"")</f>
        <v>Operativo</v>
      </c>
      <c r="I681" s="46" t="str">
        <f>IFERROR(_xlfn.XLOOKUP(G681,Listas!E:E,Listas!G:G,""),"")</f>
        <v>Externo</v>
      </c>
      <c r="J681" s="43">
        <v>16</v>
      </c>
      <c r="K681" s="5">
        <f t="shared" si="10"/>
        <v>-16</v>
      </c>
      <c r="L681" s="15" t="s">
        <v>132</v>
      </c>
      <c r="M681" s="44">
        <f>SUMIFS('Saldos Iniciales'!$D:$D,'Saldos Iniciales'!$A:$A,C681,'Saldos Iniciales'!$B:$B,D681)+SUMIFS($K$1:$K$1324,$C$1:$C$1324,C681,$D$1:$D$1324,D681,$B$1:$B$1324,"&lt;="&amp;B681)</f>
        <v>1396.08</v>
      </c>
      <c r="N681" s="61" t="str">
        <f>IF(tblMovimientos[[#This Row],[Tipo de Movimiento]]="Ingreso",tblMovimientos[[#This Row],[Monto (S/)]],"0")</f>
        <v>0</v>
      </c>
      <c r="O681" s="61">
        <f>IF(tblMovimientos[[#This Row],[Tipo de Movimiento]]="Egreso",tblMovimientos[[#This Row],[Monto (S/)]],"0")</f>
        <v>16</v>
      </c>
      <c r="P681" s="28">
        <f>IF(tblMovimientos[[#This Row],[Tipo de Movimiento]]="Ingreso",tblMovimientos[[#This Row],[Ingreso]],-tblMovimientos[[#This Row],[Egreso]])</f>
        <v>-16</v>
      </c>
      <c r="Q681" s="78" t="str">
        <f>_xlfn.XLOOKUP(tblMovimientos[[#This Row],[Cuenta Bancaria]],Cuentas!$C:$C,Cuentas!$A:$A,"")&amp;""</f>
        <v>SSP Group</v>
      </c>
      <c r="R681" s="78" t="str">
        <f>_xlfn.XLOOKUP(tblMovimientos[[#This Row],[Cuenta Bancaria]],Cuentas!$C:$C,Cuentas!$B:$B,"",0,-1)&amp;""</f>
        <v/>
      </c>
    </row>
    <row r="682" spans="1:18" x14ac:dyDescent="0.3">
      <c r="B682" s="39">
        <v>46237</v>
      </c>
      <c r="C682" s="4" t="str">
        <f>_xlfn.XLOOKUP(tblMovimientos[[#This Row],[Cuenta Bancaria]],Listas!$B:$B,Listas!$A:$A,"")</f>
        <v>2515 Overbrook</v>
      </c>
      <c r="D682" s="41" t="s">
        <v>121</v>
      </c>
      <c r="E682" s="68" t="str">
        <f>_xlfn.XLOOKUP(tblMovimientos[[#This Row],[Cuenta Bancaria]],Listas!$B:$B,Listas!$C:$C,"")</f>
        <v>Bank of America</v>
      </c>
      <c r="F682" s="41" t="s">
        <v>10</v>
      </c>
      <c r="G682" s="41" t="s">
        <v>46</v>
      </c>
      <c r="H682" s="4" t="str">
        <f>IFERROR(_xlfn.XLOOKUP(G682,Listas!E:E,Listas!F:F,""),"")</f>
        <v>Financiamiento</v>
      </c>
      <c r="I682" s="46" t="str">
        <f>IFERROR(_xlfn.XLOOKUP(G682,Listas!E:E,Listas!G:G,""),"")</f>
        <v>Externo</v>
      </c>
      <c r="J682" s="43">
        <v>8533.33</v>
      </c>
      <c r="K682" s="5">
        <f t="shared" si="10"/>
        <v>-8533.33</v>
      </c>
      <c r="L682" s="15" t="s">
        <v>132</v>
      </c>
      <c r="M682" s="44">
        <f>SUMIFS('Saldos Iniciales'!$D:$D,'Saldos Iniciales'!$A:$A,C682,'Saldos Iniciales'!$B:$B,D682)+SUMIFS($K$1:$K$1324,$C$1:$C$1324,C682,$D$1:$D$1324,D682,$B$1:$B$1324,"&lt;="&amp;B682)</f>
        <v>13493.819999999963</v>
      </c>
      <c r="N682" s="61" t="str">
        <f>IF(tblMovimientos[[#This Row],[Tipo de Movimiento]]="Ingreso",tblMovimientos[[#This Row],[Monto (S/)]],"0")</f>
        <v>0</v>
      </c>
      <c r="O682" s="61">
        <f>IF(tblMovimientos[[#This Row],[Tipo de Movimiento]]="Egreso",tblMovimientos[[#This Row],[Monto (S/)]],"0")</f>
        <v>8533.33</v>
      </c>
      <c r="P682" s="28">
        <f>IF(tblMovimientos[[#This Row],[Tipo de Movimiento]]="Ingreso",tblMovimientos[[#This Row],[Ingreso]],-tblMovimientos[[#This Row],[Egreso]])</f>
        <v>-8533.33</v>
      </c>
      <c r="Q682" s="78" t="str">
        <f>_xlfn.XLOOKUP(tblMovimientos[[#This Row],[Cuenta Bancaria]],Cuentas!$C:$C,Cuentas!$A:$A,"")&amp;""</f>
        <v>SSP Group</v>
      </c>
      <c r="R682" s="78" t="str">
        <f>_xlfn.XLOOKUP(tblMovimientos[[#This Row],[Cuenta Bancaria]],Cuentas!$C:$C,Cuentas!$B:$B,"",0,-1)&amp;""</f>
        <v/>
      </c>
    </row>
    <row r="683" spans="1:18" x14ac:dyDescent="0.3">
      <c r="B683" s="39">
        <v>46237</v>
      </c>
      <c r="C683" s="4" t="str">
        <f>_xlfn.XLOOKUP(tblMovimientos[[#This Row],[Cuenta Bancaria]],Listas!$B:$B,Listas!$A:$A,"")</f>
        <v>2515 Overbrook</v>
      </c>
      <c r="D683" s="41" t="s">
        <v>122</v>
      </c>
      <c r="E683" s="68" t="str">
        <f>_xlfn.XLOOKUP(tblMovimientos[[#This Row],[Cuenta Bancaria]],Listas!$B:$B,Listas!$C:$C,"")</f>
        <v>Bank of America</v>
      </c>
      <c r="F683" s="41" t="s">
        <v>10</v>
      </c>
      <c r="G683" s="41" t="s">
        <v>44</v>
      </c>
      <c r="H683" s="4" t="str">
        <f>IFERROR(_xlfn.XLOOKUP(G683,Listas!E:E,Listas!F:F,""),"")</f>
        <v>Operativo</v>
      </c>
      <c r="I683" s="46" t="str">
        <f>IFERROR(_xlfn.XLOOKUP(G683,Listas!E:E,Listas!G:G,""),"")</f>
        <v>Externo</v>
      </c>
      <c r="J683" s="43">
        <v>10</v>
      </c>
      <c r="K683" s="5">
        <f t="shared" si="10"/>
        <v>-10</v>
      </c>
      <c r="L683" s="15" t="s">
        <v>132</v>
      </c>
      <c r="M683" s="44">
        <f>SUMIFS('Saldos Iniciales'!$D:$D,'Saldos Iniciales'!$A:$A,C683,'Saldos Iniciales'!$B:$B,D683)+SUMIFS($K$1:$K$1324,$C$1:$C$1324,C683,$D$1:$D$1324,D683,$B$1:$B$1324,"&lt;="&amp;B683)</f>
        <v>310.42</v>
      </c>
      <c r="N683" s="61" t="str">
        <f>IF(tblMovimientos[[#This Row],[Tipo de Movimiento]]="Ingreso",tblMovimientos[[#This Row],[Monto (S/)]],"0")</f>
        <v>0</v>
      </c>
      <c r="O683" s="61">
        <f>IF(tblMovimientos[[#This Row],[Tipo de Movimiento]]="Egreso",tblMovimientos[[#This Row],[Monto (S/)]],"0")</f>
        <v>10</v>
      </c>
      <c r="P683" s="28">
        <f>IF(tblMovimientos[[#This Row],[Tipo de Movimiento]]="Ingreso",tblMovimientos[[#This Row],[Ingreso]],-tblMovimientos[[#This Row],[Egreso]])</f>
        <v>-10</v>
      </c>
      <c r="Q683" s="78" t="str">
        <f>_xlfn.XLOOKUP(tblMovimientos[[#This Row],[Cuenta Bancaria]],Cuentas!$C:$C,Cuentas!$A:$A,"")&amp;""</f>
        <v>SSP Group</v>
      </c>
      <c r="R683" s="78" t="str">
        <f>_xlfn.XLOOKUP(tblMovimientos[[#This Row],[Cuenta Bancaria]],Cuentas!$C:$C,Cuentas!$B:$B,"",0,-1)&amp;""</f>
        <v/>
      </c>
    </row>
    <row r="684" spans="1:18" x14ac:dyDescent="0.3">
      <c r="B684" s="39">
        <v>46237</v>
      </c>
      <c r="C684" s="4" t="str">
        <f>_xlfn.XLOOKUP(tblMovimientos[[#This Row],[Cuenta Bancaria]],Listas!$B:$B,Listas!$A:$A,"")</f>
        <v>112 Florida Ave</v>
      </c>
      <c r="D684" s="41" t="s">
        <v>123</v>
      </c>
      <c r="E684" s="68" t="str">
        <f>_xlfn.XLOOKUP(tblMovimientos[[#This Row],[Cuenta Bancaria]],Listas!$B:$B,Listas!$C:$C,"")</f>
        <v>Bank of America</v>
      </c>
      <c r="F684" s="41" t="s">
        <v>10</v>
      </c>
      <c r="G684" s="41" t="s">
        <v>48</v>
      </c>
      <c r="H684" s="4" t="str">
        <f>IFERROR(_xlfn.XLOOKUP(G684,Listas!E:E,Listas!F:F,""),"")</f>
        <v>Financiamiento</v>
      </c>
      <c r="I684" s="46" t="str">
        <f>IFERROR(_xlfn.XLOOKUP(G684,Listas!E:E,Listas!G:G,""),"")</f>
        <v>Externo</v>
      </c>
      <c r="J684" s="43">
        <v>9798.6299999999992</v>
      </c>
      <c r="K684" s="5">
        <f t="shared" si="10"/>
        <v>-9798.6299999999992</v>
      </c>
      <c r="L684" s="15" t="s">
        <v>132</v>
      </c>
      <c r="M684" s="44">
        <f>SUMIFS('Saldos Iniciales'!$D:$D,'Saldos Iniciales'!$A:$A,C684,'Saldos Iniciales'!$B:$B,D684)+SUMIFS($K$1:$K$1324,$C$1:$C$1324,C684,$D$1:$D$1324,D684,$B$1:$B$1324,"&lt;="&amp;B684)</f>
        <v>8724.1700000000037</v>
      </c>
      <c r="N684" s="61" t="str">
        <f>IF(tblMovimientos[[#This Row],[Tipo de Movimiento]]="Ingreso",tblMovimientos[[#This Row],[Monto (S/)]],"0")</f>
        <v>0</v>
      </c>
      <c r="O684" s="61">
        <f>IF(tblMovimientos[[#This Row],[Tipo de Movimiento]]="Egreso",tblMovimientos[[#This Row],[Monto (S/)]],"0")</f>
        <v>9798.6299999999992</v>
      </c>
      <c r="P684" s="28">
        <f>IF(tblMovimientos[[#This Row],[Tipo de Movimiento]]="Ingreso",tblMovimientos[[#This Row],[Ingreso]],-tblMovimientos[[#This Row],[Egreso]])</f>
        <v>-9798.6299999999992</v>
      </c>
      <c r="Q684" s="78" t="str">
        <f>_xlfn.XLOOKUP(tblMovimientos[[#This Row],[Cuenta Bancaria]],Cuentas!$C:$C,Cuentas!$A:$A,"")&amp;""</f>
        <v>SSP Group</v>
      </c>
      <c r="R684" s="78" t="str">
        <f>_xlfn.XLOOKUP(tblMovimientos[[#This Row],[Cuenta Bancaria]],Cuentas!$C:$C,Cuentas!$B:$B,"",0,-1)&amp;""</f>
        <v/>
      </c>
    </row>
    <row r="685" spans="1:18" x14ac:dyDescent="0.3">
      <c r="A685" s="45"/>
      <c r="B685" s="39">
        <v>46237</v>
      </c>
      <c r="C685" s="4" t="str">
        <f>_xlfn.XLOOKUP(tblMovimientos[[#This Row],[Cuenta Bancaria]],Listas!$B:$B,Listas!$A:$A,"")</f>
        <v>3628 Thomas Ave</v>
      </c>
      <c r="D685" s="41" t="s">
        <v>124</v>
      </c>
      <c r="E685" s="68" t="str">
        <f>_xlfn.XLOOKUP(tblMovimientos[[#This Row],[Cuenta Bancaria]],Listas!$B:$B,Listas!$C:$C,"")</f>
        <v>Bank of America</v>
      </c>
      <c r="F685" s="41" t="s">
        <v>10</v>
      </c>
      <c r="G685" s="41" t="s">
        <v>38</v>
      </c>
      <c r="H685" s="46" t="str">
        <f>IFERROR(_xlfn.XLOOKUP(G685,Listas!E:E,Listas!F:F,""),"")</f>
        <v>Operativo</v>
      </c>
      <c r="I685" s="46" t="str">
        <f>IFERROR(_xlfn.XLOOKUP(G685,Listas!E:E,Listas!G:G,""),"")</f>
        <v>Externo</v>
      </c>
      <c r="J685" s="43">
        <v>1900</v>
      </c>
      <c r="K685" s="5">
        <f t="shared" si="10"/>
        <v>-1900</v>
      </c>
      <c r="L685" s="15" t="s">
        <v>132</v>
      </c>
      <c r="M685" s="44">
        <f>SUMIFS('Saldos Iniciales'!$D:$D,'Saldos Iniciales'!$A:$A,C685,'Saldos Iniciales'!$B:$B,D685)+SUMIFS($K$1:$K$1324,$C$1:$C$1324,C685,$D$1:$D$1324,D685,$B$1:$B$1324,"&lt;="&amp;B685)</f>
        <v>15106.099999999997</v>
      </c>
      <c r="N685" s="61" t="str">
        <f>IF(tblMovimientos[[#This Row],[Tipo de Movimiento]]="Ingreso",tblMovimientos[[#This Row],[Monto (S/)]],"0")</f>
        <v>0</v>
      </c>
      <c r="O685" s="61">
        <f>IF(tblMovimientos[[#This Row],[Tipo de Movimiento]]="Egreso",tblMovimientos[[#This Row],[Monto (S/)]],"0")</f>
        <v>1900</v>
      </c>
      <c r="P685" s="28">
        <f>IF(tblMovimientos[[#This Row],[Tipo de Movimiento]]="Ingreso",tblMovimientos[[#This Row],[Ingreso]],-tblMovimientos[[#This Row],[Egreso]])</f>
        <v>-1900</v>
      </c>
      <c r="Q685" s="78" t="str">
        <f>_xlfn.XLOOKUP(tblMovimientos[[#This Row],[Cuenta Bancaria]],Cuentas!$C:$C,Cuentas!$A:$A,"")&amp;""</f>
        <v>SSP Group</v>
      </c>
      <c r="R685" s="78" t="str">
        <f>_xlfn.XLOOKUP(tblMovimientos[[#This Row],[Cuenta Bancaria]],Cuentas!$C:$C,Cuentas!$B:$B,"",0,-1)&amp;""</f>
        <v/>
      </c>
    </row>
    <row r="686" spans="1:18" x14ac:dyDescent="0.3">
      <c r="B686" s="39">
        <v>46237</v>
      </c>
      <c r="C686" s="4" t="str">
        <f>_xlfn.XLOOKUP(tblMovimientos[[#This Row],[Cuenta Bancaria]],Listas!$B:$B,Listas!$A:$A,"")</f>
        <v>3628 Thomas Ave</v>
      </c>
      <c r="D686" s="41" t="s">
        <v>124</v>
      </c>
      <c r="E686" s="68" t="str">
        <f>_xlfn.XLOOKUP(tblMovimientos[[#This Row],[Cuenta Bancaria]],Listas!$B:$B,Listas!$C:$C,"")</f>
        <v>Bank of America</v>
      </c>
      <c r="F686" s="41" t="s">
        <v>10</v>
      </c>
      <c r="G686" s="41" t="s">
        <v>38</v>
      </c>
      <c r="H686" s="4" t="str">
        <f>IFERROR(_xlfn.XLOOKUP(G686,Listas!E:E,Listas!F:F,""),"")</f>
        <v>Operativo</v>
      </c>
      <c r="I686" s="46" t="str">
        <f>IFERROR(_xlfn.XLOOKUP(G686,Listas!E:E,Listas!G:G,""),"")</f>
        <v>Externo</v>
      </c>
      <c r="J686" s="43">
        <v>240</v>
      </c>
      <c r="K686" s="5">
        <f t="shared" si="10"/>
        <v>-240</v>
      </c>
      <c r="L686" s="15" t="s">
        <v>132</v>
      </c>
      <c r="M686" s="44">
        <f>SUMIFS('Saldos Iniciales'!$D:$D,'Saldos Iniciales'!$A:$A,C686,'Saldos Iniciales'!$B:$B,D686)+SUMIFS($K$1:$K$1324,$C$1:$C$1324,C686,$D$1:$D$1324,D686,$B$1:$B$1324,"&lt;="&amp;B686)</f>
        <v>15106.099999999997</v>
      </c>
      <c r="N686" s="61" t="str">
        <f>IF(tblMovimientos[[#This Row],[Tipo de Movimiento]]="Ingreso",tblMovimientos[[#This Row],[Monto (S/)]],"0")</f>
        <v>0</v>
      </c>
      <c r="O686" s="61">
        <f>IF(tblMovimientos[[#This Row],[Tipo de Movimiento]]="Egreso",tblMovimientos[[#This Row],[Monto (S/)]],"0")</f>
        <v>240</v>
      </c>
      <c r="P686" s="28">
        <f>IF(tblMovimientos[[#This Row],[Tipo de Movimiento]]="Ingreso",tblMovimientos[[#This Row],[Ingreso]],-tblMovimientos[[#This Row],[Egreso]])</f>
        <v>-240</v>
      </c>
      <c r="Q686" s="78" t="str">
        <f>_xlfn.XLOOKUP(tblMovimientos[[#This Row],[Cuenta Bancaria]],Cuentas!$C:$C,Cuentas!$A:$A,"")&amp;""</f>
        <v>SSP Group</v>
      </c>
      <c r="R686" s="78" t="str">
        <f>_xlfn.XLOOKUP(tblMovimientos[[#This Row],[Cuenta Bancaria]],Cuentas!$C:$C,Cuentas!$B:$B,"",0,-1)&amp;""</f>
        <v/>
      </c>
    </row>
    <row r="687" spans="1:18" x14ac:dyDescent="0.3">
      <c r="B687" s="39">
        <v>46237</v>
      </c>
      <c r="C687" s="4" t="str">
        <f>_xlfn.XLOOKUP(tblMovimientos[[#This Row],[Cuenta Bancaria]],Listas!$B:$B,Listas!$A:$A,"")</f>
        <v>3628 Thomas Ave</v>
      </c>
      <c r="D687" s="41" t="s">
        <v>124</v>
      </c>
      <c r="E687" s="68" t="str">
        <f>_xlfn.XLOOKUP(tblMovimientos[[#This Row],[Cuenta Bancaria]],Listas!$B:$B,Listas!$C:$C,"")</f>
        <v>Bank of America</v>
      </c>
      <c r="F687" s="41" t="s">
        <v>10</v>
      </c>
      <c r="G687" s="41" t="s">
        <v>38</v>
      </c>
      <c r="H687" s="4" t="str">
        <f>IFERROR(_xlfn.XLOOKUP(G687,Listas!E:E,Listas!F:F,""),"")</f>
        <v>Operativo</v>
      </c>
      <c r="I687" s="46" t="str">
        <f>IFERROR(_xlfn.XLOOKUP(G687,Listas!E:E,Listas!G:G,""),"")</f>
        <v>Externo</v>
      </c>
      <c r="J687" s="43">
        <v>100</v>
      </c>
      <c r="K687" s="5">
        <f t="shared" si="10"/>
        <v>-100</v>
      </c>
      <c r="L687" s="15" t="s">
        <v>132</v>
      </c>
      <c r="M687" s="44">
        <f>SUMIFS('Saldos Iniciales'!$D:$D,'Saldos Iniciales'!$A:$A,C687,'Saldos Iniciales'!$B:$B,D687)+SUMIFS($K$1:$K$1324,$C$1:$C$1324,C687,$D$1:$D$1324,D687,$B$1:$B$1324,"&lt;="&amp;B687)</f>
        <v>15106.099999999997</v>
      </c>
      <c r="N687" s="61" t="str">
        <f>IF(tblMovimientos[[#This Row],[Tipo de Movimiento]]="Ingreso",tblMovimientos[[#This Row],[Monto (S/)]],"0")</f>
        <v>0</v>
      </c>
      <c r="O687" s="61">
        <f>IF(tblMovimientos[[#This Row],[Tipo de Movimiento]]="Egreso",tblMovimientos[[#This Row],[Monto (S/)]],"0")</f>
        <v>100</v>
      </c>
      <c r="P687" s="28">
        <f>IF(tblMovimientos[[#This Row],[Tipo de Movimiento]]="Ingreso",tblMovimientos[[#This Row],[Ingreso]],-tblMovimientos[[#This Row],[Egreso]])</f>
        <v>-100</v>
      </c>
      <c r="Q687" s="78" t="str">
        <f>_xlfn.XLOOKUP(tblMovimientos[[#This Row],[Cuenta Bancaria]],Cuentas!$C:$C,Cuentas!$A:$A,"")&amp;""</f>
        <v>SSP Group</v>
      </c>
      <c r="R687" s="78" t="str">
        <f>_xlfn.XLOOKUP(tblMovimientos[[#This Row],[Cuenta Bancaria]],Cuentas!$C:$C,Cuentas!$B:$B,"",0,-1)&amp;""</f>
        <v/>
      </c>
    </row>
    <row r="688" spans="1:18" x14ac:dyDescent="0.3">
      <c r="B688" s="39">
        <v>46237</v>
      </c>
      <c r="C688" s="4" t="str">
        <f>_xlfn.XLOOKUP(tblMovimientos[[#This Row],[Cuenta Bancaria]],Listas!$B:$B,Listas!$A:$A,"")</f>
        <v>3628 Thomas Ave</v>
      </c>
      <c r="D688" s="41" t="s">
        <v>124</v>
      </c>
      <c r="E688" s="68" t="str">
        <f>_xlfn.XLOOKUP(tblMovimientos[[#This Row],[Cuenta Bancaria]],Listas!$B:$B,Listas!$C:$C,"")</f>
        <v>Bank of America</v>
      </c>
      <c r="F688" s="41" t="s">
        <v>10</v>
      </c>
      <c r="G688" s="41" t="s">
        <v>38</v>
      </c>
      <c r="H688" s="4" t="str">
        <f>IFERROR(_xlfn.XLOOKUP(G688,Listas!E:E,Listas!F:F,""),"")</f>
        <v>Operativo</v>
      </c>
      <c r="I688" s="46" t="str">
        <f>IFERROR(_xlfn.XLOOKUP(G688,Listas!E:E,Listas!G:G,""),"")</f>
        <v>Externo</v>
      </c>
      <c r="J688" s="43">
        <v>220</v>
      </c>
      <c r="K688" s="5">
        <f t="shared" si="10"/>
        <v>-220</v>
      </c>
      <c r="L688" s="15" t="s">
        <v>132</v>
      </c>
      <c r="M688" s="44">
        <f>SUMIFS('Saldos Iniciales'!$D:$D,'Saldos Iniciales'!$A:$A,C688,'Saldos Iniciales'!$B:$B,D688)+SUMIFS($K$1:$K$1324,$C$1:$C$1324,C688,$D$1:$D$1324,D688,$B$1:$B$1324,"&lt;="&amp;B688)</f>
        <v>15106.099999999997</v>
      </c>
      <c r="N688" s="61" t="str">
        <f>IF(tblMovimientos[[#This Row],[Tipo de Movimiento]]="Ingreso",tblMovimientos[[#This Row],[Monto (S/)]],"0")</f>
        <v>0</v>
      </c>
      <c r="O688" s="61">
        <f>IF(tblMovimientos[[#This Row],[Tipo de Movimiento]]="Egreso",tblMovimientos[[#This Row],[Monto (S/)]],"0")</f>
        <v>220</v>
      </c>
      <c r="P688" s="28">
        <f>IF(tblMovimientos[[#This Row],[Tipo de Movimiento]]="Ingreso",tblMovimientos[[#This Row],[Ingreso]],-tblMovimientos[[#This Row],[Egreso]])</f>
        <v>-220</v>
      </c>
      <c r="Q688" s="78" t="str">
        <f>_xlfn.XLOOKUP(tblMovimientos[[#This Row],[Cuenta Bancaria]],Cuentas!$C:$C,Cuentas!$A:$A,"")&amp;""</f>
        <v>SSP Group</v>
      </c>
      <c r="R688" s="78" t="str">
        <f>_xlfn.XLOOKUP(tblMovimientos[[#This Row],[Cuenta Bancaria]],Cuentas!$C:$C,Cuentas!$B:$B,"",0,-1)&amp;""</f>
        <v/>
      </c>
    </row>
    <row r="689" spans="2:18" x14ac:dyDescent="0.3">
      <c r="B689" s="39">
        <v>46237</v>
      </c>
      <c r="C689" s="4" t="str">
        <f>_xlfn.XLOOKUP(tblMovimientos[[#This Row],[Cuenta Bancaria]],Listas!$B:$B,Listas!$A:$A,"")</f>
        <v>3628 Thomas Ave</v>
      </c>
      <c r="D689" s="41" t="s">
        <v>124</v>
      </c>
      <c r="E689" s="68" t="str">
        <f>_xlfn.XLOOKUP(tblMovimientos[[#This Row],[Cuenta Bancaria]],Listas!$B:$B,Listas!$C:$C,"")</f>
        <v>Bank of America</v>
      </c>
      <c r="F689" s="41" t="s">
        <v>10</v>
      </c>
      <c r="G689" s="41" t="s">
        <v>38</v>
      </c>
      <c r="H689" s="4" t="str">
        <f>IFERROR(_xlfn.XLOOKUP(G689,Listas!E:E,Listas!F:F,""),"")</f>
        <v>Operativo</v>
      </c>
      <c r="I689" s="46" t="str">
        <f>IFERROR(_xlfn.XLOOKUP(G689,Listas!E:E,Listas!G:G,""),"")</f>
        <v>Externo</v>
      </c>
      <c r="J689" s="43">
        <v>220</v>
      </c>
      <c r="K689" s="5">
        <f t="shared" si="10"/>
        <v>-220</v>
      </c>
      <c r="L689" s="15" t="s">
        <v>132</v>
      </c>
      <c r="M689" s="44">
        <f>SUMIFS('Saldos Iniciales'!$D:$D,'Saldos Iniciales'!$A:$A,C689,'Saldos Iniciales'!$B:$B,D689)+SUMIFS($K$1:$K$1324,$C$1:$C$1324,C689,$D$1:$D$1324,D689,$B$1:$B$1324,"&lt;="&amp;B689)</f>
        <v>15106.099999999997</v>
      </c>
      <c r="N689" s="61" t="str">
        <f>IF(tblMovimientos[[#This Row],[Tipo de Movimiento]]="Ingreso",tblMovimientos[[#This Row],[Monto (S/)]],"0")</f>
        <v>0</v>
      </c>
      <c r="O689" s="61">
        <f>IF(tblMovimientos[[#This Row],[Tipo de Movimiento]]="Egreso",tblMovimientos[[#This Row],[Monto (S/)]],"0")</f>
        <v>220</v>
      </c>
      <c r="P689" s="28">
        <f>IF(tblMovimientos[[#This Row],[Tipo de Movimiento]]="Ingreso",tblMovimientos[[#This Row],[Ingreso]],-tblMovimientos[[#This Row],[Egreso]])</f>
        <v>-220</v>
      </c>
      <c r="Q689" s="78" t="str">
        <f>_xlfn.XLOOKUP(tblMovimientos[[#This Row],[Cuenta Bancaria]],Cuentas!$C:$C,Cuentas!$A:$A,"")&amp;""</f>
        <v>SSP Group</v>
      </c>
      <c r="R689" s="78" t="str">
        <f>_xlfn.XLOOKUP(tblMovimientos[[#This Row],[Cuenta Bancaria]],Cuentas!$C:$C,Cuentas!$B:$B,"",0,-1)&amp;""</f>
        <v/>
      </c>
    </row>
    <row r="690" spans="2:18" x14ac:dyDescent="0.3">
      <c r="B690" s="39">
        <v>46237</v>
      </c>
      <c r="C690" s="4" t="str">
        <f>_xlfn.XLOOKUP(tblMovimientos[[#This Row],[Cuenta Bancaria]],Listas!$B:$B,Listas!$A:$A,"")</f>
        <v>3628 Thomas Ave</v>
      </c>
      <c r="D690" s="41" t="s">
        <v>124</v>
      </c>
      <c r="E690" s="68" t="str">
        <f>_xlfn.XLOOKUP(tblMovimientos[[#This Row],[Cuenta Bancaria]],Listas!$B:$B,Listas!$C:$C,"")</f>
        <v>Bank of America</v>
      </c>
      <c r="F690" s="41" t="s">
        <v>10</v>
      </c>
      <c r="G690" s="41" t="s">
        <v>38</v>
      </c>
      <c r="H690" s="4" t="str">
        <f>IFERROR(_xlfn.XLOOKUP(G690,Listas!E:E,Listas!F:F,""),"")</f>
        <v>Operativo</v>
      </c>
      <c r="I690" s="46" t="str">
        <f>IFERROR(_xlfn.XLOOKUP(G690,Listas!E:E,Listas!G:G,""),"")</f>
        <v>Externo</v>
      </c>
      <c r="J690" s="43">
        <v>150</v>
      </c>
      <c r="K690" s="5">
        <f t="shared" si="10"/>
        <v>-150</v>
      </c>
      <c r="L690" s="15" t="s">
        <v>132</v>
      </c>
      <c r="M690" s="44">
        <f>SUMIFS('Saldos Iniciales'!$D:$D,'Saldos Iniciales'!$A:$A,C690,'Saldos Iniciales'!$B:$B,D690)+SUMIFS($K$1:$K$1324,$C$1:$C$1324,C690,$D$1:$D$1324,D690,$B$1:$B$1324,"&lt;="&amp;B690)</f>
        <v>15106.099999999997</v>
      </c>
      <c r="N690" s="61" t="str">
        <f>IF(tblMovimientos[[#This Row],[Tipo de Movimiento]]="Ingreso",tblMovimientos[[#This Row],[Monto (S/)]],"0")</f>
        <v>0</v>
      </c>
      <c r="O690" s="61">
        <f>IF(tblMovimientos[[#This Row],[Tipo de Movimiento]]="Egreso",tblMovimientos[[#This Row],[Monto (S/)]],"0")</f>
        <v>150</v>
      </c>
      <c r="P690" s="28">
        <f>IF(tblMovimientos[[#This Row],[Tipo de Movimiento]]="Ingreso",tblMovimientos[[#This Row],[Ingreso]],-tblMovimientos[[#This Row],[Egreso]])</f>
        <v>-150</v>
      </c>
      <c r="Q690" s="78" t="str">
        <f>_xlfn.XLOOKUP(tblMovimientos[[#This Row],[Cuenta Bancaria]],Cuentas!$C:$C,Cuentas!$A:$A,"")&amp;""</f>
        <v>SSP Group</v>
      </c>
      <c r="R690" s="78" t="str">
        <f>_xlfn.XLOOKUP(tblMovimientos[[#This Row],[Cuenta Bancaria]],Cuentas!$C:$C,Cuentas!$B:$B,"",0,-1)&amp;""</f>
        <v/>
      </c>
    </row>
    <row r="691" spans="2:18" x14ac:dyDescent="0.3">
      <c r="B691" s="39">
        <v>46237</v>
      </c>
      <c r="C691" s="4" t="str">
        <f>_xlfn.XLOOKUP(tblMovimientos[[#This Row],[Cuenta Bancaria]],Listas!$B:$B,Listas!$A:$A,"")</f>
        <v>3628 Thomas Ave</v>
      </c>
      <c r="D691" s="41" t="s">
        <v>124</v>
      </c>
      <c r="E691" s="68" t="str">
        <f>_xlfn.XLOOKUP(tblMovimientos[[#This Row],[Cuenta Bancaria]],Listas!$B:$B,Listas!$C:$C,"")</f>
        <v>Bank of America</v>
      </c>
      <c r="F691" s="41" t="s">
        <v>10</v>
      </c>
      <c r="G691" s="41" t="s">
        <v>38</v>
      </c>
      <c r="H691" s="4" t="str">
        <f>IFERROR(_xlfn.XLOOKUP(G691,Listas!E:E,Listas!F:F,""),"")</f>
        <v>Operativo</v>
      </c>
      <c r="I691" s="46" t="str">
        <f>IFERROR(_xlfn.XLOOKUP(G691,Listas!E:E,Listas!G:G,""),"")</f>
        <v>Externo</v>
      </c>
      <c r="J691" s="43">
        <v>295</v>
      </c>
      <c r="K691" s="5">
        <f t="shared" si="10"/>
        <v>-295</v>
      </c>
      <c r="L691" s="15" t="s">
        <v>132</v>
      </c>
      <c r="M691" s="44">
        <f>SUMIFS('Saldos Iniciales'!$D:$D,'Saldos Iniciales'!$A:$A,C691,'Saldos Iniciales'!$B:$B,D691)+SUMIFS($K$1:$K$1324,$C$1:$C$1324,C691,$D$1:$D$1324,D691,$B$1:$B$1324,"&lt;="&amp;B691)</f>
        <v>15106.099999999997</v>
      </c>
      <c r="N691" s="61" t="str">
        <f>IF(tblMovimientos[[#This Row],[Tipo de Movimiento]]="Ingreso",tblMovimientos[[#This Row],[Monto (S/)]],"0")</f>
        <v>0</v>
      </c>
      <c r="O691" s="61">
        <f>IF(tblMovimientos[[#This Row],[Tipo de Movimiento]]="Egreso",tblMovimientos[[#This Row],[Monto (S/)]],"0")</f>
        <v>295</v>
      </c>
      <c r="P691" s="28">
        <f>IF(tblMovimientos[[#This Row],[Tipo de Movimiento]]="Ingreso",tblMovimientos[[#This Row],[Ingreso]],-tblMovimientos[[#This Row],[Egreso]])</f>
        <v>-295</v>
      </c>
      <c r="Q691" s="78" t="str">
        <f>_xlfn.XLOOKUP(tblMovimientos[[#This Row],[Cuenta Bancaria]],Cuentas!$C:$C,Cuentas!$A:$A,"")&amp;""</f>
        <v>SSP Group</v>
      </c>
      <c r="R691" s="78" t="str">
        <f>_xlfn.XLOOKUP(tblMovimientos[[#This Row],[Cuenta Bancaria]],Cuentas!$C:$C,Cuentas!$B:$B,"",0,-1)&amp;""</f>
        <v/>
      </c>
    </row>
    <row r="692" spans="2:18" x14ac:dyDescent="0.3">
      <c r="B692" s="39">
        <v>46237</v>
      </c>
      <c r="C692" s="4" t="str">
        <f>_xlfn.XLOOKUP(tblMovimientos[[#This Row],[Cuenta Bancaria]],Listas!$B:$B,Listas!$A:$A,"")</f>
        <v>3628 Thomas Ave</v>
      </c>
      <c r="D692" s="41" t="s">
        <v>124</v>
      </c>
      <c r="E692" s="68" t="str">
        <f>_xlfn.XLOOKUP(tblMovimientos[[#This Row],[Cuenta Bancaria]],Listas!$B:$B,Listas!$C:$C,"")</f>
        <v>Bank of America</v>
      </c>
      <c r="F692" s="41" t="s">
        <v>10</v>
      </c>
      <c r="G692" s="41" t="s">
        <v>38</v>
      </c>
      <c r="H692" s="4" t="str">
        <f>IFERROR(_xlfn.XLOOKUP(G692,Listas!E:E,Listas!F:F,""),"")</f>
        <v>Operativo</v>
      </c>
      <c r="I692" s="46" t="str">
        <f>IFERROR(_xlfn.XLOOKUP(G692,Listas!E:E,Listas!G:G,""),"")</f>
        <v>Externo</v>
      </c>
      <c r="J692" s="43">
        <v>395</v>
      </c>
      <c r="K692" s="5">
        <f t="shared" si="10"/>
        <v>-395</v>
      </c>
      <c r="L692" s="15" t="s">
        <v>132</v>
      </c>
      <c r="M692" s="44">
        <f>SUMIFS('Saldos Iniciales'!$D:$D,'Saldos Iniciales'!$A:$A,C692,'Saldos Iniciales'!$B:$B,D692)+SUMIFS($K$1:$K$1324,$C$1:$C$1324,C692,$D$1:$D$1324,D692,$B$1:$B$1324,"&lt;="&amp;B692)</f>
        <v>15106.099999999997</v>
      </c>
      <c r="N692" s="61" t="str">
        <f>IF(tblMovimientos[[#This Row],[Tipo de Movimiento]]="Ingreso",tblMovimientos[[#This Row],[Monto (S/)]],"0")</f>
        <v>0</v>
      </c>
      <c r="O692" s="61">
        <f>IF(tblMovimientos[[#This Row],[Tipo de Movimiento]]="Egreso",tblMovimientos[[#This Row],[Monto (S/)]],"0")</f>
        <v>395</v>
      </c>
      <c r="P692" s="28">
        <f>IF(tblMovimientos[[#This Row],[Tipo de Movimiento]]="Ingreso",tblMovimientos[[#This Row],[Ingreso]],-tblMovimientos[[#This Row],[Egreso]])</f>
        <v>-395</v>
      </c>
      <c r="Q692" s="78" t="str">
        <f>_xlfn.XLOOKUP(tblMovimientos[[#This Row],[Cuenta Bancaria]],Cuentas!$C:$C,Cuentas!$A:$A,"")&amp;""</f>
        <v>SSP Group</v>
      </c>
      <c r="R692" s="78" t="str">
        <f>_xlfn.XLOOKUP(tblMovimientos[[#This Row],[Cuenta Bancaria]],Cuentas!$C:$C,Cuentas!$B:$B,"",0,-1)&amp;""</f>
        <v/>
      </c>
    </row>
    <row r="693" spans="2:18" x14ac:dyDescent="0.3">
      <c r="B693" s="39">
        <v>46237</v>
      </c>
      <c r="C693" s="4" t="str">
        <f>_xlfn.XLOOKUP(tblMovimientos[[#This Row],[Cuenta Bancaria]],Listas!$B:$B,Listas!$A:$A,"")</f>
        <v>3628 Thomas Ave</v>
      </c>
      <c r="D693" s="41" t="s">
        <v>124</v>
      </c>
      <c r="E693" s="68" t="str">
        <f>_xlfn.XLOOKUP(tblMovimientos[[#This Row],[Cuenta Bancaria]],Listas!$B:$B,Listas!$C:$C,"")</f>
        <v>Bank of America</v>
      </c>
      <c r="F693" s="41" t="s">
        <v>10</v>
      </c>
      <c r="G693" s="41" t="s">
        <v>38</v>
      </c>
      <c r="H693" s="4" t="str">
        <f>IFERROR(_xlfn.XLOOKUP(G693,Listas!E:E,Listas!F:F,""),"")</f>
        <v>Operativo</v>
      </c>
      <c r="I693" s="46" t="str">
        <f>IFERROR(_xlfn.XLOOKUP(G693,Listas!E:E,Listas!G:G,""),"")</f>
        <v>Externo</v>
      </c>
      <c r="J693" s="43">
        <v>1086.42</v>
      </c>
      <c r="K693" s="5">
        <f t="shared" si="10"/>
        <v>-1086.42</v>
      </c>
      <c r="L693" s="15" t="s">
        <v>132</v>
      </c>
      <c r="M693" s="44">
        <f>SUMIFS('Saldos Iniciales'!$D:$D,'Saldos Iniciales'!$A:$A,C693,'Saldos Iniciales'!$B:$B,D693)+SUMIFS($K$1:$K$1324,$C$1:$C$1324,C693,$D$1:$D$1324,D693,$B$1:$B$1324,"&lt;="&amp;B693)</f>
        <v>15106.099999999997</v>
      </c>
      <c r="N693" s="61" t="str">
        <f>IF(tblMovimientos[[#This Row],[Tipo de Movimiento]]="Ingreso",tblMovimientos[[#This Row],[Monto (S/)]],"0")</f>
        <v>0</v>
      </c>
      <c r="O693" s="61">
        <f>IF(tblMovimientos[[#This Row],[Tipo de Movimiento]]="Egreso",tblMovimientos[[#This Row],[Monto (S/)]],"0")</f>
        <v>1086.42</v>
      </c>
      <c r="P693" s="28">
        <f>IF(tblMovimientos[[#This Row],[Tipo de Movimiento]]="Ingreso",tblMovimientos[[#This Row],[Ingreso]],-tblMovimientos[[#This Row],[Egreso]])</f>
        <v>-1086.42</v>
      </c>
      <c r="Q693" s="78" t="str">
        <f>_xlfn.XLOOKUP(tblMovimientos[[#This Row],[Cuenta Bancaria]],Cuentas!$C:$C,Cuentas!$A:$A,"")&amp;""</f>
        <v>SSP Group</v>
      </c>
      <c r="R693" s="78" t="str">
        <f>_xlfn.XLOOKUP(tblMovimientos[[#This Row],[Cuenta Bancaria]],Cuentas!$C:$C,Cuentas!$B:$B,"",0,-1)&amp;""</f>
        <v/>
      </c>
    </row>
    <row r="694" spans="2:18" x14ac:dyDescent="0.3">
      <c r="B694" s="39">
        <v>46237</v>
      </c>
      <c r="C694" s="4" t="str">
        <f>_xlfn.XLOOKUP(tblMovimientos[[#This Row],[Cuenta Bancaria]],Listas!$B:$B,Listas!$A:$A,"")</f>
        <v>Go Blue</v>
      </c>
      <c r="D694" s="41" t="s">
        <v>126</v>
      </c>
      <c r="E694" s="68" t="str">
        <f>_xlfn.XLOOKUP(tblMovimientos[[#This Row],[Cuenta Bancaria]],Listas!$B:$B,Listas!$C:$C,"")</f>
        <v xml:space="preserve">Amerant Bank </v>
      </c>
      <c r="F694" s="41" t="s">
        <v>10</v>
      </c>
      <c r="G694" s="41" t="s">
        <v>38</v>
      </c>
      <c r="H694" s="4" t="str">
        <f>IFERROR(_xlfn.XLOOKUP(G694,Listas!E:E,Listas!F:F,""),"")</f>
        <v>Operativo</v>
      </c>
      <c r="I694" s="46" t="str">
        <f>IFERROR(_xlfn.XLOOKUP(G694,Listas!E:E,Listas!G:G,""),"")</f>
        <v>Externo</v>
      </c>
      <c r="J694" s="43">
        <v>55</v>
      </c>
      <c r="K694" s="5">
        <f t="shared" si="10"/>
        <v>-55</v>
      </c>
      <c r="L694" s="15" t="s">
        <v>132</v>
      </c>
      <c r="M694" s="44">
        <f>SUMIFS('Saldos Iniciales'!$D:$D,'Saldos Iniciales'!$A:$A,C694,'Saldos Iniciales'!$B:$B,D694)+SUMIFS($K$1:$K$1324,$C$1:$C$1324,C694,$D$1:$D$1324,D694,$B$1:$B$1324,"&lt;="&amp;B694)</f>
        <v>5594.1299999999974</v>
      </c>
      <c r="N694" s="61" t="str">
        <f>IF(tblMovimientos[[#This Row],[Tipo de Movimiento]]="Ingreso",tblMovimientos[[#This Row],[Monto (S/)]],"0")</f>
        <v>0</v>
      </c>
      <c r="O694" s="61">
        <f>IF(tblMovimientos[[#This Row],[Tipo de Movimiento]]="Egreso",tblMovimientos[[#This Row],[Monto (S/)]],"0")</f>
        <v>55</v>
      </c>
      <c r="P694" s="28">
        <f>IF(tblMovimientos[[#This Row],[Tipo de Movimiento]]="Ingreso",tblMovimientos[[#This Row],[Ingreso]],-tblMovimientos[[#This Row],[Egreso]])</f>
        <v>-55</v>
      </c>
      <c r="Q694" s="78" t="str">
        <f>_xlfn.XLOOKUP(tblMovimientos[[#This Row],[Cuenta Bancaria]],Cuentas!$C:$C,Cuentas!$A:$A,"")&amp;""</f>
        <v>SSP Group</v>
      </c>
      <c r="R694" s="78" t="str">
        <f>_xlfn.XLOOKUP(tblMovimientos[[#This Row],[Cuenta Bancaria]],Cuentas!$C:$C,Cuentas!$B:$B,"",0,-1)&amp;""</f>
        <v/>
      </c>
    </row>
    <row r="695" spans="2:18" x14ac:dyDescent="0.3">
      <c r="B695" s="39">
        <v>46237</v>
      </c>
      <c r="C695" s="4" t="str">
        <f>_xlfn.XLOOKUP(tblMovimientos[[#This Row],[Cuenta Bancaria]],Listas!$B:$B,Listas!$A:$A,"")</f>
        <v>Go Blue</v>
      </c>
      <c r="D695" s="41" t="s">
        <v>126</v>
      </c>
      <c r="E695" s="68" t="str">
        <f>_xlfn.XLOOKUP(tblMovimientos[[#This Row],[Cuenta Bancaria]],Listas!$B:$B,Listas!$C:$C,"")</f>
        <v xml:space="preserve">Amerant Bank </v>
      </c>
      <c r="F695" s="41" t="s">
        <v>10</v>
      </c>
      <c r="G695" s="41" t="s">
        <v>38</v>
      </c>
      <c r="H695" s="4" t="str">
        <f>IFERROR(_xlfn.XLOOKUP(G695,Listas!E:E,Listas!F:F,""),"")</f>
        <v>Operativo</v>
      </c>
      <c r="I695" s="46" t="str">
        <f>IFERROR(_xlfn.XLOOKUP(G695,Listas!E:E,Listas!G:G,""),"")</f>
        <v>Externo</v>
      </c>
      <c r="J695" s="43">
        <v>3309.58</v>
      </c>
      <c r="K695" s="5">
        <f t="shared" si="10"/>
        <v>-3309.58</v>
      </c>
      <c r="L695" s="15" t="s">
        <v>132</v>
      </c>
      <c r="M695" s="44">
        <f>SUMIFS('Saldos Iniciales'!$D:$D,'Saldos Iniciales'!$A:$A,C695,'Saldos Iniciales'!$B:$B,D695)+SUMIFS($K$1:$K$1324,$C$1:$C$1324,C695,$D$1:$D$1324,D695,$B$1:$B$1324,"&lt;="&amp;B695)</f>
        <v>5594.1299999999974</v>
      </c>
      <c r="N695" s="61" t="str">
        <f>IF(tblMovimientos[[#This Row],[Tipo de Movimiento]]="Ingreso",tblMovimientos[[#This Row],[Monto (S/)]],"0")</f>
        <v>0</v>
      </c>
      <c r="O695" s="61">
        <f>IF(tblMovimientos[[#This Row],[Tipo de Movimiento]]="Egreso",tblMovimientos[[#This Row],[Monto (S/)]],"0")</f>
        <v>3309.58</v>
      </c>
      <c r="P695" s="28">
        <f>IF(tblMovimientos[[#This Row],[Tipo de Movimiento]]="Ingreso",tblMovimientos[[#This Row],[Ingreso]],-tblMovimientos[[#This Row],[Egreso]])</f>
        <v>-3309.58</v>
      </c>
      <c r="Q695" s="78" t="str">
        <f>_xlfn.XLOOKUP(tblMovimientos[[#This Row],[Cuenta Bancaria]],Cuentas!$C:$C,Cuentas!$A:$A,"")&amp;""</f>
        <v>SSP Group</v>
      </c>
      <c r="R695" s="78" t="str">
        <f>_xlfn.XLOOKUP(tblMovimientos[[#This Row],[Cuenta Bancaria]],Cuentas!$C:$C,Cuentas!$B:$B,"",0,-1)&amp;""</f>
        <v/>
      </c>
    </row>
    <row r="696" spans="2:18" x14ac:dyDescent="0.3">
      <c r="B696" s="39">
        <v>46237</v>
      </c>
      <c r="C696" s="4" t="str">
        <f>_xlfn.XLOOKUP(tblMovimientos[[#This Row],[Cuenta Bancaria]],Listas!$B:$B,Listas!$A:$A,"")</f>
        <v>3628 Thomas Ave</v>
      </c>
      <c r="D696" s="41" t="s">
        <v>124</v>
      </c>
      <c r="E696" s="68" t="str">
        <f>_xlfn.XLOOKUP(tblMovimientos[[#This Row],[Cuenta Bancaria]],Listas!$B:$B,Listas!$C:$C,"")</f>
        <v>Bank of America</v>
      </c>
      <c r="F696" s="41" t="s">
        <v>10</v>
      </c>
      <c r="G696" s="41" t="s">
        <v>48</v>
      </c>
      <c r="H696" s="4" t="str">
        <f>IFERROR(_xlfn.XLOOKUP(G696,Listas!E:E,Listas!F:F,""),"")</f>
        <v>Financiamiento</v>
      </c>
      <c r="I696" s="46" t="str">
        <f>IFERROR(_xlfn.XLOOKUP(G696,Listas!E:E,Listas!G:G,""),"")</f>
        <v>Externo</v>
      </c>
      <c r="J696" s="43">
        <v>8773.0400000000009</v>
      </c>
      <c r="K696" s="5">
        <f t="shared" si="10"/>
        <v>-8773.0400000000009</v>
      </c>
      <c r="L696" s="15" t="s">
        <v>132</v>
      </c>
      <c r="M696" s="44">
        <f>SUMIFS('Saldos Iniciales'!$D:$D,'Saldos Iniciales'!$A:$A,C696,'Saldos Iniciales'!$B:$B,D696)+SUMIFS($K$1:$K$1324,$C$1:$C$1324,C696,$D$1:$D$1324,D696,$B$1:$B$1324,"&lt;="&amp;B696)</f>
        <v>15106.099999999997</v>
      </c>
      <c r="N696" s="61" t="str">
        <f>IF(tblMovimientos[[#This Row],[Tipo de Movimiento]]="Ingreso",tblMovimientos[[#This Row],[Monto (S/)]],"0")</f>
        <v>0</v>
      </c>
      <c r="O696" s="61">
        <f>IF(tblMovimientos[[#This Row],[Tipo de Movimiento]]="Egreso",tblMovimientos[[#This Row],[Monto (S/)]],"0")</f>
        <v>8773.0400000000009</v>
      </c>
      <c r="P696" s="28">
        <f>IF(tblMovimientos[[#This Row],[Tipo de Movimiento]]="Ingreso",tblMovimientos[[#This Row],[Ingreso]],-tblMovimientos[[#This Row],[Egreso]])</f>
        <v>-8773.0400000000009</v>
      </c>
      <c r="Q696" s="78" t="str">
        <f>_xlfn.XLOOKUP(tblMovimientos[[#This Row],[Cuenta Bancaria]],Cuentas!$C:$C,Cuentas!$A:$A,"")&amp;""</f>
        <v>SSP Group</v>
      </c>
      <c r="R696" s="78" t="str">
        <f>_xlfn.XLOOKUP(tblMovimientos[[#This Row],[Cuenta Bancaria]],Cuentas!$C:$C,Cuentas!$B:$B,"",0,-1)&amp;""</f>
        <v/>
      </c>
    </row>
    <row r="697" spans="2:18" x14ac:dyDescent="0.3">
      <c r="B697" s="39">
        <v>46238</v>
      </c>
      <c r="C697" s="4" t="str">
        <f>_xlfn.XLOOKUP(tblMovimientos[[#This Row],[Cuenta Bancaria]],Listas!$B:$B,Listas!$A:$A,"")</f>
        <v>SSP Capital</v>
      </c>
      <c r="D697" s="41" t="s">
        <v>101</v>
      </c>
      <c r="E697" s="68" t="str">
        <f>_xlfn.XLOOKUP(tblMovimientos[[#This Row],[Cuenta Bancaria]],Listas!$B:$B,Listas!$C:$C,"")</f>
        <v>Bank of America</v>
      </c>
      <c r="F697" s="41" t="s">
        <v>10</v>
      </c>
      <c r="G697" s="41" t="s">
        <v>38</v>
      </c>
      <c r="H697" s="4" t="str">
        <f>IFERROR(_xlfn.XLOOKUP(G697,Listas!E:E,Listas!F:F,""),"")</f>
        <v>Operativo</v>
      </c>
      <c r="I697" s="46" t="str">
        <f>IFERROR(_xlfn.XLOOKUP(G697,Listas!E:E,Listas!G:G,""),"")</f>
        <v>Externo</v>
      </c>
      <c r="J697" s="43">
        <v>609.70000000000005</v>
      </c>
      <c r="K697" s="5">
        <f t="shared" si="10"/>
        <v>-609.70000000000005</v>
      </c>
      <c r="L697" s="15" t="s">
        <v>132</v>
      </c>
      <c r="M697" s="44">
        <f>SUMIFS('Saldos Iniciales'!$D:$D,'Saldos Iniciales'!$A:$A,C697,'Saldos Iniciales'!$B:$B,D697)+SUMIFS($K$1:$K$1324,$C$1:$C$1324,C697,$D$1:$D$1324,D697,$B$1:$B$1324,"&lt;="&amp;B697)</f>
        <v>4535.07</v>
      </c>
      <c r="N697" s="61" t="str">
        <f>IF(tblMovimientos[[#This Row],[Tipo de Movimiento]]="Ingreso",tblMovimientos[[#This Row],[Monto (S/)]],"0")</f>
        <v>0</v>
      </c>
      <c r="O697" s="61">
        <f>IF(tblMovimientos[[#This Row],[Tipo de Movimiento]]="Egreso",tblMovimientos[[#This Row],[Monto (S/)]],"0")</f>
        <v>609.70000000000005</v>
      </c>
      <c r="P697" s="28">
        <f>IF(tblMovimientos[[#This Row],[Tipo de Movimiento]]="Ingreso",tblMovimientos[[#This Row],[Ingreso]],-tblMovimientos[[#This Row],[Egreso]])</f>
        <v>-609.70000000000005</v>
      </c>
      <c r="Q697" s="78" t="str">
        <f>_xlfn.XLOOKUP(tblMovimientos[[#This Row],[Cuenta Bancaria]],Cuentas!$C:$C,Cuentas!$A:$A,"")&amp;""</f>
        <v>SSP Group</v>
      </c>
      <c r="R697" s="78" t="str">
        <f>_xlfn.XLOOKUP(tblMovimientos[[#This Row],[Cuenta Bancaria]],Cuentas!$C:$C,Cuentas!$B:$B,"",0,-1)&amp;""</f>
        <v/>
      </c>
    </row>
    <row r="698" spans="2:18" x14ac:dyDescent="0.3">
      <c r="B698" s="39">
        <v>46238</v>
      </c>
      <c r="C698" s="4" t="str">
        <f>_xlfn.XLOOKUP(tblMovimientos[[#This Row],[Cuenta Bancaria]],Listas!$B:$B,Listas!$A:$A,"")</f>
        <v>Cross Family Trust</v>
      </c>
      <c r="D698" s="41" t="s">
        <v>110</v>
      </c>
      <c r="E698" s="68" t="str">
        <f>_xlfn.XLOOKUP(tblMovimientos[[#This Row],[Cuenta Bancaria]],Listas!$B:$B,Listas!$C:$C,"")</f>
        <v>Bank of America</v>
      </c>
      <c r="F698" s="41" t="s">
        <v>10</v>
      </c>
      <c r="G698" s="41" t="s">
        <v>38</v>
      </c>
      <c r="H698" s="4" t="str">
        <f>IFERROR(_xlfn.XLOOKUP(G698,Listas!E:E,Listas!F:F,""),"")</f>
        <v>Operativo</v>
      </c>
      <c r="I698" s="46" t="str">
        <f>IFERROR(_xlfn.XLOOKUP(G698,Listas!E:E,Listas!G:G,""),"")</f>
        <v>Externo</v>
      </c>
      <c r="J698" s="43">
        <v>6000</v>
      </c>
      <c r="K698" s="5">
        <f t="shared" si="10"/>
        <v>-6000</v>
      </c>
      <c r="L698" s="15" t="s">
        <v>132</v>
      </c>
      <c r="M698" s="44">
        <f>SUMIFS('Saldos Iniciales'!$D:$D,'Saldos Iniciales'!$A:$A,C698,'Saldos Iniciales'!$B:$B,D698)+SUMIFS($K$1:$K$1324,$C$1:$C$1324,C698,$D$1:$D$1324,D698,$B$1:$B$1324,"&lt;="&amp;B698)</f>
        <v>39206.89</v>
      </c>
      <c r="N698" s="61" t="str">
        <f>IF(tblMovimientos[[#This Row],[Tipo de Movimiento]]="Ingreso",tblMovimientos[[#This Row],[Monto (S/)]],"0")</f>
        <v>0</v>
      </c>
      <c r="O698" s="61">
        <f>IF(tblMovimientos[[#This Row],[Tipo de Movimiento]]="Egreso",tblMovimientos[[#This Row],[Monto (S/)]],"0")</f>
        <v>6000</v>
      </c>
      <c r="P698" s="28">
        <f>IF(tblMovimientos[[#This Row],[Tipo de Movimiento]]="Ingreso",tblMovimientos[[#This Row],[Ingreso]],-tblMovimientos[[#This Row],[Egreso]])</f>
        <v>-6000</v>
      </c>
      <c r="Q698" s="78" t="str">
        <f>_xlfn.XLOOKUP(tblMovimientos[[#This Row],[Cuenta Bancaria]],Cuentas!$C:$C,Cuentas!$A:$A,"")&amp;""</f>
        <v>SSP Group</v>
      </c>
      <c r="R698" s="78" t="str">
        <f>_xlfn.XLOOKUP(tblMovimientos[[#This Row],[Cuenta Bancaria]],Cuentas!$C:$C,Cuentas!$B:$B,"",0,-1)&amp;""</f>
        <v>Trust</v>
      </c>
    </row>
    <row r="699" spans="2:18" x14ac:dyDescent="0.3">
      <c r="B699" s="39">
        <v>46238</v>
      </c>
      <c r="C699" s="4" t="str">
        <f>_xlfn.XLOOKUP(tblMovimientos[[#This Row],[Cuenta Bancaria]],Listas!$B:$B,Listas!$A:$A,"")</f>
        <v>Go Blue</v>
      </c>
      <c r="D699" s="41" t="s">
        <v>165</v>
      </c>
      <c r="E699" s="68" t="str">
        <f>_xlfn.XLOOKUP(tblMovimientos[[#This Row],[Cuenta Bancaria]],Listas!$B:$B,Listas!$C:$C,"")</f>
        <v xml:space="preserve">Amerant Bank </v>
      </c>
      <c r="F699" s="41" t="s">
        <v>10</v>
      </c>
      <c r="G699" s="41" t="s">
        <v>38</v>
      </c>
      <c r="H699" s="4" t="str">
        <f>IFERROR(_xlfn.XLOOKUP(G699,Listas!E:E,Listas!F:F,""),"")</f>
        <v>Operativo</v>
      </c>
      <c r="I699" s="46" t="str">
        <f>IFERROR(_xlfn.XLOOKUP(G699,Listas!E:E,Listas!G:G,""),"")</f>
        <v>Externo</v>
      </c>
      <c r="J699" s="43">
        <v>390.93</v>
      </c>
      <c r="K699" s="5">
        <f t="shared" si="10"/>
        <v>-390.93</v>
      </c>
      <c r="L699" s="15" t="s">
        <v>132</v>
      </c>
      <c r="M699" s="44">
        <f>SUMIFS('Saldos Iniciales'!$D:$D,'Saldos Iniciales'!$A:$A,C699,'Saldos Iniciales'!$B:$B,D699)+SUMIFS($K$1:$K$1324,$C$1:$C$1324,C699,$D$1:$D$1324,D699,$B$1:$B$1324,"&lt;="&amp;B699)</f>
        <v>2285.2900000000022</v>
      </c>
      <c r="N699" s="61" t="str">
        <f>IF(tblMovimientos[[#This Row],[Tipo de Movimiento]]="Ingreso",tblMovimientos[[#This Row],[Monto (S/)]],"0")</f>
        <v>0</v>
      </c>
      <c r="O699" s="61">
        <f>IF(tblMovimientos[[#This Row],[Tipo de Movimiento]]="Egreso",tblMovimientos[[#This Row],[Monto (S/)]],"0")</f>
        <v>390.93</v>
      </c>
      <c r="P699" s="28">
        <f>IF(tblMovimientos[[#This Row],[Tipo de Movimiento]]="Ingreso",tblMovimientos[[#This Row],[Ingreso]],-tblMovimientos[[#This Row],[Egreso]])</f>
        <v>-390.93</v>
      </c>
      <c r="Q699" s="78" t="str">
        <f>_xlfn.XLOOKUP(tblMovimientos[[#This Row],[Cuenta Bancaria]],Cuentas!$C:$C,Cuentas!$A:$A,"")&amp;""</f>
        <v>SSP Group</v>
      </c>
      <c r="R699" s="78" t="str">
        <f>_xlfn.XLOOKUP(tblMovimientos[[#This Row],[Cuenta Bancaria]],Cuentas!$C:$C,Cuentas!$B:$B,"",0,-1)&amp;""</f>
        <v/>
      </c>
    </row>
    <row r="700" spans="2:18" x14ac:dyDescent="0.3">
      <c r="B700" s="39">
        <v>46239</v>
      </c>
      <c r="C700" s="4" t="str">
        <f>_xlfn.XLOOKUP(tblMovimientos[[#This Row],[Cuenta Bancaria]],Listas!$B:$B,Listas!$A:$A,"")</f>
        <v>SSP Capital</v>
      </c>
      <c r="D700" s="41" t="s">
        <v>101</v>
      </c>
      <c r="E700" s="68" t="str">
        <f>_xlfn.XLOOKUP(tblMovimientos[[#This Row],[Cuenta Bancaria]],Listas!$B:$B,Listas!$C:$C,"")</f>
        <v>Bank of America</v>
      </c>
      <c r="F700" s="41" t="s">
        <v>9</v>
      </c>
      <c r="G700" s="41" t="s">
        <v>69</v>
      </c>
      <c r="H700" s="4" t="str">
        <f>IFERROR(_xlfn.XLOOKUP(G700,Listas!E:E,Listas!F:F,""),"")</f>
        <v>Operativo</v>
      </c>
      <c r="I700" s="46" t="str">
        <f>IFERROR(_xlfn.XLOOKUP(G700,Listas!E:E,Listas!G:G,""),"")</f>
        <v>Interno</v>
      </c>
      <c r="J700" s="43">
        <v>4000</v>
      </c>
      <c r="K700" s="5">
        <f t="shared" si="10"/>
        <v>4000</v>
      </c>
      <c r="L700" s="15" t="s">
        <v>132</v>
      </c>
      <c r="M700" s="44">
        <f>SUMIFS('Saldos Iniciales'!$D:$D,'Saldos Iniciales'!$A:$A,C700,'Saldos Iniciales'!$B:$B,D700)+SUMIFS($K$1:$K$1324,$C$1:$C$1324,C700,$D$1:$D$1324,D700,$B$1:$B$1324,"&lt;="&amp;B700)</f>
        <v>2855.2900000000009</v>
      </c>
      <c r="N700" s="61">
        <f>IF(tblMovimientos[[#This Row],[Tipo de Movimiento]]="Ingreso",tblMovimientos[[#This Row],[Monto (S/)]],"0")</f>
        <v>4000</v>
      </c>
      <c r="O700" s="61" t="str">
        <f>IF(tblMovimientos[[#This Row],[Tipo de Movimiento]]="Egreso",tblMovimientos[[#This Row],[Monto (S/)]],"0")</f>
        <v>0</v>
      </c>
      <c r="P700" s="28">
        <f>IF(tblMovimientos[[#This Row],[Tipo de Movimiento]]="Ingreso",tblMovimientos[[#This Row],[Ingreso]],-tblMovimientos[[#This Row],[Egreso]])</f>
        <v>4000</v>
      </c>
      <c r="Q700" s="78" t="str">
        <f>_xlfn.XLOOKUP(tblMovimientos[[#This Row],[Cuenta Bancaria]],Cuentas!$C:$C,Cuentas!$A:$A,"")&amp;""</f>
        <v>SSP Group</v>
      </c>
      <c r="R700" s="78" t="str">
        <f>_xlfn.XLOOKUP(tblMovimientos[[#This Row],[Cuenta Bancaria]],Cuentas!$C:$C,Cuentas!$B:$B,"",0,-1)&amp;""</f>
        <v/>
      </c>
    </row>
    <row r="701" spans="2:18" x14ac:dyDescent="0.3">
      <c r="B701" s="39">
        <v>46239</v>
      </c>
      <c r="C701" s="4" t="str">
        <f>_xlfn.XLOOKUP(tblMovimientos[[#This Row],[Cuenta Bancaria]],Listas!$B:$B,Listas!$A:$A,"")</f>
        <v>SSP Capital</v>
      </c>
      <c r="D701" s="41" t="s">
        <v>101</v>
      </c>
      <c r="E701" s="68" t="str">
        <f>_xlfn.XLOOKUP(tblMovimientos[[#This Row],[Cuenta Bancaria]],Listas!$B:$B,Listas!$C:$C,"")</f>
        <v>Bank of America</v>
      </c>
      <c r="F701" s="41" t="s">
        <v>9</v>
      </c>
      <c r="G701" s="41" t="s">
        <v>69</v>
      </c>
      <c r="H701" s="4" t="str">
        <f>IFERROR(_xlfn.XLOOKUP(G701,Listas!E:E,Listas!F:F,""),"")</f>
        <v>Operativo</v>
      </c>
      <c r="I701" s="46" t="str">
        <f>IFERROR(_xlfn.XLOOKUP(G701,Listas!E:E,Listas!G:G,""),"")</f>
        <v>Interno</v>
      </c>
      <c r="J701" s="43">
        <v>2000</v>
      </c>
      <c r="K701" s="5">
        <f t="shared" si="10"/>
        <v>2000</v>
      </c>
      <c r="L701" s="15" t="s">
        <v>132</v>
      </c>
      <c r="M701" s="44">
        <f>SUMIFS('Saldos Iniciales'!$D:$D,'Saldos Iniciales'!$A:$A,C701,'Saldos Iniciales'!$B:$B,D701)+SUMIFS($K$1:$K$1324,$C$1:$C$1324,C701,$D$1:$D$1324,D701,$B$1:$B$1324,"&lt;="&amp;B701)</f>
        <v>2855.2900000000009</v>
      </c>
      <c r="N701" s="61">
        <f>IF(tblMovimientos[[#This Row],[Tipo de Movimiento]]="Ingreso",tblMovimientos[[#This Row],[Monto (S/)]],"0")</f>
        <v>2000</v>
      </c>
      <c r="O701" s="61" t="str">
        <f>IF(tblMovimientos[[#This Row],[Tipo de Movimiento]]="Egreso",tblMovimientos[[#This Row],[Monto (S/)]],"0")</f>
        <v>0</v>
      </c>
      <c r="P701" s="28">
        <f>IF(tblMovimientos[[#This Row],[Tipo de Movimiento]]="Ingreso",tblMovimientos[[#This Row],[Ingreso]],-tblMovimientos[[#This Row],[Egreso]])</f>
        <v>2000</v>
      </c>
      <c r="Q701" s="78" t="str">
        <f>_xlfn.XLOOKUP(tblMovimientos[[#This Row],[Cuenta Bancaria]],Cuentas!$C:$C,Cuentas!$A:$A,"")&amp;""</f>
        <v>SSP Group</v>
      </c>
      <c r="R701" s="78" t="str">
        <f>_xlfn.XLOOKUP(tblMovimientos[[#This Row],[Cuenta Bancaria]],Cuentas!$C:$C,Cuentas!$B:$B,"",0,-1)&amp;""</f>
        <v/>
      </c>
    </row>
    <row r="702" spans="2:18" x14ac:dyDescent="0.3">
      <c r="B702" s="39">
        <v>46239</v>
      </c>
      <c r="C702" s="4" t="str">
        <f>_xlfn.XLOOKUP(tblMovimientos[[#This Row],[Cuenta Bancaria]],Listas!$B:$B,Listas!$A:$A,"")</f>
        <v>SSP Capital</v>
      </c>
      <c r="D702" s="41" t="s">
        <v>101</v>
      </c>
      <c r="E702" s="68" t="str">
        <f>_xlfn.XLOOKUP(tblMovimientos[[#This Row],[Cuenta Bancaria]],Listas!$B:$B,Listas!$C:$C,"")</f>
        <v>Bank of America</v>
      </c>
      <c r="F702" s="41" t="s">
        <v>10</v>
      </c>
      <c r="G702" s="41" t="s">
        <v>41</v>
      </c>
      <c r="H702" s="4" t="str">
        <f>IFERROR(_xlfn.XLOOKUP(G702,Listas!E:E,Listas!F:F,""),"")</f>
        <v>Operativo</v>
      </c>
      <c r="I702" s="46" t="str">
        <f>IFERROR(_xlfn.XLOOKUP(G702,Listas!E:E,Listas!G:G,""),"")</f>
        <v>Externo</v>
      </c>
      <c r="J702" s="43">
        <v>7679.78</v>
      </c>
      <c r="K702" s="5">
        <f t="shared" si="10"/>
        <v>-7679.78</v>
      </c>
      <c r="L702" s="15" t="s">
        <v>132</v>
      </c>
      <c r="M702" s="44">
        <f>SUMIFS('Saldos Iniciales'!$D:$D,'Saldos Iniciales'!$A:$A,C702,'Saldos Iniciales'!$B:$B,D702)+SUMIFS($K$1:$K$1324,$C$1:$C$1324,C702,$D$1:$D$1324,D702,$B$1:$B$1324,"&lt;="&amp;B702)</f>
        <v>2855.2900000000009</v>
      </c>
      <c r="N702" s="61" t="str">
        <f>IF(tblMovimientos[[#This Row],[Tipo de Movimiento]]="Ingreso",tblMovimientos[[#This Row],[Monto (S/)]],"0")</f>
        <v>0</v>
      </c>
      <c r="O702" s="61">
        <f>IF(tblMovimientos[[#This Row],[Tipo de Movimiento]]="Egreso",tblMovimientos[[#This Row],[Monto (S/)]],"0")</f>
        <v>7679.78</v>
      </c>
      <c r="P702" s="28">
        <f>IF(tblMovimientos[[#This Row],[Tipo de Movimiento]]="Ingreso",tblMovimientos[[#This Row],[Ingreso]],-tblMovimientos[[#This Row],[Egreso]])</f>
        <v>-7679.78</v>
      </c>
      <c r="Q702" s="78" t="str">
        <f>_xlfn.XLOOKUP(tblMovimientos[[#This Row],[Cuenta Bancaria]],Cuentas!$C:$C,Cuentas!$A:$A,"")&amp;""</f>
        <v>SSP Group</v>
      </c>
      <c r="R702" s="78" t="str">
        <f>_xlfn.XLOOKUP(tblMovimientos[[#This Row],[Cuenta Bancaria]],Cuentas!$C:$C,Cuentas!$B:$B,"",0,-1)&amp;""</f>
        <v/>
      </c>
    </row>
    <row r="703" spans="2:18" x14ac:dyDescent="0.3">
      <c r="B703" s="39">
        <v>46239</v>
      </c>
      <c r="C703" s="4" t="str">
        <f>_xlfn.XLOOKUP(tblMovimientos[[#This Row],[Cuenta Bancaria]],Listas!$B:$B,Listas!$A:$A,"")</f>
        <v>A&amp;M Imports</v>
      </c>
      <c r="D703" s="41" t="s">
        <v>100</v>
      </c>
      <c r="E703" s="68" t="str">
        <f>_xlfn.XLOOKUP(tblMovimientos[[#This Row],[Cuenta Bancaria]],Listas!$B:$B,Listas!$C:$C,"")</f>
        <v>Bank of America</v>
      </c>
      <c r="F703" s="41" t="s">
        <v>10</v>
      </c>
      <c r="G703" s="41" t="s">
        <v>48</v>
      </c>
      <c r="H703" s="4" t="str">
        <f>IFERROR(_xlfn.XLOOKUP(G703,Listas!E:E,Listas!F:F,""),"")</f>
        <v>Financiamiento</v>
      </c>
      <c r="I703" s="46" t="str">
        <f>IFERROR(_xlfn.XLOOKUP(G703,Listas!E:E,Listas!G:G,""),"")</f>
        <v>Externo</v>
      </c>
      <c r="J703" s="43">
        <v>4000</v>
      </c>
      <c r="K703" s="5">
        <f t="shared" si="10"/>
        <v>-4000</v>
      </c>
      <c r="L703" s="15" t="s">
        <v>132</v>
      </c>
      <c r="M703" s="44">
        <f>SUMIFS('Saldos Iniciales'!$D:$D,'Saldos Iniciales'!$A:$A,C703,'Saldos Iniciales'!$B:$B,D703)+SUMIFS($K$1:$K$1324,$C$1:$C$1324,C703,$D$1:$D$1324,D703,$B$1:$B$1324,"&lt;="&amp;B703)</f>
        <v>1452426.0399999998</v>
      </c>
      <c r="N703" s="61" t="str">
        <f>IF(tblMovimientos[[#This Row],[Tipo de Movimiento]]="Ingreso",tblMovimientos[[#This Row],[Monto (S/)]],"0")</f>
        <v>0</v>
      </c>
      <c r="O703" s="61">
        <f>IF(tblMovimientos[[#This Row],[Tipo de Movimiento]]="Egreso",tblMovimientos[[#This Row],[Monto (S/)]],"0")</f>
        <v>4000</v>
      </c>
      <c r="P703" s="28">
        <f>IF(tblMovimientos[[#This Row],[Tipo de Movimiento]]="Ingreso",tblMovimientos[[#This Row],[Ingreso]],-tblMovimientos[[#This Row],[Egreso]])</f>
        <v>-4000</v>
      </c>
      <c r="Q703" s="78" t="str">
        <f>_xlfn.XLOOKUP(tblMovimientos[[#This Row],[Cuenta Bancaria]],Cuentas!$C:$C,Cuentas!$A:$A,"")&amp;""</f>
        <v>SSP Group</v>
      </c>
      <c r="R703" s="78" t="str">
        <f>_xlfn.XLOOKUP(tblMovimientos[[#This Row],[Cuenta Bancaria]],Cuentas!$C:$C,Cuentas!$B:$B,"",0,-1)&amp;""</f>
        <v/>
      </c>
    </row>
    <row r="704" spans="2:18" x14ac:dyDescent="0.3">
      <c r="B704" s="39">
        <v>46239</v>
      </c>
      <c r="C704" s="4" t="str">
        <f>_xlfn.XLOOKUP(tblMovimientos[[#This Row],[Cuenta Bancaria]],Listas!$B:$B,Listas!$A:$A,"")</f>
        <v>A&amp;M Imports</v>
      </c>
      <c r="D704" s="41" t="s">
        <v>100</v>
      </c>
      <c r="E704" s="68" t="str">
        <f>_xlfn.XLOOKUP(tblMovimientos[[#This Row],[Cuenta Bancaria]],Listas!$B:$B,Listas!$C:$C,"")</f>
        <v>Bank of America</v>
      </c>
      <c r="F704" s="41" t="s">
        <v>10</v>
      </c>
      <c r="G704" s="41" t="s">
        <v>48</v>
      </c>
      <c r="H704" s="4" t="str">
        <f>IFERROR(_xlfn.XLOOKUP(G704,Listas!E:E,Listas!F:F,""),"")</f>
        <v>Financiamiento</v>
      </c>
      <c r="I704" s="46" t="str">
        <f>IFERROR(_xlfn.XLOOKUP(G704,Listas!E:E,Listas!G:G,""),"")</f>
        <v>Externo</v>
      </c>
      <c r="J704" s="43">
        <v>2000</v>
      </c>
      <c r="K704" s="5">
        <f t="shared" si="10"/>
        <v>-2000</v>
      </c>
      <c r="L704" s="15" t="s">
        <v>132</v>
      </c>
      <c r="M704" s="44">
        <f>SUMIFS('Saldos Iniciales'!$D:$D,'Saldos Iniciales'!$A:$A,C704,'Saldos Iniciales'!$B:$B,D704)+SUMIFS($K$1:$K$1324,$C$1:$C$1324,C704,$D$1:$D$1324,D704,$B$1:$B$1324,"&lt;="&amp;B704)</f>
        <v>1452426.0399999998</v>
      </c>
      <c r="N704" s="61" t="str">
        <f>IF(tblMovimientos[[#This Row],[Tipo de Movimiento]]="Ingreso",tblMovimientos[[#This Row],[Monto (S/)]],"0")</f>
        <v>0</v>
      </c>
      <c r="O704" s="61">
        <f>IF(tblMovimientos[[#This Row],[Tipo de Movimiento]]="Egreso",tblMovimientos[[#This Row],[Monto (S/)]],"0")</f>
        <v>2000</v>
      </c>
      <c r="P704" s="28">
        <f>IF(tblMovimientos[[#This Row],[Tipo de Movimiento]]="Ingreso",tblMovimientos[[#This Row],[Ingreso]],-tblMovimientos[[#This Row],[Egreso]])</f>
        <v>-2000</v>
      </c>
      <c r="Q704" s="78" t="str">
        <f>_xlfn.XLOOKUP(tblMovimientos[[#This Row],[Cuenta Bancaria]],Cuentas!$C:$C,Cuentas!$A:$A,"")&amp;""</f>
        <v>SSP Group</v>
      </c>
      <c r="R704" s="78" t="str">
        <f>_xlfn.XLOOKUP(tblMovimientos[[#This Row],[Cuenta Bancaria]],Cuentas!$C:$C,Cuentas!$B:$B,"",0,-1)&amp;""</f>
        <v/>
      </c>
    </row>
    <row r="705" spans="2:18" x14ac:dyDescent="0.3">
      <c r="B705" s="39">
        <v>46239</v>
      </c>
      <c r="C705" s="4" t="str">
        <f>_xlfn.XLOOKUP(tblMovimientos[[#This Row],[Cuenta Bancaria]],Listas!$B:$B,Listas!$A:$A,"")</f>
        <v>Electrama</v>
      </c>
      <c r="D705" s="41" t="s">
        <v>113</v>
      </c>
      <c r="E705" s="68" t="str">
        <f>_xlfn.XLOOKUP(tblMovimientos[[#This Row],[Cuenta Bancaria]],Listas!$B:$B,Listas!$C:$C,"")</f>
        <v>Chase Bank</v>
      </c>
      <c r="F705" s="41" t="s">
        <v>10</v>
      </c>
      <c r="G705" s="41" t="s">
        <v>44</v>
      </c>
      <c r="H705" s="4" t="str">
        <f>IFERROR(_xlfn.XLOOKUP(G705,Listas!E:E,Listas!F:F,""),"")</f>
        <v>Operativo</v>
      </c>
      <c r="I705" s="46" t="str">
        <f>IFERROR(_xlfn.XLOOKUP(G705,Listas!E:E,Listas!G:G,""),"")</f>
        <v>Externo</v>
      </c>
      <c r="J705" s="43">
        <v>40</v>
      </c>
      <c r="K705" s="5">
        <f t="shared" si="10"/>
        <v>-40</v>
      </c>
      <c r="L705" s="15" t="s">
        <v>132</v>
      </c>
      <c r="M705" s="44">
        <f>SUMIFS('Saldos Iniciales'!$D:$D,'Saldos Iniciales'!$A:$A,C705,'Saldos Iniciales'!$B:$B,D705)+SUMIFS($K$1:$K$1324,$C$1:$C$1324,C705,$D$1:$D$1324,D705,$B$1:$B$1324,"&lt;="&amp;B705)</f>
        <v>14540.45</v>
      </c>
      <c r="N705" s="61" t="str">
        <f>IF(tblMovimientos[[#This Row],[Tipo de Movimiento]]="Ingreso",tblMovimientos[[#This Row],[Monto (S/)]],"0")</f>
        <v>0</v>
      </c>
      <c r="O705" s="61">
        <f>IF(tblMovimientos[[#This Row],[Tipo de Movimiento]]="Egreso",tblMovimientos[[#This Row],[Monto (S/)]],"0")</f>
        <v>40</v>
      </c>
      <c r="P705" s="28">
        <f>IF(tblMovimientos[[#This Row],[Tipo de Movimiento]]="Ingreso",tblMovimientos[[#This Row],[Ingreso]],-tblMovimientos[[#This Row],[Egreso]])</f>
        <v>-40</v>
      </c>
      <c r="Q705" s="78" t="str">
        <f>_xlfn.XLOOKUP(tblMovimientos[[#This Row],[Cuenta Bancaria]],Cuentas!$C:$C,Cuentas!$A:$A,"")&amp;""</f>
        <v>SSP Group</v>
      </c>
      <c r="R705" s="78" t="str">
        <f>_xlfn.XLOOKUP(tblMovimientos[[#This Row],[Cuenta Bancaria]],Cuentas!$C:$C,Cuentas!$B:$B,"",0,-1)&amp;""</f>
        <v/>
      </c>
    </row>
    <row r="706" spans="2:18" x14ac:dyDescent="0.3">
      <c r="B706" s="39">
        <v>46240</v>
      </c>
      <c r="C706" s="4" t="str">
        <f>_xlfn.XLOOKUP(tblMovimientos[[#This Row],[Cuenta Bancaria]],Listas!$B:$B,Listas!$A:$A,"")</f>
        <v>SSP Capital</v>
      </c>
      <c r="D706" s="41" t="s">
        <v>101</v>
      </c>
      <c r="E706" s="68" t="str">
        <f>_xlfn.XLOOKUP(tblMovimientos[[#This Row],[Cuenta Bancaria]],Listas!$B:$B,Listas!$C:$C,"")</f>
        <v>Bank of America</v>
      </c>
      <c r="F706" s="41" t="s">
        <v>9</v>
      </c>
      <c r="G706" s="41" t="s">
        <v>85</v>
      </c>
      <c r="H706" s="4" t="str">
        <f>IFERROR(_xlfn.XLOOKUP(G706,Listas!E:E,Listas!F:F,""),"")</f>
        <v>Operativo</v>
      </c>
      <c r="I706" s="46" t="str">
        <f>IFERROR(_xlfn.XLOOKUP(G706,Listas!E:E,Listas!G:G,""),"")</f>
        <v>Interno</v>
      </c>
      <c r="J706" s="43">
        <v>20000</v>
      </c>
      <c r="K706" s="5">
        <f t="shared" ref="K706:K769" si="11">IF(F706="Ingreso",J706,-J706)</f>
        <v>20000</v>
      </c>
      <c r="L706" s="15" t="s">
        <v>132</v>
      </c>
      <c r="M706" s="44">
        <f>SUMIFS('Saldos Iniciales'!$D:$D,'Saldos Iniciales'!$A:$A,C706,'Saldos Iniciales'!$B:$B,D706)+SUMIFS($K$1:$K$1324,$C$1:$C$1324,C706,$D$1:$D$1324,D706,$B$1:$B$1324,"&lt;="&amp;B706)</f>
        <v>32135.440000000002</v>
      </c>
      <c r="N706" s="61">
        <f>IF(tblMovimientos[[#This Row],[Tipo de Movimiento]]="Ingreso",tblMovimientos[[#This Row],[Monto (S/)]],"0")</f>
        <v>20000</v>
      </c>
      <c r="O706" s="61" t="str">
        <f>IF(tblMovimientos[[#This Row],[Tipo de Movimiento]]="Egreso",tblMovimientos[[#This Row],[Monto (S/)]],"0")</f>
        <v>0</v>
      </c>
      <c r="P706" s="28">
        <f>IF(tblMovimientos[[#This Row],[Tipo de Movimiento]]="Ingreso",tblMovimientos[[#This Row],[Ingreso]],-tblMovimientos[[#This Row],[Egreso]])</f>
        <v>20000</v>
      </c>
      <c r="Q706" s="78" t="str">
        <f>_xlfn.XLOOKUP(tblMovimientos[[#This Row],[Cuenta Bancaria]],Cuentas!$C:$C,Cuentas!$A:$A,"")&amp;""</f>
        <v>SSP Group</v>
      </c>
      <c r="R706" s="78" t="str">
        <f>_xlfn.XLOOKUP(tblMovimientos[[#This Row],[Cuenta Bancaria]],Cuentas!$C:$C,Cuentas!$B:$B,"",0,-1)&amp;""</f>
        <v/>
      </c>
    </row>
    <row r="707" spans="2:18" x14ac:dyDescent="0.3">
      <c r="B707" s="39">
        <v>46240</v>
      </c>
      <c r="C707" s="4" t="str">
        <f>_xlfn.XLOOKUP(tblMovimientos[[#This Row],[Cuenta Bancaria]],Listas!$B:$B,Listas!$A:$A,"")</f>
        <v>SSP Capital</v>
      </c>
      <c r="D707" s="41" t="s">
        <v>101</v>
      </c>
      <c r="E707" s="68" t="str">
        <f>_xlfn.XLOOKUP(tblMovimientos[[#This Row],[Cuenta Bancaria]],Listas!$B:$B,Listas!$C:$C,"")</f>
        <v>Bank of America</v>
      </c>
      <c r="F707" s="41" t="s">
        <v>9</v>
      </c>
      <c r="G707" s="41" t="s">
        <v>69</v>
      </c>
      <c r="H707" s="4" t="str">
        <f>IFERROR(_xlfn.XLOOKUP(G707,Listas!E:E,Listas!F:F,""),"")</f>
        <v>Operativo</v>
      </c>
      <c r="I707" s="46" t="str">
        <f>IFERROR(_xlfn.XLOOKUP(G707,Listas!E:E,Listas!G:G,""),"")</f>
        <v>Interno</v>
      </c>
      <c r="J707" s="43">
        <v>9280.15</v>
      </c>
      <c r="K707" s="5">
        <f t="shared" si="11"/>
        <v>9280.15</v>
      </c>
      <c r="L707" s="15" t="s">
        <v>132</v>
      </c>
      <c r="M707" s="44">
        <f>SUMIFS('Saldos Iniciales'!$D:$D,'Saldos Iniciales'!$A:$A,C707,'Saldos Iniciales'!$B:$B,D707)+SUMIFS($K$1:$K$1324,$C$1:$C$1324,C707,$D$1:$D$1324,D707,$B$1:$B$1324,"&lt;="&amp;B707)</f>
        <v>32135.440000000002</v>
      </c>
      <c r="N707" s="61">
        <f>IF(tblMovimientos[[#This Row],[Tipo de Movimiento]]="Ingreso",tblMovimientos[[#This Row],[Monto (S/)]],"0")</f>
        <v>9280.15</v>
      </c>
      <c r="O707" s="61" t="str">
        <f>IF(tblMovimientos[[#This Row],[Tipo de Movimiento]]="Egreso",tblMovimientos[[#This Row],[Monto (S/)]],"0")</f>
        <v>0</v>
      </c>
      <c r="P707" s="28">
        <f>IF(tblMovimientos[[#This Row],[Tipo de Movimiento]]="Ingreso",tblMovimientos[[#This Row],[Ingreso]],-tblMovimientos[[#This Row],[Egreso]])</f>
        <v>9280.15</v>
      </c>
      <c r="Q707" s="78" t="str">
        <f>_xlfn.XLOOKUP(tblMovimientos[[#This Row],[Cuenta Bancaria]],Cuentas!$C:$C,Cuentas!$A:$A,"")&amp;""</f>
        <v>SSP Group</v>
      </c>
      <c r="R707" s="78" t="str">
        <f>_xlfn.XLOOKUP(tblMovimientos[[#This Row],[Cuenta Bancaria]],Cuentas!$C:$C,Cuentas!$B:$B,"",0,-1)&amp;""</f>
        <v/>
      </c>
    </row>
    <row r="708" spans="2:18" x14ac:dyDescent="0.3">
      <c r="B708" s="39">
        <v>46240</v>
      </c>
      <c r="C708" s="4" t="str">
        <f>_xlfn.XLOOKUP(tblMovimientos[[#This Row],[Cuenta Bancaria]],Listas!$B:$B,Listas!$A:$A,"")</f>
        <v>A&amp;M Imports</v>
      </c>
      <c r="D708" s="41" t="s">
        <v>100</v>
      </c>
      <c r="E708" s="68" t="str">
        <f>_xlfn.XLOOKUP(tblMovimientos[[#This Row],[Cuenta Bancaria]],Listas!$B:$B,Listas!$C:$C,"")</f>
        <v>Bank of America</v>
      </c>
      <c r="F708" s="41" t="s">
        <v>10</v>
      </c>
      <c r="G708" s="41" t="s">
        <v>61</v>
      </c>
      <c r="H708" s="4" t="str">
        <f>IFERROR(_xlfn.XLOOKUP(G708,Listas!E:E,Listas!F:F,""),"")</f>
        <v>Operativo</v>
      </c>
      <c r="I708" s="46" t="str">
        <f>IFERROR(_xlfn.XLOOKUP(G708,Listas!E:E,Listas!G:G,""),"")</f>
        <v>Externo</v>
      </c>
      <c r="J708" s="43">
        <v>60000</v>
      </c>
      <c r="K708" s="5">
        <f t="shared" si="11"/>
        <v>-60000</v>
      </c>
      <c r="L708" s="15" t="s">
        <v>132</v>
      </c>
      <c r="M708" s="44">
        <f>SUMIFS('Saldos Iniciales'!$D:$D,'Saldos Iniciales'!$A:$A,C708,'Saldos Iniciales'!$B:$B,D708)+SUMIFS($K$1:$K$1324,$C$1:$C$1324,C708,$D$1:$D$1324,D708,$B$1:$B$1324,"&lt;="&amp;B708)</f>
        <v>1349451.94</v>
      </c>
      <c r="N708" s="61" t="str">
        <f>IF(tblMovimientos[[#This Row],[Tipo de Movimiento]]="Ingreso",tblMovimientos[[#This Row],[Monto (S/)]],"0")</f>
        <v>0</v>
      </c>
      <c r="O708" s="61">
        <f>IF(tblMovimientos[[#This Row],[Tipo de Movimiento]]="Egreso",tblMovimientos[[#This Row],[Monto (S/)]],"0")</f>
        <v>60000</v>
      </c>
      <c r="P708" s="28">
        <f>IF(tblMovimientos[[#This Row],[Tipo de Movimiento]]="Ingreso",tblMovimientos[[#This Row],[Ingreso]],-tblMovimientos[[#This Row],[Egreso]])</f>
        <v>-60000</v>
      </c>
      <c r="Q708" s="78" t="str">
        <f>_xlfn.XLOOKUP(tblMovimientos[[#This Row],[Cuenta Bancaria]],Cuentas!$C:$C,Cuentas!$A:$A,"")&amp;""</f>
        <v>SSP Group</v>
      </c>
      <c r="R708" s="78" t="str">
        <f>_xlfn.XLOOKUP(tblMovimientos[[#This Row],[Cuenta Bancaria]],Cuentas!$C:$C,Cuentas!$B:$B,"",0,-1)&amp;""</f>
        <v/>
      </c>
    </row>
    <row r="709" spans="2:18" x14ac:dyDescent="0.3">
      <c r="B709" s="39">
        <v>46240</v>
      </c>
      <c r="C709" s="4" t="str">
        <f>_xlfn.XLOOKUP(tblMovimientos[[#This Row],[Cuenta Bancaria]],Listas!$B:$B,Listas!$A:$A,"")</f>
        <v>A&amp;M Imports</v>
      </c>
      <c r="D709" s="41" t="s">
        <v>100</v>
      </c>
      <c r="E709" s="68" t="str">
        <f>_xlfn.XLOOKUP(tblMovimientos[[#This Row],[Cuenta Bancaria]],Listas!$B:$B,Listas!$C:$C,"")</f>
        <v>Bank of America</v>
      </c>
      <c r="F709" s="41" t="s">
        <v>10</v>
      </c>
      <c r="G709" s="41" t="s">
        <v>48</v>
      </c>
      <c r="H709" s="4" t="str">
        <f>IFERROR(_xlfn.XLOOKUP(G709,Listas!E:E,Listas!F:F,""),"")</f>
        <v>Financiamiento</v>
      </c>
      <c r="I709" s="46" t="str">
        <f>IFERROR(_xlfn.XLOOKUP(G709,Listas!E:E,Listas!G:G,""),"")</f>
        <v>Externo</v>
      </c>
      <c r="J709" s="43">
        <v>9280.15</v>
      </c>
      <c r="K709" s="5">
        <f t="shared" si="11"/>
        <v>-9280.15</v>
      </c>
      <c r="L709" s="15" t="s">
        <v>132</v>
      </c>
      <c r="M709" s="44">
        <f>SUMIFS('Saldos Iniciales'!$D:$D,'Saldos Iniciales'!$A:$A,C709,'Saldos Iniciales'!$B:$B,D709)+SUMIFS($K$1:$K$1324,$C$1:$C$1324,C709,$D$1:$D$1324,D709,$B$1:$B$1324,"&lt;="&amp;B709)</f>
        <v>1349451.94</v>
      </c>
      <c r="N709" s="61" t="str">
        <f>IF(tblMovimientos[[#This Row],[Tipo de Movimiento]]="Ingreso",tblMovimientos[[#This Row],[Monto (S/)]],"0")</f>
        <v>0</v>
      </c>
      <c r="O709" s="61">
        <f>IF(tblMovimientos[[#This Row],[Tipo de Movimiento]]="Egreso",tblMovimientos[[#This Row],[Monto (S/)]],"0")</f>
        <v>9280.15</v>
      </c>
      <c r="P709" s="28">
        <f>IF(tblMovimientos[[#This Row],[Tipo de Movimiento]]="Ingreso",tblMovimientos[[#This Row],[Ingreso]],-tblMovimientos[[#This Row],[Egreso]])</f>
        <v>-9280.15</v>
      </c>
      <c r="Q709" s="78" t="str">
        <f>_xlfn.XLOOKUP(tblMovimientos[[#This Row],[Cuenta Bancaria]],Cuentas!$C:$C,Cuentas!$A:$A,"")&amp;""</f>
        <v>SSP Group</v>
      </c>
      <c r="R709" s="78" t="str">
        <f>_xlfn.XLOOKUP(tblMovimientos[[#This Row],[Cuenta Bancaria]],Cuentas!$C:$C,Cuentas!$B:$B,"",0,-1)&amp;""</f>
        <v/>
      </c>
    </row>
    <row r="710" spans="2:18" x14ac:dyDescent="0.3">
      <c r="B710" s="39">
        <v>46240</v>
      </c>
      <c r="C710" s="4" t="str">
        <f>_xlfn.XLOOKUP(tblMovimientos[[#This Row],[Cuenta Bancaria]],Listas!$B:$B,Listas!$A:$A,"")</f>
        <v>A&amp;M Imports</v>
      </c>
      <c r="D710" s="41" t="s">
        <v>100</v>
      </c>
      <c r="E710" s="68" t="str">
        <f>_xlfn.XLOOKUP(tblMovimientos[[#This Row],[Cuenta Bancaria]],Listas!$B:$B,Listas!$C:$C,"")</f>
        <v>Bank of America</v>
      </c>
      <c r="F710" s="41" t="s">
        <v>10</v>
      </c>
      <c r="G710" s="41" t="s">
        <v>48</v>
      </c>
      <c r="H710" s="4" t="str">
        <f>IFERROR(_xlfn.XLOOKUP(G710,Listas!E:E,Listas!F:F,""),"")</f>
        <v>Financiamiento</v>
      </c>
      <c r="I710" s="46" t="str">
        <f>IFERROR(_xlfn.XLOOKUP(G710,Listas!E:E,Listas!G:G,""),"")</f>
        <v>Externo</v>
      </c>
      <c r="J710" s="43">
        <v>33693.949999999997</v>
      </c>
      <c r="K710" s="5">
        <f t="shared" si="11"/>
        <v>-33693.949999999997</v>
      </c>
      <c r="L710" s="15" t="s">
        <v>132</v>
      </c>
      <c r="M710" s="44">
        <f>SUMIFS('Saldos Iniciales'!$D:$D,'Saldos Iniciales'!$A:$A,C710,'Saldos Iniciales'!$B:$B,D710)+SUMIFS($K$1:$K$1324,$C$1:$C$1324,C710,$D$1:$D$1324,D710,$B$1:$B$1324,"&lt;="&amp;B710)</f>
        <v>1349451.94</v>
      </c>
      <c r="N710" s="61" t="str">
        <f>IF(tblMovimientos[[#This Row],[Tipo de Movimiento]]="Ingreso",tblMovimientos[[#This Row],[Monto (S/)]],"0")</f>
        <v>0</v>
      </c>
      <c r="O710" s="61">
        <f>IF(tblMovimientos[[#This Row],[Tipo de Movimiento]]="Egreso",tblMovimientos[[#This Row],[Monto (S/)]],"0")</f>
        <v>33693.949999999997</v>
      </c>
      <c r="P710" s="28">
        <f>IF(tblMovimientos[[#This Row],[Tipo de Movimiento]]="Ingreso",tblMovimientos[[#This Row],[Ingreso]],-tblMovimientos[[#This Row],[Egreso]])</f>
        <v>-33693.949999999997</v>
      </c>
      <c r="Q710" s="78" t="str">
        <f>_xlfn.XLOOKUP(tblMovimientos[[#This Row],[Cuenta Bancaria]],Cuentas!$C:$C,Cuentas!$A:$A,"")&amp;""</f>
        <v>SSP Group</v>
      </c>
      <c r="R710" s="78" t="str">
        <f>_xlfn.XLOOKUP(tblMovimientos[[#This Row],[Cuenta Bancaria]],Cuentas!$C:$C,Cuentas!$B:$B,"",0,-1)&amp;""</f>
        <v/>
      </c>
    </row>
    <row r="711" spans="2:18" x14ac:dyDescent="0.3">
      <c r="B711" s="39">
        <v>46240</v>
      </c>
      <c r="C711" s="4" t="str">
        <f>_xlfn.XLOOKUP(tblMovimientos[[#This Row],[Cuenta Bancaria]],Listas!$B:$B,Listas!$A:$A,"")</f>
        <v>CFT Group</v>
      </c>
      <c r="D711" s="41" t="s">
        <v>95</v>
      </c>
      <c r="E711" s="68" t="str">
        <f>_xlfn.XLOOKUP(tblMovimientos[[#This Row],[Cuenta Bancaria]],Listas!$B:$B,Listas!$C:$C,"")</f>
        <v xml:space="preserve">Amerant Bank </v>
      </c>
      <c r="F711" s="41" t="s">
        <v>10</v>
      </c>
      <c r="G711" s="41" t="s">
        <v>46</v>
      </c>
      <c r="H711" s="4" t="str">
        <f>IFERROR(_xlfn.XLOOKUP(G711,Listas!E:E,Listas!F:F,""),"")</f>
        <v>Financiamiento</v>
      </c>
      <c r="I711" s="46" t="str">
        <f>IFERROR(_xlfn.XLOOKUP(G711,Listas!E:E,Listas!G:G,""),"")</f>
        <v>Externo</v>
      </c>
      <c r="J711" s="43">
        <v>2975</v>
      </c>
      <c r="K711" s="5">
        <f t="shared" si="11"/>
        <v>-2975</v>
      </c>
      <c r="L711" s="15" t="s">
        <v>132</v>
      </c>
      <c r="M711" s="44">
        <f>SUMIFS('Saldos Iniciales'!$D:$D,'Saldos Iniciales'!$A:$A,C711,'Saldos Iniciales'!$B:$B,D711)+SUMIFS($K$1:$K$1324,$C$1:$C$1324,C711,$D$1:$D$1324,D711,$B$1:$B$1324,"&lt;="&amp;B711)</f>
        <v>915269.68000000063</v>
      </c>
      <c r="N711" s="61" t="str">
        <f>IF(tblMovimientos[[#This Row],[Tipo de Movimiento]]="Ingreso",tblMovimientos[[#This Row],[Monto (S/)]],"0")</f>
        <v>0</v>
      </c>
      <c r="O711" s="61">
        <f>IF(tblMovimientos[[#This Row],[Tipo de Movimiento]]="Egreso",tblMovimientos[[#This Row],[Monto (S/)]],"0")</f>
        <v>2975</v>
      </c>
      <c r="P711" s="28">
        <f>IF(tblMovimientos[[#This Row],[Tipo de Movimiento]]="Ingreso",tblMovimientos[[#This Row],[Ingreso]],-tblMovimientos[[#This Row],[Egreso]])</f>
        <v>-2975</v>
      </c>
      <c r="Q711" s="78" t="str">
        <f>_xlfn.XLOOKUP(tblMovimientos[[#This Row],[Cuenta Bancaria]],Cuentas!$C:$C,Cuentas!$A:$A,"")&amp;""</f>
        <v>SSP Group</v>
      </c>
      <c r="R711" s="78" t="str">
        <f>_xlfn.XLOOKUP(tblMovimientos[[#This Row],[Cuenta Bancaria]],Cuentas!$C:$C,Cuentas!$B:$B,"",0,-1)&amp;""</f>
        <v/>
      </c>
    </row>
    <row r="712" spans="2:18" x14ac:dyDescent="0.3">
      <c r="B712" s="39">
        <v>46240</v>
      </c>
      <c r="C712" s="4" t="str">
        <f>_xlfn.XLOOKUP(tblMovimientos[[#This Row],[Cuenta Bancaria]],Listas!$B:$B,Listas!$A:$A,"")</f>
        <v>CFT Group</v>
      </c>
      <c r="D712" s="41" t="s">
        <v>95</v>
      </c>
      <c r="E712" s="68" t="str">
        <f>_xlfn.XLOOKUP(tblMovimientos[[#This Row],[Cuenta Bancaria]],Listas!$B:$B,Listas!$C:$C,"")</f>
        <v xml:space="preserve">Amerant Bank </v>
      </c>
      <c r="F712" s="41" t="s">
        <v>10</v>
      </c>
      <c r="G712" s="41" t="s">
        <v>46</v>
      </c>
      <c r="H712" s="4" t="str">
        <f>IFERROR(_xlfn.XLOOKUP(G712,Listas!E:E,Listas!F:F,""),"")</f>
        <v>Financiamiento</v>
      </c>
      <c r="I712" s="46" t="str">
        <f>IFERROR(_xlfn.XLOOKUP(G712,Listas!E:E,Listas!G:G,""),"")</f>
        <v>Externo</v>
      </c>
      <c r="J712" s="43">
        <v>11666.67</v>
      </c>
      <c r="K712" s="5">
        <f t="shared" si="11"/>
        <v>-11666.67</v>
      </c>
      <c r="L712" s="15" t="s">
        <v>132</v>
      </c>
      <c r="M712" s="44">
        <f>SUMIFS('Saldos Iniciales'!$D:$D,'Saldos Iniciales'!$A:$A,C712,'Saldos Iniciales'!$B:$B,D712)+SUMIFS($K$1:$K$1324,$C$1:$C$1324,C712,$D$1:$D$1324,D712,$B$1:$B$1324,"&lt;="&amp;B712)</f>
        <v>915269.68000000063</v>
      </c>
      <c r="N712" s="61" t="str">
        <f>IF(tblMovimientos[[#This Row],[Tipo de Movimiento]]="Ingreso",tblMovimientos[[#This Row],[Monto (S/)]],"0")</f>
        <v>0</v>
      </c>
      <c r="O712" s="61">
        <f>IF(tblMovimientos[[#This Row],[Tipo de Movimiento]]="Egreso",tblMovimientos[[#This Row],[Monto (S/)]],"0")</f>
        <v>11666.67</v>
      </c>
      <c r="P712" s="28">
        <f>IF(tblMovimientos[[#This Row],[Tipo de Movimiento]]="Ingreso",tblMovimientos[[#This Row],[Ingreso]],-tblMovimientos[[#This Row],[Egreso]])</f>
        <v>-11666.67</v>
      </c>
      <c r="Q712" s="78" t="str">
        <f>_xlfn.XLOOKUP(tblMovimientos[[#This Row],[Cuenta Bancaria]],Cuentas!$C:$C,Cuentas!$A:$A,"")&amp;""</f>
        <v>SSP Group</v>
      </c>
      <c r="R712" s="78" t="str">
        <f>_xlfn.XLOOKUP(tblMovimientos[[#This Row],[Cuenta Bancaria]],Cuentas!$C:$C,Cuentas!$B:$B,"",0,-1)&amp;""</f>
        <v/>
      </c>
    </row>
    <row r="713" spans="2:18" x14ac:dyDescent="0.3">
      <c r="B713" s="39">
        <v>46240</v>
      </c>
      <c r="C713" s="4" t="str">
        <f>_xlfn.XLOOKUP(tblMovimientos[[#This Row],[Cuenta Bancaria]],Listas!$B:$B,Listas!$A:$A,"")</f>
        <v>CFT Group</v>
      </c>
      <c r="D713" s="41" t="s">
        <v>95</v>
      </c>
      <c r="E713" s="68" t="str">
        <f>_xlfn.XLOOKUP(tblMovimientos[[#This Row],[Cuenta Bancaria]],Listas!$B:$B,Listas!$C:$C,"")</f>
        <v xml:space="preserve">Amerant Bank </v>
      </c>
      <c r="F713" s="41" t="s">
        <v>10</v>
      </c>
      <c r="G713" s="41" t="s">
        <v>61</v>
      </c>
      <c r="H713" s="4" t="str">
        <f>IFERROR(_xlfn.XLOOKUP(G713,Listas!E:E,Listas!F:F,""),"")</f>
        <v>Operativo</v>
      </c>
      <c r="I713" s="46" t="str">
        <f>IFERROR(_xlfn.XLOOKUP(G713,Listas!E:E,Listas!G:G,""),"")</f>
        <v>Externo</v>
      </c>
      <c r="J713" s="43">
        <v>45000</v>
      </c>
      <c r="K713" s="5">
        <f t="shared" si="11"/>
        <v>-45000</v>
      </c>
      <c r="L713" s="15" t="s">
        <v>132</v>
      </c>
      <c r="M713" s="44">
        <f>SUMIFS('Saldos Iniciales'!$D:$D,'Saldos Iniciales'!$A:$A,C713,'Saldos Iniciales'!$B:$B,D713)+SUMIFS($K$1:$K$1324,$C$1:$C$1324,C713,$D$1:$D$1324,D713,$B$1:$B$1324,"&lt;="&amp;B713)</f>
        <v>915269.68000000063</v>
      </c>
      <c r="N713" s="61" t="str">
        <f>IF(tblMovimientos[[#This Row],[Tipo de Movimiento]]="Ingreso",tblMovimientos[[#This Row],[Monto (S/)]],"0")</f>
        <v>0</v>
      </c>
      <c r="O713" s="61">
        <f>IF(tblMovimientos[[#This Row],[Tipo de Movimiento]]="Egreso",tblMovimientos[[#This Row],[Monto (S/)]],"0")</f>
        <v>45000</v>
      </c>
      <c r="P713" s="28">
        <f>IF(tblMovimientos[[#This Row],[Tipo de Movimiento]]="Ingreso",tblMovimientos[[#This Row],[Ingreso]],-tblMovimientos[[#This Row],[Egreso]])</f>
        <v>-45000</v>
      </c>
      <c r="Q713" s="78" t="str">
        <f>_xlfn.XLOOKUP(tblMovimientos[[#This Row],[Cuenta Bancaria]],Cuentas!$C:$C,Cuentas!$A:$A,"")&amp;""</f>
        <v>SSP Group</v>
      </c>
      <c r="R713" s="78" t="str">
        <f>_xlfn.XLOOKUP(tblMovimientos[[#This Row],[Cuenta Bancaria]],Cuentas!$C:$C,Cuentas!$B:$B,"",0,-1)&amp;""</f>
        <v/>
      </c>
    </row>
    <row r="714" spans="2:18" x14ac:dyDescent="0.3">
      <c r="B714" s="39">
        <v>46240</v>
      </c>
      <c r="C714" s="4" t="str">
        <f>_xlfn.XLOOKUP(tblMovimientos[[#This Row],[Cuenta Bancaria]],Listas!$B:$B,Listas!$A:$A,"")</f>
        <v>CFT Group</v>
      </c>
      <c r="D714" s="41" t="s">
        <v>95</v>
      </c>
      <c r="E714" s="68" t="str">
        <f>_xlfn.XLOOKUP(tblMovimientos[[#This Row],[Cuenta Bancaria]],Listas!$B:$B,Listas!$C:$C,"")</f>
        <v xml:space="preserve">Amerant Bank </v>
      </c>
      <c r="F714" s="41" t="s">
        <v>10</v>
      </c>
      <c r="G714" s="41" t="s">
        <v>61</v>
      </c>
      <c r="H714" s="4" t="str">
        <f>IFERROR(_xlfn.XLOOKUP(G714,Listas!E:E,Listas!F:F,""),"")</f>
        <v>Operativo</v>
      </c>
      <c r="I714" s="46" t="str">
        <f>IFERROR(_xlfn.XLOOKUP(G714,Listas!E:E,Listas!G:G,""),"")</f>
        <v>Externo</v>
      </c>
      <c r="J714" s="43">
        <v>75000</v>
      </c>
      <c r="K714" s="5">
        <f t="shared" si="11"/>
        <v>-75000</v>
      </c>
      <c r="L714" s="15" t="s">
        <v>132</v>
      </c>
      <c r="M714" s="44">
        <f>SUMIFS('Saldos Iniciales'!$D:$D,'Saldos Iniciales'!$A:$A,C714,'Saldos Iniciales'!$B:$B,D714)+SUMIFS($K$1:$K$1324,$C$1:$C$1324,C714,$D$1:$D$1324,D714,$B$1:$B$1324,"&lt;="&amp;B714)</f>
        <v>915269.68000000063</v>
      </c>
      <c r="N714" s="61" t="str">
        <f>IF(tblMovimientos[[#This Row],[Tipo de Movimiento]]="Ingreso",tblMovimientos[[#This Row],[Monto (S/)]],"0")</f>
        <v>0</v>
      </c>
      <c r="O714" s="61">
        <f>IF(tblMovimientos[[#This Row],[Tipo de Movimiento]]="Egreso",tblMovimientos[[#This Row],[Monto (S/)]],"0")</f>
        <v>75000</v>
      </c>
      <c r="P714" s="28">
        <f>IF(tblMovimientos[[#This Row],[Tipo de Movimiento]]="Ingreso",tblMovimientos[[#This Row],[Ingreso]],-tblMovimientos[[#This Row],[Egreso]])</f>
        <v>-75000</v>
      </c>
      <c r="Q714" s="78" t="str">
        <f>_xlfn.XLOOKUP(tblMovimientos[[#This Row],[Cuenta Bancaria]],Cuentas!$C:$C,Cuentas!$A:$A,"")&amp;""</f>
        <v>SSP Group</v>
      </c>
      <c r="R714" s="78" t="str">
        <f>_xlfn.XLOOKUP(tblMovimientos[[#This Row],[Cuenta Bancaria]],Cuentas!$C:$C,Cuentas!$B:$B,"",0,-1)&amp;""</f>
        <v/>
      </c>
    </row>
    <row r="715" spans="2:18" x14ac:dyDescent="0.3">
      <c r="B715" s="39">
        <v>46240</v>
      </c>
      <c r="C715" s="4" t="str">
        <f>_xlfn.XLOOKUP(tblMovimientos[[#This Row],[Cuenta Bancaria]],Listas!$B:$B,Listas!$A:$A,"")</f>
        <v>CFT Group</v>
      </c>
      <c r="D715" s="41" t="s">
        <v>95</v>
      </c>
      <c r="E715" s="68" t="str">
        <f>_xlfn.XLOOKUP(tblMovimientos[[#This Row],[Cuenta Bancaria]],Listas!$B:$B,Listas!$C:$C,"")</f>
        <v xml:space="preserve">Amerant Bank </v>
      </c>
      <c r="F715" s="41" t="s">
        <v>10</v>
      </c>
      <c r="G715" s="41" t="s">
        <v>61</v>
      </c>
      <c r="H715" s="4" t="str">
        <f>IFERROR(_xlfn.XLOOKUP(G715,Listas!E:E,Listas!F:F,""),"")</f>
        <v>Operativo</v>
      </c>
      <c r="I715" s="46" t="str">
        <f>IFERROR(_xlfn.XLOOKUP(G715,Listas!E:E,Listas!G:G,""),"")</f>
        <v>Externo</v>
      </c>
      <c r="J715" s="43">
        <v>80000</v>
      </c>
      <c r="K715" s="5">
        <f t="shared" si="11"/>
        <v>-80000</v>
      </c>
      <c r="L715" s="15" t="s">
        <v>132</v>
      </c>
      <c r="M715" s="44">
        <f>SUMIFS('Saldos Iniciales'!$D:$D,'Saldos Iniciales'!$A:$A,C715,'Saldos Iniciales'!$B:$B,D715)+SUMIFS($K$1:$K$1324,$C$1:$C$1324,C715,$D$1:$D$1324,D715,$B$1:$B$1324,"&lt;="&amp;B715)</f>
        <v>915269.68000000063</v>
      </c>
      <c r="N715" s="61" t="str">
        <f>IF(tblMovimientos[[#This Row],[Tipo de Movimiento]]="Ingreso",tblMovimientos[[#This Row],[Monto (S/)]],"0")</f>
        <v>0</v>
      </c>
      <c r="O715" s="61">
        <f>IF(tblMovimientos[[#This Row],[Tipo de Movimiento]]="Egreso",tblMovimientos[[#This Row],[Monto (S/)]],"0")</f>
        <v>80000</v>
      </c>
      <c r="P715" s="28">
        <f>IF(tblMovimientos[[#This Row],[Tipo de Movimiento]]="Ingreso",tblMovimientos[[#This Row],[Ingreso]],-tblMovimientos[[#This Row],[Egreso]])</f>
        <v>-80000</v>
      </c>
      <c r="Q715" s="78" t="str">
        <f>_xlfn.XLOOKUP(tblMovimientos[[#This Row],[Cuenta Bancaria]],Cuentas!$C:$C,Cuentas!$A:$A,"")&amp;""</f>
        <v>SSP Group</v>
      </c>
      <c r="R715" s="78" t="str">
        <f>_xlfn.XLOOKUP(tblMovimientos[[#This Row],[Cuenta Bancaria]],Cuentas!$C:$C,Cuentas!$B:$B,"",0,-1)&amp;""</f>
        <v/>
      </c>
    </row>
    <row r="716" spans="2:18" x14ac:dyDescent="0.3">
      <c r="B716" s="39">
        <v>46240</v>
      </c>
      <c r="C716" s="4" t="str">
        <f>_xlfn.XLOOKUP(tblMovimientos[[#This Row],[Cuenta Bancaria]],Listas!$B:$B,Listas!$A:$A,"")</f>
        <v>CFT Group</v>
      </c>
      <c r="D716" s="41" t="s">
        <v>95</v>
      </c>
      <c r="E716" s="68" t="str">
        <f>_xlfn.XLOOKUP(tblMovimientos[[#This Row],[Cuenta Bancaria]],Listas!$B:$B,Listas!$C:$C,"")</f>
        <v xml:space="preserve">Amerant Bank </v>
      </c>
      <c r="F716" s="41" t="s">
        <v>10</v>
      </c>
      <c r="G716" s="41" t="s">
        <v>61</v>
      </c>
      <c r="H716" s="4" t="str">
        <f>IFERROR(_xlfn.XLOOKUP(G716,Listas!E:E,Listas!F:F,""),"")</f>
        <v>Operativo</v>
      </c>
      <c r="I716" s="46" t="str">
        <f>IFERROR(_xlfn.XLOOKUP(G716,Listas!E:E,Listas!G:G,""),"")</f>
        <v>Externo</v>
      </c>
      <c r="J716" s="43">
        <v>100000</v>
      </c>
      <c r="K716" s="5">
        <f t="shared" si="11"/>
        <v>-100000</v>
      </c>
      <c r="L716" s="15" t="s">
        <v>132</v>
      </c>
      <c r="M716" s="44">
        <f>SUMIFS('Saldos Iniciales'!$D:$D,'Saldos Iniciales'!$A:$A,C716,'Saldos Iniciales'!$B:$B,D716)+SUMIFS($K$1:$K$1324,$C$1:$C$1324,C716,$D$1:$D$1324,D716,$B$1:$B$1324,"&lt;="&amp;B716)</f>
        <v>915269.68000000063</v>
      </c>
      <c r="N716" s="61" t="str">
        <f>IF(tblMovimientos[[#This Row],[Tipo de Movimiento]]="Ingreso",tblMovimientos[[#This Row],[Monto (S/)]],"0")</f>
        <v>0</v>
      </c>
      <c r="O716" s="61">
        <f>IF(tblMovimientos[[#This Row],[Tipo de Movimiento]]="Egreso",tblMovimientos[[#This Row],[Monto (S/)]],"0")</f>
        <v>100000</v>
      </c>
      <c r="P716" s="28">
        <f>IF(tblMovimientos[[#This Row],[Tipo de Movimiento]]="Ingreso",tblMovimientos[[#This Row],[Ingreso]],-tblMovimientos[[#This Row],[Egreso]])</f>
        <v>-100000</v>
      </c>
      <c r="Q716" s="78" t="str">
        <f>_xlfn.XLOOKUP(tblMovimientos[[#This Row],[Cuenta Bancaria]],Cuentas!$C:$C,Cuentas!$A:$A,"")&amp;""</f>
        <v>SSP Group</v>
      </c>
      <c r="R716" s="78" t="str">
        <f>_xlfn.XLOOKUP(tblMovimientos[[#This Row],[Cuenta Bancaria]],Cuentas!$C:$C,Cuentas!$B:$B,"",0,-1)&amp;""</f>
        <v/>
      </c>
    </row>
    <row r="717" spans="2:18" x14ac:dyDescent="0.3">
      <c r="B717" s="39">
        <v>46240</v>
      </c>
      <c r="C717" s="4" t="str">
        <f>_xlfn.XLOOKUP(tblMovimientos[[#This Row],[Cuenta Bancaria]],Listas!$B:$B,Listas!$A:$A,"")</f>
        <v>CFT Group</v>
      </c>
      <c r="D717" s="41" t="s">
        <v>95</v>
      </c>
      <c r="E717" s="68" t="str">
        <f>_xlfn.XLOOKUP(tblMovimientos[[#This Row],[Cuenta Bancaria]],Listas!$B:$B,Listas!$C:$C,"")</f>
        <v xml:space="preserve">Amerant Bank </v>
      </c>
      <c r="F717" s="41" t="s">
        <v>10</v>
      </c>
      <c r="G717" s="41" t="s">
        <v>61</v>
      </c>
      <c r="H717" s="4" t="str">
        <f>IFERROR(_xlfn.XLOOKUP(G717,Listas!E:E,Listas!F:F,""),"")</f>
        <v>Operativo</v>
      </c>
      <c r="I717" s="46" t="str">
        <f>IFERROR(_xlfn.XLOOKUP(G717,Listas!E:E,Listas!G:G,""),"")</f>
        <v>Externo</v>
      </c>
      <c r="J717" s="43">
        <v>100000</v>
      </c>
      <c r="K717" s="5">
        <f t="shared" si="11"/>
        <v>-100000</v>
      </c>
      <c r="L717" s="15" t="s">
        <v>132</v>
      </c>
      <c r="M717" s="44">
        <f>SUMIFS('Saldos Iniciales'!$D:$D,'Saldos Iniciales'!$A:$A,C717,'Saldos Iniciales'!$B:$B,D717)+SUMIFS($K$1:$K$1324,$C$1:$C$1324,C717,$D$1:$D$1324,D717,$B$1:$B$1324,"&lt;="&amp;B717)</f>
        <v>915269.68000000063</v>
      </c>
      <c r="N717" s="61" t="str">
        <f>IF(tblMovimientos[[#This Row],[Tipo de Movimiento]]="Ingreso",tblMovimientos[[#This Row],[Monto (S/)]],"0")</f>
        <v>0</v>
      </c>
      <c r="O717" s="61">
        <f>IF(tblMovimientos[[#This Row],[Tipo de Movimiento]]="Egreso",tblMovimientos[[#This Row],[Monto (S/)]],"0")</f>
        <v>100000</v>
      </c>
      <c r="P717" s="28">
        <f>IF(tblMovimientos[[#This Row],[Tipo de Movimiento]]="Ingreso",tblMovimientos[[#This Row],[Ingreso]],-tblMovimientos[[#This Row],[Egreso]])</f>
        <v>-100000</v>
      </c>
      <c r="Q717" s="78" t="str">
        <f>_xlfn.XLOOKUP(tblMovimientos[[#This Row],[Cuenta Bancaria]],Cuentas!$C:$C,Cuentas!$A:$A,"")&amp;""</f>
        <v>SSP Group</v>
      </c>
      <c r="R717" s="78" t="str">
        <f>_xlfn.XLOOKUP(tblMovimientos[[#This Row],[Cuenta Bancaria]],Cuentas!$C:$C,Cuentas!$B:$B,"",0,-1)&amp;""</f>
        <v/>
      </c>
    </row>
    <row r="718" spans="2:18" x14ac:dyDescent="0.3">
      <c r="B718" s="39">
        <v>46240</v>
      </c>
      <c r="C718" s="4" t="str">
        <f>_xlfn.XLOOKUP(tblMovimientos[[#This Row],[Cuenta Bancaria]],Listas!$B:$B,Listas!$A:$A,"")</f>
        <v>CFT Group</v>
      </c>
      <c r="D718" s="41" t="s">
        <v>95</v>
      </c>
      <c r="E718" s="68" t="str">
        <f>_xlfn.XLOOKUP(tblMovimientos[[#This Row],[Cuenta Bancaria]],Listas!$B:$B,Listas!$C:$C,"")</f>
        <v xml:space="preserve">Amerant Bank </v>
      </c>
      <c r="F718" s="41" t="s">
        <v>10</v>
      </c>
      <c r="G718" s="41" t="s">
        <v>61</v>
      </c>
      <c r="H718" s="4" t="str">
        <f>IFERROR(_xlfn.XLOOKUP(G718,Listas!E:E,Listas!F:F,""),"")</f>
        <v>Operativo</v>
      </c>
      <c r="I718" s="46" t="str">
        <f>IFERROR(_xlfn.XLOOKUP(G718,Listas!E:E,Listas!G:G,""),"")</f>
        <v>Externo</v>
      </c>
      <c r="J718" s="43">
        <v>100000</v>
      </c>
      <c r="K718" s="5">
        <f t="shared" si="11"/>
        <v>-100000</v>
      </c>
      <c r="L718" s="15" t="s">
        <v>132</v>
      </c>
      <c r="M718" s="44">
        <f>SUMIFS('Saldos Iniciales'!$D:$D,'Saldos Iniciales'!$A:$A,C718,'Saldos Iniciales'!$B:$B,D718)+SUMIFS($K$1:$K$1324,$C$1:$C$1324,C718,$D$1:$D$1324,D718,$B$1:$B$1324,"&lt;="&amp;B718)</f>
        <v>915269.68000000063</v>
      </c>
      <c r="N718" s="61" t="str">
        <f>IF(tblMovimientos[[#This Row],[Tipo de Movimiento]]="Ingreso",tblMovimientos[[#This Row],[Monto (S/)]],"0")</f>
        <v>0</v>
      </c>
      <c r="O718" s="61">
        <f>IF(tblMovimientos[[#This Row],[Tipo de Movimiento]]="Egreso",tblMovimientos[[#This Row],[Monto (S/)]],"0")</f>
        <v>100000</v>
      </c>
      <c r="P718" s="28">
        <f>IF(tblMovimientos[[#This Row],[Tipo de Movimiento]]="Ingreso",tblMovimientos[[#This Row],[Ingreso]],-tblMovimientos[[#This Row],[Egreso]])</f>
        <v>-100000</v>
      </c>
      <c r="Q718" s="78" t="str">
        <f>_xlfn.XLOOKUP(tblMovimientos[[#This Row],[Cuenta Bancaria]],Cuentas!$C:$C,Cuentas!$A:$A,"")&amp;""</f>
        <v>SSP Group</v>
      </c>
      <c r="R718" s="78" t="str">
        <f>_xlfn.XLOOKUP(tblMovimientos[[#This Row],[Cuenta Bancaria]],Cuentas!$C:$C,Cuentas!$B:$B,"",0,-1)&amp;""</f>
        <v/>
      </c>
    </row>
    <row r="719" spans="2:18" x14ac:dyDescent="0.3">
      <c r="B719" s="39">
        <v>46240</v>
      </c>
      <c r="C719" s="4" t="str">
        <f>_xlfn.XLOOKUP(tblMovimientos[[#This Row],[Cuenta Bancaria]],Listas!$B:$B,Listas!$A:$A,"")</f>
        <v>CFT Group</v>
      </c>
      <c r="D719" s="41" t="s">
        <v>95</v>
      </c>
      <c r="E719" s="68" t="str">
        <f>_xlfn.XLOOKUP(tblMovimientos[[#This Row],[Cuenta Bancaria]],Listas!$B:$B,Listas!$C:$C,"")</f>
        <v xml:space="preserve">Amerant Bank </v>
      </c>
      <c r="F719" s="41" t="s">
        <v>10</v>
      </c>
      <c r="G719" s="41" t="s">
        <v>61</v>
      </c>
      <c r="H719" s="4" t="str">
        <f>IFERROR(_xlfn.XLOOKUP(G719,Listas!E:E,Listas!F:F,""),"")</f>
        <v>Operativo</v>
      </c>
      <c r="I719" s="46" t="str">
        <f>IFERROR(_xlfn.XLOOKUP(G719,Listas!E:E,Listas!G:G,""),"")</f>
        <v>Externo</v>
      </c>
      <c r="J719" s="43">
        <v>200000</v>
      </c>
      <c r="K719" s="5">
        <f t="shared" si="11"/>
        <v>-200000</v>
      </c>
      <c r="L719" s="15" t="s">
        <v>132</v>
      </c>
      <c r="M719" s="44">
        <f>SUMIFS('Saldos Iniciales'!$D:$D,'Saldos Iniciales'!$A:$A,C719,'Saldos Iniciales'!$B:$B,D719)+SUMIFS($K$1:$K$1324,$C$1:$C$1324,C719,$D$1:$D$1324,D719,$B$1:$B$1324,"&lt;="&amp;B719)</f>
        <v>915269.68000000063</v>
      </c>
      <c r="N719" s="61" t="str">
        <f>IF(tblMovimientos[[#This Row],[Tipo de Movimiento]]="Ingreso",tblMovimientos[[#This Row],[Monto (S/)]],"0")</f>
        <v>0</v>
      </c>
      <c r="O719" s="61">
        <f>IF(tblMovimientos[[#This Row],[Tipo de Movimiento]]="Egreso",tblMovimientos[[#This Row],[Monto (S/)]],"0")</f>
        <v>200000</v>
      </c>
      <c r="P719" s="28">
        <f>IF(tblMovimientos[[#This Row],[Tipo de Movimiento]]="Ingreso",tblMovimientos[[#This Row],[Ingreso]],-tblMovimientos[[#This Row],[Egreso]])</f>
        <v>-200000</v>
      </c>
      <c r="Q719" s="78" t="str">
        <f>_xlfn.XLOOKUP(tblMovimientos[[#This Row],[Cuenta Bancaria]],Cuentas!$C:$C,Cuentas!$A:$A,"")&amp;""</f>
        <v>SSP Group</v>
      </c>
      <c r="R719" s="78" t="str">
        <f>_xlfn.XLOOKUP(tblMovimientos[[#This Row],[Cuenta Bancaria]],Cuentas!$C:$C,Cuentas!$B:$B,"",0,-1)&amp;""</f>
        <v/>
      </c>
    </row>
    <row r="720" spans="2:18" x14ac:dyDescent="0.3">
      <c r="B720" s="39">
        <v>46240</v>
      </c>
      <c r="C720" s="4" t="str">
        <f>_xlfn.XLOOKUP(tblMovimientos[[#This Row],[Cuenta Bancaria]],Listas!$B:$B,Listas!$A:$A,"")</f>
        <v>CFT Group</v>
      </c>
      <c r="D720" s="41" t="s">
        <v>95</v>
      </c>
      <c r="E720" s="68" t="str">
        <f>_xlfn.XLOOKUP(tblMovimientos[[#This Row],[Cuenta Bancaria]],Listas!$B:$B,Listas!$C:$C,"")</f>
        <v xml:space="preserve">Amerant Bank </v>
      </c>
      <c r="F720" s="41" t="s">
        <v>10</v>
      </c>
      <c r="G720" s="41" t="s">
        <v>50</v>
      </c>
      <c r="H720" s="4" t="str">
        <f>IFERROR(_xlfn.XLOOKUP(G720,Listas!E:E,Listas!F:F,""),"")</f>
        <v>Financiamiento</v>
      </c>
      <c r="I720" s="46" t="str">
        <f>IFERROR(_xlfn.XLOOKUP(G720,Listas!E:E,Listas!G:G,""),"")</f>
        <v>Externo</v>
      </c>
      <c r="J720" s="43">
        <v>600000</v>
      </c>
      <c r="K720" s="5">
        <f t="shared" si="11"/>
        <v>-600000</v>
      </c>
      <c r="L720" s="15" t="s">
        <v>132</v>
      </c>
      <c r="M720" s="44">
        <f>SUMIFS('Saldos Iniciales'!$D:$D,'Saldos Iniciales'!$A:$A,C720,'Saldos Iniciales'!$B:$B,D720)+SUMIFS($K$1:$K$1324,$C$1:$C$1324,C720,$D$1:$D$1324,D720,$B$1:$B$1324,"&lt;="&amp;B720)</f>
        <v>915269.68000000063</v>
      </c>
      <c r="N720" s="61" t="str">
        <f>IF(tblMovimientos[[#This Row],[Tipo de Movimiento]]="Ingreso",tblMovimientos[[#This Row],[Monto (S/)]],"0")</f>
        <v>0</v>
      </c>
      <c r="O720" s="61">
        <f>IF(tblMovimientos[[#This Row],[Tipo de Movimiento]]="Egreso",tblMovimientos[[#This Row],[Monto (S/)]],"0")</f>
        <v>600000</v>
      </c>
      <c r="P720" s="28">
        <f>IF(tblMovimientos[[#This Row],[Tipo de Movimiento]]="Ingreso",tblMovimientos[[#This Row],[Ingreso]],-tblMovimientos[[#This Row],[Egreso]])</f>
        <v>-600000</v>
      </c>
      <c r="Q720" s="78" t="str">
        <f>_xlfn.XLOOKUP(tblMovimientos[[#This Row],[Cuenta Bancaria]],Cuentas!$C:$C,Cuentas!$A:$A,"")&amp;""</f>
        <v>SSP Group</v>
      </c>
      <c r="R720" s="78" t="str">
        <f>_xlfn.XLOOKUP(tblMovimientos[[#This Row],[Cuenta Bancaria]],Cuentas!$C:$C,Cuentas!$B:$B,"",0,-1)&amp;""</f>
        <v/>
      </c>
    </row>
    <row r="721" spans="1:18" x14ac:dyDescent="0.3">
      <c r="B721" s="39">
        <v>46240</v>
      </c>
      <c r="C721" s="4" t="str">
        <f>_xlfn.XLOOKUP(tblMovimientos[[#This Row],[Cuenta Bancaria]],Listas!$B:$B,Listas!$A:$A,"")</f>
        <v>Cross Family Trust</v>
      </c>
      <c r="D721" s="41" t="s">
        <v>111</v>
      </c>
      <c r="E721" s="68" t="str">
        <f>_xlfn.XLOOKUP(tblMovimientos[[#This Row],[Cuenta Bancaria]],Listas!$B:$B,Listas!$C:$C,"")</f>
        <v xml:space="preserve">Amerant Bank </v>
      </c>
      <c r="F721" s="41" t="s">
        <v>10</v>
      </c>
      <c r="G721" s="41" t="s">
        <v>53</v>
      </c>
      <c r="H721" s="4" t="str">
        <f>IFERROR(_xlfn.XLOOKUP(G721,Listas!E:E,Listas!F:F,""),"")</f>
        <v>Inversion</v>
      </c>
      <c r="I721" s="46" t="str">
        <f>IFERROR(_xlfn.XLOOKUP(G721,Listas!E:E,Listas!G:G,""),"")</f>
        <v>Interno</v>
      </c>
      <c r="J721" s="43">
        <v>13000</v>
      </c>
      <c r="K721" s="5">
        <f t="shared" si="11"/>
        <v>-13000</v>
      </c>
      <c r="L721" s="15" t="s">
        <v>132</v>
      </c>
      <c r="M721" s="44">
        <f>SUMIFS('Saldos Iniciales'!$D:$D,'Saldos Iniciales'!$A:$A,C721,'Saldos Iniciales'!$B:$B,D721)+SUMIFS($K$1:$K$1324,$C$1:$C$1324,C721,$D$1:$D$1324,D721,$B$1:$B$1324,"&lt;="&amp;B721)</f>
        <v>68717.600000000006</v>
      </c>
      <c r="N721" s="61" t="str">
        <f>IF(tblMovimientos[[#This Row],[Tipo de Movimiento]]="Ingreso",tblMovimientos[[#This Row],[Monto (S/)]],"0")</f>
        <v>0</v>
      </c>
      <c r="O721" s="61">
        <f>IF(tblMovimientos[[#This Row],[Tipo de Movimiento]]="Egreso",tblMovimientos[[#This Row],[Monto (S/)]],"0")</f>
        <v>13000</v>
      </c>
      <c r="P721" s="28">
        <f>IF(tblMovimientos[[#This Row],[Tipo de Movimiento]]="Ingreso",tblMovimientos[[#This Row],[Ingreso]],-tblMovimientos[[#This Row],[Egreso]])</f>
        <v>-13000</v>
      </c>
      <c r="Q721" s="78" t="str">
        <f>_xlfn.XLOOKUP(tblMovimientos[[#This Row],[Cuenta Bancaria]],Cuentas!$C:$C,Cuentas!$A:$A,"")&amp;""</f>
        <v>SSP Group</v>
      </c>
      <c r="R721" s="78" t="str">
        <f>_xlfn.XLOOKUP(tblMovimientos[[#This Row],[Cuenta Bancaria]],Cuentas!$C:$C,Cuentas!$B:$B,"",0,-1)&amp;""</f>
        <v>Trust</v>
      </c>
    </row>
    <row r="722" spans="1:18" x14ac:dyDescent="0.3">
      <c r="B722" s="39">
        <v>46240</v>
      </c>
      <c r="C722" s="4" t="str">
        <f>_xlfn.XLOOKUP(tblMovimientos[[#This Row],[Cuenta Bancaria]],Listas!$B:$B,Listas!$A:$A,"")</f>
        <v>SSP Capital</v>
      </c>
      <c r="D722" s="41" t="s">
        <v>104</v>
      </c>
      <c r="E722" s="68" t="str">
        <f>_xlfn.XLOOKUP(tblMovimientos[[#This Row],[Cuenta Bancaria]],Listas!$B:$B,Listas!$C:$C,"")</f>
        <v xml:space="preserve">Amerant Bank </v>
      </c>
      <c r="F722" s="41" t="s">
        <v>9</v>
      </c>
      <c r="G722" s="41" t="s">
        <v>71</v>
      </c>
      <c r="H722" s="4" t="str">
        <f>IFERROR(_xlfn.XLOOKUP(G722,Listas!E:E,Listas!F:F,""),"")</f>
        <v>Operativo</v>
      </c>
      <c r="I722" s="46" t="str">
        <f>IFERROR(_xlfn.XLOOKUP(G722,Listas!E:E,Listas!G:G,""),"")</f>
        <v>Interno</v>
      </c>
      <c r="J722" s="43">
        <v>600000</v>
      </c>
      <c r="K722" s="5">
        <f t="shared" si="11"/>
        <v>600000</v>
      </c>
      <c r="L722" s="15" t="s">
        <v>132</v>
      </c>
      <c r="M722" s="44">
        <f>SUMIFS('Saldos Iniciales'!$D:$D,'Saldos Iniciales'!$A:$A,C722,'Saldos Iniciales'!$B:$B,D722)+SUMIFS($K$1:$K$1324,$C$1:$C$1324,C722,$D$1:$D$1324,D722,$B$1:$B$1324,"&lt;="&amp;B722)</f>
        <v>1249899.0099999993</v>
      </c>
      <c r="N722" s="61">
        <f>IF(tblMovimientos[[#This Row],[Tipo de Movimiento]]="Ingreso",tblMovimientos[[#This Row],[Monto (S/)]],"0")</f>
        <v>600000</v>
      </c>
      <c r="O722" s="61" t="str">
        <f>IF(tblMovimientos[[#This Row],[Tipo de Movimiento]]="Egreso",tblMovimientos[[#This Row],[Monto (S/)]],"0")</f>
        <v>0</v>
      </c>
      <c r="P722" s="28">
        <f>IF(tblMovimientos[[#This Row],[Tipo de Movimiento]]="Ingreso",tblMovimientos[[#This Row],[Ingreso]],-tblMovimientos[[#This Row],[Egreso]])</f>
        <v>600000</v>
      </c>
      <c r="Q722" s="78" t="str">
        <f>_xlfn.XLOOKUP(tblMovimientos[[#This Row],[Cuenta Bancaria]],Cuentas!$C:$C,Cuentas!$A:$A,"")&amp;""</f>
        <v>SSP Group</v>
      </c>
      <c r="R722" s="78" t="str">
        <f>_xlfn.XLOOKUP(tblMovimientos[[#This Row],[Cuenta Bancaria]],Cuentas!$C:$C,Cuentas!$B:$B,"",0,-1)&amp;""</f>
        <v/>
      </c>
    </row>
    <row r="723" spans="1:18" x14ac:dyDescent="0.3">
      <c r="B723" s="39">
        <v>46240</v>
      </c>
      <c r="C723" s="4" t="str">
        <f>_xlfn.XLOOKUP(tblMovimientos[[#This Row],[Cuenta Bancaria]],Listas!$B:$B,Listas!$A:$A,"")</f>
        <v>SSP Capital</v>
      </c>
      <c r="D723" s="41" t="s">
        <v>104</v>
      </c>
      <c r="E723" s="68" t="str">
        <f>_xlfn.XLOOKUP(tblMovimientos[[#This Row],[Cuenta Bancaria]],Listas!$B:$B,Listas!$C:$C,"")</f>
        <v xml:space="preserve">Amerant Bank </v>
      </c>
      <c r="F723" s="41" t="s">
        <v>10</v>
      </c>
      <c r="G723" s="41" t="s">
        <v>38</v>
      </c>
      <c r="H723" s="4" t="str">
        <f>IFERROR(_xlfn.XLOOKUP(G723,Listas!E:E,Listas!F:F,""),"")</f>
        <v>Operativo</v>
      </c>
      <c r="I723" s="46" t="str">
        <f>IFERROR(_xlfn.XLOOKUP(G723,Listas!E:E,Listas!G:G,""),"")</f>
        <v>Externo</v>
      </c>
      <c r="J723" s="43">
        <v>385</v>
      </c>
      <c r="K723" s="5">
        <f t="shared" si="11"/>
        <v>-385</v>
      </c>
      <c r="L723" s="15" t="s">
        <v>132</v>
      </c>
      <c r="M723" s="44">
        <f>SUMIFS('Saldos Iniciales'!$D:$D,'Saldos Iniciales'!$A:$A,C723,'Saldos Iniciales'!$B:$B,D723)+SUMIFS($K$1:$K$1324,$C$1:$C$1324,C723,$D$1:$D$1324,D723,$B$1:$B$1324,"&lt;="&amp;B723)</f>
        <v>1249899.0099999993</v>
      </c>
      <c r="N723" s="61" t="str">
        <f>IF(tblMovimientos[[#This Row],[Tipo de Movimiento]]="Ingreso",tblMovimientos[[#This Row],[Monto (S/)]],"0")</f>
        <v>0</v>
      </c>
      <c r="O723" s="61">
        <f>IF(tblMovimientos[[#This Row],[Tipo de Movimiento]]="Egreso",tblMovimientos[[#This Row],[Monto (S/)]],"0")</f>
        <v>385</v>
      </c>
      <c r="P723" s="28">
        <f>IF(tblMovimientos[[#This Row],[Tipo de Movimiento]]="Ingreso",tblMovimientos[[#This Row],[Ingreso]],-tblMovimientos[[#This Row],[Egreso]])</f>
        <v>-385</v>
      </c>
      <c r="Q723" s="78" t="str">
        <f>_xlfn.XLOOKUP(tblMovimientos[[#This Row],[Cuenta Bancaria]],Cuentas!$C:$C,Cuentas!$A:$A,"")&amp;""</f>
        <v>SSP Group</v>
      </c>
      <c r="R723" s="78" t="str">
        <f>_xlfn.XLOOKUP(tblMovimientos[[#This Row],[Cuenta Bancaria]],Cuentas!$C:$C,Cuentas!$B:$B,"",0,-1)&amp;""</f>
        <v/>
      </c>
    </row>
    <row r="724" spans="1:18" x14ac:dyDescent="0.3">
      <c r="B724" s="39">
        <v>46240</v>
      </c>
      <c r="C724" s="4" t="str">
        <f>_xlfn.XLOOKUP(tblMovimientos[[#This Row],[Cuenta Bancaria]],Listas!$B:$B,Listas!$A:$A,"")</f>
        <v>SSP Capital</v>
      </c>
      <c r="D724" s="41" t="s">
        <v>104</v>
      </c>
      <c r="E724" s="68" t="str">
        <f>_xlfn.XLOOKUP(tblMovimientos[[#This Row],[Cuenta Bancaria]],Listas!$B:$B,Listas!$C:$C,"")</f>
        <v xml:space="preserve">Amerant Bank </v>
      </c>
      <c r="F724" s="41" t="s">
        <v>10</v>
      </c>
      <c r="G724" s="41" t="s">
        <v>56</v>
      </c>
      <c r="H724" s="4" t="str">
        <f>IFERROR(_xlfn.XLOOKUP(G724,Listas!E:E,Listas!F:F,""),"")</f>
        <v>Inversion</v>
      </c>
      <c r="I724" s="46" t="str">
        <f>IFERROR(_xlfn.XLOOKUP(G724,Listas!E:E,Listas!G:G,""),"")</f>
        <v>Externo</v>
      </c>
      <c r="J724" s="43">
        <v>4375</v>
      </c>
      <c r="K724" s="5">
        <f t="shared" si="11"/>
        <v>-4375</v>
      </c>
      <c r="L724" s="15" t="s">
        <v>132</v>
      </c>
      <c r="M724" s="44">
        <f>SUMIFS('Saldos Iniciales'!$D:$D,'Saldos Iniciales'!$A:$A,C724,'Saldos Iniciales'!$B:$B,D724)+SUMIFS($K$1:$K$1324,$C$1:$C$1324,C724,$D$1:$D$1324,D724,$B$1:$B$1324,"&lt;="&amp;B724)</f>
        <v>1249899.0099999993</v>
      </c>
      <c r="N724" s="61" t="str">
        <f>IF(tblMovimientos[[#This Row],[Tipo de Movimiento]]="Ingreso",tblMovimientos[[#This Row],[Monto (S/)]],"0")</f>
        <v>0</v>
      </c>
      <c r="O724" s="61">
        <f>IF(tblMovimientos[[#This Row],[Tipo de Movimiento]]="Egreso",tblMovimientos[[#This Row],[Monto (S/)]],"0")</f>
        <v>4375</v>
      </c>
      <c r="P724" s="28">
        <f>IF(tblMovimientos[[#This Row],[Tipo de Movimiento]]="Ingreso",tblMovimientos[[#This Row],[Ingreso]],-tblMovimientos[[#This Row],[Egreso]])</f>
        <v>-4375</v>
      </c>
      <c r="Q724" s="78" t="str">
        <f>_xlfn.XLOOKUP(tblMovimientos[[#This Row],[Cuenta Bancaria]],Cuentas!$C:$C,Cuentas!$A:$A,"")&amp;""</f>
        <v>SSP Group</v>
      </c>
      <c r="R724" s="78" t="str">
        <f>_xlfn.XLOOKUP(tblMovimientos[[#This Row],[Cuenta Bancaria]],Cuentas!$C:$C,Cuentas!$B:$B,"",0,-1)&amp;""</f>
        <v/>
      </c>
    </row>
    <row r="725" spans="1:18" x14ac:dyDescent="0.3">
      <c r="B725" s="39">
        <v>46240</v>
      </c>
      <c r="C725" s="4" t="str">
        <f>_xlfn.XLOOKUP(tblMovimientos[[#This Row],[Cuenta Bancaria]],Listas!$B:$B,Listas!$A:$A,"")</f>
        <v>SSP Capital</v>
      </c>
      <c r="D725" s="41" t="s">
        <v>104</v>
      </c>
      <c r="E725" s="68" t="str">
        <f>_xlfn.XLOOKUP(tblMovimientos[[#This Row],[Cuenta Bancaria]],Listas!$B:$B,Listas!$C:$C,"")</f>
        <v xml:space="preserve">Amerant Bank </v>
      </c>
      <c r="F725" s="41" t="s">
        <v>10</v>
      </c>
      <c r="G725" s="41" t="s">
        <v>38</v>
      </c>
      <c r="H725" s="4" t="str">
        <f>IFERROR(_xlfn.XLOOKUP(G725,Listas!E:E,Listas!F:F,""),"")</f>
        <v>Operativo</v>
      </c>
      <c r="I725" s="46" t="str">
        <f>IFERROR(_xlfn.XLOOKUP(G725,Listas!E:E,Listas!G:G,""),"")</f>
        <v>Externo</v>
      </c>
      <c r="J725" s="43">
        <v>14634</v>
      </c>
      <c r="K725" s="5">
        <f t="shared" si="11"/>
        <v>-14634</v>
      </c>
      <c r="L725" s="15" t="s">
        <v>132</v>
      </c>
      <c r="M725" s="44">
        <f>SUMIFS('Saldos Iniciales'!$D:$D,'Saldos Iniciales'!$A:$A,C725,'Saldos Iniciales'!$B:$B,D725)+SUMIFS($K$1:$K$1324,$C$1:$C$1324,C725,$D$1:$D$1324,D725,$B$1:$B$1324,"&lt;="&amp;B725)</f>
        <v>1249899.0099999993</v>
      </c>
      <c r="N725" s="61" t="str">
        <f>IF(tblMovimientos[[#This Row],[Tipo de Movimiento]]="Ingreso",tblMovimientos[[#This Row],[Monto (S/)]],"0")</f>
        <v>0</v>
      </c>
      <c r="O725" s="61">
        <f>IF(tblMovimientos[[#This Row],[Tipo de Movimiento]]="Egreso",tblMovimientos[[#This Row],[Monto (S/)]],"0")</f>
        <v>14634</v>
      </c>
      <c r="P725" s="28">
        <f>IF(tblMovimientos[[#This Row],[Tipo de Movimiento]]="Ingreso",tblMovimientos[[#This Row],[Ingreso]],-tblMovimientos[[#This Row],[Egreso]])</f>
        <v>-14634</v>
      </c>
      <c r="Q725" s="78" t="str">
        <f>_xlfn.XLOOKUP(tblMovimientos[[#This Row],[Cuenta Bancaria]],Cuentas!$C:$C,Cuentas!$A:$A,"")&amp;""</f>
        <v>SSP Group</v>
      </c>
      <c r="R725" s="78" t="str">
        <f>_xlfn.XLOOKUP(tblMovimientos[[#This Row],[Cuenta Bancaria]],Cuentas!$C:$C,Cuentas!$B:$B,"",0,-1)&amp;""</f>
        <v/>
      </c>
    </row>
    <row r="726" spans="1:18" x14ac:dyDescent="0.3">
      <c r="B726" s="39">
        <v>46240</v>
      </c>
      <c r="C726" s="4" t="str">
        <f>_xlfn.XLOOKUP(tblMovimientos[[#This Row],[Cuenta Bancaria]],Listas!$B:$B,Listas!$A:$A,"")</f>
        <v>SSP Capital</v>
      </c>
      <c r="D726" s="41" t="s">
        <v>104</v>
      </c>
      <c r="E726" s="68" t="str">
        <f>_xlfn.XLOOKUP(tblMovimientos[[#This Row],[Cuenta Bancaria]],Listas!$B:$B,Listas!$C:$C,"")</f>
        <v xml:space="preserve">Amerant Bank </v>
      </c>
      <c r="F726" s="41" t="s">
        <v>10</v>
      </c>
      <c r="G726" s="41" t="s">
        <v>64</v>
      </c>
      <c r="H726" s="4" t="str">
        <f>IFERROR(_xlfn.XLOOKUP(G726,Listas!E:E,Listas!F:F,""),"")</f>
        <v>Operativo</v>
      </c>
      <c r="I726" s="46" t="str">
        <f>IFERROR(_xlfn.XLOOKUP(G726,Listas!E:E,Listas!G:G,""),"")</f>
        <v>Interno</v>
      </c>
      <c r="J726" s="43">
        <v>20000</v>
      </c>
      <c r="K726" s="5">
        <f t="shared" si="11"/>
        <v>-20000</v>
      </c>
      <c r="L726" s="15" t="s">
        <v>132</v>
      </c>
      <c r="M726" s="44">
        <f>SUMIFS('Saldos Iniciales'!$D:$D,'Saldos Iniciales'!$A:$A,C726,'Saldos Iniciales'!$B:$B,D726)+SUMIFS($K$1:$K$1324,$C$1:$C$1324,C726,$D$1:$D$1324,D726,$B$1:$B$1324,"&lt;="&amp;B726)</f>
        <v>1249899.0099999993</v>
      </c>
      <c r="N726" s="61" t="str">
        <f>IF(tblMovimientos[[#This Row],[Tipo de Movimiento]]="Ingreso",tblMovimientos[[#This Row],[Monto (S/)]],"0")</f>
        <v>0</v>
      </c>
      <c r="O726" s="61">
        <f>IF(tblMovimientos[[#This Row],[Tipo de Movimiento]]="Egreso",tblMovimientos[[#This Row],[Monto (S/)]],"0")</f>
        <v>20000</v>
      </c>
      <c r="P726" s="28">
        <f>IF(tblMovimientos[[#This Row],[Tipo de Movimiento]]="Ingreso",tblMovimientos[[#This Row],[Ingreso]],-tblMovimientos[[#This Row],[Egreso]])</f>
        <v>-20000</v>
      </c>
      <c r="Q726" s="78" t="str">
        <f>_xlfn.XLOOKUP(tblMovimientos[[#This Row],[Cuenta Bancaria]],Cuentas!$C:$C,Cuentas!$A:$A,"")&amp;""</f>
        <v>SSP Group</v>
      </c>
      <c r="R726" s="78" t="str">
        <f>_xlfn.XLOOKUP(tblMovimientos[[#This Row],[Cuenta Bancaria]],Cuentas!$C:$C,Cuentas!$B:$B,"",0,-1)&amp;""</f>
        <v/>
      </c>
    </row>
    <row r="727" spans="1:18" x14ac:dyDescent="0.3">
      <c r="B727" s="39">
        <v>46240</v>
      </c>
      <c r="C727" s="4" t="str">
        <f>_xlfn.XLOOKUP(tblMovimientos[[#This Row],[Cuenta Bancaria]],Listas!$B:$B,Listas!$A:$A,"")</f>
        <v>Green Harbor Trust</v>
      </c>
      <c r="D727" s="41" t="s">
        <v>125</v>
      </c>
      <c r="E727" s="68" t="str">
        <f>_xlfn.XLOOKUP(tblMovimientos[[#This Row],[Cuenta Bancaria]],Listas!$B:$B,Listas!$C:$C,"")</f>
        <v xml:space="preserve">Amerant Bank </v>
      </c>
      <c r="F727" s="41" t="s">
        <v>9</v>
      </c>
      <c r="G727" s="41" t="s">
        <v>77</v>
      </c>
      <c r="H727" s="4" t="str">
        <f>IFERROR(_xlfn.XLOOKUP(G727,Listas!E:E,Listas!F:F,""),"")</f>
        <v>Inversion</v>
      </c>
      <c r="I727" s="46" t="str">
        <f>IFERROR(_xlfn.XLOOKUP(G727,Listas!E:E,Listas!G:G,""),"")</f>
        <v>Interno</v>
      </c>
      <c r="J727" s="43">
        <v>13000</v>
      </c>
      <c r="K727" s="5">
        <f t="shared" si="11"/>
        <v>13000</v>
      </c>
      <c r="L727" s="15" t="s">
        <v>132</v>
      </c>
      <c r="M727" s="44">
        <f>SUMIFS('Saldos Iniciales'!$D:$D,'Saldos Iniciales'!$A:$A,C727,'Saldos Iniciales'!$B:$B,D727)+SUMIFS($K$1:$K$1324,$C$1:$C$1324,C727,$D$1:$D$1324,D727,$B$1:$B$1324,"&lt;="&amp;B727)</f>
        <v>345</v>
      </c>
      <c r="N727" s="61">
        <f>IF(tblMovimientos[[#This Row],[Tipo de Movimiento]]="Ingreso",tblMovimientos[[#This Row],[Monto (S/)]],"0")</f>
        <v>13000</v>
      </c>
      <c r="O727" s="61" t="str">
        <f>IF(tblMovimientos[[#This Row],[Tipo de Movimiento]]="Egreso",tblMovimientos[[#This Row],[Monto (S/)]],"0")</f>
        <v>0</v>
      </c>
      <c r="P727" s="28">
        <f>IF(tblMovimientos[[#This Row],[Tipo de Movimiento]]="Ingreso",tblMovimientos[[#This Row],[Ingreso]],-tblMovimientos[[#This Row],[Egreso]])</f>
        <v>13000</v>
      </c>
      <c r="Q727" s="78" t="str">
        <f>_xlfn.XLOOKUP(tblMovimientos[[#This Row],[Cuenta Bancaria]],Cuentas!$C:$C,Cuentas!$A:$A,"")&amp;""</f>
        <v>SSP Group</v>
      </c>
      <c r="R727" s="78" t="str">
        <f>_xlfn.XLOOKUP(tblMovimientos[[#This Row],[Cuenta Bancaria]],Cuentas!$C:$C,Cuentas!$B:$B,"",0,-1)&amp;""</f>
        <v>Trust</v>
      </c>
    </row>
    <row r="728" spans="1:18" x14ac:dyDescent="0.3">
      <c r="B728" s="39">
        <v>46240</v>
      </c>
      <c r="C728" s="4" t="str">
        <f>_xlfn.XLOOKUP(tblMovimientos[[#This Row],[Cuenta Bancaria]],Listas!$B:$B,Listas!$A:$A,"")</f>
        <v>Green Harbor Trust</v>
      </c>
      <c r="D728" s="41" t="s">
        <v>125</v>
      </c>
      <c r="E728" s="68" t="str">
        <f>_xlfn.XLOOKUP(tblMovimientos[[#This Row],[Cuenta Bancaria]],Listas!$B:$B,Listas!$C:$C,"")</f>
        <v xml:space="preserve">Amerant Bank </v>
      </c>
      <c r="F728" s="41" t="s">
        <v>10</v>
      </c>
      <c r="G728" s="41" t="s">
        <v>52</v>
      </c>
      <c r="H728" s="4" t="str">
        <f>IFERROR(_xlfn.XLOOKUP(G728,Listas!E:E,Listas!F:F,""),"")</f>
        <v>Inversion</v>
      </c>
      <c r="I728" s="46" t="str">
        <f>IFERROR(_xlfn.XLOOKUP(G728,Listas!E:E,Listas!G:G,""),"")</f>
        <v>Externo</v>
      </c>
      <c r="J728" s="43">
        <v>13000</v>
      </c>
      <c r="K728" s="5">
        <f t="shared" si="11"/>
        <v>-13000</v>
      </c>
      <c r="L728" s="15" t="s">
        <v>132</v>
      </c>
      <c r="M728" s="44">
        <f>SUMIFS('Saldos Iniciales'!$D:$D,'Saldos Iniciales'!$A:$A,C728,'Saldos Iniciales'!$B:$B,D728)+SUMIFS($K$1:$K$1324,$C$1:$C$1324,C728,$D$1:$D$1324,D728,$B$1:$B$1324,"&lt;="&amp;B728)</f>
        <v>345</v>
      </c>
      <c r="N728" s="61" t="str">
        <f>IF(tblMovimientos[[#This Row],[Tipo de Movimiento]]="Ingreso",tblMovimientos[[#This Row],[Monto (S/)]],"0")</f>
        <v>0</v>
      </c>
      <c r="O728" s="61">
        <f>IF(tblMovimientos[[#This Row],[Tipo de Movimiento]]="Egreso",tblMovimientos[[#This Row],[Monto (S/)]],"0")</f>
        <v>13000</v>
      </c>
      <c r="P728" s="28">
        <f>IF(tblMovimientos[[#This Row],[Tipo de Movimiento]]="Ingreso",tblMovimientos[[#This Row],[Ingreso]],-tblMovimientos[[#This Row],[Egreso]])</f>
        <v>-13000</v>
      </c>
      <c r="Q728" s="78" t="str">
        <f>_xlfn.XLOOKUP(tblMovimientos[[#This Row],[Cuenta Bancaria]],Cuentas!$C:$C,Cuentas!$A:$A,"")&amp;""</f>
        <v>SSP Group</v>
      </c>
      <c r="R728" s="78" t="str">
        <f>_xlfn.XLOOKUP(tblMovimientos[[#This Row],[Cuenta Bancaria]],Cuentas!$C:$C,Cuentas!$B:$B,"",0,-1)&amp;""</f>
        <v>Trust</v>
      </c>
    </row>
    <row r="729" spans="1:18" x14ac:dyDescent="0.3">
      <c r="B729" s="39">
        <v>46240</v>
      </c>
      <c r="C729" s="4" t="str">
        <f>_xlfn.XLOOKUP(tblMovimientos[[#This Row],[Cuenta Bancaria]],Listas!$B:$B,Listas!$A:$A,"")</f>
        <v>Go Blue</v>
      </c>
      <c r="D729" s="41" t="s">
        <v>126</v>
      </c>
      <c r="E729" s="68" t="str">
        <f>_xlfn.XLOOKUP(tblMovimientos[[#This Row],[Cuenta Bancaria]],Listas!$B:$B,Listas!$C:$C,"")</f>
        <v xml:space="preserve">Amerant Bank </v>
      </c>
      <c r="F729" s="41" t="s">
        <v>9</v>
      </c>
      <c r="G729" s="41" t="s">
        <v>77</v>
      </c>
      <c r="H729" s="4" t="str">
        <f>IFERROR(_xlfn.XLOOKUP(G729,Listas!E:E,Listas!F:F,""),"")</f>
        <v>Inversion</v>
      </c>
      <c r="I729" s="46" t="str">
        <f>IFERROR(_xlfn.XLOOKUP(G729,Listas!E:E,Listas!G:G,""),"")</f>
        <v>Interno</v>
      </c>
      <c r="J729" s="43">
        <v>13000</v>
      </c>
      <c r="K729" s="5">
        <f t="shared" si="11"/>
        <v>13000</v>
      </c>
      <c r="L729" s="15" t="s">
        <v>132</v>
      </c>
      <c r="M729" s="44">
        <f>SUMIFS('Saldos Iniciales'!$D:$D,'Saldos Iniciales'!$A:$A,C729,'Saldos Iniciales'!$B:$B,D729)+SUMIFS($K$1:$K$1324,$C$1:$C$1324,C729,$D$1:$D$1324,D729,$B$1:$B$1324,"&lt;="&amp;B729)</f>
        <v>10184.749999999998</v>
      </c>
      <c r="N729" s="61">
        <f>IF(tblMovimientos[[#This Row],[Tipo de Movimiento]]="Ingreso",tblMovimientos[[#This Row],[Monto (S/)]],"0")</f>
        <v>13000</v>
      </c>
      <c r="O729" s="61" t="str">
        <f>IF(tblMovimientos[[#This Row],[Tipo de Movimiento]]="Egreso",tblMovimientos[[#This Row],[Monto (S/)]],"0")</f>
        <v>0</v>
      </c>
      <c r="P729" s="28">
        <f>IF(tblMovimientos[[#This Row],[Tipo de Movimiento]]="Ingreso",tblMovimientos[[#This Row],[Ingreso]],-tblMovimientos[[#This Row],[Egreso]])</f>
        <v>13000</v>
      </c>
      <c r="Q729" s="78" t="str">
        <f>_xlfn.XLOOKUP(tblMovimientos[[#This Row],[Cuenta Bancaria]],Cuentas!$C:$C,Cuentas!$A:$A,"")&amp;""</f>
        <v>SSP Group</v>
      </c>
      <c r="R729" s="78" t="str">
        <f>_xlfn.XLOOKUP(tblMovimientos[[#This Row],[Cuenta Bancaria]],Cuentas!$C:$C,Cuentas!$B:$B,"",0,-1)&amp;""</f>
        <v/>
      </c>
    </row>
    <row r="730" spans="1:18" x14ac:dyDescent="0.3">
      <c r="B730" s="39">
        <v>46240</v>
      </c>
      <c r="C730" s="4" t="str">
        <f>_xlfn.XLOOKUP(tblMovimientos[[#This Row],[Cuenta Bancaria]],Listas!$B:$B,Listas!$A:$A,"")</f>
        <v>Go Blue</v>
      </c>
      <c r="D730" s="41" t="s">
        <v>126</v>
      </c>
      <c r="E730" s="68" t="str">
        <f>_xlfn.XLOOKUP(tblMovimientos[[#This Row],[Cuenta Bancaria]],Listas!$B:$B,Listas!$C:$C,"")</f>
        <v xml:space="preserve">Amerant Bank </v>
      </c>
      <c r="F730" s="41" t="s">
        <v>10</v>
      </c>
      <c r="G730" s="41" t="s">
        <v>38</v>
      </c>
      <c r="H730" s="4" t="str">
        <f>IFERROR(_xlfn.XLOOKUP(G730,Listas!E:E,Listas!F:F,""),"")</f>
        <v>Operativo</v>
      </c>
      <c r="I730" s="46" t="str">
        <f>IFERROR(_xlfn.XLOOKUP(G730,Listas!E:E,Listas!G:G,""),"")</f>
        <v>Externo</v>
      </c>
      <c r="J730" s="43">
        <v>15</v>
      </c>
      <c r="K730" s="5">
        <f t="shared" si="11"/>
        <v>-15</v>
      </c>
      <c r="L730" s="15" t="s">
        <v>132</v>
      </c>
      <c r="M730" s="44">
        <f>SUMIFS('Saldos Iniciales'!$D:$D,'Saldos Iniciales'!$A:$A,C730,'Saldos Iniciales'!$B:$B,D730)+SUMIFS($K$1:$K$1324,$C$1:$C$1324,C730,$D$1:$D$1324,D730,$B$1:$B$1324,"&lt;="&amp;B730)</f>
        <v>10184.749999999998</v>
      </c>
      <c r="N730" s="61" t="str">
        <f>IF(tblMovimientos[[#This Row],[Tipo de Movimiento]]="Ingreso",tblMovimientos[[#This Row],[Monto (S/)]],"0")</f>
        <v>0</v>
      </c>
      <c r="O730" s="61">
        <f>IF(tblMovimientos[[#This Row],[Tipo de Movimiento]]="Egreso",tblMovimientos[[#This Row],[Monto (S/)]],"0")</f>
        <v>15</v>
      </c>
      <c r="P730" s="28">
        <f>IF(tblMovimientos[[#This Row],[Tipo de Movimiento]]="Ingreso",tblMovimientos[[#This Row],[Ingreso]],-tblMovimientos[[#This Row],[Egreso]])</f>
        <v>-15</v>
      </c>
      <c r="Q730" s="78" t="str">
        <f>_xlfn.XLOOKUP(tblMovimientos[[#This Row],[Cuenta Bancaria]],Cuentas!$C:$C,Cuentas!$A:$A,"")&amp;""</f>
        <v>SSP Group</v>
      </c>
      <c r="R730" s="78" t="str">
        <f>_xlfn.XLOOKUP(tblMovimientos[[#This Row],[Cuenta Bancaria]],Cuentas!$C:$C,Cuentas!$B:$B,"",0,-1)&amp;""</f>
        <v/>
      </c>
    </row>
    <row r="731" spans="1:18" x14ac:dyDescent="0.3">
      <c r="B731" s="39">
        <v>46240</v>
      </c>
      <c r="C731" s="4" t="str">
        <f>_xlfn.XLOOKUP(tblMovimientos[[#This Row],[Cuenta Bancaria]],Listas!$B:$B,Listas!$A:$A,"")</f>
        <v>Go Blue</v>
      </c>
      <c r="D731" s="41" t="s">
        <v>126</v>
      </c>
      <c r="E731" s="68" t="str">
        <f>_xlfn.XLOOKUP(tblMovimientos[[#This Row],[Cuenta Bancaria]],Listas!$B:$B,Listas!$C:$C,"")</f>
        <v xml:space="preserve">Amerant Bank </v>
      </c>
      <c r="F731" s="41" t="s">
        <v>10</v>
      </c>
      <c r="G731" s="41" t="s">
        <v>38</v>
      </c>
      <c r="H731" s="4" t="str">
        <f>IFERROR(_xlfn.XLOOKUP(G731,Listas!E:E,Listas!F:F,""),"")</f>
        <v>Operativo</v>
      </c>
      <c r="I731" s="46" t="str">
        <f>IFERROR(_xlfn.XLOOKUP(G731,Listas!E:E,Listas!G:G,""),"")</f>
        <v>Externo</v>
      </c>
      <c r="J731" s="43">
        <v>2413.56</v>
      </c>
      <c r="K731" s="5">
        <f t="shared" si="11"/>
        <v>-2413.56</v>
      </c>
      <c r="L731" s="15" t="s">
        <v>132</v>
      </c>
      <c r="M731" s="44">
        <f>SUMIFS('Saldos Iniciales'!$D:$D,'Saldos Iniciales'!$A:$A,C731,'Saldos Iniciales'!$B:$B,D731)+SUMIFS($K$1:$K$1324,$C$1:$C$1324,C731,$D$1:$D$1324,D731,$B$1:$B$1324,"&lt;="&amp;B731)</f>
        <v>10184.749999999998</v>
      </c>
      <c r="N731" s="61" t="str">
        <f>IF(tblMovimientos[[#This Row],[Tipo de Movimiento]]="Ingreso",tblMovimientos[[#This Row],[Monto (S/)]],"0")</f>
        <v>0</v>
      </c>
      <c r="O731" s="61">
        <f>IF(tblMovimientos[[#This Row],[Tipo de Movimiento]]="Egreso",tblMovimientos[[#This Row],[Monto (S/)]],"0")</f>
        <v>2413.56</v>
      </c>
      <c r="P731" s="28">
        <f>IF(tblMovimientos[[#This Row],[Tipo de Movimiento]]="Ingreso",tblMovimientos[[#This Row],[Ingreso]],-tblMovimientos[[#This Row],[Egreso]])</f>
        <v>-2413.56</v>
      </c>
      <c r="Q731" s="78" t="str">
        <f>_xlfn.XLOOKUP(tblMovimientos[[#This Row],[Cuenta Bancaria]],Cuentas!$C:$C,Cuentas!$A:$A,"")&amp;""</f>
        <v>SSP Group</v>
      </c>
      <c r="R731" s="78" t="str">
        <f>_xlfn.XLOOKUP(tblMovimientos[[#This Row],[Cuenta Bancaria]],Cuentas!$C:$C,Cuentas!$B:$B,"",0,-1)&amp;""</f>
        <v/>
      </c>
    </row>
    <row r="732" spans="1:18" x14ac:dyDescent="0.3">
      <c r="B732" s="39">
        <v>46240</v>
      </c>
      <c r="C732" s="4" t="str">
        <f>_xlfn.XLOOKUP(tblMovimientos[[#This Row],[Cuenta Bancaria]],Listas!$B:$B,Listas!$A:$A,"")</f>
        <v>Go Blue</v>
      </c>
      <c r="D732" s="41" t="s">
        <v>126</v>
      </c>
      <c r="E732" s="68" t="str">
        <f>_xlfn.XLOOKUP(tblMovimientos[[#This Row],[Cuenta Bancaria]],Listas!$B:$B,Listas!$C:$C,"")</f>
        <v xml:space="preserve">Amerant Bank </v>
      </c>
      <c r="F732" s="41" t="s">
        <v>10</v>
      </c>
      <c r="G732" s="41" t="s">
        <v>44</v>
      </c>
      <c r="H732" s="4" t="str">
        <f>IFERROR(_xlfn.XLOOKUP(G732,Listas!E:E,Listas!F:F,""),"")</f>
        <v>Operativo</v>
      </c>
      <c r="I732" s="46" t="str">
        <f>IFERROR(_xlfn.XLOOKUP(G732,Listas!E:E,Listas!G:G,""),"")</f>
        <v>Externo</v>
      </c>
      <c r="J732" s="43">
        <v>15</v>
      </c>
      <c r="K732" s="5">
        <f t="shared" si="11"/>
        <v>-15</v>
      </c>
      <c r="L732" s="15" t="s">
        <v>132</v>
      </c>
      <c r="M732" s="44">
        <f>SUMIFS('Saldos Iniciales'!$D:$D,'Saldos Iniciales'!$A:$A,C732,'Saldos Iniciales'!$B:$B,D732)+SUMIFS($K$1:$K$1324,$C$1:$C$1324,C732,$D$1:$D$1324,D732,$B$1:$B$1324,"&lt;="&amp;B732)</f>
        <v>10184.749999999998</v>
      </c>
      <c r="N732" s="61" t="str">
        <f>IF(tblMovimientos[[#This Row],[Tipo de Movimiento]]="Ingreso",tblMovimientos[[#This Row],[Monto (S/)]],"0")</f>
        <v>0</v>
      </c>
      <c r="O732" s="61">
        <f>IF(tblMovimientos[[#This Row],[Tipo de Movimiento]]="Egreso",tblMovimientos[[#This Row],[Monto (S/)]],"0")</f>
        <v>15</v>
      </c>
      <c r="P732" s="28">
        <f>IF(tblMovimientos[[#This Row],[Tipo de Movimiento]]="Ingreso",tblMovimientos[[#This Row],[Ingreso]],-tblMovimientos[[#This Row],[Egreso]])</f>
        <v>-15</v>
      </c>
      <c r="Q732" s="78" t="str">
        <f>_xlfn.XLOOKUP(tblMovimientos[[#This Row],[Cuenta Bancaria]],Cuentas!$C:$C,Cuentas!$A:$A,"")&amp;""</f>
        <v>SSP Group</v>
      </c>
      <c r="R732" s="78" t="str">
        <f>_xlfn.XLOOKUP(tblMovimientos[[#This Row],[Cuenta Bancaria]],Cuentas!$C:$C,Cuentas!$B:$B,"",0,-1)&amp;""</f>
        <v/>
      </c>
    </row>
    <row r="733" spans="1:18" x14ac:dyDescent="0.3">
      <c r="B733" s="39">
        <v>46240</v>
      </c>
      <c r="C733" s="4" t="str">
        <f>_xlfn.XLOOKUP(tblMovimientos[[#This Row],[Cuenta Bancaria]],Listas!$B:$B,Listas!$A:$A,"")</f>
        <v>Go Blue</v>
      </c>
      <c r="D733" s="41" t="s">
        <v>126</v>
      </c>
      <c r="E733" s="68" t="str">
        <f>_xlfn.XLOOKUP(tblMovimientos[[#This Row],[Cuenta Bancaria]],Listas!$B:$B,Listas!$C:$C,"")</f>
        <v xml:space="preserve">Amerant Bank </v>
      </c>
      <c r="F733" s="41" t="s">
        <v>10</v>
      </c>
      <c r="G733" s="41" t="s">
        <v>38</v>
      </c>
      <c r="H733" s="4" t="str">
        <f>IFERROR(_xlfn.XLOOKUP(G733,Listas!E:E,Listas!F:F,""),"")</f>
        <v>Operativo</v>
      </c>
      <c r="I733" s="46" t="str">
        <f>IFERROR(_xlfn.XLOOKUP(G733,Listas!E:E,Listas!G:G,""),"")</f>
        <v>Externo</v>
      </c>
      <c r="J733" s="43">
        <v>5950.82</v>
      </c>
      <c r="K733" s="5">
        <f t="shared" si="11"/>
        <v>-5950.82</v>
      </c>
      <c r="L733" s="15" t="s">
        <v>132</v>
      </c>
      <c r="M733" s="44">
        <f>SUMIFS('Saldos Iniciales'!$D:$D,'Saldos Iniciales'!$A:$A,C733,'Saldos Iniciales'!$B:$B,D733)+SUMIFS($K$1:$K$1324,$C$1:$C$1324,C733,$D$1:$D$1324,D733,$B$1:$B$1324,"&lt;="&amp;B733)</f>
        <v>10184.749999999998</v>
      </c>
      <c r="N733" s="61" t="str">
        <f>IF(tblMovimientos[[#This Row],[Tipo de Movimiento]]="Ingreso",tblMovimientos[[#This Row],[Monto (S/)]],"0")</f>
        <v>0</v>
      </c>
      <c r="O733" s="61">
        <f>IF(tblMovimientos[[#This Row],[Tipo de Movimiento]]="Egreso",tblMovimientos[[#This Row],[Monto (S/)]],"0")</f>
        <v>5950.82</v>
      </c>
      <c r="P733" s="28">
        <f>IF(tblMovimientos[[#This Row],[Tipo de Movimiento]]="Ingreso",tblMovimientos[[#This Row],[Ingreso]],-tblMovimientos[[#This Row],[Egreso]])</f>
        <v>-5950.82</v>
      </c>
      <c r="Q733" s="78" t="str">
        <f>_xlfn.XLOOKUP(tblMovimientos[[#This Row],[Cuenta Bancaria]],Cuentas!$C:$C,Cuentas!$A:$A,"")&amp;""</f>
        <v>SSP Group</v>
      </c>
      <c r="R733" s="78" t="str">
        <f>_xlfn.XLOOKUP(tblMovimientos[[#This Row],[Cuenta Bancaria]],Cuentas!$C:$C,Cuentas!$B:$B,"",0,-1)&amp;""</f>
        <v/>
      </c>
    </row>
    <row r="734" spans="1:18" x14ac:dyDescent="0.3">
      <c r="B734" s="39">
        <v>46240</v>
      </c>
      <c r="C734" s="4" t="str">
        <f>_xlfn.XLOOKUP(tblMovimientos[[#This Row],[Cuenta Bancaria]],Listas!$B:$B,Listas!$A:$A,"")</f>
        <v>Go Blue</v>
      </c>
      <c r="D734" s="41" t="s">
        <v>126</v>
      </c>
      <c r="E734" s="68" t="str">
        <f>_xlfn.XLOOKUP(tblMovimientos[[#This Row],[Cuenta Bancaria]],Listas!$B:$B,Listas!$C:$C,"")</f>
        <v xml:space="preserve">Amerant Bank </v>
      </c>
      <c r="F734" s="41" t="s">
        <v>10</v>
      </c>
      <c r="G734" s="41" t="s">
        <v>44</v>
      </c>
      <c r="H734" s="4" t="str">
        <f>IFERROR(_xlfn.XLOOKUP(G734,Listas!E:E,Listas!F:F,""),"")</f>
        <v>Operativo</v>
      </c>
      <c r="I734" s="46" t="str">
        <f>IFERROR(_xlfn.XLOOKUP(G734,Listas!E:E,Listas!G:G,""),"")</f>
        <v>Externo</v>
      </c>
      <c r="J734" s="43">
        <v>15</v>
      </c>
      <c r="K734" s="5">
        <f t="shared" si="11"/>
        <v>-15</v>
      </c>
      <c r="L734" s="15" t="s">
        <v>132</v>
      </c>
      <c r="M734" s="44">
        <f>SUMIFS('Saldos Iniciales'!$D:$D,'Saldos Iniciales'!$A:$A,C734,'Saldos Iniciales'!$B:$B,D734)+SUMIFS($K$1:$K$1324,$C$1:$C$1324,C734,$D$1:$D$1324,D734,$B$1:$B$1324,"&lt;="&amp;B734)</f>
        <v>10184.749999999998</v>
      </c>
      <c r="N734" s="61" t="str">
        <f>IF(tblMovimientos[[#This Row],[Tipo de Movimiento]]="Ingreso",tblMovimientos[[#This Row],[Monto (S/)]],"0")</f>
        <v>0</v>
      </c>
      <c r="O734" s="61">
        <f>IF(tblMovimientos[[#This Row],[Tipo de Movimiento]]="Egreso",tblMovimientos[[#This Row],[Monto (S/)]],"0")</f>
        <v>15</v>
      </c>
      <c r="P734" s="28">
        <f>IF(tblMovimientos[[#This Row],[Tipo de Movimiento]]="Ingreso",tblMovimientos[[#This Row],[Ingreso]],-tblMovimientos[[#This Row],[Egreso]])</f>
        <v>-15</v>
      </c>
      <c r="Q734" s="78" t="str">
        <f>_xlfn.XLOOKUP(tblMovimientos[[#This Row],[Cuenta Bancaria]],Cuentas!$C:$C,Cuentas!$A:$A,"")&amp;""</f>
        <v>SSP Group</v>
      </c>
      <c r="R734" s="78" t="str">
        <f>_xlfn.XLOOKUP(tblMovimientos[[#This Row],[Cuenta Bancaria]],Cuentas!$C:$C,Cuentas!$B:$B,"",0,-1)&amp;""</f>
        <v/>
      </c>
    </row>
    <row r="735" spans="1:18" x14ac:dyDescent="0.3">
      <c r="A735" s="45"/>
      <c r="B735" s="39">
        <v>46240</v>
      </c>
      <c r="C735" s="4" t="str">
        <f>_xlfn.XLOOKUP(tblMovimientos[[#This Row],[Cuenta Bancaria]],Listas!$B:$B,Listas!$A:$A,"")</f>
        <v>Cross Security Trust</v>
      </c>
      <c r="D735" s="41" t="s">
        <v>112</v>
      </c>
      <c r="E735" s="68" t="str">
        <f>_xlfn.XLOOKUP(tblMovimientos[[#This Row],[Cuenta Bancaria]],Listas!$B:$B,Listas!$C:$C,"")</f>
        <v>Bank of America</v>
      </c>
      <c r="F735" s="41" t="s">
        <v>10</v>
      </c>
      <c r="G735" s="41" t="s">
        <v>38</v>
      </c>
      <c r="H735" s="46" t="str">
        <f>IFERROR(_xlfn.XLOOKUP(G735,Listas!E:E,Listas!F:F,""),"")</f>
        <v>Operativo</v>
      </c>
      <c r="I735" s="46" t="str">
        <f>IFERROR(_xlfn.XLOOKUP(G735,Listas!E:E,Listas!G:G,""),"")</f>
        <v>Externo</v>
      </c>
      <c r="J735" s="43">
        <v>22.98</v>
      </c>
      <c r="K735" s="5">
        <f t="shared" si="11"/>
        <v>-22.98</v>
      </c>
      <c r="L735" s="15" t="s">
        <v>132</v>
      </c>
      <c r="M735" s="44">
        <f>SUMIFS('Saldos Iniciales'!$D:$D,'Saldos Iniciales'!$A:$A,C735,'Saldos Iniciales'!$B:$B,D735)+SUMIFS($K$1:$K$1324,$C$1:$C$1324,C735,$D$1:$D$1324,D735,$B$1:$B$1324,"&lt;="&amp;B735)</f>
        <v>207582.47</v>
      </c>
      <c r="N735" s="61" t="str">
        <f>IF(tblMovimientos[[#This Row],[Tipo de Movimiento]]="Ingreso",tblMovimientos[[#This Row],[Monto (S/)]],"0")</f>
        <v>0</v>
      </c>
      <c r="O735" s="61">
        <f>IF(tblMovimientos[[#This Row],[Tipo de Movimiento]]="Egreso",tblMovimientos[[#This Row],[Monto (S/)]],"0")</f>
        <v>22.98</v>
      </c>
      <c r="P735" s="28">
        <f>IF(tblMovimientos[[#This Row],[Tipo de Movimiento]]="Ingreso",tblMovimientos[[#This Row],[Ingreso]],-tblMovimientos[[#This Row],[Egreso]])</f>
        <v>-22.98</v>
      </c>
      <c r="Q735" s="78" t="str">
        <f>_xlfn.XLOOKUP(tblMovimientos[[#This Row],[Cuenta Bancaria]],Cuentas!$C:$C,Cuentas!$A:$A,"")&amp;""</f>
        <v>SSP Group</v>
      </c>
      <c r="R735" s="78" t="str">
        <f>_xlfn.XLOOKUP(tblMovimientos[[#This Row],[Cuenta Bancaria]],Cuentas!$C:$C,Cuentas!$B:$B,"",0,-1)&amp;""</f>
        <v>Trust</v>
      </c>
    </row>
    <row r="736" spans="1:18" x14ac:dyDescent="0.3">
      <c r="B736" s="39">
        <v>46240</v>
      </c>
      <c r="C736" s="4" t="str">
        <f>_xlfn.XLOOKUP(tblMovimientos[[#This Row],[Cuenta Bancaria]],Listas!$B:$B,Listas!$A:$A,"")</f>
        <v>Electrama</v>
      </c>
      <c r="D736" s="41" t="s">
        <v>113</v>
      </c>
      <c r="E736" s="68" t="str">
        <f>_xlfn.XLOOKUP(tblMovimientos[[#This Row],[Cuenta Bancaria]],Listas!$B:$B,Listas!$C:$C,"")</f>
        <v>Chase Bank</v>
      </c>
      <c r="F736" s="41" t="s">
        <v>10</v>
      </c>
      <c r="G736" s="41" t="s">
        <v>38</v>
      </c>
      <c r="H736" s="46" t="str">
        <f>IFERROR(_xlfn.XLOOKUP(G736,Listas!E:E,Listas!F:F,""),"")</f>
        <v>Operativo</v>
      </c>
      <c r="I736" s="46" t="str">
        <f>IFERROR(_xlfn.XLOOKUP(G736,Listas!E:E,Listas!G:G,""),"")</f>
        <v>Externo</v>
      </c>
      <c r="J736" s="43">
        <v>1270.43</v>
      </c>
      <c r="K736" s="5">
        <f t="shared" si="11"/>
        <v>-1270.43</v>
      </c>
      <c r="L736" s="15" t="s">
        <v>132</v>
      </c>
      <c r="M736" s="44">
        <f>SUMIFS('Saldos Iniciales'!$D:$D,'Saldos Iniciales'!$A:$A,C736,'Saldos Iniciales'!$B:$B,D736)+SUMIFS($K$1:$K$1324,$C$1:$C$1324,C736,$D$1:$D$1324,D736,$B$1:$B$1324,"&lt;="&amp;B736)</f>
        <v>13270.02</v>
      </c>
      <c r="N736" s="61" t="str">
        <f>IF(tblMovimientos[[#This Row],[Tipo de Movimiento]]="Ingreso",tblMovimientos[[#This Row],[Monto (S/)]],"0")</f>
        <v>0</v>
      </c>
      <c r="O736" s="61">
        <f>IF(tblMovimientos[[#This Row],[Tipo de Movimiento]]="Egreso",tblMovimientos[[#This Row],[Monto (S/)]],"0")</f>
        <v>1270.43</v>
      </c>
      <c r="P736" s="28">
        <f>IF(tblMovimientos[[#This Row],[Tipo de Movimiento]]="Ingreso",tblMovimientos[[#This Row],[Ingreso]],-tblMovimientos[[#This Row],[Egreso]])</f>
        <v>-1270.43</v>
      </c>
      <c r="Q736" s="78" t="str">
        <f>_xlfn.XLOOKUP(tblMovimientos[[#This Row],[Cuenta Bancaria]],Cuentas!$C:$C,Cuentas!$A:$A,"")&amp;""</f>
        <v>SSP Group</v>
      </c>
      <c r="R736" s="78" t="str">
        <f>_xlfn.XLOOKUP(tblMovimientos[[#This Row],[Cuenta Bancaria]],Cuentas!$C:$C,Cuentas!$B:$B,"",0,-1)&amp;""</f>
        <v/>
      </c>
    </row>
    <row r="737" spans="2:18" x14ac:dyDescent="0.3">
      <c r="B737" s="39">
        <v>46241</v>
      </c>
      <c r="C737" s="4" t="str">
        <f>_xlfn.XLOOKUP(tblMovimientos[[#This Row],[Cuenta Bancaria]],Listas!$B:$B,Listas!$A:$A,"")</f>
        <v>2515 Overbrook</v>
      </c>
      <c r="D737" s="41" t="s">
        <v>121</v>
      </c>
      <c r="E737" s="68" t="str">
        <f>_xlfn.XLOOKUP(tblMovimientos[[#This Row],[Cuenta Bancaria]],Listas!$B:$B,Listas!$C:$C,"")</f>
        <v>Bank of America</v>
      </c>
      <c r="F737" s="41" t="s">
        <v>9</v>
      </c>
      <c r="G737" s="41" t="s">
        <v>87</v>
      </c>
      <c r="H737" s="4" t="str">
        <f>IFERROR(_xlfn.XLOOKUP(G737,Listas!E:E,Listas!F:F,""),"")</f>
        <v>Operativo</v>
      </c>
      <c r="I737" s="46" t="str">
        <f>IFERROR(_xlfn.XLOOKUP(G737,Listas!E:E,Listas!G:G,""),"")</f>
        <v>Externo</v>
      </c>
      <c r="J737" s="43">
        <v>62.9</v>
      </c>
      <c r="K737" s="5">
        <f t="shared" si="11"/>
        <v>62.9</v>
      </c>
      <c r="L737" s="15" t="s">
        <v>132</v>
      </c>
      <c r="M737" s="44">
        <f>SUMIFS('Saldos Iniciales'!$D:$D,'Saldos Iniciales'!$A:$A,C737,'Saldos Iniciales'!$B:$B,D737)+SUMIFS($K$1:$K$1324,$C$1:$C$1324,C737,$D$1:$D$1324,D737,$B$1:$B$1324,"&lt;="&amp;B737)</f>
        <v>10949.219999999963</v>
      </c>
      <c r="N737" s="61">
        <f>IF(tblMovimientos[[#This Row],[Tipo de Movimiento]]="Ingreso",tblMovimientos[[#This Row],[Monto (S/)]],"0")</f>
        <v>62.9</v>
      </c>
      <c r="O737" s="61" t="str">
        <f>IF(tblMovimientos[[#This Row],[Tipo de Movimiento]]="Egreso",tblMovimientos[[#This Row],[Monto (S/)]],"0")</f>
        <v>0</v>
      </c>
      <c r="P737" s="28">
        <f>IF(tblMovimientos[[#This Row],[Tipo de Movimiento]]="Ingreso",tblMovimientos[[#This Row],[Ingreso]],-tblMovimientos[[#This Row],[Egreso]])</f>
        <v>62.9</v>
      </c>
      <c r="Q737" s="78" t="str">
        <f>_xlfn.XLOOKUP(tblMovimientos[[#This Row],[Cuenta Bancaria]],Cuentas!$C:$C,Cuentas!$A:$A,"")&amp;""</f>
        <v>SSP Group</v>
      </c>
      <c r="R737" s="78" t="str">
        <f>_xlfn.XLOOKUP(tblMovimientos[[#This Row],[Cuenta Bancaria]],Cuentas!$C:$C,Cuentas!$B:$B,"",0,-1)&amp;""</f>
        <v/>
      </c>
    </row>
    <row r="738" spans="2:18" x14ac:dyDescent="0.3">
      <c r="B738" s="39">
        <v>46241</v>
      </c>
      <c r="C738" s="4" t="str">
        <f>_xlfn.XLOOKUP(tblMovimientos[[#This Row],[Cuenta Bancaria]],Listas!$B:$B,Listas!$A:$A,"")</f>
        <v>2515 Overbrook</v>
      </c>
      <c r="D738" s="41" t="s">
        <v>121</v>
      </c>
      <c r="E738" s="68" t="str">
        <f>_xlfn.XLOOKUP(tblMovimientos[[#This Row],[Cuenta Bancaria]],Listas!$B:$B,Listas!$C:$C,"")</f>
        <v>Bank of America</v>
      </c>
      <c r="F738" s="41" t="s">
        <v>9</v>
      </c>
      <c r="G738" s="41" t="s">
        <v>87</v>
      </c>
      <c r="H738" s="4" t="str">
        <f>IFERROR(_xlfn.XLOOKUP(G738,Listas!E:E,Listas!F:F,""),"")</f>
        <v>Operativo</v>
      </c>
      <c r="I738" s="46" t="str">
        <f>IFERROR(_xlfn.XLOOKUP(G738,Listas!E:E,Listas!G:G,""),"")</f>
        <v>Externo</v>
      </c>
      <c r="J738" s="43">
        <v>42.5</v>
      </c>
      <c r="K738" s="5">
        <f t="shared" si="11"/>
        <v>42.5</v>
      </c>
      <c r="L738" s="15" t="s">
        <v>132</v>
      </c>
      <c r="M738" s="44">
        <f>SUMIFS('Saldos Iniciales'!$D:$D,'Saldos Iniciales'!$A:$A,C738,'Saldos Iniciales'!$B:$B,D738)+SUMIFS($K$1:$K$1324,$C$1:$C$1324,C738,$D$1:$D$1324,D738,$B$1:$B$1324,"&lt;="&amp;B738)</f>
        <v>10949.219999999963</v>
      </c>
      <c r="N738" s="61">
        <f>IF(tblMovimientos[[#This Row],[Tipo de Movimiento]]="Ingreso",tblMovimientos[[#This Row],[Monto (S/)]],"0")</f>
        <v>42.5</v>
      </c>
      <c r="O738" s="61" t="str">
        <f>IF(tblMovimientos[[#This Row],[Tipo de Movimiento]]="Egreso",tblMovimientos[[#This Row],[Monto (S/)]],"0")</f>
        <v>0</v>
      </c>
      <c r="P738" s="28">
        <f>IF(tblMovimientos[[#This Row],[Tipo de Movimiento]]="Ingreso",tblMovimientos[[#This Row],[Ingreso]],-tblMovimientos[[#This Row],[Egreso]])</f>
        <v>42.5</v>
      </c>
      <c r="Q738" s="78" t="str">
        <f>_xlfn.XLOOKUP(tblMovimientos[[#This Row],[Cuenta Bancaria]],Cuentas!$C:$C,Cuentas!$A:$A,"")&amp;""</f>
        <v>SSP Group</v>
      </c>
      <c r="R738" s="78" t="str">
        <f>_xlfn.XLOOKUP(tblMovimientos[[#This Row],[Cuenta Bancaria]],Cuentas!$C:$C,Cuentas!$B:$B,"",0,-1)&amp;""</f>
        <v/>
      </c>
    </row>
    <row r="739" spans="2:18" x14ac:dyDescent="0.3">
      <c r="B739" s="39">
        <v>46241</v>
      </c>
      <c r="C739" s="4" t="str">
        <f>_xlfn.XLOOKUP(tblMovimientos[[#This Row],[Cuenta Bancaria]],Listas!$B:$B,Listas!$A:$A,"")</f>
        <v>2515 Overbrook</v>
      </c>
      <c r="D739" s="41" t="s">
        <v>121</v>
      </c>
      <c r="E739" s="68" t="str">
        <f>_xlfn.XLOOKUP(tblMovimientos[[#This Row],[Cuenta Bancaria]],Listas!$B:$B,Listas!$C:$C,"")</f>
        <v>Bank of America</v>
      </c>
      <c r="F739" s="41" t="s">
        <v>10</v>
      </c>
      <c r="G739" s="41" t="s">
        <v>38</v>
      </c>
      <c r="H739" s="4" t="str">
        <f>IFERROR(_xlfn.XLOOKUP(G739,Listas!E:E,Listas!F:F,""),"")</f>
        <v>Operativo</v>
      </c>
      <c r="I739" s="46" t="str">
        <f>IFERROR(_xlfn.XLOOKUP(G739,Listas!E:E,Listas!G:G,""),"")</f>
        <v>Externo</v>
      </c>
      <c r="J739" s="43">
        <v>205</v>
      </c>
      <c r="K739" s="5">
        <f t="shared" si="11"/>
        <v>-205</v>
      </c>
      <c r="L739" s="15" t="s">
        <v>132</v>
      </c>
      <c r="M739" s="44">
        <f>SUMIFS('Saldos Iniciales'!$D:$D,'Saldos Iniciales'!$A:$A,C739,'Saldos Iniciales'!$B:$B,D739)+SUMIFS($K$1:$K$1324,$C$1:$C$1324,C739,$D$1:$D$1324,D739,$B$1:$B$1324,"&lt;="&amp;B739)</f>
        <v>10949.219999999963</v>
      </c>
      <c r="N739" s="61" t="str">
        <f>IF(tblMovimientos[[#This Row],[Tipo de Movimiento]]="Ingreso",tblMovimientos[[#This Row],[Monto (S/)]],"0")</f>
        <v>0</v>
      </c>
      <c r="O739" s="61">
        <f>IF(tblMovimientos[[#This Row],[Tipo de Movimiento]]="Egreso",tblMovimientos[[#This Row],[Monto (S/)]],"0")</f>
        <v>205</v>
      </c>
      <c r="P739" s="28">
        <f>IF(tblMovimientos[[#This Row],[Tipo de Movimiento]]="Ingreso",tblMovimientos[[#This Row],[Ingreso]],-tblMovimientos[[#This Row],[Egreso]])</f>
        <v>-205</v>
      </c>
      <c r="Q739" s="78" t="str">
        <f>_xlfn.XLOOKUP(tblMovimientos[[#This Row],[Cuenta Bancaria]],Cuentas!$C:$C,Cuentas!$A:$A,"")&amp;""</f>
        <v>SSP Group</v>
      </c>
      <c r="R739" s="78" t="str">
        <f>_xlfn.XLOOKUP(tblMovimientos[[#This Row],[Cuenta Bancaria]],Cuentas!$C:$C,Cuentas!$B:$B,"",0,-1)&amp;""</f>
        <v/>
      </c>
    </row>
    <row r="740" spans="2:18" x14ac:dyDescent="0.3">
      <c r="B740" s="39">
        <v>46241</v>
      </c>
      <c r="C740" s="4" t="str">
        <f>_xlfn.XLOOKUP(tblMovimientos[[#This Row],[Cuenta Bancaria]],Listas!$B:$B,Listas!$A:$A,"")</f>
        <v>2515 Overbrook</v>
      </c>
      <c r="D740" s="41" t="s">
        <v>121</v>
      </c>
      <c r="E740" s="68" t="str">
        <f>_xlfn.XLOOKUP(tblMovimientos[[#This Row],[Cuenta Bancaria]],Listas!$B:$B,Listas!$C:$C,"")</f>
        <v>Bank of America</v>
      </c>
      <c r="F740" s="41" t="s">
        <v>10</v>
      </c>
      <c r="G740" s="41" t="s">
        <v>38</v>
      </c>
      <c r="H740" s="4" t="str">
        <f>IFERROR(_xlfn.XLOOKUP(G740,Listas!E:E,Listas!F:F,""),"")</f>
        <v>Operativo</v>
      </c>
      <c r="I740" s="46" t="str">
        <f>IFERROR(_xlfn.XLOOKUP(G740,Listas!E:E,Listas!G:G,""),"")</f>
        <v>Externo</v>
      </c>
      <c r="J740" s="43">
        <v>2445</v>
      </c>
      <c r="K740" s="5">
        <f t="shared" si="11"/>
        <v>-2445</v>
      </c>
      <c r="L740" s="15" t="s">
        <v>132</v>
      </c>
      <c r="M740" s="44">
        <f>SUMIFS('Saldos Iniciales'!$D:$D,'Saldos Iniciales'!$A:$A,C740,'Saldos Iniciales'!$B:$B,D740)+SUMIFS($K$1:$K$1324,$C$1:$C$1324,C740,$D$1:$D$1324,D740,$B$1:$B$1324,"&lt;="&amp;B740)</f>
        <v>10949.219999999963</v>
      </c>
      <c r="N740" s="61" t="str">
        <f>IF(tblMovimientos[[#This Row],[Tipo de Movimiento]]="Ingreso",tblMovimientos[[#This Row],[Monto (S/)]],"0")</f>
        <v>0</v>
      </c>
      <c r="O740" s="61">
        <f>IF(tblMovimientos[[#This Row],[Tipo de Movimiento]]="Egreso",tblMovimientos[[#This Row],[Monto (S/)]],"0")</f>
        <v>2445</v>
      </c>
      <c r="P740" s="28">
        <f>IF(tblMovimientos[[#This Row],[Tipo de Movimiento]]="Ingreso",tblMovimientos[[#This Row],[Ingreso]],-tblMovimientos[[#This Row],[Egreso]])</f>
        <v>-2445</v>
      </c>
      <c r="Q740" s="78" t="str">
        <f>_xlfn.XLOOKUP(tblMovimientos[[#This Row],[Cuenta Bancaria]],Cuentas!$C:$C,Cuentas!$A:$A,"")&amp;""</f>
        <v>SSP Group</v>
      </c>
      <c r="R740" s="78" t="str">
        <f>_xlfn.XLOOKUP(tblMovimientos[[#This Row],[Cuenta Bancaria]],Cuentas!$C:$C,Cuentas!$B:$B,"",0,-1)&amp;""</f>
        <v/>
      </c>
    </row>
    <row r="741" spans="2:18" x14ac:dyDescent="0.3">
      <c r="B741" s="39">
        <v>46241</v>
      </c>
      <c r="C741" s="4" t="str">
        <f>_xlfn.XLOOKUP(tblMovimientos[[#This Row],[Cuenta Bancaria]],Listas!$B:$B,Listas!$A:$A,"")</f>
        <v>3628 Thomas Ave</v>
      </c>
      <c r="D741" s="41" t="s">
        <v>124</v>
      </c>
      <c r="E741" s="68" t="str">
        <f>_xlfn.XLOOKUP(tblMovimientos[[#This Row],[Cuenta Bancaria]],Listas!$B:$B,Listas!$C:$C,"")</f>
        <v>Bank of America</v>
      </c>
      <c r="F741" s="41" t="s">
        <v>9</v>
      </c>
      <c r="G741" s="41" t="s">
        <v>87</v>
      </c>
      <c r="H741" s="4" t="str">
        <f>IFERROR(_xlfn.XLOOKUP(G741,Listas!E:E,Listas!F:F,""),"")</f>
        <v>Operativo</v>
      </c>
      <c r="I741" s="46" t="str">
        <f>IFERROR(_xlfn.XLOOKUP(G741,Listas!E:E,Listas!G:G,""),"")</f>
        <v>Externo</v>
      </c>
      <c r="J741" s="43">
        <v>5000</v>
      </c>
      <c r="K741" s="5">
        <f t="shared" si="11"/>
        <v>5000</v>
      </c>
      <c r="L741" s="15" t="s">
        <v>132</v>
      </c>
      <c r="M741" s="44">
        <f>SUMIFS('Saldos Iniciales'!$D:$D,'Saldos Iniciales'!$A:$A,C741,'Saldos Iniciales'!$B:$B,D741)+SUMIFS($K$1:$K$1324,$C$1:$C$1324,C741,$D$1:$D$1324,D741,$B$1:$B$1324,"&lt;="&amp;B741)</f>
        <v>20106.099999999999</v>
      </c>
      <c r="N741" s="61">
        <f>IF(tblMovimientos[[#This Row],[Tipo de Movimiento]]="Ingreso",tblMovimientos[[#This Row],[Monto (S/)]],"0")</f>
        <v>5000</v>
      </c>
      <c r="O741" s="61" t="str">
        <f>IF(tblMovimientos[[#This Row],[Tipo de Movimiento]]="Egreso",tblMovimientos[[#This Row],[Monto (S/)]],"0")</f>
        <v>0</v>
      </c>
      <c r="P741" s="28">
        <f>IF(tblMovimientos[[#This Row],[Tipo de Movimiento]]="Ingreso",tblMovimientos[[#This Row],[Ingreso]],-tblMovimientos[[#This Row],[Egreso]])</f>
        <v>5000</v>
      </c>
      <c r="Q741" s="78" t="str">
        <f>_xlfn.XLOOKUP(tblMovimientos[[#This Row],[Cuenta Bancaria]],Cuentas!$C:$C,Cuentas!$A:$A,"")&amp;""</f>
        <v>SSP Group</v>
      </c>
      <c r="R741" s="78" t="str">
        <f>_xlfn.XLOOKUP(tblMovimientos[[#This Row],[Cuenta Bancaria]],Cuentas!$C:$C,Cuentas!$B:$B,"",0,-1)&amp;""</f>
        <v/>
      </c>
    </row>
    <row r="742" spans="2:18" x14ac:dyDescent="0.3">
      <c r="B742" s="39">
        <v>46244</v>
      </c>
      <c r="C742" s="4" t="str">
        <f>_xlfn.XLOOKUP(tblMovimientos[[#This Row],[Cuenta Bancaria]],Listas!$B:$B,Listas!$A:$A,"")</f>
        <v>SSP Capital</v>
      </c>
      <c r="D742" s="41" t="s">
        <v>101</v>
      </c>
      <c r="E742" s="68" t="str">
        <f>_xlfn.XLOOKUP(tblMovimientos[[#This Row],[Cuenta Bancaria]],Listas!$B:$B,Listas!$C:$C,"")</f>
        <v>Bank of America</v>
      </c>
      <c r="F742" s="41" t="s">
        <v>10</v>
      </c>
      <c r="G742" s="41" t="s">
        <v>38</v>
      </c>
      <c r="H742" s="4" t="str">
        <f>IFERROR(_xlfn.XLOOKUP(G742,Listas!E:E,Listas!F:F,""),"")</f>
        <v>Operativo</v>
      </c>
      <c r="I742" s="46" t="str">
        <f>IFERROR(_xlfn.XLOOKUP(G742,Listas!E:E,Listas!G:G,""),"")</f>
        <v>Externo</v>
      </c>
      <c r="J742" s="43">
        <v>1291.6500000000001</v>
      </c>
      <c r="K742" s="5">
        <f t="shared" si="11"/>
        <v>-1291.6500000000001</v>
      </c>
      <c r="L742" s="15" t="s">
        <v>132</v>
      </c>
      <c r="M742" s="44">
        <f>SUMIFS('Saldos Iniciales'!$D:$D,'Saldos Iniciales'!$A:$A,C742,'Saldos Iniciales'!$B:$B,D742)+SUMIFS($K$1:$K$1324,$C$1:$C$1324,C742,$D$1:$D$1324,D742,$B$1:$B$1324,"&lt;="&amp;B742)</f>
        <v>30843.79</v>
      </c>
      <c r="N742" s="61" t="str">
        <f>IF(tblMovimientos[[#This Row],[Tipo de Movimiento]]="Ingreso",tblMovimientos[[#This Row],[Monto (S/)]],"0")</f>
        <v>0</v>
      </c>
      <c r="O742" s="61">
        <f>IF(tblMovimientos[[#This Row],[Tipo de Movimiento]]="Egreso",tblMovimientos[[#This Row],[Monto (S/)]],"0")</f>
        <v>1291.6500000000001</v>
      </c>
      <c r="P742" s="28">
        <f>IF(tblMovimientos[[#This Row],[Tipo de Movimiento]]="Ingreso",tblMovimientos[[#This Row],[Ingreso]],-tblMovimientos[[#This Row],[Egreso]])</f>
        <v>-1291.6500000000001</v>
      </c>
      <c r="Q742" s="78" t="str">
        <f>_xlfn.XLOOKUP(tblMovimientos[[#This Row],[Cuenta Bancaria]],Cuentas!$C:$C,Cuentas!$A:$A,"")&amp;""</f>
        <v>SSP Group</v>
      </c>
      <c r="R742" s="78" t="str">
        <f>_xlfn.XLOOKUP(tblMovimientos[[#This Row],[Cuenta Bancaria]],Cuentas!$C:$C,Cuentas!$B:$B,"",0,-1)&amp;""</f>
        <v/>
      </c>
    </row>
    <row r="743" spans="2:18" x14ac:dyDescent="0.3">
      <c r="B743" s="39">
        <v>46244</v>
      </c>
      <c r="C743" s="4" t="str">
        <f>_xlfn.XLOOKUP(tblMovimientos[[#This Row],[Cuenta Bancaria]],Listas!$B:$B,Listas!$A:$A,"")</f>
        <v>CFT Group</v>
      </c>
      <c r="D743" s="41" t="s">
        <v>94</v>
      </c>
      <c r="E743" s="68" t="str">
        <f>_xlfn.XLOOKUP(tblMovimientos[[#This Row],[Cuenta Bancaria]],Listas!$B:$B,Listas!$C:$C,"")</f>
        <v>Bank of America</v>
      </c>
      <c r="F743" s="41" t="s">
        <v>9</v>
      </c>
      <c r="G743" s="41" t="s">
        <v>69</v>
      </c>
      <c r="H743" s="4" t="str">
        <f>IFERROR(_xlfn.XLOOKUP(G743,Listas!E:E,Listas!F:F,""),"")</f>
        <v>Operativo</v>
      </c>
      <c r="I743" s="46" t="str">
        <f>IFERROR(_xlfn.XLOOKUP(G743,Listas!E:E,Listas!G:G,""),"")</f>
        <v>Interno</v>
      </c>
      <c r="J743" s="43">
        <v>106686.57</v>
      </c>
      <c r="K743" s="5">
        <f t="shared" si="11"/>
        <v>106686.57</v>
      </c>
      <c r="L743" s="15" t="s">
        <v>132</v>
      </c>
      <c r="M743" s="44">
        <f>SUMIFS('Saldos Iniciales'!$D:$D,'Saldos Iniciales'!$A:$A,C743,'Saldos Iniciales'!$B:$B,D743)+SUMIFS($K$1:$K$1324,$C$1:$C$1324,C743,$D$1:$D$1324,D743,$B$1:$B$1324,"&lt;="&amp;B743)</f>
        <v>339551.27</v>
      </c>
      <c r="N743" s="61">
        <f>IF(tblMovimientos[[#This Row],[Tipo de Movimiento]]="Ingreso",tblMovimientos[[#This Row],[Monto (S/)]],"0")</f>
        <v>106686.57</v>
      </c>
      <c r="O743" s="61" t="str">
        <f>IF(tblMovimientos[[#This Row],[Tipo de Movimiento]]="Egreso",tblMovimientos[[#This Row],[Monto (S/)]],"0")</f>
        <v>0</v>
      </c>
      <c r="P743" s="28">
        <f>IF(tblMovimientos[[#This Row],[Tipo de Movimiento]]="Ingreso",tblMovimientos[[#This Row],[Ingreso]],-tblMovimientos[[#This Row],[Egreso]])</f>
        <v>106686.57</v>
      </c>
      <c r="Q743" s="78" t="str">
        <f>_xlfn.XLOOKUP(tblMovimientos[[#This Row],[Cuenta Bancaria]],Cuentas!$C:$C,Cuentas!$A:$A,"")&amp;""</f>
        <v>SSP Group</v>
      </c>
      <c r="R743" s="78" t="str">
        <f>_xlfn.XLOOKUP(tblMovimientos[[#This Row],[Cuenta Bancaria]],Cuentas!$C:$C,Cuentas!$B:$B,"",0,-1)&amp;""</f>
        <v/>
      </c>
    </row>
    <row r="744" spans="2:18" x14ac:dyDescent="0.3">
      <c r="B744" s="39">
        <v>46244</v>
      </c>
      <c r="C744" s="4" t="str">
        <f>_xlfn.XLOOKUP(tblMovimientos[[#This Row],[Cuenta Bancaria]],Listas!$B:$B,Listas!$A:$A,"")</f>
        <v>2515 Overbrook</v>
      </c>
      <c r="D744" s="41" t="s">
        <v>121</v>
      </c>
      <c r="E744" s="68" t="str">
        <f>_xlfn.XLOOKUP(tblMovimientos[[#This Row],[Cuenta Bancaria]],Listas!$B:$B,Listas!$C:$C,"")</f>
        <v>Bank of America</v>
      </c>
      <c r="F744" s="41" t="s">
        <v>10</v>
      </c>
      <c r="G744" s="41" t="s">
        <v>38</v>
      </c>
      <c r="H744" s="4" t="str">
        <f>IFERROR(_xlfn.XLOOKUP(G744,Listas!E:E,Listas!F:F,""),"")</f>
        <v>Operativo</v>
      </c>
      <c r="I744" s="46" t="str">
        <f>IFERROR(_xlfn.XLOOKUP(G744,Listas!E:E,Listas!G:G,""),"")</f>
        <v>Externo</v>
      </c>
      <c r="J744" s="43">
        <v>1050</v>
      </c>
      <c r="K744" s="5">
        <f t="shared" si="11"/>
        <v>-1050</v>
      </c>
      <c r="L744" s="15" t="s">
        <v>132</v>
      </c>
      <c r="M744" s="44">
        <f>SUMIFS('Saldos Iniciales'!$D:$D,'Saldos Iniciales'!$A:$A,C744,'Saldos Iniciales'!$B:$B,D744)+SUMIFS($K$1:$K$1324,$C$1:$C$1324,C744,$D$1:$D$1324,D744,$B$1:$B$1324,"&lt;="&amp;B744)</f>
        <v>3390.2899999999645</v>
      </c>
      <c r="N744" s="61" t="str">
        <f>IF(tblMovimientos[[#This Row],[Tipo de Movimiento]]="Ingreso",tblMovimientos[[#This Row],[Monto (S/)]],"0")</f>
        <v>0</v>
      </c>
      <c r="O744" s="61">
        <f>IF(tblMovimientos[[#This Row],[Tipo de Movimiento]]="Egreso",tblMovimientos[[#This Row],[Monto (S/)]],"0")</f>
        <v>1050</v>
      </c>
      <c r="P744" s="28">
        <f>IF(tblMovimientos[[#This Row],[Tipo de Movimiento]]="Ingreso",tblMovimientos[[#This Row],[Ingreso]],-tblMovimientos[[#This Row],[Egreso]])</f>
        <v>-1050</v>
      </c>
      <c r="Q744" s="78" t="str">
        <f>_xlfn.XLOOKUP(tblMovimientos[[#This Row],[Cuenta Bancaria]],Cuentas!$C:$C,Cuentas!$A:$A,"")&amp;""</f>
        <v>SSP Group</v>
      </c>
      <c r="R744" s="78" t="str">
        <f>_xlfn.XLOOKUP(tblMovimientos[[#This Row],[Cuenta Bancaria]],Cuentas!$C:$C,Cuentas!$B:$B,"",0,-1)&amp;""</f>
        <v/>
      </c>
    </row>
    <row r="745" spans="2:18" x14ac:dyDescent="0.3">
      <c r="B745" s="39">
        <v>46244</v>
      </c>
      <c r="C745" s="4" t="str">
        <f>_xlfn.XLOOKUP(tblMovimientos[[#This Row],[Cuenta Bancaria]],Listas!$B:$B,Listas!$A:$A,"")</f>
        <v>2515 Overbrook</v>
      </c>
      <c r="D745" s="41" t="s">
        <v>121</v>
      </c>
      <c r="E745" s="68" t="str">
        <f>_xlfn.XLOOKUP(tblMovimientos[[#This Row],[Cuenta Bancaria]],Listas!$B:$B,Listas!$C:$C,"")</f>
        <v>Bank of America</v>
      </c>
      <c r="F745" s="41" t="s">
        <v>10</v>
      </c>
      <c r="G745" s="41" t="s">
        <v>38</v>
      </c>
      <c r="H745" s="4" t="str">
        <f>IFERROR(_xlfn.XLOOKUP(G745,Listas!E:E,Listas!F:F,""),"")</f>
        <v>Operativo</v>
      </c>
      <c r="I745" s="46" t="str">
        <f>IFERROR(_xlfn.XLOOKUP(G745,Listas!E:E,Listas!G:G,""),"")</f>
        <v>Externo</v>
      </c>
      <c r="J745" s="43">
        <v>1971.27</v>
      </c>
      <c r="K745" s="5">
        <f t="shared" si="11"/>
        <v>-1971.27</v>
      </c>
      <c r="L745" s="15" t="s">
        <v>132</v>
      </c>
      <c r="M745" s="44">
        <f>SUMIFS('Saldos Iniciales'!$D:$D,'Saldos Iniciales'!$A:$A,C745,'Saldos Iniciales'!$B:$B,D745)+SUMIFS($K$1:$K$1324,$C$1:$C$1324,C745,$D$1:$D$1324,D745,$B$1:$B$1324,"&lt;="&amp;B745)</f>
        <v>3390.2899999999645</v>
      </c>
      <c r="N745" s="61" t="str">
        <f>IF(tblMovimientos[[#This Row],[Tipo de Movimiento]]="Ingreso",tblMovimientos[[#This Row],[Monto (S/)]],"0")</f>
        <v>0</v>
      </c>
      <c r="O745" s="61">
        <f>IF(tblMovimientos[[#This Row],[Tipo de Movimiento]]="Egreso",tblMovimientos[[#This Row],[Monto (S/)]],"0")</f>
        <v>1971.27</v>
      </c>
      <c r="P745" s="28">
        <f>IF(tblMovimientos[[#This Row],[Tipo de Movimiento]]="Ingreso",tblMovimientos[[#This Row],[Ingreso]],-tblMovimientos[[#This Row],[Egreso]])</f>
        <v>-1971.27</v>
      </c>
      <c r="Q745" s="78" t="str">
        <f>_xlfn.XLOOKUP(tblMovimientos[[#This Row],[Cuenta Bancaria]],Cuentas!$C:$C,Cuentas!$A:$A,"")&amp;""</f>
        <v>SSP Group</v>
      </c>
      <c r="R745" s="78" t="str">
        <f>_xlfn.XLOOKUP(tblMovimientos[[#This Row],[Cuenta Bancaria]],Cuentas!$C:$C,Cuentas!$B:$B,"",0,-1)&amp;""</f>
        <v/>
      </c>
    </row>
    <row r="746" spans="2:18" x14ac:dyDescent="0.3">
      <c r="B746" s="39">
        <v>46244</v>
      </c>
      <c r="C746" s="4" t="str">
        <f>_xlfn.XLOOKUP(tblMovimientos[[#This Row],[Cuenta Bancaria]],Listas!$B:$B,Listas!$A:$A,"")</f>
        <v>2515 Overbrook</v>
      </c>
      <c r="D746" s="41" t="s">
        <v>121</v>
      </c>
      <c r="E746" s="68" t="str">
        <f>_xlfn.XLOOKUP(tblMovimientos[[#This Row],[Cuenta Bancaria]],Listas!$B:$B,Listas!$C:$C,"")</f>
        <v>Bank of America</v>
      </c>
      <c r="F746" s="41" t="s">
        <v>10</v>
      </c>
      <c r="G746" s="41" t="s">
        <v>38</v>
      </c>
      <c r="H746" s="4" t="str">
        <f>IFERROR(_xlfn.XLOOKUP(G746,Listas!E:E,Listas!F:F,""),"")</f>
        <v>Operativo</v>
      </c>
      <c r="I746" s="46" t="str">
        <f>IFERROR(_xlfn.XLOOKUP(G746,Listas!E:E,Listas!G:G,""),"")</f>
        <v>Externo</v>
      </c>
      <c r="J746" s="43">
        <v>500</v>
      </c>
      <c r="K746" s="5">
        <f t="shared" si="11"/>
        <v>-500</v>
      </c>
      <c r="L746" s="15" t="s">
        <v>132</v>
      </c>
      <c r="M746" s="44">
        <f>SUMIFS('Saldos Iniciales'!$D:$D,'Saldos Iniciales'!$A:$A,C746,'Saldos Iniciales'!$B:$B,D746)+SUMIFS($K$1:$K$1324,$C$1:$C$1324,C746,$D$1:$D$1324,D746,$B$1:$B$1324,"&lt;="&amp;B746)</f>
        <v>3390.2899999999645</v>
      </c>
      <c r="N746" s="61" t="str">
        <f>IF(tblMovimientos[[#This Row],[Tipo de Movimiento]]="Ingreso",tblMovimientos[[#This Row],[Monto (S/)]],"0")</f>
        <v>0</v>
      </c>
      <c r="O746" s="61">
        <f>IF(tblMovimientos[[#This Row],[Tipo de Movimiento]]="Egreso",tblMovimientos[[#This Row],[Monto (S/)]],"0")</f>
        <v>500</v>
      </c>
      <c r="P746" s="28">
        <f>IF(tblMovimientos[[#This Row],[Tipo de Movimiento]]="Ingreso",tblMovimientos[[#This Row],[Ingreso]],-tblMovimientos[[#This Row],[Egreso]])</f>
        <v>-500</v>
      </c>
      <c r="Q746" s="78" t="str">
        <f>_xlfn.XLOOKUP(tblMovimientos[[#This Row],[Cuenta Bancaria]],Cuentas!$C:$C,Cuentas!$A:$A,"")&amp;""</f>
        <v>SSP Group</v>
      </c>
      <c r="R746" s="78" t="str">
        <f>_xlfn.XLOOKUP(tblMovimientos[[#This Row],[Cuenta Bancaria]],Cuentas!$C:$C,Cuentas!$B:$B,"",0,-1)&amp;""</f>
        <v/>
      </c>
    </row>
    <row r="747" spans="2:18" x14ac:dyDescent="0.3">
      <c r="B747" s="39">
        <v>46244</v>
      </c>
      <c r="C747" s="4" t="str">
        <f>_xlfn.XLOOKUP(tblMovimientos[[#This Row],[Cuenta Bancaria]],Listas!$B:$B,Listas!$A:$A,"")</f>
        <v>2515 Overbrook</v>
      </c>
      <c r="D747" s="41" t="s">
        <v>121</v>
      </c>
      <c r="E747" s="68" t="str">
        <f>_xlfn.XLOOKUP(tblMovimientos[[#This Row],[Cuenta Bancaria]],Listas!$B:$B,Listas!$C:$C,"")</f>
        <v>Bank of America</v>
      </c>
      <c r="F747" s="41" t="s">
        <v>10</v>
      </c>
      <c r="G747" s="41" t="s">
        <v>38</v>
      </c>
      <c r="H747" s="4" t="str">
        <f>IFERROR(_xlfn.XLOOKUP(G747,Listas!E:E,Listas!F:F,""),"")</f>
        <v>Operativo</v>
      </c>
      <c r="I747" s="46" t="str">
        <f>IFERROR(_xlfn.XLOOKUP(G747,Listas!E:E,Listas!G:G,""),"")</f>
        <v>Externo</v>
      </c>
      <c r="J747" s="43">
        <v>2625</v>
      </c>
      <c r="K747" s="5">
        <f t="shared" si="11"/>
        <v>-2625</v>
      </c>
      <c r="L747" s="15" t="s">
        <v>132</v>
      </c>
      <c r="M747" s="44">
        <f>SUMIFS('Saldos Iniciales'!$D:$D,'Saldos Iniciales'!$A:$A,C747,'Saldos Iniciales'!$B:$B,D747)+SUMIFS($K$1:$K$1324,$C$1:$C$1324,C747,$D$1:$D$1324,D747,$B$1:$B$1324,"&lt;="&amp;B747)</f>
        <v>3390.2899999999645</v>
      </c>
      <c r="N747" s="61" t="str">
        <f>IF(tblMovimientos[[#This Row],[Tipo de Movimiento]]="Ingreso",tblMovimientos[[#This Row],[Monto (S/)]],"0")</f>
        <v>0</v>
      </c>
      <c r="O747" s="61">
        <f>IF(tblMovimientos[[#This Row],[Tipo de Movimiento]]="Egreso",tblMovimientos[[#This Row],[Monto (S/)]],"0")</f>
        <v>2625</v>
      </c>
      <c r="P747" s="28">
        <f>IF(tblMovimientos[[#This Row],[Tipo de Movimiento]]="Ingreso",tblMovimientos[[#This Row],[Ingreso]],-tblMovimientos[[#This Row],[Egreso]])</f>
        <v>-2625</v>
      </c>
      <c r="Q747" s="78" t="str">
        <f>_xlfn.XLOOKUP(tblMovimientos[[#This Row],[Cuenta Bancaria]],Cuentas!$C:$C,Cuentas!$A:$A,"")&amp;""</f>
        <v>SSP Group</v>
      </c>
      <c r="R747" s="78" t="str">
        <f>_xlfn.XLOOKUP(tblMovimientos[[#This Row],[Cuenta Bancaria]],Cuentas!$C:$C,Cuentas!$B:$B,"",0,-1)&amp;""</f>
        <v/>
      </c>
    </row>
    <row r="748" spans="2:18" x14ac:dyDescent="0.3">
      <c r="B748" s="39">
        <v>46244</v>
      </c>
      <c r="C748" s="4" t="str">
        <f>_xlfn.XLOOKUP(tblMovimientos[[#This Row],[Cuenta Bancaria]],Listas!$B:$B,Listas!$A:$A,"")</f>
        <v>2515 Overbrook</v>
      </c>
      <c r="D748" s="41" t="s">
        <v>121</v>
      </c>
      <c r="E748" s="68" t="str">
        <f>_xlfn.XLOOKUP(tblMovimientos[[#This Row],[Cuenta Bancaria]],Listas!$B:$B,Listas!$C:$C,"")</f>
        <v>Bank of America</v>
      </c>
      <c r="F748" s="41" t="s">
        <v>10</v>
      </c>
      <c r="G748" s="41" t="s">
        <v>38</v>
      </c>
      <c r="H748" s="4" t="str">
        <f>IFERROR(_xlfn.XLOOKUP(G748,Listas!E:E,Listas!F:F,""),"")</f>
        <v>Operativo</v>
      </c>
      <c r="I748" s="46" t="str">
        <f>IFERROR(_xlfn.XLOOKUP(G748,Listas!E:E,Listas!G:G,""),"")</f>
        <v>Externo</v>
      </c>
      <c r="J748" s="43">
        <v>1412.66</v>
      </c>
      <c r="K748" s="5">
        <f t="shared" si="11"/>
        <v>-1412.66</v>
      </c>
      <c r="L748" s="15" t="s">
        <v>132</v>
      </c>
      <c r="M748" s="44">
        <f>SUMIFS('Saldos Iniciales'!$D:$D,'Saldos Iniciales'!$A:$A,C748,'Saldos Iniciales'!$B:$B,D748)+SUMIFS($K$1:$K$1324,$C$1:$C$1324,C748,$D$1:$D$1324,D748,$B$1:$B$1324,"&lt;="&amp;B748)</f>
        <v>3390.2899999999645</v>
      </c>
      <c r="N748" s="61" t="str">
        <f>IF(tblMovimientos[[#This Row],[Tipo de Movimiento]]="Ingreso",tblMovimientos[[#This Row],[Monto (S/)]],"0")</f>
        <v>0</v>
      </c>
      <c r="O748" s="61">
        <f>IF(tblMovimientos[[#This Row],[Tipo de Movimiento]]="Egreso",tblMovimientos[[#This Row],[Monto (S/)]],"0")</f>
        <v>1412.66</v>
      </c>
      <c r="P748" s="28">
        <f>IF(tblMovimientos[[#This Row],[Tipo de Movimiento]]="Ingreso",tblMovimientos[[#This Row],[Ingreso]],-tblMovimientos[[#This Row],[Egreso]])</f>
        <v>-1412.66</v>
      </c>
      <c r="Q748" s="78" t="str">
        <f>_xlfn.XLOOKUP(tblMovimientos[[#This Row],[Cuenta Bancaria]],Cuentas!$C:$C,Cuentas!$A:$A,"")&amp;""</f>
        <v>SSP Group</v>
      </c>
      <c r="R748" s="78" t="str">
        <f>_xlfn.XLOOKUP(tblMovimientos[[#This Row],[Cuenta Bancaria]],Cuentas!$C:$C,Cuentas!$B:$B,"",0,-1)&amp;""</f>
        <v/>
      </c>
    </row>
    <row r="749" spans="2:18" x14ac:dyDescent="0.3">
      <c r="B749" s="39">
        <v>46244</v>
      </c>
      <c r="C749" s="4" t="str">
        <f>_xlfn.XLOOKUP(tblMovimientos[[#This Row],[Cuenta Bancaria]],Listas!$B:$B,Listas!$A:$A,"")</f>
        <v>SSP Capital</v>
      </c>
      <c r="D749" s="41" t="s">
        <v>104</v>
      </c>
      <c r="E749" s="68" t="str">
        <f>_xlfn.XLOOKUP(tblMovimientos[[#This Row],[Cuenta Bancaria]],Listas!$B:$B,Listas!$C:$C,"")</f>
        <v xml:space="preserve">Amerant Bank </v>
      </c>
      <c r="F749" s="41" t="s">
        <v>10</v>
      </c>
      <c r="G749" s="41" t="s">
        <v>44</v>
      </c>
      <c r="H749" s="4" t="str">
        <f>IFERROR(_xlfn.XLOOKUP(G749,Listas!E:E,Listas!F:F,""),"")</f>
        <v>Operativo</v>
      </c>
      <c r="I749" s="46" t="str">
        <f>IFERROR(_xlfn.XLOOKUP(G749,Listas!E:E,Listas!G:G,""),"")</f>
        <v>Externo</v>
      </c>
      <c r="J749" s="43">
        <v>1980.24</v>
      </c>
      <c r="K749" s="5">
        <f t="shared" si="11"/>
        <v>-1980.24</v>
      </c>
      <c r="L749" s="15" t="s">
        <v>132</v>
      </c>
      <c r="M749" s="44">
        <f>SUMIFS('Saldos Iniciales'!$D:$D,'Saldos Iniciales'!$A:$A,C749,'Saldos Iniciales'!$B:$B,D749)+SUMIFS($K$1:$K$1324,$C$1:$C$1324,C749,$D$1:$D$1324,D749,$B$1:$B$1324,"&lt;="&amp;B749)</f>
        <v>1247918.7699999993</v>
      </c>
      <c r="N749" s="61" t="str">
        <f>IF(tblMovimientos[[#This Row],[Tipo de Movimiento]]="Ingreso",tblMovimientos[[#This Row],[Monto (S/)]],"0")</f>
        <v>0</v>
      </c>
      <c r="O749" s="61">
        <f>IF(tblMovimientos[[#This Row],[Tipo de Movimiento]]="Egreso",tblMovimientos[[#This Row],[Monto (S/)]],"0")</f>
        <v>1980.24</v>
      </c>
      <c r="P749" s="28">
        <f>IF(tblMovimientos[[#This Row],[Tipo de Movimiento]]="Ingreso",tblMovimientos[[#This Row],[Ingreso]],-tblMovimientos[[#This Row],[Egreso]])</f>
        <v>-1980.24</v>
      </c>
      <c r="Q749" s="78" t="str">
        <f>_xlfn.XLOOKUP(tblMovimientos[[#This Row],[Cuenta Bancaria]],Cuentas!$C:$C,Cuentas!$A:$A,"")&amp;""</f>
        <v>SSP Group</v>
      </c>
      <c r="R749" s="78" t="str">
        <f>_xlfn.XLOOKUP(tblMovimientos[[#This Row],[Cuenta Bancaria]],Cuentas!$C:$C,Cuentas!$B:$B,"",0,-1)&amp;""</f>
        <v/>
      </c>
    </row>
    <row r="750" spans="2:18" x14ac:dyDescent="0.3">
      <c r="B750" s="39">
        <v>46245</v>
      </c>
      <c r="C750" s="4" t="str">
        <f>_xlfn.XLOOKUP(tblMovimientos[[#This Row],[Cuenta Bancaria]],Listas!$B:$B,Listas!$A:$A,"")</f>
        <v>SSP Capital</v>
      </c>
      <c r="D750" s="41" t="s">
        <v>104</v>
      </c>
      <c r="E750" s="68" t="str">
        <f>_xlfn.XLOOKUP(tblMovimientos[[#This Row],[Cuenta Bancaria]],Listas!$B:$B,Listas!$C:$C,"")</f>
        <v xml:space="preserve">Amerant Bank </v>
      </c>
      <c r="F750" s="41" t="s">
        <v>10</v>
      </c>
      <c r="G750" s="41" t="s">
        <v>46</v>
      </c>
      <c r="H750" s="4" t="str">
        <f>IFERROR(_xlfn.XLOOKUP(G750,Listas!E:E,Listas!F:F,""),"")</f>
        <v>Financiamiento</v>
      </c>
      <c r="I750" s="46" t="str">
        <f>IFERROR(_xlfn.XLOOKUP(G750,Listas!E:E,Listas!G:G,""),"")</f>
        <v>Externo</v>
      </c>
      <c r="J750" s="43">
        <v>25572.5</v>
      </c>
      <c r="K750" s="5">
        <f t="shared" si="11"/>
        <v>-25572.5</v>
      </c>
      <c r="L750" s="15" t="s">
        <v>132</v>
      </c>
      <c r="M750" s="44">
        <f>SUMIFS('Saldos Iniciales'!$D:$D,'Saldos Iniciales'!$A:$A,C750,'Saldos Iniciales'!$B:$B,D750)+SUMIFS($K$1:$K$1324,$C$1:$C$1324,C750,$D$1:$D$1324,D750,$B$1:$B$1324,"&lt;="&amp;B750)</f>
        <v>772037.68999999936</v>
      </c>
      <c r="N750" s="61" t="str">
        <f>IF(tblMovimientos[[#This Row],[Tipo de Movimiento]]="Ingreso",tblMovimientos[[#This Row],[Monto (S/)]],"0")</f>
        <v>0</v>
      </c>
      <c r="O750" s="61">
        <f>IF(tblMovimientos[[#This Row],[Tipo de Movimiento]]="Egreso",tblMovimientos[[#This Row],[Monto (S/)]],"0")</f>
        <v>25572.5</v>
      </c>
      <c r="P750" s="28">
        <f>IF(tblMovimientos[[#This Row],[Tipo de Movimiento]]="Ingreso",tblMovimientos[[#This Row],[Ingreso]],-tblMovimientos[[#This Row],[Egreso]])</f>
        <v>-25572.5</v>
      </c>
      <c r="Q750" s="78" t="str">
        <f>_xlfn.XLOOKUP(tblMovimientos[[#This Row],[Cuenta Bancaria]],Cuentas!$C:$C,Cuentas!$A:$A,"")&amp;""</f>
        <v>SSP Group</v>
      </c>
      <c r="R750" s="78" t="str">
        <f>_xlfn.XLOOKUP(tblMovimientos[[#This Row],[Cuenta Bancaria]],Cuentas!$C:$C,Cuentas!$B:$B,"",0,-1)&amp;""</f>
        <v/>
      </c>
    </row>
    <row r="751" spans="2:18" x14ac:dyDescent="0.3">
      <c r="B751" s="39">
        <v>46245</v>
      </c>
      <c r="C751" s="4" t="str">
        <f>_xlfn.XLOOKUP(tblMovimientos[[#This Row],[Cuenta Bancaria]],Listas!$B:$B,Listas!$A:$A,"")</f>
        <v>SSP Capital</v>
      </c>
      <c r="D751" s="41" t="s">
        <v>104</v>
      </c>
      <c r="E751" s="68" t="str">
        <f>_xlfn.XLOOKUP(tblMovimientos[[#This Row],[Cuenta Bancaria]],Listas!$B:$B,Listas!$C:$C,"")</f>
        <v xml:space="preserve">Amerant Bank </v>
      </c>
      <c r="F751" s="41" t="s">
        <v>10</v>
      </c>
      <c r="G751" s="41" t="s">
        <v>46</v>
      </c>
      <c r="H751" s="4" t="str">
        <f>IFERROR(_xlfn.XLOOKUP(G751,Listas!E:E,Listas!F:F,""),"")</f>
        <v>Financiamiento</v>
      </c>
      <c r="I751" s="46" t="str">
        <f>IFERROR(_xlfn.XLOOKUP(G751,Listas!E:E,Listas!G:G,""),"")</f>
        <v>Externo</v>
      </c>
      <c r="J751" s="43">
        <v>29322.5</v>
      </c>
      <c r="K751" s="5">
        <f t="shared" si="11"/>
        <v>-29322.5</v>
      </c>
      <c r="L751" s="15" t="s">
        <v>132</v>
      </c>
      <c r="M751" s="44">
        <f>SUMIFS('Saldos Iniciales'!$D:$D,'Saldos Iniciales'!$A:$A,C751,'Saldos Iniciales'!$B:$B,D751)+SUMIFS($K$1:$K$1324,$C$1:$C$1324,C751,$D$1:$D$1324,D751,$B$1:$B$1324,"&lt;="&amp;B751)</f>
        <v>772037.68999999936</v>
      </c>
      <c r="N751" s="61" t="str">
        <f>IF(tblMovimientos[[#This Row],[Tipo de Movimiento]]="Ingreso",tblMovimientos[[#This Row],[Monto (S/)]],"0")</f>
        <v>0</v>
      </c>
      <c r="O751" s="61">
        <f>IF(tblMovimientos[[#This Row],[Tipo de Movimiento]]="Egreso",tblMovimientos[[#This Row],[Monto (S/)]],"0")</f>
        <v>29322.5</v>
      </c>
      <c r="P751" s="28">
        <f>IF(tblMovimientos[[#This Row],[Tipo de Movimiento]]="Ingreso",tblMovimientos[[#This Row],[Ingreso]],-tblMovimientos[[#This Row],[Egreso]])</f>
        <v>-29322.5</v>
      </c>
      <c r="Q751" s="78" t="str">
        <f>_xlfn.XLOOKUP(tblMovimientos[[#This Row],[Cuenta Bancaria]],Cuentas!$C:$C,Cuentas!$A:$A,"")&amp;""</f>
        <v>SSP Group</v>
      </c>
      <c r="R751" s="78" t="str">
        <f>_xlfn.XLOOKUP(tblMovimientos[[#This Row],[Cuenta Bancaria]],Cuentas!$C:$C,Cuentas!$B:$B,"",0,-1)&amp;""</f>
        <v/>
      </c>
    </row>
    <row r="752" spans="2:18" x14ac:dyDescent="0.3">
      <c r="B752" s="39">
        <v>46245</v>
      </c>
      <c r="C752" s="4" t="str">
        <f>_xlfn.XLOOKUP(tblMovimientos[[#This Row],[Cuenta Bancaria]],Listas!$B:$B,Listas!$A:$A,"")</f>
        <v>SSP Capital</v>
      </c>
      <c r="D752" s="41" t="s">
        <v>104</v>
      </c>
      <c r="E752" s="68" t="str">
        <f>_xlfn.XLOOKUP(tblMovimientos[[#This Row],[Cuenta Bancaria]],Listas!$B:$B,Listas!$C:$C,"")</f>
        <v xml:space="preserve">Amerant Bank </v>
      </c>
      <c r="F752" s="41" t="s">
        <v>10</v>
      </c>
      <c r="G752" s="41" t="s">
        <v>46</v>
      </c>
      <c r="H752" s="4" t="str">
        <f>IFERROR(_xlfn.XLOOKUP(G752,Listas!E:E,Listas!F:F,""),"")</f>
        <v>Financiamiento</v>
      </c>
      <c r="I752" s="46" t="str">
        <f>IFERROR(_xlfn.XLOOKUP(G752,Listas!E:E,Listas!G:G,""),"")</f>
        <v>Externo</v>
      </c>
      <c r="J752" s="43">
        <v>92917.72</v>
      </c>
      <c r="K752" s="5">
        <f t="shared" si="11"/>
        <v>-92917.72</v>
      </c>
      <c r="L752" s="15" t="s">
        <v>132</v>
      </c>
      <c r="M752" s="44">
        <f>SUMIFS('Saldos Iniciales'!$D:$D,'Saldos Iniciales'!$A:$A,C752,'Saldos Iniciales'!$B:$B,D752)+SUMIFS($K$1:$K$1324,$C$1:$C$1324,C752,$D$1:$D$1324,D752,$B$1:$B$1324,"&lt;="&amp;B752)</f>
        <v>772037.68999999936</v>
      </c>
      <c r="N752" s="61" t="str">
        <f>IF(tblMovimientos[[#This Row],[Tipo de Movimiento]]="Ingreso",tblMovimientos[[#This Row],[Monto (S/)]],"0")</f>
        <v>0</v>
      </c>
      <c r="O752" s="61">
        <f>IF(tblMovimientos[[#This Row],[Tipo de Movimiento]]="Egreso",tblMovimientos[[#This Row],[Monto (S/)]],"0")</f>
        <v>92917.72</v>
      </c>
      <c r="P752" s="28">
        <f>IF(tblMovimientos[[#This Row],[Tipo de Movimiento]]="Ingreso",tblMovimientos[[#This Row],[Ingreso]],-tblMovimientos[[#This Row],[Egreso]])</f>
        <v>-92917.72</v>
      </c>
      <c r="Q752" s="78" t="str">
        <f>_xlfn.XLOOKUP(tblMovimientos[[#This Row],[Cuenta Bancaria]],Cuentas!$C:$C,Cuentas!$A:$A,"")&amp;""</f>
        <v>SSP Group</v>
      </c>
      <c r="R752" s="78" t="str">
        <f>_xlfn.XLOOKUP(tblMovimientos[[#This Row],[Cuenta Bancaria]],Cuentas!$C:$C,Cuentas!$B:$B,"",0,-1)&amp;""</f>
        <v/>
      </c>
    </row>
    <row r="753" spans="2:18" x14ac:dyDescent="0.3">
      <c r="B753" s="39">
        <v>46245</v>
      </c>
      <c r="C753" s="4" t="str">
        <f>_xlfn.XLOOKUP(tblMovimientos[[#This Row],[Cuenta Bancaria]],Listas!$B:$B,Listas!$A:$A,"")</f>
        <v>SSP Capital</v>
      </c>
      <c r="D753" s="41" t="s">
        <v>104</v>
      </c>
      <c r="E753" s="68" t="str">
        <f>_xlfn.XLOOKUP(tblMovimientos[[#This Row],[Cuenta Bancaria]],Listas!$B:$B,Listas!$C:$C,"")</f>
        <v xml:space="preserve">Amerant Bank </v>
      </c>
      <c r="F753" s="41" t="s">
        <v>10</v>
      </c>
      <c r="G753" s="41" t="s">
        <v>46</v>
      </c>
      <c r="H753" s="4" t="str">
        <f>IFERROR(_xlfn.XLOOKUP(G753,Listas!E:E,Listas!F:F,""),"")</f>
        <v>Financiamiento</v>
      </c>
      <c r="I753" s="46" t="str">
        <f>IFERROR(_xlfn.XLOOKUP(G753,Listas!E:E,Listas!G:G,""),"")</f>
        <v>Externo</v>
      </c>
      <c r="J753" s="43">
        <v>97296.25</v>
      </c>
      <c r="K753" s="5">
        <f t="shared" si="11"/>
        <v>-97296.25</v>
      </c>
      <c r="L753" s="15" t="s">
        <v>132</v>
      </c>
      <c r="M753" s="44">
        <f>SUMIFS('Saldos Iniciales'!$D:$D,'Saldos Iniciales'!$A:$A,C753,'Saldos Iniciales'!$B:$B,D753)+SUMIFS($K$1:$K$1324,$C$1:$C$1324,C753,$D$1:$D$1324,D753,$B$1:$B$1324,"&lt;="&amp;B753)</f>
        <v>772037.68999999936</v>
      </c>
      <c r="N753" s="61" t="str">
        <f>IF(tblMovimientos[[#This Row],[Tipo de Movimiento]]="Ingreso",tblMovimientos[[#This Row],[Monto (S/)]],"0")</f>
        <v>0</v>
      </c>
      <c r="O753" s="61">
        <f>IF(tblMovimientos[[#This Row],[Tipo de Movimiento]]="Egreso",tblMovimientos[[#This Row],[Monto (S/)]],"0")</f>
        <v>97296.25</v>
      </c>
      <c r="P753" s="28">
        <f>IF(tblMovimientos[[#This Row],[Tipo de Movimiento]]="Ingreso",tblMovimientos[[#This Row],[Ingreso]],-tblMovimientos[[#This Row],[Egreso]])</f>
        <v>-97296.25</v>
      </c>
      <c r="Q753" s="78" t="str">
        <f>_xlfn.XLOOKUP(tblMovimientos[[#This Row],[Cuenta Bancaria]],Cuentas!$C:$C,Cuentas!$A:$A,"")&amp;""</f>
        <v>SSP Group</v>
      </c>
      <c r="R753" s="78" t="str">
        <f>_xlfn.XLOOKUP(tblMovimientos[[#This Row],[Cuenta Bancaria]],Cuentas!$C:$C,Cuentas!$B:$B,"",0,-1)&amp;""</f>
        <v/>
      </c>
    </row>
    <row r="754" spans="2:18" x14ac:dyDescent="0.3">
      <c r="B754" s="39">
        <v>46245</v>
      </c>
      <c r="C754" s="4" t="str">
        <f>_xlfn.XLOOKUP(tblMovimientos[[#This Row],[Cuenta Bancaria]],Listas!$B:$B,Listas!$A:$A,"")</f>
        <v>SSP Capital</v>
      </c>
      <c r="D754" s="41" t="s">
        <v>104</v>
      </c>
      <c r="E754" s="68" t="str">
        <f>_xlfn.XLOOKUP(tblMovimientos[[#This Row],[Cuenta Bancaria]],Listas!$B:$B,Listas!$C:$C,"")</f>
        <v xml:space="preserve">Amerant Bank </v>
      </c>
      <c r="F754" s="41" t="s">
        <v>10</v>
      </c>
      <c r="G754" s="41" t="s">
        <v>46</v>
      </c>
      <c r="H754" s="4" t="str">
        <f>IFERROR(_xlfn.XLOOKUP(G754,Listas!E:E,Listas!F:F,""),"")</f>
        <v>Financiamiento</v>
      </c>
      <c r="I754" s="46" t="str">
        <f>IFERROR(_xlfn.XLOOKUP(G754,Listas!E:E,Listas!G:G,""),"")</f>
        <v>Externo</v>
      </c>
      <c r="J754" s="43">
        <v>230772.11</v>
      </c>
      <c r="K754" s="5">
        <f t="shared" si="11"/>
        <v>-230772.11</v>
      </c>
      <c r="L754" s="15" t="s">
        <v>132</v>
      </c>
      <c r="M754" s="44">
        <f>SUMIFS('Saldos Iniciales'!$D:$D,'Saldos Iniciales'!$A:$A,C754,'Saldos Iniciales'!$B:$B,D754)+SUMIFS($K$1:$K$1324,$C$1:$C$1324,C754,$D$1:$D$1324,D754,$B$1:$B$1324,"&lt;="&amp;B754)</f>
        <v>772037.68999999936</v>
      </c>
      <c r="N754" s="61" t="str">
        <f>IF(tblMovimientos[[#This Row],[Tipo de Movimiento]]="Ingreso",tblMovimientos[[#This Row],[Monto (S/)]],"0")</f>
        <v>0</v>
      </c>
      <c r="O754" s="61">
        <f>IF(tblMovimientos[[#This Row],[Tipo de Movimiento]]="Egreso",tblMovimientos[[#This Row],[Monto (S/)]],"0")</f>
        <v>230772.11</v>
      </c>
      <c r="P754" s="28">
        <f>IF(tblMovimientos[[#This Row],[Tipo de Movimiento]]="Ingreso",tblMovimientos[[#This Row],[Ingreso]],-tblMovimientos[[#This Row],[Egreso]])</f>
        <v>-230772.11</v>
      </c>
      <c r="Q754" s="78" t="str">
        <f>_xlfn.XLOOKUP(tblMovimientos[[#This Row],[Cuenta Bancaria]],Cuentas!$C:$C,Cuentas!$A:$A,"")&amp;""</f>
        <v>SSP Group</v>
      </c>
      <c r="R754" s="78" t="str">
        <f>_xlfn.XLOOKUP(tblMovimientos[[#This Row],[Cuenta Bancaria]],Cuentas!$C:$C,Cuentas!$B:$B,"",0,-1)&amp;""</f>
        <v/>
      </c>
    </row>
    <row r="755" spans="2:18" x14ac:dyDescent="0.3">
      <c r="B755" s="39">
        <v>46245</v>
      </c>
      <c r="C755" s="4" t="str">
        <f>_xlfn.XLOOKUP(tblMovimientos[[#This Row],[Cuenta Bancaria]],Listas!$B:$B,Listas!$A:$A,"")</f>
        <v>3628 Thomas Ave</v>
      </c>
      <c r="D755" s="41" t="s">
        <v>124</v>
      </c>
      <c r="E755" s="68" t="str">
        <f>_xlfn.XLOOKUP(tblMovimientos[[#This Row],[Cuenta Bancaria]],Listas!$B:$B,Listas!$C:$C,"")</f>
        <v>Bank of America</v>
      </c>
      <c r="F755" s="41" t="s">
        <v>10</v>
      </c>
      <c r="G755" s="41" t="s">
        <v>38</v>
      </c>
      <c r="H755" s="4" t="str">
        <f>IFERROR(_xlfn.XLOOKUP(G755,Listas!E:E,Listas!F:F,""),"")</f>
        <v>Operativo</v>
      </c>
      <c r="I755" s="46" t="str">
        <f>IFERROR(_xlfn.XLOOKUP(G755,Listas!E:E,Listas!G:G,""),"")</f>
        <v>Externo</v>
      </c>
      <c r="J755" s="43">
        <v>663.66</v>
      </c>
      <c r="K755" s="5">
        <f t="shared" si="11"/>
        <v>-663.66</v>
      </c>
      <c r="L755" s="15" t="s">
        <v>132</v>
      </c>
      <c r="M755" s="44">
        <f>SUMIFS('Saldos Iniciales'!$D:$D,'Saldos Iniciales'!$A:$A,C755,'Saldos Iniciales'!$B:$B,D755)+SUMIFS($K$1:$K$1324,$C$1:$C$1324,C755,$D$1:$D$1324,D755,$B$1:$B$1324,"&lt;="&amp;B755)</f>
        <v>19442.439999999995</v>
      </c>
      <c r="N755" s="61" t="str">
        <f>IF(tblMovimientos[[#This Row],[Tipo de Movimiento]]="Ingreso",tblMovimientos[[#This Row],[Monto (S/)]],"0")</f>
        <v>0</v>
      </c>
      <c r="O755" s="61">
        <f>IF(tblMovimientos[[#This Row],[Tipo de Movimiento]]="Egreso",tblMovimientos[[#This Row],[Monto (S/)]],"0")</f>
        <v>663.66</v>
      </c>
      <c r="P755" s="28">
        <f>IF(tblMovimientos[[#This Row],[Tipo de Movimiento]]="Ingreso",tblMovimientos[[#This Row],[Ingreso]],-tblMovimientos[[#This Row],[Egreso]])</f>
        <v>-663.66</v>
      </c>
      <c r="Q755" s="78" t="str">
        <f>_xlfn.XLOOKUP(tblMovimientos[[#This Row],[Cuenta Bancaria]],Cuentas!$C:$C,Cuentas!$A:$A,"")&amp;""</f>
        <v>SSP Group</v>
      </c>
      <c r="R755" s="78" t="str">
        <f>_xlfn.XLOOKUP(tblMovimientos[[#This Row],[Cuenta Bancaria]],Cuentas!$C:$C,Cuentas!$B:$B,"",0,-1)&amp;""</f>
        <v/>
      </c>
    </row>
    <row r="756" spans="2:18" x14ac:dyDescent="0.3">
      <c r="B756" s="39">
        <v>46246</v>
      </c>
      <c r="C756" s="4" t="str">
        <f>_xlfn.XLOOKUP(tblMovimientos[[#This Row],[Cuenta Bancaria]],Listas!$B:$B,Listas!$A:$A,"")</f>
        <v>SSP Capital</v>
      </c>
      <c r="D756" s="41" t="s">
        <v>101</v>
      </c>
      <c r="E756" s="68" t="str">
        <f>_xlfn.XLOOKUP(tblMovimientos[[#This Row],[Cuenta Bancaria]],Listas!$B:$B,Listas!$C:$C,"")</f>
        <v>Bank of America</v>
      </c>
      <c r="F756" s="41" t="s">
        <v>10</v>
      </c>
      <c r="G756" s="41" t="s">
        <v>38</v>
      </c>
      <c r="H756" s="4" t="str">
        <f>IFERROR(_xlfn.XLOOKUP(G756,Listas!E:E,Listas!F:F,""),"")</f>
        <v>Operativo</v>
      </c>
      <c r="I756" s="46" t="str">
        <f>IFERROR(_xlfn.XLOOKUP(G756,Listas!E:E,Listas!G:G,""),"")</f>
        <v>Externo</v>
      </c>
      <c r="J756" s="43">
        <v>6</v>
      </c>
      <c r="K756" s="5">
        <f t="shared" si="11"/>
        <v>-6</v>
      </c>
      <c r="L756" s="15" t="s">
        <v>132</v>
      </c>
      <c r="M756" s="44">
        <f>SUMIFS('Saldos Iniciales'!$D:$D,'Saldos Iniciales'!$A:$A,C756,'Saldos Iniciales'!$B:$B,D756)+SUMIFS($K$1:$K$1324,$C$1:$C$1324,C756,$D$1:$D$1324,D756,$B$1:$B$1324,"&lt;="&amp;B756)</f>
        <v>30837.79</v>
      </c>
      <c r="N756" s="61" t="str">
        <f>IF(tblMovimientos[[#This Row],[Tipo de Movimiento]]="Ingreso",tblMovimientos[[#This Row],[Monto (S/)]],"0")</f>
        <v>0</v>
      </c>
      <c r="O756" s="61">
        <f>IF(tblMovimientos[[#This Row],[Tipo de Movimiento]]="Egreso",tblMovimientos[[#This Row],[Monto (S/)]],"0")</f>
        <v>6</v>
      </c>
      <c r="P756" s="28">
        <f>IF(tblMovimientos[[#This Row],[Tipo de Movimiento]]="Ingreso",tblMovimientos[[#This Row],[Ingreso]],-tblMovimientos[[#This Row],[Egreso]])</f>
        <v>-6</v>
      </c>
      <c r="Q756" s="78" t="str">
        <f>_xlfn.XLOOKUP(tblMovimientos[[#This Row],[Cuenta Bancaria]],Cuentas!$C:$C,Cuentas!$A:$A,"")&amp;""</f>
        <v>SSP Group</v>
      </c>
      <c r="R756" s="78" t="str">
        <f>_xlfn.XLOOKUP(tblMovimientos[[#This Row],[Cuenta Bancaria]],Cuentas!$C:$C,Cuentas!$B:$B,"",0,-1)&amp;""</f>
        <v/>
      </c>
    </row>
    <row r="757" spans="2:18" x14ac:dyDescent="0.3">
      <c r="B757" s="39">
        <v>46246</v>
      </c>
      <c r="C757" s="4" t="str">
        <f>_xlfn.XLOOKUP(tblMovimientos[[#This Row],[Cuenta Bancaria]],Listas!$B:$B,Listas!$A:$A,"")</f>
        <v>Cross Family Trust</v>
      </c>
      <c r="D757" s="41" t="s">
        <v>111</v>
      </c>
      <c r="E757" s="68" t="str">
        <f>_xlfn.XLOOKUP(tblMovimientos[[#This Row],[Cuenta Bancaria]],Listas!$B:$B,Listas!$C:$C,"")</f>
        <v xml:space="preserve">Amerant Bank </v>
      </c>
      <c r="F757" s="41" t="s">
        <v>9</v>
      </c>
      <c r="G757" s="41" t="s">
        <v>79</v>
      </c>
      <c r="H757" s="4" t="str">
        <f>IFERROR(_xlfn.XLOOKUP(G757,Listas!E:E,Listas!F:F,""),"")</f>
        <v>Inversion</v>
      </c>
      <c r="I757" s="46" t="str">
        <f>IFERROR(_xlfn.XLOOKUP(G757,Listas!E:E,Listas!G:G,""),"")</f>
        <v>Externo</v>
      </c>
      <c r="J757" s="43">
        <v>560000</v>
      </c>
      <c r="K757" s="5">
        <f t="shared" si="11"/>
        <v>560000</v>
      </c>
      <c r="L757" s="15" t="s">
        <v>132</v>
      </c>
      <c r="M757" s="44">
        <f>SUMIFS('Saldos Iniciales'!$D:$D,'Saldos Iniciales'!$A:$A,C757,'Saldos Iniciales'!$B:$B,D757)+SUMIFS($K$1:$K$1324,$C$1:$C$1324,C757,$D$1:$D$1324,D757,$B$1:$B$1324,"&lt;="&amp;B757)</f>
        <v>628717.6</v>
      </c>
      <c r="N757" s="61">
        <f>IF(tblMovimientos[[#This Row],[Tipo de Movimiento]]="Ingreso",tblMovimientos[[#This Row],[Monto (S/)]],"0")</f>
        <v>560000</v>
      </c>
      <c r="O757" s="61" t="str">
        <f>IF(tblMovimientos[[#This Row],[Tipo de Movimiento]]="Egreso",tblMovimientos[[#This Row],[Monto (S/)]],"0")</f>
        <v>0</v>
      </c>
      <c r="P757" s="28">
        <f>IF(tblMovimientos[[#This Row],[Tipo de Movimiento]]="Ingreso",tblMovimientos[[#This Row],[Ingreso]],-tblMovimientos[[#This Row],[Egreso]])</f>
        <v>560000</v>
      </c>
      <c r="Q757" s="78" t="str">
        <f>_xlfn.XLOOKUP(tblMovimientos[[#This Row],[Cuenta Bancaria]],Cuentas!$C:$C,Cuentas!$A:$A,"")&amp;""</f>
        <v>SSP Group</v>
      </c>
      <c r="R757" s="78" t="str">
        <f>_xlfn.XLOOKUP(tblMovimientos[[#This Row],[Cuenta Bancaria]],Cuentas!$C:$C,Cuentas!$B:$B,"",0,-1)&amp;""</f>
        <v>Trust</v>
      </c>
    </row>
    <row r="758" spans="2:18" x14ac:dyDescent="0.3">
      <c r="B758" s="39">
        <v>46246</v>
      </c>
      <c r="C758" s="4" t="str">
        <f>_xlfn.XLOOKUP(tblMovimientos[[#This Row],[Cuenta Bancaria]],Listas!$B:$B,Listas!$A:$A,"")</f>
        <v>Soweto</v>
      </c>
      <c r="D758" s="41" t="s">
        <v>116</v>
      </c>
      <c r="E758" s="68" t="str">
        <f>_xlfn.XLOOKUP(tblMovimientos[[#This Row],[Cuenta Bancaria]],Listas!$B:$B,Listas!$C:$C,"")</f>
        <v>Citibank</v>
      </c>
      <c r="F758" s="41" t="s">
        <v>10</v>
      </c>
      <c r="G758" s="41" t="s">
        <v>60</v>
      </c>
      <c r="H758" s="4" t="str">
        <f>IFERROR(_xlfn.XLOOKUP(G758,Listas!E:E,Listas!F:F,""),"")</f>
        <v>Inversion</v>
      </c>
      <c r="I758" s="46" t="str">
        <f>IFERROR(_xlfn.XLOOKUP(G758,Listas!E:E,Listas!G:G,""),"")</f>
        <v>Interno</v>
      </c>
      <c r="J758" s="43">
        <v>560000</v>
      </c>
      <c r="K758" s="5">
        <f t="shared" si="11"/>
        <v>-560000</v>
      </c>
      <c r="L758" s="15" t="s">
        <v>132</v>
      </c>
      <c r="M758" s="44">
        <f>SUMIFS('Saldos Iniciales'!$D:$D,'Saldos Iniciales'!$A:$A,C758,'Saldos Iniciales'!$B:$B,D758)+SUMIFS($K$1:$K$1324,$C$1:$C$1324,C758,$D$1:$D$1324,D758,$B$1:$B$1324,"&lt;="&amp;B758)</f>
        <v>754424.72</v>
      </c>
      <c r="N758" s="61" t="str">
        <f>IF(tblMovimientos[[#This Row],[Tipo de Movimiento]]="Ingreso",tblMovimientos[[#This Row],[Monto (S/)]],"0")</f>
        <v>0</v>
      </c>
      <c r="O758" s="61">
        <f>IF(tblMovimientos[[#This Row],[Tipo de Movimiento]]="Egreso",tblMovimientos[[#This Row],[Monto (S/)]],"0")</f>
        <v>560000</v>
      </c>
      <c r="P758" s="28">
        <f>IF(tblMovimientos[[#This Row],[Tipo de Movimiento]]="Ingreso",tblMovimientos[[#This Row],[Ingreso]],-tblMovimientos[[#This Row],[Egreso]])</f>
        <v>-560000</v>
      </c>
      <c r="Q758" s="78" t="str">
        <f>_xlfn.XLOOKUP(tblMovimientos[[#This Row],[Cuenta Bancaria]],Cuentas!$C:$C,Cuentas!$A:$A,"")&amp;""</f>
        <v>SSP Group</v>
      </c>
      <c r="R758" s="78" t="str">
        <f>_xlfn.XLOOKUP(tblMovimientos[[#This Row],[Cuenta Bancaria]],Cuentas!$C:$C,Cuentas!$B:$B,"",0,-1)&amp;""</f>
        <v/>
      </c>
    </row>
    <row r="759" spans="2:18" x14ac:dyDescent="0.3">
      <c r="B759" s="39">
        <v>46246</v>
      </c>
      <c r="C759" s="4" t="str">
        <f>_xlfn.XLOOKUP(tblMovimientos[[#This Row],[Cuenta Bancaria]],Listas!$B:$B,Listas!$A:$A,"")</f>
        <v>Soweto</v>
      </c>
      <c r="D759" s="41" t="s">
        <v>116</v>
      </c>
      <c r="E759" s="68" t="str">
        <f>_xlfn.XLOOKUP(tblMovimientos[[#This Row],[Cuenta Bancaria]],Listas!$B:$B,Listas!$C:$C,"")</f>
        <v>Citibank</v>
      </c>
      <c r="F759" s="41" t="s">
        <v>10</v>
      </c>
      <c r="G759" s="41" t="s">
        <v>60</v>
      </c>
      <c r="H759" s="4" t="str">
        <f>IFERROR(_xlfn.XLOOKUP(G759,Listas!E:E,Listas!F:F,""),"")</f>
        <v>Inversion</v>
      </c>
      <c r="I759" s="46" t="str">
        <f>IFERROR(_xlfn.XLOOKUP(G759,Listas!E:E,Listas!G:G,""),"")</f>
        <v>Interno</v>
      </c>
      <c r="J759" s="43">
        <v>70000</v>
      </c>
      <c r="K759" s="5">
        <f t="shared" si="11"/>
        <v>-70000</v>
      </c>
      <c r="L759" s="15" t="s">
        <v>132</v>
      </c>
      <c r="M759" s="44">
        <f>SUMIFS('Saldos Iniciales'!$D:$D,'Saldos Iniciales'!$A:$A,C759,'Saldos Iniciales'!$B:$B,D759)+SUMIFS($K$1:$K$1324,$C$1:$C$1324,C759,$D$1:$D$1324,D759,$B$1:$B$1324,"&lt;="&amp;B759)</f>
        <v>754424.72</v>
      </c>
      <c r="N759" s="61" t="str">
        <f>IF(tblMovimientos[[#This Row],[Tipo de Movimiento]]="Ingreso",tblMovimientos[[#This Row],[Monto (S/)]],"0")</f>
        <v>0</v>
      </c>
      <c r="O759" s="61">
        <f>IF(tblMovimientos[[#This Row],[Tipo de Movimiento]]="Egreso",tblMovimientos[[#This Row],[Monto (S/)]],"0")</f>
        <v>70000</v>
      </c>
      <c r="P759" s="28">
        <f>IF(tblMovimientos[[#This Row],[Tipo de Movimiento]]="Ingreso",tblMovimientos[[#This Row],[Ingreso]],-tblMovimientos[[#This Row],[Egreso]])</f>
        <v>-70000</v>
      </c>
      <c r="Q759" s="78" t="str">
        <f>_xlfn.XLOOKUP(tblMovimientos[[#This Row],[Cuenta Bancaria]],Cuentas!$C:$C,Cuentas!$A:$A,"")&amp;""</f>
        <v>SSP Group</v>
      </c>
      <c r="R759" s="78" t="str">
        <f>_xlfn.XLOOKUP(tblMovimientos[[#This Row],[Cuenta Bancaria]],Cuentas!$C:$C,Cuentas!$B:$B,"",0,-1)&amp;""</f>
        <v/>
      </c>
    </row>
    <row r="760" spans="2:18" x14ac:dyDescent="0.3">
      <c r="B760" s="39">
        <v>46246</v>
      </c>
      <c r="C760" s="4" t="str">
        <f>_xlfn.XLOOKUP(tblMovimientos[[#This Row],[Cuenta Bancaria]],Listas!$B:$B,Listas!$A:$A,"")</f>
        <v>Soweto</v>
      </c>
      <c r="D760" s="41" t="s">
        <v>116</v>
      </c>
      <c r="E760" s="68" t="str">
        <f>_xlfn.XLOOKUP(tblMovimientos[[#This Row],[Cuenta Bancaria]],Listas!$B:$B,Listas!$C:$C,"")</f>
        <v>Citibank</v>
      </c>
      <c r="F760" s="41" t="s">
        <v>10</v>
      </c>
      <c r="G760" s="41" t="s">
        <v>60</v>
      </c>
      <c r="H760" s="4" t="str">
        <f>IFERROR(_xlfn.XLOOKUP(G760,Listas!E:E,Listas!F:F,""),"")</f>
        <v>Inversion</v>
      </c>
      <c r="I760" s="46" t="str">
        <f>IFERROR(_xlfn.XLOOKUP(G760,Listas!E:E,Listas!G:G,""),"")</f>
        <v>Interno</v>
      </c>
      <c r="J760" s="43">
        <v>70000</v>
      </c>
      <c r="K760" s="5">
        <f t="shared" si="11"/>
        <v>-70000</v>
      </c>
      <c r="L760" s="15" t="s">
        <v>132</v>
      </c>
      <c r="M760" s="44">
        <f>SUMIFS('Saldos Iniciales'!$D:$D,'Saldos Iniciales'!$A:$A,C760,'Saldos Iniciales'!$B:$B,D760)+SUMIFS($K$1:$K$1324,$C$1:$C$1324,C760,$D$1:$D$1324,D760,$B$1:$B$1324,"&lt;="&amp;B760)</f>
        <v>754424.72</v>
      </c>
      <c r="N760" s="61" t="str">
        <f>IF(tblMovimientos[[#This Row],[Tipo de Movimiento]]="Ingreso",tblMovimientos[[#This Row],[Monto (S/)]],"0")</f>
        <v>0</v>
      </c>
      <c r="O760" s="61">
        <f>IF(tblMovimientos[[#This Row],[Tipo de Movimiento]]="Egreso",tblMovimientos[[#This Row],[Monto (S/)]],"0")</f>
        <v>70000</v>
      </c>
      <c r="P760" s="28">
        <f>IF(tblMovimientos[[#This Row],[Tipo de Movimiento]]="Ingreso",tblMovimientos[[#This Row],[Ingreso]],-tblMovimientos[[#This Row],[Egreso]])</f>
        <v>-70000</v>
      </c>
      <c r="Q760" s="78" t="str">
        <f>_xlfn.XLOOKUP(tblMovimientos[[#This Row],[Cuenta Bancaria]],Cuentas!$C:$C,Cuentas!$A:$A,"")&amp;""</f>
        <v>SSP Group</v>
      </c>
      <c r="R760" s="78" t="str">
        <f>_xlfn.XLOOKUP(tblMovimientos[[#This Row],[Cuenta Bancaria]],Cuentas!$C:$C,Cuentas!$B:$B,"",0,-1)&amp;""</f>
        <v/>
      </c>
    </row>
    <row r="761" spans="2:18" x14ac:dyDescent="0.3">
      <c r="B761" s="39">
        <v>46246</v>
      </c>
      <c r="C761" s="4" t="str">
        <f>_xlfn.XLOOKUP(tblMovimientos[[#This Row],[Cuenta Bancaria]],Listas!$B:$B,Listas!$A:$A,"")</f>
        <v>Cross Security Trust</v>
      </c>
      <c r="D761" s="41" t="s">
        <v>112</v>
      </c>
      <c r="E761" s="68" t="str">
        <f>_xlfn.XLOOKUP(tblMovimientos[[#This Row],[Cuenta Bancaria]],Listas!$B:$B,Listas!$C:$C,"")</f>
        <v>Bank of America</v>
      </c>
      <c r="F761" s="41" t="s">
        <v>9</v>
      </c>
      <c r="G761" s="41" t="s">
        <v>79</v>
      </c>
      <c r="H761" s="4" t="str">
        <f>IFERROR(_xlfn.XLOOKUP(G761,Listas!E:E,Listas!F:F,""),"")</f>
        <v>Inversion</v>
      </c>
      <c r="I761" s="46" t="str">
        <f>IFERROR(_xlfn.XLOOKUP(G761,Listas!E:E,Listas!G:G,""),"")</f>
        <v>Externo</v>
      </c>
      <c r="J761" s="43">
        <v>70000</v>
      </c>
      <c r="K761" s="5">
        <f t="shared" si="11"/>
        <v>70000</v>
      </c>
      <c r="L761" s="15" t="s">
        <v>132</v>
      </c>
      <c r="M761" s="44">
        <f>SUMIFS('Saldos Iniciales'!$D:$D,'Saldos Iniciales'!$A:$A,C761,'Saldos Iniciales'!$B:$B,D761)+SUMIFS($K$1:$K$1324,$C$1:$C$1324,C761,$D$1:$D$1324,D761,$B$1:$B$1324,"&lt;="&amp;B761)</f>
        <v>277582.47000000003</v>
      </c>
      <c r="N761" s="61">
        <f>IF(tblMovimientos[[#This Row],[Tipo de Movimiento]]="Ingreso",tblMovimientos[[#This Row],[Monto (S/)]],"0")</f>
        <v>70000</v>
      </c>
      <c r="O761" s="61" t="str">
        <f>IF(tblMovimientos[[#This Row],[Tipo de Movimiento]]="Egreso",tblMovimientos[[#This Row],[Monto (S/)]],"0")</f>
        <v>0</v>
      </c>
      <c r="P761" s="28">
        <f>IF(tblMovimientos[[#This Row],[Tipo de Movimiento]]="Ingreso",tblMovimientos[[#This Row],[Ingreso]],-tblMovimientos[[#This Row],[Egreso]])</f>
        <v>70000</v>
      </c>
      <c r="Q761" s="78" t="str">
        <f>_xlfn.XLOOKUP(tblMovimientos[[#This Row],[Cuenta Bancaria]],Cuentas!$C:$C,Cuentas!$A:$A,"")&amp;""</f>
        <v>SSP Group</v>
      </c>
      <c r="R761" s="78" t="str">
        <f>_xlfn.XLOOKUP(tblMovimientos[[#This Row],[Cuenta Bancaria]],Cuentas!$C:$C,Cuentas!$B:$B,"",0,-1)&amp;""</f>
        <v>Trust</v>
      </c>
    </row>
    <row r="762" spans="2:18" x14ac:dyDescent="0.3">
      <c r="B762" s="39">
        <v>46246</v>
      </c>
      <c r="C762" s="4" t="str">
        <f>_xlfn.XLOOKUP(tblMovimientos[[#This Row],[Cuenta Bancaria]],Listas!$B:$B,Listas!$A:$A,"")</f>
        <v>3628 Thomas Ave</v>
      </c>
      <c r="D762" s="41" t="s">
        <v>124</v>
      </c>
      <c r="E762" s="68" t="str">
        <f>_xlfn.XLOOKUP(tblMovimientos[[#This Row],[Cuenta Bancaria]],Listas!$B:$B,Listas!$C:$C,"")</f>
        <v>Bank of America</v>
      </c>
      <c r="F762" s="41" t="s">
        <v>10</v>
      </c>
      <c r="G762" s="41" t="s">
        <v>38</v>
      </c>
      <c r="H762" s="4" t="str">
        <f>IFERROR(_xlfn.XLOOKUP(G762,Listas!E:E,Listas!F:F,""),"")</f>
        <v>Operativo</v>
      </c>
      <c r="I762" s="46" t="str">
        <f>IFERROR(_xlfn.XLOOKUP(G762,Listas!E:E,Listas!G:G,""),"")</f>
        <v>Externo</v>
      </c>
      <c r="J762" s="43">
        <v>106.4</v>
      </c>
      <c r="K762" s="5">
        <f t="shared" si="11"/>
        <v>-106.4</v>
      </c>
      <c r="L762" s="15" t="s">
        <v>132</v>
      </c>
      <c r="M762" s="44">
        <f>SUMIFS('Saldos Iniciales'!$D:$D,'Saldos Iniciales'!$A:$A,C762,'Saldos Iniciales'!$B:$B,D762)+SUMIFS($K$1:$K$1324,$C$1:$C$1324,C762,$D$1:$D$1324,D762,$B$1:$B$1324,"&lt;="&amp;B762)</f>
        <v>19336.039999999997</v>
      </c>
      <c r="N762" s="61" t="str">
        <f>IF(tblMovimientos[[#This Row],[Tipo de Movimiento]]="Ingreso",tblMovimientos[[#This Row],[Monto (S/)]],"0")</f>
        <v>0</v>
      </c>
      <c r="O762" s="61">
        <f>IF(tblMovimientos[[#This Row],[Tipo de Movimiento]]="Egreso",tblMovimientos[[#This Row],[Monto (S/)]],"0")</f>
        <v>106.4</v>
      </c>
      <c r="P762" s="28">
        <f>IF(tblMovimientos[[#This Row],[Tipo de Movimiento]]="Ingreso",tblMovimientos[[#This Row],[Ingreso]],-tblMovimientos[[#This Row],[Egreso]])</f>
        <v>-106.4</v>
      </c>
      <c r="Q762" s="78" t="str">
        <f>_xlfn.XLOOKUP(tblMovimientos[[#This Row],[Cuenta Bancaria]],Cuentas!$C:$C,Cuentas!$A:$A,"")&amp;""</f>
        <v>SSP Group</v>
      </c>
      <c r="R762" s="78" t="str">
        <f>_xlfn.XLOOKUP(tblMovimientos[[#This Row],[Cuenta Bancaria]],Cuentas!$C:$C,Cuentas!$B:$B,"",0,-1)&amp;""</f>
        <v/>
      </c>
    </row>
    <row r="763" spans="2:18" x14ac:dyDescent="0.3">
      <c r="B763" s="39">
        <v>46246</v>
      </c>
      <c r="C763" s="4" t="str">
        <f>_xlfn.XLOOKUP(tblMovimientos[[#This Row],[Cuenta Bancaria]],Listas!$B:$B,Listas!$A:$A,"")</f>
        <v>Soweto</v>
      </c>
      <c r="D763" s="41" t="s">
        <v>116</v>
      </c>
      <c r="E763" s="68" t="str">
        <f>_xlfn.XLOOKUP(tblMovimientos[[#This Row],[Cuenta Bancaria]],Listas!$B:$B,Listas!$C:$C,"")</f>
        <v>Citibank</v>
      </c>
      <c r="F763" s="41" t="s">
        <v>10</v>
      </c>
      <c r="G763" s="41" t="s">
        <v>44</v>
      </c>
      <c r="H763" s="4" t="str">
        <f>IFERROR(_xlfn.XLOOKUP(G763,Listas!E:E,Listas!F:F,""),"")</f>
        <v>Operativo</v>
      </c>
      <c r="I763" s="46" t="str">
        <f>IFERROR(_xlfn.XLOOKUP(G763,Listas!E:E,Listas!G:G,""),"")</f>
        <v>Externo</v>
      </c>
      <c r="J763" s="43">
        <v>55</v>
      </c>
      <c r="K763" s="5">
        <f t="shared" si="11"/>
        <v>-55</v>
      </c>
      <c r="L763" s="15" t="s">
        <v>132</v>
      </c>
      <c r="M763" s="44">
        <f>SUMIFS('Saldos Iniciales'!$D:$D,'Saldos Iniciales'!$A:$A,C763,'Saldos Iniciales'!$B:$B,D763)+SUMIFS($K$1:$K$1324,$C$1:$C$1324,C763,$D$1:$D$1324,D763,$B$1:$B$1324,"&lt;="&amp;B763)</f>
        <v>754424.72</v>
      </c>
      <c r="N763" s="61" t="str">
        <f>IF(tblMovimientos[[#This Row],[Tipo de Movimiento]]="Ingreso",tblMovimientos[[#This Row],[Monto (S/)]],"0")</f>
        <v>0</v>
      </c>
      <c r="O763" s="61">
        <f>IF(tblMovimientos[[#This Row],[Tipo de Movimiento]]="Egreso",tblMovimientos[[#This Row],[Monto (S/)]],"0")</f>
        <v>55</v>
      </c>
      <c r="P763" s="28">
        <f>IF(tblMovimientos[[#This Row],[Tipo de Movimiento]]="Ingreso",tblMovimientos[[#This Row],[Ingreso]],-tblMovimientos[[#This Row],[Egreso]])</f>
        <v>-55</v>
      </c>
      <c r="Q763" s="78" t="str">
        <f>_xlfn.XLOOKUP(tblMovimientos[[#This Row],[Cuenta Bancaria]],Cuentas!$C:$C,Cuentas!$A:$A,"")&amp;""</f>
        <v>SSP Group</v>
      </c>
      <c r="R763" s="78" t="str">
        <f>_xlfn.XLOOKUP(tblMovimientos[[#This Row],[Cuenta Bancaria]],Cuentas!$C:$C,Cuentas!$B:$B,"",0,-1)&amp;""</f>
        <v/>
      </c>
    </row>
    <row r="764" spans="2:18" x14ac:dyDescent="0.3">
      <c r="B764" s="39">
        <v>46246</v>
      </c>
      <c r="C764" s="4" t="str">
        <f>_xlfn.XLOOKUP(tblMovimientos[[#This Row],[Cuenta Bancaria]],Listas!$B:$B,Listas!$A:$A,"")</f>
        <v>Soweto</v>
      </c>
      <c r="D764" s="41" t="s">
        <v>116</v>
      </c>
      <c r="E764" s="68" t="str">
        <f>_xlfn.XLOOKUP(tblMovimientos[[#This Row],[Cuenta Bancaria]],Listas!$B:$B,Listas!$C:$C,"")</f>
        <v>Citibank</v>
      </c>
      <c r="F764" s="41" t="s">
        <v>10</v>
      </c>
      <c r="G764" s="41" t="s">
        <v>44</v>
      </c>
      <c r="H764" s="4" t="str">
        <f>IFERROR(_xlfn.XLOOKUP(G764,Listas!E:E,Listas!F:F,""),"")</f>
        <v>Operativo</v>
      </c>
      <c r="I764" s="46" t="str">
        <f>IFERROR(_xlfn.XLOOKUP(G764,Listas!E:E,Listas!G:G,""),"")</f>
        <v>Externo</v>
      </c>
      <c r="J764" s="43">
        <v>55</v>
      </c>
      <c r="K764" s="5">
        <f t="shared" si="11"/>
        <v>-55</v>
      </c>
      <c r="L764" s="15" t="s">
        <v>132</v>
      </c>
      <c r="M764" s="44">
        <f>SUMIFS('Saldos Iniciales'!$D:$D,'Saldos Iniciales'!$A:$A,C764,'Saldos Iniciales'!$B:$B,D764)+SUMIFS($K$1:$K$1324,$C$1:$C$1324,C764,$D$1:$D$1324,D764,$B$1:$B$1324,"&lt;="&amp;B764)</f>
        <v>754424.72</v>
      </c>
      <c r="N764" s="61" t="str">
        <f>IF(tblMovimientos[[#This Row],[Tipo de Movimiento]]="Ingreso",tblMovimientos[[#This Row],[Monto (S/)]],"0")</f>
        <v>0</v>
      </c>
      <c r="O764" s="61">
        <f>IF(tblMovimientos[[#This Row],[Tipo de Movimiento]]="Egreso",tblMovimientos[[#This Row],[Monto (S/)]],"0")</f>
        <v>55</v>
      </c>
      <c r="P764" s="28">
        <f>IF(tblMovimientos[[#This Row],[Tipo de Movimiento]]="Ingreso",tblMovimientos[[#This Row],[Ingreso]],-tblMovimientos[[#This Row],[Egreso]])</f>
        <v>-55</v>
      </c>
      <c r="Q764" s="78" t="str">
        <f>_xlfn.XLOOKUP(tblMovimientos[[#This Row],[Cuenta Bancaria]],Cuentas!$C:$C,Cuentas!$A:$A,"")&amp;""</f>
        <v>SSP Group</v>
      </c>
      <c r="R764" s="78" t="str">
        <f>_xlfn.XLOOKUP(tblMovimientos[[#This Row],[Cuenta Bancaria]],Cuentas!$C:$C,Cuentas!$B:$B,"",0,-1)&amp;""</f>
        <v/>
      </c>
    </row>
    <row r="765" spans="2:18" x14ac:dyDescent="0.3">
      <c r="B765" s="39">
        <v>46246</v>
      </c>
      <c r="C765" s="4" t="str">
        <f>_xlfn.XLOOKUP(tblMovimientos[[#This Row],[Cuenta Bancaria]],Listas!$B:$B,Listas!$A:$A,"")</f>
        <v>Soweto</v>
      </c>
      <c r="D765" s="41" t="s">
        <v>116</v>
      </c>
      <c r="E765" s="68" t="str">
        <f>_xlfn.XLOOKUP(tblMovimientos[[#This Row],[Cuenta Bancaria]],Listas!$B:$B,Listas!$C:$C,"")</f>
        <v>Citibank</v>
      </c>
      <c r="F765" s="41" t="s">
        <v>10</v>
      </c>
      <c r="G765" s="41" t="s">
        <v>44</v>
      </c>
      <c r="H765" s="4" t="str">
        <f>IFERROR(_xlfn.XLOOKUP(G765,Listas!E:E,Listas!F:F,""),"")</f>
        <v>Operativo</v>
      </c>
      <c r="I765" s="46" t="str">
        <f>IFERROR(_xlfn.XLOOKUP(G765,Listas!E:E,Listas!G:G,""),"")</f>
        <v>Externo</v>
      </c>
      <c r="J765" s="43">
        <v>55</v>
      </c>
      <c r="K765" s="5">
        <f t="shared" si="11"/>
        <v>-55</v>
      </c>
      <c r="L765" s="15" t="s">
        <v>132</v>
      </c>
      <c r="M765" s="44">
        <f>SUMIFS('Saldos Iniciales'!$D:$D,'Saldos Iniciales'!$A:$A,C765,'Saldos Iniciales'!$B:$B,D765)+SUMIFS($K$1:$K$1324,$C$1:$C$1324,C765,$D$1:$D$1324,D765,$B$1:$B$1324,"&lt;="&amp;B765)</f>
        <v>754424.72</v>
      </c>
      <c r="N765" s="61" t="str">
        <f>IF(tblMovimientos[[#This Row],[Tipo de Movimiento]]="Ingreso",tblMovimientos[[#This Row],[Monto (S/)]],"0")</f>
        <v>0</v>
      </c>
      <c r="O765" s="61">
        <f>IF(tblMovimientos[[#This Row],[Tipo de Movimiento]]="Egreso",tblMovimientos[[#This Row],[Monto (S/)]],"0")</f>
        <v>55</v>
      </c>
      <c r="P765" s="28">
        <f>IF(tblMovimientos[[#This Row],[Tipo de Movimiento]]="Ingreso",tblMovimientos[[#This Row],[Ingreso]],-tblMovimientos[[#This Row],[Egreso]])</f>
        <v>-55</v>
      </c>
      <c r="Q765" s="78" t="str">
        <f>_xlfn.XLOOKUP(tblMovimientos[[#This Row],[Cuenta Bancaria]],Cuentas!$C:$C,Cuentas!$A:$A,"")&amp;""</f>
        <v>SSP Group</v>
      </c>
      <c r="R765" s="78" t="str">
        <f>_xlfn.XLOOKUP(tblMovimientos[[#This Row],[Cuenta Bancaria]],Cuentas!$C:$C,Cuentas!$B:$B,"",0,-1)&amp;""</f>
        <v/>
      </c>
    </row>
    <row r="766" spans="2:18" x14ac:dyDescent="0.3">
      <c r="B766" s="39">
        <v>46247</v>
      </c>
      <c r="C766" s="4" t="str">
        <f>_xlfn.XLOOKUP(tblMovimientos[[#This Row],[Cuenta Bancaria]],Listas!$B:$B,Listas!$A:$A,"")</f>
        <v>A&amp;M Imports</v>
      </c>
      <c r="D766" s="41" t="s">
        <v>100</v>
      </c>
      <c r="E766" s="68" t="str">
        <f>_xlfn.XLOOKUP(tblMovimientos[[#This Row],[Cuenta Bancaria]],Listas!$B:$B,Listas!$C:$C,"")</f>
        <v>Bank of America</v>
      </c>
      <c r="F766" s="41" t="s">
        <v>10</v>
      </c>
      <c r="G766" s="41" t="s">
        <v>61</v>
      </c>
      <c r="H766" s="4" t="str">
        <f>IFERROR(_xlfn.XLOOKUP(G766,Listas!E:E,Listas!F:F,""),"")</f>
        <v>Operativo</v>
      </c>
      <c r="I766" s="46" t="str">
        <f>IFERROR(_xlfn.XLOOKUP(G766,Listas!E:E,Listas!G:G,""),"")</f>
        <v>Externo</v>
      </c>
      <c r="J766" s="43">
        <v>60000</v>
      </c>
      <c r="K766" s="5">
        <f t="shared" si="11"/>
        <v>-60000</v>
      </c>
      <c r="L766" s="15" t="s">
        <v>132</v>
      </c>
      <c r="M766" s="44">
        <f>SUMIFS('Saldos Iniciales'!$D:$D,'Saldos Iniciales'!$A:$A,C766,'Saldos Iniciales'!$B:$B,D766)+SUMIFS($K$1:$K$1324,$C$1:$C$1324,C766,$D$1:$D$1324,D766,$B$1:$B$1324,"&lt;="&amp;B766)</f>
        <v>1289451.94</v>
      </c>
      <c r="N766" s="61" t="str">
        <f>IF(tblMovimientos[[#This Row],[Tipo de Movimiento]]="Ingreso",tblMovimientos[[#This Row],[Monto (S/)]],"0")</f>
        <v>0</v>
      </c>
      <c r="O766" s="61">
        <f>IF(tblMovimientos[[#This Row],[Tipo de Movimiento]]="Egreso",tblMovimientos[[#This Row],[Monto (S/)]],"0")</f>
        <v>60000</v>
      </c>
      <c r="P766" s="28">
        <f>IF(tblMovimientos[[#This Row],[Tipo de Movimiento]]="Ingreso",tblMovimientos[[#This Row],[Ingreso]],-tblMovimientos[[#This Row],[Egreso]])</f>
        <v>-60000</v>
      </c>
      <c r="Q766" s="78" t="str">
        <f>_xlfn.XLOOKUP(tblMovimientos[[#This Row],[Cuenta Bancaria]],Cuentas!$C:$C,Cuentas!$A:$A,"")&amp;""</f>
        <v>SSP Group</v>
      </c>
      <c r="R766" s="78" t="str">
        <f>_xlfn.XLOOKUP(tblMovimientos[[#This Row],[Cuenta Bancaria]],Cuentas!$C:$C,Cuentas!$B:$B,"",0,-1)&amp;""</f>
        <v/>
      </c>
    </row>
    <row r="767" spans="2:18" x14ac:dyDescent="0.3">
      <c r="B767" s="39">
        <v>46247</v>
      </c>
      <c r="C767" s="4" t="str">
        <f>_xlfn.XLOOKUP(tblMovimientos[[#This Row],[Cuenta Bancaria]],Listas!$B:$B,Listas!$A:$A,"")</f>
        <v>CFT Group</v>
      </c>
      <c r="D767" s="41" t="s">
        <v>94</v>
      </c>
      <c r="E767" s="68" t="str">
        <f>_xlfn.XLOOKUP(tblMovimientos[[#This Row],[Cuenta Bancaria]],Listas!$B:$B,Listas!$C:$C,"")</f>
        <v>Bank of America</v>
      </c>
      <c r="F767" s="41" t="s">
        <v>10</v>
      </c>
      <c r="G767" s="41" t="s">
        <v>64</v>
      </c>
      <c r="H767" s="4" t="str">
        <f>IFERROR(_xlfn.XLOOKUP(G767,Listas!E:E,Listas!F:F,""),"")</f>
        <v>Operativo</v>
      </c>
      <c r="I767" s="46" t="str">
        <f>IFERROR(_xlfn.XLOOKUP(G767,Listas!E:E,Listas!G:G,""),"")</f>
        <v>Interno</v>
      </c>
      <c r="J767" s="43">
        <v>300000</v>
      </c>
      <c r="K767" s="5">
        <f t="shared" si="11"/>
        <v>-300000</v>
      </c>
      <c r="L767" s="15" t="s">
        <v>132</v>
      </c>
      <c r="M767" s="44">
        <f>SUMIFS('Saldos Iniciales'!$D:$D,'Saldos Iniciales'!$A:$A,C767,'Saldos Iniciales'!$B:$B,D767)+SUMIFS($K$1:$K$1324,$C$1:$C$1324,C767,$D$1:$D$1324,D767,$B$1:$B$1324,"&lt;="&amp;B767)</f>
        <v>29551.26999999999</v>
      </c>
      <c r="N767" s="61" t="str">
        <f>IF(tblMovimientos[[#This Row],[Tipo de Movimiento]]="Ingreso",tblMovimientos[[#This Row],[Monto (S/)]],"0")</f>
        <v>0</v>
      </c>
      <c r="O767" s="61">
        <f>IF(tblMovimientos[[#This Row],[Tipo de Movimiento]]="Egreso",tblMovimientos[[#This Row],[Monto (S/)]],"0")</f>
        <v>300000</v>
      </c>
      <c r="P767" s="28">
        <f>IF(tblMovimientos[[#This Row],[Tipo de Movimiento]]="Ingreso",tblMovimientos[[#This Row],[Ingreso]],-tblMovimientos[[#This Row],[Egreso]])</f>
        <v>-300000</v>
      </c>
      <c r="Q767" s="78" t="str">
        <f>_xlfn.XLOOKUP(tblMovimientos[[#This Row],[Cuenta Bancaria]],Cuentas!$C:$C,Cuentas!$A:$A,"")&amp;""</f>
        <v>SSP Group</v>
      </c>
      <c r="R767" s="78" t="str">
        <f>_xlfn.XLOOKUP(tblMovimientos[[#This Row],[Cuenta Bancaria]],Cuentas!$C:$C,Cuentas!$B:$B,"",0,-1)&amp;""</f>
        <v/>
      </c>
    </row>
    <row r="768" spans="2:18" x14ac:dyDescent="0.3">
      <c r="B768" s="39">
        <v>46247</v>
      </c>
      <c r="C768" s="4" t="str">
        <f>_xlfn.XLOOKUP(tblMovimientos[[#This Row],[Cuenta Bancaria]],Listas!$B:$B,Listas!$A:$A,"")</f>
        <v>CFT Group</v>
      </c>
      <c r="D768" s="41" t="s">
        <v>94</v>
      </c>
      <c r="E768" s="68" t="str">
        <f>_xlfn.XLOOKUP(tblMovimientos[[#This Row],[Cuenta Bancaria]],Listas!$B:$B,Listas!$C:$C,"")</f>
        <v>Bank of America</v>
      </c>
      <c r="F768" s="41" t="s">
        <v>10</v>
      </c>
      <c r="G768" s="41" t="s">
        <v>64</v>
      </c>
      <c r="H768" s="4" t="str">
        <f>IFERROR(_xlfn.XLOOKUP(G768,Listas!E:E,Listas!F:F,""),"")</f>
        <v>Operativo</v>
      </c>
      <c r="I768" s="46" t="str">
        <f>IFERROR(_xlfn.XLOOKUP(G768,Listas!E:E,Listas!G:G,""),"")</f>
        <v>Interno</v>
      </c>
      <c r="J768" s="43">
        <v>10000</v>
      </c>
      <c r="K768" s="5">
        <f t="shared" si="11"/>
        <v>-10000</v>
      </c>
      <c r="L768" s="15" t="s">
        <v>132</v>
      </c>
      <c r="M768" s="44">
        <f>SUMIFS('Saldos Iniciales'!$D:$D,'Saldos Iniciales'!$A:$A,C768,'Saldos Iniciales'!$B:$B,D768)+SUMIFS($K$1:$K$1324,$C$1:$C$1324,C768,$D$1:$D$1324,D768,$B$1:$B$1324,"&lt;="&amp;B768)</f>
        <v>29551.26999999999</v>
      </c>
      <c r="N768" s="61" t="str">
        <f>IF(tblMovimientos[[#This Row],[Tipo de Movimiento]]="Ingreso",tblMovimientos[[#This Row],[Monto (S/)]],"0")</f>
        <v>0</v>
      </c>
      <c r="O768" s="61">
        <f>IF(tblMovimientos[[#This Row],[Tipo de Movimiento]]="Egreso",tblMovimientos[[#This Row],[Monto (S/)]],"0")</f>
        <v>10000</v>
      </c>
      <c r="P768" s="28">
        <f>IF(tblMovimientos[[#This Row],[Tipo de Movimiento]]="Ingreso",tblMovimientos[[#This Row],[Ingreso]],-tblMovimientos[[#This Row],[Egreso]])</f>
        <v>-10000</v>
      </c>
      <c r="Q768" s="78" t="str">
        <f>_xlfn.XLOOKUP(tblMovimientos[[#This Row],[Cuenta Bancaria]],Cuentas!$C:$C,Cuentas!$A:$A,"")&amp;""</f>
        <v>SSP Group</v>
      </c>
      <c r="R768" s="78" t="str">
        <f>_xlfn.XLOOKUP(tblMovimientos[[#This Row],[Cuenta Bancaria]],Cuentas!$C:$C,Cuentas!$B:$B,"",0,-1)&amp;""</f>
        <v/>
      </c>
    </row>
    <row r="769" spans="1:18" x14ac:dyDescent="0.3">
      <c r="B769" s="39">
        <v>46247</v>
      </c>
      <c r="C769" s="4" t="str">
        <f>_xlfn.XLOOKUP(tblMovimientos[[#This Row],[Cuenta Bancaria]],Listas!$B:$B,Listas!$A:$A,"")</f>
        <v>2515 Overbrook</v>
      </c>
      <c r="D769" s="41" t="s">
        <v>121</v>
      </c>
      <c r="E769" s="68" t="str">
        <f>_xlfn.XLOOKUP(tblMovimientos[[#This Row],[Cuenta Bancaria]],Listas!$B:$B,Listas!$C:$C,"")</f>
        <v>Bank of America</v>
      </c>
      <c r="F769" s="41" t="s">
        <v>9</v>
      </c>
      <c r="G769" s="41" t="s">
        <v>85</v>
      </c>
      <c r="H769" s="4" t="str">
        <f>IFERROR(_xlfn.XLOOKUP(G769,Listas!E:E,Listas!F:F,""),"")</f>
        <v>Operativo</v>
      </c>
      <c r="I769" s="46" t="str">
        <f>IFERROR(_xlfn.XLOOKUP(G769,Listas!E:E,Listas!G:G,""),"")</f>
        <v>Interno</v>
      </c>
      <c r="J769" s="43">
        <v>10000</v>
      </c>
      <c r="K769" s="5">
        <f t="shared" si="11"/>
        <v>10000</v>
      </c>
      <c r="L769" s="15" t="s">
        <v>132</v>
      </c>
      <c r="M769" s="44">
        <f>SUMIFS('Saldos Iniciales'!$D:$D,'Saldos Iniciales'!$A:$A,C769,'Saldos Iniciales'!$B:$B,D769)+SUMIFS($K$1:$K$1324,$C$1:$C$1324,C769,$D$1:$D$1324,D769,$B$1:$B$1324,"&lt;="&amp;B769)</f>
        <v>13390.289999999964</v>
      </c>
      <c r="N769" s="61">
        <f>IF(tblMovimientos[[#This Row],[Tipo de Movimiento]]="Ingreso",tblMovimientos[[#This Row],[Monto (S/)]],"0")</f>
        <v>10000</v>
      </c>
      <c r="O769" s="61" t="str">
        <f>IF(tblMovimientos[[#This Row],[Tipo de Movimiento]]="Egreso",tblMovimientos[[#This Row],[Monto (S/)]],"0")</f>
        <v>0</v>
      </c>
      <c r="P769" s="28">
        <f>IF(tblMovimientos[[#This Row],[Tipo de Movimiento]]="Ingreso",tblMovimientos[[#This Row],[Ingreso]],-tblMovimientos[[#This Row],[Egreso]])</f>
        <v>10000</v>
      </c>
      <c r="Q769" s="78" t="str">
        <f>_xlfn.XLOOKUP(tblMovimientos[[#This Row],[Cuenta Bancaria]],Cuentas!$C:$C,Cuentas!$A:$A,"")&amp;""</f>
        <v>SSP Group</v>
      </c>
      <c r="R769" s="78" t="str">
        <f>_xlfn.XLOOKUP(tblMovimientos[[#This Row],[Cuenta Bancaria]],Cuentas!$C:$C,Cuentas!$B:$B,"",0,-1)&amp;""</f>
        <v/>
      </c>
    </row>
    <row r="770" spans="1:18" x14ac:dyDescent="0.3">
      <c r="B770" s="39">
        <v>46247</v>
      </c>
      <c r="C770" s="4" t="str">
        <f>_xlfn.XLOOKUP(tblMovimientos[[#This Row],[Cuenta Bancaria]],Listas!$B:$B,Listas!$A:$A,"")</f>
        <v>CFT Group</v>
      </c>
      <c r="D770" s="41" t="s">
        <v>95</v>
      </c>
      <c r="E770" s="68" t="str">
        <f>_xlfn.XLOOKUP(tblMovimientos[[#This Row],[Cuenta Bancaria]],Listas!$B:$B,Listas!$C:$C,"")</f>
        <v xml:space="preserve">Amerant Bank </v>
      </c>
      <c r="F770" s="41" t="s">
        <v>9</v>
      </c>
      <c r="G770" s="41" t="s">
        <v>68</v>
      </c>
      <c r="H770" s="4" t="str">
        <f>IFERROR(_xlfn.XLOOKUP(G770,Listas!E:E,Listas!F:F,""),"")</f>
        <v>Operativo</v>
      </c>
      <c r="I770" s="46" t="str">
        <f>IFERROR(_xlfn.XLOOKUP(G770,Listas!E:E,Listas!G:G,""),"")</f>
        <v>Externo</v>
      </c>
      <c r="J770" s="43">
        <v>18088.189999999999</v>
      </c>
      <c r="K770" s="5">
        <f t="shared" ref="K770:K833" si="12">IF(F770="Ingreso",J770,-J770)</f>
        <v>18088.189999999999</v>
      </c>
      <c r="L770" s="15" t="s">
        <v>132</v>
      </c>
      <c r="M770" s="44">
        <f>SUMIFS('Saldos Iniciales'!$D:$D,'Saldos Iniciales'!$A:$A,C770,'Saldos Iniciales'!$B:$B,D770)+SUMIFS($K$1:$K$1324,$C$1:$C$1324,C770,$D$1:$D$1324,D770,$B$1:$B$1324,"&lt;="&amp;B770)</f>
        <v>1006435.0800000008</v>
      </c>
      <c r="N770" s="61">
        <f>IF(tblMovimientos[[#This Row],[Tipo de Movimiento]]="Ingreso",tblMovimientos[[#This Row],[Monto (S/)]],"0")</f>
        <v>18088.189999999999</v>
      </c>
      <c r="O770" s="61" t="str">
        <f>IF(tblMovimientos[[#This Row],[Tipo de Movimiento]]="Egreso",tblMovimientos[[#This Row],[Monto (S/)]],"0")</f>
        <v>0</v>
      </c>
      <c r="P770" s="28">
        <f>IF(tblMovimientos[[#This Row],[Tipo de Movimiento]]="Ingreso",tblMovimientos[[#This Row],[Ingreso]],-tblMovimientos[[#This Row],[Egreso]])</f>
        <v>18088.189999999999</v>
      </c>
      <c r="Q770" s="78" t="str">
        <f>_xlfn.XLOOKUP(tblMovimientos[[#This Row],[Cuenta Bancaria]],Cuentas!$C:$C,Cuentas!$A:$A,"")&amp;""</f>
        <v>SSP Group</v>
      </c>
      <c r="R770" s="78" t="str">
        <f>_xlfn.XLOOKUP(tblMovimientos[[#This Row],[Cuenta Bancaria]],Cuentas!$C:$C,Cuentas!$B:$B,"",0,-1)&amp;""</f>
        <v/>
      </c>
    </row>
    <row r="771" spans="1:18" x14ac:dyDescent="0.3">
      <c r="B771" s="39">
        <v>46247</v>
      </c>
      <c r="C771" s="4" t="str">
        <f>_xlfn.XLOOKUP(tblMovimientos[[#This Row],[Cuenta Bancaria]],Listas!$B:$B,Listas!$A:$A,"")</f>
        <v>CFT Group</v>
      </c>
      <c r="D771" s="41" t="s">
        <v>95</v>
      </c>
      <c r="E771" s="68" t="str">
        <f>_xlfn.XLOOKUP(tblMovimientos[[#This Row],[Cuenta Bancaria]],Listas!$B:$B,Listas!$C:$C,"")</f>
        <v xml:space="preserve">Amerant Bank </v>
      </c>
      <c r="F771" s="41" t="s">
        <v>9</v>
      </c>
      <c r="G771" s="41" t="s">
        <v>85</v>
      </c>
      <c r="H771" s="4" t="str">
        <f>IFERROR(_xlfn.XLOOKUP(G771,Listas!E:E,Listas!F:F,""),"")</f>
        <v>Operativo</v>
      </c>
      <c r="I771" s="46" t="str">
        <f>IFERROR(_xlfn.XLOOKUP(G771,Listas!E:E,Listas!G:G,""),"")</f>
        <v>Interno</v>
      </c>
      <c r="J771" s="43">
        <v>300000</v>
      </c>
      <c r="K771" s="5">
        <f t="shared" si="12"/>
        <v>300000</v>
      </c>
      <c r="L771" s="15" t="s">
        <v>132</v>
      </c>
      <c r="M771" s="44">
        <f>SUMIFS('Saldos Iniciales'!$D:$D,'Saldos Iniciales'!$A:$A,C771,'Saldos Iniciales'!$B:$B,D771)+SUMIFS($K$1:$K$1324,$C$1:$C$1324,C771,$D$1:$D$1324,D771,$B$1:$B$1324,"&lt;="&amp;B771)</f>
        <v>1006435.0800000008</v>
      </c>
      <c r="N771" s="61">
        <f>IF(tblMovimientos[[#This Row],[Tipo de Movimiento]]="Ingreso",tblMovimientos[[#This Row],[Monto (S/)]],"0")</f>
        <v>300000</v>
      </c>
      <c r="O771" s="61" t="str">
        <f>IF(tblMovimientos[[#This Row],[Tipo de Movimiento]]="Egreso",tblMovimientos[[#This Row],[Monto (S/)]],"0")</f>
        <v>0</v>
      </c>
      <c r="P771" s="28">
        <f>IF(tblMovimientos[[#This Row],[Tipo de Movimiento]]="Ingreso",tblMovimientos[[#This Row],[Ingreso]],-tblMovimientos[[#This Row],[Egreso]])</f>
        <v>300000</v>
      </c>
      <c r="Q771" s="78" t="str">
        <f>_xlfn.XLOOKUP(tblMovimientos[[#This Row],[Cuenta Bancaria]],Cuentas!$C:$C,Cuentas!$A:$A,"")&amp;""</f>
        <v>SSP Group</v>
      </c>
      <c r="R771" s="78" t="str">
        <f>_xlfn.XLOOKUP(tblMovimientos[[#This Row],[Cuenta Bancaria]],Cuentas!$C:$C,Cuentas!$B:$B,"",0,-1)&amp;""</f>
        <v/>
      </c>
    </row>
    <row r="772" spans="1:18" x14ac:dyDescent="0.3">
      <c r="B772" s="39">
        <v>46247</v>
      </c>
      <c r="C772" s="4" t="str">
        <f>_xlfn.XLOOKUP(tblMovimientos[[#This Row],[Cuenta Bancaria]],Listas!$B:$B,Listas!$A:$A,"")</f>
        <v>CFT Group</v>
      </c>
      <c r="D772" s="41" t="s">
        <v>95</v>
      </c>
      <c r="E772" s="68" t="str">
        <f>_xlfn.XLOOKUP(tblMovimientos[[#This Row],[Cuenta Bancaria]],Listas!$B:$B,Listas!$C:$C,"")</f>
        <v xml:space="preserve">Amerant Bank </v>
      </c>
      <c r="F772" s="41" t="s">
        <v>9</v>
      </c>
      <c r="G772" s="41" t="s">
        <v>77</v>
      </c>
      <c r="H772" s="4" t="str">
        <f>IFERROR(_xlfn.XLOOKUP(G772,Listas!E:E,Listas!F:F,""),"")</f>
        <v>Inversion</v>
      </c>
      <c r="I772" s="46" t="str">
        <f>IFERROR(_xlfn.XLOOKUP(G772,Listas!E:E,Listas!G:G,""),"")</f>
        <v>Interno</v>
      </c>
      <c r="J772" s="43">
        <v>500000</v>
      </c>
      <c r="K772" s="5">
        <f t="shared" si="12"/>
        <v>500000</v>
      </c>
      <c r="L772" s="15" t="s">
        <v>132</v>
      </c>
      <c r="M772" s="44">
        <f>SUMIFS('Saldos Iniciales'!$D:$D,'Saldos Iniciales'!$A:$A,C772,'Saldos Iniciales'!$B:$B,D772)+SUMIFS($K$1:$K$1324,$C$1:$C$1324,C772,$D$1:$D$1324,D772,$B$1:$B$1324,"&lt;="&amp;B772)</f>
        <v>1006435.0800000008</v>
      </c>
      <c r="N772" s="61">
        <f>IF(tblMovimientos[[#This Row],[Tipo de Movimiento]]="Ingreso",tblMovimientos[[#This Row],[Monto (S/)]],"0")</f>
        <v>500000</v>
      </c>
      <c r="O772" s="61" t="str">
        <f>IF(tblMovimientos[[#This Row],[Tipo de Movimiento]]="Egreso",tblMovimientos[[#This Row],[Monto (S/)]],"0")</f>
        <v>0</v>
      </c>
      <c r="P772" s="28">
        <f>IF(tblMovimientos[[#This Row],[Tipo de Movimiento]]="Ingreso",tblMovimientos[[#This Row],[Ingreso]],-tblMovimientos[[#This Row],[Egreso]])</f>
        <v>500000</v>
      </c>
      <c r="Q772" s="78" t="str">
        <f>_xlfn.XLOOKUP(tblMovimientos[[#This Row],[Cuenta Bancaria]],Cuentas!$C:$C,Cuentas!$A:$A,"")&amp;""</f>
        <v>SSP Group</v>
      </c>
      <c r="R772" s="78" t="str">
        <f>_xlfn.XLOOKUP(tblMovimientos[[#This Row],[Cuenta Bancaria]],Cuentas!$C:$C,Cuentas!$B:$B,"",0,-1)&amp;""</f>
        <v/>
      </c>
    </row>
    <row r="773" spans="1:18" x14ac:dyDescent="0.3">
      <c r="B773" s="39">
        <v>46247</v>
      </c>
      <c r="C773" s="4" t="str">
        <f>_xlfn.XLOOKUP(tblMovimientos[[#This Row],[Cuenta Bancaria]],Listas!$B:$B,Listas!$A:$A,"")</f>
        <v>CFT Group</v>
      </c>
      <c r="D773" s="41" t="s">
        <v>95</v>
      </c>
      <c r="E773" s="68" t="str">
        <f>_xlfn.XLOOKUP(tblMovimientos[[#This Row],[Cuenta Bancaria]],Listas!$B:$B,Listas!$C:$C,"")</f>
        <v xml:space="preserve">Amerant Bank </v>
      </c>
      <c r="F773" s="41" t="s">
        <v>10</v>
      </c>
      <c r="G773" s="41" t="s">
        <v>46</v>
      </c>
      <c r="H773" s="4" t="str">
        <f>IFERROR(_xlfn.XLOOKUP(G773,Listas!E:E,Listas!F:F,""),"")</f>
        <v>Financiamiento</v>
      </c>
      <c r="I773" s="46" t="str">
        <f>IFERROR(_xlfn.XLOOKUP(G773,Listas!E:E,Listas!G:G,""),"")</f>
        <v>Externo</v>
      </c>
      <c r="J773" s="43">
        <v>2916.67</v>
      </c>
      <c r="K773" s="5">
        <f t="shared" si="12"/>
        <v>-2916.67</v>
      </c>
      <c r="L773" s="15" t="s">
        <v>132</v>
      </c>
      <c r="M773" s="44">
        <f>SUMIFS('Saldos Iniciales'!$D:$D,'Saldos Iniciales'!$A:$A,C773,'Saldos Iniciales'!$B:$B,D773)+SUMIFS($K$1:$K$1324,$C$1:$C$1324,C773,$D$1:$D$1324,D773,$B$1:$B$1324,"&lt;="&amp;B773)</f>
        <v>1006435.0800000008</v>
      </c>
      <c r="N773" s="61" t="str">
        <f>IF(tblMovimientos[[#This Row],[Tipo de Movimiento]]="Ingreso",tblMovimientos[[#This Row],[Monto (S/)]],"0")</f>
        <v>0</v>
      </c>
      <c r="O773" s="61">
        <f>IF(tblMovimientos[[#This Row],[Tipo de Movimiento]]="Egreso",tblMovimientos[[#This Row],[Monto (S/)]],"0")</f>
        <v>2916.67</v>
      </c>
      <c r="P773" s="28">
        <f>IF(tblMovimientos[[#This Row],[Tipo de Movimiento]]="Ingreso",tblMovimientos[[#This Row],[Ingreso]],-tblMovimientos[[#This Row],[Egreso]])</f>
        <v>-2916.67</v>
      </c>
      <c r="Q773" s="78" t="str">
        <f>_xlfn.XLOOKUP(tblMovimientos[[#This Row],[Cuenta Bancaria]],Cuentas!$C:$C,Cuentas!$A:$A,"")&amp;""</f>
        <v>SSP Group</v>
      </c>
      <c r="R773" s="78" t="str">
        <f>_xlfn.XLOOKUP(tblMovimientos[[#This Row],[Cuenta Bancaria]],Cuentas!$C:$C,Cuentas!$B:$B,"",0,-1)&amp;""</f>
        <v/>
      </c>
    </row>
    <row r="774" spans="1:18" x14ac:dyDescent="0.3">
      <c r="B774" s="39">
        <v>46247</v>
      </c>
      <c r="C774" s="4" t="str">
        <f>_xlfn.XLOOKUP(tblMovimientos[[#This Row],[Cuenta Bancaria]],Listas!$B:$B,Listas!$A:$A,"")</f>
        <v>CFT Group</v>
      </c>
      <c r="D774" s="41" t="s">
        <v>95</v>
      </c>
      <c r="E774" s="68" t="str">
        <f>_xlfn.XLOOKUP(tblMovimientos[[#This Row],[Cuenta Bancaria]],Listas!$B:$B,Listas!$C:$C,"")</f>
        <v xml:space="preserve">Amerant Bank </v>
      </c>
      <c r="F774" s="41" t="s">
        <v>10</v>
      </c>
      <c r="G774" s="41" t="s">
        <v>46</v>
      </c>
      <c r="H774" s="4" t="str">
        <f>IFERROR(_xlfn.XLOOKUP(G774,Listas!E:E,Listas!F:F,""),"")</f>
        <v>Financiamiento</v>
      </c>
      <c r="I774" s="46" t="str">
        <f>IFERROR(_xlfn.XLOOKUP(G774,Listas!E:E,Listas!G:G,""),"")</f>
        <v>Externo</v>
      </c>
      <c r="J774" s="43">
        <v>3616.67</v>
      </c>
      <c r="K774" s="5">
        <f t="shared" si="12"/>
        <v>-3616.67</v>
      </c>
      <c r="L774" s="15" t="s">
        <v>132</v>
      </c>
      <c r="M774" s="44">
        <f>SUMIFS('Saldos Iniciales'!$D:$D,'Saldos Iniciales'!$A:$A,C774,'Saldos Iniciales'!$B:$B,D774)+SUMIFS($K$1:$K$1324,$C$1:$C$1324,C774,$D$1:$D$1324,D774,$B$1:$B$1324,"&lt;="&amp;B774)</f>
        <v>1006435.0800000008</v>
      </c>
      <c r="N774" s="61" t="str">
        <f>IF(tblMovimientos[[#This Row],[Tipo de Movimiento]]="Ingreso",tblMovimientos[[#This Row],[Monto (S/)]],"0")</f>
        <v>0</v>
      </c>
      <c r="O774" s="61">
        <f>IF(tblMovimientos[[#This Row],[Tipo de Movimiento]]="Egreso",tblMovimientos[[#This Row],[Monto (S/)]],"0")</f>
        <v>3616.67</v>
      </c>
      <c r="P774" s="28">
        <f>IF(tblMovimientos[[#This Row],[Tipo de Movimiento]]="Ingreso",tblMovimientos[[#This Row],[Ingreso]],-tblMovimientos[[#This Row],[Egreso]])</f>
        <v>-3616.67</v>
      </c>
      <c r="Q774" s="78" t="str">
        <f>_xlfn.XLOOKUP(tblMovimientos[[#This Row],[Cuenta Bancaria]],Cuentas!$C:$C,Cuentas!$A:$A,"")&amp;""</f>
        <v>SSP Group</v>
      </c>
      <c r="R774" s="78" t="str">
        <f>_xlfn.XLOOKUP(tblMovimientos[[#This Row],[Cuenta Bancaria]],Cuentas!$C:$C,Cuentas!$B:$B,"",0,-1)&amp;""</f>
        <v/>
      </c>
    </row>
    <row r="775" spans="1:18" x14ac:dyDescent="0.3">
      <c r="B775" s="39">
        <v>46247</v>
      </c>
      <c r="C775" s="4" t="str">
        <f>_xlfn.XLOOKUP(tblMovimientos[[#This Row],[Cuenta Bancaria]],Listas!$B:$B,Listas!$A:$A,"")</f>
        <v>CFT Group</v>
      </c>
      <c r="D775" s="41" t="s">
        <v>95</v>
      </c>
      <c r="E775" s="68" t="str">
        <f>_xlfn.XLOOKUP(tblMovimientos[[#This Row],[Cuenta Bancaria]],Listas!$B:$B,Listas!$C:$C,"")</f>
        <v xml:space="preserve">Amerant Bank </v>
      </c>
      <c r="F775" s="41" t="s">
        <v>10</v>
      </c>
      <c r="G775" s="41" t="s">
        <v>46</v>
      </c>
      <c r="H775" s="4" t="str">
        <f>IFERROR(_xlfn.XLOOKUP(G775,Listas!E:E,Listas!F:F,""),"")</f>
        <v>Financiamiento</v>
      </c>
      <c r="I775" s="46" t="str">
        <f>IFERROR(_xlfn.XLOOKUP(G775,Listas!E:E,Listas!G:G,""),"")</f>
        <v>Externo</v>
      </c>
      <c r="J775" s="43">
        <v>5166.67</v>
      </c>
      <c r="K775" s="5">
        <f t="shared" si="12"/>
        <v>-5166.67</v>
      </c>
      <c r="L775" s="15" t="s">
        <v>132</v>
      </c>
      <c r="M775" s="44">
        <f>SUMIFS('Saldos Iniciales'!$D:$D,'Saldos Iniciales'!$A:$A,C775,'Saldos Iniciales'!$B:$B,D775)+SUMIFS($K$1:$K$1324,$C$1:$C$1324,C775,$D$1:$D$1324,D775,$B$1:$B$1324,"&lt;="&amp;B775)</f>
        <v>1006435.0800000008</v>
      </c>
      <c r="N775" s="61" t="str">
        <f>IF(tblMovimientos[[#This Row],[Tipo de Movimiento]]="Ingreso",tblMovimientos[[#This Row],[Monto (S/)]],"0")</f>
        <v>0</v>
      </c>
      <c r="O775" s="61">
        <f>IF(tblMovimientos[[#This Row],[Tipo de Movimiento]]="Egreso",tblMovimientos[[#This Row],[Monto (S/)]],"0")</f>
        <v>5166.67</v>
      </c>
      <c r="P775" s="28">
        <f>IF(tblMovimientos[[#This Row],[Tipo de Movimiento]]="Ingreso",tblMovimientos[[#This Row],[Ingreso]],-tblMovimientos[[#This Row],[Egreso]])</f>
        <v>-5166.67</v>
      </c>
      <c r="Q775" s="78" t="str">
        <f>_xlfn.XLOOKUP(tblMovimientos[[#This Row],[Cuenta Bancaria]],Cuentas!$C:$C,Cuentas!$A:$A,"")&amp;""</f>
        <v>SSP Group</v>
      </c>
      <c r="R775" s="78" t="str">
        <f>_xlfn.XLOOKUP(tblMovimientos[[#This Row],[Cuenta Bancaria]],Cuentas!$C:$C,Cuentas!$B:$B,"",0,-1)&amp;""</f>
        <v/>
      </c>
    </row>
    <row r="776" spans="1:18" x14ac:dyDescent="0.3">
      <c r="B776" s="39">
        <v>46247</v>
      </c>
      <c r="C776" s="4" t="str">
        <f>_xlfn.XLOOKUP(tblMovimientos[[#This Row],[Cuenta Bancaria]],Listas!$B:$B,Listas!$A:$A,"")</f>
        <v>CFT Group</v>
      </c>
      <c r="D776" s="41" t="s">
        <v>95</v>
      </c>
      <c r="E776" s="68" t="str">
        <f>_xlfn.XLOOKUP(tblMovimientos[[#This Row],[Cuenta Bancaria]],Listas!$B:$B,Listas!$C:$C,"")</f>
        <v xml:space="preserve">Amerant Bank </v>
      </c>
      <c r="F776" s="41" t="s">
        <v>10</v>
      </c>
      <c r="G776" s="41" t="s">
        <v>46</v>
      </c>
      <c r="H776" s="4" t="str">
        <f>IFERROR(_xlfn.XLOOKUP(G776,Listas!E:E,Listas!F:F,""),"")</f>
        <v>Financiamiento</v>
      </c>
      <c r="I776" s="46" t="str">
        <f>IFERROR(_xlfn.XLOOKUP(G776,Listas!E:E,Listas!G:G,""),"")</f>
        <v>Externo</v>
      </c>
      <c r="J776" s="43">
        <v>12055.56</v>
      </c>
      <c r="K776" s="5">
        <f t="shared" si="12"/>
        <v>-12055.56</v>
      </c>
      <c r="L776" s="15" t="s">
        <v>132</v>
      </c>
      <c r="M776" s="44">
        <f>SUMIFS('Saldos Iniciales'!$D:$D,'Saldos Iniciales'!$A:$A,C776,'Saldos Iniciales'!$B:$B,D776)+SUMIFS($K$1:$K$1324,$C$1:$C$1324,C776,$D$1:$D$1324,D776,$B$1:$B$1324,"&lt;="&amp;B776)</f>
        <v>1006435.0800000008</v>
      </c>
      <c r="N776" s="61" t="str">
        <f>IF(tblMovimientos[[#This Row],[Tipo de Movimiento]]="Ingreso",tblMovimientos[[#This Row],[Monto (S/)]],"0")</f>
        <v>0</v>
      </c>
      <c r="O776" s="61">
        <f>IF(tblMovimientos[[#This Row],[Tipo de Movimiento]]="Egreso",tblMovimientos[[#This Row],[Monto (S/)]],"0")</f>
        <v>12055.56</v>
      </c>
      <c r="P776" s="28">
        <f>IF(tblMovimientos[[#This Row],[Tipo de Movimiento]]="Ingreso",tblMovimientos[[#This Row],[Ingreso]],-tblMovimientos[[#This Row],[Egreso]])</f>
        <v>-12055.56</v>
      </c>
      <c r="Q776" s="78" t="str">
        <f>_xlfn.XLOOKUP(tblMovimientos[[#This Row],[Cuenta Bancaria]],Cuentas!$C:$C,Cuentas!$A:$A,"")&amp;""</f>
        <v>SSP Group</v>
      </c>
      <c r="R776" s="78" t="str">
        <f>_xlfn.XLOOKUP(tblMovimientos[[#This Row],[Cuenta Bancaria]],Cuentas!$C:$C,Cuentas!$B:$B,"",0,-1)&amp;""</f>
        <v/>
      </c>
    </row>
    <row r="777" spans="1:18" x14ac:dyDescent="0.3">
      <c r="B777" s="39">
        <v>46247</v>
      </c>
      <c r="C777" s="4" t="str">
        <f>_xlfn.XLOOKUP(tblMovimientos[[#This Row],[Cuenta Bancaria]],Listas!$B:$B,Listas!$A:$A,"")</f>
        <v>CFT Group</v>
      </c>
      <c r="D777" s="41" t="s">
        <v>95</v>
      </c>
      <c r="E777" s="68" t="str">
        <f>_xlfn.XLOOKUP(tblMovimientos[[#This Row],[Cuenta Bancaria]],Listas!$B:$B,Listas!$C:$C,"")</f>
        <v xml:space="preserve">Amerant Bank </v>
      </c>
      <c r="F777" s="41" t="s">
        <v>10</v>
      </c>
      <c r="G777" s="41" t="s">
        <v>46</v>
      </c>
      <c r="H777" s="4" t="str">
        <f>IFERROR(_xlfn.XLOOKUP(G777,Listas!E:E,Listas!F:F,""),"")</f>
        <v>Financiamiento</v>
      </c>
      <c r="I777" s="46" t="str">
        <f>IFERROR(_xlfn.XLOOKUP(G777,Listas!E:E,Listas!G:G,""),"")</f>
        <v>Externo</v>
      </c>
      <c r="J777" s="43">
        <v>14011.67</v>
      </c>
      <c r="K777" s="5">
        <f t="shared" si="12"/>
        <v>-14011.67</v>
      </c>
      <c r="L777" s="15" t="s">
        <v>132</v>
      </c>
      <c r="M777" s="44">
        <f>SUMIFS('Saldos Iniciales'!$D:$D,'Saldos Iniciales'!$A:$A,C777,'Saldos Iniciales'!$B:$B,D777)+SUMIFS($K$1:$K$1324,$C$1:$C$1324,C777,$D$1:$D$1324,D777,$B$1:$B$1324,"&lt;="&amp;B777)</f>
        <v>1006435.0800000008</v>
      </c>
      <c r="N777" s="61" t="str">
        <f>IF(tblMovimientos[[#This Row],[Tipo de Movimiento]]="Ingreso",tblMovimientos[[#This Row],[Monto (S/)]],"0")</f>
        <v>0</v>
      </c>
      <c r="O777" s="61">
        <f>IF(tblMovimientos[[#This Row],[Tipo de Movimiento]]="Egreso",tblMovimientos[[#This Row],[Monto (S/)]],"0")</f>
        <v>14011.67</v>
      </c>
      <c r="P777" s="28">
        <f>IF(tblMovimientos[[#This Row],[Tipo de Movimiento]]="Ingreso",tblMovimientos[[#This Row],[Ingreso]],-tblMovimientos[[#This Row],[Egreso]])</f>
        <v>-14011.67</v>
      </c>
      <c r="Q777" s="78" t="str">
        <f>_xlfn.XLOOKUP(tblMovimientos[[#This Row],[Cuenta Bancaria]],Cuentas!$C:$C,Cuentas!$A:$A,"")&amp;""</f>
        <v>SSP Group</v>
      </c>
      <c r="R777" s="78" t="str">
        <f>_xlfn.XLOOKUP(tblMovimientos[[#This Row],[Cuenta Bancaria]],Cuentas!$C:$C,Cuentas!$B:$B,"",0,-1)&amp;""</f>
        <v/>
      </c>
    </row>
    <row r="778" spans="1:18" x14ac:dyDescent="0.3">
      <c r="A778" s="45"/>
      <c r="B778" s="39">
        <v>46247</v>
      </c>
      <c r="C778" s="4" t="str">
        <f>_xlfn.XLOOKUP(tblMovimientos[[#This Row],[Cuenta Bancaria]],Listas!$B:$B,Listas!$A:$A,"")</f>
        <v>CFT Group</v>
      </c>
      <c r="D778" s="41" t="s">
        <v>95</v>
      </c>
      <c r="E778" s="68" t="str">
        <f>_xlfn.XLOOKUP(tblMovimientos[[#This Row],[Cuenta Bancaria]],Listas!$B:$B,Listas!$C:$C,"")</f>
        <v xml:space="preserve">Amerant Bank </v>
      </c>
      <c r="F778" s="41" t="s">
        <v>10</v>
      </c>
      <c r="G778" s="41" t="s">
        <v>46</v>
      </c>
      <c r="H778" s="46" t="str">
        <f>IFERROR(_xlfn.XLOOKUP(G778,Listas!E:E,Listas!F:F,""),"")</f>
        <v>Financiamiento</v>
      </c>
      <c r="I778" s="46" t="str">
        <f>IFERROR(_xlfn.XLOOKUP(G778,Listas!E:E,Listas!G:G,""),"")</f>
        <v>Externo</v>
      </c>
      <c r="J778" s="43">
        <v>22166.67</v>
      </c>
      <c r="K778" s="5">
        <f t="shared" si="12"/>
        <v>-22166.67</v>
      </c>
      <c r="L778" s="15" t="s">
        <v>132</v>
      </c>
      <c r="M778" s="44">
        <f>SUMIFS('Saldos Iniciales'!$D:$D,'Saldos Iniciales'!$A:$A,C778,'Saldos Iniciales'!$B:$B,D778)+SUMIFS($K$1:$K$1324,$C$1:$C$1324,C778,$D$1:$D$1324,D778,$B$1:$B$1324,"&lt;="&amp;B778)</f>
        <v>1006435.0800000008</v>
      </c>
      <c r="N778" s="61" t="str">
        <f>IF(tblMovimientos[[#This Row],[Tipo de Movimiento]]="Ingreso",tblMovimientos[[#This Row],[Monto (S/)]],"0")</f>
        <v>0</v>
      </c>
      <c r="O778" s="61">
        <f>IF(tblMovimientos[[#This Row],[Tipo de Movimiento]]="Egreso",tblMovimientos[[#This Row],[Monto (S/)]],"0")</f>
        <v>22166.67</v>
      </c>
      <c r="P778" s="28">
        <f>IF(tblMovimientos[[#This Row],[Tipo de Movimiento]]="Ingreso",tblMovimientos[[#This Row],[Ingreso]],-tblMovimientos[[#This Row],[Egreso]])</f>
        <v>-22166.67</v>
      </c>
      <c r="Q778" s="78" t="str">
        <f>_xlfn.XLOOKUP(tblMovimientos[[#This Row],[Cuenta Bancaria]],Cuentas!$C:$C,Cuentas!$A:$A,"")&amp;""</f>
        <v>SSP Group</v>
      </c>
      <c r="R778" s="78" t="str">
        <f>_xlfn.XLOOKUP(tblMovimientos[[#This Row],[Cuenta Bancaria]],Cuentas!$C:$C,Cuentas!$B:$B,"",0,-1)&amp;""</f>
        <v/>
      </c>
    </row>
    <row r="779" spans="1:18" x14ac:dyDescent="0.3">
      <c r="B779" s="39">
        <v>46247</v>
      </c>
      <c r="C779" s="4" t="str">
        <f>_xlfn.XLOOKUP(tblMovimientos[[#This Row],[Cuenta Bancaria]],Listas!$B:$B,Listas!$A:$A,"")</f>
        <v>CFT Group</v>
      </c>
      <c r="D779" s="41" t="s">
        <v>95</v>
      </c>
      <c r="E779" s="68" t="str">
        <f>_xlfn.XLOOKUP(tblMovimientos[[#This Row],[Cuenta Bancaria]],Listas!$B:$B,Listas!$C:$C,"")</f>
        <v xml:space="preserve">Amerant Bank </v>
      </c>
      <c r="F779" s="41" t="s">
        <v>10</v>
      </c>
      <c r="G779" s="41" t="s">
        <v>46</v>
      </c>
      <c r="H779" s="4" t="str">
        <f>IFERROR(_xlfn.XLOOKUP(G779,Listas!E:E,Listas!F:F,""),"")</f>
        <v>Financiamiento</v>
      </c>
      <c r="I779" s="46" t="str">
        <f>IFERROR(_xlfn.XLOOKUP(G779,Listas!E:E,Listas!G:G,""),"")</f>
        <v>Externo</v>
      </c>
      <c r="J779" s="43">
        <v>24111.11</v>
      </c>
      <c r="K779" s="5">
        <f t="shared" si="12"/>
        <v>-24111.11</v>
      </c>
      <c r="L779" s="15" t="s">
        <v>132</v>
      </c>
      <c r="M779" s="44">
        <f>SUMIFS('Saldos Iniciales'!$D:$D,'Saldos Iniciales'!$A:$A,C779,'Saldos Iniciales'!$B:$B,D779)+SUMIFS($K$1:$K$1324,$C$1:$C$1324,C779,$D$1:$D$1324,D779,$B$1:$B$1324,"&lt;="&amp;B779)</f>
        <v>1006435.0800000008</v>
      </c>
      <c r="N779" s="61" t="str">
        <f>IF(tblMovimientos[[#This Row],[Tipo de Movimiento]]="Ingreso",tblMovimientos[[#This Row],[Monto (S/)]],"0")</f>
        <v>0</v>
      </c>
      <c r="O779" s="61">
        <f>IF(tblMovimientos[[#This Row],[Tipo de Movimiento]]="Egreso",tblMovimientos[[#This Row],[Monto (S/)]],"0")</f>
        <v>24111.11</v>
      </c>
      <c r="P779" s="28">
        <f>IF(tblMovimientos[[#This Row],[Tipo de Movimiento]]="Ingreso",tblMovimientos[[#This Row],[Ingreso]],-tblMovimientos[[#This Row],[Egreso]])</f>
        <v>-24111.11</v>
      </c>
      <c r="Q779" s="78" t="str">
        <f>_xlfn.XLOOKUP(tblMovimientos[[#This Row],[Cuenta Bancaria]],Cuentas!$C:$C,Cuentas!$A:$A,"")&amp;""</f>
        <v>SSP Group</v>
      </c>
      <c r="R779" s="78" t="str">
        <f>_xlfn.XLOOKUP(tblMovimientos[[#This Row],[Cuenta Bancaria]],Cuentas!$C:$C,Cuentas!$B:$B,"",0,-1)&amp;""</f>
        <v/>
      </c>
    </row>
    <row r="780" spans="1:18" x14ac:dyDescent="0.3">
      <c r="B780" s="39">
        <v>46247</v>
      </c>
      <c r="C780" s="4" t="str">
        <f>_xlfn.XLOOKUP(tblMovimientos[[#This Row],[Cuenta Bancaria]],Listas!$B:$B,Listas!$A:$A,"")</f>
        <v>CFT Group</v>
      </c>
      <c r="D780" s="41" t="s">
        <v>95</v>
      </c>
      <c r="E780" s="68" t="str">
        <f>_xlfn.XLOOKUP(tblMovimientos[[#This Row],[Cuenta Bancaria]],Listas!$B:$B,Listas!$C:$C,"")</f>
        <v xml:space="preserve">Amerant Bank </v>
      </c>
      <c r="F780" s="41" t="s">
        <v>10</v>
      </c>
      <c r="G780" s="41" t="s">
        <v>46</v>
      </c>
      <c r="H780" s="4" t="str">
        <f>IFERROR(_xlfn.XLOOKUP(G780,Listas!E:E,Listas!F:F,""),"")</f>
        <v>Financiamiento</v>
      </c>
      <c r="I780" s="46" t="str">
        <f>IFERROR(_xlfn.XLOOKUP(G780,Listas!E:E,Listas!G:G,""),"")</f>
        <v>Externo</v>
      </c>
      <c r="J780" s="43">
        <v>27083.33</v>
      </c>
      <c r="K780" s="5">
        <f t="shared" si="12"/>
        <v>-27083.33</v>
      </c>
      <c r="L780" s="15" t="s">
        <v>132</v>
      </c>
      <c r="M780" s="44">
        <f>SUMIFS('Saldos Iniciales'!$D:$D,'Saldos Iniciales'!$A:$A,C780,'Saldos Iniciales'!$B:$B,D780)+SUMIFS($K$1:$K$1324,$C$1:$C$1324,C780,$D$1:$D$1324,D780,$B$1:$B$1324,"&lt;="&amp;B780)</f>
        <v>1006435.0800000008</v>
      </c>
      <c r="N780" s="61" t="str">
        <f>IF(tblMovimientos[[#This Row],[Tipo de Movimiento]]="Ingreso",tblMovimientos[[#This Row],[Monto (S/)]],"0")</f>
        <v>0</v>
      </c>
      <c r="O780" s="61">
        <f>IF(tblMovimientos[[#This Row],[Tipo de Movimiento]]="Egreso",tblMovimientos[[#This Row],[Monto (S/)]],"0")</f>
        <v>27083.33</v>
      </c>
      <c r="P780" s="28">
        <f>IF(tblMovimientos[[#This Row],[Tipo de Movimiento]]="Ingreso",tblMovimientos[[#This Row],[Ingreso]],-tblMovimientos[[#This Row],[Egreso]])</f>
        <v>-27083.33</v>
      </c>
      <c r="Q780" s="78" t="str">
        <f>_xlfn.XLOOKUP(tblMovimientos[[#This Row],[Cuenta Bancaria]],Cuentas!$C:$C,Cuentas!$A:$A,"")&amp;""</f>
        <v>SSP Group</v>
      </c>
      <c r="R780" s="78" t="str">
        <f>_xlfn.XLOOKUP(tblMovimientos[[#This Row],[Cuenta Bancaria]],Cuentas!$C:$C,Cuentas!$B:$B,"",0,-1)&amp;""</f>
        <v/>
      </c>
    </row>
    <row r="781" spans="1:18" x14ac:dyDescent="0.3">
      <c r="B781" s="39">
        <v>46247</v>
      </c>
      <c r="C781" s="4" t="str">
        <f>_xlfn.XLOOKUP(tblMovimientos[[#This Row],[Cuenta Bancaria]],Listas!$B:$B,Listas!$A:$A,"")</f>
        <v>CFT Group</v>
      </c>
      <c r="D781" s="41" t="s">
        <v>95</v>
      </c>
      <c r="E781" s="68" t="str">
        <f>_xlfn.XLOOKUP(tblMovimientos[[#This Row],[Cuenta Bancaria]],Listas!$B:$B,Listas!$C:$C,"")</f>
        <v xml:space="preserve">Amerant Bank </v>
      </c>
      <c r="F781" s="41" t="s">
        <v>10</v>
      </c>
      <c r="G781" s="41" t="s">
        <v>46</v>
      </c>
      <c r="H781" s="4" t="str">
        <f>IFERROR(_xlfn.XLOOKUP(G781,Listas!E:E,Listas!F:F,""),"")</f>
        <v>Financiamiento</v>
      </c>
      <c r="I781" s="46" t="str">
        <f>IFERROR(_xlfn.XLOOKUP(G781,Listas!E:E,Listas!G:G,""),"")</f>
        <v>Externo</v>
      </c>
      <c r="J781" s="43">
        <v>40000</v>
      </c>
      <c r="K781" s="5">
        <f t="shared" si="12"/>
        <v>-40000</v>
      </c>
      <c r="L781" s="15" t="s">
        <v>132</v>
      </c>
      <c r="M781" s="44">
        <f>SUMIFS('Saldos Iniciales'!$D:$D,'Saldos Iniciales'!$A:$A,C781,'Saldos Iniciales'!$B:$B,D781)+SUMIFS($K$1:$K$1324,$C$1:$C$1324,C781,$D$1:$D$1324,D781,$B$1:$B$1324,"&lt;="&amp;B781)</f>
        <v>1006435.0800000008</v>
      </c>
      <c r="N781" s="61" t="str">
        <f>IF(tblMovimientos[[#This Row],[Tipo de Movimiento]]="Ingreso",tblMovimientos[[#This Row],[Monto (S/)]],"0")</f>
        <v>0</v>
      </c>
      <c r="O781" s="61">
        <f>IF(tblMovimientos[[#This Row],[Tipo de Movimiento]]="Egreso",tblMovimientos[[#This Row],[Monto (S/)]],"0")</f>
        <v>40000</v>
      </c>
      <c r="P781" s="28">
        <f>IF(tblMovimientos[[#This Row],[Tipo de Movimiento]]="Ingreso",tblMovimientos[[#This Row],[Ingreso]],-tblMovimientos[[#This Row],[Egreso]])</f>
        <v>-40000</v>
      </c>
      <c r="Q781" s="78" t="str">
        <f>_xlfn.XLOOKUP(tblMovimientos[[#This Row],[Cuenta Bancaria]],Cuentas!$C:$C,Cuentas!$A:$A,"")&amp;""</f>
        <v>SSP Group</v>
      </c>
      <c r="R781" s="78" t="str">
        <f>_xlfn.XLOOKUP(tblMovimientos[[#This Row],[Cuenta Bancaria]],Cuentas!$C:$C,Cuentas!$B:$B,"",0,-1)&amp;""</f>
        <v/>
      </c>
    </row>
    <row r="782" spans="1:18" x14ac:dyDescent="0.3">
      <c r="B782" s="39">
        <v>46247</v>
      </c>
      <c r="C782" s="4" t="str">
        <f>_xlfn.XLOOKUP(tblMovimientos[[#This Row],[Cuenta Bancaria]],Listas!$B:$B,Listas!$A:$A,"")</f>
        <v>CFT Group</v>
      </c>
      <c r="D782" s="41" t="s">
        <v>95</v>
      </c>
      <c r="E782" s="68" t="str">
        <f>_xlfn.XLOOKUP(tblMovimientos[[#This Row],[Cuenta Bancaria]],Listas!$B:$B,Listas!$C:$C,"")</f>
        <v xml:space="preserve">Amerant Bank </v>
      </c>
      <c r="F782" s="41" t="s">
        <v>10</v>
      </c>
      <c r="G782" s="41" t="s">
        <v>46</v>
      </c>
      <c r="H782" s="4" t="str">
        <f>IFERROR(_xlfn.XLOOKUP(G782,Listas!E:E,Listas!F:F,""),"")</f>
        <v>Financiamiento</v>
      </c>
      <c r="I782" s="46" t="str">
        <f>IFERROR(_xlfn.XLOOKUP(G782,Listas!E:E,Listas!G:G,""),"")</f>
        <v>Externo</v>
      </c>
      <c r="J782" s="43">
        <v>57866.67</v>
      </c>
      <c r="K782" s="5">
        <f t="shared" si="12"/>
        <v>-57866.67</v>
      </c>
      <c r="L782" s="15" t="s">
        <v>132</v>
      </c>
      <c r="M782" s="44">
        <f>SUMIFS('Saldos Iniciales'!$D:$D,'Saldos Iniciales'!$A:$A,C782,'Saldos Iniciales'!$B:$B,D782)+SUMIFS($K$1:$K$1324,$C$1:$C$1324,C782,$D$1:$D$1324,D782,$B$1:$B$1324,"&lt;="&amp;B782)</f>
        <v>1006435.0800000008</v>
      </c>
      <c r="N782" s="61" t="str">
        <f>IF(tblMovimientos[[#This Row],[Tipo de Movimiento]]="Ingreso",tblMovimientos[[#This Row],[Monto (S/)]],"0")</f>
        <v>0</v>
      </c>
      <c r="O782" s="61">
        <f>IF(tblMovimientos[[#This Row],[Tipo de Movimiento]]="Egreso",tblMovimientos[[#This Row],[Monto (S/)]],"0")</f>
        <v>57866.67</v>
      </c>
      <c r="P782" s="28">
        <f>IF(tblMovimientos[[#This Row],[Tipo de Movimiento]]="Ingreso",tblMovimientos[[#This Row],[Ingreso]],-tblMovimientos[[#This Row],[Egreso]])</f>
        <v>-57866.67</v>
      </c>
      <c r="Q782" s="78" t="str">
        <f>_xlfn.XLOOKUP(tblMovimientos[[#This Row],[Cuenta Bancaria]],Cuentas!$C:$C,Cuentas!$A:$A,"")&amp;""</f>
        <v>SSP Group</v>
      </c>
      <c r="R782" s="78" t="str">
        <f>_xlfn.XLOOKUP(tblMovimientos[[#This Row],[Cuenta Bancaria]],Cuentas!$C:$C,Cuentas!$B:$B,"",0,-1)&amp;""</f>
        <v/>
      </c>
    </row>
    <row r="783" spans="1:18" x14ac:dyDescent="0.3">
      <c r="B783" s="39">
        <v>46247</v>
      </c>
      <c r="C783" s="4" t="str">
        <f>_xlfn.XLOOKUP(tblMovimientos[[#This Row],[Cuenta Bancaria]],Listas!$B:$B,Listas!$A:$A,"")</f>
        <v>CFT Group</v>
      </c>
      <c r="D783" s="41" t="s">
        <v>95</v>
      </c>
      <c r="E783" s="68" t="str">
        <f>_xlfn.XLOOKUP(tblMovimientos[[#This Row],[Cuenta Bancaria]],Listas!$B:$B,Listas!$C:$C,"")</f>
        <v xml:space="preserve">Amerant Bank </v>
      </c>
      <c r="F783" s="41" t="s">
        <v>10</v>
      </c>
      <c r="G783" s="41" t="s">
        <v>46</v>
      </c>
      <c r="H783" s="4" t="str">
        <f>IFERROR(_xlfn.XLOOKUP(G783,Listas!E:E,Listas!F:F,""),"")</f>
        <v>Financiamiento</v>
      </c>
      <c r="I783" s="46" t="str">
        <f>IFERROR(_xlfn.XLOOKUP(G783,Listas!E:E,Listas!G:G,""),"")</f>
        <v>Externo</v>
      </c>
      <c r="J783" s="43">
        <v>60000</v>
      </c>
      <c r="K783" s="5">
        <f t="shared" si="12"/>
        <v>-60000</v>
      </c>
      <c r="L783" s="15" t="s">
        <v>132</v>
      </c>
      <c r="M783" s="44">
        <f>SUMIFS('Saldos Iniciales'!$D:$D,'Saldos Iniciales'!$A:$A,C783,'Saldos Iniciales'!$B:$B,D783)+SUMIFS($K$1:$K$1324,$C$1:$C$1324,C783,$D$1:$D$1324,D783,$B$1:$B$1324,"&lt;="&amp;B783)</f>
        <v>1006435.0800000008</v>
      </c>
      <c r="N783" s="61" t="str">
        <f>IF(tblMovimientos[[#This Row],[Tipo de Movimiento]]="Ingreso",tblMovimientos[[#This Row],[Monto (S/)]],"0")</f>
        <v>0</v>
      </c>
      <c r="O783" s="61">
        <f>IF(tblMovimientos[[#This Row],[Tipo de Movimiento]]="Egreso",tblMovimientos[[#This Row],[Monto (S/)]],"0")</f>
        <v>60000</v>
      </c>
      <c r="P783" s="28">
        <f>IF(tblMovimientos[[#This Row],[Tipo de Movimiento]]="Ingreso",tblMovimientos[[#This Row],[Ingreso]],-tblMovimientos[[#This Row],[Egreso]])</f>
        <v>-60000</v>
      </c>
      <c r="Q783" s="78" t="str">
        <f>_xlfn.XLOOKUP(tblMovimientos[[#This Row],[Cuenta Bancaria]],Cuentas!$C:$C,Cuentas!$A:$A,"")&amp;""</f>
        <v>SSP Group</v>
      </c>
      <c r="R783" s="78" t="str">
        <f>_xlfn.XLOOKUP(tblMovimientos[[#This Row],[Cuenta Bancaria]],Cuentas!$C:$C,Cuentas!$B:$B,"",0,-1)&amp;""</f>
        <v/>
      </c>
    </row>
    <row r="784" spans="1:18" x14ac:dyDescent="0.3">
      <c r="A784" s="45"/>
      <c r="B784" s="39">
        <v>46247</v>
      </c>
      <c r="C784" s="4" t="str">
        <f>_xlfn.XLOOKUP(tblMovimientos[[#This Row],[Cuenta Bancaria]],Listas!$B:$B,Listas!$A:$A,"")</f>
        <v>CFT Group</v>
      </c>
      <c r="D784" s="41" t="s">
        <v>95</v>
      </c>
      <c r="E784" s="68" t="str">
        <f>_xlfn.XLOOKUP(tblMovimientos[[#This Row],[Cuenta Bancaria]],Listas!$B:$B,Listas!$C:$C,"")</f>
        <v xml:space="preserve">Amerant Bank </v>
      </c>
      <c r="F784" s="41" t="s">
        <v>10</v>
      </c>
      <c r="G784" s="41" t="s">
        <v>46</v>
      </c>
      <c r="H784" s="46" t="str">
        <f>IFERROR(_xlfn.XLOOKUP(G784,Listas!E:E,Listas!F:F,""),"")</f>
        <v>Financiamiento</v>
      </c>
      <c r="I784" s="46" t="str">
        <f>IFERROR(_xlfn.XLOOKUP(G784,Listas!E:E,Listas!G:G,""),"")</f>
        <v>Externo</v>
      </c>
      <c r="J784" s="43">
        <v>72333.33</v>
      </c>
      <c r="K784" s="5">
        <f t="shared" si="12"/>
        <v>-72333.33</v>
      </c>
      <c r="L784" s="15" t="s">
        <v>132</v>
      </c>
      <c r="M784" s="44">
        <f>SUMIFS('Saldos Iniciales'!$D:$D,'Saldos Iniciales'!$A:$A,C784,'Saldos Iniciales'!$B:$B,D784)+SUMIFS($K$1:$K$1324,$C$1:$C$1324,C784,$D$1:$D$1324,D784,$B$1:$B$1324,"&lt;="&amp;B784)</f>
        <v>1006435.0800000008</v>
      </c>
      <c r="N784" s="61" t="str">
        <f>IF(tblMovimientos[[#This Row],[Tipo de Movimiento]]="Ingreso",tblMovimientos[[#This Row],[Monto (S/)]],"0")</f>
        <v>0</v>
      </c>
      <c r="O784" s="61">
        <f>IF(tblMovimientos[[#This Row],[Tipo de Movimiento]]="Egreso",tblMovimientos[[#This Row],[Monto (S/)]],"0")</f>
        <v>72333.33</v>
      </c>
      <c r="P784" s="28">
        <f>IF(tblMovimientos[[#This Row],[Tipo de Movimiento]]="Ingreso",tblMovimientos[[#This Row],[Ingreso]],-tblMovimientos[[#This Row],[Egreso]])</f>
        <v>-72333.33</v>
      </c>
      <c r="Q784" s="78" t="str">
        <f>_xlfn.XLOOKUP(tblMovimientos[[#This Row],[Cuenta Bancaria]],Cuentas!$C:$C,Cuentas!$A:$A,"")&amp;""</f>
        <v>SSP Group</v>
      </c>
      <c r="R784" s="78" t="str">
        <f>_xlfn.XLOOKUP(tblMovimientos[[#This Row],[Cuenta Bancaria]],Cuentas!$C:$C,Cuentas!$B:$B,"",0,-1)&amp;""</f>
        <v/>
      </c>
    </row>
    <row r="785" spans="1:18" x14ac:dyDescent="0.3">
      <c r="B785" s="39">
        <v>46247</v>
      </c>
      <c r="C785" s="4" t="str">
        <f>_xlfn.XLOOKUP(tblMovimientos[[#This Row],[Cuenta Bancaria]],Listas!$B:$B,Listas!$A:$A,"")</f>
        <v>CFT Group</v>
      </c>
      <c r="D785" s="41" t="s">
        <v>95</v>
      </c>
      <c r="E785" s="68" t="str">
        <f>_xlfn.XLOOKUP(tblMovimientos[[#This Row],[Cuenta Bancaria]],Listas!$B:$B,Listas!$C:$C,"")</f>
        <v xml:space="preserve">Amerant Bank </v>
      </c>
      <c r="F785" s="41" t="s">
        <v>10</v>
      </c>
      <c r="G785" s="41" t="s">
        <v>46</v>
      </c>
      <c r="H785" s="4" t="str">
        <f>IFERROR(_xlfn.XLOOKUP(G785,Listas!E:E,Listas!F:F,""),"")</f>
        <v>Financiamiento</v>
      </c>
      <c r="I785" s="46" t="str">
        <f>IFERROR(_xlfn.XLOOKUP(G785,Listas!E:E,Listas!G:G,""),"")</f>
        <v>Externo</v>
      </c>
      <c r="J785" s="43">
        <v>85594.44</v>
      </c>
      <c r="K785" s="5">
        <f t="shared" si="12"/>
        <v>-85594.44</v>
      </c>
      <c r="L785" s="15" t="s">
        <v>132</v>
      </c>
      <c r="M785" s="44">
        <f>SUMIFS('Saldos Iniciales'!$D:$D,'Saldos Iniciales'!$A:$A,C785,'Saldos Iniciales'!$B:$B,D785)+SUMIFS($K$1:$K$1324,$C$1:$C$1324,C785,$D$1:$D$1324,D785,$B$1:$B$1324,"&lt;="&amp;B785)</f>
        <v>1006435.0800000008</v>
      </c>
      <c r="N785" s="61" t="str">
        <f>IF(tblMovimientos[[#This Row],[Tipo de Movimiento]]="Ingreso",tblMovimientos[[#This Row],[Monto (S/)]],"0")</f>
        <v>0</v>
      </c>
      <c r="O785" s="61">
        <f>IF(tblMovimientos[[#This Row],[Tipo de Movimiento]]="Egreso",tblMovimientos[[#This Row],[Monto (S/)]],"0")</f>
        <v>85594.44</v>
      </c>
      <c r="P785" s="28">
        <f>IF(tblMovimientos[[#This Row],[Tipo de Movimiento]]="Ingreso",tblMovimientos[[#This Row],[Ingreso]],-tblMovimientos[[#This Row],[Egreso]])</f>
        <v>-85594.44</v>
      </c>
      <c r="Q785" s="78" t="str">
        <f>_xlfn.XLOOKUP(tblMovimientos[[#This Row],[Cuenta Bancaria]],Cuentas!$C:$C,Cuentas!$A:$A,"")&amp;""</f>
        <v>SSP Group</v>
      </c>
      <c r="R785" s="78" t="str">
        <f>_xlfn.XLOOKUP(tblMovimientos[[#This Row],[Cuenta Bancaria]],Cuentas!$C:$C,Cuentas!$B:$B,"",0,-1)&amp;""</f>
        <v/>
      </c>
    </row>
    <row r="786" spans="1:18" x14ac:dyDescent="0.3">
      <c r="B786" s="39">
        <v>46247</v>
      </c>
      <c r="C786" s="4" t="str">
        <f>_xlfn.XLOOKUP(tblMovimientos[[#This Row],[Cuenta Bancaria]],Listas!$B:$B,Listas!$A:$A,"")</f>
        <v>CFT Group</v>
      </c>
      <c r="D786" s="41" t="s">
        <v>95</v>
      </c>
      <c r="E786" s="68" t="str">
        <f>_xlfn.XLOOKUP(tblMovimientos[[#This Row],[Cuenta Bancaria]],Listas!$B:$B,Listas!$C:$C,"")</f>
        <v xml:space="preserve">Amerant Bank </v>
      </c>
      <c r="F786" s="41" t="s">
        <v>10</v>
      </c>
      <c r="G786" s="41" t="s">
        <v>46</v>
      </c>
      <c r="H786" s="4" t="str">
        <f>IFERROR(_xlfn.XLOOKUP(G786,Listas!E:E,Listas!F:F,""),"")</f>
        <v>Financiamiento</v>
      </c>
      <c r="I786" s="46" t="str">
        <f>IFERROR(_xlfn.XLOOKUP(G786,Listas!E:E,Listas!G:G,""),"")</f>
        <v>Externo</v>
      </c>
      <c r="J786" s="43">
        <v>100000</v>
      </c>
      <c r="K786" s="5">
        <f t="shared" si="12"/>
        <v>-100000</v>
      </c>
      <c r="L786" s="15" t="s">
        <v>132</v>
      </c>
      <c r="M786" s="44">
        <f>SUMIFS('Saldos Iniciales'!$D:$D,'Saldos Iniciales'!$A:$A,C786,'Saldos Iniciales'!$B:$B,D786)+SUMIFS($K$1:$K$1324,$C$1:$C$1324,C786,$D$1:$D$1324,D786,$B$1:$B$1324,"&lt;="&amp;B786)</f>
        <v>1006435.0800000008</v>
      </c>
      <c r="N786" s="61" t="str">
        <f>IF(tblMovimientos[[#This Row],[Tipo de Movimiento]]="Ingreso",tblMovimientos[[#This Row],[Monto (S/)]],"0")</f>
        <v>0</v>
      </c>
      <c r="O786" s="61">
        <f>IF(tblMovimientos[[#This Row],[Tipo de Movimiento]]="Egreso",tblMovimientos[[#This Row],[Monto (S/)]],"0")</f>
        <v>100000</v>
      </c>
      <c r="P786" s="28">
        <f>IF(tblMovimientos[[#This Row],[Tipo de Movimiento]]="Ingreso",tblMovimientos[[#This Row],[Ingreso]],-tblMovimientos[[#This Row],[Egreso]])</f>
        <v>-100000</v>
      </c>
      <c r="Q786" s="78" t="str">
        <f>_xlfn.XLOOKUP(tblMovimientos[[#This Row],[Cuenta Bancaria]],Cuentas!$C:$C,Cuentas!$A:$A,"")&amp;""</f>
        <v>SSP Group</v>
      </c>
      <c r="R786" s="78" t="str">
        <f>_xlfn.XLOOKUP(tblMovimientos[[#This Row],[Cuenta Bancaria]],Cuentas!$C:$C,Cuentas!$B:$B,"",0,-1)&amp;""</f>
        <v/>
      </c>
    </row>
    <row r="787" spans="1:18" x14ac:dyDescent="0.3">
      <c r="B787" s="39">
        <v>46247</v>
      </c>
      <c r="C787" s="4" t="str">
        <f>_xlfn.XLOOKUP(tblMovimientos[[#This Row],[Cuenta Bancaria]],Listas!$B:$B,Listas!$A:$A,"")</f>
        <v>CFT Group</v>
      </c>
      <c r="D787" s="41" t="s">
        <v>95</v>
      </c>
      <c r="E787" s="68" t="str">
        <f>_xlfn.XLOOKUP(tblMovimientos[[#This Row],[Cuenta Bancaria]],Listas!$B:$B,Listas!$C:$C,"")</f>
        <v xml:space="preserve">Amerant Bank </v>
      </c>
      <c r="F787" s="41" t="s">
        <v>10</v>
      </c>
      <c r="G787" s="41" t="s">
        <v>46</v>
      </c>
      <c r="H787" s="4" t="str">
        <f>IFERROR(_xlfn.XLOOKUP(G787,Listas!E:E,Listas!F:F,""),"")</f>
        <v>Financiamiento</v>
      </c>
      <c r="I787" s="46" t="str">
        <f>IFERROR(_xlfn.XLOOKUP(G787,Listas!E:E,Listas!G:G,""),"")</f>
        <v>Externo</v>
      </c>
      <c r="J787" s="43">
        <v>200000</v>
      </c>
      <c r="K787" s="5">
        <f t="shared" si="12"/>
        <v>-200000</v>
      </c>
      <c r="L787" s="15" t="s">
        <v>132</v>
      </c>
      <c r="M787" s="44">
        <f>SUMIFS('Saldos Iniciales'!$D:$D,'Saldos Iniciales'!$A:$A,C787,'Saldos Iniciales'!$B:$B,D787)+SUMIFS($K$1:$K$1324,$C$1:$C$1324,C787,$D$1:$D$1324,D787,$B$1:$B$1324,"&lt;="&amp;B787)</f>
        <v>1006435.0800000008</v>
      </c>
      <c r="N787" s="61" t="str">
        <f>IF(tblMovimientos[[#This Row],[Tipo de Movimiento]]="Ingreso",tblMovimientos[[#This Row],[Monto (S/)]],"0")</f>
        <v>0</v>
      </c>
      <c r="O787" s="61">
        <f>IF(tblMovimientos[[#This Row],[Tipo de Movimiento]]="Egreso",tblMovimientos[[#This Row],[Monto (S/)]],"0")</f>
        <v>200000</v>
      </c>
      <c r="P787" s="28">
        <f>IF(tblMovimientos[[#This Row],[Tipo de Movimiento]]="Ingreso",tblMovimientos[[#This Row],[Ingreso]],-tblMovimientos[[#This Row],[Egreso]])</f>
        <v>-200000</v>
      </c>
      <c r="Q787" s="78" t="str">
        <f>_xlfn.XLOOKUP(tblMovimientos[[#This Row],[Cuenta Bancaria]],Cuentas!$C:$C,Cuentas!$A:$A,"")&amp;""</f>
        <v>SSP Group</v>
      </c>
      <c r="R787" s="78" t="str">
        <f>_xlfn.XLOOKUP(tblMovimientos[[#This Row],[Cuenta Bancaria]],Cuentas!$C:$C,Cuentas!$B:$B,"",0,-1)&amp;""</f>
        <v/>
      </c>
    </row>
    <row r="788" spans="1:18" x14ac:dyDescent="0.3">
      <c r="B788" s="39">
        <v>46247</v>
      </c>
      <c r="C788" s="4" t="str">
        <f>_xlfn.XLOOKUP(tblMovimientos[[#This Row],[Cuenta Bancaria]],Listas!$B:$B,Listas!$A:$A,"")</f>
        <v>Cross Family Trust</v>
      </c>
      <c r="D788" s="41" t="s">
        <v>111</v>
      </c>
      <c r="E788" s="68" t="str">
        <f>_xlfn.XLOOKUP(tblMovimientos[[#This Row],[Cuenta Bancaria]],Listas!$B:$B,Listas!$C:$C,"")</f>
        <v xml:space="preserve">Amerant Bank </v>
      </c>
      <c r="F788" s="41" t="s">
        <v>10</v>
      </c>
      <c r="G788" s="41" t="s">
        <v>64</v>
      </c>
      <c r="H788" s="4" t="str">
        <f>IFERROR(_xlfn.XLOOKUP(G788,Listas!E:E,Listas!F:F,""),"")</f>
        <v>Operativo</v>
      </c>
      <c r="I788" s="46" t="str">
        <f>IFERROR(_xlfn.XLOOKUP(G788,Listas!E:E,Listas!G:G,""),"")</f>
        <v>Interno</v>
      </c>
      <c r="J788" s="43">
        <v>10000</v>
      </c>
      <c r="K788" s="5">
        <f t="shared" si="12"/>
        <v>-10000</v>
      </c>
      <c r="L788" s="15" t="s">
        <v>132</v>
      </c>
      <c r="M788" s="44">
        <f>SUMIFS('Saldos Iniciales'!$D:$D,'Saldos Iniciales'!$A:$A,C788,'Saldos Iniciales'!$B:$B,D788)+SUMIFS($K$1:$K$1324,$C$1:$C$1324,C788,$D$1:$D$1324,D788,$B$1:$B$1324,"&lt;="&amp;B788)</f>
        <v>118717.6</v>
      </c>
      <c r="N788" s="61" t="str">
        <f>IF(tblMovimientos[[#This Row],[Tipo de Movimiento]]="Ingreso",tblMovimientos[[#This Row],[Monto (S/)]],"0")</f>
        <v>0</v>
      </c>
      <c r="O788" s="61">
        <f>IF(tblMovimientos[[#This Row],[Tipo de Movimiento]]="Egreso",tblMovimientos[[#This Row],[Monto (S/)]],"0")</f>
        <v>10000</v>
      </c>
      <c r="P788" s="28">
        <f>IF(tblMovimientos[[#This Row],[Tipo de Movimiento]]="Ingreso",tblMovimientos[[#This Row],[Ingreso]],-tblMovimientos[[#This Row],[Egreso]])</f>
        <v>-10000</v>
      </c>
      <c r="Q788" s="78" t="str">
        <f>_xlfn.XLOOKUP(tblMovimientos[[#This Row],[Cuenta Bancaria]],Cuentas!$C:$C,Cuentas!$A:$A,"")&amp;""</f>
        <v>SSP Group</v>
      </c>
      <c r="R788" s="78" t="str">
        <f>_xlfn.XLOOKUP(tblMovimientos[[#This Row],[Cuenta Bancaria]],Cuentas!$C:$C,Cuentas!$B:$B,"",0,-1)&amp;""</f>
        <v>Trust</v>
      </c>
    </row>
    <row r="789" spans="1:18" x14ac:dyDescent="0.3">
      <c r="B789" s="39">
        <v>46247</v>
      </c>
      <c r="C789" s="4" t="str">
        <f>_xlfn.XLOOKUP(tblMovimientos[[#This Row],[Cuenta Bancaria]],Listas!$B:$B,Listas!$A:$A,"")</f>
        <v>Cross Family Trust</v>
      </c>
      <c r="D789" s="41" t="s">
        <v>111</v>
      </c>
      <c r="E789" s="68" t="str">
        <f>_xlfn.XLOOKUP(tblMovimientos[[#This Row],[Cuenta Bancaria]],Listas!$B:$B,Listas!$C:$C,"")</f>
        <v xml:space="preserve">Amerant Bank </v>
      </c>
      <c r="F789" s="41" t="s">
        <v>10</v>
      </c>
      <c r="G789" s="41" t="s">
        <v>53</v>
      </c>
      <c r="H789" s="4" t="str">
        <f>IFERROR(_xlfn.XLOOKUP(G789,Listas!E:E,Listas!F:F,""),"")</f>
        <v>Inversion</v>
      </c>
      <c r="I789" s="46" t="str">
        <f>IFERROR(_xlfn.XLOOKUP(G789,Listas!E:E,Listas!G:G,""),"")</f>
        <v>Interno</v>
      </c>
      <c r="J789" s="43">
        <v>500000</v>
      </c>
      <c r="K789" s="5">
        <f t="shared" si="12"/>
        <v>-500000</v>
      </c>
      <c r="L789" s="15" t="s">
        <v>132</v>
      </c>
      <c r="M789" s="44">
        <f>SUMIFS('Saldos Iniciales'!$D:$D,'Saldos Iniciales'!$A:$A,C789,'Saldos Iniciales'!$B:$B,D789)+SUMIFS($K$1:$K$1324,$C$1:$C$1324,C789,$D$1:$D$1324,D789,$B$1:$B$1324,"&lt;="&amp;B789)</f>
        <v>118717.6</v>
      </c>
      <c r="N789" s="61" t="str">
        <f>IF(tblMovimientos[[#This Row],[Tipo de Movimiento]]="Ingreso",tblMovimientos[[#This Row],[Monto (S/)]],"0")</f>
        <v>0</v>
      </c>
      <c r="O789" s="61">
        <f>IF(tblMovimientos[[#This Row],[Tipo de Movimiento]]="Egreso",tblMovimientos[[#This Row],[Monto (S/)]],"0")</f>
        <v>500000</v>
      </c>
      <c r="P789" s="28">
        <f>IF(tblMovimientos[[#This Row],[Tipo de Movimiento]]="Ingreso",tblMovimientos[[#This Row],[Ingreso]],-tblMovimientos[[#This Row],[Egreso]])</f>
        <v>-500000</v>
      </c>
      <c r="Q789" s="78" t="str">
        <f>_xlfn.XLOOKUP(tblMovimientos[[#This Row],[Cuenta Bancaria]],Cuentas!$C:$C,Cuentas!$A:$A,"")&amp;""</f>
        <v>SSP Group</v>
      </c>
      <c r="R789" s="78" t="str">
        <f>_xlfn.XLOOKUP(tblMovimientos[[#This Row],[Cuenta Bancaria]],Cuentas!$C:$C,Cuentas!$B:$B,"",0,-1)&amp;""</f>
        <v>Trust</v>
      </c>
    </row>
    <row r="790" spans="1:18" x14ac:dyDescent="0.3">
      <c r="A790" s="45"/>
      <c r="B790" s="39">
        <v>46247</v>
      </c>
      <c r="C790" s="4" t="str">
        <f>_xlfn.XLOOKUP(tblMovimientos[[#This Row],[Cuenta Bancaria]],Listas!$B:$B,Listas!$A:$A,"")</f>
        <v>SSP Capital</v>
      </c>
      <c r="D790" s="41" t="s">
        <v>104</v>
      </c>
      <c r="E790" s="68" t="str">
        <f>_xlfn.XLOOKUP(tblMovimientos[[#This Row],[Cuenta Bancaria]],Listas!$B:$B,Listas!$C:$C,"")</f>
        <v xml:space="preserve">Amerant Bank </v>
      </c>
      <c r="F790" s="41" t="s">
        <v>10</v>
      </c>
      <c r="G790" s="41" t="s">
        <v>46</v>
      </c>
      <c r="H790" s="46" t="str">
        <f>IFERROR(_xlfn.XLOOKUP(G790,Listas!E:E,Listas!F:F,""),"")</f>
        <v>Financiamiento</v>
      </c>
      <c r="I790" s="46" t="str">
        <f>IFERROR(_xlfn.XLOOKUP(G790,Listas!E:E,Listas!G:G,""),"")</f>
        <v>Externo</v>
      </c>
      <c r="J790" s="43">
        <v>9902.7800000000007</v>
      </c>
      <c r="K790" s="5">
        <f t="shared" si="12"/>
        <v>-9902.7800000000007</v>
      </c>
      <c r="L790" s="15" t="s">
        <v>132</v>
      </c>
      <c r="M790" s="44">
        <f>SUMIFS('Saldos Iniciales'!$D:$D,'Saldos Iniciales'!$A:$A,C790,'Saldos Iniciales'!$B:$B,D790)+SUMIFS($K$1:$K$1324,$C$1:$C$1324,C790,$D$1:$D$1324,D790,$B$1:$B$1324,"&lt;="&amp;B790)</f>
        <v>568040.45999999926</v>
      </c>
      <c r="N790" s="61" t="str">
        <f>IF(tblMovimientos[[#This Row],[Tipo de Movimiento]]="Ingreso",tblMovimientos[[#This Row],[Monto (S/)]],"0")</f>
        <v>0</v>
      </c>
      <c r="O790" s="61">
        <f>IF(tblMovimientos[[#This Row],[Tipo de Movimiento]]="Egreso",tblMovimientos[[#This Row],[Monto (S/)]],"0")</f>
        <v>9902.7800000000007</v>
      </c>
      <c r="P790" s="28">
        <f>IF(tblMovimientos[[#This Row],[Tipo de Movimiento]]="Ingreso",tblMovimientos[[#This Row],[Ingreso]],-tblMovimientos[[#This Row],[Egreso]])</f>
        <v>-9902.7800000000007</v>
      </c>
      <c r="Q790" s="78" t="str">
        <f>_xlfn.XLOOKUP(tblMovimientos[[#This Row],[Cuenta Bancaria]],Cuentas!$C:$C,Cuentas!$A:$A,"")&amp;""</f>
        <v>SSP Group</v>
      </c>
      <c r="R790" s="78" t="str">
        <f>_xlfn.XLOOKUP(tblMovimientos[[#This Row],[Cuenta Bancaria]],Cuentas!$C:$C,Cuentas!$B:$B,"",0,-1)&amp;""</f>
        <v/>
      </c>
    </row>
    <row r="791" spans="1:18" x14ac:dyDescent="0.3">
      <c r="B791" s="39">
        <v>46247</v>
      </c>
      <c r="C791" s="4" t="str">
        <f>_xlfn.XLOOKUP(tblMovimientos[[#This Row],[Cuenta Bancaria]],Listas!$B:$B,Listas!$A:$A,"")</f>
        <v>SSP Capital</v>
      </c>
      <c r="D791" s="41" t="s">
        <v>104</v>
      </c>
      <c r="E791" s="68" t="str">
        <f>_xlfn.XLOOKUP(tblMovimientos[[#This Row],[Cuenta Bancaria]],Listas!$B:$B,Listas!$C:$C,"")</f>
        <v xml:space="preserve">Amerant Bank </v>
      </c>
      <c r="F791" s="41" t="s">
        <v>10</v>
      </c>
      <c r="G791" s="41" t="s">
        <v>46</v>
      </c>
      <c r="H791" s="4" t="str">
        <f>IFERROR(_xlfn.XLOOKUP(G791,Listas!E:E,Listas!F:F,""),"")</f>
        <v>Financiamiento</v>
      </c>
      <c r="I791" s="46" t="str">
        <f>IFERROR(_xlfn.XLOOKUP(G791,Listas!E:E,Listas!G:G,""),"")</f>
        <v>Externo</v>
      </c>
      <c r="J791" s="43">
        <v>55455.56</v>
      </c>
      <c r="K791" s="5">
        <f t="shared" si="12"/>
        <v>-55455.56</v>
      </c>
      <c r="L791" s="15" t="s">
        <v>132</v>
      </c>
      <c r="M791" s="44">
        <f>SUMIFS('Saldos Iniciales'!$D:$D,'Saldos Iniciales'!$A:$A,C791,'Saldos Iniciales'!$B:$B,D791)+SUMIFS($K$1:$K$1324,$C$1:$C$1324,C791,$D$1:$D$1324,D791,$B$1:$B$1324,"&lt;="&amp;B791)</f>
        <v>568040.45999999926</v>
      </c>
      <c r="N791" s="61" t="str">
        <f>IF(tblMovimientos[[#This Row],[Tipo de Movimiento]]="Ingreso",tblMovimientos[[#This Row],[Monto (S/)]],"0")</f>
        <v>0</v>
      </c>
      <c r="O791" s="61">
        <f>IF(tblMovimientos[[#This Row],[Tipo de Movimiento]]="Egreso",tblMovimientos[[#This Row],[Monto (S/)]],"0")</f>
        <v>55455.56</v>
      </c>
      <c r="P791" s="28">
        <f>IF(tblMovimientos[[#This Row],[Tipo de Movimiento]]="Ingreso",tblMovimientos[[#This Row],[Ingreso]],-tblMovimientos[[#This Row],[Egreso]])</f>
        <v>-55455.56</v>
      </c>
      <c r="Q791" s="78" t="str">
        <f>_xlfn.XLOOKUP(tblMovimientos[[#This Row],[Cuenta Bancaria]],Cuentas!$C:$C,Cuentas!$A:$A,"")&amp;""</f>
        <v>SSP Group</v>
      </c>
      <c r="R791" s="78" t="str">
        <f>_xlfn.XLOOKUP(tblMovimientos[[#This Row],[Cuenta Bancaria]],Cuentas!$C:$C,Cuentas!$B:$B,"",0,-1)&amp;""</f>
        <v/>
      </c>
    </row>
    <row r="792" spans="1:18" x14ac:dyDescent="0.3">
      <c r="B792" s="39">
        <v>46247</v>
      </c>
      <c r="C792" s="4" t="str">
        <f>_xlfn.XLOOKUP(tblMovimientos[[#This Row],[Cuenta Bancaria]],Listas!$B:$B,Listas!$A:$A,"")</f>
        <v>SSP Capital</v>
      </c>
      <c r="D792" s="41" t="s">
        <v>104</v>
      </c>
      <c r="E792" s="68" t="str">
        <f>_xlfn.XLOOKUP(tblMovimientos[[#This Row],[Cuenta Bancaria]],Listas!$B:$B,Listas!$C:$C,"")</f>
        <v xml:space="preserve">Amerant Bank </v>
      </c>
      <c r="F792" s="41" t="s">
        <v>10</v>
      </c>
      <c r="G792" s="41" t="s">
        <v>46</v>
      </c>
      <c r="H792" s="4" t="str">
        <f>IFERROR(_xlfn.XLOOKUP(G792,Listas!E:E,Listas!F:F,""),"")</f>
        <v>Financiamiento</v>
      </c>
      <c r="I792" s="46" t="str">
        <f>IFERROR(_xlfn.XLOOKUP(G792,Listas!E:E,Listas!G:G,""),"")</f>
        <v>Externo</v>
      </c>
      <c r="J792" s="43">
        <v>138638.89000000001</v>
      </c>
      <c r="K792" s="5">
        <f t="shared" si="12"/>
        <v>-138638.89000000001</v>
      </c>
      <c r="L792" s="15" t="s">
        <v>132</v>
      </c>
      <c r="M792" s="44">
        <f>SUMIFS('Saldos Iniciales'!$D:$D,'Saldos Iniciales'!$A:$A,C792,'Saldos Iniciales'!$B:$B,D792)+SUMIFS($K$1:$K$1324,$C$1:$C$1324,C792,$D$1:$D$1324,D792,$B$1:$B$1324,"&lt;="&amp;B792)</f>
        <v>568040.45999999926</v>
      </c>
      <c r="N792" s="61" t="str">
        <f>IF(tblMovimientos[[#This Row],[Tipo de Movimiento]]="Ingreso",tblMovimientos[[#This Row],[Monto (S/)]],"0")</f>
        <v>0</v>
      </c>
      <c r="O792" s="61">
        <f>IF(tblMovimientos[[#This Row],[Tipo de Movimiento]]="Egreso",tblMovimientos[[#This Row],[Monto (S/)]],"0")</f>
        <v>138638.89000000001</v>
      </c>
      <c r="P792" s="28">
        <f>IF(tblMovimientos[[#This Row],[Tipo de Movimiento]]="Ingreso",tblMovimientos[[#This Row],[Ingreso]],-tblMovimientos[[#This Row],[Egreso]])</f>
        <v>-138638.89000000001</v>
      </c>
      <c r="Q792" s="78" t="str">
        <f>_xlfn.XLOOKUP(tblMovimientos[[#This Row],[Cuenta Bancaria]],Cuentas!$C:$C,Cuentas!$A:$A,"")&amp;""</f>
        <v>SSP Group</v>
      </c>
      <c r="R792" s="78" t="str">
        <f>_xlfn.XLOOKUP(tblMovimientos[[#This Row],[Cuenta Bancaria]],Cuentas!$C:$C,Cuentas!$B:$B,"",0,-1)&amp;""</f>
        <v/>
      </c>
    </row>
    <row r="793" spans="1:18" x14ac:dyDescent="0.3">
      <c r="B793" s="39">
        <v>46247</v>
      </c>
      <c r="C793" s="4" t="str">
        <f>_xlfn.XLOOKUP(tblMovimientos[[#This Row],[Cuenta Bancaria]],Listas!$B:$B,Listas!$A:$A,"")</f>
        <v>Green Harbor Trust</v>
      </c>
      <c r="D793" s="41" t="s">
        <v>125</v>
      </c>
      <c r="E793" s="68" t="str">
        <f>_xlfn.XLOOKUP(tblMovimientos[[#This Row],[Cuenta Bancaria]],Listas!$B:$B,Listas!$C:$C,"")</f>
        <v xml:space="preserve">Amerant Bank </v>
      </c>
      <c r="F793" s="41" t="s">
        <v>9</v>
      </c>
      <c r="G793" s="41" t="s">
        <v>85</v>
      </c>
      <c r="H793" s="4" t="str">
        <f>IFERROR(_xlfn.XLOOKUP(G793,Listas!E:E,Listas!F:F,""),"")</f>
        <v>Operativo</v>
      </c>
      <c r="I793" s="46" t="str">
        <f>IFERROR(_xlfn.XLOOKUP(G793,Listas!E:E,Listas!G:G,""),"")</f>
        <v>Interno</v>
      </c>
      <c r="J793" s="43">
        <v>10000</v>
      </c>
      <c r="K793" s="5">
        <f t="shared" si="12"/>
        <v>10000</v>
      </c>
      <c r="L793" s="15" t="s">
        <v>132</v>
      </c>
      <c r="M793" s="44">
        <f>SUMIFS('Saldos Iniciales'!$D:$D,'Saldos Iniciales'!$A:$A,C793,'Saldos Iniciales'!$B:$B,D793)+SUMIFS($K$1:$K$1324,$C$1:$C$1324,C793,$D$1:$D$1324,D793,$B$1:$B$1324,"&lt;="&amp;B793)</f>
        <v>345</v>
      </c>
      <c r="N793" s="61">
        <f>IF(tblMovimientos[[#This Row],[Tipo de Movimiento]]="Ingreso",tblMovimientos[[#This Row],[Monto (S/)]],"0")</f>
        <v>10000</v>
      </c>
      <c r="O793" s="61" t="str">
        <f>IF(tblMovimientos[[#This Row],[Tipo de Movimiento]]="Egreso",tblMovimientos[[#This Row],[Monto (S/)]],"0")</f>
        <v>0</v>
      </c>
      <c r="P793" s="28">
        <f>IF(tblMovimientos[[#This Row],[Tipo de Movimiento]]="Ingreso",tblMovimientos[[#This Row],[Ingreso]],-tblMovimientos[[#This Row],[Egreso]])</f>
        <v>10000</v>
      </c>
      <c r="Q793" s="78" t="str">
        <f>_xlfn.XLOOKUP(tblMovimientos[[#This Row],[Cuenta Bancaria]],Cuentas!$C:$C,Cuentas!$A:$A,"")&amp;""</f>
        <v>SSP Group</v>
      </c>
      <c r="R793" s="78" t="str">
        <f>_xlfn.XLOOKUP(tblMovimientos[[#This Row],[Cuenta Bancaria]],Cuentas!$C:$C,Cuentas!$B:$B,"",0,-1)&amp;""</f>
        <v>Trust</v>
      </c>
    </row>
    <row r="794" spans="1:18" x14ac:dyDescent="0.3">
      <c r="B794" s="39">
        <v>46247</v>
      </c>
      <c r="C794" s="4" t="str">
        <f>_xlfn.XLOOKUP(tblMovimientos[[#This Row],[Cuenta Bancaria]],Listas!$B:$B,Listas!$A:$A,"")</f>
        <v>Green Harbor Trust</v>
      </c>
      <c r="D794" s="41" t="s">
        <v>125</v>
      </c>
      <c r="E794" s="68" t="str">
        <f>_xlfn.XLOOKUP(tblMovimientos[[#This Row],[Cuenta Bancaria]],Listas!$B:$B,Listas!$C:$C,"")</f>
        <v xml:space="preserve">Amerant Bank </v>
      </c>
      <c r="F794" s="41" t="s">
        <v>10</v>
      </c>
      <c r="G794" s="41" t="s">
        <v>64</v>
      </c>
      <c r="H794" s="4" t="str">
        <f>IFERROR(_xlfn.XLOOKUP(G794,Listas!E:E,Listas!F:F,""),"")</f>
        <v>Operativo</v>
      </c>
      <c r="I794" s="46" t="str">
        <f>IFERROR(_xlfn.XLOOKUP(G794,Listas!E:E,Listas!G:G,""),"")</f>
        <v>Interno</v>
      </c>
      <c r="J794" s="43">
        <v>10000</v>
      </c>
      <c r="K794" s="5">
        <f t="shared" si="12"/>
        <v>-10000</v>
      </c>
      <c r="L794" s="15" t="s">
        <v>132</v>
      </c>
      <c r="M794" s="44">
        <f>SUMIFS('Saldos Iniciales'!$D:$D,'Saldos Iniciales'!$A:$A,C794,'Saldos Iniciales'!$B:$B,D794)+SUMIFS($K$1:$K$1324,$C$1:$C$1324,C794,$D$1:$D$1324,D794,$B$1:$B$1324,"&lt;="&amp;B794)</f>
        <v>345</v>
      </c>
      <c r="N794" s="61" t="str">
        <f>IF(tblMovimientos[[#This Row],[Tipo de Movimiento]]="Ingreso",tblMovimientos[[#This Row],[Monto (S/)]],"0")</f>
        <v>0</v>
      </c>
      <c r="O794" s="61">
        <f>IF(tblMovimientos[[#This Row],[Tipo de Movimiento]]="Egreso",tblMovimientos[[#This Row],[Monto (S/)]],"0")</f>
        <v>10000</v>
      </c>
      <c r="P794" s="28">
        <f>IF(tblMovimientos[[#This Row],[Tipo de Movimiento]]="Ingreso",tblMovimientos[[#This Row],[Ingreso]],-tblMovimientos[[#This Row],[Egreso]])</f>
        <v>-10000</v>
      </c>
      <c r="Q794" s="78" t="str">
        <f>_xlfn.XLOOKUP(tblMovimientos[[#This Row],[Cuenta Bancaria]],Cuentas!$C:$C,Cuentas!$A:$A,"")&amp;""</f>
        <v>SSP Group</v>
      </c>
      <c r="R794" s="78" t="str">
        <f>_xlfn.XLOOKUP(tblMovimientos[[#This Row],[Cuenta Bancaria]],Cuentas!$C:$C,Cuentas!$B:$B,"",0,-1)&amp;""</f>
        <v>Trust</v>
      </c>
    </row>
    <row r="795" spans="1:18" x14ac:dyDescent="0.3">
      <c r="B795" s="39">
        <v>46247</v>
      </c>
      <c r="C795" s="4" t="str">
        <f>_xlfn.XLOOKUP(tblMovimientos[[#This Row],[Cuenta Bancaria]],Listas!$B:$B,Listas!$A:$A,"")</f>
        <v>Go Blue</v>
      </c>
      <c r="D795" s="41" t="s">
        <v>126</v>
      </c>
      <c r="E795" s="68" t="str">
        <f>_xlfn.XLOOKUP(tblMovimientos[[#This Row],[Cuenta Bancaria]],Listas!$B:$B,Listas!$C:$C,"")</f>
        <v xml:space="preserve">Amerant Bank </v>
      </c>
      <c r="F795" s="41" t="s">
        <v>9</v>
      </c>
      <c r="G795" s="41" t="s">
        <v>85</v>
      </c>
      <c r="H795" s="4" t="str">
        <f>IFERROR(_xlfn.XLOOKUP(G795,Listas!E:E,Listas!F:F,""),"")</f>
        <v>Operativo</v>
      </c>
      <c r="I795" s="46" t="str">
        <f>IFERROR(_xlfn.XLOOKUP(G795,Listas!E:E,Listas!G:G,""),"")</f>
        <v>Interno</v>
      </c>
      <c r="J795" s="43">
        <v>10000</v>
      </c>
      <c r="K795" s="5">
        <f t="shared" si="12"/>
        <v>10000</v>
      </c>
      <c r="L795" s="15" t="s">
        <v>132</v>
      </c>
      <c r="M795" s="44">
        <f>SUMIFS('Saldos Iniciales'!$D:$D,'Saldos Iniciales'!$A:$A,C795,'Saldos Iniciales'!$B:$B,D795)+SUMIFS($K$1:$K$1324,$C$1:$C$1324,C795,$D$1:$D$1324,D795,$B$1:$B$1324,"&lt;="&amp;B795)</f>
        <v>12455.609999999997</v>
      </c>
      <c r="N795" s="61">
        <f>IF(tblMovimientos[[#This Row],[Tipo de Movimiento]]="Ingreso",tblMovimientos[[#This Row],[Monto (S/)]],"0")</f>
        <v>10000</v>
      </c>
      <c r="O795" s="61" t="str">
        <f>IF(tblMovimientos[[#This Row],[Tipo de Movimiento]]="Egreso",tblMovimientos[[#This Row],[Monto (S/)]],"0")</f>
        <v>0</v>
      </c>
      <c r="P795" s="28">
        <f>IF(tblMovimientos[[#This Row],[Tipo de Movimiento]]="Ingreso",tblMovimientos[[#This Row],[Ingreso]],-tblMovimientos[[#This Row],[Egreso]])</f>
        <v>10000</v>
      </c>
      <c r="Q795" s="78" t="str">
        <f>_xlfn.XLOOKUP(tblMovimientos[[#This Row],[Cuenta Bancaria]],Cuentas!$C:$C,Cuentas!$A:$A,"")&amp;""</f>
        <v>SSP Group</v>
      </c>
      <c r="R795" s="78" t="str">
        <f>_xlfn.XLOOKUP(tblMovimientos[[#This Row],[Cuenta Bancaria]],Cuentas!$C:$C,Cuentas!$B:$B,"",0,-1)&amp;""</f>
        <v/>
      </c>
    </row>
    <row r="796" spans="1:18" x14ac:dyDescent="0.3">
      <c r="B796" s="39">
        <v>46247</v>
      </c>
      <c r="C796" s="4" t="str">
        <f>_xlfn.XLOOKUP(tblMovimientos[[#This Row],[Cuenta Bancaria]],Listas!$B:$B,Listas!$A:$A,"")</f>
        <v>Go Blue</v>
      </c>
      <c r="D796" s="41" t="s">
        <v>126</v>
      </c>
      <c r="E796" s="68" t="str">
        <f>_xlfn.XLOOKUP(tblMovimientos[[#This Row],[Cuenta Bancaria]],Listas!$B:$B,Listas!$C:$C,"")</f>
        <v xml:space="preserve">Amerant Bank </v>
      </c>
      <c r="F796" s="41" t="s">
        <v>10</v>
      </c>
      <c r="G796" s="41" t="s">
        <v>38</v>
      </c>
      <c r="H796" s="4" t="str">
        <f>IFERROR(_xlfn.XLOOKUP(G796,Listas!E:E,Listas!F:F,""),"")</f>
        <v>Operativo</v>
      </c>
      <c r="I796" s="46" t="str">
        <f>IFERROR(_xlfn.XLOOKUP(G796,Listas!E:E,Listas!G:G,""),"")</f>
        <v>Externo</v>
      </c>
      <c r="J796" s="43">
        <v>2500</v>
      </c>
      <c r="K796" s="5">
        <f t="shared" si="12"/>
        <v>-2500</v>
      </c>
      <c r="L796" s="15" t="s">
        <v>132</v>
      </c>
      <c r="M796" s="44">
        <f>SUMIFS('Saldos Iniciales'!$D:$D,'Saldos Iniciales'!$A:$A,C796,'Saldos Iniciales'!$B:$B,D796)+SUMIFS($K$1:$K$1324,$C$1:$C$1324,C796,$D$1:$D$1324,D796,$B$1:$B$1324,"&lt;="&amp;B796)</f>
        <v>12455.609999999997</v>
      </c>
      <c r="N796" s="61" t="str">
        <f>IF(tblMovimientos[[#This Row],[Tipo de Movimiento]]="Ingreso",tblMovimientos[[#This Row],[Monto (S/)]],"0")</f>
        <v>0</v>
      </c>
      <c r="O796" s="61">
        <f>IF(tblMovimientos[[#This Row],[Tipo de Movimiento]]="Egreso",tblMovimientos[[#This Row],[Monto (S/)]],"0")</f>
        <v>2500</v>
      </c>
      <c r="P796" s="28">
        <f>IF(tblMovimientos[[#This Row],[Tipo de Movimiento]]="Ingreso",tblMovimientos[[#This Row],[Ingreso]],-tblMovimientos[[#This Row],[Egreso]])</f>
        <v>-2500</v>
      </c>
      <c r="Q796" s="78" t="str">
        <f>_xlfn.XLOOKUP(tblMovimientos[[#This Row],[Cuenta Bancaria]],Cuentas!$C:$C,Cuentas!$A:$A,"")&amp;""</f>
        <v>SSP Group</v>
      </c>
      <c r="R796" s="78" t="str">
        <f>_xlfn.XLOOKUP(tblMovimientos[[#This Row],[Cuenta Bancaria]],Cuentas!$C:$C,Cuentas!$B:$B,"",0,-1)&amp;""</f>
        <v/>
      </c>
    </row>
    <row r="797" spans="1:18" x14ac:dyDescent="0.3">
      <c r="B797" s="39">
        <v>46247</v>
      </c>
      <c r="C797" s="4" t="str">
        <f>_xlfn.XLOOKUP(tblMovimientos[[#This Row],[Cuenta Bancaria]],Listas!$B:$B,Listas!$A:$A,"")</f>
        <v>Go Blue</v>
      </c>
      <c r="D797" s="41" t="s">
        <v>126</v>
      </c>
      <c r="E797" s="68" t="str">
        <f>_xlfn.XLOOKUP(tblMovimientos[[#This Row],[Cuenta Bancaria]],Listas!$B:$B,Listas!$C:$C,"")</f>
        <v xml:space="preserve">Amerant Bank </v>
      </c>
      <c r="F797" s="41" t="s">
        <v>10</v>
      </c>
      <c r="G797" s="41" t="s">
        <v>44</v>
      </c>
      <c r="H797" s="4" t="str">
        <f>IFERROR(_xlfn.XLOOKUP(G797,Listas!E:E,Listas!F:F,""),"")</f>
        <v>Operativo</v>
      </c>
      <c r="I797" s="46" t="str">
        <f>IFERROR(_xlfn.XLOOKUP(G797,Listas!E:E,Listas!G:G,""),"")</f>
        <v>Externo</v>
      </c>
      <c r="J797" s="43">
        <v>15</v>
      </c>
      <c r="K797" s="5">
        <f t="shared" si="12"/>
        <v>-15</v>
      </c>
      <c r="L797" s="15" t="s">
        <v>132</v>
      </c>
      <c r="M797" s="44">
        <f>SUMIFS('Saldos Iniciales'!$D:$D,'Saldos Iniciales'!$A:$A,C797,'Saldos Iniciales'!$B:$B,D797)+SUMIFS($K$1:$K$1324,$C$1:$C$1324,C797,$D$1:$D$1324,D797,$B$1:$B$1324,"&lt;="&amp;B797)</f>
        <v>12455.609999999997</v>
      </c>
      <c r="N797" s="61" t="str">
        <f>IF(tblMovimientos[[#This Row],[Tipo de Movimiento]]="Ingreso",tblMovimientos[[#This Row],[Monto (S/)]],"0")</f>
        <v>0</v>
      </c>
      <c r="O797" s="61">
        <f>IF(tblMovimientos[[#This Row],[Tipo de Movimiento]]="Egreso",tblMovimientos[[#This Row],[Monto (S/)]],"0")</f>
        <v>15</v>
      </c>
      <c r="P797" s="28">
        <f>IF(tblMovimientos[[#This Row],[Tipo de Movimiento]]="Ingreso",tblMovimientos[[#This Row],[Ingreso]],-tblMovimientos[[#This Row],[Egreso]])</f>
        <v>-15</v>
      </c>
      <c r="Q797" s="78" t="str">
        <f>_xlfn.XLOOKUP(tblMovimientos[[#This Row],[Cuenta Bancaria]],Cuentas!$C:$C,Cuentas!$A:$A,"")&amp;""</f>
        <v>SSP Group</v>
      </c>
      <c r="R797" s="78" t="str">
        <f>_xlfn.XLOOKUP(tblMovimientos[[#This Row],[Cuenta Bancaria]],Cuentas!$C:$C,Cuentas!$B:$B,"",0,-1)&amp;""</f>
        <v/>
      </c>
    </row>
    <row r="798" spans="1:18" x14ac:dyDescent="0.3">
      <c r="B798" s="39">
        <v>46247</v>
      </c>
      <c r="C798" s="4" t="str">
        <f>_xlfn.XLOOKUP(tblMovimientos[[#This Row],[Cuenta Bancaria]],Listas!$B:$B,Listas!$A:$A,"")</f>
        <v>Go Blue</v>
      </c>
      <c r="D798" s="41" t="s">
        <v>126</v>
      </c>
      <c r="E798" s="68" t="str">
        <f>_xlfn.XLOOKUP(tblMovimientos[[#This Row],[Cuenta Bancaria]],Listas!$B:$B,Listas!$C:$C,"")</f>
        <v xml:space="preserve">Amerant Bank </v>
      </c>
      <c r="F798" s="41" t="s">
        <v>10</v>
      </c>
      <c r="G798" s="41" t="s">
        <v>38</v>
      </c>
      <c r="H798" s="4" t="str">
        <f>IFERROR(_xlfn.XLOOKUP(G798,Listas!E:E,Listas!F:F,""),"")</f>
        <v>Operativo</v>
      </c>
      <c r="I798" s="46" t="str">
        <f>IFERROR(_xlfn.XLOOKUP(G798,Listas!E:E,Listas!G:G,""),"")</f>
        <v>Externo</v>
      </c>
      <c r="J798" s="43">
        <v>5199.1400000000003</v>
      </c>
      <c r="K798" s="5">
        <f t="shared" si="12"/>
        <v>-5199.1400000000003</v>
      </c>
      <c r="L798" s="15" t="s">
        <v>132</v>
      </c>
      <c r="M798" s="44">
        <f>SUMIFS('Saldos Iniciales'!$D:$D,'Saldos Iniciales'!$A:$A,C798,'Saldos Iniciales'!$B:$B,D798)+SUMIFS($K$1:$K$1324,$C$1:$C$1324,C798,$D$1:$D$1324,D798,$B$1:$B$1324,"&lt;="&amp;B798)</f>
        <v>12455.609999999997</v>
      </c>
      <c r="N798" s="61" t="str">
        <f>IF(tblMovimientos[[#This Row],[Tipo de Movimiento]]="Ingreso",tblMovimientos[[#This Row],[Monto (S/)]],"0")</f>
        <v>0</v>
      </c>
      <c r="O798" s="61">
        <f>IF(tblMovimientos[[#This Row],[Tipo de Movimiento]]="Egreso",tblMovimientos[[#This Row],[Monto (S/)]],"0")</f>
        <v>5199.1400000000003</v>
      </c>
      <c r="P798" s="28">
        <f>IF(tblMovimientos[[#This Row],[Tipo de Movimiento]]="Ingreso",tblMovimientos[[#This Row],[Ingreso]],-tblMovimientos[[#This Row],[Egreso]])</f>
        <v>-5199.1400000000003</v>
      </c>
      <c r="Q798" s="78" t="str">
        <f>_xlfn.XLOOKUP(tblMovimientos[[#This Row],[Cuenta Bancaria]],Cuentas!$C:$C,Cuentas!$A:$A,"")&amp;""</f>
        <v>SSP Group</v>
      </c>
      <c r="R798" s="78" t="str">
        <f>_xlfn.XLOOKUP(tblMovimientos[[#This Row],[Cuenta Bancaria]],Cuentas!$C:$C,Cuentas!$B:$B,"",0,-1)&amp;""</f>
        <v/>
      </c>
    </row>
    <row r="799" spans="1:18" x14ac:dyDescent="0.3">
      <c r="B799" s="39">
        <v>46247</v>
      </c>
      <c r="C799" s="4" t="str">
        <f>_xlfn.XLOOKUP(tblMovimientos[[#This Row],[Cuenta Bancaria]],Listas!$B:$B,Listas!$A:$A,"")</f>
        <v>Go Blue</v>
      </c>
      <c r="D799" s="41" t="s">
        <v>126</v>
      </c>
      <c r="E799" s="68" t="str">
        <f>_xlfn.XLOOKUP(tblMovimientos[[#This Row],[Cuenta Bancaria]],Listas!$B:$B,Listas!$C:$C,"")</f>
        <v xml:space="preserve">Amerant Bank </v>
      </c>
      <c r="F799" s="41" t="s">
        <v>10</v>
      </c>
      <c r="G799" s="41" t="s">
        <v>44</v>
      </c>
      <c r="H799" s="4" t="str">
        <f>IFERROR(_xlfn.XLOOKUP(G799,Listas!E:E,Listas!F:F,""),"")</f>
        <v>Operativo</v>
      </c>
      <c r="I799" s="46" t="str">
        <f>IFERROR(_xlfn.XLOOKUP(G799,Listas!E:E,Listas!G:G,""),"")</f>
        <v>Externo</v>
      </c>
      <c r="J799" s="43">
        <v>15</v>
      </c>
      <c r="K799" s="5">
        <f t="shared" si="12"/>
        <v>-15</v>
      </c>
      <c r="L799" s="15" t="s">
        <v>132</v>
      </c>
      <c r="M799" s="44">
        <f>SUMIFS('Saldos Iniciales'!$D:$D,'Saldos Iniciales'!$A:$A,C799,'Saldos Iniciales'!$B:$B,D799)+SUMIFS($K$1:$K$1324,$C$1:$C$1324,C799,$D$1:$D$1324,D799,$B$1:$B$1324,"&lt;="&amp;B799)</f>
        <v>12455.609999999997</v>
      </c>
      <c r="N799" s="61" t="str">
        <f>IF(tblMovimientos[[#This Row],[Tipo de Movimiento]]="Ingreso",tblMovimientos[[#This Row],[Monto (S/)]],"0")</f>
        <v>0</v>
      </c>
      <c r="O799" s="61">
        <f>IF(tblMovimientos[[#This Row],[Tipo de Movimiento]]="Egreso",tblMovimientos[[#This Row],[Monto (S/)]],"0")</f>
        <v>15</v>
      </c>
      <c r="P799" s="28">
        <f>IF(tblMovimientos[[#This Row],[Tipo de Movimiento]]="Ingreso",tblMovimientos[[#This Row],[Ingreso]],-tblMovimientos[[#This Row],[Egreso]])</f>
        <v>-15</v>
      </c>
      <c r="Q799" s="78" t="str">
        <f>_xlfn.XLOOKUP(tblMovimientos[[#This Row],[Cuenta Bancaria]],Cuentas!$C:$C,Cuentas!$A:$A,"")&amp;""</f>
        <v>SSP Group</v>
      </c>
      <c r="R799" s="78" t="str">
        <f>_xlfn.XLOOKUP(tblMovimientos[[#This Row],[Cuenta Bancaria]],Cuentas!$C:$C,Cuentas!$B:$B,"",0,-1)&amp;""</f>
        <v/>
      </c>
    </row>
    <row r="800" spans="1:18" x14ac:dyDescent="0.3">
      <c r="B800" s="39">
        <v>46247</v>
      </c>
      <c r="C800" s="4" t="str">
        <f>_xlfn.XLOOKUP(tblMovimientos[[#This Row],[Cuenta Bancaria]],Listas!$B:$B,Listas!$A:$A,"")</f>
        <v>CFT Group</v>
      </c>
      <c r="D800" s="41" t="s">
        <v>96</v>
      </c>
      <c r="E800" s="68" t="str">
        <f>_xlfn.XLOOKUP(tblMovimientos[[#This Row],[Cuenta Bancaria]],Listas!$B:$B,Listas!$C:$C,"")</f>
        <v>Northern Trust</v>
      </c>
      <c r="F800" s="41" t="s">
        <v>10</v>
      </c>
      <c r="G800" s="41" t="s">
        <v>44</v>
      </c>
      <c r="H800" s="4" t="str">
        <f>IFERROR(_xlfn.XLOOKUP(G800,Listas!E:E,Listas!F:F,""),"")</f>
        <v>Operativo</v>
      </c>
      <c r="I800" s="46" t="str">
        <f>IFERROR(_xlfn.XLOOKUP(G800,Listas!E:E,Listas!G:G,""),"")</f>
        <v>Externo</v>
      </c>
      <c r="J800" s="43">
        <v>18.8</v>
      </c>
      <c r="K800" s="5">
        <f t="shared" si="12"/>
        <v>-18.8</v>
      </c>
      <c r="L800" s="15" t="s">
        <v>132</v>
      </c>
      <c r="M800" s="44">
        <f>SUMIFS('Saldos Iniciales'!$D:$D,'Saldos Iniciales'!$A:$A,C800,'Saldos Iniciales'!$B:$B,D800)+SUMIFS($K$1:$K$1324,$C$1:$C$1324,C800,$D$1:$D$1324,D800,$B$1:$B$1324,"&lt;="&amp;B800)</f>
        <v>5237.2300000000005</v>
      </c>
      <c r="N800" s="61" t="str">
        <f>IF(tblMovimientos[[#This Row],[Tipo de Movimiento]]="Ingreso",tblMovimientos[[#This Row],[Monto (S/)]],"0")</f>
        <v>0</v>
      </c>
      <c r="O800" s="61">
        <f>IF(tblMovimientos[[#This Row],[Tipo de Movimiento]]="Egreso",tblMovimientos[[#This Row],[Monto (S/)]],"0")</f>
        <v>18.8</v>
      </c>
      <c r="P800" s="28">
        <f>IF(tblMovimientos[[#This Row],[Tipo de Movimiento]]="Ingreso",tblMovimientos[[#This Row],[Ingreso]],-tblMovimientos[[#This Row],[Egreso]])</f>
        <v>-18.8</v>
      </c>
      <c r="Q800" s="78" t="str">
        <f>_xlfn.XLOOKUP(tblMovimientos[[#This Row],[Cuenta Bancaria]],Cuentas!$C:$C,Cuentas!$A:$A,"")&amp;""</f>
        <v>SSP Group</v>
      </c>
      <c r="R800" s="78" t="str">
        <f>_xlfn.XLOOKUP(tblMovimientos[[#This Row],[Cuenta Bancaria]],Cuentas!$C:$C,Cuentas!$B:$B,"",0,-1)&amp;""</f>
        <v/>
      </c>
    </row>
    <row r="801" spans="1:18" x14ac:dyDescent="0.3">
      <c r="B801" s="39">
        <v>46247</v>
      </c>
      <c r="C801" s="4" t="str">
        <f>_xlfn.XLOOKUP(tblMovimientos[[#This Row],[Cuenta Bancaria]],Listas!$B:$B,Listas!$A:$A,"")</f>
        <v>SSP Capital</v>
      </c>
      <c r="D801" s="41" t="s">
        <v>105</v>
      </c>
      <c r="E801" s="68" t="str">
        <f>_xlfn.XLOOKUP(tblMovimientos[[#This Row],[Cuenta Bancaria]],Listas!$B:$B,Listas!$C:$C,"")</f>
        <v>Northern Trust</v>
      </c>
      <c r="F801" s="41" t="s">
        <v>10</v>
      </c>
      <c r="G801" s="41" t="s">
        <v>44</v>
      </c>
      <c r="H801" s="4" t="str">
        <f>IFERROR(_xlfn.XLOOKUP(G801,Listas!E:E,Listas!F:F,""),"")</f>
        <v>Operativo</v>
      </c>
      <c r="I801" s="46" t="str">
        <f>IFERROR(_xlfn.XLOOKUP(G801,Listas!E:E,Listas!G:G,""),"")</f>
        <v>Externo</v>
      </c>
      <c r="J801" s="43">
        <v>108.95</v>
      </c>
      <c r="K801" s="5">
        <f t="shared" si="12"/>
        <v>-108.95</v>
      </c>
      <c r="L801" s="15" t="s">
        <v>132</v>
      </c>
      <c r="M801" s="44">
        <f>SUMIFS('Saldos Iniciales'!$D:$D,'Saldos Iniciales'!$A:$A,C801,'Saldos Iniciales'!$B:$B,D801)+SUMIFS($K$1:$K$1324,$C$1:$C$1324,C801,$D$1:$D$1324,D801,$B$1:$B$1324,"&lt;="&amp;B801)</f>
        <v>4652.25</v>
      </c>
      <c r="N801" s="61" t="str">
        <f>IF(tblMovimientos[[#This Row],[Tipo de Movimiento]]="Ingreso",tblMovimientos[[#This Row],[Monto (S/)]],"0")</f>
        <v>0</v>
      </c>
      <c r="O801" s="61">
        <f>IF(tblMovimientos[[#This Row],[Tipo de Movimiento]]="Egreso",tblMovimientos[[#This Row],[Monto (S/)]],"0")</f>
        <v>108.95</v>
      </c>
      <c r="P801" s="28">
        <f>IF(tblMovimientos[[#This Row],[Tipo de Movimiento]]="Ingreso",tblMovimientos[[#This Row],[Ingreso]],-tblMovimientos[[#This Row],[Egreso]])</f>
        <v>-108.95</v>
      </c>
      <c r="Q801" s="78" t="str">
        <f>_xlfn.XLOOKUP(tblMovimientos[[#This Row],[Cuenta Bancaria]],Cuentas!$C:$C,Cuentas!$A:$A,"")&amp;""</f>
        <v>SSP Group</v>
      </c>
      <c r="R801" s="78" t="str">
        <f>_xlfn.XLOOKUP(tblMovimientos[[#This Row],[Cuenta Bancaria]],Cuentas!$C:$C,Cuentas!$B:$B,"",0,-1)&amp;""</f>
        <v/>
      </c>
    </row>
    <row r="802" spans="1:18" x14ac:dyDescent="0.3">
      <c r="B802" s="39">
        <v>46248</v>
      </c>
      <c r="C802" s="4" t="str">
        <f>_xlfn.XLOOKUP(tblMovimientos[[#This Row],[Cuenta Bancaria]],Listas!$B:$B,Listas!$A:$A,"")</f>
        <v>2515 Overbrook</v>
      </c>
      <c r="D802" s="41" t="s">
        <v>121</v>
      </c>
      <c r="E802" s="68" t="str">
        <f>_xlfn.XLOOKUP(tblMovimientos[[#This Row],[Cuenta Bancaria]],Listas!$B:$B,Listas!$C:$C,"")</f>
        <v>Bank of America</v>
      </c>
      <c r="F802" s="41" t="s">
        <v>10</v>
      </c>
      <c r="G802" s="41" t="s">
        <v>44</v>
      </c>
      <c r="H802" s="4" t="str">
        <f>IFERROR(_xlfn.XLOOKUP(G802,Listas!E:E,Listas!F:F,""),"")</f>
        <v>Operativo</v>
      </c>
      <c r="I802" s="46" t="str">
        <f>IFERROR(_xlfn.XLOOKUP(G802,Listas!E:E,Listas!G:G,""),"")</f>
        <v>Externo</v>
      </c>
      <c r="J802" s="43">
        <v>15</v>
      </c>
      <c r="K802" s="5">
        <f t="shared" si="12"/>
        <v>-15</v>
      </c>
      <c r="L802" s="15" t="s">
        <v>132</v>
      </c>
      <c r="M802" s="44">
        <f>SUMIFS('Saldos Iniciales'!$D:$D,'Saldos Iniciales'!$A:$A,C802,'Saldos Iniciales'!$B:$B,D802)+SUMIFS($K$1:$K$1324,$C$1:$C$1324,C802,$D$1:$D$1324,D802,$B$1:$B$1324,"&lt;="&amp;B802)</f>
        <v>13375.289999999964</v>
      </c>
      <c r="N802" s="61" t="str">
        <f>IF(tblMovimientos[[#This Row],[Tipo de Movimiento]]="Ingreso",tblMovimientos[[#This Row],[Monto (S/)]],"0")</f>
        <v>0</v>
      </c>
      <c r="O802" s="61">
        <f>IF(tblMovimientos[[#This Row],[Tipo de Movimiento]]="Egreso",tblMovimientos[[#This Row],[Monto (S/)]],"0")</f>
        <v>15</v>
      </c>
      <c r="P802" s="28">
        <f>IF(tblMovimientos[[#This Row],[Tipo de Movimiento]]="Ingreso",tblMovimientos[[#This Row],[Ingreso]],-tblMovimientos[[#This Row],[Egreso]])</f>
        <v>-15</v>
      </c>
      <c r="Q802" s="78" t="str">
        <f>_xlfn.XLOOKUP(tblMovimientos[[#This Row],[Cuenta Bancaria]],Cuentas!$C:$C,Cuentas!$A:$A,"")&amp;""</f>
        <v>SSP Group</v>
      </c>
      <c r="R802" s="78" t="str">
        <f>_xlfn.XLOOKUP(tblMovimientos[[#This Row],[Cuenta Bancaria]],Cuentas!$C:$C,Cuentas!$B:$B,"",0,-1)&amp;""</f>
        <v/>
      </c>
    </row>
    <row r="803" spans="1:18" x14ac:dyDescent="0.3">
      <c r="B803" s="39">
        <v>46248</v>
      </c>
      <c r="C803" s="4" t="str">
        <f>_xlfn.XLOOKUP(tblMovimientos[[#This Row],[Cuenta Bancaria]],Listas!$B:$B,Listas!$A:$A,"")</f>
        <v>CFT Group</v>
      </c>
      <c r="D803" s="41" t="s">
        <v>95</v>
      </c>
      <c r="E803" s="68" t="str">
        <f>_xlfn.XLOOKUP(tblMovimientos[[#This Row],[Cuenta Bancaria]],Listas!$B:$B,Listas!$C:$C,"")</f>
        <v xml:space="preserve">Amerant Bank </v>
      </c>
      <c r="F803" s="41" t="s">
        <v>10</v>
      </c>
      <c r="G803" s="41" t="s">
        <v>61</v>
      </c>
      <c r="H803" s="4" t="str">
        <f>IFERROR(_xlfn.XLOOKUP(G803,Listas!E:E,Listas!F:F,""),"")</f>
        <v>Operativo</v>
      </c>
      <c r="I803" s="46" t="str">
        <f>IFERROR(_xlfn.XLOOKUP(G803,Listas!E:E,Listas!G:G,""),"")</f>
        <v>Externo</v>
      </c>
      <c r="J803" s="43">
        <v>100000</v>
      </c>
      <c r="K803" s="5">
        <f t="shared" si="12"/>
        <v>-100000</v>
      </c>
      <c r="L803" s="15" t="s">
        <v>132</v>
      </c>
      <c r="M803" s="44">
        <f>SUMIFS('Saldos Iniciales'!$D:$D,'Saldos Iniciales'!$A:$A,C803,'Saldos Iniciales'!$B:$B,D803)+SUMIFS($K$1:$K$1324,$C$1:$C$1324,C803,$D$1:$D$1324,D803,$B$1:$B$1324,"&lt;="&amp;B803)</f>
        <v>906435.08000000077</v>
      </c>
      <c r="N803" s="61" t="str">
        <f>IF(tblMovimientos[[#This Row],[Tipo de Movimiento]]="Ingreso",tblMovimientos[[#This Row],[Monto (S/)]],"0")</f>
        <v>0</v>
      </c>
      <c r="O803" s="61">
        <f>IF(tblMovimientos[[#This Row],[Tipo de Movimiento]]="Egreso",tblMovimientos[[#This Row],[Monto (S/)]],"0")</f>
        <v>100000</v>
      </c>
      <c r="P803" s="28">
        <f>IF(tblMovimientos[[#This Row],[Tipo de Movimiento]]="Ingreso",tblMovimientos[[#This Row],[Ingreso]],-tblMovimientos[[#This Row],[Egreso]])</f>
        <v>-100000</v>
      </c>
      <c r="Q803" s="78" t="str">
        <f>_xlfn.XLOOKUP(tblMovimientos[[#This Row],[Cuenta Bancaria]],Cuentas!$C:$C,Cuentas!$A:$A,"")&amp;""</f>
        <v>SSP Group</v>
      </c>
      <c r="R803" s="78" t="str">
        <f>_xlfn.XLOOKUP(tblMovimientos[[#This Row],[Cuenta Bancaria]],Cuentas!$C:$C,Cuentas!$B:$B,"",0,-1)&amp;""</f>
        <v/>
      </c>
    </row>
    <row r="804" spans="1:18" x14ac:dyDescent="0.3">
      <c r="B804" s="39">
        <v>46248</v>
      </c>
      <c r="C804" s="4" t="str">
        <f>_xlfn.XLOOKUP(tblMovimientos[[#This Row],[Cuenta Bancaria]],Listas!$B:$B,Listas!$A:$A,"")</f>
        <v>Cross Security Trust</v>
      </c>
      <c r="D804" s="41" t="s">
        <v>112</v>
      </c>
      <c r="E804" s="68" t="str">
        <f>_xlfn.XLOOKUP(tblMovimientos[[#This Row],[Cuenta Bancaria]],Listas!$B:$B,Listas!$C:$C,"")</f>
        <v>Bank of America</v>
      </c>
      <c r="F804" s="41" t="s">
        <v>9</v>
      </c>
      <c r="G804" s="41" t="s">
        <v>84</v>
      </c>
      <c r="H804" s="4" t="str">
        <f>IFERROR(_xlfn.XLOOKUP(G804,Listas!E:E,Listas!F:F,""),"")</f>
        <v>Operativo</v>
      </c>
      <c r="I804" s="46" t="str">
        <f>IFERROR(_xlfn.XLOOKUP(G804,Listas!E:E,Listas!G:G,""),"")</f>
        <v>Externo</v>
      </c>
      <c r="J804" s="43">
        <v>3.87</v>
      </c>
      <c r="K804" s="5">
        <f t="shared" si="12"/>
        <v>3.87</v>
      </c>
      <c r="L804" s="15" t="s">
        <v>132</v>
      </c>
      <c r="M804" s="44">
        <f>SUMIFS('Saldos Iniciales'!$D:$D,'Saldos Iniciales'!$A:$A,C804,'Saldos Iniciales'!$B:$B,D804)+SUMIFS($K$1:$K$1324,$C$1:$C$1324,C804,$D$1:$D$1324,D804,$B$1:$B$1324,"&lt;="&amp;B804)</f>
        <v>277586.34000000003</v>
      </c>
      <c r="N804" s="61">
        <f>IF(tblMovimientos[[#This Row],[Tipo de Movimiento]]="Ingreso",tblMovimientos[[#This Row],[Monto (S/)]],"0")</f>
        <v>3.87</v>
      </c>
      <c r="O804" s="61" t="str">
        <f>IF(tblMovimientos[[#This Row],[Tipo de Movimiento]]="Egreso",tblMovimientos[[#This Row],[Monto (S/)]],"0")</f>
        <v>0</v>
      </c>
      <c r="P804" s="28">
        <f>IF(tblMovimientos[[#This Row],[Tipo de Movimiento]]="Ingreso",tblMovimientos[[#This Row],[Ingreso]],-tblMovimientos[[#This Row],[Egreso]])</f>
        <v>3.87</v>
      </c>
      <c r="Q804" s="78" t="str">
        <f>_xlfn.XLOOKUP(tblMovimientos[[#This Row],[Cuenta Bancaria]],Cuentas!$C:$C,Cuentas!$A:$A,"")&amp;""</f>
        <v>SSP Group</v>
      </c>
      <c r="R804" s="78" t="str">
        <f>_xlfn.XLOOKUP(tblMovimientos[[#This Row],[Cuenta Bancaria]],Cuentas!$C:$C,Cuentas!$B:$B,"",0,-1)&amp;""</f>
        <v>Trust</v>
      </c>
    </row>
    <row r="805" spans="1:18" x14ac:dyDescent="0.3">
      <c r="B805" s="39">
        <v>46251</v>
      </c>
      <c r="C805" s="4" t="str">
        <f>_xlfn.XLOOKUP(tblMovimientos[[#This Row],[Cuenta Bancaria]],Listas!$B:$B,Listas!$A:$A,"")</f>
        <v>SSP Capital</v>
      </c>
      <c r="D805" s="41" t="s">
        <v>102</v>
      </c>
      <c r="E805" s="68" t="str">
        <f>_xlfn.XLOOKUP(tblMovimientos[[#This Row],[Cuenta Bancaria]],Listas!$B:$B,Listas!$C:$C,"")</f>
        <v>Bank of America</v>
      </c>
      <c r="F805" s="41" t="s">
        <v>10</v>
      </c>
      <c r="G805" s="41" t="s">
        <v>44</v>
      </c>
      <c r="H805" s="4" t="str">
        <f>IFERROR(_xlfn.XLOOKUP(G805,Listas!E:E,Listas!F:F,""),"")</f>
        <v>Operativo</v>
      </c>
      <c r="I805" s="46" t="str">
        <f>IFERROR(_xlfn.XLOOKUP(G805,Listas!E:E,Listas!G:G,""),"")</f>
        <v>Externo</v>
      </c>
      <c r="J805" s="43">
        <v>29.75</v>
      </c>
      <c r="K805" s="5">
        <f t="shared" si="12"/>
        <v>-29.75</v>
      </c>
      <c r="L805" s="15" t="s">
        <v>132</v>
      </c>
      <c r="M805" s="44">
        <f>SUMIFS('Saldos Iniciales'!$D:$D,'Saldos Iniciales'!$A:$A,C805,'Saldos Iniciales'!$B:$B,D805)+SUMIFS($K$1:$K$1324,$C$1:$C$1324,C805,$D$1:$D$1324,D805,$B$1:$B$1324,"&lt;="&amp;B805)</f>
        <v>1141.0700000000002</v>
      </c>
      <c r="N805" s="61" t="str">
        <f>IF(tblMovimientos[[#This Row],[Tipo de Movimiento]]="Ingreso",tblMovimientos[[#This Row],[Monto (S/)]],"0")</f>
        <v>0</v>
      </c>
      <c r="O805" s="61">
        <f>IF(tblMovimientos[[#This Row],[Tipo de Movimiento]]="Egreso",tblMovimientos[[#This Row],[Monto (S/)]],"0")</f>
        <v>29.75</v>
      </c>
      <c r="P805" s="28">
        <f>IF(tblMovimientos[[#This Row],[Tipo de Movimiento]]="Ingreso",tblMovimientos[[#This Row],[Ingreso]],-tblMovimientos[[#This Row],[Egreso]])</f>
        <v>-29.75</v>
      </c>
      <c r="Q805" s="78" t="str">
        <f>_xlfn.XLOOKUP(tblMovimientos[[#This Row],[Cuenta Bancaria]],Cuentas!$C:$C,Cuentas!$A:$A,"")&amp;""</f>
        <v>SSP Group</v>
      </c>
      <c r="R805" s="78" t="str">
        <f>_xlfn.XLOOKUP(tblMovimientos[[#This Row],[Cuenta Bancaria]],Cuentas!$C:$C,Cuentas!$B:$B,"",0,-1)&amp;""</f>
        <v/>
      </c>
    </row>
    <row r="806" spans="1:18" x14ac:dyDescent="0.3">
      <c r="A806" s="45"/>
      <c r="B806" s="39">
        <v>46251</v>
      </c>
      <c r="C806" s="4" t="str">
        <f>_xlfn.XLOOKUP(tblMovimientos[[#This Row],[Cuenta Bancaria]],Listas!$B:$B,Listas!$A:$A,"")</f>
        <v>A&amp;M Imports</v>
      </c>
      <c r="D806" s="41" t="s">
        <v>100</v>
      </c>
      <c r="E806" s="68" t="str">
        <f>_xlfn.XLOOKUP(tblMovimientos[[#This Row],[Cuenta Bancaria]],Listas!$B:$B,Listas!$C:$C,"")</f>
        <v>Bank of America</v>
      </c>
      <c r="F806" s="41" t="s">
        <v>10</v>
      </c>
      <c r="G806" s="41" t="s">
        <v>44</v>
      </c>
      <c r="H806" s="46" t="str">
        <f>IFERROR(_xlfn.XLOOKUP(G806,Listas!E:E,Listas!F:F,""),"")</f>
        <v>Operativo</v>
      </c>
      <c r="I806" s="46" t="str">
        <f>IFERROR(_xlfn.XLOOKUP(G806,Listas!E:E,Listas!G:G,""),"")</f>
        <v>Externo</v>
      </c>
      <c r="J806" s="43">
        <v>420.6</v>
      </c>
      <c r="K806" s="5">
        <f t="shared" si="12"/>
        <v>-420.6</v>
      </c>
      <c r="L806" s="15" t="s">
        <v>132</v>
      </c>
      <c r="M806" s="44">
        <f>SUMIFS('Saldos Iniciales'!$D:$D,'Saldos Iniciales'!$A:$A,C806,'Saldos Iniciales'!$B:$B,D806)+SUMIFS($K$1:$K$1324,$C$1:$C$1324,C806,$D$1:$D$1324,D806,$B$1:$B$1324,"&lt;="&amp;B806)</f>
        <v>1289031.3399999999</v>
      </c>
      <c r="N806" s="61" t="str">
        <f>IF(tblMovimientos[[#This Row],[Tipo de Movimiento]]="Ingreso",tblMovimientos[[#This Row],[Monto (S/)]],"0")</f>
        <v>0</v>
      </c>
      <c r="O806" s="61">
        <f>IF(tblMovimientos[[#This Row],[Tipo de Movimiento]]="Egreso",tblMovimientos[[#This Row],[Monto (S/)]],"0")</f>
        <v>420.6</v>
      </c>
      <c r="P806" s="28">
        <f>IF(tblMovimientos[[#This Row],[Tipo de Movimiento]]="Ingreso",tblMovimientos[[#This Row],[Ingreso]],-tblMovimientos[[#This Row],[Egreso]])</f>
        <v>-420.6</v>
      </c>
      <c r="Q806" s="78" t="str">
        <f>_xlfn.XLOOKUP(tblMovimientos[[#This Row],[Cuenta Bancaria]],Cuentas!$C:$C,Cuentas!$A:$A,"")&amp;""</f>
        <v>SSP Group</v>
      </c>
      <c r="R806" s="78" t="str">
        <f>_xlfn.XLOOKUP(tblMovimientos[[#This Row],[Cuenta Bancaria]],Cuentas!$C:$C,Cuentas!$B:$B,"",0,-1)&amp;""</f>
        <v/>
      </c>
    </row>
    <row r="807" spans="1:18" x14ac:dyDescent="0.3">
      <c r="A807" s="45"/>
      <c r="B807" s="39">
        <v>46251</v>
      </c>
      <c r="C807" s="4" t="str">
        <f>_xlfn.XLOOKUP(tblMovimientos[[#This Row],[Cuenta Bancaria]],Listas!$B:$B,Listas!$A:$A,"")</f>
        <v>SSP Capital</v>
      </c>
      <c r="D807" s="41" t="s">
        <v>104</v>
      </c>
      <c r="E807" s="68" t="str">
        <f>_xlfn.XLOOKUP(tblMovimientos[[#This Row],[Cuenta Bancaria]],Listas!$B:$B,Listas!$C:$C,"")</f>
        <v xml:space="preserve">Amerant Bank </v>
      </c>
      <c r="F807" s="41" t="s">
        <v>10</v>
      </c>
      <c r="G807" s="41" t="s">
        <v>39</v>
      </c>
      <c r="H807" s="46" t="str">
        <f>IFERROR(_xlfn.XLOOKUP(G807,Listas!E:E,Listas!F:F,""),"")</f>
        <v>Operativo</v>
      </c>
      <c r="I807" s="46" t="str">
        <f>IFERROR(_xlfn.XLOOKUP(G807,Listas!E:E,Listas!G:G,""),"")</f>
        <v>Externo</v>
      </c>
      <c r="J807" s="43">
        <v>34801.339999999997</v>
      </c>
      <c r="K807" s="5">
        <f t="shared" si="12"/>
        <v>-34801.339999999997</v>
      </c>
      <c r="L807" s="15" t="s">
        <v>132</v>
      </c>
      <c r="M807" s="44">
        <f>SUMIFS('Saldos Iniciales'!$D:$D,'Saldos Iniciales'!$A:$A,C807,'Saldos Iniciales'!$B:$B,D807)+SUMIFS($K$1:$K$1324,$C$1:$C$1324,C807,$D$1:$D$1324,D807,$B$1:$B$1324,"&lt;="&amp;B807)</f>
        <v>533239.1199999993</v>
      </c>
      <c r="N807" s="61" t="str">
        <f>IF(tblMovimientos[[#This Row],[Tipo de Movimiento]]="Ingreso",tblMovimientos[[#This Row],[Monto (S/)]],"0")</f>
        <v>0</v>
      </c>
      <c r="O807" s="61">
        <f>IF(tblMovimientos[[#This Row],[Tipo de Movimiento]]="Egreso",tblMovimientos[[#This Row],[Monto (S/)]],"0")</f>
        <v>34801.339999999997</v>
      </c>
      <c r="P807" s="28">
        <f>IF(tblMovimientos[[#This Row],[Tipo de Movimiento]]="Ingreso",tblMovimientos[[#This Row],[Ingreso]],-tblMovimientos[[#This Row],[Egreso]])</f>
        <v>-34801.339999999997</v>
      </c>
      <c r="Q807" s="78" t="str">
        <f>_xlfn.XLOOKUP(tblMovimientos[[#This Row],[Cuenta Bancaria]],Cuentas!$C:$C,Cuentas!$A:$A,"")&amp;""</f>
        <v>SSP Group</v>
      </c>
      <c r="R807" s="78" t="str">
        <f>_xlfn.XLOOKUP(tblMovimientos[[#This Row],[Cuenta Bancaria]],Cuentas!$C:$C,Cuentas!$B:$B,"",0,-1)&amp;""</f>
        <v/>
      </c>
    </row>
    <row r="808" spans="1:18" x14ac:dyDescent="0.3">
      <c r="B808" s="39">
        <v>46251</v>
      </c>
      <c r="C808" s="4" t="str">
        <f>_xlfn.XLOOKUP(tblMovimientos[[#This Row],[Cuenta Bancaria]],Listas!$B:$B,Listas!$A:$A,"")</f>
        <v>Go Blue</v>
      </c>
      <c r="D808" s="41" t="s">
        <v>126</v>
      </c>
      <c r="E808" s="68" t="str">
        <f>_xlfn.XLOOKUP(tblMovimientos[[#This Row],[Cuenta Bancaria]],Listas!$B:$B,Listas!$C:$C,"")</f>
        <v xml:space="preserve">Amerant Bank </v>
      </c>
      <c r="F808" s="41" t="s">
        <v>10</v>
      </c>
      <c r="G808" s="41" t="s">
        <v>38</v>
      </c>
      <c r="H808" s="4" t="str">
        <f>IFERROR(_xlfn.XLOOKUP(G808,Listas!E:E,Listas!F:F,""),"")</f>
        <v>Operativo</v>
      </c>
      <c r="I808" s="46" t="str">
        <f>IFERROR(_xlfn.XLOOKUP(G808,Listas!E:E,Listas!G:G,""),"")</f>
        <v>Externo</v>
      </c>
      <c r="J808" s="43">
        <v>175</v>
      </c>
      <c r="K808" s="5">
        <f t="shared" si="12"/>
        <v>-175</v>
      </c>
      <c r="L808" s="15" t="s">
        <v>132</v>
      </c>
      <c r="M808" s="44">
        <f>SUMIFS('Saldos Iniciales'!$D:$D,'Saldos Iniciales'!$A:$A,C808,'Saldos Iniciales'!$B:$B,D808)+SUMIFS($K$1:$K$1324,$C$1:$C$1324,C808,$D$1:$D$1324,D808,$B$1:$B$1324,"&lt;="&amp;B808)</f>
        <v>12280.609999999997</v>
      </c>
      <c r="N808" s="61" t="str">
        <f>IF(tblMovimientos[[#This Row],[Tipo de Movimiento]]="Ingreso",tblMovimientos[[#This Row],[Monto (S/)]],"0")</f>
        <v>0</v>
      </c>
      <c r="O808" s="61">
        <f>IF(tblMovimientos[[#This Row],[Tipo de Movimiento]]="Egreso",tblMovimientos[[#This Row],[Monto (S/)]],"0")</f>
        <v>175</v>
      </c>
      <c r="P808" s="28">
        <f>IF(tblMovimientos[[#This Row],[Tipo de Movimiento]]="Ingreso",tblMovimientos[[#This Row],[Ingreso]],-tblMovimientos[[#This Row],[Egreso]])</f>
        <v>-175</v>
      </c>
      <c r="Q808" s="78" t="str">
        <f>_xlfn.XLOOKUP(tblMovimientos[[#This Row],[Cuenta Bancaria]],Cuentas!$C:$C,Cuentas!$A:$A,"")&amp;""</f>
        <v>SSP Group</v>
      </c>
      <c r="R808" s="78" t="str">
        <f>_xlfn.XLOOKUP(tblMovimientos[[#This Row],[Cuenta Bancaria]],Cuentas!$C:$C,Cuentas!$B:$B,"",0,-1)&amp;""</f>
        <v/>
      </c>
    </row>
    <row r="809" spans="1:18" x14ac:dyDescent="0.3">
      <c r="B809" s="39">
        <v>46252</v>
      </c>
      <c r="C809" s="4" t="str">
        <f>_xlfn.XLOOKUP(tblMovimientos[[#This Row],[Cuenta Bancaria]],Listas!$B:$B,Listas!$A:$A,"")</f>
        <v>SSP Capital</v>
      </c>
      <c r="D809" s="41" t="s">
        <v>101</v>
      </c>
      <c r="E809" s="68" t="str">
        <f>_xlfn.XLOOKUP(tblMovimientos[[#This Row],[Cuenta Bancaria]],Listas!$B:$B,Listas!$C:$C,"")</f>
        <v>Bank of America</v>
      </c>
      <c r="F809" s="41" t="s">
        <v>10</v>
      </c>
      <c r="G809" s="41" t="s">
        <v>38</v>
      </c>
      <c r="H809" s="4" t="str">
        <f>IFERROR(_xlfn.XLOOKUP(G809,Listas!E:E,Listas!F:F,""),"")</f>
        <v>Operativo</v>
      </c>
      <c r="I809" s="46" t="str">
        <f>IFERROR(_xlfn.XLOOKUP(G809,Listas!E:E,Listas!G:G,""),"")</f>
        <v>Externo</v>
      </c>
      <c r="J809" s="43">
        <v>2490.36</v>
      </c>
      <c r="K809" s="5">
        <f t="shared" si="12"/>
        <v>-2490.36</v>
      </c>
      <c r="L809" s="15" t="s">
        <v>132</v>
      </c>
      <c r="M809" s="44">
        <f>SUMIFS('Saldos Iniciales'!$D:$D,'Saldos Iniciales'!$A:$A,C809,'Saldos Iniciales'!$B:$B,D809)+SUMIFS($K$1:$K$1324,$C$1:$C$1324,C809,$D$1:$D$1324,D809,$B$1:$B$1324,"&lt;="&amp;B809)</f>
        <v>28347.43</v>
      </c>
      <c r="N809" s="61" t="str">
        <f>IF(tblMovimientos[[#This Row],[Tipo de Movimiento]]="Ingreso",tblMovimientos[[#This Row],[Monto (S/)]],"0")</f>
        <v>0</v>
      </c>
      <c r="O809" s="61">
        <f>IF(tblMovimientos[[#This Row],[Tipo de Movimiento]]="Egreso",tblMovimientos[[#This Row],[Monto (S/)]],"0")</f>
        <v>2490.36</v>
      </c>
      <c r="P809" s="28">
        <f>IF(tblMovimientos[[#This Row],[Tipo de Movimiento]]="Ingreso",tblMovimientos[[#This Row],[Ingreso]],-tblMovimientos[[#This Row],[Egreso]])</f>
        <v>-2490.36</v>
      </c>
      <c r="Q809" s="78" t="str">
        <f>_xlfn.XLOOKUP(tblMovimientos[[#This Row],[Cuenta Bancaria]],Cuentas!$C:$C,Cuentas!$A:$A,"")&amp;""</f>
        <v>SSP Group</v>
      </c>
      <c r="R809" s="78" t="str">
        <f>_xlfn.XLOOKUP(tblMovimientos[[#This Row],[Cuenta Bancaria]],Cuentas!$C:$C,Cuentas!$B:$B,"",0,-1)&amp;""</f>
        <v/>
      </c>
    </row>
    <row r="810" spans="1:18" x14ac:dyDescent="0.3">
      <c r="B810" s="39">
        <v>46252</v>
      </c>
      <c r="C810" s="4" t="str">
        <f>_xlfn.XLOOKUP(tblMovimientos[[#This Row],[Cuenta Bancaria]],Listas!$B:$B,Listas!$A:$A,"")</f>
        <v>CFT Group</v>
      </c>
      <c r="D810" s="41" t="s">
        <v>94</v>
      </c>
      <c r="E810" s="68" t="str">
        <f>_xlfn.XLOOKUP(tblMovimientos[[#This Row],[Cuenta Bancaria]],Listas!$B:$B,Listas!$C:$C,"")</f>
        <v>Bank of America</v>
      </c>
      <c r="F810" s="41" t="s">
        <v>9</v>
      </c>
      <c r="G810" s="41" t="s">
        <v>68</v>
      </c>
      <c r="H810" s="4" t="str">
        <f>IFERROR(_xlfn.XLOOKUP(G810,Listas!E:E,Listas!F:F,""),"")</f>
        <v>Operativo</v>
      </c>
      <c r="I810" s="46" t="str">
        <f>IFERROR(_xlfn.XLOOKUP(G810,Listas!E:E,Listas!G:G,""),"")</f>
        <v>Externo</v>
      </c>
      <c r="J810" s="43">
        <v>105861.78</v>
      </c>
      <c r="K810" s="5">
        <f t="shared" si="12"/>
        <v>105861.78</v>
      </c>
      <c r="L810" s="15" t="s">
        <v>132</v>
      </c>
      <c r="M810" s="44">
        <f>SUMIFS('Saldos Iniciales'!$D:$D,'Saldos Iniciales'!$A:$A,C810,'Saldos Iniciales'!$B:$B,D810)+SUMIFS($K$1:$K$1324,$C$1:$C$1324,C810,$D$1:$D$1324,D810,$B$1:$B$1324,"&lt;="&amp;B810)</f>
        <v>135413.04999999999</v>
      </c>
      <c r="N810" s="61">
        <f>IF(tblMovimientos[[#This Row],[Tipo de Movimiento]]="Ingreso",tblMovimientos[[#This Row],[Monto (S/)]],"0")</f>
        <v>105861.78</v>
      </c>
      <c r="O810" s="61" t="str">
        <f>IF(tblMovimientos[[#This Row],[Tipo de Movimiento]]="Egreso",tblMovimientos[[#This Row],[Monto (S/)]],"0")</f>
        <v>0</v>
      </c>
      <c r="P810" s="28">
        <f>IF(tblMovimientos[[#This Row],[Tipo de Movimiento]]="Ingreso",tblMovimientos[[#This Row],[Ingreso]],-tblMovimientos[[#This Row],[Egreso]])</f>
        <v>105861.78</v>
      </c>
      <c r="Q810" s="78" t="str">
        <f>_xlfn.XLOOKUP(tblMovimientos[[#This Row],[Cuenta Bancaria]],Cuentas!$C:$C,Cuentas!$A:$A,"")&amp;""</f>
        <v>SSP Group</v>
      </c>
      <c r="R810" s="78" t="str">
        <f>_xlfn.XLOOKUP(tblMovimientos[[#This Row],[Cuenta Bancaria]],Cuentas!$C:$C,Cuentas!$B:$B,"",0,-1)&amp;""</f>
        <v/>
      </c>
    </row>
    <row r="811" spans="1:18" x14ac:dyDescent="0.3">
      <c r="B811" s="39">
        <v>46253</v>
      </c>
      <c r="C811" s="4" t="str">
        <f>_xlfn.XLOOKUP(tblMovimientos[[#This Row],[Cuenta Bancaria]],Listas!$B:$B,Listas!$A:$A,"")</f>
        <v>SSP Capital</v>
      </c>
      <c r="D811" s="41" t="s">
        <v>101</v>
      </c>
      <c r="E811" s="68" t="str">
        <f>_xlfn.XLOOKUP(tblMovimientos[[#This Row],[Cuenta Bancaria]],Listas!$B:$B,Listas!$C:$C,"")</f>
        <v>Bank of America</v>
      </c>
      <c r="F811" s="41" t="s">
        <v>10</v>
      </c>
      <c r="G811" s="41" t="s">
        <v>41</v>
      </c>
      <c r="H811" s="4" t="str">
        <f>IFERROR(_xlfn.XLOOKUP(G811,Listas!E:E,Listas!F:F,""),"")</f>
        <v>Operativo</v>
      </c>
      <c r="I811" s="46" t="str">
        <f>IFERROR(_xlfn.XLOOKUP(G811,Listas!E:E,Listas!G:G,""),"")</f>
        <v>Externo</v>
      </c>
      <c r="J811" s="43">
        <v>737.04</v>
      </c>
      <c r="K811" s="5">
        <f t="shared" si="12"/>
        <v>-737.04</v>
      </c>
      <c r="L811" s="15" t="s">
        <v>132</v>
      </c>
      <c r="M811" s="44">
        <f>SUMIFS('Saldos Iniciales'!$D:$D,'Saldos Iniciales'!$A:$A,C811,'Saldos Iniciales'!$B:$B,D811)+SUMIFS($K$1:$K$1324,$C$1:$C$1324,C811,$D$1:$D$1324,D811,$B$1:$B$1324,"&lt;="&amp;B811)</f>
        <v>27610.39</v>
      </c>
      <c r="N811" s="61" t="str">
        <f>IF(tblMovimientos[[#This Row],[Tipo de Movimiento]]="Ingreso",tblMovimientos[[#This Row],[Monto (S/)]],"0")</f>
        <v>0</v>
      </c>
      <c r="O811" s="61">
        <f>IF(tblMovimientos[[#This Row],[Tipo de Movimiento]]="Egreso",tblMovimientos[[#This Row],[Monto (S/)]],"0")</f>
        <v>737.04</v>
      </c>
      <c r="P811" s="28">
        <f>IF(tblMovimientos[[#This Row],[Tipo de Movimiento]]="Ingreso",tblMovimientos[[#This Row],[Ingreso]],-tblMovimientos[[#This Row],[Egreso]])</f>
        <v>-737.04</v>
      </c>
      <c r="Q811" s="78" t="str">
        <f>_xlfn.XLOOKUP(tblMovimientos[[#This Row],[Cuenta Bancaria]],Cuentas!$C:$C,Cuentas!$A:$A,"")&amp;""</f>
        <v>SSP Group</v>
      </c>
      <c r="R811" s="78" t="str">
        <f>_xlfn.XLOOKUP(tblMovimientos[[#This Row],[Cuenta Bancaria]],Cuentas!$C:$C,Cuentas!$B:$B,"",0,-1)&amp;""</f>
        <v/>
      </c>
    </row>
    <row r="812" spans="1:18" x14ac:dyDescent="0.3">
      <c r="B812" s="39">
        <v>46253</v>
      </c>
      <c r="C812" s="4" t="str">
        <f>_xlfn.XLOOKUP(tblMovimientos[[#This Row],[Cuenta Bancaria]],Listas!$B:$B,Listas!$A:$A,"")</f>
        <v>SSP Capital</v>
      </c>
      <c r="D812" s="41" t="s">
        <v>102</v>
      </c>
      <c r="E812" s="68" t="str">
        <f>_xlfn.XLOOKUP(tblMovimientos[[#This Row],[Cuenta Bancaria]],Listas!$B:$B,Listas!$C:$C,"")</f>
        <v>Bank of America</v>
      </c>
      <c r="F812" s="41" t="s">
        <v>10</v>
      </c>
      <c r="G812" s="41" t="s">
        <v>41</v>
      </c>
      <c r="H812" s="4" t="str">
        <f>IFERROR(_xlfn.XLOOKUP(G812,Listas!E:E,Listas!F:F,""),"")</f>
        <v>Operativo</v>
      </c>
      <c r="I812" s="46" t="str">
        <f>IFERROR(_xlfn.XLOOKUP(G812,Listas!E:E,Listas!G:G,""),"")</f>
        <v>Externo</v>
      </c>
      <c r="J812" s="43">
        <v>166.66</v>
      </c>
      <c r="K812" s="5">
        <f t="shared" si="12"/>
        <v>-166.66</v>
      </c>
      <c r="L812" s="15" t="s">
        <v>132</v>
      </c>
      <c r="M812" s="44">
        <f>SUMIFS('Saldos Iniciales'!$D:$D,'Saldos Iniciales'!$A:$A,C812,'Saldos Iniciales'!$B:$B,D812)+SUMIFS($K$1:$K$1324,$C$1:$C$1324,C812,$D$1:$D$1324,D812,$B$1:$B$1324,"&lt;="&amp;B812)</f>
        <v>974.41000000000008</v>
      </c>
      <c r="N812" s="61" t="str">
        <f>IF(tblMovimientos[[#This Row],[Tipo de Movimiento]]="Ingreso",tblMovimientos[[#This Row],[Monto (S/)]],"0")</f>
        <v>0</v>
      </c>
      <c r="O812" s="61">
        <f>IF(tblMovimientos[[#This Row],[Tipo de Movimiento]]="Egreso",tblMovimientos[[#This Row],[Monto (S/)]],"0")</f>
        <v>166.66</v>
      </c>
      <c r="P812" s="28">
        <f>IF(tblMovimientos[[#This Row],[Tipo de Movimiento]]="Ingreso",tblMovimientos[[#This Row],[Ingreso]],-tblMovimientos[[#This Row],[Egreso]])</f>
        <v>-166.66</v>
      </c>
      <c r="Q812" s="78" t="str">
        <f>_xlfn.XLOOKUP(tblMovimientos[[#This Row],[Cuenta Bancaria]],Cuentas!$C:$C,Cuentas!$A:$A,"")&amp;""</f>
        <v>SSP Group</v>
      </c>
      <c r="R812" s="78" t="str">
        <f>_xlfn.XLOOKUP(tblMovimientos[[#This Row],[Cuenta Bancaria]],Cuentas!$C:$C,Cuentas!$B:$B,"",0,-1)&amp;""</f>
        <v/>
      </c>
    </row>
    <row r="813" spans="1:18" x14ac:dyDescent="0.3">
      <c r="B813" s="39">
        <v>46253</v>
      </c>
      <c r="C813" s="4" t="str">
        <f>_xlfn.XLOOKUP(tblMovimientos[[#This Row],[Cuenta Bancaria]],Listas!$B:$B,Listas!$A:$A,"")</f>
        <v>SSP Capital</v>
      </c>
      <c r="D813" s="41" t="s">
        <v>104</v>
      </c>
      <c r="E813" s="68" t="str">
        <f>_xlfn.XLOOKUP(tblMovimientos[[#This Row],[Cuenta Bancaria]],Listas!$B:$B,Listas!$C:$C,"")</f>
        <v xml:space="preserve">Amerant Bank </v>
      </c>
      <c r="F813" s="41" t="s">
        <v>9</v>
      </c>
      <c r="G813" s="41" t="s">
        <v>76</v>
      </c>
      <c r="H813" s="4" t="str">
        <f>IFERROR(_xlfn.XLOOKUP(G813,Listas!E:E,Listas!F:F,""),"")</f>
        <v>Financiamiento</v>
      </c>
      <c r="I813" s="46" t="str">
        <f>IFERROR(_xlfn.XLOOKUP(G813,Listas!E:E,Listas!G:G,""),"")</f>
        <v>Externo</v>
      </c>
      <c r="J813" s="43">
        <v>500000</v>
      </c>
      <c r="K813" s="5">
        <f t="shared" si="12"/>
        <v>500000</v>
      </c>
      <c r="L813" s="15" t="s">
        <v>132</v>
      </c>
      <c r="M813" s="44">
        <f>SUMIFS('Saldos Iniciales'!$D:$D,'Saldos Iniciales'!$A:$A,C813,'Saldos Iniciales'!$B:$B,D813)+SUMIFS($K$1:$K$1324,$C$1:$C$1324,C813,$D$1:$D$1324,D813,$B$1:$B$1324,"&lt;="&amp;B813)</f>
        <v>1033239.1199999993</v>
      </c>
      <c r="N813" s="61">
        <f>IF(tblMovimientos[[#This Row],[Tipo de Movimiento]]="Ingreso",tblMovimientos[[#This Row],[Monto (S/)]],"0")</f>
        <v>500000</v>
      </c>
      <c r="O813" s="61" t="str">
        <f>IF(tblMovimientos[[#This Row],[Tipo de Movimiento]]="Egreso",tblMovimientos[[#This Row],[Monto (S/)]],"0")</f>
        <v>0</v>
      </c>
      <c r="P813" s="28">
        <f>IF(tblMovimientos[[#This Row],[Tipo de Movimiento]]="Ingreso",tblMovimientos[[#This Row],[Ingreso]],-tblMovimientos[[#This Row],[Egreso]])</f>
        <v>500000</v>
      </c>
      <c r="Q813" s="78" t="str">
        <f>_xlfn.XLOOKUP(tblMovimientos[[#This Row],[Cuenta Bancaria]],Cuentas!$C:$C,Cuentas!$A:$A,"")&amp;""</f>
        <v>SSP Group</v>
      </c>
      <c r="R813" s="78" t="str">
        <f>_xlfn.XLOOKUP(tblMovimientos[[#This Row],[Cuenta Bancaria]],Cuentas!$C:$C,Cuentas!$B:$B,"",0,-1)&amp;""</f>
        <v/>
      </c>
    </row>
    <row r="814" spans="1:18" x14ac:dyDescent="0.3">
      <c r="A814" s="45"/>
      <c r="B814" s="39">
        <v>46254</v>
      </c>
      <c r="C814" s="4" t="str">
        <f>_xlfn.XLOOKUP(tblMovimientos[[#This Row],[Cuenta Bancaria]],Listas!$B:$B,Listas!$A:$A,"")</f>
        <v>CFT Group</v>
      </c>
      <c r="D814" s="41" t="s">
        <v>95</v>
      </c>
      <c r="E814" s="68" t="str">
        <f>_xlfn.XLOOKUP(tblMovimientos[[#This Row],[Cuenta Bancaria]],Listas!$B:$B,Listas!$C:$C,"")</f>
        <v xml:space="preserve">Amerant Bank </v>
      </c>
      <c r="F814" s="41" t="s">
        <v>10</v>
      </c>
      <c r="G814" s="41" t="s">
        <v>46</v>
      </c>
      <c r="H814" s="46" t="str">
        <f>IFERROR(_xlfn.XLOOKUP(G814,Listas!E:E,Listas!F:F,""),"")</f>
        <v>Financiamiento</v>
      </c>
      <c r="I814" s="46" t="str">
        <f>IFERROR(_xlfn.XLOOKUP(G814,Listas!E:E,Listas!G:G,""),"")</f>
        <v>Externo</v>
      </c>
      <c r="J814" s="43">
        <v>3833.33</v>
      </c>
      <c r="K814" s="5">
        <f t="shared" si="12"/>
        <v>-3833.33</v>
      </c>
      <c r="L814" s="15" t="s">
        <v>132</v>
      </c>
      <c r="M814" s="44">
        <f>SUMIFS('Saldos Iniciales'!$D:$D,'Saldos Iniciales'!$A:$A,C814,'Saldos Iniciales'!$B:$B,D814)+SUMIFS($K$1:$K$1324,$C$1:$C$1324,C814,$D$1:$D$1324,D814,$B$1:$B$1324,"&lt;="&amp;B814)</f>
        <v>561560.08000000077</v>
      </c>
      <c r="N814" s="61" t="str">
        <f>IF(tblMovimientos[[#This Row],[Tipo de Movimiento]]="Ingreso",tblMovimientos[[#This Row],[Monto (S/)]],"0")</f>
        <v>0</v>
      </c>
      <c r="O814" s="61">
        <f>IF(tblMovimientos[[#This Row],[Tipo de Movimiento]]="Egreso",tblMovimientos[[#This Row],[Monto (S/)]],"0")</f>
        <v>3833.33</v>
      </c>
      <c r="P814" s="28">
        <f>IF(tblMovimientos[[#This Row],[Tipo de Movimiento]]="Ingreso",tblMovimientos[[#This Row],[Ingreso]],-tblMovimientos[[#This Row],[Egreso]])</f>
        <v>-3833.33</v>
      </c>
      <c r="Q814" s="78" t="str">
        <f>_xlfn.XLOOKUP(tblMovimientos[[#This Row],[Cuenta Bancaria]],Cuentas!$C:$C,Cuentas!$A:$A,"")&amp;""</f>
        <v>SSP Group</v>
      </c>
      <c r="R814" s="78" t="str">
        <f>_xlfn.XLOOKUP(tblMovimientos[[#This Row],[Cuenta Bancaria]],Cuentas!$C:$C,Cuentas!$B:$B,"",0,-1)&amp;""</f>
        <v/>
      </c>
    </row>
    <row r="815" spans="1:18" x14ac:dyDescent="0.3">
      <c r="A815" s="45"/>
      <c r="B815" s="39">
        <v>46254</v>
      </c>
      <c r="C815" s="4" t="str">
        <f>_xlfn.XLOOKUP(tblMovimientos[[#This Row],[Cuenta Bancaria]],Listas!$B:$B,Listas!$A:$A,"")</f>
        <v>CFT Group</v>
      </c>
      <c r="D815" s="41" t="s">
        <v>95</v>
      </c>
      <c r="E815" s="68" t="str">
        <f>_xlfn.XLOOKUP(tblMovimientos[[#This Row],[Cuenta Bancaria]],Listas!$B:$B,Listas!$C:$C,"")</f>
        <v xml:space="preserve">Amerant Bank </v>
      </c>
      <c r="F815" s="41" t="s">
        <v>10</v>
      </c>
      <c r="G815" s="41" t="s">
        <v>46</v>
      </c>
      <c r="H815" s="46" t="str">
        <f>IFERROR(_xlfn.XLOOKUP(G815,Listas!E:E,Listas!F:F,""),"")</f>
        <v>Financiamiento</v>
      </c>
      <c r="I815" s="46" t="str">
        <f>IFERROR(_xlfn.XLOOKUP(G815,Listas!E:E,Listas!G:G,""),"")</f>
        <v>Externo</v>
      </c>
      <c r="J815" s="43">
        <v>70000</v>
      </c>
      <c r="K815" s="5">
        <f t="shared" si="12"/>
        <v>-70000</v>
      </c>
      <c r="L815" s="15" t="s">
        <v>132</v>
      </c>
      <c r="M815" s="44">
        <f>SUMIFS('Saldos Iniciales'!$D:$D,'Saldos Iniciales'!$A:$A,C815,'Saldos Iniciales'!$B:$B,D815)+SUMIFS($K$1:$K$1324,$C$1:$C$1324,C815,$D$1:$D$1324,D815,$B$1:$B$1324,"&lt;="&amp;B815)</f>
        <v>561560.08000000077</v>
      </c>
      <c r="N815" s="61" t="str">
        <f>IF(tblMovimientos[[#This Row],[Tipo de Movimiento]]="Ingreso",tblMovimientos[[#This Row],[Monto (S/)]],"0")</f>
        <v>0</v>
      </c>
      <c r="O815" s="61">
        <f>IF(tblMovimientos[[#This Row],[Tipo de Movimiento]]="Egreso",tblMovimientos[[#This Row],[Monto (S/)]],"0")</f>
        <v>70000</v>
      </c>
      <c r="P815" s="28">
        <f>IF(tblMovimientos[[#This Row],[Tipo de Movimiento]]="Ingreso",tblMovimientos[[#This Row],[Ingreso]],-tblMovimientos[[#This Row],[Egreso]])</f>
        <v>-70000</v>
      </c>
      <c r="Q815" s="78" t="str">
        <f>_xlfn.XLOOKUP(tblMovimientos[[#This Row],[Cuenta Bancaria]],Cuentas!$C:$C,Cuentas!$A:$A,"")&amp;""</f>
        <v>SSP Group</v>
      </c>
      <c r="R815" s="78" t="str">
        <f>_xlfn.XLOOKUP(tblMovimientos[[#This Row],[Cuenta Bancaria]],Cuentas!$C:$C,Cuentas!$B:$B,"",0,-1)&amp;""</f>
        <v/>
      </c>
    </row>
    <row r="816" spans="1:18" x14ac:dyDescent="0.3">
      <c r="B816" s="39">
        <v>46254</v>
      </c>
      <c r="C816" s="4" t="str">
        <f>_xlfn.XLOOKUP(tblMovimientos[[#This Row],[Cuenta Bancaria]],Listas!$B:$B,Listas!$A:$A,"")</f>
        <v>CFT Group</v>
      </c>
      <c r="D816" s="41" t="s">
        <v>95</v>
      </c>
      <c r="E816" s="68" t="str">
        <f>_xlfn.XLOOKUP(tblMovimientos[[#This Row],[Cuenta Bancaria]],Listas!$B:$B,Listas!$C:$C,"")</f>
        <v xml:space="preserve">Amerant Bank </v>
      </c>
      <c r="F816" s="41" t="s">
        <v>10</v>
      </c>
      <c r="G816" s="41" t="s">
        <v>46</v>
      </c>
      <c r="H816" s="4" t="str">
        <f>IFERROR(_xlfn.XLOOKUP(G816,Listas!E:E,Listas!F:F,""),"")</f>
        <v>Financiamiento</v>
      </c>
      <c r="I816" s="46" t="str">
        <f>IFERROR(_xlfn.XLOOKUP(G816,Listas!E:E,Listas!G:G,""),"")</f>
        <v>Externo</v>
      </c>
      <c r="J816" s="43">
        <v>71041.67</v>
      </c>
      <c r="K816" s="5">
        <f t="shared" si="12"/>
        <v>-71041.67</v>
      </c>
      <c r="L816" s="15" t="s">
        <v>132</v>
      </c>
      <c r="M816" s="44">
        <f>SUMIFS('Saldos Iniciales'!$D:$D,'Saldos Iniciales'!$A:$A,C816,'Saldos Iniciales'!$B:$B,D816)+SUMIFS($K$1:$K$1324,$C$1:$C$1324,C816,$D$1:$D$1324,D816,$B$1:$B$1324,"&lt;="&amp;B816)</f>
        <v>561560.08000000077</v>
      </c>
      <c r="N816" s="61" t="str">
        <f>IF(tblMovimientos[[#This Row],[Tipo de Movimiento]]="Ingreso",tblMovimientos[[#This Row],[Monto (S/)]],"0")</f>
        <v>0</v>
      </c>
      <c r="O816" s="61">
        <f>IF(tblMovimientos[[#This Row],[Tipo de Movimiento]]="Egreso",tblMovimientos[[#This Row],[Monto (S/)]],"0")</f>
        <v>71041.67</v>
      </c>
      <c r="P816" s="28">
        <f>IF(tblMovimientos[[#This Row],[Tipo de Movimiento]]="Ingreso",tblMovimientos[[#This Row],[Ingreso]],-tblMovimientos[[#This Row],[Egreso]])</f>
        <v>-71041.67</v>
      </c>
      <c r="Q816" s="78" t="str">
        <f>_xlfn.XLOOKUP(tblMovimientos[[#This Row],[Cuenta Bancaria]],Cuentas!$C:$C,Cuentas!$A:$A,"")&amp;""</f>
        <v>SSP Group</v>
      </c>
      <c r="R816" s="78" t="str">
        <f>_xlfn.XLOOKUP(tblMovimientos[[#This Row],[Cuenta Bancaria]],Cuentas!$C:$C,Cuentas!$B:$B,"",0,-1)&amp;""</f>
        <v/>
      </c>
    </row>
    <row r="817" spans="1:18" x14ac:dyDescent="0.3">
      <c r="B817" s="39">
        <v>46254</v>
      </c>
      <c r="C817" s="4" t="str">
        <f>_xlfn.XLOOKUP(tblMovimientos[[#This Row],[Cuenta Bancaria]],Listas!$B:$B,Listas!$A:$A,"")</f>
        <v>CFT Group</v>
      </c>
      <c r="D817" s="41" t="s">
        <v>95</v>
      </c>
      <c r="E817" s="68" t="str">
        <f>_xlfn.XLOOKUP(tblMovimientos[[#This Row],[Cuenta Bancaria]],Listas!$B:$B,Listas!$C:$C,"")</f>
        <v xml:space="preserve">Amerant Bank </v>
      </c>
      <c r="F817" s="41" t="s">
        <v>10</v>
      </c>
      <c r="G817" s="41" t="s">
        <v>46</v>
      </c>
      <c r="H817" s="4" t="str">
        <f>IFERROR(_xlfn.XLOOKUP(G817,Listas!E:E,Listas!F:F,""),"")</f>
        <v>Financiamiento</v>
      </c>
      <c r="I817" s="46" t="str">
        <f>IFERROR(_xlfn.XLOOKUP(G817,Listas!E:E,Listas!G:G,""),"")</f>
        <v>Externo</v>
      </c>
      <c r="J817" s="43">
        <v>100000</v>
      </c>
      <c r="K817" s="5">
        <f t="shared" si="12"/>
        <v>-100000</v>
      </c>
      <c r="L817" s="15" t="s">
        <v>132</v>
      </c>
      <c r="M817" s="44">
        <f>SUMIFS('Saldos Iniciales'!$D:$D,'Saldos Iniciales'!$A:$A,C817,'Saldos Iniciales'!$B:$B,D817)+SUMIFS($K$1:$K$1324,$C$1:$C$1324,C817,$D$1:$D$1324,D817,$B$1:$B$1324,"&lt;="&amp;B817)</f>
        <v>561560.08000000077</v>
      </c>
      <c r="N817" s="61" t="str">
        <f>IF(tblMovimientos[[#This Row],[Tipo de Movimiento]]="Ingreso",tblMovimientos[[#This Row],[Monto (S/)]],"0")</f>
        <v>0</v>
      </c>
      <c r="O817" s="61">
        <f>IF(tblMovimientos[[#This Row],[Tipo de Movimiento]]="Egreso",tblMovimientos[[#This Row],[Monto (S/)]],"0")</f>
        <v>100000</v>
      </c>
      <c r="P817" s="28">
        <f>IF(tblMovimientos[[#This Row],[Tipo de Movimiento]]="Ingreso",tblMovimientos[[#This Row],[Ingreso]],-tblMovimientos[[#This Row],[Egreso]])</f>
        <v>-100000</v>
      </c>
      <c r="Q817" s="78" t="str">
        <f>_xlfn.XLOOKUP(tblMovimientos[[#This Row],[Cuenta Bancaria]],Cuentas!$C:$C,Cuentas!$A:$A,"")&amp;""</f>
        <v>SSP Group</v>
      </c>
      <c r="R817" s="78" t="str">
        <f>_xlfn.XLOOKUP(tblMovimientos[[#This Row],[Cuenta Bancaria]],Cuentas!$C:$C,Cuentas!$B:$B,"",0,-1)&amp;""</f>
        <v/>
      </c>
    </row>
    <row r="818" spans="1:18" x14ac:dyDescent="0.3">
      <c r="B818" s="39">
        <v>46254</v>
      </c>
      <c r="C818" s="4" t="str">
        <f>_xlfn.XLOOKUP(tblMovimientos[[#This Row],[Cuenta Bancaria]],Listas!$B:$B,Listas!$A:$A,"")</f>
        <v>CFT Group</v>
      </c>
      <c r="D818" s="41" t="s">
        <v>95</v>
      </c>
      <c r="E818" s="68" t="str">
        <f>_xlfn.XLOOKUP(tblMovimientos[[#This Row],[Cuenta Bancaria]],Listas!$B:$B,Listas!$C:$C,"")</f>
        <v xml:space="preserve">Amerant Bank </v>
      </c>
      <c r="F818" s="41" t="s">
        <v>10</v>
      </c>
      <c r="G818" s="41" t="s">
        <v>46</v>
      </c>
      <c r="H818" s="4" t="str">
        <f>IFERROR(_xlfn.XLOOKUP(G818,Listas!E:E,Listas!F:F,""),"")</f>
        <v>Financiamiento</v>
      </c>
      <c r="I818" s="46" t="str">
        <f>IFERROR(_xlfn.XLOOKUP(G818,Listas!E:E,Listas!G:G,""),"")</f>
        <v>Externo</v>
      </c>
      <c r="J818" s="43">
        <v>100000</v>
      </c>
      <c r="K818" s="5">
        <f t="shared" si="12"/>
        <v>-100000</v>
      </c>
      <c r="L818" s="15" t="s">
        <v>132</v>
      </c>
      <c r="M818" s="44">
        <f>SUMIFS('Saldos Iniciales'!$D:$D,'Saldos Iniciales'!$A:$A,C818,'Saldos Iniciales'!$B:$B,D818)+SUMIFS($K$1:$K$1324,$C$1:$C$1324,C818,$D$1:$D$1324,D818,$B$1:$B$1324,"&lt;="&amp;B818)</f>
        <v>561560.08000000077</v>
      </c>
      <c r="N818" s="61" t="str">
        <f>IF(tblMovimientos[[#This Row],[Tipo de Movimiento]]="Ingreso",tblMovimientos[[#This Row],[Monto (S/)]],"0")</f>
        <v>0</v>
      </c>
      <c r="O818" s="61">
        <f>IF(tblMovimientos[[#This Row],[Tipo de Movimiento]]="Egreso",tblMovimientos[[#This Row],[Monto (S/)]],"0")</f>
        <v>100000</v>
      </c>
      <c r="P818" s="28">
        <f>IF(tblMovimientos[[#This Row],[Tipo de Movimiento]]="Ingreso",tblMovimientos[[#This Row],[Ingreso]],-tblMovimientos[[#This Row],[Egreso]])</f>
        <v>-100000</v>
      </c>
      <c r="Q818" s="78" t="str">
        <f>_xlfn.XLOOKUP(tblMovimientos[[#This Row],[Cuenta Bancaria]],Cuentas!$C:$C,Cuentas!$A:$A,"")&amp;""</f>
        <v>SSP Group</v>
      </c>
      <c r="R818" s="78" t="str">
        <f>_xlfn.XLOOKUP(tblMovimientos[[#This Row],[Cuenta Bancaria]],Cuentas!$C:$C,Cuentas!$B:$B,"",0,-1)&amp;""</f>
        <v/>
      </c>
    </row>
    <row r="819" spans="1:18" x14ac:dyDescent="0.3">
      <c r="A819" s="45"/>
      <c r="B819" s="39">
        <v>46254</v>
      </c>
      <c r="C819" s="4" t="str">
        <f>_xlfn.XLOOKUP(tblMovimientos[[#This Row],[Cuenta Bancaria]],Listas!$B:$B,Listas!$A:$A,"")</f>
        <v>SSP Capital</v>
      </c>
      <c r="D819" s="41" t="s">
        <v>104</v>
      </c>
      <c r="E819" s="68" t="str">
        <f>_xlfn.XLOOKUP(tblMovimientos[[#This Row],[Cuenta Bancaria]],Listas!$B:$B,Listas!$C:$C,"")</f>
        <v xml:space="preserve">Amerant Bank </v>
      </c>
      <c r="F819" s="41" t="s">
        <v>10</v>
      </c>
      <c r="G819" s="41" t="s">
        <v>46</v>
      </c>
      <c r="H819" s="46" t="str">
        <f>IFERROR(_xlfn.XLOOKUP(G819,Listas!E:E,Listas!F:F,""),"")</f>
        <v>Financiamiento</v>
      </c>
      <c r="I819" s="46" t="str">
        <f>IFERROR(_xlfn.XLOOKUP(G819,Listas!E:E,Listas!G:G,""),"")</f>
        <v>Externo</v>
      </c>
      <c r="J819" s="43">
        <v>2555.56</v>
      </c>
      <c r="K819" s="5">
        <f t="shared" si="12"/>
        <v>-2555.56</v>
      </c>
      <c r="L819" s="15" t="s">
        <v>132</v>
      </c>
      <c r="M819" s="44">
        <f>SUMIFS('Saldos Iniciales'!$D:$D,'Saldos Iniciales'!$A:$A,C819,'Saldos Iniciales'!$B:$B,D819)+SUMIFS($K$1:$K$1324,$C$1:$C$1324,C819,$D$1:$D$1324,D819,$B$1:$B$1324,"&lt;="&amp;B819)</f>
        <v>897489.10999999929</v>
      </c>
      <c r="N819" s="61" t="str">
        <f>IF(tblMovimientos[[#This Row],[Tipo de Movimiento]]="Ingreso",tblMovimientos[[#This Row],[Monto (S/)]],"0")</f>
        <v>0</v>
      </c>
      <c r="O819" s="61">
        <f>IF(tblMovimientos[[#This Row],[Tipo de Movimiento]]="Egreso",tblMovimientos[[#This Row],[Monto (S/)]],"0")</f>
        <v>2555.56</v>
      </c>
      <c r="P819" s="28">
        <f>IF(tblMovimientos[[#This Row],[Tipo de Movimiento]]="Ingreso",tblMovimientos[[#This Row],[Ingreso]],-tblMovimientos[[#This Row],[Egreso]])</f>
        <v>-2555.56</v>
      </c>
      <c r="Q819" s="78" t="str">
        <f>_xlfn.XLOOKUP(tblMovimientos[[#This Row],[Cuenta Bancaria]],Cuentas!$C:$C,Cuentas!$A:$A,"")&amp;""</f>
        <v>SSP Group</v>
      </c>
      <c r="R819" s="78" t="str">
        <f>_xlfn.XLOOKUP(tblMovimientos[[#This Row],[Cuenta Bancaria]],Cuentas!$C:$C,Cuentas!$B:$B,"",0,-1)&amp;""</f>
        <v/>
      </c>
    </row>
    <row r="820" spans="1:18" x14ac:dyDescent="0.3">
      <c r="A820" s="45"/>
      <c r="B820" s="39">
        <v>46254</v>
      </c>
      <c r="C820" s="4" t="str">
        <f>_xlfn.XLOOKUP(tblMovimientos[[#This Row],[Cuenta Bancaria]],Listas!$B:$B,Listas!$A:$A,"")</f>
        <v>SSP Capital</v>
      </c>
      <c r="D820" s="41" t="s">
        <v>104</v>
      </c>
      <c r="E820" s="68" t="str">
        <f>_xlfn.XLOOKUP(tblMovimientos[[#This Row],[Cuenta Bancaria]],Listas!$B:$B,Listas!$C:$C,"")</f>
        <v xml:space="preserve">Amerant Bank </v>
      </c>
      <c r="F820" s="41" t="s">
        <v>10</v>
      </c>
      <c r="G820" s="41" t="s">
        <v>46</v>
      </c>
      <c r="H820" s="46" t="str">
        <f>IFERROR(_xlfn.XLOOKUP(G820,Listas!E:E,Listas!F:F,""),"")</f>
        <v>Financiamiento</v>
      </c>
      <c r="I820" s="46" t="str">
        <f>IFERROR(_xlfn.XLOOKUP(G820,Listas!E:E,Listas!G:G,""),"")</f>
        <v>Externo</v>
      </c>
      <c r="J820" s="43">
        <v>26250</v>
      </c>
      <c r="K820" s="5">
        <f t="shared" si="12"/>
        <v>-26250</v>
      </c>
      <c r="L820" s="15" t="s">
        <v>132</v>
      </c>
      <c r="M820" s="44">
        <f>SUMIFS('Saldos Iniciales'!$D:$D,'Saldos Iniciales'!$A:$A,C820,'Saldos Iniciales'!$B:$B,D820)+SUMIFS($K$1:$K$1324,$C$1:$C$1324,C820,$D$1:$D$1324,D820,$B$1:$B$1324,"&lt;="&amp;B820)</f>
        <v>897489.10999999929</v>
      </c>
      <c r="N820" s="61" t="str">
        <f>IF(tblMovimientos[[#This Row],[Tipo de Movimiento]]="Ingreso",tblMovimientos[[#This Row],[Monto (S/)]],"0")</f>
        <v>0</v>
      </c>
      <c r="O820" s="61">
        <f>IF(tblMovimientos[[#This Row],[Tipo de Movimiento]]="Egreso",tblMovimientos[[#This Row],[Monto (S/)]],"0")</f>
        <v>26250</v>
      </c>
      <c r="P820" s="28">
        <f>IF(tblMovimientos[[#This Row],[Tipo de Movimiento]]="Ingreso",tblMovimientos[[#This Row],[Ingreso]],-tblMovimientos[[#This Row],[Egreso]])</f>
        <v>-26250</v>
      </c>
      <c r="Q820" s="78" t="str">
        <f>_xlfn.XLOOKUP(tblMovimientos[[#This Row],[Cuenta Bancaria]],Cuentas!$C:$C,Cuentas!$A:$A,"")&amp;""</f>
        <v>SSP Group</v>
      </c>
      <c r="R820" s="78" t="str">
        <f>_xlfn.XLOOKUP(tblMovimientos[[#This Row],[Cuenta Bancaria]],Cuentas!$C:$C,Cuentas!$B:$B,"",0,-1)&amp;""</f>
        <v/>
      </c>
    </row>
    <row r="821" spans="1:18" x14ac:dyDescent="0.3">
      <c r="B821" s="39">
        <v>46254</v>
      </c>
      <c r="C821" s="4" t="str">
        <f>_xlfn.XLOOKUP(tblMovimientos[[#This Row],[Cuenta Bancaria]],Listas!$B:$B,Listas!$A:$A,"")</f>
        <v>SSP Capital</v>
      </c>
      <c r="D821" s="41" t="s">
        <v>104</v>
      </c>
      <c r="E821" s="68" t="str">
        <f>_xlfn.XLOOKUP(tblMovimientos[[#This Row],[Cuenta Bancaria]],Listas!$B:$B,Listas!$C:$C,"")</f>
        <v xml:space="preserve">Amerant Bank </v>
      </c>
      <c r="F821" s="41" t="s">
        <v>10</v>
      </c>
      <c r="G821" s="41" t="s">
        <v>46</v>
      </c>
      <c r="H821" s="4" t="str">
        <f>IFERROR(_xlfn.XLOOKUP(G821,Listas!E:E,Listas!F:F,""),"")</f>
        <v>Financiamiento</v>
      </c>
      <c r="I821" s="46" t="str">
        <f>IFERROR(_xlfn.XLOOKUP(G821,Listas!E:E,Listas!G:G,""),"")</f>
        <v>Externo</v>
      </c>
      <c r="J821" s="43">
        <v>47361.11</v>
      </c>
      <c r="K821" s="5">
        <f t="shared" si="12"/>
        <v>-47361.11</v>
      </c>
      <c r="L821" s="15" t="s">
        <v>132</v>
      </c>
      <c r="M821" s="44">
        <f>SUMIFS('Saldos Iniciales'!$D:$D,'Saldos Iniciales'!$A:$A,C821,'Saldos Iniciales'!$B:$B,D821)+SUMIFS($K$1:$K$1324,$C$1:$C$1324,C821,$D$1:$D$1324,D821,$B$1:$B$1324,"&lt;="&amp;B821)</f>
        <v>897489.10999999929</v>
      </c>
      <c r="N821" s="61" t="str">
        <f>IF(tblMovimientos[[#This Row],[Tipo de Movimiento]]="Ingreso",tblMovimientos[[#This Row],[Monto (S/)]],"0")</f>
        <v>0</v>
      </c>
      <c r="O821" s="61">
        <f>IF(tblMovimientos[[#This Row],[Tipo de Movimiento]]="Egreso",tblMovimientos[[#This Row],[Monto (S/)]],"0")</f>
        <v>47361.11</v>
      </c>
      <c r="P821" s="28">
        <f>IF(tblMovimientos[[#This Row],[Tipo de Movimiento]]="Ingreso",tblMovimientos[[#This Row],[Ingreso]],-tblMovimientos[[#This Row],[Egreso]])</f>
        <v>-47361.11</v>
      </c>
      <c r="Q821" s="78" t="str">
        <f>_xlfn.XLOOKUP(tblMovimientos[[#This Row],[Cuenta Bancaria]],Cuentas!$C:$C,Cuentas!$A:$A,"")&amp;""</f>
        <v>SSP Group</v>
      </c>
      <c r="R821" s="78" t="str">
        <f>_xlfn.XLOOKUP(tblMovimientos[[#This Row],[Cuenta Bancaria]],Cuentas!$C:$C,Cuentas!$B:$B,"",0,-1)&amp;""</f>
        <v/>
      </c>
    </row>
    <row r="822" spans="1:18" x14ac:dyDescent="0.3">
      <c r="B822" s="39">
        <v>46254</v>
      </c>
      <c r="C822" s="4" t="str">
        <f>_xlfn.XLOOKUP(tblMovimientos[[#This Row],[Cuenta Bancaria]],Listas!$B:$B,Listas!$A:$A,"")</f>
        <v>SSP Capital</v>
      </c>
      <c r="D822" s="41" t="s">
        <v>104</v>
      </c>
      <c r="E822" s="68" t="str">
        <f>_xlfn.XLOOKUP(tblMovimientos[[#This Row],[Cuenta Bancaria]],Listas!$B:$B,Listas!$C:$C,"")</f>
        <v xml:space="preserve">Amerant Bank </v>
      </c>
      <c r="F822" s="41" t="s">
        <v>10</v>
      </c>
      <c r="G822" s="41" t="s">
        <v>46</v>
      </c>
      <c r="H822" s="4" t="str">
        <f>IFERROR(_xlfn.XLOOKUP(G822,Listas!E:E,Listas!F:F,""),"")</f>
        <v>Financiamiento</v>
      </c>
      <c r="I822" s="46" t="str">
        <f>IFERROR(_xlfn.XLOOKUP(G822,Listas!E:E,Listas!G:G,""),"")</f>
        <v>Externo</v>
      </c>
      <c r="J822" s="43">
        <v>59583.34</v>
      </c>
      <c r="K822" s="5">
        <f t="shared" si="12"/>
        <v>-59583.34</v>
      </c>
      <c r="L822" s="15" t="s">
        <v>132</v>
      </c>
      <c r="M822" s="44">
        <f>SUMIFS('Saldos Iniciales'!$D:$D,'Saldos Iniciales'!$A:$A,C822,'Saldos Iniciales'!$B:$B,D822)+SUMIFS($K$1:$K$1324,$C$1:$C$1324,C822,$D$1:$D$1324,D822,$B$1:$B$1324,"&lt;="&amp;B822)</f>
        <v>897489.10999999929</v>
      </c>
      <c r="N822" s="61" t="str">
        <f>IF(tblMovimientos[[#This Row],[Tipo de Movimiento]]="Ingreso",tblMovimientos[[#This Row],[Monto (S/)]],"0")</f>
        <v>0</v>
      </c>
      <c r="O822" s="61">
        <f>IF(tblMovimientos[[#This Row],[Tipo de Movimiento]]="Egreso",tblMovimientos[[#This Row],[Monto (S/)]],"0")</f>
        <v>59583.34</v>
      </c>
      <c r="P822" s="28">
        <f>IF(tblMovimientos[[#This Row],[Tipo de Movimiento]]="Ingreso",tblMovimientos[[#This Row],[Ingreso]],-tblMovimientos[[#This Row],[Egreso]])</f>
        <v>-59583.34</v>
      </c>
      <c r="Q822" s="78" t="str">
        <f>_xlfn.XLOOKUP(tblMovimientos[[#This Row],[Cuenta Bancaria]],Cuentas!$C:$C,Cuentas!$A:$A,"")&amp;""</f>
        <v>SSP Group</v>
      </c>
      <c r="R822" s="78" t="str">
        <f>_xlfn.XLOOKUP(tblMovimientos[[#This Row],[Cuenta Bancaria]],Cuentas!$C:$C,Cuentas!$B:$B,"",0,-1)&amp;""</f>
        <v/>
      </c>
    </row>
    <row r="823" spans="1:18" x14ac:dyDescent="0.3">
      <c r="B823" s="39">
        <v>46254</v>
      </c>
      <c r="C823" s="4" t="str">
        <f>_xlfn.XLOOKUP(tblMovimientos[[#This Row],[Cuenta Bancaria]],Listas!$B:$B,Listas!$A:$A,"")</f>
        <v>Go Blue</v>
      </c>
      <c r="D823" s="41" t="s">
        <v>126</v>
      </c>
      <c r="E823" s="68" t="str">
        <f>_xlfn.XLOOKUP(tblMovimientos[[#This Row],[Cuenta Bancaria]],Listas!$B:$B,Listas!$C:$C,"")</f>
        <v xml:space="preserve">Amerant Bank </v>
      </c>
      <c r="F823" s="41" t="s">
        <v>10</v>
      </c>
      <c r="G823" s="41" t="s">
        <v>40</v>
      </c>
      <c r="H823" s="4" t="str">
        <f>IFERROR(_xlfn.XLOOKUP(G823,Listas!E:E,Listas!F:F,""),"")</f>
        <v>Operativo</v>
      </c>
      <c r="I823" s="46" t="str">
        <f>IFERROR(_xlfn.XLOOKUP(G823,Listas!E:E,Listas!G:G,""),"")</f>
        <v>Externo</v>
      </c>
      <c r="J823" s="43">
        <v>1809.12</v>
      </c>
      <c r="K823" s="5">
        <f t="shared" si="12"/>
        <v>-1809.12</v>
      </c>
      <c r="L823" s="15" t="s">
        <v>132</v>
      </c>
      <c r="M823" s="44">
        <f>SUMIFS('Saldos Iniciales'!$D:$D,'Saldos Iniciales'!$A:$A,C823,'Saldos Iniciales'!$B:$B,D823)+SUMIFS($K$1:$K$1324,$C$1:$C$1324,C823,$D$1:$D$1324,D823,$B$1:$B$1324,"&lt;="&amp;B823)</f>
        <v>10456.489999999998</v>
      </c>
      <c r="N823" s="61" t="str">
        <f>IF(tblMovimientos[[#This Row],[Tipo de Movimiento]]="Ingreso",tblMovimientos[[#This Row],[Monto (S/)]],"0")</f>
        <v>0</v>
      </c>
      <c r="O823" s="61">
        <f>IF(tblMovimientos[[#This Row],[Tipo de Movimiento]]="Egreso",tblMovimientos[[#This Row],[Monto (S/)]],"0")</f>
        <v>1809.12</v>
      </c>
      <c r="P823" s="28">
        <f>IF(tblMovimientos[[#This Row],[Tipo de Movimiento]]="Ingreso",tblMovimientos[[#This Row],[Ingreso]],-tblMovimientos[[#This Row],[Egreso]])</f>
        <v>-1809.12</v>
      </c>
      <c r="Q823" s="78" t="str">
        <f>_xlfn.XLOOKUP(tblMovimientos[[#This Row],[Cuenta Bancaria]],Cuentas!$C:$C,Cuentas!$A:$A,"")&amp;""</f>
        <v>SSP Group</v>
      </c>
      <c r="R823" s="78" t="str">
        <f>_xlfn.XLOOKUP(tblMovimientos[[#This Row],[Cuenta Bancaria]],Cuentas!$C:$C,Cuentas!$B:$B,"",0,-1)&amp;""</f>
        <v/>
      </c>
    </row>
    <row r="824" spans="1:18" x14ac:dyDescent="0.3">
      <c r="B824" s="39">
        <v>46254</v>
      </c>
      <c r="C824" s="4" t="str">
        <f>_xlfn.XLOOKUP(tblMovimientos[[#This Row],[Cuenta Bancaria]],Listas!$B:$B,Listas!$A:$A,"")</f>
        <v>Go Blue</v>
      </c>
      <c r="D824" s="41" t="s">
        <v>126</v>
      </c>
      <c r="E824" s="68" t="str">
        <f>_xlfn.XLOOKUP(tblMovimientos[[#This Row],[Cuenta Bancaria]],Listas!$B:$B,Listas!$C:$C,"")</f>
        <v xml:space="preserve">Amerant Bank </v>
      </c>
      <c r="F824" s="41" t="s">
        <v>10</v>
      </c>
      <c r="G824" s="41" t="s">
        <v>44</v>
      </c>
      <c r="H824" s="4" t="str">
        <f>IFERROR(_xlfn.XLOOKUP(G824,Listas!E:E,Listas!F:F,""),"")</f>
        <v>Operativo</v>
      </c>
      <c r="I824" s="46" t="str">
        <f>IFERROR(_xlfn.XLOOKUP(G824,Listas!E:E,Listas!G:G,""),"")</f>
        <v>Externo</v>
      </c>
      <c r="J824" s="43">
        <v>15</v>
      </c>
      <c r="K824" s="5">
        <f t="shared" si="12"/>
        <v>-15</v>
      </c>
      <c r="L824" s="15" t="s">
        <v>132</v>
      </c>
      <c r="M824" s="44">
        <f>SUMIFS('Saldos Iniciales'!$D:$D,'Saldos Iniciales'!$A:$A,C824,'Saldos Iniciales'!$B:$B,D824)+SUMIFS($K$1:$K$1324,$C$1:$C$1324,C824,$D$1:$D$1324,D824,$B$1:$B$1324,"&lt;="&amp;B824)</f>
        <v>10456.489999999998</v>
      </c>
      <c r="N824" s="61" t="str">
        <f>IF(tblMovimientos[[#This Row],[Tipo de Movimiento]]="Ingreso",tblMovimientos[[#This Row],[Monto (S/)]],"0")</f>
        <v>0</v>
      </c>
      <c r="O824" s="61">
        <f>IF(tblMovimientos[[#This Row],[Tipo de Movimiento]]="Egreso",tblMovimientos[[#This Row],[Monto (S/)]],"0")</f>
        <v>15</v>
      </c>
      <c r="P824" s="28">
        <f>IF(tblMovimientos[[#This Row],[Tipo de Movimiento]]="Ingreso",tblMovimientos[[#This Row],[Ingreso]],-tblMovimientos[[#This Row],[Egreso]])</f>
        <v>-15</v>
      </c>
      <c r="Q824" s="78" t="str">
        <f>_xlfn.XLOOKUP(tblMovimientos[[#This Row],[Cuenta Bancaria]],Cuentas!$C:$C,Cuentas!$A:$A,"")&amp;""</f>
        <v>SSP Group</v>
      </c>
      <c r="R824" s="78" t="str">
        <f>_xlfn.XLOOKUP(tblMovimientos[[#This Row],[Cuenta Bancaria]],Cuentas!$C:$C,Cuentas!$B:$B,"",0,-1)&amp;""</f>
        <v/>
      </c>
    </row>
    <row r="825" spans="1:18" x14ac:dyDescent="0.3">
      <c r="B825" s="39">
        <v>46254</v>
      </c>
      <c r="C825" s="4" t="str">
        <f>_xlfn.XLOOKUP(tblMovimientos[[#This Row],[Cuenta Bancaria]],Listas!$B:$B,Listas!$A:$A,"")</f>
        <v>SSP Capital</v>
      </c>
      <c r="D825" s="41" t="s">
        <v>101</v>
      </c>
      <c r="E825" s="68" t="str">
        <f>_xlfn.XLOOKUP(tblMovimientos[[#This Row],[Cuenta Bancaria]],Listas!$B:$B,Listas!$C:$C,"")</f>
        <v>Bank of America</v>
      </c>
      <c r="F825" s="41" t="s">
        <v>10</v>
      </c>
      <c r="G825" s="41" t="s">
        <v>41</v>
      </c>
      <c r="H825" s="4" t="str">
        <f>IFERROR(_xlfn.XLOOKUP(G825,Listas!E:E,Listas!F:F,""),"")</f>
        <v>Operativo</v>
      </c>
      <c r="I825" s="46" t="str">
        <f>IFERROR(_xlfn.XLOOKUP(G825,Listas!E:E,Listas!G:G,""),"")</f>
        <v>Externo</v>
      </c>
      <c r="J825" s="43">
        <v>780.9</v>
      </c>
      <c r="K825" s="5">
        <f t="shared" si="12"/>
        <v>-780.9</v>
      </c>
      <c r="L825" s="15" t="s">
        <v>132</v>
      </c>
      <c r="M825" s="44">
        <f>SUMIFS('Saldos Iniciales'!$D:$D,'Saldos Iniciales'!$A:$A,C825,'Saldos Iniciales'!$B:$B,D825)+SUMIFS($K$1:$K$1324,$C$1:$C$1324,C825,$D$1:$D$1324,D825,$B$1:$B$1324,"&lt;="&amp;B825)</f>
        <v>26829.489999999998</v>
      </c>
      <c r="N825" s="61" t="str">
        <f>IF(tblMovimientos[[#This Row],[Tipo de Movimiento]]="Ingreso",tblMovimientos[[#This Row],[Monto (S/)]],"0")</f>
        <v>0</v>
      </c>
      <c r="O825" s="61">
        <f>IF(tblMovimientos[[#This Row],[Tipo de Movimiento]]="Egreso",tblMovimientos[[#This Row],[Monto (S/)]],"0")</f>
        <v>780.9</v>
      </c>
      <c r="P825" s="28">
        <f>IF(tblMovimientos[[#This Row],[Tipo de Movimiento]]="Ingreso",tblMovimientos[[#This Row],[Ingreso]],-tblMovimientos[[#This Row],[Egreso]])</f>
        <v>-780.9</v>
      </c>
      <c r="Q825" s="78" t="str">
        <f>_xlfn.XLOOKUP(tblMovimientos[[#This Row],[Cuenta Bancaria]],Cuentas!$C:$C,Cuentas!$A:$A,"")&amp;""</f>
        <v>SSP Group</v>
      </c>
      <c r="R825" s="78" t="str">
        <f>_xlfn.XLOOKUP(tblMovimientos[[#This Row],[Cuenta Bancaria]],Cuentas!$C:$C,Cuentas!$B:$B,"",0,-1)&amp;""</f>
        <v/>
      </c>
    </row>
    <row r="826" spans="1:18" x14ac:dyDescent="0.3">
      <c r="B826" s="39">
        <v>46254</v>
      </c>
      <c r="C826" s="4" t="str">
        <f>_xlfn.XLOOKUP(tblMovimientos[[#This Row],[Cuenta Bancaria]],Listas!$B:$B,Listas!$A:$A,"")</f>
        <v>A&amp;M Imports</v>
      </c>
      <c r="D826" s="41" t="s">
        <v>100</v>
      </c>
      <c r="E826" s="68" t="str">
        <f>_xlfn.XLOOKUP(tblMovimientos[[#This Row],[Cuenta Bancaria]],Listas!$B:$B,Listas!$C:$C,"")</f>
        <v>Bank of America</v>
      </c>
      <c r="F826" s="41" t="s">
        <v>10</v>
      </c>
      <c r="G826" s="41" t="s">
        <v>61</v>
      </c>
      <c r="H826" s="4" t="str">
        <f>IFERROR(_xlfn.XLOOKUP(G826,Listas!E:E,Listas!F:F,""),"")</f>
        <v>Operativo</v>
      </c>
      <c r="I826" s="46" t="str">
        <f>IFERROR(_xlfn.XLOOKUP(G826,Listas!E:E,Listas!G:G,""),"")</f>
        <v>Externo</v>
      </c>
      <c r="J826" s="43">
        <v>60000</v>
      </c>
      <c r="K826" s="5">
        <f t="shared" si="12"/>
        <v>-60000</v>
      </c>
      <c r="L826" s="15" t="s">
        <v>132</v>
      </c>
      <c r="M826" s="44">
        <f>SUMIFS('Saldos Iniciales'!$D:$D,'Saldos Iniciales'!$A:$A,C826,'Saldos Iniciales'!$B:$B,D826)+SUMIFS($K$1:$K$1324,$C$1:$C$1324,C826,$D$1:$D$1324,D826,$B$1:$B$1324,"&lt;="&amp;B826)</f>
        <v>1229031.3399999999</v>
      </c>
      <c r="N826" s="61" t="str">
        <f>IF(tblMovimientos[[#This Row],[Tipo de Movimiento]]="Ingreso",tblMovimientos[[#This Row],[Monto (S/)]],"0")</f>
        <v>0</v>
      </c>
      <c r="O826" s="61">
        <f>IF(tblMovimientos[[#This Row],[Tipo de Movimiento]]="Egreso",tblMovimientos[[#This Row],[Monto (S/)]],"0")</f>
        <v>60000</v>
      </c>
      <c r="P826" s="28">
        <f>IF(tblMovimientos[[#This Row],[Tipo de Movimiento]]="Ingreso",tblMovimientos[[#This Row],[Ingreso]],-tblMovimientos[[#This Row],[Egreso]])</f>
        <v>-60000</v>
      </c>
      <c r="Q826" s="78" t="str">
        <f>_xlfn.XLOOKUP(tblMovimientos[[#This Row],[Cuenta Bancaria]],Cuentas!$C:$C,Cuentas!$A:$A,"")&amp;""</f>
        <v>SSP Group</v>
      </c>
      <c r="R826" s="78" t="str">
        <f>_xlfn.XLOOKUP(tblMovimientos[[#This Row],[Cuenta Bancaria]],Cuentas!$C:$C,Cuentas!$B:$B,"",0,-1)&amp;""</f>
        <v/>
      </c>
    </row>
    <row r="827" spans="1:18" x14ac:dyDescent="0.3">
      <c r="B827" s="39">
        <v>46255</v>
      </c>
      <c r="C827" s="4" t="str">
        <f>_xlfn.XLOOKUP(tblMovimientos[[#This Row],[Cuenta Bancaria]],Listas!$B:$B,Listas!$A:$A,"")</f>
        <v>Go Blue</v>
      </c>
      <c r="D827" s="41" t="s">
        <v>165</v>
      </c>
      <c r="E827" s="68" t="str">
        <f>_xlfn.XLOOKUP(tblMovimientos[[#This Row],[Cuenta Bancaria]],Listas!$B:$B,Listas!$C:$C,"")</f>
        <v xml:space="preserve">Amerant Bank </v>
      </c>
      <c r="F827" s="41" t="s">
        <v>10</v>
      </c>
      <c r="G827" s="41" t="s">
        <v>38</v>
      </c>
      <c r="H827" s="4" t="str">
        <f>IFERROR(_xlfn.XLOOKUP(G827,Listas!E:E,Listas!F:F,""),"")</f>
        <v>Operativo</v>
      </c>
      <c r="I827" s="46" t="str">
        <f>IFERROR(_xlfn.XLOOKUP(G827,Listas!E:E,Listas!G:G,""),"")</f>
        <v>Externo</v>
      </c>
      <c r="J827" s="43">
        <v>199.99</v>
      </c>
      <c r="K827" s="5">
        <f t="shared" si="12"/>
        <v>-199.99</v>
      </c>
      <c r="L827" s="15" t="s">
        <v>132</v>
      </c>
      <c r="M827" s="44">
        <f>SUMIFS('Saldos Iniciales'!$D:$D,'Saldos Iniciales'!$A:$A,C827,'Saldos Iniciales'!$B:$B,D827)+SUMIFS($K$1:$K$1324,$C$1:$C$1324,C827,$D$1:$D$1324,D827,$B$1:$B$1324,"&lt;="&amp;B827)</f>
        <v>2085.300000000002</v>
      </c>
      <c r="N827" s="61" t="str">
        <f>IF(tblMovimientos[[#This Row],[Tipo de Movimiento]]="Ingreso",tblMovimientos[[#This Row],[Monto (S/)]],"0")</f>
        <v>0</v>
      </c>
      <c r="O827" s="61">
        <f>IF(tblMovimientos[[#This Row],[Tipo de Movimiento]]="Egreso",tblMovimientos[[#This Row],[Monto (S/)]],"0")</f>
        <v>199.99</v>
      </c>
      <c r="P827" s="28">
        <f>IF(tblMovimientos[[#This Row],[Tipo de Movimiento]]="Ingreso",tblMovimientos[[#This Row],[Ingreso]],-tblMovimientos[[#This Row],[Egreso]])</f>
        <v>-199.99</v>
      </c>
      <c r="Q827" s="78" t="str">
        <f>_xlfn.XLOOKUP(tblMovimientos[[#This Row],[Cuenta Bancaria]],Cuentas!$C:$C,Cuentas!$A:$A,"")&amp;""</f>
        <v>SSP Group</v>
      </c>
      <c r="R827" s="78" t="str">
        <f>_xlfn.XLOOKUP(tblMovimientos[[#This Row],[Cuenta Bancaria]],Cuentas!$C:$C,Cuentas!$B:$B,"",0,-1)&amp;""</f>
        <v/>
      </c>
    </row>
    <row r="828" spans="1:18" x14ac:dyDescent="0.3">
      <c r="B828" s="39">
        <v>46258</v>
      </c>
      <c r="C828" s="4" t="str">
        <f>_xlfn.XLOOKUP(tblMovimientos[[#This Row],[Cuenta Bancaria]],Listas!$B:$B,Listas!$A:$A,"")</f>
        <v>SSP Capital</v>
      </c>
      <c r="D828" s="41" t="s">
        <v>101</v>
      </c>
      <c r="E828" s="68" t="str">
        <f>_xlfn.XLOOKUP(tblMovimientos[[#This Row],[Cuenta Bancaria]],Listas!$B:$B,Listas!$C:$C,"")</f>
        <v>Bank of America</v>
      </c>
      <c r="F828" s="41" t="s">
        <v>10</v>
      </c>
      <c r="G828" s="41" t="s">
        <v>38</v>
      </c>
      <c r="H828" s="4" t="str">
        <f>IFERROR(_xlfn.XLOOKUP(G828,Listas!E:E,Listas!F:F,""),"")</f>
        <v>Operativo</v>
      </c>
      <c r="I828" s="46" t="str">
        <f>IFERROR(_xlfn.XLOOKUP(G828,Listas!E:E,Listas!G:G,""),"")</f>
        <v>Externo</v>
      </c>
      <c r="J828" s="43">
        <v>762.99</v>
      </c>
      <c r="K828" s="5">
        <f t="shared" si="12"/>
        <v>-762.99</v>
      </c>
      <c r="L828" s="15" t="s">
        <v>132</v>
      </c>
      <c r="M828" s="44">
        <f>SUMIFS('Saldos Iniciales'!$D:$D,'Saldos Iniciales'!$A:$A,C828,'Saldos Iniciales'!$B:$B,D828)+SUMIFS($K$1:$K$1324,$C$1:$C$1324,C828,$D$1:$D$1324,D828,$B$1:$B$1324,"&lt;="&amp;B828)</f>
        <v>26066.5</v>
      </c>
      <c r="N828" s="61" t="str">
        <f>IF(tblMovimientos[[#This Row],[Tipo de Movimiento]]="Ingreso",tblMovimientos[[#This Row],[Monto (S/)]],"0")</f>
        <v>0</v>
      </c>
      <c r="O828" s="61">
        <f>IF(tblMovimientos[[#This Row],[Tipo de Movimiento]]="Egreso",tblMovimientos[[#This Row],[Monto (S/)]],"0")</f>
        <v>762.99</v>
      </c>
      <c r="P828" s="28">
        <f>IF(tblMovimientos[[#This Row],[Tipo de Movimiento]]="Ingreso",tblMovimientos[[#This Row],[Ingreso]],-tblMovimientos[[#This Row],[Egreso]])</f>
        <v>-762.99</v>
      </c>
      <c r="Q828" s="78" t="str">
        <f>_xlfn.XLOOKUP(tblMovimientos[[#This Row],[Cuenta Bancaria]],Cuentas!$C:$C,Cuentas!$A:$A,"")&amp;""</f>
        <v>SSP Group</v>
      </c>
      <c r="R828" s="78" t="str">
        <f>_xlfn.XLOOKUP(tblMovimientos[[#This Row],[Cuenta Bancaria]],Cuentas!$C:$C,Cuentas!$B:$B,"",0,-1)&amp;""</f>
        <v/>
      </c>
    </row>
    <row r="829" spans="1:18" x14ac:dyDescent="0.3">
      <c r="B829" s="39">
        <v>46258</v>
      </c>
      <c r="C829" s="4" t="str">
        <f>_xlfn.XLOOKUP(tblMovimientos[[#This Row],[Cuenta Bancaria]],Listas!$B:$B,Listas!$A:$A,"")</f>
        <v>A&amp;M Imports</v>
      </c>
      <c r="D829" s="41" t="s">
        <v>100</v>
      </c>
      <c r="E829" s="68" t="str">
        <f>_xlfn.XLOOKUP(tblMovimientos[[#This Row],[Cuenta Bancaria]],Listas!$B:$B,Listas!$C:$C,"")</f>
        <v>Bank of America</v>
      </c>
      <c r="F829" s="41" t="s">
        <v>9</v>
      </c>
      <c r="G829" s="41" t="s">
        <v>68</v>
      </c>
      <c r="H829" s="4" t="str">
        <f>IFERROR(_xlfn.XLOOKUP(G829,Listas!E:E,Listas!F:F,""),"")</f>
        <v>Operativo</v>
      </c>
      <c r="I829" s="46" t="str">
        <f>IFERROR(_xlfn.XLOOKUP(G829,Listas!E:E,Listas!G:G,""),"")</f>
        <v>Externo</v>
      </c>
      <c r="J829" s="43">
        <v>5731.99</v>
      </c>
      <c r="K829" s="5">
        <f t="shared" si="12"/>
        <v>5731.99</v>
      </c>
      <c r="L829" s="15" t="s">
        <v>132</v>
      </c>
      <c r="M829" s="44">
        <f>SUMIFS('Saldos Iniciales'!$D:$D,'Saldos Iniciales'!$A:$A,C829,'Saldos Iniciales'!$B:$B,D829)+SUMIFS($K$1:$K$1324,$C$1:$C$1324,C829,$D$1:$D$1324,D829,$B$1:$B$1324,"&lt;="&amp;B829)</f>
        <v>1234763.3299999998</v>
      </c>
      <c r="N829" s="61">
        <f>IF(tblMovimientos[[#This Row],[Tipo de Movimiento]]="Ingreso",tblMovimientos[[#This Row],[Monto (S/)]],"0")</f>
        <v>5731.99</v>
      </c>
      <c r="O829" s="61" t="str">
        <f>IF(tblMovimientos[[#This Row],[Tipo de Movimiento]]="Egreso",tblMovimientos[[#This Row],[Monto (S/)]],"0")</f>
        <v>0</v>
      </c>
      <c r="P829" s="28">
        <f>IF(tblMovimientos[[#This Row],[Tipo de Movimiento]]="Ingreso",tblMovimientos[[#This Row],[Ingreso]],-tblMovimientos[[#This Row],[Egreso]])</f>
        <v>5731.99</v>
      </c>
      <c r="Q829" s="78" t="str">
        <f>_xlfn.XLOOKUP(tblMovimientos[[#This Row],[Cuenta Bancaria]],Cuentas!$C:$C,Cuentas!$A:$A,"")&amp;""</f>
        <v>SSP Group</v>
      </c>
      <c r="R829" s="78" t="str">
        <f>_xlfn.XLOOKUP(tblMovimientos[[#This Row],[Cuenta Bancaria]],Cuentas!$C:$C,Cuentas!$B:$B,"",0,-1)&amp;""</f>
        <v/>
      </c>
    </row>
    <row r="830" spans="1:18" x14ac:dyDescent="0.3">
      <c r="B830" s="39">
        <v>46258</v>
      </c>
      <c r="C830" s="4" t="str">
        <f>_xlfn.XLOOKUP(tblMovimientos[[#This Row],[Cuenta Bancaria]],Listas!$B:$B,Listas!$A:$A,"")</f>
        <v>M1B</v>
      </c>
      <c r="D830" s="41" t="s">
        <v>97</v>
      </c>
      <c r="E830" s="68" t="str">
        <f>_xlfn.XLOOKUP(tblMovimientos[[#This Row],[Cuenta Bancaria]],Listas!$B:$B,Listas!$C:$C,"")</f>
        <v xml:space="preserve">Amerant Bank </v>
      </c>
      <c r="F830" s="41" t="s">
        <v>9</v>
      </c>
      <c r="G830" s="41" t="s">
        <v>68</v>
      </c>
      <c r="H830" s="4" t="str">
        <f>IFERROR(_xlfn.XLOOKUP(G830,Listas!E:E,Listas!F:F,""),"")</f>
        <v>Operativo</v>
      </c>
      <c r="I830" s="46" t="str">
        <f>IFERROR(_xlfn.XLOOKUP(G830,Listas!E:E,Listas!G:G,""),"")</f>
        <v>Externo</v>
      </c>
      <c r="J830" s="43">
        <v>457.74</v>
      </c>
      <c r="K830" s="5">
        <f t="shared" si="12"/>
        <v>457.74</v>
      </c>
      <c r="L830" s="15" t="s">
        <v>132</v>
      </c>
      <c r="M830" s="44">
        <f>SUMIFS('Saldos Iniciales'!$D:$D,'Saldos Iniciales'!$A:$A,C830,'Saldos Iniciales'!$B:$B,D830)+SUMIFS($K$1:$K$1324,$C$1:$C$1324,C830,$D$1:$D$1324,D830,$B$1:$B$1324,"&lt;="&amp;B830)</f>
        <v>78668.990000000165</v>
      </c>
      <c r="N830" s="61">
        <f>IF(tblMovimientos[[#This Row],[Tipo de Movimiento]]="Ingreso",tblMovimientos[[#This Row],[Monto (S/)]],"0")</f>
        <v>457.74</v>
      </c>
      <c r="O830" s="61" t="str">
        <f>IF(tblMovimientos[[#This Row],[Tipo de Movimiento]]="Egreso",tblMovimientos[[#This Row],[Monto (S/)]],"0")</f>
        <v>0</v>
      </c>
      <c r="P830" s="28">
        <f>IF(tblMovimientos[[#This Row],[Tipo de Movimiento]]="Ingreso",tblMovimientos[[#This Row],[Ingreso]],-tblMovimientos[[#This Row],[Egreso]])</f>
        <v>457.74</v>
      </c>
      <c r="Q830" s="78" t="str">
        <f>_xlfn.XLOOKUP(tblMovimientos[[#This Row],[Cuenta Bancaria]],Cuentas!$C:$C,Cuentas!$A:$A,"")&amp;""</f>
        <v>SSP Group</v>
      </c>
      <c r="R830" s="78" t="str">
        <f>_xlfn.XLOOKUP(tblMovimientos[[#This Row],[Cuenta Bancaria]],Cuentas!$C:$C,Cuentas!$B:$B,"",0,-1)&amp;""</f>
        <v/>
      </c>
    </row>
    <row r="831" spans="1:18" x14ac:dyDescent="0.3">
      <c r="B831" s="39">
        <v>46258</v>
      </c>
      <c r="C831" s="4" t="str">
        <f>_xlfn.XLOOKUP(tblMovimientos[[#This Row],[Cuenta Bancaria]],Listas!$B:$B,Listas!$A:$A,"")</f>
        <v>Go Blue</v>
      </c>
      <c r="D831" s="41" t="s">
        <v>165</v>
      </c>
      <c r="E831" s="68" t="str">
        <f>_xlfn.XLOOKUP(tblMovimientos[[#This Row],[Cuenta Bancaria]],Listas!$B:$B,Listas!$C:$C,"")</f>
        <v xml:space="preserve">Amerant Bank </v>
      </c>
      <c r="F831" s="41" t="s">
        <v>10</v>
      </c>
      <c r="G831" s="41" t="s">
        <v>38</v>
      </c>
      <c r="H831" s="4" t="str">
        <f>IFERROR(_xlfn.XLOOKUP(G831,Listas!E:E,Listas!F:F,""),"")</f>
        <v>Operativo</v>
      </c>
      <c r="I831" s="46" t="str">
        <f>IFERROR(_xlfn.XLOOKUP(G831,Listas!E:E,Listas!G:G,""),"")</f>
        <v>Externo</v>
      </c>
      <c r="J831" s="43">
        <v>21.95</v>
      </c>
      <c r="K831" s="5">
        <f t="shared" si="12"/>
        <v>-21.95</v>
      </c>
      <c r="L831" s="15" t="s">
        <v>132</v>
      </c>
      <c r="M831" s="44">
        <f>SUMIFS('Saldos Iniciales'!$D:$D,'Saldos Iniciales'!$A:$A,C831,'Saldos Iniciales'!$B:$B,D831)+SUMIFS($K$1:$K$1324,$C$1:$C$1324,C831,$D$1:$D$1324,D831,$B$1:$B$1324,"&lt;="&amp;B831)</f>
        <v>2063.3500000000022</v>
      </c>
      <c r="N831" s="61" t="str">
        <f>IF(tblMovimientos[[#This Row],[Tipo de Movimiento]]="Ingreso",tblMovimientos[[#This Row],[Monto (S/)]],"0")</f>
        <v>0</v>
      </c>
      <c r="O831" s="61">
        <f>IF(tblMovimientos[[#This Row],[Tipo de Movimiento]]="Egreso",tblMovimientos[[#This Row],[Monto (S/)]],"0")</f>
        <v>21.95</v>
      </c>
      <c r="P831" s="28">
        <f>IF(tblMovimientos[[#This Row],[Tipo de Movimiento]]="Ingreso",tblMovimientos[[#This Row],[Ingreso]],-tblMovimientos[[#This Row],[Egreso]])</f>
        <v>-21.95</v>
      </c>
      <c r="Q831" s="78" t="str">
        <f>_xlfn.XLOOKUP(tblMovimientos[[#This Row],[Cuenta Bancaria]],Cuentas!$C:$C,Cuentas!$A:$A,"")&amp;""</f>
        <v>SSP Group</v>
      </c>
      <c r="R831" s="78" t="str">
        <f>_xlfn.XLOOKUP(tblMovimientos[[#This Row],[Cuenta Bancaria]],Cuentas!$C:$C,Cuentas!$B:$B,"",0,-1)&amp;""</f>
        <v/>
      </c>
    </row>
    <row r="832" spans="1:18" x14ac:dyDescent="0.3">
      <c r="B832" s="39">
        <v>46258</v>
      </c>
      <c r="C832" s="4" t="str">
        <f>_xlfn.XLOOKUP(tblMovimientos[[#This Row],[Cuenta Bancaria]],Listas!$B:$B,Listas!$A:$A,"")</f>
        <v>CFT Group</v>
      </c>
      <c r="D832" s="41" t="s">
        <v>95</v>
      </c>
      <c r="E832" s="68" t="str">
        <f>_xlfn.XLOOKUP(tblMovimientos[[#This Row],[Cuenta Bancaria]],Listas!$B:$B,Listas!$C:$C,"")</f>
        <v xml:space="preserve">Amerant Bank </v>
      </c>
      <c r="F832" s="41" t="s">
        <v>10</v>
      </c>
      <c r="G832" s="41" t="s">
        <v>61</v>
      </c>
      <c r="H832" s="4" t="str">
        <f>IFERROR(_xlfn.XLOOKUP(G832,Listas!E:E,Listas!F:F,""),"")</f>
        <v>Operativo</v>
      </c>
      <c r="I832" s="46" t="str">
        <f>IFERROR(_xlfn.XLOOKUP(G832,Listas!E:E,Listas!G:G,""),"")</f>
        <v>Externo</v>
      </c>
      <c r="J832" s="43">
        <v>30000</v>
      </c>
      <c r="K832" s="5">
        <f t="shared" si="12"/>
        <v>-30000</v>
      </c>
      <c r="L832" s="15" t="s">
        <v>132</v>
      </c>
      <c r="M832" s="44">
        <f>SUMIFS('Saldos Iniciales'!$D:$D,'Saldos Iniciales'!$A:$A,C832,'Saldos Iniciales'!$B:$B,D832)+SUMIFS($K$1:$K$1324,$C$1:$C$1324,C832,$D$1:$D$1324,D832,$B$1:$B$1324,"&lt;="&amp;B832)</f>
        <v>231560.08000000077</v>
      </c>
      <c r="N832" s="61" t="str">
        <f>IF(tblMovimientos[[#This Row],[Tipo de Movimiento]]="Ingreso",tblMovimientos[[#This Row],[Monto (S/)]],"0")</f>
        <v>0</v>
      </c>
      <c r="O832" s="61">
        <f>IF(tblMovimientos[[#This Row],[Tipo de Movimiento]]="Egreso",tblMovimientos[[#This Row],[Monto (S/)]],"0")</f>
        <v>30000</v>
      </c>
      <c r="P832" s="28">
        <f>IF(tblMovimientos[[#This Row],[Tipo de Movimiento]]="Ingreso",tblMovimientos[[#This Row],[Ingreso]],-tblMovimientos[[#This Row],[Egreso]])</f>
        <v>-30000</v>
      </c>
      <c r="Q832" s="78" t="str">
        <f>_xlfn.XLOOKUP(tblMovimientos[[#This Row],[Cuenta Bancaria]],Cuentas!$C:$C,Cuentas!$A:$A,"")&amp;""</f>
        <v>SSP Group</v>
      </c>
      <c r="R832" s="78" t="str">
        <f>_xlfn.XLOOKUP(tblMovimientos[[#This Row],[Cuenta Bancaria]],Cuentas!$C:$C,Cuentas!$B:$B,"",0,-1)&amp;""</f>
        <v/>
      </c>
    </row>
    <row r="833" spans="1:18" x14ac:dyDescent="0.3">
      <c r="B833" s="39">
        <v>46258</v>
      </c>
      <c r="C833" s="4" t="str">
        <f>_xlfn.XLOOKUP(tblMovimientos[[#This Row],[Cuenta Bancaria]],Listas!$B:$B,Listas!$A:$A,"")</f>
        <v>CFT Group</v>
      </c>
      <c r="D833" s="41" t="s">
        <v>95</v>
      </c>
      <c r="E833" s="68" t="str">
        <f>_xlfn.XLOOKUP(tblMovimientos[[#This Row],[Cuenta Bancaria]],Listas!$B:$B,Listas!$C:$C,"")</f>
        <v xml:space="preserve">Amerant Bank </v>
      </c>
      <c r="F833" s="41" t="s">
        <v>10</v>
      </c>
      <c r="G833" s="41" t="s">
        <v>61</v>
      </c>
      <c r="H833" s="4" t="str">
        <f>IFERROR(_xlfn.XLOOKUP(G833,Listas!E:E,Listas!F:F,""),"")</f>
        <v>Operativo</v>
      </c>
      <c r="I833" s="46" t="str">
        <f>IFERROR(_xlfn.XLOOKUP(G833,Listas!E:E,Listas!G:G,""),"")</f>
        <v>Externo</v>
      </c>
      <c r="J833" s="43">
        <v>100000</v>
      </c>
      <c r="K833" s="5">
        <f t="shared" si="12"/>
        <v>-100000</v>
      </c>
      <c r="L833" s="15" t="s">
        <v>132</v>
      </c>
      <c r="M833" s="44">
        <f>SUMIFS('Saldos Iniciales'!$D:$D,'Saldos Iniciales'!$A:$A,C833,'Saldos Iniciales'!$B:$B,D833)+SUMIFS($K$1:$K$1324,$C$1:$C$1324,C833,$D$1:$D$1324,D833,$B$1:$B$1324,"&lt;="&amp;B833)</f>
        <v>231560.08000000077</v>
      </c>
      <c r="N833" s="61" t="str">
        <f>IF(tblMovimientos[[#This Row],[Tipo de Movimiento]]="Ingreso",tblMovimientos[[#This Row],[Monto (S/)]],"0")</f>
        <v>0</v>
      </c>
      <c r="O833" s="61">
        <f>IF(tblMovimientos[[#This Row],[Tipo de Movimiento]]="Egreso",tblMovimientos[[#This Row],[Monto (S/)]],"0")</f>
        <v>100000</v>
      </c>
      <c r="P833" s="28">
        <f>IF(tblMovimientos[[#This Row],[Tipo de Movimiento]]="Ingreso",tblMovimientos[[#This Row],[Ingreso]],-tblMovimientos[[#This Row],[Egreso]])</f>
        <v>-100000</v>
      </c>
      <c r="Q833" s="78" t="str">
        <f>_xlfn.XLOOKUP(tblMovimientos[[#This Row],[Cuenta Bancaria]],Cuentas!$C:$C,Cuentas!$A:$A,"")&amp;""</f>
        <v>SSP Group</v>
      </c>
      <c r="R833" s="78" t="str">
        <f>_xlfn.XLOOKUP(tblMovimientos[[#This Row],[Cuenta Bancaria]],Cuentas!$C:$C,Cuentas!$B:$B,"",0,-1)&amp;""</f>
        <v/>
      </c>
    </row>
    <row r="834" spans="1:18" x14ac:dyDescent="0.3">
      <c r="B834" s="39">
        <v>46258</v>
      </c>
      <c r="C834" s="4" t="str">
        <f>_xlfn.XLOOKUP(tblMovimientos[[#This Row],[Cuenta Bancaria]],Listas!$B:$B,Listas!$A:$A,"")</f>
        <v>CFT Group</v>
      </c>
      <c r="D834" s="41" t="s">
        <v>95</v>
      </c>
      <c r="E834" s="68" t="str">
        <f>_xlfn.XLOOKUP(tblMovimientos[[#This Row],[Cuenta Bancaria]],Listas!$B:$B,Listas!$C:$C,"")</f>
        <v xml:space="preserve">Amerant Bank </v>
      </c>
      <c r="F834" s="41" t="s">
        <v>10</v>
      </c>
      <c r="G834" s="41" t="s">
        <v>61</v>
      </c>
      <c r="H834" s="4" t="str">
        <f>IFERROR(_xlfn.XLOOKUP(G834,Listas!E:E,Listas!F:F,""),"")</f>
        <v>Operativo</v>
      </c>
      <c r="I834" s="46" t="str">
        <f>IFERROR(_xlfn.XLOOKUP(G834,Listas!E:E,Listas!G:G,""),"")</f>
        <v>Externo</v>
      </c>
      <c r="J834" s="43">
        <v>200000</v>
      </c>
      <c r="K834" s="5">
        <f t="shared" ref="K834:K897" si="13">IF(F834="Ingreso",J834,-J834)</f>
        <v>-200000</v>
      </c>
      <c r="L834" s="15" t="s">
        <v>132</v>
      </c>
      <c r="M834" s="44">
        <f>SUMIFS('Saldos Iniciales'!$D:$D,'Saldos Iniciales'!$A:$A,C834,'Saldos Iniciales'!$B:$B,D834)+SUMIFS($K$1:$K$1324,$C$1:$C$1324,C834,$D$1:$D$1324,D834,$B$1:$B$1324,"&lt;="&amp;B834)</f>
        <v>231560.08000000077</v>
      </c>
      <c r="N834" s="61" t="str">
        <f>IF(tblMovimientos[[#This Row],[Tipo de Movimiento]]="Ingreso",tblMovimientos[[#This Row],[Monto (S/)]],"0")</f>
        <v>0</v>
      </c>
      <c r="O834" s="61">
        <f>IF(tblMovimientos[[#This Row],[Tipo de Movimiento]]="Egreso",tblMovimientos[[#This Row],[Monto (S/)]],"0")</f>
        <v>200000</v>
      </c>
      <c r="P834" s="28">
        <f>IF(tblMovimientos[[#This Row],[Tipo de Movimiento]]="Ingreso",tblMovimientos[[#This Row],[Ingreso]],-tblMovimientos[[#This Row],[Egreso]])</f>
        <v>-200000</v>
      </c>
      <c r="Q834" s="78" t="str">
        <f>_xlfn.XLOOKUP(tblMovimientos[[#This Row],[Cuenta Bancaria]],Cuentas!$C:$C,Cuentas!$A:$A,"")&amp;""</f>
        <v>SSP Group</v>
      </c>
      <c r="R834" s="78" t="str">
        <f>_xlfn.XLOOKUP(tblMovimientos[[#This Row],[Cuenta Bancaria]],Cuentas!$C:$C,Cuentas!$B:$B,"",0,-1)&amp;""</f>
        <v/>
      </c>
    </row>
    <row r="835" spans="1:18" x14ac:dyDescent="0.3">
      <c r="B835" s="39">
        <v>46259</v>
      </c>
      <c r="C835" s="4" t="str">
        <f>_xlfn.XLOOKUP(tblMovimientos[[#This Row],[Cuenta Bancaria]],Listas!$B:$B,Listas!$A:$A,"")</f>
        <v>A&amp;M Imports</v>
      </c>
      <c r="D835" s="41" t="s">
        <v>100</v>
      </c>
      <c r="E835" s="68" t="str">
        <f>_xlfn.XLOOKUP(tblMovimientos[[#This Row],[Cuenta Bancaria]],Listas!$B:$B,Listas!$C:$C,"")</f>
        <v>Bank of America</v>
      </c>
      <c r="F835" s="41" t="s">
        <v>9</v>
      </c>
      <c r="G835" s="41" t="s">
        <v>68</v>
      </c>
      <c r="H835" s="4" t="str">
        <f>IFERROR(_xlfn.XLOOKUP(G835,Listas!E:E,Listas!F:F,""),"")</f>
        <v>Operativo</v>
      </c>
      <c r="I835" s="46" t="str">
        <f>IFERROR(_xlfn.XLOOKUP(G835,Listas!E:E,Listas!G:G,""),"")</f>
        <v>Externo</v>
      </c>
      <c r="J835" s="43">
        <v>17345.61</v>
      </c>
      <c r="K835" s="5">
        <f t="shared" si="13"/>
        <v>17345.61</v>
      </c>
      <c r="L835" s="15" t="s">
        <v>132</v>
      </c>
      <c r="M835" s="44">
        <f>SUMIFS('Saldos Iniciales'!$D:$D,'Saldos Iniciales'!$A:$A,C835,'Saldos Iniciales'!$B:$B,D835)+SUMIFS($K$1:$K$1324,$C$1:$C$1324,C835,$D$1:$D$1324,D835,$B$1:$B$1324,"&lt;="&amp;B835)</f>
        <v>1252108.94</v>
      </c>
      <c r="N835" s="61">
        <f>IF(tblMovimientos[[#This Row],[Tipo de Movimiento]]="Ingreso",tblMovimientos[[#This Row],[Monto (S/)]],"0")</f>
        <v>17345.61</v>
      </c>
      <c r="O835" s="61" t="str">
        <f>IF(tblMovimientos[[#This Row],[Tipo de Movimiento]]="Egreso",tblMovimientos[[#This Row],[Monto (S/)]],"0")</f>
        <v>0</v>
      </c>
      <c r="P835" s="28">
        <f>IF(tblMovimientos[[#This Row],[Tipo de Movimiento]]="Ingreso",tblMovimientos[[#This Row],[Ingreso]],-tblMovimientos[[#This Row],[Egreso]])</f>
        <v>17345.61</v>
      </c>
      <c r="Q835" s="78" t="str">
        <f>_xlfn.XLOOKUP(tblMovimientos[[#This Row],[Cuenta Bancaria]],Cuentas!$C:$C,Cuentas!$A:$A,"")&amp;""</f>
        <v>SSP Group</v>
      </c>
      <c r="R835" s="78" t="str">
        <f>_xlfn.XLOOKUP(tblMovimientos[[#This Row],[Cuenta Bancaria]],Cuentas!$C:$C,Cuentas!$B:$B,"",0,-1)&amp;""</f>
        <v/>
      </c>
    </row>
    <row r="836" spans="1:18" x14ac:dyDescent="0.3">
      <c r="B836" s="39">
        <v>46259</v>
      </c>
      <c r="C836" s="4" t="str">
        <f>_xlfn.XLOOKUP(tblMovimientos[[#This Row],[Cuenta Bancaria]],Listas!$B:$B,Listas!$A:$A,"")</f>
        <v>CFT Group</v>
      </c>
      <c r="D836" s="41" t="s">
        <v>94</v>
      </c>
      <c r="E836" s="68" t="str">
        <f>_xlfn.XLOOKUP(tblMovimientos[[#This Row],[Cuenta Bancaria]],Listas!$B:$B,Listas!$C:$C,"")</f>
        <v>Bank of America</v>
      </c>
      <c r="F836" s="41" t="s">
        <v>9</v>
      </c>
      <c r="G836" s="41" t="s">
        <v>68</v>
      </c>
      <c r="H836" s="4" t="str">
        <f>IFERROR(_xlfn.XLOOKUP(G836,Listas!E:E,Listas!F:F,""),"")</f>
        <v>Operativo</v>
      </c>
      <c r="I836" s="46" t="str">
        <f>IFERROR(_xlfn.XLOOKUP(G836,Listas!E:E,Listas!G:G,""),"")</f>
        <v>Externo</v>
      </c>
      <c r="J836" s="43">
        <v>145829.28</v>
      </c>
      <c r="K836" s="5">
        <f t="shared" si="13"/>
        <v>145829.28</v>
      </c>
      <c r="L836" s="15" t="s">
        <v>132</v>
      </c>
      <c r="M836" s="44">
        <f>SUMIFS('Saldos Iniciales'!$D:$D,'Saldos Iniciales'!$A:$A,C836,'Saldos Iniciales'!$B:$B,D836)+SUMIFS($K$1:$K$1324,$C$1:$C$1324,C836,$D$1:$D$1324,D836,$B$1:$B$1324,"&lt;="&amp;B836)</f>
        <v>289299.21999999997</v>
      </c>
      <c r="N836" s="61">
        <f>IF(tblMovimientos[[#This Row],[Tipo de Movimiento]]="Ingreso",tblMovimientos[[#This Row],[Monto (S/)]],"0")</f>
        <v>145829.28</v>
      </c>
      <c r="O836" s="61" t="str">
        <f>IF(tblMovimientos[[#This Row],[Tipo de Movimiento]]="Egreso",tblMovimientos[[#This Row],[Monto (S/)]],"0")</f>
        <v>0</v>
      </c>
      <c r="P836" s="28">
        <f>IF(tblMovimientos[[#This Row],[Tipo de Movimiento]]="Ingreso",tblMovimientos[[#This Row],[Ingreso]],-tblMovimientos[[#This Row],[Egreso]])</f>
        <v>145829.28</v>
      </c>
      <c r="Q836" s="78" t="str">
        <f>_xlfn.XLOOKUP(tblMovimientos[[#This Row],[Cuenta Bancaria]],Cuentas!$C:$C,Cuentas!$A:$A,"")&amp;""</f>
        <v>SSP Group</v>
      </c>
      <c r="R836" s="78" t="str">
        <f>_xlfn.XLOOKUP(tblMovimientos[[#This Row],[Cuenta Bancaria]],Cuentas!$C:$C,Cuentas!$B:$B,"",0,-1)&amp;""</f>
        <v/>
      </c>
    </row>
    <row r="837" spans="1:18" x14ac:dyDescent="0.3">
      <c r="B837" s="39">
        <v>46259</v>
      </c>
      <c r="C837" s="4" t="str">
        <f>_xlfn.XLOOKUP(tblMovimientos[[#This Row],[Cuenta Bancaria]],Listas!$B:$B,Listas!$A:$A,"")</f>
        <v>CFT Group</v>
      </c>
      <c r="D837" s="41" t="s">
        <v>94</v>
      </c>
      <c r="E837" s="68" t="str">
        <f>_xlfn.XLOOKUP(tblMovimientos[[#This Row],[Cuenta Bancaria]],Listas!$B:$B,Listas!$C:$C,"")</f>
        <v>Bank of America</v>
      </c>
      <c r="F837" s="41" t="s">
        <v>9</v>
      </c>
      <c r="G837" s="41" t="s">
        <v>68</v>
      </c>
      <c r="H837" s="4" t="str">
        <f>IFERROR(_xlfn.XLOOKUP(G837,Listas!E:E,Listas!F:F,""),"")</f>
        <v>Operativo</v>
      </c>
      <c r="I837" s="46" t="str">
        <f>IFERROR(_xlfn.XLOOKUP(G837,Listas!E:E,Listas!G:G,""),"")</f>
        <v>Externo</v>
      </c>
      <c r="J837" s="43">
        <v>8056.89</v>
      </c>
      <c r="K837" s="5">
        <f t="shared" si="13"/>
        <v>8056.89</v>
      </c>
      <c r="L837" s="15" t="s">
        <v>132</v>
      </c>
      <c r="M837" s="44">
        <f>SUMIFS('Saldos Iniciales'!$D:$D,'Saldos Iniciales'!$A:$A,C837,'Saldos Iniciales'!$B:$B,D837)+SUMIFS($K$1:$K$1324,$C$1:$C$1324,C837,$D$1:$D$1324,D837,$B$1:$B$1324,"&lt;="&amp;B837)</f>
        <v>289299.21999999997</v>
      </c>
      <c r="N837" s="61">
        <f>IF(tblMovimientos[[#This Row],[Tipo de Movimiento]]="Ingreso",tblMovimientos[[#This Row],[Monto (S/)]],"0")</f>
        <v>8056.89</v>
      </c>
      <c r="O837" s="61" t="str">
        <f>IF(tblMovimientos[[#This Row],[Tipo de Movimiento]]="Egreso",tblMovimientos[[#This Row],[Monto (S/)]],"0")</f>
        <v>0</v>
      </c>
      <c r="P837" s="28">
        <f>IF(tblMovimientos[[#This Row],[Tipo de Movimiento]]="Ingreso",tblMovimientos[[#This Row],[Ingreso]],-tblMovimientos[[#This Row],[Egreso]])</f>
        <v>8056.89</v>
      </c>
      <c r="Q837" s="78" t="str">
        <f>_xlfn.XLOOKUP(tblMovimientos[[#This Row],[Cuenta Bancaria]],Cuentas!$C:$C,Cuentas!$A:$A,"")&amp;""</f>
        <v>SSP Group</v>
      </c>
      <c r="R837" s="78" t="str">
        <f>_xlfn.XLOOKUP(tblMovimientos[[#This Row],[Cuenta Bancaria]],Cuentas!$C:$C,Cuentas!$B:$B,"",0,-1)&amp;""</f>
        <v/>
      </c>
    </row>
    <row r="838" spans="1:18" x14ac:dyDescent="0.3">
      <c r="B838" s="39">
        <v>46259</v>
      </c>
      <c r="C838" s="4" t="str">
        <f>_xlfn.XLOOKUP(tblMovimientos[[#This Row],[Cuenta Bancaria]],Listas!$B:$B,Listas!$A:$A,"")</f>
        <v>M1B</v>
      </c>
      <c r="D838" s="41" t="s">
        <v>97</v>
      </c>
      <c r="E838" s="68" t="str">
        <f>_xlfn.XLOOKUP(tblMovimientos[[#This Row],[Cuenta Bancaria]],Listas!$B:$B,Listas!$C:$C,"")</f>
        <v xml:space="preserve">Amerant Bank </v>
      </c>
      <c r="F838" s="41" t="s">
        <v>9</v>
      </c>
      <c r="G838" s="41" t="s">
        <v>68</v>
      </c>
      <c r="H838" s="4" t="str">
        <f>IFERROR(_xlfn.XLOOKUP(G838,Listas!E:E,Listas!F:F,""),"")</f>
        <v>Operativo</v>
      </c>
      <c r="I838" s="46" t="str">
        <f>IFERROR(_xlfn.XLOOKUP(G838,Listas!E:E,Listas!G:G,""),"")</f>
        <v>Externo</v>
      </c>
      <c r="J838" s="43">
        <v>6974.11</v>
      </c>
      <c r="K838" s="5">
        <f t="shared" si="13"/>
        <v>6974.11</v>
      </c>
      <c r="L838" s="15" t="s">
        <v>132</v>
      </c>
      <c r="M838" s="44">
        <f>SUMIFS('Saldos Iniciales'!$D:$D,'Saldos Iniciales'!$A:$A,C838,'Saldos Iniciales'!$B:$B,D838)+SUMIFS($K$1:$K$1324,$C$1:$C$1324,C838,$D$1:$D$1324,D838,$B$1:$B$1324,"&lt;="&amp;B838)</f>
        <v>85643.10000000018</v>
      </c>
      <c r="N838" s="61">
        <f>IF(tblMovimientos[[#This Row],[Tipo de Movimiento]]="Ingreso",tblMovimientos[[#This Row],[Monto (S/)]],"0")</f>
        <v>6974.11</v>
      </c>
      <c r="O838" s="61" t="str">
        <f>IF(tblMovimientos[[#This Row],[Tipo de Movimiento]]="Egreso",tblMovimientos[[#This Row],[Monto (S/)]],"0")</f>
        <v>0</v>
      </c>
      <c r="P838" s="28">
        <f>IF(tblMovimientos[[#This Row],[Tipo de Movimiento]]="Ingreso",tblMovimientos[[#This Row],[Ingreso]],-tblMovimientos[[#This Row],[Egreso]])</f>
        <v>6974.11</v>
      </c>
      <c r="Q838" s="78" t="str">
        <f>_xlfn.XLOOKUP(tblMovimientos[[#This Row],[Cuenta Bancaria]],Cuentas!$C:$C,Cuentas!$A:$A,"")&amp;""</f>
        <v>SSP Group</v>
      </c>
      <c r="R838" s="78" t="str">
        <f>_xlfn.XLOOKUP(tblMovimientos[[#This Row],[Cuenta Bancaria]],Cuentas!$C:$C,Cuentas!$B:$B,"",0,-1)&amp;""</f>
        <v/>
      </c>
    </row>
    <row r="839" spans="1:18" x14ac:dyDescent="0.3">
      <c r="B839" s="39">
        <v>46260</v>
      </c>
      <c r="C839" s="4" t="str">
        <f>_xlfn.XLOOKUP(tblMovimientos[[#This Row],[Cuenta Bancaria]],Listas!$B:$B,Listas!$A:$A,"")</f>
        <v>A&amp;M Imports</v>
      </c>
      <c r="D839" s="41" t="s">
        <v>100</v>
      </c>
      <c r="E839" s="68" t="str">
        <f>_xlfn.XLOOKUP(tblMovimientos[[#This Row],[Cuenta Bancaria]],Listas!$B:$B,Listas!$C:$C,"")</f>
        <v>Bank of America</v>
      </c>
      <c r="F839" s="41" t="s">
        <v>9</v>
      </c>
      <c r="G839" s="41" t="s">
        <v>68</v>
      </c>
      <c r="H839" s="4" t="str">
        <f>IFERROR(_xlfn.XLOOKUP(G839,Listas!E:E,Listas!F:F,""),"")</f>
        <v>Operativo</v>
      </c>
      <c r="I839" s="46" t="str">
        <f>IFERROR(_xlfn.XLOOKUP(G839,Listas!E:E,Listas!G:G,""),"")</f>
        <v>Externo</v>
      </c>
      <c r="J839" s="43">
        <v>17545.53</v>
      </c>
      <c r="K839" s="5">
        <f t="shared" si="13"/>
        <v>17545.53</v>
      </c>
      <c r="L839" s="15" t="s">
        <v>132</v>
      </c>
      <c r="M839" s="44">
        <f>SUMIFS('Saldos Iniciales'!$D:$D,'Saldos Iniciales'!$A:$A,C839,'Saldos Iniciales'!$B:$B,D839)+SUMIFS($K$1:$K$1324,$C$1:$C$1324,C839,$D$1:$D$1324,D839,$B$1:$B$1324,"&lt;="&amp;B839)</f>
        <v>1269654.47</v>
      </c>
      <c r="N839" s="61">
        <f>IF(tblMovimientos[[#This Row],[Tipo de Movimiento]]="Ingreso",tblMovimientos[[#This Row],[Monto (S/)]],"0")</f>
        <v>17545.53</v>
      </c>
      <c r="O839" s="61" t="str">
        <f>IF(tblMovimientos[[#This Row],[Tipo de Movimiento]]="Egreso",tblMovimientos[[#This Row],[Monto (S/)]],"0")</f>
        <v>0</v>
      </c>
      <c r="P839" s="28">
        <f>IF(tblMovimientos[[#This Row],[Tipo de Movimiento]]="Ingreso",tblMovimientos[[#This Row],[Ingreso]],-tblMovimientos[[#This Row],[Egreso]])</f>
        <v>17545.53</v>
      </c>
      <c r="Q839" s="78" t="str">
        <f>_xlfn.XLOOKUP(tblMovimientos[[#This Row],[Cuenta Bancaria]],Cuentas!$C:$C,Cuentas!$A:$A,"")&amp;""</f>
        <v>SSP Group</v>
      </c>
      <c r="R839" s="78" t="str">
        <f>_xlfn.XLOOKUP(tblMovimientos[[#This Row],[Cuenta Bancaria]],Cuentas!$C:$C,Cuentas!$B:$B,"",0,-1)&amp;""</f>
        <v/>
      </c>
    </row>
    <row r="840" spans="1:18" x14ac:dyDescent="0.3">
      <c r="A840" s="45"/>
      <c r="B840" s="39">
        <v>46261</v>
      </c>
      <c r="C840" s="4" t="str">
        <f>_xlfn.XLOOKUP(tblMovimientos[[#This Row],[Cuenta Bancaria]],Listas!$B:$B,Listas!$A:$A,"")</f>
        <v>SSP Capital</v>
      </c>
      <c r="D840" s="41" t="s">
        <v>101</v>
      </c>
      <c r="E840" s="68" t="str">
        <f>_xlfn.XLOOKUP(tblMovimientos[[#This Row],[Cuenta Bancaria]],Listas!$B:$B,Listas!$C:$C,"")</f>
        <v>Bank of America</v>
      </c>
      <c r="F840" s="41" t="s">
        <v>10</v>
      </c>
      <c r="G840" s="41" t="s">
        <v>64</v>
      </c>
      <c r="H840" s="46" t="str">
        <f>IFERROR(_xlfn.XLOOKUP(G840,Listas!E:E,Listas!F:F,""),"")</f>
        <v>Operativo</v>
      </c>
      <c r="I840" s="46" t="str">
        <f>IFERROR(_xlfn.XLOOKUP(G840,Listas!E:E,Listas!G:G,""),"")</f>
        <v>Interno</v>
      </c>
      <c r="J840" s="43">
        <v>100</v>
      </c>
      <c r="K840" s="5">
        <f t="shared" si="13"/>
        <v>-100</v>
      </c>
      <c r="L840" s="15" t="s">
        <v>132</v>
      </c>
      <c r="M840" s="44">
        <f>SUMIFS('Saldos Iniciales'!$D:$D,'Saldos Iniciales'!$A:$A,C840,'Saldos Iniciales'!$B:$B,D840)+SUMIFS($K$1:$K$1324,$C$1:$C$1324,C840,$D$1:$D$1324,D840,$B$1:$B$1324,"&lt;="&amp;B840)</f>
        <v>25936.5</v>
      </c>
      <c r="N840" s="61" t="str">
        <f>IF(tblMovimientos[[#This Row],[Tipo de Movimiento]]="Ingreso",tblMovimientos[[#This Row],[Monto (S/)]],"0")</f>
        <v>0</v>
      </c>
      <c r="O840" s="61">
        <f>IF(tblMovimientos[[#This Row],[Tipo de Movimiento]]="Egreso",tblMovimientos[[#This Row],[Monto (S/)]],"0")</f>
        <v>100</v>
      </c>
      <c r="P840" s="28">
        <f>IF(tblMovimientos[[#This Row],[Tipo de Movimiento]]="Ingreso",tblMovimientos[[#This Row],[Ingreso]],-tblMovimientos[[#This Row],[Egreso]])</f>
        <v>-100</v>
      </c>
      <c r="Q840" s="78" t="str">
        <f>_xlfn.XLOOKUP(tblMovimientos[[#This Row],[Cuenta Bancaria]],Cuentas!$C:$C,Cuentas!$A:$A,"")&amp;""</f>
        <v>SSP Group</v>
      </c>
      <c r="R840" s="78" t="str">
        <f>_xlfn.XLOOKUP(tblMovimientos[[#This Row],[Cuenta Bancaria]],Cuentas!$C:$C,Cuentas!$B:$B,"",0,-1)&amp;""</f>
        <v/>
      </c>
    </row>
    <row r="841" spans="1:18" x14ac:dyDescent="0.3">
      <c r="B841" s="39">
        <v>46261</v>
      </c>
      <c r="C841" s="4" t="str">
        <f>_xlfn.XLOOKUP(tblMovimientos[[#This Row],[Cuenta Bancaria]],Listas!$B:$B,Listas!$A:$A,"")</f>
        <v>SSP Capital</v>
      </c>
      <c r="D841" s="41" t="s">
        <v>101</v>
      </c>
      <c r="E841" s="68" t="str">
        <f>_xlfn.XLOOKUP(tblMovimientos[[#This Row],[Cuenta Bancaria]],Listas!$B:$B,Listas!$C:$C,"")</f>
        <v>Bank of America</v>
      </c>
      <c r="F841" s="41" t="s">
        <v>10</v>
      </c>
      <c r="G841" s="41" t="s">
        <v>44</v>
      </c>
      <c r="H841" s="4" t="str">
        <f>IFERROR(_xlfn.XLOOKUP(G841,Listas!E:E,Listas!F:F,""),"")</f>
        <v>Operativo</v>
      </c>
      <c r="I841" s="46" t="str">
        <f>IFERROR(_xlfn.XLOOKUP(G841,Listas!E:E,Listas!G:G,""),"")</f>
        <v>Externo</v>
      </c>
      <c r="J841" s="43">
        <v>30</v>
      </c>
      <c r="K841" s="5">
        <f t="shared" si="13"/>
        <v>-30</v>
      </c>
      <c r="L841" s="15" t="s">
        <v>132</v>
      </c>
      <c r="M841" s="44">
        <f>SUMIFS('Saldos Iniciales'!$D:$D,'Saldos Iniciales'!$A:$A,C841,'Saldos Iniciales'!$B:$B,D841)+SUMIFS($K$1:$K$1324,$C$1:$C$1324,C841,$D$1:$D$1324,D841,$B$1:$B$1324,"&lt;="&amp;B841)</f>
        <v>25936.5</v>
      </c>
      <c r="N841" s="61" t="str">
        <f>IF(tblMovimientos[[#This Row],[Tipo de Movimiento]]="Ingreso",tblMovimientos[[#This Row],[Monto (S/)]],"0")</f>
        <v>0</v>
      </c>
      <c r="O841" s="61">
        <f>IF(tblMovimientos[[#This Row],[Tipo de Movimiento]]="Egreso",tblMovimientos[[#This Row],[Monto (S/)]],"0")</f>
        <v>30</v>
      </c>
      <c r="P841" s="28">
        <f>IF(tblMovimientos[[#This Row],[Tipo de Movimiento]]="Ingreso",tblMovimientos[[#This Row],[Ingreso]],-tblMovimientos[[#This Row],[Egreso]])</f>
        <v>-30</v>
      </c>
      <c r="Q841" s="78" t="str">
        <f>_xlfn.XLOOKUP(tblMovimientos[[#This Row],[Cuenta Bancaria]],Cuentas!$C:$C,Cuentas!$A:$A,"")&amp;""</f>
        <v>SSP Group</v>
      </c>
      <c r="R841" s="78" t="str">
        <f>_xlfn.XLOOKUP(tblMovimientos[[#This Row],[Cuenta Bancaria]],Cuentas!$C:$C,Cuentas!$B:$B,"",0,-1)&amp;""</f>
        <v/>
      </c>
    </row>
    <row r="842" spans="1:18" x14ac:dyDescent="0.3">
      <c r="B842" s="39">
        <v>46261</v>
      </c>
      <c r="C842" s="4" t="str">
        <f>_xlfn.XLOOKUP(tblMovimientos[[#This Row],[Cuenta Bancaria]],Listas!$B:$B,Listas!$A:$A,"")</f>
        <v>A&amp;M Imports</v>
      </c>
      <c r="D842" s="41" t="s">
        <v>100</v>
      </c>
      <c r="E842" s="68" t="str">
        <f>_xlfn.XLOOKUP(tblMovimientos[[#This Row],[Cuenta Bancaria]],Listas!$B:$B,Listas!$C:$C,"")</f>
        <v>Bank of America</v>
      </c>
      <c r="F842" s="41" t="s">
        <v>9</v>
      </c>
      <c r="G842" s="41" t="s">
        <v>80</v>
      </c>
      <c r="H842" s="4" t="str">
        <f>IFERROR(_xlfn.XLOOKUP(G842,Listas!E:E,Listas!F:F,""),"")</f>
        <v>Operativo</v>
      </c>
      <c r="I842" s="46" t="str">
        <f>IFERROR(_xlfn.XLOOKUP(G842,Listas!E:E,Listas!G:G,""),"")</f>
        <v>Externo</v>
      </c>
      <c r="J842" s="43">
        <v>185000</v>
      </c>
      <c r="K842" s="5">
        <f t="shared" si="13"/>
        <v>185000</v>
      </c>
      <c r="L842" s="15" t="s">
        <v>132</v>
      </c>
      <c r="M842" s="44">
        <f>SUMIFS('Saldos Iniciales'!$D:$D,'Saldos Iniciales'!$A:$A,C842,'Saldos Iniciales'!$B:$B,D842)+SUMIFS($K$1:$K$1324,$C$1:$C$1324,C842,$D$1:$D$1324,D842,$B$1:$B$1324,"&lt;="&amp;B842)</f>
        <v>1394654.47</v>
      </c>
      <c r="N842" s="61">
        <f>IF(tblMovimientos[[#This Row],[Tipo de Movimiento]]="Ingreso",tblMovimientos[[#This Row],[Monto (S/)]],"0")</f>
        <v>185000</v>
      </c>
      <c r="O842" s="61" t="str">
        <f>IF(tblMovimientos[[#This Row],[Tipo de Movimiento]]="Egreso",tblMovimientos[[#This Row],[Monto (S/)]],"0")</f>
        <v>0</v>
      </c>
      <c r="P842" s="28">
        <f>IF(tblMovimientos[[#This Row],[Tipo de Movimiento]]="Ingreso",tblMovimientos[[#This Row],[Ingreso]],-tblMovimientos[[#This Row],[Egreso]])</f>
        <v>185000</v>
      </c>
      <c r="Q842" s="78" t="str">
        <f>_xlfn.XLOOKUP(tblMovimientos[[#This Row],[Cuenta Bancaria]],Cuentas!$C:$C,Cuentas!$A:$A,"")&amp;""</f>
        <v>SSP Group</v>
      </c>
      <c r="R842" s="78" t="str">
        <f>_xlfn.XLOOKUP(tblMovimientos[[#This Row],[Cuenta Bancaria]],Cuentas!$C:$C,Cuentas!$B:$B,"",0,-1)&amp;""</f>
        <v/>
      </c>
    </row>
    <row r="843" spans="1:18" x14ac:dyDescent="0.3">
      <c r="B843" s="39">
        <v>46261</v>
      </c>
      <c r="C843" s="4" t="str">
        <f>_xlfn.XLOOKUP(tblMovimientos[[#This Row],[Cuenta Bancaria]],Listas!$B:$B,Listas!$A:$A,"")</f>
        <v>A&amp;M Imports</v>
      </c>
      <c r="D843" s="41" t="s">
        <v>100</v>
      </c>
      <c r="E843" s="68" t="str">
        <f>_xlfn.XLOOKUP(tblMovimientos[[#This Row],[Cuenta Bancaria]],Listas!$B:$B,Listas!$C:$C,"")</f>
        <v>Bank of America</v>
      </c>
      <c r="F843" s="41" t="s">
        <v>10</v>
      </c>
      <c r="G843" s="41" t="s">
        <v>61</v>
      </c>
      <c r="H843" s="4" t="str">
        <f>IFERROR(_xlfn.XLOOKUP(G843,Listas!E:E,Listas!F:F,""),"")</f>
        <v>Operativo</v>
      </c>
      <c r="I843" s="46" t="str">
        <f>IFERROR(_xlfn.XLOOKUP(G843,Listas!E:E,Listas!G:G,""),"")</f>
        <v>Externo</v>
      </c>
      <c r="J843" s="43">
        <v>60000</v>
      </c>
      <c r="K843" s="5">
        <f t="shared" si="13"/>
        <v>-60000</v>
      </c>
      <c r="L843" s="15" t="s">
        <v>132</v>
      </c>
      <c r="M843" s="44">
        <f>SUMIFS('Saldos Iniciales'!$D:$D,'Saldos Iniciales'!$A:$A,C843,'Saldos Iniciales'!$B:$B,D843)+SUMIFS($K$1:$K$1324,$C$1:$C$1324,C843,$D$1:$D$1324,D843,$B$1:$B$1324,"&lt;="&amp;B843)</f>
        <v>1394654.47</v>
      </c>
      <c r="N843" s="61" t="str">
        <f>IF(tblMovimientos[[#This Row],[Tipo de Movimiento]]="Ingreso",tblMovimientos[[#This Row],[Monto (S/)]],"0")</f>
        <v>0</v>
      </c>
      <c r="O843" s="61">
        <f>IF(tblMovimientos[[#This Row],[Tipo de Movimiento]]="Egreso",tblMovimientos[[#This Row],[Monto (S/)]],"0")</f>
        <v>60000</v>
      </c>
      <c r="P843" s="28">
        <f>IF(tblMovimientos[[#This Row],[Tipo de Movimiento]]="Ingreso",tblMovimientos[[#This Row],[Ingreso]],-tblMovimientos[[#This Row],[Egreso]])</f>
        <v>-60000</v>
      </c>
      <c r="Q843" s="78" t="str">
        <f>_xlfn.XLOOKUP(tblMovimientos[[#This Row],[Cuenta Bancaria]],Cuentas!$C:$C,Cuentas!$A:$A,"")&amp;""</f>
        <v>SSP Group</v>
      </c>
      <c r="R843" s="78" t="str">
        <f>_xlfn.XLOOKUP(tblMovimientos[[#This Row],[Cuenta Bancaria]],Cuentas!$C:$C,Cuentas!$B:$B,"",0,-1)&amp;""</f>
        <v/>
      </c>
    </row>
    <row r="844" spans="1:18" x14ac:dyDescent="0.3">
      <c r="B844" s="39">
        <v>46261</v>
      </c>
      <c r="C844" s="4" t="str">
        <f>_xlfn.XLOOKUP(tblMovimientos[[#This Row],[Cuenta Bancaria]],Listas!$B:$B,Listas!$A:$A,"")</f>
        <v>CFT Group</v>
      </c>
      <c r="D844" s="41" t="s">
        <v>94</v>
      </c>
      <c r="E844" s="68" t="str">
        <f>_xlfn.XLOOKUP(tblMovimientos[[#This Row],[Cuenta Bancaria]],Listas!$B:$B,Listas!$C:$C,"")</f>
        <v>Bank of America</v>
      </c>
      <c r="F844" s="41" t="s">
        <v>9</v>
      </c>
      <c r="G844" s="41" t="s">
        <v>68</v>
      </c>
      <c r="H844" s="4" t="str">
        <f>IFERROR(_xlfn.XLOOKUP(G844,Listas!E:E,Listas!F:F,""),"")</f>
        <v>Operativo</v>
      </c>
      <c r="I844" s="46" t="str">
        <f>IFERROR(_xlfn.XLOOKUP(G844,Listas!E:E,Listas!G:G,""),"")</f>
        <v>Externo</v>
      </c>
      <c r="J844" s="43">
        <v>116197.06</v>
      </c>
      <c r="K844" s="5">
        <f t="shared" si="13"/>
        <v>116197.06</v>
      </c>
      <c r="L844" s="15" t="s">
        <v>132</v>
      </c>
      <c r="M844" s="44">
        <f>SUMIFS('Saldos Iniciales'!$D:$D,'Saldos Iniciales'!$A:$A,C844,'Saldos Iniciales'!$B:$B,D844)+SUMIFS($K$1:$K$1324,$C$1:$C$1324,C844,$D$1:$D$1324,D844,$B$1:$B$1324,"&lt;="&amp;B844)</f>
        <v>364496.27999999997</v>
      </c>
      <c r="N844" s="61">
        <f>IF(tblMovimientos[[#This Row],[Tipo de Movimiento]]="Ingreso",tblMovimientos[[#This Row],[Monto (S/)]],"0")</f>
        <v>116197.06</v>
      </c>
      <c r="O844" s="61" t="str">
        <f>IF(tblMovimientos[[#This Row],[Tipo de Movimiento]]="Egreso",tblMovimientos[[#This Row],[Monto (S/)]],"0")</f>
        <v>0</v>
      </c>
      <c r="P844" s="28">
        <f>IF(tblMovimientos[[#This Row],[Tipo de Movimiento]]="Ingreso",tblMovimientos[[#This Row],[Ingreso]],-tblMovimientos[[#This Row],[Egreso]])</f>
        <v>116197.06</v>
      </c>
      <c r="Q844" s="78" t="str">
        <f>_xlfn.XLOOKUP(tblMovimientos[[#This Row],[Cuenta Bancaria]],Cuentas!$C:$C,Cuentas!$A:$A,"")&amp;""</f>
        <v>SSP Group</v>
      </c>
      <c r="R844" s="78" t="str">
        <f>_xlfn.XLOOKUP(tblMovimientos[[#This Row],[Cuenta Bancaria]],Cuentas!$C:$C,Cuentas!$B:$B,"",0,-1)&amp;""</f>
        <v/>
      </c>
    </row>
    <row r="845" spans="1:18" x14ac:dyDescent="0.3">
      <c r="B845" s="39">
        <v>46261</v>
      </c>
      <c r="C845" s="4" t="str">
        <f>_xlfn.XLOOKUP(tblMovimientos[[#This Row],[Cuenta Bancaria]],Listas!$B:$B,Listas!$A:$A,"")</f>
        <v>CFT Group</v>
      </c>
      <c r="D845" s="41" t="s">
        <v>94</v>
      </c>
      <c r="E845" s="68" t="str">
        <f>_xlfn.XLOOKUP(tblMovimientos[[#This Row],[Cuenta Bancaria]],Listas!$B:$B,Listas!$C:$C,"")</f>
        <v>Bank of America</v>
      </c>
      <c r="F845" s="41" t="s">
        <v>10</v>
      </c>
      <c r="G845" s="41" t="s">
        <v>50</v>
      </c>
      <c r="H845" s="4" t="str">
        <f>IFERROR(_xlfn.XLOOKUP(G845,Listas!E:E,Listas!F:F,""),"")</f>
        <v>Financiamiento</v>
      </c>
      <c r="I845" s="46" t="str">
        <f>IFERROR(_xlfn.XLOOKUP(G845,Listas!E:E,Listas!G:G,""),"")</f>
        <v>Externo</v>
      </c>
      <c r="J845" s="43">
        <v>21000</v>
      </c>
      <c r="K845" s="5">
        <f t="shared" si="13"/>
        <v>-21000</v>
      </c>
      <c r="L845" s="15" t="s">
        <v>132</v>
      </c>
      <c r="M845" s="44">
        <f>SUMIFS('Saldos Iniciales'!$D:$D,'Saldos Iniciales'!$A:$A,C845,'Saldos Iniciales'!$B:$B,D845)+SUMIFS($K$1:$K$1324,$C$1:$C$1324,C845,$D$1:$D$1324,D845,$B$1:$B$1324,"&lt;="&amp;B845)</f>
        <v>364496.27999999997</v>
      </c>
      <c r="N845" s="61" t="str">
        <f>IF(tblMovimientos[[#This Row],[Tipo de Movimiento]]="Ingreso",tblMovimientos[[#This Row],[Monto (S/)]],"0")</f>
        <v>0</v>
      </c>
      <c r="O845" s="61">
        <f>IF(tblMovimientos[[#This Row],[Tipo de Movimiento]]="Egreso",tblMovimientos[[#This Row],[Monto (S/)]],"0")</f>
        <v>21000</v>
      </c>
      <c r="P845" s="28">
        <f>IF(tblMovimientos[[#This Row],[Tipo de Movimiento]]="Ingreso",tblMovimientos[[#This Row],[Ingreso]],-tblMovimientos[[#This Row],[Egreso]])</f>
        <v>-21000</v>
      </c>
      <c r="Q845" s="78" t="str">
        <f>_xlfn.XLOOKUP(tblMovimientos[[#This Row],[Cuenta Bancaria]],Cuentas!$C:$C,Cuentas!$A:$A,"")&amp;""</f>
        <v>SSP Group</v>
      </c>
      <c r="R845" s="78" t="str">
        <f>_xlfn.XLOOKUP(tblMovimientos[[#This Row],[Cuenta Bancaria]],Cuentas!$C:$C,Cuentas!$B:$B,"",0,-1)&amp;""</f>
        <v/>
      </c>
    </row>
    <row r="846" spans="1:18" x14ac:dyDescent="0.3">
      <c r="B846" s="39">
        <v>46261</v>
      </c>
      <c r="C846" s="4" t="str">
        <f>_xlfn.XLOOKUP(tblMovimientos[[#This Row],[Cuenta Bancaria]],Listas!$B:$B,Listas!$A:$A,"")</f>
        <v>CFT Group</v>
      </c>
      <c r="D846" s="41" t="s">
        <v>94</v>
      </c>
      <c r="E846" s="68" t="str">
        <f>_xlfn.XLOOKUP(tblMovimientos[[#This Row],[Cuenta Bancaria]],Listas!$B:$B,Listas!$C:$C,"")</f>
        <v>Bank of America</v>
      </c>
      <c r="F846" s="41" t="s">
        <v>10</v>
      </c>
      <c r="G846" s="41" t="s">
        <v>50</v>
      </c>
      <c r="H846" s="4" t="str">
        <f>IFERROR(_xlfn.XLOOKUP(G846,Listas!E:E,Listas!F:F,""),"")</f>
        <v>Financiamiento</v>
      </c>
      <c r="I846" s="46" t="str">
        <f>IFERROR(_xlfn.XLOOKUP(G846,Listas!E:E,Listas!G:G,""),"")</f>
        <v>Externo</v>
      </c>
      <c r="J846" s="43">
        <v>20000</v>
      </c>
      <c r="K846" s="5">
        <f t="shared" si="13"/>
        <v>-20000</v>
      </c>
      <c r="L846" s="15" t="s">
        <v>132</v>
      </c>
      <c r="M846" s="44">
        <f>SUMIFS('Saldos Iniciales'!$D:$D,'Saldos Iniciales'!$A:$A,C846,'Saldos Iniciales'!$B:$B,D846)+SUMIFS($K$1:$K$1324,$C$1:$C$1324,C846,$D$1:$D$1324,D846,$B$1:$B$1324,"&lt;="&amp;B846)</f>
        <v>364496.27999999997</v>
      </c>
      <c r="N846" s="61" t="str">
        <f>IF(tblMovimientos[[#This Row],[Tipo de Movimiento]]="Ingreso",tblMovimientos[[#This Row],[Monto (S/)]],"0")</f>
        <v>0</v>
      </c>
      <c r="O846" s="61">
        <f>IF(tblMovimientos[[#This Row],[Tipo de Movimiento]]="Egreso",tblMovimientos[[#This Row],[Monto (S/)]],"0")</f>
        <v>20000</v>
      </c>
      <c r="P846" s="28">
        <f>IF(tblMovimientos[[#This Row],[Tipo de Movimiento]]="Ingreso",tblMovimientos[[#This Row],[Ingreso]],-tblMovimientos[[#This Row],[Egreso]])</f>
        <v>-20000</v>
      </c>
      <c r="Q846" s="78" t="str">
        <f>_xlfn.XLOOKUP(tblMovimientos[[#This Row],[Cuenta Bancaria]],Cuentas!$C:$C,Cuentas!$A:$A,"")&amp;""</f>
        <v>SSP Group</v>
      </c>
      <c r="R846" s="78" t="str">
        <f>_xlfn.XLOOKUP(tblMovimientos[[#This Row],[Cuenta Bancaria]],Cuentas!$C:$C,Cuentas!$B:$B,"",0,-1)&amp;""</f>
        <v/>
      </c>
    </row>
    <row r="847" spans="1:18" x14ac:dyDescent="0.3">
      <c r="B847" s="39">
        <v>46261</v>
      </c>
      <c r="C847" s="4" t="str">
        <f>_xlfn.XLOOKUP(tblMovimientos[[#This Row],[Cuenta Bancaria]],Listas!$B:$B,Listas!$A:$A,"")</f>
        <v>Sacred Valley Capital</v>
      </c>
      <c r="D847" s="41" t="s">
        <v>114</v>
      </c>
      <c r="E847" s="68" t="str">
        <f>_xlfn.XLOOKUP(tblMovimientos[[#This Row],[Cuenta Bancaria]],Listas!$B:$B,Listas!$C:$C,"")</f>
        <v>Bank of America</v>
      </c>
      <c r="F847" s="41" t="s">
        <v>9</v>
      </c>
      <c r="G847" s="41" t="s">
        <v>85</v>
      </c>
      <c r="H847" s="4" t="str">
        <f>IFERROR(_xlfn.XLOOKUP(G847,Listas!E:E,Listas!F:F,""),"")</f>
        <v>Operativo</v>
      </c>
      <c r="I847" s="46" t="str">
        <f>IFERROR(_xlfn.XLOOKUP(G847,Listas!E:E,Listas!G:G,""),"")</f>
        <v>Interno</v>
      </c>
      <c r="J847" s="43">
        <v>100</v>
      </c>
      <c r="K847" s="5">
        <f t="shared" si="13"/>
        <v>100</v>
      </c>
      <c r="L847" s="15" t="s">
        <v>132</v>
      </c>
      <c r="M847" s="44">
        <f>SUMIFS('Saldos Iniciales'!$D:$D,'Saldos Iniciales'!$A:$A,C847,'Saldos Iniciales'!$B:$B,D847)+SUMIFS($K$1:$K$1324,$C$1:$C$1324,C847,$D$1:$D$1324,D847,$B$1:$B$1324,"&lt;="&amp;B847)</f>
        <v>124.45</v>
      </c>
      <c r="N847" s="61">
        <f>IF(tblMovimientos[[#This Row],[Tipo de Movimiento]]="Ingreso",tblMovimientos[[#This Row],[Monto (S/)]],"0")</f>
        <v>100</v>
      </c>
      <c r="O847" s="61" t="str">
        <f>IF(tblMovimientos[[#This Row],[Tipo de Movimiento]]="Egreso",tblMovimientos[[#This Row],[Monto (S/)]],"0")</f>
        <v>0</v>
      </c>
      <c r="P847" s="28">
        <f>IF(tblMovimientos[[#This Row],[Tipo de Movimiento]]="Ingreso",tblMovimientos[[#This Row],[Ingreso]],-tblMovimientos[[#This Row],[Egreso]])</f>
        <v>100</v>
      </c>
      <c r="Q847" s="78" t="str">
        <f>_xlfn.XLOOKUP(tblMovimientos[[#This Row],[Cuenta Bancaria]],Cuentas!$C:$C,Cuentas!$A:$A,"")&amp;""</f>
        <v>SSP Group</v>
      </c>
      <c r="R847" s="78" t="str">
        <f>_xlfn.XLOOKUP(tblMovimientos[[#This Row],[Cuenta Bancaria]],Cuentas!$C:$C,Cuentas!$B:$B,"",0,-1)&amp;""</f>
        <v/>
      </c>
    </row>
    <row r="848" spans="1:18" x14ac:dyDescent="0.3">
      <c r="B848" s="39">
        <v>46261</v>
      </c>
      <c r="C848" s="4" t="str">
        <f>_xlfn.XLOOKUP(tblMovimientos[[#This Row],[Cuenta Bancaria]],Listas!$B:$B,Listas!$A:$A,"")</f>
        <v>2515 Overbrook</v>
      </c>
      <c r="D848" s="41" t="s">
        <v>121</v>
      </c>
      <c r="E848" s="68" t="str">
        <f>_xlfn.XLOOKUP(tblMovimientos[[#This Row],[Cuenta Bancaria]],Listas!$B:$B,Listas!$C:$C,"")</f>
        <v>Bank of America</v>
      </c>
      <c r="F848" s="41" t="s">
        <v>9</v>
      </c>
      <c r="G848" s="41" t="s">
        <v>71</v>
      </c>
      <c r="H848" s="4" t="str">
        <f>IFERROR(_xlfn.XLOOKUP(G848,Listas!E:E,Listas!F:F,""),"")</f>
        <v>Operativo</v>
      </c>
      <c r="I848" s="46" t="str">
        <f>IFERROR(_xlfn.XLOOKUP(G848,Listas!E:E,Listas!G:G,""),"")</f>
        <v>Interno</v>
      </c>
      <c r="J848" s="43">
        <v>20000</v>
      </c>
      <c r="K848" s="5">
        <f t="shared" si="13"/>
        <v>20000</v>
      </c>
      <c r="L848" s="15" t="s">
        <v>132</v>
      </c>
      <c r="M848" s="44">
        <f>SUMIFS('Saldos Iniciales'!$D:$D,'Saldos Iniciales'!$A:$A,C848,'Saldos Iniciales'!$B:$B,D848)+SUMIFS($K$1:$K$1324,$C$1:$C$1324,C848,$D$1:$D$1324,D848,$B$1:$B$1324,"&lt;="&amp;B848)</f>
        <v>33375.289999999964</v>
      </c>
      <c r="N848" s="61">
        <f>IF(tblMovimientos[[#This Row],[Tipo de Movimiento]]="Ingreso",tblMovimientos[[#This Row],[Monto (S/)]],"0")</f>
        <v>20000</v>
      </c>
      <c r="O848" s="61" t="str">
        <f>IF(tblMovimientos[[#This Row],[Tipo de Movimiento]]="Egreso",tblMovimientos[[#This Row],[Monto (S/)]],"0")</f>
        <v>0</v>
      </c>
      <c r="P848" s="28">
        <f>IF(tblMovimientos[[#This Row],[Tipo de Movimiento]]="Ingreso",tblMovimientos[[#This Row],[Ingreso]],-tblMovimientos[[#This Row],[Egreso]])</f>
        <v>20000</v>
      </c>
      <c r="Q848" s="78" t="str">
        <f>_xlfn.XLOOKUP(tblMovimientos[[#This Row],[Cuenta Bancaria]],Cuentas!$C:$C,Cuentas!$A:$A,"")&amp;""</f>
        <v>SSP Group</v>
      </c>
      <c r="R848" s="78" t="str">
        <f>_xlfn.XLOOKUP(tblMovimientos[[#This Row],[Cuenta Bancaria]],Cuentas!$C:$C,Cuentas!$B:$B,"",0,-1)&amp;""</f>
        <v/>
      </c>
    </row>
    <row r="849" spans="1:18" x14ac:dyDescent="0.3">
      <c r="B849" s="39">
        <v>46261</v>
      </c>
      <c r="C849" s="4" t="str">
        <f>_xlfn.XLOOKUP(tblMovimientos[[#This Row],[Cuenta Bancaria]],Listas!$B:$B,Listas!$A:$A,"")</f>
        <v>112 Florida Ave</v>
      </c>
      <c r="D849" s="41" t="s">
        <v>123</v>
      </c>
      <c r="E849" s="68" t="str">
        <f>_xlfn.XLOOKUP(tblMovimientos[[#This Row],[Cuenta Bancaria]],Listas!$B:$B,Listas!$C:$C,"")</f>
        <v>Bank of America</v>
      </c>
      <c r="F849" s="41" t="s">
        <v>9</v>
      </c>
      <c r="G849" s="41" t="s">
        <v>71</v>
      </c>
      <c r="H849" s="4" t="str">
        <f>IFERROR(_xlfn.XLOOKUP(G849,Listas!E:E,Listas!F:F,""),"")</f>
        <v>Operativo</v>
      </c>
      <c r="I849" s="46" t="str">
        <f>IFERROR(_xlfn.XLOOKUP(G849,Listas!E:E,Listas!G:G,""),"")</f>
        <v>Interno</v>
      </c>
      <c r="J849" s="43">
        <v>21000</v>
      </c>
      <c r="K849" s="5">
        <f t="shared" si="13"/>
        <v>21000</v>
      </c>
      <c r="L849" s="15" t="s">
        <v>132</v>
      </c>
      <c r="M849" s="44">
        <f>SUMIFS('Saldos Iniciales'!$D:$D,'Saldos Iniciales'!$A:$A,C849,'Saldos Iniciales'!$B:$B,D849)+SUMIFS($K$1:$K$1324,$C$1:$C$1324,C849,$D$1:$D$1324,D849,$B$1:$B$1324,"&lt;="&amp;B849)</f>
        <v>29724.170000000006</v>
      </c>
      <c r="N849" s="61">
        <f>IF(tblMovimientos[[#This Row],[Tipo de Movimiento]]="Ingreso",tblMovimientos[[#This Row],[Monto (S/)]],"0")</f>
        <v>21000</v>
      </c>
      <c r="O849" s="61" t="str">
        <f>IF(tblMovimientos[[#This Row],[Tipo de Movimiento]]="Egreso",tblMovimientos[[#This Row],[Monto (S/)]],"0")</f>
        <v>0</v>
      </c>
      <c r="P849" s="28">
        <f>IF(tblMovimientos[[#This Row],[Tipo de Movimiento]]="Ingreso",tblMovimientos[[#This Row],[Ingreso]],-tblMovimientos[[#This Row],[Egreso]])</f>
        <v>21000</v>
      </c>
      <c r="Q849" s="78" t="str">
        <f>_xlfn.XLOOKUP(tblMovimientos[[#This Row],[Cuenta Bancaria]],Cuentas!$C:$C,Cuentas!$A:$A,"")&amp;""</f>
        <v>SSP Group</v>
      </c>
      <c r="R849" s="78" t="str">
        <f>_xlfn.XLOOKUP(tblMovimientos[[#This Row],[Cuenta Bancaria]],Cuentas!$C:$C,Cuentas!$B:$B,"",0,-1)&amp;""</f>
        <v/>
      </c>
    </row>
    <row r="850" spans="1:18" x14ac:dyDescent="0.3">
      <c r="A850" s="45"/>
      <c r="B850" s="39">
        <v>46261</v>
      </c>
      <c r="C850" s="4" t="str">
        <f>_xlfn.XLOOKUP(tblMovimientos[[#This Row],[Cuenta Bancaria]],Listas!$B:$B,Listas!$A:$A,"")</f>
        <v>CFT Group</v>
      </c>
      <c r="D850" s="41" t="s">
        <v>95</v>
      </c>
      <c r="E850" s="68" t="str">
        <f>_xlfn.XLOOKUP(tblMovimientos[[#This Row],[Cuenta Bancaria]],Listas!$B:$B,Listas!$C:$C,"")</f>
        <v xml:space="preserve">Amerant Bank </v>
      </c>
      <c r="F850" s="41" t="s">
        <v>10</v>
      </c>
      <c r="G850" s="41" t="s">
        <v>46</v>
      </c>
      <c r="H850" s="46" t="str">
        <f>IFERROR(_xlfn.XLOOKUP(G850,Listas!E:E,Listas!F:F,""),"")</f>
        <v>Financiamiento</v>
      </c>
      <c r="I850" s="46" t="str">
        <f>IFERROR(_xlfn.XLOOKUP(G850,Listas!E:E,Listas!G:G,""),"")</f>
        <v>Externo</v>
      </c>
      <c r="J850" s="43">
        <v>2366.67</v>
      </c>
      <c r="K850" s="5">
        <f t="shared" si="13"/>
        <v>-2366.67</v>
      </c>
      <c r="L850" s="15" t="s">
        <v>132</v>
      </c>
      <c r="M850" s="44">
        <f>SUMIFS('Saldos Iniciales'!$D:$D,'Saldos Iniciales'!$A:$A,C850,'Saldos Iniciales'!$B:$B,D850)+SUMIFS($K$1:$K$1324,$C$1:$C$1324,C850,$D$1:$D$1324,D850,$B$1:$B$1324,"&lt;="&amp;B850)</f>
        <v>208360.08000000077</v>
      </c>
      <c r="N850" s="61" t="str">
        <f>IF(tblMovimientos[[#This Row],[Tipo de Movimiento]]="Ingreso",tblMovimientos[[#This Row],[Monto (S/)]],"0")</f>
        <v>0</v>
      </c>
      <c r="O850" s="61">
        <f>IF(tblMovimientos[[#This Row],[Tipo de Movimiento]]="Egreso",tblMovimientos[[#This Row],[Monto (S/)]],"0")</f>
        <v>2366.67</v>
      </c>
      <c r="P850" s="28">
        <f>IF(tblMovimientos[[#This Row],[Tipo de Movimiento]]="Ingreso",tblMovimientos[[#This Row],[Ingreso]],-tblMovimientos[[#This Row],[Egreso]])</f>
        <v>-2366.67</v>
      </c>
      <c r="Q850" s="78" t="str">
        <f>_xlfn.XLOOKUP(tblMovimientos[[#This Row],[Cuenta Bancaria]],Cuentas!$C:$C,Cuentas!$A:$A,"")&amp;""</f>
        <v>SSP Group</v>
      </c>
      <c r="R850" s="78" t="str">
        <f>_xlfn.XLOOKUP(tblMovimientos[[#This Row],[Cuenta Bancaria]],Cuentas!$C:$C,Cuentas!$B:$B,"",0,-1)&amp;""</f>
        <v/>
      </c>
    </row>
    <row r="851" spans="1:18" x14ac:dyDescent="0.3">
      <c r="B851" s="39">
        <v>46261</v>
      </c>
      <c r="C851" s="4" t="str">
        <f>_xlfn.XLOOKUP(tblMovimientos[[#This Row],[Cuenta Bancaria]],Listas!$B:$B,Listas!$A:$A,"")</f>
        <v>CFT Group</v>
      </c>
      <c r="D851" s="41" t="s">
        <v>95</v>
      </c>
      <c r="E851" s="68" t="str">
        <f>_xlfn.XLOOKUP(tblMovimientos[[#This Row],[Cuenta Bancaria]],Listas!$B:$B,Listas!$C:$C,"")</f>
        <v xml:space="preserve">Amerant Bank </v>
      </c>
      <c r="F851" s="41" t="s">
        <v>10</v>
      </c>
      <c r="G851" s="41" t="s">
        <v>46</v>
      </c>
      <c r="H851" s="4" t="str">
        <f>IFERROR(_xlfn.XLOOKUP(G851,Listas!E:E,Listas!F:F,""),"")</f>
        <v>Financiamiento</v>
      </c>
      <c r="I851" s="46" t="str">
        <f>IFERROR(_xlfn.XLOOKUP(G851,Listas!E:E,Listas!G:G,""),"")</f>
        <v>Externo</v>
      </c>
      <c r="J851" s="43">
        <v>10000</v>
      </c>
      <c r="K851" s="5">
        <f t="shared" si="13"/>
        <v>-10000</v>
      </c>
      <c r="L851" s="15" t="s">
        <v>132</v>
      </c>
      <c r="M851" s="44">
        <f>SUMIFS('Saldos Iniciales'!$D:$D,'Saldos Iniciales'!$A:$A,C851,'Saldos Iniciales'!$B:$B,D851)+SUMIFS($K$1:$K$1324,$C$1:$C$1324,C851,$D$1:$D$1324,D851,$B$1:$B$1324,"&lt;="&amp;B851)</f>
        <v>208360.08000000077</v>
      </c>
      <c r="N851" s="61" t="str">
        <f>IF(tblMovimientos[[#This Row],[Tipo de Movimiento]]="Ingreso",tblMovimientos[[#This Row],[Monto (S/)]],"0")</f>
        <v>0</v>
      </c>
      <c r="O851" s="61">
        <f>IF(tblMovimientos[[#This Row],[Tipo de Movimiento]]="Egreso",tblMovimientos[[#This Row],[Monto (S/)]],"0")</f>
        <v>10000</v>
      </c>
      <c r="P851" s="28">
        <f>IF(tblMovimientos[[#This Row],[Tipo de Movimiento]]="Ingreso",tblMovimientos[[#This Row],[Ingreso]],-tblMovimientos[[#This Row],[Egreso]])</f>
        <v>-10000</v>
      </c>
      <c r="Q851" s="78" t="str">
        <f>_xlfn.XLOOKUP(tblMovimientos[[#This Row],[Cuenta Bancaria]],Cuentas!$C:$C,Cuentas!$A:$A,"")&amp;""</f>
        <v>SSP Group</v>
      </c>
      <c r="R851" s="78" t="str">
        <f>_xlfn.XLOOKUP(tblMovimientos[[#This Row],[Cuenta Bancaria]],Cuentas!$C:$C,Cuentas!$B:$B,"",0,-1)&amp;""</f>
        <v/>
      </c>
    </row>
    <row r="852" spans="1:18" x14ac:dyDescent="0.3">
      <c r="B852" s="39">
        <v>46261</v>
      </c>
      <c r="C852" s="4" t="str">
        <f>_xlfn.XLOOKUP(tblMovimientos[[#This Row],[Cuenta Bancaria]],Listas!$B:$B,Listas!$A:$A,"")</f>
        <v>CFT Group</v>
      </c>
      <c r="D852" s="41" t="s">
        <v>95</v>
      </c>
      <c r="E852" s="68" t="str">
        <f>_xlfn.XLOOKUP(tblMovimientos[[#This Row],[Cuenta Bancaria]],Listas!$B:$B,Listas!$C:$C,"")</f>
        <v xml:space="preserve">Amerant Bank </v>
      </c>
      <c r="F852" s="41" t="s">
        <v>10</v>
      </c>
      <c r="G852" s="41" t="s">
        <v>46</v>
      </c>
      <c r="H852" s="4" t="str">
        <f>IFERROR(_xlfn.XLOOKUP(G852,Listas!E:E,Listas!F:F,""),"")</f>
        <v>Financiamiento</v>
      </c>
      <c r="I852" s="46" t="str">
        <f>IFERROR(_xlfn.XLOOKUP(G852,Listas!E:E,Listas!G:G,""),"")</f>
        <v>Externo</v>
      </c>
      <c r="J852" s="43">
        <v>10833.33</v>
      </c>
      <c r="K852" s="5">
        <f t="shared" si="13"/>
        <v>-10833.33</v>
      </c>
      <c r="L852" s="15" t="s">
        <v>132</v>
      </c>
      <c r="M852" s="44">
        <f>SUMIFS('Saldos Iniciales'!$D:$D,'Saldos Iniciales'!$A:$A,C852,'Saldos Iniciales'!$B:$B,D852)+SUMIFS($K$1:$K$1324,$C$1:$C$1324,C852,$D$1:$D$1324,D852,$B$1:$B$1324,"&lt;="&amp;B852)</f>
        <v>208360.08000000077</v>
      </c>
      <c r="N852" s="61" t="str">
        <f>IF(tblMovimientos[[#This Row],[Tipo de Movimiento]]="Ingreso",tblMovimientos[[#This Row],[Monto (S/)]],"0")</f>
        <v>0</v>
      </c>
      <c r="O852" s="61">
        <f>IF(tblMovimientos[[#This Row],[Tipo de Movimiento]]="Egreso",tblMovimientos[[#This Row],[Monto (S/)]],"0")</f>
        <v>10833.33</v>
      </c>
      <c r="P852" s="28">
        <f>IF(tblMovimientos[[#This Row],[Tipo de Movimiento]]="Ingreso",tblMovimientos[[#This Row],[Ingreso]],-tblMovimientos[[#This Row],[Egreso]])</f>
        <v>-10833.33</v>
      </c>
      <c r="Q852" s="78" t="str">
        <f>_xlfn.XLOOKUP(tblMovimientos[[#This Row],[Cuenta Bancaria]],Cuentas!$C:$C,Cuentas!$A:$A,"")&amp;""</f>
        <v>SSP Group</v>
      </c>
      <c r="R852" s="78" t="str">
        <f>_xlfn.XLOOKUP(tblMovimientos[[#This Row],[Cuenta Bancaria]],Cuentas!$C:$C,Cuentas!$B:$B,"",0,-1)&amp;""</f>
        <v/>
      </c>
    </row>
    <row r="853" spans="1:18" x14ac:dyDescent="0.3">
      <c r="B853" s="39">
        <v>46261</v>
      </c>
      <c r="C853" s="4" t="str">
        <f>_xlfn.XLOOKUP(tblMovimientos[[#This Row],[Cuenta Bancaria]],Listas!$B:$B,Listas!$A:$A,"")</f>
        <v>SSP Capital</v>
      </c>
      <c r="D853" s="41" t="s">
        <v>104</v>
      </c>
      <c r="E853" s="68" t="str">
        <f>_xlfn.XLOOKUP(tblMovimientos[[#This Row],[Cuenta Bancaria]],Listas!$B:$B,Listas!$C:$C,"")</f>
        <v xml:space="preserve">Amerant Bank </v>
      </c>
      <c r="F853" s="41" t="s">
        <v>10</v>
      </c>
      <c r="G853" s="41" t="s">
        <v>56</v>
      </c>
      <c r="H853" s="4" t="str">
        <f>IFERROR(_xlfn.XLOOKUP(G853,Listas!E:E,Listas!F:F,""),"")</f>
        <v>Inversion</v>
      </c>
      <c r="I853" s="46" t="str">
        <f>IFERROR(_xlfn.XLOOKUP(G853,Listas!E:E,Listas!G:G,""),"")</f>
        <v>Externo</v>
      </c>
      <c r="J853" s="43">
        <v>4375</v>
      </c>
      <c r="K853" s="5">
        <f t="shared" si="13"/>
        <v>-4375</v>
      </c>
      <c r="L853" s="15" t="s">
        <v>132</v>
      </c>
      <c r="M853" s="44">
        <f>SUMIFS('Saldos Iniciales'!$D:$D,'Saldos Iniciales'!$A:$A,C853,'Saldos Iniciales'!$B:$B,D853)+SUMIFS($K$1:$K$1324,$C$1:$C$1324,C853,$D$1:$D$1324,D853,$B$1:$B$1324,"&lt;="&amp;B853)</f>
        <v>873694.23999999929</v>
      </c>
      <c r="N853" s="61" t="str">
        <f>IF(tblMovimientos[[#This Row],[Tipo de Movimiento]]="Ingreso",tblMovimientos[[#This Row],[Monto (S/)]],"0")</f>
        <v>0</v>
      </c>
      <c r="O853" s="61">
        <f>IF(tblMovimientos[[#This Row],[Tipo de Movimiento]]="Egreso",tblMovimientos[[#This Row],[Monto (S/)]],"0")</f>
        <v>4375</v>
      </c>
      <c r="P853" s="28">
        <f>IF(tblMovimientos[[#This Row],[Tipo de Movimiento]]="Ingreso",tblMovimientos[[#This Row],[Ingreso]],-tblMovimientos[[#This Row],[Egreso]])</f>
        <v>-4375</v>
      </c>
      <c r="Q853" s="78" t="str">
        <f>_xlfn.XLOOKUP(tblMovimientos[[#This Row],[Cuenta Bancaria]],Cuentas!$C:$C,Cuentas!$A:$A,"")&amp;""</f>
        <v>SSP Group</v>
      </c>
      <c r="R853" s="78" t="str">
        <f>_xlfn.XLOOKUP(tblMovimientos[[#This Row],[Cuenta Bancaria]],Cuentas!$C:$C,Cuentas!$B:$B,"",0,-1)&amp;""</f>
        <v/>
      </c>
    </row>
    <row r="854" spans="1:18" x14ac:dyDescent="0.3">
      <c r="B854" s="39">
        <v>46261</v>
      </c>
      <c r="C854" s="4" t="str">
        <f>_xlfn.XLOOKUP(tblMovimientos[[#This Row],[Cuenta Bancaria]],Listas!$B:$B,Listas!$A:$A,"")</f>
        <v>SSP Capital</v>
      </c>
      <c r="D854" s="41" t="s">
        <v>104</v>
      </c>
      <c r="E854" s="68" t="str">
        <f>_xlfn.XLOOKUP(tblMovimientos[[#This Row],[Cuenta Bancaria]],Listas!$B:$B,Listas!$C:$C,"")</f>
        <v xml:space="preserve">Amerant Bank </v>
      </c>
      <c r="F854" s="41" t="s">
        <v>10</v>
      </c>
      <c r="G854" s="41" t="s">
        <v>46</v>
      </c>
      <c r="H854" s="4" t="str">
        <f>IFERROR(_xlfn.XLOOKUP(G854,Listas!E:E,Listas!F:F,""),"")</f>
        <v>Financiamiento</v>
      </c>
      <c r="I854" s="46" t="str">
        <f>IFERROR(_xlfn.XLOOKUP(G854,Listas!E:E,Listas!G:G,""),"")</f>
        <v>Externo</v>
      </c>
      <c r="J854" s="43">
        <v>8666.67</v>
      </c>
      <c r="K854" s="5">
        <f t="shared" si="13"/>
        <v>-8666.67</v>
      </c>
      <c r="L854" s="15" t="s">
        <v>132</v>
      </c>
      <c r="M854" s="44">
        <f>SUMIFS('Saldos Iniciales'!$D:$D,'Saldos Iniciales'!$A:$A,C854,'Saldos Iniciales'!$B:$B,D854)+SUMIFS($K$1:$K$1324,$C$1:$C$1324,C854,$D$1:$D$1324,D854,$B$1:$B$1324,"&lt;="&amp;B854)</f>
        <v>873694.23999999929</v>
      </c>
      <c r="N854" s="61" t="str">
        <f>IF(tblMovimientos[[#This Row],[Tipo de Movimiento]]="Ingreso",tblMovimientos[[#This Row],[Monto (S/)]],"0")</f>
        <v>0</v>
      </c>
      <c r="O854" s="61">
        <f>IF(tblMovimientos[[#This Row],[Tipo de Movimiento]]="Egreso",tblMovimientos[[#This Row],[Monto (S/)]],"0")</f>
        <v>8666.67</v>
      </c>
      <c r="P854" s="28">
        <f>IF(tblMovimientos[[#This Row],[Tipo de Movimiento]]="Ingreso",tblMovimientos[[#This Row],[Ingreso]],-tblMovimientos[[#This Row],[Egreso]])</f>
        <v>-8666.67</v>
      </c>
      <c r="Q854" s="78" t="str">
        <f>_xlfn.XLOOKUP(tblMovimientos[[#This Row],[Cuenta Bancaria]],Cuentas!$C:$C,Cuentas!$A:$A,"")&amp;""</f>
        <v>SSP Group</v>
      </c>
      <c r="R854" s="78" t="str">
        <f>_xlfn.XLOOKUP(tblMovimientos[[#This Row],[Cuenta Bancaria]],Cuentas!$C:$C,Cuentas!$B:$B,"",0,-1)&amp;""</f>
        <v/>
      </c>
    </row>
    <row r="855" spans="1:18" x14ac:dyDescent="0.3">
      <c r="B855" s="39">
        <v>46261</v>
      </c>
      <c r="C855" s="4" t="str">
        <f>_xlfn.XLOOKUP(tblMovimientos[[#This Row],[Cuenta Bancaria]],Listas!$B:$B,Listas!$A:$A,"")</f>
        <v>SSP Capital</v>
      </c>
      <c r="D855" s="41" t="s">
        <v>104</v>
      </c>
      <c r="E855" s="68" t="str">
        <f>_xlfn.XLOOKUP(tblMovimientos[[#This Row],[Cuenta Bancaria]],Listas!$B:$B,Listas!$C:$C,"")</f>
        <v xml:space="preserve">Amerant Bank </v>
      </c>
      <c r="F855" s="41" t="s">
        <v>10</v>
      </c>
      <c r="G855" s="41" t="s">
        <v>38</v>
      </c>
      <c r="H855" s="4" t="str">
        <f>IFERROR(_xlfn.XLOOKUP(G855,Listas!E:E,Listas!F:F,""),"")</f>
        <v>Operativo</v>
      </c>
      <c r="I855" s="46" t="str">
        <f>IFERROR(_xlfn.XLOOKUP(G855,Listas!E:E,Listas!G:G,""),"")</f>
        <v>Externo</v>
      </c>
      <c r="J855" s="43">
        <v>10753.2</v>
      </c>
      <c r="K855" s="5">
        <f t="shared" si="13"/>
        <v>-10753.2</v>
      </c>
      <c r="L855" s="15" t="s">
        <v>132</v>
      </c>
      <c r="M855" s="44">
        <f>SUMIFS('Saldos Iniciales'!$D:$D,'Saldos Iniciales'!$A:$A,C855,'Saldos Iniciales'!$B:$B,D855)+SUMIFS($K$1:$K$1324,$C$1:$C$1324,C855,$D$1:$D$1324,D855,$B$1:$B$1324,"&lt;="&amp;B855)</f>
        <v>873694.23999999929</v>
      </c>
      <c r="N855" s="61" t="str">
        <f>IF(tblMovimientos[[#This Row],[Tipo de Movimiento]]="Ingreso",tblMovimientos[[#This Row],[Monto (S/)]],"0")</f>
        <v>0</v>
      </c>
      <c r="O855" s="61">
        <f>IF(tblMovimientos[[#This Row],[Tipo de Movimiento]]="Egreso",tblMovimientos[[#This Row],[Monto (S/)]],"0")</f>
        <v>10753.2</v>
      </c>
      <c r="P855" s="28">
        <f>IF(tblMovimientos[[#This Row],[Tipo de Movimiento]]="Ingreso",tblMovimientos[[#This Row],[Ingreso]],-tblMovimientos[[#This Row],[Egreso]])</f>
        <v>-10753.2</v>
      </c>
      <c r="Q855" s="78" t="str">
        <f>_xlfn.XLOOKUP(tblMovimientos[[#This Row],[Cuenta Bancaria]],Cuentas!$C:$C,Cuentas!$A:$A,"")&amp;""</f>
        <v>SSP Group</v>
      </c>
      <c r="R855" s="78" t="str">
        <f>_xlfn.XLOOKUP(tblMovimientos[[#This Row],[Cuenta Bancaria]],Cuentas!$C:$C,Cuentas!$B:$B,"",0,-1)&amp;""</f>
        <v/>
      </c>
    </row>
    <row r="856" spans="1:18" x14ac:dyDescent="0.3">
      <c r="B856" s="39">
        <v>46261</v>
      </c>
      <c r="C856" s="4" t="str">
        <f>_xlfn.XLOOKUP(tblMovimientos[[#This Row],[Cuenta Bancaria]],Listas!$B:$B,Listas!$A:$A,"")</f>
        <v>Go Blue</v>
      </c>
      <c r="D856" s="41" t="s">
        <v>126</v>
      </c>
      <c r="E856" s="68" t="str">
        <f>_xlfn.XLOOKUP(tblMovimientos[[#This Row],[Cuenta Bancaria]],Listas!$B:$B,Listas!$C:$C,"")</f>
        <v xml:space="preserve">Amerant Bank </v>
      </c>
      <c r="F856" s="41" t="s">
        <v>10</v>
      </c>
      <c r="G856" s="41" t="s">
        <v>38</v>
      </c>
      <c r="H856" s="4" t="str">
        <f>IFERROR(_xlfn.XLOOKUP(G856,Listas!E:E,Listas!F:F,""),"")</f>
        <v>Operativo</v>
      </c>
      <c r="I856" s="46" t="str">
        <f>IFERROR(_xlfn.XLOOKUP(G856,Listas!E:E,Listas!G:G,""),"")</f>
        <v>Externo</v>
      </c>
      <c r="J856" s="43">
        <v>381.14</v>
      </c>
      <c r="K856" s="5">
        <f t="shared" si="13"/>
        <v>-381.14</v>
      </c>
      <c r="L856" s="15" t="s">
        <v>132</v>
      </c>
      <c r="M856" s="44">
        <f>SUMIFS('Saldos Iniciales'!$D:$D,'Saldos Iniciales'!$A:$A,C856,'Saldos Iniciales'!$B:$B,D856)+SUMIFS($K$1:$K$1324,$C$1:$C$1324,C856,$D$1:$D$1324,D856,$B$1:$B$1324,"&lt;="&amp;B856)</f>
        <v>7545.3499999999985</v>
      </c>
      <c r="N856" s="61" t="str">
        <f>IF(tblMovimientos[[#This Row],[Tipo de Movimiento]]="Ingreso",tblMovimientos[[#This Row],[Monto (S/)]],"0")</f>
        <v>0</v>
      </c>
      <c r="O856" s="61">
        <f>IF(tblMovimientos[[#This Row],[Tipo de Movimiento]]="Egreso",tblMovimientos[[#This Row],[Monto (S/)]],"0")</f>
        <v>381.14</v>
      </c>
      <c r="P856" s="28">
        <f>IF(tblMovimientos[[#This Row],[Tipo de Movimiento]]="Ingreso",tblMovimientos[[#This Row],[Ingreso]],-tblMovimientos[[#This Row],[Egreso]])</f>
        <v>-381.14</v>
      </c>
      <c r="Q856" s="78" t="str">
        <f>_xlfn.XLOOKUP(tblMovimientos[[#This Row],[Cuenta Bancaria]],Cuentas!$C:$C,Cuentas!$A:$A,"")&amp;""</f>
        <v>SSP Group</v>
      </c>
      <c r="R856" s="78" t="str">
        <f>_xlfn.XLOOKUP(tblMovimientos[[#This Row],[Cuenta Bancaria]],Cuentas!$C:$C,Cuentas!$B:$B,"",0,-1)&amp;""</f>
        <v/>
      </c>
    </row>
    <row r="857" spans="1:18" x14ac:dyDescent="0.3">
      <c r="B857" s="39">
        <v>46261</v>
      </c>
      <c r="C857" s="4" t="str">
        <f>_xlfn.XLOOKUP(tblMovimientos[[#This Row],[Cuenta Bancaria]],Listas!$B:$B,Listas!$A:$A,"")</f>
        <v>Go Blue</v>
      </c>
      <c r="D857" s="41" t="s">
        <v>126</v>
      </c>
      <c r="E857" s="68" t="str">
        <f>_xlfn.XLOOKUP(tblMovimientos[[#This Row],[Cuenta Bancaria]],Listas!$B:$B,Listas!$C:$C,"")</f>
        <v xml:space="preserve">Amerant Bank </v>
      </c>
      <c r="F857" s="41" t="s">
        <v>10</v>
      </c>
      <c r="G857" s="41" t="s">
        <v>44</v>
      </c>
      <c r="H857" s="4" t="str">
        <f>IFERROR(_xlfn.XLOOKUP(G857,Listas!E:E,Listas!F:F,""),"")</f>
        <v>Operativo</v>
      </c>
      <c r="I857" s="46" t="str">
        <f>IFERROR(_xlfn.XLOOKUP(G857,Listas!E:E,Listas!G:G,""),"")</f>
        <v>Externo</v>
      </c>
      <c r="J857" s="43">
        <v>15</v>
      </c>
      <c r="K857" s="5">
        <f t="shared" si="13"/>
        <v>-15</v>
      </c>
      <c r="L857" s="15" t="s">
        <v>132</v>
      </c>
      <c r="M857" s="44">
        <f>SUMIFS('Saldos Iniciales'!$D:$D,'Saldos Iniciales'!$A:$A,C857,'Saldos Iniciales'!$B:$B,D857)+SUMIFS($K$1:$K$1324,$C$1:$C$1324,C857,$D$1:$D$1324,D857,$B$1:$B$1324,"&lt;="&amp;B857)</f>
        <v>7545.3499999999985</v>
      </c>
      <c r="N857" s="61" t="str">
        <f>IF(tblMovimientos[[#This Row],[Tipo de Movimiento]]="Ingreso",tblMovimientos[[#This Row],[Monto (S/)]],"0")</f>
        <v>0</v>
      </c>
      <c r="O857" s="61">
        <f>IF(tblMovimientos[[#This Row],[Tipo de Movimiento]]="Egreso",tblMovimientos[[#This Row],[Monto (S/)]],"0")</f>
        <v>15</v>
      </c>
      <c r="P857" s="28">
        <f>IF(tblMovimientos[[#This Row],[Tipo de Movimiento]]="Ingreso",tblMovimientos[[#This Row],[Ingreso]],-tblMovimientos[[#This Row],[Egreso]])</f>
        <v>-15</v>
      </c>
      <c r="Q857" s="78" t="str">
        <f>_xlfn.XLOOKUP(tblMovimientos[[#This Row],[Cuenta Bancaria]],Cuentas!$C:$C,Cuentas!$A:$A,"")&amp;""</f>
        <v>SSP Group</v>
      </c>
      <c r="R857" s="78" t="str">
        <f>_xlfn.XLOOKUP(tblMovimientos[[#This Row],[Cuenta Bancaria]],Cuentas!$C:$C,Cuentas!$B:$B,"",0,-1)&amp;""</f>
        <v/>
      </c>
    </row>
    <row r="858" spans="1:18" x14ac:dyDescent="0.3">
      <c r="B858" s="39">
        <v>46261</v>
      </c>
      <c r="C858" s="4" t="str">
        <f>_xlfn.XLOOKUP(tblMovimientos[[#This Row],[Cuenta Bancaria]],Listas!$B:$B,Listas!$A:$A,"")</f>
        <v>Go Blue</v>
      </c>
      <c r="D858" s="41" t="s">
        <v>126</v>
      </c>
      <c r="E858" s="68" t="str">
        <f>_xlfn.XLOOKUP(tblMovimientos[[#This Row],[Cuenta Bancaria]],Listas!$B:$B,Listas!$C:$C,"")</f>
        <v xml:space="preserve">Amerant Bank </v>
      </c>
      <c r="F858" s="41" t="s">
        <v>10</v>
      </c>
      <c r="G858" s="41" t="s">
        <v>38</v>
      </c>
      <c r="H858" s="4" t="str">
        <f>IFERROR(_xlfn.XLOOKUP(G858,Listas!E:E,Listas!F:F,""),"")</f>
        <v>Operativo</v>
      </c>
      <c r="I858" s="46" t="str">
        <f>IFERROR(_xlfn.XLOOKUP(G858,Listas!E:E,Listas!G:G,""),"")</f>
        <v>Externo</v>
      </c>
      <c r="J858" s="43">
        <v>2500</v>
      </c>
      <c r="K858" s="5">
        <f t="shared" si="13"/>
        <v>-2500</v>
      </c>
      <c r="L858" s="15" t="s">
        <v>132</v>
      </c>
      <c r="M858" s="44">
        <f>SUMIFS('Saldos Iniciales'!$D:$D,'Saldos Iniciales'!$A:$A,C858,'Saldos Iniciales'!$B:$B,D858)+SUMIFS($K$1:$K$1324,$C$1:$C$1324,C858,$D$1:$D$1324,D858,$B$1:$B$1324,"&lt;="&amp;B858)</f>
        <v>7545.3499999999985</v>
      </c>
      <c r="N858" s="61" t="str">
        <f>IF(tblMovimientos[[#This Row],[Tipo de Movimiento]]="Ingreso",tblMovimientos[[#This Row],[Monto (S/)]],"0")</f>
        <v>0</v>
      </c>
      <c r="O858" s="61">
        <f>IF(tblMovimientos[[#This Row],[Tipo de Movimiento]]="Egreso",tblMovimientos[[#This Row],[Monto (S/)]],"0")</f>
        <v>2500</v>
      </c>
      <c r="P858" s="28">
        <f>IF(tblMovimientos[[#This Row],[Tipo de Movimiento]]="Ingreso",tblMovimientos[[#This Row],[Ingreso]],-tblMovimientos[[#This Row],[Egreso]])</f>
        <v>-2500</v>
      </c>
      <c r="Q858" s="78" t="str">
        <f>_xlfn.XLOOKUP(tblMovimientos[[#This Row],[Cuenta Bancaria]],Cuentas!$C:$C,Cuentas!$A:$A,"")&amp;""</f>
        <v>SSP Group</v>
      </c>
      <c r="R858" s="78" t="str">
        <f>_xlfn.XLOOKUP(tblMovimientos[[#This Row],[Cuenta Bancaria]],Cuentas!$C:$C,Cuentas!$B:$B,"",0,-1)&amp;""</f>
        <v/>
      </c>
    </row>
    <row r="859" spans="1:18" x14ac:dyDescent="0.3">
      <c r="B859" s="39">
        <v>46261</v>
      </c>
      <c r="C859" s="4" t="str">
        <f>_xlfn.XLOOKUP(tblMovimientos[[#This Row],[Cuenta Bancaria]],Listas!$B:$B,Listas!$A:$A,"")</f>
        <v>Go Blue</v>
      </c>
      <c r="D859" s="41" t="s">
        <v>126</v>
      </c>
      <c r="E859" s="68" t="str">
        <f>_xlfn.XLOOKUP(tblMovimientos[[#This Row],[Cuenta Bancaria]],Listas!$B:$B,Listas!$C:$C,"")</f>
        <v xml:space="preserve">Amerant Bank </v>
      </c>
      <c r="F859" s="41" t="s">
        <v>10</v>
      </c>
      <c r="G859" s="41" t="s">
        <v>44</v>
      </c>
      <c r="H859" s="4" t="str">
        <f>IFERROR(_xlfn.XLOOKUP(G859,Listas!E:E,Listas!F:F,""),"")</f>
        <v>Operativo</v>
      </c>
      <c r="I859" s="46" t="str">
        <f>IFERROR(_xlfn.XLOOKUP(G859,Listas!E:E,Listas!G:G,""),"")</f>
        <v>Externo</v>
      </c>
      <c r="J859" s="43">
        <v>15</v>
      </c>
      <c r="K859" s="5">
        <f t="shared" si="13"/>
        <v>-15</v>
      </c>
      <c r="L859" s="15" t="s">
        <v>132</v>
      </c>
      <c r="M859" s="44">
        <f>SUMIFS('Saldos Iniciales'!$D:$D,'Saldos Iniciales'!$A:$A,C859,'Saldos Iniciales'!$B:$B,D859)+SUMIFS($K$1:$K$1324,$C$1:$C$1324,C859,$D$1:$D$1324,D859,$B$1:$B$1324,"&lt;="&amp;B859)</f>
        <v>7545.3499999999985</v>
      </c>
      <c r="N859" s="61" t="str">
        <f>IF(tblMovimientos[[#This Row],[Tipo de Movimiento]]="Ingreso",tblMovimientos[[#This Row],[Monto (S/)]],"0")</f>
        <v>0</v>
      </c>
      <c r="O859" s="61">
        <f>IF(tblMovimientos[[#This Row],[Tipo de Movimiento]]="Egreso",tblMovimientos[[#This Row],[Monto (S/)]],"0")</f>
        <v>15</v>
      </c>
      <c r="P859" s="28">
        <f>IF(tblMovimientos[[#This Row],[Tipo de Movimiento]]="Ingreso",tblMovimientos[[#This Row],[Ingreso]],-tblMovimientos[[#This Row],[Egreso]])</f>
        <v>-15</v>
      </c>
      <c r="Q859" s="78" t="str">
        <f>_xlfn.XLOOKUP(tblMovimientos[[#This Row],[Cuenta Bancaria]],Cuentas!$C:$C,Cuentas!$A:$A,"")&amp;""</f>
        <v>SSP Group</v>
      </c>
      <c r="R859" s="78" t="str">
        <f>_xlfn.XLOOKUP(tblMovimientos[[#This Row],[Cuenta Bancaria]],Cuentas!$C:$C,Cuentas!$B:$B,"",0,-1)&amp;""</f>
        <v/>
      </c>
    </row>
    <row r="860" spans="1:18" x14ac:dyDescent="0.3">
      <c r="B860" s="39">
        <v>46262</v>
      </c>
      <c r="C860" s="4" t="str">
        <f>_xlfn.XLOOKUP(tblMovimientos[[#This Row],[Cuenta Bancaria]],Listas!$B:$B,Listas!$A:$A,"")</f>
        <v>SSP Capital</v>
      </c>
      <c r="D860" s="41" t="s">
        <v>101</v>
      </c>
      <c r="E860" s="68" t="str">
        <f>_xlfn.XLOOKUP(tblMovimientos[[#This Row],[Cuenta Bancaria]],Listas!$B:$B,Listas!$C:$C,"")</f>
        <v>Bank of America</v>
      </c>
      <c r="F860" s="41" t="s">
        <v>10</v>
      </c>
      <c r="G860" s="41" t="s">
        <v>38</v>
      </c>
      <c r="H860" s="4" t="str">
        <f>IFERROR(_xlfn.XLOOKUP(G860,Listas!E:E,Listas!F:F,""),"")</f>
        <v>Operativo</v>
      </c>
      <c r="I860" s="46" t="str">
        <f>IFERROR(_xlfn.XLOOKUP(G860,Listas!E:E,Listas!G:G,""),"")</f>
        <v>Externo</v>
      </c>
      <c r="J860" s="43">
        <v>526.75</v>
      </c>
      <c r="K860" s="5">
        <f t="shared" si="13"/>
        <v>-526.75</v>
      </c>
      <c r="L860" s="15" t="s">
        <v>132</v>
      </c>
      <c r="M860" s="44">
        <f>SUMIFS('Saldos Iniciales'!$D:$D,'Saldos Iniciales'!$A:$A,C860,'Saldos Iniciales'!$B:$B,D860)+SUMIFS($K$1:$K$1324,$C$1:$C$1324,C860,$D$1:$D$1324,D860,$B$1:$B$1324,"&lt;="&amp;B860)</f>
        <v>25214.89</v>
      </c>
      <c r="N860" s="61" t="str">
        <f>IF(tblMovimientos[[#This Row],[Tipo de Movimiento]]="Ingreso",tblMovimientos[[#This Row],[Monto (S/)]],"0")</f>
        <v>0</v>
      </c>
      <c r="O860" s="61">
        <f>IF(tblMovimientos[[#This Row],[Tipo de Movimiento]]="Egreso",tblMovimientos[[#This Row],[Monto (S/)]],"0")</f>
        <v>526.75</v>
      </c>
      <c r="P860" s="28">
        <f>IF(tblMovimientos[[#This Row],[Tipo de Movimiento]]="Ingreso",tblMovimientos[[#This Row],[Ingreso]],-tblMovimientos[[#This Row],[Egreso]])</f>
        <v>-526.75</v>
      </c>
      <c r="Q860" s="78" t="str">
        <f>_xlfn.XLOOKUP(tblMovimientos[[#This Row],[Cuenta Bancaria]],Cuentas!$C:$C,Cuentas!$A:$A,"")&amp;""</f>
        <v>SSP Group</v>
      </c>
      <c r="R860" s="78" t="str">
        <f>_xlfn.XLOOKUP(tblMovimientos[[#This Row],[Cuenta Bancaria]],Cuentas!$C:$C,Cuentas!$B:$B,"",0,-1)&amp;""</f>
        <v/>
      </c>
    </row>
    <row r="861" spans="1:18" x14ac:dyDescent="0.3">
      <c r="B861" s="39">
        <v>46262</v>
      </c>
      <c r="C861" s="4" t="str">
        <f>_xlfn.XLOOKUP(tblMovimientos[[#This Row],[Cuenta Bancaria]],Listas!$B:$B,Listas!$A:$A,"")</f>
        <v>SSP Capital</v>
      </c>
      <c r="D861" s="41" t="s">
        <v>101</v>
      </c>
      <c r="E861" s="68" t="str">
        <f>_xlfn.XLOOKUP(tblMovimientos[[#This Row],[Cuenta Bancaria]],Listas!$B:$B,Listas!$C:$C,"")</f>
        <v>Bank of America</v>
      </c>
      <c r="F861" s="41" t="s">
        <v>10</v>
      </c>
      <c r="G861" s="41" t="s">
        <v>38</v>
      </c>
      <c r="H861" s="4" t="str">
        <f>IFERROR(_xlfn.XLOOKUP(G861,Listas!E:E,Listas!F:F,""),"")</f>
        <v>Operativo</v>
      </c>
      <c r="I861" s="46" t="str">
        <f>IFERROR(_xlfn.XLOOKUP(G861,Listas!E:E,Listas!G:G,""),"")</f>
        <v>Externo</v>
      </c>
      <c r="J861" s="43">
        <v>194.86</v>
      </c>
      <c r="K861" s="5">
        <f t="shared" si="13"/>
        <v>-194.86</v>
      </c>
      <c r="L861" s="15" t="s">
        <v>132</v>
      </c>
      <c r="M861" s="44">
        <f>SUMIFS('Saldos Iniciales'!$D:$D,'Saldos Iniciales'!$A:$A,C861,'Saldos Iniciales'!$B:$B,D861)+SUMIFS($K$1:$K$1324,$C$1:$C$1324,C861,$D$1:$D$1324,D861,$B$1:$B$1324,"&lt;="&amp;B861)</f>
        <v>25214.89</v>
      </c>
      <c r="N861" s="61" t="str">
        <f>IF(tblMovimientos[[#This Row],[Tipo de Movimiento]]="Ingreso",tblMovimientos[[#This Row],[Monto (S/)]],"0")</f>
        <v>0</v>
      </c>
      <c r="O861" s="61">
        <f>IF(tblMovimientos[[#This Row],[Tipo de Movimiento]]="Egreso",tblMovimientos[[#This Row],[Monto (S/)]],"0")</f>
        <v>194.86</v>
      </c>
      <c r="P861" s="28">
        <f>IF(tblMovimientos[[#This Row],[Tipo de Movimiento]]="Ingreso",tblMovimientos[[#This Row],[Ingreso]],-tblMovimientos[[#This Row],[Egreso]])</f>
        <v>-194.86</v>
      </c>
      <c r="Q861" s="78" t="str">
        <f>_xlfn.XLOOKUP(tblMovimientos[[#This Row],[Cuenta Bancaria]],Cuentas!$C:$C,Cuentas!$A:$A,"")&amp;""</f>
        <v>SSP Group</v>
      </c>
      <c r="R861" s="78" t="str">
        <f>_xlfn.XLOOKUP(tblMovimientos[[#This Row],[Cuenta Bancaria]],Cuentas!$C:$C,Cuentas!$B:$B,"",0,-1)&amp;""</f>
        <v/>
      </c>
    </row>
    <row r="862" spans="1:18" x14ac:dyDescent="0.3">
      <c r="B862" s="39">
        <v>46262</v>
      </c>
      <c r="C862" s="4" t="str">
        <f>_xlfn.XLOOKUP(tblMovimientos[[#This Row],[Cuenta Bancaria]],Listas!$B:$B,Listas!$A:$A,"")</f>
        <v>A&amp;M Imports</v>
      </c>
      <c r="D862" s="41" t="s">
        <v>100</v>
      </c>
      <c r="E862" s="68" t="str">
        <f>_xlfn.XLOOKUP(tblMovimientos[[#This Row],[Cuenta Bancaria]],Listas!$B:$B,Listas!$C:$C,"")</f>
        <v>Bank of America</v>
      </c>
      <c r="F862" s="41" t="s">
        <v>9</v>
      </c>
      <c r="G862" s="41" t="s">
        <v>68</v>
      </c>
      <c r="H862" s="4" t="str">
        <f>IFERROR(_xlfn.XLOOKUP(G862,Listas!E:E,Listas!F:F,""),"")</f>
        <v>Operativo</v>
      </c>
      <c r="I862" s="46" t="str">
        <f>IFERROR(_xlfn.XLOOKUP(G862,Listas!E:E,Listas!G:G,""),"")</f>
        <v>Externo</v>
      </c>
      <c r="J862" s="43">
        <v>23791.439999999999</v>
      </c>
      <c r="K862" s="5">
        <f t="shared" si="13"/>
        <v>23791.439999999999</v>
      </c>
      <c r="L862" s="15" t="s">
        <v>132</v>
      </c>
      <c r="M862" s="44">
        <f>SUMIFS('Saldos Iniciales'!$D:$D,'Saldos Iniciales'!$A:$A,C862,'Saldos Iniciales'!$B:$B,D862)+SUMIFS($K$1:$K$1324,$C$1:$C$1324,C862,$D$1:$D$1324,D862,$B$1:$B$1324,"&lt;="&amp;B862)</f>
        <v>1418445.91</v>
      </c>
      <c r="N862" s="61">
        <f>IF(tblMovimientos[[#This Row],[Tipo de Movimiento]]="Ingreso",tblMovimientos[[#This Row],[Monto (S/)]],"0")</f>
        <v>23791.439999999999</v>
      </c>
      <c r="O862" s="61" t="str">
        <f>IF(tblMovimientos[[#This Row],[Tipo de Movimiento]]="Egreso",tblMovimientos[[#This Row],[Monto (S/)]],"0")</f>
        <v>0</v>
      </c>
      <c r="P862" s="28">
        <f>IF(tblMovimientos[[#This Row],[Tipo de Movimiento]]="Ingreso",tblMovimientos[[#This Row],[Ingreso]],-tblMovimientos[[#This Row],[Egreso]])</f>
        <v>23791.439999999999</v>
      </c>
      <c r="Q862" s="78" t="str">
        <f>_xlfn.XLOOKUP(tblMovimientos[[#This Row],[Cuenta Bancaria]],Cuentas!$C:$C,Cuentas!$A:$A,"")&amp;""</f>
        <v>SSP Group</v>
      </c>
      <c r="R862" s="78" t="str">
        <f>_xlfn.XLOOKUP(tblMovimientos[[#This Row],[Cuenta Bancaria]],Cuentas!$C:$C,Cuentas!$B:$B,"",0,-1)&amp;""</f>
        <v/>
      </c>
    </row>
    <row r="863" spans="1:18" x14ac:dyDescent="0.3">
      <c r="B863" s="39">
        <v>46262</v>
      </c>
      <c r="C863" s="4" t="str">
        <f>_xlfn.XLOOKUP(tblMovimientos[[#This Row],[Cuenta Bancaria]],Listas!$B:$B,Listas!$A:$A,"")</f>
        <v>CFT Group</v>
      </c>
      <c r="D863" s="41" t="s">
        <v>94</v>
      </c>
      <c r="E863" s="68" t="str">
        <f>_xlfn.XLOOKUP(tblMovimientos[[#This Row],[Cuenta Bancaria]],Listas!$B:$B,Listas!$C:$C,"")</f>
        <v>Bank of America</v>
      </c>
      <c r="F863" s="41" t="s">
        <v>9</v>
      </c>
      <c r="G863" s="41" t="s">
        <v>68</v>
      </c>
      <c r="H863" s="4" t="str">
        <f>IFERROR(_xlfn.XLOOKUP(G863,Listas!E:E,Listas!F:F,""),"")</f>
        <v>Operativo</v>
      </c>
      <c r="I863" s="46" t="str">
        <f>IFERROR(_xlfn.XLOOKUP(G863,Listas!E:E,Listas!G:G,""),"")</f>
        <v>Externo</v>
      </c>
      <c r="J863" s="43">
        <v>73364</v>
      </c>
      <c r="K863" s="5">
        <f t="shared" si="13"/>
        <v>73364</v>
      </c>
      <c r="L863" s="15" t="s">
        <v>132</v>
      </c>
      <c r="M863" s="44">
        <f>SUMIFS('Saldos Iniciales'!$D:$D,'Saldos Iniciales'!$A:$A,C863,'Saldos Iniciales'!$B:$B,D863)+SUMIFS($K$1:$K$1324,$C$1:$C$1324,C863,$D$1:$D$1324,D863,$B$1:$B$1324,"&lt;="&amp;B863)</f>
        <v>437860.27999999997</v>
      </c>
      <c r="N863" s="61">
        <f>IF(tblMovimientos[[#This Row],[Tipo de Movimiento]]="Ingreso",tblMovimientos[[#This Row],[Monto (S/)]],"0")</f>
        <v>73364</v>
      </c>
      <c r="O863" s="61" t="str">
        <f>IF(tblMovimientos[[#This Row],[Tipo de Movimiento]]="Egreso",tblMovimientos[[#This Row],[Monto (S/)]],"0")</f>
        <v>0</v>
      </c>
      <c r="P863" s="28">
        <f>IF(tblMovimientos[[#This Row],[Tipo de Movimiento]]="Ingreso",tblMovimientos[[#This Row],[Ingreso]],-tblMovimientos[[#This Row],[Egreso]])</f>
        <v>73364</v>
      </c>
      <c r="Q863" s="78" t="str">
        <f>_xlfn.XLOOKUP(tblMovimientos[[#This Row],[Cuenta Bancaria]],Cuentas!$C:$C,Cuentas!$A:$A,"")&amp;""</f>
        <v>SSP Group</v>
      </c>
      <c r="R863" s="78" t="str">
        <f>_xlfn.XLOOKUP(tblMovimientos[[#This Row],[Cuenta Bancaria]],Cuentas!$C:$C,Cuentas!$B:$B,"",0,-1)&amp;""</f>
        <v/>
      </c>
    </row>
    <row r="864" spans="1:18" x14ac:dyDescent="0.3">
      <c r="B864" s="39">
        <v>46262</v>
      </c>
      <c r="C864" s="4" t="str">
        <f>_xlfn.XLOOKUP(tblMovimientos[[#This Row],[Cuenta Bancaria]],Listas!$B:$B,Listas!$A:$A,"")</f>
        <v>2515 Overbrook</v>
      </c>
      <c r="D864" s="41" t="s">
        <v>121</v>
      </c>
      <c r="E864" s="68" t="str">
        <f>_xlfn.XLOOKUP(tblMovimientos[[#This Row],[Cuenta Bancaria]],Listas!$B:$B,Listas!$C:$C,"")</f>
        <v>Bank of America</v>
      </c>
      <c r="F864" s="41" t="s">
        <v>10</v>
      </c>
      <c r="G864" s="41" t="s">
        <v>44</v>
      </c>
      <c r="H864" s="4" t="str">
        <f>IFERROR(_xlfn.XLOOKUP(G864,Listas!E:E,Listas!F:F,""),"")</f>
        <v>Operativo</v>
      </c>
      <c r="I864" s="46" t="str">
        <f>IFERROR(_xlfn.XLOOKUP(G864,Listas!E:E,Listas!G:G,""),"")</f>
        <v>Externo</v>
      </c>
      <c r="J864" s="43">
        <v>15</v>
      </c>
      <c r="K864" s="5">
        <f t="shared" si="13"/>
        <v>-15</v>
      </c>
      <c r="L864" s="15" t="s">
        <v>132</v>
      </c>
      <c r="M864" s="44">
        <f>SUMIFS('Saldos Iniciales'!$D:$D,'Saldos Iniciales'!$A:$A,C864,'Saldos Iniciales'!$B:$B,D864)+SUMIFS($K$1:$K$1324,$C$1:$C$1324,C864,$D$1:$D$1324,D864,$B$1:$B$1324,"&lt;="&amp;B864)</f>
        <v>33360.289999999964</v>
      </c>
      <c r="N864" s="61" t="str">
        <f>IF(tblMovimientos[[#This Row],[Tipo de Movimiento]]="Ingreso",tblMovimientos[[#This Row],[Monto (S/)]],"0")</f>
        <v>0</v>
      </c>
      <c r="O864" s="61">
        <f>IF(tblMovimientos[[#This Row],[Tipo de Movimiento]]="Egreso",tblMovimientos[[#This Row],[Monto (S/)]],"0")</f>
        <v>15</v>
      </c>
      <c r="P864" s="28">
        <f>IF(tblMovimientos[[#This Row],[Tipo de Movimiento]]="Ingreso",tblMovimientos[[#This Row],[Ingreso]],-tblMovimientos[[#This Row],[Egreso]])</f>
        <v>-15</v>
      </c>
      <c r="Q864" s="78" t="str">
        <f>_xlfn.XLOOKUP(tblMovimientos[[#This Row],[Cuenta Bancaria]],Cuentas!$C:$C,Cuentas!$A:$A,"")&amp;""</f>
        <v>SSP Group</v>
      </c>
      <c r="R864" s="78" t="str">
        <f>_xlfn.XLOOKUP(tblMovimientos[[#This Row],[Cuenta Bancaria]],Cuentas!$C:$C,Cuentas!$B:$B,"",0,-1)&amp;""</f>
        <v/>
      </c>
    </row>
    <row r="865" spans="2:18" x14ac:dyDescent="0.3">
      <c r="B865" s="39">
        <v>46262</v>
      </c>
      <c r="C865" s="4" t="str">
        <f>_xlfn.XLOOKUP(tblMovimientos[[#This Row],[Cuenta Bancaria]],Listas!$B:$B,Listas!$A:$A,"")</f>
        <v>112 Florida Ave</v>
      </c>
      <c r="D865" s="41" t="s">
        <v>123</v>
      </c>
      <c r="E865" s="68" t="str">
        <f>_xlfn.XLOOKUP(tblMovimientos[[#This Row],[Cuenta Bancaria]],Listas!$B:$B,Listas!$C:$C,"")</f>
        <v>Bank of America</v>
      </c>
      <c r="F865" s="41" t="s">
        <v>10</v>
      </c>
      <c r="G865" s="41" t="s">
        <v>44</v>
      </c>
      <c r="H865" s="4" t="str">
        <f>IFERROR(_xlfn.XLOOKUP(G865,Listas!E:E,Listas!F:F,""),"")</f>
        <v>Operativo</v>
      </c>
      <c r="I865" s="46" t="str">
        <f>IFERROR(_xlfn.XLOOKUP(G865,Listas!E:E,Listas!G:G,""),"")</f>
        <v>Externo</v>
      </c>
      <c r="J865" s="43">
        <v>15</v>
      </c>
      <c r="K865" s="5">
        <f t="shared" si="13"/>
        <v>-15</v>
      </c>
      <c r="L865" s="15" t="s">
        <v>132</v>
      </c>
      <c r="M865" s="44">
        <f>SUMIFS('Saldos Iniciales'!$D:$D,'Saldos Iniciales'!$A:$A,C865,'Saldos Iniciales'!$B:$B,D865)+SUMIFS($K$1:$K$1324,$C$1:$C$1324,C865,$D$1:$D$1324,D865,$B$1:$B$1324,"&lt;="&amp;B865)</f>
        <v>29709.170000000006</v>
      </c>
      <c r="N865" s="61" t="str">
        <f>IF(tblMovimientos[[#This Row],[Tipo de Movimiento]]="Ingreso",tblMovimientos[[#This Row],[Monto (S/)]],"0")</f>
        <v>0</v>
      </c>
      <c r="O865" s="61">
        <f>IF(tblMovimientos[[#This Row],[Tipo de Movimiento]]="Egreso",tblMovimientos[[#This Row],[Monto (S/)]],"0")</f>
        <v>15</v>
      </c>
      <c r="P865" s="28">
        <f>IF(tblMovimientos[[#This Row],[Tipo de Movimiento]]="Ingreso",tblMovimientos[[#This Row],[Ingreso]],-tblMovimientos[[#This Row],[Egreso]])</f>
        <v>-15</v>
      </c>
      <c r="Q865" s="78" t="str">
        <f>_xlfn.XLOOKUP(tblMovimientos[[#This Row],[Cuenta Bancaria]],Cuentas!$C:$C,Cuentas!$A:$A,"")&amp;""</f>
        <v>SSP Group</v>
      </c>
      <c r="R865" s="78" t="str">
        <f>_xlfn.XLOOKUP(tblMovimientos[[#This Row],[Cuenta Bancaria]],Cuentas!$C:$C,Cuentas!$B:$B,"",0,-1)&amp;""</f>
        <v/>
      </c>
    </row>
    <row r="866" spans="2:18" x14ac:dyDescent="0.3">
      <c r="B866" s="39">
        <v>46262</v>
      </c>
      <c r="C866" s="4" t="str">
        <f>_xlfn.XLOOKUP(tblMovimientos[[#This Row],[Cuenta Bancaria]],Listas!$B:$B,Listas!$A:$A,"")</f>
        <v>SSP Capital</v>
      </c>
      <c r="D866" s="41" t="s">
        <v>104</v>
      </c>
      <c r="E866" s="68" t="str">
        <f>_xlfn.XLOOKUP(tblMovimientos[[#This Row],[Cuenta Bancaria]],Listas!$B:$B,Listas!$C:$C,"")</f>
        <v xml:space="preserve">Amerant Bank </v>
      </c>
      <c r="F866" s="41" t="s">
        <v>10</v>
      </c>
      <c r="G866" s="41" t="s">
        <v>40</v>
      </c>
      <c r="H866" s="4" t="str">
        <f>IFERROR(_xlfn.XLOOKUP(G866,Listas!E:E,Listas!F:F,""),"")</f>
        <v>Operativo</v>
      </c>
      <c r="I866" s="46" t="str">
        <f>IFERROR(_xlfn.XLOOKUP(G866,Listas!E:E,Listas!G:G,""),"")</f>
        <v>Externo</v>
      </c>
      <c r="J866" s="43">
        <v>165475.92000000001</v>
      </c>
      <c r="K866" s="5">
        <f t="shared" si="13"/>
        <v>-165475.92000000001</v>
      </c>
      <c r="L866" s="15" t="s">
        <v>132</v>
      </c>
      <c r="M866" s="44">
        <f>SUMIFS('Saldos Iniciales'!$D:$D,'Saldos Iniciales'!$A:$A,C866,'Saldos Iniciales'!$B:$B,D866)+SUMIFS($K$1:$K$1324,$C$1:$C$1324,C866,$D$1:$D$1324,D866,$B$1:$B$1324,"&lt;="&amp;B866)</f>
        <v>708218.31999999925</v>
      </c>
      <c r="N866" s="61" t="str">
        <f>IF(tblMovimientos[[#This Row],[Tipo de Movimiento]]="Ingreso",tblMovimientos[[#This Row],[Monto (S/)]],"0")</f>
        <v>0</v>
      </c>
      <c r="O866" s="61">
        <f>IF(tblMovimientos[[#This Row],[Tipo de Movimiento]]="Egreso",tblMovimientos[[#This Row],[Monto (S/)]],"0")</f>
        <v>165475.92000000001</v>
      </c>
      <c r="P866" s="28">
        <f>IF(tblMovimientos[[#This Row],[Tipo de Movimiento]]="Ingreso",tblMovimientos[[#This Row],[Ingreso]],-tblMovimientos[[#This Row],[Egreso]])</f>
        <v>-165475.92000000001</v>
      </c>
      <c r="Q866" s="78" t="str">
        <f>_xlfn.XLOOKUP(tblMovimientos[[#This Row],[Cuenta Bancaria]],Cuentas!$C:$C,Cuentas!$A:$A,"")&amp;""</f>
        <v>SSP Group</v>
      </c>
      <c r="R866" s="78" t="str">
        <f>_xlfn.XLOOKUP(tblMovimientos[[#This Row],[Cuenta Bancaria]],Cuentas!$C:$C,Cuentas!$B:$B,"",0,-1)&amp;""</f>
        <v/>
      </c>
    </row>
    <row r="867" spans="2:18" x14ac:dyDescent="0.3">
      <c r="B867" s="39">
        <v>46262</v>
      </c>
      <c r="C867" s="4" t="str">
        <f>_xlfn.XLOOKUP(tblMovimientos[[#This Row],[Cuenta Bancaria]],Listas!$B:$B,Listas!$A:$A,"")</f>
        <v>M1B</v>
      </c>
      <c r="D867" s="41" t="s">
        <v>97</v>
      </c>
      <c r="E867" s="68" t="str">
        <f>_xlfn.XLOOKUP(tblMovimientos[[#This Row],[Cuenta Bancaria]],Listas!$B:$B,Listas!$C:$C,"")</f>
        <v xml:space="preserve">Amerant Bank </v>
      </c>
      <c r="F867" s="41" t="s">
        <v>9</v>
      </c>
      <c r="G867" s="41" t="s">
        <v>68</v>
      </c>
      <c r="H867" s="4" t="str">
        <f>IFERROR(_xlfn.XLOOKUP(G867,Listas!E:E,Listas!F:F,""),"")</f>
        <v>Operativo</v>
      </c>
      <c r="I867" s="46" t="str">
        <f>IFERROR(_xlfn.XLOOKUP(G867,Listas!E:E,Listas!G:G,""),"")</f>
        <v>Externo</v>
      </c>
      <c r="J867" s="43">
        <v>2637.13</v>
      </c>
      <c r="K867" s="5">
        <f t="shared" si="13"/>
        <v>2637.13</v>
      </c>
      <c r="L867" s="15" t="s">
        <v>132</v>
      </c>
      <c r="M867" s="44">
        <f>SUMIFS('Saldos Iniciales'!$D:$D,'Saldos Iniciales'!$A:$A,C867,'Saldos Iniciales'!$B:$B,D867)+SUMIFS($K$1:$K$1324,$C$1:$C$1324,C867,$D$1:$D$1324,D867,$B$1:$B$1324,"&lt;="&amp;B867)</f>
        <v>88280.230000000171</v>
      </c>
      <c r="N867" s="61">
        <f>IF(tblMovimientos[[#This Row],[Tipo de Movimiento]]="Ingreso",tblMovimientos[[#This Row],[Monto (S/)]],"0")</f>
        <v>2637.13</v>
      </c>
      <c r="O867" s="61" t="str">
        <f>IF(tblMovimientos[[#This Row],[Tipo de Movimiento]]="Egreso",tblMovimientos[[#This Row],[Monto (S/)]],"0")</f>
        <v>0</v>
      </c>
      <c r="P867" s="28">
        <f>IF(tblMovimientos[[#This Row],[Tipo de Movimiento]]="Ingreso",tblMovimientos[[#This Row],[Ingreso]],-tblMovimientos[[#This Row],[Egreso]])</f>
        <v>2637.13</v>
      </c>
      <c r="Q867" s="78" t="str">
        <f>_xlfn.XLOOKUP(tblMovimientos[[#This Row],[Cuenta Bancaria]],Cuentas!$C:$C,Cuentas!$A:$A,"")&amp;""</f>
        <v>SSP Group</v>
      </c>
      <c r="R867" s="78" t="str">
        <f>_xlfn.XLOOKUP(tblMovimientos[[#This Row],[Cuenta Bancaria]],Cuentas!$C:$C,Cuentas!$B:$B,"",0,-1)&amp;""</f>
        <v/>
      </c>
    </row>
    <row r="868" spans="2:18" x14ac:dyDescent="0.3">
      <c r="B868" s="39">
        <v>46262</v>
      </c>
      <c r="C868" s="4" t="str">
        <f>_xlfn.XLOOKUP(tblMovimientos[[#This Row],[Cuenta Bancaria]],Listas!$B:$B,Listas!$A:$A,"")</f>
        <v>Go Blue</v>
      </c>
      <c r="D868" s="41" t="s">
        <v>126</v>
      </c>
      <c r="E868" s="68" t="str">
        <f>_xlfn.XLOOKUP(tblMovimientos[[#This Row],[Cuenta Bancaria]],Listas!$B:$B,Listas!$C:$C,"")</f>
        <v xml:space="preserve">Amerant Bank </v>
      </c>
      <c r="F868" s="41" t="s">
        <v>10</v>
      </c>
      <c r="G868" s="41" t="s">
        <v>38</v>
      </c>
      <c r="H868" s="4" t="str">
        <f>IFERROR(_xlfn.XLOOKUP(G868,Listas!E:E,Listas!F:F,""),"")</f>
        <v>Operativo</v>
      </c>
      <c r="I868" s="46" t="str">
        <f>IFERROR(_xlfn.XLOOKUP(G868,Listas!E:E,Listas!G:G,""),"")</f>
        <v>Externo</v>
      </c>
      <c r="J868" s="43">
        <v>48.7</v>
      </c>
      <c r="K868" s="5">
        <f t="shared" si="13"/>
        <v>-48.7</v>
      </c>
      <c r="L868" s="15" t="s">
        <v>132</v>
      </c>
      <c r="M868" s="44">
        <f>SUMIFS('Saldos Iniciales'!$D:$D,'Saldos Iniciales'!$A:$A,C868,'Saldos Iniciales'!$B:$B,D868)+SUMIFS($K$1:$K$1324,$C$1:$C$1324,C868,$D$1:$D$1324,D868,$B$1:$B$1324,"&lt;="&amp;B868)</f>
        <v>7496.6499999999987</v>
      </c>
      <c r="N868" s="61" t="str">
        <f>IF(tblMovimientos[[#This Row],[Tipo de Movimiento]]="Ingreso",tblMovimientos[[#This Row],[Monto (S/)]],"0")</f>
        <v>0</v>
      </c>
      <c r="O868" s="61">
        <f>IF(tblMovimientos[[#This Row],[Tipo de Movimiento]]="Egreso",tblMovimientos[[#This Row],[Monto (S/)]],"0")</f>
        <v>48.7</v>
      </c>
      <c r="P868" s="28">
        <f>IF(tblMovimientos[[#This Row],[Tipo de Movimiento]]="Ingreso",tblMovimientos[[#This Row],[Ingreso]],-tblMovimientos[[#This Row],[Egreso]])</f>
        <v>-48.7</v>
      </c>
      <c r="Q868" s="78" t="str">
        <f>_xlfn.XLOOKUP(tblMovimientos[[#This Row],[Cuenta Bancaria]],Cuentas!$C:$C,Cuentas!$A:$A,"")&amp;""</f>
        <v>SSP Group</v>
      </c>
      <c r="R868" s="78" t="str">
        <f>_xlfn.XLOOKUP(tblMovimientos[[#This Row],[Cuenta Bancaria]],Cuentas!$C:$C,Cuentas!$B:$B,"",0,-1)&amp;""</f>
        <v/>
      </c>
    </row>
    <row r="869" spans="2:18" x14ac:dyDescent="0.3">
      <c r="B869" s="39">
        <v>46262</v>
      </c>
      <c r="C869" s="4" t="str">
        <f>_xlfn.XLOOKUP(tblMovimientos[[#This Row],[Cuenta Bancaria]],Listas!$B:$B,Listas!$A:$A,"")</f>
        <v>CFT Group</v>
      </c>
      <c r="D869" s="41" t="s">
        <v>95</v>
      </c>
      <c r="E869" s="68" t="str">
        <f>_xlfn.XLOOKUP(tblMovimientos[[#This Row],[Cuenta Bancaria]],Listas!$B:$B,Listas!$C:$C,"")</f>
        <v xml:space="preserve">Amerant Bank </v>
      </c>
      <c r="F869" s="41" t="s">
        <v>9</v>
      </c>
      <c r="G869" s="41" t="s">
        <v>76</v>
      </c>
      <c r="H869" s="4" t="str">
        <f>IFERROR(_xlfn.XLOOKUP(G869,Listas!E:E,Listas!F:F,""),"")</f>
        <v>Financiamiento</v>
      </c>
      <c r="I869" s="46" t="str">
        <f>IFERROR(_xlfn.XLOOKUP(G869,Listas!E:E,Listas!G:G,""),"")</f>
        <v>Externo</v>
      </c>
      <c r="J869" s="43">
        <v>91973.24</v>
      </c>
      <c r="K869" s="5">
        <f t="shared" si="13"/>
        <v>91973.24</v>
      </c>
      <c r="L869" s="15" t="s">
        <v>132</v>
      </c>
      <c r="M869" s="44">
        <f>SUMIFS('Saldos Iniciales'!$D:$D,'Saldos Iniciales'!$A:$A,C869,'Saldos Iniciales'!$B:$B,D869)+SUMIFS($K$1:$K$1324,$C$1:$C$1324,C869,$D$1:$D$1324,D869,$B$1:$B$1324,"&lt;="&amp;B869)</f>
        <v>300333.32000000076</v>
      </c>
      <c r="N869" s="61">
        <f>IF(tblMovimientos[[#This Row],[Tipo de Movimiento]]="Ingreso",tblMovimientos[[#This Row],[Monto (S/)]],"0")</f>
        <v>91973.24</v>
      </c>
      <c r="O869" s="61" t="str">
        <f>IF(tblMovimientos[[#This Row],[Tipo de Movimiento]]="Egreso",tblMovimientos[[#This Row],[Monto (S/)]],"0")</f>
        <v>0</v>
      </c>
      <c r="P869" s="28">
        <f>IF(tblMovimientos[[#This Row],[Tipo de Movimiento]]="Ingreso",tblMovimientos[[#This Row],[Ingreso]],-tblMovimientos[[#This Row],[Egreso]])</f>
        <v>91973.24</v>
      </c>
      <c r="Q869" s="78" t="str">
        <f>_xlfn.XLOOKUP(tblMovimientos[[#This Row],[Cuenta Bancaria]],Cuentas!$C:$C,Cuentas!$A:$A,"")&amp;""</f>
        <v>SSP Group</v>
      </c>
      <c r="R869" s="78" t="str">
        <f>_xlfn.XLOOKUP(tblMovimientos[[#This Row],[Cuenta Bancaria]],Cuentas!$C:$C,Cuentas!$B:$B,"",0,-1)&amp;""</f>
        <v/>
      </c>
    </row>
    <row r="870" spans="2:18" x14ac:dyDescent="0.3">
      <c r="B870" s="39">
        <v>46262</v>
      </c>
      <c r="C870" s="4" t="str">
        <f>_xlfn.XLOOKUP(tblMovimientos[[#This Row],[Cuenta Bancaria]],Listas!$B:$B,Listas!$A:$A,"")</f>
        <v>Cross Security Trust</v>
      </c>
      <c r="D870" s="41" t="s">
        <v>112</v>
      </c>
      <c r="E870" s="68" t="str">
        <f>_xlfn.XLOOKUP(tblMovimientos[[#This Row],[Cuenta Bancaria]],Listas!$B:$B,Listas!$C:$C,"")</f>
        <v>Bank of America</v>
      </c>
      <c r="F870" s="41" t="s">
        <v>10</v>
      </c>
      <c r="G870" s="41" t="s">
        <v>38</v>
      </c>
      <c r="H870" s="4" t="str">
        <f>IFERROR(_xlfn.XLOOKUP(G870,Listas!E:E,Listas!F:F,""),"")</f>
        <v>Operativo</v>
      </c>
      <c r="I870" s="46" t="str">
        <f>IFERROR(_xlfn.XLOOKUP(G870,Listas!E:E,Listas!G:G,""),"")</f>
        <v>Externo</v>
      </c>
      <c r="J870" s="43">
        <v>11739</v>
      </c>
      <c r="K870" s="5">
        <f t="shared" si="13"/>
        <v>-11739</v>
      </c>
      <c r="L870" s="15" t="s">
        <v>132</v>
      </c>
      <c r="M870" s="44">
        <f>SUMIFS('Saldos Iniciales'!$D:$D,'Saldos Iniciales'!$A:$A,C870,'Saldos Iniciales'!$B:$B,D870)+SUMIFS($K$1:$K$1324,$C$1:$C$1324,C870,$D$1:$D$1324,D870,$B$1:$B$1324,"&lt;="&amp;B870)</f>
        <v>217684.34</v>
      </c>
      <c r="N870" s="61" t="str">
        <f>IF(tblMovimientos[[#This Row],[Tipo de Movimiento]]="Ingreso",tblMovimientos[[#This Row],[Monto (S/)]],"0")</f>
        <v>0</v>
      </c>
      <c r="O870" s="61">
        <f>IF(tblMovimientos[[#This Row],[Tipo de Movimiento]]="Egreso",tblMovimientos[[#This Row],[Monto (S/)]],"0")</f>
        <v>11739</v>
      </c>
      <c r="P870" s="28">
        <f>IF(tblMovimientos[[#This Row],[Tipo de Movimiento]]="Ingreso",tblMovimientos[[#This Row],[Ingreso]],-tblMovimientos[[#This Row],[Egreso]])</f>
        <v>-11739</v>
      </c>
      <c r="Q870" s="78" t="str">
        <f>_xlfn.XLOOKUP(tblMovimientos[[#This Row],[Cuenta Bancaria]],Cuentas!$C:$C,Cuentas!$A:$A,"")&amp;""</f>
        <v>SSP Group</v>
      </c>
      <c r="R870" s="78" t="str">
        <f>_xlfn.XLOOKUP(tblMovimientos[[#This Row],[Cuenta Bancaria]],Cuentas!$C:$C,Cuentas!$B:$B,"",0,-1)&amp;""</f>
        <v>Trust</v>
      </c>
    </row>
    <row r="871" spans="2:18" x14ac:dyDescent="0.3">
      <c r="B871" s="39">
        <v>46262</v>
      </c>
      <c r="C871" s="4" t="str">
        <f>_xlfn.XLOOKUP(tblMovimientos[[#This Row],[Cuenta Bancaria]],Listas!$B:$B,Listas!$A:$A,"")</f>
        <v>Cross Security Trust</v>
      </c>
      <c r="D871" s="41" t="s">
        <v>112</v>
      </c>
      <c r="E871" s="68" t="str">
        <f>_xlfn.XLOOKUP(tblMovimientos[[#This Row],[Cuenta Bancaria]],Listas!$B:$B,Listas!$C:$C,"")</f>
        <v>Bank of America</v>
      </c>
      <c r="F871" s="41" t="s">
        <v>10</v>
      </c>
      <c r="G871" s="41" t="s">
        <v>38</v>
      </c>
      <c r="H871" s="4" t="str">
        <f>IFERROR(_xlfn.XLOOKUP(G871,Listas!E:E,Listas!F:F,""),"")</f>
        <v>Operativo</v>
      </c>
      <c r="I871" s="46" t="str">
        <f>IFERROR(_xlfn.XLOOKUP(G871,Listas!E:E,Listas!G:G,""),"")</f>
        <v>Externo</v>
      </c>
      <c r="J871" s="43">
        <v>48163</v>
      </c>
      <c r="K871" s="5">
        <f t="shared" si="13"/>
        <v>-48163</v>
      </c>
      <c r="L871" s="15" t="s">
        <v>132</v>
      </c>
      <c r="M871" s="44">
        <f>SUMIFS('Saldos Iniciales'!$D:$D,'Saldos Iniciales'!$A:$A,C871,'Saldos Iniciales'!$B:$B,D871)+SUMIFS($K$1:$K$1324,$C$1:$C$1324,C871,$D$1:$D$1324,D871,$B$1:$B$1324,"&lt;="&amp;B871)</f>
        <v>217684.34</v>
      </c>
      <c r="N871" s="61" t="str">
        <f>IF(tblMovimientos[[#This Row],[Tipo de Movimiento]]="Ingreso",tblMovimientos[[#This Row],[Monto (S/)]],"0")</f>
        <v>0</v>
      </c>
      <c r="O871" s="61">
        <f>IF(tblMovimientos[[#This Row],[Tipo de Movimiento]]="Egreso",tblMovimientos[[#This Row],[Monto (S/)]],"0")</f>
        <v>48163</v>
      </c>
      <c r="P871" s="28">
        <f>IF(tblMovimientos[[#This Row],[Tipo de Movimiento]]="Ingreso",tblMovimientos[[#This Row],[Ingreso]],-tblMovimientos[[#This Row],[Egreso]])</f>
        <v>-48163</v>
      </c>
      <c r="Q871" s="78" t="str">
        <f>_xlfn.XLOOKUP(tblMovimientos[[#This Row],[Cuenta Bancaria]],Cuentas!$C:$C,Cuentas!$A:$A,"")&amp;""</f>
        <v>SSP Group</v>
      </c>
      <c r="R871" s="78" t="str">
        <f>_xlfn.XLOOKUP(tblMovimientos[[#This Row],[Cuenta Bancaria]],Cuentas!$C:$C,Cuentas!$B:$B,"",0,-1)&amp;""</f>
        <v>Trust</v>
      </c>
    </row>
    <row r="872" spans="2:18" x14ac:dyDescent="0.3">
      <c r="B872" s="39">
        <v>46265</v>
      </c>
      <c r="C872" s="4" t="str">
        <f>_xlfn.XLOOKUP(tblMovimientos[[#This Row],[Cuenta Bancaria]],Listas!$B:$B,Listas!$A:$A,"")</f>
        <v>A&amp;M Imports</v>
      </c>
      <c r="D872" s="41" t="s">
        <v>100</v>
      </c>
      <c r="E872" s="68" t="str">
        <f>_xlfn.XLOOKUP(tblMovimientos[[#This Row],[Cuenta Bancaria]],Listas!$B:$B,Listas!$C:$C,"")</f>
        <v>Bank of America</v>
      </c>
      <c r="F872" s="41" t="s">
        <v>9</v>
      </c>
      <c r="G872" s="41" t="s">
        <v>68</v>
      </c>
      <c r="H872" s="4" t="str">
        <f>IFERROR(_xlfn.XLOOKUP(G872,Listas!E:E,Listas!F:F,""),"")</f>
        <v>Operativo</v>
      </c>
      <c r="I872" s="46" t="str">
        <f>IFERROR(_xlfn.XLOOKUP(G872,Listas!E:E,Listas!G:G,""),"")</f>
        <v>Externo</v>
      </c>
      <c r="J872" s="43">
        <v>1452.33</v>
      </c>
      <c r="K872" s="5">
        <f t="shared" si="13"/>
        <v>1452.33</v>
      </c>
      <c r="L872" s="15" t="s">
        <v>132</v>
      </c>
      <c r="M872" s="44">
        <f>SUMIFS('Saldos Iniciales'!$D:$D,'Saldos Iniciales'!$A:$A,C872,'Saldos Iniciales'!$B:$B,D872)+SUMIFS($K$1:$K$1324,$C$1:$C$1324,C872,$D$1:$D$1324,D872,$B$1:$B$1324,"&lt;="&amp;B872)</f>
        <v>1419898.24</v>
      </c>
      <c r="N872" s="61">
        <f>IF(tblMovimientos[[#This Row],[Tipo de Movimiento]]="Ingreso",tblMovimientos[[#This Row],[Monto (S/)]],"0")</f>
        <v>1452.33</v>
      </c>
      <c r="O872" s="61" t="str">
        <f>IF(tblMovimientos[[#This Row],[Tipo de Movimiento]]="Egreso",tblMovimientos[[#This Row],[Monto (S/)]],"0")</f>
        <v>0</v>
      </c>
      <c r="P872" s="28">
        <f>IF(tblMovimientos[[#This Row],[Tipo de Movimiento]]="Ingreso",tblMovimientos[[#This Row],[Ingreso]],-tblMovimientos[[#This Row],[Egreso]])</f>
        <v>1452.33</v>
      </c>
      <c r="Q872" s="78" t="str">
        <f>_xlfn.XLOOKUP(tblMovimientos[[#This Row],[Cuenta Bancaria]],Cuentas!$C:$C,Cuentas!$A:$A,"")&amp;""</f>
        <v>SSP Group</v>
      </c>
      <c r="R872" s="78" t="str">
        <f>_xlfn.XLOOKUP(tblMovimientos[[#This Row],[Cuenta Bancaria]],Cuentas!$C:$C,Cuentas!$B:$B,"",0,-1)&amp;""</f>
        <v/>
      </c>
    </row>
    <row r="873" spans="2:18" x14ac:dyDescent="0.3">
      <c r="B873" s="39">
        <v>46265</v>
      </c>
      <c r="C873" s="4" t="str">
        <f>_xlfn.XLOOKUP(tblMovimientos[[#This Row],[Cuenta Bancaria]],Listas!$B:$B,Listas!$A:$A,"")</f>
        <v>CFT Group</v>
      </c>
      <c r="D873" s="41" t="s">
        <v>94</v>
      </c>
      <c r="E873" s="68" t="str">
        <f>_xlfn.XLOOKUP(tblMovimientos[[#This Row],[Cuenta Bancaria]],Listas!$B:$B,Listas!$C:$C,"")</f>
        <v>Bank of America</v>
      </c>
      <c r="F873" s="41" t="s">
        <v>10</v>
      </c>
      <c r="G873" s="41" t="s">
        <v>64</v>
      </c>
      <c r="H873" s="4" t="str">
        <f>IFERROR(_xlfn.XLOOKUP(G873,Listas!E:E,Listas!F:F,""),"")</f>
        <v>Operativo</v>
      </c>
      <c r="I873" s="46" t="str">
        <f>IFERROR(_xlfn.XLOOKUP(G873,Listas!E:E,Listas!G:G,""),"")</f>
        <v>Interno</v>
      </c>
      <c r="J873" s="43">
        <v>2977.95</v>
      </c>
      <c r="K873" s="5">
        <f t="shared" si="13"/>
        <v>-2977.95</v>
      </c>
      <c r="L873" s="15" t="s">
        <v>132</v>
      </c>
      <c r="M873" s="44">
        <f>SUMIFS('Saldos Iniciales'!$D:$D,'Saldos Iniciales'!$A:$A,C873,'Saldos Iniciales'!$B:$B,D873)+SUMIFS($K$1:$K$1324,$C$1:$C$1324,C873,$D$1:$D$1324,D873,$B$1:$B$1324,"&lt;="&amp;B873)</f>
        <v>434882.32999999996</v>
      </c>
      <c r="N873" s="61" t="str">
        <f>IF(tblMovimientos[[#This Row],[Tipo de Movimiento]]="Ingreso",tblMovimientos[[#This Row],[Monto (S/)]],"0")</f>
        <v>0</v>
      </c>
      <c r="O873" s="61">
        <f>IF(tblMovimientos[[#This Row],[Tipo de Movimiento]]="Egreso",tblMovimientos[[#This Row],[Monto (S/)]],"0")</f>
        <v>2977.95</v>
      </c>
      <c r="P873" s="28">
        <f>IF(tblMovimientos[[#This Row],[Tipo de Movimiento]]="Ingreso",tblMovimientos[[#This Row],[Ingreso]],-tblMovimientos[[#This Row],[Egreso]])</f>
        <v>-2977.95</v>
      </c>
      <c r="Q873" s="78" t="str">
        <f>_xlfn.XLOOKUP(tblMovimientos[[#This Row],[Cuenta Bancaria]],Cuentas!$C:$C,Cuentas!$A:$A,"")&amp;""</f>
        <v>SSP Group</v>
      </c>
      <c r="R873" s="78" t="str">
        <f>_xlfn.XLOOKUP(tblMovimientos[[#This Row],[Cuenta Bancaria]],Cuentas!$C:$C,Cuentas!$B:$B,"",0,-1)&amp;""</f>
        <v/>
      </c>
    </row>
    <row r="874" spans="2:18" x14ac:dyDescent="0.3">
      <c r="B874" s="39">
        <v>46265</v>
      </c>
      <c r="C874" s="4" t="str">
        <f>_xlfn.XLOOKUP(tblMovimientos[[#This Row],[Cuenta Bancaria]],Listas!$B:$B,Listas!$A:$A,"")</f>
        <v>2515 Overbrook</v>
      </c>
      <c r="D874" s="41" t="s">
        <v>121</v>
      </c>
      <c r="E874" s="68" t="str">
        <f>_xlfn.XLOOKUP(tblMovimientos[[#This Row],[Cuenta Bancaria]],Listas!$B:$B,Listas!$C:$C,"")</f>
        <v>Bank of America</v>
      </c>
      <c r="F874" s="41" t="s">
        <v>10</v>
      </c>
      <c r="G874" s="41" t="s">
        <v>38</v>
      </c>
      <c r="H874" s="4" t="str">
        <f>IFERROR(_xlfn.XLOOKUP(G874,Listas!E:E,Listas!F:F,""),"")</f>
        <v>Operativo</v>
      </c>
      <c r="I874" s="46" t="str">
        <f>IFERROR(_xlfn.XLOOKUP(G874,Listas!E:E,Listas!G:G,""),"")</f>
        <v>Externo</v>
      </c>
      <c r="J874" s="43">
        <v>100</v>
      </c>
      <c r="K874" s="5">
        <f t="shared" si="13"/>
        <v>-100</v>
      </c>
      <c r="L874" s="15" t="s">
        <v>132</v>
      </c>
      <c r="M874" s="44">
        <f>SUMIFS('Saldos Iniciales'!$D:$D,'Saldos Iniciales'!$A:$A,C874,'Saldos Iniciales'!$B:$B,D874)+SUMIFS($K$1:$K$1324,$C$1:$C$1324,C874,$D$1:$D$1324,D874,$B$1:$B$1324,"&lt;="&amp;B874)</f>
        <v>33260.289999999964</v>
      </c>
      <c r="N874" s="61" t="str">
        <f>IF(tblMovimientos[[#This Row],[Tipo de Movimiento]]="Ingreso",tblMovimientos[[#This Row],[Monto (S/)]],"0")</f>
        <v>0</v>
      </c>
      <c r="O874" s="61">
        <f>IF(tblMovimientos[[#This Row],[Tipo de Movimiento]]="Egreso",tblMovimientos[[#This Row],[Monto (S/)]],"0")</f>
        <v>100</v>
      </c>
      <c r="P874" s="28">
        <f>IF(tblMovimientos[[#This Row],[Tipo de Movimiento]]="Ingreso",tblMovimientos[[#This Row],[Ingreso]],-tblMovimientos[[#This Row],[Egreso]])</f>
        <v>-100</v>
      </c>
      <c r="Q874" s="78" t="str">
        <f>_xlfn.XLOOKUP(tblMovimientos[[#This Row],[Cuenta Bancaria]],Cuentas!$C:$C,Cuentas!$A:$A,"")&amp;""</f>
        <v>SSP Group</v>
      </c>
      <c r="R874" s="78" t="str">
        <f>_xlfn.XLOOKUP(tblMovimientos[[#This Row],[Cuenta Bancaria]],Cuentas!$C:$C,Cuentas!$B:$B,"",0,-1)&amp;""</f>
        <v/>
      </c>
    </row>
    <row r="875" spans="2:18" x14ac:dyDescent="0.3">
      <c r="B875" s="39">
        <v>46265</v>
      </c>
      <c r="C875" s="4" t="str">
        <f>_xlfn.XLOOKUP(tblMovimientos[[#This Row],[Cuenta Bancaria]],Listas!$B:$B,Listas!$A:$A,"")</f>
        <v>112 Florida Ave</v>
      </c>
      <c r="D875" s="41" t="s">
        <v>123</v>
      </c>
      <c r="E875" s="68" t="str">
        <f>_xlfn.XLOOKUP(tblMovimientos[[#This Row],[Cuenta Bancaria]],Listas!$B:$B,Listas!$C:$C,"")</f>
        <v>Bank of America</v>
      </c>
      <c r="F875" s="41" t="s">
        <v>10</v>
      </c>
      <c r="G875" s="41" t="s">
        <v>38</v>
      </c>
      <c r="H875" s="4" t="str">
        <f>IFERROR(_xlfn.XLOOKUP(G875,Listas!E:E,Listas!F:F,""),"")</f>
        <v>Operativo</v>
      </c>
      <c r="I875" s="46" t="str">
        <f>IFERROR(_xlfn.XLOOKUP(G875,Listas!E:E,Listas!G:G,""),"")</f>
        <v>Externo</v>
      </c>
      <c r="J875" s="43">
        <v>150</v>
      </c>
      <c r="K875" s="5">
        <f t="shared" si="13"/>
        <v>-150</v>
      </c>
      <c r="L875" s="15" t="s">
        <v>132</v>
      </c>
      <c r="M875" s="44">
        <f>SUMIFS('Saldos Iniciales'!$D:$D,'Saldos Iniciales'!$A:$A,C875,'Saldos Iniciales'!$B:$B,D875)+SUMIFS($K$1:$K$1324,$C$1:$C$1324,C875,$D$1:$D$1324,D875,$B$1:$B$1324,"&lt;="&amp;B875)</f>
        <v>26559.170000000006</v>
      </c>
      <c r="N875" s="61" t="str">
        <f>IF(tblMovimientos[[#This Row],[Tipo de Movimiento]]="Ingreso",tblMovimientos[[#This Row],[Monto (S/)]],"0")</f>
        <v>0</v>
      </c>
      <c r="O875" s="61">
        <f>IF(tblMovimientos[[#This Row],[Tipo de Movimiento]]="Egreso",tblMovimientos[[#This Row],[Monto (S/)]],"0")</f>
        <v>150</v>
      </c>
      <c r="P875" s="28">
        <f>IF(tblMovimientos[[#This Row],[Tipo de Movimiento]]="Ingreso",tblMovimientos[[#This Row],[Ingreso]],-tblMovimientos[[#This Row],[Egreso]])</f>
        <v>-150</v>
      </c>
      <c r="Q875" s="78" t="str">
        <f>_xlfn.XLOOKUP(tblMovimientos[[#This Row],[Cuenta Bancaria]],Cuentas!$C:$C,Cuentas!$A:$A,"")&amp;""</f>
        <v>SSP Group</v>
      </c>
      <c r="R875" s="78" t="str">
        <f>_xlfn.XLOOKUP(tblMovimientos[[#This Row],[Cuenta Bancaria]],Cuentas!$C:$C,Cuentas!$B:$B,"",0,-1)&amp;""</f>
        <v/>
      </c>
    </row>
    <row r="876" spans="2:18" x14ac:dyDescent="0.3">
      <c r="B876" s="39">
        <v>46265</v>
      </c>
      <c r="C876" s="4" t="str">
        <f>_xlfn.XLOOKUP(tblMovimientos[[#This Row],[Cuenta Bancaria]],Listas!$B:$B,Listas!$A:$A,"")</f>
        <v>112 Florida Ave</v>
      </c>
      <c r="D876" s="41" t="s">
        <v>123</v>
      </c>
      <c r="E876" s="68" t="str">
        <f>_xlfn.XLOOKUP(tblMovimientos[[#This Row],[Cuenta Bancaria]],Listas!$B:$B,Listas!$C:$C,"")</f>
        <v>Bank of America</v>
      </c>
      <c r="F876" s="41" t="s">
        <v>10</v>
      </c>
      <c r="G876" s="41" t="s">
        <v>38</v>
      </c>
      <c r="H876" s="4" t="str">
        <f>IFERROR(_xlfn.XLOOKUP(G876,Listas!E:E,Listas!F:F,""),"")</f>
        <v>Operativo</v>
      </c>
      <c r="I876" s="46" t="str">
        <f>IFERROR(_xlfn.XLOOKUP(G876,Listas!E:E,Listas!G:G,""),"")</f>
        <v>Externo</v>
      </c>
      <c r="J876" s="43">
        <v>3000</v>
      </c>
      <c r="K876" s="5">
        <f t="shared" si="13"/>
        <v>-3000</v>
      </c>
      <c r="L876" s="15" t="s">
        <v>132</v>
      </c>
      <c r="M876" s="44">
        <f>SUMIFS('Saldos Iniciales'!$D:$D,'Saldos Iniciales'!$A:$A,C876,'Saldos Iniciales'!$B:$B,D876)+SUMIFS($K$1:$K$1324,$C$1:$C$1324,C876,$D$1:$D$1324,D876,$B$1:$B$1324,"&lt;="&amp;B876)</f>
        <v>26559.170000000006</v>
      </c>
      <c r="N876" s="61" t="str">
        <f>IF(tblMovimientos[[#This Row],[Tipo de Movimiento]]="Ingreso",tblMovimientos[[#This Row],[Monto (S/)]],"0")</f>
        <v>0</v>
      </c>
      <c r="O876" s="61">
        <f>IF(tblMovimientos[[#This Row],[Tipo de Movimiento]]="Egreso",tblMovimientos[[#This Row],[Monto (S/)]],"0")</f>
        <v>3000</v>
      </c>
      <c r="P876" s="28">
        <f>IF(tblMovimientos[[#This Row],[Tipo de Movimiento]]="Ingreso",tblMovimientos[[#This Row],[Ingreso]],-tblMovimientos[[#This Row],[Egreso]])</f>
        <v>-3000</v>
      </c>
      <c r="Q876" s="78" t="str">
        <f>_xlfn.XLOOKUP(tblMovimientos[[#This Row],[Cuenta Bancaria]],Cuentas!$C:$C,Cuentas!$A:$A,"")&amp;""</f>
        <v>SSP Group</v>
      </c>
      <c r="R876" s="78" t="str">
        <f>_xlfn.XLOOKUP(tblMovimientos[[#This Row],[Cuenta Bancaria]],Cuentas!$C:$C,Cuentas!$B:$B,"",0,-1)&amp;""</f>
        <v/>
      </c>
    </row>
    <row r="877" spans="2:18" x14ac:dyDescent="0.3">
      <c r="B877" s="39">
        <v>46265</v>
      </c>
      <c r="C877" s="4" t="str">
        <f>_xlfn.XLOOKUP(tblMovimientos[[#This Row],[Cuenta Bancaria]],Listas!$B:$B,Listas!$A:$A,"")</f>
        <v>3628 Thomas Ave</v>
      </c>
      <c r="D877" s="41" t="s">
        <v>124</v>
      </c>
      <c r="E877" s="68" t="str">
        <f>_xlfn.XLOOKUP(tblMovimientos[[#This Row],[Cuenta Bancaria]],Listas!$B:$B,Listas!$C:$C,"")</f>
        <v>Bank of America</v>
      </c>
      <c r="F877" s="41" t="s">
        <v>9</v>
      </c>
      <c r="G877" s="41" t="s">
        <v>81</v>
      </c>
      <c r="H877" s="4" t="str">
        <f>IFERROR(_xlfn.XLOOKUP(G877,Listas!E:E,Listas!F:F,""),"")</f>
        <v>Operativo</v>
      </c>
      <c r="I877" s="46" t="str">
        <f>IFERROR(_xlfn.XLOOKUP(G877,Listas!E:E,Listas!G:G,""),"")</f>
        <v>Externo</v>
      </c>
      <c r="J877" s="43">
        <v>4400</v>
      </c>
      <c r="K877" s="5">
        <f t="shared" si="13"/>
        <v>4400</v>
      </c>
      <c r="L877" s="15" t="s">
        <v>132</v>
      </c>
      <c r="M877" s="44">
        <f>SUMIFS('Saldos Iniciales'!$D:$D,'Saldos Iniciales'!$A:$A,C877,'Saldos Iniciales'!$B:$B,D877)+SUMIFS($K$1:$K$1324,$C$1:$C$1324,C877,$D$1:$D$1324,D877,$B$1:$B$1324,"&lt;="&amp;B877)</f>
        <v>23736.039999999997</v>
      </c>
      <c r="N877" s="61">
        <f>IF(tblMovimientos[[#This Row],[Tipo de Movimiento]]="Ingreso",tblMovimientos[[#This Row],[Monto (S/)]],"0")</f>
        <v>4400</v>
      </c>
      <c r="O877" s="61" t="str">
        <f>IF(tblMovimientos[[#This Row],[Tipo de Movimiento]]="Egreso",tblMovimientos[[#This Row],[Monto (S/)]],"0")</f>
        <v>0</v>
      </c>
      <c r="P877" s="28">
        <f>IF(tblMovimientos[[#This Row],[Tipo de Movimiento]]="Ingreso",tblMovimientos[[#This Row],[Ingreso]],-tblMovimientos[[#This Row],[Egreso]])</f>
        <v>4400</v>
      </c>
      <c r="Q877" s="78" t="str">
        <f>_xlfn.XLOOKUP(tblMovimientos[[#This Row],[Cuenta Bancaria]],Cuentas!$C:$C,Cuentas!$A:$A,"")&amp;""</f>
        <v>SSP Group</v>
      </c>
      <c r="R877" s="78" t="str">
        <f>_xlfn.XLOOKUP(tblMovimientos[[#This Row],[Cuenta Bancaria]],Cuentas!$C:$C,Cuentas!$B:$B,"",0,-1)&amp;""</f>
        <v/>
      </c>
    </row>
    <row r="878" spans="2:18" x14ac:dyDescent="0.3">
      <c r="B878" s="39">
        <v>46265</v>
      </c>
      <c r="C878" s="4" t="str">
        <f>_xlfn.XLOOKUP(tblMovimientos[[#This Row],[Cuenta Bancaria]],Listas!$B:$B,Listas!$A:$A,"")</f>
        <v>SSP Capital</v>
      </c>
      <c r="D878" s="41" t="s">
        <v>106</v>
      </c>
      <c r="E878" s="68" t="str">
        <f>_xlfn.XLOOKUP(tblMovimientos[[#This Row],[Cuenta Bancaria]],Listas!$B:$B,Listas!$C:$C,"")</f>
        <v>Amerant Bank Money Market</v>
      </c>
      <c r="F878" s="41" t="s">
        <v>9</v>
      </c>
      <c r="G878" s="41" t="s">
        <v>84</v>
      </c>
      <c r="H878" s="4" t="str">
        <f>IFERROR(_xlfn.XLOOKUP(G878,Listas!E:E,Listas!F:F,""),"")</f>
        <v>Operativo</v>
      </c>
      <c r="I878" s="46" t="str">
        <f>IFERROR(_xlfn.XLOOKUP(G878,Listas!E:E,Listas!G:G,""),"")</f>
        <v>Externo</v>
      </c>
      <c r="J878" s="43">
        <v>2434.02</v>
      </c>
      <c r="K878" s="5">
        <f t="shared" si="13"/>
        <v>2434.02</v>
      </c>
      <c r="L878" s="15" t="s">
        <v>132</v>
      </c>
      <c r="M878" s="44">
        <f>SUMIFS('Saldos Iniciales'!$D:$D,'Saldos Iniciales'!$A:$A,C878,'Saldos Iniciales'!$B:$B,D878)+SUMIFS($K$1:$K$1324,$C$1:$C$1324,C878,$D$1:$D$1324,D878,$B$1:$B$1324,"&lt;="&amp;B878)</f>
        <v>811541.34</v>
      </c>
      <c r="N878" s="61">
        <f>IF(tblMovimientos[[#This Row],[Tipo de Movimiento]]="Ingreso",tblMovimientos[[#This Row],[Monto (S/)]],"0")</f>
        <v>2434.02</v>
      </c>
      <c r="O878" s="61" t="str">
        <f>IF(tblMovimientos[[#This Row],[Tipo de Movimiento]]="Egreso",tblMovimientos[[#This Row],[Monto (S/)]],"0")</f>
        <v>0</v>
      </c>
      <c r="P878" s="28">
        <f>IF(tblMovimientos[[#This Row],[Tipo de Movimiento]]="Ingreso",tblMovimientos[[#This Row],[Ingreso]],-tblMovimientos[[#This Row],[Egreso]])</f>
        <v>2434.02</v>
      </c>
      <c r="Q878" s="78" t="str">
        <f>_xlfn.XLOOKUP(tblMovimientos[[#This Row],[Cuenta Bancaria]],Cuentas!$C:$C,Cuentas!$A:$A,"")&amp;""</f>
        <v>SSP Group</v>
      </c>
      <c r="R878" s="78" t="str">
        <f>_xlfn.XLOOKUP(tblMovimientos[[#This Row],[Cuenta Bancaria]],Cuentas!$C:$C,Cuentas!$B:$B,"",0,-1)&amp;""</f>
        <v/>
      </c>
    </row>
    <row r="879" spans="2:18" x14ac:dyDescent="0.3">
      <c r="B879" s="39">
        <v>46265</v>
      </c>
      <c r="C879" s="4" t="str">
        <f>_xlfn.XLOOKUP(tblMovimientos[[#This Row],[Cuenta Bancaria]],Listas!$B:$B,Listas!$A:$A,"")</f>
        <v xml:space="preserve">Five Capital </v>
      </c>
      <c r="D879" s="41" t="s">
        <v>190</v>
      </c>
      <c r="E879" s="68" t="str">
        <f>_xlfn.XLOOKUP(tblMovimientos[[#This Row],[Cuenta Bancaria]],Listas!$B:$B,Listas!$C:$C,"")</f>
        <v>Bank of America</v>
      </c>
      <c r="F879" s="41" t="s">
        <v>10</v>
      </c>
      <c r="G879" s="41" t="s">
        <v>38</v>
      </c>
      <c r="H879" s="4" t="str">
        <f>IFERROR(_xlfn.XLOOKUP(G879,Listas!E:E,Listas!F:F,""),"")</f>
        <v>Operativo</v>
      </c>
      <c r="I879" s="46" t="str">
        <f>IFERROR(_xlfn.XLOOKUP(G879,Listas!E:E,Listas!G:G,""),"")</f>
        <v>Externo</v>
      </c>
      <c r="J879" s="43">
        <v>0</v>
      </c>
      <c r="K879" s="5">
        <f t="shared" si="13"/>
        <v>0</v>
      </c>
      <c r="L879" s="15" t="s">
        <v>132</v>
      </c>
      <c r="M879" s="44">
        <f>SUMIFS('Saldos Iniciales'!$D:$D,'Saldos Iniciales'!$A:$A,C879,'Saldos Iniciales'!$B:$B,D879)+SUMIFS($K$1:$K$1324,$C$1:$C$1324,C879,$D$1:$D$1324,D879,$B$1:$B$1324,"&lt;="&amp;B879)</f>
        <v>5445.57</v>
      </c>
      <c r="N879" s="61" t="str">
        <f>IF(tblMovimientos[[#This Row],[Tipo de Movimiento]]="Ingreso",tblMovimientos[[#This Row],[Monto (S/)]],"0")</f>
        <v>0</v>
      </c>
      <c r="O879" s="61">
        <f>IF(tblMovimientos[[#This Row],[Tipo de Movimiento]]="Egreso",tblMovimientos[[#This Row],[Monto (S/)]],"0")</f>
        <v>0</v>
      </c>
      <c r="P879" s="28">
        <f>IF(tblMovimientos[[#This Row],[Tipo de Movimiento]]="Ingreso",tblMovimientos[[#This Row],[Ingreso]],-tblMovimientos[[#This Row],[Egreso]])</f>
        <v>0</v>
      </c>
      <c r="Q879" s="78" t="str">
        <f>_xlfn.XLOOKUP(tblMovimientos[[#This Row],[Cuenta Bancaria]],Cuentas!$C:$C,Cuentas!$A:$A,"")&amp;""</f>
        <v>Michael Cross</v>
      </c>
      <c r="R879" s="78" t="str">
        <f>_xlfn.XLOOKUP(tblMovimientos[[#This Row],[Cuenta Bancaria]],Cuentas!$C:$C,Cuentas!$B:$B,"",0,-1)&amp;""</f>
        <v/>
      </c>
    </row>
    <row r="880" spans="2:18" x14ac:dyDescent="0.3">
      <c r="B880" s="39">
        <v>46265</v>
      </c>
      <c r="C880" s="4" t="str">
        <f>_xlfn.XLOOKUP(tblMovimientos[[#This Row],[Cuenta Bancaria]],Listas!$B:$B,Listas!$A:$A,"")</f>
        <v>360 Harbor Lane LLC</v>
      </c>
      <c r="D880" s="41" t="s">
        <v>189</v>
      </c>
      <c r="E880" s="68" t="str">
        <f>_xlfn.XLOOKUP(tblMovimientos[[#This Row],[Cuenta Bancaria]],Listas!$B:$B,Listas!$C:$C,"")</f>
        <v xml:space="preserve">Amerant Bank </v>
      </c>
      <c r="F880" s="41" t="s">
        <v>10</v>
      </c>
      <c r="G880" s="41" t="s">
        <v>38</v>
      </c>
      <c r="H880" s="4" t="str">
        <f>IFERROR(_xlfn.XLOOKUP(G880,Listas!E:E,Listas!F:F,""),"")</f>
        <v>Operativo</v>
      </c>
      <c r="I880" s="46" t="str">
        <f>IFERROR(_xlfn.XLOOKUP(G880,Listas!E:E,Listas!G:G,""),"")</f>
        <v>Externo</v>
      </c>
      <c r="J880" s="43">
        <v>0</v>
      </c>
      <c r="K880" s="5">
        <f t="shared" si="13"/>
        <v>0</v>
      </c>
      <c r="L880" s="15" t="s">
        <v>132</v>
      </c>
      <c r="M880" s="44">
        <f>SUMIFS('Saldos Iniciales'!$D:$D,'Saldos Iniciales'!$A:$A,C880,'Saldos Iniciales'!$B:$B,D880)+SUMIFS($K$1:$K$1324,$C$1:$C$1324,C880,$D$1:$D$1324,D880,$B$1:$B$1324,"&lt;="&amp;B880)</f>
        <v>794.01</v>
      </c>
      <c r="N880" s="61" t="str">
        <f>IF(tblMovimientos[[#This Row],[Tipo de Movimiento]]="Ingreso",tblMovimientos[[#This Row],[Monto (S/)]],"0")</f>
        <v>0</v>
      </c>
      <c r="O880" s="61">
        <f>IF(tblMovimientos[[#This Row],[Tipo de Movimiento]]="Egreso",tblMovimientos[[#This Row],[Monto (S/)]],"0")</f>
        <v>0</v>
      </c>
      <c r="P880" s="28">
        <f>IF(tblMovimientos[[#This Row],[Tipo de Movimiento]]="Ingreso",tblMovimientos[[#This Row],[Ingreso]],-tblMovimientos[[#This Row],[Egreso]])</f>
        <v>0</v>
      </c>
      <c r="Q880" s="78" t="str">
        <f>_xlfn.XLOOKUP(tblMovimientos[[#This Row],[Cuenta Bancaria]],Cuentas!$C:$C,Cuentas!$A:$A,"")&amp;""</f>
        <v>Michael Cross</v>
      </c>
      <c r="R880" s="78" t="str">
        <f>_xlfn.XLOOKUP(tblMovimientos[[#This Row],[Cuenta Bancaria]],Cuentas!$C:$C,Cuentas!$B:$B,"",0,-1)&amp;""</f>
        <v/>
      </c>
    </row>
    <row r="881" spans="1:18" x14ac:dyDescent="0.3">
      <c r="B881" s="39">
        <v>46266</v>
      </c>
      <c r="C881" s="4" t="str">
        <f>_xlfn.XLOOKUP(tblMovimientos[[#This Row],[Cuenta Bancaria]],Listas!$B:$B,Listas!$A:$A,"")</f>
        <v>CFT Group</v>
      </c>
      <c r="D881" s="41" t="s">
        <v>94</v>
      </c>
      <c r="E881" s="68" t="str">
        <f>_xlfn.XLOOKUP(tblMovimientos[[#This Row],[Cuenta Bancaria]],Listas!$B:$B,Listas!$C:$C,"")</f>
        <v>Bank of America</v>
      </c>
      <c r="F881" s="41" t="s">
        <v>10</v>
      </c>
      <c r="G881" s="41" t="s">
        <v>42</v>
      </c>
      <c r="H881" s="4" t="str">
        <f>IFERROR(_xlfn.XLOOKUP(G881,Listas!E:E,Listas!F:F,""),"")</f>
        <v>Operativo</v>
      </c>
      <c r="I881" s="46" t="str">
        <f>IFERROR(_xlfn.XLOOKUP(G881,Listas!E:E,Listas!G:G,""),"")</f>
        <v>Externo</v>
      </c>
      <c r="J881" s="43">
        <v>611.1</v>
      </c>
      <c r="K881" s="5">
        <f t="shared" si="13"/>
        <v>-611.1</v>
      </c>
      <c r="L881" s="15" t="s">
        <v>133</v>
      </c>
      <c r="M881" s="44">
        <f>SUMIFS('Saldos Iniciales'!$D:$D,'Saldos Iniciales'!$A:$A,C881,'Saldos Iniciales'!$B:$B,D881)+SUMIFS($K$1:$K$1324,$C$1:$C$1324,C881,$D$1:$D$1324,D881,$B$1:$B$1324,"&lt;="&amp;B881)</f>
        <v>434271.23</v>
      </c>
      <c r="N881" s="61" t="str">
        <f>IF(tblMovimientos[[#This Row],[Tipo de Movimiento]]="Ingreso",tblMovimientos[[#This Row],[Monto (S/)]],"0")</f>
        <v>0</v>
      </c>
      <c r="O881" s="61">
        <f>IF(tblMovimientos[[#This Row],[Tipo de Movimiento]]="Egreso",tblMovimientos[[#This Row],[Monto (S/)]],"0")</f>
        <v>611.1</v>
      </c>
      <c r="P881" s="28">
        <f>IF(tblMovimientos[[#This Row],[Tipo de Movimiento]]="Ingreso",tblMovimientos[[#This Row],[Ingreso]],-tblMovimientos[[#This Row],[Egreso]])</f>
        <v>-611.1</v>
      </c>
      <c r="Q881" s="78" t="str">
        <f>_xlfn.XLOOKUP(tblMovimientos[[#This Row],[Cuenta Bancaria]],Cuentas!$C:$C,Cuentas!$A:$A,"")&amp;""</f>
        <v>SSP Group</v>
      </c>
      <c r="R881" s="78" t="str">
        <f>_xlfn.XLOOKUP(tblMovimientos[[#This Row],[Cuenta Bancaria]],Cuentas!$C:$C,Cuentas!$B:$B,"",0,-1)&amp;""</f>
        <v/>
      </c>
    </row>
    <row r="882" spans="1:18" x14ac:dyDescent="0.3">
      <c r="B882" s="39">
        <v>46266</v>
      </c>
      <c r="C882" s="4" t="str">
        <f>_xlfn.XLOOKUP(tblMovimientos[[#This Row],[Cuenta Bancaria]],Listas!$B:$B,Listas!$A:$A,"")</f>
        <v>Cross Family Trust</v>
      </c>
      <c r="D882" s="41" t="s">
        <v>110</v>
      </c>
      <c r="E882" s="68" t="str">
        <f>_xlfn.XLOOKUP(tblMovimientos[[#This Row],[Cuenta Bancaria]],Listas!$B:$B,Listas!$C:$C,"")</f>
        <v>Bank of America</v>
      </c>
      <c r="F882" s="41" t="s">
        <v>10</v>
      </c>
      <c r="G882" s="41" t="s">
        <v>38</v>
      </c>
      <c r="H882" s="4" t="str">
        <f>IFERROR(_xlfn.XLOOKUP(G882,Listas!E:E,Listas!F:F,""),"")</f>
        <v>Operativo</v>
      </c>
      <c r="I882" s="46" t="str">
        <f>IFERROR(_xlfn.XLOOKUP(G882,Listas!E:E,Listas!G:G,""),"")</f>
        <v>Externo</v>
      </c>
      <c r="J882" s="43">
        <v>6000</v>
      </c>
      <c r="K882" s="5">
        <f t="shared" si="13"/>
        <v>-6000</v>
      </c>
      <c r="L882" s="15" t="s">
        <v>133</v>
      </c>
      <c r="M882" s="44">
        <f>SUMIFS('Saldos Iniciales'!$D:$D,'Saldos Iniciales'!$A:$A,C882,'Saldos Iniciales'!$B:$B,D882)+SUMIFS($K$1:$K$1324,$C$1:$C$1324,C882,$D$1:$D$1324,D882,$B$1:$B$1324,"&lt;="&amp;B882)</f>
        <v>33206.89</v>
      </c>
      <c r="N882" s="61" t="str">
        <f>IF(tblMovimientos[[#This Row],[Tipo de Movimiento]]="Ingreso",tblMovimientos[[#This Row],[Monto (S/)]],"0")</f>
        <v>0</v>
      </c>
      <c r="O882" s="61">
        <f>IF(tblMovimientos[[#This Row],[Tipo de Movimiento]]="Egreso",tblMovimientos[[#This Row],[Monto (S/)]],"0")</f>
        <v>6000</v>
      </c>
      <c r="P882" s="28">
        <f>IF(tblMovimientos[[#This Row],[Tipo de Movimiento]]="Ingreso",tblMovimientos[[#This Row],[Ingreso]],-tblMovimientos[[#This Row],[Egreso]])</f>
        <v>-6000</v>
      </c>
      <c r="Q882" s="78" t="str">
        <f>_xlfn.XLOOKUP(tblMovimientos[[#This Row],[Cuenta Bancaria]],Cuentas!$C:$C,Cuentas!$A:$A,"")&amp;""</f>
        <v>SSP Group</v>
      </c>
      <c r="R882" s="78" t="str">
        <f>_xlfn.XLOOKUP(tblMovimientos[[#This Row],[Cuenta Bancaria]],Cuentas!$C:$C,Cuentas!$B:$B,"",0,-1)&amp;""</f>
        <v>Trust</v>
      </c>
    </row>
    <row r="883" spans="1:18" x14ac:dyDescent="0.3">
      <c r="B883" s="39">
        <v>46266</v>
      </c>
      <c r="C883" s="4" t="str">
        <f>_xlfn.XLOOKUP(tblMovimientos[[#This Row],[Cuenta Bancaria]],Listas!$B:$B,Listas!$A:$A,"")</f>
        <v>Sacred Valley Capital</v>
      </c>
      <c r="D883" s="41" t="s">
        <v>114</v>
      </c>
      <c r="E883" s="68" t="str">
        <f>_xlfn.XLOOKUP(tblMovimientos[[#This Row],[Cuenta Bancaria]],Listas!$B:$B,Listas!$C:$C,"")</f>
        <v>Bank of America</v>
      </c>
      <c r="F883" s="41" t="s">
        <v>10</v>
      </c>
      <c r="G883" s="41" t="s">
        <v>44</v>
      </c>
      <c r="H883" s="4" t="str">
        <f>IFERROR(_xlfn.XLOOKUP(G883,Listas!E:E,Listas!F:F,""),"")</f>
        <v>Operativo</v>
      </c>
      <c r="I883" s="46" t="str">
        <f>IFERROR(_xlfn.XLOOKUP(G883,Listas!E:E,Listas!G:G,""),"")</f>
        <v>Externo</v>
      </c>
      <c r="J883" s="43">
        <v>29.95</v>
      </c>
      <c r="K883" s="5">
        <f t="shared" si="13"/>
        <v>-29.95</v>
      </c>
      <c r="L883" s="15" t="s">
        <v>133</v>
      </c>
      <c r="M883" s="44">
        <f>SUMIFS('Saldos Iniciales'!$D:$D,'Saldos Iniciales'!$A:$A,C883,'Saldos Iniciales'!$B:$B,D883)+SUMIFS($K$1:$K$1324,$C$1:$C$1324,C883,$D$1:$D$1324,D883,$B$1:$B$1324,"&lt;="&amp;B883)</f>
        <v>94.5</v>
      </c>
      <c r="N883" s="61" t="str">
        <f>IF(tblMovimientos[[#This Row],[Tipo de Movimiento]]="Ingreso",tblMovimientos[[#This Row],[Monto (S/)]],"0")</f>
        <v>0</v>
      </c>
      <c r="O883" s="61">
        <f>IF(tblMovimientos[[#This Row],[Tipo de Movimiento]]="Egreso",tblMovimientos[[#This Row],[Monto (S/)]],"0")</f>
        <v>29.95</v>
      </c>
      <c r="P883" s="28">
        <f>IF(tblMovimientos[[#This Row],[Tipo de Movimiento]]="Ingreso",tblMovimientos[[#This Row],[Ingreso]],-tblMovimientos[[#This Row],[Egreso]])</f>
        <v>-29.95</v>
      </c>
      <c r="Q883" s="78" t="str">
        <f>_xlfn.XLOOKUP(tblMovimientos[[#This Row],[Cuenta Bancaria]],Cuentas!$C:$C,Cuentas!$A:$A,"")&amp;""</f>
        <v>SSP Group</v>
      </c>
      <c r="R883" s="78" t="str">
        <f>_xlfn.XLOOKUP(tblMovimientos[[#This Row],[Cuenta Bancaria]],Cuentas!$C:$C,Cuentas!$B:$B,"",0,-1)&amp;""</f>
        <v/>
      </c>
    </row>
    <row r="884" spans="1:18" x14ac:dyDescent="0.3">
      <c r="B884" s="39">
        <v>46266</v>
      </c>
      <c r="C884" s="4" t="str">
        <f>_xlfn.XLOOKUP(tblMovimientos[[#This Row],[Cuenta Bancaria]],Listas!$B:$B,Listas!$A:$A,"")</f>
        <v>YWC Capital</v>
      </c>
      <c r="D884" s="41" t="s">
        <v>115</v>
      </c>
      <c r="E884" s="68" t="str">
        <f>_xlfn.XLOOKUP(tblMovimientos[[#This Row],[Cuenta Bancaria]],Listas!$B:$B,Listas!$C:$C,"")</f>
        <v>Bank of America</v>
      </c>
      <c r="F884" s="41" t="s">
        <v>10</v>
      </c>
      <c r="G884" s="41" t="s">
        <v>44</v>
      </c>
      <c r="H884" s="4" t="str">
        <f>IFERROR(_xlfn.XLOOKUP(G884,Listas!E:E,Listas!F:F,""),"")</f>
        <v>Operativo</v>
      </c>
      <c r="I884" s="46" t="str">
        <f>IFERROR(_xlfn.XLOOKUP(G884,Listas!E:E,Listas!G:G,""),"")</f>
        <v>Externo</v>
      </c>
      <c r="J884" s="43">
        <v>29.95</v>
      </c>
      <c r="K884" s="5">
        <f t="shared" si="13"/>
        <v>-29.95</v>
      </c>
      <c r="L884" s="15" t="s">
        <v>133</v>
      </c>
      <c r="M884" s="44">
        <f>SUMIFS('Saldos Iniciales'!$D:$D,'Saldos Iniciales'!$A:$A,C884,'Saldos Iniciales'!$B:$B,D884)+SUMIFS($K$1:$K$1324,$C$1:$C$1324,C884,$D$1:$D$1324,D884,$B$1:$B$1324,"&lt;="&amp;B884)</f>
        <v>2147.92</v>
      </c>
      <c r="N884" s="61" t="str">
        <f>IF(tblMovimientos[[#This Row],[Tipo de Movimiento]]="Ingreso",tblMovimientos[[#This Row],[Monto (S/)]],"0")</f>
        <v>0</v>
      </c>
      <c r="O884" s="61">
        <f>IF(tblMovimientos[[#This Row],[Tipo de Movimiento]]="Egreso",tblMovimientos[[#This Row],[Monto (S/)]],"0")</f>
        <v>29.95</v>
      </c>
      <c r="P884" s="28">
        <f>IF(tblMovimientos[[#This Row],[Tipo de Movimiento]]="Ingreso",tblMovimientos[[#This Row],[Ingreso]],-tblMovimientos[[#This Row],[Egreso]])</f>
        <v>-29.95</v>
      </c>
      <c r="Q884" s="78" t="str">
        <f>_xlfn.XLOOKUP(tblMovimientos[[#This Row],[Cuenta Bancaria]],Cuentas!$C:$C,Cuentas!$A:$A,"")&amp;""</f>
        <v>SSP Group</v>
      </c>
      <c r="R884" s="78" t="str">
        <f>_xlfn.XLOOKUP(tblMovimientos[[#This Row],[Cuenta Bancaria]],Cuentas!$C:$C,Cuentas!$B:$B,"",0,-1)&amp;""</f>
        <v/>
      </c>
    </row>
    <row r="885" spans="1:18" x14ac:dyDescent="0.3">
      <c r="B885" s="39">
        <v>46266</v>
      </c>
      <c r="C885" s="4" t="str">
        <f>_xlfn.XLOOKUP(tblMovimientos[[#This Row],[Cuenta Bancaria]],Listas!$B:$B,Listas!$A:$A,"")</f>
        <v>Arbor Capital Properties</v>
      </c>
      <c r="D885" s="41" t="s">
        <v>120</v>
      </c>
      <c r="E885" s="68" t="str">
        <f>_xlfn.XLOOKUP(tblMovimientos[[#This Row],[Cuenta Bancaria]],Listas!$B:$B,Listas!$C:$C,"")</f>
        <v>Bank of America</v>
      </c>
      <c r="F885" s="41" t="s">
        <v>10</v>
      </c>
      <c r="G885" s="41" t="s">
        <v>44</v>
      </c>
      <c r="H885" s="4" t="str">
        <f>IFERROR(_xlfn.XLOOKUP(G885,Listas!E:E,Listas!F:F,""),"")</f>
        <v>Operativo</v>
      </c>
      <c r="I885" s="46" t="str">
        <f>IFERROR(_xlfn.XLOOKUP(G885,Listas!E:E,Listas!G:G,""),"")</f>
        <v>Externo</v>
      </c>
      <c r="J885" s="43">
        <v>16</v>
      </c>
      <c r="K885" s="5">
        <f t="shared" si="13"/>
        <v>-16</v>
      </c>
      <c r="L885" s="15" t="s">
        <v>133</v>
      </c>
      <c r="M885" s="44">
        <f>SUMIFS('Saldos Iniciales'!$D:$D,'Saldos Iniciales'!$A:$A,C885,'Saldos Iniciales'!$B:$B,D885)+SUMIFS($K$1:$K$1324,$C$1:$C$1324,C885,$D$1:$D$1324,D885,$B$1:$B$1324,"&lt;="&amp;B885)</f>
        <v>1380.08</v>
      </c>
      <c r="N885" s="61" t="str">
        <f>IF(tblMovimientos[[#This Row],[Tipo de Movimiento]]="Ingreso",tblMovimientos[[#This Row],[Monto (S/)]],"0")</f>
        <v>0</v>
      </c>
      <c r="O885" s="61">
        <f>IF(tblMovimientos[[#This Row],[Tipo de Movimiento]]="Egreso",tblMovimientos[[#This Row],[Monto (S/)]],"0")</f>
        <v>16</v>
      </c>
      <c r="P885" s="28">
        <f>IF(tblMovimientos[[#This Row],[Tipo de Movimiento]]="Ingreso",tblMovimientos[[#This Row],[Ingreso]],-tblMovimientos[[#This Row],[Egreso]])</f>
        <v>-16</v>
      </c>
      <c r="Q885" s="78" t="str">
        <f>_xlfn.XLOOKUP(tblMovimientos[[#This Row],[Cuenta Bancaria]],Cuentas!$C:$C,Cuentas!$A:$A,"")&amp;""</f>
        <v>SSP Group</v>
      </c>
      <c r="R885" s="78" t="str">
        <f>_xlfn.XLOOKUP(tblMovimientos[[#This Row],[Cuenta Bancaria]],Cuentas!$C:$C,Cuentas!$B:$B,"",0,-1)&amp;""</f>
        <v/>
      </c>
    </row>
    <row r="886" spans="1:18" x14ac:dyDescent="0.3">
      <c r="B886" s="39">
        <v>46266</v>
      </c>
      <c r="C886" s="4" t="str">
        <f>_xlfn.XLOOKUP(tblMovimientos[[#This Row],[Cuenta Bancaria]],Listas!$B:$B,Listas!$A:$A,"")</f>
        <v>2515 Overbrook</v>
      </c>
      <c r="D886" s="41" t="s">
        <v>121</v>
      </c>
      <c r="E886" s="68" t="str">
        <f>_xlfn.XLOOKUP(tblMovimientos[[#This Row],[Cuenta Bancaria]],Listas!$B:$B,Listas!$C:$C,"")</f>
        <v>Bank of America</v>
      </c>
      <c r="F886" s="41" t="s">
        <v>10</v>
      </c>
      <c r="G886" s="41" t="s">
        <v>46</v>
      </c>
      <c r="H886" s="4" t="str">
        <f>IFERROR(_xlfn.XLOOKUP(G886,Listas!E:E,Listas!F:F,""),"")</f>
        <v>Financiamiento</v>
      </c>
      <c r="I886" s="46" t="str">
        <f>IFERROR(_xlfn.XLOOKUP(G886,Listas!E:E,Listas!G:G,""),"")</f>
        <v>Externo</v>
      </c>
      <c r="J886" s="43">
        <v>8533.33</v>
      </c>
      <c r="K886" s="5">
        <f t="shared" si="13"/>
        <v>-8533.33</v>
      </c>
      <c r="L886" s="15" t="s">
        <v>133</v>
      </c>
      <c r="M886" s="44">
        <f>SUMIFS('Saldos Iniciales'!$D:$D,'Saldos Iniciales'!$A:$A,C886,'Saldos Iniciales'!$B:$B,D886)+SUMIFS($K$1:$K$1324,$C$1:$C$1324,C886,$D$1:$D$1324,D886,$B$1:$B$1324,"&lt;="&amp;B886)</f>
        <v>24726.959999999963</v>
      </c>
      <c r="N886" s="61" t="str">
        <f>IF(tblMovimientos[[#This Row],[Tipo de Movimiento]]="Ingreso",tblMovimientos[[#This Row],[Monto (S/)]],"0")</f>
        <v>0</v>
      </c>
      <c r="O886" s="61">
        <f>IF(tblMovimientos[[#This Row],[Tipo de Movimiento]]="Egreso",tblMovimientos[[#This Row],[Monto (S/)]],"0")</f>
        <v>8533.33</v>
      </c>
      <c r="P886" s="28">
        <f>IF(tblMovimientos[[#This Row],[Tipo de Movimiento]]="Ingreso",tblMovimientos[[#This Row],[Ingreso]],-tblMovimientos[[#This Row],[Egreso]])</f>
        <v>-8533.33</v>
      </c>
      <c r="Q886" s="78" t="str">
        <f>_xlfn.XLOOKUP(tblMovimientos[[#This Row],[Cuenta Bancaria]],Cuentas!$C:$C,Cuentas!$A:$A,"")&amp;""</f>
        <v>SSP Group</v>
      </c>
      <c r="R886" s="78" t="str">
        <f>_xlfn.XLOOKUP(tblMovimientos[[#This Row],[Cuenta Bancaria]],Cuentas!$C:$C,Cuentas!$B:$B,"",0,-1)&amp;""</f>
        <v/>
      </c>
    </row>
    <row r="887" spans="1:18" x14ac:dyDescent="0.3">
      <c r="B887" s="39">
        <v>46266</v>
      </c>
      <c r="C887" s="4" t="str">
        <f>_xlfn.XLOOKUP(tblMovimientos[[#This Row],[Cuenta Bancaria]],Listas!$B:$B,Listas!$A:$A,"")</f>
        <v>2515 Overbrook</v>
      </c>
      <c r="D887" s="41" t="s">
        <v>122</v>
      </c>
      <c r="E887" s="68" t="str">
        <f>_xlfn.XLOOKUP(tblMovimientos[[#This Row],[Cuenta Bancaria]],Listas!$B:$B,Listas!$C:$C,"")</f>
        <v>Bank of America</v>
      </c>
      <c r="F887" s="41" t="s">
        <v>10</v>
      </c>
      <c r="G887" s="41" t="s">
        <v>44</v>
      </c>
      <c r="H887" s="4" t="str">
        <f>IFERROR(_xlfn.XLOOKUP(G887,Listas!E:E,Listas!F:F,""),"")</f>
        <v>Operativo</v>
      </c>
      <c r="I887" s="46" t="str">
        <f>IFERROR(_xlfn.XLOOKUP(G887,Listas!E:E,Listas!G:G,""),"")</f>
        <v>Externo</v>
      </c>
      <c r="J887" s="43">
        <v>10</v>
      </c>
      <c r="K887" s="5">
        <f t="shared" si="13"/>
        <v>-10</v>
      </c>
      <c r="L887" s="15" t="s">
        <v>133</v>
      </c>
      <c r="M887" s="44">
        <f>SUMIFS('Saldos Iniciales'!$D:$D,'Saldos Iniciales'!$A:$A,C887,'Saldos Iniciales'!$B:$B,D887)+SUMIFS($K$1:$K$1324,$C$1:$C$1324,C887,$D$1:$D$1324,D887,$B$1:$B$1324,"&lt;="&amp;B887)</f>
        <v>300.42</v>
      </c>
      <c r="N887" s="61" t="str">
        <f>IF(tblMovimientos[[#This Row],[Tipo de Movimiento]]="Ingreso",tblMovimientos[[#This Row],[Monto (S/)]],"0")</f>
        <v>0</v>
      </c>
      <c r="O887" s="61">
        <f>IF(tblMovimientos[[#This Row],[Tipo de Movimiento]]="Egreso",tblMovimientos[[#This Row],[Monto (S/)]],"0")</f>
        <v>10</v>
      </c>
      <c r="P887" s="28">
        <f>IF(tblMovimientos[[#This Row],[Tipo de Movimiento]]="Ingreso",tblMovimientos[[#This Row],[Ingreso]],-tblMovimientos[[#This Row],[Egreso]])</f>
        <v>-10</v>
      </c>
      <c r="Q887" s="78" t="str">
        <f>_xlfn.XLOOKUP(tblMovimientos[[#This Row],[Cuenta Bancaria]],Cuentas!$C:$C,Cuentas!$A:$A,"")&amp;""</f>
        <v>SSP Group</v>
      </c>
      <c r="R887" s="78" t="str">
        <f>_xlfn.XLOOKUP(tblMovimientos[[#This Row],[Cuenta Bancaria]],Cuentas!$C:$C,Cuentas!$B:$B,"",0,-1)&amp;""</f>
        <v/>
      </c>
    </row>
    <row r="888" spans="1:18" x14ac:dyDescent="0.3">
      <c r="B888" s="39">
        <v>46266</v>
      </c>
      <c r="C888" s="4" t="str">
        <f>_xlfn.XLOOKUP(tblMovimientos[[#This Row],[Cuenta Bancaria]],Listas!$B:$B,Listas!$A:$A,"")</f>
        <v>112 Florida Ave</v>
      </c>
      <c r="D888" s="41" t="s">
        <v>123</v>
      </c>
      <c r="E888" s="68" t="str">
        <f>_xlfn.XLOOKUP(tblMovimientos[[#This Row],[Cuenta Bancaria]],Listas!$B:$B,Listas!$C:$C,"")</f>
        <v>Bank of America</v>
      </c>
      <c r="F888" s="41" t="s">
        <v>10</v>
      </c>
      <c r="G888" s="41" t="s">
        <v>48</v>
      </c>
      <c r="H888" s="4" t="str">
        <f>IFERROR(_xlfn.XLOOKUP(G888,Listas!E:E,Listas!F:F,""),"")</f>
        <v>Financiamiento</v>
      </c>
      <c r="I888" s="46" t="str">
        <f>IFERROR(_xlfn.XLOOKUP(G888,Listas!E:E,Listas!G:G,""),"")</f>
        <v>Externo</v>
      </c>
      <c r="J888" s="43">
        <v>9798.6299999999992</v>
      </c>
      <c r="K888" s="5">
        <f t="shared" si="13"/>
        <v>-9798.6299999999992</v>
      </c>
      <c r="L888" s="15" t="s">
        <v>133</v>
      </c>
      <c r="M888" s="44">
        <f>SUMIFS('Saldos Iniciales'!$D:$D,'Saldos Iniciales'!$A:$A,C888,'Saldos Iniciales'!$B:$B,D888)+SUMIFS($K$1:$K$1324,$C$1:$C$1324,C888,$D$1:$D$1324,D888,$B$1:$B$1324,"&lt;="&amp;B888)</f>
        <v>16760.540000000008</v>
      </c>
      <c r="N888" s="61" t="str">
        <f>IF(tblMovimientos[[#This Row],[Tipo de Movimiento]]="Ingreso",tblMovimientos[[#This Row],[Monto (S/)]],"0")</f>
        <v>0</v>
      </c>
      <c r="O888" s="61">
        <f>IF(tblMovimientos[[#This Row],[Tipo de Movimiento]]="Egreso",tblMovimientos[[#This Row],[Monto (S/)]],"0")</f>
        <v>9798.6299999999992</v>
      </c>
      <c r="P888" s="28">
        <f>IF(tblMovimientos[[#This Row],[Tipo de Movimiento]]="Ingreso",tblMovimientos[[#This Row],[Ingreso]],-tblMovimientos[[#This Row],[Egreso]])</f>
        <v>-9798.6299999999992</v>
      </c>
      <c r="Q888" s="78" t="str">
        <f>_xlfn.XLOOKUP(tblMovimientos[[#This Row],[Cuenta Bancaria]],Cuentas!$C:$C,Cuentas!$A:$A,"")&amp;""</f>
        <v>SSP Group</v>
      </c>
      <c r="R888" s="78" t="str">
        <f>_xlfn.XLOOKUP(tblMovimientos[[#This Row],[Cuenta Bancaria]],Cuentas!$C:$C,Cuentas!$B:$B,"",0,-1)&amp;""</f>
        <v/>
      </c>
    </row>
    <row r="889" spans="1:18" x14ac:dyDescent="0.3">
      <c r="B889" s="39">
        <v>46266</v>
      </c>
      <c r="C889" s="4" t="str">
        <f>_xlfn.XLOOKUP(tblMovimientos[[#This Row],[Cuenta Bancaria]],Listas!$B:$B,Listas!$A:$A,"")</f>
        <v>3628 Thomas Ave</v>
      </c>
      <c r="D889" s="41" t="s">
        <v>124</v>
      </c>
      <c r="E889" s="68" t="str">
        <f>_xlfn.XLOOKUP(tblMovimientos[[#This Row],[Cuenta Bancaria]],Listas!$B:$B,Listas!$C:$C,"")</f>
        <v>Bank of America</v>
      </c>
      <c r="F889" s="41" t="s">
        <v>10</v>
      </c>
      <c r="G889" s="41" t="s">
        <v>48</v>
      </c>
      <c r="H889" s="4" t="str">
        <f>IFERROR(_xlfn.XLOOKUP(G889,Listas!E:E,Listas!F:F,""),"")</f>
        <v>Financiamiento</v>
      </c>
      <c r="I889" s="46" t="str">
        <f>IFERROR(_xlfn.XLOOKUP(G889,Listas!E:E,Listas!G:G,""),"")</f>
        <v>Externo</v>
      </c>
      <c r="J889" s="43">
        <v>8773.0400000000009</v>
      </c>
      <c r="K889" s="5">
        <f t="shared" si="13"/>
        <v>-8773.0400000000009</v>
      </c>
      <c r="L889" s="15" t="s">
        <v>133</v>
      </c>
      <c r="M889" s="44">
        <f>SUMIFS('Saldos Iniciales'!$D:$D,'Saldos Iniciales'!$A:$A,C889,'Saldos Iniciales'!$B:$B,D889)+SUMIFS($K$1:$K$1324,$C$1:$C$1324,C889,$D$1:$D$1324,D889,$B$1:$B$1324,"&lt;="&amp;B889)</f>
        <v>14962.999999999996</v>
      </c>
      <c r="N889" s="61" t="str">
        <f>IF(tblMovimientos[[#This Row],[Tipo de Movimiento]]="Ingreso",tblMovimientos[[#This Row],[Monto (S/)]],"0")</f>
        <v>0</v>
      </c>
      <c r="O889" s="61">
        <f>IF(tblMovimientos[[#This Row],[Tipo de Movimiento]]="Egreso",tblMovimientos[[#This Row],[Monto (S/)]],"0")</f>
        <v>8773.0400000000009</v>
      </c>
      <c r="P889" s="28">
        <f>IF(tblMovimientos[[#This Row],[Tipo de Movimiento]]="Ingreso",tblMovimientos[[#This Row],[Ingreso]],-tblMovimientos[[#This Row],[Egreso]])</f>
        <v>-8773.0400000000009</v>
      </c>
      <c r="Q889" s="78" t="str">
        <f>_xlfn.XLOOKUP(tblMovimientos[[#This Row],[Cuenta Bancaria]],Cuentas!$C:$C,Cuentas!$A:$A,"")&amp;""</f>
        <v>SSP Group</v>
      </c>
      <c r="R889" s="78" t="str">
        <f>_xlfn.XLOOKUP(tblMovimientos[[#This Row],[Cuenta Bancaria]],Cuentas!$C:$C,Cuentas!$B:$B,"",0,-1)&amp;""</f>
        <v/>
      </c>
    </row>
    <row r="890" spans="1:18" x14ac:dyDescent="0.3">
      <c r="B890" s="39">
        <v>46266</v>
      </c>
      <c r="C890" s="4" t="str">
        <f>_xlfn.XLOOKUP(tblMovimientos[[#This Row],[Cuenta Bancaria]],Listas!$B:$B,Listas!$A:$A,"")</f>
        <v>CFT Group</v>
      </c>
      <c r="D890" s="41" t="s">
        <v>95</v>
      </c>
      <c r="E890" s="68" t="str">
        <f>_xlfn.XLOOKUP(tblMovimientos[[#This Row],[Cuenta Bancaria]],Listas!$B:$B,Listas!$C:$C,"")</f>
        <v xml:space="preserve">Amerant Bank </v>
      </c>
      <c r="F890" s="41" t="s">
        <v>9</v>
      </c>
      <c r="G890" s="41" t="s">
        <v>68</v>
      </c>
      <c r="H890" s="4" t="str">
        <f>IFERROR(_xlfn.XLOOKUP(G890,Listas!E:E,Listas!F:F,""),"")</f>
        <v>Operativo</v>
      </c>
      <c r="I890" s="46" t="str">
        <f>IFERROR(_xlfn.XLOOKUP(G890,Listas!E:E,Listas!G:G,""),"")</f>
        <v>Externo</v>
      </c>
      <c r="J890" s="43">
        <v>17835.61</v>
      </c>
      <c r="K890" s="5">
        <f t="shared" si="13"/>
        <v>17835.61</v>
      </c>
      <c r="L890" s="15" t="s">
        <v>133</v>
      </c>
      <c r="M890" s="44">
        <f>SUMIFS('Saldos Iniciales'!$D:$D,'Saldos Iniciales'!$A:$A,C890,'Saldos Iniciales'!$B:$B,D890)+SUMIFS($K$1:$K$1324,$C$1:$C$1324,C890,$D$1:$D$1324,D890,$B$1:$B$1324,"&lt;="&amp;B890)</f>
        <v>318168.93000000075</v>
      </c>
      <c r="N890" s="61">
        <f>IF(tblMovimientos[[#This Row],[Tipo de Movimiento]]="Ingreso",tblMovimientos[[#This Row],[Monto (S/)]],"0")</f>
        <v>17835.61</v>
      </c>
      <c r="O890" s="61" t="str">
        <f>IF(tblMovimientos[[#This Row],[Tipo de Movimiento]]="Egreso",tblMovimientos[[#This Row],[Monto (S/)]],"0")</f>
        <v>0</v>
      </c>
      <c r="P890" s="28">
        <f>IF(tblMovimientos[[#This Row],[Tipo de Movimiento]]="Ingreso",tblMovimientos[[#This Row],[Ingreso]],-tblMovimientos[[#This Row],[Egreso]])</f>
        <v>17835.61</v>
      </c>
      <c r="Q890" s="78" t="str">
        <f>_xlfn.XLOOKUP(tblMovimientos[[#This Row],[Cuenta Bancaria]],Cuentas!$C:$C,Cuentas!$A:$A,"")&amp;""</f>
        <v>SSP Group</v>
      </c>
      <c r="R890" s="78" t="str">
        <f>_xlfn.XLOOKUP(tblMovimientos[[#This Row],[Cuenta Bancaria]],Cuentas!$C:$C,Cuentas!$B:$B,"",0,-1)&amp;""</f>
        <v/>
      </c>
    </row>
    <row r="891" spans="1:18" x14ac:dyDescent="0.3">
      <c r="B891" s="39">
        <v>46266</v>
      </c>
      <c r="C891" s="4" t="str">
        <f>_xlfn.XLOOKUP(tblMovimientos[[#This Row],[Cuenta Bancaria]],Listas!$B:$B,Listas!$A:$A,"")</f>
        <v>SSP Capital</v>
      </c>
      <c r="D891" s="41" t="s">
        <v>104</v>
      </c>
      <c r="E891" s="68" t="str">
        <f>_xlfn.XLOOKUP(tblMovimientos[[#This Row],[Cuenta Bancaria]],Listas!$B:$B,Listas!$C:$C,"")</f>
        <v xml:space="preserve">Amerant Bank </v>
      </c>
      <c r="F891" s="41" t="s">
        <v>10</v>
      </c>
      <c r="G891" s="41" t="s">
        <v>42</v>
      </c>
      <c r="H891" s="4" t="str">
        <f>IFERROR(_xlfn.XLOOKUP(G891,Listas!E:E,Listas!F:F,""),"")</f>
        <v>Operativo</v>
      </c>
      <c r="I891" s="46" t="str">
        <f>IFERROR(_xlfn.XLOOKUP(G891,Listas!E:E,Listas!G:G,""),"")</f>
        <v>Externo</v>
      </c>
      <c r="J891" s="43">
        <v>70638.59</v>
      </c>
      <c r="K891" s="5">
        <f t="shared" si="13"/>
        <v>-70638.59</v>
      </c>
      <c r="L891" s="15" t="s">
        <v>133</v>
      </c>
      <c r="M891" s="44">
        <f>SUMIFS('Saldos Iniciales'!$D:$D,'Saldos Iniciales'!$A:$A,C891,'Saldos Iniciales'!$B:$B,D891)+SUMIFS($K$1:$K$1324,$C$1:$C$1324,C891,$D$1:$D$1324,D891,$B$1:$B$1324,"&lt;="&amp;B891)</f>
        <v>637579.72999999928</v>
      </c>
      <c r="N891" s="61" t="str">
        <f>IF(tblMovimientos[[#This Row],[Tipo de Movimiento]]="Ingreso",tblMovimientos[[#This Row],[Monto (S/)]],"0")</f>
        <v>0</v>
      </c>
      <c r="O891" s="61">
        <f>IF(tblMovimientos[[#This Row],[Tipo de Movimiento]]="Egreso",tblMovimientos[[#This Row],[Monto (S/)]],"0")</f>
        <v>70638.59</v>
      </c>
      <c r="P891" s="28">
        <f>IF(tblMovimientos[[#This Row],[Tipo de Movimiento]]="Ingreso",tblMovimientos[[#This Row],[Ingreso]],-tblMovimientos[[#This Row],[Egreso]])</f>
        <v>-70638.59</v>
      </c>
      <c r="Q891" s="78" t="str">
        <f>_xlfn.XLOOKUP(tblMovimientos[[#This Row],[Cuenta Bancaria]],Cuentas!$C:$C,Cuentas!$A:$A,"")&amp;""</f>
        <v>SSP Group</v>
      </c>
      <c r="R891" s="78" t="str">
        <f>_xlfn.XLOOKUP(tblMovimientos[[#This Row],[Cuenta Bancaria]],Cuentas!$C:$C,Cuentas!$B:$B,"",0,-1)&amp;""</f>
        <v/>
      </c>
    </row>
    <row r="892" spans="1:18" x14ac:dyDescent="0.3">
      <c r="B892" s="39">
        <v>46266</v>
      </c>
      <c r="C892" s="4" t="str">
        <f>_xlfn.XLOOKUP(tblMovimientos[[#This Row],[Cuenta Bancaria]],Listas!$B:$B,Listas!$A:$A,"")</f>
        <v>Go Blue</v>
      </c>
      <c r="D892" s="41" t="s">
        <v>126</v>
      </c>
      <c r="E892" s="68" t="str">
        <f>_xlfn.XLOOKUP(tblMovimientos[[#This Row],[Cuenta Bancaria]],Listas!$B:$B,Listas!$C:$C,"")</f>
        <v xml:space="preserve">Amerant Bank </v>
      </c>
      <c r="F892" s="41" t="s">
        <v>10</v>
      </c>
      <c r="G892" s="41" t="s">
        <v>38</v>
      </c>
      <c r="H892" s="4" t="str">
        <f>IFERROR(_xlfn.XLOOKUP(G892,Listas!E:E,Listas!F:F,""),"")</f>
        <v>Operativo</v>
      </c>
      <c r="I892" s="46" t="str">
        <f>IFERROR(_xlfn.XLOOKUP(G892,Listas!E:E,Listas!G:G,""),"")</f>
        <v>Externo</v>
      </c>
      <c r="J892" s="43">
        <v>10.25</v>
      </c>
      <c r="K892" s="5">
        <f t="shared" si="13"/>
        <v>-10.25</v>
      </c>
      <c r="L892" s="15" t="s">
        <v>133</v>
      </c>
      <c r="M892" s="44">
        <f>SUMIFS('Saldos Iniciales'!$D:$D,'Saldos Iniciales'!$A:$A,C892,'Saldos Iniciales'!$B:$B,D892)+SUMIFS($K$1:$K$1324,$C$1:$C$1324,C892,$D$1:$D$1324,D892,$B$1:$B$1324,"&lt;="&amp;B892)</f>
        <v>7486.3999999999987</v>
      </c>
      <c r="N892" s="61" t="str">
        <f>IF(tblMovimientos[[#This Row],[Tipo de Movimiento]]="Ingreso",tblMovimientos[[#This Row],[Monto (S/)]],"0")</f>
        <v>0</v>
      </c>
      <c r="O892" s="61">
        <f>IF(tblMovimientos[[#This Row],[Tipo de Movimiento]]="Egreso",tblMovimientos[[#This Row],[Monto (S/)]],"0")</f>
        <v>10.25</v>
      </c>
      <c r="P892" s="28">
        <f>IF(tblMovimientos[[#This Row],[Tipo de Movimiento]]="Ingreso",tblMovimientos[[#This Row],[Ingreso]],-tblMovimientos[[#This Row],[Egreso]])</f>
        <v>-10.25</v>
      </c>
      <c r="Q892" s="78" t="str">
        <f>_xlfn.XLOOKUP(tblMovimientos[[#This Row],[Cuenta Bancaria]],Cuentas!$C:$C,Cuentas!$A:$A,"")&amp;""</f>
        <v>SSP Group</v>
      </c>
      <c r="R892" s="78" t="str">
        <f>_xlfn.XLOOKUP(tblMovimientos[[#This Row],[Cuenta Bancaria]],Cuentas!$C:$C,Cuentas!$B:$B,"",0,-1)&amp;""</f>
        <v/>
      </c>
    </row>
    <row r="893" spans="1:18" x14ac:dyDescent="0.3">
      <c r="A893" s="76"/>
      <c r="B893" s="70">
        <v>46266</v>
      </c>
      <c r="C893" s="4" t="str">
        <f>_xlfn.XLOOKUP(tblMovimientos[[#This Row],[Cuenta Bancaria]],Listas!$B:$B,Listas!$A:$A,"")</f>
        <v>CFT1 Residence</v>
      </c>
      <c r="D893" s="72" t="s">
        <v>184</v>
      </c>
      <c r="E893" s="68" t="str">
        <f>_xlfn.XLOOKUP(tblMovimientos[[#This Row],[Cuenta Bancaria]],Listas!$B:$B,Listas!$C:$C,"")</f>
        <v xml:space="preserve">Amerant Bank </v>
      </c>
      <c r="F893" s="72" t="s">
        <v>10</v>
      </c>
      <c r="G893" s="72" t="s">
        <v>46</v>
      </c>
      <c r="H893" s="77" t="str">
        <f>IFERROR(_xlfn.XLOOKUP(G893,Listas!E:E,Listas!F:F,""),"")</f>
        <v>Financiamiento</v>
      </c>
      <c r="I893" s="71" t="str">
        <f>IFERROR(_xlfn.XLOOKUP(G893,Listas!E:E,Listas!G:G,""),"")</f>
        <v>Externo</v>
      </c>
      <c r="J893" s="73">
        <v>30792.86</v>
      </c>
      <c r="K893" s="5">
        <f t="shared" si="13"/>
        <v>-30792.86</v>
      </c>
      <c r="L893" s="74" t="s">
        <v>133</v>
      </c>
      <c r="M893" s="44">
        <f>SUMIFS('Saldos Iniciales'!$D:$D,'Saldos Iniciales'!$A:$A,C893,'Saldos Iniciales'!$B:$B,D893)+SUMIFS($K$1:$K$1324,$C$1:$C$1324,C893,$D$1:$D$1324,D893,$B$1:$B$1324,"&lt;="&amp;B893)</f>
        <v>18786.199999999997</v>
      </c>
      <c r="N893" s="61" t="str">
        <f>IF(tblMovimientos[[#This Row],[Tipo de Movimiento]]="Ingreso",tblMovimientos[[#This Row],[Monto (S/)]],"0")</f>
        <v>0</v>
      </c>
      <c r="O893" s="61">
        <f>IF(tblMovimientos[[#This Row],[Tipo de Movimiento]]="Egreso",tblMovimientos[[#This Row],[Monto (S/)]],"0")</f>
        <v>30792.86</v>
      </c>
      <c r="P893" s="28">
        <f>IF(tblMovimientos[[#This Row],[Tipo de Movimiento]]="Ingreso",tblMovimientos[[#This Row],[Ingreso]],-tblMovimientos[[#This Row],[Egreso]])</f>
        <v>-30792.86</v>
      </c>
      <c r="Q893" s="78" t="str">
        <f>_xlfn.XLOOKUP(tblMovimientos[[#This Row],[Cuenta Bancaria]],Cuentas!$C:$C,Cuentas!$A:$A,"")&amp;""</f>
        <v>Carmen Cross Irrevocable Trust</v>
      </c>
      <c r="R893" s="78" t="str">
        <f>_xlfn.XLOOKUP(tblMovimientos[[#This Row],[Cuenta Bancaria]],Cuentas!$C:$C,Cuentas!$B:$B,"",0,-1)&amp;""</f>
        <v/>
      </c>
    </row>
    <row r="894" spans="1:18" x14ac:dyDescent="0.3">
      <c r="B894" s="39">
        <v>46266</v>
      </c>
      <c r="C894" s="4" t="str">
        <f>_xlfn.XLOOKUP(tblMovimientos[[#This Row],[Cuenta Bancaria]],Listas!$B:$B,Listas!$A:$A,"")</f>
        <v>Prendamas SRL</v>
      </c>
      <c r="D894" s="41" t="s">
        <v>186</v>
      </c>
      <c r="E894" s="68" t="str">
        <f>_xlfn.XLOOKUP(tblMovimientos[[#This Row],[Cuenta Bancaria]],Listas!$B:$B,Listas!$C:$C,"")</f>
        <v xml:space="preserve">Amerant Bank </v>
      </c>
      <c r="F894" s="41" t="s">
        <v>10</v>
      </c>
      <c r="G894" s="41" t="s">
        <v>38</v>
      </c>
      <c r="H894" s="4" t="str">
        <f>IFERROR(_xlfn.XLOOKUP(G894,Listas!E:E,Listas!F:F,""),"")</f>
        <v>Operativo</v>
      </c>
      <c r="I894" s="46" t="str">
        <f>IFERROR(_xlfn.XLOOKUP(G894,Listas!E:E,Listas!G:G,""),"")</f>
        <v>Externo</v>
      </c>
      <c r="J894" s="43">
        <v>145.57</v>
      </c>
      <c r="K894" s="5">
        <f t="shared" si="13"/>
        <v>-145.57</v>
      </c>
      <c r="L894" s="15" t="s">
        <v>133</v>
      </c>
      <c r="M894" s="44">
        <f>SUMIFS('Saldos Iniciales'!$D:$D,'Saldos Iniciales'!$A:$A,C894,'Saldos Iniciales'!$B:$B,D894)+SUMIFS($K$1:$K$1324,$C$1:$C$1324,C894,$D$1:$D$1324,D894,$B$1:$B$1324,"&lt;="&amp;B894)</f>
        <v>92112.919999999969</v>
      </c>
      <c r="N894" s="61" t="str">
        <f>IF(tblMovimientos[[#This Row],[Tipo de Movimiento]]="Ingreso",tblMovimientos[[#This Row],[Monto (S/)]],"0")</f>
        <v>0</v>
      </c>
      <c r="O894" s="61">
        <f>IF(tblMovimientos[[#This Row],[Tipo de Movimiento]]="Egreso",tblMovimientos[[#This Row],[Monto (S/)]],"0")</f>
        <v>145.57</v>
      </c>
      <c r="P894" s="28">
        <f>IF(tblMovimientos[[#This Row],[Tipo de Movimiento]]="Ingreso",tblMovimientos[[#This Row],[Ingreso]],-tblMovimientos[[#This Row],[Egreso]])</f>
        <v>-145.57</v>
      </c>
      <c r="Q894" s="78" t="str">
        <f>_xlfn.XLOOKUP(tblMovimientos[[#This Row],[Cuenta Bancaria]],Cuentas!$C:$C,Cuentas!$A:$A,"")&amp;""</f>
        <v>Unidades de Negocio</v>
      </c>
      <c r="R894" s="78" t="str">
        <f>_xlfn.XLOOKUP(tblMovimientos[[#This Row],[Cuenta Bancaria]],Cuentas!$C:$C,Cuentas!$B:$B,"",0,-1)&amp;""</f>
        <v/>
      </c>
    </row>
    <row r="895" spans="1:18" x14ac:dyDescent="0.3">
      <c r="B895" s="39">
        <v>46266</v>
      </c>
      <c r="C895" s="4" t="str">
        <f>_xlfn.XLOOKUP(tblMovimientos[[#This Row],[Cuenta Bancaria]],Listas!$B:$B,Listas!$A:$A,"")</f>
        <v>Prendamas SRL</v>
      </c>
      <c r="D895" s="41" t="s">
        <v>186</v>
      </c>
      <c r="E895" s="68" t="str">
        <f>_xlfn.XLOOKUP(tblMovimientos[[#This Row],[Cuenta Bancaria]],Listas!$B:$B,Listas!$C:$C,"")</f>
        <v xml:space="preserve">Amerant Bank </v>
      </c>
      <c r="F895" s="41" t="s">
        <v>10</v>
      </c>
      <c r="G895" s="41" t="s">
        <v>38</v>
      </c>
      <c r="H895" s="4" t="str">
        <f>IFERROR(_xlfn.XLOOKUP(G895,Listas!E:E,Listas!F:F,""),"")</f>
        <v>Operativo</v>
      </c>
      <c r="I895" s="46" t="str">
        <f>IFERROR(_xlfn.XLOOKUP(G895,Listas!E:E,Listas!G:G,""),"")</f>
        <v>Externo</v>
      </c>
      <c r="J895" s="43">
        <v>128.16999999999999</v>
      </c>
      <c r="K895" s="5">
        <f t="shared" si="13"/>
        <v>-128.16999999999999</v>
      </c>
      <c r="L895" s="15" t="s">
        <v>133</v>
      </c>
      <c r="M895" s="44">
        <f>SUMIFS('Saldos Iniciales'!$D:$D,'Saldos Iniciales'!$A:$A,C895,'Saldos Iniciales'!$B:$B,D895)+SUMIFS($K$1:$K$1324,$C$1:$C$1324,C895,$D$1:$D$1324,D895,$B$1:$B$1324,"&lt;="&amp;B895)</f>
        <v>92112.919999999969</v>
      </c>
      <c r="N895" s="61" t="str">
        <f>IF(tblMovimientos[[#This Row],[Tipo de Movimiento]]="Ingreso",tblMovimientos[[#This Row],[Monto (S/)]],"0")</f>
        <v>0</v>
      </c>
      <c r="O895" s="61">
        <f>IF(tblMovimientos[[#This Row],[Tipo de Movimiento]]="Egreso",tblMovimientos[[#This Row],[Monto (S/)]],"0")</f>
        <v>128.16999999999999</v>
      </c>
      <c r="P895" s="28">
        <f>IF(tblMovimientos[[#This Row],[Tipo de Movimiento]]="Ingreso",tblMovimientos[[#This Row],[Ingreso]],-tblMovimientos[[#This Row],[Egreso]])</f>
        <v>-128.16999999999999</v>
      </c>
      <c r="Q895" s="78" t="str">
        <f>_xlfn.XLOOKUP(tblMovimientos[[#This Row],[Cuenta Bancaria]],Cuentas!$C:$C,Cuentas!$A:$A,"")&amp;""</f>
        <v>Unidades de Negocio</v>
      </c>
      <c r="R895" s="78" t="str">
        <f>_xlfn.XLOOKUP(tblMovimientos[[#This Row],[Cuenta Bancaria]],Cuentas!$C:$C,Cuentas!$B:$B,"",0,-1)&amp;""</f>
        <v/>
      </c>
    </row>
    <row r="896" spans="1:18" x14ac:dyDescent="0.3">
      <c r="B896" s="39">
        <v>46266</v>
      </c>
      <c r="C896" s="4" t="str">
        <f>_xlfn.XLOOKUP(tblMovimientos[[#This Row],[Cuenta Bancaria]],Listas!$B:$B,Listas!$A:$A,"")</f>
        <v>Prendamas SRL</v>
      </c>
      <c r="D896" s="41" t="s">
        <v>186</v>
      </c>
      <c r="E896" s="68" t="str">
        <f>_xlfn.XLOOKUP(tblMovimientos[[#This Row],[Cuenta Bancaria]],Listas!$B:$B,Listas!$C:$C,"")</f>
        <v xml:space="preserve">Amerant Bank </v>
      </c>
      <c r="F896" s="41" t="s">
        <v>10</v>
      </c>
      <c r="G896" s="41" t="s">
        <v>44</v>
      </c>
      <c r="H896" s="4" t="str">
        <f>IFERROR(_xlfn.XLOOKUP(G896,Listas!E:E,Listas!F:F,""),"")</f>
        <v>Operativo</v>
      </c>
      <c r="I896" s="46" t="str">
        <f>IFERROR(_xlfn.XLOOKUP(G896,Listas!E:E,Listas!G:G,""),"")</f>
        <v>Externo</v>
      </c>
      <c r="J896" s="43">
        <v>3.85</v>
      </c>
      <c r="K896" s="5">
        <f t="shared" si="13"/>
        <v>-3.85</v>
      </c>
      <c r="L896" s="15" t="s">
        <v>133</v>
      </c>
      <c r="M896" s="44">
        <f>SUMIFS('Saldos Iniciales'!$D:$D,'Saldos Iniciales'!$A:$A,C896,'Saldos Iniciales'!$B:$B,D896)+SUMIFS($K$1:$K$1324,$C$1:$C$1324,C896,$D$1:$D$1324,D896,$B$1:$B$1324,"&lt;="&amp;B896)</f>
        <v>92112.919999999969</v>
      </c>
      <c r="N896" s="61" t="str">
        <f>IF(tblMovimientos[[#This Row],[Tipo de Movimiento]]="Ingreso",tblMovimientos[[#This Row],[Monto (S/)]],"0")</f>
        <v>0</v>
      </c>
      <c r="O896" s="61">
        <f>IF(tblMovimientos[[#This Row],[Tipo de Movimiento]]="Egreso",tblMovimientos[[#This Row],[Monto (S/)]],"0")</f>
        <v>3.85</v>
      </c>
      <c r="P896" s="28">
        <f>IF(tblMovimientos[[#This Row],[Tipo de Movimiento]]="Ingreso",tblMovimientos[[#This Row],[Ingreso]],-tblMovimientos[[#This Row],[Egreso]])</f>
        <v>-3.85</v>
      </c>
      <c r="Q896" s="78" t="str">
        <f>_xlfn.XLOOKUP(tblMovimientos[[#This Row],[Cuenta Bancaria]],Cuentas!$C:$C,Cuentas!$A:$A,"")&amp;""</f>
        <v>Unidades de Negocio</v>
      </c>
      <c r="R896" s="78" t="str">
        <f>_xlfn.XLOOKUP(tblMovimientos[[#This Row],[Cuenta Bancaria]],Cuentas!$C:$C,Cuentas!$B:$B,"",0,-1)&amp;""</f>
        <v/>
      </c>
    </row>
    <row r="897" spans="2:18" x14ac:dyDescent="0.3">
      <c r="B897" s="39">
        <v>46266</v>
      </c>
      <c r="C897" s="4" t="str">
        <f>_xlfn.XLOOKUP(tblMovimientos[[#This Row],[Cuenta Bancaria]],Listas!$B:$B,Listas!$A:$A,"")</f>
        <v>Prendamas SRL</v>
      </c>
      <c r="D897" s="41" t="s">
        <v>186</v>
      </c>
      <c r="E897" s="68" t="str">
        <f>_xlfn.XLOOKUP(tblMovimientos[[#This Row],[Cuenta Bancaria]],Listas!$B:$B,Listas!$C:$C,"")</f>
        <v xml:space="preserve">Amerant Bank </v>
      </c>
      <c r="F897" s="41" t="s">
        <v>10</v>
      </c>
      <c r="G897" s="41" t="s">
        <v>44</v>
      </c>
      <c r="H897" s="4" t="str">
        <f>IFERROR(_xlfn.XLOOKUP(G897,Listas!E:E,Listas!F:F,""),"")</f>
        <v>Operativo</v>
      </c>
      <c r="I897" s="46" t="str">
        <f>IFERROR(_xlfn.XLOOKUP(G897,Listas!E:E,Listas!G:G,""),"")</f>
        <v>Externo</v>
      </c>
      <c r="J897" s="43">
        <v>4.37</v>
      </c>
      <c r="K897" s="5">
        <f t="shared" si="13"/>
        <v>-4.37</v>
      </c>
      <c r="L897" s="15" t="s">
        <v>133</v>
      </c>
      <c r="M897" s="44">
        <f>SUMIFS('Saldos Iniciales'!$D:$D,'Saldos Iniciales'!$A:$A,C897,'Saldos Iniciales'!$B:$B,D897)+SUMIFS($K$1:$K$1324,$C$1:$C$1324,C897,$D$1:$D$1324,D897,$B$1:$B$1324,"&lt;="&amp;B897)</f>
        <v>92112.919999999969</v>
      </c>
      <c r="N897" s="61" t="str">
        <f>IF(tblMovimientos[[#This Row],[Tipo de Movimiento]]="Ingreso",tblMovimientos[[#This Row],[Monto (S/)]],"0")</f>
        <v>0</v>
      </c>
      <c r="O897" s="61">
        <f>IF(tblMovimientos[[#This Row],[Tipo de Movimiento]]="Egreso",tblMovimientos[[#This Row],[Monto (S/)]],"0")</f>
        <v>4.37</v>
      </c>
      <c r="P897" s="28">
        <f>IF(tblMovimientos[[#This Row],[Tipo de Movimiento]]="Ingreso",tblMovimientos[[#This Row],[Ingreso]],-tblMovimientos[[#This Row],[Egreso]])</f>
        <v>-4.37</v>
      </c>
      <c r="Q897" s="78" t="str">
        <f>_xlfn.XLOOKUP(tblMovimientos[[#This Row],[Cuenta Bancaria]],Cuentas!$C:$C,Cuentas!$A:$A,"")&amp;""</f>
        <v>Unidades de Negocio</v>
      </c>
      <c r="R897" s="78" t="str">
        <f>_xlfn.XLOOKUP(tblMovimientos[[#This Row],[Cuenta Bancaria]],Cuentas!$C:$C,Cuentas!$B:$B,"",0,-1)&amp;""</f>
        <v/>
      </c>
    </row>
    <row r="898" spans="2:18" x14ac:dyDescent="0.3">
      <c r="B898" s="39">
        <v>46266</v>
      </c>
      <c r="C898" s="4" t="str">
        <f>_xlfn.XLOOKUP(tblMovimientos[[#This Row],[Cuenta Bancaria]],Listas!$B:$B,Listas!$A:$A,"")</f>
        <v>SIYP LLC</v>
      </c>
      <c r="D898" s="41" t="s">
        <v>213</v>
      </c>
      <c r="E898" s="68" t="str">
        <f>_xlfn.XLOOKUP(tblMovimientos[[#This Row],[Cuenta Bancaria]],Listas!$B:$B,Listas!$C:$C,"")</f>
        <v>Bank of America</v>
      </c>
      <c r="F898" s="41" t="s">
        <v>10</v>
      </c>
      <c r="G898" s="41" t="s">
        <v>44</v>
      </c>
      <c r="H898" s="4" t="str">
        <f>IFERROR(_xlfn.XLOOKUP(G898,Listas!E:E,Listas!F:F,""),"")</f>
        <v>Operativo</v>
      </c>
      <c r="I898" s="46" t="str">
        <f>IFERROR(_xlfn.XLOOKUP(G898,Listas!E:E,Listas!G:G,""),"")</f>
        <v>Externo</v>
      </c>
      <c r="J898" s="43">
        <v>16</v>
      </c>
      <c r="K898" s="5">
        <f t="shared" ref="K898:K961" si="14">IF(F898="Ingreso",J898,-J898)</f>
        <v>-16</v>
      </c>
      <c r="L898" s="15" t="s">
        <v>133</v>
      </c>
      <c r="M898" s="44">
        <f>SUMIFS('Saldos Iniciales'!$D:$D,'Saldos Iniciales'!$A:$A,C898,'Saldos Iniciales'!$B:$B,D898)+SUMIFS($K$1:$K$1324,$C$1:$C$1324,C898,$D$1:$D$1324,D898,$B$1:$B$1324,"&lt;="&amp;B898)</f>
        <v>2.129999999999999</v>
      </c>
      <c r="N898" s="61" t="str">
        <f>IF(tblMovimientos[[#This Row],[Tipo de Movimiento]]="Ingreso",tblMovimientos[[#This Row],[Monto (S/)]],"0")</f>
        <v>0</v>
      </c>
      <c r="O898" s="61">
        <f>IF(tblMovimientos[[#This Row],[Tipo de Movimiento]]="Egreso",tblMovimientos[[#This Row],[Monto (S/)]],"0")</f>
        <v>16</v>
      </c>
      <c r="P898" s="28">
        <f>IF(tblMovimientos[[#This Row],[Tipo de Movimiento]]="Ingreso",tblMovimientos[[#This Row],[Ingreso]],-tblMovimientos[[#This Row],[Egreso]])</f>
        <v>-16</v>
      </c>
      <c r="Q898" s="78" t="str">
        <f>_xlfn.XLOOKUP(tblMovimientos[[#This Row],[Cuenta Bancaria]],Cuentas!$C:$C,Cuentas!$A:$A,"")&amp;""</f>
        <v>Michael Cross</v>
      </c>
      <c r="R898" s="78" t="str">
        <f>_xlfn.XLOOKUP(tblMovimientos[[#This Row],[Cuenta Bancaria]],Cuentas!$C:$C,Cuentas!$B:$B,"",0,-1)&amp;""</f>
        <v/>
      </c>
    </row>
    <row r="899" spans="2:18" x14ac:dyDescent="0.3">
      <c r="B899" s="39">
        <v>46266</v>
      </c>
      <c r="C899" s="4" t="str">
        <f>_xlfn.XLOOKUP(tblMovimientos[[#This Row],[Cuenta Bancaria]],Listas!$B:$B,Listas!$A:$A,"")</f>
        <v>Nobe Aparments</v>
      </c>
      <c r="D899" s="41" t="s">
        <v>191</v>
      </c>
      <c r="E899" s="68" t="str">
        <f>_xlfn.XLOOKUP(tblMovimientos[[#This Row],[Cuenta Bancaria]],Listas!$B:$B,Listas!$C:$C,"")</f>
        <v>Bank of America</v>
      </c>
      <c r="F899" s="41" t="s">
        <v>9</v>
      </c>
      <c r="G899" s="41" t="s">
        <v>81</v>
      </c>
      <c r="H899" s="4" t="str">
        <f>IFERROR(_xlfn.XLOOKUP(G899,Listas!E:E,Listas!F:F,""),"")</f>
        <v>Operativo</v>
      </c>
      <c r="I899" s="46" t="str">
        <f>IFERROR(_xlfn.XLOOKUP(G899,Listas!E:E,Listas!G:G,""),"")</f>
        <v>Externo</v>
      </c>
      <c r="J899" s="43">
        <v>1905</v>
      </c>
      <c r="K899" s="5">
        <f t="shared" si="14"/>
        <v>1905</v>
      </c>
      <c r="L899" s="15" t="s">
        <v>133</v>
      </c>
      <c r="M899" s="44">
        <f>SUMIFS('Saldos Iniciales'!$D:$D,'Saldos Iniciales'!$A:$A,C899,'Saldos Iniciales'!$B:$B,D899)+SUMIFS($K$1:$K$1324,$C$1:$C$1324,C899,$D$1:$D$1324,D899,$B$1:$B$1324,"&lt;="&amp;B899)</f>
        <v>210249.21</v>
      </c>
      <c r="N899" s="61">
        <f>IF(tblMovimientos[[#This Row],[Tipo de Movimiento]]="Ingreso",tblMovimientos[[#This Row],[Monto (S/)]],"0")</f>
        <v>1905</v>
      </c>
      <c r="O899" s="61" t="str">
        <f>IF(tblMovimientos[[#This Row],[Tipo de Movimiento]]="Egreso",tblMovimientos[[#This Row],[Monto (S/)]],"0")</f>
        <v>0</v>
      </c>
      <c r="P899" s="28">
        <f>IF(tblMovimientos[[#This Row],[Tipo de Movimiento]]="Ingreso",tblMovimientos[[#This Row],[Ingreso]],-tblMovimientos[[#This Row],[Egreso]])</f>
        <v>1905</v>
      </c>
      <c r="Q899" s="78" t="str">
        <f>_xlfn.XLOOKUP(tblMovimientos[[#This Row],[Cuenta Bancaria]],Cuentas!$C:$C,Cuentas!$A:$A,"")&amp;""</f>
        <v>Estate</v>
      </c>
      <c r="R899" s="78" t="str">
        <f>_xlfn.XLOOKUP(tblMovimientos[[#This Row],[Cuenta Bancaria]],Cuentas!$C:$C,Cuentas!$B:$B,"",0,-1)&amp;""</f>
        <v/>
      </c>
    </row>
    <row r="900" spans="2:18" x14ac:dyDescent="0.3">
      <c r="B900" s="39">
        <v>46266</v>
      </c>
      <c r="C900" s="4" t="str">
        <f>_xlfn.XLOOKUP(tblMovimientos[[#This Row],[Cuenta Bancaria]],Listas!$B:$B,Listas!$A:$A,"")</f>
        <v>Nobe Aparments</v>
      </c>
      <c r="D900" s="41" t="s">
        <v>191</v>
      </c>
      <c r="E900" s="68" t="str">
        <f>_xlfn.XLOOKUP(tblMovimientos[[#This Row],[Cuenta Bancaria]],Listas!$B:$B,Listas!$C:$C,"")</f>
        <v>Bank of America</v>
      </c>
      <c r="F900" s="41" t="s">
        <v>9</v>
      </c>
      <c r="G900" s="41" t="s">
        <v>81</v>
      </c>
      <c r="H900" s="4" t="str">
        <f>IFERROR(_xlfn.XLOOKUP(G900,Listas!E:E,Listas!F:F,""),"")</f>
        <v>Operativo</v>
      </c>
      <c r="I900" s="46" t="str">
        <f>IFERROR(_xlfn.XLOOKUP(G900,Listas!E:E,Listas!G:G,""),"")</f>
        <v>Externo</v>
      </c>
      <c r="J900" s="43">
        <v>1850</v>
      </c>
      <c r="K900" s="5">
        <f t="shared" si="14"/>
        <v>1850</v>
      </c>
      <c r="L900" s="15" t="s">
        <v>133</v>
      </c>
      <c r="M900" s="44">
        <f>SUMIFS('Saldos Iniciales'!$D:$D,'Saldos Iniciales'!$A:$A,C900,'Saldos Iniciales'!$B:$B,D900)+SUMIFS($K$1:$K$1324,$C$1:$C$1324,C900,$D$1:$D$1324,D900,$B$1:$B$1324,"&lt;="&amp;B900)</f>
        <v>210249.21</v>
      </c>
      <c r="N900" s="61">
        <f>IF(tblMovimientos[[#This Row],[Tipo de Movimiento]]="Ingreso",tblMovimientos[[#This Row],[Monto (S/)]],"0")</f>
        <v>1850</v>
      </c>
      <c r="O900" s="61" t="str">
        <f>IF(tblMovimientos[[#This Row],[Tipo de Movimiento]]="Egreso",tblMovimientos[[#This Row],[Monto (S/)]],"0")</f>
        <v>0</v>
      </c>
      <c r="P900" s="28">
        <f>IF(tblMovimientos[[#This Row],[Tipo de Movimiento]]="Ingreso",tblMovimientos[[#This Row],[Ingreso]],-tblMovimientos[[#This Row],[Egreso]])</f>
        <v>1850</v>
      </c>
      <c r="Q900" s="78" t="str">
        <f>_xlfn.XLOOKUP(tblMovimientos[[#This Row],[Cuenta Bancaria]],Cuentas!$C:$C,Cuentas!$A:$A,"")&amp;""</f>
        <v>Estate</v>
      </c>
      <c r="R900" s="78" t="str">
        <f>_xlfn.XLOOKUP(tblMovimientos[[#This Row],[Cuenta Bancaria]],Cuentas!$C:$C,Cuentas!$B:$B,"",0,-1)&amp;""</f>
        <v/>
      </c>
    </row>
    <row r="901" spans="2:18" x14ac:dyDescent="0.3">
      <c r="B901" s="39">
        <v>46266</v>
      </c>
      <c r="C901" s="4" t="str">
        <f>_xlfn.XLOOKUP(tblMovimientos[[#This Row],[Cuenta Bancaria]],Listas!$B:$B,Listas!$A:$A,"")</f>
        <v>Nobe Aparments</v>
      </c>
      <c r="D901" s="41" t="s">
        <v>191</v>
      </c>
      <c r="E901" s="68" t="str">
        <f>_xlfn.XLOOKUP(tblMovimientos[[#This Row],[Cuenta Bancaria]],Listas!$B:$B,Listas!$C:$C,"")</f>
        <v>Bank of America</v>
      </c>
      <c r="F901" s="41" t="s">
        <v>9</v>
      </c>
      <c r="G901" s="41" t="s">
        <v>81</v>
      </c>
      <c r="H901" s="4" t="str">
        <f>IFERROR(_xlfn.XLOOKUP(G901,Listas!E:E,Listas!F:F,""),"")</f>
        <v>Operativo</v>
      </c>
      <c r="I901" s="46" t="str">
        <f>IFERROR(_xlfn.XLOOKUP(G901,Listas!E:E,Listas!G:G,""),"")</f>
        <v>Externo</v>
      </c>
      <c r="J901" s="43">
        <v>735</v>
      </c>
      <c r="K901" s="5">
        <f t="shared" si="14"/>
        <v>735</v>
      </c>
      <c r="L901" s="15" t="s">
        <v>133</v>
      </c>
      <c r="M901" s="44">
        <f>SUMIFS('Saldos Iniciales'!$D:$D,'Saldos Iniciales'!$A:$A,C901,'Saldos Iniciales'!$B:$B,D901)+SUMIFS($K$1:$K$1324,$C$1:$C$1324,C901,$D$1:$D$1324,D901,$B$1:$B$1324,"&lt;="&amp;B901)</f>
        <v>210249.21</v>
      </c>
      <c r="N901" s="61">
        <f>IF(tblMovimientos[[#This Row],[Tipo de Movimiento]]="Ingreso",tblMovimientos[[#This Row],[Monto (S/)]],"0")</f>
        <v>735</v>
      </c>
      <c r="O901" s="61" t="str">
        <f>IF(tblMovimientos[[#This Row],[Tipo de Movimiento]]="Egreso",tblMovimientos[[#This Row],[Monto (S/)]],"0")</f>
        <v>0</v>
      </c>
      <c r="P901" s="28">
        <f>IF(tblMovimientos[[#This Row],[Tipo de Movimiento]]="Ingreso",tblMovimientos[[#This Row],[Ingreso]],-tblMovimientos[[#This Row],[Egreso]])</f>
        <v>735</v>
      </c>
      <c r="Q901" s="78" t="str">
        <f>_xlfn.XLOOKUP(tblMovimientos[[#This Row],[Cuenta Bancaria]],Cuentas!$C:$C,Cuentas!$A:$A,"")&amp;""</f>
        <v>Estate</v>
      </c>
      <c r="R901" s="78" t="str">
        <f>_xlfn.XLOOKUP(tblMovimientos[[#This Row],[Cuenta Bancaria]],Cuentas!$C:$C,Cuentas!$B:$B,"",0,-1)&amp;""</f>
        <v/>
      </c>
    </row>
    <row r="902" spans="2:18" x14ac:dyDescent="0.3">
      <c r="B902" s="39">
        <v>46266</v>
      </c>
      <c r="C902" s="4" t="str">
        <f>_xlfn.XLOOKUP(tblMovimientos[[#This Row],[Cuenta Bancaria]],Listas!$B:$B,Listas!$A:$A,"")</f>
        <v>Nobe Aparments</v>
      </c>
      <c r="D902" s="41" t="s">
        <v>191</v>
      </c>
      <c r="E902" s="68" t="str">
        <f>_xlfn.XLOOKUP(tblMovimientos[[#This Row],[Cuenta Bancaria]],Listas!$B:$B,Listas!$C:$C,"")</f>
        <v>Bank of America</v>
      </c>
      <c r="F902" s="41" t="s">
        <v>10</v>
      </c>
      <c r="G902" s="41" t="s">
        <v>38</v>
      </c>
      <c r="H902" s="4" t="str">
        <f>IFERROR(_xlfn.XLOOKUP(G902,Listas!E:E,Listas!F:F,""),"")</f>
        <v>Operativo</v>
      </c>
      <c r="I902" s="46" t="str">
        <f>IFERROR(_xlfn.XLOOKUP(G902,Listas!E:E,Listas!G:G,""),"")</f>
        <v>Externo</v>
      </c>
      <c r="J902" s="43">
        <v>1200</v>
      </c>
      <c r="K902" s="5">
        <f t="shared" si="14"/>
        <v>-1200</v>
      </c>
      <c r="L902" s="15" t="s">
        <v>133</v>
      </c>
      <c r="M902" s="44">
        <f>SUMIFS('Saldos Iniciales'!$D:$D,'Saldos Iniciales'!$A:$A,C902,'Saldos Iniciales'!$B:$B,D902)+SUMIFS($K$1:$K$1324,$C$1:$C$1324,C902,$D$1:$D$1324,D902,$B$1:$B$1324,"&lt;="&amp;B902)</f>
        <v>210249.21</v>
      </c>
      <c r="N902" s="61" t="str">
        <f>IF(tblMovimientos[[#This Row],[Tipo de Movimiento]]="Ingreso",tblMovimientos[[#This Row],[Monto (S/)]],"0")</f>
        <v>0</v>
      </c>
      <c r="O902" s="61">
        <f>IF(tblMovimientos[[#This Row],[Tipo de Movimiento]]="Egreso",tblMovimientos[[#This Row],[Monto (S/)]],"0")</f>
        <v>1200</v>
      </c>
      <c r="P902" s="28">
        <f>IF(tblMovimientos[[#This Row],[Tipo de Movimiento]]="Ingreso",tblMovimientos[[#This Row],[Ingreso]],-tblMovimientos[[#This Row],[Egreso]])</f>
        <v>-1200</v>
      </c>
      <c r="Q902" s="78" t="str">
        <f>_xlfn.XLOOKUP(tblMovimientos[[#This Row],[Cuenta Bancaria]],Cuentas!$C:$C,Cuentas!$A:$A,"")&amp;""</f>
        <v>Estate</v>
      </c>
      <c r="R902" s="78" t="str">
        <f>_xlfn.XLOOKUP(tblMovimientos[[#This Row],[Cuenta Bancaria]],Cuentas!$C:$C,Cuentas!$B:$B,"",0,-1)&amp;""</f>
        <v/>
      </c>
    </row>
    <row r="903" spans="2:18" x14ac:dyDescent="0.3">
      <c r="B903" s="39">
        <v>46266</v>
      </c>
      <c r="C903" s="4" t="str">
        <f>_xlfn.XLOOKUP(tblMovimientos[[#This Row],[Cuenta Bancaria]],Listas!$B:$B,Listas!$A:$A,"")</f>
        <v>Electrama</v>
      </c>
      <c r="D903" s="41" t="s">
        <v>113</v>
      </c>
      <c r="E903" s="68" t="str">
        <f>_xlfn.XLOOKUP(tblMovimientos[[#This Row],[Cuenta Bancaria]],Listas!$B:$B,Listas!$C:$C,"")</f>
        <v>Chase Bank</v>
      </c>
      <c r="F903" s="41" t="s">
        <v>10</v>
      </c>
      <c r="G903" s="41" t="s">
        <v>42</v>
      </c>
      <c r="H903" s="4" t="str">
        <f>IFERROR(_xlfn.XLOOKUP(G903,Listas!E:E,Listas!F:F,""),"")</f>
        <v>Operativo</v>
      </c>
      <c r="I903" s="69" t="str">
        <f>IFERROR(_xlfn.XLOOKUP(G903,Listas!E:E,Listas!G:G,""),"")</f>
        <v>Externo</v>
      </c>
      <c r="J903" s="43">
        <v>215.14</v>
      </c>
      <c r="K903" s="5">
        <f t="shared" si="14"/>
        <v>-215.14</v>
      </c>
      <c r="L903" s="15" t="s">
        <v>133</v>
      </c>
      <c r="M903" s="44">
        <f>SUMIFS('Saldos Iniciales'!$D:$D,'Saldos Iniciales'!$A:$A,C903,'Saldos Iniciales'!$B:$B,D903)+SUMIFS($K$1:$K$1324,$C$1:$C$1324,C903,$D$1:$D$1324,D903,$B$1:$B$1324,"&lt;="&amp;B903)</f>
        <v>13054.880000000001</v>
      </c>
      <c r="N903" s="61" t="str">
        <f>IF(tblMovimientos[[#This Row],[Tipo de Movimiento]]="Ingreso",tblMovimientos[[#This Row],[Monto (S/)]],"0")</f>
        <v>0</v>
      </c>
      <c r="O903" s="61">
        <f>IF(tblMovimientos[[#This Row],[Tipo de Movimiento]]="Egreso",tblMovimientos[[#This Row],[Monto (S/)]],"0")</f>
        <v>215.14</v>
      </c>
      <c r="P903" s="28">
        <f>IF(tblMovimientos[[#This Row],[Tipo de Movimiento]]="Ingreso",tblMovimientos[[#This Row],[Ingreso]],-tblMovimientos[[#This Row],[Egreso]])</f>
        <v>-215.14</v>
      </c>
      <c r="Q903" s="78" t="str">
        <f>_xlfn.XLOOKUP(tblMovimientos[[#This Row],[Cuenta Bancaria]],Cuentas!$C:$C,Cuentas!$A:$A,"")&amp;""</f>
        <v>SSP Group</v>
      </c>
      <c r="R903" s="78" t="str">
        <f>_xlfn.XLOOKUP(tblMovimientos[[#This Row],[Cuenta Bancaria]],Cuentas!$C:$C,Cuentas!$B:$B,"",0,-1)&amp;""</f>
        <v/>
      </c>
    </row>
    <row r="904" spans="2:18" x14ac:dyDescent="0.3">
      <c r="B904" s="39">
        <v>46266</v>
      </c>
      <c r="C904" s="4" t="str">
        <f>_xlfn.XLOOKUP(tblMovimientos[[#This Row],[Cuenta Bancaria]],Listas!$B:$B,Listas!$A:$A,"")</f>
        <v>Nobe Aparments</v>
      </c>
      <c r="D904" s="41" t="s">
        <v>192</v>
      </c>
      <c r="E904" s="68" t="str">
        <f>_xlfn.XLOOKUP(tblMovimientos[[#This Row],[Cuenta Bancaria]],Listas!$B:$B,Listas!$C:$C,"")</f>
        <v>Bank of America</v>
      </c>
      <c r="F904" s="41" t="s">
        <v>9</v>
      </c>
      <c r="G904" s="41" t="s">
        <v>81</v>
      </c>
      <c r="H904" s="4" t="str">
        <f>IFERROR(_xlfn.XLOOKUP(G904,Listas!E:E,Listas!F:F,""),"")</f>
        <v>Operativo</v>
      </c>
      <c r="I904" s="80" t="str">
        <f>IFERROR(_xlfn.XLOOKUP(G904,Listas!E:E,Listas!G:G,""),"")</f>
        <v>Externo</v>
      </c>
      <c r="J904" s="43">
        <v>0</v>
      </c>
      <c r="K904" s="5">
        <f t="shared" si="14"/>
        <v>0</v>
      </c>
      <c r="L904" s="15" t="s">
        <v>133</v>
      </c>
      <c r="M904" s="44">
        <f>SUMIFS('Saldos Iniciales'!$D:$D,'Saldos Iniciales'!$A:$A,C904,'Saldos Iniciales'!$B:$B,D904)+SUMIFS($K$1:$K$1324,$C$1:$C$1324,C904,$D$1:$D$1324,D904,$B$1:$B$1324,"&lt;="&amp;B904)</f>
        <v>31093.71</v>
      </c>
      <c r="N904" s="61">
        <f>IF(tblMovimientos[[#This Row],[Tipo de Movimiento]]="Ingreso",tblMovimientos[[#This Row],[Monto (S/)]],"0")</f>
        <v>0</v>
      </c>
      <c r="O904" s="61" t="str">
        <f>IF(tblMovimientos[[#This Row],[Tipo de Movimiento]]="Egreso",tblMovimientos[[#This Row],[Monto (S/)]],"0")</f>
        <v>0</v>
      </c>
      <c r="P904" s="28">
        <f>IF(tblMovimientos[[#This Row],[Tipo de Movimiento]]="Ingreso",tblMovimientos[[#This Row],[Ingreso]],-tblMovimientos[[#This Row],[Egreso]])</f>
        <v>0</v>
      </c>
      <c r="Q904" s="78" t="str">
        <f>_xlfn.XLOOKUP(tblMovimientos[[#This Row],[Cuenta Bancaria]],Cuentas!$C:$C,Cuentas!$A:$A,"")&amp;""</f>
        <v>Estate</v>
      </c>
      <c r="R904" s="78" t="str">
        <f>_xlfn.XLOOKUP(tblMovimientos[[#This Row],[Cuenta Bancaria]],Cuentas!$C:$C,Cuentas!$B:$B,"",0,-1)&amp;""</f>
        <v/>
      </c>
    </row>
    <row r="905" spans="2:18" x14ac:dyDescent="0.3">
      <c r="B905" s="39">
        <v>46267</v>
      </c>
      <c r="C905" s="4" t="str">
        <f>_xlfn.XLOOKUP(tblMovimientos[[#This Row],[Cuenta Bancaria]],Listas!$B:$B,Listas!$A:$A,"")</f>
        <v>CFT Group</v>
      </c>
      <c r="D905" s="41" t="s">
        <v>94</v>
      </c>
      <c r="E905" s="68" t="str">
        <f>_xlfn.XLOOKUP(tblMovimientos[[#This Row],[Cuenta Bancaria]],Listas!$B:$B,Listas!$C:$C,"")</f>
        <v>Bank of America</v>
      </c>
      <c r="F905" s="41" t="s">
        <v>9</v>
      </c>
      <c r="G905" s="41" t="s">
        <v>68</v>
      </c>
      <c r="H905" s="4" t="str">
        <f>IFERROR(_xlfn.XLOOKUP(G905,Listas!E:E,Listas!F:F,""),"")</f>
        <v>Operativo</v>
      </c>
      <c r="I905" s="46" t="str">
        <f>IFERROR(_xlfn.XLOOKUP(G905,Listas!E:E,Listas!G:G,""),"")</f>
        <v>Externo</v>
      </c>
      <c r="J905" s="43">
        <v>10873.97</v>
      </c>
      <c r="K905" s="5">
        <f t="shared" si="14"/>
        <v>10873.97</v>
      </c>
      <c r="L905" s="15" t="s">
        <v>133</v>
      </c>
      <c r="M905" s="44">
        <f>SUMIFS('Saldos Iniciales'!$D:$D,'Saldos Iniciales'!$A:$A,C905,'Saldos Iniciales'!$B:$B,D905)+SUMIFS($K$1:$K$1324,$C$1:$C$1324,C905,$D$1:$D$1324,D905,$B$1:$B$1324,"&lt;="&amp;B905)</f>
        <v>445145.19999999995</v>
      </c>
      <c r="N905" s="61">
        <f>IF(tblMovimientos[[#This Row],[Tipo de Movimiento]]="Ingreso",tblMovimientos[[#This Row],[Monto (S/)]],"0")</f>
        <v>10873.97</v>
      </c>
      <c r="O905" s="61" t="str">
        <f>IF(tblMovimientos[[#This Row],[Tipo de Movimiento]]="Egreso",tblMovimientos[[#This Row],[Monto (S/)]],"0")</f>
        <v>0</v>
      </c>
      <c r="P905" s="28">
        <f>IF(tblMovimientos[[#This Row],[Tipo de Movimiento]]="Ingreso",tblMovimientos[[#This Row],[Ingreso]],-tblMovimientos[[#This Row],[Egreso]])</f>
        <v>10873.97</v>
      </c>
      <c r="Q905" s="78" t="str">
        <f>_xlfn.XLOOKUP(tblMovimientos[[#This Row],[Cuenta Bancaria]],Cuentas!$C:$C,Cuentas!$A:$A,"")&amp;""</f>
        <v>SSP Group</v>
      </c>
      <c r="R905" s="78" t="str">
        <f>_xlfn.XLOOKUP(tblMovimientos[[#This Row],[Cuenta Bancaria]],Cuentas!$C:$C,Cuentas!$B:$B,"",0,-1)&amp;""</f>
        <v/>
      </c>
    </row>
    <row r="906" spans="2:18" x14ac:dyDescent="0.3">
      <c r="B906" s="39">
        <v>46267</v>
      </c>
      <c r="C906" s="4" t="str">
        <f>_xlfn.XLOOKUP(tblMovimientos[[#This Row],[Cuenta Bancaria]],Listas!$B:$B,Listas!$A:$A,"")</f>
        <v>3628 Thomas Ave</v>
      </c>
      <c r="D906" s="41" t="s">
        <v>124</v>
      </c>
      <c r="E906" s="68" t="str">
        <f>_xlfn.XLOOKUP(tblMovimientos[[#This Row],[Cuenta Bancaria]],Listas!$B:$B,Listas!$C:$C,"")</f>
        <v>Bank of America</v>
      </c>
      <c r="F906" s="41" t="s">
        <v>10</v>
      </c>
      <c r="G906" s="41" t="s">
        <v>38</v>
      </c>
      <c r="H906" s="4" t="str">
        <f>IFERROR(_xlfn.XLOOKUP(G906,Listas!E:E,Listas!F:F,""),"")</f>
        <v>Operativo</v>
      </c>
      <c r="I906" s="46" t="str">
        <f>IFERROR(_xlfn.XLOOKUP(G906,Listas!E:E,Listas!G:G,""),"")</f>
        <v>Externo</v>
      </c>
      <c r="J906" s="43">
        <v>100</v>
      </c>
      <c r="K906" s="5">
        <f t="shared" si="14"/>
        <v>-100</v>
      </c>
      <c r="L906" s="15" t="s">
        <v>133</v>
      </c>
      <c r="M906" s="44">
        <f>SUMIFS('Saldos Iniciales'!$D:$D,'Saldos Iniciales'!$A:$A,C906,'Saldos Iniciales'!$B:$B,D906)+SUMIFS($K$1:$K$1324,$C$1:$C$1324,C906,$D$1:$D$1324,D906,$B$1:$B$1324,"&lt;="&amp;B906)</f>
        <v>14162.999999999996</v>
      </c>
      <c r="N906" s="61" t="str">
        <f>IF(tblMovimientos[[#This Row],[Tipo de Movimiento]]="Ingreso",tblMovimientos[[#This Row],[Monto (S/)]],"0")</f>
        <v>0</v>
      </c>
      <c r="O906" s="61">
        <f>IF(tblMovimientos[[#This Row],[Tipo de Movimiento]]="Egreso",tblMovimientos[[#This Row],[Monto (S/)]],"0")</f>
        <v>100</v>
      </c>
      <c r="P906" s="28">
        <f>IF(tblMovimientos[[#This Row],[Tipo de Movimiento]]="Ingreso",tblMovimientos[[#This Row],[Ingreso]],-tblMovimientos[[#This Row],[Egreso]])</f>
        <v>-100</v>
      </c>
      <c r="Q906" s="78" t="str">
        <f>_xlfn.XLOOKUP(tblMovimientos[[#This Row],[Cuenta Bancaria]],Cuentas!$C:$C,Cuentas!$A:$A,"")&amp;""</f>
        <v>SSP Group</v>
      </c>
      <c r="R906" s="78" t="str">
        <f>_xlfn.XLOOKUP(tblMovimientos[[#This Row],[Cuenta Bancaria]],Cuentas!$C:$C,Cuentas!$B:$B,"",0,-1)&amp;""</f>
        <v/>
      </c>
    </row>
    <row r="907" spans="2:18" x14ac:dyDescent="0.3">
      <c r="B907" s="39">
        <v>46267</v>
      </c>
      <c r="C907" s="4" t="str">
        <f>_xlfn.XLOOKUP(tblMovimientos[[#This Row],[Cuenta Bancaria]],Listas!$B:$B,Listas!$A:$A,"")</f>
        <v>3628 Thomas Ave</v>
      </c>
      <c r="D907" s="41" t="s">
        <v>124</v>
      </c>
      <c r="E907" s="68" t="str">
        <f>_xlfn.XLOOKUP(tblMovimientos[[#This Row],[Cuenta Bancaria]],Listas!$B:$B,Listas!$C:$C,"")</f>
        <v>Bank of America</v>
      </c>
      <c r="F907" s="41" t="s">
        <v>10</v>
      </c>
      <c r="G907" s="41" t="s">
        <v>38</v>
      </c>
      <c r="H907" s="4" t="str">
        <f>IFERROR(_xlfn.XLOOKUP(G907,Listas!E:E,Listas!F:F,""),"")</f>
        <v>Operativo</v>
      </c>
      <c r="I907" s="46" t="str">
        <f>IFERROR(_xlfn.XLOOKUP(G907,Listas!E:E,Listas!G:G,""),"")</f>
        <v>Externo</v>
      </c>
      <c r="J907" s="43">
        <v>300</v>
      </c>
      <c r="K907" s="5">
        <f t="shared" si="14"/>
        <v>-300</v>
      </c>
      <c r="L907" s="15" t="s">
        <v>133</v>
      </c>
      <c r="M907" s="44">
        <f>SUMIFS('Saldos Iniciales'!$D:$D,'Saldos Iniciales'!$A:$A,C907,'Saldos Iniciales'!$B:$B,D907)+SUMIFS($K$1:$K$1324,$C$1:$C$1324,C907,$D$1:$D$1324,D907,$B$1:$B$1324,"&lt;="&amp;B907)</f>
        <v>14162.999999999996</v>
      </c>
      <c r="N907" s="61" t="str">
        <f>IF(tblMovimientos[[#This Row],[Tipo de Movimiento]]="Ingreso",tblMovimientos[[#This Row],[Monto (S/)]],"0")</f>
        <v>0</v>
      </c>
      <c r="O907" s="61">
        <f>IF(tblMovimientos[[#This Row],[Tipo de Movimiento]]="Egreso",tblMovimientos[[#This Row],[Monto (S/)]],"0")</f>
        <v>300</v>
      </c>
      <c r="P907" s="28">
        <f>IF(tblMovimientos[[#This Row],[Tipo de Movimiento]]="Ingreso",tblMovimientos[[#This Row],[Ingreso]],-tblMovimientos[[#This Row],[Egreso]])</f>
        <v>-300</v>
      </c>
      <c r="Q907" s="78" t="str">
        <f>_xlfn.XLOOKUP(tblMovimientos[[#This Row],[Cuenta Bancaria]],Cuentas!$C:$C,Cuentas!$A:$A,"")&amp;""</f>
        <v>SSP Group</v>
      </c>
      <c r="R907" s="78" t="str">
        <f>_xlfn.XLOOKUP(tblMovimientos[[#This Row],[Cuenta Bancaria]],Cuentas!$C:$C,Cuentas!$B:$B,"",0,-1)&amp;""</f>
        <v/>
      </c>
    </row>
    <row r="908" spans="2:18" x14ac:dyDescent="0.3">
      <c r="B908" s="39">
        <v>46267</v>
      </c>
      <c r="C908" s="4" t="str">
        <f>_xlfn.XLOOKUP(tblMovimientos[[#This Row],[Cuenta Bancaria]],Listas!$B:$B,Listas!$A:$A,"")</f>
        <v>3628 Thomas Ave</v>
      </c>
      <c r="D908" s="41" t="s">
        <v>124</v>
      </c>
      <c r="E908" s="68" t="str">
        <f>_xlfn.XLOOKUP(tblMovimientos[[#This Row],[Cuenta Bancaria]],Listas!$B:$B,Listas!$C:$C,"")</f>
        <v>Bank of America</v>
      </c>
      <c r="F908" s="41" t="s">
        <v>10</v>
      </c>
      <c r="G908" s="41" t="s">
        <v>38</v>
      </c>
      <c r="H908" s="4" t="str">
        <f>IFERROR(_xlfn.XLOOKUP(G908,Listas!E:E,Listas!F:F,""),"")</f>
        <v>Operativo</v>
      </c>
      <c r="I908" s="46" t="str">
        <f>IFERROR(_xlfn.XLOOKUP(G908,Listas!E:E,Listas!G:G,""),"")</f>
        <v>Externo</v>
      </c>
      <c r="J908" s="43">
        <v>400</v>
      </c>
      <c r="K908" s="5">
        <f t="shared" si="14"/>
        <v>-400</v>
      </c>
      <c r="L908" s="15" t="s">
        <v>133</v>
      </c>
      <c r="M908" s="44">
        <f>SUMIFS('Saldos Iniciales'!$D:$D,'Saldos Iniciales'!$A:$A,C908,'Saldos Iniciales'!$B:$B,D908)+SUMIFS($K$1:$K$1324,$C$1:$C$1324,C908,$D$1:$D$1324,D908,$B$1:$B$1324,"&lt;="&amp;B908)</f>
        <v>14162.999999999996</v>
      </c>
      <c r="N908" s="61" t="str">
        <f>IF(tblMovimientos[[#This Row],[Tipo de Movimiento]]="Ingreso",tblMovimientos[[#This Row],[Monto (S/)]],"0")</f>
        <v>0</v>
      </c>
      <c r="O908" s="61">
        <f>IF(tblMovimientos[[#This Row],[Tipo de Movimiento]]="Egreso",tblMovimientos[[#This Row],[Monto (S/)]],"0")</f>
        <v>400</v>
      </c>
      <c r="P908" s="28">
        <f>IF(tblMovimientos[[#This Row],[Tipo de Movimiento]]="Ingreso",tblMovimientos[[#This Row],[Ingreso]],-tblMovimientos[[#This Row],[Egreso]])</f>
        <v>-400</v>
      </c>
      <c r="Q908" s="78" t="str">
        <f>_xlfn.XLOOKUP(tblMovimientos[[#This Row],[Cuenta Bancaria]],Cuentas!$C:$C,Cuentas!$A:$A,"")&amp;""</f>
        <v>SSP Group</v>
      </c>
      <c r="R908" s="78" t="str">
        <f>_xlfn.XLOOKUP(tblMovimientos[[#This Row],[Cuenta Bancaria]],Cuentas!$C:$C,Cuentas!$B:$B,"",0,-1)&amp;""</f>
        <v/>
      </c>
    </row>
    <row r="909" spans="2:18" x14ac:dyDescent="0.3">
      <c r="B909" s="39">
        <v>46267</v>
      </c>
      <c r="C909" s="4" t="str">
        <f>_xlfn.XLOOKUP(tblMovimientos[[#This Row],[Cuenta Bancaria]],Listas!$B:$B,Listas!$A:$A,"")</f>
        <v>CFT Group</v>
      </c>
      <c r="D909" s="41" t="s">
        <v>95</v>
      </c>
      <c r="E909" s="68" t="str">
        <f>_xlfn.XLOOKUP(tblMovimientos[[#This Row],[Cuenta Bancaria]],Listas!$B:$B,Listas!$C:$C,"")</f>
        <v xml:space="preserve">Amerant Bank </v>
      </c>
      <c r="F909" s="41" t="s">
        <v>9</v>
      </c>
      <c r="G909" s="41" t="s">
        <v>73</v>
      </c>
      <c r="H909" s="4" t="str">
        <f>IFERROR(_xlfn.XLOOKUP(G909,Listas!E:E,Listas!F:F,""),"")</f>
        <v>Operativo</v>
      </c>
      <c r="I909" s="46" t="str">
        <f>IFERROR(_xlfn.XLOOKUP(G909,Listas!E:E,Listas!G:G,""),"")</f>
        <v>Interno</v>
      </c>
      <c r="J909" s="43">
        <v>699844.76</v>
      </c>
      <c r="K909" s="5">
        <f t="shared" si="14"/>
        <v>699844.76</v>
      </c>
      <c r="L909" s="15" t="s">
        <v>133</v>
      </c>
      <c r="M909" s="44">
        <f>SUMIFS('Saldos Iniciales'!$D:$D,'Saldos Iniciales'!$A:$A,C909,'Saldos Iniciales'!$B:$B,D909)+SUMIFS($K$1:$K$1324,$C$1:$C$1324,C909,$D$1:$D$1324,D909,$B$1:$B$1324,"&lt;="&amp;B909)</f>
        <v>1018013.6900000008</v>
      </c>
      <c r="N909" s="61">
        <f>IF(tblMovimientos[[#This Row],[Tipo de Movimiento]]="Ingreso",tblMovimientos[[#This Row],[Monto (S/)]],"0")</f>
        <v>699844.76</v>
      </c>
      <c r="O909" s="61" t="str">
        <f>IF(tblMovimientos[[#This Row],[Tipo de Movimiento]]="Egreso",tblMovimientos[[#This Row],[Monto (S/)]],"0")</f>
        <v>0</v>
      </c>
      <c r="P909" s="28">
        <f>IF(tblMovimientos[[#This Row],[Tipo de Movimiento]]="Ingreso",tblMovimientos[[#This Row],[Ingreso]],-tblMovimientos[[#This Row],[Egreso]])</f>
        <v>699844.76</v>
      </c>
      <c r="Q909" s="78" t="str">
        <f>_xlfn.XLOOKUP(tblMovimientos[[#This Row],[Cuenta Bancaria]],Cuentas!$C:$C,Cuentas!$A:$A,"")&amp;""</f>
        <v>SSP Group</v>
      </c>
      <c r="R909" s="78" t="str">
        <f>_xlfn.XLOOKUP(tblMovimientos[[#This Row],[Cuenta Bancaria]],Cuentas!$C:$C,Cuentas!$B:$B,"",0,-1)&amp;""</f>
        <v/>
      </c>
    </row>
    <row r="910" spans="2:18" x14ac:dyDescent="0.3">
      <c r="B910" s="39">
        <v>46267</v>
      </c>
      <c r="C910" s="4" t="str">
        <f>_xlfn.XLOOKUP(tblMovimientos[[#This Row],[Cuenta Bancaria]],Listas!$B:$B,Listas!$A:$A,"")</f>
        <v>Cross Family Trust</v>
      </c>
      <c r="D910" s="41" t="s">
        <v>111</v>
      </c>
      <c r="E910" s="68" t="str">
        <f>_xlfn.XLOOKUP(tblMovimientos[[#This Row],[Cuenta Bancaria]],Listas!$B:$B,Listas!$C:$C,"")</f>
        <v xml:space="preserve">Amerant Bank </v>
      </c>
      <c r="F910" s="41" t="s">
        <v>9</v>
      </c>
      <c r="G910" s="41" t="s">
        <v>69</v>
      </c>
      <c r="H910" s="4" t="str">
        <f>IFERROR(_xlfn.XLOOKUP(G910,Listas!E:E,Listas!F:F,""),"")</f>
        <v>Operativo</v>
      </c>
      <c r="I910" s="46" t="str">
        <f>IFERROR(_xlfn.XLOOKUP(G910,Listas!E:E,Listas!G:G,""),"")</f>
        <v>Interno</v>
      </c>
      <c r="J910" s="43">
        <v>34281.760000000002</v>
      </c>
      <c r="K910" s="5">
        <f t="shared" si="14"/>
        <v>34281.760000000002</v>
      </c>
      <c r="L910" s="15" t="s">
        <v>133</v>
      </c>
      <c r="M910" s="44">
        <f>SUMIFS('Saldos Iniciales'!$D:$D,'Saldos Iniciales'!$A:$A,C910,'Saldos Iniciales'!$B:$B,D910)+SUMIFS($K$1:$K$1324,$C$1:$C$1324,C910,$D$1:$D$1324,D910,$B$1:$B$1324,"&lt;="&amp;B910)</f>
        <v>152999.36000000002</v>
      </c>
      <c r="N910" s="61">
        <f>IF(tblMovimientos[[#This Row],[Tipo de Movimiento]]="Ingreso",tblMovimientos[[#This Row],[Monto (S/)]],"0")</f>
        <v>34281.760000000002</v>
      </c>
      <c r="O910" s="61" t="str">
        <f>IF(tblMovimientos[[#This Row],[Tipo de Movimiento]]="Egreso",tblMovimientos[[#This Row],[Monto (S/)]],"0")</f>
        <v>0</v>
      </c>
      <c r="P910" s="28">
        <f>IF(tblMovimientos[[#This Row],[Tipo de Movimiento]]="Ingreso",tblMovimientos[[#This Row],[Ingreso]],-tblMovimientos[[#This Row],[Egreso]])</f>
        <v>34281.760000000002</v>
      </c>
      <c r="Q910" s="78" t="str">
        <f>_xlfn.XLOOKUP(tblMovimientos[[#This Row],[Cuenta Bancaria]],Cuentas!$C:$C,Cuentas!$A:$A,"")&amp;""</f>
        <v>SSP Group</v>
      </c>
      <c r="R910" s="78" t="str">
        <f>_xlfn.XLOOKUP(tblMovimientos[[#This Row],[Cuenta Bancaria]],Cuentas!$C:$C,Cuentas!$B:$B,"",0,-1)&amp;""</f>
        <v>Trust</v>
      </c>
    </row>
    <row r="911" spans="2:18" x14ac:dyDescent="0.3">
      <c r="B911" s="39">
        <v>46267</v>
      </c>
      <c r="C911" s="4" t="str">
        <f>_xlfn.XLOOKUP(tblMovimientos[[#This Row],[Cuenta Bancaria]],Listas!$B:$B,Listas!$A:$A,"")</f>
        <v>Go Blue</v>
      </c>
      <c r="D911" s="41" t="s">
        <v>126</v>
      </c>
      <c r="E911" s="68" t="str">
        <f>_xlfn.XLOOKUP(tblMovimientos[[#This Row],[Cuenta Bancaria]],Listas!$B:$B,Listas!$C:$C,"")</f>
        <v xml:space="preserve">Amerant Bank </v>
      </c>
      <c r="F911" s="41" t="s">
        <v>10</v>
      </c>
      <c r="G911" s="41" t="s">
        <v>38</v>
      </c>
      <c r="H911" s="4" t="str">
        <f>IFERROR(_xlfn.XLOOKUP(G911,Listas!E:E,Listas!F:F,""),"")</f>
        <v>Operativo</v>
      </c>
      <c r="I911" s="46" t="str">
        <f>IFERROR(_xlfn.XLOOKUP(G911,Listas!E:E,Listas!G:G,""),"")</f>
        <v>Externo</v>
      </c>
      <c r="J911" s="43">
        <v>55</v>
      </c>
      <c r="K911" s="5">
        <f t="shared" si="14"/>
        <v>-55</v>
      </c>
      <c r="L911" s="15" t="s">
        <v>133</v>
      </c>
      <c r="M911" s="44">
        <f>SUMIFS('Saldos Iniciales'!$D:$D,'Saldos Iniciales'!$A:$A,C911,'Saldos Iniciales'!$B:$B,D911)+SUMIFS($K$1:$K$1324,$C$1:$C$1324,C911,$D$1:$D$1324,D911,$B$1:$B$1324,"&lt;="&amp;B911)</f>
        <v>3797.7699999999986</v>
      </c>
      <c r="N911" s="61" t="str">
        <f>IF(tblMovimientos[[#This Row],[Tipo de Movimiento]]="Ingreso",tblMovimientos[[#This Row],[Monto (S/)]],"0")</f>
        <v>0</v>
      </c>
      <c r="O911" s="61">
        <f>IF(tblMovimientos[[#This Row],[Tipo de Movimiento]]="Egreso",tblMovimientos[[#This Row],[Monto (S/)]],"0")</f>
        <v>55</v>
      </c>
      <c r="P911" s="28">
        <f>IF(tblMovimientos[[#This Row],[Tipo de Movimiento]]="Ingreso",tblMovimientos[[#This Row],[Ingreso]],-tblMovimientos[[#This Row],[Egreso]])</f>
        <v>-55</v>
      </c>
      <c r="Q911" s="78" t="str">
        <f>_xlfn.XLOOKUP(tblMovimientos[[#This Row],[Cuenta Bancaria]],Cuentas!$C:$C,Cuentas!$A:$A,"")&amp;""</f>
        <v>SSP Group</v>
      </c>
      <c r="R911" s="78" t="str">
        <f>_xlfn.XLOOKUP(tblMovimientos[[#This Row],[Cuenta Bancaria]],Cuentas!$C:$C,Cuentas!$B:$B,"",0,-1)&amp;""</f>
        <v/>
      </c>
    </row>
    <row r="912" spans="2:18" x14ac:dyDescent="0.3">
      <c r="B912" s="39">
        <v>46267</v>
      </c>
      <c r="C912" s="4" t="str">
        <f>_xlfn.XLOOKUP(tblMovimientos[[#This Row],[Cuenta Bancaria]],Listas!$B:$B,Listas!$A:$A,"")</f>
        <v>Go Blue</v>
      </c>
      <c r="D912" s="41" t="s">
        <v>126</v>
      </c>
      <c r="E912" s="68" t="str">
        <f>_xlfn.XLOOKUP(tblMovimientos[[#This Row],[Cuenta Bancaria]],Listas!$B:$B,Listas!$C:$C,"")</f>
        <v xml:space="preserve">Amerant Bank </v>
      </c>
      <c r="F912" s="41" t="s">
        <v>10</v>
      </c>
      <c r="G912" s="41" t="s">
        <v>38</v>
      </c>
      <c r="H912" s="4" t="str">
        <f>IFERROR(_xlfn.XLOOKUP(G912,Listas!E:E,Listas!F:F,""),"")</f>
        <v>Operativo</v>
      </c>
      <c r="I912" s="46" t="str">
        <f>IFERROR(_xlfn.XLOOKUP(G912,Listas!E:E,Listas!G:G,""),"")</f>
        <v>Externo</v>
      </c>
      <c r="J912" s="43">
        <v>324.05</v>
      </c>
      <c r="K912" s="5">
        <f t="shared" si="14"/>
        <v>-324.05</v>
      </c>
      <c r="L912" s="15" t="s">
        <v>133</v>
      </c>
      <c r="M912" s="44">
        <f>SUMIFS('Saldos Iniciales'!$D:$D,'Saldos Iniciales'!$A:$A,C912,'Saldos Iniciales'!$B:$B,D912)+SUMIFS($K$1:$K$1324,$C$1:$C$1324,C912,$D$1:$D$1324,D912,$B$1:$B$1324,"&lt;="&amp;B912)</f>
        <v>3797.7699999999986</v>
      </c>
      <c r="N912" s="61" t="str">
        <f>IF(tblMovimientos[[#This Row],[Tipo de Movimiento]]="Ingreso",tblMovimientos[[#This Row],[Monto (S/)]],"0")</f>
        <v>0</v>
      </c>
      <c r="O912" s="61">
        <f>IF(tblMovimientos[[#This Row],[Tipo de Movimiento]]="Egreso",tblMovimientos[[#This Row],[Monto (S/)]],"0")</f>
        <v>324.05</v>
      </c>
      <c r="P912" s="28">
        <f>IF(tblMovimientos[[#This Row],[Tipo de Movimiento]]="Ingreso",tblMovimientos[[#This Row],[Ingreso]],-tblMovimientos[[#This Row],[Egreso]])</f>
        <v>-324.05</v>
      </c>
      <c r="Q912" s="78" t="str">
        <f>_xlfn.XLOOKUP(tblMovimientos[[#This Row],[Cuenta Bancaria]],Cuentas!$C:$C,Cuentas!$A:$A,"")&amp;""</f>
        <v>SSP Group</v>
      </c>
      <c r="R912" s="78" t="str">
        <f>_xlfn.XLOOKUP(tblMovimientos[[#This Row],[Cuenta Bancaria]],Cuentas!$C:$C,Cuentas!$B:$B,"",0,-1)&amp;""</f>
        <v/>
      </c>
    </row>
    <row r="913" spans="1:18" x14ac:dyDescent="0.3">
      <c r="B913" s="39">
        <v>46267</v>
      </c>
      <c r="C913" s="4" t="str">
        <f>_xlfn.XLOOKUP(tblMovimientos[[#This Row],[Cuenta Bancaria]],Listas!$B:$B,Listas!$A:$A,"")</f>
        <v>Go Blue</v>
      </c>
      <c r="D913" s="41" t="s">
        <v>126</v>
      </c>
      <c r="E913" s="68" t="str">
        <f>_xlfn.XLOOKUP(tblMovimientos[[#This Row],[Cuenta Bancaria]],Listas!$B:$B,Listas!$C:$C,"")</f>
        <v xml:space="preserve">Amerant Bank </v>
      </c>
      <c r="F913" s="41" t="s">
        <v>10</v>
      </c>
      <c r="G913" s="41" t="s">
        <v>38</v>
      </c>
      <c r="H913" s="4" t="str">
        <f>IFERROR(_xlfn.XLOOKUP(G913,Listas!E:E,Listas!F:F,""),"")</f>
        <v>Operativo</v>
      </c>
      <c r="I913" s="46" t="str">
        <f>IFERROR(_xlfn.XLOOKUP(G913,Listas!E:E,Listas!G:G,""),"")</f>
        <v>Externo</v>
      </c>
      <c r="J913" s="43">
        <v>3309.58</v>
      </c>
      <c r="K913" s="5">
        <f t="shared" si="14"/>
        <v>-3309.58</v>
      </c>
      <c r="L913" s="15" t="s">
        <v>133</v>
      </c>
      <c r="M913" s="44">
        <f>SUMIFS('Saldos Iniciales'!$D:$D,'Saldos Iniciales'!$A:$A,C913,'Saldos Iniciales'!$B:$B,D913)+SUMIFS($K$1:$K$1324,$C$1:$C$1324,C913,$D$1:$D$1324,D913,$B$1:$B$1324,"&lt;="&amp;B913)</f>
        <v>3797.7699999999986</v>
      </c>
      <c r="N913" s="61" t="str">
        <f>IF(tblMovimientos[[#This Row],[Tipo de Movimiento]]="Ingreso",tblMovimientos[[#This Row],[Monto (S/)]],"0")</f>
        <v>0</v>
      </c>
      <c r="O913" s="61">
        <f>IF(tblMovimientos[[#This Row],[Tipo de Movimiento]]="Egreso",tblMovimientos[[#This Row],[Monto (S/)]],"0")</f>
        <v>3309.58</v>
      </c>
      <c r="P913" s="28">
        <f>IF(tblMovimientos[[#This Row],[Tipo de Movimiento]]="Ingreso",tblMovimientos[[#This Row],[Ingreso]],-tblMovimientos[[#This Row],[Egreso]])</f>
        <v>-3309.58</v>
      </c>
      <c r="Q913" s="78" t="str">
        <f>_xlfn.XLOOKUP(tblMovimientos[[#This Row],[Cuenta Bancaria]],Cuentas!$C:$C,Cuentas!$A:$A,"")&amp;""</f>
        <v>SSP Group</v>
      </c>
      <c r="R913" s="78" t="str">
        <f>_xlfn.XLOOKUP(tblMovimientos[[#This Row],[Cuenta Bancaria]],Cuentas!$C:$C,Cuentas!$B:$B,"",0,-1)&amp;""</f>
        <v/>
      </c>
    </row>
    <row r="914" spans="1:18" x14ac:dyDescent="0.3">
      <c r="B914" s="39">
        <v>46267</v>
      </c>
      <c r="C914" s="4" t="str">
        <f>_xlfn.XLOOKUP(tblMovimientos[[#This Row],[Cuenta Bancaria]],Listas!$B:$B,Listas!$A:$A,"")</f>
        <v>Soweto</v>
      </c>
      <c r="D914" s="41" t="s">
        <v>116</v>
      </c>
      <c r="E914" s="68" t="str">
        <f>_xlfn.XLOOKUP(tblMovimientos[[#This Row],[Cuenta Bancaria]],Listas!$B:$B,Listas!$C:$C,"")</f>
        <v>Citibank</v>
      </c>
      <c r="F914" s="41" t="s">
        <v>10</v>
      </c>
      <c r="G914" s="41" t="s">
        <v>50</v>
      </c>
      <c r="H914" s="4" t="str">
        <f>IFERROR(_xlfn.XLOOKUP(G914,Listas!E:E,Listas!F:F,""),"")</f>
        <v>Financiamiento</v>
      </c>
      <c r="I914" s="46" t="str">
        <f>IFERROR(_xlfn.XLOOKUP(G914,Listas!E:E,Listas!G:G,""),"")</f>
        <v>Externo</v>
      </c>
      <c r="J914" s="43">
        <v>699844.76</v>
      </c>
      <c r="K914" s="5">
        <f t="shared" si="14"/>
        <v>-699844.76</v>
      </c>
      <c r="L914" s="15" t="s">
        <v>133</v>
      </c>
      <c r="M914" s="44">
        <f>SUMIFS('Saldos Iniciales'!$D:$D,'Saldos Iniciales'!$A:$A,C914,'Saldos Iniciales'!$B:$B,D914)+SUMIFS($K$1:$K$1324,$C$1:$C$1324,C914,$D$1:$D$1324,D914,$B$1:$B$1324,"&lt;="&amp;B914)</f>
        <v>17895.290000000015</v>
      </c>
      <c r="N914" s="61" t="str">
        <f>IF(tblMovimientos[[#This Row],[Tipo de Movimiento]]="Ingreso",tblMovimientos[[#This Row],[Monto (S/)]],"0")</f>
        <v>0</v>
      </c>
      <c r="O914" s="61">
        <f>IF(tblMovimientos[[#This Row],[Tipo de Movimiento]]="Egreso",tblMovimientos[[#This Row],[Monto (S/)]],"0")</f>
        <v>699844.76</v>
      </c>
      <c r="P914" s="28">
        <f>IF(tblMovimientos[[#This Row],[Tipo de Movimiento]]="Ingreso",tblMovimientos[[#This Row],[Ingreso]],-tblMovimientos[[#This Row],[Egreso]])</f>
        <v>-699844.76</v>
      </c>
      <c r="Q914" s="78" t="str">
        <f>_xlfn.XLOOKUP(tblMovimientos[[#This Row],[Cuenta Bancaria]],Cuentas!$C:$C,Cuentas!$A:$A,"")&amp;""</f>
        <v>SSP Group</v>
      </c>
      <c r="R914" s="78" t="str">
        <f>_xlfn.XLOOKUP(tblMovimientos[[#This Row],[Cuenta Bancaria]],Cuentas!$C:$C,Cuentas!$B:$B,"",0,-1)&amp;""</f>
        <v/>
      </c>
    </row>
    <row r="915" spans="1:18" x14ac:dyDescent="0.3">
      <c r="B915" s="39">
        <v>46267</v>
      </c>
      <c r="C915" s="4" t="str">
        <f>_xlfn.XLOOKUP(tblMovimientos[[#This Row],[Cuenta Bancaria]],Listas!$B:$B,Listas!$A:$A,"")</f>
        <v>Soweto</v>
      </c>
      <c r="D915" s="41" t="s">
        <v>116</v>
      </c>
      <c r="E915" s="68" t="str">
        <f>_xlfn.XLOOKUP(tblMovimientos[[#This Row],[Cuenta Bancaria]],Listas!$B:$B,Listas!$C:$C,"")</f>
        <v>Citibank</v>
      </c>
      <c r="F915" s="41" t="s">
        <v>10</v>
      </c>
      <c r="G915" s="41" t="s">
        <v>46</v>
      </c>
      <c r="H915" s="4" t="str">
        <f>IFERROR(_xlfn.XLOOKUP(G915,Listas!E:E,Listas!F:F,""),"")</f>
        <v>Financiamiento</v>
      </c>
      <c r="I915" s="46" t="str">
        <f>IFERROR(_xlfn.XLOOKUP(G915,Listas!E:E,Listas!G:G,""),"")</f>
        <v>Externo</v>
      </c>
      <c r="J915" s="43">
        <v>34281.760000000002</v>
      </c>
      <c r="K915" s="5">
        <f t="shared" si="14"/>
        <v>-34281.760000000002</v>
      </c>
      <c r="L915" s="15" t="s">
        <v>133</v>
      </c>
      <c r="M915" s="44">
        <f>SUMIFS('Saldos Iniciales'!$D:$D,'Saldos Iniciales'!$A:$A,C915,'Saldos Iniciales'!$B:$B,D915)+SUMIFS($K$1:$K$1324,$C$1:$C$1324,C915,$D$1:$D$1324,D915,$B$1:$B$1324,"&lt;="&amp;B915)</f>
        <v>17895.290000000015</v>
      </c>
      <c r="N915" s="61" t="str">
        <f>IF(tblMovimientos[[#This Row],[Tipo de Movimiento]]="Ingreso",tblMovimientos[[#This Row],[Monto (S/)]],"0")</f>
        <v>0</v>
      </c>
      <c r="O915" s="61">
        <f>IF(tblMovimientos[[#This Row],[Tipo de Movimiento]]="Egreso",tblMovimientos[[#This Row],[Monto (S/)]],"0")</f>
        <v>34281.760000000002</v>
      </c>
      <c r="P915" s="28">
        <f>IF(tblMovimientos[[#This Row],[Tipo de Movimiento]]="Ingreso",tblMovimientos[[#This Row],[Ingreso]],-tblMovimientos[[#This Row],[Egreso]])</f>
        <v>-34281.760000000002</v>
      </c>
      <c r="Q915" s="78" t="str">
        <f>_xlfn.XLOOKUP(tblMovimientos[[#This Row],[Cuenta Bancaria]],Cuentas!$C:$C,Cuentas!$A:$A,"")&amp;""</f>
        <v>SSP Group</v>
      </c>
      <c r="R915" s="78" t="str">
        <f>_xlfn.XLOOKUP(tblMovimientos[[#This Row],[Cuenta Bancaria]],Cuentas!$C:$C,Cuentas!$B:$B,"",0,-1)&amp;""</f>
        <v/>
      </c>
    </row>
    <row r="916" spans="1:18" x14ac:dyDescent="0.3">
      <c r="B916" s="39">
        <v>46267</v>
      </c>
      <c r="C916" s="4" t="str">
        <f>_xlfn.XLOOKUP(tblMovimientos[[#This Row],[Cuenta Bancaria]],Listas!$B:$B,Listas!$A:$A,"")</f>
        <v>Soweto</v>
      </c>
      <c r="D916" s="41" t="s">
        <v>116</v>
      </c>
      <c r="E916" s="68" t="str">
        <f>_xlfn.XLOOKUP(tblMovimientos[[#This Row],[Cuenta Bancaria]],Listas!$B:$B,Listas!$C:$C,"")</f>
        <v>Citibank</v>
      </c>
      <c r="F916" s="41" t="s">
        <v>10</v>
      </c>
      <c r="G916" s="41" t="s">
        <v>38</v>
      </c>
      <c r="H916" s="4" t="str">
        <f>IFERROR(_xlfn.XLOOKUP(G916,Listas!E:E,Listas!F:F,""),"")</f>
        <v>Operativo</v>
      </c>
      <c r="I916" s="46" t="str">
        <f>IFERROR(_xlfn.XLOOKUP(G916,Listas!E:E,Listas!G:G,""),"")</f>
        <v>Externo</v>
      </c>
      <c r="J916" s="43">
        <v>2292.91</v>
      </c>
      <c r="K916" s="5">
        <f t="shared" si="14"/>
        <v>-2292.91</v>
      </c>
      <c r="L916" s="15" t="s">
        <v>133</v>
      </c>
      <c r="M916" s="44">
        <f>SUMIFS('Saldos Iniciales'!$D:$D,'Saldos Iniciales'!$A:$A,C916,'Saldos Iniciales'!$B:$B,D916)+SUMIFS($K$1:$K$1324,$C$1:$C$1324,C916,$D$1:$D$1324,D916,$B$1:$B$1324,"&lt;="&amp;B916)</f>
        <v>17895.290000000015</v>
      </c>
      <c r="N916" s="61" t="str">
        <f>IF(tblMovimientos[[#This Row],[Tipo de Movimiento]]="Ingreso",tblMovimientos[[#This Row],[Monto (S/)]],"0")</f>
        <v>0</v>
      </c>
      <c r="O916" s="61">
        <f>IF(tblMovimientos[[#This Row],[Tipo de Movimiento]]="Egreso",tblMovimientos[[#This Row],[Monto (S/)]],"0")</f>
        <v>2292.91</v>
      </c>
      <c r="P916" s="28">
        <f>IF(tblMovimientos[[#This Row],[Tipo de Movimiento]]="Ingreso",tblMovimientos[[#This Row],[Ingreso]],-tblMovimientos[[#This Row],[Egreso]])</f>
        <v>-2292.91</v>
      </c>
      <c r="Q916" s="78" t="str">
        <f>_xlfn.XLOOKUP(tblMovimientos[[#This Row],[Cuenta Bancaria]],Cuentas!$C:$C,Cuentas!$A:$A,"")&amp;""</f>
        <v>SSP Group</v>
      </c>
      <c r="R916" s="78" t="str">
        <f>_xlfn.XLOOKUP(tblMovimientos[[#This Row],[Cuenta Bancaria]],Cuentas!$C:$C,Cuentas!$B:$B,"",0,-1)&amp;""</f>
        <v/>
      </c>
    </row>
    <row r="917" spans="1:18" x14ac:dyDescent="0.3">
      <c r="B917" s="39">
        <v>46267</v>
      </c>
      <c r="C917" s="4" t="str">
        <f>_xlfn.XLOOKUP(tblMovimientos[[#This Row],[Cuenta Bancaria]],Listas!$B:$B,Listas!$A:$A,"")</f>
        <v>Nobe Aparments</v>
      </c>
      <c r="D917" s="41" t="s">
        <v>191</v>
      </c>
      <c r="E917" s="68" t="str">
        <f>_xlfn.XLOOKUP(tblMovimientos[[#This Row],[Cuenta Bancaria]],Listas!$B:$B,Listas!$C:$C,"")</f>
        <v>Bank of America</v>
      </c>
      <c r="F917" s="41" t="s">
        <v>9</v>
      </c>
      <c r="G917" s="41" t="s">
        <v>81</v>
      </c>
      <c r="H917" s="4" t="str">
        <f>IFERROR(_xlfn.XLOOKUP(G917,Listas!E:E,Listas!F:F,""),"")</f>
        <v>Operativo</v>
      </c>
      <c r="I917" s="46" t="str">
        <f>IFERROR(_xlfn.XLOOKUP(G917,Listas!E:E,Listas!G:G,""),"")</f>
        <v>Externo</v>
      </c>
      <c r="J917" s="43">
        <v>2150</v>
      </c>
      <c r="K917" s="5">
        <f t="shared" si="14"/>
        <v>2150</v>
      </c>
      <c r="L917" s="15" t="s">
        <v>133</v>
      </c>
      <c r="M917" s="44">
        <f>SUMIFS('Saldos Iniciales'!$D:$D,'Saldos Iniciales'!$A:$A,C917,'Saldos Iniciales'!$B:$B,D917)+SUMIFS($K$1:$K$1324,$C$1:$C$1324,C917,$D$1:$D$1324,D917,$B$1:$B$1324,"&lt;="&amp;B917)</f>
        <v>210580.58</v>
      </c>
      <c r="N917" s="61">
        <f>IF(tblMovimientos[[#This Row],[Tipo de Movimiento]]="Ingreso",tblMovimientos[[#This Row],[Monto (S/)]],"0")</f>
        <v>2150</v>
      </c>
      <c r="O917" s="61" t="str">
        <f>IF(tblMovimientos[[#This Row],[Tipo de Movimiento]]="Egreso",tblMovimientos[[#This Row],[Monto (S/)]],"0")</f>
        <v>0</v>
      </c>
      <c r="P917" s="28">
        <f>IF(tblMovimientos[[#This Row],[Tipo de Movimiento]]="Ingreso",tblMovimientos[[#This Row],[Ingreso]],-tblMovimientos[[#This Row],[Egreso]])</f>
        <v>2150</v>
      </c>
      <c r="Q917" s="78" t="str">
        <f>_xlfn.XLOOKUP(tblMovimientos[[#This Row],[Cuenta Bancaria]],Cuentas!$C:$C,Cuentas!$A:$A,"")&amp;""</f>
        <v>Estate</v>
      </c>
      <c r="R917" s="78" t="str">
        <f>_xlfn.XLOOKUP(tblMovimientos[[#This Row],[Cuenta Bancaria]],Cuentas!$C:$C,Cuentas!$B:$B,"",0,-1)&amp;""</f>
        <v/>
      </c>
    </row>
    <row r="918" spans="1:18" x14ac:dyDescent="0.3">
      <c r="B918" s="39">
        <v>46267</v>
      </c>
      <c r="C918" s="4" t="str">
        <f>_xlfn.XLOOKUP(tblMovimientos[[#This Row],[Cuenta Bancaria]],Listas!$B:$B,Listas!$A:$A,"")</f>
        <v>Nobe Aparments</v>
      </c>
      <c r="D918" s="41" t="s">
        <v>191</v>
      </c>
      <c r="E918" s="68" t="str">
        <f>_xlfn.XLOOKUP(tblMovimientos[[#This Row],[Cuenta Bancaria]],Listas!$B:$B,Listas!$C:$C,"")</f>
        <v>Bank of America</v>
      </c>
      <c r="F918" s="41" t="s">
        <v>10</v>
      </c>
      <c r="G918" s="41" t="s">
        <v>65</v>
      </c>
      <c r="H918" s="4" t="str">
        <f>IFERROR(_xlfn.XLOOKUP(G918,Listas!E:E,Listas!F:F,""),"")</f>
        <v>Operativo</v>
      </c>
      <c r="I918" s="46" t="str">
        <f>IFERROR(_xlfn.XLOOKUP(G918,Listas!E:E,Listas!G:G,""),"")</f>
        <v>Externo</v>
      </c>
      <c r="J918" s="43">
        <v>1700</v>
      </c>
      <c r="K918" s="5">
        <f t="shared" si="14"/>
        <v>-1700</v>
      </c>
      <c r="L918" s="15" t="s">
        <v>133</v>
      </c>
      <c r="M918" s="44">
        <f>SUMIFS('Saldos Iniciales'!$D:$D,'Saldos Iniciales'!$A:$A,C918,'Saldos Iniciales'!$B:$B,D918)+SUMIFS($K$1:$K$1324,$C$1:$C$1324,C918,$D$1:$D$1324,D918,$B$1:$B$1324,"&lt;="&amp;B918)</f>
        <v>210580.58</v>
      </c>
      <c r="N918" s="61" t="str">
        <f>IF(tblMovimientos[[#This Row],[Tipo de Movimiento]]="Ingreso",tblMovimientos[[#This Row],[Monto (S/)]],"0")</f>
        <v>0</v>
      </c>
      <c r="O918" s="61">
        <f>IF(tblMovimientos[[#This Row],[Tipo de Movimiento]]="Egreso",tblMovimientos[[#This Row],[Monto (S/)]],"0")</f>
        <v>1700</v>
      </c>
      <c r="P918" s="28">
        <f>IF(tblMovimientos[[#This Row],[Tipo de Movimiento]]="Ingreso",tblMovimientos[[#This Row],[Ingreso]],-tblMovimientos[[#This Row],[Egreso]])</f>
        <v>-1700</v>
      </c>
      <c r="Q918" s="78" t="str">
        <f>_xlfn.XLOOKUP(tblMovimientos[[#This Row],[Cuenta Bancaria]],Cuentas!$C:$C,Cuentas!$A:$A,"")&amp;""</f>
        <v>Estate</v>
      </c>
      <c r="R918" s="78" t="str">
        <f>_xlfn.XLOOKUP(tblMovimientos[[#This Row],[Cuenta Bancaria]],Cuentas!$C:$C,Cuentas!$B:$B,"",0,-1)&amp;""</f>
        <v/>
      </c>
    </row>
    <row r="919" spans="1:18" x14ac:dyDescent="0.3">
      <c r="B919" s="39">
        <v>46267</v>
      </c>
      <c r="C919" s="4" t="str">
        <f>_xlfn.XLOOKUP(tblMovimientos[[#This Row],[Cuenta Bancaria]],Listas!$B:$B,Listas!$A:$A,"")</f>
        <v>Nobe Aparments</v>
      </c>
      <c r="D919" s="41" t="s">
        <v>191</v>
      </c>
      <c r="E919" s="68" t="str">
        <f>_xlfn.XLOOKUP(tblMovimientos[[#This Row],[Cuenta Bancaria]],Listas!$B:$B,Listas!$C:$C,"")</f>
        <v>Bank of America</v>
      </c>
      <c r="F919" s="41" t="s">
        <v>10</v>
      </c>
      <c r="G919" s="41" t="s">
        <v>38</v>
      </c>
      <c r="H919" s="4" t="str">
        <f>IFERROR(_xlfn.XLOOKUP(G919,Listas!E:E,Listas!F:F,""),"")</f>
        <v>Operativo</v>
      </c>
      <c r="I919" s="46" t="str">
        <f>IFERROR(_xlfn.XLOOKUP(G919,Listas!E:E,Listas!G:G,""),"")</f>
        <v>Externo</v>
      </c>
      <c r="J919" s="43">
        <v>118.63</v>
      </c>
      <c r="K919" s="5">
        <f t="shared" si="14"/>
        <v>-118.63</v>
      </c>
      <c r="L919" s="15" t="s">
        <v>133</v>
      </c>
      <c r="M919" s="44">
        <f>SUMIFS('Saldos Iniciales'!$D:$D,'Saldos Iniciales'!$A:$A,C919,'Saldos Iniciales'!$B:$B,D919)+SUMIFS($K$1:$K$1324,$C$1:$C$1324,C919,$D$1:$D$1324,D919,$B$1:$B$1324,"&lt;="&amp;B919)</f>
        <v>210580.58</v>
      </c>
      <c r="N919" s="61" t="str">
        <f>IF(tblMovimientos[[#This Row],[Tipo de Movimiento]]="Ingreso",tblMovimientos[[#This Row],[Monto (S/)]],"0")</f>
        <v>0</v>
      </c>
      <c r="O919" s="61">
        <f>IF(tblMovimientos[[#This Row],[Tipo de Movimiento]]="Egreso",tblMovimientos[[#This Row],[Monto (S/)]],"0")</f>
        <v>118.63</v>
      </c>
      <c r="P919" s="28">
        <f>IF(tblMovimientos[[#This Row],[Tipo de Movimiento]]="Ingreso",tblMovimientos[[#This Row],[Ingreso]],-tblMovimientos[[#This Row],[Egreso]])</f>
        <v>-118.63</v>
      </c>
      <c r="Q919" s="78" t="str">
        <f>_xlfn.XLOOKUP(tblMovimientos[[#This Row],[Cuenta Bancaria]],Cuentas!$C:$C,Cuentas!$A:$A,"")&amp;""</f>
        <v>Estate</v>
      </c>
      <c r="R919" s="78" t="str">
        <f>_xlfn.XLOOKUP(tblMovimientos[[#This Row],[Cuenta Bancaria]],Cuentas!$C:$C,Cuentas!$B:$B,"",0,-1)&amp;""</f>
        <v/>
      </c>
    </row>
    <row r="920" spans="1:18" x14ac:dyDescent="0.3">
      <c r="B920" s="39">
        <v>46267</v>
      </c>
      <c r="C920" s="4" t="str">
        <f>_xlfn.XLOOKUP(tblMovimientos[[#This Row],[Cuenta Bancaria]],Listas!$B:$B,Listas!$A:$A,"")</f>
        <v>Soweto</v>
      </c>
      <c r="D920" s="41" t="s">
        <v>116</v>
      </c>
      <c r="E920" s="68" t="str">
        <f>_xlfn.XLOOKUP(tblMovimientos[[#This Row],[Cuenta Bancaria]],Listas!$B:$B,Listas!$C:$C,"")</f>
        <v>Citibank</v>
      </c>
      <c r="F920" s="41" t="s">
        <v>10</v>
      </c>
      <c r="G920" s="41" t="s">
        <v>44</v>
      </c>
      <c r="H920" s="4" t="str">
        <f>IFERROR(_xlfn.XLOOKUP(G920,Listas!E:E,Listas!F:F,""),"")</f>
        <v>Operativo</v>
      </c>
      <c r="I920" s="69" t="str">
        <f>IFERROR(_xlfn.XLOOKUP(G920,Listas!E:E,Listas!G:G,""),"")</f>
        <v>Externo</v>
      </c>
      <c r="J920" s="43">
        <v>55</v>
      </c>
      <c r="K920" s="5">
        <f t="shared" si="14"/>
        <v>-55</v>
      </c>
      <c r="L920" s="15" t="s">
        <v>133</v>
      </c>
      <c r="M920" s="44">
        <f>SUMIFS('Saldos Iniciales'!$D:$D,'Saldos Iniciales'!$A:$A,C920,'Saldos Iniciales'!$B:$B,D920)+SUMIFS($K$1:$K$1324,$C$1:$C$1324,C920,$D$1:$D$1324,D920,$B$1:$B$1324,"&lt;="&amp;B920)</f>
        <v>17895.290000000015</v>
      </c>
      <c r="N920" s="61" t="str">
        <f>IF(tblMovimientos[[#This Row],[Tipo de Movimiento]]="Ingreso",tblMovimientos[[#This Row],[Monto (S/)]],"0")</f>
        <v>0</v>
      </c>
      <c r="O920" s="61">
        <f>IF(tblMovimientos[[#This Row],[Tipo de Movimiento]]="Egreso",tblMovimientos[[#This Row],[Monto (S/)]],"0")</f>
        <v>55</v>
      </c>
      <c r="P920" s="28">
        <f>IF(tblMovimientos[[#This Row],[Tipo de Movimiento]]="Ingreso",tblMovimientos[[#This Row],[Ingreso]],-tblMovimientos[[#This Row],[Egreso]])</f>
        <v>-55</v>
      </c>
      <c r="Q920" s="78" t="str">
        <f>_xlfn.XLOOKUP(tblMovimientos[[#This Row],[Cuenta Bancaria]],Cuentas!$C:$C,Cuentas!$A:$A,"")&amp;""</f>
        <v>SSP Group</v>
      </c>
      <c r="R920" s="78" t="str">
        <f>_xlfn.XLOOKUP(tblMovimientos[[#This Row],[Cuenta Bancaria]],Cuentas!$C:$C,Cuentas!$B:$B,"",0,-1)&amp;""</f>
        <v/>
      </c>
    </row>
    <row r="921" spans="1:18" x14ac:dyDescent="0.3">
      <c r="B921" s="39">
        <v>46267</v>
      </c>
      <c r="C921" s="4" t="str">
        <f>_xlfn.XLOOKUP(tblMovimientos[[#This Row],[Cuenta Bancaria]],Listas!$B:$B,Listas!$A:$A,"")</f>
        <v>Soweto</v>
      </c>
      <c r="D921" s="41" t="s">
        <v>116</v>
      </c>
      <c r="E921" s="68" t="str">
        <f>_xlfn.XLOOKUP(tblMovimientos[[#This Row],[Cuenta Bancaria]],Listas!$B:$B,Listas!$C:$C,"")</f>
        <v>Citibank</v>
      </c>
      <c r="F921" s="41" t="s">
        <v>10</v>
      </c>
      <c r="G921" s="41" t="s">
        <v>44</v>
      </c>
      <c r="H921" s="4" t="str">
        <f>IFERROR(_xlfn.XLOOKUP(G921,Listas!E:E,Listas!F:F,""),"")</f>
        <v>Operativo</v>
      </c>
      <c r="I921" s="69" t="str">
        <f>IFERROR(_xlfn.XLOOKUP(G921,Listas!E:E,Listas!G:G,""),"")</f>
        <v>Externo</v>
      </c>
      <c r="J921" s="43">
        <v>55</v>
      </c>
      <c r="K921" s="5">
        <f t="shared" si="14"/>
        <v>-55</v>
      </c>
      <c r="L921" s="15" t="s">
        <v>133</v>
      </c>
      <c r="M921" s="44">
        <f>SUMIFS('Saldos Iniciales'!$D:$D,'Saldos Iniciales'!$A:$A,C921,'Saldos Iniciales'!$B:$B,D921)+SUMIFS($K$1:$K$1324,$C$1:$C$1324,C921,$D$1:$D$1324,D921,$B$1:$B$1324,"&lt;="&amp;B921)</f>
        <v>17895.290000000015</v>
      </c>
      <c r="N921" s="61" t="str">
        <f>IF(tblMovimientos[[#This Row],[Tipo de Movimiento]]="Ingreso",tblMovimientos[[#This Row],[Monto (S/)]],"0")</f>
        <v>0</v>
      </c>
      <c r="O921" s="61">
        <f>IF(tblMovimientos[[#This Row],[Tipo de Movimiento]]="Egreso",tblMovimientos[[#This Row],[Monto (S/)]],"0")</f>
        <v>55</v>
      </c>
      <c r="P921" s="28">
        <f>IF(tblMovimientos[[#This Row],[Tipo de Movimiento]]="Ingreso",tblMovimientos[[#This Row],[Ingreso]],-tblMovimientos[[#This Row],[Egreso]])</f>
        <v>-55</v>
      </c>
      <c r="Q921" s="78" t="str">
        <f>_xlfn.XLOOKUP(tblMovimientos[[#This Row],[Cuenta Bancaria]],Cuentas!$C:$C,Cuentas!$A:$A,"")&amp;""</f>
        <v>SSP Group</v>
      </c>
      <c r="R921" s="78" t="str">
        <f>_xlfn.XLOOKUP(tblMovimientos[[#This Row],[Cuenta Bancaria]],Cuentas!$C:$C,Cuentas!$B:$B,"",0,-1)&amp;""</f>
        <v/>
      </c>
    </row>
    <row r="922" spans="1:18" x14ac:dyDescent="0.3">
      <c r="B922" s="39">
        <v>46268</v>
      </c>
      <c r="C922" s="4" t="str">
        <f>_xlfn.XLOOKUP(tblMovimientos[[#This Row],[Cuenta Bancaria]],Listas!$B:$B,Listas!$A:$A,"")</f>
        <v>SSP Capital</v>
      </c>
      <c r="D922" s="41" t="s">
        <v>101</v>
      </c>
      <c r="E922" s="68" t="str">
        <f>_xlfn.XLOOKUP(tblMovimientos[[#This Row],[Cuenta Bancaria]],Listas!$B:$B,Listas!$C:$C,"")</f>
        <v>Bank of America</v>
      </c>
      <c r="F922" s="41" t="s">
        <v>9</v>
      </c>
      <c r="G922" s="41" t="s">
        <v>73</v>
      </c>
      <c r="H922" s="4" t="str">
        <f>IFERROR(_xlfn.XLOOKUP(G922,Listas!E:E,Listas!F:F,""),"")</f>
        <v>Operativo</v>
      </c>
      <c r="I922" s="46" t="str">
        <f>IFERROR(_xlfn.XLOOKUP(G922,Listas!E:E,Listas!G:G,""),"")</f>
        <v>Interno</v>
      </c>
      <c r="J922" s="43">
        <v>15266.29</v>
      </c>
      <c r="K922" s="5">
        <f t="shared" si="14"/>
        <v>15266.29</v>
      </c>
      <c r="L922" s="15" t="s">
        <v>133</v>
      </c>
      <c r="M922" s="44">
        <f>SUMIFS('Saldos Iniciales'!$D:$D,'Saldos Iniciales'!$A:$A,C922,'Saldos Iniciales'!$B:$B,D922)+SUMIFS($K$1:$K$1324,$C$1:$C$1324,C922,$D$1:$D$1324,D922,$B$1:$B$1324,"&lt;="&amp;B922)</f>
        <v>40481.18</v>
      </c>
      <c r="N922" s="61">
        <f>IF(tblMovimientos[[#This Row],[Tipo de Movimiento]]="Ingreso",tblMovimientos[[#This Row],[Monto (S/)]],"0")</f>
        <v>15266.29</v>
      </c>
      <c r="O922" s="61" t="str">
        <f>IF(tblMovimientos[[#This Row],[Tipo de Movimiento]]="Egreso",tblMovimientos[[#This Row],[Monto (S/)]],"0")</f>
        <v>0</v>
      </c>
      <c r="P922" s="28">
        <f>IF(tblMovimientos[[#This Row],[Tipo de Movimiento]]="Ingreso",tblMovimientos[[#This Row],[Ingreso]],-tblMovimientos[[#This Row],[Egreso]])</f>
        <v>15266.29</v>
      </c>
      <c r="Q922" s="78" t="str">
        <f>_xlfn.XLOOKUP(tblMovimientos[[#This Row],[Cuenta Bancaria]],Cuentas!$C:$C,Cuentas!$A:$A,"")&amp;""</f>
        <v>SSP Group</v>
      </c>
      <c r="R922" s="78" t="str">
        <f>_xlfn.XLOOKUP(tblMovimientos[[#This Row],[Cuenta Bancaria]],Cuentas!$C:$C,Cuentas!$B:$B,"",0,-1)&amp;""</f>
        <v/>
      </c>
    </row>
    <row r="923" spans="1:18" x14ac:dyDescent="0.3">
      <c r="B923" s="39">
        <v>46268</v>
      </c>
      <c r="C923" s="4" t="str">
        <f>_xlfn.XLOOKUP(tblMovimientos[[#This Row],[Cuenta Bancaria]],Listas!$B:$B,Listas!$A:$A,"")</f>
        <v>A&amp;M Imports</v>
      </c>
      <c r="D923" s="41" t="s">
        <v>100</v>
      </c>
      <c r="E923" s="68" t="str">
        <f>_xlfn.XLOOKUP(tblMovimientos[[#This Row],[Cuenta Bancaria]],Listas!$B:$B,Listas!$C:$C,"")</f>
        <v>Bank of America</v>
      </c>
      <c r="F923" s="41" t="s">
        <v>10</v>
      </c>
      <c r="G923" s="41" t="s">
        <v>61</v>
      </c>
      <c r="H923" s="4" t="str">
        <f>IFERROR(_xlfn.XLOOKUP(G923,Listas!E:E,Listas!F:F,""),"")</f>
        <v>Operativo</v>
      </c>
      <c r="I923" s="46" t="str">
        <f>IFERROR(_xlfn.XLOOKUP(G923,Listas!E:E,Listas!G:G,""),"")</f>
        <v>Externo</v>
      </c>
      <c r="J923" s="43">
        <v>60000</v>
      </c>
      <c r="K923" s="5">
        <f t="shared" si="14"/>
        <v>-60000</v>
      </c>
      <c r="L923" s="15" t="s">
        <v>133</v>
      </c>
      <c r="M923" s="44">
        <f>SUMIFS('Saldos Iniciales'!$D:$D,'Saldos Iniciales'!$A:$A,C923,'Saldos Iniciales'!$B:$B,D923)+SUMIFS($K$1:$K$1324,$C$1:$C$1324,C923,$D$1:$D$1324,D923,$B$1:$B$1324,"&lt;="&amp;B923)</f>
        <v>1250938</v>
      </c>
      <c r="N923" s="61" t="str">
        <f>IF(tblMovimientos[[#This Row],[Tipo de Movimiento]]="Ingreso",tblMovimientos[[#This Row],[Monto (S/)]],"0")</f>
        <v>0</v>
      </c>
      <c r="O923" s="61">
        <f>IF(tblMovimientos[[#This Row],[Tipo de Movimiento]]="Egreso",tblMovimientos[[#This Row],[Monto (S/)]],"0")</f>
        <v>60000</v>
      </c>
      <c r="P923" s="28">
        <f>IF(tblMovimientos[[#This Row],[Tipo de Movimiento]]="Ingreso",tblMovimientos[[#This Row],[Ingreso]],-tblMovimientos[[#This Row],[Egreso]])</f>
        <v>-60000</v>
      </c>
      <c r="Q923" s="78" t="str">
        <f>_xlfn.XLOOKUP(tblMovimientos[[#This Row],[Cuenta Bancaria]],Cuentas!$C:$C,Cuentas!$A:$A,"")&amp;""</f>
        <v>SSP Group</v>
      </c>
      <c r="R923" s="78" t="str">
        <f>_xlfn.XLOOKUP(tblMovimientos[[#This Row],[Cuenta Bancaria]],Cuentas!$C:$C,Cuentas!$B:$B,"",0,-1)&amp;""</f>
        <v/>
      </c>
    </row>
    <row r="924" spans="1:18" x14ac:dyDescent="0.3">
      <c r="A924" s="45"/>
      <c r="B924" s="39">
        <v>46268</v>
      </c>
      <c r="C924" s="4" t="str">
        <f>_xlfn.XLOOKUP(tblMovimientos[[#This Row],[Cuenta Bancaria]],Listas!$B:$B,Listas!$A:$A,"")</f>
        <v>A&amp;M Imports</v>
      </c>
      <c r="D924" s="41" t="s">
        <v>100</v>
      </c>
      <c r="E924" s="68" t="str">
        <f>_xlfn.XLOOKUP(tblMovimientos[[#This Row],[Cuenta Bancaria]],Listas!$B:$B,Listas!$C:$C,"")</f>
        <v>Bank of America</v>
      </c>
      <c r="F924" s="41" t="s">
        <v>10</v>
      </c>
      <c r="G924" s="41" t="s">
        <v>61</v>
      </c>
      <c r="H924" s="46" t="str">
        <f>IFERROR(_xlfn.XLOOKUP(G924,Listas!E:E,Listas!F:F,""),"")</f>
        <v>Operativo</v>
      </c>
      <c r="I924" s="46" t="str">
        <f>IFERROR(_xlfn.XLOOKUP(G924,Listas!E:E,Listas!G:G,""),"")</f>
        <v>Externo</v>
      </c>
      <c r="J924" s="43">
        <v>60000</v>
      </c>
      <c r="K924" s="5">
        <f t="shared" si="14"/>
        <v>-60000</v>
      </c>
      <c r="L924" s="15" t="s">
        <v>133</v>
      </c>
      <c r="M924" s="44">
        <f>SUMIFS('Saldos Iniciales'!$D:$D,'Saldos Iniciales'!$A:$A,C924,'Saldos Iniciales'!$B:$B,D924)+SUMIFS($K$1:$K$1324,$C$1:$C$1324,C924,$D$1:$D$1324,D924,$B$1:$B$1324,"&lt;="&amp;B924)</f>
        <v>1250938</v>
      </c>
      <c r="N924" s="61" t="str">
        <f>IF(tblMovimientos[[#This Row],[Tipo de Movimiento]]="Ingreso",tblMovimientos[[#This Row],[Monto (S/)]],"0")</f>
        <v>0</v>
      </c>
      <c r="O924" s="61">
        <f>IF(tblMovimientos[[#This Row],[Tipo de Movimiento]]="Egreso",tblMovimientos[[#This Row],[Monto (S/)]],"0")</f>
        <v>60000</v>
      </c>
      <c r="P924" s="28">
        <f>IF(tblMovimientos[[#This Row],[Tipo de Movimiento]]="Ingreso",tblMovimientos[[#This Row],[Ingreso]],-tblMovimientos[[#This Row],[Egreso]])</f>
        <v>-60000</v>
      </c>
      <c r="Q924" s="78" t="str">
        <f>_xlfn.XLOOKUP(tblMovimientos[[#This Row],[Cuenta Bancaria]],Cuentas!$C:$C,Cuentas!$A:$A,"")&amp;""</f>
        <v>SSP Group</v>
      </c>
      <c r="R924" s="78" t="str">
        <f>_xlfn.XLOOKUP(tblMovimientos[[#This Row],[Cuenta Bancaria]],Cuentas!$C:$C,Cuentas!$B:$B,"",0,-1)&amp;""</f>
        <v/>
      </c>
    </row>
    <row r="925" spans="1:18" x14ac:dyDescent="0.3">
      <c r="B925" s="39">
        <v>46268</v>
      </c>
      <c r="C925" s="4" t="str">
        <f>_xlfn.XLOOKUP(tblMovimientos[[#This Row],[Cuenta Bancaria]],Listas!$B:$B,Listas!$A:$A,"")</f>
        <v>A&amp;M Imports</v>
      </c>
      <c r="D925" s="41" t="s">
        <v>100</v>
      </c>
      <c r="E925" s="68" t="str">
        <f>_xlfn.XLOOKUP(tblMovimientos[[#This Row],[Cuenta Bancaria]],Listas!$B:$B,Listas!$C:$C,"")</f>
        <v>Bank of America</v>
      </c>
      <c r="F925" s="41" t="s">
        <v>10</v>
      </c>
      <c r="G925" s="41" t="s">
        <v>48</v>
      </c>
      <c r="H925" s="4" t="str">
        <f>IFERROR(_xlfn.XLOOKUP(G925,Listas!E:E,Listas!F:F,""),"")</f>
        <v>Financiamiento</v>
      </c>
      <c r="I925" s="46" t="str">
        <f>IFERROR(_xlfn.XLOOKUP(G925,Listas!E:E,Listas!G:G,""),"")</f>
        <v>Externo</v>
      </c>
      <c r="J925" s="43">
        <v>15266.29</v>
      </c>
      <c r="K925" s="5">
        <f t="shared" si="14"/>
        <v>-15266.29</v>
      </c>
      <c r="L925" s="15" t="s">
        <v>133</v>
      </c>
      <c r="M925" s="44">
        <f>SUMIFS('Saldos Iniciales'!$D:$D,'Saldos Iniciales'!$A:$A,C925,'Saldos Iniciales'!$B:$B,D925)+SUMIFS($K$1:$K$1324,$C$1:$C$1324,C925,$D$1:$D$1324,D925,$B$1:$B$1324,"&lt;="&amp;B925)</f>
        <v>1250938</v>
      </c>
      <c r="N925" s="61" t="str">
        <f>IF(tblMovimientos[[#This Row],[Tipo de Movimiento]]="Ingreso",tblMovimientos[[#This Row],[Monto (S/)]],"0")</f>
        <v>0</v>
      </c>
      <c r="O925" s="61">
        <f>IF(tblMovimientos[[#This Row],[Tipo de Movimiento]]="Egreso",tblMovimientos[[#This Row],[Monto (S/)]],"0")</f>
        <v>15266.29</v>
      </c>
      <c r="P925" s="28">
        <f>IF(tblMovimientos[[#This Row],[Tipo de Movimiento]]="Ingreso",tblMovimientos[[#This Row],[Ingreso]],-tblMovimientos[[#This Row],[Egreso]])</f>
        <v>-15266.29</v>
      </c>
      <c r="Q925" s="78" t="str">
        <f>_xlfn.XLOOKUP(tblMovimientos[[#This Row],[Cuenta Bancaria]],Cuentas!$C:$C,Cuentas!$A:$A,"")&amp;""</f>
        <v>SSP Group</v>
      </c>
      <c r="R925" s="78" t="str">
        <f>_xlfn.XLOOKUP(tblMovimientos[[#This Row],[Cuenta Bancaria]],Cuentas!$C:$C,Cuentas!$B:$B,"",0,-1)&amp;""</f>
        <v/>
      </c>
    </row>
    <row r="926" spans="1:18" x14ac:dyDescent="0.3">
      <c r="B926" s="39">
        <v>46268</v>
      </c>
      <c r="C926" s="4" t="str">
        <f>_xlfn.XLOOKUP(tblMovimientos[[#This Row],[Cuenta Bancaria]],Listas!$B:$B,Listas!$A:$A,"")</f>
        <v>A&amp;M Imports</v>
      </c>
      <c r="D926" s="41" t="s">
        <v>100</v>
      </c>
      <c r="E926" s="68" t="str">
        <f>_xlfn.XLOOKUP(tblMovimientos[[#This Row],[Cuenta Bancaria]],Listas!$B:$B,Listas!$C:$C,"")</f>
        <v>Bank of America</v>
      </c>
      <c r="F926" s="41" t="s">
        <v>10</v>
      </c>
      <c r="G926" s="41" t="s">
        <v>51</v>
      </c>
      <c r="H926" s="4" t="str">
        <f>IFERROR(_xlfn.XLOOKUP(G926,Listas!E:E,Listas!F:F,""),"")</f>
        <v>Financiamiento</v>
      </c>
      <c r="I926" s="46" t="str">
        <f>IFERROR(_xlfn.XLOOKUP(G926,Listas!E:E,Listas!G:G,""),"")</f>
        <v>Externo</v>
      </c>
      <c r="J926" s="43">
        <v>33693.949999999997</v>
      </c>
      <c r="K926" s="5">
        <f t="shared" si="14"/>
        <v>-33693.949999999997</v>
      </c>
      <c r="L926" s="15" t="s">
        <v>133</v>
      </c>
      <c r="M926" s="44">
        <f>SUMIFS('Saldos Iniciales'!$D:$D,'Saldos Iniciales'!$A:$A,C926,'Saldos Iniciales'!$B:$B,D926)+SUMIFS($K$1:$K$1324,$C$1:$C$1324,C926,$D$1:$D$1324,D926,$B$1:$B$1324,"&lt;="&amp;B926)</f>
        <v>1250938</v>
      </c>
      <c r="N926" s="61" t="str">
        <f>IF(tblMovimientos[[#This Row],[Tipo de Movimiento]]="Ingreso",tblMovimientos[[#This Row],[Monto (S/)]],"0")</f>
        <v>0</v>
      </c>
      <c r="O926" s="61">
        <f>IF(tblMovimientos[[#This Row],[Tipo de Movimiento]]="Egreso",tblMovimientos[[#This Row],[Monto (S/)]],"0")</f>
        <v>33693.949999999997</v>
      </c>
      <c r="P926" s="28">
        <f>IF(tblMovimientos[[#This Row],[Tipo de Movimiento]]="Ingreso",tblMovimientos[[#This Row],[Ingreso]],-tblMovimientos[[#This Row],[Egreso]])</f>
        <v>-33693.949999999997</v>
      </c>
      <c r="Q926" s="78" t="str">
        <f>_xlfn.XLOOKUP(tblMovimientos[[#This Row],[Cuenta Bancaria]],Cuentas!$C:$C,Cuentas!$A:$A,"")&amp;""</f>
        <v>SSP Group</v>
      </c>
      <c r="R926" s="78" t="str">
        <f>_xlfn.XLOOKUP(tblMovimientos[[#This Row],[Cuenta Bancaria]],Cuentas!$C:$C,Cuentas!$B:$B,"",0,-1)&amp;""</f>
        <v/>
      </c>
    </row>
    <row r="927" spans="1:18" x14ac:dyDescent="0.3">
      <c r="B927" s="39">
        <v>46268</v>
      </c>
      <c r="C927" s="4" t="str">
        <f>_xlfn.XLOOKUP(tblMovimientos[[#This Row],[Cuenta Bancaria]],Listas!$B:$B,Listas!$A:$A,"")</f>
        <v>CFT Group</v>
      </c>
      <c r="D927" s="41" t="s">
        <v>94</v>
      </c>
      <c r="E927" s="68" t="str">
        <f>_xlfn.XLOOKUP(tblMovimientos[[#This Row],[Cuenta Bancaria]],Listas!$B:$B,Listas!$C:$C,"")</f>
        <v>Bank of America</v>
      </c>
      <c r="F927" s="41" t="s">
        <v>10</v>
      </c>
      <c r="G927" s="41" t="s">
        <v>64</v>
      </c>
      <c r="H927" s="4" t="str">
        <f>IFERROR(_xlfn.XLOOKUP(G927,Listas!E:E,Listas!F:F,""),"")</f>
        <v>Operativo</v>
      </c>
      <c r="I927" s="46" t="str">
        <f>IFERROR(_xlfn.XLOOKUP(G927,Listas!E:E,Listas!G:G,""),"")</f>
        <v>Interno</v>
      </c>
      <c r="J927" s="43">
        <v>400000</v>
      </c>
      <c r="K927" s="5">
        <f t="shared" si="14"/>
        <v>-400000</v>
      </c>
      <c r="L927" s="15" t="s">
        <v>133</v>
      </c>
      <c r="M927" s="44">
        <f>SUMIFS('Saldos Iniciales'!$D:$D,'Saldos Iniciales'!$A:$A,C927,'Saldos Iniciales'!$B:$B,D927)+SUMIFS($K$1:$K$1324,$C$1:$C$1324,C927,$D$1:$D$1324,D927,$B$1:$B$1324,"&lt;="&amp;B927)</f>
        <v>45145.199999999953</v>
      </c>
      <c r="N927" s="61" t="str">
        <f>IF(tblMovimientos[[#This Row],[Tipo de Movimiento]]="Ingreso",tblMovimientos[[#This Row],[Monto (S/)]],"0")</f>
        <v>0</v>
      </c>
      <c r="O927" s="61">
        <f>IF(tblMovimientos[[#This Row],[Tipo de Movimiento]]="Egreso",tblMovimientos[[#This Row],[Monto (S/)]],"0")</f>
        <v>400000</v>
      </c>
      <c r="P927" s="28">
        <f>IF(tblMovimientos[[#This Row],[Tipo de Movimiento]]="Ingreso",tblMovimientos[[#This Row],[Ingreso]],-tblMovimientos[[#This Row],[Egreso]])</f>
        <v>-400000</v>
      </c>
      <c r="Q927" s="78" t="str">
        <f>_xlfn.XLOOKUP(tblMovimientos[[#This Row],[Cuenta Bancaria]],Cuentas!$C:$C,Cuentas!$A:$A,"")&amp;""</f>
        <v>SSP Group</v>
      </c>
      <c r="R927" s="78" t="str">
        <f>_xlfn.XLOOKUP(tblMovimientos[[#This Row],[Cuenta Bancaria]],Cuentas!$C:$C,Cuentas!$B:$B,"",0,-1)&amp;""</f>
        <v/>
      </c>
    </row>
    <row r="928" spans="1:18" x14ac:dyDescent="0.3">
      <c r="B928" s="39">
        <v>46268</v>
      </c>
      <c r="C928" s="4" t="str">
        <f>_xlfn.XLOOKUP(tblMovimientos[[#This Row],[Cuenta Bancaria]],Listas!$B:$B,Listas!$A:$A,"")</f>
        <v>CFT Group</v>
      </c>
      <c r="D928" s="41" t="s">
        <v>95</v>
      </c>
      <c r="E928" s="68" t="str">
        <f>_xlfn.XLOOKUP(tblMovimientos[[#This Row],[Cuenta Bancaria]],Listas!$B:$B,Listas!$C:$C,"")</f>
        <v xml:space="preserve">Amerant Bank </v>
      </c>
      <c r="F928" s="41" t="s">
        <v>9</v>
      </c>
      <c r="G928" s="41" t="s">
        <v>85</v>
      </c>
      <c r="H928" s="4" t="str">
        <f>IFERROR(_xlfn.XLOOKUP(G928,Listas!E:E,Listas!F:F,""),"")</f>
        <v>Operativo</v>
      </c>
      <c r="I928" s="46" t="str">
        <f>IFERROR(_xlfn.XLOOKUP(G928,Listas!E:E,Listas!G:G,""),"")</f>
        <v>Interno</v>
      </c>
      <c r="J928" s="43">
        <v>400000</v>
      </c>
      <c r="K928" s="5">
        <f t="shared" si="14"/>
        <v>400000</v>
      </c>
      <c r="L928" s="15" t="s">
        <v>133</v>
      </c>
      <c r="M928" s="44">
        <f>SUMIFS('Saldos Iniciales'!$D:$D,'Saldos Iniciales'!$A:$A,C928,'Saldos Iniciales'!$B:$B,D928)+SUMIFS($K$1:$K$1324,$C$1:$C$1324,C928,$D$1:$D$1324,D928,$B$1:$B$1324,"&lt;="&amp;B928)</f>
        <v>1002872.0200000009</v>
      </c>
      <c r="N928" s="61">
        <f>IF(tblMovimientos[[#This Row],[Tipo de Movimiento]]="Ingreso",tblMovimientos[[#This Row],[Monto (S/)]],"0")</f>
        <v>400000</v>
      </c>
      <c r="O928" s="61" t="str">
        <f>IF(tblMovimientos[[#This Row],[Tipo de Movimiento]]="Egreso",tblMovimientos[[#This Row],[Monto (S/)]],"0")</f>
        <v>0</v>
      </c>
      <c r="P928" s="28">
        <f>IF(tblMovimientos[[#This Row],[Tipo de Movimiento]]="Ingreso",tblMovimientos[[#This Row],[Ingreso]],-tblMovimientos[[#This Row],[Egreso]])</f>
        <v>400000</v>
      </c>
      <c r="Q928" s="78" t="str">
        <f>_xlfn.XLOOKUP(tblMovimientos[[#This Row],[Cuenta Bancaria]],Cuentas!$C:$C,Cuentas!$A:$A,"")&amp;""</f>
        <v>SSP Group</v>
      </c>
      <c r="R928" s="78" t="str">
        <f>_xlfn.XLOOKUP(tblMovimientos[[#This Row],[Cuenta Bancaria]],Cuentas!$C:$C,Cuentas!$B:$B,"",0,-1)&amp;""</f>
        <v/>
      </c>
    </row>
    <row r="929" spans="1:18" x14ac:dyDescent="0.3">
      <c r="B929" s="39">
        <v>46268</v>
      </c>
      <c r="C929" s="4" t="str">
        <f>_xlfn.XLOOKUP(tblMovimientos[[#This Row],[Cuenta Bancaria]],Listas!$B:$B,Listas!$A:$A,"")</f>
        <v>CFT Group</v>
      </c>
      <c r="D929" s="41" t="s">
        <v>95</v>
      </c>
      <c r="E929" s="68" t="str">
        <f>_xlfn.XLOOKUP(tblMovimientos[[#This Row],[Cuenta Bancaria]],Listas!$B:$B,Listas!$C:$C,"")</f>
        <v xml:space="preserve">Amerant Bank </v>
      </c>
      <c r="F929" s="41" t="s">
        <v>10</v>
      </c>
      <c r="G929" s="41" t="s">
        <v>38</v>
      </c>
      <c r="H929" s="4" t="str">
        <f>IFERROR(_xlfn.XLOOKUP(G929,Listas!E:E,Listas!F:F,""),"")</f>
        <v>Operativo</v>
      </c>
      <c r="I929" s="46" t="str">
        <f>IFERROR(_xlfn.XLOOKUP(G929,Listas!E:E,Listas!G:G,""),"")</f>
        <v>Externo</v>
      </c>
      <c r="J929" s="43">
        <v>500</v>
      </c>
      <c r="K929" s="5">
        <f t="shared" si="14"/>
        <v>-500</v>
      </c>
      <c r="L929" s="15" t="s">
        <v>133</v>
      </c>
      <c r="M929" s="44">
        <f>SUMIFS('Saldos Iniciales'!$D:$D,'Saldos Iniciales'!$A:$A,C929,'Saldos Iniciales'!$B:$B,D929)+SUMIFS($K$1:$K$1324,$C$1:$C$1324,C929,$D$1:$D$1324,D929,$B$1:$B$1324,"&lt;="&amp;B929)</f>
        <v>1002872.0200000009</v>
      </c>
      <c r="N929" s="61" t="str">
        <f>IF(tblMovimientos[[#This Row],[Tipo de Movimiento]]="Ingreso",tblMovimientos[[#This Row],[Monto (S/)]],"0")</f>
        <v>0</v>
      </c>
      <c r="O929" s="61">
        <f>IF(tblMovimientos[[#This Row],[Tipo de Movimiento]]="Egreso",tblMovimientos[[#This Row],[Monto (S/)]],"0")</f>
        <v>500</v>
      </c>
      <c r="P929" s="28">
        <f>IF(tblMovimientos[[#This Row],[Tipo de Movimiento]]="Ingreso",tblMovimientos[[#This Row],[Ingreso]],-tblMovimientos[[#This Row],[Egreso]])</f>
        <v>-500</v>
      </c>
      <c r="Q929" s="78" t="str">
        <f>_xlfn.XLOOKUP(tblMovimientos[[#This Row],[Cuenta Bancaria]],Cuentas!$C:$C,Cuentas!$A:$A,"")&amp;""</f>
        <v>SSP Group</v>
      </c>
      <c r="R929" s="78" t="str">
        <f>_xlfn.XLOOKUP(tblMovimientos[[#This Row],[Cuenta Bancaria]],Cuentas!$C:$C,Cuentas!$B:$B,"",0,-1)&amp;""</f>
        <v/>
      </c>
    </row>
    <row r="930" spans="1:18" x14ac:dyDescent="0.3">
      <c r="B930" s="39">
        <v>46268</v>
      </c>
      <c r="C930" s="4" t="str">
        <f>_xlfn.XLOOKUP(tblMovimientos[[#This Row],[Cuenta Bancaria]],Listas!$B:$B,Listas!$A:$A,"")</f>
        <v>CFT Group</v>
      </c>
      <c r="D930" s="41" t="s">
        <v>95</v>
      </c>
      <c r="E930" s="68" t="str">
        <f>_xlfn.XLOOKUP(tblMovimientos[[#This Row],[Cuenta Bancaria]],Listas!$B:$B,Listas!$C:$C,"")</f>
        <v xml:space="preserve">Amerant Bank </v>
      </c>
      <c r="F930" s="41" t="s">
        <v>10</v>
      </c>
      <c r="G930" s="41" t="s">
        <v>46</v>
      </c>
      <c r="H930" s="4" t="str">
        <f>IFERROR(_xlfn.XLOOKUP(G930,Listas!E:E,Listas!F:F,""),"")</f>
        <v>Financiamiento</v>
      </c>
      <c r="I930" s="46" t="str">
        <f>IFERROR(_xlfn.XLOOKUP(G930,Listas!E:E,Listas!G:G,""),"")</f>
        <v>Externo</v>
      </c>
      <c r="J930" s="43">
        <v>2975</v>
      </c>
      <c r="K930" s="5">
        <f t="shared" si="14"/>
        <v>-2975</v>
      </c>
      <c r="L930" s="15" t="s">
        <v>133</v>
      </c>
      <c r="M930" s="44">
        <f>SUMIFS('Saldos Iniciales'!$D:$D,'Saldos Iniciales'!$A:$A,C930,'Saldos Iniciales'!$B:$B,D930)+SUMIFS($K$1:$K$1324,$C$1:$C$1324,C930,$D$1:$D$1324,D930,$B$1:$B$1324,"&lt;="&amp;B930)</f>
        <v>1002872.0200000009</v>
      </c>
      <c r="N930" s="61" t="str">
        <f>IF(tblMovimientos[[#This Row],[Tipo de Movimiento]]="Ingreso",tblMovimientos[[#This Row],[Monto (S/)]],"0")</f>
        <v>0</v>
      </c>
      <c r="O930" s="61">
        <f>IF(tblMovimientos[[#This Row],[Tipo de Movimiento]]="Egreso",tblMovimientos[[#This Row],[Monto (S/)]],"0")</f>
        <v>2975</v>
      </c>
      <c r="P930" s="28">
        <f>IF(tblMovimientos[[#This Row],[Tipo de Movimiento]]="Ingreso",tblMovimientos[[#This Row],[Ingreso]],-tblMovimientos[[#This Row],[Egreso]])</f>
        <v>-2975</v>
      </c>
      <c r="Q930" s="78" t="str">
        <f>_xlfn.XLOOKUP(tblMovimientos[[#This Row],[Cuenta Bancaria]],Cuentas!$C:$C,Cuentas!$A:$A,"")&amp;""</f>
        <v>SSP Group</v>
      </c>
      <c r="R930" s="78" t="str">
        <f>_xlfn.XLOOKUP(tblMovimientos[[#This Row],[Cuenta Bancaria]],Cuentas!$C:$C,Cuentas!$B:$B,"",0,-1)&amp;""</f>
        <v/>
      </c>
    </row>
    <row r="931" spans="1:18" x14ac:dyDescent="0.3">
      <c r="B931" s="39">
        <v>46268</v>
      </c>
      <c r="C931" s="4" t="str">
        <f>_xlfn.XLOOKUP(tblMovimientos[[#This Row],[Cuenta Bancaria]],Listas!$B:$B,Listas!$A:$A,"")</f>
        <v>CFT Group</v>
      </c>
      <c r="D931" s="41" t="s">
        <v>95</v>
      </c>
      <c r="E931" s="68" t="str">
        <f>_xlfn.XLOOKUP(tblMovimientos[[#This Row],[Cuenta Bancaria]],Listas!$B:$B,Listas!$C:$C,"")</f>
        <v xml:space="preserve">Amerant Bank </v>
      </c>
      <c r="F931" s="41" t="s">
        <v>10</v>
      </c>
      <c r="G931" s="41" t="s">
        <v>46</v>
      </c>
      <c r="H931" s="4" t="str">
        <f>IFERROR(_xlfn.XLOOKUP(G931,Listas!E:E,Listas!F:F,""),"")</f>
        <v>Financiamiento</v>
      </c>
      <c r="I931" s="46" t="str">
        <f>IFERROR(_xlfn.XLOOKUP(G931,Listas!E:E,Listas!G:G,""),"")</f>
        <v>Externo</v>
      </c>
      <c r="J931" s="43">
        <v>11666.67</v>
      </c>
      <c r="K931" s="5">
        <f t="shared" si="14"/>
        <v>-11666.67</v>
      </c>
      <c r="L931" s="15" t="s">
        <v>133</v>
      </c>
      <c r="M931" s="44">
        <f>SUMIFS('Saldos Iniciales'!$D:$D,'Saldos Iniciales'!$A:$A,C931,'Saldos Iniciales'!$B:$B,D931)+SUMIFS($K$1:$K$1324,$C$1:$C$1324,C931,$D$1:$D$1324,D931,$B$1:$B$1324,"&lt;="&amp;B931)</f>
        <v>1002872.0200000009</v>
      </c>
      <c r="N931" s="61" t="str">
        <f>IF(tblMovimientos[[#This Row],[Tipo de Movimiento]]="Ingreso",tblMovimientos[[#This Row],[Monto (S/)]],"0")</f>
        <v>0</v>
      </c>
      <c r="O931" s="61">
        <f>IF(tblMovimientos[[#This Row],[Tipo de Movimiento]]="Egreso",tblMovimientos[[#This Row],[Monto (S/)]],"0")</f>
        <v>11666.67</v>
      </c>
      <c r="P931" s="28">
        <f>IF(tblMovimientos[[#This Row],[Tipo de Movimiento]]="Ingreso",tblMovimientos[[#This Row],[Ingreso]],-tblMovimientos[[#This Row],[Egreso]])</f>
        <v>-11666.67</v>
      </c>
      <c r="Q931" s="78" t="str">
        <f>_xlfn.XLOOKUP(tblMovimientos[[#This Row],[Cuenta Bancaria]],Cuentas!$C:$C,Cuentas!$A:$A,"")&amp;""</f>
        <v>SSP Group</v>
      </c>
      <c r="R931" s="78" t="str">
        <f>_xlfn.XLOOKUP(tblMovimientos[[#This Row],[Cuenta Bancaria]],Cuentas!$C:$C,Cuentas!$B:$B,"",0,-1)&amp;""</f>
        <v/>
      </c>
    </row>
    <row r="932" spans="1:18" x14ac:dyDescent="0.3">
      <c r="B932" s="39">
        <v>46268</v>
      </c>
      <c r="C932" s="4" t="str">
        <f>_xlfn.XLOOKUP(tblMovimientos[[#This Row],[Cuenta Bancaria]],Listas!$B:$B,Listas!$A:$A,"")</f>
        <v>CFT Group</v>
      </c>
      <c r="D932" s="41" t="s">
        <v>95</v>
      </c>
      <c r="E932" s="68" t="str">
        <f>_xlfn.XLOOKUP(tblMovimientos[[#This Row],[Cuenta Bancaria]],Listas!$B:$B,Listas!$C:$C,"")</f>
        <v xml:space="preserve">Amerant Bank </v>
      </c>
      <c r="F932" s="41" t="s">
        <v>10</v>
      </c>
      <c r="G932" s="41" t="s">
        <v>61</v>
      </c>
      <c r="H932" s="4" t="str">
        <f>IFERROR(_xlfn.XLOOKUP(G932,Listas!E:E,Listas!F:F,""),"")</f>
        <v>Operativo</v>
      </c>
      <c r="I932" s="46" t="str">
        <f>IFERROR(_xlfn.XLOOKUP(G932,Listas!E:E,Listas!G:G,""),"")</f>
        <v>Externo</v>
      </c>
      <c r="J932" s="43">
        <v>40000</v>
      </c>
      <c r="K932" s="5">
        <f t="shared" si="14"/>
        <v>-40000</v>
      </c>
      <c r="L932" s="15" t="s">
        <v>133</v>
      </c>
      <c r="M932" s="44">
        <f>SUMIFS('Saldos Iniciales'!$D:$D,'Saldos Iniciales'!$A:$A,C932,'Saldos Iniciales'!$B:$B,D932)+SUMIFS($K$1:$K$1324,$C$1:$C$1324,C932,$D$1:$D$1324,D932,$B$1:$B$1324,"&lt;="&amp;B932)</f>
        <v>1002872.0200000009</v>
      </c>
      <c r="N932" s="61" t="str">
        <f>IF(tblMovimientos[[#This Row],[Tipo de Movimiento]]="Ingreso",tblMovimientos[[#This Row],[Monto (S/)]],"0")</f>
        <v>0</v>
      </c>
      <c r="O932" s="61">
        <f>IF(tblMovimientos[[#This Row],[Tipo de Movimiento]]="Egreso",tblMovimientos[[#This Row],[Monto (S/)]],"0")</f>
        <v>40000</v>
      </c>
      <c r="P932" s="28">
        <f>IF(tblMovimientos[[#This Row],[Tipo de Movimiento]]="Ingreso",tblMovimientos[[#This Row],[Ingreso]],-tblMovimientos[[#This Row],[Egreso]])</f>
        <v>-40000</v>
      </c>
      <c r="Q932" s="78" t="str">
        <f>_xlfn.XLOOKUP(tblMovimientos[[#This Row],[Cuenta Bancaria]],Cuentas!$C:$C,Cuentas!$A:$A,"")&amp;""</f>
        <v>SSP Group</v>
      </c>
      <c r="R932" s="78" t="str">
        <f>_xlfn.XLOOKUP(tblMovimientos[[#This Row],[Cuenta Bancaria]],Cuentas!$C:$C,Cuentas!$B:$B,"",0,-1)&amp;""</f>
        <v/>
      </c>
    </row>
    <row r="933" spans="1:18" x14ac:dyDescent="0.3">
      <c r="B933" s="39">
        <v>46268</v>
      </c>
      <c r="C933" s="4" t="str">
        <f>_xlfn.XLOOKUP(tblMovimientos[[#This Row],[Cuenta Bancaria]],Listas!$B:$B,Listas!$A:$A,"")</f>
        <v>CFT Group</v>
      </c>
      <c r="D933" s="41" t="s">
        <v>95</v>
      </c>
      <c r="E933" s="68" t="str">
        <f>_xlfn.XLOOKUP(tblMovimientos[[#This Row],[Cuenta Bancaria]],Listas!$B:$B,Listas!$C:$C,"")</f>
        <v xml:space="preserve">Amerant Bank </v>
      </c>
      <c r="F933" s="41" t="s">
        <v>10</v>
      </c>
      <c r="G933" s="41" t="s">
        <v>61</v>
      </c>
      <c r="H933" s="4" t="str">
        <f>IFERROR(_xlfn.XLOOKUP(G933,Listas!E:E,Listas!F:F,""),"")</f>
        <v>Operativo</v>
      </c>
      <c r="I933" s="46" t="str">
        <f>IFERROR(_xlfn.XLOOKUP(G933,Listas!E:E,Listas!G:G,""),"")</f>
        <v>Externo</v>
      </c>
      <c r="J933" s="43">
        <v>60000</v>
      </c>
      <c r="K933" s="5">
        <f t="shared" si="14"/>
        <v>-60000</v>
      </c>
      <c r="L933" s="15" t="s">
        <v>133</v>
      </c>
      <c r="M933" s="44">
        <f>SUMIFS('Saldos Iniciales'!$D:$D,'Saldos Iniciales'!$A:$A,C933,'Saldos Iniciales'!$B:$B,D933)+SUMIFS($K$1:$K$1324,$C$1:$C$1324,C933,$D$1:$D$1324,D933,$B$1:$B$1324,"&lt;="&amp;B933)</f>
        <v>1002872.0200000009</v>
      </c>
      <c r="N933" s="61" t="str">
        <f>IF(tblMovimientos[[#This Row],[Tipo de Movimiento]]="Ingreso",tblMovimientos[[#This Row],[Monto (S/)]],"0")</f>
        <v>0</v>
      </c>
      <c r="O933" s="61">
        <f>IF(tblMovimientos[[#This Row],[Tipo de Movimiento]]="Egreso",tblMovimientos[[#This Row],[Monto (S/)]],"0")</f>
        <v>60000</v>
      </c>
      <c r="P933" s="28">
        <f>IF(tblMovimientos[[#This Row],[Tipo de Movimiento]]="Ingreso",tblMovimientos[[#This Row],[Ingreso]],-tblMovimientos[[#This Row],[Egreso]])</f>
        <v>-60000</v>
      </c>
      <c r="Q933" s="78" t="str">
        <f>_xlfn.XLOOKUP(tblMovimientos[[#This Row],[Cuenta Bancaria]],Cuentas!$C:$C,Cuentas!$A:$A,"")&amp;""</f>
        <v>SSP Group</v>
      </c>
      <c r="R933" s="78" t="str">
        <f>_xlfn.XLOOKUP(tblMovimientos[[#This Row],[Cuenta Bancaria]],Cuentas!$C:$C,Cuentas!$B:$B,"",0,-1)&amp;""</f>
        <v/>
      </c>
    </row>
    <row r="934" spans="1:18" x14ac:dyDescent="0.3">
      <c r="B934" s="39">
        <v>46268</v>
      </c>
      <c r="C934" s="4" t="str">
        <f>_xlfn.XLOOKUP(tblMovimientos[[#This Row],[Cuenta Bancaria]],Listas!$B:$B,Listas!$A:$A,"")</f>
        <v>CFT Group</v>
      </c>
      <c r="D934" s="41" t="s">
        <v>95</v>
      </c>
      <c r="E934" s="68" t="str">
        <f>_xlfn.XLOOKUP(tblMovimientos[[#This Row],[Cuenta Bancaria]],Listas!$B:$B,Listas!$C:$C,"")</f>
        <v xml:space="preserve">Amerant Bank </v>
      </c>
      <c r="F934" s="41" t="s">
        <v>10</v>
      </c>
      <c r="G934" s="41" t="s">
        <v>61</v>
      </c>
      <c r="H934" s="4" t="str">
        <f>IFERROR(_xlfn.XLOOKUP(G934,Listas!E:E,Listas!F:F,""),"")</f>
        <v>Operativo</v>
      </c>
      <c r="I934" s="46" t="str">
        <f>IFERROR(_xlfn.XLOOKUP(G934,Listas!E:E,Listas!G:G,""),"")</f>
        <v>Externo</v>
      </c>
      <c r="J934" s="43">
        <v>100000</v>
      </c>
      <c r="K934" s="5">
        <f t="shared" si="14"/>
        <v>-100000</v>
      </c>
      <c r="L934" s="15" t="s">
        <v>133</v>
      </c>
      <c r="M934" s="44">
        <f>SUMIFS('Saldos Iniciales'!$D:$D,'Saldos Iniciales'!$A:$A,C934,'Saldos Iniciales'!$B:$B,D934)+SUMIFS($K$1:$K$1324,$C$1:$C$1324,C934,$D$1:$D$1324,D934,$B$1:$B$1324,"&lt;="&amp;B934)</f>
        <v>1002872.0200000009</v>
      </c>
      <c r="N934" s="61" t="str">
        <f>IF(tblMovimientos[[#This Row],[Tipo de Movimiento]]="Ingreso",tblMovimientos[[#This Row],[Monto (S/)]],"0")</f>
        <v>0</v>
      </c>
      <c r="O934" s="61">
        <f>IF(tblMovimientos[[#This Row],[Tipo de Movimiento]]="Egreso",tblMovimientos[[#This Row],[Monto (S/)]],"0")</f>
        <v>100000</v>
      </c>
      <c r="P934" s="28">
        <f>IF(tblMovimientos[[#This Row],[Tipo de Movimiento]]="Ingreso",tblMovimientos[[#This Row],[Ingreso]],-tblMovimientos[[#This Row],[Egreso]])</f>
        <v>-100000</v>
      </c>
      <c r="Q934" s="78" t="str">
        <f>_xlfn.XLOOKUP(tblMovimientos[[#This Row],[Cuenta Bancaria]],Cuentas!$C:$C,Cuentas!$A:$A,"")&amp;""</f>
        <v>SSP Group</v>
      </c>
      <c r="R934" s="78" t="str">
        <f>_xlfn.XLOOKUP(tblMovimientos[[#This Row],[Cuenta Bancaria]],Cuentas!$C:$C,Cuentas!$B:$B,"",0,-1)&amp;""</f>
        <v/>
      </c>
    </row>
    <row r="935" spans="1:18" x14ac:dyDescent="0.3">
      <c r="B935" s="39">
        <v>46268</v>
      </c>
      <c r="C935" s="4" t="str">
        <f>_xlfn.XLOOKUP(tblMovimientos[[#This Row],[Cuenta Bancaria]],Listas!$B:$B,Listas!$A:$A,"")</f>
        <v>CFT Group</v>
      </c>
      <c r="D935" s="41" t="s">
        <v>95</v>
      </c>
      <c r="E935" s="68" t="str">
        <f>_xlfn.XLOOKUP(tblMovimientos[[#This Row],[Cuenta Bancaria]],Listas!$B:$B,Listas!$C:$C,"")</f>
        <v xml:space="preserve">Amerant Bank </v>
      </c>
      <c r="F935" s="41" t="s">
        <v>10</v>
      </c>
      <c r="G935" s="41" t="s">
        <v>61</v>
      </c>
      <c r="H935" s="4" t="str">
        <f>IFERROR(_xlfn.XLOOKUP(G935,Listas!E:E,Listas!F:F,""),"")</f>
        <v>Operativo</v>
      </c>
      <c r="I935" s="46" t="str">
        <f>IFERROR(_xlfn.XLOOKUP(G935,Listas!E:E,Listas!G:G,""),"")</f>
        <v>Externo</v>
      </c>
      <c r="J935" s="43">
        <v>100000</v>
      </c>
      <c r="K935" s="5">
        <f t="shared" si="14"/>
        <v>-100000</v>
      </c>
      <c r="L935" s="15" t="s">
        <v>133</v>
      </c>
      <c r="M935" s="44">
        <f>SUMIFS('Saldos Iniciales'!$D:$D,'Saldos Iniciales'!$A:$A,C935,'Saldos Iniciales'!$B:$B,D935)+SUMIFS($K$1:$K$1324,$C$1:$C$1324,C935,$D$1:$D$1324,D935,$B$1:$B$1324,"&lt;="&amp;B935)</f>
        <v>1002872.0200000009</v>
      </c>
      <c r="N935" s="61" t="str">
        <f>IF(tblMovimientos[[#This Row],[Tipo de Movimiento]]="Ingreso",tblMovimientos[[#This Row],[Monto (S/)]],"0")</f>
        <v>0</v>
      </c>
      <c r="O935" s="61">
        <f>IF(tblMovimientos[[#This Row],[Tipo de Movimiento]]="Egreso",tblMovimientos[[#This Row],[Monto (S/)]],"0")</f>
        <v>100000</v>
      </c>
      <c r="P935" s="28">
        <f>IF(tblMovimientos[[#This Row],[Tipo de Movimiento]]="Ingreso",tblMovimientos[[#This Row],[Ingreso]],-tblMovimientos[[#This Row],[Egreso]])</f>
        <v>-100000</v>
      </c>
      <c r="Q935" s="78" t="str">
        <f>_xlfn.XLOOKUP(tblMovimientos[[#This Row],[Cuenta Bancaria]],Cuentas!$C:$C,Cuentas!$A:$A,"")&amp;""</f>
        <v>SSP Group</v>
      </c>
      <c r="R935" s="78" t="str">
        <f>_xlfn.XLOOKUP(tblMovimientos[[#This Row],[Cuenta Bancaria]],Cuentas!$C:$C,Cuentas!$B:$B,"",0,-1)&amp;""</f>
        <v/>
      </c>
    </row>
    <row r="936" spans="1:18" x14ac:dyDescent="0.3">
      <c r="B936" s="39">
        <v>46268</v>
      </c>
      <c r="C936" s="4" t="str">
        <f>_xlfn.XLOOKUP(tblMovimientos[[#This Row],[Cuenta Bancaria]],Listas!$B:$B,Listas!$A:$A,"")</f>
        <v>CFT Group</v>
      </c>
      <c r="D936" s="41" t="s">
        <v>95</v>
      </c>
      <c r="E936" s="68" t="str">
        <f>_xlfn.XLOOKUP(tblMovimientos[[#This Row],[Cuenta Bancaria]],Listas!$B:$B,Listas!$C:$C,"")</f>
        <v xml:space="preserve">Amerant Bank </v>
      </c>
      <c r="F936" s="41" t="s">
        <v>10</v>
      </c>
      <c r="G936" s="41" t="s">
        <v>61</v>
      </c>
      <c r="H936" s="4" t="str">
        <f>IFERROR(_xlfn.XLOOKUP(G936,Listas!E:E,Listas!F:F,""),"")</f>
        <v>Operativo</v>
      </c>
      <c r="I936" s="46" t="str">
        <f>IFERROR(_xlfn.XLOOKUP(G936,Listas!E:E,Listas!G:G,""),"")</f>
        <v>Externo</v>
      </c>
      <c r="J936" s="43">
        <v>100000</v>
      </c>
      <c r="K936" s="5">
        <f t="shared" si="14"/>
        <v>-100000</v>
      </c>
      <c r="L936" s="15" t="s">
        <v>133</v>
      </c>
      <c r="M936" s="44">
        <f>SUMIFS('Saldos Iniciales'!$D:$D,'Saldos Iniciales'!$A:$A,C936,'Saldos Iniciales'!$B:$B,D936)+SUMIFS($K$1:$K$1324,$C$1:$C$1324,C936,$D$1:$D$1324,D936,$B$1:$B$1324,"&lt;="&amp;B936)</f>
        <v>1002872.0200000009</v>
      </c>
      <c r="N936" s="61" t="str">
        <f>IF(tblMovimientos[[#This Row],[Tipo de Movimiento]]="Ingreso",tblMovimientos[[#This Row],[Monto (S/)]],"0")</f>
        <v>0</v>
      </c>
      <c r="O936" s="61">
        <f>IF(tblMovimientos[[#This Row],[Tipo de Movimiento]]="Egreso",tblMovimientos[[#This Row],[Monto (S/)]],"0")</f>
        <v>100000</v>
      </c>
      <c r="P936" s="28">
        <f>IF(tblMovimientos[[#This Row],[Tipo de Movimiento]]="Ingreso",tblMovimientos[[#This Row],[Ingreso]],-tblMovimientos[[#This Row],[Egreso]])</f>
        <v>-100000</v>
      </c>
      <c r="Q936" s="78" t="str">
        <f>_xlfn.XLOOKUP(tblMovimientos[[#This Row],[Cuenta Bancaria]],Cuentas!$C:$C,Cuentas!$A:$A,"")&amp;""</f>
        <v>SSP Group</v>
      </c>
      <c r="R936" s="78" t="str">
        <f>_xlfn.XLOOKUP(tblMovimientos[[#This Row],[Cuenta Bancaria]],Cuentas!$C:$C,Cuentas!$B:$B,"",0,-1)&amp;""</f>
        <v/>
      </c>
    </row>
    <row r="937" spans="1:18" x14ac:dyDescent="0.3">
      <c r="A937" s="76"/>
      <c r="B937" s="70">
        <v>46268</v>
      </c>
      <c r="C937" s="4" t="str">
        <f>_xlfn.XLOOKUP(tblMovimientos[[#This Row],[Cuenta Bancaria]],Listas!$B:$B,Listas!$A:$A,"")</f>
        <v>Pacha Ventures LLC</v>
      </c>
      <c r="D937" s="72" t="s">
        <v>187</v>
      </c>
      <c r="E937" s="68" t="str">
        <f>_xlfn.XLOOKUP(tblMovimientos[[#This Row],[Cuenta Bancaria]],Listas!$B:$B,Listas!$C:$C,"")</f>
        <v xml:space="preserve">Amerant Bank </v>
      </c>
      <c r="F937" s="72" t="s">
        <v>10</v>
      </c>
      <c r="G937" s="72" t="s">
        <v>38</v>
      </c>
      <c r="H937" s="77" t="str">
        <f>IFERROR(_xlfn.XLOOKUP(G937,Listas!E:E,Listas!F:F,""),"")</f>
        <v>Operativo</v>
      </c>
      <c r="I937" s="71" t="str">
        <f>IFERROR(_xlfn.XLOOKUP(G937,Listas!E:E,Listas!G:G,""),"")</f>
        <v>Externo</v>
      </c>
      <c r="J937" s="73">
        <v>1993.01</v>
      </c>
      <c r="K937" s="5">
        <f t="shared" si="14"/>
        <v>-1993.01</v>
      </c>
      <c r="L937" s="74" t="s">
        <v>133</v>
      </c>
      <c r="M937" s="44">
        <f>SUMIFS('Saldos Iniciales'!$D:$D,'Saldos Iniciales'!$A:$A,C937,'Saldos Iniciales'!$B:$B,D937)+SUMIFS($K$1:$K$1324,$C$1:$C$1324,C937,$D$1:$D$1324,D937,$B$1:$B$1324,"&lt;="&amp;B937)</f>
        <v>299174.44</v>
      </c>
      <c r="N937" s="61" t="str">
        <f>IF(tblMovimientos[[#This Row],[Tipo de Movimiento]]="Ingreso",tblMovimientos[[#This Row],[Monto (S/)]],"0")</f>
        <v>0</v>
      </c>
      <c r="O937" s="61">
        <f>IF(tblMovimientos[[#This Row],[Tipo de Movimiento]]="Egreso",tblMovimientos[[#This Row],[Monto (S/)]],"0")</f>
        <v>1993.01</v>
      </c>
      <c r="P937" s="28">
        <f>IF(tblMovimientos[[#This Row],[Tipo de Movimiento]]="Ingreso",tblMovimientos[[#This Row],[Ingreso]],-tblMovimientos[[#This Row],[Egreso]])</f>
        <v>-1993.01</v>
      </c>
      <c r="Q937" s="78" t="str">
        <f>_xlfn.XLOOKUP(tblMovimientos[[#This Row],[Cuenta Bancaria]],Cuentas!$C:$C,Cuentas!$A:$A,"")&amp;""</f>
        <v>Michael Cross</v>
      </c>
      <c r="R937" s="78" t="str">
        <f>_xlfn.XLOOKUP(tblMovimientos[[#This Row],[Cuenta Bancaria]],Cuentas!$C:$C,Cuentas!$B:$B,"",0,-1)&amp;""</f>
        <v/>
      </c>
    </row>
    <row r="938" spans="1:18" x14ac:dyDescent="0.3">
      <c r="B938" s="39">
        <v>46268</v>
      </c>
      <c r="C938" s="4" t="str">
        <f>_xlfn.XLOOKUP(tblMovimientos[[#This Row],[Cuenta Bancaria]],Listas!$B:$B,Listas!$A:$A,"")</f>
        <v>CFT1 Residence</v>
      </c>
      <c r="D938" s="41" t="s">
        <v>184</v>
      </c>
      <c r="E938" s="68" t="str">
        <f>_xlfn.XLOOKUP(tblMovimientos[[#This Row],[Cuenta Bancaria]],Listas!$B:$B,Listas!$C:$C,"")</f>
        <v xml:space="preserve">Amerant Bank </v>
      </c>
      <c r="F938" s="41" t="s">
        <v>10</v>
      </c>
      <c r="G938" s="41" t="s">
        <v>38</v>
      </c>
      <c r="H938" s="4" t="str">
        <f>IFERROR(_xlfn.XLOOKUP(G938,Listas!E:E,Listas!F:F,""),"")</f>
        <v>Operativo</v>
      </c>
      <c r="I938" s="46" t="str">
        <f>IFERROR(_xlfn.XLOOKUP(G938,Listas!E:E,Listas!G:G,""),"")</f>
        <v>Externo</v>
      </c>
      <c r="J938" s="43">
        <v>95</v>
      </c>
      <c r="K938" s="5">
        <f t="shared" si="14"/>
        <v>-95</v>
      </c>
      <c r="L938" s="15" t="s">
        <v>133</v>
      </c>
      <c r="M938" s="44">
        <f>SUMIFS('Saldos Iniciales'!$D:$D,'Saldos Iniciales'!$A:$A,C938,'Saldos Iniciales'!$B:$B,D938)+SUMIFS($K$1:$K$1324,$C$1:$C$1324,C938,$D$1:$D$1324,D938,$B$1:$B$1324,"&lt;="&amp;B938)</f>
        <v>18691.199999999997</v>
      </c>
      <c r="N938" s="61" t="str">
        <f>IF(tblMovimientos[[#This Row],[Tipo de Movimiento]]="Ingreso",tblMovimientos[[#This Row],[Monto (S/)]],"0")</f>
        <v>0</v>
      </c>
      <c r="O938" s="61">
        <f>IF(tblMovimientos[[#This Row],[Tipo de Movimiento]]="Egreso",tblMovimientos[[#This Row],[Monto (S/)]],"0")</f>
        <v>95</v>
      </c>
      <c r="P938" s="28">
        <f>IF(tblMovimientos[[#This Row],[Tipo de Movimiento]]="Ingreso",tblMovimientos[[#This Row],[Ingreso]],-tblMovimientos[[#This Row],[Egreso]])</f>
        <v>-95</v>
      </c>
      <c r="Q938" s="78" t="str">
        <f>_xlfn.XLOOKUP(tblMovimientos[[#This Row],[Cuenta Bancaria]],Cuentas!$C:$C,Cuentas!$A:$A,"")&amp;""</f>
        <v>Carmen Cross Irrevocable Trust</v>
      </c>
      <c r="R938" s="78" t="str">
        <f>_xlfn.XLOOKUP(tblMovimientos[[#This Row],[Cuenta Bancaria]],Cuentas!$C:$C,Cuentas!$B:$B,"",0,-1)&amp;""</f>
        <v/>
      </c>
    </row>
    <row r="939" spans="1:18" x14ac:dyDescent="0.3">
      <c r="A939" s="76"/>
      <c r="B939" s="70">
        <v>46268</v>
      </c>
      <c r="C939" s="4" t="str">
        <f>_xlfn.XLOOKUP(tblMovimientos[[#This Row],[Cuenta Bancaria]],Listas!$B:$B,Listas!$A:$A,"")</f>
        <v>SIYP LLC</v>
      </c>
      <c r="D939" s="72" t="s">
        <v>185</v>
      </c>
      <c r="E939" s="68" t="str">
        <f>_xlfn.XLOOKUP(tblMovimientos[[#This Row],[Cuenta Bancaria]],Listas!$B:$B,Listas!$C:$C,"")</f>
        <v xml:space="preserve">Amerant Bank </v>
      </c>
      <c r="F939" s="72" t="s">
        <v>10</v>
      </c>
      <c r="G939" s="72" t="s">
        <v>46</v>
      </c>
      <c r="H939" s="77" t="str">
        <f>IFERROR(_xlfn.XLOOKUP(G939,Listas!E:E,Listas!F:F,""),"")</f>
        <v>Financiamiento</v>
      </c>
      <c r="I939" s="71" t="str">
        <f>IFERROR(_xlfn.XLOOKUP(G939,Listas!E:E,Listas!G:G,""),"")</f>
        <v>Externo</v>
      </c>
      <c r="J939" s="73">
        <v>1698.63</v>
      </c>
      <c r="K939" s="5">
        <f t="shared" si="14"/>
        <v>-1698.63</v>
      </c>
      <c r="L939" s="74" t="s">
        <v>133</v>
      </c>
      <c r="M939" s="44">
        <f>SUMIFS('Saldos Iniciales'!$D:$D,'Saldos Iniciales'!$A:$A,C939,'Saldos Iniciales'!$B:$B,D939)+SUMIFS($K$1:$K$1324,$C$1:$C$1324,C939,$D$1:$D$1324,D939,$B$1:$B$1324,"&lt;="&amp;B939)</f>
        <v>602.67000000000007</v>
      </c>
      <c r="N939" s="61" t="str">
        <f>IF(tblMovimientos[[#This Row],[Tipo de Movimiento]]="Ingreso",tblMovimientos[[#This Row],[Monto (S/)]],"0")</f>
        <v>0</v>
      </c>
      <c r="O939" s="61">
        <f>IF(tblMovimientos[[#This Row],[Tipo de Movimiento]]="Egreso",tblMovimientos[[#This Row],[Monto (S/)]],"0")</f>
        <v>1698.63</v>
      </c>
      <c r="P939" s="28">
        <f>IF(tblMovimientos[[#This Row],[Tipo de Movimiento]]="Ingreso",tblMovimientos[[#This Row],[Ingreso]],-tblMovimientos[[#This Row],[Egreso]])</f>
        <v>-1698.63</v>
      </c>
      <c r="Q939" s="78" t="str">
        <f>_xlfn.XLOOKUP(tblMovimientos[[#This Row],[Cuenta Bancaria]],Cuentas!$C:$C,Cuentas!$A:$A,"")&amp;""</f>
        <v>Michael Cross</v>
      </c>
      <c r="R939" s="78" t="str">
        <f>_xlfn.XLOOKUP(tblMovimientos[[#This Row],[Cuenta Bancaria]],Cuentas!$C:$C,Cuentas!$B:$B,"",0,-1)&amp;""</f>
        <v/>
      </c>
    </row>
    <row r="940" spans="1:18" x14ac:dyDescent="0.3">
      <c r="B940" s="39">
        <v>46268</v>
      </c>
      <c r="C940" s="4" t="str">
        <f>_xlfn.XLOOKUP(tblMovimientos[[#This Row],[Cuenta Bancaria]],Listas!$B:$B,Listas!$A:$A,"")</f>
        <v>Nobe Aparments</v>
      </c>
      <c r="D940" s="41" t="s">
        <v>191</v>
      </c>
      <c r="E940" s="68" t="str">
        <f>_xlfn.XLOOKUP(tblMovimientos[[#This Row],[Cuenta Bancaria]],Listas!$B:$B,Listas!$C:$C,"")</f>
        <v>Bank of America</v>
      </c>
      <c r="F940" s="41" t="s">
        <v>9</v>
      </c>
      <c r="G940" s="41" t="s">
        <v>87</v>
      </c>
      <c r="H940" s="4" t="str">
        <f>IFERROR(_xlfn.XLOOKUP(G940,Listas!E:E,Listas!F:F,""),"")</f>
        <v>Operativo</v>
      </c>
      <c r="I940" s="46" t="str">
        <f>IFERROR(_xlfn.XLOOKUP(G940,Listas!E:E,Listas!G:G,""),"")</f>
        <v>Externo</v>
      </c>
      <c r="J940" s="43">
        <v>145</v>
      </c>
      <c r="K940" s="5">
        <f t="shared" si="14"/>
        <v>145</v>
      </c>
      <c r="L940" s="15" t="s">
        <v>133</v>
      </c>
      <c r="M940" s="44">
        <f>SUMIFS('Saldos Iniciales'!$D:$D,'Saldos Iniciales'!$A:$A,C940,'Saldos Iniciales'!$B:$B,D940)+SUMIFS($K$1:$K$1324,$C$1:$C$1324,C940,$D$1:$D$1324,D940,$B$1:$B$1324,"&lt;="&amp;B940)</f>
        <v>210725.58</v>
      </c>
      <c r="N940" s="61">
        <f>IF(tblMovimientos[[#This Row],[Tipo de Movimiento]]="Ingreso",tblMovimientos[[#This Row],[Monto (S/)]],"0")</f>
        <v>145</v>
      </c>
      <c r="O940" s="61" t="str">
        <f>IF(tblMovimientos[[#This Row],[Tipo de Movimiento]]="Egreso",tblMovimientos[[#This Row],[Monto (S/)]],"0")</f>
        <v>0</v>
      </c>
      <c r="P940" s="28">
        <f>IF(tblMovimientos[[#This Row],[Tipo de Movimiento]]="Ingreso",tblMovimientos[[#This Row],[Ingreso]],-tblMovimientos[[#This Row],[Egreso]])</f>
        <v>145</v>
      </c>
      <c r="Q940" s="78" t="str">
        <f>_xlfn.XLOOKUP(tblMovimientos[[#This Row],[Cuenta Bancaria]],Cuentas!$C:$C,Cuentas!$A:$A,"")&amp;""</f>
        <v>Estate</v>
      </c>
      <c r="R940" s="78" t="str">
        <f>_xlfn.XLOOKUP(tblMovimientos[[#This Row],[Cuenta Bancaria]],Cuentas!$C:$C,Cuentas!$B:$B,"",0,-1)&amp;""</f>
        <v/>
      </c>
    </row>
    <row r="941" spans="1:18" x14ac:dyDescent="0.3">
      <c r="B941" s="39">
        <v>46268</v>
      </c>
      <c r="C941" s="4" t="str">
        <f>_xlfn.XLOOKUP(tblMovimientos[[#This Row],[Cuenta Bancaria]],Listas!$B:$B,Listas!$A:$A,"")</f>
        <v>Electrama</v>
      </c>
      <c r="D941" s="41" t="s">
        <v>113</v>
      </c>
      <c r="E941" s="68" t="str">
        <f>_xlfn.XLOOKUP(tblMovimientos[[#This Row],[Cuenta Bancaria]],Listas!$B:$B,Listas!$C:$C,"")</f>
        <v>Chase Bank</v>
      </c>
      <c r="F941" s="41" t="s">
        <v>10</v>
      </c>
      <c r="G941" s="41" t="s">
        <v>44</v>
      </c>
      <c r="H941" s="4" t="str">
        <f>IFERROR(_xlfn.XLOOKUP(G941,Listas!E:E,Listas!F:F,""),"")</f>
        <v>Operativo</v>
      </c>
      <c r="I941" s="69" t="str">
        <f>IFERROR(_xlfn.XLOOKUP(G941,Listas!E:E,Listas!G:G,""),"")</f>
        <v>Externo</v>
      </c>
      <c r="J941" s="43">
        <v>40</v>
      </c>
      <c r="K941" s="5">
        <f t="shared" si="14"/>
        <v>-40</v>
      </c>
      <c r="L941" s="15" t="s">
        <v>133</v>
      </c>
      <c r="M941" s="44">
        <f>SUMIFS('Saldos Iniciales'!$D:$D,'Saldos Iniciales'!$A:$A,C941,'Saldos Iniciales'!$B:$B,D941)+SUMIFS($K$1:$K$1324,$C$1:$C$1324,C941,$D$1:$D$1324,D941,$B$1:$B$1324,"&lt;="&amp;B941)</f>
        <v>13014.880000000001</v>
      </c>
      <c r="N941" s="61" t="str">
        <f>IF(tblMovimientos[[#This Row],[Tipo de Movimiento]]="Ingreso",tblMovimientos[[#This Row],[Monto (S/)]],"0")</f>
        <v>0</v>
      </c>
      <c r="O941" s="61">
        <f>IF(tblMovimientos[[#This Row],[Tipo de Movimiento]]="Egreso",tblMovimientos[[#This Row],[Monto (S/)]],"0")</f>
        <v>40</v>
      </c>
      <c r="P941" s="28">
        <f>IF(tblMovimientos[[#This Row],[Tipo de Movimiento]]="Ingreso",tblMovimientos[[#This Row],[Ingreso]],-tblMovimientos[[#This Row],[Egreso]])</f>
        <v>-40</v>
      </c>
      <c r="Q941" s="78" t="str">
        <f>_xlfn.XLOOKUP(tblMovimientos[[#This Row],[Cuenta Bancaria]],Cuentas!$C:$C,Cuentas!$A:$A,"")&amp;""</f>
        <v>SSP Group</v>
      </c>
      <c r="R941" s="78" t="str">
        <f>_xlfn.XLOOKUP(tblMovimientos[[#This Row],[Cuenta Bancaria]],Cuentas!$C:$C,Cuentas!$B:$B,"",0,-1)&amp;""</f>
        <v/>
      </c>
    </row>
    <row r="942" spans="1:18" x14ac:dyDescent="0.3">
      <c r="B942" s="39">
        <v>46269</v>
      </c>
      <c r="C942" s="4" t="str">
        <f>_xlfn.XLOOKUP(tblMovimientos[[#This Row],[Cuenta Bancaria]],Listas!$B:$B,Listas!$A:$A,"")</f>
        <v>SSP Capital</v>
      </c>
      <c r="D942" s="41" t="s">
        <v>101</v>
      </c>
      <c r="E942" s="68" t="str">
        <f>_xlfn.XLOOKUP(tblMovimientos[[#This Row],[Cuenta Bancaria]],Listas!$B:$B,Listas!$C:$C,"")</f>
        <v>Bank of America</v>
      </c>
      <c r="F942" s="41" t="s">
        <v>10</v>
      </c>
      <c r="G942" s="41" t="s">
        <v>38</v>
      </c>
      <c r="H942" s="4" t="str">
        <f>IFERROR(_xlfn.XLOOKUP(G942,Listas!E:E,Listas!F:F,""),"")</f>
        <v>Operativo</v>
      </c>
      <c r="I942" s="46" t="str">
        <f>IFERROR(_xlfn.XLOOKUP(G942,Listas!E:E,Listas!G:G,""),"")</f>
        <v>Externo</v>
      </c>
      <c r="J942" s="43">
        <v>1024.17</v>
      </c>
      <c r="K942" s="5">
        <f t="shared" si="14"/>
        <v>-1024.17</v>
      </c>
      <c r="L942" s="15" t="s">
        <v>133</v>
      </c>
      <c r="M942" s="44">
        <f>SUMIFS('Saldos Iniciales'!$D:$D,'Saldos Iniciales'!$A:$A,C942,'Saldos Iniciales'!$B:$B,D942)+SUMIFS($K$1:$K$1324,$C$1:$C$1324,C942,$D$1:$D$1324,D942,$B$1:$B$1324,"&lt;="&amp;B942)</f>
        <v>39457.01</v>
      </c>
      <c r="N942" s="61" t="str">
        <f>IF(tblMovimientos[[#This Row],[Tipo de Movimiento]]="Ingreso",tblMovimientos[[#This Row],[Monto (S/)]],"0")</f>
        <v>0</v>
      </c>
      <c r="O942" s="61">
        <f>IF(tblMovimientos[[#This Row],[Tipo de Movimiento]]="Egreso",tblMovimientos[[#This Row],[Monto (S/)]],"0")</f>
        <v>1024.17</v>
      </c>
      <c r="P942" s="28">
        <f>IF(tblMovimientos[[#This Row],[Tipo de Movimiento]]="Ingreso",tblMovimientos[[#This Row],[Ingreso]],-tblMovimientos[[#This Row],[Egreso]])</f>
        <v>-1024.17</v>
      </c>
      <c r="Q942" s="78" t="str">
        <f>_xlfn.XLOOKUP(tblMovimientos[[#This Row],[Cuenta Bancaria]],Cuentas!$C:$C,Cuentas!$A:$A,"")&amp;""</f>
        <v>SSP Group</v>
      </c>
      <c r="R942" s="78" t="str">
        <f>_xlfn.XLOOKUP(tblMovimientos[[#This Row],[Cuenta Bancaria]],Cuentas!$C:$C,Cuentas!$B:$B,"",0,-1)&amp;""</f>
        <v/>
      </c>
    </row>
    <row r="943" spans="1:18" x14ac:dyDescent="0.3">
      <c r="B943" s="39">
        <v>46269</v>
      </c>
      <c r="C943" s="4" t="str">
        <f>_xlfn.XLOOKUP(tblMovimientos[[#This Row],[Cuenta Bancaria]],Listas!$B:$B,Listas!$A:$A,"")</f>
        <v>CFT Group</v>
      </c>
      <c r="D943" s="41" t="s">
        <v>95</v>
      </c>
      <c r="E943" s="68" t="str">
        <f>_xlfn.XLOOKUP(tblMovimientos[[#This Row],[Cuenta Bancaria]],Listas!$B:$B,Listas!$C:$C,"")</f>
        <v xml:space="preserve">Amerant Bank </v>
      </c>
      <c r="F943" s="41" t="s">
        <v>9</v>
      </c>
      <c r="G943" s="41" t="s">
        <v>87</v>
      </c>
      <c r="H943" s="4" t="str">
        <f>IFERROR(_xlfn.XLOOKUP(G943,Listas!E:E,Listas!F:F,""),"")</f>
        <v>Operativo</v>
      </c>
      <c r="I943" s="46" t="str">
        <f>IFERROR(_xlfn.XLOOKUP(G943,Listas!E:E,Listas!G:G,""),"")</f>
        <v>Externo</v>
      </c>
      <c r="J943" s="43">
        <v>475</v>
      </c>
      <c r="K943" s="5">
        <f t="shared" si="14"/>
        <v>475</v>
      </c>
      <c r="L943" s="15" t="s">
        <v>133</v>
      </c>
      <c r="M943" s="44">
        <f>SUMIFS('Saldos Iniciales'!$D:$D,'Saldos Iniciales'!$A:$A,C943,'Saldos Iniciales'!$B:$B,D943)+SUMIFS($K$1:$K$1324,$C$1:$C$1324,C943,$D$1:$D$1324,D943,$B$1:$B$1324,"&lt;="&amp;B943)</f>
        <v>1499347.0200000009</v>
      </c>
      <c r="N943" s="61">
        <f>IF(tblMovimientos[[#This Row],[Tipo de Movimiento]]="Ingreso",tblMovimientos[[#This Row],[Monto (S/)]],"0")</f>
        <v>475</v>
      </c>
      <c r="O943" s="61" t="str">
        <f>IF(tblMovimientos[[#This Row],[Tipo de Movimiento]]="Egreso",tblMovimientos[[#This Row],[Monto (S/)]],"0")</f>
        <v>0</v>
      </c>
      <c r="P943" s="28">
        <f>IF(tblMovimientos[[#This Row],[Tipo de Movimiento]]="Ingreso",tblMovimientos[[#This Row],[Ingreso]],-tblMovimientos[[#This Row],[Egreso]])</f>
        <v>475</v>
      </c>
      <c r="Q943" s="78" t="str">
        <f>_xlfn.XLOOKUP(tblMovimientos[[#This Row],[Cuenta Bancaria]],Cuentas!$C:$C,Cuentas!$A:$A,"")&amp;""</f>
        <v>SSP Group</v>
      </c>
      <c r="R943" s="78" t="str">
        <f>_xlfn.XLOOKUP(tblMovimientos[[#This Row],[Cuenta Bancaria]],Cuentas!$C:$C,Cuentas!$B:$B,"",0,-1)&amp;""</f>
        <v/>
      </c>
    </row>
    <row r="944" spans="1:18" x14ac:dyDescent="0.3">
      <c r="B944" s="39">
        <v>46269</v>
      </c>
      <c r="C944" s="4" t="str">
        <f>_xlfn.XLOOKUP(tblMovimientos[[#This Row],[Cuenta Bancaria]],Listas!$B:$B,Listas!$A:$A,"")</f>
        <v>CFT Group</v>
      </c>
      <c r="D944" s="41" t="s">
        <v>95</v>
      </c>
      <c r="E944" s="68" t="str">
        <f>_xlfn.XLOOKUP(tblMovimientos[[#This Row],[Cuenta Bancaria]],Listas!$B:$B,Listas!$C:$C,"")</f>
        <v xml:space="preserve">Amerant Bank </v>
      </c>
      <c r="F944" s="41" t="s">
        <v>9</v>
      </c>
      <c r="G944" s="41" t="s">
        <v>76</v>
      </c>
      <c r="H944" s="4" t="str">
        <f>IFERROR(_xlfn.XLOOKUP(G944,Listas!E:E,Listas!F:F,""),"")</f>
        <v>Financiamiento</v>
      </c>
      <c r="I944" s="46" t="str">
        <f>IFERROR(_xlfn.XLOOKUP(G944,Listas!E:E,Listas!G:G,""),"")</f>
        <v>Externo</v>
      </c>
      <c r="J944" s="43">
        <v>496000</v>
      </c>
      <c r="K944" s="5">
        <f t="shared" si="14"/>
        <v>496000</v>
      </c>
      <c r="L944" s="15" t="s">
        <v>133</v>
      </c>
      <c r="M944" s="44">
        <f>SUMIFS('Saldos Iniciales'!$D:$D,'Saldos Iniciales'!$A:$A,C944,'Saldos Iniciales'!$B:$B,D944)+SUMIFS($K$1:$K$1324,$C$1:$C$1324,C944,$D$1:$D$1324,D944,$B$1:$B$1324,"&lt;="&amp;B944)</f>
        <v>1499347.0200000009</v>
      </c>
      <c r="N944" s="61">
        <f>IF(tblMovimientos[[#This Row],[Tipo de Movimiento]]="Ingreso",tblMovimientos[[#This Row],[Monto (S/)]],"0")</f>
        <v>496000</v>
      </c>
      <c r="O944" s="61" t="str">
        <f>IF(tblMovimientos[[#This Row],[Tipo de Movimiento]]="Egreso",tblMovimientos[[#This Row],[Monto (S/)]],"0")</f>
        <v>0</v>
      </c>
      <c r="P944" s="28">
        <f>IF(tblMovimientos[[#This Row],[Tipo de Movimiento]]="Ingreso",tblMovimientos[[#This Row],[Ingreso]],-tblMovimientos[[#This Row],[Egreso]])</f>
        <v>496000</v>
      </c>
      <c r="Q944" s="78" t="str">
        <f>_xlfn.XLOOKUP(tblMovimientos[[#This Row],[Cuenta Bancaria]],Cuentas!$C:$C,Cuentas!$A:$A,"")&amp;""</f>
        <v>SSP Group</v>
      </c>
      <c r="R944" s="78" t="str">
        <f>_xlfn.XLOOKUP(tblMovimientos[[#This Row],[Cuenta Bancaria]],Cuentas!$C:$C,Cuentas!$B:$B,"",0,-1)&amp;""</f>
        <v/>
      </c>
    </row>
    <row r="945" spans="1:18" x14ac:dyDescent="0.3">
      <c r="A945" s="45"/>
      <c r="B945" s="39">
        <v>46269</v>
      </c>
      <c r="C945" s="4" t="str">
        <f>_xlfn.XLOOKUP(tblMovimientos[[#This Row],[Cuenta Bancaria]],Listas!$B:$B,Listas!$A:$A,"")</f>
        <v>CFT1 Residence</v>
      </c>
      <c r="D945" s="41" t="s">
        <v>184</v>
      </c>
      <c r="E945" s="68" t="str">
        <f>_xlfn.XLOOKUP(tblMovimientos[[#This Row],[Cuenta Bancaria]],Listas!$B:$B,Listas!$C:$C,"")</f>
        <v xml:space="preserve">Amerant Bank </v>
      </c>
      <c r="F945" s="41" t="s">
        <v>10</v>
      </c>
      <c r="G945" s="41" t="s">
        <v>44</v>
      </c>
      <c r="H945" s="46" t="str">
        <f>IFERROR(_xlfn.XLOOKUP(G945,Listas!E:E,Listas!F:F,""),"")</f>
        <v>Operativo</v>
      </c>
      <c r="I945" s="46" t="str">
        <f>IFERROR(_xlfn.XLOOKUP(G945,Listas!E:E,Listas!G:G,""),"")</f>
        <v>Externo</v>
      </c>
      <c r="J945" s="43">
        <v>80</v>
      </c>
      <c r="K945" s="5">
        <f t="shared" si="14"/>
        <v>-80</v>
      </c>
      <c r="L945" s="15" t="s">
        <v>133</v>
      </c>
      <c r="M945" s="44">
        <f>SUMIFS('Saldos Iniciales'!$D:$D,'Saldos Iniciales'!$A:$A,C945,'Saldos Iniciales'!$B:$B,D945)+SUMIFS($K$1:$K$1324,$C$1:$C$1324,C945,$D$1:$D$1324,D945,$B$1:$B$1324,"&lt;="&amp;B945)</f>
        <v>18611.199999999997</v>
      </c>
      <c r="N945" s="61" t="str">
        <f>IF(tblMovimientos[[#This Row],[Tipo de Movimiento]]="Ingreso",tblMovimientos[[#This Row],[Monto (S/)]],"0")</f>
        <v>0</v>
      </c>
      <c r="O945" s="61">
        <f>IF(tblMovimientos[[#This Row],[Tipo de Movimiento]]="Egreso",tblMovimientos[[#This Row],[Monto (S/)]],"0")</f>
        <v>80</v>
      </c>
      <c r="P945" s="28">
        <f>IF(tblMovimientos[[#This Row],[Tipo de Movimiento]]="Ingreso",tblMovimientos[[#This Row],[Ingreso]],-tblMovimientos[[#This Row],[Egreso]])</f>
        <v>-80</v>
      </c>
      <c r="Q945" s="78" t="str">
        <f>_xlfn.XLOOKUP(tblMovimientos[[#This Row],[Cuenta Bancaria]],Cuentas!$C:$C,Cuentas!$A:$A,"")&amp;""</f>
        <v>Carmen Cross Irrevocable Trust</v>
      </c>
      <c r="R945" s="78" t="str">
        <f>_xlfn.XLOOKUP(tblMovimientos[[#This Row],[Cuenta Bancaria]],Cuentas!$C:$C,Cuentas!$B:$B,"",0,-1)&amp;""</f>
        <v/>
      </c>
    </row>
    <row r="946" spans="1:18" x14ac:dyDescent="0.3">
      <c r="B946" s="39">
        <v>46269</v>
      </c>
      <c r="C946" s="4" t="str">
        <f>_xlfn.XLOOKUP(tblMovimientos[[#This Row],[Cuenta Bancaria]],Listas!$B:$B,Listas!$A:$A,"")</f>
        <v>Prendamas SRL</v>
      </c>
      <c r="D946" s="41" t="s">
        <v>186</v>
      </c>
      <c r="E946" s="68" t="str">
        <f>_xlfn.XLOOKUP(tblMovimientos[[#This Row],[Cuenta Bancaria]],Listas!$B:$B,Listas!$C:$C,"")</f>
        <v xml:space="preserve">Amerant Bank </v>
      </c>
      <c r="F946" s="41" t="s">
        <v>10</v>
      </c>
      <c r="G946" s="41" t="s">
        <v>61</v>
      </c>
      <c r="H946" s="4" t="str">
        <f>IFERROR(_xlfn.XLOOKUP(G946,Listas!E:E,Listas!F:F,""),"")</f>
        <v>Operativo</v>
      </c>
      <c r="I946" s="46" t="str">
        <f>IFERROR(_xlfn.XLOOKUP(G946,Listas!E:E,Listas!G:G,""),"")</f>
        <v>Externo</v>
      </c>
      <c r="J946" s="43">
        <v>60000</v>
      </c>
      <c r="K946" s="5">
        <f t="shared" si="14"/>
        <v>-60000</v>
      </c>
      <c r="L946" s="15" t="s">
        <v>133</v>
      </c>
      <c r="M946" s="44">
        <f>SUMIFS('Saldos Iniciales'!$D:$D,'Saldos Iniciales'!$A:$A,C946,'Saldos Iniciales'!$B:$B,D946)+SUMIFS($K$1:$K$1324,$C$1:$C$1324,C946,$D$1:$D$1324,D946,$B$1:$B$1324,"&lt;="&amp;B946)</f>
        <v>32112.919999999976</v>
      </c>
      <c r="N946" s="61" t="str">
        <f>IF(tblMovimientos[[#This Row],[Tipo de Movimiento]]="Ingreso",tblMovimientos[[#This Row],[Monto (S/)]],"0")</f>
        <v>0</v>
      </c>
      <c r="O946" s="61">
        <f>IF(tblMovimientos[[#This Row],[Tipo de Movimiento]]="Egreso",tblMovimientos[[#This Row],[Monto (S/)]],"0")</f>
        <v>60000</v>
      </c>
      <c r="P946" s="28">
        <f>IF(tblMovimientos[[#This Row],[Tipo de Movimiento]]="Ingreso",tblMovimientos[[#This Row],[Ingreso]],-tblMovimientos[[#This Row],[Egreso]])</f>
        <v>-60000</v>
      </c>
      <c r="Q946" s="78" t="str">
        <f>_xlfn.XLOOKUP(tblMovimientos[[#This Row],[Cuenta Bancaria]],Cuentas!$C:$C,Cuentas!$A:$A,"")&amp;""</f>
        <v>Unidades de Negocio</v>
      </c>
      <c r="R946" s="78" t="str">
        <f>_xlfn.XLOOKUP(tblMovimientos[[#This Row],[Cuenta Bancaria]],Cuentas!$C:$C,Cuentas!$B:$B,"",0,-1)&amp;""</f>
        <v/>
      </c>
    </row>
    <row r="947" spans="1:18" x14ac:dyDescent="0.3">
      <c r="B947" s="39">
        <v>46269</v>
      </c>
      <c r="C947" s="4" t="str">
        <f>_xlfn.XLOOKUP(tblMovimientos[[#This Row],[Cuenta Bancaria]],Listas!$B:$B,Listas!$A:$A,"")</f>
        <v>Nobe Aparments</v>
      </c>
      <c r="D947" s="41" t="s">
        <v>191</v>
      </c>
      <c r="E947" s="68" t="str">
        <f>_xlfn.XLOOKUP(tblMovimientos[[#This Row],[Cuenta Bancaria]],Listas!$B:$B,Listas!$C:$C,"")</f>
        <v>Bank of America</v>
      </c>
      <c r="F947" s="41" t="s">
        <v>9</v>
      </c>
      <c r="G947" s="41" t="s">
        <v>81</v>
      </c>
      <c r="H947" s="4" t="str">
        <f>IFERROR(_xlfn.XLOOKUP(G947,Listas!E:E,Listas!F:F,""),"")</f>
        <v>Operativo</v>
      </c>
      <c r="I947" s="46" t="str">
        <f>IFERROR(_xlfn.XLOOKUP(G947,Listas!E:E,Listas!G:G,""),"")</f>
        <v>Externo</v>
      </c>
      <c r="J947" s="43">
        <v>215</v>
      </c>
      <c r="K947" s="5">
        <f t="shared" si="14"/>
        <v>215</v>
      </c>
      <c r="L947" s="15" t="s">
        <v>133</v>
      </c>
      <c r="M947" s="44">
        <f>SUMIFS('Saldos Iniciales'!$D:$D,'Saldos Iniciales'!$A:$A,C947,'Saldos Iniciales'!$B:$B,D947)+SUMIFS($K$1:$K$1324,$C$1:$C$1324,C947,$D$1:$D$1324,D947,$B$1:$B$1324,"&lt;="&amp;B947)</f>
        <v>210940.58</v>
      </c>
      <c r="N947" s="61">
        <f>IF(tblMovimientos[[#This Row],[Tipo de Movimiento]]="Ingreso",tblMovimientos[[#This Row],[Monto (S/)]],"0")</f>
        <v>215</v>
      </c>
      <c r="O947" s="61" t="str">
        <f>IF(tblMovimientos[[#This Row],[Tipo de Movimiento]]="Egreso",tblMovimientos[[#This Row],[Monto (S/)]],"0")</f>
        <v>0</v>
      </c>
      <c r="P947" s="28">
        <f>IF(tblMovimientos[[#This Row],[Tipo de Movimiento]]="Ingreso",tblMovimientos[[#This Row],[Ingreso]],-tblMovimientos[[#This Row],[Egreso]])</f>
        <v>215</v>
      </c>
      <c r="Q947" s="78" t="str">
        <f>_xlfn.XLOOKUP(tblMovimientos[[#This Row],[Cuenta Bancaria]],Cuentas!$C:$C,Cuentas!$A:$A,"")&amp;""</f>
        <v>Estate</v>
      </c>
      <c r="R947" s="78" t="str">
        <f>_xlfn.XLOOKUP(tblMovimientos[[#This Row],[Cuenta Bancaria]],Cuentas!$C:$C,Cuentas!$B:$B,"",0,-1)&amp;""</f>
        <v/>
      </c>
    </row>
    <row r="948" spans="1:18" x14ac:dyDescent="0.3">
      <c r="B948" s="39">
        <v>46273</v>
      </c>
      <c r="C948" s="4" t="str">
        <f>_xlfn.XLOOKUP(tblMovimientos[[#This Row],[Cuenta Bancaria]],Listas!$B:$B,Listas!$A:$A,"")</f>
        <v>SSP Capital</v>
      </c>
      <c r="D948" s="41" t="s">
        <v>101</v>
      </c>
      <c r="E948" s="68" t="str">
        <f>_xlfn.XLOOKUP(tblMovimientos[[#This Row],[Cuenta Bancaria]],Listas!$B:$B,Listas!$C:$C,"")</f>
        <v>Bank of America</v>
      </c>
      <c r="F948" s="41" t="s">
        <v>10</v>
      </c>
      <c r="G948" s="41" t="s">
        <v>41</v>
      </c>
      <c r="H948" s="4" t="str">
        <f>IFERROR(_xlfn.XLOOKUP(G948,Listas!E:E,Listas!F:F,""),"")</f>
        <v>Operativo</v>
      </c>
      <c r="I948" s="46" t="str">
        <f>IFERROR(_xlfn.XLOOKUP(G948,Listas!E:E,Listas!G:G,""),"")</f>
        <v>Externo</v>
      </c>
      <c r="J948" s="43">
        <v>7679.78</v>
      </c>
      <c r="K948" s="5">
        <f t="shared" si="14"/>
        <v>-7679.78</v>
      </c>
      <c r="L948" s="15" t="s">
        <v>133</v>
      </c>
      <c r="M948" s="44">
        <f>SUMIFS('Saldos Iniciales'!$D:$D,'Saldos Iniciales'!$A:$A,C948,'Saldos Iniciales'!$B:$B,D948)+SUMIFS($K$1:$K$1324,$C$1:$C$1324,C948,$D$1:$D$1324,D948,$B$1:$B$1324,"&lt;="&amp;B948)</f>
        <v>30485.58</v>
      </c>
      <c r="N948" s="61" t="str">
        <f>IF(tblMovimientos[[#This Row],[Tipo de Movimiento]]="Ingreso",tblMovimientos[[#This Row],[Monto (S/)]],"0")</f>
        <v>0</v>
      </c>
      <c r="O948" s="61">
        <f>IF(tblMovimientos[[#This Row],[Tipo de Movimiento]]="Egreso",tblMovimientos[[#This Row],[Monto (S/)]],"0")</f>
        <v>7679.78</v>
      </c>
      <c r="P948" s="28">
        <f>IF(tblMovimientos[[#This Row],[Tipo de Movimiento]]="Ingreso",tblMovimientos[[#This Row],[Ingreso]],-tblMovimientos[[#This Row],[Egreso]])</f>
        <v>-7679.78</v>
      </c>
      <c r="Q948" s="78" t="str">
        <f>_xlfn.XLOOKUP(tblMovimientos[[#This Row],[Cuenta Bancaria]],Cuentas!$C:$C,Cuentas!$A:$A,"")&amp;""</f>
        <v>SSP Group</v>
      </c>
      <c r="R948" s="78" t="str">
        <f>_xlfn.XLOOKUP(tblMovimientos[[#This Row],[Cuenta Bancaria]],Cuentas!$C:$C,Cuentas!$B:$B,"",0,-1)&amp;""</f>
        <v/>
      </c>
    </row>
    <row r="949" spans="1:18" x14ac:dyDescent="0.3">
      <c r="B949" s="39">
        <v>46273</v>
      </c>
      <c r="C949" s="4" t="str">
        <f>_xlfn.XLOOKUP(tblMovimientos[[#This Row],[Cuenta Bancaria]],Listas!$B:$B,Listas!$A:$A,"")</f>
        <v>A&amp;M Imports</v>
      </c>
      <c r="D949" s="41" t="s">
        <v>100</v>
      </c>
      <c r="E949" s="68" t="str">
        <f>_xlfn.XLOOKUP(tblMovimientos[[#This Row],[Cuenta Bancaria]],Listas!$B:$B,Listas!$C:$C,"")</f>
        <v>Bank of America</v>
      </c>
      <c r="F949" s="41" t="s">
        <v>9</v>
      </c>
      <c r="G949" s="41" t="s">
        <v>68</v>
      </c>
      <c r="H949" s="4" t="str">
        <f>IFERROR(_xlfn.XLOOKUP(G949,Listas!E:E,Listas!F:F,""),"")</f>
        <v>Operativo</v>
      </c>
      <c r="I949" s="46" t="str">
        <f>IFERROR(_xlfn.XLOOKUP(G949,Listas!E:E,Listas!G:G,""),"")</f>
        <v>Externo</v>
      </c>
      <c r="J949" s="43">
        <v>5731.99</v>
      </c>
      <c r="K949" s="5">
        <f t="shared" si="14"/>
        <v>5731.99</v>
      </c>
      <c r="L949" s="15" t="s">
        <v>133</v>
      </c>
      <c r="M949" s="44">
        <f>SUMIFS('Saldos Iniciales'!$D:$D,'Saldos Iniciales'!$A:$A,C949,'Saldos Iniciales'!$B:$B,D949)+SUMIFS($K$1:$K$1324,$C$1:$C$1324,C949,$D$1:$D$1324,D949,$B$1:$B$1324,"&lt;="&amp;B949)</f>
        <v>1256669.99</v>
      </c>
      <c r="N949" s="61">
        <f>IF(tblMovimientos[[#This Row],[Tipo de Movimiento]]="Ingreso",tblMovimientos[[#This Row],[Monto (S/)]],"0")</f>
        <v>5731.99</v>
      </c>
      <c r="O949" s="61" t="str">
        <f>IF(tblMovimientos[[#This Row],[Tipo de Movimiento]]="Egreso",tblMovimientos[[#This Row],[Monto (S/)]],"0")</f>
        <v>0</v>
      </c>
      <c r="P949" s="28">
        <f>IF(tblMovimientos[[#This Row],[Tipo de Movimiento]]="Ingreso",tblMovimientos[[#This Row],[Ingreso]],-tblMovimientos[[#This Row],[Egreso]])</f>
        <v>5731.99</v>
      </c>
      <c r="Q949" s="78" t="str">
        <f>_xlfn.XLOOKUP(tblMovimientos[[#This Row],[Cuenta Bancaria]],Cuentas!$C:$C,Cuentas!$A:$A,"")&amp;""</f>
        <v>SSP Group</v>
      </c>
      <c r="R949" s="78" t="str">
        <f>_xlfn.XLOOKUP(tblMovimientos[[#This Row],[Cuenta Bancaria]],Cuentas!$C:$C,Cuentas!$B:$B,"",0,-1)&amp;""</f>
        <v/>
      </c>
    </row>
    <row r="950" spans="1:18" x14ac:dyDescent="0.3">
      <c r="B950" s="39">
        <v>46273</v>
      </c>
      <c r="C950" s="4" t="str">
        <f>_xlfn.XLOOKUP(tblMovimientos[[#This Row],[Cuenta Bancaria]],Listas!$B:$B,Listas!$A:$A,"")</f>
        <v>CFT Group</v>
      </c>
      <c r="D950" s="41" t="s">
        <v>94</v>
      </c>
      <c r="E950" s="68" t="str">
        <f>_xlfn.XLOOKUP(tblMovimientos[[#This Row],[Cuenta Bancaria]],Listas!$B:$B,Listas!$C:$C,"")</f>
        <v>Bank of America</v>
      </c>
      <c r="F950" s="41" t="s">
        <v>9</v>
      </c>
      <c r="G950" s="41" t="s">
        <v>68</v>
      </c>
      <c r="H950" s="4" t="str">
        <f>IFERROR(_xlfn.XLOOKUP(G950,Listas!E:E,Listas!F:F,""),"")</f>
        <v>Operativo</v>
      </c>
      <c r="I950" s="46" t="str">
        <f>IFERROR(_xlfn.XLOOKUP(G950,Listas!E:E,Listas!G:G,""),"")</f>
        <v>Externo</v>
      </c>
      <c r="J950" s="43">
        <v>122225.83</v>
      </c>
      <c r="K950" s="5">
        <f t="shared" si="14"/>
        <v>122225.83</v>
      </c>
      <c r="L950" s="15" t="s">
        <v>133</v>
      </c>
      <c r="M950" s="44">
        <f>SUMIFS('Saldos Iniciales'!$D:$D,'Saldos Iniciales'!$A:$A,C950,'Saldos Iniciales'!$B:$B,D950)+SUMIFS($K$1:$K$1324,$C$1:$C$1324,C950,$D$1:$D$1324,D950,$B$1:$B$1324,"&lt;="&amp;B950)</f>
        <v>167371.02999999997</v>
      </c>
      <c r="N950" s="61">
        <f>IF(tblMovimientos[[#This Row],[Tipo de Movimiento]]="Ingreso",tblMovimientos[[#This Row],[Monto (S/)]],"0")</f>
        <v>122225.83</v>
      </c>
      <c r="O950" s="61" t="str">
        <f>IF(tblMovimientos[[#This Row],[Tipo de Movimiento]]="Egreso",tblMovimientos[[#This Row],[Monto (S/)]],"0")</f>
        <v>0</v>
      </c>
      <c r="P950" s="28">
        <f>IF(tblMovimientos[[#This Row],[Tipo de Movimiento]]="Ingreso",tblMovimientos[[#This Row],[Ingreso]],-tblMovimientos[[#This Row],[Egreso]])</f>
        <v>122225.83</v>
      </c>
      <c r="Q950" s="78" t="str">
        <f>_xlfn.XLOOKUP(tblMovimientos[[#This Row],[Cuenta Bancaria]],Cuentas!$C:$C,Cuentas!$A:$A,"")&amp;""</f>
        <v>SSP Group</v>
      </c>
      <c r="R950" s="78" t="str">
        <f>_xlfn.XLOOKUP(tblMovimientos[[#This Row],[Cuenta Bancaria]],Cuentas!$C:$C,Cuentas!$B:$B,"",0,-1)&amp;""</f>
        <v/>
      </c>
    </row>
    <row r="951" spans="1:18" x14ac:dyDescent="0.3">
      <c r="B951" s="39">
        <v>46273</v>
      </c>
      <c r="C951" s="4" t="str">
        <f>_xlfn.XLOOKUP(tblMovimientos[[#This Row],[Cuenta Bancaria]],Listas!$B:$B,Listas!$A:$A,"")</f>
        <v>SSP Capital</v>
      </c>
      <c r="D951" s="41" t="s">
        <v>101</v>
      </c>
      <c r="E951" s="68" t="str">
        <f>_xlfn.XLOOKUP(tblMovimientos[[#This Row],[Cuenta Bancaria]],Listas!$B:$B,Listas!$C:$C,"")</f>
        <v>Bank of America</v>
      </c>
      <c r="F951" s="41" t="s">
        <v>10</v>
      </c>
      <c r="G951" s="41" t="s">
        <v>38</v>
      </c>
      <c r="H951" s="4" t="str">
        <f>IFERROR(_xlfn.XLOOKUP(G951,Listas!E:E,Listas!F:F,""),"")</f>
        <v>Operativo</v>
      </c>
      <c r="I951" s="46" t="str">
        <f>IFERROR(_xlfn.XLOOKUP(G951,Listas!E:E,Listas!G:G,""),"")</f>
        <v>Externo</v>
      </c>
      <c r="J951" s="43">
        <v>1291.6500000000001</v>
      </c>
      <c r="K951" s="5">
        <f t="shared" si="14"/>
        <v>-1291.6500000000001</v>
      </c>
      <c r="L951" s="15" t="s">
        <v>133</v>
      </c>
      <c r="M951" s="44">
        <f>SUMIFS('Saldos Iniciales'!$D:$D,'Saldos Iniciales'!$A:$A,C951,'Saldos Iniciales'!$B:$B,D951)+SUMIFS($K$1:$K$1324,$C$1:$C$1324,C951,$D$1:$D$1324,D951,$B$1:$B$1324,"&lt;="&amp;B951)</f>
        <v>30485.58</v>
      </c>
      <c r="N951" s="61" t="str">
        <f>IF(tblMovimientos[[#This Row],[Tipo de Movimiento]]="Ingreso",tblMovimientos[[#This Row],[Monto (S/)]],"0")</f>
        <v>0</v>
      </c>
      <c r="O951" s="61">
        <f>IF(tblMovimientos[[#This Row],[Tipo de Movimiento]]="Egreso",tblMovimientos[[#This Row],[Monto (S/)]],"0")</f>
        <v>1291.6500000000001</v>
      </c>
      <c r="P951" s="28">
        <f>IF(tblMovimientos[[#This Row],[Tipo de Movimiento]]="Ingreso",tblMovimientos[[#This Row],[Ingreso]],-tblMovimientos[[#This Row],[Egreso]])</f>
        <v>-1291.6500000000001</v>
      </c>
      <c r="Q951" s="78" t="str">
        <f>_xlfn.XLOOKUP(tblMovimientos[[#This Row],[Cuenta Bancaria]],Cuentas!$C:$C,Cuentas!$A:$A,"")&amp;""</f>
        <v>SSP Group</v>
      </c>
      <c r="R951" s="78" t="str">
        <f>_xlfn.XLOOKUP(tblMovimientos[[#This Row],[Cuenta Bancaria]],Cuentas!$C:$C,Cuentas!$B:$B,"",0,-1)&amp;""</f>
        <v/>
      </c>
    </row>
    <row r="952" spans="1:18" x14ac:dyDescent="0.3">
      <c r="B952" s="39">
        <v>46273</v>
      </c>
      <c r="C952" s="4" t="str">
        <f>_xlfn.XLOOKUP(tblMovimientos[[#This Row],[Cuenta Bancaria]],Listas!$B:$B,Listas!$A:$A,"")</f>
        <v>M1B</v>
      </c>
      <c r="D952" s="41" t="s">
        <v>97</v>
      </c>
      <c r="E952" s="68" t="str">
        <f>_xlfn.XLOOKUP(tblMovimientos[[#This Row],[Cuenta Bancaria]],Listas!$B:$B,Listas!$C:$C,"")</f>
        <v xml:space="preserve">Amerant Bank </v>
      </c>
      <c r="F952" s="41" t="s">
        <v>9</v>
      </c>
      <c r="G952" s="41" t="s">
        <v>68</v>
      </c>
      <c r="H952" s="4" t="str">
        <f>IFERROR(_xlfn.XLOOKUP(G952,Listas!E:E,Listas!F:F,""),"")</f>
        <v>Operativo</v>
      </c>
      <c r="I952" s="46" t="str">
        <f>IFERROR(_xlfn.XLOOKUP(G952,Listas!E:E,Listas!G:G,""),"")</f>
        <v>Externo</v>
      </c>
      <c r="J952" s="43">
        <v>457.74</v>
      </c>
      <c r="K952" s="5">
        <f t="shared" si="14"/>
        <v>457.74</v>
      </c>
      <c r="L952" s="15" t="s">
        <v>133</v>
      </c>
      <c r="M952" s="44">
        <f>SUMIFS('Saldos Iniciales'!$D:$D,'Saldos Iniciales'!$A:$A,C952,'Saldos Iniciales'!$B:$B,D952)+SUMIFS($K$1:$K$1324,$C$1:$C$1324,C952,$D$1:$D$1324,D952,$B$1:$B$1324,"&lt;="&amp;B952)</f>
        <v>88737.970000000176</v>
      </c>
      <c r="N952" s="61">
        <f>IF(tblMovimientos[[#This Row],[Tipo de Movimiento]]="Ingreso",tblMovimientos[[#This Row],[Monto (S/)]],"0")</f>
        <v>457.74</v>
      </c>
      <c r="O952" s="61" t="str">
        <f>IF(tblMovimientos[[#This Row],[Tipo de Movimiento]]="Egreso",tblMovimientos[[#This Row],[Monto (S/)]],"0")</f>
        <v>0</v>
      </c>
      <c r="P952" s="28">
        <f>IF(tblMovimientos[[#This Row],[Tipo de Movimiento]]="Ingreso",tblMovimientos[[#This Row],[Ingreso]],-tblMovimientos[[#This Row],[Egreso]])</f>
        <v>457.74</v>
      </c>
      <c r="Q952" s="78" t="str">
        <f>_xlfn.XLOOKUP(tblMovimientos[[#This Row],[Cuenta Bancaria]],Cuentas!$C:$C,Cuentas!$A:$A,"")&amp;""</f>
        <v>SSP Group</v>
      </c>
      <c r="R952" s="78" t="str">
        <f>_xlfn.XLOOKUP(tblMovimientos[[#This Row],[Cuenta Bancaria]],Cuentas!$C:$C,Cuentas!$B:$B,"",0,-1)&amp;""</f>
        <v/>
      </c>
    </row>
    <row r="953" spans="1:18" x14ac:dyDescent="0.3">
      <c r="B953" s="39">
        <v>46273</v>
      </c>
      <c r="C953" s="4" t="str">
        <f>_xlfn.XLOOKUP(tblMovimientos[[#This Row],[Cuenta Bancaria]],Listas!$B:$B,Listas!$A:$A,"")</f>
        <v>CFT Group</v>
      </c>
      <c r="D953" s="41" t="s">
        <v>95</v>
      </c>
      <c r="E953" s="68" t="str">
        <f>_xlfn.XLOOKUP(tblMovimientos[[#This Row],[Cuenta Bancaria]],Listas!$B:$B,Listas!$C:$C,"")</f>
        <v xml:space="preserve">Amerant Bank </v>
      </c>
      <c r="F953" s="41" t="s">
        <v>9</v>
      </c>
      <c r="G953" s="41" t="s">
        <v>76</v>
      </c>
      <c r="H953" s="4" t="str">
        <f>IFERROR(_xlfn.XLOOKUP(G953,Listas!E:E,Listas!F:F,""),"")</f>
        <v>Financiamiento</v>
      </c>
      <c r="I953" s="46" t="str">
        <f>IFERROR(_xlfn.XLOOKUP(G953,Listas!E:E,Listas!G:G,""),"")</f>
        <v>Externo</v>
      </c>
      <c r="J953" s="43">
        <v>4000</v>
      </c>
      <c r="K953" s="5">
        <f t="shared" si="14"/>
        <v>4000</v>
      </c>
      <c r="L953" s="15" t="s">
        <v>133</v>
      </c>
      <c r="M953" s="44">
        <f>SUMIFS('Saldos Iniciales'!$D:$D,'Saldos Iniciales'!$A:$A,C953,'Saldos Iniciales'!$B:$B,D953)+SUMIFS($K$1:$K$1324,$C$1:$C$1324,C953,$D$1:$D$1324,D953,$B$1:$B$1324,"&lt;="&amp;B953)</f>
        <v>1633347.0200000009</v>
      </c>
      <c r="N953" s="61">
        <f>IF(tblMovimientos[[#This Row],[Tipo de Movimiento]]="Ingreso",tblMovimientos[[#This Row],[Monto (S/)]],"0")</f>
        <v>4000</v>
      </c>
      <c r="O953" s="61" t="str">
        <f>IF(tblMovimientos[[#This Row],[Tipo de Movimiento]]="Egreso",tblMovimientos[[#This Row],[Monto (S/)]],"0")</f>
        <v>0</v>
      </c>
      <c r="P953" s="28">
        <f>IF(tblMovimientos[[#This Row],[Tipo de Movimiento]]="Ingreso",tblMovimientos[[#This Row],[Ingreso]],-tblMovimientos[[#This Row],[Egreso]])</f>
        <v>4000</v>
      </c>
      <c r="Q953" s="78" t="str">
        <f>_xlfn.XLOOKUP(tblMovimientos[[#This Row],[Cuenta Bancaria]],Cuentas!$C:$C,Cuentas!$A:$A,"")&amp;""</f>
        <v>SSP Group</v>
      </c>
      <c r="R953" s="78" t="str">
        <f>_xlfn.XLOOKUP(tblMovimientos[[#This Row],[Cuenta Bancaria]],Cuentas!$C:$C,Cuentas!$B:$B,"",0,-1)&amp;""</f>
        <v/>
      </c>
    </row>
    <row r="954" spans="1:18" x14ac:dyDescent="0.3">
      <c r="B954" s="39">
        <v>46273</v>
      </c>
      <c r="C954" s="4" t="str">
        <f>_xlfn.XLOOKUP(tblMovimientos[[#This Row],[Cuenta Bancaria]],Listas!$B:$B,Listas!$A:$A,"")</f>
        <v>CFT Group</v>
      </c>
      <c r="D954" s="41" t="s">
        <v>95</v>
      </c>
      <c r="E954" s="68" t="str">
        <f>_xlfn.XLOOKUP(tblMovimientos[[#This Row],[Cuenta Bancaria]],Listas!$B:$B,Listas!$C:$C,"")</f>
        <v xml:space="preserve">Amerant Bank </v>
      </c>
      <c r="F954" s="41" t="s">
        <v>9</v>
      </c>
      <c r="G954" s="41" t="s">
        <v>85</v>
      </c>
      <c r="H954" s="4" t="str">
        <f>IFERROR(_xlfn.XLOOKUP(G954,Listas!E:E,Listas!F:F,""),"")</f>
        <v>Operativo</v>
      </c>
      <c r="I954" s="46" t="str">
        <f>IFERROR(_xlfn.XLOOKUP(G954,Listas!E:E,Listas!G:G,""),"")</f>
        <v>Interno</v>
      </c>
      <c r="J954" s="43">
        <v>130000</v>
      </c>
      <c r="K954" s="5">
        <f t="shared" si="14"/>
        <v>130000</v>
      </c>
      <c r="L954" s="15" t="s">
        <v>133</v>
      </c>
      <c r="M954" s="44">
        <f>SUMIFS('Saldos Iniciales'!$D:$D,'Saldos Iniciales'!$A:$A,C954,'Saldos Iniciales'!$B:$B,D954)+SUMIFS($K$1:$K$1324,$C$1:$C$1324,C954,$D$1:$D$1324,D954,$B$1:$B$1324,"&lt;="&amp;B954)</f>
        <v>1633347.0200000009</v>
      </c>
      <c r="N954" s="61">
        <f>IF(tblMovimientos[[#This Row],[Tipo de Movimiento]]="Ingreso",tblMovimientos[[#This Row],[Monto (S/)]],"0")</f>
        <v>130000</v>
      </c>
      <c r="O954" s="61" t="str">
        <f>IF(tblMovimientos[[#This Row],[Tipo de Movimiento]]="Egreso",tblMovimientos[[#This Row],[Monto (S/)]],"0")</f>
        <v>0</v>
      </c>
      <c r="P954" s="28">
        <f>IF(tblMovimientos[[#This Row],[Tipo de Movimiento]]="Ingreso",tblMovimientos[[#This Row],[Ingreso]],-tblMovimientos[[#This Row],[Egreso]])</f>
        <v>130000</v>
      </c>
      <c r="Q954" s="78" t="str">
        <f>_xlfn.XLOOKUP(tblMovimientos[[#This Row],[Cuenta Bancaria]],Cuentas!$C:$C,Cuentas!$A:$A,"")&amp;""</f>
        <v>SSP Group</v>
      </c>
      <c r="R954" s="78" t="str">
        <f>_xlfn.XLOOKUP(tblMovimientos[[#This Row],[Cuenta Bancaria]],Cuentas!$C:$C,Cuentas!$B:$B,"",0,-1)&amp;""</f>
        <v/>
      </c>
    </row>
    <row r="955" spans="1:18" x14ac:dyDescent="0.3">
      <c r="B955" s="39">
        <v>46273</v>
      </c>
      <c r="C955" s="4" t="str">
        <f>_xlfn.XLOOKUP(tblMovimientos[[#This Row],[Cuenta Bancaria]],Listas!$B:$B,Listas!$A:$A,"")</f>
        <v>Pacha Ventures LLC</v>
      </c>
      <c r="D955" s="41" t="s">
        <v>187</v>
      </c>
      <c r="E955" s="68" t="str">
        <f>_xlfn.XLOOKUP(tblMovimientos[[#This Row],[Cuenta Bancaria]],Listas!$B:$B,Listas!$C:$C,"")</f>
        <v xml:space="preserve">Amerant Bank </v>
      </c>
      <c r="F955" s="41" t="s">
        <v>10</v>
      </c>
      <c r="G955" s="41" t="s">
        <v>38</v>
      </c>
      <c r="H955" s="4" t="str">
        <f>IFERROR(_xlfn.XLOOKUP(G955,Listas!E:E,Listas!F:F,""),"")</f>
        <v>Operativo</v>
      </c>
      <c r="I955" s="46" t="str">
        <f>IFERROR(_xlfn.XLOOKUP(G955,Listas!E:E,Listas!G:G,""),"")</f>
        <v>Externo</v>
      </c>
      <c r="J955" s="43">
        <v>331.11</v>
      </c>
      <c r="K955" s="5">
        <f t="shared" si="14"/>
        <v>-331.11</v>
      </c>
      <c r="L955" s="15" t="s">
        <v>133</v>
      </c>
      <c r="M955" s="44">
        <f>SUMIFS('Saldos Iniciales'!$D:$D,'Saldos Iniciales'!$A:$A,C955,'Saldos Iniciales'!$B:$B,D955)+SUMIFS($K$1:$K$1324,$C$1:$C$1324,C955,$D$1:$D$1324,D955,$B$1:$B$1324,"&lt;="&amp;B955)</f>
        <v>298843.33</v>
      </c>
      <c r="N955" s="61" t="str">
        <f>IF(tblMovimientos[[#This Row],[Tipo de Movimiento]]="Ingreso",tblMovimientos[[#This Row],[Monto (S/)]],"0")</f>
        <v>0</v>
      </c>
      <c r="O955" s="61">
        <f>IF(tblMovimientos[[#This Row],[Tipo de Movimiento]]="Egreso",tblMovimientos[[#This Row],[Monto (S/)]],"0")</f>
        <v>331.11</v>
      </c>
      <c r="P955" s="28">
        <f>IF(tblMovimientos[[#This Row],[Tipo de Movimiento]]="Ingreso",tblMovimientos[[#This Row],[Ingreso]],-tblMovimientos[[#This Row],[Egreso]])</f>
        <v>-331.11</v>
      </c>
      <c r="Q955" s="78" t="str">
        <f>_xlfn.XLOOKUP(tblMovimientos[[#This Row],[Cuenta Bancaria]],Cuentas!$C:$C,Cuentas!$A:$A,"")&amp;""</f>
        <v>Michael Cross</v>
      </c>
      <c r="R955" s="78" t="str">
        <f>_xlfn.XLOOKUP(tblMovimientos[[#This Row],[Cuenta Bancaria]],Cuentas!$C:$C,Cuentas!$B:$B,"",0,-1)&amp;""</f>
        <v/>
      </c>
    </row>
    <row r="956" spans="1:18" x14ac:dyDescent="0.3">
      <c r="B956" s="39">
        <v>46273</v>
      </c>
      <c r="C956" s="4" t="str">
        <f>_xlfn.XLOOKUP(tblMovimientos[[#This Row],[Cuenta Bancaria]],Listas!$B:$B,Listas!$A:$A,"")</f>
        <v>CFT1 Residence</v>
      </c>
      <c r="D956" s="41" t="s">
        <v>188</v>
      </c>
      <c r="E956" s="68" t="str">
        <f>_xlfn.XLOOKUP(tblMovimientos[[#This Row],[Cuenta Bancaria]],Listas!$B:$B,Listas!$C:$C,"")</f>
        <v xml:space="preserve">Amerant Bank </v>
      </c>
      <c r="F956" s="41" t="s">
        <v>10</v>
      </c>
      <c r="G956" s="41" t="s">
        <v>38</v>
      </c>
      <c r="H956" s="4" t="str">
        <f>IFERROR(_xlfn.XLOOKUP(G956,Listas!E:E,Listas!F:F,""),"")</f>
        <v>Operativo</v>
      </c>
      <c r="I956" s="46" t="str">
        <f>IFERROR(_xlfn.XLOOKUP(G956,Listas!E:E,Listas!G:G,""),"")</f>
        <v>Externo</v>
      </c>
      <c r="J956" s="43">
        <v>367.84</v>
      </c>
      <c r="K956" s="5">
        <f t="shared" si="14"/>
        <v>-367.84</v>
      </c>
      <c r="L956" s="15" t="s">
        <v>133</v>
      </c>
      <c r="M956" s="44">
        <f>SUMIFS('Saldos Iniciales'!$D:$D,'Saldos Iniciales'!$A:$A,C956,'Saldos Iniciales'!$B:$B,D956)+SUMIFS($K$1:$K$1324,$C$1:$C$1324,C956,$D$1:$D$1324,D956,$B$1:$B$1324,"&lt;="&amp;B956)</f>
        <v>1347.62</v>
      </c>
      <c r="N956" s="61" t="str">
        <f>IF(tblMovimientos[[#This Row],[Tipo de Movimiento]]="Ingreso",tblMovimientos[[#This Row],[Monto (S/)]],"0")</f>
        <v>0</v>
      </c>
      <c r="O956" s="61">
        <f>IF(tblMovimientos[[#This Row],[Tipo de Movimiento]]="Egreso",tblMovimientos[[#This Row],[Monto (S/)]],"0")</f>
        <v>367.84</v>
      </c>
      <c r="P956" s="28">
        <f>IF(tblMovimientos[[#This Row],[Tipo de Movimiento]]="Ingreso",tblMovimientos[[#This Row],[Ingreso]],-tblMovimientos[[#This Row],[Egreso]])</f>
        <v>-367.84</v>
      </c>
      <c r="Q956" s="78" t="str">
        <f>_xlfn.XLOOKUP(tblMovimientos[[#This Row],[Cuenta Bancaria]],Cuentas!$C:$C,Cuentas!$A:$A,"")&amp;""</f>
        <v>Carmen Cross Irrevocable Trust</v>
      </c>
      <c r="R956" s="78" t="str">
        <f>_xlfn.XLOOKUP(tblMovimientos[[#This Row],[Cuenta Bancaria]],Cuentas!$C:$C,Cuentas!$B:$B,"",0,-1)&amp;""</f>
        <v/>
      </c>
    </row>
    <row r="957" spans="1:18" x14ac:dyDescent="0.3">
      <c r="B957" s="39">
        <v>46273</v>
      </c>
      <c r="C957" s="4" t="str">
        <f>_xlfn.XLOOKUP(tblMovimientos[[#This Row],[Cuenta Bancaria]],Listas!$B:$B,Listas!$A:$A,"")</f>
        <v>CFT1 Residence</v>
      </c>
      <c r="D957" s="41" t="s">
        <v>188</v>
      </c>
      <c r="E957" s="68" t="str">
        <f>_xlfn.XLOOKUP(tblMovimientos[[#This Row],[Cuenta Bancaria]],Listas!$B:$B,Listas!$C:$C,"")</f>
        <v xml:space="preserve">Amerant Bank </v>
      </c>
      <c r="F957" s="41" t="s">
        <v>10</v>
      </c>
      <c r="G957" s="41" t="s">
        <v>38</v>
      </c>
      <c r="H957" s="4" t="str">
        <f>IFERROR(_xlfn.XLOOKUP(G957,Listas!E:E,Listas!F:F,""),"")</f>
        <v>Operativo</v>
      </c>
      <c r="I957" s="46" t="str">
        <f>IFERROR(_xlfn.XLOOKUP(G957,Listas!E:E,Listas!G:G,""),"")</f>
        <v>Externo</v>
      </c>
      <c r="J957" s="43">
        <v>129.55000000000001</v>
      </c>
      <c r="K957" s="5">
        <f t="shared" si="14"/>
        <v>-129.55000000000001</v>
      </c>
      <c r="L957" s="15" t="s">
        <v>133</v>
      </c>
      <c r="M957" s="44">
        <f>SUMIFS('Saldos Iniciales'!$D:$D,'Saldos Iniciales'!$A:$A,C957,'Saldos Iniciales'!$B:$B,D957)+SUMIFS($K$1:$K$1324,$C$1:$C$1324,C957,$D$1:$D$1324,D957,$B$1:$B$1324,"&lt;="&amp;B957)</f>
        <v>1347.62</v>
      </c>
      <c r="N957" s="61" t="str">
        <f>IF(tblMovimientos[[#This Row],[Tipo de Movimiento]]="Ingreso",tblMovimientos[[#This Row],[Monto (S/)]],"0")</f>
        <v>0</v>
      </c>
      <c r="O957" s="61">
        <f>IF(tblMovimientos[[#This Row],[Tipo de Movimiento]]="Egreso",tblMovimientos[[#This Row],[Monto (S/)]],"0")</f>
        <v>129.55000000000001</v>
      </c>
      <c r="P957" s="28">
        <f>IF(tblMovimientos[[#This Row],[Tipo de Movimiento]]="Ingreso",tblMovimientos[[#This Row],[Ingreso]],-tblMovimientos[[#This Row],[Egreso]])</f>
        <v>-129.55000000000001</v>
      </c>
      <c r="Q957" s="78" t="str">
        <f>_xlfn.XLOOKUP(tblMovimientos[[#This Row],[Cuenta Bancaria]],Cuentas!$C:$C,Cuentas!$A:$A,"")&amp;""</f>
        <v>Carmen Cross Irrevocable Trust</v>
      </c>
      <c r="R957" s="78" t="str">
        <f>_xlfn.XLOOKUP(tblMovimientos[[#This Row],[Cuenta Bancaria]],Cuentas!$C:$C,Cuentas!$B:$B,"",0,-1)&amp;""</f>
        <v/>
      </c>
    </row>
    <row r="958" spans="1:18" x14ac:dyDescent="0.3">
      <c r="B958" s="39">
        <v>46273</v>
      </c>
      <c r="C958" s="4" t="str">
        <f>_xlfn.XLOOKUP(tblMovimientos[[#This Row],[Cuenta Bancaria]],Listas!$B:$B,Listas!$A:$A,"")</f>
        <v>CFT1 Residence</v>
      </c>
      <c r="D958" s="41" t="s">
        <v>188</v>
      </c>
      <c r="E958" s="68" t="str">
        <f>_xlfn.XLOOKUP(tblMovimientos[[#This Row],[Cuenta Bancaria]],Listas!$B:$B,Listas!$C:$C,"")</f>
        <v xml:space="preserve">Amerant Bank </v>
      </c>
      <c r="F958" s="41" t="s">
        <v>10</v>
      </c>
      <c r="G958" s="41" t="s">
        <v>38</v>
      </c>
      <c r="H958" s="4" t="str">
        <f>IFERROR(_xlfn.XLOOKUP(G958,Listas!E:E,Listas!F:F,""),"")</f>
        <v>Operativo</v>
      </c>
      <c r="I958" s="46" t="str">
        <f>IFERROR(_xlfn.XLOOKUP(G958,Listas!E:E,Listas!G:G,""),"")</f>
        <v>Externo</v>
      </c>
      <c r="J958" s="43">
        <v>10.86</v>
      </c>
      <c r="K958" s="5">
        <f t="shared" si="14"/>
        <v>-10.86</v>
      </c>
      <c r="L958" s="15" t="s">
        <v>133</v>
      </c>
      <c r="M958" s="44">
        <f>SUMIFS('Saldos Iniciales'!$D:$D,'Saldos Iniciales'!$A:$A,C958,'Saldos Iniciales'!$B:$B,D958)+SUMIFS($K$1:$K$1324,$C$1:$C$1324,C958,$D$1:$D$1324,D958,$B$1:$B$1324,"&lt;="&amp;B958)</f>
        <v>1347.62</v>
      </c>
      <c r="N958" s="61" t="str">
        <f>IF(tblMovimientos[[#This Row],[Tipo de Movimiento]]="Ingreso",tblMovimientos[[#This Row],[Monto (S/)]],"0")</f>
        <v>0</v>
      </c>
      <c r="O958" s="61">
        <f>IF(tblMovimientos[[#This Row],[Tipo de Movimiento]]="Egreso",tblMovimientos[[#This Row],[Monto (S/)]],"0")</f>
        <v>10.86</v>
      </c>
      <c r="P958" s="28">
        <f>IF(tblMovimientos[[#This Row],[Tipo de Movimiento]]="Ingreso",tblMovimientos[[#This Row],[Ingreso]],-tblMovimientos[[#This Row],[Egreso]])</f>
        <v>-10.86</v>
      </c>
      <c r="Q958" s="78" t="str">
        <f>_xlfn.XLOOKUP(tblMovimientos[[#This Row],[Cuenta Bancaria]],Cuentas!$C:$C,Cuentas!$A:$A,"")&amp;""</f>
        <v>Carmen Cross Irrevocable Trust</v>
      </c>
      <c r="R958" s="78" t="str">
        <f>_xlfn.XLOOKUP(tblMovimientos[[#This Row],[Cuenta Bancaria]],Cuentas!$C:$C,Cuentas!$B:$B,"",0,-1)&amp;""</f>
        <v/>
      </c>
    </row>
    <row r="959" spans="1:18" x14ac:dyDescent="0.3">
      <c r="B959" s="39">
        <v>46273</v>
      </c>
      <c r="C959" s="4" t="str">
        <f>_xlfn.XLOOKUP(tblMovimientos[[#This Row],[Cuenta Bancaria]],Listas!$B:$B,Listas!$A:$A,"")</f>
        <v>CFT1 Residence</v>
      </c>
      <c r="D959" s="41" t="s">
        <v>184</v>
      </c>
      <c r="E959" s="68" t="str">
        <f>_xlfn.XLOOKUP(tblMovimientos[[#This Row],[Cuenta Bancaria]],Listas!$B:$B,Listas!$C:$C,"")</f>
        <v xml:space="preserve">Amerant Bank </v>
      </c>
      <c r="F959" s="41" t="s">
        <v>10</v>
      </c>
      <c r="G959" s="41" t="s">
        <v>38</v>
      </c>
      <c r="H959" s="4" t="str">
        <f>IFERROR(_xlfn.XLOOKUP(G959,Listas!E:E,Listas!F:F,""),"")</f>
        <v>Operativo</v>
      </c>
      <c r="I959" s="46" t="str">
        <f>IFERROR(_xlfn.XLOOKUP(G959,Listas!E:E,Listas!G:G,""),"")</f>
        <v>Externo</v>
      </c>
      <c r="J959" s="43">
        <v>167.36</v>
      </c>
      <c r="K959" s="5">
        <f t="shared" si="14"/>
        <v>-167.36</v>
      </c>
      <c r="L959" s="15" t="s">
        <v>133</v>
      </c>
      <c r="M959" s="44">
        <f>SUMIFS('Saldos Iniciales'!$D:$D,'Saldos Iniciales'!$A:$A,C959,'Saldos Iniciales'!$B:$B,D959)+SUMIFS($K$1:$K$1324,$C$1:$C$1324,C959,$D$1:$D$1324,D959,$B$1:$B$1324,"&lt;="&amp;B959)</f>
        <v>18215.499999999996</v>
      </c>
      <c r="N959" s="61" t="str">
        <f>IF(tblMovimientos[[#This Row],[Tipo de Movimiento]]="Ingreso",tblMovimientos[[#This Row],[Monto (S/)]],"0")</f>
        <v>0</v>
      </c>
      <c r="O959" s="61">
        <f>IF(tblMovimientos[[#This Row],[Tipo de Movimiento]]="Egreso",tblMovimientos[[#This Row],[Monto (S/)]],"0")</f>
        <v>167.36</v>
      </c>
      <c r="P959" s="28">
        <f>IF(tblMovimientos[[#This Row],[Tipo de Movimiento]]="Ingreso",tblMovimientos[[#This Row],[Ingreso]],-tblMovimientos[[#This Row],[Egreso]])</f>
        <v>-167.36</v>
      </c>
      <c r="Q959" s="78" t="str">
        <f>_xlfn.XLOOKUP(tblMovimientos[[#This Row],[Cuenta Bancaria]],Cuentas!$C:$C,Cuentas!$A:$A,"")&amp;""</f>
        <v>Carmen Cross Irrevocable Trust</v>
      </c>
      <c r="R959" s="78" t="str">
        <f>_xlfn.XLOOKUP(tblMovimientos[[#This Row],[Cuenta Bancaria]],Cuentas!$C:$C,Cuentas!$B:$B,"",0,-1)&amp;""</f>
        <v/>
      </c>
    </row>
    <row r="960" spans="1:18" x14ac:dyDescent="0.3">
      <c r="B960" s="39">
        <v>46273</v>
      </c>
      <c r="C960" s="4" t="str">
        <f>_xlfn.XLOOKUP(tblMovimientos[[#This Row],[Cuenta Bancaria]],Listas!$B:$B,Listas!$A:$A,"")</f>
        <v>CFT1 Residence</v>
      </c>
      <c r="D960" s="41" t="s">
        <v>184</v>
      </c>
      <c r="E960" s="68" t="str">
        <f>_xlfn.XLOOKUP(tblMovimientos[[#This Row],[Cuenta Bancaria]],Listas!$B:$B,Listas!$C:$C,"")</f>
        <v xml:space="preserve">Amerant Bank </v>
      </c>
      <c r="F960" s="41" t="s">
        <v>10</v>
      </c>
      <c r="G960" s="41" t="s">
        <v>38</v>
      </c>
      <c r="H960" s="4" t="str">
        <f>IFERROR(_xlfn.XLOOKUP(G960,Listas!E:E,Listas!F:F,""),"")</f>
        <v>Operativo</v>
      </c>
      <c r="I960" s="46" t="str">
        <f>IFERROR(_xlfn.XLOOKUP(G960,Listas!E:E,Listas!G:G,""),"")</f>
        <v>Externo</v>
      </c>
      <c r="J960" s="43">
        <v>172.9</v>
      </c>
      <c r="K960" s="5">
        <f t="shared" si="14"/>
        <v>-172.9</v>
      </c>
      <c r="L960" s="15" t="s">
        <v>133</v>
      </c>
      <c r="M960" s="44">
        <f>SUMIFS('Saldos Iniciales'!$D:$D,'Saldos Iniciales'!$A:$A,C960,'Saldos Iniciales'!$B:$B,D960)+SUMIFS($K$1:$K$1324,$C$1:$C$1324,C960,$D$1:$D$1324,D960,$B$1:$B$1324,"&lt;="&amp;B960)</f>
        <v>18215.499999999996</v>
      </c>
      <c r="N960" s="61" t="str">
        <f>IF(tblMovimientos[[#This Row],[Tipo de Movimiento]]="Ingreso",tblMovimientos[[#This Row],[Monto (S/)]],"0")</f>
        <v>0</v>
      </c>
      <c r="O960" s="61">
        <f>IF(tblMovimientos[[#This Row],[Tipo de Movimiento]]="Egreso",tblMovimientos[[#This Row],[Monto (S/)]],"0")</f>
        <v>172.9</v>
      </c>
      <c r="P960" s="28">
        <f>IF(tblMovimientos[[#This Row],[Tipo de Movimiento]]="Ingreso",tblMovimientos[[#This Row],[Ingreso]],-tblMovimientos[[#This Row],[Egreso]])</f>
        <v>-172.9</v>
      </c>
      <c r="Q960" s="78" t="str">
        <f>_xlfn.XLOOKUP(tblMovimientos[[#This Row],[Cuenta Bancaria]],Cuentas!$C:$C,Cuentas!$A:$A,"")&amp;""</f>
        <v>Carmen Cross Irrevocable Trust</v>
      </c>
      <c r="R960" s="78" t="str">
        <f>_xlfn.XLOOKUP(tblMovimientos[[#This Row],[Cuenta Bancaria]],Cuentas!$C:$C,Cuentas!$B:$B,"",0,-1)&amp;""</f>
        <v/>
      </c>
    </row>
    <row r="961" spans="2:18" x14ac:dyDescent="0.3">
      <c r="B961" s="39">
        <v>46273</v>
      </c>
      <c r="C961" s="4" t="str">
        <f>_xlfn.XLOOKUP(tblMovimientos[[#This Row],[Cuenta Bancaria]],Listas!$B:$B,Listas!$A:$A,"")</f>
        <v>CFT1 Residence</v>
      </c>
      <c r="D961" s="41" t="s">
        <v>184</v>
      </c>
      <c r="E961" s="68" t="str">
        <f>_xlfn.XLOOKUP(tblMovimientos[[#This Row],[Cuenta Bancaria]],Listas!$B:$B,Listas!$C:$C,"")</f>
        <v xml:space="preserve">Amerant Bank </v>
      </c>
      <c r="F961" s="41" t="s">
        <v>10</v>
      </c>
      <c r="G961" s="41" t="s">
        <v>38</v>
      </c>
      <c r="H961" s="4" t="str">
        <f>IFERROR(_xlfn.XLOOKUP(G961,Listas!E:E,Listas!F:F,""),"")</f>
        <v>Operativo</v>
      </c>
      <c r="I961" s="46" t="str">
        <f>IFERROR(_xlfn.XLOOKUP(G961,Listas!E:E,Listas!G:G,""),"")</f>
        <v>Externo</v>
      </c>
      <c r="J961" s="43">
        <v>55.44</v>
      </c>
      <c r="K961" s="5">
        <f t="shared" si="14"/>
        <v>-55.44</v>
      </c>
      <c r="L961" s="15" t="s">
        <v>133</v>
      </c>
      <c r="M961" s="44">
        <f>SUMIFS('Saldos Iniciales'!$D:$D,'Saldos Iniciales'!$A:$A,C961,'Saldos Iniciales'!$B:$B,D961)+SUMIFS($K$1:$K$1324,$C$1:$C$1324,C961,$D$1:$D$1324,D961,$B$1:$B$1324,"&lt;="&amp;B961)</f>
        <v>18215.499999999996</v>
      </c>
      <c r="N961" s="61" t="str">
        <f>IF(tblMovimientos[[#This Row],[Tipo de Movimiento]]="Ingreso",tblMovimientos[[#This Row],[Monto (S/)]],"0")</f>
        <v>0</v>
      </c>
      <c r="O961" s="61">
        <f>IF(tblMovimientos[[#This Row],[Tipo de Movimiento]]="Egreso",tblMovimientos[[#This Row],[Monto (S/)]],"0")</f>
        <v>55.44</v>
      </c>
      <c r="P961" s="28">
        <f>IF(tblMovimientos[[#This Row],[Tipo de Movimiento]]="Ingreso",tblMovimientos[[#This Row],[Ingreso]],-tblMovimientos[[#This Row],[Egreso]])</f>
        <v>-55.44</v>
      </c>
      <c r="Q961" s="78" t="str">
        <f>_xlfn.XLOOKUP(tblMovimientos[[#This Row],[Cuenta Bancaria]],Cuentas!$C:$C,Cuentas!$A:$A,"")&amp;""</f>
        <v>Carmen Cross Irrevocable Trust</v>
      </c>
      <c r="R961" s="78" t="str">
        <f>_xlfn.XLOOKUP(tblMovimientos[[#This Row],[Cuenta Bancaria]],Cuentas!$C:$C,Cuentas!$B:$B,"",0,-1)&amp;""</f>
        <v/>
      </c>
    </row>
    <row r="962" spans="2:18" x14ac:dyDescent="0.3">
      <c r="B962" s="39">
        <v>46273</v>
      </c>
      <c r="C962" s="4" t="str">
        <f>_xlfn.XLOOKUP(tblMovimientos[[#This Row],[Cuenta Bancaria]],Listas!$B:$B,Listas!$A:$A,"")</f>
        <v>Nobe Aparments</v>
      </c>
      <c r="D962" s="41" t="s">
        <v>191</v>
      </c>
      <c r="E962" s="68" t="str">
        <f>_xlfn.XLOOKUP(tblMovimientos[[#This Row],[Cuenta Bancaria]],Listas!$B:$B,Listas!$C:$C,"")</f>
        <v>Bank of America</v>
      </c>
      <c r="F962" s="41" t="s">
        <v>10</v>
      </c>
      <c r="G962" s="41" t="s">
        <v>38</v>
      </c>
      <c r="H962" s="4" t="str">
        <f>IFERROR(_xlfn.XLOOKUP(G962,Listas!E:E,Listas!F:F,""),"")</f>
        <v>Operativo</v>
      </c>
      <c r="I962" s="46" t="str">
        <f>IFERROR(_xlfn.XLOOKUP(G962,Listas!E:E,Listas!G:G,""),"")</f>
        <v>Externo</v>
      </c>
      <c r="J962" s="43">
        <v>47.06</v>
      </c>
      <c r="K962" s="5">
        <f t="shared" ref="K962:K1025" si="15">IF(F962="Ingreso",J962,-J962)</f>
        <v>-47.06</v>
      </c>
      <c r="L962" s="15" t="s">
        <v>133</v>
      </c>
      <c r="M962" s="44">
        <f>SUMIFS('Saldos Iniciales'!$D:$D,'Saldos Iniciales'!$A:$A,C962,'Saldos Iniciales'!$B:$B,D962)+SUMIFS($K$1:$K$1324,$C$1:$C$1324,C962,$D$1:$D$1324,D962,$B$1:$B$1324,"&lt;="&amp;B962)</f>
        <v>210893.52</v>
      </c>
      <c r="N962" s="61" t="str">
        <f>IF(tblMovimientos[[#This Row],[Tipo de Movimiento]]="Ingreso",tblMovimientos[[#This Row],[Monto (S/)]],"0")</f>
        <v>0</v>
      </c>
      <c r="O962" s="61">
        <f>IF(tblMovimientos[[#This Row],[Tipo de Movimiento]]="Egreso",tblMovimientos[[#This Row],[Monto (S/)]],"0")</f>
        <v>47.06</v>
      </c>
      <c r="P962" s="28">
        <f>IF(tblMovimientos[[#This Row],[Tipo de Movimiento]]="Ingreso",tblMovimientos[[#This Row],[Ingreso]],-tblMovimientos[[#This Row],[Egreso]])</f>
        <v>-47.06</v>
      </c>
      <c r="Q962" s="78" t="str">
        <f>_xlfn.XLOOKUP(tblMovimientos[[#This Row],[Cuenta Bancaria]],Cuentas!$C:$C,Cuentas!$A:$A,"")&amp;""</f>
        <v>Estate</v>
      </c>
      <c r="R962" s="78" t="str">
        <f>_xlfn.XLOOKUP(tblMovimientos[[#This Row],[Cuenta Bancaria]],Cuentas!$C:$C,Cuentas!$B:$B,"",0,-1)&amp;""</f>
        <v/>
      </c>
    </row>
    <row r="963" spans="2:18" x14ac:dyDescent="0.3">
      <c r="B963" s="39">
        <v>46273</v>
      </c>
      <c r="C963" s="4" t="str">
        <f>_xlfn.XLOOKUP(tblMovimientos[[#This Row],[Cuenta Bancaria]],Listas!$B:$B,Listas!$A:$A,"")</f>
        <v>Electrama</v>
      </c>
      <c r="D963" s="41" t="s">
        <v>113</v>
      </c>
      <c r="E963" s="68" t="str">
        <f>_xlfn.XLOOKUP(tblMovimientos[[#This Row],[Cuenta Bancaria]],Listas!$B:$B,Listas!$C:$C,"")</f>
        <v>Chase Bank</v>
      </c>
      <c r="F963" s="41" t="s">
        <v>10</v>
      </c>
      <c r="G963" s="41" t="s">
        <v>40</v>
      </c>
      <c r="H963" s="4" t="str">
        <f>IFERROR(_xlfn.XLOOKUP(G963,Listas!E:E,Listas!F:F,""),"")</f>
        <v>Operativo</v>
      </c>
      <c r="I963" s="69" t="str">
        <f>IFERROR(_xlfn.XLOOKUP(G963,Listas!E:E,Listas!G:G,""),"")</f>
        <v>Externo</v>
      </c>
      <c r="J963" s="43">
        <v>1270.1300000000001</v>
      </c>
      <c r="K963" s="5">
        <f t="shared" si="15"/>
        <v>-1270.1300000000001</v>
      </c>
      <c r="L963" s="15" t="s">
        <v>133</v>
      </c>
      <c r="M963" s="44">
        <f>SUMIFS('Saldos Iniciales'!$D:$D,'Saldos Iniciales'!$A:$A,C963,'Saldos Iniciales'!$B:$B,D963)+SUMIFS($K$1:$K$1324,$C$1:$C$1324,C963,$D$1:$D$1324,D963,$B$1:$B$1324,"&lt;="&amp;B963)</f>
        <v>11744.75</v>
      </c>
      <c r="N963" s="61" t="str">
        <f>IF(tblMovimientos[[#This Row],[Tipo de Movimiento]]="Ingreso",tblMovimientos[[#This Row],[Monto (S/)]],"0")</f>
        <v>0</v>
      </c>
      <c r="O963" s="61">
        <f>IF(tblMovimientos[[#This Row],[Tipo de Movimiento]]="Egreso",tblMovimientos[[#This Row],[Monto (S/)]],"0")</f>
        <v>1270.1300000000001</v>
      </c>
      <c r="P963" s="28">
        <f>IF(tblMovimientos[[#This Row],[Tipo de Movimiento]]="Ingreso",tblMovimientos[[#This Row],[Ingreso]],-tblMovimientos[[#This Row],[Egreso]])</f>
        <v>-1270.1300000000001</v>
      </c>
      <c r="Q963" s="78" t="str">
        <f>_xlfn.XLOOKUP(tblMovimientos[[#This Row],[Cuenta Bancaria]],Cuentas!$C:$C,Cuentas!$A:$A,"")&amp;""</f>
        <v>SSP Group</v>
      </c>
      <c r="R963" s="78" t="str">
        <f>_xlfn.XLOOKUP(tblMovimientos[[#This Row],[Cuenta Bancaria]],Cuentas!$C:$C,Cuentas!$B:$B,"",0,-1)&amp;""</f>
        <v/>
      </c>
    </row>
    <row r="964" spans="2:18" x14ac:dyDescent="0.3">
      <c r="B964" s="39">
        <v>46274</v>
      </c>
      <c r="C964" s="4" t="str">
        <f>_xlfn.XLOOKUP(tblMovimientos[[#This Row],[Cuenta Bancaria]],Listas!$B:$B,Listas!$A:$A,"")</f>
        <v>CFT Group</v>
      </c>
      <c r="D964" s="41" t="s">
        <v>95</v>
      </c>
      <c r="E964" s="68" t="str">
        <f>_xlfn.XLOOKUP(tblMovimientos[[#This Row],[Cuenta Bancaria]],Listas!$B:$B,Listas!$C:$C,"")</f>
        <v xml:space="preserve">Amerant Bank </v>
      </c>
      <c r="F964" s="41" t="s">
        <v>10</v>
      </c>
      <c r="G964" s="41" t="s">
        <v>38</v>
      </c>
      <c r="H964" s="4" t="str">
        <f>IFERROR(_xlfn.XLOOKUP(G964,Listas!E:E,Listas!F:F,""),"")</f>
        <v>Operativo</v>
      </c>
      <c r="I964" s="46" t="str">
        <f>IFERROR(_xlfn.XLOOKUP(G964,Listas!E:E,Listas!G:G,""),"")</f>
        <v>Externo</v>
      </c>
      <c r="J964" s="43">
        <v>600</v>
      </c>
      <c r="K964" s="5">
        <f t="shared" si="15"/>
        <v>-600</v>
      </c>
      <c r="L964" s="15" t="s">
        <v>133</v>
      </c>
      <c r="M964" s="44">
        <f>SUMIFS('Saldos Iniciales'!$D:$D,'Saldos Iniciales'!$A:$A,C964,'Saldos Iniciales'!$B:$B,D964)+SUMIFS($K$1:$K$1324,$C$1:$C$1324,C964,$D$1:$D$1324,D964,$B$1:$B$1324,"&lt;="&amp;B964)</f>
        <v>1632747.0200000009</v>
      </c>
      <c r="N964" s="61" t="str">
        <f>IF(tblMovimientos[[#This Row],[Tipo de Movimiento]]="Ingreso",tblMovimientos[[#This Row],[Monto (S/)]],"0")</f>
        <v>0</v>
      </c>
      <c r="O964" s="61">
        <f>IF(tblMovimientos[[#This Row],[Tipo de Movimiento]]="Egreso",tblMovimientos[[#This Row],[Monto (S/)]],"0")</f>
        <v>600</v>
      </c>
      <c r="P964" s="28">
        <f>IF(tblMovimientos[[#This Row],[Tipo de Movimiento]]="Ingreso",tblMovimientos[[#This Row],[Ingreso]],-tblMovimientos[[#This Row],[Egreso]])</f>
        <v>-600</v>
      </c>
      <c r="Q964" s="78" t="str">
        <f>_xlfn.XLOOKUP(tblMovimientos[[#This Row],[Cuenta Bancaria]],Cuentas!$C:$C,Cuentas!$A:$A,"")&amp;""</f>
        <v>SSP Group</v>
      </c>
      <c r="R964" s="78" t="str">
        <f>_xlfn.XLOOKUP(tblMovimientos[[#This Row],[Cuenta Bancaria]],Cuentas!$C:$C,Cuentas!$B:$B,"",0,-1)&amp;""</f>
        <v/>
      </c>
    </row>
    <row r="965" spans="2:18" x14ac:dyDescent="0.3">
      <c r="B965" s="39">
        <v>46274</v>
      </c>
      <c r="C965" s="4" t="str">
        <f>_xlfn.XLOOKUP(tblMovimientos[[#This Row],[Cuenta Bancaria]],Listas!$B:$B,Listas!$A:$A,"")</f>
        <v>Cross Family Trust</v>
      </c>
      <c r="D965" s="41" t="s">
        <v>111</v>
      </c>
      <c r="E965" s="68" t="str">
        <f>_xlfn.XLOOKUP(tblMovimientos[[#This Row],[Cuenta Bancaria]],Listas!$B:$B,Listas!$C:$C,"")</f>
        <v xml:space="preserve">Amerant Bank </v>
      </c>
      <c r="F965" s="41" t="s">
        <v>10</v>
      </c>
      <c r="G965" s="41" t="s">
        <v>53</v>
      </c>
      <c r="H965" s="4" t="str">
        <f>IFERROR(_xlfn.XLOOKUP(G965,Listas!E:E,Listas!F:F,""),"")</f>
        <v>Inversion</v>
      </c>
      <c r="I965" s="46" t="str">
        <f>IFERROR(_xlfn.XLOOKUP(G965,Listas!E:E,Listas!G:G,""),"")</f>
        <v>Interno</v>
      </c>
      <c r="J965" s="43">
        <v>20000</v>
      </c>
      <c r="K965" s="5">
        <f t="shared" si="15"/>
        <v>-20000</v>
      </c>
      <c r="L965" s="15" t="s">
        <v>133</v>
      </c>
      <c r="M965" s="44">
        <f>SUMIFS('Saldos Iniciales'!$D:$D,'Saldos Iniciales'!$A:$A,C965,'Saldos Iniciales'!$B:$B,D965)+SUMIFS($K$1:$K$1324,$C$1:$C$1324,C965,$D$1:$D$1324,D965,$B$1:$B$1324,"&lt;="&amp;B965)</f>
        <v>132999.36000000002</v>
      </c>
      <c r="N965" s="61" t="str">
        <f>IF(tblMovimientos[[#This Row],[Tipo de Movimiento]]="Ingreso",tblMovimientos[[#This Row],[Monto (S/)]],"0")</f>
        <v>0</v>
      </c>
      <c r="O965" s="61">
        <f>IF(tblMovimientos[[#This Row],[Tipo de Movimiento]]="Egreso",tblMovimientos[[#This Row],[Monto (S/)]],"0")</f>
        <v>20000</v>
      </c>
      <c r="P965" s="28">
        <f>IF(tblMovimientos[[#This Row],[Tipo de Movimiento]]="Ingreso",tblMovimientos[[#This Row],[Ingreso]],-tblMovimientos[[#This Row],[Egreso]])</f>
        <v>-20000</v>
      </c>
      <c r="Q965" s="78" t="str">
        <f>_xlfn.XLOOKUP(tblMovimientos[[#This Row],[Cuenta Bancaria]],Cuentas!$C:$C,Cuentas!$A:$A,"")&amp;""</f>
        <v>SSP Group</v>
      </c>
      <c r="R965" s="78" t="str">
        <f>_xlfn.XLOOKUP(tblMovimientos[[#This Row],[Cuenta Bancaria]],Cuentas!$C:$C,Cuentas!$B:$B,"",0,-1)&amp;""</f>
        <v>Trust</v>
      </c>
    </row>
    <row r="966" spans="2:18" x14ac:dyDescent="0.3">
      <c r="B966" s="39">
        <v>46274</v>
      </c>
      <c r="C966" s="4" t="str">
        <f>_xlfn.XLOOKUP(tblMovimientos[[#This Row],[Cuenta Bancaria]],Listas!$B:$B,Listas!$A:$A,"")</f>
        <v>SSP Capital</v>
      </c>
      <c r="D966" s="41" t="s">
        <v>104</v>
      </c>
      <c r="E966" s="68" t="str">
        <f>_xlfn.XLOOKUP(tblMovimientos[[#This Row],[Cuenta Bancaria]],Listas!$B:$B,Listas!$C:$C,"")</f>
        <v xml:space="preserve">Amerant Bank </v>
      </c>
      <c r="F966" s="41" t="s">
        <v>10</v>
      </c>
      <c r="G966" s="41" t="s">
        <v>44</v>
      </c>
      <c r="H966" s="4" t="str">
        <f>IFERROR(_xlfn.XLOOKUP(G966,Listas!E:E,Listas!F:F,""),"")</f>
        <v>Operativo</v>
      </c>
      <c r="I966" s="46" t="str">
        <f>IFERROR(_xlfn.XLOOKUP(G966,Listas!E:E,Listas!G:G,""),"")</f>
        <v>Externo</v>
      </c>
      <c r="J966" s="43">
        <v>2446.1799999999998</v>
      </c>
      <c r="K966" s="5">
        <f t="shared" si="15"/>
        <v>-2446.1799999999998</v>
      </c>
      <c r="L966" s="15" t="s">
        <v>133</v>
      </c>
      <c r="M966" s="44">
        <f>SUMIFS('Saldos Iniciales'!$D:$D,'Saldos Iniciales'!$A:$A,C966,'Saldos Iniciales'!$B:$B,D966)+SUMIFS($K$1:$K$1324,$C$1:$C$1324,C966,$D$1:$D$1324,D966,$B$1:$B$1324,"&lt;="&amp;B966)</f>
        <v>635133.54999999935</v>
      </c>
      <c r="N966" s="61" t="str">
        <f>IF(tblMovimientos[[#This Row],[Tipo de Movimiento]]="Ingreso",tblMovimientos[[#This Row],[Monto (S/)]],"0")</f>
        <v>0</v>
      </c>
      <c r="O966" s="61">
        <f>IF(tblMovimientos[[#This Row],[Tipo de Movimiento]]="Egreso",tblMovimientos[[#This Row],[Monto (S/)]],"0")</f>
        <v>2446.1799999999998</v>
      </c>
      <c r="P966" s="28">
        <f>IF(tblMovimientos[[#This Row],[Tipo de Movimiento]]="Ingreso",tblMovimientos[[#This Row],[Ingreso]],-tblMovimientos[[#This Row],[Egreso]])</f>
        <v>-2446.1799999999998</v>
      </c>
      <c r="Q966" s="78" t="str">
        <f>_xlfn.XLOOKUP(tblMovimientos[[#This Row],[Cuenta Bancaria]],Cuentas!$C:$C,Cuentas!$A:$A,"")&amp;""</f>
        <v>SSP Group</v>
      </c>
      <c r="R966" s="78" t="str">
        <f>_xlfn.XLOOKUP(tblMovimientos[[#This Row],[Cuenta Bancaria]],Cuentas!$C:$C,Cuentas!$B:$B,"",0,-1)&amp;""</f>
        <v/>
      </c>
    </row>
    <row r="967" spans="2:18" x14ac:dyDescent="0.3">
      <c r="B967" s="39">
        <v>46274</v>
      </c>
      <c r="C967" s="4" t="str">
        <f>_xlfn.XLOOKUP(tblMovimientos[[#This Row],[Cuenta Bancaria]],Listas!$B:$B,Listas!$A:$A,"")</f>
        <v>Green Harbor Trust</v>
      </c>
      <c r="D967" s="41" t="s">
        <v>125</v>
      </c>
      <c r="E967" s="68" t="str">
        <f>_xlfn.XLOOKUP(tblMovimientos[[#This Row],[Cuenta Bancaria]],Listas!$B:$B,Listas!$C:$C,"")</f>
        <v xml:space="preserve">Amerant Bank </v>
      </c>
      <c r="F967" s="41" t="s">
        <v>9</v>
      </c>
      <c r="G967" s="41" t="s">
        <v>77</v>
      </c>
      <c r="H967" s="4" t="str">
        <f>IFERROR(_xlfn.XLOOKUP(G967,Listas!E:E,Listas!F:F,""),"")</f>
        <v>Inversion</v>
      </c>
      <c r="I967" s="46" t="str">
        <f>IFERROR(_xlfn.XLOOKUP(G967,Listas!E:E,Listas!G:G,""),"")</f>
        <v>Interno</v>
      </c>
      <c r="J967" s="43">
        <v>20000</v>
      </c>
      <c r="K967" s="5">
        <f t="shared" si="15"/>
        <v>20000</v>
      </c>
      <c r="L967" s="15" t="s">
        <v>133</v>
      </c>
      <c r="M967" s="44">
        <f>SUMIFS('Saldos Iniciales'!$D:$D,'Saldos Iniciales'!$A:$A,C967,'Saldos Iniciales'!$B:$B,D967)+SUMIFS($K$1:$K$1324,$C$1:$C$1324,C967,$D$1:$D$1324,D967,$B$1:$B$1324,"&lt;="&amp;B967)</f>
        <v>345</v>
      </c>
      <c r="N967" s="61">
        <f>IF(tblMovimientos[[#This Row],[Tipo de Movimiento]]="Ingreso",tblMovimientos[[#This Row],[Monto (S/)]],"0")</f>
        <v>20000</v>
      </c>
      <c r="O967" s="61" t="str">
        <f>IF(tblMovimientos[[#This Row],[Tipo de Movimiento]]="Egreso",tblMovimientos[[#This Row],[Monto (S/)]],"0")</f>
        <v>0</v>
      </c>
      <c r="P967" s="28">
        <f>IF(tblMovimientos[[#This Row],[Tipo de Movimiento]]="Ingreso",tblMovimientos[[#This Row],[Ingreso]],-tblMovimientos[[#This Row],[Egreso]])</f>
        <v>20000</v>
      </c>
      <c r="Q967" s="78" t="str">
        <f>_xlfn.XLOOKUP(tblMovimientos[[#This Row],[Cuenta Bancaria]],Cuentas!$C:$C,Cuentas!$A:$A,"")&amp;""</f>
        <v>SSP Group</v>
      </c>
      <c r="R967" s="78" t="str">
        <f>_xlfn.XLOOKUP(tblMovimientos[[#This Row],[Cuenta Bancaria]],Cuentas!$C:$C,Cuentas!$B:$B,"",0,-1)&amp;""</f>
        <v>Trust</v>
      </c>
    </row>
    <row r="968" spans="2:18" x14ac:dyDescent="0.3">
      <c r="B968" s="39">
        <v>46274</v>
      </c>
      <c r="C968" s="4" t="str">
        <f>_xlfn.XLOOKUP(tblMovimientos[[#This Row],[Cuenta Bancaria]],Listas!$B:$B,Listas!$A:$A,"")</f>
        <v>Green Harbor Trust</v>
      </c>
      <c r="D968" s="41" t="s">
        <v>125</v>
      </c>
      <c r="E968" s="68" t="str">
        <f>_xlfn.XLOOKUP(tblMovimientos[[#This Row],[Cuenta Bancaria]],Listas!$B:$B,Listas!$C:$C,"")</f>
        <v xml:space="preserve">Amerant Bank </v>
      </c>
      <c r="F968" s="41" t="s">
        <v>10</v>
      </c>
      <c r="G968" s="41" t="s">
        <v>53</v>
      </c>
      <c r="H968" s="4" t="str">
        <f>IFERROR(_xlfn.XLOOKUP(G968,Listas!E:E,Listas!F:F,""),"")</f>
        <v>Inversion</v>
      </c>
      <c r="I968" s="46" t="str">
        <f>IFERROR(_xlfn.XLOOKUP(G968,Listas!E:E,Listas!G:G,""),"")</f>
        <v>Interno</v>
      </c>
      <c r="J968" s="43">
        <v>20000</v>
      </c>
      <c r="K968" s="5">
        <f t="shared" si="15"/>
        <v>-20000</v>
      </c>
      <c r="L968" s="15" t="s">
        <v>133</v>
      </c>
      <c r="M968" s="44">
        <f>SUMIFS('Saldos Iniciales'!$D:$D,'Saldos Iniciales'!$A:$A,C968,'Saldos Iniciales'!$B:$B,D968)+SUMIFS($K$1:$K$1324,$C$1:$C$1324,C968,$D$1:$D$1324,D968,$B$1:$B$1324,"&lt;="&amp;B968)</f>
        <v>345</v>
      </c>
      <c r="N968" s="61" t="str">
        <f>IF(tblMovimientos[[#This Row],[Tipo de Movimiento]]="Ingreso",tblMovimientos[[#This Row],[Monto (S/)]],"0")</f>
        <v>0</v>
      </c>
      <c r="O968" s="61">
        <f>IF(tblMovimientos[[#This Row],[Tipo de Movimiento]]="Egreso",tblMovimientos[[#This Row],[Monto (S/)]],"0")</f>
        <v>20000</v>
      </c>
      <c r="P968" s="28">
        <f>IF(tblMovimientos[[#This Row],[Tipo de Movimiento]]="Ingreso",tblMovimientos[[#This Row],[Ingreso]],-tblMovimientos[[#This Row],[Egreso]])</f>
        <v>-20000</v>
      </c>
      <c r="Q968" s="78" t="str">
        <f>_xlfn.XLOOKUP(tblMovimientos[[#This Row],[Cuenta Bancaria]],Cuentas!$C:$C,Cuentas!$A:$A,"")&amp;""</f>
        <v>SSP Group</v>
      </c>
      <c r="R968" s="78" t="str">
        <f>_xlfn.XLOOKUP(tblMovimientos[[#This Row],[Cuenta Bancaria]],Cuentas!$C:$C,Cuentas!$B:$B,"",0,-1)&amp;""</f>
        <v>Trust</v>
      </c>
    </row>
    <row r="969" spans="2:18" x14ac:dyDescent="0.3">
      <c r="B969" s="39">
        <v>46274</v>
      </c>
      <c r="C969" s="4" t="str">
        <f>_xlfn.XLOOKUP(tblMovimientos[[#This Row],[Cuenta Bancaria]],Listas!$B:$B,Listas!$A:$A,"")</f>
        <v>Go Blue</v>
      </c>
      <c r="D969" s="41" t="s">
        <v>126</v>
      </c>
      <c r="E969" s="68" t="str">
        <f>_xlfn.XLOOKUP(tblMovimientos[[#This Row],[Cuenta Bancaria]],Listas!$B:$B,Listas!$C:$C,"")</f>
        <v xml:space="preserve">Amerant Bank </v>
      </c>
      <c r="F969" s="41" t="s">
        <v>9</v>
      </c>
      <c r="G969" s="41" t="s">
        <v>77</v>
      </c>
      <c r="H969" s="4" t="str">
        <f>IFERROR(_xlfn.XLOOKUP(G969,Listas!E:E,Listas!F:F,""),"")</f>
        <v>Inversion</v>
      </c>
      <c r="I969" s="46" t="str">
        <f>IFERROR(_xlfn.XLOOKUP(G969,Listas!E:E,Listas!G:G,""),"")</f>
        <v>Interno</v>
      </c>
      <c r="J969" s="43">
        <v>20000</v>
      </c>
      <c r="K969" s="5">
        <f t="shared" si="15"/>
        <v>20000</v>
      </c>
      <c r="L969" s="15" t="s">
        <v>133</v>
      </c>
      <c r="M969" s="44">
        <f>SUMIFS('Saldos Iniciales'!$D:$D,'Saldos Iniciales'!$A:$A,C969,'Saldos Iniciales'!$B:$B,D969)+SUMIFS($K$1:$K$1324,$C$1:$C$1324,C969,$D$1:$D$1324,D969,$B$1:$B$1324,"&lt;="&amp;B969)</f>
        <v>23749.22</v>
      </c>
      <c r="N969" s="61">
        <f>IF(tblMovimientos[[#This Row],[Tipo de Movimiento]]="Ingreso",tblMovimientos[[#This Row],[Monto (S/)]],"0")</f>
        <v>20000</v>
      </c>
      <c r="O969" s="61" t="str">
        <f>IF(tblMovimientos[[#This Row],[Tipo de Movimiento]]="Egreso",tblMovimientos[[#This Row],[Monto (S/)]],"0")</f>
        <v>0</v>
      </c>
      <c r="P969" s="28">
        <f>IF(tblMovimientos[[#This Row],[Tipo de Movimiento]]="Ingreso",tblMovimientos[[#This Row],[Ingreso]],-tblMovimientos[[#This Row],[Egreso]])</f>
        <v>20000</v>
      </c>
      <c r="Q969" s="78" t="str">
        <f>_xlfn.XLOOKUP(tblMovimientos[[#This Row],[Cuenta Bancaria]],Cuentas!$C:$C,Cuentas!$A:$A,"")&amp;""</f>
        <v>SSP Group</v>
      </c>
      <c r="R969" s="78" t="str">
        <f>_xlfn.XLOOKUP(tblMovimientos[[#This Row],[Cuenta Bancaria]],Cuentas!$C:$C,Cuentas!$B:$B,"",0,-1)&amp;""</f>
        <v/>
      </c>
    </row>
    <row r="970" spans="2:18" x14ac:dyDescent="0.3">
      <c r="B970" s="39">
        <v>46274</v>
      </c>
      <c r="C970" s="4" t="str">
        <f>_xlfn.XLOOKUP(tblMovimientos[[#This Row],[Cuenta Bancaria]],Listas!$B:$B,Listas!$A:$A,"")</f>
        <v>Go Blue</v>
      </c>
      <c r="D970" s="41" t="s">
        <v>126</v>
      </c>
      <c r="E970" s="68" t="str">
        <f>_xlfn.XLOOKUP(tblMovimientos[[#This Row],[Cuenta Bancaria]],Listas!$B:$B,Listas!$C:$C,"")</f>
        <v xml:space="preserve">Amerant Bank </v>
      </c>
      <c r="F970" s="41" t="s">
        <v>10</v>
      </c>
      <c r="G970" s="41" t="s">
        <v>38</v>
      </c>
      <c r="H970" s="4" t="str">
        <f>IFERROR(_xlfn.XLOOKUP(G970,Listas!E:E,Listas!F:F,""),"")</f>
        <v>Operativo</v>
      </c>
      <c r="I970" s="46" t="str">
        <f>IFERROR(_xlfn.XLOOKUP(G970,Listas!E:E,Listas!G:G,""),"")</f>
        <v>Externo</v>
      </c>
      <c r="J970" s="43">
        <v>48.55</v>
      </c>
      <c r="K970" s="5">
        <f t="shared" si="15"/>
        <v>-48.55</v>
      </c>
      <c r="L970" s="15" t="s">
        <v>133</v>
      </c>
      <c r="M970" s="44">
        <f>SUMIFS('Saldos Iniciales'!$D:$D,'Saldos Iniciales'!$A:$A,C970,'Saldos Iniciales'!$B:$B,D970)+SUMIFS($K$1:$K$1324,$C$1:$C$1324,C970,$D$1:$D$1324,D970,$B$1:$B$1324,"&lt;="&amp;B970)</f>
        <v>23749.22</v>
      </c>
      <c r="N970" s="61" t="str">
        <f>IF(tblMovimientos[[#This Row],[Tipo de Movimiento]]="Ingreso",tblMovimientos[[#This Row],[Monto (S/)]],"0")</f>
        <v>0</v>
      </c>
      <c r="O970" s="61">
        <f>IF(tblMovimientos[[#This Row],[Tipo de Movimiento]]="Egreso",tblMovimientos[[#This Row],[Monto (S/)]],"0")</f>
        <v>48.55</v>
      </c>
      <c r="P970" s="28">
        <f>IF(tblMovimientos[[#This Row],[Tipo de Movimiento]]="Ingreso",tblMovimientos[[#This Row],[Ingreso]],-tblMovimientos[[#This Row],[Egreso]])</f>
        <v>-48.55</v>
      </c>
      <c r="Q970" s="78" t="str">
        <f>_xlfn.XLOOKUP(tblMovimientos[[#This Row],[Cuenta Bancaria]],Cuentas!$C:$C,Cuentas!$A:$A,"")&amp;""</f>
        <v>SSP Group</v>
      </c>
      <c r="R970" s="78" t="str">
        <f>_xlfn.XLOOKUP(tblMovimientos[[#This Row],[Cuenta Bancaria]],Cuentas!$C:$C,Cuentas!$B:$B,"",0,-1)&amp;""</f>
        <v/>
      </c>
    </row>
    <row r="971" spans="2:18" x14ac:dyDescent="0.3">
      <c r="B971" s="39">
        <v>46274</v>
      </c>
      <c r="C971" s="4" t="str">
        <f>_xlfn.XLOOKUP(tblMovimientos[[#This Row],[Cuenta Bancaria]],Listas!$B:$B,Listas!$A:$A,"")</f>
        <v>Pacha Ventures LLC</v>
      </c>
      <c r="D971" s="41" t="s">
        <v>187</v>
      </c>
      <c r="E971" s="68" t="str">
        <f>_xlfn.XLOOKUP(tblMovimientos[[#This Row],[Cuenta Bancaria]],Listas!$B:$B,Listas!$C:$C,"")</f>
        <v xml:space="preserve">Amerant Bank </v>
      </c>
      <c r="F971" s="41" t="s">
        <v>10</v>
      </c>
      <c r="G971" s="41" t="s">
        <v>38</v>
      </c>
      <c r="H971" s="4" t="str">
        <f>IFERROR(_xlfn.XLOOKUP(G971,Listas!E:E,Listas!F:F,""),"")</f>
        <v>Operativo</v>
      </c>
      <c r="I971" s="46" t="str">
        <f>IFERROR(_xlfn.XLOOKUP(G971,Listas!E:E,Listas!G:G,""),"")</f>
        <v>Externo</v>
      </c>
      <c r="J971" s="43">
        <v>50.99</v>
      </c>
      <c r="K971" s="5">
        <f t="shared" si="15"/>
        <v>-50.99</v>
      </c>
      <c r="L971" s="15" t="s">
        <v>133</v>
      </c>
      <c r="M971" s="44">
        <f>SUMIFS('Saldos Iniciales'!$D:$D,'Saldos Iniciales'!$A:$A,C971,'Saldos Iniciales'!$B:$B,D971)+SUMIFS($K$1:$K$1324,$C$1:$C$1324,C971,$D$1:$D$1324,D971,$B$1:$B$1324,"&lt;="&amp;B971)</f>
        <v>298792.34000000003</v>
      </c>
      <c r="N971" s="61" t="str">
        <f>IF(tblMovimientos[[#This Row],[Tipo de Movimiento]]="Ingreso",tblMovimientos[[#This Row],[Monto (S/)]],"0")</f>
        <v>0</v>
      </c>
      <c r="O971" s="61">
        <f>IF(tblMovimientos[[#This Row],[Tipo de Movimiento]]="Egreso",tblMovimientos[[#This Row],[Monto (S/)]],"0")</f>
        <v>50.99</v>
      </c>
      <c r="P971" s="28">
        <f>IF(tblMovimientos[[#This Row],[Tipo de Movimiento]]="Ingreso",tblMovimientos[[#This Row],[Ingreso]],-tblMovimientos[[#This Row],[Egreso]])</f>
        <v>-50.99</v>
      </c>
      <c r="Q971" s="78" t="str">
        <f>_xlfn.XLOOKUP(tblMovimientos[[#This Row],[Cuenta Bancaria]],Cuentas!$C:$C,Cuentas!$A:$A,"")&amp;""</f>
        <v>Michael Cross</v>
      </c>
      <c r="R971" s="78" t="str">
        <f>_xlfn.XLOOKUP(tblMovimientos[[#This Row],[Cuenta Bancaria]],Cuentas!$C:$C,Cuentas!$B:$B,"",0,-1)&amp;""</f>
        <v/>
      </c>
    </row>
    <row r="972" spans="2:18" x14ac:dyDescent="0.3">
      <c r="B972" s="39">
        <v>46274</v>
      </c>
      <c r="C972" s="4" t="str">
        <f>_xlfn.XLOOKUP(tblMovimientos[[#This Row],[Cuenta Bancaria]],Listas!$B:$B,Listas!$A:$A,"")</f>
        <v>CFT1 Residence</v>
      </c>
      <c r="D972" s="41" t="s">
        <v>184</v>
      </c>
      <c r="E972" s="68" t="str">
        <f>_xlfn.XLOOKUP(tblMovimientos[[#This Row],[Cuenta Bancaria]],Listas!$B:$B,Listas!$C:$C,"")</f>
        <v xml:space="preserve">Amerant Bank </v>
      </c>
      <c r="F972" s="41" t="s">
        <v>10</v>
      </c>
      <c r="G972" s="41" t="s">
        <v>38</v>
      </c>
      <c r="H972" s="4" t="str">
        <f>IFERROR(_xlfn.XLOOKUP(G972,Listas!E:E,Listas!F:F,""),"")</f>
        <v>Operativo</v>
      </c>
      <c r="I972" s="46" t="str">
        <f>IFERROR(_xlfn.XLOOKUP(G972,Listas!E:E,Listas!G:G,""),"")</f>
        <v>Externo</v>
      </c>
      <c r="J972" s="43">
        <v>39.14</v>
      </c>
      <c r="K972" s="5">
        <f t="shared" si="15"/>
        <v>-39.14</v>
      </c>
      <c r="L972" s="15" t="s">
        <v>133</v>
      </c>
      <c r="M972" s="44">
        <f>SUMIFS('Saldos Iniciales'!$D:$D,'Saldos Iniciales'!$A:$A,C972,'Saldos Iniciales'!$B:$B,D972)+SUMIFS($K$1:$K$1324,$C$1:$C$1324,C972,$D$1:$D$1324,D972,$B$1:$B$1324,"&lt;="&amp;B972)</f>
        <v>17302.359999999997</v>
      </c>
      <c r="N972" s="61" t="str">
        <f>IF(tblMovimientos[[#This Row],[Tipo de Movimiento]]="Ingreso",tblMovimientos[[#This Row],[Monto (S/)]],"0")</f>
        <v>0</v>
      </c>
      <c r="O972" s="61">
        <f>IF(tblMovimientos[[#This Row],[Tipo de Movimiento]]="Egreso",tblMovimientos[[#This Row],[Monto (S/)]],"0")</f>
        <v>39.14</v>
      </c>
      <c r="P972" s="28">
        <f>IF(tblMovimientos[[#This Row],[Tipo de Movimiento]]="Ingreso",tblMovimientos[[#This Row],[Ingreso]],-tblMovimientos[[#This Row],[Egreso]])</f>
        <v>-39.14</v>
      </c>
      <c r="Q972" s="78" t="str">
        <f>_xlfn.XLOOKUP(tblMovimientos[[#This Row],[Cuenta Bancaria]],Cuentas!$C:$C,Cuentas!$A:$A,"")&amp;""</f>
        <v>Carmen Cross Irrevocable Trust</v>
      </c>
      <c r="R972" s="78" t="str">
        <f>_xlfn.XLOOKUP(tblMovimientos[[#This Row],[Cuenta Bancaria]],Cuentas!$C:$C,Cuentas!$B:$B,"",0,-1)&amp;""</f>
        <v/>
      </c>
    </row>
    <row r="973" spans="2:18" x14ac:dyDescent="0.3">
      <c r="B973" s="39">
        <v>46274</v>
      </c>
      <c r="C973" s="4" t="str">
        <f>_xlfn.XLOOKUP(tblMovimientos[[#This Row],[Cuenta Bancaria]],Listas!$B:$B,Listas!$A:$A,"")</f>
        <v>CFT1 Residence</v>
      </c>
      <c r="D973" s="41" t="s">
        <v>184</v>
      </c>
      <c r="E973" s="68" t="str">
        <f>_xlfn.XLOOKUP(tblMovimientos[[#This Row],[Cuenta Bancaria]],Listas!$B:$B,Listas!$C:$C,"")</f>
        <v xml:space="preserve">Amerant Bank </v>
      </c>
      <c r="F973" s="41" t="s">
        <v>10</v>
      </c>
      <c r="G973" s="41" t="s">
        <v>38</v>
      </c>
      <c r="H973" s="4" t="str">
        <f>IFERROR(_xlfn.XLOOKUP(G973,Listas!E:E,Listas!F:F,""),"")</f>
        <v>Operativo</v>
      </c>
      <c r="I973" s="46" t="str">
        <f>IFERROR(_xlfn.XLOOKUP(G973,Listas!E:E,Listas!G:G,""),"")</f>
        <v>Externo</v>
      </c>
      <c r="J973" s="43">
        <v>874</v>
      </c>
      <c r="K973" s="5">
        <f t="shared" si="15"/>
        <v>-874</v>
      </c>
      <c r="L973" s="15" t="s">
        <v>133</v>
      </c>
      <c r="M973" s="44">
        <f>SUMIFS('Saldos Iniciales'!$D:$D,'Saldos Iniciales'!$A:$A,C973,'Saldos Iniciales'!$B:$B,D973)+SUMIFS($K$1:$K$1324,$C$1:$C$1324,C973,$D$1:$D$1324,D973,$B$1:$B$1324,"&lt;="&amp;B973)</f>
        <v>17302.359999999997</v>
      </c>
      <c r="N973" s="61" t="str">
        <f>IF(tblMovimientos[[#This Row],[Tipo de Movimiento]]="Ingreso",tblMovimientos[[#This Row],[Monto (S/)]],"0")</f>
        <v>0</v>
      </c>
      <c r="O973" s="61">
        <f>IF(tblMovimientos[[#This Row],[Tipo de Movimiento]]="Egreso",tblMovimientos[[#This Row],[Monto (S/)]],"0")</f>
        <v>874</v>
      </c>
      <c r="P973" s="28">
        <f>IF(tblMovimientos[[#This Row],[Tipo de Movimiento]]="Ingreso",tblMovimientos[[#This Row],[Ingreso]],-tblMovimientos[[#This Row],[Egreso]])</f>
        <v>-874</v>
      </c>
      <c r="Q973" s="78" t="str">
        <f>_xlfn.XLOOKUP(tblMovimientos[[#This Row],[Cuenta Bancaria]],Cuentas!$C:$C,Cuentas!$A:$A,"")&amp;""</f>
        <v>Carmen Cross Irrevocable Trust</v>
      </c>
      <c r="R973" s="78" t="str">
        <f>_xlfn.XLOOKUP(tblMovimientos[[#This Row],[Cuenta Bancaria]],Cuentas!$C:$C,Cuentas!$B:$B,"",0,-1)&amp;""</f>
        <v/>
      </c>
    </row>
    <row r="974" spans="2:18" x14ac:dyDescent="0.3">
      <c r="B974" s="39">
        <v>46275</v>
      </c>
      <c r="C974" s="4" t="str">
        <f>_xlfn.XLOOKUP(tblMovimientos[[#This Row],[Cuenta Bancaria]],Listas!$B:$B,Listas!$A:$A,"")</f>
        <v>A&amp;M Imports</v>
      </c>
      <c r="D974" s="41" t="s">
        <v>100</v>
      </c>
      <c r="E974" s="68" t="str">
        <f>_xlfn.XLOOKUP(tblMovimientos[[#This Row],[Cuenta Bancaria]],Listas!$B:$B,Listas!$C:$C,"")</f>
        <v>Bank of America</v>
      </c>
      <c r="F974" s="41" t="s">
        <v>10</v>
      </c>
      <c r="G974" s="41" t="s">
        <v>61</v>
      </c>
      <c r="H974" s="4" t="str">
        <f>IFERROR(_xlfn.XLOOKUP(G974,Listas!E:E,Listas!F:F,""),"")</f>
        <v>Operativo</v>
      </c>
      <c r="I974" s="46" t="str">
        <f>IFERROR(_xlfn.XLOOKUP(G974,Listas!E:E,Listas!G:G,""),"")</f>
        <v>Externo</v>
      </c>
      <c r="J974" s="43">
        <v>60000</v>
      </c>
      <c r="K974" s="5">
        <f t="shared" si="15"/>
        <v>-60000</v>
      </c>
      <c r="L974" s="15" t="s">
        <v>133</v>
      </c>
      <c r="M974" s="44">
        <f>SUMIFS('Saldos Iniciales'!$D:$D,'Saldos Iniciales'!$A:$A,C974,'Saldos Iniciales'!$B:$B,D974)+SUMIFS($K$1:$K$1324,$C$1:$C$1324,C974,$D$1:$D$1324,D974,$B$1:$B$1324,"&lt;="&amp;B974)</f>
        <v>1089169.99</v>
      </c>
      <c r="N974" s="61" t="str">
        <f>IF(tblMovimientos[[#This Row],[Tipo de Movimiento]]="Ingreso",tblMovimientos[[#This Row],[Monto (S/)]],"0")</f>
        <v>0</v>
      </c>
      <c r="O974" s="61">
        <f>IF(tblMovimientos[[#This Row],[Tipo de Movimiento]]="Egreso",tblMovimientos[[#This Row],[Monto (S/)]],"0")</f>
        <v>60000</v>
      </c>
      <c r="P974" s="28">
        <f>IF(tblMovimientos[[#This Row],[Tipo de Movimiento]]="Ingreso",tblMovimientos[[#This Row],[Ingreso]],-tblMovimientos[[#This Row],[Egreso]])</f>
        <v>-60000</v>
      </c>
      <c r="Q974" s="78" t="str">
        <f>_xlfn.XLOOKUP(tblMovimientos[[#This Row],[Cuenta Bancaria]],Cuentas!$C:$C,Cuentas!$A:$A,"")&amp;""</f>
        <v>SSP Group</v>
      </c>
      <c r="R974" s="78" t="str">
        <f>_xlfn.XLOOKUP(tblMovimientos[[#This Row],[Cuenta Bancaria]],Cuentas!$C:$C,Cuentas!$B:$B,"",0,-1)&amp;""</f>
        <v/>
      </c>
    </row>
    <row r="975" spans="2:18" x14ac:dyDescent="0.3">
      <c r="B975" s="39">
        <v>46275</v>
      </c>
      <c r="C975" s="4" t="str">
        <f>_xlfn.XLOOKUP(tblMovimientos[[#This Row],[Cuenta Bancaria]],Listas!$B:$B,Listas!$A:$A,"")</f>
        <v>A&amp;M Imports</v>
      </c>
      <c r="D975" s="41" t="s">
        <v>100</v>
      </c>
      <c r="E975" s="68" t="str">
        <f>_xlfn.XLOOKUP(tblMovimientos[[#This Row],[Cuenta Bancaria]],Listas!$B:$B,Listas!$C:$C,"")</f>
        <v>Bank of America</v>
      </c>
      <c r="F975" s="41" t="s">
        <v>10</v>
      </c>
      <c r="G975" s="41" t="s">
        <v>61</v>
      </c>
      <c r="H975" s="4" t="str">
        <f>IFERROR(_xlfn.XLOOKUP(G975,Listas!E:E,Listas!F:F,""),"")</f>
        <v>Operativo</v>
      </c>
      <c r="I975" s="46" t="str">
        <f>IFERROR(_xlfn.XLOOKUP(G975,Listas!E:E,Listas!G:G,""),"")</f>
        <v>Externo</v>
      </c>
      <c r="J975" s="43">
        <v>70000</v>
      </c>
      <c r="K975" s="5">
        <f t="shared" si="15"/>
        <v>-70000</v>
      </c>
      <c r="L975" s="15" t="s">
        <v>133</v>
      </c>
      <c r="M975" s="44">
        <f>SUMIFS('Saldos Iniciales'!$D:$D,'Saldos Iniciales'!$A:$A,C975,'Saldos Iniciales'!$B:$B,D975)+SUMIFS($K$1:$K$1324,$C$1:$C$1324,C975,$D$1:$D$1324,D975,$B$1:$B$1324,"&lt;="&amp;B975)</f>
        <v>1089169.99</v>
      </c>
      <c r="N975" s="61" t="str">
        <f>IF(tblMovimientos[[#This Row],[Tipo de Movimiento]]="Ingreso",tblMovimientos[[#This Row],[Monto (S/)]],"0")</f>
        <v>0</v>
      </c>
      <c r="O975" s="61">
        <f>IF(tblMovimientos[[#This Row],[Tipo de Movimiento]]="Egreso",tblMovimientos[[#This Row],[Monto (S/)]],"0")</f>
        <v>70000</v>
      </c>
      <c r="P975" s="28">
        <f>IF(tblMovimientos[[#This Row],[Tipo de Movimiento]]="Ingreso",tblMovimientos[[#This Row],[Ingreso]],-tblMovimientos[[#This Row],[Egreso]])</f>
        <v>-70000</v>
      </c>
      <c r="Q975" s="78" t="str">
        <f>_xlfn.XLOOKUP(tblMovimientos[[#This Row],[Cuenta Bancaria]],Cuentas!$C:$C,Cuentas!$A:$A,"")&amp;""</f>
        <v>SSP Group</v>
      </c>
      <c r="R975" s="78" t="str">
        <f>_xlfn.XLOOKUP(tblMovimientos[[#This Row],[Cuenta Bancaria]],Cuentas!$C:$C,Cuentas!$B:$B,"",0,-1)&amp;""</f>
        <v/>
      </c>
    </row>
    <row r="976" spans="2:18" x14ac:dyDescent="0.3">
      <c r="B976" s="39">
        <v>46275</v>
      </c>
      <c r="C976" s="4" t="str">
        <f>_xlfn.XLOOKUP(tblMovimientos[[#This Row],[Cuenta Bancaria]],Listas!$B:$B,Listas!$A:$A,"")</f>
        <v>A&amp;M Imports</v>
      </c>
      <c r="D976" s="41" t="s">
        <v>100</v>
      </c>
      <c r="E976" s="68" t="str">
        <f>_xlfn.XLOOKUP(tblMovimientos[[#This Row],[Cuenta Bancaria]],Listas!$B:$B,Listas!$C:$C,"")</f>
        <v>Bank of America</v>
      </c>
      <c r="F976" s="41" t="s">
        <v>10</v>
      </c>
      <c r="G976" s="41" t="s">
        <v>61</v>
      </c>
      <c r="H976" s="4" t="str">
        <f>IFERROR(_xlfn.XLOOKUP(G976,Listas!E:E,Listas!F:F,""),"")</f>
        <v>Operativo</v>
      </c>
      <c r="I976" s="46" t="str">
        <f>IFERROR(_xlfn.XLOOKUP(G976,Listas!E:E,Listas!G:G,""),"")</f>
        <v>Externo</v>
      </c>
      <c r="J976" s="43">
        <v>37500</v>
      </c>
      <c r="K976" s="5">
        <f t="shared" si="15"/>
        <v>-37500</v>
      </c>
      <c r="L976" s="15" t="s">
        <v>133</v>
      </c>
      <c r="M976" s="44">
        <f>SUMIFS('Saldos Iniciales'!$D:$D,'Saldos Iniciales'!$A:$A,C976,'Saldos Iniciales'!$B:$B,D976)+SUMIFS($K$1:$K$1324,$C$1:$C$1324,C976,$D$1:$D$1324,D976,$B$1:$B$1324,"&lt;="&amp;B976)</f>
        <v>1089169.99</v>
      </c>
      <c r="N976" s="61" t="str">
        <f>IF(tblMovimientos[[#This Row],[Tipo de Movimiento]]="Ingreso",tblMovimientos[[#This Row],[Monto (S/)]],"0")</f>
        <v>0</v>
      </c>
      <c r="O976" s="61">
        <f>IF(tblMovimientos[[#This Row],[Tipo de Movimiento]]="Egreso",tblMovimientos[[#This Row],[Monto (S/)]],"0")</f>
        <v>37500</v>
      </c>
      <c r="P976" s="28">
        <f>IF(tblMovimientos[[#This Row],[Tipo de Movimiento]]="Ingreso",tblMovimientos[[#This Row],[Ingreso]],-tblMovimientos[[#This Row],[Egreso]])</f>
        <v>-37500</v>
      </c>
      <c r="Q976" s="78" t="str">
        <f>_xlfn.XLOOKUP(tblMovimientos[[#This Row],[Cuenta Bancaria]],Cuentas!$C:$C,Cuentas!$A:$A,"")&amp;""</f>
        <v>SSP Group</v>
      </c>
      <c r="R976" s="78" t="str">
        <f>_xlfn.XLOOKUP(tblMovimientos[[#This Row],[Cuenta Bancaria]],Cuentas!$C:$C,Cuentas!$B:$B,"",0,-1)&amp;""</f>
        <v/>
      </c>
    </row>
    <row r="977" spans="1:18" x14ac:dyDescent="0.3">
      <c r="B977" s="39">
        <v>46275</v>
      </c>
      <c r="C977" s="4" t="str">
        <f>_xlfn.XLOOKUP(tblMovimientos[[#This Row],[Cuenta Bancaria]],Listas!$B:$B,Listas!$A:$A,"")</f>
        <v>Go Blue</v>
      </c>
      <c r="D977" s="41" t="s">
        <v>165</v>
      </c>
      <c r="E977" s="68" t="str">
        <f>_xlfn.XLOOKUP(tblMovimientos[[#This Row],[Cuenta Bancaria]],Listas!$B:$B,Listas!$C:$C,"")</f>
        <v xml:space="preserve">Amerant Bank </v>
      </c>
      <c r="F977" s="41" t="s">
        <v>9</v>
      </c>
      <c r="G977" s="41" t="s">
        <v>85</v>
      </c>
      <c r="H977" s="4" t="str">
        <f>IFERROR(_xlfn.XLOOKUP(G977,Listas!E:E,Listas!F:F,""),"")</f>
        <v>Operativo</v>
      </c>
      <c r="I977" s="46" t="str">
        <f>IFERROR(_xlfn.XLOOKUP(G977,Listas!E:E,Listas!G:G,""),"")</f>
        <v>Interno</v>
      </c>
      <c r="J977" s="43">
        <v>5000</v>
      </c>
      <c r="K977" s="5">
        <f t="shared" si="15"/>
        <v>5000</v>
      </c>
      <c r="L977" s="15" t="s">
        <v>133</v>
      </c>
      <c r="M977" s="44">
        <f>SUMIFS('Saldos Iniciales'!$D:$D,'Saldos Iniciales'!$A:$A,C977,'Saldos Iniciales'!$B:$B,D977)+SUMIFS($K$1:$K$1324,$C$1:$C$1324,C977,$D$1:$D$1324,D977,$B$1:$B$1324,"&lt;="&amp;B977)</f>
        <v>6994.8200000000024</v>
      </c>
      <c r="N977" s="61">
        <f>IF(tblMovimientos[[#This Row],[Tipo de Movimiento]]="Ingreso",tblMovimientos[[#This Row],[Monto (S/)]],"0")</f>
        <v>5000</v>
      </c>
      <c r="O977" s="61" t="str">
        <f>IF(tblMovimientos[[#This Row],[Tipo de Movimiento]]="Egreso",tblMovimientos[[#This Row],[Monto (S/)]],"0")</f>
        <v>0</v>
      </c>
      <c r="P977" s="28">
        <f>IF(tblMovimientos[[#This Row],[Tipo de Movimiento]]="Ingreso",tblMovimientos[[#This Row],[Ingreso]],-tblMovimientos[[#This Row],[Egreso]])</f>
        <v>5000</v>
      </c>
      <c r="Q977" s="78" t="str">
        <f>_xlfn.XLOOKUP(tblMovimientos[[#This Row],[Cuenta Bancaria]],Cuentas!$C:$C,Cuentas!$A:$A,"")&amp;""</f>
        <v>SSP Group</v>
      </c>
      <c r="R977" s="78" t="str">
        <f>_xlfn.XLOOKUP(tblMovimientos[[#This Row],[Cuenta Bancaria]],Cuentas!$C:$C,Cuentas!$B:$B,"",0,-1)&amp;""</f>
        <v/>
      </c>
    </row>
    <row r="978" spans="1:18" x14ac:dyDescent="0.3">
      <c r="B978" s="39">
        <v>46275</v>
      </c>
      <c r="C978" s="4" t="str">
        <f>_xlfn.XLOOKUP(tblMovimientos[[#This Row],[Cuenta Bancaria]],Listas!$B:$B,Listas!$A:$A,"")</f>
        <v>Go Blue</v>
      </c>
      <c r="D978" s="41" t="s">
        <v>165</v>
      </c>
      <c r="E978" s="68" t="str">
        <f>_xlfn.XLOOKUP(tblMovimientos[[#This Row],[Cuenta Bancaria]],Listas!$B:$B,Listas!$C:$C,"")</f>
        <v xml:space="preserve">Amerant Bank </v>
      </c>
      <c r="F978" s="41" t="s">
        <v>10</v>
      </c>
      <c r="G978" s="41" t="s">
        <v>38</v>
      </c>
      <c r="H978" s="4" t="str">
        <f>IFERROR(_xlfn.XLOOKUP(G978,Listas!E:E,Listas!F:F,""),"")</f>
        <v>Operativo</v>
      </c>
      <c r="I978" s="46" t="str">
        <f>IFERROR(_xlfn.XLOOKUP(G978,Listas!E:E,Listas!G:G,""),"")</f>
        <v>Externo</v>
      </c>
      <c r="J978" s="43">
        <v>68.53</v>
      </c>
      <c r="K978" s="5">
        <f t="shared" si="15"/>
        <v>-68.53</v>
      </c>
      <c r="L978" s="15" t="s">
        <v>133</v>
      </c>
      <c r="M978" s="44">
        <f>SUMIFS('Saldos Iniciales'!$D:$D,'Saldos Iniciales'!$A:$A,C978,'Saldos Iniciales'!$B:$B,D978)+SUMIFS($K$1:$K$1324,$C$1:$C$1324,C978,$D$1:$D$1324,D978,$B$1:$B$1324,"&lt;="&amp;B978)</f>
        <v>6994.8200000000024</v>
      </c>
      <c r="N978" s="61" t="str">
        <f>IF(tblMovimientos[[#This Row],[Tipo de Movimiento]]="Ingreso",tblMovimientos[[#This Row],[Monto (S/)]],"0")</f>
        <v>0</v>
      </c>
      <c r="O978" s="61">
        <f>IF(tblMovimientos[[#This Row],[Tipo de Movimiento]]="Egreso",tblMovimientos[[#This Row],[Monto (S/)]],"0")</f>
        <v>68.53</v>
      </c>
      <c r="P978" s="28">
        <f>IF(tblMovimientos[[#This Row],[Tipo de Movimiento]]="Ingreso",tblMovimientos[[#This Row],[Ingreso]],-tblMovimientos[[#This Row],[Egreso]])</f>
        <v>-68.53</v>
      </c>
      <c r="Q978" s="78" t="str">
        <f>_xlfn.XLOOKUP(tblMovimientos[[#This Row],[Cuenta Bancaria]],Cuentas!$C:$C,Cuentas!$A:$A,"")&amp;""</f>
        <v>SSP Group</v>
      </c>
      <c r="R978" s="78" t="str">
        <f>_xlfn.XLOOKUP(tblMovimientos[[#This Row],[Cuenta Bancaria]],Cuentas!$C:$C,Cuentas!$B:$B,"",0,-1)&amp;""</f>
        <v/>
      </c>
    </row>
    <row r="979" spans="1:18" x14ac:dyDescent="0.3">
      <c r="B979" s="39">
        <v>46275</v>
      </c>
      <c r="C979" s="4" t="str">
        <f>_xlfn.XLOOKUP(tblMovimientos[[#This Row],[Cuenta Bancaria]],Listas!$B:$B,Listas!$A:$A,"")</f>
        <v>CFT Group</v>
      </c>
      <c r="D979" s="41" t="s">
        <v>95</v>
      </c>
      <c r="E979" s="68" t="str">
        <f>_xlfn.XLOOKUP(tblMovimientos[[#This Row],[Cuenta Bancaria]],Listas!$B:$B,Listas!$C:$C,"")</f>
        <v xml:space="preserve">Amerant Bank </v>
      </c>
      <c r="F979" s="41" t="s">
        <v>10</v>
      </c>
      <c r="G979" s="41" t="s">
        <v>46</v>
      </c>
      <c r="H979" s="4" t="str">
        <f>IFERROR(_xlfn.XLOOKUP(G979,Listas!E:E,Listas!F:F,""),"")</f>
        <v>Financiamiento</v>
      </c>
      <c r="I979" s="46" t="str">
        <f>IFERROR(_xlfn.XLOOKUP(G979,Listas!E:E,Listas!G:G,""),"")</f>
        <v>Externo</v>
      </c>
      <c r="J979" s="43">
        <v>5166.67</v>
      </c>
      <c r="K979" s="5">
        <f t="shared" si="15"/>
        <v>-5166.67</v>
      </c>
      <c r="L979" s="15" t="s">
        <v>133</v>
      </c>
      <c r="M979" s="44">
        <f>SUMIFS('Saldos Iniciales'!$D:$D,'Saldos Iniciales'!$A:$A,C979,'Saldos Iniciales'!$B:$B,D979)+SUMIFS($K$1:$K$1324,$C$1:$C$1324,C979,$D$1:$D$1324,D979,$B$1:$B$1324,"&lt;="&amp;B979)</f>
        <v>1165508.1300000011</v>
      </c>
      <c r="N979" s="61" t="str">
        <f>IF(tblMovimientos[[#This Row],[Tipo de Movimiento]]="Ingreso",tblMovimientos[[#This Row],[Monto (S/)]],"0")</f>
        <v>0</v>
      </c>
      <c r="O979" s="61">
        <f>IF(tblMovimientos[[#This Row],[Tipo de Movimiento]]="Egreso",tblMovimientos[[#This Row],[Monto (S/)]],"0")</f>
        <v>5166.67</v>
      </c>
      <c r="P979" s="28">
        <f>IF(tblMovimientos[[#This Row],[Tipo de Movimiento]]="Ingreso",tblMovimientos[[#This Row],[Ingreso]],-tblMovimientos[[#This Row],[Egreso]])</f>
        <v>-5166.67</v>
      </c>
      <c r="Q979" s="78" t="str">
        <f>_xlfn.XLOOKUP(tblMovimientos[[#This Row],[Cuenta Bancaria]],Cuentas!$C:$C,Cuentas!$A:$A,"")&amp;""</f>
        <v>SSP Group</v>
      </c>
      <c r="R979" s="78" t="str">
        <f>_xlfn.XLOOKUP(tblMovimientos[[#This Row],[Cuenta Bancaria]],Cuentas!$C:$C,Cuentas!$B:$B,"",0,-1)&amp;""</f>
        <v/>
      </c>
    </row>
    <row r="980" spans="1:18" x14ac:dyDescent="0.3">
      <c r="B980" s="39">
        <v>46275</v>
      </c>
      <c r="C980" s="4" t="str">
        <f>_xlfn.XLOOKUP(tblMovimientos[[#This Row],[Cuenta Bancaria]],Listas!$B:$B,Listas!$A:$A,"")</f>
        <v>CFT Group</v>
      </c>
      <c r="D980" s="41" t="s">
        <v>95</v>
      </c>
      <c r="E980" s="68" t="str">
        <f>_xlfn.XLOOKUP(tblMovimientos[[#This Row],[Cuenta Bancaria]],Listas!$B:$B,Listas!$C:$C,"")</f>
        <v xml:space="preserve">Amerant Bank </v>
      </c>
      <c r="F980" s="41" t="s">
        <v>10</v>
      </c>
      <c r="G980" s="41" t="s">
        <v>46</v>
      </c>
      <c r="H980" s="4" t="str">
        <f>IFERROR(_xlfn.XLOOKUP(G980,Listas!E:E,Listas!F:F,""),"")</f>
        <v>Financiamiento</v>
      </c>
      <c r="I980" s="46" t="str">
        <f>IFERROR(_xlfn.XLOOKUP(G980,Listas!E:E,Listas!G:G,""),"")</f>
        <v>Externo</v>
      </c>
      <c r="J980" s="43">
        <v>22166.67</v>
      </c>
      <c r="K980" s="5">
        <f t="shared" si="15"/>
        <v>-22166.67</v>
      </c>
      <c r="L980" s="15" t="s">
        <v>133</v>
      </c>
      <c r="M980" s="44">
        <f>SUMIFS('Saldos Iniciales'!$D:$D,'Saldos Iniciales'!$A:$A,C980,'Saldos Iniciales'!$B:$B,D980)+SUMIFS($K$1:$K$1324,$C$1:$C$1324,C980,$D$1:$D$1324,D980,$B$1:$B$1324,"&lt;="&amp;B980)</f>
        <v>1165508.1300000011</v>
      </c>
      <c r="N980" s="61" t="str">
        <f>IF(tblMovimientos[[#This Row],[Tipo de Movimiento]]="Ingreso",tblMovimientos[[#This Row],[Monto (S/)]],"0")</f>
        <v>0</v>
      </c>
      <c r="O980" s="61">
        <f>IF(tblMovimientos[[#This Row],[Tipo de Movimiento]]="Egreso",tblMovimientos[[#This Row],[Monto (S/)]],"0")</f>
        <v>22166.67</v>
      </c>
      <c r="P980" s="28">
        <f>IF(tblMovimientos[[#This Row],[Tipo de Movimiento]]="Ingreso",tblMovimientos[[#This Row],[Ingreso]],-tblMovimientos[[#This Row],[Egreso]])</f>
        <v>-22166.67</v>
      </c>
      <c r="Q980" s="78" t="str">
        <f>_xlfn.XLOOKUP(tblMovimientos[[#This Row],[Cuenta Bancaria]],Cuentas!$C:$C,Cuentas!$A:$A,"")&amp;""</f>
        <v>SSP Group</v>
      </c>
      <c r="R980" s="78" t="str">
        <f>_xlfn.XLOOKUP(tblMovimientos[[#This Row],[Cuenta Bancaria]],Cuentas!$C:$C,Cuentas!$B:$B,"",0,-1)&amp;""</f>
        <v/>
      </c>
    </row>
    <row r="981" spans="1:18" x14ac:dyDescent="0.3">
      <c r="B981" s="39">
        <v>46275</v>
      </c>
      <c r="C981" s="4" t="str">
        <f>_xlfn.XLOOKUP(tblMovimientos[[#This Row],[Cuenta Bancaria]],Listas!$B:$B,Listas!$A:$A,"")</f>
        <v>CFT Group</v>
      </c>
      <c r="D981" s="41" t="s">
        <v>95</v>
      </c>
      <c r="E981" s="68" t="str">
        <f>_xlfn.XLOOKUP(tblMovimientos[[#This Row],[Cuenta Bancaria]],Listas!$B:$B,Listas!$C:$C,"")</f>
        <v xml:space="preserve">Amerant Bank </v>
      </c>
      <c r="F981" s="41" t="s">
        <v>10</v>
      </c>
      <c r="G981" s="41" t="s">
        <v>46</v>
      </c>
      <c r="H981" s="4" t="str">
        <f>IFERROR(_xlfn.XLOOKUP(G981,Listas!E:E,Listas!F:F,""),"")</f>
        <v>Financiamiento</v>
      </c>
      <c r="I981" s="46" t="str">
        <f>IFERROR(_xlfn.XLOOKUP(G981,Listas!E:E,Listas!G:G,""),"")</f>
        <v>Externo</v>
      </c>
      <c r="J981" s="43">
        <v>24111.11</v>
      </c>
      <c r="K981" s="5">
        <f t="shared" si="15"/>
        <v>-24111.11</v>
      </c>
      <c r="L981" s="15" t="s">
        <v>133</v>
      </c>
      <c r="M981" s="44">
        <f>SUMIFS('Saldos Iniciales'!$D:$D,'Saldos Iniciales'!$A:$A,C981,'Saldos Iniciales'!$B:$B,D981)+SUMIFS($K$1:$K$1324,$C$1:$C$1324,C981,$D$1:$D$1324,D981,$B$1:$B$1324,"&lt;="&amp;B981)</f>
        <v>1165508.1300000011</v>
      </c>
      <c r="N981" s="61" t="str">
        <f>IF(tblMovimientos[[#This Row],[Tipo de Movimiento]]="Ingreso",tblMovimientos[[#This Row],[Monto (S/)]],"0")</f>
        <v>0</v>
      </c>
      <c r="O981" s="61">
        <f>IF(tblMovimientos[[#This Row],[Tipo de Movimiento]]="Egreso",tblMovimientos[[#This Row],[Monto (S/)]],"0")</f>
        <v>24111.11</v>
      </c>
      <c r="P981" s="28">
        <f>IF(tblMovimientos[[#This Row],[Tipo de Movimiento]]="Ingreso",tblMovimientos[[#This Row],[Ingreso]],-tblMovimientos[[#This Row],[Egreso]])</f>
        <v>-24111.11</v>
      </c>
      <c r="Q981" s="78" t="str">
        <f>_xlfn.XLOOKUP(tblMovimientos[[#This Row],[Cuenta Bancaria]],Cuentas!$C:$C,Cuentas!$A:$A,"")&amp;""</f>
        <v>SSP Group</v>
      </c>
      <c r="R981" s="78" t="str">
        <f>_xlfn.XLOOKUP(tblMovimientos[[#This Row],[Cuenta Bancaria]],Cuentas!$C:$C,Cuentas!$B:$B,"",0,-1)&amp;""</f>
        <v/>
      </c>
    </row>
    <row r="982" spans="1:18" x14ac:dyDescent="0.3">
      <c r="B982" s="39">
        <v>46275</v>
      </c>
      <c r="C982" s="4" t="str">
        <f>_xlfn.XLOOKUP(tblMovimientos[[#This Row],[Cuenta Bancaria]],Listas!$B:$B,Listas!$A:$A,"")</f>
        <v>CFT Group</v>
      </c>
      <c r="D982" s="41" t="s">
        <v>95</v>
      </c>
      <c r="E982" s="68" t="str">
        <f>_xlfn.XLOOKUP(tblMovimientos[[#This Row],[Cuenta Bancaria]],Listas!$B:$B,Listas!$C:$C,"")</f>
        <v xml:space="preserve">Amerant Bank </v>
      </c>
      <c r="F982" s="41" t="s">
        <v>10</v>
      </c>
      <c r="G982" s="41" t="s">
        <v>46</v>
      </c>
      <c r="H982" s="4" t="str">
        <f>IFERROR(_xlfn.XLOOKUP(G982,Listas!E:E,Listas!F:F,""),"")</f>
        <v>Financiamiento</v>
      </c>
      <c r="I982" s="46" t="str">
        <f>IFERROR(_xlfn.XLOOKUP(G982,Listas!E:E,Listas!G:G,""),"")</f>
        <v>Externo</v>
      </c>
      <c r="J982" s="43">
        <v>57866.67</v>
      </c>
      <c r="K982" s="5">
        <f t="shared" si="15"/>
        <v>-57866.67</v>
      </c>
      <c r="L982" s="15" t="s">
        <v>133</v>
      </c>
      <c r="M982" s="44">
        <f>SUMIFS('Saldos Iniciales'!$D:$D,'Saldos Iniciales'!$A:$A,C982,'Saldos Iniciales'!$B:$B,D982)+SUMIFS($K$1:$K$1324,$C$1:$C$1324,C982,$D$1:$D$1324,D982,$B$1:$B$1324,"&lt;="&amp;B982)</f>
        <v>1165508.1300000011</v>
      </c>
      <c r="N982" s="61" t="str">
        <f>IF(tblMovimientos[[#This Row],[Tipo de Movimiento]]="Ingreso",tblMovimientos[[#This Row],[Monto (S/)]],"0")</f>
        <v>0</v>
      </c>
      <c r="O982" s="61">
        <f>IF(tblMovimientos[[#This Row],[Tipo de Movimiento]]="Egreso",tblMovimientos[[#This Row],[Monto (S/)]],"0")</f>
        <v>57866.67</v>
      </c>
      <c r="P982" s="28">
        <f>IF(tblMovimientos[[#This Row],[Tipo de Movimiento]]="Ingreso",tblMovimientos[[#This Row],[Ingreso]],-tblMovimientos[[#This Row],[Egreso]])</f>
        <v>-57866.67</v>
      </c>
      <c r="Q982" s="78" t="str">
        <f>_xlfn.XLOOKUP(tblMovimientos[[#This Row],[Cuenta Bancaria]],Cuentas!$C:$C,Cuentas!$A:$A,"")&amp;""</f>
        <v>SSP Group</v>
      </c>
      <c r="R982" s="78" t="str">
        <f>_xlfn.XLOOKUP(tblMovimientos[[#This Row],[Cuenta Bancaria]],Cuentas!$C:$C,Cuentas!$B:$B,"",0,-1)&amp;""</f>
        <v/>
      </c>
    </row>
    <row r="983" spans="1:18" x14ac:dyDescent="0.3">
      <c r="B983" s="39">
        <v>46275</v>
      </c>
      <c r="C983" s="4" t="str">
        <f>_xlfn.XLOOKUP(tblMovimientos[[#This Row],[Cuenta Bancaria]],Listas!$B:$B,Listas!$A:$A,"")</f>
        <v>CFT Group</v>
      </c>
      <c r="D983" s="41" t="s">
        <v>95</v>
      </c>
      <c r="E983" s="68" t="str">
        <f>_xlfn.XLOOKUP(tblMovimientos[[#This Row],[Cuenta Bancaria]],Listas!$B:$B,Listas!$C:$C,"")</f>
        <v xml:space="preserve">Amerant Bank </v>
      </c>
      <c r="F983" s="41" t="s">
        <v>10</v>
      </c>
      <c r="G983" s="41" t="s">
        <v>46</v>
      </c>
      <c r="H983" s="4" t="str">
        <f>IFERROR(_xlfn.XLOOKUP(G983,Listas!E:E,Listas!F:F,""),"")</f>
        <v>Financiamiento</v>
      </c>
      <c r="I983" s="46" t="str">
        <f>IFERROR(_xlfn.XLOOKUP(G983,Listas!E:E,Listas!G:G,""),"")</f>
        <v>Externo</v>
      </c>
      <c r="J983" s="43">
        <v>72333.33</v>
      </c>
      <c r="K983" s="5">
        <f t="shared" si="15"/>
        <v>-72333.33</v>
      </c>
      <c r="L983" s="15" t="s">
        <v>133</v>
      </c>
      <c r="M983" s="44">
        <f>SUMIFS('Saldos Iniciales'!$D:$D,'Saldos Iniciales'!$A:$A,C983,'Saldos Iniciales'!$B:$B,D983)+SUMIFS($K$1:$K$1324,$C$1:$C$1324,C983,$D$1:$D$1324,D983,$B$1:$B$1324,"&lt;="&amp;B983)</f>
        <v>1165508.1300000011</v>
      </c>
      <c r="N983" s="61" t="str">
        <f>IF(tblMovimientos[[#This Row],[Tipo de Movimiento]]="Ingreso",tblMovimientos[[#This Row],[Monto (S/)]],"0")</f>
        <v>0</v>
      </c>
      <c r="O983" s="61">
        <f>IF(tblMovimientos[[#This Row],[Tipo de Movimiento]]="Egreso",tblMovimientos[[#This Row],[Monto (S/)]],"0")</f>
        <v>72333.33</v>
      </c>
      <c r="P983" s="28">
        <f>IF(tblMovimientos[[#This Row],[Tipo de Movimiento]]="Ingreso",tblMovimientos[[#This Row],[Ingreso]],-tblMovimientos[[#This Row],[Egreso]])</f>
        <v>-72333.33</v>
      </c>
      <c r="Q983" s="78" t="str">
        <f>_xlfn.XLOOKUP(tblMovimientos[[#This Row],[Cuenta Bancaria]],Cuentas!$C:$C,Cuentas!$A:$A,"")&amp;""</f>
        <v>SSP Group</v>
      </c>
      <c r="R983" s="78" t="str">
        <f>_xlfn.XLOOKUP(tblMovimientos[[#This Row],[Cuenta Bancaria]],Cuentas!$C:$C,Cuentas!$B:$B,"",0,-1)&amp;""</f>
        <v/>
      </c>
    </row>
    <row r="984" spans="1:18" x14ac:dyDescent="0.3">
      <c r="B984" s="39">
        <v>46275</v>
      </c>
      <c r="C984" s="4" t="str">
        <f>_xlfn.XLOOKUP(tblMovimientos[[#This Row],[Cuenta Bancaria]],Listas!$B:$B,Listas!$A:$A,"")</f>
        <v>CFT Group</v>
      </c>
      <c r="D984" s="41" t="s">
        <v>95</v>
      </c>
      <c r="E984" s="68" t="str">
        <f>_xlfn.XLOOKUP(tblMovimientos[[#This Row],[Cuenta Bancaria]],Listas!$B:$B,Listas!$C:$C,"")</f>
        <v xml:space="preserve">Amerant Bank </v>
      </c>
      <c r="F984" s="41" t="s">
        <v>10</v>
      </c>
      <c r="G984" s="41" t="s">
        <v>46</v>
      </c>
      <c r="H984" s="4" t="str">
        <f>IFERROR(_xlfn.XLOOKUP(G984,Listas!E:E,Listas!F:F,""),"")</f>
        <v>Financiamiento</v>
      </c>
      <c r="I984" s="46" t="str">
        <f>IFERROR(_xlfn.XLOOKUP(G984,Listas!E:E,Listas!G:G,""),"")</f>
        <v>Externo</v>
      </c>
      <c r="J984" s="43">
        <v>85594.44</v>
      </c>
      <c r="K984" s="5">
        <f t="shared" si="15"/>
        <v>-85594.44</v>
      </c>
      <c r="L984" s="15" t="s">
        <v>133</v>
      </c>
      <c r="M984" s="44">
        <f>SUMIFS('Saldos Iniciales'!$D:$D,'Saldos Iniciales'!$A:$A,C984,'Saldos Iniciales'!$B:$B,D984)+SUMIFS($K$1:$K$1324,$C$1:$C$1324,C984,$D$1:$D$1324,D984,$B$1:$B$1324,"&lt;="&amp;B984)</f>
        <v>1165508.1300000011</v>
      </c>
      <c r="N984" s="61" t="str">
        <f>IF(tblMovimientos[[#This Row],[Tipo de Movimiento]]="Ingreso",tblMovimientos[[#This Row],[Monto (S/)]],"0")</f>
        <v>0</v>
      </c>
      <c r="O984" s="61">
        <f>IF(tblMovimientos[[#This Row],[Tipo de Movimiento]]="Egreso",tblMovimientos[[#This Row],[Monto (S/)]],"0")</f>
        <v>85594.44</v>
      </c>
      <c r="P984" s="28">
        <f>IF(tblMovimientos[[#This Row],[Tipo de Movimiento]]="Ingreso",tblMovimientos[[#This Row],[Ingreso]],-tblMovimientos[[#This Row],[Egreso]])</f>
        <v>-85594.44</v>
      </c>
      <c r="Q984" s="78" t="str">
        <f>_xlfn.XLOOKUP(tblMovimientos[[#This Row],[Cuenta Bancaria]],Cuentas!$C:$C,Cuentas!$A:$A,"")&amp;""</f>
        <v>SSP Group</v>
      </c>
      <c r="R984" s="78" t="str">
        <f>_xlfn.XLOOKUP(tblMovimientos[[#This Row],[Cuenta Bancaria]],Cuentas!$C:$C,Cuentas!$B:$B,"",0,-1)&amp;""</f>
        <v/>
      </c>
    </row>
    <row r="985" spans="1:18" x14ac:dyDescent="0.3">
      <c r="B985" s="39">
        <v>46275</v>
      </c>
      <c r="C985" s="4" t="str">
        <f>_xlfn.XLOOKUP(tblMovimientos[[#This Row],[Cuenta Bancaria]],Listas!$B:$B,Listas!$A:$A,"")</f>
        <v>CFT Group</v>
      </c>
      <c r="D985" s="41" t="s">
        <v>95</v>
      </c>
      <c r="E985" s="68" t="str">
        <f>_xlfn.XLOOKUP(tblMovimientos[[#This Row],[Cuenta Bancaria]],Listas!$B:$B,Listas!$C:$C,"")</f>
        <v xml:space="preserve">Amerant Bank </v>
      </c>
      <c r="F985" s="41" t="s">
        <v>10</v>
      </c>
      <c r="G985" s="41" t="s">
        <v>61</v>
      </c>
      <c r="H985" s="4" t="str">
        <f>IFERROR(_xlfn.XLOOKUP(G985,Listas!E:E,Listas!F:F,""),"")</f>
        <v>Operativo</v>
      </c>
      <c r="I985" s="46" t="str">
        <f>IFERROR(_xlfn.XLOOKUP(G985,Listas!E:E,Listas!G:G,""),"")</f>
        <v>Externo</v>
      </c>
      <c r="J985" s="43">
        <v>100000</v>
      </c>
      <c r="K985" s="5">
        <f t="shared" si="15"/>
        <v>-100000</v>
      </c>
      <c r="L985" s="15" t="s">
        <v>133</v>
      </c>
      <c r="M985" s="44">
        <f>SUMIFS('Saldos Iniciales'!$D:$D,'Saldos Iniciales'!$A:$A,C985,'Saldos Iniciales'!$B:$B,D985)+SUMIFS($K$1:$K$1324,$C$1:$C$1324,C985,$D$1:$D$1324,D985,$B$1:$B$1324,"&lt;="&amp;B985)</f>
        <v>1165508.1300000011</v>
      </c>
      <c r="N985" s="61" t="str">
        <f>IF(tblMovimientos[[#This Row],[Tipo de Movimiento]]="Ingreso",tblMovimientos[[#This Row],[Monto (S/)]],"0")</f>
        <v>0</v>
      </c>
      <c r="O985" s="61">
        <f>IF(tblMovimientos[[#This Row],[Tipo de Movimiento]]="Egreso",tblMovimientos[[#This Row],[Monto (S/)]],"0")</f>
        <v>100000</v>
      </c>
      <c r="P985" s="28">
        <f>IF(tblMovimientos[[#This Row],[Tipo de Movimiento]]="Ingreso",tblMovimientos[[#This Row],[Ingreso]],-tblMovimientos[[#This Row],[Egreso]])</f>
        <v>-100000</v>
      </c>
      <c r="Q985" s="78" t="str">
        <f>_xlfn.XLOOKUP(tblMovimientos[[#This Row],[Cuenta Bancaria]],Cuentas!$C:$C,Cuentas!$A:$A,"")&amp;""</f>
        <v>SSP Group</v>
      </c>
      <c r="R985" s="78" t="str">
        <f>_xlfn.XLOOKUP(tblMovimientos[[#This Row],[Cuenta Bancaria]],Cuentas!$C:$C,Cuentas!$B:$B,"",0,-1)&amp;""</f>
        <v/>
      </c>
    </row>
    <row r="986" spans="1:18" x14ac:dyDescent="0.3">
      <c r="B986" s="39">
        <v>46275</v>
      </c>
      <c r="C986" s="4" t="str">
        <f>_xlfn.XLOOKUP(tblMovimientos[[#This Row],[Cuenta Bancaria]],Listas!$B:$B,Listas!$A:$A,"")</f>
        <v>CFT Group</v>
      </c>
      <c r="D986" s="41" t="s">
        <v>95</v>
      </c>
      <c r="E986" s="68" t="str">
        <f>_xlfn.XLOOKUP(tblMovimientos[[#This Row],[Cuenta Bancaria]],Listas!$B:$B,Listas!$C:$C,"")</f>
        <v xml:space="preserve">Amerant Bank </v>
      </c>
      <c r="F986" s="41" t="s">
        <v>10</v>
      </c>
      <c r="G986" s="41" t="s">
        <v>61</v>
      </c>
      <c r="H986" s="4" t="str">
        <f>IFERROR(_xlfn.XLOOKUP(G986,Listas!E:E,Listas!F:F,""),"")</f>
        <v>Operativo</v>
      </c>
      <c r="I986" s="46" t="str">
        <f>IFERROR(_xlfn.XLOOKUP(G986,Listas!E:E,Listas!G:G,""),"")</f>
        <v>Externo</v>
      </c>
      <c r="J986" s="43">
        <v>100000</v>
      </c>
      <c r="K986" s="5">
        <f t="shared" si="15"/>
        <v>-100000</v>
      </c>
      <c r="L986" s="15" t="s">
        <v>133</v>
      </c>
      <c r="M986" s="44">
        <f>SUMIFS('Saldos Iniciales'!$D:$D,'Saldos Iniciales'!$A:$A,C986,'Saldos Iniciales'!$B:$B,D986)+SUMIFS($K$1:$K$1324,$C$1:$C$1324,C986,$D$1:$D$1324,D986,$B$1:$B$1324,"&lt;="&amp;B986)</f>
        <v>1165508.1300000011</v>
      </c>
      <c r="N986" s="61" t="str">
        <f>IF(tblMovimientos[[#This Row],[Tipo de Movimiento]]="Ingreso",tblMovimientos[[#This Row],[Monto (S/)]],"0")</f>
        <v>0</v>
      </c>
      <c r="O986" s="61">
        <f>IF(tblMovimientos[[#This Row],[Tipo de Movimiento]]="Egreso",tblMovimientos[[#This Row],[Monto (S/)]],"0")</f>
        <v>100000</v>
      </c>
      <c r="P986" s="28">
        <f>IF(tblMovimientos[[#This Row],[Tipo de Movimiento]]="Ingreso",tblMovimientos[[#This Row],[Ingreso]],-tblMovimientos[[#This Row],[Egreso]])</f>
        <v>-100000</v>
      </c>
      <c r="Q986" s="78" t="str">
        <f>_xlfn.XLOOKUP(tblMovimientos[[#This Row],[Cuenta Bancaria]],Cuentas!$C:$C,Cuentas!$A:$A,"")&amp;""</f>
        <v>SSP Group</v>
      </c>
      <c r="R986" s="78" t="str">
        <f>_xlfn.XLOOKUP(tblMovimientos[[#This Row],[Cuenta Bancaria]],Cuentas!$C:$C,Cuentas!$B:$B,"",0,-1)&amp;""</f>
        <v/>
      </c>
    </row>
    <row r="987" spans="1:18" x14ac:dyDescent="0.3">
      <c r="B987" s="39">
        <v>46275</v>
      </c>
      <c r="C987" s="4" t="str">
        <f>_xlfn.XLOOKUP(tblMovimientos[[#This Row],[Cuenta Bancaria]],Listas!$B:$B,Listas!$A:$A,"")</f>
        <v>SSP Capital</v>
      </c>
      <c r="D987" s="41" t="s">
        <v>104</v>
      </c>
      <c r="E987" s="68" t="str">
        <f>_xlfn.XLOOKUP(tblMovimientos[[#This Row],[Cuenta Bancaria]],Listas!$B:$B,Listas!$C:$C,"")</f>
        <v xml:space="preserve">Amerant Bank </v>
      </c>
      <c r="F987" s="41" t="s">
        <v>10</v>
      </c>
      <c r="G987" s="41" t="s">
        <v>46</v>
      </c>
      <c r="H987" s="4" t="str">
        <f>IFERROR(_xlfn.XLOOKUP(G987,Listas!E:E,Listas!F:F,""),"")</f>
        <v>Financiamiento</v>
      </c>
      <c r="I987" s="46" t="str">
        <f>IFERROR(_xlfn.XLOOKUP(G987,Listas!E:E,Listas!G:G,""),"")</f>
        <v>Externo</v>
      </c>
      <c r="J987" s="43">
        <v>9902.77</v>
      </c>
      <c r="K987" s="5">
        <f t="shared" si="15"/>
        <v>-9902.77</v>
      </c>
      <c r="L987" s="15" t="s">
        <v>133</v>
      </c>
      <c r="M987" s="44">
        <f>SUMIFS('Saldos Iniciales'!$D:$D,'Saldos Iniciales'!$A:$A,C987,'Saldos Iniciales'!$B:$B,D987)+SUMIFS($K$1:$K$1324,$C$1:$C$1324,C987,$D$1:$D$1324,D987,$B$1:$B$1324,"&lt;="&amp;B987)</f>
        <v>381136.32999999926</v>
      </c>
      <c r="N987" s="61" t="str">
        <f>IF(tblMovimientos[[#This Row],[Tipo de Movimiento]]="Ingreso",tblMovimientos[[#This Row],[Monto (S/)]],"0")</f>
        <v>0</v>
      </c>
      <c r="O987" s="61">
        <f>IF(tblMovimientos[[#This Row],[Tipo de Movimiento]]="Egreso",tblMovimientos[[#This Row],[Monto (S/)]],"0")</f>
        <v>9902.77</v>
      </c>
      <c r="P987" s="28">
        <f>IF(tblMovimientos[[#This Row],[Tipo de Movimiento]]="Ingreso",tblMovimientos[[#This Row],[Ingreso]],-tblMovimientos[[#This Row],[Egreso]])</f>
        <v>-9902.77</v>
      </c>
      <c r="Q987" s="78" t="str">
        <f>_xlfn.XLOOKUP(tblMovimientos[[#This Row],[Cuenta Bancaria]],Cuentas!$C:$C,Cuentas!$A:$A,"")&amp;""</f>
        <v>SSP Group</v>
      </c>
      <c r="R987" s="78" t="str">
        <f>_xlfn.XLOOKUP(tblMovimientos[[#This Row],[Cuenta Bancaria]],Cuentas!$C:$C,Cuentas!$B:$B,"",0,-1)&amp;""</f>
        <v/>
      </c>
    </row>
    <row r="988" spans="1:18" x14ac:dyDescent="0.3">
      <c r="B988" s="39">
        <v>46275</v>
      </c>
      <c r="C988" s="4" t="str">
        <f>_xlfn.XLOOKUP(tblMovimientos[[#This Row],[Cuenta Bancaria]],Listas!$B:$B,Listas!$A:$A,"")</f>
        <v>SSP Capital</v>
      </c>
      <c r="D988" s="41" t="s">
        <v>104</v>
      </c>
      <c r="E988" s="68" t="str">
        <f>_xlfn.XLOOKUP(tblMovimientos[[#This Row],[Cuenta Bancaria]],Listas!$B:$B,Listas!$C:$C,"")</f>
        <v xml:space="preserve">Amerant Bank </v>
      </c>
      <c r="F988" s="41" t="s">
        <v>10</v>
      </c>
      <c r="G988" s="41" t="s">
        <v>46</v>
      </c>
      <c r="H988" s="4" t="str">
        <f>IFERROR(_xlfn.XLOOKUP(G988,Listas!E:E,Listas!F:F,""),"")</f>
        <v>Financiamiento</v>
      </c>
      <c r="I988" s="46" t="str">
        <f>IFERROR(_xlfn.XLOOKUP(G988,Listas!E:E,Listas!G:G,""),"")</f>
        <v>Externo</v>
      </c>
      <c r="J988" s="43">
        <v>55455.56</v>
      </c>
      <c r="K988" s="5">
        <f t="shared" si="15"/>
        <v>-55455.56</v>
      </c>
      <c r="L988" s="15" t="s">
        <v>133</v>
      </c>
      <c r="M988" s="44">
        <f>SUMIFS('Saldos Iniciales'!$D:$D,'Saldos Iniciales'!$A:$A,C988,'Saldos Iniciales'!$B:$B,D988)+SUMIFS($K$1:$K$1324,$C$1:$C$1324,C988,$D$1:$D$1324,D988,$B$1:$B$1324,"&lt;="&amp;B988)</f>
        <v>381136.32999999926</v>
      </c>
      <c r="N988" s="61" t="str">
        <f>IF(tblMovimientos[[#This Row],[Tipo de Movimiento]]="Ingreso",tblMovimientos[[#This Row],[Monto (S/)]],"0")</f>
        <v>0</v>
      </c>
      <c r="O988" s="61">
        <f>IF(tblMovimientos[[#This Row],[Tipo de Movimiento]]="Egreso",tblMovimientos[[#This Row],[Monto (S/)]],"0")</f>
        <v>55455.56</v>
      </c>
      <c r="P988" s="28">
        <f>IF(tblMovimientos[[#This Row],[Tipo de Movimiento]]="Ingreso",tblMovimientos[[#This Row],[Ingreso]],-tblMovimientos[[#This Row],[Egreso]])</f>
        <v>-55455.56</v>
      </c>
      <c r="Q988" s="78" t="str">
        <f>_xlfn.XLOOKUP(tblMovimientos[[#This Row],[Cuenta Bancaria]],Cuentas!$C:$C,Cuentas!$A:$A,"")&amp;""</f>
        <v>SSP Group</v>
      </c>
      <c r="R988" s="78" t="str">
        <f>_xlfn.XLOOKUP(tblMovimientos[[#This Row],[Cuenta Bancaria]],Cuentas!$C:$C,Cuentas!$B:$B,"",0,-1)&amp;""</f>
        <v/>
      </c>
    </row>
    <row r="989" spans="1:18" x14ac:dyDescent="0.3">
      <c r="B989" s="39">
        <v>46275</v>
      </c>
      <c r="C989" s="4" t="str">
        <f>_xlfn.XLOOKUP(tblMovimientos[[#This Row],[Cuenta Bancaria]],Listas!$B:$B,Listas!$A:$A,"")</f>
        <v>SSP Capital</v>
      </c>
      <c r="D989" s="41" t="s">
        <v>104</v>
      </c>
      <c r="E989" s="68" t="str">
        <f>_xlfn.XLOOKUP(tblMovimientos[[#This Row],[Cuenta Bancaria]],Listas!$B:$B,Listas!$C:$C,"")</f>
        <v xml:space="preserve">Amerant Bank </v>
      </c>
      <c r="F989" s="41" t="s">
        <v>10</v>
      </c>
      <c r="G989" s="41" t="s">
        <v>46</v>
      </c>
      <c r="H989" s="4" t="str">
        <f>IFERROR(_xlfn.XLOOKUP(G989,Listas!E:E,Listas!F:F,""),"")</f>
        <v>Financiamiento</v>
      </c>
      <c r="I989" s="46" t="str">
        <f>IFERROR(_xlfn.XLOOKUP(G989,Listas!E:E,Listas!G:G,""),"")</f>
        <v>Externo</v>
      </c>
      <c r="J989" s="43">
        <v>138638.89000000001</v>
      </c>
      <c r="K989" s="5">
        <f t="shared" si="15"/>
        <v>-138638.89000000001</v>
      </c>
      <c r="L989" s="15" t="s">
        <v>133</v>
      </c>
      <c r="M989" s="44">
        <f>SUMIFS('Saldos Iniciales'!$D:$D,'Saldos Iniciales'!$A:$A,C989,'Saldos Iniciales'!$B:$B,D989)+SUMIFS($K$1:$K$1324,$C$1:$C$1324,C989,$D$1:$D$1324,D989,$B$1:$B$1324,"&lt;="&amp;B989)</f>
        <v>381136.32999999926</v>
      </c>
      <c r="N989" s="61" t="str">
        <f>IF(tblMovimientos[[#This Row],[Tipo de Movimiento]]="Ingreso",tblMovimientos[[#This Row],[Monto (S/)]],"0")</f>
        <v>0</v>
      </c>
      <c r="O989" s="61">
        <f>IF(tblMovimientos[[#This Row],[Tipo de Movimiento]]="Egreso",tblMovimientos[[#This Row],[Monto (S/)]],"0")</f>
        <v>138638.89000000001</v>
      </c>
      <c r="P989" s="28">
        <f>IF(tblMovimientos[[#This Row],[Tipo de Movimiento]]="Ingreso",tblMovimientos[[#This Row],[Ingreso]],-tblMovimientos[[#This Row],[Egreso]])</f>
        <v>-138638.89000000001</v>
      </c>
      <c r="Q989" s="78" t="str">
        <f>_xlfn.XLOOKUP(tblMovimientos[[#This Row],[Cuenta Bancaria]],Cuentas!$C:$C,Cuentas!$A:$A,"")&amp;""</f>
        <v>SSP Group</v>
      </c>
      <c r="R989" s="78" t="str">
        <f>_xlfn.XLOOKUP(tblMovimientos[[#This Row],[Cuenta Bancaria]],Cuentas!$C:$C,Cuentas!$B:$B,"",0,-1)&amp;""</f>
        <v/>
      </c>
    </row>
    <row r="990" spans="1:18" x14ac:dyDescent="0.3">
      <c r="B990" s="39">
        <v>46275</v>
      </c>
      <c r="C990" s="4" t="str">
        <f>_xlfn.XLOOKUP(tblMovimientos[[#This Row],[Cuenta Bancaria]],Listas!$B:$B,Listas!$A:$A,"")</f>
        <v>SSP Capital</v>
      </c>
      <c r="D990" s="41" t="s">
        <v>104</v>
      </c>
      <c r="E990" s="68" t="str">
        <f>_xlfn.XLOOKUP(tblMovimientos[[#This Row],[Cuenta Bancaria]],Listas!$B:$B,Listas!$C:$C,"")</f>
        <v xml:space="preserve">Amerant Bank </v>
      </c>
      <c r="F990" s="41" t="s">
        <v>10</v>
      </c>
      <c r="G990" s="41" t="s">
        <v>60</v>
      </c>
      <c r="H990" s="4" t="str">
        <f>IFERROR(_xlfn.XLOOKUP(G990,Listas!E:E,Listas!F:F,""),"")</f>
        <v>Inversion</v>
      </c>
      <c r="I990" s="46" t="str">
        <f>IFERROR(_xlfn.XLOOKUP(G990,Listas!E:E,Listas!G:G,""),"")</f>
        <v>Interno</v>
      </c>
      <c r="J990" s="43">
        <v>50000</v>
      </c>
      <c r="K990" s="5">
        <f t="shared" si="15"/>
        <v>-50000</v>
      </c>
      <c r="L990" s="15" t="s">
        <v>133</v>
      </c>
      <c r="M990" s="44">
        <f>SUMIFS('Saldos Iniciales'!$D:$D,'Saldos Iniciales'!$A:$A,C990,'Saldos Iniciales'!$B:$B,D990)+SUMIFS($K$1:$K$1324,$C$1:$C$1324,C990,$D$1:$D$1324,D990,$B$1:$B$1324,"&lt;="&amp;B990)</f>
        <v>381136.32999999926</v>
      </c>
      <c r="N990" s="61" t="str">
        <f>IF(tblMovimientos[[#This Row],[Tipo de Movimiento]]="Ingreso",tblMovimientos[[#This Row],[Monto (S/)]],"0")</f>
        <v>0</v>
      </c>
      <c r="O990" s="61">
        <f>IF(tblMovimientos[[#This Row],[Tipo de Movimiento]]="Egreso",tblMovimientos[[#This Row],[Monto (S/)]],"0")</f>
        <v>50000</v>
      </c>
      <c r="P990" s="28">
        <f>IF(tblMovimientos[[#This Row],[Tipo de Movimiento]]="Ingreso",tblMovimientos[[#This Row],[Ingreso]],-tblMovimientos[[#This Row],[Egreso]])</f>
        <v>-50000</v>
      </c>
      <c r="Q990" s="78" t="str">
        <f>_xlfn.XLOOKUP(tblMovimientos[[#This Row],[Cuenta Bancaria]],Cuentas!$C:$C,Cuentas!$A:$A,"")&amp;""</f>
        <v>SSP Group</v>
      </c>
      <c r="R990" s="78" t="str">
        <f>_xlfn.XLOOKUP(tblMovimientos[[#This Row],[Cuenta Bancaria]],Cuentas!$C:$C,Cuentas!$B:$B,"",0,-1)&amp;""</f>
        <v/>
      </c>
    </row>
    <row r="991" spans="1:18" x14ac:dyDescent="0.3">
      <c r="A991" s="45"/>
      <c r="B991" s="39">
        <v>46275</v>
      </c>
      <c r="C991" s="4" t="str">
        <f>_xlfn.XLOOKUP(tblMovimientos[[#This Row],[Cuenta Bancaria]],Listas!$B:$B,Listas!$A:$A,"")</f>
        <v>Go Blue</v>
      </c>
      <c r="D991" s="41" t="s">
        <v>126</v>
      </c>
      <c r="E991" s="68" t="str">
        <f>_xlfn.XLOOKUP(tblMovimientos[[#This Row],[Cuenta Bancaria]],Listas!$B:$B,Listas!$C:$C,"")</f>
        <v xml:space="preserve">Amerant Bank </v>
      </c>
      <c r="F991" s="41" t="s">
        <v>10</v>
      </c>
      <c r="G991" s="41" t="s">
        <v>38</v>
      </c>
      <c r="H991" s="4" t="str">
        <f>IFERROR(_xlfn.XLOOKUP(G991,Listas!E:E,Listas!F:F,""),"")</f>
        <v>Operativo</v>
      </c>
      <c r="I991" s="46" t="str">
        <f>IFERROR(_xlfn.XLOOKUP(G991,Listas!E:E,Listas!G:G,""),"")</f>
        <v>Externo</v>
      </c>
      <c r="J991" s="43">
        <v>69.53</v>
      </c>
      <c r="K991" s="5">
        <f t="shared" si="15"/>
        <v>-69.53</v>
      </c>
      <c r="L991" s="15" t="s">
        <v>133</v>
      </c>
      <c r="M991" s="44">
        <f>SUMIFS('Saldos Iniciales'!$D:$D,'Saldos Iniciales'!$A:$A,C991,'Saldos Iniciales'!$B:$B,D991)+SUMIFS($K$1:$K$1324,$C$1:$C$1324,C991,$D$1:$D$1324,D991,$B$1:$B$1324,"&lt;="&amp;B991)</f>
        <v>16164.689999999999</v>
      </c>
      <c r="N991" s="61" t="str">
        <f>IF(tblMovimientos[[#This Row],[Tipo de Movimiento]]="Ingreso",tblMovimientos[[#This Row],[Monto (S/)]],"0")</f>
        <v>0</v>
      </c>
      <c r="O991" s="61">
        <f>IF(tblMovimientos[[#This Row],[Tipo de Movimiento]]="Egreso",tblMovimientos[[#This Row],[Monto (S/)]],"0")</f>
        <v>69.53</v>
      </c>
      <c r="P991" s="28">
        <f>IF(tblMovimientos[[#This Row],[Tipo de Movimiento]]="Ingreso",tblMovimientos[[#This Row],[Ingreso]],-tblMovimientos[[#This Row],[Egreso]])</f>
        <v>-69.53</v>
      </c>
      <c r="Q991" s="78" t="str">
        <f>_xlfn.XLOOKUP(tblMovimientos[[#This Row],[Cuenta Bancaria]],Cuentas!$C:$C,Cuentas!$A:$A,"")&amp;""</f>
        <v>SSP Group</v>
      </c>
      <c r="R991" s="78" t="str">
        <f>_xlfn.XLOOKUP(tblMovimientos[[#This Row],[Cuenta Bancaria]],Cuentas!$C:$C,Cuentas!$B:$B,"",0,-1)&amp;""</f>
        <v/>
      </c>
    </row>
    <row r="992" spans="1:18" x14ac:dyDescent="0.3">
      <c r="B992" s="39">
        <v>46275</v>
      </c>
      <c r="C992" s="4" t="str">
        <f>_xlfn.XLOOKUP(tblMovimientos[[#This Row],[Cuenta Bancaria]],Listas!$B:$B,Listas!$A:$A,"")</f>
        <v>Go Blue</v>
      </c>
      <c r="D992" s="41" t="s">
        <v>126</v>
      </c>
      <c r="E992" s="68" t="str">
        <f>_xlfn.XLOOKUP(tblMovimientos[[#This Row],[Cuenta Bancaria]],Listas!$B:$B,Listas!$C:$C,"")</f>
        <v xml:space="preserve">Amerant Bank </v>
      </c>
      <c r="F992" s="41" t="s">
        <v>10</v>
      </c>
      <c r="G992" s="41" t="s">
        <v>38</v>
      </c>
      <c r="H992" s="4" t="str">
        <f>IFERROR(_xlfn.XLOOKUP(G992,Listas!E:E,Listas!F:F,""),"")</f>
        <v>Operativo</v>
      </c>
      <c r="I992" s="46" t="str">
        <f>IFERROR(_xlfn.XLOOKUP(G992,Listas!E:E,Listas!G:G,""),"")</f>
        <v>Externo</v>
      </c>
      <c r="J992" s="43">
        <v>2500</v>
      </c>
      <c r="K992" s="5">
        <f t="shared" si="15"/>
        <v>-2500</v>
      </c>
      <c r="L992" s="15" t="s">
        <v>133</v>
      </c>
      <c r="M992" s="44">
        <f>SUMIFS('Saldos Iniciales'!$D:$D,'Saldos Iniciales'!$A:$A,C992,'Saldos Iniciales'!$B:$B,D992)+SUMIFS($K$1:$K$1324,$C$1:$C$1324,C992,$D$1:$D$1324,D992,$B$1:$B$1324,"&lt;="&amp;B992)</f>
        <v>16164.689999999999</v>
      </c>
      <c r="N992" s="61" t="str">
        <f>IF(tblMovimientos[[#This Row],[Tipo de Movimiento]]="Ingreso",tblMovimientos[[#This Row],[Monto (S/)]],"0")</f>
        <v>0</v>
      </c>
      <c r="O992" s="61">
        <f>IF(tblMovimientos[[#This Row],[Tipo de Movimiento]]="Egreso",tblMovimientos[[#This Row],[Monto (S/)]],"0")</f>
        <v>2500</v>
      </c>
      <c r="P992" s="28">
        <f>IF(tblMovimientos[[#This Row],[Tipo de Movimiento]]="Ingreso",tblMovimientos[[#This Row],[Ingreso]],-tblMovimientos[[#This Row],[Egreso]])</f>
        <v>-2500</v>
      </c>
      <c r="Q992" s="78" t="str">
        <f>_xlfn.XLOOKUP(tblMovimientos[[#This Row],[Cuenta Bancaria]],Cuentas!$C:$C,Cuentas!$A:$A,"")&amp;""</f>
        <v>SSP Group</v>
      </c>
      <c r="R992" s="78" t="str">
        <f>_xlfn.XLOOKUP(tblMovimientos[[#This Row],[Cuenta Bancaria]],Cuentas!$C:$C,Cuentas!$B:$B,"",0,-1)&amp;""</f>
        <v/>
      </c>
    </row>
    <row r="993" spans="1:18" x14ac:dyDescent="0.3">
      <c r="B993" s="39">
        <v>46275</v>
      </c>
      <c r="C993" s="4" t="str">
        <f>_xlfn.XLOOKUP(tblMovimientos[[#This Row],[Cuenta Bancaria]],Listas!$B:$B,Listas!$A:$A,"")</f>
        <v>Go Blue</v>
      </c>
      <c r="D993" s="41" t="s">
        <v>126</v>
      </c>
      <c r="E993" s="68" t="str">
        <f>_xlfn.XLOOKUP(tblMovimientos[[#This Row],[Cuenta Bancaria]],Listas!$B:$B,Listas!$C:$C,"")</f>
        <v xml:space="preserve">Amerant Bank </v>
      </c>
      <c r="F993" s="41" t="s">
        <v>10</v>
      </c>
      <c r="G993" s="41" t="s">
        <v>44</v>
      </c>
      <c r="H993" s="4" t="str">
        <f>IFERROR(_xlfn.XLOOKUP(G993,Listas!E:E,Listas!F:F,""),"")</f>
        <v>Operativo</v>
      </c>
      <c r="I993" s="46" t="str">
        <f>IFERROR(_xlfn.XLOOKUP(G993,Listas!E:E,Listas!G:G,""),"")</f>
        <v>Externo</v>
      </c>
      <c r="J993" s="43">
        <v>15</v>
      </c>
      <c r="K993" s="5">
        <f t="shared" si="15"/>
        <v>-15</v>
      </c>
      <c r="L993" s="15" t="s">
        <v>133</v>
      </c>
      <c r="M993" s="44">
        <f>SUMIFS('Saldos Iniciales'!$D:$D,'Saldos Iniciales'!$A:$A,C993,'Saldos Iniciales'!$B:$B,D993)+SUMIFS($K$1:$K$1324,$C$1:$C$1324,C993,$D$1:$D$1324,D993,$B$1:$B$1324,"&lt;="&amp;B993)</f>
        <v>16164.689999999999</v>
      </c>
      <c r="N993" s="61" t="str">
        <f>IF(tblMovimientos[[#This Row],[Tipo de Movimiento]]="Ingreso",tblMovimientos[[#This Row],[Monto (S/)]],"0")</f>
        <v>0</v>
      </c>
      <c r="O993" s="61">
        <f>IF(tblMovimientos[[#This Row],[Tipo de Movimiento]]="Egreso",tblMovimientos[[#This Row],[Monto (S/)]],"0")</f>
        <v>15</v>
      </c>
      <c r="P993" s="28">
        <f>IF(tblMovimientos[[#This Row],[Tipo de Movimiento]]="Ingreso",tblMovimientos[[#This Row],[Ingreso]],-tblMovimientos[[#This Row],[Egreso]])</f>
        <v>-15</v>
      </c>
      <c r="Q993" s="78" t="str">
        <f>_xlfn.XLOOKUP(tblMovimientos[[#This Row],[Cuenta Bancaria]],Cuentas!$C:$C,Cuentas!$A:$A,"")&amp;""</f>
        <v>SSP Group</v>
      </c>
      <c r="R993" s="78" t="str">
        <f>_xlfn.XLOOKUP(tblMovimientos[[#This Row],[Cuenta Bancaria]],Cuentas!$C:$C,Cuentas!$B:$B,"",0,-1)&amp;""</f>
        <v/>
      </c>
    </row>
    <row r="994" spans="1:18" x14ac:dyDescent="0.3">
      <c r="B994" s="39">
        <v>46275</v>
      </c>
      <c r="C994" s="4" t="str">
        <f>_xlfn.XLOOKUP(tblMovimientos[[#This Row],[Cuenta Bancaria]],Listas!$B:$B,Listas!$A:$A,"")</f>
        <v>Go Blue</v>
      </c>
      <c r="D994" s="41" t="s">
        <v>126</v>
      </c>
      <c r="E994" s="68" t="str">
        <f>_xlfn.XLOOKUP(tblMovimientos[[#This Row],[Cuenta Bancaria]],Listas!$B:$B,Listas!$C:$C,"")</f>
        <v xml:space="preserve">Amerant Bank </v>
      </c>
      <c r="F994" s="41" t="s">
        <v>10</v>
      </c>
      <c r="G994" s="41" t="s">
        <v>64</v>
      </c>
      <c r="H994" s="4" t="str">
        <f>IFERROR(_xlfn.XLOOKUP(G994,Listas!E:E,Listas!F:F,""),"")</f>
        <v>Operativo</v>
      </c>
      <c r="I994" s="46" t="str">
        <f>IFERROR(_xlfn.XLOOKUP(G994,Listas!E:E,Listas!G:G,""),"")</f>
        <v>Interno</v>
      </c>
      <c r="J994" s="43">
        <v>5000</v>
      </c>
      <c r="K994" s="5">
        <f t="shared" si="15"/>
        <v>-5000</v>
      </c>
      <c r="L994" s="15" t="s">
        <v>133</v>
      </c>
      <c r="M994" s="44">
        <f>SUMIFS('Saldos Iniciales'!$D:$D,'Saldos Iniciales'!$A:$A,C994,'Saldos Iniciales'!$B:$B,D994)+SUMIFS($K$1:$K$1324,$C$1:$C$1324,C994,$D$1:$D$1324,D994,$B$1:$B$1324,"&lt;="&amp;B994)</f>
        <v>16164.689999999999</v>
      </c>
      <c r="N994" s="61" t="str">
        <f>IF(tblMovimientos[[#This Row],[Tipo de Movimiento]]="Ingreso",tblMovimientos[[#This Row],[Monto (S/)]],"0")</f>
        <v>0</v>
      </c>
      <c r="O994" s="61">
        <f>IF(tblMovimientos[[#This Row],[Tipo de Movimiento]]="Egreso",tblMovimientos[[#This Row],[Monto (S/)]],"0")</f>
        <v>5000</v>
      </c>
      <c r="P994" s="28">
        <f>IF(tblMovimientos[[#This Row],[Tipo de Movimiento]]="Ingreso",tblMovimientos[[#This Row],[Ingreso]],-tblMovimientos[[#This Row],[Egreso]])</f>
        <v>-5000</v>
      </c>
      <c r="Q994" s="78" t="str">
        <f>_xlfn.XLOOKUP(tblMovimientos[[#This Row],[Cuenta Bancaria]],Cuentas!$C:$C,Cuentas!$A:$A,"")&amp;""</f>
        <v>SSP Group</v>
      </c>
      <c r="R994" s="78" t="str">
        <f>_xlfn.XLOOKUP(tblMovimientos[[#This Row],[Cuenta Bancaria]],Cuentas!$C:$C,Cuentas!$B:$B,"",0,-1)&amp;""</f>
        <v/>
      </c>
    </row>
    <row r="995" spans="1:18" x14ac:dyDescent="0.3">
      <c r="B995" s="39">
        <v>46275</v>
      </c>
      <c r="C995" s="4" t="str">
        <f>_xlfn.XLOOKUP(tblMovimientos[[#This Row],[Cuenta Bancaria]],Listas!$B:$B,Listas!$A:$A,"")</f>
        <v>CFT1 Residence</v>
      </c>
      <c r="D995" s="41" t="s">
        <v>184</v>
      </c>
      <c r="E995" s="68" t="str">
        <f>_xlfn.XLOOKUP(tblMovimientos[[#This Row],[Cuenta Bancaria]],Listas!$B:$B,Listas!$C:$C,"")</f>
        <v xml:space="preserve">Amerant Bank </v>
      </c>
      <c r="F995" s="41" t="s">
        <v>9</v>
      </c>
      <c r="G995" s="41" t="s">
        <v>77</v>
      </c>
      <c r="H995" s="4" t="str">
        <f>IFERROR(_xlfn.XLOOKUP(G995,Listas!E:E,Listas!F:F,""),"")</f>
        <v>Inversion</v>
      </c>
      <c r="I995" s="46" t="str">
        <f>IFERROR(_xlfn.XLOOKUP(G995,Listas!E:E,Listas!G:G,""),"")</f>
        <v>Interno</v>
      </c>
      <c r="J995" s="43">
        <v>50000</v>
      </c>
      <c r="K995" s="5">
        <f t="shared" si="15"/>
        <v>50000</v>
      </c>
      <c r="L995" s="15" t="s">
        <v>133</v>
      </c>
      <c r="M995" s="44">
        <f>SUMIFS('Saldos Iniciales'!$D:$D,'Saldos Iniciales'!$A:$A,C995,'Saldos Iniciales'!$B:$B,D995)+SUMIFS($K$1:$K$1324,$C$1:$C$1324,C995,$D$1:$D$1324,D995,$B$1:$B$1324,"&lt;="&amp;B995)</f>
        <v>26657.35</v>
      </c>
      <c r="N995" s="61">
        <f>IF(tblMovimientos[[#This Row],[Tipo de Movimiento]]="Ingreso",tblMovimientos[[#This Row],[Monto (S/)]],"0")</f>
        <v>50000</v>
      </c>
      <c r="O995" s="61" t="str">
        <f>IF(tblMovimientos[[#This Row],[Tipo de Movimiento]]="Egreso",tblMovimientos[[#This Row],[Monto (S/)]],"0")</f>
        <v>0</v>
      </c>
      <c r="P995" s="28">
        <f>IF(tblMovimientos[[#This Row],[Tipo de Movimiento]]="Ingreso",tblMovimientos[[#This Row],[Ingreso]],-tblMovimientos[[#This Row],[Egreso]])</f>
        <v>50000</v>
      </c>
      <c r="Q995" s="78" t="str">
        <f>_xlfn.XLOOKUP(tblMovimientos[[#This Row],[Cuenta Bancaria]],Cuentas!$C:$C,Cuentas!$A:$A,"")&amp;""</f>
        <v>Carmen Cross Irrevocable Trust</v>
      </c>
      <c r="R995" s="78" t="str">
        <f>_xlfn.XLOOKUP(tblMovimientos[[#This Row],[Cuenta Bancaria]],Cuentas!$C:$C,Cuentas!$B:$B,"",0,-1)&amp;""</f>
        <v/>
      </c>
    </row>
    <row r="996" spans="1:18" x14ac:dyDescent="0.3">
      <c r="B996" s="39">
        <v>46275</v>
      </c>
      <c r="C996" s="4" t="str">
        <f>_xlfn.XLOOKUP(tblMovimientos[[#This Row],[Cuenta Bancaria]],Listas!$B:$B,Listas!$A:$A,"")</f>
        <v>CFT1 Residence</v>
      </c>
      <c r="D996" s="41" t="s">
        <v>184</v>
      </c>
      <c r="E996" s="68" t="str">
        <f>_xlfn.XLOOKUP(tblMovimientos[[#This Row],[Cuenta Bancaria]],Listas!$B:$B,Listas!$C:$C,"")</f>
        <v xml:space="preserve">Amerant Bank </v>
      </c>
      <c r="F996" s="41" t="s">
        <v>10</v>
      </c>
      <c r="G996" s="41" t="s">
        <v>38</v>
      </c>
      <c r="H996" s="4" t="str">
        <f>IFERROR(_xlfn.XLOOKUP(G996,Listas!E:E,Listas!F:F,""),"")</f>
        <v>Operativo</v>
      </c>
      <c r="I996" s="46" t="str">
        <f>IFERROR(_xlfn.XLOOKUP(G996,Listas!E:E,Listas!G:G,""),"")</f>
        <v>Externo</v>
      </c>
      <c r="J996" s="43">
        <v>724.25</v>
      </c>
      <c r="K996" s="5">
        <f t="shared" si="15"/>
        <v>-724.25</v>
      </c>
      <c r="L996" s="15" t="s">
        <v>133</v>
      </c>
      <c r="M996" s="44">
        <f>SUMIFS('Saldos Iniciales'!$D:$D,'Saldos Iniciales'!$A:$A,C996,'Saldos Iniciales'!$B:$B,D996)+SUMIFS($K$1:$K$1324,$C$1:$C$1324,C996,$D$1:$D$1324,D996,$B$1:$B$1324,"&lt;="&amp;B996)</f>
        <v>26657.35</v>
      </c>
      <c r="N996" s="61" t="str">
        <f>IF(tblMovimientos[[#This Row],[Tipo de Movimiento]]="Ingreso",tblMovimientos[[#This Row],[Monto (S/)]],"0")</f>
        <v>0</v>
      </c>
      <c r="O996" s="61">
        <f>IF(tblMovimientos[[#This Row],[Tipo de Movimiento]]="Egreso",tblMovimientos[[#This Row],[Monto (S/)]],"0")</f>
        <v>724.25</v>
      </c>
      <c r="P996" s="28">
        <f>IF(tblMovimientos[[#This Row],[Tipo de Movimiento]]="Ingreso",tblMovimientos[[#This Row],[Ingreso]],-tblMovimientos[[#This Row],[Egreso]])</f>
        <v>-724.25</v>
      </c>
      <c r="Q996" s="78" t="str">
        <f>_xlfn.XLOOKUP(tblMovimientos[[#This Row],[Cuenta Bancaria]],Cuentas!$C:$C,Cuentas!$A:$A,"")&amp;""</f>
        <v>Carmen Cross Irrevocable Trust</v>
      </c>
      <c r="R996" s="78" t="str">
        <f>_xlfn.XLOOKUP(tblMovimientos[[#This Row],[Cuenta Bancaria]],Cuentas!$C:$C,Cuentas!$B:$B,"",0,-1)&amp;""</f>
        <v/>
      </c>
    </row>
    <row r="997" spans="1:18" x14ac:dyDescent="0.3">
      <c r="B997" s="39">
        <v>46275</v>
      </c>
      <c r="C997" s="4" t="str">
        <f>_xlfn.XLOOKUP(tblMovimientos[[#This Row],[Cuenta Bancaria]],Listas!$B:$B,Listas!$A:$A,"")</f>
        <v>CFT1 Residence</v>
      </c>
      <c r="D997" s="41" t="s">
        <v>184</v>
      </c>
      <c r="E997" s="68" t="str">
        <f>_xlfn.XLOOKUP(tblMovimientos[[#This Row],[Cuenta Bancaria]],Listas!$B:$B,Listas!$C:$C,"")</f>
        <v xml:space="preserve">Amerant Bank </v>
      </c>
      <c r="F997" s="41" t="s">
        <v>10</v>
      </c>
      <c r="G997" s="41" t="s">
        <v>38</v>
      </c>
      <c r="H997" s="4" t="str">
        <f>IFERROR(_xlfn.XLOOKUP(G997,Listas!E:E,Listas!F:F,""),"")</f>
        <v>Operativo</v>
      </c>
      <c r="I997" s="46" t="str">
        <f>IFERROR(_xlfn.XLOOKUP(G997,Listas!E:E,Listas!G:G,""),"")</f>
        <v>Externo</v>
      </c>
      <c r="J997" s="43">
        <v>65.239999999999995</v>
      </c>
      <c r="K997" s="5">
        <f t="shared" si="15"/>
        <v>-65.239999999999995</v>
      </c>
      <c r="L997" s="15" t="s">
        <v>133</v>
      </c>
      <c r="M997" s="44">
        <f>SUMIFS('Saldos Iniciales'!$D:$D,'Saldos Iniciales'!$A:$A,C997,'Saldos Iniciales'!$B:$B,D997)+SUMIFS($K$1:$K$1324,$C$1:$C$1324,C997,$D$1:$D$1324,D997,$B$1:$B$1324,"&lt;="&amp;B997)</f>
        <v>26657.35</v>
      </c>
      <c r="N997" s="61" t="str">
        <f>IF(tblMovimientos[[#This Row],[Tipo de Movimiento]]="Ingreso",tblMovimientos[[#This Row],[Monto (S/)]],"0")</f>
        <v>0</v>
      </c>
      <c r="O997" s="61">
        <f>IF(tblMovimientos[[#This Row],[Tipo de Movimiento]]="Egreso",tblMovimientos[[#This Row],[Monto (S/)]],"0")</f>
        <v>65.239999999999995</v>
      </c>
      <c r="P997" s="28">
        <f>IF(tblMovimientos[[#This Row],[Tipo de Movimiento]]="Ingreso",tblMovimientos[[#This Row],[Ingreso]],-tblMovimientos[[#This Row],[Egreso]])</f>
        <v>-65.239999999999995</v>
      </c>
      <c r="Q997" s="78" t="str">
        <f>_xlfn.XLOOKUP(tblMovimientos[[#This Row],[Cuenta Bancaria]],Cuentas!$C:$C,Cuentas!$A:$A,"")&amp;""</f>
        <v>Carmen Cross Irrevocable Trust</v>
      </c>
      <c r="R997" s="78" t="str">
        <f>_xlfn.XLOOKUP(tblMovimientos[[#This Row],[Cuenta Bancaria]],Cuentas!$C:$C,Cuentas!$B:$B,"",0,-1)&amp;""</f>
        <v/>
      </c>
    </row>
    <row r="998" spans="1:18" x14ac:dyDescent="0.3">
      <c r="A998" s="45"/>
      <c r="B998" s="39">
        <v>46275</v>
      </c>
      <c r="C998" s="4" t="str">
        <f>_xlfn.XLOOKUP(tblMovimientos[[#This Row],[Cuenta Bancaria]],Listas!$B:$B,Listas!$A:$A,"")</f>
        <v>CFT1 Residence</v>
      </c>
      <c r="D998" s="41" t="s">
        <v>184</v>
      </c>
      <c r="E998" s="68" t="str">
        <f>_xlfn.XLOOKUP(tblMovimientos[[#This Row],[Cuenta Bancaria]],Listas!$B:$B,Listas!$C:$C,"")</f>
        <v xml:space="preserve">Amerant Bank </v>
      </c>
      <c r="F998" s="41" t="s">
        <v>10</v>
      </c>
      <c r="G998" s="41" t="s">
        <v>38</v>
      </c>
      <c r="H998" s="46" t="str">
        <f>IFERROR(_xlfn.XLOOKUP(G998,Listas!E:E,Listas!F:F,""),"")</f>
        <v>Operativo</v>
      </c>
      <c r="I998" s="46" t="str">
        <f>IFERROR(_xlfn.XLOOKUP(G998,Listas!E:E,Listas!G:G,""),"")</f>
        <v>Externo</v>
      </c>
      <c r="J998" s="43">
        <v>39855.519999999997</v>
      </c>
      <c r="K998" s="5">
        <f t="shared" si="15"/>
        <v>-39855.519999999997</v>
      </c>
      <c r="L998" s="15" t="s">
        <v>133</v>
      </c>
      <c r="M998" s="44">
        <f>SUMIFS('Saldos Iniciales'!$D:$D,'Saldos Iniciales'!$A:$A,C998,'Saldos Iniciales'!$B:$B,D998)+SUMIFS($K$1:$K$1324,$C$1:$C$1324,C998,$D$1:$D$1324,D998,$B$1:$B$1324,"&lt;="&amp;B998)</f>
        <v>26657.35</v>
      </c>
      <c r="N998" s="61" t="str">
        <f>IF(tblMovimientos[[#This Row],[Tipo de Movimiento]]="Ingreso",tblMovimientos[[#This Row],[Monto (S/)]],"0")</f>
        <v>0</v>
      </c>
      <c r="O998" s="61">
        <f>IF(tblMovimientos[[#This Row],[Tipo de Movimiento]]="Egreso",tblMovimientos[[#This Row],[Monto (S/)]],"0")</f>
        <v>39855.519999999997</v>
      </c>
      <c r="P998" s="28">
        <f>IF(tblMovimientos[[#This Row],[Tipo de Movimiento]]="Ingreso",tblMovimientos[[#This Row],[Ingreso]],-tblMovimientos[[#This Row],[Egreso]])</f>
        <v>-39855.519999999997</v>
      </c>
      <c r="Q998" s="78" t="str">
        <f>_xlfn.XLOOKUP(tblMovimientos[[#This Row],[Cuenta Bancaria]],Cuentas!$C:$C,Cuentas!$A:$A,"")&amp;""</f>
        <v>Carmen Cross Irrevocable Trust</v>
      </c>
      <c r="R998" s="78" t="str">
        <f>_xlfn.XLOOKUP(tblMovimientos[[#This Row],[Cuenta Bancaria]],Cuentas!$C:$C,Cuentas!$B:$B,"",0,-1)&amp;""</f>
        <v/>
      </c>
    </row>
    <row r="999" spans="1:18" x14ac:dyDescent="0.3">
      <c r="A999" s="76"/>
      <c r="B999" s="70">
        <v>46275</v>
      </c>
      <c r="C999" s="4" t="str">
        <f>_xlfn.XLOOKUP(tblMovimientos[[#This Row],[Cuenta Bancaria]],Listas!$B:$B,Listas!$A:$A,"")</f>
        <v>Carmen Cross Irrevocable Trust</v>
      </c>
      <c r="D999" s="72" t="s">
        <v>183</v>
      </c>
      <c r="E999" s="68" t="str">
        <f>_xlfn.XLOOKUP(tblMovimientos[[#This Row],[Cuenta Bancaria]],Listas!$B:$B,Listas!$C:$C,"")</f>
        <v xml:space="preserve">Amerant Bank </v>
      </c>
      <c r="F999" s="72" t="s">
        <v>9</v>
      </c>
      <c r="G999" s="72" t="s">
        <v>75</v>
      </c>
      <c r="H999" s="77" t="str">
        <f>IFERROR(_xlfn.XLOOKUP(G999,Listas!E:E,Listas!F:F,""),"")</f>
        <v>Financiamiento</v>
      </c>
      <c r="I999" s="71" t="str">
        <f>IFERROR(_xlfn.XLOOKUP(G999,Listas!E:E,Listas!G:G,""),"")</f>
        <v>Interno</v>
      </c>
      <c r="J999" s="73">
        <v>50000</v>
      </c>
      <c r="K999" s="5">
        <f t="shared" si="15"/>
        <v>50000</v>
      </c>
      <c r="L999" s="74" t="s">
        <v>133</v>
      </c>
      <c r="M999" s="44">
        <f>SUMIFS('Saldos Iniciales'!$D:$D,'Saldos Iniciales'!$A:$A,C999,'Saldos Iniciales'!$B:$B,D999)+SUMIFS($K$1:$K$1324,$C$1:$C$1324,C999,$D$1:$D$1324,D999,$B$1:$B$1324,"&lt;="&amp;B999)</f>
        <v>3631.96</v>
      </c>
      <c r="N999" s="61">
        <f>IF(tblMovimientos[[#This Row],[Tipo de Movimiento]]="Ingreso",tblMovimientos[[#This Row],[Monto (S/)]],"0")</f>
        <v>50000</v>
      </c>
      <c r="O999" s="61" t="str">
        <f>IF(tblMovimientos[[#This Row],[Tipo de Movimiento]]="Egreso",tblMovimientos[[#This Row],[Monto (S/)]],"0")</f>
        <v>0</v>
      </c>
      <c r="P999" s="28">
        <f>IF(tblMovimientos[[#This Row],[Tipo de Movimiento]]="Ingreso",tblMovimientos[[#This Row],[Ingreso]],-tblMovimientos[[#This Row],[Egreso]])</f>
        <v>50000</v>
      </c>
      <c r="Q999" s="78" t="str">
        <f>_xlfn.XLOOKUP(tblMovimientos[[#This Row],[Cuenta Bancaria]],Cuentas!$C:$C,Cuentas!$A:$A,"")&amp;""</f>
        <v>Carmen Cross Irrevocable Trust</v>
      </c>
      <c r="R999" s="78" t="str">
        <f>_xlfn.XLOOKUP(tblMovimientos[[#This Row],[Cuenta Bancaria]],Cuentas!$C:$C,Cuentas!$B:$B,"",0,-1)&amp;""</f>
        <v>Trust</v>
      </c>
    </row>
    <row r="1000" spans="1:18" x14ac:dyDescent="0.3">
      <c r="B1000" s="39">
        <v>46275</v>
      </c>
      <c r="C1000" s="4" t="str">
        <f>_xlfn.XLOOKUP(tblMovimientos[[#This Row],[Cuenta Bancaria]],Listas!$B:$B,Listas!$A:$A,"")</f>
        <v>Carmen Cross Irrevocable Trust</v>
      </c>
      <c r="D1000" s="41" t="s">
        <v>183</v>
      </c>
      <c r="E1000" s="68" t="str">
        <f>_xlfn.XLOOKUP(tblMovimientos[[#This Row],[Cuenta Bancaria]],Listas!$B:$B,Listas!$C:$C,"")</f>
        <v xml:space="preserve">Amerant Bank </v>
      </c>
      <c r="F1000" s="41" t="s">
        <v>10</v>
      </c>
      <c r="G1000" s="41" t="s">
        <v>62</v>
      </c>
      <c r="H1000" s="4" t="str">
        <f>IFERROR(_xlfn.XLOOKUP(G1000,Listas!E:E,Listas!F:F,""),"")</f>
        <v>Operativo</v>
      </c>
      <c r="I1000" s="46" t="str">
        <f>IFERROR(_xlfn.XLOOKUP(G1000,Listas!E:E,Listas!G:G,""),"")</f>
        <v>Interno</v>
      </c>
      <c r="J1000" s="43">
        <v>50000</v>
      </c>
      <c r="K1000" s="5">
        <f t="shared" si="15"/>
        <v>-50000</v>
      </c>
      <c r="L1000" s="15" t="s">
        <v>133</v>
      </c>
      <c r="M1000" s="44">
        <f>SUMIFS('Saldos Iniciales'!$D:$D,'Saldos Iniciales'!$A:$A,C1000,'Saldos Iniciales'!$B:$B,D1000)+SUMIFS($K$1:$K$1324,$C$1:$C$1324,C1000,$D$1:$D$1324,D1000,$B$1:$B$1324,"&lt;="&amp;B1000)</f>
        <v>3631.96</v>
      </c>
      <c r="N1000" s="61" t="str">
        <f>IF(tblMovimientos[[#This Row],[Tipo de Movimiento]]="Ingreso",tblMovimientos[[#This Row],[Monto (S/)]],"0")</f>
        <v>0</v>
      </c>
      <c r="O1000" s="61">
        <f>IF(tblMovimientos[[#This Row],[Tipo de Movimiento]]="Egreso",tblMovimientos[[#This Row],[Monto (S/)]],"0")</f>
        <v>50000</v>
      </c>
      <c r="P1000" s="28">
        <f>IF(tblMovimientos[[#This Row],[Tipo de Movimiento]]="Ingreso",tblMovimientos[[#This Row],[Ingreso]],-tblMovimientos[[#This Row],[Egreso]])</f>
        <v>-50000</v>
      </c>
      <c r="Q1000" s="78" t="str">
        <f>_xlfn.XLOOKUP(tblMovimientos[[#This Row],[Cuenta Bancaria]],Cuentas!$C:$C,Cuentas!$A:$A,"")&amp;""</f>
        <v>Carmen Cross Irrevocable Trust</v>
      </c>
      <c r="R1000" s="78" t="str">
        <f>_xlfn.XLOOKUP(tblMovimientos[[#This Row],[Cuenta Bancaria]],Cuentas!$C:$C,Cuentas!$B:$B,"",0,-1)&amp;""</f>
        <v>Trust</v>
      </c>
    </row>
    <row r="1001" spans="1:18" x14ac:dyDescent="0.3">
      <c r="B1001" s="39">
        <v>46275</v>
      </c>
      <c r="C1001" s="4" t="str">
        <f>_xlfn.XLOOKUP(tblMovimientos[[#This Row],[Cuenta Bancaria]],Listas!$B:$B,Listas!$A:$A,"")</f>
        <v>Nobe Aparments</v>
      </c>
      <c r="D1001" s="41" t="s">
        <v>191</v>
      </c>
      <c r="E1001" s="68" t="str">
        <f>_xlfn.XLOOKUP(tblMovimientos[[#This Row],[Cuenta Bancaria]],Listas!$B:$B,Listas!$C:$C,"")</f>
        <v>Bank of America</v>
      </c>
      <c r="F1001" s="41" t="s">
        <v>10</v>
      </c>
      <c r="G1001" s="41" t="s">
        <v>38</v>
      </c>
      <c r="H1001" s="4" t="str">
        <f>IFERROR(_xlfn.XLOOKUP(G1001,Listas!E:E,Listas!F:F,""),"")</f>
        <v>Operativo</v>
      </c>
      <c r="I1001" s="46" t="str">
        <f>IFERROR(_xlfn.XLOOKUP(G1001,Listas!E:E,Listas!G:G,""),"")</f>
        <v>Externo</v>
      </c>
      <c r="J1001" s="43">
        <v>97.84</v>
      </c>
      <c r="K1001" s="5">
        <f t="shared" si="15"/>
        <v>-97.84</v>
      </c>
      <c r="L1001" s="15" t="s">
        <v>133</v>
      </c>
      <c r="M1001" s="44">
        <f>SUMIFS('Saldos Iniciales'!$D:$D,'Saldos Iniciales'!$A:$A,C1001,'Saldos Iniciales'!$B:$B,D1001)+SUMIFS($K$1:$K$1324,$C$1:$C$1324,C1001,$D$1:$D$1324,D1001,$B$1:$B$1324,"&lt;="&amp;B1001)</f>
        <v>210795.68</v>
      </c>
      <c r="N1001" s="61" t="str">
        <f>IF(tblMovimientos[[#This Row],[Tipo de Movimiento]]="Ingreso",tblMovimientos[[#This Row],[Monto (S/)]],"0")</f>
        <v>0</v>
      </c>
      <c r="O1001" s="61">
        <f>IF(tblMovimientos[[#This Row],[Tipo de Movimiento]]="Egreso",tblMovimientos[[#This Row],[Monto (S/)]],"0")</f>
        <v>97.84</v>
      </c>
      <c r="P1001" s="28">
        <f>IF(tblMovimientos[[#This Row],[Tipo de Movimiento]]="Ingreso",tblMovimientos[[#This Row],[Ingreso]],-tblMovimientos[[#This Row],[Egreso]])</f>
        <v>-97.84</v>
      </c>
      <c r="Q1001" s="78" t="str">
        <f>_xlfn.XLOOKUP(tblMovimientos[[#This Row],[Cuenta Bancaria]],Cuentas!$C:$C,Cuentas!$A:$A,"")&amp;""</f>
        <v>Estate</v>
      </c>
      <c r="R1001" s="78" t="str">
        <f>_xlfn.XLOOKUP(tblMovimientos[[#This Row],[Cuenta Bancaria]],Cuentas!$C:$C,Cuentas!$B:$B,"",0,-1)&amp;""</f>
        <v/>
      </c>
    </row>
    <row r="1002" spans="1:18" x14ac:dyDescent="0.3">
      <c r="B1002" s="39">
        <v>46276</v>
      </c>
      <c r="C1002" s="4" t="str">
        <f>_xlfn.XLOOKUP(tblMovimientos[[#This Row],[Cuenta Bancaria]],Listas!$B:$B,Listas!$A:$A,"")</f>
        <v>A&amp;M Imports</v>
      </c>
      <c r="D1002" s="41" t="s">
        <v>100</v>
      </c>
      <c r="E1002" s="68" t="str">
        <f>_xlfn.XLOOKUP(tblMovimientos[[#This Row],[Cuenta Bancaria]],Listas!$B:$B,Listas!$C:$C,"")</f>
        <v>Bank of America</v>
      </c>
      <c r="F1002" s="41" t="s">
        <v>10</v>
      </c>
      <c r="G1002" s="41" t="s">
        <v>45</v>
      </c>
      <c r="H1002" s="4" t="str">
        <f>IFERROR(_xlfn.XLOOKUP(G1002,Listas!E:E,Listas!F:F,""),"")</f>
        <v>Operativo</v>
      </c>
      <c r="I1002" s="46" t="str">
        <f>IFERROR(_xlfn.XLOOKUP(G1002,Listas!E:E,Listas!G:G,""),"")</f>
        <v>Externo</v>
      </c>
      <c r="J1002" s="43">
        <v>45</v>
      </c>
      <c r="K1002" s="5">
        <f t="shared" si="15"/>
        <v>-45</v>
      </c>
      <c r="L1002" s="15" t="s">
        <v>133</v>
      </c>
      <c r="M1002" s="44">
        <f>SUMIFS('Saldos Iniciales'!$D:$D,'Saldos Iniciales'!$A:$A,C1002,'Saldos Iniciales'!$B:$B,D1002)+SUMIFS($K$1:$K$1324,$C$1:$C$1324,C1002,$D$1:$D$1324,D1002,$B$1:$B$1324,"&lt;="&amp;B1002)</f>
        <v>1089124.99</v>
      </c>
      <c r="N1002" s="61" t="str">
        <f>IF(tblMovimientos[[#This Row],[Tipo de Movimiento]]="Ingreso",tblMovimientos[[#This Row],[Monto (S/)]],"0")</f>
        <v>0</v>
      </c>
      <c r="O1002" s="61">
        <f>IF(tblMovimientos[[#This Row],[Tipo de Movimiento]]="Egreso",tblMovimientos[[#This Row],[Monto (S/)]],"0")</f>
        <v>45</v>
      </c>
      <c r="P1002" s="28">
        <f>IF(tblMovimientos[[#This Row],[Tipo de Movimiento]]="Ingreso",tblMovimientos[[#This Row],[Ingreso]],-tblMovimientos[[#This Row],[Egreso]])</f>
        <v>-45</v>
      </c>
      <c r="Q1002" s="78" t="str">
        <f>_xlfn.XLOOKUP(tblMovimientos[[#This Row],[Cuenta Bancaria]],Cuentas!$C:$C,Cuentas!$A:$A,"")&amp;""</f>
        <v>SSP Group</v>
      </c>
      <c r="R1002" s="78" t="str">
        <f>_xlfn.XLOOKUP(tblMovimientos[[#This Row],[Cuenta Bancaria]],Cuentas!$C:$C,Cuentas!$B:$B,"",0,-1)&amp;""</f>
        <v/>
      </c>
    </row>
    <row r="1003" spans="1:18" x14ac:dyDescent="0.3">
      <c r="B1003" s="39">
        <v>46276</v>
      </c>
      <c r="C1003" s="4" t="str">
        <f>_xlfn.XLOOKUP(tblMovimientos[[#This Row],[Cuenta Bancaria]],Listas!$B:$B,Listas!$A:$A,"")</f>
        <v>CFT Group</v>
      </c>
      <c r="D1003" s="41" t="s">
        <v>94</v>
      </c>
      <c r="E1003" s="68" t="str">
        <f>_xlfn.XLOOKUP(tblMovimientos[[#This Row],[Cuenta Bancaria]],Listas!$B:$B,Listas!$C:$C,"")</f>
        <v>Bank of America</v>
      </c>
      <c r="F1003" s="41" t="s">
        <v>9</v>
      </c>
      <c r="G1003" s="41" t="s">
        <v>68</v>
      </c>
      <c r="H1003" s="4" t="str">
        <f>IFERROR(_xlfn.XLOOKUP(G1003,Listas!E:E,Listas!F:F,""),"")</f>
        <v>Operativo</v>
      </c>
      <c r="I1003" s="46" t="str">
        <f>IFERROR(_xlfn.XLOOKUP(G1003,Listas!E:E,Listas!G:G,""),"")</f>
        <v>Externo</v>
      </c>
      <c r="J1003" s="43">
        <v>80126.2</v>
      </c>
      <c r="K1003" s="5">
        <f t="shared" si="15"/>
        <v>80126.2</v>
      </c>
      <c r="L1003" s="15" t="s">
        <v>133</v>
      </c>
      <c r="M1003" s="44">
        <f>SUMIFS('Saldos Iniciales'!$D:$D,'Saldos Iniciales'!$A:$A,C1003,'Saldos Iniciales'!$B:$B,D1003)+SUMIFS($K$1:$K$1324,$C$1:$C$1324,C1003,$D$1:$D$1324,D1003,$B$1:$B$1324,"&lt;="&amp;B1003)</f>
        <v>372222.02999999997</v>
      </c>
      <c r="N1003" s="61">
        <f>IF(tblMovimientos[[#This Row],[Tipo de Movimiento]]="Ingreso",tblMovimientos[[#This Row],[Monto (S/)]],"0")</f>
        <v>80126.2</v>
      </c>
      <c r="O1003" s="61" t="str">
        <f>IF(tblMovimientos[[#This Row],[Tipo de Movimiento]]="Egreso",tblMovimientos[[#This Row],[Monto (S/)]],"0")</f>
        <v>0</v>
      </c>
      <c r="P1003" s="28">
        <f>IF(tblMovimientos[[#This Row],[Tipo de Movimiento]]="Ingreso",tblMovimientos[[#This Row],[Ingreso]],-tblMovimientos[[#This Row],[Egreso]])</f>
        <v>80126.2</v>
      </c>
      <c r="Q1003" s="78" t="str">
        <f>_xlfn.XLOOKUP(tblMovimientos[[#This Row],[Cuenta Bancaria]],Cuentas!$C:$C,Cuentas!$A:$A,"")&amp;""</f>
        <v>SSP Group</v>
      </c>
      <c r="R1003" s="78" t="str">
        <f>_xlfn.XLOOKUP(tblMovimientos[[#This Row],[Cuenta Bancaria]],Cuentas!$C:$C,Cuentas!$B:$B,"",0,-1)&amp;""</f>
        <v/>
      </c>
    </row>
    <row r="1004" spans="1:18" x14ac:dyDescent="0.3">
      <c r="B1004" s="39">
        <v>46276</v>
      </c>
      <c r="C1004" s="4" t="str">
        <f>_xlfn.XLOOKUP(tblMovimientos[[#This Row],[Cuenta Bancaria]],Listas!$B:$B,Listas!$A:$A,"")</f>
        <v>CFT Group</v>
      </c>
      <c r="D1004" s="41" t="s">
        <v>94</v>
      </c>
      <c r="E1004" s="68" t="str">
        <f>_xlfn.XLOOKUP(tblMovimientos[[#This Row],[Cuenta Bancaria]],Listas!$B:$B,Listas!$C:$C,"")</f>
        <v>Bank of America</v>
      </c>
      <c r="F1004" s="41" t="s">
        <v>9</v>
      </c>
      <c r="G1004" s="41" t="s">
        <v>68</v>
      </c>
      <c r="H1004" s="4" t="str">
        <f>IFERROR(_xlfn.XLOOKUP(G1004,Listas!E:E,Listas!F:F,""),"")</f>
        <v>Operativo</v>
      </c>
      <c r="I1004" s="46" t="str">
        <f>IFERROR(_xlfn.XLOOKUP(G1004,Listas!E:E,Listas!G:G,""),"")</f>
        <v>Externo</v>
      </c>
      <c r="J1004" s="43">
        <v>124724.8</v>
      </c>
      <c r="K1004" s="5">
        <f t="shared" si="15"/>
        <v>124724.8</v>
      </c>
      <c r="L1004" s="15" t="s">
        <v>133</v>
      </c>
      <c r="M1004" s="44">
        <f>SUMIFS('Saldos Iniciales'!$D:$D,'Saldos Iniciales'!$A:$A,C1004,'Saldos Iniciales'!$B:$B,D1004)+SUMIFS($K$1:$K$1324,$C$1:$C$1324,C1004,$D$1:$D$1324,D1004,$B$1:$B$1324,"&lt;="&amp;B1004)</f>
        <v>372222.02999999997</v>
      </c>
      <c r="N1004" s="61">
        <f>IF(tblMovimientos[[#This Row],[Tipo de Movimiento]]="Ingreso",tblMovimientos[[#This Row],[Monto (S/)]],"0")</f>
        <v>124724.8</v>
      </c>
      <c r="O1004" s="61" t="str">
        <f>IF(tblMovimientos[[#This Row],[Tipo de Movimiento]]="Egreso",tblMovimientos[[#This Row],[Monto (S/)]],"0")</f>
        <v>0</v>
      </c>
      <c r="P1004" s="28">
        <f>IF(tblMovimientos[[#This Row],[Tipo de Movimiento]]="Ingreso",tblMovimientos[[#This Row],[Ingreso]],-tblMovimientos[[#This Row],[Egreso]])</f>
        <v>124724.8</v>
      </c>
      <c r="Q1004" s="78" t="str">
        <f>_xlfn.XLOOKUP(tblMovimientos[[#This Row],[Cuenta Bancaria]],Cuentas!$C:$C,Cuentas!$A:$A,"")&amp;""</f>
        <v>SSP Group</v>
      </c>
      <c r="R1004" s="78" t="str">
        <f>_xlfn.XLOOKUP(tblMovimientos[[#This Row],[Cuenta Bancaria]],Cuentas!$C:$C,Cuentas!$B:$B,"",0,-1)&amp;""</f>
        <v/>
      </c>
    </row>
    <row r="1005" spans="1:18" x14ac:dyDescent="0.3">
      <c r="B1005" s="39">
        <v>46276</v>
      </c>
      <c r="C1005" s="4" t="str">
        <f>_xlfn.XLOOKUP(tblMovimientos[[#This Row],[Cuenta Bancaria]],Listas!$B:$B,Listas!$A:$A,"")</f>
        <v>112 Florida Ave</v>
      </c>
      <c r="D1005" s="41" t="s">
        <v>123</v>
      </c>
      <c r="E1005" s="68" t="str">
        <f>_xlfn.XLOOKUP(tblMovimientos[[#This Row],[Cuenta Bancaria]],Listas!$B:$B,Listas!$C:$C,"")</f>
        <v>Bank of America</v>
      </c>
      <c r="F1005" s="41" t="s">
        <v>10</v>
      </c>
      <c r="G1005" s="41" t="s">
        <v>38</v>
      </c>
      <c r="H1005" s="4" t="str">
        <f>IFERROR(_xlfn.XLOOKUP(G1005,Listas!E:E,Listas!F:F,""),"")</f>
        <v>Operativo</v>
      </c>
      <c r="I1005" s="46" t="str">
        <f>IFERROR(_xlfn.XLOOKUP(G1005,Listas!E:E,Listas!G:G,""),"")</f>
        <v>Externo</v>
      </c>
      <c r="J1005" s="43">
        <v>477.91</v>
      </c>
      <c r="K1005" s="5">
        <f t="shared" si="15"/>
        <v>-477.91</v>
      </c>
      <c r="L1005" s="15" t="s">
        <v>133</v>
      </c>
      <c r="M1005" s="44">
        <f>SUMIFS('Saldos Iniciales'!$D:$D,'Saldos Iniciales'!$A:$A,C1005,'Saldos Iniciales'!$B:$B,D1005)+SUMIFS($K$1:$K$1324,$C$1:$C$1324,C1005,$D$1:$D$1324,D1005,$B$1:$B$1324,"&lt;="&amp;B1005)</f>
        <v>16282.630000000006</v>
      </c>
      <c r="N1005" s="61" t="str">
        <f>IF(tblMovimientos[[#This Row],[Tipo de Movimiento]]="Ingreso",tblMovimientos[[#This Row],[Monto (S/)]],"0")</f>
        <v>0</v>
      </c>
      <c r="O1005" s="61">
        <f>IF(tblMovimientos[[#This Row],[Tipo de Movimiento]]="Egreso",tblMovimientos[[#This Row],[Monto (S/)]],"0")</f>
        <v>477.91</v>
      </c>
      <c r="P1005" s="28">
        <f>IF(tblMovimientos[[#This Row],[Tipo de Movimiento]]="Ingreso",tblMovimientos[[#This Row],[Ingreso]],-tblMovimientos[[#This Row],[Egreso]])</f>
        <v>-477.91</v>
      </c>
      <c r="Q1005" s="78" t="str">
        <f>_xlfn.XLOOKUP(tblMovimientos[[#This Row],[Cuenta Bancaria]],Cuentas!$C:$C,Cuentas!$A:$A,"")&amp;""</f>
        <v>SSP Group</v>
      </c>
      <c r="R1005" s="78" t="str">
        <f>_xlfn.XLOOKUP(tblMovimientos[[#This Row],[Cuenta Bancaria]],Cuentas!$C:$C,Cuentas!$B:$B,"",0,-1)&amp;""</f>
        <v/>
      </c>
    </row>
    <row r="1006" spans="1:18" x14ac:dyDescent="0.3">
      <c r="B1006" s="39">
        <v>46276</v>
      </c>
      <c r="C1006" s="4" t="str">
        <f>_xlfn.XLOOKUP(tblMovimientos[[#This Row],[Cuenta Bancaria]],Listas!$B:$B,Listas!$A:$A,"")</f>
        <v>3628 Thomas Ave</v>
      </c>
      <c r="D1006" s="41" t="s">
        <v>124</v>
      </c>
      <c r="E1006" s="68" t="str">
        <f>_xlfn.XLOOKUP(tblMovimientos[[#This Row],[Cuenta Bancaria]],Listas!$B:$B,Listas!$C:$C,"")</f>
        <v>Bank of America</v>
      </c>
      <c r="F1006" s="41" t="s">
        <v>10</v>
      </c>
      <c r="G1006" s="41" t="s">
        <v>38</v>
      </c>
      <c r="H1006" s="4" t="str">
        <f>IFERROR(_xlfn.XLOOKUP(G1006,Listas!E:E,Listas!F:F,""),"")</f>
        <v>Operativo</v>
      </c>
      <c r="I1006" s="46" t="str">
        <f>IFERROR(_xlfn.XLOOKUP(G1006,Listas!E:E,Listas!G:G,""),"")</f>
        <v>Externo</v>
      </c>
      <c r="J1006" s="43">
        <v>477.91</v>
      </c>
      <c r="K1006" s="5">
        <f t="shared" si="15"/>
        <v>-477.91</v>
      </c>
      <c r="L1006" s="15" t="s">
        <v>133</v>
      </c>
      <c r="M1006" s="44">
        <f>SUMIFS('Saldos Iniciales'!$D:$D,'Saldos Iniciales'!$A:$A,C1006,'Saldos Iniciales'!$B:$B,D1006)+SUMIFS($K$1:$K$1324,$C$1:$C$1324,C1006,$D$1:$D$1324,D1006,$B$1:$B$1324,"&lt;="&amp;B1006)</f>
        <v>13339.389999999996</v>
      </c>
      <c r="N1006" s="61" t="str">
        <f>IF(tblMovimientos[[#This Row],[Tipo de Movimiento]]="Ingreso",tblMovimientos[[#This Row],[Monto (S/)]],"0")</f>
        <v>0</v>
      </c>
      <c r="O1006" s="61">
        <f>IF(tblMovimientos[[#This Row],[Tipo de Movimiento]]="Egreso",tblMovimientos[[#This Row],[Monto (S/)]],"0")</f>
        <v>477.91</v>
      </c>
      <c r="P1006" s="28">
        <f>IF(tblMovimientos[[#This Row],[Tipo de Movimiento]]="Ingreso",tblMovimientos[[#This Row],[Ingreso]],-tblMovimientos[[#This Row],[Egreso]])</f>
        <v>-477.91</v>
      </c>
      <c r="Q1006" s="78" t="str">
        <f>_xlfn.XLOOKUP(tblMovimientos[[#This Row],[Cuenta Bancaria]],Cuentas!$C:$C,Cuentas!$A:$A,"")&amp;""</f>
        <v>SSP Group</v>
      </c>
      <c r="R1006" s="78" t="str">
        <f>_xlfn.XLOOKUP(tblMovimientos[[#This Row],[Cuenta Bancaria]],Cuentas!$C:$C,Cuentas!$B:$B,"",0,-1)&amp;""</f>
        <v/>
      </c>
    </row>
    <row r="1007" spans="1:18" x14ac:dyDescent="0.3">
      <c r="B1007" s="39">
        <v>46276</v>
      </c>
      <c r="C1007" s="4" t="str">
        <f>_xlfn.XLOOKUP(tblMovimientos[[#This Row],[Cuenta Bancaria]],Listas!$B:$B,Listas!$A:$A,"")</f>
        <v>3628 Thomas Ave</v>
      </c>
      <c r="D1007" s="41" t="s">
        <v>124</v>
      </c>
      <c r="E1007" s="68" t="str">
        <f>_xlfn.XLOOKUP(tblMovimientos[[#This Row],[Cuenta Bancaria]],Listas!$B:$B,Listas!$C:$C,"")</f>
        <v>Bank of America</v>
      </c>
      <c r="F1007" s="41" t="s">
        <v>10</v>
      </c>
      <c r="G1007" s="41" t="s">
        <v>38</v>
      </c>
      <c r="H1007" s="4" t="str">
        <f>IFERROR(_xlfn.XLOOKUP(G1007,Listas!E:E,Listas!F:F,""),"")</f>
        <v>Operativo</v>
      </c>
      <c r="I1007" s="46" t="str">
        <f>IFERROR(_xlfn.XLOOKUP(G1007,Listas!E:E,Listas!G:G,""),"")</f>
        <v>Externo</v>
      </c>
      <c r="J1007" s="43">
        <v>345.7</v>
      </c>
      <c r="K1007" s="5">
        <f t="shared" si="15"/>
        <v>-345.7</v>
      </c>
      <c r="L1007" s="15" t="s">
        <v>133</v>
      </c>
      <c r="M1007" s="44">
        <f>SUMIFS('Saldos Iniciales'!$D:$D,'Saldos Iniciales'!$A:$A,C1007,'Saldos Iniciales'!$B:$B,D1007)+SUMIFS($K$1:$K$1324,$C$1:$C$1324,C1007,$D$1:$D$1324,D1007,$B$1:$B$1324,"&lt;="&amp;B1007)</f>
        <v>13339.389999999996</v>
      </c>
      <c r="N1007" s="61" t="str">
        <f>IF(tblMovimientos[[#This Row],[Tipo de Movimiento]]="Ingreso",tblMovimientos[[#This Row],[Monto (S/)]],"0")</f>
        <v>0</v>
      </c>
      <c r="O1007" s="61">
        <f>IF(tblMovimientos[[#This Row],[Tipo de Movimiento]]="Egreso",tblMovimientos[[#This Row],[Monto (S/)]],"0")</f>
        <v>345.7</v>
      </c>
      <c r="P1007" s="28">
        <f>IF(tblMovimientos[[#This Row],[Tipo de Movimiento]]="Ingreso",tblMovimientos[[#This Row],[Ingreso]],-tblMovimientos[[#This Row],[Egreso]])</f>
        <v>-345.7</v>
      </c>
      <c r="Q1007" s="78" t="str">
        <f>_xlfn.XLOOKUP(tblMovimientos[[#This Row],[Cuenta Bancaria]],Cuentas!$C:$C,Cuentas!$A:$A,"")&amp;""</f>
        <v>SSP Group</v>
      </c>
      <c r="R1007" s="78" t="str">
        <f>_xlfn.XLOOKUP(tblMovimientos[[#This Row],[Cuenta Bancaria]],Cuentas!$C:$C,Cuentas!$B:$B,"",0,-1)&amp;""</f>
        <v/>
      </c>
    </row>
    <row r="1008" spans="1:18" x14ac:dyDescent="0.3">
      <c r="B1008" s="39">
        <v>46276</v>
      </c>
      <c r="C1008" s="4" t="str">
        <f>_xlfn.XLOOKUP(tblMovimientos[[#This Row],[Cuenta Bancaria]],Listas!$B:$B,Listas!$A:$A,"")</f>
        <v>Go Blue</v>
      </c>
      <c r="D1008" s="41" t="s">
        <v>165</v>
      </c>
      <c r="E1008" s="68" t="str">
        <f>_xlfn.XLOOKUP(tblMovimientos[[#This Row],[Cuenta Bancaria]],Listas!$B:$B,Listas!$C:$C,"")</f>
        <v xml:space="preserve">Amerant Bank </v>
      </c>
      <c r="F1008" s="41" t="s">
        <v>10</v>
      </c>
      <c r="G1008" s="41" t="s">
        <v>38</v>
      </c>
      <c r="H1008" s="4" t="str">
        <f>IFERROR(_xlfn.XLOOKUP(G1008,Listas!E:E,Listas!F:F,""),"")</f>
        <v>Operativo</v>
      </c>
      <c r="I1008" s="46" t="str">
        <f>IFERROR(_xlfn.XLOOKUP(G1008,Listas!E:E,Listas!G:G,""),"")</f>
        <v>Externo</v>
      </c>
      <c r="J1008" s="43">
        <v>102.27</v>
      </c>
      <c r="K1008" s="5">
        <f t="shared" si="15"/>
        <v>-102.27</v>
      </c>
      <c r="L1008" s="15" t="s">
        <v>133</v>
      </c>
      <c r="M1008" s="44">
        <f>SUMIFS('Saldos Iniciales'!$D:$D,'Saldos Iniciales'!$A:$A,C1008,'Saldos Iniciales'!$B:$B,D1008)+SUMIFS($K$1:$K$1324,$C$1:$C$1324,C1008,$D$1:$D$1324,D1008,$B$1:$B$1324,"&lt;="&amp;B1008)</f>
        <v>6892.550000000002</v>
      </c>
      <c r="N1008" s="61" t="str">
        <f>IF(tblMovimientos[[#This Row],[Tipo de Movimiento]]="Ingreso",tblMovimientos[[#This Row],[Monto (S/)]],"0")</f>
        <v>0</v>
      </c>
      <c r="O1008" s="61">
        <f>IF(tblMovimientos[[#This Row],[Tipo de Movimiento]]="Egreso",tblMovimientos[[#This Row],[Monto (S/)]],"0")</f>
        <v>102.27</v>
      </c>
      <c r="P1008" s="28">
        <f>IF(tblMovimientos[[#This Row],[Tipo de Movimiento]]="Ingreso",tblMovimientos[[#This Row],[Ingreso]],-tblMovimientos[[#This Row],[Egreso]])</f>
        <v>-102.27</v>
      </c>
      <c r="Q1008" s="78" t="str">
        <f>_xlfn.XLOOKUP(tblMovimientos[[#This Row],[Cuenta Bancaria]],Cuentas!$C:$C,Cuentas!$A:$A,"")&amp;""</f>
        <v>SSP Group</v>
      </c>
      <c r="R1008" s="78" t="str">
        <f>_xlfn.XLOOKUP(tblMovimientos[[#This Row],[Cuenta Bancaria]],Cuentas!$C:$C,Cuentas!$B:$B,"",0,-1)&amp;""</f>
        <v/>
      </c>
    </row>
    <row r="1009" spans="1:18" x14ac:dyDescent="0.3">
      <c r="B1009" s="39">
        <v>46276</v>
      </c>
      <c r="C1009" s="4" t="str">
        <f>_xlfn.XLOOKUP(tblMovimientos[[#This Row],[Cuenta Bancaria]],Listas!$B:$B,Listas!$A:$A,"")</f>
        <v>CFT Group</v>
      </c>
      <c r="D1009" s="41" t="s">
        <v>95</v>
      </c>
      <c r="E1009" s="68" t="str">
        <f>_xlfn.XLOOKUP(tblMovimientos[[#This Row],[Cuenta Bancaria]],Listas!$B:$B,Listas!$C:$C,"")</f>
        <v xml:space="preserve">Amerant Bank </v>
      </c>
      <c r="F1009" s="41" t="s">
        <v>9</v>
      </c>
      <c r="G1009" s="41" t="s">
        <v>75</v>
      </c>
      <c r="H1009" s="4" t="str">
        <f>IFERROR(_xlfn.XLOOKUP(G1009,Listas!E:E,Listas!F:F,""),"")</f>
        <v>Financiamiento</v>
      </c>
      <c r="I1009" s="46" t="str">
        <f>IFERROR(_xlfn.XLOOKUP(G1009,Listas!E:E,Listas!G:G,""),"")</f>
        <v>Interno</v>
      </c>
      <c r="J1009" s="43">
        <v>350000</v>
      </c>
      <c r="K1009" s="5">
        <f t="shared" si="15"/>
        <v>350000</v>
      </c>
      <c r="L1009" s="15" t="s">
        <v>133</v>
      </c>
      <c r="M1009" s="44">
        <f>SUMIFS('Saldos Iniciales'!$D:$D,'Saldos Iniciales'!$A:$A,C1009,'Saldos Iniciales'!$B:$B,D1009)+SUMIFS($K$1:$K$1324,$C$1:$C$1324,C1009,$D$1:$D$1324,D1009,$B$1:$B$1324,"&lt;="&amp;B1009)</f>
        <v>1515508.1300000011</v>
      </c>
      <c r="N1009" s="61">
        <f>IF(tblMovimientos[[#This Row],[Tipo de Movimiento]]="Ingreso",tblMovimientos[[#This Row],[Monto (S/)]],"0")</f>
        <v>350000</v>
      </c>
      <c r="O1009" s="61" t="str">
        <f>IF(tblMovimientos[[#This Row],[Tipo de Movimiento]]="Egreso",tblMovimientos[[#This Row],[Monto (S/)]],"0")</f>
        <v>0</v>
      </c>
      <c r="P1009" s="28">
        <f>IF(tblMovimientos[[#This Row],[Tipo de Movimiento]]="Ingreso",tblMovimientos[[#This Row],[Ingreso]],-tblMovimientos[[#This Row],[Egreso]])</f>
        <v>350000</v>
      </c>
      <c r="Q1009" s="78" t="str">
        <f>_xlfn.XLOOKUP(tblMovimientos[[#This Row],[Cuenta Bancaria]],Cuentas!$C:$C,Cuentas!$A:$A,"")&amp;""</f>
        <v>SSP Group</v>
      </c>
      <c r="R1009" s="78" t="str">
        <f>_xlfn.XLOOKUP(tblMovimientos[[#This Row],[Cuenta Bancaria]],Cuentas!$C:$C,Cuentas!$B:$B,"",0,-1)&amp;""</f>
        <v/>
      </c>
    </row>
    <row r="1010" spans="1:18" x14ac:dyDescent="0.3">
      <c r="B1010" s="39">
        <v>46276</v>
      </c>
      <c r="C1010" s="4" t="str">
        <f>_xlfn.XLOOKUP(tblMovimientos[[#This Row],[Cuenta Bancaria]],Listas!$B:$B,Listas!$A:$A,"")</f>
        <v>Pacha Ventures LLC</v>
      </c>
      <c r="D1010" s="41" t="s">
        <v>187</v>
      </c>
      <c r="E1010" s="68" t="str">
        <f>_xlfn.XLOOKUP(tblMovimientos[[#This Row],[Cuenta Bancaria]],Listas!$B:$B,Listas!$C:$C,"")</f>
        <v xml:space="preserve">Amerant Bank </v>
      </c>
      <c r="F1010" s="41" t="s">
        <v>9</v>
      </c>
      <c r="G1010" s="41" t="s">
        <v>78</v>
      </c>
      <c r="H1010" s="4" t="str">
        <f>IFERROR(_xlfn.XLOOKUP(G1010,Listas!E:E,Listas!F:F,""),"")</f>
        <v>Inversion</v>
      </c>
      <c r="I1010" s="46" t="str">
        <f>IFERROR(_xlfn.XLOOKUP(G1010,Listas!E:E,Listas!G:G,""),"")</f>
        <v>Externo</v>
      </c>
      <c r="J1010" s="43">
        <v>350000</v>
      </c>
      <c r="K1010" s="5">
        <f t="shared" si="15"/>
        <v>350000</v>
      </c>
      <c r="L1010" s="15" t="s">
        <v>133</v>
      </c>
      <c r="M1010" s="44">
        <f>SUMIFS('Saldos Iniciales'!$D:$D,'Saldos Iniciales'!$A:$A,C1010,'Saldos Iniciales'!$B:$B,D1010)+SUMIFS($K$1:$K$1324,$C$1:$C$1324,C1010,$D$1:$D$1324,D1010,$B$1:$B$1324,"&lt;="&amp;B1010)</f>
        <v>298792.34000000003</v>
      </c>
      <c r="N1010" s="61">
        <f>IF(tblMovimientos[[#This Row],[Tipo de Movimiento]]="Ingreso",tblMovimientos[[#This Row],[Monto (S/)]],"0")</f>
        <v>350000</v>
      </c>
      <c r="O1010" s="61" t="str">
        <f>IF(tblMovimientos[[#This Row],[Tipo de Movimiento]]="Egreso",tblMovimientos[[#This Row],[Monto (S/)]],"0")</f>
        <v>0</v>
      </c>
      <c r="P1010" s="28">
        <f>IF(tblMovimientos[[#This Row],[Tipo de Movimiento]]="Ingreso",tblMovimientos[[#This Row],[Ingreso]],-tblMovimientos[[#This Row],[Egreso]])</f>
        <v>350000</v>
      </c>
      <c r="Q1010" s="78" t="str">
        <f>_xlfn.XLOOKUP(tblMovimientos[[#This Row],[Cuenta Bancaria]],Cuentas!$C:$C,Cuentas!$A:$A,"")&amp;""</f>
        <v>Michael Cross</v>
      </c>
      <c r="R1010" s="78" t="str">
        <f>_xlfn.XLOOKUP(tblMovimientos[[#This Row],[Cuenta Bancaria]],Cuentas!$C:$C,Cuentas!$B:$B,"",0,-1)&amp;""</f>
        <v/>
      </c>
    </row>
    <row r="1011" spans="1:18" x14ac:dyDescent="0.3">
      <c r="B1011" s="39">
        <v>46276</v>
      </c>
      <c r="C1011" s="4" t="str">
        <f>_xlfn.XLOOKUP(tblMovimientos[[#This Row],[Cuenta Bancaria]],Listas!$B:$B,Listas!$A:$A,"")</f>
        <v>Pacha Ventures LLC</v>
      </c>
      <c r="D1011" s="41" t="s">
        <v>187</v>
      </c>
      <c r="E1011" s="68" t="str">
        <f>_xlfn.XLOOKUP(tblMovimientos[[#This Row],[Cuenta Bancaria]],Listas!$B:$B,Listas!$C:$C,"")</f>
        <v xml:space="preserve">Amerant Bank </v>
      </c>
      <c r="F1011" s="41" t="s">
        <v>10</v>
      </c>
      <c r="G1011" s="41" t="s">
        <v>62</v>
      </c>
      <c r="H1011" s="4" t="str">
        <f>IFERROR(_xlfn.XLOOKUP(G1011,Listas!E:E,Listas!F:F,""),"")</f>
        <v>Operativo</v>
      </c>
      <c r="I1011" s="46" t="str">
        <f>IFERROR(_xlfn.XLOOKUP(G1011,Listas!E:E,Listas!G:G,""),"")</f>
        <v>Interno</v>
      </c>
      <c r="J1011" s="43">
        <v>350000</v>
      </c>
      <c r="K1011" s="5">
        <f t="shared" si="15"/>
        <v>-350000</v>
      </c>
      <c r="L1011" s="15" t="s">
        <v>133</v>
      </c>
      <c r="M1011" s="44">
        <f>SUMIFS('Saldos Iniciales'!$D:$D,'Saldos Iniciales'!$A:$A,C1011,'Saldos Iniciales'!$B:$B,D1011)+SUMIFS($K$1:$K$1324,$C$1:$C$1324,C1011,$D$1:$D$1324,D1011,$B$1:$B$1324,"&lt;="&amp;B1011)</f>
        <v>298792.34000000003</v>
      </c>
      <c r="N1011" s="61" t="str">
        <f>IF(tblMovimientos[[#This Row],[Tipo de Movimiento]]="Ingreso",tblMovimientos[[#This Row],[Monto (S/)]],"0")</f>
        <v>0</v>
      </c>
      <c r="O1011" s="61">
        <f>IF(tblMovimientos[[#This Row],[Tipo de Movimiento]]="Egreso",tblMovimientos[[#This Row],[Monto (S/)]],"0")</f>
        <v>350000</v>
      </c>
      <c r="P1011" s="28">
        <f>IF(tblMovimientos[[#This Row],[Tipo de Movimiento]]="Ingreso",tblMovimientos[[#This Row],[Ingreso]],-tblMovimientos[[#This Row],[Egreso]])</f>
        <v>-350000</v>
      </c>
      <c r="Q1011" s="78" t="str">
        <f>_xlfn.XLOOKUP(tblMovimientos[[#This Row],[Cuenta Bancaria]],Cuentas!$C:$C,Cuentas!$A:$A,"")&amp;""</f>
        <v>Michael Cross</v>
      </c>
      <c r="R1011" s="78" t="str">
        <f>_xlfn.XLOOKUP(tblMovimientos[[#This Row],[Cuenta Bancaria]],Cuentas!$C:$C,Cuentas!$B:$B,"",0,-1)&amp;""</f>
        <v/>
      </c>
    </row>
    <row r="1012" spans="1:18" x14ac:dyDescent="0.3">
      <c r="B1012" s="39">
        <v>46276</v>
      </c>
      <c r="C1012" s="4" t="str">
        <f>_xlfn.XLOOKUP(tblMovimientos[[#This Row],[Cuenta Bancaria]],Listas!$B:$B,Listas!$A:$A,"")</f>
        <v>Prendamas SRL</v>
      </c>
      <c r="D1012" s="41" t="s">
        <v>186</v>
      </c>
      <c r="E1012" s="68" t="str">
        <f>_xlfn.XLOOKUP(tblMovimientos[[#This Row],[Cuenta Bancaria]],Listas!$B:$B,Listas!$C:$C,"")</f>
        <v xml:space="preserve">Amerant Bank </v>
      </c>
      <c r="F1012" s="41" t="s">
        <v>10</v>
      </c>
      <c r="G1012" s="41" t="s">
        <v>38</v>
      </c>
      <c r="H1012" s="4" t="str">
        <f>IFERROR(_xlfn.XLOOKUP(G1012,Listas!E:E,Listas!F:F,""),"")</f>
        <v>Operativo</v>
      </c>
      <c r="I1012" s="46" t="str">
        <f>IFERROR(_xlfn.XLOOKUP(G1012,Listas!E:E,Listas!G:G,""),"")</f>
        <v>Externo</v>
      </c>
      <c r="J1012" s="43">
        <v>477.1</v>
      </c>
      <c r="K1012" s="5">
        <f t="shared" si="15"/>
        <v>-477.1</v>
      </c>
      <c r="L1012" s="15" t="s">
        <v>133</v>
      </c>
      <c r="M1012" s="44">
        <f>SUMIFS('Saldos Iniciales'!$D:$D,'Saldos Iniciales'!$A:$A,C1012,'Saldos Iniciales'!$B:$B,D1012)+SUMIFS($K$1:$K$1324,$C$1:$C$1324,C1012,$D$1:$D$1324,D1012,$B$1:$B$1324,"&lt;="&amp;B1012)</f>
        <v>31621.50999999998</v>
      </c>
      <c r="N1012" s="61" t="str">
        <f>IF(tblMovimientos[[#This Row],[Tipo de Movimiento]]="Ingreso",tblMovimientos[[#This Row],[Monto (S/)]],"0")</f>
        <v>0</v>
      </c>
      <c r="O1012" s="61">
        <f>IF(tblMovimientos[[#This Row],[Tipo de Movimiento]]="Egreso",tblMovimientos[[#This Row],[Monto (S/)]],"0")</f>
        <v>477.1</v>
      </c>
      <c r="P1012" s="28">
        <f>IF(tblMovimientos[[#This Row],[Tipo de Movimiento]]="Ingreso",tblMovimientos[[#This Row],[Ingreso]],-tblMovimientos[[#This Row],[Egreso]])</f>
        <v>-477.1</v>
      </c>
      <c r="Q1012" s="78" t="str">
        <f>_xlfn.XLOOKUP(tblMovimientos[[#This Row],[Cuenta Bancaria]],Cuentas!$C:$C,Cuentas!$A:$A,"")&amp;""</f>
        <v>Unidades de Negocio</v>
      </c>
      <c r="R1012" s="78" t="str">
        <f>_xlfn.XLOOKUP(tblMovimientos[[#This Row],[Cuenta Bancaria]],Cuentas!$C:$C,Cuentas!$B:$B,"",0,-1)&amp;""</f>
        <v/>
      </c>
    </row>
    <row r="1013" spans="1:18" x14ac:dyDescent="0.3">
      <c r="B1013" s="39">
        <v>46276</v>
      </c>
      <c r="C1013" s="4" t="str">
        <f>_xlfn.XLOOKUP(tblMovimientos[[#This Row],[Cuenta Bancaria]],Listas!$B:$B,Listas!$A:$A,"")</f>
        <v>Prendamas SRL</v>
      </c>
      <c r="D1013" s="41" t="s">
        <v>186</v>
      </c>
      <c r="E1013" s="68" t="str">
        <f>_xlfn.XLOOKUP(tblMovimientos[[#This Row],[Cuenta Bancaria]],Listas!$B:$B,Listas!$C:$C,"")</f>
        <v xml:space="preserve">Amerant Bank </v>
      </c>
      <c r="F1013" s="41" t="s">
        <v>10</v>
      </c>
      <c r="G1013" s="41" t="s">
        <v>44</v>
      </c>
      <c r="H1013" s="4" t="str">
        <f>IFERROR(_xlfn.XLOOKUP(G1013,Listas!E:E,Listas!F:F,""),"")</f>
        <v>Operativo</v>
      </c>
      <c r="I1013" s="46" t="str">
        <f>IFERROR(_xlfn.XLOOKUP(G1013,Listas!E:E,Listas!G:G,""),"")</f>
        <v>Externo</v>
      </c>
      <c r="J1013" s="43">
        <v>14.31</v>
      </c>
      <c r="K1013" s="5">
        <f t="shared" si="15"/>
        <v>-14.31</v>
      </c>
      <c r="L1013" s="15" t="s">
        <v>133</v>
      </c>
      <c r="M1013" s="44">
        <f>SUMIFS('Saldos Iniciales'!$D:$D,'Saldos Iniciales'!$A:$A,C1013,'Saldos Iniciales'!$B:$B,D1013)+SUMIFS($K$1:$K$1324,$C$1:$C$1324,C1013,$D$1:$D$1324,D1013,$B$1:$B$1324,"&lt;="&amp;B1013)</f>
        <v>31621.50999999998</v>
      </c>
      <c r="N1013" s="61" t="str">
        <f>IF(tblMovimientos[[#This Row],[Tipo de Movimiento]]="Ingreso",tblMovimientos[[#This Row],[Monto (S/)]],"0")</f>
        <v>0</v>
      </c>
      <c r="O1013" s="61">
        <f>IF(tblMovimientos[[#This Row],[Tipo de Movimiento]]="Egreso",tblMovimientos[[#This Row],[Monto (S/)]],"0")</f>
        <v>14.31</v>
      </c>
      <c r="P1013" s="28">
        <f>IF(tblMovimientos[[#This Row],[Tipo de Movimiento]]="Ingreso",tblMovimientos[[#This Row],[Ingreso]],-tblMovimientos[[#This Row],[Egreso]])</f>
        <v>-14.31</v>
      </c>
      <c r="Q1013" s="78" t="str">
        <f>_xlfn.XLOOKUP(tblMovimientos[[#This Row],[Cuenta Bancaria]],Cuentas!$C:$C,Cuentas!$A:$A,"")&amp;""</f>
        <v>Unidades de Negocio</v>
      </c>
      <c r="R1013" s="78" t="str">
        <f>_xlfn.XLOOKUP(tblMovimientos[[#This Row],[Cuenta Bancaria]],Cuentas!$C:$C,Cuentas!$B:$B,"",0,-1)&amp;""</f>
        <v/>
      </c>
    </row>
    <row r="1014" spans="1:18" x14ac:dyDescent="0.3">
      <c r="B1014" s="39">
        <v>46276</v>
      </c>
      <c r="C1014" s="4" t="str">
        <f>_xlfn.XLOOKUP(tblMovimientos[[#This Row],[Cuenta Bancaria]],Listas!$B:$B,Listas!$A:$A,"")</f>
        <v>Nobe Aparments</v>
      </c>
      <c r="D1014" s="41" t="s">
        <v>191</v>
      </c>
      <c r="E1014" s="68" t="str">
        <f>_xlfn.XLOOKUP(tblMovimientos[[#This Row],[Cuenta Bancaria]],Listas!$B:$B,Listas!$C:$C,"")</f>
        <v>Bank of America</v>
      </c>
      <c r="F1014" s="41" t="s">
        <v>10</v>
      </c>
      <c r="G1014" s="41" t="s">
        <v>38</v>
      </c>
      <c r="H1014" s="4" t="str">
        <f>IFERROR(_xlfn.XLOOKUP(G1014,Listas!E:E,Listas!F:F,""),"")</f>
        <v>Operativo</v>
      </c>
      <c r="I1014" s="46" t="str">
        <f>IFERROR(_xlfn.XLOOKUP(G1014,Listas!E:E,Listas!G:G,""),"")</f>
        <v>Externo</v>
      </c>
      <c r="J1014" s="43">
        <v>831.16</v>
      </c>
      <c r="K1014" s="5">
        <f t="shared" si="15"/>
        <v>-831.16</v>
      </c>
      <c r="L1014" s="15" t="s">
        <v>133</v>
      </c>
      <c r="M1014" s="44">
        <f>SUMIFS('Saldos Iniciales'!$D:$D,'Saldos Iniciales'!$A:$A,C1014,'Saldos Iniciales'!$B:$B,D1014)+SUMIFS($K$1:$K$1324,$C$1:$C$1324,C1014,$D$1:$D$1324,D1014,$B$1:$B$1324,"&lt;="&amp;B1014)</f>
        <v>209364.52</v>
      </c>
      <c r="N1014" s="61" t="str">
        <f>IF(tblMovimientos[[#This Row],[Tipo de Movimiento]]="Ingreso",tblMovimientos[[#This Row],[Monto (S/)]],"0")</f>
        <v>0</v>
      </c>
      <c r="O1014" s="61">
        <f>IF(tblMovimientos[[#This Row],[Tipo de Movimiento]]="Egreso",tblMovimientos[[#This Row],[Monto (S/)]],"0")</f>
        <v>831.16</v>
      </c>
      <c r="P1014" s="28">
        <f>IF(tblMovimientos[[#This Row],[Tipo de Movimiento]]="Ingreso",tblMovimientos[[#This Row],[Ingreso]],-tblMovimientos[[#This Row],[Egreso]])</f>
        <v>-831.16</v>
      </c>
      <c r="Q1014" s="78" t="str">
        <f>_xlfn.XLOOKUP(tblMovimientos[[#This Row],[Cuenta Bancaria]],Cuentas!$C:$C,Cuentas!$A:$A,"")&amp;""</f>
        <v>Estate</v>
      </c>
      <c r="R1014" s="78" t="str">
        <f>_xlfn.XLOOKUP(tblMovimientos[[#This Row],[Cuenta Bancaria]],Cuentas!$C:$C,Cuentas!$B:$B,"",0,-1)&amp;""</f>
        <v/>
      </c>
    </row>
    <row r="1015" spans="1:18" x14ac:dyDescent="0.3">
      <c r="B1015" s="39">
        <v>46276</v>
      </c>
      <c r="C1015" s="4" t="str">
        <f>_xlfn.XLOOKUP(tblMovimientos[[#This Row],[Cuenta Bancaria]],Listas!$B:$B,Listas!$A:$A,"")</f>
        <v>Nobe Aparments</v>
      </c>
      <c r="D1015" s="41" t="s">
        <v>191</v>
      </c>
      <c r="E1015" s="68" t="str">
        <f>_xlfn.XLOOKUP(tblMovimientos[[#This Row],[Cuenta Bancaria]],Listas!$B:$B,Listas!$C:$C,"")</f>
        <v>Bank of America</v>
      </c>
      <c r="F1015" s="41" t="s">
        <v>10</v>
      </c>
      <c r="G1015" s="41" t="s">
        <v>38</v>
      </c>
      <c r="H1015" s="4" t="str">
        <f>IFERROR(_xlfn.XLOOKUP(G1015,Listas!E:E,Listas!F:F,""),"")</f>
        <v>Operativo</v>
      </c>
      <c r="I1015" s="46" t="str">
        <f>IFERROR(_xlfn.XLOOKUP(G1015,Listas!E:E,Listas!G:G,""),"")</f>
        <v>Externo</v>
      </c>
      <c r="J1015" s="43">
        <v>600</v>
      </c>
      <c r="K1015" s="5">
        <f t="shared" si="15"/>
        <v>-600</v>
      </c>
      <c r="L1015" s="15" t="s">
        <v>133</v>
      </c>
      <c r="M1015" s="44">
        <f>SUMIFS('Saldos Iniciales'!$D:$D,'Saldos Iniciales'!$A:$A,C1015,'Saldos Iniciales'!$B:$B,D1015)+SUMIFS($K$1:$K$1324,$C$1:$C$1324,C1015,$D$1:$D$1324,D1015,$B$1:$B$1324,"&lt;="&amp;B1015)</f>
        <v>209364.52</v>
      </c>
      <c r="N1015" s="61" t="str">
        <f>IF(tblMovimientos[[#This Row],[Tipo de Movimiento]]="Ingreso",tblMovimientos[[#This Row],[Monto (S/)]],"0")</f>
        <v>0</v>
      </c>
      <c r="O1015" s="61">
        <f>IF(tblMovimientos[[#This Row],[Tipo de Movimiento]]="Egreso",tblMovimientos[[#This Row],[Monto (S/)]],"0")</f>
        <v>600</v>
      </c>
      <c r="P1015" s="28">
        <f>IF(tblMovimientos[[#This Row],[Tipo de Movimiento]]="Ingreso",tblMovimientos[[#This Row],[Ingreso]],-tblMovimientos[[#This Row],[Egreso]])</f>
        <v>-600</v>
      </c>
      <c r="Q1015" s="78" t="str">
        <f>_xlfn.XLOOKUP(tblMovimientos[[#This Row],[Cuenta Bancaria]],Cuentas!$C:$C,Cuentas!$A:$A,"")&amp;""</f>
        <v>Estate</v>
      </c>
      <c r="R1015" s="78" t="str">
        <f>_xlfn.XLOOKUP(tblMovimientos[[#This Row],[Cuenta Bancaria]],Cuentas!$C:$C,Cuentas!$B:$B,"",0,-1)&amp;""</f>
        <v/>
      </c>
    </row>
    <row r="1016" spans="1:18" x14ac:dyDescent="0.3">
      <c r="B1016" s="39">
        <v>46276</v>
      </c>
      <c r="C1016" s="4" t="str">
        <f>_xlfn.XLOOKUP(tblMovimientos[[#This Row],[Cuenta Bancaria]],Listas!$B:$B,Listas!$A:$A,"")</f>
        <v>SSP Capital</v>
      </c>
      <c r="D1016" s="41" t="s">
        <v>105</v>
      </c>
      <c r="E1016" s="68" t="str">
        <f>_xlfn.XLOOKUP(tblMovimientos[[#This Row],[Cuenta Bancaria]],Listas!$B:$B,Listas!$C:$C,"")</f>
        <v>Northern Trust</v>
      </c>
      <c r="F1016" s="41" t="s">
        <v>10</v>
      </c>
      <c r="G1016" s="41" t="s">
        <v>44</v>
      </c>
      <c r="H1016" s="4" t="str">
        <f>IFERROR(_xlfn.XLOOKUP(G1016,Listas!E:E,Listas!F:F,""),"")</f>
        <v>Operativo</v>
      </c>
      <c r="I1016" s="69" t="str">
        <f>IFERROR(_xlfn.XLOOKUP(G1016,Listas!E:E,Listas!G:G,""),"")</f>
        <v>Externo</v>
      </c>
      <c r="J1016" s="43">
        <v>108.97</v>
      </c>
      <c r="K1016" s="5">
        <f t="shared" si="15"/>
        <v>-108.97</v>
      </c>
      <c r="L1016" s="15" t="s">
        <v>133</v>
      </c>
      <c r="M1016" s="44">
        <f>SUMIFS('Saldos Iniciales'!$D:$D,'Saldos Iniciales'!$A:$A,C1016,'Saldos Iniciales'!$B:$B,D1016)+SUMIFS($K$1:$K$1324,$C$1:$C$1324,C1016,$D$1:$D$1324,D1016,$B$1:$B$1324,"&lt;="&amp;B1016)</f>
        <v>4543.28</v>
      </c>
      <c r="N1016" s="61" t="str">
        <f>IF(tblMovimientos[[#This Row],[Tipo de Movimiento]]="Ingreso",tblMovimientos[[#This Row],[Monto (S/)]],"0")</f>
        <v>0</v>
      </c>
      <c r="O1016" s="61">
        <f>IF(tblMovimientos[[#This Row],[Tipo de Movimiento]]="Egreso",tblMovimientos[[#This Row],[Monto (S/)]],"0")</f>
        <v>108.97</v>
      </c>
      <c r="P1016" s="28">
        <f>IF(tblMovimientos[[#This Row],[Tipo de Movimiento]]="Ingreso",tblMovimientos[[#This Row],[Ingreso]],-tblMovimientos[[#This Row],[Egreso]])</f>
        <v>-108.97</v>
      </c>
      <c r="Q1016" s="78" t="str">
        <f>_xlfn.XLOOKUP(tblMovimientos[[#This Row],[Cuenta Bancaria]],Cuentas!$C:$C,Cuentas!$A:$A,"")&amp;""</f>
        <v>SSP Group</v>
      </c>
      <c r="R1016" s="78" t="str">
        <f>_xlfn.XLOOKUP(tblMovimientos[[#This Row],[Cuenta Bancaria]],Cuentas!$C:$C,Cuentas!$B:$B,"",0,-1)&amp;""</f>
        <v/>
      </c>
    </row>
    <row r="1017" spans="1:18" x14ac:dyDescent="0.3">
      <c r="B1017" s="39">
        <v>46276</v>
      </c>
      <c r="C1017" s="4" t="str">
        <f>_xlfn.XLOOKUP(tblMovimientos[[#This Row],[Cuenta Bancaria]],Listas!$B:$B,Listas!$A:$A,"")</f>
        <v>CFT Group</v>
      </c>
      <c r="D1017" s="41" t="s">
        <v>96</v>
      </c>
      <c r="E1017" s="68" t="str">
        <f>_xlfn.XLOOKUP(tblMovimientos[[#This Row],[Cuenta Bancaria]],Listas!$B:$B,Listas!$C:$C,"")</f>
        <v>Northern Trust</v>
      </c>
      <c r="F1017" s="41" t="s">
        <v>10</v>
      </c>
      <c r="G1017" s="41" t="s">
        <v>44</v>
      </c>
      <c r="H1017" s="4" t="str">
        <f>IFERROR(_xlfn.XLOOKUP(G1017,Listas!E:E,Listas!F:F,""),"")</f>
        <v>Operativo</v>
      </c>
      <c r="I1017" s="69" t="str">
        <f>IFERROR(_xlfn.XLOOKUP(G1017,Listas!E:E,Listas!G:G,""),"")</f>
        <v>Externo</v>
      </c>
      <c r="J1017" s="43">
        <v>18.8</v>
      </c>
      <c r="K1017" s="5">
        <f t="shared" si="15"/>
        <v>-18.8</v>
      </c>
      <c r="L1017" s="15" t="s">
        <v>133</v>
      </c>
      <c r="M1017" s="44">
        <f>SUMIFS('Saldos Iniciales'!$D:$D,'Saldos Iniciales'!$A:$A,C1017,'Saldos Iniciales'!$B:$B,D1017)+SUMIFS($K$1:$K$1324,$C$1:$C$1324,C1017,$D$1:$D$1324,D1017,$B$1:$B$1324,"&lt;="&amp;B1017)</f>
        <v>5218.43</v>
      </c>
      <c r="N1017" s="61" t="str">
        <f>IF(tblMovimientos[[#This Row],[Tipo de Movimiento]]="Ingreso",tblMovimientos[[#This Row],[Monto (S/)]],"0")</f>
        <v>0</v>
      </c>
      <c r="O1017" s="61">
        <f>IF(tblMovimientos[[#This Row],[Tipo de Movimiento]]="Egreso",tblMovimientos[[#This Row],[Monto (S/)]],"0")</f>
        <v>18.8</v>
      </c>
      <c r="P1017" s="28">
        <f>IF(tblMovimientos[[#This Row],[Tipo de Movimiento]]="Ingreso",tblMovimientos[[#This Row],[Ingreso]],-tblMovimientos[[#This Row],[Egreso]])</f>
        <v>-18.8</v>
      </c>
      <c r="Q1017" s="78" t="str">
        <f>_xlfn.XLOOKUP(tblMovimientos[[#This Row],[Cuenta Bancaria]],Cuentas!$C:$C,Cuentas!$A:$A,"")&amp;""</f>
        <v>SSP Group</v>
      </c>
      <c r="R1017" s="78" t="str">
        <f>_xlfn.XLOOKUP(tblMovimientos[[#This Row],[Cuenta Bancaria]],Cuentas!$C:$C,Cuentas!$B:$B,"",0,-1)&amp;""</f>
        <v/>
      </c>
    </row>
    <row r="1018" spans="1:18" x14ac:dyDescent="0.3">
      <c r="B1018" s="39">
        <v>46279</v>
      </c>
      <c r="C1018" s="4" t="str">
        <f>_xlfn.XLOOKUP(tblMovimientos[[#This Row],[Cuenta Bancaria]],Listas!$B:$B,Listas!$A:$A,"")</f>
        <v>SSP Capital</v>
      </c>
      <c r="D1018" s="41" t="s">
        <v>101</v>
      </c>
      <c r="E1018" s="68" t="str">
        <f>_xlfn.XLOOKUP(tblMovimientos[[#This Row],[Cuenta Bancaria]],Listas!$B:$B,Listas!$C:$C,"")</f>
        <v>Bank of America</v>
      </c>
      <c r="F1018" s="41" t="s">
        <v>10</v>
      </c>
      <c r="G1018" s="41" t="s">
        <v>38</v>
      </c>
      <c r="H1018" s="4" t="str">
        <f>IFERROR(_xlfn.XLOOKUP(G1018,Listas!E:E,Listas!F:F,""),"")</f>
        <v>Operativo</v>
      </c>
      <c r="I1018" s="46" t="str">
        <f>IFERROR(_xlfn.XLOOKUP(G1018,Listas!E:E,Listas!G:G,""),"")</f>
        <v>Externo</v>
      </c>
      <c r="J1018" s="43">
        <v>1413.5</v>
      </c>
      <c r="K1018" s="5">
        <f t="shared" si="15"/>
        <v>-1413.5</v>
      </c>
      <c r="L1018" s="15" t="s">
        <v>133</v>
      </c>
      <c r="M1018" s="44">
        <f>SUMIFS('Saldos Iniciales'!$D:$D,'Saldos Iniciales'!$A:$A,C1018,'Saldos Iniciales'!$B:$B,D1018)+SUMIFS($K$1:$K$1324,$C$1:$C$1324,C1018,$D$1:$D$1324,D1018,$B$1:$B$1324,"&lt;="&amp;B1018)</f>
        <v>29072.080000000002</v>
      </c>
      <c r="N1018" s="61" t="str">
        <f>IF(tblMovimientos[[#This Row],[Tipo de Movimiento]]="Ingreso",tblMovimientos[[#This Row],[Monto (S/)]],"0")</f>
        <v>0</v>
      </c>
      <c r="O1018" s="61">
        <f>IF(tblMovimientos[[#This Row],[Tipo de Movimiento]]="Egreso",tblMovimientos[[#This Row],[Monto (S/)]],"0")</f>
        <v>1413.5</v>
      </c>
      <c r="P1018" s="28">
        <f>IF(tblMovimientos[[#This Row],[Tipo de Movimiento]]="Ingreso",tblMovimientos[[#This Row],[Ingreso]],-tblMovimientos[[#This Row],[Egreso]])</f>
        <v>-1413.5</v>
      </c>
      <c r="Q1018" s="78" t="str">
        <f>_xlfn.XLOOKUP(tblMovimientos[[#This Row],[Cuenta Bancaria]],Cuentas!$C:$C,Cuentas!$A:$A,"")&amp;""</f>
        <v>SSP Group</v>
      </c>
      <c r="R1018" s="78" t="str">
        <f>_xlfn.XLOOKUP(tblMovimientos[[#This Row],[Cuenta Bancaria]],Cuentas!$C:$C,Cuentas!$B:$B,"",0,-1)&amp;""</f>
        <v/>
      </c>
    </row>
    <row r="1019" spans="1:18" x14ac:dyDescent="0.3">
      <c r="A1019" s="45"/>
      <c r="B1019" s="39">
        <v>46279</v>
      </c>
      <c r="C1019" s="4" t="str">
        <f>_xlfn.XLOOKUP(tblMovimientos[[#This Row],[Cuenta Bancaria]],Listas!$B:$B,Listas!$A:$A,"")</f>
        <v>A&amp;M Imports</v>
      </c>
      <c r="D1019" s="41" t="s">
        <v>100</v>
      </c>
      <c r="E1019" s="68" t="str">
        <f>_xlfn.XLOOKUP(tblMovimientos[[#This Row],[Cuenta Bancaria]],Listas!$B:$B,Listas!$C:$C,"")</f>
        <v>Bank of America</v>
      </c>
      <c r="F1019" s="41" t="s">
        <v>9</v>
      </c>
      <c r="G1019" s="41" t="s">
        <v>68</v>
      </c>
      <c r="H1019" s="46" t="str">
        <f>IFERROR(_xlfn.XLOOKUP(G1019,Listas!E:E,Listas!F:F,""),"")</f>
        <v>Operativo</v>
      </c>
      <c r="I1019" s="46" t="str">
        <f>IFERROR(_xlfn.XLOOKUP(G1019,Listas!E:E,Listas!G:G,""),"")</f>
        <v>Externo</v>
      </c>
      <c r="J1019" s="43">
        <v>16785.27</v>
      </c>
      <c r="K1019" s="5">
        <f t="shared" si="15"/>
        <v>16785.27</v>
      </c>
      <c r="L1019" s="15" t="s">
        <v>133</v>
      </c>
      <c r="M1019" s="44">
        <f>SUMIFS('Saldos Iniciales'!$D:$D,'Saldos Iniciales'!$A:$A,C1019,'Saldos Iniciales'!$B:$B,D1019)+SUMIFS($K$1:$K$1324,$C$1:$C$1324,C1019,$D$1:$D$1324,D1019,$B$1:$B$1324,"&lt;="&amp;B1019)</f>
        <v>1105910.26</v>
      </c>
      <c r="N1019" s="61">
        <f>IF(tblMovimientos[[#This Row],[Tipo de Movimiento]]="Ingreso",tblMovimientos[[#This Row],[Monto (S/)]],"0")</f>
        <v>16785.27</v>
      </c>
      <c r="O1019" s="61" t="str">
        <f>IF(tblMovimientos[[#This Row],[Tipo de Movimiento]]="Egreso",tblMovimientos[[#This Row],[Monto (S/)]],"0")</f>
        <v>0</v>
      </c>
      <c r="P1019" s="28">
        <f>IF(tblMovimientos[[#This Row],[Tipo de Movimiento]]="Ingreso",tblMovimientos[[#This Row],[Ingreso]],-tblMovimientos[[#This Row],[Egreso]])</f>
        <v>16785.27</v>
      </c>
      <c r="Q1019" s="78" t="str">
        <f>_xlfn.XLOOKUP(tblMovimientos[[#This Row],[Cuenta Bancaria]],Cuentas!$C:$C,Cuentas!$A:$A,"")&amp;""</f>
        <v>SSP Group</v>
      </c>
      <c r="R1019" s="78" t="str">
        <f>_xlfn.XLOOKUP(tblMovimientos[[#This Row],[Cuenta Bancaria]],Cuentas!$C:$C,Cuentas!$B:$B,"",0,-1)&amp;""</f>
        <v/>
      </c>
    </row>
    <row r="1020" spans="1:18" x14ac:dyDescent="0.3">
      <c r="B1020" s="39">
        <v>46279</v>
      </c>
      <c r="C1020" s="4" t="str">
        <f>_xlfn.XLOOKUP(tblMovimientos[[#This Row],[Cuenta Bancaria]],Listas!$B:$B,Listas!$A:$A,"")</f>
        <v>3628 Thomas Ave</v>
      </c>
      <c r="D1020" s="41" t="s">
        <v>124</v>
      </c>
      <c r="E1020" s="68" t="str">
        <f>_xlfn.XLOOKUP(tblMovimientos[[#This Row],[Cuenta Bancaria]],Listas!$B:$B,Listas!$C:$C,"")</f>
        <v>Bank of America</v>
      </c>
      <c r="F1020" s="41" t="s">
        <v>9</v>
      </c>
      <c r="G1020" s="41" t="s">
        <v>82</v>
      </c>
      <c r="H1020" s="4" t="str">
        <f>IFERROR(_xlfn.XLOOKUP(G1020,Listas!E:E,Listas!F:F,""),"")</f>
        <v>Operativo</v>
      </c>
      <c r="I1020" s="46" t="str">
        <f>IFERROR(_xlfn.XLOOKUP(G1020,Listas!E:E,Listas!G:G,""),"")</f>
        <v>Externo</v>
      </c>
      <c r="J1020" s="43">
        <v>346.61</v>
      </c>
      <c r="K1020" s="5">
        <f t="shared" si="15"/>
        <v>346.61</v>
      </c>
      <c r="L1020" s="15" t="s">
        <v>133</v>
      </c>
      <c r="M1020" s="44">
        <f>SUMIFS('Saldos Iniciales'!$D:$D,'Saldos Iniciales'!$A:$A,C1020,'Saldos Iniciales'!$B:$B,D1020)+SUMIFS($K$1:$K$1324,$C$1:$C$1324,C1020,$D$1:$D$1324,D1020,$B$1:$B$1324,"&lt;="&amp;B1020)</f>
        <v>13685.999999999996</v>
      </c>
      <c r="N1020" s="61">
        <f>IF(tblMovimientos[[#This Row],[Tipo de Movimiento]]="Ingreso",tblMovimientos[[#This Row],[Monto (S/)]],"0")</f>
        <v>346.61</v>
      </c>
      <c r="O1020" s="61" t="str">
        <f>IF(tblMovimientos[[#This Row],[Tipo de Movimiento]]="Egreso",tblMovimientos[[#This Row],[Monto (S/)]],"0")</f>
        <v>0</v>
      </c>
      <c r="P1020" s="28">
        <f>IF(tblMovimientos[[#This Row],[Tipo de Movimiento]]="Ingreso",tblMovimientos[[#This Row],[Ingreso]],-tblMovimientos[[#This Row],[Egreso]])</f>
        <v>346.61</v>
      </c>
      <c r="Q1020" s="78" t="str">
        <f>_xlfn.XLOOKUP(tblMovimientos[[#This Row],[Cuenta Bancaria]],Cuentas!$C:$C,Cuentas!$A:$A,"")&amp;""</f>
        <v>SSP Group</v>
      </c>
      <c r="R1020" s="78" t="str">
        <f>_xlfn.XLOOKUP(tblMovimientos[[#This Row],[Cuenta Bancaria]],Cuentas!$C:$C,Cuentas!$B:$B,"",0,-1)&amp;""</f>
        <v/>
      </c>
    </row>
    <row r="1021" spans="1:18" x14ac:dyDescent="0.3">
      <c r="B1021" s="39">
        <v>46279</v>
      </c>
      <c r="C1021" s="4" t="str">
        <f>_xlfn.XLOOKUP(tblMovimientos[[#This Row],[Cuenta Bancaria]],Listas!$B:$B,Listas!$A:$A,"")</f>
        <v>Go Blue</v>
      </c>
      <c r="D1021" s="41" t="s">
        <v>165</v>
      </c>
      <c r="E1021" s="68" t="str">
        <f>_xlfn.XLOOKUP(tblMovimientos[[#This Row],[Cuenta Bancaria]],Listas!$B:$B,Listas!$C:$C,"")</f>
        <v xml:space="preserve">Amerant Bank </v>
      </c>
      <c r="F1021" s="41" t="s">
        <v>9</v>
      </c>
      <c r="G1021" s="41" t="s">
        <v>75</v>
      </c>
      <c r="H1021" s="4" t="str">
        <f>IFERROR(_xlfn.XLOOKUP(G1021,Listas!E:E,Listas!F:F,""),"")</f>
        <v>Financiamiento</v>
      </c>
      <c r="I1021" s="46" t="str">
        <f>IFERROR(_xlfn.XLOOKUP(G1021,Listas!E:E,Listas!G:G,""),"")</f>
        <v>Interno</v>
      </c>
      <c r="J1021" s="43">
        <v>1500</v>
      </c>
      <c r="K1021" s="5">
        <f t="shared" si="15"/>
        <v>1500</v>
      </c>
      <c r="L1021" s="15" t="s">
        <v>133</v>
      </c>
      <c r="M1021" s="44">
        <f>SUMIFS('Saldos Iniciales'!$D:$D,'Saldos Iniciales'!$A:$A,C1021,'Saldos Iniciales'!$B:$B,D1021)+SUMIFS($K$1:$K$1324,$C$1:$C$1324,C1021,$D$1:$D$1324,D1021,$B$1:$B$1324,"&lt;="&amp;B1021)</f>
        <v>2097.760000000002</v>
      </c>
      <c r="N1021" s="61">
        <f>IF(tblMovimientos[[#This Row],[Tipo de Movimiento]]="Ingreso",tblMovimientos[[#This Row],[Monto (S/)]],"0")</f>
        <v>1500</v>
      </c>
      <c r="O1021" s="61" t="str">
        <f>IF(tblMovimientos[[#This Row],[Tipo de Movimiento]]="Egreso",tblMovimientos[[#This Row],[Monto (S/)]],"0")</f>
        <v>0</v>
      </c>
      <c r="P1021" s="28">
        <f>IF(tblMovimientos[[#This Row],[Tipo de Movimiento]]="Ingreso",tblMovimientos[[#This Row],[Ingreso]],-tblMovimientos[[#This Row],[Egreso]])</f>
        <v>1500</v>
      </c>
      <c r="Q1021" s="78" t="str">
        <f>_xlfn.XLOOKUP(tblMovimientos[[#This Row],[Cuenta Bancaria]],Cuentas!$C:$C,Cuentas!$A:$A,"")&amp;""</f>
        <v>SSP Group</v>
      </c>
      <c r="R1021" s="78" t="str">
        <f>_xlfn.XLOOKUP(tblMovimientos[[#This Row],[Cuenta Bancaria]],Cuentas!$C:$C,Cuentas!$B:$B,"",0,-1)&amp;""</f>
        <v/>
      </c>
    </row>
    <row r="1022" spans="1:18" x14ac:dyDescent="0.3">
      <c r="B1022" s="39">
        <v>46279</v>
      </c>
      <c r="C1022" s="4" t="str">
        <f>_xlfn.XLOOKUP(tblMovimientos[[#This Row],[Cuenta Bancaria]],Listas!$B:$B,Listas!$A:$A,"")</f>
        <v>Go Blue</v>
      </c>
      <c r="D1022" s="41" t="s">
        <v>165</v>
      </c>
      <c r="E1022" s="68" t="str">
        <f>_xlfn.XLOOKUP(tblMovimientos[[#This Row],[Cuenta Bancaria]],Listas!$B:$B,Listas!$C:$C,"")</f>
        <v xml:space="preserve">Amerant Bank </v>
      </c>
      <c r="F1022" s="41" t="s">
        <v>10</v>
      </c>
      <c r="G1022" s="41" t="s">
        <v>38</v>
      </c>
      <c r="H1022" s="4" t="str">
        <f>IFERROR(_xlfn.XLOOKUP(G1022,Listas!E:E,Listas!F:F,""),"")</f>
        <v>Operativo</v>
      </c>
      <c r="I1022" s="46" t="str">
        <f>IFERROR(_xlfn.XLOOKUP(G1022,Listas!E:E,Listas!G:G,""),"")</f>
        <v>Externo</v>
      </c>
      <c r="J1022" s="43">
        <v>4647.01</v>
      </c>
      <c r="K1022" s="5">
        <f t="shared" si="15"/>
        <v>-4647.01</v>
      </c>
      <c r="L1022" s="15" t="s">
        <v>133</v>
      </c>
      <c r="M1022" s="44">
        <f>SUMIFS('Saldos Iniciales'!$D:$D,'Saldos Iniciales'!$A:$A,C1022,'Saldos Iniciales'!$B:$B,D1022)+SUMIFS($K$1:$K$1324,$C$1:$C$1324,C1022,$D$1:$D$1324,D1022,$B$1:$B$1324,"&lt;="&amp;B1022)</f>
        <v>2097.760000000002</v>
      </c>
      <c r="N1022" s="61" t="str">
        <f>IF(tblMovimientos[[#This Row],[Tipo de Movimiento]]="Ingreso",tblMovimientos[[#This Row],[Monto (S/)]],"0")</f>
        <v>0</v>
      </c>
      <c r="O1022" s="61">
        <f>IF(tblMovimientos[[#This Row],[Tipo de Movimiento]]="Egreso",tblMovimientos[[#This Row],[Monto (S/)]],"0")</f>
        <v>4647.01</v>
      </c>
      <c r="P1022" s="28">
        <f>IF(tblMovimientos[[#This Row],[Tipo de Movimiento]]="Ingreso",tblMovimientos[[#This Row],[Ingreso]],-tblMovimientos[[#This Row],[Egreso]])</f>
        <v>-4647.01</v>
      </c>
      <c r="Q1022" s="78" t="str">
        <f>_xlfn.XLOOKUP(tblMovimientos[[#This Row],[Cuenta Bancaria]],Cuentas!$C:$C,Cuentas!$A:$A,"")&amp;""</f>
        <v>SSP Group</v>
      </c>
      <c r="R1022" s="78" t="str">
        <f>_xlfn.XLOOKUP(tblMovimientos[[#This Row],[Cuenta Bancaria]],Cuentas!$C:$C,Cuentas!$B:$B,"",0,-1)&amp;""</f>
        <v/>
      </c>
    </row>
    <row r="1023" spans="1:18" x14ac:dyDescent="0.3">
      <c r="B1023" s="39">
        <v>46279</v>
      </c>
      <c r="C1023" s="4" t="str">
        <f>_xlfn.XLOOKUP(tblMovimientos[[#This Row],[Cuenta Bancaria]],Listas!$B:$B,Listas!$A:$A,"")</f>
        <v>Go Blue</v>
      </c>
      <c r="D1023" s="41" t="s">
        <v>165</v>
      </c>
      <c r="E1023" s="68" t="str">
        <f>_xlfn.XLOOKUP(tblMovimientos[[#This Row],[Cuenta Bancaria]],Listas!$B:$B,Listas!$C:$C,"")</f>
        <v xml:space="preserve">Amerant Bank </v>
      </c>
      <c r="F1023" s="41" t="s">
        <v>10</v>
      </c>
      <c r="G1023" s="41" t="s">
        <v>38</v>
      </c>
      <c r="H1023" s="4" t="str">
        <f>IFERROR(_xlfn.XLOOKUP(G1023,Listas!E:E,Listas!F:F,""),"")</f>
        <v>Operativo</v>
      </c>
      <c r="I1023" s="46" t="str">
        <f>IFERROR(_xlfn.XLOOKUP(G1023,Listas!E:E,Listas!G:G,""),"")</f>
        <v>Externo</v>
      </c>
      <c r="J1023" s="43">
        <v>1647.78</v>
      </c>
      <c r="K1023" s="5">
        <f t="shared" si="15"/>
        <v>-1647.78</v>
      </c>
      <c r="L1023" s="15" t="s">
        <v>133</v>
      </c>
      <c r="M1023" s="44">
        <f>SUMIFS('Saldos Iniciales'!$D:$D,'Saldos Iniciales'!$A:$A,C1023,'Saldos Iniciales'!$B:$B,D1023)+SUMIFS($K$1:$K$1324,$C$1:$C$1324,C1023,$D$1:$D$1324,D1023,$B$1:$B$1324,"&lt;="&amp;B1023)</f>
        <v>2097.760000000002</v>
      </c>
      <c r="N1023" s="61" t="str">
        <f>IF(tblMovimientos[[#This Row],[Tipo de Movimiento]]="Ingreso",tblMovimientos[[#This Row],[Monto (S/)]],"0")</f>
        <v>0</v>
      </c>
      <c r="O1023" s="61">
        <f>IF(tblMovimientos[[#This Row],[Tipo de Movimiento]]="Egreso",tblMovimientos[[#This Row],[Monto (S/)]],"0")</f>
        <v>1647.78</v>
      </c>
      <c r="P1023" s="28">
        <f>IF(tblMovimientos[[#This Row],[Tipo de Movimiento]]="Ingreso",tblMovimientos[[#This Row],[Ingreso]],-tblMovimientos[[#This Row],[Egreso]])</f>
        <v>-1647.78</v>
      </c>
      <c r="Q1023" s="78" t="str">
        <f>_xlfn.XLOOKUP(tblMovimientos[[#This Row],[Cuenta Bancaria]],Cuentas!$C:$C,Cuentas!$A:$A,"")&amp;""</f>
        <v>SSP Group</v>
      </c>
      <c r="R1023" s="78" t="str">
        <f>_xlfn.XLOOKUP(tblMovimientos[[#This Row],[Cuenta Bancaria]],Cuentas!$C:$C,Cuentas!$B:$B,"",0,-1)&amp;""</f>
        <v/>
      </c>
    </row>
    <row r="1024" spans="1:18" x14ac:dyDescent="0.3">
      <c r="B1024" s="39">
        <v>46279</v>
      </c>
      <c r="C1024" s="4" t="str">
        <f>_xlfn.XLOOKUP(tblMovimientos[[#This Row],[Cuenta Bancaria]],Listas!$B:$B,Listas!$A:$A,"")</f>
        <v>CFT Group</v>
      </c>
      <c r="D1024" s="41" t="s">
        <v>95</v>
      </c>
      <c r="E1024" s="68" t="str">
        <f>_xlfn.XLOOKUP(tblMovimientos[[#This Row],[Cuenta Bancaria]],Listas!$B:$B,Listas!$C:$C,"")</f>
        <v xml:space="preserve">Amerant Bank </v>
      </c>
      <c r="F1024" s="41" t="s">
        <v>9</v>
      </c>
      <c r="G1024" s="41" t="s">
        <v>76</v>
      </c>
      <c r="H1024" s="4" t="str">
        <f>IFERROR(_xlfn.XLOOKUP(G1024,Listas!E:E,Listas!F:F,""),"")</f>
        <v>Financiamiento</v>
      </c>
      <c r="I1024" s="46" t="str">
        <f>IFERROR(_xlfn.XLOOKUP(G1024,Listas!E:E,Listas!G:G,""),"")</f>
        <v>Externo</v>
      </c>
      <c r="J1024" s="43">
        <v>150000</v>
      </c>
      <c r="K1024" s="5">
        <f t="shared" si="15"/>
        <v>150000</v>
      </c>
      <c r="L1024" s="15" t="s">
        <v>133</v>
      </c>
      <c r="M1024" s="44">
        <f>SUMIFS('Saldos Iniciales'!$D:$D,'Saldos Iniciales'!$A:$A,C1024,'Saldos Iniciales'!$B:$B,D1024)+SUMIFS($K$1:$K$1324,$C$1:$C$1324,C1024,$D$1:$D$1324,D1024,$B$1:$B$1324,"&lt;="&amp;B1024)</f>
        <v>1665508.1300000011</v>
      </c>
      <c r="N1024" s="61">
        <f>IF(tblMovimientos[[#This Row],[Tipo de Movimiento]]="Ingreso",tblMovimientos[[#This Row],[Monto (S/)]],"0")</f>
        <v>150000</v>
      </c>
      <c r="O1024" s="61" t="str">
        <f>IF(tblMovimientos[[#This Row],[Tipo de Movimiento]]="Egreso",tblMovimientos[[#This Row],[Monto (S/)]],"0")</f>
        <v>0</v>
      </c>
      <c r="P1024" s="28">
        <f>IF(tblMovimientos[[#This Row],[Tipo de Movimiento]]="Ingreso",tblMovimientos[[#This Row],[Ingreso]],-tblMovimientos[[#This Row],[Egreso]])</f>
        <v>150000</v>
      </c>
      <c r="Q1024" s="78" t="str">
        <f>_xlfn.XLOOKUP(tblMovimientos[[#This Row],[Cuenta Bancaria]],Cuentas!$C:$C,Cuentas!$A:$A,"")&amp;""</f>
        <v>SSP Group</v>
      </c>
      <c r="R1024" s="78" t="str">
        <f>_xlfn.XLOOKUP(tblMovimientos[[#This Row],[Cuenta Bancaria]],Cuentas!$C:$C,Cuentas!$B:$B,"",0,-1)&amp;""</f>
        <v/>
      </c>
    </row>
    <row r="1025" spans="1:18" x14ac:dyDescent="0.3">
      <c r="B1025" s="39">
        <v>46279</v>
      </c>
      <c r="C1025" s="4" t="str">
        <f>_xlfn.XLOOKUP(tblMovimientos[[#This Row],[Cuenta Bancaria]],Listas!$B:$B,Listas!$A:$A,"")</f>
        <v>SSP Capital</v>
      </c>
      <c r="D1025" s="41" t="s">
        <v>104</v>
      </c>
      <c r="E1025" s="68" t="str">
        <f>_xlfn.XLOOKUP(tblMovimientos[[#This Row],[Cuenta Bancaria]],Listas!$B:$B,Listas!$C:$C,"")</f>
        <v xml:space="preserve">Amerant Bank </v>
      </c>
      <c r="F1025" s="41" t="s">
        <v>10</v>
      </c>
      <c r="G1025" s="41" t="s">
        <v>39</v>
      </c>
      <c r="H1025" s="4" t="str">
        <f>IFERROR(_xlfn.XLOOKUP(G1025,Listas!E:E,Listas!F:F,""),"")</f>
        <v>Operativo</v>
      </c>
      <c r="I1025" s="46" t="str">
        <f>IFERROR(_xlfn.XLOOKUP(G1025,Listas!E:E,Listas!G:G,""),"")</f>
        <v>Externo</v>
      </c>
      <c r="J1025" s="43">
        <v>40310.81</v>
      </c>
      <c r="K1025" s="5">
        <f t="shared" si="15"/>
        <v>-40310.81</v>
      </c>
      <c r="L1025" s="15" t="s">
        <v>133</v>
      </c>
      <c r="M1025" s="44">
        <f>SUMIFS('Saldos Iniciales'!$D:$D,'Saldos Iniciales'!$A:$A,C1025,'Saldos Iniciales'!$B:$B,D1025)+SUMIFS($K$1:$K$1324,$C$1:$C$1324,C1025,$D$1:$D$1324,D1025,$B$1:$B$1324,"&lt;="&amp;B1025)</f>
        <v>340825.51999999926</v>
      </c>
      <c r="N1025" s="61" t="str">
        <f>IF(tblMovimientos[[#This Row],[Tipo de Movimiento]]="Ingreso",tblMovimientos[[#This Row],[Monto (S/)]],"0")</f>
        <v>0</v>
      </c>
      <c r="O1025" s="61">
        <f>IF(tblMovimientos[[#This Row],[Tipo de Movimiento]]="Egreso",tblMovimientos[[#This Row],[Monto (S/)]],"0")</f>
        <v>40310.81</v>
      </c>
      <c r="P1025" s="28">
        <f>IF(tblMovimientos[[#This Row],[Tipo de Movimiento]]="Ingreso",tblMovimientos[[#This Row],[Ingreso]],-tblMovimientos[[#This Row],[Egreso]])</f>
        <v>-40310.81</v>
      </c>
      <c r="Q1025" s="78" t="str">
        <f>_xlfn.XLOOKUP(tblMovimientos[[#This Row],[Cuenta Bancaria]],Cuentas!$C:$C,Cuentas!$A:$A,"")&amp;""</f>
        <v>SSP Group</v>
      </c>
      <c r="R1025" s="78" t="str">
        <f>_xlfn.XLOOKUP(tblMovimientos[[#This Row],[Cuenta Bancaria]],Cuentas!$C:$C,Cuentas!$B:$B,"",0,-1)&amp;""</f>
        <v/>
      </c>
    </row>
    <row r="1026" spans="1:18" x14ac:dyDescent="0.3">
      <c r="A1026" s="45"/>
      <c r="B1026" s="39">
        <v>46279</v>
      </c>
      <c r="C1026" s="4" t="str">
        <f>_xlfn.XLOOKUP(tblMovimientos[[#This Row],[Cuenta Bancaria]],Listas!$B:$B,Listas!$A:$A,"")</f>
        <v>Go Blue</v>
      </c>
      <c r="D1026" s="41" t="s">
        <v>126</v>
      </c>
      <c r="E1026" s="68" t="str">
        <f>_xlfn.XLOOKUP(tblMovimientos[[#This Row],[Cuenta Bancaria]],Listas!$B:$B,Listas!$C:$C,"")</f>
        <v xml:space="preserve">Amerant Bank </v>
      </c>
      <c r="F1026" s="41" t="s">
        <v>10</v>
      </c>
      <c r="G1026" s="41" t="s">
        <v>62</v>
      </c>
      <c r="H1026" s="46" t="str">
        <f>IFERROR(_xlfn.XLOOKUP(G1026,Listas!E:E,Listas!F:F,""),"")</f>
        <v>Operativo</v>
      </c>
      <c r="I1026" s="46" t="str">
        <f>IFERROR(_xlfn.XLOOKUP(G1026,Listas!E:E,Listas!G:G,""),"")</f>
        <v>Interno</v>
      </c>
      <c r="J1026" s="43">
        <v>1500</v>
      </c>
      <c r="K1026" s="5">
        <f t="shared" ref="K1026:K1089" si="16">IF(F1026="Ingreso",J1026,-J1026)</f>
        <v>-1500</v>
      </c>
      <c r="L1026" s="15" t="s">
        <v>133</v>
      </c>
      <c r="M1026" s="44">
        <f>SUMIFS('Saldos Iniciales'!$D:$D,'Saldos Iniciales'!$A:$A,C1026,'Saldos Iniciales'!$B:$B,D1026)+SUMIFS($K$1:$K$1324,$C$1:$C$1324,C1026,$D$1:$D$1324,D1026,$B$1:$B$1324,"&lt;="&amp;B1026)</f>
        <v>14664.689999999999</v>
      </c>
      <c r="N1026" s="61" t="str">
        <f>IF(tblMovimientos[[#This Row],[Tipo de Movimiento]]="Ingreso",tblMovimientos[[#This Row],[Monto (S/)]],"0")</f>
        <v>0</v>
      </c>
      <c r="O1026" s="61">
        <f>IF(tblMovimientos[[#This Row],[Tipo de Movimiento]]="Egreso",tblMovimientos[[#This Row],[Monto (S/)]],"0")</f>
        <v>1500</v>
      </c>
      <c r="P1026" s="28">
        <f>IF(tblMovimientos[[#This Row],[Tipo de Movimiento]]="Ingreso",tblMovimientos[[#This Row],[Ingreso]],-tblMovimientos[[#This Row],[Egreso]])</f>
        <v>-1500</v>
      </c>
      <c r="Q1026" s="78" t="str">
        <f>_xlfn.XLOOKUP(tblMovimientos[[#This Row],[Cuenta Bancaria]],Cuentas!$C:$C,Cuentas!$A:$A,"")&amp;""</f>
        <v>SSP Group</v>
      </c>
      <c r="R1026" s="78" t="str">
        <f>_xlfn.XLOOKUP(tblMovimientos[[#This Row],[Cuenta Bancaria]],Cuentas!$C:$C,Cuentas!$B:$B,"",0,-1)&amp;""</f>
        <v/>
      </c>
    </row>
    <row r="1027" spans="1:18" x14ac:dyDescent="0.3">
      <c r="B1027" s="39">
        <v>46279</v>
      </c>
      <c r="C1027" s="4" t="str">
        <f>_xlfn.XLOOKUP(tblMovimientos[[#This Row],[Cuenta Bancaria]],Listas!$B:$B,Listas!$A:$A,"")</f>
        <v>CFT1 Residence</v>
      </c>
      <c r="D1027" s="41" t="s">
        <v>184</v>
      </c>
      <c r="E1027" s="68" t="str">
        <f>_xlfn.XLOOKUP(tblMovimientos[[#This Row],[Cuenta Bancaria]],Listas!$B:$B,Listas!$C:$C,"")</f>
        <v xml:space="preserve">Amerant Bank </v>
      </c>
      <c r="F1027" s="41" t="s">
        <v>10</v>
      </c>
      <c r="G1027" s="41" t="s">
        <v>38</v>
      </c>
      <c r="H1027" s="46" t="str">
        <f>IFERROR(_xlfn.XLOOKUP(G1027,Listas!E:E,Listas!F:F,""),"")</f>
        <v>Operativo</v>
      </c>
      <c r="I1027" s="46" t="str">
        <f>IFERROR(_xlfn.XLOOKUP(G1027,Listas!E:E,Listas!G:G,""),"")</f>
        <v>Externo</v>
      </c>
      <c r="J1027" s="43">
        <v>282.8</v>
      </c>
      <c r="K1027" s="5">
        <f t="shared" si="16"/>
        <v>-282.8</v>
      </c>
      <c r="L1027" s="15" t="s">
        <v>133</v>
      </c>
      <c r="M1027" s="44">
        <f>SUMIFS('Saldos Iniciales'!$D:$D,'Saldos Iniciales'!$A:$A,C1027,'Saldos Iniciales'!$B:$B,D1027)+SUMIFS($K$1:$K$1324,$C$1:$C$1324,C1027,$D$1:$D$1324,D1027,$B$1:$B$1324,"&lt;="&amp;B1027)</f>
        <v>25545.46</v>
      </c>
      <c r="N1027" s="61" t="str">
        <f>IF(tblMovimientos[[#This Row],[Tipo de Movimiento]]="Ingreso",tblMovimientos[[#This Row],[Monto (S/)]],"0")</f>
        <v>0</v>
      </c>
      <c r="O1027" s="61">
        <f>IF(tblMovimientos[[#This Row],[Tipo de Movimiento]]="Egreso",tblMovimientos[[#This Row],[Monto (S/)]],"0")</f>
        <v>282.8</v>
      </c>
      <c r="P1027" s="28">
        <f>IF(tblMovimientos[[#This Row],[Tipo de Movimiento]]="Ingreso",tblMovimientos[[#This Row],[Ingreso]],-tblMovimientos[[#This Row],[Egreso]])</f>
        <v>-282.8</v>
      </c>
      <c r="Q1027" s="78" t="str">
        <f>_xlfn.XLOOKUP(tblMovimientos[[#This Row],[Cuenta Bancaria]],Cuentas!$C:$C,Cuentas!$A:$A,"")&amp;""</f>
        <v>Carmen Cross Irrevocable Trust</v>
      </c>
      <c r="R1027" s="78" t="str">
        <f>_xlfn.XLOOKUP(tblMovimientos[[#This Row],[Cuenta Bancaria]],Cuentas!$C:$C,Cuentas!$B:$B,"",0,-1)&amp;""</f>
        <v/>
      </c>
    </row>
    <row r="1028" spans="1:18" x14ac:dyDescent="0.3">
      <c r="B1028" s="39">
        <v>46279</v>
      </c>
      <c r="C1028" s="4" t="str">
        <f>_xlfn.XLOOKUP(tblMovimientos[[#This Row],[Cuenta Bancaria]],Listas!$B:$B,Listas!$A:$A,"")</f>
        <v>CFT1 Residence</v>
      </c>
      <c r="D1028" s="41" t="s">
        <v>184</v>
      </c>
      <c r="E1028" s="68" t="str">
        <f>_xlfn.XLOOKUP(tblMovimientos[[#This Row],[Cuenta Bancaria]],Listas!$B:$B,Listas!$C:$C,"")</f>
        <v xml:space="preserve">Amerant Bank </v>
      </c>
      <c r="F1028" s="41" t="s">
        <v>10</v>
      </c>
      <c r="G1028" s="41" t="s">
        <v>38</v>
      </c>
      <c r="H1028" s="46" t="str">
        <f>IFERROR(_xlfn.XLOOKUP(G1028,Listas!E:E,Listas!F:F,""),"")</f>
        <v>Operativo</v>
      </c>
      <c r="I1028" s="46" t="str">
        <f>IFERROR(_xlfn.XLOOKUP(G1028,Listas!E:E,Listas!G:G,""),"")</f>
        <v>Externo</v>
      </c>
      <c r="J1028" s="43">
        <v>829.09</v>
      </c>
      <c r="K1028" s="5">
        <f t="shared" si="16"/>
        <v>-829.09</v>
      </c>
      <c r="L1028" s="15" t="s">
        <v>133</v>
      </c>
      <c r="M1028" s="44">
        <f>SUMIFS('Saldos Iniciales'!$D:$D,'Saldos Iniciales'!$A:$A,C1028,'Saldos Iniciales'!$B:$B,D1028)+SUMIFS($K$1:$K$1324,$C$1:$C$1324,C1028,$D$1:$D$1324,D1028,$B$1:$B$1324,"&lt;="&amp;B1028)</f>
        <v>25545.46</v>
      </c>
      <c r="N1028" s="61" t="str">
        <f>IF(tblMovimientos[[#This Row],[Tipo de Movimiento]]="Ingreso",tblMovimientos[[#This Row],[Monto (S/)]],"0")</f>
        <v>0</v>
      </c>
      <c r="O1028" s="61">
        <f>IF(tblMovimientos[[#This Row],[Tipo de Movimiento]]="Egreso",tblMovimientos[[#This Row],[Monto (S/)]],"0")</f>
        <v>829.09</v>
      </c>
      <c r="P1028" s="28">
        <f>IF(tblMovimientos[[#This Row],[Tipo de Movimiento]]="Ingreso",tblMovimientos[[#This Row],[Ingreso]],-tblMovimientos[[#This Row],[Egreso]])</f>
        <v>-829.09</v>
      </c>
      <c r="Q1028" s="78" t="str">
        <f>_xlfn.XLOOKUP(tblMovimientos[[#This Row],[Cuenta Bancaria]],Cuentas!$C:$C,Cuentas!$A:$A,"")&amp;""</f>
        <v>Carmen Cross Irrevocable Trust</v>
      </c>
      <c r="R1028" s="78" t="str">
        <f>_xlfn.XLOOKUP(tblMovimientos[[#This Row],[Cuenta Bancaria]],Cuentas!$C:$C,Cuentas!$B:$B,"",0,-1)&amp;""</f>
        <v/>
      </c>
    </row>
    <row r="1029" spans="1:18" x14ac:dyDescent="0.3">
      <c r="B1029" s="39">
        <v>46279</v>
      </c>
      <c r="C1029" s="4" t="str">
        <f>_xlfn.XLOOKUP(tblMovimientos[[#This Row],[Cuenta Bancaria]],Listas!$B:$B,Listas!$A:$A,"")</f>
        <v>Prendamas SRL</v>
      </c>
      <c r="D1029" s="41" t="s">
        <v>186</v>
      </c>
      <c r="E1029" s="68" t="str">
        <f>_xlfn.XLOOKUP(tblMovimientos[[#This Row],[Cuenta Bancaria]],Listas!$B:$B,Listas!$C:$C,"")</f>
        <v xml:space="preserve">Amerant Bank </v>
      </c>
      <c r="F1029" s="41" t="s">
        <v>10</v>
      </c>
      <c r="G1029" s="41" t="s">
        <v>38</v>
      </c>
      <c r="H1029" s="46" t="str">
        <f>IFERROR(_xlfn.XLOOKUP(G1029,Listas!E:E,Listas!F:F,""),"")</f>
        <v>Operativo</v>
      </c>
      <c r="I1029" s="46" t="str">
        <f>IFERROR(_xlfn.XLOOKUP(G1029,Listas!E:E,Listas!G:G,""),"")</f>
        <v>Externo</v>
      </c>
      <c r="J1029" s="43">
        <v>499.34</v>
      </c>
      <c r="K1029" s="5">
        <f t="shared" si="16"/>
        <v>-499.34</v>
      </c>
      <c r="L1029" s="15" t="s">
        <v>133</v>
      </c>
      <c r="M1029" s="44">
        <f>SUMIFS('Saldos Iniciales'!$D:$D,'Saldos Iniciales'!$A:$A,C1029,'Saldos Iniciales'!$B:$B,D1029)+SUMIFS($K$1:$K$1324,$C$1:$C$1324,C1029,$D$1:$D$1324,D1029,$B$1:$B$1324,"&lt;="&amp;B1029)</f>
        <v>31107.189999999981</v>
      </c>
      <c r="N1029" s="61" t="str">
        <f>IF(tblMovimientos[[#This Row],[Tipo de Movimiento]]="Ingreso",tblMovimientos[[#This Row],[Monto (S/)]],"0")</f>
        <v>0</v>
      </c>
      <c r="O1029" s="61">
        <f>IF(tblMovimientos[[#This Row],[Tipo de Movimiento]]="Egreso",tblMovimientos[[#This Row],[Monto (S/)]],"0")</f>
        <v>499.34</v>
      </c>
      <c r="P1029" s="28">
        <f>IF(tblMovimientos[[#This Row],[Tipo de Movimiento]]="Ingreso",tblMovimientos[[#This Row],[Ingreso]],-tblMovimientos[[#This Row],[Egreso]])</f>
        <v>-499.34</v>
      </c>
      <c r="Q1029" s="78" t="str">
        <f>_xlfn.XLOOKUP(tblMovimientos[[#This Row],[Cuenta Bancaria]],Cuentas!$C:$C,Cuentas!$A:$A,"")&amp;""</f>
        <v>Unidades de Negocio</v>
      </c>
      <c r="R1029" s="78" t="str">
        <f>_xlfn.XLOOKUP(tblMovimientos[[#This Row],[Cuenta Bancaria]],Cuentas!$C:$C,Cuentas!$B:$B,"",0,-1)&amp;""</f>
        <v/>
      </c>
    </row>
    <row r="1030" spans="1:18" x14ac:dyDescent="0.3">
      <c r="B1030" s="39">
        <v>46279</v>
      </c>
      <c r="C1030" s="4" t="str">
        <f>_xlfn.XLOOKUP(tblMovimientos[[#This Row],[Cuenta Bancaria]],Listas!$B:$B,Listas!$A:$A,"")</f>
        <v>Prendamas SRL</v>
      </c>
      <c r="D1030" s="41" t="s">
        <v>186</v>
      </c>
      <c r="E1030" s="68" t="str">
        <f>_xlfn.XLOOKUP(tblMovimientos[[#This Row],[Cuenta Bancaria]],Listas!$B:$B,Listas!$C:$C,"")</f>
        <v xml:space="preserve">Amerant Bank </v>
      </c>
      <c r="F1030" s="41" t="s">
        <v>10</v>
      </c>
      <c r="G1030" s="41" t="s">
        <v>44</v>
      </c>
      <c r="H1030" s="46" t="str">
        <f>IFERROR(_xlfn.XLOOKUP(G1030,Listas!E:E,Listas!F:F,""),"")</f>
        <v>Operativo</v>
      </c>
      <c r="I1030" s="46" t="str">
        <f>IFERROR(_xlfn.XLOOKUP(G1030,Listas!E:E,Listas!G:G,""),"")</f>
        <v>Externo</v>
      </c>
      <c r="J1030" s="43">
        <v>14.98</v>
      </c>
      <c r="K1030" s="5">
        <f t="shared" si="16"/>
        <v>-14.98</v>
      </c>
      <c r="L1030" s="15" t="s">
        <v>133</v>
      </c>
      <c r="M1030" s="44">
        <f>SUMIFS('Saldos Iniciales'!$D:$D,'Saldos Iniciales'!$A:$A,C1030,'Saldos Iniciales'!$B:$B,D1030)+SUMIFS($K$1:$K$1324,$C$1:$C$1324,C1030,$D$1:$D$1324,D1030,$B$1:$B$1324,"&lt;="&amp;B1030)</f>
        <v>31107.189999999981</v>
      </c>
      <c r="N1030" s="61" t="str">
        <f>IF(tblMovimientos[[#This Row],[Tipo de Movimiento]]="Ingreso",tblMovimientos[[#This Row],[Monto (S/)]],"0")</f>
        <v>0</v>
      </c>
      <c r="O1030" s="61">
        <f>IF(tblMovimientos[[#This Row],[Tipo de Movimiento]]="Egreso",tblMovimientos[[#This Row],[Monto (S/)]],"0")</f>
        <v>14.98</v>
      </c>
      <c r="P1030" s="28">
        <f>IF(tblMovimientos[[#This Row],[Tipo de Movimiento]]="Ingreso",tblMovimientos[[#This Row],[Ingreso]],-tblMovimientos[[#This Row],[Egreso]])</f>
        <v>-14.98</v>
      </c>
      <c r="Q1030" s="78" t="str">
        <f>_xlfn.XLOOKUP(tblMovimientos[[#This Row],[Cuenta Bancaria]],Cuentas!$C:$C,Cuentas!$A:$A,"")&amp;""</f>
        <v>Unidades de Negocio</v>
      </c>
      <c r="R1030" s="78" t="str">
        <f>_xlfn.XLOOKUP(tblMovimientos[[#This Row],[Cuenta Bancaria]],Cuentas!$C:$C,Cuentas!$B:$B,"",0,-1)&amp;""</f>
        <v/>
      </c>
    </row>
    <row r="1031" spans="1:18" x14ac:dyDescent="0.3">
      <c r="B1031" s="39">
        <v>46279</v>
      </c>
      <c r="C1031" s="4" t="str">
        <f>_xlfn.XLOOKUP(tblMovimientos[[#This Row],[Cuenta Bancaria]],Listas!$B:$B,Listas!$A:$A,"")</f>
        <v>Nobe Aparments</v>
      </c>
      <c r="D1031" s="41" t="s">
        <v>191</v>
      </c>
      <c r="E1031" s="68" t="str">
        <f>_xlfn.XLOOKUP(tblMovimientos[[#This Row],[Cuenta Bancaria]],Listas!$B:$B,Listas!$C:$C,"")</f>
        <v>Bank of America</v>
      </c>
      <c r="F1031" s="41" t="s">
        <v>10</v>
      </c>
      <c r="G1031" s="41" t="s">
        <v>38</v>
      </c>
      <c r="H1031" s="46" t="str">
        <f>IFERROR(_xlfn.XLOOKUP(G1031,Listas!E:E,Listas!F:F,""),"")</f>
        <v>Operativo</v>
      </c>
      <c r="I1031" s="46" t="str">
        <f>IFERROR(_xlfn.XLOOKUP(G1031,Listas!E:E,Listas!G:G,""),"")</f>
        <v>Externo</v>
      </c>
      <c r="J1031" s="43">
        <v>101.65</v>
      </c>
      <c r="K1031" s="5">
        <f t="shared" si="16"/>
        <v>-101.65</v>
      </c>
      <c r="L1031" s="15" t="s">
        <v>133</v>
      </c>
      <c r="M1031" s="44">
        <f>SUMIFS('Saldos Iniciales'!$D:$D,'Saldos Iniciales'!$A:$A,C1031,'Saldos Iniciales'!$B:$B,D1031)+SUMIFS($K$1:$K$1324,$C$1:$C$1324,C1031,$D$1:$D$1324,D1031,$B$1:$B$1324,"&lt;="&amp;B1031)</f>
        <v>209262.87</v>
      </c>
      <c r="N1031" s="61" t="str">
        <f>IF(tblMovimientos[[#This Row],[Tipo de Movimiento]]="Ingreso",tblMovimientos[[#This Row],[Monto (S/)]],"0")</f>
        <v>0</v>
      </c>
      <c r="O1031" s="61">
        <f>IF(tblMovimientos[[#This Row],[Tipo de Movimiento]]="Egreso",tblMovimientos[[#This Row],[Monto (S/)]],"0")</f>
        <v>101.65</v>
      </c>
      <c r="P1031" s="28">
        <f>IF(tblMovimientos[[#This Row],[Tipo de Movimiento]]="Ingreso",tblMovimientos[[#This Row],[Ingreso]],-tblMovimientos[[#This Row],[Egreso]])</f>
        <v>-101.65</v>
      </c>
      <c r="Q1031" s="78" t="str">
        <f>_xlfn.XLOOKUP(tblMovimientos[[#This Row],[Cuenta Bancaria]],Cuentas!$C:$C,Cuentas!$A:$A,"")&amp;""</f>
        <v>Estate</v>
      </c>
      <c r="R1031" s="78" t="str">
        <f>_xlfn.XLOOKUP(tblMovimientos[[#This Row],[Cuenta Bancaria]],Cuentas!$C:$C,Cuentas!$B:$B,"",0,-1)&amp;""</f>
        <v/>
      </c>
    </row>
    <row r="1032" spans="1:18" x14ac:dyDescent="0.3">
      <c r="B1032" s="39">
        <v>46280</v>
      </c>
      <c r="C1032" s="4" t="str">
        <f>_xlfn.XLOOKUP(tblMovimientos[[#This Row],[Cuenta Bancaria]],Listas!$B:$B,Listas!$A:$A,"")</f>
        <v>SSP Capital</v>
      </c>
      <c r="D1032" s="41" t="s">
        <v>102</v>
      </c>
      <c r="E1032" s="68" t="str">
        <f>_xlfn.XLOOKUP(tblMovimientos[[#This Row],[Cuenta Bancaria]],Listas!$B:$B,Listas!$C:$C,"")</f>
        <v>Bank of America</v>
      </c>
      <c r="F1032" s="41" t="s">
        <v>10</v>
      </c>
      <c r="G1032" s="41" t="s">
        <v>44</v>
      </c>
      <c r="H1032" s="46" t="str">
        <f>IFERROR(_xlfn.XLOOKUP(G1032,Listas!E:E,Listas!F:F,""),"")</f>
        <v>Operativo</v>
      </c>
      <c r="I1032" s="46" t="str">
        <f>IFERROR(_xlfn.XLOOKUP(G1032,Listas!E:E,Listas!G:G,""),"")</f>
        <v>Externo</v>
      </c>
      <c r="J1032" s="43">
        <v>29.41</v>
      </c>
      <c r="K1032" s="5">
        <f t="shared" si="16"/>
        <v>-29.41</v>
      </c>
      <c r="L1032" s="15" t="s">
        <v>133</v>
      </c>
      <c r="M1032" s="44">
        <f>SUMIFS('Saldos Iniciales'!$D:$D,'Saldos Iniciales'!$A:$A,C1032,'Saldos Iniciales'!$B:$B,D1032)+SUMIFS($K$1:$K$1324,$C$1:$C$1324,C1032,$D$1:$D$1324,D1032,$B$1:$B$1324,"&lt;="&amp;B1032)</f>
        <v>945</v>
      </c>
      <c r="N1032" s="61" t="str">
        <f>IF(tblMovimientos[[#This Row],[Tipo de Movimiento]]="Ingreso",tblMovimientos[[#This Row],[Monto (S/)]],"0")</f>
        <v>0</v>
      </c>
      <c r="O1032" s="61">
        <f>IF(tblMovimientos[[#This Row],[Tipo de Movimiento]]="Egreso",tblMovimientos[[#This Row],[Monto (S/)]],"0")</f>
        <v>29.41</v>
      </c>
      <c r="P1032" s="28">
        <f>IF(tblMovimientos[[#This Row],[Tipo de Movimiento]]="Ingreso",tblMovimientos[[#This Row],[Ingreso]],-tblMovimientos[[#This Row],[Egreso]])</f>
        <v>-29.41</v>
      </c>
      <c r="Q1032" s="78" t="str">
        <f>_xlfn.XLOOKUP(tblMovimientos[[#This Row],[Cuenta Bancaria]],Cuentas!$C:$C,Cuentas!$A:$A,"")&amp;""</f>
        <v>SSP Group</v>
      </c>
      <c r="R1032" s="78" t="str">
        <f>_xlfn.XLOOKUP(tblMovimientos[[#This Row],[Cuenta Bancaria]],Cuentas!$C:$C,Cuentas!$B:$B,"",0,-1)&amp;""</f>
        <v/>
      </c>
    </row>
    <row r="1033" spans="1:18" x14ac:dyDescent="0.3">
      <c r="B1033" s="39">
        <v>46280</v>
      </c>
      <c r="C1033" s="4" t="str">
        <f>_xlfn.XLOOKUP(tblMovimientos[[#This Row],[Cuenta Bancaria]],Listas!$B:$B,Listas!$A:$A,"")</f>
        <v>A&amp;M Imports</v>
      </c>
      <c r="D1033" s="41" t="s">
        <v>100</v>
      </c>
      <c r="E1033" s="68" t="str">
        <f>_xlfn.XLOOKUP(tblMovimientos[[#This Row],[Cuenta Bancaria]],Listas!$B:$B,Listas!$C:$C,"")</f>
        <v>Bank of America</v>
      </c>
      <c r="F1033" s="41" t="s">
        <v>10</v>
      </c>
      <c r="G1033" s="41" t="s">
        <v>44</v>
      </c>
      <c r="H1033" s="4" t="str">
        <f>IFERROR(_xlfn.XLOOKUP(G1033,Listas!E:E,Listas!F:F,""),"")</f>
        <v>Operativo</v>
      </c>
      <c r="I1033" s="46" t="str">
        <f>IFERROR(_xlfn.XLOOKUP(G1033,Listas!E:E,Listas!G:G,""),"")</f>
        <v>Externo</v>
      </c>
      <c r="J1033" s="43">
        <v>375.62</v>
      </c>
      <c r="K1033" s="5">
        <f t="shared" si="16"/>
        <v>-375.62</v>
      </c>
      <c r="L1033" s="15" t="s">
        <v>133</v>
      </c>
      <c r="M1033" s="44">
        <f>SUMIFS('Saldos Iniciales'!$D:$D,'Saldos Iniciales'!$A:$A,C1033,'Saldos Iniciales'!$B:$B,D1033)+SUMIFS($K$1:$K$1324,$C$1:$C$1324,C1033,$D$1:$D$1324,D1033,$B$1:$B$1324,"&lt;="&amp;B1033)</f>
        <v>1105534.6399999999</v>
      </c>
      <c r="N1033" s="61" t="str">
        <f>IF(tblMovimientos[[#This Row],[Tipo de Movimiento]]="Ingreso",tblMovimientos[[#This Row],[Monto (S/)]],"0")</f>
        <v>0</v>
      </c>
      <c r="O1033" s="61">
        <f>IF(tblMovimientos[[#This Row],[Tipo de Movimiento]]="Egreso",tblMovimientos[[#This Row],[Monto (S/)]],"0")</f>
        <v>375.62</v>
      </c>
      <c r="P1033" s="28">
        <f>IF(tblMovimientos[[#This Row],[Tipo de Movimiento]]="Ingreso",tblMovimientos[[#This Row],[Ingreso]],-tblMovimientos[[#This Row],[Egreso]])</f>
        <v>-375.62</v>
      </c>
      <c r="Q1033" s="78" t="str">
        <f>_xlfn.XLOOKUP(tblMovimientos[[#This Row],[Cuenta Bancaria]],Cuentas!$C:$C,Cuentas!$A:$A,"")&amp;""</f>
        <v>SSP Group</v>
      </c>
      <c r="R1033" s="78" t="str">
        <f>_xlfn.XLOOKUP(tblMovimientos[[#This Row],[Cuenta Bancaria]],Cuentas!$C:$C,Cuentas!$B:$B,"",0,-1)&amp;""</f>
        <v/>
      </c>
    </row>
    <row r="1034" spans="1:18" x14ac:dyDescent="0.3">
      <c r="B1034" s="39">
        <v>46280</v>
      </c>
      <c r="C1034" s="4" t="str">
        <f>_xlfn.XLOOKUP(tblMovimientos[[#This Row],[Cuenta Bancaria]],Listas!$B:$B,Listas!$A:$A,"")</f>
        <v>M1B</v>
      </c>
      <c r="D1034" s="41" t="s">
        <v>97</v>
      </c>
      <c r="E1034" s="68" t="str">
        <f>_xlfn.XLOOKUP(tblMovimientos[[#This Row],[Cuenta Bancaria]],Listas!$B:$B,Listas!$C:$C,"")</f>
        <v xml:space="preserve">Amerant Bank </v>
      </c>
      <c r="F1034" s="41" t="s">
        <v>9</v>
      </c>
      <c r="G1034" s="41" t="s">
        <v>68</v>
      </c>
      <c r="H1034" s="4" t="str">
        <f>IFERROR(_xlfn.XLOOKUP(G1034,Listas!E:E,Listas!F:F,""),"")</f>
        <v>Operativo</v>
      </c>
      <c r="I1034" s="46" t="str">
        <f>IFERROR(_xlfn.XLOOKUP(G1034,Listas!E:E,Listas!G:G,""),"")</f>
        <v>Externo</v>
      </c>
      <c r="J1034" s="43">
        <v>6748.49</v>
      </c>
      <c r="K1034" s="5">
        <f t="shared" si="16"/>
        <v>6748.49</v>
      </c>
      <c r="L1034" s="15" t="s">
        <v>133</v>
      </c>
      <c r="M1034" s="44">
        <f>SUMIFS('Saldos Iniciales'!$D:$D,'Saldos Iniciales'!$A:$A,C1034,'Saldos Iniciales'!$B:$B,D1034)+SUMIFS($K$1:$K$1324,$C$1:$C$1324,C1034,$D$1:$D$1324,D1034,$B$1:$B$1324,"&lt;="&amp;B1034)</f>
        <v>95486.460000000166</v>
      </c>
      <c r="N1034" s="61">
        <f>IF(tblMovimientos[[#This Row],[Tipo de Movimiento]]="Ingreso",tblMovimientos[[#This Row],[Monto (S/)]],"0")</f>
        <v>6748.49</v>
      </c>
      <c r="O1034" s="61" t="str">
        <f>IF(tblMovimientos[[#This Row],[Tipo de Movimiento]]="Egreso",tblMovimientos[[#This Row],[Monto (S/)]],"0")</f>
        <v>0</v>
      </c>
      <c r="P1034" s="28">
        <f>IF(tblMovimientos[[#This Row],[Tipo de Movimiento]]="Ingreso",tblMovimientos[[#This Row],[Ingreso]],-tblMovimientos[[#This Row],[Egreso]])</f>
        <v>6748.49</v>
      </c>
      <c r="Q1034" s="78" t="str">
        <f>_xlfn.XLOOKUP(tblMovimientos[[#This Row],[Cuenta Bancaria]],Cuentas!$C:$C,Cuentas!$A:$A,"")&amp;""</f>
        <v>SSP Group</v>
      </c>
      <c r="R1034" s="78" t="str">
        <f>_xlfn.XLOOKUP(tblMovimientos[[#This Row],[Cuenta Bancaria]],Cuentas!$C:$C,Cuentas!$B:$B,"",0,-1)&amp;""</f>
        <v/>
      </c>
    </row>
    <row r="1035" spans="1:18" x14ac:dyDescent="0.3">
      <c r="B1035" s="39">
        <v>46280</v>
      </c>
      <c r="C1035" s="4" t="str">
        <f>_xlfn.XLOOKUP(tblMovimientos[[#This Row],[Cuenta Bancaria]],Listas!$B:$B,Listas!$A:$A,"")</f>
        <v>Go Blue</v>
      </c>
      <c r="D1035" s="41" t="s">
        <v>126</v>
      </c>
      <c r="E1035" s="68" t="str">
        <f>_xlfn.XLOOKUP(tblMovimientos[[#This Row],[Cuenta Bancaria]],Listas!$B:$B,Listas!$C:$C,"")</f>
        <v xml:space="preserve">Amerant Bank </v>
      </c>
      <c r="F1035" s="41" t="s">
        <v>10</v>
      </c>
      <c r="G1035" s="41" t="s">
        <v>38</v>
      </c>
      <c r="H1035" s="4" t="str">
        <f>IFERROR(_xlfn.XLOOKUP(G1035,Listas!E:E,Listas!F:F,""),"")</f>
        <v>Operativo</v>
      </c>
      <c r="I1035" s="46" t="str">
        <f>IFERROR(_xlfn.XLOOKUP(G1035,Listas!E:E,Listas!G:G,""),"")</f>
        <v>Externo</v>
      </c>
      <c r="J1035" s="43">
        <v>175</v>
      </c>
      <c r="K1035" s="5">
        <f t="shared" si="16"/>
        <v>-175</v>
      </c>
      <c r="L1035" s="15" t="s">
        <v>133</v>
      </c>
      <c r="M1035" s="44">
        <f>SUMIFS('Saldos Iniciales'!$D:$D,'Saldos Iniciales'!$A:$A,C1035,'Saldos Iniciales'!$B:$B,D1035)+SUMIFS($K$1:$K$1324,$C$1:$C$1324,C1035,$D$1:$D$1324,D1035,$B$1:$B$1324,"&lt;="&amp;B1035)</f>
        <v>14489.689999999999</v>
      </c>
      <c r="N1035" s="61" t="str">
        <f>IF(tblMovimientos[[#This Row],[Tipo de Movimiento]]="Ingreso",tblMovimientos[[#This Row],[Monto (S/)]],"0")</f>
        <v>0</v>
      </c>
      <c r="O1035" s="61">
        <f>IF(tblMovimientos[[#This Row],[Tipo de Movimiento]]="Egreso",tblMovimientos[[#This Row],[Monto (S/)]],"0")</f>
        <v>175</v>
      </c>
      <c r="P1035" s="28">
        <f>IF(tblMovimientos[[#This Row],[Tipo de Movimiento]]="Ingreso",tblMovimientos[[#This Row],[Ingreso]],-tblMovimientos[[#This Row],[Egreso]])</f>
        <v>-175</v>
      </c>
      <c r="Q1035" s="78" t="str">
        <f>_xlfn.XLOOKUP(tblMovimientos[[#This Row],[Cuenta Bancaria]],Cuentas!$C:$C,Cuentas!$A:$A,"")&amp;""</f>
        <v>SSP Group</v>
      </c>
      <c r="R1035" s="78" t="str">
        <f>_xlfn.XLOOKUP(tblMovimientos[[#This Row],[Cuenta Bancaria]],Cuentas!$C:$C,Cuentas!$B:$B,"",0,-1)&amp;""</f>
        <v/>
      </c>
    </row>
    <row r="1036" spans="1:18" x14ac:dyDescent="0.3">
      <c r="B1036" s="39">
        <v>46280</v>
      </c>
      <c r="C1036" s="4" t="str">
        <f>_xlfn.XLOOKUP(tblMovimientos[[#This Row],[Cuenta Bancaria]],Listas!$B:$B,Listas!$A:$A,"")</f>
        <v>Prendamas SRL</v>
      </c>
      <c r="D1036" s="41" t="s">
        <v>186</v>
      </c>
      <c r="E1036" s="68" t="str">
        <f>_xlfn.XLOOKUP(tblMovimientos[[#This Row],[Cuenta Bancaria]],Listas!$B:$B,Listas!$C:$C,"")</f>
        <v xml:space="preserve">Amerant Bank </v>
      </c>
      <c r="F1036" s="41" t="s">
        <v>10</v>
      </c>
      <c r="G1036" s="41" t="s">
        <v>38</v>
      </c>
      <c r="H1036" s="4" t="str">
        <f>IFERROR(_xlfn.XLOOKUP(G1036,Listas!E:E,Listas!F:F,""),"")</f>
        <v>Operativo</v>
      </c>
      <c r="I1036" s="46" t="str">
        <f>IFERROR(_xlfn.XLOOKUP(G1036,Listas!E:E,Listas!G:G,""),"")</f>
        <v>Externo</v>
      </c>
      <c r="J1036" s="43">
        <v>499.34</v>
      </c>
      <c r="K1036" s="5">
        <f t="shared" si="16"/>
        <v>-499.34</v>
      </c>
      <c r="L1036" s="15" t="s">
        <v>133</v>
      </c>
      <c r="M1036" s="44">
        <f>SUMIFS('Saldos Iniciales'!$D:$D,'Saldos Iniciales'!$A:$A,C1036,'Saldos Iniciales'!$B:$B,D1036)+SUMIFS($K$1:$K$1324,$C$1:$C$1324,C1036,$D$1:$D$1324,D1036,$B$1:$B$1324,"&lt;="&amp;B1036)</f>
        <v>30592.869999999981</v>
      </c>
      <c r="N1036" s="61" t="str">
        <f>IF(tblMovimientos[[#This Row],[Tipo de Movimiento]]="Ingreso",tblMovimientos[[#This Row],[Monto (S/)]],"0")</f>
        <v>0</v>
      </c>
      <c r="O1036" s="61">
        <f>IF(tblMovimientos[[#This Row],[Tipo de Movimiento]]="Egreso",tblMovimientos[[#This Row],[Monto (S/)]],"0")</f>
        <v>499.34</v>
      </c>
      <c r="P1036" s="28">
        <f>IF(tblMovimientos[[#This Row],[Tipo de Movimiento]]="Ingreso",tblMovimientos[[#This Row],[Ingreso]],-tblMovimientos[[#This Row],[Egreso]])</f>
        <v>-499.34</v>
      </c>
      <c r="Q1036" s="78" t="str">
        <f>_xlfn.XLOOKUP(tblMovimientos[[#This Row],[Cuenta Bancaria]],Cuentas!$C:$C,Cuentas!$A:$A,"")&amp;""</f>
        <v>Unidades de Negocio</v>
      </c>
      <c r="R1036" s="78" t="str">
        <f>_xlfn.XLOOKUP(tblMovimientos[[#This Row],[Cuenta Bancaria]],Cuentas!$C:$C,Cuentas!$B:$B,"",0,-1)&amp;""</f>
        <v/>
      </c>
    </row>
    <row r="1037" spans="1:18" x14ac:dyDescent="0.3">
      <c r="B1037" s="39">
        <v>46280</v>
      </c>
      <c r="C1037" s="4" t="str">
        <f>_xlfn.XLOOKUP(tblMovimientos[[#This Row],[Cuenta Bancaria]],Listas!$B:$B,Listas!$A:$A,"")</f>
        <v>Prendamas SRL</v>
      </c>
      <c r="D1037" s="41" t="s">
        <v>186</v>
      </c>
      <c r="E1037" s="68" t="str">
        <f>_xlfn.XLOOKUP(tblMovimientos[[#This Row],[Cuenta Bancaria]],Listas!$B:$B,Listas!$C:$C,"")</f>
        <v xml:space="preserve">Amerant Bank </v>
      </c>
      <c r="F1037" s="41" t="s">
        <v>10</v>
      </c>
      <c r="G1037" s="41" t="s">
        <v>44</v>
      </c>
      <c r="H1037" s="4" t="str">
        <f>IFERROR(_xlfn.XLOOKUP(G1037,Listas!E:E,Listas!F:F,""),"")</f>
        <v>Operativo</v>
      </c>
      <c r="I1037" s="46" t="str">
        <f>IFERROR(_xlfn.XLOOKUP(G1037,Listas!E:E,Listas!G:G,""),"")</f>
        <v>Externo</v>
      </c>
      <c r="J1037" s="43">
        <v>14.98</v>
      </c>
      <c r="K1037" s="5">
        <f t="shared" si="16"/>
        <v>-14.98</v>
      </c>
      <c r="L1037" s="15" t="s">
        <v>133</v>
      </c>
      <c r="M1037" s="44">
        <f>SUMIFS('Saldos Iniciales'!$D:$D,'Saldos Iniciales'!$A:$A,C1037,'Saldos Iniciales'!$B:$B,D1037)+SUMIFS($K$1:$K$1324,$C$1:$C$1324,C1037,$D$1:$D$1324,D1037,$B$1:$B$1324,"&lt;="&amp;B1037)</f>
        <v>30592.869999999981</v>
      </c>
      <c r="N1037" s="61" t="str">
        <f>IF(tblMovimientos[[#This Row],[Tipo de Movimiento]]="Ingreso",tblMovimientos[[#This Row],[Monto (S/)]],"0")</f>
        <v>0</v>
      </c>
      <c r="O1037" s="61">
        <f>IF(tblMovimientos[[#This Row],[Tipo de Movimiento]]="Egreso",tblMovimientos[[#This Row],[Monto (S/)]],"0")</f>
        <v>14.98</v>
      </c>
      <c r="P1037" s="28">
        <f>IF(tblMovimientos[[#This Row],[Tipo de Movimiento]]="Ingreso",tblMovimientos[[#This Row],[Ingreso]],-tblMovimientos[[#This Row],[Egreso]])</f>
        <v>-14.98</v>
      </c>
      <c r="Q1037" s="78" t="str">
        <f>_xlfn.XLOOKUP(tblMovimientos[[#This Row],[Cuenta Bancaria]],Cuentas!$C:$C,Cuentas!$A:$A,"")&amp;""</f>
        <v>Unidades de Negocio</v>
      </c>
      <c r="R1037" s="78" t="str">
        <f>_xlfn.XLOOKUP(tblMovimientos[[#This Row],[Cuenta Bancaria]],Cuentas!$C:$C,Cuentas!$B:$B,"",0,-1)&amp;""</f>
        <v/>
      </c>
    </row>
    <row r="1038" spans="1:18" x14ac:dyDescent="0.3">
      <c r="B1038" s="39">
        <v>46280</v>
      </c>
      <c r="C1038" s="4" t="str">
        <f>_xlfn.XLOOKUP(tblMovimientos[[#This Row],[Cuenta Bancaria]],Listas!$B:$B,Listas!$A:$A,"")</f>
        <v>Cross Security Trust</v>
      </c>
      <c r="D1038" s="41" t="s">
        <v>112</v>
      </c>
      <c r="E1038" s="68" t="str">
        <f>_xlfn.XLOOKUP(tblMovimientos[[#This Row],[Cuenta Bancaria]],Listas!$B:$B,Listas!$C:$C,"")</f>
        <v>Bank of America</v>
      </c>
      <c r="F1038" s="41" t="s">
        <v>9</v>
      </c>
      <c r="G1038" s="41" t="s">
        <v>84</v>
      </c>
      <c r="H1038" s="4" t="str">
        <f>IFERROR(_xlfn.XLOOKUP(G1038,Listas!E:E,Listas!F:F,""),"")</f>
        <v>Operativo</v>
      </c>
      <c r="I1038" s="69" t="str">
        <f>IFERROR(_xlfn.XLOOKUP(G1038,Listas!E:E,Listas!G:G,""),"")</f>
        <v>Externo</v>
      </c>
      <c r="J1038" s="43">
        <v>4.24</v>
      </c>
      <c r="K1038" s="5">
        <f t="shared" si="16"/>
        <v>4.24</v>
      </c>
      <c r="L1038" s="15" t="s">
        <v>133</v>
      </c>
      <c r="M1038" s="44">
        <f>SUMIFS('Saldos Iniciales'!$D:$D,'Saldos Iniciales'!$A:$A,C1038,'Saldos Iniciales'!$B:$B,D1038)+SUMIFS($K$1:$K$1324,$C$1:$C$1324,C1038,$D$1:$D$1324,D1038,$B$1:$B$1324,"&lt;="&amp;B1038)</f>
        <v>217688.58</v>
      </c>
      <c r="N1038" s="61">
        <f>IF(tblMovimientos[[#This Row],[Tipo de Movimiento]]="Ingreso",tblMovimientos[[#This Row],[Monto (S/)]],"0")</f>
        <v>4.24</v>
      </c>
      <c r="O1038" s="61" t="str">
        <f>IF(tblMovimientos[[#This Row],[Tipo de Movimiento]]="Egreso",tblMovimientos[[#This Row],[Monto (S/)]],"0")</f>
        <v>0</v>
      </c>
      <c r="P1038" s="28">
        <f>IF(tblMovimientos[[#This Row],[Tipo de Movimiento]]="Ingreso",tblMovimientos[[#This Row],[Ingreso]],-tblMovimientos[[#This Row],[Egreso]])</f>
        <v>4.24</v>
      </c>
      <c r="Q1038" s="78" t="str">
        <f>_xlfn.XLOOKUP(tblMovimientos[[#This Row],[Cuenta Bancaria]],Cuentas!$C:$C,Cuentas!$A:$A,"")&amp;""</f>
        <v>SSP Group</v>
      </c>
      <c r="R1038" s="78" t="str">
        <f>_xlfn.XLOOKUP(tblMovimientos[[#This Row],[Cuenta Bancaria]],Cuentas!$C:$C,Cuentas!$B:$B,"",0,-1)&amp;""</f>
        <v>Trust</v>
      </c>
    </row>
    <row r="1039" spans="1:18" x14ac:dyDescent="0.3">
      <c r="B1039" s="39">
        <v>46281</v>
      </c>
      <c r="C1039" s="4" t="str">
        <f>_xlfn.XLOOKUP(tblMovimientos[[#This Row],[Cuenta Bancaria]],Listas!$B:$B,Listas!$A:$A,"")</f>
        <v>SSP Capital</v>
      </c>
      <c r="D1039" s="41" t="s">
        <v>101</v>
      </c>
      <c r="E1039" s="68" t="str">
        <f>_xlfn.XLOOKUP(tblMovimientos[[#This Row],[Cuenta Bancaria]],Listas!$B:$B,Listas!$C:$C,"")</f>
        <v>Bank of America</v>
      </c>
      <c r="F1039" s="41" t="s">
        <v>10</v>
      </c>
      <c r="G1039" s="41" t="s">
        <v>38</v>
      </c>
      <c r="H1039" s="4" t="str">
        <f>IFERROR(_xlfn.XLOOKUP(G1039,Listas!E:E,Listas!F:F,""),"")</f>
        <v>Operativo</v>
      </c>
      <c r="I1039" s="46" t="str">
        <f>IFERROR(_xlfn.XLOOKUP(G1039,Listas!E:E,Listas!G:G,""),"")</f>
        <v>Externo</v>
      </c>
      <c r="J1039" s="43">
        <v>2490.36</v>
      </c>
      <c r="K1039" s="5">
        <f t="shared" si="16"/>
        <v>-2490.36</v>
      </c>
      <c r="L1039" s="15" t="s">
        <v>133</v>
      </c>
      <c r="M1039" s="44">
        <f>SUMIFS('Saldos Iniciales'!$D:$D,'Saldos Iniciales'!$A:$A,C1039,'Saldos Iniciales'!$B:$B,D1039)+SUMIFS($K$1:$K$1324,$C$1:$C$1324,C1039,$D$1:$D$1324,D1039,$B$1:$B$1324,"&lt;="&amp;B1039)</f>
        <v>26581.72</v>
      </c>
      <c r="N1039" s="61" t="str">
        <f>IF(tblMovimientos[[#This Row],[Tipo de Movimiento]]="Ingreso",tblMovimientos[[#This Row],[Monto (S/)]],"0")</f>
        <v>0</v>
      </c>
      <c r="O1039" s="61">
        <f>IF(tblMovimientos[[#This Row],[Tipo de Movimiento]]="Egreso",tblMovimientos[[#This Row],[Monto (S/)]],"0")</f>
        <v>2490.36</v>
      </c>
      <c r="P1039" s="28">
        <f>IF(tblMovimientos[[#This Row],[Tipo de Movimiento]]="Ingreso",tblMovimientos[[#This Row],[Ingreso]],-tblMovimientos[[#This Row],[Egreso]])</f>
        <v>-2490.36</v>
      </c>
      <c r="Q1039" s="78" t="str">
        <f>_xlfn.XLOOKUP(tblMovimientos[[#This Row],[Cuenta Bancaria]],Cuentas!$C:$C,Cuentas!$A:$A,"")&amp;""</f>
        <v>SSP Group</v>
      </c>
      <c r="R1039" s="78" t="str">
        <f>_xlfn.XLOOKUP(tblMovimientos[[#This Row],[Cuenta Bancaria]],Cuentas!$C:$C,Cuentas!$B:$B,"",0,-1)&amp;""</f>
        <v/>
      </c>
    </row>
    <row r="1040" spans="1:18" x14ac:dyDescent="0.3">
      <c r="B1040" s="39">
        <v>46281</v>
      </c>
      <c r="C1040" s="4" t="str">
        <f>_xlfn.XLOOKUP(tblMovimientos[[#This Row],[Cuenta Bancaria]],Listas!$B:$B,Listas!$A:$A,"")</f>
        <v>Go Blue</v>
      </c>
      <c r="D1040" s="41" t="s">
        <v>165</v>
      </c>
      <c r="E1040" s="68" t="str">
        <f>_xlfn.XLOOKUP(tblMovimientos[[#This Row],[Cuenta Bancaria]],Listas!$B:$B,Listas!$C:$C,"")</f>
        <v xml:space="preserve">Amerant Bank </v>
      </c>
      <c r="F1040" s="41" t="s">
        <v>10</v>
      </c>
      <c r="G1040" s="41" t="s">
        <v>38</v>
      </c>
      <c r="H1040" s="4" t="str">
        <f>IFERROR(_xlfn.XLOOKUP(G1040,Listas!E:E,Listas!F:F,""),"")</f>
        <v>Operativo</v>
      </c>
      <c r="I1040" s="46" t="str">
        <f>IFERROR(_xlfn.XLOOKUP(G1040,Listas!E:E,Listas!G:G,""),"")</f>
        <v>Externo</v>
      </c>
      <c r="J1040" s="43">
        <v>203</v>
      </c>
      <c r="K1040" s="5">
        <f t="shared" si="16"/>
        <v>-203</v>
      </c>
      <c r="L1040" s="15" t="s">
        <v>133</v>
      </c>
      <c r="M1040" s="44">
        <f>SUMIFS('Saldos Iniciales'!$D:$D,'Saldos Iniciales'!$A:$A,C1040,'Saldos Iniciales'!$B:$B,D1040)+SUMIFS($K$1:$K$1324,$C$1:$C$1324,C1040,$D$1:$D$1324,D1040,$B$1:$B$1324,"&lt;="&amp;B1040)</f>
        <v>1894.760000000002</v>
      </c>
      <c r="N1040" s="61" t="str">
        <f>IF(tblMovimientos[[#This Row],[Tipo de Movimiento]]="Ingreso",tblMovimientos[[#This Row],[Monto (S/)]],"0")</f>
        <v>0</v>
      </c>
      <c r="O1040" s="61">
        <f>IF(tblMovimientos[[#This Row],[Tipo de Movimiento]]="Egreso",tblMovimientos[[#This Row],[Monto (S/)]],"0")</f>
        <v>203</v>
      </c>
      <c r="P1040" s="28">
        <f>IF(tblMovimientos[[#This Row],[Tipo de Movimiento]]="Ingreso",tblMovimientos[[#This Row],[Ingreso]],-tblMovimientos[[#This Row],[Egreso]])</f>
        <v>-203</v>
      </c>
      <c r="Q1040" s="78" t="str">
        <f>_xlfn.XLOOKUP(tblMovimientos[[#This Row],[Cuenta Bancaria]],Cuentas!$C:$C,Cuentas!$A:$A,"")&amp;""</f>
        <v>SSP Group</v>
      </c>
      <c r="R1040" s="78" t="str">
        <f>_xlfn.XLOOKUP(tblMovimientos[[#This Row],[Cuenta Bancaria]],Cuentas!$C:$C,Cuentas!$B:$B,"",0,-1)&amp;""</f>
        <v/>
      </c>
    </row>
    <row r="1041" spans="2:18" x14ac:dyDescent="0.3">
      <c r="B1041" s="39">
        <v>46281</v>
      </c>
      <c r="C1041" s="4" t="str">
        <f>_xlfn.XLOOKUP(tblMovimientos[[#This Row],[Cuenta Bancaria]],Listas!$B:$B,Listas!$A:$A,"")</f>
        <v>Prendamas SRL</v>
      </c>
      <c r="D1041" s="41" t="s">
        <v>186</v>
      </c>
      <c r="E1041" s="68" t="str">
        <f>_xlfn.XLOOKUP(tblMovimientos[[#This Row],[Cuenta Bancaria]],Listas!$B:$B,Listas!$C:$C,"")</f>
        <v xml:space="preserve">Amerant Bank </v>
      </c>
      <c r="F1041" s="41" t="s">
        <v>10</v>
      </c>
      <c r="G1041" s="41" t="s">
        <v>38</v>
      </c>
      <c r="H1041" s="4" t="str">
        <f>IFERROR(_xlfn.XLOOKUP(G1041,Listas!E:E,Listas!F:F,""),"")</f>
        <v>Operativo</v>
      </c>
      <c r="I1041" s="46" t="str">
        <f>IFERROR(_xlfn.XLOOKUP(G1041,Listas!E:E,Listas!G:G,""),"")</f>
        <v>Externo</v>
      </c>
      <c r="J1041" s="43">
        <v>715</v>
      </c>
      <c r="K1041" s="5">
        <f t="shared" si="16"/>
        <v>-715</v>
      </c>
      <c r="L1041" s="15" t="s">
        <v>133</v>
      </c>
      <c r="M1041" s="44">
        <f>SUMIFS('Saldos Iniciales'!$D:$D,'Saldos Iniciales'!$A:$A,C1041,'Saldos Iniciales'!$B:$B,D1041)+SUMIFS($K$1:$K$1324,$C$1:$C$1324,C1041,$D$1:$D$1324,D1041,$B$1:$B$1324,"&lt;="&amp;B1041)</f>
        <v>29877.869999999981</v>
      </c>
      <c r="N1041" s="61" t="str">
        <f>IF(tblMovimientos[[#This Row],[Tipo de Movimiento]]="Ingreso",tblMovimientos[[#This Row],[Monto (S/)]],"0")</f>
        <v>0</v>
      </c>
      <c r="O1041" s="61">
        <f>IF(tblMovimientos[[#This Row],[Tipo de Movimiento]]="Egreso",tblMovimientos[[#This Row],[Monto (S/)]],"0")</f>
        <v>715</v>
      </c>
      <c r="P1041" s="28">
        <f>IF(tblMovimientos[[#This Row],[Tipo de Movimiento]]="Ingreso",tblMovimientos[[#This Row],[Ingreso]],-tblMovimientos[[#This Row],[Egreso]])</f>
        <v>-715</v>
      </c>
      <c r="Q1041" s="78" t="str">
        <f>_xlfn.XLOOKUP(tblMovimientos[[#This Row],[Cuenta Bancaria]],Cuentas!$C:$C,Cuentas!$A:$A,"")&amp;""</f>
        <v>Unidades de Negocio</v>
      </c>
      <c r="R1041" s="78" t="str">
        <f>_xlfn.XLOOKUP(tblMovimientos[[#This Row],[Cuenta Bancaria]],Cuentas!$C:$C,Cuentas!$B:$B,"",0,-1)&amp;""</f>
        <v/>
      </c>
    </row>
    <row r="1042" spans="2:18" x14ac:dyDescent="0.3">
      <c r="B1042" s="39">
        <v>46282</v>
      </c>
      <c r="C1042" s="4" t="str">
        <f>_xlfn.XLOOKUP(tblMovimientos[[#This Row],[Cuenta Bancaria]],Listas!$B:$B,Listas!$A:$A,"")</f>
        <v>A&amp;M Imports</v>
      </c>
      <c r="D1042" s="41" t="s">
        <v>100</v>
      </c>
      <c r="E1042" s="68" t="str">
        <f>_xlfn.XLOOKUP(tblMovimientos[[#This Row],[Cuenta Bancaria]],Listas!$B:$B,Listas!$C:$C,"")</f>
        <v>Bank of America</v>
      </c>
      <c r="F1042" s="41" t="s">
        <v>10</v>
      </c>
      <c r="G1042" s="41" t="s">
        <v>62</v>
      </c>
      <c r="H1042" s="4" t="str">
        <f>IFERROR(_xlfn.XLOOKUP(G1042,Listas!E:E,Listas!F:F,""),"")</f>
        <v>Operativo</v>
      </c>
      <c r="I1042" s="46" t="str">
        <f>IFERROR(_xlfn.XLOOKUP(G1042,Listas!E:E,Listas!G:G,""),"")</f>
        <v>Interno</v>
      </c>
      <c r="J1042" s="43">
        <v>60000</v>
      </c>
      <c r="K1042" s="5">
        <f t="shared" si="16"/>
        <v>-60000</v>
      </c>
      <c r="L1042" s="15" t="s">
        <v>133</v>
      </c>
      <c r="M1042" s="44">
        <f>SUMIFS('Saldos Iniciales'!$D:$D,'Saldos Iniciales'!$A:$A,C1042,'Saldos Iniciales'!$B:$B,D1042)+SUMIFS($K$1:$K$1324,$C$1:$C$1324,C1042,$D$1:$D$1324,D1042,$B$1:$B$1324,"&lt;="&amp;B1042)</f>
        <v>975534.6399999999</v>
      </c>
      <c r="N1042" s="61" t="str">
        <f>IF(tblMovimientos[[#This Row],[Tipo de Movimiento]]="Ingreso",tblMovimientos[[#This Row],[Monto (S/)]],"0")</f>
        <v>0</v>
      </c>
      <c r="O1042" s="61">
        <f>IF(tblMovimientos[[#This Row],[Tipo de Movimiento]]="Egreso",tblMovimientos[[#This Row],[Monto (S/)]],"0")</f>
        <v>60000</v>
      </c>
      <c r="P1042" s="28">
        <f>IF(tblMovimientos[[#This Row],[Tipo de Movimiento]]="Ingreso",tblMovimientos[[#This Row],[Ingreso]],-tblMovimientos[[#This Row],[Egreso]])</f>
        <v>-60000</v>
      </c>
      <c r="Q1042" s="78" t="str">
        <f>_xlfn.XLOOKUP(tblMovimientos[[#This Row],[Cuenta Bancaria]],Cuentas!$C:$C,Cuentas!$A:$A,"")&amp;""</f>
        <v>SSP Group</v>
      </c>
      <c r="R1042" s="78" t="str">
        <f>_xlfn.XLOOKUP(tblMovimientos[[#This Row],[Cuenta Bancaria]],Cuentas!$C:$C,Cuentas!$B:$B,"",0,-1)&amp;""</f>
        <v/>
      </c>
    </row>
    <row r="1043" spans="2:18" x14ac:dyDescent="0.3">
      <c r="B1043" s="39">
        <v>46282</v>
      </c>
      <c r="C1043" s="4" t="str">
        <f>_xlfn.XLOOKUP(tblMovimientos[[#This Row],[Cuenta Bancaria]],Listas!$B:$B,Listas!$A:$A,"")</f>
        <v>A&amp;M Imports</v>
      </c>
      <c r="D1043" s="41" t="s">
        <v>100</v>
      </c>
      <c r="E1043" s="68" t="str">
        <f>_xlfn.XLOOKUP(tblMovimientos[[#This Row],[Cuenta Bancaria]],Listas!$B:$B,Listas!$C:$C,"")</f>
        <v>Bank of America</v>
      </c>
      <c r="F1043" s="41" t="s">
        <v>10</v>
      </c>
      <c r="G1043" s="41" t="s">
        <v>62</v>
      </c>
      <c r="H1043" s="4" t="str">
        <f>IFERROR(_xlfn.XLOOKUP(G1043,Listas!E:E,Listas!F:F,""),"")</f>
        <v>Operativo</v>
      </c>
      <c r="I1043" s="46" t="str">
        <f>IFERROR(_xlfn.XLOOKUP(G1043,Listas!E:E,Listas!G:G,""),"")</f>
        <v>Interno</v>
      </c>
      <c r="J1043" s="43">
        <v>70000</v>
      </c>
      <c r="K1043" s="5">
        <f t="shared" si="16"/>
        <v>-70000</v>
      </c>
      <c r="L1043" s="15" t="s">
        <v>133</v>
      </c>
      <c r="M1043" s="44">
        <f>SUMIFS('Saldos Iniciales'!$D:$D,'Saldos Iniciales'!$A:$A,C1043,'Saldos Iniciales'!$B:$B,D1043)+SUMIFS($K$1:$K$1324,$C$1:$C$1324,C1043,$D$1:$D$1324,D1043,$B$1:$B$1324,"&lt;="&amp;B1043)</f>
        <v>975534.6399999999</v>
      </c>
      <c r="N1043" s="61" t="str">
        <f>IF(tblMovimientos[[#This Row],[Tipo de Movimiento]]="Ingreso",tblMovimientos[[#This Row],[Monto (S/)]],"0")</f>
        <v>0</v>
      </c>
      <c r="O1043" s="61">
        <f>IF(tblMovimientos[[#This Row],[Tipo de Movimiento]]="Egreso",tblMovimientos[[#This Row],[Monto (S/)]],"0")</f>
        <v>70000</v>
      </c>
      <c r="P1043" s="28">
        <f>IF(tblMovimientos[[#This Row],[Tipo de Movimiento]]="Ingreso",tblMovimientos[[#This Row],[Ingreso]],-tblMovimientos[[#This Row],[Egreso]])</f>
        <v>-70000</v>
      </c>
      <c r="Q1043" s="78" t="str">
        <f>_xlfn.XLOOKUP(tblMovimientos[[#This Row],[Cuenta Bancaria]],Cuentas!$C:$C,Cuentas!$A:$A,"")&amp;""</f>
        <v>SSP Group</v>
      </c>
      <c r="R1043" s="78" t="str">
        <f>_xlfn.XLOOKUP(tblMovimientos[[#This Row],[Cuenta Bancaria]],Cuentas!$C:$C,Cuentas!$B:$B,"",0,-1)&amp;""</f>
        <v/>
      </c>
    </row>
    <row r="1044" spans="2:18" x14ac:dyDescent="0.3">
      <c r="B1044" s="39">
        <v>46282</v>
      </c>
      <c r="C1044" s="4" t="str">
        <f>_xlfn.XLOOKUP(tblMovimientos[[#This Row],[Cuenta Bancaria]],Listas!$B:$B,Listas!$A:$A,"")</f>
        <v>Go Blue</v>
      </c>
      <c r="D1044" s="41" t="s">
        <v>165</v>
      </c>
      <c r="E1044" s="68" t="str">
        <f>_xlfn.XLOOKUP(tblMovimientos[[#This Row],[Cuenta Bancaria]],Listas!$B:$B,Listas!$C:$C,"")</f>
        <v xml:space="preserve">Amerant Bank </v>
      </c>
      <c r="F1044" s="41" t="s">
        <v>10</v>
      </c>
      <c r="G1044" s="41" t="s">
        <v>38</v>
      </c>
      <c r="H1044" s="4" t="str">
        <f>IFERROR(_xlfn.XLOOKUP(G1044,Listas!E:E,Listas!F:F,""),"")</f>
        <v>Operativo</v>
      </c>
      <c r="I1044" s="46" t="str">
        <f>IFERROR(_xlfn.XLOOKUP(G1044,Listas!E:E,Listas!G:G,""),"")</f>
        <v>Externo</v>
      </c>
      <c r="J1044" s="43">
        <v>220.01</v>
      </c>
      <c r="K1044" s="5">
        <f t="shared" si="16"/>
        <v>-220.01</v>
      </c>
      <c r="L1044" s="15" t="s">
        <v>133</v>
      </c>
      <c r="M1044" s="44">
        <f>SUMIFS('Saldos Iniciales'!$D:$D,'Saldos Iniciales'!$A:$A,C1044,'Saldos Iniciales'!$B:$B,D1044)+SUMIFS($K$1:$K$1324,$C$1:$C$1324,C1044,$D$1:$D$1324,D1044,$B$1:$B$1324,"&lt;="&amp;B1044)</f>
        <v>1674.7500000000018</v>
      </c>
      <c r="N1044" s="61" t="str">
        <f>IF(tblMovimientos[[#This Row],[Tipo de Movimiento]]="Ingreso",tblMovimientos[[#This Row],[Monto (S/)]],"0")</f>
        <v>0</v>
      </c>
      <c r="O1044" s="61">
        <f>IF(tblMovimientos[[#This Row],[Tipo de Movimiento]]="Egreso",tblMovimientos[[#This Row],[Monto (S/)]],"0")</f>
        <v>220.01</v>
      </c>
      <c r="P1044" s="28">
        <f>IF(tblMovimientos[[#This Row],[Tipo de Movimiento]]="Ingreso",tblMovimientos[[#This Row],[Ingreso]],-tblMovimientos[[#This Row],[Egreso]])</f>
        <v>-220.01</v>
      </c>
      <c r="Q1044" s="78" t="str">
        <f>_xlfn.XLOOKUP(tblMovimientos[[#This Row],[Cuenta Bancaria]],Cuentas!$C:$C,Cuentas!$A:$A,"")&amp;""</f>
        <v>SSP Group</v>
      </c>
      <c r="R1044" s="78" t="str">
        <f>_xlfn.XLOOKUP(tblMovimientos[[#This Row],[Cuenta Bancaria]],Cuentas!$C:$C,Cuentas!$B:$B,"",0,-1)&amp;""</f>
        <v/>
      </c>
    </row>
    <row r="1045" spans="2:18" x14ac:dyDescent="0.3">
      <c r="B1045" s="39">
        <v>46282</v>
      </c>
      <c r="C1045" s="4" t="str">
        <f>_xlfn.XLOOKUP(tblMovimientos[[#This Row],[Cuenta Bancaria]],Listas!$B:$B,Listas!$A:$A,"")</f>
        <v>CFT Group</v>
      </c>
      <c r="D1045" s="41" t="s">
        <v>95</v>
      </c>
      <c r="E1045" s="68" t="str">
        <f>_xlfn.XLOOKUP(tblMovimientos[[#This Row],[Cuenta Bancaria]],Listas!$B:$B,Listas!$C:$C,"")</f>
        <v xml:space="preserve">Amerant Bank </v>
      </c>
      <c r="F1045" s="41" t="s">
        <v>10</v>
      </c>
      <c r="G1045" s="41" t="s">
        <v>46</v>
      </c>
      <c r="H1045" s="4" t="str">
        <f>IFERROR(_xlfn.XLOOKUP(G1045,Listas!E:E,Listas!F:F,""),"")</f>
        <v>Financiamiento</v>
      </c>
      <c r="I1045" s="46" t="str">
        <f>IFERROR(_xlfn.XLOOKUP(G1045,Listas!E:E,Listas!G:G,""),"")</f>
        <v>Externo</v>
      </c>
      <c r="J1045" s="43">
        <v>2916.67</v>
      </c>
      <c r="K1045" s="5">
        <f t="shared" si="16"/>
        <v>-2916.67</v>
      </c>
      <c r="L1045" s="15" t="s">
        <v>133</v>
      </c>
      <c r="M1045" s="44">
        <f>SUMIFS('Saldos Iniciales'!$D:$D,'Saldos Iniciales'!$A:$A,C1045,'Saldos Iniciales'!$B:$B,D1045)+SUMIFS($K$1:$K$1324,$C$1:$C$1324,C1045,$D$1:$D$1324,D1045,$B$1:$B$1324,"&lt;="&amp;B1045)</f>
        <v>1534879.790000001</v>
      </c>
      <c r="N1045" s="61" t="str">
        <f>IF(tblMovimientos[[#This Row],[Tipo de Movimiento]]="Ingreso",tblMovimientos[[#This Row],[Monto (S/)]],"0")</f>
        <v>0</v>
      </c>
      <c r="O1045" s="61">
        <f>IF(tblMovimientos[[#This Row],[Tipo de Movimiento]]="Egreso",tblMovimientos[[#This Row],[Monto (S/)]],"0")</f>
        <v>2916.67</v>
      </c>
      <c r="P1045" s="28">
        <f>IF(tblMovimientos[[#This Row],[Tipo de Movimiento]]="Ingreso",tblMovimientos[[#This Row],[Ingreso]],-tblMovimientos[[#This Row],[Egreso]])</f>
        <v>-2916.67</v>
      </c>
      <c r="Q1045" s="78" t="str">
        <f>_xlfn.XLOOKUP(tblMovimientos[[#This Row],[Cuenta Bancaria]],Cuentas!$C:$C,Cuentas!$A:$A,"")&amp;""</f>
        <v>SSP Group</v>
      </c>
      <c r="R1045" s="78" t="str">
        <f>_xlfn.XLOOKUP(tblMovimientos[[#This Row],[Cuenta Bancaria]],Cuentas!$C:$C,Cuentas!$B:$B,"",0,-1)&amp;""</f>
        <v/>
      </c>
    </row>
    <row r="1046" spans="2:18" x14ac:dyDescent="0.3">
      <c r="B1046" s="39">
        <v>46282</v>
      </c>
      <c r="C1046" s="4" t="str">
        <f>_xlfn.XLOOKUP(tblMovimientos[[#This Row],[Cuenta Bancaria]],Listas!$B:$B,Listas!$A:$A,"")</f>
        <v>CFT Group</v>
      </c>
      <c r="D1046" s="41" t="s">
        <v>95</v>
      </c>
      <c r="E1046" s="68" t="str">
        <f>_xlfn.XLOOKUP(tblMovimientos[[#This Row],[Cuenta Bancaria]],Listas!$B:$B,Listas!$C:$C,"")</f>
        <v xml:space="preserve">Amerant Bank </v>
      </c>
      <c r="F1046" s="41" t="s">
        <v>10</v>
      </c>
      <c r="G1046" s="41" t="s">
        <v>46</v>
      </c>
      <c r="H1046" s="4" t="str">
        <f>IFERROR(_xlfn.XLOOKUP(G1046,Listas!E:E,Listas!F:F,""),"")</f>
        <v>Financiamiento</v>
      </c>
      <c r="I1046" s="46" t="str">
        <f>IFERROR(_xlfn.XLOOKUP(G1046,Listas!E:E,Listas!G:G,""),"")</f>
        <v>Externo</v>
      </c>
      <c r="J1046" s="43">
        <v>3908.33</v>
      </c>
      <c r="K1046" s="5">
        <f t="shared" si="16"/>
        <v>-3908.33</v>
      </c>
      <c r="L1046" s="15" t="s">
        <v>133</v>
      </c>
      <c r="M1046" s="44">
        <f>SUMIFS('Saldos Iniciales'!$D:$D,'Saldos Iniciales'!$A:$A,C1046,'Saldos Iniciales'!$B:$B,D1046)+SUMIFS($K$1:$K$1324,$C$1:$C$1324,C1046,$D$1:$D$1324,D1046,$B$1:$B$1324,"&lt;="&amp;B1046)</f>
        <v>1534879.790000001</v>
      </c>
      <c r="N1046" s="61" t="str">
        <f>IF(tblMovimientos[[#This Row],[Tipo de Movimiento]]="Ingreso",tblMovimientos[[#This Row],[Monto (S/)]],"0")</f>
        <v>0</v>
      </c>
      <c r="O1046" s="61">
        <f>IF(tblMovimientos[[#This Row],[Tipo de Movimiento]]="Egreso",tblMovimientos[[#This Row],[Monto (S/)]],"0")</f>
        <v>3908.33</v>
      </c>
      <c r="P1046" s="28">
        <f>IF(tblMovimientos[[#This Row],[Tipo de Movimiento]]="Ingreso",tblMovimientos[[#This Row],[Ingreso]],-tblMovimientos[[#This Row],[Egreso]])</f>
        <v>-3908.33</v>
      </c>
      <c r="Q1046" s="78" t="str">
        <f>_xlfn.XLOOKUP(tblMovimientos[[#This Row],[Cuenta Bancaria]],Cuentas!$C:$C,Cuentas!$A:$A,"")&amp;""</f>
        <v>SSP Group</v>
      </c>
      <c r="R1046" s="78" t="str">
        <f>_xlfn.XLOOKUP(tblMovimientos[[#This Row],[Cuenta Bancaria]],Cuentas!$C:$C,Cuentas!$B:$B,"",0,-1)&amp;""</f>
        <v/>
      </c>
    </row>
    <row r="1047" spans="2:18" x14ac:dyDescent="0.3">
      <c r="B1047" s="39">
        <v>46282</v>
      </c>
      <c r="C1047" s="4" t="str">
        <f>_xlfn.XLOOKUP(tblMovimientos[[#This Row],[Cuenta Bancaria]],Listas!$B:$B,Listas!$A:$A,"")</f>
        <v>CFT Group</v>
      </c>
      <c r="D1047" s="41" t="s">
        <v>95</v>
      </c>
      <c r="E1047" s="68" t="str">
        <f>_xlfn.XLOOKUP(tblMovimientos[[#This Row],[Cuenta Bancaria]],Listas!$B:$B,Listas!$C:$C,"")</f>
        <v xml:space="preserve">Amerant Bank </v>
      </c>
      <c r="F1047" s="41" t="s">
        <v>10</v>
      </c>
      <c r="G1047" s="41" t="s">
        <v>46</v>
      </c>
      <c r="H1047" s="4" t="str">
        <f>IFERROR(_xlfn.XLOOKUP(G1047,Listas!E:E,Listas!F:F,""),"")</f>
        <v>Financiamiento</v>
      </c>
      <c r="I1047" s="46" t="str">
        <f>IFERROR(_xlfn.XLOOKUP(G1047,Listas!E:E,Listas!G:G,""),"")</f>
        <v>Externo</v>
      </c>
      <c r="J1047" s="43">
        <v>12055.56</v>
      </c>
      <c r="K1047" s="5">
        <f t="shared" si="16"/>
        <v>-12055.56</v>
      </c>
      <c r="L1047" s="15" t="s">
        <v>133</v>
      </c>
      <c r="M1047" s="44">
        <f>SUMIFS('Saldos Iniciales'!$D:$D,'Saldos Iniciales'!$A:$A,C1047,'Saldos Iniciales'!$B:$B,D1047)+SUMIFS($K$1:$K$1324,$C$1:$C$1324,C1047,$D$1:$D$1324,D1047,$B$1:$B$1324,"&lt;="&amp;B1047)</f>
        <v>1534879.790000001</v>
      </c>
      <c r="N1047" s="61" t="str">
        <f>IF(tblMovimientos[[#This Row],[Tipo de Movimiento]]="Ingreso",tblMovimientos[[#This Row],[Monto (S/)]],"0")</f>
        <v>0</v>
      </c>
      <c r="O1047" s="61">
        <f>IF(tblMovimientos[[#This Row],[Tipo de Movimiento]]="Egreso",tblMovimientos[[#This Row],[Monto (S/)]],"0")</f>
        <v>12055.56</v>
      </c>
      <c r="P1047" s="28">
        <f>IF(tblMovimientos[[#This Row],[Tipo de Movimiento]]="Ingreso",tblMovimientos[[#This Row],[Ingreso]],-tblMovimientos[[#This Row],[Egreso]])</f>
        <v>-12055.56</v>
      </c>
      <c r="Q1047" s="78" t="str">
        <f>_xlfn.XLOOKUP(tblMovimientos[[#This Row],[Cuenta Bancaria]],Cuentas!$C:$C,Cuentas!$A:$A,"")&amp;""</f>
        <v>SSP Group</v>
      </c>
      <c r="R1047" s="78" t="str">
        <f>_xlfn.XLOOKUP(tblMovimientos[[#This Row],[Cuenta Bancaria]],Cuentas!$C:$C,Cuentas!$B:$B,"",0,-1)&amp;""</f>
        <v/>
      </c>
    </row>
    <row r="1048" spans="2:18" x14ac:dyDescent="0.3">
      <c r="B1048" s="39">
        <v>46282</v>
      </c>
      <c r="C1048" s="4" t="str">
        <f>_xlfn.XLOOKUP(tblMovimientos[[#This Row],[Cuenta Bancaria]],Listas!$B:$B,Listas!$A:$A,"")</f>
        <v>CFT Group</v>
      </c>
      <c r="D1048" s="41" t="s">
        <v>95</v>
      </c>
      <c r="E1048" s="68" t="str">
        <f>_xlfn.XLOOKUP(tblMovimientos[[#This Row],[Cuenta Bancaria]],Listas!$B:$B,Listas!$C:$C,"")</f>
        <v xml:space="preserve">Amerant Bank </v>
      </c>
      <c r="F1048" s="41" t="s">
        <v>10</v>
      </c>
      <c r="G1048" s="41" t="s">
        <v>46</v>
      </c>
      <c r="H1048" s="4" t="str">
        <f>IFERROR(_xlfn.XLOOKUP(G1048,Listas!E:E,Listas!F:F,""),"")</f>
        <v>Financiamiento</v>
      </c>
      <c r="I1048" s="46" t="str">
        <f>IFERROR(_xlfn.XLOOKUP(G1048,Listas!E:E,Listas!G:G,""),"")</f>
        <v>Externo</v>
      </c>
      <c r="J1048" s="43">
        <v>13622.78</v>
      </c>
      <c r="K1048" s="5">
        <f t="shared" si="16"/>
        <v>-13622.78</v>
      </c>
      <c r="L1048" s="15" t="s">
        <v>133</v>
      </c>
      <c r="M1048" s="44">
        <f>SUMIFS('Saldos Iniciales'!$D:$D,'Saldos Iniciales'!$A:$A,C1048,'Saldos Iniciales'!$B:$B,D1048)+SUMIFS($K$1:$K$1324,$C$1:$C$1324,C1048,$D$1:$D$1324,D1048,$B$1:$B$1324,"&lt;="&amp;B1048)</f>
        <v>1534879.790000001</v>
      </c>
      <c r="N1048" s="61" t="str">
        <f>IF(tblMovimientos[[#This Row],[Tipo de Movimiento]]="Ingreso",tblMovimientos[[#This Row],[Monto (S/)]],"0")</f>
        <v>0</v>
      </c>
      <c r="O1048" s="61">
        <f>IF(tblMovimientos[[#This Row],[Tipo de Movimiento]]="Egreso",tblMovimientos[[#This Row],[Monto (S/)]],"0")</f>
        <v>13622.78</v>
      </c>
      <c r="P1048" s="28">
        <f>IF(tblMovimientos[[#This Row],[Tipo de Movimiento]]="Ingreso",tblMovimientos[[#This Row],[Ingreso]],-tblMovimientos[[#This Row],[Egreso]])</f>
        <v>-13622.78</v>
      </c>
      <c r="Q1048" s="78" t="str">
        <f>_xlfn.XLOOKUP(tblMovimientos[[#This Row],[Cuenta Bancaria]],Cuentas!$C:$C,Cuentas!$A:$A,"")&amp;""</f>
        <v>SSP Group</v>
      </c>
      <c r="R1048" s="78" t="str">
        <f>_xlfn.XLOOKUP(tblMovimientos[[#This Row],[Cuenta Bancaria]],Cuentas!$C:$C,Cuentas!$B:$B,"",0,-1)&amp;""</f>
        <v/>
      </c>
    </row>
    <row r="1049" spans="2:18" x14ac:dyDescent="0.3">
      <c r="B1049" s="39">
        <v>46282</v>
      </c>
      <c r="C1049" s="4" t="str">
        <f>_xlfn.XLOOKUP(tblMovimientos[[#This Row],[Cuenta Bancaria]],Listas!$B:$B,Listas!$A:$A,"")</f>
        <v>CFT Group</v>
      </c>
      <c r="D1049" s="41" t="s">
        <v>95</v>
      </c>
      <c r="E1049" s="68" t="str">
        <f>_xlfn.XLOOKUP(tblMovimientos[[#This Row],[Cuenta Bancaria]],Listas!$B:$B,Listas!$C:$C,"")</f>
        <v xml:space="preserve">Amerant Bank </v>
      </c>
      <c r="F1049" s="41" t="s">
        <v>10</v>
      </c>
      <c r="G1049" s="41" t="s">
        <v>46</v>
      </c>
      <c r="H1049" s="4" t="str">
        <f>IFERROR(_xlfn.XLOOKUP(G1049,Listas!E:E,Listas!F:F,""),"")</f>
        <v>Financiamiento</v>
      </c>
      <c r="I1049" s="46" t="str">
        <f>IFERROR(_xlfn.XLOOKUP(G1049,Listas!E:E,Listas!G:G,""),"")</f>
        <v>Externo</v>
      </c>
      <c r="J1049" s="43">
        <v>27083.33</v>
      </c>
      <c r="K1049" s="5">
        <f t="shared" si="16"/>
        <v>-27083.33</v>
      </c>
      <c r="L1049" s="15" t="s">
        <v>133</v>
      </c>
      <c r="M1049" s="44">
        <f>SUMIFS('Saldos Iniciales'!$D:$D,'Saldos Iniciales'!$A:$A,C1049,'Saldos Iniciales'!$B:$B,D1049)+SUMIFS($K$1:$K$1324,$C$1:$C$1324,C1049,$D$1:$D$1324,D1049,$B$1:$B$1324,"&lt;="&amp;B1049)</f>
        <v>1534879.790000001</v>
      </c>
      <c r="N1049" s="61" t="str">
        <f>IF(tblMovimientos[[#This Row],[Tipo de Movimiento]]="Ingreso",tblMovimientos[[#This Row],[Monto (S/)]],"0")</f>
        <v>0</v>
      </c>
      <c r="O1049" s="61">
        <f>IF(tblMovimientos[[#This Row],[Tipo de Movimiento]]="Egreso",tblMovimientos[[#This Row],[Monto (S/)]],"0")</f>
        <v>27083.33</v>
      </c>
      <c r="P1049" s="28">
        <f>IF(tblMovimientos[[#This Row],[Tipo de Movimiento]]="Ingreso",tblMovimientos[[#This Row],[Ingreso]],-tblMovimientos[[#This Row],[Egreso]])</f>
        <v>-27083.33</v>
      </c>
      <c r="Q1049" s="78" t="str">
        <f>_xlfn.XLOOKUP(tblMovimientos[[#This Row],[Cuenta Bancaria]],Cuentas!$C:$C,Cuentas!$A:$A,"")&amp;""</f>
        <v>SSP Group</v>
      </c>
      <c r="R1049" s="78" t="str">
        <f>_xlfn.XLOOKUP(tblMovimientos[[#This Row],[Cuenta Bancaria]],Cuentas!$C:$C,Cuentas!$B:$B,"",0,-1)&amp;""</f>
        <v/>
      </c>
    </row>
    <row r="1050" spans="2:18" x14ac:dyDescent="0.3">
      <c r="B1050" s="39">
        <v>46282</v>
      </c>
      <c r="C1050" s="4" t="str">
        <f>_xlfn.XLOOKUP(tblMovimientos[[#This Row],[Cuenta Bancaria]],Listas!$B:$B,Listas!$A:$A,"")</f>
        <v>CFT Group</v>
      </c>
      <c r="D1050" s="41" t="s">
        <v>95</v>
      </c>
      <c r="E1050" s="68" t="str">
        <f>_xlfn.XLOOKUP(tblMovimientos[[#This Row],[Cuenta Bancaria]],Listas!$B:$B,Listas!$C:$C,"")</f>
        <v xml:space="preserve">Amerant Bank </v>
      </c>
      <c r="F1050" s="41" t="s">
        <v>10</v>
      </c>
      <c r="G1050" s="41" t="s">
        <v>46</v>
      </c>
      <c r="H1050" s="4" t="str">
        <f>IFERROR(_xlfn.XLOOKUP(G1050,Listas!E:E,Listas!F:F,""),"")</f>
        <v>Financiamiento</v>
      </c>
      <c r="I1050" s="46" t="str">
        <f>IFERROR(_xlfn.XLOOKUP(G1050,Listas!E:E,Listas!G:G,""),"")</f>
        <v>Externo</v>
      </c>
      <c r="J1050" s="43">
        <v>71041.67</v>
      </c>
      <c r="K1050" s="5">
        <f t="shared" si="16"/>
        <v>-71041.67</v>
      </c>
      <c r="L1050" s="15" t="s">
        <v>133</v>
      </c>
      <c r="M1050" s="44">
        <f>SUMIFS('Saldos Iniciales'!$D:$D,'Saldos Iniciales'!$A:$A,C1050,'Saldos Iniciales'!$B:$B,D1050)+SUMIFS($K$1:$K$1324,$C$1:$C$1324,C1050,$D$1:$D$1324,D1050,$B$1:$B$1324,"&lt;="&amp;B1050)</f>
        <v>1534879.790000001</v>
      </c>
      <c r="N1050" s="61" t="str">
        <f>IF(tblMovimientos[[#This Row],[Tipo de Movimiento]]="Ingreso",tblMovimientos[[#This Row],[Monto (S/)]],"0")</f>
        <v>0</v>
      </c>
      <c r="O1050" s="61">
        <f>IF(tblMovimientos[[#This Row],[Tipo de Movimiento]]="Egreso",tblMovimientos[[#This Row],[Monto (S/)]],"0")</f>
        <v>71041.67</v>
      </c>
      <c r="P1050" s="28">
        <f>IF(tblMovimientos[[#This Row],[Tipo de Movimiento]]="Ingreso",tblMovimientos[[#This Row],[Ingreso]],-tblMovimientos[[#This Row],[Egreso]])</f>
        <v>-71041.67</v>
      </c>
      <c r="Q1050" s="78" t="str">
        <f>_xlfn.XLOOKUP(tblMovimientos[[#This Row],[Cuenta Bancaria]],Cuentas!$C:$C,Cuentas!$A:$A,"")&amp;""</f>
        <v>SSP Group</v>
      </c>
      <c r="R1050" s="78" t="str">
        <f>_xlfn.XLOOKUP(tblMovimientos[[#This Row],[Cuenta Bancaria]],Cuentas!$C:$C,Cuentas!$B:$B,"",0,-1)&amp;""</f>
        <v/>
      </c>
    </row>
    <row r="1051" spans="2:18" x14ac:dyDescent="0.3">
      <c r="B1051" s="39">
        <v>46282</v>
      </c>
      <c r="C1051" s="4" t="str">
        <f>_xlfn.XLOOKUP(tblMovimientos[[#This Row],[Cuenta Bancaria]],Listas!$B:$B,Listas!$A:$A,"")</f>
        <v>SSP Capital</v>
      </c>
      <c r="D1051" s="41" t="s">
        <v>104</v>
      </c>
      <c r="E1051" s="68" t="str">
        <f>_xlfn.XLOOKUP(tblMovimientos[[#This Row],[Cuenta Bancaria]],Listas!$B:$B,Listas!$C:$C,"")</f>
        <v xml:space="preserve">Amerant Bank </v>
      </c>
      <c r="F1051" s="41" t="s">
        <v>10</v>
      </c>
      <c r="G1051" s="41" t="s">
        <v>46</v>
      </c>
      <c r="H1051" s="4" t="str">
        <f>IFERROR(_xlfn.XLOOKUP(G1051,Listas!E:E,Listas!F:F,""),"")</f>
        <v>Financiamiento</v>
      </c>
      <c r="I1051" s="46" t="str">
        <f>IFERROR(_xlfn.XLOOKUP(G1051,Listas!E:E,Listas!G:G,""),"")</f>
        <v>Externo</v>
      </c>
      <c r="J1051" s="43">
        <v>5597.22</v>
      </c>
      <c r="K1051" s="5">
        <f t="shared" si="16"/>
        <v>-5597.22</v>
      </c>
      <c r="L1051" s="15" t="s">
        <v>133</v>
      </c>
      <c r="M1051" s="44">
        <f>SUMIFS('Saldos Iniciales'!$D:$D,'Saldos Iniciales'!$A:$A,C1051,'Saldos Iniciales'!$B:$B,D1051)+SUMIFS($K$1:$K$1324,$C$1:$C$1324,C1051,$D$1:$D$1324,D1051,$B$1:$B$1324,"&lt;="&amp;B1051)</f>
        <v>222033.84999999928</v>
      </c>
      <c r="N1051" s="61" t="str">
        <f>IF(tblMovimientos[[#This Row],[Tipo de Movimiento]]="Ingreso",tblMovimientos[[#This Row],[Monto (S/)]],"0")</f>
        <v>0</v>
      </c>
      <c r="O1051" s="61">
        <f>IF(tblMovimientos[[#This Row],[Tipo de Movimiento]]="Egreso",tblMovimientos[[#This Row],[Monto (S/)]],"0")</f>
        <v>5597.22</v>
      </c>
      <c r="P1051" s="28">
        <f>IF(tblMovimientos[[#This Row],[Tipo de Movimiento]]="Ingreso",tblMovimientos[[#This Row],[Ingreso]],-tblMovimientos[[#This Row],[Egreso]])</f>
        <v>-5597.22</v>
      </c>
      <c r="Q1051" s="78" t="str">
        <f>_xlfn.XLOOKUP(tblMovimientos[[#This Row],[Cuenta Bancaria]],Cuentas!$C:$C,Cuentas!$A:$A,"")&amp;""</f>
        <v>SSP Group</v>
      </c>
      <c r="R1051" s="78" t="str">
        <f>_xlfn.XLOOKUP(tblMovimientos[[#This Row],[Cuenta Bancaria]],Cuentas!$C:$C,Cuentas!$B:$B,"",0,-1)&amp;""</f>
        <v/>
      </c>
    </row>
    <row r="1052" spans="2:18" x14ac:dyDescent="0.3">
      <c r="B1052" s="39">
        <v>46282</v>
      </c>
      <c r="C1052" s="4" t="str">
        <f>_xlfn.XLOOKUP(tblMovimientos[[#This Row],[Cuenta Bancaria]],Listas!$B:$B,Listas!$A:$A,"")</f>
        <v>SSP Capital</v>
      </c>
      <c r="D1052" s="41" t="s">
        <v>104</v>
      </c>
      <c r="E1052" s="68" t="str">
        <f>_xlfn.XLOOKUP(tblMovimientos[[#This Row],[Cuenta Bancaria]],Listas!$B:$B,Listas!$C:$C,"")</f>
        <v xml:space="preserve">Amerant Bank </v>
      </c>
      <c r="F1052" s="41" t="s">
        <v>10</v>
      </c>
      <c r="G1052" s="41" t="s">
        <v>46</v>
      </c>
      <c r="H1052" s="4" t="str">
        <f>IFERROR(_xlfn.XLOOKUP(G1052,Listas!E:E,Listas!F:F,""),"")</f>
        <v>Financiamiento</v>
      </c>
      <c r="I1052" s="46" t="str">
        <f>IFERROR(_xlfn.XLOOKUP(G1052,Listas!E:E,Listas!G:G,""),"")</f>
        <v>Externo</v>
      </c>
      <c r="J1052" s="43">
        <v>26250</v>
      </c>
      <c r="K1052" s="5">
        <f t="shared" si="16"/>
        <v>-26250</v>
      </c>
      <c r="L1052" s="15" t="s">
        <v>133</v>
      </c>
      <c r="M1052" s="44">
        <f>SUMIFS('Saldos Iniciales'!$D:$D,'Saldos Iniciales'!$A:$A,C1052,'Saldos Iniciales'!$B:$B,D1052)+SUMIFS($K$1:$K$1324,$C$1:$C$1324,C1052,$D$1:$D$1324,D1052,$B$1:$B$1324,"&lt;="&amp;B1052)</f>
        <v>222033.84999999928</v>
      </c>
      <c r="N1052" s="61" t="str">
        <f>IF(tblMovimientos[[#This Row],[Tipo de Movimiento]]="Ingreso",tblMovimientos[[#This Row],[Monto (S/)]],"0")</f>
        <v>0</v>
      </c>
      <c r="O1052" s="61">
        <f>IF(tblMovimientos[[#This Row],[Tipo de Movimiento]]="Egreso",tblMovimientos[[#This Row],[Monto (S/)]],"0")</f>
        <v>26250</v>
      </c>
      <c r="P1052" s="28">
        <f>IF(tblMovimientos[[#This Row],[Tipo de Movimiento]]="Ingreso",tblMovimientos[[#This Row],[Ingreso]],-tblMovimientos[[#This Row],[Egreso]])</f>
        <v>-26250</v>
      </c>
      <c r="Q1052" s="78" t="str">
        <f>_xlfn.XLOOKUP(tblMovimientos[[#This Row],[Cuenta Bancaria]],Cuentas!$C:$C,Cuentas!$A:$A,"")&amp;""</f>
        <v>SSP Group</v>
      </c>
      <c r="R1052" s="78" t="str">
        <f>_xlfn.XLOOKUP(tblMovimientos[[#This Row],[Cuenta Bancaria]],Cuentas!$C:$C,Cuentas!$B:$B,"",0,-1)&amp;""</f>
        <v/>
      </c>
    </row>
    <row r="1053" spans="2:18" x14ac:dyDescent="0.3">
      <c r="B1053" s="39">
        <v>46282</v>
      </c>
      <c r="C1053" s="4" t="str">
        <f>_xlfn.XLOOKUP(tblMovimientos[[#This Row],[Cuenta Bancaria]],Listas!$B:$B,Listas!$A:$A,"")</f>
        <v>SSP Capital</v>
      </c>
      <c r="D1053" s="41" t="s">
        <v>104</v>
      </c>
      <c r="E1053" s="68" t="str">
        <f>_xlfn.XLOOKUP(tblMovimientos[[#This Row],[Cuenta Bancaria]],Listas!$B:$B,Listas!$C:$C,"")</f>
        <v xml:space="preserve">Amerant Bank </v>
      </c>
      <c r="F1053" s="41" t="s">
        <v>10</v>
      </c>
      <c r="G1053" s="41" t="s">
        <v>46</v>
      </c>
      <c r="H1053" s="4" t="str">
        <f>IFERROR(_xlfn.XLOOKUP(G1053,Listas!E:E,Listas!F:F,""),"")</f>
        <v>Financiamiento</v>
      </c>
      <c r="I1053" s="46" t="str">
        <f>IFERROR(_xlfn.XLOOKUP(G1053,Listas!E:E,Listas!G:G,""),"")</f>
        <v>Externo</v>
      </c>
      <c r="J1053" s="43">
        <v>39583.339999999997</v>
      </c>
      <c r="K1053" s="5">
        <f t="shared" si="16"/>
        <v>-39583.339999999997</v>
      </c>
      <c r="L1053" s="15" t="s">
        <v>133</v>
      </c>
      <c r="M1053" s="44">
        <f>SUMIFS('Saldos Iniciales'!$D:$D,'Saldos Iniciales'!$A:$A,C1053,'Saldos Iniciales'!$B:$B,D1053)+SUMIFS($K$1:$K$1324,$C$1:$C$1324,C1053,$D$1:$D$1324,D1053,$B$1:$B$1324,"&lt;="&amp;B1053)</f>
        <v>222033.84999999928</v>
      </c>
      <c r="N1053" s="61" t="str">
        <f>IF(tblMovimientos[[#This Row],[Tipo de Movimiento]]="Ingreso",tblMovimientos[[#This Row],[Monto (S/)]],"0")</f>
        <v>0</v>
      </c>
      <c r="O1053" s="61">
        <f>IF(tblMovimientos[[#This Row],[Tipo de Movimiento]]="Egreso",tblMovimientos[[#This Row],[Monto (S/)]],"0")</f>
        <v>39583.339999999997</v>
      </c>
      <c r="P1053" s="28">
        <f>IF(tblMovimientos[[#This Row],[Tipo de Movimiento]]="Ingreso",tblMovimientos[[#This Row],[Ingreso]],-tblMovimientos[[#This Row],[Egreso]])</f>
        <v>-39583.339999999997</v>
      </c>
      <c r="Q1053" s="78" t="str">
        <f>_xlfn.XLOOKUP(tblMovimientos[[#This Row],[Cuenta Bancaria]],Cuentas!$C:$C,Cuentas!$A:$A,"")&amp;""</f>
        <v>SSP Group</v>
      </c>
      <c r="R1053" s="78" t="str">
        <f>_xlfn.XLOOKUP(tblMovimientos[[#This Row],[Cuenta Bancaria]],Cuentas!$C:$C,Cuentas!$B:$B,"",0,-1)&amp;""</f>
        <v/>
      </c>
    </row>
    <row r="1054" spans="2:18" x14ac:dyDescent="0.3">
      <c r="B1054" s="39">
        <v>46282</v>
      </c>
      <c r="C1054" s="4" t="str">
        <f>_xlfn.XLOOKUP(tblMovimientos[[#This Row],[Cuenta Bancaria]],Listas!$B:$B,Listas!$A:$A,"")</f>
        <v>SSP Capital</v>
      </c>
      <c r="D1054" s="41" t="s">
        <v>104</v>
      </c>
      <c r="E1054" s="68" t="str">
        <f>_xlfn.XLOOKUP(tblMovimientos[[#This Row],[Cuenta Bancaria]],Listas!$B:$B,Listas!$C:$C,"")</f>
        <v xml:space="preserve">Amerant Bank </v>
      </c>
      <c r="F1054" s="41" t="s">
        <v>10</v>
      </c>
      <c r="G1054" s="41" t="s">
        <v>46</v>
      </c>
      <c r="H1054" s="4" t="str">
        <f>IFERROR(_xlfn.XLOOKUP(G1054,Listas!E:E,Listas!F:F,""),"")</f>
        <v>Financiamiento</v>
      </c>
      <c r="I1054" s="46" t="str">
        <f>IFERROR(_xlfn.XLOOKUP(G1054,Listas!E:E,Listas!G:G,""),"")</f>
        <v>Externo</v>
      </c>
      <c r="J1054" s="43">
        <v>47361.11</v>
      </c>
      <c r="K1054" s="5">
        <f t="shared" si="16"/>
        <v>-47361.11</v>
      </c>
      <c r="L1054" s="15" t="s">
        <v>133</v>
      </c>
      <c r="M1054" s="44">
        <f>SUMIFS('Saldos Iniciales'!$D:$D,'Saldos Iniciales'!$A:$A,C1054,'Saldos Iniciales'!$B:$B,D1054)+SUMIFS($K$1:$K$1324,$C$1:$C$1324,C1054,$D$1:$D$1324,D1054,$B$1:$B$1324,"&lt;="&amp;B1054)</f>
        <v>222033.84999999928</v>
      </c>
      <c r="N1054" s="61" t="str">
        <f>IF(tblMovimientos[[#This Row],[Tipo de Movimiento]]="Ingreso",tblMovimientos[[#This Row],[Monto (S/)]],"0")</f>
        <v>0</v>
      </c>
      <c r="O1054" s="61">
        <f>IF(tblMovimientos[[#This Row],[Tipo de Movimiento]]="Egreso",tblMovimientos[[#This Row],[Monto (S/)]],"0")</f>
        <v>47361.11</v>
      </c>
      <c r="P1054" s="28">
        <f>IF(tblMovimientos[[#This Row],[Tipo de Movimiento]]="Ingreso",tblMovimientos[[#This Row],[Ingreso]],-tblMovimientos[[#This Row],[Egreso]])</f>
        <v>-47361.11</v>
      </c>
      <c r="Q1054" s="78" t="str">
        <f>_xlfn.XLOOKUP(tblMovimientos[[#This Row],[Cuenta Bancaria]],Cuentas!$C:$C,Cuentas!$A:$A,"")&amp;""</f>
        <v>SSP Group</v>
      </c>
      <c r="R1054" s="78" t="str">
        <f>_xlfn.XLOOKUP(tblMovimientos[[#This Row],[Cuenta Bancaria]],Cuentas!$C:$C,Cuentas!$B:$B,"",0,-1)&amp;""</f>
        <v/>
      </c>
    </row>
    <row r="1055" spans="2:18" x14ac:dyDescent="0.3">
      <c r="B1055" s="39">
        <v>46282</v>
      </c>
      <c r="C1055" s="4" t="str">
        <f>_xlfn.XLOOKUP(tblMovimientos[[#This Row],[Cuenta Bancaria]],Listas!$B:$B,Listas!$A:$A,"")</f>
        <v>Pacha Ventures LLC</v>
      </c>
      <c r="D1055" s="41" t="s">
        <v>187</v>
      </c>
      <c r="E1055" s="68" t="str">
        <f>_xlfn.XLOOKUP(tblMovimientos[[#This Row],[Cuenta Bancaria]],Listas!$B:$B,Listas!$C:$C,"")</f>
        <v xml:space="preserve">Amerant Bank </v>
      </c>
      <c r="F1055" s="41" t="s">
        <v>9</v>
      </c>
      <c r="G1055" s="41" t="s">
        <v>69</v>
      </c>
      <c r="H1055" s="4" t="str">
        <f>IFERROR(_xlfn.XLOOKUP(G1055,Listas!E:E,Listas!F:F,""),"")</f>
        <v>Operativo</v>
      </c>
      <c r="I1055" s="46" t="str">
        <f>IFERROR(_xlfn.XLOOKUP(G1055,Listas!E:E,Listas!G:G,""),"")</f>
        <v>Interno</v>
      </c>
      <c r="J1055" s="43">
        <v>13622.78</v>
      </c>
      <c r="K1055" s="5">
        <f t="shared" si="16"/>
        <v>13622.78</v>
      </c>
      <c r="L1055" s="15" t="s">
        <v>133</v>
      </c>
      <c r="M1055" s="44">
        <f>SUMIFS('Saldos Iniciales'!$D:$D,'Saldos Iniciales'!$A:$A,C1055,'Saldos Iniciales'!$B:$B,D1055)+SUMIFS($K$1:$K$1324,$C$1:$C$1324,C1055,$D$1:$D$1324,D1055,$B$1:$B$1324,"&lt;="&amp;B1055)</f>
        <v>312415.12000000005</v>
      </c>
      <c r="N1055" s="61">
        <f>IF(tblMovimientos[[#This Row],[Tipo de Movimiento]]="Ingreso",tblMovimientos[[#This Row],[Monto (S/)]],"0")</f>
        <v>13622.78</v>
      </c>
      <c r="O1055" s="61" t="str">
        <f>IF(tblMovimientos[[#This Row],[Tipo de Movimiento]]="Egreso",tblMovimientos[[#This Row],[Monto (S/)]],"0")</f>
        <v>0</v>
      </c>
      <c r="P1055" s="28">
        <f>IF(tblMovimientos[[#This Row],[Tipo de Movimiento]]="Ingreso",tblMovimientos[[#This Row],[Ingreso]],-tblMovimientos[[#This Row],[Egreso]])</f>
        <v>13622.78</v>
      </c>
      <c r="Q1055" s="78" t="str">
        <f>_xlfn.XLOOKUP(tblMovimientos[[#This Row],[Cuenta Bancaria]],Cuentas!$C:$C,Cuentas!$A:$A,"")&amp;""</f>
        <v>Michael Cross</v>
      </c>
      <c r="R1055" s="78" t="str">
        <f>_xlfn.XLOOKUP(tblMovimientos[[#This Row],[Cuenta Bancaria]],Cuentas!$C:$C,Cuentas!$B:$B,"",0,-1)&amp;""</f>
        <v/>
      </c>
    </row>
    <row r="1056" spans="2:18" x14ac:dyDescent="0.3">
      <c r="B1056" s="39">
        <v>46282</v>
      </c>
      <c r="C1056" s="4" t="str">
        <f>_xlfn.XLOOKUP(tblMovimientos[[#This Row],[Cuenta Bancaria]],Listas!$B:$B,Listas!$A:$A,"")</f>
        <v>CFT1 Residence</v>
      </c>
      <c r="D1056" s="41" t="s">
        <v>184</v>
      </c>
      <c r="E1056" s="68" t="str">
        <f>_xlfn.XLOOKUP(tblMovimientos[[#This Row],[Cuenta Bancaria]],Listas!$B:$B,Listas!$C:$C,"")</f>
        <v xml:space="preserve">Amerant Bank </v>
      </c>
      <c r="F1056" s="41" t="s">
        <v>10</v>
      </c>
      <c r="G1056" s="41" t="s">
        <v>38</v>
      </c>
      <c r="H1056" s="4" t="str">
        <f>IFERROR(_xlfn.XLOOKUP(G1056,Listas!E:E,Listas!F:F,""),"")</f>
        <v>Operativo</v>
      </c>
      <c r="I1056" s="46" t="str">
        <f>IFERROR(_xlfn.XLOOKUP(G1056,Listas!E:E,Listas!G:G,""),"")</f>
        <v>Externo</v>
      </c>
      <c r="J1056" s="43">
        <v>9767.73</v>
      </c>
      <c r="K1056" s="5">
        <f t="shared" si="16"/>
        <v>-9767.73</v>
      </c>
      <c r="L1056" s="15" t="s">
        <v>133</v>
      </c>
      <c r="M1056" s="44">
        <f>SUMIFS('Saldos Iniciales'!$D:$D,'Saldos Iniciales'!$A:$A,C1056,'Saldos Iniciales'!$B:$B,D1056)+SUMIFS($K$1:$K$1324,$C$1:$C$1324,C1056,$D$1:$D$1324,D1056,$B$1:$B$1324,"&lt;="&amp;B1056)</f>
        <v>15777.729999999996</v>
      </c>
      <c r="N1056" s="61" t="str">
        <f>IF(tblMovimientos[[#This Row],[Tipo de Movimiento]]="Ingreso",tblMovimientos[[#This Row],[Monto (S/)]],"0")</f>
        <v>0</v>
      </c>
      <c r="O1056" s="61">
        <f>IF(tblMovimientos[[#This Row],[Tipo de Movimiento]]="Egreso",tblMovimientos[[#This Row],[Monto (S/)]],"0")</f>
        <v>9767.73</v>
      </c>
      <c r="P1056" s="28">
        <f>IF(tblMovimientos[[#This Row],[Tipo de Movimiento]]="Ingreso",tblMovimientos[[#This Row],[Ingreso]],-tblMovimientos[[#This Row],[Egreso]])</f>
        <v>-9767.73</v>
      </c>
      <c r="Q1056" s="78" t="str">
        <f>_xlfn.XLOOKUP(tblMovimientos[[#This Row],[Cuenta Bancaria]],Cuentas!$C:$C,Cuentas!$A:$A,"")&amp;""</f>
        <v>Carmen Cross Irrevocable Trust</v>
      </c>
      <c r="R1056" s="78" t="str">
        <f>_xlfn.XLOOKUP(tblMovimientos[[#This Row],[Cuenta Bancaria]],Cuentas!$C:$C,Cuentas!$B:$B,"",0,-1)&amp;""</f>
        <v/>
      </c>
    </row>
    <row r="1057" spans="2:18" x14ac:dyDescent="0.3">
      <c r="B1057" s="39">
        <v>46282</v>
      </c>
      <c r="C1057" s="4" t="str">
        <f>_xlfn.XLOOKUP(tblMovimientos[[#This Row],[Cuenta Bancaria]],Listas!$B:$B,Listas!$A:$A,"")</f>
        <v>Prendamas SRL</v>
      </c>
      <c r="D1057" s="41" t="s">
        <v>186</v>
      </c>
      <c r="E1057" s="68" t="str">
        <f>_xlfn.XLOOKUP(tblMovimientos[[#This Row],[Cuenta Bancaria]],Listas!$B:$B,Listas!$C:$C,"")</f>
        <v xml:space="preserve">Amerant Bank </v>
      </c>
      <c r="F1057" s="41" t="s">
        <v>10</v>
      </c>
      <c r="G1057" s="41" t="s">
        <v>38</v>
      </c>
      <c r="H1057" s="4" t="str">
        <f>IFERROR(_xlfn.XLOOKUP(G1057,Listas!E:E,Listas!F:F,""),"")</f>
        <v>Operativo</v>
      </c>
      <c r="I1057" s="46" t="str">
        <f>IFERROR(_xlfn.XLOOKUP(G1057,Listas!E:E,Listas!G:G,""),"")</f>
        <v>Externo</v>
      </c>
      <c r="J1057" s="43">
        <v>547.04</v>
      </c>
      <c r="K1057" s="5">
        <f t="shared" si="16"/>
        <v>-547.04</v>
      </c>
      <c r="L1057" s="15" t="s">
        <v>133</v>
      </c>
      <c r="M1057" s="44">
        <f>SUMIFS('Saldos Iniciales'!$D:$D,'Saldos Iniciales'!$A:$A,C1057,'Saldos Iniciales'!$B:$B,D1057)+SUMIFS($K$1:$K$1324,$C$1:$C$1324,C1057,$D$1:$D$1324,D1057,$B$1:$B$1324,"&lt;="&amp;B1057)</f>
        <v>26755.729999999981</v>
      </c>
      <c r="N1057" s="61" t="str">
        <f>IF(tblMovimientos[[#This Row],[Tipo de Movimiento]]="Ingreso",tblMovimientos[[#This Row],[Monto (S/)]],"0")</f>
        <v>0</v>
      </c>
      <c r="O1057" s="61">
        <f>IF(tblMovimientos[[#This Row],[Tipo de Movimiento]]="Egreso",tblMovimientos[[#This Row],[Monto (S/)]],"0")</f>
        <v>547.04</v>
      </c>
      <c r="P1057" s="28">
        <f>IF(tblMovimientos[[#This Row],[Tipo de Movimiento]]="Ingreso",tblMovimientos[[#This Row],[Ingreso]],-tblMovimientos[[#This Row],[Egreso]])</f>
        <v>-547.04</v>
      </c>
      <c r="Q1057" s="78" t="str">
        <f>_xlfn.XLOOKUP(tblMovimientos[[#This Row],[Cuenta Bancaria]],Cuentas!$C:$C,Cuentas!$A:$A,"")&amp;""</f>
        <v>Unidades de Negocio</v>
      </c>
      <c r="R1057" s="78" t="str">
        <f>_xlfn.XLOOKUP(tblMovimientos[[#This Row],[Cuenta Bancaria]],Cuentas!$C:$C,Cuentas!$B:$B,"",0,-1)&amp;""</f>
        <v/>
      </c>
    </row>
    <row r="1058" spans="2:18" x14ac:dyDescent="0.3">
      <c r="B1058" s="39">
        <v>46282</v>
      </c>
      <c r="C1058" s="4" t="str">
        <f>_xlfn.XLOOKUP(tblMovimientos[[#This Row],[Cuenta Bancaria]],Listas!$B:$B,Listas!$A:$A,"")</f>
        <v>Prendamas SRL</v>
      </c>
      <c r="D1058" s="41" t="s">
        <v>186</v>
      </c>
      <c r="E1058" s="68" t="str">
        <f>_xlfn.XLOOKUP(tblMovimientos[[#This Row],[Cuenta Bancaria]],Listas!$B:$B,Listas!$C:$C,"")</f>
        <v xml:space="preserve">Amerant Bank </v>
      </c>
      <c r="F1058" s="41" t="s">
        <v>10</v>
      </c>
      <c r="G1058" s="41" t="s">
        <v>38</v>
      </c>
      <c r="H1058" s="4" t="str">
        <f>IFERROR(_xlfn.XLOOKUP(G1058,Listas!E:E,Listas!F:F,""),"")</f>
        <v>Operativo</v>
      </c>
      <c r="I1058" s="46" t="str">
        <f>IFERROR(_xlfn.XLOOKUP(G1058,Listas!E:E,Listas!G:G,""),"")</f>
        <v>Externo</v>
      </c>
      <c r="J1058" s="43">
        <v>2518.69</v>
      </c>
      <c r="K1058" s="5">
        <f t="shared" si="16"/>
        <v>-2518.69</v>
      </c>
      <c r="L1058" s="15" t="s">
        <v>133</v>
      </c>
      <c r="M1058" s="44">
        <f>SUMIFS('Saldos Iniciales'!$D:$D,'Saldos Iniciales'!$A:$A,C1058,'Saldos Iniciales'!$B:$B,D1058)+SUMIFS($K$1:$K$1324,$C$1:$C$1324,C1058,$D$1:$D$1324,D1058,$B$1:$B$1324,"&lt;="&amp;B1058)</f>
        <v>26755.729999999981</v>
      </c>
      <c r="N1058" s="61" t="str">
        <f>IF(tblMovimientos[[#This Row],[Tipo de Movimiento]]="Ingreso",tblMovimientos[[#This Row],[Monto (S/)]],"0")</f>
        <v>0</v>
      </c>
      <c r="O1058" s="61">
        <f>IF(tblMovimientos[[#This Row],[Tipo de Movimiento]]="Egreso",tblMovimientos[[#This Row],[Monto (S/)]],"0")</f>
        <v>2518.69</v>
      </c>
      <c r="P1058" s="28">
        <f>IF(tblMovimientos[[#This Row],[Tipo de Movimiento]]="Ingreso",tblMovimientos[[#This Row],[Ingreso]],-tblMovimientos[[#This Row],[Egreso]])</f>
        <v>-2518.69</v>
      </c>
      <c r="Q1058" s="78" t="str">
        <f>_xlfn.XLOOKUP(tblMovimientos[[#This Row],[Cuenta Bancaria]],Cuentas!$C:$C,Cuentas!$A:$A,"")&amp;""</f>
        <v>Unidades de Negocio</v>
      </c>
      <c r="R1058" s="78" t="str">
        <f>_xlfn.XLOOKUP(tblMovimientos[[#This Row],[Cuenta Bancaria]],Cuentas!$C:$C,Cuentas!$B:$B,"",0,-1)&amp;""</f>
        <v/>
      </c>
    </row>
    <row r="1059" spans="2:18" x14ac:dyDescent="0.3">
      <c r="B1059" s="39">
        <v>46282</v>
      </c>
      <c r="C1059" s="4" t="str">
        <f>_xlfn.XLOOKUP(tblMovimientos[[#This Row],[Cuenta Bancaria]],Listas!$B:$B,Listas!$A:$A,"")</f>
        <v>Prendamas SRL</v>
      </c>
      <c r="D1059" s="41" t="s">
        <v>186</v>
      </c>
      <c r="E1059" s="68" t="str">
        <f>_xlfn.XLOOKUP(tblMovimientos[[#This Row],[Cuenta Bancaria]],Listas!$B:$B,Listas!$C:$C,"")</f>
        <v xml:space="preserve">Amerant Bank </v>
      </c>
      <c r="F1059" s="41" t="s">
        <v>10</v>
      </c>
      <c r="G1059" s="41" t="s">
        <v>44</v>
      </c>
      <c r="H1059" s="4" t="str">
        <f>IFERROR(_xlfn.XLOOKUP(G1059,Listas!E:E,Listas!F:F,""),"")</f>
        <v>Operativo</v>
      </c>
      <c r="I1059" s="46" t="str">
        <f>IFERROR(_xlfn.XLOOKUP(G1059,Listas!E:E,Listas!G:G,""),"")</f>
        <v>Externo</v>
      </c>
      <c r="J1059" s="43">
        <v>40</v>
      </c>
      <c r="K1059" s="5">
        <f t="shared" si="16"/>
        <v>-40</v>
      </c>
      <c r="L1059" s="15" t="s">
        <v>133</v>
      </c>
      <c r="M1059" s="44">
        <f>SUMIFS('Saldos Iniciales'!$D:$D,'Saldos Iniciales'!$A:$A,C1059,'Saldos Iniciales'!$B:$B,D1059)+SUMIFS($K$1:$K$1324,$C$1:$C$1324,C1059,$D$1:$D$1324,D1059,$B$1:$B$1324,"&lt;="&amp;B1059)</f>
        <v>26755.729999999981</v>
      </c>
      <c r="N1059" s="61" t="str">
        <f>IF(tblMovimientos[[#This Row],[Tipo de Movimiento]]="Ingreso",tblMovimientos[[#This Row],[Monto (S/)]],"0")</f>
        <v>0</v>
      </c>
      <c r="O1059" s="61">
        <f>IF(tblMovimientos[[#This Row],[Tipo de Movimiento]]="Egreso",tblMovimientos[[#This Row],[Monto (S/)]],"0")</f>
        <v>40</v>
      </c>
      <c r="P1059" s="28">
        <f>IF(tblMovimientos[[#This Row],[Tipo de Movimiento]]="Ingreso",tblMovimientos[[#This Row],[Ingreso]],-tblMovimientos[[#This Row],[Egreso]])</f>
        <v>-40</v>
      </c>
      <c r="Q1059" s="78" t="str">
        <f>_xlfn.XLOOKUP(tblMovimientos[[#This Row],[Cuenta Bancaria]],Cuentas!$C:$C,Cuentas!$A:$A,"")&amp;""</f>
        <v>Unidades de Negocio</v>
      </c>
      <c r="R1059" s="78" t="str">
        <f>_xlfn.XLOOKUP(tblMovimientos[[#This Row],[Cuenta Bancaria]],Cuentas!$C:$C,Cuentas!$B:$B,"",0,-1)&amp;""</f>
        <v/>
      </c>
    </row>
    <row r="1060" spans="2:18" x14ac:dyDescent="0.3">
      <c r="B1060" s="39">
        <v>46282</v>
      </c>
      <c r="C1060" s="4" t="str">
        <f>_xlfn.XLOOKUP(tblMovimientos[[#This Row],[Cuenta Bancaria]],Listas!$B:$B,Listas!$A:$A,"")</f>
        <v>Prendamas SRL</v>
      </c>
      <c r="D1060" s="41" t="s">
        <v>186</v>
      </c>
      <c r="E1060" s="68" t="str">
        <f>_xlfn.XLOOKUP(tblMovimientos[[#This Row],[Cuenta Bancaria]],Listas!$B:$B,Listas!$C:$C,"")</f>
        <v xml:space="preserve">Amerant Bank </v>
      </c>
      <c r="F1060" s="41" t="s">
        <v>10</v>
      </c>
      <c r="G1060" s="41" t="s">
        <v>44</v>
      </c>
      <c r="H1060" s="4" t="str">
        <f>IFERROR(_xlfn.XLOOKUP(G1060,Listas!E:E,Listas!F:F,""),"")</f>
        <v>Operativo</v>
      </c>
      <c r="I1060" s="46" t="str">
        <f>IFERROR(_xlfn.XLOOKUP(G1060,Listas!E:E,Listas!G:G,""),"")</f>
        <v>Externo</v>
      </c>
      <c r="J1060" s="43">
        <v>16.41</v>
      </c>
      <c r="K1060" s="5">
        <f t="shared" si="16"/>
        <v>-16.41</v>
      </c>
      <c r="L1060" s="15" t="s">
        <v>133</v>
      </c>
      <c r="M1060" s="44">
        <f>SUMIFS('Saldos Iniciales'!$D:$D,'Saldos Iniciales'!$A:$A,C1060,'Saldos Iniciales'!$B:$B,D1060)+SUMIFS($K$1:$K$1324,$C$1:$C$1324,C1060,$D$1:$D$1324,D1060,$B$1:$B$1324,"&lt;="&amp;B1060)</f>
        <v>26755.729999999981</v>
      </c>
      <c r="N1060" s="61" t="str">
        <f>IF(tblMovimientos[[#This Row],[Tipo de Movimiento]]="Ingreso",tblMovimientos[[#This Row],[Monto (S/)]],"0")</f>
        <v>0</v>
      </c>
      <c r="O1060" s="61">
        <f>IF(tblMovimientos[[#This Row],[Tipo de Movimiento]]="Egreso",tblMovimientos[[#This Row],[Monto (S/)]],"0")</f>
        <v>16.41</v>
      </c>
      <c r="P1060" s="28">
        <f>IF(tblMovimientos[[#This Row],[Tipo de Movimiento]]="Ingreso",tblMovimientos[[#This Row],[Ingreso]],-tblMovimientos[[#This Row],[Egreso]])</f>
        <v>-16.41</v>
      </c>
      <c r="Q1060" s="78" t="str">
        <f>_xlfn.XLOOKUP(tblMovimientos[[#This Row],[Cuenta Bancaria]],Cuentas!$C:$C,Cuentas!$A:$A,"")&amp;""</f>
        <v>Unidades de Negocio</v>
      </c>
      <c r="R1060" s="78" t="str">
        <f>_xlfn.XLOOKUP(tblMovimientos[[#This Row],[Cuenta Bancaria]],Cuentas!$C:$C,Cuentas!$B:$B,"",0,-1)&amp;""</f>
        <v/>
      </c>
    </row>
    <row r="1061" spans="2:18" x14ac:dyDescent="0.3">
      <c r="B1061" s="39">
        <v>46283</v>
      </c>
      <c r="C1061" s="4" t="str">
        <f>_xlfn.XLOOKUP(tblMovimientos[[#This Row],[Cuenta Bancaria]],Listas!$B:$B,Listas!$A:$A,"")</f>
        <v>SSP Capital</v>
      </c>
      <c r="D1061" s="41" t="s">
        <v>102</v>
      </c>
      <c r="E1061" s="68" t="str">
        <f>_xlfn.XLOOKUP(tblMovimientos[[#This Row],[Cuenta Bancaria]],Listas!$B:$B,Listas!$C:$C,"")</f>
        <v>Bank of America</v>
      </c>
      <c r="F1061" s="41" t="s">
        <v>10</v>
      </c>
      <c r="G1061" s="41" t="s">
        <v>38</v>
      </c>
      <c r="H1061" s="4" t="str">
        <f>IFERROR(_xlfn.XLOOKUP(G1061,Listas!E:E,Listas!F:F,""),"")</f>
        <v>Operativo</v>
      </c>
      <c r="I1061" s="46" t="str">
        <f>IFERROR(_xlfn.XLOOKUP(G1061,Listas!E:E,Listas!G:G,""),"")</f>
        <v>Externo</v>
      </c>
      <c r="J1061" s="43">
        <v>166.66</v>
      </c>
      <c r="K1061" s="5">
        <f t="shared" si="16"/>
        <v>-166.66</v>
      </c>
      <c r="L1061" s="15" t="s">
        <v>133</v>
      </c>
      <c r="M1061" s="44">
        <f>SUMIFS('Saldos Iniciales'!$D:$D,'Saldos Iniciales'!$A:$A,C1061,'Saldos Iniciales'!$B:$B,D1061)+SUMIFS($K$1:$K$1324,$C$1:$C$1324,C1061,$D$1:$D$1324,D1061,$B$1:$B$1324,"&lt;="&amp;B1061)</f>
        <v>778.34</v>
      </c>
      <c r="N1061" s="61" t="str">
        <f>IF(tblMovimientos[[#This Row],[Tipo de Movimiento]]="Ingreso",tblMovimientos[[#This Row],[Monto (S/)]],"0")</f>
        <v>0</v>
      </c>
      <c r="O1061" s="61">
        <f>IF(tblMovimientos[[#This Row],[Tipo de Movimiento]]="Egreso",tblMovimientos[[#This Row],[Monto (S/)]],"0")</f>
        <v>166.66</v>
      </c>
      <c r="P1061" s="28">
        <f>IF(tblMovimientos[[#This Row],[Tipo de Movimiento]]="Ingreso",tblMovimientos[[#This Row],[Ingreso]],-tblMovimientos[[#This Row],[Egreso]])</f>
        <v>-166.66</v>
      </c>
      <c r="Q1061" s="78" t="str">
        <f>_xlfn.XLOOKUP(tblMovimientos[[#This Row],[Cuenta Bancaria]],Cuentas!$C:$C,Cuentas!$A:$A,"")&amp;""</f>
        <v>SSP Group</v>
      </c>
      <c r="R1061" s="78" t="str">
        <f>_xlfn.XLOOKUP(tblMovimientos[[#This Row],[Cuenta Bancaria]],Cuentas!$C:$C,Cuentas!$B:$B,"",0,-1)&amp;""</f>
        <v/>
      </c>
    </row>
    <row r="1062" spans="2:18" x14ac:dyDescent="0.3">
      <c r="B1062" s="39">
        <v>46283</v>
      </c>
      <c r="C1062" s="4" t="str">
        <f>_xlfn.XLOOKUP(tblMovimientos[[#This Row],[Cuenta Bancaria]],Listas!$B:$B,Listas!$A:$A,"")</f>
        <v>A&amp;M Imports</v>
      </c>
      <c r="D1062" s="41" t="s">
        <v>100</v>
      </c>
      <c r="E1062" s="68" t="str">
        <f>_xlfn.XLOOKUP(tblMovimientos[[#This Row],[Cuenta Bancaria]],Listas!$B:$B,Listas!$C:$C,"")</f>
        <v>Bank of America</v>
      </c>
      <c r="F1062" s="41" t="s">
        <v>9</v>
      </c>
      <c r="G1062" s="41" t="s">
        <v>80</v>
      </c>
      <c r="H1062" s="4" t="str">
        <f>IFERROR(_xlfn.XLOOKUP(G1062,Listas!E:E,Listas!F:F,""),"")</f>
        <v>Operativo</v>
      </c>
      <c r="I1062" s="46" t="str">
        <f>IFERROR(_xlfn.XLOOKUP(G1062,Listas!E:E,Listas!G:G,""),"")</f>
        <v>Externo</v>
      </c>
      <c r="J1062" s="43">
        <v>450000</v>
      </c>
      <c r="K1062" s="5">
        <f t="shared" si="16"/>
        <v>450000</v>
      </c>
      <c r="L1062" s="15" t="s">
        <v>133</v>
      </c>
      <c r="M1062" s="44">
        <f>SUMIFS('Saldos Iniciales'!$D:$D,'Saldos Iniciales'!$A:$A,C1062,'Saldos Iniciales'!$B:$B,D1062)+SUMIFS($K$1:$K$1324,$C$1:$C$1324,C1062,$D$1:$D$1324,D1062,$B$1:$B$1324,"&lt;="&amp;B1062)</f>
        <v>1425534.64</v>
      </c>
      <c r="N1062" s="61">
        <f>IF(tblMovimientos[[#This Row],[Tipo de Movimiento]]="Ingreso",tblMovimientos[[#This Row],[Monto (S/)]],"0")</f>
        <v>450000</v>
      </c>
      <c r="O1062" s="61" t="str">
        <f>IF(tblMovimientos[[#This Row],[Tipo de Movimiento]]="Egreso",tblMovimientos[[#This Row],[Monto (S/)]],"0")</f>
        <v>0</v>
      </c>
      <c r="P1062" s="28">
        <f>IF(tblMovimientos[[#This Row],[Tipo de Movimiento]]="Ingreso",tblMovimientos[[#This Row],[Ingreso]],-tblMovimientos[[#This Row],[Egreso]])</f>
        <v>450000</v>
      </c>
      <c r="Q1062" s="78" t="str">
        <f>_xlfn.XLOOKUP(tblMovimientos[[#This Row],[Cuenta Bancaria]],Cuentas!$C:$C,Cuentas!$A:$A,"")&amp;""</f>
        <v>SSP Group</v>
      </c>
      <c r="R1062" s="78" t="str">
        <f>_xlfn.XLOOKUP(tblMovimientos[[#This Row],[Cuenta Bancaria]],Cuentas!$C:$C,Cuentas!$B:$B,"",0,-1)&amp;""</f>
        <v/>
      </c>
    </row>
    <row r="1063" spans="2:18" x14ac:dyDescent="0.3">
      <c r="B1063" s="39">
        <v>46283</v>
      </c>
      <c r="C1063" s="4" t="str">
        <f>_xlfn.XLOOKUP(tblMovimientos[[#This Row],[Cuenta Bancaria]],Listas!$B:$B,Listas!$A:$A,"")</f>
        <v>2515 Overbrook</v>
      </c>
      <c r="D1063" s="41" t="s">
        <v>121</v>
      </c>
      <c r="E1063" s="68" t="str">
        <f>_xlfn.XLOOKUP(tblMovimientos[[#This Row],[Cuenta Bancaria]],Listas!$B:$B,Listas!$C:$C,"")</f>
        <v>Bank of America</v>
      </c>
      <c r="F1063" s="41" t="s">
        <v>9</v>
      </c>
      <c r="G1063" s="41" t="s">
        <v>87</v>
      </c>
      <c r="H1063" s="4" t="str">
        <f>IFERROR(_xlfn.XLOOKUP(G1063,Listas!E:E,Listas!F:F,""),"")</f>
        <v>Operativo</v>
      </c>
      <c r="I1063" s="46" t="str">
        <f>IFERROR(_xlfn.XLOOKUP(G1063,Listas!E:E,Listas!G:G,""),"")</f>
        <v>Externo</v>
      </c>
      <c r="J1063" s="43">
        <v>5250</v>
      </c>
      <c r="K1063" s="5">
        <f t="shared" si="16"/>
        <v>5250</v>
      </c>
      <c r="L1063" s="15" t="s">
        <v>133</v>
      </c>
      <c r="M1063" s="44">
        <f>SUMIFS('Saldos Iniciales'!$D:$D,'Saldos Iniciales'!$A:$A,C1063,'Saldos Iniciales'!$B:$B,D1063)+SUMIFS($K$1:$K$1324,$C$1:$C$1324,C1063,$D$1:$D$1324,D1063,$B$1:$B$1324,"&lt;="&amp;B1063)</f>
        <v>29976.959999999963</v>
      </c>
      <c r="N1063" s="61">
        <f>IF(tblMovimientos[[#This Row],[Tipo de Movimiento]]="Ingreso",tblMovimientos[[#This Row],[Monto (S/)]],"0")</f>
        <v>5250</v>
      </c>
      <c r="O1063" s="61" t="str">
        <f>IF(tblMovimientos[[#This Row],[Tipo de Movimiento]]="Egreso",tblMovimientos[[#This Row],[Monto (S/)]],"0")</f>
        <v>0</v>
      </c>
      <c r="P1063" s="28">
        <f>IF(tblMovimientos[[#This Row],[Tipo de Movimiento]]="Ingreso",tblMovimientos[[#This Row],[Ingreso]],-tblMovimientos[[#This Row],[Egreso]])</f>
        <v>5250</v>
      </c>
      <c r="Q1063" s="78" t="str">
        <f>_xlfn.XLOOKUP(tblMovimientos[[#This Row],[Cuenta Bancaria]],Cuentas!$C:$C,Cuentas!$A:$A,"")&amp;""</f>
        <v>SSP Group</v>
      </c>
      <c r="R1063" s="78" t="str">
        <f>_xlfn.XLOOKUP(tblMovimientos[[#This Row],[Cuenta Bancaria]],Cuentas!$C:$C,Cuentas!$B:$B,"",0,-1)&amp;""</f>
        <v/>
      </c>
    </row>
    <row r="1064" spans="2:18" x14ac:dyDescent="0.3">
      <c r="B1064" s="39">
        <v>46283</v>
      </c>
      <c r="C1064" s="4" t="str">
        <f>_xlfn.XLOOKUP(tblMovimientos[[#This Row],[Cuenta Bancaria]],Listas!$B:$B,Listas!$A:$A,"")</f>
        <v>CFT Group</v>
      </c>
      <c r="D1064" s="41" t="s">
        <v>95</v>
      </c>
      <c r="E1064" s="68" t="str">
        <f>_xlfn.XLOOKUP(tblMovimientos[[#This Row],[Cuenta Bancaria]],Listas!$B:$B,Listas!$C:$C,"")</f>
        <v xml:space="preserve">Amerant Bank </v>
      </c>
      <c r="F1064" s="41" t="s">
        <v>9</v>
      </c>
      <c r="G1064" s="41" t="s">
        <v>70</v>
      </c>
      <c r="H1064" s="4" t="str">
        <f>IFERROR(_xlfn.XLOOKUP(G1064,Listas!E:E,Listas!F:F,""),"")</f>
        <v>Operativo</v>
      </c>
      <c r="I1064" s="46" t="str">
        <f>IFERROR(_xlfn.XLOOKUP(G1064,Listas!E:E,Listas!G:G,""),"")</f>
        <v>Externo</v>
      </c>
      <c r="J1064" s="43">
        <v>410000</v>
      </c>
      <c r="K1064" s="5">
        <f t="shared" si="16"/>
        <v>410000</v>
      </c>
      <c r="L1064" s="15" t="s">
        <v>133</v>
      </c>
      <c r="M1064" s="44">
        <f>SUMIFS('Saldos Iniciales'!$D:$D,'Saldos Iniciales'!$A:$A,C1064,'Saldos Iniciales'!$B:$B,D1064)+SUMIFS($K$1:$K$1324,$C$1:$C$1324,C1064,$D$1:$D$1324,D1064,$B$1:$B$1324,"&lt;="&amp;B1064)</f>
        <v>1944879.790000001</v>
      </c>
      <c r="N1064" s="61">
        <f>IF(tblMovimientos[[#This Row],[Tipo de Movimiento]]="Ingreso",tblMovimientos[[#This Row],[Monto (S/)]],"0")</f>
        <v>410000</v>
      </c>
      <c r="O1064" s="61" t="str">
        <f>IF(tblMovimientos[[#This Row],[Tipo de Movimiento]]="Egreso",tblMovimientos[[#This Row],[Monto (S/)]],"0")</f>
        <v>0</v>
      </c>
      <c r="P1064" s="28">
        <f>IF(tblMovimientos[[#This Row],[Tipo de Movimiento]]="Ingreso",tblMovimientos[[#This Row],[Ingreso]],-tblMovimientos[[#This Row],[Egreso]])</f>
        <v>410000</v>
      </c>
      <c r="Q1064" s="78" t="str">
        <f>_xlfn.XLOOKUP(tblMovimientos[[#This Row],[Cuenta Bancaria]],Cuentas!$C:$C,Cuentas!$A:$A,"")&amp;""</f>
        <v>SSP Group</v>
      </c>
      <c r="R1064" s="78" t="str">
        <f>_xlfn.XLOOKUP(tblMovimientos[[#This Row],[Cuenta Bancaria]],Cuentas!$C:$C,Cuentas!$B:$B,"",0,-1)&amp;""</f>
        <v/>
      </c>
    </row>
    <row r="1065" spans="2:18" x14ac:dyDescent="0.3">
      <c r="B1065" s="39">
        <v>46283</v>
      </c>
      <c r="C1065" s="4" t="str">
        <f>_xlfn.XLOOKUP(tblMovimientos[[#This Row],[Cuenta Bancaria]],Listas!$B:$B,Listas!$A:$A,"")</f>
        <v>CFT1 Residence</v>
      </c>
      <c r="D1065" s="41" t="s">
        <v>184</v>
      </c>
      <c r="E1065" s="68" t="str">
        <f>_xlfn.XLOOKUP(tblMovimientos[[#This Row],[Cuenta Bancaria]],Listas!$B:$B,Listas!$C:$C,"")</f>
        <v xml:space="preserve">Amerant Bank </v>
      </c>
      <c r="F1065" s="41" t="s">
        <v>9</v>
      </c>
      <c r="G1065" s="41" t="s">
        <v>87</v>
      </c>
      <c r="H1065" s="4" t="str">
        <f>IFERROR(_xlfn.XLOOKUP(G1065,Listas!E:E,Listas!F:F,""),"")</f>
        <v>Operativo</v>
      </c>
      <c r="I1065" s="46" t="str">
        <f>IFERROR(_xlfn.XLOOKUP(G1065,Listas!E:E,Listas!G:G,""),"")</f>
        <v>Externo</v>
      </c>
      <c r="J1065" s="43">
        <v>87518.74</v>
      </c>
      <c r="K1065" s="5">
        <f t="shared" si="16"/>
        <v>87518.74</v>
      </c>
      <c r="L1065" s="15" t="s">
        <v>133</v>
      </c>
      <c r="M1065" s="44">
        <f>SUMIFS('Saldos Iniciales'!$D:$D,'Saldos Iniciales'!$A:$A,C1065,'Saldos Iniciales'!$B:$B,D1065)+SUMIFS($K$1:$K$1324,$C$1:$C$1324,C1065,$D$1:$D$1324,D1065,$B$1:$B$1324,"&lt;="&amp;B1065)</f>
        <v>102213.31</v>
      </c>
      <c r="N1065" s="61">
        <f>IF(tblMovimientos[[#This Row],[Tipo de Movimiento]]="Ingreso",tblMovimientos[[#This Row],[Monto (S/)]],"0")</f>
        <v>87518.74</v>
      </c>
      <c r="O1065" s="61" t="str">
        <f>IF(tblMovimientos[[#This Row],[Tipo de Movimiento]]="Egreso",tblMovimientos[[#This Row],[Monto (S/)]],"0")</f>
        <v>0</v>
      </c>
      <c r="P1065" s="28">
        <f>IF(tblMovimientos[[#This Row],[Tipo de Movimiento]]="Ingreso",tblMovimientos[[#This Row],[Ingreso]],-tblMovimientos[[#This Row],[Egreso]])</f>
        <v>87518.74</v>
      </c>
      <c r="Q1065" s="78" t="str">
        <f>_xlfn.XLOOKUP(tblMovimientos[[#This Row],[Cuenta Bancaria]],Cuentas!$C:$C,Cuentas!$A:$A,"")&amp;""</f>
        <v>Carmen Cross Irrevocable Trust</v>
      </c>
      <c r="R1065" s="78" t="str">
        <f>_xlfn.XLOOKUP(tblMovimientos[[#This Row],[Cuenta Bancaria]],Cuentas!$C:$C,Cuentas!$B:$B,"",0,-1)&amp;""</f>
        <v/>
      </c>
    </row>
    <row r="1066" spans="2:18" x14ac:dyDescent="0.3">
      <c r="B1066" s="39">
        <v>46283</v>
      </c>
      <c r="C1066" s="4" t="str">
        <f>_xlfn.XLOOKUP(tblMovimientos[[#This Row],[Cuenta Bancaria]],Listas!$B:$B,Listas!$A:$A,"")</f>
        <v>CFT1 Residence</v>
      </c>
      <c r="D1066" s="41" t="s">
        <v>184</v>
      </c>
      <c r="E1066" s="68" t="str">
        <f>_xlfn.XLOOKUP(tblMovimientos[[#This Row],[Cuenta Bancaria]],Listas!$B:$B,Listas!$C:$C,"")</f>
        <v xml:space="preserve">Amerant Bank </v>
      </c>
      <c r="F1066" s="41" t="s">
        <v>10</v>
      </c>
      <c r="G1066" s="41" t="s">
        <v>38</v>
      </c>
      <c r="H1066" s="4" t="str">
        <f>IFERROR(_xlfn.XLOOKUP(G1066,Listas!E:E,Listas!F:F,""),"")</f>
        <v>Operativo</v>
      </c>
      <c r="I1066" s="46" t="str">
        <f>IFERROR(_xlfn.XLOOKUP(G1066,Listas!E:E,Listas!G:G,""),"")</f>
        <v>Externo</v>
      </c>
      <c r="J1066" s="43">
        <v>1083.1600000000001</v>
      </c>
      <c r="K1066" s="5">
        <f t="shared" si="16"/>
        <v>-1083.1600000000001</v>
      </c>
      <c r="L1066" s="15" t="s">
        <v>133</v>
      </c>
      <c r="M1066" s="44">
        <f>SUMIFS('Saldos Iniciales'!$D:$D,'Saldos Iniciales'!$A:$A,C1066,'Saldos Iniciales'!$B:$B,D1066)+SUMIFS($K$1:$K$1324,$C$1:$C$1324,C1066,$D$1:$D$1324,D1066,$B$1:$B$1324,"&lt;="&amp;B1066)</f>
        <v>102213.31</v>
      </c>
      <c r="N1066" s="61" t="str">
        <f>IF(tblMovimientos[[#This Row],[Tipo de Movimiento]]="Ingreso",tblMovimientos[[#This Row],[Monto (S/)]],"0")</f>
        <v>0</v>
      </c>
      <c r="O1066" s="61">
        <f>IF(tblMovimientos[[#This Row],[Tipo de Movimiento]]="Egreso",tblMovimientos[[#This Row],[Monto (S/)]],"0")</f>
        <v>1083.1600000000001</v>
      </c>
      <c r="P1066" s="28">
        <f>IF(tblMovimientos[[#This Row],[Tipo de Movimiento]]="Ingreso",tblMovimientos[[#This Row],[Ingreso]],-tblMovimientos[[#This Row],[Egreso]])</f>
        <v>-1083.1600000000001</v>
      </c>
      <c r="Q1066" s="78" t="str">
        <f>_xlfn.XLOOKUP(tblMovimientos[[#This Row],[Cuenta Bancaria]],Cuentas!$C:$C,Cuentas!$A:$A,"")&amp;""</f>
        <v>Carmen Cross Irrevocable Trust</v>
      </c>
      <c r="R1066" s="78" t="str">
        <f>_xlfn.XLOOKUP(tblMovimientos[[#This Row],[Cuenta Bancaria]],Cuentas!$C:$C,Cuentas!$B:$B,"",0,-1)&amp;""</f>
        <v/>
      </c>
    </row>
    <row r="1067" spans="2:18" x14ac:dyDescent="0.3">
      <c r="B1067" s="39">
        <v>46283</v>
      </c>
      <c r="C1067" s="4" t="str">
        <f>_xlfn.XLOOKUP(tblMovimientos[[#This Row],[Cuenta Bancaria]],Listas!$B:$B,Listas!$A:$A,"")</f>
        <v>Go Blue</v>
      </c>
      <c r="D1067" s="41" t="s">
        <v>165</v>
      </c>
      <c r="E1067" s="68" t="str">
        <f>_xlfn.XLOOKUP(tblMovimientos[[#This Row],[Cuenta Bancaria]],Listas!$B:$B,Listas!$C:$C,"")</f>
        <v xml:space="preserve">Amerant Bank </v>
      </c>
      <c r="F1067" s="41" t="s">
        <v>10</v>
      </c>
      <c r="G1067" s="41" t="s">
        <v>38</v>
      </c>
      <c r="H1067" s="4" t="str">
        <f>IFERROR(_xlfn.XLOOKUP(G1067,Listas!E:E,Listas!F:F,""),"")</f>
        <v>Operativo</v>
      </c>
      <c r="I1067" s="46" t="str">
        <f>IFERROR(_xlfn.XLOOKUP(G1067,Listas!E:E,Listas!G:G,""),"")</f>
        <v>Externo</v>
      </c>
      <c r="J1067" s="43">
        <v>43.78</v>
      </c>
      <c r="K1067" s="5">
        <f t="shared" si="16"/>
        <v>-43.78</v>
      </c>
      <c r="L1067" s="15" t="s">
        <v>134</v>
      </c>
      <c r="M1067" s="44">
        <f>SUMIFS('Saldos Iniciales'!$D:$D,'Saldos Iniciales'!$A:$A,C1067,'Saldos Iniciales'!$B:$B,D1067)+SUMIFS($K$1:$K$1324,$C$1:$C$1324,C1067,$D$1:$D$1324,D1067,$B$1:$B$1324,"&lt;="&amp;B1067)</f>
        <v>1630.9700000000016</v>
      </c>
      <c r="N1067" s="61" t="str">
        <f>IF(tblMovimientos[[#This Row],[Tipo de Movimiento]]="Ingreso",tblMovimientos[[#This Row],[Monto (S/)]],"0")</f>
        <v>0</v>
      </c>
      <c r="O1067" s="61">
        <f>IF(tblMovimientos[[#This Row],[Tipo de Movimiento]]="Egreso",tblMovimientos[[#This Row],[Monto (S/)]],"0")</f>
        <v>43.78</v>
      </c>
      <c r="P1067" s="28">
        <f>IF(tblMovimientos[[#This Row],[Tipo de Movimiento]]="Ingreso",tblMovimientos[[#This Row],[Ingreso]],-tblMovimientos[[#This Row],[Egreso]])</f>
        <v>-43.78</v>
      </c>
      <c r="Q1067" s="78" t="str">
        <f>_xlfn.XLOOKUP(tblMovimientos[[#This Row],[Cuenta Bancaria]],Cuentas!$C:$C,Cuentas!$A:$A,"")&amp;""</f>
        <v>SSP Group</v>
      </c>
      <c r="R1067" s="78" t="str">
        <f>_xlfn.XLOOKUP(tblMovimientos[[#This Row],[Cuenta Bancaria]],Cuentas!$C:$C,Cuentas!$B:$B,"",0,-1)&amp;""</f>
        <v/>
      </c>
    </row>
    <row r="1068" spans="2:18" x14ac:dyDescent="0.3">
      <c r="B1068" s="39">
        <v>46286</v>
      </c>
      <c r="C1068" s="4" t="str">
        <f>_xlfn.XLOOKUP(tblMovimientos[[#This Row],[Cuenta Bancaria]],Listas!$B:$B,Listas!$A:$A,"")</f>
        <v>Go Blue</v>
      </c>
      <c r="D1068" s="41" t="s">
        <v>165</v>
      </c>
      <c r="E1068" s="68" t="str">
        <f>_xlfn.XLOOKUP(tblMovimientos[[#This Row],[Cuenta Bancaria]],Listas!$B:$B,Listas!$C:$C,"")</f>
        <v xml:space="preserve">Amerant Bank </v>
      </c>
      <c r="F1068" s="41" t="s">
        <v>10</v>
      </c>
      <c r="G1068" s="41" t="s">
        <v>38</v>
      </c>
      <c r="H1068" s="4" t="str">
        <f>IFERROR(_xlfn.XLOOKUP(G1068,Listas!E:E,Listas!F:F,""),"")</f>
        <v>Operativo</v>
      </c>
      <c r="I1068" s="46" t="str">
        <f>IFERROR(_xlfn.XLOOKUP(G1068,Listas!E:E,Listas!G:G,""),"")</f>
        <v>Externo</v>
      </c>
      <c r="J1068" s="43">
        <v>749</v>
      </c>
      <c r="K1068" s="5">
        <f t="shared" si="16"/>
        <v>-749</v>
      </c>
      <c r="L1068" s="15" t="s">
        <v>133</v>
      </c>
      <c r="M1068" s="44">
        <f>SUMIFS('Saldos Iniciales'!$D:$D,'Saldos Iniciales'!$A:$A,C1068,'Saldos Iniciales'!$B:$B,D1068)+SUMIFS($K$1:$K$1324,$C$1:$C$1324,C1068,$D$1:$D$1324,D1068,$B$1:$B$1324,"&lt;="&amp;B1068)</f>
        <v>859.50000000000091</v>
      </c>
      <c r="N1068" s="61" t="str">
        <f>IF(tblMovimientos[[#This Row],[Tipo de Movimiento]]="Ingreso",tblMovimientos[[#This Row],[Monto (S/)]],"0")</f>
        <v>0</v>
      </c>
      <c r="O1068" s="61">
        <f>IF(tblMovimientos[[#This Row],[Tipo de Movimiento]]="Egreso",tblMovimientos[[#This Row],[Monto (S/)]],"0")</f>
        <v>749</v>
      </c>
      <c r="P1068" s="28">
        <f>IF(tblMovimientos[[#This Row],[Tipo de Movimiento]]="Ingreso",tblMovimientos[[#This Row],[Ingreso]],-tblMovimientos[[#This Row],[Egreso]])</f>
        <v>-749</v>
      </c>
      <c r="Q1068" s="78" t="str">
        <f>_xlfn.XLOOKUP(tblMovimientos[[#This Row],[Cuenta Bancaria]],Cuentas!$C:$C,Cuentas!$A:$A,"")&amp;""</f>
        <v>SSP Group</v>
      </c>
      <c r="R1068" s="78" t="str">
        <f>_xlfn.XLOOKUP(tblMovimientos[[#This Row],[Cuenta Bancaria]],Cuentas!$C:$C,Cuentas!$B:$B,"",0,-1)&amp;""</f>
        <v/>
      </c>
    </row>
    <row r="1069" spans="2:18" x14ac:dyDescent="0.3">
      <c r="B1069" s="39">
        <v>46286</v>
      </c>
      <c r="C1069" s="4" t="str">
        <f>_xlfn.XLOOKUP(tblMovimientos[[#This Row],[Cuenta Bancaria]],Listas!$B:$B,Listas!$A:$A,"")</f>
        <v>Go Blue</v>
      </c>
      <c r="D1069" s="41" t="s">
        <v>165</v>
      </c>
      <c r="E1069" s="68" t="str">
        <f>_xlfn.XLOOKUP(tblMovimientos[[#This Row],[Cuenta Bancaria]],Listas!$B:$B,Listas!$C:$C,"")</f>
        <v xml:space="preserve">Amerant Bank </v>
      </c>
      <c r="F1069" s="41" t="s">
        <v>10</v>
      </c>
      <c r="G1069" s="41" t="s">
        <v>44</v>
      </c>
      <c r="H1069" s="4" t="str">
        <f>IFERROR(_xlfn.XLOOKUP(G1069,Listas!E:E,Listas!F:F,""),"")</f>
        <v>Operativo</v>
      </c>
      <c r="I1069" s="46" t="str">
        <f>IFERROR(_xlfn.XLOOKUP(G1069,Listas!E:E,Listas!G:G,""),"")</f>
        <v>Externo</v>
      </c>
      <c r="J1069" s="43">
        <v>22.47</v>
      </c>
      <c r="K1069" s="5">
        <f t="shared" si="16"/>
        <v>-22.47</v>
      </c>
      <c r="L1069" s="15" t="s">
        <v>133</v>
      </c>
      <c r="M1069" s="44">
        <f>SUMIFS('Saldos Iniciales'!$D:$D,'Saldos Iniciales'!$A:$A,C1069,'Saldos Iniciales'!$B:$B,D1069)+SUMIFS($K$1:$K$1324,$C$1:$C$1324,C1069,$D$1:$D$1324,D1069,$B$1:$B$1324,"&lt;="&amp;B1069)</f>
        <v>859.50000000000091</v>
      </c>
      <c r="N1069" s="61" t="str">
        <f>IF(tblMovimientos[[#This Row],[Tipo de Movimiento]]="Ingreso",tblMovimientos[[#This Row],[Monto (S/)]],"0")</f>
        <v>0</v>
      </c>
      <c r="O1069" s="61">
        <f>IF(tblMovimientos[[#This Row],[Tipo de Movimiento]]="Egreso",tblMovimientos[[#This Row],[Monto (S/)]],"0")</f>
        <v>22.47</v>
      </c>
      <c r="P1069" s="28">
        <f>IF(tblMovimientos[[#This Row],[Tipo de Movimiento]]="Ingreso",tblMovimientos[[#This Row],[Ingreso]],-tblMovimientos[[#This Row],[Egreso]])</f>
        <v>-22.47</v>
      </c>
      <c r="Q1069" s="78" t="str">
        <f>_xlfn.XLOOKUP(tblMovimientos[[#This Row],[Cuenta Bancaria]],Cuentas!$C:$C,Cuentas!$A:$A,"")&amp;""</f>
        <v>SSP Group</v>
      </c>
      <c r="R1069" s="78" t="str">
        <f>_xlfn.XLOOKUP(tblMovimientos[[#This Row],[Cuenta Bancaria]],Cuentas!$C:$C,Cuentas!$B:$B,"",0,-1)&amp;""</f>
        <v/>
      </c>
    </row>
    <row r="1070" spans="2:18" x14ac:dyDescent="0.3">
      <c r="B1070" s="39">
        <v>46286</v>
      </c>
      <c r="C1070" s="4" t="str">
        <f>_xlfn.XLOOKUP(tblMovimientos[[#This Row],[Cuenta Bancaria]],Listas!$B:$B,Listas!$A:$A,"")</f>
        <v>SSP Capital</v>
      </c>
      <c r="D1070" s="41" t="s">
        <v>101</v>
      </c>
      <c r="E1070" s="68" t="str">
        <f>_xlfn.XLOOKUP(tblMovimientos[[#This Row],[Cuenta Bancaria]],Listas!$B:$B,Listas!$C:$C,"")</f>
        <v>Bank of America</v>
      </c>
      <c r="F1070" s="41" t="s">
        <v>10</v>
      </c>
      <c r="G1070" s="41" t="s">
        <v>38</v>
      </c>
      <c r="H1070" s="4" t="str">
        <f>IFERROR(_xlfn.XLOOKUP(G1070,Listas!E:E,Listas!F:F,""),"")</f>
        <v>Operativo</v>
      </c>
      <c r="I1070" s="46" t="str">
        <f>IFERROR(_xlfn.XLOOKUP(G1070,Listas!E:E,Listas!G:G,""),"")</f>
        <v>Externo</v>
      </c>
      <c r="J1070" s="43">
        <v>2463.8000000000002</v>
      </c>
      <c r="K1070" s="5">
        <f t="shared" si="16"/>
        <v>-2463.8000000000002</v>
      </c>
      <c r="L1070" s="15" t="s">
        <v>133</v>
      </c>
      <c r="M1070" s="44">
        <f>SUMIFS('Saldos Iniciales'!$D:$D,'Saldos Iniciales'!$A:$A,C1070,'Saldos Iniciales'!$B:$B,D1070)+SUMIFS($K$1:$K$1324,$C$1:$C$1324,C1070,$D$1:$D$1324,D1070,$B$1:$B$1324,"&lt;="&amp;B1070)</f>
        <v>22599.980000000003</v>
      </c>
      <c r="N1070" s="61" t="str">
        <f>IF(tblMovimientos[[#This Row],[Tipo de Movimiento]]="Ingreso",tblMovimientos[[#This Row],[Monto (S/)]],"0")</f>
        <v>0</v>
      </c>
      <c r="O1070" s="61">
        <f>IF(tblMovimientos[[#This Row],[Tipo de Movimiento]]="Egreso",tblMovimientos[[#This Row],[Monto (S/)]],"0")</f>
        <v>2463.8000000000002</v>
      </c>
      <c r="P1070" s="28">
        <f>IF(tblMovimientos[[#This Row],[Tipo de Movimiento]]="Ingreso",tblMovimientos[[#This Row],[Ingreso]],-tblMovimientos[[#This Row],[Egreso]])</f>
        <v>-2463.8000000000002</v>
      </c>
      <c r="Q1070" s="78" t="str">
        <f>_xlfn.XLOOKUP(tblMovimientos[[#This Row],[Cuenta Bancaria]],Cuentas!$C:$C,Cuentas!$A:$A,"")&amp;""</f>
        <v>SSP Group</v>
      </c>
      <c r="R1070" s="78" t="str">
        <f>_xlfn.XLOOKUP(tblMovimientos[[#This Row],[Cuenta Bancaria]],Cuentas!$C:$C,Cuentas!$B:$B,"",0,-1)&amp;""</f>
        <v/>
      </c>
    </row>
    <row r="1071" spans="2:18" x14ac:dyDescent="0.3">
      <c r="B1071" s="39">
        <v>46286</v>
      </c>
      <c r="C1071" s="4" t="str">
        <f>_xlfn.XLOOKUP(tblMovimientos[[#This Row],[Cuenta Bancaria]],Listas!$B:$B,Listas!$A:$A,"")</f>
        <v>SSP Capital</v>
      </c>
      <c r="D1071" s="41" t="s">
        <v>101</v>
      </c>
      <c r="E1071" s="68" t="str">
        <f>_xlfn.XLOOKUP(tblMovimientos[[#This Row],[Cuenta Bancaria]],Listas!$B:$B,Listas!$C:$C,"")</f>
        <v>Bank of America</v>
      </c>
      <c r="F1071" s="41" t="s">
        <v>10</v>
      </c>
      <c r="G1071" s="41" t="s">
        <v>41</v>
      </c>
      <c r="H1071" s="4" t="str">
        <f>IFERROR(_xlfn.XLOOKUP(G1071,Listas!E:E,Listas!F:F,""),"")</f>
        <v>Operativo</v>
      </c>
      <c r="I1071" s="46" t="str">
        <f>IFERROR(_xlfn.XLOOKUP(G1071,Listas!E:E,Listas!G:G,""),"")</f>
        <v>Externo</v>
      </c>
      <c r="J1071" s="43">
        <v>780.9</v>
      </c>
      <c r="K1071" s="5">
        <f t="shared" si="16"/>
        <v>-780.9</v>
      </c>
      <c r="L1071" s="15" t="s">
        <v>133</v>
      </c>
      <c r="M1071" s="44">
        <f>SUMIFS('Saldos Iniciales'!$D:$D,'Saldos Iniciales'!$A:$A,C1071,'Saldos Iniciales'!$B:$B,D1071)+SUMIFS($K$1:$K$1324,$C$1:$C$1324,C1071,$D$1:$D$1324,D1071,$B$1:$B$1324,"&lt;="&amp;B1071)</f>
        <v>22599.980000000003</v>
      </c>
      <c r="N1071" s="61" t="str">
        <f>IF(tblMovimientos[[#This Row],[Tipo de Movimiento]]="Ingreso",tblMovimientos[[#This Row],[Monto (S/)]],"0")</f>
        <v>0</v>
      </c>
      <c r="O1071" s="61">
        <f>IF(tblMovimientos[[#This Row],[Tipo de Movimiento]]="Egreso",tblMovimientos[[#This Row],[Monto (S/)]],"0")</f>
        <v>780.9</v>
      </c>
      <c r="P1071" s="28">
        <f>IF(tblMovimientos[[#This Row],[Tipo de Movimiento]]="Ingreso",tblMovimientos[[#This Row],[Ingreso]],-tblMovimientos[[#This Row],[Egreso]])</f>
        <v>-780.9</v>
      </c>
      <c r="Q1071" s="78" t="str">
        <f>_xlfn.XLOOKUP(tblMovimientos[[#This Row],[Cuenta Bancaria]],Cuentas!$C:$C,Cuentas!$A:$A,"")&amp;""</f>
        <v>SSP Group</v>
      </c>
      <c r="R1071" s="78" t="str">
        <f>_xlfn.XLOOKUP(tblMovimientos[[#This Row],[Cuenta Bancaria]],Cuentas!$C:$C,Cuentas!$B:$B,"",0,-1)&amp;""</f>
        <v/>
      </c>
    </row>
    <row r="1072" spans="2:18" x14ac:dyDescent="0.3">
      <c r="B1072" s="39">
        <v>46286</v>
      </c>
      <c r="C1072" s="4" t="str">
        <f>_xlfn.XLOOKUP(tblMovimientos[[#This Row],[Cuenta Bancaria]],Listas!$B:$B,Listas!$A:$A,"")</f>
        <v>SSP Capital</v>
      </c>
      <c r="D1072" s="41" t="s">
        <v>101</v>
      </c>
      <c r="E1072" s="68" t="str">
        <f>_xlfn.XLOOKUP(tblMovimientos[[#This Row],[Cuenta Bancaria]],Listas!$B:$B,Listas!$C:$C,"")</f>
        <v>Bank of America</v>
      </c>
      <c r="F1072" s="41" t="s">
        <v>10</v>
      </c>
      <c r="G1072" s="41" t="s">
        <v>38</v>
      </c>
      <c r="H1072" s="4" t="str">
        <f>IFERROR(_xlfn.XLOOKUP(G1072,Listas!E:E,Listas!F:F,""),"")</f>
        <v>Operativo</v>
      </c>
      <c r="I1072" s="46" t="str">
        <f>IFERROR(_xlfn.XLOOKUP(G1072,Listas!E:E,Listas!G:G,""),"")</f>
        <v>Externo</v>
      </c>
      <c r="J1072" s="43">
        <v>737.04</v>
      </c>
      <c r="K1072" s="5">
        <f t="shared" si="16"/>
        <v>-737.04</v>
      </c>
      <c r="L1072" s="15" t="s">
        <v>133</v>
      </c>
      <c r="M1072" s="44">
        <f>SUMIFS('Saldos Iniciales'!$D:$D,'Saldos Iniciales'!$A:$A,C1072,'Saldos Iniciales'!$B:$B,D1072)+SUMIFS($K$1:$K$1324,$C$1:$C$1324,C1072,$D$1:$D$1324,D1072,$B$1:$B$1324,"&lt;="&amp;B1072)</f>
        <v>22599.980000000003</v>
      </c>
      <c r="N1072" s="61" t="str">
        <f>IF(tblMovimientos[[#This Row],[Tipo de Movimiento]]="Ingreso",tblMovimientos[[#This Row],[Monto (S/)]],"0")</f>
        <v>0</v>
      </c>
      <c r="O1072" s="61">
        <f>IF(tblMovimientos[[#This Row],[Tipo de Movimiento]]="Egreso",tblMovimientos[[#This Row],[Monto (S/)]],"0")</f>
        <v>737.04</v>
      </c>
      <c r="P1072" s="28">
        <f>IF(tblMovimientos[[#This Row],[Tipo de Movimiento]]="Ingreso",tblMovimientos[[#This Row],[Ingreso]],-tblMovimientos[[#This Row],[Egreso]])</f>
        <v>-737.04</v>
      </c>
      <c r="Q1072" s="78" t="str">
        <f>_xlfn.XLOOKUP(tblMovimientos[[#This Row],[Cuenta Bancaria]],Cuentas!$C:$C,Cuentas!$A:$A,"")&amp;""</f>
        <v>SSP Group</v>
      </c>
      <c r="R1072" s="78" t="str">
        <f>_xlfn.XLOOKUP(tblMovimientos[[#This Row],[Cuenta Bancaria]],Cuentas!$C:$C,Cuentas!$B:$B,"",0,-1)&amp;""</f>
        <v/>
      </c>
    </row>
    <row r="1073" spans="1:18" x14ac:dyDescent="0.3">
      <c r="B1073" s="39">
        <v>46286</v>
      </c>
      <c r="C1073" s="4" t="str">
        <f>_xlfn.XLOOKUP(tblMovimientos[[#This Row],[Cuenta Bancaria]],Listas!$B:$B,Listas!$A:$A,"")</f>
        <v>A&amp;M Imports</v>
      </c>
      <c r="D1073" s="41" t="s">
        <v>100</v>
      </c>
      <c r="E1073" s="68" t="str">
        <f>_xlfn.XLOOKUP(tblMovimientos[[#This Row],[Cuenta Bancaria]],Listas!$B:$B,Listas!$C:$C,"")</f>
        <v>Bank of America</v>
      </c>
      <c r="F1073" s="41" t="s">
        <v>9</v>
      </c>
      <c r="G1073" s="41" t="s">
        <v>80</v>
      </c>
      <c r="H1073" s="4" t="str">
        <f>IFERROR(_xlfn.XLOOKUP(G1073,Listas!E:E,Listas!F:F,""),"")</f>
        <v>Operativo</v>
      </c>
      <c r="I1073" s="46" t="str">
        <f>IFERROR(_xlfn.XLOOKUP(G1073,Listas!E:E,Listas!G:G,""),"")</f>
        <v>Externo</v>
      </c>
      <c r="J1073" s="43">
        <v>28068.720000000001</v>
      </c>
      <c r="K1073" s="5">
        <f t="shared" si="16"/>
        <v>28068.720000000001</v>
      </c>
      <c r="L1073" s="15" t="s">
        <v>133</v>
      </c>
      <c r="M1073" s="44">
        <f>SUMIFS('Saldos Iniciales'!$D:$D,'Saldos Iniciales'!$A:$A,C1073,'Saldos Iniciales'!$B:$B,D1073)+SUMIFS($K$1:$K$1324,$C$1:$C$1324,C1073,$D$1:$D$1324,D1073,$B$1:$B$1324,"&lt;="&amp;B1073)</f>
        <v>1453603.3599999999</v>
      </c>
      <c r="N1073" s="61">
        <f>IF(tblMovimientos[[#This Row],[Tipo de Movimiento]]="Ingreso",tblMovimientos[[#This Row],[Monto (S/)]],"0")</f>
        <v>28068.720000000001</v>
      </c>
      <c r="O1073" s="61" t="str">
        <f>IF(tblMovimientos[[#This Row],[Tipo de Movimiento]]="Egreso",tblMovimientos[[#This Row],[Monto (S/)]],"0")</f>
        <v>0</v>
      </c>
      <c r="P1073" s="28">
        <f>IF(tblMovimientos[[#This Row],[Tipo de Movimiento]]="Ingreso",tblMovimientos[[#This Row],[Ingreso]],-tblMovimientos[[#This Row],[Egreso]])</f>
        <v>28068.720000000001</v>
      </c>
      <c r="Q1073" s="78" t="str">
        <f>_xlfn.XLOOKUP(tblMovimientos[[#This Row],[Cuenta Bancaria]],Cuentas!$C:$C,Cuentas!$A:$A,"")&amp;""</f>
        <v>SSP Group</v>
      </c>
      <c r="R1073" s="78" t="str">
        <f>_xlfn.XLOOKUP(tblMovimientos[[#This Row],[Cuenta Bancaria]],Cuentas!$C:$C,Cuentas!$B:$B,"",0,-1)&amp;""</f>
        <v/>
      </c>
    </row>
    <row r="1074" spans="1:18" x14ac:dyDescent="0.3">
      <c r="B1074" s="39">
        <v>46286</v>
      </c>
      <c r="C1074" s="4" t="str">
        <f>_xlfn.XLOOKUP(tblMovimientos[[#This Row],[Cuenta Bancaria]],Listas!$B:$B,Listas!$A:$A,"")</f>
        <v>Prendamas SRL</v>
      </c>
      <c r="D1074" s="41" t="s">
        <v>186</v>
      </c>
      <c r="E1074" s="68" t="str">
        <f>_xlfn.XLOOKUP(tblMovimientos[[#This Row],[Cuenta Bancaria]],Listas!$B:$B,Listas!$C:$C,"")</f>
        <v xml:space="preserve">Amerant Bank </v>
      </c>
      <c r="F1074" s="41" t="s">
        <v>10</v>
      </c>
      <c r="G1074" s="41" t="s">
        <v>38</v>
      </c>
      <c r="H1074" s="4" t="str">
        <f>IFERROR(_xlfn.XLOOKUP(G1074,Listas!E:E,Listas!F:F,""),"")</f>
        <v>Operativo</v>
      </c>
      <c r="I1074" s="46" t="str">
        <f>IFERROR(_xlfn.XLOOKUP(G1074,Listas!E:E,Listas!G:G,""),"")</f>
        <v>Externo</v>
      </c>
      <c r="J1074" s="43">
        <v>611.6</v>
      </c>
      <c r="K1074" s="5">
        <f t="shared" si="16"/>
        <v>-611.6</v>
      </c>
      <c r="L1074" s="15" t="s">
        <v>133</v>
      </c>
      <c r="M1074" s="44">
        <f>SUMIFS('Saldos Iniciales'!$D:$D,'Saldos Iniciales'!$A:$A,C1074,'Saldos Iniciales'!$B:$B,D1074)+SUMIFS($K$1:$K$1324,$C$1:$C$1324,C1074,$D$1:$D$1324,D1074,$B$1:$B$1324,"&lt;="&amp;B1074)</f>
        <v>25507.15999999996</v>
      </c>
      <c r="N1074" s="61" t="str">
        <f>IF(tblMovimientos[[#This Row],[Tipo de Movimiento]]="Ingreso",tblMovimientos[[#This Row],[Monto (S/)]],"0")</f>
        <v>0</v>
      </c>
      <c r="O1074" s="61">
        <f>IF(tblMovimientos[[#This Row],[Tipo de Movimiento]]="Egreso",tblMovimientos[[#This Row],[Monto (S/)]],"0")</f>
        <v>611.6</v>
      </c>
      <c r="P1074" s="28">
        <f>IF(tblMovimientos[[#This Row],[Tipo de Movimiento]]="Ingreso",tblMovimientos[[#This Row],[Ingreso]],-tblMovimientos[[#This Row],[Egreso]])</f>
        <v>-611.6</v>
      </c>
      <c r="Q1074" s="78" t="str">
        <f>_xlfn.XLOOKUP(tblMovimientos[[#This Row],[Cuenta Bancaria]],Cuentas!$C:$C,Cuentas!$A:$A,"")&amp;""</f>
        <v>Unidades de Negocio</v>
      </c>
      <c r="R1074" s="78" t="str">
        <f>_xlfn.XLOOKUP(tblMovimientos[[#This Row],[Cuenta Bancaria]],Cuentas!$C:$C,Cuentas!$B:$B,"",0,-1)&amp;""</f>
        <v/>
      </c>
    </row>
    <row r="1075" spans="1:18" x14ac:dyDescent="0.3">
      <c r="A1075" s="45"/>
      <c r="B1075" s="39">
        <v>46286</v>
      </c>
      <c r="C1075" s="4" t="str">
        <f>_xlfn.XLOOKUP(tblMovimientos[[#This Row],[Cuenta Bancaria]],Listas!$B:$B,Listas!$A:$A,"")</f>
        <v>Prendamas SRL</v>
      </c>
      <c r="D1075" s="41" t="s">
        <v>186</v>
      </c>
      <c r="E1075" s="68" t="str">
        <f>_xlfn.XLOOKUP(tblMovimientos[[#This Row],[Cuenta Bancaria]],Listas!$B:$B,Listas!$C:$C,"")</f>
        <v xml:space="preserve">Amerant Bank </v>
      </c>
      <c r="F1075" s="41" t="s">
        <v>10</v>
      </c>
      <c r="G1075" s="41" t="s">
        <v>38</v>
      </c>
      <c r="H1075" s="46" t="str">
        <f>IFERROR(_xlfn.XLOOKUP(G1075,Listas!E:E,Listas!F:F,""),"")</f>
        <v>Operativo</v>
      </c>
      <c r="I1075" s="46" t="str">
        <f>IFERROR(_xlfn.XLOOKUP(G1075,Listas!E:E,Listas!G:G,""),"")</f>
        <v>Externo</v>
      </c>
      <c r="J1075" s="43">
        <v>600.6</v>
      </c>
      <c r="K1075" s="5">
        <f t="shared" si="16"/>
        <v>-600.6</v>
      </c>
      <c r="L1075" s="15" t="s">
        <v>133</v>
      </c>
      <c r="M1075" s="44">
        <f>SUMIFS('Saldos Iniciales'!$D:$D,'Saldos Iniciales'!$A:$A,C1075,'Saldos Iniciales'!$B:$B,D1075)+SUMIFS($K$1:$K$1324,$C$1:$C$1324,C1075,$D$1:$D$1324,D1075,$B$1:$B$1324,"&lt;="&amp;B1075)</f>
        <v>25507.15999999996</v>
      </c>
      <c r="N1075" s="61" t="str">
        <f>IF(tblMovimientos[[#This Row],[Tipo de Movimiento]]="Ingreso",tblMovimientos[[#This Row],[Monto (S/)]],"0")</f>
        <v>0</v>
      </c>
      <c r="O1075" s="61">
        <f>IF(tblMovimientos[[#This Row],[Tipo de Movimiento]]="Egreso",tblMovimientos[[#This Row],[Monto (S/)]],"0")</f>
        <v>600.6</v>
      </c>
      <c r="P1075" s="28">
        <f>IF(tblMovimientos[[#This Row],[Tipo de Movimiento]]="Ingreso",tblMovimientos[[#This Row],[Ingreso]],-tblMovimientos[[#This Row],[Egreso]])</f>
        <v>-600.6</v>
      </c>
      <c r="Q1075" s="78" t="str">
        <f>_xlfn.XLOOKUP(tblMovimientos[[#This Row],[Cuenta Bancaria]],Cuentas!$C:$C,Cuentas!$A:$A,"")&amp;""</f>
        <v>Unidades de Negocio</v>
      </c>
      <c r="R1075" s="78" t="str">
        <f>_xlfn.XLOOKUP(tblMovimientos[[#This Row],[Cuenta Bancaria]],Cuentas!$C:$C,Cuentas!$B:$B,"",0,-1)&amp;""</f>
        <v/>
      </c>
    </row>
    <row r="1076" spans="1:18" s="75" customFormat="1" x14ac:dyDescent="0.3">
      <c r="A1076" s="45"/>
      <c r="B1076" s="39">
        <v>46286</v>
      </c>
      <c r="C1076" s="4" t="str">
        <f>_xlfn.XLOOKUP(tblMovimientos[[#This Row],[Cuenta Bancaria]],Listas!$B:$B,Listas!$A:$A,"")</f>
        <v>Prendamas SRL</v>
      </c>
      <c r="D1076" s="41" t="s">
        <v>186</v>
      </c>
      <c r="E1076" s="68" t="str">
        <f>_xlfn.XLOOKUP(tblMovimientos[[#This Row],[Cuenta Bancaria]],Listas!$B:$B,Listas!$C:$C,"")</f>
        <v xml:space="preserve">Amerant Bank </v>
      </c>
      <c r="F1076" s="41" t="s">
        <v>10</v>
      </c>
      <c r="G1076" s="41" t="s">
        <v>44</v>
      </c>
      <c r="H1076" s="46" t="str">
        <f>IFERROR(_xlfn.XLOOKUP(G1076,Listas!E:E,Listas!F:F,""),"")</f>
        <v>Operativo</v>
      </c>
      <c r="I1076" s="46" t="str">
        <f>IFERROR(_xlfn.XLOOKUP(G1076,Listas!E:E,Listas!G:G,""),"")</f>
        <v>Externo</v>
      </c>
      <c r="J1076" s="43">
        <v>18.02</v>
      </c>
      <c r="K1076" s="5">
        <f t="shared" si="16"/>
        <v>-18.02</v>
      </c>
      <c r="L1076" s="15" t="s">
        <v>133</v>
      </c>
      <c r="M1076" s="44">
        <f>SUMIFS('Saldos Iniciales'!$D:$D,'Saldos Iniciales'!$A:$A,C1076,'Saldos Iniciales'!$B:$B,D1076)+SUMIFS($K$1:$K$1324,$C$1:$C$1324,C1076,$D$1:$D$1324,D1076,$B$1:$B$1324,"&lt;="&amp;B1076)</f>
        <v>25507.15999999996</v>
      </c>
      <c r="N1076" s="61" t="str">
        <f>IF(tblMovimientos[[#This Row],[Tipo de Movimiento]]="Ingreso",tblMovimientos[[#This Row],[Monto (S/)]],"0")</f>
        <v>0</v>
      </c>
      <c r="O1076" s="61">
        <f>IF(tblMovimientos[[#This Row],[Tipo de Movimiento]]="Egreso",tblMovimientos[[#This Row],[Monto (S/)]],"0")</f>
        <v>18.02</v>
      </c>
      <c r="P1076" s="28">
        <f>IF(tblMovimientos[[#This Row],[Tipo de Movimiento]]="Ingreso",tblMovimientos[[#This Row],[Ingreso]],-tblMovimientos[[#This Row],[Egreso]])</f>
        <v>-18.02</v>
      </c>
      <c r="Q1076" s="78" t="str">
        <f>_xlfn.XLOOKUP(tblMovimientos[[#This Row],[Cuenta Bancaria]],Cuentas!$C:$C,Cuentas!$A:$A,"")&amp;""</f>
        <v>Unidades de Negocio</v>
      </c>
      <c r="R1076" s="78" t="str">
        <f>_xlfn.XLOOKUP(tblMovimientos[[#This Row],[Cuenta Bancaria]],Cuentas!$C:$C,Cuentas!$B:$B,"",0,-1)&amp;""</f>
        <v/>
      </c>
    </row>
    <row r="1077" spans="1:18" x14ac:dyDescent="0.3">
      <c r="B1077" s="39">
        <v>46286</v>
      </c>
      <c r="C1077" s="4" t="str">
        <f>_xlfn.XLOOKUP(tblMovimientos[[#This Row],[Cuenta Bancaria]],Listas!$B:$B,Listas!$A:$A,"")</f>
        <v>Prendamas SRL</v>
      </c>
      <c r="D1077" s="41" t="s">
        <v>186</v>
      </c>
      <c r="E1077" s="68" t="str">
        <f>_xlfn.XLOOKUP(tblMovimientos[[#This Row],[Cuenta Bancaria]],Listas!$B:$B,Listas!$C:$C,"")</f>
        <v xml:space="preserve">Amerant Bank </v>
      </c>
      <c r="F1077" s="41" t="s">
        <v>10</v>
      </c>
      <c r="G1077" s="41" t="s">
        <v>44</v>
      </c>
      <c r="H1077" s="4" t="str">
        <f>IFERROR(_xlfn.XLOOKUP(G1077,Listas!E:E,Listas!F:F,""),"")</f>
        <v>Operativo</v>
      </c>
      <c r="I1077" s="46" t="str">
        <f>IFERROR(_xlfn.XLOOKUP(G1077,Listas!E:E,Listas!G:G,""),"")</f>
        <v>Externo</v>
      </c>
      <c r="J1077" s="43">
        <v>18.350000000000001</v>
      </c>
      <c r="K1077" s="5">
        <f t="shared" si="16"/>
        <v>-18.350000000000001</v>
      </c>
      <c r="L1077" s="15" t="s">
        <v>133</v>
      </c>
      <c r="M1077" s="44">
        <f>SUMIFS('Saldos Iniciales'!$D:$D,'Saldos Iniciales'!$A:$A,C1077,'Saldos Iniciales'!$B:$B,D1077)+SUMIFS($K$1:$K$1324,$C$1:$C$1324,C1077,$D$1:$D$1324,D1077,$B$1:$B$1324,"&lt;="&amp;B1077)</f>
        <v>25507.15999999996</v>
      </c>
      <c r="N1077" s="61" t="str">
        <f>IF(tblMovimientos[[#This Row],[Tipo de Movimiento]]="Ingreso",tblMovimientos[[#This Row],[Monto (S/)]],"0")</f>
        <v>0</v>
      </c>
      <c r="O1077" s="61">
        <f>IF(tblMovimientos[[#This Row],[Tipo de Movimiento]]="Egreso",tblMovimientos[[#This Row],[Monto (S/)]],"0")</f>
        <v>18.350000000000001</v>
      </c>
      <c r="P1077" s="28">
        <f>IF(tblMovimientos[[#This Row],[Tipo de Movimiento]]="Ingreso",tblMovimientos[[#This Row],[Ingreso]],-tblMovimientos[[#This Row],[Egreso]])</f>
        <v>-18.350000000000001</v>
      </c>
      <c r="Q1077" s="78" t="str">
        <f>_xlfn.XLOOKUP(tblMovimientos[[#This Row],[Cuenta Bancaria]],Cuentas!$C:$C,Cuentas!$A:$A,"")&amp;""</f>
        <v>Unidades de Negocio</v>
      </c>
      <c r="R1077" s="78" t="str">
        <f>_xlfn.XLOOKUP(tblMovimientos[[#This Row],[Cuenta Bancaria]],Cuentas!$C:$C,Cuentas!$B:$B,"",0,-1)&amp;""</f>
        <v/>
      </c>
    </row>
    <row r="1078" spans="1:18" x14ac:dyDescent="0.3">
      <c r="A1078" s="45"/>
      <c r="B1078" s="39">
        <v>46286</v>
      </c>
      <c r="C1078" s="4" t="str">
        <f>_xlfn.XLOOKUP(tblMovimientos[[#This Row],[Cuenta Bancaria]],Listas!$B:$B,Listas!$A:$A,"")</f>
        <v>Nobe Aparments</v>
      </c>
      <c r="D1078" s="41" t="s">
        <v>191</v>
      </c>
      <c r="E1078" s="68" t="str">
        <f>_xlfn.XLOOKUP(tblMovimientos[[#This Row],[Cuenta Bancaria]],Listas!$B:$B,Listas!$C:$C,"")</f>
        <v>Bank of America</v>
      </c>
      <c r="F1078" s="41" t="s">
        <v>10</v>
      </c>
      <c r="G1078" s="41" t="s">
        <v>38</v>
      </c>
      <c r="H1078" s="46" t="str">
        <f>IFERROR(_xlfn.XLOOKUP(G1078,Listas!E:E,Listas!F:F,""),"")</f>
        <v>Operativo</v>
      </c>
      <c r="I1078" s="46" t="str">
        <f>IFERROR(_xlfn.XLOOKUP(G1078,Listas!E:E,Listas!G:G,""),"")</f>
        <v>Externo</v>
      </c>
      <c r="J1078" s="43">
        <v>405.74</v>
      </c>
      <c r="K1078" s="5">
        <f t="shared" si="16"/>
        <v>-405.74</v>
      </c>
      <c r="L1078" s="15" t="s">
        <v>133</v>
      </c>
      <c r="M1078" s="44">
        <f>SUMIFS('Saldos Iniciales'!$D:$D,'Saldos Iniciales'!$A:$A,C1078,'Saldos Iniciales'!$B:$B,D1078)+SUMIFS($K$1:$K$1324,$C$1:$C$1324,C1078,$D$1:$D$1324,D1078,$B$1:$B$1324,"&lt;="&amp;B1078)</f>
        <v>208857.13</v>
      </c>
      <c r="N1078" s="61" t="str">
        <f>IF(tblMovimientos[[#This Row],[Tipo de Movimiento]]="Ingreso",tblMovimientos[[#This Row],[Monto (S/)]],"0")</f>
        <v>0</v>
      </c>
      <c r="O1078" s="61">
        <f>IF(tblMovimientos[[#This Row],[Tipo de Movimiento]]="Egreso",tblMovimientos[[#This Row],[Monto (S/)]],"0")</f>
        <v>405.74</v>
      </c>
      <c r="P1078" s="28">
        <f>IF(tblMovimientos[[#This Row],[Tipo de Movimiento]]="Ingreso",tblMovimientos[[#This Row],[Ingreso]],-tblMovimientos[[#This Row],[Egreso]])</f>
        <v>-405.74</v>
      </c>
      <c r="Q1078" s="78" t="str">
        <f>_xlfn.XLOOKUP(tblMovimientos[[#This Row],[Cuenta Bancaria]],Cuentas!$C:$C,Cuentas!$A:$A,"")&amp;""</f>
        <v>Estate</v>
      </c>
      <c r="R1078" s="78" t="str">
        <f>_xlfn.XLOOKUP(tblMovimientos[[#This Row],[Cuenta Bancaria]],Cuentas!$C:$C,Cuentas!$B:$B,"",0,-1)&amp;""</f>
        <v/>
      </c>
    </row>
    <row r="1079" spans="1:18" x14ac:dyDescent="0.3">
      <c r="B1079" s="39">
        <v>46287</v>
      </c>
      <c r="C1079" s="4" t="str">
        <f>_xlfn.XLOOKUP(tblMovimientos[[#This Row],[Cuenta Bancaria]],Listas!$B:$B,Listas!$A:$A,"")</f>
        <v>SSP Capital</v>
      </c>
      <c r="D1079" s="41" t="s">
        <v>101</v>
      </c>
      <c r="E1079" s="68" t="str">
        <f>_xlfn.XLOOKUP(tblMovimientos[[#This Row],[Cuenta Bancaria]],Listas!$B:$B,Listas!$C:$C,"")</f>
        <v>Bank of America</v>
      </c>
      <c r="F1079" s="41" t="s">
        <v>10</v>
      </c>
      <c r="G1079" s="41" t="s">
        <v>38</v>
      </c>
      <c r="H1079" s="4" t="str">
        <f>IFERROR(_xlfn.XLOOKUP(G1079,Listas!E:E,Listas!F:F,""),"")</f>
        <v>Operativo</v>
      </c>
      <c r="I1079" s="46" t="str">
        <f>IFERROR(_xlfn.XLOOKUP(G1079,Listas!E:E,Listas!G:G,""),"")</f>
        <v>Externo</v>
      </c>
      <c r="J1079" s="43">
        <v>762.99</v>
      </c>
      <c r="K1079" s="5">
        <f t="shared" si="16"/>
        <v>-762.99</v>
      </c>
      <c r="L1079" s="15" t="s">
        <v>133</v>
      </c>
      <c r="M1079" s="44">
        <f>SUMIFS('Saldos Iniciales'!$D:$D,'Saldos Iniciales'!$A:$A,C1079,'Saldos Iniciales'!$B:$B,D1079)+SUMIFS($K$1:$K$1324,$C$1:$C$1324,C1079,$D$1:$D$1324,D1079,$B$1:$B$1324,"&lt;="&amp;B1079)</f>
        <v>21836.990000000005</v>
      </c>
      <c r="N1079" s="61" t="str">
        <f>IF(tblMovimientos[[#This Row],[Tipo de Movimiento]]="Ingreso",tblMovimientos[[#This Row],[Monto (S/)]],"0")</f>
        <v>0</v>
      </c>
      <c r="O1079" s="61">
        <f>IF(tblMovimientos[[#This Row],[Tipo de Movimiento]]="Egreso",tblMovimientos[[#This Row],[Monto (S/)]],"0")</f>
        <v>762.99</v>
      </c>
      <c r="P1079" s="28">
        <f>IF(tblMovimientos[[#This Row],[Tipo de Movimiento]]="Ingreso",tblMovimientos[[#This Row],[Ingreso]],-tblMovimientos[[#This Row],[Egreso]])</f>
        <v>-762.99</v>
      </c>
      <c r="Q1079" s="78" t="str">
        <f>_xlfn.XLOOKUP(tblMovimientos[[#This Row],[Cuenta Bancaria]],Cuentas!$C:$C,Cuentas!$A:$A,"")&amp;""</f>
        <v>SSP Group</v>
      </c>
      <c r="R1079" s="78" t="str">
        <f>_xlfn.XLOOKUP(tblMovimientos[[#This Row],[Cuenta Bancaria]],Cuentas!$C:$C,Cuentas!$B:$B,"",0,-1)&amp;""</f>
        <v/>
      </c>
    </row>
    <row r="1080" spans="1:18" x14ac:dyDescent="0.3">
      <c r="A1080" s="45"/>
      <c r="B1080" s="39">
        <v>46287</v>
      </c>
      <c r="C1080" s="4" t="str">
        <f>_xlfn.XLOOKUP(tblMovimientos[[#This Row],[Cuenta Bancaria]],Listas!$B:$B,Listas!$A:$A,"")</f>
        <v>2515 Overbrook</v>
      </c>
      <c r="D1080" s="41" t="s">
        <v>121</v>
      </c>
      <c r="E1080" s="68" t="str">
        <f>_xlfn.XLOOKUP(tblMovimientos[[#This Row],[Cuenta Bancaria]],Listas!$B:$B,Listas!$C:$C,"")</f>
        <v>Bank of America</v>
      </c>
      <c r="F1080" s="41" t="s">
        <v>10</v>
      </c>
      <c r="G1080" s="41" t="s">
        <v>38</v>
      </c>
      <c r="H1080" s="46" t="str">
        <f>IFERROR(_xlfn.XLOOKUP(G1080,Listas!E:E,Listas!F:F,""),"")</f>
        <v>Operativo</v>
      </c>
      <c r="I1080" s="46" t="str">
        <f>IFERROR(_xlfn.XLOOKUP(G1080,Listas!E:E,Listas!G:G,""),"")</f>
        <v>Externo</v>
      </c>
      <c r="J1080" s="43">
        <v>262.5</v>
      </c>
      <c r="K1080" s="5">
        <f t="shared" si="16"/>
        <v>-262.5</v>
      </c>
      <c r="L1080" s="15" t="s">
        <v>133</v>
      </c>
      <c r="M1080" s="44">
        <f>SUMIFS('Saldos Iniciales'!$D:$D,'Saldos Iniciales'!$A:$A,C1080,'Saldos Iniciales'!$B:$B,D1080)+SUMIFS($K$1:$K$1324,$C$1:$C$1324,C1080,$D$1:$D$1324,D1080,$B$1:$B$1324,"&lt;="&amp;B1080)</f>
        <v>28414.459999999963</v>
      </c>
      <c r="N1080" s="61" t="str">
        <f>IF(tblMovimientos[[#This Row],[Tipo de Movimiento]]="Ingreso",tblMovimientos[[#This Row],[Monto (S/)]],"0")</f>
        <v>0</v>
      </c>
      <c r="O1080" s="61">
        <f>IF(tblMovimientos[[#This Row],[Tipo de Movimiento]]="Egreso",tblMovimientos[[#This Row],[Monto (S/)]],"0")</f>
        <v>262.5</v>
      </c>
      <c r="P1080" s="28">
        <f>IF(tblMovimientos[[#This Row],[Tipo de Movimiento]]="Ingreso",tblMovimientos[[#This Row],[Ingreso]],-tblMovimientos[[#This Row],[Egreso]])</f>
        <v>-262.5</v>
      </c>
      <c r="Q1080" s="78" t="str">
        <f>_xlfn.XLOOKUP(tblMovimientos[[#This Row],[Cuenta Bancaria]],Cuentas!$C:$C,Cuentas!$A:$A,"")&amp;""</f>
        <v>SSP Group</v>
      </c>
      <c r="R1080" s="78" t="str">
        <f>_xlfn.XLOOKUP(tblMovimientos[[#This Row],[Cuenta Bancaria]],Cuentas!$C:$C,Cuentas!$B:$B,"",0,-1)&amp;""</f>
        <v/>
      </c>
    </row>
    <row r="1081" spans="1:18" x14ac:dyDescent="0.3">
      <c r="A1081" s="45"/>
      <c r="B1081" s="39">
        <v>46287</v>
      </c>
      <c r="C1081" s="4" t="str">
        <f>_xlfn.XLOOKUP(tblMovimientos[[#This Row],[Cuenta Bancaria]],Listas!$B:$B,Listas!$A:$A,"")</f>
        <v>2515 Overbrook</v>
      </c>
      <c r="D1081" s="41" t="s">
        <v>121</v>
      </c>
      <c r="E1081" s="68" t="str">
        <f>_xlfn.XLOOKUP(tblMovimientos[[#This Row],[Cuenta Bancaria]],Listas!$B:$B,Listas!$C:$C,"")</f>
        <v>Bank of America</v>
      </c>
      <c r="F1081" s="41" t="s">
        <v>10</v>
      </c>
      <c r="G1081" s="41" t="s">
        <v>38</v>
      </c>
      <c r="H1081" s="46" t="str">
        <f>IFERROR(_xlfn.XLOOKUP(G1081,Listas!E:E,Listas!F:F,""),"")</f>
        <v>Operativo</v>
      </c>
      <c r="I1081" s="46" t="str">
        <f>IFERROR(_xlfn.XLOOKUP(G1081,Listas!E:E,Listas!G:G,""),"")</f>
        <v>Externo</v>
      </c>
      <c r="J1081" s="43">
        <v>1300</v>
      </c>
      <c r="K1081" s="5">
        <f t="shared" si="16"/>
        <v>-1300</v>
      </c>
      <c r="L1081" s="15" t="s">
        <v>133</v>
      </c>
      <c r="M1081" s="44">
        <f>SUMIFS('Saldos Iniciales'!$D:$D,'Saldos Iniciales'!$A:$A,C1081,'Saldos Iniciales'!$B:$B,D1081)+SUMIFS($K$1:$K$1324,$C$1:$C$1324,C1081,$D$1:$D$1324,D1081,$B$1:$B$1324,"&lt;="&amp;B1081)</f>
        <v>28414.459999999963</v>
      </c>
      <c r="N1081" s="61" t="str">
        <f>IF(tblMovimientos[[#This Row],[Tipo de Movimiento]]="Ingreso",tblMovimientos[[#This Row],[Monto (S/)]],"0")</f>
        <v>0</v>
      </c>
      <c r="O1081" s="61">
        <f>IF(tblMovimientos[[#This Row],[Tipo de Movimiento]]="Egreso",tblMovimientos[[#This Row],[Monto (S/)]],"0")</f>
        <v>1300</v>
      </c>
      <c r="P1081" s="28">
        <f>IF(tblMovimientos[[#This Row],[Tipo de Movimiento]]="Ingreso",tblMovimientos[[#This Row],[Ingreso]],-tblMovimientos[[#This Row],[Egreso]])</f>
        <v>-1300</v>
      </c>
      <c r="Q1081" s="78" t="str">
        <f>_xlfn.XLOOKUP(tblMovimientos[[#This Row],[Cuenta Bancaria]],Cuentas!$C:$C,Cuentas!$A:$A,"")&amp;""</f>
        <v>SSP Group</v>
      </c>
      <c r="R1081" s="78" t="str">
        <f>_xlfn.XLOOKUP(tblMovimientos[[#This Row],[Cuenta Bancaria]],Cuentas!$C:$C,Cuentas!$B:$B,"",0,-1)&amp;""</f>
        <v/>
      </c>
    </row>
    <row r="1082" spans="1:18" x14ac:dyDescent="0.3">
      <c r="A1082" s="45"/>
      <c r="B1082" s="39">
        <v>46287</v>
      </c>
      <c r="C1082" s="4" t="str">
        <f>_xlfn.XLOOKUP(tblMovimientos[[#This Row],[Cuenta Bancaria]],Listas!$B:$B,Listas!$A:$A,"")</f>
        <v>112 Florida Ave</v>
      </c>
      <c r="D1082" s="41" t="s">
        <v>123</v>
      </c>
      <c r="E1082" s="68" t="str">
        <f>_xlfn.XLOOKUP(tblMovimientos[[#This Row],[Cuenta Bancaria]],Listas!$B:$B,Listas!$C:$C,"")</f>
        <v>Bank of America</v>
      </c>
      <c r="F1082" s="41" t="s">
        <v>10</v>
      </c>
      <c r="G1082" s="41" t="s">
        <v>38</v>
      </c>
      <c r="H1082" s="46" t="str">
        <f>IFERROR(_xlfn.XLOOKUP(G1082,Listas!E:E,Listas!F:F,""),"")</f>
        <v>Operativo</v>
      </c>
      <c r="I1082" s="46" t="str">
        <f>IFERROR(_xlfn.XLOOKUP(G1082,Listas!E:E,Listas!G:G,""),"")</f>
        <v>Externo</v>
      </c>
      <c r="J1082" s="43">
        <v>1120.03</v>
      </c>
      <c r="K1082" s="5">
        <f t="shared" si="16"/>
        <v>-1120.03</v>
      </c>
      <c r="L1082" s="15" t="s">
        <v>133</v>
      </c>
      <c r="M1082" s="44">
        <f>SUMIFS('Saldos Iniciales'!$D:$D,'Saldos Iniciales'!$A:$A,C1082,'Saldos Iniciales'!$B:$B,D1082)+SUMIFS($K$1:$K$1324,$C$1:$C$1324,C1082,$D$1:$D$1324,D1082,$B$1:$B$1324,"&lt;="&amp;B1082)</f>
        <v>15162.600000000006</v>
      </c>
      <c r="N1082" s="61" t="str">
        <f>IF(tblMovimientos[[#This Row],[Tipo de Movimiento]]="Ingreso",tblMovimientos[[#This Row],[Monto (S/)]],"0")</f>
        <v>0</v>
      </c>
      <c r="O1082" s="61">
        <f>IF(tblMovimientos[[#This Row],[Tipo de Movimiento]]="Egreso",tblMovimientos[[#This Row],[Monto (S/)]],"0")</f>
        <v>1120.03</v>
      </c>
      <c r="P1082" s="28">
        <f>IF(tblMovimientos[[#This Row],[Tipo de Movimiento]]="Ingreso",tblMovimientos[[#This Row],[Ingreso]],-tblMovimientos[[#This Row],[Egreso]])</f>
        <v>-1120.03</v>
      </c>
      <c r="Q1082" s="78" t="str">
        <f>_xlfn.XLOOKUP(tblMovimientos[[#This Row],[Cuenta Bancaria]],Cuentas!$C:$C,Cuentas!$A:$A,"")&amp;""</f>
        <v>SSP Group</v>
      </c>
      <c r="R1082" s="78" t="str">
        <f>_xlfn.XLOOKUP(tblMovimientos[[#This Row],[Cuenta Bancaria]],Cuentas!$C:$C,Cuentas!$B:$B,"",0,-1)&amp;""</f>
        <v/>
      </c>
    </row>
    <row r="1083" spans="1:18" x14ac:dyDescent="0.3">
      <c r="A1083" s="45"/>
      <c r="B1083" s="39">
        <v>46287</v>
      </c>
      <c r="C1083" s="4" t="str">
        <f>_xlfn.XLOOKUP(tblMovimientos[[#This Row],[Cuenta Bancaria]],Listas!$B:$B,Listas!$A:$A,"")</f>
        <v>3628 Thomas Ave</v>
      </c>
      <c r="D1083" s="41" t="s">
        <v>124</v>
      </c>
      <c r="E1083" s="68" t="str">
        <f>_xlfn.XLOOKUP(tblMovimientos[[#This Row],[Cuenta Bancaria]],Listas!$B:$B,Listas!$C:$C,"")</f>
        <v>Bank of America</v>
      </c>
      <c r="F1083" s="41" t="s">
        <v>10</v>
      </c>
      <c r="G1083" s="41" t="s">
        <v>38</v>
      </c>
      <c r="H1083" s="46" t="str">
        <f>IFERROR(_xlfn.XLOOKUP(G1083,Listas!E:E,Listas!F:F,""),"")</f>
        <v>Operativo</v>
      </c>
      <c r="I1083" s="46" t="str">
        <f>IFERROR(_xlfn.XLOOKUP(G1083,Listas!E:E,Listas!G:G,""),"")</f>
        <v>Externo</v>
      </c>
      <c r="J1083" s="43">
        <v>231.3</v>
      </c>
      <c r="K1083" s="5">
        <f t="shared" si="16"/>
        <v>-231.3</v>
      </c>
      <c r="L1083" s="15" t="s">
        <v>133</v>
      </c>
      <c r="M1083" s="44">
        <f>SUMIFS('Saldos Iniciales'!$D:$D,'Saldos Iniciales'!$A:$A,C1083,'Saldos Iniciales'!$B:$B,D1083)+SUMIFS($K$1:$K$1324,$C$1:$C$1324,C1083,$D$1:$D$1324,D1083,$B$1:$B$1324,"&lt;="&amp;B1083)</f>
        <v>12937.859999999997</v>
      </c>
      <c r="N1083" s="61" t="str">
        <f>IF(tblMovimientos[[#This Row],[Tipo de Movimiento]]="Ingreso",tblMovimientos[[#This Row],[Monto (S/)]],"0")</f>
        <v>0</v>
      </c>
      <c r="O1083" s="61">
        <f>IF(tblMovimientos[[#This Row],[Tipo de Movimiento]]="Egreso",tblMovimientos[[#This Row],[Monto (S/)]],"0")</f>
        <v>231.3</v>
      </c>
      <c r="P1083" s="28">
        <f>IF(tblMovimientos[[#This Row],[Tipo de Movimiento]]="Ingreso",tblMovimientos[[#This Row],[Ingreso]],-tblMovimientos[[#This Row],[Egreso]])</f>
        <v>-231.3</v>
      </c>
      <c r="Q1083" s="78" t="str">
        <f>_xlfn.XLOOKUP(tblMovimientos[[#This Row],[Cuenta Bancaria]],Cuentas!$C:$C,Cuentas!$A:$A,"")&amp;""</f>
        <v>SSP Group</v>
      </c>
      <c r="R1083" s="78" t="str">
        <f>_xlfn.XLOOKUP(tblMovimientos[[#This Row],[Cuenta Bancaria]],Cuentas!$C:$C,Cuentas!$B:$B,"",0,-1)&amp;""</f>
        <v/>
      </c>
    </row>
    <row r="1084" spans="1:18" s="75" customFormat="1" x14ac:dyDescent="0.3">
      <c r="A1084" s="45"/>
      <c r="B1084" s="39">
        <v>46287</v>
      </c>
      <c r="C1084" s="4" t="str">
        <f>_xlfn.XLOOKUP(tblMovimientos[[#This Row],[Cuenta Bancaria]],Listas!$B:$B,Listas!$A:$A,"")</f>
        <v>3628 Thomas Ave</v>
      </c>
      <c r="D1084" s="41" t="s">
        <v>124</v>
      </c>
      <c r="E1084" s="68" t="str">
        <f>_xlfn.XLOOKUP(tblMovimientos[[#This Row],[Cuenta Bancaria]],Listas!$B:$B,Listas!$C:$C,"")</f>
        <v>Bank of America</v>
      </c>
      <c r="F1084" s="41" t="s">
        <v>10</v>
      </c>
      <c r="G1084" s="41" t="s">
        <v>38</v>
      </c>
      <c r="H1084" s="46" t="str">
        <f>IFERROR(_xlfn.XLOOKUP(G1084,Listas!E:E,Listas!F:F,""),"")</f>
        <v>Operativo</v>
      </c>
      <c r="I1084" s="46" t="str">
        <f>IFERROR(_xlfn.XLOOKUP(G1084,Listas!E:E,Listas!G:G,""),"")</f>
        <v>Externo</v>
      </c>
      <c r="J1084" s="43">
        <v>46.84</v>
      </c>
      <c r="K1084" s="5">
        <f t="shared" si="16"/>
        <v>-46.84</v>
      </c>
      <c r="L1084" s="15" t="s">
        <v>133</v>
      </c>
      <c r="M1084" s="44">
        <f>SUMIFS('Saldos Iniciales'!$D:$D,'Saldos Iniciales'!$A:$A,C1084,'Saldos Iniciales'!$B:$B,D1084)+SUMIFS($K$1:$K$1324,$C$1:$C$1324,C1084,$D$1:$D$1324,D1084,$B$1:$B$1324,"&lt;="&amp;B1084)</f>
        <v>12937.859999999997</v>
      </c>
      <c r="N1084" s="61" t="str">
        <f>IF(tblMovimientos[[#This Row],[Tipo de Movimiento]]="Ingreso",tblMovimientos[[#This Row],[Monto (S/)]],"0")</f>
        <v>0</v>
      </c>
      <c r="O1084" s="61">
        <f>IF(tblMovimientos[[#This Row],[Tipo de Movimiento]]="Egreso",tblMovimientos[[#This Row],[Monto (S/)]],"0")</f>
        <v>46.84</v>
      </c>
      <c r="P1084" s="28">
        <f>IF(tblMovimientos[[#This Row],[Tipo de Movimiento]]="Ingreso",tblMovimientos[[#This Row],[Ingreso]],-tblMovimientos[[#This Row],[Egreso]])</f>
        <v>-46.84</v>
      </c>
      <c r="Q1084" s="78" t="str">
        <f>_xlfn.XLOOKUP(tblMovimientos[[#This Row],[Cuenta Bancaria]],Cuentas!$C:$C,Cuentas!$A:$A,"")&amp;""</f>
        <v>SSP Group</v>
      </c>
      <c r="R1084" s="78" t="str">
        <f>_xlfn.XLOOKUP(tblMovimientos[[#This Row],[Cuenta Bancaria]],Cuentas!$C:$C,Cuentas!$B:$B,"",0,-1)&amp;""</f>
        <v/>
      </c>
    </row>
    <row r="1085" spans="1:18" x14ac:dyDescent="0.3">
      <c r="A1085" s="45"/>
      <c r="B1085" s="39">
        <v>46287</v>
      </c>
      <c r="C1085" s="4" t="str">
        <f>_xlfn.XLOOKUP(tblMovimientos[[#This Row],[Cuenta Bancaria]],Listas!$B:$B,Listas!$A:$A,"")</f>
        <v>3628 Thomas Ave</v>
      </c>
      <c r="D1085" s="41" t="s">
        <v>124</v>
      </c>
      <c r="E1085" s="68" t="str">
        <f>_xlfn.XLOOKUP(tblMovimientos[[#This Row],[Cuenta Bancaria]],Listas!$B:$B,Listas!$C:$C,"")</f>
        <v>Bank of America</v>
      </c>
      <c r="F1085" s="41" t="s">
        <v>10</v>
      </c>
      <c r="G1085" s="41" t="s">
        <v>38</v>
      </c>
      <c r="H1085" s="46" t="str">
        <f>IFERROR(_xlfn.XLOOKUP(G1085,Listas!E:E,Listas!F:F,""),"")</f>
        <v>Operativo</v>
      </c>
      <c r="I1085" s="46" t="str">
        <f>IFERROR(_xlfn.XLOOKUP(G1085,Listas!E:E,Listas!G:G,""),"")</f>
        <v>Externo</v>
      </c>
      <c r="J1085" s="43">
        <v>470</v>
      </c>
      <c r="K1085" s="5">
        <f t="shared" si="16"/>
        <v>-470</v>
      </c>
      <c r="L1085" s="15" t="s">
        <v>133</v>
      </c>
      <c r="M1085" s="44">
        <f>SUMIFS('Saldos Iniciales'!$D:$D,'Saldos Iniciales'!$A:$A,C1085,'Saldos Iniciales'!$B:$B,D1085)+SUMIFS($K$1:$K$1324,$C$1:$C$1324,C1085,$D$1:$D$1324,D1085,$B$1:$B$1324,"&lt;="&amp;B1085)</f>
        <v>12937.859999999997</v>
      </c>
      <c r="N1085" s="61" t="str">
        <f>IF(tblMovimientos[[#This Row],[Tipo de Movimiento]]="Ingreso",tblMovimientos[[#This Row],[Monto (S/)]],"0")</f>
        <v>0</v>
      </c>
      <c r="O1085" s="61">
        <f>IF(tblMovimientos[[#This Row],[Tipo de Movimiento]]="Egreso",tblMovimientos[[#This Row],[Monto (S/)]],"0")</f>
        <v>470</v>
      </c>
      <c r="P1085" s="28">
        <f>IF(tblMovimientos[[#This Row],[Tipo de Movimiento]]="Ingreso",tblMovimientos[[#This Row],[Ingreso]],-tblMovimientos[[#This Row],[Egreso]])</f>
        <v>-470</v>
      </c>
      <c r="Q1085" s="78" t="str">
        <f>_xlfn.XLOOKUP(tblMovimientos[[#This Row],[Cuenta Bancaria]],Cuentas!$C:$C,Cuentas!$A:$A,"")&amp;""</f>
        <v>SSP Group</v>
      </c>
      <c r="R1085" s="78" t="str">
        <f>_xlfn.XLOOKUP(tblMovimientos[[#This Row],[Cuenta Bancaria]],Cuentas!$C:$C,Cuentas!$B:$B,"",0,-1)&amp;""</f>
        <v/>
      </c>
    </row>
    <row r="1086" spans="1:18" x14ac:dyDescent="0.3">
      <c r="A1086" s="45"/>
      <c r="B1086" s="39">
        <v>46287</v>
      </c>
      <c r="C1086" s="4" t="str">
        <f>_xlfn.XLOOKUP(tblMovimientos[[#This Row],[Cuenta Bancaria]],Listas!$B:$B,Listas!$A:$A,"")</f>
        <v>Prendamas SRL</v>
      </c>
      <c r="D1086" s="41" t="s">
        <v>186</v>
      </c>
      <c r="E1086" s="68" t="str">
        <f>_xlfn.XLOOKUP(tblMovimientos[[#This Row],[Cuenta Bancaria]],Listas!$B:$B,Listas!$C:$C,"")</f>
        <v xml:space="preserve">Amerant Bank </v>
      </c>
      <c r="F1086" s="41" t="s">
        <v>10</v>
      </c>
      <c r="G1086" s="41" t="s">
        <v>38</v>
      </c>
      <c r="H1086" s="46" t="str">
        <f>IFERROR(_xlfn.XLOOKUP(G1086,Listas!E:E,Listas!F:F,""),"")</f>
        <v>Operativo</v>
      </c>
      <c r="I1086" s="46" t="str">
        <f>IFERROR(_xlfn.XLOOKUP(G1086,Listas!E:E,Listas!G:G,""),"")</f>
        <v>Externo</v>
      </c>
      <c r="J1086" s="43">
        <v>546.54</v>
      </c>
      <c r="K1086" s="5">
        <f t="shared" si="16"/>
        <v>-546.54</v>
      </c>
      <c r="L1086" s="15" t="s">
        <v>133</v>
      </c>
      <c r="M1086" s="44">
        <f>SUMIFS('Saldos Iniciales'!$D:$D,'Saldos Iniciales'!$A:$A,C1086,'Saldos Iniciales'!$B:$B,D1086)+SUMIFS($K$1:$K$1324,$C$1:$C$1324,C1086,$D$1:$D$1324,D1086,$B$1:$B$1324,"&lt;="&amp;B1086)</f>
        <v>24944.219999999972</v>
      </c>
      <c r="N1086" s="61" t="str">
        <f>IF(tblMovimientos[[#This Row],[Tipo de Movimiento]]="Ingreso",tblMovimientos[[#This Row],[Monto (S/)]],"0")</f>
        <v>0</v>
      </c>
      <c r="O1086" s="61">
        <f>IF(tblMovimientos[[#This Row],[Tipo de Movimiento]]="Egreso",tblMovimientos[[#This Row],[Monto (S/)]],"0")</f>
        <v>546.54</v>
      </c>
      <c r="P1086" s="28">
        <f>IF(tblMovimientos[[#This Row],[Tipo de Movimiento]]="Ingreso",tblMovimientos[[#This Row],[Ingreso]],-tblMovimientos[[#This Row],[Egreso]])</f>
        <v>-546.54</v>
      </c>
      <c r="Q1086" s="78" t="str">
        <f>_xlfn.XLOOKUP(tblMovimientos[[#This Row],[Cuenta Bancaria]],Cuentas!$C:$C,Cuentas!$A:$A,"")&amp;""</f>
        <v>Unidades de Negocio</v>
      </c>
      <c r="R1086" s="78" t="str">
        <f>_xlfn.XLOOKUP(tblMovimientos[[#This Row],[Cuenta Bancaria]],Cuentas!$C:$C,Cuentas!$B:$B,"",0,-1)&amp;""</f>
        <v/>
      </c>
    </row>
    <row r="1087" spans="1:18" x14ac:dyDescent="0.3">
      <c r="B1087" s="39">
        <v>46287</v>
      </c>
      <c r="C1087" s="4" t="str">
        <f>_xlfn.XLOOKUP(tblMovimientos[[#This Row],[Cuenta Bancaria]],Listas!$B:$B,Listas!$A:$A,"")</f>
        <v>Prendamas SRL</v>
      </c>
      <c r="D1087" s="41" t="s">
        <v>186</v>
      </c>
      <c r="E1087" s="68" t="str">
        <f>_xlfn.XLOOKUP(tblMovimientos[[#This Row],[Cuenta Bancaria]],Listas!$B:$B,Listas!$C:$C,"")</f>
        <v xml:space="preserve">Amerant Bank </v>
      </c>
      <c r="F1087" s="41" t="s">
        <v>10</v>
      </c>
      <c r="G1087" s="41" t="s">
        <v>44</v>
      </c>
      <c r="H1087" s="4" t="str">
        <f>IFERROR(_xlfn.XLOOKUP(G1087,Listas!E:E,Listas!F:F,""),"")</f>
        <v>Operativo</v>
      </c>
      <c r="I1087" s="46" t="str">
        <f>IFERROR(_xlfn.XLOOKUP(G1087,Listas!E:E,Listas!G:G,""),"")</f>
        <v>Externo</v>
      </c>
      <c r="J1087" s="43">
        <v>16.399999999999999</v>
      </c>
      <c r="K1087" s="5">
        <f t="shared" si="16"/>
        <v>-16.399999999999999</v>
      </c>
      <c r="L1087" s="15" t="s">
        <v>133</v>
      </c>
      <c r="M1087" s="44">
        <f>SUMIFS('Saldos Iniciales'!$D:$D,'Saldos Iniciales'!$A:$A,C1087,'Saldos Iniciales'!$B:$B,D1087)+SUMIFS($K$1:$K$1324,$C$1:$C$1324,C1087,$D$1:$D$1324,D1087,$B$1:$B$1324,"&lt;="&amp;B1087)</f>
        <v>24944.219999999972</v>
      </c>
      <c r="N1087" s="61" t="str">
        <f>IF(tblMovimientos[[#This Row],[Tipo de Movimiento]]="Ingreso",tblMovimientos[[#This Row],[Monto (S/)]],"0")</f>
        <v>0</v>
      </c>
      <c r="O1087" s="61">
        <f>IF(tblMovimientos[[#This Row],[Tipo de Movimiento]]="Egreso",tblMovimientos[[#This Row],[Monto (S/)]],"0")</f>
        <v>16.399999999999999</v>
      </c>
      <c r="P1087" s="28">
        <f>IF(tblMovimientos[[#This Row],[Tipo de Movimiento]]="Ingreso",tblMovimientos[[#This Row],[Ingreso]],-tblMovimientos[[#This Row],[Egreso]])</f>
        <v>-16.399999999999999</v>
      </c>
      <c r="Q1087" s="78" t="str">
        <f>_xlfn.XLOOKUP(tblMovimientos[[#This Row],[Cuenta Bancaria]],Cuentas!$C:$C,Cuentas!$A:$A,"")&amp;""</f>
        <v>Unidades de Negocio</v>
      </c>
      <c r="R1087" s="78" t="str">
        <f>_xlfn.XLOOKUP(tblMovimientos[[#This Row],[Cuenta Bancaria]],Cuentas!$C:$C,Cuentas!$B:$B,"",0,-1)&amp;""</f>
        <v/>
      </c>
    </row>
    <row r="1088" spans="1:18" x14ac:dyDescent="0.3">
      <c r="B1088" s="39">
        <v>46287</v>
      </c>
      <c r="C1088" s="4" t="str">
        <f>_xlfn.XLOOKUP(tblMovimientos[[#This Row],[Cuenta Bancaria]],Listas!$B:$B,Listas!$A:$A,"")</f>
        <v>Nobe Aparments</v>
      </c>
      <c r="D1088" s="41" t="s">
        <v>191</v>
      </c>
      <c r="E1088" s="68" t="str">
        <f>_xlfn.XLOOKUP(tblMovimientos[[#This Row],[Cuenta Bancaria]],Listas!$B:$B,Listas!$C:$C,"")</f>
        <v>Bank of America</v>
      </c>
      <c r="F1088" s="41" t="s">
        <v>10</v>
      </c>
      <c r="G1088" s="41" t="s">
        <v>38</v>
      </c>
      <c r="H1088" s="4" t="str">
        <f>IFERROR(_xlfn.XLOOKUP(G1088,Listas!E:E,Listas!F:F,""),"")</f>
        <v>Operativo</v>
      </c>
      <c r="I1088" s="46" t="str">
        <f>IFERROR(_xlfn.XLOOKUP(G1088,Listas!E:E,Listas!G:G,""),"")</f>
        <v>Externo</v>
      </c>
      <c r="J1088" s="43">
        <v>2812.67</v>
      </c>
      <c r="K1088" s="5">
        <f t="shared" si="16"/>
        <v>-2812.67</v>
      </c>
      <c r="L1088" s="15" t="s">
        <v>133</v>
      </c>
      <c r="M1088" s="44">
        <f>SUMIFS('Saldos Iniciales'!$D:$D,'Saldos Iniciales'!$A:$A,C1088,'Saldos Iniciales'!$B:$B,D1088)+SUMIFS($K$1:$K$1324,$C$1:$C$1324,C1088,$D$1:$D$1324,D1088,$B$1:$B$1324,"&lt;="&amp;B1088)</f>
        <v>203099.46</v>
      </c>
      <c r="N1088" s="61" t="str">
        <f>IF(tblMovimientos[[#This Row],[Tipo de Movimiento]]="Ingreso",tblMovimientos[[#This Row],[Monto (S/)]],"0")</f>
        <v>0</v>
      </c>
      <c r="O1088" s="61">
        <f>IF(tblMovimientos[[#This Row],[Tipo de Movimiento]]="Egreso",tblMovimientos[[#This Row],[Monto (S/)]],"0")</f>
        <v>2812.67</v>
      </c>
      <c r="P1088" s="28">
        <f>IF(tblMovimientos[[#This Row],[Tipo de Movimiento]]="Ingreso",tblMovimientos[[#This Row],[Ingreso]],-tblMovimientos[[#This Row],[Egreso]])</f>
        <v>-2812.67</v>
      </c>
      <c r="Q1088" s="78" t="str">
        <f>_xlfn.XLOOKUP(tblMovimientos[[#This Row],[Cuenta Bancaria]],Cuentas!$C:$C,Cuentas!$A:$A,"")&amp;""</f>
        <v>Estate</v>
      </c>
      <c r="R1088" s="78" t="str">
        <f>_xlfn.XLOOKUP(tblMovimientos[[#This Row],[Cuenta Bancaria]],Cuentas!$C:$C,Cuentas!$B:$B,"",0,-1)&amp;""</f>
        <v/>
      </c>
    </row>
    <row r="1089" spans="1:18" x14ac:dyDescent="0.3">
      <c r="A1089" s="45"/>
      <c r="B1089" s="39">
        <v>46287</v>
      </c>
      <c r="C1089" s="4" t="str">
        <f>_xlfn.XLOOKUP(tblMovimientos[[#This Row],[Cuenta Bancaria]],Listas!$B:$B,Listas!$A:$A,"")</f>
        <v>Nobe Aparments</v>
      </c>
      <c r="D1089" s="41" t="s">
        <v>191</v>
      </c>
      <c r="E1089" s="68" t="str">
        <f>_xlfn.XLOOKUP(tblMovimientos[[#This Row],[Cuenta Bancaria]],Listas!$B:$B,Listas!$C:$C,"")</f>
        <v>Bank of America</v>
      </c>
      <c r="F1089" s="41" t="s">
        <v>10</v>
      </c>
      <c r="G1089" s="41" t="s">
        <v>38</v>
      </c>
      <c r="H1089" s="46" t="str">
        <f>IFERROR(_xlfn.XLOOKUP(G1089,Listas!E:E,Listas!F:F,""),"")</f>
        <v>Operativo</v>
      </c>
      <c r="I1089" s="46" t="str">
        <f>IFERROR(_xlfn.XLOOKUP(G1089,Listas!E:E,Listas!G:G,""),"")</f>
        <v>Externo</v>
      </c>
      <c r="J1089" s="43">
        <v>660</v>
      </c>
      <c r="K1089" s="5">
        <f t="shared" si="16"/>
        <v>-660</v>
      </c>
      <c r="L1089" s="15" t="s">
        <v>133</v>
      </c>
      <c r="M1089" s="44">
        <f>SUMIFS('Saldos Iniciales'!$D:$D,'Saldos Iniciales'!$A:$A,C1089,'Saldos Iniciales'!$B:$B,D1089)+SUMIFS($K$1:$K$1324,$C$1:$C$1324,C1089,$D$1:$D$1324,D1089,$B$1:$B$1324,"&lt;="&amp;B1089)</f>
        <v>203099.46</v>
      </c>
      <c r="N1089" s="61" t="str">
        <f>IF(tblMovimientos[[#This Row],[Tipo de Movimiento]]="Ingreso",tblMovimientos[[#This Row],[Monto (S/)]],"0")</f>
        <v>0</v>
      </c>
      <c r="O1089" s="61">
        <f>IF(tblMovimientos[[#This Row],[Tipo de Movimiento]]="Egreso",tblMovimientos[[#This Row],[Monto (S/)]],"0")</f>
        <v>660</v>
      </c>
      <c r="P1089" s="28">
        <f>IF(tblMovimientos[[#This Row],[Tipo de Movimiento]]="Ingreso",tblMovimientos[[#This Row],[Ingreso]],-tblMovimientos[[#This Row],[Egreso]])</f>
        <v>-660</v>
      </c>
      <c r="Q1089" s="78" t="str">
        <f>_xlfn.XLOOKUP(tblMovimientos[[#This Row],[Cuenta Bancaria]],Cuentas!$C:$C,Cuentas!$A:$A,"")&amp;""</f>
        <v>Estate</v>
      </c>
      <c r="R1089" s="78" t="str">
        <f>_xlfn.XLOOKUP(tblMovimientos[[#This Row],[Cuenta Bancaria]],Cuentas!$C:$C,Cuentas!$B:$B,"",0,-1)&amp;""</f>
        <v/>
      </c>
    </row>
    <row r="1090" spans="1:18" x14ac:dyDescent="0.3">
      <c r="B1090" s="39">
        <v>46287</v>
      </c>
      <c r="C1090" s="4" t="str">
        <f>_xlfn.XLOOKUP(tblMovimientos[[#This Row],[Cuenta Bancaria]],Listas!$B:$B,Listas!$A:$A,"")</f>
        <v>Nobe Aparments</v>
      </c>
      <c r="D1090" s="41" t="s">
        <v>191</v>
      </c>
      <c r="E1090" s="68" t="str">
        <f>_xlfn.XLOOKUP(tblMovimientos[[#This Row],[Cuenta Bancaria]],Listas!$B:$B,Listas!$C:$C,"")</f>
        <v>Bank of America</v>
      </c>
      <c r="F1090" s="41" t="s">
        <v>10</v>
      </c>
      <c r="G1090" s="41" t="s">
        <v>38</v>
      </c>
      <c r="H1090" s="4" t="str">
        <f>IFERROR(_xlfn.XLOOKUP(G1090,Listas!E:E,Listas!F:F,""),"")</f>
        <v>Operativo</v>
      </c>
      <c r="I1090" s="46" t="str">
        <f>IFERROR(_xlfn.XLOOKUP(G1090,Listas!E:E,Listas!G:G,""),"")</f>
        <v>Externo</v>
      </c>
      <c r="J1090" s="43">
        <v>2285</v>
      </c>
      <c r="K1090" s="5">
        <f t="shared" ref="K1090:K1153" si="17">IF(F1090="Ingreso",J1090,-J1090)</f>
        <v>-2285</v>
      </c>
      <c r="L1090" s="15" t="s">
        <v>133</v>
      </c>
      <c r="M1090" s="44">
        <f>SUMIFS('Saldos Iniciales'!$D:$D,'Saldos Iniciales'!$A:$A,C1090,'Saldos Iniciales'!$B:$B,D1090)+SUMIFS($K$1:$K$1324,$C$1:$C$1324,C1090,$D$1:$D$1324,D1090,$B$1:$B$1324,"&lt;="&amp;B1090)</f>
        <v>203099.46</v>
      </c>
      <c r="N1090" s="61" t="str">
        <f>IF(tblMovimientos[[#This Row],[Tipo de Movimiento]]="Ingreso",tblMovimientos[[#This Row],[Monto (S/)]],"0")</f>
        <v>0</v>
      </c>
      <c r="O1090" s="61">
        <f>IF(tblMovimientos[[#This Row],[Tipo de Movimiento]]="Egreso",tblMovimientos[[#This Row],[Monto (S/)]],"0")</f>
        <v>2285</v>
      </c>
      <c r="P1090" s="28">
        <f>IF(tblMovimientos[[#This Row],[Tipo de Movimiento]]="Ingreso",tblMovimientos[[#This Row],[Ingreso]],-tblMovimientos[[#This Row],[Egreso]])</f>
        <v>-2285</v>
      </c>
      <c r="Q1090" s="78" t="str">
        <f>_xlfn.XLOOKUP(tblMovimientos[[#This Row],[Cuenta Bancaria]],Cuentas!$C:$C,Cuentas!$A:$A,"")&amp;""</f>
        <v>Estate</v>
      </c>
      <c r="R1090" s="78" t="str">
        <f>_xlfn.XLOOKUP(tblMovimientos[[#This Row],[Cuenta Bancaria]],Cuentas!$C:$C,Cuentas!$B:$B,"",0,-1)&amp;""</f>
        <v/>
      </c>
    </row>
    <row r="1091" spans="1:18" x14ac:dyDescent="0.3">
      <c r="B1091" s="39">
        <v>46288</v>
      </c>
      <c r="C1091" s="4" t="str">
        <f>_xlfn.XLOOKUP(tblMovimientos[[#This Row],[Cuenta Bancaria]],Listas!$B:$B,Listas!$A:$A,"")</f>
        <v>Nobe Aparments</v>
      </c>
      <c r="D1091" s="41" t="s">
        <v>191</v>
      </c>
      <c r="E1091" s="68" t="str">
        <f>_xlfn.XLOOKUP(tblMovimientos[[#This Row],[Cuenta Bancaria]],Listas!$B:$B,Listas!$C:$C,"")</f>
        <v>Bank of America</v>
      </c>
      <c r="F1091" s="41" t="s">
        <v>9</v>
      </c>
      <c r="G1091" s="41" t="s">
        <v>81</v>
      </c>
      <c r="H1091" s="4" t="str">
        <f>IFERROR(_xlfn.XLOOKUP(G1091,Listas!E:E,Listas!F:F,""),"")</f>
        <v>Operativo</v>
      </c>
      <c r="I1091" s="46" t="str">
        <f>IFERROR(_xlfn.XLOOKUP(G1091,Listas!E:E,Listas!G:G,""),"")</f>
        <v>Externo</v>
      </c>
      <c r="J1091" s="43">
        <v>1905</v>
      </c>
      <c r="K1091" s="5">
        <f t="shared" si="17"/>
        <v>1905</v>
      </c>
      <c r="L1091" s="15" t="s">
        <v>133</v>
      </c>
      <c r="M1091" s="44">
        <f>SUMIFS('Saldos Iniciales'!$D:$D,'Saldos Iniciales'!$A:$A,C1091,'Saldos Iniciales'!$B:$B,D1091)+SUMIFS($K$1:$K$1324,$C$1:$C$1324,C1091,$D$1:$D$1324,D1091,$B$1:$B$1324,"&lt;="&amp;B1091)</f>
        <v>204999.46</v>
      </c>
      <c r="N1091" s="61">
        <f>IF(tblMovimientos[[#This Row],[Tipo de Movimiento]]="Ingreso",tblMovimientos[[#This Row],[Monto (S/)]],"0")</f>
        <v>1905</v>
      </c>
      <c r="O1091" s="61" t="str">
        <f>IF(tblMovimientos[[#This Row],[Tipo de Movimiento]]="Egreso",tblMovimientos[[#This Row],[Monto (S/)]],"0")</f>
        <v>0</v>
      </c>
      <c r="P1091" s="28">
        <f>IF(tblMovimientos[[#This Row],[Tipo de Movimiento]]="Ingreso",tblMovimientos[[#This Row],[Ingreso]],-tblMovimientos[[#This Row],[Egreso]])</f>
        <v>1905</v>
      </c>
      <c r="Q1091" s="78" t="str">
        <f>_xlfn.XLOOKUP(tblMovimientos[[#This Row],[Cuenta Bancaria]],Cuentas!$C:$C,Cuentas!$A:$A,"")&amp;""</f>
        <v>Estate</v>
      </c>
      <c r="R1091" s="78" t="str">
        <f>_xlfn.XLOOKUP(tblMovimientos[[#This Row],[Cuenta Bancaria]],Cuentas!$C:$C,Cuentas!$B:$B,"",0,-1)&amp;""</f>
        <v/>
      </c>
    </row>
    <row r="1092" spans="1:18" x14ac:dyDescent="0.3">
      <c r="A1092" s="45"/>
      <c r="B1092" s="39">
        <v>46288</v>
      </c>
      <c r="C1092" s="4" t="str">
        <f>_xlfn.XLOOKUP(tblMovimientos[[#This Row],[Cuenta Bancaria]],Listas!$B:$B,Listas!$A:$A,"")</f>
        <v>Nobe Aparments</v>
      </c>
      <c r="D1092" s="41" t="s">
        <v>191</v>
      </c>
      <c r="E1092" s="68" t="str">
        <f>_xlfn.XLOOKUP(tblMovimientos[[#This Row],[Cuenta Bancaria]],Listas!$B:$B,Listas!$C:$C,"")</f>
        <v>Bank of America</v>
      </c>
      <c r="F1092" s="41" t="s">
        <v>10</v>
      </c>
      <c r="G1092" s="41" t="s">
        <v>44</v>
      </c>
      <c r="H1092" s="46" t="str">
        <f>IFERROR(_xlfn.XLOOKUP(G1092,Listas!E:E,Listas!F:F,""),"")</f>
        <v>Operativo</v>
      </c>
      <c r="I1092" s="46" t="str">
        <f>IFERROR(_xlfn.XLOOKUP(G1092,Listas!E:E,Listas!G:G,""),"")</f>
        <v>Externo</v>
      </c>
      <c r="J1092" s="43">
        <v>5</v>
      </c>
      <c r="K1092" s="5">
        <f t="shared" si="17"/>
        <v>-5</v>
      </c>
      <c r="L1092" s="15" t="s">
        <v>133</v>
      </c>
      <c r="M1092" s="44">
        <f>SUMIFS('Saldos Iniciales'!$D:$D,'Saldos Iniciales'!$A:$A,C1092,'Saldos Iniciales'!$B:$B,D1092)+SUMIFS($K$1:$K$1324,$C$1:$C$1324,C1092,$D$1:$D$1324,D1092,$B$1:$B$1324,"&lt;="&amp;B1092)</f>
        <v>204999.46</v>
      </c>
      <c r="N1092" s="61" t="str">
        <f>IF(tblMovimientos[[#This Row],[Tipo de Movimiento]]="Ingreso",tblMovimientos[[#This Row],[Monto (S/)]],"0")</f>
        <v>0</v>
      </c>
      <c r="O1092" s="61">
        <f>IF(tblMovimientos[[#This Row],[Tipo de Movimiento]]="Egreso",tblMovimientos[[#This Row],[Monto (S/)]],"0")</f>
        <v>5</v>
      </c>
      <c r="P1092" s="28">
        <f>IF(tblMovimientos[[#This Row],[Tipo de Movimiento]]="Ingreso",tblMovimientos[[#This Row],[Ingreso]],-tblMovimientos[[#This Row],[Egreso]])</f>
        <v>-5</v>
      </c>
      <c r="Q1092" s="78" t="str">
        <f>_xlfn.XLOOKUP(tblMovimientos[[#This Row],[Cuenta Bancaria]],Cuentas!$C:$C,Cuentas!$A:$A,"")&amp;""</f>
        <v>Estate</v>
      </c>
      <c r="R1092" s="78" t="str">
        <f>_xlfn.XLOOKUP(tblMovimientos[[#This Row],[Cuenta Bancaria]],Cuentas!$C:$C,Cuentas!$B:$B,"",0,-1)&amp;""</f>
        <v/>
      </c>
    </row>
    <row r="1093" spans="1:18" x14ac:dyDescent="0.3">
      <c r="B1093" s="39">
        <v>46289</v>
      </c>
      <c r="C1093" s="4" t="str">
        <f>_xlfn.XLOOKUP(tblMovimientos[[#This Row],[Cuenta Bancaria]],Listas!$B:$B,Listas!$A:$A,"")</f>
        <v>Prendamas SRL</v>
      </c>
      <c r="D1093" s="41" t="s">
        <v>186</v>
      </c>
      <c r="E1093" s="68" t="str">
        <f>_xlfn.XLOOKUP(tblMovimientos[[#This Row],[Cuenta Bancaria]],Listas!$B:$B,Listas!$C:$C,"")</f>
        <v xml:space="preserve">Amerant Bank </v>
      </c>
      <c r="F1093" s="41" t="s">
        <v>10</v>
      </c>
      <c r="G1093" s="41" t="s">
        <v>38</v>
      </c>
      <c r="H1093" s="4" t="str">
        <f>IFERROR(_xlfn.XLOOKUP(G1093,Listas!E:E,Listas!F:F,""),"")</f>
        <v>Operativo</v>
      </c>
      <c r="I1093" s="46" t="str">
        <f>IFERROR(_xlfn.XLOOKUP(G1093,Listas!E:E,Listas!G:G,""),"")</f>
        <v>Externo</v>
      </c>
      <c r="J1093" s="43">
        <v>498.51</v>
      </c>
      <c r="K1093" s="5">
        <f t="shared" si="17"/>
        <v>-498.51</v>
      </c>
      <c r="L1093" s="15" t="s">
        <v>133</v>
      </c>
      <c r="M1093" s="44">
        <f>SUMIFS('Saldos Iniciales'!$D:$D,'Saldos Iniciales'!$A:$A,C1093,'Saldos Iniciales'!$B:$B,D1093)+SUMIFS($K$1:$K$1324,$C$1:$C$1324,C1093,$D$1:$D$1324,D1093,$B$1:$B$1324,"&lt;="&amp;B1093)</f>
        <v>24430.749999999971</v>
      </c>
      <c r="N1093" s="61" t="str">
        <f>IF(tblMovimientos[[#This Row],[Tipo de Movimiento]]="Ingreso",tblMovimientos[[#This Row],[Monto (S/)]],"0")</f>
        <v>0</v>
      </c>
      <c r="O1093" s="61">
        <f>IF(tblMovimientos[[#This Row],[Tipo de Movimiento]]="Egreso",tblMovimientos[[#This Row],[Monto (S/)]],"0")</f>
        <v>498.51</v>
      </c>
      <c r="P1093" s="28">
        <f>IF(tblMovimientos[[#This Row],[Tipo de Movimiento]]="Ingreso",tblMovimientos[[#This Row],[Ingreso]],-tblMovimientos[[#This Row],[Egreso]])</f>
        <v>-498.51</v>
      </c>
      <c r="Q1093" s="78" t="str">
        <f>_xlfn.XLOOKUP(tblMovimientos[[#This Row],[Cuenta Bancaria]],Cuentas!$C:$C,Cuentas!$A:$A,"")&amp;""</f>
        <v>Unidades de Negocio</v>
      </c>
      <c r="R1093" s="78" t="str">
        <f>_xlfn.XLOOKUP(tblMovimientos[[#This Row],[Cuenta Bancaria]],Cuentas!$C:$C,Cuentas!$B:$B,"",0,-1)&amp;""</f>
        <v/>
      </c>
    </row>
    <row r="1094" spans="1:18" x14ac:dyDescent="0.3">
      <c r="A1094" s="45"/>
      <c r="B1094" s="39">
        <v>46289</v>
      </c>
      <c r="C1094" s="4" t="str">
        <f>_xlfn.XLOOKUP(tblMovimientos[[#This Row],[Cuenta Bancaria]],Listas!$B:$B,Listas!$A:$A,"")</f>
        <v>Prendamas SRL</v>
      </c>
      <c r="D1094" s="41" t="s">
        <v>186</v>
      </c>
      <c r="E1094" s="68" t="str">
        <f>_xlfn.XLOOKUP(tblMovimientos[[#This Row],[Cuenta Bancaria]],Listas!$B:$B,Listas!$C:$C,"")</f>
        <v xml:space="preserve">Amerant Bank </v>
      </c>
      <c r="F1094" s="41" t="s">
        <v>10</v>
      </c>
      <c r="G1094" s="41" t="s">
        <v>38</v>
      </c>
      <c r="H1094" s="46" t="str">
        <f>IFERROR(_xlfn.XLOOKUP(G1094,Listas!E:E,Listas!F:F,""),"")</f>
        <v>Operativo</v>
      </c>
      <c r="I1094" s="46" t="str">
        <f>IFERROR(_xlfn.XLOOKUP(G1094,Listas!E:E,Listas!G:G,""),"")</f>
        <v>Externo</v>
      </c>
      <c r="J1094" s="43">
        <v>14.96</v>
      </c>
      <c r="K1094" s="5">
        <f t="shared" si="17"/>
        <v>-14.96</v>
      </c>
      <c r="L1094" s="15" t="s">
        <v>133</v>
      </c>
      <c r="M1094" s="44">
        <f>SUMIFS('Saldos Iniciales'!$D:$D,'Saldos Iniciales'!$A:$A,C1094,'Saldos Iniciales'!$B:$B,D1094)+SUMIFS($K$1:$K$1324,$C$1:$C$1324,C1094,$D$1:$D$1324,D1094,$B$1:$B$1324,"&lt;="&amp;B1094)</f>
        <v>24430.749999999971</v>
      </c>
      <c r="N1094" s="61" t="str">
        <f>IF(tblMovimientos[[#This Row],[Tipo de Movimiento]]="Ingreso",tblMovimientos[[#This Row],[Monto (S/)]],"0")</f>
        <v>0</v>
      </c>
      <c r="O1094" s="61">
        <f>IF(tblMovimientos[[#This Row],[Tipo de Movimiento]]="Egreso",tblMovimientos[[#This Row],[Monto (S/)]],"0")</f>
        <v>14.96</v>
      </c>
      <c r="P1094" s="28">
        <f>IF(tblMovimientos[[#This Row],[Tipo de Movimiento]]="Ingreso",tblMovimientos[[#This Row],[Ingreso]],-tblMovimientos[[#This Row],[Egreso]])</f>
        <v>-14.96</v>
      </c>
      <c r="Q1094" s="78" t="str">
        <f>_xlfn.XLOOKUP(tblMovimientos[[#This Row],[Cuenta Bancaria]],Cuentas!$C:$C,Cuentas!$A:$A,"")&amp;""</f>
        <v>Unidades de Negocio</v>
      </c>
      <c r="R1094" s="78" t="str">
        <f>_xlfn.XLOOKUP(tblMovimientos[[#This Row],[Cuenta Bancaria]],Cuentas!$C:$C,Cuentas!$B:$B,"",0,-1)&amp;""</f>
        <v/>
      </c>
    </row>
    <row r="1095" spans="1:18" x14ac:dyDescent="0.3">
      <c r="B1095" s="39">
        <v>46290</v>
      </c>
      <c r="C1095" s="4" t="str">
        <f>_xlfn.XLOOKUP(tblMovimientos[[#This Row],[Cuenta Bancaria]],Listas!$B:$B,Listas!$A:$A,"")</f>
        <v>A&amp;M Imports</v>
      </c>
      <c r="D1095" s="41" t="s">
        <v>100</v>
      </c>
      <c r="E1095" s="68" t="str">
        <f>_xlfn.XLOOKUP(tblMovimientos[[#This Row],[Cuenta Bancaria]],Listas!$B:$B,Listas!$C:$C,"")</f>
        <v>Bank of America</v>
      </c>
      <c r="F1095" s="41" t="s">
        <v>10</v>
      </c>
      <c r="G1095" s="41" t="s">
        <v>61</v>
      </c>
      <c r="H1095" s="4" t="str">
        <f>IFERROR(_xlfn.XLOOKUP(G1095,Listas!E:E,Listas!F:F,""),"")</f>
        <v>Operativo</v>
      </c>
      <c r="I1095" s="46" t="str">
        <f>IFERROR(_xlfn.XLOOKUP(G1095,Listas!E:E,Listas!G:G,""),"")</f>
        <v>Externo</v>
      </c>
      <c r="J1095" s="43">
        <v>60000</v>
      </c>
      <c r="K1095" s="5">
        <f t="shared" si="17"/>
        <v>-60000</v>
      </c>
      <c r="L1095" s="15" t="s">
        <v>133</v>
      </c>
      <c r="M1095" s="44">
        <f>SUMIFS('Saldos Iniciales'!$D:$D,'Saldos Iniciales'!$A:$A,C1095,'Saldos Iniciales'!$B:$B,D1095)+SUMIFS($K$1:$K$1324,$C$1:$C$1324,C1095,$D$1:$D$1324,D1095,$B$1:$B$1324,"&lt;="&amp;B1095)</f>
        <v>1313603.3599999999</v>
      </c>
      <c r="N1095" s="61" t="str">
        <f>IF(tblMovimientos[[#This Row],[Tipo de Movimiento]]="Ingreso",tblMovimientos[[#This Row],[Monto (S/)]],"0")</f>
        <v>0</v>
      </c>
      <c r="O1095" s="61">
        <f>IF(tblMovimientos[[#This Row],[Tipo de Movimiento]]="Egreso",tblMovimientos[[#This Row],[Monto (S/)]],"0")</f>
        <v>60000</v>
      </c>
      <c r="P1095" s="28">
        <f>IF(tblMovimientos[[#This Row],[Tipo de Movimiento]]="Ingreso",tblMovimientos[[#This Row],[Ingreso]],-tblMovimientos[[#This Row],[Egreso]])</f>
        <v>-60000</v>
      </c>
      <c r="Q1095" s="78" t="str">
        <f>_xlfn.XLOOKUP(tblMovimientos[[#This Row],[Cuenta Bancaria]],Cuentas!$C:$C,Cuentas!$A:$A,"")&amp;""</f>
        <v>SSP Group</v>
      </c>
      <c r="R1095" s="78" t="str">
        <f>_xlfn.XLOOKUP(tblMovimientos[[#This Row],[Cuenta Bancaria]],Cuentas!$C:$C,Cuentas!$B:$B,"",0,-1)&amp;""</f>
        <v/>
      </c>
    </row>
    <row r="1096" spans="1:18" x14ac:dyDescent="0.3">
      <c r="B1096" s="39">
        <v>46290</v>
      </c>
      <c r="C1096" s="4" t="str">
        <f>_xlfn.XLOOKUP(tblMovimientos[[#This Row],[Cuenta Bancaria]],Listas!$B:$B,Listas!$A:$A,"")</f>
        <v>A&amp;M Imports</v>
      </c>
      <c r="D1096" s="41" t="s">
        <v>100</v>
      </c>
      <c r="E1096" s="68" t="str">
        <f>_xlfn.XLOOKUP(tblMovimientos[[#This Row],[Cuenta Bancaria]],Listas!$B:$B,Listas!$C:$C,"")</f>
        <v>Bank of America</v>
      </c>
      <c r="F1096" s="41" t="s">
        <v>10</v>
      </c>
      <c r="G1096" s="41" t="s">
        <v>61</v>
      </c>
      <c r="H1096" s="4" t="str">
        <f>IFERROR(_xlfn.XLOOKUP(G1096,Listas!E:E,Listas!F:F,""),"")</f>
        <v>Operativo</v>
      </c>
      <c r="I1096" s="46" t="str">
        <f>IFERROR(_xlfn.XLOOKUP(G1096,Listas!E:E,Listas!G:G,""),"")</f>
        <v>Externo</v>
      </c>
      <c r="J1096" s="43">
        <v>80000</v>
      </c>
      <c r="K1096" s="5">
        <f t="shared" si="17"/>
        <v>-80000</v>
      </c>
      <c r="L1096" s="15" t="s">
        <v>133</v>
      </c>
      <c r="M1096" s="44">
        <f>SUMIFS('Saldos Iniciales'!$D:$D,'Saldos Iniciales'!$A:$A,C1096,'Saldos Iniciales'!$B:$B,D1096)+SUMIFS($K$1:$K$1324,$C$1:$C$1324,C1096,$D$1:$D$1324,D1096,$B$1:$B$1324,"&lt;="&amp;B1096)</f>
        <v>1313603.3599999999</v>
      </c>
      <c r="N1096" s="61" t="str">
        <f>IF(tblMovimientos[[#This Row],[Tipo de Movimiento]]="Ingreso",tblMovimientos[[#This Row],[Monto (S/)]],"0")</f>
        <v>0</v>
      </c>
      <c r="O1096" s="61">
        <f>IF(tblMovimientos[[#This Row],[Tipo de Movimiento]]="Egreso",tblMovimientos[[#This Row],[Monto (S/)]],"0")</f>
        <v>80000</v>
      </c>
      <c r="P1096" s="28">
        <f>IF(tblMovimientos[[#This Row],[Tipo de Movimiento]]="Ingreso",tblMovimientos[[#This Row],[Ingreso]],-tblMovimientos[[#This Row],[Egreso]])</f>
        <v>-80000</v>
      </c>
      <c r="Q1096" s="78" t="str">
        <f>_xlfn.XLOOKUP(tblMovimientos[[#This Row],[Cuenta Bancaria]],Cuentas!$C:$C,Cuentas!$A:$A,"")&amp;""</f>
        <v>SSP Group</v>
      </c>
      <c r="R1096" s="78" t="str">
        <f>_xlfn.XLOOKUP(tblMovimientos[[#This Row],[Cuenta Bancaria]],Cuentas!$C:$C,Cuentas!$B:$B,"",0,-1)&amp;""</f>
        <v/>
      </c>
    </row>
    <row r="1097" spans="1:18" x14ac:dyDescent="0.3">
      <c r="B1097" s="39">
        <v>46290</v>
      </c>
      <c r="C1097" s="4" t="str">
        <f>_xlfn.XLOOKUP(tblMovimientos[[#This Row],[Cuenta Bancaria]],Listas!$B:$B,Listas!$A:$A,"")</f>
        <v>112 Florida Ave</v>
      </c>
      <c r="D1097" s="41" t="s">
        <v>123</v>
      </c>
      <c r="E1097" s="68" t="str">
        <f>_xlfn.XLOOKUP(tblMovimientos[[#This Row],[Cuenta Bancaria]],Listas!$B:$B,Listas!$C:$C,"")</f>
        <v>Bank of America</v>
      </c>
      <c r="F1097" s="41" t="s">
        <v>9</v>
      </c>
      <c r="G1097" s="41" t="s">
        <v>71</v>
      </c>
      <c r="H1097" s="4" t="str">
        <f>IFERROR(_xlfn.XLOOKUP(G1097,Listas!E:E,Listas!F:F,""),"")</f>
        <v>Operativo</v>
      </c>
      <c r="I1097" s="46" t="str">
        <f>IFERROR(_xlfn.XLOOKUP(G1097,Listas!E:E,Listas!G:G,""),"")</f>
        <v>Interno</v>
      </c>
      <c r="J1097" s="43">
        <v>8227.09</v>
      </c>
      <c r="K1097" s="5">
        <f t="shared" si="17"/>
        <v>8227.09</v>
      </c>
      <c r="L1097" s="15" t="s">
        <v>133</v>
      </c>
      <c r="M1097" s="44">
        <f>SUMIFS('Saldos Iniciales'!$D:$D,'Saldos Iniciales'!$A:$A,C1097,'Saldos Iniciales'!$B:$B,D1097)+SUMIFS($K$1:$K$1324,$C$1:$C$1324,C1097,$D$1:$D$1324,D1097,$B$1:$B$1324,"&lt;="&amp;B1097)</f>
        <v>23389.690000000006</v>
      </c>
      <c r="N1097" s="61">
        <f>IF(tblMovimientos[[#This Row],[Tipo de Movimiento]]="Ingreso",tblMovimientos[[#This Row],[Monto (S/)]],"0")</f>
        <v>8227.09</v>
      </c>
      <c r="O1097" s="61" t="str">
        <f>IF(tblMovimientos[[#This Row],[Tipo de Movimiento]]="Egreso",tblMovimientos[[#This Row],[Monto (S/)]],"0")</f>
        <v>0</v>
      </c>
      <c r="P1097" s="28">
        <f>IF(tblMovimientos[[#This Row],[Tipo de Movimiento]]="Ingreso",tblMovimientos[[#This Row],[Ingreso]],-tblMovimientos[[#This Row],[Egreso]])</f>
        <v>8227.09</v>
      </c>
      <c r="Q1097" s="78" t="str">
        <f>_xlfn.XLOOKUP(tblMovimientos[[#This Row],[Cuenta Bancaria]],Cuentas!$C:$C,Cuentas!$A:$A,"")&amp;""</f>
        <v>SSP Group</v>
      </c>
      <c r="R1097" s="78" t="str">
        <f>_xlfn.XLOOKUP(tblMovimientos[[#This Row],[Cuenta Bancaria]],Cuentas!$C:$C,Cuentas!$B:$B,"",0,-1)&amp;""</f>
        <v/>
      </c>
    </row>
    <row r="1098" spans="1:18" x14ac:dyDescent="0.3">
      <c r="A1098" s="45"/>
      <c r="B1098" s="39">
        <v>46290</v>
      </c>
      <c r="C1098" s="4" t="str">
        <f>_xlfn.XLOOKUP(tblMovimientos[[#This Row],[Cuenta Bancaria]],Listas!$B:$B,Listas!$A:$A,"")</f>
        <v>3628 Thomas Ave</v>
      </c>
      <c r="D1098" s="41" t="s">
        <v>124</v>
      </c>
      <c r="E1098" s="68" t="str">
        <f>_xlfn.XLOOKUP(tblMovimientos[[#This Row],[Cuenta Bancaria]],Listas!$B:$B,Listas!$C:$C,"")</f>
        <v>Bank of America</v>
      </c>
      <c r="F1098" s="41" t="s">
        <v>9</v>
      </c>
      <c r="G1098" s="41" t="s">
        <v>71</v>
      </c>
      <c r="H1098" s="46" t="str">
        <f>IFERROR(_xlfn.XLOOKUP(G1098,Listas!E:E,Listas!F:F,""),"")</f>
        <v>Operativo</v>
      </c>
      <c r="I1098" s="46" t="str">
        <f>IFERROR(_xlfn.XLOOKUP(G1098,Listas!E:E,Listas!G:G,""),"")</f>
        <v>Interno</v>
      </c>
      <c r="J1098" s="43">
        <v>3958.2</v>
      </c>
      <c r="K1098" s="5">
        <f t="shared" si="17"/>
        <v>3958.2</v>
      </c>
      <c r="L1098" s="15" t="s">
        <v>133</v>
      </c>
      <c r="M1098" s="44">
        <f>SUMIFS('Saldos Iniciales'!$D:$D,'Saldos Iniciales'!$A:$A,C1098,'Saldos Iniciales'!$B:$B,D1098)+SUMIFS($K$1:$K$1324,$C$1:$C$1324,C1098,$D$1:$D$1324,D1098,$B$1:$B$1324,"&lt;="&amp;B1098)</f>
        <v>16896.059999999998</v>
      </c>
      <c r="N1098" s="61">
        <f>IF(tblMovimientos[[#This Row],[Tipo de Movimiento]]="Ingreso",tblMovimientos[[#This Row],[Monto (S/)]],"0")</f>
        <v>3958.2</v>
      </c>
      <c r="O1098" s="61" t="str">
        <f>IF(tblMovimientos[[#This Row],[Tipo de Movimiento]]="Egreso",tblMovimientos[[#This Row],[Monto (S/)]],"0")</f>
        <v>0</v>
      </c>
      <c r="P1098" s="28">
        <f>IF(tblMovimientos[[#This Row],[Tipo de Movimiento]]="Ingreso",tblMovimientos[[#This Row],[Ingreso]],-tblMovimientos[[#This Row],[Egreso]])</f>
        <v>3958.2</v>
      </c>
      <c r="Q1098" s="78" t="str">
        <f>_xlfn.XLOOKUP(tblMovimientos[[#This Row],[Cuenta Bancaria]],Cuentas!$C:$C,Cuentas!$A:$A,"")&amp;""</f>
        <v>SSP Group</v>
      </c>
      <c r="R1098" s="78" t="str">
        <f>_xlfn.XLOOKUP(tblMovimientos[[#This Row],[Cuenta Bancaria]],Cuentas!$C:$C,Cuentas!$B:$B,"",0,-1)&amp;""</f>
        <v/>
      </c>
    </row>
    <row r="1099" spans="1:18" x14ac:dyDescent="0.3">
      <c r="B1099" s="39">
        <v>46290</v>
      </c>
      <c r="C1099" s="4" t="str">
        <f>_xlfn.XLOOKUP(tblMovimientos[[#This Row],[Cuenta Bancaria]],Listas!$B:$B,Listas!$A:$A,"")</f>
        <v>CFT Group</v>
      </c>
      <c r="D1099" s="41" t="s">
        <v>95</v>
      </c>
      <c r="E1099" s="68" t="str">
        <f>_xlfn.XLOOKUP(tblMovimientos[[#This Row],[Cuenta Bancaria]],Listas!$B:$B,Listas!$C:$C,"")</f>
        <v xml:space="preserve">Amerant Bank </v>
      </c>
      <c r="F1099" s="41" t="s">
        <v>10</v>
      </c>
      <c r="G1099" s="41" t="s">
        <v>46</v>
      </c>
      <c r="H1099" s="4" t="str">
        <f>IFERROR(_xlfn.XLOOKUP(G1099,Listas!E:E,Listas!F:F,""),"")</f>
        <v>Financiamiento</v>
      </c>
      <c r="I1099" s="46" t="str">
        <f>IFERROR(_xlfn.XLOOKUP(G1099,Listas!E:E,Listas!G:G,""),"")</f>
        <v>Externo</v>
      </c>
      <c r="J1099" s="43">
        <v>1108.79</v>
      </c>
      <c r="K1099" s="5">
        <f t="shared" si="17"/>
        <v>-1108.79</v>
      </c>
      <c r="L1099" s="15" t="s">
        <v>133</v>
      </c>
      <c r="M1099" s="44">
        <f>SUMIFS('Saldos Iniciales'!$D:$D,'Saldos Iniciales'!$A:$A,C1099,'Saldos Iniciales'!$B:$B,D1099)+SUMIFS($K$1:$K$1324,$C$1:$C$1324,C1099,$D$1:$D$1324,D1099,$B$1:$B$1324,"&lt;="&amp;B1099)</f>
        <v>1458385.7100000009</v>
      </c>
      <c r="N1099" s="61" t="str">
        <f>IF(tblMovimientos[[#This Row],[Tipo de Movimiento]]="Ingreso",tblMovimientos[[#This Row],[Monto (S/)]],"0")</f>
        <v>0</v>
      </c>
      <c r="O1099" s="61">
        <f>IF(tblMovimientos[[#This Row],[Tipo de Movimiento]]="Egreso",tblMovimientos[[#This Row],[Monto (S/)]],"0")</f>
        <v>1108.79</v>
      </c>
      <c r="P1099" s="28">
        <f>IF(tblMovimientos[[#This Row],[Tipo de Movimiento]]="Ingreso",tblMovimientos[[#This Row],[Ingreso]],-tblMovimientos[[#This Row],[Egreso]])</f>
        <v>-1108.79</v>
      </c>
      <c r="Q1099" s="78" t="str">
        <f>_xlfn.XLOOKUP(tblMovimientos[[#This Row],[Cuenta Bancaria]],Cuentas!$C:$C,Cuentas!$A:$A,"")&amp;""</f>
        <v>SSP Group</v>
      </c>
      <c r="R1099" s="78" t="str">
        <f>_xlfn.XLOOKUP(tblMovimientos[[#This Row],[Cuenta Bancaria]],Cuentas!$C:$C,Cuentas!$B:$B,"",0,-1)&amp;""</f>
        <v/>
      </c>
    </row>
    <row r="1100" spans="1:18" x14ac:dyDescent="0.3">
      <c r="A1100" s="45"/>
      <c r="B1100" s="39">
        <v>46290</v>
      </c>
      <c r="C1100" s="4" t="str">
        <f>_xlfn.XLOOKUP(tblMovimientos[[#This Row],[Cuenta Bancaria]],Listas!$B:$B,Listas!$A:$A,"")</f>
        <v>CFT Group</v>
      </c>
      <c r="D1100" s="41" t="s">
        <v>95</v>
      </c>
      <c r="E1100" s="68" t="str">
        <f>_xlfn.XLOOKUP(tblMovimientos[[#This Row],[Cuenta Bancaria]],Listas!$B:$B,Listas!$C:$C,"")</f>
        <v xml:space="preserve">Amerant Bank </v>
      </c>
      <c r="F1100" s="41" t="s">
        <v>10</v>
      </c>
      <c r="G1100" s="41" t="s">
        <v>46</v>
      </c>
      <c r="H1100" s="46" t="str">
        <f>IFERROR(_xlfn.XLOOKUP(G1100,Listas!E:E,Listas!F:F,""),"")</f>
        <v>Financiamiento</v>
      </c>
      <c r="I1100" s="46" t="str">
        <f>IFERROR(_xlfn.XLOOKUP(G1100,Listas!E:E,Listas!G:G,""),"")</f>
        <v>Externo</v>
      </c>
      <c r="J1100" s="43">
        <v>2366.67</v>
      </c>
      <c r="K1100" s="5">
        <f t="shared" si="17"/>
        <v>-2366.67</v>
      </c>
      <c r="L1100" s="15" t="s">
        <v>133</v>
      </c>
      <c r="M1100" s="44">
        <f>SUMIFS('Saldos Iniciales'!$D:$D,'Saldos Iniciales'!$A:$A,C1100,'Saldos Iniciales'!$B:$B,D1100)+SUMIFS($K$1:$K$1324,$C$1:$C$1324,C1100,$D$1:$D$1324,D1100,$B$1:$B$1324,"&lt;="&amp;B1100)</f>
        <v>1458385.7100000009</v>
      </c>
      <c r="N1100" s="61" t="str">
        <f>IF(tblMovimientos[[#This Row],[Tipo de Movimiento]]="Ingreso",tblMovimientos[[#This Row],[Monto (S/)]],"0")</f>
        <v>0</v>
      </c>
      <c r="O1100" s="61">
        <f>IF(tblMovimientos[[#This Row],[Tipo de Movimiento]]="Egreso",tblMovimientos[[#This Row],[Monto (S/)]],"0")</f>
        <v>2366.67</v>
      </c>
      <c r="P1100" s="28">
        <f>IF(tblMovimientos[[#This Row],[Tipo de Movimiento]]="Ingreso",tblMovimientos[[#This Row],[Ingreso]],-tblMovimientos[[#This Row],[Egreso]])</f>
        <v>-2366.67</v>
      </c>
      <c r="Q1100" s="78" t="str">
        <f>_xlfn.XLOOKUP(tblMovimientos[[#This Row],[Cuenta Bancaria]],Cuentas!$C:$C,Cuentas!$A:$A,"")&amp;""</f>
        <v>SSP Group</v>
      </c>
      <c r="R1100" s="78" t="str">
        <f>_xlfn.XLOOKUP(tblMovimientos[[#This Row],[Cuenta Bancaria]],Cuentas!$C:$C,Cuentas!$B:$B,"",0,-1)&amp;""</f>
        <v/>
      </c>
    </row>
    <row r="1101" spans="1:18" x14ac:dyDescent="0.3">
      <c r="A1101" s="45"/>
      <c r="B1101" s="39">
        <v>46290</v>
      </c>
      <c r="C1101" s="4" t="str">
        <f>_xlfn.XLOOKUP(tblMovimientos[[#This Row],[Cuenta Bancaria]],Listas!$B:$B,Listas!$A:$A,"")</f>
        <v>CFT Group</v>
      </c>
      <c r="D1101" s="41" t="s">
        <v>95</v>
      </c>
      <c r="E1101" s="68" t="str">
        <f>_xlfn.XLOOKUP(tblMovimientos[[#This Row],[Cuenta Bancaria]],Listas!$B:$B,Listas!$C:$C,"")</f>
        <v xml:space="preserve">Amerant Bank </v>
      </c>
      <c r="F1101" s="41" t="s">
        <v>10</v>
      </c>
      <c r="G1101" s="41" t="s">
        <v>50</v>
      </c>
      <c r="H1101" s="46" t="str">
        <f>IFERROR(_xlfn.XLOOKUP(G1101,Listas!E:E,Listas!F:F,""),"")</f>
        <v>Financiamiento</v>
      </c>
      <c r="I1101" s="46" t="str">
        <f>IFERROR(_xlfn.XLOOKUP(G1101,Listas!E:E,Listas!G:G,""),"")</f>
        <v>Externo</v>
      </c>
      <c r="J1101" s="43">
        <v>3958.2</v>
      </c>
      <c r="K1101" s="5">
        <f t="shared" si="17"/>
        <v>-3958.2</v>
      </c>
      <c r="L1101" s="15" t="s">
        <v>133</v>
      </c>
      <c r="M1101" s="44">
        <f>SUMIFS('Saldos Iniciales'!$D:$D,'Saldos Iniciales'!$A:$A,C1101,'Saldos Iniciales'!$B:$B,D1101)+SUMIFS($K$1:$K$1324,$C$1:$C$1324,C1101,$D$1:$D$1324,D1101,$B$1:$B$1324,"&lt;="&amp;B1101)</f>
        <v>1458385.7100000009</v>
      </c>
      <c r="N1101" s="61" t="str">
        <f>IF(tblMovimientos[[#This Row],[Tipo de Movimiento]]="Ingreso",tblMovimientos[[#This Row],[Monto (S/)]],"0")</f>
        <v>0</v>
      </c>
      <c r="O1101" s="61">
        <f>IF(tblMovimientos[[#This Row],[Tipo de Movimiento]]="Egreso",tblMovimientos[[#This Row],[Monto (S/)]],"0")</f>
        <v>3958.2</v>
      </c>
      <c r="P1101" s="28">
        <f>IF(tblMovimientos[[#This Row],[Tipo de Movimiento]]="Ingreso",tblMovimientos[[#This Row],[Ingreso]],-tblMovimientos[[#This Row],[Egreso]])</f>
        <v>-3958.2</v>
      </c>
      <c r="Q1101" s="78" t="str">
        <f>_xlfn.XLOOKUP(tblMovimientos[[#This Row],[Cuenta Bancaria]],Cuentas!$C:$C,Cuentas!$A:$A,"")&amp;""</f>
        <v>SSP Group</v>
      </c>
      <c r="R1101" s="78" t="str">
        <f>_xlfn.XLOOKUP(tblMovimientos[[#This Row],[Cuenta Bancaria]],Cuentas!$C:$C,Cuentas!$B:$B,"",0,-1)&amp;""</f>
        <v/>
      </c>
    </row>
    <row r="1102" spans="1:18" x14ac:dyDescent="0.3">
      <c r="B1102" s="39">
        <v>46290</v>
      </c>
      <c r="C1102" s="4" t="str">
        <f>_xlfn.XLOOKUP(tblMovimientos[[#This Row],[Cuenta Bancaria]],Listas!$B:$B,Listas!$A:$A,"")</f>
        <v>CFT Group</v>
      </c>
      <c r="D1102" s="41" t="s">
        <v>95</v>
      </c>
      <c r="E1102" s="68" t="str">
        <f>_xlfn.XLOOKUP(tblMovimientos[[#This Row],[Cuenta Bancaria]],Listas!$B:$B,Listas!$C:$C,"")</f>
        <v xml:space="preserve">Amerant Bank </v>
      </c>
      <c r="F1102" s="41" t="s">
        <v>10</v>
      </c>
      <c r="G1102" s="41" t="s">
        <v>50</v>
      </c>
      <c r="H1102" s="4" t="str">
        <f>IFERROR(_xlfn.XLOOKUP(G1102,Listas!E:E,Listas!F:F,""),"")</f>
        <v>Financiamiento</v>
      </c>
      <c r="I1102" s="46" t="str">
        <f>IFERROR(_xlfn.XLOOKUP(G1102,Listas!E:E,Listas!G:G,""),"")</f>
        <v>Externo</v>
      </c>
      <c r="J1102" s="43">
        <v>8227.09</v>
      </c>
      <c r="K1102" s="5">
        <f t="shared" si="17"/>
        <v>-8227.09</v>
      </c>
      <c r="L1102" s="15" t="s">
        <v>133</v>
      </c>
      <c r="M1102" s="44">
        <f>SUMIFS('Saldos Iniciales'!$D:$D,'Saldos Iniciales'!$A:$A,C1102,'Saldos Iniciales'!$B:$B,D1102)+SUMIFS($K$1:$K$1324,$C$1:$C$1324,C1102,$D$1:$D$1324,D1102,$B$1:$B$1324,"&lt;="&amp;B1102)</f>
        <v>1458385.7100000009</v>
      </c>
      <c r="N1102" s="61" t="str">
        <f>IF(tblMovimientos[[#This Row],[Tipo de Movimiento]]="Ingreso",tblMovimientos[[#This Row],[Monto (S/)]],"0")</f>
        <v>0</v>
      </c>
      <c r="O1102" s="61">
        <f>IF(tblMovimientos[[#This Row],[Tipo de Movimiento]]="Egreso",tblMovimientos[[#This Row],[Monto (S/)]],"0")</f>
        <v>8227.09</v>
      </c>
      <c r="P1102" s="28">
        <f>IF(tblMovimientos[[#This Row],[Tipo de Movimiento]]="Ingreso",tblMovimientos[[#This Row],[Ingreso]],-tblMovimientos[[#This Row],[Egreso]])</f>
        <v>-8227.09</v>
      </c>
      <c r="Q1102" s="78" t="str">
        <f>_xlfn.XLOOKUP(tblMovimientos[[#This Row],[Cuenta Bancaria]],Cuentas!$C:$C,Cuentas!$A:$A,"")&amp;""</f>
        <v>SSP Group</v>
      </c>
      <c r="R1102" s="78" t="str">
        <f>_xlfn.XLOOKUP(tblMovimientos[[#This Row],[Cuenta Bancaria]],Cuentas!$C:$C,Cuentas!$B:$B,"",0,-1)&amp;""</f>
        <v/>
      </c>
    </row>
    <row r="1103" spans="1:18" x14ac:dyDescent="0.3">
      <c r="A1103" s="45"/>
      <c r="B1103" s="39">
        <v>46290</v>
      </c>
      <c r="C1103" s="4" t="str">
        <f>_xlfn.XLOOKUP(tblMovimientos[[#This Row],[Cuenta Bancaria]],Listas!$B:$B,Listas!$A:$A,"")</f>
        <v>CFT Group</v>
      </c>
      <c r="D1103" s="41" t="s">
        <v>95</v>
      </c>
      <c r="E1103" s="68" t="str">
        <f>_xlfn.XLOOKUP(tblMovimientos[[#This Row],[Cuenta Bancaria]],Listas!$B:$B,Listas!$C:$C,"")</f>
        <v xml:space="preserve">Amerant Bank </v>
      </c>
      <c r="F1103" s="41" t="s">
        <v>10</v>
      </c>
      <c r="G1103" s="41" t="s">
        <v>46</v>
      </c>
      <c r="H1103" s="46" t="str">
        <f>IFERROR(_xlfn.XLOOKUP(G1103,Listas!E:E,Listas!F:F,""),"")</f>
        <v>Financiamiento</v>
      </c>
      <c r="I1103" s="46" t="str">
        <f>IFERROR(_xlfn.XLOOKUP(G1103,Listas!E:E,Listas!G:G,""),"")</f>
        <v>Externo</v>
      </c>
      <c r="J1103" s="43">
        <v>10000</v>
      </c>
      <c r="K1103" s="5">
        <f t="shared" si="17"/>
        <v>-10000</v>
      </c>
      <c r="L1103" s="15" t="s">
        <v>133</v>
      </c>
      <c r="M1103" s="44">
        <f>SUMIFS('Saldos Iniciales'!$D:$D,'Saldos Iniciales'!$A:$A,C1103,'Saldos Iniciales'!$B:$B,D1103)+SUMIFS($K$1:$K$1324,$C$1:$C$1324,C1103,$D$1:$D$1324,D1103,$B$1:$B$1324,"&lt;="&amp;B1103)</f>
        <v>1458385.7100000009</v>
      </c>
      <c r="N1103" s="61" t="str">
        <f>IF(tblMovimientos[[#This Row],[Tipo de Movimiento]]="Ingreso",tblMovimientos[[#This Row],[Monto (S/)]],"0")</f>
        <v>0</v>
      </c>
      <c r="O1103" s="61">
        <f>IF(tblMovimientos[[#This Row],[Tipo de Movimiento]]="Egreso",tblMovimientos[[#This Row],[Monto (S/)]],"0")</f>
        <v>10000</v>
      </c>
      <c r="P1103" s="28">
        <f>IF(tblMovimientos[[#This Row],[Tipo de Movimiento]]="Ingreso",tblMovimientos[[#This Row],[Ingreso]],-tblMovimientos[[#This Row],[Egreso]])</f>
        <v>-10000</v>
      </c>
      <c r="Q1103" s="78" t="str">
        <f>_xlfn.XLOOKUP(tblMovimientos[[#This Row],[Cuenta Bancaria]],Cuentas!$C:$C,Cuentas!$A:$A,"")&amp;""</f>
        <v>SSP Group</v>
      </c>
      <c r="R1103" s="78" t="str">
        <f>_xlfn.XLOOKUP(tblMovimientos[[#This Row],[Cuenta Bancaria]],Cuentas!$C:$C,Cuentas!$B:$B,"",0,-1)&amp;""</f>
        <v/>
      </c>
    </row>
    <row r="1104" spans="1:18" x14ac:dyDescent="0.3">
      <c r="A1104" s="45"/>
      <c r="B1104" s="39">
        <v>46290</v>
      </c>
      <c r="C1104" s="4" t="str">
        <f>_xlfn.XLOOKUP(tblMovimientos[[#This Row],[Cuenta Bancaria]],Listas!$B:$B,Listas!$A:$A,"")</f>
        <v>CFT Group</v>
      </c>
      <c r="D1104" s="41" t="s">
        <v>95</v>
      </c>
      <c r="E1104" s="68" t="str">
        <f>_xlfn.XLOOKUP(tblMovimientos[[#This Row],[Cuenta Bancaria]],Listas!$B:$B,Listas!$C:$C,"")</f>
        <v xml:space="preserve">Amerant Bank </v>
      </c>
      <c r="F1104" s="41" t="s">
        <v>10</v>
      </c>
      <c r="G1104" s="41" t="s">
        <v>46</v>
      </c>
      <c r="H1104" s="46" t="str">
        <f>IFERROR(_xlfn.XLOOKUP(G1104,Listas!E:E,Listas!F:F,""),"")</f>
        <v>Financiamiento</v>
      </c>
      <c r="I1104" s="46" t="str">
        <f>IFERROR(_xlfn.XLOOKUP(G1104,Listas!E:E,Listas!G:G,""),"")</f>
        <v>Externo</v>
      </c>
      <c r="J1104" s="43">
        <v>10833.33</v>
      </c>
      <c r="K1104" s="5">
        <f t="shared" si="17"/>
        <v>-10833.33</v>
      </c>
      <c r="L1104" s="15" t="s">
        <v>133</v>
      </c>
      <c r="M1104" s="44">
        <f>SUMIFS('Saldos Iniciales'!$D:$D,'Saldos Iniciales'!$A:$A,C1104,'Saldos Iniciales'!$B:$B,D1104)+SUMIFS($K$1:$K$1324,$C$1:$C$1324,C1104,$D$1:$D$1324,D1104,$B$1:$B$1324,"&lt;="&amp;B1104)</f>
        <v>1458385.7100000009</v>
      </c>
      <c r="N1104" s="61" t="str">
        <f>IF(tblMovimientos[[#This Row],[Tipo de Movimiento]]="Ingreso",tblMovimientos[[#This Row],[Monto (S/)]],"0")</f>
        <v>0</v>
      </c>
      <c r="O1104" s="61">
        <f>IF(tblMovimientos[[#This Row],[Tipo de Movimiento]]="Egreso",tblMovimientos[[#This Row],[Monto (S/)]],"0")</f>
        <v>10833.33</v>
      </c>
      <c r="P1104" s="28">
        <f>IF(tblMovimientos[[#This Row],[Tipo de Movimiento]]="Ingreso",tblMovimientos[[#This Row],[Ingreso]],-tblMovimientos[[#This Row],[Egreso]])</f>
        <v>-10833.33</v>
      </c>
      <c r="Q1104" s="78" t="str">
        <f>_xlfn.XLOOKUP(tblMovimientos[[#This Row],[Cuenta Bancaria]],Cuentas!$C:$C,Cuentas!$A:$A,"")&amp;""</f>
        <v>SSP Group</v>
      </c>
      <c r="R1104" s="78" t="str">
        <f>_xlfn.XLOOKUP(tblMovimientos[[#This Row],[Cuenta Bancaria]],Cuentas!$C:$C,Cuentas!$B:$B,"",0,-1)&amp;""</f>
        <v/>
      </c>
    </row>
    <row r="1105" spans="1:18" x14ac:dyDescent="0.3">
      <c r="A1105" s="45"/>
      <c r="B1105" s="39">
        <v>46290</v>
      </c>
      <c r="C1105" s="4" t="str">
        <f>_xlfn.XLOOKUP(tblMovimientos[[#This Row],[Cuenta Bancaria]],Listas!$B:$B,Listas!$A:$A,"")</f>
        <v>CFT Group</v>
      </c>
      <c r="D1105" s="41" t="s">
        <v>95</v>
      </c>
      <c r="E1105" s="68" t="str">
        <f>_xlfn.XLOOKUP(tblMovimientos[[#This Row],[Cuenta Bancaria]],Listas!$B:$B,Listas!$C:$C,"")</f>
        <v xml:space="preserve">Amerant Bank </v>
      </c>
      <c r="F1105" s="41" t="s">
        <v>10</v>
      </c>
      <c r="G1105" s="41" t="s">
        <v>61</v>
      </c>
      <c r="H1105" s="46" t="str">
        <f>IFERROR(_xlfn.XLOOKUP(G1105,Listas!E:E,Listas!F:F,""),"")</f>
        <v>Operativo</v>
      </c>
      <c r="I1105" s="46" t="str">
        <f>IFERROR(_xlfn.XLOOKUP(G1105,Listas!E:E,Listas!G:G,""),"")</f>
        <v>Externo</v>
      </c>
      <c r="J1105" s="43">
        <v>100000</v>
      </c>
      <c r="K1105" s="5">
        <f t="shared" si="17"/>
        <v>-100000</v>
      </c>
      <c r="L1105" s="15" t="s">
        <v>133</v>
      </c>
      <c r="M1105" s="44">
        <f>SUMIFS('Saldos Iniciales'!$D:$D,'Saldos Iniciales'!$A:$A,C1105,'Saldos Iniciales'!$B:$B,D1105)+SUMIFS($K$1:$K$1324,$C$1:$C$1324,C1105,$D$1:$D$1324,D1105,$B$1:$B$1324,"&lt;="&amp;B1105)</f>
        <v>1458385.7100000009</v>
      </c>
      <c r="N1105" s="61" t="str">
        <f>IF(tblMovimientos[[#This Row],[Tipo de Movimiento]]="Ingreso",tblMovimientos[[#This Row],[Monto (S/)]],"0")</f>
        <v>0</v>
      </c>
      <c r="O1105" s="61">
        <f>IF(tblMovimientos[[#This Row],[Tipo de Movimiento]]="Egreso",tblMovimientos[[#This Row],[Monto (S/)]],"0")</f>
        <v>100000</v>
      </c>
      <c r="P1105" s="28">
        <f>IF(tblMovimientos[[#This Row],[Tipo de Movimiento]]="Ingreso",tblMovimientos[[#This Row],[Ingreso]],-tblMovimientos[[#This Row],[Egreso]])</f>
        <v>-100000</v>
      </c>
      <c r="Q1105" s="78" t="str">
        <f>_xlfn.XLOOKUP(tblMovimientos[[#This Row],[Cuenta Bancaria]],Cuentas!$C:$C,Cuentas!$A:$A,"")&amp;""</f>
        <v>SSP Group</v>
      </c>
      <c r="R1105" s="78" t="str">
        <f>_xlfn.XLOOKUP(tblMovimientos[[#This Row],[Cuenta Bancaria]],Cuentas!$C:$C,Cuentas!$B:$B,"",0,-1)&amp;""</f>
        <v/>
      </c>
    </row>
    <row r="1106" spans="1:18" s="75" customFormat="1" x14ac:dyDescent="0.3">
      <c r="A1106" s="3"/>
      <c r="B1106" s="39">
        <v>46290</v>
      </c>
      <c r="C1106" s="4" t="str">
        <f>_xlfn.XLOOKUP(tblMovimientos[[#This Row],[Cuenta Bancaria]],Listas!$B:$B,Listas!$A:$A,"")</f>
        <v>CFT Group</v>
      </c>
      <c r="D1106" s="41" t="s">
        <v>95</v>
      </c>
      <c r="E1106" s="68" t="str">
        <f>_xlfn.XLOOKUP(tblMovimientos[[#This Row],[Cuenta Bancaria]],Listas!$B:$B,Listas!$C:$C,"")</f>
        <v xml:space="preserve">Amerant Bank </v>
      </c>
      <c r="F1106" s="41" t="s">
        <v>10</v>
      </c>
      <c r="G1106" s="41" t="s">
        <v>62</v>
      </c>
      <c r="H1106" s="4" t="str">
        <f>IFERROR(_xlfn.XLOOKUP(G1106,Listas!E:E,Listas!F:F,""),"")</f>
        <v>Operativo</v>
      </c>
      <c r="I1106" s="46" t="str">
        <f>IFERROR(_xlfn.XLOOKUP(G1106,Listas!E:E,Listas!G:G,""),"")</f>
        <v>Interno</v>
      </c>
      <c r="J1106" s="43">
        <v>350000</v>
      </c>
      <c r="K1106" s="5">
        <f t="shared" si="17"/>
        <v>-350000</v>
      </c>
      <c r="L1106" s="15" t="s">
        <v>133</v>
      </c>
      <c r="M1106" s="44">
        <f>SUMIFS('Saldos Iniciales'!$D:$D,'Saldos Iniciales'!$A:$A,C1106,'Saldos Iniciales'!$B:$B,D1106)+SUMIFS($K$1:$K$1324,$C$1:$C$1324,C1106,$D$1:$D$1324,D1106,$B$1:$B$1324,"&lt;="&amp;B1106)</f>
        <v>1458385.7100000009</v>
      </c>
      <c r="N1106" s="61" t="str">
        <f>IF(tblMovimientos[[#This Row],[Tipo de Movimiento]]="Ingreso",tblMovimientos[[#This Row],[Monto (S/)]],"0")</f>
        <v>0</v>
      </c>
      <c r="O1106" s="61">
        <f>IF(tblMovimientos[[#This Row],[Tipo de Movimiento]]="Egreso",tblMovimientos[[#This Row],[Monto (S/)]],"0")</f>
        <v>350000</v>
      </c>
      <c r="P1106" s="28">
        <f>IF(tblMovimientos[[#This Row],[Tipo de Movimiento]]="Ingreso",tblMovimientos[[#This Row],[Ingreso]],-tblMovimientos[[#This Row],[Egreso]])</f>
        <v>-350000</v>
      </c>
      <c r="Q1106" s="78" t="str">
        <f>_xlfn.XLOOKUP(tblMovimientos[[#This Row],[Cuenta Bancaria]],Cuentas!$C:$C,Cuentas!$A:$A,"")&amp;""</f>
        <v>SSP Group</v>
      </c>
      <c r="R1106" s="78" t="str">
        <f>_xlfn.XLOOKUP(tblMovimientos[[#This Row],[Cuenta Bancaria]],Cuentas!$C:$C,Cuentas!$B:$B,"",0,-1)&amp;""</f>
        <v/>
      </c>
    </row>
    <row r="1107" spans="1:18" x14ac:dyDescent="0.3">
      <c r="A1107" s="45"/>
      <c r="B1107" s="39">
        <v>46290</v>
      </c>
      <c r="C1107" s="4" t="str">
        <f>_xlfn.XLOOKUP(tblMovimientos[[#This Row],[Cuenta Bancaria]],Listas!$B:$B,Listas!$A:$A,"")</f>
        <v>SSP Capital</v>
      </c>
      <c r="D1107" s="41" t="s">
        <v>104</v>
      </c>
      <c r="E1107" s="68" t="str">
        <f>_xlfn.XLOOKUP(tblMovimientos[[#This Row],[Cuenta Bancaria]],Listas!$B:$B,Listas!$C:$C,"")</f>
        <v xml:space="preserve">Amerant Bank </v>
      </c>
      <c r="F1107" s="41" t="s">
        <v>9</v>
      </c>
      <c r="G1107" s="41" t="s">
        <v>75</v>
      </c>
      <c r="H1107" s="46" t="str">
        <f>IFERROR(_xlfn.XLOOKUP(G1107,Listas!E:E,Listas!F:F,""),"")</f>
        <v>Financiamiento</v>
      </c>
      <c r="I1107" s="46" t="str">
        <f>IFERROR(_xlfn.XLOOKUP(G1107,Listas!E:E,Listas!G:G,""),"")</f>
        <v>Interno</v>
      </c>
      <c r="J1107" s="43">
        <v>350000</v>
      </c>
      <c r="K1107" s="5">
        <f t="shared" si="17"/>
        <v>350000</v>
      </c>
      <c r="L1107" s="15" t="s">
        <v>133</v>
      </c>
      <c r="M1107" s="44">
        <f>SUMIFS('Saldos Iniciales'!$D:$D,'Saldos Iniciales'!$A:$A,C1107,'Saldos Iniciales'!$B:$B,D1107)+SUMIFS($K$1:$K$1324,$C$1:$C$1324,C1107,$D$1:$D$1324,D1107,$B$1:$B$1324,"&lt;="&amp;B1107)</f>
        <v>506391.70999999926</v>
      </c>
      <c r="N1107" s="61">
        <f>IF(tblMovimientos[[#This Row],[Tipo de Movimiento]]="Ingreso",tblMovimientos[[#This Row],[Monto (S/)]],"0")</f>
        <v>350000</v>
      </c>
      <c r="O1107" s="61" t="str">
        <f>IF(tblMovimientos[[#This Row],[Tipo de Movimiento]]="Egreso",tblMovimientos[[#This Row],[Monto (S/)]],"0")</f>
        <v>0</v>
      </c>
      <c r="P1107" s="28">
        <f>IF(tblMovimientos[[#This Row],[Tipo de Movimiento]]="Ingreso",tblMovimientos[[#This Row],[Ingreso]],-tblMovimientos[[#This Row],[Egreso]])</f>
        <v>350000</v>
      </c>
      <c r="Q1107" s="78" t="str">
        <f>_xlfn.XLOOKUP(tblMovimientos[[#This Row],[Cuenta Bancaria]],Cuentas!$C:$C,Cuentas!$A:$A,"")&amp;""</f>
        <v>SSP Group</v>
      </c>
      <c r="R1107" s="78" t="str">
        <f>_xlfn.XLOOKUP(tblMovimientos[[#This Row],[Cuenta Bancaria]],Cuentas!$C:$C,Cuentas!$B:$B,"",0,-1)&amp;""</f>
        <v/>
      </c>
    </row>
    <row r="1108" spans="1:18" s="75" customFormat="1" x14ac:dyDescent="0.3">
      <c r="A1108" s="45"/>
      <c r="B1108" s="39">
        <v>46290</v>
      </c>
      <c r="C1108" s="4" t="str">
        <f>_xlfn.XLOOKUP(tblMovimientos[[#This Row],[Cuenta Bancaria]],Listas!$B:$B,Listas!$A:$A,"")</f>
        <v>SSP Capital</v>
      </c>
      <c r="D1108" s="41" t="s">
        <v>104</v>
      </c>
      <c r="E1108" s="68" t="str">
        <f>_xlfn.XLOOKUP(tblMovimientos[[#This Row],[Cuenta Bancaria]],Listas!$B:$B,Listas!$C:$C,"")</f>
        <v xml:space="preserve">Amerant Bank </v>
      </c>
      <c r="F1108" s="41" t="s">
        <v>10</v>
      </c>
      <c r="G1108" s="41" t="s">
        <v>38</v>
      </c>
      <c r="H1108" s="46" t="str">
        <f>IFERROR(_xlfn.XLOOKUP(G1108,Listas!E:E,Listas!F:F,""),"")</f>
        <v>Operativo</v>
      </c>
      <c r="I1108" s="46" t="str">
        <f>IFERROR(_xlfn.XLOOKUP(G1108,Listas!E:E,Listas!G:G,""),"")</f>
        <v>Externo</v>
      </c>
      <c r="J1108" s="43">
        <v>295</v>
      </c>
      <c r="K1108" s="5">
        <f t="shared" si="17"/>
        <v>-295</v>
      </c>
      <c r="L1108" s="15" t="s">
        <v>133</v>
      </c>
      <c r="M1108" s="44">
        <f>SUMIFS('Saldos Iniciales'!$D:$D,'Saldos Iniciales'!$A:$A,C1108,'Saldos Iniciales'!$B:$B,D1108)+SUMIFS($K$1:$K$1324,$C$1:$C$1324,C1108,$D$1:$D$1324,D1108,$B$1:$B$1324,"&lt;="&amp;B1108)</f>
        <v>506391.70999999926</v>
      </c>
      <c r="N1108" s="61" t="str">
        <f>IF(tblMovimientos[[#This Row],[Tipo de Movimiento]]="Ingreso",tblMovimientos[[#This Row],[Monto (S/)]],"0")</f>
        <v>0</v>
      </c>
      <c r="O1108" s="61">
        <f>IF(tblMovimientos[[#This Row],[Tipo de Movimiento]]="Egreso",tblMovimientos[[#This Row],[Monto (S/)]],"0")</f>
        <v>295</v>
      </c>
      <c r="P1108" s="28">
        <f>IF(tblMovimientos[[#This Row],[Tipo de Movimiento]]="Ingreso",tblMovimientos[[#This Row],[Ingreso]],-tblMovimientos[[#This Row],[Egreso]])</f>
        <v>-295</v>
      </c>
      <c r="Q1108" s="78" t="str">
        <f>_xlfn.XLOOKUP(tblMovimientos[[#This Row],[Cuenta Bancaria]],Cuentas!$C:$C,Cuentas!$A:$A,"")&amp;""</f>
        <v>SSP Group</v>
      </c>
      <c r="R1108" s="78" t="str">
        <f>_xlfn.XLOOKUP(tblMovimientos[[#This Row],[Cuenta Bancaria]],Cuentas!$C:$C,Cuentas!$B:$B,"",0,-1)&amp;""</f>
        <v/>
      </c>
    </row>
    <row r="1109" spans="1:18" x14ac:dyDescent="0.3">
      <c r="B1109" s="39">
        <v>46290</v>
      </c>
      <c r="C1109" s="4" t="str">
        <f>_xlfn.XLOOKUP(tblMovimientos[[#This Row],[Cuenta Bancaria]],Listas!$B:$B,Listas!$A:$A,"")</f>
        <v>SSP Capital</v>
      </c>
      <c r="D1109" s="41" t="s">
        <v>104</v>
      </c>
      <c r="E1109" s="68" t="str">
        <f>_xlfn.XLOOKUP(tblMovimientos[[#This Row],[Cuenta Bancaria]],Listas!$B:$B,Listas!$C:$C,"")</f>
        <v xml:space="preserve">Amerant Bank </v>
      </c>
      <c r="F1109" s="41" t="s">
        <v>10</v>
      </c>
      <c r="G1109" s="41" t="s">
        <v>46</v>
      </c>
      <c r="H1109" s="4" t="str">
        <f>IFERROR(_xlfn.XLOOKUP(G1109,Listas!E:E,Listas!F:F,""),"")</f>
        <v>Financiamiento</v>
      </c>
      <c r="I1109" s="46" t="str">
        <f>IFERROR(_xlfn.XLOOKUP(G1109,Listas!E:E,Listas!G:G,""),"")</f>
        <v>Externo</v>
      </c>
      <c r="J1109" s="43">
        <v>4071.45</v>
      </c>
      <c r="K1109" s="5">
        <f t="shared" si="17"/>
        <v>-4071.45</v>
      </c>
      <c r="L1109" s="15" t="s">
        <v>133</v>
      </c>
      <c r="M1109" s="44">
        <f>SUMIFS('Saldos Iniciales'!$D:$D,'Saldos Iniciales'!$A:$A,C1109,'Saldos Iniciales'!$B:$B,D1109)+SUMIFS($K$1:$K$1324,$C$1:$C$1324,C1109,$D$1:$D$1324,D1109,$B$1:$B$1324,"&lt;="&amp;B1109)</f>
        <v>506391.70999999926</v>
      </c>
      <c r="N1109" s="61" t="str">
        <f>IF(tblMovimientos[[#This Row],[Tipo de Movimiento]]="Ingreso",tblMovimientos[[#This Row],[Monto (S/)]],"0")</f>
        <v>0</v>
      </c>
      <c r="O1109" s="61">
        <f>IF(tblMovimientos[[#This Row],[Tipo de Movimiento]]="Egreso",tblMovimientos[[#This Row],[Monto (S/)]],"0")</f>
        <v>4071.45</v>
      </c>
      <c r="P1109" s="28">
        <f>IF(tblMovimientos[[#This Row],[Tipo de Movimiento]]="Ingreso",tblMovimientos[[#This Row],[Ingreso]],-tblMovimientos[[#This Row],[Egreso]])</f>
        <v>-4071.45</v>
      </c>
      <c r="Q1109" s="78" t="str">
        <f>_xlfn.XLOOKUP(tblMovimientos[[#This Row],[Cuenta Bancaria]],Cuentas!$C:$C,Cuentas!$A:$A,"")&amp;""</f>
        <v>SSP Group</v>
      </c>
      <c r="R1109" s="78" t="str">
        <f>_xlfn.XLOOKUP(tblMovimientos[[#This Row],[Cuenta Bancaria]],Cuentas!$C:$C,Cuentas!$B:$B,"",0,-1)&amp;""</f>
        <v/>
      </c>
    </row>
    <row r="1110" spans="1:18" x14ac:dyDescent="0.3">
      <c r="B1110" s="39">
        <v>46290</v>
      </c>
      <c r="C1110" s="4" t="str">
        <f>_xlfn.XLOOKUP(tblMovimientos[[#This Row],[Cuenta Bancaria]],Listas!$B:$B,Listas!$A:$A,"")</f>
        <v>SSP Capital</v>
      </c>
      <c r="D1110" s="41" t="s">
        <v>104</v>
      </c>
      <c r="E1110" s="68" t="str">
        <f>_xlfn.XLOOKUP(tblMovimientos[[#This Row],[Cuenta Bancaria]],Listas!$B:$B,Listas!$C:$C,"")</f>
        <v xml:space="preserve">Amerant Bank </v>
      </c>
      <c r="F1110" s="41" t="s">
        <v>10</v>
      </c>
      <c r="G1110" s="41" t="s">
        <v>56</v>
      </c>
      <c r="H1110" s="4" t="str">
        <f>IFERROR(_xlfn.XLOOKUP(G1110,Listas!E:E,Listas!F:F,""),"")</f>
        <v>Inversion</v>
      </c>
      <c r="I1110" s="46" t="str">
        <f>IFERROR(_xlfn.XLOOKUP(G1110,Listas!E:E,Listas!G:G,""),"")</f>
        <v>Externo</v>
      </c>
      <c r="J1110" s="43">
        <v>8392.27</v>
      </c>
      <c r="K1110" s="5">
        <f t="shared" si="17"/>
        <v>-8392.27</v>
      </c>
      <c r="L1110" s="15" t="s">
        <v>133</v>
      </c>
      <c r="M1110" s="44">
        <f>SUMIFS('Saldos Iniciales'!$D:$D,'Saldos Iniciales'!$A:$A,C1110,'Saldos Iniciales'!$B:$B,D1110)+SUMIFS($K$1:$K$1324,$C$1:$C$1324,C1110,$D$1:$D$1324,D1110,$B$1:$B$1324,"&lt;="&amp;B1110)</f>
        <v>506391.70999999926</v>
      </c>
      <c r="N1110" s="61" t="str">
        <f>IF(tblMovimientos[[#This Row],[Tipo de Movimiento]]="Ingreso",tblMovimientos[[#This Row],[Monto (S/)]],"0")</f>
        <v>0</v>
      </c>
      <c r="O1110" s="61">
        <f>IF(tblMovimientos[[#This Row],[Tipo de Movimiento]]="Egreso",tblMovimientos[[#This Row],[Monto (S/)]],"0")</f>
        <v>8392.27</v>
      </c>
      <c r="P1110" s="28">
        <f>IF(tblMovimientos[[#This Row],[Tipo de Movimiento]]="Ingreso",tblMovimientos[[#This Row],[Ingreso]],-tblMovimientos[[#This Row],[Egreso]])</f>
        <v>-8392.27</v>
      </c>
      <c r="Q1110" s="78" t="str">
        <f>_xlfn.XLOOKUP(tblMovimientos[[#This Row],[Cuenta Bancaria]],Cuentas!$C:$C,Cuentas!$A:$A,"")&amp;""</f>
        <v>SSP Group</v>
      </c>
      <c r="R1110" s="78" t="str">
        <f>_xlfn.XLOOKUP(tblMovimientos[[#This Row],[Cuenta Bancaria]],Cuentas!$C:$C,Cuentas!$B:$B,"",0,-1)&amp;""</f>
        <v/>
      </c>
    </row>
    <row r="1111" spans="1:18" x14ac:dyDescent="0.3">
      <c r="B1111" s="39">
        <v>46290</v>
      </c>
      <c r="C1111" s="4" t="str">
        <f>_xlfn.XLOOKUP(tblMovimientos[[#This Row],[Cuenta Bancaria]],Listas!$B:$B,Listas!$A:$A,"")</f>
        <v>SSP Capital</v>
      </c>
      <c r="D1111" s="41" t="s">
        <v>104</v>
      </c>
      <c r="E1111" s="68" t="str">
        <f>_xlfn.XLOOKUP(tblMovimientos[[#This Row],[Cuenta Bancaria]],Listas!$B:$B,Listas!$C:$C,"")</f>
        <v xml:space="preserve">Amerant Bank </v>
      </c>
      <c r="F1111" s="41" t="s">
        <v>10</v>
      </c>
      <c r="G1111" s="41" t="s">
        <v>46</v>
      </c>
      <c r="H1111" s="4" t="str">
        <f>IFERROR(_xlfn.XLOOKUP(G1111,Listas!E:E,Listas!F:F,""),"")</f>
        <v>Financiamiento</v>
      </c>
      <c r="I1111" s="46" t="str">
        <f>IFERROR(_xlfn.XLOOKUP(G1111,Listas!E:E,Listas!G:G,""),"")</f>
        <v>Externo</v>
      </c>
      <c r="J1111" s="43">
        <v>8666.67</v>
      </c>
      <c r="K1111" s="5">
        <f t="shared" si="17"/>
        <v>-8666.67</v>
      </c>
      <c r="L1111" s="15" t="s">
        <v>133</v>
      </c>
      <c r="M1111" s="44">
        <f>SUMIFS('Saldos Iniciales'!$D:$D,'Saldos Iniciales'!$A:$A,C1111,'Saldos Iniciales'!$B:$B,D1111)+SUMIFS($K$1:$K$1324,$C$1:$C$1324,C1111,$D$1:$D$1324,D1111,$B$1:$B$1324,"&lt;="&amp;B1111)</f>
        <v>506391.70999999926</v>
      </c>
      <c r="N1111" s="61" t="str">
        <f>IF(tblMovimientos[[#This Row],[Tipo de Movimiento]]="Ingreso",tblMovimientos[[#This Row],[Monto (S/)]],"0")</f>
        <v>0</v>
      </c>
      <c r="O1111" s="61">
        <f>IF(tblMovimientos[[#This Row],[Tipo de Movimiento]]="Egreso",tblMovimientos[[#This Row],[Monto (S/)]],"0")</f>
        <v>8666.67</v>
      </c>
      <c r="P1111" s="28">
        <f>IF(tblMovimientos[[#This Row],[Tipo de Movimiento]]="Ingreso",tblMovimientos[[#This Row],[Ingreso]],-tblMovimientos[[#This Row],[Egreso]])</f>
        <v>-8666.67</v>
      </c>
      <c r="Q1111" s="78" t="str">
        <f>_xlfn.XLOOKUP(tblMovimientos[[#This Row],[Cuenta Bancaria]],Cuentas!$C:$C,Cuentas!$A:$A,"")&amp;""</f>
        <v>SSP Group</v>
      </c>
      <c r="R1111" s="78" t="str">
        <f>_xlfn.XLOOKUP(tblMovimientos[[#This Row],[Cuenta Bancaria]],Cuentas!$C:$C,Cuentas!$B:$B,"",0,-1)&amp;""</f>
        <v/>
      </c>
    </row>
    <row r="1112" spans="1:18" x14ac:dyDescent="0.3">
      <c r="A1112" s="45"/>
      <c r="B1112" s="39">
        <v>46290</v>
      </c>
      <c r="C1112" s="4" t="str">
        <f>_xlfn.XLOOKUP(tblMovimientos[[#This Row],[Cuenta Bancaria]],Listas!$B:$B,Listas!$A:$A,"")</f>
        <v>SSP Capital</v>
      </c>
      <c r="D1112" s="41" t="s">
        <v>104</v>
      </c>
      <c r="E1112" s="68" t="str">
        <f>_xlfn.XLOOKUP(tblMovimientos[[#This Row],[Cuenta Bancaria]],Listas!$B:$B,Listas!$C:$C,"")</f>
        <v xml:space="preserve">Amerant Bank </v>
      </c>
      <c r="F1112" s="41" t="s">
        <v>10</v>
      </c>
      <c r="G1112" s="41" t="s">
        <v>38</v>
      </c>
      <c r="H1112" s="46" t="str">
        <f>IFERROR(_xlfn.XLOOKUP(G1112,Listas!E:E,Listas!F:F,""),"")</f>
        <v>Operativo</v>
      </c>
      <c r="I1112" s="46" t="str">
        <f>IFERROR(_xlfn.XLOOKUP(G1112,Listas!E:E,Listas!G:G,""),"")</f>
        <v>Externo</v>
      </c>
      <c r="J1112" s="43">
        <v>10753.2</v>
      </c>
      <c r="K1112" s="5">
        <f t="shared" si="17"/>
        <v>-10753.2</v>
      </c>
      <c r="L1112" s="15" t="s">
        <v>133</v>
      </c>
      <c r="M1112" s="44">
        <f>SUMIFS('Saldos Iniciales'!$D:$D,'Saldos Iniciales'!$A:$A,C1112,'Saldos Iniciales'!$B:$B,D1112)+SUMIFS($K$1:$K$1324,$C$1:$C$1324,C1112,$D$1:$D$1324,D1112,$B$1:$B$1324,"&lt;="&amp;B1112)</f>
        <v>506391.70999999926</v>
      </c>
      <c r="N1112" s="61" t="str">
        <f>IF(tblMovimientos[[#This Row],[Tipo de Movimiento]]="Ingreso",tblMovimientos[[#This Row],[Monto (S/)]],"0")</f>
        <v>0</v>
      </c>
      <c r="O1112" s="61">
        <f>IF(tblMovimientos[[#This Row],[Tipo de Movimiento]]="Egreso",tblMovimientos[[#This Row],[Monto (S/)]],"0")</f>
        <v>10753.2</v>
      </c>
      <c r="P1112" s="28">
        <f>IF(tblMovimientos[[#This Row],[Tipo de Movimiento]]="Ingreso",tblMovimientos[[#This Row],[Ingreso]],-tblMovimientos[[#This Row],[Egreso]])</f>
        <v>-10753.2</v>
      </c>
      <c r="Q1112" s="78" t="str">
        <f>_xlfn.XLOOKUP(tblMovimientos[[#This Row],[Cuenta Bancaria]],Cuentas!$C:$C,Cuentas!$A:$A,"")&amp;""</f>
        <v>SSP Group</v>
      </c>
      <c r="R1112" s="78" t="str">
        <f>_xlfn.XLOOKUP(tblMovimientos[[#This Row],[Cuenta Bancaria]],Cuentas!$C:$C,Cuentas!$B:$B,"",0,-1)&amp;""</f>
        <v/>
      </c>
    </row>
    <row r="1113" spans="1:18" x14ac:dyDescent="0.3">
      <c r="A1113" s="45"/>
      <c r="B1113" s="39">
        <v>46290</v>
      </c>
      <c r="C1113" s="4" t="str">
        <f>_xlfn.XLOOKUP(tblMovimientos[[#This Row],[Cuenta Bancaria]],Listas!$B:$B,Listas!$A:$A,"")</f>
        <v>SSP Capital</v>
      </c>
      <c r="D1113" s="41" t="s">
        <v>104</v>
      </c>
      <c r="E1113" s="68" t="str">
        <f>_xlfn.XLOOKUP(tblMovimientos[[#This Row],[Cuenta Bancaria]],Listas!$B:$B,Listas!$C:$C,"")</f>
        <v xml:space="preserve">Amerant Bank </v>
      </c>
      <c r="F1113" s="41" t="s">
        <v>10</v>
      </c>
      <c r="G1113" s="41" t="s">
        <v>46</v>
      </c>
      <c r="H1113" s="46" t="str">
        <f>IFERROR(_xlfn.XLOOKUP(G1113,Listas!E:E,Listas!F:F,""),"")</f>
        <v>Financiamiento</v>
      </c>
      <c r="I1113" s="46" t="str">
        <f>IFERROR(_xlfn.XLOOKUP(G1113,Listas!E:E,Listas!G:G,""),"")</f>
        <v>Externo</v>
      </c>
      <c r="J1113" s="43">
        <v>33463.550000000003</v>
      </c>
      <c r="K1113" s="5">
        <f t="shared" si="17"/>
        <v>-33463.550000000003</v>
      </c>
      <c r="L1113" s="15" t="s">
        <v>133</v>
      </c>
      <c r="M1113" s="44">
        <f>SUMIFS('Saldos Iniciales'!$D:$D,'Saldos Iniciales'!$A:$A,C1113,'Saldos Iniciales'!$B:$B,D1113)+SUMIFS($K$1:$K$1324,$C$1:$C$1324,C1113,$D$1:$D$1324,D1113,$B$1:$B$1324,"&lt;="&amp;B1113)</f>
        <v>506391.70999999926</v>
      </c>
      <c r="N1113" s="61" t="str">
        <f>IF(tblMovimientos[[#This Row],[Tipo de Movimiento]]="Ingreso",tblMovimientos[[#This Row],[Monto (S/)]],"0")</f>
        <v>0</v>
      </c>
      <c r="O1113" s="61">
        <f>IF(tblMovimientos[[#This Row],[Tipo de Movimiento]]="Egreso",tblMovimientos[[#This Row],[Monto (S/)]],"0")</f>
        <v>33463.550000000003</v>
      </c>
      <c r="P1113" s="28">
        <f>IF(tblMovimientos[[#This Row],[Tipo de Movimiento]]="Ingreso",tblMovimientos[[#This Row],[Ingreso]],-tblMovimientos[[#This Row],[Egreso]])</f>
        <v>-33463.550000000003</v>
      </c>
      <c r="Q1113" s="78" t="str">
        <f>_xlfn.XLOOKUP(tblMovimientos[[#This Row],[Cuenta Bancaria]],Cuentas!$C:$C,Cuentas!$A:$A,"")&amp;""</f>
        <v>SSP Group</v>
      </c>
      <c r="R1113" s="78" t="str">
        <f>_xlfn.XLOOKUP(tblMovimientos[[#This Row],[Cuenta Bancaria]],Cuentas!$C:$C,Cuentas!$B:$B,"",0,-1)&amp;""</f>
        <v/>
      </c>
    </row>
    <row r="1114" spans="1:18" x14ac:dyDescent="0.3">
      <c r="B1114" s="39">
        <v>46290</v>
      </c>
      <c r="C1114" s="4" t="str">
        <f>_xlfn.XLOOKUP(tblMovimientos[[#This Row],[Cuenta Bancaria]],Listas!$B:$B,Listas!$A:$A,"")</f>
        <v>Go Blue</v>
      </c>
      <c r="D1114" s="41" t="s">
        <v>126</v>
      </c>
      <c r="E1114" s="68" t="str">
        <f>_xlfn.XLOOKUP(tblMovimientos[[#This Row],[Cuenta Bancaria]],Listas!$B:$B,Listas!$C:$C,"")</f>
        <v xml:space="preserve">Amerant Bank </v>
      </c>
      <c r="F1114" s="41" t="s">
        <v>10</v>
      </c>
      <c r="G1114" s="41" t="s">
        <v>38</v>
      </c>
      <c r="H1114" s="4" t="str">
        <f>IFERROR(_xlfn.XLOOKUP(G1114,Listas!E:E,Listas!F:F,""),"")</f>
        <v>Operativo</v>
      </c>
      <c r="I1114" s="46" t="str">
        <f>IFERROR(_xlfn.XLOOKUP(G1114,Listas!E:E,Listas!G:G,""),"")</f>
        <v>Externo</v>
      </c>
      <c r="J1114" s="43">
        <v>3125</v>
      </c>
      <c r="K1114" s="5">
        <f t="shared" si="17"/>
        <v>-3125</v>
      </c>
      <c r="L1114" s="15" t="s">
        <v>133</v>
      </c>
      <c r="M1114" s="44">
        <f>SUMIFS('Saldos Iniciales'!$D:$D,'Saldos Iniciales'!$A:$A,C1114,'Saldos Iniciales'!$B:$B,D1114)+SUMIFS($K$1:$K$1324,$C$1:$C$1324,C1114,$D$1:$D$1324,D1114,$B$1:$B$1324,"&lt;="&amp;B1114)</f>
        <v>11349.689999999999</v>
      </c>
      <c r="N1114" s="61" t="str">
        <f>IF(tblMovimientos[[#This Row],[Tipo de Movimiento]]="Ingreso",tblMovimientos[[#This Row],[Monto (S/)]],"0")</f>
        <v>0</v>
      </c>
      <c r="O1114" s="61">
        <f>IF(tblMovimientos[[#This Row],[Tipo de Movimiento]]="Egreso",tblMovimientos[[#This Row],[Monto (S/)]],"0")</f>
        <v>3125</v>
      </c>
      <c r="P1114" s="28">
        <f>IF(tblMovimientos[[#This Row],[Tipo de Movimiento]]="Ingreso",tblMovimientos[[#This Row],[Ingreso]],-tblMovimientos[[#This Row],[Egreso]])</f>
        <v>-3125</v>
      </c>
      <c r="Q1114" s="78" t="str">
        <f>_xlfn.XLOOKUP(tblMovimientos[[#This Row],[Cuenta Bancaria]],Cuentas!$C:$C,Cuentas!$A:$A,"")&amp;""</f>
        <v>SSP Group</v>
      </c>
      <c r="R1114" s="78" t="str">
        <f>_xlfn.XLOOKUP(tblMovimientos[[#This Row],[Cuenta Bancaria]],Cuentas!$C:$C,Cuentas!$B:$B,"",0,-1)&amp;""</f>
        <v/>
      </c>
    </row>
    <row r="1115" spans="1:18" x14ac:dyDescent="0.3">
      <c r="A1115" s="45"/>
      <c r="B1115" s="39">
        <v>46290</v>
      </c>
      <c r="C1115" s="4" t="str">
        <f>_xlfn.XLOOKUP(tblMovimientos[[#This Row],[Cuenta Bancaria]],Listas!$B:$B,Listas!$A:$A,"")</f>
        <v>Go Blue</v>
      </c>
      <c r="D1115" s="41" t="s">
        <v>126</v>
      </c>
      <c r="E1115" s="68" t="str">
        <f>_xlfn.XLOOKUP(tblMovimientos[[#This Row],[Cuenta Bancaria]],Listas!$B:$B,Listas!$C:$C,"")</f>
        <v xml:space="preserve">Amerant Bank </v>
      </c>
      <c r="F1115" s="41" t="s">
        <v>10</v>
      </c>
      <c r="G1115" s="41" t="s">
        <v>44</v>
      </c>
      <c r="H1115" s="46" t="str">
        <f>IFERROR(_xlfn.XLOOKUP(G1115,Listas!E:E,Listas!F:F,""),"")</f>
        <v>Operativo</v>
      </c>
      <c r="I1115" s="46" t="str">
        <f>IFERROR(_xlfn.XLOOKUP(G1115,Listas!E:E,Listas!G:G,""),"")</f>
        <v>Externo</v>
      </c>
      <c r="J1115" s="43">
        <v>15</v>
      </c>
      <c r="K1115" s="5">
        <f t="shared" si="17"/>
        <v>-15</v>
      </c>
      <c r="L1115" s="15" t="s">
        <v>133</v>
      </c>
      <c r="M1115" s="44">
        <f>SUMIFS('Saldos Iniciales'!$D:$D,'Saldos Iniciales'!$A:$A,C1115,'Saldos Iniciales'!$B:$B,D1115)+SUMIFS($K$1:$K$1324,$C$1:$C$1324,C1115,$D$1:$D$1324,D1115,$B$1:$B$1324,"&lt;="&amp;B1115)</f>
        <v>11349.689999999999</v>
      </c>
      <c r="N1115" s="61" t="str">
        <f>IF(tblMovimientos[[#This Row],[Tipo de Movimiento]]="Ingreso",tblMovimientos[[#This Row],[Monto (S/)]],"0")</f>
        <v>0</v>
      </c>
      <c r="O1115" s="61">
        <f>IF(tblMovimientos[[#This Row],[Tipo de Movimiento]]="Egreso",tblMovimientos[[#This Row],[Monto (S/)]],"0")</f>
        <v>15</v>
      </c>
      <c r="P1115" s="28">
        <f>IF(tblMovimientos[[#This Row],[Tipo de Movimiento]]="Ingreso",tblMovimientos[[#This Row],[Ingreso]],-tblMovimientos[[#This Row],[Egreso]])</f>
        <v>-15</v>
      </c>
      <c r="Q1115" s="78" t="str">
        <f>_xlfn.XLOOKUP(tblMovimientos[[#This Row],[Cuenta Bancaria]],Cuentas!$C:$C,Cuentas!$A:$A,"")&amp;""</f>
        <v>SSP Group</v>
      </c>
      <c r="R1115" s="78" t="str">
        <f>_xlfn.XLOOKUP(tblMovimientos[[#This Row],[Cuenta Bancaria]],Cuentas!$C:$C,Cuentas!$B:$B,"",0,-1)&amp;""</f>
        <v/>
      </c>
    </row>
    <row r="1116" spans="1:18" x14ac:dyDescent="0.3">
      <c r="B1116" s="39">
        <v>46290</v>
      </c>
      <c r="C1116" s="4" t="str">
        <f>_xlfn.XLOOKUP(tblMovimientos[[#This Row],[Cuenta Bancaria]],Listas!$B:$B,Listas!$A:$A,"")</f>
        <v>Pacha Ventures LLC</v>
      </c>
      <c r="D1116" s="41" t="s">
        <v>187</v>
      </c>
      <c r="E1116" s="68" t="str">
        <f>_xlfn.XLOOKUP(tblMovimientos[[#This Row],[Cuenta Bancaria]],Listas!$B:$B,Listas!$C:$C,"")</f>
        <v xml:space="preserve">Amerant Bank </v>
      </c>
      <c r="F1116" s="41" t="s">
        <v>10</v>
      </c>
      <c r="G1116" s="41" t="s">
        <v>38</v>
      </c>
      <c r="H1116" s="4" t="str">
        <f>IFERROR(_xlfn.XLOOKUP(G1116,Listas!E:E,Listas!F:F,""),"")</f>
        <v>Operativo</v>
      </c>
      <c r="I1116" s="46" t="str">
        <f>IFERROR(_xlfn.XLOOKUP(G1116,Listas!E:E,Listas!G:G,""),"")</f>
        <v>Externo</v>
      </c>
      <c r="J1116" s="43">
        <v>100.75</v>
      </c>
      <c r="K1116" s="5">
        <f t="shared" si="17"/>
        <v>-100.75</v>
      </c>
      <c r="L1116" s="15" t="s">
        <v>133</v>
      </c>
      <c r="M1116" s="44">
        <f>SUMIFS('Saldos Iniciales'!$D:$D,'Saldos Iniciales'!$A:$A,C1116,'Saldos Iniciales'!$B:$B,D1116)+SUMIFS($K$1:$K$1324,$C$1:$C$1324,C1116,$D$1:$D$1324,D1116,$B$1:$B$1324,"&lt;="&amp;B1116)</f>
        <v>312314.37000000005</v>
      </c>
      <c r="N1116" s="61" t="str">
        <f>IF(tblMovimientos[[#This Row],[Tipo de Movimiento]]="Ingreso",tblMovimientos[[#This Row],[Monto (S/)]],"0")</f>
        <v>0</v>
      </c>
      <c r="O1116" s="61">
        <f>IF(tblMovimientos[[#This Row],[Tipo de Movimiento]]="Egreso",tblMovimientos[[#This Row],[Monto (S/)]],"0")</f>
        <v>100.75</v>
      </c>
      <c r="P1116" s="28">
        <f>IF(tblMovimientos[[#This Row],[Tipo de Movimiento]]="Ingreso",tblMovimientos[[#This Row],[Ingreso]],-tblMovimientos[[#This Row],[Egreso]])</f>
        <v>-100.75</v>
      </c>
      <c r="Q1116" s="78" t="str">
        <f>_xlfn.XLOOKUP(tblMovimientos[[#This Row],[Cuenta Bancaria]],Cuentas!$C:$C,Cuentas!$A:$A,"")&amp;""</f>
        <v>Michael Cross</v>
      </c>
      <c r="R1116" s="78" t="str">
        <f>_xlfn.XLOOKUP(tblMovimientos[[#This Row],[Cuenta Bancaria]],Cuentas!$C:$C,Cuentas!$B:$B,"",0,-1)&amp;""</f>
        <v/>
      </c>
    </row>
    <row r="1117" spans="1:18" x14ac:dyDescent="0.3">
      <c r="A1117" s="45"/>
      <c r="B1117" s="39">
        <v>46290</v>
      </c>
      <c r="C1117" s="4" t="str">
        <f>_xlfn.XLOOKUP(tblMovimientos[[#This Row],[Cuenta Bancaria]],Listas!$B:$B,Listas!$A:$A,"")</f>
        <v>Prendamas SRL</v>
      </c>
      <c r="D1117" s="41" t="s">
        <v>186</v>
      </c>
      <c r="E1117" s="68" t="str">
        <f>_xlfn.XLOOKUP(tblMovimientos[[#This Row],[Cuenta Bancaria]],Listas!$B:$B,Listas!$C:$C,"")</f>
        <v xml:space="preserve">Amerant Bank </v>
      </c>
      <c r="F1117" s="41" t="s">
        <v>10</v>
      </c>
      <c r="G1117" s="41" t="s">
        <v>38</v>
      </c>
      <c r="H1117" s="46" t="str">
        <f>IFERROR(_xlfn.XLOOKUP(G1117,Listas!E:E,Listas!F:F,""),"")</f>
        <v>Operativo</v>
      </c>
      <c r="I1117" s="46" t="str">
        <f>IFERROR(_xlfn.XLOOKUP(G1117,Listas!E:E,Listas!G:G,""),"")</f>
        <v>Externo</v>
      </c>
      <c r="J1117" s="43">
        <v>1428.88</v>
      </c>
      <c r="K1117" s="5">
        <f t="shared" si="17"/>
        <v>-1428.88</v>
      </c>
      <c r="L1117" s="15" t="s">
        <v>133</v>
      </c>
      <c r="M1117" s="44">
        <f>SUMIFS('Saldos Iniciales'!$D:$D,'Saldos Iniciales'!$A:$A,C1117,'Saldos Iniciales'!$B:$B,D1117)+SUMIFS($K$1:$K$1324,$C$1:$C$1324,C1117,$D$1:$D$1324,D1117,$B$1:$B$1324,"&lt;="&amp;B1117)</f>
        <v>22961.869999999966</v>
      </c>
      <c r="N1117" s="61" t="str">
        <f>IF(tblMovimientos[[#This Row],[Tipo de Movimiento]]="Ingreso",tblMovimientos[[#This Row],[Monto (S/)]],"0")</f>
        <v>0</v>
      </c>
      <c r="O1117" s="61">
        <f>IF(tblMovimientos[[#This Row],[Tipo de Movimiento]]="Egreso",tblMovimientos[[#This Row],[Monto (S/)]],"0")</f>
        <v>1428.88</v>
      </c>
      <c r="P1117" s="28">
        <f>IF(tblMovimientos[[#This Row],[Tipo de Movimiento]]="Ingreso",tblMovimientos[[#This Row],[Ingreso]],-tblMovimientos[[#This Row],[Egreso]])</f>
        <v>-1428.88</v>
      </c>
      <c r="Q1117" s="78" t="str">
        <f>_xlfn.XLOOKUP(tblMovimientos[[#This Row],[Cuenta Bancaria]],Cuentas!$C:$C,Cuentas!$A:$A,"")&amp;""</f>
        <v>Unidades de Negocio</v>
      </c>
      <c r="R1117" s="78" t="str">
        <f>_xlfn.XLOOKUP(tblMovimientos[[#This Row],[Cuenta Bancaria]],Cuentas!$C:$C,Cuentas!$B:$B,"",0,-1)&amp;""</f>
        <v/>
      </c>
    </row>
    <row r="1118" spans="1:18" x14ac:dyDescent="0.3">
      <c r="B1118" s="39">
        <v>46290</v>
      </c>
      <c r="C1118" s="4" t="str">
        <f>_xlfn.XLOOKUP(tblMovimientos[[#This Row],[Cuenta Bancaria]],Listas!$B:$B,Listas!$A:$A,"")</f>
        <v>Prendamas SRL</v>
      </c>
      <c r="D1118" s="41" t="s">
        <v>186</v>
      </c>
      <c r="E1118" s="68" t="str">
        <f>_xlfn.XLOOKUP(tblMovimientos[[#This Row],[Cuenta Bancaria]],Listas!$B:$B,Listas!$C:$C,"")</f>
        <v xml:space="preserve">Amerant Bank </v>
      </c>
      <c r="F1118" s="41" t="s">
        <v>10</v>
      </c>
      <c r="G1118" s="41" t="s">
        <v>44</v>
      </c>
      <c r="H1118" s="4" t="str">
        <f>IFERROR(_xlfn.XLOOKUP(G1118,Listas!E:E,Listas!F:F,""),"")</f>
        <v>Operativo</v>
      </c>
      <c r="I1118" s="46" t="str">
        <f>IFERROR(_xlfn.XLOOKUP(G1118,Listas!E:E,Listas!G:G,""),"")</f>
        <v>Externo</v>
      </c>
      <c r="J1118" s="43">
        <v>40</v>
      </c>
      <c r="K1118" s="5">
        <f t="shared" si="17"/>
        <v>-40</v>
      </c>
      <c r="L1118" s="15" t="s">
        <v>133</v>
      </c>
      <c r="M1118" s="44">
        <f>SUMIFS('Saldos Iniciales'!$D:$D,'Saldos Iniciales'!$A:$A,C1118,'Saldos Iniciales'!$B:$B,D1118)+SUMIFS($K$1:$K$1324,$C$1:$C$1324,C1118,$D$1:$D$1324,D1118,$B$1:$B$1324,"&lt;="&amp;B1118)</f>
        <v>22961.869999999966</v>
      </c>
      <c r="N1118" s="61" t="str">
        <f>IF(tblMovimientos[[#This Row],[Tipo de Movimiento]]="Ingreso",tblMovimientos[[#This Row],[Monto (S/)]],"0")</f>
        <v>0</v>
      </c>
      <c r="O1118" s="61">
        <f>IF(tblMovimientos[[#This Row],[Tipo de Movimiento]]="Egreso",tblMovimientos[[#This Row],[Monto (S/)]],"0")</f>
        <v>40</v>
      </c>
      <c r="P1118" s="28">
        <f>IF(tblMovimientos[[#This Row],[Tipo de Movimiento]]="Ingreso",tblMovimientos[[#This Row],[Ingreso]],-tblMovimientos[[#This Row],[Egreso]])</f>
        <v>-40</v>
      </c>
      <c r="Q1118" s="78" t="str">
        <f>_xlfn.XLOOKUP(tblMovimientos[[#This Row],[Cuenta Bancaria]],Cuentas!$C:$C,Cuentas!$A:$A,"")&amp;""</f>
        <v>Unidades de Negocio</v>
      </c>
      <c r="R1118" s="78" t="str">
        <f>_xlfn.XLOOKUP(tblMovimientos[[#This Row],[Cuenta Bancaria]],Cuentas!$C:$C,Cuentas!$B:$B,"",0,-1)&amp;""</f>
        <v/>
      </c>
    </row>
    <row r="1119" spans="1:18" x14ac:dyDescent="0.3">
      <c r="A1119" s="45"/>
      <c r="B1119" s="39">
        <v>46290</v>
      </c>
      <c r="C1119" s="4" t="str">
        <f>_xlfn.XLOOKUP(tblMovimientos[[#This Row],[Cuenta Bancaria]],Listas!$B:$B,Listas!$A:$A,"")</f>
        <v>Nobe Aparments</v>
      </c>
      <c r="D1119" s="41" t="s">
        <v>191</v>
      </c>
      <c r="E1119" s="68" t="str">
        <f>_xlfn.XLOOKUP(tblMovimientos[[#This Row],[Cuenta Bancaria]],Listas!$B:$B,Listas!$C:$C,"")</f>
        <v>Bank of America</v>
      </c>
      <c r="F1119" s="41" t="s">
        <v>10</v>
      </c>
      <c r="G1119" s="41" t="s">
        <v>45</v>
      </c>
      <c r="H1119" s="46" t="str">
        <f>IFERROR(_xlfn.XLOOKUP(G1119,Listas!E:E,Listas!F:F,""),"")</f>
        <v>Operativo</v>
      </c>
      <c r="I1119" s="46" t="str">
        <f>IFERROR(_xlfn.XLOOKUP(G1119,Listas!E:E,Listas!G:G,""),"")</f>
        <v>Externo</v>
      </c>
      <c r="J1119" s="43">
        <v>60</v>
      </c>
      <c r="K1119" s="5">
        <f t="shared" si="17"/>
        <v>-60</v>
      </c>
      <c r="L1119" s="15" t="s">
        <v>133</v>
      </c>
      <c r="M1119" s="44">
        <f>SUMIFS('Saldos Iniciales'!$D:$D,'Saldos Iniciales'!$A:$A,C1119,'Saldos Iniciales'!$B:$B,D1119)+SUMIFS($K$1:$K$1324,$C$1:$C$1324,C1119,$D$1:$D$1324,D1119,$B$1:$B$1324,"&lt;="&amp;B1119)</f>
        <v>204939.46</v>
      </c>
      <c r="N1119" s="61" t="str">
        <f>IF(tblMovimientos[[#This Row],[Tipo de Movimiento]]="Ingreso",tblMovimientos[[#This Row],[Monto (S/)]],"0")</f>
        <v>0</v>
      </c>
      <c r="O1119" s="61">
        <f>IF(tblMovimientos[[#This Row],[Tipo de Movimiento]]="Egreso",tblMovimientos[[#This Row],[Monto (S/)]],"0")</f>
        <v>60</v>
      </c>
      <c r="P1119" s="28">
        <f>IF(tblMovimientos[[#This Row],[Tipo de Movimiento]]="Ingreso",tblMovimientos[[#This Row],[Ingreso]],-tblMovimientos[[#This Row],[Egreso]])</f>
        <v>-60</v>
      </c>
      <c r="Q1119" s="78" t="str">
        <f>_xlfn.XLOOKUP(tblMovimientos[[#This Row],[Cuenta Bancaria]],Cuentas!$C:$C,Cuentas!$A:$A,"")&amp;""</f>
        <v>Estate</v>
      </c>
      <c r="R1119" s="78" t="str">
        <f>_xlfn.XLOOKUP(tblMovimientos[[#This Row],[Cuenta Bancaria]],Cuentas!$C:$C,Cuentas!$B:$B,"",0,-1)&amp;""</f>
        <v/>
      </c>
    </row>
    <row r="1120" spans="1:18" x14ac:dyDescent="0.3">
      <c r="A1120" s="45"/>
      <c r="B1120" s="39">
        <v>46293</v>
      </c>
      <c r="C1120" s="4" t="str">
        <f>_xlfn.XLOOKUP(tblMovimientos[[#This Row],[Cuenta Bancaria]],Listas!$B:$B,Listas!$A:$A,"")</f>
        <v>A&amp;M Imports</v>
      </c>
      <c r="D1120" s="41" t="s">
        <v>100</v>
      </c>
      <c r="E1120" s="68" t="str">
        <f>_xlfn.XLOOKUP(tblMovimientos[[#This Row],[Cuenta Bancaria]],Listas!$B:$B,Listas!$C:$C,"")</f>
        <v>Bank of America</v>
      </c>
      <c r="F1120" s="41" t="s">
        <v>9</v>
      </c>
      <c r="G1120" s="41" t="s">
        <v>68</v>
      </c>
      <c r="H1120" s="46" t="str">
        <f>IFERROR(_xlfn.XLOOKUP(G1120,Listas!E:E,Listas!F:F,""),"")</f>
        <v>Operativo</v>
      </c>
      <c r="I1120" s="46" t="str">
        <f>IFERROR(_xlfn.XLOOKUP(G1120,Listas!E:E,Listas!G:G,""),"")</f>
        <v>Externo</v>
      </c>
      <c r="J1120" s="43">
        <v>16978.900000000001</v>
      </c>
      <c r="K1120" s="5">
        <f t="shared" si="17"/>
        <v>16978.900000000001</v>
      </c>
      <c r="L1120" s="15" t="s">
        <v>133</v>
      </c>
      <c r="M1120" s="44">
        <f>SUMIFS('Saldos Iniciales'!$D:$D,'Saldos Iniciales'!$A:$A,C1120,'Saldos Iniciales'!$B:$B,D1120)+SUMIFS($K$1:$K$1324,$C$1:$C$1324,C1120,$D$1:$D$1324,D1120,$B$1:$B$1324,"&lt;="&amp;B1120)</f>
        <v>1330582.2599999998</v>
      </c>
      <c r="N1120" s="61">
        <f>IF(tblMovimientos[[#This Row],[Tipo de Movimiento]]="Ingreso",tblMovimientos[[#This Row],[Monto (S/)]],"0")</f>
        <v>16978.900000000001</v>
      </c>
      <c r="O1120" s="61" t="str">
        <f>IF(tblMovimientos[[#This Row],[Tipo de Movimiento]]="Egreso",tblMovimientos[[#This Row],[Monto (S/)]],"0")</f>
        <v>0</v>
      </c>
      <c r="P1120" s="28">
        <f>IF(tblMovimientos[[#This Row],[Tipo de Movimiento]]="Ingreso",tblMovimientos[[#This Row],[Ingreso]],-tblMovimientos[[#This Row],[Egreso]])</f>
        <v>16978.900000000001</v>
      </c>
      <c r="Q1120" s="78" t="str">
        <f>_xlfn.XLOOKUP(tblMovimientos[[#This Row],[Cuenta Bancaria]],Cuentas!$C:$C,Cuentas!$A:$A,"")&amp;""</f>
        <v>SSP Group</v>
      </c>
      <c r="R1120" s="78" t="str">
        <f>_xlfn.XLOOKUP(tblMovimientos[[#This Row],[Cuenta Bancaria]],Cuentas!$C:$C,Cuentas!$B:$B,"",0,-1)&amp;""</f>
        <v/>
      </c>
    </row>
    <row r="1121" spans="1:18" x14ac:dyDescent="0.3">
      <c r="B1121" s="39">
        <v>46293</v>
      </c>
      <c r="C1121" s="4" t="str">
        <f>_xlfn.XLOOKUP(tblMovimientos[[#This Row],[Cuenta Bancaria]],Listas!$B:$B,Listas!$A:$A,"")</f>
        <v>CFT Group</v>
      </c>
      <c r="D1121" s="41" t="s">
        <v>94</v>
      </c>
      <c r="E1121" s="68" t="str">
        <f>_xlfn.XLOOKUP(tblMovimientos[[#This Row],[Cuenta Bancaria]],Listas!$B:$B,Listas!$C:$C,"")</f>
        <v>Bank of America</v>
      </c>
      <c r="F1121" s="41" t="s">
        <v>9</v>
      </c>
      <c r="G1121" s="41" t="s">
        <v>68</v>
      </c>
      <c r="H1121" s="4" t="str">
        <f>IFERROR(_xlfn.XLOOKUP(G1121,Listas!E:E,Listas!F:F,""),"")</f>
        <v>Operativo</v>
      </c>
      <c r="I1121" s="46" t="str">
        <f>IFERROR(_xlfn.XLOOKUP(G1121,Listas!E:E,Listas!G:G,""),"")</f>
        <v>Externo</v>
      </c>
      <c r="J1121" s="43">
        <v>7796.5</v>
      </c>
      <c r="K1121" s="5">
        <f t="shared" si="17"/>
        <v>7796.5</v>
      </c>
      <c r="L1121" s="15" t="s">
        <v>133</v>
      </c>
      <c r="M1121" s="44">
        <f>SUMIFS('Saldos Iniciales'!$D:$D,'Saldos Iniciales'!$A:$A,C1121,'Saldos Iniciales'!$B:$B,D1121)+SUMIFS($K$1:$K$1324,$C$1:$C$1324,C1121,$D$1:$D$1324,D1121,$B$1:$B$1324,"&lt;="&amp;B1121)</f>
        <v>380018.52999999997</v>
      </c>
      <c r="N1121" s="61">
        <f>IF(tblMovimientos[[#This Row],[Tipo de Movimiento]]="Ingreso",tblMovimientos[[#This Row],[Monto (S/)]],"0")</f>
        <v>7796.5</v>
      </c>
      <c r="O1121" s="61" t="str">
        <f>IF(tblMovimientos[[#This Row],[Tipo de Movimiento]]="Egreso",tblMovimientos[[#This Row],[Monto (S/)]],"0")</f>
        <v>0</v>
      </c>
      <c r="P1121" s="28">
        <f>IF(tblMovimientos[[#This Row],[Tipo de Movimiento]]="Ingreso",tblMovimientos[[#This Row],[Ingreso]],-tblMovimientos[[#This Row],[Egreso]])</f>
        <v>7796.5</v>
      </c>
      <c r="Q1121" s="78" t="str">
        <f>_xlfn.XLOOKUP(tblMovimientos[[#This Row],[Cuenta Bancaria]],Cuentas!$C:$C,Cuentas!$A:$A,"")&amp;""</f>
        <v>SSP Group</v>
      </c>
      <c r="R1121" s="78" t="str">
        <f>_xlfn.XLOOKUP(tblMovimientos[[#This Row],[Cuenta Bancaria]],Cuentas!$C:$C,Cuentas!$B:$B,"",0,-1)&amp;""</f>
        <v/>
      </c>
    </row>
    <row r="1122" spans="1:18" x14ac:dyDescent="0.3">
      <c r="B1122" s="39">
        <v>46293</v>
      </c>
      <c r="C1122" s="4" t="str">
        <f>_xlfn.XLOOKUP(tblMovimientos[[#This Row],[Cuenta Bancaria]],Listas!$B:$B,Listas!$A:$A,"")</f>
        <v>112 Florida Ave</v>
      </c>
      <c r="D1122" s="41" t="s">
        <v>123</v>
      </c>
      <c r="E1122" s="68" t="str">
        <f>_xlfn.XLOOKUP(tblMovimientos[[#This Row],[Cuenta Bancaria]],Listas!$B:$B,Listas!$C:$C,"")</f>
        <v>Bank of America</v>
      </c>
      <c r="F1122" s="41" t="s">
        <v>10</v>
      </c>
      <c r="G1122" s="41" t="s">
        <v>44</v>
      </c>
      <c r="H1122" s="4" t="str">
        <f>IFERROR(_xlfn.XLOOKUP(G1122,Listas!E:E,Listas!F:F,""),"")</f>
        <v>Operativo</v>
      </c>
      <c r="I1122" s="46" t="str">
        <f>IFERROR(_xlfn.XLOOKUP(G1122,Listas!E:E,Listas!G:G,""),"")</f>
        <v>Externo</v>
      </c>
      <c r="J1122" s="43">
        <v>15</v>
      </c>
      <c r="K1122" s="5">
        <f t="shared" si="17"/>
        <v>-15</v>
      </c>
      <c r="L1122" s="15" t="s">
        <v>133</v>
      </c>
      <c r="M1122" s="44">
        <f>SUMIFS('Saldos Iniciales'!$D:$D,'Saldos Iniciales'!$A:$A,C1122,'Saldos Iniciales'!$B:$B,D1122)+SUMIFS($K$1:$K$1324,$C$1:$C$1324,C1122,$D$1:$D$1324,D1122,$B$1:$B$1324,"&lt;="&amp;B1122)</f>
        <v>23374.690000000006</v>
      </c>
      <c r="N1122" s="61" t="str">
        <f>IF(tblMovimientos[[#This Row],[Tipo de Movimiento]]="Ingreso",tblMovimientos[[#This Row],[Monto (S/)]],"0")</f>
        <v>0</v>
      </c>
      <c r="O1122" s="61">
        <f>IF(tblMovimientos[[#This Row],[Tipo de Movimiento]]="Egreso",tblMovimientos[[#This Row],[Monto (S/)]],"0")</f>
        <v>15</v>
      </c>
      <c r="P1122" s="28">
        <f>IF(tblMovimientos[[#This Row],[Tipo de Movimiento]]="Ingreso",tblMovimientos[[#This Row],[Ingreso]],-tblMovimientos[[#This Row],[Egreso]])</f>
        <v>-15</v>
      </c>
      <c r="Q1122" s="78" t="str">
        <f>_xlfn.XLOOKUP(tblMovimientos[[#This Row],[Cuenta Bancaria]],Cuentas!$C:$C,Cuentas!$A:$A,"")&amp;""</f>
        <v>SSP Group</v>
      </c>
      <c r="R1122" s="78" t="str">
        <f>_xlfn.XLOOKUP(tblMovimientos[[#This Row],[Cuenta Bancaria]],Cuentas!$C:$C,Cuentas!$B:$B,"",0,-1)&amp;""</f>
        <v/>
      </c>
    </row>
    <row r="1123" spans="1:18" x14ac:dyDescent="0.3">
      <c r="B1123" s="39">
        <v>46293</v>
      </c>
      <c r="C1123" s="4" t="str">
        <f>_xlfn.XLOOKUP(tblMovimientos[[#This Row],[Cuenta Bancaria]],Listas!$B:$B,Listas!$A:$A,"")</f>
        <v>3628 Thomas Ave</v>
      </c>
      <c r="D1123" s="41" t="s">
        <v>124</v>
      </c>
      <c r="E1123" s="68" t="str">
        <f>_xlfn.XLOOKUP(tblMovimientos[[#This Row],[Cuenta Bancaria]],Listas!$B:$B,Listas!$C:$C,"")</f>
        <v>Bank of America</v>
      </c>
      <c r="F1123" s="41" t="s">
        <v>10</v>
      </c>
      <c r="G1123" s="41" t="s">
        <v>38</v>
      </c>
      <c r="H1123" s="4" t="str">
        <f>IFERROR(_xlfn.XLOOKUP(G1123,Listas!E:E,Listas!F:F,""),"")</f>
        <v>Operativo</v>
      </c>
      <c r="I1123" s="46" t="str">
        <f>IFERROR(_xlfn.XLOOKUP(G1123,Listas!E:E,Listas!G:G,""),"")</f>
        <v>Externo</v>
      </c>
      <c r="J1123" s="43">
        <v>89.25</v>
      </c>
      <c r="K1123" s="5">
        <f t="shared" si="17"/>
        <v>-89.25</v>
      </c>
      <c r="L1123" s="15" t="s">
        <v>133</v>
      </c>
      <c r="M1123" s="44">
        <f>SUMIFS('Saldos Iniciales'!$D:$D,'Saldos Iniciales'!$A:$A,C1123,'Saldos Iniciales'!$B:$B,D1123)+SUMIFS($K$1:$K$1324,$C$1:$C$1324,C1123,$D$1:$D$1324,D1123,$B$1:$B$1324,"&lt;="&amp;B1123)</f>
        <v>16266.809999999998</v>
      </c>
      <c r="N1123" s="61" t="str">
        <f>IF(tblMovimientos[[#This Row],[Tipo de Movimiento]]="Ingreso",tblMovimientos[[#This Row],[Monto (S/)]],"0")</f>
        <v>0</v>
      </c>
      <c r="O1123" s="61">
        <f>IF(tblMovimientos[[#This Row],[Tipo de Movimiento]]="Egreso",tblMovimientos[[#This Row],[Monto (S/)]],"0")</f>
        <v>89.25</v>
      </c>
      <c r="P1123" s="28">
        <f>IF(tblMovimientos[[#This Row],[Tipo de Movimiento]]="Ingreso",tblMovimientos[[#This Row],[Ingreso]],-tblMovimientos[[#This Row],[Egreso]])</f>
        <v>-89.25</v>
      </c>
      <c r="Q1123" s="78" t="str">
        <f>_xlfn.XLOOKUP(tblMovimientos[[#This Row],[Cuenta Bancaria]],Cuentas!$C:$C,Cuentas!$A:$A,"")&amp;""</f>
        <v>SSP Group</v>
      </c>
      <c r="R1123" s="78" t="str">
        <f>_xlfn.XLOOKUP(tblMovimientos[[#This Row],[Cuenta Bancaria]],Cuentas!$C:$C,Cuentas!$B:$B,"",0,-1)&amp;""</f>
        <v/>
      </c>
    </row>
    <row r="1124" spans="1:18" x14ac:dyDescent="0.3">
      <c r="A1124" s="45"/>
      <c r="B1124" s="39">
        <v>46293</v>
      </c>
      <c r="C1124" s="4" t="str">
        <f>_xlfn.XLOOKUP(tblMovimientos[[#This Row],[Cuenta Bancaria]],Listas!$B:$B,Listas!$A:$A,"")</f>
        <v>3628 Thomas Ave</v>
      </c>
      <c r="D1124" s="41" t="s">
        <v>124</v>
      </c>
      <c r="E1124" s="68" t="str">
        <f>_xlfn.XLOOKUP(tblMovimientos[[#This Row],[Cuenta Bancaria]],Listas!$B:$B,Listas!$C:$C,"")</f>
        <v>Bank of America</v>
      </c>
      <c r="F1124" s="41" t="s">
        <v>10</v>
      </c>
      <c r="G1124" s="41" t="s">
        <v>38</v>
      </c>
      <c r="H1124" s="46" t="str">
        <f>IFERROR(_xlfn.XLOOKUP(G1124,Listas!E:E,Listas!F:F,""),"")</f>
        <v>Operativo</v>
      </c>
      <c r="I1124" s="46" t="str">
        <f>IFERROR(_xlfn.XLOOKUP(G1124,Listas!E:E,Listas!G:G,""),"")</f>
        <v>Externo</v>
      </c>
      <c r="J1124" s="43">
        <v>375</v>
      </c>
      <c r="K1124" s="5">
        <f t="shared" si="17"/>
        <v>-375</v>
      </c>
      <c r="L1124" s="15" t="s">
        <v>133</v>
      </c>
      <c r="M1124" s="44">
        <f>SUMIFS('Saldos Iniciales'!$D:$D,'Saldos Iniciales'!$A:$A,C1124,'Saldos Iniciales'!$B:$B,D1124)+SUMIFS($K$1:$K$1324,$C$1:$C$1324,C1124,$D$1:$D$1324,D1124,$B$1:$B$1324,"&lt;="&amp;B1124)</f>
        <v>16266.809999999998</v>
      </c>
      <c r="N1124" s="61" t="str">
        <f>IF(tblMovimientos[[#This Row],[Tipo de Movimiento]]="Ingreso",tblMovimientos[[#This Row],[Monto (S/)]],"0")</f>
        <v>0</v>
      </c>
      <c r="O1124" s="61">
        <f>IF(tblMovimientos[[#This Row],[Tipo de Movimiento]]="Egreso",tblMovimientos[[#This Row],[Monto (S/)]],"0")</f>
        <v>375</v>
      </c>
      <c r="P1124" s="28">
        <f>IF(tblMovimientos[[#This Row],[Tipo de Movimiento]]="Ingreso",tblMovimientos[[#This Row],[Ingreso]],-tblMovimientos[[#This Row],[Egreso]])</f>
        <v>-375</v>
      </c>
      <c r="Q1124" s="78" t="str">
        <f>_xlfn.XLOOKUP(tblMovimientos[[#This Row],[Cuenta Bancaria]],Cuentas!$C:$C,Cuentas!$A:$A,"")&amp;""</f>
        <v>SSP Group</v>
      </c>
      <c r="R1124" s="78" t="str">
        <f>_xlfn.XLOOKUP(tblMovimientos[[#This Row],[Cuenta Bancaria]],Cuentas!$C:$C,Cuentas!$B:$B,"",0,-1)&amp;""</f>
        <v/>
      </c>
    </row>
    <row r="1125" spans="1:18" x14ac:dyDescent="0.3">
      <c r="B1125" s="39">
        <v>46293</v>
      </c>
      <c r="C1125" s="4" t="str">
        <f>_xlfn.XLOOKUP(tblMovimientos[[#This Row],[Cuenta Bancaria]],Listas!$B:$B,Listas!$A:$A,"")</f>
        <v>3628 Thomas Ave</v>
      </c>
      <c r="D1125" s="41" t="s">
        <v>124</v>
      </c>
      <c r="E1125" s="68" t="str">
        <f>_xlfn.XLOOKUP(tblMovimientos[[#This Row],[Cuenta Bancaria]],Listas!$B:$B,Listas!$C:$C,"")</f>
        <v>Bank of America</v>
      </c>
      <c r="F1125" s="41" t="s">
        <v>10</v>
      </c>
      <c r="G1125" s="41" t="s">
        <v>38</v>
      </c>
      <c r="H1125" s="4" t="str">
        <f>IFERROR(_xlfn.XLOOKUP(G1125,Listas!E:E,Listas!F:F,""),"")</f>
        <v>Operativo</v>
      </c>
      <c r="I1125" s="46" t="str">
        <f>IFERROR(_xlfn.XLOOKUP(G1125,Listas!E:E,Listas!G:G,""),"")</f>
        <v>Externo</v>
      </c>
      <c r="J1125" s="43">
        <v>150</v>
      </c>
      <c r="K1125" s="5">
        <f t="shared" si="17"/>
        <v>-150</v>
      </c>
      <c r="L1125" s="15" t="s">
        <v>133</v>
      </c>
      <c r="M1125" s="44">
        <f>SUMIFS('Saldos Iniciales'!$D:$D,'Saldos Iniciales'!$A:$A,C1125,'Saldos Iniciales'!$B:$B,D1125)+SUMIFS($K$1:$K$1324,$C$1:$C$1324,C1125,$D$1:$D$1324,D1125,$B$1:$B$1324,"&lt;="&amp;B1125)</f>
        <v>16266.809999999998</v>
      </c>
      <c r="N1125" s="61" t="str">
        <f>IF(tblMovimientos[[#This Row],[Tipo de Movimiento]]="Ingreso",tblMovimientos[[#This Row],[Monto (S/)]],"0")</f>
        <v>0</v>
      </c>
      <c r="O1125" s="61">
        <f>IF(tblMovimientos[[#This Row],[Tipo de Movimiento]]="Egreso",tblMovimientos[[#This Row],[Monto (S/)]],"0")</f>
        <v>150</v>
      </c>
      <c r="P1125" s="28">
        <f>IF(tblMovimientos[[#This Row],[Tipo de Movimiento]]="Ingreso",tblMovimientos[[#This Row],[Ingreso]],-tblMovimientos[[#This Row],[Egreso]])</f>
        <v>-150</v>
      </c>
      <c r="Q1125" s="78" t="str">
        <f>_xlfn.XLOOKUP(tblMovimientos[[#This Row],[Cuenta Bancaria]],Cuentas!$C:$C,Cuentas!$A:$A,"")&amp;""</f>
        <v>SSP Group</v>
      </c>
      <c r="R1125" s="78" t="str">
        <f>_xlfn.XLOOKUP(tblMovimientos[[#This Row],[Cuenta Bancaria]],Cuentas!$C:$C,Cuentas!$B:$B,"",0,-1)&amp;""</f>
        <v/>
      </c>
    </row>
    <row r="1126" spans="1:18" x14ac:dyDescent="0.3">
      <c r="B1126" s="39">
        <v>46293</v>
      </c>
      <c r="C1126" s="4" t="str">
        <f>_xlfn.XLOOKUP(tblMovimientos[[#This Row],[Cuenta Bancaria]],Listas!$B:$B,Listas!$A:$A,"")</f>
        <v>3628 Thomas Ave</v>
      </c>
      <c r="D1126" s="41" t="s">
        <v>124</v>
      </c>
      <c r="E1126" s="68" t="str">
        <f>_xlfn.XLOOKUP(tblMovimientos[[#This Row],[Cuenta Bancaria]],Listas!$B:$B,Listas!$C:$C,"")</f>
        <v>Bank of America</v>
      </c>
      <c r="F1126" s="41" t="s">
        <v>10</v>
      </c>
      <c r="G1126" s="41" t="s">
        <v>44</v>
      </c>
      <c r="H1126" s="4" t="str">
        <f>IFERROR(_xlfn.XLOOKUP(G1126,Listas!E:E,Listas!F:F,""),"")</f>
        <v>Operativo</v>
      </c>
      <c r="I1126" s="46" t="str">
        <f>IFERROR(_xlfn.XLOOKUP(G1126,Listas!E:E,Listas!G:G,""),"")</f>
        <v>Externo</v>
      </c>
      <c r="J1126" s="43">
        <v>15</v>
      </c>
      <c r="K1126" s="5">
        <f t="shared" si="17"/>
        <v>-15</v>
      </c>
      <c r="L1126" s="15" t="s">
        <v>133</v>
      </c>
      <c r="M1126" s="44">
        <f>SUMIFS('Saldos Iniciales'!$D:$D,'Saldos Iniciales'!$A:$A,C1126,'Saldos Iniciales'!$B:$B,D1126)+SUMIFS($K$1:$K$1324,$C$1:$C$1324,C1126,$D$1:$D$1324,D1126,$B$1:$B$1324,"&lt;="&amp;B1126)</f>
        <v>16266.809999999998</v>
      </c>
      <c r="N1126" s="61" t="str">
        <f>IF(tblMovimientos[[#This Row],[Tipo de Movimiento]]="Ingreso",tblMovimientos[[#This Row],[Monto (S/)]],"0")</f>
        <v>0</v>
      </c>
      <c r="O1126" s="61">
        <f>IF(tblMovimientos[[#This Row],[Tipo de Movimiento]]="Egreso",tblMovimientos[[#This Row],[Monto (S/)]],"0")</f>
        <v>15</v>
      </c>
      <c r="P1126" s="28">
        <f>IF(tblMovimientos[[#This Row],[Tipo de Movimiento]]="Ingreso",tblMovimientos[[#This Row],[Ingreso]],-tblMovimientos[[#This Row],[Egreso]])</f>
        <v>-15</v>
      </c>
      <c r="Q1126" s="78" t="str">
        <f>_xlfn.XLOOKUP(tblMovimientos[[#This Row],[Cuenta Bancaria]],Cuentas!$C:$C,Cuentas!$A:$A,"")&amp;""</f>
        <v>SSP Group</v>
      </c>
      <c r="R1126" s="78" t="str">
        <f>_xlfn.XLOOKUP(tblMovimientos[[#This Row],[Cuenta Bancaria]],Cuentas!$C:$C,Cuentas!$B:$B,"",0,-1)&amp;""</f>
        <v/>
      </c>
    </row>
    <row r="1127" spans="1:18" x14ac:dyDescent="0.3">
      <c r="B1127" s="39">
        <v>46293</v>
      </c>
      <c r="C1127" s="4" t="str">
        <f>_xlfn.XLOOKUP(tblMovimientos[[#This Row],[Cuenta Bancaria]],Listas!$B:$B,Listas!$A:$A,"")</f>
        <v>Prendamas SRL</v>
      </c>
      <c r="D1127" s="41" t="s">
        <v>186</v>
      </c>
      <c r="E1127" s="68" t="str">
        <f>_xlfn.XLOOKUP(tblMovimientos[[#This Row],[Cuenta Bancaria]],Listas!$B:$B,Listas!$C:$C,"")</f>
        <v xml:space="preserve">Amerant Bank </v>
      </c>
      <c r="F1127" s="41" t="s">
        <v>10</v>
      </c>
      <c r="G1127" s="41" t="s">
        <v>38</v>
      </c>
      <c r="H1127" s="4" t="str">
        <f>IFERROR(_xlfn.XLOOKUP(G1127,Listas!E:E,Listas!F:F,""),"")</f>
        <v>Operativo</v>
      </c>
      <c r="I1127" s="46" t="str">
        <f>IFERROR(_xlfn.XLOOKUP(G1127,Listas!E:E,Listas!G:G,""),"")</f>
        <v>Externo</v>
      </c>
      <c r="J1127" s="43">
        <v>490.38</v>
      </c>
      <c r="K1127" s="5">
        <f t="shared" si="17"/>
        <v>-490.38</v>
      </c>
      <c r="L1127" s="15" t="s">
        <v>133</v>
      </c>
      <c r="M1127" s="44">
        <f>SUMIFS('Saldos Iniciales'!$D:$D,'Saldos Iniciales'!$A:$A,C1127,'Saldos Iniciales'!$B:$B,D1127)+SUMIFS($K$1:$K$1324,$C$1:$C$1324,C1127,$D$1:$D$1324,D1127,$B$1:$B$1324,"&lt;="&amp;B1127)</f>
        <v>22456.779999999955</v>
      </c>
      <c r="N1127" s="61" t="str">
        <f>IF(tblMovimientos[[#This Row],[Tipo de Movimiento]]="Ingreso",tblMovimientos[[#This Row],[Monto (S/)]],"0")</f>
        <v>0</v>
      </c>
      <c r="O1127" s="61">
        <f>IF(tblMovimientos[[#This Row],[Tipo de Movimiento]]="Egreso",tblMovimientos[[#This Row],[Monto (S/)]],"0")</f>
        <v>490.38</v>
      </c>
      <c r="P1127" s="28">
        <f>IF(tblMovimientos[[#This Row],[Tipo de Movimiento]]="Ingreso",tblMovimientos[[#This Row],[Ingreso]],-tblMovimientos[[#This Row],[Egreso]])</f>
        <v>-490.38</v>
      </c>
      <c r="Q1127" s="78" t="str">
        <f>_xlfn.XLOOKUP(tblMovimientos[[#This Row],[Cuenta Bancaria]],Cuentas!$C:$C,Cuentas!$A:$A,"")&amp;""</f>
        <v>Unidades de Negocio</v>
      </c>
      <c r="R1127" s="78" t="str">
        <f>_xlfn.XLOOKUP(tblMovimientos[[#This Row],[Cuenta Bancaria]],Cuentas!$C:$C,Cuentas!$B:$B,"",0,-1)&amp;""</f>
        <v/>
      </c>
    </row>
    <row r="1128" spans="1:18" x14ac:dyDescent="0.3">
      <c r="A1128" s="45"/>
      <c r="B1128" s="39">
        <v>46293</v>
      </c>
      <c r="C1128" s="4" t="str">
        <f>_xlfn.XLOOKUP(tblMovimientos[[#This Row],[Cuenta Bancaria]],Listas!$B:$B,Listas!$A:$A,"")</f>
        <v>Prendamas SRL</v>
      </c>
      <c r="D1128" s="41" t="s">
        <v>186</v>
      </c>
      <c r="E1128" s="68" t="str">
        <f>_xlfn.XLOOKUP(tblMovimientos[[#This Row],[Cuenta Bancaria]],Listas!$B:$B,Listas!$C:$C,"")</f>
        <v xml:space="preserve">Amerant Bank </v>
      </c>
      <c r="F1128" s="41" t="s">
        <v>10</v>
      </c>
      <c r="G1128" s="41" t="s">
        <v>44</v>
      </c>
      <c r="H1128" s="46" t="str">
        <f>IFERROR(_xlfn.XLOOKUP(G1128,Listas!E:E,Listas!F:F,""),"")</f>
        <v>Operativo</v>
      </c>
      <c r="I1128" s="46" t="str">
        <f>IFERROR(_xlfn.XLOOKUP(G1128,Listas!E:E,Listas!G:G,""),"")</f>
        <v>Externo</v>
      </c>
      <c r="J1128" s="43">
        <v>14.71</v>
      </c>
      <c r="K1128" s="5">
        <f t="shared" si="17"/>
        <v>-14.71</v>
      </c>
      <c r="L1128" s="15" t="s">
        <v>133</v>
      </c>
      <c r="M1128" s="44">
        <f>SUMIFS('Saldos Iniciales'!$D:$D,'Saldos Iniciales'!$A:$A,C1128,'Saldos Iniciales'!$B:$B,D1128)+SUMIFS($K$1:$K$1324,$C$1:$C$1324,C1128,$D$1:$D$1324,D1128,$B$1:$B$1324,"&lt;="&amp;B1128)</f>
        <v>22456.779999999955</v>
      </c>
      <c r="N1128" s="61" t="str">
        <f>IF(tblMovimientos[[#This Row],[Tipo de Movimiento]]="Ingreso",tblMovimientos[[#This Row],[Monto (S/)]],"0")</f>
        <v>0</v>
      </c>
      <c r="O1128" s="61">
        <f>IF(tblMovimientos[[#This Row],[Tipo de Movimiento]]="Egreso",tblMovimientos[[#This Row],[Monto (S/)]],"0")</f>
        <v>14.71</v>
      </c>
      <c r="P1128" s="28">
        <f>IF(tblMovimientos[[#This Row],[Tipo de Movimiento]]="Ingreso",tblMovimientos[[#This Row],[Ingreso]],-tblMovimientos[[#This Row],[Egreso]])</f>
        <v>-14.71</v>
      </c>
      <c r="Q1128" s="78" t="str">
        <f>_xlfn.XLOOKUP(tblMovimientos[[#This Row],[Cuenta Bancaria]],Cuentas!$C:$C,Cuentas!$A:$A,"")&amp;""</f>
        <v>Unidades de Negocio</v>
      </c>
      <c r="R1128" s="78" t="str">
        <f>_xlfn.XLOOKUP(tblMovimientos[[#This Row],[Cuenta Bancaria]],Cuentas!$C:$C,Cuentas!$B:$B,"",0,-1)&amp;""</f>
        <v/>
      </c>
    </row>
    <row r="1129" spans="1:18" x14ac:dyDescent="0.3">
      <c r="B1129" s="39">
        <v>46293</v>
      </c>
      <c r="C1129" s="4" t="str">
        <f>_xlfn.XLOOKUP(tblMovimientos[[#This Row],[Cuenta Bancaria]],Listas!$B:$B,Listas!$A:$A,"")</f>
        <v>Nobe Aparments</v>
      </c>
      <c r="D1129" s="41" t="s">
        <v>191</v>
      </c>
      <c r="E1129" s="68" t="str">
        <f>_xlfn.XLOOKUP(tblMovimientos[[#This Row],[Cuenta Bancaria]],Listas!$B:$B,Listas!$C:$C,"")</f>
        <v>Bank of America</v>
      </c>
      <c r="F1129" s="41" t="s">
        <v>9</v>
      </c>
      <c r="G1129" s="41" t="s">
        <v>81</v>
      </c>
      <c r="H1129" s="4" t="str">
        <f>IFERROR(_xlfn.XLOOKUP(G1129,Listas!E:E,Listas!F:F,""),"")</f>
        <v>Operativo</v>
      </c>
      <c r="I1129" s="46" t="str">
        <f>IFERROR(_xlfn.XLOOKUP(G1129,Listas!E:E,Listas!G:G,""),"")</f>
        <v>Externo</v>
      </c>
      <c r="J1129" s="43">
        <v>1850</v>
      </c>
      <c r="K1129" s="5">
        <f t="shared" si="17"/>
        <v>1850</v>
      </c>
      <c r="L1129" s="15" t="s">
        <v>133</v>
      </c>
      <c r="M1129" s="44">
        <f>SUMIFS('Saldos Iniciales'!$D:$D,'Saldos Iniciales'!$A:$A,C1129,'Saldos Iniciales'!$B:$B,D1129)+SUMIFS($K$1:$K$1324,$C$1:$C$1324,C1129,$D$1:$D$1324,D1129,$B$1:$B$1324,"&lt;="&amp;B1129)</f>
        <v>206789.46</v>
      </c>
      <c r="N1129" s="61">
        <f>IF(tblMovimientos[[#This Row],[Tipo de Movimiento]]="Ingreso",tblMovimientos[[#This Row],[Monto (S/)]],"0")</f>
        <v>1850</v>
      </c>
      <c r="O1129" s="61" t="str">
        <f>IF(tblMovimientos[[#This Row],[Tipo de Movimiento]]="Egreso",tblMovimientos[[#This Row],[Monto (S/)]],"0")</f>
        <v>0</v>
      </c>
      <c r="P1129" s="28">
        <f>IF(tblMovimientos[[#This Row],[Tipo de Movimiento]]="Ingreso",tblMovimientos[[#This Row],[Ingreso]],-tblMovimientos[[#This Row],[Egreso]])</f>
        <v>1850</v>
      </c>
      <c r="Q1129" s="78" t="str">
        <f>_xlfn.XLOOKUP(tblMovimientos[[#This Row],[Cuenta Bancaria]],Cuentas!$C:$C,Cuentas!$A:$A,"")&amp;""</f>
        <v>Estate</v>
      </c>
      <c r="R1129" s="78" t="str">
        <f>_xlfn.XLOOKUP(tblMovimientos[[#This Row],[Cuenta Bancaria]],Cuentas!$C:$C,Cuentas!$B:$B,"",0,-1)&amp;""</f>
        <v/>
      </c>
    </row>
    <row r="1130" spans="1:18" x14ac:dyDescent="0.3">
      <c r="A1130" s="45"/>
      <c r="B1130" s="39">
        <v>46294</v>
      </c>
      <c r="C1130" s="4" t="str">
        <f>_xlfn.XLOOKUP(tblMovimientos[[#This Row],[Cuenta Bancaria]],Listas!$B:$B,Listas!$A:$A,"")</f>
        <v>SSP Capital</v>
      </c>
      <c r="D1130" s="41" t="s">
        <v>101</v>
      </c>
      <c r="E1130" s="68" t="str">
        <f>_xlfn.XLOOKUP(tblMovimientos[[#This Row],[Cuenta Bancaria]],Listas!$B:$B,Listas!$C:$C,"")</f>
        <v>Bank of America</v>
      </c>
      <c r="F1130" s="41" t="s">
        <v>10</v>
      </c>
      <c r="G1130" s="41" t="s">
        <v>48</v>
      </c>
      <c r="H1130" s="46" t="str">
        <f>IFERROR(_xlfn.XLOOKUP(G1130,Listas!E:E,Listas!F:F,""),"")</f>
        <v>Financiamiento</v>
      </c>
      <c r="I1130" s="46" t="str">
        <f>IFERROR(_xlfn.XLOOKUP(G1130,Listas!E:E,Listas!G:G,""),"")</f>
        <v>Externo</v>
      </c>
      <c r="J1130" s="43">
        <v>526.75</v>
      </c>
      <c r="K1130" s="5">
        <f t="shared" si="17"/>
        <v>-526.75</v>
      </c>
      <c r="L1130" s="15" t="s">
        <v>133</v>
      </c>
      <c r="M1130" s="44">
        <f>SUMIFS('Saldos Iniciales'!$D:$D,'Saldos Iniciales'!$A:$A,C1130,'Saldos Iniciales'!$B:$B,D1130)+SUMIFS($K$1:$K$1324,$C$1:$C$1324,C1130,$D$1:$D$1324,D1130,$B$1:$B$1324,"&lt;="&amp;B1130)</f>
        <v>21115.380000000005</v>
      </c>
      <c r="N1130" s="61" t="str">
        <f>IF(tblMovimientos[[#This Row],[Tipo de Movimiento]]="Ingreso",tblMovimientos[[#This Row],[Monto (S/)]],"0")</f>
        <v>0</v>
      </c>
      <c r="O1130" s="61">
        <f>IF(tblMovimientos[[#This Row],[Tipo de Movimiento]]="Egreso",tblMovimientos[[#This Row],[Monto (S/)]],"0")</f>
        <v>526.75</v>
      </c>
      <c r="P1130" s="28">
        <f>IF(tblMovimientos[[#This Row],[Tipo de Movimiento]]="Ingreso",tblMovimientos[[#This Row],[Ingreso]],-tblMovimientos[[#This Row],[Egreso]])</f>
        <v>-526.75</v>
      </c>
      <c r="Q1130" s="78" t="str">
        <f>_xlfn.XLOOKUP(tblMovimientos[[#This Row],[Cuenta Bancaria]],Cuentas!$C:$C,Cuentas!$A:$A,"")&amp;""</f>
        <v>SSP Group</v>
      </c>
      <c r="R1130" s="78" t="str">
        <f>_xlfn.XLOOKUP(tblMovimientos[[#This Row],[Cuenta Bancaria]],Cuentas!$C:$C,Cuentas!$B:$B,"",0,-1)&amp;""</f>
        <v/>
      </c>
    </row>
    <row r="1131" spans="1:18" x14ac:dyDescent="0.3">
      <c r="B1131" s="39">
        <v>46294</v>
      </c>
      <c r="C1131" s="4" t="str">
        <f>_xlfn.XLOOKUP(tblMovimientos[[#This Row],[Cuenta Bancaria]],Listas!$B:$B,Listas!$A:$A,"")</f>
        <v>SSP Capital</v>
      </c>
      <c r="D1131" s="41" t="s">
        <v>101</v>
      </c>
      <c r="E1131" s="68" t="str">
        <f>_xlfn.XLOOKUP(tblMovimientos[[#This Row],[Cuenta Bancaria]],Listas!$B:$B,Listas!$C:$C,"")</f>
        <v>Bank of America</v>
      </c>
      <c r="F1131" s="41" t="s">
        <v>10</v>
      </c>
      <c r="G1131" s="41" t="s">
        <v>38</v>
      </c>
      <c r="H1131" s="4" t="str">
        <f>IFERROR(_xlfn.XLOOKUP(G1131,Listas!E:E,Listas!F:F,""),"")</f>
        <v>Operativo</v>
      </c>
      <c r="I1131" s="46" t="str">
        <f>IFERROR(_xlfn.XLOOKUP(G1131,Listas!E:E,Listas!G:G,""),"")</f>
        <v>Externo</v>
      </c>
      <c r="J1131" s="43">
        <v>194.86</v>
      </c>
      <c r="K1131" s="5">
        <f t="shared" si="17"/>
        <v>-194.86</v>
      </c>
      <c r="L1131" s="15" t="s">
        <v>133</v>
      </c>
      <c r="M1131" s="44">
        <f>SUMIFS('Saldos Iniciales'!$D:$D,'Saldos Iniciales'!$A:$A,C1131,'Saldos Iniciales'!$B:$B,D1131)+SUMIFS($K$1:$K$1324,$C$1:$C$1324,C1131,$D$1:$D$1324,D1131,$B$1:$B$1324,"&lt;="&amp;B1131)</f>
        <v>21115.380000000005</v>
      </c>
      <c r="N1131" s="61" t="str">
        <f>IF(tblMovimientos[[#This Row],[Tipo de Movimiento]]="Ingreso",tblMovimientos[[#This Row],[Monto (S/)]],"0")</f>
        <v>0</v>
      </c>
      <c r="O1131" s="61">
        <f>IF(tblMovimientos[[#This Row],[Tipo de Movimiento]]="Egreso",tblMovimientos[[#This Row],[Monto (S/)]],"0")</f>
        <v>194.86</v>
      </c>
      <c r="P1131" s="28">
        <f>IF(tblMovimientos[[#This Row],[Tipo de Movimiento]]="Ingreso",tblMovimientos[[#This Row],[Ingreso]],-tblMovimientos[[#This Row],[Egreso]])</f>
        <v>-194.86</v>
      </c>
      <c r="Q1131" s="78" t="str">
        <f>_xlfn.XLOOKUP(tblMovimientos[[#This Row],[Cuenta Bancaria]],Cuentas!$C:$C,Cuentas!$A:$A,"")&amp;""</f>
        <v>SSP Group</v>
      </c>
      <c r="R1131" s="78" t="str">
        <f>_xlfn.XLOOKUP(tblMovimientos[[#This Row],[Cuenta Bancaria]],Cuentas!$C:$C,Cuentas!$B:$B,"",0,-1)&amp;""</f>
        <v/>
      </c>
    </row>
    <row r="1132" spans="1:18" x14ac:dyDescent="0.3">
      <c r="A1132" s="45"/>
      <c r="B1132" s="39">
        <v>46294</v>
      </c>
      <c r="C1132" s="4" t="str">
        <f>_xlfn.XLOOKUP(tblMovimientos[[#This Row],[Cuenta Bancaria]],Listas!$B:$B,Listas!$A:$A,"")</f>
        <v>CFT Group</v>
      </c>
      <c r="D1132" s="41" t="s">
        <v>94</v>
      </c>
      <c r="E1132" s="68" t="str">
        <f>_xlfn.XLOOKUP(tblMovimientos[[#This Row],[Cuenta Bancaria]],Listas!$B:$B,Listas!$C:$C,"")</f>
        <v>Bank of America</v>
      </c>
      <c r="F1132" s="41" t="s">
        <v>9</v>
      </c>
      <c r="G1132" s="41" t="s">
        <v>68</v>
      </c>
      <c r="H1132" s="46" t="str">
        <f>IFERROR(_xlfn.XLOOKUP(G1132,Listas!E:E,Listas!F:F,""),"")</f>
        <v>Operativo</v>
      </c>
      <c r="I1132" s="46" t="str">
        <f>IFERROR(_xlfn.XLOOKUP(G1132,Listas!E:E,Listas!G:G,""),"")</f>
        <v>Externo</v>
      </c>
      <c r="J1132" s="43">
        <v>184.93</v>
      </c>
      <c r="K1132" s="5">
        <f t="shared" si="17"/>
        <v>184.93</v>
      </c>
      <c r="L1132" s="15" t="s">
        <v>133</v>
      </c>
      <c r="M1132" s="44">
        <f>SUMIFS('Saldos Iniciales'!$D:$D,'Saldos Iniciales'!$A:$A,C1132,'Saldos Iniciales'!$B:$B,D1132)+SUMIFS($K$1:$K$1324,$C$1:$C$1324,C1132,$D$1:$D$1324,D1132,$B$1:$B$1324,"&lt;="&amp;B1132)</f>
        <v>377225.5</v>
      </c>
      <c r="N1132" s="61">
        <f>IF(tblMovimientos[[#This Row],[Tipo de Movimiento]]="Ingreso",tblMovimientos[[#This Row],[Monto (S/)]],"0")</f>
        <v>184.93</v>
      </c>
      <c r="O1132" s="61" t="str">
        <f>IF(tblMovimientos[[#This Row],[Tipo de Movimiento]]="Egreso",tblMovimientos[[#This Row],[Monto (S/)]],"0")</f>
        <v>0</v>
      </c>
      <c r="P1132" s="28">
        <f>IF(tblMovimientos[[#This Row],[Tipo de Movimiento]]="Ingreso",tblMovimientos[[#This Row],[Ingreso]],-tblMovimientos[[#This Row],[Egreso]])</f>
        <v>184.93</v>
      </c>
      <c r="Q1132" s="78" t="str">
        <f>_xlfn.XLOOKUP(tblMovimientos[[#This Row],[Cuenta Bancaria]],Cuentas!$C:$C,Cuentas!$A:$A,"")&amp;""</f>
        <v>SSP Group</v>
      </c>
      <c r="R1132" s="78" t="str">
        <f>_xlfn.XLOOKUP(tblMovimientos[[#This Row],[Cuenta Bancaria]],Cuentas!$C:$C,Cuentas!$B:$B,"",0,-1)&amp;""</f>
        <v/>
      </c>
    </row>
    <row r="1133" spans="1:18" x14ac:dyDescent="0.3">
      <c r="B1133" s="39">
        <v>46294</v>
      </c>
      <c r="C1133" s="4" t="str">
        <f>_xlfn.XLOOKUP(tblMovimientos[[#This Row],[Cuenta Bancaria]],Listas!$B:$B,Listas!$A:$A,"")</f>
        <v>CFT Group</v>
      </c>
      <c r="D1133" s="41" t="s">
        <v>94</v>
      </c>
      <c r="E1133" s="68" t="str">
        <f>_xlfn.XLOOKUP(tblMovimientos[[#This Row],[Cuenta Bancaria]],Listas!$B:$B,Listas!$C:$C,"")</f>
        <v>Bank of America</v>
      </c>
      <c r="F1133" s="41" t="s">
        <v>10</v>
      </c>
      <c r="G1133" s="41" t="s">
        <v>46</v>
      </c>
      <c r="H1133" s="4" t="str">
        <f>IFERROR(_xlfn.XLOOKUP(G1133,Listas!E:E,Listas!F:F,""),"")</f>
        <v>Financiamiento</v>
      </c>
      <c r="I1133" s="46" t="str">
        <f>IFERROR(_xlfn.XLOOKUP(G1133,Listas!E:E,Listas!G:G,""),"")</f>
        <v>Externo</v>
      </c>
      <c r="J1133" s="43">
        <v>2977.96</v>
      </c>
      <c r="K1133" s="5">
        <f t="shared" si="17"/>
        <v>-2977.96</v>
      </c>
      <c r="L1133" s="15" t="s">
        <v>133</v>
      </c>
      <c r="M1133" s="44">
        <f>SUMIFS('Saldos Iniciales'!$D:$D,'Saldos Iniciales'!$A:$A,C1133,'Saldos Iniciales'!$B:$B,D1133)+SUMIFS($K$1:$K$1324,$C$1:$C$1324,C1133,$D$1:$D$1324,D1133,$B$1:$B$1324,"&lt;="&amp;B1133)</f>
        <v>377225.5</v>
      </c>
      <c r="N1133" s="61" t="str">
        <f>IF(tblMovimientos[[#This Row],[Tipo de Movimiento]]="Ingreso",tblMovimientos[[#This Row],[Monto (S/)]],"0")</f>
        <v>0</v>
      </c>
      <c r="O1133" s="61">
        <f>IF(tblMovimientos[[#This Row],[Tipo de Movimiento]]="Egreso",tblMovimientos[[#This Row],[Monto (S/)]],"0")</f>
        <v>2977.96</v>
      </c>
      <c r="P1133" s="28">
        <f>IF(tblMovimientos[[#This Row],[Tipo de Movimiento]]="Ingreso",tblMovimientos[[#This Row],[Ingreso]],-tblMovimientos[[#This Row],[Egreso]])</f>
        <v>-2977.96</v>
      </c>
      <c r="Q1133" s="78" t="str">
        <f>_xlfn.XLOOKUP(tblMovimientos[[#This Row],[Cuenta Bancaria]],Cuentas!$C:$C,Cuentas!$A:$A,"")&amp;""</f>
        <v>SSP Group</v>
      </c>
      <c r="R1133" s="78" t="str">
        <f>_xlfn.XLOOKUP(tblMovimientos[[#This Row],[Cuenta Bancaria]],Cuentas!$C:$C,Cuentas!$B:$B,"",0,-1)&amp;""</f>
        <v/>
      </c>
    </row>
    <row r="1134" spans="1:18" x14ac:dyDescent="0.3">
      <c r="A1134" s="45"/>
      <c r="B1134" s="39">
        <v>46294</v>
      </c>
      <c r="C1134" s="4" t="str">
        <f>_xlfn.XLOOKUP(tblMovimientos[[#This Row],[Cuenta Bancaria]],Listas!$B:$B,Listas!$A:$A,"")</f>
        <v>3628 Thomas Ave</v>
      </c>
      <c r="D1134" s="41" t="s">
        <v>124</v>
      </c>
      <c r="E1134" s="68" t="str">
        <f>_xlfn.XLOOKUP(tblMovimientos[[#This Row],[Cuenta Bancaria]],Listas!$B:$B,Listas!$C:$C,"")</f>
        <v>Bank of America</v>
      </c>
      <c r="F1134" s="41" t="s">
        <v>9</v>
      </c>
      <c r="G1134" s="41" t="s">
        <v>81</v>
      </c>
      <c r="H1134" s="46" t="str">
        <f>IFERROR(_xlfn.XLOOKUP(G1134,Listas!E:E,Listas!F:F,""),"")</f>
        <v>Operativo</v>
      </c>
      <c r="I1134" s="46" t="str">
        <f>IFERROR(_xlfn.XLOOKUP(G1134,Listas!E:E,Listas!G:G,""),"")</f>
        <v>Externo</v>
      </c>
      <c r="J1134" s="43">
        <v>3000</v>
      </c>
      <c r="K1134" s="5">
        <f t="shared" si="17"/>
        <v>3000</v>
      </c>
      <c r="L1134" s="15" t="s">
        <v>133</v>
      </c>
      <c r="M1134" s="44">
        <f>SUMIFS('Saldos Iniciales'!$D:$D,'Saldos Iniciales'!$A:$A,C1134,'Saldos Iniciales'!$B:$B,D1134)+SUMIFS($K$1:$K$1324,$C$1:$C$1324,C1134,$D$1:$D$1324,D1134,$B$1:$B$1324,"&lt;="&amp;B1134)</f>
        <v>19266.809999999998</v>
      </c>
      <c r="N1134" s="61">
        <f>IF(tblMovimientos[[#This Row],[Tipo de Movimiento]]="Ingreso",tblMovimientos[[#This Row],[Monto (S/)]],"0")</f>
        <v>3000</v>
      </c>
      <c r="O1134" s="61" t="str">
        <f>IF(tblMovimientos[[#This Row],[Tipo de Movimiento]]="Egreso",tblMovimientos[[#This Row],[Monto (S/)]],"0")</f>
        <v>0</v>
      </c>
      <c r="P1134" s="28">
        <f>IF(tblMovimientos[[#This Row],[Tipo de Movimiento]]="Ingreso",tblMovimientos[[#This Row],[Ingreso]],-tblMovimientos[[#This Row],[Egreso]])</f>
        <v>3000</v>
      </c>
      <c r="Q1134" s="78" t="str">
        <f>_xlfn.XLOOKUP(tblMovimientos[[#This Row],[Cuenta Bancaria]],Cuentas!$C:$C,Cuentas!$A:$A,"")&amp;""</f>
        <v>SSP Group</v>
      </c>
      <c r="R1134" s="78" t="str">
        <f>_xlfn.XLOOKUP(tblMovimientos[[#This Row],[Cuenta Bancaria]],Cuentas!$C:$C,Cuentas!$B:$B,"",0,-1)&amp;""</f>
        <v/>
      </c>
    </row>
    <row r="1135" spans="1:18" x14ac:dyDescent="0.3">
      <c r="B1135" s="39">
        <v>46294</v>
      </c>
      <c r="C1135" s="4" t="str">
        <f>_xlfn.XLOOKUP(tblMovimientos[[#This Row],[Cuenta Bancaria]],Listas!$B:$B,Listas!$A:$A,"")</f>
        <v>SSP Capital</v>
      </c>
      <c r="D1135" s="41" t="s">
        <v>104</v>
      </c>
      <c r="E1135" s="68" t="str">
        <f>_xlfn.XLOOKUP(tblMovimientos[[#This Row],[Cuenta Bancaria]],Listas!$B:$B,Listas!$C:$C,"")</f>
        <v xml:space="preserve">Amerant Bank </v>
      </c>
      <c r="F1135" s="41" t="s">
        <v>10</v>
      </c>
      <c r="G1135" s="41" t="s">
        <v>40</v>
      </c>
      <c r="H1135" s="4" t="str">
        <f>IFERROR(_xlfn.XLOOKUP(G1135,Listas!E:E,Listas!F:F,""),"")</f>
        <v>Operativo</v>
      </c>
      <c r="I1135" s="46" t="str">
        <f>IFERROR(_xlfn.XLOOKUP(G1135,Listas!E:E,Listas!G:G,""),"")</f>
        <v>Externo</v>
      </c>
      <c r="J1135" s="43">
        <v>168437.9</v>
      </c>
      <c r="K1135" s="5">
        <f t="shared" si="17"/>
        <v>-168437.9</v>
      </c>
      <c r="L1135" s="15" t="s">
        <v>133</v>
      </c>
      <c r="M1135" s="44">
        <f>SUMIFS('Saldos Iniciales'!$D:$D,'Saldos Iniciales'!$A:$A,C1135,'Saldos Iniciales'!$B:$B,D1135)+SUMIFS($K$1:$K$1324,$C$1:$C$1324,C1135,$D$1:$D$1324,D1135,$B$1:$B$1324,"&lt;="&amp;B1135)</f>
        <v>337953.80999999924</v>
      </c>
      <c r="N1135" s="61" t="str">
        <f>IF(tblMovimientos[[#This Row],[Tipo de Movimiento]]="Ingreso",tblMovimientos[[#This Row],[Monto (S/)]],"0")</f>
        <v>0</v>
      </c>
      <c r="O1135" s="61">
        <f>IF(tblMovimientos[[#This Row],[Tipo de Movimiento]]="Egreso",tblMovimientos[[#This Row],[Monto (S/)]],"0")</f>
        <v>168437.9</v>
      </c>
      <c r="P1135" s="28">
        <f>IF(tblMovimientos[[#This Row],[Tipo de Movimiento]]="Ingreso",tblMovimientos[[#This Row],[Ingreso]],-tblMovimientos[[#This Row],[Egreso]])</f>
        <v>-168437.9</v>
      </c>
      <c r="Q1135" s="78" t="str">
        <f>_xlfn.XLOOKUP(tblMovimientos[[#This Row],[Cuenta Bancaria]],Cuentas!$C:$C,Cuentas!$A:$A,"")&amp;""</f>
        <v>SSP Group</v>
      </c>
      <c r="R1135" s="78" t="str">
        <f>_xlfn.XLOOKUP(tblMovimientos[[#This Row],[Cuenta Bancaria]],Cuentas!$C:$C,Cuentas!$B:$B,"",0,-1)&amp;""</f>
        <v/>
      </c>
    </row>
    <row r="1136" spans="1:18" x14ac:dyDescent="0.3">
      <c r="A1136" s="45"/>
      <c r="B1136" s="39">
        <v>46294</v>
      </c>
      <c r="C1136" s="4" t="str">
        <f>_xlfn.XLOOKUP(tblMovimientos[[#This Row],[Cuenta Bancaria]],Listas!$B:$B,Listas!$A:$A,"")</f>
        <v>CFT1 Residence</v>
      </c>
      <c r="D1136" s="41" t="s">
        <v>184</v>
      </c>
      <c r="E1136" s="68" t="str">
        <f>_xlfn.XLOOKUP(tblMovimientos[[#This Row],[Cuenta Bancaria]],Listas!$B:$B,Listas!$C:$C,"")</f>
        <v xml:space="preserve">Amerant Bank </v>
      </c>
      <c r="F1136" s="41" t="s">
        <v>10</v>
      </c>
      <c r="G1136" s="41" t="s">
        <v>38</v>
      </c>
      <c r="H1136" s="46" t="str">
        <f>IFERROR(_xlfn.XLOOKUP(G1136,Listas!E:E,Listas!F:F,""),"")</f>
        <v>Operativo</v>
      </c>
      <c r="I1136" s="46" t="str">
        <f>IFERROR(_xlfn.XLOOKUP(G1136,Listas!E:E,Listas!G:G,""),"")</f>
        <v>Externo</v>
      </c>
      <c r="J1136" s="43">
        <v>1166.92</v>
      </c>
      <c r="K1136" s="5">
        <f t="shared" si="17"/>
        <v>-1166.92</v>
      </c>
      <c r="L1136" s="15" t="s">
        <v>133</v>
      </c>
      <c r="M1136" s="44">
        <f>SUMIFS('Saldos Iniciales'!$D:$D,'Saldos Iniciales'!$A:$A,C1136,'Saldos Iniciales'!$B:$B,D1136)+SUMIFS($K$1:$K$1324,$C$1:$C$1324,C1136,$D$1:$D$1324,D1136,$B$1:$B$1324,"&lt;="&amp;B1136)</f>
        <v>101046.39</v>
      </c>
      <c r="N1136" s="61" t="str">
        <f>IF(tblMovimientos[[#This Row],[Tipo de Movimiento]]="Ingreso",tblMovimientos[[#This Row],[Monto (S/)]],"0")</f>
        <v>0</v>
      </c>
      <c r="O1136" s="61">
        <f>IF(tblMovimientos[[#This Row],[Tipo de Movimiento]]="Egreso",tblMovimientos[[#This Row],[Monto (S/)]],"0")</f>
        <v>1166.92</v>
      </c>
      <c r="P1136" s="28">
        <f>IF(tblMovimientos[[#This Row],[Tipo de Movimiento]]="Ingreso",tblMovimientos[[#This Row],[Ingreso]],-tblMovimientos[[#This Row],[Egreso]])</f>
        <v>-1166.92</v>
      </c>
      <c r="Q1136" s="78" t="str">
        <f>_xlfn.XLOOKUP(tblMovimientos[[#This Row],[Cuenta Bancaria]],Cuentas!$C:$C,Cuentas!$A:$A,"")&amp;""</f>
        <v>Carmen Cross Irrevocable Trust</v>
      </c>
      <c r="R1136" s="78" t="str">
        <f>_xlfn.XLOOKUP(tblMovimientos[[#This Row],[Cuenta Bancaria]],Cuentas!$C:$C,Cuentas!$B:$B,"",0,-1)&amp;""</f>
        <v/>
      </c>
    </row>
    <row r="1137" spans="1:18" x14ac:dyDescent="0.3">
      <c r="A1137" s="45"/>
      <c r="B1137" s="39">
        <v>46294</v>
      </c>
      <c r="C1137" s="4" t="str">
        <f>_xlfn.XLOOKUP(tblMovimientos[[#This Row],[Cuenta Bancaria]],Listas!$B:$B,Listas!$A:$A,"")</f>
        <v>Nobe Aparments</v>
      </c>
      <c r="D1137" s="41" t="s">
        <v>191</v>
      </c>
      <c r="E1137" s="68" t="str">
        <f>_xlfn.XLOOKUP(tblMovimientos[[#This Row],[Cuenta Bancaria]],Listas!$B:$B,Listas!$C:$C,"")</f>
        <v>Bank of America</v>
      </c>
      <c r="F1137" s="41" t="s">
        <v>9</v>
      </c>
      <c r="G1137" s="41" t="s">
        <v>38</v>
      </c>
      <c r="H1137" s="46" t="str">
        <f>IFERROR(_xlfn.XLOOKUP(G1137,Listas!E:E,Listas!F:F,""),"")</f>
        <v>Operativo</v>
      </c>
      <c r="I1137" s="46" t="str">
        <f>IFERROR(_xlfn.XLOOKUP(G1137,Listas!E:E,Listas!G:G,""),"")</f>
        <v>Externo</v>
      </c>
      <c r="J1137" s="43">
        <v>1640</v>
      </c>
      <c r="K1137" s="5">
        <f t="shared" si="17"/>
        <v>1640</v>
      </c>
      <c r="L1137" s="15" t="s">
        <v>133</v>
      </c>
      <c r="M1137" s="44">
        <f>SUMIFS('Saldos Iniciales'!$D:$D,'Saldos Iniciales'!$A:$A,C1137,'Saldos Iniciales'!$B:$B,D1137)+SUMIFS($K$1:$K$1324,$C$1:$C$1324,C1137,$D$1:$D$1324,D1137,$B$1:$B$1324,"&lt;="&amp;B1137)</f>
        <v>208429.46</v>
      </c>
      <c r="N1137" s="61">
        <f>IF(tblMovimientos[[#This Row],[Tipo de Movimiento]]="Ingreso",tblMovimientos[[#This Row],[Monto (S/)]],"0")</f>
        <v>1640</v>
      </c>
      <c r="O1137" s="61" t="str">
        <f>IF(tblMovimientos[[#This Row],[Tipo de Movimiento]]="Egreso",tblMovimientos[[#This Row],[Monto (S/)]],"0")</f>
        <v>0</v>
      </c>
      <c r="P1137" s="28">
        <f>IF(tblMovimientos[[#This Row],[Tipo de Movimiento]]="Ingreso",tblMovimientos[[#This Row],[Ingreso]],-tblMovimientos[[#This Row],[Egreso]])</f>
        <v>1640</v>
      </c>
      <c r="Q1137" s="78" t="str">
        <f>_xlfn.XLOOKUP(tblMovimientos[[#This Row],[Cuenta Bancaria]],Cuentas!$C:$C,Cuentas!$A:$A,"")&amp;""</f>
        <v>Estate</v>
      </c>
      <c r="R1137" s="78" t="str">
        <f>_xlfn.XLOOKUP(tblMovimientos[[#This Row],[Cuenta Bancaria]],Cuentas!$C:$C,Cuentas!$B:$B,"",0,-1)&amp;""</f>
        <v/>
      </c>
    </row>
    <row r="1138" spans="1:18" x14ac:dyDescent="0.3">
      <c r="B1138" s="39">
        <v>46294</v>
      </c>
      <c r="C1138" s="4" t="str">
        <f>_xlfn.XLOOKUP(tblMovimientos[[#This Row],[Cuenta Bancaria]],Listas!$B:$B,Listas!$A:$A,"")</f>
        <v>Electrama</v>
      </c>
      <c r="D1138" s="41" t="s">
        <v>113</v>
      </c>
      <c r="E1138" s="68" t="str">
        <f>_xlfn.XLOOKUP(tblMovimientos[[#This Row],[Cuenta Bancaria]],Listas!$B:$B,Listas!$C:$C,"")</f>
        <v>Chase Bank</v>
      </c>
      <c r="F1138" s="41" t="s">
        <v>10</v>
      </c>
      <c r="G1138" s="41" t="s">
        <v>40</v>
      </c>
      <c r="H1138" s="4" t="str">
        <f>IFERROR(_xlfn.XLOOKUP(G1138,Listas!E:E,Listas!F:F,""),"")</f>
        <v>Operativo</v>
      </c>
      <c r="I1138" s="69" t="str">
        <f>IFERROR(_xlfn.XLOOKUP(G1138,Listas!E:E,Listas!G:G,""),"")</f>
        <v>Externo</v>
      </c>
      <c r="J1138" s="43">
        <v>1270.43</v>
      </c>
      <c r="K1138" s="5">
        <f t="shared" si="17"/>
        <v>-1270.43</v>
      </c>
      <c r="L1138" s="15" t="s">
        <v>133</v>
      </c>
      <c r="M1138" s="44">
        <f>SUMIFS('Saldos Iniciales'!$D:$D,'Saldos Iniciales'!$A:$A,C1138,'Saldos Iniciales'!$B:$B,D1138)+SUMIFS($K$1:$K$1324,$C$1:$C$1324,C1138,$D$1:$D$1324,D1138,$B$1:$B$1324,"&lt;="&amp;B1138)</f>
        <v>10474.32</v>
      </c>
      <c r="N1138" s="61" t="str">
        <f>IF(tblMovimientos[[#This Row],[Tipo de Movimiento]]="Ingreso",tblMovimientos[[#This Row],[Monto (S/)]],"0")</f>
        <v>0</v>
      </c>
      <c r="O1138" s="61">
        <f>IF(tblMovimientos[[#This Row],[Tipo de Movimiento]]="Egreso",tblMovimientos[[#This Row],[Monto (S/)]],"0")</f>
        <v>1270.43</v>
      </c>
      <c r="P1138" s="28">
        <f>IF(tblMovimientos[[#This Row],[Tipo de Movimiento]]="Ingreso",tblMovimientos[[#This Row],[Ingreso]],-tblMovimientos[[#This Row],[Egreso]])</f>
        <v>-1270.43</v>
      </c>
      <c r="Q1138" s="78" t="str">
        <f>_xlfn.XLOOKUP(tblMovimientos[[#This Row],[Cuenta Bancaria]],Cuentas!$C:$C,Cuentas!$A:$A,"")&amp;""</f>
        <v>SSP Group</v>
      </c>
      <c r="R1138" s="78" t="str">
        <f>_xlfn.XLOOKUP(tblMovimientos[[#This Row],[Cuenta Bancaria]],Cuentas!$C:$C,Cuentas!$B:$B,"",0,-1)&amp;""</f>
        <v/>
      </c>
    </row>
    <row r="1139" spans="1:18" x14ac:dyDescent="0.3">
      <c r="B1139" s="39">
        <v>46295</v>
      </c>
      <c r="C1139" s="4" t="str">
        <f>_xlfn.XLOOKUP(tblMovimientos[[#This Row],[Cuenta Bancaria]],Listas!$B:$B,Listas!$A:$A,"")</f>
        <v>A&amp;M Imports</v>
      </c>
      <c r="D1139" s="41" t="s">
        <v>100</v>
      </c>
      <c r="E1139" s="68" t="str">
        <f>_xlfn.XLOOKUP(tblMovimientos[[#This Row],[Cuenta Bancaria]],Listas!$B:$B,Listas!$C:$C,"")</f>
        <v>Bank of America</v>
      </c>
      <c r="F1139" s="41" t="s">
        <v>9</v>
      </c>
      <c r="G1139" s="41" t="s">
        <v>68</v>
      </c>
      <c r="H1139" s="4" t="str">
        <f>IFERROR(_xlfn.XLOOKUP(G1139,Listas!E:E,Listas!F:F,""),"")</f>
        <v>Operativo</v>
      </c>
      <c r="I1139" s="46" t="str">
        <f>IFERROR(_xlfn.XLOOKUP(G1139,Listas!E:E,Listas!G:G,""),"")</f>
        <v>Externo</v>
      </c>
      <c r="J1139" s="43">
        <v>23791.439999999999</v>
      </c>
      <c r="K1139" s="5">
        <f t="shared" si="17"/>
        <v>23791.439999999999</v>
      </c>
      <c r="L1139" s="15" t="s">
        <v>133</v>
      </c>
      <c r="M1139" s="44">
        <f>SUMIFS('Saldos Iniciales'!$D:$D,'Saldos Iniciales'!$A:$A,C1139,'Saldos Iniciales'!$B:$B,D1139)+SUMIFS($K$1:$K$1324,$C$1:$C$1324,C1139,$D$1:$D$1324,D1139,$B$1:$B$1324,"&lt;="&amp;B1139)</f>
        <v>1355779.1799999997</v>
      </c>
      <c r="N1139" s="61">
        <f>IF(tblMovimientos[[#This Row],[Tipo de Movimiento]]="Ingreso",tblMovimientos[[#This Row],[Monto (S/)]],"0")</f>
        <v>23791.439999999999</v>
      </c>
      <c r="O1139" s="61" t="str">
        <f>IF(tblMovimientos[[#This Row],[Tipo de Movimiento]]="Egreso",tblMovimientos[[#This Row],[Monto (S/)]],"0")</f>
        <v>0</v>
      </c>
      <c r="P1139" s="28">
        <f>IF(tblMovimientos[[#This Row],[Tipo de Movimiento]]="Ingreso",tblMovimientos[[#This Row],[Ingreso]],-tblMovimientos[[#This Row],[Egreso]])</f>
        <v>23791.439999999999</v>
      </c>
      <c r="Q1139" s="78" t="str">
        <f>_xlfn.XLOOKUP(tblMovimientos[[#This Row],[Cuenta Bancaria]],Cuentas!$C:$C,Cuentas!$A:$A,"")&amp;""</f>
        <v>SSP Group</v>
      </c>
      <c r="R1139" s="78" t="str">
        <f>_xlfn.XLOOKUP(tblMovimientos[[#This Row],[Cuenta Bancaria]],Cuentas!$C:$C,Cuentas!$B:$B,"",0,-1)&amp;""</f>
        <v/>
      </c>
    </row>
    <row r="1140" spans="1:18" x14ac:dyDescent="0.3">
      <c r="B1140" s="39">
        <v>46295</v>
      </c>
      <c r="C1140" s="4" t="str">
        <f>_xlfn.XLOOKUP(tblMovimientos[[#This Row],[Cuenta Bancaria]],Listas!$B:$B,Listas!$A:$A,"")</f>
        <v>A&amp;M Imports</v>
      </c>
      <c r="D1140" s="41" t="s">
        <v>100</v>
      </c>
      <c r="E1140" s="68" t="str">
        <f>_xlfn.XLOOKUP(tblMovimientos[[#This Row],[Cuenta Bancaria]],Listas!$B:$B,Listas!$C:$C,"")</f>
        <v>Bank of America</v>
      </c>
      <c r="F1140" s="41" t="s">
        <v>9</v>
      </c>
      <c r="G1140" s="41" t="s">
        <v>68</v>
      </c>
      <c r="H1140" s="4" t="str">
        <f>IFERROR(_xlfn.XLOOKUP(G1140,Listas!E:E,Listas!F:F,""),"")</f>
        <v>Operativo</v>
      </c>
      <c r="I1140" s="46" t="str">
        <f>IFERROR(_xlfn.XLOOKUP(G1140,Listas!E:E,Listas!G:G,""),"")</f>
        <v>Externo</v>
      </c>
      <c r="J1140" s="43">
        <v>1405.48</v>
      </c>
      <c r="K1140" s="5">
        <f t="shared" si="17"/>
        <v>1405.48</v>
      </c>
      <c r="L1140" s="15" t="s">
        <v>133</v>
      </c>
      <c r="M1140" s="44">
        <f>SUMIFS('Saldos Iniciales'!$D:$D,'Saldos Iniciales'!$A:$A,C1140,'Saldos Iniciales'!$B:$B,D1140)+SUMIFS($K$1:$K$1324,$C$1:$C$1324,C1140,$D$1:$D$1324,D1140,$B$1:$B$1324,"&lt;="&amp;B1140)</f>
        <v>1355779.1799999997</v>
      </c>
      <c r="N1140" s="61">
        <f>IF(tblMovimientos[[#This Row],[Tipo de Movimiento]]="Ingreso",tblMovimientos[[#This Row],[Monto (S/)]],"0")</f>
        <v>1405.48</v>
      </c>
      <c r="O1140" s="61" t="str">
        <f>IF(tblMovimientos[[#This Row],[Tipo de Movimiento]]="Egreso",tblMovimientos[[#This Row],[Monto (S/)]],"0")</f>
        <v>0</v>
      </c>
      <c r="P1140" s="28">
        <f>IF(tblMovimientos[[#This Row],[Tipo de Movimiento]]="Ingreso",tblMovimientos[[#This Row],[Ingreso]],-tblMovimientos[[#This Row],[Egreso]])</f>
        <v>1405.48</v>
      </c>
      <c r="Q1140" s="78" t="str">
        <f>_xlfn.XLOOKUP(tblMovimientos[[#This Row],[Cuenta Bancaria]],Cuentas!$C:$C,Cuentas!$A:$A,"")&amp;""</f>
        <v>SSP Group</v>
      </c>
      <c r="R1140" s="78" t="str">
        <f>_xlfn.XLOOKUP(tblMovimientos[[#This Row],[Cuenta Bancaria]],Cuentas!$C:$C,Cuentas!$B:$B,"",0,-1)&amp;""</f>
        <v/>
      </c>
    </row>
    <row r="1141" spans="1:18" x14ac:dyDescent="0.3">
      <c r="B1141" s="39">
        <v>46295</v>
      </c>
      <c r="C1141" s="4" t="str">
        <f>_xlfn.XLOOKUP(tblMovimientos[[#This Row],[Cuenta Bancaria]],Listas!$B:$B,Listas!$A:$A,"")</f>
        <v>CFT Group</v>
      </c>
      <c r="D1141" s="41" t="s">
        <v>94</v>
      </c>
      <c r="E1141" s="68" t="str">
        <f>_xlfn.XLOOKUP(tblMovimientos[[#This Row],[Cuenta Bancaria]],Listas!$B:$B,Listas!$C:$C,"")</f>
        <v>Bank of America</v>
      </c>
      <c r="F1141" s="41" t="s">
        <v>9</v>
      </c>
      <c r="G1141" s="41" t="s">
        <v>68</v>
      </c>
      <c r="H1141" s="4" t="str">
        <f>IFERROR(_xlfn.XLOOKUP(G1141,Listas!E:E,Listas!F:F,""),"")</f>
        <v>Operativo</v>
      </c>
      <c r="I1141" s="46" t="str">
        <f>IFERROR(_xlfn.XLOOKUP(G1141,Listas!E:E,Listas!G:G,""),"")</f>
        <v>Externo</v>
      </c>
      <c r="J1141" s="43">
        <v>73364</v>
      </c>
      <c r="K1141" s="5">
        <f t="shared" si="17"/>
        <v>73364</v>
      </c>
      <c r="L1141" s="15" t="s">
        <v>133</v>
      </c>
      <c r="M1141" s="44">
        <f>SUMIFS('Saldos Iniciales'!$D:$D,'Saldos Iniciales'!$A:$A,C1141,'Saldos Iniciales'!$B:$B,D1141)+SUMIFS($K$1:$K$1324,$C$1:$C$1324,C1141,$D$1:$D$1324,D1141,$B$1:$B$1324,"&lt;="&amp;B1141)</f>
        <v>463219.50999999995</v>
      </c>
      <c r="N1141" s="61">
        <f>IF(tblMovimientos[[#This Row],[Tipo de Movimiento]]="Ingreso",tblMovimientos[[#This Row],[Monto (S/)]],"0")</f>
        <v>73364</v>
      </c>
      <c r="O1141" s="61" t="str">
        <f>IF(tblMovimientos[[#This Row],[Tipo de Movimiento]]="Egreso",tblMovimientos[[#This Row],[Monto (S/)]],"0")</f>
        <v>0</v>
      </c>
      <c r="P1141" s="28">
        <f>IF(tblMovimientos[[#This Row],[Tipo de Movimiento]]="Ingreso",tblMovimientos[[#This Row],[Ingreso]],-tblMovimientos[[#This Row],[Egreso]])</f>
        <v>73364</v>
      </c>
      <c r="Q1141" s="78" t="str">
        <f>_xlfn.XLOOKUP(tblMovimientos[[#This Row],[Cuenta Bancaria]],Cuentas!$C:$C,Cuentas!$A:$A,"")&amp;""</f>
        <v>SSP Group</v>
      </c>
      <c r="R1141" s="78" t="str">
        <f>_xlfn.XLOOKUP(tblMovimientos[[#This Row],[Cuenta Bancaria]],Cuentas!$C:$C,Cuentas!$B:$B,"",0,-1)&amp;""</f>
        <v/>
      </c>
    </row>
    <row r="1142" spans="1:18" x14ac:dyDescent="0.3">
      <c r="B1142" s="39">
        <v>46295</v>
      </c>
      <c r="C1142" s="4" t="str">
        <f>_xlfn.XLOOKUP(tblMovimientos[[#This Row],[Cuenta Bancaria]],Listas!$B:$B,Listas!$A:$A,"")</f>
        <v>CFT Group</v>
      </c>
      <c r="D1142" s="41" t="s">
        <v>94</v>
      </c>
      <c r="E1142" s="68" t="str">
        <f>_xlfn.XLOOKUP(tblMovimientos[[#This Row],[Cuenta Bancaria]],Listas!$B:$B,Listas!$C:$C,"")</f>
        <v>Bank of America</v>
      </c>
      <c r="F1142" s="41" t="s">
        <v>9</v>
      </c>
      <c r="G1142" s="41" t="s">
        <v>68</v>
      </c>
      <c r="H1142" s="4" t="str">
        <f>IFERROR(_xlfn.XLOOKUP(G1142,Listas!E:E,Listas!F:F,""),"")</f>
        <v>Operativo</v>
      </c>
      <c r="I1142" s="46" t="str">
        <f>IFERROR(_xlfn.XLOOKUP(G1142,Listas!E:E,Listas!G:G,""),"")</f>
        <v>Externo</v>
      </c>
      <c r="J1142" s="43">
        <v>13241.09</v>
      </c>
      <c r="K1142" s="5">
        <f t="shared" si="17"/>
        <v>13241.09</v>
      </c>
      <c r="L1142" s="15" t="s">
        <v>133</v>
      </c>
      <c r="M1142" s="44">
        <f>SUMIFS('Saldos Iniciales'!$D:$D,'Saldos Iniciales'!$A:$A,C1142,'Saldos Iniciales'!$B:$B,D1142)+SUMIFS($K$1:$K$1324,$C$1:$C$1324,C1142,$D$1:$D$1324,D1142,$B$1:$B$1324,"&lt;="&amp;B1142)</f>
        <v>463219.50999999995</v>
      </c>
      <c r="N1142" s="61">
        <f>IF(tblMovimientos[[#This Row],[Tipo de Movimiento]]="Ingreso",tblMovimientos[[#This Row],[Monto (S/)]],"0")</f>
        <v>13241.09</v>
      </c>
      <c r="O1142" s="61" t="str">
        <f>IF(tblMovimientos[[#This Row],[Tipo de Movimiento]]="Egreso",tblMovimientos[[#This Row],[Monto (S/)]],"0")</f>
        <v>0</v>
      </c>
      <c r="P1142" s="28">
        <f>IF(tblMovimientos[[#This Row],[Tipo de Movimiento]]="Ingreso",tblMovimientos[[#This Row],[Ingreso]],-tblMovimientos[[#This Row],[Egreso]])</f>
        <v>13241.09</v>
      </c>
      <c r="Q1142" s="78" t="str">
        <f>_xlfn.XLOOKUP(tblMovimientos[[#This Row],[Cuenta Bancaria]],Cuentas!$C:$C,Cuentas!$A:$A,"")&amp;""</f>
        <v>SSP Group</v>
      </c>
      <c r="R1142" s="78" t="str">
        <f>_xlfn.XLOOKUP(tblMovimientos[[#This Row],[Cuenta Bancaria]],Cuentas!$C:$C,Cuentas!$B:$B,"",0,-1)&amp;""</f>
        <v/>
      </c>
    </row>
    <row r="1143" spans="1:18" x14ac:dyDescent="0.3">
      <c r="B1143" s="39">
        <v>46295</v>
      </c>
      <c r="C1143" s="4" t="str">
        <f>_xlfn.XLOOKUP(tblMovimientos[[#This Row],[Cuenta Bancaria]],Listas!$B:$B,Listas!$A:$A,"")</f>
        <v>CFT Group</v>
      </c>
      <c r="D1143" s="41" t="s">
        <v>94</v>
      </c>
      <c r="E1143" s="68" t="str">
        <f>_xlfn.XLOOKUP(tblMovimientos[[#This Row],[Cuenta Bancaria]],Listas!$B:$B,Listas!$C:$C,"")</f>
        <v>Bank of America</v>
      </c>
      <c r="F1143" s="41" t="s">
        <v>10</v>
      </c>
      <c r="G1143" s="41" t="s">
        <v>42</v>
      </c>
      <c r="H1143" s="4" t="str">
        <f>IFERROR(_xlfn.XLOOKUP(G1143,Listas!E:E,Listas!F:F,""),"")</f>
        <v>Operativo</v>
      </c>
      <c r="I1143" s="46" t="str">
        <f>IFERROR(_xlfn.XLOOKUP(G1143,Listas!E:E,Listas!G:G,""),"")</f>
        <v>Externo</v>
      </c>
      <c r="J1143" s="43">
        <v>611.08000000000004</v>
      </c>
      <c r="K1143" s="5">
        <f t="shared" si="17"/>
        <v>-611.08000000000004</v>
      </c>
      <c r="L1143" s="15" t="s">
        <v>133</v>
      </c>
      <c r="M1143" s="44">
        <f>SUMIFS('Saldos Iniciales'!$D:$D,'Saldos Iniciales'!$A:$A,C1143,'Saldos Iniciales'!$B:$B,D1143)+SUMIFS($K$1:$K$1324,$C$1:$C$1324,C1143,$D$1:$D$1324,D1143,$B$1:$B$1324,"&lt;="&amp;B1143)</f>
        <v>463219.50999999995</v>
      </c>
      <c r="N1143" s="61" t="str">
        <f>IF(tblMovimientos[[#This Row],[Tipo de Movimiento]]="Ingreso",tblMovimientos[[#This Row],[Monto (S/)]],"0")</f>
        <v>0</v>
      </c>
      <c r="O1143" s="61">
        <f>IF(tblMovimientos[[#This Row],[Tipo de Movimiento]]="Egreso",tblMovimientos[[#This Row],[Monto (S/)]],"0")</f>
        <v>611.08000000000004</v>
      </c>
      <c r="P1143" s="28">
        <f>IF(tblMovimientos[[#This Row],[Tipo de Movimiento]]="Ingreso",tblMovimientos[[#This Row],[Ingreso]],-tblMovimientos[[#This Row],[Egreso]])</f>
        <v>-611.08000000000004</v>
      </c>
      <c r="Q1143" s="78" t="str">
        <f>_xlfn.XLOOKUP(tblMovimientos[[#This Row],[Cuenta Bancaria]],Cuentas!$C:$C,Cuentas!$A:$A,"")&amp;""</f>
        <v>SSP Group</v>
      </c>
      <c r="R1143" s="78" t="str">
        <f>_xlfn.XLOOKUP(tblMovimientos[[#This Row],[Cuenta Bancaria]],Cuentas!$C:$C,Cuentas!$B:$B,"",0,-1)&amp;""</f>
        <v/>
      </c>
    </row>
    <row r="1144" spans="1:18" x14ac:dyDescent="0.3">
      <c r="B1144" s="39">
        <v>46295</v>
      </c>
      <c r="C1144" s="4" t="str">
        <f>_xlfn.XLOOKUP(tblMovimientos[[#This Row],[Cuenta Bancaria]],Listas!$B:$B,Listas!$A:$A,"")</f>
        <v>M1B</v>
      </c>
      <c r="D1144" s="41" t="s">
        <v>97</v>
      </c>
      <c r="E1144" s="68" t="str">
        <f>_xlfn.XLOOKUP(tblMovimientos[[#This Row],[Cuenta Bancaria]],Listas!$B:$B,Listas!$C:$C,"")</f>
        <v xml:space="preserve">Amerant Bank </v>
      </c>
      <c r="F1144" s="41" t="s">
        <v>9</v>
      </c>
      <c r="G1144" s="41" t="s">
        <v>68</v>
      </c>
      <c r="H1144" s="4" t="str">
        <f>IFERROR(_xlfn.XLOOKUP(G1144,Listas!E:E,Listas!F:F,""),"")</f>
        <v>Operativo</v>
      </c>
      <c r="I1144" s="46" t="str">
        <f>IFERROR(_xlfn.XLOOKUP(G1144,Listas!E:E,Listas!G:G,""),"")</f>
        <v>Externo</v>
      </c>
      <c r="J1144" s="43">
        <v>2637.13</v>
      </c>
      <c r="K1144" s="5">
        <f t="shared" si="17"/>
        <v>2637.13</v>
      </c>
      <c r="L1144" s="15" t="s">
        <v>133</v>
      </c>
      <c r="M1144" s="44">
        <f>SUMIFS('Saldos Iniciales'!$D:$D,'Saldos Iniciales'!$A:$A,C1144,'Saldos Iniciales'!$B:$B,D1144)+SUMIFS($K$1:$K$1324,$C$1:$C$1324,C1144,$D$1:$D$1324,D1144,$B$1:$B$1324,"&lt;="&amp;B1144)</f>
        <v>98123.590000000171</v>
      </c>
      <c r="N1144" s="61">
        <f>IF(tblMovimientos[[#This Row],[Tipo de Movimiento]]="Ingreso",tblMovimientos[[#This Row],[Monto (S/)]],"0")</f>
        <v>2637.13</v>
      </c>
      <c r="O1144" s="61" t="str">
        <f>IF(tblMovimientos[[#This Row],[Tipo de Movimiento]]="Egreso",tblMovimientos[[#This Row],[Monto (S/)]],"0")</f>
        <v>0</v>
      </c>
      <c r="P1144" s="28">
        <f>IF(tblMovimientos[[#This Row],[Tipo de Movimiento]]="Ingreso",tblMovimientos[[#This Row],[Ingreso]],-tblMovimientos[[#This Row],[Egreso]])</f>
        <v>2637.13</v>
      </c>
      <c r="Q1144" s="78" t="str">
        <f>_xlfn.XLOOKUP(tblMovimientos[[#This Row],[Cuenta Bancaria]],Cuentas!$C:$C,Cuentas!$A:$A,"")&amp;""</f>
        <v>SSP Group</v>
      </c>
      <c r="R1144" s="78" t="str">
        <f>_xlfn.XLOOKUP(tblMovimientos[[#This Row],[Cuenta Bancaria]],Cuentas!$C:$C,Cuentas!$B:$B,"",0,-1)&amp;""</f>
        <v/>
      </c>
    </row>
    <row r="1145" spans="1:18" x14ac:dyDescent="0.3">
      <c r="B1145" s="39">
        <v>46295</v>
      </c>
      <c r="C1145" s="4" t="str">
        <f>_xlfn.XLOOKUP(tblMovimientos[[#This Row],[Cuenta Bancaria]],Listas!$B:$B,Listas!$A:$A,"")</f>
        <v>SSP Capital</v>
      </c>
      <c r="D1145" s="41" t="s">
        <v>106</v>
      </c>
      <c r="E1145" s="68" t="str">
        <f>_xlfn.XLOOKUP(tblMovimientos[[#This Row],[Cuenta Bancaria]],Listas!$B:$B,Listas!$C:$C,"")</f>
        <v>Amerant Bank Money Market</v>
      </c>
      <c r="F1145" s="41" t="s">
        <v>9</v>
      </c>
      <c r="G1145" s="41" t="s">
        <v>84</v>
      </c>
      <c r="H1145" s="4" t="str">
        <f>IFERROR(_xlfn.XLOOKUP(G1145,Listas!E:E,Listas!F:F,""),"")</f>
        <v>Operativo</v>
      </c>
      <c r="I1145" s="46" t="str">
        <f>IFERROR(_xlfn.XLOOKUP(G1145,Listas!E:E,Listas!G:G,""),"")</f>
        <v>Externo</v>
      </c>
      <c r="J1145" s="43">
        <v>2362.59</v>
      </c>
      <c r="K1145" s="5">
        <f t="shared" si="17"/>
        <v>2362.59</v>
      </c>
      <c r="L1145" s="15" t="s">
        <v>133</v>
      </c>
      <c r="M1145" s="44">
        <f>SUMIFS('Saldos Iniciales'!$D:$D,'Saldos Iniciales'!$A:$A,C1145,'Saldos Iniciales'!$B:$B,D1145)+SUMIFS($K$1:$K$1324,$C$1:$C$1324,C1145,$D$1:$D$1324,D1145,$B$1:$B$1324,"&lt;="&amp;B1145)</f>
        <v>813903.92999999993</v>
      </c>
      <c r="N1145" s="61">
        <f>IF(tblMovimientos[[#This Row],[Tipo de Movimiento]]="Ingreso",tblMovimientos[[#This Row],[Monto (S/)]],"0")</f>
        <v>2362.59</v>
      </c>
      <c r="O1145" s="61" t="str">
        <f>IF(tblMovimientos[[#This Row],[Tipo de Movimiento]]="Egreso",tblMovimientos[[#This Row],[Monto (S/)]],"0")</f>
        <v>0</v>
      </c>
      <c r="P1145" s="28">
        <f>IF(tblMovimientos[[#This Row],[Tipo de Movimiento]]="Ingreso",tblMovimientos[[#This Row],[Ingreso]],-tblMovimientos[[#This Row],[Egreso]])</f>
        <v>2362.59</v>
      </c>
      <c r="Q1145" s="78" t="str">
        <f>_xlfn.XLOOKUP(tblMovimientos[[#This Row],[Cuenta Bancaria]],Cuentas!$C:$C,Cuentas!$A:$A,"")&amp;""</f>
        <v>SSP Group</v>
      </c>
      <c r="R1145" s="78" t="str">
        <f>_xlfn.XLOOKUP(tblMovimientos[[#This Row],[Cuenta Bancaria]],Cuentas!$C:$C,Cuentas!$B:$B,"",0,-1)&amp;""</f>
        <v/>
      </c>
    </row>
    <row r="1146" spans="1:18" x14ac:dyDescent="0.3">
      <c r="B1146" s="39">
        <v>46295</v>
      </c>
      <c r="C1146" s="4" t="str">
        <f>_xlfn.XLOOKUP(tblMovimientos[[#This Row],[Cuenta Bancaria]],Listas!$B:$B,Listas!$A:$A,"")</f>
        <v>SSP Capital</v>
      </c>
      <c r="D1146" s="41" t="s">
        <v>104</v>
      </c>
      <c r="E1146" s="68" t="str">
        <f>_xlfn.XLOOKUP(tblMovimientos[[#This Row],[Cuenta Bancaria]],Listas!$B:$B,Listas!$C:$C,"")</f>
        <v xml:space="preserve">Amerant Bank </v>
      </c>
      <c r="F1146" s="41" t="s">
        <v>10</v>
      </c>
      <c r="G1146" s="41" t="s">
        <v>42</v>
      </c>
      <c r="H1146" s="4" t="str">
        <f>IFERROR(_xlfn.XLOOKUP(G1146,Listas!E:E,Listas!F:F,""),"")</f>
        <v>Operativo</v>
      </c>
      <c r="I1146" s="46" t="str">
        <f>IFERROR(_xlfn.XLOOKUP(G1146,Listas!E:E,Listas!G:G,""),"")</f>
        <v>Externo</v>
      </c>
      <c r="J1146" s="43">
        <v>72131.05</v>
      </c>
      <c r="K1146" s="5">
        <f t="shared" si="17"/>
        <v>-72131.05</v>
      </c>
      <c r="L1146" s="15" t="s">
        <v>133</v>
      </c>
      <c r="M1146" s="44">
        <f>SUMIFS('Saldos Iniciales'!$D:$D,'Saldos Iniciales'!$A:$A,C1146,'Saldos Iniciales'!$B:$B,D1146)+SUMIFS($K$1:$K$1324,$C$1:$C$1324,C1146,$D$1:$D$1324,D1146,$B$1:$B$1324,"&lt;="&amp;B1146)</f>
        <v>265822.75999999925</v>
      </c>
      <c r="N1146" s="61" t="str">
        <f>IF(tblMovimientos[[#This Row],[Tipo de Movimiento]]="Ingreso",tblMovimientos[[#This Row],[Monto (S/)]],"0")</f>
        <v>0</v>
      </c>
      <c r="O1146" s="61">
        <f>IF(tblMovimientos[[#This Row],[Tipo de Movimiento]]="Egreso",tblMovimientos[[#This Row],[Monto (S/)]],"0")</f>
        <v>72131.05</v>
      </c>
      <c r="P1146" s="28">
        <f>IF(tblMovimientos[[#This Row],[Tipo de Movimiento]]="Ingreso",tblMovimientos[[#This Row],[Ingreso]],-tblMovimientos[[#This Row],[Egreso]])</f>
        <v>-72131.05</v>
      </c>
      <c r="Q1146" s="78" t="str">
        <f>_xlfn.XLOOKUP(tblMovimientos[[#This Row],[Cuenta Bancaria]],Cuentas!$C:$C,Cuentas!$A:$A,"")&amp;""</f>
        <v>SSP Group</v>
      </c>
      <c r="R1146" s="78" t="str">
        <f>_xlfn.XLOOKUP(tblMovimientos[[#This Row],[Cuenta Bancaria]],Cuentas!$C:$C,Cuentas!$B:$B,"",0,-1)&amp;""</f>
        <v/>
      </c>
    </row>
    <row r="1147" spans="1:18" x14ac:dyDescent="0.3">
      <c r="B1147" s="39">
        <v>46295</v>
      </c>
      <c r="C1147" s="4" t="str">
        <f>_xlfn.XLOOKUP(tblMovimientos[[#This Row],[Cuenta Bancaria]],Listas!$B:$B,Listas!$A:$A,"")</f>
        <v>Pacha Ventures LLC</v>
      </c>
      <c r="D1147" s="41" t="s">
        <v>187</v>
      </c>
      <c r="E1147" s="68" t="str">
        <f>_xlfn.XLOOKUP(tblMovimientos[[#This Row],[Cuenta Bancaria]],Listas!$B:$B,Listas!$C:$C,"")</f>
        <v xml:space="preserve">Amerant Bank </v>
      </c>
      <c r="F1147" s="41" t="s">
        <v>9</v>
      </c>
      <c r="G1147" s="41" t="s">
        <v>84</v>
      </c>
      <c r="H1147" s="4" t="str">
        <f>IFERROR(_xlfn.XLOOKUP(G1147,Listas!E:E,Listas!F:F,""),"")</f>
        <v>Operativo</v>
      </c>
      <c r="I1147" s="46" t="str">
        <f>IFERROR(_xlfn.XLOOKUP(G1147,Listas!E:E,Listas!G:G,""),"")</f>
        <v>Externo</v>
      </c>
      <c r="J1147" s="43">
        <v>864.61</v>
      </c>
      <c r="K1147" s="5">
        <f t="shared" si="17"/>
        <v>864.61</v>
      </c>
      <c r="L1147" s="15" t="s">
        <v>133</v>
      </c>
      <c r="M1147" s="44">
        <f>SUMIFS('Saldos Iniciales'!$D:$D,'Saldos Iniciales'!$A:$A,C1147,'Saldos Iniciales'!$B:$B,D1147)+SUMIFS($K$1:$K$1324,$C$1:$C$1324,C1147,$D$1:$D$1324,D1147,$B$1:$B$1324,"&lt;="&amp;B1147)</f>
        <v>313178.98000000004</v>
      </c>
      <c r="N1147" s="61">
        <f>IF(tblMovimientos[[#This Row],[Tipo de Movimiento]]="Ingreso",tblMovimientos[[#This Row],[Monto (S/)]],"0")</f>
        <v>864.61</v>
      </c>
      <c r="O1147" s="61" t="str">
        <f>IF(tblMovimientos[[#This Row],[Tipo de Movimiento]]="Egreso",tblMovimientos[[#This Row],[Monto (S/)]],"0")</f>
        <v>0</v>
      </c>
      <c r="P1147" s="28">
        <f>IF(tblMovimientos[[#This Row],[Tipo de Movimiento]]="Ingreso",tblMovimientos[[#This Row],[Ingreso]],-tblMovimientos[[#This Row],[Egreso]])</f>
        <v>864.61</v>
      </c>
      <c r="Q1147" s="78" t="str">
        <f>_xlfn.XLOOKUP(tblMovimientos[[#This Row],[Cuenta Bancaria]],Cuentas!$C:$C,Cuentas!$A:$A,"")&amp;""</f>
        <v>Michael Cross</v>
      </c>
      <c r="R1147" s="78" t="str">
        <f>_xlfn.XLOOKUP(tblMovimientos[[#This Row],[Cuenta Bancaria]],Cuentas!$C:$C,Cuentas!$B:$B,"",0,-1)&amp;""</f>
        <v/>
      </c>
    </row>
    <row r="1148" spans="1:18" x14ac:dyDescent="0.3">
      <c r="B1148" s="39">
        <v>46295</v>
      </c>
      <c r="C1148" s="4" t="str">
        <f>_xlfn.XLOOKUP(tblMovimientos[[#This Row],[Cuenta Bancaria]],Listas!$B:$B,Listas!$A:$A,"")</f>
        <v>CFT1 Residence</v>
      </c>
      <c r="D1148" s="41" t="s">
        <v>184</v>
      </c>
      <c r="E1148" s="68" t="str">
        <f>_xlfn.XLOOKUP(tblMovimientos[[#This Row],[Cuenta Bancaria]],Listas!$B:$B,Listas!$C:$C,"")</f>
        <v xml:space="preserve">Amerant Bank </v>
      </c>
      <c r="F1148" s="41" t="s">
        <v>10</v>
      </c>
      <c r="G1148" s="41" t="s">
        <v>38</v>
      </c>
      <c r="H1148" s="4" t="str">
        <f>IFERROR(_xlfn.XLOOKUP(G1148,Listas!E:E,Listas!F:F,""),"")</f>
        <v>Operativo</v>
      </c>
      <c r="I1148" s="46" t="str">
        <f>IFERROR(_xlfn.XLOOKUP(G1148,Listas!E:E,Listas!G:G,""),"")</f>
        <v>Externo</v>
      </c>
      <c r="J1148" s="43">
        <v>50</v>
      </c>
      <c r="K1148" s="5">
        <f t="shared" si="17"/>
        <v>-50</v>
      </c>
      <c r="L1148" s="15" t="s">
        <v>133</v>
      </c>
      <c r="M1148" s="44">
        <f>SUMIFS('Saldos Iniciales'!$D:$D,'Saldos Iniciales'!$A:$A,C1148,'Saldos Iniciales'!$B:$B,D1148)+SUMIFS($K$1:$K$1324,$C$1:$C$1324,C1148,$D$1:$D$1324,D1148,$B$1:$B$1324,"&lt;="&amp;B1148)</f>
        <v>100996.39</v>
      </c>
      <c r="N1148" s="61" t="str">
        <f>IF(tblMovimientos[[#This Row],[Tipo de Movimiento]]="Ingreso",tblMovimientos[[#This Row],[Monto (S/)]],"0")</f>
        <v>0</v>
      </c>
      <c r="O1148" s="61">
        <f>IF(tblMovimientos[[#This Row],[Tipo de Movimiento]]="Egreso",tblMovimientos[[#This Row],[Monto (S/)]],"0")</f>
        <v>50</v>
      </c>
      <c r="P1148" s="28">
        <f>IF(tblMovimientos[[#This Row],[Tipo de Movimiento]]="Ingreso",tblMovimientos[[#This Row],[Ingreso]],-tblMovimientos[[#This Row],[Egreso]])</f>
        <v>-50</v>
      </c>
      <c r="Q1148" s="78" t="str">
        <f>_xlfn.XLOOKUP(tblMovimientos[[#This Row],[Cuenta Bancaria]],Cuentas!$C:$C,Cuentas!$A:$A,"")&amp;""</f>
        <v>Carmen Cross Irrevocable Trust</v>
      </c>
      <c r="R1148" s="78" t="str">
        <f>_xlfn.XLOOKUP(tblMovimientos[[#This Row],[Cuenta Bancaria]],Cuentas!$C:$C,Cuentas!$B:$B,"",0,-1)&amp;""</f>
        <v/>
      </c>
    </row>
    <row r="1149" spans="1:18" x14ac:dyDescent="0.3">
      <c r="B1149" s="39">
        <v>46295</v>
      </c>
      <c r="C1149" s="4" t="str">
        <f>_xlfn.XLOOKUP(tblMovimientos[[#This Row],[Cuenta Bancaria]],Listas!$B:$B,Listas!$A:$A,"")</f>
        <v>Prendamas SRL</v>
      </c>
      <c r="D1149" s="41" t="s">
        <v>186</v>
      </c>
      <c r="E1149" s="68" t="str">
        <f>_xlfn.XLOOKUP(tblMovimientos[[#This Row],[Cuenta Bancaria]],Listas!$B:$B,Listas!$C:$C,"")</f>
        <v xml:space="preserve">Amerant Bank </v>
      </c>
      <c r="F1149" s="41" t="s">
        <v>10</v>
      </c>
      <c r="G1149" s="41" t="s">
        <v>38</v>
      </c>
      <c r="H1149" s="4" t="str">
        <f>IFERROR(_xlfn.XLOOKUP(G1149,Listas!E:E,Listas!F:F,""),"")</f>
        <v>Operativo</v>
      </c>
      <c r="I1149" s="46" t="str">
        <f>IFERROR(_xlfn.XLOOKUP(G1149,Listas!E:E,Listas!G:G,""),"")</f>
        <v>Externo</v>
      </c>
      <c r="J1149" s="43">
        <v>491.98</v>
      </c>
      <c r="K1149" s="5">
        <f t="shared" si="17"/>
        <v>-491.98</v>
      </c>
      <c r="L1149" s="15" t="s">
        <v>133</v>
      </c>
      <c r="M1149" s="44">
        <f>SUMIFS('Saldos Iniciales'!$D:$D,'Saldos Iniciales'!$A:$A,C1149,'Saldos Iniciales'!$B:$B,D1149)+SUMIFS($K$1:$K$1324,$C$1:$C$1324,C1149,$D$1:$D$1324,D1149,$B$1:$B$1324,"&lt;="&amp;B1149)</f>
        <v>21964.799999999959</v>
      </c>
      <c r="N1149" s="61" t="str">
        <f>IF(tblMovimientos[[#This Row],[Tipo de Movimiento]]="Ingreso",tblMovimientos[[#This Row],[Monto (S/)]],"0")</f>
        <v>0</v>
      </c>
      <c r="O1149" s="61">
        <f>IF(tblMovimientos[[#This Row],[Tipo de Movimiento]]="Egreso",tblMovimientos[[#This Row],[Monto (S/)]],"0")</f>
        <v>491.98</v>
      </c>
      <c r="P1149" s="28">
        <f>IF(tblMovimientos[[#This Row],[Tipo de Movimiento]]="Ingreso",tblMovimientos[[#This Row],[Ingreso]],-tblMovimientos[[#This Row],[Egreso]])</f>
        <v>-491.98</v>
      </c>
      <c r="Q1149" s="78" t="str">
        <f>_xlfn.XLOOKUP(tblMovimientos[[#This Row],[Cuenta Bancaria]],Cuentas!$C:$C,Cuentas!$A:$A,"")&amp;""</f>
        <v>Unidades de Negocio</v>
      </c>
      <c r="R1149" s="78" t="str">
        <f>_xlfn.XLOOKUP(tblMovimientos[[#This Row],[Cuenta Bancaria]],Cuentas!$C:$C,Cuentas!$B:$B,"",0,-1)&amp;""</f>
        <v/>
      </c>
    </row>
    <row r="1150" spans="1:18" x14ac:dyDescent="0.3">
      <c r="B1150" s="39">
        <v>46295</v>
      </c>
      <c r="C1150" s="4" t="str">
        <f>_xlfn.XLOOKUP(tblMovimientos[[#This Row],[Cuenta Bancaria]],Listas!$B:$B,Listas!$A:$A,"")</f>
        <v>Cross Security Trust</v>
      </c>
      <c r="D1150" s="41" t="s">
        <v>112</v>
      </c>
      <c r="E1150" s="68" t="str">
        <f>_xlfn.XLOOKUP(tblMovimientos[[#This Row],[Cuenta Bancaria]],Listas!$B:$B,Listas!$C:$C,"")</f>
        <v>Bank of America</v>
      </c>
      <c r="F1150" s="41" t="s">
        <v>10</v>
      </c>
      <c r="G1150" s="41" t="s">
        <v>38</v>
      </c>
      <c r="H1150" s="4" t="str">
        <f>IFERROR(_xlfn.XLOOKUP(G1150,Listas!E:E,Listas!F:F,""),"")</f>
        <v>Operativo</v>
      </c>
      <c r="I1150" s="69" t="str">
        <f>IFERROR(_xlfn.XLOOKUP(G1150,Listas!E:E,Listas!G:G,""),"")</f>
        <v>Externo</v>
      </c>
      <c r="J1150" s="43">
        <v>24154</v>
      </c>
      <c r="K1150" s="5">
        <f t="shared" si="17"/>
        <v>-24154</v>
      </c>
      <c r="L1150" s="15" t="s">
        <v>133</v>
      </c>
      <c r="M1150" s="44">
        <f>SUMIFS('Saldos Iniciales'!$D:$D,'Saldos Iniciales'!$A:$A,C1150,'Saldos Iniciales'!$B:$B,D1150)+SUMIFS($K$1:$K$1324,$C$1:$C$1324,C1150,$D$1:$D$1324,D1150,$B$1:$B$1324,"&lt;="&amp;B1150)</f>
        <v>80533.579999999987</v>
      </c>
      <c r="N1150" s="61" t="str">
        <f>IF(tblMovimientos[[#This Row],[Tipo de Movimiento]]="Ingreso",tblMovimientos[[#This Row],[Monto (S/)]],"0")</f>
        <v>0</v>
      </c>
      <c r="O1150" s="61">
        <f>IF(tblMovimientos[[#This Row],[Tipo de Movimiento]]="Egreso",tblMovimientos[[#This Row],[Monto (S/)]],"0")</f>
        <v>24154</v>
      </c>
      <c r="P1150" s="28">
        <f>IF(tblMovimientos[[#This Row],[Tipo de Movimiento]]="Ingreso",tblMovimientos[[#This Row],[Ingreso]],-tblMovimientos[[#This Row],[Egreso]])</f>
        <v>-24154</v>
      </c>
      <c r="Q1150" s="78" t="str">
        <f>_xlfn.XLOOKUP(tblMovimientos[[#This Row],[Cuenta Bancaria]],Cuentas!$C:$C,Cuentas!$A:$A,"")&amp;""</f>
        <v>SSP Group</v>
      </c>
      <c r="R1150" s="78" t="str">
        <f>_xlfn.XLOOKUP(tblMovimientos[[#This Row],[Cuenta Bancaria]],Cuentas!$C:$C,Cuentas!$B:$B,"",0,-1)&amp;""</f>
        <v>Trust</v>
      </c>
    </row>
    <row r="1151" spans="1:18" x14ac:dyDescent="0.3">
      <c r="B1151" s="39">
        <v>46295</v>
      </c>
      <c r="C1151" s="4" t="str">
        <f>_xlfn.XLOOKUP(tblMovimientos[[#This Row],[Cuenta Bancaria]],Listas!$B:$B,Listas!$A:$A,"")</f>
        <v>Cross Security Trust</v>
      </c>
      <c r="D1151" s="41" t="s">
        <v>112</v>
      </c>
      <c r="E1151" s="68" t="str">
        <f>_xlfn.XLOOKUP(tblMovimientos[[#This Row],[Cuenta Bancaria]],Listas!$B:$B,Listas!$C:$C,"")</f>
        <v>Bank of America</v>
      </c>
      <c r="F1151" s="41" t="s">
        <v>10</v>
      </c>
      <c r="G1151" s="41" t="s">
        <v>38</v>
      </c>
      <c r="H1151" s="4" t="str">
        <f>IFERROR(_xlfn.XLOOKUP(G1151,Listas!E:E,Listas!F:F,""),"")</f>
        <v>Operativo</v>
      </c>
      <c r="I1151" s="69" t="str">
        <f>IFERROR(_xlfn.XLOOKUP(G1151,Listas!E:E,Listas!G:G,""),"")</f>
        <v>Externo</v>
      </c>
      <c r="J1151" s="43">
        <v>113001</v>
      </c>
      <c r="K1151" s="5">
        <f t="shared" si="17"/>
        <v>-113001</v>
      </c>
      <c r="L1151" s="15" t="s">
        <v>133</v>
      </c>
      <c r="M1151" s="44">
        <f>SUMIFS('Saldos Iniciales'!$D:$D,'Saldos Iniciales'!$A:$A,C1151,'Saldos Iniciales'!$B:$B,D1151)+SUMIFS($K$1:$K$1324,$C$1:$C$1324,C1151,$D$1:$D$1324,D1151,$B$1:$B$1324,"&lt;="&amp;B1151)</f>
        <v>80533.579999999987</v>
      </c>
      <c r="N1151" s="61" t="str">
        <f>IF(tblMovimientos[[#This Row],[Tipo de Movimiento]]="Ingreso",tblMovimientos[[#This Row],[Monto (S/)]],"0")</f>
        <v>0</v>
      </c>
      <c r="O1151" s="61">
        <f>IF(tblMovimientos[[#This Row],[Tipo de Movimiento]]="Egreso",tblMovimientos[[#This Row],[Monto (S/)]],"0")</f>
        <v>113001</v>
      </c>
      <c r="P1151" s="28">
        <f>IF(tblMovimientos[[#This Row],[Tipo de Movimiento]]="Ingreso",tblMovimientos[[#This Row],[Ingreso]],-tblMovimientos[[#This Row],[Egreso]])</f>
        <v>-113001</v>
      </c>
      <c r="Q1151" s="78" t="str">
        <f>_xlfn.XLOOKUP(tblMovimientos[[#This Row],[Cuenta Bancaria]],Cuentas!$C:$C,Cuentas!$A:$A,"")&amp;""</f>
        <v>SSP Group</v>
      </c>
      <c r="R1151" s="78" t="str">
        <f>_xlfn.XLOOKUP(tblMovimientos[[#This Row],[Cuenta Bancaria]],Cuentas!$C:$C,Cuentas!$B:$B,"",0,-1)&amp;""</f>
        <v>Trust</v>
      </c>
    </row>
    <row r="1152" spans="1:18" x14ac:dyDescent="0.3">
      <c r="B1152" s="39">
        <v>46295</v>
      </c>
      <c r="C1152" s="4" t="str">
        <f>_xlfn.XLOOKUP(tblMovimientos[[#This Row],[Cuenta Bancaria]],Listas!$B:$B,Listas!$A:$A,"")</f>
        <v>Electrama</v>
      </c>
      <c r="D1152" s="41" t="s">
        <v>113</v>
      </c>
      <c r="E1152" s="68" t="str">
        <f>_xlfn.XLOOKUP(tblMovimientos[[#This Row],[Cuenta Bancaria]],Listas!$B:$B,Listas!$C:$C,"")</f>
        <v>Chase Bank</v>
      </c>
      <c r="F1152" s="41" t="s">
        <v>10</v>
      </c>
      <c r="G1152" s="41" t="s">
        <v>42</v>
      </c>
      <c r="H1152" s="4" t="str">
        <f>IFERROR(_xlfn.XLOOKUP(G1152,Listas!E:E,Listas!F:F,""),"")</f>
        <v>Operativo</v>
      </c>
      <c r="I1152" s="69" t="str">
        <f>IFERROR(_xlfn.XLOOKUP(G1152,Listas!E:E,Listas!G:G,""),"")</f>
        <v>Externo</v>
      </c>
      <c r="J1152" s="43">
        <v>215.14</v>
      </c>
      <c r="K1152" s="5">
        <f t="shared" si="17"/>
        <v>-215.14</v>
      </c>
      <c r="L1152" s="15" t="s">
        <v>133</v>
      </c>
      <c r="M1152" s="44">
        <f>SUMIFS('Saldos Iniciales'!$D:$D,'Saldos Iniciales'!$A:$A,C1152,'Saldos Iniciales'!$B:$B,D1152)+SUMIFS($K$1:$K$1324,$C$1:$C$1324,C1152,$D$1:$D$1324,D1152,$B$1:$B$1324,"&lt;="&amp;B1152)</f>
        <v>10259.18</v>
      </c>
      <c r="N1152" s="61" t="str">
        <f>IF(tblMovimientos[[#This Row],[Tipo de Movimiento]]="Ingreso",tblMovimientos[[#This Row],[Monto (S/)]],"0")</f>
        <v>0</v>
      </c>
      <c r="O1152" s="61">
        <f>IF(tblMovimientos[[#This Row],[Tipo de Movimiento]]="Egreso",tblMovimientos[[#This Row],[Monto (S/)]],"0")</f>
        <v>215.14</v>
      </c>
      <c r="P1152" s="28">
        <f>IF(tblMovimientos[[#This Row],[Tipo de Movimiento]]="Ingreso",tblMovimientos[[#This Row],[Ingreso]],-tblMovimientos[[#This Row],[Egreso]])</f>
        <v>-215.14</v>
      </c>
      <c r="Q1152" s="78" t="str">
        <f>_xlfn.XLOOKUP(tblMovimientos[[#This Row],[Cuenta Bancaria]],Cuentas!$C:$C,Cuentas!$A:$A,"")&amp;""</f>
        <v>SSP Group</v>
      </c>
      <c r="R1152" s="78" t="str">
        <f>_xlfn.XLOOKUP(tblMovimientos[[#This Row],[Cuenta Bancaria]],Cuentas!$C:$C,Cuentas!$B:$B,"",0,-1)&amp;""</f>
        <v/>
      </c>
    </row>
    <row r="1153" spans="2:18" x14ac:dyDescent="0.3">
      <c r="B1153" s="39">
        <v>46296</v>
      </c>
      <c r="C1153" s="4" t="str">
        <f>_xlfn.XLOOKUP(tblMovimientos[[#This Row],[Cuenta Bancaria]],Listas!$B:$B,Listas!$A:$A,"")</f>
        <v>SSP Capital</v>
      </c>
      <c r="D1153" s="41" t="s">
        <v>101</v>
      </c>
      <c r="E1153" s="68" t="str">
        <f>_xlfn.XLOOKUP(tblMovimientos[[#This Row],[Cuenta Bancaria]],Listas!$B:$B,Listas!$C:$C,"")</f>
        <v>Bank of America</v>
      </c>
      <c r="F1153" s="41" t="s">
        <v>9</v>
      </c>
      <c r="G1153" s="41" t="s">
        <v>73</v>
      </c>
      <c r="H1153" s="4" t="str">
        <f>IFERROR(_xlfn.XLOOKUP(G1153,Listas!E:E,Listas!F:F,""),"")</f>
        <v>Operativo</v>
      </c>
      <c r="I1153" s="46" t="str">
        <f>IFERROR(_xlfn.XLOOKUP(G1153,Listas!E:E,Listas!G:G,""),"")</f>
        <v>Interno</v>
      </c>
      <c r="J1153" s="43">
        <v>15252.43</v>
      </c>
      <c r="K1153" s="5">
        <f t="shared" si="17"/>
        <v>15252.43</v>
      </c>
      <c r="L1153" s="15" t="s">
        <v>134</v>
      </c>
      <c r="M1153" s="44">
        <f>SUMIFS('Saldos Iniciales'!$D:$D,'Saldos Iniciales'!$A:$A,C1153,'Saldos Iniciales'!$B:$B,D1153)+SUMIFS($K$1:$K$1324,$C$1:$C$1324,C1153,$D$1:$D$1324,D1153,$B$1:$B$1324,"&lt;="&amp;B1153)</f>
        <v>36367.810000000005</v>
      </c>
      <c r="N1153" s="61">
        <f>IF(tblMovimientos[[#This Row],[Tipo de Movimiento]]="Ingreso",tblMovimientos[[#This Row],[Monto (S/)]],"0")</f>
        <v>15252.43</v>
      </c>
      <c r="O1153" s="61" t="str">
        <f>IF(tblMovimientos[[#This Row],[Tipo de Movimiento]]="Egreso",tblMovimientos[[#This Row],[Monto (S/)]],"0")</f>
        <v>0</v>
      </c>
      <c r="P1153" s="28">
        <f>IF(tblMovimientos[[#This Row],[Tipo de Movimiento]]="Ingreso",tblMovimientos[[#This Row],[Ingreso]],-tblMovimientos[[#This Row],[Egreso]])</f>
        <v>15252.43</v>
      </c>
      <c r="Q1153" s="78" t="str">
        <f>_xlfn.XLOOKUP(tblMovimientos[[#This Row],[Cuenta Bancaria]],Cuentas!$C:$C,Cuentas!$A:$A,"")&amp;""</f>
        <v>SSP Group</v>
      </c>
      <c r="R1153" s="78" t="str">
        <f>_xlfn.XLOOKUP(tblMovimientos[[#This Row],[Cuenta Bancaria]],Cuentas!$C:$C,Cuentas!$B:$B,"",0,-1)&amp;""</f>
        <v/>
      </c>
    </row>
    <row r="1154" spans="2:18" x14ac:dyDescent="0.3">
      <c r="B1154" s="39">
        <v>46296</v>
      </c>
      <c r="C1154" s="4" t="str">
        <f>_xlfn.XLOOKUP(tblMovimientos[[#This Row],[Cuenta Bancaria]],Listas!$B:$B,Listas!$A:$A,"")</f>
        <v>A&amp;M Imports</v>
      </c>
      <c r="D1154" s="41" t="s">
        <v>100</v>
      </c>
      <c r="E1154" s="68" t="str">
        <f>_xlfn.XLOOKUP(tblMovimientos[[#This Row],[Cuenta Bancaria]],Listas!$B:$B,Listas!$C:$C,"")</f>
        <v>Bank of America</v>
      </c>
      <c r="F1154" s="41" t="s">
        <v>10</v>
      </c>
      <c r="G1154" s="41" t="s">
        <v>61</v>
      </c>
      <c r="H1154" s="4" t="str">
        <f>IFERROR(_xlfn.XLOOKUP(G1154,Listas!E:E,Listas!F:F,""),"")</f>
        <v>Operativo</v>
      </c>
      <c r="I1154" s="46" t="str">
        <f>IFERROR(_xlfn.XLOOKUP(G1154,Listas!E:E,Listas!G:G,""),"")</f>
        <v>Externo</v>
      </c>
      <c r="J1154" s="43">
        <v>60000</v>
      </c>
      <c r="K1154" s="5">
        <f t="shared" ref="K1154:K1217" si="18">IF(F1154="Ingreso",J1154,-J1154)</f>
        <v>-60000</v>
      </c>
      <c r="L1154" s="15" t="s">
        <v>134</v>
      </c>
      <c r="M1154" s="44">
        <f>SUMIFS('Saldos Iniciales'!$D:$D,'Saldos Iniciales'!$A:$A,C1154,'Saldos Iniciales'!$B:$B,D1154)+SUMIFS($K$1:$K$1324,$C$1:$C$1324,C1154,$D$1:$D$1324,D1154,$B$1:$B$1324,"&lt;="&amp;B1154)</f>
        <v>1200526.7499999995</v>
      </c>
      <c r="N1154" s="61" t="str">
        <f>IF(tblMovimientos[[#This Row],[Tipo de Movimiento]]="Ingreso",tblMovimientos[[#This Row],[Monto (S/)]],"0")</f>
        <v>0</v>
      </c>
      <c r="O1154" s="61">
        <f>IF(tblMovimientos[[#This Row],[Tipo de Movimiento]]="Egreso",tblMovimientos[[#This Row],[Monto (S/)]],"0")</f>
        <v>60000</v>
      </c>
      <c r="P1154" s="28">
        <f>IF(tblMovimientos[[#This Row],[Tipo de Movimiento]]="Ingreso",tblMovimientos[[#This Row],[Ingreso]],-tblMovimientos[[#This Row],[Egreso]])</f>
        <v>-60000</v>
      </c>
      <c r="Q1154" s="78" t="str">
        <f>_xlfn.XLOOKUP(tblMovimientos[[#This Row],[Cuenta Bancaria]],Cuentas!$C:$C,Cuentas!$A:$A,"")&amp;""</f>
        <v>SSP Group</v>
      </c>
      <c r="R1154" s="78" t="str">
        <f>_xlfn.XLOOKUP(tblMovimientos[[#This Row],[Cuenta Bancaria]],Cuentas!$C:$C,Cuentas!$B:$B,"",0,-1)&amp;""</f>
        <v/>
      </c>
    </row>
    <row r="1155" spans="2:18" x14ac:dyDescent="0.3">
      <c r="B1155" s="39">
        <v>46296</v>
      </c>
      <c r="C1155" s="4" t="str">
        <f>_xlfn.XLOOKUP(tblMovimientos[[#This Row],[Cuenta Bancaria]],Listas!$B:$B,Listas!$A:$A,"")</f>
        <v>A&amp;M Imports</v>
      </c>
      <c r="D1155" s="41" t="s">
        <v>100</v>
      </c>
      <c r="E1155" s="68" t="str">
        <f>_xlfn.XLOOKUP(tblMovimientos[[#This Row],[Cuenta Bancaria]],Listas!$B:$B,Listas!$C:$C,"")</f>
        <v>Bank of America</v>
      </c>
      <c r="F1155" s="41" t="s">
        <v>10</v>
      </c>
      <c r="G1155" s="41" t="s">
        <v>61</v>
      </c>
      <c r="H1155" s="4" t="str">
        <f>IFERROR(_xlfn.XLOOKUP(G1155,Listas!E:E,Listas!F:F,""),"")</f>
        <v>Operativo</v>
      </c>
      <c r="I1155" s="46" t="str">
        <f>IFERROR(_xlfn.XLOOKUP(G1155,Listas!E:E,Listas!G:G,""),"")</f>
        <v>Externo</v>
      </c>
      <c r="J1155" s="43">
        <v>80000</v>
      </c>
      <c r="K1155" s="5">
        <f t="shared" si="18"/>
        <v>-80000</v>
      </c>
      <c r="L1155" s="15" t="s">
        <v>134</v>
      </c>
      <c r="M1155" s="44">
        <f>SUMIFS('Saldos Iniciales'!$D:$D,'Saldos Iniciales'!$A:$A,C1155,'Saldos Iniciales'!$B:$B,D1155)+SUMIFS($K$1:$K$1324,$C$1:$C$1324,C1155,$D$1:$D$1324,D1155,$B$1:$B$1324,"&lt;="&amp;B1155)</f>
        <v>1200526.7499999995</v>
      </c>
      <c r="N1155" s="61" t="str">
        <f>IF(tblMovimientos[[#This Row],[Tipo de Movimiento]]="Ingreso",tblMovimientos[[#This Row],[Monto (S/)]],"0")</f>
        <v>0</v>
      </c>
      <c r="O1155" s="61">
        <f>IF(tblMovimientos[[#This Row],[Tipo de Movimiento]]="Egreso",tblMovimientos[[#This Row],[Monto (S/)]],"0")</f>
        <v>80000</v>
      </c>
      <c r="P1155" s="28">
        <f>IF(tblMovimientos[[#This Row],[Tipo de Movimiento]]="Ingreso",tblMovimientos[[#This Row],[Ingreso]],-tblMovimientos[[#This Row],[Egreso]])</f>
        <v>-80000</v>
      </c>
      <c r="Q1155" s="78" t="str">
        <f>_xlfn.XLOOKUP(tblMovimientos[[#This Row],[Cuenta Bancaria]],Cuentas!$C:$C,Cuentas!$A:$A,"")&amp;""</f>
        <v>SSP Group</v>
      </c>
      <c r="R1155" s="78" t="str">
        <f>_xlfn.XLOOKUP(tblMovimientos[[#This Row],[Cuenta Bancaria]],Cuentas!$C:$C,Cuentas!$B:$B,"",0,-1)&amp;""</f>
        <v/>
      </c>
    </row>
    <row r="1156" spans="2:18" x14ac:dyDescent="0.3">
      <c r="B1156" s="39">
        <v>46296</v>
      </c>
      <c r="C1156" s="4" t="str">
        <f>_xlfn.XLOOKUP(tblMovimientos[[#This Row],[Cuenta Bancaria]],Listas!$B:$B,Listas!$A:$A,"")</f>
        <v>A&amp;M Imports</v>
      </c>
      <c r="D1156" s="41" t="s">
        <v>100</v>
      </c>
      <c r="E1156" s="68" t="str">
        <f>_xlfn.XLOOKUP(tblMovimientos[[#This Row],[Cuenta Bancaria]],Listas!$B:$B,Listas!$C:$C,"")</f>
        <v>Bank of America</v>
      </c>
      <c r="F1156" s="41" t="s">
        <v>10</v>
      </c>
      <c r="G1156" s="41" t="s">
        <v>51</v>
      </c>
      <c r="H1156" s="4" t="str">
        <f>IFERROR(_xlfn.XLOOKUP(G1156,Listas!E:E,Listas!F:F,""),"")</f>
        <v>Financiamiento</v>
      </c>
      <c r="I1156" s="46" t="str">
        <f>IFERROR(_xlfn.XLOOKUP(G1156,Listas!E:E,Listas!G:G,""),"")</f>
        <v>Externo</v>
      </c>
      <c r="J1156" s="43">
        <v>15252.43</v>
      </c>
      <c r="K1156" s="5">
        <f t="shared" si="18"/>
        <v>-15252.43</v>
      </c>
      <c r="L1156" s="15" t="s">
        <v>134</v>
      </c>
      <c r="M1156" s="44">
        <f>SUMIFS('Saldos Iniciales'!$D:$D,'Saldos Iniciales'!$A:$A,C1156,'Saldos Iniciales'!$B:$B,D1156)+SUMIFS($K$1:$K$1324,$C$1:$C$1324,C1156,$D$1:$D$1324,D1156,$B$1:$B$1324,"&lt;="&amp;B1156)</f>
        <v>1200526.7499999995</v>
      </c>
      <c r="N1156" s="61" t="str">
        <f>IF(tblMovimientos[[#This Row],[Tipo de Movimiento]]="Ingreso",tblMovimientos[[#This Row],[Monto (S/)]],"0")</f>
        <v>0</v>
      </c>
      <c r="O1156" s="61">
        <f>IF(tblMovimientos[[#This Row],[Tipo de Movimiento]]="Egreso",tblMovimientos[[#This Row],[Monto (S/)]],"0")</f>
        <v>15252.43</v>
      </c>
      <c r="P1156" s="28">
        <f>IF(tblMovimientos[[#This Row],[Tipo de Movimiento]]="Ingreso",tblMovimientos[[#This Row],[Ingreso]],-tblMovimientos[[#This Row],[Egreso]])</f>
        <v>-15252.43</v>
      </c>
      <c r="Q1156" s="78" t="str">
        <f>_xlfn.XLOOKUP(tblMovimientos[[#This Row],[Cuenta Bancaria]],Cuentas!$C:$C,Cuentas!$A:$A,"")&amp;""</f>
        <v>SSP Group</v>
      </c>
      <c r="R1156" s="78" t="str">
        <f>_xlfn.XLOOKUP(tblMovimientos[[#This Row],[Cuenta Bancaria]],Cuentas!$C:$C,Cuentas!$B:$B,"",0,-1)&amp;""</f>
        <v/>
      </c>
    </row>
    <row r="1157" spans="2:18" x14ac:dyDescent="0.3">
      <c r="B1157" s="39">
        <v>46296</v>
      </c>
      <c r="C1157" s="4" t="str">
        <f>_xlfn.XLOOKUP(tblMovimientos[[#This Row],[Cuenta Bancaria]],Listas!$B:$B,Listas!$A:$A,"")</f>
        <v>CFT Group</v>
      </c>
      <c r="D1157" s="41" t="s">
        <v>94</v>
      </c>
      <c r="E1157" s="68" t="str">
        <f>_xlfn.XLOOKUP(tblMovimientos[[#This Row],[Cuenta Bancaria]],Listas!$B:$B,Listas!$C:$C,"")</f>
        <v>Bank of America</v>
      </c>
      <c r="F1157" s="41" t="s">
        <v>10</v>
      </c>
      <c r="G1157" s="41" t="s">
        <v>64</v>
      </c>
      <c r="H1157" s="4" t="str">
        <f>IFERROR(_xlfn.XLOOKUP(G1157,Listas!E:E,Listas!F:F,""),"")</f>
        <v>Operativo</v>
      </c>
      <c r="I1157" s="46" t="str">
        <f>IFERROR(_xlfn.XLOOKUP(G1157,Listas!E:E,Listas!G:G,""),"")</f>
        <v>Interno</v>
      </c>
      <c r="J1157" s="43">
        <v>440000</v>
      </c>
      <c r="K1157" s="5">
        <f t="shared" si="18"/>
        <v>-440000</v>
      </c>
      <c r="L1157" s="15" t="s">
        <v>134</v>
      </c>
      <c r="M1157" s="44">
        <f>SUMIFS('Saldos Iniciales'!$D:$D,'Saldos Iniciales'!$A:$A,C1157,'Saldos Iniciales'!$B:$B,D1157)+SUMIFS($K$1:$K$1324,$C$1:$C$1324,C1157,$D$1:$D$1324,D1157,$B$1:$B$1324,"&lt;="&amp;B1157)</f>
        <v>23219.509999999951</v>
      </c>
      <c r="N1157" s="61" t="str">
        <f>IF(tblMovimientos[[#This Row],[Tipo de Movimiento]]="Ingreso",tblMovimientos[[#This Row],[Monto (S/)]],"0")</f>
        <v>0</v>
      </c>
      <c r="O1157" s="61">
        <f>IF(tblMovimientos[[#This Row],[Tipo de Movimiento]]="Egreso",tblMovimientos[[#This Row],[Monto (S/)]],"0")</f>
        <v>440000</v>
      </c>
      <c r="P1157" s="28">
        <f>IF(tblMovimientos[[#This Row],[Tipo de Movimiento]]="Ingreso",tblMovimientos[[#This Row],[Ingreso]],-tblMovimientos[[#This Row],[Egreso]])</f>
        <v>-440000</v>
      </c>
      <c r="Q1157" s="78" t="str">
        <f>_xlfn.XLOOKUP(tblMovimientos[[#This Row],[Cuenta Bancaria]],Cuentas!$C:$C,Cuentas!$A:$A,"")&amp;""</f>
        <v>SSP Group</v>
      </c>
      <c r="R1157" s="78" t="str">
        <f>_xlfn.XLOOKUP(tblMovimientos[[#This Row],[Cuenta Bancaria]],Cuentas!$C:$C,Cuentas!$B:$B,"",0,-1)&amp;""</f>
        <v/>
      </c>
    </row>
    <row r="1158" spans="2:18" x14ac:dyDescent="0.3">
      <c r="B1158" s="39">
        <v>46296</v>
      </c>
      <c r="C1158" s="4" t="str">
        <f>_xlfn.XLOOKUP(tblMovimientos[[#This Row],[Cuenta Bancaria]],Listas!$B:$B,Listas!$A:$A,"")</f>
        <v>Cross Family Trust</v>
      </c>
      <c r="D1158" s="41" t="s">
        <v>110</v>
      </c>
      <c r="E1158" s="68" t="str">
        <f>_xlfn.XLOOKUP(tblMovimientos[[#This Row],[Cuenta Bancaria]],Listas!$B:$B,Listas!$C:$C,"")</f>
        <v>Bank of America</v>
      </c>
      <c r="F1158" s="41" t="s">
        <v>10</v>
      </c>
      <c r="G1158" s="41" t="s">
        <v>38</v>
      </c>
      <c r="H1158" s="4" t="str">
        <f>IFERROR(_xlfn.XLOOKUP(G1158,Listas!E:E,Listas!F:F,""),"")</f>
        <v>Operativo</v>
      </c>
      <c r="I1158" s="46" t="str">
        <f>IFERROR(_xlfn.XLOOKUP(G1158,Listas!E:E,Listas!G:G,""),"")</f>
        <v>Externo</v>
      </c>
      <c r="J1158" s="43">
        <v>6000</v>
      </c>
      <c r="K1158" s="5">
        <f t="shared" si="18"/>
        <v>-6000</v>
      </c>
      <c r="L1158" s="15" t="s">
        <v>134</v>
      </c>
      <c r="M1158" s="44">
        <f>SUMIFS('Saldos Iniciales'!$D:$D,'Saldos Iniciales'!$A:$A,C1158,'Saldos Iniciales'!$B:$B,D1158)+SUMIFS($K$1:$K$1324,$C$1:$C$1324,C1158,$D$1:$D$1324,D1158,$B$1:$B$1324,"&lt;="&amp;B1158)</f>
        <v>27206.89</v>
      </c>
      <c r="N1158" s="61" t="str">
        <f>IF(tblMovimientos[[#This Row],[Tipo de Movimiento]]="Ingreso",tblMovimientos[[#This Row],[Monto (S/)]],"0")</f>
        <v>0</v>
      </c>
      <c r="O1158" s="61">
        <f>IF(tblMovimientos[[#This Row],[Tipo de Movimiento]]="Egreso",tblMovimientos[[#This Row],[Monto (S/)]],"0")</f>
        <v>6000</v>
      </c>
      <c r="P1158" s="28">
        <f>IF(tblMovimientos[[#This Row],[Tipo de Movimiento]]="Ingreso",tblMovimientos[[#This Row],[Ingreso]],-tblMovimientos[[#This Row],[Egreso]])</f>
        <v>-6000</v>
      </c>
      <c r="Q1158" s="78" t="str">
        <f>_xlfn.XLOOKUP(tblMovimientos[[#This Row],[Cuenta Bancaria]],Cuentas!$C:$C,Cuentas!$A:$A,"")&amp;""</f>
        <v>SSP Group</v>
      </c>
      <c r="R1158" s="78" t="str">
        <f>_xlfn.XLOOKUP(tblMovimientos[[#This Row],[Cuenta Bancaria]],Cuentas!$C:$C,Cuentas!$B:$B,"",0,-1)&amp;""</f>
        <v>Trust</v>
      </c>
    </row>
    <row r="1159" spans="2:18" x14ac:dyDescent="0.3">
      <c r="B1159" s="39">
        <v>46296</v>
      </c>
      <c r="C1159" s="4" t="str">
        <f>_xlfn.XLOOKUP(tblMovimientos[[#This Row],[Cuenta Bancaria]],Listas!$B:$B,Listas!$A:$A,"")</f>
        <v>Sacred Valley Capital</v>
      </c>
      <c r="D1159" s="41" t="s">
        <v>114</v>
      </c>
      <c r="E1159" s="68" t="str">
        <f>_xlfn.XLOOKUP(tblMovimientos[[#This Row],[Cuenta Bancaria]],Listas!$B:$B,Listas!$C:$C,"")</f>
        <v>Bank of America</v>
      </c>
      <c r="F1159" s="41" t="s">
        <v>10</v>
      </c>
      <c r="G1159" s="41" t="s">
        <v>44</v>
      </c>
      <c r="H1159" s="4" t="str">
        <f>IFERROR(_xlfn.XLOOKUP(G1159,Listas!E:E,Listas!F:F,""),"")</f>
        <v>Operativo</v>
      </c>
      <c r="I1159" s="46" t="str">
        <f>IFERROR(_xlfn.XLOOKUP(G1159,Listas!E:E,Listas!G:G,""),"")</f>
        <v>Externo</v>
      </c>
      <c r="J1159" s="43">
        <v>29.95</v>
      </c>
      <c r="K1159" s="5">
        <f t="shared" si="18"/>
        <v>-29.95</v>
      </c>
      <c r="L1159" s="15" t="s">
        <v>134</v>
      </c>
      <c r="M1159" s="44">
        <f>SUMIFS('Saldos Iniciales'!$D:$D,'Saldos Iniciales'!$A:$A,C1159,'Saldos Iniciales'!$B:$B,D1159)+SUMIFS($K$1:$K$1324,$C$1:$C$1324,C1159,$D$1:$D$1324,D1159,$B$1:$B$1324,"&lt;="&amp;B1159)</f>
        <v>64.55</v>
      </c>
      <c r="N1159" s="61" t="str">
        <f>IF(tblMovimientos[[#This Row],[Tipo de Movimiento]]="Ingreso",tblMovimientos[[#This Row],[Monto (S/)]],"0")</f>
        <v>0</v>
      </c>
      <c r="O1159" s="61">
        <f>IF(tblMovimientos[[#This Row],[Tipo de Movimiento]]="Egreso",tblMovimientos[[#This Row],[Monto (S/)]],"0")</f>
        <v>29.95</v>
      </c>
      <c r="P1159" s="28">
        <f>IF(tblMovimientos[[#This Row],[Tipo de Movimiento]]="Ingreso",tblMovimientos[[#This Row],[Ingreso]],-tblMovimientos[[#This Row],[Egreso]])</f>
        <v>-29.95</v>
      </c>
      <c r="Q1159" s="78" t="str">
        <f>_xlfn.XLOOKUP(tblMovimientos[[#This Row],[Cuenta Bancaria]],Cuentas!$C:$C,Cuentas!$A:$A,"")&amp;""</f>
        <v>SSP Group</v>
      </c>
      <c r="R1159" s="78" t="str">
        <f>_xlfn.XLOOKUP(tblMovimientos[[#This Row],[Cuenta Bancaria]],Cuentas!$C:$C,Cuentas!$B:$B,"",0,-1)&amp;""</f>
        <v/>
      </c>
    </row>
    <row r="1160" spans="2:18" x14ac:dyDescent="0.3">
      <c r="B1160" s="39">
        <v>46296</v>
      </c>
      <c r="C1160" s="4" t="str">
        <f>_xlfn.XLOOKUP(tblMovimientos[[#This Row],[Cuenta Bancaria]],Listas!$B:$B,Listas!$A:$A,"")</f>
        <v>YWC Capital</v>
      </c>
      <c r="D1160" s="41" t="s">
        <v>115</v>
      </c>
      <c r="E1160" s="68" t="str">
        <f>_xlfn.XLOOKUP(tblMovimientos[[#This Row],[Cuenta Bancaria]],Listas!$B:$B,Listas!$C:$C,"")</f>
        <v>Bank of America</v>
      </c>
      <c r="F1160" s="41" t="s">
        <v>10</v>
      </c>
      <c r="G1160" s="41" t="s">
        <v>44</v>
      </c>
      <c r="H1160" s="4" t="str">
        <f>IFERROR(_xlfn.XLOOKUP(G1160,Listas!E:E,Listas!F:F,""),"")</f>
        <v>Operativo</v>
      </c>
      <c r="I1160" s="46" t="str">
        <f>IFERROR(_xlfn.XLOOKUP(G1160,Listas!E:E,Listas!G:G,""),"")</f>
        <v>Externo</v>
      </c>
      <c r="J1160" s="43">
        <v>29.95</v>
      </c>
      <c r="K1160" s="5">
        <f t="shared" si="18"/>
        <v>-29.95</v>
      </c>
      <c r="L1160" s="15" t="s">
        <v>134</v>
      </c>
      <c r="M1160" s="44">
        <f>SUMIFS('Saldos Iniciales'!$D:$D,'Saldos Iniciales'!$A:$A,C1160,'Saldos Iniciales'!$B:$B,D1160)+SUMIFS($K$1:$K$1324,$C$1:$C$1324,C1160,$D$1:$D$1324,D1160,$B$1:$B$1324,"&lt;="&amp;B1160)</f>
        <v>2117.9700000000003</v>
      </c>
      <c r="N1160" s="61" t="str">
        <f>IF(tblMovimientos[[#This Row],[Tipo de Movimiento]]="Ingreso",tblMovimientos[[#This Row],[Monto (S/)]],"0")</f>
        <v>0</v>
      </c>
      <c r="O1160" s="61">
        <f>IF(tblMovimientos[[#This Row],[Tipo de Movimiento]]="Egreso",tblMovimientos[[#This Row],[Monto (S/)]],"0")</f>
        <v>29.95</v>
      </c>
      <c r="P1160" s="28">
        <f>IF(tblMovimientos[[#This Row],[Tipo de Movimiento]]="Ingreso",tblMovimientos[[#This Row],[Ingreso]],-tblMovimientos[[#This Row],[Egreso]])</f>
        <v>-29.95</v>
      </c>
      <c r="Q1160" s="78" t="str">
        <f>_xlfn.XLOOKUP(tblMovimientos[[#This Row],[Cuenta Bancaria]],Cuentas!$C:$C,Cuentas!$A:$A,"")&amp;""</f>
        <v>SSP Group</v>
      </c>
      <c r="R1160" s="78" t="str">
        <f>_xlfn.XLOOKUP(tblMovimientos[[#This Row],[Cuenta Bancaria]],Cuentas!$C:$C,Cuentas!$B:$B,"",0,-1)&amp;""</f>
        <v/>
      </c>
    </row>
    <row r="1161" spans="2:18" x14ac:dyDescent="0.3">
      <c r="B1161" s="39">
        <v>46296</v>
      </c>
      <c r="C1161" s="4" t="str">
        <f>_xlfn.XLOOKUP(tblMovimientos[[#This Row],[Cuenta Bancaria]],Listas!$B:$B,Listas!$A:$A,"")</f>
        <v>Arbor Capital Properties</v>
      </c>
      <c r="D1161" s="41" t="s">
        <v>120</v>
      </c>
      <c r="E1161" s="68" t="str">
        <f>_xlfn.XLOOKUP(tblMovimientos[[#This Row],[Cuenta Bancaria]],Listas!$B:$B,Listas!$C:$C,"")</f>
        <v>Bank of America</v>
      </c>
      <c r="F1161" s="41" t="s">
        <v>10</v>
      </c>
      <c r="G1161" s="41" t="s">
        <v>44</v>
      </c>
      <c r="H1161" s="4" t="str">
        <f>IFERROR(_xlfn.XLOOKUP(G1161,Listas!E:E,Listas!F:F,""),"")</f>
        <v>Operativo</v>
      </c>
      <c r="I1161" s="46" t="str">
        <f>IFERROR(_xlfn.XLOOKUP(G1161,Listas!E:E,Listas!G:G,""),"")</f>
        <v>Externo</v>
      </c>
      <c r="J1161" s="43">
        <v>16</v>
      </c>
      <c r="K1161" s="5">
        <f t="shared" si="18"/>
        <v>-16</v>
      </c>
      <c r="L1161" s="15" t="s">
        <v>134</v>
      </c>
      <c r="M1161" s="44">
        <f>SUMIFS('Saldos Iniciales'!$D:$D,'Saldos Iniciales'!$A:$A,C1161,'Saldos Iniciales'!$B:$B,D1161)+SUMIFS($K$1:$K$1324,$C$1:$C$1324,C1161,$D$1:$D$1324,D1161,$B$1:$B$1324,"&lt;="&amp;B1161)</f>
        <v>1364.08</v>
      </c>
      <c r="N1161" s="61" t="str">
        <f>IF(tblMovimientos[[#This Row],[Tipo de Movimiento]]="Ingreso",tblMovimientos[[#This Row],[Monto (S/)]],"0")</f>
        <v>0</v>
      </c>
      <c r="O1161" s="61">
        <f>IF(tblMovimientos[[#This Row],[Tipo de Movimiento]]="Egreso",tblMovimientos[[#This Row],[Monto (S/)]],"0")</f>
        <v>16</v>
      </c>
      <c r="P1161" s="28">
        <f>IF(tblMovimientos[[#This Row],[Tipo de Movimiento]]="Ingreso",tblMovimientos[[#This Row],[Ingreso]],-tblMovimientos[[#This Row],[Egreso]])</f>
        <v>-16</v>
      </c>
      <c r="Q1161" s="78" t="str">
        <f>_xlfn.XLOOKUP(tblMovimientos[[#This Row],[Cuenta Bancaria]],Cuentas!$C:$C,Cuentas!$A:$A,"")&amp;""</f>
        <v>SSP Group</v>
      </c>
      <c r="R1161" s="78" t="str">
        <f>_xlfn.XLOOKUP(tblMovimientos[[#This Row],[Cuenta Bancaria]],Cuentas!$C:$C,Cuentas!$B:$B,"",0,-1)&amp;""</f>
        <v/>
      </c>
    </row>
    <row r="1162" spans="2:18" x14ac:dyDescent="0.3">
      <c r="B1162" s="39">
        <v>46296</v>
      </c>
      <c r="C1162" s="4" t="str">
        <f>_xlfn.XLOOKUP(tblMovimientos[[#This Row],[Cuenta Bancaria]],Listas!$B:$B,Listas!$A:$A,"")</f>
        <v>2515 Overbrook</v>
      </c>
      <c r="D1162" s="41" t="s">
        <v>121</v>
      </c>
      <c r="E1162" s="68" t="str">
        <f>_xlfn.XLOOKUP(tblMovimientos[[#This Row],[Cuenta Bancaria]],Listas!$B:$B,Listas!$C:$C,"")</f>
        <v>Bank of America</v>
      </c>
      <c r="F1162" s="41" t="s">
        <v>10</v>
      </c>
      <c r="G1162" s="41" t="s">
        <v>46</v>
      </c>
      <c r="H1162" s="4" t="str">
        <f>IFERROR(_xlfn.XLOOKUP(G1162,Listas!E:E,Listas!F:F,""),"")</f>
        <v>Financiamiento</v>
      </c>
      <c r="I1162" s="46" t="str">
        <f>IFERROR(_xlfn.XLOOKUP(G1162,Listas!E:E,Listas!G:G,""),"")</f>
        <v>Externo</v>
      </c>
      <c r="J1162" s="43">
        <v>8533.33</v>
      </c>
      <c r="K1162" s="5">
        <f t="shared" si="18"/>
        <v>-8533.33</v>
      </c>
      <c r="L1162" s="15" t="s">
        <v>134</v>
      </c>
      <c r="M1162" s="44">
        <f>SUMIFS('Saldos Iniciales'!$D:$D,'Saldos Iniciales'!$A:$A,C1162,'Saldos Iniciales'!$B:$B,D1162)+SUMIFS($K$1:$K$1324,$C$1:$C$1324,C1162,$D$1:$D$1324,D1162,$B$1:$B$1324,"&lt;="&amp;B1162)</f>
        <v>19881.129999999965</v>
      </c>
      <c r="N1162" s="61" t="str">
        <f>IF(tblMovimientos[[#This Row],[Tipo de Movimiento]]="Ingreso",tblMovimientos[[#This Row],[Monto (S/)]],"0")</f>
        <v>0</v>
      </c>
      <c r="O1162" s="61">
        <f>IF(tblMovimientos[[#This Row],[Tipo de Movimiento]]="Egreso",tblMovimientos[[#This Row],[Monto (S/)]],"0")</f>
        <v>8533.33</v>
      </c>
      <c r="P1162" s="28">
        <f>IF(tblMovimientos[[#This Row],[Tipo de Movimiento]]="Ingreso",tblMovimientos[[#This Row],[Ingreso]],-tblMovimientos[[#This Row],[Egreso]])</f>
        <v>-8533.33</v>
      </c>
      <c r="Q1162" s="78" t="str">
        <f>_xlfn.XLOOKUP(tblMovimientos[[#This Row],[Cuenta Bancaria]],Cuentas!$C:$C,Cuentas!$A:$A,"")&amp;""</f>
        <v>SSP Group</v>
      </c>
      <c r="R1162" s="78" t="str">
        <f>_xlfn.XLOOKUP(tblMovimientos[[#This Row],[Cuenta Bancaria]],Cuentas!$C:$C,Cuentas!$B:$B,"",0,-1)&amp;""</f>
        <v/>
      </c>
    </row>
    <row r="1163" spans="2:18" x14ac:dyDescent="0.3">
      <c r="B1163" s="39">
        <v>46296</v>
      </c>
      <c r="C1163" s="4" t="str">
        <f>_xlfn.XLOOKUP(tblMovimientos[[#This Row],[Cuenta Bancaria]],Listas!$B:$B,Listas!$A:$A,"")</f>
        <v>2515 Overbrook</v>
      </c>
      <c r="D1163" s="41" t="s">
        <v>122</v>
      </c>
      <c r="E1163" s="68" t="str">
        <f>_xlfn.XLOOKUP(tblMovimientos[[#This Row],[Cuenta Bancaria]],Listas!$B:$B,Listas!$C:$C,"")</f>
        <v>Bank of America</v>
      </c>
      <c r="F1163" s="41" t="s">
        <v>10</v>
      </c>
      <c r="G1163" s="41" t="s">
        <v>44</v>
      </c>
      <c r="H1163" s="4" t="str">
        <f>IFERROR(_xlfn.XLOOKUP(G1163,Listas!E:E,Listas!F:F,""),"")</f>
        <v>Operativo</v>
      </c>
      <c r="I1163" s="46" t="str">
        <f>IFERROR(_xlfn.XLOOKUP(G1163,Listas!E:E,Listas!G:G,""),"")</f>
        <v>Externo</v>
      </c>
      <c r="J1163" s="43">
        <v>10</v>
      </c>
      <c r="K1163" s="5">
        <f t="shared" si="18"/>
        <v>-10</v>
      </c>
      <c r="L1163" s="15" t="s">
        <v>134</v>
      </c>
      <c r="M1163" s="44">
        <f>SUMIFS('Saldos Iniciales'!$D:$D,'Saldos Iniciales'!$A:$A,C1163,'Saldos Iniciales'!$B:$B,D1163)+SUMIFS($K$1:$K$1324,$C$1:$C$1324,C1163,$D$1:$D$1324,D1163,$B$1:$B$1324,"&lt;="&amp;B1163)</f>
        <v>290.42</v>
      </c>
      <c r="N1163" s="61" t="str">
        <f>IF(tblMovimientos[[#This Row],[Tipo de Movimiento]]="Ingreso",tblMovimientos[[#This Row],[Monto (S/)]],"0")</f>
        <v>0</v>
      </c>
      <c r="O1163" s="61">
        <f>IF(tblMovimientos[[#This Row],[Tipo de Movimiento]]="Egreso",tblMovimientos[[#This Row],[Monto (S/)]],"0")</f>
        <v>10</v>
      </c>
      <c r="P1163" s="28">
        <f>IF(tblMovimientos[[#This Row],[Tipo de Movimiento]]="Ingreso",tblMovimientos[[#This Row],[Ingreso]],-tblMovimientos[[#This Row],[Egreso]])</f>
        <v>-10</v>
      </c>
      <c r="Q1163" s="78" t="str">
        <f>_xlfn.XLOOKUP(tblMovimientos[[#This Row],[Cuenta Bancaria]],Cuentas!$C:$C,Cuentas!$A:$A,"")&amp;""</f>
        <v>SSP Group</v>
      </c>
      <c r="R1163" s="78" t="str">
        <f>_xlfn.XLOOKUP(tblMovimientos[[#This Row],[Cuenta Bancaria]],Cuentas!$C:$C,Cuentas!$B:$B,"",0,-1)&amp;""</f>
        <v/>
      </c>
    </row>
    <row r="1164" spans="2:18" x14ac:dyDescent="0.3">
      <c r="B1164" s="39">
        <v>46296</v>
      </c>
      <c r="C1164" s="4" t="str">
        <f>_xlfn.XLOOKUP(tblMovimientos[[#This Row],[Cuenta Bancaria]],Listas!$B:$B,Listas!$A:$A,"")</f>
        <v>112 Florida Ave</v>
      </c>
      <c r="D1164" s="41" t="s">
        <v>123</v>
      </c>
      <c r="E1164" s="68" t="str">
        <f>_xlfn.XLOOKUP(tblMovimientos[[#This Row],[Cuenta Bancaria]],Listas!$B:$B,Listas!$C:$C,"")</f>
        <v>Bank of America</v>
      </c>
      <c r="F1164" s="41" t="s">
        <v>10</v>
      </c>
      <c r="G1164" s="41" t="s">
        <v>48</v>
      </c>
      <c r="H1164" s="4" t="str">
        <f>IFERROR(_xlfn.XLOOKUP(G1164,Listas!E:E,Listas!F:F,""),"")</f>
        <v>Financiamiento</v>
      </c>
      <c r="I1164" s="46" t="str">
        <f>IFERROR(_xlfn.XLOOKUP(G1164,Listas!E:E,Listas!G:G,""),"")</f>
        <v>Externo</v>
      </c>
      <c r="J1164" s="43">
        <v>9798.6299999999992</v>
      </c>
      <c r="K1164" s="5">
        <f t="shared" si="18"/>
        <v>-9798.6299999999992</v>
      </c>
      <c r="L1164" s="15" t="s">
        <v>134</v>
      </c>
      <c r="M1164" s="44">
        <f>SUMIFS('Saldos Iniciales'!$D:$D,'Saldos Iniciales'!$A:$A,C1164,'Saldos Iniciales'!$B:$B,D1164)+SUMIFS($K$1:$K$1324,$C$1:$C$1324,C1164,$D$1:$D$1324,D1164,$B$1:$B$1324,"&lt;="&amp;B1164)</f>
        <v>13576.060000000007</v>
      </c>
      <c r="N1164" s="61" t="str">
        <f>IF(tblMovimientos[[#This Row],[Tipo de Movimiento]]="Ingreso",tblMovimientos[[#This Row],[Monto (S/)]],"0")</f>
        <v>0</v>
      </c>
      <c r="O1164" s="61">
        <f>IF(tblMovimientos[[#This Row],[Tipo de Movimiento]]="Egreso",tblMovimientos[[#This Row],[Monto (S/)]],"0")</f>
        <v>9798.6299999999992</v>
      </c>
      <c r="P1164" s="28">
        <f>IF(tblMovimientos[[#This Row],[Tipo de Movimiento]]="Ingreso",tblMovimientos[[#This Row],[Ingreso]],-tblMovimientos[[#This Row],[Egreso]])</f>
        <v>-9798.6299999999992</v>
      </c>
      <c r="Q1164" s="78" t="str">
        <f>_xlfn.XLOOKUP(tblMovimientos[[#This Row],[Cuenta Bancaria]],Cuentas!$C:$C,Cuentas!$A:$A,"")&amp;""</f>
        <v>SSP Group</v>
      </c>
      <c r="R1164" s="78" t="str">
        <f>_xlfn.XLOOKUP(tblMovimientos[[#This Row],[Cuenta Bancaria]],Cuentas!$C:$C,Cuentas!$B:$B,"",0,-1)&amp;""</f>
        <v/>
      </c>
    </row>
    <row r="1165" spans="2:18" x14ac:dyDescent="0.3">
      <c r="B1165" s="39">
        <v>46296</v>
      </c>
      <c r="C1165" s="4" t="str">
        <f>_xlfn.XLOOKUP(tblMovimientos[[#This Row],[Cuenta Bancaria]],Listas!$B:$B,Listas!$A:$A,"")</f>
        <v>3628 Thomas Ave</v>
      </c>
      <c r="D1165" s="41" t="s">
        <v>124</v>
      </c>
      <c r="E1165" s="68" t="str">
        <f>_xlfn.XLOOKUP(tblMovimientos[[#This Row],[Cuenta Bancaria]],Listas!$B:$B,Listas!$C:$C,"")</f>
        <v>Bank of America</v>
      </c>
      <c r="F1165" s="41" t="s">
        <v>9</v>
      </c>
      <c r="G1165" s="41" t="s">
        <v>81</v>
      </c>
      <c r="H1165" s="4" t="str">
        <f>IFERROR(_xlfn.XLOOKUP(G1165,Listas!E:E,Listas!F:F,""),"")</f>
        <v>Operativo</v>
      </c>
      <c r="I1165" s="46" t="str">
        <f>IFERROR(_xlfn.XLOOKUP(G1165,Listas!E:E,Listas!G:G,""),"")</f>
        <v>Externo</v>
      </c>
      <c r="J1165" s="43">
        <v>4400</v>
      </c>
      <c r="K1165" s="5">
        <f t="shared" si="18"/>
        <v>4400</v>
      </c>
      <c r="L1165" s="15" t="s">
        <v>134</v>
      </c>
      <c r="M1165" s="44">
        <f>SUMIFS('Saldos Iniciales'!$D:$D,'Saldos Iniciales'!$A:$A,C1165,'Saldos Iniciales'!$B:$B,D1165)+SUMIFS($K$1:$K$1324,$C$1:$C$1324,C1165,$D$1:$D$1324,D1165,$B$1:$B$1324,"&lt;="&amp;B1165)</f>
        <v>16893.769999999997</v>
      </c>
      <c r="N1165" s="61">
        <f>IF(tblMovimientos[[#This Row],[Tipo de Movimiento]]="Ingreso",tblMovimientos[[#This Row],[Monto (S/)]],"0")</f>
        <v>4400</v>
      </c>
      <c r="O1165" s="61" t="str">
        <f>IF(tblMovimientos[[#This Row],[Tipo de Movimiento]]="Egreso",tblMovimientos[[#This Row],[Monto (S/)]],"0")</f>
        <v>0</v>
      </c>
      <c r="P1165" s="28">
        <f>IF(tblMovimientos[[#This Row],[Tipo de Movimiento]]="Ingreso",tblMovimientos[[#This Row],[Ingreso]],-tblMovimientos[[#This Row],[Egreso]])</f>
        <v>4400</v>
      </c>
      <c r="Q1165" s="78" t="str">
        <f>_xlfn.XLOOKUP(tblMovimientos[[#This Row],[Cuenta Bancaria]],Cuentas!$C:$C,Cuentas!$A:$A,"")&amp;""</f>
        <v>SSP Group</v>
      </c>
      <c r="R1165" s="78" t="str">
        <f>_xlfn.XLOOKUP(tblMovimientos[[#This Row],[Cuenta Bancaria]],Cuentas!$C:$C,Cuentas!$B:$B,"",0,-1)&amp;""</f>
        <v/>
      </c>
    </row>
    <row r="1166" spans="2:18" x14ac:dyDescent="0.3">
      <c r="B1166" s="39">
        <v>46296</v>
      </c>
      <c r="C1166" s="4" t="str">
        <f>_xlfn.XLOOKUP(tblMovimientos[[#This Row],[Cuenta Bancaria]],Listas!$B:$B,Listas!$A:$A,"")</f>
        <v>3628 Thomas Ave</v>
      </c>
      <c r="D1166" s="41" t="s">
        <v>124</v>
      </c>
      <c r="E1166" s="68" t="str">
        <f>_xlfn.XLOOKUP(tblMovimientos[[#This Row],[Cuenta Bancaria]],Listas!$B:$B,Listas!$C:$C,"")</f>
        <v>Bank of America</v>
      </c>
      <c r="F1166" s="41" t="s">
        <v>9</v>
      </c>
      <c r="G1166" s="41" t="s">
        <v>81</v>
      </c>
      <c r="H1166" s="4" t="str">
        <f>IFERROR(_xlfn.XLOOKUP(G1166,Listas!E:E,Listas!F:F,""),"")</f>
        <v>Operativo</v>
      </c>
      <c r="I1166" s="46" t="str">
        <f>IFERROR(_xlfn.XLOOKUP(G1166,Listas!E:E,Listas!G:G,""),"")</f>
        <v>Externo</v>
      </c>
      <c r="J1166" s="43">
        <v>2000</v>
      </c>
      <c r="K1166" s="5">
        <f t="shared" si="18"/>
        <v>2000</v>
      </c>
      <c r="L1166" s="15" t="s">
        <v>134</v>
      </c>
      <c r="M1166" s="44">
        <f>SUMIFS('Saldos Iniciales'!$D:$D,'Saldos Iniciales'!$A:$A,C1166,'Saldos Iniciales'!$B:$B,D1166)+SUMIFS($K$1:$K$1324,$C$1:$C$1324,C1166,$D$1:$D$1324,D1166,$B$1:$B$1324,"&lt;="&amp;B1166)</f>
        <v>16893.769999999997</v>
      </c>
      <c r="N1166" s="61">
        <f>IF(tblMovimientos[[#This Row],[Tipo de Movimiento]]="Ingreso",tblMovimientos[[#This Row],[Monto (S/)]],"0")</f>
        <v>2000</v>
      </c>
      <c r="O1166" s="61" t="str">
        <f>IF(tblMovimientos[[#This Row],[Tipo de Movimiento]]="Egreso",tblMovimientos[[#This Row],[Monto (S/)]],"0")</f>
        <v>0</v>
      </c>
      <c r="P1166" s="28">
        <f>IF(tblMovimientos[[#This Row],[Tipo de Movimiento]]="Ingreso",tblMovimientos[[#This Row],[Ingreso]],-tblMovimientos[[#This Row],[Egreso]])</f>
        <v>2000</v>
      </c>
      <c r="Q1166" s="78" t="str">
        <f>_xlfn.XLOOKUP(tblMovimientos[[#This Row],[Cuenta Bancaria]],Cuentas!$C:$C,Cuentas!$A:$A,"")&amp;""</f>
        <v>SSP Group</v>
      </c>
      <c r="R1166" s="78" t="str">
        <f>_xlfn.XLOOKUP(tblMovimientos[[#This Row],[Cuenta Bancaria]],Cuentas!$C:$C,Cuentas!$B:$B,"",0,-1)&amp;""</f>
        <v/>
      </c>
    </row>
    <row r="1167" spans="2:18" x14ac:dyDescent="0.3">
      <c r="B1167" s="39">
        <v>46296</v>
      </c>
      <c r="C1167" s="4" t="str">
        <f>_xlfn.XLOOKUP(tblMovimientos[[#This Row],[Cuenta Bancaria]],Listas!$B:$B,Listas!$A:$A,"")</f>
        <v>3628 Thomas Ave</v>
      </c>
      <c r="D1167" s="41" t="s">
        <v>124</v>
      </c>
      <c r="E1167" s="68" t="str">
        <f>_xlfn.XLOOKUP(tblMovimientos[[#This Row],[Cuenta Bancaria]],Listas!$B:$B,Listas!$C:$C,"")</f>
        <v>Bank of America</v>
      </c>
      <c r="F1167" s="41" t="s">
        <v>10</v>
      </c>
      <c r="G1167" s="41" t="s">
        <v>48</v>
      </c>
      <c r="H1167" s="4" t="str">
        <f>IFERROR(_xlfn.XLOOKUP(G1167,Listas!E:E,Listas!F:F,""),"")</f>
        <v>Financiamiento</v>
      </c>
      <c r="I1167" s="46" t="str">
        <f>IFERROR(_xlfn.XLOOKUP(G1167,Listas!E:E,Listas!G:G,""),"")</f>
        <v>Externo</v>
      </c>
      <c r="J1167" s="43">
        <v>8773.0400000000009</v>
      </c>
      <c r="K1167" s="5">
        <f t="shared" si="18"/>
        <v>-8773.0400000000009</v>
      </c>
      <c r="L1167" s="15" t="s">
        <v>134</v>
      </c>
      <c r="M1167" s="44">
        <f>SUMIFS('Saldos Iniciales'!$D:$D,'Saldos Iniciales'!$A:$A,C1167,'Saldos Iniciales'!$B:$B,D1167)+SUMIFS($K$1:$K$1324,$C$1:$C$1324,C1167,$D$1:$D$1324,D1167,$B$1:$B$1324,"&lt;="&amp;B1167)</f>
        <v>16893.769999999997</v>
      </c>
      <c r="N1167" s="61" t="str">
        <f>IF(tblMovimientos[[#This Row],[Tipo de Movimiento]]="Ingreso",tblMovimientos[[#This Row],[Monto (S/)]],"0")</f>
        <v>0</v>
      </c>
      <c r="O1167" s="61">
        <f>IF(tblMovimientos[[#This Row],[Tipo de Movimiento]]="Egreso",tblMovimientos[[#This Row],[Monto (S/)]],"0")</f>
        <v>8773.0400000000009</v>
      </c>
      <c r="P1167" s="28">
        <f>IF(tblMovimientos[[#This Row],[Tipo de Movimiento]]="Ingreso",tblMovimientos[[#This Row],[Ingreso]],-tblMovimientos[[#This Row],[Egreso]])</f>
        <v>-8773.0400000000009</v>
      </c>
      <c r="Q1167" s="78" t="str">
        <f>_xlfn.XLOOKUP(tblMovimientos[[#This Row],[Cuenta Bancaria]],Cuentas!$C:$C,Cuentas!$A:$A,"")&amp;""</f>
        <v>SSP Group</v>
      </c>
      <c r="R1167" s="78" t="str">
        <f>_xlfn.XLOOKUP(tblMovimientos[[#This Row],[Cuenta Bancaria]],Cuentas!$C:$C,Cuentas!$B:$B,"",0,-1)&amp;""</f>
        <v/>
      </c>
    </row>
    <row r="1168" spans="2:18" x14ac:dyDescent="0.3">
      <c r="B1168" s="39">
        <v>46296</v>
      </c>
      <c r="C1168" s="4" t="str">
        <f>_xlfn.XLOOKUP(tblMovimientos[[#This Row],[Cuenta Bancaria]],Listas!$B:$B,Listas!$A:$A,"")</f>
        <v>CFT Group</v>
      </c>
      <c r="D1168" s="41" t="s">
        <v>95</v>
      </c>
      <c r="E1168" s="68" t="str">
        <f>_xlfn.XLOOKUP(tblMovimientos[[#This Row],[Cuenta Bancaria]],Listas!$B:$B,Listas!$C:$C,"")</f>
        <v xml:space="preserve">Amerant Bank </v>
      </c>
      <c r="F1168" s="41" t="s">
        <v>9</v>
      </c>
      <c r="G1168" s="41" t="s">
        <v>85</v>
      </c>
      <c r="H1168" s="4" t="str">
        <f>IFERROR(_xlfn.XLOOKUP(G1168,Listas!E:E,Listas!F:F,""),"")</f>
        <v>Operativo</v>
      </c>
      <c r="I1168" s="46" t="str">
        <f>IFERROR(_xlfn.XLOOKUP(G1168,Listas!E:E,Listas!G:G,""),"")</f>
        <v>Interno</v>
      </c>
      <c r="J1168" s="43">
        <v>440000</v>
      </c>
      <c r="K1168" s="5">
        <f t="shared" si="18"/>
        <v>440000</v>
      </c>
      <c r="L1168" s="15" t="s">
        <v>134</v>
      </c>
      <c r="M1168" s="44">
        <f>SUMIFS('Saldos Iniciales'!$D:$D,'Saldos Iniciales'!$A:$A,C1168,'Saldos Iniciales'!$B:$B,D1168)+SUMIFS($K$1:$K$1324,$C$1:$C$1324,C1168,$D$1:$D$1324,D1168,$B$1:$B$1324,"&lt;="&amp;B1168)</f>
        <v>3071394.040000001</v>
      </c>
      <c r="N1168" s="61">
        <f>IF(tblMovimientos[[#This Row],[Tipo de Movimiento]]="Ingreso",tblMovimientos[[#This Row],[Monto (S/)]],"0")</f>
        <v>440000</v>
      </c>
      <c r="O1168" s="61" t="str">
        <f>IF(tblMovimientos[[#This Row],[Tipo de Movimiento]]="Egreso",tblMovimientos[[#This Row],[Monto (S/)]],"0")</f>
        <v>0</v>
      </c>
      <c r="P1168" s="28">
        <f>IF(tblMovimientos[[#This Row],[Tipo de Movimiento]]="Ingreso",tblMovimientos[[#This Row],[Ingreso]],-tblMovimientos[[#This Row],[Egreso]])</f>
        <v>440000</v>
      </c>
      <c r="Q1168" s="78" t="str">
        <f>_xlfn.XLOOKUP(tblMovimientos[[#This Row],[Cuenta Bancaria]],Cuentas!$C:$C,Cuentas!$A:$A,"")&amp;""</f>
        <v>SSP Group</v>
      </c>
      <c r="R1168" s="78" t="str">
        <f>_xlfn.XLOOKUP(tblMovimientos[[#This Row],[Cuenta Bancaria]],Cuentas!$C:$C,Cuentas!$B:$B,"",0,-1)&amp;""</f>
        <v/>
      </c>
    </row>
    <row r="1169" spans="2:18" x14ac:dyDescent="0.3">
      <c r="B1169" s="39">
        <v>46296</v>
      </c>
      <c r="C1169" s="4" t="str">
        <f>_xlfn.XLOOKUP(tblMovimientos[[#This Row],[Cuenta Bancaria]],Listas!$B:$B,Listas!$A:$A,"")</f>
        <v>CFT Group</v>
      </c>
      <c r="D1169" s="41" t="s">
        <v>95</v>
      </c>
      <c r="E1169" s="68" t="str">
        <f>_xlfn.XLOOKUP(tblMovimientos[[#This Row],[Cuenta Bancaria]],Listas!$B:$B,Listas!$C:$C,"")</f>
        <v xml:space="preserve">Amerant Bank </v>
      </c>
      <c r="F1169" s="41" t="s">
        <v>9</v>
      </c>
      <c r="G1169" s="41" t="s">
        <v>76</v>
      </c>
      <c r="H1169" s="4" t="str">
        <f>IFERROR(_xlfn.XLOOKUP(G1169,Listas!E:E,Listas!F:F,""),"")</f>
        <v>Financiamiento</v>
      </c>
      <c r="I1169" s="46" t="str">
        <f>IFERROR(_xlfn.XLOOKUP(G1169,Listas!E:E,Listas!G:G,""),"")</f>
        <v>Externo</v>
      </c>
      <c r="J1169" s="43">
        <v>2000000</v>
      </c>
      <c r="K1169" s="5">
        <f t="shared" si="18"/>
        <v>2000000</v>
      </c>
      <c r="L1169" s="15" t="s">
        <v>134</v>
      </c>
      <c r="M1169" s="44">
        <f>SUMIFS('Saldos Iniciales'!$D:$D,'Saldos Iniciales'!$A:$A,C1169,'Saldos Iniciales'!$B:$B,D1169)+SUMIFS($K$1:$K$1324,$C$1:$C$1324,C1169,$D$1:$D$1324,D1169,$B$1:$B$1324,"&lt;="&amp;B1169)</f>
        <v>3071394.040000001</v>
      </c>
      <c r="N1169" s="61">
        <f>IF(tblMovimientos[[#This Row],[Tipo de Movimiento]]="Ingreso",tblMovimientos[[#This Row],[Monto (S/)]],"0")</f>
        <v>2000000</v>
      </c>
      <c r="O1169" s="61" t="str">
        <f>IF(tblMovimientos[[#This Row],[Tipo de Movimiento]]="Egreso",tblMovimientos[[#This Row],[Monto (S/)]],"0")</f>
        <v>0</v>
      </c>
      <c r="P1169" s="28">
        <f>IF(tblMovimientos[[#This Row],[Tipo de Movimiento]]="Ingreso",tblMovimientos[[#This Row],[Ingreso]],-tblMovimientos[[#This Row],[Egreso]])</f>
        <v>2000000</v>
      </c>
      <c r="Q1169" s="78" t="str">
        <f>_xlfn.XLOOKUP(tblMovimientos[[#This Row],[Cuenta Bancaria]],Cuentas!$C:$C,Cuentas!$A:$A,"")&amp;""</f>
        <v>SSP Group</v>
      </c>
      <c r="R1169" s="78" t="str">
        <f>_xlfn.XLOOKUP(tblMovimientos[[#This Row],[Cuenta Bancaria]],Cuentas!$C:$C,Cuentas!$B:$B,"",0,-1)&amp;""</f>
        <v/>
      </c>
    </row>
    <row r="1170" spans="2:18" x14ac:dyDescent="0.3">
      <c r="B1170" s="39">
        <v>46296</v>
      </c>
      <c r="C1170" s="4" t="str">
        <f>_xlfn.XLOOKUP(tblMovimientos[[#This Row],[Cuenta Bancaria]],Listas!$B:$B,Listas!$A:$A,"")</f>
        <v>CFT Group</v>
      </c>
      <c r="D1170" s="41" t="s">
        <v>95</v>
      </c>
      <c r="E1170" s="68" t="str">
        <f>_xlfn.XLOOKUP(tblMovimientos[[#This Row],[Cuenta Bancaria]],Listas!$B:$B,Listas!$C:$C,"")</f>
        <v xml:space="preserve">Amerant Bank </v>
      </c>
      <c r="F1170" s="41" t="s">
        <v>10</v>
      </c>
      <c r="G1170" s="41" t="s">
        <v>46</v>
      </c>
      <c r="H1170" s="4" t="str">
        <f>IFERROR(_xlfn.XLOOKUP(G1170,Listas!E:E,Listas!F:F,""),"")</f>
        <v>Financiamiento</v>
      </c>
      <c r="I1170" s="4" t="str">
        <f>IFERROR(_xlfn.XLOOKUP(G1170,Listas!E:E,Listas!G:G,""),"")</f>
        <v>Externo</v>
      </c>
      <c r="J1170" s="43">
        <v>1516.67</v>
      </c>
      <c r="K1170" s="5">
        <f t="shared" si="18"/>
        <v>-1516.67</v>
      </c>
      <c r="L1170" s="15" t="s">
        <v>134</v>
      </c>
      <c r="M1170" s="44">
        <f>SUMIFS('Saldos Iniciales'!$D:$D,'Saldos Iniciales'!$A:$A,C1170,'Saldos Iniciales'!$B:$B,D1170)+SUMIFS($K$1:$K$1324,$C$1:$C$1324,C1170,$D$1:$D$1324,D1170,$B$1:$B$1324,"&lt;="&amp;B1170)</f>
        <v>3071394.040000001</v>
      </c>
      <c r="N1170" s="61" t="str">
        <f>IF(tblMovimientos[[#This Row],[Tipo de Movimiento]]="Ingreso",tblMovimientos[[#This Row],[Monto (S/)]],"0")</f>
        <v>0</v>
      </c>
      <c r="O1170" s="61">
        <f>IF(tblMovimientos[[#This Row],[Tipo de Movimiento]]="Egreso",tblMovimientos[[#This Row],[Monto (S/)]],"0")</f>
        <v>1516.67</v>
      </c>
      <c r="P1170" s="28">
        <f>IF(tblMovimientos[[#This Row],[Tipo de Movimiento]]="Ingreso",tblMovimientos[[#This Row],[Ingreso]],-tblMovimientos[[#This Row],[Egreso]])</f>
        <v>-1516.67</v>
      </c>
      <c r="Q1170" s="78" t="str">
        <f>_xlfn.XLOOKUP(tblMovimientos[[#This Row],[Cuenta Bancaria]],Cuentas!$C:$C,Cuentas!$A:$A,"")&amp;""</f>
        <v>SSP Group</v>
      </c>
      <c r="R1170" s="78" t="str">
        <f>_xlfn.XLOOKUP(tblMovimientos[[#This Row],[Cuenta Bancaria]],Cuentas!$C:$C,Cuentas!$B:$B,"",0,-1)&amp;""</f>
        <v/>
      </c>
    </row>
    <row r="1171" spans="2:18" x14ac:dyDescent="0.3">
      <c r="B1171" s="39">
        <v>46296</v>
      </c>
      <c r="C1171" s="4" t="str">
        <f>_xlfn.XLOOKUP(tblMovimientos[[#This Row],[Cuenta Bancaria]],Listas!$B:$B,Listas!$A:$A,"")</f>
        <v>CFT Group</v>
      </c>
      <c r="D1171" s="41" t="s">
        <v>95</v>
      </c>
      <c r="E1171" s="68" t="str">
        <f>_xlfn.XLOOKUP(tblMovimientos[[#This Row],[Cuenta Bancaria]],Listas!$B:$B,Listas!$C:$C,"")</f>
        <v xml:space="preserve">Amerant Bank </v>
      </c>
      <c r="F1171" s="41" t="s">
        <v>10</v>
      </c>
      <c r="G1171" s="41" t="s">
        <v>46</v>
      </c>
      <c r="H1171" s="4" t="str">
        <f>IFERROR(_xlfn.XLOOKUP(G1171,Listas!E:E,Listas!F:F,""),"")</f>
        <v>Financiamiento</v>
      </c>
      <c r="I1171" s="4" t="str">
        <f>IFERROR(_xlfn.XLOOKUP(G1171,Listas!E:E,Listas!G:G,""),"")</f>
        <v>Externo</v>
      </c>
      <c r="J1171" s="43">
        <v>2975</v>
      </c>
      <c r="K1171" s="5">
        <f t="shared" si="18"/>
        <v>-2975</v>
      </c>
      <c r="L1171" s="15" t="s">
        <v>134</v>
      </c>
      <c r="M1171" s="44">
        <f>SUMIFS('Saldos Iniciales'!$D:$D,'Saldos Iniciales'!$A:$A,C1171,'Saldos Iniciales'!$B:$B,D1171)+SUMIFS($K$1:$K$1324,$C$1:$C$1324,C1171,$D$1:$D$1324,D1171,$B$1:$B$1324,"&lt;="&amp;B1171)</f>
        <v>3071394.040000001</v>
      </c>
      <c r="N1171" s="61" t="str">
        <f>IF(tblMovimientos[[#This Row],[Tipo de Movimiento]]="Ingreso",tblMovimientos[[#This Row],[Monto (S/)]],"0")</f>
        <v>0</v>
      </c>
      <c r="O1171" s="61">
        <f>IF(tblMovimientos[[#This Row],[Tipo de Movimiento]]="Egreso",tblMovimientos[[#This Row],[Monto (S/)]],"0")</f>
        <v>2975</v>
      </c>
      <c r="P1171" s="28">
        <f>IF(tblMovimientos[[#This Row],[Tipo de Movimiento]]="Ingreso",tblMovimientos[[#This Row],[Ingreso]],-tblMovimientos[[#This Row],[Egreso]])</f>
        <v>-2975</v>
      </c>
      <c r="Q1171" s="78" t="str">
        <f>_xlfn.XLOOKUP(tblMovimientos[[#This Row],[Cuenta Bancaria]],Cuentas!$C:$C,Cuentas!$A:$A,"")&amp;""</f>
        <v>SSP Group</v>
      </c>
      <c r="R1171" s="78" t="str">
        <f>_xlfn.XLOOKUP(tblMovimientos[[#This Row],[Cuenta Bancaria]],Cuentas!$C:$C,Cuentas!$B:$B,"",0,-1)&amp;""</f>
        <v/>
      </c>
    </row>
    <row r="1172" spans="2:18" x14ac:dyDescent="0.3">
      <c r="B1172" s="39">
        <v>46296</v>
      </c>
      <c r="C1172" s="4" t="str">
        <f>_xlfn.XLOOKUP(tblMovimientos[[#This Row],[Cuenta Bancaria]],Listas!$B:$B,Listas!$A:$A,"")</f>
        <v>CFT Group</v>
      </c>
      <c r="D1172" s="41" t="s">
        <v>95</v>
      </c>
      <c r="E1172" s="68" t="str">
        <f>_xlfn.XLOOKUP(tblMovimientos[[#This Row],[Cuenta Bancaria]],Listas!$B:$B,Listas!$C:$C,"")</f>
        <v xml:space="preserve">Amerant Bank </v>
      </c>
      <c r="F1172" s="41" t="s">
        <v>10</v>
      </c>
      <c r="G1172" s="41" t="s">
        <v>46</v>
      </c>
      <c r="H1172" s="4" t="str">
        <f>IFERROR(_xlfn.XLOOKUP(G1172,Listas!E:E,Listas!F:F,""),"")</f>
        <v>Financiamiento</v>
      </c>
      <c r="I1172" s="4" t="str">
        <f>IFERROR(_xlfn.XLOOKUP(G1172,Listas!E:E,Listas!G:G,""),"")</f>
        <v>Externo</v>
      </c>
      <c r="J1172" s="43">
        <v>10833.33</v>
      </c>
      <c r="K1172" s="5">
        <f t="shared" si="18"/>
        <v>-10833.33</v>
      </c>
      <c r="L1172" s="15" t="s">
        <v>134</v>
      </c>
      <c r="M1172" s="44">
        <f>SUMIFS('Saldos Iniciales'!$D:$D,'Saldos Iniciales'!$A:$A,C1172,'Saldos Iniciales'!$B:$B,D1172)+SUMIFS($K$1:$K$1324,$C$1:$C$1324,C1172,$D$1:$D$1324,D1172,$B$1:$B$1324,"&lt;="&amp;B1172)</f>
        <v>3071394.040000001</v>
      </c>
      <c r="N1172" s="61" t="str">
        <f>IF(tblMovimientos[[#This Row],[Tipo de Movimiento]]="Ingreso",tblMovimientos[[#This Row],[Monto (S/)]],"0")</f>
        <v>0</v>
      </c>
      <c r="O1172" s="61">
        <f>IF(tblMovimientos[[#This Row],[Tipo de Movimiento]]="Egreso",tblMovimientos[[#This Row],[Monto (S/)]],"0")</f>
        <v>10833.33</v>
      </c>
      <c r="P1172" s="28">
        <f>IF(tblMovimientos[[#This Row],[Tipo de Movimiento]]="Ingreso",tblMovimientos[[#This Row],[Ingreso]],-tblMovimientos[[#This Row],[Egreso]])</f>
        <v>-10833.33</v>
      </c>
      <c r="Q1172" s="78" t="str">
        <f>_xlfn.XLOOKUP(tblMovimientos[[#This Row],[Cuenta Bancaria]],Cuentas!$C:$C,Cuentas!$A:$A,"")&amp;""</f>
        <v>SSP Group</v>
      </c>
      <c r="R1172" s="78" t="str">
        <f>_xlfn.XLOOKUP(tblMovimientos[[#This Row],[Cuenta Bancaria]],Cuentas!$C:$C,Cuentas!$B:$B,"",0,-1)&amp;""</f>
        <v/>
      </c>
    </row>
    <row r="1173" spans="2:18" x14ac:dyDescent="0.3">
      <c r="B1173" s="39">
        <v>46296</v>
      </c>
      <c r="C1173" s="4" t="str">
        <f>_xlfn.XLOOKUP(tblMovimientos[[#This Row],[Cuenta Bancaria]],Listas!$B:$B,Listas!$A:$A,"")</f>
        <v>CFT Group</v>
      </c>
      <c r="D1173" s="41" t="s">
        <v>95</v>
      </c>
      <c r="E1173" s="68" t="str">
        <f>_xlfn.XLOOKUP(tblMovimientos[[#This Row],[Cuenta Bancaria]],Listas!$B:$B,Listas!$C:$C,"")</f>
        <v xml:space="preserve">Amerant Bank </v>
      </c>
      <c r="F1173" s="41" t="s">
        <v>10</v>
      </c>
      <c r="G1173" s="41" t="s">
        <v>46</v>
      </c>
      <c r="H1173" s="4" t="str">
        <f>IFERROR(_xlfn.XLOOKUP(G1173,Listas!E:E,Listas!F:F,""),"")</f>
        <v>Financiamiento</v>
      </c>
      <c r="I1173" s="4" t="str">
        <f>IFERROR(_xlfn.XLOOKUP(G1173,Listas!E:E,Listas!G:G,""),"")</f>
        <v>Externo</v>
      </c>
      <c r="J1173" s="43">
        <v>11666.67</v>
      </c>
      <c r="K1173" s="5">
        <f t="shared" si="18"/>
        <v>-11666.67</v>
      </c>
      <c r="L1173" s="15" t="s">
        <v>134</v>
      </c>
      <c r="M1173" s="44">
        <f>SUMIFS('Saldos Iniciales'!$D:$D,'Saldos Iniciales'!$A:$A,C1173,'Saldos Iniciales'!$B:$B,D1173)+SUMIFS($K$1:$K$1324,$C$1:$C$1324,C1173,$D$1:$D$1324,D1173,$B$1:$B$1324,"&lt;="&amp;B1173)</f>
        <v>3071394.040000001</v>
      </c>
      <c r="N1173" s="61" t="str">
        <f>IF(tblMovimientos[[#This Row],[Tipo de Movimiento]]="Ingreso",tblMovimientos[[#This Row],[Monto (S/)]],"0")</f>
        <v>0</v>
      </c>
      <c r="O1173" s="61">
        <f>IF(tblMovimientos[[#This Row],[Tipo de Movimiento]]="Egreso",tblMovimientos[[#This Row],[Monto (S/)]],"0")</f>
        <v>11666.67</v>
      </c>
      <c r="P1173" s="28">
        <f>IF(tblMovimientos[[#This Row],[Tipo de Movimiento]]="Ingreso",tblMovimientos[[#This Row],[Ingreso]],-tblMovimientos[[#This Row],[Egreso]])</f>
        <v>-11666.67</v>
      </c>
      <c r="Q1173" s="78" t="str">
        <f>_xlfn.XLOOKUP(tblMovimientos[[#This Row],[Cuenta Bancaria]],Cuentas!$C:$C,Cuentas!$A:$A,"")&amp;""</f>
        <v>SSP Group</v>
      </c>
      <c r="R1173" s="78" t="str">
        <f>_xlfn.XLOOKUP(tblMovimientos[[#This Row],[Cuenta Bancaria]],Cuentas!$C:$C,Cuentas!$B:$B,"",0,-1)&amp;""</f>
        <v/>
      </c>
    </row>
    <row r="1174" spans="2:18" x14ac:dyDescent="0.3">
      <c r="B1174" s="39">
        <v>46296</v>
      </c>
      <c r="C1174" s="4" t="str">
        <f>_xlfn.XLOOKUP(tblMovimientos[[#This Row],[Cuenta Bancaria]],Listas!$B:$B,Listas!$A:$A,"")</f>
        <v>CFT Group</v>
      </c>
      <c r="D1174" s="41" t="s">
        <v>95</v>
      </c>
      <c r="E1174" s="68" t="str">
        <f>_xlfn.XLOOKUP(tblMovimientos[[#This Row],[Cuenta Bancaria]],Listas!$B:$B,Listas!$C:$C,"")</f>
        <v xml:space="preserve">Amerant Bank </v>
      </c>
      <c r="F1174" s="41" t="s">
        <v>10</v>
      </c>
      <c r="G1174" s="41" t="s">
        <v>61</v>
      </c>
      <c r="H1174" s="4" t="str">
        <f>IFERROR(_xlfn.XLOOKUP(G1174,Listas!E:E,Listas!F:F,""),"")</f>
        <v>Operativo</v>
      </c>
      <c r="I1174" s="4" t="str">
        <f>IFERROR(_xlfn.XLOOKUP(G1174,Listas!E:E,Listas!G:G,""),"")</f>
        <v>Externo</v>
      </c>
      <c r="J1174" s="43">
        <v>100000</v>
      </c>
      <c r="K1174" s="5">
        <f t="shared" si="18"/>
        <v>-100000</v>
      </c>
      <c r="L1174" s="15" t="s">
        <v>134</v>
      </c>
      <c r="M1174" s="44">
        <f>SUMIFS('Saldos Iniciales'!$D:$D,'Saldos Iniciales'!$A:$A,C1174,'Saldos Iniciales'!$B:$B,D1174)+SUMIFS($K$1:$K$1324,$C$1:$C$1324,C1174,$D$1:$D$1324,D1174,$B$1:$B$1324,"&lt;="&amp;B1174)</f>
        <v>3071394.040000001</v>
      </c>
      <c r="N1174" s="61" t="str">
        <f>IF(tblMovimientos[[#This Row],[Tipo de Movimiento]]="Ingreso",tblMovimientos[[#This Row],[Monto (S/)]],"0")</f>
        <v>0</v>
      </c>
      <c r="O1174" s="61">
        <f>IF(tblMovimientos[[#This Row],[Tipo de Movimiento]]="Egreso",tblMovimientos[[#This Row],[Monto (S/)]],"0")</f>
        <v>100000</v>
      </c>
      <c r="P1174" s="28">
        <f>IF(tblMovimientos[[#This Row],[Tipo de Movimiento]]="Ingreso",tblMovimientos[[#This Row],[Ingreso]],-tblMovimientos[[#This Row],[Egreso]])</f>
        <v>-100000</v>
      </c>
      <c r="Q1174" s="78" t="str">
        <f>_xlfn.XLOOKUP(tblMovimientos[[#This Row],[Cuenta Bancaria]],Cuentas!$C:$C,Cuentas!$A:$A,"")&amp;""</f>
        <v>SSP Group</v>
      </c>
      <c r="R1174" s="78" t="str">
        <f>_xlfn.XLOOKUP(tblMovimientos[[#This Row],[Cuenta Bancaria]],Cuentas!$C:$C,Cuentas!$B:$B,"",0,-1)&amp;""</f>
        <v/>
      </c>
    </row>
    <row r="1175" spans="2:18" x14ac:dyDescent="0.3">
      <c r="B1175" s="39">
        <v>46296</v>
      </c>
      <c r="C1175" s="4" t="str">
        <f>_xlfn.XLOOKUP(tblMovimientos[[#This Row],[Cuenta Bancaria]],Listas!$B:$B,Listas!$A:$A,"")</f>
        <v>CFT Group</v>
      </c>
      <c r="D1175" s="41" t="s">
        <v>95</v>
      </c>
      <c r="E1175" s="68" t="str">
        <f>_xlfn.XLOOKUP(tblMovimientos[[#This Row],[Cuenta Bancaria]],Listas!$B:$B,Listas!$C:$C,"")</f>
        <v xml:space="preserve">Amerant Bank </v>
      </c>
      <c r="F1175" s="41" t="s">
        <v>10</v>
      </c>
      <c r="G1175" s="41" t="s">
        <v>46</v>
      </c>
      <c r="H1175" s="4" t="str">
        <f>IFERROR(_xlfn.XLOOKUP(G1175,Listas!E:E,Listas!F:F,""),"")</f>
        <v>Financiamiento</v>
      </c>
      <c r="I1175" s="4" t="str">
        <f>IFERROR(_xlfn.XLOOKUP(G1175,Listas!E:E,Listas!G:G,""),"")</f>
        <v>Externo</v>
      </c>
      <c r="J1175" s="43">
        <v>200000</v>
      </c>
      <c r="K1175" s="5">
        <f t="shared" si="18"/>
        <v>-200000</v>
      </c>
      <c r="L1175" s="15" t="s">
        <v>134</v>
      </c>
      <c r="M1175" s="44">
        <f>SUMIFS('Saldos Iniciales'!$D:$D,'Saldos Iniciales'!$A:$A,C1175,'Saldos Iniciales'!$B:$B,D1175)+SUMIFS($K$1:$K$1324,$C$1:$C$1324,C1175,$D$1:$D$1324,D1175,$B$1:$B$1324,"&lt;="&amp;B1175)</f>
        <v>3071394.040000001</v>
      </c>
      <c r="N1175" s="61" t="str">
        <f>IF(tblMovimientos[[#This Row],[Tipo de Movimiento]]="Ingreso",tblMovimientos[[#This Row],[Monto (S/)]],"0")</f>
        <v>0</v>
      </c>
      <c r="O1175" s="61">
        <f>IF(tblMovimientos[[#This Row],[Tipo de Movimiento]]="Egreso",tblMovimientos[[#This Row],[Monto (S/)]],"0")</f>
        <v>200000</v>
      </c>
      <c r="P1175" s="28">
        <f>IF(tblMovimientos[[#This Row],[Tipo de Movimiento]]="Ingreso",tblMovimientos[[#This Row],[Ingreso]],-tblMovimientos[[#This Row],[Egreso]])</f>
        <v>-200000</v>
      </c>
      <c r="Q1175" s="78" t="str">
        <f>_xlfn.XLOOKUP(tblMovimientos[[#This Row],[Cuenta Bancaria]],Cuentas!$C:$C,Cuentas!$A:$A,"")&amp;""</f>
        <v>SSP Group</v>
      </c>
      <c r="R1175" s="78" t="str">
        <f>_xlfn.XLOOKUP(tblMovimientos[[#This Row],[Cuenta Bancaria]],Cuentas!$C:$C,Cuentas!$B:$B,"",0,-1)&amp;""</f>
        <v/>
      </c>
    </row>
    <row r="1176" spans="2:18" x14ac:dyDescent="0.3">
      <c r="B1176" s="39">
        <v>46296</v>
      </c>
      <c r="C1176" s="4" t="str">
        <f>_xlfn.XLOOKUP(tblMovimientos[[#This Row],[Cuenta Bancaria]],Listas!$B:$B,Listas!$A:$A,"")</f>
        <v>CFT Group</v>
      </c>
      <c r="D1176" s="41" t="s">
        <v>95</v>
      </c>
      <c r="E1176" s="68" t="str">
        <f>_xlfn.XLOOKUP(tblMovimientos[[#This Row],[Cuenta Bancaria]],Listas!$B:$B,Listas!$C:$C,"")</f>
        <v xml:space="preserve">Amerant Bank </v>
      </c>
      <c r="F1176" s="41" t="s">
        <v>10</v>
      </c>
      <c r="G1176" s="41" t="s">
        <v>62</v>
      </c>
      <c r="H1176" s="4" t="str">
        <f>IFERROR(_xlfn.XLOOKUP(G1176,Listas!E:E,Listas!F:F,""),"")</f>
        <v>Operativo</v>
      </c>
      <c r="I1176" s="4" t="str">
        <f>IFERROR(_xlfn.XLOOKUP(G1176,Listas!E:E,Listas!G:G,""),"")</f>
        <v>Interno</v>
      </c>
      <c r="J1176" s="43">
        <v>500000</v>
      </c>
      <c r="K1176" s="5">
        <f t="shared" si="18"/>
        <v>-500000</v>
      </c>
      <c r="L1176" s="15" t="s">
        <v>134</v>
      </c>
      <c r="M1176" s="44">
        <f>SUMIFS('Saldos Iniciales'!$D:$D,'Saldos Iniciales'!$A:$A,C1176,'Saldos Iniciales'!$B:$B,D1176)+SUMIFS($K$1:$K$1324,$C$1:$C$1324,C1176,$D$1:$D$1324,D1176,$B$1:$B$1324,"&lt;="&amp;B1176)</f>
        <v>3071394.040000001</v>
      </c>
      <c r="N1176" s="61" t="str">
        <f>IF(tblMovimientos[[#This Row],[Tipo de Movimiento]]="Ingreso",tblMovimientos[[#This Row],[Monto (S/)]],"0")</f>
        <v>0</v>
      </c>
      <c r="O1176" s="61">
        <f>IF(tblMovimientos[[#This Row],[Tipo de Movimiento]]="Egreso",tblMovimientos[[#This Row],[Monto (S/)]],"0")</f>
        <v>500000</v>
      </c>
      <c r="P1176" s="28">
        <f>IF(tblMovimientos[[#This Row],[Tipo de Movimiento]]="Ingreso",tblMovimientos[[#This Row],[Ingreso]],-tblMovimientos[[#This Row],[Egreso]])</f>
        <v>-500000</v>
      </c>
      <c r="Q1176" s="78" t="str">
        <f>_xlfn.XLOOKUP(tblMovimientos[[#This Row],[Cuenta Bancaria]],Cuentas!$C:$C,Cuentas!$A:$A,"")&amp;""</f>
        <v>SSP Group</v>
      </c>
      <c r="R1176" s="78" t="str">
        <f>_xlfn.XLOOKUP(tblMovimientos[[#This Row],[Cuenta Bancaria]],Cuentas!$C:$C,Cuentas!$B:$B,"",0,-1)&amp;""</f>
        <v/>
      </c>
    </row>
    <row r="1177" spans="2:18" x14ac:dyDescent="0.3">
      <c r="B1177" s="39">
        <v>46296</v>
      </c>
      <c r="C1177" s="4" t="str">
        <f>_xlfn.XLOOKUP(tblMovimientos[[#This Row],[Cuenta Bancaria]],Listas!$B:$B,Listas!$A:$A,"")</f>
        <v>Carmen Cross Irrevocable Trust</v>
      </c>
      <c r="D1177" s="41" t="s">
        <v>183</v>
      </c>
      <c r="E1177" s="68" t="str">
        <f>_xlfn.XLOOKUP(tblMovimientos[[#This Row],[Cuenta Bancaria]],Listas!$B:$B,Listas!$C:$C,"")</f>
        <v xml:space="preserve">Amerant Bank </v>
      </c>
      <c r="F1177" s="41" t="s">
        <v>9</v>
      </c>
      <c r="G1177" s="41" t="s">
        <v>79</v>
      </c>
      <c r="H1177" s="4" t="str">
        <f>IFERROR(_xlfn.XLOOKUP(G1177,Listas!E:E,Listas!F:F,""),"")</f>
        <v>Inversion</v>
      </c>
      <c r="I1177" s="4" t="str">
        <f>IFERROR(_xlfn.XLOOKUP(G1177,Listas!E:E,Listas!G:G,""),"")</f>
        <v>Externo</v>
      </c>
      <c r="J1177" s="43">
        <v>30000</v>
      </c>
      <c r="K1177" s="5">
        <f t="shared" si="18"/>
        <v>30000</v>
      </c>
      <c r="L1177" s="15" t="s">
        <v>134</v>
      </c>
      <c r="M1177" s="44">
        <f>SUMIFS('Saldos Iniciales'!$D:$D,'Saldos Iniciales'!$A:$A,C1177,'Saldos Iniciales'!$B:$B,D1177)+SUMIFS($K$1:$K$1324,$C$1:$C$1324,C1177,$D$1:$D$1324,D1177,$B$1:$B$1324,"&lt;="&amp;B1177)</f>
        <v>100631.96</v>
      </c>
      <c r="N1177" s="61">
        <f>IF(tblMovimientos[[#This Row],[Tipo de Movimiento]]="Ingreso",tblMovimientos[[#This Row],[Monto (S/)]],"0")</f>
        <v>30000</v>
      </c>
      <c r="O1177" s="61" t="str">
        <f>IF(tblMovimientos[[#This Row],[Tipo de Movimiento]]="Egreso",tblMovimientos[[#This Row],[Monto (S/)]],"0")</f>
        <v>0</v>
      </c>
      <c r="P1177" s="28">
        <f>IF(tblMovimientos[[#This Row],[Tipo de Movimiento]]="Ingreso",tblMovimientos[[#This Row],[Ingreso]],-tblMovimientos[[#This Row],[Egreso]])</f>
        <v>30000</v>
      </c>
      <c r="Q1177" s="78" t="str">
        <f>_xlfn.XLOOKUP(tblMovimientos[[#This Row],[Cuenta Bancaria]],Cuentas!$C:$C,Cuentas!$A:$A,"")&amp;""</f>
        <v>Carmen Cross Irrevocable Trust</v>
      </c>
      <c r="R1177" s="78" t="str">
        <f>_xlfn.XLOOKUP(tblMovimientos[[#This Row],[Cuenta Bancaria]],Cuentas!$C:$C,Cuentas!$B:$B,"",0,-1)&amp;""</f>
        <v>Trust</v>
      </c>
    </row>
    <row r="1178" spans="2:18" x14ac:dyDescent="0.3">
      <c r="B1178" s="39">
        <v>46296</v>
      </c>
      <c r="C1178" s="4" t="str">
        <f>_xlfn.XLOOKUP(tblMovimientos[[#This Row],[Cuenta Bancaria]],Listas!$B:$B,Listas!$A:$A,"")</f>
        <v>Carmen Cross Irrevocable Trust</v>
      </c>
      <c r="D1178" s="41" t="s">
        <v>183</v>
      </c>
      <c r="E1178" s="68" t="str">
        <f>_xlfn.XLOOKUP(tblMovimientos[[#This Row],[Cuenta Bancaria]],Listas!$B:$B,Listas!$C:$C,"")</f>
        <v xml:space="preserve">Amerant Bank </v>
      </c>
      <c r="F1178" s="41" t="s">
        <v>9</v>
      </c>
      <c r="G1178" s="41" t="s">
        <v>79</v>
      </c>
      <c r="H1178" s="4" t="str">
        <f>IFERROR(_xlfn.XLOOKUP(G1178,Listas!E:E,Listas!F:F,""),"")</f>
        <v>Inversion</v>
      </c>
      <c r="I1178" s="4" t="str">
        <f>IFERROR(_xlfn.XLOOKUP(G1178,Listas!E:E,Listas!G:G,""),"")</f>
        <v>Externo</v>
      </c>
      <c r="J1178" s="43">
        <v>67000</v>
      </c>
      <c r="K1178" s="5">
        <f t="shared" si="18"/>
        <v>67000</v>
      </c>
      <c r="L1178" s="15" t="s">
        <v>134</v>
      </c>
      <c r="M1178" s="44">
        <f>SUMIFS('Saldos Iniciales'!$D:$D,'Saldos Iniciales'!$A:$A,C1178,'Saldos Iniciales'!$B:$B,D1178)+SUMIFS($K$1:$K$1324,$C$1:$C$1324,C1178,$D$1:$D$1324,D1178,$B$1:$B$1324,"&lt;="&amp;B1178)</f>
        <v>100631.96</v>
      </c>
      <c r="N1178" s="61">
        <f>IF(tblMovimientos[[#This Row],[Tipo de Movimiento]]="Ingreso",tblMovimientos[[#This Row],[Monto (S/)]],"0")</f>
        <v>67000</v>
      </c>
      <c r="O1178" s="61" t="str">
        <f>IF(tblMovimientos[[#This Row],[Tipo de Movimiento]]="Egreso",tblMovimientos[[#This Row],[Monto (S/)]],"0")</f>
        <v>0</v>
      </c>
      <c r="P1178" s="28">
        <f>IF(tblMovimientos[[#This Row],[Tipo de Movimiento]]="Ingreso",tblMovimientos[[#This Row],[Ingreso]],-tblMovimientos[[#This Row],[Egreso]])</f>
        <v>67000</v>
      </c>
      <c r="Q1178" s="78" t="str">
        <f>_xlfn.XLOOKUP(tblMovimientos[[#This Row],[Cuenta Bancaria]],Cuentas!$C:$C,Cuentas!$A:$A,"")&amp;""</f>
        <v>Carmen Cross Irrevocable Trust</v>
      </c>
      <c r="R1178" s="78" t="str">
        <f>_xlfn.XLOOKUP(tblMovimientos[[#This Row],[Cuenta Bancaria]],Cuentas!$C:$C,Cuentas!$B:$B,"",0,-1)&amp;""</f>
        <v>Trust</v>
      </c>
    </row>
    <row r="1179" spans="2:18" x14ac:dyDescent="0.3">
      <c r="B1179" s="39">
        <v>46296</v>
      </c>
      <c r="C1179" s="4" t="str">
        <f>_xlfn.XLOOKUP(tblMovimientos[[#This Row],[Cuenta Bancaria]],Listas!$B:$B,Listas!$A:$A,"")</f>
        <v>Cross Family Trust</v>
      </c>
      <c r="D1179" s="41" t="s">
        <v>111</v>
      </c>
      <c r="E1179" s="68" t="str">
        <f>_xlfn.XLOOKUP(tblMovimientos[[#This Row],[Cuenta Bancaria]],Listas!$B:$B,Listas!$C:$C,"")</f>
        <v xml:space="preserve">Amerant Bank </v>
      </c>
      <c r="F1179" s="41" t="s">
        <v>10</v>
      </c>
      <c r="G1179" s="41" t="s">
        <v>53</v>
      </c>
      <c r="H1179" s="4" t="str">
        <f>IFERROR(_xlfn.XLOOKUP(G1179,Listas!E:E,Listas!F:F,""),"")</f>
        <v>Inversion</v>
      </c>
      <c r="I1179" s="4" t="str">
        <f>IFERROR(_xlfn.XLOOKUP(G1179,Listas!E:E,Listas!G:G,""),"")</f>
        <v>Interno</v>
      </c>
      <c r="J1179" s="43">
        <v>15000</v>
      </c>
      <c r="K1179" s="5">
        <f t="shared" si="18"/>
        <v>-15000</v>
      </c>
      <c r="L1179" s="15" t="s">
        <v>134</v>
      </c>
      <c r="M1179" s="44">
        <f>SUMIFS('Saldos Iniciales'!$D:$D,'Saldos Iniciales'!$A:$A,C1179,'Saldos Iniciales'!$B:$B,D1179)+SUMIFS($K$1:$K$1324,$C$1:$C$1324,C1179,$D$1:$D$1324,D1179,$B$1:$B$1324,"&lt;="&amp;B1179)</f>
        <v>117999.36000000002</v>
      </c>
      <c r="N1179" s="61" t="str">
        <f>IF(tblMovimientos[[#This Row],[Tipo de Movimiento]]="Ingreso",tblMovimientos[[#This Row],[Monto (S/)]],"0")</f>
        <v>0</v>
      </c>
      <c r="O1179" s="61">
        <f>IF(tblMovimientos[[#This Row],[Tipo de Movimiento]]="Egreso",tblMovimientos[[#This Row],[Monto (S/)]],"0")</f>
        <v>15000</v>
      </c>
      <c r="P1179" s="28">
        <f>IF(tblMovimientos[[#This Row],[Tipo de Movimiento]]="Ingreso",tblMovimientos[[#This Row],[Ingreso]],-tblMovimientos[[#This Row],[Egreso]])</f>
        <v>-15000</v>
      </c>
      <c r="Q1179" s="78" t="str">
        <f>_xlfn.XLOOKUP(tblMovimientos[[#This Row],[Cuenta Bancaria]],Cuentas!$C:$C,Cuentas!$A:$A,"")&amp;""</f>
        <v>SSP Group</v>
      </c>
      <c r="R1179" s="78" t="str">
        <f>_xlfn.XLOOKUP(tblMovimientos[[#This Row],[Cuenta Bancaria]],Cuentas!$C:$C,Cuentas!$B:$B,"",0,-1)&amp;""</f>
        <v>Trust</v>
      </c>
    </row>
    <row r="1180" spans="2:18" x14ac:dyDescent="0.3">
      <c r="B1180" s="39">
        <v>46296</v>
      </c>
      <c r="C1180" s="4" t="str">
        <f>_xlfn.XLOOKUP(tblMovimientos[[#This Row],[Cuenta Bancaria]],Listas!$B:$B,Listas!$A:$A,"")</f>
        <v>SSP Capital</v>
      </c>
      <c r="D1180" s="41" t="s">
        <v>104</v>
      </c>
      <c r="E1180" s="68" t="str">
        <f>_xlfn.XLOOKUP(tblMovimientos[[#This Row],[Cuenta Bancaria]],Listas!$B:$B,Listas!$C:$C,"")</f>
        <v xml:space="preserve">Amerant Bank </v>
      </c>
      <c r="F1180" s="41" t="s">
        <v>9</v>
      </c>
      <c r="G1180" s="41" t="s">
        <v>75</v>
      </c>
      <c r="H1180" s="4" t="str">
        <f>IFERROR(_xlfn.XLOOKUP(G1180,Listas!E:E,Listas!F:F,""),"")</f>
        <v>Financiamiento</v>
      </c>
      <c r="I1180" s="4" t="str">
        <f>IFERROR(_xlfn.XLOOKUP(G1180,Listas!E:E,Listas!G:G,""),"")</f>
        <v>Interno</v>
      </c>
      <c r="J1180" s="43">
        <v>500000</v>
      </c>
      <c r="K1180" s="5">
        <f t="shared" si="18"/>
        <v>500000</v>
      </c>
      <c r="L1180" s="15" t="s">
        <v>134</v>
      </c>
      <c r="M1180" s="44">
        <f>SUMIFS('Saldos Iniciales'!$D:$D,'Saldos Iniciales'!$A:$A,C1180,'Saldos Iniciales'!$B:$B,D1180)+SUMIFS($K$1:$K$1324,$C$1:$C$1324,C1180,$D$1:$D$1324,D1180,$B$1:$B$1324,"&lt;="&amp;B1180)</f>
        <v>725822.75999999931</v>
      </c>
      <c r="N1180" s="61">
        <f>IF(tblMovimientos[[#This Row],[Tipo de Movimiento]]="Ingreso",tblMovimientos[[#This Row],[Monto (S/)]],"0")</f>
        <v>500000</v>
      </c>
      <c r="O1180" s="61" t="str">
        <f>IF(tblMovimientos[[#This Row],[Tipo de Movimiento]]="Egreso",tblMovimientos[[#This Row],[Monto (S/)]],"0")</f>
        <v>0</v>
      </c>
      <c r="P1180" s="28">
        <f>IF(tblMovimientos[[#This Row],[Tipo de Movimiento]]="Ingreso",tblMovimientos[[#This Row],[Ingreso]],-tblMovimientos[[#This Row],[Egreso]])</f>
        <v>500000</v>
      </c>
      <c r="Q1180" s="78" t="str">
        <f>_xlfn.XLOOKUP(tblMovimientos[[#This Row],[Cuenta Bancaria]],Cuentas!$C:$C,Cuentas!$A:$A,"")&amp;""</f>
        <v>SSP Group</v>
      </c>
      <c r="R1180" s="78" t="str">
        <f>_xlfn.XLOOKUP(tblMovimientos[[#This Row],[Cuenta Bancaria]],Cuentas!$C:$C,Cuentas!$B:$B,"",0,-1)&amp;""</f>
        <v/>
      </c>
    </row>
    <row r="1181" spans="2:18" x14ac:dyDescent="0.3">
      <c r="B1181" s="39">
        <v>46296</v>
      </c>
      <c r="C1181" s="4" t="str">
        <f>_xlfn.XLOOKUP(tblMovimientos[[#This Row],[Cuenta Bancaria]],Listas!$B:$B,Listas!$A:$A,"")</f>
        <v>SSP Capital</v>
      </c>
      <c r="D1181" s="41" t="s">
        <v>104</v>
      </c>
      <c r="E1181" s="68" t="str">
        <f>_xlfn.XLOOKUP(tblMovimientos[[#This Row],[Cuenta Bancaria]],Listas!$B:$B,Listas!$C:$C,"")</f>
        <v xml:space="preserve">Amerant Bank </v>
      </c>
      <c r="F1181" s="41" t="s">
        <v>10</v>
      </c>
      <c r="G1181" s="41" t="s">
        <v>46</v>
      </c>
      <c r="H1181" s="4" t="str">
        <f>IFERROR(_xlfn.XLOOKUP(G1181,Listas!E:E,Listas!F:F,""),"")</f>
        <v>Financiamiento</v>
      </c>
      <c r="I1181" s="4" t="str">
        <f>IFERROR(_xlfn.XLOOKUP(G1181,Listas!E:E,Listas!G:G,""),"")</f>
        <v>Externo</v>
      </c>
      <c r="J1181" s="43">
        <v>10000</v>
      </c>
      <c r="K1181" s="5">
        <f t="shared" si="18"/>
        <v>-10000</v>
      </c>
      <c r="L1181" s="15" t="s">
        <v>134</v>
      </c>
      <c r="M1181" s="44">
        <f>SUMIFS('Saldos Iniciales'!$D:$D,'Saldos Iniciales'!$A:$A,C1181,'Saldos Iniciales'!$B:$B,D1181)+SUMIFS($K$1:$K$1324,$C$1:$C$1324,C1181,$D$1:$D$1324,D1181,$B$1:$B$1324,"&lt;="&amp;B1181)</f>
        <v>725822.75999999931</v>
      </c>
      <c r="N1181" s="61" t="str">
        <f>IF(tblMovimientos[[#This Row],[Tipo de Movimiento]]="Ingreso",tblMovimientos[[#This Row],[Monto (S/)]],"0")</f>
        <v>0</v>
      </c>
      <c r="O1181" s="61">
        <f>IF(tblMovimientos[[#This Row],[Tipo de Movimiento]]="Egreso",tblMovimientos[[#This Row],[Monto (S/)]],"0")</f>
        <v>10000</v>
      </c>
      <c r="P1181" s="28">
        <f>IF(tblMovimientos[[#This Row],[Tipo de Movimiento]]="Ingreso",tblMovimientos[[#This Row],[Ingreso]],-tblMovimientos[[#This Row],[Egreso]])</f>
        <v>-10000</v>
      </c>
      <c r="Q1181" s="78" t="str">
        <f>_xlfn.XLOOKUP(tblMovimientos[[#This Row],[Cuenta Bancaria]],Cuentas!$C:$C,Cuentas!$A:$A,"")&amp;""</f>
        <v>SSP Group</v>
      </c>
      <c r="R1181" s="78" t="str">
        <f>_xlfn.XLOOKUP(tblMovimientos[[#This Row],[Cuenta Bancaria]],Cuentas!$C:$C,Cuentas!$B:$B,"",0,-1)&amp;""</f>
        <v/>
      </c>
    </row>
    <row r="1182" spans="2:18" x14ac:dyDescent="0.3">
      <c r="B1182" s="39">
        <v>46296</v>
      </c>
      <c r="C1182" s="4" t="str">
        <f>_xlfn.XLOOKUP(tblMovimientos[[#This Row],[Cuenta Bancaria]],Listas!$B:$B,Listas!$A:$A,"")</f>
        <v>SSP Capital</v>
      </c>
      <c r="D1182" s="41" t="s">
        <v>104</v>
      </c>
      <c r="E1182" s="68" t="str">
        <f>_xlfn.XLOOKUP(tblMovimientos[[#This Row],[Cuenta Bancaria]],Listas!$B:$B,Listas!$C:$C,"")</f>
        <v xml:space="preserve">Amerant Bank </v>
      </c>
      <c r="F1182" s="41" t="s">
        <v>10</v>
      </c>
      <c r="G1182" s="41" t="s">
        <v>60</v>
      </c>
      <c r="H1182" s="4" t="str">
        <f>IFERROR(_xlfn.XLOOKUP(G1182,Listas!E:E,Listas!F:F,""),"")</f>
        <v>Inversion</v>
      </c>
      <c r="I1182" s="4" t="str">
        <f>IFERROR(_xlfn.XLOOKUP(G1182,Listas!E:E,Listas!G:G,""),"")</f>
        <v>Interno</v>
      </c>
      <c r="J1182" s="43">
        <v>30000</v>
      </c>
      <c r="K1182" s="5">
        <f t="shared" si="18"/>
        <v>-30000</v>
      </c>
      <c r="L1182" s="15" t="s">
        <v>134</v>
      </c>
      <c r="M1182" s="44">
        <f>SUMIFS('Saldos Iniciales'!$D:$D,'Saldos Iniciales'!$A:$A,C1182,'Saldos Iniciales'!$B:$B,D1182)+SUMIFS($K$1:$K$1324,$C$1:$C$1324,C1182,$D$1:$D$1324,D1182,$B$1:$B$1324,"&lt;="&amp;B1182)</f>
        <v>725822.75999999931</v>
      </c>
      <c r="N1182" s="61" t="str">
        <f>IF(tblMovimientos[[#This Row],[Tipo de Movimiento]]="Ingreso",tblMovimientos[[#This Row],[Monto (S/)]],"0")</f>
        <v>0</v>
      </c>
      <c r="O1182" s="61">
        <f>IF(tblMovimientos[[#This Row],[Tipo de Movimiento]]="Egreso",tblMovimientos[[#This Row],[Monto (S/)]],"0")</f>
        <v>30000</v>
      </c>
      <c r="P1182" s="28">
        <f>IF(tblMovimientos[[#This Row],[Tipo de Movimiento]]="Ingreso",tblMovimientos[[#This Row],[Ingreso]],-tblMovimientos[[#This Row],[Egreso]])</f>
        <v>-30000</v>
      </c>
      <c r="Q1182" s="78" t="str">
        <f>_xlfn.XLOOKUP(tblMovimientos[[#This Row],[Cuenta Bancaria]],Cuentas!$C:$C,Cuentas!$A:$A,"")&amp;""</f>
        <v>SSP Group</v>
      </c>
      <c r="R1182" s="78" t="str">
        <f>_xlfn.XLOOKUP(tblMovimientos[[#This Row],[Cuenta Bancaria]],Cuentas!$C:$C,Cuentas!$B:$B,"",0,-1)&amp;""</f>
        <v/>
      </c>
    </row>
    <row r="1183" spans="2:18" x14ac:dyDescent="0.3">
      <c r="B1183" s="39">
        <v>46296</v>
      </c>
      <c r="C1183" s="4" t="str">
        <f>_xlfn.XLOOKUP(tblMovimientos[[#This Row],[Cuenta Bancaria]],Listas!$B:$B,Listas!$A:$A,"")</f>
        <v>Green Harbor Trust</v>
      </c>
      <c r="D1183" s="41" t="s">
        <v>125</v>
      </c>
      <c r="E1183" s="68" t="str">
        <f>_xlfn.XLOOKUP(tblMovimientos[[#This Row],[Cuenta Bancaria]],Listas!$B:$B,Listas!$C:$C,"")</f>
        <v xml:space="preserve">Amerant Bank </v>
      </c>
      <c r="F1183" s="41" t="s">
        <v>9</v>
      </c>
      <c r="G1183" s="41" t="s">
        <v>77</v>
      </c>
      <c r="H1183" s="4" t="str">
        <f>IFERROR(_xlfn.XLOOKUP(G1183,Listas!E:E,Listas!F:F,""),"")</f>
        <v>Inversion</v>
      </c>
      <c r="I1183" s="4" t="str">
        <f>IFERROR(_xlfn.XLOOKUP(G1183,Listas!E:E,Listas!G:G,""),"")</f>
        <v>Interno</v>
      </c>
      <c r="J1183" s="43">
        <v>15000</v>
      </c>
      <c r="K1183" s="5">
        <f t="shared" si="18"/>
        <v>15000</v>
      </c>
      <c r="L1183" s="15" t="s">
        <v>134</v>
      </c>
      <c r="M1183" s="44">
        <f>SUMIFS('Saldos Iniciales'!$D:$D,'Saldos Iniciales'!$A:$A,C1183,'Saldos Iniciales'!$B:$B,D1183)+SUMIFS($K$1:$K$1324,$C$1:$C$1324,C1183,$D$1:$D$1324,D1183,$B$1:$B$1324,"&lt;="&amp;B1183)</f>
        <v>345</v>
      </c>
      <c r="N1183" s="61">
        <f>IF(tblMovimientos[[#This Row],[Tipo de Movimiento]]="Ingreso",tblMovimientos[[#This Row],[Monto (S/)]],"0")</f>
        <v>15000</v>
      </c>
      <c r="O1183" s="61" t="str">
        <f>IF(tblMovimientos[[#This Row],[Tipo de Movimiento]]="Egreso",tblMovimientos[[#This Row],[Monto (S/)]],"0")</f>
        <v>0</v>
      </c>
      <c r="P1183" s="28">
        <f>IF(tblMovimientos[[#This Row],[Tipo de Movimiento]]="Ingreso",tblMovimientos[[#This Row],[Ingreso]],-tblMovimientos[[#This Row],[Egreso]])</f>
        <v>15000</v>
      </c>
      <c r="Q1183" s="78" t="str">
        <f>_xlfn.XLOOKUP(tblMovimientos[[#This Row],[Cuenta Bancaria]],Cuentas!$C:$C,Cuentas!$A:$A,"")&amp;""</f>
        <v>SSP Group</v>
      </c>
      <c r="R1183" s="78" t="str">
        <f>_xlfn.XLOOKUP(tblMovimientos[[#This Row],[Cuenta Bancaria]],Cuentas!$C:$C,Cuentas!$B:$B,"",0,-1)&amp;""</f>
        <v>Trust</v>
      </c>
    </row>
    <row r="1184" spans="2:18" x14ac:dyDescent="0.3">
      <c r="B1184" s="39">
        <v>46296</v>
      </c>
      <c r="C1184" s="4" t="str">
        <f>_xlfn.XLOOKUP(tblMovimientos[[#This Row],[Cuenta Bancaria]],Listas!$B:$B,Listas!$A:$A,"")</f>
        <v>Green Harbor Trust</v>
      </c>
      <c r="D1184" s="41" t="s">
        <v>125</v>
      </c>
      <c r="E1184" s="68" t="str">
        <f>_xlfn.XLOOKUP(tblMovimientos[[#This Row],[Cuenta Bancaria]],Listas!$B:$B,Listas!$C:$C,"")</f>
        <v xml:space="preserve">Amerant Bank </v>
      </c>
      <c r="F1184" s="41" t="s">
        <v>10</v>
      </c>
      <c r="G1184" s="41" t="s">
        <v>53</v>
      </c>
      <c r="H1184" s="4" t="str">
        <f>IFERROR(_xlfn.XLOOKUP(G1184,Listas!E:E,Listas!F:F,""),"")</f>
        <v>Inversion</v>
      </c>
      <c r="I1184" s="4" t="str">
        <f>IFERROR(_xlfn.XLOOKUP(G1184,Listas!E:E,Listas!G:G,""),"")</f>
        <v>Interno</v>
      </c>
      <c r="J1184" s="43">
        <v>15000</v>
      </c>
      <c r="K1184" s="5">
        <f t="shared" si="18"/>
        <v>-15000</v>
      </c>
      <c r="L1184" s="15" t="s">
        <v>134</v>
      </c>
      <c r="M1184" s="44">
        <f>SUMIFS('Saldos Iniciales'!$D:$D,'Saldos Iniciales'!$A:$A,C1184,'Saldos Iniciales'!$B:$B,D1184)+SUMIFS($K$1:$K$1324,$C$1:$C$1324,C1184,$D$1:$D$1324,D1184,$B$1:$B$1324,"&lt;="&amp;B1184)</f>
        <v>345</v>
      </c>
      <c r="N1184" s="61" t="str">
        <f>IF(tblMovimientos[[#This Row],[Tipo de Movimiento]]="Ingreso",tblMovimientos[[#This Row],[Monto (S/)]],"0")</f>
        <v>0</v>
      </c>
      <c r="O1184" s="61">
        <f>IF(tblMovimientos[[#This Row],[Tipo de Movimiento]]="Egreso",tblMovimientos[[#This Row],[Monto (S/)]],"0")</f>
        <v>15000</v>
      </c>
      <c r="P1184" s="28">
        <f>IF(tblMovimientos[[#This Row],[Tipo de Movimiento]]="Ingreso",tblMovimientos[[#This Row],[Ingreso]],-tblMovimientos[[#This Row],[Egreso]])</f>
        <v>-15000</v>
      </c>
      <c r="Q1184" s="78" t="str">
        <f>_xlfn.XLOOKUP(tblMovimientos[[#This Row],[Cuenta Bancaria]],Cuentas!$C:$C,Cuentas!$A:$A,"")&amp;""</f>
        <v>SSP Group</v>
      </c>
      <c r="R1184" s="78" t="str">
        <f>_xlfn.XLOOKUP(tblMovimientos[[#This Row],[Cuenta Bancaria]],Cuentas!$C:$C,Cuentas!$B:$B,"",0,-1)&amp;""</f>
        <v>Trust</v>
      </c>
    </row>
    <row r="1185" spans="2:18" x14ac:dyDescent="0.3">
      <c r="B1185" s="39">
        <v>46296</v>
      </c>
      <c r="C1185" s="4" t="str">
        <f>_xlfn.XLOOKUP(tblMovimientos[[#This Row],[Cuenta Bancaria]],Listas!$B:$B,Listas!$A:$A,"")</f>
        <v>Go Blue</v>
      </c>
      <c r="D1185" s="41" t="s">
        <v>126</v>
      </c>
      <c r="E1185" s="68" t="str">
        <f>_xlfn.XLOOKUP(tblMovimientos[[#This Row],[Cuenta Bancaria]],Listas!$B:$B,Listas!$C:$C,"")</f>
        <v xml:space="preserve">Amerant Bank </v>
      </c>
      <c r="F1185" s="41" t="s">
        <v>9</v>
      </c>
      <c r="G1185" s="41" t="s">
        <v>77</v>
      </c>
      <c r="H1185" s="4" t="str">
        <f>IFERROR(_xlfn.XLOOKUP(G1185,Listas!E:E,Listas!F:F,""),"")</f>
        <v>Inversion</v>
      </c>
      <c r="I1185" s="4" t="str">
        <f>IFERROR(_xlfn.XLOOKUP(G1185,Listas!E:E,Listas!G:G,""),"")</f>
        <v>Interno</v>
      </c>
      <c r="J1185" s="43">
        <v>15000</v>
      </c>
      <c r="K1185" s="5">
        <f t="shared" si="18"/>
        <v>15000</v>
      </c>
      <c r="L1185" s="15" t="s">
        <v>134</v>
      </c>
      <c r="M1185" s="44">
        <f>SUMIFS('Saldos Iniciales'!$D:$D,'Saldos Iniciales'!$A:$A,C1185,'Saldos Iniciales'!$B:$B,D1185)+SUMIFS($K$1:$K$1324,$C$1:$C$1324,C1185,$D$1:$D$1324,D1185,$B$1:$B$1324,"&lt;="&amp;B1185)</f>
        <v>25982.69</v>
      </c>
      <c r="N1185" s="61">
        <f>IF(tblMovimientos[[#This Row],[Tipo de Movimiento]]="Ingreso",tblMovimientos[[#This Row],[Monto (S/)]],"0")</f>
        <v>15000</v>
      </c>
      <c r="O1185" s="61" t="str">
        <f>IF(tblMovimientos[[#This Row],[Tipo de Movimiento]]="Egreso",tblMovimientos[[#This Row],[Monto (S/)]],"0")</f>
        <v>0</v>
      </c>
      <c r="P1185" s="28">
        <f>IF(tblMovimientos[[#This Row],[Tipo de Movimiento]]="Ingreso",tblMovimientos[[#This Row],[Ingreso]],-tblMovimientos[[#This Row],[Egreso]])</f>
        <v>15000</v>
      </c>
      <c r="Q1185" s="78" t="str">
        <f>_xlfn.XLOOKUP(tblMovimientos[[#This Row],[Cuenta Bancaria]],Cuentas!$C:$C,Cuentas!$A:$A,"")&amp;""</f>
        <v>SSP Group</v>
      </c>
      <c r="R1185" s="78" t="str">
        <f>_xlfn.XLOOKUP(tblMovimientos[[#This Row],[Cuenta Bancaria]],Cuentas!$C:$C,Cuentas!$B:$B,"",0,-1)&amp;""</f>
        <v/>
      </c>
    </row>
    <row r="1186" spans="2:18" x14ac:dyDescent="0.3">
      <c r="B1186" s="39">
        <v>46296</v>
      </c>
      <c r="C1186" s="4" t="str">
        <f>_xlfn.XLOOKUP(tblMovimientos[[#This Row],[Cuenta Bancaria]],Listas!$B:$B,Listas!$A:$A,"")</f>
        <v>Go Blue</v>
      </c>
      <c r="D1186" s="41" t="s">
        <v>126</v>
      </c>
      <c r="E1186" s="68" t="str">
        <f>_xlfn.XLOOKUP(tblMovimientos[[#This Row],[Cuenta Bancaria]],Listas!$B:$B,Listas!$C:$C,"")</f>
        <v xml:space="preserve">Amerant Bank </v>
      </c>
      <c r="F1186" s="41" t="s">
        <v>10</v>
      </c>
      <c r="G1186" s="41" t="s">
        <v>38</v>
      </c>
      <c r="H1186" s="4" t="str">
        <f>IFERROR(_xlfn.XLOOKUP(G1186,Listas!E:E,Listas!F:F,""),"")</f>
        <v>Operativo</v>
      </c>
      <c r="I1186" s="4" t="str">
        <f>IFERROR(_xlfn.XLOOKUP(G1186,Listas!E:E,Listas!G:G,""),"")</f>
        <v>Externo</v>
      </c>
      <c r="J1186" s="43">
        <v>352</v>
      </c>
      <c r="K1186" s="5">
        <f t="shared" si="18"/>
        <v>-352</v>
      </c>
      <c r="L1186" s="15" t="s">
        <v>134</v>
      </c>
      <c r="M1186" s="44">
        <f>SUMIFS('Saldos Iniciales'!$D:$D,'Saldos Iniciales'!$A:$A,C1186,'Saldos Iniciales'!$B:$B,D1186)+SUMIFS($K$1:$K$1324,$C$1:$C$1324,C1186,$D$1:$D$1324,D1186,$B$1:$B$1324,"&lt;="&amp;B1186)</f>
        <v>25982.69</v>
      </c>
      <c r="N1186" s="61" t="str">
        <f>IF(tblMovimientos[[#This Row],[Tipo de Movimiento]]="Ingreso",tblMovimientos[[#This Row],[Monto (S/)]],"0")</f>
        <v>0</v>
      </c>
      <c r="O1186" s="61">
        <f>IF(tblMovimientos[[#This Row],[Tipo de Movimiento]]="Egreso",tblMovimientos[[#This Row],[Monto (S/)]],"0")</f>
        <v>352</v>
      </c>
      <c r="P1186" s="28">
        <f>IF(tblMovimientos[[#This Row],[Tipo de Movimiento]]="Ingreso",tblMovimientos[[#This Row],[Ingreso]],-tblMovimientos[[#This Row],[Egreso]])</f>
        <v>-352</v>
      </c>
      <c r="Q1186" s="78" t="str">
        <f>_xlfn.XLOOKUP(tblMovimientos[[#This Row],[Cuenta Bancaria]],Cuentas!$C:$C,Cuentas!$A:$A,"")&amp;""</f>
        <v>SSP Group</v>
      </c>
      <c r="R1186" s="78" t="str">
        <f>_xlfn.XLOOKUP(tblMovimientos[[#This Row],[Cuenta Bancaria]],Cuentas!$C:$C,Cuentas!$B:$B,"",0,-1)&amp;""</f>
        <v/>
      </c>
    </row>
    <row r="1187" spans="2:18" x14ac:dyDescent="0.3">
      <c r="B1187" s="39">
        <v>46296</v>
      </c>
      <c r="C1187" s="4" t="str">
        <f>_xlfn.XLOOKUP(tblMovimientos[[#This Row],[Cuenta Bancaria]],Listas!$B:$B,Listas!$A:$A,"")</f>
        <v>Go Blue</v>
      </c>
      <c r="D1187" s="41" t="s">
        <v>126</v>
      </c>
      <c r="E1187" s="68" t="str">
        <f>_xlfn.XLOOKUP(tblMovimientos[[#This Row],[Cuenta Bancaria]],Listas!$B:$B,Listas!$C:$C,"")</f>
        <v xml:space="preserve">Amerant Bank </v>
      </c>
      <c r="F1187" s="41" t="s">
        <v>10</v>
      </c>
      <c r="G1187" s="41" t="s">
        <v>44</v>
      </c>
      <c r="H1187" s="4" t="str">
        <f>IFERROR(_xlfn.XLOOKUP(G1187,Listas!E:E,Listas!F:F,""),"")</f>
        <v>Operativo</v>
      </c>
      <c r="I1187" s="4" t="str">
        <f>IFERROR(_xlfn.XLOOKUP(G1187,Listas!E:E,Listas!G:G,""),"")</f>
        <v>Externo</v>
      </c>
      <c r="J1187" s="43">
        <v>15</v>
      </c>
      <c r="K1187" s="5">
        <f t="shared" si="18"/>
        <v>-15</v>
      </c>
      <c r="L1187" s="15" t="s">
        <v>134</v>
      </c>
      <c r="M1187" s="44">
        <f>SUMIFS('Saldos Iniciales'!$D:$D,'Saldos Iniciales'!$A:$A,C1187,'Saldos Iniciales'!$B:$B,D1187)+SUMIFS($K$1:$K$1324,$C$1:$C$1324,C1187,$D$1:$D$1324,D1187,$B$1:$B$1324,"&lt;="&amp;B1187)</f>
        <v>25982.69</v>
      </c>
      <c r="N1187" s="61" t="str">
        <f>IF(tblMovimientos[[#This Row],[Tipo de Movimiento]]="Ingreso",tblMovimientos[[#This Row],[Monto (S/)]],"0")</f>
        <v>0</v>
      </c>
      <c r="O1187" s="61">
        <f>IF(tblMovimientos[[#This Row],[Tipo de Movimiento]]="Egreso",tblMovimientos[[#This Row],[Monto (S/)]],"0")</f>
        <v>15</v>
      </c>
      <c r="P1187" s="28">
        <f>IF(tblMovimientos[[#This Row],[Tipo de Movimiento]]="Ingreso",tblMovimientos[[#This Row],[Ingreso]],-tblMovimientos[[#This Row],[Egreso]])</f>
        <v>-15</v>
      </c>
      <c r="Q1187" s="78" t="str">
        <f>_xlfn.XLOOKUP(tblMovimientos[[#This Row],[Cuenta Bancaria]],Cuentas!$C:$C,Cuentas!$A:$A,"")&amp;""</f>
        <v>SSP Group</v>
      </c>
      <c r="R1187" s="78" t="str">
        <f>_xlfn.XLOOKUP(tblMovimientos[[#This Row],[Cuenta Bancaria]],Cuentas!$C:$C,Cuentas!$B:$B,"",0,-1)&amp;""</f>
        <v/>
      </c>
    </row>
    <row r="1188" spans="2:18" x14ac:dyDescent="0.3">
      <c r="B1188" s="39">
        <v>46296</v>
      </c>
      <c r="C1188" s="4" t="str">
        <f>_xlfn.XLOOKUP(tblMovimientos[[#This Row],[Cuenta Bancaria]],Listas!$B:$B,Listas!$A:$A,"")</f>
        <v>SIYP LLC</v>
      </c>
      <c r="D1188" s="41" t="s">
        <v>185</v>
      </c>
      <c r="E1188" s="68" t="str">
        <f>_xlfn.XLOOKUP(tblMovimientos[[#This Row],[Cuenta Bancaria]],Listas!$B:$B,Listas!$C:$C,"")</f>
        <v xml:space="preserve">Amerant Bank </v>
      </c>
      <c r="F1188" s="41" t="s">
        <v>9</v>
      </c>
      <c r="G1188" s="41" t="s">
        <v>77</v>
      </c>
      <c r="H1188" s="4" t="str">
        <f>IFERROR(_xlfn.XLOOKUP(G1188,Listas!E:E,Listas!F:F,""),"")</f>
        <v>Inversion</v>
      </c>
      <c r="I1188" s="4" t="str">
        <f>IFERROR(_xlfn.XLOOKUP(G1188,Listas!E:E,Listas!G:G,""),"")</f>
        <v>Interno</v>
      </c>
      <c r="J1188" s="43">
        <v>5000</v>
      </c>
      <c r="K1188" s="5">
        <f t="shared" si="18"/>
        <v>5000</v>
      </c>
      <c r="L1188" s="15" t="s">
        <v>134</v>
      </c>
      <c r="M1188" s="44">
        <f>SUMIFS('Saldos Iniciales'!$D:$D,'Saldos Iniciales'!$A:$A,C1188,'Saldos Iniciales'!$B:$B,D1188)+SUMIFS($K$1:$K$1324,$C$1:$C$1324,C1188,$D$1:$D$1324,D1188,$B$1:$B$1324,"&lt;="&amp;B1188)</f>
        <v>5602.67</v>
      </c>
      <c r="N1188" s="61">
        <f>IF(tblMovimientos[[#This Row],[Tipo de Movimiento]]="Ingreso",tblMovimientos[[#This Row],[Monto (S/)]],"0")</f>
        <v>5000</v>
      </c>
      <c r="O1188" s="61" t="str">
        <f>IF(tblMovimientos[[#This Row],[Tipo de Movimiento]]="Egreso",tblMovimientos[[#This Row],[Monto (S/)]],"0")</f>
        <v>0</v>
      </c>
      <c r="P1188" s="28">
        <f>IF(tblMovimientos[[#This Row],[Tipo de Movimiento]]="Ingreso",tblMovimientos[[#This Row],[Ingreso]],-tblMovimientos[[#This Row],[Egreso]])</f>
        <v>5000</v>
      </c>
      <c r="Q1188" s="78" t="str">
        <f>_xlfn.XLOOKUP(tblMovimientos[[#This Row],[Cuenta Bancaria]],Cuentas!$C:$C,Cuentas!$A:$A,"")&amp;""</f>
        <v>Michael Cross</v>
      </c>
      <c r="R1188" s="78" t="str">
        <f>_xlfn.XLOOKUP(tblMovimientos[[#This Row],[Cuenta Bancaria]],Cuentas!$C:$C,Cuentas!$B:$B,"",0,-1)&amp;""</f>
        <v/>
      </c>
    </row>
    <row r="1189" spans="2:18" x14ac:dyDescent="0.3">
      <c r="B1189" s="39">
        <v>46297</v>
      </c>
      <c r="C1189" s="4" t="str">
        <f>_xlfn.XLOOKUP(tblMovimientos[[#This Row],[Cuenta Bancaria]],Listas!$B:$B,Listas!$A:$A,"")</f>
        <v>Nobe Aparments</v>
      </c>
      <c r="D1189" s="41" t="s">
        <v>191</v>
      </c>
      <c r="E1189" s="68" t="str">
        <f>_xlfn.XLOOKUP(tblMovimientos[[#This Row],[Cuenta Bancaria]],Listas!$B:$B,Listas!$C:$C,"")</f>
        <v>Bank of America</v>
      </c>
      <c r="F1189" s="41" t="s">
        <v>9</v>
      </c>
      <c r="G1189" s="41" t="s">
        <v>81</v>
      </c>
      <c r="H1189" s="4" t="str">
        <f>IFERROR(_xlfn.XLOOKUP(G1189,Listas!E:E,Listas!F:F,""),"")</f>
        <v>Operativo</v>
      </c>
      <c r="I1189" s="4" t="str">
        <f>IFERROR(_xlfn.XLOOKUP(G1189,Listas!E:E,Listas!G:G,""),"")</f>
        <v>Externo</v>
      </c>
      <c r="J1189" s="43">
        <v>950</v>
      </c>
      <c r="K1189" s="5">
        <f t="shared" si="18"/>
        <v>950</v>
      </c>
      <c r="L1189" s="15" t="s">
        <v>134</v>
      </c>
      <c r="M1189" s="44">
        <f>SUMIFS('Saldos Iniciales'!$D:$D,'Saldos Iniciales'!$A:$A,C1189,'Saldos Iniciales'!$B:$B,D1189)+SUMIFS($K$1:$K$1324,$C$1:$C$1324,C1189,$D$1:$D$1324,D1189,$B$1:$B$1324,"&lt;="&amp;B1189)</f>
        <v>209379.46</v>
      </c>
      <c r="N1189" s="61">
        <f>IF(tblMovimientos[[#This Row],[Tipo de Movimiento]]="Ingreso",tblMovimientos[[#This Row],[Monto (S/)]],"0")</f>
        <v>950</v>
      </c>
      <c r="O1189" s="61" t="str">
        <f>IF(tblMovimientos[[#This Row],[Tipo de Movimiento]]="Egreso",tblMovimientos[[#This Row],[Monto (S/)]],"0")</f>
        <v>0</v>
      </c>
      <c r="P1189" s="28">
        <f>IF(tblMovimientos[[#This Row],[Tipo de Movimiento]]="Ingreso",tblMovimientos[[#This Row],[Ingreso]],-tblMovimientos[[#This Row],[Egreso]])</f>
        <v>950</v>
      </c>
      <c r="Q1189" s="78" t="str">
        <f>_xlfn.XLOOKUP(tblMovimientos[[#This Row],[Cuenta Bancaria]],Cuentas!$C:$C,Cuentas!$A:$A,"")&amp;""</f>
        <v>Estate</v>
      </c>
      <c r="R1189" s="78" t="str">
        <f>_xlfn.XLOOKUP(tblMovimientos[[#This Row],[Cuenta Bancaria]],Cuentas!$C:$C,Cuentas!$B:$B,"",0,-1)&amp;""</f>
        <v/>
      </c>
    </row>
    <row r="1190" spans="2:18" x14ac:dyDescent="0.3">
      <c r="B1190" s="39">
        <v>46297</v>
      </c>
      <c r="C1190" s="4" t="str">
        <f>_xlfn.XLOOKUP(tblMovimientos[[#This Row],[Cuenta Bancaria]],Listas!$B:$B,Listas!$A:$A,"")</f>
        <v>CFT1 Residence</v>
      </c>
      <c r="D1190" s="41" t="s">
        <v>184</v>
      </c>
      <c r="E1190" s="68" t="str">
        <f>_xlfn.XLOOKUP(tblMovimientos[[#This Row],[Cuenta Bancaria]],Listas!$B:$B,Listas!$C:$C,"")</f>
        <v xml:space="preserve">Amerant Bank </v>
      </c>
      <c r="F1190" s="41" t="s">
        <v>10</v>
      </c>
      <c r="G1190" s="41" t="s">
        <v>38</v>
      </c>
      <c r="H1190" s="4" t="str">
        <f>IFERROR(_xlfn.XLOOKUP(G1190,Listas!E:E,Listas!F:F,""),"")</f>
        <v>Operativo</v>
      </c>
      <c r="I1190" s="4" t="str">
        <f>IFERROR(_xlfn.XLOOKUP(G1190,Listas!E:E,Listas!G:G,""),"")</f>
        <v>Externo</v>
      </c>
      <c r="J1190" s="43">
        <v>82.62</v>
      </c>
      <c r="K1190" s="5">
        <f t="shared" si="18"/>
        <v>-82.62</v>
      </c>
      <c r="L1190" s="15" t="s">
        <v>134</v>
      </c>
      <c r="M1190" s="44">
        <f>SUMIFS('Saldos Iniciales'!$D:$D,'Saldos Iniciales'!$A:$A,C1190,'Saldos Iniciales'!$B:$B,D1190)+SUMIFS($K$1:$K$1324,$C$1:$C$1324,C1190,$D$1:$D$1324,D1190,$B$1:$B$1324,"&lt;="&amp;B1190)</f>
        <v>100884.42</v>
      </c>
      <c r="N1190" s="61" t="str">
        <f>IF(tblMovimientos[[#This Row],[Tipo de Movimiento]]="Ingreso",tblMovimientos[[#This Row],[Monto (S/)]],"0")</f>
        <v>0</v>
      </c>
      <c r="O1190" s="61">
        <f>IF(tblMovimientos[[#This Row],[Tipo de Movimiento]]="Egreso",tblMovimientos[[#This Row],[Monto (S/)]],"0")</f>
        <v>82.62</v>
      </c>
      <c r="P1190" s="28">
        <f>IF(tblMovimientos[[#This Row],[Tipo de Movimiento]]="Ingreso",tblMovimientos[[#This Row],[Ingreso]],-tblMovimientos[[#This Row],[Egreso]])</f>
        <v>-82.62</v>
      </c>
      <c r="Q1190" s="78" t="str">
        <f>_xlfn.XLOOKUP(tblMovimientos[[#This Row],[Cuenta Bancaria]],Cuentas!$C:$C,Cuentas!$A:$A,"")&amp;""</f>
        <v>Carmen Cross Irrevocable Trust</v>
      </c>
      <c r="R1190" s="78" t="str">
        <f>_xlfn.XLOOKUP(tblMovimientos[[#This Row],[Cuenta Bancaria]],Cuentas!$C:$C,Cuentas!$B:$B,"",0,-1)&amp;""</f>
        <v/>
      </c>
    </row>
    <row r="1191" spans="2:18" x14ac:dyDescent="0.3">
      <c r="B1191" s="39">
        <v>46297</v>
      </c>
      <c r="C1191" s="4" t="str">
        <f>_xlfn.XLOOKUP(tblMovimientos[[#This Row],[Cuenta Bancaria]],Listas!$B:$B,Listas!$A:$A,"")</f>
        <v>CFT1 Residence</v>
      </c>
      <c r="D1191" s="41" t="s">
        <v>184</v>
      </c>
      <c r="E1191" s="68" t="str">
        <f>_xlfn.XLOOKUP(tblMovimientos[[#This Row],[Cuenta Bancaria]],Listas!$B:$B,Listas!$C:$C,"")</f>
        <v xml:space="preserve">Amerant Bank </v>
      </c>
      <c r="F1191" s="41" t="s">
        <v>10</v>
      </c>
      <c r="G1191" s="41" t="s">
        <v>38</v>
      </c>
      <c r="H1191" s="4" t="str">
        <f>IFERROR(_xlfn.XLOOKUP(G1191,Listas!E:E,Listas!F:F,""),"")</f>
        <v>Operativo</v>
      </c>
      <c r="I1191" s="4" t="str">
        <f>IFERROR(_xlfn.XLOOKUP(G1191,Listas!E:E,Listas!G:G,""),"")</f>
        <v>Externo</v>
      </c>
      <c r="J1191" s="43">
        <v>29.35</v>
      </c>
      <c r="K1191" s="5">
        <f t="shared" si="18"/>
        <v>-29.35</v>
      </c>
      <c r="L1191" s="15" t="s">
        <v>134</v>
      </c>
      <c r="M1191" s="44">
        <f>SUMIFS('Saldos Iniciales'!$D:$D,'Saldos Iniciales'!$A:$A,C1191,'Saldos Iniciales'!$B:$B,D1191)+SUMIFS($K$1:$K$1324,$C$1:$C$1324,C1191,$D$1:$D$1324,D1191,$B$1:$B$1324,"&lt;="&amp;B1191)</f>
        <v>100884.42</v>
      </c>
      <c r="N1191" s="61" t="str">
        <f>IF(tblMovimientos[[#This Row],[Tipo de Movimiento]]="Ingreso",tblMovimientos[[#This Row],[Monto (S/)]],"0")</f>
        <v>0</v>
      </c>
      <c r="O1191" s="61">
        <f>IF(tblMovimientos[[#This Row],[Tipo de Movimiento]]="Egreso",tblMovimientos[[#This Row],[Monto (S/)]],"0")</f>
        <v>29.35</v>
      </c>
      <c r="P1191" s="28">
        <f>IF(tblMovimientos[[#This Row],[Tipo de Movimiento]]="Ingreso",tblMovimientos[[#This Row],[Ingreso]],-tblMovimientos[[#This Row],[Egreso]])</f>
        <v>-29.35</v>
      </c>
      <c r="Q1191" s="78" t="str">
        <f>_xlfn.XLOOKUP(tblMovimientos[[#This Row],[Cuenta Bancaria]],Cuentas!$C:$C,Cuentas!$A:$A,"")&amp;""</f>
        <v>Carmen Cross Irrevocable Trust</v>
      </c>
      <c r="R1191" s="78" t="str">
        <f>_xlfn.XLOOKUP(tblMovimientos[[#This Row],[Cuenta Bancaria]],Cuentas!$C:$C,Cuentas!$B:$B,"",0,-1)&amp;""</f>
        <v/>
      </c>
    </row>
    <row r="1192" spans="2:18" x14ac:dyDescent="0.3">
      <c r="B1192" s="39">
        <v>46297</v>
      </c>
      <c r="C1192" s="4" t="str">
        <f>_xlfn.XLOOKUP(tblMovimientos[[#This Row],[Cuenta Bancaria]],Listas!$B:$B,Listas!$A:$A,"")</f>
        <v>Prendamas SRL</v>
      </c>
      <c r="D1192" s="41" t="s">
        <v>186</v>
      </c>
      <c r="E1192" s="68" t="str">
        <f>_xlfn.XLOOKUP(tblMovimientos[[#This Row],[Cuenta Bancaria]],Listas!$B:$B,Listas!$C:$C,"")</f>
        <v xml:space="preserve">Amerant Bank </v>
      </c>
      <c r="F1192" s="41" t="s">
        <v>10</v>
      </c>
      <c r="G1192" s="41" t="s">
        <v>38</v>
      </c>
      <c r="H1192" s="4" t="str">
        <f>IFERROR(_xlfn.XLOOKUP(G1192,Listas!E:E,Listas!F:F,""),"")</f>
        <v>Operativo</v>
      </c>
      <c r="I1192" s="4" t="str">
        <f>IFERROR(_xlfn.XLOOKUP(G1192,Listas!E:E,Listas!G:G,""),"")</f>
        <v>Externo</v>
      </c>
      <c r="J1192" s="43">
        <v>514.42999999999995</v>
      </c>
      <c r="K1192" s="5">
        <f t="shared" si="18"/>
        <v>-514.42999999999995</v>
      </c>
      <c r="L1192" s="15" t="s">
        <v>134</v>
      </c>
      <c r="M1192" s="44">
        <f>SUMIFS('Saldos Iniciales'!$D:$D,'Saldos Iniciales'!$A:$A,C1192,'Saldos Iniciales'!$B:$B,D1192)+SUMIFS($K$1:$K$1324,$C$1:$C$1324,C1192,$D$1:$D$1324,D1192,$B$1:$B$1324,"&lt;="&amp;B1192)</f>
        <v>21434.939999999973</v>
      </c>
      <c r="N1192" s="61" t="str">
        <f>IF(tblMovimientos[[#This Row],[Tipo de Movimiento]]="Ingreso",tblMovimientos[[#This Row],[Monto (S/)]],"0")</f>
        <v>0</v>
      </c>
      <c r="O1192" s="61">
        <f>IF(tblMovimientos[[#This Row],[Tipo de Movimiento]]="Egreso",tblMovimientos[[#This Row],[Monto (S/)]],"0")</f>
        <v>514.42999999999995</v>
      </c>
      <c r="P1192" s="28">
        <f>IF(tblMovimientos[[#This Row],[Tipo de Movimiento]]="Ingreso",tblMovimientos[[#This Row],[Ingreso]],-tblMovimientos[[#This Row],[Egreso]])</f>
        <v>-514.42999999999995</v>
      </c>
      <c r="Q1192" s="78" t="str">
        <f>_xlfn.XLOOKUP(tblMovimientos[[#This Row],[Cuenta Bancaria]],Cuentas!$C:$C,Cuentas!$A:$A,"")&amp;""</f>
        <v>Unidades de Negocio</v>
      </c>
      <c r="R1192" s="78" t="str">
        <f>_xlfn.XLOOKUP(tblMovimientos[[#This Row],[Cuenta Bancaria]],Cuentas!$C:$C,Cuentas!$B:$B,"",0,-1)&amp;""</f>
        <v/>
      </c>
    </row>
    <row r="1193" spans="2:18" x14ac:dyDescent="0.3">
      <c r="B1193" s="39">
        <v>46297</v>
      </c>
      <c r="C1193" s="4" t="str">
        <f>_xlfn.XLOOKUP(tblMovimientos[[#This Row],[Cuenta Bancaria]],Listas!$B:$B,Listas!$A:$A,"")</f>
        <v>Prendamas SRL</v>
      </c>
      <c r="D1193" s="41" t="s">
        <v>186</v>
      </c>
      <c r="E1193" s="68" t="str">
        <f>_xlfn.XLOOKUP(tblMovimientos[[#This Row],[Cuenta Bancaria]],Listas!$B:$B,Listas!$C:$C,"")</f>
        <v xml:space="preserve">Amerant Bank </v>
      </c>
      <c r="F1193" s="41" t="s">
        <v>10</v>
      </c>
      <c r="G1193" s="41" t="s">
        <v>44</v>
      </c>
      <c r="H1193" s="4" t="str">
        <f>IFERROR(_xlfn.XLOOKUP(G1193,Listas!E:E,Listas!F:F,""),"")</f>
        <v>Operativo</v>
      </c>
      <c r="I1193" s="4" t="str">
        <f>IFERROR(_xlfn.XLOOKUP(G1193,Listas!E:E,Listas!G:G,""),"")</f>
        <v>Externo</v>
      </c>
      <c r="J1193" s="43">
        <v>15.43</v>
      </c>
      <c r="K1193" s="5">
        <f t="shared" si="18"/>
        <v>-15.43</v>
      </c>
      <c r="L1193" s="15" t="s">
        <v>134</v>
      </c>
      <c r="M1193" s="44">
        <f>SUMIFS('Saldos Iniciales'!$D:$D,'Saldos Iniciales'!$A:$A,C1193,'Saldos Iniciales'!$B:$B,D1193)+SUMIFS($K$1:$K$1324,$C$1:$C$1324,C1193,$D$1:$D$1324,D1193,$B$1:$B$1324,"&lt;="&amp;B1193)</f>
        <v>21434.939999999973</v>
      </c>
      <c r="N1193" s="61" t="str">
        <f>IF(tblMovimientos[[#This Row],[Tipo de Movimiento]]="Ingreso",tblMovimientos[[#This Row],[Monto (S/)]],"0")</f>
        <v>0</v>
      </c>
      <c r="O1193" s="61">
        <f>IF(tblMovimientos[[#This Row],[Tipo de Movimiento]]="Egreso",tblMovimientos[[#This Row],[Monto (S/)]],"0")</f>
        <v>15.43</v>
      </c>
      <c r="P1193" s="28">
        <f>IF(tblMovimientos[[#This Row],[Tipo de Movimiento]]="Ingreso",tblMovimientos[[#This Row],[Ingreso]],-tblMovimientos[[#This Row],[Egreso]])</f>
        <v>-15.43</v>
      </c>
      <c r="Q1193" s="78" t="str">
        <f>_xlfn.XLOOKUP(tblMovimientos[[#This Row],[Cuenta Bancaria]],Cuentas!$C:$C,Cuentas!$A:$A,"")&amp;""</f>
        <v>Unidades de Negocio</v>
      </c>
      <c r="R1193" s="78" t="str">
        <f>_xlfn.XLOOKUP(tblMovimientos[[#This Row],[Cuenta Bancaria]],Cuentas!$C:$C,Cuentas!$B:$B,"",0,-1)&amp;""</f>
        <v/>
      </c>
    </row>
    <row r="1194" spans="2:18" x14ac:dyDescent="0.3">
      <c r="B1194" s="39">
        <v>46297</v>
      </c>
      <c r="C1194" s="4" t="str">
        <f>_xlfn.XLOOKUP(tblMovimientos[[#This Row],[Cuenta Bancaria]],Listas!$B:$B,Listas!$A:$A,"")</f>
        <v>Go Blue</v>
      </c>
      <c r="D1194" s="41" t="s">
        <v>126</v>
      </c>
      <c r="E1194" s="68" t="str">
        <f>_xlfn.XLOOKUP(tblMovimientos[[#This Row],[Cuenta Bancaria]],Listas!$B:$B,Listas!$C:$C,"")</f>
        <v xml:space="preserve">Amerant Bank </v>
      </c>
      <c r="F1194" s="41" t="s">
        <v>10</v>
      </c>
      <c r="G1194" s="41" t="s">
        <v>38</v>
      </c>
      <c r="H1194" s="4" t="str">
        <f>IFERROR(_xlfn.XLOOKUP(G1194,Listas!E:E,Listas!F:F,""),"")</f>
        <v>Operativo</v>
      </c>
      <c r="I1194" s="4" t="str">
        <f>IFERROR(_xlfn.XLOOKUP(G1194,Listas!E:E,Listas!G:G,""),"")</f>
        <v>Externo</v>
      </c>
      <c r="J1194" s="43">
        <v>55</v>
      </c>
      <c r="K1194" s="5">
        <f t="shared" si="18"/>
        <v>-55</v>
      </c>
      <c r="L1194" s="15" t="s">
        <v>134</v>
      </c>
      <c r="M1194" s="44">
        <f>SUMIFS('Saldos Iniciales'!$D:$D,'Saldos Iniciales'!$A:$A,C1194,'Saldos Iniciales'!$B:$B,D1194)+SUMIFS($K$1:$K$1324,$C$1:$C$1324,C1194,$D$1:$D$1324,D1194,$B$1:$B$1324,"&lt;="&amp;B1194)</f>
        <v>22169.35</v>
      </c>
      <c r="N1194" s="61" t="str">
        <f>IF(tblMovimientos[[#This Row],[Tipo de Movimiento]]="Ingreso",tblMovimientos[[#This Row],[Monto (S/)]],"0")</f>
        <v>0</v>
      </c>
      <c r="O1194" s="61">
        <f>IF(tblMovimientos[[#This Row],[Tipo de Movimiento]]="Egreso",tblMovimientos[[#This Row],[Monto (S/)]],"0")</f>
        <v>55</v>
      </c>
      <c r="P1194" s="28">
        <f>IF(tblMovimientos[[#This Row],[Tipo de Movimiento]]="Ingreso",tblMovimientos[[#This Row],[Ingreso]],-tblMovimientos[[#This Row],[Egreso]])</f>
        <v>-55</v>
      </c>
      <c r="Q1194" s="78" t="str">
        <f>_xlfn.XLOOKUP(tblMovimientos[[#This Row],[Cuenta Bancaria]],Cuentas!$C:$C,Cuentas!$A:$A,"")&amp;""</f>
        <v>SSP Group</v>
      </c>
      <c r="R1194" s="78" t="str">
        <f>_xlfn.XLOOKUP(tblMovimientos[[#This Row],[Cuenta Bancaria]],Cuentas!$C:$C,Cuentas!$B:$B,"",0,-1)&amp;""</f>
        <v/>
      </c>
    </row>
    <row r="1195" spans="2:18" x14ac:dyDescent="0.3">
      <c r="B1195" s="39">
        <v>46297</v>
      </c>
      <c r="C1195" s="4" t="str">
        <f>_xlfn.XLOOKUP(tblMovimientos[[#This Row],[Cuenta Bancaria]],Listas!$B:$B,Listas!$A:$A,"")</f>
        <v>Go Blue</v>
      </c>
      <c r="D1195" s="41" t="s">
        <v>126</v>
      </c>
      <c r="E1195" s="68" t="str">
        <f>_xlfn.XLOOKUP(tblMovimientos[[#This Row],[Cuenta Bancaria]],Listas!$B:$B,Listas!$C:$C,"")</f>
        <v xml:space="preserve">Amerant Bank </v>
      </c>
      <c r="F1195" s="41" t="s">
        <v>10</v>
      </c>
      <c r="G1195" s="41" t="s">
        <v>38</v>
      </c>
      <c r="H1195" s="4" t="str">
        <f>IFERROR(_xlfn.XLOOKUP(G1195,Listas!E:E,Listas!F:F,""),"")</f>
        <v>Operativo</v>
      </c>
      <c r="I1195" s="4" t="str">
        <f>IFERROR(_xlfn.XLOOKUP(G1195,Listas!E:E,Listas!G:G,""),"")</f>
        <v>Externo</v>
      </c>
      <c r="J1195" s="43">
        <v>448.76</v>
      </c>
      <c r="K1195" s="5">
        <f t="shared" si="18"/>
        <v>-448.76</v>
      </c>
      <c r="L1195" s="15" t="s">
        <v>134</v>
      </c>
      <c r="M1195" s="44">
        <f>SUMIFS('Saldos Iniciales'!$D:$D,'Saldos Iniciales'!$A:$A,C1195,'Saldos Iniciales'!$B:$B,D1195)+SUMIFS($K$1:$K$1324,$C$1:$C$1324,C1195,$D$1:$D$1324,D1195,$B$1:$B$1324,"&lt;="&amp;B1195)</f>
        <v>22169.35</v>
      </c>
      <c r="N1195" s="61" t="str">
        <f>IF(tblMovimientos[[#This Row],[Tipo de Movimiento]]="Ingreso",tblMovimientos[[#This Row],[Monto (S/)]],"0")</f>
        <v>0</v>
      </c>
      <c r="O1195" s="61">
        <f>IF(tblMovimientos[[#This Row],[Tipo de Movimiento]]="Egreso",tblMovimientos[[#This Row],[Monto (S/)]],"0")</f>
        <v>448.76</v>
      </c>
      <c r="P1195" s="28">
        <f>IF(tblMovimientos[[#This Row],[Tipo de Movimiento]]="Ingreso",tblMovimientos[[#This Row],[Ingreso]],-tblMovimientos[[#This Row],[Egreso]])</f>
        <v>-448.76</v>
      </c>
      <c r="Q1195" s="78" t="str">
        <f>_xlfn.XLOOKUP(tblMovimientos[[#This Row],[Cuenta Bancaria]],Cuentas!$C:$C,Cuentas!$A:$A,"")&amp;""</f>
        <v>SSP Group</v>
      </c>
      <c r="R1195" s="78" t="str">
        <f>_xlfn.XLOOKUP(tblMovimientos[[#This Row],[Cuenta Bancaria]],Cuentas!$C:$C,Cuentas!$B:$B,"",0,-1)&amp;""</f>
        <v/>
      </c>
    </row>
    <row r="1196" spans="2:18" x14ac:dyDescent="0.3">
      <c r="B1196" s="39">
        <v>46297</v>
      </c>
      <c r="C1196" s="4" t="str">
        <f>_xlfn.XLOOKUP(tblMovimientos[[#This Row],[Cuenta Bancaria]],Listas!$B:$B,Listas!$A:$A,"")</f>
        <v>Go Blue</v>
      </c>
      <c r="D1196" s="41" t="s">
        <v>126</v>
      </c>
      <c r="E1196" s="68" t="str">
        <f>_xlfn.XLOOKUP(tblMovimientos[[#This Row],[Cuenta Bancaria]],Listas!$B:$B,Listas!$C:$C,"")</f>
        <v xml:space="preserve">Amerant Bank </v>
      </c>
      <c r="F1196" s="41" t="s">
        <v>10</v>
      </c>
      <c r="G1196" s="41" t="s">
        <v>38</v>
      </c>
      <c r="H1196" s="4" t="str">
        <f>IFERROR(_xlfn.XLOOKUP(G1196,Listas!E:E,Listas!F:F,""),"")</f>
        <v>Operativo</v>
      </c>
      <c r="I1196" s="4" t="str">
        <f>IFERROR(_xlfn.XLOOKUP(G1196,Listas!E:E,Listas!G:G,""),"")</f>
        <v>Externo</v>
      </c>
      <c r="J1196" s="43">
        <v>3309.58</v>
      </c>
      <c r="K1196" s="5">
        <f t="shared" si="18"/>
        <v>-3309.58</v>
      </c>
      <c r="L1196" s="15" t="s">
        <v>134</v>
      </c>
      <c r="M1196" s="44">
        <f>SUMIFS('Saldos Iniciales'!$D:$D,'Saldos Iniciales'!$A:$A,C1196,'Saldos Iniciales'!$B:$B,D1196)+SUMIFS($K$1:$K$1324,$C$1:$C$1324,C1196,$D$1:$D$1324,D1196,$B$1:$B$1324,"&lt;="&amp;B1196)</f>
        <v>22169.35</v>
      </c>
      <c r="N1196" s="61" t="str">
        <f>IF(tblMovimientos[[#This Row],[Tipo de Movimiento]]="Ingreso",tblMovimientos[[#This Row],[Monto (S/)]],"0")</f>
        <v>0</v>
      </c>
      <c r="O1196" s="61">
        <f>IF(tblMovimientos[[#This Row],[Tipo de Movimiento]]="Egreso",tblMovimientos[[#This Row],[Monto (S/)]],"0")</f>
        <v>3309.58</v>
      </c>
      <c r="P1196" s="28">
        <f>IF(tblMovimientos[[#This Row],[Tipo de Movimiento]]="Ingreso",tblMovimientos[[#This Row],[Ingreso]],-tblMovimientos[[#This Row],[Egreso]])</f>
        <v>-3309.58</v>
      </c>
      <c r="Q1196" s="78" t="str">
        <f>_xlfn.XLOOKUP(tblMovimientos[[#This Row],[Cuenta Bancaria]],Cuentas!$C:$C,Cuentas!$A:$A,"")&amp;""</f>
        <v>SSP Group</v>
      </c>
      <c r="R1196" s="78" t="str">
        <f>_xlfn.XLOOKUP(tblMovimientos[[#This Row],[Cuenta Bancaria]],Cuentas!$C:$C,Cuentas!$B:$B,"",0,-1)&amp;""</f>
        <v/>
      </c>
    </row>
    <row r="1197" spans="2:18" x14ac:dyDescent="0.3">
      <c r="B1197" s="39">
        <v>46300</v>
      </c>
      <c r="C1197" s="4" t="str">
        <f>_xlfn.XLOOKUP(tblMovimientos[[#This Row],[Cuenta Bancaria]],Listas!$B:$B,Listas!$A:$A,"")</f>
        <v>Pacha Ventures LLC</v>
      </c>
      <c r="D1197" s="41" t="s">
        <v>187</v>
      </c>
      <c r="E1197" s="68" t="str">
        <f>_xlfn.XLOOKUP(tblMovimientos[[#This Row],[Cuenta Bancaria]],Listas!$B:$B,Listas!$C:$C,"")</f>
        <v xml:space="preserve">Amerant Bank </v>
      </c>
      <c r="F1197" s="41" t="s">
        <v>10</v>
      </c>
      <c r="G1197" s="41" t="s">
        <v>38</v>
      </c>
      <c r="H1197" s="4" t="str">
        <f>IFERROR(_xlfn.XLOOKUP(G1197,Listas!E:E,Listas!F:F,""),"")</f>
        <v>Operativo</v>
      </c>
      <c r="I1197" s="4" t="str">
        <f>IFERROR(_xlfn.XLOOKUP(G1197,Listas!E:E,Listas!G:G,""),"")</f>
        <v>Externo</v>
      </c>
      <c r="J1197" s="43">
        <v>1993.01</v>
      </c>
      <c r="K1197" s="5">
        <f t="shared" si="18"/>
        <v>-1993.01</v>
      </c>
      <c r="L1197" s="15" t="s">
        <v>134</v>
      </c>
      <c r="M1197" s="44">
        <f>SUMIFS('Saldos Iniciales'!$D:$D,'Saldos Iniciales'!$A:$A,C1197,'Saldos Iniciales'!$B:$B,D1197)+SUMIFS($K$1:$K$1324,$C$1:$C$1324,C1197,$D$1:$D$1324,D1197,$B$1:$B$1324,"&lt;="&amp;B1197)</f>
        <v>311185.97000000003</v>
      </c>
      <c r="N1197" s="61" t="str">
        <f>IF(tblMovimientos[[#This Row],[Tipo de Movimiento]]="Ingreso",tblMovimientos[[#This Row],[Monto (S/)]],"0")</f>
        <v>0</v>
      </c>
      <c r="O1197" s="61">
        <f>IF(tblMovimientos[[#This Row],[Tipo de Movimiento]]="Egreso",tblMovimientos[[#This Row],[Monto (S/)]],"0")</f>
        <v>1993.01</v>
      </c>
      <c r="P1197" s="28">
        <f>IF(tblMovimientos[[#This Row],[Tipo de Movimiento]]="Ingreso",tblMovimientos[[#This Row],[Ingreso]],-tblMovimientos[[#This Row],[Egreso]])</f>
        <v>-1993.01</v>
      </c>
      <c r="Q1197" s="78" t="str">
        <f>_xlfn.XLOOKUP(tblMovimientos[[#This Row],[Cuenta Bancaria]],Cuentas!$C:$C,Cuentas!$A:$A,"")&amp;""</f>
        <v>Michael Cross</v>
      </c>
      <c r="R1197" s="78" t="str">
        <f>_xlfn.XLOOKUP(tblMovimientos[[#This Row],[Cuenta Bancaria]],Cuentas!$C:$C,Cuentas!$B:$B,"",0,-1)&amp;""</f>
        <v/>
      </c>
    </row>
    <row r="1198" spans="2:18" x14ac:dyDescent="0.3">
      <c r="B1198" s="39">
        <v>46300</v>
      </c>
      <c r="C1198" s="4" t="str">
        <f>_xlfn.XLOOKUP(tblMovimientos[[#This Row],[Cuenta Bancaria]],Listas!$B:$B,Listas!$A:$A,"")</f>
        <v>CFT1 Residence</v>
      </c>
      <c r="D1198" s="41" t="s">
        <v>184</v>
      </c>
      <c r="E1198" s="68" t="str">
        <f>_xlfn.XLOOKUP(tblMovimientos[[#This Row],[Cuenta Bancaria]],Listas!$B:$B,Listas!$C:$C,"")</f>
        <v xml:space="preserve">Amerant Bank </v>
      </c>
      <c r="F1198" s="41" t="s">
        <v>10</v>
      </c>
      <c r="G1198" s="41" t="s">
        <v>38</v>
      </c>
      <c r="H1198" s="4" t="str">
        <f>IFERROR(_xlfn.XLOOKUP(G1198,Listas!E:E,Listas!F:F,""),"")</f>
        <v>Operativo</v>
      </c>
      <c r="I1198" s="4" t="str">
        <f>IFERROR(_xlfn.XLOOKUP(G1198,Listas!E:E,Listas!G:G,""),"")</f>
        <v>Externo</v>
      </c>
      <c r="J1198" s="43">
        <v>241.59</v>
      </c>
      <c r="K1198" s="5">
        <f t="shared" si="18"/>
        <v>-241.59</v>
      </c>
      <c r="L1198" s="15" t="s">
        <v>134</v>
      </c>
      <c r="M1198" s="44">
        <f>SUMIFS('Saldos Iniciales'!$D:$D,'Saldos Iniciales'!$A:$A,C1198,'Saldos Iniciales'!$B:$B,D1198)+SUMIFS($K$1:$K$1324,$C$1:$C$1324,C1198,$D$1:$D$1324,D1198,$B$1:$B$1324,"&lt;="&amp;B1198)</f>
        <v>100421.66</v>
      </c>
      <c r="N1198" s="61" t="str">
        <f>IF(tblMovimientos[[#This Row],[Tipo de Movimiento]]="Ingreso",tblMovimientos[[#This Row],[Monto (S/)]],"0")</f>
        <v>0</v>
      </c>
      <c r="O1198" s="61">
        <f>IF(tblMovimientos[[#This Row],[Tipo de Movimiento]]="Egreso",tblMovimientos[[#This Row],[Monto (S/)]],"0")</f>
        <v>241.59</v>
      </c>
      <c r="P1198" s="28">
        <f>IF(tblMovimientos[[#This Row],[Tipo de Movimiento]]="Ingreso",tblMovimientos[[#This Row],[Ingreso]],-tblMovimientos[[#This Row],[Egreso]])</f>
        <v>-241.59</v>
      </c>
      <c r="Q1198" s="78" t="str">
        <f>_xlfn.XLOOKUP(tblMovimientos[[#This Row],[Cuenta Bancaria]],Cuentas!$C:$C,Cuentas!$A:$A,"")&amp;""</f>
        <v>Carmen Cross Irrevocable Trust</v>
      </c>
      <c r="R1198" s="78" t="str">
        <f>_xlfn.XLOOKUP(tblMovimientos[[#This Row],[Cuenta Bancaria]],Cuentas!$C:$C,Cuentas!$B:$B,"",0,-1)&amp;""</f>
        <v/>
      </c>
    </row>
    <row r="1199" spans="2:18" x14ac:dyDescent="0.3">
      <c r="B1199" s="39">
        <v>46300</v>
      </c>
      <c r="C1199" s="4" t="str">
        <f>_xlfn.XLOOKUP(tblMovimientos[[#This Row],[Cuenta Bancaria]],Listas!$B:$B,Listas!$A:$A,"")</f>
        <v>CFT1 Residence</v>
      </c>
      <c r="D1199" s="41" t="s">
        <v>184</v>
      </c>
      <c r="E1199" s="68" t="str">
        <f>_xlfn.XLOOKUP(tblMovimientos[[#This Row],[Cuenta Bancaria]],Listas!$B:$B,Listas!$C:$C,"")</f>
        <v xml:space="preserve">Amerant Bank </v>
      </c>
      <c r="F1199" s="41" t="s">
        <v>10</v>
      </c>
      <c r="G1199" s="41" t="s">
        <v>38</v>
      </c>
      <c r="H1199" s="4" t="str">
        <f>IFERROR(_xlfn.XLOOKUP(G1199,Listas!E:E,Listas!F:F,""),"")</f>
        <v>Operativo</v>
      </c>
      <c r="I1199" s="4" t="str">
        <f>IFERROR(_xlfn.XLOOKUP(G1199,Listas!E:E,Listas!G:G,""),"")</f>
        <v>Externo</v>
      </c>
      <c r="J1199" s="43">
        <v>22.43</v>
      </c>
      <c r="K1199" s="5">
        <f t="shared" si="18"/>
        <v>-22.43</v>
      </c>
      <c r="L1199" s="15" t="s">
        <v>134</v>
      </c>
      <c r="M1199" s="44">
        <f>SUMIFS('Saldos Iniciales'!$D:$D,'Saldos Iniciales'!$A:$A,C1199,'Saldos Iniciales'!$B:$B,D1199)+SUMIFS($K$1:$K$1324,$C$1:$C$1324,C1199,$D$1:$D$1324,D1199,$B$1:$B$1324,"&lt;="&amp;B1199)</f>
        <v>100421.66</v>
      </c>
      <c r="N1199" s="61" t="str">
        <f>IF(tblMovimientos[[#This Row],[Tipo de Movimiento]]="Ingreso",tblMovimientos[[#This Row],[Monto (S/)]],"0")</f>
        <v>0</v>
      </c>
      <c r="O1199" s="61">
        <f>IF(tblMovimientos[[#This Row],[Tipo de Movimiento]]="Egreso",tblMovimientos[[#This Row],[Monto (S/)]],"0")</f>
        <v>22.43</v>
      </c>
      <c r="P1199" s="28">
        <f>IF(tblMovimientos[[#This Row],[Tipo de Movimiento]]="Ingreso",tblMovimientos[[#This Row],[Ingreso]],-tblMovimientos[[#This Row],[Egreso]])</f>
        <v>-22.43</v>
      </c>
      <c r="Q1199" s="78" t="str">
        <f>_xlfn.XLOOKUP(tblMovimientos[[#This Row],[Cuenta Bancaria]],Cuentas!$C:$C,Cuentas!$A:$A,"")&amp;""</f>
        <v>Carmen Cross Irrevocable Trust</v>
      </c>
      <c r="R1199" s="78" t="str">
        <f>_xlfn.XLOOKUP(tblMovimientos[[#This Row],[Cuenta Bancaria]],Cuentas!$C:$C,Cuentas!$B:$B,"",0,-1)&amp;""</f>
        <v/>
      </c>
    </row>
    <row r="1200" spans="2:18" x14ac:dyDescent="0.3">
      <c r="B1200" s="39">
        <v>46300</v>
      </c>
      <c r="C1200" s="4" t="str">
        <f>_xlfn.XLOOKUP(tblMovimientos[[#This Row],[Cuenta Bancaria]],Listas!$B:$B,Listas!$A:$A,"")</f>
        <v>CFT1 Residence</v>
      </c>
      <c r="D1200" s="41" t="s">
        <v>184</v>
      </c>
      <c r="E1200" s="68" t="str">
        <f>_xlfn.XLOOKUP(tblMovimientos[[#This Row],[Cuenta Bancaria]],Listas!$B:$B,Listas!$C:$C,"")</f>
        <v xml:space="preserve">Amerant Bank </v>
      </c>
      <c r="F1200" s="41" t="s">
        <v>10</v>
      </c>
      <c r="G1200" s="41" t="s">
        <v>38</v>
      </c>
      <c r="H1200" s="4" t="str">
        <f>IFERROR(_xlfn.XLOOKUP(G1200,Listas!E:E,Listas!F:F,""),"")</f>
        <v>Operativo</v>
      </c>
      <c r="I1200" s="4" t="str">
        <f>IFERROR(_xlfn.XLOOKUP(G1200,Listas!E:E,Listas!G:G,""),"")</f>
        <v>Externo</v>
      </c>
      <c r="J1200" s="43">
        <v>47.84</v>
      </c>
      <c r="K1200" s="5">
        <f t="shared" si="18"/>
        <v>-47.84</v>
      </c>
      <c r="L1200" s="15" t="s">
        <v>134</v>
      </c>
      <c r="M1200" s="44">
        <f>SUMIFS('Saldos Iniciales'!$D:$D,'Saldos Iniciales'!$A:$A,C1200,'Saldos Iniciales'!$B:$B,D1200)+SUMIFS($K$1:$K$1324,$C$1:$C$1324,C1200,$D$1:$D$1324,D1200,$B$1:$B$1324,"&lt;="&amp;B1200)</f>
        <v>100421.66</v>
      </c>
      <c r="N1200" s="61" t="str">
        <f>IF(tblMovimientos[[#This Row],[Tipo de Movimiento]]="Ingreso",tblMovimientos[[#This Row],[Monto (S/)]],"0")</f>
        <v>0</v>
      </c>
      <c r="O1200" s="61">
        <f>IF(tblMovimientos[[#This Row],[Tipo de Movimiento]]="Egreso",tblMovimientos[[#This Row],[Monto (S/)]],"0")</f>
        <v>47.84</v>
      </c>
      <c r="P1200" s="28">
        <f>IF(tblMovimientos[[#This Row],[Tipo de Movimiento]]="Ingreso",tblMovimientos[[#This Row],[Ingreso]],-tblMovimientos[[#This Row],[Egreso]])</f>
        <v>-47.84</v>
      </c>
      <c r="Q1200" s="78" t="str">
        <f>_xlfn.XLOOKUP(tblMovimientos[[#This Row],[Cuenta Bancaria]],Cuentas!$C:$C,Cuentas!$A:$A,"")&amp;""</f>
        <v>Carmen Cross Irrevocable Trust</v>
      </c>
      <c r="R1200" s="78" t="str">
        <f>_xlfn.XLOOKUP(tblMovimientos[[#This Row],[Cuenta Bancaria]],Cuentas!$C:$C,Cuentas!$B:$B,"",0,-1)&amp;""</f>
        <v/>
      </c>
    </row>
    <row r="1201" spans="2:18" x14ac:dyDescent="0.3">
      <c r="B1201" s="39">
        <v>46300</v>
      </c>
      <c r="C1201" s="4" t="str">
        <f>_xlfn.XLOOKUP(tblMovimientos[[#This Row],[Cuenta Bancaria]],Listas!$B:$B,Listas!$A:$A,"")</f>
        <v>CFT1 Residence</v>
      </c>
      <c r="D1201" s="41" t="s">
        <v>184</v>
      </c>
      <c r="E1201" s="68" t="str">
        <f>_xlfn.XLOOKUP(tblMovimientos[[#This Row],[Cuenta Bancaria]],Listas!$B:$B,Listas!$C:$C,"")</f>
        <v xml:space="preserve">Amerant Bank </v>
      </c>
      <c r="F1201" s="41" t="s">
        <v>10</v>
      </c>
      <c r="G1201" s="41" t="s">
        <v>38</v>
      </c>
      <c r="H1201" s="4" t="str">
        <f>IFERROR(_xlfn.XLOOKUP(G1201,Listas!E:E,Listas!F:F,""),"")</f>
        <v>Operativo</v>
      </c>
      <c r="I1201" s="4" t="str">
        <f>IFERROR(_xlfn.XLOOKUP(G1201,Listas!E:E,Listas!G:G,""),"")</f>
        <v>Externo</v>
      </c>
      <c r="J1201" s="43">
        <v>47.84</v>
      </c>
      <c r="K1201" s="5">
        <f t="shared" si="18"/>
        <v>-47.84</v>
      </c>
      <c r="L1201" s="15" t="s">
        <v>134</v>
      </c>
      <c r="M1201" s="44">
        <f>SUMIFS('Saldos Iniciales'!$D:$D,'Saldos Iniciales'!$A:$A,C1201,'Saldos Iniciales'!$B:$B,D1201)+SUMIFS($K$1:$K$1324,$C$1:$C$1324,C1201,$D$1:$D$1324,D1201,$B$1:$B$1324,"&lt;="&amp;B1201)</f>
        <v>100421.66</v>
      </c>
      <c r="N1201" s="61" t="str">
        <f>IF(tblMovimientos[[#This Row],[Tipo de Movimiento]]="Ingreso",tblMovimientos[[#This Row],[Monto (S/)]],"0")</f>
        <v>0</v>
      </c>
      <c r="O1201" s="61">
        <f>IF(tblMovimientos[[#This Row],[Tipo de Movimiento]]="Egreso",tblMovimientos[[#This Row],[Monto (S/)]],"0")</f>
        <v>47.84</v>
      </c>
      <c r="P1201" s="28">
        <f>IF(tblMovimientos[[#This Row],[Tipo de Movimiento]]="Ingreso",tblMovimientos[[#This Row],[Ingreso]],-tblMovimientos[[#This Row],[Egreso]])</f>
        <v>-47.84</v>
      </c>
      <c r="Q1201" s="78" t="str">
        <f>_xlfn.XLOOKUP(tblMovimientos[[#This Row],[Cuenta Bancaria]],Cuentas!$C:$C,Cuentas!$A:$A,"")&amp;""</f>
        <v>Carmen Cross Irrevocable Trust</v>
      </c>
      <c r="R1201" s="78" t="str">
        <f>_xlfn.XLOOKUP(tblMovimientos[[#This Row],[Cuenta Bancaria]],Cuentas!$C:$C,Cuentas!$B:$B,"",0,-1)&amp;""</f>
        <v/>
      </c>
    </row>
    <row r="1202" spans="2:18" x14ac:dyDescent="0.3">
      <c r="B1202" s="39">
        <v>46300</v>
      </c>
      <c r="C1202" s="4" t="str">
        <f>_xlfn.XLOOKUP(tblMovimientos[[#This Row],[Cuenta Bancaria]],Listas!$B:$B,Listas!$A:$A,"")</f>
        <v>CFT1 Residence</v>
      </c>
      <c r="D1202" s="41" t="s">
        <v>184</v>
      </c>
      <c r="E1202" s="68" t="str">
        <f>_xlfn.XLOOKUP(tblMovimientos[[#This Row],[Cuenta Bancaria]],Listas!$B:$B,Listas!$C:$C,"")</f>
        <v xml:space="preserve">Amerant Bank </v>
      </c>
      <c r="F1202" s="41" t="s">
        <v>10</v>
      </c>
      <c r="G1202" s="41" t="s">
        <v>38</v>
      </c>
      <c r="H1202" s="4" t="str">
        <f>IFERROR(_xlfn.XLOOKUP(G1202,Listas!E:E,Listas!F:F,""),"")</f>
        <v>Operativo</v>
      </c>
      <c r="I1202" s="4" t="str">
        <f>IFERROR(_xlfn.XLOOKUP(G1202,Listas!E:E,Listas!G:G,""),"")</f>
        <v>Externo</v>
      </c>
      <c r="J1202" s="43">
        <v>50.88</v>
      </c>
      <c r="K1202" s="5">
        <f t="shared" si="18"/>
        <v>-50.88</v>
      </c>
      <c r="L1202" s="15" t="s">
        <v>134</v>
      </c>
      <c r="M1202" s="44">
        <f>SUMIFS('Saldos Iniciales'!$D:$D,'Saldos Iniciales'!$A:$A,C1202,'Saldos Iniciales'!$B:$B,D1202)+SUMIFS($K$1:$K$1324,$C$1:$C$1324,C1202,$D$1:$D$1324,D1202,$B$1:$B$1324,"&lt;="&amp;B1202)</f>
        <v>100421.66</v>
      </c>
      <c r="N1202" s="61" t="str">
        <f>IF(tblMovimientos[[#This Row],[Tipo de Movimiento]]="Ingreso",tblMovimientos[[#This Row],[Monto (S/)]],"0")</f>
        <v>0</v>
      </c>
      <c r="O1202" s="61">
        <f>IF(tblMovimientos[[#This Row],[Tipo de Movimiento]]="Egreso",tblMovimientos[[#This Row],[Monto (S/)]],"0")</f>
        <v>50.88</v>
      </c>
      <c r="P1202" s="28">
        <f>IF(tblMovimientos[[#This Row],[Tipo de Movimiento]]="Ingreso",tblMovimientos[[#This Row],[Ingreso]],-tblMovimientos[[#This Row],[Egreso]])</f>
        <v>-50.88</v>
      </c>
      <c r="Q1202" s="78" t="str">
        <f>_xlfn.XLOOKUP(tblMovimientos[[#This Row],[Cuenta Bancaria]],Cuentas!$C:$C,Cuentas!$A:$A,"")&amp;""</f>
        <v>Carmen Cross Irrevocable Trust</v>
      </c>
      <c r="R1202" s="78" t="str">
        <f>_xlfn.XLOOKUP(tblMovimientos[[#This Row],[Cuenta Bancaria]],Cuentas!$C:$C,Cuentas!$B:$B,"",0,-1)&amp;""</f>
        <v/>
      </c>
    </row>
    <row r="1203" spans="2:18" x14ac:dyDescent="0.3">
      <c r="B1203" s="39">
        <v>46300</v>
      </c>
      <c r="C1203" s="4" t="str">
        <f>_xlfn.XLOOKUP(tblMovimientos[[#This Row],[Cuenta Bancaria]],Listas!$B:$B,Listas!$A:$A,"")</f>
        <v>CFT1 Residence</v>
      </c>
      <c r="D1203" s="41" t="s">
        <v>184</v>
      </c>
      <c r="E1203" s="68" t="str">
        <f>_xlfn.XLOOKUP(tblMovimientos[[#This Row],[Cuenta Bancaria]],Listas!$B:$B,Listas!$C:$C,"")</f>
        <v xml:space="preserve">Amerant Bank </v>
      </c>
      <c r="F1203" s="41" t="s">
        <v>10</v>
      </c>
      <c r="G1203" s="41" t="s">
        <v>38</v>
      </c>
      <c r="H1203" s="4" t="str">
        <f>IFERROR(_xlfn.XLOOKUP(G1203,Listas!E:E,Listas!F:F,""),"")</f>
        <v>Operativo</v>
      </c>
      <c r="I1203" s="4" t="str">
        <f>IFERROR(_xlfn.XLOOKUP(G1203,Listas!E:E,Listas!G:G,""),"")</f>
        <v>Externo</v>
      </c>
      <c r="J1203" s="43">
        <v>52.18</v>
      </c>
      <c r="K1203" s="5">
        <f t="shared" si="18"/>
        <v>-52.18</v>
      </c>
      <c r="L1203" s="15" t="s">
        <v>134</v>
      </c>
      <c r="M1203" s="44">
        <f>SUMIFS('Saldos Iniciales'!$D:$D,'Saldos Iniciales'!$A:$A,C1203,'Saldos Iniciales'!$B:$B,D1203)+SUMIFS($K$1:$K$1324,$C$1:$C$1324,C1203,$D$1:$D$1324,D1203,$B$1:$B$1324,"&lt;="&amp;B1203)</f>
        <v>100421.66</v>
      </c>
      <c r="N1203" s="61" t="str">
        <f>IF(tblMovimientos[[#This Row],[Tipo de Movimiento]]="Ingreso",tblMovimientos[[#This Row],[Monto (S/)]],"0")</f>
        <v>0</v>
      </c>
      <c r="O1203" s="61">
        <f>IF(tblMovimientos[[#This Row],[Tipo de Movimiento]]="Egreso",tblMovimientos[[#This Row],[Monto (S/)]],"0")</f>
        <v>52.18</v>
      </c>
      <c r="P1203" s="28">
        <f>IF(tblMovimientos[[#This Row],[Tipo de Movimiento]]="Ingreso",tblMovimientos[[#This Row],[Ingreso]],-tblMovimientos[[#This Row],[Egreso]])</f>
        <v>-52.18</v>
      </c>
      <c r="Q1203" s="78" t="str">
        <f>_xlfn.XLOOKUP(tblMovimientos[[#This Row],[Cuenta Bancaria]],Cuentas!$C:$C,Cuentas!$A:$A,"")&amp;""</f>
        <v>Carmen Cross Irrevocable Trust</v>
      </c>
      <c r="R1203" s="78" t="str">
        <f>_xlfn.XLOOKUP(tblMovimientos[[#This Row],[Cuenta Bancaria]],Cuentas!$C:$C,Cuentas!$B:$B,"",0,-1)&amp;""</f>
        <v/>
      </c>
    </row>
    <row r="1204" spans="2:18" x14ac:dyDescent="0.3">
      <c r="B1204" s="39">
        <v>46300</v>
      </c>
      <c r="C1204" s="4" t="str">
        <f>_xlfn.XLOOKUP(tblMovimientos[[#This Row],[Cuenta Bancaria]],Listas!$B:$B,Listas!$A:$A,"")</f>
        <v>Go Blue</v>
      </c>
      <c r="D1204" s="41" t="s">
        <v>126</v>
      </c>
      <c r="E1204" s="68" t="str">
        <f>_xlfn.XLOOKUP(tblMovimientos[[#This Row],[Cuenta Bancaria]],Listas!$B:$B,Listas!$C:$C,"")</f>
        <v xml:space="preserve">Amerant Bank </v>
      </c>
      <c r="F1204" s="41" t="s">
        <v>9</v>
      </c>
      <c r="G1204" s="41" t="s">
        <v>82</v>
      </c>
      <c r="H1204" s="4" t="str">
        <f>IFERROR(_xlfn.XLOOKUP(G1204,Listas!E:E,Listas!F:F,""),"")</f>
        <v>Operativo</v>
      </c>
      <c r="I1204" s="4" t="str">
        <f>IFERROR(_xlfn.XLOOKUP(G1204,Listas!E:E,Listas!G:G,""),"")</f>
        <v>Externo</v>
      </c>
      <c r="J1204" s="43">
        <v>49</v>
      </c>
      <c r="K1204" s="5">
        <f t="shared" si="18"/>
        <v>49</v>
      </c>
      <c r="L1204" s="15" t="s">
        <v>134</v>
      </c>
      <c r="M1204" s="44">
        <f>SUMIFS('Saldos Iniciales'!$D:$D,'Saldos Iniciales'!$A:$A,C1204,'Saldos Iniciales'!$B:$B,D1204)+SUMIFS($K$1:$K$1324,$C$1:$C$1324,C1204,$D$1:$D$1324,D1204,$B$1:$B$1324,"&lt;="&amp;B1204)</f>
        <v>22218.35</v>
      </c>
      <c r="N1204" s="61">
        <f>IF(tblMovimientos[[#This Row],[Tipo de Movimiento]]="Ingreso",tblMovimientos[[#This Row],[Monto (S/)]],"0")</f>
        <v>49</v>
      </c>
      <c r="O1204" s="61" t="str">
        <f>IF(tblMovimientos[[#This Row],[Tipo de Movimiento]]="Egreso",tblMovimientos[[#This Row],[Monto (S/)]],"0")</f>
        <v>0</v>
      </c>
      <c r="P1204" s="28">
        <f>IF(tblMovimientos[[#This Row],[Tipo de Movimiento]]="Ingreso",tblMovimientos[[#This Row],[Ingreso]],-tblMovimientos[[#This Row],[Egreso]])</f>
        <v>49</v>
      </c>
      <c r="Q1204" s="78" t="str">
        <f>_xlfn.XLOOKUP(tblMovimientos[[#This Row],[Cuenta Bancaria]],Cuentas!$C:$C,Cuentas!$A:$A,"")&amp;""</f>
        <v>SSP Group</v>
      </c>
      <c r="R1204" s="78" t="str">
        <f>_xlfn.XLOOKUP(tblMovimientos[[#This Row],[Cuenta Bancaria]],Cuentas!$C:$C,Cuentas!$B:$B,"",0,-1)&amp;""</f>
        <v/>
      </c>
    </row>
    <row r="1205" spans="2:18" x14ac:dyDescent="0.3">
      <c r="B1205" s="39">
        <v>46300</v>
      </c>
      <c r="C1205" s="4" t="str">
        <f>_xlfn.XLOOKUP(tblMovimientos[[#This Row],[Cuenta Bancaria]],Listas!$B:$B,Listas!$A:$A,"")</f>
        <v>SSP Capital</v>
      </c>
      <c r="D1205" s="41" t="s">
        <v>101</v>
      </c>
      <c r="E1205" s="68" t="str">
        <f>_xlfn.XLOOKUP(tblMovimientos[[#This Row],[Cuenta Bancaria]],Listas!$B:$B,Listas!$C:$C,"")</f>
        <v>Bank of America</v>
      </c>
      <c r="F1205" s="41" t="s">
        <v>10</v>
      </c>
      <c r="G1205" s="41" t="s">
        <v>38</v>
      </c>
      <c r="H1205" s="4" t="str">
        <f>IFERROR(_xlfn.XLOOKUP(G1205,Listas!E:E,Listas!F:F,""),"")</f>
        <v>Operativo</v>
      </c>
      <c r="I1205" s="4" t="str">
        <f>IFERROR(_xlfn.XLOOKUP(G1205,Listas!E:E,Listas!G:G,""),"")</f>
        <v>Externo</v>
      </c>
      <c r="J1205" s="43">
        <v>648.76</v>
      </c>
      <c r="K1205" s="5">
        <f t="shared" si="18"/>
        <v>-648.76</v>
      </c>
      <c r="L1205" s="15" t="s">
        <v>134</v>
      </c>
      <c r="M1205" s="44">
        <f>SUMIFS('Saldos Iniciales'!$D:$D,'Saldos Iniciales'!$A:$A,C1205,'Saldos Iniciales'!$B:$B,D1205)+SUMIFS($K$1:$K$1324,$C$1:$C$1324,C1205,$D$1:$D$1324,D1205,$B$1:$B$1324,"&lt;="&amp;B1205)</f>
        <v>35719.050000000003</v>
      </c>
      <c r="N1205" s="61" t="str">
        <f>IF(tblMovimientos[[#This Row],[Tipo de Movimiento]]="Ingreso",tblMovimientos[[#This Row],[Monto (S/)]],"0")</f>
        <v>0</v>
      </c>
      <c r="O1205" s="61">
        <f>IF(tblMovimientos[[#This Row],[Tipo de Movimiento]]="Egreso",tblMovimientos[[#This Row],[Monto (S/)]],"0")</f>
        <v>648.76</v>
      </c>
      <c r="P1205" s="28">
        <f>IF(tblMovimientos[[#This Row],[Tipo de Movimiento]]="Ingreso",tblMovimientos[[#This Row],[Ingreso]],-tblMovimientos[[#This Row],[Egreso]])</f>
        <v>-648.76</v>
      </c>
      <c r="Q1205" s="78" t="str">
        <f>_xlfn.XLOOKUP(tblMovimientos[[#This Row],[Cuenta Bancaria]],Cuentas!$C:$C,Cuentas!$A:$A,"")&amp;""</f>
        <v>SSP Group</v>
      </c>
      <c r="R1205" s="78" t="str">
        <f>_xlfn.XLOOKUP(tblMovimientos[[#This Row],[Cuenta Bancaria]],Cuentas!$C:$C,Cuentas!$B:$B,"",0,-1)&amp;""</f>
        <v/>
      </c>
    </row>
    <row r="1206" spans="2:18" x14ac:dyDescent="0.3">
      <c r="B1206" s="39">
        <v>46300</v>
      </c>
      <c r="C1206" s="4" t="str">
        <f>_xlfn.XLOOKUP(tblMovimientos[[#This Row],[Cuenta Bancaria]],Listas!$B:$B,Listas!$A:$A,"")</f>
        <v>Cross Family Trust</v>
      </c>
      <c r="D1206" s="41" t="s">
        <v>110</v>
      </c>
      <c r="E1206" s="68" t="str">
        <f>_xlfn.XLOOKUP(tblMovimientos[[#This Row],[Cuenta Bancaria]],Listas!$B:$B,Listas!$C:$C,"")</f>
        <v>Bank of America</v>
      </c>
      <c r="F1206" s="41" t="s">
        <v>10</v>
      </c>
      <c r="G1206" s="41" t="s">
        <v>38</v>
      </c>
      <c r="H1206" s="4" t="str">
        <f>IFERROR(_xlfn.XLOOKUP(G1206,Listas!E:E,Listas!F:F,""),"")</f>
        <v>Operativo</v>
      </c>
      <c r="I1206" s="4" t="str">
        <f>IFERROR(_xlfn.XLOOKUP(G1206,Listas!E:E,Listas!G:G,""),"")</f>
        <v>Externo</v>
      </c>
      <c r="J1206" s="43">
        <v>27000</v>
      </c>
      <c r="K1206" s="5">
        <f t="shared" si="18"/>
        <v>-27000</v>
      </c>
      <c r="L1206" s="15" t="s">
        <v>134</v>
      </c>
      <c r="M1206" s="44">
        <f>SUMIFS('Saldos Iniciales'!$D:$D,'Saldos Iniciales'!$A:$A,C1206,'Saldos Iniciales'!$B:$B,D1206)+SUMIFS($K$1:$K$1324,$C$1:$C$1324,C1206,$D$1:$D$1324,D1206,$B$1:$B$1324,"&lt;="&amp;B1206)</f>
        <v>206.88999999999942</v>
      </c>
      <c r="N1206" s="61" t="str">
        <f>IF(tblMovimientos[[#This Row],[Tipo de Movimiento]]="Ingreso",tblMovimientos[[#This Row],[Monto (S/)]],"0")</f>
        <v>0</v>
      </c>
      <c r="O1206" s="61">
        <f>IF(tblMovimientos[[#This Row],[Tipo de Movimiento]]="Egreso",tblMovimientos[[#This Row],[Monto (S/)]],"0")</f>
        <v>27000</v>
      </c>
      <c r="P1206" s="28">
        <f>IF(tblMovimientos[[#This Row],[Tipo de Movimiento]]="Ingreso",tblMovimientos[[#This Row],[Ingreso]],-tblMovimientos[[#This Row],[Egreso]])</f>
        <v>-27000</v>
      </c>
      <c r="Q1206" s="78" t="str">
        <f>_xlfn.XLOOKUP(tblMovimientos[[#This Row],[Cuenta Bancaria]],Cuentas!$C:$C,Cuentas!$A:$A,"")&amp;""</f>
        <v>SSP Group</v>
      </c>
      <c r="R1206" s="78" t="str">
        <f>_xlfn.XLOOKUP(tblMovimientos[[#This Row],[Cuenta Bancaria]],Cuentas!$C:$C,Cuentas!$B:$B,"",0,-1)&amp;""</f>
        <v>Trust</v>
      </c>
    </row>
    <row r="1207" spans="2:18" x14ac:dyDescent="0.3">
      <c r="B1207" s="39">
        <v>46301</v>
      </c>
      <c r="C1207" s="4" t="str">
        <f>_xlfn.XLOOKUP(tblMovimientos[[#This Row],[Cuenta Bancaria]],Listas!$B:$B,Listas!$A:$A,"")</f>
        <v>Pacha Ventures LLC</v>
      </c>
      <c r="D1207" s="41" t="s">
        <v>187</v>
      </c>
      <c r="E1207" s="68" t="str">
        <f>_xlfn.XLOOKUP(tblMovimientos[[#This Row],[Cuenta Bancaria]],Listas!$B:$B,Listas!$C:$C,"")</f>
        <v xml:space="preserve">Amerant Bank </v>
      </c>
      <c r="F1207" s="41" t="s">
        <v>10</v>
      </c>
      <c r="G1207" s="41" t="s">
        <v>38</v>
      </c>
      <c r="H1207" s="4" t="str">
        <f>IFERROR(_xlfn.XLOOKUP(G1207,Listas!E:E,Listas!F:F,""),"")</f>
        <v>Operativo</v>
      </c>
      <c r="I1207" s="4" t="str">
        <f>IFERROR(_xlfn.XLOOKUP(G1207,Listas!E:E,Listas!G:G,""),"")</f>
        <v>Externo</v>
      </c>
      <c r="J1207" s="43">
        <v>331.11</v>
      </c>
      <c r="K1207" s="5">
        <f t="shared" si="18"/>
        <v>-331.11</v>
      </c>
      <c r="L1207" s="15" t="s">
        <v>134</v>
      </c>
      <c r="M1207" s="44">
        <f>SUMIFS('Saldos Iniciales'!$D:$D,'Saldos Iniciales'!$A:$A,C1207,'Saldos Iniciales'!$B:$B,D1207)+SUMIFS($K$1:$K$1324,$C$1:$C$1324,C1207,$D$1:$D$1324,D1207,$B$1:$B$1324,"&lt;="&amp;B1207)</f>
        <v>310854.86000000004</v>
      </c>
      <c r="N1207" s="61" t="str">
        <f>IF(tblMovimientos[[#This Row],[Tipo de Movimiento]]="Ingreso",tblMovimientos[[#This Row],[Monto (S/)]],"0")</f>
        <v>0</v>
      </c>
      <c r="O1207" s="61">
        <f>IF(tblMovimientos[[#This Row],[Tipo de Movimiento]]="Egreso",tblMovimientos[[#This Row],[Monto (S/)]],"0")</f>
        <v>331.11</v>
      </c>
      <c r="P1207" s="28">
        <f>IF(tblMovimientos[[#This Row],[Tipo de Movimiento]]="Ingreso",tblMovimientos[[#This Row],[Ingreso]],-tblMovimientos[[#This Row],[Egreso]])</f>
        <v>-331.11</v>
      </c>
      <c r="Q1207" s="78" t="str">
        <f>_xlfn.XLOOKUP(tblMovimientos[[#This Row],[Cuenta Bancaria]],Cuentas!$C:$C,Cuentas!$A:$A,"")&amp;""</f>
        <v>Michael Cross</v>
      </c>
      <c r="R1207" s="78" t="str">
        <f>_xlfn.XLOOKUP(tblMovimientos[[#This Row],[Cuenta Bancaria]],Cuentas!$C:$C,Cuentas!$B:$B,"",0,-1)&amp;""</f>
        <v/>
      </c>
    </row>
    <row r="1208" spans="2:18" x14ac:dyDescent="0.3">
      <c r="B1208" s="39">
        <v>46301</v>
      </c>
      <c r="C1208" s="4" t="str">
        <f>_xlfn.XLOOKUP(tblMovimientos[[#This Row],[Cuenta Bancaria]],Listas!$B:$B,Listas!$A:$A,"")</f>
        <v>Carmen Cross Irrevocable Trust</v>
      </c>
      <c r="D1208" s="41" t="s">
        <v>183</v>
      </c>
      <c r="E1208" s="68" t="str">
        <f>_xlfn.XLOOKUP(tblMovimientos[[#This Row],[Cuenta Bancaria]],Listas!$B:$B,Listas!$C:$C,"")</f>
        <v xml:space="preserve">Amerant Bank </v>
      </c>
      <c r="F1208" s="41" t="s">
        <v>10</v>
      </c>
      <c r="G1208" s="41" t="s">
        <v>38</v>
      </c>
      <c r="H1208" s="4" t="str">
        <f>IFERROR(_xlfn.XLOOKUP(G1208,Listas!E:E,Listas!F:F,""),"")</f>
        <v>Operativo</v>
      </c>
      <c r="I1208" s="4" t="str">
        <f>IFERROR(_xlfn.XLOOKUP(G1208,Listas!E:E,Listas!G:G,""),"")</f>
        <v>Externo</v>
      </c>
      <c r="J1208" s="43">
        <v>10000</v>
      </c>
      <c r="K1208" s="5">
        <f t="shared" si="18"/>
        <v>-10000</v>
      </c>
      <c r="L1208" s="15" t="s">
        <v>134</v>
      </c>
      <c r="M1208" s="44">
        <f>SUMIFS('Saldos Iniciales'!$D:$D,'Saldos Iniciales'!$A:$A,C1208,'Saldos Iniciales'!$B:$B,D1208)+SUMIFS($K$1:$K$1324,$C$1:$C$1324,C1208,$D$1:$D$1324,D1208,$B$1:$B$1324,"&lt;="&amp;B1208)</f>
        <v>90631.96</v>
      </c>
      <c r="N1208" s="61" t="str">
        <f>IF(tblMovimientos[[#This Row],[Tipo de Movimiento]]="Ingreso",tblMovimientos[[#This Row],[Monto (S/)]],"0")</f>
        <v>0</v>
      </c>
      <c r="O1208" s="61">
        <f>IF(tblMovimientos[[#This Row],[Tipo de Movimiento]]="Egreso",tblMovimientos[[#This Row],[Monto (S/)]],"0")</f>
        <v>10000</v>
      </c>
      <c r="P1208" s="28">
        <f>IF(tblMovimientos[[#This Row],[Tipo de Movimiento]]="Ingreso",tblMovimientos[[#This Row],[Ingreso]],-tblMovimientos[[#This Row],[Egreso]])</f>
        <v>-10000</v>
      </c>
      <c r="Q1208" s="78" t="str">
        <f>_xlfn.XLOOKUP(tblMovimientos[[#This Row],[Cuenta Bancaria]],Cuentas!$C:$C,Cuentas!$A:$A,"")&amp;""</f>
        <v>Carmen Cross Irrevocable Trust</v>
      </c>
      <c r="R1208" s="78" t="str">
        <f>_xlfn.XLOOKUP(tblMovimientos[[#This Row],[Cuenta Bancaria]],Cuentas!$C:$C,Cuentas!$B:$B,"",0,-1)&amp;""</f>
        <v>Trust</v>
      </c>
    </row>
    <row r="1209" spans="2:18" x14ac:dyDescent="0.3">
      <c r="B1209" s="39">
        <v>46302</v>
      </c>
      <c r="C1209" s="4" t="str">
        <f>_xlfn.XLOOKUP(tblMovimientos[[#This Row],[Cuenta Bancaria]],Listas!$B:$B,Listas!$A:$A,"")</f>
        <v>SSP Capital</v>
      </c>
      <c r="D1209" s="41" t="s">
        <v>101</v>
      </c>
      <c r="E1209" s="68" t="str">
        <f>_xlfn.XLOOKUP(tblMovimientos[[#This Row],[Cuenta Bancaria]],Listas!$B:$B,Listas!$C:$C,"")</f>
        <v>Bank of America</v>
      </c>
      <c r="F1209" s="41" t="s">
        <v>10</v>
      </c>
      <c r="G1209" s="41" t="s">
        <v>41</v>
      </c>
      <c r="H1209" s="4" t="str">
        <f>IFERROR(_xlfn.XLOOKUP(G1209,Listas!E:E,Listas!F:F,""),"")</f>
        <v>Operativo</v>
      </c>
      <c r="I1209" s="4" t="str">
        <f>IFERROR(_xlfn.XLOOKUP(G1209,Listas!E:E,Listas!G:G,""),"")</f>
        <v>Externo</v>
      </c>
      <c r="J1209" s="43">
        <v>7679.78</v>
      </c>
      <c r="K1209" s="5">
        <f t="shared" si="18"/>
        <v>-7679.78</v>
      </c>
      <c r="L1209" s="15" t="s">
        <v>134</v>
      </c>
      <c r="M1209" s="44">
        <f>SUMIFS('Saldos Iniciales'!$D:$D,'Saldos Iniciales'!$A:$A,C1209,'Saldos Iniciales'!$B:$B,D1209)+SUMIFS($K$1:$K$1324,$C$1:$C$1324,C1209,$D$1:$D$1324,D1209,$B$1:$B$1324,"&lt;="&amp;B1209)</f>
        <v>28039.270000000008</v>
      </c>
      <c r="N1209" s="61" t="str">
        <f>IF(tblMovimientos[[#This Row],[Tipo de Movimiento]]="Ingreso",tblMovimientos[[#This Row],[Monto (S/)]],"0")</f>
        <v>0</v>
      </c>
      <c r="O1209" s="61">
        <f>IF(tblMovimientos[[#This Row],[Tipo de Movimiento]]="Egreso",tblMovimientos[[#This Row],[Monto (S/)]],"0")</f>
        <v>7679.78</v>
      </c>
      <c r="P1209" s="28">
        <f>IF(tblMovimientos[[#This Row],[Tipo de Movimiento]]="Ingreso",tblMovimientos[[#This Row],[Ingreso]],-tblMovimientos[[#This Row],[Egreso]])</f>
        <v>-7679.78</v>
      </c>
      <c r="Q1209" s="78" t="str">
        <f>_xlfn.XLOOKUP(tblMovimientos[[#This Row],[Cuenta Bancaria]],Cuentas!$C:$C,Cuentas!$A:$A,"")&amp;""</f>
        <v>SSP Group</v>
      </c>
      <c r="R1209" s="78" t="str">
        <f>_xlfn.XLOOKUP(tblMovimientos[[#This Row],[Cuenta Bancaria]],Cuentas!$C:$C,Cuentas!$B:$B,"",0,-1)&amp;""</f>
        <v/>
      </c>
    </row>
    <row r="1210" spans="2:18" x14ac:dyDescent="0.3">
      <c r="B1210" s="39">
        <v>46302</v>
      </c>
      <c r="C1210" s="4" t="str">
        <f>_xlfn.XLOOKUP(tblMovimientos[[#This Row],[Cuenta Bancaria]],Listas!$B:$B,Listas!$A:$A,"")</f>
        <v>A&amp;M Imports</v>
      </c>
      <c r="D1210" s="41" t="s">
        <v>100</v>
      </c>
      <c r="E1210" s="68" t="str">
        <f>_xlfn.XLOOKUP(tblMovimientos[[#This Row],[Cuenta Bancaria]],Listas!$B:$B,Listas!$C:$C,"")</f>
        <v>Bank of America</v>
      </c>
      <c r="F1210" s="41" t="s">
        <v>10</v>
      </c>
      <c r="G1210" s="41" t="s">
        <v>61</v>
      </c>
      <c r="H1210" s="4" t="str">
        <f>IFERROR(_xlfn.XLOOKUP(G1210,Listas!E:E,Listas!F:F,""),"")</f>
        <v>Operativo</v>
      </c>
      <c r="I1210" s="4" t="str">
        <f>IFERROR(_xlfn.XLOOKUP(G1210,Listas!E:E,Listas!G:G,""),"")</f>
        <v>Externo</v>
      </c>
      <c r="J1210" s="43">
        <v>60000</v>
      </c>
      <c r="K1210" s="5">
        <f t="shared" si="18"/>
        <v>-60000</v>
      </c>
      <c r="L1210" s="15" t="s">
        <v>134</v>
      </c>
      <c r="M1210" s="44">
        <f>SUMIFS('Saldos Iniciales'!$D:$D,'Saldos Iniciales'!$A:$A,C1210,'Saldos Iniciales'!$B:$B,D1210)+SUMIFS($K$1:$K$1324,$C$1:$C$1324,C1210,$D$1:$D$1324,D1210,$B$1:$B$1324,"&lt;="&amp;B1210)</f>
        <v>1026832.7999999996</v>
      </c>
      <c r="N1210" s="61" t="str">
        <f>IF(tblMovimientos[[#This Row],[Tipo de Movimiento]]="Ingreso",tblMovimientos[[#This Row],[Monto (S/)]],"0")</f>
        <v>0</v>
      </c>
      <c r="O1210" s="61">
        <f>IF(tblMovimientos[[#This Row],[Tipo de Movimiento]]="Egreso",tblMovimientos[[#This Row],[Monto (S/)]],"0")</f>
        <v>60000</v>
      </c>
      <c r="P1210" s="28">
        <f>IF(tblMovimientos[[#This Row],[Tipo de Movimiento]]="Ingreso",tblMovimientos[[#This Row],[Ingreso]],-tblMovimientos[[#This Row],[Egreso]])</f>
        <v>-60000</v>
      </c>
      <c r="Q1210" s="78" t="str">
        <f>_xlfn.XLOOKUP(tblMovimientos[[#This Row],[Cuenta Bancaria]],Cuentas!$C:$C,Cuentas!$A:$A,"")&amp;""</f>
        <v>SSP Group</v>
      </c>
      <c r="R1210" s="78" t="str">
        <f>_xlfn.XLOOKUP(tblMovimientos[[#This Row],[Cuenta Bancaria]],Cuentas!$C:$C,Cuentas!$B:$B,"",0,-1)&amp;""</f>
        <v/>
      </c>
    </row>
    <row r="1211" spans="2:18" x14ac:dyDescent="0.3">
      <c r="B1211" s="39">
        <v>46302</v>
      </c>
      <c r="C1211" s="4" t="str">
        <f>_xlfn.XLOOKUP(tblMovimientos[[#This Row],[Cuenta Bancaria]],Listas!$B:$B,Listas!$A:$A,"")</f>
        <v>A&amp;M Imports</v>
      </c>
      <c r="D1211" s="41" t="s">
        <v>100</v>
      </c>
      <c r="E1211" s="68" t="str">
        <f>_xlfn.XLOOKUP(tblMovimientos[[#This Row],[Cuenta Bancaria]],Listas!$B:$B,Listas!$C:$C,"")</f>
        <v>Bank of America</v>
      </c>
      <c r="F1211" s="41" t="s">
        <v>10</v>
      </c>
      <c r="G1211" s="41" t="s">
        <v>61</v>
      </c>
      <c r="H1211" s="4" t="str">
        <f>IFERROR(_xlfn.XLOOKUP(G1211,Listas!E:E,Listas!F:F,""),"")</f>
        <v>Operativo</v>
      </c>
      <c r="I1211" s="4" t="str">
        <f>IFERROR(_xlfn.XLOOKUP(G1211,Listas!E:E,Listas!G:G,""),"")</f>
        <v>Externo</v>
      </c>
      <c r="J1211" s="43">
        <v>80000</v>
      </c>
      <c r="K1211" s="5">
        <f t="shared" si="18"/>
        <v>-80000</v>
      </c>
      <c r="L1211" s="15" t="s">
        <v>134</v>
      </c>
      <c r="M1211" s="44">
        <f>SUMIFS('Saldos Iniciales'!$D:$D,'Saldos Iniciales'!$A:$A,C1211,'Saldos Iniciales'!$B:$B,D1211)+SUMIFS($K$1:$K$1324,$C$1:$C$1324,C1211,$D$1:$D$1324,D1211,$B$1:$B$1324,"&lt;="&amp;B1211)</f>
        <v>1026832.7999999996</v>
      </c>
      <c r="N1211" s="61" t="str">
        <f>IF(tblMovimientos[[#This Row],[Tipo de Movimiento]]="Ingreso",tblMovimientos[[#This Row],[Monto (S/)]],"0")</f>
        <v>0</v>
      </c>
      <c r="O1211" s="61">
        <f>IF(tblMovimientos[[#This Row],[Tipo de Movimiento]]="Egreso",tblMovimientos[[#This Row],[Monto (S/)]],"0")</f>
        <v>80000</v>
      </c>
      <c r="P1211" s="28">
        <f>IF(tblMovimientos[[#This Row],[Tipo de Movimiento]]="Ingreso",tblMovimientos[[#This Row],[Ingreso]],-tblMovimientos[[#This Row],[Egreso]])</f>
        <v>-80000</v>
      </c>
      <c r="Q1211" s="78" t="str">
        <f>_xlfn.XLOOKUP(tblMovimientos[[#This Row],[Cuenta Bancaria]],Cuentas!$C:$C,Cuentas!$A:$A,"")&amp;""</f>
        <v>SSP Group</v>
      </c>
      <c r="R1211" s="78" t="str">
        <f>_xlfn.XLOOKUP(tblMovimientos[[#This Row],[Cuenta Bancaria]],Cuentas!$C:$C,Cuentas!$B:$B,"",0,-1)&amp;""</f>
        <v/>
      </c>
    </row>
    <row r="1212" spans="2:18" x14ac:dyDescent="0.3">
      <c r="B1212" s="39">
        <v>46302</v>
      </c>
      <c r="C1212" s="4" t="str">
        <f>_xlfn.XLOOKUP(tblMovimientos[[#This Row],[Cuenta Bancaria]],Listas!$B:$B,Listas!$A:$A,"")</f>
        <v>A&amp;M Imports</v>
      </c>
      <c r="D1212" s="41" t="s">
        <v>100</v>
      </c>
      <c r="E1212" s="68" t="str">
        <f>_xlfn.XLOOKUP(tblMovimientos[[#This Row],[Cuenta Bancaria]],Listas!$B:$B,Listas!$C:$C,"")</f>
        <v>Bank of America</v>
      </c>
      <c r="F1212" s="41" t="s">
        <v>10</v>
      </c>
      <c r="G1212" s="41" t="s">
        <v>61</v>
      </c>
      <c r="H1212" s="4" t="str">
        <f>IFERROR(_xlfn.XLOOKUP(G1212,Listas!E:E,Listas!F:F,""),"")</f>
        <v>Operativo</v>
      </c>
      <c r="I1212" s="4" t="str">
        <f>IFERROR(_xlfn.XLOOKUP(G1212,Listas!E:E,Listas!G:G,""),"")</f>
        <v>Externo</v>
      </c>
      <c r="J1212" s="43">
        <v>33693.949999999997</v>
      </c>
      <c r="K1212" s="5">
        <f t="shared" si="18"/>
        <v>-33693.949999999997</v>
      </c>
      <c r="L1212" s="15" t="s">
        <v>134</v>
      </c>
      <c r="M1212" s="44">
        <f>SUMIFS('Saldos Iniciales'!$D:$D,'Saldos Iniciales'!$A:$A,C1212,'Saldos Iniciales'!$B:$B,D1212)+SUMIFS($K$1:$K$1324,$C$1:$C$1324,C1212,$D$1:$D$1324,D1212,$B$1:$B$1324,"&lt;="&amp;B1212)</f>
        <v>1026832.7999999996</v>
      </c>
      <c r="N1212" s="61" t="str">
        <f>IF(tblMovimientos[[#This Row],[Tipo de Movimiento]]="Ingreso",tblMovimientos[[#This Row],[Monto (S/)]],"0")</f>
        <v>0</v>
      </c>
      <c r="O1212" s="61">
        <f>IF(tblMovimientos[[#This Row],[Tipo de Movimiento]]="Egreso",tblMovimientos[[#This Row],[Monto (S/)]],"0")</f>
        <v>33693.949999999997</v>
      </c>
      <c r="P1212" s="28">
        <f>IF(tblMovimientos[[#This Row],[Tipo de Movimiento]]="Ingreso",tblMovimientos[[#This Row],[Ingreso]],-tblMovimientos[[#This Row],[Egreso]])</f>
        <v>-33693.949999999997</v>
      </c>
      <c r="Q1212" s="78" t="str">
        <f>_xlfn.XLOOKUP(tblMovimientos[[#This Row],[Cuenta Bancaria]],Cuentas!$C:$C,Cuentas!$A:$A,"")&amp;""</f>
        <v>SSP Group</v>
      </c>
      <c r="R1212" s="78" t="str">
        <f>_xlfn.XLOOKUP(tblMovimientos[[#This Row],[Cuenta Bancaria]],Cuentas!$C:$C,Cuentas!$B:$B,"",0,-1)&amp;""</f>
        <v/>
      </c>
    </row>
    <row r="1213" spans="2:18" x14ac:dyDescent="0.3">
      <c r="B1213" s="39">
        <v>46302</v>
      </c>
      <c r="C1213" s="4" t="str">
        <f>_xlfn.XLOOKUP(tblMovimientos[[#This Row],[Cuenta Bancaria]],Listas!$B:$B,Listas!$A:$A,"")</f>
        <v>CFT Group</v>
      </c>
      <c r="D1213" s="41" t="s">
        <v>95</v>
      </c>
      <c r="E1213" s="68" t="str">
        <f>_xlfn.XLOOKUP(tblMovimientos[[#This Row],[Cuenta Bancaria]],Listas!$B:$B,Listas!$C:$C,"")</f>
        <v xml:space="preserve">Amerant Bank </v>
      </c>
      <c r="F1213" s="41" t="s">
        <v>10</v>
      </c>
      <c r="G1213" s="41" t="s">
        <v>38</v>
      </c>
      <c r="H1213" s="4" t="str">
        <f>IFERROR(_xlfn.XLOOKUP(G1213,Listas!E:E,Listas!F:F,""),"")</f>
        <v>Operativo</v>
      </c>
      <c r="I1213" s="4" t="str">
        <f>IFERROR(_xlfn.XLOOKUP(G1213,Listas!E:E,Listas!G:G,""),"")</f>
        <v>Externo</v>
      </c>
      <c r="J1213" s="43">
        <v>5000</v>
      </c>
      <c r="K1213" s="5">
        <f t="shared" si="18"/>
        <v>-5000</v>
      </c>
      <c r="L1213" s="15" t="s">
        <v>134</v>
      </c>
      <c r="M1213" s="44">
        <f>SUMIFS('Saldos Iniciales'!$D:$D,'Saldos Iniciales'!$A:$A,C1213,'Saldos Iniciales'!$B:$B,D1213)+SUMIFS($K$1:$K$1324,$C$1:$C$1324,C1213,$D$1:$D$1324,D1213,$B$1:$B$1324,"&lt;="&amp;B1213)</f>
        <v>2806233.600000001</v>
      </c>
      <c r="N1213" s="61" t="str">
        <f>IF(tblMovimientos[[#This Row],[Tipo de Movimiento]]="Ingreso",tblMovimientos[[#This Row],[Monto (S/)]],"0")</f>
        <v>0</v>
      </c>
      <c r="O1213" s="61">
        <f>IF(tblMovimientos[[#This Row],[Tipo de Movimiento]]="Egreso",tblMovimientos[[#This Row],[Monto (S/)]],"0")</f>
        <v>5000</v>
      </c>
      <c r="P1213" s="28">
        <f>IF(tblMovimientos[[#This Row],[Tipo de Movimiento]]="Ingreso",tblMovimientos[[#This Row],[Ingreso]],-tblMovimientos[[#This Row],[Egreso]])</f>
        <v>-5000</v>
      </c>
      <c r="Q1213" s="78" t="str">
        <f>_xlfn.XLOOKUP(tblMovimientos[[#This Row],[Cuenta Bancaria]],Cuentas!$C:$C,Cuentas!$A:$A,"")&amp;""</f>
        <v>SSP Group</v>
      </c>
      <c r="R1213" s="78" t="str">
        <f>_xlfn.XLOOKUP(tblMovimientos[[#This Row],[Cuenta Bancaria]],Cuentas!$C:$C,Cuentas!$B:$B,"",0,-1)&amp;""</f>
        <v/>
      </c>
    </row>
    <row r="1214" spans="2:18" x14ac:dyDescent="0.3">
      <c r="B1214" s="39">
        <v>46302</v>
      </c>
      <c r="C1214" s="4" t="str">
        <f>_xlfn.XLOOKUP(tblMovimientos[[#This Row],[Cuenta Bancaria]],Listas!$B:$B,Listas!$A:$A,"")</f>
        <v>CFT Group</v>
      </c>
      <c r="D1214" s="41" t="s">
        <v>95</v>
      </c>
      <c r="E1214" s="68" t="str">
        <f>_xlfn.XLOOKUP(tblMovimientos[[#This Row],[Cuenta Bancaria]],Listas!$B:$B,Listas!$C:$C,"")</f>
        <v xml:space="preserve">Amerant Bank </v>
      </c>
      <c r="F1214" s="41" t="s">
        <v>10</v>
      </c>
      <c r="G1214" s="41" t="s">
        <v>46</v>
      </c>
      <c r="H1214" s="4" t="str">
        <f>IFERROR(_xlfn.XLOOKUP(G1214,Listas!E:E,Listas!F:F,""),"")</f>
        <v>Financiamiento</v>
      </c>
      <c r="I1214" s="4" t="str">
        <f>IFERROR(_xlfn.XLOOKUP(G1214,Listas!E:E,Listas!G:G,""),"")</f>
        <v>Externo</v>
      </c>
      <c r="J1214" s="43">
        <v>5827.11</v>
      </c>
      <c r="K1214" s="5">
        <f t="shared" si="18"/>
        <v>-5827.11</v>
      </c>
      <c r="L1214" s="15" t="s">
        <v>134</v>
      </c>
      <c r="M1214" s="44">
        <f>SUMIFS('Saldos Iniciales'!$D:$D,'Saldos Iniciales'!$A:$A,C1214,'Saldos Iniciales'!$B:$B,D1214)+SUMIFS($K$1:$K$1324,$C$1:$C$1324,C1214,$D$1:$D$1324,D1214,$B$1:$B$1324,"&lt;="&amp;B1214)</f>
        <v>2806233.600000001</v>
      </c>
      <c r="N1214" s="61" t="str">
        <f>IF(tblMovimientos[[#This Row],[Tipo de Movimiento]]="Ingreso",tblMovimientos[[#This Row],[Monto (S/)]],"0")</f>
        <v>0</v>
      </c>
      <c r="O1214" s="61">
        <f>IF(tblMovimientos[[#This Row],[Tipo de Movimiento]]="Egreso",tblMovimientos[[#This Row],[Monto (S/)]],"0")</f>
        <v>5827.11</v>
      </c>
      <c r="P1214" s="28">
        <f>IF(tblMovimientos[[#This Row],[Tipo de Movimiento]]="Ingreso",tblMovimientos[[#This Row],[Ingreso]],-tblMovimientos[[#This Row],[Egreso]])</f>
        <v>-5827.11</v>
      </c>
      <c r="Q1214" s="78" t="str">
        <f>_xlfn.XLOOKUP(tblMovimientos[[#This Row],[Cuenta Bancaria]],Cuentas!$C:$C,Cuentas!$A:$A,"")&amp;""</f>
        <v>SSP Group</v>
      </c>
      <c r="R1214" s="78" t="str">
        <f>_xlfn.XLOOKUP(tblMovimientos[[#This Row],[Cuenta Bancaria]],Cuentas!$C:$C,Cuentas!$B:$B,"",0,-1)&amp;""</f>
        <v/>
      </c>
    </row>
    <row r="1215" spans="2:18" x14ac:dyDescent="0.3">
      <c r="B1215" s="39">
        <v>46302</v>
      </c>
      <c r="C1215" s="4" t="str">
        <f>_xlfn.XLOOKUP(tblMovimientos[[#This Row],[Cuenta Bancaria]],Listas!$B:$B,Listas!$A:$A,"")</f>
        <v>CFT Group</v>
      </c>
      <c r="D1215" s="41" t="s">
        <v>95</v>
      </c>
      <c r="E1215" s="68" t="str">
        <f>_xlfn.XLOOKUP(tblMovimientos[[#This Row],[Cuenta Bancaria]],Listas!$B:$B,Listas!$C:$C,"")</f>
        <v xml:space="preserve">Amerant Bank </v>
      </c>
      <c r="F1215" s="41" t="s">
        <v>10</v>
      </c>
      <c r="G1215" s="41" t="s">
        <v>46</v>
      </c>
      <c r="H1215" s="4" t="str">
        <f>IFERROR(_xlfn.XLOOKUP(G1215,Listas!E:E,Listas!F:F,""),"")</f>
        <v>Financiamiento</v>
      </c>
      <c r="I1215" s="4" t="str">
        <f>IFERROR(_xlfn.XLOOKUP(G1215,Listas!E:E,Listas!G:G,""),"")</f>
        <v>Externo</v>
      </c>
      <c r="J1215" s="43">
        <v>22166.67</v>
      </c>
      <c r="K1215" s="5">
        <f t="shared" si="18"/>
        <v>-22166.67</v>
      </c>
      <c r="L1215" s="15" t="s">
        <v>134</v>
      </c>
      <c r="M1215" s="44">
        <f>SUMIFS('Saldos Iniciales'!$D:$D,'Saldos Iniciales'!$A:$A,C1215,'Saldos Iniciales'!$B:$B,D1215)+SUMIFS($K$1:$K$1324,$C$1:$C$1324,C1215,$D$1:$D$1324,D1215,$B$1:$B$1324,"&lt;="&amp;B1215)</f>
        <v>2806233.600000001</v>
      </c>
      <c r="N1215" s="61" t="str">
        <f>IF(tblMovimientos[[#This Row],[Tipo de Movimiento]]="Ingreso",tblMovimientos[[#This Row],[Monto (S/)]],"0")</f>
        <v>0</v>
      </c>
      <c r="O1215" s="61">
        <f>IF(tblMovimientos[[#This Row],[Tipo de Movimiento]]="Egreso",tblMovimientos[[#This Row],[Monto (S/)]],"0")</f>
        <v>22166.67</v>
      </c>
      <c r="P1215" s="28">
        <f>IF(tblMovimientos[[#This Row],[Tipo de Movimiento]]="Ingreso",tblMovimientos[[#This Row],[Ingreso]],-tblMovimientos[[#This Row],[Egreso]])</f>
        <v>-22166.67</v>
      </c>
      <c r="Q1215" s="78" t="str">
        <f>_xlfn.XLOOKUP(tblMovimientos[[#This Row],[Cuenta Bancaria]],Cuentas!$C:$C,Cuentas!$A:$A,"")&amp;""</f>
        <v>SSP Group</v>
      </c>
      <c r="R1215" s="78" t="str">
        <f>_xlfn.XLOOKUP(tblMovimientos[[#This Row],[Cuenta Bancaria]],Cuentas!$C:$C,Cuentas!$B:$B,"",0,-1)&amp;""</f>
        <v/>
      </c>
    </row>
    <row r="1216" spans="2:18" x14ac:dyDescent="0.3">
      <c r="B1216" s="39">
        <v>46302</v>
      </c>
      <c r="C1216" s="4" t="str">
        <f>_xlfn.XLOOKUP(tblMovimientos[[#This Row],[Cuenta Bancaria]],Listas!$B:$B,Listas!$A:$A,"")</f>
        <v>CFT Group</v>
      </c>
      <c r="D1216" s="41" t="s">
        <v>95</v>
      </c>
      <c r="E1216" s="68" t="str">
        <f>_xlfn.XLOOKUP(tblMovimientos[[#This Row],[Cuenta Bancaria]],Listas!$B:$B,Listas!$C:$C,"")</f>
        <v xml:space="preserve">Amerant Bank </v>
      </c>
      <c r="F1216" s="41" t="s">
        <v>10</v>
      </c>
      <c r="G1216" s="41" t="s">
        <v>46</v>
      </c>
      <c r="H1216" s="4" t="str">
        <f>IFERROR(_xlfn.XLOOKUP(G1216,Listas!E:E,Listas!F:F,""),"")</f>
        <v>Financiamiento</v>
      </c>
      <c r="I1216" s="4" t="str">
        <f>IFERROR(_xlfn.XLOOKUP(G1216,Listas!E:E,Listas!G:G,""),"")</f>
        <v>Externo</v>
      </c>
      <c r="J1216" s="43">
        <v>23333.33</v>
      </c>
      <c r="K1216" s="5">
        <f t="shared" si="18"/>
        <v>-23333.33</v>
      </c>
      <c r="L1216" s="15" t="s">
        <v>134</v>
      </c>
      <c r="M1216" s="44">
        <f>SUMIFS('Saldos Iniciales'!$D:$D,'Saldos Iniciales'!$A:$A,C1216,'Saldos Iniciales'!$B:$B,D1216)+SUMIFS($K$1:$K$1324,$C$1:$C$1324,C1216,$D$1:$D$1324,D1216,$B$1:$B$1324,"&lt;="&amp;B1216)</f>
        <v>2806233.600000001</v>
      </c>
      <c r="N1216" s="61" t="str">
        <f>IF(tblMovimientos[[#This Row],[Tipo de Movimiento]]="Ingreso",tblMovimientos[[#This Row],[Monto (S/)]],"0")</f>
        <v>0</v>
      </c>
      <c r="O1216" s="61">
        <f>IF(tblMovimientos[[#This Row],[Tipo de Movimiento]]="Egreso",tblMovimientos[[#This Row],[Monto (S/)]],"0")</f>
        <v>23333.33</v>
      </c>
      <c r="P1216" s="28">
        <f>IF(tblMovimientos[[#This Row],[Tipo de Movimiento]]="Ingreso",tblMovimientos[[#This Row],[Ingreso]],-tblMovimientos[[#This Row],[Egreso]])</f>
        <v>-23333.33</v>
      </c>
      <c r="Q1216" s="78" t="str">
        <f>_xlfn.XLOOKUP(tblMovimientos[[#This Row],[Cuenta Bancaria]],Cuentas!$C:$C,Cuentas!$A:$A,"")&amp;""</f>
        <v>SSP Group</v>
      </c>
      <c r="R1216" s="78" t="str">
        <f>_xlfn.XLOOKUP(tblMovimientos[[#This Row],[Cuenta Bancaria]],Cuentas!$C:$C,Cuentas!$B:$B,"",0,-1)&amp;""</f>
        <v/>
      </c>
    </row>
    <row r="1217" spans="2:18" x14ac:dyDescent="0.3">
      <c r="B1217" s="39">
        <v>46302</v>
      </c>
      <c r="C1217" s="4" t="str">
        <f>_xlfn.XLOOKUP(tblMovimientos[[#This Row],[Cuenta Bancaria]],Listas!$B:$B,Listas!$A:$A,"")</f>
        <v>CFT Group</v>
      </c>
      <c r="D1217" s="41" t="s">
        <v>95</v>
      </c>
      <c r="E1217" s="68" t="str">
        <f>_xlfn.XLOOKUP(tblMovimientos[[#This Row],[Cuenta Bancaria]],Listas!$B:$B,Listas!$C:$C,"")</f>
        <v xml:space="preserve">Amerant Bank </v>
      </c>
      <c r="F1217" s="41" t="s">
        <v>10</v>
      </c>
      <c r="G1217" s="41" t="s">
        <v>46</v>
      </c>
      <c r="H1217" s="4" t="str">
        <f>IFERROR(_xlfn.XLOOKUP(G1217,Listas!E:E,Listas!F:F,""),"")</f>
        <v>Financiamiento</v>
      </c>
      <c r="I1217" s="4" t="str">
        <f>IFERROR(_xlfn.XLOOKUP(G1217,Listas!E:E,Listas!G:G,""),"")</f>
        <v>Externo</v>
      </c>
      <c r="J1217" s="43">
        <v>56000</v>
      </c>
      <c r="K1217" s="5">
        <f t="shared" si="18"/>
        <v>-56000</v>
      </c>
      <c r="L1217" s="15" t="s">
        <v>134</v>
      </c>
      <c r="M1217" s="44">
        <f>SUMIFS('Saldos Iniciales'!$D:$D,'Saldos Iniciales'!$A:$A,C1217,'Saldos Iniciales'!$B:$B,D1217)+SUMIFS($K$1:$K$1324,$C$1:$C$1324,C1217,$D$1:$D$1324,D1217,$B$1:$B$1324,"&lt;="&amp;B1217)</f>
        <v>2806233.600000001</v>
      </c>
      <c r="N1217" s="61" t="str">
        <f>IF(tblMovimientos[[#This Row],[Tipo de Movimiento]]="Ingreso",tblMovimientos[[#This Row],[Monto (S/)]],"0")</f>
        <v>0</v>
      </c>
      <c r="O1217" s="61">
        <f>IF(tblMovimientos[[#This Row],[Tipo de Movimiento]]="Egreso",tblMovimientos[[#This Row],[Monto (S/)]],"0")</f>
        <v>56000</v>
      </c>
      <c r="P1217" s="28">
        <f>IF(tblMovimientos[[#This Row],[Tipo de Movimiento]]="Ingreso",tblMovimientos[[#This Row],[Ingreso]],-tblMovimientos[[#This Row],[Egreso]])</f>
        <v>-56000</v>
      </c>
      <c r="Q1217" s="78" t="str">
        <f>_xlfn.XLOOKUP(tblMovimientos[[#This Row],[Cuenta Bancaria]],Cuentas!$C:$C,Cuentas!$A:$A,"")&amp;""</f>
        <v>SSP Group</v>
      </c>
      <c r="R1217" s="78" t="str">
        <f>_xlfn.XLOOKUP(tblMovimientos[[#This Row],[Cuenta Bancaria]],Cuentas!$C:$C,Cuentas!$B:$B,"",0,-1)&amp;""</f>
        <v/>
      </c>
    </row>
    <row r="1218" spans="2:18" x14ac:dyDescent="0.3">
      <c r="B1218" s="39">
        <v>46302</v>
      </c>
      <c r="C1218" s="4" t="str">
        <f>_xlfn.XLOOKUP(tblMovimientos[[#This Row],[Cuenta Bancaria]],Listas!$B:$B,Listas!$A:$A,"")</f>
        <v>CFT Group</v>
      </c>
      <c r="D1218" s="41" t="s">
        <v>95</v>
      </c>
      <c r="E1218" s="68" t="str">
        <f>_xlfn.XLOOKUP(tblMovimientos[[#This Row],[Cuenta Bancaria]],Listas!$B:$B,Listas!$C:$C,"")</f>
        <v xml:space="preserve">Amerant Bank </v>
      </c>
      <c r="F1218" s="41" t="s">
        <v>10</v>
      </c>
      <c r="G1218" s="41" t="s">
        <v>46</v>
      </c>
      <c r="H1218" s="4" t="str">
        <f>IFERROR(_xlfn.XLOOKUP(G1218,Listas!E:E,Listas!F:F,""),"")</f>
        <v>Financiamiento</v>
      </c>
      <c r="I1218" s="4" t="str">
        <f>IFERROR(_xlfn.XLOOKUP(G1218,Listas!E:E,Listas!G:G,""),"")</f>
        <v>Externo</v>
      </c>
      <c r="J1218" s="43">
        <v>70000</v>
      </c>
      <c r="K1218" s="5">
        <f t="shared" ref="K1218:K1276" si="19">IF(F1218="Ingreso",J1218,-J1218)</f>
        <v>-70000</v>
      </c>
      <c r="L1218" s="15" t="s">
        <v>134</v>
      </c>
      <c r="M1218" s="44">
        <f>SUMIFS('Saldos Iniciales'!$D:$D,'Saldos Iniciales'!$A:$A,C1218,'Saldos Iniciales'!$B:$B,D1218)+SUMIFS($K$1:$K$1324,$C$1:$C$1324,C1218,$D$1:$D$1324,D1218,$B$1:$B$1324,"&lt;="&amp;B1218)</f>
        <v>2806233.600000001</v>
      </c>
      <c r="N1218" s="61" t="str">
        <f>IF(tblMovimientos[[#This Row],[Tipo de Movimiento]]="Ingreso",tblMovimientos[[#This Row],[Monto (S/)]],"0")</f>
        <v>0</v>
      </c>
      <c r="O1218" s="61">
        <f>IF(tblMovimientos[[#This Row],[Tipo de Movimiento]]="Egreso",tblMovimientos[[#This Row],[Monto (S/)]],"0")</f>
        <v>70000</v>
      </c>
      <c r="P1218" s="28">
        <f>IF(tblMovimientos[[#This Row],[Tipo de Movimiento]]="Ingreso",tblMovimientos[[#This Row],[Ingreso]],-tblMovimientos[[#This Row],[Egreso]])</f>
        <v>-70000</v>
      </c>
      <c r="Q1218" s="78" t="str">
        <f>_xlfn.XLOOKUP(tblMovimientos[[#This Row],[Cuenta Bancaria]],Cuentas!$C:$C,Cuentas!$A:$A,"")&amp;""</f>
        <v>SSP Group</v>
      </c>
      <c r="R1218" s="78" t="str">
        <f>_xlfn.XLOOKUP(tblMovimientos[[#This Row],[Cuenta Bancaria]],Cuentas!$C:$C,Cuentas!$B:$B,"",0,-1)&amp;""</f>
        <v/>
      </c>
    </row>
    <row r="1219" spans="2:18" x14ac:dyDescent="0.3">
      <c r="B1219" s="39">
        <v>46302</v>
      </c>
      <c r="C1219" s="4" t="str">
        <f>_xlfn.XLOOKUP(tblMovimientos[[#This Row],[Cuenta Bancaria]],Listas!$B:$B,Listas!$A:$A,"")</f>
        <v>CFT Group</v>
      </c>
      <c r="D1219" s="41" t="s">
        <v>95</v>
      </c>
      <c r="E1219" s="68" t="str">
        <f>_xlfn.XLOOKUP(tblMovimientos[[#This Row],[Cuenta Bancaria]],Listas!$B:$B,Listas!$C:$C,"")</f>
        <v xml:space="preserve">Amerant Bank </v>
      </c>
      <c r="F1219" s="41" t="s">
        <v>10</v>
      </c>
      <c r="G1219" s="41" t="s">
        <v>46</v>
      </c>
      <c r="H1219" s="4" t="str">
        <f>IFERROR(_xlfn.XLOOKUP(G1219,Listas!E:E,Listas!F:F,""),"")</f>
        <v>Financiamiento</v>
      </c>
      <c r="I1219" s="4" t="str">
        <f>IFERROR(_xlfn.XLOOKUP(G1219,Listas!E:E,Listas!G:G,""),"")</f>
        <v>Externo</v>
      </c>
      <c r="J1219" s="43">
        <v>82833.33</v>
      </c>
      <c r="K1219" s="5">
        <f t="shared" si="19"/>
        <v>-82833.33</v>
      </c>
      <c r="L1219" s="15" t="s">
        <v>134</v>
      </c>
      <c r="M1219" s="44">
        <f>SUMIFS('Saldos Iniciales'!$D:$D,'Saldos Iniciales'!$A:$A,C1219,'Saldos Iniciales'!$B:$B,D1219)+SUMIFS($K$1:$K$1324,$C$1:$C$1324,C1219,$D$1:$D$1324,D1219,$B$1:$B$1324,"&lt;="&amp;B1219)</f>
        <v>2806233.600000001</v>
      </c>
      <c r="N1219" s="61" t="str">
        <f>IF(tblMovimientos[[#This Row],[Tipo de Movimiento]]="Ingreso",tblMovimientos[[#This Row],[Monto (S/)]],"0")</f>
        <v>0</v>
      </c>
      <c r="O1219" s="61">
        <f>IF(tblMovimientos[[#This Row],[Tipo de Movimiento]]="Egreso",tblMovimientos[[#This Row],[Monto (S/)]],"0")</f>
        <v>82833.33</v>
      </c>
      <c r="P1219" s="28">
        <f>IF(tblMovimientos[[#This Row],[Tipo de Movimiento]]="Ingreso",tblMovimientos[[#This Row],[Ingreso]],-tblMovimientos[[#This Row],[Egreso]])</f>
        <v>-82833.33</v>
      </c>
      <c r="Q1219" s="78" t="str">
        <f>_xlfn.XLOOKUP(tblMovimientos[[#This Row],[Cuenta Bancaria]],Cuentas!$C:$C,Cuentas!$A:$A,"")&amp;""</f>
        <v>SSP Group</v>
      </c>
      <c r="R1219" s="78" t="str">
        <f>_xlfn.XLOOKUP(tblMovimientos[[#This Row],[Cuenta Bancaria]],Cuentas!$C:$C,Cuentas!$B:$B,"",0,-1)&amp;""</f>
        <v/>
      </c>
    </row>
    <row r="1220" spans="2:18" x14ac:dyDescent="0.3">
      <c r="B1220" s="39">
        <v>46302</v>
      </c>
      <c r="C1220" s="4" t="str">
        <f>_xlfn.XLOOKUP(tblMovimientos[[#This Row],[Cuenta Bancaria]],Listas!$B:$B,Listas!$A:$A,"")</f>
        <v>SSP Capital</v>
      </c>
      <c r="D1220" s="41" t="s">
        <v>104</v>
      </c>
      <c r="E1220" s="68" t="str">
        <f>_xlfn.XLOOKUP(tblMovimientos[[#This Row],[Cuenta Bancaria]],Listas!$B:$B,Listas!$C:$C,"")</f>
        <v xml:space="preserve">Amerant Bank </v>
      </c>
      <c r="F1220" s="41" t="s">
        <v>10</v>
      </c>
      <c r="G1220" s="41" t="s">
        <v>38</v>
      </c>
      <c r="H1220" s="4" t="str">
        <f>IFERROR(_xlfn.XLOOKUP(G1220,Listas!E:E,Listas!F:F,""),"")</f>
        <v>Operativo</v>
      </c>
      <c r="I1220" s="4" t="str">
        <f>IFERROR(_xlfn.XLOOKUP(G1220,Listas!E:E,Listas!G:G,""),"")</f>
        <v>Externo</v>
      </c>
      <c r="J1220" s="43">
        <v>9583.33</v>
      </c>
      <c r="K1220" s="5">
        <f t="shared" si="19"/>
        <v>-9583.33</v>
      </c>
      <c r="L1220" s="15" t="s">
        <v>134</v>
      </c>
      <c r="M1220" s="44">
        <f>SUMIFS('Saldos Iniciales'!$D:$D,'Saldos Iniciales'!$A:$A,C1220,'Saldos Iniciales'!$B:$B,D1220)+SUMIFS($K$1:$K$1324,$C$1:$C$1324,C1220,$D$1:$D$1324,D1220,$B$1:$B$1324,"&lt;="&amp;B1220)</f>
        <v>528406.08999999927</v>
      </c>
      <c r="N1220" s="61" t="str">
        <f>IF(tblMovimientos[[#This Row],[Tipo de Movimiento]]="Ingreso",tblMovimientos[[#This Row],[Monto (S/)]],"0")</f>
        <v>0</v>
      </c>
      <c r="O1220" s="61">
        <f>IF(tblMovimientos[[#This Row],[Tipo de Movimiento]]="Egreso",tblMovimientos[[#This Row],[Monto (S/)]],"0")</f>
        <v>9583.33</v>
      </c>
      <c r="P1220" s="28">
        <f>IF(tblMovimientos[[#This Row],[Tipo de Movimiento]]="Ingreso",tblMovimientos[[#This Row],[Ingreso]],-tblMovimientos[[#This Row],[Egreso]])</f>
        <v>-9583.33</v>
      </c>
      <c r="Q1220" s="78" t="str">
        <f>_xlfn.XLOOKUP(tblMovimientos[[#This Row],[Cuenta Bancaria]],Cuentas!$C:$C,Cuentas!$A:$A,"")&amp;""</f>
        <v>SSP Group</v>
      </c>
      <c r="R1220" s="78" t="str">
        <f>_xlfn.XLOOKUP(tblMovimientos[[#This Row],[Cuenta Bancaria]],Cuentas!$C:$C,Cuentas!$B:$B,"",0,-1)&amp;""</f>
        <v/>
      </c>
    </row>
    <row r="1221" spans="2:18" x14ac:dyDescent="0.3">
      <c r="B1221" s="39">
        <v>46302</v>
      </c>
      <c r="C1221" s="4" t="str">
        <f>_xlfn.XLOOKUP(tblMovimientos[[#This Row],[Cuenta Bancaria]],Listas!$B:$B,Listas!$A:$A,"")</f>
        <v>SSP Capital</v>
      </c>
      <c r="D1221" s="41" t="s">
        <v>104</v>
      </c>
      <c r="E1221" s="68" t="str">
        <f>_xlfn.XLOOKUP(tblMovimientos[[#This Row],[Cuenta Bancaria]],Listas!$B:$B,Listas!$C:$C,"")</f>
        <v xml:space="preserve">Amerant Bank </v>
      </c>
      <c r="F1221" s="41" t="s">
        <v>10</v>
      </c>
      <c r="G1221" s="41" t="s">
        <v>46</v>
      </c>
      <c r="H1221" s="4" t="str">
        <f>IFERROR(_xlfn.XLOOKUP(G1221,Listas!E:E,Listas!F:F,""),"")</f>
        <v>Financiamiento</v>
      </c>
      <c r="I1221" s="4" t="str">
        <f>IFERROR(_xlfn.XLOOKUP(G1221,Listas!E:E,Listas!G:G,""),"")</f>
        <v>Externo</v>
      </c>
      <c r="J1221" s="43">
        <v>53666.67</v>
      </c>
      <c r="K1221" s="5">
        <f t="shared" si="19"/>
        <v>-53666.67</v>
      </c>
      <c r="L1221" s="15" t="s">
        <v>134</v>
      </c>
      <c r="M1221" s="44">
        <f>SUMIFS('Saldos Iniciales'!$D:$D,'Saldos Iniciales'!$A:$A,C1221,'Saldos Iniciales'!$B:$B,D1221)+SUMIFS($K$1:$K$1324,$C$1:$C$1324,C1221,$D$1:$D$1324,D1221,$B$1:$B$1324,"&lt;="&amp;B1221)</f>
        <v>528406.08999999927</v>
      </c>
      <c r="N1221" s="61" t="str">
        <f>IF(tblMovimientos[[#This Row],[Tipo de Movimiento]]="Ingreso",tblMovimientos[[#This Row],[Monto (S/)]],"0")</f>
        <v>0</v>
      </c>
      <c r="O1221" s="61">
        <f>IF(tblMovimientos[[#This Row],[Tipo de Movimiento]]="Egreso",tblMovimientos[[#This Row],[Monto (S/)]],"0")</f>
        <v>53666.67</v>
      </c>
      <c r="P1221" s="28">
        <f>IF(tblMovimientos[[#This Row],[Tipo de Movimiento]]="Ingreso",tblMovimientos[[#This Row],[Ingreso]],-tblMovimientos[[#This Row],[Egreso]])</f>
        <v>-53666.67</v>
      </c>
      <c r="Q1221" s="78" t="str">
        <f>_xlfn.XLOOKUP(tblMovimientos[[#This Row],[Cuenta Bancaria]],Cuentas!$C:$C,Cuentas!$A:$A,"")&amp;""</f>
        <v>SSP Group</v>
      </c>
      <c r="R1221" s="78" t="str">
        <f>_xlfn.XLOOKUP(tblMovimientos[[#This Row],[Cuenta Bancaria]],Cuentas!$C:$C,Cuentas!$B:$B,"",0,-1)&amp;""</f>
        <v/>
      </c>
    </row>
    <row r="1222" spans="2:18" x14ac:dyDescent="0.3">
      <c r="B1222" s="39">
        <v>46302</v>
      </c>
      <c r="C1222" s="4" t="str">
        <f>_xlfn.XLOOKUP(tblMovimientos[[#This Row],[Cuenta Bancaria]],Listas!$B:$B,Listas!$A:$A,"")</f>
        <v>SSP Capital</v>
      </c>
      <c r="D1222" s="41" t="s">
        <v>104</v>
      </c>
      <c r="E1222" s="68" t="str">
        <f>_xlfn.XLOOKUP(tblMovimientos[[#This Row],[Cuenta Bancaria]],Listas!$B:$B,Listas!$C:$C,"")</f>
        <v xml:space="preserve">Amerant Bank </v>
      </c>
      <c r="F1222" s="41" t="s">
        <v>10</v>
      </c>
      <c r="G1222" s="41" t="s">
        <v>46</v>
      </c>
      <c r="H1222" s="4" t="str">
        <f>IFERROR(_xlfn.XLOOKUP(G1222,Listas!E:E,Listas!F:F,""),"")</f>
        <v>Financiamiento</v>
      </c>
      <c r="I1222" s="4" t="str">
        <f>IFERROR(_xlfn.XLOOKUP(G1222,Listas!E:E,Listas!G:G,""),"")</f>
        <v>Externo</v>
      </c>
      <c r="J1222" s="43">
        <v>134166.67000000001</v>
      </c>
      <c r="K1222" s="5">
        <f t="shared" si="19"/>
        <v>-134166.67000000001</v>
      </c>
      <c r="L1222" s="15" t="s">
        <v>134</v>
      </c>
      <c r="M1222" s="44">
        <f>SUMIFS('Saldos Iniciales'!$D:$D,'Saldos Iniciales'!$A:$A,C1222,'Saldos Iniciales'!$B:$B,D1222)+SUMIFS($K$1:$K$1324,$C$1:$C$1324,C1222,$D$1:$D$1324,D1222,$B$1:$B$1324,"&lt;="&amp;B1222)</f>
        <v>528406.08999999927</v>
      </c>
      <c r="N1222" s="61" t="str">
        <f>IF(tblMovimientos[[#This Row],[Tipo de Movimiento]]="Ingreso",tblMovimientos[[#This Row],[Monto (S/)]],"0")</f>
        <v>0</v>
      </c>
      <c r="O1222" s="61">
        <f>IF(tblMovimientos[[#This Row],[Tipo de Movimiento]]="Egreso",tblMovimientos[[#This Row],[Monto (S/)]],"0")</f>
        <v>134166.67000000001</v>
      </c>
      <c r="P1222" s="28">
        <f>IF(tblMovimientos[[#This Row],[Tipo de Movimiento]]="Ingreso",tblMovimientos[[#This Row],[Ingreso]],-tblMovimientos[[#This Row],[Egreso]])</f>
        <v>-134166.67000000001</v>
      </c>
      <c r="Q1222" s="78" t="str">
        <f>_xlfn.XLOOKUP(tblMovimientos[[#This Row],[Cuenta Bancaria]],Cuentas!$C:$C,Cuentas!$A:$A,"")&amp;""</f>
        <v>SSP Group</v>
      </c>
      <c r="R1222" s="78" t="str">
        <f>_xlfn.XLOOKUP(tblMovimientos[[#This Row],[Cuenta Bancaria]],Cuentas!$C:$C,Cuentas!$B:$B,"",0,-1)&amp;""</f>
        <v/>
      </c>
    </row>
    <row r="1223" spans="2:18" x14ac:dyDescent="0.3">
      <c r="B1223" s="39">
        <v>46302</v>
      </c>
      <c r="C1223" s="4" t="str">
        <f>_xlfn.XLOOKUP(tblMovimientos[[#This Row],[Cuenta Bancaria]],Listas!$B:$B,Listas!$A:$A,"")</f>
        <v>CFT1 Residence</v>
      </c>
      <c r="D1223" s="41" t="s">
        <v>184</v>
      </c>
      <c r="E1223" s="68" t="str">
        <f>_xlfn.XLOOKUP(tblMovimientos[[#This Row],[Cuenta Bancaria]],Listas!$B:$B,Listas!$C:$C,"")</f>
        <v xml:space="preserve">Amerant Bank </v>
      </c>
      <c r="F1223" s="41" t="s">
        <v>10</v>
      </c>
      <c r="G1223" s="41" t="s">
        <v>38</v>
      </c>
      <c r="H1223" s="4" t="str">
        <f>IFERROR(_xlfn.XLOOKUP(G1223,Listas!E:E,Listas!F:F,""),"")</f>
        <v>Operativo</v>
      </c>
      <c r="I1223" s="4" t="str">
        <f>IFERROR(_xlfn.XLOOKUP(G1223,Listas!E:E,Listas!G:G,""),"")</f>
        <v>Externo</v>
      </c>
      <c r="J1223" s="43">
        <v>30.44</v>
      </c>
      <c r="K1223" s="5">
        <f t="shared" si="19"/>
        <v>-30.44</v>
      </c>
      <c r="L1223" s="15" t="s">
        <v>134</v>
      </c>
      <c r="M1223" s="44">
        <f>SUMIFS('Saldos Iniciales'!$D:$D,'Saldos Iniciales'!$A:$A,C1223,'Saldos Iniciales'!$B:$B,D1223)+SUMIFS($K$1:$K$1324,$C$1:$C$1324,C1223,$D$1:$D$1324,D1223,$B$1:$B$1324,"&lt;="&amp;B1223)</f>
        <v>100299.90000000001</v>
      </c>
      <c r="N1223" s="61" t="str">
        <f>IF(tblMovimientos[[#This Row],[Tipo de Movimiento]]="Ingreso",tblMovimientos[[#This Row],[Monto (S/)]],"0")</f>
        <v>0</v>
      </c>
      <c r="O1223" s="61">
        <f>IF(tblMovimientos[[#This Row],[Tipo de Movimiento]]="Egreso",tblMovimientos[[#This Row],[Monto (S/)]],"0")</f>
        <v>30.44</v>
      </c>
      <c r="P1223" s="28">
        <f>IF(tblMovimientos[[#This Row],[Tipo de Movimiento]]="Ingreso",tblMovimientos[[#This Row],[Ingreso]],-tblMovimientos[[#This Row],[Egreso]])</f>
        <v>-30.44</v>
      </c>
      <c r="Q1223" s="78" t="str">
        <f>_xlfn.XLOOKUP(tblMovimientos[[#This Row],[Cuenta Bancaria]],Cuentas!$C:$C,Cuentas!$A:$A,"")&amp;""</f>
        <v>Carmen Cross Irrevocable Trust</v>
      </c>
      <c r="R1223" s="78" t="str">
        <f>_xlfn.XLOOKUP(tblMovimientos[[#This Row],[Cuenta Bancaria]],Cuentas!$C:$C,Cuentas!$B:$B,"",0,-1)&amp;""</f>
        <v/>
      </c>
    </row>
    <row r="1224" spans="2:18" x14ac:dyDescent="0.3">
      <c r="B1224" s="39">
        <v>46302</v>
      </c>
      <c r="C1224" s="4" t="str">
        <f>_xlfn.XLOOKUP(tblMovimientos[[#This Row],[Cuenta Bancaria]],Listas!$B:$B,Listas!$A:$A,"")</f>
        <v>CFT1 Residence</v>
      </c>
      <c r="D1224" s="41" t="s">
        <v>184</v>
      </c>
      <c r="E1224" s="68" t="str">
        <f>_xlfn.XLOOKUP(tblMovimientos[[#This Row],[Cuenta Bancaria]],Listas!$B:$B,Listas!$C:$C,"")</f>
        <v xml:space="preserve">Amerant Bank </v>
      </c>
      <c r="F1224" s="41" t="s">
        <v>10</v>
      </c>
      <c r="G1224" s="41" t="s">
        <v>38</v>
      </c>
      <c r="H1224" s="4" t="str">
        <f>IFERROR(_xlfn.XLOOKUP(G1224,Listas!E:E,Listas!F:F,""),"")</f>
        <v>Operativo</v>
      </c>
      <c r="I1224" s="4" t="str">
        <f>IFERROR(_xlfn.XLOOKUP(G1224,Listas!E:E,Listas!G:G,""),"")</f>
        <v>Externo</v>
      </c>
      <c r="J1224" s="43">
        <v>91.32</v>
      </c>
      <c r="K1224" s="5">
        <f t="shared" si="19"/>
        <v>-91.32</v>
      </c>
      <c r="L1224" s="15" t="s">
        <v>134</v>
      </c>
      <c r="M1224" s="44">
        <f>SUMIFS('Saldos Iniciales'!$D:$D,'Saldos Iniciales'!$A:$A,C1224,'Saldos Iniciales'!$B:$B,D1224)+SUMIFS($K$1:$K$1324,$C$1:$C$1324,C1224,$D$1:$D$1324,D1224,$B$1:$B$1324,"&lt;="&amp;B1224)</f>
        <v>100299.90000000001</v>
      </c>
      <c r="N1224" s="61" t="str">
        <f>IF(tblMovimientos[[#This Row],[Tipo de Movimiento]]="Ingreso",tblMovimientos[[#This Row],[Monto (S/)]],"0")</f>
        <v>0</v>
      </c>
      <c r="O1224" s="61">
        <f>IF(tblMovimientos[[#This Row],[Tipo de Movimiento]]="Egreso",tblMovimientos[[#This Row],[Monto (S/)]],"0")</f>
        <v>91.32</v>
      </c>
      <c r="P1224" s="28">
        <f>IF(tblMovimientos[[#This Row],[Tipo de Movimiento]]="Ingreso",tblMovimientos[[#This Row],[Ingreso]],-tblMovimientos[[#This Row],[Egreso]])</f>
        <v>-91.32</v>
      </c>
      <c r="Q1224" s="78" t="str">
        <f>_xlfn.XLOOKUP(tblMovimientos[[#This Row],[Cuenta Bancaria]],Cuentas!$C:$C,Cuentas!$A:$A,"")&amp;""</f>
        <v>Carmen Cross Irrevocable Trust</v>
      </c>
      <c r="R1224" s="78" t="str">
        <f>_xlfn.XLOOKUP(tblMovimientos[[#This Row],[Cuenta Bancaria]],Cuentas!$C:$C,Cuentas!$B:$B,"",0,-1)&amp;""</f>
        <v/>
      </c>
    </row>
    <row r="1225" spans="2:18" x14ac:dyDescent="0.3">
      <c r="B1225" s="39">
        <v>46302</v>
      </c>
      <c r="C1225" s="4" t="str">
        <f>_xlfn.XLOOKUP(tblMovimientos[[#This Row],[Cuenta Bancaria]],Listas!$B:$B,Listas!$A:$A,"")</f>
        <v>Prendamas SRL</v>
      </c>
      <c r="D1225" s="41" t="s">
        <v>186</v>
      </c>
      <c r="E1225" s="68" t="str">
        <f>_xlfn.XLOOKUP(tblMovimientos[[#This Row],[Cuenta Bancaria]],Listas!$B:$B,Listas!$C:$C,"")</f>
        <v xml:space="preserve">Amerant Bank </v>
      </c>
      <c r="F1225" s="41" t="s">
        <v>10</v>
      </c>
      <c r="G1225" s="41" t="s">
        <v>38</v>
      </c>
      <c r="H1225" s="4" t="str">
        <f>IFERROR(_xlfn.XLOOKUP(G1225,Listas!E:E,Listas!F:F,""),"")</f>
        <v>Operativo</v>
      </c>
      <c r="I1225" s="4" t="str">
        <f>IFERROR(_xlfn.XLOOKUP(G1225,Listas!E:E,Listas!G:G,""),"")</f>
        <v>Externo</v>
      </c>
      <c r="J1225" s="43">
        <v>36.5</v>
      </c>
      <c r="K1225" s="5">
        <f t="shared" si="19"/>
        <v>-36.5</v>
      </c>
      <c r="L1225" s="15" t="s">
        <v>134</v>
      </c>
      <c r="M1225" s="44">
        <f>SUMIFS('Saldos Iniciales'!$D:$D,'Saldos Iniciales'!$A:$A,C1225,'Saldos Iniciales'!$B:$B,D1225)+SUMIFS($K$1:$K$1324,$C$1:$C$1324,C1225,$D$1:$D$1324,D1225,$B$1:$B$1324,"&lt;="&amp;B1225)</f>
        <v>21397.339999999967</v>
      </c>
      <c r="N1225" s="61" t="str">
        <f>IF(tblMovimientos[[#This Row],[Tipo de Movimiento]]="Ingreso",tblMovimientos[[#This Row],[Monto (S/)]],"0")</f>
        <v>0</v>
      </c>
      <c r="O1225" s="61">
        <f>IF(tblMovimientos[[#This Row],[Tipo de Movimiento]]="Egreso",tblMovimientos[[#This Row],[Monto (S/)]],"0")</f>
        <v>36.5</v>
      </c>
      <c r="P1225" s="28">
        <f>IF(tblMovimientos[[#This Row],[Tipo de Movimiento]]="Ingreso",tblMovimientos[[#This Row],[Ingreso]],-tblMovimientos[[#This Row],[Egreso]])</f>
        <v>-36.5</v>
      </c>
      <c r="Q1225" s="78" t="str">
        <f>_xlfn.XLOOKUP(tblMovimientos[[#This Row],[Cuenta Bancaria]],Cuentas!$C:$C,Cuentas!$A:$A,"")&amp;""</f>
        <v>Unidades de Negocio</v>
      </c>
      <c r="R1225" s="78" t="str">
        <f>_xlfn.XLOOKUP(tblMovimientos[[#This Row],[Cuenta Bancaria]],Cuentas!$C:$C,Cuentas!$B:$B,"",0,-1)&amp;""</f>
        <v/>
      </c>
    </row>
    <row r="1226" spans="2:18" x14ac:dyDescent="0.3">
      <c r="B1226" s="39">
        <v>46302</v>
      </c>
      <c r="C1226" s="4" t="str">
        <f>_xlfn.XLOOKUP(tblMovimientos[[#This Row],[Cuenta Bancaria]],Listas!$B:$B,Listas!$A:$A,"")</f>
        <v>Prendamas SRL</v>
      </c>
      <c r="D1226" s="41" t="s">
        <v>186</v>
      </c>
      <c r="E1226" s="68" t="str">
        <f>_xlfn.XLOOKUP(tblMovimientos[[#This Row],[Cuenta Bancaria]],Listas!$B:$B,Listas!$C:$C,"")</f>
        <v xml:space="preserve">Amerant Bank </v>
      </c>
      <c r="F1226" s="41" t="s">
        <v>10</v>
      </c>
      <c r="G1226" s="41" t="s">
        <v>44</v>
      </c>
      <c r="H1226" s="4" t="str">
        <f>IFERROR(_xlfn.XLOOKUP(G1226,Listas!E:E,Listas!F:F,""),"")</f>
        <v>Operativo</v>
      </c>
      <c r="I1226" s="4" t="str">
        <f>IFERROR(_xlfn.XLOOKUP(G1226,Listas!E:E,Listas!G:G,""),"")</f>
        <v>Externo</v>
      </c>
      <c r="J1226" s="43">
        <v>1.1000000000000001</v>
      </c>
      <c r="K1226" s="5">
        <f t="shared" si="19"/>
        <v>-1.1000000000000001</v>
      </c>
      <c r="L1226" s="15" t="s">
        <v>134</v>
      </c>
      <c r="M1226" s="44">
        <f>SUMIFS('Saldos Iniciales'!$D:$D,'Saldos Iniciales'!$A:$A,C1226,'Saldos Iniciales'!$B:$B,D1226)+SUMIFS($K$1:$K$1324,$C$1:$C$1324,C1226,$D$1:$D$1324,D1226,$B$1:$B$1324,"&lt;="&amp;B1226)</f>
        <v>21397.339999999967</v>
      </c>
      <c r="N1226" s="61" t="str">
        <f>IF(tblMovimientos[[#This Row],[Tipo de Movimiento]]="Ingreso",tblMovimientos[[#This Row],[Monto (S/)]],"0")</f>
        <v>0</v>
      </c>
      <c r="O1226" s="61">
        <f>IF(tblMovimientos[[#This Row],[Tipo de Movimiento]]="Egreso",tblMovimientos[[#This Row],[Monto (S/)]],"0")</f>
        <v>1.1000000000000001</v>
      </c>
      <c r="P1226" s="28">
        <f>IF(tblMovimientos[[#This Row],[Tipo de Movimiento]]="Ingreso",tblMovimientos[[#This Row],[Ingreso]],-tblMovimientos[[#This Row],[Egreso]])</f>
        <v>-1.1000000000000001</v>
      </c>
      <c r="Q1226" s="78" t="str">
        <f>_xlfn.XLOOKUP(tblMovimientos[[#This Row],[Cuenta Bancaria]],Cuentas!$C:$C,Cuentas!$A:$A,"")&amp;""</f>
        <v>Unidades de Negocio</v>
      </c>
      <c r="R1226" s="78" t="str">
        <f>_xlfn.XLOOKUP(tblMovimientos[[#This Row],[Cuenta Bancaria]],Cuentas!$C:$C,Cuentas!$B:$B,"",0,-1)&amp;""</f>
        <v/>
      </c>
    </row>
    <row r="1227" spans="2:18" x14ac:dyDescent="0.3">
      <c r="B1227" s="39">
        <v>46302</v>
      </c>
      <c r="C1227" s="4" t="str">
        <f>_xlfn.XLOOKUP(tblMovimientos[[#This Row],[Cuenta Bancaria]],Listas!$B:$B,Listas!$A:$A,"")</f>
        <v>Don Cross Life</v>
      </c>
      <c r="D1227" s="41" t="s">
        <v>217</v>
      </c>
      <c r="E1227" s="68" t="str">
        <f>_xlfn.XLOOKUP(tblMovimientos[[#This Row],[Cuenta Bancaria]],Listas!$B:$B,Listas!$C:$C,"")</f>
        <v>Bank of America</v>
      </c>
      <c r="F1227" s="41" t="s">
        <v>9</v>
      </c>
      <c r="G1227" s="41" t="s">
        <v>69</v>
      </c>
      <c r="H1227" s="4" t="str">
        <f>IFERROR(_xlfn.XLOOKUP(G1227,Listas!E:E,Listas!F:F,""),"")</f>
        <v>Operativo</v>
      </c>
      <c r="I1227" s="4" t="str">
        <f>IFERROR(_xlfn.XLOOKUP(G1227,Listas!E:E,Listas!G:G,""),"")</f>
        <v>Interno</v>
      </c>
      <c r="J1227" s="43">
        <v>23333.33</v>
      </c>
      <c r="K1227" s="5">
        <f t="shared" si="19"/>
        <v>23333.33</v>
      </c>
      <c r="L1227" s="15" t="s">
        <v>134</v>
      </c>
      <c r="M1227" s="44">
        <f>SUMIFS('Saldos Iniciales'!$D:$D,'Saldos Iniciales'!$A:$A,C1227,'Saldos Iniciales'!$B:$B,D1227)+SUMIFS($K$1:$K$1324,$C$1:$C$1324,C1227,$D$1:$D$1324,D1227,$B$1:$B$1324,"&lt;="&amp;B1227)</f>
        <v>351319.16</v>
      </c>
      <c r="N1227" s="61">
        <f>IF(tblMovimientos[[#This Row],[Tipo de Movimiento]]="Ingreso",tblMovimientos[[#This Row],[Monto (S/)]],"0")</f>
        <v>23333.33</v>
      </c>
      <c r="O1227" s="61" t="str">
        <f>IF(tblMovimientos[[#This Row],[Tipo de Movimiento]]="Egreso",tblMovimientos[[#This Row],[Monto (S/)]],"0")</f>
        <v>0</v>
      </c>
      <c r="P1227" s="28">
        <f>IF(tblMovimientos[[#This Row],[Tipo de Movimiento]]="Ingreso",tblMovimientos[[#This Row],[Ingreso]],-tblMovimientos[[#This Row],[Egreso]])</f>
        <v>23333.33</v>
      </c>
      <c r="Q1227" s="78" t="str">
        <f>_xlfn.XLOOKUP(tblMovimientos[[#This Row],[Cuenta Bancaria]],Cuentas!$C:$C,Cuentas!$A:$A,"")&amp;""</f>
        <v/>
      </c>
      <c r="R1227" s="78" t="str">
        <f>_xlfn.XLOOKUP(tblMovimientos[[#This Row],[Cuenta Bancaria]],Cuentas!$C:$C,Cuentas!$B:$B,"",0,-1)&amp;""</f>
        <v>Trust</v>
      </c>
    </row>
    <row r="1228" spans="2:18" x14ac:dyDescent="0.3">
      <c r="B1228" s="39">
        <v>46303</v>
      </c>
      <c r="C1228" s="4" t="str">
        <f>_xlfn.XLOOKUP(tblMovimientos[[#This Row],[Cuenta Bancaria]],Listas!$B:$B,Listas!$A:$A,"")</f>
        <v>SSP Capital</v>
      </c>
      <c r="D1228" s="41" t="s">
        <v>104</v>
      </c>
      <c r="E1228" s="68" t="str">
        <f>_xlfn.XLOOKUP(tblMovimientos[[#This Row],[Cuenta Bancaria]],Listas!$B:$B,Listas!$C:$C,"")</f>
        <v xml:space="preserve">Amerant Bank </v>
      </c>
      <c r="F1228" s="41" t="s">
        <v>10</v>
      </c>
      <c r="G1228" s="41" t="s">
        <v>44</v>
      </c>
      <c r="H1228" s="4" t="str">
        <f>IFERROR(_xlfn.XLOOKUP(G1228,Listas!E:E,Listas!F:F,""),"")</f>
        <v>Operativo</v>
      </c>
      <c r="I1228" s="4" t="str">
        <f>IFERROR(_xlfn.XLOOKUP(G1228,Listas!E:E,Listas!G:G,""),"")</f>
        <v>Externo</v>
      </c>
      <c r="J1228" s="43">
        <v>2240.34</v>
      </c>
      <c r="K1228" s="5">
        <f t="shared" si="19"/>
        <v>-2240.34</v>
      </c>
      <c r="L1228" s="15" t="s">
        <v>134</v>
      </c>
      <c r="M1228" s="44">
        <f>SUMIFS('Saldos Iniciales'!$D:$D,'Saldos Iniciales'!$A:$A,C1228,'Saldos Iniciales'!$B:$B,D1228)+SUMIFS($K$1:$K$1324,$C$1:$C$1324,C1228,$D$1:$D$1324,D1228,$B$1:$B$1324,"&lt;="&amp;B1228)</f>
        <v>526165.7499999993</v>
      </c>
      <c r="N1228" s="61" t="str">
        <f>IF(tblMovimientos[[#This Row],[Tipo de Movimiento]]="Ingreso",tblMovimientos[[#This Row],[Monto (S/)]],"0")</f>
        <v>0</v>
      </c>
      <c r="O1228" s="61">
        <f>IF(tblMovimientos[[#This Row],[Tipo de Movimiento]]="Egreso",tblMovimientos[[#This Row],[Monto (S/)]],"0")</f>
        <v>2240.34</v>
      </c>
      <c r="P1228" s="28">
        <f>IF(tblMovimientos[[#This Row],[Tipo de Movimiento]]="Ingreso",tblMovimientos[[#This Row],[Ingreso]],-tblMovimientos[[#This Row],[Egreso]])</f>
        <v>-2240.34</v>
      </c>
      <c r="Q1228" s="78" t="str">
        <f>_xlfn.XLOOKUP(tblMovimientos[[#This Row],[Cuenta Bancaria]],Cuentas!$C:$C,Cuentas!$A:$A,"")&amp;""</f>
        <v>SSP Group</v>
      </c>
      <c r="R1228" s="78" t="str">
        <f>_xlfn.XLOOKUP(tblMovimientos[[#This Row],[Cuenta Bancaria]],Cuentas!$C:$C,Cuentas!$B:$B,"",0,-1)&amp;""</f>
        <v/>
      </c>
    </row>
    <row r="1229" spans="2:18" x14ac:dyDescent="0.3">
      <c r="B1229" s="39">
        <v>46303</v>
      </c>
      <c r="C1229" s="4" t="str">
        <f>_xlfn.XLOOKUP(tblMovimientos[[#This Row],[Cuenta Bancaria]],Listas!$B:$B,Listas!$A:$A,"")</f>
        <v>CFT1 Residence</v>
      </c>
      <c r="D1229" s="41" t="s">
        <v>184</v>
      </c>
      <c r="E1229" s="68" t="str">
        <f>_xlfn.XLOOKUP(tblMovimientos[[#This Row],[Cuenta Bancaria]],Listas!$B:$B,Listas!$C:$C,"")</f>
        <v xml:space="preserve">Amerant Bank </v>
      </c>
      <c r="F1229" s="41" t="s">
        <v>9</v>
      </c>
      <c r="G1229" s="41" t="s">
        <v>82</v>
      </c>
      <c r="H1229" s="4" t="str">
        <f>IFERROR(_xlfn.XLOOKUP(G1229,Listas!E:E,Listas!F:F,""),"")</f>
        <v>Operativo</v>
      </c>
      <c r="I1229" s="4" t="str">
        <f>IFERROR(_xlfn.XLOOKUP(G1229,Listas!E:E,Listas!G:G,""),"")</f>
        <v>Externo</v>
      </c>
      <c r="J1229" s="43">
        <v>44.19</v>
      </c>
      <c r="K1229" s="5">
        <f t="shared" si="19"/>
        <v>44.19</v>
      </c>
      <c r="L1229" s="15" t="s">
        <v>134</v>
      </c>
      <c r="M1229" s="44">
        <f>SUMIFS('Saldos Iniciales'!$D:$D,'Saldos Iniciales'!$A:$A,C1229,'Saldos Iniciales'!$B:$B,D1229)+SUMIFS($K$1:$K$1324,$C$1:$C$1324,C1229,$D$1:$D$1324,D1229,$B$1:$B$1324,"&lt;="&amp;B1229)</f>
        <v>100344.09000000001</v>
      </c>
      <c r="N1229" s="61">
        <f>IF(tblMovimientos[[#This Row],[Tipo de Movimiento]]="Ingreso",tblMovimientos[[#This Row],[Monto (S/)]],"0")</f>
        <v>44.19</v>
      </c>
      <c r="O1229" s="61" t="str">
        <f>IF(tblMovimientos[[#This Row],[Tipo de Movimiento]]="Egreso",tblMovimientos[[#This Row],[Monto (S/)]],"0")</f>
        <v>0</v>
      </c>
      <c r="P1229" s="28">
        <f>IF(tblMovimientos[[#This Row],[Tipo de Movimiento]]="Ingreso",tblMovimientos[[#This Row],[Ingreso]],-tblMovimientos[[#This Row],[Egreso]])</f>
        <v>44.19</v>
      </c>
      <c r="Q1229" s="78" t="str">
        <f>_xlfn.XLOOKUP(tblMovimientos[[#This Row],[Cuenta Bancaria]],Cuentas!$C:$C,Cuentas!$A:$A,"")&amp;""</f>
        <v>Carmen Cross Irrevocable Trust</v>
      </c>
      <c r="R1229" s="78" t="str">
        <f>_xlfn.XLOOKUP(tblMovimientos[[#This Row],[Cuenta Bancaria]],Cuentas!$C:$C,Cuentas!$B:$B,"",0,-1)&amp;""</f>
        <v/>
      </c>
    </row>
    <row r="1230" spans="2:18" x14ac:dyDescent="0.3">
      <c r="B1230" s="39">
        <v>46304</v>
      </c>
      <c r="C1230" s="4" t="str">
        <f>_xlfn.XLOOKUP(tblMovimientos[[#This Row],[Cuenta Bancaria]],Listas!$B:$B,Listas!$A:$A,"")</f>
        <v>SSP Capital</v>
      </c>
      <c r="D1230" s="41" t="s">
        <v>101</v>
      </c>
      <c r="E1230" s="68" t="str">
        <f>_xlfn.XLOOKUP(tblMovimientos[[#This Row],[Cuenta Bancaria]],Listas!$B:$B,Listas!$C:$C,"")</f>
        <v>Bank of America</v>
      </c>
      <c r="F1230" s="41" t="s">
        <v>10</v>
      </c>
      <c r="G1230" s="41" t="s">
        <v>38</v>
      </c>
      <c r="H1230" s="4" t="str">
        <f>IFERROR(_xlfn.XLOOKUP(G1230,Listas!E:E,Listas!F:F,""),"")</f>
        <v>Operativo</v>
      </c>
      <c r="I1230" s="4" t="str">
        <f>IFERROR(_xlfn.XLOOKUP(G1230,Listas!E:E,Listas!G:G,""),"")</f>
        <v>Externo</v>
      </c>
      <c r="J1230" s="43">
        <v>1291.6500000000001</v>
      </c>
      <c r="K1230" s="5">
        <f t="shared" si="19"/>
        <v>-1291.6500000000001</v>
      </c>
      <c r="L1230" s="15" t="s">
        <v>134</v>
      </c>
      <c r="M1230" s="44">
        <f>SUMIFS('Saldos Iniciales'!$D:$D,'Saldos Iniciales'!$A:$A,C1230,'Saldos Iniciales'!$B:$B,D1230)+SUMIFS($K$1:$K$1324,$C$1:$C$1324,C1230,$D$1:$D$1324,D1230,$B$1:$B$1324,"&lt;="&amp;B1230)</f>
        <v>26747.62000000001</v>
      </c>
      <c r="N1230" s="61" t="str">
        <f>IF(tblMovimientos[[#This Row],[Tipo de Movimiento]]="Ingreso",tblMovimientos[[#This Row],[Monto (S/)]],"0")</f>
        <v>0</v>
      </c>
      <c r="O1230" s="61">
        <f>IF(tblMovimientos[[#This Row],[Tipo de Movimiento]]="Egreso",tblMovimientos[[#This Row],[Monto (S/)]],"0")</f>
        <v>1291.6500000000001</v>
      </c>
      <c r="P1230" s="28">
        <f>IF(tblMovimientos[[#This Row],[Tipo de Movimiento]]="Ingreso",tblMovimientos[[#This Row],[Ingreso]],-tblMovimientos[[#This Row],[Egreso]])</f>
        <v>-1291.6500000000001</v>
      </c>
      <c r="Q1230" s="78" t="str">
        <f>_xlfn.XLOOKUP(tblMovimientos[[#This Row],[Cuenta Bancaria]],Cuentas!$C:$C,Cuentas!$A:$A,"")&amp;""</f>
        <v>SSP Group</v>
      </c>
      <c r="R1230" s="78" t="str">
        <f>_xlfn.XLOOKUP(tblMovimientos[[#This Row],[Cuenta Bancaria]],Cuentas!$C:$C,Cuentas!$B:$B,"",0,-1)&amp;""</f>
        <v/>
      </c>
    </row>
    <row r="1231" spans="2:18" x14ac:dyDescent="0.3">
      <c r="B1231" s="39">
        <v>46275</v>
      </c>
      <c r="C1231" s="4" t="str">
        <f>_xlfn.XLOOKUP(tblMovimientos[[#This Row],[Cuenta Bancaria]],Listas!$B:$B,Listas!$A:$A,"")</f>
        <v>Don Cross Life</v>
      </c>
      <c r="D1231" s="41" t="s">
        <v>217</v>
      </c>
      <c r="E1231" s="68" t="str">
        <f>_xlfn.XLOOKUP(tblMovimientos[[#This Row],[Cuenta Bancaria]],Listas!$B:$B,Listas!$C:$C,"")</f>
        <v>Bank of America</v>
      </c>
      <c r="F1231" s="41" t="s">
        <v>9</v>
      </c>
      <c r="G1231" s="41" t="s">
        <v>69</v>
      </c>
      <c r="H1231" s="4" t="str">
        <f>IFERROR(_xlfn.XLOOKUP(G1231,Listas!E:E,Listas!F:F,""),"")</f>
        <v>Operativo</v>
      </c>
      <c r="I1231" s="4" t="str">
        <f>IFERROR(_xlfn.XLOOKUP(G1231,Listas!E:E,Listas!G:G,""),"")</f>
        <v>Interno</v>
      </c>
      <c r="J1231" s="43">
        <v>24111.11</v>
      </c>
      <c r="K1231" s="5">
        <f t="shared" si="19"/>
        <v>24111.11</v>
      </c>
      <c r="L1231" s="15" t="s">
        <v>134</v>
      </c>
      <c r="M1231" s="44">
        <f>SUMIFS('Saldos Iniciales'!$D:$D,'Saldos Iniciales'!$A:$A,C1231,'Saldos Iniciales'!$B:$B,D1231)+SUMIFS($K$1:$K$1324,$C$1:$C$1324,C1231,$D$1:$D$1324,D1231,$B$1:$B$1324,"&lt;="&amp;B1231)</f>
        <v>327985.82999999996</v>
      </c>
      <c r="N1231" s="61">
        <f>IF(tblMovimientos[[#This Row],[Tipo de Movimiento]]="Ingreso",tblMovimientos[[#This Row],[Monto (S/)]],"0")</f>
        <v>24111.11</v>
      </c>
      <c r="O1231" s="61" t="str">
        <f>IF(tblMovimientos[[#This Row],[Tipo de Movimiento]]="Egreso",tblMovimientos[[#This Row],[Monto (S/)]],"0")</f>
        <v>0</v>
      </c>
      <c r="P1231" s="28">
        <f>IF(tblMovimientos[[#This Row],[Tipo de Movimiento]]="Ingreso",tblMovimientos[[#This Row],[Ingreso]],-tblMovimientos[[#This Row],[Egreso]])</f>
        <v>24111.11</v>
      </c>
      <c r="Q1231" s="78" t="str">
        <f>_xlfn.XLOOKUP(tblMovimientos[[#This Row],[Cuenta Bancaria]],Cuentas!$C:$C,Cuentas!$A:$A,"")&amp;""</f>
        <v/>
      </c>
      <c r="R1231" s="78" t="str">
        <f>_xlfn.XLOOKUP(tblMovimientos[[#This Row],[Cuenta Bancaria]],Cuentas!$C:$C,Cuentas!$B:$B,"",0,-1)&amp;""</f>
        <v>Trust</v>
      </c>
    </row>
    <row r="1232" spans="2:18" x14ac:dyDescent="0.3">
      <c r="B1232" s="39">
        <v>46305</v>
      </c>
      <c r="C1232" s="4" t="str">
        <f>_xlfn.XLOOKUP(tblMovimientos[[#This Row],[Cuenta Bancaria]],Listas!$B:$B,Listas!$A:$A,"")</f>
        <v>CFT1 Residence</v>
      </c>
      <c r="D1232" s="41" t="s">
        <v>188</v>
      </c>
      <c r="E1232" s="68" t="str">
        <f>_xlfn.XLOOKUP(tblMovimientos[[#This Row],[Cuenta Bancaria]],Listas!$B:$B,Listas!$C:$C,"")</f>
        <v xml:space="preserve">Amerant Bank </v>
      </c>
      <c r="F1232" s="41" t="s">
        <v>10</v>
      </c>
      <c r="G1232" s="41" t="s">
        <v>38</v>
      </c>
      <c r="H1232" s="4" t="str">
        <f>IFERROR(_xlfn.XLOOKUP(G1232,Listas!E:E,Listas!F:F,""),"")</f>
        <v>Operativo</v>
      </c>
      <c r="I1232" s="4" t="str">
        <f>IFERROR(_xlfn.XLOOKUP(G1232,Listas!E:E,Listas!G:G,""),"")</f>
        <v>Externo</v>
      </c>
      <c r="J1232" s="43">
        <v>10.86</v>
      </c>
      <c r="K1232" s="5">
        <f t="shared" si="19"/>
        <v>-10.86</v>
      </c>
      <c r="L1232" s="15" t="s">
        <v>134</v>
      </c>
      <c r="M1232" s="44">
        <f>SUMIFS('Saldos Iniciales'!$D:$D,'Saldos Iniciales'!$A:$A,C1232,'Saldos Iniciales'!$B:$B,D1232)+SUMIFS($K$1:$K$1324,$C$1:$C$1324,C1232,$D$1:$D$1324,D1232,$B$1:$B$1324,"&lt;="&amp;B1232)</f>
        <v>1336.7599999999998</v>
      </c>
      <c r="N1232" s="61" t="str">
        <f>IF(tblMovimientos[[#This Row],[Tipo de Movimiento]]="Ingreso",tblMovimientos[[#This Row],[Monto (S/)]],"0")</f>
        <v>0</v>
      </c>
      <c r="O1232" s="61">
        <f>IF(tblMovimientos[[#This Row],[Tipo de Movimiento]]="Egreso",tblMovimientos[[#This Row],[Monto (S/)]],"0")</f>
        <v>10.86</v>
      </c>
      <c r="P1232" s="28">
        <f>IF(tblMovimientos[[#This Row],[Tipo de Movimiento]]="Ingreso",tblMovimientos[[#This Row],[Ingreso]],-tblMovimientos[[#This Row],[Egreso]])</f>
        <v>-10.86</v>
      </c>
      <c r="Q1232" s="78" t="str">
        <f>_xlfn.XLOOKUP(tblMovimientos[[#This Row],[Cuenta Bancaria]],Cuentas!$C:$C,Cuentas!$A:$A,"")&amp;""</f>
        <v>Carmen Cross Irrevocable Trust</v>
      </c>
      <c r="R1232" s="78" t="str">
        <f>_xlfn.XLOOKUP(tblMovimientos[[#This Row],[Cuenta Bancaria]],Cuentas!$C:$C,Cuentas!$B:$B,"",0,-1)&amp;""</f>
        <v/>
      </c>
    </row>
    <row r="1233" spans="2:18" x14ac:dyDescent="0.3">
      <c r="B1233" s="39">
        <v>46305</v>
      </c>
      <c r="C1233" s="4" t="str">
        <f>_xlfn.XLOOKUP(tblMovimientos[[#This Row],[Cuenta Bancaria]],Listas!$B:$B,Listas!$A:$A,"")</f>
        <v>SSP Capital</v>
      </c>
      <c r="D1233" s="41" t="s">
        <v>104</v>
      </c>
      <c r="E1233" s="68" t="str">
        <f>_xlfn.XLOOKUP(tblMovimientos[[#This Row],[Cuenta Bancaria]],Listas!$B:$B,Listas!$C:$C,"")</f>
        <v xml:space="preserve">Amerant Bank </v>
      </c>
      <c r="F1233" s="41" t="s">
        <v>10</v>
      </c>
      <c r="G1233" s="41" t="s">
        <v>39</v>
      </c>
      <c r="H1233" s="4" t="str">
        <f>IFERROR(_xlfn.XLOOKUP(G1233,Listas!E:E,Listas!F:F,""),"")</f>
        <v>Operativo</v>
      </c>
      <c r="I1233" s="4" t="str">
        <f>IFERROR(_xlfn.XLOOKUP(G1233,Listas!E:E,Listas!G:G,""),"")</f>
        <v>Externo</v>
      </c>
      <c r="J1233" s="43">
        <v>37042.5</v>
      </c>
      <c r="K1233" s="5">
        <f t="shared" si="19"/>
        <v>-37042.5</v>
      </c>
      <c r="L1233" s="15" t="s">
        <v>134</v>
      </c>
      <c r="M1233" s="44">
        <f>SUMIFS('Saldos Iniciales'!$D:$D,'Saldos Iniciales'!$A:$A,C1233,'Saldos Iniciales'!$B:$B,D1233)+SUMIFS($K$1:$K$1324,$C$1:$C$1324,C1233,$D$1:$D$1324,D1233,$B$1:$B$1324,"&lt;="&amp;B1233)</f>
        <v>489123.24999999924</v>
      </c>
      <c r="N1233" s="61" t="str">
        <f>IF(tblMovimientos[[#This Row],[Tipo de Movimiento]]="Ingreso",tblMovimientos[[#This Row],[Monto (S/)]],"0")</f>
        <v>0</v>
      </c>
      <c r="O1233" s="61">
        <f>IF(tblMovimientos[[#This Row],[Tipo de Movimiento]]="Egreso",tblMovimientos[[#This Row],[Monto (S/)]],"0")</f>
        <v>37042.5</v>
      </c>
      <c r="P1233" s="28">
        <f>IF(tblMovimientos[[#This Row],[Tipo de Movimiento]]="Ingreso",tblMovimientos[[#This Row],[Ingreso]],-tblMovimientos[[#This Row],[Egreso]])</f>
        <v>-37042.5</v>
      </c>
      <c r="Q1233" s="78" t="str">
        <f>_xlfn.XLOOKUP(tblMovimientos[[#This Row],[Cuenta Bancaria]],Cuentas!$C:$C,Cuentas!$A:$A,"")&amp;""</f>
        <v>SSP Group</v>
      </c>
      <c r="R1233" s="78" t="str">
        <f>_xlfn.XLOOKUP(tblMovimientos[[#This Row],[Cuenta Bancaria]],Cuentas!$C:$C,Cuentas!$B:$B,"",0,-1)&amp;""</f>
        <v/>
      </c>
    </row>
    <row r="1234" spans="2:18" x14ac:dyDescent="0.3">
      <c r="B1234" s="39">
        <v>46305</v>
      </c>
      <c r="C1234" s="4" t="str">
        <f>_xlfn.XLOOKUP(tblMovimientos[[#This Row],[Cuenta Bancaria]],Listas!$B:$B,Listas!$A:$A,"")</f>
        <v>CFT1 Residence</v>
      </c>
      <c r="D1234" s="41" t="s">
        <v>184</v>
      </c>
      <c r="E1234" s="68" t="str">
        <f>_xlfn.XLOOKUP(tblMovimientos[[#This Row],[Cuenta Bancaria]],Listas!$B:$B,Listas!$C:$C,"")</f>
        <v xml:space="preserve">Amerant Bank </v>
      </c>
      <c r="F1234" s="41" t="s">
        <v>10</v>
      </c>
      <c r="G1234" s="41" t="s">
        <v>38</v>
      </c>
      <c r="H1234" s="4" t="str">
        <f>IFERROR(_xlfn.XLOOKUP(G1234,Listas!E:E,Listas!F:F,""),"")</f>
        <v>Operativo</v>
      </c>
      <c r="I1234" s="4" t="str">
        <f>IFERROR(_xlfn.XLOOKUP(G1234,Listas!E:E,Listas!G:G,""),"")</f>
        <v>Externo</v>
      </c>
      <c r="J1234" s="43">
        <v>55.44</v>
      </c>
      <c r="K1234" s="5">
        <f t="shared" si="19"/>
        <v>-55.44</v>
      </c>
      <c r="L1234" s="15" t="s">
        <v>134</v>
      </c>
      <c r="M1234" s="44">
        <f>SUMIFS('Saldos Iniciales'!$D:$D,'Saldos Iniciales'!$A:$A,C1234,'Saldos Iniciales'!$B:$B,D1234)+SUMIFS($K$1:$K$1324,$C$1:$C$1324,C1234,$D$1:$D$1324,D1234,$B$1:$B$1324,"&lt;="&amp;B1234)</f>
        <v>99795.63</v>
      </c>
      <c r="N1234" s="61" t="str">
        <f>IF(tblMovimientos[[#This Row],[Tipo de Movimiento]]="Ingreso",tblMovimientos[[#This Row],[Monto (S/)]],"0")</f>
        <v>0</v>
      </c>
      <c r="O1234" s="61">
        <f>IF(tblMovimientos[[#This Row],[Tipo de Movimiento]]="Egreso",tblMovimientos[[#This Row],[Monto (S/)]],"0")</f>
        <v>55.44</v>
      </c>
      <c r="P1234" s="28">
        <f>IF(tblMovimientos[[#This Row],[Tipo de Movimiento]]="Ingreso",tblMovimientos[[#This Row],[Ingreso]],-tblMovimientos[[#This Row],[Egreso]])</f>
        <v>-55.44</v>
      </c>
      <c r="Q1234" s="78" t="str">
        <f>_xlfn.XLOOKUP(tblMovimientos[[#This Row],[Cuenta Bancaria]],Cuentas!$C:$C,Cuentas!$A:$A,"")&amp;""</f>
        <v>Carmen Cross Irrevocable Trust</v>
      </c>
      <c r="R1234" s="78" t="str">
        <f>_xlfn.XLOOKUP(tblMovimientos[[#This Row],[Cuenta Bancaria]],Cuentas!$C:$C,Cuentas!$B:$B,"",0,-1)&amp;""</f>
        <v/>
      </c>
    </row>
    <row r="1235" spans="2:18" x14ac:dyDescent="0.3">
      <c r="B1235" s="39">
        <v>46305</v>
      </c>
      <c r="C1235" s="4" t="str">
        <f>_xlfn.XLOOKUP(tblMovimientos[[#This Row],[Cuenta Bancaria]],Listas!$B:$B,Listas!$A:$A,"")</f>
        <v>CFT1 Residence</v>
      </c>
      <c r="D1235" s="41" t="s">
        <v>184</v>
      </c>
      <c r="E1235" s="68" t="str">
        <f>_xlfn.XLOOKUP(tblMovimientos[[#This Row],[Cuenta Bancaria]],Listas!$B:$B,Listas!$C:$C,"")</f>
        <v xml:space="preserve">Amerant Bank </v>
      </c>
      <c r="F1235" s="41" t="s">
        <v>10</v>
      </c>
      <c r="G1235" s="41" t="s">
        <v>38</v>
      </c>
      <c r="H1235" s="4" t="str">
        <f>IFERROR(_xlfn.XLOOKUP(G1235,Listas!E:E,Listas!F:F,""),"")</f>
        <v>Operativo</v>
      </c>
      <c r="I1235" s="4" t="str">
        <f>IFERROR(_xlfn.XLOOKUP(G1235,Listas!E:E,Listas!G:G,""),"")</f>
        <v>Externo</v>
      </c>
      <c r="J1235" s="43">
        <v>493.02</v>
      </c>
      <c r="K1235" s="5">
        <f t="shared" si="19"/>
        <v>-493.02</v>
      </c>
      <c r="L1235" s="15" t="s">
        <v>134</v>
      </c>
      <c r="M1235" s="44">
        <f>SUMIFS('Saldos Iniciales'!$D:$D,'Saldos Iniciales'!$A:$A,C1235,'Saldos Iniciales'!$B:$B,D1235)+SUMIFS($K$1:$K$1324,$C$1:$C$1324,C1235,$D$1:$D$1324,D1235,$B$1:$B$1324,"&lt;="&amp;B1235)</f>
        <v>99795.63</v>
      </c>
      <c r="N1235" s="61" t="str">
        <f>IF(tblMovimientos[[#This Row],[Tipo de Movimiento]]="Ingreso",tblMovimientos[[#This Row],[Monto (S/)]],"0")</f>
        <v>0</v>
      </c>
      <c r="O1235" s="61">
        <f>IF(tblMovimientos[[#This Row],[Tipo de Movimiento]]="Egreso",tblMovimientos[[#This Row],[Monto (S/)]],"0")</f>
        <v>493.02</v>
      </c>
      <c r="P1235" s="28">
        <f>IF(tblMovimientos[[#This Row],[Tipo de Movimiento]]="Ingreso",tblMovimientos[[#This Row],[Ingreso]],-tblMovimientos[[#This Row],[Egreso]])</f>
        <v>-493.02</v>
      </c>
      <c r="Q1235" s="78" t="str">
        <f>_xlfn.XLOOKUP(tblMovimientos[[#This Row],[Cuenta Bancaria]],Cuentas!$C:$C,Cuentas!$A:$A,"")&amp;""</f>
        <v>Carmen Cross Irrevocable Trust</v>
      </c>
      <c r="R1235" s="78" t="str">
        <f>_xlfn.XLOOKUP(tblMovimientos[[#This Row],[Cuenta Bancaria]],Cuentas!$C:$C,Cuentas!$B:$B,"",0,-1)&amp;""</f>
        <v/>
      </c>
    </row>
    <row r="1236" spans="2:18" x14ac:dyDescent="0.3">
      <c r="B1236" s="39">
        <v>46308</v>
      </c>
      <c r="C1236" s="4" t="str">
        <f>_xlfn.XLOOKUP(tblMovimientos[[#This Row],[Cuenta Bancaria]],Listas!$B:$B,Listas!$A:$A,"")</f>
        <v>CFT1 Residence</v>
      </c>
      <c r="D1236" s="41" t="s">
        <v>184</v>
      </c>
      <c r="E1236" s="68" t="str">
        <f>_xlfn.XLOOKUP(tblMovimientos[[#This Row],[Cuenta Bancaria]],Listas!$B:$B,Listas!$C:$C,"")</f>
        <v xml:space="preserve">Amerant Bank </v>
      </c>
      <c r="F1236" s="41" t="s">
        <v>9</v>
      </c>
      <c r="G1236" s="41" t="s">
        <v>82</v>
      </c>
      <c r="H1236" s="4" t="str">
        <f>IFERROR(_xlfn.XLOOKUP(G1236,Listas!E:E,Listas!F:F,""),"")</f>
        <v>Operativo</v>
      </c>
      <c r="I1236" s="4" t="str">
        <f>IFERROR(_xlfn.XLOOKUP(G1236,Listas!E:E,Listas!G:G,""),"")</f>
        <v>Externo</v>
      </c>
      <c r="J1236" s="43">
        <v>21.44</v>
      </c>
      <c r="K1236" s="5">
        <f t="shared" si="19"/>
        <v>21.44</v>
      </c>
      <c r="L1236" s="15" t="s">
        <v>134</v>
      </c>
      <c r="M1236" s="44">
        <f>SUMIFS('Saldos Iniciales'!$D:$D,'Saldos Iniciales'!$A:$A,C1236,'Saldos Iniciales'!$B:$B,D1236)+SUMIFS($K$1:$K$1324,$C$1:$C$1324,C1236,$D$1:$D$1324,D1236,$B$1:$B$1324,"&lt;="&amp;B1236)</f>
        <v>99269.290000000008</v>
      </c>
      <c r="N1236" s="61">
        <f>IF(tblMovimientos[[#This Row],[Tipo de Movimiento]]="Ingreso",tblMovimientos[[#This Row],[Monto (S/)]],"0")</f>
        <v>21.44</v>
      </c>
      <c r="O1236" s="61" t="str">
        <f>IF(tblMovimientos[[#This Row],[Tipo de Movimiento]]="Egreso",tblMovimientos[[#This Row],[Monto (S/)]],"0")</f>
        <v>0</v>
      </c>
      <c r="P1236" s="28">
        <f>IF(tblMovimientos[[#This Row],[Tipo de Movimiento]]="Ingreso",tblMovimientos[[#This Row],[Ingreso]],-tblMovimientos[[#This Row],[Egreso]])</f>
        <v>21.44</v>
      </c>
      <c r="Q1236" s="78" t="str">
        <f>_xlfn.XLOOKUP(tblMovimientos[[#This Row],[Cuenta Bancaria]],Cuentas!$C:$C,Cuentas!$A:$A,"")&amp;""</f>
        <v>Carmen Cross Irrevocable Trust</v>
      </c>
      <c r="R1236" s="78" t="str">
        <f>_xlfn.XLOOKUP(tblMovimientos[[#This Row],[Cuenta Bancaria]],Cuentas!$C:$C,Cuentas!$B:$B,"",0,-1)&amp;""</f>
        <v/>
      </c>
    </row>
    <row r="1237" spans="2:18" x14ac:dyDescent="0.3">
      <c r="B1237" s="39">
        <v>46308</v>
      </c>
      <c r="C1237" s="4" t="str">
        <f>_xlfn.XLOOKUP(tblMovimientos[[#This Row],[Cuenta Bancaria]],Listas!$B:$B,Listas!$A:$A,"")</f>
        <v>CFT1 Residence</v>
      </c>
      <c r="D1237" s="41" t="s">
        <v>184</v>
      </c>
      <c r="E1237" s="68" t="str">
        <f>_xlfn.XLOOKUP(tblMovimientos[[#This Row],[Cuenta Bancaria]],Listas!$B:$B,Listas!$C:$C,"")</f>
        <v xml:space="preserve">Amerant Bank </v>
      </c>
      <c r="F1237" s="41" t="s">
        <v>9</v>
      </c>
      <c r="G1237" s="41" t="s">
        <v>82</v>
      </c>
      <c r="H1237" s="4" t="str">
        <f>IFERROR(_xlfn.XLOOKUP(G1237,Listas!E:E,Listas!F:F,""),"")</f>
        <v>Operativo</v>
      </c>
      <c r="I1237" s="4" t="str">
        <f>IFERROR(_xlfn.XLOOKUP(G1237,Listas!E:E,Listas!G:G,""),"")</f>
        <v>Externo</v>
      </c>
      <c r="J1237" s="43">
        <v>21.45</v>
      </c>
      <c r="K1237" s="5">
        <f t="shared" si="19"/>
        <v>21.45</v>
      </c>
      <c r="L1237" s="15" t="s">
        <v>134</v>
      </c>
      <c r="M1237" s="44">
        <f>SUMIFS('Saldos Iniciales'!$D:$D,'Saldos Iniciales'!$A:$A,C1237,'Saldos Iniciales'!$B:$B,D1237)+SUMIFS($K$1:$K$1324,$C$1:$C$1324,C1237,$D$1:$D$1324,D1237,$B$1:$B$1324,"&lt;="&amp;B1237)</f>
        <v>99269.290000000008</v>
      </c>
      <c r="N1237" s="61">
        <f>IF(tblMovimientos[[#This Row],[Tipo de Movimiento]]="Ingreso",tblMovimientos[[#This Row],[Monto (S/)]],"0")</f>
        <v>21.45</v>
      </c>
      <c r="O1237" s="61" t="str">
        <f>IF(tblMovimientos[[#This Row],[Tipo de Movimiento]]="Egreso",tblMovimientos[[#This Row],[Monto (S/)]],"0")</f>
        <v>0</v>
      </c>
      <c r="P1237" s="28">
        <f>IF(tblMovimientos[[#This Row],[Tipo de Movimiento]]="Ingreso",tblMovimientos[[#This Row],[Ingreso]],-tblMovimientos[[#This Row],[Egreso]])</f>
        <v>21.45</v>
      </c>
      <c r="Q1237" s="78" t="str">
        <f>_xlfn.XLOOKUP(tblMovimientos[[#This Row],[Cuenta Bancaria]],Cuentas!$C:$C,Cuentas!$A:$A,"")&amp;""</f>
        <v>Carmen Cross Irrevocable Trust</v>
      </c>
      <c r="R1237" s="78" t="str">
        <f>_xlfn.XLOOKUP(tblMovimientos[[#This Row],[Cuenta Bancaria]],Cuentas!$C:$C,Cuentas!$B:$B,"",0,-1)&amp;""</f>
        <v/>
      </c>
    </row>
    <row r="1238" spans="2:18" x14ac:dyDescent="0.3">
      <c r="B1238" s="39">
        <v>46308</v>
      </c>
      <c r="C1238" s="4" t="str">
        <f>_xlfn.XLOOKUP(tblMovimientos[[#This Row],[Cuenta Bancaria]],Listas!$B:$B,Listas!$A:$A,"")</f>
        <v>CFT1 Residence</v>
      </c>
      <c r="D1238" s="41" t="s">
        <v>184</v>
      </c>
      <c r="E1238" s="68" t="str">
        <f>_xlfn.XLOOKUP(tblMovimientos[[#This Row],[Cuenta Bancaria]],Listas!$B:$B,Listas!$C:$C,"")</f>
        <v xml:space="preserve">Amerant Bank </v>
      </c>
      <c r="F1238" s="41" t="s">
        <v>10</v>
      </c>
      <c r="G1238" s="41" t="s">
        <v>38</v>
      </c>
      <c r="H1238" s="4" t="str">
        <f>IFERROR(_xlfn.XLOOKUP(G1238,Listas!E:E,Listas!F:F,""),"")</f>
        <v>Operativo</v>
      </c>
      <c r="I1238" s="4" t="str">
        <f>IFERROR(_xlfn.XLOOKUP(G1238,Listas!E:E,Listas!G:G,""),"")</f>
        <v>Externo</v>
      </c>
      <c r="J1238" s="43">
        <v>65.239999999999995</v>
      </c>
      <c r="K1238" s="5">
        <f t="shared" si="19"/>
        <v>-65.239999999999995</v>
      </c>
      <c r="L1238" s="15" t="s">
        <v>134</v>
      </c>
      <c r="M1238" s="44">
        <f>SUMIFS('Saldos Iniciales'!$D:$D,'Saldos Iniciales'!$A:$A,C1238,'Saldos Iniciales'!$B:$B,D1238)+SUMIFS($K$1:$K$1324,$C$1:$C$1324,C1238,$D$1:$D$1324,D1238,$B$1:$B$1324,"&lt;="&amp;B1238)</f>
        <v>99269.290000000008</v>
      </c>
      <c r="N1238" s="61" t="str">
        <f>IF(tblMovimientos[[#This Row],[Tipo de Movimiento]]="Ingreso",tblMovimientos[[#This Row],[Monto (S/)]],"0")</f>
        <v>0</v>
      </c>
      <c r="O1238" s="61">
        <f>IF(tblMovimientos[[#This Row],[Tipo de Movimiento]]="Egreso",tblMovimientos[[#This Row],[Monto (S/)]],"0")</f>
        <v>65.239999999999995</v>
      </c>
      <c r="P1238" s="28">
        <f>IF(tblMovimientos[[#This Row],[Tipo de Movimiento]]="Ingreso",tblMovimientos[[#This Row],[Ingreso]],-tblMovimientos[[#This Row],[Egreso]])</f>
        <v>-65.239999999999995</v>
      </c>
      <c r="Q1238" s="78" t="str">
        <f>_xlfn.XLOOKUP(tblMovimientos[[#This Row],[Cuenta Bancaria]],Cuentas!$C:$C,Cuentas!$A:$A,"")&amp;""</f>
        <v>Carmen Cross Irrevocable Trust</v>
      </c>
      <c r="R1238" s="78" t="str">
        <f>_xlfn.XLOOKUP(tblMovimientos[[#This Row],[Cuenta Bancaria]],Cuentas!$C:$C,Cuentas!$B:$B,"",0,-1)&amp;""</f>
        <v/>
      </c>
    </row>
    <row r="1239" spans="2:18" x14ac:dyDescent="0.3">
      <c r="B1239" s="39">
        <v>46308</v>
      </c>
      <c r="C1239" s="4" t="str">
        <f>_xlfn.XLOOKUP(tblMovimientos[[#This Row],[Cuenta Bancaria]],Listas!$B:$B,Listas!$A:$A,"")</f>
        <v>CFT1 Residence</v>
      </c>
      <c r="D1239" s="41" t="s">
        <v>184</v>
      </c>
      <c r="E1239" s="68" t="str">
        <f>_xlfn.XLOOKUP(tblMovimientos[[#This Row],[Cuenta Bancaria]],Listas!$B:$B,Listas!$C:$C,"")</f>
        <v xml:space="preserve">Amerant Bank </v>
      </c>
      <c r="F1239" s="41" t="s">
        <v>10</v>
      </c>
      <c r="G1239" s="41" t="s">
        <v>38</v>
      </c>
      <c r="H1239" s="4" t="str">
        <f>IFERROR(_xlfn.XLOOKUP(G1239,Listas!E:E,Listas!F:F,""),"")</f>
        <v>Operativo</v>
      </c>
      <c r="I1239" s="4" t="str">
        <f>IFERROR(_xlfn.XLOOKUP(G1239,Listas!E:E,Listas!G:G,""),"")</f>
        <v>Externo</v>
      </c>
      <c r="J1239" s="43">
        <v>190.43</v>
      </c>
      <c r="K1239" s="5">
        <f t="shared" si="19"/>
        <v>-190.43</v>
      </c>
      <c r="L1239" s="15" t="s">
        <v>134</v>
      </c>
      <c r="M1239" s="44">
        <f>SUMIFS('Saldos Iniciales'!$D:$D,'Saldos Iniciales'!$A:$A,C1239,'Saldos Iniciales'!$B:$B,D1239)+SUMIFS($K$1:$K$1324,$C$1:$C$1324,C1239,$D$1:$D$1324,D1239,$B$1:$B$1324,"&lt;="&amp;B1239)</f>
        <v>99269.290000000008</v>
      </c>
      <c r="N1239" s="61" t="str">
        <f>IF(tblMovimientos[[#This Row],[Tipo de Movimiento]]="Ingreso",tblMovimientos[[#This Row],[Monto (S/)]],"0")</f>
        <v>0</v>
      </c>
      <c r="O1239" s="61">
        <f>IF(tblMovimientos[[#This Row],[Tipo de Movimiento]]="Egreso",tblMovimientos[[#This Row],[Monto (S/)]],"0")</f>
        <v>190.43</v>
      </c>
      <c r="P1239" s="28">
        <f>IF(tblMovimientos[[#This Row],[Tipo de Movimiento]]="Ingreso",tblMovimientos[[#This Row],[Ingreso]],-tblMovimientos[[#This Row],[Egreso]])</f>
        <v>-190.43</v>
      </c>
      <c r="Q1239" s="78" t="str">
        <f>_xlfn.XLOOKUP(tblMovimientos[[#This Row],[Cuenta Bancaria]],Cuentas!$C:$C,Cuentas!$A:$A,"")&amp;""</f>
        <v>Carmen Cross Irrevocable Trust</v>
      </c>
      <c r="R1239" s="78" t="str">
        <f>_xlfn.XLOOKUP(tblMovimientos[[#This Row],[Cuenta Bancaria]],Cuentas!$C:$C,Cuentas!$B:$B,"",0,-1)&amp;""</f>
        <v/>
      </c>
    </row>
    <row r="1240" spans="2:18" x14ac:dyDescent="0.3">
      <c r="B1240" s="39">
        <v>46308</v>
      </c>
      <c r="C1240" s="4" t="str">
        <f>_xlfn.XLOOKUP(tblMovimientos[[#This Row],[Cuenta Bancaria]],Listas!$B:$B,Listas!$A:$A,"")</f>
        <v>CFT1 Residence</v>
      </c>
      <c r="D1240" s="41" t="s">
        <v>184</v>
      </c>
      <c r="E1240" s="68" t="str">
        <f>_xlfn.XLOOKUP(tblMovimientos[[#This Row],[Cuenta Bancaria]],Listas!$B:$B,Listas!$C:$C,"")</f>
        <v xml:space="preserve">Amerant Bank </v>
      </c>
      <c r="F1240" s="41" t="s">
        <v>10</v>
      </c>
      <c r="G1240" s="41" t="s">
        <v>38</v>
      </c>
      <c r="H1240" s="4" t="str">
        <f>IFERROR(_xlfn.XLOOKUP(G1240,Listas!E:E,Listas!F:F,""),"")</f>
        <v>Operativo</v>
      </c>
      <c r="I1240" s="4" t="str">
        <f>IFERROR(_xlfn.XLOOKUP(G1240,Listas!E:E,Listas!G:G,""),"")</f>
        <v>Externo</v>
      </c>
      <c r="J1240" s="43">
        <v>30.81</v>
      </c>
      <c r="K1240" s="5">
        <f t="shared" si="19"/>
        <v>-30.81</v>
      </c>
      <c r="L1240" s="15" t="s">
        <v>134</v>
      </c>
      <c r="M1240" s="44">
        <f>SUMIFS('Saldos Iniciales'!$D:$D,'Saldos Iniciales'!$A:$A,C1240,'Saldos Iniciales'!$B:$B,D1240)+SUMIFS($K$1:$K$1324,$C$1:$C$1324,C1240,$D$1:$D$1324,D1240,$B$1:$B$1324,"&lt;="&amp;B1240)</f>
        <v>99269.290000000008</v>
      </c>
      <c r="N1240" s="61" t="str">
        <f>IF(tblMovimientos[[#This Row],[Tipo de Movimiento]]="Ingreso",tblMovimientos[[#This Row],[Monto (S/)]],"0")</f>
        <v>0</v>
      </c>
      <c r="O1240" s="61">
        <f>IF(tblMovimientos[[#This Row],[Tipo de Movimiento]]="Egreso",tblMovimientos[[#This Row],[Monto (S/)]],"0")</f>
        <v>30.81</v>
      </c>
      <c r="P1240" s="28">
        <f>IF(tblMovimientos[[#This Row],[Tipo de Movimiento]]="Ingreso",tblMovimientos[[#This Row],[Ingreso]],-tblMovimientos[[#This Row],[Egreso]])</f>
        <v>-30.81</v>
      </c>
      <c r="Q1240" s="78" t="str">
        <f>_xlfn.XLOOKUP(tblMovimientos[[#This Row],[Cuenta Bancaria]],Cuentas!$C:$C,Cuentas!$A:$A,"")&amp;""</f>
        <v>Carmen Cross Irrevocable Trust</v>
      </c>
      <c r="R1240" s="78" t="str">
        <f>_xlfn.XLOOKUP(tblMovimientos[[#This Row],[Cuenta Bancaria]],Cuentas!$C:$C,Cuentas!$B:$B,"",0,-1)&amp;""</f>
        <v/>
      </c>
    </row>
    <row r="1241" spans="2:18" x14ac:dyDescent="0.3">
      <c r="B1241" s="39">
        <v>46308</v>
      </c>
      <c r="C1241" s="4" t="str">
        <f>_xlfn.XLOOKUP(tblMovimientos[[#This Row],[Cuenta Bancaria]],Listas!$B:$B,Listas!$A:$A,"")</f>
        <v>CFT1 Residence</v>
      </c>
      <c r="D1241" s="41" t="s">
        <v>184</v>
      </c>
      <c r="E1241" s="68" t="str">
        <f>_xlfn.XLOOKUP(tblMovimientos[[#This Row],[Cuenta Bancaria]],Listas!$B:$B,Listas!$C:$C,"")</f>
        <v xml:space="preserve">Amerant Bank </v>
      </c>
      <c r="F1241" s="41" t="s">
        <v>10</v>
      </c>
      <c r="G1241" s="41" t="s">
        <v>38</v>
      </c>
      <c r="H1241" s="4" t="str">
        <f>IFERROR(_xlfn.XLOOKUP(G1241,Listas!E:E,Listas!F:F,""),"")</f>
        <v>Operativo</v>
      </c>
      <c r="I1241" s="4" t="str">
        <f>IFERROR(_xlfn.XLOOKUP(G1241,Listas!E:E,Listas!G:G,""),"")</f>
        <v>Externo</v>
      </c>
      <c r="J1241" s="43">
        <v>282.75</v>
      </c>
      <c r="K1241" s="5">
        <f t="shared" si="19"/>
        <v>-282.75</v>
      </c>
      <c r="L1241" s="15" t="s">
        <v>134</v>
      </c>
      <c r="M1241" s="44">
        <f>SUMIFS('Saldos Iniciales'!$D:$D,'Saldos Iniciales'!$A:$A,C1241,'Saldos Iniciales'!$B:$B,D1241)+SUMIFS($K$1:$K$1324,$C$1:$C$1324,C1241,$D$1:$D$1324,D1241,$B$1:$B$1324,"&lt;="&amp;B1241)</f>
        <v>99269.290000000008</v>
      </c>
      <c r="N1241" s="61" t="str">
        <f>IF(tblMovimientos[[#This Row],[Tipo de Movimiento]]="Ingreso",tblMovimientos[[#This Row],[Monto (S/)]],"0")</f>
        <v>0</v>
      </c>
      <c r="O1241" s="61">
        <f>IF(tblMovimientos[[#This Row],[Tipo de Movimiento]]="Egreso",tblMovimientos[[#This Row],[Monto (S/)]],"0")</f>
        <v>282.75</v>
      </c>
      <c r="P1241" s="28">
        <f>IF(tblMovimientos[[#This Row],[Tipo de Movimiento]]="Ingreso",tblMovimientos[[#This Row],[Ingreso]],-tblMovimientos[[#This Row],[Egreso]])</f>
        <v>-282.75</v>
      </c>
      <c r="Q1241" s="78" t="str">
        <f>_xlfn.XLOOKUP(tblMovimientos[[#This Row],[Cuenta Bancaria]],Cuentas!$C:$C,Cuentas!$A:$A,"")&amp;""</f>
        <v>Carmen Cross Irrevocable Trust</v>
      </c>
      <c r="R1241" s="78" t="str">
        <f>_xlfn.XLOOKUP(tblMovimientos[[#This Row],[Cuenta Bancaria]],Cuentas!$C:$C,Cuentas!$B:$B,"",0,-1)&amp;""</f>
        <v/>
      </c>
    </row>
    <row r="1242" spans="2:18" x14ac:dyDescent="0.3">
      <c r="B1242" s="39">
        <v>46309</v>
      </c>
      <c r="C1242" s="4" t="str">
        <f>_xlfn.XLOOKUP(tblMovimientos[[#This Row],[Cuenta Bancaria]],Listas!$B:$B,Listas!$A:$A,"")</f>
        <v>A&amp;M Imports</v>
      </c>
      <c r="D1242" s="41" t="s">
        <v>100</v>
      </c>
      <c r="E1242" s="68" t="str">
        <f>_xlfn.XLOOKUP(tblMovimientos[[#This Row],[Cuenta Bancaria]],Listas!$B:$B,Listas!$C:$C,"")</f>
        <v>Bank of America</v>
      </c>
      <c r="F1242" s="41" t="s">
        <v>9</v>
      </c>
      <c r="G1242" s="41" t="s">
        <v>68</v>
      </c>
      <c r="H1242" s="4" t="str">
        <f>IFERROR(_xlfn.XLOOKUP(G1242,Listas!E:E,Listas!F:F,""),"")</f>
        <v>Operativo</v>
      </c>
      <c r="I1242" s="4" t="str">
        <f>IFERROR(_xlfn.XLOOKUP(G1242,Listas!E:E,Listas!G:G,""),"")</f>
        <v>Externo</v>
      </c>
      <c r="J1242" s="43">
        <v>5546.44</v>
      </c>
      <c r="K1242" s="5">
        <f t="shared" si="19"/>
        <v>5546.44</v>
      </c>
      <c r="L1242" s="15" t="s">
        <v>134</v>
      </c>
      <c r="M1242" s="44">
        <f>SUMIFS('Saldos Iniciales'!$D:$D,'Saldos Iniciales'!$A:$A,C1242,'Saldos Iniciales'!$B:$B,D1242)+SUMIFS($K$1:$K$1324,$C$1:$C$1324,C1242,$D$1:$D$1324,D1242,$B$1:$B$1324,"&lt;="&amp;B1242)</f>
        <v>892379.23999999953</v>
      </c>
      <c r="N1242" s="61">
        <f>IF(tblMovimientos[[#This Row],[Tipo de Movimiento]]="Ingreso",tblMovimientos[[#This Row],[Monto (S/)]],"0")</f>
        <v>5546.44</v>
      </c>
      <c r="O1242" s="61" t="str">
        <f>IF(tblMovimientos[[#This Row],[Tipo de Movimiento]]="Egreso",tblMovimientos[[#This Row],[Monto (S/)]],"0")</f>
        <v>0</v>
      </c>
      <c r="P1242" s="28">
        <f>IF(tblMovimientos[[#This Row],[Tipo de Movimiento]]="Ingreso",tblMovimientos[[#This Row],[Ingreso]],-tblMovimientos[[#This Row],[Egreso]])</f>
        <v>5546.44</v>
      </c>
      <c r="Q1242" s="78" t="str">
        <f>_xlfn.XLOOKUP(tblMovimientos[[#This Row],[Cuenta Bancaria]],Cuentas!$C:$C,Cuentas!$A:$A,"")&amp;""</f>
        <v>SSP Group</v>
      </c>
      <c r="R1242" s="78" t="str">
        <f>_xlfn.XLOOKUP(tblMovimientos[[#This Row],[Cuenta Bancaria]],Cuentas!$C:$C,Cuentas!$B:$B,"",0,-1)&amp;""</f>
        <v/>
      </c>
    </row>
    <row r="1243" spans="2:18" x14ac:dyDescent="0.3">
      <c r="B1243" s="39">
        <v>46309</v>
      </c>
      <c r="C1243" s="4" t="str">
        <f>_xlfn.XLOOKUP(tblMovimientos[[#This Row],[Cuenta Bancaria]],Listas!$B:$B,Listas!$A:$A,"")</f>
        <v>A&amp;M Imports</v>
      </c>
      <c r="D1243" s="41" t="s">
        <v>100</v>
      </c>
      <c r="E1243" s="68" t="str">
        <f>_xlfn.XLOOKUP(tblMovimientos[[#This Row],[Cuenta Bancaria]],Listas!$B:$B,Listas!$C:$C,"")</f>
        <v>Bank of America</v>
      </c>
      <c r="F1243" s="41" t="s">
        <v>10</v>
      </c>
      <c r="G1243" s="41" t="s">
        <v>61</v>
      </c>
      <c r="H1243" s="4" t="str">
        <f>IFERROR(_xlfn.XLOOKUP(G1243,Listas!E:E,Listas!F:F,""),"")</f>
        <v>Operativo</v>
      </c>
      <c r="I1243" s="4" t="str">
        <f>IFERROR(_xlfn.XLOOKUP(G1243,Listas!E:E,Listas!G:G,""),"")</f>
        <v>Externo</v>
      </c>
      <c r="J1243" s="43">
        <v>60000</v>
      </c>
      <c r="K1243" s="5">
        <f t="shared" si="19"/>
        <v>-60000</v>
      </c>
      <c r="L1243" s="15" t="s">
        <v>134</v>
      </c>
      <c r="M1243" s="44">
        <f>SUMIFS('Saldos Iniciales'!$D:$D,'Saldos Iniciales'!$A:$A,C1243,'Saldos Iniciales'!$B:$B,D1243)+SUMIFS($K$1:$K$1324,$C$1:$C$1324,C1243,$D$1:$D$1324,D1243,$B$1:$B$1324,"&lt;="&amp;B1243)</f>
        <v>892379.23999999953</v>
      </c>
      <c r="N1243" s="61" t="str">
        <f>IF(tblMovimientos[[#This Row],[Tipo de Movimiento]]="Ingreso",tblMovimientos[[#This Row],[Monto (S/)]],"0")</f>
        <v>0</v>
      </c>
      <c r="O1243" s="61">
        <f>IF(tblMovimientos[[#This Row],[Tipo de Movimiento]]="Egreso",tblMovimientos[[#This Row],[Monto (S/)]],"0")</f>
        <v>60000</v>
      </c>
      <c r="P1243" s="28">
        <f>IF(tblMovimientos[[#This Row],[Tipo de Movimiento]]="Ingreso",tblMovimientos[[#This Row],[Ingreso]],-tblMovimientos[[#This Row],[Egreso]])</f>
        <v>-60000</v>
      </c>
      <c r="Q1243" s="78" t="str">
        <f>_xlfn.XLOOKUP(tblMovimientos[[#This Row],[Cuenta Bancaria]],Cuentas!$C:$C,Cuentas!$A:$A,"")&amp;""</f>
        <v>SSP Group</v>
      </c>
      <c r="R1243" s="78" t="str">
        <f>_xlfn.XLOOKUP(tblMovimientos[[#This Row],[Cuenta Bancaria]],Cuentas!$C:$C,Cuentas!$B:$B,"",0,-1)&amp;""</f>
        <v/>
      </c>
    </row>
    <row r="1244" spans="2:18" x14ac:dyDescent="0.3">
      <c r="B1244" s="39">
        <v>46309</v>
      </c>
      <c r="C1244" s="4" t="str">
        <f>_xlfn.XLOOKUP(tblMovimientos[[#This Row],[Cuenta Bancaria]],Listas!$B:$B,Listas!$A:$A,"")</f>
        <v>A&amp;M Imports</v>
      </c>
      <c r="D1244" s="41" t="s">
        <v>100</v>
      </c>
      <c r="E1244" s="68" t="str">
        <f>_xlfn.XLOOKUP(tblMovimientos[[#This Row],[Cuenta Bancaria]],Listas!$B:$B,Listas!$C:$C,"")</f>
        <v>Bank of America</v>
      </c>
      <c r="F1244" s="41" t="s">
        <v>10</v>
      </c>
      <c r="G1244" s="41" t="s">
        <v>61</v>
      </c>
      <c r="H1244" s="4" t="str">
        <f>IFERROR(_xlfn.XLOOKUP(G1244,Listas!E:E,Listas!F:F,""),"")</f>
        <v>Operativo</v>
      </c>
      <c r="I1244" s="4" t="str">
        <f>IFERROR(_xlfn.XLOOKUP(G1244,Listas!E:E,Listas!G:G,""),"")</f>
        <v>Externo</v>
      </c>
      <c r="J1244" s="43">
        <v>80000</v>
      </c>
      <c r="K1244" s="5">
        <f t="shared" si="19"/>
        <v>-80000</v>
      </c>
      <c r="L1244" s="15" t="s">
        <v>134</v>
      </c>
      <c r="M1244" s="44">
        <f>SUMIFS('Saldos Iniciales'!$D:$D,'Saldos Iniciales'!$A:$A,C1244,'Saldos Iniciales'!$B:$B,D1244)+SUMIFS($K$1:$K$1324,$C$1:$C$1324,C1244,$D$1:$D$1324,D1244,$B$1:$B$1324,"&lt;="&amp;B1244)</f>
        <v>892379.23999999953</v>
      </c>
      <c r="N1244" s="61" t="str">
        <f>IF(tblMovimientos[[#This Row],[Tipo de Movimiento]]="Ingreso",tblMovimientos[[#This Row],[Monto (S/)]],"0")</f>
        <v>0</v>
      </c>
      <c r="O1244" s="61">
        <f>IF(tblMovimientos[[#This Row],[Tipo de Movimiento]]="Egreso",tblMovimientos[[#This Row],[Monto (S/)]],"0")</f>
        <v>80000</v>
      </c>
      <c r="P1244" s="28">
        <f>IF(tblMovimientos[[#This Row],[Tipo de Movimiento]]="Ingreso",tblMovimientos[[#This Row],[Ingreso]],-tblMovimientos[[#This Row],[Egreso]])</f>
        <v>-80000</v>
      </c>
      <c r="Q1244" s="78" t="str">
        <f>_xlfn.XLOOKUP(tblMovimientos[[#This Row],[Cuenta Bancaria]],Cuentas!$C:$C,Cuentas!$A:$A,"")&amp;""</f>
        <v>SSP Group</v>
      </c>
      <c r="R1244" s="78" t="str">
        <f>_xlfn.XLOOKUP(tblMovimientos[[#This Row],[Cuenta Bancaria]],Cuentas!$C:$C,Cuentas!$B:$B,"",0,-1)&amp;""</f>
        <v/>
      </c>
    </row>
    <row r="1245" spans="2:18" x14ac:dyDescent="0.3">
      <c r="B1245" s="39">
        <v>46309</v>
      </c>
      <c r="C1245" s="4" t="str">
        <f>_xlfn.XLOOKUP(tblMovimientos[[#This Row],[Cuenta Bancaria]],Listas!$B:$B,Listas!$A:$A,"")</f>
        <v>CFT Group</v>
      </c>
      <c r="D1245" s="41" t="s">
        <v>94</v>
      </c>
      <c r="E1245" s="68" t="str">
        <f>_xlfn.XLOOKUP(tblMovimientos[[#This Row],[Cuenta Bancaria]],Listas!$B:$B,Listas!$C:$C,"")</f>
        <v>Bank of America</v>
      </c>
      <c r="F1245" s="41" t="s">
        <v>9</v>
      </c>
      <c r="G1245" s="41" t="s">
        <v>68</v>
      </c>
      <c r="H1245" s="4" t="str">
        <f>IFERROR(_xlfn.XLOOKUP(G1245,Listas!E:E,Listas!F:F,""),"")</f>
        <v>Operativo</v>
      </c>
      <c r="I1245" s="4" t="str">
        <f>IFERROR(_xlfn.XLOOKUP(G1245,Listas!E:E,Listas!G:G,""),"")</f>
        <v>Externo</v>
      </c>
      <c r="J1245" s="43">
        <v>79731.710000000006</v>
      </c>
      <c r="K1245" s="5">
        <f t="shared" si="19"/>
        <v>79731.710000000006</v>
      </c>
      <c r="L1245" s="15" t="s">
        <v>134</v>
      </c>
      <c r="M1245" s="44">
        <f>SUMIFS('Saldos Iniciales'!$D:$D,'Saldos Iniciales'!$A:$A,C1245,'Saldos Iniciales'!$B:$B,D1245)+SUMIFS($K$1:$K$1324,$C$1:$C$1324,C1245,$D$1:$D$1324,D1245,$B$1:$B$1324,"&lt;="&amp;B1245)</f>
        <v>102951.21999999996</v>
      </c>
      <c r="N1245" s="61">
        <f>IF(tblMovimientos[[#This Row],[Tipo de Movimiento]]="Ingreso",tblMovimientos[[#This Row],[Monto (S/)]],"0")</f>
        <v>79731.710000000006</v>
      </c>
      <c r="O1245" s="61" t="str">
        <f>IF(tblMovimientos[[#This Row],[Tipo de Movimiento]]="Egreso",tblMovimientos[[#This Row],[Monto (S/)]],"0")</f>
        <v>0</v>
      </c>
      <c r="P1245" s="28">
        <f>IF(tblMovimientos[[#This Row],[Tipo de Movimiento]]="Ingreso",tblMovimientos[[#This Row],[Ingreso]],-tblMovimientos[[#This Row],[Egreso]])</f>
        <v>79731.710000000006</v>
      </c>
      <c r="Q1245" s="78" t="str">
        <f>_xlfn.XLOOKUP(tblMovimientos[[#This Row],[Cuenta Bancaria]],Cuentas!$C:$C,Cuentas!$A:$A,"")&amp;""</f>
        <v>SSP Group</v>
      </c>
      <c r="R1245" s="78" t="str">
        <f>_xlfn.XLOOKUP(tblMovimientos[[#This Row],[Cuenta Bancaria]],Cuentas!$C:$C,Cuentas!$B:$B,"",0,-1)&amp;""</f>
        <v/>
      </c>
    </row>
    <row r="1246" spans="2:18" x14ac:dyDescent="0.3">
      <c r="B1246" s="39">
        <v>46309</v>
      </c>
      <c r="C1246" s="4" t="str">
        <f>_xlfn.XLOOKUP(tblMovimientos[[#This Row],[Cuenta Bancaria]],Listas!$B:$B,Listas!$A:$A,"")</f>
        <v>Cross Family Trust</v>
      </c>
      <c r="D1246" s="41" t="s">
        <v>110</v>
      </c>
      <c r="E1246" s="68" t="str">
        <f>_xlfn.XLOOKUP(tblMovimientos[[#This Row],[Cuenta Bancaria]],Listas!$B:$B,Listas!$C:$C,"")</f>
        <v>Bank of America</v>
      </c>
      <c r="F1246" s="41" t="s">
        <v>9</v>
      </c>
      <c r="G1246" s="41" t="s">
        <v>85</v>
      </c>
      <c r="H1246" s="4" t="str">
        <f>IFERROR(_xlfn.XLOOKUP(G1246,Listas!E:E,Listas!F:F,""),"")</f>
        <v>Operativo</v>
      </c>
      <c r="I1246" s="4" t="str">
        <f>IFERROR(_xlfn.XLOOKUP(G1246,Listas!E:E,Listas!G:G,""),"")</f>
        <v>Interno</v>
      </c>
      <c r="J1246" s="43">
        <v>15000</v>
      </c>
      <c r="K1246" s="5">
        <f t="shared" si="19"/>
        <v>15000</v>
      </c>
      <c r="L1246" s="15" t="s">
        <v>134</v>
      </c>
      <c r="M1246" s="44">
        <f>SUMIFS('Saldos Iniciales'!$D:$D,'Saldos Iniciales'!$A:$A,C1246,'Saldos Iniciales'!$B:$B,D1246)+SUMIFS($K$1:$K$1324,$C$1:$C$1324,C1246,$D$1:$D$1324,D1246,$B$1:$B$1324,"&lt;="&amp;B1246)</f>
        <v>15191.89</v>
      </c>
      <c r="N1246" s="61">
        <f>IF(tblMovimientos[[#This Row],[Tipo de Movimiento]]="Ingreso",tblMovimientos[[#This Row],[Monto (S/)]],"0")</f>
        <v>15000</v>
      </c>
      <c r="O1246" s="61" t="str">
        <f>IF(tblMovimientos[[#This Row],[Tipo de Movimiento]]="Egreso",tblMovimientos[[#This Row],[Monto (S/)]],"0")</f>
        <v>0</v>
      </c>
      <c r="P1246" s="28">
        <f>IF(tblMovimientos[[#This Row],[Tipo de Movimiento]]="Ingreso",tblMovimientos[[#This Row],[Ingreso]],-tblMovimientos[[#This Row],[Egreso]])</f>
        <v>15000</v>
      </c>
      <c r="Q1246" s="78" t="str">
        <f>_xlfn.XLOOKUP(tblMovimientos[[#This Row],[Cuenta Bancaria]],Cuentas!$C:$C,Cuentas!$A:$A,"")&amp;""</f>
        <v>SSP Group</v>
      </c>
      <c r="R1246" s="78" t="str">
        <f>_xlfn.XLOOKUP(tblMovimientos[[#This Row],[Cuenta Bancaria]],Cuentas!$C:$C,Cuentas!$B:$B,"",0,-1)&amp;""</f>
        <v>Trust</v>
      </c>
    </row>
    <row r="1247" spans="2:18" x14ac:dyDescent="0.3">
      <c r="B1247" s="39">
        <v>46309</v>
      </c>
      <c r="C1247" s="4" t="str">
        <f>_xlfn.XLOOKUP(tblMovimientos[[#This Row],[Cuenta Bancaria]],Listas!$B:$B,Listas!$A:$A,"")</f>
        <v>Cross Family Trust</v>
      </c>
      <c r="D1247" s="41" t="s">
        <v>110</v>
      </c>
      <c r="E1247" s="68" t="str">
        <f>_xlfn.XLOOKUP(tblMovimientos[[#This Row],[Cuenta Bancaria]],Listas!$B:$B,Listas!$C:$C,"")</f>
        <v>Bank of America</v>
      </c>
      <c r="F1247" s="41" t="s">
        <v>10</v>
      </c>
      <c r="G1247" s="41" t="s">
        <v>44</v>
      </c>
      <c r="H1247" s="4" t="str">
        <f>IFERROR(_xlfn.XLOOKUP(G1247,Listas!E:E,Listas!F:F,""),"")</f>
        <v>Operativo</v>
      </c>
      <c r="I1247" s="4" t="str">
        <f>IFERROR(_xlfn.XLOOKUP(G1247,Listas!E:E,Listas!G:G,""),"")</f>
        <v>Externo</v>
      </c>
      <c r="J1247" s="43">
        <v>15</v>
      </c>
      <c r="K1247" s="5">
        <f t="shared" si="19"/>
        <v>-15</v>
      </c>
      <c r="L1247" s="15" t="s">
        <v>134</v>
      </c>
      <c r="M1247" s="44">
        <f>SUMIFS('Saldos Iniciales'!$D:$D,'Saldos Iniciales'!$A:$A,C1247,'Saldos Iniciales'!$B:$B,D1247)+SUMIFS($K$1:$K$1324,$C$1:$C$1324,C1247,$D$1:$D$1324,D1247,$B$1:$B$1324,"&lt;="&amp;B1247)</f>
        <v>15191.89</v>
      </c>
      <c r="N1247" s="61" t="str">
        <f>IF(tblMovimientos[[#This Row],[Tipo de Movimiento]]="Ingreso",tblMovimientos[[#This Row],[Monto (S/)]],"0")</f>
        <v>0</v>
      </c>
      <c r="O1247" s="61">
        <f>IF(tblMovimientos[[#This Row],[Tipo de Movimiento]]="Egreso",tblMovimientos[[#This Row],[Monto (S/)]],"0")</f>
        <v>15</v>
      </c>
      <c r="P1247" s="28">
        <f>IF(tblMovimientos[[#This Row],[Tipo de Movimiento]]="Ingreso",tblMovimientos[[#This Row],[Ingreso]],-tblMovimientos[[#This Row],[Egreso]])</f>
        <v>-15</v>
      </c>
      <c r="Q1247" s="78" t="str">
        <f>_xlfn.XLOOKUP(tblMovimientos[[#This Row],[Cuenta Bancaria]],Cuentas!$C:$C,Cuentas!$A:$A,"")&amp;""</f>
        <v>SSP Group</v>
      </c>
      <c r="R1247" s="78" t="str">
        <f>_xlfn.XLOOKUP(tblMovimientos[[#This Row],[Cuenta Bancaria]],Cuentas!$C:$C,Cuentas!$B:$B,"",0,-1)&amp;""</f>
        <v>Trust</v>
      </c>
    </row>
    <row r="1248" spans="2:18" x14ac:dyDescent="0.3">
      <c r="B1248" s="39">
        <v>46309</v>
      </c>
      <c r="C1248" s="4" t="str">
        <f>_xlfn.XLOOKUP(tblMovimientos[[#This Row],[Cuenta Bancaria]],Listas!$B:$B,Listas!$A:$A,"")</f>
        <v>Pacha Ventures LLC</v>
      </c>
      <c r="D1248" s="41" t="s">
        <v>187</v>
      </c>
      <c r="E1248" s="68" t="str">
        <f>_xlfn.XLOOKUP(tblMovimientos[[#This Row],[Cuenta Bancaria]],Listas!$B:$B,Listas!$C:$C,"")</f>
        <v xml:space="preserve">Amerant Bank </v>
      </c>
      <c r="F1248" s="41" t="s">
        <v>9</v>
      </c>
      <c r="G1248" s="41" t="s">
        <v>69</v>
      </c>
      <c r="H1248" s="4" t="str">
        <f>IFERROR(_xlfn.XLOOKUP(G1248,Listas!E:E,Listas!F:F,""),"")</f>
        <v>Operativo</v>
      </c>
      <c r="I1248" s="4" t="str">
        <f>IFERROR(_xlfn.XLOOKUP(G1248,Listas!E:E,Listas!G:G,""),"")</f>
        <v>Interno</v>
      </c>
      <c r="J1248" s="43">
        <v>18491.669999999998</v>
      </c>
      <c r="K1248" s="5">
        <f t="shared" si="19"/>
        <v>18491.669999999998</v>
      </c>
      <c r="L1248" s="15" t="s">
        <v>134</v>
      </c>
      <c r="M1248" s="44">
        <f>SUMIFS('Saldos Iniciales'!$D:$D,'Saldos Iniciales'!$A:$A,C1248,'Saldos Iniciales'!$B:$B,D1248)+SUMIFS($K$1:$K$1324,$C$1:$C$1324,C1248,$D$1:$D$1324,D1248,$B$1:$B$1324,"&lt;="&amp;B1248)</f>
        <v>329346.53000000003</v>
      </c>
      <c r="N1248" s="61">
        <f>IF(tblMovimientos[[#This Row],[Tipo de Movimiento]]="Ingreso",tblMovimientos[[#This Row],[Monto (S/)]],"0")</f>
        <v>18491.669999999998</v>
      </c>
      <c r="O1248" s="61" t="str">
        <f>IF(tblMovimientos[[#This Row],[Tipo de Movimiento]]="Egreso",tblMovimientos[[#This Row],[Monto (S/)]],"0")</f>
        <v>0</v>
      </c>
      <c r="P1248" s="28">
        <f>IF(tblMovimientos[[#This Row],[Tipo de Movimiento]]="Ingreso",tblMovimientos[[#This Row],[Ingreso]],-tblMovimientos[[#This Row],[Egreso]])</f>
        <v>18491.669999999998</v>
      </c>
      <c r="Q1248" s="78" t="str">
        <f>_xlfn.XLOOKUP(tblMovimientos[[#This Row],[Cuenta Bancaria]],Cuentas!$C:$C,Cuentas!$A:$A,"")&amp;""</f>
        <v>Michael Cross</v>
      </c>
      <c r="R1248" s="78" t="str">
        <f>_xlfn.XLOOKUP(tblMovimientos[[#This Row],[Cuenta Bancaria]],Cuentas!$C:$C,Cuentas!$B:$B,"",0,-1)&amp;""</f>
        <v/>
      </c>
    </row>
    <row r="1249" spans="2:18" x14ac:dyDescent="0.3">
      <c r="B1249" s="39">
        <v>46309</v>
      </c>
      <c r="C1249" s="4" t="str">
        <f>_xlfn.XLOOKUP(tblMovimientos[[#This Row],[Cuenta Bancaria]],Listas!$B:$B,Listas!$A:$A,"")</f>
        <v>CFT1 Residence</v>
      </c>
      <c r="D1249" s="41" t="s">
        <v>188</v>
      </c>
      <c r="E1249" s="68" t="str">
        <f>_xlfn.XLOOKUP(tblMovimientos[[#This Row],[Cuenta Bancaria]],Listas!$B:$B,Listas!$C:$C,"")</f>
        <v xml:space="preserve">Amerant Bank </v>
      </c>
      <c r="F1249" s="41" t="s">
        <v>10</v>
      </c>
      <c r="G1249" s="41" t="s">
        <v>38</v>
      </c>
      <c r="H1249" s="4" t="str">
        <f>IFERROR(_xlfn.XLOOKUP(G1249,Listas!E:E,Listas!F:F,""),"")</f>
        <v>Operativo</v>
      </c>
      <c r="I1249" s="4" t="str">
        <f>IFERROR(_xlfn.XLOOKUP(G1249,Listas!E:E,Listas!G:G,""),"")</f>
        <v>Externo</v>
      </c>
      <c r="J1249" s="43">
        <v>345</v>
      </c>
      <c r="K1249" s="5">
        <f t="shared" si="19"/>
        <v>-345</v>
      </c>
      <c r="L1249" s="15" t="s">
        <v>134</v>
      </c>
      <c r="M1249" s="44">
        <f>SUMIFS('Saldos Iniciales'!$D:$D,'Saldos Iniciales'!$A:$A,C1249,'Saldos Iniciales'!$B:$B,D1249)+SUMIFS($K$1:$K$1324,$C$1:$C$1324,C1249,$D$1:$D$1324,D1249,$B$1:$B$1324,"&lt;="&amp;B1249)</f>
        <v>991.75999999999988</v>
      </c>
      <c r="N1249" s="61" t="str">
        <f>IF(tblMovimientos[[#This Row],[Tipo de Movimiento]]="Ingreso",tblMovimientos[[#This Row],[Monto (S/)]],"0")</f>
        <v>0</v>
      </c>
      <c r="O1249" s="61">
        <f>IF(tblMovimientos[[#This Row],[Tipo de Movimiento]]="Egreso",tblMovimientos[[#This Row],[Monto (S/)]],"0")</f>
        <v>345</v>
      </c>
      <c r="P1249" s="28">
        <f>IF(tblMovimientos[[#This Row],[Tipo de Movimiento]]="Ingreso",tblMovimientos[[#This Row],[Ingreso]],-tblMovimientos[[#This Row],[Egreso]])</f>
        <v>-345</v>
      </c>
      <c r="Q1249" s="78" t="str">
        <f>_xlfn.XLOOKUP(tblMovimientos[[#This Row],[Cuenta Bancaria]],Cuentas!$C:$C,Cuentas!$A:$A,"")&amp;""</f>
        <v>Carmen Cross Irrevocable Trust</v>
      </c>
      <c r="R1249" s="78" t="str">
        <f>_xlfn.XLOOKUP(tblMovimientos[[#This Row],[Cuenta Bancaria]],Cuentas!$C:$C,Cuentas!$B:$B,"",0,-1)&amp;""</f>
        <v/>
      </c>
    </row>
    <row r="1250" spans="2:18" x14ac:dyDescent="0.3">
      <c r="B1250" s="39">
        <v>46309</v>
      </c>
      <c r="C1250" s="4" t="str">
        <f>_xlfn.XLOOKUP(tblMovimientos[[#This Row],[Cuenta Bancaria]],Listas!$B:$B,Listas!$A:$A,"")</f>
        <v>CFT Group</v>
      </c>
      <c r="D1250" s="41" t="s">
        <v>95</v>
      </c>
      <c r="E1250" s="68" t="str">
        <f>_xlfn.XLOOKUP(tblMovimientos[[#This Row],[Cuenta Bancaria]],Listas!$B:$B,Listas!$C:$C,"")</f>
        <v xml:space="preserve">Amerant Bank </v>
      </c>
      <c r="F1250" s="41" t="s">
        <v>10</v>
      </c>
      <c r="G1250" s="41" t="s">
        <v>55</v>
      </c>
      <c r="H1250" s="4" t="str">
        <f>IFERROR(_xlfn.XLOOKUP(G1250,Listas!E:E,Listas!F:F,""),"")</f>
        <v>Inversion</v>
      </c>
      <c r="I1250" s="4" t="str">
        <f>IFERROR(_xlfn.XLOOKUP(G1250,Listas!E:E,Listas!G:G,""),"")</f>
        <v>Externo</v>
      </c>
      <c r="J1250" s="43">
        <v>2000</v>
      </c>
      <c r="K1250" s="5">
        <f t="shared" si="19"/>
        <v>-2000</v>
      </c>
      <c r="L1250" s="15" t="s">
        <v>134</v>
      </c>
      <c r="M1250" s="44">
        <f>SUMIFS('Saldos Iniciales'!$D:$D,'Saldos Iniciales'!$A:$A,C1250,'Saldos Iniciales'!$B:$B,D1250)+SUMIFS($K$1:$K$1324,$C$1:$C$1324,C1250,$D$1:$D$1324,D1250,$B$1:$B$1324,"&lt;="&amp;B1250)</f>
        <v>2285741.9300000011</v>
      </c>
      <c r="N1250" s="61" t="str">
        <f>IF(tblMovimientos[[#This Row],[Tipo de Movimiento]]="Ingreso",tblMovimientos[[#This Row],[Monto (S/)]],"0")</f>
        <v>0</v>
      </c>
      <c r="O1250" s="61">
        <f>IF(tblMovimientos[[#This Row],[Tipo de Movimiento]]="Egreso",tblMovimientos[[#This Row],[Monto (S/)]],"0")</f>
        <v>2000</v>
      </c>
      <c r="P1250" s="28">
        <f>IF(tblMovimientos[[#This Row],[Tipo de Movimiento]]="Ingreso",tblMovimientos[[#This Row],[Ingreso]],-tblMovimientos[[#This Row],[Egreso]])</f>
        <v>-2000</v>
      </c>
      <c r="Q1250" s="78" t="str">
        <f>_xlfn.XLOOKUP(tblMovimientos[[#This Row],[Cuenta Bancaria]],Cuentas!$C:$C,Cuentas!$A:$A,"")&amp;""</f>
        <v>SSP Group</v>
      </c>
      <c r="R1250" s="78" t="str">
        <f>_xlfn.XLOOKUP(tblMovimientos[[#This Row],[Cuenta Bancaria]],Cuentas!$C:$C,Cuentas!$B:$B,"",0,-1)&amp;""</f>
        <v/>
      </c>
    </row>
    <row r="1251" spans="2:18" x14ac:dyDescent="0.3">
      <c r="B1251" s="39">
        <v>46309</v>
      </c>
      <c r="C1251" s="4" t="str">
        <f>_xlfn.XLOOKUP(tblMovimientos[[#This Row],[Cuenta Bancaria]],Listas!$B:$B,Listas!$A:$A,"")</f>
        <v>CFT Group</v>
      </c>
      <c r="D1251" s="41" t="s">
        <v>95</v>
      </c>
      <c r="E1251" s="68" t="str">
        <f>_xlfn.XLOOKUP(tblMovimientos[[#This Row],[Cuenta Bancaria]],Listas!$B:$B,Listas!$C:$C,"")</f>
        <v xml:space="preserve">Amerant Bank </v>
      </c>
      <c r="F1251" s="41" t="s">
        <v>10</v>
      </c>
      <c r="G1251" s="41" t="s">
        <v>46</v>
      </c>
      <c r="H1251" s="4" t="str">
        <f>IFERROR(_xlfn.XLOOKUP(G1251,Listas!E:E,Listas!F:F,""),"")</f>
        <v>Financiamiento</v>
      </c>
      <c r="I1251" s="4" t="str">
        <f>IFERROR(_xlfn.XLOOKUP(G1251,Listas!E:E,Listas!G:G,""),"")</f>
        <v>Externo</v>
      </c>
      <c r="J1251" s="43">
        <v>18491.669999999998</v>
      </c>
      <c r="K1251" s="5">
        <f t="shared" si="19"/>
        <v>-18491.669999999998</v>
      </c>
      <c r="L1251" s="15" t="s">
        <v>134</v>
      </c>
      <c r="M1251" s="44">
        <f>SUMIFS('Saldos Iniciales'!$D:$D,'Saldos Iniciales'!$A:$A,C1251,'Saldos Iniciales'!$B:$B,D1251)+SUMIFS($K$1:$K$1324,$C$1:$C$1324,C1251,$D$1:$D$1324,D1251,$B$1:$B$1324,"&lt;="&amp;B1251)</f>
        <v>2285741.9300000011</v>
      </c>
      <c r="N1251" s="61" t="str">
        <f>IF(tblMovimientos[[#This Row],[Tipo de Movimiento]]="Ingreso",tblMovimientos[[#This Row],[Monto (S/)]],"0")</f>
        <v>0</v>
      </c>
      <c r="O1251" s="61">
        <f>IF(tblMovimientos[[#This Row],[Tipo de Movimiento]]="Egreso",tblMovimientos[[#This Row],[Monto (S/)]],"0")</f>
        <v>18491.669999999998</v>
      </c>
      <c r="P1251" s="28">
        <f>IF(tblMovimientos[[#This Row],[Tipo de Movimiento]]="Ingreso",tblMovimientos[[#This Row],[Ingreso]],-tblMovimientos[[#This Row],[Egreso]])</f>
        <v>-18491.669999999998</v>
      </c>
      <c r="Q1251" s="78" t="str">
        <f>_xlfn.XLOOKUP(tblMovimientos[[#This Row],[Cuenta Bancaria]],Cuentas!$C:$C,Cuentas!$A:$A,"")&amp;""</f>
        <v>SSP Group</v>
      </c>
      <c r="R1251" s="78" t="str">
        <f>_xlfn.XLOOKUP(tblMovimientos[[#This Row],[Cuenta Bancaria]],Cuentas!$C:$C,Cuentas!$B:$B,"",0,-1)&amp;""</f>
        <v/>
      </c>
    </row>
    <row r="1252" spans="2:18" x14ac:dyDescent="0.3">
      <c r="B1252" s="39">
        <v>46309</v>
      </c>
      <c r="C1252" s="4" t="str">
        <f>_xlfn.XLOOKUP(tblMovimientos[[#This Row],[Cuenta Bancaria]],Listas!$B:$B,Listas!$A:$A,"")</f>
        <v>CFT Group</v>
      </c>
      <c r="D1252" s="41" t="s">
        <v>95</v>
      </c>
      <c r="E1252" s="68" t="str">
        <f>_xlfn.XLOOKUP(tblMovimientos[[#This Row],[Cuenta Bancaria]],Listas!$B:$B,Listas!$C:$C,"")</f>
        <v xml:space="preserve">Amerant Bank </v>
      </c>
      <c r="F1252" s="41" t="s">
        <v>10</v>
      </c>
      <c r="G1252" s="41" t="s">
        <v>61</v>
      </c>
      <c r="H1252" s="4" t="str">
        <f>IFERROR(_xlfn.XLOOKUP(G1252,Listas!E:E,Listas!F:F,""),"")</f>
        <v>Operativo</v>
      </c>
      <c r="I1252" s="4" t="str">
        <f>IFERROR(_xlfn.XLOOKUP(G1252,Listas!E:E,Listas!G:G,""),"")</f>
        <v>Externo</v>
      </c>
      <c r="J1252" s="43">
        <v>100000</v>
      </c>
      <c r="K1252" s="5">
        <f t="shared" si="19"/>
        <v>-100000</v>
      </c>
      <c r="L1252" s="15" t="s">
        <v>134</v>
      </c>
      <c r="M1252" s="44">
        <f>SUMIFS('Saldos Iniciales'!$D:$D,'Saldos Iniciales'!$A:$A,C1252,'Saldos Iniciales'!$B:$B,D1252)+SUMIFS($K$1:$K$1324,$C$1:$C$1324,C1252,$D$1:$D$1324,D1252,$B$1:$B$1324,"&lt;="&amp;B1252)</f>
        <v>2285741.9300000011</v>
      </c>
      <c r="N1252" s="61" t="str">
        <f>IF(tblMovimientos[[#This Row],[Tipo de Movimiento]]="Ingreso",tblMovimientos[[#This Row],[Monto (S/)]],"0")</f>
        <v>0</v>
      </c>
      <c r="O1252" s="61">
        <f>IF(tblMovimientos[[#This Row],[Tipo de Movimiento]]="Egreso",tblMovimientos[[#This Row],[Monto (S/)]],"0")</f>
        <v>100000</v>
      </c>
      <c r="P1252" s="28">
        <f>IF(tblMovimientos[[#This Row],[Tipo de Movimiento]]="Ingreso",tblMovimientos[[#This Row],[Ingreso]],-tblMovimientos[[#This Row],[Egreso]])</f>
        <v>-100000</v>
      </c>
      <c r="Q1252" s="78" t="str">
        <f>_xlfn.XLOOKUP(tblMovimientos[[#This Row],[Cuenta Bancaria]],Cuentas!$C:$C,Cuentas!$A:$A,"")&amp;""</f>
        <v>SSP Group</v>
      </c>
      <c r="R1252" s="78" t="str">
        <f>_xlfn.XLOOKUP(tblMovimientos[[#This Row],[Cuenta Bancaria]],Cuentas!$C:$C,Cuentas!$B:$B,"",0,-1)&amp;""</f>
        <v/>
      </c>
    </row>
    <row r="1253" spans="2:18" x14ac:dyDescent="0.3">
      <c r="B1253" s="39">
        <v>46309</v>
      </c>
      <c r="C1253" s="4" t="str">
        <f>_xlfn.XLOOKUP(tblMovimientos[[#This Row],[Cuenta Bancaria]],Listas!$B:$B,Listas!$A:$A,"")</f>
        <v>CFT Group</v>
      </c>
      <c r="D1253" s="41" t="s">
        <v>95</v>
      </c>
      <c r="E1253" s="68" t="str">
        <f>_xlfn.XLOOKUP(tblMovimientos[[#This Row],[Cuenta Bancaria]],Listas!$B:$B,Listas!$C:$C,"")</f>
        <v xml:space="preserve">Amerant Bank </v>
      </c>
      <c r="F1253" s="41" t="s">
        <v>10</v>
      </c>
      <c r="G1253" s="41" t="s">
        <v>61</v>
      </c>
      <c r="H1253" s="4" t="str">
        <f>IFERROR(_xlfn.XLOOKUP(G1253,Listas!E:E,Listas!F:F,""),"")</f>
        <v>Operativo</v>
      </c>
      <c r="I1253" s="4" t="str">
        <f>IFERROR(_xlfn.XLOOKUP(G1253,Listas!E:E,Listas!G:G,""),"")</f>
        <v>Externo</v>
      </c>
      <c r="J1253" s="43">
        <v>100000</v>
      </c>
      <c r="K1253" s="5">
        <f t="shared" si="19"/>
        <v>-100000</v>
      </c>
      <c r="L1253" s="15" t="s">
        <v>134</v>
      </c>
      <c r="M1253" s="44">
        <f>SUMIFS('Saldos Iniciales'!$D:$D,'Saldos Iniciales'!$A:$A,C1253,'Saldos Iniciales'!$B:$B,D1253)+SUMIFS($K$1:$K$1324,$C$1:$C$1324,C1253,$D$1:$D$1324,D1253,$B$1:$B$1324,"&lt;="&amp;B1253)</f>
        <v>2285741.9300000011</v>
      </c>
      <c r="N1253" s="61" t="str">
        <f>IF(tblMovimientos[[#This Row],[Tipo de Movimiento]]="Ingreso",tblMovimientos[[#This Row],[Monto (S/)]],"0")</f>
        <v>0</v>
      </c>
      <c r="O1253" s="61">
        <f>IF(tblMovimientos[[#This Row],[Tipo de Movimiento]]="Egreso",tblMovimientos[[#This Row],[Monto (S/)]],"0")</f>
        <v>100000</v>
      </c>
      <c r="P1253" s="28">
        <f>IF(tblMovimientos[[#This Row],[Tipo de Movimiento]]="Ingreso",tblMovimientos[[#This Row],[Ingreso]],-tblMovimientos[[#This Row],[Egreso]])</f>
        <v>-100000</v>
      </c>
      <c r="Q1253" s="78" t="str">
        <f>_xlfn.XLOOKUP(tblMovimientos[[#This Row],[Cuenta Bancaria]],Cuentas!$C:$C,Cuentas!$A:$A,"")&amp;""</f>
        <v>SSP Group</v>
      </c>
      <c r="R1253" s="78" t="str">
        <f>_xlfn.XLOOKUP(tblMovimientos[[#This Row],[Cuenta Bancaria]],Cuentas!$C:$C,Cuentas!$B:$B,"",0,-1)&amp;""</f>
        <v/>
      </c>
    </row>
    <row r="1254" spans="2:18" x14ac:dyDescent="0.3">
      <c r="B1254" s="39">
        <v>46309</v>
      </c>
      <c r="C1254" s="4" t="str">
        <f>_xlfn.XLOOKUP(tblMovimientos[[#This Row],[Cuenta Bancaria]],Listas!$B:$B,Listas!$A:$A,"")</f>
        <v>CFT Group</v>
      </c>
      <c r="D1254" s="41" t="s">
        <v>95</v>
      </c>
      <c r="E1254" s="68" t="str">
        <f>_xlfn.XLOOKUP(tblMovimientos[[#This Row],[Cuenta Bancaria]],Listas!$B:$B,Listas!$C:$C,"")</f>
        <v xml:space="preserve">Amerant Bank </v>
      </c>
      <c r="F1254" s="41" t="s">
        <v>10</v>
      </c>
      <c r="G1254" s="41" t="s">
        <v>62</v>
      </c>
      <c r="H1254" s="4" t="str">
        <f>IFERROR(_xlfn.XLOOKUP(G1254,Listas!E:E,Listas!F:F,""),"")</f>
        <v>Operativo</v>
      </c>
      <c r="I1254" s="4" t="str">
        <f>IFERROR(_xlfn.XLOOKUP(G1254,Listas!E:E,Listas!G:G,""),"")</f>
        <v>Interno</v>
      </c>
      <c r="J1254" s="43">
        <v>300000</v>
      </c>
      <c r="K1254" s="5">
        <f t="shared" si="19"/>
        <v>-300000</v>
      </c>
      <c r="L1254" s="15" t="s">
        <v>134</v>
      </c>
      <c r="M1254" s="44">
        <f>SUMIFS('Saldos Iniciales'!$D:$D,'Saldos Iniciales'!$A:$A,C1254,'Saldos Iniciales'!$B:$B,D1254)+SUMIFS($K$1:$K$1324,$C$1:$C$1324,C1254,$D$1:$D$1324,D1254,$B$1:$B$1324,"&lt;="&amp;B1254)</f>
        <v>2285741.9300000011</v>
      </c>
      <c r="N1254" s="61" t="str">
        <f>IF(tblMovimientos[[#This Row],[Tipo de Movimiento]]="Ingreso",tblMovimientos[[#This Row],[Monto (S/)]],"0")</f>
        <v>0</v>
      </c>
      <c r="O1254" s="61">
        <f>IF(tblMovimientos[[#This Row],[Tipo de Movimiento]]="Egreso",tblMovimientos[[#This Row],[Monto (S/)]],"0")</f>
        <v>300000</v>
      </c>
      <c r="P1254" s="28">
        <f>IF(tblMovimientos[[#This Row],[Tipo de Movimiento]]="Ingreso",tblMovimientos[[#This Row],[Ingreso]],-tblMovimientos[[#This Row],[Egreso]])</f>
        <v>-300000</v>
      </c>
      <c r="Q1254" s="78" t="str">
        <f>_xlfn.XLOOKUP(tblMovimientos[[#This Row],[Cuenta Bancaria]],Cuentas!$C:$C,Cuentas!$A:$A,"")&amp;""</f>
        <v>SSP Group</v>
      </c>
      <c r="R1254" s="78" t="str">
        <f>_xlfn.XLOOKUP(tblMovimientos[[#This Row],[Cuenta Bancaria]],Cuentas!$C:$C,Cuentas!$B:$B,"",0,-1)&amp;""</f>
        <v/>
      </c>
    </row>
    <row r="1255" spans="2:18" x14ac:dyDescent="0.3">
      <c r="B1255" s="39">
        <v>46309</v>
      </c>
      <c r="C1255" s="4" t="str">
        <f>_xlfn.XLOOKUP(tblMovimientos[[#This Row],[Cuenta Bancaria]],Listas!$B:$B,Listas!$A:$A,"")</f>
        <v>Carmen Cross Irrevocable Trust</v>
      </c>
      <c r="D1255" s="41" t="s">
        <v>183</v>
      </c>
      <c r="E1255" s="68" t="str">
        <f>_xlfn.XLOOKUP(tblMovimientos[[#This Row],[Cuenta Bancaria]],Listas!$B:$B,Listas!$C:$C,"")</f>
        <v xml:space="preserve">Amerant Bank </v>
      </c>
      <c r="F1255" s="41" t="s">
        <v>9</v>
      </c>
      <c r="G1255" s="41" t="s">
        <v>79</v>
      </c>
      <c r="H1255" s="4" t="str">
        <f>IFERROR(_xlfn.XLOOKUP(G1255,Listas!E:E,Listas!F:F,""),"")</f>
        <v>Inversion</v>
      </c>
      <c r="I1255" s="4" t="str">
        <f>IFERROR(_xlfn.XLOOKUP(G1255,Listas!E:E,Listas!G:G,""),"")</f>
        <v>Externo</v>
      </c>
      <c r="J1255" s="43">
        <v>60000</v>
      </c>
      <c r="K1255" s="5">
        <f t="shared" si="19"/>
        <v>60000</v>
      </c>
      <c r="L1255" s="15" t="s">
        <v>134</v>
      </c>
      <c r="M1255" s="44">
        <f>SUMIFS('Saldos Iniciales'!$D:$D,'Saldos Iniciales'!$A:$A,C1255,'Saldos Iniciales'!$B:$B,D1255)+SUMIFS($K$1:$K$1324,$C$1:$C$1324,C1255,$D$1:$D$1324,D1255,$B$1:$B$1324,"&lt;="&amp;B1255)</f>
        <v>100631.96</v>
      </c>
      <c r="N1255" s="61">
        <f>IF(tblMovimientos[[#This Row],[Tipo de Movimiento]]="Ingreso",tblMovimientos[[#This Row],[Monto (S/)]],"0")</f>
        <v>60000</v>
      </c>
      <c r="O1255" s="61" t="str">
        <f>IF(tblMovimientos[[#This Row],[Tipo de Movimiento]]="Egreso",tblMovimientos[[#This Row],[Monto (S/)]],"0")</f>
        <v>0</v>
      </c>
      <c r="P1255" s="28">
        <f>IF(tblMovimientos[[#This Row],[Tipo de Movimiento]]="Ingreso",tblMovimientos[[#This Row],[Ingreso]],-tblMovimientos[[#This Row],[Egreso]])</f>
        <v>60000</v>
      </c>
      <c r="Q1255" s="78" t="str">
        <f>_xlfn.XLOOKUP(tblMovimientos[[#This Row],[Cuenta Bancaria]],Cuentas!$C:$C,Cuentas!$A:$A,"")&amp;""</f>
        <v>Carmen Cross Irrevocable Trust</v>
      </c>
      <c r="R1255" s="78" t="str">
        <f>_xlfn.XLOOKUP(tblMovimientos[[#This Row],[Cuenta Bancaria]],Cuentas!$C:$C,Cuentas!$B:$B,"",0,-1)&amp;""</f>
        <v>Trust</v>
      </c>
    </row>
    <row r="1256" spans="2:18" x14ac:dyDescent="0.3">
      <c r="B1256" s="39">
        <v>46309</v>
      </c>
      <c r="C1256" s="4" t="str">
        <f>_xlfn.XLOOKUP(tblMovimientos[[#This Row],[Cuenta Bancaria]],Listas!$B:$B,Listas!$A:$A,"")</f>
        <v>Carmen Cross Irrevocable Trust</v>
      </c>
      <c r="D1256" s="41" t="s">
        <v>183</v>
      </c>
      <c r="E1256" s="68" t="str">
        <f>_xlfn.XLOOKUP(tblMovimientos[[#This Row],[Cuenta Bancaria]],Listas!$B:$B,Listas!$C:$C,"")</f>
        <v xml:space="preserve">Amerant Bank </v>
      </c>
      <c r="F1256" s="41" t="s">
        <v>10</v>
      </c>
      <c r="G1256" s="41" t="s">
        <v>53</v>
      </c>
      <c r="H1256" s="4" t="str">
        <f>IFERROR(_xlfn.XLOOKUP(G1256,Listas!E:E,Listas!F:F,""),"")</f>
        <v>Inversion</v>
      </c>
      <c r="I1256" s="4" t="str">
        <f>IFERROR(_xlfn.XLOOKUP(G1256,Listas!E:E,Listas!G:G,""),"")</f>
        <v>Interno</v>
      </c>
      <c r="J1256" s="43">
        <v>50000</v>
      </c>
      <c r="K1256" s="5">
        <f t="shared" si="19"/>
        <v>-50000</v>
      </c>
      <c r="L1256" s="15" t="s">
        <v>134</v>
      </c>
      <c r="M1256" s="44">
        <f>SUMIFS('Saldos Iniciales'!$D:$D,'Saldos Iniciales'!$A:$A,C1256,'Saldos Iniciales'!$B:$B,D1256)+SUMIFS($K$1:$K$1324,$C$1:$C$1324,C1256,$D$1:$D$1324,D1256,$B$1:$B$1324,"&lt;="&amp;B1256)</f>
        <v>100631.96</v>
      </c>
      <c r="N1256" s="61" t="str">
        <f>IF(tblMovimientos[[#This Row],[Tipo de Movimiento]]="Ingreso",tblMovimientos[[#This Row],[Monto (S/)]],"0")</f>
        <v>0</v>
      </c>
      <c r="O1256" s="61">
        <f>IF(tblMovimientos[[#This Row],[Tipo de Movimiento]]="Egreso",tblMovimientos[[#This Row],[Monto (S/)]],"0")</f>
        <v>50000</v>
      </c>
      <c r="P1256" s="28">
        <f>IF(tblMovimientos[[#This Row],[Tipo de Movimiento]]="Ingreso",tblMovimientos[[#This Row],[Ingreso]],-tblMovimientos[[#This Row],[Egreso]])</f>
        <v>-50000</v>
      </c>
      <c r="Q1256" s="78" t="str">
        <f>_xlfn.XLOOKUP(tblMovimientos[[#This Row],[Cuenta Bancaria]],Cuentas!$C:$C,Cuentas!$A:$A,"")&amp;""</f>
        <v>Carmen Cross Irrevocable Trust</v>
      </c>
      <c r="R1256" s="78" t="str">
        <f>_xlfn.XLOOKUP(tblMovimientos[[#This Row],[Cuenta Bancaria]],Cuentas!$C:$C,Cuentas!$B:$B,"",0,-1)&amp;""</f>
        <v>Trust</v>
      </c>
    </row>
    <row r="1257" spans="2:18" x14ac:dyDescent="0.3">
      <c r="B1257" s="39">
        <v>46309</v>
      </c>
      <c r="C1257" s="4" t="str">
        <f>_xlfn.XLOOKUP(tblMovimientos[[#This Row],[Cuenta Bancaria]],Listas!$B:$B,Listas!$A:$A,"")</f>
        <v>Cross Family Trust</v>
      </c>
      <c r="D1257" s="41" t="s">
        <v>111</v>
      </c>
      <c r="E1257" s="68" t="str">
        <f>_xlfn.XLOOKUP(tblMovimientos[[#This Row],[Cuenta Bancaria]],Listas!$B:$B,Listas!$C:$C,"")</f>
        <v xml:space="preserve">Amerant Bank </v>
      </c>
      <c r="F1257" s="41" t="s">
        <v>10</v>
      </c>
      <c r="G1257" s="41" t="s">
        <v>64</v>
      </c>
      <c r="H1257" s="4" t="str">
        <f>IFERROR(_xlfn.XLOOKUP(G1257,Listas!E:E,Listas!F:F,""),"")</f>
        <v>Operativo</v>
      </c>
      <c r="I1257" s="4" t="str">
        <f>IFERROR(_xlfn.XLOOKUP(G1257,Listas!E:E,Listas!G:G,""),"")</f>
        <v>Interno</v>
      </c>
      <c r="J1257" s="43">
        <v>15000</v>
      </c>
      <c r="K1257" s="5">
        <f t="shared" si="19"/>
        <v>-15000</v>
      </c>
      <c r="L1257" s="15" t="s">
        <v>134</v>
      </c>
      <c r="M1257" s="44">
        <f>SUMIFS('Saldos Iniciales'!$D:$D,'Saldos Iniciales'!$A:$A,C1257,'Saldos Iniciales'!$B:$B,D1257)+SUMIFS($K$1:$K$1324,$C$1:$C$1324,C1257,$D$1:$D$1324,D1257,$B$1:$B$1324,"&lt;="&amp;B1257)</f>
        <v>102999.36000000002</v>
      </c>
      <c r="N1257" s="61" t="str">
        <f>IF(tblMovimientos[[#This Row],[Tipo de Movimiento]]="Ingreso",tblMovimientos[[#This Row],[Monto (S/)]],"0")</f>
        <v>0</v>
      </c>
      <c r="O1257" s="61">
        <f>IF(tblMovimientos[[#This Row],[Tipo de Movimiento]]="Egreso",tblMovimientos[[#This Row],[Monto (S/)]],"0")</f>
        <v>15000</v>
      </c>
      <c r="P1257" s="28">
        <f>IF(tblMovimientos[[#This Row],[Tipo de Movimiento]]="Ingreso",tblMovimientos[[#This Row],[Ingreso]],-tblMovimientos[[#This Row],[Egreso]])</f>
        <v>-15000</v>
      </c>
      <c r="Q1257" s="78" t="str">
        <f>_xlfn.XLOOKUP(tblMovimientos[[#This Row],[Cuenta Bancaria]],Cuentas!$C:$C,Cuentas!$A:$A,"")&amp;""</f>
        <v>SSP Group</v>
      </c>
      <c r="R1257" s="78" t="str">
        <f>_xlfn.XLOOKUP(tblMovimientos[[#This Row],[Cuenta Bancaria]],Cuentas!$C:$C,Cuentas!$B:$B,"",0,-1)&amp;""</f>
        <v>Trust</v>
      </c>
    </row>
    <row r="1258" spans="2:18" x14ac:dyDescent="0.3">
      <c r="B1258" s="39">
        <v>46309</v>
      </c>
      <c r="C1258" s="4" t="str">
        <f>_xlfn.XLOOKUP(tblMovimientos[[#This Row],[Cuenta Bancaria]],Listas!$B:$B,Listas!$A:$A,"")</f>
        <v>SSP Capital</v>
      </c>
      <c r="D1258" s="41" t="s">
        <v>104</v>
      </c>
      <c r="E1258" s="68" t="str">
        <f>_xlfn.XLOOKUP(tblMovimientos[[#This Row],[Cuenta Bancaria]],Listas!$B:$B,Listas!$C:$C,"")</f>
        <v xml:space="preserve">Amerant Bank </v>
      </c>
      <c r="F1258" s="41" t="s">
        <v>9</v>
      </c>
      <c r="G1258" s="41" t="s">
        <v>75</v>
      </c>
      <c r="H1258" s="4" t="str">
        <f>IFERROR(_xlfn.XLOOKUP(G1258,Listas!E:E,Listas!F:F,""),"")</f>
        <v>Financiamiento</v>
      </c>
      <c r="I1258" s="4" t="str">
        <f>IFERROR(_xlfn.XLOOKUP(G1258,Listas!E:E,Listas!G:G,""),"")</f>
        <v>Interno</v>
      </c>
      <c r="J1258" s="43">
        <v>300000</v>
      </c>
      <c r="K1258" s="5">
        <f t="shared" si="19"/>
        <v>300000</v>
      </c>
      <c r="L1258" s="15" t="s">
        <v>134</v>
      </c>
      <c r="M1258" s="44">
        <f>SUMIFS('Saldos Iniciales'!$D:$D,'Saldos Iniciales'!$A:$A,C1258,'Saldos Iniciales'!$B:$B,D1258)+SUMIFS($K$1:$K$1324,$C$1:$C$1324,C1258,$D$1:$D$1324,D1258,$B$1:$B$1324,"&lt;="&amp;B1258)</f>
        <v>723279.55999999924</v>
      </c>
      <c r="N1258" s="61">
        <f>IF(tblMovimientos[[#This Row],[Tipo de Movimiento]]="Ingreso",tblMovimientos[[#This Row],[Monto (S/)]],"0")</f>
        <v>300000</v>
      </c>
      <c r="O1258" s="61" t="str">
        <f>IF(tblMovimientos[[#This Row],[Tipo de Movimiento]]="Egreso",tblMovimientos[[#This Row],[Monto (S/)]],"0")</f>
        <v>0</v>
      </c>
      <c r="P1258" s="28">
        <f>IF(tblMovimientos[[#This Row],[Tipo de Movimiento]]="Ingreso",tblMovimientos[[#This Row],[Ingreso]],-tblMovimientos[[#This Row],[Egreso]])</f>
        <v>300000</v>
      </c>
      <c r="Q1258" s="78" t="str">
        <f>_xlfn.XLOOKUP(tblMovimientos[[#This Row],[Cuenta Bancaria]],Cuentas!$C:$C,Cuentas!$A:$A,"")&amp;""</f>
        <v>SSP Group</v>
      </c>
      <c r="R1258" s="78" t="str">
        <f>_xlfn.XLOOKUP(tblMovimientos[[#This Row],[Cuenta Bancaria]],Cuentas!$C:$C,Cuentas!$B:$B,"",0,-1)&amp;""</f>
        <v/>
      </c>
    </row>
    <row r="1259" spans="2:18" x14ac:dyDescent="0.3">
      <c r="B1259" s="39">
        <v>46309</v>
      </c>
      <c r="C1259" s="4" t="str">
        <f>_xlfn.XLOOKUP(tblMovimientos[[#This Row],[Cuenta Bancaria]],Listas!$B:$B,Listas!$A:$A,"")</f>
        <v>SSP Capital</v>
      </c>
      <c r="D1259" s="41" t="s">
        <v>104</v>
      </c>
      <c r="E1259" s="68" t="str">
        <f>_xlfn.XLOOKUP(tblMovimientos[[#This Row],[Cuenta Bancaria]],Listas!$B:$B,Listas!$C:$C,"")</f>
        <v xml:space="preserve">Amerant Bank </v>
      </c>
      <c r="F1259" s="41" t="s">
        <v>10</v>
      </c>
      <c r="G1259" s="41" t="s">
        <v>40</v>
      </c>
      <c r="H1259" s="4" t="str">
        <f>IFERROR(_xlfn.XLOOKUP(G1259,Listas!E:E,Listas!F:F,""),"")</f>
        <v>Operativo</v>
      </c>
      <c r="I1259" s="4" t="str">
        <f>IFERROR(_xlfn.XLOOKUP(G1259,Listas!E:E,Listas!G:G,""),"")</f>
        <v>Externo</v>
      </c>
      <c r="J1259" s="43">
        <v>427.02</v>
      </c>
      <c r="K1259" s="5">
        <f t="shared" si="19"/>
        <v>-427.02</v>
      </c>
      <c r="L1259" s="15" t="s">
        <v>134</v>
      </c>
      <c r="M1259" s="44">
        <f>SUMIFS('Saldos Iniciales'!$D:$D,'Saldos Iniciales'!$A:$A,C1259,'Saldos Iniciales'!$B:$B,D1259)+SUMIFS($K$1:$K$1324,$C$1:$C$1324,C1259,$D$1:$D$1324,D1259,$B$1:$B$1324,"&lt;="&amp;B1259)</f>
        <v>723279.55999999924</v>
      </c>
      <c r="N1259" s="61" t="str">
        <f>IF(tblMovimientos[[#This Row],[Tipo de Movimiento]]="Ingreso",tblMovimientos[[#This Row],[Monto (S/)]],"0")</f>
        <v>0</v>
      </c>
      <c r="O1259" s="61">
        <f>IF(tblMovimientos[[#This Row],[Tipo de Movimiento]]="Egreso",tblMovimientos[[#This Row],[Monto (S/)]],"0")</f>
        <v>427.02</v>
      </c>
      <c r="P1259" s="28">
        <f>IF(tblMovimientos[[#This Row],[Tipo de Movimiento]]="Ingreso",tblMovimientos[[#This Row],[Ingreso]],-tblMovimientos[[#This Row],[Egreso]])</f>
        <v>-427.02</v>
      </c>
      <c r="Q1259" s="78" t="str">
        <f>_xlfn.XLOOKUP(tblMovimientos[[#This Row],[Cuenta Bancaria]],Cuentas!$C:$C,Cuentas!$A:$A,"")&amp;""</f>
        <v>SSP Group</v>
      </c>
      <c r="R1259" s="78" t="str">
        <f>_xlfn.XLOOKUP(tblMovimientos[[#This Row],[Cuenta Bancaria]],Cuentas!$C:$C,Cuentas!$B:$B,"",0,-1)&amp;""</f>
        <v/>
      </c>
    </row>
    <row r="1260" spans="2:18" x14ac:dyDescent="0.3">
      <c r="B1260" s="39">
        <v>46309</v>
      </c>
      <c r="C1260" s="4" t="str">
        <f>_xlfn.XLOOKUP(tblMovimientos[[#This Row],[Cuenta Bancaria]],Listas!$B:$B,Listas!$A:$A,"")</f>
        <v>SSP Capital</v>
      </c>
      <c r="D1260" s="41" t="s">
        <v>104</v>
      </c>
      <c r="E1260" s="68" t="str">
        <f>_xlfn.XLOOKUP(tblMovimientos[[#This Row],[Cuenta Bancaria]],Listas!$B:$B,Listas!$C:$C,"")</f>
        <v xml:space="preserve">Amerant Bank </v>
      </c>
      <c r="F1260" s="41" t="s">
        <v>10</v>
      </c>
      <c r="G1260" s="41" t="s">
        <v>46</v>
      </c>
      <c r="H1260" s="4" t="str">
        <f>IFERROR(_xlfn.XLOOKUP(G1260,Listas!E:E,Listas!F:F,""),"")</f>
        <v>Financiamiento</v>
      </c>
      <c r="I1260" s="4" t="str">
        <f>IFERROR(_xlfn.XLOOKUP(G1260,Listas!E:E,Listas!G:G,""),"")</f>
        <v>Externo</v>
      </c>
      <c r="J1260" s="43">
        <v>5416.67</v>
      </c>
      <c r="K1260" s="5">
        <f t="shared" si="19"/>
        <v>-5416.67</v>
      </c>
      <c r="L1260" s="15" t="s">
        <v>134</v>
      </c>
      <c r="M1260" s="44">
        <f>SUMIFS('Saldos Iniciales'!$D:$D,'Saldos Iniciales'!$A:$A,C1260,'Saldos Iniciales'!$B:$B,D1260)+SUMIFS($K$1:$K$1324,$C$1:$C$1324,C1260,$D$1:$D$1324,D1260,$B$1:$B$1324,"&lt;="&amp;B1260)</f>
        <v>723279.55999999924</v>
      </c>
      <c r="N1260" s="61" t="str">
        <f>IF(tblMovimientos[[#This Row],[Tipo de Movimiento]]="Ingreso",tblMovimientos[[#This Row],[Monto (S/)]],"0")</f>
        <v>0</v>
      </c>
      <c r="O1260" s="61">
        <f>IF(tblMovimientos[[#This Row],[Tipo de Movimiento]]="Egreso",tblMovimientos[[#This Row],[Monto (S/)]],"0")</f>
        <v>5416.67</v>
      </c>
      <c r="P1260" s="28">
        <f>IF(tblMovimientos[[#This Row],[Tipo de Movimiento]]="Ingreso",tblMovimientos[[#This Row],[Ingreso]],-tblMovimientos[[#This Row],[Egreso]])</f>
        <v>-5416.67</v>
      </c>
      <c r="Q1260" s="78" t="str">
        <f>_xlfn.XLOOKUP(tblMovimientos[[#This Row],[Cuenta Bancaria]],Cuentas!$C:$C,Cuentas!$A:$A,"")&amp;""</f>
        <v>SSP Group</v>
      </c>
      <c r="R1260" s="78" t="str">
        <f>_xlfn.XLOOKUP(tblMovimientos[[#This Row],[Cuenta Bancaria]],Cuentas!$C:$C,Cuentas!$B:$B,"",0,-1)&amp;""</f>
        <v/>
      </c>
    </row>
    <row r="1261" spans="2:18" x14ac:dyDescent="0.3">
      <c r="B1261" s="39">
        <v>46309</v>
      </c>
      <c r="C1261" s="4" t="str">
        <f>_xlfn.XLOOKUP(tblMovimientos[[#This Row],[Cuenta Bancaria]],Listas!$B:$B,Listas!$A:$A,"")</f>
        <v>SSP Capital</v>
      </c>
      <c r="D1261" s="41" t="s">
        <v>104</v>
      </c>
      <c r="E1261" s="68" t="str">
        <f>_xlfn.XLOOKUP(tblMovimientos[[#This Row],[Cuenta Bancaria]],Listas!$B:$B,Listas!$C:$C,"")</f>
        <v xml:space="preserve">Amerant Bank </v>
      </c>
      <c r="F1261" s="41" t="s">
        <v>10</v>
      </c>
      <c r="G1261" s="41" t="s">
        <v>60</v>
      </c>
      <c r="H1261" s="4" t="str">
        <f>IFERROR(_xlfn.XLOOKUP(G1261,Listas!E:E,Listas!F:F,""),"")</f>
        <v>Inversion</v>
      </c>
      <c r="I1261" s="4" t="str">
        <f>IFERROR(_xlfn.XLOOKUP(G1261,Listas!E:E,Listas!G:G,""),"")</f>
        <v>Interno</v>
      </c>
      <c r="J1261" s="43">
        <v>60000</v>
      </c>
      <c r="K1261" s="5">
        <f t="shared" si="19"/>
        <v>-60000</v>
      </c>
      <c r="L1261" s="15" t="s">
        <v>134</v>
      </c>
      <c r="M1261" s="44">
        <f>SUMIFS('Saldos Iniciales'!$D:$D,'Saldos Iniciales'!$A:$A,C1261,'Saldos Iniciales'!$B:$B,D1261)+SUMIFS($K$1:$K$1324,$C$1:$C$1324,C1261,$D$1:$D$1324,D1261,$B$1:$B$1324,"&lt;="&amp;B1261)</f>
        <v>723279.55999999924</v>
      </c>
      <c r="N1261" s="61" t="str">
        <f>IF(tblMovimientos[[#This Row],[Tipo de Movimiento]]="Ingreso",tblMovimientos[[#This Row],[Monto (S/)]],"0")</f>
        <v>0</v>
      </c>
      <c r="O1261" s="61">
        <f>IF(tblMovimientos[[#This Row],[Tipo de Movimiento]]="Egreso",tblMovimientos[[#This Row],[Monto (S/)]],"0")</f>
        <v>60000</v>
      </c>
      <c r="P1261" s="28">
        <f>IF(tblMovimientos[[#This Row],[Tipo de Movimiento]]="Ingreso",tblMovimientos[[#This Row],[Ingreso]],-tblMovimientos[[#This Row],[Egreso]])</f>
        <v>-60000</v>
      </c>
      <c r="Q1261" s="78" t="str">
        <f>_xlfn.XLOOKUP(tblMovimientos[[#This Row],[Cuenta Bancaria]],Cuentas!$C:$C,Cuentas!$A:$A,"")&amp;""</f>
        <v>SSP Group</v>
      </c>
      <c r="R1261" s="78" t="str">
        <f>_xlfn.XLOOKUP(tblMovimientos[[#This Row],[Cuenta Bancaria]],Cuentas!$C:$C,Cuentas!$B:$B,"",0,-1)&amp;""</f>
        <v/>
      </c>
    </row>
    <row r="1262" spans="2:18" x14ac:dyDescent="0.3">
      <c r="B1262" s="39">
        <v>46309</v>
      </c>
      <c r="C1262" s="4" t="str">
        <f>_xlfn.XLOOKUP(tblMovimientos[[#This Row],[Cuenta Bancaria]],Listas!$B:$B,Listas!$A:$A,"")</f>
        <v>CFT1 Residence</v>
      </c>
      <c r="D1262" s="41" t="s">
        <v>184</v>
      </c>
      <c r="E1262" s="68" t="str">
        <f>_xlfn.XLOOKUP(tblMovimientos[[#This Row],[Cuenta Bancaria]],Listas!$B:$B,Listas!$C:$C,"")</f>
        <v xml:space="preserve">Amerant Bank </v>
      </c>
      <c r="F1262" s="41" t="s">
        <v>9</v>
      </c>
      <c r="G1262" s="41" t="s">
        <v>77</v>
      </c>
      <c r="H1262" s="4" t="str">
        <f>IFERROR(_xlfn.XLOOKUP(G1262,Listas!E:E,Listas!F:F,""),"")</f>
        <v>Inversion</v>
      </c>
      <c r="I1262" s="4" t="str">
        <f>IFERROR(_xlfn.XLOOKUP(G1262,Listas!E:E,Listas!G:G,""),"")</f>
        <v>Interno</v>
      </c>
      <c r="J1262" s="43">
        <v>50000</v>
      </c>
      <c r="K1262" s="5">
        <f t="shared" si="19"/>
        <v>50000</v>
      </c>
      <c r="L1262" s="15" t="s">
        <v>134</v>
      </c>
      <c r="M1262" s="44">
        <f>SUMIFS('Saldos Iniciales'!$D:$D,'Saldos Iniciales'!$A:$A,C1262,'Saldos Iniciales'!$B:$B,D1262)+SUMIFS($K$1:$K$1324,$C$1:$C$1324,C1262,$D$1:$D$1324,D1262,$B$1:$B$1324,"&lt;="&amp;B1262)</f>
        <v>148868</v>
      </c>
      <c r="N1262" s="61">
        <f>IF(tblMovimientos[[#This Row],[Tipo de Movimiento]]="Ingreso",tblMovimientos[[#This Row],[Monto (S/)]],"0")</f>
        <v>50000</v>
      </c>
      <c r="O1262" s="61" t="str">
        <f>IF(tblMovimientos[[#This Row],[Tipo de Movimiento]]="Egreso",tblMovimientos[[#This Row],[Monto (S/)]],"0")</f>
        <v>0</v>
      </c>
      <c r="P1262" s="28">
        <f>IF(tblMovimientos[[#This Row],[Tipo de Movimiento]]="Ingreso",tblMovimientos[[#This Row],[Ingreso]],-tblMovimientos[[#This Row],[Egreso]])</f>
        <v>50000</v>
      </c>
      <c r="Q1262" s="78" t="str">
        <f>_xlfn.XLOOKUP(tblMovimientos[[#This Row],[Cuenta Bancaria]],Cuentas!$C:$C,Cuentas!$A:$A,"")&amp;""</f>
        <v>Carmen Cross Irrevocable Trust</v>
      </c>
      <c r="R1262" s="78" t="str">
        <f>_xlfn.XLOOKUP(tblMovimientos[[#This Row],[Cuenta Bancaria]],Cuentas!$C:$C,Cuentas!$B:$B,"",0,-1)&amp;""</f>
        <v/>
      </c>
    </row>
    <row r="1263" spans="2:18" x14ac:dyDescent="0.3">
      <c r="B1263" s="39">
        <v>46309</v>
      </c>
      <c r="C1263" s="4" t="str">
        <f>_xlfn.XLOOKUP(tblMovimientos[[#This Row],[Cuenta Bancaria]],Listas!$B:$B,Listas!$A:$A,"")</f>
        <v>CFT1 Residence</v>
      </c>
      <c r="D1263" s="41" t="s">
        <v>184</v>
      </c>
      <c r="E1263" s="68" t="str">
        <f>_xlfn.XLOOKUP(tblMovimientos[[#This Row],[Cuenta Bancaria]],Listas!$B:$B,Listas!$C:$C,"")</f>
        <v xml:space="preserve">Amerant Bank </v>
      </c>
      <c r="F1263" s="41" t="s">
        <v>10</v>
      </c>
      <c r="G1263" s="41" t="s">
        <v>38</v>
      </c>
      <c r="H1263" s="4" t="str">
        <f>IFERROR(_xlfn.XLOOKUP(G1263,Listas!E:E,Listas!F:F,""),"")</f>
        <v>Operativo</v>
      </c>
      <c r="I1263" s="4" t="str">
        <f>IFERROR(_xlfn.XLOOKUP(G1263,Listas!E:E,Listas!G:G,""),"")</f>
        <v>Externo</v>
      </c>
      <c r="J1263" s="43">
        <v>401.29</v>
      </c>
      <c r="K1263" s="5">
        <f t="shared" si="19"/>
        <v>-401.29</v>
      </c>
      <c r="L1263" s="15" t="s">
        <v>134</v>
      </c>
      <c r="M1263" s="44">
        <f>SUMIFS('Saldos Iniciales'!$D:$D,'Saldos Iniciales'!$A:$A,C1263,'Saldos Iniciales'!$B:$B,D1263)+SUMIFS($K$1:$K$1324,$C$1:$C$1324,C1263,$D$1:$D$1324,D1263,$B$1:$B$1324,"&lt;="&amp;B1263)</f>
        <v>148868</v>
      </c>
      <c r="N1263" s="61" t="str">
        <f>IF(tblMovimientos[[#This Row],[Tipo de Movimiento]]="Ingreso",tblMovimientos[[#This Row],[Monto (S/)]],"0")</f>
        <v>0</v>
      </c>
      <c r="O1263" s="61">
        <f>IF(tblMovimientos[[#This Row],[Tipo de Movimiento]]="Egreso",tblMovimientos[[#This Row],[Monto (S/)]],"0")</f>
        <v>401.29</v>
      </c>
      <c r="P1263" s="28">
        <f>IF(tblMovimientos[[#This Row],[Tipo de Movimiento]]="Ingreso",tblMovimientos[[#This Row],[Ingreso]],-tblMovimientos[[#This Row],[Egreso]])</f>
        <v>-401.29</v>
      </c>
      <c r="Q1263" s="78" t="str">
        <f>_xlfn.XLOOKUP(tblMovimientos[[#This Row],[Cuenta Bancaria]],Cuentas!$C:$C,Cuentas!$A:$A,"")&amp;""</f>
        <v>Carmen Cross Irrevocable Trust</v>
      </c>
      <c r="R1263" s="78" t="str">
        <f>_xlfn.XLOOKUP(tblMovimientos[[#This Row],[Cuenta Bancaria]],Cuentas!$C:$C,Cuentas!$B:$B,"",0,-1)&amp;""</f>
        <v/>
      </c>
    </row>
    <row r="1264" spans="2:18" x14ac:dyDescent="0.3">
      <c r="B1264" s="39">
        <v>46309</v>
      </c>
      <c r="C1264" s="4" t="str">
        <f>_xlfn.XLOOKUP(tblMovimientos[[#This Row],[Cuenta Bancaria]],Listas!$B:$B,Listas!$A:$A,"")</f>
        <v>SIYP LLC</v>
      </c>
      <c r="D1264" s="41" t="s">
        <v>185</v>
      </c>
      <c r="E1264" s="68" t="str">
        <f>_xlfn.XLOOKUP(tblMovimientos[[#This Row],[Cuenta Bancaria]],Listas!$B:$B,Listas!$C:$C,"")</f>
        <v xml:space="preserve">Amerant Bank </v>
      </c>
      <c r="F1264" s="41" t="s">
        <v>10</v>
      </c>
      <c r="G1264" s="41" t="s">
        <v>46</v>
      </c>
      <c r="H1264" s="4" t="str">
        <f>IFERROR(_xlfn.XLOOKUP(G1264,Listas!E:E,Listas!F:F,""),"")</f>
        <v>Financiamiento</v>
      </c>
      <c r="I1264" s="4" t="str">
        <f>IFERROR(_xlfn.XLOOKUP(G1264,Listas!E:E,Listas!G:G,""),"")</f>
        <v>Externo</v>
      </c>
      <c r="J1264" s="43">
        <v>1698.63</v>
      </c>
      <c r="K1264" s="5">
        <f t="shared" si="19"/>
        <v>-1698.63</v>
      </c>
      <c r="L1264" s="15" t="s">
        <v>134</v>
      </c>
      <c r="M1264" s="44">
        <f>SUMIFS('Saldos Iniciales'!$D:$D,'Saldos Iniciales'!$A:$A,C1264,'Saldos Iniciales'!$B:$B,D1264)+SUMIFS($K$1:$K$1324,$C$1:$C$1324,C1264,$D$1:$D$1324,D1264,$B$1:$B$1324,"&lt;="&amp;B1264)</f>
        <v>3904.04</v>
      </c>
      <c r="N1264" s="61" t="str">
        <f>IF(tblMovimientos[[#This Row],[Tipo de Movimiento]]="Ingreso",tblMovimientos[[#This Row],[Monto (S/)]],"0")</f>
        <v>0</v>
      </c>
      <c r="O1264" s="61">
        <f>IF(tblMovimientos[[#This Row],[Tipo de Movimiento]]="Egreso",tblMovimientos[[#This Row],[Monto (S/)]],"0")</f>
        <v>1698.63</v>
      </c>
      <c r="P1264" s="28">
        <f>IF(tblMovimientos[[#This Row],[Tipo de Movimiento]]="Ingreso",tblMovimientos[[#This Row],[Ingreso]],-tblMovimientos[[#This Row],[Egreso]])</f>
        <v>-1698.63</v>
      </c>
      <c r="Q1264" s="78" t="str">
        <f>_xlfn.XLOOKUP(tblMovimientos[[#This Row],[Cuenta Bancaria]],Cuentas!$C:$C,Cuentas!$A:$A,"")&amp;""</f>
        <v>Michael Cross</v>
      </c>
      <c r="R1264" s="78" t="str">
        <f>_xlfn.XLOOKUP(tblMovimientos[[#This Row],[Cuenta Bancaria]],Cuentas!$C:$C,Cuentas!$B:$B,"",0,-1)&amp;""</f>
        <v/>
      </c>
    </row>
    <row r="1265" spans="2:18" x14ac:dyDescent="0.3">
      <c r="B1265" s="39">
        <v>46309</v>
      </c>
      <c r="C1265" s="4" t="str">
        <f>_xlfn.XLOOKUP(tblMovimientos[[#This Row],[Cuenta Bancaria]],Listas!$B:$B,Listas!$A:$A,"")</f>
        <v>Go Blue</v>
      </c>
      <c r="D1265" s="41" t="s">
        <v>126</v>
      </c>
      <c r="E1265" s="68" t="str">
        <f>_xlfn.XLOOKUP(tblMovimientos[[#This Row],[Cuenta Bancaria]],Listas!$B:$B,Listas!$C:$C,"")</f>
        <v xml:space="preserve">Amerant Bank </v>
      </c>
      <c r="F1265" s="41" t="s">
        <v>10</v>
      </c>
      <c r="G1265" s="41" t="s">
        <v>38</v>
      </c>
      <c r="H1265" s="4" t="str">
        <f>IFERROR(_xlfn.XLOOKUP(G1265,Listas!E:E,Listas!F:F,""),"")</f>
        <v>Operativo</v>
      </c>
      <c r="I1265" s="4" t="str">
        <f>IFERROR(_xlfn.XLOOKUP(G1265,Listas!E:E,Listas!G:G,""),"")</f>
        <v>Externo</v>
      </c>
      <c r="J1265" s="43">
        <v>3125</v>
      </c>
      <c r="K1265" s="5">
        <f t="shared" si="19"/>
        <v>-3125</v>
      </c>
      <c r="L1265" s="15" t="s">
        <v>134</v>
      </c>
      <c r="M1265" s="44">
        <f>SUMIFS('Saldos Iniciales'!$D:$D,'Saldos Iniciales'!$A:$A,C1265,'Saldos Iniciales'!$B:$B,D1265)+SUMIFS($K$1:$K$1324,$C$1:$C$1324,C1265,$D$1:$D$1324,D1265,$B$1:$B$1324,"&lt;="&amp;B1265)</f>
        <v>5557.2699999999986</v>
      </c>
      <c r="N1265" s="61" t="str">
        <f>IF(tblMovimientos[[#This Row],[Tipo de Movimiento]]="Ingreso",tblMovimientos[[#This Row],[Monto (S/)]],"0")</f>
        <v>0</v>
      </c>
      <c r="O1265" s="61">
        <f>IF(tblMovimientos[[#This Row],[Tipo de Movimiento]]="Egreso",tblMovimientos[[#This Row],[Monto (S/)]],"0")</f>
        <v>3125</v>
      </c>
      <c r="P1265" s="28">
        <f>IF(tblMovimientos[[#This Row],[Tipo de Movimiento]]="Ingreso",tblMovimientos[[#This Row],[Ingreso]],-tblMovimientos[[#This Row],[Egreso]])</f>
        <v>-3125</v>
      </c>
      <c r="Q1265" s="78" t="str">
        <f>_xlfn.XLOOKUP(tblMovimientos[[#This Row],[Cuenta Bancaria]],Cuentas!$C:$C,Cuentas!$A:$A,"")&amp;""</f>
        <v>SSP Group</v>
      </c>
      <c r="R1265" s="78" t="str">
        <f>_xlfn.XLOOKUP(tblMovimientos[[#This Row],[Cuenta Bancaria]],Cuentas!$C:$C,Cuentas!$B:$B,"",0,-1)&amp;""</f>
        <v/>
      </c>
    </row>
    <row r="1266" spans="2:18" x14ac:dyDescent="0.3">
      <c r="B1266" s="39">
        <v>46309</v>
      </c>
      <c r="C1266" s="4" t="str">
        <f>_xlfn.XLOOKUP(tblMovimientos[[#This Row],[Cuenta Bancaria]],Listas!$B:$B,Listas!$A:$A,"")</f>
        <v>Go Blue</v>
      </c>
      <c r="D1266" s="41" t="s">
        <v>126</v>
      </c>
      <c r="E1266" s="68" t="str">
        <f>_xlfn.XLOOKUP(tblMovimientos[[#This Row],[Cuenta Bancaria]],Listas!$B:$B,Listas!$C:$C,"")</f>
        <v xml:space="preserve">Amerant Bank </v>
      </c>
      <c r="F1266" s="41" t="s">
        <v>10</v>
      </c>
      <c r="G1266" s="41" t="s">
        <v>44</v>
      </c>
      <c r="H1266" s="4" t="str">
        <f>IFERROR(_xlfn.XLOOKUP(G1266,Listas!E:E,Listas!F:F,""),"")</f>
        <v>Operativo</v>
      </c>
      <c r="I1266" s="4" t="str">
        <f>IFERROR(_xlfn.XLOOKUP(G1266,Listas!E:E,Listas!G:G,""),"")</f>
        <v>Externo</v>
      </c>
      <c r="J1266" s="43">
        <v>15</v>
      </c>
      <c r="K1266" s="5">
        <f t="shared" si="19"/>
        <v>-15</v>
      </c>
      <c r="L1266" s="15" t="s">
        <v>134</v>
      </c>
      <c r="M1266" s="44">
        <f>SUMIFS('Saldos Iniciales'!$D:$D,'Saldos Iniciales'!$A:$A,C1266,'Saldos Iniciales'!$B:$B,D1266)+SUMIFS($K$1:$K$1324,$C$1:$C$1324,C1266,$D$1:$D$1324,D1266,$B$1:$B$1324,"&lt;="&amp;B1266)</f>
        <v>5557.2699999999986</v>
      </c>
      <c r="N1266" s="61" t="str">
        <f>IF(tblMovimientos[[#This Row],[Tipo de Movimiento]]="Ingreso",tblMovimientos[[#This Row],[Monto (S/)]],"0")</f>
        <v>0</v>
      </c>
      <c r="O1266" s="61">
        <f>IF(tblMovimientos[[#This Row],[Tipo de Movimiento]]="Egreso",tblMovimientos[[#This Row],[Monto (S/)]],"0")</f>
        <v>15</v>
      </c>
      <c r="P1266" s="28">
        <f>IF(tblMovimientos[[#This Row],[Tipo de Movimiento]]="Ingreso",tblMovimientos[[#This Row],[Ingreso]],-tblMovimientos[[#This Row],[Egreso]])</f>
        <v>-15</v>
      </c>
      <c r="Q1266" s="78" t="str">
        <f>_xlfn.XLOOKUP(tblMovimientos[[#This Row],[Cuenta Bancaria]],Cuentas!$C:$C,Cuentas!$A:$A,"")&amp;""</f>
        <v>SSP Group</v>
      </c>
      <c r="R1266" s="78" t="str">
        <f>_xlfn.XLOOKUP(tblMovimientos[[#This Row],[Cuenta Bancaria]],Cuentas!$C:$C,Cuentas!$B:$B,"",0,-1)&amp;""</f>
        <v/>
      </c>
    </row>
    <row r="1267" spans="2:18" x14ac:dyDescent="0.3">
      <c r="B1267" s="39">
        <v>46309</v>
      </c>
      <c r="C1267" s="4" t="str">
        <f>_xlfn.XLOOKUP(tblMovimientos[[#This Row],[Cuenta Bancaria]],Listas!$B:$B,Listas!$A:$A,"")</f>
        <v>Go Blue</v>
      </c>
      <c r="D1267" s="41" t="s">
        <v>126</v>
      </c>
      <c r="E1267" s="68" t="str">
        <f>_xlfn.XLOOKUP(tblMovimientos[[#This Row],[Cuenta Bancaria]],Listas!$B:$B,Listas!$C:$C,"")</f>
        <v xml:space="preserve">Amerant Bank </v>
      </c>
      <c r="F1267" s="41" t="s">
        <v>10</v>
      </c>
      <c r="G1267" s="41" t="s">
        <v>38</v>
      </c>
      <c r="H1267" s="4" t="str">
        <f>IFERROR(_xlfn.XLOOKUP(G1267,Listas!E:E,Listas!F:F,""),"")</f>
        <v>Operativo</v>
      </c>
      <c r="I1267" s="4" t="str">
        <f>IFERROR(_xlfn.XLOOKUP(G1267,Listas!E:E,Listas!G:G,""),"")</f>
        <v>Externo</v>
      </c>
      <c r="J1267" s="43">
        <v>13506.08</v>
      </c>
      <c r="K1267" s="5">
        <f t="shared" si="19"/>
        <v>-13506.08</v>
      </c>
      <c r="L1267" s="15" t="s">
        <v>134</v>
      </c>
      <c r="M1267" s="44">
        <f>SUMIFS('Saldos Iniciales'!$D:$D,'Saldos Iniciales'!$A:$A,C1267,'Saldos Iniciales'!$B:$B,D1267)+SUMIFS($K$1:$K$1324,$C$1:$C$1324,C1267,$D$1:$D$1324,D1267,$B$1:$B$1324,"&lt;="&amp;B1267)</f>
        <v>5557.2699999999986</v>
      </c>
      <c r="N1267" s="61" t="str">
        <f>IF(tblMovimientos[[#This Row],[Tipo de Movimiento]]="Ingreso",tblMovimientos[[#This Row],[Monto (S/)]],"0")</f>
        <v>0</v>
      </c>
      <c r="O1267" s="61">
        <f>IF(tblMovimientos[[#This Row],[Tipo de Movimiento]]="Egreso",tblMovimientos[[#This Row],[Monto (S/)]],"0")</f>
        <v>13506.08</v>
      </c>
      <c r="P1267" s="28">
        <f>IF(tblMovimientos[[#This Row],[Tipo de Movimiento]]="Ingreso",tblMovimientos[[#This Row],[Ingreso]],-tblMovimientos[[#This Row],[Egreso]])</f>
        <v>-13506.08</v>
      </c>
      <c r="Q1267" s="78" t="str">
        <f>_xlfn.XLOOKUP(tblMovimientos[[#This Row],[Cuenta Bancaria]],Cuentas!$C:$C,Cuentas!$A:$A,"")&amp;""</f>
        <v>SSP Group</v>
      </c>
      <c r="R1267" s="78" t="str">
        <f>_xlfn.XLOOKUP(tblMovimientos[[#This Row],[Cuenta Bancaria]],Cuentas!$C:$C,Cuentas!$B:$B,"",0,-1)&amp;""</f>
        <v/>
      </c>
    </row>
    <row r="1268" spans="2:18" x14ac:dyDescent="0.3">
      <c r="B1268" s="39">
        <v>46309</v>
      </c>
      <c r="C1268" s="4" t="str">
        <f>_xlfn.XLOOKUP(tblMovimientos[[#This Row],[Cuenta Bancaria]],Listas!$B:$B,Listas!$A:$A,"")</f>
        <v>Go Blue</v>
      </c>
      <c r="D1268" s="41" t="s">
        <v>126</v>
      </c>
      <c r="E1268" s="68" t="str">
        <f>_xlfn.XLOOKUP(tblMovimientos[[#This Row],[Cuenta Bancaria]],Listas!$B:$B,Listas!$C:$C,"")</f>
        <v xml:space="preserve">Amerant Bank </v>
      </c>
      <c r="F1268" s="41" t="s">
        <v>10</v>
      </c>
      <c r="G1268" s="41" t="s">
        <v>44</v>
      </c>
      <c r="H1268" s="4" t="str">
        <f>IFERROR(_xlfn.XLOOKUP(G1268,Listas!E:E,Listas!F:F,""),"")</f>
        <v>Operativo</v>
      </c>
      <c r="I1268" s="4" t="str">
        <f>IFERROR(_xlfn.XLOOKUP(G1268,Listas!E:E,Listas!G:G,""),"")</f>
        <v>Externo</v>
      </c>
      <c r="J1268" s="43">
        <v>15</v>
      </c>
      <c r="K1268" s="5">
        <f t="shared" si="19"/>
        <v>-15</v>
      </c>
      <c r="L1268" s="15" t="s">
        <v>134</v>
      </c>
      <c r="M1268" s="44">
        <f>SUMIFS('Saldos Iniciales'!$D:$D,'Saldos Iniciales'!$A:$A,C1268,'Saldos Iniciales'!$B:$B,D1268)+SUMIFS($K$1:$K$1324,$C$1:$C$1324,C1268,$D$1:$D$1324,D1268,$B$1:$B$1324,"&lt;="&amp;B1268)</f>
        <v>5557.2699999999986</v>
      </c>
      <c r="N1268" s="61" t="str">
        <f>IF(tblMovimientos[[#This Row],[Tipo de Movimiento]]="Ingreso",tblMovimientos[[#This Row],[Monto (S/)]],"0")</f>
        <v>0</v>
      </c>
      <c r="O1268" s="61">
        <f>IF(tblMovimientos[[#This Row],[Tipo de Movimiento]]="Egreso",tblMovimientos[[#This Row],[Monto (S/)]],"0")</f>
        <v>15</v>
      </c>
      <c r="P1268" s="28">
        <f>IF(tblMovimientos[[#This Row],[Tipo de Movimiento]]="Ingreso",tblMovimientos[[#This Row],[Ingreso]],-tblMovimientos[[#This Row],[Egreso]])</f>
        <v>-15</v>
      </c>
      <c r="Q1268" s="78" t="str">
        <f>_xlfn.XLOOKUP(tblMovimientos[[#This Row],[Cuenta Bancaria]],Cuentas!$C:$C,Cuentas!$A:$A,"")&amp;""</f>
        <v>SSP Group</v>
      </c>
      <c r="R1268" s="78" t="str">
        <f>_xlfn.XLOOKUP(tblMovimientos[[#This Row],[Cuenta Bancaria]],Cuentas!$C:$C,Cuentas!$B:$B,"",0,-1)&amp;""</f>
        <v/>
      </c>
    </row>
    <row r="1269" spans="2:18" x14ac:dyDescent="0.3">
      <c r="B1269" s="39">
        <v>46310</v>
      </c>
      <c r="C1269" s="4" t="str">
        <f>_xlfn.XLOOKUP(tblMovimientos[[#This Row],[Cuenta Bancaria]],Listas!$B:$B,Listas!$A:$A,"")</f>
        <v>CFT Group</v>
      </c>
      <c r="D1269" s="41" t="s">
        <v>95</v>
      </c>
      <c r="E1269" s="68" t="str">
        <f>_xlfn.XLOOKUP(tblMovimientos[[#This Row],[Cuenta Bancaria]],Listas!$B:$B,Listas!$C:$C,"")</f>
        <v xml:space="preserve">Amerant Bank </v>
      </c>
      <c r="F1269" s="41" t="s">
        <v>9</v>
      </c>
      <c r="G1269" s="41" t="s">
        <v>76</v>
      </c>
      <c r="H1269" s="4" t="str">
        <f>IFERROR(_xlfn.XLOOKUP(G1269,Listas!E:E,Listas!F:F,""),"")</f>
        <v>Financiamiento</v>
      </c>
      <c r="I1269" s="4" t="str">
        <f>IFERROR(_xlfn.XLOOKUP(G1269,Listas!E:E,Listas!G:G,""),"")</f>
        <v>Externo</v>
      </c>
      <c r="J1269" s="43">
        <v>21000</v>
      </c>
      <c r="K1269" s="5">
        <f t="shared" si="19"/>
        <v>21000</v>
      </c>
      <c r="L1269" s="15" t="s">
        <v>134</v>
      </c>
      <c r="M1269" s="44">
        <f>SUMIFS('Saldos Iniciales'!$D:$D,'Saldos Iniciales'!$A:$A,C1269,'Saldos Iniciales'!$B:$B,D1269)+SUMIFS($K$1:$K$1324,$C$1:$C$1324,C1269,$D$1:$D$1324,D1269,$B$1:$B$1324,"&lt;="&amp;B1269)</f>
        <v>2306741.9300000011</v>
      </c>
      <c r="N1269" s="61">
        <f>IF(tblMovimientos[[#This Row],[Tipo de Movimiento]]="Ingreso",tblMovimientos[[#This Row],[Monto (S/)]],"0")</f>
        <v>21000</v>
      </c>
      <c r="O1269" s="61" t="str">
        <f>IF(tblMovimientos[[#This Row],[Tipo de Movimiento]]="Egreso",tblMovimientos[[#This Row],[Monto (S/)]],"0")</f>
        <v>0</v>
      </c>
      <c r="P1269" s="28">
        <f>IF(tblMovimientos[[#This Row],[Tipo de Movimiento]]="Ingreso",tblMovimientos[[#This Row],[Ingreso]],-tblMovimientos[[#This Row],[Egreso]])</f>
        <v>21000</v>
      </c>
      <c r="Q1269" s="78" t="str">
        <f>_xlfn.XLOOKUP(tblMovimientos[[#This Row],[Cuenta Bancaria]],Cuentas!$C:$C,Cuentas!$A:$A,"")&amp;""</f>
        <v>SSP Group</v>
      </c>
      <c r="R1269" s="78" t="str">
        <f>_xlfn.XLOOKUP(tblMovimientos[[#This Row],[Cuenta Bancaria]],Cuentas!$C:$C,Cuentas!$B:$B,"",0,-1)&amp;""</f>
        <v/>
      </c>
    </row>
    <row r="1270" spans="2:18" x14ac:dyDescent="0.3">
      <c r="B1270" s="39">
        <v>46310</v>
      </c>
      <c r="C1270" s="4" t="str">
        <f>_xlfn.XLOOKUP(tblMovimientos[[#This Row],[Cuenta Bancaria]],Listas!$B:$B,Listas!$A:$A,"")</f>
        <v>Prendamas SRL</v>
      </c>
      <c r="D1270" s="41" t="s">
        <v>186</v>
      </c>
      <c r="E1270" s="68" t="str">
        <f>_xlfn.XLOOKUP(tblMovimientos[[#This Row],[Cuenta Bancaria]],Listas!$B:$B,Listas!$C:$C,"")</f>
        <v xml:space="preserve">Amerant Bank </v>
      </c>
      <c r="F1270" s="41" t="s">
        <v>9</v>
      </c>
      <c r="G1270" s="41" t="s">
        <v>80</v>
      </c>
      <c r="H1270" s="4" t="str">
        <f>IFERROR(_xlfn.XLOOKUP(G1270,Listas!E:E,Listas!F:F,""),"")</f>
        <v>Operativo</v>
      </c>
      <c r="I1270" s="4" t="str">
        <f>IFERROR(_xlfn.XLOOKUP(G1270,Listas!E:E,Listas!G:G,""),"")</f>
        <v>Externo</v>
      </c>
      <c r="J1270" s="43">
        <v>100000</v>
      </c>
      <c r="K1270" s="5">
        <f t="shared" si="19"/>
        <v>100000</v>
      </c>
      <c r="L1270" s="15" t="s">
        <v>134</v>
      </c>
      <c r="M1270" s="44">
        <f>SUMIFS('Saldos Iniciales'!$D:$D,'Saldos Iniciales'!$A:$A,C1270,'Saldos Iniciales'!$B:$B,D1270)+SUMIFS($K$1:$K$1324,$C$1:$C$1324,C1270,$D$1:$D$1324,D1270,$B$1:$B$1324,"&lt;="&amp;B1270)</f>
        <v>120856.06999999998</v>
      </c>
      <c r="N1270" s="61">
        <f>IF(tblMovimientos[[#This Row],[Tipo de Movimiento]]="Ingreso",tblMovimientos[[#This Row],[Monto (S/)]],"0")</f>
        <v>100000</v>
      </c>
      <c r="O1270" s="61" t="str">
        <f>IF(tblMovimientos[[#This Row],[Tipo de Movimiento]]="Egreso",tblMovimientos[[#This Row],[Monto (S/)]],"0")</f>
        <v>0</v>
      </c>
      <c r="P1270" s="28">
        <f>IF(tblMovimientos[[#This Row],[Tipo de Movimiento]]="Ingreso",tblMovimientos[[#This Row],[Ingreso]],-tblMovimientos[[#This Row],[Egreso]])</f>
        <v>100000</v>
      </c>
      <c r="Q1270" s="78" t="str">
        <f>_xlfn.XLOOKUP(tblMovimientos[[#This Row],[Cuenta Bancaria]],Cuentas!$C:$C,Cuentas!$A:$A,"")&amp;""</f>
        <v>Unidades de Negocio</v>
      </c>
      <c r="R1270" s="78" t="str">
        <f>_xlfn.XLOOKUP(tblMovimientos[[#This Row],[Cuenta Bancaria]],Cuentas!$C:$C,Cuentas!$B:$B,"",0,-1)&amp;""</f>
        <v/>
      </c>
    </row>
    <row r="1271" spans="2:18" x14ac:dyDescent="0.3">
      <c r="B1271" s="39">
        <v>46310</v>
      </c>
      <c r="C1271" s="4" t="str">
        <f>_xlfn.XLOOKUP(tblMovimientos[[#This Row],[Cuenta Bancaria]],Listas!$B:$B,Listas!$A:$A,"")</f>
        <v>Prendamas SRL</v>
      </c>
      <c r="D1271" s="41" t="s">
        <v>186</v>
      </c>
      <c r="E1271" s="68" t="str">
        <f>_xlfn.XLOOKUP(tblMovimientos[[#This Row],[Cuenta Bancaria]],Listas!$B:$B,Listas!$C:$C,"")</f>
        <v xml:space="preserve">Amerant Bank </v>
      </c>
      <c r="F1271" s="41" t="s">
        <v>10</v>
      </c>
      <c r="G1271" s="41" t="s">
        <v>44</v>
      </c>
      <c r="H1271" s="4" t="str">
        <f>IFERROR(_xlfn.XLOOKUP(G1271,Listas!E:E,Listas!F:F,""),"")</f>
        <v>Operativo</v>
      </c>
      <c r="I1271" s="4" t="str">
        <f>IFERROR(_xlfn.XLOOKUP(G1271,Listas!E:E,Listas!G:G,""),"")</f>
        <v>Externo</v>
      </c>
      <c r="J1271" s="43">
        <v>12</v>
      </c>
      <c r="K1271" s="5">
        <f t="shared" si="19"/>
        <v>-12</v>
      </c>
      <c r="L1271" s="15" t="s">
        <v>134</v>
      </c>
      <c r="M1271" s="44">
        <f>SUMIFS('Saldos Iniciales'!$D:$D,'Saldos Iniciales'!$A:$A,C1271,'Saldos Iniciales'!$B:$B,D1271)+SUMIFS($K$1:$K$1324,$C$1:$C$1324,C1271,$D$1:$D$1324,D1271,$B$1:$B$1324,"&lt;="&amp;B1271)</f>
        <v>120856.06999999998</v>
      </c>
      <c r="N1271" s="61" t="str">
        <f>IF(tblMovimientos[[#This Row],[Tipo de Movimiento]]="Ingreso",tblMovimientos[[#This Row],[Monto (S/)]],"0")</f>
        <v>0</v>
      </c>
      <c r="O1271" s="61">
        <f>IF(tblMovimientos[[#This Row],[Tipo de Movimiento]]="Egreso",tblMovimientos[[#This Row],[Monto (S/)]],"0")</f>
        <v>12</v>
      </c>
      <c r="P1271" s="28">
        <f>IF(tblMovimientos[[#This Row],[Tipo de Movimiento]]="Ingreso",tblMovimientos[[#This Row],[Ingreso]],-tblMovimientos[[#This Row],[Egreso]])</f>
        <v>-12</v>
      </c>
      <c r="Q1271" s="78" t="str">
        <f>_xlfn.XLOOKUP(tblMovimientos[[#This Row],[Cuenta Bancaria]],Cuentas!$C:$C,Cuentas!$A:$A,"")&amp;""</f>
        <v>Unidades de Negocio</v>
      </c>
      <c r="R1271" s="78" t="str">
        <f>_xlfn.XLOOKUP(tblMovimientos[[#This Row],[Cuenta Bancaria]],Cuentas!$C:$C,Cuentas!$B:$B,"",0,-1)&amp;""</f>
        <v/>
      </c>
    </row>
    <row r="1272" spans="2:18" x14ac:dyDescent="0.3">
      <c r="B1272" s="39">
        <v>46310</v>
      </c>
      <c r="C1272" s="4" t="str">
        <f>_xlfn.XLOOKUP(tblMovimientos[[#This Row],[Cuenta Bancaria]],Listas!$B:$B,Listas!$A:$A,"")</f>
        <v>Prendamas SRL</v>
      </c>
      <c r="D1272" s="41" t="s">
        <v>186</v>
      </c>
      <c r="E1272" s="68" t="str">
        <f>_xlfn.XLOOKUP(tblMovimientos[[#This Row],[Cuenta Bancaria]],Listas!$B:$B,Listas!$C:$C,"")</f>
        <v xml:space="preserve">Amerant Bank </v>
      </c>
      <c r="F1272" s="41" t="s">
        <v>10</v>
      </c>
      <c r="G1272" s="41" t="s">
        <v>38</v>
      </c>
      <c r="H1272" s="4" t="str">
        <f>IFERROR(_xlfn.XLOOKUP(G1272,Listas!E:E,Listas!F:F,""),"")</f>
        <v>Operativo</v>
      </c>
      <c r="I1272" s="4" t="str">
        <f>IFERROR(_xlfn.XLOOKUP(G1272,Listas!E:E,Listas!G:G,""),"")</f>
        <v>Externo</v>
      </c>
      <c r="J1272" s="43">
        <v>513.85</v>
      </c>
      <c r="K1272" s="5">
        <f t="shared" si="19"/>
        <v>-513.85</v>
      </c>
      <c r="L1272" s="15" t="s">
        <v>134</v>
      </c>
      <c r="M1272" s="44">
        <f>SUMIFS('Saldos Iniciales'!$D:$D,'Saldos Iniciales'!$A:$A,C1272,'Saldos Iniciales'!$B:$B,D1272)+SUMIFS($K$1:$K$1324,$C$1:$C$1324,C1272,$D$1:$D$1324,D1272,$B$1:$B$1324,"&lt;="&amp;B1272)</f>
        <v>120856.06999999998</v>
      </c>
      <c r="N1272" s="61" t="str">
        <f>IF(tblMovimientos[[#This Row],[Tipo de Movimiento]]="Ingreso",tblMovimientos[[#This Row],[Monto (S/)]],"0")</f>
        <v>0</v>
      </c>
      <c r="O1272" s="61">
        <f>IF(tblMovimientos[[#This Row],[Tipo de Movimiento]]="Egreso",tblMovimientos[[#This Row],[Monto (S/)]],"0")</f>
        <v>513.85</v>
      </c>
      <c r="P1272" s="28">
        <f>IF(tblMovimientos[[#This Row],[Tipo de Movimiento]]="Ingreso",tblMovimientos[[#This Row],[Ingreso]],-tblMovimientos[[#This Row],[Egreso]])</f>
        <v>-513.85</v>
      </c>
      <c r="Q1272" s="78" t="str">
        <f>_xlfn.XLOOKUP(tblMovimientos[[#This Row],[Cuenta Bancaria]],Cuentas!$C:$C,Cuentas!$A:$A,"")&amp;""</f>
        <v>Unidades de Negocio</v>
      </c>
      <c r="R1272" s="78" t="str">
        <f>_xlfn.XLOOKUP(tblMovimientos[[#This Row],[Cuenta Bancaria]],Cuentas!$C:$C,Cuentas!$B:$B,"",0,-1)&amp;""</f>
        <v/>
      </c>
    </row>
    <row r="1273" spans="2:18" x14ac:dyDescent="0.3">
      <c r="B1273" s="39">
        <v>46310</v>
      </c>
      <c r="C1273" s="4" t="str">
        <f>_xlfn.XLOOKUP(tblMovimientos[[#This Row],[Cuenta Bancaria]],Listas!$B:$B,Listas!$A:$A,"")</f>
        <v>Prendamas SRL</v>
      </c>
      <c r="D1273" s="41" t="s">
        <v>186</v>
      </c>
      <c r="E1273" s="68" t="str">
        <f>_xlfn.XLOOKUP(tblMovimientos[[#This Row],[Cuenta Bancaria]],Listas!$B:$B,Listas!$C:$C,"")</f>
        <v xml:space="preserve">Amerant Bank </v>
      </c>
      <c r="F1273" s="41" t="s">
        <v>10</v>
      </c>
      <c r="G1273" s="41" t="s">
        <v>44</v>
      </c>
      <c r="H1273" s="4" t="str">
        <f>IFERROR(_xlfn.XLOOKUP(G1273,Listas!E:E,Listas!F:F,""),"")</f>
        <v>Operativo</v>
      </c>
      <c r="I1273" s="4" t="str">
        <f>IFERROR(_xlfn.XLOOKUP(G1273,Listas!E:E,Listas!G:G,""),"")</f>
        <v>Externo</v>
      </c>
      <c r="J1273" s="43">
        <v>15.42</v>
      </c>
      <c r="K1273" s="5">
        <f t="shared" si="19"/>
        <v>-15.42</v>
      </c>
      <c r="L1273" s="15" t="s">
        <v>134</v>
      </c>
      <c r="M1273" s="44">
        <f>SUMIFS('Saldos Iniciales'!$D:$D,'Saldos Iniciales'!$A:$A,C1273,'Saldos Iniciales'!$B:$B,D1273)+SUMIFS($K$1:$K$1324,$C$1:$C$1324,C1273,$D$1:$D$1324,D1273,$B$1:$B$1324,"&lt;="&amp;B1273)</f>
        <v>120856.06999999998</v>
      </c>
      <c r="N1273" s="61" t="str">
        <f>IF(tblMovimientos[[#This Row],[Tipo de Movimiento]]="Ingreso",tblMovimientos[[#This Row],[Monto (S/)]],"0")</f>
        <v>0</v>
      </c>
      <c r="O1273" s="61">
        <f>IF(tblMovimientos[[#This Row],[Tipo de Movimiento]]="Egreso",tblMovimientos[[#This Row],[Monto (S/)]],"0")</f>
        <v>15.42</v>
      </c>
      <c r="P1273" s="28">
        <f>IF(tblMovimientos[[#This Row],[Tipo de Movimiento]]="Ingreso",tblMovimientos[[#This Row],[Ingreso]],-tblMovimientos[[#This Row],[Egreso]])</f>
        <v>-15.42</v>
      </c>
      <c r="Q1273" s="78" t="str">
        <f>_xlfn.XLOOKUP(tblMovimientos[[#This Row],[Cuenta Bancaria]],Cuentas!$C:$C,Cuentas!$A:$A,"")&amp;""</f>
        <v>Unidades de Negocio</v>
      </c>
      <c r="R1273" s="78" t="str">
        <f>_xlfn.XLOOKUP(tblMovimientos[[#This Row],[Cuenta Bancaria]],Cuentas!$C:$C,Cuentas!$B:$B,"",0,-1)&amp;""</f>
        <v/>
      </c>
    </row>
    <row r="1274" spans="2:18" x14ac:dyDescent="0.3">
      <c r="B1274" s="39">
        <v>46310</v>
      </c>
      <c r="C1274" s="4" t="str">
        <f>_xlfn.XLOOKUP(tblMovimientos[[#This Row],[Cuenta Bancaria]],Listas!$B:$B,Listas!$A:$A,"")</f>
        <v>Go Blue</v>
      </c>
      <c r="D1274" s="41" t="s">
        <v>126</v>
      </c>
      <c r="E1274" s="68" t="str">
        <f>_xlfn.XLOOKUP(tblMovimientos[[#This Row],[Cuenta Bancaria]],Listas!$B:$B,Listas!$C:$C,"")</f>
        <v xml:space="preserve">Amerant Bank </v>
      </c>
      <c r="F1274" s="41" t="s">
        <v>10</v>
      </c>
      <c r="G1274" s="41" t="s">
        <v>38</v>
      </c>
      <c r="H1274" s="4" t="str">
        <f>IFERROR(_xlfn.XLOOKUP(G1274,Listas!E:E,Listas!F:F,""),"")</f>
        <v>Operativo</v>
      </c>
      <c r="I1274" s="4" t="str">
        <f>IFERROR(_xlfn.XLOOKUP(G1274,Listas!E:E,Listas!G:G,""),"")</f>
        <v>Externo</v>
      </c>
      <c r="J1274" s="43">
        <v>175</v>
      </c>
      <c r="K1274" s="5">
        <f t="shared" si="19"/>
        <v>-175</v>
      </c>
      <c r="L1274" s="15" t="s">
        <v>134</v>
      </c>
      <c r="M1274" s="44">
        <f>SUMIFS('Saldos Iniciales'!$D:$D,'Saldos Iniciales'!$A:$A,C1274,'Saldos Iniciales'!$B:$B,D1274)+SUMIFS($K$1:$K$1324,$C$1:$C$1324,C1274,$D$1:$D$1324,D1274,$B$1:$B$1324,"&lt;="&amp;B1274)</f>
        <v>5382.2699999999986</v>
      </c>
      <c r="N1274" s="61" t="str">
        <f>IF(tblMovimientos[[#This Row],[Tipo de Movimiento]]="Ingreso",tblMovimientos[[#This Row],[Monto (S/)]],"0")</f>
        <v>0</v>
      </c>
      <c r="O1274" s="61">
        <f>IF(tblMovimientos[[#This Row],[Tipo de Movimiento]]="Egreso",tblMovimientos[[#This Row],[Monto (S/)]],"0")</f>
        <v>175</v>
      </c>
      <c r="P1274" s="28">
        <f>IF(tblMovimientos[[#This Row],[Tipo de Movimiento]]="Ingreso",tblMovimientos[[#This Row],[Ingreso]],-tblMovimientos[[#This Row],[Egreso]])</f>
        <v>-175</v>
      </c>
      <c r="Q1274" s="78" t="str">
        <f>_xlfn.XLOOKUP(tblMovimientos[[#This Row],[Cuenta Bancaria]],Cuentas!$C:$C,Cuentas!$A:$A,"")&amp;""</f>
        <v>SSP Group</v>
      </c>
      <c r="R1274" s="78" t="str">
        <f>_xlfn.XLOOKUP(tblMovimientos[[#This Row],[Cuenta Bancaria]],Cuentas!$C:$C,Cuentas!$B:$B,"",0,-1)&amp;""</f>
        <v/>
      </c>
    </row>
    <row r="1275" spans="2:18" x14ac:dyDescent="0.3">
      <c r="B1275" s="39">
        <v>46310</v>
      </c>
      <c r="C1275" s="4" t="str">
        <f>_xlfn.XLOOKUP(tblMovimientos[[#This Row],[Cuenta Bancaria]],Listas!$B:$B,Listas!$A:$A,"")</f>
        <v>SSP Capital</v>
      </c>
      <c r="D1275" s="41" t="s">
        <v>102</v>
      </c>
      <c r="E1275" s="68" t="str">
        <f>_xlfn.XLOOKUP(tblMovimientos[[#This Row],[Cuenta Bancaria]],Listas!$B:$B,Listas!$C:$C,"")</f>
        <v>Bank of America</v>
      </c>
      <c r="F1275" s="41" t="s">
        <v>10</v>
      </c>
      <c r="G1275" s="41" t="s">
        <v>44</v>
      </c>
      <c r="H1275" s="4" t="str">
        <f>IFERROR(_xlfn.XLOOKUP(G1275,Listas!E:E,Listas!F:F,""),"")</f>
        <v>Operativo</v>
      </c>
      <c r="I1275" s="4" t="str">
        <f>IFERROR(_xlfn.XLOOKUP(G1275,Listas!E:E,Listas!G:G,""),"")</f>
        <v>Externo</v>
      </c>
      <c r="J1275" s="43">
        <v>29.42</v>
      </c>
      <c r="K1275" s="5">
        <f t="shared" si="19"/>
        <v>-29.42</v>
      </c>
      <c r="L1275" s="15" t="s">
        <v>134</v>
      </c>
      <c r="M1275" s="44">
        <f>SUMIFS('Saldos Iniciales'!$D:$D,'Saldos Iniciales'!$A:$A,C1275,'Saldos Iniciales'!$B:$B,D1275)+SUMIFS($K$1:$K$1324,$C$1:$C$1324,C1275,$D$1:$D$1324,D1275,$B$1:$B$1324,"&lt;="&amp;B1275)</f>
        <v>748.92000000000007</v>
      </c>
      <c r="N1275" s="61" t="str">
        <f>IF(tblMovimientos[[#This Row],[Tipo de Movimiento]]="Ingreso",tblMovimientos[[#This Row],[Monto (S/)]],"0")</f>
        <v>0</v>
      </c>
      <c r="O1275" s="61">
        <f>IF(tblMovimientos[[#This Row],[Tipo de Movimiento]]="Egreso",tblMovimientos[[#This Row],[Monto (S/)]],"0")</f>
        <v>29.42</v>
      </c>
      <c r="P1275" s="28">
        <f>IF(tblMovimientos[[#This Row],[Tipo de Movimiento]]="Ingreso",tblMovimientos[[#This Row],[Ingreso]],-tblMovimientos[[#This Row],[Egreso]])</f>
        <v>-29.42</v>
      </c>
      <c r="Q1275" s="78" t="str">
        <f>_xlfn.XLOOKUP(tblMovimientos[[#This Row],[Cuenta Bancaria]],Cuentas!$C:$C,Cuentas!$A:$A,"")&amp;""</f>
        <v>SSP Group</v>
      </c>
      <c r="R1275" s="78" t="str">
        <f>_xlfn.XLOOKUP(tblMovimientos[[#This Row],[Cuenta Bancaria]],Cuentas!$C:$C,Cuentas!$B:$B,"",0,-1)&amp;""</f>
        <v/>
      </c>
    </row>
    <row r="1276" spans="2:18" x14ac:dyDescent="0.3">
      <c r="B1276" s="39">
        <v>46310</v>
      </c>
      <c r="C1276" s="4" t="str">
        <f>_xlfn.XLOOKUP(tblMovimientos[[#This Row],[Cuenta Bancaria]],Listas!$B:$B,Listas!$A:$A,"")</f>
        <v>A&amp;M Imports</v>
      </c>
      <c r="D1276" s="41" t="s">
        <v>100</v>
      </c>
      <c r="E1276" s="68" t="str">
        <f>_xlfn.XLOOKUP(tblMovimientos[[#This Row],[Cuenta Bancaria]],Listas!$B:$B,Listas!$C:$C,"")</f>
        <v>Bank of America</v>
      </c>
      <c r="F1276" s="41" t="s">
        <v>10</v>
      </c>
      <c r="G1276" s="41" t="s">
        <v>44</v>
      </c>
      <c r="H1276" s="4" t="str">
        <f>IFERROR(_xlfn.XLOOKUP(G1276,Listas!E:E,Listas!F:F,""),"")</f>
        <v>Operativo</v>
      </c>
      <c r="I1276" s="4" t="str">
        <f>IFERROR(_xlfn.XLOOKUP(G1276,Listas!E:E,Listas!G:G,""),"")</f>
        <v>Externo</v>
      </c>
      <c r="J1276" s="43">
        <v>585.84</v>
      </c>
      <c r="K1276" s="5">
        <f t="shared" si="19"/>
        <v>-585.84</v>
      </c>
      <c r="L1276" s="15" t="s">
        <v>134</v>
      </c>
      <c r="M1276" s="44">
        <f>SUMIFS('Saldos Iniciales'!$D:$D,'Saldos Iniciales'!$A:$A,C1276,'Saldos Iniciales'!$B:$B,D1276)+SUMIFS($K$1:$K$1324,$C$1:$C$1324,C1276,$D$1:$D$1324,D1276,$B$1:$B$1324,"&lt;="&amp;B1276)</f>
        <v>891793.39999999956</v>
      </c>
      <c r="N1276" s="61" t="str">
        <f>IF(tblMovimientos[[#This Row],[Tipo de Movimiento]]="Ingreso",tblMovimientos[[#This Row],[Monto (S/)]],"0")</f>
        <v>0</v>
      </c>
      <c r="O1276" s="61">
        <f>IF(tblMovimientos[[#This Row],[Tipo de Movimiento]]="Egreso",tblMovimientos[[#This Row],[Monto (S/)]],"0")</f>
        <v>585.84</v>
      </c>
      <c r="P1276" s="28">
        <f>IF(tblMovimientos[[#This Row],[Tipo de Movimiento]]="Ingreso",tblMovimientos[[#This Row],[Ingreso]],-tblMovimientos[[#This Row],[Egreso]])</f>
        <v>-585.84</v>
      </c>
      <c r="Q1276" s="78" t="str">
        <f>_xlfn.XLOOKUP(tblMovimientos[[#This Row],[Cuenta Bancaria]],Cuentas!$C:$C,Cuentas!$A:$A,"")&amp;""</f>
        <v>SSP Group</v>
      </c>
      <c r="R1276" s="78" t="str">
        <f>_xlfn.XLOOKUP(tblMovimientos[[#This Row],[Cuenta Bancaria]],Cuentas!$C:$C,Cuentas!$B:$B,"",0,-1)&amp;""</f>
        <v/>
      </c>
    </row>
    <row r="1277" spans="2:18" x14ac:dyDescent="0.3">
      <c r="E1277" s="68"/>
      <c r="I1277" s="68"/>
      <c r="Q1277" s="78" t="str">
        <f>_xlfn.XLOOKUP(tblMovimientos[[#This Row],[Cuenta Bancaria]],Cuentas!$C:$C,Cuentas!$A:$A,"")&amp;""</f>
        <v/>
      </c>
      <c r="R1277" s="78" t="str">
        <f>_xlfn.XLOOKUP(tblMovimientos[[#This Row],[Cuenta Bancaria]],Cuentas!$C:$C,Cuentas!$B:$B,"",0,-1)&amp;""</f>
        <v/>
      </c>
    </row>
    <row r="1278" spans="2:18" x14ac:dyDescent="0.3">
      <c r="E1278" s="68"/>
      <c r="I1278" s="68"/>
      <c r="Q1278" s="78" t="str">
        <f>_xlfn.XLOOKUP(tblMovimientos[[#This Row],[Cuenta Bancaria]],Cuentas!$C:$C,Cuentas!$A:$A,"")&amp;""</f>
        <v/>
      </c>
      <c r="R1278" s="78" t="str">
        <f>_xlfn.XLOOKUP(tblMovimientos[[#This Row],[Cuenta Bancaria]],Cuentas!$C:$C,Cuentas!$B:$B,"",0,-1)&amp;""</f>
        <v/>
      </c>
    </row>
    <row r="1279" spans="2:18" x14ac:dyDescent="0.3">
      <c r="E1279" s="68"/>
      <c r="I1279" s="68"/>
      <c r="Q1279" s="78" t="str">
        <f>_xlfn.XLOOKUP(tblMovimientos[[#This Row],[Cuenta Bancaria]],Cuentas!$C:$C,Cuentas!$A:$A,"")&amp;""</f>
        <v/>
      </c>
      <c r="R1279" s="78" t="str">
        <f>_xlfn.XLOOKUP(tblMovimientos[[#This Row],[Cuenta Bancaria]],Cuentas!$C:$C,Cuentas!$B:$B,"",0,-1)&amp;""</f>
        <v/>
      </c>
    </row>
    <row r="1280" spans="2:18" x14ac:dyDescent="0.3">
      <c r="E1280" s="68"/>
      <c r="I1280" s="68"/>
      <c r="Q1280" s="78" t="str">
        <f>_xlfn.XLOOKUP(tblMovimientos[[#This Row],[Cuenta Bancaria]],Cuentas!$C:$C,Cuentas!$A:$A,"")&amp;""</f>
        <v/>
      </c>
      <c r="R1280" s="78" t="str">
        <f>_xlfn.XLOOKUP(tblMovimientos[[#This Row],[Cuenta Bancaria]],Cuentas!$C:$C,Cuentas!$B:$B,"",0,-1)&amp;""</f>
        <v/>
      </c>
    </row>
    <row r="1281" spans="5:18" x14ac:dyDescent="0.3">
      <c r="E1281" s="68"/>
      <c r="I1281" s="68"/>
      <c r="Q1281" s="78" t="str">
        <f>_xlfn.XLOOKUP(tblMovimientos[[#This Row],[Cuenta Bancaria]],Cuentas!$C:$C,Cuentas!$A:$A,"")&amp;""</f>
        <v/>
      </c>
      <c r="R1281" s="78" t="str">
        <f>_xlfn.XLOOKUP(tblMovimientos[[#This Row],[Cuenta Bancaria]],Cuentas!$C:$C,Cuentas!$B:$B,"",0,-1)&amp;""</f>
        <v/>
      </c>
    </row>
    <row r="1282" spans="5:18" x14ac:dyDescent="0.3">
      <c r="E1282" s="68"/>
      <c r="I1282" s="68"/>
      <c r="Q1282" s="78" t="str">
        <f>_xlfn.XLOOKUP(tblMovimientos[[#This Row],[Cuenta Bancaria]],Cuentas!$C:$C,Cuentas!$A:$A,"")&amp;""</f>
        <v/>
      </c>
      <c r="R1282" s="78" t="str">
        <f>_xlfn.XLOOKUP(tblMovimientos[[#This Row],[Cuenta Bancaria]],Cuentas!$C:$C,Cuentas!$B:$B,"",0,-1)&amp;""</f>
        <v/>
      </c>
    </row>
    <row r="1283" spans="5:18" x14ac:dyDescent="0.3">
      <c r="E1283" s="68"/>
      <c r="I1283" s="68"/>
      <c r="Q1283" s="78" t="str">
        <f>_xlfn.XLOOKUP(tblMovimientos[[#This Row],[Cuenta Bancaria]],Cuentas!$C:$C,Cuentas!$A:$A,"")&amp;""</f>
        <v/>
      </c>
      <c r="R1283" s="78" t="str">
        <f>_xlfn.XLOOKUP(tblMovimientos[[#This Row],[Cuenta Bancaria]],Cuentas!$C:$C,Cuentas!$B:$B,"",0,-1)&amp;""</f>
        <v/>
      </c>
    </row>
    <row r="1284" spans="5:18" x14ac:dyDescent="0.3">
      <c r="E1284" s="68"/>
      <c r="I1284" s="68"/>
      <c r="Q1284" s="78" t="str">
        <f>_xlfn.XLOOKUP(tblMovimientos[[#This Row],[Cuenta Bancaria]],Cuentas!$C:$C,Cuentas!$A:$A,"")&amp;""</f>
        <v/>
      </c>
      <c r="R1284" s="78" t="str">
        <f>_xlfn.XLOOKUP(tblMovimientos[[#This Row],[Cuenta Bancaria]],Cuentas!$C:$C,Cuentas!$B:$B,"",0,-1)&amp;""</f>
        <v/>
      </c>
    </row>
    <row r="1285" spans="5:18" x14ac:dyDescent="0.3">
      <c r="E1285" s="68"/>
      <c r="I1285" s="68"/>
      <c r="Q1285" s="78" t="str">
        <f>_xlfn.XLOOKUP(tblMovimientos[[#This Row],[Cuenta Bancaria]],Cuentas!$C:$C,Cuentas!$A:$A,"")&amp;""</f>
        <v/>
      </c>
      <c r="R1285" s="78" t="str">
        <f>_xlfn.XLOOKUP(tblMovimientos[[#This Row],[Cuenta Bancaria]],Cuentas!$C:$C,Cuentas!$B:$B,"",0,-1)&amp;""</f>
        <v/>
      </c>
    </row>
    <row r="1286" spans="5:18" x14ac:dyDescent="0.3">
      <c r="E1286" s="68"/>
      <c r="I1286" s="68"/>
      <c r="Q1286" s="78" t="str">
        <f>_xlfn.XLOOKUP(tblMovimientos[[#This Row],[Cuenta Bancaria]],Cuentas!$C:$C,Cuentas!$A:$A,"")&amp;""</f>
        <v/>
      </c>
      <c r="R1286" s="78" t="str">
        <f>_xlfn.XLOOKUP(tblMovimientos[[#This Row],[Cuenta Bancaria]],Cuentas!$C:$C,Cuentas!$B:$B,"",0,-1)&amp;""</f>
        <v/>
      </c>
    </row>
    <row r="1287" spans="5:18" x14ac:dyDescent="0.3">
      <c r="E1287" s="68"/>
      <c r="I1287" s="68"/>
      <c r="Q1287" s="78" t="str">
        <f>_xlfn.XLOOKUP(tblMovimientos[[#This Row],[Cuenta Bancaria]],Cuentas!$C:$C,Cuentas!$A:$A,"")&amp;""</f>
        <v/>
      </c>
      <c r="R1287" s="78" t="str">
        <f>_xlfn.XLOOKUP(tblMovimientos[[#This Row],[Cuenta Bancaria]],Cuentas!$C:$C,Cuentas!$B:$B,"",0,-1)&amp;""</f>
        <v/>
      </c>
    </row>
    <row r="1288" spans="5:18" x14ac:dyDescent="0.3">
      <c r="E1288" s="68"/>
      <c r="I1288" s="68"/>
      <c r="Q1288" s="78" t="str">
        <f>_xlfn.XLOOKUP(tblMovimientos[[#This Row],[Cuenta Bancaria]],Cuentas!$C:$C,Cuentas!$A:$A,"")&amp;""</f>
        <v/>
      </c>
      <c r="R1288" s="78" t="str">
        <f>_xlfn.XLOOKUP(tblMovimientos[[#This Row],[Cuenta Bancaria]],Cuentas!$C:$C,Cuentas!$B:$B,"",0,-1)&amp;""</f>
        <v/>
      </c>
    </row>
    <row r="1289" spans="5:18" x14ac:dyDescent="0.3">
      <c r="E1289" s="68"/>
      <c r="I1289" s="68"/>
      <c r="Q1289" s="78" t="str">
        <f>_xlfn.XLOOKUP(tblMovimientos[[#This Row],[Cuenta Bancaria]],Cuentas!$C:$C,Cuentas!$A:$A,"")&amp;""</f>
        <v/>
      </c>
      <c r="R1289" s="78" t="str">
        <f>_xlfn.XLOOKUP(tblMovimientos[[#This Row],[Cuenta Bancaria]],Cuentas!$C:$C,Cuentas!$B:$B,"",0,-1)&amp;""</f>
        <v/>
      </c>
    </row>
    <row r="1290" spans="5:18" x14ac:dyDescent="0.3">
      <c r="E1290" s="68"/>
      <c r="I1290" s="68"/>
      <c r="Q1290" s="78" t="str">
        <f>_xlfn.XLOOKUP(tblMovimientos[[#This Row],[Cuenta Bancaria]],Cuentas!$C:$C,Cuentas!$A:$A,"")&amp;""</f>
        <v/>
      </c>
      <c r="R1290" s="78" t="str">
        <f>_xlfn.XLOOKUP(tblMovimientos[[#This Row],[Cuenta Bancaria]],Cuentas!$C:$C,Cuentas!$B:$B,"",0,-1)&amp;""</f>
        <v/>
      </c>
    </row>
    <row r="1291" spans="5:18" x14ac:dyDescent="0.3">
      <c r="E1291" s="68"/>
      <c r="I1291" s="68"/>
      <c r="Q1291" s="78" t="str">
        <f>_xlfn.XLOOKUP(tblMovimientos[[#This Row],[Cuenta Bancaria]],Cuentas!$C:$C,Cuentas!$A:$A,"")&amp;""</f>
        <v/>
      </c>
      <c r="R1291" s="78" t="str">
        <f>_xlfn.XLOOKUP(tblMovimientos[[#This Row],[Cuenta Bancaria]],Cuentas!$C:$C,Cuentas!$B:$B,"",0,-1)&amp;""</f>
        <v/>
      </c>
    </row>
    <row r="1292" spans="5:18" x14ac:dyDescent="0.3">
      <c r="E1292" s="68"/>
      <c r="I1292" s="68"/>
      <c r="Q1292" s="78" t="str">
        <f>_xlfn.XLOOKUP(tblMovimientos[[#This Row],[Cuenta Bancaria]],Cuentas!$C:$C,Cuentas!$A:$A,"")&amp;""</f>
        <v/>
      </c>
      <c r="R1292" s="78" t="str">
        <f>_xlfn.XLOOKUP(tblMovimientos[[#This Row],[Cuenta Bancaria]],Cuentas!$C:$C,Cuentas!$B:$B,"",0,-1)&amp;""</f>
        <v/>
      </c>
    </row>
    <row r="1293" spans="5:18" x14ac:dyDescent="0.3">
      <c r="E1293" s="68"/>
      <c r="I1293" s="68"/>
      <c r="Q1293" s="78" t="str">
        <f>_xlfn.XLOOKUP(tblMovimientos[[#This Row],[Cuenta Bancaria]],Cuentas!$C:$C,Cuentas!$A:$A,"")&amp;""</f>
        <v/>
      </c>
      <c r="R1293" s="78" t="str">
        <f>_xlfn.XLOOKUP(tblMovimientos[[#This Row],[Cuenta Bancaria]],Cuentas!$C:$C,Cuentas!$B:$B,"",0,-1)&amp;""</f>
        <v/>
      </c>
    </row>
    <row r="1294" spans="5:18" x14ac:dyDescent="0.3">
      <c r="E1294" s="68"/>
      <c r="I1294" s="68"/>
      <c r="Q1294" s="78" t="str">
        <f>_xlfn.XLOOKUP(tblMovimientos[[#This Row],[Cuenta Bancaria]],Cuentas!$C:$C,Cuentas!$A:$A,"")&amp;""</f>
        <v/>
      </c>
      <c r="R1294" s="78" t="str">
        <f>_xlfn.XLOOKUP(tblMovimientos[[#This Row],[Cuenta Bancaria]],Cuentas!$C:$C,Cuentas!$B:$B,"",0,-1)&amp;""</f>
        <v/>
      </c>
    </row>
    <row r="1295" spans="5:18" x14ac:dyDescent="0.3">
      <c r="E1295" s="68"/>
      <c r="I1295" s="68"/>
      <c r="Q1295" s="78" t="str">
        <f>_xlfn.XLOOKUP(tblMovimientos[[#This Row],[Cuenta Bancaria]],Cuentas!$C:$C,Cuentas!$A:$A,"")&amp;""</f>
        <v/>
      </c>
      <c r="R1295" s="78" t="str">
        <f>_xlfn.XLOOKUP(tblMovimientos[[#This Row],[Cuenta Bancaria]],Cuentas!$C:$C,Cuentas!$B:$B,"",0,-1)&amp;""</f>
        <v/>
      </c>
    </row>
    <row r="1296" spans="5:18" x14ac:dyDescent="0.3">
      <c r="E1296" s="68"/>
      <c r="I1296" s="68"/>
      <c r="Q1296" s="78" t="str">
        <f>_xlfn.XLOOKUP(tblMovimientos[[#This Row],[Cuenta Bancaria]],Cuentas!$C:$C,Cuentas!$A:$A,"")&amp;""</f>
        <v/>
      </c>
      <c r="R1296" s="78" t="str">
        <f>_xlfn.XLOOKUP(tblMovimientos[[#This Row],[Cuenta Bancaria]],Cuentas!$C:$C,Cuentas!$B:$B,"",0,-1)&amp;""</f>
        <v/>
      </c>
    </row>
    <row r="1297" spans="5:18" x14ac:dyDescent="0.3">
      <c r="E1297" s="68"/>
      <c r="I1297" s="68"/>
      <c r="Q1297" s="78" t="str">
        <f>_xlfn.XLOOKUP(tblMovimientos[[#This Row],[Cuenta Bancaria]],Cuentas!$C:$C,Cuentas!$A:$A,"")&amp;""</f>
        <v/>
      </c>
      <c r="R1297" s="78" t="str">
        <f>_xlfn.XLOOKUP(tblMovimientos[[#This Row],[Cuenta Bancaria]],Cuentas!$C:$C,Cuentas!$B:$B,"",0,-1)&amp;""</f>
        <v/>
      </c>
    </row>
    <row r="1298" spans="5:18" x14ac:dyDescent="0.3">
      <c r="E1298" s="68"/>
      <c r="I1298" s="68"/>
      <c r="Q1298" s="78" t="str">
        <f>_xlfn.XLOOKUP(tblMovimientos[[#This Row],[Cuenta Bancaria]],Cuentas!$C:$C,Cuentas!$A:$A,"")&amp;""</f>
        <v/>
      </c>
      <c r="R1298" s="78" t="str">
        <f>_xlfn.XLOOKUP(tblMovimientos[[#This Row],[Cuenta Bancaria]],Cuentas!$C:$C,Cuentas!$B:$B,"",0,-1)&amp;""</f>
        <v/>
      </c>
    </row>
    <row r="1299" spans="5:18" x14ac:dyDescent="0.3">
      <c r="E1299" s="68"/>
      <c r="I1299" s="68"/>
      <c r="Q1299" s="78" t="str">
        <f>_xlfn.XLOOKUP(tblMovimientos[[#This Row],[Cuenta Bancaria]],Cuentas!$C:$C,Cuentas!$A:$A,"")&amp;""</f>
        <v/>
      </c>
      <c r="R1299" s="78" t="str">
        <f>_xlfn.XLOOKUP(tblMovimientos[[#This Row],[Cuenta Bancaria]],Cuentas!$C:$C,Cuentas!$B:$B,"",0,-1)&amp;""</f>
        <v/>
      </c>
    </row>
    <row r="1300" spans="5:18" x14ac:dyDescent="0.3">
      <c r="E1300" s="68"/>
      <c r="I1300" s="68"/>
      <c r="Q1300" s="78" t="str">
        <f>_xlfn.XLOOKUP(tblMovimientos[[#This Row],[Cuenta Bancaria]],Cuentas!$C:$C,Cuentas!$A:$A,"")&amp;""</f>
        <v/>
      </c>
      <c r="R1300" s="78" t="str">
        <f>_xlfn.XLOOKUP(tblMovimientos[[#This Row],[Cuenta Bancaria]],Cuentas!$C:$C,Cuentas!$B:$B,"",0,-1)&amp;""</f>
        <v/>
      </c>
    </row>
    <row r="1301" spans="5:18" x14ac:dyDescent="0.3">
      <c r="E1301" s="68"/>
      <c r="I1301" s="68"/>
      <c r="Q1301" s="78" t="str">
        <f>_xlfn.XLOOKUP(tblMovimientos[[#This Row],[Cuenta Bancaria]],Cuentas!$C:$C,Cuentas!$A:$A,"")&amp;""</f>
        <v/>
      </c>
      <c r="R1301" s="78" t="str">
        <f>_xlfn.XLOOKUP(tblMovimientos[[#This Row],[Cuenta Bancaria]],Cuentas!$C:$C,Cuentas!$B:$B,"",0,-1)&amp;""</f>
        <v/>
      </c>
    </row>
    <row r="1302" spans="5:18" x14ac:dyDescent="0.3">
      <c r="E1302" s="68"/>
      <c r="I1302" s="68"/>
      <c r="Q1302" s="78" t="str">
        <f>_xlfn.XLOOKUP(tblMovimientos[[#This Row],[Cuenta Bancaria]],Cuentas!$C:$C,Cuentas!$A:$A,"")&amp;""</f>
        <v/>
      </c>
      <c r="R1302" s="78" t="str">
        <f>_xlfn.XLOOKUP(tblMovimientos[[#This Row],[Cuenta Bancaria]],Cuentas!$C:$C,Cuentas!$B:$B,"",0,-1)&amp;""</f>
        <v/>
      </c>
    </row>
    <row r="1303" spans="5:18" x14ac:dyDescent="0.3">
      <c r="E1303" s="68"/>
      <c r="I1303" s="68"/>
      <c r="Q1303" s="78" t="str">
        <f>_xlfn.XLOOKUP(tblMovimientos[[#This Row],[Cuenta Bancaria]],Cuentas!$C:$C,Cuentas!$A:$A,"")&amp;""</f>
        <v/>
      </c>
      <c r="R1303" s="78" t="str">
        <f>_xlfn.XLOOKUP(tblMovimientos[[#This Row],[Cuenta Bancaria]],Cuentas!$C:$C,Cuentas!$B:$B,"",0,-1)&amp;""</f>
        <v/>
      </c>
    </row>
    <row r="1304" spans="5:18" x14ac:dyDescent="0.3">
      <c r="E1304" s="68"/>
      <c r="I1304" s="68"/>
      <c r="Q1304" s="78" t="str">
        <f>_xlfn.XLOOKUP(tblMovimientos[[#This Row],[Cuenta Bancaria]],Cuentas!$C:$C,Cuentas!$A:$A,"")&amp;""</f>
        <v/>
      </c>
      <c r="R1304" s="78" t="str">
        <f>_xlfn.XLOOKUP(tblMovimientos[[#This Row],[Cuenta Bancaria]],Cuentas!$C:$C,Cuentas!$B:$B,"",0,-1)&amp;""</f>
        <v/>
      </c>
    </row>
    <row r="1305" spans="5:18" x14ac:dyDescent="0.3">
      <c r="E1305" s="68"/>
      <c r="I1305" s="68"/>
      <c r="Q1305" s="78" t="str">
        <f>_xlfn.XLOOKUP(tblMovimientos[[#This Row],[Cuenta Bancaria]],Cuentas!$C:$C,Cuentas!$A:$A,"")&amp;""</f>
        <v/>
      </c>
      <c r="R1305" s="78" t="str">
        <f>_xlfn.XLOOKUP(tblMovimientos[[#This Row],[Cuenta Bancaria]],Cuentas!$C:$C,Cuentas!$B:$B,"",0,-1)&amp;""</f>
        <v/>
      </c>
    </row>
    <row r="1306" spans="5:18" x14ac:dyDescent="0.3">
      <c r="E1306" s="68"/>
      <c r="I1306" s="68"/>
      <c r="Q1306" s="78" t="str">
        <f>_xlfn.XLOOKUP(tblMovimientos[[#This Row],[Cuenta Bancaria]],Cuentas!$C:$C,Cuentas!$A:$A,"")&amp;""</f>
        <v/>
      </c>
      <c r="R1306" s="78" t="str">
        <f>_xlfn.XLOOKUP(tblMovimientos[[#This Row],[Cuenta Bancaria]],Cuentas!$C:$C,Cuentas!$B:$B,"",0,-1)&amp;""</f>
        <v/>
      </c>
    </row>
    <row r="1307" spans="5:18" x14ac:dyDescent="0.3">
      <c r="E1307" s="68"/>
      <c r="I1307" s="68"/>
      <c r="Q1307" s="78" t="str">
        <f>_xlfn.XLOOKUP(tblMovimientos[[#This Row],[Cuenta Bancaria]],Cuentas!$C:$C,Cuentas!$A:$A,"")&amp;""</f>
        <v/>
      </c>
      <c r="R1307" s="78" t="str">
        <f>_xlfn.XLOOKUP(tblMovimientos[[#This Row],[Cuenta Bancaria]],Cuentas!$C:$C,Cuentas!$B:$B,"",0,-1)&amp;""</f>
        <v/>
      </c>
    </row>
    <row r="1308" spans="5:18" x14ac:dyDescent="0.3">
      <c r="E1308" s="68"/>
      <c r="I1308" s="68"/>
      <c r="Q1308" s="78" t="str">
        <f>_xlfn.XLOOKUP(tblMovimientos[[#This Row],[Cuenta Bancaria]],Cuentas!$C:$C,Cuentas!$A:$A,"")&amp;""</f>
        <v/>
      </c>
      <c r="R1308" s="78" t="str">
        <f>_xlfn.XLOOKUP(tblMovimientos[[#This Row],[Cuenta Bancaria]],Cuentas!$C:$C,Cuentas!$B:$B,"",0,-1)&amp;""</f>
        <v/>
      </c>
    </row>
    <row r="1309" spans="5:18" x14ac:dyDescent="0.3">
      <c r="E1309" s="68"/>
      <c r="I1309" s="68"/>
      <c r="Q1309" s="78" t="str">
        <f>_xlfn.XLOOKUP(tblMovimientos[[#This Row],[Cuenta Bancaria]],Cuentas!$C:$C,Cuentas!$A:$A,"")&amp;""</f>
        <v/>
      </c>
      <c r="R1309" s="78" t="str">
        <f>_xlfn.XLOOKUP(tblMovimientos[[#This Row],[Cuenta Bancaria]],Cuentas!$C:$C,Cuentas!$B:$B,"",0,-1)&amp;""</f>
        <v/>
      </c>
    </row>
    <row r="1310" spans="5:18" x14ac:dyDescent="0.3">
      <c r="E1310" s="68"/>
      <c r="I1310" s="68"/>
      <c r="Q1310" s="78" t="str">
        <f>_xlfn.XLOOKUP(tblMovimientos[[#This Row],[Cuenta Bancaria]],Cuentas!$C:$C,Cuentas!$A:$A,"")&amp;""</f>
        <v/>
      </c>
      <c r="R1310" s="78" t="str">
        <f>_xlfn.XLOOKUP(tblMovimientos[[#This Row],[Cuenta Bancaria]],Cuentas!$C:$C,Cuentas!$B:$B,"",0,-1)&amp;""</f>
        <v/>
      </c>
    </row>
    <row r="1311" spans="5:18" x14ac:dyDescent="0.3">
      <c r="E1311" s="68"/>
      <c r="I1311" s="68"/>
      <c r="Q1311" s="78" t="str">
        <f>_xlfn.XLOOKUP(tblMovimientos[[#This Row],[Cuenta Bancaria]],Cuentas!$C:$C,Cuentas!$A:$A,"")&amp;""</f>
        <v/>
      </c>
      <c r="R1311" s="78" t="str">
        <f>_xlfn.XLOOKUP(tblMovimientos[[#This Row],[Cuenta Bancaria]],Cuentas!$C:$C,Cuentas!$B:$B,"",0,-1)&amp;""</f>
        <v/>
      </c>
    </row>
    <row r="1312" spans="5:18" x14ac:dyDescent="0.3">
      <c r="E1312" s="68"/>
      <c r="I1312" s="68"/>
      <c r="Q1312" s="78" t="str">
        <f>_xlfn.XLOOKUP(tblMovimientos[[#This Row],[Cuenta Bancaria]],Cuentas!$C:$C,Cuentas!$A:$A,"")&amp;""</f>
        <v/>
      </c>
      <c r="R1312" s="78" t="str">
        <f>_xlfn.XLOOKUP(tblMovimientos[[#This Row],[Cuenta Bancaria]],Cuentas!$C:$C,Cuentas!$B:$B,"",0,-1)&amp;""</f>
        <v/>
      </c>
    </row>
    <row r="1313" spans="1:18" x14ac:dyDescent="0.3">
      <c r="E1313" s="68"/>
      <c r="I1313" s="68"/>
      <c r="Q1313" s="78" t="str">
        <f>_xlfn.XLOOKUP(tblMovimientos[[#This Row],[Cuenta Bancaria]],Cuentas!$C:$C,Cuentas!$A:$A,"")&amp;""</f>
        <v/>
      </c>
      <c r="R1313" s="78" t="str">
        <f>_xlfn.XLOOKUP(tblMovimientos[[#This Row],[Cuenta Bancaria]],Cuentas!$C:$C,Cuentas!$B:$B,"",0,-1)&amp;""</f>
        <v/>
      </c>
    </row>
    <row r="1314" spans="1:18" x14ac:dyDescent="0.3">
      <c r="E1314" s="68"/>
      <c r="I1314" s="68"/>
      <c r="Q1314" s="78" t="str">
        <f>_xlfn.XLOOKUP(tblMovimientos[[#This Row],[Cuenta Bancaria]],Cuentas!$C:$C,Cuentas!$A:$A,"")&amp;""</f>
        <v/>
      </c>
      <c r="R1314" s="78" t="str">
        <f>_xlfn.XLOOKUP(tblMovimientos[[#This Row],[Cuenta Bancaria]],Cuentas!$C:$C,Cuentas!$B:$B,"",0,-1)&amp;""</f>
        <v/>
      </c>
    </row>
    <row r="1315" spans="1:18" x14ac:dyDescent="0.3">
      <c r="E1315" s="68"/>
      <c r="I1315" s="68"/>
      <c r="Q1315" s="78" t="str">
        <f>_xlfn.XLOOKUP(tblMovimientos[[#This Row],[Cuenta Bancaria]],Cuentas!$C:$C,Cuentas!$A:$A,"")&amp;""</f>
        <v/>
      </c>
      <c r="R1315" s="78" t="str">
        <f>_xlfn.XLOOKUP(tblMovimientos[[#This Row],[Cuenta Bancaria]],Cuentas!$C:$C,Cuentas!$B:$B,"",0,-1)&amp;""</f>
        <v/>
      </c>
    </row>
    <row r="1316" spans="1:18" x14ac:dyDescent="0.3">
      <c r="E1316" s="68"/>
      <c r="I1316" s="68"/>
      <c r="Q1316" s="78" t="str">
        <f>_xlfn.XLOOKUP(tblMovimientos[[#This Row],[Cuenta Bancaria]],Cuentas!$C:$C,Cuentas!$A:$A,"")&amp;""</f>
        <v/>
      </c>
      <c r="R1316" s="78" t="str">
        <f>_xlfn.XLOOKUP(tblMovimientos[[#This Row],[Cuenta Bancaria]],Cuentas!$C:$C,Cuentas!$B:$B,"",0,-1)&amp;""</f>
        <v/>
      </c>
    </row>
    <row r="1317" spans="1:18" x14ac:dyDescent="0.3">
      <c r="E1317" s="68"/>
      <c r="I1317" s="68"/>
      <c r="Q1317" s="78" t="str">
        <f>_xlfn.XLOOKUP(tblMovimientos[[#This Row],[Cuenta Bancaria]],Cuentas!$C:$C,Cuentas!$A:$A,"")&amp;""</f>
        <v/>
      </c>
      <c r="R1317" s="78" t="str">
        <f>_xlfn.XLOOKUP(tblMovimientos[[#This Row],[Cuenta Bancaria]],Cuentas!$C:$C,Cuentas!$B:$B,"",0,-1)&amp;""</f>
        <v/>
      </c>
    </row>
    <row r="1318" spans="1:18" x14ac:dyDescent="0.3">
      <c r="E1318" s="68"/>
      <c r="I1318" s="68"/>
      <c r="Q1318" s="78" t="str">
        <f>_xlfn.XLOOKUP(tblMovimientos[[#This Row],[Cuenta Bancaria]],Cuentas!$C:$C,Cuentas!$A:$A,"")&amp;""</f>
        <v/>
      </c>
      <c r="R1318" s="78" t="str">
        <f>_xlfn.XLOOKUP(tblMovimientos[[#This Row],[Cuenta Bancaria]],Cuentas!$C:$C,Cuentas!$B:$B,"",0,-1)&amp;""</f>
        <v/>
      </c>
    </row>
    <row r="1319" spans="1:18" x14ac:dyDescent="0.3">
      <c r="E1319" s="68"/>
      <c r="I1319" s="68"/>
      <c r="Q1319" s="78" t="str">
        <f>_xlfn.XLOOKUP(tblMovimientos[[#This Row],[Cuenta Bancaria]],Cuentas!$C:$C,Cuentas!$A:$A,"")&amp;""</f>
        <v/>
      </c>
      <c r="R1319" s="78" t="str">
        <f>_xlfn.XLOOKUP(tblMovimientos[[#This Row],[Cuenta Bancaria]],Cuentas!$C:$C,Cuentas!$B:$B,"",0,-1)&amp;""</f>
        <v/>
      </c>
    </row>
    <row r="1320" spans="1:18" x14ac:dyDescent="0.3">
      <c r="E1320" s="68"/>
      <c r="I1320" s="68"/>
      <c r="Q1320" s="78" t="str">
        <f>_xlfn.XLOOKUP(tblMovimientos[[#This Row],[Cuenta Bancaria]],Cuentas!$C:$C,Cuentas!$A:$A,"")&amp;""</f>
        <v/>
      </c>
      <c r="R1320" s="78" t="str">
        <f>_xlfn.XLOOKUP(tblMovimientos[[#This Row],[Cuenta Bancaria]],Cuentas!$C:$C,Cuentas!$B:$B,"",0,-1)&amp;""</f>
        <v/>
      </c>
    </row>
    <row r="1321" spans="1:18" x14ac:dyDescent="0.3">
      <c r="E1321" s="68"/>
      <c r="I1321" s="68"/>
      <c r="Q1321" s="78" t="str">
        <f>_xlfn.XLOOKUP(tblMovimientos[[#This Row],[Cuenta Bancaria]],Cuentas!$C:$C,Cuentas!$A:$A,"")&amp;""</f>
        <v/>
      </c>
      <c r="R1321" s="78" t="str">
        <f>_xlfn.XLOOKUP(tblMovimientos[[#This Row],[Cuenta Bancaria]],Cuentas!$C:$C,Cuentas!$B:$B,"",0,-1)&amp;""</f>
        <v/>
      </c>
    </row>
    <row r="1322" spans="1:18" x14ac:dyDescent="0.3">
      <c r="E1322" s="68"/>
      <c r="I1322" s="68"/>
      <c r="Q1322" s="78" t="str">
        <f>_xlfn.XLOOKUP(tblMovimientos[[#This Row],[Cuenta Bancaria]],Cuentas!$C:$C,Cuentas!$A:$A,"")&amp;""</f>
        <v/>
      </c>
      <c r="R1322" s="78" t="str">
        <f>_xlfn.XLOOKUP(tblMovimientos[[#This Row],[Cuenta Bancaria]],Cuentas!$C:$C,Cuentas!$B:$B,"",0,-1)&amp;""</f>
        <v/>
      </c>
    </row>
    <row r="1323" spans="1:18" x14ac:dyDescent="0.3">
      <c r="A1323" s="45"/>
      <c r="C1323" s="46"/>
      <c r="E1323" s="69"/>
      <c r="H1323" s="46"/>
      <c r="I1323" s="69"/>
      <c r="K1323" s="47"/>
      <c r="M1323" s="55"/>
      <c r="Q1323" s="78" t="str">
        <f>_xlfn.XLOOKUP(tblMovimientos[[#This Row],[Cuenta Bancaria]],Cuentas!$C:$C,Cuentas!$A:$A,"")&amp;""</f>
        <v/>
      </c>
      <c r="R1323" s="78" t="str">
        <f>_xlfn.XLOOKUP(tblMovimientos[[#This Row],[Cuenta Bancaria]],Cuentas!$C:$C,Cuentas!$B:$B,"",0,-1)&amp;""</f>
        <v/>
      </c>
    </row>
    <row r="1324" spans="1:18" x14ac:dyDescent="0.3">
      <c r="A1324" s="45"/>
      <c r="C1324" s="46"/>
      <c r="E1324" s="69"/>
      <c r="H1324" s="46"/>
      <c r="I1324" s="69"/>
      <c r="K1324" s="47"/>
      <c r="M1324" s="55"/>
      <c r="N1324" s="64"/>
      <c r="O1324" s="64"/>
      <c r="Q1324" s="78" t="str">
        <f>_xlfn.XLOOKUP(tblMovimientos[[#This Row],[Cuenta Bancaria]],Cuentas!$C:$C,Cuentas!$A:$A,"")&amp;""</f>
        <v/>
      </c>
      <c r="R1324" s="78" t="str">
        <f>_xlfn.XLOOKUP(tblMovimientos[[#This Row],[Cuenta Bancaria]],Cuentas!$C:$C,Cuentas!$B:$B,"",0,-1)&amp;""</f>
        <v/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AAA2F2FB-5D82-4852-BA68-E541EA956BD2}">
          <x14:formula1>
            <xm:f>Listas!$B$2:$B$34</xm:f>
          </x14:formula1>
          <xm:sqref>D2:D443 D445:D471</xm:sqref>
        </x14:dataValidation>
        <x14:dataValidation type="list" allowBlank="1" xr:uid="{26CAD7EA-9678-4C83-BD35-3927D6FB5FDC}">
          <x14:formula1>
            <xm:f>Listas!$B$2:$B$50</xm:f>
          </x14:formula1>
          <xm:sqref>D444 D472:D545</xm:sqref>
        </x14:dataValidation>
        <x14:dataValidation type="list" allowBlank="1" xr:uid="{DC8BA3D2-F104-4639-8653-545CA2BBE131}">
          <x14:formula1>
            <xm:f>Listas!$E$2:$E$52</xm:f>
          </x14:formula1>
          <xm:sqref>G2:G1324</xm:sqref>
        </x14:dataValidation>
        <x14:dataValidation type="list" allowBlank="1" xr:uid="{00000000-0002-0000-0000-000002000000}">
          <x14:formula1>
            <xm:f>Listas!$D$2:$D$3</xm:f>
          </x14:formula1>
          <x14:formula2>
            <xm:f>0</xm:f>
          </x14:formula2>
          <xm:sqref>F2:F1324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3948-315C-4558-A458-E02399FDAC5E}">
  <sheetPr>
    <tabColor rgb="FFFF0000"/>
  </sheetPr>
  <dimension ref="A1:E9"/>
  <sheetViews>
    <sheetView zoomScale="70" workbookViewId="0">
      <pane ySplit="1" topLeftCell="A2" activePane="bottomLeft" state="frozen"/>
      <selection pane="bottomLeft" activeCell="C16" sqref="C16"/>
    </sheetView>
  </sheetViews>
  <sheetFormatPr baseColWidth="10" defaultColWidth="11.5546875" defaultRowHeight="14.4" x14ac:dyDescent="0.3"/>
  <cols>
    <col min="1" max="1" width="29.6640625" customWidth="1"/>
    <col min="2" max="2" width="14.77734375" customWidth="1"/>
    <col min="3" max="5" width="25.88671875" customWidth="1"/>
  </cols>
  <sheetData>
    <row r="1" spans="1:5" ht="22.05" customHeight="1" x14ac:dyDescent="0.3">
      <c r="A1" s="29" t="s">
        <v>127</v>
      </c>
      <c r="B1" s="29" t="s">
        <v>157</v>
      </c>
      <c r="C1" s="29" t="s">
        <v>159</v>
      </c>
      <c r="D1" s="29" t="s">
        <v>162</v>
      </c>
      <c r="E1" s="30" t="s">
        <v>158</v>
      </c>
    </row>
    <row r="2" spans="1:5" x14ac:dyDescent="0.3">
      <c r="A2" s="32" t="s">
        <v>36</v>
      </c>
      <c r="B2" s="33">
        <f>COUNTIF('Saldos Iniciales'!B:B,"*"&amp;A2&amp;"*")</f>
        <v>19</v>
      </c>
      <c r="C2" s="35">
        <f>SUMIF('Saldos Iniciales'!B:B,"*"&amp;A2&amp;"*",'Saldos Iniciales'!D:D)</f>
        <v>964069.59999999986</v>
      </c>
      <c r="D2" s="35">
        <f>SUMIF(tblMovimientos[Banco],"*"&amp;A2&amp;"*",tblMovimientos[Monto con signo])</f>
        <v>807294.03000000131</v>
      </c>
      <c r="E2" s="37">
        <f>C2+D2</f>
        <v>1771363.6300000013</v>
      </c>
    </row>
    <row r="3" spans="1:5" x14ac:dyDescent="0.3">
      <c r="A3" s="32" t="s">
        <v>160</v>
      </c>
      <c r="B3" s="33">
        <f>COUNTIF('Saldos Iniciales'!B:B,"*"&amp;A3&amp;"*")</f>
        <v>19</v>
      </c>
      <c r="C3" s="35">
        <f>SUMIF('Saldos Iniciales'!B:B,"*"&amp;A3&amp;"*",'Saldos Iniciales'!D:D)</f>
        <v>1619026.0599999998</v>
      </c>
      <c r="D3" s="35">
        <f>SUMIF(tblMovimientos[Banco],"*"&amp;A3&amp;"*",tblMovimientos[Monto con signo])</f>
        <v>3150572.6800000076</v>
      </c>
      <c r="E3" s="37">
        <f t="shared" ref="E3:E9" si="0">C3+D3</f>
        <v>4769598.7400000077</v>
      </c>
    </row>
    <row r="4" spans="1:5" x14ac:dyDescent="0.3">
      <c r="A4" s="32" t="s">
        <v>146</v>
      </c>
      <c r="B4" s="33">
        <f>COUNTIF('Saldos Iniciales'!B:B,"*"&amp;A4&amp;"*")</f>
        <v>3</v>
      </c>
      <c r="C4" s="35">
        <f>SUMIF('Saldos Iniciales'!B:B,"*"&amp;A4&amp;"*",'Saldos Iniciales'!D:D)</f>
        <v>16509.96</v>
      </c>
      <c r="D4" s="35">
        <f>SUMIF(tblMovimientos[Banco],"*"&amp;A4&amp;"*",tblMovimientos[Monto con signo])</f>
        <v>-383.25000000000006</v>
      </c>
      <c r="E4" s="37">
        <f t="shared" si="0"/>
        <v>16126.71</v>
      </c>
    </row>
    <row r="5" spans="1:5" x14ac:dyDescent="0.3">
      <c r="A5" s="32" t="s">
        <v>147</v>
      </c>
      <c r="B5" s="33">
        <f>COUNTIF('Saldos Iniciales'!B:B,"*"&amp;A5&amp;"*")</f>
        <v>1</v>
      </c>
      <c r="C5" s="35">
        <f>SUMIF('Saldos Iniciales'!B:B,"*"&amp;A5&amp;"*",'Saldos Iniciales'!D:D)</f>
        <v>57206.89</v>
      </c>
      <c r="D5" s="35">
        <f>SUMIF(tblMovimientos[Banco],"*"&amp;A5&amp;"*",tblMovimientos[Monto con signo])</f>
        <v>0</v>
      </c>
      <c r="E5" s="37">
        <f t="shared" si="0"/>
        <v>57206.89</v>
      </c>
    </row>
    <row r="6" spans="1:5" x14ac:dyDescent="0.3">
      <c r="A6" s="32" t="s">
        <v>148</v>
      </c>
      <c r="B6" s="33">
        <f>COUNTIF('Saldos Iniciales'!B:B,"*"&amp;A6&amp;"*")</f>
        <v>1</v>
      </c>
      <c r="C6" s="35">
        <f>SUMIF('Saldos Iniciales'!B:B,"*"&amp;A6&amp;"*",'Saldos Iniciales'!D:D)</f>
        <v>92.02</v>
      </c>
      <c r="D6" s="35">
        <f>SUMIF(tblMovimientos[Banco],"*"&amp;A6&amp;"*",tblMovimientos[Monto con signo])</f>
        <v>10167.16</v>
      </c>
      <c r="E6" s="37">
        <f t="shared" si="0"/>
        <v>10259.18</v>
      </c>
    </row>
    <row r="7" spans="1:5" x14ac:dyDescent="0.3">
      <c r="A7" s="32" t="s">
        <v>149</v>
      </c>
      <c r="B7" s="33">
        <f>COUNTIF('Saldos Iniciales'!B:B,"*"&amp;A7&amp;"*")</f>
        <v>1</v>
      </c>
      <c r="C7" s="35">
        <f>SUMIF('Saldos Iniciales'!B:B,"*"&amp;A7&amp;"*",'Saldos Iniciales'!D:D)</f>
        <v>3364.94</v>
      </c>
      <c r="D7" s="35">
        <f>SUMIF(tblMovimientos[Banco],"*"&amp;A7&amp;"*",tblMovimientos[Monto con signo])</f>
        <v>14530.350000000017</v>
      </c>
      <c r="E7" s="37">
        <f t="shared" si="0"/>
        <v>17895.290000000015</v>
      </c>
    </row>
    <row r="8" spans="1:5" x14ac:dyDescent="0.3">
      <c r="A8" s="32" t="s">
        <v>150</v>
      </c>
      <c r="B8" s="33">
        <f>COUNTIF('Saldos Iniciales'!B:B,"*"&amp;A8&amp;"*")</f>
        <v>1</v>
      </c>
      <c r="C8" s="35">
        <f>SUMIF('Saldos Iniciales'!B:B,"*"&amp;A8&amp;"*",'Saldos Iniciales'!D:D)</f>
        <v>0</v>
      </c>
      <c r="D8" s="35">
        <f>SUMIF(tblMovimientos[Banco],"*"&amp;A8&amp;"*",tblMovimientos[Monto con signo])</f>
        <v>0</v>
      </c>
      <c r="E8" s="37">
        <f t="shared" si="0"/>
        <v>0</v>
      </c>
    </row>
    <row r="9" spans="1:5" x14ac:dyDescent="0.3">
      <c r="A9" s="31" t="s">
        <v>161</v>
      </c>
      <c r="B9" s="34">
        <f>COUNTIF('Saldos Iniciales'!B:B,"*"&amp;A9&amp;"*")</f>
        <v>1</v>
      </c>
      <c r="C9" s="36">
        <f>SUMIF('Saldos Iniciales'!B:B,"*"&amp;A9&amp;"*",'Saldos Iniciales'!D:D)</f>
        <v>0</v>
      </c>
      <c r="D9" s="35">
        <f>SUMIF(tblMovimientos[Banco],"*"&amp;A9&amp;"*",tblMovimientos[Monto con signo])</f>
        <v>0</v>
      </c>
      <c r="E9" s="37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5"/>
  <sheetViews>
    <sheetView zoomScale="70" zoomScaleNormal="7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B35" sqref="B35"/>
    </sheetView>
  </sheetViews>
  <sheetFormatPr baseColWidth="10" defaultColWidth="8.6640625" defaultRowHeight="14.4" x14ac:dyDescent="0.3"/>
  <cols>
    <col min="1" max="1" width="8.21875" customWidth="1"/>
    <col min="2" max="2" width="24" customWidth="1"/>
    <col min="3" max="3" width="45.6640625" bestFit="1" customWidth="1"/>
    <col min="4" max="4" width="20.77734375" bestFit="1" customWidth="1"/>
    <col min="5" max="5" width="14.44140625" customWidth="1"/>
    <col min="6" max="6" width="14.21875" customWidth="1"/>
    <col min="7" max="7" width="17.5546875" customWidth="1"/>
    <col min="8" max="8" width="19.5546875" bestFit="1" customWidth="1"/>
    <col min="9" max="9" width="20.77734375" bestFit="1" customWidth="1"/>
    <col min="10" max="10" width="14.6640625" customWidth="1"/>
    <col min="11" max="11" width="16" customWidth="1"/>
    <col min="12" max="12" width="14.21875" customWidth="1"/>
    <col min="13" max="13" width="19.5546875" bestFit="1" customWidth="1"/>
    <col min="14" max="14" width="20.77734375" bestFit="1" customWidth="1"/>
    <col min="15" max="15" width="16.5546875" bestFit="1" customWidth="1"/>
    <col min="16" max="16" width="16" bestFit="1" customWidth="1"/>
    <col min="17" max="17" width="17.5546875" bestFit="1" customWidth="1"/>
    <col min="18" max="18" width="15.6640625" bestFit="1" customWidth="1"/>
    <col min="19" max="19" width="17.21875" bestFit="1" customWidth="1"/>
    <col min="20" max="20" width="14.44140625" bestFit="1" customWidth="1"/>
    <col min="21" max="21" width="13.88671875" bestFit="1" customWidth="1"/>
    <col min="22" max="22" width="16.5546875" customWidth="1"/>
    <col min="23" max="23" width="16.109375" bestFit="1" customWidth="1"/>
    <col min="24" max="24" width="17.21875" bestFit="1" customWidth="1"/>
    <col min="25" max="25" width="14.44140625" bestFit="1" customWidth="1"/>
    <col min="26" max="26" width="13.88671875" bestFit="1" customWidth="1"/>
    <col min="27" max="27" width="15" bestFit="1" customWidth="1"/>
    <col min="28" max="28" width="16.109375" bestFit="1" customWidth="1"/>
  </cols>
  <sheetData>
    <row r="1" spans="1:28" x14ac:dyDescent="0.3">
      <c r="A1" s="2" t="s">
        <v>1</v>
      </c>
      <c r="B1" s="2" t="s">
        <v>2</v>
      </c>
      <c r="C1" s="2" t="s">
        <v>13</v>
      </c>
      <c r="D1" s="1" t="s">
        <v>136</v>
      </c>
      <c r="E1" s="1" t="s">
        <v>137</v>
      </c>
      <c r="F1" s="1" t="s">
        <v>138</v>
      </c>
      <c r="G1" s="1" t="s">
        <v>142</v>
      </c>
      <c r="H1" s="1" t="s">
        <v>135</v>
      </c>
      <c r="I1" s="1" t="s">
        <v>139</v>
      </c>
      <c r="J1" s="1" t="s">
        <v>140</v>
      </c>
      <c r="K1" s="1" t="s">
        <v>141</v>
      </c>
      <c r="L1" s="1" t="s">
        <v>143</v>
      </c>
      <c r="M1" s="1" t="s">
        <v>164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</row>
    <row r="2" spans="1:28" x14ac:dyDescent="0.3">
      <c r="A2" s="11" t="s">
        <v>93</v>
      </c>
      <c r="B2" s="11" t="s">
        <v>17</v>
      </c>
      <c r="C2" s="11" t="s">
        <v>94</v>
      </c>
      <c r="D2" s="18">
        <v>132689.04999999999</v>
      </c>
      <c r="E2" s="44">
        <v>994464.58000000007</v>
      </c>
      <c r="F2" s="44">
        <v>933664.04999999993</v>
      </c>
      <c r="G2" s="17">
        <v>60800.530000000144</v>
      </c>
      <c r="H2" s="12">
        <f>D2+E2-F2</f>
        <v>193489.58000000019</v>
      </c>
      <c r="I2" s="48">
        <f>H2</f>
        <v>193489.58000000019</v>
      </c>
      <c r="J2" s="44">
        <f>SUMIFS(Movimientos!$J$1:$J$1324,Movimientos!$C$1:$C$1324,$B2,Movimientos!$D$1:$D$1324,$C2,Movimientos!$L$1:$L$1324,A$3,Movimientos!$F$1:$F$1324,"Ingreso")</f>
        <v>490932.83999999997</v>
      </c>
      <c r="K2" s="44">
        <f>SUMIFS(Movimientos!$J$1:$J$1324,Movimientos!$C$1:$C$1324,$B2,Movimientos!$D$1:$D$1324,$C2,Movimientos!$L$1:$L$1324,A$3,Movimientos!$F$1:$F$1324,"Egreso")</f>
        <v>648479.05999999994</v>
      </c>
      <c r="L2" s="7">
        <f>+J2-K2</f>
        <v>-157546.21999999997</v>
      </c>
      <c r="M2" s="12">
        <f>I2+J2-K2</f>
        <v>35943.360000000219</v>
      </c>
      <c r="N2" s="5">
        <f>M2</f>
        <v>35943.360000000219</v>
      </c>
      <c r="O2" s="44">
        <f>SUMIFS(Movimientos!$J$1:$J$1324,Movimientos!$C$1:$C$1324,$B2,Movimientos!$D$1:$D$1324,$C2,Movimientos!$L$1:$L$1324,A$4,Movimientos!$F$1:$F$1324,"Ingreso")</f>
        <v>215870.71999999997</v>
      </c>
      <c r="P2" s="44">
        <f>SUMIFS(Movimientos!$J$1:$J$1324,Movimientos!$C$1:$C$1324,$B2,Movimientos!$D$1:$D$1324,$C2,Movimientos!$L$1:$L$1324,A$4,Movimientos!$F$1:$F$1324,"Egreso")</f>
        <v>18949.38</v>
      </c>
      <c r="Q2" s="7">
        <f>+O2-P2</f>
        <v>196921.33999999997</v>
      </c>
      <c r="R2" s="12">
        <f>N2+O2-P2</f>
        <v>232864.70000000019</v>
      </c>
      <c r="S2" s="5">
        <f>R2</f>
        <v>232864.70000000019</v>
      </c>
      <c r="T2" s="44">
        <f>SUMIFS(Movimientos!$J$1:$J$1324,Movimientos!$C$1:$C$1324,$B2,Movimientos!$D$1:$D$1324,$C2,Movimientos!$L$1:$L$1324,A$5,Movimientos!$F$1:$F$1324,"Ingreso")</f>
        <v>555995.58000000007</v>
      </c>
      <c r="U2" s="44">
        <f>SUMIFS(Movimientos!$J$1:$J$1324,Movimientos!$C$1:$C$1324,$B2,Movimientos!$D$1:$D$1324,$C2,Movimientos!$L$1:$L$1324,A$5,Movimientos!$F$1:$F$1324,"Egreso")</f>
        <v>353977.95</v>
      </c>
      <c r="V2" s="7">
        <f>+T2-U2</f>
        <v>202017.63000000006</v>
      </c>
      <c r="W2" s="12">
        <f>S2+T2-U2</f>
        <v>434882.33000000025</v>
      </c>
      <c r="X2" s="5">
        <f>W2</f>
        <v>434882.33000000025</v>
      </c>
      <c r="Y2" s="44">
        <f>SUMIFS(Movimientos!$J$1:$J$1324,Movimientos!$C$1:$C$1324,$B2,Movimientos!$D$1:$D$1324,$C2,Movimientos!$L$1:$L$1324,A$6,Movimientos!$F$1:$F$1324,"Ingreso")</f>
        <v>432537.32</v>
      </c>
      <c r="Z2" s="44">
        <f>SUMIFS(Movimientos!$J$1:$J$1324,Movimientos!$C$1:$C$1324,$B2,Movimientos!$D$1:$D$1324,$C2,Movimientos!$L$1:$L$1324,A$6,Movimientos!$F$1:$F$1324,"Egreso")</f>
        <v>404200.14</v>
      </c>
      <c r="AA2" s="7">
        <f>+Y2-Z2</f>
        <v>28337.179999999993</v>
      </c>
      <c r="AB2" s="12">
        <f>X2+Y2-Z2</f>
        <v>463219.51000000024</v>
      </c>
    </row>
    <row r="3" spans="1:28" x14ac:dyDescent="0.3">
      <c r="A3" s="11" t="s">
        <v>128</v>
      </c>
      <c r="B3" s="11" t="s">
        <v>17</v>
      </c>
      <c r="C3" s="11" t="s">
        <v>95</v>
      </c>
      <c r="D3" s="18">
        <v>62799.530000000261</v>
      </c>
      <c r="E3" s="44">
        <v>2605274</v>
      </c>
      <c r="F3" s="44">
        <v>1883425.0000000002</v>
      </c>
      <c r="G3" s="17">
        <v>721848.99999999977</v>
      </c>
      <c r="H3" s="12">
        <f>D3+E3-F3</f>
        <v>784648.53</v>
      </c>
      <c r="I3" s="48">
        <f>H3</f>
        <v>784648.53</v>
      </c>
      <c r="J3" s="44">
        <f>SUMIFS(Movimientos!$J$1:$J$1324,Movimientos!$C$1:$C$1324,$B3,Movimientos!$D$1:$D$1324,$C3,Movimientos!$L$1:$L$1324,A$3,Movimientos!$F$1:$F$1324,"Ingreso")</f>
        <v>8947382.8399999999</v>
      </c>
      <c r="K3" s="44">
        <f>SUMIFS(Movimientos!$J$1:$J$1324,Movimientos!$C$1:$C$1324,$B3,Movimientos!$D$1:$D$1324,$C3,Movimientos!$L$1:$L$1324,A$3,Movimientos!$F$1:$F$1324,"Egreso")</f>
        <v>3477645.0100000002</v>
      </c>
      <c r="L3" s="7">
        <f t="shared" ref="L3:L34" si="0">+J3-K3</f>
        <v>5469737.8300000001</v>
      </c>
      <c r="M3" s="12">
        <f>I3+J3-K3</f>
        <v>6254386.3599999994</v>
      </c>
      <c r="N3" s="5">
        <f>M3</f>
        <v>6254386.3599999994</v>
      </c>
      <c r="O3" s="44">
        <f>SUMIFS(Movimientos!$J$1:$J$1324,Movimientos!$C$1:$C$1324,$B3,Movimientos!$D$1:$D$1324,$C3,Movimientos!$L$1:$L$1324,A$4,Movimientos!$F$1:$F$1324,"Ingreso")</f>
        <v>250000</v>
      </c>
      <c r="P3" s="44">
        <f>SUMIFS(Movimientos!$J$1:$J$1324,Movimientos!$C$1:$C$1324,$B3,Movimientos!$D$1:$D$1324,$C3,Movimientos!$L$1:$L$1324,A$4,Movimientos!$F$1:$F$1324,"Egreso")</f>
        <v>4274475.01</v>
      </c>
      <c r="Q3" s="7">
        <f t="shared" ref="Q3:Q34" si="1">+O3-P3</f>
        <v>-4024475.01</v>
      </c>
      <c r="R3" s="12">
        <f>N3+O3-P3</f>
        <v>2229911.3499999996</v>
      </c>
      <c r="S3" s="5">
        <f>R3</f>
        <v>2229911.3499999996</v>
      </c>
      <c r="T3" s="44">
        <f>SUMIFS(Movimientos!$J$1:$J$1324,Movimientos!$C$1:$C$1324,$B3,Movimientos!$D$1:$D$1324,$C3,Movimientos!$L$1:$L$1324,A$5,Movimientos!$F$1:$F$1324,"Ingreso")</f>
        <v>910061.42999999993</v>
      </c>
      <c r="U3" s="44">
        <f>SUMIFS(Movimientos!$J$1:$J$1324,Movimientos!$C$1:$C$1324,$B3,Movimientos!$D$1:$D$1324,$C3,Movimientos!$L$1:$L$1324,A$5,Movimientos!$F$1:$F$1324,"Egreso")</f>
        <v>2839639.46</v>
      </c>
      <c r="V3" s="7">
        <f t="shared" ref="V3:V35" si="2">+T3-U3</f>
        <v>-1929578.03</v>
      </c>
      <c r="W3" s="12">
        <f>S3+T3-U3</f>
        <v>300333.31999999937</v>
      </c>
      <c r="X3" s="5">
        <f>W3</f>
        <v>300333.31999999937</v>
      </c>
      <c r="Y3" s="44">
        <f>SUMIFS(Movimientos!$J$1:$J$1324,Movimientos!$C$1:$C$1324,$B3,Movimientos!$D$1:$D$1324,$C3,Movimientos!$L$1:$L$1324,A$6,Movimientos!$F$1:$F$1324,"Ingreso")</f>
        <v>2658155.37</v>
      </c>
      <c r="Z3" s="44">
        <f>SUMIFS(Movimientos!$J$1:$J$1324,Movimientos!$C$1:$C$1324,$B3,Movimientos!$D$1:$D$1324,$C3,Movimientos!$L$1:$L$1324,A$6,Movimientos!$F$1:$F$1324,"Egreso")</f>
        <v>1500102.98</v>
      </c>
      <c r="AA3" s="7">
        <f t="shared" ref="AA3:AA35" si="3">+Y3-Z3</f>
        <v>1158052.3900000001</v>
      </c>
      <c r="AB3" s="12">
        <f>X3+Y3-Z3</f>
        <v>1458385.7099999995</v>
      </c>
    </row>
    <row r="4" spans="1:28" x14ac:dyDescent="0.3">
      <c r="A4" s="11" t="s">
        <v>129</v>
      </c>
      <c r="B4" s="11" t="s">
        <v>17</v>
      </c>
      <c r="C4" s="11" t="s">
        <v>96</v>
      </c>
      <c r="D4" s="18">
        <v>5274.85</v>
      </c>
      <c r="E4" s="44">
        <v>0</v>
      </c>
      <c r="F4" s="44">
        <v>18.82</v>
      </c>
      <c r="G4" s="17">
        <v>-18.82</v>
      </c>
      <c r="H4" s="12">
        <f>D4+E4-F4</f>
        <v>5256.0300000000007</v>
      </c>
      <c r="I4" s="48">
        <f>H4</f>
        <v>5256.0300000000007</v>
      </c>
      <c r="J4" s="44">
        <f>SUMIFS(Movimientos!$J$1:$J$1324,Movimientos!$C$1:$C$1324,$B4,Movimientos!$D$1:$D$1324,$C4,Movimientos!$L$1:$L$1324,A$3,Movimientos!$F$1:$F$1324,"Ingreso")</f>
        <v>0</v>
      </c>
      <c r="K4" s="44">
        <f>SUMIFS(Movimientos!$J$1:$J$1324,Movimientos!$C$1:$C$1324,$B4,Movimientos!$D$1:$D$1324,$C4,Movimientos!$L$1:$L$1324,A$3,Movimientos!$F$1:$F$1324,"Egreso")</f>
        <v>0</v>
      </c>
      <c r="L4" s="7">
        <f t="shared" si="0"/>
        <v>0</v>
      </c>
      <c r="M4" s="12">
        <f>I4+J4-K4</f>
        <v>5256.0300000000007</v>
      </c>
      <c r="N4" s="5">
        <f>M4</f>
        <v>5256.0300000000007</v>
      </c>
      <c r="O4" s="44">
        <f>SUMIFS(Movimientos!$J$1:$J$1324,Movimientos!$C$1:$C$1324,$B4,Movimientos!$D$1:$D$1324,$C4,Movimientos!$L$1:$L$1324,A$4,Movimientos!$F$1:$F$1324,"Ingreso")</f>
        <v>0</v>
      </c>
      <c r="P4" s="44">
        <f>SUMIFS(Movimientos!$J$1:$J$1324,Movimientos!$C$1:$C$1324,$B4,Movimientos!$D$1:$D$1324,$C4,Movimientos!$L$1:$L$1324,A$4,Movimientos!$F$1:$F$1324,"Egreso")</f>
        <v>0</v>
      </c>
      <c r="Q4" s="7">
        <f t="shared" si="1"/>
        <v>0</v>
      </c>
      <c r="R4" s="12">
        <f>N4+O4-P4</f>
        <v>5256.0300000000007</v>
      </c>
      <c r="S4" s="5">
        <f>R4</f>
        <v>5256.0300000000007</v>
      </c>
      <c r="T4" s="44">
        <f>SUMIFS(Movimientos!$J$1:$J$1324,Movimientos!$C$1:$C$1324,$B4,Movimientos!$D$1:$D$1324,$C4,Movimientos!$L$1:$L$1324,A$5,Movimientos!$F$1:$F$1324,"Ingreso")</f>
        <v>0</v>
      </c>
      <c r="U4" s="44">
        <f>SUMIFS(Movimientos!$J$1:$J$1324,Movimientos!$C$1:$C$1324,$B4,Movimientos!$D$1:$D$1324,$C4,Movimientos!$L$1:$L$1324,A$5,Movimientos!$F$1:$F$1324,"Egreso")</f>
        <v>18.8</v>
      </c>
      <c r="V4" s="7">
        <f t="shared" si="2"/>
        <v>-18.8</v>
      </c>
      <c r="W4" s="12">
        <f>S4+T4-U4</f>
        <v>5237.2300000000005</v>
      </c>
      <c r="X4" s="5">
        <f>W4</f>
        <v>5237.2300000000005</v>
      </c>
      <c r="Y4" s="44">
        <f>SUMIFS(Movimientos!$J$1:$J$1324,Movimientos!$C$1:$C$1324,$B4,Movimientos!$D$1:$D$1324,$C4,Movimientos!$L$1:$L$1324,A$6,Movimientos!$F$1:$F$1324,"Ingreso")</f>
        <v>0</v>
      </c>
      <c r="Z4" s="44">
        <f>SUMIFS(Movimientos!$J$1:$J$1324,Movimientos!$C$1:$C$1324,$B4,Movimientos!$D$1:$D$1324,$C4,Movimientos!$L$1:$L$1324,A$6,Movimientos!$F$1:$F$1324,"Egreso")</f>
        <v>18.8</v>
      </c>
      <c r="AA4" s="7">
        <f t="shared" si="3"/>
        <v>-18.8</v>
      </c>
      <c r="AB4" s="12">
        <f>X4+Y4-Z4</f>
        <v>5218.43</v>
      </c>
    </row>
    <row r="5" spans="1:28" x14ac:dyDescent="0.3">
      <c r="A5" s="11" t="s">
        <v>132</v>
      </c>
      <c r="B5" s="11" t="s">
        <v>18</v>
      </c>
      <c r="C5" s="11" t="s">
        <v>97</v>
      </c>
      <c r="D5" s="18">
        <v>39539.53999999995</v>
      </c>
      <c r="E5" s="44">
        <v>1787857.7400000002</v>
      </c>
      <c r="F5" s="44">
        <v>1770000</v>
      </c>
      <c r="G5" s="17">
        <v>17857.740000000224</v>
      </c>
      <c r="H5" s="12">
        <f>D5+E5-F5</f>
        <v>57397.280000000261</v>
      </c>
      <c r="I5" s="48">
        <f>H5</f>
        <v>57397.280000000261</v>
      </c>
      <c r="J5" s="44">
        <f>SUMIFS(Movimientos!$J$1:$J$1324,Movimientos!$C$1:$C$1324,$B5,Movimientos!$D$1:$D$1324,$C5,Movimientos!$L$1:$L$1324,A$3,Movimientos!$F$1:$F$1324,"Ingreso")</f>
        <v>16742.400000000001</v>
      </c>
      <c r="K5" s="44">
        <f>SUMIFS(Movimientos!$J$1:$J$1324,Movimientos!$C$1:$C$1324,$B5,Movimientos!$D$1:$D$1324,$C5,Movimientos!$L$1:$L$1324,A$3,Movimientos!$F$1:$F$1324,"Egreso")</f>
        <v>0</v>
      </c>
      <c r="L5" s="7">
        <f t="shared" si="0"/>
        <v>16742.400000000001</v>
      </c>
      <c r="M5" s="12">
        <f>I5+J5-K5</f>
        <v>74139.680000000255</v>
      </c>
      <c r="N5" s="5">
        <f>M5</f>
        <v>74139.680000000255</v>
      </c>
      <c r="O5" s="44">
        <f>SUMIFS(Movimientos!$J$1:$J$1324,Movimientos!$C$1:$C$1324,$B5,Movimientos!$D$1:$D$1324,$C5,Movimientos!$L$1:$L$1324,A$4,Movimientos!$F$1:$F$1324,"Ingreso")</f>
        <v>10053.57</v>
      </c>
      <c r="P5" s="44">
        <f>SUMIFS(Movimientos!$J$1:$J$1324,Movimientos!$C$1:$C$1324,$B5,Movimientos!$D$1:$D$1324,$C5,Movimientos!$L$1:$L$1324,A$4,Movimientos!$F$1:$F$1324,"Egreso")</f>
        <v>5982</v>
      </c>
      <c r="Q5" s="7">
        <f t="shared" si="1"/>
        <v>4071.5699999999997</v>
      </c>
      <c r="R5" s="12">
        <f>N5+O5-P5</f>
        <v>78211.250000000262</v>
      </c>
      <c r="S5" s="5">
        <f>R5</f>
        <v>78211.250000000262</v>
      </c>
      <c r="T5" s="44">
        <f>SUMIFS(Movimientos!$J$1:$J$1324,Movimientos!$C$1:$C$1324,$B5,Movimientos!$D$1:$D$1324,$C5,Movimientos!$L$1:$L$1324,A$5,Movimientos!$F$1:$F$1324,"Ingreso")</f>
        <v>10068.98</v>
      </c>
      <c r="U5" s="44">
        <f>SUMIFS(Movimientos!$J$1:$J$1324,Movimientos!$C$1:$C$1324,$B5,Movimientos!$D$1:$D$1324,$C5,Movimientos!$L$1:$L$1324,A$5,Movimientos!$F$1:$F$1324,"Egreso")</f>
        <v>0</v>
      </c>
      <c r="V5" s="7">
        <f t="shared" si="2"/>
        <v>10068.98</v>
      </c>
      <c r="W5" s="12">
        <f>S5+T5-U5</f>
        <v>88280.230000000258</v>
      </c>
      <c r="X5" s="5">
        <f>W5</f>
        <v>88280.230000000258</v>
      </c>
      <c r="Y5" s="44">
        <f>SUMIFS(Movimientos!$J$1:$J$1324,Movimientos!$C$1:$C$1324,$B5,Movimientos!$D$1:$D$1324,$C5,Movimientos!$L$1:$L$1324,A$6,Movimientos!$F$1:$F$1324,"Ingreso")</f>
        <v>9843.36</v>
      </c>
      <c r="Z5" s="44">
        <f>SUMIFS(Movimientos!$J$1:$J$1324,Movimientos!$C$1:$C$1324,$B5,Movimientos!$D$1:$D$1324,$C5,Movimientos!$L$1:$L$1324,A$6,Movimientos!$F$1:$F$1324,"Egreso")</f>
        <v>0</v>
      </c>
      <c r="AA5" s="7">
        <f t="shared" si="3"/>
        <v>9843.36</v>
      </c>
      <c r="AB5" s="12">
        <f>X5+Y5-Z5</f>
        <v>98123.590000000258</v>
      </c>
    </row>
    <row r="6" spans="1:28" x14ac:dyDescent="0.3">
      <c r="A6" s="11" t="s">
        <v>133</v>
      </c>
      <c r="B6" s="11" t="s">
        <v>18</v>
      </c>
      <c r="C6" s="11" t="s">
        <v>98</v>
      </c>
      <c r="D6" s="18">
        <v>5000</v>
      </c>
      <c r="E6" s="44">
        <v>0</v>
      </c>
      <c r="F6" s="44">
        <v>0</v>
      </c>
      <c r="G6" s="17">
        <v>0</v>
      </c>
      <c r="H6" s="12">
        <f>D6+E6-F6</f>
        <v>5000</v>
      </c>
      <c r="I6" s="48">
        <f>H6</f>
        <v>5000</v>
      </c>
      <c r="J6" s="44">
        <f>SUMIFS(Movimientos!$J$1:$J$1324,Movimientos!$C$1:$C$1324,$B6,Movimientos!$D$1:$D$1324,$C6,Movimientos!$L$1:$L$1324,A$3,Movimientos!$F$1:$F$1324,"Ingreso")</f>
        <v>0</v>
      </c>
      <c r="K6" s="44">
        <f>SUMIFS(Movimientos!$J$1:$J$1324,Movimientos!$C$1:$C$1324,$B6,Movimientos!$D$1:$D$1324,$C6,Movimientos!$L$1:$L$1324,A$3,Movimientos!$F$1:$F$1324,"Egreso")</f>
        <v>0</v>
      </c>
      <c r="L6" s="7">
        <f t="shared" si="0"/>
        <v>0</v>
      </c>
      <c r="M6" s="12">
        <f>I6+J6-K6</f>
        <v>5000</v>
      </c>
      <c r="N6" s="5">
        <f>M6</f>
        <v>5000</v>
      </c>
      <c r="O6" s="44">
        <f>SUMIFS(Movimientos!$J$1:$J$1324,Movimientos!$C$1:$C$1324,$B6,Movimientos!$D$1:$D$1324,$C6,Movimientos!$L$1:$L$1324,A$4,Movimientos!$F$1:$F$1324,"Ingreso")</f>
        <v>0</v>
      </c>
      <c r="P6" s="44">
        <f>SUMIFS(Movimientos!$J$1:$J$1324,Movimientos!$C$1:$C$1324,$B6,Movimientos!$D$1:$D$1324,$C6,Movimientos!$L$1:$L$1324,A$4,Movimientos!$F$1:$F$1324,"Egreso")</f>
        <v>0</v>
      </c>
      <c r="Q6" s="7">
        <f t="shared" si="1"/>
        <v>0</v>
      </c>
      <c r="R6" s="12">
        <f>N6+O6-P6</f>
        <v>5000</v>
      </c>
      <c r="S6" s="5">
        <f>R6</f>
        <v>5000</v>
      </c>
      <c r="T6" s="44">
        <f>SUMIFS(Movimientos!$J$1:$J$1324,Movimientos!$C$1:$C$1324,$B6,Movimientos!$D$1:$D$1324,$C6,Movimientos!$L$1:$L$1324,A$5,Movimientos!$F$1:$F$1324,"Ingreso")</f>
        <v>0</v>
      </c>
      <c r="U6" s="44">
        <f>SUMIFS(Movimientos!$J$1:$J$1324,Movimientos!$C$1:$C$1324,$B6,Movimientos!$D$1:$D$1324,$C6,Movimientos!$L$1:$L$1324,A$5,Movimientos!$F$1:$F$1324,"Egreso")</f>
        <v>0</v>
      </c>
      <c r="V6" s="7">
        <f t="shared" si="2"/>
        <v>0</v>
      </c>
      <c r="W6" s="12">
        <f>S6+T6-U6</f>
        <v>5000</v>
      </c>
      <c r="X6" s="5">
        <f>W6</f>
        <v>5000</v>
      </c>
      <c r="Y6" s="44">
        <f>SUMIFS(Movimientos!$J$1:$J$1324,Movimientos!$C$1:$C$1324,$B6,Movimientos!$D$1:$D$1324,$C6,Movimientos!$L$1:$L$1324,A$6,Movimientos!$F$1:$F$1324,"Ingreso")</f>
        <v>0</v>
      </c>
      <c r="Z6" s="44">
        <f>SUMIFS(Movimientos!$J$1:$J$1324,Movimientos!$C$1:$C$1324,$B6,Movimientos!$D$1:$D$1324,$C6,Movimientos!$L$1:$L$1324,A$6,Movimientos!$F$1:$F$1324,"Egreso")</f>
        <v>0</v>
      </c>
      <c r="AA6" s="7">
        <f t="shared" si="3"/>
        <v>0</v>
      </c>
      <c r="AB6" s="12">
        <f>X6+Y6-Z6</f>
        <v>5000</v>
      </c>
    </row>
    <row r="7" spans="1:28" x14ac:dyDescent="0.3">
      <c r="A7" s="11" t="s">
        <v>134</v>
      </c>
      <c r="B7" s="11" t="s">
        <v>19</v>
      </c>
      <c r="C7" s="11" t="s">
        <v>99</v>
      </c>
      <c r="D7" s="18">
        <v>1669.89</v>
      </c>
      <c r="E7" s="44">
        <v>0</v>
      </c>
      <c r="F7" s="44">
        <v>0</v>
      </c>
      <c r="G7" s="17">
        <v>0</v>
      </c>
      <c r="H7" s="12">
        <f t="shared" ref="H7:H34" si="4">D7+E7-F7</f>
        <v>1669.89</v>
      </c>
      <c r="I7" s="48">
        <f t="shared" ref="I7:I34" si="5">H7</f>
        <v>1669.89</v>
      </c>
      <c r="J7" s="44">
        <f>SUMIFS(Movimientos!$J$1:$J$1324,Movimientos!$C$1:$C$1324,$B7,Movimientos!$D$1:$D$1324,$C7,Movimientos!$L$1:$L$1324,A$3,Movimientos!$F$1:$F$1324,"Ingreso")</f>
        <v>0</v>
      </c>
      <c r="K7" s="44">
        <f>SUMIFS(Movimientos!$J$1:$J$1324,Movimientos!$C$1:$C$1324,$B7,Movimientos!$D$1:$D$1324,$C7,Movimientos!$L$1:$L$1324,A$3,Movimientos!$F$1:$F$1324,"Egreso")</f>
        <v>0</v>
      </c>
      <c r="L7" s="7">
        <f t="shared" si="0"/>
        <v>0</v>
      </c>
      <c r="M7" s="12">
        <f t="shared" ref="M7:M34" si="6">I7+J7-K7</f>
        <v>1669.89</v>
      </c>
      <c r="N7" s="5">
        <f t="shared" ref="N7:N34" si="7">M7</f>
        <v>1669.89</v>
      </c>
      <c r="O7" s="44">
        <f>SUMIFS(Movimientos!$J$1:$J$1324,Movimientos!$C$1:$C$1324,$B7,Movimientos!$D$1:$D$1324,$C7,Movimientos!$L$1:$L$1324,A$4,Movimientos!$F$1:$F$1324,"Ingreso")</f>
        <v>0</v>
      </c>
      <c r="P7" s="44">
        <f>SUMIFS(Movimientos!$J$1:$J$1324,Movimientos!$C$1:$C$1324,$B7,Movimientos!$D$1:$D$1324,$C7,Movimientos!$L$1:$L$1324,A$4,Movimientos!$F$1:$F$1324,"Egreso")</f>
        <v>0</v>
      </c>
      <c r="Q7" s="7">
        <f t="shared" si="1"/>
        <v>0</v>
      </c>
      <c r="R7" s="12">
        <f t="shared" ref="R7:R34" si="8">N7+O7-P7</f>
        <v>1669.89</v>
      </c>
      <c r="S7" s="5">
        <f t="shared" ref="S7:S35" si="9">R7</f>
        <v>1669.89</v>
      </c>
      <c r="T7" s="44">
        <f>SUMIFS(Movimientos!$J$1:$J$1324,Movimientos!$C$1:$C$1324,$B7,Movimientos!$D$1:$D$1324,$C7,Movimientos!$L$1:$L$1324,A$5,Movimientos!$F$1:$F$1324,"Ingreso")</f>
        <v>0</v>
      </c>
      <c r="U7" s="44">
        <f>SUMIFS(Movimientos!$J$1:$J$1324,Movimientos!$C$1:$C$1324,$B7,Movimientos!$D$1:$D$1324,$C7,Movimientos!$L$1:$L$1324,A$5,Movimientos!$F$1:$F$1324,"Egreso")</f>
        <v>0</v>
      </c>
      <c r="V7" s="7">
        <f t="shared" si="2"/>
        <v>0</v>
      </c>
      <c r="W7" s="12">
        <f t="shared" ref="W7:W35" si="10">S7+T7-U7</f>
        <v>1669.89</v>
      </c>
      <c r="X7" s="5">
        <f t="shared" ref="X7:X35" si="11">W7</f>
        <v>1669.89</v>
      </c>
      <c r="Y7" s="44">
        <f>SUMIFS(Movimientos!$J$1:$J$1324,Movimientos!$C$1:$C$1324,$B7,Movimientos!$D$1:$D$1324,$C7,Movimientos!$L$1:$L$1324,A$6,Movimientos!$F$1:$F$1324,"Ingreso")</f>
        <v>0</v>
      </c>
      <c r="Z7" s="44">
        <f>SUMIFS(Movimientos!$J$1:$J$1324,Movimientos!$C$1:$C$1324,$B7,Movimientos!$D$1:$D$1324,$C7,Movimientos!$L$1:$L$1324,F$5,Movimientos!$F$1:$F$1324,"Egreso")</f>
        <v>0</v>
      </c>
      <c r="AA7" s="7">
        <f t="shared" si="3"/>
        <v>0</v>
      </c>
      <c r="AB7" s="12">
        <f t="shared" ref="AB7:AB35" si="12">X7+Y7-Z7</f>
        <v>1669.89</v>
      </c>
    </row>
    <row r="8" spans="1:28" x14ac:dyDescent="0.3">
      <c r="A8" s="11" t="s">
        <v>166</v>
      </c>
      <c r="B8" s="11" t="s">
        <v>20</v>
      </c>
      <c r="C8" s="11" t="s">
        <v>100</v>
      </c>
      <c r="D8" s="18">
        <v>177088.59</v>
      </c>
      <c r="E8" s="44">
        <v>2810870.3299999996</v>
      </c>
      <c r="F8" s="44">
        <v>2563105.7999999998</v>
      </c>
      <c r="G8" s="17">
        <v>247764.5299999998</v>
      </c>
      <c r="H8" s="12">
        <f t="shared" si="4"/>
        <v>424853.11999999965</v>
      </c>
      <c r="I8" s="48">
        <f t="shared" si="5"/>
        <v>424853.11999999965</v>
      </c>
      <c r="J8" s="44">
        <f>SUMIFS(Movimientos!$J$1:$J$1324,Movimientos!$C$1:$C$1324,$B8,Movimientos!$D$1:$D$1324,$C8,Movimientos!$L$1:$L$1324,A$3,Movimientos!$F$1:$F$1324,"Ingreso")</f>
        <v>440602.39</v>
      </c>
      <c r="K8" s="44">
        <f>SUMIFS(Movimientos!$J$1:$J$1324,Movimientos!$C$1:$C$1324,$B8,Movimientos!$D$1:$D$1324,$C8,Movimientos!$L$1:$L$1324,A$3,Movimientos!$F$1:$F$1324,"Egreso")</f>
        <v>375709.88</v>
      </c>
      <c r="L8" s="7">
        <f t="shared" si="0"/>
        <v>64892.510000000009</v>
      </c>
      <c r="M8" s="12">
        <f t="shared" si="6"/>
        <v>489745.62999999966</v>
      </c>
      <c r="N8" s="5">
        <f t="shared" si="7"/>
        <v>489745.62999999966</v>
      </c>
      <c r="O8" s="44">
        <f>SUMIFS(Movimientos!$J$1:$J$1324,Movimientos!$C$1:$C$1324,$B8,Movimientos!$D$1:$D$1324,$C8,Movimientos!$L$1:$L$1324,A$4,Movimientos!$F$1:$F$1324,"Ingreso")</f>
        <v>1306812.04</v>
      </c>
      <c r="P8" s="44">
        <f>SUMIFS(Movimientos!$J$1:$J$1324,Movimientos!$C$1:$C$1324,$B8,Movimientos!$D$1:$D$1324,$C8,Movimientos!$L$1:$L$1324,A$4,Movimientos!$F$1:$F$1324,"Egreso")</f>
        <v>338131.63</v>
      </c>
      <c r="Q8" s="7">
        <f t="shared" si="1"/>
        <v>968680.41</v>
      </c>
      <c r="R8" s="12">
        <f t="shared" si="8"/>
        <v>1458426.0399999996</v>
      </c>
      <c r="S8" s="5">
        <f t="shared" si="9"/>
        <v>1458426.0399999996</v>
      </c>
      <c r="T8" s="44">
        <f>SUMIFS(Movimientos!$J$1:$J$1324,Movimientos!$C$1:$C$1324,$B8,Movimientos!$D$1:$D$1324,$C8,Movimientos!$L$1:$L$1324,A$5,Movimientos!$F$1:$F$1324,"Ingreso")</f>
        <v>250866.9</v>
      </c>
      <c r="U8" s="44">
        <f>SUMIFS(Movimientos!$J$1:$J$1324,Movimientos!$C$1:$C$1324,$B8,Movimientos!$D$1:$D$1324,$C8,Movimientos!$L$1:$L$1324,A$5,Movimientos!$F$1:$F$1324,"Egreso")</f>
        <v>289394.69999999995</v>
      </c>
      <c r="V8" s="7">
        <f t="shared" si="2"/>
        <v>-38527.799999999959</v>
      </c>
      <c r="W8" s="12">
        <f t="shared" si="10"/>
        <v>1419898.2399999995</v>
      </c>
      <c r="X8" s="5">
        <f t="shared" si="11"/>
        <v>1419898.2399999995</v>
      </c>
      <c r="Y8" s="44">
        <f>SUMIFS(Movimientos!$J$1:$J$1324,Movimientos!$C$1:$C$1324,$B8,Movimientos!$D$1:$D$1324,$C8,Movimientos!$L$1:$L$1324,A$6,Movimientos!$F$1:$F$1324,"Ingreso")</f>
        <v>542761.79999999993</v>
      </c>
      <c r="Z8" s="44">
        <f>SUMIFS(Movimientos!$J$1:$J$1324,Movimientos!$C$1:$C$1324,$B8,Movimientos!$D$1:$D$1324,$C8,Movimientos!$L$1:$L$1324,F$5,Movimientos!$F$1:$F$1324,"Egreso")</f>
        <v>0</v>
      </c>
      <c r="AA8" s="7">
        <f t="shared" si="3"/>
        <v>542761.79999999993</v>
      </c>
      <c r="AB8" s="12">
        <f t="shared" si="12"/>
        <v>1962660.0399999996</v>
      </c>
    </row>
    <row r="9" spans="1:28" x14ac:dyDescent="0.3">
      <c r="A9" s="11" t="s">
        <v>167</v>
      </c>
      <c r="B9" s="11" t="s">
        <v>21</v>
      </c>
      <c r="C9" s="11" t="s">
        <v>101</v>
      </c>
      <c r="D9" s="18">
        <v>12379.18</v>
      </c>
      <c r="E9" s="44">
        <v>15321.74</v>
      </c>
      <c r="F9" s="44">
        <v>16857.71</v>
      </c>
      <c r="G9" s="17">
        <v>-1535.9699999999993</v>
      </c>
      <c r="H9" s="12">
        <f t="shared" si="4"/>
        <v>10843.21</v>
      </c>
      <c r="I9" s="48">
        <f t="shared" si="5"/>
        <v>10843.21</v>
      </c>
      <c r="J9" s="44">
        <f>SUMIFS(Movimientos!$J$1:$J$1324,Movimientos!$C$1:$C$1324,$B9,Movimientos!$D$1:$D$1324,$C9,Movimientos!$L$1:$L$1324,A$3,Movimientos!$F$1:$F$1324,"Ingreso")</f>
        <v>15307.88</v>
      </c>
      <c r="K9" s="44">
        <f>SUMIFS(Movimientos!$J$1:$J$1324,Movimientos!$C$1:$C$1324,$B9,Movimientos!$D$1:$D$1324,$C9,Movimientos!$L$1:$L$1324,A$3,Movimientos!$F$1:$F$1324,"Egreso")</f>
        <v>18373.849999999999</v>
      </c>
      <c r="L9" s="7">
        <f t="shared" si="0"/>
        <v>-3065.9699999999993</v>
      </c>
      <c r="M9" s="12">
        <f t="shared" si="6"/>
        <v>7777.239999999998</v>
      </c>
      <c r="N9" s="5">
        <f t="shared" si="7"/>
        <v>7777.239999999998</v>
      </c>
      <c r="O9" s="44">
        <f>SUMIFS(Movimientos!$J$1:$J$1324,Movimientos!$C$1:$C$1324,$B9,Movimientos!$D$1:$D$1324,$C9,Movimientos!$L$1:$L$1324,A$4,Movimientos!$F$1:$F$1324,"Ingreso")</f>
        <v>15280.15</v>
      </c>
      <c r="P9" s="44">
        <f>SUMIFS(Movimientos!$J$1:$J$1324,Movimientos!$C$1:$C$1324,$B9,Movimientos!$D$1:$D$1324,$C9,Movimientos!$L$1:$L$1324,A$4,Movimientos!$F$1:$F$1324,"Egreso")</f>
        <v>17912.62</v>
      </c>
      <c r="Q9" s="7">
        <f t="shared" si="1"/>
        <v>-2632.4699999999993</v>
      </c>
      <c r="R9" s="12">
        <f t="shared" si="8"/>
        <v>5144.7700000000004</v>
      </c>
      <c r="S9" s="5">
        <f t="shared" si="9"/>
        <v>5144.7700000000004</v>
      </c>
      <c r="T9" s="44">
        <f>SUMIFS(Movimientos!$J$1:$J$1324,Movimientos!$C$1:$C$1324,$B9,Movimientos!$D$1:$D$1324,$C9,Movimientos!$L$1:$L$1324,A$5,Movimientos!$F$1:$F$1324,"Ingreso")</f>
        <v>35280.15</v>
      </c>
      <c r="U9" s="44">
        <f>SUMIFS(Movimientos!$J$1:$J$1324,Movimientos!$C$1:$C$1324,$B9,Movimientos!$D$1:$D$1324,$C9,Movimientos!$L$1:$L$1324,A$5,Movimientos!$F$1:$F$1324,"Egreso")</f>
        <v>15210.029999999999</v>
      </c>
      <c r="V9" s="7">
        <f t="shared" si="2"/>
        <v>20070.120000000003</v>
      </c>
      <c r="W9" s="12">
        <f t="shared" si="10"/>
        <v>25214.89</v>
      </c>
      <c r="X9" s="5">
        <f t="shared" si="11"/>
        <v>25214.89</v>
      </c>
      <c r="Y9" s="44">
        <f>SUMIFS(Movimientos!$J$1:$J$1324,Movimientos!$C$1:$C$1324,$B9,Movimientos!$D$1:$D$1324,$C9,Movimientos!$L$1:$L$1324,A$6,Movimientos!$F$1:$F$1324,"Ingreso")</f>
        <v>15266.29</v>
      </c>
      <c r="Z9" s="44">
        <f>SUMIFS(Movimientos!$J$1:$J$1324,Movimientos!$C$1:$C$1324,$B9,Movimientos!$D$1:$D$1324,$C9,Movimientos!$L$1:$L$1324,F$5,Movimientos!$F$1:$F$1324,"Egreso")</f>
        <v>0</v>
      </c>
      <c r="AA9" s="7">
        <f t="shared" si="3"/>
        <v>15266.29</v>
      </c>
      <c r="AB9" s="12">
        <f t="shared" si="12"/>
        <v>40481.18</v>
      </c>
    </row>
    <row r="10" spans="1:28" x14ac:dyDescent="0.3">
      <c r="A10" s="11"/>
      <c r="B10" s="11" t="s">
        <v>21</v>
      </c>
      <c r="C10" s="11" t="s">
        <v>102</v>
      </c>
      <c r="D10" s="18">
        <v>759.07</v>
      </c>
      <c r="E10" s="44">
        <v>0</v>
      </c>
      <c r="F10" s="44">
        <v>196.07</v>
      </c>
      <c r="G10" s="17">
        <v>-196.07</v>
      </c>
      <c r="H10" s="12">
        <f t="shared" si="4"/>
        <v>563</v>
      </c>
      <c r="I10" s="48">
        <f t="shared" si="5"/>
        <v>563</v>
      </c>
      <c r="J10" s="44">
        <f>SUMIFS(Movimientos!$J$1:$J$1324,Movimientos!$C$1:$C$1324,$B10,Movimientos!$D$1:$D$1324,$C10,Movimientos!$L$1:$L$1324,A$3,Movimientos!$F$1:$F$1324,"Ingreso")</f>
        <v>0</v>
      </c>
      <c r="K10" s="44">
        <f>SUMIFS(Movimientos!$J$1:$J$1324,Movimientos!$C$1:$C$1324,$B10,Movimientos!$D$1:$D$1324,$C10,Movimientos!$L$1:$L$1324,A$3,Movimientos!$F$1:$F$1324,"Egreso")</f>
        <v>196.07999999999998</v>
      </c>
      <c r="L10" s="7">
        <f t="shared" si="0"/>
        <v>-196.07999999999998</v>
      </c>
      <c r="M10" s="12">
        <f t="shared" si="6"/>
        <v>366.92</v>
      </c>
      <c r="N10" s="5">
        <f t="shared" si="7"/>
        <v>366.92</v>
      </c>
      <c r="O10" s="44">
        <f>SUMIFS(Movimientos!$J$1:$J$1324,Movimientos!$C$1:$C$1324,$B10,Movimientos!$D$1:$D$1324,$C10,Movimientos!$L$1:$L$1324,A$4,Movimientos!$F$1:$F$1324,"Ingreso")</f>
        <v>1000</v>
      </c>
      <c r="P10" s="44">
        <f>SUMIFS(Movimientos!$J$1:$J$1324,Movimientos!$C$1:$C$1324,$B10,Movimientos!$D$1:$D$1324,$C10,Movimientos!$L$1:$L$1324,A$4,Movimientos!$F$1:$F$1324,"Egreso")</f>
        <v>196.1</v>
      </c>
      <c r="Q10" s="7">
        <f t="shared" si="1"/>
        <v>803.9</v>
      </c>
      <c r="R10" s="12">
        <f t="shared" si="8"/>
        <v>1170.8200000000002</v>
      </c>
      <c r="S10" s="5">
        <f t="shared" si="9"/>
        <v>1170.8200000000002</v>
      </c>
      <c r="T10" s="44">
        <f>SUMIFS(Movimientos!$J$1:$J$1324,Movimientos!$C$1:$C$1324,$B10,Movimientos!$D$1:$D$1324,$C10,Movimientos!$L$1:$L$1324,A$5,Movimientos!$F$1:$F$1324,"Ingreso")</f>
        <v>0</v>
      </c>
      <c r="U10" s="44">
        <f>SUMIFS(Movimientos!$J$1:$J$1324,Movimientos!$C$1:$C$1324,$B10,Movimientos!$D$1:$D$1324,$C10,Movimientos!$L$1:$L$1324,A$5,Movimientos!$F$1:$F$1324,"Egreso")</f>
        <v>196.41</v>
      </c>
      <c r="V10" s="7">
        <f t="shared" si="2"/>
        <v>-196.41</v>
      </c>
      <c r="W10" s="12">
        <f t="shared" si="10"/>
        <v>974.4100000000002</v>
      </c>
      <c r="X10" s="5">
        <f t="shared" si="11"/>
        <v>974.4100000000002</v>
      </c>
      <c r="Y10" s="44">
        <f>SUMIFS(Movimientos!$J$1:$J$1324,Movimientos!$C$1:$C$1324,$B10,Movimientos!$D$1:$D$1324,$C10,Movimientos!$L$1:$L$1324,A$6,Movimientos!$F$1:$F$1324,"Ingreso")</f>
        <v>0</v>
      </c>
      <c r="Z10" s="44">
        <f>SUMIFS(Movimientos!$J$1:$J$1324,Movimientos!$C$1:$C$1324,$B10,Movimientos!$D$1:$D$1324,$C10,Movimientos!$L$1:$L$1324,F$5,Movimientos!$F$1:$F$1324,"Egreso")</f>
        <v>0</v>
      </c>
      <c r="AA10" s="7">
        <f t="shared" si="3"/>
        <v>0</v>
      </c>
      <c r="AB10" s="12">
        <f t="shared" si="12"/>
        <v>974.4100000000002</v>
      </c>
    </row>
    <row r="11" spans="1:28" x14ac:dyDescent="0.3">
      <c r="A11" s="11"/>
      <c r="B11" s="11" t="s">
        <v>21</v>
      </c>
      <c r="C11" s="11" t="s">
        <v>103</v>
      </c>
      <c r="D11" s="18">
        <v>0</v>
      </c>
      <c r="E11" s="44">
        <v>0</v>
      </c>
      <c r="F11" s="44">
        <v>0</v>
      </c>
      <c r="G11" s="17">
        <v>0</v>
      </c>
      <c r="H11" s="12">
        <f t="shared" si="4"/>
        <v>0</v>
      </c>
      <c r="I11" s="48">
        <f t="shared" si="5"/>
        <v>0</v>
      </c>
      <c r="J11" s="44">
        <f>SUMIFS(Movimientos!$J$1:$J$1324,Movimientos!$C$1:$C$1324,$B11,Movimientos!$D$1:$D$1324,$C11,Movimientos!$L$1:$L$1324,A$3,Movimientos!$F$1:$F$1324,"Ingreso")</f>
        <v>0</v>
      </c>
      <c r="K11" s="44">
        <f>SUMIFS(Movimientos!$J$1:$J$1324,Movimientos!$C$1:$C$1324,$B11,Movimientos!$D$1:$D$1324,$C11,Movimientos!$L$1:$L$1324,A$3,Movimientos!$F$1:$F$1324,"Egreso")</f>
        <v>0</v>
      </c>
      <c r="L11" s="7">
        <f t="shared" si="0"/>
        <v>0</v>
      </c>
      <c r="M11" s="12">
        <f t="shared" si="6"/>
        <v>0</v>
      </c>
      <c r="N11" s="5">
        <f t="shared" si="7"/>
        <v>0</v>
      </c>
      <c r="O11" s="44">
        <f>SUMIFS(Movimientos!$J$1:$J$1324,Movimientos!$C$1:$C$1324,$B11,Movimientos!$D$1:$D$1324,$C11,Movimientos!$L$1:$L$1324,A$4,Movimientos!$F$1:$F$1324,"Ingreso")</f>
        <v>0</v>
      </c>
      <c r="P11" s="44">
        <f>SUMIFS(Movimientos!$J$1:$J$1324,Movimientos!$C$1:$C$1324,$B11,Movimientos!$D$1:$D$1324,$C11,Movimientos!$L$1:$L$1324,A$4,Movimientos!$F$1:$F$1324,"Egreso")</f>
        <v>0</v>
      </c>
      <c r="Q11" s="7">
        <f t="shared" si="1"/>
        <v>0</v>
      </c>
      <c r="R11" s="12">
        <f t="shared" si="8"/>
        <v>0</v>
      </c>
      <c r="S11" s="5">
        <f t="shared" si="9"/>
        <v>0</v>
      </c>
      <c r="T11" s="44">
        <f>SUMIFS(Movimientos!$J$1:$J$1324,Movimientos!$C$1:$C$1324,$B11,Movimientos!$D$1:$D$1324,$C11,Movimientos!$L$1:$L$1324,A$5,Movimientos!$F$1:$F$1324,"Ingreso")</f>
        <v>0</v>
      </c>
      <c r="U11" s="44">
        <f>SUMIFS(Movimientos!$J$1:$J$1324,Movimientos!$C$1:$C$1324,$B11,Movimientos!$D$1:$D$1324,$C11,Movimientos!$L$1:$L$1324,A$5,Movimientos!$F$1:$F$1324,"Egreso")</f>
        <v>0</v>
      </c>
      <c r="V11" s="7">
        <f t="shared" si="2"/>
        <v>0</v>
      </c>
      <c r="W11" s="12">
        <f t="shared" si="10"/>
        <v>0</v>
      </c>
      <c r="X11" s="5">
        <f t="shared" si="11"/>
        <v>0</v>
      </c>
      <c r="Y11" s="44">
        <f>SUMIFS(Movimientos!$J$1:$J$1324,Movimientos!$C$1:$C$1324,$B11,Movimientos!$D$1:$D$1324,$C11,Movimientos!$L$1:$L$1324,A$6,Movimientos!$F$1:$F$1324,"Ingreso")</f>
        <v>0</v>
      </c>
      <c r="Z11" s="44">
        <f>SUMIFS(Movimientos!$J$1:$J$1324,Movimientos!$C$1:$C$1324,$B11,Movimientos!$D$1:$D$1324,$C11,Movimientos!$L$1:$L$1324,F$5,Movimientos!$F$1:$F$1324,"Egreso")</f>
        <v>0</v>
      </c>
      <c r="AA11" s="7">
        <f t="shared" si="3"/>
        <v>0</v>
      </c>
      <c r="AB11" s="12">
        <f t="shared" si="12"/>
        <v>0</v>
      </c>
    </row>
    <row r="12" spans="1:28" x14ac:dyDescent="0.3">
      <c r="A12" s="11"/>
      <c r="B12" s="11" t="s">
        <v>21</v>
      </c>
      <c r="C12" s="11" t="s">
        <v>104</v>
      </c>
      <c r="D12" s="18">
        <v>219857.81999999937</v>
      </c>
      <c r="E12" s="44">
        <v>1689975</v>
      </c>
      <c r="F12" s="44">
        <v>1664911.5100000002</v>
      </c>
      <c r="G12" s="17">
        <v>25063.489999999758</v>
      </c>
      <c r="H12" s="12">
        <f t="shared" si="4"/>
        <v>244921.30999999912</v>
      </c>
      <c r="I12" s="48">
        <f t="shared" si="5"/>
        <v>244921.30999999912</v>
      </c>
      <c r="J12" s="44">
        <f>SUMIFS(Movimientos!$J$1:$J$1324,Movimientos!$C$1:$C$1324,$B12,Movimientos!$D$1:$D$1324,$C12,Movimientos!$L$1:$L$1324,A$3,Movimientos!$F$1:$F$1324,"Ingreso")</f>
        <v>4970000</v>
      </c>
      <c r="K12" s="44">
        <f>SUMIFS(Movimientos!$J$1:$J$1324,Movimientos!$C$1:$C$1324,$B12,Movimientos!$D$1:$D$1324,$C12,Movimientos!$L$1:$L$1324,A$3,Movimientos!$F$1:$F$1324,"Egreso")</f>
        <v>4343222.55</v>
      </c>
      <c r="L12" s="7">
        <f t="shared" si="0"/>
        <v>626777.45000000019</v>
      </c>
      <c r="M12" s="12">
        <f t="shared" si="6"/>
        <v>871698.75999999885</v>
      </c>
      <c r="N12" s="5">
        <f t="shared" si="7"/>
        <v>871698.75999999885</v>
      </c>
      <c r="O12" s="44">
        <f>SUMIFS(Movimientos!$J$1:$J$1324,Movimientos!$C$1:$C$1324,$B12,Movimientos!$D$1:$D$1324,$C12,Movimientos!$L$1:$L$1324,A$4,Movimientos!$F$1:$F$1324,"Ingreso")</f>
        <v>1320000</v>
      </c>
      <c r="P12" s="44">
        <f>SUMIFS(Movimientos!$J$1:$J$1324,Movimientos!$C$1:$C$1324,$B12,Movimientos!$D$1:$D$1324,$C12,Movimientos!$L$1:$L$1324,A$4,Movimientos!$F$1:$F$1324,"Egreso")</f>
        <v>1502405.7499999998</v>
      </c>
      <c r="Q12" s="7">
        <f t="shared" si="1"/>
        <v>-182405.74999999977</v>
      </c>
      <c r="R12" s="12">
        <f t="shared" si="8"/>
        <v>689293.00999999908</v>
      </c>
      <c r="S12" s="5">
        <f t="shared" si="9"/>
        <v>689293.00999999908</v>
      </c>
      <c r="T12" s="44">
        <f>SUMIFS(Movimientos!$J$1:$J$1324,Movimientos!$C$1:$C$1324,$B12,Movimientos!$D$1:$D$1324,$C12,Movimientos!$L$1:$L$1324,A$5,Movimientos!$F$1:$F$1324,"Ingreso")</f>
        <v>1100000</v>
      </c>
      <c r="U12" s="44">
        <f>SUMIFS(Movimientos!$J$1:$J$1324,Movimientos!$C$1:$C$1324,$B12,Movimientos!$D$1:$D$1324,$C12,Movimientos!$L$1:$L$1324,A$5,Movimientos!$F$1:$F$1324,"Egreso")</f>
        <v>1081074.69</v>
      </c>
      <c r="V12" s="7">
        <f t="shared" si="2"/>
        <v>18925.310000000056</v>
      </c>
      <c r="W12" s="12">
        <f t="shared" si="10"/>
        <v>708218.31999999913</v>
      </c>
      <c r="X12" s="5">
        <f t="shared" si="11"/>
        <v>708218.31999999913</v>
      </c>
      <c r="Y12" s="44">
        <f>SUMIFS(Movimientos!$J$1:$J$1324,Movimientos!$C$1:$C$1324,$B12,Movimientos!$D$1:$D$1324,$C12,Movimientos!$L$1:$L$1324,A$6,Movimientos!$F$1:$F$1324,"Ingreso")</f>
        <v>350000</v>
      </c>
      <c r="Z12" s="44">
        <f>SUMIFS(Movimientos!$J$1:$J$1324,Movimientos!$C$1:$C$1324,$B12,Movimientos!$D$1:$D$1324,$C12,Movimientos!$L$1:$L$1324,F$5,Movimientos!$F$1:$F$1324,"Egreso")</f>
        <v>0</v>
      </c>
      <c r="AA12" s="7">
        <f t="shared" si="3"/>
        <v>350000</v>
      </c>
      <c r="AB12" s="12">
        <f t="shared" si="12"/>
        <v>1058218.3199999991</v>
      </c>
    </row>
    <row r="13" spans="1:28" x14ac:dyDescent="0.3">
      <c r="A13" s="11"/>
      <c r="B13" s="11" t="s">
        <v>21</v>
      </c>
      <c r="C13" s="11" t="s">
        <v>105</v>
      </c>
      <c r="D13" s="18">
        <v>4870.1099999999997</v>
      </c>
      <c r="E13" s="44">
        <v>0</v>
      </c>
      <c r="F13" s="44">
        <v>108.91</v>
      </c>
      <c r="G13" s="17">
        <v>-108.91</v>
      </c>
      <c r="H13" s="12">
        <f t="shared" si="4"/>
        <v>4761.2</v>
      </c>
      <c r="I13" s="48">
        <f t="shared" si="5"/>
        <v>4761.2</v>
      </c>
      <c r="J13" s="44">
        <f>SUMIFS(Movimientos!$J$1:$J$1324,Movimientos!$C$1:$C$1324,$B13,Movimientos!$D$1:$D$1324,$C13,Movimientos!$L$1:$L$1324,A$3,Movimientos!$F$1:$F$1324,"Ingreso")</f>
        <v>0</v>
      </c>
      <c r="K13" s="44">
        <f>SUMIFS(Movimientos!$J$1:$J$1324,Movimientos!$C$1:$C$1324,$B13,Movimientos!$D$1:$D$1324,$C13,Movimientos!$L$1:$L$1324,A$3,Movimientos!$F$1:$F$1324,"Egreso")</f>
        <v>0</v>
      </c>
      <c r="L13" s="7">
        <f t="shared" si="0"/>
        <v>0</v>
      </c>
      <c r="M13" s="12">
        <f t="shared" si="6"/>
        <v>4761.2</v>
      </c>
      <c r="N13" s="5">
        <f t="shared" si="7"/>
        <v>4761.2</v>
      </c>
      <c r="O13" s="44">
        <f>SUMIFS(Movimientos!$J$1:$J$1324,Movimientos!$C$1:$C$1324,$B13,Movimientos!$D$1:$D$1324,$C13,Movimientos!$L$1:$L$1324,A$4,Movimientos!$F$1:$F$1324,"Ingreso")</f>
        <v>0</v>
      </c>
      <c r="P13" s="44">
        <f>SUMIFS(Movimientos!$J$1:$J$1324,Movimientos!$C$1:$C$1324,$B13,Movimientos!$D$1:$D$1324,$C13,Movimientos!$L$1:$L$1324,A$4,Movimientos!$F$1:$F$1324,"Egreso")</f>
        <v>0</v>
      </c>
      <c r="Q13" s="7">
        <f t="shared" si="1"/>
        <v>0</v>
      </c>
      <c r="R13" s="12">
        <f t="shared" si="8"/>
        <v>4761.2</v>
      </c>
      <c r="S13" s="5">
        <f t="shared" si="9"/>
        <v>4761.2</v>
      </c>
      <c r="T13" s="44">
        <f>SUMIFS(Movimientos!$J$1:$J$1324,Movimientos!$C$1:$C$1324,$B13,Movimientos!$D$1:$D$1324,$C13,Movimientos!$L$1:$L$1324,A$5,Movimientos!$F$1:$F$1324,"Ingreso")</f>
        <v>0</v>
      </c>
      <c r="U13" s="44">
        <f>SUMIFS(Movimientos!$J$1:$J$1324,Movimientos!$C$1:$C$1324,$B13,Movimientos!$D$1:$D$1324,$C13,Movimientos!$L$1:$L$1324,A$5,Movimientos!$F$1:$F$1324,"Egreso")</f>
        <v>108.95</v>
      </c>
      <c r="V13" s="7">
        <f t="shared" si="2"/>
        <v>-108.95</v>
      </c>
      <c r="W13" s="12">
        <f t="shared" si="10"/>
        <v>4652.25</v>
      </c>
      <c r="X13" s="5">
        <f t="shared" si="11"/>
        <v>4652.25</v>
      </c>
      <c r="Y13" s="44">
        <f>SUMIFS(Movimientos!$J$1:$J$1324,Movimientos!$C$1:$C$1324,$B13,Movimientos!$D$1:$D$1324,$C13,Movimientos!$L$1:$L$1324,A$6,Movimientos!$F$1:$F$1324,"Ingreso")</f>
        <v>0</v>
      </c>
      <c r="Z13" s="44">
        <f>SUMIFS(Movimientos!$J$1:$J$1324,Movimientos!$C$1:$C$1324,$B13,Movimientos!$D$1:$D$1324,$C13,Movimientos!$L$1:$L$1324,F$5,Movimientos!$F$1:$F$1324,"Egreso")</f>
        <v>0</v>
      </c>
      <c r="AA13" s="7">
        <f t="shared" si="3"/>
        <v>0</v>
      </c>
      <c r="AB13" s="12">
        <f t="shared" si="12"/>
        <v>4652.25</v>
      </c>
    </row>
    <row r="14" spans="1:28" x14ac:dyDescent="0.3">
      <c r="A14" s="11"/>
      <c r="B14" s="11" t="s">
        <v>21</v>
      </c>
      <c r="C14" s="11" t="s">
        <v>106</v>
      </c>
      <c r="D14" s="18">
        <v>747521.2</v>
      </c>
      <c r="E14" s="44">
        <v>2291.75</v>
      </c>
      <c r="F14" s="44">
        <v>0</v>
      </c>
      <c r="G14" s="17">
        <v>2291.75</v>
      </c>
      <c r="H14" s="12">
        <f t="shared" si="4"/>
        <v>749812.95</v>
      </c>
      <c r="I14" s="48">
        <f t="shared" si="5"/>
        <v>749812.95</v>
      </c>
      <c r="J14" s="44">
        <f>SUMIFS(Movimientos!$J$1:$J$1324,Movimientos!$C$1:$C$1324,$B14,Movimientos!$D$1:$D$1324,$C14,Movimientos!$L$1:$L$1324,A$3,Movimientos!$F$1:$F$1324,"Ingreso")</f>
        <v>56867.66</v>
      </c>
      <c r="K14" s="44">
        <f>SUMIFS(Movimientos!$J$1:$J$1324,Movimientos!$C$1:$C$1324,$B14,Movimientos!$D$1:$D$1324,$C14,Movimientos!$L$1:$L$1324,A$3,Movimientos!$F$1:$F$1324,"Egreso")</f>
        <v>0</v>
      </c>
      <c r="L14" s="7">
        <f t="shared" si="0"/>
        <v>56867.66</v>
      </c>
      <c r="M14" s="12">
        <f t="shared" si="6"/>
        <v>806680.61</v>
      </c>
      <c r="N14" s="5">
        <f t="shared" si="7"/>
        <v>806680.61</v>
      </c>
      <c r="O14" s="44">
        <f>SUMIFS(Movimientos!$J$1:$J$1324,Movimientos!$C$1:$C$1324,$B14,Movimientos!$D$1:$D$1324,$C14,Movimientos!$L$1:$L$1324,A$4,Movimientos!$F$1:$F$1324,"Ingreso")</f>
        <v>2426.71</v>
      </c>
      <c r="P14" s="44">
        <f>SUMIFS(Movimientos!$J$1:$J$1324,Movimientos!$C$1:$C$1324,$B14,Movimientos!$D$1:$D$1324,$C14,Movimientos!$L$1:$L$1324,A$4,Movimientos!$F$1:$F$1324,"Egreso")</f>
        <v>0</v>
      </c>
      <c r="Q14" s="7">
        <f t="shared" si="1"/>
        <v>2426.71</v>
      </c>
      <c r="R14" s="12">
        <f t="shared" si="8"/>
        <v>809107.32</v>
      </c>
      <c r="S14" s="5">
        <f t="shared" si="9"/>
        <v>809107.32</v>
      </c>
      <c r="T14" s="44">
        <f>SUMIFS(Movimientos!$J$1:$J$1324,Movimientos!$C$1:$C$1324,$B14,Movimientos!$D$1:$D$1324,$C14,Movimientos!$L$1:$L$1324,A$5,Movimientos!$F$1:$F$1324,"Ingreso")</f>
        <v>2434.02</v>
      </c>
      <c r="U14" s="44">
        <f>SUMIFS(Movimientos!$J$1:$J$1324,Movimientos!$C$1:$C$1324,$B14,Movimientos!$D$1:$D$1324,$C14,Movimientos!$L$1:$L$1324,A$5,Movimientos!$F$1:$F$1324,"Egreso")</f>
        <v>0</v>
      </c>
      <c r="V14" s="7">
        <f t="shared" si="2"/>
        <v>2434.02</v>
      </c>
      <c r="W14" s="12">
        <f t="shared" si="10"/>
        <v>811541.34</v>
      </c>
      <c r="X14" s="5">
        <f t="shared" si="11"/>
        <v>811541.34</v>
      </c>
      <c r="Y14" s="44">
        <f>SUMIFS(Movimientos!$J$1:$J$1324,Movimientos!$C$1:$C$1324,$B14,Movimientos!$D$1:$D$1324,$C14,Movimientos!$L$1:$L$1324,A$6,Movimientos!$F$1:$F$1324,"Ingreso")</f>
        <v>2362.59</v>
      </c>
      <c r="Z14" s="44">
        <f>SUMIFS(Movimientos!$J$1:$J$1324,Movimientos!$C$1:$C$1324,$B14,Movimientos!$D$1:$D$1324,$C14,Movimientos!$L$1:$L$1324,F$5,Movimientos!$F$1:$F$1324,"Egreso")</f>
        <v>0</v>
      </c>
      <c r="AA14" s="7">
        <f t="shared" si="3"/>
        <v>2362.59</v>
      </c>
      <c r="AB14" s="12">
        <f t="shared" si="12"/>
        <v>813903.92999999993</v>
      </c>
    </row>
    <row r="15" spans="1:28" x14ac:dyDescent="0.3">
      <c r="A15" s="11"/>
      <c r="B15" s="11" t="s">
        <v>21</v>
      </c>
      <c r="C15" s="11" t="s">
        <v>107</v>
      </c>
      <c r="D15" s="18">
        <v>5000</v>
      </c>
      <c r="E15" s="44">
        <v>0</v>
      </c>
      <c r="F15" s="44">
        <v>0</v>
      </c>
      <c r="G15" s="17">
        <v>0</v>
      </c>
      <c r="H15" s="12">
        <f t="shared" si="4"/>
        <v>5000</v>
      </c>
      <c r="I15" s="48">
        <f t="shared" si="5"/>
        <v>5000</v>
      </c>
      <c r="J15" s="44">
        <f>SUMIFS(Movimientos!$J$1:$J$1324,Movimientos!$C$1:$C$1324,$B15,Movimientos!$D$1:$D$1324,$C15,Movimientos!$L$1:$L$1324,A$3,Movimientos!$F$1:$F$1324,"Ingreso")</f>
        <v>0</v>
      </c>
      <c r="K15" s="44">
        <f>SUMIFS(Movimientos!$J$1:$J$1324,Movimientos!$C$1:$C$1324,$B15,Movimientos!$D$1:$D$1324,$C15,Movimientos!$L$1:$L$1324,A$3,Movimientos!$F$1:$F$1324,"Egreso")</f>
        <v>0</v>
      </c>
      <c r="L15" s="7">
        <f t="shared" si="0"/>
        <v>0</v>
      </c>
      <c r="M15" s="12">
        <f t="shared" si="6"/>
        <v>5000</v>
      </c>
      <c r="N15" s="5">
        <f t="shared" si="7"/>
        <v>5000</v>
      </c>
      <c r="O15" s="44">
        <f>SUMIFS(Movimientos!$J$1:$J$1324,Movimientos!$C$1:$C$1324,$B15,Movimientos!$D$1:$D$1324,$C15,Movimientos!$L$1:$L$1324,A$4,Movimientos!$F$1:$F$1324,"Ingreso")</f>
        <v>0</v>
      </c>
      <c r="P15" s="44">
        <f>SUMIFS(Movimientos!$J$1:$J$1324,Movimientos!$C$1:$C$1324,$B15,Movimientos!$D$1:$D$1324,$C15,Movimientos!$L$1:$L$1324,A$4,Movimientos!$F$1:$F$1324,"Egreso")</f>
        <v>0</v>
      </c>
      <c r="Q15" s="7">
        <f t="shared" si="1"/>
        <v>0</v>
      </c>
      <c r="R15" s="12">
        <f t="shared" si="8"/>
        <v>5000</v>
      </c>
      <c r="S15" s="5">
        <f t="shared" si="9"/>
        <v>5000</v>
      </c>
      <c r="T15" s="44">
        <f>SUMIFS(Movimientos!$J$1:$J$1324,Movimientos!$C$1:$C$1324,$B15,Movimientos!$D$1:$D$1324,$C15,Movimientos!$L$1:$L$1324,A$5,Movimientos!$F$1:$F$1324,"Ingreso")</f>
        <v>0</v>
      </c>
      <c r="U15" s="44">
        <f>SUMIFS(Movimientos!$J$1:$J$1324,Movimientos!$C$1:$C$1324,$B15,Movimientos!$D$1:$D$1324,$C15,Movimientos!$L$1:$L$1324,A$5,Movimientos!$F$1:$F$1324,"Egreso")</f>
        <v>0</v>
      </c>
      <c r="V15" s="7">
        <f t="shared" si="2"/>
        <v>0</v>
      </c>
      <c r="W15" s="12">
        <f t="shared" si="10"/>
        <v>5000</v>
      </c>
      <c r="X15" s="5">
        <f t="shared" si="11"/>
        <v>5000</v>
      </c>
      <c r="Y15" s="44">
        <f>SUMIFS(Movimientos!$J$1:$J$1324,Movimientos!$C$1:$C$1324,$B15,Movimientos!$D$1:$D$1324,$C15,Movimientos!$L$1:$L$1324,A$6,Movimientos!$F$1:$F$1324,"Ingreso")</f>
        <v>0</v>
      </c>
      <c r="Z15" s="44">
        <f>SUMIFS(Movimientos!$J$1:$J$1324,Movimientos!$C$1:$C$1324,$B15,Movimientos!$D$1:$D$1324,$C15,Movimientos!$L$1:$L$1324,F$5,Movimientos!$F$1:$F$1324,"Egreso")</f>
        <v>0</v>
      </c>
      <c r="AA15" s="7">
        <f t="shared" si="3"/>
        <v>0</v>
      </c>
      <c r="AB15" s="12">
        <f t="shared" si="12"/>
        <v>5000</v>
      </c>
    </row>
    <row r="16" spans="1:28" x14ac:dyDescent="0.3">
      <c r="A16" s="11"/>
      <c r="B16" s="11" t="s">
        <v>22</v>
      </c>
      <c r="C16" s="11" t="s">
        <v>108</v>
      </c>
      <c r="D16" s="18">
        <v>57206.89</v>
      </c>
      <c r="E16" s="44">
        <v>0</v>
      </c>
      <c r="F16" s="44">
        <v>0</v>
      </c>
      <c r="G16" s="17">
        <v>0</v>
      </c>
      <c r="H16" s="12">
        <f t="shared" si="4"/>
        <v>57206.89</v>
      </c>
      <c r="I16" s="48">
        <f t="shared" si="5"/>
        <v>57206.89</v>
      </c>
      <c r="J16" s="44">
        <f>SUMIFS(Movimientos!$J$1:$J$1324,Movimientos!$C$1:$C$1324,$B16,Movimientos!$D$1:$D$1324,$C16,Movimientos!$L$1:$L$1324,A$3,Movimientos!$F$1:$F$1324,"Ingreso")</f>
        <v>0</v>
      </c>
      <c r="K16" s="44">
        <f>SUMIFS(Movimientos!$J$1:$J$1324,Movimientos!$C$1:$C$1324,$B16,Movimientos!$D$1:$D$1324,$C16,Movimientos!$L$1:$L$1324,A$3,Movimientos!$F$1:$F$1324,"Egreso")</f>
        <v>0</v>
      </c>
      <c r="L16" s="7">
        <f t="shared" si="0"/>
        <v>0</v>
      </c>
      <c r="M16" s="12">
        <f t="shared" si="6"/>
        <v>57206.89</v>
      </c>
      <c r="N16" s="5">
        <f t="shared" si="7"/>
        <v>57206.89</v>
      </c>
      <c r="O16" s="44">
        <f>SUMIFS(Movimientos!$J$1:$J$1324,Movimientos!$C$1:$C$1324,$B16,Movimientos!$D$1:$D$1324,$C16,Movimientos!$L$1:$L$1324,A$4,Movimientos!$F$1:$F$1324,"Ingreso")</f>
        <v>0</v>
      </c>
      <c r="P16" s="44">
        <f>SUMIFS(Movimientos!$J$1:$J$1324,Movimientos!$C$1:$C$1324,$B16,Movimientos!$D$1:$D$1324,$C16,Movimientos!$L$1:$L$1324,A$4,Movimientos!$F$1:$F$1324,"Egreso")</f>
        <v>0</v>
      </c>
      <c r="Q16" s="7">
        <f t="shared" si="1"/>
        <v>0</v>
      </c>
      <c r="R16" s="12">
        <f t="shared" si="8"/>
        <v>57206.89</v>
      </c>
      <c r="S16" s="5">
        <f t="shared" si="9"/>
        <v>57206.89</v>
      </c>
      <c r="T16" s="44">
        <f>SUMIFS(Movimientos!$J$1:$J$1324,Movimientos!$C$1:$C$1324,$B16,Movimientos!$D$1:$D$1324,$C16,Movimientos!$L$1:$L$1324,A$5,Movimientos!$F$1:$F$1324,"Ingreso")</f>
        <v>0</v>
      </c>
      <c r="U16" s="44">
        <f>SUMIFS(Movimientos!$J$1:$J$1324,Movimientos!$C$1:$C$1324,$B16,Movimientos!$D$1:$D$1324,$C16,Movimientos!$L$1:$L$1324,A$5,Movimientos!$F$1:$F$1324,"Egreso")</f>
        <v>0</v>
      </c>
      <c r="V16" s="7">
        <f t="shared" si="2"/>
        <v>0</v>
      </c>
      <c r="W16" s="12">
        <f t="shared" si="10"/>
        <v>57206.89</v>
      </c>
      <c r="X16" s="5">
        <f t="shared" si="11"/>
        <v>57206.89</v>
      </c>
      <c r="Y16" s="44">
        <f>SUMIFS(Movimientos!$J$1:$J$1324,Movimientos!$C$1:$C$1324,$B16,Movimientos!$D$1:$D$1324,$C16,Movimientos!$L$1:$L$1324,A$6,Movimientos!$F$1:$F$1324,"Ingreso")</f>
        <v>0</v>
      </c>
      <c r="Z16" s="44">
        <f>SUMIFS(Movimientos!$J$1:$J$1324,Movimientos!$C$1:$C$1324,$B16,Movimientos!$D$1:$D$1324,$C16,Movimientos!$L$1:$L$1324,F$5,Movimientos!$F$1:$F$1324,"Egreso")</f>
        <v>0</v>
      </c>
      <c r="AA16" s="7">
        <f t="shared" si="3"/>
        <v>0</v>
      </c>
      <c r="AB16" s="12">
        <f t="shared" si="12"/>
        <v>57206.89</v>
      </c>
    </row>
    <row r="17" spans="1:28" x14ac:dyDescent="0.3">
      <c r="A17" s="11"/>
      <c r="B17" s="11" t="s">
        <v>22</v>
      </c>
      <c r="C17" s="11" t="s">
        <v>109</v>
      </c>
      <c r="D17" s="18">
        <v>6365</v>
      </c>
      <c r="E17" s="44">
        <v>0</v>
      </c>
      <c r="F17" s="44">
        <v>0</v>
      </c>
      <c r="G17" s="17">
        <v>0</v>
      </c>
      <c r="H17" s="12">
        <f t="shared" si="4"/>
        <v>6365</v>
      </c>
      <c r="I17" s="48">
        <f t="shared" si="5"/>
        <v>6365</v>
      </c>
      <c r="J17" s="44">
        <f>SUMIFS(Movimientos!$J$1:$J$1324,Movimientos!$C$1:$C$1324,$B17,Movimientos!$D$1:$D$1324,$C17,Movimientos!$L$1:$L$1324,A$3,Movimientos!$F$1:$F$1324,"Ingreso")</f>
        <v>0</v>
      </c>
      <c r="K17" s="44">
        <f>SUMIFS(Movimientos!$J$1:$J$1324,Movimientos!$C$1:$C$1324,$B17,Movimientos!$D$1:$D$1324,$C17,Movimientos!$L$1:$L$1324,A$3,Movimientos!$F$1:$F$1324,"Egreso")</f>
        <v>0</v>
      </c>
      <c r="L17" s="7">
        <f t="shared" si="0"/>
        <v>0</v>
      </c>
      <c r="M17" s="12">
        <f t="shared" si="6"/>
        <v>6365</v>
      </c>
      <c r="N17" s="5">
        <f t="shared" si="7"/>
        <v>6365</v>
      </c>
      <c r="O17" s="44">
        <f>SUMIFS(Movimientos!$J$1:$J$1324,Movimientos!$C$1:$C$1324,$B17,Movimientos!$D$1:$D$1324,$C17,Movimientos!$L$1:$L$1324,A$4,Movimientos!$F$1:$F$1324,"Ingreso")</f>
        <v>0</v>
      </c>
      <c r="P17" s="44">
        <f>SUMIFS(Movimientos!$J$1:$J$1324,Movimientos!$C$1:$C$1324,$B17,Movimientos!$D$1:$D$1324,$C17,Movimientos!$L$1:$L$1324,A$4,Movimientos!$F$1:$F$1324,"Egreso")</f>
        <v>0</v>
      </c>
      <c r="Q17" s="7">
        <f t="shared" si="1"/>
        <v>0</v>
      </c>
      <c r="R17" s="12">
        <f t="shared" si="8"/>
        <v>6365</v>
      </c>
      <c r="S17" s="5">
        <f t="shared" si="9"/>
        <v>6365</v>
      </c>
      <c r="T17" s="44">
        <f>SUMIFS(Movimientos!$J$1:$J$1324,Movimientos!$C$1:$C$1324,$B17,Movimientos!$D$1:$D$1324,$C17,Movimientos!$L$1:$L$1324,A$5,Movimientos!$F$1:$F$1324,"Ingreso")</f>
        <v>0</v>
      </c>
      <c r="U17" s="44">
        <f>SUMIFS(Movimientos!$J$1:$J$1324,Movimientos!$C$1:$C$1324,$B17,Movimientos!$D$1:$D$1324,$C17,Movimientos!$L$1:$L$1324,A$5,Movimientos!$F$1:$F$1324,"Egreso")</f>
        <v>0</v>
      </c>
      <c r="V17" s="7">
        <f t="shared" si="2"/>
        <v>0</v>
      </c>
      <c r="W17" s="12">
        <f t="shared" si="10"/>
        <v>6365</v>
      </c>
      <c r="X17" s="5">
        <f t="shared" si="11"/>
        <v>6365</v>
      </c>
      <c r="Y17" s="44">
        <f>SUMIFS(Movimientos!$J$1:$J$1324,Movimientos!$C$1:$C$1324,$B17,Movimientos!$D$1:$D$1324,$C17,Movimientos!$L$1:$L$1324,A$6,Movimientos!$F$1:$F$1324,"Ingreso")</f>
        <v>0</v>
      </c>
      <c r="Z17" s="44">
        <f>SUMIFS(Movimientos!$J$1:$J$1324,Movimientos!$C$1:$C$1324,$B17,Movimientos!$D$1:$D$1324,$C17,Movimientos!$L$1:$L$1324,F$5,Movimientos!$F$1:$F$1324,"Egreso")</f>
        <v>0</v>
      </c>
      <c r="AA17" s="7">
        <f t="shared" si="3"/>
        <v>0</v>
      </c>
      <c r="AB17" s="12">
        <f t="shared" si="12"/>
        <v>6365</v>
      </c>
    </row>
    <row r="18" spans="1:28" x14ac:dyDescent="0.3">
      <c r="A18" s="11"/>
      <c r="B18" s="11" t="s">
        <v>22</v>
      </c>
      <c r="C18" s="11" t="s">
        <v>110</v>
      </c>
      <c r="D18" s="18">
        <v>13221.89</v>
      </c>
      <c r="E18" s="44">
        <v>50000</v>
      </c>
      <c r="F18" s="44">
        <v>6015</v>
      </c>
      <c r="G18" s="17">
        <v>43985</v>
      </c>
      <c r="H18" s="12">
        <f t="shared" si="4"/>
        <v>57206.89</v>
      </c>
      <c r="I18" s="48">
        <f t="shared" si="5"/>
        <v>57206.89</v>
      </c>
      <c r="J18" s="44">
        <f>SUMIFS(Movimientos!$J$1:$J$1324,Movimientos!$C$1:$C$1324,$B18,Movimientos!$D$1:$D$1324,$C18,Movimientos!$L$1:$L$1324,A$3,Movimientos!$F$1:$F$1324,"Ingreso")</f>
        <v>0</v>
      </c>
      <c r="K18" s="44">
        <f>SUMIFS(Movimientos!$J$1:$J$1324,Movimientos!$C$1:$C$1324,$B18,Movimientos!$D$1:$D$1324,$C18,Movimientos!$L$1:$L$1324,A$3,Movimientos!$F$1:$F$1324,"Egreso")</f>
        <v>12000</v>
      </c>
      <c r="L18" s="7">
        <f t="shared" si="0"/>
        <v>-12000</v>
      </c>
      <c r="M18" s="12">
        <f t="shared" si="6"/>
        <v>45206.89</v>
      </c>
      <c r="N18" s="5">
        <f t="shared" si="7"/>
        <v>45206.89</v>
      </c>
      <c r="O18" s="44">
        <f>SUMIFS(Movimientos!$J$1:$J$1324,Movimientos!$C$1:$C$1324,$B18,Movimientos!$D$1:$D$1324,$C18,Movimientos!$L$1:$L$1324,A$4,Movimientos!$F$1:$F$1324,"Ingreso")</f>
        <v>0</v>
      </c>
      <c r="P18" s="44">
        <f>SUMIFS(Movimientos!$J$1:$J$1324,Movimientos!$C$1:$C$1324,$B18,Movimientos!$D$1:$D$1324,$C18,Movimientos!$L$1:$L$1324,A$4,Movimientos!$F$1:$F$1324,"Egreso")</f>
        <v>0</v>
      </c>
      <c r="Q18" s="7">
        <f t="shared" si="1"/>
        <v>0</v>
      </c>
      <c r="R18" s="12">
        <f t="shared" si="8"/>
        <v>45206.89</v>
      </c>
      <c r="S18" s="5">
        <f t="shared" si="9"/>
        <v>45206.89</v>
      </c>
      <c r="T18" s="44">
        <f>SUMIFS(Movimientos!$J$1:$J$1324,Movimientos!$C$1:$C$1324,$B18,Movimientos!$D$1:$D$1324,$C18,Movimientos!$L$1:$L$1324,A$5,Movimientos!$F$1:$F$1324,"Ingreso")</f>
        <v>0</v>
      </c>
      <c r="U18" s="44">
        <f>SUMIFS(Movimientos!$J$1:$J$1324,Movimientos!$C$1:$C$1324,$B18,Movimientos!$D$1:$D$1324,$C18,Movimientos!$L$1:$L$1324,A$5,Movimientos!$F$1:$F$1324,"Egreso")</f>
        <v>6000</v>
      </c>
      <c r="V18" s="7">
        <f t="shared" si="2"/>
        <v>-6000</v>
      </c>
      <c r="W18" s="12">
        <f t="shared" si="10"/>
        <v>39206.89</v>
      </c>
      <c r="X18" s="5">
        <f t="shared" si="11"/>
        <v>39206.89</v>
      </c>
      <c r="Y18" s="44">
        <f>SUMIFS(Movimientos!$J$1:$J$1324,Movimientos!$C$1:$C$1324,$B18,Movimientos!$D$1:$D$1324,$C18,Movimientos!$L$1:$L$1324,A$6,Movimientos!$F$1:$F$1324,"Ingreso")</f>
        <v>0</v>
      </c>
      <c r="Z18" s="44">
        <f>SUMIFS(Movimientos!$J$1:$J$1324,Movimientos!$C$1:$C$1324,$B18,Movimientos!$D$1:$D$1324,$C18,Movimientos!$L$1:$L$1324,F$5,Movimientos!$F$1:$F$1324,"Egreso")</f>
        <v>0</v>
      </c>
      <c r="AA18" s="7">
        <f t="shared" si="3"/>
        <v>0</v>
      </c>
      <c r="AB18" s="12">
        <f t="shared" si="12"/>
        <v>39206.89</v>
      </c>
    </row>
    <row r="19" spans="1:28" x14ac:dyDescent="0.3">
      <c r="A19" s="11"/>
      <c r="B19" s="11" t="s">
        <v>22</v>
      </c>
      <c r="C19" s="11" t="s">
        <v>111</v>
      </c>
      <c r="D19" s="18">
        <v>65717.600000000006</v>
      </c>
      <c r="E19" s="44">
        <v>0</v>
      </c>
      <c r="F19" s="44">
        <v>55000</v>
      </c>
      <c r="G19" s="17">
        <v>-55000</v>
      </c>
      <c r="H19" s="12">
        <f t="shared" si="4"/>
        <v>10717.600000000006</v>
      </c>
      <c r="I19" s="48">
        <f t="shared" si="5"/>
        <v>10717.600000000006</v>
      </c>
      <c r="J19" s="44">
        <f>SUMIFS(Movimientos!$J$1:$J$1324,Movimientos!$C$1:$C$1324,$B19,Movimientos!$D$1:$D$1324,$C19,Movimientos!$L$1:$L$1324,A$3,Movimientos!$F$1:$F$1324,"Ingreso")</f>
        <v>2580000</v>
      </c>
      <c r="K19" s="44">
        <f>SUMIFS(Movimientos!$J$1:$J$1324,Movimientos!$C$1:$C$1324,$B19,Movimientos!$D$1:$D$1324,$C19,Movimientos!$L$1:$L$1324,A$3,Movimientos!$F$1:$F$1324,"Egreso")</f>
        <v>2309000</v>
      </c>
      <c r="L19" s="7">
        <f t="shared" si="0"/>
        <v>271000</v>
      </c>
      <c r="M19" s="12">
        <f t="shared" si="6"/>
        <v>281717.60000000009</v>
      </c>
      <c r="N19" s="5">
        <f t="shared" si="7"/>
        <v>281717.60000000009</v>
      </c>
      <c r="O19" s="44">
        <f>SUMIFS(Movimientos!$J$1:$J$1324,Movimientos!$C$1:$C$1324,$B19,Movimientos!$D$1:$D$1324,$C19,Movimientos!$L$1:$L$1324,A$4,Movimientos!$F$1:$F$1324,"Ingreso")</f>
        <v>0</v>
      </c>
      <c r="P19" s="44">
        <f>SUMIFS(Movimientos!$J$1:$J$1324,Movimientos!$C$1:$C$1324,$B19,Movimientos!$D$1:$D$1324,$C19,Movimientos!$L$1:$L$1324,A$4,Movimientos!$F$1:$F$1324,"Egreso")</f>
        <v>200000</v>
      </c>
      <c r="Q19" s="7">
        <f t="shared" si="1"/>
        <v>-200000</v>
      </c>
      <c r="R19" s="12">
        <f t="shared" si="8"/>
        <v>81717.600000000093</v>
      </c>
      <c r="S19" s="5">
        <f t="shared" si="9"/>
        <v>81717.600000000093</v>
      </c>
      <c r="T19" s="44">
        <f>SUMIFS(Movimientos!$J$1:$J$1324,Movimientos!$C$1:$C$1324,$B19,Movimientos!$D$1:$D$1324,$C19,Movimientos!$L$1:$L$1324,A$5,Movimientos!$F$1:$F$1324,"Ingreso")</f>
        <v>560000</v>
      </c>
      <c r="U19" s="44">
        <f>SUMIFS(Movimientos!$J$1:$J$1324,Movimientos!$C$1:$C$1324,$B19,Movimientos!$D$1:$D$1324,$C19,Movimientos!$L$1:$L$1324,A$5,Movimientos!$F$1:$F$1324,"Egreso")</f>
        <v>523000</v>
      </c>
      <c r="V19" s="7">
        <f t="shared" si="2"/>
        <v>37000</v>
      </c>
      <c r="W19" s="12">
        <f t="shared" si="10"/>
        <v>118717.60000000009</v>
      </c>
      <c r="X19" s="5">
        <f t="shared" si="11"/>
        <v>118717.60000000009</v>
      </c>
      <c r="Y19" s="44">
        <f>SUMIFS(Movimientos!$J$1:$J$1324,Movimientos!$C$1:$C$1324,$B19,Movimientos!$D$1:$D$1324,$C19,Movimientos!$L$1:$L$1324,A$6,Movimientos!$F$1:$F$1324,"Ingreso")</f>
        <v>34281.760000000002</v>
      </c>
      <c r="Z19" s="44">
        <f>SUMIFS(Movimientos!$J$1:$J$1324,Movimientos!$C$1:$C$1324,$B19,Movimientos!$D$1:$D$1324,$C19,Movimientos!$L$1:$L$1324,F$5,Movimientos!$F$1:$F$1324,"Egreso")</f>
        <v>0</v>
      </c>
      <c r="AA19" s="7">
        <f t="shared" si="3"/>
        <v>34281.760000000002</v>
      </c>
      <c r="AB19" s="12">
        <f t="shared" si="12"/>
        <v>152999.3600000001</v>
      </c>
    </row>
    <row r="20" spans="1:28" x14ac:dyDescent="0.3">
      <c r="A20" s="11"/>
      <c r="B20" s="11" t="s">
        <v>23</v>
      </c>
      <c r="C20" s="11" t="s">
        <v>112</v>
      </c>
      <c r="D20" s="18">
        <v>13088.589999999997</v>
      </c>
      <c r="E20" s="44">
        <v>1575001.78</v>
      </c>
      <c r="F20" s="44">
        <v>1500000</v>
      </c>
      <c r="G20" s="17">
        <v>75001.780000000028</v>
      </c>
      <c r="H20" s="12">
        <f t="shared" si="4"/>
        <v>88090.370000000112</v>
      </c>
      <c r="I20" s="48">
        <f t="shared" si="5"/>
        <v>88090.370000000112</v>
      </c>
      <c r="J20" s="44">
        <f>SUMIFS(Movimientos!$J$1:$J$1324,Movimientos!$C$1:$C$1324,$B20,Movimientos!$D$1:$D$1324,$C20,Movimientos!$L$1:$L$1324,A$3,Movimientos!$F$1:$F$1324,"Ingreso")</f>
        <v>310000.62</v>
      </c>
      <c r="K20" s="44">
        <f>SUMIFS(Movimientos!$J$1:$J$1324,Movimientos!$C$1:$C$1324,$B20,Movimientos!$D$1:$D$1324,$C20,Movimientos!$L$1:$L$1324,A$3,Movimientos!$F$1:$F$1324,"Egreso")</f>
        <v>130587</v>
      </c>
      <c r="L20" s="7">
        <f t="shared" si="0"/>
        <v>179413.62</v>
      </c>
      <c r="M20" s="12">
        <f t="shared" si="6"/>
        <v>267503.99000000011</v>
      </c>
      <c r="N20" s="5">
        <f t="shared" si="7"/>
        <v>267503.99000000011</v>
      </c>
      <c r="O20" s="44">
        <f>SUMIFS(Movimientos!$J$1:$J$1324,Movimientos!$C$1:$C$1324,$B20,Movimientos!$D$1:$D$1324,$C20,Movimientos!$L$1:$L$1324,A$4,Movimientos!$F$1:$F$1324,"Ingreso")</f>
        <v>3.46</v>
      </c>
      <c r="P20" s="44">
        <f>SUMIFS(Movimientos!$J$1:$J$1324,Movimientos!$C$1:$C$1324,$B20,Movimientos!$D$1:$D$1324,$C20,Movimientos!$L$1:$L$1324,A$4,Movimientos!$F$1:$F$1324,"Egreso")</f>
        <v>59902</v>
      </c>
      <c r="Q20" s="7">
        <f t="shared" si="1"/>
        <v>-59898.54</v>
      </c>
      <c r="R20" s="12">
        <f t="shared" si="8"/>
        <v>207605.45000000013</v>
      </c>
      <c r="S20" s="5">
        <f t="shared" si="9"/>
        <v>207605.45000000013</v>
      </c>
      <c r="T20" s="44">
        <f>SUMIFS(Movimientos!$J$1:$J$1324,Movimientos!$C$1:$C$1324,$B20,Movimientos!$D$1:$D$1324,$C20,Movimientos!$L$1:$L$1324,A$5,Movimientos!$F$1:$F$1324,"Ingreso")</f>
        <v>70003.87</v>
      </c>
      <c r="U20" s="44">
        <f>SUMIFS(Movimientos!$J$1:$J$1324,Movimientos!$C$1:$C$1324,$B20,Movimientos!$D$1:$D$1324,$C20,Movimientos!$L$1:$L$1324,A$5,Movimientos!$F$1:$F$1324,"Egreso")</f>
        <v>59924.979999999996</v>
      </c>
      <c r="V20" s="7">
        <f t="shared" si="2"/>
        <v>10078.89</v>
      </c>
      <c r="W20" s="12">
        <f t="shared" si="10"/>
        <v>217684.34000000014</v>
      </c>
      <c r="X20" s="5">
        <f t="shared" si="11"/>
        <v>217684.34000000014</v>
      </c>
      <c r="Y20" s="44">
        <f>SUMIFS(Movimientos!$J$1:$J$1324,Movimientos!$C$1:$C$1324,$B20,Movimientos!$D$1:$D$1324,$C20,Movimientos!$L$1:$L$1324,A$6,Movimientos!$F$1:$F$1324,"Ingreso")</f>
        <v>4.24</v>
      </c>
      <c r="Z20" s="44">
        <f>SUMIFS(Movimientos!$J$1:$J$1324,Movimientos!$C$1:$C$1324,$B20,Movimientos!$D$1:$D$1324,$C20,Movimientos!$L$1:$L$1324,F$5,Movimientos!$F$1:$F$1324,"Egreso")</f>
        <v>0</v>
      </c>
      <c r="AA20" s="7">
        <f t="shared" si="3"/>
        <v>4.24</v>
      </c>
      <c r="AB20" s="12">
        <f t="shared" si="12"/>
        <v>217688.58000000013</v>
      </c>
    </row>
    <row r="21" spans="1:28" x14ac:dyDescent="0.3">
      <c r="A21" s="11"/>
      <c r="B21" s="11" t="s">
        <v>24</v>
      </c>
      <c r="C21" s="11" t="s">
        <v>113</v>
      </c>
      <c r="D21" s="18">
        <v>808.82999999999993</v>
      </c>
      <c r="E21" s="44">
        <v>3000</v>
      </c>
      <c r="F21" s="44">
        <v>2580.86</v>
      </c>
      <c r="G21" s="17">
        <v>419.13999999999987</v>
      </c>
      <c r="H21" s="12">
        <f t="shared" si="4"/>
        <v>1227.9699999999998</v>
      </c>
      <c r="I21" s="48">
        <f t="shared" si="5"/>
        <v>1227.9699999999998</v>
      </c>
      <c r="J21" s="44">
        <f>SUMIFS(Movimientos!$J$1:$J$1324,Movimientos!$C$1:$C$1324,$B21,Movimientos!$D$1:$D$1324,$C21,Movimientos!$L$1:$L$1324,A$3,Movimientos!$F$1:$F$1324,"Ingreso")</f>
        <v>0</v>
      </c>
      <c r="K21" s="44">
        <f>SUMIFS(Movimientos!$J$1:$J$1324,Movimientos!$C$1:$C$1324,$B21,Movimientos!$D$1:$D$1324,$C21,Movimientos!$L$1:$L$1324,A$3,Movimientos!$F$1:$F$1324,"Egreso")</f>
        <v>0</v>
      </c>
      <c r="L21" s="7">
        <f t="shared" si="0"/>
        <v>0</v>
      </c>
      <c r="M21" s="12">
        <f t="shared" si="6"/>
        <v>1227.9699999999998</v>
      </c>
      <c r="N21" s="5">
        <f t="shared" si="7"/>
        <v>1227.9699999999998</v>
      </c>
      <c r="O21" s="44">
        <f>SUMIFS(Movimientos!$J$1:$J$1324,Movimientos!$C$1:$C$1324,$B21,Movimientos!$D$1:$D$1324,$C21,Movimientos!$L$1:$L$1324,A$4,Movimientos!$F$1:$F$1324,"Ingreso")</f>
        <v>14659.29</v>
      </c>
      <c r="P21" s="44">
        <f>SUMIFS(Movimientos!$J$1:$J$1324,Movimientos!$C$1:$C$1324,$B21,Movimientos!$D$1:$D$1324,$C21,Movimientos!$L$1:$L$1324,A$4,Movimientos!$F$1:$F$1324,"Egreso")</f>
        <v>590</v>
      </c>
      <c r="Q21" s="7">
        <f t="shared" si="1"/>
        <v>14069.29</v>
      </c>
      <c r="R21" s="12">
        <f t="shared" si="8"/>
        <v>15297.26</v>
      </c>
      <c r="S21" s="5">
        <f t="shared" si="9"/>
        <v>15297.26</v>
      </c>
      <c r="T21" s="44">
        <f>SUMIFS(Movimientos!$J$1:$J$1324,Movimientos!$C$1:$C$1324,$B21,Movimientos!$D$1:$D$1324,$C21,Movimientos!$L$1:$L$1324,A$5,Movimientos!$F$1:$F$1324,"Ingreso")</f>
        <v>0</v>
      </c>
      <c r="U21" s="44">
        <f>SUMIFS(Movimientos!$J$1:$J$1324,Movimientos!$C$1:$C$1324,$B21,Movimientos!$D$1:$D$1324,$C21,Movimientos!$L$1:$L$1324,A$5,Movimientos!$F$1:$F$1324,"Egreso")</f>
        <v>1310.43</v>
      </c>
      <c r="V21" s="7">
        <f t="shared" si="2"/>
        <v>-1310.43</v>
      </c>
      <c r="W21" s="12">
        <f t="shared" si="10"/>
        <v>13986.83</v>
      </c>
      <c r="X21" s="5">
        <f t="shared" si="11"/>
        <v>13986.83</v>
      </c>
      <c r="Y21" s="44">
        <f>SUMIFS(Movimientos!$J$1:$J$1324,Movimientos!$C$1:$C$1324,$B21,Movimientos!$D$1:$D$1324,$C21,Movimientos!$L$1:$L$1324,A$6,Movimientos!$F$1:$F$1324,"Ingreso")</f>
        <v>0</v>
      </c>
      <c r="Z21" s="44">
        <f>SUMIFS(Movimientos!$J$1:$J$1324,Movimientos!$C$1:$C$1324,$B21,Movimientos!$D$1:$D$1324,$C21,Movimientos!$L$1:$L$1324,F$5,Movimientos!$F$1:$F$1324,"Egreso")</f>
        <v>0</v>
      </c>
      <c r="AA21" s="7">
        <f t="shared" si="3"/>
        <v>0</v>
      </c>
      <c r="AB21" s="12">
        <f t="shared" si="12"/>
        <v>13986.83</v>
      </c>
    </row>
    <row r="22" spans="1:28" x14ac:dyDescent="0.3">
      <c r="A22" s="11"/>
      <c r="B22" s="11" t="s">
        <v>25</v>
      </c>
      <c r="C22" s="11" t="s">
        <v>114</v>
      </c>
      <c r="D22" s="18">
        <v>144.25</v>
      </c>
      <c r="E22" s="44">
        <v>0</v>
      </c>
      <c r="F22" s="44">
        <v>29.95</v>
      </c>
      <c r="G22" s="17">
        <v>-29.95</v>
      </c>
      <c r="H22" s="12">
        <f t="shared" si="4"/>
        <v>114.3</v>
      </c>
      <c r="I22" s="48">
        <f t="shared" si="5"/>
        <v>114.3</v>
      </c>
      <c r="J22" s="44">
        <f>SUMIFS(Movimientos!$J$1:$J$1324,Movimientos!$C$1:$C$1324,$B22,Movimientos!$D$1:$D$1324,$C22,Movimientos!$L$1:$L$1324,A$3,Movimientos!$F$1:$F$1324,"Ingreso")</f>
        <v>0</v>
      </c>
      <c r="K22" s="44">
        <f>SUMIFS(Movimientos!$J$1:$J$1324,Movimientos!$C$1:$C$1324,$B22,Movimientos!$D$1:$D$1324,$C22,Movimientos!$L$1:$L$1324,A$3,Movimientos!$F$1:$F$1324,"Egreso")</f>
        <v>29.95</v>
      </c>
      <c r="L22" s="7">
        <f t="shared" si="0"/>
        <v>-29.95</v>
      </c>
      <c r="M22" s="12">
        <f t="shared" si="6"/>
        <v>84.35</v>
      </c>
      <c r="N22" s="5">
        <f t="shared" si="7"/>
        <v>84.35</v>
      </c>
      <c r="O22" s="44">
        <f>SUMIFS(Movimientos!$J$1:$J$1324,Movimientos!$C$1:$C$1324,$B22,Movimientos!$D$1:$D$1324,$C22,Movimientos!$L$1:$L$1324,A$4,Movimientos!$F$1:$F$1324,"Ingreso")</f>
        <v>0</v>
      </c>
      <c r="P22" s="44">
        <f>SUMIFS(Movimientos!$J$1:$J$1324,Movimientos!$C$1:$C$1324,$B22,Movimientos!$D$1:$D$1324,$C22,Movimientos!$L$1:$L$1324,A$4,Movimientos!$F$1:$F$1324,"Egreso")</f>
        <v>29.95</v>
      </c>
      <c r="Q22" s="7">
        <f t="shared" si="1"/>
        <v>-29.95</v>
      </c>
      <c r="R22" s="12">
        <f t="shared" si="8"/>
        <v>54.399999999999991</v>
      </c>
      <c r="S22" s="5">
        <f t="shared" si="9"/>
        <v>54.399999999999991</v>
      </c>
      <c r="T22" s="44">
        <f>SUMIFS(Movimientos!$J$1:$J$1324,Movimientos!$C$1:$C$1324,$B22,Movimientos!$D$1:$D$1324,$C22,Movimientos!$L$1:$L$1324,A$5,Movimientos!$F$1:$F$1324,"Ingreso")</f>
        <v>100</v>
      </c>
      <c r="U22" s="44">
        <f>SUMIFS(Movimientos!$J$1:$J$1324,Movimientos!$C$1:$C$1324,$B22,Movimientos!$D$1:$D$1324,$C22,Movimientos!$L$1:$L$1324,A$5,Movimientos!$F$1:$F$1324,"Egreso")</f>
        <v>29.95</v>
      </c>
      <c r="V22" s="7">
        <f t="shared" si="2"/>
        <v>70.05</v>
      </c>
      <c r="W22" s="12">
        <f t="shared" si="10"/>
        <v>124.44999999999997</v>
      </c>
      <c r="X22" s="5">
        <f t="shared" si="11"/>
        <v>124.44999999999997</v>
      </c>
      <c r="Y22" s="44">
        <f>SUMIFS(Movimientos!$J$1:$J$1324,Movimientos!$C$1:$C$1324,$B22,Movimientos!$D$1:$D$1324,$C22,Movimientos!$L$1:$L$1324,A$6,Movimientos!$F$1:$F$1324,"Ingreso")</f>
        <v>0</v>
      </c>
      <c r="Z22" s="44">
        <f>SUMIFS(Movimientos!$J$1:$J$1324,Movimientos!$C$1:$C$1324,$B22,Movimientos!$D$1:$D$1324,$C22,Movimientos!$L$1:$L$1324,F$5,Movimientos!$F$1:$F$1324,"Egreso")</f>
        <v>0</v>
      </c>
      <c r="AA22" s="7">
        <f t="shared" si="3"/>
        <v>0</v>
      </c>
      <c r="AB22" s="12">
        <f t="shared" si="12"/>
        <v>124.44999999999997</v>
      </c>
    </row>
    <row r="23" spans="1:28" x14ac:dyDescent="0.3">
      <c r="A23" s="11"/>
      <c r="B23" s="11" t="s">
        <v>26</v>
      </c>
      <c r="C23" s="11" t="s">
        <v>115</v>
      </c>
      <c r="D23" s="18">
        <v>2297.67</v>
      </c>
      <c r="E23" s="44">
        <v>0</v>
      </c>
      <c r="F23" s="44">
        <v>29.95</v>
      </c>
      <c r="G23" s="17">
        <v>-29.95</v>
      </c>
      <c r="H23" s="12">
        <f t="shared" si="4"/>
        <v>2267.7200000000003</v>
      </c>
      <c r="I23" s="48">
        <f t="shared" si="5"/>
        <v>2267.7200000000003</v>
      </c>
      <c r="J23" s="44">
        <f>SUMIFS(Movimientos!$J$1:$J$1324,Movimientos!$C$1:$C$1324,$B23,Movimientos!$D$1:$D$1324,$C23,Movimientos!$L$1:$L$1324,A$3,Movimientos!$F$1:$F$1324,"Ingreso")</f>
        <v>0</v>
      </c>
      <c r="K23" s="44">
        <f>SUMIFS(Movimientos!$J$1:$J$1324,Movimientos!$C$1:$C$1324,$B23,Movimientos!$D$1:$D$1324,$C23,Movimientos!$L$1:$L$1324,A$3,Movimientos!$F$1:$F$1324,"Egreso")</f>
        <v>29.95</v>
      </c>
      <c r="L23" s="7">
        <f t="shared" si="0"/>
        <v>-29.95</v>
      </c>
      <c r="M23" s="12">
        <f t="shared" si="6"/>
        <v>2237.7700000000004</v>
      </c>
      <c r="N23" s="5">
        <f t="shared" si="7"/>
        <v>2237.7700000000004</v>
      </c>
      <c r="O23" s="44">
        <f>SUMIFS(Movimientos!$J$1:$J$1324,Movimientos!$C$1:$C$1324,$B23,Movimientos!$D$1:$D$1324,$C23,Movimientos!$L$1:$L$1324,A$4,Movimientos!$F$1:$F$1324,"Ingreso")</f>
        <v>0</v>
      </c>
      <c r="P23" s="44">
        <f>SUMIFS(Movimientos!$J$1:$J$1324,Movimientos!$C$1:$C$1324,$B23,Movimientos!$D$1:$D$1324,$C23,Movimientos!$L$1:$L$1324,A$4,Movimientos!$F$1:$F$1324,"Egreso")</f>
        <v>29.95</v>
      </c>
      <c r="Q23" s="7">
        <f t="shared" si="1"/>
        <v>-29.95</v>
      </c>
      <c r="R23" s="12">
        <f t="shared" si="8"/>
        <v>2207.8200000000006</v>
      </c>
      <c r="S23" s="5">
        <f t="shared" si="9"/>
        <v>2207.8200000000006</v>
      </c>
      <c r="T23" s="44">
        <f>SUMIFS(Movimientos!$J$1:$J$1324,Movimientos!$C$1:$C$1324,$B23,Movimientos!$D$1:$D$1324,$C23,Movimientos!$L$1:$L$1324,A$5,Movimientos!$F$1:$F$1324,"Ingreso")</f>
        <v>0</v>
      </c>
      <c r="U23" s="44">
        <f>SUMIFS(Movimientos!$J$1:$J$1324,Movimientos!$C$1:$C$1324,$B23,Movimientos!$D$1:$D$1324,$C23,Movimientos!$L$1:$L$1324,A$5,Movimientos!$F$1:$F$1324,"Egreso")</f>
        <v>29.95</v>
      </c>
      <c r="V23" s="7">
        <f t="shared" si="2"/>
        <v>-29.95</v>
      </c>
      <c r="W23" s="12">
        <f t="shared" si="10"/>
        <v>2177.8700000000008</v>
      </c>
      <c r="X23" s="5">
        <f t="shared" si="11"/>
        <v>2177.8700000000008</v>
      </c>
      <c r="Y23" s="44">
        <f>SUMIFS(Movimientos!$J$1:$J$1324,Movimientos!$C$1:$C$1324,$B23,Movimientos!$D$1:$D$1324,$C23,Movimientos!$L$1:$L$1324,A$6,Movimientos!$F$1:$F$1324,"Ingreso")</f>
        <v>0</v>
      </c>
      <c r="Z23" s="44">
        <f>SUMIFS(Movimientos!$J$1:$J$1324,Movimientos!$C$1:$C$1324,$B23,Movimientos!$D$1:$D$1324,$C23,Movimientos!$L$1:$L$1324,F$5,Movimientos!$F$1:$F$1324,"Egreso")</f>
        <v>0</v>
      </c>
      <c r="AA23" s="7">
        <f t="shared" si="3"/>
        <v>0</v>
      </c>
      <c r="AB23" s="12">
        <f t="shared" si="12"/>
        <v>2177.8700000000008</v>
      </c>
    </row>
    <row r="24" spans="1:28" x14ac:dyDescent="0.3">
      <c r="A24" s="11"/>
      <c r="B24" s="11" t="s">
        <v>27</v>
      </c>
      <c r="C24" s="11" t="s">
        <v>116</v>
      </c>
      <c r="D24" s="18">
        <v>3364.94</v>
      </c>
      <c r="E24" s="44">
        <v>0</v>
      </c>
      <c r="F24" s="44">
        <v>15</v>
      </c>
      <c r="G24" s="17">
        <v>-15</v>
      </c>
      <c r="H24" s="12">
        <f t="shared" si="4"/>
        <v>3349.94</v>
      </c>
      <c r="I24" s="48">
        <f t="shared" si="5"/>
        <v>3349.94</v>
      </c>
      <c r="J24" s="44">
        <f>SUMIFS(Movimientos!$J$1:$J$1324,Movimientos!$C$1:$C$1324,$B24,Movimientos!$D$1:$D$1324,$C24,Movimientos!$L$1:$L$1324,A$3,Movimientos!$F$1:$F$1324,"Ingreso")</f>
        <v>0</v>
      </c>
      <c r="K24" s="44">
        <f>SUMIFS(Movimientos!$J$1:$J$1324,Movimientos!$C$1:$C$1324,$B24,Movimientos!$D$1:$D$1324,$C24,Movimientos!$L$1:$L$1324,A$3,Movimientos!$F$1:$F$1324,"Egreso")</f>
        <v>0</v>
      </c>
      <c r="L24" s="7">
        <f t="shared" si="0"/>
        <v>0</v>
      </c>
      <c r="M24" s="12">
        <f t="shared" si="6"/>
        <v>3349.94</v>
      </c>
      <c r="N24" s="5">
        <f t="shared" si="7"/>
        <v>3349.94</v>
      </c>
      <c r="O24" s="44">
        <f>SUMIFS(Movimientos!$J$1:$J$1324,Movimientos!$C$1:$C$1324,$B24,Movimientos!$D$1:$D$1324,$C24,Movimientos!$L$1:$L$1324,A$4,Movimientos!$F$1:$F$1324,"Ingreso")</f>
        <v>1451269.78</v>
      </c>
      <c r="P24" s="44">
        <f>SUMIFS(Movimientos!$J$1:$J$1324,Movimientos!$C$1:$C$1324,$B24,Movimientos!$D$1:$D$1324,$C24,Movimientos!$L$1:$L$1324,A$4,Movimientos!$F$1:$F$1324,"Egreso")</f>
        <v>30</v>
      </c>
      <c r="Q24" s="7">
        <f t="shared" si="1"/>
        <v>1451239.78</v>
      </c>
      <c r="R24" s="12">
        <f t="shared" si="8"/>
        <v>1454589.72</v>
      </c>
      <c r="S24" s="5">
        <f t="shared" si="9"/>
        <v>1454589.72</v>
      </c>
      <c r="T24" s="44">
        <f>SUMIFS(Movimientos!$J$1:$J$1324,Movimientos!$C$1:$C$1324,$B24,Movimientos!$D$1:$D$1324,$C24,Movimientos!$L$1:$L$1324,A$5,Movimientos!$F$1:$F$1324,"Ingreso")</f>
        <v>0</v>
      </c>
      <c r="U24" s="44">
        <f>SUMIFS(Movimientos!$J$1:$J$1324,Movimientos!$C$1:$C$1324,$B24,Movimientos!$D$1:$D$1324,$C24,Movimientos!$L$1:$L$1324,A$5,Movimientos!$F$1:$F$1324,"Egreso")</f>
        <v>700165</v>
      </c>
      <c r="V24" s="7">
        <f t="shared" si="2"/>
        <v>-700165</v>
      </c>
      <c r="W24" s="12">
        <f t="shared" si="10"/>
        <v>754424.72</v>
      </c>
      <c r="X24" s="5">
        <f t="shared" si="11"/>
        <v>754424.72</v>
      </c>
      <c r="Y24" s="44">
        <f>SUMIFS(Movimientos!$J$1:$J$1324,Movimientos!$C$1:$C$1324,$B24,Movimientos!$D$1:$D$1324,$C24,Movimientos!$L$1:$L$1324,A$6,Movimientos!$F$1:$F$1324,"Ingreso")</f>
        <v>0</v>
      </c>
      <c r="Z24" s="44">
        <f>SUMIFS(Movimientos!$J$1:$J$1324,Movimientos!$C$1:$C$1324,$B24,Movimientos!$D$1:$D$1324,$C24,Movimientos!$L$1:$L$1324,F$5,Movimientos!$F$1:$F$1324,"Egreso")</f>
        <v>0</v>
      </c>
      <c r="AA24" s="7">
        <f t="shared" si="3"/>
        <v>0</v>
      </c>
      <c r="AB24" s="12">
        <f t="shared" si="12"/>
        <v>754424.72</v>
      </c>
    </row>
    <row r="25" spans="1:28" x14ac:dyDescent="0.3">
      <c r="A25" s="11"/>
      <c r="B25" s="11" t="s">
        <v>28</v>
      </c>
      <c r="C25" s="11" t="s">
        <v>117</v>
      </c>
      <c r="D25" s="18">
        <v>1968.99</v>
      </c>
      <c r="E25" s="44">
        <v>0</v>
      </c>
      <c r="F25" s="44">
        <v>0</v>
      </c>
      <c r="G25" s="17">
        <v>0</v>
      </c>
      <c r="H25" s="12">
        <f t="shared" si="4"/>
        <v>1968.99</v>
      </c>
      <c r="I25" s="48">
        <f t="shared" si="5"/>
        <v>1968.99</v>
      </c>
      <c r="J25" s="44">
        <f>SUMIFS(Movimientos!$J$1:$J$1324,Movimientos!$C$1:$C$1324,$B25,Movimientos!$D$1:$D$1324,$C25,Movimientos!$L$1:$L$1324,A$3,Movimientos!$F$1:$F$1324,"Ingreso")</f>
        <v>0</v>
      </c>
      <c r="K25" s="44">
        <f>SUMIFS(Movimientos!$J$1:$J$1324,Movimientos!$C$1:$C$1324,$B25,Movimientos!$D$1:$D$1324,$C25,Movimientos!$L$1:$L$1324,A$3,Movimientos!$F$1:$F$1324,"Egreso")</f>
        <v>0</v>
      </c>
      <c r="L25" s="7">
        <f t="shared" si="0"/>
        <v>0</v>
      </c>
      <c r="M25" s="12">
        <f t="shared" si="6"/>
        <v>1968.99</v>
      </c>
      <c r="N25" s="5">
        <f t="shared" si="7"/>
        <v>1968.99</v>
      </c>
      <c r="O25" s="44">
        <f>SUMIFS(Movimientos!$J$1:$J$1324,Movimientos!$C$1:$C$1324,$B25,Movimientos!$D$1:$D$1324,$C25,Movimientos!$L$1:$L$1324,A$4,Movimientos!$F$1:$F$1324,"Ingreso")</f>
        <v>0</v>
      </c>
      <c r="P25" s="44">
        <f>SUMIFS(Movimientos!$J$1:$J$1324,Movimientos!$C$1:$C$1324,$B25,Movimientos!$D$1:$D$1324,$C25,Movimientos!$L$1:$L$1324,A$4,Movimientos!$F$1:$F$1324,"Egreso")</f>
        <v>0</v>
      </c>
      <c r="Q25" s="7">
        <f t="shared" si="1"/>
        <v>0</v>
      </c>
      <c r="R25" s="12">
        <f t="shared" si="8"/>
        <v>1968.99</v>
      </c>
      <c r="S25" s="5">
        <f t="shared" si="9"/>
        <v>1968.99</v>
      </c>
      <c r="T25" s="44">
        <f>SUMIFS(Movimientos!$J$1:$J$1324,Movimientos!$C$1:$C$1324,$B25,Movimientos!$D$1:$D$1324,$C25,Movimientos!$L$1:$L$1324,A$5,Movimientos!$F$1:$F$1324,"Ingreso")</f>
        <v>0</v>
      </c>
      <c r="U25" s="44">
        <f>SUMIFS(Movimientos!$J$1:$J$1324,Movimientos!$C$1:$C$1324,$B25,Movimientos!$D$1:$D$1324,$C25,Movimientos!$L$1:$L$1324,A$5,Movimientos!$F$1:$F$1324,"Egreso")</f>
        <v>0</v>
      </c>
      <c r="V25" s="7">
        <f t="shared" si="2"/>
        <v>0</v>
      </c>
      <c r="W25" s="12">
        <f t="shared" si="10"/>
        <v>1968.99</v>
      </c>
      <c r="X25" s="5">
        <f t="shared" si="11"/>
        <v>1968.99</v>
      </c>
      <c r="Y25" s="44">
        <f>SUMIFS(Movimientos!$J$1:$J$1324,Movimientos!$C$1:$C$1324,$B25,Movimientos!$D$1:$D$1324,$C25,Movimientos!$L$1:$L$1324,A$6,Movimientos!$F$1:$F$1324,"Ingreso")</f>
        <v>0</v>
      </c>
      <c r="Z25" s="44">
        <f>SUMIFS(Movimientos!$J$1:$J$1324,Movimientos!$C$1:$C$1324,$B25,Movimientos!$D$1:$D$1324,$C25,Movimientos!$L$1:$L$1324,F$5,Movimientos!$F$1:$F$1324,"Egreso")</f>
        <v>0</v>
      </c>
      <c r="AA25" s="7">
        <f t="shared" si="3"/>
        <v>0</v>
      </c>
      <c r="AB25" s="12">
        <f t="shared" si="12"/>
        <v>1968.99</v>
      </c>
    </row>
    <row r="26" spans="1:28" x14ac:dyDescent="0.3">
      <c r="A26" s="11"/>
      <c r="B26" s="11" t="s">
        <v>29</v>
      </c>
      <c r="C26" s="11" t="s">
        <v>118</v>
      </c>
      <c r="D26" s="18">
        <v>0</v>
      </c>
      <c r="E26" s="44">
        <v>0</v>
      </c>
      <c r="F26" s="44">
        <v>0</v>
      </c>
      <c r="G26" s="17">
        <v>0</v>
      </c>
      <c r="H26" s="12">
        <f t="shared" si="4"/>
        <v>0</v>
      </c>
      <c r="I26" s="48">
        <f t="shared" si="5"/>
        <v>0</v>
      </c>
      <c r="J26" s="44">
        <f>SUMIFS(Movimientos!$J$1:$J$1324,Movimientos!$C$1:$C$1324,$B26,Movimientos!$D$1:$D$1324,$C26,Movimientos!$L$1:$L$1324,A$3,Movimientos!$F$1:$F$1324,"Ingreso")</f>
        <v>0</v>
      </c>
      <c r="K26" s="44">
        <f>SUMIFS(Movimientos!$J$1:$J$1324,Movimientos!$C$1:$C$1324,$B26,Movimientos!$D$1:$D$1324,$C26,Movimientos!$L$1:$L$1324,A$3,Movimientos!$F$1:$F$1324,"Egreso")</f>
        <v>0</v>
      </c>
      <c r="L26" s="7">
        <f t="shared" si="0"/>
        <v>0</v>
      </c>
      <c r="M26" s="12">
        <f t="shared" si="6"/>
        <v>0</v>
      </c>
      <c r="N26" s="5">
        <f t="shared" si="7"/>
        <v>0</v>
      </c>
      <c r="O26" s="44">
        <f>SUMIFS(Movimientos!$J$1:$J$1324,Movimientos!$C$1:$C$1324,$B26,Movimientos!$D$1:$D$1324,$C26,Movimientos!$L$1:$L$1324,A$4,Movimientos!$F$1:$F$1324,"Ingreso")</f>
        <v>0</v>
      </c>
      <c r="P26" s="44">
        <f>SUMIFS(Movimientos!$J$1:$J$1324,Movimientos!$C$1:$C$1324,$B26,Movimientos!$D$1:$D$1324,$C26,Movimientos!$L$1:$L$1324,A$4,Movimientos!$F$1:$F$1324,"Egreso")</f>
        <v>0</v>
      </c>
      <c r="Q26" s="7">
        <f t="shared" si="1"/>
        <v>0</v>
      </c>
      <c r="R26" s="12">
        <f t="shared" si="8"/>
        <v>0</v>
      </c>
      <c r="S26" s="5">
        <f t="shared" si="9"/>
        <v>0</v>
      </c>
      <c r="T26" s="44">
        <f>SUMIFS(Movimientos!$J$1:$J$1324,Movimientos!$C$1:$C$1324,$B26,Movimientos!$D$1:$D$1324,$C26,Movimientos!$L$1:$L$1324,A$5,Movimientos!$F$1:$F$1324,"Ingreso")</f>
        <v>0</v>
      </c>
      <c r="U26" s="44">
        <f>SUMIFS(Movimientos!$J$1:$J$1324,Movimientos!$C$1:$C$1324,$B26,Movimientos!$D$1:$D$1324,$C26,Movimientos!$L$1:$L$1324,A$5,Movimientos!$F$1:$F$1324,"Egreso")</f>
        <v>0</v>
      </c>
      <c r="V26" s="7">
        <f t="shared" si="2"/>
        <v>0</v>
      </c>
      <c r="W26" s="12">
        <f t="shared" si="10"/>
        <v>0</v>
      </c>
      <c r="X26" s="5">
        <f t="shared" si="11"/>
        <v>0</v>
      </c>
      <c r="Y26" s="44">
        <f>SUMIFS(Movimientos!$J$1:$J$1324,Movimientos!$C$1:$C$1324,$B26,Movimientos!$D$1:$D$1324,$C26,Movimientos!$L$1:$L$1324,A$6,Movimientos!$F$1:$F$1324,"Ingreso")</f>
        <v>0</v>
      </c>
      <c r="Z26" s="44">
        <f>SUMIFS(Movimientos!$J$1:$J$1324,Movimientos!$C$1:$C$1324,$B26,Movimientos!$D$1:$D$1324,$C26,Movimientos!$L$1:$L$1324,F$5,Movimientos!$F$1:$F$1324,"Egreso")</f>
        <v>0</v>
      </c>
      <c r="AA26" s="7">
        <f t="shared" si="3"/>
        <v>0</v>
      </c>
      <c r="AB26" s="12">
        <f t="shared" si="12"/>
        <v>0</v>
      </c>
    </row>
    <row r="27" spans="1:28" x14ac:dyDescent="0.3">
      <c r="A27" s="11"/>
      <c r="B27" s="11" t="s">
        <v>29</v>
      </c>
      <c r="C27" s="11" t="s">
        <v>119</v>
      </c>
      <c r="D27" s="18">
        <v>901.34</v>
      </c>
      <c r="E27" s="44">
        <v>0</v>
      </c>
      <c r="F27" s="44">
        <v>0</v>
      </c>
      <c r="G27" s="17">
        <v>0</v>
      </c>
      <c r="H27" s="12">
        <f t="shared" si="4"/>
        <v>901.34</v>
      </c>
      <c r="I27" s="48">
        <f t="shared" si="5"/>
        <v>901.34</v>
      </c>
      <c r="J27" s="44">
        <f>SUMIFS(Movimientos!$J$1:$J$1324,Movimientos!$C$1:$C$1324,$B27,Movimientos!$D$1:$D$1324,$C27,Movimientos!$L$1:$L$1324,A$3,Movimientos!$F$1:$F$1324,"Ingreso")</f>
        <v>0</v>
      </c>
      <c r="K27" s="44">
        <f>SUMIFS(Movimientos!$J$1:$J$1324,Movimientos!$C$1:$C$1324,$B27,Movimientos!$D$1:$D$1324,$C27,Movimientos!$L$1:$L$1324,A$3,Movimientos!$F$1:$F$1324,"Egreso")</f>
        <v>518.65</v>
      </c>
      <c r="L27" s="7">
        <f t="shared" si="0"/>
        <v>-518.65</v>
      </c>
      <c r="M27" s="12">
        <f t="shared" si="6"/>
        <v>382.69000000000005</v>
      </c>
      <c r="N27" s="5">
        <f t="shared" si="7"/>
        <v>382.69000000000005</v>
      </c>
      <c r="O27" s="44">
        <f>SUMIFS(Movimientos!$J$1:$J$1324,Movimientos!$C$1:$C$1324,$B27,Movimientos!$D$1:$D$1324,$C27,Movimientos!$L$1:$L$1324,A$4,Movimientos!$F$1:$F$1324,"Ingreso")</f>
        <v>518.65</v>
      </c>
      <c r="P27" s="44">
        <f>SUMIFS(Movimientos!$J$1:$J$1324,Movimientos!$C$1:$C$1324,$B27,Movimientos!$D$1:$D$1324,$C27,Movimientos!$L$1:$L$1324,A$4,Movimientos!$F$1:$F$1324,"Egreso")</f>
        <v>0</v>
      </c>
      <c r="Q27" s="7">
        <f t="shared" si="1"/>
        <v>518.65</v>
      </c>
      <c r="R27" s="12">
        <f t="shared" si="8"/>
        <v>901.34</v>
      </c>
      <c r="S27" s="5">
        <f t="shared" si="9"/>
        <v>901.34</v>
      </c>
      <c r="T27" s="44">
        <f>SUMIFS(Movimientos!$J$1:$J$1324,Movimientos!$C$1:$C$1324,$B27,Movimientos!$D$1:$D$1324,$C27,Movimientos!$L$1:$L$1324,A$5,Movimientos!$F$1:$F$1324,"Ingreso")</f>
        <v>0</v>
      </c>
      <c r="U27" s="44">
        <f>SUMIFS(Movimientos!$J$1:$J$1324,Movimientos!$C$1:$C$1324,$B27,Movimientos!$D$1:$D$1324,$C27,Movimientos!$L$1:$L$1324,A$5,Movimientos!$F$1:$F$1324,"Egreso")</f>
        <v>0</v>
      </c>
      <c r="V27" s="7">
        <f t="shared" si="2"/>
        <v>0</v>
      </c>
      <c r="W27" s="12">
        <f t="shared" si="10"/>
        <v>901.34</v>
      </c>
      <c r="X27" s="5">
        <f t="shared" si="11"/>
        <v>901.34</v>
      </c>
      <c r="Y27" s="44">
        <f>SUMIFS(Movimientos!$J$1:$J$1324,Movimientos!$C$1:$C$1324,$B27,Movimientos!$D$1:$D$1324,$C27,Movimientos!$L$1:$L$1324,A$6,Movimientos!$F$1:$F$1324,"Ingreso")</f>
        <v>0</v>
      </c>
      <c r="Z27" s="44">
        <f>SUMIFS(Movimientos!$J$1:$J$1324,Movimientos!$C$1:$C$1324,$B27,Movimientos!$D$1:$D$1324,$C27,Movimientos!$L$1:$L$1324,F$5,Movimientos!$F$1:$F$1324,"Egreso")</f>
        <v>0</v>
      </c>
      <c r="AA27" s="7">
        <f t="shared" si="3"/>
        <v>0</v>
      </c>
      <c r="AB27" s="12">
        <f t="shared" si="12"/>
        <v>901.34</v>
      </c>
    </row>
    <row r="28" spans="1:28" x14ac:dyDescent="0.3">
      <c r="A28" s="11"/>
      <c r="B28" s="11" t="s">
        <v>30</v>
      </c>
      <c r="C28" s="11" t="s">
        <v>120</v>
      </c>
      <c r="D28" s="18">
        <v>1460.08</v>
      </c>
      <c r="E28" s="44">
        <v>0</v>
      </c>
      <c r="F28" s="44">
        <v>16</v>
      </c>
      <c r="G28" s="17">
        <v>-16</v>
      </c>
      <c r="H28" s="12">
        <f t="shared" si="4"/>
        <v>1444.08</v>
      </c>
      <c r="I28" s="48">
        <f t="shared" si="5"/>
        <v>1444.08</v>
      </c>
      <c r="J28" s="44">
        <f>SUMIFS(Movimientos!$J$1:$J$1324,Movimientos!$C$1:$C$1324,$B28,Movimientos!$D$1:$D$1324,$C28,Movimientos!$L$1:$L$1324,A$3,Movimientos!$F$1:$F$1324,"Ingreso")</f>
        <v>0</v>
      </c>
      <c r="K28" s="44">
        <f>SUMIFS(Movimientos!$J$1:$J$1324,Movimientos!$C$1:$C$1324,$B28,Movimientos!$D$1:$D$1324,$C28,Movimientos!$L$1:$L$1324,A$3,Movimientos!$F$1:$F$1324,"Egreso")</f>
        <v>16</v>
      </c>
      <c r="L28" s="7">
        <f t="shared" si="0"/>
        <v>-16</v>
      </c>
      <c r="M28" s="12">
        <f t="shared" si="6"/>
        <v>1428.08</v>
      </c>
      <c r="N28" s="5">
        <f t="shared" si="7"/>
        <v>1428.08</v>
      </c>
      <c r="O28" s="44">
        <f>SUMIFS(Movimientos!$J$1:$J$1324,Movimientos!$C$1:$C$1324,$B28,Movimientos!$D$1:$D$1324,$C28,Movimientos!$L$1:$L$1324,A$4,Movimientos!$F$1:$F$1324,"Ingreso")</f>
        <v>0</v>
      </c>
      <c r="P28" s="44">
        <f>SUMIFS(Movimientos!$J$1:$J$1324,Movimientos!$C$1:$C$1324,$B28,Movimientos!$D$1:$D$1324,$C28,Movimientos!$L$1:$L$1324,A$4,Movimientos!$F$1:$F$1324,"Egreso")</f>
        <v>16</v>
      </c>
      <c r="Q28" s="7">
        <f t="shared" si="1"/>
        <v>-16</v>
      </c>
      <c r="R28" s="12">
        <f t="shared" si="8"/>
        <v>1412.08</v>
      </c>
      <c r="S28" s="5">
        <f t="shared" si="9"/>
        <v>1412.08</v>
      </c>
      <c r="T28" s="44">
        <f>SUMIFS(Movimientos!$J$1:$J$1324,Movimientos!$C$1:$C$1324,$B28,Movimientos!$D$1:$D$1324,$C28,Movimientos!$L$1:$L$1324,A$5,Movimientos!$F$1:$F$1324,"Ingreso")</f>
        <v>0</v>
      </c>
      <c r="U28" s="44">
        <f>SUMIFS(Movimientos!$J$1:$J$1324,Movimientos!$C$1:$C$1324,$B28,Movimientos!$D$1:$D$1324,$C28,Movimientos!$L$1:$L$1324,A$5,Movimientos!$F$1:$F$1324,"Egreso")</f>
        <v>16</v>
      </c>
      <c r="V28" s="7">
        <f t="shared" si="2"/>
        <v>-16</v>
      </c>
      <c r="W28" s="12">
        <f t="shared" si="10"/>
        <v>1396.08</v>
      </c>
      <c r="X28" s="5">
        <f t="shared" si="11"/>
        <v>1396.08</v>
      </c>
      <c r="Y28" s="44">
        <f>SUMIFS(Movimientos!$J$1:$J$1324,Movimientos!$C$1:$C$1324,$B28,Movimientos!$D$1:$D$1324,$C28,Movimientos!$L$1:$L$1324,A$6,Movimientos!$F$1:$F$1324,"Ingreso")</f>
        <v>0</v>
      </c>
      <c r="Z28" s="44">
        <f>SUMIFS(Movimientos!$J$1:$J$1324,Movimientos!$C$1:$C$1324,$B28,Movimientos!$D$1:$D$1324,$C28,Movimientos!$L$1:$L$1324,F$5,Movimientos!$F$1:$F$1324,"Egreso")</f>
        <v>0</v>
      </c>
      <c r="AA28" s="7">
        <f t="shared" si="3"/>
        <v>0</v>
      </c>
      <c r="AB28" s="12">
        <f t="shared" si="12"/>
        <v>1396.08</v>
      </c>
    </row>
    <row r="29" spans="1:28" x14ac:dyDescent="0.3">
      <c r="A29" s="11"/>
      <c r="B29" s="11" t="s">
        <v>31</v>
      </c>
      <c r="C29" s="11" t="s">
        <v>121</v>
      </c>
      <c r="D29" s="18">
        <v>26266.509999999962</v>
      </c>
      <c r="E29" s="44">
        <v>25250</v>
      </c>
      <c r="F29" s="44">
        <v>16408.330000000002</v>
      </c>
      <c r="G29" s="17">
        <v>8841.6699999999983</v>
      </c>
      <c r="H29" s="12">
        <f t="shared" si="4"/>
        <v>35108.179999999964</v>
      </c>
      <c r="I29" s="48">
        <f t="shared" si="5"/>
        <v>35108.179999999964</v>
      </c>
      <c r="J29" s="44">
        <f>SUMIFS(Movimientos!$J$1:$J$1324,Movimientos!$C$1:$C$1324,$B29,Movimientos!$D$1:$D$1324,$C29,Movimientos!$L$1:$L$1324,A$3,Movimientos!$F$1:$F$1324,"Ingreso")</f>
        <v>5250</v>
      </c>
      <c r="K29" s="44">
        <f>SUMIFS(Movimientos!$J$1:$J$1324,Movimientos!$C$1:$C$1324,$B29,Movimientos!$D$1:$D$1324,$C29,Movimientos!$L$1:$L$1324,A$3,Movimientos!$F$1:$F$1324,"Egreso")</f>
        <v>9648.6299999999992</v>
      </c>
      <c r="L29" s="7">
        <f t="shared" si="0"/>
        <v>-4398.6299999999992</v>
      </c>
      <c r="M29" s="12">
        <f t="shared" si="6"/>
        <v>30709.549999999967</v>
      </c>
      <c r="N29" s="5">
        <f t="shared" si="7"/>
        <v>30709.549999999967</v>
      </c>
      <c r="O29" s="44">
        <f>SUMIFS(Movimientos!$J$1:$J$1324,Movimientos!$C$1:$C$1324,$B29,Movimientos!$D$1:$D$1324,$C29,Movimientos!$L$1:$L$1324,A$4,Movimientos!$F$1:$F$1324,"Ingreso")</f>
        <v>0</v>
      </c>
      <c r="P29" s="44">
        <f>SUMIFS(Movimientos!$J$1:$J$1324,Movimientos!$C$1:$C$1324,$B29,Movimientos!$D$1:$D$1324,$C29,Movimientos!$L$1:$L$1324,A$4,Movimientos!$F$1:$F$1324,"Egreso")</f>
        <v>8682.4</v>
      </c>
      <c r="Q29" s="7">
        <f t="shared" si="1"/>
        <v>-8682.4</v>
      </c>
      <c r="R29" s="12">
        <f t="shared" si="8"/>
        <v>22027.149999999965</v>
      </c>
      <c r="S29" s="5">
        <f t="shared" si="9"/>
        <v>22027.149999999965</v>
      </c>
      <c r="T29" s="44">
        <f>SUMIFS(Movimientos!$J$1:$J$1324,Movimientos!$C$1:$C$1324,$B29,Movimientos!$D$1:$D$1324,$C29,Movimientos!$L$1:$L$1324,A$5,Movimientos!$F$1:$F$1324,"Ingreso")</f>
        <v>30105.4</v>
      </c>
      <c r="U29" s="44">
        <f>SUMIFS(Movimientos!$J$1:$J$1324,Movimientos!$C$1:$C$1324,$B29,Movimientos!$D$1:$D$1324,$C29,Movimientos!$L$1:$L$1324,A$5,Movimientos!$F$1:$F$1324,"Egreso")</f>
        <v>18872.259999999998</v>
      </c>
      <c r="V29" s="7">
        <f t="shared" si="2"/>
        <v>11233.140000000003</v>
      </c>
      <c r="W29" s="12">
        <f t="shared" si="10"/>
        <v>33260.289999999964</v>
      </c>
      <c r="X29" s="5">
        <f t="shared" si="11"/>
        <v>33260.289999999964</v>
      </c>
      <c r="Y29" s="44">
        <f>SUMIFS(Movimientos!$J$1:$J$1324,Movimientos!$C$1:$C$1324,$B29,Movimientos!$D$1:$D$1324,$C29,Movimientos!$L$1:$L$1324,A$6,Movimientos!$F$1:$F$1324,"Ingreso")</f>
        <v>5250</v>
      </c>
      <c r="Z29" s="44">
        <f>SUMIFS(Movimientos!$J$1:$J$1324,Movimientos!$C$1:$C$1324,$B29,Movimientos!$D$1:$D$1324,$C29,Movimientos!$L$1:$L$1324,F$5,Movimientos!$F$1:$F$1324,"Egreso")</f>
        <v>0</v>
      </c>
      <c r="AA29" s="7">
        <f t="shared" si="3"/>
        <v>5250</v>
      </c>
      <c r="AB29" s="12">
        <f t="shared" si="12"/>
        <v>38510.289999999964</v>
      </c>
    </row>
    <row r="30" spans="1:28" x14ac:dyDescent="0.3">
      <c r="A30" s="11"/>
      <c r="B30" s="11" t="s">
        <v>31</v>
      </c>
      <c r="C30" s="11" t="s">
        <v>122</v>
      </c>
      <c r="D30" s="18">
        <v>350.42</v>
      </c>
      <c r="E30" s="44">
        <v>0</v>
      </c>
      <c r="F30" s="44">
        <v>10</v>
      </c>
      <c r="G30" s="17">
        <v>-10</v>
      </c>
      <c r="H30" s="12">
        <f t="shared" si="4"/>
        <v>340.42</v>
      </c>
      <c r="I30" s="48">
        <f t="shared" si="5"/>
        <v>340.42</v>
      </c>
      <c r="J30" s="44">
        <f>SUMIFS(Movimientos!$J$1:$J$1324,Movimientos!$C$1:$C$1324,$B30,Movimientos!$D$1:$D$1324,$C30,Movimientos!$L$1:$L$1324,A$3,Movimientos!$F$1:$F$1324,"Ingreso")</f>
        <v>0</v>
      </c>
      <c r="K30" s="44">
        <f>SUMIFS(Movimientos!$J$1:$J$1324,Movimientos!$C$1:$C$1324,$B30,Movimientos!$D$1:$D$1324,$C30,Movimientos!$L$1:$L$1324,A$3,Movimientos!$F$1:$F$1324,"Egreso")</f>
        <v>10</v>
      </c>
      <c r="L30" s="7">
        <f t="shared" si="0"/>
        <v>-10</v>
      </c>
      <c r="M30" s="12">
        <f t="shared" si="6"/>
        <v>330.42</v>
      </c>
      <c r="N30" s="5">
        <f t="shared" si="7"/>
        <v>330.42</v>
      </c>
      <c r="O30" s="44">
        <f>SUMIFS(Movimientos!$J$1:$J$1324,Movimientos!$C$1:$C$1324,$B30,Movimientos!$D$1:$D$1324,$C30,Movimientos!$L$1:$L$1324,A$4,Movimientos!$F$1:$F$1324,"Ingreso")</f>
        <v>0</v>
      </c>
      <c r="P30" s="44">
        <f>SUMIFS(Movimientos!$J$1:$J$1324,Movimientos!$C$1:$C$1324,$B30,Movimientos!$D$1:$D$1324,$C30,Movimientos!$L$1:$L$1324,A$4,Movimientos!$F$1:$F$1324,"Egreso")</f>
        <v>10</v>
      </c>
      <c r="Q30" s="7">
        <f t="shared" si="1"/>
        <v>-10</v>
      </c>
      <c r="R30" s="12">
        <f t="shared" si="8"/>
        <v>320.42</v>
      </c>
      <c r="S30" s="5">
        <f t="shared" si="9"/>
        <v>320.42</v>
      </c>
      <c r="T30" s="44">
        <f>SUMIFS(Movimientos!$J$1:$J$1324,Movimientos!$C$1:$C$1324,$B30,Movimientos!$D$1:$D$1324,$C30,Movimientos!$L$1:$L$1324,A$5,Movimientos!$F$1:$F$1324,"Ingreso")</f>
        <v>0</v>
      </c>
      <c r="U30" s="44">
        <f>SUMIFS(Movimientos!$J$1:$J$1324,Movimientos!$C$1:$C$1324,$B30,Movimientos!$D$1:$D$1324,$C30,Movimientos!$L$1:$L$1324,A$5,Movimientos!$F$1:$F$1324,"Egreso")</f>
        <v>10</v>
      </c>
      <c r="V30" s="7">
        <f t="shared" si="2"/>
        <v>-10</v>
      </c>
      <c r="W30" s="12">
        <f t="shared" si="10"/>
        <v>310.42</v>
      </c>
      <c r="X30" s="5">
        <f t="shared" si="11"/>
        <v>310.42</v>
      </c>
      <c r="Y30" s="44">
        <f>SUMIFS(Movimientos!$J$1:$J$1324,Movimientos!$C$1:$C$1324,$B30,Movimientos!$D$1:$D$1324,$C30,Movimientos!$L$1:$L$1324,A$6,Movimientos!$F$1:$F$1324,"Ingreso")</f>
        <v>0</v>
      </c>
      <c r="Z30" s="44">
        <f>SUMIFS(Movimientos!$J$1:$J$1324,Movimientos!$C$1:$C$1324,$B30,Movimientos!$D$1:$D$1324,$C30,Movimientos!$L$1:$L$1324,F$5,Movimientos!$F$1:$F$1324,"Egreso")</f>
        <v>0</v>
      </c>
      <c r="AA30" s="7">
        <f t="shared" si="3"/>
        <v>0</v>
      </c>
      <c r="AB30" s="12">
        <f t="shared" si="12"/>
        <v>310.42</v>
      </c>
    </row>
    <row r="31" spans="1:28" x14ac:dyDescent="0.3">
      <c r="A31" s="11"/>
      <c r="B31" s="11" t="s">
        <v>32</v>
      </c>
      <c r="C31" s="11" t="s">
        <v>123</v>
      </c>
      <c r="D31" s="18">
        <v>9902.5400000000009</v>
      </c>
      <c r="E31" s="44">
        <v>16750</v>
      </c>
      <c r="F31" s="44">
        <v>11532.48</v>
      </c>
      <c r="G31" s="17">
        <v>5217.5200000000004</v>
      </c>
      <c r="H31" s="12">
        <f t="shared" si="4"/>
        <v>15120.060000000001</v>
      </c>
      <c r="I31" s="48">
        <f t="shared" si="5"/>
        <v>15120.060000000001</v>
      </c>
      <c r="J31" s="44">
        <f>SUMIFS(Movimientos!$J$1:$J$1324,Movimientos!$C$1:$C$1324,$B31,Movimientos!$D$1:$D$1324,$C31,Movimientos!$L$1:$L$1324,A$3,Movimientos!$F$1:$F$1324,"Ingreso")</f>
        <v>15000</v>
      </c>
      <c r="K31" s="44">
        <f>SUMIFS(Movimientos!$J$1:$J$1324,Movimientos!$C$1:$C$1324,$B31,Movimientos!$D$1:$D$1324,$C31,Movimientos!$L$1:$L$1324,A$3,Movimientos!$F$1:$F$1324,"Egreso")</f>
        <v>9798.6299999999992</v>
      </c>
      <c r="L31" s="7">
        <f t="shared" si="0"/>
        <v>5201.3700000000008</v>
      </c>
      <c r="M31" s="12">
        <f t="shared" si="6"/>
        <v>20321.43</v>
      </c>
      <c r="N31" s="5">
        <f t="shared" si="7"/>
        <v>20321.43</v>
      </c>
      <c r="O31" s="44">
        <f>SUMIFS(Movimientos!$J$1:$J$1324,Movimientos!$C$1:$C$1324,$B31,Movimientos!$D$1:$D$1324,$C31,Movimientos!$L$1:$L$1324,A$4,Movimientos!$F$1:$F$1324,"Ingreso")</f>
        <v>15000</v>
      </c>
      <c r="P31" s="44">
        <f>SUMIFS(Movimientos!$J$1:$J$1324,Movimientos!$C$1:$C$1324,$B31,Movimientos!$D$1:$D$1324,$C31,Movimientos!$L$1:$L$1324,A$4,Movimientos!$F$1:$F$1324,"Egreso")</f>
        <v>16798.629999999997</v>
      </c>
      <c r="Q31" s="7">
        <f t="shared" si="1"/>
        <v>-1798.6299999999974</v>
      </c>
      <c r="R31" s="12">
        <f t="shared" si="8"/>
        <v>18522.800000000003</v>
      </c>
      <c r="S31" s="5">
        <f t="shared" si="9"/>
        <v>18522.800000000003</v>
      </c>
      <c r="T31" s="44">
        <f>SUMIFS(Movimientos!$J$1:$J$1324,Movimientos!$C$1:$C$1324,$B31,Movimientos!$D$1:$D$1324,$C31,Movimientos!$L$1:$L$1324,A$5,Movimientos!$F$1:$F$1324,"Ingreso")</f>
        <v>21000</v>
      </c>
      <c r="U31" s="44">
        <f>SUMIFS(Movimientos!$J$1:$J$1324,Movimientos!$C$1:$C$1324,$B31,Movimientos!$D$1:$D$1324,$C31,Movimientos!$L$1:$L$1324,A$5,Movimientos!$F$1:$F$1324,"Egreso")</f>
        <v>12963.63</v>
      </c>
      <c r="V31" s="7">
        <f t="shared" si="2"/>
        <v>8036.3700000000008</v>
      </c>
      <c r="W31" s="12">
        <f t="shared" si="10"/>
        <v>26559.170000000006</v>
      </c>
      <c r="X31" s="5">
        <f t="shared" si="11"/>
        <v>26559.170000000006</v>
      </c>
      <c r="Y31" s="44">
        <f>SUMIFS(Movimientos!$J$1:$J$1324,Movimientos!$C$1:$C$1324,$B31,Movimientos!$D$1:$D$1324,$C31,Movimientos!$L$1:$L$1324,A$6,Movimientos!$F$1:$F$1324,"Ingreso")</f>
        <v>8227.09</v>
      </c>
      <c r="Z31" s="44">
        <f>SUMIFS(Movimientos!$J$1:$J$1324,Movimientos!$C$1:$C$1324,$B31,Movimientos!$D$1:$D$1324,$C31,Movimientos!$L$1:$L$1324,F$5,Movimientos!$F$1:$F$1324,"Egreso")</f>
        <v>0</v>
      </c>
      <c r="AA31" s="7">
        <f t="shared" si="3"/>
        <v>8227.09</v>
      </c>
      <c r="AB31" s="12">
        <f t="shared" si="12"/>
        <v>34786.260000000009</v>
      </c>
    </row>
    <row r="32" spans="1:28" x14ac:dyDescent="0.3">
      <c r="A32" s="11"/>
      <c r="B32" s="11" t="s">
        <v>33</v>
      </c>
      <c r="C32" s="11" t="s">
        <v>124</v>
      </c>
      <c r="D32" s="18">
        <v>25061.43</v>
      </c>
      <c r="E32" s="44">
        <v>21650</v>
      </c>
      <c r="F32" s="44">
        <v>13105.160000000002</v>
      </c>
      <c r="G32" s="17">
        <v>8544.8399999999983</v>
      </c>
      <c r="H32" s="12">
        <f t="shared" si="4"/>
        <v>33606.269999999997</v>
      </c>
      <c r="I32" s="48">
        <f t="shared" si="5"/>
        <v>33606.269999999997</v>
      </c>
      <c r="J32" s="44">
        <f>SUMIFS(Movimientos!$J$1:$J$1324,Movimientos!$C$1:$C$1324,$B32,Movimientos!$D$1:$D$1324,$C32,Movimientos!$L$1:$L$1324,A$3,Movimientos!$F$1:$F$1324,"Ingreso")</f>
        <v>12000</v>
      </c>
      <c r="K32" s="44">
        <f>SUMIFS(Movimientos!$J$1:$J$1324,Movimientos!$C$1:$C$1324,$B32,Movimientos!$D$1:$D$1324,$C32,Movimientos!$L$1:$L$1324,A$3,Movimientos!$F$1:$F$1324,"Egreso")</f>
        <v>17147.669999999998</v>
      </c>
      <c r="L32" s="7">
        <f t="shared" si="0"/>
        <v>-5147.6699999999983</v>
      </c>
      <c r="M32" s="12">
        <f t="shared" si="6"/>
        <v>28458.6</v>
      </c>
      <c r="N32" s="5">
        <f t="shared" si="7"/>
        <v>28458.6</v>
      </c>
      <c r="O32" s="44">
        <f>SUMIFS(Movimientos!$J$1:$J$1324,Movimientos!$C$1:$C$1324,$B32,Movimientos!$D$1:$D$1324,$C32,Movimientos!$L$1:$L$1324,A$4,Movimientos!$F$1:$F$1324,"Ingreso")</f>
        <v>8800</v>
      </c>
      <c r="P32" s="44">
        <f>SUMIFS(Movimientos!$J$1:$J$1324,Movimientos!$C$1:$C$1324,$B32,Movimientos!$D$1:$D$1324,$C32,Movimientos!$L$1:$L$1324,A$4,Movimientos!$F$1:$F$1324,"Egreso")</f>
        <v>8773.0400000000009</v>
      </c>
      <c r="Q32" s="7">
        <f t="shared" si="1"/>
        <v>26.959999999999127</v>
      </c>
      <c r="R32" s="12">
        <f t="shared" si="8"/>
        <v>28485.559999999998</v>
      </c>
      <c r="S32" s="5">
        <f t="shared" si="9"/>
        <v>28485.559999999998</v>
      </c>
      <c r="T32" s="44">
        <f>SUMIFS(Movimientos!$J$1:$J$1324,Movimientos!$C$1:$C$1324,$B32,Movimientos!$D$1:$D$1324,$C32,Movimientos!$L$1:$L$1324,A$5,Movimientos!$F$1:$F$1324,"Ingreso")</f>
        <v>9400</v>
      </c>
      <c r="U32" s="44">
        <f>SUMIFS(Movimientos!$J$1:$J$1324,Movimientos!$C$1:$C$1324,$B32,Movimientos!$D$1:$D$1324,$C32,Movimientos!$L$1:$L$1324,A$5,Movimientos!$F$1:$F$1324,"Egreso")</f>
        <v>14149.52</v>
      </c>
      <c r="V32" s="7">
        <f t="shared" si="2"/>
        <v>-4749.5200000000004</v>
      </c>
      <c r="W32" s="12">
        <f t="shared" si="10"/>
        <v>23736.039999999997</v>
      </c>
      <c r="X32" s="5">
        <f t="shared" si="11"/>
        <v>23736.039999999997</v>
      </c>
      <c r="Y32" s="44">
        <f>SUMIFS(Movimientos!$J$1:$J$1324,Movimientos!$C$1:$C$1324,$B32,Movimientos!$D$1:$D$1324,$C32,Movimientos!$L$1:$L$1324,A$6,Movimientos!$F$1:$F$1324,"Ingreso")</f>
        <v>7304.8099999999995</v>
      </c>
      <c r="Z32" s="44">
        <f>SUMIFS(Movimientos!$J$1:$J$1324,Movimientos!$C$1:$C$1324,$B32,Movimientos!$D$1:$D$1324,$C32,Movimientos!$L$1:$L$1324,F$5,Movimientos!$F$1:$F$1324,"Egreso")</f>
        <v>0</v>
      </c>
      <c r="AA32" s="7">
        <f t="shared" si="3"/>
        <v>7304.8099999999995</v>
      </c>
      <c r="AB32" s="12">
        <f t="shared" si="12"/>
        <v>31040.85</v>
      </c>
    </row>
    <row r="33" spans="1:28" x14ac:dyDescent="0.3">
      <c r="A33" s="11"/>
      <c r="B33" s="11" t="s">
        <v>34</v>
      </c>
      <c r="C33" s="11" t="s">
        <v>125</v>
      </c>
      <c r="D33" s="18">
        <v>345</v>
      </c>
      <c r="E33" s="44">
        <v>10000</v>
      </c>
      <c r="F33" s="44">
        <v>10000</v>
      </c>
      <c r="G33" s="17">
        <v>0</v>
      </c>
      <c r="H33" s="12">
        <f t="shared" si="4"/>
        <v>345</v>
      </c>
      <c r="I33" s="48">
        <f t="shared" si="5"/>
        <v>345</v>
      </c>
      <c r="J33" s="44">
        <f>SUMIFS(Movimientos!$J$1:$J$1324,Movimientos!$C$1:$C$1324,$B33,Movimientos!$D$1:$D$1324,$C33,Movimientos!$L$1:$L$1324,A$3,Movimientos!$F$1:$F$1324,"Ingreso")</f>
        <v>59000</v>
      </c>
      <c r="K33" s="44">
        <f>SUMIFS(Movimientos!$J$1:$J$1324,Movimientos!$C$1:$C$1324,$B33,Movimientos!$D$1:$D$1324,$C33,Movimientos!$L$1:$L$1324,A$3,Movimientos!$F$1:$F$1324,"Egreso")</f>
        <v>59000</v>
      </c>
      <c r="L33" s="7">
        <f t="shared" si="0"/>
        <v>0</v>
      </c>
      <c r="M33" s="12">
        <f t="shared" si="6"/>
        <v>345</v>
      </c>
      <c r="N33" s="5">
        <f t="shared" si="7"/>
        <v>345</v>
      </c>
      <c r="O33" s="44">
        <f>SUMIFS(Movimientos!$J$1:$J$1324,Movimientos!$C$1:$C$1324,$B33,Movimientos!$D$1:$D$1324,$C33,Movimientos!$L$1:$L$1324,A$4,Movimientos!$F$1:$F$1324,"Ingreso")</f>
        <v>50000</v>
      </c>
      <c r="P33" s="44">
        <f>SUMIFS(Movimientos!$J$1:$J$1324,Movimientos!$C$1:$C$1324,$B33,Movimientos!$D$1:$D$1324,$C33,Movimientos!$L$1:$L$1324,A$4,Movimientos!$F$1:$F$1324,"Egreso")</f>
        <v>50000</v>
      </c>
      <c r="Q33" s="7">
        <f t="shared" si="1"/>
        <v>0</v>
      </c>
      <c r="R33" s="12">
        <f t="shared" si="8"/>
        <v>345</v>
      </c>
      <c r="S33" s="5">
        <f t="shared" si="9"/>
        <v>345</v>
      </c>
      <c r="T33" s="44">
        <f>SUMIFS(Movimientos!$J$1:$J$1324,Movimientos!$C$1:$C$1324,$B33,Movimientos!$D$1:$D$1324,$C33,Movimientos!$L$1:$L$1324,A$5,Movimientos!$F$1:$F$1324,"Ingreso")</f>
        <v>23000</v>
      </c>
      <c r="U33" s="44">
        <f>SUMIFS(Movimientos!$J$1:$J$1324,Movimientos!$C$1:$C$1324,$B33,Movimientos!$D$1:$D$1324,$C33,Movimientos!$L$1:$L$1324,A$5,Movimientos!$F$1:$F$1324,"Egreso")</f>
        <v>23000</v>
      </c>
      <c r="V33" s="7">
        <f t="shared" si="2"/>
        <v>0</v>
      </c>
      <c r="W33" s="12">
        <f t="shared" si="10"/>
        <v>345</v>
      </c>
      <c r="X33" s="5">
        <f t="shared" si="11"/>
        <v>345</v>
      </c>
      <c r="Y33" s="44">
        <f>SUMIFS(Movimientos!$J$1:$J$1324,Movimientos!$C$1:$C$1324,$B33,Movimientos!$D$1:$D$1324,$C33,Movimientos!$L$1:$L$1324,A$6,Movimientos!$F$1:$F$1324,"Ingreso")</f>
        <v>20000</v>
      </c>
      <c r="Z33" s="44">
        <f>SUMIFS(Movimientos!$J$1:$J$1324,Movimientos!$C$1:$C$1324,$B33,Movimientos!$D$1:$D$1324,$C33,Movimientos!$L$1:$L$1324,F$5,Movimientos!$F$1:$F$1324,"Egreso")</f>
        <v>0</v>
      </c>
      <c r="AA33" s="7">
        <f t="shared" si="3"/>
        <v>20000</v>
      </c>
      <c r="AB33" s="12">
        <f t="shared" si="12"/>
        <v>20345</v>
      </c>
    </row>
    <row r="34" spans="1:28" x14ac:dyDescent="0.3">
      <c r="A34" s="11"/>
      <c r="B34" s="11" t="s">
        <v>35</v>
      </c>
      <c r="C34" s="11" t="s">
        <v>126</v>
      </c>
      <c r="D34" s="18">
        <v>13656.26</v>
      </c>
      <c r="E34" s="44">
        <v>55000</v>
      </c>
      <c r="F34" s="44">
        <v>59580.020000000004</v>
      </c>
      <c r="G34" s="17">
        <v>-4580.0200000000041</v>
      </c>
      <c r="H34" s="12">
        <f t="shared" si="4"/>
        <v>9076.2399999999907</v>
      </c>
      <c r="I34" s="48">
        <f t="shared" si="5"/>
        <v>9076.2399999999907</v>
      </c>
      <c r="J34" s="44">
        <f>SUMIFS(Movimientos!$J$1:$J$1324,Movimientos!$C$1:$C$1324,$B34,Movimientos!$D$1:$D$1324,$C34,Movimientos!$L$1:$L$1324,A$3,Movimientos!$F$1:$F$1324,"Ingreso")</f>
        <v>59000</v>
      </c>
      <c r="K34" s="44">
        <f>SUMIFS(Movimientos!$J$1:$J$1324,Movimientos!$C$1:$C$1324,$B34,Movimientos!$D$1:$D$1324,$C34,Movimientos!$L$1:$L$1324,A$3,Movimientos!$F$1:$F$1324,"Egreso")</f>
        <v>49496.810000000005</v>
      </c>
      <c r="L34" s="7">
        <f t="shared" si="0"/>
        <v>9503.1899999999951</v>
      </c>
      <c r="M34" s="12">
        <f t="shared" si="6"/>
        <v>18579.429999999986</v>
      </c>
      <c r="N34" s="5">
        <f t="shared" si="7"/>
        <v>18579.429999999986</v>
      </c>
      <c r="O34" s="44">
        <f>SUMIFS(Movimientos!$J$1:$J$1324,Movimientos!$C$1:$C$1324,$B34,Movimientos!$D$1:$D$1324,$C34,Movimientos!$L$1:$L$1324,A$4,Movimientos!$F$1:$F$1324,"Ingreso")</f>
        <v>50000</v>
      </c>
      <c r="P34" s="44">
        <f>SUMIFS(Movimientos!$J$1:$J$1324,Movimientos!$C$1:$C$1324,$B34,Movimientos!$D$1:$D$1324,$C34,Movimientos!$L$1:$L$1324,A$4,Movimientos!$F$1:$F$1324,"Egreso")</f>
        <v>59620.719999999994</v>
      </c>
      <c r="Q34" s="7">
        <f t="shared" si="1"/>
        <v>-9620.7199999999939</v>
      </c>
      <c r="R34" s="12">
        <f t="shared" si="8"/>
        <v>8958.7099999999991</v>
      </c>
      <c r="S34" s="5">
        <f t="shared" si="9"/>
        <v>8958.7099999999991</v>
      </c>
      <c r="T34" s="44">
        <f>SUMIFS(Movimientos!$J$1:$J$1324,Movimientos!$C$1:$C$1324,$B34,Movimientos!$D$1:$D$1324,$C34,Movimientos!$L$1:$L$1324,A$5,Movimientos!$F$1:$F$1324,"Ingreso")</f>
        <v>23000</v>
      </c>
      <c r="U34" s="44">
        <f>SUMIFS(Movimientos!$J$1:$J$1324,Movimientos!$C$1:$C$1324,$B34,Movimientos!$D$1:$D$1324,$C34,Movimientos!$L$1:$L$1324,A$5,Movimientos!$F$1:$F$1324,"Egreso")</f>
        <v>24462.059999999998</v>
      </c>
      <c r="V34" s="7">
        <f t="shared" si="2"/>
        <v>-1462.0599999999977</v>
      </c>
      <c r="W34" s="12">
        <f t="shared" si="10"/>
        <v>7496.6500000000015</v>
      </c>
      <c r="X34" s="5">
        <f t="shared" si="11"/>
        <v>7496.6500000000015</v>
      </c>
      <c r="Y34" s="44">
        <f>SUMIFS(Movimientos!$J$1:$J$1324,Movimientos!$C$1:$C$1324,$B34,Movimientos!$D$1:$D$1324,$C34,Movimientos!$L$1:$L$1324,A$6,Movimientos!$F$1:$F$1324,"Ingreso")</f>
        <v>20000</v>
      </c>
      <c r="Z34" s="44">
        <f>SUMIFS(Movimientos!$J$1:$J$1324,Movimientos!$C$1:$C$1324,$B34,Movimientos!$D$1:$D$1324,$C34,Movimientos!$L$1:$L$1324,F$5,Movimientos!$F$1:$F$1324,"Egreso")</f>
        <v>0</v>
      </c>
      <c r="AA34" s="7">
        <f t="shared" si="3"/>
        <v>20000</v>
      </c>
      <c r="AB34" s="12">
        <f t="shared" si="12"/>
        <v>27496.65</v>
      </c>
    </row>
    <row r="35" spans="1:28" x14ac:dyDescent="0.3">
      <c r="A35" s="11"/>
      <c r="B35" s="11" t="s">
        <v>35</v>
      </c>
      <c r="C35" s="11" t="s">
        <v>165</v>
      </c>
      <c r="D35" s="18">
        <v>5293.35</v>
      </c>
      <c r="E35" s="44"/>
      <c r="F35" s="44"/>
      <c r="G35" s="17"/>
      <c r="H35" s="12">
        <f t="shared" ref="H35" si="13">D35+E35-F35</f>
        <v>5293.35</v>
      </c>
      <c r="I35" s="48">
        <f t="shared" ref="I35" si="14">H35</f>
        <v>5293.35</v>
      </c>
      <c r="J35" s="44">
        <f>SUMIFS(Movimientos!$J$1:$J$1324,Movimientos!$C$1:$C$1324,$B35,Movimientos!$D$1:$D$1324,$C35,Movimientos!$L$1:$L$1324,A$3,Movimientos!$F$1:$F$1324,"Ingreso")</f>
        <v>0</v>
      </c>
      <c r="K35" s="44">
        <f>SUMIFS(Movimientos!$J$1:$J$1324,Movimientos!$C$1:$C$1324,$B35,Movimientos!$D$1:$D$1324,$C35,Movimientos!$L$1:$L$1324,A$3,Movimientos!$F$1:$F$1324,"Egreso")</f>
        <v>0</v>
      </c>
      <c r="L35" s="7">
        <f t="shared" ref="L35" si="15">+J35-K35</f>
        <v>0</v>
      </c>
      <c r="M35" s="12">
        <f t="shared" ref="M35" si="16">I35+J35-K35</f>
        <v>5293.35</v>
      </c>
      <c r="N35" s="5">
        <f t="shared" ref="N35" si="17">M35</f>
        <v>5293.35</v>
      </c>
      <c r="O35" s="44">
        <f>SUMIFS(Movimientos!$J$1:$J$1324,Movimientos!$C$1:$C$1324,$B35,Movimientos!$D$1:$D$1324,$C35,Movimientos!$L$1:$L$1324,A$4,Movimientos!$F$1:$F$1324,"Ingreso")</f>
        <v>15000</v>
      </c>
      <c r="P35" s="44">
        <f>SUMIFS(Movimientos!$J$1:$J$1324,Movimientos!$C$1:$C$1324,$B35,Movimientos!$D$1:$D$1324,$C35,Movimientos!$L$1:$L$1324,A$4,Movimientos!$F$1:$F$1324,"Egreso")</f>
        <v>17617.13</v>
      </c>
      <c r="Q35" s="7">
        <f t="shared" ref="Q35" si="18">+O35-P35</f>
        <v>-2617.130000000001</v>
      </c>
      <c r="R35" s="12">
        <f t="shared" ref="R35" si="19">N35+O35-P35</f>
        <v>2676.2199999999975</v>
      </c>
      <c r="S35" s="5">
        <f t="shared" si="9"/>
        <v>2676.2199999999975</v>
      </c>
      <c r="T35" s="44">
        <f>SUMIFS(Movimientos!$J$1:$J$1324,Movimientos!$C$1:$C$1324,$B35,Movimientos!$D$1:$D$1324,$C35,Movimientos!$L$1:$L$1324,A$5,Movimientos!$F$1:$F$1324,"Ingreso")</f>
        <v>0</v>
      </c>
      <c r="U35" s="44">
        <f>SUMIFS(Movimientos!$J$1:$J$1324,Movimientos!$C$1:$C$1324,$B35,Movimientos!$D$1:$D$1324,$C35,Movimientos!$L$1:$L$1324,A$5,Movimientos!$F$1:$F$1324,"Egreso")</f>
        <v>612.87000000000012</v>
      </c>
      <c r="V35" s="7">
        <f t="shared" si="2"/>
        <v>-612.87000000000012</v>
      </c>
      <c r="W35" s="12">
        <f t="shared" si="10"/>
        <v>2063.3499999999976</v>
      </c>
      <c r="X35" s="5">
        <f t="shared" si="11"/>
        <v>2063.3499999999976</v>
      </c>
      <c r="Y35" s="44">
        <f>SUMIFS(Movimientos!$J$1:$J$1324,Movimientos!$C$1:$C$1324,$B35,Movimientos!$D$1:$D$1324,$C35,Movimientos!$L$1:$L$1324,A$6,Movimientos!$F$1:$F$1324,"Ingreso")</f>
        <v>6500</v>
      </c>
      <c r="Z35" s="44">
        <f>SUMIFS(Movimientos!$J$1:$J$1324,Movimientos!$C$1:$C$1324,$B35,Movimientos!$D$1:$D$1324,$C35,Movimientos!$L$1:$L$1324,F$5,Movimientos!$F$1:$F$1324,"Egreso")</f>
        <v>0</v>
      </c>
      <c r="AA35" s="7">
        <f t="shared" si="3"/>
        <v>6500</v>
      </c>
      <c r="AB35" s="12">
        <f t="shared" si="12"/>
        <v>8563.3499999999985</v>
      </c>
    </row>
  </sheetData>
  <autoFilter ref="A1:C34" xr:uid="{00000000-0001-0000-0200-000000000000}"/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7C2E-828B-4D23-9B42-F6AFA48BBA5B}">
  <dimension ref="A1:AE169"/>
  <sheetViews>
    <sheetView showGridLines="0" zoomScale="80" zoomScaleNormal="80" workbookViewId="0">
      <pane xSplit="2" ySplit="1" topLeftCell="AC151" activePane="bottomRight" state="frozen"/>
      <selection pane="topRight" activeCell="C1" sqref="C1"/>
      <selection pane="bottomLeft" activeCell="A2" sqref="A2"/>
      <selection pane="bottomRight" activeCell="A168" sqref="A168:XFD169"/>
    </sheetView>
  </sheetViews>
  <sheetFormatPr baseColWidth="10" defaultColWidth="11.5546875" defaultRowHeight="14.4" outlineLevelRow="1" x14ac:dyDescent="0.3"/>
  <cols>
    <col min="1" max="1" width="5.6640625" customWidth="1"/>
    <col min="2" max="2" width="11.5546875" bestFit="1" customWidth="1"/>
    <col min="3" max="3" width="13" customWidth="1"/>
    <col min="4" max="4" width="11" customWidth="1"/>
    <col min="5" max="5" width="9.77734375" bestFit="1" customWidth="1"/>
    <col min="6" max="6" width="13.109375" customWidth="1"/>
    <col min="7" max="8" width="12.77734375" customWidth="1"/>
    <col min="9" max="9" width="13.88671875" customWidth="1"/>
    <col min="10" max="10" width="11.5546875" customWidth="1"/>
    <col min="11" max="11" width="12.6640625" customWidth="1"/>
    <col min="12" max="12" width="9.109375" customWidth="1"/>
    <col min="13" max="13" width="14.109375" customWidth="1"/>
    <col min="14" max="14" width="12.77734375" customWidth="1"/>
    <col min="15" max="15" width="9.88671875" customWidth="1"/>
    <col min="16" max="16" width="12.88671875" customWidth="1"/>
    <col min="17" max="17" width="13.5546875" customWidth="1"/>
    <col min="18" max="18" width="12.21875" customWidth="1"/>
    <col min="19" max="19" width="11.77734375" customWidth="1"/>
    <col min="20" max="20" width="11.33203125" customWidth="1"/>
    <col min="21" max="21" width="10.88671875" bestFit="1" customWidth="1"/>
    <col min="22" max="28" width="10.88671875" customWidth="1"/>
    <col min="29" max="29" width="15.88671875" customWidth="1"/>
    <col min="30" max="30" width="13.6640625" customWidth="1"/>
    <col min="31" max="31" width="17.88671875" bestFit="1" customWidth="1"/>
  </cols>
  <sheetData>
    <row r="1" spans="1:31" ht="37.950000000000003" customHeight="1" x14ac:dyDescent="0.3">
      <c r="A1" s="19" t="s">
        <v>144</v>
      </c>
      <c r="B1" s="20" t="s">
        <v>1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  <c r="I1" s="20" t="s">
        <v>23</v>
      </c>
      <c r="J1" s="20" t="s">
        <v>24</v>
      </c>
      <c r="K1" s="20" t="s">
        <v>25</v>
      </c>
      <c r="L1" s="20" t="s">
        <v>26</v>
      </c>
      <c r="M1" s="20" t="s">
        <v>27</v>
      </c>
      <c r="N1" s="20" t="s">
        <v>28</v>
      </c>
      <c r="O1" s="20" t="s">
        <v>29</v>
      </c>
      <c r="P1" s="20" t="s">
        <v>30</v>
      </c>
      <c r="Q1" s="20" t="s">
        <v>31</v>
      </c>
      <c r="R1" s="20" t="s">
        <v>32</v>
      </c>
      <c r="S1" s="20" t="s">
        <v>33</v>
      </c>
      <c r="T1" s="20" t="s">
        <v>34</v>
      </c>
      <c r="U1" s="20" t="s">
        <v>35</v>
      </c>
      <c r="V1" s="20" t="s">
        <v>193</v>
      </c>
      <c r="W1" s="20" t="s">
        <v>214</v>
      </c>
      <c r="X1" s="20" t="s">
        <v>194</v>
      </c>
      <c r="Y1" s="20" t="s">
        <v>195</v>
      </c>
      <c r="Z1" s="20" t="s">
        <v>196</v>
      </c>
      <c r="AA1" s="20" t="s">
        <v>197</v>
      </c>
      <c r="AB1" s="20" t="s">
        <v>212</v>
      </c>
      <c r="AC1" s="20" t="s">
        <v>199</v>
      </c>
      <c r="AD1" s="20" t="s">
        <v>216</v>
      </c>
      <c r="AE1" s="21" t="s">
        <v>145</v>
      </c>
    </row>
    <row r="2" spans="1:31" x14ac:dyDescent="0.3">
      <c r="A2" s="22">
        <v>1</v>
      </c>
      <c r="B2" s="23">
        <v>46143</v>
      </c>
      <c r="C2" s="24">
        <v>200763.43000000025</v>
      </c>
      <c r="D2" s="24">
        <v>51288.029999999948</v>
      </c>
      <c r="E2" s="24">
        <v>1669.89</v>
      </c>
      <c r="F2" s="24">
        <v>589990.30000000005</v>
      </c>
      <c r="G2" s="24">
        <v>990387.37999999931</v>
      </c>
      <c r="H2" s="24">
        <v>142511.38</v>
      </c>
      <c r="I2" s="24">
        <v>13088.589999999997</v>
      </c>
      <c r="J2" s="24">
        <v>808.82999999999993</v>
      </c>
      <c r="K2" s="24">
        <v>114.3</v>
      </c>
      <c r="L2" s="24">
        <v>2267.7200000000003</v>
      </c>
      <c r="M2" s="24">
        <v>3364.94</v>
      </c>
      <c r="N2" s="24">
        <v>1968.99</v>
      </c>
      <c r="O2" s="24">
        <v>901.34</v>
      </c>
      <c r="P2" s="24">
        <v>1444.08</v>
      </c>
      <c r="Q2" s="24">
        <v>23262.599999999962</v>
      </c>
      <c r="R2" s="24">
        <v>6853.9100000000017</v>
      </c>
      <c r="S2" s="24">
        <v>21338.39</v>
      </c>
      <c r="T2" s="24">
        <v>345</v>
      </c>
      <c r="U2" s="24">
        <v>13491.26</v>
      </c>
      <c r="V2" s="24">
        <f>IF(YEAR($B2)*100+MONTH($B2)&lt;--SUBSTITUTE(_xlfn.XLOOKUP("Pacha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LLC",Movimientos!$B$1:$B$1324,"&lt;="&amp;$B2))</f>
        <v>0</v>
      </c>
      <c r="W2" s="24">
        <f>IF(YEAR($B2)*100+MONTH($B2)&lt;--SUBSTITUTE(_xlfn.XLOOKUP("*CFT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Residence",Movimientos!$B$1:$B$1324,"&lt;="&amp;$B2))</f>
        <v>0</v>
      </c>
      <c r="X2" s="24">
        <f>IF(YEAR($B2)*100+MONTH($B2)&lt;--SUBSTITUTE(_xlfn.XLOOKUP("Carmen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Trust",Movimientos!$B$1:$B$1324,"&lt;="&amp;$B2))</f>
        <v>0</v>
      </c>
      <c r="Y2" s="24">
        <f>IF(YEAR($B2)*100+MONTH($B2)&lt;--SUBSTITUTE(_xlfn.XLOOKUP("SIYP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LLC",Movimientos!$B$1:$B$1324,"&lt;="&amp;$B2))</f>
        <v>0</v>
      </c>
      <c r="Z2" s="24">
        <f>IF(YEAR($B2)*100+MONTH($B2)&lt;--SUBSTITUTE(_xlfn.XLOOKUP("Prendamas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SRL",Movimientos!$B$1:$B$1324,"&lt;="&amp;$B2))</f>
        <v>0</v>
      </c>
      <c r="AA2" s="24">
        <f>IF(YEAR($B2)*100+MONTH($B2)&lt;--SUBSTITUTE(_xlfn.XLOOKUP("360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LLC",Movimientos!$B$1:$B$1324,"&lt;="&amp;$B2))</f>
        <v>0</v>
      </c>
      <c r="AB2" s="24">
        <f>IF(YEAR($B2)*100+MONTH($B2)&lt;--SUBSTITUTE(_xlfn.XLOOKUP("Five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",Movimientos!$B$1:$B$1324,"&lt;="&amp;$B2))</f>
        <v>0</v>
      </c>
      <c r="AC2" s="24">
        <f>IF(YEAR($B2)*100+MONTH($B2)&lt;--SUBSTITUTE(_xlfn.XLOOKUP("Nobe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Aparments",Movimientos!$B$1:$B$1324,"&lt;="&amp;$B2))</f>
        <v>0</v>
      </c>
      <c r="AD2" s="24">
        <f>IF(YEAR($B2)*100+MONTH($B2)&lt;--SUBSTITUTE(_xlfn.XLOOKUP("Don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Life",Movimientos!$B$1:$B$1324,"&lt;="&amp;$B2))</f>
        <v>0</v>
      </c>
      <c r="AE2" s="25">
        <v>2065860.3599999996</v>
      </c>
    </row>
    <row r="3" spans="1:31" hidden="1" outlineLevel="1" x14ac:dyDescent="0.3">
      <c r="A3" s="22">
        <f>+A2+1</f>
        <v>2</v>
      </c>
      <c r="B3" s="23">
        <v>46144</v>
      </c>
      <c r="C3" s="24">
        <v>200763.43000000025</v>
      </c>
      <c r="D3" s="24">
        <v>51288.029999999948</v>
      </c>
      <c r="E3" s="24">
        <v>1669.89</v>
      </c>
      <c r="F3" s="24">
        <v>589990.30000000005</v>
      </c>
      <c r="G3" s="24">
        <v>990387.37999999931</v>
      </c>
      <c r="H3" s="24">
        <v>142511.38</v>
      </c>
      <c r="I3" s="24">
        <v>13088.589999999997</v>
      </c>
      <c r="J3" s="24">
        <v>808.82999999999993</v>
      </c>
      <c r="K3" s="24">
        <v>114.3</v>
      </c>
      <c r="L3" s="24">
        <v>2267.7200000000003</v>
      </c>
      <c r="M3" s="24">
        <v>3364.94</v>
      </c>
      <c r="N3" s="24">
        <v>1968.99</v>
      </c>
      <c r="O3" s="24">
        <v>901.34</v>
      </c>
      <c r="P3" s="24">
        <v>1444.08</v>
      </c>
      <c r="Q3" s="24">
        <v>23262.599999999962</v>
      </c>
      <c r="R3" s="24">
        <v>6853.9100000000017</v>
      </c>
      <c r="S3" s="24">
        <v>21338.39</v>
      </c>
      <c r="T3" s="24">
        <v>345</v>
      </c>
      <c r="U3" s="24">
        <v>13491.26</v>
      </c>
      <c r="V3" s="24">
        <f>IF(YEAR($B3)*100+MONTH($B3)&lt;--SUBSTITUTE(_xlfn.XLOOKUP("Pacha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LLC",Movimientos!$B$1:$B$1324,"&lt;="&amp;$B3))</f>
        <v>0</v>
      </c>
      <c r="W3" s="24">
        <f>IF(YEAR($B3)*100+MONTH($B3)&lt;--SUBSTITUTE(_xlfn.XLOOKUP("*CFT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Residence",Movimientos!$B$1:$B$1324,"&lt;="&amp;$B3))</f>
        <v>0</v>
      </c>
      <c r="X3" s="24">
        <f>IF(YEAR($B3)*100+MONTH($B3)&lt;--SUBSTITUTE(_xlfn.XLOOKUP("Carmen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Trust",Movimientos!$B$1:$B$1324,"&lt;="&amp;$B3))</f>
        <v>0</v>
      </c>
      <c r="Y3" s="24">
        <f>IF(YEAR($B3)*100+MONTH($B3)&lt;--SUBSTITUTE(_xlfn.XLOOKUP("SIYP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LLC",Movimientos!$B$1:$B$1324,"&lt;="&amp;$B3))</f>
        <v>0</v>
      </c>
      <c r="Z3" s="24">
        <f>IF(YEAR($B3)*100+MONTH($B3)&lt;--SUBSTITUTE(_xlfn.XLOOKUP("Prendamas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SRL",Movimientos!$B$1:$B$1324,"&lt;="&amp;$B3))</f>
        <v>0</v>
      </c>
      <c r="AA3" s="24">
        <f>IF(YEAR($B3)*100+MONTH($B3)&lt;--SUBSTITUTE(_xlfn.XLOOKUP("360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LLC",Movimientos!$B$1:$B$1324,"&lt;="&amp;$B3))</f>
        <v>0</v>
      </c>
      <c r="AB3" s="24">
        <f>IF(YEAR($B3)*100+MONTH($B3)&lt;--SUBSTITUTE(_xlfn.XLOOKUP("Five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",Movimientos!$B$1:$B$1324,"&lt;="&amp;$B3))</f>
        <v>0</v>
      </c>
      <c r="AC3" s="24">
        <f>IF(YEAR($B3)*100+MONTH($B3)&lt;--SUBSTITUTE(_xlfn.XLOOKUP("Nobe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Aparments",Movimientos!$B$1:$B$1324,"&lt;="&amp;$B3))</f>
        <v>0</v>
      </c>
      <c r="AD3" s="24">
        <f>IF(YEAR($B3)*100+MONTH($B3)&lt;--SUBSTITUTE(_xlfn.XLOOKUP("Don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Life",Movimientos!$B$1:$B$1324,"&lt;="&amp;$B3))</f>
        <v>0</v>
      </c>
      <c r="AE3" s="25">
        <v>2065860.3599999996</v>
      </c>
    </row>
    <row r="4" spans="1:31" hidden="1" outlineLevel="1" x14ac:dyDescent="0.3">
      <c r="A4" s="22">
        <f t="shared" ref="A4:A59" si="0">+A3+1</f>
        <v>3</v>
      </c>
      <c r="B4" s="23">
        <v>46145</v>
      </c>
      <c r="C4" s="24">
        <v>200763.43000000025</v>
      </c>
      <c r="D4" s="24">
        <v>51288.029999999948</v>
      </c>
      <c r="E4" s="24">
        <v>1669.89</v>
      </c>
      <c r="F4" s="24">
        <v>589990.30000000005</v>
      </c>
      <c r="G4" s="24">
        <v>990387.37999999931</v>
      </c>
      <c r="H4" s="24">
        <v>142511.38</v>
      </c>
      <c r="I4" s="24">
        <v>13088.589999999997</v>
      </c>
      <c r="J4" s="24">
        <v>808.82999999999993</v>
      </c>
      <c r="K4" s="24">
        <v>114.3</v>
      </c>
      <c r="L4" s="24">
        <v>2267.7200000000003</v>
      </c>
      <c r="M4" s="24">
        <v>3364.94</v>
      </c>
      <c r="N4" s="24">
        <v>1968.99</v>
      </c>
      <c r="O4" s="24">
        <v>901.34</v>
      </c>
      <c r="P4" s="24">
        <v>1444.08</v>
      </c>
      <c r="Q4" s="24">
        <v>23262.599999999962</v>
      </c>
      <c r="R4" s="24">
        <v>6853.9100000000017</v>
      </c>
      <c r="S4" s="24">
        <v>21338.39</v>
      </c>
      <c r="T4" s="24">
        <v>345</v>
      </c>
      <c r="U4" s="24">
        <v>13491.26</v>
      </c>
      <c r="V4" s="24">
        <f>IF(YEAR($B4)*100+MONTH($B4)&lt;--SUBSTITUTE(_xlfn.XLOOKUP("Pacha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LLC",Movimientos!$B$1:$B$1324,"&lt;="&amp;$B4))</f>
        <v>0</v>
      </c>
      <c r="W4" s="24">
        <f>IF(YEAR($B4)*100+MONTH($B4)&lt;--SUBSTITUTE(_xlfn.XLOOKUP("*CFT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Residence",Movimientos!$B$1:$B$1324,"&lt;="&amp;$B4))</f>
        <v>0</v>
      </c>
      <c r="X4" s="24">
        <f>IF(YEAR($B4)*100+MONTH($B4)&lt;--SUBSTITUTE(_xlfn.XLOOKUP("Carmen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Trust",Movimientos!$B$1:$B$1324,"&lt;="&amp;$B4))</f>
        <v>0</v>
      </c>
      <c r="Y4" s="24">
        <f>IF(YEAR($B4)*100+MONTH($B4)&lt;--SUBSTITUTE(_xlfn.XLOOKUP("SIYP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LLC",Movimientos!$B$1:$B$1324,"&lt;="&amp;$B4))</f>
        <v>0</v>
      </c>
      <c r="Z4" s="24">
        <f>IF(YEAR($B4)*100+MONTH($B4)&lt;--SUBSTITUTE(_xlfn.XLOOKUP("Prendamas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SRL",Movimientos!$B$1:$B$1324,"&lt;="&amp;$B4))</f>
        <v>0</v>
      </c>
      <c r="AA4" s="24">
        <f>IF(YEAR($B4)*100+MONTH($B4)&lt;--SUBSTITUTE(_xlfn.XLOOKUP("360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LLC",Movimientos!$B$1:$B$1324,"&lt;="&amp;$B4))</f>
        <v>0</v>
      </c>
      <c r="AB4" s="24">
        <f>IF(YEAR($B4)*100+MONTH($B4)&lt;--SUBSTITUTE(_xlfn.XLOOKUP("Five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",Movimientos!$B$1:$B$1324,"&lt;="&amp;$B4))</f>
        <v>0</v>
      </c>
      <c r="AC4" s="24">
        <f>IF(YEAR($B4)*100+MONTH($B4)&lt;--SUBSTITUTE(_xlfn.XLOOKUP("Nobe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Aparments",Movimientos!$B$1:$B$1324,"&lt;="&amp;$B4))</f>
        <v>0</v>
      </c>
      <c r="AD4" s="24">
        <f>IF(YEAR($B4)*100+MONTH($B4)&lt;--SUBSTITUTE(_xlfn.XLOOKUP("Don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Life",Movimientos!$B$1:$B$1324,"&lt;="&amp;$B4))</f>
        <v>0</v>
      </c>
      <c r="AE4" s="25">
        <v>2065860.3599999996</v>
      </c>
    </row>
    <row r="5" spans="1:31" hidden="1" outlineLevel="1" x14ac:dyDescent="0.3">
      <c r="A5" s="22">
        <f t="shared" si="0"/>
        <v>4</v>
      </c>
      <c r="B5" s="23">
        <v>46146</v>
      </c>
      <c r="C5" s="24">
        <v>200763.43000000025</v>
      </c>
      <c r="D5" s="24">
        <v>51288.029999999948</v>
      </c>
      <c r="E5" s="24">
        <v>1669.89</v>
      </c>
      <c r="F5" s="24">
        <v>589990.30000000005</v>
      </c>
      <c r="G5" s="24">
        <v>1790387.3799999994</v>
      </c>
      <c r="H5" s="24">
        <v>136511.38</v>
      </c>
      <c r="I5" s="24">
        <v>13088.589999999997</v>
      </c>
      <c r="J5" s="24">
        <v>808.82999999999993</v>
      </c>
      <c r="K5" s="24">
        <v>114.3</v>
      </c>
      <c r="L5" s="24">
        <v>2267.7200000000003</v>
      </c>
      <c r="M5" s="24">
        <v>3364.94</v>
      </c>
      <c r="N5" s="24">
        <v>1968.99</v>
      </c>
      <c r="O5" s="24">
        <v>901.34</v>
      </c>
      <c r="P5" s="24">
        <v>1444.08</v>
      </c>
      <c r="Q5" s="24">
        <v>23247.599999999962</v>
      </c>
      <c r="R5" s="24">
        <v>6853.9100000000017</v>
      </c>
      <c r="S5" s="24">
        <v>21338.39</v>
      </c>
      <c r="T5" s="24">
        <v>345</v>
      </c>
      <c r="U5" s="24">
        <v>8782.25</v>
      </c>
      <c r="V5" s="24">
        <f>IF(YEAR($B5)*100+MONTH($B5)&lt;--SUBSTITUTE(_xlfn.XLOOKUP("Pacha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LLC",Movimientos!$B$1:$B$1324,"&lt;="&amp;$B5))</f>
        <v>0</v>
      </c>
      <c r="W5" s="24">
        <f>IF(YEAR($B5)*100+MONTH($B5)&lt;--SUBSTITUTE(_xlfn.XLOOKUP("*CFT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Residence",Movimientos!$B$1:$B$1324,"&lt;="&amp;$B5))</f>
        <v>0</v>
      </c>
      <c r="X5" s="24">
        <f>IF(YEAR($B5)*100+MONTH($B5)&lt;--SUBSTITUTE(_xlfn.XLOOKUP("Carmen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Trust",Movimientos!$B$1:$B$1324,"&lt;="&amp;$B5))</f>
        <v>0</v>
      </c>
      <c r="Y5" s="24">
        <f>IF(YEAR($B5)*100+MONTH($B5)&lt;--SUBSTITUTE(_xlfn.XLOOKUP("SIYP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LLC",Movimientos!$B$1:$B$1324,"&lt;="&amp;$B5))</f>
        <v>0</v>
      </c>
      <c r="Z5" s="24">
        <f>IF(YEAR($B5)*100+MONTH($B5)&lt;--SUBSTITUTE(_xlfn.XLOOKUP("Prendamas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SRL",Movimientos!$B$1:$B$1324,"&lt;="&amp;$B5))</f>
        <v>0</v>
      </c>
      <c r="AA5" s="24">
        <f>IF(YEAR($B5)*100+MONTH($B5)&lt;--SUBSTITUTE(_xlfn.XLOOKUP("360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LLC",Movimientos!$B$1:$B$1324,"&lt;="&amp;$B5))</f>
        <v>0</v>
      </c>
      <c r="AB5" s="24">
        <f>IF(YEAR($B5)*100+MONTH($B5)&lt;--SUBSTITUTE(_xlfn.XLOOKUP("Five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",Movimientos!$B$1:$B$1324,"&lt;="&amp;$B5))</f>
        <v>0</v>
      </c>
      <c r="AC5" s="24">
        <f>IF(YEAR($B5)*100+MONTH($B5)&lt;--SUBSTITUTE(_xlfn.XLOOKUP("Nobe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Aparments",Movimientos!$B$1:$B$1324,"&lt;="&amp;$B5))</f>
        <v>0</v>
      </c>
      <c r="AD5" s="24">
        <f>IF(YEAR($B5)*100+MONTH($B5)&lt;--SUBSTITUTE(_xlfn.XLOOKUP("Don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Life",Movimientos!$B$1:$B$1324,"&lt;="&amp;$B5))</f>
        <v>0</v>
      </c>
      <c r="AE5" s="25">
        <v>2855136.35</v>
      </c>
    </row>
    <row r="6" spans="1:31" hidden="1" outlineLevel="1" x14ac:dyDescent="0.3">
      <c r="A6" s="22">
        <f t="shared" si="0"/>
        <v>5</v>
      </c>
      <c r="B6" s="23">
        <v>46147</v>
      </c>
      <c r="C6" s="24">
        <v>197763.43000000025</v>
      </c>
      <c r="D6" s="24">
        <v>51288.029999999948</v>
      </c>
      <c r="E6" s="24">
        <v>1669.89</v>
      </c>
      <c r="F6" s="24">
        <v>989990.29999999993</v>
      </c>
      <c r="G6" s="24">
        <v>1088892.0899999994</v>
      </c>
      <c r="H6" s="24">
        <v>121511.38</v>
      </c>
      <c r="I6" s="24">
        <v>813088.59</v>
      </c>
      <c r="J6" s="24">
        <v>3768.83</v>
      </c>
      <c r="K6" s="24">
        <v>114.3</v>
      </c>
      <c r="L6" s="24">
        <v>2267.7200000000003</v>
      </c>
      <c r="M6" s="24">
        <v>3364.94</v>
      </c>
      <c r="N6" s="24">
        <v>1968.99</v>
      </c>
      <c r="O6" s="24">
        <v>901.34</v>
      </c>
      <c r="P6" s="24">
        <v>1444.08</v>
      </c>
      <c r="Q6" s="24">
        <v>23247.599999999962</v>
      </c>
      <c r="R6" s="24">
        <v>6853.9100000000017</v>
      </c>
      <c r="S6" s="24">
        <v>21338.39</v>
      </c>
      <c r="T6" s="24">
        <v>345</v>
      </c>
      <c r="U6" s="24">
        <v>8782.25</v>
      </c>
      <c r="V6" s="24">
        <f>IF(YEAR($B6)*100+MONTH($B6)&lt;--SUBSTITUTE(_xlfn.XLOOKUP("Pacha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LLC",Movimientos!$B$1:$B$1324,"&lt;="&amp;$B6))</f>
        <v>0</v>
      </c>
      <c r="W6" s="24">
        <f>IF(YEAR($B6)*100+MONTH($B6)&lt;--SUBSTITUTE(_xlfn.XLOOKUP("*CFT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Residence",Movimientos!$B$1:$B$1324,"&lt;="&amp;$B6))</f>
        <v>0</v>
      </c>
      <c r="X6" s="24">
        <f>IF(YEAR($B6)*100+MONTH($B6)&lt;--SUBSTITUTE(_xlfn.XLOOKUP("Carmen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Trust",Movimientos!$B$1:$B$1324,"&lt;="&amp;$B6))</f>
        <v>0</v>
      </c>
      <c r="Y6" s="24">
        <f>IF(YEAR($B6)*100+MONTH($B6)&lt;--SUBSTITUTE(_xlfn.XLOOKUP("SIYP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LLC",Movimientos!$B$1:$B$1324,"&lt;="&amp;$B6))</f>
        <v>0</v>
      </c>
      <c r="Z6" s="24">
        <f>IF(YEAR($B6)*100+MONTH($B6)&lt;--SUBSTITUTE(_xlfn.XLOOKUP("Prendamas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SRL",Movimientos!$B$1:$B$1324,"&lt;="&amp;$B6))</f>
        <v>0</v>
      </c>
      <c r="AA6" s="24">
        <f>IF(YEAR($B6)*100+MONTH($B6)&lt;--SUBSTITUTE(_xlfn.XLOOKUP("360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LLC",Movimientos!$B$1:$B$1324,"&lt;="&amp;$B6))</f>
        <v>0</v>
      </c>
      <c r="AB6" s="24">
        <f>IF(YEAR($B6)*100+MONTH($B6)&lt;--SUBSTITUTE(_xlfn.XLOOKUP("Five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",Movimientos!$B$1:$B$1324,"&lt;="&amp;$B6))</f>
        <v>0</v>
      </c>
      <c r="AC6" s="24">
        <f>IF(YEAR($B6)*100+MONTH($B6)&lt;--SUBSTITUTE(_xlfn.XLOOKUP("Nobe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Aparments",Movimientos!$B$1:$B$1324,"&lt;="&amp;$B6))</f>
        <v>0</v>
      </c>
      <c r="AD6" s="24">
        <f>IF(YEAR($B6)*100+MONTH($B6)&lt;--SUBSTITUTE(_xlfn.XLOOKUP("Don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Life",Movimientos!$B$1:$B$1324,"&lt;="&amp;$B6))</f>
        <v>0</v>
      </c>
      <c r="AE6" s="25">
        <v>3338601.0599999996</v>
      </c>
    </row>
    <row r="7" spans="1:31" hidden="1" outlineLevel="1" x14ac:dyDescent="0.3">
      <c r="A7" s="22">
        <f t="shared" si="0"/>
        <v>6</v>
      </c>
      <c r="B7" s="23">
        <v>46148</v>
      </c>
      <c r="C7" s="24">
        <v>197763.43000000025</v>
      </c>
      <c r="D7" s="24">
        <v>626288.02999999991</v>
      </c>
      <c r="E7" s="24">
        <v>1669.89</v>
      </c>
      <c r="F7" s="24">
        <v>989990.29999999993</v>
      </c>
      <c r="G7" s="24">
        <v>961212.30999999924</v>
      </c>
      <c r="H7" s="24">
        <v>121511.38</v>
      </c>
      <c r="I7" s="24">
        <v>813088.59</v>
      </c>
      <c r="J7" s="24">
        <v>3768.83</v>
      </c>
      <c r="K7" s="24">
        <v>114.3</v>
      </c>
      <c r="L7" s="24">
        <v>2267.7200000000003</v>
      </c>
      <c r="M7" s="24">
        <v>3364.94</v>
      </c>
      <c r="N7" s="24">
        <v>1968.99</v>
      </c>
      <c r="O7" s="24">
        <v>901.34</v>
      </c>
      <c r="P7" s="24">
        <v>1444.08</v>
      </c>
      <c r="Q7" s="24">
        <v>23247.599999999962</v>
      </c>
      <c r="R7" s="24">
        <v>5135.0600000000013</v>
      </c>
      <c r="S7" s="24">
        <v>21338.39</v>
      </c>
      <c r="T7" s="24">
        <v>345</v>
      </c>
      <c r="U7" s="24">
        <v>8782.25</v>
      </c>
      <c r="V7" s="24">
        <f>IF(YEAR($B7)*100+MONTH($B7)&lt;--SUBSTITUTE(_xlfn.XLOOKUP("Pacha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LLC",Movimientos!$B$1:$B$1324,"&lt;="&amp;$B7))</f>
        <v>0</v>
      </c>
      <c r="W7" s="24">
        <f>IF(YEAR($B7)*100+MONTH($B7)&lt;--SUBSTITUTE(_xlfn.XLOOKUP("*CFT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Residence",Movimientos!$B$1:$B$1324,"&lt;="&amp;$B7))</f>
        <v>0</v>
      </c>
      <c r="X7" s="24">
        <f>IF(YEAR($B7)*100+MONTH($B7)&lt;--SUBSTITUTE(_xlfn.XLOOKUP("Carmen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Trust",Movimientos!$B$1:$B$1324,"&lt;="&amp;$B7))</f>
        <v>0</v>
      </c>
      <c r="Y7" s="24">
        <f>IF(YEAR($B7)*100+MONTH($B7)&lt;--SUBSTITUTE(_xlfn.XLOOKUP("SIYP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LLC",Movimientos!$B$1:$B$1324,"&lt;="&amp;$B7))</f>
        <v>0</v>
      </c>
      <c r="Z7" s="24">
        <f>IF(YEAR($B7)*100+MONTH($B7)&lt;--SUBSTITUTE(_xlfn.XLOOKUP("Prendamas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SRL",Movimientos!$B$1:$B$1324,"&lt;="&amp;$B7))</f>
        <v>0</v>
      </c>
      <c r="AA7" s="24">
        <f>IF(YEAR($B7)*100+MONTH($B7)&lt;--SUBSTITUTE(_xlfn.XLOOKUP("360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LLC",Movimientos!$B$1:$B$1324,"&lt;="&amp;$B7))</f>
        <v>0</v>
      </c>
      <c r="AB7" s="24">
        <f>IF(YEAR($B7)*100+MONTH($B7)&lt;--SUBSTITUTE(_xlfn.XLOOKUP("Five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",Movimientos!$B$1:$B$1324,"&lt;="&amp;$B7))</f>
        <v>0</v>
      </c>
      <c r="AC7" s="24">
        <f>IF(YEAR($B7)*100+MONTH($B7)&lt;--SUBSTITUTE(_xlfn.XLOOKUP("Nobe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Aparments",Movimientos!$B$1:$B$1324,"&lt;="&amp;$B7))</f>
        <v>0</v>
      </c>
      <c r="AD7" s="24">
        <f>IF(YEAR($B7)*100+MONTH($B7)&lt;--SUBSTITUTE(_xlfn.XLOOKUP("Don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Life",Movimientos!$B$1:$B$1324,"&lt;="&amp;$B7))</f>
        <v>0</v>
      </c>
      <c r="AE7" s="25">
        <v>3784202.4299999997</v>
      </c>
    </row>
    <row r="8" spans="1:31" hidden="1" outlineLevel="1" x14ac:dyDescent="0.3">
      <c r="A8" s="22">
        <f t="shared" si="0"/>
        <v>7</v>
      </c>
      <c r="B8" s="23">
        <v>46149</v>
      </c>
      <c r="C8" s="24">
        <v>447763.43000000028</v>
      </c>
      <c r="D8" s="24">
        <v>56288.029999999941</v>
      </c>
      <c r="E8" s="24">
        <v>1669.89</v>
      </c>
      <c r="F8" s="24">
        <v>274668.55999999994</v>
      </c>
      <c r="G8" s="24">
        <v>926213.13999999932</v>
      </c>
      <c r="H8" s="24">
        <v>121511.38</v>
      </c>
      <c r="I8" s="24">
        <v>1513088.59</v>
      </c>
      <c r="J8" s="24">
        <v>3768.83</v>
      </c>
      <c r="K8" s="24">
        <v>114.3</v>
      </c>
      <c r="L8" s="24">
        <v>2267.7200000000003</v>
      </c>
      <c r="M8" s="24">
        <v>3364.94</v>
      </c>
      <c r="N8" s="24">
        <v>1968.99</v>
      </c>
      <c r="O8" s="24">
        <v>901.34</v>
      </c>
      <c r="P8" s="24">
        <v>1444.08</v>
      </c>
      <c r="Q8" s="24">
        <v>23247.599999999962</v>
      </c>
      <c r="R8" s="24">
        <v>15135.060000000001</v>
      </c>
      <c r="S8" s="24">
        <v>31338.39</v>
      </c>
      <c r="T8" s="24">
        <v>345</v>
      </c>
      <c r="U8" s="24">
        <v>8782.25</v>
      </c>
      <c r="V8" s="24">
        <f>IF(YEAR($B8)*100+MONTH($B8)&lt;--SUBSTITUTE(_xlfn.XLOOKUP("Pacha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LLC",Movimientos!$B$1:$B$1324,"&lt;="&amp;$B8))</f>
        <v>0</v>
      </c>
      <c r="W8" s="24">
        <f>IF(YEAR($B8)*100+MONTH($B8)&lt;--SUBSTITUTE(_xlfn.XLOOKUP("*CFT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Residence",Movimientos!$B$1:$B$1324,"&lt;="&amp;$B8))</f>
        <v>0</v>
      </c>
      <c r="X8" s="24">
        <f>IF(YEAR($B8)*100+MONTH($B8)&lt;--SUBSTITUTE(_xlfn.XLOOKUP("Carmen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Trust",Movimientos!$B$1:$B$1324,"&lt;="&amp;$B8))</f>
        <v>0</v>
      </c>
      <c r="Y8" s="24">
        <f>IF(YEAR($B8)*100+MONTH($B8)&lt;--SUBSTITUTE(_xlfn.XLOOKUP("SIYP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LLC",Movimientos!$B$1:$B$1324,"&lt;="&amp;$B8))</f>
        <v>0</v>
      </c>
      <c r="Z8" s="24">
        <f>IF(YEAR($B8)*100+MONTH($B8)&lt;--SUBSTITUTE(_xlfn.XLOOKUP("Prendamas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SRL",Movimientos!$B$1:$B$1324,"&lt;="&amp;$B8))</f>
        <v>0</v>
      </c>
      <c r="AA8" s="24">
        <f>IF(YEAR($B8)*100+MONTH($B8)&lt;--SUBSTITUTE(_xlfn.XLOOKUP("360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LLC",Movimientos!$B$1:$B$1324,"&lt;="&amp;$B8))</f>
        <v>0</v>
      </c>
      <c r="AB8" s="24">
        <f>IF(YEAR($B8)*100+MONTH($B8)&lt;--SUBSTITUTE(_xlfn.XLOOKUP("Five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",Movimientos!$B$1:$B$1324,"&lt;="&amp;$B8))</f>
        <v>0</v>
      </c>
      <c r="AC8" s="24">
        <f>IF(YEAR($B8)*100+MONTH($B8)&lt;--SUBSTITUTE(_xlfn.XLOOKUP("Nobe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Aparments",Movimientos!$B$1:$B$1324,"&lt;="&amp;$B8))</f>
        <v>0</v>
      </c>
      <c r="AD8" s="24">
        <f>IF(YEAR($B8)*100+MONTH($B8)&lt;--SUBSTITUTE(_xlfn.XLOOKUP("Don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Life",Movimientos!$B$1:$B$1324,"&lt;="&amp;$B8))</f>
        <v>0</v>
      </c>
      <c r="AE8" s="25">
        <v>3433881.52</v>
      </c>
    </row>
    <row r="9" spans="1:31" hidden="1" outlineLevel="1" x14ac:dyDescent="0.3">
      <c r="A9" s="22">
        <f t="shared" si="0"/>
        <v>8</v>
      </c>
      <c r="B9" s="23">
        <v>46150</v>
      </c>
      <c r="C9" s="24">
        <v>512927.75000000023</v>
      </c>
      <c r="D9" s="24">
        <v>58840.089999999938</v>
      </c>
      <c r="E9" s="24">
        <v>1669.89</v>
      </c>
      <c r="F9" s="24">
        <v>792366.49999999988</v>
      </c>
      <c r="G9" s="24">
        <v>923830.41999999923</v>
      </c>
      <c r="H9" s="24">
        <v>121511.38</v>
      </c>
      <c r="I9" s="24">
        <v>13088.589999999997</v>
      </c>
      <c r="J9" s="24">
        <v>3768.83</v>
      </c>
      <c r="K9" s="24">
        <v>114.3</v>
      </c>
      <c r="L9" s="24">
        <v>2267.7200000000003</v>
      </c>
      <c r="M9" s="24">
        <v>3349.94</v>
      </c>
      <c r="N9" s="24">
        <v>1968.99</v>
      </c>
      <c r="O9" s="24">
        <v>901.34</v>
      </c>
      <c r="P9" s="24">
        <v>1444.08</v>
      </c>
      <c r="Q9" s="24">
        <v>20592.599999999962</v>
      </c>
      <c r="R9" s="24">
        <v>15120.060000000001</v>
      </c>
      <c r="S9" s="24">
        <v>31323.39</v>
      </c>
      <c r="T9" s="24">
        <v>345</v>
      </c>
      <c r="U9" s="24">
        <v>23782.25</v>
      </c>
      <c r="V9" s="24">
        <f>IF(YEAR($B9)*100+MONTH($B9)&lt;--SUBSTITUTE(_xlfn.XLOOKUP("Pacha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LLC",Movimientos!$B$1:$B$1324,"&lt;="&amp;$B9))</f>
        <v>0</v>
      </c>
      <c r="W9" s="24">
        <f>IF(YEAR($B9)*100+MONTH($B9)&lt;--SUBSTITUTE(_xlfn.XLOOKUP("*CFT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Residence",Movimientos!$B$1:$B$1324,"&lt;="&amp;$B9))</f>
        <v>0</v>
      </c>
      <c r="X9" s="24">
        <f>IF(YEAR($B9)*100+MONTH($B9)&lt;--SUBSTITUTE(_xlfn.XLOOKUP("Carmen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Trust",Movimientos!$B$1:$B$1324,"&lt;="&amp;$B9))</f>
        <v>0</v>
      </c>
      <c r="Y9" s="24">
        <f>IF(YEAR($B9)*100+MONTH($B9)&lt;--SUBSTITUTE(_xlfn.XLOOKUP("SIYP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LLC",Movimientos!$B$1:$B$1324,"&lt;="&amp;$B9))</f>
        <v>0</v>
      </c>
      <c r="Z9" s="24">
        <f>IF(YEAR($B9)*100+MONTH($B9)&lt;--SUBSTITUTE(_xlfn.XLOOKUP("Prendamas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SRL",Movimientos!$B$1:$B$1324,"&lt;="&amp;$B9))</f>
        <v>0</v>
      </c>
      <c r="AA9" s="24">
        <f>IF(YEAR($B9)*100+MONTH($B9)&lt;--SUBSTITUTE(_xlfn.XLOOKUP("360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LLC",Movimientos!$B$1:$B$1324,"&lt;="&amp;$B9))</f>
        <v>0</v>
      </c>
      <c r="AB9" s="24">
        <f>IF(YEAR($B9)*100+MONTH($B9)&lt;--SUBSTITUTE(_xlfn.XLOOKUP("Five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",Movimientos!$B$1:$B$1324,"&lt;="&amp;$B9))</f>
        <v>0</v>
      </c>
      <c r="AC9" s="24">
        <f>IF(YEAR($B9)*100+MONTH($B9)&lt;--SUBSTITUTE(_xlfn.XLOOKUP("Nobe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Aparments",Movimientos!$B$1:$B$1324,"&lt;="&amp;$B9))</f>
        <v>0</v>
      </c>
      <c r="AD9" s="24">
        <f>IF(YEAR($B9)*100+MONTH($B9)&lt;--SUBSTITUTE(_xlfn.XLOOKUP("Don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Life",Movimientos!$B$1:$B$1324,"&lt;="&amp;$B9))</f>
        <v>0</v>
      </c>
      <c r="AE9" s="25">
        <v>2529213.1199999996</v>
      </c>
    </row>
    <row r="10" spans="1:31" ht="13.8" hidden="1" customHeight="1" outlineLevel="1" x14ac:dyDescent="0.3">
      <c r="A10" s="22">
        <f t="shared" si="0"/>
        <v>9</v>
      </c>
      <c r="B10" s="23">
        <v>46151</v>
      </c>
      <c r="C10" s="24">
        <v>512927.75000000023</v>
      </c>
      <c r="D10" s="24">
        <v>58840.089999999938</v>
      </c>
      <c r="E10" s="24">
        <v>1669.89</v>
      </c>
      <c r="F10" s="24">
        <v>792366.49999999988</v>
      </c>
      <c r="G10" s="24">
        <v>923830.41999999923</v>
      </c>
      <c r="H10" s="24">
        <v>121511.38</v>
      </c>
      <c r="I10" s="24">
        <v>13088.589999999997</v>
      </c>
      <c r="J10" s="24">
        <v>3768.83</v>
      </c>
      <c r="K10" s="24">
        <v>114.3</v>
      </c>
      <c r="L10" s="24">
        <v>2267.7200000000003</v>
      </c>
      <c r="M10" s="24">
        <v>3349.94</v>
      </c>
      <c r="N10" s="24">
        <v>1968.99</v>
      </c>
      <c r="O10" s="24">
        <v>901.34</v>
      </c>
      <c r="P10" s="24">
        <v>1444.08</v>
      </c>
      <c r="Q10" s="24">
        <v>20592.599999999962</v>
      </c>
      <c r="R10" s="24">
        <v>15120.060000000001</v>
      </c>
      <c r="S10" s="24">
        <v>31323.39</v>
      </c>
      <c r="T10" s="24">
        <v>345</v>
      </c>
      <c r="U10" s="24">
        <v>23782.25</v>
      </c>
      <c r="V10" s="24">
        <f>IF(YEAR($B10)*100+MONTH($B10)&lt;--SUBSTITUTE(_xlfn.XLOOKUP("Pacha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LLC",Movimientos!$B$1:$B$1324,"&lt;="&amp;$B10))</f>
        <v>0</v>
      </c>
      <c r="W10" s="24">
        <f>IF(YEAR($B10)*100+MONTH($B10)&lt;--SUBSTITUTE(_xlfn.XLOOKUP("*CFT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Residence",Movimientos!$B$1:$B$1324,"&lt;="&amp;$B10))</f>
        <v>0</v>
      </c>
      <c r="X10" s="24">
        <f>IF(YEAR($B10)*100+MONTH($B10)&lt;--SUBSTITUTE(_xlfn.XLOOKUP("Carmen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Trust",Movimientos!$B$1:$B$1324,"&lt;="&amp;$B10))</f>
        <v>0</v>
      </c>
      <c r="Y10" s="24">
        <f>IF(YEAR($B10)*100+MONTH($B10)&lt;--SUBSTITUTE(_xlfn.XLOOKUP("SIYP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LLC",Movimientos!$B$1:$B$1324,"&lt;="&amp;$B10))</f>
        <v>0</v>
      </c>
      <c r="Z10" s="24">
        <f>IF(YEAR($B10)*100+MONTH($B10)&lt;--SUBSTITUTE(_xlfn.XLOOKUP("Prendamas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SRL",Movimientos!$B$1:$B$1324,"&lt;="&amp;$B10))</f>
        <v>0</v>
      </c>
      <c r="AA10" s="24">
        <f>IF(YEAR($B10)*100+MONTH($B10)&lt;--SUBSTITUTE(_xlfn.XLOOKUP("360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LLC",Movimientos!$B$1:$B$1324,"&lt;="&amp;$B10))</f>
        <v>0</v>
      </c>
      <c r="AB10" s="24">
        <f>IF(YEAR($B10)*100+MONTH($B10)&lt;--SUBSTITUTE(_xlfn.XLOOKUP("Five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",Movimientos!$B$1:$B$1324,"&lt;="&amp;$B10))</f>
        <v>0</v>
      </c>
      <c r="AC10" s="24">
        <f>IF(YEAR($B10)*100+MONTH($B10)&lt;--SUBSTITUTE(_xlfn.XLOOKUP("Nobe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Aparments",Movimientos!$B$1:$B$1324,"&lt;="&amp;$B10))</f>
        <v>0</v>
      </c>
      <c r="AD10" s="24">
        <f>IF(YEAR($B10)*100+MONTH($B10)&lt;--SUBSTITUTE(_xlfn.XLOOKUP("Don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Life",Movimientos!$B$1:$B$1324,"&lt;="&amp;$B10))</f>
        <v>0</v>
      </c>
      <c r="AE10" s="25">
        <v>2529213.1199999996</v>
      </c>
    </row>
    <row r="11" spans="1:31" hidden="1" outlineLevel="1" x14ac:dyDescent="0.3">
      <c r="A11" s="22">
        <f t="shared" si="0"/>
        <v>10</v>
      </c>
      <c r="B11" s="23">
        <v>46152</v>
      </c>
      <c r="C11" s="24">
        <v>512927.75000000023</v>
      </c>
      <c r="D11" s="24">
        <v>58840.089999999938</v>
      </c>
      <c r="E11" s="24">
        <v>1669.89</v>
      </c>
      <c r="F11" s="24">
        <v>792366.49999999988</v>
      </c>
      <c r="G11" s="24">
        <v>923830.41999999923</v>
      </c>
      <c r="H11" s="24">
        <v>121511.38</v>
      </c>
      <c r="I11" s="24">
        <v>13088.589999999997</v>
      </c>
      <c r="J11" s="24">
        <v>3768.83</v>
      </c>
      <c r="K11" s="24">
        <v>114.3</v>
      </c>
      <c r="L11" s="24">
        <v>2267.7200000000003</v>
      </c>
      <c r="M11" s="24">
        <v>3349.94</v>
      </c>
      <c r="N11" s="24">
        <v>1968.99</v>
      </c>
      <c r="O11" s="24">
        <v>901.34</v>
      </c>
      <c r="P11" s="24">
        <v>1444.08</v>
      </c>
      <c r="Q11" s="24">
        <v>20592.599999999962</v>
      </c>
      <c r="R11" s="24">
        <v>15120.060000000001</v>
      </c>
      <c r="S11" s="24">
        <v>31323.39</v>
      </c>
      <c r="T11" s="24">
        <v>345</v>
      </c>
      <c r="U11" s="24">
        <v>23782.25</v>
      </c>
      <c r="V11" s="24">
        <f>IF(YEAR($B11)*100+MONTH($B11)&lt;--SUBSTITUTE(_xlfn.XLOOKUP("Pacha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LLC",Movimientos!$B$1:$B$1324,"&lt;="&amp;$B11))</f>
        <v>0</v>
      </c>
      <c r="W11" s="24">
        <f>IF(YEAR($B11)*100+MONTH($B11)&lt;--SUBSTITUTE(_xlfn.XLOOKUP("*CFT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Residence",Movimientos!$B$1:$B$1324,"&lt;="&amp;$B11))</f>
        <v>0</v>
      </c>
      <c r="X11" s="24">
        <f>IF(YEAR($B11)*100+MONTH($B11)&lt;--SUBSTITUTE(_xlfn.XLOOKUP("Carmen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Trust",Movimientos!$B$1:$B$1324,"&lt;="&amp;$B11))</f>
        <v>0</v>
      </c>
      <c r="Y11" s="24">
        <f>IF(YEAR($B11)*100+MONTH($B11)&lt;--SUBSTITUTE(_xlfn.XLOOKUP("SIYP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LLC",Movimientos!$B$1:$B$1324,"&lt;="&amp;$B11))</f>
        <v>0</v>
      </c>
      <c r="Z11" s="24">
        <f>IF(YEAR($B11)*100+MONTH($B11)&lt;--SUBSTITUTE(_xlfn.XLOOKUP("Prendamas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SRL",Movimientos!$B$1:$B$1324,"&lt;="&amp;$B11))</f>
        <v>0</v>
      </c>
      <c r="AA11" s="24">
        <f>IF(YEAR($B11)*100+MONTH($B11)&lt;--SUBSTITUTE(_xlfn.XLOOKUP("360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LLC",Movimientos!$B$1:$B$1324,"&lt;="&amp;$B11))</f>
        <v>0</v>
      </c>
      <c r="AB11" s="24">
        <f>IF(YEAR($B11)*100+MONTH($B11)&lt;--SUBSTITUTE(_xlfn.XLOOKUP("Five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",Movimientos!$B$1:$B$1324,"&lt;="&amp;$B11))</f>
        <v>0</v>
      </c>
      <c r="AC11" s="24">
        <f>IF(YEAR($B11)*100+MONTH($B11)&lt;--SUBSTITUTE(_xlfn.XLOOKUP("Nobe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Aparments",Movimientos!$B$1:$B$1324,"&lt;="&amp;$B11))</f>
        <v>0</v>
      </c>
      <c r="AD11" s="24">
        <f>IF(YEAR($B11)*100+MONTH($B11)&lt;--SUBSTITUTE(_xlfn.XLOOKUP("Don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Life",Movimientos!$B$1:$B$1324,"&lt;="&amp;$B11))</f>
        <v>0</v>
      </c>
      <c r="AE11" s="25">
        <v>2529213.1199999996</v>
      </c>
    </row>
    <row r="12" spans="1:31" hidden="1" outlineLevel="1" x14ac:dyDescent="0.3">
      <c r="A12" s="22">
        <f t="shared" si="0"/>
        <v>11</v>
      </c>
      <c r="B12" s="23">
        <v>46153</v>
      </c>
      <c r="C12" s="24">
        <v>512927.75000000023</v>
      </c>
      <c r="D12" s="24">
        <v>58840.089999999938</v>
      </c>
      <c r="E12" s="24">
        <v>1669.89</v>
      </c>
      <c r="F12" s="24">
        <v>1368366.5</v>
      </c>
      <c r="G12" s="24">
        <v>1162513.7699999993</v>
      </c>
      <c r="H12" s="24">
        <v>121511.38</v>
      </c>
      <c r="I12" s="24">
        <v>13088.589999999997</v>
      </c>
      <c r="J12" s="24">
        <v>3768.83</v>
      </c>
      <c r="K12" s="24">
        <v>114.3</v>
      </c>
      <c r="L12" s="24">
        <v>2267.7200000000003</v>
      </c>
      <c r="M12" s="24">
        <v>3349.94</v>
      </c>
      <c r="N12" s="24">
        <v>1968.99</v>
      </c>
      <c r="O12" s="24">
        <v>901.34</v>
      </c>
      <c r="P12" s="24">
        <v>1444.08</v>
      </c>
      <c r="Q12" s="24">
        <v>19092.599999999962</v>
      </c>
      <c r="R12" s="24">
        <v>15120.060000000001</v>
      </c>
      <c r="S12" s="24">
        <v>31323.39</v>
      </c>
      <c r="T12" s="24">
        <v>345</v>
      </c>
      <c r="U12" s="24">
        <v>16956.59</v>
      </c>
      <c r="V12" s="24">
        <f>IF(YEAR($B12)*100+MONTH($B12)&lt;--SUBSTITUTE(_xlfn.XLOOKUP("Pacha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LLC",Movimientos!$B$1:$B$1324,"&lt;="&amp;$B12))</f>
        <v>0</v>
      </c>
      <c r="W12" s="24">
        <f>IF(YEAR($B12)*100+MONTH($B12)&lt;--SUBSTITUTE(_xlfn.XLOOKUP("*CFT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Residence",Movimientos!$B$1:$B$1324,"&lt;="&amp;$B12))</f>
        <v>0</v>
      </c>
      <c r="X12" s="24">
        <f>IF(YEAR($B12)*100+MONTH($B12)&lt;--SUBSTITUTE(_xlfn.XLOOKUP("Carmen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Trust",Movimientos!$B$1:$B$1324,"&lt;="&amp;$B12))</f>
        <v>0</v>
      </c>
      <c r="Y12" s="24">
        <f>IF(YEAR($B12)*100+MONTH($B12)&lt;--SUBSTITUTE(_xlfn.XLOOKUP("SIYP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LLC",Movimientos!$B$1:$B$1324,"&lt;="&amp;$B12))</f>
        <v>0</v>
      </c>
      <c r="Z12" s="24">
        <f>IF(YEAR($B12)*100+MONTH($B12)&lt;--SUBSTITUTE(_xlfn.XLOOKUP("Prendamas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SRL",Movimientos!$B$1:$B$1324,"&lt;="&amp;$B12))</f>
        <v>0</v>
      </c>
      <c r="AA12" s="24">
        <f>IF(YEAR($B12)*100+MONTH($B12)&lt;--SUBSTITUTE(_xlfn.XLOOKUP("360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LLC",Movimientos!$B$1:$B$1324,"&lt;="&amp;$B12))</f>
        <v>0</v>
      </c>
      <c r="AB12" s="24">
        <f>IF(YEAR($B12)*100+MONTH($B12)&lt;--SUBSTITUTE(_xlfn.XLOOKUP("Five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",Movimientos!$B$1:$B$1324,"&lt;="&amp;$B12))</f>
        <v>0</v>
      </c>
      <c r="AC12" s="24">
        <f>IF(YEAR($B12)*100+MONTH($B12)&lt;--SUBSTITUTE(_xlfn.XLOOKUP("Nobe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Aparments",Movimientos!$B$1:$B$1324,"&lt;="&amp;$B12))</f>
        <v>0</v>
      </c>
      <c r="AD12" s="24">
        <f>IF(YEAR($B12)*100+MONTH($B12)&lt;--SUBSTITUTE(_xlfn.XLOOKUP("Don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Life",Movimientos!$B$1:$B$1324,"&lt;="&amp;$B12))</f>
        <v>0</v>
      </c>
      <c r="AE12" s="25">
        <v>3335570.8099999996</v>
      </c>
    </row>
    <row r="13" spans="1:31" hidden="1" outlineLevel="1" x14ac:dyDescent="0.3">
      <c r="A13" s="22">
        <f t="shared" si="0"/>
        <v>12</v>
      </c>
      <c r="B13" s="23">
        <v>46154</v>
      </c>
      <c r="C13" s="24">
        <v>606714.4700000002</v>
      </c>
      <c r="D13" s="24">
        <v>58840.089999999938</v>
      </c>
      <c r="E13" s="24">
        <v>1669.89</v>
      </c>
      <c r="F13" s="24">
        <v>1226185.8999999999</v>
      </c>
      <c r="G13" s="24">
        <v>1162404.8599999992</v>
      </c>
      <c r="H13" s="24">
        <v>121511.38</v>
      </c>
      <c r="I13" s="24">
        <v>13088.589999999997</v>
      </c>
      <c r="J13" s="24">
        <v>3768.83</v>
      </c>
      <c r="K13" s="24">
        <v>114.3</v>
      </c>
      <c r="L13" s="24">
        <v>2267.7200000000003</v>
      </c>
      <c r="M13" s="24">
        <v>3349.94</v>
      </c>
      <c r="N13" s="24">
        <v>1968.99</v>
      </c>
      <c r="O13" s="24">
        <v>901.34</v>
      </c>
      <c r="P13" s="24">
        <v>1444.08</v>
      </c>
      <c r="Q13" s="24">
        <v>19092.599999999962</v>
      </c>
      <c r="R13" s="24">
        <v>15120.060000000001</v>
      </c>
      <c r="S13" s="24">
        <v>31323.39</v>
      </c>
      <c r="T13" s="24">
        <v>345</v>
      </c>
      <c r="U13" s="24">
        <v>16741.59</v>
      </c>
      <c r="V13" s="24">
        <f>IF(YEAR($B13)*100+MONTH($B13)&lt;--SUBSTITUTE(_xlfn.XLOOKUP("Pacha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LLC",Movimientos!$B$1:$B$1324,"&lt;="&amp;$B13))</f>
        <v>0</v>
      </c>
      <c r="W13" s="24">
        <f>IF(YEAR($B13)*100+MONTH($B13)&lt;--SUBSTITUTE(_xlfn.XLOOKUP("*CFT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Residence",Movimientos!$B$1:$B$1324,"&lt;="&amp;$B13))</f>
        <v>0</v>
      </c>
      <c r="X13" s="24">
        <f>IF(YEAR($B13)*100+MONTH($B13)&lt;--SUBSTITUTE(_xlfn.XLOOKUP("Carmen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Trust",Movimientos!$B$1:$B$1324,"&lt;="&amp;$B13))</f>
        <v>0</v>
      </c>
      <c r="Y13" s="24">
        <f>IF(YEAR($B13)*100+MONTH($B13)&lt;--SUBSTITUTE(_xlfn.XLOOKUP("SIYP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LLC",Movimientos!$B$1:$B$1324,"&lt;="&amp;$B13))</f>
        <v>0</v>
      </c>
      <c r="Z13" s="24">
        <f>IF(YEAR($B13)*100+MONTH($B13)&lt;--SUBSTITUTE(_xlfn.XLOOKUP("Prendamas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SRL",Movimientos!$B$1:$B$1324,"&lt;="&amp;$B13))</f>
        <v>0</v>
      </c>
      <c r="AA13" s="24">
        <f>IF(YEAR($B13)*100+MONTH($B13)&lt;--SUBSTITUTE(_xlfn.XLOOKUP("360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LLC",Movimientos!$B$1:$B$1324,"&lt;="&amp;$B13))</f>
        <v>0</v>
      </c>
      <c r="AB13" s="24">
        <f>IF(YEAR($B13)*100+MONTH($B13)&lt;--SUBSTITUTE(_xlfn.XLOOKUP("Five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",Movimientos!$B$1:$B$1324,"&lt;="&amp;$B13))</f>
        <v>0</v>
      </c>
      <c r="AC13" s="24">
        <f>IF(YEAR($B13)*100+MONTH($B13)&lt;--SUBSTITUTE(_xlfn.XLOOKUP("Nobe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Aparments",Movimientos!$B$1:$B$1324,"&lt;="&amp;$B13))</f>
        <v>0</v>
      </c>
      <c r="AD13" s="24">
        <f>IF(YEAR($B13)*100+MONTH($B13)&lt;--SUBSTITUTE(_xlfn.XLOOKUP("Don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Life",Movimientos!$B$1:$B$1324,"&lt;="&amp;$B13))</f>
        <v>0</v>
      </c>
      <c r="AE13" s="25">
        <v>3286853.0199999991</v>
      </c>
    </row>
    <row r="14" spans="1:31" hidden="1" outlineLevel="1" x14ac:dyDescent="0.3">
      <c r="A14" s="22">
        <f t="shared" si="0"/>
        <v>13</v>
      </c>
      <c r="B14" s="23">
        <v>46155</v>
      </c>
      <c r="C14" s="24">
        <v>606714.4700000002</v>
      </c>
      <c r="D14" s="24">
        <v>58840.089999999938</v>
      </c>
      <c r="E14" s="24">
        <v>1669.89</v>
      </c>
      <c r="F14" s="24">
        <v>1242679.67</v>
      </c>
      <c r="G14" s="24">
        <v>1162404.8599999992</v>
      </c>
      <c r="H14" s="24">
        <v>121511.38</v>
      </c>
      <c r="I14" s="24">
        <v>13090.369999999997</v>
      </c>
      <c r="J14" s="24">
        <v>2498.3999999999996</v>
      </c>
      <c r="K14" s="24">
        <v>114.3</v>
      </c>
      <c r="L14" s="24">
        <v>2267.7200000000003</v>
      </c>
      <c r="M14" s="24">
        <v>3349.94</v>
      </c>
      <c r="N14" s="24">
        <v>1968.99</v>
      </c>
      <c r="O14" s="24">
        <v>901.34</v>
      </c>
      <c r="P14" s="24">
        <v>1444.08</v>
      </c>
      <c r="Q14" s="24">
        <v>18242.599999999962</v>
      </c>
      <c r="R14" s="24">
        <v>15120.060000000001</v>
      </c>
      <c r="S14" s="24">
        <v>31323.39</v>
      </c>
      <c r="T14" s="24">
        <v>345</v>
      </c>
      <c r="U14" s="24">
        <v>16741.59</v>
      </c>
      <c r="V14" s="24">
        <f>IF(YEAR($B14)*100+MONTH($B14)&lt;--SUBSTITUTE(_xlfn.XLOOKUP("Pacha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LLC",Movimientos!$B$1:$B$1324,"&lt;="&amp;$B14))</f>
        <v>0</v>
      </c>
      <c r="W14" s="24">
        <f>IF(YEAR($B14)*100+MONTH($B14)&lt;--SUBSTITUTE(_xlfn.XLOOKUP("*CFT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Residence",Movimientos!$B$1:$B$1324,"&lt;="&amp;$B14))</f>
        <v>0</v>
      </c>
      <c r="X14" s="24">
        <f>IF(YEAR($B14)*100+MONTH($B14)&lt;--SUBSTITUTE(_xlfn.XLOOKUP("Carmen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Trust",Movimientos!$B$1:$B$1324,"&lt;="&amp;$B14))</f>
        <v>0</v>
      </c>
      <c r="Y14" s="24">
        <f>IF(YEAR($B14)*100+MONTH($B14)&lt;--SUBSTITUTE(_xlfn.XLOOKUP("SIYP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LLC",Movimientos!$B$1:$B$1324,"&lt;="&amp;$B14))</f>
        <v>0</v>
      </c>
      <c r="Z14" s="24">
        <f>IF(YEAR($B14)*100+MONTH($B14)&lt;--SUBSTITUTE(_xlfn.XLOOKUP("Prendamas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SRL",Movimientos!$B$1:$B$1324,"&lt;="&amp;$B14))</f>
        <v>0</v>
      </c>
      <c r="AA14" s="24">
        <f>IF(YEAR($B14)*100+MONTH($B14)&lt;--SUBSTITUTE(_xlfn.XLOOKUP("360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LLC",Movimientos!$B$1:$B$1324,"&lt;="&amp;$B14))</f>
        <v>0</v>
      </c>
      <c r="AB14" s="24">
        <f>IF(YEAR($B14)*100+MONTH($B14)&lt;--SUBSTITUTE(_xlfn.XLOOKUP("Five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",Movimientos!$B$1:$B$1324,"&lt;="&amp;$B14))</f>
        <v>0</v>
      </c>
      <c r="AC14" s="24">
        <f>IF(YEAR($B14)*100+MONTH($B14)&lt;--SUBSTITUTE(_xlfn.XLOOKUP("Nobe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Aparments",Movimientos!$B$1:$B$1324,"&lt;="&amp;$B14))</f>
        <v>0</v>
      </c>
      <c r="AD14" s="24">
        <f>IF(YEAR($B14)*100+MONTH($B14)&lt;--SUBSTITUTE(_xlfn.XLOOKUP("Don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Life",Movimientos!$B$1:$B$1324,"&lt;="&amp;$B14))</f>
        <v>0</v>
      </c>
      <c r="AE14" s="25">
        <v>3301228.1399999997</v>
      </c>
    </row>
    <row r="15" spans="1:31" hidden="1" outlineLevel="1" x14ac:dyDescent="0.3">
      <c r="A15" s="22">
        <f t="shared" si="0"/>
        <v>14</v>
      </c>
      <c r="B15" s="23">
        <v>46156</v>
      </c>
      <c r="C15" s="24">
        <v>165752.81000000023</v>
      </c>
      <c r="D15" s="24">
        <v>59760.159999999938</v>
      </c>
      <c r="E15" s="24">
        <v>1669.89</v>
      </c>
      <c r="F15" s="24">
        <v>832679.66999999981</v>
      </c>
      <c r="G15" s="24">
        <v>952193.18999999925</v>
      </c>
      <c r="H15" s="24">
        <v>121511.38</v>
      </c>
      <c r="I15" s="24">
        <v>13090.369999999997</v>
      </c>
      <c r="J15" s="24">
        <v>2498.3999999999996</v>
      </c>
      <c r="K15" s="24">
        <v>114.3</v>
      </c>
      <c r="L15" s="24">
        <v>2267.7200000000003</v>
      </c>
      <c r="M15" s="24">
        <v>3349.94</v>
      </c>
      <c r="N15" s="24">
        <v>1968.99</v>
      </c>
      <c r="O15" s="24">
        <v>901.34</v>
      </c>
      <c r="P15" s="24">
        <v>1444.08</v>
      </c>
      <c r="Q15" s="24">
        <v>18242.599999999962</v>
      </c>
      <c r="R15" s="24">
        <v>15120.060000000001</v>
      </c>
      <c r="S15" s="24">
        <v>31323.39</v>
      </c>
      <c r="T15" s="24">
        <v>345</v>
      </c>
      <c r="U15" s="24">
        <v>14226.59</v>
      </c>
      <c r="V15" s="24">
        <f>IF(YEAR($B15)*100+MONTH($B15)&lt;--SUBSTITUTE(_xlfn.XLOOKUP("Pacha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LLC",Movimientos!$B$1:$B$1324,"&lt;="&amp;$B15))</f>
        <v>0</v>
      </c>
      <c r="W15" s="24">
        <f>IF(YEAR($B15)*100+MONTH($B15)&lt;--SUBSTITUTE(_xlfn.XLOOKUP("*CFT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Residence",Movimientos!$B$1:$B$1324,"&lt;="&amp;$B15))</f>
        <v>0</v>
      </c>
      <c r="X15" s="24">
        <f>IF(YEAR($B15)*100+MONTH($B15)&lt;--SUBSTITUTE(_xlfn.XLOOKUP("Carmen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Trust",Movimientos!$B$1:$B$1324,"&lt;="&amp;$B15))</f>
        <v>0</v>
      </c>
      <c r="Y15" s="24">
        <f>IF(YEAR($B15)*100+MONTH($B15)&lt;--SUBSTITUTE(_xlfn.XLOOKUP("SIYP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LLC",Movimientos!$B$1:$B$1324,"&lt;="&amp;$B15))</f>
        <v>0</v>
      </c>
      <c r="Z15" s="24">
        <f>IF(YEAR($B15)*100+MONTH($B15)&lt;--SUBSTITUTE(_xlfn.XLOOKUP("Prendamas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SRL",Movimientos!$B$1:$B$1324,"&lt;="&amp;$B15))</f>
        <v>0</v>
      </c>
      <c r="AA15" s="24">
        <f>IF(YEAR($B15)*100+MONTH($B15)&lt;--SUBSTITUTE(_xlfn.XLOOKUP("360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LLC",Movimientos!$B$1:$B$1324,"&lt;="&amp;$B15))</f>
        <v>0</v>
      </c>
      <c r="AB15" s="24">
        <f>IF(YEAR($B15)*100+MONTH($B15)&lt;--SUBSTITUTE(_xlfn.XLOOKUP("Five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",Movimientos!$B$1:$B$1324,"&lt;="&amp;$B15))</f>
        <v>0</v>
      </c>
      <c r="AC15" s="24">
        <f>IF(YEAR($B15)*100+MONTH($B15)&lt;--SUBSTITUTE(_xlfn.XLOOKUP("Nobe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Aparments",Movimientos!$B$1:$B$1324,"&lt;="&amp;$B15))</f>
        <v>0</v>
      </c>
      <c r="AD15" s="24">
        <f>IF(YEAR($B15)*100+MONTH($B15)&lt;--SUBSTITUTE(_xlfn.XLOOKUP("Don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Life",Movimientos!$B$1:$B$1324,"&lt;="&amp;$B15))</f>
        <v>0</v>
      </c>
      <c r="AE15" s="25">
        <v>2238459.8799999994</v>
      </c>
    </row>
    <row r="16" spans="1:31" hidden="1" outlineLevel="1" x14ac:dyDescent="0.3">
      <c r="A16" s="22">
        <f t="shared" si="0"/>
        <v>15</v>
      </c>
      <c r="B16" s="23">
        <v>46157</v>
      </c>
      <c r="C16" s="24">
        <v>165752.81000000023</v>
      </c>
      <c r="D16" s="24">
        <v>59760.159999999938</v>
      </c>
      <c r="E16" s="24">
        <v>1669.89</v>
      </c>
      <c r="F16" s="24">
        <v>832076.20999999985</v>
      </c>
      <c r="G16" s="24">
        <v>952163.77999999933</v>
      </c>
      <c r="H16" s="24">
        <v>121511.38</v>
      </c>
      <c r="I16" s="24">
        <v>13090.369999999997</v>
      </c>
      <c r="J16" s="24">
        <v>2498.3999999999996</v>
      </c>
      <c r="K16" s="24">
        <v>114.3</v>
      </c>
      <c r="L16" s="24">
        <v>2267.7200000000003</v>
      </c>
      <c r="M16" s="24">
        <v>3349.94</v>
      </c>
      <c r="N16" s="24">
        <v>1968.99</v>
      </c>
      <c r="O16" s="24">
        <v>901.34</v>
      </c>
      <c r="P16" s="24">
        <v>1444.08</v>
      </c>
      <c r="Q16" s="24">
        <v>18242.599999999962</v>
      </c>
      <c r="R16" s="24">
        <v>15120.060000000001</v>
      </c>
      <c r="S16" s="24">
        <v>27011.27</v>
      </c>
      <c r="T16" s="24">
        <v>345</v>
      </c>
      <c r="U16" s="24">
        <v>14176.59</v>
      </c>
      <c r="V16" s="24">
        <f>IF(YEAR($B16)*100+MONTH($B16)&lt;--SUBSTITUTE(_xlfn.XLOOKUP("Pacha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LLC",Movimientos!$B$1:$B$1324,"&lt;="&amp;$B16))</f>
        <v>0</v>
      </c>
      <c r="W16" s="24">
        <f>IF(YEAR($B16)*100+MONTH($B16)&lt;--SUBSTITUTE(_xlfn.XLOOKUP("*CFT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Residence",Movimientos!$B$1:$B$1324,"&lt;="&amp;$B16))</f>
        <v>0</v>
      </c>
      <c r="X16" s="24">
        <f>IF(YEAR($B16)*100+MONTH($B16)&lt;--SUBSTITUTE(_xlfn.XLOOKUP("Carmen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Trust",Movimientos!$B$1:$B$1324,"&lt;="&amp;$B16))</f>
        <v>0</v>
      </c>
      <c r="Y16" s="24">
        <f>IF(YEAR($B16)*100+MONTH($B16)&lt;--SUBSTITUTE(_xlfn.XLOOKUP("SIYP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LLC",Movimientos!$B$1:$B$1324,"&lt;="&amp;$B16))</f>
        <v>0</v>
      </c>
      <c r="Z16" s="24">
        <f>IF(YEAR($B16)*100+MONTH($B16)&lt;--SUBSTITUTE(_xlfn.XLOOKUP("Prendamas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SRL",Movimientos!$B$1:$B$1324,"&lt;="&amp;$B16))</f>
        <v>0</v>
      </c>
      <c r="AA16" s="24">
        <f>IF(YEAR($B16)*100+MONTH($B16)&lt;--SUBSTITUTE(_xlfn.XLOOKUP("360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LLC",Movimientos!$B$1:$B$1324,"&lt;="&amp;$B16))</f>
        <v>0</v>
      </c>
      <c r="AB16" s="24">
        <f>IF(YEAR($B16)*100+MONTH($B16)&lt;--SUBSTITUTE(_xlfn.XLOOKUP("Five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",Movimientos!$B$1:$B$1324,"&lt;="&amp;$B16))</f>
        <v>0</v>
      </c>
      <c r="AC16" s="24">
        <f>IF(YEAR($B16)*100+MONTH($B16)&lt;--SUBSTITUTE(_xlfn.XLOOKUP("Nobe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Aparments",Movimientos!$B$1:$B$1324,"&lt;="&amp;$B16))</f>
        <v>0</v>
      </c>
      <c r="AD16" s="24">
        <f>IF(YEAR($B16)*100+MONTH($B16)&lt;--SUBSTITUTE(_xlfn.XLOOKUP("Don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Life",Movimientos!$B$1:$B$1324,"&lt;="&amp;$B16))</f>
        <v>0</v>
      </c>
      <c r="AE16" s="25">
        <v>2233464.8899999997</v>
      </c>
    </row>
    <row r="17" spans="1:31" hidden="1" outlineLevel="1" x14ac:dyDescent="0.3">
      <c r="A17" s="22">
        <f t="shared" si="0"/>
        <v>16</v>
      </c>
      <c r="B17" s="23">
        <v>46158</v>
      </c>
      <c r="C17" s="24">
        <v>165752.81000000023</v>
      </c>
      <c r="D17" s="24">
        <v>59760.159999999938</v>
      </c>
      <c r="E17" s="24">
        <v>1669.89</v>
      </c>
      <c r="F17" s="24">
        <v>832076.20999999985</v>
      </c>
      <c r="G17" s="24">
        <v>952163.77999999933</v>
      </c>
      <c r="H17" s="24">
        <v>121511.38</v>
      </c>
      <c r="I17" s="24">
        <v>13090.369999999997</v>
      </c>
      <c r="J17" s="24">
        <v>2498.3999999999996</v>
      </c>
      <c r="K17" s="24">
        <v>114.3</v>
      </c>
      <c r="L17" s="24">
        <v>2267.7200000000003</v>
      </c>
      <c r="M17" s="24">
        <v>3349.94</v>
      </c>
      <c r="N17" s="24">
        <v>1968.99</v>
      </c>
      <c r="O17" s="24">
        <v>901.34</v>
      </c>
      <c r="P17" s="24">
        <v>1444.08</v>
      </c>
      <c r="Q17" s="24">
        <v>18242.599999999962</v>
      </c>
      <c r="R17" s="24">
        <v>15120.060000000001</v>
      </c>
      <c r="S17" s="24">
        <v>27011.27</v>
      </c>
      <c r="T17" s="24">
        <v>345</v>
      </c>
      <c r="U17" s="24">
        <v>14176.59</v>
      </c>
      <c r="V17" s="24">
        <f>IF(YEAR($B17)*100+MONTH($B17)&lt;--SUBSTITUTE(_xlfn.XLOOKUP("Pacha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LLC",Movimientos!$B$1:$B$1324,"&lt;="&amp;$B17))</f>
        <v>0</v>
      </c>
      <c r="W17" s="24">
        <f>IF(YEAR($B17)*100+MONTH($B17)&lt;--SUBSTITUTE(_xlfn.XLOOKUP("*CFT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Residence",Movimientos!$B$1:$B$1324,"&lt;="&amp;$B17))</f>
        <v>0</v>
      </c>
      <c r="X17" s="24">
        <f>IF(YEAR($B17)*100+MONTH($B17)&lt;--SUBSTITUTE(_xlfn.XLOOKUP("Carmen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Trust",Movimientos!$B$1:$B$1324,"&lt;="&amp;$B17))</f>
        <v>0</v>
      </c>
      <c r="Y17" s="24">
        <f>IF(YEAR($B17)*100+MONTH($B17)&lt;--SUBSTITUTE(_xlfn.XLOOKUP("SIYP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LLC",Movimientos!$B$1:$B$1324,"&lt;="&amp;$B17))</f>
        <v>0</v>
      </c>
      <c r="Z17" s="24">
        <f>IF(YEAR($B17)*100+MONTH($B17)&lt;--SUBSTITUTE(_xlfn.XLOOKUP("Prendamas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SRL",Movimientos!$B$1:$B$1324,"&lt;="&amp;$B17))</f>
        <v>0</v>
      </c>
      <c r="AA17" s="24">
        <f>IF(YEAR($B17)*100+MONTH($B17)&lt;--SUBSTITUTE(_xlfn.XLOOKUP("360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LLC",Movimientos!$B$1:$B$1324,"&lt;="&amp;$B17))</f>
        <v>0</v>
      </c>
      <c r="AB17" s="24">
        <f>IF(YEAR($B17)*100+MONTH($B17)&lt;--SUBSTITUTE(_xlfn.XLOOKUP("Five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",Movimientos!$B$1:$B$1324,"&lt;="&amp;$B17))</f>
        <v>0</v>
      </c>
      <c r="AC17" s="24">
        <f>IF(YEAR($B17)*100+MONTH($B17)&lt;--SUBSTITUTE(_xlfn.XLOOKUP("Nobe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Aparments",Movimientos!$B$1:$B$1324,"&lt;="&amp;$B17))</f>
        <v>0</v>
      </c>
      <c r="AD17" s="24">
        <f>IF(YEAR($B17)*100+MONTH($B17)&lt;--SUBSTITUTE(_xlfn.XLOOKUP("Don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Life",Movimientos!$B$1:$B$1324,"&lt;="&amp;$B17))</f>
        <v>0</v>
      </c>
      <c r="AE17" s="25">
        <v>2233464.8899999997</v>
      </c>
    </row>
    <row r="18" spans="1:31" hidden="1" outlineLevel="1" x14ac:dyDescent="0.3">
      <c r="A18" s="22">
        <f t="shared" si="0"/>
        <v>17</v>
      </c>
      <c r="B18" s="23">
        <v>46159</v>
      </c>
      <c r="C18" s="24">
        <v>165752.81000000023</v>
      </c>
      <c r="D18" s="24">
        <v>59760.159999999938</v>
      </c>
      <c r="E18" s="24">
        <v>1669.89</v>
      </c>
      <c r="F18" s="24">
        <v>832076.20999999985</v>
      </c>
      <c r="G18" s="24">
        <v>952163.77999999933</v>
      </c>
      <c r="H18" s="24">
        <v>121511.38</v>
      </c>
      <c r="I18" s="24">
        <v>13090.369999999997</v>
      </c>
      <c r="J18" s="24">
        <v>2498.3999999999996</v>
      </c>
      <c r="K18" s="24">
        <v>114.3</v>
      </c>
      <c r="L18" s="24">
        <v>2267.7200000000003</v>
      </c>
      <c r="M18" s="24">
        <v>3349.94</v>
      </c>
      <c r="N18" s="24">
        <v>1968.99</v>
      </c>
      <c r="O18" s="24">
        <v>901.34</v>
      </c>
      <c r="P18" s="24">
        <v>1444.08</v>
      </c>
      <c r="Q18" s="24">
        <v>18242.599999999962</v>
      </c>
      <c r="R18" s="24">
        <v>15120.060000000001</v>
      </c>
      <c r="S18" s="24">
        <v>27011.27</v>
      </c>
      <c r="T18" s="24">
        <v>345</v>
      </c>
      <c r="U18" s="24">
        <v>14176.59</v>
      </c>
      <c r="V18" s="24">
        <f>IF(YEAR($B18)*100+MONTH($B18)&lt;--SUBSTITUTE(_xlfn.XLOOKUP("Pacha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LLC",Movimientos!$B$1:$B$1324,"&lt;="&amp;$B18))</f>
        <v>0</v>
      </c>
      <c r="W18" s="24">
        <f>IF(YEAR($B18)*100+MONTH($B18)&lt;--SUBSTITUTE(_xlfn.XLOOKUP("*CFT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Residence",Movimientos!$B$1:$B$1324,"&lt;="&amp;$B18))</f>
        <v>0</v>
      </c>
      <c r="X18" s="24">
        <f>IF(YEAR($B18)*100+MONTH($B18)&lt;--SUBSTITUTE(_xlfn.XLOOKUP("Carmen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Trust",Movimientos!$B$1:$B$1324,"&lt;="&amp;$B18))</f>
        <v>0</v>
      </c>
      <c r="Y18" s="24">
        <f>IF(YEAR($B18)*100+MONTH($B18)&lt;--SUBSTITUTE(_xlfn.XLOOKUP("SIYP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LLC",Movimientos!$B$1:$B$1324,"&lt;="&amp;$B18))</f>
        <v>0</v>
      </c>
      <c r="Z18" s="24">
        <f>IF(YEAR($B18)*100+MONTH($B18)&lt;--SUBSTITUTE(_xlfn.XLOOKUP("Prendamas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SRL",Movimientos!$B$1:$B$1324,"&lt;="&amp;$B18))</f>
        <v>0</v>
      </c>
      <c r="AA18" s="24">
        <f>IF(YEAR($B18)*100+MONTH($B18)&lt;--SUBSTITUTE(_xlfn.XLOOKUP("360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LLC",Movimientos!$B$1:$B$1324,"&lt;="&amp;$B18))</f>
        <v>0</v>
      </c>
      <c r="AB18" s="24">
        <f>IF(YEAR($B18)*100+MONTH($B18)&lt;--SUBSTITUTE(_xlfn.XLOOKUP("Five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",Movimientos!$B$1:$B$1324,"&lt;="&amp;$B18))</f>
        <v>0</v>
      </c>
      <c r="AC18" s="24">
        <f>IF(YEAR($B18)*100+MONTH($B18)&lt;--SUBSTITUTE(_xlfn.XLOOKUP("Nobe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Aparments",Movimientos!$B$1:$B$1324,"&lt;="&amp;$B18))</f>
        <v>0</v>
      </c>
      <c r="AD18" s="24">
        <f>IF(YEAR($B18)*100+MONTH($B18)&lt;--SUBSTITUTE(_xlfn.XLOOKUP("Don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Life",Movimientos!$B$1:$B$1324,"&lt;="&amp;$B18))</f>
        <v>0</v>
      </c>
      <c r="AE18" s="25">
        <v>2233464.8899999997</v>
      </c>
    </row>
    <row r="19" spans="1:31" hidden="1" outlineLevel="1" x14ac:dyDescent="0.3">
      <c r="A19" s="22">
        <f t="shared" si="0"/>
        <v>18</v>
      </c>
      <c r="B19" s="23">
        <v>46160</v>
      </c>
      <c r="C19" s="24">
        <v>165752.81000000023</v>
      </c>
      <c r="D19" s="24">
        <v>59760.159999999938</v>
      </c>
      <c r="E19" s="24">
        <v>1669.89</v>
      </c>
      <c r="F19" s="24">
        <v>832076.20999999985</v>
      </c>
      <c r="G19" s="24">
        <v>928713.30999999924</v>
      </c>
      <c r="H19" s="24">
        <v>121511.38</v>
      </c>
      <c r="I19" s="24">
        <v>13090.369999999997</v>
      </c>
      <c r="J19" s="24">
        <v>2498.3999999999996</v>
      </c>
      <c r="K19" s="24">
        <v>114.3</v>
      </c>
      <c r="L19" s="24">
        <v>2267.7200000000003</v>
      </c>
      <c r="M19" s="24">
        <v>3349.94</v>
      </c>
      <c r="N19" s="24">
        <v>1968.99</v>
      </c>
      <c r="O19" s="24">
        <v>901.34</v>
      </c>
      <c r="P19" s="24">
        <v>1444.08</v>
      </c>
      <c r="Q19" s="24">
        <v>15463.59999999996</v>
      </c>
      <c r="R19" s="24">
        <v>15120.060000000001</v>
      </c>
      <c r="S19" s="24">
        <v>27006.27</v>
      </c>
      <c r="T19" s="24">
        <v>345</v>
      </c>
      <c r="U19" s="24">
        <v>13941.210000000001</v>
      </c>
      <c r="V19" s="24">
        <f>IF(YEAR($B19)*100+MONTH($B19)&lt;--SUBSTITUTE(_xlfn.XLOOKUP("Pacha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LLC",Movimientos!$B$1:$B$1324,"&lt;="&amp;$B19))</f>
        <v>0</v>
      </c>
      <c r="W19" s="24">
        <f>IF(YEAR($B19)*100+MONTH($B19)&lt;--SUBSTITUTE(_xlfn.XLOOKUP("*CFT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Residence",Movimientos!$B$1:$B$1324,"&lt;="&amp;$B19))</f>
        <v>0</v>
      </c>
      <c r="X19" s="24">
        <f>IF(YEAR($B19)*100+MONTH($B19)&lt;--SUBSTITUTE(_xlfn.XLOOKUP("Carmen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Trust",Movimientos!$B$1:$B$1324,"&lt;="&amp;$B19))</f>
        <v>0</v>
      </c>
      <c r="Y19" s="24">
        <f>IF(YEAR($B19)*100+MONTH($B19)&lt;--SUBSTITUTE(_xlfn.XLOOKUP("SIYP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LLC",Movimientos!$B$1:$B$1324,"&lt;="&amp;$B19))</f>
        <v>0</v>
      </c>
      <c r="Z19" s="24">
        <f>IF(YEAR($B19)*100+MONTH($B19)&lt;--SUBSTITUTE(_xlfn.XLOOKUP("Prendamas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SRL",Movimientos!$B$1:$B$1324,"&lt;="&amp;$B19))</f>
        <v>0</v>
      </c>
      <c r="AA19" s="24">
        <f>IF(YEAR($B19)*100+MONTH($B19)&lt;--SUBSTITUTE(_xlfn.XLOOKUP("360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LLC",Movimientos!$B$1:$B$1324,"&lt;="&amp;$B19))</f>
        <v>0</v>
      </c>
      <c r="AB19" s="24">
        <f>IF(YEAR($B19)*100+MONTH($B19)&lt;--SUBSTITUTE(_xlfn.XLOOKUP("Five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",Movimientos!$B$1:$B$1324,"&lt;="&amp;$B19))</f>
        <v>0</v>
      </c>
      <c r="AC19" s="24">
        <f>IF(YEAR($B19)*100+MONTH($B19)&lt;--SUBSTITUTE(_xlfn.XLOOKUP("Nobe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Aparments",Movimientos!$B$1:$B$1324,"&lt;="&amp;$B19))</f>
        <v>0</v>
      </c>
      <c r="AD19" s="24">
        <f>IF(YEAR($B19)*100+MONTH($B19)&lt;--SUBSTITUTE(_xlfn.XLOOKUP("Don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Life",Movimientos!$B$1:$B$1324,"&lt;="&amp;$B19))</f>
        <v>0</v>
      </c>
      <c r="AE19" s="25">
        <v>2206995.0399999996</v>
      </c>
    </row>
    <row r="20" spans="1:31" hidden="1" outlineLevel="1" x14ac:dyDescent="0.3">
      <c r="A20" s="22">
        <f t="shared" si="0"/>
        <v>19</v>
      </c>
      <c r="B20" s="23">
        <v>46161</v>
      </c>
      <c r="C20" s="24">
        <v>815752.81000000029</v>
      </c>
      <c r="D20" s="24">
        <v>59760.159999999938</v>
      </c>
      <c r="E20" s="24">
        <v>1669.89</v>
      </c>
      <c r="F20" s="24">
        <v>832076.20999999985</v>
      </c>
      <c r="G20" s="24">
        <v>925592.77999999933</v>
      </c>
      <c r="H20" s="24">
        <v>91511.38</v>
      </c>
      <c r="I20" s="24">
        <v>13090.369999999997</v>
      </c>
      <c r="J20" s="24">
        <v>2498.3999999999996</v>
      </c>
      <c r="K20" s="24">
        <v>114.3</v>
      </c>
      <c r="L20" s="24">
        <v>2267.7200000000003</v>
      </c>
      <c r="M20" s="24">
        <v>3349.94</v>
      </c>
      <c r="N20" s="24">
        <v>1968.99</v>
      </c>
      <c r="O20" s="24">
        <v>901.34</v>
      </c>
      <c r="P20" s="24">
        <v>1444.08</v>
      </c>
      <c r="Q20" s="24">
        <v>15463.59999999996</v>
      </c>
      <c r="R20" s="24">
        <v>15120.060000000001</v>
      </c>
      <c r="S20" s="24">
        <v>27006.27</v>
      </c>
      <c r="T20" s="24">
        <v>345</v>
      </c>
      <c r="U20" s="24">
        <v>18941.21</v>
      </c>
      <c r="V20" s="24">
        <f>IF(YEAR($B20)*100+MONTH($B20)&lt;--SUBSTITUTE(_xlfn.XLOOKUP("Pacha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LLC",Movimientos!$B$1:$B$1324,"&lt;="&amp;$B20))</f>
        <v>0</v>
      </c>
      <c r="W20" s="24">
        <f>IF(YEAR($B20)*100+MONTH($B20)&lt;--SUBSTITUTE(_xlfn.XLOOKUP("*CFT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Residence",Movimientos!$B$1:$B$1324,"&lt;="&amp;$B20))</f>
        <v>0</v>
      </c>
      <c r="X20" s="24">
        <f>IF(YEAR($B20)*100+MONTH($B20)&lt;--SUBSTITUTE(_xlfn.XLOOKUP("Carmen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Trust",Movimientos!$B$1:$B$1324,"&lt;="&amp;$B20))</f>
        <v>0</v>
      </c>
      <c r="Y20" s="24">
        <f>IF(YEAR($B20)*100+MONTH($B20)&lt;--SUBSTITUTE(_xlfn.XLOOKUP("SIYP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LLC",Movimientos!$B$1:$B$1324,"&lt;="&amp;$B20))</f>
        <v>0</v>
      </c>
      <c r="Z20" s="24">
        <f>IF(YEAR($B20)*100+MONTH($B20)&lt;--SUBSTITUTE(_xlfn.XLOOKUP("Prendamas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SRL",Movimientos!$B$1:$B$1324,"&lt;="&amp;$B20))</f>
        <v>0</v>
      </c>
      <c r="AA20" s="24">
        <f>IF(YEAR($B20)*100+MONTH($B20)&lt;--SUBSTITUTE(_xlfn.XLOOKUP("360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LLC",Movimientos!$B$1:$B$1324,"&lt;="&amp;$B20))</f>
        <v>0</v>
      </c>
      <c r="AB20" s="24">
        <f>IF(YEAR($B20)*100+MONTH($B20)&lt;--SUBSTITUTE(_xlfn.XLOOKUP("Five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",Movimientos!$B$1:$B$1324,"&lt;="&amp;$B20))</f>
        <v>0</v>
      </c>
      <c r="AC20" s="24">
        <f>IF(YEAR($B20)*100+MONTH($B20)&lt;--SUBSTITUTE(_xlfn.XLOOKUP("Nobe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Aparments",Movimientos!$B$1:$B$1324,"&lt;="&amp;$B20))</f>
        <v>0</v>
      </c>
      <c r="AD20" s="24">
        <f>IF(YEAR($B20)*100+MONTH($B20)&lt;--SUBSTITUTE(_xlfn.XLOOKUP("Don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Life",Movimientos!$B$1:$B$1324,"&lt;="&amp;$B20))</f>
        <v>0</v>
      </c>
      <c r="AE20" s="25">
        <v>2828874.51</v>
      </c>
    </row>
    <row r="21" spans="1:31" hidden="1" outlineLevel="1" x14ac:dyDescent="0.3">
      <c r="A21" s="22">
        <f t="shared" si="0"/>
        <v>20</v>
      </c>
      <c r="B21" s="23">
        <v>46162</v>
      </c>
      <c r="C21" s="24">
        <v>142321.80000000013</v>
      </c>
      <c r="D21" s="24">
        <v>59760.159999999938</v>
      </c>
      <c r="E21" s="24">
        <v>1669.89</v>
      </c>
      <c r="F21" s="24">
        <v>832076.20999999985</v>
      </c>
      <c r="G21" s="24">
        <v>981189.87999999931</v>
      </c>
      <c r="H21" s="24">
        <v>141496.38</v>
      </c>
      <c r="I21" s="24">
        <v>13090.369999999997</v>
      </c>
      <c r="J21" s="24">
        <v>2498.3999999999996</v>
      </c>
      <c r="K21" s="24">
        <v>114.3</v>
      </c>
      <c r="L21" s="24">
        <v>2267.7200000000003</v>
      </c>
      <c r="M21" s="24">
        <v>3349.94</v>
      </c>
      <c r="N21" s="24">
        <v>1968.99</v>
      </c>
      <c r="O21" s="24">
        <v>901.34</v>
      </c>
      <c r="P21" s="24">
        <v>1444.08</v>
      </c>
      <c r="Q21" s="24">
        <v>15463.59999999996</v>
      </c>
      <c r="R21" s="24">
        <v>15120.060000000001</v>
      </c>
      <c r="S21" s="24">
        <v>29206.27</v>
      </c>
      <c r="T21" s="24">
        <v>345</v>
      </c>
      <c r="U21" s="24">
        <v>8168.0700000000006</v>
      </c>
      <c r="V21" s="24">
        <f>IF(YEAR($B21)*100+MONTH($B21)&lt;--SUBSTITUTE(_xlfn.XLOOKUP("Pacha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LLC",Movimientos!$B$1:$B$1324,"&lt;="&amp;$B21))</f>
        <v>0</v>
      </c>
      <c r="W21" s="24">
        <f>IF(YEAR($B21)*100+MONTH($B21)&lt;--SUBSTITUTE(_xlfn.XLOOKUP("*CFT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Residence",Movimientos!$B$1:$B$1324,"&lt;="&amp;$B21))</f>
        <v>0</v>
      </c>
      <c r="X21" s="24">
        <f>IF(YEAR($B21)*100+MONTH($B21)&lt;--SUBSTITUTE(_xlfn.XLOOKUP("Carmen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Trust",Movimientos!$B$1:$B$1324,"&lt;="&amp;$B21))</f>
        <v>0</v>
      </c>
      <c r="Y21" s="24">
        <f>IF(YEAR($B21)*100+MONTH($B21)&lt;--SUBSTITUTE(_xlfn.XLOOKUP("SIYP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LLC",Movimientos!$B$1:$B$1324,"&lt;="&amp;$B21))</f>
        <v>0</v>
      </c>
      <c r="Z21" s="24">
        <f>IF(YEAR($B21)*100+MONTH($B21)&lt;--SUBSTITUTE(_xlfn.XLOOKUP("Prendamas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SRL",Movimientos!$B$1:$B$1324,"&lt;="&amp;$B21))</f>
        <v>0</v>
      </c>
      <c r="AA21" s="24">
        <f>IF(YEAR($B21)*100+MONTH($B21)&lt;--SUBSTITUTE(_xlfn.XLOOKUP("360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LLC",Movimientos!$B$1:$B$1324,"&lt;="&amp;$B21))</f>
        <v>0</v>
      </c>
      <c r="AB21" s="24">
        <f>IF(YEAR($B21)*100+MONTH($B21)&lt;--SUBSTITUTE(_xlfn.XLOOKUP("Five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",Movimientos!$B$1:$B$1324,"&lt;="&amp;$B21))</f>
        <v>0</v>
      </c>
      <c r="AC21" s="24">
        <f>IF(YEAR($B21)*100+MONTH($B21)&lt;--SUBSTITUTE(_xlfn.XLOOKUP("Nobe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Aparments",Movimientos!$B$1:$B$1324,"&lt;="&amp;$B21))</f>
        <v>0</v>
      </c>
      <c r="AD21" s="24">
        <f>IF(YEAR($B21)*100+MONTH($B21)&lt;--SUBSTITUTE(_xlfn.XLOOKUP("Don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Life",Movimientos!$B$1:$B$1324,"&lt;="&amp;$B21))</f>
        <v>0</v>
      </c>
      <c r="AE21" s="25">
        <v>2252452.4599999995</v>
      </c>
    </row>
    <row r="22" spans="1:31" hidden="1" outlineLevel="1" x14ac:dyDescent="0.3">
      <c r="A22" s="22">
        <f t="shared" si="0"/>
        <v>21</v>
      </c>
      <c r="B22" s="23">
        <v>46163</v>
      </c>
      <c r="C22" s="24">
        <v>142321.80000000013</v>
      </c>
      <c r="D22" s="24">
        <v>659760.15999999992</v>
      </c>
      <c r="E22" s="24">
        <v>1669.89</v>
      </c>
      <c r="F22" s="24">
        <v>497076.20999999985</v>
      </c>
      <c r="G22" s="24">
        <v>981189.87999999931</v>
      </c>
      <c r="H22" s="24">
        <v>141496.38</v>
      </c>
      <c r="I22" s="24">
        <v>88090.37</v>
      </c>
      <c r="J22" s="24">
        <v>2498.3999999999996</v>
      </c>
      <c r="K22" s="24">
        <v>114.3</v>
      </c>
      <c r="L22" s="24">
        <v>2267.7200000000003</v>
      </c>
      <c r="M22" s="24">
        <v>3349.94</v>
      </c>
      <c r="N22" s="24">
        <v>1968.99</v>
      </c>
      <c r="O22" s="24">
        <v>901.34</v>
      </c>
      <c r="P22" s="24">
        <v>1444.08</v>
      </c>
      <c r="Q22" s="24">
        <v>15463.59999999996</v>
      </c>
      <c r="R22" s="24">
        <v>15120.060000000001</v>
      </c>
      <c r="S22" s="24">
        <v>29206.27</v>
      </c>
      <c r="T22" s="24">
        <v>345</v>
      </c>
      <c r="U22" s="24">
        <v>8168.0700000000006</v>
      </c>
      <c r="V22" s="24">
        <f>IF(YEAR($B22)*100+MONTH($B22)&lt;--SUBSTITUTE(_xlfn.XLOOKUP("Pacha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LLC",Movimientos!$B$1:$B$1324,"&lt;="&amp;$B22))</f>
        <v>0</v>
      </c>
      <c r="W22" s="24">
        <f>IF(YEAR($B22)*100+MONTH($B22)&lt;--SUBSTITUTE(_xlfn.XLOOKUP("*CFT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Residence",Movimientos!$B$1:$B$1324,"&lt;="&amp;$B22))</f>
        <v>0</v>
      </c>
      <c r="X22" s="24">
        <f>IF(YEAR($B22)*100+MONTH($B22)&lt;--SUBSTITUTE(_xlfn.XLOOKUP("Carmen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Trust",Movimientos!$B$1:$B$1324,"&lt;="&amp;$B22))</f>
        <v>0</v>
      </c>
      <c r="Y22" s="24">
        <f>IF(YEAR($B22)*100+MONTH($B22)&lt;--SUBSTITUTE(_xlfn.XLOOKUP("SIYP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LLC",Movimientos!$B$1:$B$1324,"&lt;="&amp;$B22))</f>
        <v>0</v>
      </c>
      <c r="Z22" s="24">
        <f>IF(YEAR($B22)*100+MONTH($B22)&lt;--SUBSTITUTE(_xlfn.XLOOKUP("Prendamas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SRL",Movimientos!$B$1:$B$1324,"&lt;="&amp;$B22))</f>
        <v>0</v>
      </c>
      <c r="AA22" s="24">
        <f>IF(YEAR($B22)*100+MONTH($B22)&lt;--SUBSTITUTE(_xlfn.XLOOKUP("360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LLC",Movimientos!$B$1:$B$1324,"&lt;="&amp;$B22))</f>
        <v>0</v>
      </c>
      <c r="AB22" s="24">
        <f>IF(YEAR($B22)*100+MONTH($B22)&lt;--SUBSTITUTE(_xlfn.XLOOKUP("Five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",Movimientos!$B$1:$B$1324,"&lt;="&amp;$B22))</f>
        <v>0</v>
      </c>
      <c r="AC22" s="24">
        <f>IF(YEAR($B22)*100+MONTH($B22)&lt;--SUBSTITUTE(_xlfn.XLOOKUP("Nobe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Aparments",Movimientos!$B$1:$B$1324,"&lt;="&amp;$B22))</f>
        <v>0</v>
      </c>
      <c r="AD22" s="24">
        <f>IF(YEAR($B22)*100+MONTH($B22)&lt;--SUBSTITUTE(_xlfn.XLOOKUP("Don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Life",Movimientos!$B$1:$B$1324,"&lt;="&amp;$B22))</f>
        <v>0</v>
      </c>
      <c r="AE22" s="25">
        <v>2592452.4599999995</v>
      </c>
    </row>
    <row r="23" spans="1:31" hidden="1" outlineLevel="1" x14ac:dyDescent="0.3">
      <c r="A23" s="22">
        <f t="shared" si="0"/>
        <v>22</v>
      </c>
      <c r="B23" s="23">
        <v>46164</v>
      </c>
      <c r="C23" s="24">
        <v>142321.80000000013</v>
      </c>
      <c r="D23" s="24">
        <v>659760.15999999992</v>
      </c>
      <c r="E23" s="24">
        <v>1669.89</v>
      </c>
      <c r="F23" s="24">
        <v>497076.20999999985</v>
      </c>
      <c r="G23" s="24">
        <v>980426.88999999932</v>
      </c>
      <c r="H23" s="24">
        <v>141496.38</v>
      </c>
      <c r="I23" s="24">
        <v>88090.37</v>
      </c>
      <c r="J23" s="24">
        <v>2498.3999999999996</v>
      </c>
      <c r="K23" s="24">
        <v>114.3</v>
      </c>
      <c r="L23" s="24">
        <v>2267.7200000000003</v>
      </c>
      <c r="M23" s="24">
        <v>3349.94</v>
      </c>
      <c r="N23" s="24">
        <v>1968.99</v>
      </c>
      <c r="O23" s="24">
        <v>901.34</v>
      </c>
      <c r="P23" s="24">
        <v>1444.08</v>
      </c>
      <c r="Q23" s="24">
        <v>15463.59999999996</v>
      </c>
      <c r="R23" s="24">
        <v>15120.060000000001</v>
      </c>
      <c r="S23" s="24">
        <v>29206.27</v>
      </c>
      <c r="T23" s="24">
        <v>345</v>
      </c>
      <c r="U23" s="24">
        <v>8168.0700000000006</v>
      </c>
      <c r="V23" s="24">
        <f>IF(YEAR($B23)*100+MONTH($B23)&lt;--SUBSTITUTE(_xlfn.XLOOKUP("Pacha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LLC",Movimientos!$B$1:$B$1324,"&lt;="&amp;$B23))</f>
        <v>0</v>
      </c>
      <c r="W23" s="24">
        <f>IF(YEAR($B23)*100+MONTH($B23)&lt;--SUBSTITUTE(_xlfn.XLOOKUP("*CFT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Residence",Movimientos!$B$1:$B$1324,"&lt;="&amp;$B23))</f>
        <v>0</v>
      </c>
      <c r="X23" s="24">
        <f>IF(YEAR($B23)*100+MONTH($B23)&lt;--SUBSTITUTE(_xlfn.XLOOKUP("Carmen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Trust",Movimientos!$B$1:$B$1324,"&lt;="&amp;$B23))</f>
        <v>0</v>
      </c>
      <c r="Y23" s="24">
        <f>IF(YEAR($B23)*100+MONTH($B23)&lt;--SUBSTITUTE(_xlfn.XLOOKUP("SIYP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LLC",Movimientos!$B$1:$B$1324,"&lt;="&amp;$B23))</f>
        <v>0</v>
      </c>
      <c r="Z23" s="24">
        <f>IF(YEAR($B23)*100+MONTH($B23)&lt;--SUBSTITUTE(_xlfn.XLOOKUP("Prendamas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SRL",Movimientos!$B$1:$B$1324,"&lt;="&amp;$B23))</f>
        <v>0</v>
      </c>
      <c r="AA23" s="24">
        <f>IF(YEAR($B23)*100+MONTH($B23)&lt;--SUBSTITUTE(_xlfn.XLOOKUP("360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LLC",Movimientos!$B$1:$B$1324,"&lt;="&amp;$B23))</f>
        <v>0</v>
      </c>
      <c r="AB23" s="24">
        <f>IF(YEAR($B23)*100+MONTH($B23)&lt;--SUBSTITUTE(_xlfn.XLOOKUP("Five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",Movimientos!$B$1:$B$1324,"&lt;="&amp;$B23))</f>
        <v>0</v>
      </c>
      <c r="AC23" s="24">
        <f>IF(YEAR($B23)*100+MONTH($B23)&lt;--SUBSTITUTE(_xlfn.XLOOKUP("Nobe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Aparments",Movimientos!$B$1:$B$1324,"&lt;="&amp;$B23))</f>
        <v>0</v>
      </c>
      <c r="AD23" s="24">
        <f>IF(YEAR($B23)*100+MONTH($B23)&lt;--SUBSTITUTE(_xlfn.XLOOKUP("Don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Life",Movimientos!$B$1:$B$1324,"&lt;="&amp;$B23))</f>
        <v>0</v>
      </c>
      <c r="AE23" s="25">
        <v>2591689.4699999993</v>
      </c>
    </row>
    <row r="24" spans="1:31" hidden="1" outlineLevel="1" x14ac:dyDescent="0.3">
      <c r="A24" s="22">
        <f t="shared" si="0"/>
        <v>23</v>
      </c>
      <c r="B24" s="23">
        <v>46165</v>
      </c>
      <c r="C24" s="24">
        <v>142321.80000000013</v>
      </c>
      <c r="D24" s="24">
        <v>659760.15999999992</v>
      </c>
      <c r="E24" s="24">
        <v>1669.89</v>
      </c>
      <c r="F24" s="24">
        <v>497076.20999999985</v>
      </c>
      <c r="G24" s="24">
        <v>980426.88999999932</v>
      </c>
      <c r="H24" s="24">
        <v>141496.38</v>
      </c>
      <c r="I24" s="24">
        <v>88090.37</v>
      </c>
      <c r="J24" s="24">
        <v>2498.3999999999996</v>
      </c>
      <c r="K24" s="24">
        <v>114.3</v>
      </c>
      <c r="L24" s="24">
        <v>2267.7200000000003</v>
      </c>
      <c r="M24" s="24">
        <v>3349.94</v>
      </c>
      <c r="N24" s="24">
        <v>1968.99</v>
      </c>
      <c r="O24" s="24">
        <v>901.34</v>
      </c>
      <c r="P24" s="24">
        <v>1444.08</v>
      </c>
      <c r="Q24" s="24">
        <v>15463.59999999996</v>
      </c>
      <c r="R24" s="24">
        <v>15120.060000000001</v>
      </c>
      <c r="S24" s="24">
        <v>29206.27</v>
      </c>
      <c r="T24" s="24">
        <v>345</v>
      </c>
      <c r="U24" s="24">
        <v>8168.0700000000006</v>
      </c>
      <c r="V24" s="24">
        <f>IF(YEAR($B24)*100+MONTH($B24)&lt;--SUBSTITUTE(_xlfn.XLOOKUP("Pacha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LLC",Movimientos!$B$1:$B$1324,"&lt;="&amp;$B24))</f>
        <v>0</v>
      </c>
      <c r="W24" s="24">
        <f>IF(YEAR($B24)*100+MONTH($B24)&lt;--SUBSTITUTE(_xlfn.XLOOKUP("*CFT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Residence",Movimientos!$B$1:$B$1324,"&lt;="&amp;$B24))</f>
        <v>0</v>
      </c>
      <c r="X24" s="24">
        <f>IF(YEAR($B24)*100+MONTH($B24)&lt;--SUBSTITUTE(_xlfn.XLOOKUP("Carmen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Trust",Movimientos!$B$1:$B$1324,"&lt;="&amp;$B24))</f>
        <v>0</v>
      </c>
      <c r="Y24" s="24">
        <f>IF(YEAR($B24)*100+MONTH($B24)&lt;--SUBSTITUTE(_xlfn.XLOOKUP("SIYP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LLC",Movimientos!$B$1:$B$1324,"&lt;="&amp;$B24))</f>
        <v>0</v>
      </c>
      <c r="Z24" s="24">
        <f>IF(YEAR($B24)*100+MONTH($B24)&lt;--SUBSTITUTE(_xlfn.XLOOKUP("Prendamas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SRL",Movimientos!$B$1:$B$1324,"&lt;="&amp;$B24))</f>
        <v>0</v>
      </c>
      <c r="AA24" s="24">
        <f>IF(YEAR($B24)*100+MONTH($B24)&lt;--SUBSTITUTE(_xlfn.XLOOKUP("360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LLC",Movimientos!$B$1:$B$1324,"&lt;="&amp;$B24))</f>
        <v>0</v>
      </c>
      <c r="AB24" s="24">
        <f>IF(YEAR($B24)*100+MONTH($B24)&lt;--SUBSTITUTE(_xlfn.XLOOKUP("Five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",Movimientos!$B$1:$B$1324,"&lt;="&amp;$B24))</f>
        <v>0</v>
      </c>
      <c r="AC24" s="24">
        <f>IF(YEAR($B24)*100+MONTH($B24)&lt;--SUBSTITUTE(_xlfn.XLOOKUP("Nobe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Aparments",Movimientos!$B$1:$B$1324,"&lt;="&amp;$B24))</f>
        <v>0</v>
      </c>
      <c r="AD24" s="24">
        <f>IF(YEAR($B24)*100+MONTH($B24)&lt;--SUBSTITUTE(_xlfn.XLOOKUP("Don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Life",Movimientos!$B$1:$B$1324,"&lt;="&amp;$B24))</f>
        <v>0</v>
      </c>
      <c r="AE24" s="25">
        <v>2591689.4699999993</v>
      </c>
    </row>
    <row r="25" spans="1:31" hidden="1" outlineLevel="1" x14ac:dyDescent="0.3">
      <c r="A25" s="22">
        <f t="shared" si="0"/>
        <v>24</v>
      </c>
      <c r="B25" s="23">
        <v>46166</v>
      </c>
      <c r="C25" s="24">
        <v>142321.80000000013</v>
      </c>
      <c r="D25" s="24">
        <v>659760.15999999992</v>
      </c>
      <c r="E25" s="24">
        <v>1669.89</v>
      </c>
      <c r="F25" s="24">
        <v>497076.20999999985</v>
      </c>
      <c r="G25" s="24">
        <v>980426.88999999932</v>
      </c>
      <c r="H25" s="24">
        <v>141496.38</v>
      </c>
      <c r="I25" s="24">
        <v>88090.37</v>
      </c>
      <c r="J25" s="24">
        <v>2498.3999999999996</v>
      </c>
      <c r="K25" s="24">
        <v>114.3</v>
      </c>
      <c r="L25" s="24">
        <v>2267.7200000000003</v>
      </c>
      <c r="M25" s="24">
        <v>3349.94</v>
      </c>
      <c r="N25" s="24">
        <v>1968.99</v>
      </c>
      <c r="O25" s="24">
        <v>901.34</v>
      </c>
      <c r="P25" s="24">
        <v>1444.08</v>
      </c>
      <c r="Q25" s="24">
        <v>15463.59999999996</v>
      </c>
      <c r="R25" s="24">
        <v>15120.060000000001</v>
      </c>
      <c r="S25" s="24">
        <v>29206.27</v>
      </c>
      <c r="T25" s="24">
        <v>345</v>
      </c>
      <c r="U25" s="24">
        <v>8168.0700000000006</v>
      </c>
      <c r="V25" s="24">
        <f>IF(YEAR($B25)*100+MONTH($B25)&lt;--SUBSTITUTE(_xlfn.XLOOKUP("Pacha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LLC",Movimientos!$B$1:$B$1324,"&lt;="&amp;$B25))</f>
        <v>0</v>
      </c>
      <c r="W25" s="24">
        <f>IF(YEAR($B25)*100+MONTH($B25)&lt;--SUBSTITUTE(_xlfn.XLOOKUP("*CFT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Residence",Movimientos!$B$1:$B$1324,"&lt;="&amp;$B25))</f>
        <v>0</v>
      </c>
      <c r="X25" s="24">
        <f>IF(YEAR($B25)*100+MONTH($B25)&lt;--SUBSTITUTE(_xlfn.XLOOKUP("Carmen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Trust",Movimientos!$B$1:$B$1324,"&lt;="&amp;$B25))</f>
        <v>0</v>
      </c>
      <c r="Y25" s="24">
        <f>IF(YEAR($B25)*100+MONTH($B25)&lt;--SUBSTITUTE(_xlfn.XLOOKUP("SIYP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LLC",Movimientos!$B$1:$B$1324,"&lt;="&amp;$B25))</f>
        <v>0</v>
      </c>
      <c r="Z25" s="24">
        <f>IF(YEAR($B25)*100+MONTH($B25)&lt;--SUBSTITUTE(_xlfn.XLOOKUP("Prendamas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SRL",Movimientos!$B$1:$B$1324,"&lt;="&amp;$B25))</f>
        <v>0</v>
      </c>
      <c r="AA25" s="24">
        <f>IF(YEAR($B25)*100+MONTH($B25)&lt;--SUBSTITUTE(_xlfn.XLOOKUP("360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LLC",Movimientos!$B$1:$B$1324,"&lt;="&amp;$B25))</f>
        <v>0</v>
      </c>
      <c r="AB25" s="24">
        <f>IF(YEAR($B25)*100+MONTH($B25)&lt;--SUBSTITUTE(_xlfn.XLOOKUP("Five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",Movimientos!$B$1:$B$1324,"&lt;="&amp;$B25))</f>
        <v>0</v>
      </c>
      <c r="AC25" s="24">
        <f>IF(YEAR($B25)*100+MONTH($B25)&lt;--SUBSTITUTE(_xlfn.XLOOKUP("Nobe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Aparments",Movimientos!$B$1:$B$1324,"&lt;="&amp;$B25))</f>
        <v>0</v>
      </c>
      <c r="AD25" s="24">
        <f>IF(YEAR($B25)*100+MONTH($B25)&lt;--SUBSTITUTE(_xlfn.XLOOKUP("Don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Life",Movimientos!$B$1:$B$1324,"&lt;="&amp;$B25))</f>
        <v>0</v>
      </c>
      <c r="AE25" s="25">
        <v>2591689.4699999993</v>
      </c>
    </row>
    <row r="26" spans="1:31" hidden="1" outlineLevel="1" x14ac:dyDescent="0.3">
      <c r="A26" s="22">
        <f t="shared" si="0"/>
        <v>25</v>
      </c>
      <c r="B26" s="23">
        <v>46167</v>
      </c>
      <c r="C26" s="24">
        <v>142321.80000000013</v>
      </c>
      <c r="D26" s="24">
        <v>659760.15999999992</v>
      </c>
      <c r="E26" s="24">
        <v>1669.89</v>
      </c>
      <c r="F26" s="24">
        <v>497076.20999999985</v>
      </c>
      <c r="G26" s="24">
        <v>980426.88999999932</v>
      </c>
      <c r="H26" s="24">
        <v>141496.38</v>
      </c>
      <c r="I26" s="24">
        <v>88090.37</v>
      </c>
      <c r="J26" s="24">
        <v>2498.3999999999996</v>
      </c>
      <c r="K26" s="24">
        <v>114.3</v>
      </c>
      <c r="L26" s="24">
        <v>2267.7200000000003</v>
      </c>
      <c r="M26" s="24">
        <v>3349.94</v>
      </c>
      <c r="N26" s="24">
        <v>1968.99</v>
      </c>
      <c r="O26" s="24">
        <v>901.34</v>
      </c>
      <c r="P26" s="24">
        <v>1444.08</v>
      </c>
      <c r="Q26" s="24">
        <v>15463.59999999996</v>
      </c>
      <c r="R26" s="24">
        <v>15120.060000000001</v>
      </c>
      <c r="S26" s="24">
        <v>29206.27</v>
      </c>
      <c r="T26" s="24">
        <v>345</v>
      </c>
      <c r="U26" s="24">
        <v>8168.0700000000006</v>
      </c>
      <c r="V26" s="24">
        <f>IF(YEAR($B26)*100+MONTH($B26)&lt;--SUBSTITUTE(_xlfn.XLOOKUP("Pacha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LLC",Movimientos!$B$1:$B$1324,"&lt;="&amp;$B26))</f>
        <v>0</v>
      </c>
      <c r="W26" s="24">
        <f>IF(YEAR($B26)*100+MONTH($B26)&lt;--SUBSTITUTE(_xlfn.XLOOKUP("*CFT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Residence",Movimientos!$B$1:$B$1324,"&lt;="&amp;$B26))</f>
        <v>0</v>
      </c>
      <c r="X26" s="24">
        <f>IF(YEAR($B26)*100+MONTH($B26)&lt;--SUBSTITUTE(_xlfn.XLOOKUP("Carmen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Trust",Movimientos!$B$1:$B$1324,"&lt;="&amp;$B26))</f>
        <v>0</v>
      </c>
      <c r="Y26" s="24">
        <f>IF(YEAR($B26)*100+MONTH($B26)&lt;--SUBSTITUTE(_xlfn.XLOOKUP("SIYP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LLC",Movimientos!$B$1:$B$1324,"&lt;="&amp;$B26))</f>
        <v>0</v>
      </c>
      <c r="Z26" s="24">
        <f>IF(YEAR($B26)*100+MONTH($B26)&lt;--SUBSTITUTE(_xlfn.XLOOKUP("Prendamas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SRL",Movimientos!$B$1:$B$1324,"&lt;="&amp;$B26))</f>
        <v>0</v>
      </c>
      <c r="AA26" s="24">
        <f>IF(YEAR($B26)*100+MONTH($B26)&lt;--SUBSTITUTE(_xlfn.XLOOKUP("360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LLC",Movimientos!$B$1:$B$1324,"&lt;="&amp;$B26))</f>
        <v>0</v>
      </c>
      <c r="AB26" s="24">
        <f>IF(YEAR($B26)*100+MONTH($B26)&lt;--SUBSTITUTE(_xlfn.XLOOKUP("Five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",Movimientos!$B$1:$B$1324,"&lt;="&amp;$B26))</f>
        <v>0</v>
      </c>
      <c r="AC26" s="24">
        <f>IF(YEAR($B26)*100+MONTH($B26)&lt;--SUBSTITUTE(_xlfn.XLOOKUP("Nobe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Aparments",Movimientos!$B$1:$B$1324,"&lt;="&amp;$B26))</f>
        <v>0</v>
      </c>
      <c r="AD26" s="24">
        <f>IF(YEAR($B26)*100+MONTH($B26)&lt;--SUBSTITUTE(_xlfn.XLOOKUP("Don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Life",Movimientos!$B$1:$B$1324,"&lt;="&amp;$B26))</f>
        <v>0</v>
      </c>
      <c r="AE26" s="25">
        <v>2591689.4699999993</v>
      </c>
    </row>
    <row r="27" spans="1:31" hidden="1" outlineLevel="1" x14ac:dyDescent="0.3">
      <c r="A27" s="22">
        <f t="shared" si="0"/>
        <v>26</v>
      </c>
      <c r="B27" s="23">
        <v>46168</v>
      </c>
      <c r="C27" s="24">
        <v>253154.33000000013</v>
      </c>
      <c r="D27" s="24">
        <v>1259760.1600000001</v>
      </c>
      <c r="E27" s="24">
        <v>1669.89</v>
      </c>
      <c r="F27" s="24">
        <v>497076.20999999985</v>
      </c>
      <c r="G27" s="24">
        <v>980426.88999999932</v>
      </c>
      <c r="H27" s="24">
        <v>141496.38</v>
      </c>
      <c r="I27" s="24">
        <v>88090.37</v>
      </c>
      <c r="J27" s="24">
        <v>2498.3999999999996</v>
      </c>
      <c r="K27" s="24">
        <v>114.3</v>
      </c>
      <c r="L27" s="24">
        <v>2267.7200000000003</v>
      </c>
      <c r="M27" s="24">
        <v>3349.94</v>
      </c>
      <c r="N27" s="24">
        <v>1968.99</v>
      </c>
      <c r="O27" s="24">
        <v>901.34</v>
      </c>
      <c r="P27" s="24">
        <v>1444.08</v>
      </c>
      <c r="Q27" s="24">
        <v>15463.59999999996</v>
      </c>
      <c r="R27" s="24">
        <v>15120.060000000001</v>
      </c>
      <c r="S27" s="24">
        <v>29206.27</v>
      </c>
      <c r="T27" s="24">
        <v>345</v>
      </c>
      <c r="U27" s="24">
        <v>8168.0700000000006</v>
      </c>
      <c r="V27" s="24">
        <f>IF(YEAR($B27)*100+MONTH($B27)&lt;--SUBSTITUTE(_xlfn.XLOOKUP("Pacha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LLC",Movimientos!$B$1:$B$1324,"&lt;="&amp;$B27))</f>
        <v>0</v>
      </c>
      <c r="W27" s="24">
        <f>IF(YEAR($B27)*100+MONTH($B27)&lt;--SUBSTITUTE(_xlfn.XLOOKUP("*CFT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Residence",Movimientos!$B$1:$B$1324,"&lt;="&amp;$B27))</f>
        <v>0</v>
      </c>
      <c r="X27" s="24">
        <f>IF(YEAR($B27)*100+MONTH($B27)&lt;--SUBSTITUTE(_xlfn.XLOOKUP("Carmen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Trust",Movimientos!$B$1:$B$1324,"&lt;="&amp;$B27))</f>
        <v>0</v>
      </c>
      <c r="Y27" s="24">
        <f>IF(YEAR($B27)*100+MONTH($B27)&lt;--SUBSTITUTE(_xlfn.XLOOKUP("SIYP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LLC",Movimientos!$B$1:$B$1324,"&lt;="&amp;$B27))</f>
        <v>0</v>
      </c>
      <c r="Z27" s="24">
        <f>IF(YEAR($B27)*100+MONTH($B27)&lt;--SUBSTITUTE(_xlfn.XLOOKUP("Prendamas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SRL",Movimientos!$B$1:$B$1324,"&lt;="&amp;$B27))</f>
        <v>0</v>
      </c>
      <c r="AA27" s="24">
        <f>IF(YEAR($B27)*100+MONTH($B27)&lt;--SUBSTITUTE(_xlfn.XLOOKUP("360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LLC",Movimientos!$B$1:$B$1324,"&lt;="&amp;$B27))</f>
        <v>0</v>
      </c>
      <c r="AB27" s="24">
        <f>IF(YEAR($B27)*100+MONTH($B27)&lt;--SUBSTITUTE(_xlfn.XLOOKUP("Five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",Movimientos!$B$1:$B$1324,"&lt;="&amp;$B27))</f>
        <v>0</v>
      </c>
      <c r="AC27" s="24">
        <f>IF(YEAR($B27)*100+MONTH($B27)&lt;--SUBSTITUTE(_xlfn.XLOOKUP("Nobe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Aparments",Movimientos!$B$1:$B$1324,"&lt;="&amp;$B27))</f>
        <v>0</v>
      </c>
      <c r="AD27" s="24">
        <f>IF(YEAR($B27)*100+MONTH($B27)&lt;--SUBSTITUTE(_xlfn.XLOOKUP("Don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Life",Movimientos!$B$1:$B$1324,"&lt;="&amp;$B27))</f>
        <v>0</v>
      </c>
      <c r="AE27" s="25">
        <v>3302521.9999999991</v>
      </c>
    </row>
    <row r="28" spans="1:31" hidden="1" outlineLevel="1" x14ac:dyDescent="0.3">
      <c r="A28" s="22">
        <f t="shared" si="0"/>
        <v>27</v>
      </c>
      <c r="B28" s="23">
        <v>46169</v>
      </c>
      <c r="C28" s="24">
        <v>259371.70000000013</v>
      </c>
      <c r="D28" s="24">
        <v>1259760.1600000001</v>
      </c>
      <c r="E28" s="24">
        <v>1669.89</v>
      </c>
      <c r="F28" s="24">
        <v>514616.73999999987</v>
      </c>
      <c r="G28" s="24">
        <v>980426.88999999932</v>
      </c>
      <c r="H28" s="24">
        <v>131496.38</v>
      </c>
      <c r="I28" s="24">
        <v>88090.37</v>
      </c>
      <c r="J28" s="24">
        <v>2498.3999999999996</v>
      </c>
      <c r="K28" s="24">
        <v>114.3</v>
      </c>
      <c r="L28" s="24">
        <v>2267.7200000000003</v>
      </c>
      <c r="M28" s="24">
        <v>3349.94</v>
      </c>
      <c r="N28" s="24">
        <v>1968.99</v>
      </c>
      <c r="O28" s="24">
        <v>901.34</v>
      </c>
      <c r="P28" s="24">
        <v>1444.08</v>
      </c>
      <c r="Q28" s="24">
        <v>15463.59999999996</v>
      </c>
      <c r="R28" s="24">
        <v>15120.060000000001</v>
      </c>
      <c r="S28" s="24">
        <v>33606.270000000004</v>
      </c>
      <c r="T28" s="24">
        <v>345</v>
      </c>
      <c r="U28" s="24">
        <v>17588.03</v>
      </c>
      <c r="V28" s="24">
        <f>IF(YEAR($B28)*100+MONTH($B28)&lt;--SUBSTITUTE(_xlfn.XLOOKUP("Pacha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LLC",Movimientos!$B$1:$B$1324,"&lt;="&amp;$B28))</f>
        <v>0</v>
      </c>
      <c r="W28" s="24">
        <f>IF(YEAR($B28)*100+MONTH($B28)&lt;--SUBSTITUTE(_xlfn.XLOOKUP("*CFT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Residence",Movimientos!$B$1:$B$1324,"&lt;="&amp;$B28))</f>
        <v>0</v>
      </c>
      <c r="X28" s="24">
        <f>IF(YEAR($B28)*100+MONTH($B28)&lt;--SUBSTITUTE(_xlfn.XLOOKUP("Carmen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Trust",Movimientos!$B$1:$B$1324,"&lt;="&amp;$B28))</f>
        <v>0</v>
      </c>
      <c r="Y28" s="24">
        <f>IF(YEAR($B28)*100+MONTH($B28)&lt;--SUBSTITUTE(_xlfn.XLOOKUP("SIYP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LLC",Movimientos!$B$1:$B$1324,"&lt;="&amp;$B28))</f>
        <v>0</v>
      </c>
      <c r="Z28" s="24">
        <f>IF(YEAR($B28)*100+MONTH($B28)&lt;--SUBSTITUTE(_xlfn.XLOOKUP("Prendamas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SRL",Movimientos!$B$1:$B$1324,"&lt;="&amp;$B28))</f>
        <v>0</v>
      </c>
      <c r="AA28" s="24">
        <f>IF(YEAR($B28)*100+MONTH($B28)&lt;--SUBSTITUTE(_xlfn.XLOOKUP("360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LLC",Movimientos!$B$1:$B$1324,"&lt;="&amp;$B28))</f>
        <v>0</v>
      </c>
      <c r="AB28" s="24">
        <f>IF(YEAR($B28)*100+MONTH($B28)&lt;--SUBSTITUTE(_xlfn.XLOOKUP("Five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",Movimientos!$B$1:$B$1324,"&lt;="&amp;$B28))</f>
        <v>0</v>
      </c>
      <c r="AC28" s="24">
        <f>IF(YEAR($B28)*100+MONTH($B28)&lt;--SUBSTITUTE(_xlfn.XLOOKUP("Nobe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Aparments",Movimientos!$B$1:$B$1324,"&lt;="&amp;$B28))</f>
        <v>0</v>
      </c>
      <c r="AD28" s="24">
        <f>IF(YEAR($B28)*100+MONTH($B28)&lt;--SUBSTITUTE(_xlfn.XLOOKUP("Don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Life",Movimientos!$B$1:$B$1324,"&lt;="&amp;$B28))</f>
        <v>0</v>
      </c>
      <c r="AE28" s="25">
        <v>3330099.8599999994</v>
      </c>
    </row>
    <row r="29" spans="1:31" hidden="1" outlineLevel="1" x14ac:dyDescent="0.3">
      <c r="A29" s="22">
        <f t="shared" si="0"/>
        <v>28</v>
      </c>
      <c r="B29" s="23">
        <v>46170</v>
      </c>
      <c r="C29" s="24">
        <v>986983.19000000006</v>
      </c>
      <c r="D29" s="24">
        <v>62397.280000000173</v>
      </c>
      <c r="E29" s="24">
        <v>1669.89</v>
      </c>
      <c r="F29" s="24">
        <v>376595.84999999986</v>
      </c>
      <c r="G29" s="24">
        <v>1090396.4799999993</v>
      </c>
      <c r="H29" s="24">
        <v>131496.38</v>
      </c>
      <c r="I29" s="24">
        <v>88090.37</v>
      </c>
      <c r="J29" s="24">
        <v>2498.3999999999996</v>
      </c>
      <c r="K29" s="24">
        <v>114.3</v>
      </c>
      <c r="L29" s="24">
        <v>2267.7200000000003</v>
      </c>
      <c r="M29" s="24">
        <v>3349.94</v>
      </c>
      <c r="N29" s="24">
        <v>1968.99</v>
      </c>
      <c r="O29" s="24">
        <v>901.34</v>
      </c>
      <c r="P29" s="24">
        <v>1444.08</v>
      </c>
      <c r="Q29" s="24">
        <v>35463.599999999962</v>
      </c>
      <c r="R29" s="24">
        <v>15120.060000000001</v>
      </c>
      <c r="S29" s="24">
        <v>33606.270000000004</v>
      </c>
      <c r="T29" s="24">
        <v>345</v>
      </c>
      <c r="U29" s="24">
        <v>9076.2400000000016</v>
      </c>
      <c r="V29" s="24">
        <f>IF(YEAR($B29)*100+MONTH($B29)&lt;--SUBSTITUTE(_xlfn.XLOOKUP("Pacha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LLC",Movimientos!$B$1:$B$1324,"&lt;="&amp;$B29))</f>
        <v>0</v>
      </c>
      <c r="W29" s="24">
        <f>IF(YEAR($B29)*100+MONTH($B29)&lt;--SUBSTITUTE(_xlfn.XLOOKUP("*CFT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Residence",Movimientos!$B$1:$B$1324,"&lt;="&amp;$B29))</f>
        <v>0</v>
      </c>
      <c r="X29" s="24">
        <f>IF(YEAR($B29)*100+MONTH($B29)&lt;--SUBSTITUTE(_xlfn.XLOOKUP("Carmen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Trust",Movimientos!$B$1:$B$1324,"&lt;="&amp;$B29))</f>
        <v>0</v>
      </c>
      <c r="Y29" s="24">
        <f>IF(YEAR($B29)*100+MONTH($B29)&lt;--SUBSTITUTE(_xlfn.XLOOKUP("SIYP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LLC",Movimientos!$B$1:$B$1324,"&lt;="&amp;$B29))</f>
        <v>0</v>
      </c>
      <c r="Z29" s="24">
        <f>IF(YEAR($B29)*100+MONTH($B29)&lt;--SUBSTITUTE(_xlfn.XLOOKUP("Prendamas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SRL",Movimientos!$B$1:$B$1324,"&lt;="&amp;$B29))</f>
        <v>0</v>
      </c>
      <c r="AA29" s="24">
        <f>IF(YEAR($B29)*100+MONTH($B29)&lt;--SUBSTITUTE(_xlfn.XLOOKUP("360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LLC",Movimientos!$B$1:$B$1324,"&lt;="&amp;$B29))</f>
        <v>0</v>
      </c>
      <c r="AB29" s="24">
        <f>IF(YEAR($B29)*100+MONTH($B29)&lt;--SUBSTITUTE(_xlfn.XLOOKUP("Five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",Movimientos!$B$1:$B$1324,"&lt;="&amp;$B29))</f>
        <v>0</v>
      </c>
      <c r="AC29" s="24">
        <f>IF(YEAR($B29)*100+MONTH($B29)&lt;--SUBSTITUTE(_xlfn.XLOOKUP("Nobe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Aparments",Movimientos!$B$1:$B$1324,"&lt;="&amp;$B29))</f>
        <v>0</v>
      </c>
      <c r="AD29" s="24">
        <f>IF(YEAR($B29)*100+MONTH($B29)&lt;--SUBSTITUTE(_xlfn.XLOOKUP("Don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Life",Movimientos!$B$1:$B$1324,"&lt;="&amp;$B29))</f>
        <v>0</v>
      </c>
      <c r="AE29" s="25">
        <v>2843785.38</v>
      </c>
    </row>
    <row r="30" spans="1:31" hidden="1" outlineLevel="1" x14ac:dyDescent="0.3">
      <c r="A30" s="22">
        <f t="shared" si="0"/>
        <v>29</v>
      </c>
      <c r="B30" s="23">
        <v>46171</v>
      </c>
      <c r="C30" s="24">
        <v>983394.14000000013</v>
      </c>
      <c r="D30" s="24">
        <v>62397.280000000173</v>
      </c>
      <c r="E30" s="24">
        <v>1669.89</v>
      </c>
      <c r="F30" s="24">
        <v>424853.11999999988</v>
      </c>
      <c r="G30" s="24">
        <v>1015901.6699999992</v>
      </c>
      <c r="H30" s="24">
        <v>131496.38</v>
      </c>
      <c r="I30" s="24">
        <v>88090.37</v>
      </c>
      <c r="J30" s="24">
        <v>1227.9699999999998</v>
      </c>
      <c r="K30" s="24">
        <v>114.3</v>
      </c>
      <c r="L30" s="24">
        <v>2267.7200000000003</v>
      </c>
      <c r="M30" s="24">
        <v>3349.94</v>
      </c>
      <c r="N30" s="24">
        <v>1968.99</v>
      </c>
      <c r="O30" s="24">
        <v>901.34</v>
      </c>
      <c r="P30" s="24">
        <v>1444.08</v>
      </c>
      <c r="Q30" s="24">
        <v>35448.599999999962</v>
      </c>
      <c r="R30" s="24">
        <v>15120.060000000001</v>
      </c>
      <c r="S30" s="24">
        <v>33606.270000000004</v>
      </c>
      <c r="T30" s="24">
        <v>345</v>
      </c>
      <c r="U30" s="24">
        <v>9076.2400000000016</v>
      </c>
      <c r="V30" s="24">
        <f>IF(YEAR($B30)*100+MONTH($B30)&lt;--SUBSTITUTE(_xlfn.XLOOKUP("Pacha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LLC",Movimientos!$B$1:$B$1324,"&lt;="&amp;$B30))</f>
        <v>0</v>
      </c>
      <c r="W30" s="24">
        <f>IF(YEAR($B30)*100+MONTH($B30)&lt;--SUBSTITUTE(_xlfn.XLOOKUP("*CFT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Residence",Movimientos!$B$1:$B$1324,"&lt;="&amp;$B30))</f>
        <v>0</v>
      </c>
      <c r="X30" s="24">
        <f>IF(YEAR($B30)*100+MONTH($B30)&lt;--SUBSTITUTE(_xlfn.XLOOKUP("Carmen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Trust",Movimientos!$B$1:$B$1324,"&lt;="&amp;$B30))</f>
        <v>0</v>
      </c>
      <c r="Y30" s="24">
        <f>IF(YEAR($B30)*100+MONTH($B30)&lt;--SUBSTITUTE(_xlfn.XLOOKUP("SIYP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LLC",Movimientos!$B$1:$B$1324,"&lt;="&amp;$B30))</f>
        <v>0</v>
      </c>
      <c r="Z30" s="24">
        <f>IF(YEAR($B30)*100+MONTH($B30)&lt;--SUBSTITUTE(_xlfn.XLOOKUP("Prendamas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SRL",Movimientos!$B$1:$B$1324,"&lt;="&amp;$B30))</f>
        <v>0</v>
      </c>
      <c r="AA30" s="24">
        <f>IF(YEAR($B30)*100+MONTH($B30)&lt;--SUBSTITUTE(_xlfn.XLOOKUP("360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LLC",Movimientos!$B$1:$B$1324,"&lt;="&amp;$B30))</f>
        <v>0</v>
      </c>
      <c r="AB30" s="24">
        <f>IF(YEAR($B30)*100+MONTH($B30)&lt;--SUBSTITUTE(_xlfn.XLOOKUP("Five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",Movimientos!$B$1:$B$1324,"&lt;="&amp;$B30))</f>
        <v>0</v>
      </c>
      <c r="AC30" s="24">
        <f>IF(YEAR($B30)*100+MONTH($B30)&lt;--SUBSTITUTE(_xlfn.XLOOKUP("Nobe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Aparments",Movimientos!$B$1:$B$1324,"&lt;="&amp;$B30))</f>
        <v>0</v>
      </c>
      <c r="AD30" s="24">
        <f>IF(YEAR($B30)*100+MONTH($B30)&lt;--SUBSTITUTE(_xlfn.XLOOKUP("Don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Life",Movimientos!$B$1:$B$1324,"&lt;="&amp;$B30))</f>
        <v>0</v>
      </c>
      <c r="AE30" s="25">
        <v>2812673.3600000003</v>
      </c>
    </row>
    <row r="31" spans="1:31" hidden="1" outlineLevel="1" x14ac:dyDescent="0.3">
      <c r="A31" s="22">
        <f t="shared" si="0"/>
        <v>30</v>
      </c>
      <c r="B31" s="23">
        <v>46172</v>
      </c>
      <c r="C31" s="24">
        <v>983394.14000000013</v>
      </c>
      <c r="D31" s="24">
        <v>62397.280000000173</v>
      </c>
      <c r="E31" s="24">
        <v>1669.89</v>
      </c>
      <c r="F31" s="24">
        <v>424853.11999999988</v>
      </c>
      <c r="G31" s="24">
        <v>1015901.6699999992</v>
      </c>
      <c r="H31" s="24">
        <v>131496.38</v>
      </c>
      <c r="I31" s="24">
        <v>88090.37</v>
      </c>
      <c r="J31" s="24">
        <v>1227.9699999999998</v>
      </c>
      <c r="K31" s="24">
        <v>114.3</v>
      </c>
      <c r="L31" s="24">
        <v>2267.7200000000003</v>
      </c>
      <c r="M31" s="24">
        <v>3349.94</v>
      </c>
      <c r="N31" s="24">
        <v>1968.99</v>
      </c>
      <c r="O31" s="24">
        <v>901.34</v>
      </c>
      <c r="P31" s="24">
        <v>1444.08</v>
      </c>
      <c r="Q31" s="24">
        <v>35448.599999999962</v>
      </c>
      <c r="R31" s="24">
        <v>15120.060000000001</v>
      </c>
      <c r="S31" s="24">
        <v>33606.270000000004</v>
      </c>
      <c r="T31" s="24">
        <v>345</v>
      </c>
      <c r="U31" s="24">
        <v>9076.2400000000016</v>
      </c>
      <c r="V31" s="24">
        <f>IF(YEAR($B31)*100+MONTH($B31)&lt;--SUBSTITUTE(_xlfn.XLOOKUP("Pacha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LLC",Movimientos!$B$1:$B$1324,"&lt;="&amp;$B31))</f>
        <v>0</v>
      </c>
      <c r="W31" s="24">
        <f>IF(YEAR($B31)*100+MONTH($B31)&lt;--SUBSTITUTE(_xlfn.XLOOKUP("*CFT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Residence",Movimientos!$B$1:$B$1324,"&lt;="&amp;$B31))</f>
        <v>0</v>
      </c>
      <c r="X31" s="24">
        <f>IF(YEAR($B31)*100+MONTH($B31)&lt;--SUBSTITUTE(_xlfn.XLOOKUP("Carmen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Trust",Movimientos!$B$1:$B$1324,"&lt;="&amp;$B31))</f>
        <v>0</v>
      </c>
      <c r="Y31" s="24">
        <f>IF(YEAR($B31)*100+MONTH($B31)&lt;--SUBSTITUTE(_xlfn.XLOOKUP("SIYP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LLC",Movimientos!$B$1:$B$1324,"&lt;="&amp;$B31))</f>
        <v>0</v>
      </c>
      <c r="Z31" s="24">
        <f>IF(YEAR($B31)*100+MONTH($B31)&lt;--SUBSTITUTE(_xlfn.XLOOKUP("Prendamas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SRL",Movimientos!$B$1:$B$1324,"&lt;="&amp;$B31))</f>
        <v>0</v>
      </c>
      <c r="AA31" s="24">
        <f>IF(YEAR($B31)*100+MONTH($B31)&lt;--SUBSTITUTE(_xlfn.XLOOKUP("360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LLC",Movimientos!$B$1:$B$1324,"&lt;="&amp;$B31))</f>
        <v>0</v>
      </c>
      <c r="AB31" s="24">
        <f>IF(YEAR($B31)*100+MONTH($B31)&lt;--SUBSTITUTE(_xlfn.XLOOKUP("Five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",Movimientos!$B$1:$B$1324,"&lt;="&amp;$B31))</f>
        <v>0</v>
      </c>
      <c r="AC31" s="24">
        <f>IF(YEAR($B31)*100+MONTH($B31)&lt;--SUBSTITUTE(_xlfn.XLOOKUP("Nobe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Aparments",Movimientos!$B$1:$B$1324,"&lt;="&amp;$B31))</f>
        <v>0</v>
      </c>
      <c r="AD31" s="24">
        <f>IF(YEAR($B31)*100+MONTH($B31)&lt;--SUBSTITUTE(_xlfn.XLOOKUP("Don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Life",Movimientos!$B$1:$B$1324,"&lt;="&amp;$B31))</f>
        <v>0</v>
      </c>
      <c r="AE31" s="25">
        <v>2812673.3600000003</v>
      </c>
    </row>
    <row r="32" spans="1:31" collapsed="1" x14ac:dyDescent="0.3">
      <c r="A32" s="22">
        <f t="shared" si="0"/>
        <v>31</v>
      </c>
      <c r="B32" s="23">
        <v>46173</v>
      </c>
      <c r="C32" s="24">
        <v>983394.14000000013</v>
      </c>
      <c r="D32" s="24">
        <v>62397.280000000173</v>
      </c>
      <c r="E32" s="24">
        <v>1669.89</v>
      </c>
      <c r="F32" s="24">
        <v>424853.11999999988</v>
      </c>
      <c r="G32" s="24">
        <v>1015901.6699999992</v>
      </c>
      <c r="H32" s="24">
        <v>131496.38</v>
      </c>
      <c r="I32" s="24">
        <v>88090.37</v>
      </c>
      <c r="J32" s="24">
        <v>1227.9699999999998</v>
      </c>
      <c r="K32" s="24">
        <v>114.3</v>
      </c>
      <c r="L32" s="24">
        <v>2267.7200000000003</v>
      </c>
      <c r="M32" s="24">
        <v>3349.94</v>
      </c>
      <c r="N32" s="24">
        <v>1968.99</v>
      </c>
      <c r="O32" s="24">
        <v>901.34</v>
      </c>
      <c r="P32" s="24">
        <v>1444.08</v>
      </c>
      <c r="Q32" s="24">
        <v>35448.599999999962</v>
      </c>
      <c r="R32" s="24">
        <v>15120.060000000001</v>
      </c>
      <c r="S32" s="24">
        <v>33606.270000000004</v>
      </c>
      <c r="T32" s="24">
        <v>345</v>
      </c>
      <c r="U32" s="24">
        <v>9076.2400000000016</v>
      </c>
      <c r="V32" s="24">
        <f>IF(YEAR($B32)*100+MONTH($B32)&lt;--SUBSTITUTE(_xlfn.XLOOKUP("Pacha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LLC",Movimientos!$B$1:$B$1324,"&lt;="&amp;$B32))</f>
        <v>0</v>
      </c>
      <c r="W32" s="24">
        <f>IF(YEAR($B32)*100+MONTH($B32)&lt;--SUBSTITUTE(_xlfn.XLOOKUP("*CFT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Residence",Movimientos!$B$1:$B$1324,"&lt;="&amp;$B32))</f>
        <v>0</v>
      </c>
      <c r="X32" s="24">
        <f>IF(YEAR($B32)*100+MONTH($B32)&lt;--SUBSTITUTE(_xlfn.XLOOKUP("Carmen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Trust",Movimientos!$B$1:$B$1324,"&lt;="&amp;$B32))</f>
        <v>0</v>
      </c>
      <c r="Y32" s="24">
        <f>IF(YEAR($B32)*100+MONTH($B32)&lt;--SUBSTITUTE(_xlfn.XLOOKUP("SIYP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LLC",Movimientos!$B$1:$B$1324,"&lt;="&amp;$B32))</f>
        <v>0</v>
      </c>
      <c r="Z32" s="24">
        <f>IF(YEAR($B32)*100+MONTH($B32)&lt;--SUBSTITUTE(_xlfn.XLOOKUP("Prendamas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SRL",Movimientos!$B$1:$B$1324,"&lt;="&amp;$B32))</f>
        <v>0</v>
      </c>
      <c r="AA32" s="24">
        <f>IF(YEAR($B32)*100+MONTH($B32)&lt;--SUBSTITUTE(_xlfn.XLOOKUP("360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LLC",Movimientos!$B$1:$B$1324,"&lt;="&amp;$B32))</f>
        <v>0</v>
      </c>
      <c r="AB32" s="24">
        <f>IF(YEAR($B32)*100+MONTH($B32)&lt;--SUBSTITUTE(_xlfn.XLOOKUP("Five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",Movimientos!$B$1:$B$1324,"&lt;="&amp;$B32))</f>
        <v>0</v>
      </c>
      <c r="AC32" s="24">
        <f>IF(YEAR($B32)*100+MONTH($B32)&lt;--SUBSTITUTE(_xlfn.XLOOKUP("Nobe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Aparments",Movimientos!$B$1:$B$1324,"&lt;="&amp;$B32))</f>
        <v>0</v>
      </c>
      <c r="AD32" s="24">
        <f>IF(YEAR($B32)*100+MONTH($B32)&lt;--SUBSTITUTE(_xlfn.XLOOKUP("Don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Life",Movimientos!$B$1:$B$1324,"&lt;="&amp;$B32))</f>
        <v>0</v>
      </c>
      <c r="AE32" s="25">
        <v>2812673.3600000003</v>
      </c>
    </row>
    <row r="33" spans="1:31" x14ac:dyDescent="0.3">
      <c r="A33" s="22">
        <f t="shared" si="0"/>
        <v>32</v>
      </c>
      <c r="B33" s="23">
        <v>46174</v>
      </c>
      <c r="C33" s="24">
        <f>SUMIFS('Saldos Iniciales'!$D:$D,'Saldos Iniciales'!$A:$A,"CFT Group")+SUMIFS(Movimientos!$K$1:$K$1324,Movimientos!$C$1:$C$1324,"CFT Group",Movimientos!$B$1:$B$1324,"&lt;="&amp;$B33)</f>
        <v>983394.14000000013</v>
      </c>
      <c r="D33" s="24">
        <f>SUMIFS('Saldos Iniciales'!$D:$D,'Saldos Iniciales'!$A:$A,"M1B")+SUMIFS(Movimientos!$K$1:$K$1324,Movimientos!$C$1:$C$1324,"M1B",Movimientos!$B$1:$B$1324,"&lt;="&amp;$B33)</f>
        <v>69376.390000000174</v>
      </c>
      <c r="E33" s="24">
        <f>SUMIFS('Saldos Iniciales'!$D:$D,'Saldos Iniciales'!$A:$A,"Durand")+SUMIFS(Movimientos!$K$1:$K$1324,Movimientos!$C$1:$C$1324,"Durand",Movimientos!$B$1:$B$1324,"&lt;="&amp;$B33)</f>
        <v>1669.89</v>
      </c>
      <c r="F33" s="24">
        <f>SUMIFS('Saldos Iniciales'!$D:$D,'Saldos Iniciales'!$A:$A,"A&amp;M Imports")+SUMIFS(Movimientos!$K$1:$K$1324,Movimientos!$C$1:$C$1324,"A&amp;M Imports",Movimientos!$B$1:$B$1324,"&lt;="&amp;$B33)</f>
        <v>804853.11999999988</v>
      </c>
      <c r="G33" s="24">
        <f>SUMIFS('Saldos Iniciales'!$D:$D,'Saldos Iniciales'!$A:$A,"SSP Capital")+SUMIFS(Movimientos!$K$1:$K$1324,Movimientos!$C$1:$C$1324,"SSP Capital",Movimientos!$B$1:$B$1324,"&lt;="&amp;$B33)</f>
        <v>1015901.6699999992</v>
      </c>
      <c r="H33" s="24">
        <f>SUMIFS('Saldos Iniciales'!$D:$D,'Saldos Iniciales'!$A:$A,"Cross Family Trust")+SUMIFS(Movimientos!$K$1:$K$1324,Movimientos!$C$1:$C$1324,"Cross Family Trust",Movimientos!$B$1:$B$1324,"&lt;="&amp;$B33)</f>
        <v>131496.38</v>
      </c>
      <c r="I33" s="24">
        <f>SUMIFS('Saldos Iniciales'!$D:$D,'Saldos Iniciales'!$A:$A,"Cross Security Trust")+SUMIFS(Movimientos!$K$1:$K$1324,Movimientos!$C$1:$C$1324,"Cross Security Trust",Movimientos!$B$1:$B$1324,"&lt;="&amp;$B33)</f>
        <v>20375.37</v>
      </c>
      <c r="J33" s="24">
        <f>SUMIFS('Saldos Iniciales'!$D:$D,'Saldos Iniciales'!$A:$A,"Electrama")+SUMIFS(Movimientos!$K$1:$K$1324,Movimientos!$C$1:$C$1324,"Electrama",Movimientos!$B$1:$B$1324,"&lt;="&amp;$B33)</f>
        <v>511.15999999999985</v>
      </c>
      <c r="K33" s="24">
        <f>SUMIFS('Saldos Iniciales'!$D:$D,'Saldos Iniciales'!$A:$A,"Sacred Valley Capital")+SUMIFS(Movimientos!$K$1:$K$1324,Movimientos!$C$1:$C$1324,"Sacred Valley Capital",Movimientos!$B$1:$B$1324,"&lt;="&amp;$B33)</f>
        <v>84.35</v>
      </c>
      <c r="L33" s="24">
        <f>SUMIFS('Saldos Iniciales'!$D:$D,'Saldos Iniciales'!$A:$A,"YWC Capital")+SUMIFS(Movimientos!$K$1:$K$1324,Movimientos!$C$1:$C$1324,"YWC Capital",Movimientos!$B$1:$B$1324,"&lt;="&amp;$B33)</f>
        <v>2237.77</v>
      </c>
      <c r="M33" s="24">
        <f>SUMIFS('Saldos Iniciales'!$D:$D,'Saldos Iniciales'!$A:$A,"Soweto")+SUMIFS(Movimientos!$K$1:$K$1324,Movimientos!$C$1:$C$1324,"Soweto",Movimientos!$B$1:$B$1324,"&lt;="&amp;$B33)</f>
        <v>3349.94</v>
      </c>
      <c r="N33" s="24">
        <f>SUMIFS('Saldos Iniciales'!$D:$D,'Saldos Iniciales'!$A:$A,"Green Stone Trust")+SUMIFS(Movimientos!$K$1:$K$1324,Movimientos!$C$1:$C$1324,"Green Stone Trust",Movimientos!$B$1:$B$1324,"&lt;="&amp;$B33)</f>
        <v>1968.99</v>
      </c>
      <c r="O33" s="24">
        <f>SUMIFS('Saldos Iniciales'!$D:$D,'Saldos Iniciales'!$A:$A,"EC Auto")+SUMIFS(Movimientos!$K$1:$K$1324,Movimientos!$C$1:$C$1324,"EC Auto",Movimientos!$B$1:$B$1324,"&lt;="&amp;$B33)</f>
        <v>901.34</v>
      </c>
      <c r="P33" s="24">
        <f>SUMIFS('Saldos Iniciales'!$D:$D,'Saldos Iniciales'!$A:$A,"Arbor Capital Properties")+SUMIFS(Movimientos!$K$1:$K$1324,Movimientos!$C$1:$C$1324,"Arbor Capital Properties",Movimientos!$B$1:$B$1324,"&lt;="&amp;$B33)</f>
        <v>1428.08</v>
      </c>
      <c r="Q33" s="24">
        <f>SUMIFS('Saldos Iniciales'!$D:$D,'Saldos Iniciales'!$A:$A,"2515 Overbrook")+SUMIFS(Movimientos!$K$1:$K$1324,Movimientos!$C$1:$C$1324,"2515 Overbrook",Movimientos!$B$1:$B$1324,"&lt;="&amp;$B33)</f>
        <v>26416.26999999996</v>
      </c>
      <c r="R33" s="24">
        <f>SUMIFS('Saldos Iniciales'!$D:$D,'Saldos Iniciales'!$A:$A,"112 Florida Ave")+SUMIFS(Movimientos!$K$1:$K$1324,Movimientos!$C$1:$C$1324,"112 Florida Ave",Movimientos!$B$1:$B$1324,"&lt;="&amp;$B33)</f>
        <v>5321.4300000000021</v>
      </c>
      <c r="S33" s="24">
        <f>SUMIFS('Saldos Iniciales'!$D:$D,'Saldos Iniciales'!$A:$A,"3628 Thomas Ave")+SUMIFS(Movimientos!$K$1:$K$1324,Movimientos!$C$1:$C$1324,"3628 Thomas Ave",Movimientos!$B$1:$B$1324,"&lt;="&amp;$B33)</f>
        <v>24833.23</v>
      </c>
      <c r="T33" s="24">
        <f>SUMIFS('Saldos Iniciales'!$D:$D,'Saldos Iniciales'!$A:$A,"Green Harbor Trust")+SUMIFS(Movimientos!$K$1:$K$1324,Movimientos!$C$1:$C$1324,"Green Harbor Trust",Movimientos!$B$1:$B$1324,"&lt;="&amp;$B33)</f>
        <v>345</v>
      </c>
      <c r="U33" s="24">
        <f>SUMIFS('Saldos Iniciales'!$D:$D,'Saldos Iniciales'!$A:$A,"Go Blue")+SUMIFS(Movimientos!$K$1:$K$1324,Movimientos!$C$1:$C$1324,"Go Blue",Movimientos!$B$1:$B$1324,"&lt;="&amp;$B33)</f>
        <v>12117.82</v>
      </c>
      <c r="V33" s="24">
        <f>IF(YEAR($B33)*100+MONTH($B33)&lt;--SUBSTITUTE(_xlfn.XLOOKUP("Pacha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LLC",Movimientos!$B$1:$B$1324,"&lt;="&amp;$B33))</f>
        <v>0</v>
      </c>
      <c r="W33" s="24">
        <f>IF(YEAR($B33)*100+MONTH($B33)&lt;--SUBSTITUTE(_xlfn.XLOOKUP("*CFT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Residence",Movimientos!$B$1:$B$1324,"&lt;="&amp;$B33))</f>
        <v>0</v>
      </c>
      <c r="X33" s="24">
        <f>IF(YEAR($B33)*100+MONTH($B33)&lt;--SUBSTITUTE(_xlfn.XLOOKUP("Carmen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Trust",Movimientos!$B$1:$B$1324,"&lt;="&amp;$B33))</f>
        <v>0</v>
      </c>
      <c r="Y33" s="24">
        <f>IF(YEAR($B33)*100+MONTH($B33)&lt;--SUBSTITUTE(_xlfn.XLOOKUP("SIYP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LLC",Movimientos!$B$1:$B$1324,"&lt;="&amp;$B33))</f>
        <v>0</v>
      </c>
      <c r="Z33" s="24">
        <f>IF(YEAR($B33)*100+MONTH($B33)&lt;--SUBSTITUTE(_xlfn.XLOOKUP("Prendamas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SRL",Movimientos!$B$1:$B$1324,"&lt;="&amp;$B33))</f>
        <v>0</v>
      </c>
      <c r="AA33" s="24">
        <f>IF(YEAR($B33)*100+MONTH($B33)&lt;--SUBSTITUTE(_xlfn.XLOOKUP("360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LLC",Movimientos!$B$1:$B$1324,"&lt;="&amp;$B33))</f>
        <v>0</v>
      </c>
      <c r="AB33" s="24">
        <f>IF(YEAR($B33)*100+MONTH($B33)&lt;--SUBSTITUTE(_xlfn.XLOOKUP("Five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",Movimientos!$B$1:$B$1324,"&lt;="&amp;$B33))</f>
        <v>0</v>
      </c>
      <c r="AC33" s="24">
        <f>IF(YEAR($B33)*100+MONTH($B33)&lt;--SUBSTITUTE(_xlfn.XLOOKUP("Nobe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Aparments",Movimientos!$B$1:$B$1324,"&lt;="&amp;$B33))</f>
        <v>0</v>
      </c>
      <c r="AD33" s="24">
        <f>IF(YEAR($B33)*100+MONTH($B33)&lt;--SUBSTITUTE(_xlfn.XLOOKUP("Don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Life",Movimientos!$B$1:$B$1324,"&lt;="&amp;$B33))</f>
        <v>0</v>
      </c>
      <c r="AE33" s="25">
        <f t="shared" ref="AE33:AE64" si="1">SUM(C33:AD33)</f>
        <v>3106582.3399999994</v>
      </c>
    </row>
    <row r="34" spans="1:31" hidden="1" outlineLevel="1" x14ac:dyDescent="0.3">
      <c r="A34" s="22">
        <f t="shared" si="0"/>
        <v>33</v>
      </c>
      <c r="B34" s="23">
        <v>46175</v>
      </c>
      <c r="C34" s="24">
        <f>SUMIFS('Saldos Iniciales'!$D:$D,'Saldos Iniciales'!$A:$A,"CFT Group")+SUMIFS(Movimientos!$K$1:$K$1324,Movimientos!$C$1:$C$1324,"CFT Group",Movimientos!$B$1:$B$1324,"&lt;="&amp;$B34)</f>
        <v>983394.14000000013</v>
      </c>
      <c r="D34" s="24">
        <f>SUMIFS('Saldos Iniciales'!$D:$D,'Saldos Iniciales'!$A:$A,"M1B")+SUMIFS(Movimientos!$K$1:$K$1324,Movimientos!$C$1:$C$1324,"M1B",Movimientos!$B$1:$B$1324,"&lt;="&amp;$B34)</f>
        <v>69376.390000000174</v>
      </c>
      <c r="E34" s="24">
        <f>SUMIFS('Saldos Iniciales'!$D:$D,'Saldos Iniciales'!$A:$A,"Durand")+SUMIFS(Movimientos!$K$1:$K$1324,Movimientos!$C$1:$C$1324,"Durand",Movimientos!$B$1:$B$1324,"&lt;="&amp;$B34)</f>
        <v>1669.89</v>
      </c>
      <c r="F34" s="24">
        <f>SUMIFS('Saldos Iniciales'!$D:$D,'Saldos Iniciales'!$A:$A,"A&amp;M Imports")+SUMIFS(Movimientos!$K$1:$K$1324,Movimientos!$C$1:$C$1324,"A&amp;M Imports",Movimientos!$B$1:$B$1324,"&lt;="&amp;$B34)</f>
        <v>804853.11999999988</v>
      </c>
      <c r="G34" s="24">
        <f>SUMIFS('Saldos Iniciales'!$D:$D,'Saldos Iniciales'!$A:$A,"SSP Capital")+SUMIFS(Movimientos!$K$1:$K$1324,Movimientos!$C$1:$C$1324,"SSP Capital",Movimientos!$B$1:$B$1324,"&lt;="&amp;$B34)</f>
        <v>1015901.6699999992</v>
      </c>
      <c r="H34" s="24">
        <f>SUMIFS('Saldos Iniciales'!$D:$D,'Saldos Iniciales'!$A:$A,"Cross Family Trust")+SUMIFS(Movimientos!$K$1:$K$1324,Movimientos!$C$1:$C$1324,"Cross Family Trust",Movimientos!$B$1:$B$1324,"&lt;="&amp;$B34)</f>
        <v>131496.38</v>
      </c>
      <c r="I34" s="24">
        <f>SUMIFS('Saldos Iniciales'!$D:$D,'Saldos Iniciales'!$A:$A,"Cross Security Trust")+SUMIFS(Movimientos!$K$1:$K$1324,Movimientos!$C$1:$C$1324,"Cross Security Trust",Movimientos!$B$1:$B$1324,"&lt;="&amp;$B34)</f>
        <v>20375.37</v>
      </c>
      <c r="J34" s="24">
        <f>SUMIFS('Saldos Iniciales'!$D:$D,'Saldos Iniciales'!$A:$A,"Electrama")+SUMIFS(Movimientos!$K$1:$K$1324,Movimientos!$C$1:$C$1324,"Electrama",Movimientos!$B$1:$B$1324,"&lt;="&amp;$B34)</f>
        <v>511.15999999999985</v>
      </c>
      <c r="K34" s="24">
        <f>SUMIFS('Saldos Iniciales'!$D:$D,'Saldos Iniciales'!$A:$A,"Sacred Valley Capital")+SUMIFS(Movimientos!$K$1:$K$1324,Movimientos!$C$1:$C$1324,"Sacred Valley Capital",Movimientos!$B$1:$B$1324,"&lt;="&amp;$B34)</f>
        <v>84.35</v>
      </c>
      <c r="L34" s="24">
        <f>SUMIFS('Saldos Iniciales'!$D:$D,'Saldos Iniciales'!$A:$A,"YWC Capital")+SUMIFS(Movimientos!$K$1:$K$1324,Movimientos!$C$1:$C$1324,"YWC Capital",Movimientos!$B$1:$B$1324,"&lt;="&amp;$B34)</f>
        <v>2237.77</v>
      </c>
      <c r="M34" s="24">
        <f>SUMIFS('Saldos Iniciales'!$D:$D,'Saldos Iniciales'!$A:$A,"Soweto")+SUMIFS(Movimientos!$K$1:$K$1324,Movimientos!$C$1:$C$1324,"Soweto",Movimientos!$B$1:$B$1324,"&lt;="&amp;$B34)</f>
        <v>3349.94</v>
      </c>
      <c r="N34" s="24">
        <f>SUMIFS('Saldos Iniciales'!$D:$D,'Saldos Iniciales'!$A:$A,"Green Stone Trust")+SUMIFS(Movimientos!$K$1:$K$1324,Movimientos!$C$1:$C$1324,"Green Stone Trust",Movimientos!$B$1:$B$1324,"&lt;="&amp;$B34)</f>
        <v>1968.99</v>
      </c>
      <c r="O34" s="24">
        <f>SUMIFS('Saldos Iniciales'!$D:$D,'Saldos Iniciales'!$A:$A,"EC Auto")+SUMIFS(Movimientos!$K$1:$K$1324,Movimientos!$C$1:$C$1324,"EC Auto",Movimientos!$B$1:$B$1324,"&lt;="&amp;$B34)</f>
        <v>901.34</v>
      </c>
      <c r="P34" s="24">
        <f>SUMIFS('Saldos Iniciales'!$D:$D,'Saldos Iniciales'!$A:$A,"Arbor Capital Properties")+SUMIFS(Movimientos!$K$1:$K$1324,Movimientos!$C$1:$C$1324,"Arbor Capital Properties",Movimientos!$B$1:$B$1324,"&lt;="&amp;$B34)</f>
        <v>1428.08</v>
      </c>
      <c r="Q34" s="24">
        <f>SUMIFS('Saldos Iniciales'!$D:$D,'Saldos Iniciales'!$A:$A,"2515 Overbrook")+SUMIFS(Movimientos!$K$1:$K$1324,Movimientos!$C$1:$C$1324,"2515 Overbrook",Movimientos!$B$1:$B$1324,"&lt;="&amp;$B34)</f>
        <v>25789.969999999961</v>
      </c>
      <c r="R34" s="24">
        <f>SUMIFS('Saldos Iniciales'!$D:$D,'Saldos Iniciales'!$A:$A,"112 Florida Ave")+SUMIFS(Movimientos!$K$1:$K$1324,Movimientos!$C$1:$C$1324,"112 Florida Ave",Movimientos!$B$1:$B$1324,"&lt;="&amp;$B34)</f>
        <v>5321.4300000000021</v>
      </c>
      <c r="S34" s="24">
        <f>SUMIFS('Saldos Iniciales'!$D:$D,'Saldos Iniciales'!$A:$A,"3628 Thomas Ave")+SUMIFS(Movimientos!$K$1:$K$1324,Movimientos!$C$1:$C$1324,"3628 Thomas Ave",Movimientos!$B$1:$B$1324,"&lt;="&amp;$B34)</f>
        <v>24833.23</v>
      </c>
      <c r="T34" s="24">
        <f>SUMIFS('Saldos Iniciales'!$D:$D,'Saldos Iniciales'!$A:$A,"Green Harbor Trust")+SUMIFS(Movimientos!$K$1:$K$1324,Movimientos!$C$1:$C$1324,"Green Harbor Trust",Movimientos!$B$1:$B$1324,"&lt;="&amp;$B34)</f>
        <v>345</v>
      </c>
      <c r="U34" s="24">
        <f>SUMIFS('Saldos Iniciales'!$D:$D,'Saldos Iniciales'!$A:$A,"Go Blue")+SUMIFS(Movimientos!$K$1:$K$1324,Movimientos!$C$1:$C$1324,"Go Blue",Movimientos!$B$1:$B$1324,"&lt;="&amp;$B34)</f>
        <v>8808.2400000000016</v>
      </c>
      <c r="V34" s="24">
        <f>IF(YEAR($B34)*100+MONTH($B34)&lt;--SUBSTITUTE(_xlfn.XLOOKUP("Pacha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LLC",Movimientos!$B$1:$B$1324,"&lt;="&amp;$B34))</f>
        <v>0</v>
      </c>
      <c r="W34" s="24">
        <f>IF(YEAR($B34)*100+MONTH($B34)&lt;--SUBSTITUTE(_xlfn.XLOOKUP("*CFT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Residence",Movimientos!$B$1:$B$1324,"&lt;="&amp;$B34))</f>
        <v>0</v>
      </c>
      <c r="X34" s="24">
        <f>IF(YEAR($B34)*100+MONTH($B34)&lt;--SUBSTITUTE(_xlfn.XLOOKUP("Carmen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Trust",Movimientos!$B$1:$B$1324,"&lt;="&amp;$B34))</f>
        <v>0</v>
      </c>
      <c r="Y34" s="24">
        <f>IF(YEAR($B34)*100+MONTH($B34)&lt;--SUBSTITUTE(_xlfn.XLOOKUP("SIYP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LLC",Movimientos!$B$1:$B$1324,"&lt;="&amp;$B34))</f>
        <v>0</v>
      </c>
      <c r="Z34" s="24">
        <f>IF(YEAR($B34)*100+MONTH($B34)&lt;--SUBSTITUTE(_xlfn.XLOOKUP("Prendamas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SRL",Movimientos!$B$1:$B$1324,"&lt;="&amp;$B34))</f>
        <v>0</v>
      </c>
      <c r="AA34" s="24">
        <f>IF(YEAR($B34)*100+MONTH($B34)&lt;--SUBSTITUTE(_xlfn.XLOOKUP("360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LLC",Movimientos!$B$1:$B$1324,"&lt;="&amp;$B34))</f>
        <v>0</v>
      </c>
      <c r="AB34" s="24">
        <f>IF(YEAR($B34)*100+MONTH($B34)&lt;--SUBSTITUTE(_xlfn.XLOOKUP("Five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",Movimientos!$B$1:$B$1324,"&lt;="&amp;$B34))</f>
        <v>0</v>
      </c>
      <c r="AC34" s="24">
        <f>IF(YEAR($B34)*100+MONTH($B34)&lt;--SUBSTITUTE(_xlfn.XLOOKUP("Nobe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Aparments",Movimientos!$B$1:$B$1324,"&lt;="&amp;$B34))</f>
        <v>0</v>
      </c>
      <c r="AD34" s="24">
        <f>IF(YEAR($B34)*100+MONTH($B34)&lt;--SUBSTITUTE(_xlfn.XLOOKUP("Don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Life",Movimientos!$B$1:$B$1324,"&lt;="&amp;$B34))</f>
        <v>0</v>
      </c>
      <c r="AE34" s="25">
        <f t="shared" si="1"/>
        <v>3102646.4599999995</v>
      </c>
    </row>
    <row r="35" spans="1:31" hidden="1" outlineLevel="1" x14ac:dyDescent="0.3">
      <c r="A35" s="22">
        <f t="shared" si="0"/>
        <v>34</v>
      </c>
      <c r="B35" s="23">
        <v>46176</v>
      </c>
      <c r="C35" s="24">
        <f>SUMIFS('Saldos Iniciales'!$D:$D,'Saldos Iniciales'!$A:$A,"CFT Group")+SUMIFS(Movimientos!$K$1:$K$1324,Movimientos!$C$1:$C$1324,"CFT Group",Movimientos!$B$1:$B$1324,"&lt;="&amp;$B35)</f>
        <v>983394.14000000013</v>
      </c>
      <c r="D35" s="24">
        <f>SUMIFS('Saldos Iniciales'!$D:$D,'Saldos Iniciales'!$A:$A,"M1B")+SUMIFS(Movimientos!$K$1:$K$1324,Movimientos!$C$1:$C$1324,"M1B",Movimientos!$B$1:$B$1324,"&lt;="&amp;$B35)</f>
        <v>69376.390000000174</v>
      </c>
      <c r="E35" s="24">
        <f>SUMIFS('Saldos Iniciales'!$D:$D,'Saldos Iniciales'!$A:$A,"Durand")+SUMIFS(Movimientos!$K$1:$K$1324,Movimientos!$C$1:$C$1324,"Durand",Movimientos!$B$1:$B$1324,"&lt;="&amp;$B35)</f>
        <v>1669.89</v>
      </c>
      <c r="F35" s="24">
        <f>SUMIFS('Saldos Iniciales'!$D:$D,'Saldos Iniciales'!$A:$A,"A&amp;M Imports")+SUMIFS(Movimientos!$K$1:$K$1324,Movimientos!$C$1:$C$1324,"A&amp;M Imports",Movimientos!$B$1:$B$1324,"&lt;="&amp;$B35)</f>
        <v>804853.11999999988</v>
      </c>
      <c r="G35" s="24">
        <f>SUMIFS('Saldos Iniciales'!$D:$D,'Saldos Iniciales'!$A:$A,"SSP Capital")+SUMIFS(Movimientos!$K$1:$K$1324,Movimientos!$C$1:$C$1324,"SSP Capital",Movimientos!$B$1:$B$1324,"&lt;="&amp;$B35)</f>
        <v>1015611.6599999993</v>
      </c>
      <c r="H35" s="24">
        <f>SUMIFS('Saldos Iniciales'!$D:$D,'Saldos Iniciales'!$A:$A,"Cross Family Trust")+SUMIFS(Movimientos!$K$1:$K$1324,Movimientos!$C$1:$C$1324,"Cross Family Trust",Movimientos!$B$1:$B$1324,"&lt;="&amp;$B35)</f>
        <v>125496.38</v>
      </c>
      <c r="I35" s="24">
        <f>SUMIFS('Saldos Iniciales'!$D:$D,'Saldos Iniciales'!$A:$A,"Cross Security Trust")+SUMIFS(Movimientos!$K$1:$K$1324,Movimientos!$C$1:$C$1324,"Cross Security Trust",Movimientos!$B$1:$B$1324,"&lt;="&amp;$B35)</f>
        <v>20375.37</v>
      </c>
      <c r="J35" s="24">
        <f>SUMIFS('Saldos Iniciales'!$D:$D,'Saldos Iniciales'!$A:$A,"Electrama")+SUMIFS(Movimientos!$K$1:$K$1324,Movimientos!$C$1:$C$1324,"Electrama",Movimientos!$B$1:$B$1324,"&lt;="&amp;$B35)</f>
        <v>511.15999999999985</v>
      </c>
      <c r="K35" s="24">
        <f>SUMIFS('Saldos Iniciales'!$D:$D,'Saldos Iniciales'!$A:$A,"Sacred Valley Capital")+SUMIFS(Movimientos!$K$1:$K$1324,Movimientos!$C$1:$C$1324,"Sacred Valley Capital",Movimientos!$B$1:$B$1324,"&lt;="&amp;$B35)</f>
        <v>84.35</v>
      </c>
      <c r="L35" s="24">
        <f>SUMIFS('Saldos Iniciales'!$D:$D,'Saldos Iniciales'!$A:$A,"YWC Capital")+SUMIFS(Movimientos!$K$1:$K$1324,Movimientos!$C$1:$C$1324,"YWC Capital",Movimientos!$B$1:$B$1324,"&lt;="&amp;$B35)</f>
        <v>2237.77</v>
      </c>
      <c r="M35" s="24">
        <f>SUMIFS('Saldos Iniciales'!$D:$D,'Saldos Iniciales'!$A:$A,"Soweto")+SUMIFS(Movimientos!$K$1:$K$1324,Movimientos!$C$1:$C$1324,"Soweto",Movimientos!$B$1:$B$1324,"&lt;="&amp;$B35)</f>
        <v>3349.94</v>
      </c>
      <c r="N35" s="24">
        <f>SUMIFS('Saldos Iniciales'!$D:$D,'Saldos Iniciales'!$A:$A,"Green Stone Trust")+SUMIFS(Movimientos!$K$1:$K$1324,Movimientos!$C$1:$C$1324,"Green Stone Trust",Movimientos!$B$1:$B$1324,"&lt;="&amp;$B35)</f>
        <v>1968.99</v>
      </c>
      <c r="O35" s="24">
        <f>SUMIFS('Saldos Iniciales'!$D:$D,'Saldos Iniciales'!$A:$A,"EC Auto")+SUMIFS(Movimientos!$K$1:$K$1324,Movimientos!$C$1:$C$1324,"EC Auto",Movimientos!$B$1:$B$1324,"&lt;="&amp;$B35)</f>
        <v>901.34</v>
      </c>
      <c r="P35" s="24">
        <f>SUMIFS('Saldos Iniciales'!$D:$D,'Saldos Iniciales'!$A:$A,"Arbor Capital Properties")+SUMIFS(Movimientos!$K$1:$K$1324,Movimientos!$C$1:$C$1324,"Arbor Capital Properties",Movimientos!$B$1:$B$1324,"&lt;="&amp;$B35)</f>
        <v>1428.08</v>
      </c>
      <c r="Q35" s="24">
        <f>SUMIFS('Saldos Iniciales'!$D:$D,'Saldos Iniciales'!$A:$A,"2515 Overbrook")+SUMIFS(Movimientos!$K$1:$K$1324,Movimientos!$C$1:$C$1324,"2515 Overbrook",Movimientos!$B$1:$B$1324,"&lt;="&amp;$B35)</f>
        <v>25789.969999999961</v>
      </c>
      <c r="R35" s="24">
        <f>SUMIFS('Saldos Iniciales'!$D:$D,'Saldos Iniciales'!$A:$A,"112 Florida Ave")+SUMIFS(Movimientos!$K$1:$K$1324,Movimientos!$C$1:$C$1324,"112 Florida Ave",Movimientos!$B$1:$B$1324,"&lt;="&amp;$B35)</f>
        <v>5321.4300000000021</v>
      </c>
      <c r="S35" s="24">
        <f>SUMIFS('Saldos Iniciales'!$D:$D,'Saldos Iniciales'!$A:$A,"3628 Thomas Ave")+SUMIFS(Movimientos!$K$1:$K$1324,Movimientos!$C$1:$C$1324,"3628 Thomas Ave",Movimientos!$B$1:$B$1324,"&lt;="&amp;$B35)</f>
        <v>24833.23</v>
      </c>
      <c r="T35" s="24">
        <f>SUMIFS('Saldos Iniciales'!$D:$D,'Saldos Iniciales'!$A:$A,"Green Harbor Trust")+SUMIFS(Movimientos!$K$1:$K$1324,Movimientos!$C$1:$C$1324,"Green Harbor Trust",Movimientos!$B$1:$B$1324,"&lt;="&amp;$B35)</f>
        <v>345</v>
      </c>
      <c r="U35" s="24">
        <f>SUMIFS('Saldos Iniciales'!$D:$D,'Saldos Iniciales'!$A:$A,"Go Blue")+SUMIFS(Movimientos!$K$1:$K$1324,Movimientos!$C$1:$C$1324,"Go Blue",Movimientos!$B$1:$B$1324,"&lt;="&amp;$B35)</f>
        <v>8808.2400000000016</v>
      </c>
      <c r="V35" s="24">
        <f>IF(YEAR($B35)*100+MONTH($B35)&lt;--SUBSTITUTE(_xlfn.XLOOKUP("Pacha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LLC",Movimientos!$B$1:$B$1324,"&lt;="&amp;$B35))</f>
        <v>0</v>
      </c>
      <c r="W35" s="24">
        <f>IF(YEAR($B35)*100+MONTH($B35)&lt;--SUBSTITUTE(_xlfn.XLOOKUP("*CFT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Residence",Movimientos!$B$1:$B$1324,"&lt;="&amp;$B35))</f>
        <v>0</v>
      </c>
      <c r="X35" s="24">
        <f>IF(YEAR($B35)*100+MONTH($B35)&lt;--SUBSTITUTE(_xlfn.XLOOKUP("Carmen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Trust",Movimientos!$B$1:$B$1324,"&lt;="&amp;$B35))</f>
        <v>0</v>
      </c>
      <c r="Y35" s="24">
        <f>IF(YEAR($B35)*100+MONTH($B35)&lt;--SUBSTITUTE(_xlfn.XLOOKUP("SIYP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LLC",Movimientos!$B$1:$B$1324,"&lt;="&amp;$B35))</f>
        <v>0</v>
      </c>
      <c r="Z35" s="24">
        <f>IF(YEAR($B35)*100+MONTH($B35)&lt;--SUBSTITUTE(_xlfn.XLOOKUP("Prendamas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SRL",Movimientos!$B$1:$B$1324,"&lt;="&amp;$B35))</f>
        <v>0</v>
      </c>
      <c r="AA35" s="24">
        <f>IF(YEAR($B35)*100+MONTH($B35)&lt;--SUBSTITUTE(_xlfn.XLOOKUP("360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LLC",Movimientos!$B$1:$B$1324,"&lt;="&amp;$B35))</f>
        <v>0</v>
      </c>
      <c r="AB35" s="24">
        <f>IF(YEAR($B35)*100+MONTH($B35)&lt;--SUBSTITUTE(_xlfn.XLOOKUP("Five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",Movimientos!$B$1:$B$1324,"&lt;="&amp;$B35))</f>
        <v>0</v>
      </c>
      <c r="AC35" s="24">
        <f>IF(YEAR($B35)*100+MONTH($B35)&lt;--SUBSTITUTE(_xlfn.XLOOKUP("Nobe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Aparments",Movimientos!$B$1:$B$1324,"&lt;="&amp;$B35))</f>
        <v>0</v>
      </c>
      <c r="AD35" s="24">
        <f>IF(YEAR($B35)*100+MONTH($B35)&lt;--SUBSTITUTE(_xlfn.XLOOKUP("Don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Life",Movimientos!$B$1:$B$1324,"&lt;="&amp;$B35))</f>
        <v>0</v>
      </c>
      <c r="AE35" s="25">
        <f t="shared" si="1"/>
        <v>3096356.4499999997</v>
      </c>
    </row>
    <row r="36" spans="1:31" hidden="1" outlineLevel="1" x14ac:dyDescent="0.3">
      <c r="A36" s="22">
        <f t="shared" si="0"/>
        <v>35</v>
      </c>
      <c r="B36" s="23">
        <v>46177</v>
      </c>
      <c r="C36" s="24">
        <f>SUMIFS('Saldos Iniciales'!$D:$D,'Saldos Iniciales'!$A:$A,"CFT Group")+SUMIFS(Movimientos!$K$1:$K$1324,Movimientos!$C$1:$C$1324,"CFT Group",Movimientos!$B$1:$B$1324,"&lt;="&amp;$B36)</f>
        <v>733394.14000000013</v>
      </c>
      <c r="D36" s="24">
        <f>SUMIFS('Saldos Iniciales'!$D:$D,'Saldos Iniciales'!$A:$A,"M1B")+SUMIFS(Movimientos!$K$1:$K$1324,Movimientos!$C$1:$C$1324,"M1B",Movimientos!$B$1:$B$1324,"&lt;="&amp;$B36)</f>
        <v>69376.390000000174</v>
      </c>
      <c r="E36" s="24">
        <f>SUMIFS('Saldos Iniciales'!$D:$D,'Saldos Iniciales'!$A:$A,"Durand")+SUMIFS(Movimientos!$K$1:$K$1324,Movimientos!$C$1:$C$1324,"Durand",Movimientos!$B$1:$B$1324,"&lt;="&amp;$B36)</f>
        <v>1669.89</v>
      </c>
      <c r="F36" s="24">
        <f>SUMIFS('Saldos Iniciales'!$D:$D,'Saldos Iniciales'!$A:$A,"A&amp;M Imports")+SUMIFS(Movimientos!$K$1:$K$1324,Movimientos!$C$1:$C$1324,"A&amp;M Imports",Movimientos!$B$1:$B$1324,"&lt;="&amp;$B36)</f>
        <v>729545.23999999987</v>
      </c>
      <c r="G36" s="24">
        <f>SUMIFS('Saldos Iniciales'!$D:$D,'Saldos Iniciales'!$A:$A,"SSP Capital")+SUMIFS(Movimientos!$K$1:$K$1324,Movimientos!$C$1:$C$1324,"SSP Capital",Movimientos!$B$1:$B$1324,"&lt;="&amp;$B36)</f>
        <v>1171714.4499999993</v>
      </c>
      <c r="H36" s="24">
        <f>SUMIFS('Saldos Iniciales'!$D:$D,'Saldos Iniciales'!$A:$A,"Cross Family Trust")+SUMIFS(Movimientos!$K$1:$K$1324,Movimientos!$C$1:$C$1324,"Cross Family Trust",Movimientos!$B$1:$B$1324,"&lt;="&amp;$B36)</f>
        <v>116496.38</v>
      </c>
      <c r="I36" s="24">
        <f>SUMIFS('Saldos Iniciales'!$D:$D,'Saldos Iniciales'!$A:$A,"Cross Security Trust")+SUMIFS(Movimientos!$K$1:$K$1324,Movimientos!$C$1:$C$1324,"Cross Security Trust",Movimientos!$B$1:$B$1324,"&lt;="&amp;$B36)</f>
        <v>20375.37</v>
      </c>
      <c r="J36" s="24">
        <f>SUMIFS('Saldos Iniciales'!$D:$D,'Saldos Iniciales'!$A:$A,"Electrama")+SUMIFS(Movimientos!$K$1:$K$1324,Movimientos!$C$1:$C$1324,"Electrama",Movimientos!$B$1:$B$1324,"&lt;="&amp;$B36)</f>
        <v>511.15999999999985</v>
      </c>
      <c r="K36" s="24">
        <f>SUMIFS('Saldos Iniciales'!$D:$D,'Saldos Iniciales'!$A:$A,"Sacred Valley Capital")+SUMIFS(Movimientos!$K$1:$K$1324,Movimientos!$C$1:$C$1324,"Sacred Valley Capital",Movimientos!$B$1:$B$1324,"&lt;="&amp;$B36)</f>
        <v>84.35</v>
      </c>
      <c r="L36" s="24">
        <f>SUMIFS('Saldos Iniciales'!$D:$D,'Saldos Iniciales'!$A:$A,"YWC Capital")+SUMIFS(Movimientos!$K$1:$K$1324,Movimientos!$C$1:$C$1324,"YWC Capital",Movimientos!$B$1:$B$1324,"&lt;="&amp;$B36)</f>
        <v>2237.77</v>
      </c>
      <c r="M36" s="24">
        <f>SUMIFS('Saldos Iniciales'!$D:$D,'Saldos Iniciales'!$A:$A,"Soweto")+SUMIFS(Movimientos!$K$1:$K$1324,Movimientos!$C$1:$C$1324,"Soweto",Movimientos!$B$1:$B$1324,"&lt;="&amp;$B36)</f>
        <v>3349.94</v>
      </c>
      <c r="N36" s="24">
        <f>SUMIFS('Saldos Iniciales'!$D:$D,'Saldos Iniciales'!$A:$A,"Green Stone Trust")+SUMIFS(Movimientos!$K$1:$K$1324,Movimientos!$C$1:$C$1324,"Green Stone Trust",Movimientos!$B$1:$B$1324,"&lt;="&amp;$B36)</f>
        <v>1968.99</v>
      </c>
      <c r="O36" s="24">
        <f>SUMIFS('Saldos Iniciales'!$D:$D,'Saldos Iniciales'!$A:$A,"EC Auto")+SUMIFS(Movimientos!$K$1:$K$1324,Movimientos!$C$1:$C$1324,"EC Auto",Movimientos!$B$1:$B$1324,"&lt;="&amp;$B36)</f>
        <v>382.69000000000005</v>
      </c>
      <c r="P36" s="24">
        <f>SUMIFS('Saldos Iniciales'!$D:$D,'Saldos Iniciales'!$A:$A,"Arbor Capital Properties")+SUMIFS(Movimientos!$K$1:$K$1324,Movimientos!$C$1:$C$1324,"Arbor Capital Properties",Movimientos!$B$1:$B$1324,"&lt;="&amp;$B36)</f>
        <v>1428.08</v>
      </c>
      <c r="Q36" s="24">
        <f>SUMIFS('Saldos Iniciales'!$D:$D,'Saldos Iniciales'!$A:$A,"2515 Overbrook")+SUMIFS(Movimientos!$K$1:$K$1324,Movimientos!$C$1:$C$1324,"2515 Overbrook",Movimientos!$B$1:$B$1324,"&lt;="&amp;$B36)</f>
        <v>25789.969999999961</v>
      </c>
      <c r="R36" s="24">
        <f>SUMIFS('Saldos Iniciales'!$D:$D,'Saldos Iniciales'!$A:$A,"112 Florida Ave")+SUMIFS(Movimientos!$K$1:$K$1324,Movimientos!$C$1:$C$1324,"112 Florida Ave",Movimientos!$B$1:$B$1324,"&lt;="&amp;$B36)</f>
        <v>5321.4300000000021</v>
      </c>
      <c r="S36" s="24">
        <f>SUMIFS('Saldos Iniciales'!$D:$D,'Saldos Iniciales'!$A:$A,"3628 Thomas Ave")+SUMIFS(Movimientos!$K$1:$K$1324,Movimientos!$C$1:$C$1324,"3628 Thomas Ave",Movimientos!$B$1:$B$1324,"&lt;="&amp;$B36)</f>
        <v>24833.23</v>
      </c>
      <c r="T36" s="24">
        <f>SUMIFS('Saldos Iniciales'!$D:$D,'Saldos Iniciales'!$A:$A,"Green Harbor Trust")+SUMIFS(Movimientos!$K$1:$K$1324,Movimientos!$C$1:$C$1324,"Green Harbor Trust",Movimientos!$B$1:$B$1324,"&lt;="&amp;$B36)</f>
        <v>345</v>
      </c>
      <c r="U36" s="24">
        <f>SUMIFS('Saldos Iniciales'!$D:$D,'Saldos Iniciales'!$A:$A,"Go Blue")+SUMIFS(Movimientos!$K$1:$K$1324,Movimientos!$C$1:$C$1324,"Go Blue",Movimientos!$B$1:$B$1324,"&lt;="&amp;$B36)</f>
        <v>7716.0900000000038</v>
      </c>
      <c r="V36" s="24">
        <f>IF(YEAR($B36)*100+MONTH($B36)&lt;--SUBSTITUTE(_xlfn.XLOOKUP("Pacha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LLC",Movimientos!$B$1:$B$1324,"&lt;="&amp;$B36))</f>
        <v>0</v>
      </c>
      <c r="W36" s="24">
        <f>IF(YEAR($B36)*100+MONTH($B36)&lt;--SUBSTITUTE(_xlfn.XLOOKUP("*CFT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Residence",Movimientos!$B$1:$B$1324,"&lt;="&amp;$B36))</f>
        <v>0</v>
      </c>
      <c r="X36" s="24">
        <f>IF(YEAR($B36)*100+MONTH($B36)&lt;--SUBSTITUTE(_xlfn.XLOOKUP("Carmen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Trust",Movimientos!$B$1:$B$1324,"&lt;="&amp;$B36))</f>
        <v>0</v>
      </c>
      <c r="Y36" s="24">
        <f>IF(YEAR($B36)*100+MONTH($B36)&lt;--SUBSTITUTE(_xlfn.XLOOKUP("SIYP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LLC",Movimientos!$B$1:$B$1324,"&lt;="&amp;$B36))</f>
        <v>0</v>
      </c>
      <c r="Z36" s="24">
        <f>IF(YEAR($B36)*100+MONTH($B36)&lt;--SUBSTITUTE(_xlfn.XLOOKUP("Prendamas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SRL",Movimientos!$B$1:$B$1324,"&lt;="&amp;$B36))</f>
        <v>0</v>
      </c>
      <c r="AA36" s="24">
        <f>IF(YEAR($B36)*100+MONTH($B36)&lt;--SUBSTITUTE(_xlfn.XLOOKUP("360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LLC",Movimientos!$B$1:$B$1324,"&lt;="&amp;$B36))</f>
        <v>0</v>
      </c>
      <c r="AB36" s="24">
        <f>IF(YEAR($B36)*100+MONTH($B36)&lt;--SUBSTITUTE(_xlfn.XLOOKUP("Five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",Movimientos!$B$1:$B$1324,"&lt;="&amp;$B36))</f>
        <v>0</v>
      </c>
      <c r="AC36" s="24">
        <f>IF(YEAR($B36)*100+MONTH($B36)&lt;--SUBSTITUTE(_xlfn.XLOOKUP("Nobe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Aparments",Movimientos!$B$1:$B$1324,"&lt;="&amp;$B36))</f>
        <v>0</v>
      </c>
      <c r="AD36" s="24">
        <f>IF(YEAR($B36)*100+MONTH($B36)&lt;--SUBSTITUTE(_xlfn.XLOOKUP("Don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Life",Movimientos!$B$1:$B$1324,"&lt;="&amp;$B36))</f>
        <v>0</v>
      </c>
      <c r="AE36" s="25">
        <f t="shared" si="1"/>
        <v>2916540.5599999996</v>
      </c>
    </row>
    <row r="37" spans="1:31" hidden="1" outlineLevel="1" x14ac:dyDescent="0.3">
      <c r="A37" s="22">
        <f t="shared" si="0"/>
        <v>36</v>
      </c>
      <c r="B37" s="23">
        <v>46178</v>
      </c>
      <c r="C37" s="24">
        <f>SUMIFS('Saldos Iniciales'!$D:$D,'Saldos Iniciales'!$A:$A,"CFT Group")+SUMIFS(Movimientos!$K$1:$K$1324,Movimientos!$C$1:$C$1324,"CFT Group",Movimientos!$B$1:$B$1324,"&lt;="&amp;$B37)</f>
        <v>733394.14000000013</v>
      </c>
      <c r="D37" s="24">
        <f>SUMIFS('Saldos Iniciales'!$D:$D,'Saldos Iniciales'!$A:$A,"M1B")+SUMIFS(Movimientos!$K$1:$K$1324,Movimientos!$C$1:$C$1324,"M1B",Movimientos!$B$1:$B$1324,"&lt;="&amp;$B37)</f>
        <v>69376.390000000174</v>
      </c>
      <c r="E37" s="24">
        <f>SUMIFS('Saldos Iniciales'!$D:$D,'Saldos Iniciales'!$A:$A,"Durand")+SUMIFS(Movimientos!$K$1:$K$1324,Movimientos!$C$1:$C$1324,"Durand",Movimientos!$B$1:$B$1324,"&lt;="&amp;$B37)</f>
        <v>1669.89</v>
      </c>
      <c r="F37" s="24">
        <f>SUMIFS('Saldos Iniciales'!$D:$D,'Saldos Iniciales'!$A:$A,"A&amp;M Imports")+SUMIFS(Movimientos!$K$1:$K$1324,Movimientos!$C$1:$C$1324,"A&amp;M Imports",Movimientos!$B$1:$B$1324,"&lt;="&amp;$B37)</f>
        <v>729545.23999999987</v>
      </c>
      <c r="G37" s="24">
        <f>SUMIFS('Saldos Iniciales'!$D:$D,'Saldos Iniciales'!$A:$A,"SSP Capital")+SUMIFS(Movimientos!$K$1:$K$1324,Movimientos!$C$1:$C$1324,"SSP Capital",Movimientos!$B$1:$B$1324,"&lt;="&amp;$B37)</f>
        <v>1164028.3199999994</v>
      </c>
      <c r="H37" s="24">
        <f>SUMIFS('Saldos Iniciales'!$D:$D,'Saldos Iniciales'!$A:$A,"Cross Family Trust")+SUMIFS(Movimientos!$K$1:$K$1324,Movimientos!$C$1:$C$1324,"Cross Family Trust",Movimientos!$B$1:$B$1324,"&lt;="&amp;$B37)</f>
        <v>116496.38</v>
      </c>
      <c r="I37" s="24">
        <f>SUMIFS('Saldos Iniciales'!$D:$D,'Saldos Iniciales'!$A:$A,"Cross Security Trust")+SUMIFS(Movimientos!$K$1:$K$1324,Movimientos!$C$1:$C$1324,"Cross Security Trust",Movimientos!$B$1:$B$1324,"&lt;="&amp;$B37)</f>
        <v>20375.37</v>
      </c>
      <c r="J37" s="24">
        <f>SUMIFS('Saldos Iniciales'!$D:$D,'Saldos Iniciales'!$A:$A,"Electrama")+SUMIFS(Movimientos!$K$1:$K$1324,Movimientos!$C$1:$C$1324,"Electrama",Movimientos!$B$1:$B$1324,"&lt;="&amp;$B37)</f>
        <v>511.15999999999985</v>
      </c>
      <c r="K37" s="24">
        <f>SUMIFS('Saldos Iniciales'!$D:$D,'Saldos Iniciales'!$A:$A,"Sacred Valley Capital")+SUMIFS(Movimientos!$K$1:$K$1324,Movimientos!$C$1:$C$1324,"Sacred Valley Capital",Movimientos!$B$1:$B$1324,"&lt;="&amp;$B37)</f>
        <v>84.35</v>
      </c>
      <c r="L37" s="24">
        <f>SUMIFS('Saldos Iniciales'!$D:$D,'Saldos Iniciales'!$A:$A,"YWC Capital")+SUMIFS(Movimientos!$K$1:$K$1324,Movimientos!$C$1:$C$1324,"YWC Capital",Movimientos!$B$1:$B$1324,"&lt;="&amp;$B37)</f>
        <v>2237.77</v>
      </c>
      <c r="M37" s="24">
        <f>SUMIFS('Saldos Iniciales'!$D:$D,'Saldos Iniciales'!$A:$A,"Soweto")+SUMIFS(Movimientos!$K$1:$K$1324,Movimientos!$C$1:$C$1324,"Soweto",Movimientos!$B$1:$B$1324,"&lt;="&amp;$B37)</f>
        <v>3349.94</v>
      </c>
      <c r="N37" s="24">
        <f>SUMIFS('Saldos Iniciales'!$D:$D,'Saldos Iniciales'!$A:$A,"Green Stone Trust")+SUMIFS(Movimientos!$K$1:$K$1324,Movimientos!$C$1:$C$1324,"Green Stone Trust",Movimientos!$B$1:$B$1324,"&lt;="&amp;$B37)</f>
        <v>1968.99</v>
      </c>
      <c r="O37" s="24">
        <f>SUMIFS('Saldos Iniciales'!$D:$D,'Saldos Iniciales'!$A:$A,"EC Auto")+SUMIFS(Movimientos!$K$1:$K$1324,Movimientos!$C$1:$C$1324,"EC Auto",Movimientos!$B$1:$B$1324,"&lt;="&amp;$B37)</f>
        <v>382.69000000000005</v>
      </c>
      <c r="P37" s="24">
        <f>SUMIFS('Saldos Iniciales'!$D:$D,'Saldos Iniciales'!$A:$A,"Arbor Capital Properties")+SUMIFS(Movimientos!$K$1:$K$1324,Movimientos!$C$1:$C$1324,"Arbor Capital Properties",Movimientos!$B$1:$B$1324,"&lt;="&amp;$B37)</f>
        <v>1428.08</v>
      </c>
      <c r="Q37" s="24">
        <f>SUMIFS('Saldos Iniciales'!$D:$D,'Saldos Iniciales'!$A:$A,"2515 Overbrook")+SUMIFS(Movimientos!$K$1:$K$1324,Movimientos!$C$1:$C$1324,"2515 Overbrook",Movimientos!$B$1:$B$1324,"&lt;="&amp;$B37)</f>
        <v>25789.969999999961</v>
      </c>
      <c r="R37" s="24">
        <f>SUMIFS('Saldos Iniciales'!$D:$D,'Saldos Iniciales'!$A:$A,"112 Florida Ave")+SUMIFS(Movimientos!$K$1:$K$1324,Movimientos!$C$1:$C$1324,"112 Florida Ave",Movimientos!$B$1:$B$1324,"&lt;="&amp;$B37)</f>
        <v>5321.4300000000021</v>
      </c>
      <c r="S37" s="24">
        <f>SUMIFS('Saldos Iniciales'!$D:$D,'Saldos Iniciales'!$A:$A,"3628 Thomas Ave")+SUMIFS(Movimientos!$K$1:$K$1324,Movimientos!$C$1:$C$1324,"3628 Thomas Ave",Movimientos!$B$1:$B$1324,"&lt;="&amp;$B37)</f>
        <v>24833.23</v>
      </c>
      <c r="T37" s="24">
        <f>SUMIFS('Saldos Iniciales'!$D:$D,'Saldos Iniciales'!$A:$A,"Green Harbor Trust")+SUMIFS(Movimientos!$K$1:$K$1324,Movimientos!$C$1:$C$1324,"Green Harbor Trust",Movimientos!$B$1:$B$1324,"&lt;="&amp;$B37)</f>
        <v>345</v>
      </c>
      <c r="U37" s="24">
        <f>SUMIFS('Saldos Iniciales'!$D:$D,'Saldos Iniciales'!$A:$A,"Go Blue")+SUMIFS(Movimientos!$K$1:$K$1324,Movimientos!$C$1:$C$1324,"Go Blue",Movimientos!$B$1:$B$1324,"&lt;="&amp;$B37)</f>
        <v>7716.0900000000038</v>
      </c>
      <c r="V37" s="24">
        <f>IF(YEAR($B37)*100+MONTH($B37)&lt;--SUBSTITUTE(_xlfn.XLOOKUP("Pacha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LLC",Movimientos!$B$1:$B$1324,"&lt;="&amp;$B37))</f>
        <v>0</v>
      </c>
      <c r="W37" s="24">
        <f>IF(YEAR($B37)*100+MONTH($B37)&lt;--SUBSTITUTE(_xlfn.XLOOKUP("*CFT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Residence",Movimientos!$B$1:$B$1324,"&lt;="&amp;$B37))</f>
        <v>0</v>
      </c>
      <c r="X37" s="24">
        <f>IF(YEAR($B37)*100+MONTH($B37)&lt;--SUBSTITUTE(_xlfn.XLOOKUP("Carmen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Trust",Movimientos!$B$1:$B$1324,"&lt;="&amp;$B37))</f>
        <v>0</v>
      </c>
      <c r="Y37" s="24">
        <f>IF(YEAR($B37)*100+MONTH($B37)&lt;--SUBSTITUTE(_xlfn.XLOOKUP("SIYP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LLC",Movimientos!$B$1:$B$1324,"&lt;="&amp;$B37))</f>
        <v>0</v>
      </c>
      <c r="Z37" s="24">
        <f>IF(YEAR($B37)*100+MONTH($B37)&lt;--SUBSTITUTE(_xlfn.XLOOKUP("Prendamas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SRL",Movimientos!$B$1:$B$1324,"&lt;="&amp;$B37))</f>
        <v>0</v>
      </c>
      <c r="AA37" s="24">
        <f>IF(YEAR($B37)*100+MONTH($B37)&lt;--SUBSTITUTE(_xlfn.XLOOKUP("360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LLC",Movimientos!$B$1:$B$1324,"&lt;="&amp;$B37))</f>
        <v>0</v>
      </c>
      <c r="AB37" s="24">
        <f>IF(YEAR($B37)*100+MONTH($B37)&lt;--SUBSTITUTE(_xlfn.XLOOKUP("Five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",Movimientos!$B$1:$B$1324,"&lt;="&amp;$B37))</f>
        <v>0</v>
      </c>
      <c r="AC37" s="24">
        <f>IF(YEAR($B37)*100+MONTH($B37)&lt;--SUBSTITUTE(_xlfn.XLOOKUP("Nobe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Aparments",Movimientos!$B$1:$B$1324,"&lt;="&amp;$B37))</f>
        <v>0</v>
      </c>
      <c r="AD37" s="24">
        <f>IF(YEAR($B37)*100+MONTH($B37)&lt;--SUBSTITUTE(_xlfn.XLOOKUP("Don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Life",Movimientos!$B$1:$B$1324,"&lt;="&amp;$B37))</f>
        <v>0</v>
      </c>
      <c r="AE37" s="25">
        <f t="shared" si="1"/>
        <v>2908854.4299999997</v>
      </c>
    </row>
    <row r="38" spans="1:31" hidden="1" outlineLevel="1" x14ac:dyDescent="0.3">
      <c r="A38" s="22">
        <f t="shared" si="0"/>
        <v>37</v>
      </c>
      <c r="B38" s="23">
        <v>46179</v>
      </c>
      <c r="C38" s="24">
        <f>SUMIFS('Saldos Iniciales'!$D:$D,'Saldos Iniciales'!$A:$A,"CFT Group")+SUMIFS(Movimientos!$K$1:$K$1324,Movimientos!$C$1:$C$1324,"CFT Group",Movimientos!$B$1:$B$1324,"&lt;="&amp;$B38)</f>
        <v>733394.14000000013</v>
      </c>
      <c r="D38" s="24">
        <f>SUMIFS('Saldos Iniciales'!$D:$D,'Saldos Iniciales'!$A:$A,"M1B")+SUMIFS(Movimientos!$K$1:$K$1324,Movimientos!$C$1:$C$1324,"M1B",Movimientos!$B$1:$B$1324,"&lt;="&amp;$B38)</f>
        <v>69376.390000000174</v>
      </c>
      <c r="E38" s="24">
        <f>SUMIFS('Saldos Iniciales'!$D:$D,'Saldos Iniciales'!$A:$A,"Durand")+SUMIFS(Movimientos!$K$1:$K$1324,Movimientos!$C$1:$C$1324,"Durand",Movimientos!$B$1:$B$1324,"&lt;="&amp;$B38)</f>
        <v>1669.89</v>
      </c>
      <c r="F38" s="24">
        <f>SUMIFS('Saldos Iniciales'!$D:$D,'Saldos Iniciales'!$A:$A,"A&amp;M Imports")+SUMIFS(Movimientos!$K$1:$K$1324,Movimientos!$C$1:$C$1324,"A&amp;M Imports",Movimientos!$B$1:$B$1324,"&lt;="&amp;$B38)</f>
        <v>729545.23999999987</v>
      </c>
      <c r="G38" s="24">
        <f>SUMIFS('Saldos Iniciales'!$D:$D,'Saldos Iniciales'!$A:$A,"SSP Capital")+SUMIFS(Movimientos!$K$1:$K$1324,Movimientos!$C$1:$C$1324,"SSP Capital",Movimientos!$B$1:$B$1324,"&lt;="&amp;$B38)</f>
        <v>1164028.3199999994</v>
      </c>
      <c r="H38" s="24">
        <f>SUMIFS('Saldos Iniciales'!$D:$D,'Saldos Iniciales'!$A:$A,"Cross Family Trust")+SUMIFS(Movimientos!$K$1:$K$1324,Movimientos!$C$1:$C$1324,"Cross Family Trust",Movimientos!$B$1:$B$1324,"&lt;="&amp;$B38)</f>
        <v>116496.38</v>
      </c>
      <c r="I38" s="24">
        <f>SUMIFS('Saldos Iniciales'!$D:$D,'Saldos Iniciales'!$A:$A,"Cross Security Trust")+SUMIFS(Movimientos!$K$1:$K$1324,Movimientos!$C$1:$C$1324,"Cross Security Trust",Movimientos!$B$1:$B$1324,"&lt;="&amp;$B38)</f>
        <v>20375.37</v>
      </c>
      <c r="J38" s="24">
        <f>SUMIFS('Saldos Iniciales'!$D:$D,'Saldos Iniciales'!$A:$A,"Electrama")+SUMIFS(Movimientos!$K$1:$K$1324,Movimientos!$C$1:$C$1324,"Electrama",Movimientos!$B$1:$B$1324,"&lt;="&amp;$B38)</f>
        <v>511.15999999999985</v>
      </c>
      <c r="K38" s="24">
        <f>SUMIFS('Saldos Iniciales'!$D:$D,'Saldos Iniciales'!$A:$A,"Sacred Valley Capital")+SUMIFS(Movimientos!$K$1:$K$1324,Movimientos!$C$1:$C$1324,"Sacred Valley Capital",Movimientos!$B$1:$B$1324,"&lt;="&amp;$B38)</f>
        <v>84.35</v>
      </c>
      <c r="L38" s="24">
        <f>SUMIFS('Saldos Iniciales'!$D:$D,'Saldos Iniciales'!$A:$A,"YWC Capital")+SUMIFS(Movimientos!$K$1:$K$1324,Movimientos!$C$1:$C$1324,"YWC Capital",Movimientos!$B$1:$B$1324,"&lt;="&amp;$B38)</f>
        <v>2237.77</v>
      </c>
      <c r="M38" s="24">
        <f>SUMIFS('Saldos Iniciales'!$D:$D,'Saldos Iniciales'!$A:$A,"Soweto")+SUMIFS(Movimientos!$K$1:$K$1324,Movimientos!$C$1:$C$1324,"Soweto",Movimientos!$B$1:$B$1324,"&lt;="&amp;$B38)</f>
        <v>3349.94</v>
      </c>
      <c r="N38" s="24">
        <f>SUMIFS('Saldos Iniciales'!$D:$D,'Saldos Iniciales'!$A:$A,"Green Stone Trust")+SUMIFS(Movimientos!$K$1:$K$1324,Movimientos!$C$1:$C$1324,"Green Stone Trust",Movimientos!$B$1:$B$1324,"&lt;="&amp;$B38)</f>
        <v>1968.99</v>
      </c>
      <c r="O38" s="24">
        <f>SUMIFS('Saldos Iniciales'!$D:$D,'Saldos Iniciales'!$A:$A,"EC Auto")+SUMIFS(Movimientos!$K$1:$K$1324,Movimientos!$C$1:$C$1324,"EC Auto",Movimientos!$B$1:$B$1324,"&lt;="&amp;$B38)</f>
        <v>382.69000000000005</v>
      </c>
      <c r="P38" s="24">
        <f>SUMIFS('Saldos Iniciales'!$D:$D,'Saldos Iniciales'!$A:$A,"Arbor Capital Properties")+SUMIFS(Movimientos!$K$1:$K$1324,Movimientos!$C$1:$C$1324,"Arbor Capital Properties",Movimientos!$B$1:$B$1324,"&lt;="&amp;$B38)</f>
        <v>1428.08</v>
      </c>
      <c r="Q38" s="24">
        <f>SUMIFS('Saldos Iniciales'!$D:$D,'Saldos Iniciales'!$A:$A,"2515 Overbrook")+SUMIFS(Movimientos!$K$1:$K$1324,Movimientos!$C$1:$C$1324,"2515 Overbrook",Movimientos!$B$1:$B$1324,"&lt;="&amp;$B38)</f>
        <v>25789.969999999961</v>
      </c>
      <c r="R38" s="24">
        <f>SUMIFS('Saldos Iniciales'!$D:$D,'Saldos Iniciales'!$A:$A,"112 Florida Ave")+SUMIFS(Movimientos!$K$1:$K$1324,Movimientos!$C$1:$C$1324,"112 Florida Ave",Movimientos!$B$1:$B$1324,"&lt;="&amp;$B38)</f>
        <v>5321.4300000000021</v>
      </c>
      <c r="S38" s="24">
        <f>SUMIFS('Saldos Iniciales'!$D:$D,'Saldos Iniciales'!$A:$A,"3628 Thomas Ave")+SUMIFS(Movimientos!$K$1:$K$1324,Movimientos!$C$1:$C$1324,"3628 Thomas Ave",Movimientos!$B$1:$B$1324,"&lt;="&amp;$B38)</f>
        <v>24833.23</v>
      </c>
      <c r="T38" s="24">
        <f>SUMIFS('Saldos Iniciales'!$D:$D,'Saldos Iniciales'!$A:$A,"Green Harbor Trust")+SUMIFS(Movimientos!$K$1:$K$1324,Movimientos!$C$1:$C$1324,"Green Harbor Trust",Movimientos!$B$1:$B$1324,"&lt;="&amp;$B38)</f>
        <v>345</v>
      </c>
      <c r="U38" s="24">
        <f>SUMIFS('Saldos Iniciales'!$D:$D,'Saldos Iniciales'!$A:$A,"Go Blue")+SUMIFS(Movimientos!$K$1:$K$1324,Movimientos!$C$1:$C$1324,"Go Blue",Movimientos!$B$1:$B$1324,"&lt;="&amp;$B38)</f>
        <v>7716.0900000000038</v>
      </c>
      <c r="V38" s="24">
        <f>IF(YEAR($B38)*100+MONTH($B38)&lt;--SUBSTITUTE(_xlfn.XLOOKUP("Pacha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LLC",Movimientos!$B$1:$B$1324,"&lt;="&amp;$B38))</f>
        <v>0</v>
      </c>
      <c r="W38" s="24">
        <f>IF(YEAR($B38)*100+MONTH($B38)&lt;--SUBSTITUTE(_xlfn.XLOOKUP("*CFT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Residence",Movimientos!$B$1:$B$1324,"&lt;="&amp;$B38))</f>
        <v>0</v>
      </c>
      <c r="X38" s="24">
        <f>IF(YEAR($B38)*100+MONTH($B38)&lt;--SUBSTITUTE(_xlfn.XLOOKUP("Carmen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Trust",Movimientos!$B$1:$B$1324,"&lt;="&amp;$B38))</f>
        <v>0</v>
      </c>
      <c r="Y38" s="24">
        <f>IF(YEAR($B38)*100+MONTH($B38)&lt;--SUBSTITUTE(_xlfn.XLOOKUP("SIYP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LLC",Movimientos!$B$1:$B$1324,"&lt;="&amp;$B38))</f>
        <v>0</v>
      </c>
      <c r="Z38" s="24">
        <f>IF(YEAR($B38)*100+MONTH($B38)&lt;--SUBSTITUTE(_xlfn.XLOOKUP("Prendamas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SRL",Movimientos!$B$1:$B$1324,"&lt;="&amp;$B38))</f>
        <v>0</v>
      </c>
      <c r="AA38" s="24">
        <f>IF(YEAR($B38)*100+MONTH($B38)&lt;--SUBSTITUTE(_xlfn.XLOOKUP("360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LLC",Movimientos!$B$1:$B$1324,"&lt;="&amp;$B38))</f>
        <v>0</v>
      </c>
      <c r="AB38" s="24">
        <f>IF(YEAR($B38)*100+MONTH($B38)&lt;--SUBSTITUTE(_xlfn.XLOOKUP("Five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",Movimientos!$B$1:$B$1324,"&lt;="&amp;$B38))</f>
        <v>0</v>
      </c>
      <c r="AC38" s="24">
        <f>IF(YEAR($B38)*100+MONTH($B38)&lt;--SUBSTITUTE(_xlfn.XLOOKUP("Nobe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Aparments",Movimientos!$B$1:$B$1324,"&lt;="&amp;$B38))</f>
        <v>0</v>
      </c>
      <c r="AD38" s="24">
        <f>IF(YEAR($B38)*100+MONTH($B38)&lt;--SUBSTITUTE(_xlfn.XLOOKUP("Don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Life",Movimientos!$B$1:$B$1324,"&lt;="&amp;$B38))</f>
        <v>0</v>
      </c>
      <c r="AE38" s="25">
        <f t="shared" si="1"/>
        <v>2908854.4299999997</v>
      </c>
    </row>
    <row r="39" spans="1:31" hidden="1" outlineLevel="1" x14ac:dyDescent="0.3">
      <c r="A39" s="22">
        <f t="shared" si="0"/>
        <v>38</v>
      </c>
      <c r="B39" s="23">
        <v>46180</v>
      </c>
      <c r="C39" s="24">
        <f>SUMIFS('Saldos Iniciales'!$D:$D,'Saldos Iniciales'!$A:$A,"CFT Group")+SUMIFS(Movimientos!$K$1:$K$1324,Movimientos!$C$1:$C$1324,"CFT Group",Movimientos!$B$1:$B$1324,"&lt;="&amp;$B39)</f>
        <v>733394.14000000013</v>
      </c>
      <c r="D39" s="24">
        <f>SUMIFS('Saldos Iniciales'!$D:$D,'Saldos Iniciales'!$A:$A,"M1B")+SUMIFS(Movimientos!$K$1:$K$1324,Movimientos!$C$1:$C$1324,"M1B",Movimientos!$B$1:$B$1324,"&lt;="&amp;$B39)</f>
        <v>69376.390000000174</v>
      </c>
      <c r="E39" s="24">
        <f>SUMIFS('Saldos Iniciales'!$D:$D,'Saldos Iniciales'!$A:$A,"Durand")+SUMIFS(Movimientos!$K$1:$K$1324,Movimientos!$C$1:$C$1324,"Durand",Movimientos!$B$1:$B$1324,"&lt;="&amp;$B39)</f>
        <v>1669.89</v>
      </c>
      <c r="F39" s="24">
        <f>SUMIFS('Saldos Iniciales'!$D:$D,'Saldos Iniciales'!$A:$A,"A&amp;M Imports")+SUMIFS(Movimientos!$K$1:$K$1324,Movimientos!$C$1:$C$1324,"A&amp;M Imports",Movimientos!$B$1:$B$1324,"&lt;="&amp;$B39)</f>
        <v>729545.23999999987</v>
      </c>
      <c r="G39" s="24">
        <f>SUMIFS('Saldos Iniciales'!$D:$D,'Saldos Iniciales'!$A:$A,"SSP Capital")+SUMIFS(Movimientos!$K$1:$K$1324,Movimientos!$C$1:$C$1324,"SSP Capital",Movimientos!$B$1:$B$1324,"&lt;="&amp;$B39)</f>
        <v>1164028.3199999994</v>
      </c>
      <c r="H39" s="24">
        <f>SUMIFS('Saldos Iniciales'!$D:$D,'Saldos Iniciales'!$A:$A,"Cross Family Trust")+SUMIFS(Movimientos!$K$1:$K$1324,Movimientos!$C$1:$C$1324,"Cross Family Trust",Movimientos!$B$1:$B$1324,"&lt;="&amp;$B39)</f>
        <v>116496.38</v>
      </c>
      <c r="I39" s="24">
        <f>SUMIFS('Saldos Iniciales'!$D:$D,'Saldos Iniciales'!$A:$A,"Cross Security Trust")+SUMIFS(Movimientos!$K$1:$K$1324,Movimientos!$C$1:$C$1324,"Cross Security Trust",Movimientos!$B$1:$B$1324,"&lt;="&amp;$B39)</f>
        <v>20375.37</v>
      </c>
      <c r="J39" s="24">
        <f>SUMIFS('Saldos Iniciales'!$D:$D,'Saldos Iniciales'!$A:$A,"Electrama")+SUMIFS(Movimientos!$K$1:$K$1324,Movimientos!$C$1:$C$1324,"Electrama",Movimientos!$B$1:$B$1324,"&lt;="&amp;$B39)</f>
        <v>511.15999999999985</v>
      </c>
      <c r="K39" s="24">
        <f>SUMIFS('Saldos Iniciales'!$D:$D,'Saldos Iniciales'!$A:$A,"Sacred Valley Capital")+SUMIFS(Movimientos!$K$1:$K$1324,Movimientos!$C$1:$C$1324,"Sacred Valley Capital",Movimientos!$B$1:$B$1324,"&lt;="&amp;$B39)</f>
        <v>84.35</v>
      </c>
      <c r="L39" s="24">
        <f>SUMIFS('Saldos Iniciales'!$D:$D,'Saldos Iniciales'!$A:$A,"YWC Capital")+SUMIFS(Movimientos!$K$1:$K$1324,Movimientos!$C$1:$C$1324,"YWC Capital",Movimientos!$B$1:$B$1324,"&lt;="&amp;$B39)</f>
        <v>2237.77</v>
      </c>
      <c r="M39" s="24">
        <f>SUMIFS('Saldos Iniciales'!$D:$D,'Saldos Iniciales'!$A:$A,"Soweto")+SUMIFS(Movimientos!$K$1:$K$1324,Movimientos!$C$1:$C$1324,"Soweto",Movimientos!$B$1:$B$1324,"&lt;="&amp;$B39)</f>
        <v>3349.94</v>
      </c>
      <c r="N39" s="24">
        <f>SUMIFS('Saldos Iniciales'!$D:$D,'Saldos Iniciales'!$A:$A,"Green Stone Trust")+SUMIFS(Movimientos!$K$1:$K$1324,Movimientos!$C$1:$C$1324,"Green Stone Trust",Movimientos!$B$1:$B$1324,"&lt;="&amp;$B39)</f>
        <v>1968.99</v>
      </c>
      <c r="O39" s="24">
        <f>SUMIFS('Saldos Iniciales'!$D:$D,'Saldos Iniciales'!$A:$A,"EC Auto")+SUMIFS(Movimientos!$K$1:$K$1324,Movimientos!$C$1:$C$1324,"EC Auto",Movimientos!$B$1:$B$1324,"&lt;="&amp;$B39)</f>
        <v>382.69000000000005</v>
      </c>
      <c r="P39" s="24">
        <f>SUMIFS('Saldos Iniciales'!$D:$D,'Saldos Iniciales'!$A:$A,"Arbor Capital Properties")+SUMIFS(Movimientos!$K$1:$K$1324,Movimientos!$C$1:$C$1324,"Arbor Capital Properties",Movimientos!$B$1:$B$1324,"&lt;="&amp;$B39)</f>
        <v>1428.08</v>
      </c>
      <c r="Q39" s="24">
        <f>SUMIFS('Saldos Iniciales'!$D:$D,'Saldos Iniciales'!$A:$A,"2515 Overbrook")+SUMIFS(Movimientos!$K$1:$K$1324,Movimientos!$C$1:$C$1324,"2515 Overbrook",Movimientos!$B$1:$B$1324,"&lt;="&amp;$B39)</f>
        <v>25789.969999999961</v>
      </c>
      <c r="R39" s="24">
        <f>SUMIFS('Saldos Iniciales'!$D:$D,'Saldos Iniciales'!$A:$A,"112 Florida Ave")+SUMIFS(Movimientos!$K$1:$K$1324,Movimientos!$C$1:$C$1324,"112 Florida Ave",Movimientos!$B$1:$B$1324,"&lt;="&amp;$B39)</f>
        <v>5321.4300000000021</v>
      </c>
      <c r="S39" s="24">
        <f>SUMIFS('Saldos Iniciales'!$D:$D,'Saldos Iniciales'!$A:$A,"3628 Thomas Ave")+SUMIFS(Movimientos!$K$1:$K$1324,Movimientos!$C$1:$C$1324,"3628 Thomas Ave",Movimientos!$B$1:$B$1324,"&lt;="&amp;$B39)</f>
        <v>24833.23</v>
      </c>
      <c r="T39" s="24">
        <f>SUMIFS('Saldos Iniciales'!$D:$D,'Saldos Iniciales'!$A:$A,"Green Harbor Trust")+SUMIFS(Movimientos!$K$1:$K$1324,Movimientos!$C$1:$C$1324,"Green Harbor Trust",Movimientos!$B$1:$B$1324,"&lt;="&amp;$B39)</f>
        <v>345</v>
      </c>
      <c r="U39" s="24">
        <f>SUMIFS('Saldos Iniciales'!$D:$D,'Saldos Iniciales'!$A:$A,"Go Blue")+SUMIFS(Movimientos!$K$1:$K$1324,Movimientos!$C$1:$C$1324,"Go Blue",Movimientos!$B$1:$B$1324,"&lt;="&amp;$B39)</f>
        <v>7716.0900000000038</v>
      </c>
      <c r="V39" s="24">
        <f>IF(YEAR($B39)*100+MONTH($B39)&lt;--SUBSTITUTE(_xlfn.XLOOKUP("Pacha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LLC",Movimientos!$B$1:$B$1324,"&lt;="&amp;$B39))</f>
        <v>0</v>
      </c>
      <c r="W39" s="24">
        <f>IF(YEAR($B39)*100+MONTH($B39)&lt;--SUBSTITUTE(_xlfn.XLOOKUP("*CFT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Residence",Movimientos!$B$1:$B$1324,"&lt;="&amp;$B39))</f>
        <v>0</v>
      </c>
      <c r="X39" s="24">
        <f>IF(YEAR($B39)*100+MONTH($B39)&lt;--SUBSTITUTE(_xlfn.XLOOKUP("Carmen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Trust",Movimientos!$B$1:$B$1324,"&lt;="&amp;$B39))</f>
        <v>0</v>
      </c>
      <c r="Y39" s="24">
        <f>IF(YEAR($B39)*100+MONTH($B39)&lt;--SUBSTITUTE(_xlfn.XLOOKUP("SIYP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LLC",Movimientos!$B$1:$B$1324,"&lt;="&amp;$B39))</f>
        <v>0</v>
      </c>
      <c r="Z39" s="24">
        <f>IF(YEAR($B39)*100+MONTH($B39)&lt;--SUBSTITUTE(_xlfn.XLOOKUP("Prendamas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SRL",Movimientos!$B$1:$B$1324,"&lt;="&amp;$B39))</f>
        <v>0</v>
      </c>
      <c r="AA39" s="24">
        <f>IF(YEAR($B39)*100+MONTH($B39)&lt;--SUBSTITUTE(_xlfn.XLOOKUP("360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LLC",Movimientos!$B$1:$B$1324,"&lt;="&amp;$B39))</f>
        <v>0</v>
      </c>
      <c r="AB39" s="24">
        <f>IF(YEAR($B39)*100+MONTH($B39)&lt;--SUBSTITUTE(_xlfn.XLOOKUP("Five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",Movimientos!$B$1:$B$1324,"&lt;="&amp;$B39))</f>
        <v>0</v>
      </c>
      <c r="AC39" s="24">
        <f>IF(YEAR($B39)*100+MONTH($B39)&lt;--SUBSTITUTE(_xlfn.XLOOKUP("Nobe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Aparments",Movimientos!$B$1:$B$1324,"&lt;="&amp;$B39))</f>
        <v>0</v>
      </c>
      <c r="AD39" s="24">
        <f>IF(YEAR($B39)*100+MONTH($B39)&lt;--SUBSTITUTE(_xlfn.XLOOKUP("Don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Life",Movimientos!$B$1:$B$1324,"&lt;="&amp;$B39))</f>
        <v>0</v>
      </c>
      <c r="AE39" s="25">
        <f t="shared" si="1"/>
        <v>2908854.4299999997</v>
      </c>
    </row>
    <row r="40" spans="1:31" hidden="1" outlineLevel="1" x14ac:dyDescent="0.3">
      <c r="A40" s="22">
        <f t="shared" si="0"/>
        <v>39</v>
      </c>
      <c r="B40" s="23">
        <v>46181</v>
      </c>
      <c r="C40" s="24">
        <f>SUMIFS('Saldos Iniciales'!$D:$D,'Saldos Iniciales'!$A:$A,"CFT Group")+SUMIFS(Movimientos!$K$1:$K$1324,Movimientos!$C$1:$C$1324,"CFT Group",Movimientos!$B$1:$B$1324,"&lt;="&amp;$B40)</f>
        <v>733394.14000000013</v>
      </c>
      <c r="D40" s="24">
        <f>SUMIFS('Saldos Iniciales'!$D:$D,'Saldos Iniciales'!$A:$A,"M1B")+SUMIFS(Movimientos!$K$1:$K$1324,Movimientos!$C$1:$C$1324,"M1B",Movimientos!$B$1:$B$1324,"&lt;="&amp;$B40)</f>
        <v>69376.390000000174</v>
      </c>
      <c r="E40" s="24">
        <f>SUMIFS('Saldos Iniciales'!$D:$D,'Saldos Iniciales'!$A:$A,"Durand")+SUMIFS(Movimientos!$K$1:$K$1324,Movimientos!$C$1:$C$1324,"Durand",Movimientos!$B$1:$B$1324,"&lt;="&amp;$B40)</f>
        <v>1669.89</v>
      </c>
      <c r="F40" s="24">
        <f>SUMIFS('Saldos Iniciales'!$D:$D,'Saldos Iniciales'!$A:$A,"A&amp;M Imports")+SUMIFS(Movimientos!$K$1:$K$1324,Movimientos!$C$1:$C$1324,"A&amp;M Imports",Movimientos!$B$1:$B$1324,"&lt;="&amp;$B40)</f>
        <v>729545.23999999987</v>
      </c>
      <c r="G40" s="24">
        <f>SUMIFS('Saldos Iniciales'!$D:$D,'Saldos Iniciales'!$A:$A,"SSP Capital")+SUMIFS(Movimientos!$K$1:$K$1324,Movimientos!$C$1:$C$1324,"SSP Capital",Movimientos!$B$1:$B$1324,"&lt;="&amp;$B40)</f>
        <v>1164028.3199999994</v>
      </c>
      <c r="H40" s="24">
        <f>SUMIFS('Saldos Iniciales'!$D:$D,'Saldos Iniciales'!$A:$A,"Cross Family Trust")+SUMIFS(Movimientos!$K$1:$K$1324,Movimientos!$C$1:$C$1324,"Cross Family Trust",Movimientos!$B$1:$B$1324,"&lt;="&amp;$B40)</f>
        <v>116496.38</v>
      </c>
      <c r="I40" s="24">
        <f>SUMIFS('Saldos Iniciales'!$D:$D,'Saldos Iniciales'!$A:$A,"Cross Security Trust")+SUMIFS(Movimientos!$K$1:$K$1324,Movimientos!$C$1:$C$1324,"Cross Security Trust",Movimientos!$B$1:$B$1324,"&lt;="&amp;$B40)</f>
        <v>20375.37</v>
      </c>
      <c r="J40" s="24">
        <f>SUMIFS('Saldos Iniciales'!$D:$D,'Saldos Iniciales'!$A:$A,"Electrama")+SUMIFS(Movimientos!$K$1:$K$1324,Movimientos!$C$1:$C$1324,"Electrama",Movimientos!$B$1:$B$1324,"&lt;="&amp;$B40)</f>
        <v>511.15999999999985</v>
      </c>
      <c r="K40" s="24">
        <f>SUMIFS('Saldos Iniciales'!$D:$D,'Saldos Iniciales'!$A:$A,"Sacred Valley Capital")+SUMIFS(Movimientos!$K$1:$K$1324,Movimientos!$C$1:$C$1324,"Sacred Valley Capital",Movimientos!$B$1:$B$1324,"&lt;="&amp;$B40)</f>
        <v>84.35</v>
      </c>
      <c r="L40" s="24">
        <f>SUMIFS('Saldos Iniciales'!$D:$D,'Saldos Iniciales'!$A:$A,"YWC Capital")+SUMIFS(Movimientos!$K$1:$K$1324,Movimientos!$C$1:$C$1324,"YWC Capital",Movimientos!$B$1:$B$1324,"&lt;="&amp;$B40)</f>
        <v>2237.77</v>
      </c>
      <c r="M40" s="24">
        <f>SUMIFS('Saldos Iniciales'!$D:$D,'Saldos Iniciales'!$A:$A,"Soweto")+SUMIFS(Movimientos!$K$1:$K$1324,Movimientos!$C$1:$C$1324,"Soweto",Movimientos!$B$1:$B$1324,"&lt;="&amp;$B40)</f>
        <v>3349.94</v>
      </c>
      <c r="N40" s="24">
        <f>SUMIFS('Saldos Iniciales'!$D:$D,'Saldos Iniciales'!$A:$A,"Green Stone Trust")+SUMIFS(Movimientos!$K$1:$K$1324,Movimientos!$C$1:$C$1324,"Green Stone Trust",Movimientos!$B$1:$B$1324,"&lt;="&amp;$B40)</f>
        <v>1968.99</v>
      </c>
      <c r="O40" s="24">
        <f>SUMIFS('Saldos Iniciales'!$D:$D,'Saldos Iniciales'!$A:$A,"EC Auto")+SUMIFS(Movimientos!$K$1:$K$1324,Movimientos!$C$1:$C$1324,"EC Auto",Movimientos!$B$1:$B$1324,"&lt;="&amp;$B40)</f>
        <v>382.69000000000005</v>
      </c>
      <c r="P40" s="24">
        <f>SUMIFS('Saldos Iniciales'!$D:$D,'Saldos Iniciales'!$A:$A,"Arbor Capital Properties")+SUMIFS(Movimientos!$K$1:$K$1324,Movimientos!$C$1:$C$1324,"Arbor Capital Properties",Movimientos!$B$1:$B$1324,"&lt;="&amp;$B40)</f>
        <v>1428.08</v>
      </c>
      <c r="Q40" s="24">
        <f>SUMIFS('Saldos Iniciales'!$D:$D,'Saldos Iniciales'!$A:$A,"2515 Overbrook")+SUMIFS(Movimientos!$K$1:$K$1324,Movimientos!$C$1:$C$1324,"2515 Overbrook",Movimientos!$B$1:$B$1324,"&lt;="&amp;$B40)</f>
        <v>25789.969999999961</v>
      </c>
      <c r="R40" s="24">
        <f>SUMIFS('Saldos Iniciales'!$D:$D,'Saldos Iniciales'!$A:$A,"112 Florida Ave")+SUMIFS(Movimientos!$K$1:$K$1324,Movimientos!$C$1:$C$1324,"112 Florida Ave",Movimientos!$B$1:$B$1324,"&lt;="&amp;$B40)</f>
        <v>5321.4300000000021</v>
      </c>
      <c r="S40" s="24">
        <f>SUMIFS('Saldos Iniciales'!$D:$D,'Saldos Iniciales'!$A:$A,"3628 Thomas Ave")+SUMIFS(Movimientos!$K$1:$K$1324,Movimientos!$C$1:$C$1324,"3628 Thomas Ave",Movimientos!$B$1:$B$1324,"&lt;="&amp;$B40)</f>
        <v>24833.23</v>
      </c>
      <c r="T40" s="24">
        <f>SUMIFS('Saldos Iniciales'!$D:$D,'Saldos Iniciales'!$A:$A,"Green Harbor Trust")+SUMIFS(Movimientos!$K$1:$K$1324,Movimientos!$C$1:$C$1324,"Green Harbor Trust",Movimientos!$B$1:$B$1324,"&lt;="&amp;$B40)</f>
        <v>345</v>
      </c>
      <c r="U40" s="24">
        <f>SUMIFS('Saldos Iniciales'!$D:$D,'Saldos Iniciales'!$A:$A,"Go Blue")+SUMIFS(Movimientos!$K$1:$K$1324,Movimientos!$C$1:$C$1324,"Go Blue",Movimientos!$B$1:$B$1324,"&lt;="&amp;$B40)</f>
        <v>6744.5000000000036</v>
      </c>
      <c r="V40" s="24">
        <f>IF(YEAR($B40)*100+MONTH($B40)&lt;--SUBSTITUTE(_xlfn.XLOOKUP("Pacha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LLC",Movimientos!$B$1:$B$1324,"&lt;="&amp;$B40))</f>
        <v>0</v>
      </c>
      <c r="W40" s="24">
        <f>IF(YEAR($B40)*100+MONTH($B40)&lt;--SUBSTITUTE(_xlfn.XLOOKUP("*CFT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Residence",Movimientos!$B$1:$B$1324,"&lt;="&amp;$B40))</f>
        <v>0</v>
      </c>
      <c r="X40" s="24">
        <f>IF(YEAR($B40)*100+MONTH($B40)&lt;--SUBSTITUTE(_xlfn.XLOOKUP("Carmen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Trust",Movimientos!$B$1:$B$1324,"&lt;="&amp;$B40))</f>
        <v>0</v>
      </c>
      <c r="Y40" s="24">
        <f>IF(YEAR($B40)*100+MONTH($B40)&lt;--SUBSTITUTE(_xlfn.XLOOKUP("SIYP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LLC",Movimientos!$B$1:$B$1324,"&lt;="&amp;$B40))</f>
        <v>0</v>
      </c>
      <c r="Z40" s="24">
        <f>IF(YEAR($B40)*100+MONTH($B40)&lt;--SUBSTITUTE(_xlfn.XLOOKUP("Prendamas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SRL",Movimientos!$B$1:$B$1324,"&lt;="&amp;$B40))</f>
        <v>0</v>
      </c>
      <c r="AA40" s="24">
        <f>IF(YEAR($B40)*100+MONTH($B40)&lt;--SUBSTITUTE(_xlfn.XLOOKUP("360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LLC",Movimientos!$B$1:$B$1324,"&lt;="&amp;$B40))</f>
        <v>0</v>
      </c>
      <c r="AB40" s="24">
        <f>IF(YEAR($B40)*100+MONTH($B40)&lt;--SUBSTITUTE(_xlfn.XLOOKUP("Five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",Movimientos!$B$1:$B$1324,"&lt;="&amp;$B40))</f>
        <v>0</v>
      </c>
      <c r="AC40" s="24">
        <f>IF(YEAR($B40)*100+MONTH($B40)&lt;--SUBSTITUTE(_xlfn.XLOOKUP("Nobe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Aparments",Movimientos!$B$1:$B$1324,"&lt;="&amp;$B40))</f>
        <v>0</v>
      </c>
      <c r="AD40" s="24">
        <f>IF(YEAR($B40)*100+MONTH($B40)&lt;--SUBSTITUTE(_xlfn.XLOOKUP("Don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Life",Movimientos!$B$1:$B$1324,"&lt;="&amp;$B40))</f>
        <v>0</v>
      </c>
      <c r="AE40" s="25">
        <f t="shared" si="1"/>
        <v>2907882.84</v>
      </c>
    </row>
    <row r="41" spans="1:31" hidden="1" outlineLevel="1" x14ac:dyDescent="0.3">
      <c r="A41" s="22">
        <f t="shared" si="0"/>
        <v>40</v>
      </c>
      <c r="B41" s="23">
        <v>46182</v>
      </c>
      <c r="C41" s="24">
        <f>SUMIFS('Saldos Iniciales'!$D:$D,'Saldos Iniciales'!$A:$A,"CFT Group")+SUMIFS(Movimientos!$K$1:$K$1324,Movimientos!$C$1:$C$1324,"CFT Group",Movimientos!$B$1:$B$1324,"&lt;="&amp;$B41)</f>
        <v>847381.29000000015</v>
      </c>
      <c r="D41" s="24">
        <f>SUMIFS('Saldos Iniciales'!$D:$D,'Saldos Iniciales'!$A:$A,"M1B")+SUMIFS(Movimientos!$K$1:$K$1324,Movimientos!$C$1:$C$1324,"M1B",Movimientos!$B$1:$B$1324,"&lt;="&amp;$B41)</f>
        <v>69376.390000000174</v>
      </c>
      <c r="E41" s="24">
        <f>SUMIFS('Saldos Iniciales'!$D:$D,'Saldos Iniciales'!$A:$A,"Durand")+SUMIFS(Movimientos!$K$1:$K$1324,Movimientos!$C$1:$C$1324,"Durand",Movimientos!$B$1:$B$1324,"&lt;="&amp;$B41)</f>
        <v>1669.89</v>
      </c>
      <c r="F41" s="24">
        <f>SUMIFS('Saldos Iniciales'!$D:$D,'Saldos Iniciales'!$A:$A,"A&amp;M Imports")+SUMIFS(Movimientos!$K$1:$K$1324,Movimientos!$C$1:$C$1324,"A&amp;M Imports",Movimientos!$B$1:$B$1324,"&lt;="&amp;$B41)</f>
        <v>729545.23999999987</v>
      </c>
      <c r="G41" s="24">
        <f>SUMIFS('Saldos Iniciales'!$D:$D,'Saldos Iniciales'!$A:$A,"SSP Capital")+SUMIFS(Movimientos!$K$1:$K$1324,Movimientos!$C$1:$C$1324,"SSP Capital",Movimientos!$B$1:$B$1324,"&lt;="&amp;$B41)</f>
        <v>1160274.0499999993</v>
      </c>
      <c r="H41" s="24">
        <f>SUMIFS('Saldos Iniciales'!$D:$D,'Saldos Iniciales'!$A:$A,"Cross Family Trust")+SUMIFS(Movimientos!$K$1:$K$1324,Movimientos!$C$1:$C$1324,"Cross Family Trust",Movimientos!$B$1:$B$1324,"&lt;="&amp;$B41)</f>
        <v>116496.38</v>
      </c>
      <c r="I41" s="24">
        <f>SUMIFS('Saldos Iniciales'!$D:$D,'Saldos Iniciales'!$A:$A,"Cross Security Trust")+SUMIFS(Movimientos!$K$1:$K$1324,Movimientos!$C$1:$C$1324,"Cross Security Trust",Movimientos!$B$1:$B$1324,"&lt;="&amp;$B41)</f>
        <v>20375.37</v>
      </c>
      <c r="J41" s="24">
        <f>SUMIFS('Saldos Iniciales'!$D:$D,'Saldos Iniciales'!$A:$A,"Electrama")+SUMIFS(Movimientos!$K$1:$K$1324,Movimientos!$C$1:$C$1324,"Electrama",Movimientos!$B$1:$B$1324,"&lt;="&amp;$B41)</f>
        <v>511.15999999999985</v>
      </c>
      <c r="K41" s="24">
        <f>SUMIFS('Saldos Iniciales'!$D:$D,'Saldos Iniciales'!$A:$A,"Sacred Valley Capital")+SUMIFS(Movimientos!$K$1:$K$1324,Movimientos!$C$1:$C$1324,"Sacred Valley Capital",Movimientos!$B$1:$B$1324,"&lt;="&amp;$B41)</f>
        <v>84.35</v>
      </c>
      <c r="L41" s="24">
        <f>SUMIFS('Saldos Iniciales'!$D:$D,'Saldos Iniciales'!$A:$A,"YWC Capital")+SUMIFS(Movimientos!$K$1:$K$1324,Movimientos!$C$1:$C$1324,"YWC Capital",Movimientos!$B$1:$B$1324,"&lt;="&amp;$B41)</f>
        <v>2237.77</v>
      </c>
      <c r="M41" s="24">
        <f>SUMIFS('Saldos Iniciales'!$D:$D,'Saldos Iniciales'!$A:$A,"Soweto")+SUMIFS(Movimientos!$K$1:$K$1324,Movimientos!$C$1:$C$1324,"Soweto",Movimientos!$B$1:$B$1324,"&lt;="&amp;$B41)</f>
        <v>3349.94</v>
      </c>
      <c r="N41" s="24">
        <f>SUMIFS('Saldos Iniciales'!$D:$D,'Saldos Iniciales'!$A:$A,"Green Stone Trust")+SUMIFS(Movimientos!$K$1:$K$1324,Movimientos!$C$1:$C$1324,"Green Stone Trust",Movimientos!$B$1:$B$1324,"&lt;="&amp;$B41)</f>
        <v>1968.99</v>
      </c>
      <c r="O41" s="24">
        <f>SUMIFS('Saldos Iniciales'!$D:$D,'Saldos Iniciales'!$A:$A,"EC Auto")+SUMIFS(Movimientos!$K$1:$K$1324,Movimientos!$C$1:$C$1324,"EC Auto",Movimientos!$B$1:$B$1324,"&lt;="&amp;$B41)</f>
        <v>382.69000000000005</v>
      </c>
      <c r="P41" s="24">
        <f>SUMIFS('Saldos Iniciales'!$D:$D,'Saldos Iniciales'!$A:$A,"Arbor Capital Properties")+SUMIFS(Movimientos!$K$1:$K$1324,Movimientos!$C$1:$C$1324,"Arbor Capital Properties",Movimientos!$B$1:$B$1324,"&lt;="&amp;$B41)</f>
        <v>1428.08</v>
      </c>
      <c r="Q41" s="24">
        <f>SUMIFS('Saldos Iniciales'!$D:$D,'Saldos Iniciales'!$A:$A,"2515 Overbrook")+SUMIFS(Movimientos!$K$1:$K$1324,Movimientos!$C$1:$C$1324,"2515 Overbrook",Movimientos!$B$1:$B$1324,"&lt;="&amp;$B41)</f>
        <v>25789.969999999961</v>
      </c>
      <c r="R41" s="24">
        <f>SUMIFS('Saldos Iniciales'!$D:$D,'Saldos Iniciales'!$A:$A,"112 Florida Ave")+SUMIFS(Movimientos!$K$1:$K$1324,Movimientos!$C$1:$C$1324,"112 Florida Ave",Movimientos!$B$1:$B$1324,"&lt;="&amp;$B41)</f>
        <v>5321.4300000000021</v>
      </c>
      <c r="S41" s="24">
        <f>SUMIFS('Saldos Iniciales'!$D:$D,'Saldos Iniciales'!$A:$A,"3628 Thomas Ave")+SUMIFS(Movimientos!$K$1:$K$1324,Movimientos!$C$1:$C$1324,"3628 Thomas Ave",Movimientos!$B$1:$B$1324,"&lt;="&amp;$B41)</f>
        <v>24833.23</v>
      </c>
      <c r="T41" s="24">
        <f>SUMIFS('Saldos Iniciales'!$D:$D,'Saldos Iniciales'!$A:$A,"Green Harbor Trust")+SUMIFS(Movimientos!$K$1:$K$1324,Movimientos!$C$1:$C$1324,"Green Harbor Trust",Movimientos!$B$1:$B$1324,"&lt;="&amp;$B41)</f>
        <v>345</v>
      </c>
      <c r="U41" s="24">
        <f>SUMIFS('Saldos Iniciales'!$D:$D,'Saldos Iniciales'!$A:$A,"Go Blue")+SUMIFS(Movimientos!$K$1:$K$1324,Movimientos!$C$1:$C$1324,"Go Blue",Movimientos!$B$1:$B$1324,"&lt;="&amp;$B41)</f>
        <v>6583.0800000000036</v>
      </c>
      <c r="V41" s="24">
        <f>IF(YEAR($B41)*100+MONTH($B41)&lt;--SUBSTITUTE(_xlfn.XLOOKUP("Pacha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LLC",Movimientos!$B$1:$B$1324,"&lt;="&amp;$B41))</f>
        <v>0</v>
      </c>
      <c r="W41" s="24">
        <f>IF(YEAR($B41)*100+MONTH($B41)&lt;--SUBSTITUTE(_xlfn.XLOOKUP("*CFT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Residence",Movimientos!$B$1:$B$1324,"&lt;="&amp;$B41))</f>
        <v>0</v>
      </c>
      <c r="X41" s="24">
        <f>IF(YEAR($B41)*100+MONTH($B41)&lt;--SUBSTITUTE(_xlfn.XLOOKUP("Carmen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Trust",Movimientos!$B$1:$B$1324,"&lt;="&amp;$B41))</f>
        <v>0</v>
      </c>
      <c r="Y41" s="24">
        <f>IF(YEAR($B41)*100+MONTH($B41)&lt;--SUBSTITUTE(_xlfn.XLOOKUP("SIYP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LLC",Movimientos!$B$1:$B$1324,"&lt;="&amp;$B41))</f>
        <v>0</v>
      </c>
      <c r="Z41" s="24">
        <f>IF(YEAR($B41)*100+MONTH($B41)&lt;--SUBSTITUTE(_xlfn.XLOOKUP("Prendamas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SRL",Movimientos!$B$1:$B$1324,"&lt;="&amp;$B41))</f>
        <v>0</v>
      </c>
      <c r="AA41" s="24">
        <f>IF(YEAR($B41)*100+MONTH($B41)&lt;--SUBSTITUTE(_xlfn.XLOOKUP("360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LLC",Movimientos!$B$1:$B$1324,"&lt;="&amp;$B41))</f>
        <v>0</v>
      </c>
      <c r="AB41" s="24">
        <f>IF(YEAR($B41)*100+MONTH($B41)&lt;--SUBSTITUTE(_xlfn.XLOOKUP("Five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",Movimientos!$B$1:$B$1324,"&lt;="&amp;$B41))</f>
        <v>0</v>
      </c>
      <c r="AC41" s="24">
        <f>IF(YEAR($B41)*100+MONTH($B41)&lt;--SUBSTITUTE(_xlfn.XLOOKUP("Nobe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Aparments",Movimientos!$B$1:$B$1324,"&lt;="&amp;$B41))</f>
        <v>0</v>
      </c>
      <c r="AD41" s="24">
        <f>IF(YEAR($B41)*100+MONTH($B41)&lt;--SUBSTITUTE(_xlfn.XLOOKUP("Don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Life",Movimientos!$B$1:$B$1324,"&lt;="&amp;$B41))</f>
        <v>0</v>
      </c>
      <c r="AE41" s="25">
        <f t="shared" si="1"/>
        <v>3017954.3</v>
      </c>
    </row>
    <row r="42" spans="1:31" hidden="1" outlineLevel="1" x14ac:dyDescent="0.3">
      <c r="A42" s="22">
        <f t="shared" si="0"/>
        <v>41</v>
      </c>
      <c r="B42" s="23">
        <v>46183</v>
      </c>
      <c r="C42" s="24">
        <f>SUMIFS('Saldos Iniciales'!$D:$D,'Saldos Iniciales'!$A:$A,"CFT Group")+SUMIFS(Movimientos!$K$1:$K$1324,Movimientos!$C$1:$C$1324,"CFT Group",Movimientos!$B$1:$B$1324,"&lt;="&amp;$B42)</f>
        <v>2288745.9500000002</v>
      </c>
      <c r="D42" s="24">
        <f>SUMIFS('Saldos Iniciales'!$D:$D,'Saldos Iniciales'!$A:$A,"M1B")+SUMIFS(Movimientos!$K$1:$K$1324,Movimientos!$C$1:$C$1324,"M1B",Movimientos!$B$1:$B$1324,"&lt;="&amp;$B42)</f>
        <v>69376.390000000174</v>
      </c>
      <c r="E42" s="24">
        <f>SUMIFS('Saldos Iniciales'!$D:$D,'Saldos Iniciales'!$A:$A,"Durand")+SUMIFS(Movimientos!$K$1:$K$1324,Movimientos!$C$1:$C$1324,"Durand",Movimientos!$B$1:$B$1324,"&lt;="&amp;$B42)</f>
        <v>1669.89</v>
      </c>
      <c r="F42" s="24">
        <f>SUMIFS('Saldos Iniciales'!$D:$D,'Saldos Iniciales'!$A:$A,"A&amp;M Imports")+SUMIFS(Movimientos!$K$1:$K$1324,Movimientos!$C$1:$C$1324,"A&amp;M Imports",Movimientos!$B$1:$B$1324,"&lt;="&amp;$B42)</f>
        <v>744306.80999999982</v>
      </c>
      <c r="G42" s="24">
        <f>SUMIFS('Saldos Iniciales'!$D:$D,'Saldos Iniciales'!$A:$A,"SSP Capital")+SUMIFS(Movimientos!$K$1:$K$1324,Movimientos!$C$1:$C$1324,"SSP Capital",Movimientos!$B$1:$B$1324,"&lt;="&amp;$B42)</f>
        <v>1160274.0499999993</v>
      </c>
      <c r="H42" s="24">
        <f>SUMIFS('Saldos Iniciales'!$D:$D,'Saldos Iniciales'!$A:$A,"Cross Family Trust")+SUMIFS(Movimientos!$K$1:$K$1324,Movimientos!$C$1:$C$1324,"Cross Family Trust",Movimientos!$B$1:$B$1324,"&lt;="&amp;$B42)</f>
        <v>116496.38</v>
      </c>
      <c r="I42" s="24">
        <f>SUMIFS('Saldos Iniciales'!$D:$D,'Saldos Iniciales'!$A:$A,"Cross Security Trust")+SUMIFS(Movimientos!$K$1:$K$1324,Movimientos!$C$1:$C$1324,"Cross Security Trust",Movimientos!$B$1:$B$1324,"&lt;="&amp;$B42)</f>
        <v>20375.37</v>
      </c>
      <c r="J42" s="24">
        <f>SUMIFS('Saldos Iniciales'!$D:$D,'Saldos Iniciales'!$A:$A,"Electrama")+SUMIFS(Movimientos!$K$1:$K$1324,Movimientos!$C$1:$C$1324,"Electrama",Movimientos!$B$1:$B$1324,"&lt;="&amp;$B42)</f>
        <v>511.15999999999985</v>
      </c>
      <c r="K42" s="24">
        <f>SUMIFS('Saldos Iniciales'!$D:$D,'Saldos Iniciales'!$A:$A,"Sacred Valley Capital")+SUMIFS(Movimientos!$K$1:$K$1324,Movimientos!$C$1:$C$1324,"Sacred Valley Capital",Movimientos!$B$1:$B$1324,"&lt;="&amp;$B42)</f>
        <v>84.35</v>
      </c>
      <c r="L42" s="24">
        <f>SUMIFS('Saldos Iniciales'!$D:$D,'Saldos Iniciales'!$A:$A,"YWC Capital")+SUMIFS(Movimientos!$K$1:$K$1324,Movimientos!$C$1:$C$1324,"YWC Capital",Movimientos!$B$1:$B$1324,"&lt;="&amp;$B42)</f>
        <v>2237.77</v>
      </c>
      <c r="M42" s="24">
        <f>SUMIFS('Saldos Iniciales'!$D:$D,'Saldos Iniciales'!$A:$A,"Soweto")+SUMIFS(Movimientos!$K$1:$K$1324,Movimientos!$C$1:$C$1324,"Soweto",Movimientos!$B$1:$B$1324,"&lt;="&amp;$B42)</f>
        <v>3349.94</v>
      </c>
      <c r="N42" s="24">
        <f>SUMIFS('Saldos Iniciales'!$D:$D,'Saldos Iniciales'!$A:$A,"Green Stone Trust")+SUMIFS(Movimientos!$K$1:$K$1324,Movimientos!$C$1:$C$1324,"Green Stone Trust",Movimientos!$B$1:$B$1324,"&lt;="&amp;$B42)</f>
        <v>1968.99</v>
      </c>
      <c r="O42" s="24">
        <f>SUMIFS('Saldos Iniciales'!$D:$D,'Saldos Iniciales'!$A:$A,"EC Auto")+SUMIFS(Movimientos!$K$1:$K$1324,Movimientos!$C$1:$C$1324,"EC Auto",Movimientos!$B$1:$B$1324,"&lt;="&amp;$B42)</f>
        <v>382.69000000000005</v>
      </c>
      <c r="P42" s="24">
        <f>SUMIFS('Saldos Iniciales'!$D:$D,'Saldos Iniciales'!$A:$A,"Arbor Capital Properties")+SUMIFS(Movimientos!$K$1:$K$1324,Movimientos!$C$1:$C$1324,"Arbor Capital Properties",Movimientos!$B$1:$B$1324,"&lt;="&amp;$B42)</f>
        <v>1428.08</v>
      </c>
      <c r="Q42" s="24">
        <f>SUMIFS('Saldos Iniciales'!$D:$D,'Saldos Iniciales'!$A:$A,"2515 Overbrook")+SUMIFS(Movimientos!$K$1:$K$1324,Movimientos!$C$1:$C$1324,"2515 Overbrook",Movimientos!$B$1:$B$1324,"&lt;="&amp;$B42)</f>
        <v>25789.969999999961</v>
      </c>
      <c r="R42" s="24">
        <f>SUMIFS('Saldos Iniciales'!$D:$D,'Saldos Iniciales'!$A:$A,"112 Florida Ave")+SUMIFS(Movimientos!$K$1:$K$1324,Movimientos!$C$1:$C$1324,"112 Florida Ave",Movimientos!$B$1:$B$1324,"&lt;="&amp;$B42)</f>
        <v>5321.4300000000021</v>
      </c>
      <c r="S42" s="24">
        <f>SUMIFS('Saldos Iniciales'!$D:$D,'Saldos Iniciales'!$A:$A,"3628 Thomas Ave")+SUMIFS(Movimientos!$K$1:$K$1324,Movimientos!$C$1:$C$1324,"3628 Thomas Ave",Movimientos!$B$1:$B$1324,"&lt;="&amp;$B42)</f>
        <v>24743.98</v>
      </c>
      <c r="T42" s="24">
        <f>SUMIFS('Saldos Iniciales'!$D:$D,'Saldos Iniciales'!$A:$A,"Green Harbor Trust")+SUMIFS(Movimientos!$K$1:$K$1324,Movimientos!$C$1:$C$1324,"Green Harbor Trust",Movimientos!$B$1:$B$1324,"&lt;="&amp;$B42)</f>
        <v>345</v>
      </c>
      <c r="U42" s="24">
        <f>SUMIFS('Saldos Iniciales'!$D:$D,'Saldos Iniciales'!$A:$A,"Go Blue")+SUMIFS(Movimientos!$K$1:$K$1324,Movimientos!$C$1:$C$1324,"Go Blue",Movimientos!$B$1:$B$1324,"&lt;="&amp;$B42)</f>
        <v>6583.0800000000036</v>
      </c>
      <c r="V42" s="24">
        <f>IF(YEAR($B42)*100+MONTH($B42)&lt;--SUBSTITUTE(_xlfn.XLOOKUP("Pacha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LLC",Movimientos!$B$1:$B$1324,"&lt;="&amp;$B42))</f>
        <v>0</v>
      </c>
      <c r="W42" s="24">
        <f>IF(YEAR($B42)*100+MONTH($B42)&lt;--SUBSTITUTE(_xlfn.XLOOKUP("*CFT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Residence",Movimientos!$B$1:$B$1324,"&lt;="&amp;$B42))</f>
        <v>0</v>
      </c>
      <c r="X42" s="24">
        <f>IF(YEAR($B42)*100+MONTH($B42)&lt;--SUBSTITUTE(_xlfn.XLOOKUP("Carmen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Trust",Movimientos!$B$1:$B$1324,"&lt;="&amp;$B42))</f>
        <v>0</v>
      </c>
      <c r="Y42" s="24">
        <f>IF(YEAR($B42)*100+MONTH($B42)&lt;--SUBSTITUTE(_xlfn.XLOOKUP("SIYP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LLC",Movimientos!$B$1:$B$1324,"&lt;="&amp;$B42))</f>
        <v>0</v>
      </c>
      <c r="Z42" s="24">
        <f>IF(YEAR($B42)*100+MONTH($B42)&lt;--SUBSTITUTE(_xlfn.XLOOKUP("Prendamas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SRL",Movimientos!$B$1:$B$1324,"&lt;="&amp;$B42))</f>
        <v>0</v>
      </c>
      <c r="AA42" s="24">
        <f>IF(YEAR($B42)*100+MONTH($B42)&lt;--SUBSTITUTE(_xlfn.XLOOKUP("360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LLC",Movimientos!$B$1:$B$1324,"&lt;="&amp;$B42))</f>
        <v>0</v>
      </c>
      <c r="AB42" s="24">
        <f>IF(YEAR($B42)*100+MONTH($B42)&lt;--SUBSTITUTE(_xlfn.XLOOKUP("Five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",Movimientos!$B$1:$B$1324,"&lt;="&amp;$B42))</f>
        <v>0</v>
      </c>
      <c r="AC42" s="24">
        <f>IF(YEAR($B42)*100+MONTH($B42)&lt;--SUBSTITUTE(_xlfn.XLOOKUP("Nobe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Aparments",Movimientos!$B$1:$B$1324,"&lt;="&amp;$B42))</f>
        <v>0</v>
      </c>
      <c r="AD42" s="24">
        <f>IF(YEAR($B42)*100+MONTH($B42)&lt;--SUBSTITUTE(_xlfn.XLOOKUP("Don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Life",Movimientos!$B$1:$B$1324,"&lt;="&amp;$B42))</f>
        <v>0</v>
      </c>
      <c r="AE42" s="25">
        <f t="shared" si="1"/>
        <v>4473991.28</v>
      </c>
    </row>
    <row r="43" spans="1:31" hidden="1" outlineLevel="1" x14ac:dyDescent="0.3">
      <c r="A43" s="22">
        <f t="shared" si="0"/>
        <v>42</v>
      </c>
      <c r="B43" s="23">
        <v>46184</v>
      </c>
      <c r="C43" s="24">
        <f>SUMIFS('Saldos Iniciales'!$D:$D,'Saldos Iniciales'!$A:$A,"CFT Group")+SUMIFS(Movimientos!$K$1:$K$1324,Movimientos!$C$1:$C$1324,"CFT Group",Movimientos!$B$1:$B$1324,"&lt;="&amp;$B43)</f>
        <v>1837784.84</v>
      </c>
      <c r="D43" s="24">
        <f>SUMIFS('Saldos Iniciales'!$D:$D,'Saldos Iniciales'!$A:$A,"M1B")+SUMIFS(Movimientos!$K$1:$K$1324,Movimientos!$C$1:$C$1324,"M1B",Movimientos!$B$1:$B$1324,"&lt;="&amp;$B43)</f>
        <v>69376.390000000174</v>
      </c>
      <c r="E43" s="24">
        <f>SUMIFS('Saldos Iniciales'!$D:$D,'Saldos Iniciales'!$A:$A,"Durand")+SUMIFS(Movimientos!$K$1:$K$1324,Movimientos!$C$1:$C$1324,"Durand",Movimientos!$B$1:$B$1324,"&lt;="&amp;$B43)</f>
        <v>1669.89</v>
      </c>
      <c r="F43" s="24">
        <f>SUMIFS('Saldos Iniciales'!$D:$D,'Saldos Iniciales'!$A:$A,"A&amp;M Imports")+SUMIFS(Movimientos!$K$1:$K$1324,Movimientos!$C$1:$C$1324,"A&amp;M Imports",Movimientos!$B$1:$B$1324,"&lt;="&amp;$B43)</f>
        <v>564626.20999999985</v>
      </c>
      <c r="G43" s="24">
        <f>SUMIFS('Saldos Iniciales'!$D:$D,'Saldos Iniciales'!$A:$A,"SSP Capital")+SUMIFS(Movimientos!$K$1:$K$1324,Movimientos!$C$1:$C$1324,"SSP Capital",Movimientos!$B$1:$B$1324,"&lt;="&amp;$B43)</f>
        <v>794731.82999999926</v>
      </c>
      <c r="H43" s="24">
        <f>SUMIFS('Saldos Iniciales'!$D:$D,'Saldos Iniciales'!$A:$A,"Cross Family Trust")+SUMIFS(Movimientos!$K$1:$K$1324,Movimientos!$C$1:$C$1324,"Cross Family Trust",Movimientos!$B$1:$B$1324,"&lt;="&amp;$B43)</f>
        <v>116496.38</v>
      </c>
      <c r="I43" s="24">
        <f>SUMIFS('Saldos Iniciales'!$D:$D,'Saldos Iniciales'!$A:$A,"Cross Security Trust")+SUMIFS(Movimientos!$K$1:$K$1324,Movimientos!$C$1:$C$1324,"Cross Security Trust",Movimientos!$B$1:$B$1324,"&lt;="&amp;$B43)</f>
        <v>20375.37</v>
      </c>
      <c r="J43" s="24">
        <f>SUMIFS('Saldos Iniciales'!$D:$D,'Saldos Iniciales'!$A:$A,"Electrama")+SUMIFS(Movimientos!$K$1:$K$1324,Movimientos!$C$1:$C$1324,"Electrama",Movimientos!$B$1:$B$1324,"&lt;="&amp;$B43)</f>
        <v>511.15999999999985</v>
      </c>
      <c r="K43" s="24">
        <f>SUMIFS('Saldos Iniciales'!$D:$D,'Saldos Iniciales'!$A:$A,"Sacred Valley Capital")+SUMIFS(Movimientos!$K$1:$K$1324,Movimientos!$C$1:$C$1324,"Sacred Valley Capital",Movimientos!$B$1:$B$1324,"&lt;="&amp;$B43)</f>
        <v>84.35</v>
      </c>
      <c r="L43" s="24">
        <f>SUMIFS('Saldos Iniciales'!$D:$D,'Saldos Iniciales'!$A:$A,"YWC Capital")+SUMIFS(Movimientos!$K$1:$K$1324,Movimientos!$C$1:$C$1324,"YWC Capital",Movimientos!$B$1:$B$1324,"&lt;="&amp;$B43)</f>
        <v>2237.77</v>
      </c>
      <c r="M43" s="24">
        <f>SUMIFS('Saldos Iniciales'!$D:$D,'Saldos Iniciales'!$A:$A,"Soweto")+SUMIFS(Movimientos!$K$1:$K$1324,Movimientos!$C$1:$C$1324,"Soweto",Movimientos!$B$1:$B$1324,"&lt;="&amp;$B43)</f>
        <v>3349.94</v>
      </c>
      <c r="N43" s="24">
        <f>SUMIFS('Saldos Iniciales'!$D:$D,'Saldos Iniciales'!$A:$A,"Green Stone Trust")+SUMIFS(Movimientos!$K$1:$K$1324,Movimientos!$C$1:$C$1324,"Green Stone Trust",Movimientos!$B$1:$B$1324,"&lt;="&amp;$B43)</f>
        <v>1968.99</v>
      </c>
      <c r="O43" s="24">
        <f>SUMIFS('Saldos Iniciales'!$D:$D,'Saldos Iniciales'!$A:$A,"EC Auto")+SUMIFS(Movimientos!$K$1:$K$1324,Movimientos!$C$1:$C$1324,"EC Auto",Movimientos!$B$1:$B$1324,"&lt;="&amp;$B43)</f>
        <v>382.69000000000005</v>
      </c>
      <c r="P43" s="24">
        <f>SUMIFS('Saldos Iniciales'!$D:$D,'Saldos Iniciales'!$A:$A,"Arbor Capital Properties")+SUMIFS(Movimientos!$K$1:$K$1324,Movimientos!$C$1:$C$1324,"Arbor Capital Properties",Movimientos!$B$1:$B$1324,"&lt;="&amp;$B43)</f>
        <v>1428.08</v>
      </c>
      <c r="Q43" s="24">
        <f>SUMIFS('Saldos Iniciales'!$D:$D,'Saldos Iniciales'!$A:$A,"2515 Overbrook")+SUMIFS(Movimientos!$K$1:$K$1324,Movimientos!$C$1:$C$1324,"2515 Overbrook",Movimientos!$B$1:$B$1324,"&lt;="&amp;$B43)</f>
        <v>25789.969999999961</v>
      </c>
      <c r="R43" s="24">
        <f>SUMIFS('Saldos Iniciales'!$D:$D,'Saldos Iniciales'!$A:$A,"112 Florida Ave")+SUMIFS(Movimientos!$K$1:$K$1324,Movimientos!$C$1:$C$1324,"112 Florida Ave",Movimientos!$B$1:$B$1324,"&lt;="&amp;$B43)</f>
        <v>5321.4300000000021</v>
      </c>
      <c r="S43" s="24">
        <f>SUMIFS('Saldos Iniciales'!$D:$D,'Saldos Iniciales'!$A:$A,"3628 Thomas Ave")+SUMIFS(Movimientos!$K$1:$K$1324,Movimientos!$C$1:$C$1324,"3628 Thomas Ave",Movimientos!$B$1:$B$1324,"&lt;="&amp;$B43)</f>
        <v>24743.98</v>
      </c>
      <c r="T43" s="24">
        <f>SUMIFS('Saldos Iniciales'!$D:$D,'Saldos Iniciales'!$A:$A,"Green Harbor Trust")+SUMIFS(Movimientos!$K$1:$K$1324,Movimientos!$C$1:$C$1324,"Green Harbor Trust",Movimientos!$B$1:$B$1324,"&lt;="&amp;$B43)</f>
        <v>345</v>
      </c>
      <c r="U43" s="24">
        <f>SUMIFS('Saldos Iniciales'!$D:$D,'Saldos Iniciales'!$A:$A,"Go Blue")+SUMIFS(Movimientos!$K$1:$K$1324,Movimientos!$C$1:$C$1324,"Go Blue",Movimientos!$B$1:$B$1324,"&lt;="&amp;$B43)</f>
        <v>54068.08</v>
      </c>
      <c r="V43" s="24">
        <f>IF(YEAR($B43)*100+MONTH($B43)&lt;--SUBSTITUTE(_xlfn.XLOOKUP("Pacha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LLC",Movimientos!$B$1:$B$1324,"&lt;="&amp;$B43))</f>
        <v>0</v>
      </c>
      <c r="W43" s="24">
        <f>IF(YEAR($B43)*100+MONTH($B43)&lt;--SUBSTITUTE(_xlfn.XLOOKUP("*CFT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Residence",Movimientos!$B$1:$B$1324,"&lt;="&amp;$B43))</f>
        <v>0</v>
      </c>
      <c r="X43" s="24">
        <f>IF(YEAR($B43)*100+MONTH($B43)&lt;--SUBSTITUTE(_xlfn.XLOOKUP("Carmen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Trust",Movimientos!$B$1:$B$1324,"&lt;="&amp;$B43))</f>
        <v>0</v>
      </c>
      <c r="Y43" s="24">
        <f>IF(YEAR($B43)*100+MONTH($B43)&lt;--SUBSTITUTE(_xlfn.XLOOKUP("SIYP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LLC",Movimientos!$B$1:$B$1324,"&lt;="&amp;$B43))</f>
        <v>0</v>
      </c>
      <c r="Z43" s="24">
        <f>IF(YEAR($B43)*100+MONTH($B43)&lt;--SUBSTITUTE(_xlfn.XLOOKUP("Prendamas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SRL",Movimientos!$B$1:$B$1324,"&lt;="&amp;$B43))</f>
        <v>0</v>
      </c>
      <c r="AA43" s="24">
        <f>IF(YEAR($B43)*100+MONTH($B43)&lt;--SUBSTITUTE(_xlfn.XLOOKUP("360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LLC",Movimientos!$B$1:$B$1324,"&lt;="&amp;$B43))</f>
        <v>0</v>
      </c>
      <c r="AB43" s="24">
        <f>IF(YEAR($B43)*100+MONTH($B43)&lt;--SUBSTITUTE(_xlfn.XLOOKUP("Five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",Movimientos!$B$1:$B$1324,"&lt;="&amp;$B43))</f>
        <v>0</v>
      </c>
      <c r="AC43" s="24">
        <f>IF(YEAR($B43)*100+MONTH($B43)&lt;--SUBSTITUTE(_xlfn.XLOOKUP("Nobe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Aparments",Movimientos!$B$1:$B$1324,"&lt;="&amp;$B43))</f>
        <v>0</v>
      </c>
      <c r="AD43" s="24">
        <f>IF(YEAR($B43)*100+MONTH($B43)&lt;--SUBSTITUTE(_xlfn.XLOOKUP("Don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Life",Movimientos!$B$1:$B$1324,"&lt;="&amp;$B43))</f>
        <v>0</v>
      </c>
      <c r="AE43" s="25">
        <f t="shared" si="1"/>
        <v>3525292.3499999996</v>
      </c>
    </row>
    <row r="44" spans="1:31" hidden="1" outlineLevel="1" x14ac:dyDescent="0.3">
      <c r="A44" s="22">
        <f t="shared" si="0"/>
        <v>43</v>
      </c>
      <c r="B44" s="23">
        <v>46185</v>
      </c>
      <c r="C44" s="24">
        <f>SUMIFS('Saldos Iniciales'!$D:$D,'Saldos Iniciales'!$A:$A,"CFT Group")+SUMIFS(Movimientos!$K$1:$K$1324,Movimientos!$C$1:$C$1324,"CFT Group",Movimientos!$B$1:$B$1324,"&lt;="&amp;$B44)</f>
        <v>1837784.84</v>
      </c>
      <c r="D44" s="24">
        <f>SUMIFS('Saldos Iniciales'!$D:$D,'Saldos Iniciales'!$A:$A,"M1B")+SUMIFS(Movimientos!$K$1:$K$1324,Movimientos!$C$1:$C$1324,"M1B",Movimientos!$B$1:$B$1324,"&lt;="&amp;$B44)</f>
        <v>69376.390000000174</v>
      </c>
      <c r="E44" s="24">
        <f>SUMIFS('Saldos Iniciales'!$D:$D,'Saldos Iniciales'!$A:$A,"Durand")+SUMIFS(Movimientos!$K$1:$K$1324,Movimientos!$C$1:$C$1324,"Durand",Movimientos!$B$1:$B$1324,"&lt;="&amp;$B44)</f>
        <v>1669.89</v>
      </c>
      <c r="F44" s="24">
        <f>SUMIFS('Saldos Iniciales'!$D:$D,'Saldos Iniciales'!$A:$A,"A&amp;M Imports")+SUMIFS(Movimientos!$K$1:$K$1324,Movimientos!$C$1:$C$1324,"A&amp;M Imports",Movimientos!$B$1:$B$1324,"&lt;="&amp;$B44)</f>
        <v>564626.20999999985</v>
      </c>
      <c r="G44" s="24">
        <f>SUMIFS('Saldos Iniciales'!$D:$D,'Saldos Iniciales'!$A:$A,"SSP Capital")+SUMIFS(Movimientos!$K$1:$K$1324,Movimientos!$C$1:$C$1324,"SSP Capital",Movimientos!$B$1:$B$1324,"&lt;="&amp;$B44)</f>
        <v>3763348.8299999996</v>
      </c>
      <c r="H44" s="24">
        <f>SUMIFS('Saldos Iniciales'!$D:$D,'Saldos Iniciales'!$A:$A,"Cross Family Trust")+SUMIFS(Movimientos!$K$1:$K$1324,Movimientos!$C$1:$C$1324,"Cross Family Trust",Movimientos!$B$1:$B$1324,"&lt;="&amp;$B44)</f>
        <v>116496.38</v>
      </c>
      <c r="I44" s="24">
        <f>SUMIFS('Saldos Iniciales'!$D:$D,'Saldos Iniciales'!$A:$A,"Cross Security Trust")+SUMIFS(Movimientos!$K$1:$K$1324,Movimientos!$C$1:$C$1324,"Cross Security Trust",Movimientos!$B$1:$B$1324,"&lt;="&amp;$B44)</f>
        <v>20375.989999999998</v>
      </c>
      <c r="J44" s="24">
        <f>SUMIFS('Saldos Iniciales'!$D:$D,'Saldos Iniciales'!$A:$A,"Electrama")+SUMIFS(Movimientos!$K$1:$K$1324,Movimientos!$C$1:$C$1324,"Electrama",Movimientos!$B$1:$B$1324,"&lt;="&amp;$B44)</f>
        <v>511.15999999999985</v>
      </c>
      <c r="K44" s="24">
        <f>SUMIFS('Saldos Iniciales'!$D:$D,'Saldos Iniciales'!$A:$A,"Sacred Valley Capital")+SUMIFS(Movimientos!$K$1:$K$1324,Movimientos!$C$1:$C$1324,"Sacred Valley Capital",Movimientos!$B$1:$B$1324,"&lt;="&amp;$B44)</f>
        <v>84.35</v>
      </c>
      <c r="L44" s="24">
        <f>SUMIFS('Saldos Iniciales'!$D:$D,'Saldos Iniciales'!$A:$A,"YWC Capital")+SUMIFS(Movimientos!$K$1:$K$1324,Movimientos!$C$1:$C$1324,"YWC Capital",Movimientos!$B$1:$B$1324,"&lt;="&amp;$B44)</f>
        <v>2237.77</v>
      </c>
      <c r="M44" s="24">
        <f>SUMIFS('Saldos Iniciales'!$D:$D,'Saldos Iniciales'!$A:$A,"Soweto")+SUMIFS(Movimientos!$K$1:$K$1324,Movimientos!$C$1:$C$1324,"Soweto",Movimientos!$B$1:$B$1324,"&lt;="&amp;$B44)</f>
        <v>3349.94</v>
      </c>
      <c r="N44" s="24">
        <f>SUMIFS('Saldos Iniciales'!$D:$D,'Saldos Iniciales'!$A:$A,"Green Stone Trust")+SUMIFS(Movimientos!$K$1:$K$1324,Movimientos!$C$1:$C$1324,"Green Stone Trust",Movimientos!$B$1:$B$1324,"&lt;="&amp;$B44)</f>
        <v>1968.99</v>
      </c>
      <c r="O44" s="24">
        <f>SUMIFS('Saldos Iniciales'!$D:$D,'Saldos Iniciales'!$A:$A,"EC Auto")+SUMIFS(Movimientos!$K$1:$K$1324,Movimientos!$C$1:$C$1324,"EC Auto",Movimientos!$B$1:$B$1324,"&lt;="&amp;$B44)</f>
        <v>382.69000000000005</v>
      </c>
      <c r="P44" s="24">
        <f>SUMIFS('Saldos Iniciales'!$D:$D,'Saldos Iniciales'!$A:$A,"Arbor Capital Properties")+SUMIFS(Movimientos!$K$1:$K$1324,Movimientos!$C$1:$C$1324,"Arbor Capital Properties",Movimientos!$B$1:$B$1324,"&lt;="&amp;$B44)</f>
        <v>1428.08</v>
      </c>
      <c r="Q44" s="24">
        <f>SUMIFS('Saldos Iniciales'!$D:$D,'Saldos Iniciales'!$A:$A,"2515 Overbrook")+SUMIFS(Movimientos!$K$1:$K$1324,Movimientos!$C$1:$C$1324,"2515 Overbrook",Movimientos!$B$1:$B$1324,"&lt;="&amp;$B44)</f>
        <v>27789.969999999961</v>
      </c>
      <c r="R44" s="24">
        <f>SUMIFS('Saldos Iniciales'!$D:$D,'Saldos Iniciales'!$A:$A,"112 Florida Ave")+SUMIFS(Movimientos!$K$1:$K$1324,Movimientos!$C$1:$C$1324,"112 Florida Ave",Movimientos!$B$1:$B$1324,"&lt;="&amp;$B44)</f>
        <v>5321.4300000000021</v>
      </c>
      <c r="S44" s="24">
        <f>SUMIFS('Saldos Iniciales'!$D:$D,'Saldos Iniciales'!$A:$A,"3628 Thomas Ave")+SUMIFS(Movimientos!$K$1:$K$1324,Movimientos!$C$1:$C$1324,"3628 Thomas Ave",Movimientos!$B$1:$B$1324,"&lt;="&amp;$B44)</f>
        <v>24484.85</v>
      </c>
      <c r="T44" s="24">
        <f>SUMIFS('Saldos Iniciales'!$D:$D,'Saldos Iniciales'!$A:$A,"Green Harbor Trust")+SUMIFS(Movimientos!$K$1:$K$1324,Movimientos!$C$1:$C$1324,"Green Harbor Trust",Movimientos!$B$1:$B$1324,"&lt;="&amp;$B44)</f>
        <v>345</v>
      </c>
      <c r="U44" s="24">
        <f>SUMIFS('Saldos Iniciales'!$D:$D,'Saldos Iniciales'!$A:$A,"Go Blue")+SUMIFS(Movimientos!$K$1:$K$1324,Movimientos!$C$1:$C$1324,"Go Blue",Movimientos!$B$1:$B$1324,"&lt;="&amp;$B44)</f>
        <v>54068.08</v>
      </c>
      <c r="V44" s="24">
        <f>IF(YEAR($B44)*100+MONTH($B44)&lt;--SUBSTITUTE(_xlfn.XLOOKUP("Pacha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LLC",Movimientos!$B$1:$B$1324,"&lt;="&amp;$B44))</f>
        <v>0</v>
      </c>
      <c r="W44" s="24">
        <f>IF(YEAR($B44)*100+MONTH($B44)&lt;--SUBSTITUTE(_xlfn.XLOOKUP("*CFT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Residence",Movimientos!$B$1:$B$1324,"&lt;="&amp;$B44))</f>
        <v>0</v>
      </c>
      <c r="X44" s="24">
        <f>IF(YEAR($B44)*100+MONTH($B44)&lt;--SUBSTITUTE(_xlfn.XLOOKUP("Carmen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Trust",Movimientos!$B$1:$B$1324,"&lt;="&amp;$B44))</f>
        <v>0</v>
      </c>
      <c r="Y44" s="24">
        <f>IF(YEAR($B44)*100+MONTH($B44)&lt;--SUBSTITUTE(_xlfn.XLOOKUP("SIYP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LLC",Movimientos!$B$1:$B$1324,"&lt;="&amp;$B44))</f>
        <v>0</v>
      </c>
      <c r="Z44" s="24">
        <f>IF(YEAR($B44)*100+MONTH($B44)&lt;--SUBSTITUTE(_xlfn.XLOOKUP("Prendamas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SRL",Movimientos!$B$1:$B$1324,"&lt;="&amp;$B44))</f>
        <v>0</v>
      </c>
      <c r="AA44" s="24">
        <f>IF(YEAR($B44)*100+MONTH($B44)&lt;--SUBSTITUTE(_xlfn.XLOOKUP("360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LLC",Movimientos!$B$1:$B$1324,"&lt;="&amp;$B44))</f>
        <v>0</v>
      </c>
      <c r="AB44" s="24">
        <f>IF(YEAR($B44)*100+MONTH($B44)&lt;--SUBSTITUTE(_xlfn.XLOOKUP("Five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",Movimientos!$B$1:$B$1324,"&lt;="&amp;$B44))</f>
        <v>0</v>
      </c>
      <c r="AC44" s="24">
        <f>IF(YEAR($B44)*100+MONTH($B44)&lt;--SUBSTITUTE(_xlfn.XLOOKUP("Nobe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Aparments",Movimientos!$B$1:$B$1324,"&lt;="&amp;$B44))</f>
        <v>0</v>
      </c>
      <c r="AD44" s="24">
        <f>IF(YEAR($B44)*100+MONTH($B44)&lt;--SUBSTITUTE(_xlfn.XLOOKUP("Don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Life",Movimientos!$B$1:$B$1324,"&lt;="&amp;$B44))</f>
        <v>0</v>
      </c>
      <c r="AE44" s="25">
        <f t="shared" si="1"/>
        <v>6495650.8399999999</v>
      </c>
    </row>
    <row r="45" spans="1:31" hidden="1" outlineLevel="1" x14ac:dyDescent="0.3">
      <c r="A45" s="22">
        <f t="shared" si="0"/>
        <v>44</v>
      </c>
      <c r="B45" s="23">
        <v>46186</v>
      </c>
      <c r="C45" s="24">
        <f>SUMIFS('Saldos Iniciales'!$D:$D,'Saldos Iniciales'!$A:$A,"CFT Group")+SUMIFS(Movimientos!$K$1:$K$1324,Movimientos!$C$1:$C$1324,"CFT Group",Movimientos!$B$1:$B$1324,"&lt;="&amp;$B45)</f>
        <v>1837784.84</v>
      </c>
      <c r="D45" s="24">
        <f>SUMIFS('Saldos Iniciales'!$D:$D,'Saldos Iniciales'!$A:$A,"M1B")+SUMIFS(Movimientos!$K$1:$K$1324,Movimientos!$C$1:$C$1324,"M1B",Movimientos!$B$1:$B$1324,"&lt;="&amp;$B45)</f>
        <v>69376.390000000174</v>
      </c>
      <c r="E45" s="24">
        <f>SUMIFS('Saldos Iniciales'!$D:$D,'Saldos Iniciales'!$A:$A,"Durand")+SUMIFS(Movimientos!$K$1:$K$1324,Movimientos!$C$1:$C$1324,"Durand",Movimientos!$B$1:$B$1324,"&lt;="&amp;$B45)</f>
        <v>1669.89</v>
      </c>
      <c r="F45" s="24">
        <f>SUMIFS('Saldos Iniciales'!$D:$D,'Saldos Iniciales'!$A:$A,"A&amp;M Imports")+SUMIFS(Movimientos!$K$1:$K$1324,Movimientos!$C$1:$C$1324,"A&amp;M Imports",Movimientos!$B$1:$B$1324,"&lt;="&amp;$B45)</f>
        <v>564626.20999999985</v>
      </c>
      <c r="G45" s="24">
        <f>SUMIFS('Saldos Iniciales'!$D:$D,'Saldos Iniciales'!$A:$A,"SSP Capital")+SUMIFS(Movimientos!$K$1:$K$1324,Movimientos!$C$1:$C$1324,"SSP Capital",Movimientos!$B$1:$B$1324,"&lt;="&amp;$B45)</f>
        <v>3763348.8299999996</v>
      </c>
      <c r="H45" s="24">
        <f>SUMIFS('Saldos Iniciales'!$D:$D,'Saldos Iniciales'!$A:$A,"Cross Family Trust")+SUMIFS(Movimientos!$K$1:$K$1324,Movimientos!$C$1:$C$1324,"Cross Family Trust",Movimientos!$B$1:$B$1324,"&lt;="&amp;$B45)</f>
        <v>116496.38</v>
      </c>
      <c r="I45" s="24">
        <f>SUMIFS('Saldos Iniciales'!$D:$D,'Saldos Iniciales'!$A:$A,"Cross Security Trust")+SUMIFS(Movimientos!$K$1:$K$1324,Movimientos!$C$1:$C$1324,"Cross Security Trust",Movimientos!$B$1:$B$1324,"&lt;="&amp;$B45)</f>
        <v>20375.989999999998</v>
      </c>
      <c r="J45" s="24">
        <f>SUMIFS('Saldos Iniciales'!$D:$D,'Saldos Iniciales'!$A:$A,"Electrama")+SUMIFS(Movimientos!$K$1:$K$1324,Movimientos!$C$1:$C$1324,"Electrama",Movimientos!$B$1:$B$1324,"&lt;="&amp;$B45)</f>
        <v>511.15999999999985</v>
      </c>
      <c r="K45" s="24">
        <f>SUMIFS('Saldos Iniciales'!$D:$D,'Saldos Iniciales'!$A:$A,"Sacred Valley Capital")+SUMIFS(Movimientos!$K$1:$K$1324,Movimientos!$C$1:$C$1324,"Sacred Valley Capital",Movimientos!$B$1:$B$1324,"&lt;="&amp;$B45)</f>
        <v>84.35</v>
      </c>
      <c r="L45" s="24">
        <f>SUMIFS('Saldos Iniciales'!$D:$D,'Saldos Iniciales'!$A:$A,"YWC Capital")+SUMIFS(Movimientos!$K$1:$K$1324,Movimientos!$C$1:$C$1324,"YWC Capital",Movimientos!$B$1:$B$1324,"&lt;="&amp;$B45)</f>
        <v>2237.77</v>
      </c>
      <c r="M45" s="24">
        <f>SUMIFS('Saldos Iniciales'!$D:$D,'Saldos Iniciales'!$A:$A,"Soweto")+SUMIFS(Movimientos!$K$1:$K$1324,Movimientos!$C$1:$C$1324,"Soweto",Movimientos!$B$1:$B$1324,"&lt;="&amp;$B45)</f>
        <v>3349.94</v>
      </c>
      <c r="N45" s="24">
        <f>SUMIFS('Saldos Iniciales'!$D:$D,'Saldos Iniciales'!$A:$A,"Green Stone Trust")+SUMIFS(Movimientos!$K$1:$K$1324,Movimientos!$C$1:$C$1324,"Green Stone Trust",Movimientos!$B$1:$B$1324,"&lt;="&amp;$B45)</f>
        <v>1968.99</v>
      </c>
      <c r="O45" s="24">
        <f>SUMIFS('Saldos Iniciales'!$D:$D,'Saldos Iniciales'!$A:$A,"EC Auto")+SUMIFS(Movimientos!$K$1:$K$1324,Movimientos!$C$1:$C$1324,"EC Auto",Movimientos!$B$1:$B$1324,"&lt;="&amp;$B45)</f>
        <v>382.69000000000005</v>
      </c>
      <c r="P45" s="24">
        <f>SUMIFS('Saldos Iniciales'!$D:$D,'Saldos Iniciales'!$A:$A,"Arbor Capital Properties")+SUMIFS(Movimientos!$K$1:$K$1324,Movimientos!$C$1:$C$1324,"Arbor Capital Properties",Movimientos!$B$1:$B$1324,"&lt;="&amp;$B45)</f>
        <v>1428.08</v>
      </c>
      <c r="Q45" s="24">
        <f>SUMIFS('Saldos Iniciales'!$D:$D,'Saldos Iniciales'!$A:$A,"2515 Overbrook")+SUMIFS(Movimientos!$K$1:$K$1324,Movimientos!$C$1:$C$1324,"2515 Overbrook",Movimientos!$B$1:$B$1324,"&lt;="&amp;$B45)</f>
        <v>27789.969999999961</v>
      </c>
      <c r="R45" s="24">
        <f>SUMIFS('Saldos Iniciales'!$D:$D,'Saldos Iniciales'!$A:$A,"112 Florida Ave")+SUMIFS(Movimientos!$K$1:$K$1324,Movimientos!$C$1:$C$1324,"112 Florida Ave",Movimientos!$B$1:$B$1324,"&lt;="&amp;$B45)</f>
        <v>5321.4300000000021</v>
      </c>
      <c r="S45" s="24">
        <f>SUMIFS('Saldos Iniciales'!$D:$D,'Saldos Iniciales'!$A:$A,"3628 Thomas Ave")+SUMIFS(Movimientos!$K$1:$K$1324,Movimientos!$C$1:$C$1324,"3628 Thomas Ave",Movimientos!$B$1:$B$1324,"&lt;="&amp;$B45)</f>
        <v>24484.85</v>
      </c>
      <c r="T45" s="24">
        <f>SUMIFS('Saldos Iniciales'!$D:$D,'Saldos Iniciales'!$A:$A,"Green Harbor Trust")+SUMIFS(Movimientos!$K$1:$K$1324,Movimientos!$C$1:$C$1324,"Green Harbor Trust",Movimientos!$B$1:$B$1324,"&lt;="&amp;$B45)</f>
        <v>345</v>
      </c>
      <c r="U45" s="24">
        <f>SUMIFS('Saldos Iniciales'!$D:$D,'Saldos Iniciales'!$A:$A,"Go Blue")+SUMIFS(Movimientos!$K$1:$K$1324,Movimientos!$C$1:$C$1324,"Go Blue",Movimientos!$B$1:$B$1324,"&lt;="&amp;$B45)</f>
        <v>54068.08</v>
      </c>
      <c r="V45" s="24">
        <f>IF(YEAR($B45)*100+MONTH($B45)&lt;--SUBSTITUTE(_xlfn.XLOOKUP("Pacha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LLC",Movimientos!$B$1:$B$1324,"&lt;="&amp;$B45))</f>
        <v>0</v>
      </c>
      <c r="W45" s="24">
        <f>IF(YEAR($B45)*100+MONTH($B45)&lt;--SUBSTITUTE(_xlfn.XLOOKUP("*CFT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Residence",Movimientos!$B$1:$B$1324,"&lt;="&amp;$B45))</f>
        <v>0</v>
      </c>
      <c r="X45" s="24">
        <f>IF(YEAR($B45)*100+MONTH($B45)&lt;--SUBSTITUTE(_xlfn.XLOOKUP("Carmen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Trust",Movimientos!$B$1:$B$1324,"&lt;="&amp;$B45))</f>
        <v>0</v>
      </c>
      <c r="Y45" s="24">
        <f>IF(YEAR($B45)*100+MONTH($B45)&lt;--SUBSTITUTE(_xlfn.XLOOKUP("SIYP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LLC",Movimientos!$B$1:$B$1324,"&lt;="&amp;$B45))</f>
        <v>0</v>
      </c>
      <c r="Z45" s="24">
        <f>IF(YEAR($B45)*100+MONTH($B45)&lt;--SUBSTITUTE(_xlfn.XLOOKUP("Prendamas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SRL",Movimientos!$B$1:$B$1324,"&lt;="&amp;$B45))</f>
        <v>0</v>
      </c>
      <c r="AA45" s="24">
        <f>IF(YEAR($B45)*100+MONTH($B45)&lt;--SUBSTITUTE(_xlfn.XLOOKUP("360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LLC",Movimientos!$B$1:$B$1324,"&lt;="&amp;$B45))</f>
        <v>0</v>
      </c>
      <c r="AB45" s="24">
        <f>IF(YEAR($B45)*100+MONTH($B45)&lt;--SUBSTITUTE(_xlfn.XLOOKUP("Five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",Movimientos!$B$1:$B$1324,"&lt;="&amp;$B45))</f>
        <v>0</v>
      </c>
      <c r="AC45" s="24">
        <f>IF(YEAR($B45)*100+MONTH($B45)&lt;--SUBSTITUTE(_xlfn.XLOOKUP("Nobe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Aparments",Movimientos!$B$1:$B$1324,"&lt;="&amp;$B45))</f>
        <v>0</v>
      </c>
      <c r="AD45" s="24">
        <f>IF(YEAR($B45)*100+MONTH($B45)&lt;--SUBSTITUTE(_xlfn.XLOOKUP("Don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Life",Movimientos!$B$1:$B$1324,"&lt;="&amp;$B45))</f>
        <v>0</v>
      </c>
      <c r="AE45" s="25">
        <f t="shared" si="1"/>
        <v>6495650.8399999999</v>
      </c>
    </row>
    <row r="46" spans="1:31" hidden="1" outlineLevel="1" x14ac:dyDescent="0.3">
      <c r="A46" s="22">
        <f t="shared" si="0"/>
        <v>45</v>
      </c>
      <c r="B46" s="23">
        <v>46187</v>
      </c>
      <c r="C46" s="24">
        <f>SUMIFS('Saldos Iniciales'!$D:$D,'Saldos Iniciales'!$A:$A,"CFT Group")+SUMIFS(Movimientos!$K$1:$K$1324,Movimientos!$C$1:$C$1324,"CFT Group",Movimientos!$B$1:$B$1324,"&lt;="&amp;$B46)</f>
        <v>1837784.84</v>
      </c>
      <c r="D46" s="24">
        <f>SUMIFS('Saldos Iniciales'!$D:$D,'Saldos Iniciales'!$A:$A,"M1B")+SUMIFS(Movimientos!$K$1:$K$1324,Movimientos!$C$1:$C$1324,"M1B",Movimientos!$B$1:$B$1324,"&lt;="&amp;$B46)</f>
        <v>69376.390000000174</v>
      </c>
      <c r="E46" s="24">
        <f>SUMIFS('Saldos Iniciales'!$D:$D,'Saldos Iniciales'!$A:$A,"Durand")+SUMIFS(Movimientos!$K$1:$K$1324,Movimientos!$C$1:$C$1324,"Durand",Movimientos!$B$1:$B$1324,"&lt;="&amp;$B46)</f>
        <v>1669.89</v>
      </c>
      <c r="F46" s="24">
        <f>SUMIFS('Saldos Iniciales'!$D:$D,'Saldos Iniciales'!$A:$A,"A&amp;M Imports")+SUMIFS(Movimientos!$K$1:$K$1324,Movimientos!$C$1:$C$1324,"A&amp;M Imports",Movimientos!$B$1:$B$1324,"&lt;="&amp;$B46)</f>
        <v>564626.20999999985</v>
      </c>
      <c r="G46" s="24">
        <f>SUMIFS('Saldos Iniciales'!$D:$D,'Saldos Iniciales'!$A:$A,"SSP Capital")+SUMIFS(Movimientos!$K$1:$K$1324,Movimientos!$C$1:$C$1324,"SSP Capital",Movimientos!$B$1:$B$1324,"&lt;="&amp;$B46)</f>
        <v>3763348.8299999996</v>
      </c>
      <c r="H46" s="24">
        <f>SUMIFS('Saldos Iniciales'!$D:$D,'Saldos Iniciales'!$A:$A,"Cross Family Trust")+SUMIFS(Movimientos!$K$1:$K$1324,Movimientos!$C$1:$C$1324,"Cross Family Trust",Movimientos!$B$1:$B$1324,"&lt;="&amp;$B46)</f>
        <v>116496.38</v>
      </c>
      <c r="I46" s="24">
        <f>SUMIFS('Saldos Iniciales'!$D:$D,'Saldos Iniciales'!$A:$A,"Cross Security Trust")+SUMIFS(Movimientos!$K$1:$K$1324,Movimientos!$C$1:$C$1324,"Cross Security Trust",Movimientos!$B$1:$B$1324,"&lt;="&amp;$B46)</f>
        <v>20375.989999999998</v>
      </c>
      <c r="J46" s="24">
        <f>SUMIFS('Saldos Iniciales'!$D:$D,'Saldos Iniciales'!$A:$A,"Electrama")+SUMIFS(Movimientos!$K$1:$K$1324,Movimientos!$C$1:$C$1324,"Electrama",Movimientos!$B$1:$B$1324,"&lt;="&amp;$B46)</f>
        <v>511.15999999999985</v>
      </c>
      <c r="K46" s="24">
        <f>SUMIFS('Saldos Iniciales'!$D:$D,'Saldos Iniciales'!$A:$A,"Sacred Valley Capital")+SUMIFS(Movimientos!$K$1:$K$1324,Movimientos!$C$1:$C$1324,"Sacred Valley Capital",Movimientos!$B$1:$B$1324,"&lt;="&amp;$B46)</f>
        <v>84.35</v>
      </c>
      <c r="L46" s="24">
        <f>SUMIFS('Saldos Iniciales'!$D:$D,'Saldos Iniciales'!$A:$A,"YWC Capital")+SUMIFS(Movimientos!$K$1:$K$1324,Movimientos!$C$1:$C$1324,"YWC Capital",Movimientos!$B$1:$B$1324,"&lt;="&amp;$B46)</f>
        <v>2237.77</v>
      </c>
      <c r="M46" s="24">
        <f>SUMIFS('Saldos Iniciales'!$D:$D,'Saldos Iniciales'!$A:$A,"Soweto")+SUMIFS(Movimientos!$K$1:$K$1324,Movimientos!$C$1:$C$1324,"Soweto",Movimientos!$B$1:$B$1324,"&lt;="&amp;$B46)</f>
        <v>3349.94</v>
      </c>
      <c r="N46" s="24">
        <f>SUMIFS('Saldos Iniciales'!$D:$D,'Saldos Iniciales'!$A:$A,"Green Stone Trust")+SUMIFS(Movimientos!$K$1:$K$1324,Movimientos!$C$1:$C$1324,"Green Stone Trust",Movimientos!$B$1:$B$1324,"&lt;="&amp;$B46)</f>
        <v>1968.99</v>
      </c>
      <c r="O46" s="24">
        <f>SUMIFS('Saldos Iniciales'!$D:$D,'Saldos Iniciales'!$A:$A,"EC Auto")+SUMIFS(Movimientos!$K$1:$K$1324,Movimientos!$C$1:$C$1324,"EC Auto",Movimientos!$B$1:$B$1324,"&lt;="&amp;$B46)</f>
        <v>382.69000000000005</v>
      </c>
      <c r="P46" s="24">
        <f>SUMIFS('Saldos Iniciales'!$D:$D,'Saldos Iniciales'!$A:$A,"Arbor Capital Properties")+SUMIFS(Movimientos!$K$1:$K$1324,Movimientos!$C$1:$C$1324,"Arbor Capital Properties",Movimientos!$B$1:$B$1324,"&lt;="&amp;$B46)</f>
        <v>1428.08</v>
      </c>
      <c r="Q46" s="24">
        <f>SUMIFS('Saldos Iniciales'!$D:$D,'Saldos Iniciales'!$A:$A,"2515 Overbrook")+SUMIFS(Movimientos!$K$1:$K$1324,Movimientos!$C$1:$C$1324,"2515 Overbrook",Movimientos!$B$1:$B$1324,"&lt;="&amp;$B46)</f>
        <v>27789.969999999961</v>
      </c>
      <c r="R46" s="24">
        <f>SUMIFS('Saldos Iniciales'!$D:$D,'Saldos Iniciales'!$A:$A,"112 Florida Ave")+SUMIFS(Movimientos!$K$1:$K$1324,Movimientos!$C$1:$C$1324,"112 Florida Ave",Movimientos!$B$1:$B$1324,"&lt;="&amp;$B46)</f>
        <v>5321.4300000000021</v>
      </c>
      <c r="S46" s="24">
        <f>SUMIFS('Saldos Iniciales'!$D:$D,'Saldos Iniciales'!$A:$A,"3628 Thomas Ave")+SUMIFS(Movimientos!$K$1:$K$1324,Movimientos!$C$1:$C$1324,"3628 Thomas Ave",Movimientos!$B$1:$B$1324,"&lt;="&amp;$B46)</f>
        <v>24484.85</v>
      </c>
      <c r="T46" s="24">
        <f>SUMIFS('Saldos Iniciales'!$D:$D,'Saldos Iniciales'!$A:$A,"Green Harbor Trust")+SUMIFS(Movimientos!$K$1:$K$1324,Movimientos!$C$1:$C$1324,"Green Harbor Trust",Movimientos!$B$1:$B$1324,"&lt;="&amp;$B46)</f>
        <v>345</v>
      </c>
      <c r="U46" s="24">
        <f>SUMIFS('Saldos Iniciales'!$D:$D,'Saldos Iniciales'!$A:$A,"Go Blue")+SUMIFS(Movimientos!$K$1:$K$1324,Movimientos!$C$1:$C$1324,"Go Blue",Movimientos!$B$1:$B$1324,"&lt;="&amp;$B46)</f>
        <v>54068.08</v>
      </c>
      <c r="V46" s="24">
        <f>IF(YEAR($B46)*100+MONTH($B46)&lt;--SUBSTITUTE(_xlfn.XLOOKUP("Pacha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LLC",Movimientos!$B$1:$B$1324,"&lt;="&amp;$B46))</f>
        <v>0</v>
      </c>
      <c r="W46" s="24">
        <f>IF(YEAR($B46)*100+MONTH($B46)&lt;--SUBSTITUTE(_xlfn.XLOOKUP("*CFT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Residence",Movimientos!$B$1:$B$1324,"&lt;="&amp;$B46))</f>
        <v>0</v>
      </c>
      <c r="X46" s="24">
        <f>IF(YEAR($B46)*100+MONTH($B46)&lt;--SUBSTITUTE(_xlfn.XLOOKUP("Carmen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Trust",Movimientos!$B$1:$B$1324,"&lt;="&amp;$B46))</f>
        <v>0</v>
      </c>
      <c r="Y46" s="24">
        <f>IF(YEAR($B46)*100+MONTH($B46)&lt;--SUBSTITUTE(_xlfn.XLOOKUP("SIYP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LLC",Movimientos!$B$1:$B$1324,"&lt;="&amp;$B46))</f>
        <v>0</v>
      </c>
      <c r="Z46" s="24">
        <f>IF(YEAR($B46)*100+MONTH($B46)&lt;--SUBSTITUTE(_xlfn.XLOOKUP("Prendamas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SRL",Movimientos!$B$1:$B$1324,"&lt;="&amp;$B46))</f>
        <v>0</v>
      </c>
      <c r="AA46" s="24">
        <f>IF(YEAR($B46)*100+MONTH($B46)&lt;--SUBSTITUTE(_xlfn.XLOOKUP("360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LLC",Movimientos!$B$1:$B$1324,"&lt;="&amp;$B46))</f>
        <v>0</v>
      </c>
      <c r="AB46" s="24">
        <f>IF(YEAR($B46)*100+MONTH($B46)&lt;--SUBSTITUTE(_xlfn.XLOOKUP("Five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",Movimientos!$B$1:$B$1324,"&lt;="&amp;$B46))</f>
        <v>0</v>
      </c>
      <c r="AC46" s="24">
        <f>IF(YEAR($B46)*100+MONTH($B46)&lt;--SUBSTITUTE(_xlfn.XLOOKUP("Nobe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Aparments",Movimientos!$B$1:$B$1324,"&lt;="&amp;$B46))</f>
        <v>0</v>
      </c>
      <c r="AD46" s="24">
        <f>IF(YEAR($B46)*100+MONTH($B46)&lt;--SUBSTITUTE(_xlfn.XLOOKUP("Don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Life",Movimientos!$B$1:$B$1324,"&lt;="&amp;$B46))</f>
        <v>0</v>
      </c>
      <c r="AE46" s="25">
        <f t="shared" si="1"/>
        <v>6495650.8399999999</v>
      </c>
    </row>
    <row r="47" spans="1:31" hidden="1" outlineLevel="1" x14ac:dyDescent="0.3">
      <c r="A47" s="22">
        <f t="shared" si="0"/>
        <v>46</v>
      </c>
      <c r="B47" s="23">
        <v>46188</v>
      </c>
      <c r="C47" s="24">
        <f>SUMIFS('Saldos Iniciales'!$D:$D,'Saldos Iniciales'!$A:$A,"CFT Group")+SUMIFS(Movimientos!$K$1:$K$1324,Movimientos!$C$1:$C$1324,"CFT Group",Movimientos!$B$1:$B$1324,"&lt;="&amp;$B47)</f>
        <v>985975.94000000029</v>
      </c>
      <c r="D47" s="24">
        <f>SUMIFS('Saldos Iniciales'!$D:$D,'Saldos Iniciales'!$A:$A,"M1B")+SUMIFS(Movimientos!$K$1:$K$1324,Movimientos!$C$1:$C$1324,"M1B",Movimientos!$B$1:$B$1324,"&lt;="&amp;$B47)</f>
        <v>69376.390000000174</v>
      </c>
      <c r="E47" s="24">
        <f>SUMIFS('Saldos Iniciales'!$D:$D,'Saldos Iniciales'!$A:$A,"Durand")+SUMIFS(Movimientos!$K$1:$K$1324,Movimientos!$C$1:$C$1324,"Durand",Movimientos!$B$1:$B$1324,"&lt;="&amp;$B47)</f>
        <v>1669.89</v>
      </c>
      <c r="F47" s="24">
        <f>SUMIFS('Saldos Iniciales'!$D:$D,'Saldos Iniciales'!$A:$A,"A&amp;M Imports")+SUMIFS(Movimientos!$K$1:$K$1324,Movimientos!$C$1:$C$1324,"A&amp;M Imports",Movimientos!$B$1:$B$1324,"&lt;="&amp;$B47)</f>
        <v>503904.80999999982</v>
      </c>
      <c r="G47" s="24">
        <f>SUMIFS('Saldos Iniciales'!$D:$D,'Saldos Iniciales'!$A:$A,"SSP Capital")+SUMIFS(Movimientos!$K$1:$K$1324,Movimientos!$C$1:$C$1324,"SSP Capital",Movimientos!$B$1:$B$1324,"&lt;="&amp;$B47)</f>
        <v>3331737.2399999998</v>
      </c>
      <c r="H47" s="24">
        <f>SUMIFS('Saldos Iniciales'!$D:$D,'Saldos Iniciales'!$A:$A,"Cross Family Trust")+SUMIFS(Movimientos!$K$1:$K$1324,Movimientos!$C$1:$C$1324,"Cross Family Trust",Movimientos!$B$1:$B$1324,"&lt;="&amp;$B47)</f>
        <v>116496.38</v>
      </c>
      <c r="I47" s="24">
        <f>SUMIFS('Saldos Iniciales'!$D:$D,'Saldos Iniciales'!$A:$A,"Cross Security Trust")+SUMIFS(Movimientos!$K$1:$K$1324,Movimientos!$C$1:$C$1324,"Cross Security Trust",Movimientos!$B$1:$B$1324,"&lt;="&amp;$B47)</f>
        <v>20375.989999999998</v>
      </c>
      <c r="J47" s="24">
        <f>SUMIFS('Saldos Iniciales'!$D:$D,'Saldos Iniciales'!$A:$A,"Electrama")+SUMIFS(Movimientos!$K$1:$K$1324,Movimientos!$C$1:$C$1324,"Electrama",Movimientos!$B$1:$B$1324,"&lt;="&amp;$B47)</f>
        <v>511.15999999999985</v>
      </c>
      <c r="K47" s="24">
        <f>SUMIFS('Saldos Iniciales'!$D:$D,'Saldos Iniciales'!$A:$A,"Sacred Valley Capital")+SUMIFS(Movimientos!$K$1:$K$1324,Movimientos!$C$1:$C$1324,"Sacred Valley Capital",Movimientos!$B$1:$B$1324,"&lt;="&amp;$B47)</f>
        <v>84.35</v>
      </c>
      <c r="L47" s="24">
        <f>SUMIFS('Saldos Iniciales'!$D:$D,'Saldos Iniciales'!$A:$A,"YWC Capital")+SUMIFS(Movimientos!$K$1:$K$1324,Movimientos!$C$1:$C$1324,"YWC Capital",Movimientos!$B$1:$B$1324,"&lt;="&amp;$B47)</f>
        <v>2237.77</v>
      </c>
      <c r="M47" s="24">
        <f>SUMIFS('Saldos Iniciales'!$D:$D,'Saldos Iniciales'!$A:$A,"Soweto")+SUMIFS(Movimientos!$K$1:$K$1324,Movimientos!$C$1:$C$1324,"Soweto",Movimientos!$B$1:$B$1324,"&lt;="&amp;$B47)</f>
        <v>3349.94</v>
      </c>
      <c r="N47" s="24">
        <f>SUMIFS('Saldos Iniciales'!$D:$D,'Saldos Iniciales'!$A:$A,"Green Stone Trust")+SUMIFS(Movimientos!$K$1:$K$1324,Movimientos!$C$1:$C$1324,"Green Stone Trust",Movimientos!$B$1:$B$1324,"&lt;="&amp;$B47)</f>
        <v>1968.99</v>
      </c>
      <c r="O47" s="24">
        <f>SUMIFS('Saldos Iniciales'!$D:$D,'Saldos Iniciales'!$A:$A,"EC Auto")+SUMIFS(Movimientos!$K$1:$K$1324,Movimientos!$C$1:$C$1324,"EC Auto",Movimientos!$B$1:$B$1324,"&lt;="&amp;$B47)</f>
        <v>382.69000000000005</v>
      </c>
      <c r="P47" s="24">
        <f>SUMIFS('Saldos Iniciales'!$D:$D,'Saldos Iniciales'!$A:$A,"Arbor Capital Properties")+SUMIFS(Movimientos!$K$1:$K$1324,Movimientos!$C$1:$C$1324,"Arbor Capital Properties",Movimientos!$B$1:$B$1324,"&lt;="&amp;$B47)</f>
        <v>1428.08</v>
      </c>
      <c r="Q47" s="24">
        <f>SUMIFS('Saldos Iniciales'!$D:$D,'Saldos Iniciales'!$A:$A,"2515 Overbrook")+SUMIFS(Movimientos!$K$1:$K$1324,Movimientos!$C$1:$C$1324,"2515 Overbrook",Movimientos!$B$1:$B$1324,"&lt;="&amp;$B47)</f>
        <v>29789.969999999961</v>
      </c>
      <c r="R47" s="24">
        <f>SUMIFS('Saldos Iniciales'!$D:$D,'Saldos Iniciales'!$A:$A,"112 Florida Ave")+SUMIFS(Movimientos!$K$1:$K$1324,Movimientos!$C$1:$C$1324,"112 Florida Ave",Movimientos!$B$1:$B$1324,"&lt;="&amp;$B47)</f>
        <v>5321.4300000000021</v>
      </c>
      <c r="S47" s="24">
        <f>SUMIFS('Saldos Iniciales'!$D:$D,'Saldos Iniciales'!$A:$A,"3628 Thomas Ave")+SUMIFS(Movimientos!$K$1:$K$1324,Movimientos!$C$1:$C$1324,"3628 Thomas Ave",Movimientos!$B$1:$B$1324,"&lt;="&amp;$B47)</f>
        <v>20484.849999999999</v>
      </c>
      <c r="T47" s="24">
        <f>SUMIFS('Saldos Iniciales'!$D:$D,'Saldos Iniciales'!$A:$A,"Green Harbor Trust")+SUMIFS(Movimientos!$K$1:$K$1324,Movimientos!$C$1:$C$1324,"Green Harbor Trust",Movimientos!$B$1:$B$1324,"&lt;="&amp;$B47)</f>
        <v>345</v>
      </c>
      <c r="U47" s="24">
        <f>SUMIFS('Saldos Iniciales'!$D:$D,'Saldos Iniciales'!$A:$A,"Go Blue")+SUMIFS(Movimientos!$K$1:$K$1324,Movimientos!$C$1:$C$1324,"Go Blue",Movimientos!$B$1:$B$1324,"&lt;="&amp;$B47)</f>
        <v>54018.080000000002</v>
      </c>
      <c r="V47" s="24">
        <f>IF(YEAR($B47)*100+MONTH($B47)&lt;--SUBSTITUTE(_xlfn.XLOOKUP("Pacha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LLC",Movimientos!$B$1:$B$1324,"&lt;="&amp;$B47))</f>
        <v>0</v>
      </c>
      <c r="W47" s="24">
        <f>IF(YEAR($B47)*100+MONTH($B47)&lt;--SUBSTITUTE(_xlfn.XLOOKUP("*CFT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Residence",Movimientos!$B$1:$B$1324,"&lt;="&amp;$B47))</f>
        <v>0</v>
      </c>
      <c r="X47" s="24">
        <f>IF(YEAR($B47)*100+MONTH($B47)&lt;--SUBSTITUTE(_xlfn.XLOOKUP("Carmen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Trust",Movimientos!$B$1:$B$1324,"&lt;="&amp;$B47))</f>
        <v>0</v>
      </c>
      <c r="Y47" s="24">
        <f>IF(YEAR($B47)*100+MONTH($B47)&lt;--SUBSTITUTE(_xlfn.XLOOKUP("SIYP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LLC",Movimientos!$B$1:$B$1324,"&lt;="&amp;$B47))</f>
        <v>0</v>
      </c>
      <c r="Z47" s="24">
        <f>IF(YEAR($B47)*100+MONTH($B47)&lt;--SUBSTITUTE(_xlfn.XLOOKUP("Prendamas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SRL",Movimientos!$B$1:$B$1324,"&lt;="&amp;$B47))</f>
        <v>0</v>
      </c>
      <c r="AA47" s="24">
        <f>IF(YEAR($B47)*100+MONTH($B47)&lt;--SUBSTITUTE(_xlfn.XLOOKUP("360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LLC",Movimientos!$B$1:$B$1324,"&lt;="&amp;$B47))</f>
        <v>0</v>
      </c>
      <c r="AB47" s="24">
        <f>IF(YEAR($B47)*100+MONTH($B47)&lt;--SUBSTITUTE(_xlfn.XLOOKUP("Five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",Movimientos!$B$1:$B$1324,"&lt;="&amp;$B47))</f>
        <v>0</v>
      </c>
      <c r="AC47" s="24">
        <f>IF(YEAR($B47)*100+MONTH($B47)&lt;--SUBSTITUTE(_xlfn.XLOOKUP("Nobe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Aparments",Movimientos!$B$1:$B$1324,"&lt;="&amp;$B47))</f>
        <v>0</v>
      </c>
      <c r="AD47" s="24">
        <f>IF(YEAR($B47)*100+MONTH($B47)&lt;--SUBSTITUTE(_xlfn.XLOOKUP("Don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Life",Movimientos!$B$1:$B$1324,"&lt;="&amp;$B47))</f>
        <v>0</v>
      </c>
      <c r="AE47" s="25">
        <f t="shared" si="1"/>
        <v>5149458.9499999993</v>
      </c>
    </row>
    <row r="48" spans="1:31" hidden="1" outlineLevel="1" x14ac:dyDescent="0.3">
      <c r="A48" s="22">
        <f t="shared" si="0"/>
        <v>47</v>
      </c>
      <c r="B48" s="23">
        <v>46189</v>
      </c>
      <c r="C48" s="24">
        <f>SUMIFS('Saldos Iniciales'!$D:$D,'Saldos Iniciales'!$A:$A,"CFT Group")+SUMIFS(Movimientos!$K$1:$K$1324,Movimientos!$C$1:$C$1324,"CFT Group",Movimientos!$B$1:$B$1324,"&lt;="&amp;$B48)</f>
        <v>1086358.7500000002</v>
      </c>
      <c r="D48" s="24">
        <f>SUMIFS('Saldos Iniciales'!$D:$D,'Saldos Iniciales'!$A:$A,"M1B")+SUMIFS(Movimientos!$K$1:$K$1324,Movimientos!$C$1:$C$1324,"M1B",Movimientos!$B$1:$B$1324,"&lt;="&amp;$B48)</f>
        <v>69376.390000000174</v>
      </c>
      <c r="E48" s="24">
        <f>SUMIFS('Saldos Iniciales'!$D:$D,'Saldos Iniciales'!$A:$A,"Durand")+SUMIFS(Movimientos!$K$1:$K$1324,Movimientos!$C$1:$C$1324,"Durand",Movimientos!$B$1:$B$1324,"&lt;="&amp;$B48)</f>
        <v>1669.89</v>
      </c>
      <c r="F48" s="24">
        <f>SUMIFS('Saldos Iniciales'!$D:$D,'Saldos Iniciales'!$A:$A,"A&amp;M Imports")+SUMIFS(Movimientos!$K$1:$K$1324,Movimientos!$C$1:$C$1324,"A&amp;M Imports",Movimientos!$B$1:$B$1324,"&lt;="&amp;$B48)</f>
        <v>503904.80999999982</v>
      </c>
      <c r="G48" s="24">
        <f>SUMIFS('Saldos Iniciales'!$D:$D,'Saldos Iniciales'!$A:$A,"SSP Capital")+SUMIFS(Movimientos!$K$1:$K$1324,Movimientos!$C$1:$C$1324,"SSP Capital",Movimientos!$B$1:$B$1324,"&lt;="&amp;$B48)</f>
        <v>3329246.88</v>
      </c>
      <c r="H48" s="24">
        <f>SUMIFS('Saldos Iniciales'!$D:$D,'Saldos Iniciales'!$A:$A,"Cross Family Trust")+SUMIFS(Movimientos!$K$1:$K$1324,Movimientos!$C$1:$C$1324,"Cross Family Trust",Movimientos!$B$1:$B$1324,"&lt;="&amp;$B48)</f>
        <v>116496.38</v>
      </c>
      <c r="I48" s="24">
        <f>SUMIFS('Saldos Iniciales'!$D:$D,'Saldos Iniciales'!$A:$A,"Cross Security Trust")+SUMIFS(Movimientos!$K$1:$K$1324,Movimientos!$C$1:$C$1324,"Cross Security Trust",Movimientos!$B$1:$B$1324,"&lt;="&amp;$B48)</f>
        <v>20375.989999999998</v>
      </c>
      <c r="J48" s="24">
        <f>SUMIFS('Saldos Iniciales'!$D:$D,'Saldos Iniciales'!$A:$A,"Electrama")+SUMIFS(Movimientos!$K$1:$K$1324,Movimientos!$C$1:$C$1324,"Electrama",Movimientos!$B$1:$B$1324,"&lt;="&amp;$B48)</f>
        <v>511.15999999999985</v>
      </c>
      <c r="K48" s="24">
        <f>SUMIFS('Saldos Iniciales'!$D:$D,'Saldos Iniciales'!$A:$A,"Sacred Valley Capital")+SUMIFS(Movimientos!$K$1:$K$1324,Movimientos!$C$1:$C$1324,"Sacred Valley Capital",Movimientos!$B$1:$B$1324,"&lt;="&amp;$B48)</f>
        <v>84.35</v>
      </c>
      <c r="L48" s="24">
        <f>SUMIFS('Saldos Iniciales'!$D:$D,'Saldos Iniciales'!$A:$A,"YWC Capital")+SUMIFS(Movimientos!$K$1:$K$1324,Movimientos!$C$1:$C$1324,"YWC Capital",Movimientos!$B$1:$B$1324,"&lt;="&amp;$B48)</f>
        <v>2237.77</v>
      </c>
      <c r="M48" s="24">
        <f>SUMIFS('Saldos Iniciales'!$D:$D,'Saldos Iniciales'!$A:$A,"Soweto")+SUMIFS(Movimientos!$K$1:$K$1324,Movimientos!$C$1:$C$1324,"Soweto",Movimientos!$B$1:$B$1324,"&lt;="&amp;$B48)</f>
        <v>3349.94</v>
      </c>
      <c r="N48" s="24">
        <f>SUMIFS('Saldos Iniciales'!$D:$D,'Saldos Iniciales'!$A:$A,"Green Stone Trust")+SUMIFS(Movimientos!$K$1:$K$1324,Movimientos!$C$1:$C$1324,"Green Stone Trust",Movimientos!$B$1:$B$1324,"&lt;="&amp;$B48)</f>
        <v>1968.99</v>
      </c>
      <c r="O48" s="24">
        <f>SUMIFS('Saldos Iniciales'!$D:$D,'Saldos Iniciales'!$A:$A,"EC Auto")+SUMIFS(Movimientos!$K$1:$K$1324,Movimientos!$C$1:$C$1324,"EC Auto",Movimientos!$B$1:$B$1324,"&lt;="&amp;$B48)</f>
        <v>382.69000000000005</v>
      </c>
      <c r="P48" s="24">
        <f>SUMIFS('Saldos Iniciales'!$D:$D,'Saldos Iniciales'!$A:$A,"Arbor Capital Properties")+SUMIFS(Movimientos!$K$1:$K$1324,Movimientos!$C$1:$C$1324,"Arbor Capital Properties",Movimientos!$B$1:$B$1324,"&lt;="&amp;$B48)</f>
        <v>1428.08</v>
      </c>
      <c r="Q48" s="24">
        <f>SUMIFS('Saldos Iniciales'!$D:$D,'Saldos Iniciales'!$A:$A,"2515 Overbrook")+SUMIFS(Movimientos!$K$1:$K$1324,Movimientos!$C$1:$C$1324,"2515 Overbrook",Movimientos!$B$1:$B$1324,"&lt;="&amp;$B48)</f>
        <v>29789.969999999961</v>
      </c>
      <c r="R48" s="24">
        <f>SUMIFS('Saldos Iniciales'!$D:$D,'Saldos Iniciales'!$A:$A,"112 Florida Ave")+SUMIFS(Movimientos!$K$1:$K$1324,Movimientos!$C$1:$C$1324,"112 Florida Ave",Movimientos!$B$1:$B$1324,"&lt;="&amp;$B48)</f>
        <v>20321.43</v>
      </c>
      <c r="S48" s="24">
        <f>SUMIFS('Saldos Iniciales'!$D:$D,'Saldos Iniciales'!$A:$A,"3628 Thomas Ave")+SUMIFS(Movimientos!$K$1:$K$1324,Movimientos!$C$1:$C$1324,"3628 Thomas Ave",Movimientos!$B$1:$B$1324,"&lt;="&amp;$B48)</f>
        <v>19811.349999999999</v>
      </c>
      <c r="T48" s="24">
        <f>SUMIFS('Saldos Iniciales'!$D:$D,'Saldos Iniciales'!$A:$A,"Green Harbor Trust")+SUMIFS(Movimientos!$K$1:$K$1324,Movimientos!$C$1:$C$1324,"Green Harbor Trust",Movimientos!$B$1:$B$1324,"&lt;="&amp;$B48)</f>
        <v>345</v>
      </c>
      <c r="U48" s="24">
        <f>SUMIFS('Saldos Iniciales'!$D:$D,'Saldos Iniciales'!$A:$A,"Go Blue")+SUMIFS(Movimientos!$K$1:$K$1324,Movimientos!$C$1:$C$1324,"Go Blue",Movimientos!$B$1:$B$1324,"&lt;="&amp;$B48)</f>
        <v>51334.36</v>
      </c>
      <c r="V48" s="24">
        <f>IF(YEAR($B48)*100+MONTH($B48)&lt;--SUBSTITUTE(_xlfn.XLOOKUP("Pacha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LLC",Movimientos!$B$1:$B$1324,"&lt;="&amp;$B48))</f>
        <v>0</v>
      </c>
      <c r="W48" s="24">
        <f>IF(YEAR($B48)*100+MONTH($B48)&lt;--SUBSTITUTE(_xlfn.XLOOKUP("*CFT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Residence",Movimientos!$B$1:$B$1324,"&lt;="&amp;$B48))</f>
        <v>0</v>
      </c>
      <c r="X48" s="24">
        <f>IF(YEAR($B48)*100+MONTH($B48)&lt;--SUBSTITUTE(_xlfn.XLOOKUP("Carmen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Trust",Movimientos!$B$1:$B$1324,"&lt;="&amp;$B48))</f>
        <v>0</v>
      </c>
      <c r="Y48" s="24">
        <f>IF(YEAR($B48)*100+MONTH($B48)&lt;--SUBSTITUTE(_xlfn.XLOOKUP("SIYP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LLC",Movimientos!$B$1:$B$1324,"&lt;="&amp;$B48))</f>
        <v>0</v>
      </c>
      <c r="Z48" s="24">
        <f>IF(YEAR($B48)*100+MONTH($B48)&lt;--SUBSTITUTE(_xlfn.XLOOKUP("Prendamas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SRL",Movimientos!$B$1:$B$1324,"&lt;="&amp;$B48))</f>
        <v>0</v>
      </c>
      <c r="AA48" s="24">
        <f>IF(YEAR($B48)*100+MONTH($B48)&lt;--SUBSTITUTE(_xlfn.XLOOKUP("360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LLC",Movimientos!$B$1:$B$1324,"&lt;="&amp;$B48))</f>
        <v>0</v>
      </c>
      <c r="AB48" s="24">
        <f>IF(YEAR($B48)*100+MONTH($B48)&lt;--SUBSTITUTE(_xlfn.XLOOKUP("Five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",Movimientos!$B$1:$B$1324,"&lt;="&amp;$B48))</f>
        <v>0</v>
      </c>
      <c r="AC48" s="24">
        <f>IF(YEAR($B48)*100+MONTH($B48)&lt;--SUBSTITUTE(_xlfn.XLOOKUP("Nobe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Aparments",Movimientos!$B$1:$B$1324,"&lt;="&amp;$B48))</f>
        <v>0</v>
      </c>
      <c r="AD48" s="24">
        <f>IF(YEAR($B48)*100+MONTH($B48)&lt;--SUBSTITUTE(_xlfn.XLOOKUP("Don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Life",Movimientos!$B$1:$B$1324,"&lt;="&amp;$B48))</f>
        <v>0</v>
      </c>
      <c r="AE48" s="25">
        <f t="shared" si="1"/>
        <v>5258994.18</v>
      </c>
    </row>
    <row r="49" spans="1:31" hidden="1" outlineLevel="1" x14ac:dyDescent="0.3">
      <c r="A49" s="22">
        <f t="shared" si="0"/>
        <v>48</v>
      </c>
      <c r="B49" s="23">
        <v>46190</v>
      </c>
      <c r="C49" s="24">
        <f>SUMIFS('Saldos Iniciales'!$D:$D,'Saldos Iniciales'!$A:$A,"CFT Group")+SUMIFS(Movimientos!$K$1:$K$1324,Movimientos!$C$1:$C$1324,"CFT Group",Movimientos!$B$1:$B$1324,"&lt;="&amp;$B49)</f>
        <v>1098358.7500000002</v>
      </c>
      <c r="D49" s="24">
        <f>SUMIFS('Saldos Iniciales'!$D:$D,'Saldos Iniciales'!$A:$A,"M1B")+SUMIFS(Movimientos!$K$1:$K$1324,Movimientos!$C$1:$C$1324,"M1B",Movimientos!$B$1:$B$1324,"&lt;="&amp;$B49)</f>
        <v>69376.390000000174</v>
      </c>
      <c r="E49" s="24">
        <f>SUMIFS('Saldos Iniciales'!$D:$D,'Saldos Iniciales'!$A:$A,"Durand")+SUMIFS(Movimientos!$K$1:$K$1324,Movimientos!$C$1:$C$1324,"Durand",Movimientos!$B$1:$B$1324,"&lt;="&amp;$B49)</f>
        <v>1669.89</v>
      </c>
      <c r="F49" s="24">
        <f>SUMIFS('Saldos Iniciales'!$D:$D,'Saldos Iniciales'!$A:$A,"A&amp;M Imports")+SUMIFS(Movimientos!$K$1:$K$1324,Movimientos!$C$1:$C$1324,"A&amp;M Imports",Movimientos!$B$1:$B$1324,"&lt;="&amp;$B49)</f>
        <v>503904.80999999982</v>
      </c>
      <c r="G49" s="24">
        <f>SUMIFS('Saldos Iniciales'!$D:$D,'Saldos Iniciales'!$A:$A,"SSP Capital")+SUMIFS(Movimientos!$K$1:$K$1324,Movimientos!$C$1:$C$1324,"SSP Capital",Movimientos!$B$1:$B$1324,"&lt;="&amp;$B49)</f>
        <v>3326863.3899999997</v>
      </c>
      <c r="H49" s="24">
        <f>SUMIFS('Saldos Iniciales'!$D:$D,'Saldos Iniciales'!$A:$A,"Cross Family Trust")+SUMIFS(Movimientos!$K$1:$K$1324,Movimientos!$C$1:$C$1324,"Cross Family Trust",Movimientos!$B$1:$B$1324,"&lt;="&amp;$B49)</f>
        <v>116496.38</v>
      </c>
      <c r="I49" s="24">
        <f>SUMIFS('Saldos Iniciales'!$D:$D,'Saldos Iniciales'!$A:$A,"Cross Security Trust")+SUMIFS(Movimientos!$K$1:$K$1324,Movimientos!$C$1:$C$1324,"Cross Security Trust",Movimientos!$B$1:$B$1324,"&lt;="&amp;$B49)</f>
        <v>20375.989999999998</v>
      </c>
      <c r="J49" s="24">
        <f>SUMIFS('Saldos Iniciales'!$D:$D,'Saldos Iniciales'!$A:$A,"Electrama")+SUMIFS(Movimientos!$K$1:$K$1324,Movimientos!$C$1:$C$1324,"Electrama",Movimientos!$B$1:$B$1324,"&lt;="&amp;$B49)</f>
        <v>511.15999999999985</v>
      </c>
      <c r="K49" s="24">
        <f>SUMIFS('Saldos Iniciales'!$D:$D,'Saldos Iniciales'!$A:$A,"Sacred Valley Capital")+SUMIFS(Movimientos!$K$1:$K$1324,Movimientos!$C$1:$C$1324,"Sacred Valley Capital",Movimientos!$B$1:$B$1324,"&lt;="&amp;$B49)</f>
        <v>84.35</v>
      </c>
      <c r="L49" s="24">
        <f>SUMIFS('Saldos Iniciales'!$D:$D,'Saldos Iniciales'!$A:$A,"YWC Capital")+SUMIFS(Movimientos!$K$1:$K$1324,Movimientos!$C$1:$C$1324,"YWC Capital",Movimientos!$B$1:$B$1324,"&lt;="&amp;$B49)</f>
        <v>2237.77</v>
      </c>
      <c r="M49" s="24">
        <f>SUMIFS('Saldos Iniciales'!$D:$D,'Saldos Iniciales'!$A:$A,"Soweto")+SUMIFS(Movimientos!$K$1:$K$1324,Movimientos!$C$1:$C$1324,"Soweto",Movimientos!$B$1:$B$1324,"&lt;="&amp;$B49)</f>
        <v>3349.94</v>
      </c>
      <c r="N49" s="24">
        <f>SUMIFS('Saldos Iniciales'!$D:$D,'Saldos Iniciales'!$A:$A,"Green Stone Trust")+SUMIFS(Movimientos!$K$1:$K$1324,Movimientos!$C$1:$C$1324,"Green Stone Trust",Movimientos!$B$1:$B$1324,"&lt;="&amp;$B49)</f>
        <v>1968.99</v>
      </c>
      <c r="O49" s="24">
        <f>SUMIFS('Saldos Iniciales'!$D:$D,'Saldos Iniciales'!$A:$A,"EC Auto")+SUMIFS(Movimientos!$K$1:$K$1324,Movimientos!$C$1:$C$1324,"EC Auto",Movimientos!$B$1:$B$1324,"&lt;="&amp;$B49)</f>
        <v>382.69000000000005</v>
      </c>
      <c r="P49" s="24">
        <f>SUMIFS('Saldos Iniciales'!$D:$D,'Saldos Iniciales'!$A:$A,"Arbor Capital Properties")+SUMIFS(Movimientos!$K$1:$K$1324,Movimientos!$C$1:$C$1324,"Arbor Capital Properties",Movimientos!$B$1:$B$1324,"&lt;="&amp;$B49)</f>
        <v>1428.08</v>
      </c>
      <c r="Q49" s="24">
        <f>SUMIFS('Saldos Iniciales'!$D:$D,'Saldos Iniciales'!$A:$A,"2515 Overbrook")+SUMIFS(Movimientos!$K$1:$K$1324,Movimientos!$C$1:$C$1324,"2515 Overbrook",Movimientos!$B$1:$B$1324,"&lt;="&amp;$B49)</f>
        <v>29789.969999999961</v>
      </c>
      <c r="R49" s="24">
        <f>SUMIFS('Saldos Iniciales'!$D:$D,'Saldos Iniciales'!$A:$A,"112 Florida Ave")+SUMIFS(Movimientos!$K$1:$K$1324,Movimientos!$C$1:$C$1324,"112 Florida Ave",Movimientos!$B$1:$B$1324,"&lt;="&amp;$B49)</f>
        <v>20321.43</v>
      </c>
      <c r="S49" s="24">
        <f>SUMIFS('Saldos Iniciales'!$D:$D,'Saldos Iniciales'!$A:$A,"3628 Thomas Ave")+SUMIFS(Movimientos!$K$1:$K$1324,Movimientos!$C$1:$C$1324,"3628 Thomas Ave",Movimientos!$B$1:$B$1324,"&lt;="&amp;$B49)</f>
        <v>16681.349999999999</v>
      </c>
      <c r="T49" s="24">
        <f>SUMIFS('Saldos Iniciales'!$D:$D,'Saldos Iniciales'!$A:$A,"Green Harbor Trust")+SUMIFS(Movimientos!$K$1:$K$1324,Movimientos!$C$1:$C$1324,"Green Harbor Trust",Movimientos!$B$1:$B$1324,"&lt;="&amp;$B49)</f>
        <v>345</v>
      </c>
      <c r="U49" s="24">
        <f>SUMIFS('Saldos Iniciales'!$D:$D,'Saldos Iniciales'!$A:$A,"Go Blue")+SUMIFS(Movimientos!$K$1:$K$1324,Movimientos!$C$1:$C$1324,"Go Blue",Movimientos!$B$1:$B$1324,"&lt;="&amp;$B49)</f>
        <v>50334.36</v>
      </c>
      <c r="V49" s="24">
        <f>IF(YEAR($B49)*100+MONTH($B49)&lt;--SUBSTITUTE(_xlfn.XLOOKUP("Pacha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LLC",Movimientos!$B$1:$B$1324,"&lt;="&amp;$B49))</f>
        <v>0</v>
      </c>
      <c r="W49" s="24">
        <f>IF(YEAR($B49)*100+MONTH($B49)&lt;--SUBSTITUTE(_xlfn.XLOOKUP("*CFT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Residence",Movimientos!$B$1:$B$1324,"&lt;="&amp;$B49))</f>
        <v>0</v>
      </c>
      <c r="X49" s="24">
        <f>IF(YEAR($B49)*100+MONTH($B49)&lt;--SUBSTITUTE(_xlfn.XLOOKUP("Carmen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Trust",Movimientos!$B$1:$B$1324,"&lt;="&amp;$B49))</f>
        <v>0</v>
      </c>
      <c r="Y49" s="24">
        <f>IF(YEAR($B49)*100+MONTH($B49)&lt;--SUBSTITUTE(_xlfn.XLOOKUP("SIYP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LLC",Movimientos!$B$1:$B$1324,"&lt;="&amp;$B49))</f>
        <v>0</v>
      </c>
      <c r="Z49" s="24">
        <f>IF(YEAR($B49)*100+MONTH($B49)&lt;--SUBSTITUTE(_xlfn.XLOOKUP("Prendamas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SRL",Movimientos!$B$1:$B$1324,"&lt;="&amp;$B49))</f>
        <v>0</v>
      </c>
      <c r="AA49" s="24">
        <f>IF(YEAR($B49)*100+MONTH($B49)&lt;--SUBSTITUTE(_xlfn.XLOOKUP("360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LLC",Movimientos!$B$1:$B$1324,"&lt;="&amp;$B49))</f>
        <v>0</v>
      </c>
      <c r="AB49" s="24">
        <f>IF(YEAR($B49)*100+MONTH($B49)&lt;--SUBSTITUTE(_xlfn.XLOOKUP("Five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",Movimientos!$B$1:$B$1324,"&lt;="&amp;$B49))</f>
        <v>0</v>
      </c>
      <c r="AC49" s="24">
        <f>IF(YEAR($B49)*100+MONTH($B49)&lt;--SUBSTITUTE(_xlfn.XLOOKUP("Nobe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Aparments",Movimientos!$B$1:$B$1324,"&lt;="&amp;$B49))</f>
        <v>0</v>
      </c>
      <c r="AD49" s="24">
        <f>IF(YEAR($B49)*100+MONTH($B49)&lt;--SUBSTITUTE(_xlfn.XLOOKUP("Don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Life",Movimientos!$B$1:$B$1324,"&lt;="&amp;$B49))</f>
        <v>0</v>
      </c>
      <c r="AE49" s="25">
        <f t="shared" si="1"/>
        <v>5264480.6899999995</v>
      </c>
    </row>
    <row r="50" spans="1:31" hidden="1" outlineLevel="1" x14ac:dyDescent="0.3">
      <c r="A50" s="22">
        <f t="shared" si="0"/>
        <v>49</v>
      </c>
      <c r="B50" s="23">
        <v>46191</v>
      </c>
      <c r="C50" s="24">
        <f>SUMIFS('Saldos Iniciales'!$D:$D,'Saldos Iniciales'!$A:$A,"CFT Group")+SUMIFS(Movimientos!$K$1:$K$1324,Movimientos!$C$1:$C$1324,"CFT Group",Movimientos!$B$1:$B$1324,"&lt;="&amp;$B50)</f>
        <v>1098358.7500000002</v>
      </c>
      <c r="D50" s="24">
        <f>SUMIFS('Saldos Iniciales'!$D:$D,'Saldos Iniciales'!$A:$A,"M1B")+SUMIFS(Movimientos!$K$1:$K$1324,Movimientos!$C$1:$C$1324,"M1B",Movimientos!$B$1:$B$1324,"&lt;="&amp;$B50)</f>
        <v>69376.390000000174</v>
      </c>
      <c r="E50" s="24">
        <f>SUMIFS('Saldos Iniciales'!$D:$D,'Saldos Iniciales'!$A:$A,"Durand")+SUMIFS(Movimientos!$K$1:$K$1324,Movimientos!$C$1:$C$1324,"Durand",Movimientos!$B$1:$B$1324,"&lt;="&amp;$B50)</f>
        <v>1669.89</v>
      </c>
      <c r="F50" s="24">
        <f>SUMIFS('Saldos Iniciales'!$D:$D,'Saldos Iniciales'!$A:$A,"A&amp;M Imports")+SUMIFS(Movimientos!$K$1:$K$1324,Movimientos!$C$1:$C$1324,"A&amp;M Imports",Movimientos!$B$1:$B$1324,"&lt;="&amp;$B50)</f>
        <v>503904.80999999982</v>
      </c>
      <c r="G50" s="24">
        <f>SUMIFS('Saldos Iniciales'!$D:$D,'Saldos Iniciales'!$A:$A,"SSP Capital")+SUMIFS(Movimientos!$K$1:$K$1324,Movimientos!$C$1:$C$1324,"SSP Capital",Movimientos!$B$1:$B$1324,"&lt;="&amp;$B50)</f>
        <v>3326696.7299999995</v>
      </c>
      <c r="H50" s="24">
        <f>SUMIFS('Saldos Iniciales'!$D:$D,'Saldos Iniciales'!$A:$A,"Cross Family Trust")+SUMIFS(Movimientos!$K$1:$K$1324,Movimientos!$C$1:$C$1324,"Cross Family Trust",Movimientos!$B$1:$B$1324,"&lt;="&amp;$B50)</f>
        <v>116496.38</v>
      </c>
      <c r="I50" s="24">
        <f>SUMIFS('Saldos Iniciales'!$D:$D,'Saldos Iniciales'!$A:$A,"Cross Security Trust")+SUMIFS(Movimientos!$K$1:$K$1324,Movimientos!$C$1:$C$1324,"Cross Security Trust",Movimientos!$B$1:$B$1324,"&lt;="&amp;$B50)</f>
        <v>20375.989999999998</v>
      </c>
      <c r="J50" s="24">
        <f>SUMIFS('Saldos Iniciales'!$D:$D,'Saldos Iniciales'!$A:$A,"Electrama")+SUMIFS(Movimientos!$K$1:$K$1324,Movimientos!$C$1:$C$1324,"Electrama",Movimientos!$B$1:$B$1324,"&lt;="&amp;$B50)</f>
        <v>511.15999999999985</v>
      </c>
      <c r="K50" s="24">
        <f>SUMIFS('Saldos Iniciales'!$D:$D,'Saldos Iniciales'!$A:$A,"Sacred Valley Capital")+SUMIFS(Movimientos!$K$1:$K$1324,Movimientos!$C$1:$C$1324,"Sacred Valley Capital",Movimientos!$B$1:$B$1324,"&lt;="&amp;$B50)</f>
        <v>84.35</v>
      </c>
      <c r="L50" s="24">
        <f>SUMIFS('Saldos Iniciales'!$D:$D,'Saldos Iniciales'!$A:$A,"YWC Capital")+SUMIFS(Movimientos!$K$1:$K$1324,Movimientos!$C$1:$C$1324,"YWC Capital",Movimientos!$B$1:$B$1324,"&lt;="&amp;$B50)</f>
        <v>2237.77</v>
      </c>
      <c r="M50" s="24">
        <f>SUMIFS('Saldos Iniciales'!$D:$D,'Saldos Iniciales'!$A:$A,"Soweto")+SUMIFS(Movimientos!$K$1:$K$1324,Movimientos!$C$1:$C$1324,"Soweto",Movimientos!$B$1:$B$1324,"&lt;="&amp;$B50)</f>
        <v>3349.94</v>
      </c>
      <c r="N50" s="24">
        <f>SUMIFS('Saldos Iniciales'!$D:$D,'Saldos Iniciales'!$A:$A,"Green Stone Trust")+SUMIFS(Movimientos!$K$1:$K$1324,Movimientos!$C$1:$C$1324,"Green Stone Trust",Movimientos!$B$1:$B$1324,"&lt;="&amp;$B50)</f>
        <v>1968.99</v>
      </c>
      <c r="O50" s="24">
        <f>SUMIFS('Saldos Iniciales'!$D:$D,'Saldos Iniciales'!$A:$A,"EC Auto")+SUMIFS(Movimientos!$K$1:$K$1324,Movimientos!$C$1:$C$1324,"EC Auto",Movimientos!$B$1:$B$1324,"&lt;="&amp;$B50)</f>
        <v>382.69000000000005</v>
      </c>
      <c r="P50" s="24">
        <f>SUMIFS('Saldos Iniciales'!$D:$D,'Saldos Iniciales'!$A:$A,"Arbor Capital Properties")+SUMIFS(Movimientos!$K$1:$K$1324,Movimientos!$C$1:$C$1324,"Arbor Capital Properties",Movimientos!$B$1:$B$1324,"&lt;="&amp;$B50)</f>
        <v>1428.08</v>
      </c>
      <c r="Q50" s="24">
        <f>SUMIFS('Saldos Iniciales'!$D:$D,'Saldos Iniciales'!$A:$A,"2515 Overbrook")+SUMIFS(Movimientos!$K$1:$K$1324,Movimientos!$C$1:$C$1324,"2515 Overbrook",Movimientos!$B$1:$B$1324,"&lt;="&amp;$B50)</f>
        <v>29789.969999999961</v>
      </c>
      <c r="R50" s="24">
        <f>SUMIFS('Saldos Iniciales'!$D:$D,'Saldos Iniciales'!$A:$A,"112 Florida Ave")+SUMIFS(Movimientos!$K$1:$K$1324,Movimientos!$C$1:$C$1324,"112 Florida Ave",Movimientos!$B$1:$B$1324,"&lt;="&amp;$B50)</f>
        <v>20321.43</v>
      </c>
      <c r="S50" s="24">
        <f>SUMIFS('Saldos Iniciales'!$D:$D,'Saldos Iniciales'!$A:$A,"3628 Thomas Ave")+SUMIFS(Movimientos!$K$1:$K$1324,Movimientos!$C$1:$C$1324,"3628 Thomas Ave",Movimientos!$B$1:$B$1324,"&lt;="&amp;$B50)</f>
        <v>16681.349999999999</v>
      </c>
      <c r="T50" s="24">
        <f>SUMIFS('Saldos Iniciales'!$D:$D,'Saldos Iniciales'!$A:$A,"Green Harbor Trust")+SUMIFS(Movimientos!$K$1:$K$1324,Movimientos!$C$1:$C$1324,"Green Harbor Trust",Movimientos!$B$1:$B$1324,"&lt;="&amp;$B50)</f>
        <v>345</v>
      </c>
      <c r="U50" s="24">
        <f>SUMIFS('Saldos Iniciales'!$D:$D,'Saldos Iniciales'!$A:$A,"Go Blue")+SUMIFS(Movimientos!$K$1:$K$1324,Movimientos!$C$1:$C$1324,"Go Blue",Movimientos!$B$1:$B$1324,"&lt;="&amp;$B50)</f>
        <v>50334.36</v>
      </c>
      <c r="V50" s="24">
        <f>IF(YEAR($B50)*100+MONTH($B50)&lt;--SUBSTITUTE(_xlfn.XLOOKUP("Pacha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LLC",Movimientos!$B$1:$B$1324,"&lt;="&amp;$B50))</f>
        <v>0</v>
      </c>
      <c r="W50" s="24">
        <f>IF(YEAR($B50)*100+MONTH($B50)&lt;--SUBSTITUTE(_xlfn.XLOOKUP("*CFT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Residence",Movimientos!$B$1:$B$1324,"&lt;="&amp;$B50))</f>
        <v>0</v>
      </c>
      <c r="X50" s="24">
        <f>IF(YEAR($B50)*100+MONTH($B50)&lt;--SUBSTITUTE(_xlfn.XLOOKUP("Carmen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Trust",Movimientos!$B$1:$B$1324,"&lt;="&amp;$B50))</f>
        <v>0</v>
      </c>
      <c r="Y50" s="24">
        <f>IF(YEAR($B50)*100+MONTH($B50)&lt;--SUBSTITUTE(_xlfn.XLOOKUP("SIYP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LLC",Movimientos!$B$1:$B$1324,"&lt;="&amp;$B50))</f>
        <v>0</v>
      </c>
      <c r="Z50" s="24">
        <f>IF(YEAR($B50)*100+MONTH($B50)&lt;--SUBSTITUTE(_xlfn.XLOOKUP("Prendamas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SRL",Movimientos!$B$1:$B$1324,"&lt;="&amp;$B50))</f>
        <v>0</v>
      </c>
      <c r="AA50" s="24">
        <f>IF(YEAR($B50)*100+MONTH($B50)&lt;--SUBSTITUTE(_xlfn.XLOOKUP("360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LLC",Movimientos!$B$1:$B$1324,"&lt;="&amp;$B50))</f>
        <v>0</v>
      </c>
      <c r="AB50" s="24">
        <f>IF(YEAR($B50)*100+MONTH($B50)&lt;--SUBSTITUTE(_xlfn.XLOOKUP("Five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",Movimientos!$B$1:$B$1324,"&lt;="&amp;$B50))</f>
        <v>0</v>
      </c>
      <c r="AC50" s="24">
        <f>IF(YEAR($B50)*100+MONTH($B50)&lt;--SUBSTITUTE(_xlfn.XLOOKUP("Nobe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Aparments",Movimientos!$B$1:$B$1324,"&lt;="&amp;$B50))</f>
        <v>0</v>
      </c>
      <c r="AD50" s="24">
        <f>IF(YEAR($B50)*100+MONTH($B50)&lt;--SUBSTITUTE(_xlfn.XLOOKUP("Don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Life",Movimientos!$B$1:$B$1324,"&lt;="&amp;$B50))</f>
        <v>0</v>
      </c>
      <c r="AE50" s="25">
        <f t="shared" si="1"/>
        <v>5264314.0299999993</v>
      </c>
    </row>
    <row r="51" spans="1:31" hidden="1" outlineLevel="1" x14ac:dyDescent="0.3">
      <c r="A51" s="22">
        <f t="shared" si="0"/>
        <v>50</v>
      </c>
      <c r="B51" s="23">
        <v>46192</v>
      </c>
      <c r="C51" s="24">
        <f>SUMIFS('Saldos Iniciales'!$D:$D,'Saldos Iniciales'!$A:$A,"CFT Group")+SUMIFS(Movimientos!$K$1:$K$1324,Movimientos!$C$1:$C$1324,"CFT Group",Movimientos!$B$1:$B$1324,"&lt;="&amp;$B51)</f>
        <v>1098358.7500000002</v>
      </c>
      <c r="D51" s="24">
        <f>SUMIFS('Saldos Iniciales'!$D:$D,'Saldos Iniciales'!$A:$A,"M1B")+SUMIFS(Movimientos!$K$1:$K$1324,Movimientos!$C$1:$C$1324,"M1B",Movimientos!$B$1:$B$1324,"&lt;="&amp;$B51)</f>
        <v>69376.390000000174</v>
      </c>
      <c r="E51" s="24">
        <f>SUMIFS('Saldos Iniciales'!$D:$D,'Saldos Iniciales'!$A:$A,"Durand")+SUMIFS(Movimientos!$K$1:$K$1324,Movimientos!$C$1:$C$1324,"Durand",Movimientos!$B$1:$B$1324,"&lt;="&amp;$B51)</f>
        <v>1669.89</v>
      </c>
      <c r="F51" s="24">
        <f>SUMIFS('Saldos Iniciales'!$D:$D,'Saldos Iniciales'!$A:$A,"A&amp;M Imports")+SUMIFS(Movimientos!$K$1:$K$1324,Movimientos!$C$1:$C$1324,"A&amp;M Imports",Movimientos!$B$1:$B$1324,"&lt;="&amp;$B51)</f>
        <v>503904.80999999982</v>
      </c>
      <c r="G51" s="24">
        <f>SUMIFS('Saldos Iniciales'!$D:$D,'Saldos Iniciales'!$A:$A,"SSP Capital")+SUMIFS(Movimientos!$K$1:$K$1324,Movimientos!$C$1:$C$1324,"SSP Capital",Movimientos!$B$1:$B$1324,"&lt;="&amp;$B51)</f>
        <v>3326696.7299999995</v>
      </c>
      <c r="H51" s="24">
        <f>SUMIFS('Saldos Iniciales'!$D:$D,'Saldos Iniciales'!$A:$A,"Cross Family Trust")+SUMIFS(Movimientos!$K$1:$K$1324,Movimientos!$C$1:$C$1324,"Cross Family Trust",Movimientos!$B$1:$B$1324,"&lt;="&amp;$B51)</f>
        <v>116496.38</v>
      </c>
      <c r="I51" s="24">
        <f>SUMIFS('Saldos Iniciales'!$D:$D,'Saldos Iniciales'!$A:$A,"Cross Security Trust")+SUMIFS(Movimientos!$K$1:$K$1324,Movimientos!$C$1:$C$1324,"Cross Security Trust",Movimientos!$B$1:$B$1324,"&lt;="&amp;$B51)</f>
        <v>20375.989999999998</v>
      </c>
      <c r="J51" s="24">
        <f>SUMIFS('Saldos Iniciales'!$D:$D,'Saldos Iniciales'!$A:$A,"Electrama")+SUMIFS(Movimientos!$K$1:$K$1324,Movimientos!$C$1:$C$1324,"Electrama",Movimientos!$B$1:$B$1324,"&lt;="&amp;$B51)</f>
        <v>511.15999999999985</v>
      </c>
      <c r="K51" s="24">
        <f>SUMIFS('Saldos Iniciales'!$D:$D,'Saldos Iniciales'!$A:$A,"Sacred Valley Capital")+SUMIFS(Movimientos!$K$1:$K$1324,Movimientos!$C$1:$C$1324,"Sacred Valley Capital",Movimientos!$B$1:$B$1324,"&lt;="&amp;$B51)</f>
        <v>84.35</v>
      </c>
      <c r="L51" s="24">
        <f>SUMIFS('Saldos Iniciales'!$D:$D,'Saldos Iniciales'!$A:$A,"YWC Capital")+SUMIFS(Movimientos!$K$1:$K$1324,Movimientos!$C$1:$C$1324,"YWC Capital",Movimientos!$B$1:$B$1324,"&lt;="&amp;$B51)</f>
        <v>2237.77</v>
      </c>
      <c r="M51" s="24">
        <f>SUMIFS('Saldos Iniciales'!$D:$D,'Saldos Iniciales'!$A:$A,"Soweto")+SUMIFS(Movimientos!$K$1:$K$1324,Movimientos!$C$1:$C$1324,"Soweto",Movimientos!$B$1:$B$1324,"&lt;="&amp;$B51)</f>
        <v>3349.94</v>
      </c>
      <c r="N51" s="24">
        <f>SUMIFS('Saldos Iniciales'!$D:$D,'Saldos Iniciales'!$A:$A,"Green Stone Trust")+SUMIFS(Movimientos!$K$1:$K$1324,Movimientos!$C$1:$C$1324,"Green Stone Trust",Movimientos!$B$1:$B$1324,"&lt;="&amp;$B51)</f>
        <v>1968.99</v>
      </c>
      <c r="O51" s="24">
        <f>SUMIFS('Saldos Iniciales'!$D:$D,'Saldos Iniciales'!$A:$A,"EC Auto")+SUMIFS(Movimientos!$K$1:$K$1324,Movimientos!$C$1:$C$1324,"EC Auto",Movimientos!$B$1:$B$1324,"&lt;="&amp;$B51)</f>
        <v>382.69000000000005</v>
      </c>
      <c r="P51" s="24">
        <f>SUMIFS('Saldos Iniciales'!$D:$D,'Saldos Iniciales'!$A:$A,"Arbor Capital Properties")+SUMIFS(Movimientos!$K$1:$K$1324,Movimientos!$C$1:$C$1324,"Arbor Capital Properties",Movimientos!$B$1:$B$1324,"&lt;="&amp;$B51)</f>
        <v>1428.08</v>
      </c>
      <c r="Q51" s="24">
        <f>SUMIFS('Saldos Iniciales'!$D:$D,'Saldos Iniciales'!$A:$A,"2515 Overbrook")+SUMIFS(Movimientos!$K$1:$K$1324,Movimientos!$C$1:$C$1324,"2515 Overbrook",Movimientos!$B$1:$B$1324,"&lt;="&amp;$B51)</f>
        <v>29789.969999999961</v>
      </c>
      <c r="R51" s="24">
        <f>SUMIFS('Saldos Iniciales'!$D:$D,'Saldos Iniciales'!$A:$A,"112 Florida Ave")+SUMIFS(Movimientos!$K$1:$K$1324,Movimientos!$C$1:$C$1324,"112 Florida Ave",Movimientos!$B$1:$B$1324,"&lt;="&amp;$B51)</f>
        <v>20321.43</v>
      </c>
      <c r="S51" s="24">
        <f>SUMIFS('Saldos Iniciales'!$D:$D,'Saldos Iniciales'!$A:$A,"3628 Thomas Ave")+SUMIFS(Movimientos!$K$1:$K$1324,Movimientos!$C$1:$C$1324,"3628 Thomas Ave",Movimientos!$B$1:$B$1324,"&lt;="&amp;$B51)</f>
        <v>16681.349999999999</v>
      </c>
      <c r="T51" s="24">
        <f>SUMIFS('Saldos Iniciales'!$D:$D,'Saldos Iniciales'!$A:$A,"Green Harbor Trust")+SUMIFS(Movimientos!$K$1:$K$1324,Movimientos!$C$1:$C$1324,"Green Harbor Trust",Movimientos!$B$1:$B$1324,"&lt;="&amp;$B51)</f>
        <v>345</v>
      </c>
      <c r="U51" s="24">
        <f>SUMIFS('Saldos Iniciales'!$D:$D,'Saldos Iniciales'!$A:$A,"Go Blue")+SUMIFS(Movimientos!$K$1:$K$1324,Movimientos!$C$1:$C$1324,"Go Blue",Movimientos!$B$1:$B$1324,"&lt;="&amp;$B51)</f>
        <v>50334.36</v>
      </c>
      <c r="V51" s="24">
        <f>IF(YEAR($B51)*100+MONTH($B51)&lt;--SUBSTITUTE(_xlfn.XLOOKUP("Pacha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LLC",Movimientos!$B$1:$B$1324,"&lt;="&amp;$B51))</f>
        <v>0</v>
      </c>
      <c r="W51" s="24">
        <f>IF(YEAR($B51)*100+MONTH($B51)&lt;--SUBSTITUTE(_xlfn.XLOOKUP("*CFT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Residence",Movimientos!$B$1:$B$1324,"&lt;="&amp;$B51))</f>
        <v>0</v>
      </c>
      <c r="X51" s="24">
        <f>IF(YEAR($B51)*100+MONTH($B51)&lt;--SUBSTITUTE(_xlfn.XLOOKUP("Carmen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Trust",Movimientos!$B$1:$B$1324,"&lt;="&amp;$B51))</f>
        <v>0</v>
      </c>
      <c r="Y51" s="24">
        <f>IF(YEAR($B51)*100+MONTH($B51)&lt;--SUBSTITUTE(_xlfn.XLOOKUP("SIYP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LLC",Movimientos!$B$1:$B$1324,"&lt;="&amp;$B51))</f>
        <v>0</v>
      </c>
      <c r="Z51" s="24">
        <f>IF(YEAR($B51)*100+MONTH($B51)&lt;--SUBSTITUTE(_xlfn.XLOOKUP("Prendamas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SRL",Movimientos!$B$1:$B$1324,"&lt;="&amp;$B51))</f>
        <v>0</v>
      </c>
      <c r="AA51" s="24">
        <f>IF(YEAR($B51)*100+MONTH($B51)&lt;--SUBSTITUTE(_xlfn.XLOOKUP("360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LLC",Movimientos!$B$1:$B$1324,"&lt;="&amp;$B51))</f>
        <v>0</v>
      </c>
      <c r="AB51" s="24">
        <f>IF(YEAR($B51)*100+MONTH($B51)&lt;--SUBSTITUTE(_xlfn.XLOOKUP("Five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",Movimientos!$B$1:$B$1324,"&lt;="&amp;$B51))</f>
        <v>0</v>
      </c>
      <c r="AC51" s="24">
        <f>IF(YEAR($B51)*100+MONTH($B51)&lt;--SUBSTITUTE(_xlfn.XLOOKUP("Nobe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Aparments",Movimientos!$B$1:$B$1324,"&lt;="&amp;$B51))</f>
        <v>0</v>
      </c>
      <c r="AD51" s="24">
        <f>IF(YEAR($B51)*100+MONTH($B51)&lt;--SUBSTITUTE(_xlfn.XLOOKUP("Don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Life",Movimientos!$B$1:$B$1324,"&lt;="&amp;$B51))</f>
        <v>0</v>
      </c>
      <c r="AE51" s="25">
        <f t="shared" si="1"/>
        <v>5264314.0299999993</v>
      </c>
    </row>
    <row r="52" spans="1:31" hidden="1" outlineLevel="1" x14ac:dyDescent="0.3">
      <c r="A52" s="22">
        <f t="shared" si="0"/>
        <v>51</v>
      </c>
      <c r="B52" s="23">
        <v>46193</v>
      </c>
      <c r="C52" s="24">
        <f>SUMIFS('Saldos Iniciales'!$D:$D,'Saldos Iniciales'!$A:$A,"CFT Group")+SUMIFS(Movimientos!$K$1:$K$1324,Movimientos!$C$1:$C$1324,"CFT Group",Movimientos!$B$1:$B$1324,"&lt;="&amp;$B52)</f>
        <v>1098358.7500000002</v>
      </c>
      <c r="D52" s="24">
        <f>SUMIFS('Saldos Iniciales'!$D:$D,'Saldos Iniciales'!$A:$A,"M1B")+SUMIFS(Movimientos!$K$1:$K$1324,Movimientos!$C$1:$C$1324,"M1B",Movimientos!$B$1:$B$1324,"&lt;="&amp;$B52)</f>
        <v>69376.390000000174</v>
      </c>
      <c r="E52" s="24">
        <f>SUMIFS('Saldos Iniciales'!$D:$D,'Saldos Iniciales'!$A:$A,"Durand")+SUMIFS(Movimientos!$K$1:$K$1324,Movimientos!$C$1:$C$1324,"Durand",Movimientos!$B$1:$B$1324,"&lt;="&amp;$B52)</f>
        <v>1669.89</v>
      </c>
      <c r="F52" s="24">
        <f>SUMIFS('Saldos Iniciales'!$D:$D,'Saldos Iniciales'!$A:$A,"A&amp;M Imports")+SUMIFS(Movimientos!$K$1:$K$1324,Movimientos!$C$1:$C$1324,"A&amp;M Imports",Movimientos!$B$1:$B$1324,"&lt;="&amp;$B52)</f>
        <v>503904.80999999982</v>
      </c>
      <c r="G52" s="24">
        <f>SUMIFS('Saldos Iniciales'!$D:$D,'Saldos Iniciales'!$A:$A,"SSP Capital")+SUMIFS(Movimientos!$K$1:$K$1324,Movimientos!$C$1:$C$1324,"SSP Capital",Movimientos!$B$1:$B$1324,"&lt;="&amp;$B52)</f>
        <v>3326696.7299999995</v>
      </c>
      <c r="H52" s="24">
        <f>SUMIFS('Saldos Iniciales'!$D:$D,'Saldos Iniciales'!$A:$A,"Cross Family Trust")+SUMIFS(Movimientos!$K$1:$K$1324,Movimientos!$C$1:$C$1324,"Cross Family Trust",Movimientos!$B$1:$B$1324,"&lt;="&amp;$B52)</f>
        <v>116496.38</v>
      </c>
      <c r="I52" s="24">
        <f>SUMIFS('Saldos Iniciales'!$D:$D,'Saldos Iniciales'!$A:$A,"Cross Security Trust")+SUMIFS(Movimientos!$K$1:$K$1324,Movimientos!$C$1:$C$1324,"Cross Security Trust",Movimientos!$B$1:$B$1324,"&lt;="&amp;$B52)</f>
        <v>20375.989999999998</v>
      </c>
      <c r="J52" s="24">
        <f>SUMIFS('Saldos Iniciales'!$D:$D,'Saldos Iniciales'!$A:$A,"Electrama")+SUMIFS(Movimientos!$K$1:$K$1324,Movimientos!$C$1:$C$1324,"Electrama",Movimientos!$B$1:$B$1324,"&lt;="&amp;$B52)</f>
        <v>511.15999999999985</v>
      </c>
      <c r="K52" s="24">
        <f>SUMIFS('Saldos Iniciales'!$D:$D,'Saldos Iniciales'!$A:$A,"Sacred Valley Capital")+SUMIFS(Movimientos!$K$1:$K$1324,Movimientos!$C$1:$C$1324,"Sacred Valley Capital",Movimientos!$B$1:$B$1324,"&lt;="&amp;$B52)</f>
        <v>84.35</v>
      </c>
      <c r="L52" s="24">
        <f>SUMIFS('Saldos Iniciales'!$D:$D,'Saldos Iniciales'!$A:$A,"YWC Capital")+SUMIFS(Movimientos!$K$1:$K$1324,Movimientos!$C$1:$C$1324,"YWC Capital",Movimientos!$B$1:$B$1324,"&lt;="&amp;$B52)</f>
        <v>2237.77</v>
      </c>
      <c r="M52" s="24">
        <f>SUMIFS('Saldos Iniciales'!$D:$D,'Saldos Iniciales'!$A:$A,"Soweto")+SUMIFS(Movimientos!$K$1:$K$1324,Movimientos!$C$1:$C$1324,"Soweto",Movimientos!$B$1:$B$1324,"&lt;="&amp;$B52)</f>
        <v>3349.94</v>
      </c>
      <c r="N52" s="24">
        <f>SUMIFS('Saldos Iniciales'!$D:$D,'Saldos Iniciales'!$A:$A,"Green Stone Trust")+SUMIFS(Movimientos!$K$1:$K$1324,Movimientos!$C$1:$C$1324,"Green Stone Trust",Movimientos!$B$1:$B$1324,"&lt;="&amp;$B52)</f>
        <v>1968.99</v>
      </c>
      <c r="O52" s="24">
        <f>SUMIFS('Saldos Iniciales'!$D:$D,'Saldos Iniciales'!$A:$A,"EC Auto")+SUMIFS(Movimientos!$K$1:$K$1324,Movimientos!$C$1:$C$1324,"EC Auto",Movimientos!$B$1:$B$1324,"&lt;="&amp;$B52)</f>
        <v>382.69000000000005</v>
      </c>
      <c r="P52" s="24">
        <f>SUMIFS('Saldos Iniciales'!$D:$D,'Saldos Iniciales'!$A:$A,"Arbor Capital Properties")+SUMIFS(Movimientos!$K$1:$K$1324,Movimientos!$C$1:$C$1324,"Arbor Capital Properties",Movimientos!$B$1:$B$1324,"&lt;="&amp;$B52)</f>
        <v>1428.08</v>
      </c>
      <c r="Q52" s="24">
        <f>SUMIFS('Saldos Iniciales'!$D:$D,'Saldos Iniciales'!$A:$A,"2515 Overbrook")+SUMIFS(Movimientos!$K$1:$K$1324,Movimientos!$C$1:$C$1324,"2515 Overbrook",Movimientos!$B$1:$B$1324,"&lt;="&amp;$B52)</f>
        <v>29789.969999999961</v>
      </c>
      <c r="R52" s="24">
        <f>SUMIFS('Saldos Iniciales'!$D:$D,'Saldos Iniciales'!$A:$A,"112 Florida Ave")+SUMIFS(Movimientos!$K$1:$K$1324,Movimientos!$C$1:$C$1324,"112 Florida Ave",Movimientos!$B$1:$B$1324,"&lt;="&amp;$B52)</f>
        <v>20321.43</v>
      </c>
      <c r="S52" s="24">
        <f>SUMIFS('Saldos Iniciales'!$D:$D,'Saldos Iniciales'!$A:$A,"3628 Thomas Ave")+SUMIFS(Movimientos!$K$1:$K$1324,Movimientos!$C$1:$C$1324,"3628 Thomas Ave",Movimientos!$B$1:$B$1324,"&lt;="&amp;$B52)</f>
        <v>16681.349999999999</v>
      </c>
      <c r="T52" s="24">
        <f>SUMIFS('Saldos Iniciales'!$D:$D,'Saldos Iniciales'!$A:$A,"Green Harbor Trust")+SUMIFS(Movimientos!$K$1:$K$1324,Movimientos!$C$1:$C$1324,"Green Harbor Trust",Movimientos!$B$1:$B$1324,"&lt;="&amp;$B52)</f>
        <v>345</v>
      </c>
      <c r="U52" s="24">
        <f>SUMIFS('Saldos Iniciales'!$D:$D,'Saldos Iniciales'!$A:$A,"Go Blue")+SUMIFS(Movimientos!$K$1:$K$1324,Movimientos!$C$1:$C$1324,"Go Blue",Movimientos!$B$1:$B$1324,"&lt;="&amp;$B52)</f>
        <v>50334.36</v>
      </c>
      <c r="V52" s="24">
        <f>IF(YEAR($B52)*100+MONTH($B52)&lt;--SUBSTITUTE(_xlfn.XLOOKUP("Pacha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LLC",Movimientos!$B$1:$B$1324,"&lt;="&amp;$B52))</f>
        <v>0</v>
      </c>
      <c r="W52" s="24">
        <f>IF(YEAR($B52)*100+MONTH($B52)&lt;--SUBSTITUTE(_xlfn.XLOOKUP("*CFT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Residence",Movimientos!$B$1:$B$1324,"&lt;="&amp;$B52))</f>
        <v>0</v>
      </c>
      <c r="X52" s="24">
        <f>IF(YEAR($B52)*100+MONTH($B52)&lt;--SUBSTITUTE(_xlfn.XLOOKUP("Carmen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Trust",Movimientos!$B$1:$B$1324,"&lt;="&amp;$B52))</f>
        <v>0</v>
      </c>
      <c r="Y52" s="24">
        <f>IF(YEAR($B52)*100+MONTH($B52)&lt;--SUBSTITUTE(_xlfn.XLOOKUP("SIYP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LLC",Movimientos!$B$1:$B$1324,"&lt;="&amp;$B52))</f>
        <v>0</v>
      </c>
      <c r="Z52" s="24">
        <f>IF(YEAR($B52)*100+MONTH($B52)&lt;--SUBSTITUTE(_xlfn.XLOOKUP("Prendamas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SRL",Movimientos!$B$1:$B$1324,"&lt;="&amp;$B52))</f>
        <v>0</v>
      </c>
      <c r="AA52" s="24">
        <f>IF(YEAR($B52)*100+MONTH($B52)&lt;--SUBSTITUTE(_xlfn.XLOOKUP("360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LLC",Movimientos!$B$1:$B$1324,"&lt;="&amp;$B52))</f>
        <v>0</v>
      </c>
      <c r="AB52" s="24">
        <f>IF(YEAR($B52)*100+MONTH($B52)&lt;--SUBSTITUTE(_xlfn.XLOOKUP("Five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",Movimientos!$B$1:$B$1324,"&lt;="&amp;$B52))</f>
        <v>0</v>
      </c>
      <c r="AC52" s="24">
        <f>IF(YEAR($B52)*100+MONTH($B52)&lt;--SUBSTITUTE(_xlfn.XLOOKUP("Nobe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Aparments",Movimientos!$B$1:$B$1324,"&lt;="&amp;$B52))</f>
        <v>0</v>
      </c>
      <c r="AD52" s="24">
        <f>IF(YEAR($B52)*100+MONTH($B52)&lt;--SUBSTITUTE(_xlfn.XLOOKUP("Don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Life",Movimientos!$B$1:$B$1324,"&lt;="&amp;$B52))</f>
        <v>0</v>
      </c>
      <c r="AE52" s="25">
        <f t="shared" si="1"/>
        <v>5264314.0299999993</v>
      </c>
    </row>
    <row r="53" spans="1:31" hidden="1" outlineLevel="1" x14ac:dyDescent="0.3">
      <c r="A53" s="22">
        <f t="shared" si="0"/>
        <v>52</v>
      </c>
      <c r="B53" s="23">
        <v>46194</v>
      </c>
      <c r="C53" s="24">
        <f>SUMIFS('Saldos Iniciales'!$D:$D,'Saldos Iniciales'!$A:$A,"CFT Group")+SUMIFS(Movimientos!$K$1:$K$1324,Movimientos!$C$1:$C$1324,"CFT Group",Movimientos!$B$1:$B$1324,"&lt;="&amp;$B53)</f>
        <v>1098358.7500000002</v>
      </c>
      <c r="D53" s="24">
        <f>SUMIFS('Saldos Iniciales'!$D:$D,'Saldos Iniciales'!$A:$A,"M1B")+SUMIFS(Movimientos!$K$1:$K$1324,Movimientos!$C$1:$C$1324,"M1B",Movimientos!$B$1:$B$1324,"&lt;="&amp;$B53)</f>
        <v>69376.390000000174</v>
      </c>
      <c r="E53" s="24">
        <f>SUMIFS('Saldos Iniciales'!$D:$D,'Saldos Iniciales'!$A:$A,"Durand")+SUMIFS(Movimientos!$K$1:$K$1324,Movimientos!$C$1:$C$1324,"Durand",Movimientos!$B$1:$B$1324,"&lt;="&amp;$B53)</f>
        <v>1669.89</v>
      </c>
      <c r="F53" s="24">
        <f>SUMIFS('Saldos Iniciales'!$D:$D,'Saldos Iniciales'!$A:$A,"A&amp;M Imports")+SUMIFS(Movimientos!$K$1:$K$1324,Movimientos!$C$1:$C$1324,"A&amp;M Imports",Movimientos!$B$1:$B$1324,"&lt;="&amp;$B53)</f>
        <v>503904.80999999982</v>
      </c>
      <c r="G53" s="24">
        <f>SUMIFS('Saldos Iniciales'!$D:$D,'Saldos Iniciales'!$A:$A,"SSP Capital")+SUMIFS(Movimientos!$K$1:$K$1324,Movimientos!$C$1:$C$1324,"SSP Capital",Movimientos!$B$1:$B$1324,"&lt;="&amp;$B53)</f>
        <v>3326696.7299999995</v>
      </c>
      <c r="H53" s="24">
        <f>SUMIFS('Saldos Iniciales'!$D:$D,'Saldos Iniciales'!$A:$A,"Cross Family Trust")+SUMIFS(Movimientos!$K$1:$K$1324,Movimientos!$C$1:$C$1324,"Cross Family Trust",Movimientos!$B$1:$B$1324,"&lt;="&amp;$B53)</f>
        <v>116496.38</v>
      </c>
      <c r="I53" s="24">
        <f>SUMIFS('Saldos Iniciales'!$D:$D,'Saldos Iniciales'!$A:$A,"Cross Security Trust")+SUMIFS(Movimientos!$K$1:$K$1324,Movimientos!$C$1:$C$1324,"Cross Security Trust",Movimientos!$B$1:$B$1324,"&lt;="&amp;$B53)</f>
        <v>20375.989999999998</v>
      </c>
      <c r="J53" s="24">
        <f>SUMIFS('Saldos Iniciales'!$D:$D,'Saldos Iniciales'!$A:$A,"Electrama")+SUMIFS(Movimientos!$K$1:$K$1324,Movimientos!$C$1:$C$1324,"Electrama",Movimientos!$B$1:$B$1324,"&lt;="&amp;$B53)</f>
        <v>511.15999999999985</v>
      </c>
      <c r="K53" s="24">
        <f>SUMIFS('Saldos Iniciales'!$D:$D,'Saldos Iniciales'!$A:$A,"Sacred Valley Capital")+SUMIFS(Movimientos!$K$1:$K$1324,Movimientos!$C$1:$C$1324,"Sacred Valley Capital",Movimientos!$B$1:$B$1324,"&lt;="&amp;$B53)</f>
        <v>84.35</v>
      </c>
      <c r="L53" s="24">
        <f>SUMIFS('Saldos Iniciales'!$D:$D,'Saldos Iniciales'!$A:$A,"YWC Capital")+SUMIFS(Movimientos!$K$1:$K$1324,Movimientos!$C$1:$C$1324,"YWC Capital",Movimientos!$B$1:$B$1324,"&lt;="&amp;$B53)</f>
        <v>2237.77</v>
      </c>
      <c r="M53" s="24">
        <f>SUMIFS('Saldos Iniciales'!$D:$D,'Saldos Iniciales'!$A:$A,"Soweto")+SUMIFS(Movimientos!$K$1:$K$1324,Movimientos!$C$1:$C$1324,"Soweto",Movimientos!$B$1:$B$1324,"&lt;="&amp;$B53)</f>
        <v>3349.94</v>
      </c>
      <c r="N53" s="24">
        <f>SUMIFS('Saldos Iniciales'!$D:$D,'Saldos Iniciales'!$A:$A,"Green Stone Trust")+SUMIFS(Movimientos!$K$1:$K$1324,Movimientos!$C$1:$C$1324,"Green Stone Trust",Movimientos!$B$1:$B$1324,"&lt;="&amp;$B53)</f>
        <v>1968.99</v>
      </c>
      <c r="O53" s="24">
        <f>SUMIFS('Saldos Iniciales'!$D:$D,'Saldos Iniciales'!$A:$A,"EC Auto")+SUMIFS(Movimientos!$K$1:$K$1324,Movimientos!$C$1:$C$1324,"EC Auto",Movimientos!$B$1:$B$1324,"&lt;="&amp;$B53)</f>
        <v>382.69000000000005</v>
      </c>
      <c r="P53" s="24">
        <f>SUMIFS('Saldos Iniciales'!$D:$D,'Saldos Iniciales'!$A:$A,"Arbor Capital Properties")+SUMIFS(Movimientos!$K$1:$K$1324,Movimientos!$C$1:$C$1324,"Arbor Capital Properties",Movimientos!$B$1:$B$1324,"&lt;="&amp;$B53)</f>
        <v>1428.08</v>
      </c>
      <c r="Q53" s="24">
        <f>SUMIFS('Saldos Iniciales'!$D:$D,'Saldos Iniciales'!$A:$A,"2515 Overbrook")+SUMIFS(Movimientos!$K$1:$K$1324,Movimientos!$C$1:$C$1324,"2515 Overbrook",Movimientos!$B$1:$B$1324,"&lt;="&amp;$B53)</f>
        <v>29789.969999999961</v>
      </c>
      <c r="R53" s="24">
        <f>SUMIFS('Saldos Iniciales'!$D:$D,'Saldos Iniciales'!$A:$A,"112 Florida Ave")+SUMIFS(Movimientos!$K$1:$K$1324,Movimientos!$C$1:$C$1324,"112 Florida Ave",Movimientos!$B$1:$B$1324,"&lt;="&amp;$B53)</f>
        <v>20321.43</v>
      </c>
      <c r="S53" s="24">
        <f>SUMIFS('Saldos Iniciales'!$D:$D,'Saldos Iniciales'!$A:$A,"3628 Thomas Ave")+SUMIFS(Movimientos!$K$1:$K$1324,Movimientos!$C$1:$C$1324,"3628 Thomas Ave",Movimientos!$B$1:$B$1324,"&lt;="&amp;$B53)</f>
        <v>16681.349999999999</v>
      </c>
      <c r="T53" s="24">
        <f>SUMIFS('Saldos Iniciales'!$D:$D,'Saldos Iniciales'!$A:$A,"Green Harbor Trust")+SUMIFS(Movimientos!$K$1:$K$1324,Movimientos!$C$1:$C$1324,"Green Harbor Trust",Movimientos!$B$1:$B$1324,"&lt;="&amp;$B53)</f>
        <v>345</v>
      </c>
      <c r="U53" s="24">
        <f>SUMIFS('Saldos Iniciales'!$D:$D,'Saldos Iniciales'!$A:$A,"Go Blue")+SUMIFS(Movimientos!$K$1:$K$1324,Movimientos!$C$1:$C$1324,"Go Blue",Movimientos!$B$1:$B$1324,"&lt;="&amp;$B53)</f>
        <v>50334.36</v>
      </c>
      <c r="V53" s="24">
        <f>IF(YEAR($B53)*100+MONTH($B53)&lt;--SUBSTITUTE(_xlfn.XLOOKUP("Pacha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LLC",Movimientos!$B$1:$B$1324,"&lt;="&amp;$B53))</f>
        <v>0</v>
      </c>
      <c r="W53" s="24">
        <f>IF(YEAR($B53)*100+MONTH($B53)&lt;--SUBSTITUTE(_xlfn.XLOOKUP("*CFT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Residence",Movimientos!$B$1:$B$1324,"&lt;="&amp;$B53))</f>
        <v>0</v>
      </c>
      <c r="X53" s="24">
        <f>IF(YEAR($B53)*100+MONTH($B53)&lt;--SUBSTITUTE(_xlfn.XLOOKUP("Carmen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Trust",Movimientos!$B$1:$B$1324,"&lt;="&amp;$B53))</f>
        <v>0</v>
      </c>
      <c r="Y53" s="24">
        <f>IF(YEAR($B53)*100+MONTH($B53)&lt;--SUBSTITUTE(_xlfn.XLOOKUP("SIYP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LLC",Movimientos!$B$1:$B$1324,"&lt;="&amp;$B53))</f>
        <v>0</v>
      </c>
      <c r="Z53" s="24">
        <f>IF(YEAR($B53)*100+MONTH($B53)&lt;--SUBSTITUTE(_xlfn.XLOOKUP("Prendamas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SRL",Movimientos!$B$1:$B$1324,"&lt;="&amp;$B53))</f>
        <v>0</v>
      </c>
      <c r="AA53" s="24">
        <f>IF(YEAR($B53)*100+MONTH($B53)&lt;--SUBSTITUTE(_xlfn.XLOOKUP("360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LLC",Movimientos!$B$1:$B$1324,"&lt;="&amp;$B53))</f>
        <v>0</v>
      </c>
      <c r="AB53" s="24">
        <f>IF(YEAR($B53)*100+MONTH($B53)&lt;--SUBSTITUTE(_xlfn.XLOOKUP("Five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",Movimientos!$B$1:$B$1324,"&lt;="&amp;$B53))</f>
        <v>0</v>
      </c>
      <c r="AC53" s="24">
        <f>IF(YEAR($B53)*100+MONTH($B53)&lt;--SUBSTITUTE(_xlfn.XLOOKUP("Nobe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Aparments",Movimientos!$B$1:$B$1324,"&lt;="&amp;$B53))</f>
        <v>0</v>
      </c>
      <c r="AD53" s="24">
        <f>IF(YEAR($B53)*100+MONTH($B53)&lt;--SUBSTITUTE(_xlfn.XLOOKUP("Don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Life",Movimientos!$B$1:$B$1324,"&lt;="&amp;$B53))</f>
        <v>0</v>
      </c>
      <c r="AE53" s="25">
        <f t="shared" si="1"/>
        <v>5264314.0299999993</v>
      </c>
    </row>
    <row r="54" spans="1:31" hidden="1" outlineLevel="1" x14ac:dyDescent="0.3">
      <c r="A54" s="22">
        <f t="shared" si="0"/>
        <v>53</v>
      </c>
      <c r="B54" s="23">
        <v>46195</v>
      </c>
      <c r="C54" s="24">
        <f>SUMIFS('Saldos Iniciales'!$D:$D,'Saldos Iniciales'!$A:$A,"CFT Group")+SUMIFS(Movimientos!$K$1:$K$1324,Movimientos!$C$1:$C$1324,"CFT Group",Movimientos!$B$1:$B$1324,"&lt;="&amp;$B54)</f>
        <v>7613332.1400000006</v>
      </c>
      <c r="D54" s="24">
        <f>SUMIFS('Saldos Iniciales'!$D:$D,'Saldos Iniciales'!$A:$A,"M1B")+SUMIFS(Movimientos!$K$1:$K$1324,Movimientos!$C$1:$C$1324,"M1B",Movimientos!$B$1:$B$1324,"&lt;="&amp;$B54)</f>
        <v>69376.390000000174</v>
      </c>
      <c r="E54" s="24">
        <f>SUMIFS('Saldos Iniciales'!$D:$D,'Saldos Iniciales'!$A:$A,"Durand")+SUMIFS(Movimientos!$K$1:$K$1324,Movimientos!$C$1:$C$1324,"Durand",Movimientos!$B$1:$B$1324,"&lt;="&amp;$B54)</f>
        <v>1669.89</v>
      </c>
      <c r="F54" s="24">
        <f>SUMIFS('Saldos Iniciales'!$D:$D,'Saldos Iniciales'!$A:$A,"A&amp;M Imports")+SUMIFS(Movimientos!$K$1:$K$1324,Movimientos!$C$1:$C$1324,"A&amp;M Imports",Movimientos!$B$1:$B$1324,"&lt;="&amp;$B54)</f>
        <v>503904.80999999982</v>
      </c>
      <c r="G54" s="24">
        <f>SUMIFS('Saldos Iniciales'!$D:$D,'Saldos Iniciales'!$A:$A,"SSP Capital")+SUMIFS(Movimientos!$K$1:$K$1324,Movimientos!$C$1:$C$1324,"SSP Capital",Movimientos!$B$1:$B$1324,"&lt;="&amp;$B54)</f>
        <v>3325868.6899999995</v>
      </c>
      <c r="H54" s="24">
        <f>SUMIFS('Saldos Iniciales'!$D:$D,'Saldos Iniciales'!$A:$A,"Cross Family Trust")+SUMIFS(Movimientos!$K$1:$K$1324,Movimientos!$C$1:$C$1324,"Cross Family Trust",Movimientos!$B$1:$B$1324,"&lt;="&amp;$B54)</f>
        <v>116496.38</v>
      </c>
      <c r="I54" s="24">
        <f>SUMIFS('Saldos Iniciales'!$D:$D,'Saldos Iniciales'!$A:$A,"Cross Security Trust")+SUMIFS(Movimientos!$K$1:$K$1324,Movimientos!$C$1:$C$1324,"Cross Security Trust",Movimientos!$B$1:$B$1324,"&lt;="&amp;$B54)</f>
        <v>20375.989999999998</v>
      </c>
      <c r="J54" s="24">
        <f>SUMIFS('Saldos Iniciales'!$D:$D,'Saldos Iniciales'!$A:$A,"Electrama")+SUMIFS(Movimientos!$K$1:$K$1324,Movimientos!$C$1:$C$1324,"Electrama",Movimientos!$B$1:$B$1324,"&lt;="&amp;$B54)</f>
        <v>511.15999999999985</v>
      </c>
      <c r="K54" s="24">
        <f>SUMIFS('Saldos Iniciales'!$D:$D,'Saldos Iniciales'!$A:$A,"Sacred Valley Capital")+SUMIFS(Movimientos!$K$1:$K$1324,Movimientos!$C$1:$C$1324,"Sacred Valley Capital",Movimientos!$B$1:$B$1324,"&lt;="&amp;$B54)</f>
        <v>84.35</v>
      </c>
      <c r="L54" s="24">
        <f>SUMIFS('Saldos Iniciales'!$D:$D,'Saldos Iniciales'!$A:$A,"YWC Capital")+SUMIFS(Movimientos!$K$1:$K$1324,Movimientos!$C$1:$C$1324,"YWC Capital",Movimientos!$B$1:$B$1324,"&lt;="&amp;$B54)</f>
        <v>2237.77</v>
      </c>
      <c r="M54" s="24">
        <f>SUMIFS('Saldos Iniciales'!$D:$D,'Saldos Iniciales'!$A:$A,"Soweto")+SUMIFS(Movimientos!$K$1:$K$1324,Movimientos!$C$1:$C$1324,"Soweto",Movimientos!$B$1:$B$1324,"&lt;="&amp;$B54)</f>
        <v>3349.94</v>
      </c>
      <c r="N54" s="24">
        <f>SUMIFS('Saldos Iniciales'!$D:$D,'Saldos Iniciales'!$A:$A,"Green Stone Trust")+SUMIFS(Movimientos!$K$1:$K$1324,Movimientos!$C$1:$C$1324,"Green Stone Trust",Movimientos!$B$1:$B$1324,"&lt;="&amp;$B54)</f>
        <v>1968.99</v>
      </c>
      <c r="O54" s="24">
        <f>SUMIFS('Saldos Iniciales'!$D:$D,'Saldos Iniciales'!$A:$A,"EC Auto")+SUMIFS(Movimientos!$K$1:$K$1324,Movimientos!$C$1:$C$1324,"EC Auto",Movimientos!$B$1:$B$1324,"&lt;="&amp;$B54)</f>
        <v>382.69000000000005</v>
      </c>
      <c r="P54" s="24">
        <f>SUMIFS('Saldos Iniciales'!$D:$D,'Saldos Iniciales'!$A:$A,"Arbor Capital Properties")+SUMIFS(Movimientos!$K$1:$K$1324,Movimientos!$C$1:$C$1324,"Arbor Capital Properties",Movimientos!$B$1:$B$1324,"&lt;="&amp;$B54)</f>
        <v>1428.08</v>
      </c>
      <c r="Q54" s="24">
        <f>SUMIFS('Saldos Iniciales'!$D:$D,'Saldos Iniciales'!$A:$A,"2515 Overbrook")+SUMIFS(Movimientos!$K$1:$K$1324,Movimientos!$C$1:$C$1324,"2515 Overbrook",Movimientos!$B$1:$B$1324,"&lt;="&amp;$B54)</f>
        <v>31039.969999999961</v>
      </c>
      <c r="R54" s="24">
        <f>SUMIFS('Saldos Iniciales'!$D:$D,'Saldos Iniciales'!$A:$A,"112 Florida Ave")+SUMIFS(Movimientos!$K$1:$K$1324,Movimientos!$C$1:$C$1324,"112 Florida Ave",Movimientos!$B$1:$B$1324,"&lt;="&amp;$B54)</f>
        <v>20321.43</v>
      </c>
      <c r="S54" s="24">
        <f>SUMIFS('Saldos Iniciales'!$D:$D,'Saldos Iniciales'!$A:$A,"3628 Thomas Ave")+SUMIFS(Movimientos!$K$1:$K$1324,Movimientos!$C$1:$C$1324,"3628 Thomas Ave",Movimientos!$B$1:$B$1324,"&lt;="&amp;$B54)</f>
        <v>16681.349999999999</v>
      </c>
      <c r="T54" s="24">
        <f>SUMIFS('Saldos Iniciales'!$D:$D,'Saldos Iniciales'!$A:$A,"Green Harbor Trust")+SUMIFS(Movimientos!$K$1:$K$1324,Movimientos!$C$1:$C$1324,"Green Harbor Trust",Movimientos!$B$1:$B$1324,"&lt;="&amp;$B54)</f>
        <v>345</v>
      </c>
      <c r="U54" s="24">
        <f>SUMIFS('Saldos Iniciales'!$D:$D,'Saldos Iniciales'!$A:$A,"Go Blue")+SUMIFS(Movimientos!$K$1:$K$1324,Movimientos!$C$1:$C$1324,"Go Blue",Movimientos!$B$1:$B$1324,"&lt;="&amp;$B54)</f>
        <v>50109.68</v>
      </c>
      <c r="V54" s="24">
        <f>IF(YEAR($B54)*100+MONTH($B54)&lt;--SUBSTITUTE(_xlfn.XLOOKUP("Pacha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LLC",Movimientos!$B$1:$B$1324,"&lt;="&amp;$B54))</f>
        <v>0</v>
      </c>
      <c r="W54" s="24">
        <f>IF(YEAR($B54)*100+MONTH($B54)&lt;--SUBSTITUTE(_xlfn.XLOOKUP("*CFT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Residence",Movimientos!$B$1:$B$1324,"&lt;="&amp;$B54))</f>
        <v>0</v>
      </c>
      <c r="X54" s="24">
        <f>IF(YEAR($B54)*100+MONTH($B54)&lt;--SUBSTITUTE(_xlfn.XLOOKUP("Carmen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Trust",Movimientos!$B$1:$B$1324,"&lt;="&amp;$B54))</f>
        <v>0</v>
      </c>
      <c r="Y54" s="24">
        <f>IF(YEAR($B54)*100+MONTH($B54)&lt;--SUBSTITUTE(_xlfn.XLOOKUP("SIYP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LLC",Movimientos!$B$1:$B$1324,"&lt;="&amp;$B54))</f>
        <v>0</v>
      </c>
      <c r="Z54" s="24">
        <f>IF(YEAR($B54)*100+MONTH($B54)&lt;--SUBSTITUTE(_xlfn.XLOOKUP("Prendamas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SRL",Movimientos!$B$1:$B$1324,"&lt;="&amp;$B54))</f>
        <v>0</v>
      </c>
      <c r="AA54" s="24">
        <f>IF(YEAR($B54)*100+MONTH($B54)&lt;--SUBSTITUTE(_xlfn.XLOOKUP("360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LLC",Movimientos!$B$1:$B$1324,"&lt;="&amp;$B54))</f>
        <v>0</v>
      </c>
      <c r="AB54" s="24">
        <f>IF(YEAR($B54)*100+MONTH($B54)&lt;--SUBSTITUTE(_xlfn.XLOOKUP("Five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",Movimientos!$B$1:$B$1324,"&lt;="&amp;$B54))</f>
        <v>0</v>
      </c>
      <c r="AC54" s="24">
        <f>IF(YEAR($B54)*100+MONTH($B54)&lt;--SUBSTITUTE(_xlfn.XLOOKUP("Nobe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Aparments",Movimientos!$B$1:$B$1324,"&lt;="&amp;$B54))</f>
        <v>0</v>
      </c>
      <c r="AD54" s="24">
        <f>IF(YEAR($B54)*100+MONTH($B54)&lt;--SUBSTITUTE(_xlfn.XLOOKUP("Don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Life",Movimientos!$B$1:$B$1324,"&lt;="&amp;$B54))</f>
        <v>0</v>
      </c>
      <c r="AE54" s="25">
        <f t="shared" si="1"/>
        <v>11779484.699999999</v>
      </c>
    </row>
    <row r="55" spans="1:31" hidden="1" outlineLevel="1" x14ac:dyDescent="0.3">
      <c r="A55" s="22">
        <f t="shared" si="0"/>
        <v>54</v>
      </c>
      <c r="B55" s="23">
        <v>46196</v>
      </c>
      <c r="C55" s="24">
        <f>SUMIFS('Saldos Iniciales'!$D:$D,'Saldos Iniciales'!$A:$A,"CFT Group")+SUMIFS(Movimientos!$K$1:$K$1324,Movimientos!$C$1:$C$1324,"CFT Group",Movimientos!$B$1:$B$1324,"&lt;="&amp;$B55)</f>
        <v>7675741.5900000008</v>
      </c>
      <c r="D55" s="24">
        <f>SUMIFS('Saldos Iniciales'!$D:$D,'Saldos Iniciales'!$A:$A,"M1B")+SUMIFS(Movimientos!$K$1:$K$1324,Movimientos!$C$1:$C$1324,"M1B",Movimientos!$B$1:$B$1324,"&lt;="&amp;$B55)</f>
        <v>69376.390000000174</v>
      </c>
      <c r="E55" s="24">
        <f>SUMIFS('Saldos Iniciales'!$D:$D,'Saldos Iniciales'!$A:$A,"Durand")+SUMIFS(Movimientos!$K$1:$K$1324,Movimientos!$C$1:$C$1324,"Durand",Movimientos!$B$1:$B$1324,"&lt;="&amp;$B55)</f>
        <v>1669.89</v>
      </c>
      <c r="F55" s="24">
        <f>SUMIFS('Saldos Iniciales'!$D:$D,'Saldos Iniciales'!$A:$A,"A&amp;M Imports")+SUMIFS(Movimientos!$K$1:$K$1324,Movimientos!$C$1:$C$1324,"A&amp;M Imports",Movimientos!$B$1:$B$1324,"&lt;="&amp;$B55)</f>
        <v>503904.80999999982</v>
      </c>
      <c r="G55" s="24">
        <f>SUMIFS('Saldos Iniciales'!$D:$D,'Saldos Iniciales'!$A:$A,"SSP Capital")+SUMIFS(Movimientos!$K$1:$K$1324,Movimientos!$C$1:$C$1324,"SSP Capital",Movimientos!$B$1:$B$1324,"&lt;="&amp;$B55)</f>
        <v>3325868.6899999995</v>
      </c>
      <c r="H55" s="24">
        <f>SUMIFS('Saldos Iniciales'!$D:$D,'Saldos Iniciales'!$A:$A,"Cross Family Trust")+SUMIFS(Movimientos!$K$1:$K$1324,Movimientos!$C$1:$C$1324,"Cross Family Trust",Movimientos!$B$1:$B$1324,"&lt;="&amp;$B55)</f>
        <v>116496.38</v>
      </c>
      <c r="I55" s="24">
        <f>SUMIFS('Saldos Iniciales'!$D:$D,'Saldos Iniciales'!$A:$A,"Cross Security Trust")+SUMIFS(Movimientos!$K$1:$K$1324,Movimientos!$C$1:$C$1324,"Cross Security Trust",Movimientos!$B$1:$B$1324,"&lt;="&amp;$B55)</f>
        <v>20375.989999999998</v>
      </c>
      <c r="J55" s="24">
        <f>SUMIFS('Saldos Iniciales'!$D:$D,'Saldos Iniciales'!$A:$A,"Electrama")+SUMIFS(Movimientos!$K$1:$K$1324,Movimientos!$C$1:$C$1324,"Electrama",Movimientos!$B$1:$B$1324,"&lt;="&amp;$B55)</f>
        <v>511.15999999999985</v>
      </c>
      <c r="K55" s="24">
        <f>SUMIFS('Saldos Iniciales'!$D:$D,'Saldos Iniciales'!$A:$A,"Sacred Valley Capital")+SUMIFS(Movimientos!$K$1:$K$1324,Movimientos!$C$1:$C$1324,"Sacred Valley Capital",Movimientos!$B$1:$B$1324,"&lt;="&amp;$B55)</f>
        <v>84.35</v>
      </c>
      <c r="L55" s="24">
        <f>SUMIFS('Saldos Iniciales'!$D:$D,'Saldos Iniciales'!$A:$A,"YWC Capital")+SUMIFS(Movimientos!$K$1:$K$1324,Movimientos!$C$1:$C$1324,"YWC Capital",Movimientos!$B$1:$B$1324,"&lt;="&amp;$B55)</f>
        <v>2237.77</v>
      </c>
      <c r="M55" s="24">
        <f>SUMIFS('Saldos Iniciales'!$D:$D,'Saldos Iniciales'!$A:$A,"Soweto")+SUMIFS(Movimientos!$K$1:$K$1324,Movimientos!$C$1:$C$1324,"Soweto",Movimientos!$B$1:$B$1324,"&lt;="&amp;$B55)</f>
        <v>3349.94</v>
      </c>
      <c r="N55" s="24">
        <f>SUMIFS('Saldos Iniciales'!$D:$D,'Saldos Iniciales'!$A:$A,"Green Stone Trust")+SUMIFS(Movimientos!$K$1:$K$1324,Movimientos!$C$1:$C$1324,"Green Stone Trust",Movimientos!$B$1:$B$1324,"&lt;="&amp;$B55)</f>
        <v>1968.99</v>
      </c>
      <c r="O55" s="24">
        <f>SUMIFS('Saldos Iniciales'!$D:$D,'Saldos Iniciales'!$A:$A,"EC Auto")+SUMIFS(Movimientos!$K$1:$K$1324,Movimientos!$C$1:$C$1324,"EC Auto",Movimientos!$B$1:$B$1324,"&lt;="&amp;$B55)</f>
        <v>382.69000000000005</v>
      </c>
      <c r="P55" s="24">
        <f>SUMIFS('Saldos Iniciales'!$D:$D,'Saldos Iniciales'!$A:$A,"Arbor Capital Properties")+SUMIFS(Movimientos!$K$1:$K$1324,Movimientos!$C$1:$C$1324,"Arbor Capital Properties",Movimientos!$B$1:$B$1324,"&lt;="&amp;$B55)</f>
        <v>1428.08</v>
      </c>
      <c r="Q55" s="24">
        <f>SUMIFS('Saldos Iniciales'!$D:$D,'Saldos Iniciales'!$A:$A,"2515 Overbrook")+SUMIFS(Movimientos!$K$1:$K$1324,Movimientos!$C$1:$C$1324,"2515 Overbrook",Movimientos!$B$1:$B$1324,"&lt;="&amp;$B55)</f>
        <v>31039.969999999961</v>
      </c>
      <c r="R55" s="24">
        <f>SUMIFS('Saldos Iniciales'!$D:$D,'Saldos Iniciales'!$A:$A,"112 Florida Ave")+SUMIFS(Movimientos!$K$1:$K$1324,Movimientos!$C$1:$C$1324,"112 Florida Ave",Movimientos!$B$1:$B$1324,"&lt;="&amp;$B55)</f>
        <v>20321.43</v>
      </c>
      <c r="S55" s="24">
        <f>SUMIFS('Saldos Iniciales'!$D:$D,'Saldos Iniciales'!$A:$A,"3628 Thomas Ave")+SUMIFS(Movimientos!$K$1:$K$1324,Movimientos!$C$1:$C$1324,"3628 Thomas Ave",Movimientos!$B$1:$B$1324,"&lt;="&amp;$B55)</f>
        <v>16681.349999999999</v>
      </c>
      <c r="T55" s="24">
        <f>SUMIFS('Saldos Iniciales'!$D:$D,'Saldos Iniciales'!$A:$A,"Green Harbor Trust")+SUMIFS(Movimientos!$K$1:$K$1324,Movimientos!$C$1:$C$1324,"Green Harbor Trust",Movimientos!$B$1:$B$1324,"&lt;="&amp;$B55)</f>
        <v>345</v>
      </c>
      <c r="U55" s="24">
        <f>SUMIFS('Saldos Iniciales'!$D:$D,'Saldos Iniciales'!$A:$A,"Go Blue")+SUMIFS(Movimientos!$K$1:$K$1324,Movimientos!$C$1:$C$1324,"Go Blue",Movimientos!$B$1:$B$1324,"&lt;="&amp;$B55)</f>
        <v>49981.31</v>
      </c>
      <c r="V55" s="24">
        <f>IF(YEAR($B55)*100+MONTH($B55)&lt;--SUBSTITUTE(_xlfn.XLOOKUP("Pacha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LLC",Movimientos!$B$1:$B$1324,"&lt;="&amp;$B55))</f>
        <v>0</v>
      </c>
      <c r="W55" s="24">
        <f>IF(YEAR($B55)*100+MONTH($B55)&lt;--SUBSTITUTE(_xlfn.XLOOKUP("*CFT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Residence",Movimientos!$B$1:$B$1324,"&lt;="&amp;$B55))</f>
        <v>0</v>
      </c>
      <c r="X55" s="24">
        <f>IF(YEAR($B55)*100+MONTH($B55)&lt;--SUBSTITUTE(_xlfn.XLOOKUP("Carmen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Trust",Movimientos!$B$1:$B$1324,"&lt;="&amp;$B55))</f>
        <v>0</v>
      </c>
      <c r="Y55" s="24">
        <f>IF(YEAR($B55)*100+MONTH($B55)&lt;--SUBSTITUTE(_xlfn.XLOOKUP("SIYP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LLC",Movimientos!$B$1:$B$1324,"&lt;="&amp;$B55))</f>
        <v>0</v>
      </c>
      <c r="Z55" s="24">
        <f>IF(YEAR($B55)*100+MONTH($B55)&lt;--SUBSTITUTE(_xlfn.XLOOKUP("Prendamas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SRL",Movimientos!$B$1:$B$1324,"&lt;="&amp;$B55))</f>
        <v>0</v>
      </c>
      <c r="AA55" s="24">
        <f>IF(YEAR($B55)*100+MONTH($B55)&lt;--SUBSTITUTE(_xlfn.XLOOKUP("360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LLC",Movimientos!$B$1:$B$1324,"&lt;="&amp;$B55))</f>
        <v>0</v>
      </c>
      <c r="AB55" s="24">
        <f>IF(YEAR($B55)*100+MONTH($B55)&lt;--SUBSTITUTE(_xlfn.XLOOKUP("Five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",Movimientos!$B$1:$B$1324,"&lt;="&amp;$B55))</f>
        <v>0</v>
      </c>
      <c r="AC55" s="24">
        <f>IF(YEAR($B55)*100+MONTH($B55)&lt;--SUBSTITUTE(_xlfn.XLOOKUP("Nobe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Aparments",Movimientos!$B$1:$B$1324,"&lt;="&amp;$B55))</f>
        <v>0</v>
      </c>
      <c r="AD55" s="24">
        <f>IF(YEAR($B55)*100+MONTH($B55)&lt;--SUBSTITUTE(_xlfn.XLOOKUP("Don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Life",Movimientos!$B$1:$B$1324,"&lt;="&amp;$B55))</f>
        <v>0</v>
      </c>
      <c r="AE55" s="25">
        <f t="shared" si="1"/>
        <v>11841765.780000001</v>
      </c>
    </row>
    <row r="56" spans="1:31" hidden="1" outlineLevel="1" x14ac:dyDescent="0.3">
      <c r="A56" s="22">
        <f t="shared" si="0"/>
        <v>55</v>
      </c>
      <c r="B56" s="23">
        <v>46197</v>
      </c>
      <c r="C56" s="24">
        <f>SUMIFS('Saldos Iniciales'!$D:$D,'Saldos Iniciales'!$A:$A,"CFT Group")+SUMIFS(Movimientos!$K$1:$K$1324,Movimientos!$C$1:$C$1324,"CFT Group",Movimientos!$B$1:$B$1324,"&lt;="&amp;$B56)</f>
        <v>7742810.7100000009</v>
      </c>
      <c r="D56" s="24">
        <f>SUMIFS('Saldos Iniciales'!$D:$D,'Saldos Iniciales'!$A:$A,"M1B")+SUMIFS(Movimientos!$K$1:$K$1324,Movimientos!$C$1:$C$1324,"M1B",Movimientos!$B$1:$B$1324,"&lt;="&amp;$B56)</f>
        <v>72386.190000000177</v>
      </c>
      <c r="E56" s="24">
        <f>SUMIFS('Saldos Iniciales'!$D:$D,'Saldos Iniciales'!$A:$A,"Durand")+SUMIFS(Movimientos!$K$1:$K$1324,Movimientos!$C$1:$C$1324,"Durand",Movimientos!$B$1:$B$1324,"&lt;="&amp;$B56)</f>
        <v>1669.89</v>
      </c>
      <c r="F56" s="24">
        <f>SUMIFS('Saldos Iniciales'!$D:$D,'Saldos Iniciales'!$A:$A,"A&amp;M Imports")+SUMIFS(Movimientos!$K$1:$K$1324,Movimientos!$C$1:$C$1324,"A&amp;M Imports",Movimientos!$B$1:$B$1324,"&lt;="&amp;$B56)</f>
        <v>532766.72999999986</v>
      </c>
      <c r="G56" s="24">
        <f>SUMIFS('Saldos Iniciales'!$D:$D,'Saldos Iniciales'!$A:$A,"SSP Capital")+SUMIFS(Movimientos!$K$1:$K$1324,Movimientos!$C$1:$C$1324,"SSP Capital",Movimientos!$B$1:$B$1324,"&lt;="&amp;$B56)</f>
        <v>3325868.6899999995</v>
      </c>
      <c r="H56" s="24">
        <f>SUMIFS('Saldos Iniciales'!$D:$D,'Saldos Iniciales'!$A:$A,"Cross Family Trust")+SUMIFS(Movimientos!$K$1:$K$1324,Movimientos!$C$1:$C$1324,"Cross Family Trust",Movimientos!$B$1:$B$1324,"&lt;="&amp;$B56)</f>
        <v>116496.38</v>
      </c>
      <c r="I56" s="24">
        <f>SUMIFS('Saldos Iniciales'!$D:$D,'Saldos Iniciales'!$A:$A,"Cross Security Trust")+SUMIFS(Movimientos!$K$1:$K$1324,Movimientos!$C$1:$C$1324,"Cross Security Trust",Movimientos!$B$1:$B$1324,"&lt;="&amp;$B56)</f>
        <v>20375.989999999998</v>
      </c>
      <c r="J56" s="24">
        <f>SUMIFS('Saldos Iniciales'!$D:$D,'Saldos Iniciales'!$A:$A,"Electrama")+SUMIFS(Movimientos!$K$1:$K$1324,Movimientos!$C$1:$C$1324,"Electrama",Movimientos!$B$1:$B$1324,"&lt;="&amp;$B56)</f>
        <v>511.15999999999985</v>
      </c>
      <c r="K56" s="24">
        <f>SUMIFS('Saldos Iniciales'!$D:$D,'Saldos Iniciales'!$A:$A,"Sacred Valley Capital")+SUMIFS(Movimientos!$K$1:$K$1324,Movimientos!$C$1:$C$1324,"Sacred Valley Capital",Movimientos!$B$1:$B$1324,"&lt;="&amp;$B56)</f>
        <v>84.35</v>
      </c>
      <c r="L56" s="24">
        <f>SUMIFS('Saldos Iniciales'!$D:$D,'Saldos Iniciales'!$A:$A,"YWC Capital")+SUMIFS(Movimientos!$K$1:$K$1324,Movimientos!$C$1:$C$1324,"YWC Capital",Movimientos!$B$1:$B$1324,"&lt;="&amp;$B56)</f>
        <v>2237.77</v>
      </c>
      <c r="M56" s="24">
        <f>SUMIFS('Saldos Iniciales'!$D:$D,'Saldos Iniciales'!$A:$A,"Soweto")+SUMIFS(Movimientos!$K$1:$K$1324,Movimientos!$C$1:$C$1324,"Soweto",Movimientos!$B$1:$B$1324,"&lt;="&amp;$B56)</f>
        <v>3349.94</v>
      </c>
      <c r="N56" s="24">
        <f>SUMIFS('Saldos Iniciales'!$D:$D,'Saldos Iniciales'!$A:$A,"Green Stone Trust")+SUMIFS(Movimientos!$K$1:$K$1324,Movimientos!$C$1:$C$1324,"Green Stone Trust",Movimientos!$B$1:$B$1324,"&lt;="&amp;$B56)</f>
        <v>1968.99</v>
      </c>
      <c r="O56" s="24">
        <f>SUMIFS('Saldos Iniciales'!$D:$D,'Saldos Iniciales'!$A:$A,"EC Auto")+SUMIFS(Movimientos!$K$1:$K$1324,Movimientos!$C$1:$C$1324,"EC Auto",Movimientos!$B$1:$B$1324,"&lt;="&amp;$B56)</f>
        <v>382.69000000000005</v>
      </c>
      <c r="P56" s="24">
        <f>SUMIFS('Saldos Iniciales'!$D:$D,'Saldos Iniciales'!$A:$A,"Arbor Capital Properties")+SUMIFS(Movimientos!$K$1:$K$1324,Movimientos!$C$1:$C$1324,"Arbor Capital Properties",Movimientos!$B$1:$B$1324,"&lt;="&amp;$B56)</f>
        <v>1428.08</v>
      </c>
      <c r="Q56" s="24">
        <f>SUMIFS('Saldos Iniciales'!$D:$D,'Saldos Iniciales'!$A:$A,"2515 Overbrook")+SUMIFS(Movimientos!$K$1:$K$1324,Movimientos!$C$1:$C$1324,"2515 Overbrook",Movimientos!$B$1:$B$1324,"&lt;="&amp;$B56)</f>
        <v>31039.969999999961</v>
      </c>
      <c r="R56" s="24">
        <f>SUMIFS('Saldos Iniciales'!$D:$D,'Saldos Iniciales'!$A:$A,"112 Florida Ave")+SUMIFS(Movimientos!$K$1:$K$1324,Movimientos!$C$1:$C$1324,"112 Florida Ave",Movimientos!$B$1:$B$1324,"&lt;="&amp;$B56)</f>
        <v>20321.43</v>
      </c>
      <c r="S56" s="24">
        <f>SUMIFS('Saldos Iniciales'!$D:$D,'Saldos Iniciales'!$A:$A,"3628 Thomas Ave")+SUMIFS(Movimientos!$K$1:$K$1324,Movimientos!$C$1:$C$1324,"3628 Thomas Ave",Movimientos!$B$1:$B$1324,"&lt;="&amp;$B56)</f>
        <v>16681.349999999999</v>
      </c>
      <c r="T56" s="24">
        <f>SUMIFS('Saldos Iniciales'!$D:$D,'Saldos Iniciales'!$A:$A,"Green Harbor Trust")+SUMIFS(Movimientos!$K$1:$K$1324,Movimientos!$C$1:$C$1324,"Green Harbor Trust",Movimientos!$B$1:$B$1324,"&lt;="&amp;$B56)</f>
        <v>345</v>
      </c>
      <c r="U56" s="24">
        <f>SUMIFS('Saldos Iniciales'!$D:$D,'Saldos Iniciales'!$A:$A,"Go Blue")+SUMIFS(Movimientos!$K$1:$K$1324,Movimientos!$C$1:$C$1324,"Go Blue",Movimientos!$B$1:$B$1324,"&lt;="&amp;$B56)</f>
        <v>49981.31</v>
      </c>
      <c r="V56" s="24">
        <f>IF(YEAR($B56)*100+MONTH($B56)&lt;--SUBSTITUTE(_xlfn.XLOOKUP("Pacha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LLC",Movimientos!$B$1:$B$1324,"&lt;="&amp;$B56))</f>
        <v>0</v>
      </c>
      <c r="W56" s="24">
        <f>IF(YEAR($B56)*100+MONTH($B56)&lt;--SUBSTITUTE(_xlfn.XLOOKUP("*CFT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Residence",Movimientos!$B$1:$B$1324,"&lt;="&amp;$B56))</f>
        <v>0</v>
      </c>
      <c r="X56" s="24">
        <f>IF(YEAR($B56)*100+MONTH($B56)&lt;--SUBSTITUTE(_xlfn.XLOOKUP("Carmen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Trust",Movimientos!$B$1:$B$1324,"&lt;="&amp;$B56))</f>
        <v>0</v>
      </c>
      <c r="Y56" s="24">
        <f>IF(YEAR($B56)*100+MONTH($B56)&lt;--SUBSTITUTE(_xlfn.XLOOKUP("SIYP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LLC",Movimientos!$B$1:$B$1324,"&lt;="&amp;$B56))</f>
        <v>0</v>
      </c>
      <c r="Z56" s="24">
        <f>IF(YEAR($B56)*100+MONTH($B56)&lt;--SUBSTITUTE(_xlfn.XLOOKUP("Prendamas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SRL",Movimientos!$B$1:$B$1324,"&lt;="&amp;$B56))</f>
        <v>0</v>
      </c>
      <c r="AA56" s="24">
        <f>IF(YEAR($B56)*100+MONTH($B56)&lt;--SUBSTITUTE(_xlfn.XLOOKUP("360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LLC",Movimientos!$B$1:$B$1324,"&lt;="&amp;$B56))</f>
        <v>0</v>
      </c>
      <c r="AB56" s="24">
        <f>IF(YEAR($B56)*100+MONTH($B56)&lt;--SUBSTITUTE(_xlfn.XLOOKUP("Five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",Movimientos!$B$1:$B$1324,"&lt;="&amp;$B56))</f>
        <v>0</v>
      </c>
      <c r="AC56" s="24">
        <f>IF(YEAR($B56)*100+MONTH($B56)&lt;--SUBSTITUTE(_xlfn.XLOOKUP("Nobe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Aparments",Movimientos!$B$1:$B$1324,"&lt;="&amp;$B56))</f>
        <v>0</v>
      </c>
      <c r="AD56" s="24">
        <f>IF(YEAR($B56)*100+MONTH($B56)&lt;--SUBSTITUTE(_xlfn.XLOOKUP("Don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Life",Movimientos!$B$1:$B$1324,"&lt;="&amp;$B56))</f>
        <v>0</v>
      </c>
      <c r="AE56" s="25">
        <f t="shared" si="1"/>
        <v>11940706.620000001</v>
      </c>
    </row>
    <row r="57" spans="1:31" hidden="1" outlineLevel="1" x14ac:dyDescent="0.3">
      <c r="A57" s="22">
        <f t="shared" si="0"/>
        <v>56</v>
      </c>
      <c r="B57" s="23">
        <v>46198</v>
      </c>
      <c r="C57" s="24">
        <f>SUMIFS('Saldos Iniciales'!$D:$D,'Saldos Iniciales'!$A:$A,"CFT Group")+SUMIFS(Movimientos!$K$1:$K$1324,Movimientos!$C$1:$C$1324,"CFT Group",Movimientos!$B$1:$B$1324,"&lt;="&amp;$B57)</f>
        <v>6298935.7100000009</v>
      </c>
      <c r="D57" s="24">
        <f>SUMIFS('Saldos Iniciales'!$D:$D,'Saldos Iniciales'!$A:$A,"M1B")+SUMIFS(Movimientos!$K$1:$K$1324,Movimientos!$C$1:$C$1324,"M1B",Movimientos!$B$1:$B$1324,"&lt;="&amp;$B57)</f>
        <v>72386.190000000177</v>
      </c>
      <c r="E57" s="24">
        <f>SUMIFS('Saldos Iniciales'!$D:$D,'Saldos Iniciales'!$A:$A,"Durand")+SUMIFS(Movimientos!$K$1:$K$1324,Movimientos!$C$1:$C$1324,"Durand",Movimientos!$B$1:$B$1324,"&lt;="&amp;$B57)</f>
        <v>1669.89</v>
      </c>
      <c r="F57" s="24">
        <f>SUMIFS('Saldos Iniciales'!$D:$D,'Saldos Iniciales'!$A:$A,"A&amp;M Imports")+SUMIFS(Movimientos!$K$1:$K$1324,Movimientos!$C$1:$C$1324,"A&amp;M Imports",Movimientos!$B$1:$B$1324,"&lt;="&amp;$B57)</f>
        <v>472766.72999999986</v>
      </c>
      <c r="G57" s="24">
        <f>SUMIFS('Saldos Iniciales'!$D:$D,'Saldos Iniciales'!$A:$A,"SSP Capital")+SUMIFS(Movimientos!$K$1:$K$1324,Movimientos!$C$1:$C$1324,"SSP Capital",Movimientos!$B$1:$B$1324,"&lt;="&amp;$B57)</f>
        <v>1933152.7099999995</v>
      </c>
      <c r="H57" s="24">
        <f>SUMIFS('Saldos Iniciales'!$D:$D,'Saldos Iniciales'!$A:$A,"Cross Family Trust")+SUMIFS(Movimientos!$K$1:$K$1324,Movimientos!$C$1:$C$1324,"Cross Family Trust",Movimientos!$B$1:$B$1324,"&lt;="&amp;$B57)</f>
        <v>1996496.38</v>
      </c>
      <c r="I57" s="24">
        <f>SUMIFS('Saldos Iniciales'!$D:$D,'Saldos Iniciales'!$A:$A,"Cross Security Trust")+SUMIFS(Movimientos!$K$1:$K$1324,Movimientos!$C$1:$C$1324,"Cross Security Trust",Movimientos!$B$1:$B$1324,"&lt;="&amp;$B57)</f>
        <v>330375.99000000005</v>
      </c>
      <c r="J57" s="24">
        <f>SUMIFS('Saldos Iniciales'!$D:$D,'Saldos Iniciales'!$A:$A,"Electrama")+SUMIFS(Movimientos!$K$1:$K$1324,Movimientos!$C$1:$C$1324,"Electrama",Movimientos!$B$1:$B$1324,"&lt;="&amp;$B57)</f>
        <v>511.15999999999985</v>
      </c>
      <c r="K57" s="24">
        <f>SUMIFS('Saldos Iniciales'!$D:$D,'Saldos Iniciales'!$A:$A,"Sacred Valley Capital")+SUMIFS(Movimientos!$K$1:$K$1324,Movimientos!$C$1:$C$1324,"Sacred Valley Capital",Movimientos!$B$1:$B$1324,"&lt;="&amp;$B57)</f>
        <v>84.35</v>
      </c>
      <c r="L57" s="24">
        <f>SUMIFS('Saldos Iniciales'!$D:$D,'Saldos Iniciales'!$A:$A,"YWC Capital")+SUMIFS(Movimientos!$K$1:$K$1324,Movimientos!$C$1:$C$1324,"YWC Capital",Movimientos!$B$1:$B$1324,"&lt;="&amp;$B57)</f>
        <v>2237.77</v>
      </c>
      <c r="M57" s="24">
        <f>SUMIFS('Saldos Iniciales'!$D:$D,'Saldos Iniciales'!$A:$A,"Soweto")+SUMIFS(Movimientos!$K$1:$K$1324,Movimientos!$C$1:$C$1324,"Soweto",Movimientos!$B$1:$B$1324,"&lt;="&amp;$B57)</f>
        <v>3349.94</v>
      </c>
      <c r="N57" s="24">
        <f>SUMIFS('Saldos Iniciales'!$D:$D,'Saldos Iniciales'!$A:$A,"Green Stone Trust")+SUMIFS(Movimientos!$K$1:$K$1324,Movimientos!$C$1:$C$1324,"Green Stone Trust",Movimientos!$B$1:$B$1324,"&lt;="&amp;$B57)</f>
        <v>1968.99</v>
      </c>
      <c r="O57" s="24">
        <f>SUMIFS('Saldos Iniciales'!$D:$D,'Saldos Iniciales'!$A:$A,"EC Auto")+SUMIFS(Movimientos!$K$1:$K$1324,Movimientos!$C$1:$C$1324,"EC Auto",Movimientos!$B$1:$B$1324,"&lt;="&amp;$B57)</f>
        <v>382.69000000000005</v>
      </c>
      <c r="P57" s="24">
        <f>SUMIFS('Saldos Iniciales'!$D:$D,'Saldos Iniciales'!$A:$A,"Arbor Capital Properties")+SUMIFS(Movimientos!$K$1:$K$1324,Movimientos!$C$1:$C$1324,"Arbor Capital Properties",Movimientos!$B$1:$B$1324,"&lt;="&amp;$B57)</f>
        <v>1428.08</v>
      </c>
      <c r="Q57" s="24">
        <f>SUMIFS('Saldos Iniciales'!$D:$D,'Saldos Iniciales'!$A:$A,"2515 Overbrook")+SUMIFS(Movimientos!$K$1:$K$1324,Movimientos!$C$1:$C$1324,"2515 Overbrook",Movimientos!$B$1:$B$1324,"&lt;="&amp;$B57)</f>
        <v>31039.969999999961</v>
      </c>
      <c r="R57" s="24">
        <f>SUMIFS('Saldos Iniciales'!$D:$D,'Saldos Iniciales'!$A:$A,"112 Florida Ave")+SUMIFS(Movimientos!$K$1:$K$1324,Movimientos!$C$1:$C$1324,"112 Florida Ave",Movimientos!$B$1:$B$1324,"&lt;="&amp;$B57)</f>
        <v>20321.43</v>
      </c>
      <c r="S57" s="24">
        <f>SUMIFS('Saldos Iniciales'!$D:$D,'Saldos Iniciales'!$A:$A,"3628 Thomas Ave")+SUMIFS(Movimientos!$K$1:$K$1324,Movimientos!$C$1:$C$1324,"3628 Thomas Ave",Movimientos!$B$1:$B$1324,"&lt;="&amp;$B57)</f>
        <v>28473.599999999999</v>
      </c>
      <c r="T57" s="24">
        <f>SUMIFS('Saldos Iniciales'!$D:$D,'Saldos Iniciales'!$A:$A,"Green Harbor Trust")+SUMIFS(Movimientos!$K$1:$K$1324,Movimientos!$C$1:$C$1324,"Green Harbor Trust",Movimientos!$B$1:$B$1324,"&lt;="&amp;$B57)</f>
        <v>345</v>
      </c>
      <c r="U57" s="24">
        <f>SUMIFS('Saldos Iniciales'!$D:$D,'Saldos Iniciales'!$A:$A,"Go Blue")+SUMIFS(Movimientos!$K$1:$K$1324,Movimientos!$C$1:$C$1324,"Go Blue",Movimientos!$B$1:$B$1324,"&lt;="&amp;$B57)</f>
        <v>38025.43</v>
      </c>
      <c r="V57" s="24">
        <f>IF(YEAR($B57)*100+MONTH($B57)&lt;--SUBSTITUTE(_xlfn.XLOOKUP("Pacha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LLC",Movimientos!$B$1:$B$1324,"&lt;="&amp;$B57))</f>
        <v>0</v>
      </c>
      <c r="W57" s="24">
        <f>IF(YEAR($B57)*100+MONTH($B57)&lt;--SUBSTITUTE(_xlfn.XLOOKUP("*CFT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Residence",Movimientos!$B$1:$B$1324,"&lt;="&amp;$B57))</f>
        <v>0</v>
      </c>
      <c r="X57" s="24">
        <f>IF(YEAR($B57)*100+MONTH($B57)&lt;--SUBSTITUTE(_xlfn.XLOOKUP("Carmen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Trust",Movimientos!$B$1:$B$1324,"&lt;="&amp;$B57))</f>
        <v>0</v>
      </c>
      <c r="Y57" s="24">
        <f>IF(YEAR($B57)*100+MONTH($B57)&lt;--SUBSTITUTE(_xlfn.XLOOKUP("SIYP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LLC",Movimientos!$B$1:$B$1324,"&lt;="&amp;$B57))</f>
        <v>0</v>
      </c>
      <c r="Z57" s="24">
        <f>IF(YEAR($B57)*100+MONTH($B57)&lt;--SUBSTITUTE(_xlfn.XLOOKUP("Prendamas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SRL",Movimientos!$B$1:$B$1324,"&lt;="&amp;$B57))</f>
        <v>0</v>
      </c>
      <c r="AA57" s="24">
        <f>IF(YEAR($B57)*100+MONTH($B57)&lt;--SUBSTITUTE(_xlfn.XLOOKUP("360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LLC",Movimientos!$B$1:$B$1324,"&lt;="&amp;$B57))</f>
        <v>0</v>
      </c>
      <c r="AB57" s="24">
        <f>IF(YEAR($B57)*100+MONTH($B57)&lt;--SUBSTITUTE(_xlfn.XLOOKUP("Five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",Movimientos!$B$1:$B$1324,"&lt;="&amp;$B57))</f>
        <v>0</v>
      </c>
      <c r="AC57" s="24">
        <f>IF(YEAR($B57)*100+MONTH($B57)&lt;--SUBSTITUTE(_xlfn.XLOOKUP("Nobe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Aparments",Movimientos!$B$1:$B$1324,"&lt;="&amp;$B57))</f>
        <v>0</v>
      </c>
      <c r="AD57" s="24">
        <f>IF(YEAR($B57)*100+MONTH($B57)&lt;--SUBSTITUTE(_xlfn.XLOOKUP("Don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Life",Movimientos!$B$1:$B$1324,"&lt;="&amp;$B57))</f>
        <v>0</v>
      </c>
      <c r="AE57" s="25">
        <f t="shared" si="1"/>
        <v>11233952.009999998</v>
      </c>
    </row>
    <row r="58" spans="1:31" hidden="1" outlineLevel="1" x14ac:dyDescent="0.3">
      <c r="A58" s="22">
        <f t="shared" si="0"/>
        <v>57</v>
      </c>
      <c r="B58" s="23">
        <v>46199</v>
      </c>
      <c r="C58" s="24">
        <f>SUMIFS('Saldos Iniciales'!$D:$D,'Saldos Iniciales'!$A:$A,"CFT Group")+SUMIFS(Movimientos!$K$1:$K$1324,Movimientos!$C$1:$C$1324,"CFT Group",Movimientos!$B$1:$B$1324,"&lt;="&amp;$B58)</f>
        <v>6288055.7100000009</v>
      </c>
      <c r="D58" s="24">
        <f>SUMIFS('Saldos Iniciales'!$D:$D,'Saldos Iniciales'!$A:$A,"M1B")+SUMIFS(Movimientos!$K$1:$K$1324,Movimientos!$C$1:$C$1324,"M1B",Movimientos!$B$1:$B$1324,"&lt;="&amp;$B58)</f>
        <v>72386.190000000177</v>
      </c>
      <c r="E58" s="24">
        <f>SUMIFS('Saldos Iniciales'!$D:$D,'Saldos Iniciales'!$A:$A,"Durand")+SUMIFS(Movimientos!$K$1:$K$1324,Movimientos!$C$1:$C$1324,"Durand",Movimientos!$B$1:$B$1324,"&lt;="&amp;$B58)</f>
        <v>1669.89</v>
      </c>
      <c r="F58" s="24">
        <f>SUMIFS('Saldos Iniciales'!$D:$D,'Saldos Iniciales'!$A:$A,"A&amp;M Imports")+SUMIFS(Movimientos!$K$1:$K$1324,Movimientos!$C$1:$C$1324,"A&amp;M Imports",Movimientos!$B$1:$B$1324,"&lt;="&amp;$B58)</f>
        <v>472766.72999999986</v>
      </c>
      <c r="G58" s="24">
        <f>SUMIFS('Saldos Iniciales'!$D:$D,'Saldos Iniciales'!$A:$A,"SSP Capital")+SUMIFS(Movimientos!$K$1:$K$1324,Movimientos!$C$1:$C$1324,"SSP Capital",Movimientos!$B$1:$B$1324,"&lt;="&amp;$B58)</f>
        <v>1932389.7199999993</v>
      </c>
      <c r="H58" s="24">
        <f>SUMIFS('Saldos Iniciales'!$D:$D,'Saldos Iniciales'!$A:$A,"Cross Family Trust")+SUMIFS(Movimientos!$K$1:$K$1324,Movimientos!$C$1:$C$1324,"Cross Family Trust",Movimientos!$B$1:$B$1324,"&lt;="&amp;$B58)</f>
        <v>1396496.38</v>
      </c>
      <c r="I58" s="24">
        <f>SUMIFS('Saldos Iniciales'!$D:$D,'Saldos Iniciales'!$A:$A,"Cross Security Trust")+SUMIFS(Movimientos!$K$1:$K$1324,Movimientos!$C$1:$C$1324,"Cross Security Trust",Movimientos!$B$1:$B$1324,"&lt;="&amp;$B58)</f>
        <v>330375.99000000005</v>
      </c>
      <c r="J58" s="24">
        <f>SUMIFS('Saldos Iniciales'!$D:$D,'Saldos Iniciales'!$A:$A,"Electrama")+SUMIFS(Movimientos!$K$1:$K$1324,Movimientos!$C$1:$C$1324,"Electrama",Movimientos!$B$1:$B$1324,"&lt;="&amp;$B58)</f>
        <v>511.15999999999985</v>
      </c>
      <c r="K58" s="24">
        <f>SUMIFS('Saldos Iniciales'!$D:$D,'Saldos Iniciales'!$A:$A,"Sacred Valley Capital")+SUMIFS(Movimientos!$K$1:$K$1324,Movimientos!$C$1:$C$1324,"Sacred Valley Capital",Movimientos!$B$1:$B$1324,"&lt;="&amp;$B58)</f>
        <v>84.35</v>
      </c>
      <c r="L58" s="24">
        <f>SUMIFS('Saldos Iniciales'!$D:$D,'Saldos Iniciales'!$A:$A,"YWC Capital")+SUMIFS(Movimientos!$K$1:$K$1324,Movimientos!$C$1:$C$1324,"YWC Capital",Movimientos!$B$1:$B$1324,"&lt;="&amp;$B58)</f>
        <v>2237.77</v>
      </c>
      <c r="M58" s="24">
        <f>SUMIFS('Saldos Iniciales'!$D:$D,'Saldos Iniciales'!$A:$A,"Soweto")+SUMIFS(Movimientos!$K$1:$K$1324,Movimientos!$C$1:$C$1324,"Soweto",Movimientos!$B$1:$B$1324,"&lt;="&amp;$B58)</f>
        <v>3349.94</v>
      </c>
      <c r="N58" s="24">
        <f>SUMIFS('Saldos Iniciales'!$D:$D,'Saldos Iniciales'!$A:$A,"Green Stone Trust")+SUMIFS(Movimientos!$K$1:$K$1324,Movimientos!$C$1:$C$1324,"Green Stone Trust",Movimientos!$B$1:$B$1324,"&lt;="&amp;$B58)</f>
        <v>1968.99</v>
      </c>
      <c r="O58" s="24">
        <f>SUMIFS('Saldos Iniciales'!$D:$D,'Saldos Iniciales'!$A:$A,"EC Auto")+SUMIFS(Movimientos!$K$1:$K$1324,Movimientos!$C$1:$C$1324,"EC Auto",Movimientos!$B$1:$B$1324,"&lt;="&amp;$B58)</f>
        <v>382.69000000000005</v>
      </c>
      <c r="P58" s="24">
        <f>SUMIFS('Saldos Iniciales'!$D:$D,'Saldos Iniciales'!$A:$A,"Arbor Capital Properties")+SUMIFS(Movimientos!$K$1:$K$1324,Movimientos!$C$1:$C$1324,"Arbor Capital Properties",Movimientos!$B$1:$B$1324,"&lt;="&amp;$B58)</f>
        <v>1428.08</v>
      </c>
      <c r="Q58" s="24">
        <f>SUMIFS('Saldos Iniciales'!$D:$D,'Saldos Iniciales'!$A:$A,"2515 Overbrook")+SUMIFS(Movimientos!$K$1:$K$1324,Movimientos!$C$1:$C$1324,"2515 Overbrook",Movimientos!$B$1:$B$1324,"&lt;="&amp;$B58)</f>
        <v>31039.969999999961</v>
      </c>
      <c r="R58" s="24">
        <f>SUMIFS('Saldos Iniciales'!$D:$D,'Saldos Iniciales'!$A:$A,"112 Florida Ave")+SUMIFS(Movimientos!$K$1:$K$1324,Movimientos!$C$1:$C$1324,"112 Florida Ave",Movimientos!$B$1:$B$1324,"&lt;="&amp;$B58)</f>
        <v>20321.43</v>
      </c>
      <c r="S58" s="24">
        <f>SUMIFS('Saldos Iniciales'!$D:$D,'Saldos Iniciales'!$A:$A,"3628 Thomas Ave")+SUMIFS(Movimientos!$K$1:$K$1324,Movimientos!$C$1:$C$1324,"3628 Thomas Ave",Movimientos!$B$1:$B$1324,"&lt;="&amp;$B58)</f>
        <v>28458.6</v>
      </c>
      <c r="T58" s="24">
        <f>SUMIFS('Saldos Iniciales'!$D:$D,'Saldos Iniciales'!$A:$A,"Green Harbor Trust")+SUMIFS(Movimientos!$K$1:$K$1324,Movimientos!$C$1:$C$1324,"Green Harbor Trust",Movimientos!$B$1:$B$1324,"&lt;="&amp;$B58)</f>
        <v>345</v>
      </c>
      <c r="U58" s="24">
        <f>SUMIFS('Saldos Iniciales'!$D:$D,'Saldos Iniciales'!$A:$A,"Go Blue")+SUMIFS(Movimientos!$K$1:$K$1324,Movimientos!$C$1:$C$1324,"Go Blue",Movimientos!$B$1:$B$1324,"&lt;="&amp;$B58)</f>
        <v>29918.639999999999</v>
      </c>
      <c r="V58" s="24">
        <f>IF(YEAR($B58)*100+MONTH($B58)&lt;--SUBSTITUTE(_xlfn.XLOOKUP("Pacha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LLC",Movimientos!$B$1:$B$1324,"&lt;="&amp;$B58))</f>
        <v>0</v>
      </c>
      <c r="W58" s="24">
        <f>IF(YEAR($B58)*100+MONTH($B58)&lt;--SUBSTITUTE(_xlfn.XLOOKUP("*CFT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Residence",Movimientos!$B$1:$B$1324,"&lt;="&amp;$B58))</f>
        <v>0</v>
      </c>
      <c r="X58" s="24">
        <f>IF(YEAR($B58)*100+MONTH($B58)&lt;--SUBSTITUTE(_xlfn.XLOOKUP("Carmen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Trust",Movimientos!$B$1:$B$1324,"&lt;="&amp;$B58))</f>
        <v>0</v>
      </c>
      <c r="Y58" s="24">
        <f>IF(YEAR($B58)*100+MONTH($B58)&lt;--SUBSTITUTE(_xlfn.XLOOKUP("SIYP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LLC",Movimientos!$B$1:$B$1324,"&lt;="&amp;$B58))</f>
        <v>0</v>
      </c>
      <c r="Z58" s="24">
        <f>IF(YEAR($B58)*100+MONTH($B58)&lt;--SUBSTITUTE(_xlfn.XLOOKUP("Prendamas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SRL",Movimientos!$B$1:$B$1324,"&lt;="&amp;$B58))</f>
        <v>0</v>
      </c>
      <c r="AA58" s="24">
        <f>IF(YEAR($B58)*100+MONTH($B58)&lt;--SUBSTITUTE(_xlfn.XLOOKUP("360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LLC",Movimientos!$B$1:$B$1324,"&lt;="&amp;$B58))</f>
        <v>0</v>
      </c>
      <c r="AB58" s="24">
        <f>IF(YEAR($B58)*100+MONTH($B58)&lt;--SUBSTITUTE(_xlfn.XLOOKUP("Five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",Movimientos!$B$1:$B$1324,"&lt;="&amp;$B58))</f>
        <v>0</v>
      </c>
      <c r="AC58" s="24">
        <f>IF(YEAR($B58)*100+MONTH($B58)&lt;--SUBSTITUTE(_xlfn.XLOOKUP("Nobe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Aparments",Movimientos!$B$1:$B$1324,"&lt;="&amp;$B58))</f>
        <v>0</v>
      </c>
      <c r="AD58" s="24">
        <f>IF(YEAR($B58)*100+MONTH($B58)&lt;--SUBSTITUTE(_xlfn.XLOOKUP("Don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Life",Movimientos!$B$1:$B$1324,"&lt;="&amp;$B58))</f>
        <v>0</v>
      </c>
      <c r="AE58" s="25">
        <f t="shared" si="1"/>
        <v>10614187.23</v>
      </c>
    </row>
    <row r="59" spans="1:31" hidden="1" outlineLevel="1" x14ac:dyDescent="0.3">
      <c r="A59" s="22">
        <f t="shared" si="0"/>
        <v>58</v>
      </c>
      <c r="B59" s="23">
        <v>46200</v>
      </c>
      <c r="C59" s="24">
        <f>SUMIFS('Saldos Iniciales'!$D:$D,'Saldos Iniciales'!$A:$A,"CFT Group")+SUMIFS(Movimientos!$K$1:$K$1324,Movimientos!$C$1:$C$1324,"CFT Group",Movimientos!$B$1:$B$1324,"&lt;="&amp;$B59)</f>
        <v>6288055.7100000009</v>
      </c>
      <c r="D59" s="24">
        <f>SUMIFS('Saldos Iniciales'!$D:$D,'Saldos Iniciales'!$A:$A,"M1B")+SUMIFS(Movimientos!$K$1:$K$1324,Movimientos!$C$1:$C$1324,"M1B",Movimientos!$B$1:$B$1324,"&lt;="&amp;$B59)</f>
        <v>72386.190000000177</v>
      </c>
      <c r="E59" s="24">
        <f>SUMIFS('Saldos Iniciales'!$D:$D,'Saldos Iniciales'!$A:$A,"Durand")+SUMIFS(Movimientos!$K$1:$K$1324,Movimientos!$C$1:$C$1324,"Durand",Movimientos!$B$1:$B$1324,"&lt;="&amp;$B59)</f>
        <v>1669.89</v>
      </c>
      <c r="F59" s="24">
        <f>SUMIFS('Saldos Iniciales'!$D:$D,'Saldos Iniciales'!$A:$A,"A&amp;M Imports")+SUMIFS(Movimientos!$K$1:$K$1324,Movimientos!$C$1:$C$1324,"A&amp;M Imports",Movimientos!$B$1:$B$1324,"&lt;="&amp;$B59)</f>
        <v>472766.72999999986</v>
      </c>
      <c r="G59" s="24">
        <f>SUMIFS('Saldos Iniciales'!$D:$D,'Saldos Iniciales'!$A:$A,"SSP Capital")+SUMIFS(Movimientos!$K$1:$K$1324,Movimientos!$C$1:$C$1324,"SSP Capital",Movimientos!$B$1:$B$1324,"&lt;="&amp;$B59)</f>
        <v>1932389.7199999993</v>
      </c>
      <c r="H59" s="24">
        <f>SUMIFS('Saldos Iniciales'!$D:$D,'Saldos Iniciales'!$A:$A,"Cross Family Trust")+SUMIFS(Movimientos!$K$1:$K$1324,Movimientos!$C$1:$C$1324,"Cross Family Trust",Movimientos!$B$1:$B$1324,"&lt;="&amp;$B59)</f>
        <v>1396496.38</v>
      </c>
      <c r="I59" s="24">
        <f>SUMIFS('Saldos Iniciales'!$D:$D,'Saldos Iniciales'!$A:$A,"Cross Security Trust")+SUMIFS(Movimientos!$K$1:$K$1324,Movimientos!$C$1:$C$1324,"Cross Security Trust",Movimientos!$B$1:$B$1324,"&lt;="&amp;$B59)</f>
        <v>330375.99000000005</v>
      </c>
      <c r="J59" s="24">
        <f>SUMIFS('Saldos Iniciales'!$D:$D,'Saldos Iniciales'!$A:$A,"Electrama")+SUMIFS(Movimientos!$K$1:$K$1324,Movimientos!$C$1:$C$1324,"Electrama",Movimientos!$B$1:$B$1324,"&lt;="&amp;$B59)</f>
        <v>511.15999999999985</v>
      </c>
      <c r="K59" s="24">
        <f>SUMIFS('Saldos Iniciales'!$D:$D,'Saldos Iniciales'!$A:$A,"Sacred Valley Capital")+SUMIFS(Movimientos!$K$1:$K$1324,Movimientos!$C$1:$C$1324,"Sacred Valley Capital",Movimientos!$B$1:$B$1324,"&lt;="&amp;$B59)</f>
        <v>84.35</v>
      </c>
      <c r="L59" s="24">
        <f>SUMIFS('Saldos Iniciales'!$D:$D,'Saldos Iniciales'!$A:$A,"YWC Capital")+SUMIFS(Movimientos!$K$1:$K$1324,Movimientos!$C$1:$C$1324,"YWC Capital",Movimientos!$B$1:$B$1324,"&lt;="&amp;$B59)</f>
        <v>2237.77</v>
      </c>
      <c r="M59" s="24">
        <f>SUMIFS('Saldos Iniciales'!$D:$D,'Saldos Iniciales'!$A:$A,"Soweto")+SUMIFS(Movimientos!$K$1:$K$1324,Movimientos!$C$1:$C$1324,"Soweto",Movimientos!$B$1:$B$1324,"&lt;="&amp;$B59)</f>
        <v>3349.94</v>
      </c>
      <c r="N59" s="24">
        <f>SUMIFS('Saldos Iniciales'!$D:$D,'Saldos Iniciales'!$A:$A,"Green Stone Trust")+SUMIFS(Movimientos!$K$1:$K$1324,Movimientos!$C$1:$C$1324,"Green Stone Trust",Movimientos!$B$1:$B$1324,"&lt;="&amp;$B59)</f>
        <v>1968.99</v>
      </c>
      <c r="O59" s="24">
        <f>SUMIFS('Saldos Iniciales'!$D:$D,'Saldos Iniciales'!$A:$A,"EC Auto")+SUMIFS(Movimientos!$K$1:$K$1324,Movimientos!$C$1:$C$1324,"EC Auto",Movimientos!$B$1:$B$1324,"&lt;="&amp;$B59)</f>
        <v>382.69000000000005</v>
      </c>
      <c r="P59" s="24">
        <f>SUMIFS('Saldos Iniciales'!$D:$D,'Saldos Iniciales'!$A:$A,"Arbor Capital Properties")+SUMIFS(Movimientos!$K$1:$K$1324,Movimientos!$C$1:$C$1324,"Arbor Capital Properties",Movimientos!$B$1:$B$1324,"&lt;="&amp;$B59)</f>
        <v>1428.08</v>
      </c>
      <c r="Q59" s="24">
        <f>SUMIFS('Saldos Iniciales'!$D:$D,'Saldos Iniciales'!$A:$A,"2515 Overbrook")+SUMIFS(Movimientos!$K$1:$K$1324,Movimientos!$C$1:$C$1324,"2515 Overbrook",Movimientos!$B$1:$B$1324,"&lt;="&amp;$B59)</f>
        <v>31039.969999999961</v>
      </c>
      <c r="R59" s="24">
        <f>SUMIFS('Saldos Iniciales'!$D:$D,'Saldos Iniciales'!$A:$A,"112 Florida Ave")+SUMIFS(Movimientos!$K$1:$K$1324,Movimientos!$C$1:$C$1324,"112 Florida Ave",Movimientos!$B$1:$B$1324,"&lt;="&amp;$B59)</f>
        <v>20321.43</v>
      </c>
      <c r="S59" s="24">
        <f>SUMIFS('Saldos Iniciales'!$D:$D,'Saldos Iniciales'!$A:$A,"3628 Thomas Ave")+SUMIFS(Movimientos!$K$1:$K$1324,Movimientos!$C$1:$C$1324,"3628 Thomas Ave",Movimientos!$B$1:$B$1324,"&lt;="&amp;$B59)</f>
        <v>28458.6</v>
      </c>
      <c r="T59" s="24">
        <f>SUMIFS('Saldos Iniciales'!$D:$D,'Saldos Iniciales'!$A:$A,"Green Harbor Trust")+SUMIFS(Movimientos!$K$1:$K$1324,Movimientos!$C$1:$C$1324,"Green Harbor Trust",Movimientos!$B$1:$B$1324,"&lt;="&amp;$B59)</f>
        <v>345</v>
      </c>
      <c r="U59" s="24">
        <f>SUMIFS('Saldos Iniciales'!$D:$D,'Saldos Iniciales'!$A:$A,"Go Blue")+SUMIFS(Movimientos!$K$1:$K$1324,Movimientos!$C$1:$C$1324,"Go Blue",Movimientos!$B$1:$B$1324,"&lt;="&amp;$B59)</f>
        <v>29918.639999999999</v>
      </c>
      <c r="V59" s="24">
        <f>IF(YEAR($B59)*100+MONTH($B59)&lt;--SUBSTITUTE(_xlfn.XLOOKUP("Pacha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LLC",Movimientos!$B$1:$B$1324,"&lt;="&amp;$B59))</f>
        <v>0</v>
      </c>
      <c r="W59" s="24">
        <f>IF(YEAR($B59)*100+MONTH($B59)&lt;--SUBSTITUTE(_xlfn.XLOOKUP("*CFT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Residence",Movimientos!$B$1:$B$1324,"&lt;="&amp;$B59))</f>
        <v>0</v>
      </c>
      <c r="X59" s="24">
        <f>IF(YEAR($B59)*100+MONTH($B59)&lt;--SUBSTITUTE(_xlfn.XLOOKUP("Carmen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Trust",Movimientos!$B$1:$B$1324,"&lt;="&amp;$B59))</f>
        <v>0</v>
      </c>
      <c r="Y59" s="24">
        <f>IF(YEAR($B59)*100+MONTH($B59)&lt;--SUBSTITUTE(_xlfn.XLOOKUP("SIYP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LLC",Movimientos!$B$1:$B$1324,"&lt;="&amp;$B59))</f>
        <v>0</v>
      </c>
      <c r="Z59" s="24">
        <f>IF(YEAR($B59)*100+MONTH($B59)&lt;--SUBSTITUTE(_xlfn.XLOOKUP("Prendamas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SRL",Movimientos!$B$1:$B$1324,"&lt;="&amp;$B59))</f>
        <v>0</v>
      </c>
      <c r="AA59" s="24">
        <f>IF(YEAR($B59)*100+MONTH($B59)&lt;--SUBSTITUTE(_xlfn.XLOOKUP("360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LLC",Movimientos!$B$1:$B$1324,"&lt;="&amp;$B59))</f>
        <v>0</v>
      </c>
      <c r="AB59" s="24">
        <f>IF(YEAR($B59)*100+MONTH($B59)&lt;--SUBSTITUTE(_xlfn.XLOOKUP("Five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",Movimientos!$B$1:$B$1324,"&lt;="&amp;$B59))</f>
        <v>0</v>
      </c>
      <c r="AC59" s="24">
        <f>IF(YEAR($B59)*100+MONTH($B59)&lt;--SUBSTITUTE(_xlfn.XLOOKUP("Nobe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Aparments",Movimientos!$B$1:$B$1324,"&lt;="&amp;$B59))</f>
        <v>0</v>
      </c>
      <c r="AD59" s="24">
        <f>IF(YEAR($B59)*100+MONTH($B59)&lt;--SUBSTITUTE(_xlfn.XLOOKUP("Don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Life",Movimientos!$B$1:$B$1324,"&lt;="&amp;$B59))</f>
        <v>0</v>
      </c>
      <c r="AE59" s="25">
        <f t="shared" si="1"/>
        <v>10614187.23</v>
      </c>
    </row>
    <row r="60" spans="1:31" hidden="1" outlineLevel="1" x14ac:dyDescent="0.3">
      <c r="A60" s="22">
        <f t="shared" ref="A60:A125" si="2">+A59+1</f>
        <v>59</v>
      </c>
      <c r="B60" s="23">
        <v>46201</v>
      </c>
      <c r="C60" s="24">
        <f>SUMIFS('Saldos Iniciales'!$D:$D,'Saldos Iniciales'!$A:$A,"CFT Group")+SUMIFS(Movimientos!$K$1:$K$1324,Movimientos!$C$1:$C$1324,"CFT Group",Movimientos!$B$1:$B$1324,"&lt;="&amp;$B60)</f>
        <v>6288055.7100000009</v>
      </c>
      <c r="D60" s="24">
        <f>SUMIFS('Saldos Iniciales'!$D:$D,'Saldos Iniciales'!$A:$A,"M1B")+SUMIFS(Movimientos!$K$1:$K$1324,Movimientos!$C$1:$C$1324,"M1B",Movimientos!$B$1:$B$1324,"&lt;="&amp;$B60)</f>
        <v>72386.190000000177</v>
      </c>
      <c r="E60" s="24">
        <f>SUMIFS('Saldos Iniciales'!$D:$D,'Saldos Iniciales'!$A:$A,"Durand")+SUMIFS(Movimientos!$K$1:$K$1324,Movimientos!$C$1:$C$1324,"Durand",Movimientos!$B$1:$B$1324,"&lt;="&amp;$B60)</f>
        <v>1669.89</v>
      </c>
      <c r="F60" s="24">
        <f>SUMIFS('Saldos Iniciales'!$D:$D,'Saldos Iniciales'!$A:$A,"A&amp;M Imports")+SUMIFS(Movimientos!$K$1:$K$1324,Movimientos!$C$1:$C$1324,"A&amp;M Imports",Movimientos!$B$1:$B$1324,"&lt;="&amp;$B60)</f>
        <v>472766.72999999986</v>
      </c>
      <c r="G60" s="24">
        <f>SUMIFS('Saldos Iniciales'!$D:$D,'Saldos Iniciales'!$A:$A,"SSP Capital")+SUMIFS(Movimientos!$K$1:$K$1324,Movimientos!$C$1:$C$1324,"SSP Capital",Movimientos!$B$1:$B$1324,"&lt;="&amp;$B60)</f>
        <v>1932389.7199999993</v>
      </c>
      <c r="H60" s="24">
        <f>SUMIFS('Saldos Iniciales'!$D:$D,'Saldos Iniciales'!$A:$A,"Cross Family Trust")+SUMIFS(Movimientos!$K$1:$K$1324,Movimientos!$C$1:$C$1324,"Cross Family Trust",Movimientos!$B$1:$B$1324,"&lt;="&amp;$B60)</f>
        <v>1396496.38</v>
      </c>
      <c r="I60" s="24">
        <f>SUMIFS('Saldos Iniciales'!$D:$D,'Saldos Iniciales'!$A:$A,"Cross Security Trust")+SUMIFS(Movimientos!$K$1:$K$1324,Movimientos!$C$1:$C$1324,"Cross Security Trust",Movimientos!$B$1:$B$1324,"&lt;="&amp;$B60)</f>
        <v>330375.99000000005</v>
      </c>
      <c r="J60" s="24">
        <f>SUMIFS('Saldos Iniciales'!$D:$D,'Saldos Iniciales'!$A:$A,"Electrama")+SUMIFS(Movimientos!$K$1:$K$1324,Movimientos!$C$1:$C$1324,"Electrama",Movimientos!$B$1:$B$1324,"&lt;="&amp;$B60)</f>
        <v>511.15999999999985</v>
      </c>
      <c r="K60" s="24">
        <f>SUMIFS('Saldos Iniciales'!$D:$D,'Saldos Iniciales'!$A:$A,"Sacred Valley Capital")+SUMIFS(Movimientos!$K$1:$K$1324,Movimientos!$C$1:$C$1324,"Sacred Valley Capital",Movimientos!$B$1:$B$1324,"&lt;="&amp;$B60)</f>
        <v>84.35</v>
      </c>
      <c r="L60" s="24">
        <f>SUMIFS('Saldos Iniciales'!$D:$D,'Saldos Iniciales'!$A:$A,"YWC Capital")+SUMIFS(Movimientos!$K$1:$K$1324,Movimientos!$C$1:$C$1324,"YWC Capital",Movimientos!$B$1:$B$1324,"&lt;="&amp;$B60)</f>
        <v>2237.77</v>
      </c>
      <c r="M60" s="24">
        <f>SUMIFS('Saldos Iniciales'!$D:$D,'Saldos Iniciales'!$A:$A,"Soweto")+SUMIFS(Movimientos!$K$1:$K$1324,Movimientos!$C$1:$C$1324,"Soweto",Movimientos!$B$1:$B$1324,"&lt;="&amp;$B60)</f>
        <v>3349.94</v>
      </c>
      <c r="N60" s="24">
        <f>SUMIFS('Saldos Iniciales'!$D:$D,'Saldos Iniciales'!$A:$A,"Green Stone Trust")+SUMIFS(Movimientos!$K$1:$K$1324,Movimientos!$C$1:$C$1324,"Green Stone Trust",Movimientos!$B$1:$B$1324,"&lt;="&amp;$B60)</f>
        <v>1968.99</v>
      </c>
      <c r="O60" s="24">
        <f>SUMIFS('Saldos Iniciales'!$D:$D,'Saldos Iniciales'!$A:$A,"EC Auto")+SUMIFS(Movimientos!$K$1:$K$1324,Movimientos!$C$1:$C$1324,"EC Auto",Movimientos!$B$1:$B$1324,"&lt;="&amp;$B60)</f>
        <v>382.69000000000005</v>
      </c>
      <c r="P60" s="24">
        <f>SUMIFS('Saldos Iniciales'!$D:$D,'Saldos Iniciales'!$A:$A,"Arbor Capital Properties")+SUMIFS(Movimientos!$K$1:$K$1324,Movimientos!$C$1:$C$1324,"Arbor Capital Properties",Movimientos!$B$1:$B$1324,"&lt;="&amp;$B60)</f>
        <v>1428.08</v>
      </c>
      <c r="Q60" s="24">
        <f>SUMIFS('Saldos Iniciales'!$D:$D,'Saldos Iniciales'!$A:$A,"2515 Overbrook")+SUMIFS(Movimientos!$K$1:$K$1324,Movimientos!$C$1:$C$1324,"2515 Overbrook",Movimientos!$B$1:$B$1324,"&lt;="&amp;$B60)</f>
        <v>31039.969999999961</v>
      </c>
      <c r="R60" s="24">
        <f>SUMIFS('Saldos Iniciales'!$D:$D,'Saldos Iniciales'!$A:$A,"112 Florida Ave")+SUMIFS(Movimientos!$K$1:$K$1324,Movimientos!$C$1:$C$1324,"112 Florida Ave",Movimientos!$B$1:$B$1324,"&lt;="&amp;$B60)</f>
        <v>20321.43</v>
      </c>
      <c r="S60" s="24">
        <f>SUMIFS('Saldos Iniciales'!$D:$D,'Saldos Iniciales'!$A:$A,"3628 Thomas Ave")+SUMIFS(Movimientos!$K$1:$K$1324,Movimientos!$C$1:$C$1324,"3628 Thomas Ave",Movimientos!$B$1:$B$1324,"&lt;="&amp;$B60)</f>
        <v>28458.6</v>
      </c>
      <c r="T60" s="24">
        <f>SUMIFS('Saldos Iniciales'!$D:$D,'Saldos Iniciales'!$A:$A,"Green Harbor Trust")+SUMIFS(Movimientos!$K$1:$K$1324,Movimientos!$C$1:$C$1324,"Green Harbor Trust",Movimientos!$B$1:$B$1324,"&lt;="&amp;$B60)</f>
        <v>345</v>
      </c>
      <c r="U60" s="24">
        <f>SUMIFS('Saldos Iniciales'!$D:$D,'Saldos Iniciales'!$A:$A,"Go Blue")+SUMIFS(Movimientos!$K$1:$K$1324,Movimientos!$C$1:$C$1324,"Go Blue",Movimientos!$B$1:$B$1324,"&lt;="&amp;$B60)</f>
        <v>29918.639999999999</v>
      </c>
      <c r="V60" s="24">
        <f>IF(YEAR($B60)*100+MONTH($B60)&lt;--SUBSTITUTE(_xlfn.XLOOKUP("Pacha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LLC",Movimientos!$B$1:$B$1324,"&lt;="&amp;$B60))</f>
        <v>0</v>
      </c>
      <c r="W60" s="24">
        <f>IF(YEAR($B60)*100+MONTH($B60)&lt;--SUBSTITUTE(_xlfn.XLOOKUP("*CFT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Residence",Movimientos!$B$1:$B$1324,"&lt;="&amp;$B60))</f>
        <v>0</v>
      </c>
      <c r="X60" s="24">
        <f>IF(YEAR($B60)*100+MONTH($B60)&lt;--SUBSTITUTE(_xlfn.XLOOKUP("Carmen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Trust",Movimientos!$B$1:$B$1324,"&lt;="&amp;$B60))</f>
        <v>0</v>
      </c>
      <c r="Y60" s="24">
        <f>IF(YEAR($B60)*100+MONTH($B60)&lt;--SUBSTITUTE(_xlfn.XLOOKUP("SIYP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LLC",Movimientos!$B$1:$B$1324,"&lt;="&amp;$B60))</f>
        <v>0</v>
      </c>
      <c r="Z60" s="24">
        <f>IF(YEAR($B60)*100+MONTH($B60)&lt;--SUBSTITUTE(_xlfn.XLOOKUP("Prendamas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SRL",Movimientos!$B$1:$B$1324,"&lt;="&amp;$B60))</f>
        <v>0</v>
      </c>
      <c r="AA60" s="24">
        <f>IF(YEAR($B60)*100+MONTH($B60)&lt;--SUBSTITUTE(_xlfn.XLOOKUP("360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LLC",Movimientos!$B$1:$B$1324,"&lt;="&amp;$B60))</f>
        <v>0</v>
      </c>
      <c r="AB60" s="24">
        <f>IF(YEAR($B60)*100+MONTH($B60)&lt;--SUBSTITUTE(_xlfn.XLOOKUP("Five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",Movimientos!$B$1:$B$1324,"&lt;="&amp;$B60))</f>
        <v>0</v>
      </c>
      <c r="AC60" s="24">
        <f>IF(YEAR($B60)*100+MONTH($B60)&lt;--SUBSTITUTE(_xlfn.XLOOKUP("Nobe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Aparments",Movimientos!$B$1:$B$1324,"&lt;="&amp;$B60))</f>
        <v>0</v>
      </c>
      <c r="AD60" s="24">
        <f>IF(YEAR($B60)*100+MONTH($B60)&lt;--SUBSTITUTE(_xlfn.XLOOKUP("Don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Life",Movimientos!$B$1:$B$1324,"&lt;="&amp;$B60))</f>
        <v>0</v>
      </c>
      <c r="AE60" s="25">
        <f t="shared" si="1"/>
        <v>10614187.23</v>
      </c>
    </row>
    <row r="61" spans="1:31" hidden="1" outlineLevel="1" x14ac:dyDescent="0.3">
      <c r="A61" s="22">
        <f t="shared" si="2"/>
        <v>60</v>
      </c>
      <c r="B61" s="23">
        <v>46202</v>
      </c>
      <c r="C61" s="24">
        <f>SUMIFS('Saldos Iniciales'!$D:$D,'Saldos Iniciales'!$A:$A,"CFT Group")+SUMIFS(Movimientos!$K$1:$K$1324,Movimientos!$C$1:$C$1324,"CFT Group",Movimientos!$B$1:$B$1324,"&lt;="&amp;$B61)</f>
        <v>6299174.8100000015</v>
      </c>
      <c r="D61" s="24">
        <f>SUMIFS('Saldos Iniciales'!$D:$D,'Saldos Iniciales'!$A:$A,"M1B")+SUMIFS(Movimientos!$K$1:$K$1324,Movimientos!$C$1:$C$1324,"M1B",Movimientos!$B$1:$B$1324,"&lt;="&amp;$B61)</f>
        <v>72386.190000000177</v>
      </c>
      <c r="E61" s="24">
        <f>SUMIFS('Saldos Iniciales'!$D:$D,'Saldos Iniciales'!$A:$A,"Durand")+SUMIFS(Movimientos!$K$1:$K$1324,Movimientos!$C$1:$C$1324,"Durand",Movimientos!$B$1:$B$1324,"&lt;="&amp;$B61)</f>
        <v>1669.89</v>
      </c>
      <c r="F61" s="24">
        <f>SUMIFS('Saldos Iniciales'!$D:$D,'Saldos Iniciales'!$A:$A,"A&amp;M Imports")+SUMIFS(Movimientos!$K$1:$K$1324,Movimientos!$C$1:$C$1324,"A&amp;M Imports",Movimientos!$B$1:$B$1324,"&lt;="&amp;$B61)</f>
        <v>489745.62999999989</v>
      </c>
      <c r="G61" s="24">
        <f>SUMIFS('Saldos Iniciales'!$D:$D,'Saldos Iniciales'!$A:$A,"SSP Capital")+SUMIFS(Movimientos!$K$1:$K$1324,Movimientos!$C$1:$C$1324,"SSP Capital",Movimientos!$B$1:$B$1324,"&lt;="&amp;$B61)</f>
        <v>1768167.9199999995</v>
      </c>
      <c r="H61" s="24">
        <f>SUMIFS('Saldos Iniciales'!$D:$D,'Saldos Iniciales'!$A:$A,"Cross Family Trust")+SUMIFS(Movimientos!$K$1:$K$1324,Movimientos!$C$1:$C$1324,"Cross Family Trust",Movimientos!$B$1:$B$1324,"&lt;="&amp;$B61)</f>
        <v>396496.38</v>
      </c>
      <c r="I61" s="24">
        <f>SUMIFS('Saldos Iniciales'!$D:$D,'Saldos Iniciales'!$A:$A,"Cross Security Trust")+SUMIFS(Movimientos!$K$1:$K$1324,Movimientos!$C$1:$C$1324,"Cross Security Trust",Movimientos!$B$1:$B$1324,"&lt;="&amp;$B61)</f>
        <v>327405.99000000005</v>
      </c>
      <c r="J61" s="24">
        <f>SUMIFS('Saldos Iniciales'!$D:$D,'Saldos Iniciales'!$A:$A,"Electrama")+SUMIFS(Movimientos!$K$1:$K$1324,Movimientos!$C$1:$C$1324,"Electrama",Movimientos!$B$1:$B$1324,"&lt;="&amp;$B61)</f>
        <v>511.15999999999985</v>
      </c>
      <c r="K61" s="24">
        <f>SUMIFS('Saldos Iniciales'!$D:$D,'Saldos Iniciales'!$A:$A,"Sacred Valley Capital")+SUMIFS(Movimientos!$K$1:$K$1324,Movimientos!$C$1:$C$1324,"Sacred Valley Capital",Movimientos!$B$1:$B$1324,"&lt;="&amp;$B61)</f>
        <v>84.35</v>
      </c>
      <c r="L61" s="24">
        <f>SUMIFS('Saldos Iniciales'!$D:$D,'Saldos Iniciales'!$A:$A,"YWC Capital")+SUMIFS(Movimientos!$K$1:$K$1324,Movimientos!$C$1:$C$1324,"YWC Capital",Movimientos!$B$1:$B$1324,"&lt;="&amp;$B61)</f>
        <v>2237.77</v>
      </c>
      <c r="M61" s="24">
        <f>SUMIFS('Saldos Iniciales'!$D:$D,'Saldos Iniciales'!$A:$A,"Soweto")+SUMIFS(Movimientos!$K$1:$K$1324,Movimientos!$C$1:$C$1324,"Soweto",Movimientos!$B$1:$B$1324,"&lt;="&amp;$B61)</f>
        <v>3349.94</v>
      </c>
      <c r="N61" s="24">
        <f>SUMIFS('Saldos Iniciales'!$D:$D,'Saldos Iniciales'!$A:$A,"Green Stone Trust")+SUMIFS(Movimientos!$K$1:$K$1324,Movimientos!$C$1:$C$1324,"Green Stone Trust",Movimientos!$B$1:$B$1324,"&lt;="&amp;$B61)</f>
        <v>1968.99</v>
      </c>
      <c r="O61" s="24">
        <f>SUMIFS('Saldos Iniciales'!$D:$D,'Saldos Iniciales'!$A:$A,"EC Auto")+SUMIFS(Movimientos!$K$1:$K$1324,Movimientos!$C$1:$C$1324,"EC Auto",Movimientos!$B$1:$B$1324,"&lt;="&amp;$B61)</f>
        <v>382.69000000000005</v>
      </c>
      <c r="P61" s="24">
        <f>SUMIFS('Saldos Iniciales'!$D:$D,'Saldos Iniciales'!$A:$A,"Arbor Capital Properties")+SUMIFS(Movimientos!$K$1:$K$1324,Movimientos!$C$1:$C$1324,"Arbor Capital Properties",Movimientos!$B$1:$B$1324,"&lt;="&amp;$B61)</f>
        <v>1428.08</v>
      </c>
      <c r="Q61" s="24">
        <f>SUMIFS('Saldos Iniciales'!$D:$D,'Saldos Iniciales'!$A:$A,"2515 Overbrook")+SUMIFS(Movimientos!$K$1:$K$1324,Movimientos!$C$1:$C$1324,"2515 Overbrook",Movimientos!$B$1:$B$1324,"&lt;="&amp;$B61)</f>
        <v>31039.969999999961</v>
      </c>
      <c r="R61" s="24">
        <f>SUMIFS('Saldos Iniciales'!$D:$D,'Saldos Iniciales'!$A:$A,"112 Florida Ave")+SUMIFS(Movimientos!$K$1:$K$1324,Movimientos!$C$1:$C$1324,"112 Florida Ave",Movimientos!$B$1:$B$1324,"&lt;="&amp;$B61)</f>
        <v>20321.43</v>
      </c>
      <c r="S61" s="24">
        <f>SUMIFS('Saldos Iniciales'!$D:$D,'Saldos Iniciales'!$A:$A,"3628 Thomas Ave")+SUMIFS(Movimientos!$K$1:$K$1324,Movimientos!$C$1:$C$1324,"3628 Thomas Ave",Movimientos!$B$1:$B$1324,"&lt;="&amp;$B61)</f>
        <v>28458.6</v>
      </c>
      <c r="T61" s="24">
        <f>SUMIFS('Saldos Iniciales'!$D:$D,'Saldos Iniciales'!$A:$A,"Green Harbor Trust")+SUMIFS(Movimientos!$K$1:$K$1324,Movimientos!$C$1:$C$1324,"Green Harbor Trust",Movimientos!$B$1:$B$1324,"&lt;="&amp;$B61)</f>
        <v>345</v>
      </c>
      <c r="U61" s="24">
        <f>SUMIFS('Saldos Iniciales'!$D:$D,'Saldos Iniciales'!$A:$A,"Go Blue")+SUMIFS(Movimientos!$K$1:$K$1324,Movimientos!$C$1:$C$1324,"Go Blue",Movimientos!$B$1:$B$1324,"&lt;="&amp;$B61)</f>
        <v>23872.78</v>
      </c>
      <c r="V61" s="24">
        <f>IF(YEAR($B61)*100+MONTH($B61)&lt;--SUBSTITUTE(_xlfn.XLOOKUP("Pacha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LLC",Movimientos!$B$1:$B$1324,"&lt;="&amp;$B61))</f>
        <v>0</v>
      </c>
      <c r="W61" s="24">
        <f>IF(YEAR($B61)*100+MONTH($B61)&lt;--SUBSTITUTE(_xlfn.XLOOKUP("*CFT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Residence",Movimientos!$B$1:$B$1324,"&lt;="&amp;$B61))</f>
        <v>0</v>
      </c>
      <c r="X61" s="24">
        <f>IF(YEAR($B61)*100+MONTH($B61)&lt;--SUBSTITUTE(_xlfn.XLOOKUP("Carmen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Trust",Movimientos!$B$1:$B$1324,"&lt;="&amp;$B61))</f>
        <v>0</v>
      </c>
      <c r="Y61" s="24">
        <f>IF(YEAR($B61)*100+MONTH($B61)&lt;--SUBSTITUTE(_xlfn.XLOOKUP("SIYP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LLC",Movimientos!$B$1:$B$1324,"&lt;="&amp;$B61))</f>
        <v>0</v>
      </c>
      <c r="Z61" s="24">
        <f>IF(YEAR($B61)*100+MONTH($B61)&lt;--SUBSTITUTE(_xlfn.XLOOKUP("Prendamas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SRL",Movimientos!$B$1:$B$1324,"&lt;="&amp;$B61))</f>
        <v>0</v>
      </c>
      <c r="AA61" s="24">
        <f>IF(YEAR($B61)*100+MONTH($B61)&lt;--SUBSTITUTE(_xlfn.XLOOKUP("360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LLC",Movimientos!$B$1:$B$1324,"&lt;="&amp;$B61))</f>
        <v>0</v>
      </c>
      <c r="AB61" s="24">
        <f>IF(YEAR($B61)*100+MONTH($B61)&lt;--SUBSTITUTE(_xlfn.XLOOKUP("Five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",Movimientos!$B$1:$B$1324,"&lt;="&amp;$B61))</f>
        <v>0</v>
      </c>
      <c r="AC61" s="24">
        <f>IF(YEAR($B61)*100+MONTH($B61)&lt;--SUBSTITUTE(_xlfn.XLOOKUP("Nobe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Aparments",Movimientos!$B$1:$B$1324,"&lt;="&amp;$B61))</f>
        <v>0</v>
      </c>
      <c r="AD61" s="24">
        <f>IF(YEAR($B61)*100+MONTH($B61)&lt;--SUBSTITUTE(_xlfn.XLOOKUP("Don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Life",Movimientos!$B$1:$B$1324,"&lt;="&amp;$B61))</f>
        <v>0</v>
      </c>
      <c r="AE61" s="25">
        <f t="shared" si="1"/>
        <v>9469047.5700000003</v>
      </c>
    </row>
    <row r="62" spans="1:31" collapsed="1" x14ac:dyDescent="0.3">
      <c r="A62" s="22">
        <f t="shared" si="2"/>
        <v>61</v>
      </c>
      <c r="B62" s="23">
        <v>46203</v>
      </c>
      <c r="C62" s="24">
        <f>SUMIFS('Saldos Iniciales'!$D:$D,'Saldos Iniciales'!$A:$A,"CFT Group")+SUMIFS(Movimientos!$K$1:$K$1324,Movimientos!$C$1:$C$1324,"CFT Group",Movimientos!$B$1:$B$1324,"&lt;="&amp;$B62)</f>
        <v>6295585.7500000009</v>
      </c>
      <c r="D62" s="24">
        <f>SUMIFS('Saldos Iniciales'!$D:$D,'Saldos Iniciales'!$A:$A,"M1B")+SUMIFS(Movimientos!$K$1:$K$1324,Movimientos!$C$1:$C$1324,"M1B",Movimientos!$B$1:$B$1324,"&lt;="&amp;$B62)</f>
        <v>79139.680000000168</v>
      </c>
      <c r="E62" s="24">
        <f>SUMIFS('Saldos Iniciales'!$D:$D,'Saldos Iniciales'!$A:$A,"Durand")+SUMIFS(Movimientos!$K$1:$K$1324,Movimientos!$C$1:$C$1324,"Durand",Movimientos!$B$1:$B$1324,"&lt;="&amp;$B62)</f>
        <v>1669.89</v>
      </c>
      <c r="F62" s="24">
        <f>SUMIFS('Saldos Iniciales'!$D:$D,'Saldos Iniciales'!$A:$A,"A&amp;M Imports")+SUMIFS(Movimientos!$K$1:$K$1324,Movimientos!$C$1:$C$1324,"A&amp;M Imports",Movimientos!$B$1:$B$1324,"&lt;="&amp;$B62)</f>
        <v>489745.62999999989</v>
      </c>
      <c r="G62" s="24">
        <f>SUMIFS('Saldos Iniciales'!$D:$D,'Saldos Iniciales'!$A:$A,"SSP Capital")+SUMIFS(Movimientos!$K$1:$K$1324,Movimientos!$C$1:$C$1324,"SSP Capital",Movimientos!$B$1:$B$1324,"&lt;="&amp;$B62)</f>
        <v>1696284.7299999995</v>
      </c>
      <c r="H62" s="24">
        <f>SUMIFS('Saldos Iniciales'!$D:$D,'Saldos Iniciales'!$A:$A,"Cross Family Trust")+SUMIFS(Movimientos!$K$1:$K$1324,Movimientos!$C$1:$C$1324,"Cross Family Trust",Movimientos!$B$1:$B$1324,"&lt;="&amp;$B62)</f>
        <v>390496.38</v>
      </c>
      <c r="I62" s="24">
        <f>SUMIFS('Saldos Iniciales'!$D:$D,'Saldos Iniciales'!$A:$A,"Cross Security Trust")+SUMIFS(Movimientos!$K$1:$K$1324,Movimientos!$C$1:$C$1324,"Cross Security Trust",Movimientos!$B$1:$B$1324,"&lt;="&amp;$B62)</f>
        <v>267503.99000000005</v>
      </c>
      <c r="J62" s="24">
        <f>SUMIFS('Saldos Iniciales'!$D:$D,'Saldos Iniciales'!$A:$A,"Electrama")+SUMIFS(Movimientos!$K$1:$K$1324,Movimientos!$C$1:$C$1324,"Electrama",Movimientos!$B$1:$B$1324,"&lt;="&amp;$B62)</f>
        <v>511.15999999999985</v>
      </c>
      <c r="K62" s="24">
        <f>SUMIFS('Saldos Iniciales'!$D:$D,'Saldos Iniciales'!$A:$A,"Sacred Valley Capital")+SUMIFS(Movimientos!$K$1:$K$1324,Movimientos!$C$1:$C$1324,"Sacred Valley Capital",Movimientos!$B$1:$B$1324,"&lt;="&amp;$B62)</f>
        <v>84.35</v>
      </c>
      <c r="L62" s="24">
        <f>SUMIFS('Saldos Iniciales'!$D:$D,'Saldos Iniciales'!$A:$A,"YWC Capital")+SUMIFS(Movimientos!$K$1:$K$1324,Movimientos!$C$1:$C$1324,"YWC Capital",Movimientos!$B$1:$B$1324,"&lt;="&amp;$B62)</f>
        <v>2237.77</v>
      </c>
      <c r="M62" s="24">
        <f>SUMIFS('Saldos Iniciales'!$D:$D,'Saldos Iniciales'!$A:$A,"Soweto")+SUMIFS(Movimientos!$K$1:$K$1324,Movimientos!$C$1:$C$1324,"Soweto",Movimientos!$B$1:$B$1324,"&lt;="&amp;$B62)</f>
        <v>3349.94</v>
      </c>
      <c r="N62" s="24">
        <f>SUMIFS('Saldos Iniciales'!$D:$D,'Saldos Iniciales'!$A:$A,"Green Stone Trust")+SUMIFS(Movimientos!$K$1:$K$1324,Movimientos!$C$1:$C$1324,"Green Stone Trust",Movimientos!$B$1:$B$1324,"&lt;="&amp;$B62)</f>
        <v>1968.99</v>
      </c>
      <c r="O62" s="24">
        <f>SUMIFS('Saldos Iniciales'!$D:$D,'Saldos Iniciales'!$A:$A,"EC Auto")+SUMIFS(Movimientos!$K$1:$K$1324,Movimientos!$C$1:$C$1324,"EC Auto",Movimientos!$B$1:$B$1324,"&lt;="&amp;$B62)</f>
        <v>382.69000000000005</v>
      </c>
      <c r="P62" s="24">
        <f>SUMIFS('Saldos Iniciales'!$D:$D,'Saldos Iniciales'!$A:$A,"Arbor Capital Properties")+SUMIFS(Movimientos!$K$1:$K$1324,Movimientos!$C$1:$C$1324,"Arbor Capital Properties",Movimientos!$B$1:$B$1324,"&lt;="&amp;$B62)</f>
        <v>1428.08</v>
      </c>
      <c r="Q62" s="24">
        <f>SUMIFS('Saldos Iniciales'!$D:$D,'Saldos Iniciales'!$A:$A,"2515 Overbrook")+SUMIFS(Movimientos!$K$1:$K$1324,Movimientos!$C$1:$C$1324,"2515 Overbrook",Movimientos!$B$1:$B$1324,"&lt;="&amp;$B62)</f>
        <v>31039.969999999961</v>
      </c>
      <c r="R62" s="24">
        <f>SUMIFS('Saldos Iniciales'!$D:$D,'Saldos Iniciales'!$A:$A,"112 Florida Ave")+SUMIFS(Movimientos!$K$1:$K$1324,Movimientos!$C$1:$C$1324,"112 Florida Ave",Movimientos!$B$1:$B$1324,"&lt;="&amp;$B62)</f>
        <v>20321.43</v>
      </c>
      <c r="S62" s="24">
        <f>SUMIFS('Saldos Iniciales'!$D:$D,'Saldos Iniciales'!$A:$A,"3628 Thomas Ave")+SUMIFS(Movimientos!$K$1:$K$1324,Movimientos!$C$1:$C$1324,"3628 Thomas Ave",Movimientos!$B$1:$B$1324,"&lt;="&amp;$B62)</f>
        <v>28458.6</v>
      </c>
      <c r="T62" s="24">
        <f>SUMIFS('Saldos Iniciales'!$D:$D,'Saldos Iniciales'!$A:$A,"Green Harbor Trust")+SUMIFS(Movimientos!$K$1:$K$1324,Movimientos!$C$1:$C$1324,"Green Harbor Trust",Movimientos!$B$1:$B$1324,"&lt;="&amp;$B62)</f>
        <v>345</v>
      </c>
      <c r="U62" s="24">
        <f>SUMIFS('Saldos Iniciales'!$D:$D,'Saldos Iniciales'!$A:$A,"Go Blue")+SUMIFS(Movimientos!$K$1:$K$1324,Movimientos!$C$1:$C$1324,"Go Blue",Movimientos!$B$1:$B$1324,"&lt;="&amp;$B62)</f>
        <v>23872.78</v>
      </c>
      <c r="V62" s="24">
        <f>IF(YEAR($B62)*100+MONTH($B62)&lt;--SUBSTITUTE(_xlfn.XLOOKUP("Pacha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LLC",Movimientos!$B$1:$B$1324,"&lt;="&amp;$B62))</f>
        <v>0</v>
      </c>
      <c r="W62" s="24">
        <f>IF(YEAR($B62)*100+MONTH($B62)&lt;--SUBSTITUTE(_xlfn.XLOOKUP("*CFT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Residence",Movimientos!$B$1:$B$1324,"&lt;="&amp;$B62))</f>
        <v>0</v>
      </c>
      <c r="X62" s="24">
        <f>IF(YEAR($B62)*100+MONTH($B62)&lt;--SUBSTITUTE(_xlfn.XLOOKUP("Carmen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Trust",Movimientos!$B$1:$B$1324,"&lt;="&amp;$B62))</f>
        <v>0</v>
      </c>
      <c r="Y62" s="24">
        <f>IF(YEAR($B62)*100+MONTH($B62)&lt;--SUBSTITUTE(_xlfn.XLOOKUP("SIYP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LLC",Movimientos!$B$1:$B$1324,"&lt;="&amp;$B62))</f>
        <v>0</v>
      </c>
      <c r="Z62" s="24">
        <f>IF(YEAR($B62)*100+MONTH($B62)&lt;--SUBSTITUTE(_xlfn.XLOOKUP("Prendamas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SRL",Movimientos!$B$1:$B$1324,"&lt;="&amp;$B62))</f>
        <v>0</v>
      </c>
      <c r="AA62" s="24">
        <f>IF(YEAR($B62)*100+MONTH($B62)&lt;--SUBSTITUTE(_xlfn.XLOOKUP("360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LLC",Movimientos!$B$1:$B$1324,"&lt;="&amp;$B62))</f>
        <v>0</v>
      </c>
      <c r="AB62" s="24">
        <f>IF(YEAR($B62)*100+MONTH($B62)&lt;--SUBSTITUTE(_xlfn.XLOOKUP("Five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",Movimientos!$B$1:$B$1324,"&lt;="&amp;$B62))</f>
        <v>0</v>
      </c>
      <c r="AC62" s="24">
        <f>IF(YEAR($B62)*100+MONTH($B62)&lt;--SUBSTITUTE(_xlfn.XLOOKUP("Nobe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Aparments",Movimientos!$B$1:$B$1324,"&lt;="&amp;$B62))</f>
        <v>0</v>
      </c>
      <c r="AD62" s="24">
        <f>IF(YEAR($B62)*100+MONTH($B62)&lt;--SUBSTITUTE(_xlfn.XLOOKUP("Don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Life",Movimientos!$B$1:$B$1324,"&lt;="&amp;$B62))</f>
        <v>0</v>
      </c>
      <c r="AE62" s="25">
        <f t="shared" si="1"/>
        <v>9334426.8099999987</v>
      </c>
    </row>
    <row r="63" spans="1:31" x14ac:dyDescent="0.3">
      <c r="A63" s="22">
        <f t="shared" si="2"/>
        <v>62</v>
      </c>
      <c r="B63" s="23">
        <v>46204</v>
      </c>
      <c r="C63" s="24">
        <f>SUMIFS('Saldos Iniciales'!$D:$D,'Saldos Iniciales'!$A:$A,"CFT Group")+SUMIFS(Movimientos!$K$1:$K$1324,Movimientos!$C$1:$C$1324,"CFT Group",Movimientos!$B$1:$B$1324,"&lt;="&amp;$B63)</f>
        <v>6295585.7500000009</v>
      </c>
      <c r="D63" s="24">
        <f>SUMIFS('Saldos Iniciales'!$D:$D,'Saldos Iniciales'!$A:$A,"M1B")+SUMIFS(Movimientos!$K$1:$K$1324,Movimientos!$C$1:$C$1324,"M1B",Movimientos!$B$1:$B$1324,"&lt;="&amp;$B63)</f>
        <v>79139.680000000168</v>
      </c>
      <c r="E63" s="24">
        <f>SUMIFS('Saldos Iniciales'!$D:$D,'Saldos Iniciales'!$A:$A,"Durand")+SUMIFS(Movimientos!$K$1:$K$1324,Movimientos!$C$1:$C$1324,"Durand",Movimientos!$B$1:$B$1324,"&lt;="&amp;$B63)</f>
        <v>1669.89</v>
      </c>
      <c r="F63" s="24">
        <f>SUMIFS('Saldos Iniciales'!$D:$D,'Saldos Iniciales'!$A:$A,"A&amp;M Imports")+SUMIFS(Movimientos!$K$1:$K$1324,Movimientos!$C$1:$C$1324,"A&amp;M Imports",Movimientos!$B$1:$B$1324,"&lt;="&amp;$B63)</f>
        <v>507936.37999999989</v>
      </c>
      <c r="G63" s="24">
        <f>SUMIFS('Saldos Iniciales'!$D:$D,'Saldos Iniciales'!$A:$A,"SSP Capital")+SUMIFS(Movimientos!$K$1:$K$1324,Movimientos!$C$1:$C$1324,"SSP Capital",Movimientos!$B$1:$B$1324,"&lt;="&amp;$B63)</f>
        <v>1696284.7299999995</v>
      </c>
      <c r="H63" s="24">
        <f>SUMIFS('Saldos Iniciales'!$D:$D,'Saldos Iniciales'!$A:$A,"Cross Family Trust")+SUMIFS(Movimientos!$K$1:$K$1324,Movimientos!$C$1:$C$1324,"Cross Family Trust",Movimientos!$B$1:$B$1324,"&lt;="&amp;$B63)</f>
        <v>390496.38</v>
      </c>
      <c r="I63" s="24">
        <f>SUMIFS('Saldos Iniciales'!$D:$D,'Saldos Iniciales'!$A:$A,"Cross Security Trust")+SUMIFS(Movimientos!$K$1:$K$1324,Movimientos!$C$1:$C$1324,"Cross Security Trust",Movimientos!$B$1:$B$1324,"&lt;="&amp;$B63)</f>
        <v>267503.99000000005</v>
      </c>
      <c r="J63" s="24">
        <f>SUMIFS('Saldos Iniciales'!$D:$D,'Saldos Iniciales'!$A:$A,"Electrama")+SUMIFS(Movimientos!$K$1:$K$1324,Movimientos!$C$1:$C$1324,"Electrama",Movimientos!$B$1:$B$1324,"&lt;="&amp;$B63)</f>
        <v>511.15999999999985</v>
      </c>
      <c r="K63" s="24">
        <f>SUMIFS('Saldos Iniciales'!$D:$D,'Saldos Iniciales'!$A:$A,"Sacred Valley Capital")+SUMIFS(Movimientos!$K$1:$K$1324,Movimientos!$C$1:$C$1324,"Sacred Valley Capital",Movimientos!$B$1:$B$1324,"&lt;="&amp;$B63)</f>
        <v>54.400000000000006</v>
      </c>
      <c r="L63" s="24">
        <f>SUMIFS('Saldos Iniciales'!$D:$D,'Saldos Iniciales'!$A:$A,"YWC Capital")+SUMIFS(Movimientos!$K$1:$K$1324,Movimientos!$C$1:$C$1324,"YWC Capital",Movimientos!$B$1:$B$1324,"&lt;="&amp;$B63)</f>
        <v>2207.8200000000002</v>
      </c>
      <c r="M63" s="24">
        <f>SUMIFS('Saldos Iniciales'!$D:$D,'Saldos Iniciales'!$A:$A,"Soweto")+SUMIFS(Movimientos!$K$1:$K$1324,Movimientos!$C$1:$C$1324,"Soweto",Movimientos!$B$1:$B$1324,"&lt;="&amp;$B63)</f>
        <v>3349.94</v>
      </c>
      <c r="N63" s="24">
        <f>SUMIFS('Saldos Iniciales'!$D:$D,'Saldos Iniciales'!$A:$A,"Green Stone Trust")+SUMIFS(Movimientos!$K$1:$K$1324,Movimientos!$C$1:$C$1324,"Green Stone Trust",Movimientos!$B$1:$B$1324,"&lt;="&amp;$B63)</f>
        <v>1968.99</v>
      </c>
      <c r="O63" s="24">
        <f>SUMIFS('Saldos Iniciales'!$D:$D,'Saldos Iniciales'!$A:$A,"EC Auto")+SUMIFS(Movimientos!$K$1:$K$1324,Movimientos!$C$1:$C$1324,"EC Auto",Movimientos!$B$1:$B$1324,"&lt;="&amp;$B63)</f>
        <v>382.69000000000005</v>
      </c>
      <c r="P63" s="24">
        <f>SUMIFS('Saldos Iniciales'!$D:$D,'Saldos Iniciales'!$A:$A,"Arbor Capital Properties")+SUMIFS(Movimientos!$K$1:$K$1324,Movimientos!$C$1:$C$1324,"Arbor Capital Properties",Movimientos!$B$1:$B$1324,"&lt;="&amp;$B63)</f>
        <v>1412.08</v>
      </c>
      <c r="Q63" s="24">
        <f>SUMIFS('Saldos Iniciales'!$D:$D,'Saldos Iniciales'!$A:$A,"2515 Overbrook")+SUMIFS(Movimientos!$K$1:$K$1324,Movimientos!$C$1:$C$1324,"2515 Overbrook",Movimientos!$B$1:$B$1324,"&lt;="&amp;$B63)</f>
        <v>22496.639999999959</v>
      </c>
      <c r="R63" s="24">
        <f>SUMIFS('Saldos Iniciales'!$D:$D,'Saldos Iniciales'!$A:$A,"112 Florida Ave")+SUMIFS(Movimientos!$K$1:$K$1324,Movimientos!$C$1:$C$1324,"112 Florida Ave",Movimientos!$B$1:$B$1324,"&lt;="&amp;$B63)</f>
        <v>10522.800000000003</v>
      </c>
      <c r="S63" s="24">
        <f>SUMIFS('Saldos Iniciales'!$D:$D,'Saldos Iniciales'!$A:$A,"3628 Thomas Ave")+SUMIFS(Movimientos!$K$1:$K$1324,Movimientos!$C$1:$C$1324,"3628 Thomas Ave",Movimientos!$B$1:$B$1324,"&lt;="&amp;$B63)</f>
        <v>19685.559999999998</v>
      </c>
      <c r="T63" s="24">
        <f>SUMIFS('Saldos Iniciales'!$D:$D,'Saldos Iniciales'!$A:$A,"Green Harbor Trust")+SUMIFS(Movimientos!$K$1:$K$1324,Movimientos!$C$1:$C$1324,"Green Harbor Trust",Movimientos!$B$1:$B$1324,"&lt;="&amp;$B63)</f>
        <v>345</v>
      </c>
      <c r="U63" s="24">
        <f>SUMIFS('Saldos Iniciales'!$D:$D,'Saldos Iniciales'!$A:$A,"Go Blue")+SUMIFS(Movimientos!$K$1:$K$1324,Movimientos!$C$1:$C$1324,"Go Blue",Movimientos!$B$1:$B$1324,"&lt;="&amp;$B63)</f>
        <v>23439.279999999999</v>
      </c>
      <c r="V63" s="24">
        <f>IF(YEAR($B63)*100+MONTH($B63)&lt;--SUBSTITUTE(_xlfn.XLOOKUP("Pacha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LLC",Movimientos!$B$1:$B$1324,"&lt;="&amp;$B63))</f>
        <v>0</v>
      </c>
      <c r="W63" s="24">
        <f>IF(YEAR($B63)*100+MONTH($B63)&lt;--SUBSTITUTE(_xlfn.XLOOKUP("*CFT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Residence",Movimientos!$B$1:$B$1324,"&lt;="&amp;$B63))</f>
        <v>0</v>
      </c>
      <c r="X63" s="24">
        <f>IF(YEAR($B63)*100+MONTH($B63)&lt;--SUBSTITUTE(_xlfn.XLOOKUP("Carmen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Trust",Movimientos!$B$1:$B$1324,"&lt;="&amp;$B63))</f>
        <v>0</v>
      </c>
      <c r="Y63" s="24">
        <f>IF(YEAR($B63)*100+MONTH($B63)&lt;--SUBSTITUTE(_xlfn.XLOOKUP("SIYP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LLC",Movimientos!$B$1:$B$1324,"&lt;="&amp;$B63))</f>
        <v>0</v>
      </c>
      <c r="Z63" s="24">
        <f>IF(YEAR($B63)*100+MONTH($B63)&lt;--SUBSTITUTE(_xlfn.XLOOKUP("Prendamas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SRL",Movimientos!$B$1:$B$1324,"&lt;="&amp;$B63))</f>
        <v>0</v>
      </c>
      <c r="AA63" s="24">
        <f>IF(YEAR($B63)*100+MONTH($B63)&lt;--SUBSTITUTE(_xlfn.XLOOKUP("360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LLC",Movimientos!$B$1:$B$1324,"&lt;="&amp;$B63))</f>
        <v>0</v>
      </c>
      <c r="AB63" s="24">
        <f>IF(YEAR($B63)*100+MONTH($B63)&lt;--SUBSTITUTE(_xlfn.XLOOKUP("Five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",Movimientos!$B$1:$B$1324,"&lt;="&amp;$B63))</f>
        <v>0</v>
      </c>
      <c r="AC63" s="24">
        <f>IF(YEAR($B63)*100+MONTH($B63)&lt;--SUBSTITUTE(_xlfn.XLOOKUP("Nobe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Aparments",Movimientos!$B$1:$B$1324,"&lt;="&amp;$B63))</f>
        <v>0</v>
      </c>
      <c r="AD63" s="24">
        <f>IF(YEAR($B63)*100+MONTH($B63)&lt;--SUBSTITUTE(_xlfn.XLOOKUP("Don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Life",Movimientos!$B$1:$B$1324,"&lt;="&amp;$B63))</f>
        <v>0</v>
      </c>
      <c r="AE63" s="25">
        <f t="shared" si="1"/>
        <v>9324993.160000002</v>
      </c>
    </row>
    <row r="64" spans="1:31" hidden="1" outlineLevel="1" x14ac:dyDescent="0.3">
      <c r="A64" s="22">
        <f t="shared" si="2"/>
        <v>63</v>
      </c>
      <c r="B64" s="23">
        <v>46205</v>
      </c>
      <c r="C64" s="24">
        <f>SUMIFS('Saldos Iniciales'!$D:$D,'Saldos Iniciales'!$A:$A,"CFT Group")+SUMIFS(Movimientos!$K$1:$K$1324,Movimientos!$C$1:$C$1324,"CFT Group",Movimientos!$B$1:$B$1324,"&lt;="&amp;$B64)</f>
        <v>5592585.7500000009</v>
      </c>
      <c r="D64" s="24">
        <f>SUMIFS('Saldos Iniciales'!$D:$D,'Saldos Iniciales'!$A:$A,"M1B")+SUMIFS(Movimientos!$K$1:$K$1324,Movimientos!$C$1:$C$1324,"M1B",Movimientos!$B$1:$B$1324,"&lt;="&amp;$B64)</f>
        <v>79139.680000000168</v>
      </c>
      <c r="E64" s="24">
        <f>SUMIFS('Saldos Iniciales'!$D:$D,'Saldos Iniciales'!$A:$A,"Durand")+SUMIFS(Movimientos!$K$1:$K$1324,Movimientos!$C$1:$C$1324,"Durand",Movimientos!$B$1:$B$1324,"&lt;="&amp;$B64)</f>
        <v>1669.89</v>
      </c>
      <c r="F64" s="24">
        <f>SUMIFS('Saldos Iniciales'!$D:$D,'Saldos Iniciales'!$A:$A,"A&amp;M Imports")+SUMIFS(Movimientos!$K$1:$K$1324,Movimientos!$C$1:$C$1324,"A&amp;M Imports",Movimientos!$B$1:$B$1324,"&lt;="&amp;$B64)</f>
        <v>350475.62999999989</v>
      </c>
      <c r="G64" s="24">
        <f>SUMIFS('Saldos Iniciales'!$D:$D,'Saldos Iniciales'!$A:$A,"SSP Capital")+SUMIFS(Movimientos!$K$1:$K$1324,Movimientos!$C$1:$C$1324,"SSP Capital",Movimientos!$B$1:$B$1324,"&lt;="&amp;$B64)</f>
        <v>1761564.8799999994</v>
      </c>
      <c r="H64" s="24">
        <f>SUMIFS('Saldos Iniciales'!$D:$D,'Saldos Iniciales'!$A:$A,"Cross Family Trust")+SUMIFS(Movimientos!$K$1:$K$1324,Movimientos!$C$1:$C$1324,"Cross Family Trust",Movimientos!$B$1:$B$1324,"&lt;="&amp;$B64)</f>
        <v>220496.38</v>
      </c>
      <c r="I64" s="24">
        <f>SUMIFS('Saldos Iniciales'!$D:$D,'Saldos Iniciales'!$A:$A,"Cross Security Trust")+SUMIFS(Movimientos!$K$1:$K$1324,Movimientos!$C$1:$C$1324,"Cross Security Trust",Movimientos!$B$1:$B$1324,"&lt;="&amp;$B64)</f>
        <v>267503.99000000005</v>
      </c>
      <c r="J64" s="24">
        <f>SUMIFS('Saldos Iniciales'!$D:$D,'Saldos Iniciales'!$A:$A,"Electrama")+SUMIFS(Movimientos!$K$1:$K$1324,Movimientos!$C$1:$C$1324,"Electrama",Movimientos!$B$1:$B$1324,"&lt;="&amp;$B64)</f>
        <v>511.15999999999985</v>
      </c>
      <c r="K64" s="24">
        <f>SUMIFS('Saldos Iniciales'!$D:$D,'Saldos Iniciales'!$A:$A,"Sacred Valley Capital")+SUMIFS(Movimientos!$K$1:$K$1324,Movimientos!$C$1:$C$1324,"Sacred Valley Capital",Movimientos!$B$1:$B$1324,"&lt;="&amp;$B64)</f>
        <v>54.400000000000006</v>
      </c>
      <c r="L64" s="24">
        <f>SUMIFS('Saldos Iniciales'!$D:$D,'Saldos Iniciales'!$A:$A,"YWC Capital")+SUMIFS(Movimientos!$K$1:$K$1324,Movimientos!$C$1:$C$1324,"YWC Capital",Movimientos!$B$1:$B$1324,"&lt;="&amp;$B64)</f>
        <v>2207.8200000000002</v>
      </c>
      <c r="M64" s="24">
        <f>SUMIFS('Saldos Iniciales'!$D:$D,'Saldos Iniciales'!$A:$A,"Soweto")+SUMIFS(Movimientos!$K$1:$K$1324,Movimientos!$C$1:$C$1324,"Soweto",Movimientos!$B$1:$B$1324,"&lt;="&amp;$B64)</f>
        <v>3349.94</v>
      </c>
      <c r="N64" s="24">
        <f>SUMIFS('Saldos Iniciales'!$D:$D,'Saldos Iniciales'!$A:$A,"Green Stone Trust")+SUMIFS(Movimientos!$K$1:$K$1324,Movimientos!$C$1:$C$1324,"Green Stone Trust",Movimientos!$B$1:$B$1324,"&lt;="&amp;$B64)</f>
        <v>1968.99</v>
      </c>
      <c r="O64" s="24">
        <f>SUMIFS('Saldos Iniciales'!$D:$D,'Saldos Iniciales'!$A:$A,"EC Auto")+SUMIFS(Movimientos!$K$1:$K$1324,Movimientos!$C$1:$C$1324,"EC Auto",Movimientos!$B$1:$B$1324,"&lt;="&amp;$B64)</f>
        <v>382.69000000000005</v>
      </c>
      <c r="P64" s="24">
        <f>SUMIFS('Saldos Iniciales'!$D:$D,'Saldos Iniciales'!$A:$A,"Arbor Capital Properties")+SUMIFS(Movimientos!$K$1:$K$1324,Movimientos!$C$1:$C$1324,"Arbor Capital Properties",Movimientos!$B$1:$B$1324,"&lt;="&amp;$B64)</f>
        <v>1412.08</v>
      </c>
      <c r="Q64" s="24">
        <f>SUMIFS('Saldos Iniciales'!$D:$D,'Saldos Iniciales'!$A:$A,"2515 Overbrook")+SUMIFS(Movimientos!$K$1:$K$1324,Movimientos!$C$1:$C$1324,"2515 Overbrook",Movimientos!$B$1:$B$1324,"&lt;="&amp;$B64)</f>
        <v>22496.639999999959</v>
      </c>
      <c r="R64" s="24">
        <f>SUMIFS('Saldos Iniciales'!$D:$D,'Saldos Iniciales'!$A:$A,"112 Florida Ave")+SUMIFS(Movimientos!$K$1:$K$1324,Movimientos!$C$1:$C$1324,"112 Florida Ave",Movimientos!$B$1:$B$1324,"&lt;="&amp;$B64)</f>
        <v>10522.800000000003</v>
      </c>
      <c r="S64" s="24">
        <f>SUMIFS('Saldos Iniciales'!$D:$D,'Saldos Iniciales'!$A:$A,"3628 Thomas Ave")+SUMIFS(Movimientos!$K$1:$K$1324,Movimientos!$C$1:$C$1324,"3628 Thomas Ave",Movimientos!$B$1:$B$1324,"&lt;="&amp;$B64)</f>
        <v>28485.559999999998</v>
      </c>
      <c r="T64" s="24">
        <f>SUMIFS('Saldos Iniciales'!$D:$D,'Saldos Iniciales'!$A:$A,"Green Harbor Trust")+SUMIFS(Movimientos!$K$1:$K$1324,Movimientos!$C$1:$C$1324,"Green Harbor Trust",Movimientos!$B$1:$B$1324,"&lt;="&amp;$B64)</f>
        <v>345</v>
      </c>
      <c r="U64" s="24">
        <f>SUMIFS('Saldos Iniciales'!$D:$D,'Saldos Iniciales'!$A:$A,"Go Blue")+SUMIFS(Movimientos!$K$1:$K$1324,Movimientos!$C$1:$C$1324,"Go Blue",Movimientos!$B$1:$B$1324,"&lt;="&amp;$B64)</f>
        <v>36241.22</v>
      </c>
      <c r="V64" s="24">
        <f>IF(YEAR($B64)*100+MONTH($B64)&lt;--SUBSTITUTE(_xlfn.XLOOKUP("Pacha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LLC",Movimientos!$B$1:$B$1324,"&lt;="&amp;$B64))</f>
        <v>0</v>
      </c>
      <c r="W64" s="24">
        <f>IF(YEAR($B64)*100+MONTH($B64)&lt;--SUBSTITUTE(_xlfn.XLOOKUP("*CFT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Residence",Movimientos!$B$1:$B$1324,"&lt;="&amp;$B64))</f>
        <v>0</v>
      </c>
      <c r="X64" s="24">
        <f>IF(YEAR($B64)*100+MONTH($B64)&lt;--SUBSTITUTE(_xlfn.XLOOKUP("Carmen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Trust",Movimientos!$B$1:$B$1324,"&lt;="&amp;$B64))</f>
        <v>0</v>
      </c>
      <c r="Y64" s="24">
        <f>IF(YEAR($B64)*100+MONTH($B64)&lt;--SUBSTITUTE(_xlfn.XLOOKUP("SIYP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LLC",Movimientos!$B$1:$B$1324,"&lt;="&amp;$B64))</f>
        <v>0</v>
      </c>
      <c r="Z64" s="24">
        <f>IF(YEAR($B64)*100+MONTH($B64)&lt;--SUBSTITUTE(_xlfn.XLOOKUP("Prendamas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SRL",Movimientos!$B$1:$B$1324,"&lt;="&amp;$B64))</f>
        <v>0</v>
      </c>
      <c r="AA64" s="24">
        <f>IF(YEAR($B64)*100+MONTH($B64)&lt;--SUBSTITUTE(_xlfn.XLOOKUP("360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LLC",Movimientos!$B$1:$B$1324,"&lt;="&amp;$B64))</f>
        <v>0</v>
      </c>
      <c r="AB64" s="24">
        <f>IF(YEAR($B64)*100+MONTH($B64)&lt;--SUBSTITUTE(_xlfn.XLOOKUP("Five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",Movimientos!$B$1:$B$1324,"&lt;="&amp;$B64))</f>
        <v>0</v>
      </c>
      <c r="AC64" s="24">
        <f>IF(YEAR($B64)*100+MONTH($B64)&lt;--SUBSTITUTE(_xlfn.XLOOKUP("Nobe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Aparments",Movimientos!$B$1:$B$1324,"&lt;="&amp;$B64))</f>
        <v>0</v>
      </c>
      <c r="AD64" s="24">
        <f>IF(YEAR($B64)*100+MONTH($B64)&lt;--SUBSTITUTE(_xlfn.XLOOKUP("Don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Life",Movimientos!$B$1:$B$1324,"&lt;="&amp;$B64))</f>
        <v>0</v>
      </c>
      <c r="AE64" s="25">
        <f t="shared" si="1"/>
        <v>8381414.5000000009</v>
      </c>
    </row>
    <row r="65" spans="1:31" hidden="1" outlineLevel="1" x14ac:dyDescent="0.3">
      <c r="A65" s="22">
        <f t="shared" si="2"/>
        <v>64</v>
      </c>
      <c r="B65" s="23">
        <v>46206</v>
      </c>
      <c r="C65" s="24">
        <f>SUMIFS('Saldos Iniciales'!$D:$D,'Saldos Iniciales'!$A:$A,"CFT Group")+SUMIFS(Movimientos!$K$1:$K$1324,Movimientos!$C$1:$C$1324,"CFT Group",Movimientos!$B$1:$B$1324,"&lt;="&amp;$B65)</f>
        <v>5592585.7500000009</v>
      </c>
      <c r="D65" s="24">
        <f>SUMIFS('Saldos Iniciales'!$D:$D,'Saldos Iniciales'!$A:$A,"M1B")+SUMIFS(Movimientos!$K$1:$K$1324,Movimientos!$C$1:$C$1324,"M1B",Movimientos!$B$1:$B$1324,"&lt;="&amp;$B65)</f>
        <v>79139.680000000168</v>
      </c>
      <c r="E65" s="24">
        <f>SUMIFS('Saldos Iniciales'!$D:$D,'Saldos Iniciales'!$A:$A,"Durand")+SUMIFS(Movimientos!$K$1:$K$1324,Movimientos!$C$1:$C$1324,"Durand",Movimientos!$B$1:$B$1324,"&lt;="&amp;$B65)</f>
        <v>1669.89</v>
      </c>
      <c r="F65" s="24">
        <f>SUMIFS('Saldos Iniciales'!$D:$D,'Saldos Iniciales'!$A:$A,"A&amp;M Imports")+SUMIFS(Movimientos!$K$1:$K$1324,Movimientos!$C$1:$C$1324,"A&amp;M Imports",Movimientos!$B$1:$B$1324,"&lt;="&amp;$B65)</f>
        <v>350475.62999999989</v>
      </c>
      <c r="G65" s="24">
        <f>SUMIFS('Saldos Iniciales'!$D:$D,'Saldos Iniciales'!$A:$A,"SSP Capital")+SUMIFS(Movimientos!$K$1:$K$1324,Movimientos!$C$1:$C$1324,"SSP Capital",Movimientos!$B$1:$B$1324,"&lt;="&amp;$B65)</f>
        <v>1761564.8799999994</v>
      </c>
      <c r="H65" s="24">
        <f>SUMIFS('Saldos Iniciales'!$D:$D,'Saldos Iniciales'!$A:$A,"Cross Family Trust")+SUMIFS(Movimientos!$K$1:$K$1324,Movimientos!$C$1:$C$1324,"Cross Family Trust",Movimientos!$B$1:$B$1324,"&lt;="&amp;$B65)</f>
        <v>220496.38</v>
      </c>
      <c r="I65" s="24">
        <f>SUMIFS('Saldos Iniciales'!$D:$D,'Saldos Iniciales'!$A:$A,"Cross Security Trust")+SUMIFS(Movimientos!$K$1:$K$1324,Movimientos!$C$1:$C$1324,"Cross Security Trust",Movimientos!$B$1:$B$1324,"&lt;="&amp;$B65)</f>
        <v>267503.99000000005</v>
      </c>
      <c r="J65" s="24">
        <f>SUMIFS('Saldos Iniciales'!$D:$D,'Saldos Iniciales'!$A:$A,"Electrama")+SUMIFS(Movimientos!$K$1:$K$1324,Movimientos!$C$1:$C$1324,"Electrama",Movimientos!$B$1:$B$1324,"&lt;="&amp;$B65)</f>
        <v>471.15999999999985</v>
      </c>
      <c r="K65" s="24">
        <f>SUMIFS('Saldos Iniciales'!$D:$D,'Saldos Iniciales'!$A:$A,"Sacred Valley Capital")+SUMIFS(Movimientos!$K$1:$K$1324,Movimientos!$C$1:$C$1324,"Sacred Valley Capital",Movimientos!$B$1:$B$1324,"&lt;="&amp;$B65)</f>
        <v>54.400000000000006</v>
      </c>
      <c r="L65" s="24">
        <f>SUMIFS('Saldos Iniciales'!$D:$D,'Saldos Iniciales'!$A:$A,"YWC Capital")+SUMIFS(Movimientos!$K$1:$K$1324,Movimientos!$C$1:$C$1324,"YWC Capital",Movimientos!$B$1:$B$1324,"&lt;="&amp;$B65)</f>
        <v>2207.8200000000002</v>
      </c>
      <c r="M65" s="24">
        <f>SUMIFS('Saldos Iniciales'!$D:$D,'Saldos Iniciales'!$A:$A,"Soweto")+SUMIFS(Movimientos!$K$1:$K$1324,Movimientos!$C$1:$C$1324,"Soweto",Movimientos!$B$1:$B$1324,"&lt;="&amp;$B65)</f>
        <v>3349.94</v>
      </c>
      <c r="N65" s="24">
        <f>SUMIFS('Saldos Iniciales'!$D:$D,'Saldos Iniciales'!$A:$A,"Green Stone Trust")+SUMIFS(Movimientos!$K$1:$K$1324,Movimientos!$C$1:$C$1324,"Green Stone Trust",Movimientos!$B$1:$B$1324,"&lt;="&amp;$B65)</f>
        <v>1968.99</v>
      </c>
      <c r="O65" s="24">
        <f>SUMIFS('Saldos Iniciales'!$D:$D,'Saldos Iniciales'!$A:$A,"EC Auto")+SUMIFS(Movimientos!$K$1:$K$1324,Movimientos!$C$1:$C$1324,"EC Auto",Movimientos!$B$1:$B$1324,"&lt;="&amp;$B65)</f>
        <v>382.69000000000005</v>
      </c>
      <c r="P65" s="24">
        <f>SUMIFS('Saldos Iniciales'!$D:$D,'Saldos Iniciales'!$A:$A,"Arbor Capital Properties")+SUMIFS(Movimientos!$K$1:$K$1324,Movimientos!$C$1:$C$1324,"Arbor Capital Properties",Movimientos!$B$1:$B$1324,"&lt;="&amp;$B65)</f>
        <v>1412.08</v>
      </c>
      <c r="Q65" s="24">
        <f>SUMIFS('Saldos Iniciales'!$D:$D,'Saldos Iniciales'!$A:$A,"2515 Overbrook")+SUMIFS(Movimientos!$K$1:$K$1324,Movimientos!$C$1:$C$1324,"2515 Overbrook",Movimientos!$B$1:$B$1324,"&lt;="&amp;$B65)</f>
        <v>22496.639999999959</v>
      </c>
      <c r="R65" s="24">
        <f>SUMIFS('Saldos Iniciales'!$D:$D,'Saldos Iniciales'!$A:$A,"112 Florida Ave")+SUMIFS(Movimientos!$K$1:$K$1324,Movimientos!$C$1:$C$1324,"112 Florida Ave",Movimientos!$B$1:$B$1324,"&lt;="&amp;$B65)</f>
        <v>10522.800000000003</v>
      </c>
      <c r="S65" s="24">
        <f>SUMIFS('Saldos Iniciales'!$D:$D,'Saldos Iniciales'!$A:$A,"3628 Thomas Ave")+SUMIFS(Movimientos!$K$1:$K$1324,Movimientos!$C$1:$C$1324,"3628 Thomas Ave",Movimientos!$B$1:$B$1324,"&lt;="&amp;$B65)</f>
        <v>28485.559999999998</v>
      </c>
      <c r="T65" s="24">
        <f>SUMIFS('Saldos Iniciales'!$D:$D,'Saldos Iniciales'!$A:$A,"Green Harbor Trust")+SUMIFS(Movimientos!$K$1:$K$1324,Movimientos!$C$1:$C$1324,"Green Harbor Trust",Movimientos!$B$1:$B$1324,"&lt;="&amp;$B65)</f>
        <v>345</v>
      </c>
      <c r="U65" s="24">
        <f>SUMIFS('Saldos Iniciales'!$D:$D,'Saldos Iniciales'!$A:$A,"Go Blue")+SUMIFS(Movimientos!$K$1:$K$1324,Movimientos!$C$1:$C$1324,"Go Blue",Movimientos!$B$1:$B$1324,"&lt;="&amp;$B65)</f>
        <v>33119.040000000001</v>
      </c>
      <c r="V65" s="24">
        <f>IF(YEAR($B65)*100+MONTH($B65)&lt;--SUBSTITUTE(_xlfn.XLOOKUP("Pacha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LLC",Movimientos!$B$1:$B$1324,"&lt;="&amp;$B65))</f>
        <v>0</v>
      </c>
      <c r="W65" s="24">
        <f>IF(YEAR($B65)*100+MONTH($B65)&lt;--SUBSTITUTE(_xlfn.XLOOKUP("*CFT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Residence",Movimientos!$B$1:$B$1324,"&lt;="&amp;$B65))</f>
        <v>0</v>
      </c>
      <c r="X65" s="24">
        <f>IF(YEAR($B65)*100+MONTH($B65)&lt;--SUBSTITUTE(_xlfn.XLOOKUP("Carmen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Trust",Movimientos!$B$1:$B$1324,"&lt;="&amp;$B65))</f>
        <v>0</v>
      </c>
      <c r="Y65" s="24">
        <f>IF(YEAR($B65)*100+MONTH($B65)&lt;--SUBSTITUTE(_xlfn.XLOOKUP("SIYP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LLC",Movimientos!$B$1:$B$1324,"&lt;="&amp;$B65))</f>
        <v>0</v>
      </c>
      <c r="Z65" s="24">
        <f>IF(YEAR($B65)*100+MONTH($B65)&lt;--SUBSTITUTE(_xlfn.XLOOKUP("Prendamas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SRL",Movimientos!$B$1:$B$1324,"&lt;="&amp;$B65))</f>
        <v>0</v>
      </c>
      <c r="AA65" s="24">
        <f>IF(YEAR($B65)*100+MONTH($B65)&lt;--SUBSTITUTE(_xlfn.XLOOKUP("360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LLC",Movimientos!$B$1:$B$1324,"&lt;="&amp;$B65))</f>
        <v>0</v>
      </c>
      <c r="AB65" s="24">
        <f>IF(YEAR($B65)*100+MONTH($B65)&lt;--SUBSTITUTE(_xlfn.XLOOKUP("Five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",Movimientos!$B$1:$B$1324,"&lt;="&amp;$B65))</f>
        <v>0</v>
      </c>
      <c r="AC65" s="24">
        <f>IF(YEAR($B65)*100+MONTH($B65)&lt;--SUBSTITUTE(_xlfn.XLOOKUP("Nobe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Aparments",Movimientos!$B$1:$B$1324,"&lt;="&amp;$B65))</f>
        <v>0</v>
      </c>
      <c r="AD65" s="24">
        <f>IF(YEAR($B65)*100+MONTH($B65)&lt;--SUBSTITUTE(_xlfn.XLOOKUP("Don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Life",Movimientos!$B$1:$B$1324,"&lt;="&amp;$B65))</f>
        <v>0</v>
      </c>
      <c r="AE65" s="25">
        <f t="shared" ref="AE65:AE96" si="3">SUM(C65:AD65)</f>
        <v>8378252.3200000012</v>
      </c>
    </row>
    <row r="66" spans="1:31" hidden="1" outlineLevel="1" x14ac:dyDescent="0.3">
      <c r="A66" s="22">
        <f t="shared" si="2"/>
        <v>65</v>
      </c>
      <c r="B66" s="23">
        <v>46207</v>
      </c>
      <c r="C66" s="24">
        <f>SUMIFS('Saldos Iniciales'!$D:$D,'Saldos Iniciales'!$A:$A,"CFT Group")+SUMIFS(Movimientos!$K$1:$K$1324,Movimientos!$C$1:$C$1324,"CFT Group",Movimientos!$B$1:$B$1324,"&lt;="&amp;$B66)</f>
        <v>5592585.7500000009</v>
      </c>
      <c r="D66" s="24">
        <f>SUMIFS('Saldos Iniciales'!$D:$D,'Saldos Iniciales'!$A:$A,"M1B")+SUMIFS(Movimientos!$K$1:$K$1324,Movimientos!$C$1:$C$1324,"M1B",Movimientos!$B$1:$B$1324,"&lt;="&amp;$B66)</f>
        <v>79139.680000000168</v>
      </c>
      <c r="E66" s="24">
        <f>SUMIFS('Saldos Iniciales'!$D:$D,'Saldos Iniciales'!$A:$A,"Durand")+SUMIFS(Movimientos!$K$1:$K$1324,Movimientos!$C$1:$C$1324,"Durand",Movimientos!$B$1:$B$1324,"&lt;="&amp;$B66)</f>
        <v>1669.89</v>
      </c>
      <c r="F66" s="24">
        <f>SUMIFS('Saldos Iniciales'!$D:$D,'Saldos Iniciales'!$A:$A,"A&amp;M Imports")+SUMIFS(Movimientos!$K$1:$K$1324,Movimientos!$C$1:$C$1324,"A&amp;M Imports",Movimientos!$B$1:$B$1324,"&lt;="&amp;$B66)</f>
        <v>350475.62999999989</v>
      </c>
      <c r="G66" s="24">
        <f>SUMIFS('Saldos Iniciales'!$D:$D,'Saldos Iniciales'!$A:$A,"SSP Capital")+SUMIFS(Movimientos!$K$1:$K$1324,Movimientos!$C$1:$C$1324,"SSP Capital",Movimientos!$B$1:$B$1324,"&lt;="&amp;$B66)</f>
        <v>1761564.8799999994</v>
      </c>
      <c r="H66" s="24">
        <f>SUMIFS('Saldos Iniciales'!$D:$D,'Saldos Iniciales'!$A:$A,"Cross Family Trust")+SUMIFS(Movimientos!$K$1:$K$1324,Movimientos!$C$1:$C$1324,"Cross Family Trust",Movimientos!$B$1:$B$1324,"&lt;="&amp;$B66)</f>
        <v>220496.38</v>
      </c>
      <c r="I66" s="24">
        <f>SUMIFS('Saldos Iniciales'!$D:$D,'Saldos Iniciales'!$A:$A,"Cross Security Trust")+SUMIFS(Movimientos!$K$1:$K$1324,Movimientos!$C$1:$C$1324,"Cross Security Trust",Movimientos!$B$1:$B$1324,"&lt;="&amp;$B66)</f>
        <v>267503.99000000005</v>
      </c>
      <c r="J66" s="24">
        <f>SUMIFS('Saldos Iniciales'!$D:$D,'Saldos Iniciales'!$A:$A,"Electrama")+SUMIFS(Movimientos!$K$1:$K$1324,Movimientos!$C$1:$C$1324,"Electrama",Movimientos!$B$1:$B$1324,"&lt;="&amp;$B66)</f>
        <v>471.15999999999985</v>
      </c>
      <c r="K66" s="24">
        <f>SUMIFS('Saldos Iniciales'!$D:$D,'Saldos Iniciales'!$A:$A,"Sacred Valley Capital")+SUMIFS(Movimientos!$K$1:$K$1324,Movimientos!$C$1:$C$1324,"Sacred Valley Capital",Movimientos!$B$1:$B$1324,"&lt;="&amp;$B66)</f>
        <v>54.400000000000006</v>
      </c>
      <c r="L66" s="24">
        <f>SUMIFS('Saldos Iniciales'!$D:$D,'Saldos Iniciales'!$A:$A,"YWC Capital")+SUMIFS(Movimientos!$K$1:$K$1324,Movimientos!$C$1:$C$1324,"YWC Capital",Movimientos!$B$1:$B$1324,"&lt;="&amp;$B66)</f>
        <v>2207.8200000000002</v>
      </c>
      <c r="M66" s="24">
        <f>SUMIFS('Saldos Iniciales'!$D:$D,'Saldos Iniciales'!$A:$A,"Soweto")+SUMIFS(Movimientos!$K$1:$K$1324,Movimientos!$C$1:$C$1324,"Soweto",Movimientos!$B$1:$B$1324,"&lt;="&amp;$B66)</f>
        <v>3349.94</v>
      </c>
      <c r="N66" s="24">
        <f>SUMIFS('Saldos Iniciales'!$D:$D,'Saldos Iniciales'!$A:$A,"Green Stone Trust")+SUMIFS(Movimientos!$K$1:$K$1324,Movimientos!$C$1:$C$1324,"Green Stone Trust",Movimientos!$B$1:$B$1324,"&lt;="&amp;$B66)</f>
        <v>1968.99</v>
      </c>
      <c r="O66" s="24">
        <f>SUMIFS('Saldos Iniciales'!$D:$D,'Saldos Iniciales'!$A:$A,"EC Auto")+SUMIFS(Movimientos!$K$1:$K$1324,Movimientos!$C$1:$C$1324,"EC Auto",Movimientos!$B$1:$B$1324,"&lt;="&amp;$B66)</f>
        <v>382.69000000000005</v>
      </c>
      <c r="P66" s="24">
        <f>SUMIFS('Saldos Iniciales'!$D:$D,'Saldos Iniciales'!$A:$A,"Arbor Capital Properties")+SUMIFS(Movimientos!$K$1:$K$1324,Movimientos!$C$1:$C$1324,"Arbor Capital Properties",Movimientos!$B$1:$B$1324,"&lt;="&amp;$B66)</f>
        <v>1412.08</v>
      </c>
      <c r="Q66" s="24">
        <f>SUMIFS('Saldos Iniciales'!$D:$D,'Saldos Iniciales'!$A:$A,"2515 Overbrook")+SUMIFS(Movimientos!$K$1:$K$1324,Movimientos!$C$1:$C$1324,"2515 Overbrook",Movimientos!$B$1:$B$1324,"&lt;="&amp;$B66)</f>
        <v>22496.639999999959</v>
      </c>
      <c r="R66" s="24">
        <f>SUMIFS('Saldos Iniciales'!$D:$D,'Saldos Iniciales'!$A:$A,"112 Florida Ave")+SUMIFS(Movimientos!$K$1:$K$1324,Movimientos!$C$1:$C$1324,"112 Florida Ave",Movimientos!$B$1:$B$1324,"&lt;="&amp;$B66)</f>
        <v>10522.800000000003</v>
      </c>
      <c r="S66" s="24">
        <f>SUMIFS('Saldos Iniciales'!$D:$D,'Saldos Iniciales'!$A:$A,"3628 Thomas Ave")+SUMIFS(Movimientos!$K$1:$K$1324,Movimientos!$C$1:$C$1324,"3628 Thomas Ave",Movimientos!$B$1:$B$1324,"&lt;="&amp;$B66)</f>
        <v>28485.559999999998</v>
      </c>
      <c r="T66" s="24">
        <f>SUMIFS('Saldos Iniciales'!$D:$D,'Saldos Iniciales'!$A:$A,"Green Harbor Trust")+SUMIFS(Movimientos!$K$1:$K$1324,Movimientos!$C$1:$C$1324,"Green Harbor Trust",Movimientos!$B$1:$B$1324,"&lt;="&amp;$B66)</f>
        <v>345</v>
      </c>
      <c r="U66" s="24">
        <f>SUMIFS('Saldos Iniciales'!$D:$D,'Saldos Iniciales'!$A:$A,"Go Blue")+SUMIFS(Movimientos!$K$1:$K$1324,Movimientos!$C$1:$C$1324,"Go Blue",Movimientos!$B$1:$B$1324,"&lt;="&amp;$B66)</f>
        <v>33119.040000000001</v>
      </c>
      <c r="V66" s="24">
        <f>IF(YEAR($B66)*100+MONTH($B66)&lt;--SUBSTITUTE(_xlfn.XLOOKUP("Pacha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LLC",Movimientos!$B$1:$B$1324,"&lt;="&amp;$B66))</f>
        <v>0</v>
      </c>
      <c r="W66" s="24">
        <f>IF(YEAR($B66)*100+MONTH($B66)&lt;--SUBSTITUTE(_xlfn.XLOOKUP("*CFT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Residence",Movimientos!$B$1:$B$1324,"&lt;="&amp;$B66))</f>
        <v>0</v>
      </c>
      <c r="X66" s="24">
        <f>IF(YEAR($B66)*100+MONTH($B66)&lt;--SUBSTITUTE(_xlfn.XLOOKUP("Carmen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Trust",Movimientos!$B$1:$B$1324,"&lt;="&amp;$B66))</f>
        <v>0</v>
      </c>
      <c r="Y66" s="24">
        <f>IF(YEAR($B66)*100+MONTH($B66)&lt;--SUBSTITUTE(_xlfn.XLOOKUP("SIYP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LLC",Movimientos!$B$1:$B$1324,"&lt;="&amp;$B66))</f>
        <v>0</v>
      </c>
      <c r="Z66" s="24">
        <f>IF(YEAR($B66)*100+MONTH($B66)&lt;--SUBSTITUTE(_xlfn.XLOOKUP("Prendamas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SRL",Movimientos!$B$1:$B$1324,"&lt;="&amp;$B66))</f>
        <v>0</v>
      </c>
      <c r="AA66" s="24">
        <f>IF(YEAR($B66)*100+MONTH($B66)&lt;--SUBSTITUTE(_xlfn.XLOOKUP("360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LLC",Movimientos!$B$1:$B$1324,"&lt;="&amp;$B66))</f>
        <v>0</v>
      </c>
      <c r="AB66" s="24">
        <f>IF(YEAR($B66)*100+MONTH($B66)&lt;--SUBSTITUTE(_xlfn.XLOOKUP("Five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",Movimientos!$B$1:$B$1324,"&lt;="&amp;$B66))</f>
        <v>0</v>
      </c>
      <c r="AC66" s="24">
        <f>IF(YEAR($B66)*100+MONTH($B66)&lt;--SUBSTITUTE(_xlfn.XLOOKUP("Nobe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Aparments",Movimientos!$B$1:$B$1324,"&lt;="&amp;$B66))</f>
        <v>0</v>
      </c>
      <c r="AD66" s="24">
        <f>IF(YEAR($B66)*100+MONTH($B66)&lt;--SUBSTITUTE(_xlfn.XLOOKUP("Don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Life",Movimientos!$B$1:$B$1324,"&lt;="&amp;$B66))</f>
        <v>0</v>
      </c>
      <c r="AE66" s="25">
        <f t="shared" si="3"/>
        <v>8378252.3200000012</v>
      </c>
    </row>
    <row r="67" spans="1:31" hidden="1" outlineLevel="1" x14ac:dyDescent="0.3">
      <c r="A67" s="22">
        <f t="shared" si="2"/>
        <v>66</v>
      </c>
      <c r="B67" s="23">
        <v>46208</v>
      </c>
      <c r="C67" s="24">
        <f>SUMIFS('Saldos Iniciales'!$D:$D,'Saldos Iniciales'!$A:$A,"CFT Group")+SUMIFS(Movimientos!$K$1:$K$1324,Movimientos!$C$1:$C$1324,"CFT Group",Movimientos!$B$1:$B$1324,"&lt;="&amp;$B67)</f>
        <v>5592585.7500000009</v>
      </c>
      <c r="D67" s="24">
        <f>SUMIFS('Saldos Iniciales'!$D:$D,'Saldos Iniciales'!$A:$A,"M1B")+SUMIFS(Movimientos!$K$1:$K$1324,Movimientos!$C$1:$C$1324,"M1B",Movimientos!$B$1:$B$1324,"&lt;="&amp;$B67)</f>
        <v>79139.680000000168</v>
      </c>
      <c r="E67" s="24">
        <f>SUMIFS('Saldos Iniciales'!$D:$D,'Saldos Iniciales'!$A:$A,"Durand")+SUMIFS(Movimientos!$K$1:$K$1324,Movimientos!$C$1:$C$1324,"Durand",Movimientos!$B$1:$B$1324,"&lt;="&amp;$B67)</f>
        <v>1669.89</v>
      </c>
      <c r="F67" s="24">
        <f>SUMIFS('Saldos Iniciales'!$D:$D,'Saldos Iniciales'!$A:$A,"A&amp;M Imports")+SUMIFS(Movimientos!$K$1:$K$1324,Movimientos!$C$1:$C$1324,"A&amp;M Imports",Movimientos!$B$1:$B$1324,"&lt;="&amp;$B67)</f>
        <v>350475.62999999989</v>
      </c>
      <c r="G67" s="24">
        <f>SUMIFS('Saldos Iniciales'!$D:$D,'Saldos Iniciales'!$A:$A,"SSP Capital")+SUMIFS(Movimientos!$K$1:$K$1324,Movimientos!$C$1:$C$1324,"SSP Capital",Movimientos!$B$1:$B$1324,"&lt;="&amp;$B67)</f>
        <v>1761564.8799999994</v>
      </c>
      <c r="H67" s="24">
        <f>SUMIFS('Saldos Iniciales'!$D:$D,'Saldos Iniciales'!$A:$A,"Cross Family Trust")+SUMIFS(Movimientos!$K$1:$K$1324,Movimientos!$C$1:$C$1324,"Cross Family Trust",Movimientos!$B$1:$B$1324,"&lt;="&amp;$B67)</f>
        <v>220496.38</v>
      </c>
      <c r="I67" s="24">
        <f>SUMIFS('Saldos Iniciales'!$D:$D,'Saldos Iniciales'!$A:$A,"Cross Security Trust")+SUMIFS(Movimientos!$K$1:$K$1324,Movimientos!$C$1:$C$1324,"Cross Security Trust",Movimientos!$B$1:$B$1324,"&lt;="&amp;$B67)</f>
        <v>267503.99000000005</v>
      </c>
      <c r="J67" s="24">
        <f>SUMIFS('Saldos Iniciales'!$D:$D,'Saldos Iniciales'!$A:$A,"Electrama")+SUMIFS(Movimientos!$K$1:$K$1324,Movimientos!$C$1:$C$1324,"Electrama",Movimientos!$B$1:$B$1324,"&lt;="&amp;$B67)</f>
        <v>471.15999999999985</v>
      </c>
      <c r="K67" s="24">
        <f>SUMIFS('Saldos Iniciales'!$D:$D,'Saldos Iniciales'!$A:$A,"Sacred Valley Capital")+SUMIFS(Movimientos!$K$1:$K$1324,Movimientos!$C$1:$C$1324,"Sacred Valley Capital",Movimientos!$B$1:$B$1324,"&lt;="&amp;$B67)</f>
        <v>54.400000000000006</v>
      </c>
      <c r="L67" s="24">
        <f>SUMIFS('Saldos Iniciales'!$D:$D,'Saldos Iniciales'!$A:$A,"YWC Capital")+SUMIFS(Movimientos!$K$1:$K$1324,Movimientos!$C$1:$C$1324,"YWC Capital",Movimientos!$B$1:$B$1324,"&lt;="&amp;$B67)</f>
        <v>2207.8200000000002</v>
      </c>
      <c r="M67" s="24">
        <f>SUMIFS('Saldos Iniciales'!$D:$D,'Saldos Iniciales'!$A:$A,"Soweto")+SUMIFS(Movimientos!$K$1:$K$1324,Movimientos!$C$1:$C$1324,"Soweto",Movimientos!$B$1:$B$1324,"&lt;="&amp;$B67)</f>
        <v>3349.94</v>
      </c>
      <c r="N67" s="24">
        <f>SUMIFS('Saldos Iniciales'!$D:$D,'Saldos Iniciales'!$A:$A,"Green Stone Trust")+SUMIFS(Movimientos!$K$1:$K$1324,Movimientos!$C$1:$C$1324,"Green Stone Trust",Movimientos!$B$1:$B$1324,"&lt;="&amp;$B67)</f>
        <v>1968.99</v>
      </c>
      <c r="O67" s="24">
        <f>SUMIFS('Saldos Iniciales'!$D:$D,'Saldos Iniciales'!$A:$A,"EC Auto")+SUMIFS(Movimientos!$K$1:$K$1324,Movimientos!$C$1:$C$1324,"EC Auto",Movimientos!$B$1:$B$1324,"&lt;="&amp;$B67)</f>
        <v>382.69000000000005</v>
      </c>
      <c r="P67" s="24">
        <f>SUMIFS('Saldos Iniciales'!$D:$D,'Saldos Iniciales'!$A:$A,"Arbor Capital Properties")+SUMIFS(Movimientos!$K$1:$K$1324,Movimientos!$C$1:$C$1324,"Arbor Capital Properties",Movimientos!$B$1:$B$1324,"&lt;="&amp;$B67)</f>
        <v>1412.08</v>
      </c>
      <c r="Q67" s="24">
        <f>SUMIFS('Saldos Iniciales'!$D:$D,'Saldos Iniciales'!$A:$A,"2515 Overbrook")+SUMIFS(Movimientos!$K$1:$K$1324,Movimientos!$C$1:$C$1324,"2515 Overbrook",Movimientos!$B$1:$B$1324,"&lt;="&amp;$B67)</f>
        <v>22496.639999999959</v>
      </c>
      <c r="R67" s="24">
        <f>SUMIFS('Saldos Iniciales'!$D:$D,'Saldos Iniciales'!$A:$A,"112 Florida Ave")+SUMIFS(Movimientos!$K$1:$K$1324,Movimientos!$C$1:$C$1324,"112 Florida Ave",Movimientos!$B$1:$B$1324,"&lt;="&amp;$B67)</f>
        <v>10522.800000000003</v>
      </c>
      <c r="S67" s="24">
        <f>SUMIFS('Saldos Iniciales'!$D:$D,'Saldos Iniciales'!$A:$A,"3628 Thomas Ave")+SUMIFS(Movimientos!$K$1:$K$1324,Movimientos!$C$1:$C$1324,"3628 Thomas Ave",Movimientos!$B$1:$B$1324,"&lt;="&amp;$B67)</f>
        <v>28485.559999999998</v>
      </c>
      <c r="T67" s="24">
        <f>SUMIFS('Saldos Iniciales'!$D:$D,'Saldos Iniciales'!$A:$A,"Green Harbor Trust")+SUMIFS(Movimientos!$K$1:$K$1324,Movimientos!$C$1:$C$1324,"Green Harbor Trust",Movimientos!$B$1:$B$1324,"&lt;="&amp;$B67)</f>
        <v>345</v>
      </c>
      <c r="U67" s="24">
        <f>SUMIFS('Saldos Iniciales'!$D:$D,'Saldos Iniciales'!$A:$A,"Go Blue")+SUMIFS(Movimientos!$K$1:$K$1324,Movimientos!$C$1:$C$1324,"Go Blue",Movimientos!$B$1:$B$1324,"&lt;="&amp;$B67)</f>
        <v>33119.040000000001</v>
      </c>
      <c r="V67" s="24">
        <f>IF(YEAR($B67)*100+MONTH($B67)&lt;--SUBSTITUTE(_xlfn.XLOOKUP("Pacha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LLC",Movimientos!$B$1:$B$1324,"&lt;="&amp;$B67))</f>
        <v>0</v>
      </c>
      <c r="W67" s="24">
        <f>IF(YEAR($B67)*100+MONTH($B67)&lt;--SUBSTITUTE(_xlfn.XLOOKUP("*CFT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Residence",Movimientos!$B$1:$B$1324,"&lt;="&amp;$B67))</f>
        <v>0</v>
      </c>
      <c r="X67" s="24">
        <f>IF(YEAR($B67)*100+MONTH($B67)&lt;--SUBSTITUTE(_xlfn.XLOOKUP("Carmen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Trust",Movimientos!$B$1:$B$1324,"&lt;="&amp;$B67))</f>
        <v>0</v>
      </c>
      <c r="Y67" s="24">
        <f>IF(YEAR($B67)*100+MONTH($B67)&lt;--SUBSTITUTE(_xlfn.XLOOKUP("SIYP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LLC",Movimientos!$B$1:$B$1324,"&lt;="&amp;$B67))</f>
        <v>0</v>
      </c>
      <c r="Z67" s="24">
        <f>IF(YEAR($B67)*100+MONTH($B67)&lt;--SUBSTITUTE(_xlfn.XLOOKUP("Prendamas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SRL",Movimientos!$B$1:$B$1324,"&lt;="&amp;$B67))</f>
        <v>0</v>
      </c>
      <c r="AA67" s="24">
        <f>IF(YEAR($B67)*100+MONTH($B67)&lt;--SUBSTITUTE(_xlfn.XLOOKUP("360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LLC",Movimientos!$B$1:$B$1324,"&lt;="&amp;$B67))</f>
        <v>0</v>
      </c>
      <c r="AB67" s="24">
        <f>IF(YEAR($B67)*100+MONTH($B67)&lt;--SUBSTITUTE(_xlfn.XLOOKUP("Five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",Movimientos!$B$1:$B$1324,"&lt;="&amp;$B67))</f>
        <v>0</v>
      </c>
      <c r="AC67" s="24">
        <f>IF(YEAR($B67)*100+MONTH($B67)&lt;--SUBSTITUTE(_xlfn.XLOOKUP("Nobe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Aparments",Movimientos!$B$1:$B$1324,"&lt;="&amp;$B67))</f>
        <v>0</v>
      </c>
      <c r="AD67" s="24">
        <f>IF(YEAR($B67)*100+MONTH($B67)&lt;--SUBSTITUTE(_xlfn.XLOOKUP("Don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Life",Movimientos!$B$1:$B$1324,"&lt;="&amp;$B67))</f>
        <v>0</v>
      </c>
      <c r="AE67" s="25">
        <f t="shared" si="3"/>
        <v>8378252.3200000012</v>
      </c>
    </row>
    <row r="68" spans="1:31" hidden="1" outlineLevel="1" x14ac:dyDescent="0.3">
      <c r="A68" s="22">
        <f t="shared" si="2"/>
        <v>67</v>
      </c>
      <c r="B68" s="23">
        <v>46209</v>
      </c>
      <c r="C68" s="24">
        <f>SUMIFS('Saldos Iniciales'!$D:$D,'Saldos Iniciales'!$A:$A,"CFT Group")+SUMIFS(Movimientos!$K$1:$K$1324,Movimientos!$C$1:$C$1324,"CFT Group",Movimientos!$B$1:$B$1324,"&lt;="&amp;$B68)</f>
        <v>5592585.7500000009</v>
      </c>
      <c r="D68" s="24">
        <f>SUMIFS('Saldos Iniciales'!$D:$D,'Saldos Iniciales'!$A:$A,"M1B")+SUMIFS(Movimientos!$K$1:$K$1324,Movimientos!$C$1:$C$1324,"M1B",Movimientos!$B$1:$B$1324,"&lt;="&amp;$B68)</f>
        <v>79139.680000000168</v>
      </c>
      <c r="E68" s="24">
        <f>SUMIFS('Saldos Iniciales'!$D:$D,'Saldos Iniciales'!$A:$A,"Durand")+SUMIFS(Movimientos!$K$1:$K$1324,Movimientos!$C$1:$C$1324,"Durand",Movimientos!$B$1:$B$1324,"&lt;="&amp;$B68)</f>
        <v>1669.89</v>
      </c>
      <c r="F68" s="24">
        <f>SUMIFS('Saldos Iniciales'!$D:$D,'Saldos Iniciales'!$A:$A,"A&amp;M Imports")+SUMIFS(Movimientos!$K$1:$K$1324,Movimientos!$C$1:$C$1324,"A&amp;M Imports",Movimientos!$B$1:$B$1324,"&lt;="&amp;$B68)</f>
        <v>350475.62999999989</v>
      </c>
      <c r="G68" s="24">
        <f>SUMIFS('Saldos Iniciales'!$D:$D,'Saldos Iniciales'!$A:$A,"SSP Capital")+SUMIFS(Movimientos!$K$1:$K$1324,Movimientos!$C$1:$C$1324,"SSP Capital",Movimientos!$B$1:$B$1324,"&lt;="&amp;$B68)</f>
        <v>1761026.4599999995</v>
      </c>
      <c r="H68" s="24">
        <f>SUMIFS('Saldos Iniciales'!$D:$D,'Saldos Iniciales'!$A:$A,"Cross Family Trust")+SUMIFS(Movimientos!$K$1:$K$1324,Movimientos!$C$1:$C$1324,"Cross Family Trust",Movimientos!$B$1:$B$1324,"&lt;="&amp;$B68)</f>
        <v>220496.38</v>
      </c>
      <c r="I68" s="24">
        <f>SUMIFS('Saldos Iniciales'!$D:$D,'Saldos Iniciales'!$A:$A,"Cross Security Trust")+SUMIFS(Movimientos!$K$1:$K$1324,Movimientos!$C$1:$C$1324,"Cross Security Trust",Movimientos!$B$1:$B$1324,"&lt;="&amp;$B68)</f>
        <v>267503.99000000005</v>
      </c>
      <c r="J68" s="24">
        <f>SUMIFS('Saldos Iniciales'!$D:$D,'Saldos Iniciales'!$A:$A,"Electrama")+SUMIFS(Movimientos!$K$1:$K$1324,Movimientos!$C$1:$C$1324,"Electrama",Movimientos!$B$1:$B$1324,"&lt;="&amp;$B68)</f>
        <v>471.15999999999985</v>
      </c>
      <c r="K68" s="24">
        <f>SUMIFS('Saldos Iniciales'!$D:$D,'Saldos Iniciales'!$A:$A,"Sacred Valley Capital")+SUMIFS(Movimientos!$K$1:$K$1324,Movimientos!$C$1:$C$1324,"Sacred Valley Capital",Movimientos!$B$1:$B$1324,"&lt;="&amp;$B68)</f>
        <v>54.400000000000006</v>
      </c>
      <c r="L68" s="24">
        <f>SUMIFS('Saldos Iniciales'!$D:$D,'Saldos Iniciales'!$A:$A,"YWC Capital")+SUMIFS(Movimientos!$K$1:$K$1324,Movimientos!$C$1:$C$1324,"YWC Capital",Movimientos!$B$1:$B$1324,"&lt;="&amp;$B68)</f>
        <v>2207.8200000000002</v>
      </c>
      <c r="M68" s="24">
        <f>SUMIFS('Saldos Iniciales'!$D:$D,'Saldos Iniciales'!$A:$A,"Soweto")+SUMIFS(Movimientos!$K$1:$K$1324,Movimientos!$C$1:$C$1324,"Soweto",Movimientos!$B$1:$B$1324,"&lt;="&amp;$B68)</f>
        <v>3349.94</v>
      </c>
      <c r="N68" s="24">
        <f>SUMIFS('Saldos Iniciales'!$D:$D,'Saldos Iniciales'!$A:$A,"Green Stone Trust")+SUMIFS(Movimientos!$K$1:$K$1324,Movimientos!$C$1:$C$1324,"Green Stone Trust",Movimientos!$B$1:$B$1324,"&lt;="&amp;$B68)</f>
        <v>1968.99</v>
      </c>
      <c r="O68" s="24">
        <f>SUMIFS('Saldos Iniciales'!$D:$D,'Saldos Iniciales'!$A:$A,"EC Auto")+SUMIFS(Movimientos!$K$1:$K$1324,Movimientos!$C$1:$C$1324,"EC Auto",Movimientos!$B$1:$B$1324,"&lt;="&amp;$B68)</f>
        <v>382.69000000000005</v>
      </c>
      <c r="P68" s="24">
        <f>SUMIFS('Saldos Iniciales'!$D:$D,'Saldos Iniciales'!$A:$A,"Arbor Capital Properties")+SUMIFS(Movimientos!$K$1:$K$1324,Movimientos!$C$1:$C$1324,"Arbor Capital Properties",Movimientos!$B$1:$B$1324,"&lt;="&amp;$B68)</f>
        <v>1412.08</v>
      </c>
      <c r="Q68" s="24">
        <f>SUMIFS('Saldos Iniciales'!$D:$D,'Saldos Iniciales'!$A:$A,"2515 Overbrook")+SUMIFS(Movimientos!$K$1:$K$1324,Movimientos!$C$1:$C$1324,"2515 Overbrook",Movimientos!$B$1:$B$1324,"&lt;="&amp;$B68)</f>
        <v>22496.639999999959</v>
      </c>
      <c r="R68" s="24">
        <f>SUMIFS('Saldos Iniciales'!$D:$D,'Saldos Iniciales'!$A:$A,"112 Florida Ave")+SUMIFS(Movimientos!$K$1:$K$1324,Movimientos!$C$1:$C$1324,"112 Florida Ave",Movimientos!$B$1:$B$1324,"&lt;="&amp;$B68)</f>
        <v>10522.800000000003</v>
      </c>
      <c r="S68" s="24">
        <f>SUMIFS('Saldos Iniciales'!$D:$D,'Saldos Iniciales'!$A:$A,"3628 Thomas Ave")+SUMIFS(Movimientos!$K$1:$K$1324,Movimientos!$C$1:$C$1324,"3628 Thomas Ave",Movimientos!$B$1:$B$1324,"&lt;="&amp;$B68)</f>
        <v>28485.559999999998</v>
      </c>
      <c r="T68" s="24">
        <f>SUMIFS('Saldos Iniciales'!$D:$D,'Saldos Iniciales'!$A:$A,"Green Harbor Trust")+SUMIFS(Movimientos!$K$1:$K$1324,Movimientos!$C$1:$C$1324,"Green Harbor Trust",Movimientos!$B$1:$B$1324,"&lt;="&amp;$B68)</f>
        <v>345</v>
      </c>
      <c r="U68" s="24">
        <f>SUMIFS('Saldos Iniciales'!$D:$D,'Saldos Iniciales'!$A:$A,"Go Blue")+SUMIFS(Movimientos!$K$1:$K$1324,Movimientos!$C$1:$C$1324,"Go Blue",Movimientos!$B$1:$B$1324,"&lt;="&amp;$B68)</f>
        <v>15165.34</v>
      </c>
      <c r="V68" s="24">
        <f>IF(YEAR($B68)*100+MONTH($B68)&lt;--SUBSTITUTE(_xlfn.XLOOKUP("Pacha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LLC",Movimientos!$B$1:$B$1324,"&lt;="&amp;$B68))</f>
        <v>0</v>
      </c>
      <c r="W68" s="24">
        <f>IF(YEAR($B68)*100+MONTH($B68)&lt;--SUBSTITUTE(_xlfn.XLOOKUP("*CFT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Residence",Movimientos!$B$1:$B$1324,"&lt;="&amp;$B68))</f>
        <v>0</v>
      </c>
      <c r="X68" s="24">
        <f>IF(YEAR($B68)*100+MONTH($B68)&lt;--SUBSTITUTE(_xlfn.XLOOKUP("Carmen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Trust",Movimientos!$B$1:$B$1324,"&lt;="&amp;$B68))</f>
        <v>0</v>
      </c>
      <c r="Y68" s="24">
        <f>IF(YEAR($B68)*100+MONTH($B68)&lt;--SUBSTITUTE(_xlfn.XLOOKUP("SIYP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LLC",Movimientos!$B$1:$B$1324,"&lt;="&amp;$B68))</f>
        <v>0</v>
      </c>
      <c r="Z68" s="24">
        <f>IF(YEAR($B68)*100+MONTH($B68)&lt;--SUBSTITUTE(_xlfn.XLOOKUP("Prendamas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SRL",Movimientos!$B$1:$B$1324,"&lt;="&amp;$B68))</f>
        <v>0</v>
      </c>
      <c r="AA68" s="24">
        <f>IF(YEAR($B68)*100+MONTH($B68)&lt;--SUBSTITUTE(_xlfn.XLOOKUP("360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LLC",Movimientos!$B$1:$B$1324,"&lt;="&amp;$B68))</f>
        <v>0</v>
      </c>
      <c r="AB68" s="24">
        <f>IF(YEAR($B68)*100+MONTH($B68)&lt;--SUBSTITUTE(_xlfn.XLOOKUP("Five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",Movimientos!$B$1:$B$1324,"&lt;="&amp;$B68))</f>
        <v>0</v>
      </c>
      <c r="AC68" s="24">
        <f>IF(YEAR($B68)*100+MONTH($B68)&lt;--SUBSTITUTE(_xlfn.XLOOKUP("Nobe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Aparments",Movimientos!$B$1:$B$1324,"&lt;="&amp;$B68))</f>
        <v>0</v>
      </c>
      <c r="AD68" s="24">
        <f>IF(YEAR($B68)*100+MONTH($B68)&lt;--SUBSTITUTE(_xlfn.XLOOKUP("Don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Life",Movimientos!$B$1:$B$1324,"&lt;="&amp;$B68))</f>
        <v>0</v>
      </c>
      <c r="AE68" s="25">
        <f t="shared" si="3"/>
        <v>8359760.2000000011</v>
      </c>
    </row>
    <row r="69" spans="1:31" hidden="1" outlineLevel="1" x14ac:dyDescent="0.3">
      <c r="A69" s="22">
        <f t="shared" si="2"/>
        <v>68</v>
      </c>
      <c r="B69" s="23">
        <v>46210</v>
      </c>
      <c r="C69" s="24">
        <f>SUMIFS('Saldos Iniciales'!$D:$D,'Saldos Iniciales'!$A:$A,"CFT Group")+SUMIFS(Movimientos!$K$1:$K$1324,Movimientos!$C$1:$C$1324,"CFT Group",Movimientos!$B$1:$B$1324,"&lt;="&amp;$B69)</f>
        <v>5592585.7500000009</v>
      </c>
      <c r="D69" s="24">
        <f>SUMIFS('Saldos Iniciales'!$D:$D,'Saldos Iniciales'!$A:$A,"M1B")+SUMIFS(Movimientos!$K$1:$K$1324,Movimientos!$C$1:$C$1324,"M1B",Movimientos!$B$1:$B$1324,"&lt;="&amp;$B69)</f>
        <v>79139.680000000168</v>
      </c>
      <c r="E69" s="24">
        <f>SUMIFS('Saldos Iniciales'!$D:$D,'Saldos Iniciales'!$A:$A,"Durand")+SUMIFS(Movimientos!$K$1:$K$1324,Movimientos!$C$1:$C$1324,"Durand",Movimientos!$B$1:$B$1324,"&lt;="&amp;$B69)</f>
        <v>1669.89</v>
      </c>
      <c r="F69" s="24">
        <f>SUMIFS('Saldos Iniciales'!$D:$D,'Saldos Iniciales'!$A:$A,"A&amp;M Imports")+SUMIFS(Movimientos!$K$1:$K$1324,Movimientos!$C$1:$C$1324,"A&amp;M Imports",Movimientos!$B$1:$B$1324,"&lt;="&amp;$B69)</f>
        <v>350475.62999999989</v>
      </c>
      <c r="G69" s="24">
        <f>SUMIFS('Saldos Iniciales'!$D:$D,'Saldos Iniciales'!$A:$A,"SSP Capital")+SUMIFS(Movimientos!$K$1:$K$1324,Movimientos!$C$1:$C$1324,"SSP Capital",Movimientos!$B$1:$B$1324,"&lt;="&amp;$B69)</f>
        <v>1761026.4599999995</v>
      </c>
      <c r="H69" s="24">
        <f>SUMIFS('Saldos Iniciales'!$D:$D,'Saldos Iniciales'!$A:$A,"Cross Family Trust")+SUMIFS(Movimientos!$K$1:$K$1324,Movimientos!$C$1:$C$1324,"Cross Family Trust",Movimientos!$B$1:$B$1324,"&lt;="&amp;$B69)</f>
        <v>220496.38</v>
      </c>
      <c r="I69" s="24">
        <f>SUMIFS('Saldos Iniciales'!$D:$D,'Saldos Iniciales'!$A:$A,"Cross Security Trust")+SUMIFS(Movimientos!$K$1:$K$1324,Movimientos!$C$1:$C$1324,"Cross Security Trust",Movimientos!$B$1:$B$1324,"&lt;="&amp;$B69)</f>
        <v>267503.99000000005</v>
      </c>
      <c r="J69" s="24">
        <f>SUMIFS('Saldos Iniciales'!$D:$D,'Saldos Iniciales'!$A:$A,"Electrama")+SUMIFS(Movimientos!$K$1:$K$1324,Movimientos!$C$1:$C$1324,"Electrama",Movimientos!$B$1:$B$1324,"&lt;="&amp;$B69)</f>
        <v>471.15999999999985</v>
      </c>
      <c r="K69" s="24">
        <f>SUMIFS('Saldos Iniciales'!$D:$D,'Saldos Iniciales'!$A:$A,"Sacred Valley Capital")+SUMIFS(Movimientos!$K$1:$K$1324,Movimientos!$C$1:$C$1324,"Sacred Valley Capital",Movimientos!$B$1:$B$1324,"&lt;="&amp;$B69)</f>
        <v>54.400000000000006</v>
      </c>
      <c r="L69" s="24">
        <f>SUMIFS('Saldos Iniciales'!$D:$D,'Saldos Iniciales'!$A:$A,"YWC Capital")+SUMIFS(Movimientos!$K$1:$K$1324,Movimientos!$C$1:$C$1324,"YWC Capital",Movimientos!$B$1:$B$1324,"&lt;="&amp;$B69)</f>
        <v>2207.8200000000002</v>
      </c>
      <c r="M69" s="24">
        <f>SUMIFS('Saldos Iniciales'!$D:$D,'Saldos Iniciales'!$A:$A,"Soweto")+SUMIFS(Movimientos!$K$1:$K$1324,Movimientos!$C$1:$C$1324,"Soweto",Movimientos!$B$1:$B$1324,"&lt;="&amp;$B69)</f>
        <v>3349.94</v>
      </c>
      <c r="N69" s="24">
        <f>SUMIFS('Saldos Iniciales'!$D:$D,'Saldos Iniciales'!$A:$A,"Green Stone Trust")+SUMIFS(Movimientos!$K$1:$K$1324,Movimientos!$C$1:$C$1324,"Green Stone Trust",Movimientos!$B$1:$B$1324,"&lt;="&amp;$B69)</f>
        <v>1968.99</v>
      </c>
      <c r="O69" s="24">
        <f>SUMIFS('Saldos Iniciales'!$D:$D,'Saldos Iniciales'!$A:$A,"EC Auto")+SUMIFS(Movimientos!$K$1:$K$1324,Movimientos!$C$1:$C$1324,"EC Auto",Movimientos!$B$1:$B$1324,"&lt;="&amp;$B69)</f>
        <v>382.69000000000005</v>
      </c>
      <c r="P69" s="24">
        <f>SUMIFS('Saldos Iniciales'!$D:$D,'Saldos Iniciales'!$A:$A,"Arbor Capital Properties")+SUMIFS(Movimientos!$K$1:$K$1324,Movimientos!$C$1:$C$1324,"Arbor Capital Properties",Movimientos!$B$1:$B$1324,"&lt;="&amp;$B69)</f>
        <v>1412.08</v>
      </c>
      <c r="Q69" s="24">
        <f>SUMIFS('Saldos Iniciales'!$D:$D,'Saldos Iniciales'!$A:$A,"2515 Overbrook")+SUMIFS(Movimientos!$K$1:$K$1324,Movimientos!$C$1:$C$1324,"2515 Overbrook",Movimientos!$B$1:$B$1324,"&lt;="&amp;$B69)</f>
        <v>22496.639999999959</v>
      </c>
      <c r="R69" s="24">
        <f>SUMIFS('Saldos Iniciales'!$D:$D,'Saldos Iniciales'!$A:$A,"112 Florida Ave")+SUMIFS(Movimientos!$K$1:$K$1324,Movimientos!$C$1:$C$1324,"112 Florida Ave",Movimientos!$B$1:$B$1324,"&lt;="&amp;$B69)</f>
        <v>10522.800000000003</v>
      </c>
      <c r="S69" s="24">
        <f>SUMIFS('Saldos Iniciales'!$D:$D,'Saldos Iniciales'!$A:$A,"3628 Thomas Ave")+SUMIFS(Movimientos!$K$1:$K$1324,Movimientos!$C$1:$C$1324,"3628 Thomas Ave",Movimientos!$B$1:$B$1324,"&lt;="&amp;$B69)</f>
        <v>28485.559999999998</v>
      </c>
      <c r="T69" s="24">
        <f>SUMIFS('Saldos Iniciales'!$D:$D,'Saldos Iniciales'!$A:$A,"Green Harbor Trust")+SUMIFS(Movimientos!$K$1:$K$1324,Movimientos!$C$1:$C$1324,"Green Harbor Trust",Movimientos!$B$1:$B$1324,"&lt;="&amp;$B69)</f>
        <v>345</v>
      </c>
      <c r="U69" s="24">
        <f>SUMIFS('Saldos Iniciales'!$D:$D,'Saldos Iniciales'!$A:$A,"Go Blue")+SUMIFS(Movimientos!$K$1:$K$1324,Movimientos!$C$1:$C$1324,"Go Blue",Movimientos!$B$1:$B$1324,"&lt;="&amp;$B69)</f>
        <v>14498.59</v>
      </c>
      <c r="V69" s="24">
        <f>IF(YEAR($B69)*100+MONTH($B69)&lt;--SUBSTITUTE(_xlfn.XLOOKUP("Pacha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LLC",Movimientos!$B$1:$B$1324,"&lt;="&amp;$B69))</f>
        <v>0</v>
      </c>
      <c r="W69" s="24">
        <f>IF(YEAR($B69)*100+MONTH($B69)&lt;--SUBSTITUTE(_xlfn.XLOOKUP("*CFT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Residence",Movimientos!$B$1:$B$1324,"&lt;="&amp;$B69))</f>
        <v>0</v>
      </c>
      <c r="X69" s="24">
        <f>IF(YEAR($B69)*100+MONTH($B69)&lt;--SUBSTITUTE(_xlfn.XLOOKUP("Carmen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Trust",Movimientos!$B$1:$B$1324,"&lt;="&amp;$B69))</f>
        <v>0</v>
      </c>
      <c r="Y69" s="24">
        <f>IF(YEAR($B69)*100+MONTH($B69)&lt;--SUBSTITUTE(_xlfn.XLOOKUP("SIYP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LLC",Movimientos!$B$1:$B$1324,"&lt;="&amp;$B69))</f>
        <v>0</v>
      </c>
      <c r="Z69" s="24">
        <f>IF(YEAR($B69)*100+MONTH($B69)&lt;--SUBSTITUTE(_xlfn.XLOOKUP("Prendamas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SRL",Movimientos!$B$1:$B$1324,"&lt;="&amp;$B69))</f>
        <v>0</v>
      </c>
      <c r="AA69" s="24">
        <f>IF(YEAR($B69)*100+MONTH($B69)&lt;--SUBSTITUTE(_xlfn.XLOOKUP("360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LLC",Movimientos!$B$1:$B$1324,"&lt;="&amp;$B69))</f>
        <v>0</v>
      </c>
      <c r="AB69" s="24">
        <f>IF(YEAR($B69)*100+MONTH($B69)&lt;--SUBSTITUTE(_xlfn.XLOOKUP("Five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",Movimientos!$B$1:$B$1324,"&lt;="&amp;$B69))</f>
        <v>0</v>
      </c>
      <c r="AC69" s="24">
        <f>IF(YEAR($B69)*100+MONTH($B69)&lt;--SUBSTITUTE(_xlfn.XLOOKUP("Nobe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Aparments",Movimientos!$B$1:$B$1324,"&lt;="&amp;$B69))</f>
        <v>0</v>
      </c>
      <c r="AD69" s="24">
        <f>IF(YEAR($B69)*100+MONTH($B69)&lt;--SUBSTITUTE(_xlfn.XLOOKUP("Don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Life",Movimientos!$B$1:$B$1324,"&lt;="&amp;$B69))</f>
        <v>0</v>
      </c>
      <c r="AE69" s="25">
        <f t="shared" si="3"/>
        <v>8359093.4500000011</v>
      </c>
    </row>
    <row r="70" spans="1:31" hidden="1" outlineLevel="1" x14ac:dyDescent="0.3">
      <c r="A70" s="22">
        <f t="shared" si="2"/>
        <v>69</v>
      </c>
      <c r="B70" s="23">
        <v>46211</v>
      </c>
      <c r="C70" s="24">
        <f>SUMIFS('Saldos Iniciales'!$D:$D,'Saldos Iniciales'!$A:$A,"CFT Group")+SUMIFS(Movimientos!$K$1:$K$1324,Movimientos!$C$1:$C$1324,"CFT Group",Movimientos!$B$1:$B$1324,"&lt;="&amp;$B70)</f>
        <v>5592585.7500000009</v>
      </c>
      <c r="D70" s="24">
        <f>SUMIFS('Saldos Iniciales'!$D:$D,'Saldos Iniciales'!$A:$A,"M1B")+SUMIFS(Movimientos!$K$1:$K$1324,Movimientos!$C$1:$C$1324,"M1B",Movimientos!$B$1:$B$1324,"&lt;="&amp;$B70)</f>
        <v>79139.680000000168</v>
      </c>
      <c r="E70" s="24">
        <f>SUMIFS('Saldos Iniciales'!$D:$D,'Saldos Iniciales'!$A:$A,"Durand")+SUMIFS(Movimientos!$K$1:$K$1324,Movimientos!$C$1:$C$1324,"Durand",Movimientos!$B$1:$B$1324,"&lt;="&amp;$B70)</f>
        <v>1669.89</v>
      </c>
      <c r="F70" s="24">
        <f>SUMIFS('Saldos Iniciales'!$D:$D,'Saldos Iniciales'!$A:$A,"A&amp;M Imports")+SUMIFS(Movimientos!$K$1:$K$1324,Movimientos!$C$1:$C$1324,"A&amp;M Imports",Movimientos!$B$1:$B$1324,"&lt;="&amp;$B70)</f>
        <v>350475.62999999989</v>
      </c>
      <c r="G70" s="24">
        <f>SUMIFS('Saldos Iniciales'!$D:$D,'Saldos Iniciales'!$A:$A,"SSP Capital")+SUMIFS(Movimientos!$K$1:$K$1324,Movimientos!$C$1:$C$1324,"SSP Capital",Movimientos!$B$1:$B$1324,"&lt;="&amp;$B70)</f>
        <v>1751695.8399999994</v>
      </c>
      <c r="H70" s="24">
        <f>SUMIFS('Saldos Iniciales'!$D:$D,'Saldos Iniciales'!$A:$A,"Cross Family Trust")+SUMIFS(Movimientos!$K$1:$K$1324,Movimientos!$C$1:$C$1324,"Cross Family Trust",Movimientos!$B$1:$B$1324,"&lt;="&amp;$B70)</f>
        <v>220496.38</v>
      </c>
      <c r="I70" s="24">
        <f>SUMIFS('Saldos Iniciales'!$D:$D,'Saldos Iniciales'!$A:$A,"Cross Security Trust")+SUMIFS(Movimientos!$K$1:$K$1324,Movimientos!$C$1:$C$1324,"Cross Security Trust",Movimientos!$B$1:$B$1324,"&lt;="&amp;$B70)</f>
        <v>267503.99000000005</v>
      </c>
      <c r="J70" s="24">
        <f>SUMIFS('Saldos Iniciales'!$D:$D,'Saldos Iniciales'!$A:$A,"Electrama")+SUMIFS(Movimientos!$K$1:$K$1324,Movimientos!$C$1:$C$1324,"Electrama",Movimientos!$B$1:$B$1324,"&lt;="&amp;$B70)</f>
        <v>471.15999999999985</v>
      </c>
      <c r="K70" s="24">
        <f>SUMIFS('Saldos Iniciales'!$D:$D,'Saldos Iniciales'!$A:$A,"Sacred Valley Capital")+SUMIFS(Movimientos!$K$1:$K$1324,Movimientos!$C$1:$C$1324,"Sacred Valley Capital",Movimientos!$B$1:$B$1324,"&lt;="&amp;$B70)</f>
        <v>54.400000000000006</v>
      </c>
      <c r="L70" s="24">
        <f>SUMIFS('Saldos Iniciales'!$D:$D,'Saldos Iniciales'!$A:$A,"YWC Capital")+SUMIFS(Movimientos!$K$1:$K$1324,Movimientos!$C$1:$C$1324,"YWC Capital",Movimientos!$B$1:$B$1324,"&lt;="&amp;$B70)</f>
        <v>2207.8200000000002</v>
      </c>
      <c r="M70" s="24">
        <f>SUMIFS('Saldos Iniciales'!$D:$D,'Saldos Iniciales'!$A:$A,"Soweto")+SUMIFS(Movimientos!$K$1:$K$1324,Movimientos!$C$1:$C$1324,"Soweto",Movimientos!$B$1:$B$1324,"&lt;="&amp;$B70)</f>
        <v>3334.94</v>
      </c>
      <c r="N70" s="24">
        <f>SUMIFS('Saldos Iniciales'!$D:$D,'Saldos Iniciales'!$A:$A,"Green Stone Trust")+SUMIFS(Movimientos!$K$1:$K$1324,Movimientos!$C$1:$C$1324,"Green Stone Trust",Movimientos!$B$1:$B$1324,"&lt;="&amp;$B70)</f>
        <v>1968.99</v>
      </c>
      <c r="O70" s="24">
        <f>SUMIFS('Saldos Iniciales'!$D:$D,'Saldos Iniciales'!$A:$A,"EC Auto")+SUMIFS(Movimientos!$K$1:$K$1324,Movimientos!$C$1:$C$1324,"EC Auto",Movimientos!$B$1:$B$1324,"&lt;="&amp;$B70)</f>
        <v>382.69000000000005</v>
      </c>
      <c r="P70" s="24">
        <f>SUMIFS('Saldos Iniciales'!$D:$D,'Saldos Iniciales'!$A:$A,"Arbor Capital Properties")+SUMIFS(Movimientos!$K$1:$K$1324,Movimientos!$C$1:$C$1324,"Arbor Capital Properties",Movimientos!$B$1:$B$1324,"&lt;="&amp;$B70)</f>
        <v>1412.08</v>
      </c>
      <c r="Q70" s="24">
        <f>SUMIFS('Saldos Iniciales'!$D:$D,'Saldos Iniciales'!$A:$A,"2515 Overbrook")+SUMIFS(Movimientos!$K$1:$K$1324,Movimientos!$C$1:$C$1324,"2515 Overbrook",Movimientos!$B$1:$B$1324,"&lt;="&amp;$B70)</f>
        <v>22496.639999999959</v>
      </c>
      <c r="R70" s="24">
        <f>SUMIFS('Saldos Iniciales'!$D:$D,'Saldos Iniciales'!$A:$A,"112 Florida Ave")+SUMIFS(Movimientos!$K$1:$K$1324,Movimientos!$C$1:$C$1324,"112 Florida Ave",Movimientos!$B$1:$B$1324,"&lt;="&amp;$B70)</f>
        <v>6522.8000000000029</v>
      </c>
      <c r="S70" s="24">
        <f>SUMIFS('Saldos Iniciales'!$D:$D,'Saldos Iniciales'!$A:$A,"3628 Thomas Ave")+SUMIFS(Movimientos!$K$1:$K$1324,Movimientos!$C$1:$C$1324,"3628 Thomas Ave",Movimientos!$B$1:$B$1324,"&lt;="&amp;$B70)</f>
        <v>28485.559999999998</v>
      </c>
      <c r="T70" s="24">
        <f>SUMIFS('Saldos Iniciales'!$D:$D,'Saldos Iniciales'!$A:$A,"Green Harbor Trust")+SUMIFS(Movimientos!$K$1:$K$1324,Movimientos!$C$1:$C$1324,"Green Harbor Trust",Movimientos!$B$1:$B$1324,"&lt;="&amp;$B70)</f>
        <v>345</v>
      </c>
      <c r="U70" s="24">
        <f>SUMIFS('Saldos Iniciales'!$D:$D,'Saldos Iniciales'!$A:$A,"Go Blue")+SUMIFS(Movimientos!$K$1:$K$1324,Movimientos!$C$1:$C$1324,"Go Blue",Movimientos!$B$1:$B$1324,"&lt;="&amp;$B70)</f>
        <v>14498.59</v>
      </c>
      <c r="V70" s="24">
        <f>IF(YEAR($B70)*100+MONTH($B70)&lt;--SUBSTITUTE(_xlfn.XLOOKUP("Pacha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LLC",Movimientos!$B$1:$B$1324,"&lt;="&amp;$B70))</f>
        <v>0</v>
      </c>
      <c r="W70" s="24">
        <f>IF(YEAR($B70)*100+MONTH($B70)&lt;--SUBSTITUTE(_xlfn.XLOOKUP("*CFT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Residence",Movimientos!$B$1:$B$1324,"&lt;="&amp;$B70))</f>
        <v>0</v>
      </c>
      <c r="X70" s="24">
        <f>IF(YEAR($B70)*100+MONTH($B70)&lt;--SUBSTITUTE(_xlfn.XLOOKUP("Carmen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Trust",Movimientos!$B$1:$B$1324,"&lt;="&amp;$B70))</f>
        <v>0</v>
      </c>
      <c r="Y70" s="24">
        <f>IF(YEAR($B70)*100+MONTH($B70)&lt;--SUBSTITUTE(_xlfn.XLOOKUP("SIYP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LLC",Movimientos!$B$1:$B$1324,"&lt;="&amp;$B70))</f>
        <v>0</v>
      </c>
      <c r="Z70" s="24">
        <f>IF(YEAR($B70)*100+MONTH($B70)&lt;--SUBSTITUTE(_xlfn.XLOOKUP("Prendamas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SRL",Movimientos!$B$1:$B$1324,"&lt;="&amp;$B70))</f>
        <v>0</v>
      </c>
      <c r="AA70" s="24">
        <f>IF(YEAR($B70)*100+MONTH($B70)&lt;--SUBSTITUTE(_xlfn.XLOOKUP("360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LLC",Movimientos!$B$1:$B$1324,"&lt;="&amp;$B70))</f>
        <v>0</v>
      </c>
      <c r="AB70" s="24">
        <f>IF(YEAR($B70)*100+MONTH($B70)&lt;--SUBSTITUTE(_xlfn.XLOOKUP("Five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",Movimientos!$B$1:$B$1324,"&lt;="&amp;$B70))</f>
        <v>0</v>
      </c>
      <c r="AC70" s="24">
        <f>IF(YEAR($B70)*100+MONTH($B70)&lt;--SUBSTITUTE(_xlfn.XLOOKUP("Nobe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Aparments",Movimientos!$B$1:$B$1324,"&lt;="&amp;$B70))</f>
        <v>0</v>
      </c>
      <c r="AD70" s="24">
        <f>IF(YEAR($B70)*100+MONTH($B70)&lt;--SUBSTITUTE(_xlfn.XLOOKUP("Don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Life",Movimientos!$B$1:$B$1324,"&lt;="&amp;$B70))</f>
        <v>0</v>
      </c>
      <c r="AE70" s="25">
        <f t="shared" si="3"/>
        <v>8345747.8300000019</v>
      </c>
    </row>
    <row r="71" spans="1:31" hidden="1" outlineLevel="1" x14ac:dyDescent="0.3">
      <c r="A71" s="22">
        <f t="shared" si="2"/>
        <v>70</v>
      </c>
      <c r="B71" s="23">
        <v>46212</v>
      </c>
      <c r="C71" s="24">
        <f>SUMIFS('Saldos Iniciales'!$D:$D,'Saldos Iniciales'!$A:$A,"CFT Group")+SUMIFS(Movimientos!$K$1:$K$1324,Movimientos!$C$1:$C$1324,"CFT Group",Movimientos!$B$1:$B$1324,"&lt;="&amp;$B71)</f>
        <v>4377944.080000001</v>
      </c>
      <c r="D71" s="24">
        <f>SUMIFS('Saldos Iniciales'!$D:$D,'Saldos Iniciales'!$A:$A,"M1B")+SUMIFS(Movimientos!$K$1:$K$1324,Movimientos!$C$1:$C$1324,"M1B",Movimientos!$B$1:$B$1324,"&lt;="&amp;$B71)</f>
        <v>73157.680000000168</v>
      </c>
      <c r="E71" s="24">
        <f>SUMIFS('Saldos Iniciales'!$D:$D,'Saldos Iniciales'!$A:$A,"Durand")+SUMIFS(Movimientos!$K$1:$K$1324,Movimientos!$C$1:$C$1324,"Durand",Movimientos!$B$1:$B$1324,"&lt;="&amp;$B71)</f>
        <v>1669.89</v>
      </c>
      <c r="F71" s="24">
        <f>SUMIFS('Saldos Iniciales'!$D:$D,'Saldos Iniciales'!$A:$A,"A&amp;M Imports")+SUMIFS(Movimientos!$K$1:$K$1324,Movimientos!$C$1:$C$1324,"A&amp;M Imports",Movimientos!$B$1:$B$1324,"&lt;="&amp;$B71)</f>
        <v>290475.62999999989</v>
      </c>
      <c r="G71" s="24">
        <f>SUMIFS('Saldos Iniciales'!$D:$D,'Saldos Iniciales'!$A:$A,"SSP Capital")+SUMIFS(Movimientos!$K$1:$K$1324,Movimientos!$C$1:$C$1324,"SSP Capital",Movimientos!$B$1:$B$1324,"&lt;="&amp;$B71)</f>
        <v>2119592.9399999995</v>
      </c>
      <c r="H71" s="24">
        <f>SUMIFS('Saldos Iniciales'!$D:$D,'Saldos Iniciales'!$A:$A,"Cross Family Trust")+SUMIFS(Movimientos!$K$1:$K$1324,Movimientos!$C$1:$C$1324,"Cross Family Trust",Movimientos!$B$1:$B$1324,"&lt;="&amp;$B71)</f>
        <v>200496.38</v>
      </c>
      <c r="I71" s="24">
        <f>SUMIFS('Saldos Iniciales'!$D:$D,'Saldos Iniciales'!$A:$A,"Cross Security Trust")+SUMIFS(Movimientos!$K$1:$K$1324,Movimientos!$C$1:$C$1324,"Cross Security Trust",Movimientos!$B$1:$B$1324,"&lt;="&amp;$B71)</f>
        <v>267503.99000000005</v>
      </c>
      <c r="J71" s="24">
        <f>SUMIFS('Saldos Iniciales'!$D:$D,'Saldos Iniciales'!$A:$A,"Electrama")+SUMIFS(Movimientos!$K$1:$K$1324,Movimientos!$C$1:$C$1324,"Electrama",Movimientos!$B$1:$B$1324,"&lt;="&amp;$B71)</f>
        <v>15130.45</v>
      </c>
      <c r="K71" s="24">
        <f>SUMIFS('Saldos Iniciales'!$D:$D,'Saldos Iniciales'!$A:$A,"Sacred Valley Capital")+SUMIFS(Movimientos!$K$1:$K$1324,Movimientos!$C$1:$C$1324,"Sacred Valley Capital",Movimientos!$B$1:$B$1324,"&lt;="&amp;$B71)</f>
        <v>54.400000000000006</v>
      </c>
      <c r="L71" s="24">
        <f>SUMIFS('Saldos Iniciales'!$D:$D,'Saldos Iniciales'!$A:$A,"YWC Capital")+SUMIFS(Movimientos!$K$1:$K$1324,Movimientos!$C$1:$C$1324,"YWC Capital",Movimientos!$B$1:$B$1324,"&lt;="&amp;$B71)</f>
        <v>2207.8200000000002</v>
      </c>
      <c r="M71" s="24">
        <f>SUMIFS('Saldos Iniciales'!$D:$D,'Saldos Iniciales'!$A:$A,"Soweto")+SUMIFS(Movimientos!$K$1:$K$1324,Movimientos!$C$1:$C$1324,"Soweto",Movimientos!$B$1:$B$1324,"&lt;="&amp;$B71)</f>
        <v>1454604.72</v>
      </c>
      <c r="N71" s="24">
        <f>SUMIFS('Saldos Iniciales'!$D:$D,'Saldos Iniciales'!$A:$A,"Green Stone Trust")+SUMIFS(Movimientos!$K$1:$K$1324,Movimientos!$C$1:$C$1324,"Green Stone Trust",Movimientos!$B$1:$B$1324,"&lt;="&amp;$B71)</f>
        <v>1968.99</v>
      </c>
      <c r="O71" s="24">
        <f>SUMIFS('Saldos Iniciales'!$D:$D,'Saldos Iniciales'!$A:$A,"EC Auto")+SUMIFS(Movimientos!$K$1:$K$1324,Movimientos!$C$1:$C$1324,"EC Auto",Movimientos!$B$1:$B$1324,"&lt;="&amp;$B71)</f>
        <v>382.69000000000005</v>
      </c>
      <c r="P71" s="24">
        <f>SUMIFS('Saldos Iniciales'!$D:$D,'Saldos Iniciales'!$A:$A,"Arbor Capital Properties")+SUMIFS(Movimientos!$K$1:$K$1324,Movimientos!$C$1:$C$1324,"Arbor Capital Properties",Movimientos!$B$1:$B$1324,"&lt;="&amp;$B71)</f>
        <v>1412.08</v>
      </c>
      <c r="Q71" s="24">
        <f>SUMIFS('Saldos Iniciales'!$D:$D,'Saldos Iniciales'!$A:$A,"2515 Overbrook")+SUMIFS(Movimientos!$K$1:$K$1324,Movimientos!$C$1:$C$1324,"2515 Overbrook",Movimientos!$B$1:$B$1324,"&lt;="&amp;$B71)</f>
        <v>22496.639999999959</v>
      </c>
      <c r="R71" s="24">
        <f>SUMIFS('Saldos Iniciales'!$D:$D,'Saldos Iniciales'!$A:$A,"112 Florida Ave")+SUMIFS(Movimientos!$K$1:$K$1324,Movimientos!$C$1:$C$1324,"112 Florida Ave",Movimientos!$B$1:$B$1324,"&lt;="&amp;$B71)</f>
        <v>6522.8000000000029</v>
      </c>
      <c r="S71" s="24">
        <f>SUMIFS('Saldos Iniciales'!$D:$D,'Saldos Iniciales'!$A:$A,"3628 Thomas Ave")+SUMIFS(Movimientos!$K$1:$K$1324,Movimientos!$C$1:$C$1324,"3628 Thomas Ave",Movimientos!$B$1:$B$1324,"&lt;="&amp;$B71)</f>
        <v>28485.559999999998</v>
      </c>
      <c r="T71" s="24">
        <f>SUMIFS('Saldos Iniciales'!$D:$D,'Saldos Iniciales'!$A:$A,"Green Harbor Trust")+SUMIFS(Movimientos!$K$1:$K$1324,Movimientos!$C$1:$C$1324,"Green Harbor Trust",Movimientos!$B$1:$B$1324,"&lt;="&amp;$B71)</f>
        <v>345</v>
      </c>
      <c r="U71" s="24">
        <f>SUMIFS('Saldos Iniciales'!$D:$D,'Saldos Iniciales'!$A:$A,"Go Blue")+SUMIFS(Movimientos!$K$1:$K$1324,Movimientos!$C$1:$C$1324,"Go Blue",Movimientos!$B$1:$B$1324,"&lt;="&amp;$B71)</f>
        <v>31900.120000000003</v>
      </c>
      <c r="V71" s="24">
        <f>IF(YEAR($B71)*100+MONTH($B71)&lt;--SUBSTITUTE(_xlfn.XLOOKUP("Pacha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LLC",Movimientos!$B$1:$B$1324,"&lt;="&amp;$B71))</f>
        <v>0</v>
      </c>
      <c r="W71" s="24">
        <f>IF(YEAR($B71)*100+MONTH($B71)&lt;--SUBSTITUTE(_xlfn.XLOOKUP("*CFT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Residence",Movimientos!$B$1:$B$1324,"&lt;="&amp;$B71))</f>
        <v>0</v>
      </c>
      <c r="X71" s="24">
        <f>IF(YEAR($B71)*100+MONTH($B71)&lt;--SUBSTITUTE(_xlfn.XLOOKUP("Carmen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Trust",Movimientos!$B$1:$B$1324,"&lt;="&amp;$B71))</f>
        <v>0</v>
      </c>
      <c r="Y71" s="24">
        <f>IF(YEAR($B71)*100+MONTH($B71)&lt;--SUBSTITUTE(_xlfn.XLOOKUP("SIYP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LLC",Movimientos!$B$1:$B$1324,"&lt;="&amp;$B71))</f>
        <v>0</v>
      </c>
      <c r="Z71" s="24">
        <f>IF(YEAR($B71)*100+MONTH($B71)&lt;--SUBSTITUTE(_xlfn.XLOOKUP("Prendamas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SRL",Movimientos!$B$1:$B$1324,"&lt;="&amp;$B71))</f>
        <v>0</v>
      </c>
      <c r="AA71" s="24">
        <f>IF(YEAR($B71)*100+MONTH($B71)&lt;--SUBSTITUTE(_xlfn.XLOOKUP("360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LLC",Movimientos!$B$1:$B$1324,"&lt;="&amp;$B71))</f>
        <v>0</v>
      </c>
      <c r="AB71" s="24">
        <f>IF(YEAR($B71)*100+MONTH($B71)&lt;--SUBSTITUTE(_xlfn.XLOOKUP("Five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",Movimientos!$B$1:$B$1324,"&lt;="&amp;$B71))</f>
        <v>0</v>
      </c>
      <c r="AC71" s="24">
        <f>IF(YEAR($B71)*100+MONTH($B71)&lt;--SUBSTITUTE(_xlfn.XLOOKUP("Nobe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Aparments",Movimientos!$B$1:$B$1324,"&lt;="&amp;$B71))</f>
        <v>0</v>
      </c>
      <c r="AD71" s="24">
        <f>IF(YEAR($B71)*100+MONTH($B71)&lt;--SUBSTITUTE(_xlfn.XLOOKUP("Don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Life",Movimientos!$B$1:$B$1324,"&lt;="&amp;$B71))</f>
        <v>0</v>
      </c>
      <c r="AE71" s="25">
        <f t="shared" si="3"/>
        <v>8896351.8600000031</v>
      </c>
    </row>
    <row r="72" spans="1:31" hidden="1" outlineLevel="1" x14ac:dyDescent="0.3">
      <c r="A72" s="22">
        <f t="shared" si="2"/>
        <v>71</v>
      </c>
      <c r="B72" s="23">
        <v>46213</v>
      </c>
      <c r="C72" s="24">
        <f>SUMIFS('Saldos Iniciales'!$D:$D,'Saldos Iniciales'!$A:$A,"CFT Group")+SUMIFS(Movimientos!$K$1:$K$1324,Movimientos!$C$1:$C$1324,"CFT Group",Movimientos!$B$1:$B$1324,"&lt;="&amp;$B72)</f>
        <v>4163755.7500000005</v>
      </c>
      <c r="D72" s="24">
        <f>SUMIFS('Saldos Iniciales'!$D:$D,'Saldos Iniciales'!$A:$A,"M1B")+SUMIFS(Movimientos!$K$1:$K$1324,Movimientos!$C$1:$C$1324,"M1B",Movimientos!$B$1:$B$1324,"&lt;="&amp;$B72)</f>
        <v>73157.680000000168</v>
      </c>
      <c r="E72" s="24">
        <f>SUMIFS('Saldos Iniciales'!$D:$D,'Saldos Iniciales'!$A:$A,"Durand")+SUMIFS(Movimientos!$K$1:$K$1324,Movimientos!$C$1:$C$1324,"Durand",Movimientos!$B$1:$B$1324,"&lt;="&amp;$B72)</f>
        <v>1669.89</v>
      </c>
      <c r="F72" s="24">
        <f>SUMIFS('Saldos Iniciales'!$D:$D,'Saldos Iniciales'!$A:$A,"A&amp;M Imports")+SUMIFS(Movimientos!$K$1:$K$1324,Movimientos!$C$1:$C$1324,"A&amp;M Imports",Movimientos!$B$1:$B$1324,"&lt;="&amp;$B72)</f>
        <v>290141.62999999989</v>
      </c>
      <c r="G72" s="24">
        <f>SUMIFS('Saldos Iniciales'!$D:$D,'Saldos Iniciales'!$A:$A,"SSP Capital")+SUMIFS(Movimientos!$K$1:$K$1324,Movimientos!$C$1:$C$1324,"SSP Capital",Movimientos!$B$1:$B$1324,"&lt;="&amp;$B72)</f>
        <v>1921752.2699999993</v>
      </c>
      <c r="H72" s="24">
        <f>SUMIFS('Saldos Iniciales'!$D:$D,'Saldos Iniciales'!$A:$A,"Cross Family Trust")+SUMIFS(Movimientos!$K$1:$K$1324,Movimientos!$C$1:$C$1324,"Cross Family Trust",Movimientos!$B$1:$B$1324,"&lt;="&amp;$B72)</f>
        <v>200496.38</v>
      </c>
      <c r="I72" s="24">
        <f>SUMIFS('Saldos Iniciales'!$D:$D,'Saldos Iniciales'!$A:$A,"Cross Security Trust")+SUMIFS(Movimientos!$K$1:$K$1324,Movimientos!$C$1:$C$1324,"Cross Security Trust",Movimientos!$B$1:$B$1324,"&lt;="&amp;$B72)</f>
        <v>267503.99000000005</v>
      </c>
      <c r="J72" s="24">
        <f>SUMIFS('Saldos Iniciales'!$D:$D,'Saldos Iniciales'!$A:$A,"Electrama")+SUMIFS(Movimientos!$K$1:$K$1324,Movimientos!$C$1:$C$1324,"Electrama",Movimientos!$B$1:$B$1324,"&lt;="&amp;$B72)</f>
        <v>14580.45</v>
      </c>
      <c r="K72" s="24">
        <f>SUMIFS('Saldos Iniciales'!$D:$D,'Saldos Iniciales'!$A:$A,"Sacred Valley Capital")+SUMIFS(Movimientos!$K$1:$K$1324,Movimientos!$C$1:$C$1324,"Sacred Valley Capital",Movimientos!$B$1:$B$1324,"&lt;="&amp;$B72)</f>
        <v>54.400000000000006</v>
      </c>
      <c r="L72" s="24">
        <f>SUMIFS('Saldos Iniciales'!$D:$D,'Saldos Iniciales'!$A:$A,"YWC Capital")+SUMIFS(Movimientos!$K$1:$K$1324,Movimientos!$C$1:$C$1324,"YWC Capital",Movimientos!$B$1:$B$1324,"&lt;="&amp;$B72)</f>
        <v>2207.8200000000002</v>
      </c>
      <c r="M72" s="24">
        <f>SUMIFS('Saldos Iniciales'!$D:$D,'Saldos Iniciales'!$A:$A,"Soweto")+SUMIFS(Movimientos!$K$1:$K$1324,Movimientos!$C$1:$C$1324,"Soweto",Movimientos!$B$1:$B$1324,"&lt;="&amp;$B72)</f>
        <v>1454589.72</v>
      </c>
      <c r="N72" s="24">
        <f>SUMIFS('Saldos Iniciales'!$D:$D,'Saldos Iniciales'!$A:$A,"Green Stone Trust")+SUMIFS(Movimientos!$K$1:$K$1324,Movimientos!$C$1:$C$1324,"Green Stone Trust",Movimientos!$B$1:$B$1324,"&lt;="&amp;$B72)</f>
        <v>1968.99</v>
      </c>
      <c r="O72" s="24">
        <f>SUMIFS('Saldos Iniciales'!$D:$D,'Saldos Iniciales'!$A:$A,"EC Auto")+SUMIFS(Movimientos!$K$1:$K$1324,Movimientos!$C$1:$C$1324,"EC Auto",Movimientos!$B$1:$B$1324,"&lt;="&amp;$B72)</f>
        <v>382.69000000000005</v>
      </c>
      <c r="P72" s="24">
        <f>SUMIFS('Saldos Iniciales'!$D:$D,'Saldos Iniciales'!$A:$A,"Arbor Capital Properties")+SUMIFS(Movimientos!$K$1:$K$1324,Movimientos!$C$1:$C$1324,"Arbor Capital Properties",Movimientos!$B$1:$B$1324,"&lt;="&amp;$B72)</f>
        <v>1412.08</v>
      </c>
      <c r="Q72" s="24">
        <f>SUMIFS('Saldos Iniciales'!$D:$D,'Saldos Iniciales'!$A:$A,"2515 Overbrook")+SUMIFS(Movimientos!$K$1:$K$1324,Movimientos!$C$1:$C$1324,"2515 Overbrook",Movimientos!$B$1:$B$1324,"&lt;="&amp;$B72)</f>
        <v>22496.639999999959</v>
      </c>
      <c r="R72" s="24">
        <f>SUMIFS('Saldos Iniciales'!$D:$D,'Saldos Iniciales'!$A:$A,"112 Florida Ave")+SUMIFS(Movimientos!$K$1:$K$1324,Movimientos!$C$1:$C$1324,"112 Florida Ave",Movimientos!$B$1:$B$1324,"&lt;="&amp;$B72)</f>
        <v>6522.8000000000029</v>
      </c>
      <c r="S72" s="24">
        <f>SUMIFS('Saldos Iniciales'!$D:$D,'Saldos Iniciales'!$A:$A,"3628 Thomas Ave")+SUMIFS(Movimientos!$K$1:$K$1324,Movimientos!$C$1:$C$1324,"3628 Thomas Ave",Movimientos!$B$1:$B$1324,"&lt;="&amp;$B72)</f>
        <v>28485.559999999998</v>
      </c>
      <c r="T72" s="24">
        <f>SUMIFS('Saldos Iniciales'!$D:$D,'Saldos Iniciales'!$A:$A,"Green Harbor Trust")+SUMIFS(Movimientos!$K$1:$K$1324,Movimientos!$C$1:$C$1324,"Green Harbor Trust",Movimientos!$B$1:$B$1324,"&lt;="&amp;$B72)</f>
        <v>345</v>
      </c>
      <c r="U72" s="24">
        <f>SUMIFS('Saldos Iniciales'!$D:$D,'Saldos Iniciales'!$A:$A,"Go Blue")+SUMIFS(Movimientos!$K$1:$K$1324,Movimientos!$C$1:$C$1324,"Go Blue",Movimientos!$B$1:$B$1324,"&lt;="&amp;$B72)</f>
        <v>31900.120000000003</v>
      </c>
      <c r="V72" s="24">
        <f>IF(YEAR($B72)*100+MONTH($B72)&lt;--SUBSTITUTE(_xlfn.XLOOKUP("Pacha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LLC",Movimientos!$B$1:$B$1324,"&lt;="&amp;$B72))</f>
        <v>0</v>
      </c>
      <c r="W72" s="24">
        <f>IF(YEAR($B72)*100+MONTH($B72)&lt;--SUBSTITUTE(_xlfn.XLOOKUP("*CFT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Residence",Movimientos!$B$1:$B$1324,"&lt;="&amp;$B72))</f>
        <v>0</v>
      </c>
      <c r="X72" s="24">
        <f>IF(YEAR($B72)*100+MONTH($B72)&lt;--SUBSTITUTE(_xlfn.XLOOKUP("Carmen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Trust",Movimientos!$B$1:$B$1324,"&lt;="&amp;$B72))</f>
        <v>0</v>
      </c>
      <c r="Y72" s="24">
        <f>IF(YEAR($B72)*100+MONTH($B72)&lt;--SUBSTITUTE(_xlfn.XLOOKUP("SIYP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LLC",Movimientos!$B$1:$B$1324,"&lt;="&amp;$B72))</f>
        <v>0</v>
      </c>
      <c r="Z72" s="24">
        <f>IF(YEAR($B72)*100+MONTH($B72)&lt;--SUBSTITUTE(_xlfn.XLOOKUP("Prendamas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SRL",Movimientos!$B$1:$B$1324,"&lt;="&amp;$B72))</f>
        <v>0</v>
      </c>
      <c r="AA72" s="24">
        <f>IF(YEAR($B72)*100+MONTH($B72)&lt;--SUBSTITUTE(_xlfn.XLOOKUP("360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LLC",Movimientos!$B$1:$B$1324,"&lt;="&amp;$B72))</f>
        <v>0</v>
      </c>
      <c r="AB72" s="24">
        <f>IF(YEAR($B72)*100+MONTH($B72)&lt;--SUBSTITUTE(_xlfn.XLOOKUP("Five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",Movimientos!$B$1:$B$1324,"&lt;="&amp;$B72))</f>
        <v>0</v>
      </c>
      <c r="AC72" s="24">
        <f>IF(YEAR($B72)*100+MONTH($B72)&lt;--SUBSTITUTE(_xlfn.XLOOKUP("Nobe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Aparments",Movimientos!$B$1:$B$1324,"&lt;="&amp;$B72))</f>
        <v>0</v>
      </c>
      <c r="AD72" s="24">
        <f>IF(YEAR($B72)*100+MONTH($B72)&lt;--SUBSTITUTE(_xlfn.XLOOKUP("Don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Life",Movimientos!$B$1:$B$1324,"&lt;="&amp;$B72))</f>
        <v>0</v>
      </c>
      <c r="AE72" s="25">
        <f t="shared" si="3"/>
        <v>8483423.8600000013</v>
      </c>
    </row>
    <row r="73" spans="1:31" hidden="1" outlineLevel="1" x14ac:dyDescent="0.3">
      <c r="A73" s="22">
        <f t="shared" si="2"/>
        <v>72</v>
      </c>
      <c r="B73" s="23">
        <v>46214</v>
      </c>
      <c r="C73" s="24">
        <f>SUMIFS('Saldos Iniciales'!$D:$D,'Saldos Iniciales'!$A:$A,"CFT Group")+SUMIFS(Movimientos!$K$1:$K$1324,Movimientos!$C$1:$C$1324,"CFT Group",Movimientos!$B$1:$B$1324,"&lt;="&amp;$B73)</f>
        <v>4163755.7500000005</v>
      </c>
      <c r="D73" s="24">
        <f>SUMIFS('Saldos Iniciales'!$D:$D,'Saldos Iniciales'!$A:$A,"M1B")+SUMIFS(Movimientos!$K$1:$K$1324,Movimientos!$C$1:$C$1324,"M1B",Movimientos!$B$1:$B$1324,"&lt;="&amp;$B73)</f>
        <v>73157.680000000168</v>
      </c>
      <c r="E73" s="24">
        <f>SUMIFS('Saldos Iniciales'!$D:$D,'Saldos Iniciales'!$A:$A,"Durand")+SUMIFS(Movimientos!$K$1:$K$1324,Movimientos!$C$1:$C$1324,"Durand",Movimientos!$B$1:$B$1324,"&lt;="&amp;$B73)</f>
        <v>1669.89</v>
      </c>
      <c r="F73" s="24">
        <f>SUMIFS('Saldos Iniciales'!$D:$D,'Saldos Iniciales'!$A:$A,"A&amp;M Imports")+SUMIFS(Movimientos!$K$1:$K$1324,Movimientos!$C$1:$C$1324,"A&amp;M Imports",Movimientos!$B$1:$B$1324,"&lt;="&amp;$B73)</f>
        <v>290141.62999999989</v>
      </c>
      <c r="G73" s="24">
        <f>SUMIFS('Saldos Iniciales'!$D:$D,'Saldos Iniciales'!$A:$A,"SSP Capital")+SUMIFS(Movimientos!$K$1:$K$1324,Movimientos!$C$1:$C$1324,"SSP Capital",Movimientos!$B$1:$B$1324,"&lt;="&amp;$B73)</f>
        <v>1921752.2699999993</v>
      </c>
      <c r="H73" s="24">
        <f>SUMIFS('Saldos Iniciales'!$D:$D,'Saldos Iniciales'!$A:$A,"Cross Family Trust")+SUMIFS(Movimientos!$K$1:$K$1324,Movimientos!$C$1:$C$1324,"Cross Family Trust",Movimientos!$B$1:$B$1324,"&lt;="&amp;$B73)</f>
        <v>200496.38</v>
      </c>
      <c r="I73" s="24">
        <f>SUMIFS('Saldos Iniciales'!$D:$D,'Saldos Iniciales'!$A:$A,"Cross Security Trust")+SUMIFS(Movimientos!$K$1:$K$1324,Movimientos!$C$1:$C$1324,"Cross Security Trust",Movimientos!$B$1:$B$1324,"&lt;="&amp;$B73)</f>
        <v>267503.99000000005</v>
      </c>
      <c r="J73" s="24">
        <f>SUMIFS('Saldos Iniciales'!$D:$D,'Saldos Iniciales'!$A:$A,"Electrama")+SUMIFS(Movimientos!$K$1:$K$1324,Movimientos!$C$1:$C$1324,"Electrama",Movimientos!$B$1:$B$1324,"&lt;="&amp;$B73)</f>
        <v>14580.45</v>
      </c>
      <c r="K73" s="24">
        <f>SUMIFS('Saldos Iniciales'!$D:$D,'Saldos Iniciales'!$A:$A,"Sacred Valley Capital")+SUMIFS(Movimientos!$K$1:$K$1324,Movimientos!$C$1:$C$1324,"Sacred Valley Capital",Movimientos!$B$1:$B$1324,"&lt;="&amp;$B73)</f>
        <v>54.400000000000006</v>
      </c>
      <c r="L73" s="24">
        <f>SUMIFS('Saldos Iniciales'!$D:$D,'Saldos Iniciales'!$A:$A,"YWC Capital")+SUMIFS(Movimientos!$K$1:$K$1324,Movimientos!$C$1:$C$1324,"YWC Capital",Movimientos!$B$1:$B$1324,"&lt;="&amp;$B73)</f>
        <v>2207.8200000000002</v>
      </c>
      <c r="M73" s="24">
        <f>SUMIFS('Saldos Iniciales'!$D:$D,'Saldos Iniciales'!$A:$A,"Soweto")+SUMIFS(Movimientos!$K$1:$K$1324,Movimientos!$C$1:$C$1324,"Soweto",Movimientos!$B$1:$B$1324,"&lt;="&amp;$B73)</f>
        <v>1454589.72</v>
      </c>
      <c r="N73" s="24">
        <f>SUMIFS('Saldos Iniciales'!$D:$D,'Saldos Iniciales'!$A:$A,"Green Stone Trust")+SUMIFS(Movimientos!$K$1:$K$1324,Movimientos!$C$1:$C$1324,"Green Stone Trust",Movimientos!$B$1:$B$1324,"&lt;="&amp;$B73)</f>
        <v>1968.99</v>
      </c>
      <c r="O73" s="24">
        <f>SUMIFS('Saldos Iniciales'!$D:$D,'Saldos Iniciales'!$A:$A,"EC Auto")+SUMIFS(Movimientos!$K$1:$K$1324,Movimientos!$C$1:$C$1324,"EC Auto",Movimientos!$B$1:$B$1324,"&lt;="&amp;$B73)</f>
        <v>382.69000000000005</v>
      </c>
      <c r="P73" s="24">
        <f>SUMIFS('Saldos Iniciales'!$D:$D,'Saldos Iniciales'!$A:$A,"Arbor Capital Properties")+SUMIFS(Movimientos!$K$1:$K$1324,Movimientos!$C$1:$C$1324,"Arbor Capital Properties",Movimientos!$B$1:$B$1324,"&lt;="&amp;$B73)</f>
        <v>1412.08</v>
      </c>
      <c r="Q73" s="24">
        <f>SUMIFS('Saldos Iniciales'!$D:$D,'Saldos Iniciales'!$A:$A,"2515 Overbrook")+SUMIFS(Movimientos!$K$1:$K$1324,Movimientos!$C$1:$C$1324,"2515 Overbrook",Movimientos!$B$1:$B$1324,"&lt;="&amp;$B73)</f>
        <v>22496.639999999959</v>
      </c>
      <c r="R73" s="24">
        <f>SUMIFS('Saldos Iniciales'!$D:$D,'Saldos Iniciales'!$A:$A,"112 Florida Ave")+SUMIFS(Movimientos!$K$1:$K$1324,Movimientos!$C$1:$C$1324,"112 Florida Ave",Movimientos!$B$1:$B$1324,"&lt;="&amp;$B73)</f>
        <v>6522.8000000000029</v>
      </c>
      <c r="S73" s="24">
        <f>SUMIFS('Saldos Iniciales'!$D:$D,'Saldos Iniciales'!$A:$A,"3628 Thomas Ave")+SUMIFS(Movimientos!$K$1:$K$1324,Movimientos!$C$1:$C$1324,"3628 Thomas Ave",Movimientos!$B$1:$B$1324,"&lt;="&amp;$B73)</f>
        <v>28485.559999999998</v>
      </c>
      <c r="T73" s="24">
        <f>SUMIFS('Saldos Iniciales'!$D:$D,'Saldos Iniciales'!$A:$A,"Green Harbor Trust")+SUMIFS(Movimientos!$K$1:$K$1324,Movimientos!$C$1:$C$1324,"Green Harbor Trust",Movimientos!$B$1:$B$1324,"&lt;="&amp;$B73)</f>
        <v>345</v>
      </c>
      <c r="U73" s="24">
        <f>SUMIFS('Saldos Iniciales'!$D:$D,'Saldos Iniciales'!$A:$A,"Go Blue")+SUMIFS(Movimientos!$K$1:$K$1324,Movimientos!$C$1:$C$1324,"Go Blue",Movimientos!$B$1:$B$1324,"&lt;="&amp;$B73)</f>
        <v>31900.120000000003</v>
      </c>
      <c r="V73" s="24">
        <f>IF(YEAR($B73)*100+MONTH($B73)&lt;--SUBSTITUTE(_xlfn.XLOOKUP("Pacha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LLC",Movimientos!$B$1:$B$1324,"&lt;="&amp;$B73))</f>
        <v>0</v>
      </c>
      <c r="W73" s="24">
        <f>IF(YEAR($B73)*100+MONTH($B73)&lt;--SUBSTITUTE(_xlfn.XLOOKUP("*CFT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Residence",Movimientos!$B$1:$B$1324,"&lt;="&amp;$B73))</f>
        <v>0</v>
      </c>
      <c r="X73" s="24">
        <f>IF(YEAR($B73)*100+MONTH($B73)&lt;--SUBSTITUTE(_xlfn.XLOOKUP("Carmen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Trust",Movimientos!$B$1:$B$1324,"&lt;="&amp;$B73))</f>
        <v>0</v>
      </c>
      <c r="Y73" s="24">
        <f>IF(YEAR($B73)*100+MONTH($B73)&lt;--SUBSTITUTE(_xlfn.XLOOKUP("SIYP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LLC",Movimientos!$B$1:$B$1324,"&lt;="&amp;$B73))</f>
        <v>0</v>
      </c>
      <c r="Z73" s="24">
        <f>IF(YEAR($B73)*100+MONTH($B73)&lt;--SUBSTITUTE(_xlfn.XLOOKUP("Prendamas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SRL",Movimientos!$B$1:$B$1324,"&lt;="&amp;$B73))</f>
        <v>0</v>
      </c>
      <c r="AA73" s="24">
        <f>IF(YEAR($B73)*100+MONTH($B73)&lt;--SUBSTITUTE(_xlfn.XLOOKUP("360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LLC",Movimientos!$B$1:$B$1324,"&lt;="&amp;$B73))</f>
        <v>0</v>
      </c>
      <c r="AB73" s="24">
        <f>IF(YEAR($B73)*100+MONTH($B73)&lt;--SUBSTITUTE(_xlfn.XLOOKUP("Five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",Movimientos!$B$1:$B$1324,"&lt;="&amp;$B73))</f>
        <v>0</v>
      </c>
      <c r="AC73" s="24">
        <f>IF(YEAR($B73)*100+MONTH($B73)&lt;--SUBSTITUTE(_xlfn.XLOOKUP("Nobe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Aparments",Movimientos!$B$1:$B$1324,"&lt;="&amp;$B73))</f>
        <v>0</v>
      </c>
      <c r="AD73" s="24">
        <f>IF(YEAR($B73)*100+MONTH($B73)&lt;--SUBSTITUTE(_xlfn.XLOOKUP("Don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Life",Movimientos!$B$1:$B$1324,"&lt;="&amp;$B73))</f>
        <v>0</v>
      </c>
      <c r="AE73" s="25">
        <f t="shared" si="3"/>
        <v>8483423.8600000013</v>
      </c>
    </row>
    <row r="74" spans="1:31" hidden="1" outlineLevel="1" x14ac:dyDescent="0.3">
      <c r="A74" s="22">
        <f t="shared" si="2"/>
        <v>73</v>
      </c>
      <c r="B74" s="23">
        <v>46215</v>
      </c>
      <c r="C74" s="24">
        <f>SUMIFS('Saldos Iniciales'!$D:$D,'Saldos Iniciales'!$A:$A,"CFT Group")+SUMIFS(Movimientos!$K$1:$K$1324,Movimientos!$C$1:$C$1324,"CFT Group",Movimientos!$B$1:$B$1324,"&lt;="&amp;$B74)</f>
        <v>4163755.7500000005</v>
      </c>
      <c r="D74" s="24">
        <f>SUMIFS('Saldos Iniciales'!$D:$D,'Saldos Iniciales'!$A:$A,"M1B")+SUMIFS(Movimientos!$K$1:$K$1324,Movimientos!$C$1:$C$1324,"M1B",Movimientos!$B$1:$B$1324,"&lt;="&amp;$B74)</f>
        <v>73157.680000000168</v>
      </c>
      <c r="E74" s="24">
        <f>SUMIFS('Saldos Iniciales'!$D:$D,'Saldos Iniciales'!$A:$A,"Durand")+SUMIFS(Movimientos!$K$1:$K$1324,Movimientos!$C$1:$C$1324,"Durand",Movimientos!$B$1:$B$1324,"&lt;="&amp;$B74)</f>
        <v>1669.89</v>
      </c>
      <c r="F74" s="24">
        <f>SUMIFS('Saldos Iniciales'!$D:$D,'Saldos Iniciales'!$A:$A,"A&amp;M Imports")+SUMIFS(Movimientos!$K$1:$K$1324,Movimientos!$C$1:$C$1324,"A&amp;M Imports",Movimientos!$B$1:$B$1324,"&lt;="&amp;$B74)</f>
        <v>290141.62999999989</v>
      </c>
      <c r="G74" s="24">
        <f>SUMIFS('Saldos Iniciales'!$D:$D,'Saldos Iniciales'!$A:$A,"SSP Capital")+SUMIFS(Movimientos!$K$1:$K$1324,Movimientos!$C$1:$C$1324,"SSP Capital",Movimientos!$B$1:$B$1324,"&lt;="&amp;$B74)</f>
        <v>1921752.2699999993</v>
      </c>
      <c r="H74" s="24">
        <f>SUMIFS('Saldos Iniciales'!$D:$D,'Saldos Iniciales'!$A:$A,"Cross Family Trust")+SUMIFS(Movimientos!$K$1:$K$1324,Movimientos!$C$1:$C$1324,"Cross Family Trust",Movimientos!$B$1:$B$1324,"&lt;="&amp;$B74)</f>
        <v>200496.38</v>
      </c>
      <c r="I74" s="24">
        <f>SUMIFS('Saldos Iniciales'!$D:$D,'Saldos Iniciales'!$A:$A,"Cross Security Trust")+SUMIFS(Movimientos!$K$1:$K$1324,Movimientos!$C$1:$C$1324,"Cross Security Trust",Movimientos!$B$1:$B$1324,"&lt;="&amp;$B74)</f>
        <v>267503.99000000005</v>
      </c>
      <c r="J74" s="24">
        <f>SUMIFS('Saldos Iniciales'!$D:$D,'Saldos Iniciales'!$A:$A,"Electrama")+SUMIFS(Movimientos!$K$1:$K$1324,Movimientos!$C$1:$C$1324,"Electrama",Movimientos!$B$1:$B$1324,"&lt;="&amp;$B74)</f>
        <v>14580.45</v>
      </c>
      <c r="K74" s="24">
        <f>SUMIFS('Saldos Iniciales'!$D:$D,'Saldos Iniciales'!$A:$A,"Sacred Valley Capital")+SUMIFS(Movimientos!$K$1:$K$1324,Movimientos!$C$1:$C$1324,"Sacred Valley Capital",Movimientos!$B$1:$B$1324,"&lt;="&amp;$B74)</f>
        <v>54.400000000000006</v>
      </c>
      <c r="L74" s="24">
        <f>SUMIFS('Saldos Iniciales'!$D:$D,'Saldos Iniciales'!$A:$A,"YWC Capital")+SUMIFS(Movimientos!$K$1:$K$1324,Movimientos!$C$1:$C$1324,"YWC Capital",Movimientos!$B$1:$B$1324,"&lt;="&amp;$B74)</f>
        <v>2207.8200000000002</v>
      </c>
      <c r="M74" s="24">
        <f>SUMIFS('Saldos Iniciales'!$D:$D,'Saldos Iniciales'!$A:$A,"Soweto")+SUMIFS(Movimientos!$K$1:$K$1324,Movimientos!$C$1:$C$1324,"Soweto",Movimientos!$B$1:$B$1324,"&lt;="&amp;$B74)</f>
        <v>1454589.72</v>
      </c>
      <c r="N74" s="24">
        <f>SUMIFS('Saldos Iniciales'!$D:$D,'Saldos Iniciales'!$A:$A,"Green Stone Trust")+SUMIFS(Movimientos!$K$1:$K$1324,Movimientos!$C$1:$C$1324,"Green Stone Trust",Movimientos!$B$1:$B$1324,"&lt;="&amp;$B74)</f>
        <v>1968.99</v>
      </c>
      <c r="O74" s="24">
        <f>SUMIFS('Saldos Iniciales'!$D:$D,'Saldos Iniciales'!$A:$A,"EC Auto")+SUMIFS(Movimientos!$K$1:$K$1324,Movimientos!$C$1:$C$1324,"EC Auto",Movimientos!$B$1:$B$1324,"&lt;="&amp;$B74)</f>
        <v>382.69000000000005</v>
      </c>
      <c r="P74" s="24">
        <f>SUMIFS('Saldos Iniciales'!$D:$D,'Saldos Iniciales'!$A:$A,"Arbor Capital Properties")+SUMIFS(Movimientos!$K$1:$K$1324,Movimientos!$C$1:$C$1324,"Arbor Capital Properties",Movimientos!$B$1:$B$1324,"&lt;="&amp;$B74)</f>
        <v>1412.08</v>
      </c>
      <c r="Q74" s="24">
        <f>SUMIFS('Saldos Iniciales'!$D:$D,'Saldos Iniciales'!$A:$A,"2515 Overbrook")+SUMIFS(Movimientos!$K$1:$K$1324,Movimientos!$C$1:$C$1324,"2515 Overbrook",Movimientos!$B$1:$B$1324,"&lt;="&amp;$B74)</f>
        <v>22496.639999999959</v>
      </c>
      <c r="R74" s="24">
        <f>SUMIFS('Saldos Iniciales'!$D:$D,'Saldos Iniciales'!$A:$A,"112 Florida Ave")+SUMIFS(Movimientos!$K$1:$K$1324,Movimientos!$C$1:$C$1324,"112 Florida Ave",Movimientos!$B$1:$B$1324,"&lt;="&amp;$B74)</f>
        <v>6522.8000000000029</v>
      </c>
      <c r="S74" s="24">
        <f>SUMIFS('Saldos Iniciales'!$D:$D,'Saldos Iniciales'!$A:$A,"3628 Thomas Ave")+SUMIFS(Movimientos!$K$1:$K$1324,Movimientos!$C$1:$C$1324,"3628 Thomas Ave",Movimientos!$B$1:$B$1324,"&lt;="&amp;$B74)</f>
        <v>28485.559999999998</v>
      </c>
      <c r="T74" s="24">
        <f>SUMIFS('Saldos Iniciales'!$D:$D,'Saldos Iniciales'!$A:$A,"Green Harbor Trust")+SUMIFS(Movimientos!$K$1:$K$1324,Movimientos!$C$1:$C$1324,"Green Harbor Trust",Movimientos!$B$1:$B$1324,"&lt;="&amp;$B74)</f>
        <v>345</v>
      </c>
      <c r="U74" s="24">
        <f>SUMIFS('Saldos Iniciales'!$D:$D,'Saldos Iniciales'!$A:$A,"Go Blue")+SUMIFS(Movimientos!$K$1:$K$1324,Movimientos!$C$1:$C$1324,"Go Blue",Movimientos!$B$1:$B$1324,"&lt;="&amp;$B74)</f>
        <v>31900.120000000003</v>
      </c>
      <c r="V74" s="24">
        <f>IF(YEAR($B74)*100+MONTH($B74)&lt;--SUBSTITUTE(_xlfn.XLOOKUP("Pacha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LLC",Movimientos!$B$1:$B$1324,"&lt;="&amp;$B74))</f>
        <v>0</v>
      </c>
      <c r="W74" s="24">
        <f>IF(YEAR($B74)*100+MONTH($B74)&lt;--SUBSTITUTE(_xlfn.XLOOKUP("*CFT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Residence",Movimientos!$B$1:$B$1324,"&lt;="&amp;$B74))</f>
        <v>0</v>
      </c>
      <c r="X74" s="24">
        <f>IF(YEAR($B74)*100+MONTH($B74)&lt;--SUBSTITUTE(_xlfn.XLOOKUP("Carmen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Trust",Movimientos!$B$1:$B$1324,"&lt;="&amp;$B74))</f>
        <v>0</v>
      </c>
      <c r="Y74" s="24">
        <f>IF(YEAR($B74)*100+MONTH($B74)&lt;--SUBSTITUTE(_xlfn.XLOOKUP("SIYP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LLC",Movimientos!$B$1:$B$1324,"&lt;="&amp;$B74))</f>
        <v>0</v>
      </c>
      <c r="Z74" s="24">
        <f>IF(YEAR($B74)*100+MONTH($B74)&lt;--SUBSTITUTE(_xlfn.XLOOKUP("Prendamas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SRL",Movimientos!$B$1:$B$1324,"&lt;="&amp;$B74))</f>
        <v>0</v>
      </c>
      <c r="AA74" s="24">
        <f>IF(YEAR($B74)*100+MONTH($B74)&lt;--SUBSTITUTE(_xlfn.XLOOKUP("360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LLC",Movimientos!$B$1:$B$1324,"&lt;="&amp;$B74))</f>
        <v>0</v>
      </c>
      <c r="AB74" s="24">
        <f>IF(YEAR($B74)*100+MONTH($B74)&lt;--SUBSTITUTE(_xlfn.XLOOKUP("Five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",Movimientos!$B$1:$B$1324,"&lt;="&amp;$B74))</f>
        <v>0</v>
      </c>
      <c r="AC74" s="24">
        <f>IF(YEAR($B74)*100+MONTH($B74)&lt;--SUBSTITUTE(_xlfn.XLOOKUP("Nobe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Aparments",Movimientos!$B$1:$B$1324,"&lt;="&amp;$B74))</f>
        <v>0</v>
      </c>
      <c r="AD74" s="24">
        <f>IF(YEAR($B74)*100+MONTH($B74)&lt;--SUBSTITUTE(_xlfn.XLOOKUP("Don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Life",Movimientos!$B$1:$B$1324,"&lt;="&amp;$B74))</f>
        <v>0</v>
      </c>
      <c r="AE74" s="25">
        <f t="shared" si="3"/>
        <v>8483423.8600000013</v>
      </c>
    </row>
    <row r="75" spans="1:31" hidden="1" outlineLevel="1" x14ac:dyDescent="0.3">
      <c r="A75" s="22">
        <f t="shared" si="2"/>
        <v>74</v>
      </c>
      <c r="B75" s="23">
        <v>46216</v>
      </c>
      <c r="C75" s="24">
        <f>SUMIFS('Saldos Iniciales'!$D:$D,'Saldos Iniciales'!$A:$A,"CFT Group")+SUMIFS(Movimientos!$K$1:$K$1324,Movimientos!$C$1:$C$1324,"CFT Group",Movimientos!$B$1:$B$1324,"&lt;="&amp;$B75)</f>
        <v>4163755.7500000005</v>
      </c>
      <c r="D75" s="24">
        <f>SUMIFS('Saldos Iniciales'!$D:$D,'Saldos Iniciales'!$A:$A,"M1B")+SUMIFS(Movimientos!$K$1:$K$1324,Movimientos!$C$1:$C$1324,"M1B",Movimientos!$B$1:$B$1324,"&lt;="&amp;$B75)</f>
        <v>73157.680000000168</v>
      </c>
      <c r="E75" s="24">
        <f>SUMIFS('Saldos Iniciales'!$D:$D,'Saldos Iniciales'!$A:$A,"Durand")+SUMIFS(Movimientos!$K$1:$K$1324,Movimientos!$C$1:$C$1324,"Durand",Movimientos!$B$1:$B$1324,"&lt;="&amp;$B75)</f>
        <v>1669.89</v>
      </c>
      <c r="F75" s="24">
        <f>SUMIFS('Saldos Iniciales'!$D:$D,'Saldos Iniciales'!$A:$A,"A&amp;M Imports")+SUMIFS(Movimientos!$K$1:$K$1324,Movimientos!$C$1:$C$1324,"A&amp;M Imports",Movimientos!$B$1:$B$1324,"&lt;="&amp;$B75)</f>
        <v>290141.62999999989</v>
      </c>
      <c r="G75" s="24">
        <f>SUMIFS('Saldos Iniciales'!$D:$D,'Saldos Iniciales'!$A:$A,"SSP Capital")+SUMIFS(Movimientos!$K$1:$K$1324,Movimientos!$C$1:$C$1324,"SSP Capital",Movimientos!$B$1:$B$1324,"&lt;="&amp;$B75)</f>
        <v>1921752.2699999993</v>
      </c>
      <c r="H75" s="24">
        <f>SUMIFS('Saldos Iniciales'!$D:$D,'Saldos Iniciales'!$A:$A,"Cross Family Trust")+SUMIFS(Movimientos!$K$1:$K$1324,Movimientos!$C$1:$C$1324,"Cross Family Trust",Movimientos!$B$1:$B$1324,"&lt;="&amp;$B75)</f>
        <v>200496.38</v>
      </c>
      <c r="I75" s="24">
        <f>SUMIFS('Saldos Iniciales'!$D:$D,'Saldos Iniciales'!$A:$A,"Cross Security Trust")+SUMIFS(Movimientos!$K$1:$K$1324,Movimientos!$C$1:$C$1324,"Cross Security Trust",Movimientos!$B$1:$B$1324,"&lt;="&amp;$B75)</f>
        <v>267503.99000000005</v>
      </c>
      <c r="J75" s="24">
        <f>SUMIFS('Saldos Iniciales'!$D:$D,'Saldos Iniciales'!$A:$A,"Electrama")+SUMIFS(Movimientos!$K$1:$K$1324,Movimientos!$C$1:$C$1324,"Electrama",Movimientos!$B$1:$B$1324,"&lt;="&amp;$B75)</f>
        <v>14580.45</v>
      </c>
      <c r="K75" s="24">
        <f>SUMIFS('Saldos Iniciales'!$D:$D,'Saldos Iniciales'!$A:$A,"Sacred Valley Capital")+SUMIFS(Movimientos!$K$1:$K$1324,Movimientos!$C$1:$C$1324,"Sacred Valley Capital",Movimientos!$B$1:$B$1324,"&lt;="&amp;$B75)</f>
        <v>54.400000000000006</v>
      </c>
      <c r="L75" s="24">
        <f>SUMIFS('Saldos Iniciales'!$D:$D,'Saldos Iniciales'!$A:$A,"YWC Capital")+SUMIFS(Movimientos!$K$1:$K$1324,Movimientos!$C$1:$C$1324,"YWC Capital",Movimientos!$B$1:$B$1324,"&lt;="&amp;$B75)</f>
        <v>2207.8200000000002</v>
      </c>
      <c r="M75" s="24">
        <f>SUMIFS('Saldos Iniciales'!$D:$D,'Saldos Iniciales'!$A:$A,"Soweto")+SUMIFS(Movimientos!$K$1:$K$1324,Movimientos!$C$1:$C$1324,"Soweto",Movimientos!$B$1:$B$1324,"&lt;="&amp;$B75)</f>
        <v>1454589.72</v>
      </c>
      <c r="N75" s="24">
        <f>SUMIFS('Saldos Iniciales'!$D:$D,'Saldos Iniciales'!$A:$A,"Green Stone Trust")+SUMIFS(Movimientos!$K$1:$K$1324,Movimientos!$C$1:$C$1324,"Green Stone Trust",Movimientos!$B$1:$B$1324,"&lt;="&amp;$B75)</f>
        <v>1968.99</v>
      </c>
      <c r="O75" s="24">
        <f>SUMIFS('Saldos Iniciales'!$D:$D,'Saldos Iniciales'!$A:$A,"EC Auto")+SUMIFS(Movimientos!$K$1:$K$1324,Movimientos!$C$1:$C$1324,"EC Auto",Movimientos!$B$1:$B$1324,"&lt;="&amp;$B75)</f>
        <v>901.34</v>
      </c>
      <c r="P75" s="24">
        <f>SUMIFS('Saldos Iniciales'!$D:$D,'Saldos Iniciales'!$A:$A,"Arbor Capital Properties")+SUMIFS(Movimientos!$K$1:$K$1324,Movimientos!$C$1:$C$1324,"Arbor Capital Properties",Movimientos!$B$1:$B$1324,"&lt;="&amp;$B75)</f>
        <v>1412.08</v>
      </c>
      <c r="Q75" s="24">
        <f>SUMIFS('Saldos Iniciales'!$D:$D,'Saldos Iniciales'!$A:$A,"2515 Overbrook")+SUMIFS(Movimientos!$K$1:$K$1324,Movimientos!$C$1:$C$1324,"2515 Overbrook",Movimientos!$B$1:$B$1324,"&lt;="&amp;$B75)</f>
        <v>22496.639999999959</v>
      </c>
      <c r="R75" s="24">
        <f>SUMIFS('Saldos Iniciales'!$D:$D,'Saldos Iniciales'!$A:$A,"112 Florida Ave")+SUMIFS(Movimientos!$K$1:$K$1324,Movimientos!$C$1:$C$1324,"112 Florida Ave",Movimientos!$B$1:$B$1324,"&lt;="&amp;$B75)</f>
        <v>6522.8000000000029</v>
      </c>
      <c r="S75" s="24">
        <f>SUMIFS('Saldos Iniciales'!$D:$D,'Saldos Iniciales'!$A:$A,"3628 Thomas Ave")+SUMIFS(Movimientos!$K$1:$K$1324,Movimientos!$C$1:$C$1324,"3628 Thomas Ave",Movimientos!$B$1:$B$1324,"&lt;="&amp;$B75)</f>
        <v>28485.559999999998</v>
      </c>
      <c r="T75" s="24">
        <f>SUMIFS('Saldos Iniciales'!$D:$D,'Saldos Iniciales'!$A:$A,"Green Harbor Trust")+SUMIFS(Movimientos!$K$1:$K$1324,Movimientos!$C$1:$C$1324,"Green Harbor Trust",Movimientos!$B$1:$B$1324,"&lt;="&amp;$B75)</f>
        <v>345</v>
      </c>
      <c r="U75" s="24">
        <f>SUMIFS('Saldos Iniciales'!$D:$D,'Saldos Iniciales'!$A:$A,"Go Blue")+SUMIFS(Movimientos!$K$1:$K$1324,Movimientos!$C$1:$C$1324,"Go Blue",Movimientos!$B$1:$B$1324,"&lt;="&amp;$B75)</f>
        <v>25198.240000000002</v>
      </c>
      <c r="V75" s="24">
        <f>IF(YEAR($B75)*100+MONTH($B75)&lt;--SUBSTITUTE(_xlfn.XLOOKUP("Pacha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LLC",Movimientos!$B$1:$B$1324,"&lt;="&amp;$B75))</f>
        <v>0</v>
      </c>
      <c r="W75" s="24">
        <f>IF(YEAR($B75)*100+MONTH($B75)&lt;--SUBSTITUTE(_xlfn.XLOOKUP("*CFT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Residence",Movimientos!$B$1:$B$1324,"&lt;="&amp;$B75))</f>
        <v>0</v>
      </c>
      <c r="X75" s="24">
        <f>IF(YEAR($B75)*100+MONTH($B75)&lt;--SUBSTITUTE(_xlfn.XLOOKUP("Carmen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Trust",Movimientos!$B$1:$B$1324,"&lt;="&amp;$B75))</f>
        <v>0</v>
      </c>
      <c r="Y75" s="24">
        <f>IF(YEAR($B75)*100+MONTH($B75)&lt;--SUBSTITUTE(_xlfn.XLOOKUP("SIYP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LLC",Movimientos!$B$1:$B$1324,"&lt;="&amp;$B75))</f>
        <v>0</v>
      </c>
      <c r="Z75" s="24">
        <f>IF(YEAR($B75)*100+MONTH($B75)&lt;--SUBSTITUTE(_xlfn.XLOOKUP("Prendamas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SRL",Movimientos!$B$1:$B$1324,"&lt;="&amp;$B75))</f>
        <v>0</v>
      </c>
      <c r="AA75" s="24">
        <f>IF(YEAR($B75)*100+MONTH($B75)&lt;--SUBSTITUTE(_xlfn.XLOOKUP("360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LLC",Movimientos!$B$1:$B$1324,"&lt;="&amp;$B75))</f>
        <v>0</v>
      </c>
      <c r="AB75" s="24">
        <f>IF(YEAR($B75)*100+MONTH($B75)&lt;--SUBSTITUTE(_xlfn.XLOOKUP("Five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",Movimientos!$B$1:$B$1324,"&lt;="&amp;$B75))</f>
        <v>0</v>
      </c>
      <c r="AC75" s="24">
        <f>IF(YEAR($B75)*100+MONTH($B75)&lt;--SUBSTITUTE(_xlfn.XLOOKUP("Nobe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Aparments",Movimientos!$B$1:$B$1324,"&lt;="&amp;$B75))</f>
        <v>0</v>
      </c>
      <c r="AD75" s="24">
        <f>IF(YEAR($B75)*100+MONTH($B75)&lt;--SUBSTITUTE(_xlfn.XLOOKUP("Don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Life",Movimientos!$B$1:$B$1324,"&lt;="&amp;$B75))</f>
        <v>0</v>
      </c>
      <c r="AE75" s="25">
        <f t="shared" si="3"/>
        <v>8477240.6300000027</v>
      </c>
    </row>
    <row r="76" spans="1:31" hidden="1" outlineLevel="1" x14ac:dyDescent="0.3">
      <c r="A76" s="22">
        <f t="shared" si="2"/>
        <v>75</v>
      </c>
      <c r="B76" s="23">
        <v>46217</v>
      </c>
      <c r="C76" s="24">
        <f>SUMIFS('Saldos Iniciales'!$D:$D,'Saldos Iniciales'!$A:$A,"CFT Group")+SUMIFS(Movimientos!$K$1:$K$1324,Movimientos!$C$1:$C$1324,"CFT Group",Movimientos!$B$1:$B$1324,"&lt;="&amp;$B76)</f>
        <v>3363755.7500000005</v>
      </c>
      <c r="D76" s="24">
        <f>SUMIFS('Saldos Iniciales'!$D:$D,'Saldos Iniciales'!$A:$A,"M1B")+SUMIFS(Movimientos!$K$1:$K$1324,Movimientos!$C$1:$C$1324,"M1B",Movimientos!$B$1:$B$1324,"&lt;="&amp;$B76)</f>
        <v>73157.680000000168</v>
      </c>
      <c r="E76" s="24">
        <f>SUMIFS('Saldos Iniciales'!$D:$D,'Saldos Iniciales'!$A:$A,"Durand")+SUMIFS(Movimientos!$K$1:$K$1324,Movimientos!$C$1:$C$1324,"Durand",Movimientos!$B$1:$B$1324,"&lt;="&amp;$B76)</f>
        <v>1669.89</v>
      </c>
      <c r="F76" s="24">
        <f>SUMIFS('Saldos Iniciales'!$D:$D,'Saldos Iniciales'!$A:$A,"A&amp;M Imports")+SUMIFS(Movimientos!$K$1:$K$1324,Movimientos!$C$1:$C$1324,"A&amp;M Imports",Movimientos!$B$1:$B$1324,"&lt;="&amp;$B76)</f>
        <v>1090141.6299999999</v>
      </c>
      <c r="G76" s="24">
        <f>SUMIFS('Saldos Iniciales'!$D:$D,'Saldos Iniciales'!$A:$A,"SSP Capital")+SUMIFS(Movimientos!$K$1:$K$1324,Movimientos!$C$1:$C$1324,"SSP Capital",Movimientos!$B$1:$B$1324,"&lt;="&amp;$B76)</f>
        <v>1856542.8899999992</v>
      </c>
      <c r="H76" s="24">
        <f>SUMIFS('Saldos Iniciales'!$D:$D,'Saldos Iniciales'!$A:$A,"Cross Family Trust")+SUMIFS(Movimientos!$K$1:$K$1324,Movimientos!$C$1:$C$1324,"Cross Family Trust",Movimientos!$B$1:$B$1324,"&lt;="&amp;$B76)</f>
        <v>200496.38</v>
      </c>
      <c r="I76" s="24">
        <f>SUMIFS('Saldos Iniciales'!$D:$D,'Saldos Iniciales'!$A:$A,"Cross Security Trust")+SUMIFS(Movimientos!$K$1:$K$1324,Movimientos!$C$1:$C$1324,"Cross Security Trust",Movimientos!$B$1:$B$1324,"&lt;="&amp;$B76)</f>
        <v>267503.99000000005</v>
      </c>
      <c r="J76" s="24">
        <f>SUMIFS('Saldos Iniciales'!$D:$D,'Saldos Iniciales'!$A:$A,"Electrama")+SUMIFS(Movimientos!$K$1:$K$1324,Movimientos!$C$1:$C$1324,"Electrama",Movimientos!$B$1:$B$1324,"&lt;="&amp;$B76)</f>
        <v>14580.45</v>
      </c>
      <c r="K76" s="24">
        <f>SUMIFS('Saldos Iniciales'!$D:$D,'Saldos Iniciales'!$A:$A,"Sacred Valley Capital")+SUMIFS(Movimientos!$K$1:$K$1324,Movimientos!$C$1:$C$1324,"Sacred Valley Capital",Movimientos!$B$1:$B$1324,"&lt;="&amp;$B76)</f>
        <v>54.400000000000006</v>
      </c>
      <c r="L76" s="24">
        <f>SUMIFS('Saldos Iniciales'!$D:$D,'Saldos Iniciales'!$A:$A,"YWC Capital")+SUMIFS(Movimientos!$K$1:$K$1324,Movimientos!$C$1:$C$1324,"YWC Capital",Movimientos!$B$1:$B$1324,"&lt;="&amp;$B76)</f>
        <v>2207.8200000000002</v>
      </c>
      <c r="M76" s="24">
        <f>SUMIFS('Saldos Iniciales'!$D:$D,'Saldos Iniciales'!$A:$A,"Soweto")+SUMIFS(Movimientos!$K$1:$K$1324,Movimientos!$C$1:$C$1324,"Soweto",Movimientos!$B$1:$B$1324,"&lt;="&amp;$B76)</f>
        <v>1454589.72</v>
      </c>
      <c r="N76" s="24">
        <f>SUMIFS('Saldos Iniciales'!$D:$D,'Saldos Iniciales'!$A:$A,"Green Stone Trust")+SUMIFS(Movimientos!$K$1:$K$1324,Movimientos!$C$1:$C$1324,"Green Stone Trust",Movimientos!$B$1:$B$1324,"&lt;="&amp;$B76)</f>
        <v>1968.99</v>
      </c>
      <c r="O76" s="24">
        <f>SUMIFS('Saldos Iniciales'!$D:$D,'Saldos Iniciales'!$A:$A,"EC Auto")+SUMIFS(Movimientos!$K$1:$K$1324,Movimientos!$C$1:$C$1324,"EC Auto",Movimientos!$B$1:$B$1324,"&lt;="&amp;$B76)</f>
        <v>901.34</v>
      </c>
      <c r="P76" s="24">
        <f>SUMIFS('Saldos Iniciales'!$D:$D,'Saldos Iniciales'!$A:$A,"Arbor Capital Properties")+SUMIFS(Movimientos!$K$1:$K$1324,Movimientos!$C$1:$C$1324,"Arbor Capital Properties",Movimientos!$B$1:$B$1324,"&lt;="&amp;$B76)</f>
        <v>1412.08</v>
      </c>
      <c r="Q76" s="24">
        <f>SUMIFS('Saldos Iniciales'!$D:$D,'Saldos Iniciales'!$A:$A,"2515 Overbrook")+SUMIFS(Movimientos!$K$1:$K$1324,Movimientos!$C$1:$C$1324,"2515 Overbrook",Movimientos!$B$1:$B$1324,"&lt;="&amp;$B76)</f>
        <v>22347.56999999996</v>
      </c>
      <c r="R76" s="24">
        <f>SUMIFS('Saldos Iniciales'!$D:$D,'Saldos Iniciales'!$A:$A,"112 Florida Ave")+SUMIFS(Movimientos!$K$1:$K$1324,Movimientos!$C$1:$C$1324,"112 Florida Ave",Movimientos!$B$1:$B$1324,"&lt;="&amp;$B76)</f>
        <v>6522.8000000000029</v>
      </c>
      <c r="S76" s="24">
        <f>SUMIFS('Saldos Iniciales'!$D:$D,'Saldos Iniciales'!$A:$A,"3628 Thomas Ave")+SUMIFS(Movimientos!$K$1:$K$1324,Movimientos!$C$1:$C$1324,"3628 Thomas Ave",Movimientos!$B$1:$B$1324,"&lt;="&amp;$B76)</f>
        <v>28485.559999999998</v>
      </c>
      <c r="T76" s="24">
        <f>SUMIFS('Saldos Iniciales'!$D:$D,'Saldos Iniciales'!$A:$A,"Green Harbor Trust")+SUMIFS(Movimientos!$K$1:$K$1324,Movimientos!$C$1:$C$1324,"Green Harbor Trust",Movimientos!$B$1:$B$1324,"&lt;="&amp;$B76)</f>
        <v>345</v>
      </c>
      <c r="U76" s="24">
        <f>SUMIFS('Saldos Iniciales'!$D:$D,'Saldos Iniciales'!$A:$A,"Go Blue")+SUMIFS(Movimientos!$K$1:$K$1324,Movimientos!$C$1:$C$1324,"Go Blue",Movimientos!$B$1:$B$1324,"&lt;="&amp;$B76)</f>
        <v>25198.240000000002</v>
      </c>
      <c r="V76" s="24">
        <f>IF(YEAR($B76)*100+MONTH($B76)&lt;--SUBSTITUTE(_xlfn.XLOOKUP("Pacha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LLC",Movimientos!$B$1:$B$1324,"&lt;="&amp;$B76))</f>
        <v>0</v>
      </c>
      <c r="W76" s="24">
        <f>IF(YEAR($B76)*100+MONTH($B76)&lt;--SUBSTITUTE(_xlfn.XLOOKUP("*CFT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Residence",Movimientos!$B$1:$B$1324,"&lt;="&amp;$B76))</f>
        <v>0</v>
      </c>
      <c r="X76" s="24">
        <f>IF(YEAR($B76)*100+MONTH($B76)&lt;--SUBSTITUTE(_xlfn.XLOOKUP("Carmen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Trust",Movimientos!$B$1:$B$1324,"&lt;="&amp;$B76))</f>
        <v>0</v>
      </c>
      <c r="Y76" s="24">
        <f>IF(YEAR($B76)*100+MONTH($B76)&lt;--SUBSTITUTE(_xlfn.XLOOKUP("SIYP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LLC",Movimientos!$B$1:$B$1324,"&lt;="&amp;$B76))</f>
        <v>0</v>
      </c>
      <c r="Z76" s="24">
        <f>IF(YEAR($B76)*100+MONTH($B76)&lt;--SUBSTITUTE(_xlfn.XLOOKUP("Prendamas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SRL",Movimientos!$B$1:$B$1324,"&lt;="&amp;$B76))</f>
        <v>0</v>
      </c>
      <c r="AA76" s="24">
        <f>IF(YEAR($B76)*100+MONTH($B76)&lt;--SUBSTITUTE(_xlfn.XLOOKUP("360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LLC",Movimientos!$B$1:$B$1324,"&lt;="&amp;$B76))</f>
        <v>0</v>
      </c>
      <c r="AB76" s="24">
        <f>IF(YEAR($B76)*100+MONTH($B76)&lt;--SUBSTITUTE(_xlfn.XLOOKUP("Five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",Movimientos!$B$1:$B$1324,"&lt;="&amp;$B76))</f>
        <v>0</v>
      </c>
      <c r="AC76" s="24">
        <f>IF(YEAR($B76)*100+MONTH($B76)&lt;--SUBSTITUTE(_xlfn.XLOOKUP("Nobe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Aparments",Movimientos!$B$1:$B$1324,"&lt;="&amp;$B76))</f>
        <v>0</v>
      </c>
      <c r="AD76" s="24">
        <f>IF(YEAR($B76)*100+MONTH($B76)&lt;--SUBSTITUTE(_xlfn.XLOOKUP("Don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Life",Movimientos!$B$1:$B$1324,"&lt;="&amp;$B76))</f>
        <v>0</v>
      </c>
      <c r="AE76" s="25">
        <f t="shared" si="3"/>
        <v>8411882.1799999997</v>
      </c>
    </row>
    <row r="77" spans="1:31" hidden="1" outlineLevel="1" x14ac:dyDescent="0.3">
      <c r="A77" s="22">
        <f t="shared" si="2"/>
        <v>76</v>
      </c>
      <c r="B77" s="23">
        <v>46218</v>
      </c>
      <c r="C77" s="24">
        <f>SUMIFS('Saldos Iniciales'!$D:$D,'Saldos Iniciales'!$A:$A,"CFT Group")+SUMIFS(Movimientos!$K$1:$K$1324,Movimientos!$C$1:$C$1324,"CFT Group",Movimientos!$B$1:$B$1324,"&lt;="&amp;$B77)</f>
        <v>3363755.7500000005</v>
      </c>
      <c r="D77" s="24">
        <f>SUMIFS('Saldos Iniciales'!$D:$D,'Saldos Iniciales'!$A:$A,"M1B")+SUMIFS(Movimientos!$K$1:$K$1324,Movimientos!$C$1:$C$1324,"M1B",Movimientos!$B$1:$B$1324,"&lt;="&amp;$B77)</f>
        <v>73157.680000000168</v>
      </c>
      <c r="E77" s="24">
        <f>SUMIFS('Saldos Iniciales'!$D:$D,'Saldos Iniciales'!$A:$A,"Durand")+SUMIFS(Movimientos!$K$1:$K$1324,Movimientos!$C$1:$C$1324,"Durand",Movimientos!$B$1:$B$1324,"&lt;="&amp;$B77)</f>
        <v>1669.89</v>
      </c>
      <c r="F77" s="24">
        <f>SUMIFS('Saldos Iniciales'!$D:$D,'Saldos Iniciales'!$A:$A,"A&amp;M Imports")+SUMIFS(Movimientos!$K$1:$K$1324,Movimientos!$C$1:$C$1324,"A&amp;M Imports",Movimientos!$B$1:$B$1324,"&lt;="&amp;$B77)</f>
        <v>1089804.7499999998</v>
      </c>
      <c r="G77" s="24">
        <f>SUMIFS('Saldos Iniciales'!$D:$D,'Saldos Iniciales'!$A:$A,"SSP Capital")+SUMIFS(Movimientos!$K$1:$K$1324,Movimientos!$C$1:$C$1324,"SSP Capital",Movimientos!$B$1:$B$1324,"&lt;="&amp;$B77)</f>
        <v>1856513.4499999993</v>
      </c>
      <c r="H77" s="24">
        <f>SUMIFS('Saldos Iniciales'!$D:$D,'Saldos Iniciales'!$A:$A,"Cross Family Trust")+SUMIFS(Movimientos!$K$1:$K$1324,Movimientos!$C$1:$C$1324,"Cross Family Trust",Movimientos!$B$1:$B$1324,"&lt;="&amp;$B77)</f>
        <v>200496.38</v>
      </c>
      <c r="I77" s="24">
        <f>SUMIFS('Saldos Iniciales'!$D:$D,'Saldos Iniciales'!$A:$A,"Cross Security Trust")+SUMIFS(Movimientos!$K$1:$K$1324,Movimientos!$C$1:$C$1324,"Cross Security Trust",Movimientos!$B$1:$B$1324,"&lt;="&amp;$B77)</f>
        <v>267503.99000000005</v>
      </c>
      <c r="J77" s="24">
        <f>SUMIFS('Saldos Iniciales'!$D:$D,'Saldos Iniciales'!$A:$A,"Electrama")+SUMIFS(Movimientos!$K$1:$K$1324,Movimientos!$C$1:$C$1324,"Electrama",Movimientos!$B$1:$B$1324,"&lt;="&amp;$B77)</f>
        <v>14580.45</v>
      </c>
      <c r="K77" s="24">
        <f>SUMIFS('Saldos Iniciales'!$D:$D,'Saldos Iniciales'!$A:$A,"Sacred Valley Capital")+SUMIFS(Movimientos!$K$1:$K$1324,Movimientos!$C$1:$C$1324,"Sacred Valley Capital",Movimientos!$B$1:$B$1324,"&lt;="&amp;$B77)</f>
        <v>54.400000000000006</v>
      </c>
      <c r="L77" s="24">
        <f>SUMIFS('Saldos Iniciales'!$D:$D,'Saldos Iniciales'!$A:$A,"YWC Capital")+SUMIFS(Movimientos!$K$1:$K$1324,Movimientos!$C$1:$C$1324,"YWC Capital",Movimientos!$B$1:$B$1324,"&lt;="&amp;$B77)</f>
        <v>2207.8200000000002</v>
      </c>
      <c r="M77" s="24">
        <f>SUMIFS('Saldos Iniciales'!$D:$D,'Saldos Iniciales'!$A:$A,"Soweto")+SUMIFS(Movimientos!$K$1:$K$1324,Movimientos!$C$1:$C$1324,"Soweto",Movimientos!$B$1:$B$1324,"&lt;="&amp;$B77)</f>
        <v>1454589.72</v>
      </c>
      <c r="N77" s="24">
        <f>SUMIFS('Saldos Iniciales'!$D:$D,'Saldos Iniciales'!$A:$A,"Green Stone Trust")+SUMIFS(Movimientos!$K$1:$K$1324,Movimientos!$C$1:$C$1324,"Green Stone Trust",Movimientos!$B$1:$B$1324,"&lt;="&amp;$B77)</f>
        <v>1968.99</v>
      </c>
      <c r="O77" s="24">
        <f>SUMIFS('Saldos Iniciales'!$D:$D,'Saldos Iniciales'!$A:$A,"EC Auto")+SUMIFS(Movimientos!$K$1:$K$1324,Movimientos!$C$1:$C$1324,"EC Auto",Movimientos!$B$1:$B$1324,"&lt;="&amp;$B77)</f>
        <v>901.34</v>
      </c>
      <c r="P77" s="24">
        <f>SUMIFS('Saldos Iniciales'!$D:$D,'Saldos Iniciales'!$A:$A,"Arbor Capital Properties")+SUMIFS(Movimientos!$K$1:$K$1324,Movimientos!$C$1:$C$1324,"Arbor Capital Properties",Movimientos!$B$1:$B$1324,"&lt;="&amp;$B77)</f>
        <v>1412.08</v>
      </c>
      <c r="Q77" s="24">
        <f>SUMIFS('Saldos Iniciales'!$D:$D,'Saldos Iniciales'!$A:$A,"2515 Overbrook")+SUMIFS(Movimientos!$K$1:$K$1324,Movimientos!$C$1:$C$1324,"2515 Overbrook",Movimientos!$B$1:$B$1324,"&lt;="&amp;$B77)</f>
        <v>22347.56999999996</v>
      </c>
      <c r="R77" s="24">
        <f>SUMIFS('Saldos Iniciales'!$D:$D,'Saldos Iniciales'!$A:$A,"112 Florida Ave")+SUMIFS(Movimientos!$K$1:$K$1324,Movimientos!$C$1:$C$1324,"112 Florida Ave",Movimientos!$B$1:$B$1324,"&lt;="&amp;$B77)</f>
        <v>6522.8000000000029</v>
      </c>
      <c r="S77" s="24">
        <f>SUMIFS('Saldos Iniciales'!$D:$D,'Saldos Iniciales'!$A:$A,"3628 Thomas Ave")+SUMIFS(Movimientos!$K$1:$K$1324,Movimientos!$C$1:$C$1324,"3628 Thomas Ave",Movimientos!$B$1:$B$1324,"&lt;="&amp;$B77)</f>
        <v>28485.559999999998</v>
      </c>
      <c r="T77" s="24">
        <f>SUMIFS('Saldos Iniciales'!$D:$D,'Saldos Iniciales'!$A:$A,"Green Harbor Trust")+SUMIFS(Movimientos!$K$1:$K$1324,Movimientos!$C$1:$C$1324,"Green Harbor Trust",Movimientos!$B$1:$B$1324,"&lt;="&amp;$B77)</f>
        <v>345</v>
      </c>
      <c r="U77" s="24">
        <f>SUMIFS('Saldos Iniciales'!$D:$D,'Saldos Iniciales'!$A:$A,"Go Blue")+SUMIFS(Movimientos!$K$1:$K$1324,Movimientos!$C$1:$C$1324,"Go Blue",Movimientos!$B$1:$B$1324,"&lt;="&amp;$B77)</f>
        <v>25023.24</v>
      </c>
      <c r="V77" s="24">
        <f>IF(YEAR($B77)*100+MONTH($B77)&lt;--SUBSTITUTE(_xlfn.XLOOKUP("Pacha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LLC",Movimientos!$B$1:$B$1324,"&lt;="&amp;$B77))</f>
        <v>0</v>
      </c>
      <c r="W77" s="24">
        <f>IF(YEAR($B77)*100+MONTH($B77)&lt;--SUBSTITUTE(_xlfn.XLOOKUP("*CFT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Residence",Movimientos!$B$1:$B$1324,"&lt;="&amp;$B77))</f>
        <v>0</v>
      </c>
      <c r="X77" s="24">
        <f>IF(YEAR($B77)*100+MONTH($B77)&lt;--SUBSTITUTE(_xlfn.XLOOKUP("Carmen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Trust",Movimientos!$B$1:$B$1324,"&lt;="&amp;$B77))</f>
        <v>0</v>
      </c>
      <c r="Y77" s="24">
        <f>IF(YEAR($B77)*100+MONTH($B77)&lt;--SUBSTITUTE(_xlfn.XLOOKUP("SIYP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LLC",Movimientos!$B$1:$B$1324,"&lt;="&amp;$B77))</f>
        <v>0</v>
      </c>
      <c r="Z77" s="24">
        <f>IF(YEAR($B77)*100+MONTH($B77)&lt;--SUBSTITUTE(_xlfn.XLOOKUP("Prendamas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SRL",Movimientos!$B$1:$B$1324,"&lt;="&amp;$B77))</f>
        <v>0</v>
      </c>
      <c r="AA77" s="24">
        <f>IF(YEAR($B77)*100+MONTH($B77)&lt;--SUBSTITUTE(_xlfn.XLOOKUP("360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LLC",Movimientos!$B$1:$B$1324,"&lt;="&amp;$B77))</f>
        <v>0</v>
      </c>
      <c r="AB77" s="24">
        <f>IF(YEAR($B77)*100+MONTH($B77)&lt;--SUBSTITUTE(_xlfn.XLOOKUP("Five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",Movimientos!$B$1:$B$1324,"&lt;="&amp;$B77))</f>
        <v>0</v>
      </c>
      <c r="AC77" s="24">
        <f>IF(YEAR($B77)*100+MONTH($B77)&lt;--SUBSTITUTE(_xlfn.XLOOKUP("Nobe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Aparments",Movimientos!$B$1:$B$1324,"&lt;="&amp;$B77))</f>
        <v>0</v>
      </c>
      <c r="AD77" s="24">
        <f>IF(YEAR($B77)*100+MONTH($B77)&lt;--SUBSTITUTE(_xlfn.XLOOKUP("Don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Life",Movimientos!$B$1:$B$1324,"&lt;="&amp;$B77))</f>
        <v>0</v>
      </c>
      <c r="AE77" s="25">
        <f t="shared" si="3"/>
        <v>8411340.8599999994</v>
      </c>
    </row>
    <row r="78" spans="1:31" hidden="1" outlineLevel="1" x14ac:dyDescent="0.3">
      <c r="A78" s="22">
        <f t="shared" si="2"/>
        <v>77</v>
      </c>
      <c r="B78" s="23">
        <v>46219</v>
      </c>
      <c r="C78" s="24">
        <f>SUMIFS('Saldos Iniciales'!$D:$D,'Saldos Iniciales'!$A:$A,"CFT Group")+SUMIFS(Movimientos!$K$1:$K$1324,Movimientos!$C$1:$C$1324,"CFT Group",Movimientos!$B$1:$B$1324,"&lt;="&amp;$B78)</f>
        <v>3110339.0700000008</v>
      </c>
      <c r="D78" s="24">
        <f>SUMIFS('Saldos Iniciales'!$D:$D,'Saldos Iniciales'!$A:$A,"M1B")+SUMIFS(Movimientos!$K$1:$K$1324,Movimientos!$C$1:$C$1324,"M1B",Movimientos!$B$1:$B$1324,"&lt;="&amp;$B78)</f>
        <v>73157.680000000168</v>
      </c>
      <c r="E78" s="24">
        <f>SUMIFS('Saldos Iniciales'!$D:$D,'Saldos Iniciales'!$A:$A,"Durand")+SUMIFS(Movimientos!$K$1:$K$1324,Movimientos!$C$1:$C$1324,"Durand",Movimientos!$B$1:$B$1324,"&lt;="&amp;$B78)</f>
        <v>1669.89</v>
      </c>
      <c r="F78" s="24">
        <f>SUMIFS('Saldos Iniciales'!$D:$D,'Saldos Iniciales'!$A:$A,"A&amp;M Imports")+SUMIFS(Movimientos!$K$1:$K$1324,Movimientos!$C$1:$C$1324,"A&amp;M Imports",Movimientos!$B$1:$B$1324,"&lt;="&amp;$B78)</f>
        <v>1029804.7499999998</v>
      </c>
      <c r="G78" s="24">
        <f>SUMIFS('Saldos Iniciales'!$D:$D,'Saldos Iniciales'!$A:$A,"SSP Capital")+SUMIFS(Movimientos!$K$1:$K$1324,Movimientos!$C$1:$C$1324,"SSP Capital",Movimientos!$B$1:$B$1324,"&lt;="&amp;$B78)</f>
        <v>1678189.7499999995</v>
      </c>
      <c r="H78" s="24">
        <f>SUMIFS('Saldos Iniciales'!$D:$D,'Saldos Iniciales'!$A:$A,"Cross Family Trust")+SUMIFS(Movimientos!$K$1:$K$1324,Movimientos!$C$1:$C$1324,"Cross Family Trust",Movimientos!$B$1:$B$1324,"&lt;="&amp;$B78)</f>
        <v>200496.38</v>
      </c>
      <c r="I78" s="24">
        <f>SUMIFS('Saldos Iniciales'!$D:$D,'Saldos Iniciales'!$A:$A,"Cross Security Trust")+SUMIFS(Movimientos!$K$1:$K$1324,Movimientos!$C$1:$C$1324,"Cross Security Trust",Movimientos!$B$1:$B$1324,"&lt;="&amp;$B78)</f>
        <v>267507.45</v>
      </c>
      <c r="J78" s="24">
        <f>SUMIFS('Saldos Iniciales'!$D:$D,'Saldos Iniciales'!$A:$A,"Electrama")+SUMIFS(Movimientos!$K$1:$K$1324,Movimientos!$C$1:$C$1324,"Electrama",Movimientos!$B$1:$B$1324,"&lt;="&amp;$B78)</f>
        <v>14580.45</v>
      </c>
      <c r="K78" s="24">
        <f>SUMIFS('Saldos Iniciales'!$D:$D,'Saldos Iniciales'!$A:$A,"Sacred Valley Capital")+SUMIFS(Movimientos!$K$1:$K$1324,Movimientos!$C$1:$C$1324,"Sacred Valley Capital",Movimientos!$B$1:$B$1324,"&lt;="&amp;$B78)</f>
        <v>54.400000000000006</v>
      </c>
      <c r="L78" s="24">
        <f>SUMIFS('Saldos Iniciales'!$D:$D,'Saldos Iniciales'!$A:$A,"YWC Capital")+SUMIFS(Movimientos!$K$1:$K$1324,Movimientos!$C$1:$C$1324,"YWC Capital",Movimientos!$B$1:$B$1324,"&lt;="&amp;$B78)</f>
        <v>2207.8200000000002</v>
      </c>
      <c r="M78" s="24">
        <f>SUMIFS('Saldos Iniciales'!$D:$D,'Saldos Iniciales'!$A:$A,"Soweto")+SUMIFS(Movimientos!$K$1:$K$1324,Movimientos!$C$1:$C$1324,"Soweto",Movimientos!$B$1:$B$1324,"&lt;="&amp;$B78)</f>
        <v>1454589.72</v>
      </c>
      <c r="N78" s="24">
        <f>SUMIFS('Saldos Iniciales'!$D:$D,'Saldos Iniciales'!$A:$A,"Green Stone Trust")+SUMIFS(Movimientos!$K$1:$K$1324,Movimientos!$C$1:$C$1324,"Green Stone Trust",Movimientos!$B$1:$B$1324,"&lt;="&amp;$B78)</f>
        <v>1968.99</v>
      </c>
      <c r="O78" s="24">
        <f>SUMIFS('Saldos Iniciales'!$D:$D,'Saldos Iniciales'!$A:$A,"EC Auto")+SUMIFS(Movimientos!$K$1:$K$1324,Movimientos!$C$1:$C$1324,"EC Auto",Movimientos!$B$1:$B$1324,"&lt;="&amp;$B78)</f>
        <v>901.34</v>
      </c>
      <c r="P78" s="24">
        <f>SUMIFS('Saldos Iniciales'!$D:$D,'Saldos Iniciales'!$A:$A,"Arbor Capital Properties")+SUMIFS(Movimientos!$K$1:$K$1324,Movimientos!$C$1:$C$1324,"Arbor Capital Properties",Movimientos!$B$1:$B$1324,"&lt;="&amp;$B78)</f>
        <v>1412.08</v>
      </c>
      <c r="Q78" s="24">
        <f>SUMIFS('Saldos Iniciales'!$D:$D,'Saldos Iniciales'!$A:$A,"2515 Overbrook")+SUMIFS(Movimientos!$K$1:$K$1324,Movimientos!$C$1:$C$1324,"2515 Overbrook",Movimientos!$B$1:$B$1324,"&lt;="&amp;$B78)</f>
        <v>22347.56999999996</v>
      </c>
      <c r="R78" s="24">
        <f>SUMIFS('Saldos Iniciales'!$D:$D,'Saldos Iniciales'!$A:$A,"112 Florida Ave")+SUMIFS(Movimientos!$K$1:$K$1324,Movimientos!$C$1:$C$1324,"112 Florida Ave",Movimientos!$B$1:$B$1324,"&lt;="&amp;$B78)</f>
        <v>3522.8000000000029</v>
      </c>
      <c r="S78" s="24">
        <f>SUMIFS('Saldos Iniciales'!$D:$D,'Saldos Iniciales'!$A:$A,"3628 Thomas Ave")+SUMIFS(Movimientos!$K$1:$K$1324,Movimientos!$C$1:$C$1324,"3628 Thomas Ave",Movimientos!$B$1:$B$1324,"&lt;="&amp;$B78)</f>
        <v>28485.559999999998</v>
      </c>
      <c r="T78" s="24">
        <f>SUMIFS('Saldos Iniciales'!$D:$D,'Saldos Iniciales'!$A:$A,"Green Harbor Trust")+SUMIFS(Movimientos!$K$1:$K$1324,Movimientos!$C$1:$C$1324,"Green Harbor Trust",Movimientos!$B$1:$B$1324,"&lt;="&amp;$B78)</f>
        <v>345</v>
      </c>
      <c r="U78" s="24">
        <f>SUMIFS('Saldos Iniciales'!$D:$D,'Saldos Iniciales'!$A:$A,"Go Blue")+SUMIFS(Movimientos!$K$1:$K$1324,Movimientos!$C$1:$C$1324,"Go Blue",Movimientos!$B$1:$B$1324,"&lt;="&amp;$B78)</f>
        <v>23978.850000000002</v>
      </c>
      <c r="V78" s="24">
        <f>IF(YEAR($B78)*100+MONTH($B78)&lt;--SUBSTITUTE(_xlfn.XLOOKUP("Pacha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LLC",Movimientos!$B$1:$B$1324,"&lt;="&amp;$B78))</f>
        <v>0</v>
      </c>
      <c r="W78" s="24">
        <f>IF(YEAR($B78)*100+MONTH($B78)&lt;--SUBSTITUTE(_xlfn.XLOOKUP("*CFT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Residence",Movimientos!$B$1:$B$1324,"&lt;="&amp;$B78))</f>
        <v>0</v>
      </c>
      <c r="X78" s="24">
        <f>IF(YEAR($B78)*100+MONTH($B78)&lt;--SUBSTITUTE(_xlfn.XLOOKUP("Carmen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Trust",Movimientos!$B$1:$B$1324,"&lt;="&amp;$B78))</f>
        <v>0</v>
      </c>
      <c r="Y78" s="24">
        <f>IF(YEAR($B78)*100+MONTH($B78)&lt;--SUBSTITUTE(_xlfn.XLOOKUP("SIYP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LLC",Movimientos!$B$1:$B$1324,"&lt;="&amp;$B78))</f>
        <v>0</v>
      </c>
      <c r="Z78" s="24">
        <f>IF(YEAR($B78)*100+MONTH($B78)&lt;--SUBSTITUTE(_xlfn.XLOOKUP("Prendamas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SRL",Movimientos!$B$1:$B$1324,"&lt;="&amp;$B78))</f>
        <v>0</v>
      </c>
      <c r="AA78" s="24">
        <f>IF(YEAR($B78)*100+MONTH($B78)&lt;--SUBSTITUTE(_xlfn.XLOOKUP("360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LLC",Movimientos!$B$1:$B$1324,"&lt;="&amp;$B78))</f>
        <v>0</v>
      </c>
      <c r="AB78" s="24">
        <f>IF(YEAR($B78)*100+MONTH($B78)&lt;--SUBSTITUTE(_xlfn.XLOOKUP("Five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",Movimientos!$B$1:$B$1324,"&lt;="&amp;$B78))</f>
        <v>0</v>
      </c>
      <c r="AC78" s="24">
        <f>IF(YEAR($B78)*100+MONTH($B78)&lt;--SUBSTITUTE(_xlfn.XLOOKUP("Nobe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Aparments",Movimientos!$B$1:$B$1324,"&lt;="&amp;$B78))</f>
        <v>0</v>
      </c>
      <c r="AD78" s="24">
        <f>IF(YEAR($B78)*100+MONTH($B78)&lt;--SUBSTITUTE(_xlfn.XLOOKUP("Don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Life",Movimientos!$B$1:$B$1324,"&lt;="&amp;$B78))</f>
        <v>0</v>
      </c>
      <c r="AE78" s="25">
        <f t="shared" si="3"/>
        <v>7915559.5500000007</v>
      </c>
    </row>
    <row r="79" spans="1:31" hidden="1" outlineLevel="1" x14ac:dyDescent="0.3">
      <c r="A79" s="22">
        <f t="shared" si="2"/>
        <v>78</v>
      </c>
      <c r="B79" s="23">
        <v>46220</v>
      </c>
      <c r="C79" s="24">
        <f>SUMIFS('Saldos Iniciales'!$D:$D,'Saldos Iniciales'!$A:$A,"CFT Group")+SUMIFS(Movimientos!$K$1:$K$1324,Movimientos!$C$1:$C$1324,"CFT Group",Movimientos!$B$1:$B$1324,"&lt;="&amp;$B79)</f>
        <v>3110339.0700000008</v>
      </c>
      <c r="D79" s="24">
        <f>SUMIFS('Saldos Iniciales'!$D:$D,'Saldos Iniciales'!$A:$A,"M1B")+SUMIFS(Movimientos!$K$1:$K$1324,Movimientos!$C$1:$C$1324,"M1B",Movimientos!$B$1:$B$1324,"&lt;="&amp;$B79)</f>
        <v>73157.680000000168</v>
      </c>
      <c r="E79" s="24">
        <f>SUMIFS('Saldos Iniciales'!$D:$D,'Saldos Iniciales'!$A:$A,"Durand")+SUMIFS(Movimientos!$K$1:$K$1324,Movimientos!$C$1:$C$1324,"Durand",Movimientos!$B$1:$B$1324,"&lt;="&amp;$B79)</f>
        <v>1669.89</v>
      </c>
      <c r="F79" s="24">
        <f>SUMIFS('Saldos Iniciales'!$D:$D,'Saldos Iniciales'!$A:$A,"A&amp;M Imports")+SUMIFS(Movimientos!$K$1:$K$1324,Movimientos!$C$1:$C$1324,"A&amp;M Imports",Movimientos!$B$1:$B$1324,"&lt;="&amp;$B79)</f>
        <v>1029804.7499999998</v>
      </c>
      <c r="G79" s="24">
        <f>SUMIFS('Saldos Iniciales'!$D:$D,'Saldos Iniciales'!$A:$A,"SSP Capital")+SUMIFS(Movimientos!$K$1:$K$1324,Movimientos!$C$1:$C$1324,"SSP Capital",Movimientos!$B$1:$B$1324,"&lt;="&amp;$B79)</f>
        <v>1748189.7499999995</v>
      </c>
      <c r="H79" s="24">
        <f>SUMIFS('Saldos Iniciales'!$D:$D,'Saldos Iniciales'!$A:$A,"Cross Family Trust")+SUMIFS(Movimientos!$K$1:$K$1324,Movimientos!$C$1:$C$1324,"Cross Family Trust",Movimientos!$B$1:$B$1324,"&lt;="&amp;$B79)</f>
        <v>200496.38</v>
      </c>
      <c r="I79" s="24">
        <f>SUMIFS('Saldos Iniciales'!$D:$D,'Saldos Iniciales'!$A:$A,"Cross Security Trust")+SUMIFS(Movimientos!$K$1:$K$1324,Movimientos!$C$1:$C$1324,"Cross Security Trust",Movimientos!$B$1:$B$1324,"&lt;="&amp;$B79)</f>
        <v>267507.45</v>
      </c>
      <c r="J79" s="24">
        <f>SUMIFS('Saldos Iniciales'!$D:$D,'Saldos Iniciales'!$A:$A,"Electrama")+SUMIFS(Movimientos!$K$1:$K$1324,Movimientos!$C$1:$C$1324,"Electrama",Movimientos!$B$1:$B$1324,"&lt;="&amp;$B79)</f>
        <v>14580.45</v>
      </c>
      <c r="K79" s="24">
        <f>SUMIFS('Saldos Iniciales'!$D:$D,'Saldos Iniciales'!$A:$A,"Sacred Valley Capital")+SUMIFS(Movimientos!$K$1:$K$1324,Movimientos!$C$1:$C$1324,"Sacred Valley Capital",Movimientos!$B$1:$B$1324,"&lt;="&amp;$B79)</f>
        <v>54.400000000000006</v>
      </c>
      <c r="L79" s="24">
        <f>SUMIFS('Saldos Iniciales'!$D:$D,'Saldos Iniciales'!$A:$A,"YWC Capital")+SUMIFS(Movimientos!$K$1:$K$1324,Movimientos!$C$1:$C$1324,"YWC Capital",Movimientos!$B$1:$B$1324,"&lt;="&amp;$B79)</f>
        <v>2207.8200000000002</v>
      </c>
      <c r="M79" s="24">
        <f>SUMIFS('Saldos Iniciales'!$D:$D,'Saldos Iniciales'!$A:$A,"Soweto")+SUMIFS(Movimientos!$K$1:$K$1324,Movimientos!$C$1:$C$1324,"Soweto",Movimientos!$B$1:$B$1324,"&lt;="&amp;$B79)</f>
        <v>1454589.72</v>
      </c>
      <c r="N79" s="24">
        <f>SUMIFS('Saldos Iniciales'!$D:$D,'Saldos Iniciales'!$A:$A,"Green Stone Trust")+SUMIFS(Movimientos!$K$1:$K$1324,Movimientos!$C$1:$C$1324,"Green Stone Trust",Movimientos!$B$1:$B$1324,"&lt;="&amp;$B79)</f>
        <v>1968.99</v>
      </c>
      <c r="O79" s="24">
        <f>SUMIFS('Saldos Iniciales'!$D:$D,'Saldos Iniciales'!$A:$A,"EC Auto")+SUMIFS(Movimientos!$K$1:$K$1324,Movimientos!$C$1:$C$1324,"EC Auto",Movimientos!$B$1:$B$1324,"&lt;="&amp;$B79)</f>
        <v>901.34</v>
      </c>
      <c r="P79" s="24">
        <f>SUMIFS('Saldos Iniciales'!$D:$D,'Saldos Iniciales'!$A:$A,"Arbor Capital Properties")+SUMIFS(Movimientos!$K$1:$K$1324,Movimientos!$C$1:$C$1324,"Arbor Capital Properties",Movimientos!$B$1:$B$1324,"&lt;="&amp;$B79)</f>
        <v>1412.08</v>
      </c>
      <c r="Q79" s="24">
        <f>SUMIFS('Saldos Iniciales'!$D:$D,'Saldos Iniciales'!$A:$A,"2515 Overbrook")+SUMIFS(Movimientos!$K$1:$K$1324,Movimientos!$C$1:$C$1324,"2515 Overbrook",Movimientos!$B$1:$B$1324,"&lt;="&amp;$B79)</f>
        <v>22347.56999999996</v>
      </c>
      <c r="R79" s="24">
        <f>SUMIFS('Saldos Iniciales'!$D:$D,'Saldos Iniciales'!$A:$A,"112 Florida Ave")+SUMIFS(Movimientos!$K$1:$K$1324,Movimientos!$C$1:$C$1324,"112 Florida Ave",Movimientos!$B$1:$B$1324,"&lt;="&amp;$B79)</f>
        <v>3522.8000000000029</v>
      </c>
      <c r="S79" s="24">
        <f>SUMIFS('Saldos Iniciales'!$D:$D,'Saldos Iniciales'!$A:$A,"3628 Thomas Ave")+SUMIFS(Movimientos!$K$1:$K$1324,Movimientos!$C$1:$C$1324,"3628 Thomas Ave",Movimientos!$B$1:$B$1324,"&lt;="&amp;$B79)</f>
        <v>28485.559999999998</v>
      </c>
      <c r="T79" s="24">
        <f>SUMIFS('Saldos Iniciales'!$D:$D,'Saldos Iniciales'!$A:$A,"Green Harbor Trust")+SUMIFS(Movimientos!$K$1:$K$1324,Movimientos!$C$1:$C$1324,"Green Harbor Trust",Movimientos!$B$1:$B$1324,"&lt;="&amp;$B79)</f>
        <v>345</v>
      </c>
      <c r="U79" s="24">
        <f>SUMIFS('Saldos Iniciales'!$D:$D,'Saldos Iniciales'!$A:$A,"Go Blue")+SUMIFS(Movimientos!$K$1:$K$1324,Movimientos!$C$1:$C$1324,"Go Blue",Movimientos!$B$1:$B$1324,"&lt;="&amp;$B79)</f>
        <v>16230.620000000003</v>
      </c>
      <c r="V79" s="24">
        <f>IF(YEAR($B79)*100+MONTH($B79)&lt;--SUBSTITUTE(_xlfn.XLOOKUP("Pacha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LLC",Movimientos!$B$1:$B$1324,"&lt;="&amp;$B79))</f>
        <v>0</v>
      </c>
      <c r="W79" s="24">
        <f>IF(YEAR($B79)*100+MONTH($B79)&lt;--SUBSTITUTE(_xlfn.XLOOKUP("*CFT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Residence",Movimientos!$B$1:$B$1324,"&lt;="&amp;$B79))</f>
        <v>0</v>
      </c>
      <c r="X79" s="24">
        <f>IF(YEAR($B79)*100+MONTH($B79)&lt;--SUBSTITUTE(_xlfn.XLOOKUP("Carmen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Trust",Movimientos!$B$1:$B$1324,"&lt;="&amp;$B79))</f>
        <v>0</v>
      </c>
      <c r="Y79" s="24">
        <f>IF(YEAR($B79)*100+MONTH($B79)&lt;--SUBSTITUTE(_xlfn.XLOOKUP("SIYP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LLC",Movimientos!$B$1:$B$1324,"&lt;="&amp;$B79))</f>
        <v>0</v>
      </c>
      <c r="Z79" s="24">
        <f>IF(YEAR($B79)*100+MONTH($B79)&lt;--SUBSTITUTE(_xlfn.XLOOKUP("Prendamas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SRL",Movimientos!$B$1:$B$1324,"&lt;="&amp;$B79))</f>
        <v>0</v>
      </c>
      <c r="AA79" s="24">
        <f>IF(YEAR($B79)*100+MONTH($B79)&lt;--SUBSTITUTE(_xlfn.XLOOKUP("360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LLC",Movimientos!$B$1:$B$1324,"&lt;="&amp;$B79))</f>
        <v>0</v>
      </c>
      <c r="AB79" s="24">
        <f>IF(YEAR($B79)*100+MONTH($B79)&lt;--SUBSTITUTE(_xlfn.XLOOKUP("Five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",Movimientos!$B$1:$B$1324,"&lt;="&amp;$B79))</f>
        <v>0</v>
      </c>
      <c r="AC79" s="24">
        <f>IF(YEAR($B79)*100+MONTH($B79)&lt;--SUBSTITUTE(_xlfn.XLOOKUP("Nobe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Aparments",Movimientos!$B$1:$B$1324,"&lt;="&amp;$B79))</f>
        <v>0</v>
      </c>
      <c r="AD79" s="24">
        <f>IF(YEAR($B79)*100+MONTH($B79)&lt;--SUBSTITUTE(_xlfn.XLOOKUP("Don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Life",Movimientos!$B$1:$B$1324,"&lt;="&amp;$B79))</f>
        <v>0</v>
      </c>
      <c r="AE79" s="25">
        <f t="shared" si="3"/>
        <v>7977811.3200000012</v>
      </c>
    </row>
    <row r="80" spans="1:31" hidden="1" outlineLevel="1" x14ac:dyDescent="0.3">
      <c r="A80" s="22">
        <f t="shared" si="2"/>
        <v>79</v>
      </c>
      <c r="B80" s="23">
        <v>46221</v>
      </c>
      <c r="C80" s="24">
        <f>SUMIFS('Saldos Iniciales'!$D:$D,'Saldos Iniciales'!$A:$A,"CFT Group")+SUMIFS(Movimientos!$K$1:$K$1324,Movimientos!$C$1:$C$1324,"CFT Group",Movimientos!$B$1:$B$1324,"&lt;="&amp;$B80)</f>
        <v>3110339.0700000008</v>
      </c>
      <c r="D80" s="24">
        <f>SUMIFS('Saldos Iniciales'!$D:$D,'Saldos Iniciales'!$A:$A,"M1B")+SUMIFS(Movimientos!$K$1:$K$1324,Movimientos!$C$1:$C$1324,"M1B",Movimientos!$B$1:$B$1324,"&lt;="&amp;$B80)</f>
        <v>73157.680000000168</v>
      </c>
      <c r="E80" s="24">
        <f>SUMIFS('Saldos Iniciales'!$D:$D,'Saldos Iniciales'!$A:$A,"Durand")+SUMIFS(Movimientos!$K$1:$K$1324,Movimientos!$C$1:$C$1324,"Durand",Movimientos!$B$1:$B$1324,"&lt;="&amp;$B80)</f>
        <v>1669.89</v>
      </c>
      <c r="F80" s="24">
        <f>SUMIFS('Saldos Iniciales'!$D:$D,'Saldos Iniciales'!$A:$A,"A&amp;M Imports")+SUMIFS(Movimientos!$K$1:$K$1324,Movimientos!$C$1:$C$1324,"A&amp;M Imports",Movimientos!$B$1:$B$1324,"&lt;="&amp;$B80)</f>
        <v>1029804.7499999998</v>
      </c>
      <c r="G80" s="24">
        <f>SUMIFS('Saldos Iniciales'!$D:$D,'Saldos Iniciales'!$A:$A,"SSP Capital")+SUMIFS(Movimientos!$K$1:$K$1324,Movimientos!$C$1:$C$1324,"SSP Capital",Movimientos!$B$1:$B$1324,"&lt;="&amp;$B80)</f>
        <v>1748189.7499999995</v>
      </c>
      <c r="H80" s="24">
        <f>SUMIFS('Saldos Iniciales'!$D:$D,'Saldos Iniciales'!$A:$A,"Cross Family Trust")+SUMIFS(Movimientos!$K$1:$K$1324,Movimientos!$C$1:$C$1324,"Cross Family Trust",Movimientos!$B$1:$B$1324,"&lt;="&amp;$B80)</f>
        <v>200496.38</v>
      </c>
      <c r="I80" s="24">
        <f>SUMIFS('Saldos Iniciales'!$D:$D,'Saldos Iniciales'!$A:$A,"Cross Security Trust")+SUMIFS(Movimientos!$K$1:$K$1324,Movimientos!$C$1:$C$1324,"Cross Security Trust",Movimientos!$B$1:$B$1324,"&lt;="&amp;$B80)</f>
        <v>267507.45</v>
      </c>
      <c r="J80" s="24">
        <f>SUMIFS('Saldos Iniciales'!$D:$D,'Saldos Iniciales'!$A:$A,"Electrama")+SUMIFS(Movimientos!$K$1:$K$1324,Movimientos!$C$1:$C$1324,"Electrama",Movimientos!$B$1:$B$1324,"&lt;="&amp;$B80)</f>
        <v>14580.45</v>
      </c>
      <c r="K80" s="24">
        <f>SUMIFS('Saldos Iniciales'!$D:$D,'Saldos Iniciales'!$A:$A,"Sacred Valley Capital")+SUMIFS(Movimientos!$K$1:$K$1324,Movimientos!$C$1:$C$1324,"Sacred Valley Capital",Movimientos!$B$1:$B$1324,"&lt;="&amp;$B80)</f>
        <v>54.400000000000006</v>
      </c>
      <c r="L80" s="24">
        <f>SUMIFS('Saldos Iniciales'!$D:$D,'Saldos Iniciales'!$A:$A,"YWC Capital")+SUMIFS(Movimientos!$K$1:$K$1324,Movimientos!$C$1:$C$1324,"YWC Capital",Movimientos!$B$1:$B$1324,"&lt;="&amp;$B80)</f>
        <v>2207.8200000000002</v>
      </c>
      <c r="M80" s="24">
        <f>SUMIFS('Saldos Iniciales'!$D:$D,'Saldos Iniciales'!$A:$A,"Soweto")+SUMIFS(Movimientos!$K$1:$K$1324,Movimientos!$C$1:$C$1324,"Soweto",Movimientos!$B$1:$B$1324,"&lt;="&amp;$B80)</f>
        <v>1454589.72</v>
      </c>
      <c r="N80" s="24">
        <f>SUMIFS('Saldos Iniciales'!$D:$D,'Saldos Iniciales'!$A:$A,"Green Stone Trust")+SUMIFS(Movimientos!$K$1:$K$1324,Movimientos!$C$1:$C$1324,"Green Stone Trust",Movimientos!$B$1:$B$1324,"&lt;="&amp;$B80)</f>
        <v>1968.99</v>
      </c>
      <c r="O80" s="24">
        <f>SUMIFS('Saldos Iniciales'!$D:$D,'Saldos Iniciales'!$A:$A,"EC Auto")+SUMIFS(Movimientos!$K$1:$K$1324,Movimientos!$C$1:$C$1324,"EC Auto",Movimientos!$B$1:$B$1324,"&lt;="&amp;$B80)</f>
        <v>901.34</v>
      </c>
      <c r="P80" s="24">
        <f>SUMIFS('Saldos Iniciales'!$D:$D,'Saldos Iniciales'!$A:$A,"Arbor Capital Properties")+SUMIFS(Movimientos!$K$1:$K$1324,Movimientos!$C$1:$C$1324,"Arbor Capital Properties",Movimientos!$B$1:$B$1324,"&lt;="&amp;$B80)</f>
        <v>1412.08</v>
      </c>
      <c r="Q80" s="24">
        <f>SUMIFS('Saldos Iniciales'!$D:$D,'Saldos Iniciales'!$A:$A,"2515 Overbrook")+SUMIFS(Movimientos!$K$1:$K$1324,Movimientos!$C$1:$C$1324,"2515 Overbrook",Movimientos!$B$1:$B$1324,"&lt;="&amp;$B80)</f>
        <v>22347.56999999996</v>
      </c>
      <c r="R80" s="24">
        <f>SUMIFS('Saldos Iniciales'!$D:$D,'Saldos Iniciales'!$A:$A,"112 Florida Ave")+SUMIFS(Movimientos!$K$1:$K$1324,Movimientos!$C$1:$C$1324,"112 Florida Ave",Movimientos!$B$1:$B$1324,"&lt;="&amp;$B80)</f>
        <v>3522.8000000000029</v>
      </c>
      <c r="S80" s="24">
        <f>SUMIFS('Saldos Iniciales'!$D:$D,'Saldos Iniciales'!$A:$A,"3628 Thomas Ave")+SUMIFS(Movimientos!$K$1:$K$1324,Movimientos!$C$1:$C$1324,"3628 Thomas Ave",Movimientos!$B$1:$B$1324,"&lt;="&amp;$B80)</f>
        <v>28485.559999999998</v>
      </c>
      <c r="T80" s="24">
        <f>SUMIFS('Saldos Iniciales'!$D:$D,'Saldos Iniciales'!$A:$A,"Green Harbor Trust")+SUMIFS(Movimientos!$K$1:$K$1324,Movimientos!$C$1:$C$1324,"Green Harbor Trust",Movimientos!$B$1:$B$1324,"&lt;="&amp;$B80)</f>
        <v>345</v>
      </c>
      <c r="U80" s="24">
        <f>SUMIFS('Saldos Iniciales'!$D:$D,'Saldos Iniciales'!$A:$A,"Go Blue")+SUMIFS(Movimientos!$K$1:$K$1324,Movimientos!$C$1:$C$1324,"Go Blue",Movimientos!$B$1:$B$1324,"&lt;="&amp;$B80)</f>
        <v>16230.620000000003</v>
      </c>
      <c r="V80" s="24">
        <f>IF(YEAR($B80)*100+MONTH($B80)&lt;--SUBSTITUTE(_xlfn.XLOOKUP("Pacha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LLC",Movimientos!$B$1:$B$1324,"&lt;="&amp;$B80))</f>
        <v>0</v>
      </c>
      <c r="W80" s="24">
        <f>IF(YEAR($B80)*100+MONTH($B80)&lt;--SUBSTITUTE(_xlfn.XLOOKUP("*CFT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Residence",Movimientos!$B$1:$B$1324,"&lt;="&amp;$B80))</f>
        <v>0</v>
      </c>
      <c r="X80" s="24">
        <f>IF(YEAR($B80)*100+MONTH($B80)&lt;--SUBSTITUTE(_xlfn.XLOOKUP("Carmen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Trust",Movimientos!$B$1:$B$1324,"&lt;="&amp;$B80))</f>
        <v>0</v>
      </c>
      <c r="Y80" s="24">
        <f>IF(YEAR($B80)*100+MONTH($B80)&lt;--SUBSTITUTE(_xlfn.XLOOKUP("SIYP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LLC",Movimientos!$B$1:$B$1324,"&lt;="&amp;$B80))</f>
        <v>0</v>
      </c>
      <c r="Z80" s="24">
        <f>IF(YEAR($B80)*100+MONTH($B80)&lt;--SUBSTITUTE(_xlfn.XLOOKUP("Prendamas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SRL",Movimientos!$B$1:$B$1324,"&lt;="&amp;$B80))</f>
        <v>0</v>
      </c>
      <c r="AA80" s="24">
        <f>IF(YEAR($B80)*100+MONTH($B80)&lt;--SUBSTITUTE(_xlfn.XLOOKUP("360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LLC",Movimientos!$B$1:$B$1324,"&lt;="&amp;$B80))</f>
        <v>0</v>
      </c>
      <c r="AB80" s="24">
        <f>IF(YEAR($B80)*100+MONTH($B80)&lt;--SUBSTITUTE(_xlfn.XLOOKUP("Five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",Movimientos!$B$1:$B$1324,"&lt;="&amp;$B80))</f>
        <v>0</v>
      </c>
      <c r="AC80" s="24">
        <f>IF(YEAR($B80)*100+MONTH($B80)&lt;--SUBSTITUTE(_xlfn.XLOOKUP("Nobe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Aparments",Movimientos!$B$1:$B$1324,"&lt;="&amp;$B80))</f>
        <v>0</v>
      </c>
      <c r="AD80" s="24">
        <f>IF(YEAR($B80)*100+MONTH($B80)&lt;--SUBSTITUTE(_xlfn.XLOOKUP("Don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Life",Movimientos!$B$1:$B$1324,"&lt;="&amp;$B80))</f>
        <v>0</v>
      </c>
      <c r="AE80" s="25">
        <f t="shared" si="3"/>
        <v>7977811.3200000012</v>
      </c>
    </row>
    <row r="81" spans="1:31" hidden="1" outlineLevel="1" x14ac:dyDescent="0.3">
      <c r="A81" s="22">
        <f t="shared" si="2"/>
        <v>80</v>
      </c>
      <c r="B81" s="23">
        <v>46222</v>
      </c>
      <c r="C81" s="24">
        <f>SUMIFS('Saldos Iniciales'!$D:$D,'Saldos Iniciales'!$A:$A,"CFT Group")+SUMIFS(Movimientos!$K$1:$K$1324,Movimientos!$C$1:$C$1324,"CFT Group",Movimientos!$B$1:$B$1324,"&lt;="&amp;$B81)</f>
        <v>3110339.0700000008</v>
      </c>
      <c r="D81" s="24">
        <f>SUMIFS('Saldos Iniciales'!$D:$D,'Saldos Iniciales'!$A:$A,"M1B")+SUMIFS(Movimientos!$K$1:$K$1324,Movimientos!$C$1:$C$1324,"M1B",Movimientos!$B$1:$B$1324,"&lt;="&amp;$B81)</f>
        <v>73157.680000000168</v>
      </c>
      <c r="E81" s="24">
        <f>SUMIFS('Saldos Iniciales'!$D:$D,'Saldos Iniciales'!$A:$A,"Durand")+SUMIFS(Movimientos!$K$1:$K$1324,Movimientos!$C$1:$C$1324,"Durand",Movimientos!$B$1:$B$1324,"&lt;="&amp;$B81)</f>
        <v>1669.89</v>
      </c>
      <c r="F81" s="24">
        <f>SUMIFS('Saldos Iniciales'!$D:$D,'Saldos Iniciales'!$A:$A,"A&amp;M Imports")+SUMIFS(Movimientos!$K$1:$K$1324,Movimientos!$C$1:$C$1324,"A&amp;M Imports",Movimientos!$B$1:$B$1324,"&lt;="&amp;$B81)</f>
        <v>1029804.7499999998</v>
      </c>
      <c r="G81" s="24">
        <f>SUMIFS('Saldos Iniciales'!$D:$D,'Saldos Iniciales'!$A:$A,"SSP Capital")+SUMIFS(Movimientos!$K$1:$K$1324,Movimientos!$C$1:$C$1324,"SSP Capital",Movimientos!$B$1:$B$1324,"&lt;="&amp;$B81)</f>
        <v>1748189.7499999995</v>
      </c>
      <c r="H81" s="24">
        <f>SUMIFS('Saldos Iniciales'!$D:$D,'Saldos Iniciales'!$A:$A,"Cross Family Trust")+SUMIFS(Movimientos!$K$1:$K$1324,Movimientos!$C$1:$C$1324,"Cross Family Trust",Movimientos!$B$1:$B$1324,"&lt;="&amp;$B81)</f>
        <v>200496.38</v>
      </c>
      <c r="I81" s="24">
        <f>SUMIFS('Saldos Iniciales'!$D:$D,'Saldos Iniciales'!$A:$A,"Cross Security Trust")+SUMIFS(Movimientos!$K$1:$K$1324,Movimientos!$C$1:$C$1324,"Cross Security Trust",Movimientos!$B$1:$B$1324,"&lt;="&amp;$B81)</f>
        <v>267507.45</v>
      </c>
      <c r="J81" s="24">
        <f>SUMIFS('Saldos Iniciales'!$D:$D,'Saldos Iniciales'!$A:$A,"Electrama")+SUMIFS(Movimientos!$K$1:$K$1324,Movimientos!$C$1:$C$1324,"Electrama",Movimientos!$B$1:$B$1324,"&lt;="&amp;$B81)</f>
        <v>14580.45</v>
      </c>
      <c r="K81" s="24">
        <f>SUMIFS('Saldos Iniciales'!$D:$D,'Saldos Iniciales'!$A:$A,"Sacred Valley Capital")+SUMIFS(Movimientos!$K$1:$K$1324,Movimientos!$C$1:$C$1324,"Sacred Valley Capital",Movimientos!$B$1:$B$1324,"&lt;="&amp;$B81)</f>
        <v>54.400000000000006</v>
      </c>
      <c r="L81" s="24">
        <f>SUMIFS('Saldos Iniciales'!$D:$D,'Saldos Iniciales'!$A:$A,"YWC Capital")+SUMIFS(Movimientos!$K$1:$K$1324,Movimientos!$C$1:$C$1324,"YWC Capital",Movimientos!$B$1:$B$1324,"&lt;="&amp;$B81)</f>
        <v>2207.8200000000002</v>
      </c>
      <c r="M81" s="24">
        <f>SUMIFS('Saldos Iniciales'!$D:$D,'Saldos Iniciales'!$A:$A,"Soweto")+SUMIFS(Movimientos!$K$1:$K$1324,Movimientos!$C$1:$C$1324,"Soweto",Movimientos!$B$1:$B$1324,"&lt;="&amp;$B81)</f>
        <v>1454589.72</v>
      </c>
      <c r="N81" s="24">
        <f>SUMIFS('Saldos Iniciales'!$D:$D,'Saldos Iniciales'!$A:$A,"Green Stone Trust")+SUMIFS(Movimientos!$K$1:$K$1324,Movimientos!$C$1:$C$1324,"Green Stone Trust",Movimientos!$B$1:$B$1324,"&lt;="&amp;$B81)</f>
        <v>1968.99</v>
      </c>
      <c r="O81" s="24">
        <f>SUMIFS('Saldos Iniciales'!$D:$D,'Saldos Iniciales'!$A:$A,"EC Auto")+SUMIFS(Movimientos!$K$1:$K$1324,Movimientos!$C$1:$C$1324,"EC Auto",Movimientos!$B$1:$B$1324,"&lt;="&amp;$B81)</f>
        <v>901.34</v>
      </c>
      <c r="P81" s="24">
        <f>SUMIFS('Saldos Iniciales'!$D:$D,'Saldos Iniciales'!$A:$A,"Arbor Capital Properties")+SUMIFS(Movimientos!$K$1:$K$1324,Movimientos!$C$1:$C$1324,"Arbor Capital Properties",Movimientos!$B$1:$B$1324,"&lt;="&amp;$B81)</f>
        <v>1412.08</v>
      </c>
      <c r="Q81" s="24">
        <f>SUMIFS('Saldos Iniciales'!$D:$D,'Saldos Iniciales'!$A:$A,"2515 Overbrook")+SUMIFS(Movimientos!$K$1:$K$1324,Movimientos!$C$1:$C$1324,"2515 Overbrook",Movimientos!$B$1:$B$1324,"&lt;="&amp;$B81)</f>
        <v>22347.56999999996</v>
      </c>
      <c r="R81" s="24">
        <f>SUMIFS('Saldos Iniciales'!$D:$D,'Saldos Iniciales'!$A:$A,"112 Florida Ave")+SUMIFS(Movimientos!$K$1:$K$1324,Movimientos!$C$1:$C$1324,"112 Florida Ave",Movimientos!$B$1:$B$1324,"&lt;="&amp;$B81)</f>
        <v>3522.8000000000029</v>
      </c>
      <c r="S81" s="24">
        <f>SUMIFS('Saldos Iniciales'!$D:$D,'Saldos Iniciales'!$A:$A,"3628 Thomas Ave")+SUMIFS(Movimientos!$K$1:$K$1324,Movimientos!$C$1:$C$1324,"3628 Thomas Ave",Movimientos!$B$1:$B$1324,"&lt;="&amp;$B81)</f>
        <v>28485.559999999998</v>
      </c>
      <c r="T81" s="24">
        <f>SUMIFS('Saldos Iniciales'!$D:$D,'Saldos Iniciales'!$A:$A,"Green Harbor Trust")+SUMIFS(Movimientos!$K$1:$K$1324,Movimientos!$C$1:$C$1324,"Green Harbor Trust",Movimientos!$B$1:$B$1324,"&lt;="&amp;$B81)</f>
        <v>345</v>
      </c>
      <c r="U81" s="24">
        <f>SUMIFS('Saldos Iniciales'!$D:$D,'Saldos Iniciales'!$A:$A,"Go Blue")+SUMIFS(Movimientos!$K$1:$K$1324,Movimientos!$C$1:$C$1324,"Go Blue",Movimientos!$B$1:$B$1324,"&lt;="&amp;$B81)</f>
        <v>16230.620000000003</v>
      </c>
      <c r="V81" s="24">
        <f>IF(YEAR($B81)*100+MONTH($B81)&lt;--SUBSTITUTE(_xlfn.XLOOKUP("Pacha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LLC",Movimientos!$B$1:$B$1324,"&lt;="&amp;$B81))</f>
        <v>0</v>
      </c>
      <c r="W81" s="24">
        <f>IF(YEAR($B81)*100+MONTH($B81)&lt;--SUBSTITUTE(_xlfn.XLOOKUP("*CFT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Residence",Movimientos!$B$1:$B$1324,"&lt;="&amp;$B81))</f>
        <v>0</v>
      </c>
      <c r="X81" s="24">
        <f>IF(YEAR($B81)*100+MONTH($B81)&lt;--SUBSTITUTE(_xlfn.XLOOKUP("Carmen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Trust",Movimientos!$B$1:$B$1324,"&lt;="&amp;$B81))</f>
        <v>0</v>
      </c>
      <c r="Y81" s="24">
        <f>IF(YEAR($B81)*100+MONTH($B81)&lt;--SUBSTITUTE(_xlfn.XLOOKUP("SIYP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LLC",Movimientos!$B$1:$B$1324,"&lt;="&amp;$B81))</f>
        <v>0</v>
      </c>
      <c r="Z81" s="24">
        <f>IF(YEAR($B81)*100+MONTH($B81)&lt;--SUBSTITUTE(_xlfn.XLOOKUP("Prendamas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SRL",Movimientos!$B$1:$B$1324,"&lt;="&amp;$B81))</f>
        <v>0</v>
      </c>
      <c r="AA81" s="24">
        <f>IF(YEAR($B81)*100+MONTH($B81)&lt;--SUBSTITUTE(_xlfn.XLOOKUP("360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LLC",Movimientos!$B$1:$B$1324,"&lt;="&amp;$B81))</f>
        <v>0</v>
      </c>
      <c r="AB81" s="24">
        <f>IF(YEAR($B81)*100+MONTH($B81)&lt;--SUBSTITUTE(_xlfn.XLOOKUP("Five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",Movimientos!$B$1:$B$1324,"&lt;="&amp;$B81))</f>
        <v>0</v>
      </c>
      <c r="AC81" s="24">
        <f>IF(YEAR($B81)*100+MONTH($B81)&lt;--SUBSTITUTE(_xlfn.XLOOKUP("Nobe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Aparments",Movimientos!$B$1:$B$1324,"&lt;="&amp;$B81))</f>
        <v>0</v>
      </c>
      <c r="AD81" s="24">
        <f>IF(YEAR($B81)*100+MONTH($B81)&lt;--SUBSTITUTE(_xlfn.XLOOKUP("Don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Life",Movimientos!$B$1:$B$1324,"&lt;="&amp;$B81))</f>
        <v>0</v>
      </c>
      <c r="AE81" s="25">
        <f t="shared" si="3"/>
        <v>7977811.3200000012</v>
      </c>
    </row>
    <row r="82" spans="1:31" hidden="1" outlineLevel="1" x14ac:dyDescent="0.3">
      <c r="A82" s="22">
        <f t="shared" si="2"/>
        <v>81</v>
      </c>
      <c r="B82" s="23">
        <v>46223</v>
      </c>
      <c r="C82" s="24">
        <f>SUMIFS('Saldos Iniciales'!$D:$D,'Saldos Iniciales'!$A:$A,"CFT Group")+SUMIFS(Movimientos!$K$1:$K$1324,Movimientos!$C$1:$C$1324,"CFT Group",Movimientos!$B$1:$B$1324,"&lt;="&amp;$B82)</f>
        <v>3110339.0700000008</v>
      </c>
      <c r="D82" s="24">
        <f>SUMIFS('Saldos Iniciales'!$D:$D,'Saldos Iniciales'!$A:$A,"M1B")+SUMIFS(Movimientos!$K$1:$K$1324,Movimientos!$C$1:$C$1324,"M1B",Movimientos!$B$1:$B$1324,"&lt;="&amp;$B82)</f>
        <v>73157.680000000168</v>
      </c>
      <c r="E82" s="24">
        <f>SUMIFS('Saldos Iniciales'!$D:$D,'Saldos Iniciales'!$A:$A,"Durand")+SUMIFS(Movimientos!$K$1:$K$1324,Movimientos!$C$1:$C$1324,"Durand",Movimientos!$B$1:$B$1324,"&lt;="&amp;$B82)</f>
        <v>1669.89</v>
      </c>
      <c r="F82" s="24">
        <f>SUMIFS('Saldos Iniciales'!$D:$D,'Saldos Iniciales'!$A:$A,"A&amp;M Imports")+SUMIFS(Movimientos!$K$1:$K$1324,Movimientos!$C$1:$C$1324,"A&amp;M Imports",Movimientos!$B$1:$B$1324,"&lt;="&amp;$B82)</f>
        <v>1029804.7499999998</v>
      </c>
      <c r="G82" s="24">
        <f>SUMIFS('Saldos Iniciales'!$D:$D,'Saldos Iniciales'!$A:$A,"SSP Capital")+SUMIFS(Movimientos!$K$1:$K$1324,Movimientos!$C$1:$C$1324,"SSP Capital",Movimientos!$B$1:$B$1324,"&lt;="&amp;$B82)</f>
        <v>1744257.8699999994</v>
      </c>
      <c r="H82" s="24">
        <f>SUMIFS('Saldos Iniciales'!$D:$D,'Saldos Iniciales'!$A:$A,"Cross Family Trust")+SUMIFS(Movimientos!$K$1:$K$1324,Movimientos!$C$1:$C$1324,"Cross Family Trust",Movimientos!$B$1:$B$1324,"&lt;="&amp;$B82)</f>
        <v>200496.38</v>
      </c>
      <c r="I82" s="24">
        <f>SUMIFS('Saldos Iniciales'!$D:$D,'Saldos Iniciales'!$A:$A,"Cross Security Trust")+SUMIFS(Movimientos!$K$1:$K$1324,Movimientos!$C$1:$C$1324,"Cross Security Trust",Movimientos!$B$1:$B$1324,"&lt;="&amp;$B82)</f>
        <v>267507.45</v>
      </c>
      <c r="J82" s="24">
        <f>SUMIFS('Saldos Iniciales'!$D:$D,'Saldos Iniciales'!$A:$A,"Electrama")+SUMIFS(Movimientos!$K$1:$K$1324,Movimientos!$C$1:$C$1324,"Electrama",Movimientos!$B$1:$B$1324,"&lt;="&amp;$B82)</f>
        <v>14580.45</v>
      </c>
      <c r="K82" s="24">
        <f>SUMIFS('Saldos Iniciales'!$D:$D,'Saldos Iniciales'!$A:$A,"Sacred Valley Capital")+SUMIFS(Movimientos!$K$1:$K$1324,Movimientos!$C$1:$C$1324,"Sacred Valley Capital",Movimientos!$B$1:$B$1324,"&lt;="&amp;$B82)</f>
        <v>54.400000000000006</v>
      </c>
      <c r="L82" s="24">
        <f>SUMIFS('Saldos Iniciales'!$D:$D,'Saldos Iniciales'!$A:$A,"YWC Capital")+SUMIFS(Movimientos!$K$1:$K$1324,Movimientos!$C$1:$C$1324,"YWC Capital",Movimientos!$B$1:$B$1324,"&lt;="&amp;$B82)</f>
        <v>2207.8200000000002</v>
      </c>
      <c r="M82" s="24">
        <f>SUMIFS('Saldos Iniciales'!$D:$D,'Saldos Iniciales'!$A:$A,"Soweto")+SUMIFS(Movimientos!$K$1:$K$1324,Movimientos!$C$1:$C$1324,"Soweto",Movimientos!$B$1:$B$1324,"&lt;="&amp;$B82)</f>
        <v>1454589.72</v>
      </c>
      <c r="N82" s="24">
        <f>SUMIFS('Saldos Iniciales'!$D:$D,'Saldos Iniciales'!$A:$A,"Green Stone Trust")+SUMIFS(Movimientos!$K$1:$K$1324,Movimientos!$C$1:$C$1324,"Green Stone Trust",Movimientos!$B$1:$B$1324,"&lt;="&amp;$B82)</f>
        <v>1968.99</v>
      </c>
      <c r="O82" s="24">
        <f>SUMIFS('Saldos Iniciales'!$D:$D,'Saldos Iniciales'!$A:$A,"EC Auto")+SUMIFS(Movimientos!$K$1:$K$1324,Movimientos!$C$1:$C$1324,"EC Auto",Movimientos!$B$1:$B$1324,"&lt;="&amp;$B82)</f>
        <v>901.34</v>
      </c>
      <c r="P82" s="24">
        <f>SUMIFS('Saldos Iniciales'!$D:$D,'Saldos Iniciales'!$A:$A,"Arbor Capital Properties")+SUMIFS(Movimientos!$K$1:$K$1324,Movimientos!$C$1:$C$1324,"Arbor Capital Properties",Movimientos!$B$1:$B$1324,"&lt;="&amp;$B82)</f>
        <v>1412.08</v>
      </c>
      <c r="Q82" s="24">
        <f>SUMIFS('Saldos Iniciales'!$D:$D,'Saldos Iniciales'!$A:$A,"2515 Overbrook")+SUMIFS(Movimientos!$K$1:$K$1324,Movimientos!$C$1:$C$1324,"2515 Overbrook",Movimientos!$B$1:$B$1324,"&lt;="&amp;$B82)</f>
        <v>22347.56999999996</v>
      </c>
      <c r="R82" s="24">
        <f>SUMIFS('Saldos Iniciales'!$D:$D,'Saldos Iniciales'!$A:$A,"112 Florida Ave")+SUMIFS(Movimientos!$K$1:$K$1324,Movimientos!$C$1:$C$1324,"112 Florida Ave",Movimientos!$B$1:$B$1324,"&lt;="&amp;$B82)</f>
        <v>3522.8000000000029</v>
      </c>
      <c r="S82" s="24">
        <f>SUMIFS('Saldos Iniciales'!$D:$D,'Saldos Iniciales'!$A:$A,"3628 Thomas Ave")+SUMIFS(Movimientos!$K$1:$K$1324,Movimientos!$C$1:$C$1324,"3628 Thomas Ave",Movimientos!$B$1:$B$1324,"&lt;="&amp;$B82)</f>
        <v>28485.559999999998</v>
      </c>
      <c r="T82" s="24">
        <f>SUMIFS('Saldos Iniciales'!$D:$D,'Saldos Iniciales'!$A:$A,"Green Harbor Trust")+SUMIFS(Movimientos!$K$1:$K$1324,Movimientos!$C$1:$C$1324,"Green Harbor Trust",Movimientos!$B$1:$B$1324,"&lt;="&amp;$B82)</f>
        <v>345</v>
      </c>
      <c r="U82" s="24">
        <f>SUMIFS('Saldos Iniciales'!$D:$D,'Saldos Iniciales'!$A:$A,"Go Blue")+SUMIFS(Movimientos!$K$1:$K$1324,Movimientos!$C$1:$C$1324,"Go Blue",Movimientos!$B$1:$B$1324,"&lt;="&amp;$B82)</f>
        <v>14097.480000000003</v>
      </c>
      <c r="V82" s="24">
        <f>IF(YEAR($B82)*100+MONTH($B82)&lt;--SUBSTITUTE(_xlfn.XLOOKUP("Pacha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LLC",Movimientos!$B$1:$B$1324,"&lt;="&amp;$B82))</f>
        <v>0</v>
      </c>
      <c r="W82" s="24">
        <f>IF(YEAR($B82)*100+MONTH($B82)&lt;--SUBSTITUTE(_xlfn.XLOOKUP("*CFT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Residence",Movimientos!$B$1:$B$1324,"&lt;="&amp;$B82))</f>
        <v>0</v>
      </c>
      <c r="X82" s="24">
        <f>IF(YEAR($B82)*100+MONTH($B82)&lt;--SUBSTITUTE(_xlfn.XLOOKUP("Carmen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Trust",Movimientos!$B$1:$B$1324,"&lt;="&amp;$B82))</f>
        <v>0</v>
      </c>
      <c r="Y82" s="24">
        <f>IF(YEAR($B82)*100+MONTH($B82)&lt;--SUBSTITUTE(_xlfn.XLOOKUP("SIYP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LLC",Movimientos!$B$1:$B$1324,"&lt;="&amp;$B82))</f>
        <v>0</v>
      </c>
      <c r="Z82" s="24">
        <f>IF(YEAR($B82)*100+MONTH($B82)&lt;--SUBSTITUTE(_xlfn.XLOOKUP("Prendamas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SRL",Movimientos!$B$1:$B$1324,"&lt;="&amp;$B82))</f>
        <v>0</v>
      </c>
      <c r="AA82" s="24">
        <f>IF(YEAR($B82)*100+MONTH($B82)&lt;--SUBSTITUTE(_xlfn.XLOOKUP("360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LLC",Movimientos!$B$1:$B$1324,"&lt;="&amp;$B82))</f>
        <v>0</v>
      </c>
      <c r="AB82" s="24">
        <f>IF(YEAR($B82)*100+MONTH($B82)&lt;--SUBSTITUTE(_xlfn.XLOOKUP("Five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",Movimientos!$B$1:$B$1324,"&lt;="&amp;$B82))</f>
        <v>0</v>
      </c>
      <c r="AC82" s="24">
        <f>IF(YEAR($B82)*100+MONTH($B82)&lt;--SUBSTITUTE(_xlfn.XLOOKUP("Nobe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Aparments",Movimientos!$B$1:$B$1324,"&lt;="&amp;$B82))</f>
        <v>0</v>
      </c>
      <c r="AD82" s="24">
        <f>IF(YEAR($B82)*100+MONTH($B82)&lt;--SUBSTITUTE(_xlfn.XLOOKUP("Don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Life",Movimientos!$B$1:$B$1324,"&lt;="&amp;$B82))</f>
        <v>0</v>
      </c>
      <c r="AE82" s="25">
        <f t="shared" si="3"/>
        <v>7971746.3000000007</v>
      </c>
    </row>
    <row r="83" spans="1:31" hidden="1" outlineLevel="1" x14ac:dyDescent="0.3">
      <c r="A83" s="22">
        <f t="shared" si="2"/>
        <v>82</v>
      </c>
      <c r="B83" s="23">
        <v>46224</v>
      </c>
      <c r="C83" s="24">
        <f>SUMIFS('Saldos Iniciales'!$D:$D,'Saldos Iniciales'!$A:$A,"CFT Group")+SUMIFS(Movimientos!$K$1:$K$1324,Movimientos!$C$1:$C$1324,"CFT Group",Movimientos!$B$1:$B$1324,"&lt;="&amp;$B83)</f>
        <v>3110339.0700000008</v>
      </c>
      <c r="D83" s="24">
        <f>SUMIFS('Saldos Iniciales'!$D:$D,'Saldos Iniciales'!$A:$A,"M1B")+SUMIFS(Movimientos!$K$1:$K$1324,Movimientos!$C$1:$C$1324,"M1B",Movimientos!$B$1:$B$1324,"&lt;="&amp;$B83)</f>
        <v>73157.680000000168</v>
      </c>
      <c r="E83" s="24">
        <f>SUMIFS('Saldos Iniciales'!$D:$D,'Saldos Iniciales'!$A:$A,"Durand")+SUMIFS(Movimientos!$K$1:$K$1324,Movimientos!$C$1:$C$1324,"Durand",Movimientos!$B$1:$B$1324,"&lt;="&amp;$B83)</f>
        <v>1669.89</v>
      </c>
      <c r="F83" s="24">
        <f>SUMIFS('Saldos Iniciales'!$D:$D,'Saldos Iniciales'!$A:$A,"A&amp;M Imports")+SUMIFS(Movimientos!$K$1:$K$1324,Movimientos!$C$1:$C$1324,"A&amp;M Imports",Movimientos!$B$1:$B$1324,"&lt;="&amp;$B83)</f>
        <v>1029804.7499999998</v>
      </c>
      <c r="G83" s="24">
        <f>SUMIFS('Saldos Iniciales'!$D:$D,'Saldos Iniciales'!$A:$A,"SSP Capital")+SUMIFS(Movimientos!$K$1:$K$1324,Movimientos!$C$1:$C$1324,"SSP Capital",Movimientos!$B$1:$B$1324,"&lt;="&amp;$B83)</f>
        <v>1744257.8699999994</v>
      </c>
      <c r="H83" s="24">
        <f>SUMIFS('Saldos Iniciales'!$D:$D,'Saldos Iniciales'!$A:$A,"Cross Family Trust")+SUMIFS(Movimientos!$K$1:$K$1324,Movimientos!$C$1:$C$1324,"Cross Family Trust",Movimientos!$B$1:$B$1324,"&lt;="&amp;$B83)</f>
        <v>200496.38</v>
      </c>
      <c r="I83" s="24">
        <f>SUMIFS('Saldos Iniciales'!$D:$D,'Saldos Iniciales'!$A:$A,"Cross Security Trust")+SUMIFS(Movimientos!$K$1:$K$1324,Movimientos!$C$1:$C$1324,"Cross Security Trust",Movimientos!$B$1:$B$1324,"&lt;="&amp;$B83)</f>
        <v>267507.45</v>
      </c>
      <c r="J83" s="24">
        <f>SUMIFS('Saldos Iniciales'!$D:$D,'Saldos Iniciales'!$A:$A,"Electrama")+SUMIFS(Movimientos!$K$1:$K$1324,Movimientos!$C$1:$C$1324,"Electrama",Movimientos!$B$1:$B$1324,"&lt;="&amp;$B83)</f>
        <v>14580.45</v>
      </c>
      <c r="K83" s="24">
        <f>SUMIFS('Saldos Iniciales'!$D:$D,'Saldos Iniciales'!$A:$A,"Sacred Valley Capital")+SUMIFS(Movimientos!$K$1:$K$1324,Movimientos!$C$1:$C$1324,"Sacred Valley Capital",Movimientos!$B$1:$B$1324,"&lt;="&amp;$B83)</f>
        <v>54.400000000000006</v>
      </c>
      <c r="L83" s="24">
        <f>SUMIFS('Saldos Iniciales'!$D:$D,'Saldos Iniciales'!$A:$A,"YWC Capital")+SUMIFS(Movimientos!$K$1:$K$1324,Movimientos!$C$1:$C$1324,"YWC Capital",Movimientos!$B$1:$B$1324,"&lt;="&amp;$B83)</f>
        <v>2207.8200000000002</v>
      </c>
      <c r="M83" s="24">
        <f>SUMIFS('Saldos Iniciales'!$D:$D,'Saldos Iniciales'!$A:$A,"Soweto")+SUMIFS(Movimientos!$K$1:$K$1324,Movimientos!$C$1:$C$1324,"Soweto",Movimientos!$B$1:$B$1324,"&lt;="&amp;$B83)</f>
        <v>1454589.72</v>
      </c>
      <c r="N83" s="24">
        <f>SUMIFS('Saldos Iniciales'!$D:$D,'Saldos Iniciales'!$A:$A,"Green Stone Trust")+SUMIFS(Movimientos!$K$1:$K$1324,Movimientos!$C$1:$C$1324,"Green Stone Trust",Movimientos!$B$1:$B$1324,"&lt;="&amp;$B83)</f>
        <v>1968.99</v>
      </c>
      <c r="O83" s="24">
        <f>SUMIFS('Saldos Iniciales'!$D:$D,'Saldos Iniciales'!$A:$A,"EC Auto")+SUMIFS(Movimientos!$K$1:$K$1324,Movimientos!$C$1:$C$1324,"EC Auto",Movimientos!$B$1:$B$1324,"&lt;="&amp;$B83)</f>
        <v>901.34</v>
      </c>
      <c r="P83" s="24">
        <f>SUMIFS('Saldos Iniciales'!$D:$D,'Saldos Iniciales'!$A:$A,"Arbor Capital Properties")+SUMIFS(Movimientos!$K$1:$K$1324,Movimientos!$C$1:$C$1324,"Arbor Capital Properties",Movimientos!$B$1:$B$1324,"&lt;="&amp;$B83)</f>
        <v>1412.08</v>
      </c>
      <c r="Q83" s="24">
        <f>SUMIFS('Saldos Iniciales'!$D:$D,'Saldos Iniciales'!$A:$A,"2515 Overbrook")+SUMIFS(Movimientos!$K$1:$K$1324,Movimientos!$C$1:$C$1324,"2515 Overbrook",Movimientos!$B$1:$B$1324,"&lt;="&amp;$B83)</f>
        <v>22347.56999999996</v>
      </c>
      <c r="R83" s="24">
        <f>SUMIFS('Saldos Iniciales'!$D:$D,'Saldos Iniciales'!$A:$A,"112 Florida Ave")+SUMIFS(Movimientos!$K$1:$K$1324,Movimientos!$C$1:$C$1324,"112 Florida Ave",Movimientos!$B$1:$B$1324,"&lt;="&amp;$B83)</f>
        <v>3522.8000000000029</v>
      </c>
      <c r="S83" s="24">
        <f>SUMIFS('Saldos Iniciales'!$D:$D,'Saldos Iniciales'!$A:$A,"3628 Thomas Ave")+SUMIFS(Movimientos!$K$1:$K$1324,Movimientos!$C$1:$C$1324,"3628 Thomas Ave",Movimientos!$B$1:$B$1324,"&lt;="&amp;$B83)</f>
        <v>28485.559999999998</v>
      </c>
      <c r="T83" s="24">
        <f>SUMIFS('Saldos Iniciales'!$D:$D,'Saldos Iniciales'!$A:$A,"Green Harbor Trust")+SUMIFS(Movimientos!$K$1:$K$1324,Movimientos!$C$1:$C$1324,"Green Harbor Trust",Movimientos!$B$1:$B$1324,"&lt;="&amp;$B83)</f>
        <v>345</v>
      </c>
      <c r="U83" s="24">
        <f>SUMIFS('Saldos Iniciales'!$D:$D,'Saldos Iniciales'!$A:$A,"Go Blue")+SUMIFS(Movimientos!$K$1:$K$1324,Movimientos!$C$1:$C$1324,"Go Blue",Movimientos!$B$1:$B$1324,"&lt;="&amp;$B83)</f>
        <v>13745.850000000002</v>
      </c>
      <c r="V83" s="24">
        <f>IF(YEAR($B83)*100+MONTH($B83)&lt;--SUBSTITUTE(_xlfn.XLOOKUP("Pacha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LLC",Movimientos!$B$1:$B$1324,"&lt;="&amp;$B83))</f>
        <v>0</v>
      </c>
      <c r="W83" s="24">
        <f>IF(YEAR($B83)*100+MONTH($B83)&lt;--SUBSTITUTE(_xlfn.XLOOKUP("*CFT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Residence",Movimientos!$B$1:$B$1324,"&lt;="&amp;$B83))</f>
        <v>0</v>
      </c>
      <c r="X83" s="24">
        <f>IF(YEAR($B83)*100+MONTH($B83)&lt;--SUBSTITUTE(_xlfn.XLOOKUP("Carmen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Trust",Movimientos!$B$1:$B$1324,"&lt;="&amp;$B83))</f>
        <v>0</v>
      </c>
      <c r="Y83" s="24">
        <f>IF(YEAR($B83)*100+MONTH($B83)&lt;--SUBSTITUTE(_xlfn.XLOOKUP("SIYP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LLC",Movimientos!$B$1:$B$1324,"&lt;="&amp;$B83))</f>
        <v>0</v>
      </c>
      <c r="Z83" s="24">
        <f>IF(YEAR($B83)*100+MONTH($B83)&lt;--SUBSTITUTE(_xlfn.XLOOKUP("Prendamas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SRL",Movimientos!$B$1:$B$1324,"&lt;="&amp;$B83))</f>
        <v>0</v>
      </c>
      <c r="AA83" s="24">
        <f>IF(YEAR($B83)*100+MONTH($B83)&lt;--SUBSTITUTE(_xlfn.XLOOKUP("360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LLC",Movimientos!$B$1:$B$1324,"&lt;="&amp;$B83))</f>
        <v>0</v>
      </c>
      <c r="AB83" s="24">
        <f>IF(YEAR($B83)*100+MONTH($B83)&lt;--SUBSTITUTE(_xlfn.XLOOKUP("Five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",Movimientos!$B$1:$B$1324,"&lt;="&amp;$B83))</f>
        <v>0</v>
      </c>
      <c r="AC83" s="24">
        <f>IF(YEAR($B83)*100+MONTH($B83)&lt;--SUBSTITUTE(_xlfn.XLOOKUP("Nobe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Aparments",Movimientos!$B$1:$B$1324,"&lt;="&amp;$B83))</f>
        <v>0</v>
      </c>
      <c r="AD83" s="24">
        <f>IF(YEAR($B83)*100+MONTH($B83)&lt;--SUBSTITUTE(_xlfn.XLOOKUP("Don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Life",Movimientos!$B$1:$B$1324,"&lt;="&amp;$B83))</f>
        <v>0</v>
      </c>
      <c r="AE83" s="25">
        <f t="shared" si="3"/>
        <v>7971394.6699999999</v>
      </c>
    </row>
    <row r="84" spans="1:31" hidden="1" outlineLevel="1" x14ac:dyDescent="0.3">
      <c r="A84" s="22">
        <f t="shared" si="2"/>
        <v>83</v>
      </c>
      <c r="B84" s="23">
        <v>46225</v>
      </c>
      <c r="C84" s="24">
        <f>SUMIFS('Saldos Iniciales'!$D:$D,'Saldos Iniciales'!$A:$A,"CFT Group")+SUMIFS(Movimientos!$K$1:$K$1324,Movimientos!$C$1:$C$1324,"CFT Group",Movimientos!$B$1:$B$1324,"&lt;="&amp;$B84)</f>
        <v>2255755.7400000007</v>
      </c>
      <c r="D84" s="24">
        <f>SUMIFS('Saldos Iniciales'!$D:$D,'Saldos Iniciales'!$A:$A,"M1B")+SUMIFS(Movimientos!$K$1:$K$1324,Movimientos!$C$1:$C$1324,"M1B",Movimientos!$B$1:$B$1324,"&lt;="&amp;$B84)</f>
        <v>73157.680000000168</v>
      </c>
      <c r="E84" s="24">
        <f>SUMIFS('Saldos Iniciales'!$D:$D,'Saldos Iniciales'!$A:$A,"Durand")+SUMIFS(Movimientos!$K$1:$K$1324,Movimientos!$C$1:$C$1324,"Durand",Movimientos!$B$1:$B$1324,"&lt;="&amp;$B84)</f>
        <v>1669.89</v>
      </c>
      <c r="F84" s="24">
        <f>SUMIFS('Saldos Iniciales'!$D:$D,'Saldos Iniciales'!$A:$A,"A&amp;M Imports")+SUMIFS(Movimientos!$K$1:$K$1324,Movimientos!$C$1:$C$1324,"A&amp;M Imports",Movimientos!$B$1:$B$1324,"&lt;="&amp;$B84)</f>
        <v>1002754.9899999998</v>
      </c>
      <c r="G84" s="24">
        <f>SUMIFS('Saldos Iniciales'!$D:$D,'Saldos Iniciales'!$A:$A,"SSP Capital")+SUMIFS(Movimientos!$K$1:$K$1324,Movimientos!$C$1:$C$1324,"SSP Capital",Movimientos!$B$1:$B$1324,"&lt;="&amp;$B84)</f>
        <v>2022877.8699999996</v>
      </c>
      <c r="H84" s="24">
        <f>SUMIFS('Saldos Iniciales'!$D:$D,'Saldos Iniciales'!$A:$A,"Cross Family Trust")+SUMIFS(Movimientos!$K$1:$K$1324,Movimientos!$C$1:$C$1324,"Cross Family Trust",Movimientos!$B$1:$B$1324,"&lt;="&amp;$B84)</f>
        <v>200496.38</v>
      </c>
      <c r="I84" s="24">
        <f>SUMIFS('Saldos Iniciales'!$D:$D,'Saldos Iniciales'!$A:$A,"Cross Security Trust")+SUMIFS(Movimientos!$K$1:$K$1324,Movimientos!$C$1:$C$1324,"Cross Security Trust",Movimientos!$B$1:$B$1324,"&lt;="&amp;$B84)</f>
        <v>267507.45</v>
      </c>
      <c r="J84" s="24">
        <f>SUMIFS('Saldos Iniciales'!$D:$D,'Saldos Iniciales'!$A:$A,"Electrama")+SUMIFS(Movimientos!$K$1:$K$1324,Movimientos!$C$1:$C$1324,"Electrama",Movimientos!$B$1:$B$1324,"&lt;="&amp;$B84)</f>
        <v>14580.45</v>
      </c>
      <c r="K84" s="24">
        <f>SUMIFS('Saldos Iniciales'!$D:$D,'Saldos Iniciales'!$A:$A,"Sacred Valley Capital")+SUMIFS(Movimientos!$K$1:$K$1324,Movimientos!$C$1:$C$1324,"Sacred Valley Capital",Movimientos!$B$1:$B$1324,"&lt;="&amp;$B84)</f>
        <v>54.400000000000006</v>
      </c>
      <c r="L84" s="24">
        <f>SUMIFS('Saldos Iniciales'!$D:$D,'Saldos Iniciales'!$A:$A,"YWC Capital")+SUMIFS(Movimientos!$K$1:$K$1324,Movimientos!$C$1:$C$1324,"YWC Capital",Movimientos!$B$1:$B$1324,"&lt;="&amp;$B84)</f>
        <v>2207.8200000000002</v>
      </c>
      <c r="M84" s="24">
        <f>SUMIFS('Saldos Iniciales'!$D:$D,'Saldos Iniciales'!$A:$A,"Soweto")+SUMIFS(Movimientos!$K$1:$K$1324,Movimientos!$C$1:$C$1324,"Soweto",Movimientos!$B$1:$B$1324,"&lt;="&amp;$B84)</f>
        <v>1454589.72</v>
      </c>
      <c r="N84" s="24">
        <f>SUMIFS('Saldos Iniciales'!$D:$D,'Saldos Iniciales'!$A:$A,"Green Stone Trust")+SUMIFS(Movimientos!$K$1:$K$1324,Movimientos!$C$1:$C$1324,"Green Stone Trust",Movimientos!$B$1:$B$1324,"&lt;="&amp;$B84)</f>
        <v>1968.99</v>
      </c>
      <c r="O84" s="24">
        <f>SUMIFS('Saldos Iniciales'!$D:$D,'Saldos Iniciales'!$A:$A,"EC Auto")+SUMIFS(Movimientos!$K$1:$K$1324,Movimientos!$C$1:$C$1324,"EC Auto",Movimientos!$B$1:$B$1324,"&lt;="&amp;$B84)</f>
        <v>901.34</v>
      </c>
      <c r="P84" s="24">
        <f>SUMIFS('Saldos Iniciales'!$D:$D,'Saldos Iniciales'!$A:$A,"Arbor Capital Properties")+SUMIFS(Movimientos!$K$1:$K$1324,Movimientos!$C$1:$C$1324,"Arbor Capital Properties",Movimientos!$B$1:$B$1324,"&lt;="&amp;$B84)</f>
        <v>1412.08</v>
      </c>
      <c r="Q84" s="24">
        <f>SUMIFS('Saldos Iniciales'!$D:$D,'Saldos Iniciales'!$A:$A,"2515 Overbrook")+SUMIFS(Movimientos!$K$1:$K$1324,Movimientos!$C$1:$C$1324,"2515 Overbrook",Movimientos!$B$1:$B$1324,"&lt;="&amp;$B84)</f>
        <v>22347.56999999996</v>
      </c>
      <c r="R84" s="24">
        <f>SUMIFS('Saldos Iniciales'!$D:$D,'Saldos Iniciales'!$A:$A,"112 Florida Ave")+SUMIFS(Movimientos!$K$1:$K$1324,Movimientos!$C$1:$C$1324,"112 Florida Ave",Movimientos!$B$1:$B$1324,"&lt;="&amp;$B84)</f>
        <v>3522.8000000000029</v>
      </c>
      <c r="S84" s="24">
        <f>SUMIFS('Saldos Iniciales'!$D:$D,'Saldos Iniciales'!$A:$A,"3628 Thomas Ave")+SUMIFS(Movimientos!$K$1:$K$1324,Movimientos!$C$1:$C$1324,"3628 Thomas Ave",Movimientos!$B$1:$B$1324,"&lt;="&amp;$B84)</f>
        <v>28485.559999999998</v>
      </c>
      <c r="T84" s="24">
        <f>SUMIFS('Saldos Iniciales'!$D:$D,'Saldos Iniciales'!$A:$A,"Green Harbor Trust")+SUMIFS(Movimientos!$K$1:$K$1324,Movimientos!$C$1:$C$1324,"Green Harbor Trust",Movimientos!$B$1:$B$1324,"&lt;="&amp;$B84)</f>
        <v>345</v>
      </c>
      <c r="U84" s="24">
        <f>SUMIFS('Saldos Iniciales'!$D:$D,'Saldos Iniciales'!$A:$A,"Go Blue")+SUMIFS(Movimientos!$K$1:$K$1324,Movimientos!$C$1:$C$1324,"Go Blue",Movimientos!$B$1:$B$1324,"&lt;="&amp;$B84)</f>
        <v>10252.290000000003</v>
      </c>
      <c r="V84" s="24">
        <f>IF(YEAR($B84)*100+MONTH($B84)&lt;--SUBSTITUTE(_xlfn.XLOOKUP("Pacha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LLC",Movimientos!$B$1:$B$1324,"&lt;="&amp;$B84))</f>
        <v>0</v>
      </c>
      <c r="W84" s="24">
        <f>IF(YEAR($B84)*100+MONTH($B84)&lt;--SUBSTITUTE(_xlfn.XLOOKUP("*CFT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Residence",Movimientos!$B$1:$B$1324,"&lt;="&amp;$B84))</f>
        <v>0</v>
      </c>
      <c r="X84" s="24">
        <f>IF(YEAR($B84)*100+MONTH($B84)&lt;--SUBSTITUTE(_xlfn.XLOOKUP("Carmen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Trust",Movimientos!$B$1:$B$1324,"&lt;="&amp;$B84))</f>
        <v>0</v>
      </c>
      <c r="Y84" s="24">
        <f>IF(YEAR($B84)*100+MONTH($B84)&lt;--SUBSTITUTE(_xlfn.XLOOKUP("SIYP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LLC",Movimientos!$B$1:$B$1324,"&lt;="&amp;$B84))</f>
        <v>0</v>
      </c>
      <c r="Z84" s="24">
        <f>IF(YEAR($B84)*100+MONTH($B84)&lt;--SUBSTITUTE(_xlfn.XLOOKUP("Prendamas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SRL",Movimientos!$B$1:$B$1324,"&lt;="&amp;$B84))</f>
        <v>0</v>
      </c>
      <c r="AA84" s="24">
        <f>IF(YEAR($B84)*100+MONTH($B84)&lt;--SUBSTITUTE(_xlfn.XLOOKUP("360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LLC",Movimientos!$B$1:$B$1324,"&lt;="&amp;$B84))</f>
        <v>0</v>
      </c>
      <c r="AB84" s="24">
        <f>IF(YEAR($B84)*100+MONTH($B84)&lt;--SUBSTITUTE(_xlfn.XLOOKUP("Five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",Movimientos!$B$1:$B$1324,"&lt;="&amp;$B84))</f>
        <v>0</v>
      </c>
      <c r="AC84" s="24">
        <f>IF(YEAR($B84)*100+MONTH($B84)&lt;--SUBSTITUTE(_xlfn.XLOOKUP("Nobe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Aparments",Movimientos!$B$1:$B$1324,"&lt;="&amp;$B84))</f>
        <v>0</v>
      </c>
      <c r="AD84" s="24">
        <f>IF(YEAR($B84)*100+MONTH($B84)&lt;--SUBSTITUTE(_xlfn.XLOOKUP("Don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Life",Movimientos!$B$1:$B$1324,"&lt;="&amp;$B84))</f>
        <v>0</v>
      </c>
      <c r="AE84" s="25">
        <f t="shared" si="3"/>
        <v>7364888.0200000005</v>
      </c>
    </row>
    <row r="85" spans="1:31" hidden="1" outlineLevel="1" x14ac:dyDescent="0.3">
      <c r="A85" s="22">
        <f t="shared" si="2"/>
        <v>84</v>
      </c>
      <c r="B85" s="23">
        <v>46226</v>
      </c>
      <c r="C85" s="24">
        <f>SUMIFS('Saldos Iniciales'!$D:$D,'Saldos Iniciales'!$A:$A,"CFT Group")+SUMIFS(Movimientos!$K$1:$K$1324,Movimientos!$C$1:$C$1324,"CFT Group",Movimientos!$B$1:$B$1324,"&lt;="&amp;$B85)</f>
        <v>2255750.7400000007</v>
      </c>
      <c r="D85" s="24">
        <f>SUMIFS('Saldos Iniciales'!$D:$D,'Saldos Iniciales'!$A:$A,"M1B")+SUMIFS(Movimientos!$K$1:$K$1324,Movimientos!$C$1:$C$1324,"M1B",Movimientos!$B$1:$B$1324,"&lt;="&amp;$B85)</f>
        <v>73157.680000000168</v>
      </c>
      <c r="E85" s="24">
        <f>SUMIFS('Saldos Iniciales'!$D:$D,'Saldos Iniciales'!$A:$A,"Durand")+SUMIFS(Movimientos!$K$1:$K$1324,Movimientos!$C$1:$C$1324,"Durand",Movimientos!$B$1:$B$1324,"&lt;="&amp;$B85)</f>
        <v>1669.89</v>
      </c>
      <c r="F85" s="24">
        <f>SUMIFS('Saldos Iniciales'!$D:$D,'Saldos Iniciales'!$A:$A,"A&amp;M Imports")+SUMIFS(Movimientos!$K$1:$K$1324,Movimientos!$C$1:$C$1324,"A&amp;M Imports",Movimientos!$B$1:$B$1324,"&lt;="&amp;$B85)</f>
        <v>1042744.6899999997</v>
      </c>
      <c r="G85" s="24">
        <f>SUMIFS('Saldos Iniciales'!$D:$D,'Saldos Iniciales'!$A:$A,"SSP Capital")+SUMIFS(Movimientos!$K$1:$K$1324,Movimientos!$C$1:$C$1324,"SSP Capital",Movimientos!$B$1:$B$1324,"&lt;="&amp;$B85)</f>
        <v>2022877.8699999996</v>
      </c>
      <c r="H85" s="24">
        <f>SUMIFS('Saldos Iniciales'!$D:$D,'Saldos Iniciales'!$A:$A,"Cross Family Trust")+SUMIFS(Movimientos!$K$1:$K$1324,Movimientos!$C$1:$C$1324,"Cross Family Trust",Movimientos!$B$1:$B$1324,"&lt;="&amp;$B85)</f>
        <v>200496.38</v>
      </c>
      <c r="I85" s="24">
        <f>SUMIFS('Saldos Iniciales'!$D:$D,'Saldos Iniciales'!$A:$A,"Cross Security Trust")+SUMIFS(Movimientos!$K$1:$K$1324,Movimientos!$C$1:$C$1324,"Cross Security Trust",Movimientos!$B$1:$B$1324,"&lt;="&amp;$B85)</f>
        <v>267507.45</v>
      </c>
      <c r="J85" s="24">
        <f>SUMIFS('Saldos Iniciales'!$D:$D,'Saldos Iniciales'!$A:$A,"Electrama")+SUMIFS(Movimientos!$K$1:$K$1324,Movimientos!$C$1:$C$1324,"Electrama",Movimientos!$B$1:$B$1324,"&lt;="&amp;$B85)</f>
        <v>14580.45</v>
      </c>
      <c r="K85" s="24">
        <f>SUMIFS('Saldos Iniciales'!$D:$D,'Saldos Iniciales'!$A:$A,"Sacred Valley Capital")+SUMIFS(Movimientos!$K$1:$K$1324,Movimientos!$C$1:$C$1324,"Sacred Valley Capital",Movimientos!$B$1:$B$1324,"&lt;="&amp;$B85)</f>
        <v>54.400000000000006</v>
      </c>
      <c r="L85" s="24">
        <f>SUMIFS('Saldos Iniciales'!$D:$D,'Saldos Iniciales'!$A:$A,"YWC Capital")+SUMIFS(Movimientos!$K$1:$K$1324,Movimientos!$C$1:$C$1324,"YWC Capital",Movimientos!$B$1:$B$1324,"&lt;="&amp;$B85)</f>
        <v>2207.8200000000002</v>
      </c>
      <c r="M85" s="24">
        <f>SUMIFS('Saldos Iniciales'!$D:$D,'Saldos Iniciales'!$A:$A,"Soweto")+SUMIFS(Movimientos!$K$1:$K$1324,Movimientos!$C$1:$C$1324,"Soweto",Movimientos!$B$1:$B$1324,"&lt;="&amp;$B85)</f>
        <v>1454589.72</v>
      </c>
      <c r="N85" s="24">
        <f>SUMIFS('Saldos Iniciales'!$D:$D,'Saldos Iniciales'!$A:$A,"Green Stone Trust")+SUMIFS(Movimientos!$K$1:$K$1324,Movimientos!$C$1:$C$1324,"Green Stone Trust",Movimientos!$B$1:$B$1324,"&lt;="&amp;$B85)</f>
        <v>1968.99</v>
      </c>
      <c r="O85" s="24">
        <f>SUMIFS('Saldos Iniciales'!$D:$D,'Saldos Iniciales'!$A:$A,"EC Auto")+SUMIFS(Movimientos!$K$1:$K$1324,Movimientos!$C$1:$C$1324,"EC Auto",Movimientos!$B$1:$B$1324,"&lt;="&amp;$B85)</f>
        <v>901.34</v>
      </c>
      <c r="P85" s="24">
        <f>SUMIFS('Saldos Iniciales'!$D:$D,'Saldos Iniciales'!$A:$A,"Arbor Capital Properties")+SUMIFS(Movimientos!$K$1:$K$1324,Movimientos!$C$1:$C$1324,"Arbor Capital Properties",Movimientos!$B$1:$B$1324,"&lt;="&amp;$B85)</f>
        <v>1412.08</v>
      </c>
      <c r="Q85" s="24">
        <f>SUMIFS('Saldos Iniciales'!$D:$D,'Saldos Iniciales'!$A:$A,"2515 Overbrook")+SUMIFS(Movimientos!$K$1:$K$1324,Movimientos!$C$1:$C$1324,"2515 Overbrook",Movimientos!$B$1:$B$1324,"&lt;="&amp;$B85)</f>
        <v>22347.56999999996</v>
      </c>
      <c r="R85" s="24">
        <f>SUMIFS('Saldos Iniciales'!$D:$D,'Saldos Iniciales'!$A:$A,"112 Florida Ave")+SUMIFS(Movimientos!$K$1:$K$1324,Movimientos!$C$1:$C$1324,"112 Florida Ave",Movimientos!$B$1:$B$1324,"&lt;="&amp;$B85)</f>
        <v>18522.800000000003</v>
      </c>
      <c r="S85" s="24">
        <f>SUMIFS('Saldos Iniciales'!$D:$D,'Saldos Iniciales'!$A:$A,"3628 Thomas Ave")+SUMIFS(Movimientos!$K$1:$K$1324,Movimientos!$C$1:$C$1324,"3628 Thomas Ave",Movimientos!$B$1:$B$1324,"&lt;="&amp;$B85)</f>
        <v>28485.559999999998</v>
      </c>
      <c r="T85" s="24">
        <f>SUMIFS('Saldos Iniciales'!$D:$D,'Saldos Iniciales'!$A:$A,"Green Harbor Trust")+SUMIFS(Movimientos!$K$1:$K$1324,Movimientos!$C$1:$C$1324,"Green Harbor Trust",Movimientos!$B$1:$B$1324,"&lt;="&amp;$B85)</f>
        <v>345</v>
      </c>
      <c r="U85" s="24">
        <f>SUMIFS('Saldos Iniciales'!$D:$D,'Saldos Iniciales'!$A:$A,"Go Blue")+SUMIFS(Movimientos!$K$1:$K$1324,Movimientos!$C$1:$C$1324,"Go Blue",Movimientos!$B$1:$B$1324,"&lt;="&amp;$B85)</f>
        <v>9958.7100000000028</v>
      </c>
      <c r="V85" s="24">
        <f>IF(YEAR($B85)*100+MONTH($B85)&lt;--SUBSTITUTE(_xlfn.XLOOKUP("Pacha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LLC",Movimientos!$B$1:$B$1324,"&lt;="&amp;$B85))</f>
        <v>0</v>
      </c>
      <c r="W85" s="24">
        <f>IF(YEAR($B85)*100+MONTH($B85)&lt;--SUBSTITUTE(_xlfn.XLOOKUP("*CFT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Residence",Movimientos!$B$1:$B$1324,"&lt;="&amp;$B85))</f>
        <v>0</v>
      </c>
      <c r="X85" s="24">
        <f>IF(YEAR($B85)*100+MONTH($B85)&lt;--SUBSTITUTE(_xlfn.XLOOKUP("Carmen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Trust",Movimientos!$B$1:$B$1324,"&lt;="&amp;$B85))</f>
        <v>0</v>
      </c>
      <c r="Y85" s="24">
        <f>IF(YEAR($B85)*100+MONTH($B85)&lt;--SUBSTITUTE(_xlfn.XLOOKUP("SIYP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LLC",Movimientos!$B$1:$B$1324,"&lt;="&amp;$B85))</f>
        <v>0</v>
      </c>
      <c r="Z85" s="24">
        <f>IF(YEAR($B85)*100+MONTH($B85)&lt;--SUBSTITUTE(_xlfn.XLOOKUP("Prendamas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SRL",Movimientos!$B$1:$B$1324,"&lt;="&amp;$B85))</f>
        <v>0</v>
      </c>
      <c r="AA85" s="24">
        <f>IF(YEAR($B85)*100+MONTH($B85)&lt;--SUBSTITUTE(_xlfn.XLOOKUP("360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LLC",Movimientos!$B$1:$B$1324,"&lt;="&amp;$B85))</f>
        <v>0</v>
      </c>
      <c r="AB85" s="24">
        <f>IF(YEAR($B85)*100+MONTH($B85)&lt;--SUBSTITUTE(_xlfn.XLOOKUP("Five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",Movimientos!$B$1:$B$1324,"&lt;="&amp;$B85))</f>
        <v>0</v>
      </c>
      <c r="AC85" s="24">
        <f>IF(YEAR($B85)*100+MONTH($B85)&lt;--SUBSTITUTE(_xlfn.XLOOKUP("Nobe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Aparments",Movimientos!$B$1:$B$1324,"&lt;="&amp;$B85))</f>
        <v>0</v>
      </c>
      <c r="AD85" s="24">
        <f>IF(YEAR($B85)*100+MONTH($B85)&lt;--SUBSTITUTE(_xlfn.XLOOKUP("Don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Life",Movimientos!$B$1:$B$1324,"&lt;="&amp;$B85))</f>
        <v>0</v>
      </c>
      <c r="AE85" s="25">
        <f t="shared" si="3"/>
        <v>7419579.1400000015</v>
      </c>
    </row>
    <row r="86" spans="1:31" hidden="1" outlineLevel="1" x14ac:dyDescent="0.3">
      <c r="A86" s="22">
        <f t="shared" si="2"/>
        <v>85</v>
      </c>
      <c r="B86" s="23">
        <v>46227</v>
      </c>
      <c r="C86" s="24">
        <f>SUMIFS('Saldos Iniciales'!$D:$D,'Saldos Iniciales'!$A:$A,"CFT Group")+SUMIFS(Movimientos!$K$1:$K$1324,Movimientos!$C$1:$C$1324,"CFT Group",Movimientos!$B$1:$B$1324,"&lt;="&amp;$B86)</f>
        <v>2255750.7400000007</v>
      </c>
      <c r="D86" s="24">
        <f>SUMIFS('Saldos Iniciales'!$D:$D,'Saldos Iniciales'!$A:$A,"M1B")+SUMIFS(Movimientos!$K$1:$K$1324,Movimientos!$C$1:$C$1324,"M1B",Movimientos!$B$1:$B$1324,"&lt;="&amp;$B86)</f>
        <v>73157.680000000168</v>
      </c>
      <c r="E86" s="24">
        <f>SUMIFS('Saldos Iniciales'!$D:$D,'Saldos Iniciales'!$A:$A,"Durand")+SUMIFS(Movimientos!$K$1:$K$1324,Movimientos!$C$1:$C$1324,"Durand",Movimientos!$B$1:$B$1324,"&lt;="&amp;$B86)</f>
        <v>1669.89</v>
      </c>
      <c r="F86" s="24">
        <f>SUMIFS('Saldos Iniciales'!$D:$D,'Saldos Iniciales'!$A:$A,"A&amp;M Imports")+SUMIFS(Movimientos!$K$1:$K$1324,Movimientos!$C$1:$C$1324,"A&amp;M Imports",Movimientos!$B$1:$B$1324,"&lt;="&amp;$B86)</f>
        <v>1042744.6899999997</v>
      </c>
      <c r="G86" s="24">
        <f>SUMIFS('Saldos Iniciales'!$D:$D,'Saldos Iniciales'!$A:$A,"SSP Capital")+SUMIFS(Movimientos!$K$1:$K$1324,Movimientos!$C$1:$C$1324,"SSP Capital",Movimientos!$B$1:$B$1324,"&lt;="&amp;$B86)</f>
        <v>2022877.8699999996</v>
      </c>
      <c r="H86" s="24">
        <f>SUMIFS('Saldos Iniciales'!$D:$D,'Saldos Iniciales'!$A:$A,"Cross Family Trust")+SUMIFS(Movimientos!$K$1:$K$1324,Movimientos!$C$1:$C$1324,"Cross Family Trust",Movimientos!$B$1:$B$1324,"&lt;="&amp;$B86)</f>
        <v>200496.38</v>
      </c>
      <c r="I86" s="24">
        <f>SUMIFS('Saldos Iniciales'!$D:$D,'Saldos Iniciales'!$A:$A,"Cross Security Trust")+SUMIFS(Movimientos!$K$1:$K$1324,Movimientos!$C$1:$C$1324,"Cross Security Trust",Movimientos!$B$1:$B$1324,"&lt;="&amp;$B86)</f>
        <v>267507.45</v>
      </c>
      <c r="J86" s="24">
        <f>SUMIFS('Saldos Iniciales'!$D:$D,'Saldos Iniciales'!$A:$A,"Electrama")+SUMIFS(Movimientos!$K$1:$K$1324,Movimientos!$C$1:$C$1324,"Electrama",Movimientos!$B$1:$B$1324,"&lt;="&amp;$B86)</f>
        <v>14580.45</v>
      </c>
      <c r="K86" s="24">
        <f>SUMIFS('Saldos Iniciales'!$D:$D,'Saldos Iniciales'!$A:$A,"Sacred Valley Capital")+SUMIFS(Movimientos!$K$1:$K$1324,Movimientos!$C$1:$C$1324,"Sacred Valley Capital",Movimientos!$B$1:$B$1324,"&lt;="&amp;$B86)</f>
        <v>54.400000000000006</v>
      </c>
      <c r="L86" s="24">
        <f>SUMIFS('Saldos Iniciales'!$D:$D,'Saldos Iniciales'!$A:$A,"YWC Capital")+SUMIFS(Movimientos!$K$1:$K$1324,Movimientos!$C$1:$C$1324,"YWC Capital",Movimientos!$B$1:$B$1324,"&lt;="&amp;$B86)</f>
        <v>2207.8200000000002</v>
      </c>
      <c r="M86" s="24">
        <f>SUMIFS('Saldos Iniciales'!$D:$D,'Saldos Iniciales'!$A:$A,"Soweto")+SUMIFS(Movimientos!$K$1:$K$1324,Movimientos!$C$1:$C$1324,"Soweto",Movimientos!$B$1:$B$1324,"&lt;="&amp;$B86)</f>
        <v>1454589.72</v>
      </c>
      <c r="N86" s="24">
        <f>SUMIFS('Saldos Iniciales'!$D:$D,'Saldos Iniciales'!$A:$A,"Green Stone Trust")+SUMIFS(Movimientos!$K$1:$K$1324,Movimientos!$C$1:$C$1324,"Green Stone Trust",Movimientos!$B$1:$B$1324,"&lt;="&amp;$B86)</f>
        <v>1968.99</v>
      </c>
      <c r="O86" s="24">
        <f>SUMIFS('Saldos Iniciales'!$D:$D,'Saldos Iniciales'!$A:$A,"EC Auto")+SUMIFS(Movimientos!$K$1:$K$1324,Movimientos!$C$1:$C$1324,"EC Auto",Movimientos!$B$1:$B$1324,"&lt;="&amp;$B86)</f>
        <v>901.34</v>
      </c>
      <c r="P86" s="24">
        <f>SUMIFS('Saldos Iniciales'!$D:$D,'Saldos Iniciales'!$A:$A,"Arbor Capital Properties")+SUMIFS(Movimientos!$K$1:$K$1324,Movimientos!$C$1:$C$1324,"Arbor Capital Properties",Movimientos!$B$1:$B$1324,"&lt;="&amp;$B86)</f>
        <v>1412.08</v>
      </c>
      <c r="Q86" s="24">
        <f>SUMIFS('Saldos Iniciales'!$D:$D,'Saldos Iniciales'!$A:$A,"2515 Overbrook")+SUMIFS(Movimientos!$K$1:$K$1324,Movimientos!$C$1:$C$1324,"2515 Overbrook",Movimientos!$B$1:$B$1324,"&lt;="&amp;$B86)</f>
        <v>22347.56999999996</v>
      </c>
      <c r="R86" s="24">
        <f>SUMIFS('Saldos Iniciales'!$D:$D,'Saldos Iniciales'!$A:$A,"112 Florida Ave")+SUMIFS(Movimientos!$K$1:$K$1324,Movimientos!$C$1:$C$1324,"112 Florida Ave",Movimientos!$B$1:$B$1324,"&lt;="&amp;$B86)</f>
        <v>18522.800000000003</v>
      </c>
      <c r="S86" s="24">
        <f>SUMIFS('Saldos Iniciales'!$D:$D,'Saldos Iniciales'!$A:$A,"3628 Thomas Ave")+SUMIFS(Movimientos!$K$1:$K$1324,Movimientos!$C$1:$C$1324,"3628 Thomas Ave",Movimientos!$B$1:$B$1324,"&lt;="&amp;$B86)</f>
        <v>28485.559999999998</v>
      </c>
      <c r="T86" s="24">
        <f>SUMIFS('Saldos Iniciales'!$D:$D,'Saldos Iniciales'!$A:$A,"Green Harbor Trust")+SUMIFS(Movimientos!$K$1:$K$1324,Movimientos!$C$1:$C$1324,"Green Harbor Trust",Movimientos!$B$1:$B$1324,"&lt;="&amp;$B86)</f>
        <v>345</v>
      </c>
      <c r="U86" s="24">
        <f>SUMIFS('Saldos Iniciales'!$D:$D,'Saldos Iniciales'!$A:$A,"Go Blue")+SUMIFS(Movimientos!$K$1:$K$1324,Movimientos!$C$1:$C$1324,"Go Blue",Movimientos!$B$1:$B$1324,"&lt;="&amp;$B86)</f>
        <v>9557.6300000000028</v>
      </c>
      <c r="V86" s="24">
        <f>IF(YEAR($B86)*100+MONTH($B86)&lt;--SUBSTITUTE(_xlfn.XLOOKUP("Pacha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LLC",Movimientos!$B$1:$B$1324,"&lt;="&amp;$B86))</f>
        <v>0</v>
      </c>
      <c r="W86" s="24">
        <f>IF(YEAR($B86)*100+MONTH($B86)&lt;--SUBSTITUTE(_xlfn.XLOOKUP("*CFT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Residence",Movimientos!$B$1:$B$1324,"&lt;="&amp;$B86))</f>
        <v>0</v>
      </c>
      <c r="X86" s="24">
        <f>IF(YEAR($B86)*100+MONTH($B86)&lt;--SUBSTITUTE(_xlfn.XLOOKUP("Carmen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Trust",Movimientos!$B$1:$B$1324,"&lt;="&amp;$B86))</f>
        <v>0</v>
      </c>
      <c r="Y86" s="24">
        <f>IF(YEAR($B86)*100+MONTH($B86)&lt;--SUBSTITUTE(_xlfn.XLOOKUP("SIYP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LLC",Movimientos!$B$1:$B$1324,"&lt;="&amp;$B86))</f>
        <v>0</v>
      </c>
      <c r="Z86" s="24">
        <f>IF(YEAR($B86)*100+MONTH($B86)&lt;--SUBSTITUTE(_xlfn.XLOOKUP("Prendamas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SRL",Movimientos!$B$1:$B$1324,"&lt;="&amp;$B86))</f>
        <v>0</v>
      </c>
      <c r="AA86" s="24">
        <f>IF(YEAR($B86)*100+MONTH($B86)&lt;--SUBSTITUTE(_xlfn.XLOOKUP("360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LLC",Movimientos!$B$1:$B$1324,"&lt;="&amp;$B86))</f>
        <v>0</v>
      </c>
      <c r="AB86" s="24">
        <f>IF(YEAR($B86)*100+MONTH($B86)&lt;--SUBSTITUTE(_xlfn.XLOOKUP("Five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",Movimientos!$B$1:$B$1324,"&lt;="&amp;$B86))</f>
        <v>0</v>
      </c>
      <c r="AC86" s="24">
        <f>IF(YEAR($B86)*100+MONTH($B86)&lt;--SUBSTITUTE(_xlfn.XLOOKUP("Nobe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Aparments",Movimientos!$B$1:$B$1324,"&lt;="&amp;$B86))</f>
        <v>0</v>
      </c>
      <c r="AD86" s="24">
        <f>IF(YEAR($B86)*100+MONTH($B86)&lt;--SUBSTITUTE(_xlfn.XLOOKUP("Don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Life",Movimientos!$B$1:$B$1324,"&lt;="&amp;$B86))</f>
        <v>0</v>
      </c>
      <c r="AE86" s="25">
        <f t="shared" si="3"/>
        <v>7419178.0600000015</v>
      </c>
    </row>
    <row r="87" spans="1:31" hidden="1" outlineLevel="1" x14ac:dyDescent="0.3">
      <c r="A87" s="22">
        <f t="shared" si="2"/>
        <v>86</v>
      </c>
      <c r="B87" s="23">
        <v>46228</v>
      </c>
      <c r="C87" s="24">
        <f>SUMIFS('Saldos Iniciales'!$D:$D,'Saldos Iniciales'!$A:$A,"CFT Group")+SUMIFS(Movimientos!$K$1:$K$1324,Movimientos!$C$1:$C$1324,"CFT Group",Movimientos!$B$1:$B$1324,"&lt;="&amp;$B87)</f>
        <v>2255750.7400000007</v>
      </c>
      <c r="D87" s="24">
        <f>SUMIFS('Saldos Iniciales'!$D:$D,'Saldos Iniciales'!$A:$A,"M1B")+SUMIFS(Movimientos!$K$1:$K$1324,Movimientos!$C$1:$C$1324,"M1B",Movimientos!$B$1:$B$1324,"&lt;="&amp;$B87)</f>
        <v>73157.680000000168</v>
      </c>
      <c r="E87" s="24">
        <f>SUMIFS('Saldos Iniciales'!$D:$D,'Saldos Iniciales'!$A:$A,"Durand")+SUMIFS(Movimientos!$K$1:$K$1324,Movimientos!$C$1:$C$1324,"Durand",Movimientos!$B$1:$B$1324,"&lt;="&amp;$B87)</f>
        <v>1669.89</v>
      </c>
      <c r="F87" s="24">
        <f>SUMIFS('Saldos Iniciales'!$D:$D,'Saldos Iniciales'!$A:$A,"A&amp;M Imports")+SUMIFS(Movimientos!$K$1:$K$1324,Movimientos!$C$1:$C$1324,"A&amp;M Imports",Movimientos!$B$1:$B$1324,"&lt;="&amp;$B87)</f>
        <v>1042744.6899999997</v>
      </c>
      <c r="G87" s="24">
        <f>SUMIFS('Saldos Iniciales'!$D:$D,'Saldos Iniciales'!$A:$A,"SSP Capital")+SUMIFS(Movimientos!$K$1:$K$1324,Movimientos!$C$1:$C$1324,"SSP Capital",Movimientos!$B$1:$B$1324,"&lt;="&amp;$B87)</f>
        <v>2022877.8699999996</v>
      </c>
      <c r="H87" s="24">
        <f>SUMIFS('Saldos Iniciales'!$D:$D,'Saldos Iniciales'!$A:$A,"Cross Family Trust")+SUMIFS(Movimientos!$K$1:$K$1324,Movimientos!$C$1:$C$1324,"Cross Family Trust",Movimientos!$B$1:$B$1324,"&lt;="&amp;$B87)</f>
        <v>200496.38</v>
      </c>
      <c r="I87" s="24">
        <f>SUMIFS('Saldos Iniciales'!$D:$D,'Saldos Iniciales'!$A:$A,"Cross Security Trust")+SUMIFS(Movimientos!$K$1:$K$1324,Movimientos!$C$1:$C$1324,"Cross Security Trust",Movimientos!$B$1:$B$1324,"&lt;="&amp;$B87)</f>
        <v>267507.45</v>
      </c>
      <c r="J87" s="24">
        <f>SUMIFS('Saldos Iniciales'!$D:$D,'Saldos Iniciales'!$A:$A,"Electrama")+SUMIFS(Movimientos!$K$1:$K$1324,Movimientos!$C$1:$C$1324,"Electrama",Movimientos!$B$1:$B$1324,"&lt;="&amp;$B87)</f>
        <v>14580.45</v>
      </c>
      <c r="K87" s="24">
        <f>SUMIFS('Saldos Iniciales'!$D:$D,'Saldos Iniciales'!$A:$A,"Sacred Valley Capital")+SUMIFS(Movimientos!$K$1:$K$1324,Movimientos!$C$1:$C$1324,"Sacred Valley Capital",Movimientos!$B$1:$B$1324,"&lt;="&amp;$B87)</f>
        <v>54.400000000000006</v>
      </c>
      <c r="L87" s="24">
        <f>SUMIFS('Saldos Iniciales'!$D:$D,'Saldos Iniciales'!$A:$A,"YWC Capital")+SUMIFS(Movimientos!$K$1:$K$1324,Movimientos!$C$1:$C$1324,"YWC Capital",Movimientos!$B$1:$B$1324,"&lt;="&amp;$B87)</f>
        <v>2207.8200000000002</v>
      </c>
      <c r="M87" s="24">
        <f>SUMIFS('Saldos Iniciales'!$D:$D,'Saldos Iniciales'!$A:$A,"Soweto")+SUMIFS(Movimientos!$K$1:$K$1324,Movimientos!$C$1:$C$1324,"Soweto",Movimientos!$B$1:$B$1324,"&lt;="&amp;$B87)</f>
        <v>1454589.72</v>
      </c>
      <c r="N87" s="24">
        <f>SUMIFS('Saldos Iniciales'!$D:$D,'Saldos Iniciales'!$A:$A,"Green Stone Trust")+SUMIFS(Movimientos!$K$1:$K$1324,Movimientos!$C$1:$C$1324,"Green Stone Trust",Movimientos!$B$1:$B$1324,"&lt;="&amp;$B87)</f>
        <v>1968.99</v>
      </c>
      <c r="O87" s="24">
        <f>SUMIFS('Saldos Iniciales'!$D:$D,'Saldos Iniciales'!$A:$A,"EC Auto")+SUMIFS(Movimientos!$K$1:$K$1324,Movimientos!$C$1:$C$1324,"EC Auto",Movimientos!$B$1:$B$1324,"&lt;="&amp;$B87)</f>
        <v>901.34</v>
      </c>
      <c r="P87" s="24">
        <f>SUMIFS('Saldos Iniciales'!$D:$D,'Saldos Iniciales'!$A:$A,"Arbor Capital Properties")+SUMIFS(Movimientos!$K$1:$K$1324,Movimientos!$C$1:$C$1324,"Arbor Capital Properties",Movimientos!$B$1:$B$1324,"&lt;="&amp;$B87)</f>
        <v>1412.08</v>
      </c>
      <c r="Q87" s="24">
        <f>SUMIFS('Saldos Iniciales'!$D:$D,'Saldos Iniciales'!$A:$A,"2515 Overbrook")+SUMIFS(Movimientos!$K$1:$K$1324,Movimientos!$C$1:$C$1324,"2515 Overbrook",Movimientos!$B$1:$B$1324,"&lt;="&amp;$B87)</f>
        <v>22347.56999999996</v>
      </c>
      <c r="R87" s="24">
        <f>SUMIFS('Saldos Iniciales'!$D:$D,'Saldos Iniciales'!$A:$A,"112 Florida Ave")+SUMIFS(Movimientos!$K$1:$K$1324,Movimientos!$C$1:$C$1324,"112 Florida Ave",Movimientos!$B$1:$B$1324,"&lt;="&amp;$B87)</f>
        <v>18522.800000000003</v>
      </c>
      <c r="S87" s="24">
        <f>SUMIFS('Saldos Iniciales'!$D:$D,'Saldos Iniciales'!$A:$A,"3628 Thomas Ave")+SUMIFS(Movimientos!$K$1:$K$1324,Movimientos!$C$1:$C$1324,"3628 Thomas Ave",Movimientos!$B$1:$B$1324,"&lt;="&amp;$B87)</f>
        <v>28485.559999999998</v>
      </c>
      <c r="T87" s="24">
        <f>SUMIFS('Saldos Iniciales'!$D:$D,'Saldos Iniciales'!$A:$A,"Green Harbor Trust")+SUMIFS(Movimientos!$K$1:$K$1324,Movimientos!$C$1:$C$1324,"Green Harbor Trust",Movimientos!$B$1:$B$1324,"&lt;="&amp;$B87)</f>
        <v>345</v>
      </c>
      <c r="U87" s="24">
        <f>SUMIFS('Saldos Iniciales'!$D:$D,'Saldos Iniciales'!$A:$A,"Go Blue")+SUMIFS(Movimientos!$K$1:$K$1324,Movimientos!$C$1:$C$1324,"Go Blue",Movimientos!$B$1:$B$1324,"&lt;="&amp;$B87)</f>
        <v>9557.6300000000028</v>
      </c>
      <c r="V87" s="24">
        <f>IF(YEAR($B87)*100+MONTH($B87)&lt;--SUBSTITUTE(_xlfn.XLOOKUP("Pacha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LLC",Movimientos!$B$1:$B$1324,"&lt;="&amp;$B87))</f>
        <v>0</v>
      </c>
      <c r="W87" s="24">
        <f>IF(YEAR($B87)*100+MONTH($B87)&lt;--SUBSTITUTE(_xlfn.XLOOKUP("*CFT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Residence",Movimientos!$B$1:$B$1324,"&lt;="&amp;$B87))</f>
        <v>0</v>
      </c>
      <c r="X87" s="24">
        <f>IF(YEAR($B87)*100+MONTH($B87)&lt;--SUBSTITUTE(_xlfn.XLOOKUP("Carmen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Trust",Movimientos!$B$1:$B$1324,"&lt;="&amp;$B87))</f>
        <v>0</v>
      </c>
      <c r="Y87" s="24">
        <f>IF(YEAR($B87)*100+MONTH($B87)&lt;--SUBSTITUTE(_xlfn.XLOOKUP("SIYP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LLC",Movimientos!$B$1:$B$1324,"&lt;="&amp;$B87))</f>
        <v>0</v>
      </c>
      <c r="Z87" s="24">
        <f>IF(YEAR($B87)*100+MONTH($B87)&lt;--SUBSTITUTE(_xlfn.XLOOKUP("Prendamas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SRL",Movimientos!$B$1:$B$1324,"&lt;="&amp;$B87))</f>
        <v>0</v>
      </c>
      <c r="AA87" s="24">
        <f>IF(YEAR($B87)*100+MONTH($B87)&lt;--SUBSTITUTE(_xlfn.XLOOKUP("360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LLC",Movimientos!$B$1:$B$1324,"&lt;="&amp;$B87))</f>
        <v>0</v>
      </c>
      <c r="AB87" s="24">
        <f>IF(YEAR($B87)*100+MONTH($B87)&lt;--SUBSTITUTE(_xlfn.XLOOKUP("Five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",Movimientos!$B$1:$B$1324,"&lt;="&amp;$B87))</f>
        <v>0</v>
      </c>
      <c r="AC87" s="24">
        <f>IF(YEAR($B87)*100+MONTH($B87)&lt;--SUBSTITUTE(_xlfn.XLOOKUP("Nobe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Aparments",Movimientos!$B$1:$B$1324,"&lt;="&amp;$B87))</f>
        <v>0</v>
      </c>
      <c r="AD87" s="24">
        <f>IF(YEAR($B87)*100+MONTH($B87)&lt;--SUBSTITUTE(_xlfn.XLOOKUP("Don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Life",Movimientos!$B$1:$B$1324,"&lt;="&amp;$B87))</f>
        <v>0</v>
      </c>
      <c r="AE87" s="25">
        <f t="shared" si="3"/>
        <v>7419178.0600000015</v>
      </c>
    </row>
    <row r="88" spans="1:31" hidden="1" outlineLevel="1" x14ac:dyDescent="0.3">
      <c r="A88" s="22">
        <f t="shared" si="2"/>
        <v>87</v>
      </c>
      <c r="B88" s="23">
        <v>46229</v>
      </c>
      <c r="C88" s="24">
        <f>SUMIFS('Saldos Iniciales'!$D:$D,'Saldos Iniciales'!$A:$A,"CFT Group")+SUMIFS(Movimientos!$K$1:$K$1324,Movimientos!$C$1:$C$1324,"CFT Group",Movimientos!$B$1:$B$1324,"&lt;="&amp;$B88)</f>
        <v>2255750.7400000007</v>
      </c>
      <c r="D88" s="24">
        <f>SUMIFS('Saldos Iniciales'!$D:$D,'Saldos Iniciales'!$A:$A,"M1B")+SUMIFS(Movimientos!$K$1:$K$1324,Movimientos!$C$1:$C$1324,"M1B",Movimientos!$B$1:$B$1324,"&lt;="&amp;$B88)</f>
        <v>73157.680000000168</v>
      </c>
      <c r="E88" s="24">
        <f>SUMIFS('Saldos Iniciales'!$D:$D,'Saldos Iniciales'!$A:$A,"Durand")+SUMIFS(Movimientos!$K$1:$K$1324,Movimientos!$C$1:$C$1324,"Durand",Movimientos!$B$1:$B$1324,"&lt;="&amp;$B88)</f>
        <v>1669.89</v>
      </c>
      <c r="F88" s="24">
        <f>SUMIFS('Saldos Iniciales'!$D:$D,'Saldos Iniciales'!$A:$A,"A&amp;M Imports")+SUMIFS(Movimientos!$K$1:$K$1324,Movimientos!$C$1:$C$1324,"A&amp;M Imports",Movimientos!$B$1:$B$1324,"&lt;="&amp;$B88)</f>
        <v>1042744.6899999997</v>
      </c>
      <c r="G88" s="24">
        <f>SUMIFS('Saldos Iniciales'!$D:$D,'Saldos Iniciales'!$A:$A,"SSP Capital")+SUMIFS(Movimientos!$K$1:$K$1324,Movimientos!$C$1:$C$1324,"SSP Capital",Movimientos!$B$1:$B$1324,"&lt;="&amp;$B88)</f>
        <v>2022877.8699999996</v>
      </c>
      <c r="H88" s="24">
        <f>SUMIFS('Saldos Iniciales'!$D:$D,'Saldos Iniciales'!$A:$A,"Cross Family Trust")+SUMIFS(Movimientos!$K$1:$K$1324,Movimientos!$C$1:$C$1324,"Cross Family Trust",Movimientos!$B$1:$B$1324,"&lt;="&amp;$B88)</f>
        <v>200496.38</v>
      </c>
      <c r="I88" s="24">
        <f>SUMIFS('Saldos Iniciales'!$D:$D,'Saldos Iniciales'!$A:$A,"Cross Security Trust")+SUMIFS(Movimientos!$K$1:$K$1324,Movimientos!$C$1:$C$1324,"Cross Security Trust",Movimientos!$B$1:$B$1324,"&lt;="&amp;$B88)</f>
        <v>267507.45</v>
      </c>
      <c r="J88" s="24">
        <f>SUMIFS('Saldos Iniciales'!$D:$D,'Saldos Iniciales'!$A:$A,"Electrama")+SUMIFS(Movimientos!$K$1:$K$1324,Movimientos!$C$1:$C$1324,"Electrama",Movimientos!$B$1:$B$1324,"&lt;="&amp;$B88)</f>
        <v>14580.45</v>
      </c>
      <c r="K88" s="24">
        <f>SUMIFS('Saldos Iniciales'!$D:$D,'Saldos Iniciales'!$A:$A,"Sacred Valley Capital")+SUMIFS(Movimientos!$K$1:$K$1324,Movimientos!$C$1:$C$1324,"Sacred Valley Capital",Movimientos!$B$1:$B$1324,"&lt;="&amp;$B88)</f>
        <v>54.400000000000006</v>
      </c>
      <c r="L88" s="24">
        <f>SUMIFS('Saldos Iniciales'!$D:$D,'Saldos Iniciales'!$A:$A,"YWC Capital")+SUMIFS(Movimientos!$K$1:$K$1324,Movimientos!$C$1:$C$1324,"YWC Capital",Movimientos!$B$1:$B$1324,"&lt;="&amp;$B88)</f>
        <v>2207.8200000000002</v>
      </c>
      <c r="M88" s="24">
        <f>SUMIFS('Saldos Iniciales'!$D:$D,'Saldos Iniciales'!$A:$A,"Soweto")+SUMIFS(Movimientos!$K$1:$K$1324,Movimientos!$C$1:$C$1324,"Soweto",Movimientos!$B$1:$B$1324,"&lt;="&amp;$B88)</f>
        <v>1454589.72</v>
      </c>
      <c r="N88" s="24">
        <f>SUMIFS('Saldos Iniciales'!$D:$D,'Saldos Iniciales'!$A:$A,"Green Stone Trust")+SUMIFS(Movimientos!$K$1:$K$1324,Movimientos!$C$1:$C$1324,"Green Stone Trust",Movimientos!$B$1:$B$1324,"&lt;="&amp;$B88)</f>
        <v>1968.99</v>
      </c>
      <c r="O88" s="24">
        <f>SUMIFS('Saldos Iniciales'!$D:$D,'Saldos Iniciales'!$A:$A,"EC Auto")+SUMIFS(Movimientos!$K$1:$K$1324,Movimientos!$C$1:$C$1324,"EC Auto",Movimientos!$B$1:$B$1324,"&lt;="&amp;$B88)</f>
        <v>901.34</v>
      </c>
      <c r="P88" s="24">
        <f>SUMIFS('Saldos Iniciales'!$D:$D,'Saldos Iniciales'!$A:$A,"Arbor Capital Properties")+SUMIFS(Movimientos!$K$1:$K$1324,Movimientos!$C$1:$C$1324,"Arbor Capital Properties",Movimientos!$B$1:$B$1324,"&lt;="&amp;$B88)</f>
        <v>1412.08</v>
      </c>
      <c r="Q88" s="24">
        <f>SUMIFS('Saldos Iniciales'!$D:$D,'Saldos Iniciales'!$A:$A,"2515 Overbrook")+SUMIFS(Movimientos!$K$1:$K$1324,Movimientos!$C$1:$C$1324,"2515 Overbrook",Movimientos!$B$1:$B$1324,"&lt;="&amp;$B88)</f>
        <v>22347.56999999996</v>
      </c>
      <c r="R88" s="24">
        <f>SUMIFS('Saldos Iniciales'!$D:$D,'Saldos Iniciales'!$A:$A,"112 Florida Ave")+SUMIFS(Movimientos!$K$1:$K$1324,Movimientos!$C$1:$C$1324,"112 Florida Ave",Movimientos!$B$1:$B$1324,"&lt;="&amp;$B88)</f>
        <v>18522.800000000003</v>
      </c>
      <c r="S88" s="24">
        <f>SUMIFS('Saldos Iniciales'!$D:$D,'Saldos Iniciales'!$A:$A,"3628 Thomas Ave")+SUMIFS(Movimientos!$K$1:$K$1324,Movimientos!$C$1:$C$1324,"3628 Thomas Ave",Movimientos!$B$1:$B$1324,"&lt;="&amp;$B88)</f>
        <v>28485.559999999998</v>
      </c>
      <c r="T88" s="24">
        <f>SUMIFS('Saldos Iniciales'!$D:$D,'Saldos Iniciales'!$A:$A,"Green Harbor Trust")+SUMIFS(Movimientos!$K$1:$K$1324,Movimientos!$C$1:$C$1324,"Green Harbor Trust",Movimientos!$B$1:$B$1324,"&lt;="&amp;$B88)</f>
        <v>345</v>
      </c>
      <c r="U88" s="24">
        <f>SUMIFS('Saldos Iniciales'!$D:$D,'Saldos Iniciales'!$A:$A,"Go Blue")+SUMIFS(Movimientos!$K$1:$K$1324,Movimientos!$C$1:$C$1324,"Go Blue",Movimientos!$B$1:$B$1324,"&lt;="&amp;$B88)</f>
        <v>9557.6300000000028</v>
      </c>
      <c r="V88" s="24">
        <f>IF(YEAR($B88)*100+MONTH($B88)&lt;--SUBSTITUTE(_xlfn.XLOOKUP("Pacha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LLC",Movimientos!$B$1:$B$1324,"&lt;="&amp;$B88))</f>
        <v>0</v>
      </c>
      <c r="W88" s="24">
        <f>IF(YEAR($B88)*100+MONTH($B88)&lt;--SUBSTITUTE(_xlfn.XLOOKUP("*CFT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Residence",Movimientos!$B$1:$B$1324,"&lt;="&amp;$B88))</f>
        <v>0</v>
      </c>
      <c r="X88" s="24">
        <f>IF(YEAR($B88)*100+MONTH($B88)&lt;--SUBSTITUTE(_xlfn.XLOOKUP("Carmen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Trust",Movimientos!$B$1:$B$1324,"&lt;="&amp;$B88))</f>
        <v>0</v>
      </c>
      <c r="Y88" s="24">
        <f>IF(YEAR($B88)*100+MONTH($B88)&lt;--SUBSTITUTE(_xlfn.XLOOKUP("SIYP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LLC",Movimientos!$B$1:$B$1324,"&lt;="&amp;$B88))</f>
        <v>0</v>
      </c>
      <c r="Z88" s="24">
        <f>IF(YEAR($B88)*100+MONTH($B88)&lt;--SUBSTITUTE(_xlfn.XLOOKUP("Prendamas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SRL",Movimientos!$B$1:$B$1324,"&lt;="&amp;$B88))</f>
        <v>0</v>
      </c>
      <c r="AA88" s="24">
        <f>IF(YEAR($B88)*100+MONTH($B88)&lt;--SUBSTITUTE(_xlfn.XLOOKUP("360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LLC",Movimientos!$B$1:$B$1324,"&lt;="&amp;$B88))</f>
        <v>0</v>
      </c>
      <c r="AB88" s="24">
        <f>IF(YEAR($B88)*100+MONTH($B88)&lt;--SUBSTITUTE(_xlfn.XLOOKUP("Five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",Movimientos!$B$1:$B$1324,"&lt;="&amp;$B88))</f>
        <v>0</v>
      </c>
      <c r="AC88" s="24">
        <f>IF(YEAR($B88)*100+MONTH($B88)&lt;--SUBSTITUTE(_xlfn.XLOOKUP("Nobe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Aparments",Movimientos!$B$1:$B$1324,"&lt;="&amp;$B88))</f>
        <v>0</v>
      </c>
      <c r="AD88" s="24">
        <f>IF(YEAR($B88)*100+MONTH($B88)&lt;--SUBSTITUTE(_xlfn.XLOOKUP("Don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Life",Movimientos!$B$1:$B$1324,"&lt;="&amp;$B88))</f>
        <v>0</v>
      </c>
      <c r="AE88" s="25">
        <f t="shared" si="3"/>
        <v>7419178.0600000015</v>
      </c>
    </row>
    <row r="89" spans="1:31" hidden="1" outlineLevel="1" x14ac:dyDescent="0.3">
      <c r="A89" s="22">
        <f t="shared" si="2"/>
        <v>88</v>
      </c>
      <c r="B89" s="23">
        <v>46230</v>
      </c>
      <c r="C89" s="24">
        <f>SUMIFS('Saldos Iniciales'!$D:$D,'Saldos Iniciales'!$A:$A,"CFT Group")+SUMIFS(Movimientos!$K$1:$K$1324,Movimientos!$C$1:$C$1324,"CFT Group",Movimientos!$B$1:$B$1324,"&lt;="&amp;$B89)</f>
        <v>2255750.7400000007</v>
      </c>
      <c r="D89" s="24">
        <f>SUMIFS('Saldos Iniciales'!$D:$D,'Saldos Iniciales'!$A:$A,"M1B")+SUMIFS(Movimientos!$K$1:$K$1324,Movimientos!$C$1:$C$1324,"M1B",Movimientos!$B$1:$B$1324,"&lt;="&amp;$B89)</f>
        <v>73157.680000000168</v>
      </c>
      <c r="E89" s="24">
        <f>SUMIFS('Saldos Iniciales'!$D:$D,'Saldos Iniciales'!$A:$A,"Durand")+SUMIFS(Movimientos!$K$1:$K$1324,Movimientos!$C$1:$C$1324,"Durand",Movimientos!$B$1:$B$1324,"&lt;="&amp;$B89)</f>
        <v>1669.89</v>
      </c>
      <c r="F89" s="24">
        <f>SUMIFS('Saldos Iniciales'!$D:$D,'Saldos Iniciales'!$A:$A,"A&amp;M Imports")+SUMIFS(Movimientos!$K$1:$K$1324,Movimientos!$C$1:$C$1324,"A&amp;M Imports",Movimientos!$B$1:$B$1324,"&lt;="&amp;$B89)</f>
        <v>1392744.6899999997</v>
      </c>
      <c r="G89" s="24">
        <f>SUMIFS('Saldos Iniciales'!$D:$D,'Saldos Iniciales'!$A:$A,"SSP Capital")+SUMIFS(Movimientos!$K$1:$K$1324,Movimientos!$C$1:$C$1324,"SSP Capital",Movimientos!$B$1:$B$1324,"&lt;="&amp;$B89)</f>
        <v>2022877.8699999996</v>
      </c>
      <c r="H89" s="24">
        <f>SUMIFS('Saldos Iniciales'!$D:$D,'Saldos Iniciales'!$A:$A,"Cross Family Trust")+SUMIFS(Movimientos!$K$1:$K$1324,Movimientos!$C$1:$C$1324,"Cross Family Trust",Movimientos!$B$1:$B$1324,"&lt;="&amp;$B89)</f>
        <v>190496.38</v>
      </c>
      <c r="I89" s="24">
        <f>SUMIFS('Saldos Iniciales'!$D:$D,'Saldos Iniciales'!$A:$A,"Cross Security Trust")+SUMIFS(Movimientos!$K$1:$K$1324,Movimientos!$C$1:$C$1324,"Cross Security Trust",Movimientos!$B$1:$B$1324,"&lt;="&amp;$B89)</f>
        <v>267507.45</v>
      </c>
      <c r="J89" s="24">
        <f>SUMIFS('Saldos Iniciales'!$D:$D,'Saldos Iniciales'!$A:$A,"Electrama")+SUMIFS(Movimientos!$K$1:$K$1324,Movimientos!$C$1:$C$1324,"Electrama",Movimientos!$B$1:$B$1324,"&lt;="&amp;$B89)</f>
        <v>14580.45</v>
      </c>
      <c r="K89" s="24">
        <f>SUMIFS('Saldos Iniciales'!$D:$D,'Saldos Iniciales'!$A:$A,"Sacred Valley Capital")+SUMIFS(Movimientos!$K$1:$K$1324,Movimientos!$C$1:$C$1324,"Sacred Valley Capital",Movimientos!$B$1:$B$1324,"&lt;="&amp;$B89)</f>
        <v>54.400000000000006</v>
      </c>
      <c r="L89" s="24">
        <f>SUMIFS('Saldos Iniciales'!$D:$D,'Saldos Iniciales'!$A:$A,"YWC Capital")+SUMIFS(Movimientos!$K$1:$K$1324,Movimientos!$C$1:$C$1324,"YWC Capital",Movimientos!$B$1:$B$1324,"&lt;="&amp;$B89)</f>
        <v>2207.8200000000002</v>
      </c>
      <c r="M89" s="24">
        <f>SUMIFS('Saldos Iniciales'!$D:$D,'Saldos Iniciales'!$A:$A,"Soweto")+SUMIFS(Movimientos!$K$1:$K$1324,Movimientos!$C$1:$C$1324,"Soweto",Movimientos!$B$1:$B$1324,"&lt;="&amp;$B89)</f>
        <v>1454589.72</v>
      </c>
      <c r="N89" s="24">
        <f>SUMIFS('Saldos Iniciales'!$D:$D,'Saldos Iniciales'!$A:$A,"Green Stone Trust")+SUMIFS(Movimientos!$K$1:$K$1324,Movimientos!$C$1:$C$1324,"Green Stone Trust",Movimientos!$B$1:$B$1324,"&lt;="&amp;$B89)</f>
        <v>1968.99</v>
      </c>
      <c r="O89" s="24">
        <f>SUMIFS('Saldos Iniciales'!$D:$D,'Saldos Iniciales'!$A:$A,"EC Auto")+SUMIFS(Movimientos!$K$1:$K$1324,Movimientos!$C$1:$C$1324,"EC Auto",Movimientos!$B$1:$B$1324,"&lt;="&amp;$B89)</f>
        <v>901.34</v>
      </c>
      <c r="P89" s="24">
        <f>SUMIFS('Saldos Iniciales'!$D:$D,'Saldos Iniciales'!$A:$A,"Arbor Capital Properties")+SUMIFS(Movimientos!$K$1:$K$1324,Movimientos!$C$1:$C$1324,"Arbor Capital Properties",Movimientos!$B$1:$B$1324,"&lt;="&amp;$B89)</f>
        <v>1412.08</v>
      </c>
      <c r="Q89" s="24">
        <f>SUMIFS('Saldos Iniciales'!$D:$D,'Saldos Iniciales'!$A:$A,"2515 Overbrook")+SUMIFS(Movimientos!$K$1:$K$1324,Movimientos!$C$1:$C$1324,"2515 Overbrook",Movimientos!$B$1:$B$1324,"&lt;="&amp;$B89)</f>
        <v>22347.56999999996</v>
      </c>
      <c r="R89" s="24">
        <f>SUMIFS('Saldos Iniciales'!$D:$D,'Saldos Iniciales'!$A:$A,"112 Florida Ave")+SUMIFS(Movimientos!$K$1:$K$1324,Movimientos!$C$1:$C$1324,"112 Florida Ave",Movimientos!$B$1:$B$1324,"&lt;="&amp;$B89)</f>
        <v>18522.800000000003</v>
      </c>
      <c r="S89" s="24">
        <f>SUMIFS('Saldos Iniciales'!$D:$D,'Saldos Iniciales'!$A:$A,"3628 Thomas Ave")+SUMIFS(Movimientos!$K$1:$K$1324,Movimientos!$C$1:$C$1324,"3628 Thomas Ave",Movimientos!$B$1:$B$1324,"&lt;="&amp;$B89)</f>
        <v>28485.559999999998</v>
      </c>
      <c r="T89" s="24">
        <f>SUMIFS('Saldos Iniciales'!$D:$D,'Saldos Iniciales'!$A:$A,"Green Harbor Trust")+SUMIFS(Movimientos!$K$1:$K$1324,Movimientos!$C$1:$C$1324,"Green Harbor Trust",Movimientos!$B$1:$B$1324,"&lt;="&amp;$B89)</f>
        <v>345</v>
      </c>
      <c r="U89" s="24">
        <f>SUMIFS('Saldos Iniciales'!$D:$D,'Saldos Iniciales'!$A:$A,"Go Blue")+SUMIFS(Movimientos!$K$1:$K$1324,Movimientos!$C$1:$C$1324,"Go Blue",Movimientos!$B$1:$B$1324,"&lt;="&amp;$B89)</f>
        <v>15418.180000000004</v>
      </c>
      <c r="V89" s="24">
        <f>IF(YEAR($B89)*100+MONTH($B89)&lt;--SUBSTITUTE(_xlfn.XLOOKUP("Pacha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LLC",Movimientos!$B$1:$B$1324,"&lt;="&amp;$B89))</f>
        <v>0</v>
      </c>
      <c r="W89" s="24">
        <f>IF(YEAR($B89)*100+MONTH($B89)&lt;--SUBSTITUTE(_xlfn.XLOOKUP("*CFT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Residence",Movimientos!$B$1:$B$1324,"&lt;="&amp;$B89))</f>
        <v>0</v>
      </c>
      <c r="X89" s="24">
        <f>IF(YEAR($B89)*100+MONTH($B89)&lt;--SUBSTITUTE(_xlfn.XLOOKUP("Carmen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Trust",Movimientos!$B$1:$B$1324,"&lt;="&amp;$B89))</f>
        <v>0</v>
      </c>
      <c r="Y89" s="24">
        <f>IF(YEAR($B89)*100+MONTH($B89)&lt;--SUBSTITUTE(_xlfn.XLOOKUP("SIYP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LLC",Movimientos!$B$1:$B$1324,"&lt;="&amp;$B89))</f>
        <v>0</v>
      </c>
      <c r="Z89" s="24">
        <f>IF(YEAR($B89)*100+MONTH($B89)&lt;--SUBSTITUTE(_xlfn.XLOOKUP("Prendamas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SRL",Movimientos!$B$1:$B$1324,"&lt;="&amp;$B89))</f>
        <v>0</v>
      </c>
      <c r="AA89" s="24">
        <f>IF(YEAR($B89)*100+MONTH($B89)&lt;--SUBSTITUTE(_xlfn.XLOOKUP("360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LLC",Movimientos!$B$1:$B$1324,"&lt;="&amp;$B89))</f>
        <v>0</v>
      </c>
      <c r="AB89" s="24">
        <f>IF(YEAR($B89)*100+MONTH($B89)&lt;--SUBSTITUTE(_xlfn.XLOOKUP("Five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",Movimientos!$B$1:$B$1324,"&lt;="&amp;$B89))</f>
        <v>0</v>
      </c>
      <c r="AC89" s="24">
        <f>IF(YEAR($B89)*100+MONTH($B89)&lt;--SUBSTITUTE(_xlfn.XLOOKUP("Nobe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Aparments",Movimientos!$B$1:$B$1324,"&lt;="&amp;$B89))</f>
        <v>0</v>
      </c>
      <c r="AD89" s="24">
        <f>IF(YEAR($B89)*100+MONTH($B89)&lt;--SUBSTITUTE(_xlfn.XLOOKUP("Don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Life",Movimientos!$B$1:$B$1324,"&lt;="&amp;$B89))</f>
        <v>0</v>
      </c>
      <c r="AE89" s="25">
        <f t="shared" si="3"/>
        <v>7765038.6100000013</v>
      </c>
    </row>
    <row r="90" spans="1:31" hidden="1" outlineLevel="1" x14ac:dyDescent="0.3">
      <c r="A90" s="22">
        <f t="shared" si="2"/>
        <v>89</v>
      </c>
      <c r="B90" s="23">
        <v>46231</v>
      </c>
      <c r="C90" s="24">
        <f>SUMIFS('Saldos Iniciales'!$D:$D,'Saldos Iniciales'!$A:$A,"CFT Group")+SUMIFS(Movimientos!$K$1:$K$1324,Movimientos!$C$1:$C$1324,"CFT Group",Movimientos!$B$1:$B$1324,"&lt;="&amp;$B90)</f>
        <v>2255750.7400000007</v>
      </c>
      <c r="D90" s="24">
        <f>SUMIFS('Saldos Iniciales'!$D:$D,'Saldos Iniciales'!$A:$A,"M1B")+SUMIFS(Movimientos!$K$1:$K$1324,Movimientos!$C$1:$C$1324,"M1B",Movimientos!$B$1:$B$1324,"&lt;="&amp;$B90)</f>
        <v>80574.12000000017</v>
      </c>
      <c r="E90" s="24">
        <f>SUMIFS('Saldos Iniciales'!$D:$D,'Saldos Iniciales'!$A:$A,"Durand")+SUMIFS(Movimientos!$K$1:$K$1324,Movimientos!$C$1:$C$1324,"Durand",Movimientos!$B$1:$B$1324,"&lt;="&amp;$B90)</f>
        <v>1669.89</v>
      </c>
      <c r="F90" s="24">
        <f>SUMIFS('Saldos Iniciales'!$D:$D,'Saldos Iniciales'!$A:$A,"A&amp;M Imports")+SUMIFS(Movimientos!$K$1:$K$1324,Movimientos!$C$1:$C$1324,"A&amp;M Imports",Movimientos!$B$1:$B$1324,"&lt;="&amp;$B90)</f>
        <v>1415636.7399999998</v>
      </c>
      <c r="G90" s="24">
        <f>SUMIFS('Saldos Iniciales'!$D:$D,'Saldos Iniciales'!$A:$A,"SSP Capital")+SUMIFS(Movimientos!$K$1:$K$1324,Movimientos!$C$1:$C$1324,"SSP Capital",Movimientos!$B$1:$B$1324,"&lt;="&amp;$B90)</f>
        <v>1857997.0999999996</v>
      </c>
      <c r="H90" s="24">
        <f>SUMIFS('Saldos Iniciales'!$D:$D,'Saldos Iniciales'!$A:$A,"Cross Family Trust")+SUMIFS(Movimientos!$K$1:$K$1324,Movimientos!$C$1:$C$1324,"Cross Family Trust",Movimientos!$B$1:$B$1324,"&lt;="&amp;$B90)</f>
        <v>190496.38</v>
      </c>
      <c r="I90" s="24">
        <f>SUMIFS('Saldos Iniciales'!$D:$D,'Saldos Iniciales'!$A:$A,"Cross Security Trust")+SUMIFS(Movimientos!$K$1:$K$1324,Movimientos!$C$1:$C$1324,"Cross Security Trust",Movimientos!$B$1:$B$1324,"&lt;="&amp;$B90)</f>
        <v>267507.45</v>
      </c>
      <c r="J90" s="24">
        <f>SUMIFS('Saldos Iniciales'!$D:$D,'Saldos Iniciales'!$A:$A,"Electrama")+SUMIFS(Movimientos!$K$1:$K$1324,Movimientos!$C$1:$C$1324,"Electrama",Movimientos!$B$1:$B$1324,"&lt;="&amp;$B90)</f>
        <v>14580.45</v>
      </c>
      <c r="K90" s="24">
        <f>SUMIFS('Saldos Iniciales'!$D:$D,'Saldos Iniciales'!$A:$A,"Sacred Valley Capital")+SUMIFS(Movimientos!$K$1:$K$1324,Movimientos!$C$1:$C$1324,"Sacred Valley Capital",Movimientos!$B$1:$B$1324,"&lt;="&amp;$B90)</f>
        <v>54.400000000000006</v>
      </c>
      <c r="L90" s="24">
        <f>SUMIFS('Saldos Iniciales'!$D:$D,'Saldos Iniciales'!$A:$A,"YWC Capital")+SUMIFS(Movimientos!$K$1:$K$1324,Movimientos!$C$1:$C$1324,"YWC Capital",Movimientos!$B$1:$B$1324,"&lt;="&amp;$B90)</f>
        <v>2207.8200000000002</v>
      </c>
      <c r="M90" s="24">
        <f>SUMIFS('Saldos Iniciales'!$D:$D,'Saldos Iniciales'!$A:$A,"Soweto")+SUMIFS(Movimientos!$K$1:$K$1324,Movimientos!$C$1:$C$1324,"Soweto",Movimientos!$B$1:$B$1324,"&lt;="&amp;$B90)</f>
        <v>1454589.72</v>
      </c>
      <c r="N90" s="24">
        <f>SUMIFS('Saldos Iniciales'!$D:$D,'Saldos Iniciales'!$A:$A,"Green Stone Trust")+SUMIFS(Movimientos!$K$1:$K$1324,Movimientos!$C$1:$C$1324,"Green Stone Trust",Movimientos!$B$1:$B$1324,"&lt;="&amp;$B90)</f>
        <v>1968.99</v>
      </c>
      <c r="O90" s="24">
        <f>SUMIFS('Saldos Iniciales'!$D:$D,'Saldos Iniciales'!$A:$A,"EC Auto")+SUMIFS(Movimientos!$K$1:$K$1324,Movimientos!$C$1:$C$1324,"EC Auto",Movimientos!$B$1:$B$1324,"&lt;="&amp;$B90)</f>
        <v>901.34</v>
      </c>
      <c r="P90" s="24">
        <f>SUMIFS('Saldos Iniciales'!$D:$D,'Saldos Iniciales'!$A:$A,"Arbor Capital Properties")+SUMIFS(Movimientos!$K$1:$K$1324,Movimientos!$C$1:$C$1324,"Arbor Capital Properties",Movimientos!$B$1:$B$1324,"&lt;="&amp;$B90)</f>
        <v>1412.08</v>
      </c>
      <c r="Q90" s="24">
        <f>SUMIFS('Saldos Iniciales'!$D:$D,'Saldos Iniciales'!$A:$A,"2515 Overbrook")+SUMIFS(Movimientos!$K$1:$K$1324,Movimientos!$C$1:$C$1324,"2515 Overbrook",Movimientos!$B$1:$B$1324,"&lt;="&amp;$B90)</f>
        <v>22347.56999999996</v>
      </c>
      <c r="R90" s="24">
        <f>SUMIFS('Saldos Iniciales'!$D:$D,'Saldos Iniciales'!$A:$A,"112 Florida Ave")+SUMIFS(Movimientos!$K$1:$K$1324,Movimientos!$C$1:$C$1324,"112 Florida Ave",Movimientos!$B$1:$B$1324,"&lt;="&amp;$B90)</f>
        <v>18522.800000000003</v>
      </c>
      <c r="S90" s="24">
        <f>SUMIFS('Saldos Iniciales'!$D:$D,'Saldos Iniciales'!$A:$A,"3628 Thomas Ave")+SUMIFS(Movimientos!$K$1:$K$1324,Movimientos!$C$1:$C$1324,"3628 Thomas Ave",Movimientos!$B$1:$B$1324,"&lt;="&amp;$B90)</f>
        <v>28485.559999999998</v>
      </c>
      <c r="T90" s="24">
        <f>SUMIFS('Saldos Iniciales'!$D:$D,'Saldos Iniciales'!$A:$A,"Green Harbor Trust")+SUMIFS(Movimientos!$K$1:$K$1324,Movimientos!$C$1:$C$1324,"Green Harbor Trust",Movimientos!$B$1:$B$1324,"&lt;="&amp;$B90)</f>
        <v>345</v>
      </c>
      <c r="U90" s="24">
        <f>SUMIFS('Saldos Iniciales'!$D:$D,'Saldos Iniciales'!$A:$A,"Go Blue")+SUMIFS(Movimientos!$K$1:$K$1324,Movimientos!$C$1:$C$1324,"Go Blue",Movimientos!$B$1:$B$1324,"&lt;="&amp;$B90)</f>
        <v>15094.090000000004</v>
      </c>
      <c r="V90" s="24">
        <f>IF(YEAR($B90)*100+MONTH($B90)&lt;--SUBSTITUTE(_xlfn.XLOOKUP("Pacha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LLC",Movimientos!$B$1:$B$1324,"&lt;="&amp;$B90))</f>
        <v>0</v>
      </c>
      <c r="W90" s="24">
        <f>IF(YEAR($B90)*100+MONTH($B90)&lt;--SUBSTITUTE(_xlfn.XLOOKUP("*CFT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Residence",Movimientos!$B$1:$B$1324,"&lt;="&amp;$B90))</f>
        <v>0</v>
      </c>
      <c r="X90" s="24">
        <f>IF(YEAR($B90)*100+MONTH($B90)&lt;--SUBSTITUTE(_xlfn.XLOOKUP("Carmen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Trust",Movimientos!$B$1:$B$1324,"&lt;="&amp;$B90))</f>
        <v>0</v>
      </c>
      <c r="Y90" s="24">
        <f>IF(YEAR($B90)*100+MONTH($B90)&lt;--SUBSTITUTE(_xlfn.XLOOKUP("SIYP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LLC",Movimientos!$B$1:$B$1324,"&lt;="&amp;$B90))</f>
        <v>0</v>
      </c>
      <c r="Z90" s="24">
        <f>IF(YEAR($B90)*100+MONTH($B90)&lt;--SUBSTITUTE(_xlfn.XLOOKUP("Prendamas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SRL",Movimientos!$B$1:$B$1324,"&lt;="&amp;$B90))</f>
        <v>0</v>
      </c>
      <c r="AA90" s="24">
        <f>IF(YEAR($B90)*100+MONTH($B90)&lt;--SUBSTITUTE(_xlfn.XLOOKUP("360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LLC",Movimientos!$B$1:$B$1324,"&lt;="&amp;$B90))</f>
        <v>0</v>
      </c>
      <c r="AB90" s="24">
        <f>IF(YEAR($B90)*100+MONTH($B90)&lt;--SUBSTITUTE(_xlfn.XLOOKUP("Five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",Movimientos!$B$1:$B$1324,"&lt;="&amp;$B90))</f>
        <v>0</v>
      </c>
      <c r="AC90" s="24">
        <f>IF(YEAR($B90)*100+MONTH($B90)&lt;--SUBSTITUTE(_xlfn.XLOOKUP("Nobe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Aparments",Movimientos!$B$1:$B$1324,"&lt;="&amp;$B90))</f>
        <v>0</v>
      </c>
      <c r="AD90" s="24">
        <f>IF(YEAR($B90)*100+MONTH($B90)&lt;--SUBSTITUTE(_xlfn.XLOOKUP("Don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Life",Movimientos!$B$1:$B$1324,"&lt;="&amp;$B90))</f>
        <v>0</v>
      </c>
      <c r="AE90" s="25">
        <f t="shared" si="3"/>
        <v>7630142.2400000002</v>
      </c>
    </row>
    <row r="91" spans="1:31" hidden="1" outlineLevel="1" x14ac:dyDescent="0.3">
      <c r="A91" s="22">
        <f t="shared" si="2"/>
        <v>90</v>
      </c>
      <c r="B91" s="23">
        <v>46232</v>
      </c>
      <c r="C91" s="24">
        <f>SUMIFS('Saldos Iniciales'!$D:$D,'Saldos Iniciales'!$A:$A,"CFT Group")+SUMIFS(Movimientos!$K$1:$K$1324,Movimientos!$C$1:$C$1324,"CFT Group",Movimientos!$B$1:$B$1324,"&lt;="&amp;$B91)</f>
        <v>2270539.1300000008</v>
      </c>
      <c r="D91" s="24">
        <f>SUMIFS('Saldos Iniciales'!$D:$D,'Saldos Iniciales'!$A:$A,"M1B")+SUMIFS(Movimientos!$K$1:$K$1324,Movimientos!$C$1:$C$1324,"M1B",Movimientos!$B$1:$B$1324,"&lt;="&amp;$B91)</f>
        <v>83211.250000000175</v>
      </c>
      <c r="E91" s="24">
        <f>SUMIFS('Saldos Iniciales'!$D:$D,'Saldos Iniciales'!$A:$A,"Durand")+SUMIFS(Movimientos!$K$1:$K$1324,Movimientos!$C$1:$C$1324,"Durand",Movimientos!$B$1:$B$1324,"&lt;="&amp;$B91)</f>
        <v>1669.89</v>
      </c>
      <c r="F91" s="24">
        <f>SUMIFS('Saldos Iniciales'!$D:$D,'Saldos Iniciales'!$A:$A,"A&amp;M Imports")+SUMIFS(Movimientos!$K$1:$K$1324,Movimientos!$C$1:$C$1324,"A&amp;M Imports",Movimientos!$B$1:$B$1324,"&lt;="&amp;$B91)</f>
        <v>1434634.5999999999</v>
      </c>
      <c r="G91" s="24">
        <f>SUMIFS('Saldos Iniciales'!$D:$D,'Saldos Iniciales'!$A:$A,"SSP Capital")+SUMIFS(Movimientos!$K$1:$K$1324,Movimientos!$C$1:$C$1324,"SSP Capital",Movimientos!$B$1:$B$1324,"&lt;="&amp;$B91)</f>
        <v>1857997.0999999996</v>
      </c>
      <c r="H91" s="24">
        <f>SUMIFS('Saldos Iniciales'!$D:$D,'Saldos Iniciales'!$A:$A,"Cross Family Trust")+SUMIFS(Movimientos!$K$1:$K$1324,Movimientos!$C$1:$C$1324,"Cross Family Trust",Movimientos!$B$1:$B$1324,"&lt;="&amp;$B91)</f>
        <v>190496.38</v>
      </c>
      <c r="I91" s="24">
        <f>SUMIFS('Saldos Iniciales'!$D:$D,'Saldos Iniciales'!$A:$A,"Cross Security Trust")+SUMIFS(Movimientos!$K$1:$K$1324,Movimientos!$C$1:$C$1324,"Cross Security Trust",Movimientos!$B$1:$B$1324,"&lt;="&amp;$B91)</f>
        <v>267507.45</v>
      </c>
      <c r="J91" s="24">
        <f>SUMIFS('Saldos Iniciales'!$D:$D,'Saldos Iniciales'!$A:$A,"Electrama")+SUMIFS(Movimientos!$K$1:$K$1324,Movimientos!$C$1:$C$1324,"Electrama",Movimientos!$B$1:$B$1324,"&lt;="&amp;$B91)</f>
        <v>14580.45</v>
      </c>
      <c r="K91" s="24">
        <f>SUMIFS('Saldos Iniciales'!$D:$D,'Saldos Iniciales'!$A:$A,"Sacred Valley Capital")+SUMIFS(Movimientos!$K$1:$K$1324,Movimientos!$C$1:$C$1324,"Sacred Valley Capital",Movimientos!$B$1:$B$1324,"&lt;="&amp;$B91)</f>
        <v>54.400000000000006</v>
      </c>
      <c r="L91" s="24">
        <f>SUMIFS('Saldos Iniciales'!$D:$D,'Saldos Iniciales'!$A:$A,"YWC Capital")+SUMIFS(Movimientos!$K$1:$K$1324,Movimientos!$C$1:$C$1324,"YWC Capital",Movimientos!$B$1:$B$1324,"&lt;="&amp;$B91)</f>
        <v>2207.8200000000002</v>
      </c>
      <c r="M91" s="24">
        <f>SUMIFS('Saldos Iniciales'!$D:$D,'Saldos Iniciales'!$A:$A,"Soweto")+SUMIFS(Movimientos!$K$1:$K$1324,Movimientos!$C$1:$C$1324,"Soweto",Movimientos!$B$1:$B$1324,"&lt;="&amp;$B91)</f>
        <v>1454589.72</v>
      </c>
      <c r="N91" s="24">
        <f>SUMIFS('Saldos Iniciales'!$D:$D,'Saldos Iniciales'!$A:$A,"Green Stone Trust")+SUMIFS(Movimientos!$K$1:$K$1324,Movimientos!$C$1:$C$1324,"Green Stone Trust",Movimientos!$B$1:$B$1324,"&lt;="&amp;$B91)</f>
        <v>1968.99</v>
      </c>
      <c r="O91" s="24">
        <f>SUMIFS('Saldos Iniciales'!$D:$D,'Saldos Iniciales'!$A:$A,"EC Auto")+SUMIFS(Movimientos!$K$1:$K$1324,Movimientos!$C$1:$C$1324,"EC Auto",Movimientos!$B$1:$B$1324,"&lt;="&amp;$B91)</f>
        <v>901.34</v>
      </c>
      <c r="P91" s="24">
        <f>SUMIFS('Saldos Iniciales'!$D:$D,'Saldos Iniciales'!$A:$A,"Arbor Capital Properties")+SUMIFS(Movimientos!$K$1:$K$1324,Movimientos!$C$1:$C$1324,"Arbor Capital Properties",Movimientos!$B$1:$B$1324,"&lt;="&amp;$B91)</f>
        <v>1412.08</v>
      </c>
      <c r="Q91" s="24">
        <f>SUMIFS('Saldos Iniciales'!$D:$D,'Saldos Iniciales'!$A:$A,"2515 Overbrook")+SUMIFS(Movimientos!$K$1:$K$1324,Movimientos!$C$1:$C$1324,"2515 Overbrook",Movimientos!$B$1:$B$1324,"&lt;="&amp;$B91)</f>
        <v>22347.56999999996</v>
      </c>
      <c r="R91" s="24">
        <f>SUMIFS('Saldos Iniciales'!$D:$D,'Saldos Iniciales'!$A:$A,"112 Florida Ave")+SUMIFS(Movimientos!$K$1:$K$1324,Movimientos!$C$1:$C$1324,"112 Florida Ave",Movimientos!$B$1:$B$1324,"&lt;="&amp;$B91)</f>
        <v>18522.800000000003</v>
      </c>
      <c r="S91" s="24">
        <f>SUMIFS('Saldos Iniciales'!$D:$D,'Saldos Iniciales'!$A:$A,"3628 Thomas Ave")+SUMIFS(Movimientos!$K$1:$K$1324,Movimientos!$C$1:$C$1324,"3628 Thomas Ave",Movimientos!$B$1:$B$1324,"&lt;="&amp;$B91)</f>
        <v>28485.559999999998</v>
      </c>
      <c r="T91" s="24">
        <f>SUMIFS('Saldos Iniciales'!$D:$D,'Saldos Iniciales'!$A:$A,"Green Harbor Trust")+SUMIFS(Movimientos!$K$1:$K$1324,Movimientos!$C$1:$C$1324,"Green Harbor Trust",Movimientos!$B$1:$B$1324,"&lt;="&amp;$B91)</f>
        <v>345</v>
      </c>
      <c r="U91" s="24">
        <f>SUMIFS('Saldos Iniciales'!$D:$D,'Saldos Iniciales'!$A:$A,"Go Blue")+SUMIFS(Movimientos!$K$1:$K$1324,Movimientos!$C$1:$C$1324,"Go Blue",Movimientos!$B$1:$B$1324,"&lt;="&amp;$B91)</f>
        <v>13469.780000000002</v>
      </c>
      <c r="V91" s="24">
        <f>IF(YEAR($B91)*100+MONTH($B91)&lt;--SUBSTITUTE(_xlfn.XLOOKUP("Pacha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LLC",Movimientos!$B$1:$B$1324,"&lt;="&amp;$B91))</f>
        <v>0</v>
      </c>
      <c r="W91" s="24">
        <f>IF(YEAR($B91)*100+MONTH($B91)&lt;--SUBSTITUTE(_xlfn.XLOOKUP("*CFT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Residence",Movimientos!$B$1:$B$1324,"&lt;="&amp;$B91))</f>
        <v>0</v>
      </c>
      <c r="X91" s="24">
        <f>IF(YEAR($B91)*100+MONTH($B91)&lt;--SUBSTITUTE(_xlfn.XLOOKUP("Carmen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Trust",Movimientos!$B$1:$B$1324,"&lt;="&amp;$B91))</f>
        <v>0</v>
      </c>
      <c r="Y91" s="24">
        <f>IF(YEAR($B91)*100+MONTH($B91)&lt;--SUBSTITUTE(_xlfn.XLOOKUP("SIYP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LLC",Movimientos!$B$1:$B$1324,"&lt;="&amp;$B91))</f>
        <v>0</v>
      </c>
      <c r="Z91" s="24">
        <f>IF(YEAR($B91)*100+MONTH($B91)&lt;--SUBSTITUTE(_xlfn.XLOOKUP("Prendamas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SRL",Movimientos!$B$1:$B$1324,"&lt;="&amp;$B91))</f>
        <v>0</v>
      </c>
      <c r="AA91" s="24">
        <f>IF(YEAR($B91)*100+MONTH($B91)&lt;--SUBSTITUTE(_xlfn.XLOOKUP("360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LLC",Movimientos!$B$1:$B$1324,"&lt;="&amp;$B91))</f>
        <v>0</v>
      </c>
      <c r="AB91" s="24">
        <f>IF(YEAR($B91)*100+MONTH($B91)&lt;--SUBSTITUTE(_xlfn.XLOOKUP("Five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",Movimientos!$B$1:$B$1324,"&lt;="&amp;$B91))</f>
        <v>0</v>
      </c>
      <c r="AC91" s="24">
        <f>IF(YEAR($B91)*100+MONTH($B91)&lt;--SUBSTITUTE(_xlfn.XLOOKUP("Nobe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Aparments",Movimientos!$B$1:$B$1324,"&lt;="&amp;$B91))</f>
        <v>0</v>
      </c>
      <c r="AD91" s="24">
        <f>IF(YEAR($B91)*100+MONTH($B91)&lt;--SUBSTITUTE(_xlfn.XLOOKUP("Don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Life",Movimientos!$B$1:$B$1324,"&lt;="&amp;$B91))</f>
        <v>0</v>
      </c>
      <c r="AE91" s="25">
        <f t="shared" si="3"/>
        <v>7664941.3100000015</v>
      </c>
    </row>
    <row r="92" spans="1:31" hidden="1" outlineLevel="1" x14ac:dyDescent="0.3">
      <c r="A92" s="22">
        <f t="shared" si="2"/>
        <v>91</v>
      </c>
      <c r="B92" s="23">
        <v>46233</v>
      </c>
      <c r="C92" s="24">
        <f>SUMIFS('Saldos Iniciales'!$D:$D,'Saldos Iniciales'!$A:$A,"CFT Group")+SUMIFS(Movimientos!$K$1:$K$1324,Movimientos!$C$1:$C$1324,"CFT Group",Movimientos!$B$1:$B$1324,"&lt;="&amp;$B92)</f>
        <v>2470350.7000000002</v>
      </c>
      <c r="D92" s="24">
        <f>SUMIFS('Saldos Iniciales'!$D:$D,'Saldos Iniciales'!$A:$A,"M1B")+SUMIFS(Movimientos!$K$1:$K$1324,Movimientos!$C$1:$C$1324,"M1B",Movimientos!$B$1:$B$1324,"&lt;="&amp;$B92)</f>
        <v>83211.250000000175</v>
      </c>
      <c r="E92" s="24">
        <f>SUMIFS('Saldos Iniciales'!$D:$D,'Saldos Iniciales'!$A:$A,"Durand")+SUMIFS(Movimientos!$K$1:$K$1324,Movimientos!$C$1:$C$1324,"Durand",Movimientos!$B$1:$B$1324,"&lt;="&amp;$B92)</f>
        <v>1669.89</v>
      </c>
      <c r="F92" s="24">
        <f>SUMIFS('Saldos Iniciales'!$D:$D,'Saldos Iniciales'!$A:$A,"A&amp;M Imports")+SUMIFS(Movimientos!$K$1:$K$1324,Movimientos!$C$1:$C$1324,"A&amp;M Imports",Movimientos!$B$1:$B$1324,"&lt;="&amp;$B92)</f>
        <v>1458426.0399999998</v>
      </c>
      <c r="G92" s="24">
        <f>SUMIFS('Saldos Iniciales'!$D:$D,'Saldos Iniciales'!$A:$A,"SSP Capital")+SUMIFS(Movimientos!$K$1:$K$1324,Movimientos!$C$1:$C$1324,"SSP Capital",Movimientos!$B$1:$B$1324,"&lt;="&amp;$B92)</f>
        <v>1857993.8499999996</v>
      </c>
      <c r="H92" s="24">
        <f>SUMIFS('Saldos Iniciales'!$D:$D,'Saldos Iniciales'!$A:$A,"Cross Family Trust")+SUMIFS(Movimientos!$K$1:$K$1324,Movimientos!$C$1:$C$1324,"Cross Family Trust",Movimientos!$B$1:$B$1324,"&lt;="&amp;$B92)</f>
        <v>190496.38</v>
      </c>
      <c r="I92" s="24">
        <f>SUMIFS('Saldos Iniciales'!$D:$D,'Saldos Iniciales'!$A:$A,"Cross Security Trust")+SUMIFS(Movimientos!$K$1:$K$1324,Movimientos!$C$1:$C$1324,"Cross Security Trust",Movimientos!$B$1:$B$1324,"&lt;="&amp;$B92)</f>
        <v>267507.45</v>
      </c>
      <c r="J92" s="24">
        <f>SUMIFS('Saldos Iniciales'!$D:$D,'Saldos Iniciales'!$A:$A,"Electrama")+SUMIFS(Movimientos!$K$1:$K$1324,Movimientos!$C$1:$C$1324,"Electrama",Movimientos!$B$1:$B$1324,"&lt;="&amp;$B92)</f>
        <v>14580.45</v>
      </c>
      <c r="K92" s="24">
        <f>SUMIFS('Saldos Iniciales'!$D:$D,'Saldos Iniciales'!$A:$A,"Sacred Valley Capital")+SUMIFS(Movimientos!$K$1:$K$1324,Movimientos!$C$1:$C$1324,"Sacred Valley Capital",Movimientos!$B$1:$B$1324,"&lt;="&amp;$B92)</f>
        <v>54.400000000000006</v>
      </c>
      <c r="L92" s="24">
        <f>SUMIFS('Saldos Iniciales'!$D:$D,'Saldos Iniciales'!$A:$A,"YWC Capital")+SUMIFS(Movimientos!$K$1:$K$1324,Movimientos!$C$1:$C$1324,"YWC Capital",Movimientos!$B$1:$B$1324,"&lt;="&amp;$B92)</f>
        <v>2207.8200000000002</v>
      </c>
      <c r="M92" s="24">
        <f>SUMIFS('Saldos Iniciales'!$D:$D,'Saldos Iniciales'!$A:$A,"Soweto")+SUMIFS(Movimientos!$K$1:$K$1324,Movimientos!$C$1:$C$1324,"Soweto",Movimientos!$B$1:$B$1324,"&lt;="&amp;$B92)</f>
        <v>1454589.72</v>
      </c>
      <c r="N92" s="24">
        <f>SUMIFS('Saldos Iniciales'!$D:$D,'Saldos Iniciales'!$A:$A,"Green Stone Trust")+SUMIFS(Movimientos!$K$1:$K$1324,Movimientos!$C$1:$C$1324,"Green Stone Trust",Movimientos!$B$1:$B$1324,"&lt;="&amp;$B92)</f>
        <v>1968.99</v>
      </c>
      <c r="O92" s="24">
        <f>SUMIFS('Saldos Iniciales'!$D:$D,'Saldos Iniciales'!$A:$A,"EC Auto")+SUMIFS(Movimientos!$K$1:$K$1324,Movimientos!$C$1:$C$1324,"EC Auto",Movimientos!$B$1:$B$1324,"&lt;="&amp;$B92)</f>
        <v>901.34</v>
      </c>
      <c r="P92" s="24">
        <f>SUMIFS('Saldos Iniciales'!$D:$D,'Saldos Iniciales'!$A:$A,"Arbor Capital Properties")+SUMIFS(Movimientos!$K$1:$K$1324,Movimientos!$C$1:$C$1324,"Arbor Capital Properties",Movimientos!$B$1:$B$1324,"&lt;="&amp;$B92)</f>
        <v>1412.08</v>
      </c>
      <c r="Q92" s="24">
        <f>SUMIFS('Saldos Iniciales'!$D:$D,'Saldos Iniciales'!$A:$A,"2515 Overbrook")+SUMIFS(Movimientos!$K$1:$K$1324,Movimientos!$C$1:$C$1324,"2515 Overbrook",Movimientos!$B$1:$B$1324,"&lt;="&amp;$B92)</f>
        <v>22347.56999999996</v>
      </c>
      <c r="R92" s="24">
        <f>SUMIFS('Saldos Iniciales'!$D:$D,'Saldos Iniciales'!$A:$A,"112 Florida Ave")+SUMIFS(Movimientos!$K$1:$K$1324,Movimientos!$C$1:$C$1324,"112 Florida Ave",Movimientos!$B$1:$B$1324,"&lt;="&amp;$B92)</f>
        <v>18522.800000000003</v>
      </c>
      <c r="S92" s="24">
        <f>SUMIFS('Saldos Iniciales'!$D:$D,'Saldos Iniciales'!$A:$A,"3628 Thomas Ave")+SUMIFS(Movimientos!$K$1:$K$1324,Movimientos!$C$1:$C$1324,"3628 Thomas Ave",Movimientos!$B$1:$B$1324,"&lt;="&amp;$B92)</f>
        <v>28485.559999999998</v>
      </c>
      <c r="T92" s="24">
        <f>SUMIFS('Saldos Iniciales'!$D:$D,'Saldos Iniciales'!$A:$A,"Green Harbor Trust")+SUMIFS(Movimientos!$K$1:$K$1324,Movimientos!$C$1:$C$1324,"Green Harbor Trust",Movimientos!$B$1:$B$1324,"&lt;="&amp;$B92)</f>
        <v>345</v>
      </c>
      <c r="U92" s="24">
        <f>SUMIFS('Saldos Iniciales'!$D:$D,'Saldos Iniciales'!$A:$A,"Go Blue")+SUMIFS(Movimientos!$K$1:$K$1324,Movimientos!$C$1:$C$1324,"Go Blue",Movimientos!$B$1:$B$1324,"&lt;="&amp;$B92)</f>
        <v>11634.930000000004</v>
      </c>
      <c r="V92" s="24">
        <f>IF(YEAR($B92)*100+MONTH($B92)&lt;--SUBSTITUTE(_xlfn.XLOOKUP("Pacha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LLC",Movimientos!$B$1:$B$1324,"&lt;="&amp;$B92))</f>
        <v>0</v>
      </c>
      <c r="W92" s="24">
        <f>IF(YEAR($B92)*100+MONTH($B92)&lt;--SUBSTITUTE(_xlfn.XLOOKUP("*CFT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Residence",Movimientos!$B$1:$B$1324,"&lt;="&amp;$B92))</f>
        <v>0</v>
      </c>
      <c r="X92" s="24">
        <f>IF(YEAR($B92)*100+MONTH($B92)&lt;--SUBSTITUTE(_xlfn.XLOOKUP("Carmen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Trust",Movimientos!$B$1:$B$1324,"&lt;="&amp;$B92))</f>
        <v>0</v>
      </c>
      <c r="Y92" s="24">
        <f>IF(YEAR($B92)*100+MONTH($B92)&lt;--SUBSTITUTE(_xlfn.XLOOKUP("SIYP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LLC",Movimientos!$B$1:$B$1324,"&lt;="&amp;$B92))</f>
        <v>0</v>
      </c>
      <c r="Z92" s="24">
        <f>IF(YEAR($B92)*100+MONTH($B92)&lt;--SUBSTITUTE(_xlfn.XLOOKUP("Prendamas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SRL",Movimientos!$B$1:$B$1324,"&lt;="&amp;$B92))</f>
        <v>0</v>
      </c>
      <c r="AA92" s="24">
        <f>IF(YEAR($B92)*100+MONTH($B92)&lt;--SUBSTITUTE(_xlfn.XLOOKUP("360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LLC",Movimientos!$B$1:$B$1324,"&lt;="&amp;$B92))</f>
        <v>0</v>
      </c>
      <c r="AB92" s="24">
        <f>IF(YEAR($B92)*100+MONTH($B92)&lt;--SUBSTITUTE(_xlfn.XLOOKUP("Five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",Movimientos!$B$1:$B$1324,"&lt;="&amp;$B92))</f>
        <v>0</v>
      </c>
      <c r="AC92" s="24">
        <f>IF(YEAR($B92)*100+MONTH($B92)&lt;--SUBSTITUTE(_xlfn.XLOOKUP("Nobe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Aparments",Movimientos!$B$1:$B$1324,"&lt;="&amp;$B92))</f>
        <v>0</v>
      </c>
      <c r="AD92" s="24">
        <f>IF(YEAR($B92)*100+MONTH($B92)&lt;--SUBSTITUTE(_xlfn.XLOOKUP("Don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Life",Movimientos!$B$1:$B$1324,"&lt;="&amp;$B92))</f>
        <v>0</v>
      </c>
      <c r="AE92" s="25">
        <f t="shared" si="3"/>
        <v>7886706.2199999997</v>
      </c>
    </row>
    <row r="93" spans="1:31" hidden="1" outlineLevel="1" x14ac:dyDescent="0.3">
      <c r="A93" s="22">
        <f t="shared" si="2"/>
        <v>92</v>
      </c>
      <c r="B93" s="23">
        <v>46234</v>
      </c>
      <c r="C93" s="24">
        <f>SUMIFS('Saldos Iniciales'!$D:$D,'Saldos Iniciales'!$A:$A,"CFT Group")+SUMIFS(Movimientos!$K$1:$K$1324,Movimientos!$C$1:$C$1324,"CFT Group",Movimientos!$B$1:$B$1324,"&lt;="&amp;$B93)</f>
        <v>2468032.08</v>
      </c>
      <c r="D93" s="24">
        <f>SUMIFS('Saldos Iniciales'!$D:$D,'Saldos Iniciales'!$A:$A,"M1B")+SUMIFS(Movimientos!$K$1:$K$1324,Movimientos!$C$1:$C$1324,"M1B",Movimientos!$B$1:$B$1324,"&lt;="&amp;$B93)</f>
        <v>83211.250000000175</v>
      </c>
      <c r="E93" s="24">
        <f>SUMIFS('Saldos Iniciales'!$D:$D,'Saldos Iniciales'!$A:$A,"Durand")+SUMIFS(Movimientos!$K$1:$K$1324,Movimientos!$C$1:$C$1324,"Durand",Movimientos!$B$1:$B$1324,"&lt;="&amp;$B93)</f>
        <v>1669.89</v>
      </c>
      <c r="F93" s="24">
        <f>SUMIFS('Saldos Iniciales'!$D:$D,'Saldos Iniciales'!$A:$A,"A&amp;M Imports")+SUMIFS(Movimientos!$K$1:$K$1324,Movimientos!$C$1:$C$1324,"A&amp;M Imports",Movimientos!$B$1:$B$1324,"&lt;="&amp;$B93)</f>
        <v>1458426.0399999998</v>
      </c>
      <c r="G93" s="24">
        <f>SUMIFS('Saldos Iniciales'!$D:$D,'Saldos Iniciales'!$A:$A,"SSP Capital")+SUMIFS(Movimientos!$K$1:$K$1324,Movimientos!$C$1:$C$1324,"SSP Capital",Movimientos!$B$1:$B$1324,"&lt;="&amp;$B93)</f>
        <v>1514477.1199999996</v>
      </c>
      <c r="H93" s="24">
        <f>SUMIFS('Saldos Iniciales'!$D:$D,'Saldos Iniciales'!$A:$A,"Cross Family Trust")+SUMIFS(Movimientos!$K$1:$K$1324,Movimientos!$C$1:$C$1324,"Cross Family Trust",Movimientos!$B$1:$B$1324,"&lt;="&amp;$B93)</f>
        <v>190496.38</v>
      </c>
      <c r="I93" s="24">
        <f>SUMIFS('Saldos Iniciales'!$D:$D,'Saldos Iniciales'!$A:$A,"Cross Security Trust")+SUMIFS(Movimientos!$K$1:$K$1324,Movimientos!$C$1:$C$1324,"Cross Security Trust",Movimientos!$B$1:$B$1324,"&lt;="&amp;$B93)</f>
        <v>207605.45</v>
      </c>
      <c r="J93" s="24">
        <f>SUMIFS('Saldos Iniciales'!$D:$D,'Saldos Iniciales'!$A:$A,"Electrama")+SUMIFS(Movimientos!$K$1:$K$1324,Movimientos!$C$1:$C$1324,"Electrama",Movimientos!$B$1:$B$1324,"&lt;="&amp;$B93)</f>
        <v>14580.45</v>
      </c>
      <c r="K93" s="24">
        <f>SUMIFS('Saldos Iniciales'!$D:$D,'Saldos Iniciales'!$A:$A,"Sacred Valley Capital")+SUMIFS(Movimientos!$K$1:$K$1324,Movimientos!$C$1:$C$1324,"Sacred Valley Capital",Movimientos!$B$1:$B$1324,"&lt;="&amp;$B93)</f>
        <v>54.400000000000006</v>
      </c>
      <c r="L93" s="24">
        <f>SUMIFS('Saldos Iniciales'!$D:$D,'Saldos Iniciales'!$A:$A,"YWC Capital")+SUMIFS(Movimientos!$K$1:$K$1324,Movimientos!$C$1:$C$1324,"YWC Capital",Movimientos!$B$1:$B$1324,"&lt;="&amp;$B93)</f>
        <v>2207.8200000000002</v>
      </c>
      <c r="M93" s="24">
        <f>SUMIFS('Saldos Iniciales'!$D:$D,'Saldos Iniciales'!$A:$A,"Soweto")+SUMIFS(Movimientos!$K$1:$K$1324,Movimientos!$C$1:$C$1324,"Soweto",Movimientos!$B$1:$B$1324,"&lt;="&amp;$B93)</f>
        <v>1454589.72</v>
      </c>
      <c r="N93" s="24">
        <f>SUMIFS('Saldos Iniciales'!$D:$D,'Saldos Iniciales'!$A:$A,"Green Stone Trust")+SUMIFS(Movimientos!$K$1:$K$1324,Movimientos!$C$1:$C$1324,"Green Stone Trust",Movimientos!$B$1:$B$1324,"&lt;="&amp;$B93)</f>
        <v>1968.99</v>
      </c>
      <c r="O93" s="24">
        <f>SUMIFS('Saldos Iniciales'!$D:$D,'Saldos Iniciales'!$A:$A,"EC Auto")+SUMIFS(Movimientos!$K$1:$K$1324,Movimientos!$C$1:$C$1324,"EC Auto",Movimientos!$B$1:$B$1324,"&lt;="&amp;$B93)</f>
        <v>901.34</v>
      </c>
      <c r="P93" s="24">
        <f>SUMIFS('Saldos Iniciales'!$D:$D,'Saldos Iniciales'!$A:$A,"Arbor Capital Properties")+SUMIFS(Movimientos!$K$1:$K$1324,Movimientos!$C$1:$C$1324,"Arbor Capital Properties",Movimientos!$B$1:$B$1324,"&lt;="&amp;$B93)</f>
        <v>1412.08</v>
      </c>
      <c r="Q93" s="24">
        <f>SUMIFS('Saldos Iniciales'!$D:$D,'Saldos Iniciales'!$A:$A,"2515 Overbrook")+SUMIFS(Movimientos!$K$1:$K$1324,Movimientos!$C$1:$C$1324,"2515 Overbrook",Movimientos!$B$1:$B$1324,"&lt;="&amp;$B93)</f>
        <v>22347.56999999996</v>
      </c>
      <c r="R93" s="24">
        <f>SUMIFS('Saldos Iniciales'!$D:$D,'Saldos Iniciales'!$A:$A,"112 Florida Ave")+SUMIFS(Movimientos!$K$1:$K$1324,Movimientos!$C$1:$C$1324,"112 Florida Ave",Movimientos!$B$1:$B$1324,"&lt;="&amp;$B93)</f>
        <v>18522.800000000003</v>
      </c>
      <c r="S93" s="24">
        <f>SUMIFS('Saldos Iniciales'!$D:$D,'Saldos Iniciales'!$A:$A,"3628 Thomas Ave")+SUMIFS(Movimientos!$K$1:$K$1324,Movimientos!$C$1:$C$1324,"3628 Thomas Ave",Movimientos!$B$1:$B$1324,"&lt;="&amp;$B93)</f>
        <v>28485.559999999998</v>
      </c>
      <c r="T93" s="24">
        <f>SUMIFS('Saldos Iniciales'!$D:$D,'Saldos Iniciales'!$A:$A,"Green Harbor Trust")+SUMIFS(Movimientos!$K$1:$K$1324,Movimientos!$C$1:$C$1324,"Green Harbor Trust",Movimientos!$B$1:$B$1324,"&lt;="&amp;$B93)</f>
        <v>345</v>
      </c>
      <c r="U93" s="24">
        <f>SUMIFS('Saldos Iniciales'!$D:$D,'Saldos Iniciales'!$A:$A,"Go Blue")+SUMIFS(Movimientos!$K$1:$K$1324,Movimientos!$C$1:$C$1324,"Go Blue",Movimientos!$B$1:$B$1324,"&lt;="&amp;$B93)</f>
        <v>11634.930000000004</v>
      </c>
      <c r="V93" s="24">
        <f>IF(YEAR($B93)*100+MONTH($B93)&lt;--SUBSTITUTE(_xlfn.XLOOKUP("Pacha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LLC",Movimientos!$B$1:$B$1324,"&lt;="&amp;$B93))</f>
        <v>0</v>
      </c>
      <c r="W93" s="24">
        <f>IF(YEAR($B93)*100+MONTH($B93)&lt;--SUBSTITUTE(_xlfn.XLOOKUP("*CFT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Residence",Movimientos!$B$1:$B$1324,"&lt;="&amp;$B93))</f>
        <v>0</v>
      </c>
      <c r="X93" s="24">
        <f>IF(YEAR($B93)*100+MONTH($B93)&lt;--SUBSTITUTE(_xlfn.XLOOKUP("Carmen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Trust",Movimientos!$B$1:$B$1324,"&lt;="&amp;$B93))</f>
        <v>0</v>
      </c>
      <c r="Y93" s="24">
        <f>IF(YEAR($B93)*100+MONTH($B93)&lt;--SUBSTITUTE(_xlfn.XLOOKUP("SIYP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LLC",Movimientos!$B$1:$B$1324,"&lt;="&amp;$B93))</f>
        <v>0</v>
      </c>
      <c r="Z93" s="24">
        <f>IF(YEAR($B93)*100+MONTH($B93)&lt;--SUBSTITUTE(_xlfn.XLOOKUP("Prendamas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SRL",Movimientos!$B$1:$B$1324,"&lt;="&amp;$B93))</f>
        <v>0</v>
      </c>
      <c r="AA93" s="24">
        <f>IF(YEAR($B93)*100+MONTH($B93)&lt;--SUBSTITUTE(_xlfn.XLOOKUP("360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LLC",Movimientos!$B$1:$B$1324,"&lt;="&amp;$B93))</f>
        <v>0</v>
      </c>
      <c r="AB93" s="24">
        <f>IF(YEAR($B93)*100+MONTH($B93)&lt;--SUBSTITUTE(_xlfn.XLOOKUP("Five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",Movimientos!$B$1:$B$1324,"&lt;="&amp;$B93))</f>
        <v>0</v>
      </c>
      <c r="AC93" s="24">
        <f>IF(YEAR($B93)*100+MONTH($B93)&lt;--SUBSTITUTE(_xlfn.XLOOKUP("Nobe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Aparments",Movimientos!$B$1:$B$1324,"&lt;="&amp;$B93))</f>
        <v>0</v>
      </c>
      <c r="AD93" s="24">
        <f>IF(YEAR($B93)*100+MONTH($B93)&lt;--SUBSTITUTE(_xlfn.XLOOKUP("Don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Life",Movimientos!$B$1:$B$1324,"&lt;="&amp;$B93))</f>
        <v>0</v>
      </c>
      <c r="AE93" s="25">
        <f t="shared" si="3"/>
        <v>7480968.8699999992</v>
      </c>
    </row>
    <row r="94" spans="1:31" hidden="1" outlineLevel="1" x14ac:dyDescent="0.3">
      <c r="A94" s="22">
        <f t="shared" si="2"/>
        <v>93</v>
      </c>
      <c r="B94" s="23">
        <v>46235</v>
      </c>
      <c r="C94" s="24">
        <f>SUMIFS('Saldos Iniciales'!$D:$D,'Saldos Iniciales'!$A:$A,"CFT Group")+SUMIFS(Movimientos!$K$1:$K$1324,Movimientos!$C$1:$C$1324,"CFT Group",Movimientos!$B$1:$B$1324,"&lt;="&amp;$B94)</f>
        <v>2468032.08</v>
      </c>
      <c r="D94" s="24">
        <f>SUMIFS('Saldos Iniciales'!$D:$D,'Saldos Iniciales'!$A:$A,"M1B")+SUMIFS(Movimientos!$K$1:$K$1324,Movimientos!$C$1:$C$1324,"M1B",Movimientos!$B$1:$B$1324,"&lt;="&amp;$B94)</f>
        <v>83211.250000000175</v>
      </c>
      <c r="E94" s="24">
        <f>SUMIFS('Saldos Iniciales'!$D:$D,'Saldos Iniciales'!$A:$A,"Durand")+SUMIFS(Movimientos!$K$1:$K$1324,Movimientos!$C$1:$C$1324,"Durand",Movimientos!$B$1:$B$1324,"&lt;="&amp;$B94)</f>
        <v>1669.89</v>
      </c>
      <c r="F94" s="24">
        <f>SUMIFS('Saldos Iniciales'!$D:$D,'Saldos Iniciales'!$A:$A,"A&amp;M Imports")+SUMIFS(Movimientos!$K$1:$K$1324,Movimientos!$C$1:$C$1324,"A&amp;M Imports",Movimientos!$B$1:$B$1324,"&lt;="&amp;$B94)</f>
        <v>1458426.0399999998</v>
      </c>
      <c r="G94" s="24">
        <f>SUMIFS('Saldos Iniciales'!$D:$D,'Saldos Iniciales'!$A:$A,"SSP Capital")+SUMIFS(Movimientos!$K$1:$K$1324,Movimientos!$C$1:$C$1324,"SSP Capital",Movimientos!$B$1:$B$1324,"&lt;="&amp;$B94)</f>
        <v>1514477.1199999996</v>
      </c>
      <c r="H94" s="24">
        <f>SUMIFS('Saldos Iniciales'!$D:$D,'Saldos Iniciales'!$A:$A,"Cross Family Trust")+SUMIFS(Movimientos!$K$1:$K$1324,Movimientos!$C$1:$C$1324,"Cross Family Trust",Movimientos!$B$1:$B$1324,"&lt;="&amp;$B94)</f>
        <v>190496.38</v>
      </c>
      <c r="I94" s="24">
        <f>SUMIFS('Saldos Iniciales'!$D:$D,'Saldos Iniciales'!$A:$A,"Cross Security Trust")+SUMIFS(Movimientos!$K$1:$K$1324,Movimientos!$C$1:$C$1324,"Cross Security Trust",Movimientos!$B$1:$B$1324,"&lt;="&amp;$B94)</f>
        <v>207605.45</v>
      </c>
      <c r="J94" s="24">
        <f>SUMIFS('Saldos Iniciales'!$D:$D,'Saldos Iniciales'!$A:$A,"Electrama")+SUMIFS(Movimientos!$K$1:$K$1324,Movimientos!$C$1:$C$1324,"Electrama",Movimientos!$B$1:$B$1324,"&lt;="&amp;$B94)</f>
        <v>14580.45</v>
      </c>
      <c r="K94" s="24">
        <f>SUMIFS('Saldos Iniciales'!$D:$D,'Saldos Iniciales'!$A:$A,"Sacred Valley Capital")+SUMIFS(Movimientos!$K$1:$K$1324,Movimientos!$C$1:$C$1324,"Sacred Valley Capital",Movimientos!$B$1:$B$1324,"&lt;="&amp;$B94)</f>
        <v>54.400000000000006</v>
      </c>
      <c r="L94" s="24">
        <f>SUMIFS('Saldos Iniciales'!$D:$D,'Saldos Iniciales'!$A:$A,"YWC Capital")+SUMIFS(Movimientos!$K$1:$K$1324,Movimientos!$C$1:$C$1324,"YWC Capital",Movimientos!$B$1:$B$1324,"&lt;="&amp;$B94)</f>
        <v>2207.8200000000002</v>
      </c>
      <c r="M94" s="24">
        <f>SUMIFS('Saldos Iniciales'!$D:$D,'Saldos Iniciales'!$A:$A,"Soweto")+SUMIFS(Movimientos!$K$1:$K$1324,Movimientos!$C$1:$C$1324,"Soweto",Movimientos!$B$1:$B$1324,"&lt;="&amp;$B94)</f>
        <v>1454589.72</v>
      </c>
      <c r="N94" s="24">
        <f>SUMIFS('Saldos Iniciales'!$D:$D,'Saldos Iniciales'!$A:$A,"Green Stone Trust")+SUMIFS(Movimientos!$K$1:$K$1324,Movimientos!$C$1:$C$1324,"Green Stone Trust",Movimientos!$B$1:$B$1324,"&lt;="&amp;$B94)</f>
        <v>1968.99</v>
      </c>
      <c r="O94" s="24">
        <f>SUMIFS('Saldos Iniciales'!$D:$D,'Saldos Iniciales'!$A:$A,"EC Auto")+SUMIFS(Movimientos!$K$1:$K$1324,Movimientos!$C$1:$C$1324,"EC Auto",Movimientos!$B$1:$B$1324,"&lt;="&amp;$B94)</f>
        <v>901.34</v>
      </c>
      <c r="P94" s="24">
        <f>SUMIFS('Saldos Iniciales'!$D:$D,'Saldos Iniciales'!$A:$A,"Arbor Capital Properties")+SUMIFS(Movimientos!$K$1:$K$1324,Movimientos!$C$1:$C$1324,"Arbor Capital Properties",Movimientos!$B$1:$B$1324,"&lt;="&amp;$B94)</f>
        <v>1412.08</v>
      </c>
      <c r="Q94" s="24">
        <f>SUMIFS('Saldos Iniciales'!$D:$D,'Saldos Iniciales'!$A:$A,"2515 Overbrook")+SUMIFS(Movimientos!$K$1:$K$1324,Movimientos!$C$1:$C$1324,"2515 Overbrook",Movimientos!$B$1:$B$1324,"&lt;="&amp;$B94)</f>
        <v>22347.56999999996</v>
      </c>
      <c r="R94" s="24">
        <f>SUMIFS('Saldos Iniciales'!$D:$D,'Saldos Iniciales'!$A:$A,"112 Florida Ave")+SUMIFS(Movimientos!$K$1:$K$1324,Movimientos!$C$1:$C$1324,"112 Florida Ave",Movimientos!$B$1:$B$1324,"&lt;="&amp;$B94)</f>
        <v>18522.800000000003</v>
      </c>
      <c r="S94" s="24">
        <f>SUMIFS('Saldos Iniciales'!$D:$D,'Saldos Iniciales'!$A:$A,"3628 Thomas Ave")+SUMIFS(Movimientos!$K$1:$K$1324,Movimientos!$C$1:$C$1324,"3628 Thomas Ave",Movimientos!$B$1:$B$1324,"&lt;="&amp;$B94)</f>
        <v>28485.559999999998</v>
      </c>
      <c r="T94" s="24">
        <f>SUMIFS('Saldos Iniciales'!$D:$D,'Saldos Iniciales'!$A:$A,"Green Harbor Trust")+SUMIFS(Movimientos!$K$1:$K$1324,Movimientos!$C$1:$C$1324,"Green Harbor Trust",Movimientos!$B$1:$B$1324,"&lt;="&amp;$B94)</f>
        <v>345</v>
      </c>
      <c r="U94" s="24">
        <f>SUMIFS('Saldos Iniciales'!$D:$D,'Saldos Iniciales'!$A:$A,"Go Blue")+SUMIFS(Movimientos!$K$1:$K$1324,Movimientos!$C$1:$C$1324,"Go Blue",Movimientos!$B$1:$B$1324,"&lt;="&amp;$B94)</f>
        <v>11634.930000000004</v>
      </c>
      <c r="V94" s="24">
        <f>IF(YEAR($B94)*100+MONTH($B94)&lt;--SUBSTITUTE(_xlfn.XLOOKUP("Pacha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LLC",Movimientos!$B$1:$B$1324,"&lt;="&amp;$B94))</f>
        <v>0</v>
      </c>
      <c r="W94" s="24">
        <f>IF(YEAR($B94)*100+MONTH($B94)&lt;--SUBSTITUTE(_xlfn.XLOOKUP("*CFT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Residence",Movimientos!$B$1:$B$1324,"&lt;="&amp;$B94))</f>
        <v>0</v>
      </c>
      <c r="X94" s="24">
        <f>IF(YEAR($B94)*100+MONTH($B94)&lt;--SUBSTITUTE(_xlfn.XLOOKUP("Carmen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Trust",Movimientos!$B$1:$B$1324,"&lt;="&amp;$B94))</f>
        <v>0</v>
      </c>
      <c r="Y94" s="24">
        <f>IF(YEAR($B94)*100+MONTH($B94)&lt;--SUBSTITUTE(_xlfn.XLOOKUP("SIYP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LLC",Movimientos!$B$1:$B$1324,"&lt;="&amp;$B94))</f>
        <v>0</v>
      </c>
      <c r="Z94" s="24">
        <f>IF(YEAR($B94)*100+MONTH($B94)&lt;--SUBSTITUTE(_xlfn.XLOOKUP("Prendamas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SRL",Movimientos!$B$1:$B$1324,"&lt;="&amp;$B94))</f>
        <v>0</v>
      </c>
      <c r="AA94" s="24">
        <f>IF(YEAR($B94)*100+MONTH($B94)&lt;--SUBSTITUTE(_xlfn.XLOOKUP("360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LLC",Movimientos!$B$1:$B$1324,"&lt;="&amp;$B94))</f>
        <v>0</v>
      </c>
      <c r="AB94" s="24">
        <f>IF(YEAR($B94)*100+MONTH($B94)&lt;--SUBSTITUTE(_xlfn.XLOOKUP("Five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",Movimientos!$B$1:$B$1324,"&lt;="&amp;$B94))</f>
        <v>0</v>
      </c>
      <c r="AC94" s="24">
        <f>IF(YEAR($B94)*100+MONTH($B94)&lt;--SUBSTITUTE(_xlfn.XLOOKUP("Nobe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Aparments",Movimientos!$B$1:$B$1324,"&lt;="&amp;$B94))</f>
        <v>0</v>
      </c>
      <c r="AD94" s="24">
        <f>IF(YEAR($B94)*100+MONTH($B94)&lt;--SUBSTITUTE(_xlfn.XLOOKUP("Don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Life",Movimientos!$B$1:$B$1324,"&lt;="&amp;$B94))</f>
        <v>0</v>
      </c>
      <c r="AE94" s="25">
        <f t="shared" si="3"/>
        <v>7480968.8699999992</v>
      </c>
    </row>
    <row r="95" spans="1:31" hidden="1" outlineLevel="1" x14ac:dyDescent="0.3">
      <c r="A95" s="22">
        <f t="shared" si="2"/>
        <v>94</v>
      </c>
      <c r="B95" s="23">
        <v>46236</v>
      </c>
      <c r="C95" s="24">
        <f>SUMIFS('Saldos Iniciales'!$D:$D,'Saldos Iniciales'!$A:$A,"CFT Group")+SUMIFS(Movimientos!$K$1:$K$1324,Movimientos!$C$1:$C$1324,"CFT Group",Movimientos!$B$1:$B$1324,"&lt;="&amp;$B95)</f>
        <v>2468032.08</v>
      </c>
      <c r="D95" s="24">
        <f>SUMIFS('Saldos Iniciales'!$D:$D,'Saldos Iniciales'!$A:$A,"M1B")+SUMIFS(Movimientos!$K$1:$K$1324,Movimientos!$C$1:$C$1324,"M1B",Movimientos!$B$1:$B$1324,"&lt;="&amp;$B95)</f>
        <v>83211.250000000175</v>
      </c>
      <c r="E95" s="24">
        <f>SUMIFS('Saldos Iniciales'!$D:$D,'Saldos Iniciales'!$A:$A,"Durand")+SUMIFS(Movimientos!$K$1:$K$1324,Movimientos!$C$1:$C$1324,"Durand",Movimientos!$B$1:$B$1324,"&lt;="&amp;$B95)</f>
        <v>1669.89</v>
      </c>
      <c r="F95" s="24">
        <f>SUMIFS('Saldos Iniciales'!$D:$D,'Saldos Iniciales'!$A:$A,"A&amp;M Imports")+SUMIFS(Movimientos!$K$1:$K$1324,Movimientos!$C$1:$C$1324,"A&amp;M Imports",Movimientos!$B$1:$B$1324,"&lt;="&amp;$B95)</f>
        <v>1458426.0399999998</v>
      </c>
      <c r="G95" s="24">
        <f>SUMIFS('Saldos Iniciales'!$D:$D,'Saldos Iniciales'!$A:$A,"SSP Capital")+SUMIFS(Movimientos!$K$1:$K$1324,Movimientos!$C$1:$C$1324,"SSP Capital",Movimientos!$B$1:$B$1324,"&lt;="&amp;$B95)</f>
        <v>1514477.1199999996</v>
      </c>
      <c r="H95" s="24">
        <f>SUMIFS('Saldos Iniciales'!$D:$D,'Saldos Iniciales'!$A:$A,"Cross Family Trust")+SUMIFS(Movimientos!$K$1:$K$1324,Movimientos!$C$1:$C$1324,"Cross Family Trust",Movimientos!$B$1:$B$1324,"&lt;="&amp;$B95)</f>
        <v>190496.38</v>
      </c>
      <c r="I95" s="24">
        <f>SUMIFS('Saldos Iniciales'!$D:$D,'Saldos Iniciales'!$A:$A,"Cross Security Trust")+SUMIFS(Movimientos!$K$1:$K$1324,Movimientos!$C$1:$C$1324,"Cross Security Trust",Movimientos!$B$1:$B$1324,"&lt;="&amp;$B95)</f>
        <v>207605.45</v>
      </c>
      <c r="J95" s="24">
        <f>SUMIFS('Saldos Iniciales'!$D:$D,'Saldos Iniciales'!$A:$A,"Electrama")+SUMIFS(Movimientos!$K$1:$K$1324,Movimientos!$C$1:$C$1324,"Electrama",Movimientos!$B$1:$B$1324,"&lt;="&amp;$B95)</f>
        <v>14580.45</v>
      </c>
      <c r="K95" s="24">
        <f>SUMIFS('Saldos Iniciales'!$D:$D,'Saldos Iniciales'!$A:$A,"Sacred Valley Capital")+SUMIFS(Movimientos!$K$1:$K$1324,Movimientos!$C$1:$C$1324,"Sacred Valley Capital",Movimientos!$B$1:$B$1324,"&lt;="&amp;$B95)</f>
        <v>54.400000000000006</v>
      </c>
      <c r="L95" s="24">
        <f>SUMIFS('Saldos Iniciales'!$D:$D,'Saldos Iniciales'!$A:$A,"YWC Capital")+SUMIFS(Movimientos!$K$1:$K$1324,Movimientos!$C$1:$C$1324,"YWC Capital",Movimientos!$B$1:$B$1324,"&lt;="&amp;$B95)</f>
        <v>2207.8200000000002</v>
      </c>
      <c r="M95" s="24">
        <f>SUMIFS('Saldos Iniciales'!$D:$D,'Saldos Iniciales'!$A:$A,"Soweto")+SUMIFS(Movimientos!$K$1:$K$1324,Movimientos!$C$1:$C$1324,"Soweto",Movimientos!$B$1:$B$1324,"&lt;="&amp;$B95)</f>
        <v>1454589.72</v>
      </c>
      <c r="N95" s="24">
        <f>SUMIFS('Saldos Iniciales'!$D:$D,'Saldos Iniciales'!$A:$A,"Green Stone Trust")+SUMIFS(Movimientos!$K$1:$K$1324,Movimientos!$C$1:$C$1324,"Green Stone Trust",Movimientos!$B$1:$B$1324,"&lt;="&amp;$B95)</f>
        <v>1968.99</v>
      </c>
      <c r="O95" s="24">
        <f>SUMIFS('Saldos Iniciales'!$D:$D,'Saldos Iniciales'!$A:$A,"EC Auto")+SUMIFS(Movimientos!$K$1:$K$1324,Movimientos!$C$1:$C$1324,"EC Auto",Movimientos!$B$1:$B$1324,"&lt;="&amp;$B95)</f>
        <v>901.34</v>
      </c>
      <c r="P95" s="24">
        <f>SUMIFS('Saldos Iniciales'!$D:$D,'Saldos Iniciales'!$A:$A,"Arbor Capital Properties")+SUMIFS(Movimientos!$K$1:$K$1324,Movimientos!$C$1:$C$1324,"Arbor Capital Properties",Movimientos!$B$1:$B$1324,"&lt;="&amp;$B95)</f>
        <v>1412.08</v>
      </c>
      <c r="Q95" s="24">
        <f>SUMIFS('Saldos Iniciales'!$D:$D,'Saldos Iniciales'!$A:$A,"2515 Overbrook")+SUMIFS(Movimientos!$K$1:$K$1324,Movimientos!$C$1:$C$1324,"2515 Overbrook",Movimientos!$B$1:$B$1324,"&lt;="&amp;$B95)</f>
        <v>22347.56999999996</v>
      </c>
      <c r="R95" s="24">
        <f>SUMIFS('Saldos Iniciales'!$D:$D,'Saldos Iniciales'!$A:$A,"112 Florida Ave")+SUMIFS(Movimientos!$K$1:$K$1324,Movimientos!$C$1:$C$1324,"112 Florida Ave",Movimientos!$B$1:$B$1324,"&lt;="&amp;$B95)</f>
        <v>18522.800000000003</v>
      </c>
      <c r="S95" s="24">
        <f>SUMIFS('Saldos Iniciales'!$D:$D,'Saldos Iniciales'!$A:$A,"3628 Thomas Ave")+SUMIFS(Movimientos!$K$1:$K$1324,Movimientos!$C$1:$C$1324,"3628 Thomas Ave",Movimientos!$B$1:$B$1324,"&lt;="&amp;$B95)</f>
        <v>28485.559999999998</v>
      </c>
      <c r="T95" s="24">
        <f>SUMIFS('Saldos Iniciales'!$D:$D,'Saldos Iniciales'!$A:$A,"Green Harbor Trust")+SUMIFS(Movimientos!$K$1:$K$1324,Movimientos!$C$1:$C$1324,"Green Harbor Trust",Movimientos!$B$1:$B$1324,"&lt;="&amp;$B95)</f>
        <v>345</v>
      </c>
      <c r="U95" s="24">
        <f>SUMIFS('Saldos Iniciales'!$D:$D,'Saldos Iniciales'!$A:$A,"Go Blue")+SUMIFS(Movimientos!$K$1:$K$1324,Movimientos!$C$1:$C$1324,"Go Blue",Movimientos!$B$1:$B$1324,"&lt;="&amp;$B95)</f>
        <v>11634.930000000004</v>
      </c>
      <c r="V95" s="24">
        <f>IF(YEAR($B95)*100+MONTH($B95)&lt;--SUBSTITUTE(_xlfn.XLOOKUP("Pacha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LLC",Movimientos!$B$1:$B$1324,"&lt;="&amp;$B95))</f>
        <v>0</v>
      </c>
      <c r="W95" s="24">
        <f>IF(YEAR($B95)*100+MONTH($B95)&lt;--SUBSTITUTE(_xlfn.XLOOKUP("*CFT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Residence",Movimientos!$B$1:$B$1324,"&lt;="&amp;$B95))</f>
        <v>0</v>
      </c>
      <c r="X95" s="24">
        <f>IF(YEAR($B95)*100+MONTH($B95)&lt;--SUBSTITUTE(_xlfn.XLOOKUP("Carmen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Trust",Movimientos!$B$1:$B$1324,"&lt;="&amp;$B95))</f>
        <v>0</v>
      </c>
      <c r="Y95" s="24">
        <f>IF(YEAR($B95)*100+MONTH($B95)&lt;--SUBSTITUTE(_xlfn.XLOOKUP("SIYP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LLC",Movimientos!$B$1:$B$1324,"&lt;="&amp;$B95))</f>
        <v>0</v>
      </c>
      <c r="Z95" s="24">
        <f>IF(YEAR($B95)*100+MONTH($B95)&lt;--SUBSTITUTE(_xlfn.XLOOKUP("Prendamas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SRL",Movimientos!$B$1:$B$1324,"&lt;="&amp;$B95))</f>
        <v>0</v>
      </c>
      <c r="AA95" s="24">
        <f>IF(YEAR($B95)*100+MONTH($B95)&lt;--SUBSTITUTE(_xlfn.XLOOKUP("360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LLC",Movimientos!$B$1:$B$1324,"&lt;="&amp;$B95))</f>
        <v>0</v>
      </c>
      <c r="AB95" s="24">
        <f>IF(YEAR($B95)*100+MONTH($B95)&lt;--SUBSTITUTE(_xlfn.XLOOKUP("Five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",Movimientos!$B$1:$B$1324,"&lt;="&amp;$B95))</f>
        <v>0</v>
      </c>
      <c r="AC95" s="24">
        <f>IF(YEAR($B95)*100+MONTH($B95)&lt;--SUBSTITUTE(_xlfn.XLOOKUP("Nobe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Aparments",Movimientos!$B$1:$B$1324,"&lt;="&amp;$B95))</f>
        <v>0</v>
      </c>
      <c r="AD95" s="24">
        <f>IF(YEAR($B95)*100+MONTH($B95)&lt;--SUBSTITUTE(_xlfn.XLOOKUP("Don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Life",Movimientos!$B$1:$B$1324,"&lt;="&amp;$B95))</f>
        <v>0</v>
      </c>
      <c r="AE95" s="25">
        <f t="shared" si="3"/>
        <v>7480968.8699999992</v>
      </c>
    </row>
    <row r="96" spans="1:31" hidden="1" outlineLevel="1" x14ac:dyDescent="0.3">
      <c r="A96" s="22">
        <f t="shared" si="2"/>
        <v>95</v>
      </c>
      <c r="B96" s="23">
        <v>46237</v>
      </c>
      <c r="C96" s="24">
        <f>SUMIFS('Saldos Iniciales'!$D:$D,'Saldos Iniciales'!$A:$A,"CFT Group")+SUMIFS(Movimientos!$K$1:$K$1324,Movimientos!$C$1:$C$1324,"CFT Group",Movimientos!$B$1:$B$1324,"&lt;="&amp;$B96)</f>
        <v>2468032.08</v>
      </c>
      <c r="D96" s="24">
        <f>SUMIFS('Saldos Iniciales'!$D:$D,'Saldos Iniciales'!$A:$A,"M1B")+SUMIFS(Movimientos!$K$1:$K$1324,Movimientos!$C$1:$C$1324,"M1B",Movimientos!$B$1:$B$1324,"&lt;="&amp;$B96)</f>
        <v>83211.250000000175</v>
      </c>
      <c r="E96" s="24">
        <f>SUMIFS('Saldos Iniciales'!$D:$D,'Saldos Iniciales'!$A:$A,"Durand")+SUMIFS(Movimientos!$K$1:$K$1324,Movimientos!$C$1:$C$1324,"Durand",Movimientos!$B$1:$B$1324,"&lt;="&amp;$B96)</f>
        <v>1669.89</v>
      </c>
      <c r="F96" s="24">
        <f>SUMIFS('Saldos Iniciales'!$D:$D,'Saldos Iniciales'!$A:$A,"A&amp;M Imports")+SUMIFS(Movimientos!$K$1:$K$1324,Movimientos!$C$1:$C$1324,"A&amp;M Imports",Movimientos!$B$1:$B$1324,"&lt;="&amp;$B96)</f>
        <v>1458426.0399999998</v>
      </c>
      <c r="G96" s="24">
        <f>SUMIFS('Saldos Iniciales'!$D:$D,'Saldos Iniciales'!$A:$A,"SSP Capital")+SUMIFS(Movimientos!$K$1:$K$1324,Movimientos!$C$1:$C$1324,"SSP Capital",Movimientos!$B$1:$B$1324,"&lt;="&amp;$B96)</f>
        <v>1514477.1199999996</v>
      </c>
      <c r="H96" s="24">
        <f>SUMIFS('Saldos Iniciales'!$D:$D,'Saldos Iniciales'!$A:$A,"Cross Family Trust")+SUMIFS(Movimientos!$K$1:$K$1324,Movimientos!$C$1:$C$1324,"Cross Family Trust",Movimientos!$B$1:$B$1324,"&lt;="&amp;$B96)</f>
        <v>190496.38</v>
      </c>
      <c r="I96" s="24">
        <f>SUMIFS('Saldos Iniciales'!$D:$D,'Saldos Iniciales'!$A:$A,"Cross Security Trust")+SUMIFS(Movimientos!$K$1:$K$1324,Movimientos!$C$1:$C$1324,"Cross Security Trust",Movimientos!$B$1:$B$1324,"&lt;="&amp;$B96)</f>
        <v>207605.45</v>
      </c>
      <c r="J96" s="24">
        <f>SUMIFS('Saldos Iniciales'!$D:$D,'Saldos Iniciales'!$A:$A,"Electrama")+SUMIFS(Movimientos!$K$1:$K$1324,Movimientos!$C$1:$C$1324,"Electrama",Movimientos!$B$1:$B$1324,"&lt;="&amp;$B96)</f>
        <v>14580.45</v>
      </c>
      <c r="K96" s="24">
        <f>SUMIFS('Saldos Iniciales'!$D:$D,'Saldos Iniciales'!$A:$A,"Sacred Valley Capital")+SUMIFS(Movimientos!$K$1:$K$1324,Movimientos!$C$1:$C$1324,"Sacred Valley Capital",Movimientos!$B$1:$B$1324,"&lt;="&amp;$B96)</f>
        <v>24.450000000000003</v>
      </c>
      <c r="L96" s="24">
        <f>SUMIFS('Saldos Iniciales'!$D:$D,'Saldos Iniciales'!$A:$A,"YWC Capital")+SUMIFS(Movimientos!$K$1:$K$1324,Movimientos!$C$1:$C$1324,"YWC Capital",Movimientos!$B$1:$B$1324,"&lt;="&amp;$B96)</f>
        <v>2177.87</v>
      </c>
      <c r="M96" s="24">
        <f>SUMIFS('Saldos Iniciales'!$D:$D,'Saldos Iniciales'!$A:$A,"Soweto")+SUMIFS(Movimientos!$K$1:$K$1324,Movimientos!$C$1:$C$1324,"Soweto",Movimientos!$B$1:$B$1324,"&lt;="&amp;$B96)</f>
        <v>1454589.72</v>
      </c>
      <c r="N96" s="24">
        <f>SUMIFS('Saldos Iniciales'!$D:$D,'Saldos Iniciales'!$A:$A,"Green Stone Trust")+SUMIFS(Movimientos!$K$1:$K$1324,Movimientos!$C$1:$C$1324,"Green Stone Trust",Movimientos!$B$1:$B$1324,"&lt;="&amp;$B96)</f>
        <v>1968.99</v>
      </c>
      <c r="O96" s="24">
        <f>SUMIFS('Saldos Iniciales'!$D:$D,'Saldos Iniciales'!$A:$A,"EC Auto")+SUMIFS(Movimientos!$K$1:$K$1324,Movimientos!$C$1:$C$1324,"EC Auto",Movimientos!$B$1:$B$1324,"&lt;="&amp;$B96)</f>
        <v>901.34</v>
      </c>
      <c r="P96" s="24">
        <f>SUMIFS('Saldos Iniciales'!$D:$D,'Saldos Iniciales'!$A:$A,"Arbor Capital Properties")+SUMIFS(Movimientos!$K$1:$K$1324,Movimientos!$C$1:$C$1324,"Arbor Capital Properties",Movimientos!$B$1:$B$1324,"&lt;="&amp;$B96)</f>
        <v>1396.08</v>
      </c>
      <c r="Q96" s="24">
        <f>SUMIFS('Saldos Iniciales'!$D:$D,'Saldos Iniciales'!$A:$A,"2515 Overbrook")+SUMIFS(Movimientos!$K$1:$K$1324,Movimientos!$C$1:$C$1324,"2515 Overbrook",Movimientos!$B$1:$B$1324,"&lt;="&amp;$B96)</f>
        <v>13804.239999999962</v>
      </c>
      <c r="R96" s="24">
        <f>SUMIFS('Saldos Iniciales'!$D:$D,'Saldos Iniciales'!$A:$A,"112 Florida Ave")+SUMIFS(Movimientos!$K$1:$K$1324,Movimientos!$C$1:$C$1324,"112 Florida Ave",Movimientos!$B$1:$B$1324,"&lt;="&amp;$B96)</f>
        <v>8724.1700000000037</v>
      </c>
      <c r="S96" s="24">
        <f>SUMIFS('Saldos Iniciales'!$D:$D,'Saldos Iniciales'!$A:$A,"3628 Thomas Ave")+SUMIFS(Movimientos!$K$1:$K$1324,Movimientos!$C$1:$C$1324,"3628 Thomas Ave",Movimientos!$B$1:$B$1324,"&lt;="&amp;$B96)</f>
        <v>15106.099999999997</v>
      </c>
      <c r="T96" s="24">
        <f>SUMIFS('Saldos Iniciales'!$D:$D,'Saldos Iniciales'!$A:$A,"Green Harbor Trust")+SUMIFS(Movimientos!$K$1:$K$1324,Movimientos!$C$1:$C$1324,"Green Harbor Trust",Movimientos!$B$1:$B$1324,"&lt;="&amp;$B96)</f>
        <v>345</v>
      </c>
      <c r="U96" s="24">
        <f>SUMIFS('Saldos Iniciales'!$D:$D,'Saldos Iniciales'!$A:$A,"Go Blue")+SUMIFS(Movimientos!$K$1:$K$1324,Movimientos!$C$1:$C$1324,"Go Blue",Movimientos!$B$1:$B$1324,"&lt;="&amp;$B96)</f>
        <v>8270.3500000000022</v>
      </c>
      <c r="V96" s="24">
        <f>IF(YEAR($B96)*100+MONTH($B96)&lt;--SUBSTITUTE(_xlfn.XLOOKUP("Pacha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LLC",Movimientos!$B$1:$B$1324,"&lt;="&amp;$B96))</f>
        <v>0</v>
      </c>
      <c r="W96" s="24">
        <f>IF(YEAR($B96)*100+MONTH($B96)&lt;--SUBSTITUTE(_xlfn.XLOOKUP("*CFT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Residence",Movimientos!$B$1:$B$1324,"&lt;="&amp;$B96))</f>
        <v>0</v>
      </c>
      <c r="X96" s="24">
        <f>IF(YEAR($B96)*100+MONTH($B96)&lt;--SUBSTITUTE(_xlfn.XLOOKUP("Carmen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Trust",Movimientos!$B$1:$B$1324,"&lt;="&amp;$B96))</f>
        <v>0</v>
      </c>
      <c r="Y96" s="24">
        <f>IF(YEAR($B96)*100+MONTH($B96)&lt;--SUBSTITUTE(_xlfn.XLOOKUP("SIYP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LLC",Movimientos!$B$1:$B$1324,"&lt;="&amp;$B96))</f>
        <v>0</v>
      </c>
      <c r="Z96" s="24">
        <f>IF(YEAR($B96)*100+MONTH($B96)&lt;--SUBSTITUTE(_xlfn.XLOOKUP("Prendamas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SRL",Movimientos!$B$1:$B$1324,"&lt;="&amp;$B96))</f>
        <v>0</v>
      </c>
      <c r="AA96" s="24">
        <f>IF(YEAR($B96)*100+MONTH($B96)&lt;--SUBSTITUTE(_xlfn.XLOOKUP("360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LLC",Movimientos!$B$1:$B$1324,"&lt;="&amp;$B96))</f>
        <v>0</v>
      </c>
      <c r="AB96" s="24">
        <f>IF(YEAR($B96)*100+MONTH($B96)&lt;--SUBSTITUTE(_xlfn.XLOOKUP("Five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",Movimientos!$B$1:$B$1324,"&lt;="&amp;$B96))</f>
        <v>0</v>
      </c>
      <c r="AC96" s="24">
        <f>IF(YEAR($B96)*100+MONTH($B96)&lt;--SUBSTITUTE(_xlfn.XLOOKUP("Nobe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Aparments",Movimientos!$B$1:$B$1324,"&lt;="&amp;$B96))</f>
        <v>0</v>
      </c>
      <c r="AD96" s="24">
        <f>IF(YEAR($B96)*100+MONTH($B96)&lt;--SUBSTITUTE(_xlfn.XLOOKUP("Don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Life",Movimientos!$B$1:$B$1324,"&lt;="&amp;$B96))</f>
        <v>0</v>
      </c>
      <c r="AE96" s="25">
        <f t="shared" si="3"/>
        <v>7445806.9699999988</v>
      </c>
    </row>
    <row r="97" spans="1:31" hidden="1" outlineLevel="1" x14ac:dyDescent="0.3">
      <c r="A97" s="22">
        <f t="shared" si="2"/>
        <v>96</v>
      </c>
      <c r="B97" s="23">
        <v>46238</v>
      </c>
      <c r="C97" s="24">
        <f>SUMIFS('Saldos Iniciales'!$D:$D,'Saldos Iniciales'!$A:$A,"CFT Group")+SUMIFS(Movimientos!$K$1:$K$1324,Movimientos!$C$1:$C$1324,"CFT Group",Movimientos!$B$1:$B$1324,"&lt;="&amp;$B97)</f>
        <v>2468032.08</v>
      </c>
      <c r="D97" s="24">
        <f>SUMIFS('Saldos Iniciales'!$D:$D,'Saldos Iniciales'!$A:$A,"M1B")+SUMIFS(Movimientos!$K$1:$K$1324,Movimientos!$C$1:$C$1324,"M1B",Movimientos!$B$1:$B$1324,"&lt;="&amp;$B97)</f>
        <v>83211.250000000175</v>
      </c>
      <c r="E97" s="24">
        <f>SUMIFS('Saldos Iniciales'!$D:$D,'Saldos Iniciales'!$A:$A,"Durand")+SUMIFS(Movimientos!$K$1:$K$1324,Movimientos!$C$1:$C$1324,"Durand",Movimientos!$B$1:$B$1324,"&lt;="&amp;$B97)</f>
        <v>1669.89</v>
      </c>
      <c r="F97" s="24">
        <f>SUMIFS('Saldos Iniciales'!$D:$D,'Saldos Iniciales'!$A:$A,"A&amp;M Imports")+SUMIFS(Movimientos!$K$1:$K$1324,Movimientos!$C$1:$C$1324,"A&amp;M Imports",Movimientos!$B$1:$B$1324,"&lt;="&amp;$B97)</f>
        <v>1458426.0399999998</v>
      </c>
      <c r="G97" s="24">
        <f>SUMIFS('Saldos Iniciales'!$D:$D,'Saldos Iniciales'!$A:$A,"SSP Capital")+SUMIFS(Movimientos!$K$1:$K$1324,Movimientos!$C$1:$C$1324,"SSP Capital",Movimientos!$B$1:$B$1324,"&lt;="&amp;$B97)</f>
        <v>1513867.4199999995</v>
      </c>
      <c r="H97" s="24">
        <f>SUMIFS('Saldos Iniciales'!$D:$D,'Saldos Iniciales'!$A:$A,"Cross Family Trust")+SUMIFS(Movimientos!$K$1:$K$1324,Movimientos!$C$1:$C$1324,"Cross Family Trust",Movimientos!$B$1:$B$1324,"&lt;="&amp;$B97)</f>
        <v>184496.38</v>
      </c>
      <c r="I97" s="24">
        <f>SUMIFS('Saldos Iniciales'!$D:$D,'Saldos Iniciales'!$A:$A,"Cross Security Trust")+SUMIFS(Movimientos!$K$1:$K$1324,Movimientos!$C$1:$C$1324,"Cross Security Trust",Movimientos!$B$1:$B$1324,"&lt;="&amp;$B97)</f>
        <v>207605.45</v>
      </c>
      <c r="J97" s="24">
        <f>SUMIFS('Saldos Iniciales'!$D:$D,'Saldos Iniciales'!$A:$A,"Electrama")+SUMIFS(Movimientos!$K$1:$K$1324,Movimientos!$C$1:$C$1324,"Electrama",Movimientos!$B$1:$B$1324,"&lt;="&amp;$B97)</f>
        <v>14580.45</v>
      </c>
      <c r="K97" s="24">
        <f>SUMIFS('Saldos Iniciales'!$D:$D,'Saldos Iniciales'!$A:$A,"Sacred Valley Capital")+SUMIFS(Movimientos!$K$1:$K$1324,Movimientos!$C$1:$C$1324,"Sacred Valley Capital",Movimientos!$B$1:$B$1324,"&lt;="&amp;$B97)</f>
        <v>24.450000000000003</v>
      </c>
      <c r="L97" s="24">
        <f>SUMIFS('Saldos Iniciales'!$D:$D,'Saldos Iniciales'!$A:$A,"YWC Capital")+SUMIFS(Movimientos!$K$1:$K$1324,Movimientos!$C$1:$C$1324,"YWC Capital",Movimientos!$B$1:$B$1324,"&lt;="&amp;$B97)</f>
        <v>2177.87</v>
      </c>
      <c r="M97" s="24">
        <f>SUMIFS('Saldos Iniciales'!$D:$D,'Saldos Iniciales'!$A:$A,"Soweto")+SUMIFS(Movimientos!$K$1:$K$1324,Movimientos!$C$1:$C$1324,"Soweto",Movimientos!$B$1:$B$1324,"&lt;="&amp;$B97)</f>
        <v>1454589.72</v>
      </c>
      <c r="N97" s="24">
        <f>SUMIFS('Saldos Iniciales'!$D:$D,'Saldos Iniciales'!$A:$A,"Green Stone Trust")+SUMIFS(Movimientos!$K$1:$K$1324,Movimientos!$C$1:$C$1324,"Green Stone Trust",Movimientos!$B$1:$B$1324,"&lt;="&amp;$B97)</f>
        <v>1968.99</v>
      </c>
      <c r="O97" s="24">
        <f>SUMIFS('Saldos Iniciales'!$D:$D,'Saldos Iniciales'!$A:$A,"EC Auto")+SUMIFS(Movimientos!$K$1:$K$1324,Movimientos!$C$1:$C$1324,"EC Auto",Movimientos!$B$1:$B$1324,"&lt;="&amp;$B97)</f>
        <v>901.34</v>
      </c>
      <c r="P97" s="24">
        <f>SUMIFS('Saldos Iniciales'!$D:$D,'Saldos Iniciales'!$A:$A,"Arbor Capital Properties")+SUMIFS(Movimientos!$K$1:$K$1324,Movimientos!$C$1:$C$1324,"Arbor Capital Properties",Movimientos!$B$1:$B$1324,"&lt;="&amp;$B97)</f>
        <v>1396.08</v>
      </c>
      <c r="Q97" s="24">
        <f>SUMIFS('Saldos Iniciales'!$D:$D,'Saldos Iniciales'!$A:$A,"2515 Overbrook")+SUMIFS(Movimientos!$K$1:$K$1324,Movimientos!$C$1:$C$1324,"2515 Overbrook",Movimientos!$B$1:$B$1324,"&lt;="&amp;$B97)</f>
        <v>13804.239999999962</v>
      </c>
      <c r="R97" s="24">
        <f>SUMIFS('Saldos Iniciales'!$D:$D,'Saldos Iniciales'!$A:$A,"112 Florida Ave")+SUMIFS(Movimientos!$K$1:$K$1324,Movimientos!$C$1:$C$1324,"112 Florida Ave",Movimientos!$B$1:$B$1324,"&lt;="&amp;$B97)</f>
        <v>8724.1700000000037</v>
      </c>
      <c r="S97" s="24">
        <f>SUMIFS('Saldos Iniciales'!$D:$D,'Saldos Iniciales'!$A:$A,"3628 Thomas Ave")+SUMIFS(Movimientos!$K$1:$K$1324,Movimientos!$C$1:$C$1324,"3628 Thomas Ave",Movimientos!$B$1:$B$1324,"&lt;="&amp;$B97)</f>
        <v>15106.099999999997</v>
      </c>
      <c r="T97" s="24">
        <f>SUMIFS('Saldos Iniciales'!$D:$D,'Saldos Iniciales'!$A:$A,"Green Harbor Trust")+SUMIFS(Movimientos!$K$1:$K$1324,Movimientos!$C$1:$C$1324,"Green Harbor Trust",Movimientos!$B$1:$B$1324,"&lt;="&amp;$B97)</f>
        <v>345</v>
      </c>
      <c r="U97" s="24">
        <f>SUMIFS('Saldos Iniciales'!$D:$D,'Saldos Iniciales'!$A:$A,"Go Blue")+SUMIFS(Movimientos!$K$1:$K$1324,Movimientos!$C$1:$C$1324,"Go Blue",Movimientos!$B$1:$B$1324,"&lt;="&amp;$B97)</f>
        <v>7879.4200000000019</v>
      </c>
      <c r="V97" s="24">
        <f>IF(YEAR($B97)*100+MONTH($B97)&lt;--SUBSTITUTE(_xlfn.XLOOKUP("Pacha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LLC",Movimientos!$B$1:$B$1324,"&lt;="&amp;$B97))</f>
        <v>0</v>
      </c>
      <c r="W97" s="24">
        <f>IF(YEAR($B97)*100+MONTH($B97)&lt;--SUBSTITUTE(_xlfn.XLOOKUP("*CFT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Residence",Movimientos!$B$1:$B$1324,"&lt;="&amp;$B97))</f>
        <v>0</v>
      </c>
      <c r="X97" s="24">
        <f>IF(YEAR($B97)*100+MONTH($B97)&lt;--SUBSTITUTE(_xlfn.XLOOKUP("Carmen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Trust",Movimientos!$B$1:$B$1324,"&lt;="&amp;$B97))</f>
        <v>0</v>
      </c>
      <c r="Y97" s="24">
        <f>IF(YEAR($B97)*100+MONTH($B97)&lt;--SUBSTITUTE(_xlfn.XLOOKUP("SIYP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LLC",Movimientos!$B$1:$B$1324,"&lt;="&amp;$B97))</f>
        <v>0</v>
      </c>
      <c r="Z97" s="24">
        <f>IF(YEAR($B97)*100+MONTH($B97)&lt;--SUBSTITUTE(_xlfn.XLOOKUP("Prendamas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SRL",Movimientos!$B$1:$B$1324,"&lt;="&amp;$B97))</f>
        <v>0</v>
      </c>
      <c r="AA97" s="24">
        <f>IF(YEAR($B97)*100+MONTH($B97)&lt;--SUBSTITUTE(_xlfn.XLOOKUP("360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LLC",Movimientos!$B$1:$B$1324,"&lt;="&amp;$B97))</f>
        <v>0</v>
      </c>
      <c r="AB97" s="24">
        <f>IF(YEAR($B97)*100+MONTH($B97)&lt;--SUBSTITUTE(_xlfn.XLOOKUP("Five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",Movimientos!$B$1:$B$1324,"&lt;="&amp;$B97))</f>
        <v>0</v>
      </c>
      <c r="AC97" s="24">
        <f>IF(YEAR($B97)*100+MONTH($B97)&lt;--SUBSTITUTE(_xlfn.XLOOKUP("Nobe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Aparments",Movimientos!$B$1:$B$1324,"&lt;="&amp;$B97))</f>
        <v>0</v>
      </c>
      <c r="AD97" s="24">
        <f>IF(YEAR($B97)*100+MONTH($B97)&lt;--SUBSTITUTE(_xlfn.XLOOKUP("Don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Life",Movimientos!$B$1:$B$1324,"&lt;="&amp;$B97))</f>
        <v>0</v>
      </c>
      <c r="AE97" s="25">
        <f t="shared" ref="AE97:AE128" si="4">SUM(C97:AD97)</f>
        <v>7438806.3399999999</v>
      </c>
    </row>
    <row r="98" spans="1:31" hidden="1" outlineLevel="1" x14ac:dyDescent="0.3">
      <c r="A98" s="22">
        <f t="shared" si="2"/>
        <v>97</v>
      </c>
      <c r="B98" s="23">
        <v>46239</v>
      </c>
      <c r="C98" s="24">
        <f>SUMIFS('Saldos Iniciales'!$D:$D,'Saldos Iniciales'!$A:$A,"CFT Group")+SUMIFS(Movimientos!$K$1:$K$1324,Movimientos!$C$1:$C$1324,"CFT Group",Movimientos!$B$1:$B$1324,"&lt;="&amp;$B98)</f>
        <v>2468032.08</v>
      </c>
      <c r="D98" s="24">
        <f>SUMIFS('Saldos Iniciales'!$D:$D,'Saldos Iniciales'!$A:$A,"M1B")+SUMIFS(Movimientos!$K$1:$K$1324,Movimientos!$C$1:$C$1324,"M1B",Movimientos!$B$1:$B$1324,"&lt;="&amp;$B98)</f>
        <v>83211.250000000175</v>
      </c>
      <c r="E98" s="24">
        <f>SUMIFS('Saldos Iniciales'!$D:$D,'Saldos Iniciales'!$A:$A,"Durand")+SUMIFS(Movimientos!$K$1:$K$1324,Movimientos!$C$1:$C$1324,"Durand",Movimientos!$B$1:$B$1324,"&lt;="&amp;$B98)</f>
        <v>1669.89</v>
      </c>
      <c r="F98" s="24">
        <f>SUMIFS('Saldos Iniciales'!$D:$D,'Saldos Iniciales'!$A:$A,"A&amp;M Imports")+SUMIFS(Movimientos!$K$1:$K$1324,Movimientos!$C$1:$C$1324,"A&amp;M Imports",Movimientos!$B$1:$B$1324,"&lt;="&amp;$B98)</f>
        <v>1452426.0399999998</v>
      </c>
      <c r="G98" s="24">
        <f>SUMIFS('Saldos Iniciales'!$D:$D,'Saldos Iniciales'!$A:$A,"SSP Capital")+SUMIFS(Movimientos!$K$1:$K$1324,Movimientos!$C$1:$C$1324,"SSP Capital",Movimientos!$B$1:$B$1324,"&lt;="&amp;$B98)</f>
        <v>1512187.6399999997</v>
      </c>
      <c r="H98" s="24">
        <f>SUMIFS('Saldos Iniciales'!$D:$D,'Saldos Iniciales'!$A:$A,"Cross Family Trust")+SUMIFS(Movimientos!$K$1:$K$1324,Movimientos!$C$1:$C$1324,"Cross Family Trust",Movimientos!$B$1:$B$1324,"&lt;="&amp;$B98)</f>
        <v>184496.38</v>
      </c>
      <c r="I98" s="24">
        <f>SUMIFS('Saldos Iniciales'!$D:$D,'Saldos Iniciales'!$A:$A,"Cross Security Trust")+SUMIFS(Movimientos!$K$1:$K$1324,Movimientos!$C$1:$C$1324,"Cross Security Trust",Movimientos!$B$1:$B$1324,"&lt;="&amp;$B98)</f>
        <v>207605.45</v>
      </c>
      <c r="J98" s="24">
        <f>SUMIFS('Saldos Iniciales'!$D:$D,'Saldos Iniciales'!$A:$A,"Electrama")+SUMIFS(Movimientos!$K$1:$K$1324,Movimientos!$C$1:$C$1324,"Electrama",Movimientos!$B$1:$B$1324,"&lt;="&amp;$B98)</f>
        <v>14540.45</v>
      </c>
      <c r="K98" s="24">
        <f>SUMIFS('Saldos Iniciales'!$D:$D,'Saldos Iniciales'!$A:$A,"Sacred Valley Capital")+SUMIFS(Movimientos!$K$1:$K$1324,Movimientos!$C$1:$C$1324,"Sacred Valley Capital",Movimientos!$B$1:$B$1324,"&lt;="&amp;$B98)</f>
        <v>24.450000000000003</v>
      </c>
      <c r="L98" s="24">
        <f>SUMIFS('Saldos Iniciales'!$D:$D,'Saldos Iniciales'!$A:$A,"YWC Capital")+SUMIFS(Movimientos!$K$1:$K$1324,Movimientos!$C$1:$C$1324,"YWC Capital",Movimientos!$B$1:$B$1324,"&lt;="&amp;$B98)</f>
        <v>2177.87</v>
      </c>
      <c r="M98" s="24">
        <f>SUMIFS('Saldos Iniciales'!$D:$D,'Saldos Iniciales'!$A:$A,"Soweto")+SUMIFS(Movimientos!$K$1:$K$1324,Movimientos!$C$1:$C$1324,"Soweto",Movimientos!$B$1:$B$1324,"&lt;="&amp;$B98)</f>
        <v>1454589.72</v>
      </c>
      <c r="N98" s="24">
        <f>SUMIFS('Saldos Iniciales'!$D:$D,'Saldos Iniciales'!$A:$A,"Green Stone Trust")+SUMIFS(Movimientos!$K$1:$K$1324,Movimientos!$C$1:$C$1324,"Green Stone Trust",Movimientos!$B$1:$B$1324,"&lt;="&amp;$B98)</f>
        <v>1968.99</v>
      </c>
      <c r="O98" s="24">
        <f>SUMIFS('Saldos Iniciales'!$D:$D,'Saldos Iniciales'!$A:$A,"EC Auto")+SUMIFS(Movimientos!$K$1:$K$1324,Movimientos!$C$1:$C$1324,"EC Auto",Movimientos!$B$1:$B$1324,"&lt;="&amp;$B98)</f>
        <v>901.34</v>
      </c>
      <c r="P98" s="24">
        <f>SUMIFS('Saldos Iniciales'!$D:$D,'Saldos Iniciales'!$A:$A,"Arbor Capital Properties")+SUMIFS(Movimientos!$K$1:$K$1324,Movimientos!$C$1:$C$1324,"Arbor Capital Properties",Movimientos!$B$1:$B$1324,"&lt;="&amp;$B98)</f>
        <v>1396.08</v>
      </c>
      <c r="Q98" s="24">
        <f>SUMIFS('Saldos Iniciales'!$D:$D,'Saldos Iniciales'!$A:$A,"2515 Overbrook")+SUMIFS(Movimientos!$K$1:$K$1324,Movimientos!$C$1:$C$1324,"2515 Overbrook",Movimientos!$B$1:$B$1324,"&lt;="&amp;$B98)</f>
        <v>13804.239999999962</v>
      </c>
      <c r="R98" s="24">
        <f>SUMIFS('Saldos Iniciales'!$D:$D,'Saldos Iniciales'!$A:$A,"112 Florida Ave")+SUMIFS(Movimientos!$K$1:$K$1324,Movimientos!$C$1:$C$1324,"112 Florida Ave",Movimientos!$B$1:$B$1324,"&lt;="&amp;$B98)</f>
        <v>8724.1700000000037</v>
      </c>
      <c r="S98" s="24">
        <f>SUMIFS('Saldos Iniciales'!$D:$D,'Saldos Iniciales'!$A:$A,"3628 Thomas Ave")+SUMIFS(Movimientos!$K$1:$K$1324,Movimientos!$C$1:$C$1324,"3628 Thomas Ave",Movimientos!$B$1:$B$1324,"&lt;="&amp;$B98)</f>
        <v>15106.099999999997</v>
      </c>
      <c r="T98" s="24">
        <f>SUMIFS('Saldos Iniciales'!$D:$D,'Saldos Iniciales'!$A:$A,"Green Harbor Trust")+SUMIFS(Movimientos!$K$1:$K$1324,Movimientos!$C$1:$C$1324,"Green Harbor Trust",Movimientos!$B$1:$B$1324,"&lt;="&amp;$B98)</f>
        <v>345</v>
      </c>
      <c r="U98" s="24">
        <f>SUMIFS('Saldos Iniciales'!$D:$D,'Saldos Iniciales'!$A:$A,"Go Blue")+SUMIFS(Movimientos!$K$1:$K$1324,Movimientos!$C$1:$C$1324,"Go Blue",Movimientos!$B$1:$B$1324,"&lt;="&amp;$B98)</f>
        <v>7879.4200000000019</v>
      </c>
      <c r="V98" s="24">
        <f>IF(YEAR($B98)*100+MONTH($B98)&lt;--SUBSTITUTE(_xlfn.XLOOKUP("Pacha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LLC",Movimientos!$B$1:$B$1324,"&lt;="&amp;$B98))</f>
        <v>0</v>
      </c>
      <c r="W98" s="24">
        <f>IF(YEAR($B98)*100+MONTH($B98)&lt;--SUBSTITUTE(_xlfn.XLOOKUP("*CFT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Residence",Movimientos!$B$1:$B$1324,"&lt;="&amp;$B98))</f>
        <v>0</v>
      </c>
      <c r="X98" s="24">
        <f>IF(YEAR($B98)*100+MONTH($B98)&lt;--SUBSTITUTE(_xlfn.XLOOKUP("Carmen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Trust",Movimientos!$B$1:$B$1324,"&lt;="&amp;$B98))</f>
        <v>0</v>
      </c>
      <c r="Y98" s="24">
        <f>IF(YEAR($B98)*100+MONTH($B98)&lt;--SUBSTITUTE(_xlfn.XLOOKUP("SIYP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LLC",Movimientos!$B$1:$B$1324,"&lt;="&amp;$B98))</f>
        <v>0</v>
      </c>
      <c r="Z98" s="24">
        <f>IF(YEAR($B98)*100+MONTH($B98)&lt;--SUBSTITUTE(_xlfn.XLOOKUP("Prendamas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SRL",Movimientos!$B$1:$B$1324,"&lt;="&amp;$B98))</f>
        <v>0</v>
      </c>
      <c r="AA98" s="24">
        <f>IF(YEAR($B98)*100+MONTH($B98)&lt;--SUBSTITUTE(_xlfn.XLOOKUP("360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LLC",Movimientos!$B$1:$B$1324,"&lt;="&amp;$B98))</f>
        <v>0</v>
      </c>
      <c r="AB98" s="24">
        <f>IF(YEAR($B98)*100+MONTH($B98)&lt;--SUBSTITUTE(_xlfn.XLOOKUP("Five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",Movimientos!$B$1:$B$1324,"&lt;="&amp;$B98))</f>
        <v>0</v>
      </c>
      <c r="AC98" s="24">
        <f>IF(YEAR($B98)*100+MONTH($B98)&lt;--SUBSTITUTE(_xlfn.XLOOKUP("Nobe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Aparments",Movimientos!$B$1:$B$1324,"&lt;="&amp;$B98))</f>
        <v>0</v>
      </c>
      <c r="AD98" s="24">
        <f>IF(YEAR($B98)*100+MONTH($B98)&lt;--SUBSTITUTE(_xlfn.XLOOKUP("Don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Life",Movimientos!$B$1:$B$1324,"&lt;="&amp;$B98))</f>
        <v>0</v>
      </c>
      <c r="AE98" s="25">
        <f t="shared" si="4"/>
        <v>7431086.5599999996</v>
      </c>
    </row>
    <row r="99" spans="1:31" hidden="1" outlineLevel="1" x14ac:dyDescent="0.3">
      <c r="A99" s="22">
        <f t="shared" si="2"/>
        <v>98</v>
      </c>
      <c r="B99" s="23">
        <v>46240</v>
      </c>
      <c r="C99" s="24">
        <f>SUMIFS('Saldos Iniciales'!$D:$D,'Saldos Iniciales'!$A:$A,"CFT Group")+SUMIFS(Movimientos!$K$1:$K$1324,Movimientos!$C$1:$C$1324,"CFT Group",Movimientos!$B$1:$B$1324,"&lt;="&amp;$B99)</f>
        <v>1153390.4100000001</v>
      </c>
      <c r="D99" s="24">
        <f>SUMIFS('Saldos Iniciales'!$D:$D,'Saldos Iniciales'!$A:$A,"M1B")+SUMIFS(Movimientos!$K$1:$K$1324,Movimientos!$C$1:$C$1324,"M1B",Movimientos!$B$1:$B$1324,"&lt;="&amp;$B99)</f>
        <v>83211.250000000175</v>
      </c>
      <c r="E99" s="24">
        <f>SUMIFS('Saldos Iniciales'!$D:$D,'Saldos Iniciales'!$A:$A,"Durand")+SUMIFS(Movimientos!$K$1:$K$1324,Movimientos!$C$1:$C$1324,"Durand",Movimientos!$B$1:$B$1324,"&lt;="&amp;$B99)</f>
        <v>1669.89</v>
      </c>
      <c r="F99" s="24">
        <f>SUMIFS('Saldos Iniciales'!$D:$D,'Saldos Iniciales'!$A:$A,"A&amp;M Imports")+SUMIFS(Movimientos!$K$1:$K$1324,Movimientos!$C$1:$C$1324,"A&amp;M Imports",Movimientos!$B$1:$B$1324,"&lt;="&amp;$B99)</f>
        <v>1349451.94</v>
      </c>
      <c r="G99" s="24">
        <f>SUMIFS('Saldos Iniciales'!$D:$D,'Saldos Iniciales'!$A:$A,"SSP Capital")+SUMIFS(Movimientos!$K$1:$K$1324,Movimientos!$C$1:$C$1324,"SSP Capital",Movimientos!$B$1:$B$1324,"&lt;="&amp;$B99)</f>
        <v>2102073.7899999996</v>
      </c>
      <c r="H99" s="24">
        <f>SUMIFS('Saldos Iniciales'!$D:$D,'Saldos Iniciales'!$A:$A,"Cross Family Trust")+SUMIFS(Movimientos!$K$1:$K$1324,Movimientos!$C$1:$C$1324,"Cross Family Trust",Movimientos!$B$1:$B$1324,"&lt;="&amp;$B99)</f>
        <v>171496.38</v>
      </c>
      <c r="I99" s="24">
        <f>SUMIFS('Saldos Iniciales'!$D:$D,'Saldos Iniciales'!$A:$A,"Cross Security Trust")+SUMIFS(Movimientos!$K$1:$K$1324,Movimientos!$C$1:$C$1324,"Cross Security Trust",Movimientos!$B$1:$B$1324,"&lt;="&amp;$B99)</f>
        <v>207582.47</v>
      </c>
      <c r="J99" s="24">
        <f>SUMIFS('Saldos Iniciales'!$D:$D,'Saldos Iniciales'!$A:$A,"Electrama")+SUMIFS(Movimientos!$K$1:$K$1324,Movimientos!$C$1:$C$1324,"Electrama",Movimientos!$B$1:$B$1324,"&lt;="&amp;$B99)</f>
        <v>13270.02</v>
      </c>
      <c r="K99" s="24">
        <f>SUMIFS('Saldos Iniciales'!$D:$D,'Saldos Iniciales'!$A:$A,"Sacred Valley Capital")+SUMIFS(Movimientos!$K$1:$K$1324,Movimientos!$C$1:$C$1324,"Sacred Valley Capital",Movimientos!$B$1:$B$1324,"&lt;="&amp;$B99)</f>
        <v>24.450000000000003</v>
      </c>
      <c r="L99" s="24">
        <f>SUMIFS('Saldos Iniciales'!$D:$D,'Saldos Iniciales'!$A:$A,"YWC Capital")+SUMIFS(Movimientos!$K$1:$K$1324,Movimientos!$C$1:$C$1324,"YWC Capital",Movimientos!$B$1:$B$1324,"&lt;="&amp;$B99)</f>
        <v>2177.87</v>
      </c>
      <c r="M99" s="24">
        <f>SUMIFS('Saldos Iniciales'!$D:$D,'Saldos Iniciales'!$A:$A,"Soweto")+SUMIFS(Movimientos!$K$1:$K$1324,Movimientos!$C$1:$C$1324,"Soweto",Movimientos!$B$1:$B$1324,"&lt;="&amp;$B99)</f>
        <v>1454589.72</v>
      </c>
      <c r="N99" s="24">
        <f>SUMIFS('Saldos Iniciales'!$D:$D,'Saldos Iniciales'!$A:$A,"Green Stone Trust")+SUMIFS(Movimientos!$K$1:$K$1324,Movimientos!$C$1:$C$1324,"Green Stone Trust",Movimientos!$B$1:$B$1324,"&lt;="&amp;$B99)</f>
        <v>1968.99</v>
      </c>
      <c r="O99" s="24">
        <f>SUMIFS('Saldos Iniciales'!$D:$D,'Saldos Iniciales'!$A:$A,"EC Auto")+SUMIFS(Movimientos!$K$1:$K$1324,Movimientos!$C$1:$C$1324,"EC Auto",Movimientos!$B$1:$B$1324,"&lt;="&amp;$B99)</f>
        <v>901.34</v>
      </c>
      <c r="P99" s="24">
        <f>SUMIFS('Saldos Iniciales'!$D:$D,'Saldos Iniciales'!$A:$A,"Arbor Capital Properties")+SUMIFS(Movimientos!$K$1:$K$1324,Movimientos!$C$1:$C$1324,"Arbor Capital Properties",Movimientos!$B$1:$B$1324,"&lt;="&amp;$B99)</f>
        <v>1396.08</v>
      </c>
      <c r="Q99" s="24">
        <f>SUMIFS('Saldos Iniciales'!$D:$D,'Saldos Iniciales'!$A:$A,"2515 Overbrook")+SUMIFS(Movimientos!$K$1:$K$1324,Movimientos!$C$1:$C$1324,"2515 Overbrook",Movimientos!$B$1:$B$1324,"&lt;="&amp;$B99)</f>
        <v>13804.239999999962</v>
      </c>
      <c r="R99" s="24">
        <f>SUMIFS('Saldos Iniciales'!$D:$D,'Saldos Iniciales'!$A:$A,"112 Florida Ave")+SUMIFS(Movimientos!$K$1:$K$1324,Movimientos!$C$1:$C$1324,"112 Florida Ave",Movimientos!$B$1:$B$1324,"&lt;="&amp;$B99)</f>
        <v>8724.1700000000037</v>
      </c>
      <c r="S99" s="24">
        <f>SUMIFS('Saldos Iniciales'!$D:$D,'Saldos Iniciales'!$A:$A,"3628 Thomas Ave")+SUMIFS(Movimientos!$K$1:$K$1324,Movimientos!$C$1:$C$1324,"3628 Thomas Ave",Movimientos!$B$1:$B$1324,"&lt;="&amp;$B99)</f>
        <v>15106.099999999997</v>
      </c>
      <c r="T99" s="24">
        <f>SUMIFS('Saldos Iniciales'!$D:$D,'Saldos Iniciales'!$A:$A,"Green Harbor Trust")+SUMIFS(Movimientos!$K$1:$K$1324,Movimientos!$C$1:$C$1324,"Green Harbor Trust",Movimientos!$B$1:$B$1324,"&lt;="&amp;$B99)</f>
        <v>345</v>
      </c>
      <c r="U99" s="24">
        <f>SUMIFS('Saldos Iniciales'!$D:$D,'Saldos Iniciales'!$A:$A,"Go Blue")+SUMIFS(Movimientos!$K$1:$K$1324,Movimientos!$C$1:$C$1324,"Go Blue",Movimientos!$B$1:$B$1324,"&lt;="&amp;$B99)</f>
        <v>12470.040000000003</v>
      </c>
      <c r="V99" s="24">
        <f>IF(YEAR($B99)*100+MONTH($B99)&lt;--SUBSTITUTE(_xlfn.XLOOKUP("Pacha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LLC",Movimientos!$B$1:$B$1324,"&lt;="&amp;$B99))</f>
        <v>0</v>
      </c>
      <c r="W99" s="24">
        <f>IF(YEAR($B99)*100+MONTH($B99)&lt;--SUBSTITUTE(_xlfn.XLOOKUP("*CFT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Residence",Movimientos!$B$1:$B$1324,"&lt;="&amp;$B99))</f>
        <v>0</v>
      </c>
      <c r="X99" s="24">
        <f>IF(YEAR($B99)*100+MONTH($B99)&lt;--SUBSTITUTE(_xlfn.XLOOKUP("Carmen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Trust",Movimientos!$B$1:$B$1324,"&lt;="&amp;$B99))</f>
        <v>0</v>
      </c>
      <c r="Y99" s="24">
        <f>IF(YEAR($B99)*100+MONTH($B99)&lt;--SUBSTITUTE(_xlfn.XLOOKUP("SIYP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LLC",Movimientos!$B$1:$B$1324,"&lt;="&amp;$B99))</f>
        <v>0</v>
      </c>
      <c r="Z99" s="24">
        <f>IF(YEAR($B99)*100+MONTH($B99)&lt;--SUBSTITUTE(_xlfn.XLOOKUP("Prendamas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SRL",Movimientos!$B$1:$B$1324,"&lt;="&amp;$B99))</f>
        <v>0</v>
      </c>
      <c r="AA99" s="24">
        <f>IF(YEAR($B99)*100+MONTH($B99)&lt;--SUBSTITUTE(_xlfn.XLOOKUP("360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LLC",Movimientos!$B$1:$B$1324,"&lt;="&amp;$B99))</f>
        <v>0</v>
      </c>
      <c r="AB99" s="24">
        <f>IF(YEAR($B99)*100+MONTH($B99)&lt;--SUBSTITUTE(_xlfn.XLOOKUP("Five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",Movimientos!$B$1:$B$1324,"&lt;="&amp;$B99))</f>
        <v>0</v>
      </c>
      <c r="AC99" s="24">
        <f>IF(YEAR($B99)*100+MONTH($B99)&lt;--SUBSTITUTE(_xlfn.XLOOKUP("Nobe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Aparments",Movimientos!$B$1:$B$1324,"&lt;="&amp;$B99))</f>
        <v>0</v>
      </c>
      <c r="AD99" s="24">
        <f>IF(YEAR($B99)*100+MONTH($B99)&lt;--SUBSTITUTE(_xlfn.XLOOKUP("Don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Life",Movimientos!$B$1:$B$1324,"&lt;="&amp;$B99))</f>
        <v>0</v>
      </c>
      <c r="AE99" s="25">
        <f t="shared" si="4"/>
        <v>6593654.1499999985</v>
      </c>
    </row>
    <row r="100" spans="1:31" hidden="1" outlineLevel="1" x14ac:dyDescent="0.3">
      <c r="A100" s="22">
        <f t="shared" si="2"/>
        <v>99</v>
      </c>
      <c r="B100" s="23">
        <v>46241</v>
      </c>
      <c r="C100" s="24">
        <f>SUMIFS('Saldos Iniciales'!$D:$D,'Saldos Iniciales'!$A:$A,"CFT Group")+SUMIFS(Movimientos!$K$1:$K$1324,Movimientos!$C$1:$C$1324,"CFT Group",Movimientos!$B$1:$B$1324,"&lt;="&amp;$B100)</f>
        <v>1153390.4100000001</v>
      </c>
      <c r="D100" s="24">
        <f>SUMIFS('Saldos Iniciales'!$D:$D,'Saldos Iniciales'!$A:$A,"M1B")+SUMIFS(Movimientos!$K$1:$K$1324,Movimientos!$C$1:$C$1324,"M1B",Movimientos!$B$1:$B$1324,"&lt;="&amp;$B100)</f>
        <v>83211.250000000175</v>
      </c>
      <c r="E100" s="24">
        <f>SUMIFS('Saldos Iniciales'!$D:$D,'Saldos Iniciales'!$A:$A,"Durand")+SUMIFS(Movimientos!$K$1:$K$1324,Movimientos!$C$1:$C$1324,"Durand",Movimientos!$B$1:$B$1324,"&lt;="&amp;$B100)</f>
        <v>1669.89</v>
      </c>
      <c r="F100" s="24">
        <f>SUMIFS('Saldos Iniciales'!$D:$D,'Saldos Iniciales'!$A:$A,"A&amp;M Imports")+SUMIFS(Movimientos!$K$1:$K$1324,Movimientos!$C$1:$C$1324,"A&amp;M Imports",Movimientos!$B$1:$B$1324,"&lt;="&amp;$B100)</f>
        <v>1349451.94</v>
      </c>
      <c r="G100" s="24">
        <f>SUMIFS('Saldos Iniciales'!$D:$D,'Saldos Iniciales'!$A:$A,"SSP Capital")+SUMIFS(Movimientos!$K$1:$K$1324,Movimientos!$C$1:$C$1324,"SSP Capital",Movimientos!$B$1:$B$1324,"&lt;="&amp;$B100)</f>
        <v>2102073.7899999996</v>
      </c>
      <c r="H100" s="24">
        <f>SUMIFS('Saldos Iniciales'!$D:$D,'Saldos Iniciales'!$A:$A,"Cross Family Trust")+SUMIFS(Movimientos!$K$1:$K$1324,Movimientos!$C$1:$C$1324,"Cross Family Trust",Movimientos!$B$1:$B$1324,"&lt;="&amp;$B100)</f>
        <v>171496.38</v>
      </c>
      <c r="I100" s="24">
        <f>SUMIFS('Saldos Iniciales'!$D:$D,'Saldos Iniciales'!$A:$A,"Cross Security Trust")+SUMIFS(Movimientos!$K$1:$K$1324,Movimientos!$C$1:$C$1324,"Cross Security Trust",Movimientos!$B$1:$B$1324,"&lt;="&amp;$B100)</f>
        <v>207582.47</v>
      </c>
      <c r="J100" s="24">
        <f>SUMIFS('Saldos Iniciales'!$D:$D,'Saldos Iniciales'!$A:$A,"Electrama")+SUMIFS(Movimientos!$K$1:$K$1324,Movimientos!$C$1:$C$1324,"Electrama",Movimientos!$B$1:$B$1324,"&lt;="&amp;$B100)</f>
        <v>13270.02</v>
      </c>
      <c r="K100" s="24">
        <f>SUMIFS('Saldos Iniciales'!$D:$D,'Saldos Iniciales'!$A:$A,"Sacred Valley Capital")+SUMIFS(Movimientos!$K$1:$K$1324,Movimientos!$C$1:$C$1324,"Sacred Valley Capital",Movimientos!$B$1:$B$1324,"&lt;="&amp;$B100)</f>
        <v>24.450000000000003</v>
      </c>
      <c r="L100" s="24">
        <f>SUMIFS('Saldos Iniciales'!$D:$D,'Saldos Iniciales'!$A:$A,"YWC Capital")+SUMIFS(Movimientos!$K$1:$K$1324,Movimientos!$C$1:$C$1324,"YWC Capital",Movimientos!$B$1:$B$1324,"&lt;="&amp;$B100)</f>
        <v>2177.87</v>
      </c>
      <c r="M100" s="24">
        <f>SUMIFS('Saldos Iniciales'!$D:$D,'Saldos Iniciales'!$A:$A,"Soweto")+SUMIFS(Movimientos!$K$1:$K$1324,Movimientos!$C$1:$C$1324,"Soweto",Movimientos!$B$1:$B$1324,"&lt;="&amp;$B100)</f>
        <v>1454589.72</v>
      </c>
      <c r="N100" s="24">
        <f>SUMIFS('Saldos Iniciales'!$D:$D,'Saldos Iniciales'!$A:$A,"Green Stone Trust")+SUMIFS(Movimientos!$K$1:$K$1324,Movimientos!$C$1:$C$1324,"Green Stone Trust",Movimientos!$B$1:$B$1324,"&lt;="&amp;$B100)</f>
        <v>1968.99</v>
      </c>
      <c r="O100" s="24">
        <f>SUMIFS('Saldos Iniciales'!$D:$D,'Saldos Iniciales'!$A:$A,"EC Auto")+SUMIFS(Movimientos!$K$1:$K$1324,Movimientos!$C$1:$C$1324,"EC Auto",Movimientos!$B$1:$B$1324,"&lt;="&amp;$B100)</f>
        <v>901.34</v>
      </c>
      <c r="P100" s="24">
        <f>SUMIFS('Saldos Iniciales'!$D:$D,'Saldos Iniciales'!$A:$A,"Arbor Capital Properties")+SUMIFS(Movimientos!$K$1:$K$1324,Movimientos!$C$1:$C$1324,"Arbor Capital Properties",Movimientos!$B$1:$B$1324,"&lt;="&amp;$B100)</f>
        <v>1396.08</v>
      </c>
      <c r="Q100" s="24">
        <f>SUMIFS('Saldos Iniciales'!$D:$D,'Saldos Iniciales'!$A:$A,"2515 Overbrook")+SUMIFS(Movimientos!$K$1:$K$1324,Movimientos!$C$1:$C$1324,"2515 Overbrook",Movimientos!$B$1:$B$1324,"&lt;="&amp;$B100)</f>
        <v>11259.639999999961</v>
      </c>
      <c r="R100" s="24">
        <f>SUMIFS('Saldos Iniciales'!$D:$D,'Saldos Iniciales'!$A:$A,"112 Florida Ave")+SUMIFS(Movimientos!$K$1:$K$1324,Movimientos!$C$1:$C$1324,"112 Florida Ave",Movimientos!$B$1:$B$1324,"&lt;="&amp;$B100)</f>
        <v>8724.1700000000037</v>
      </c>
      <c r="S100" s="24">
        <f>SUMIFS('Saldos Iniciales'!$D:$D,'Saldos Iniciales'!$A:$A,"3628 Thomas Ave")+SUMIFS(Movimientos!$K$1:$K$1324,Movimientos!$C$1:$C$1324,"3628 Thomas Ave",Movimientos!$B$1:$B$1324,"&lt;="&amp;$B100)</f>
        <v>20106.099999999999</v>
      </c>
      <c r="T100" s="24">
        <f>SUMIFS('Saldos Iniciales'!$D:$D,'Saldos Iniciales'!$A:$A,"Green Harbor Trust")+SUMIFS(Movimientos!$K$1:$K$1324,Movimientos!$C$1:$C$1324,"Green Harbor Trust",Movimientos!$B$1:$B$1324,"&lt;="&amp;$B100)</f>
        <v>345</v>
      </c>
      <c r="U100" s="24">
        <f>SUMIFS('Saldos Iniciales'!$D:$D,'Saldos Iniciales'!$A:$A,"Go Blue")+SUMIFS(Movimientos!$K$1:$K$1324,Movimientos!$C$1:$C$1324,"Go Blue",Movimientos!$B$1:$B$1324,"&lt;="&amp;$B100)</f>
        <v>12470.040000000003</v>
      </c>
      <c r="V100" s="24">
        <f>IF(YEAR($B100)*100+MONTH($B100)&lt;--SUBSTITUTE(_xlfn.XLOOKUP("Pacha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LLC",Movimientos!$B$1:$B$1324,"&lt;="&amp;$B100))</f>
        <v>0</v>
      </c>
      <c r="W100" s="24">
        <f>IF(YEAR($B100)*100+MONTH($B100)&lt;--SUBSTITUTE(_xlfn.XLOOKUP("*CFT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Residence",Movimientos!$B$1:$B$1324,"&lt;="&amp;$B100))</f>
        <v>0</v>
      </c>
      <c r="X100" s="24">
        <f>IF(YEAR($B100)*100+MONTH($B100)&lt;--SUBSTITUTE(_xlfn.XLOOKUP("Carmen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Trust",Movimientos!$B$1:$B$1324,"&lt;="&amp;$B100))</f>
        <v>0</v>
      </c>
      <c r="Y100" s="24">
        <f>IF(YEAR($B100)*100+MONTH($B100)&lt;--SUBSTITUTE(_xlfn.XLOOKUP("SIYP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LLC",Movimientos!$B$1:$B$1324,"&lt;="&amp;$B100))</f>
        <v>0</v>
      </c>
      <c r="Z100" s="24">
        <f>IF(YEAR($B100)*100+MONTH($B100)&lt;--SUBSTITUTE(_xlfn.XLOOKUP("Prendamas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SRL",Movimientos!$B$1:$B$1324,"&lt;="&amp;$B100))</f>
        <v>0</v>
      </c>
      <c r="AA100" s="24">
        <f>IF(YEAR($B100)*100+MONTH($B100)&lt;--SUBSTITUTE(_xlfn.XLOOKUP("360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LLC",Movimientos!$B$1:$B$1324,"&lt;="&amp;$B100))</f>
        <v>0</v>
      </c>
      <c r="AB100" s="24">
        <f>IF(YEAR($B100)*100+MONTH($B100)&lt;--SUBSTITUTE(_xlfn.XLOOKUP("Five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",Movimientos!$B$1:$B$1324,"&lt;="&amp;$B100))</f>
        <v>0</v>
      </c>
      <c r="AC100" s="24">
        <f>IF(YEAR($B100)*100+MONTH($B100)&lt;--SUBSTITUTE(_xlfn.XLOOKUP("Nobe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Aparments",Movimientos!$B$1:$B$1324,"&lt;="&amp;$B100))</f>
        <v>0</v>
      </c>
      <c r="AD100" s="24">
        <f>IF(YEAR($B100)*100+MONTH($B100)&lt;--SUBSTITUTE(_xlfn.XLOOKUP("Don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Life",Movimientos!$B$1:$B$1324,"&lt;="&amp;$B100))</f>
        <v>0</v>
      </c>
      <c r="AE100" s="25">
        <f t="shared" si="4"/>
        <v>6596109.549999998</v>
      </c>
    </row>
    <row r="101" spans="1:31" hidden="1" outlineLevel="1" x14ac:dyDescent="0.3">
      <c r="A101" s="22">
        <f t="shared" si="2"/>
        <v>100</v>
      </c>
      <c r="B101" s="23">
        <v>46242</v>
      </c>
      <c r="C101" s="24">
        <f>SUMIFS('Saldos Iniciales'!$D:$D,'Saldos Iniciales'!$A:$A,"CFT Group")+SUMIFS(Movimientos!$K$1:$K$1324,Movimientos!$C$1:$C$1324,"CFT Group",Movimientos!$B$1:$B$1324,"&lt;="&amp;$B101)</f>
        <v>1153390.4100000001</v>
      </c>
      <c r="D101" s="24">
        <f>SUMIFS('Saldos Iniciales'!$D:$D,'Saldos Iniciales'!$A:$A,"M1B")+SUMIFS(Movimientos!$K$1:$K$1324,Movimientos!$C$1:$C$1324,"M1B",Movimientos!$B$1:$B$1324,"&lt;="&amp;$B101)</f>
        <v>83211.250000000175</v>
      </c>
      <c r="E101" s="24">
        <f>SUMIFS('Saldos Iniciales'!$D:$D,'Saldos Iniciales'!$A:$A,"Durand")+SUMIFS(Movimientos!$K$1:$K$1324,Movimientos!$C$1:$C$1324,"Durand",Movimientos!$B$1:$B$1324,"&lt;="&amp;$B101)</f>
        <v>1669.89</v>
      </c>
      <c r="F101" s="24">
        <f>SUMIFS('Saldos Iniciales'!$D:$D,'Saldos Iniciales'!$A:$A,"A&amp;M Imports")+SUMIFS(Movimientos!$K$1:$K$1324,Movimientos!$C$1:$C$1324,"A&amp;M Imports",Movimientos!$B$1:$B$1324,"&lt;="&amp;$B101)</f>
        <v>1349451.94</v>
      </c>
      <c r="G101" s="24">
        <f>SUMIFS('Saldos Iniciales'!$D:$D,'Saldos Iniciales'!$A:$A,"SSP Capital")+SUMIFS(Movimientos!$K$1:$K$1324,Movimientos!$C$1:$C$1324,"SSP Capital",Movimientos!$B$1:$B$1324,"&lt;="&amp;$B101)</f>
        <v>2102073.7899999996</v>
      </c>
      <c r="H101" s="24">
        <f>SUMIFS('Saldos Iniciales'!$D:$D,'Saldos Iniciales'!$A:$A,"Cross Family Trust")+SUMIFS(Movimientos!$K$1:$K$1324,Movimientos!$C$1:$C$1324,"Cross Family Trust",Movimientos!$B$1:$B$1324,"&lt;="&amp;$B101)</f>
        <v>171496.38</v>
      </c>
      <c r="I101" s="24">
        <f>SUMIFS('Saldos Iniciales'!$D:$D,'Saldos Iniciales'!$A:$A,"Cross Security Trust")+SUMIFS(Movimientos!$K$1:$K$1324,Movimientos!$C$1:$C$1324,"Cross Security Trust",Movimientos!$B$1:$B$1324,"&lt;="&amp;$B101)</f>
        <v>207582.47</v>
      </c>
      <c r="J101" s="24">
        <f>SUMIFS('Saldos Iniciales'!$D:$D,'Saldos Iniciales'!$A:$A,"Electrama")+SUMIFS(Movimientos!$K$1:$K$1324,Movimientos!$C$1:$C$1324,"Electrama",Movimientos!$B$1:$B$1324,"&lt;="&amp;$B101)</f>
        <v>13270.02</v>
      </c>
      <c r="K101" s="24">
        <f>SUMIFS('Saldos Iniciales'!$D:$D,'Saldos Iniciales'!$A:$A,"Sacred Valley Capital")+SUMIFS(Movimientos!$K$1:$K$1324,Movimientos!$C$1:$C$1324,"Sacred Valley Capital",Movimientos!$B$1:$B$1324,"&lt;="&amp;$B101)</f>
        <v>24.450000000000003</v>
      </c>
      <c r="L101" s="24">
        <f>SUMIFS('Saldos Iniciales'!$D:$D,'Saldos Iniciales'!$A:$A,"YWC Capital")+SUMIFS(Movimientos!$K$1:$K$1324,Movimientos!$C$1:$C$1324,"YWC Capital",Movimientos!$B$1:$B$1324,"&lt;="&amp;$B101)</f>
        <v>2177.87</v>
      </c>
      <c r="M101" s="24">
        <f>SUMIFS('Saldos Iniciales'!$D:$D,'Saldos Iniciales'!$A:$A,"Soweto")+SUMIFS(Movimientos!$K$1:$K$1324,Movimientos!$C$1:$C$1324,"Soweto",Movimientos!$B$1:$B$1324,"&lt;="&amp;$B101)</f>
        <v>1454589.72</v>
      </c>
      <c r="N101" s="24">
        <f>SUMIFS('Saldos Iniciales'!$D:$D,'Saldos Iniciales'!$A:$A,"Green Stone Trust")+SUMIFS(Movimientos!$K$1:$K$1324,Movimientos!$C$1:$C$1324,"Green Stone Trust",Movimientos!$B$1:$B$1324,"&lt;="&amp;$B101)</f>
        <v>1968.99</v>
      </c>
      <c r="O101" s="24">
        <f>SUMIFS('Saldos Iniciales'!$D:$D,'Saldos Iniciales'!$A:$A,"EC Auto")+SUMIFS(Movimientos!$K$1:$K$1324,Movimientos!$C$1:$C$1324,"EC Auto",Movimientos!$B$1:$B$1324,"&lt;="&amp;$B101)</f>
        <v>901.34</v>
      </c>
      <c r="P101" s="24">
        <f>SUMIFS('Saldos Iniciales'!$D:$D,'Saldos Iniciales'!$A:$A,"Arbor Capital Properties")+SUMIFS(Movimientos!$K$1:$K$1324,Movimientos!$C$1:$C$1324,"Arbor Capital Properties",Movimientos!$B$1:$B$1324,"&lt;="&amp;$B101)</f>
        <v>1396.08</v>
      </c>
      <c r="Q101" s="24">
        <f>SUMIFS('Saldos Iniciales'!$D:$D,'Saldos Iniciales'!$A:$A,"2515 Overbrook")+SUMIFS(Movimientos!$K$1:$K$1324,Movimientos!$C$1:$C$1324,"2515 Overbrook",Movimientos!$B$1:$B$1324,"&lt;="&amp;$B101)</f>
        <v>11259.639999999961</v>
      </c>
      <c r="R101" s="24">
        <f>SUMIFS('Saldos Iniciales'!$D:$D,'Saldos Iniciales'!$A:$A,"112 Florida Ave")+SUMIFS(Movimientos!$K$1:$K$1324,Movimientos!$C$1:$C$1324,"112 Florida Ave",Movimientos!$B$1:$B$1324,"&lt;="&amp;$B101)</f>
        <v>8724.1700000000037</v>
      </c>
      <c r="S101" s="24">
        <f>SUMIFS('Saldos Iniciales'!$D:$D,'Saldos Iniciales'!$A:$A,"3628 Thomas Ave")+SUMIFS(Movimientos!$K$1:$K$1324,Movimientos!$C$1:$C$1324,"3628 Thomas Ave",Movimientos!$B$1:$B$1324,"&lt;="&amp;$B101)</f>
        <v>20106.099999999999</v>
      </c>
      <c r="T101" s="24">
        <f>SUMIFS('Saldos Iniciales'!$D:$D,'Saldos Iniciales'!$A:$A,"Green Harbor Trust")+SUMIFS(Movimientos!$K$1:$K$1324,Movimientos!$C$1:$C$1324,"Green Harbor Trust",Movimientos!$B$1:$B$1324,"&lt;="&amp;$B101)</f>
        <v>345</v>
      </c>
      <c r="U101" s="24">
        <f>SUMIFS('Saldos Iniciales'!$D:$D,'Saldos Iniciales'!$A:$A,"Go Blue")+SUMIFS(Movimientos!$K$1:$K$1324,Movimientos!$C$1:$C$1324,"Go Blue",Movimientos!$B$1:$B$1324,"&lt;="&amp;$B101)</f>
        <v>12470.040000000003</v>
      </c>
      <c r="V101" s="24">
        <f>IF(YEAR($B101)*100+MONTH($B101)&lt;--SUBSTITUTE(_xlfn.XLOOKUP("Pacha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LLC",Movimientos!$B$1:$B$1324,"&lt;="&amp;$B101))</f>
        <v>0</v>
      </c>
      <c r="W101" s="24">
        <f>IF(YEAR($B101)*100+MONTH($B101)&lt;--SUBSTITUTE(_xlfn.XLOOKUP("*CFT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Residence",Movimientos!$B$1:$B$1324,"&lt;="&amp;$B101))</f>
        <v>0</v>
      </c>
      <c r="X101" s="24">
        <f>IF(YEAR($B101)*100+MONTH($B101)&lt;--SUBSTITUTE(_xlfn.XLOOKUP("Carmen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Trust",Movimientos!$B$1:$B$1324,"&lt;="&amp;$B101))</f>
        <v>0</v>
      </c>
      <c r="Y101" s="24">
        <f>IF(YEAR($B101)*100+MONTH($B101)&lt;--SUBSTITUTE(_xlfn.XLOOKUP("SIYP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LLC",Movimientos!$B$1:$B$1324,"&lt;="&amp;$B101))</f>
        <v>0</v>
      </c>
      <c r="Z101" s="24">
        <f>IF(YEAR($B101)*100+MONTH($B101)&lt;--SUBSTITUTE(_xlfn.XLOOKUP("Prendamas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SRL",Movimientos!$B$1:$B$1324,"&lt;="&amp;$B101))</f>
        <v>0</v>
      </c>
      <c r="AA101" s="24">
        <f>IF(YEAR($B101)*100+MONTH($B101)&lt;--SUBSTITUTE(_xlfn.XLOOKUP("360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LLC",Movimientos!$B$1:$B$1324,"&lt;="&amp;$B101))</f>
        <v>0</v>
      </c>
      <c r="AB101" s="24">
        <f>IF(YEAR($B101)*100+MONTH($B101)&lt;--SUBSTITUTE(_xlfn.XLOOKUP("Five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",Movimientos!$B$1:$B$1324,"&lt;="&amp;$B101))</f>
        <v>0</v>
      </c>
      <c r="AC101" s="24">
        <f>IF(YEAR($B101)*100+MONTH($B101)&lt;--SUBSTITUTE(_xlfn.XLOOKUP("Nobe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Aparments",Movimientos!$B$1:$B$1324,"&lt;="&amp;$B101))</f>
        <v>0</v>
      </c>
      <c r="AD101" s="24">
        <f>IF(YEAR($B101)*100+MONTH($B101)&lt;--SUBSTITUTE(_xlfn.XLOOKUP("Don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Life",Movimientos!$B$1:$B$1324,"&lt;="&amp;$B101))</f>
        <v>0</v>
      </c>
      <c r="AE101" s="25">
        <f t="shared" si="4"/>
        <v>6596109.549999998</v>
      </c>
    </row>
    <row r="102" spans="1:31" hidden="1" outlineLevel="1" x14ac:dyDescent="0.3">
      <c r="A102" s="22">
        <f t="shared" si="2"/>
        <v>101</v>
      </c>
      <c r="B102" s="23">
        <v>46243</v>
      </c>
      <c r="C102" s="24">
        <f>SUMIFS('Saldos Iniciales'!$D:$D,'Saldos Iniciales'!$A:$A,"CFT Group")+SUMIFS(Movimientos!$K$1:$K$1324,Movimientos!$C$1:$C$1324,"CFT Group",Movimientos!$B$1:$B$1324,"&lt;="&amp;$B102)</f>
        <v>1153390.4100000001</v>
      </c>
      <c r="D102" s="24">
        <f>SUMIFS('Saldos Iniciales'!$D:$D,'Saldos Iniciales'!$A:$A,"M1B")+SUMIFS(Movimientos!$K$1:$K$1324,Movimientos!$C$1:$C$1324,"M1B",Movimientos!$B$1:$B$1324,"&lt;="&amp;$B102)</f>
        <v>83211.250000000175</v>
      </c>
      <c r="E102" s="24">
        <f>SUMIFS('Saldos Iniciales'!$D:$D,'Saldos Iniciales'!$A:$A,"Durand")+SUMIFS(Movimientos!$K$1:$K$1324,Movimientos!$C$1:$C$1324,"Durand",Movimientos!$B$1:$B$1324,"&lt;="&amp;$B102)</f>
        <v>1669.89</v>
      </c>
      <c r="F102" s="24">
        <f>SUMIFS('Saldos Iniciales'!$D:$D,'Saldos Iniciales'!$A:$A,"A&amp;M Imports")+SUMIFS(Movimientos!$K$1:$K$1324,Movimientos!$C$1:$C$1324,"A&amp;M Imports",Movimientos!$B$1:$B$1324,"&lt;="&amp;$B102)</f>
        <v>1349451.94</v>
      </c>
      <c r="G102" s="24">
        <f>SUMIFS('Saldos Iniciales'!$D:$D,'Saldos Iniciales'!$A:$A,"SSP Capital")+SUMIFS(Movimientos!$K$1:$K$1324,Movimientos!$C$1:$C$1324,"SSP Capital",Movimientos!$B$1:$B$1324,"&lt;="&amp;$B102)</f>
        <v>2102073.7899999996</v>
      </c>
      <c r="H102" s="24">
        <f>SUMIFS('Saldos Iniciales'!$D:$D,'Saldos Iniciales'!$A:$A,"Cross Family Trust")+SUMIFS(Movimientos!$K$1:$K$1324,Movimientos!$C$1:$C$1324,"Cross Family Trust",Movimientos!$B$1:$B$1324,"&lt;="&amp;$B102)</f>
        <v>171496.38</v>
      </c>
      <c r="I102" s="24">
        <f>SUMIFS('Saldos Iniciales'!$D:$D,'Saldos Iniciales'!$A:$A,"Cross Security Trust")+SUMIFS(Movimientos!$K$1:$K$1324,Movimientos!$C$1:$C$1324,"Cross Security Trust",Movimientos!$B$1:$B$1324,"&lt;="&amp;$B102)</f>
        <v>207582.47</v>
      </c>
      <c r="J102" s="24">
        <f>SUMIFS('Saldos Iniciales'!$D:$D,'Saldos Iniciales'!$A:$A,"Electrama")+SUMIFS(Movimientos!$K$1:$K$1324,Movimientos!$C$1:$C$1324,"Electrama",Movimientos!$B$1:$B$1324,"&lt;="&amp;$B102)</f>
        <v>13270.02</v>
      </c>
      <c r="K102" s="24">
        <f>SUMIFS('Saldos Iniciales'!$D:$D,'Saldos Iniciales'!$A:$A,"Sacred Valley Capital")+SUMIFS(Movimientos!$K$1:$K$1324,Movimientos!$C$1:$C$1324,"Sacred Valley Capital",Movimientos!$B$1:$B$1324,"&lt;="&amp;$B102)</f>
        <v>24.450000000000003</v>
      </c>
      <c r="L102" s="24">
        <f>SUMIFS('Saldos Iniciales'!$D:$D,'Saldos Iniciales'!$A:$A,"YWC Capital")+SUMIFS(Movimientos!$K$1:$K$1324,Movimientos!$C$1:$C$1324,"YWC Capital",Movimientos!$B$1:$B$1324,"&lt;="&amp;$B102)</f>
        <v>2177.87</v>
      </c>
      <c r="M102" s="24">
        <f>SUMIFS('Saldos Iniciales'!$D:$D,'Saldos Iniciales'!$A:$A,"Soweto")+SUMIFS(Movimientos!$K$1:$K$1324,Movimientos!$C$1:$C$1324,"Soweto",Movimientos!$B$1:$B$1324,"&lt;="&amp;$B102)</f>
        <v>1454589.72</v>
      </c>
      <c r="N102" s="24">
        <f>SUMIFS('Saldos Iniciales'!$D:$D,'Saldos Iniciales'!$A:$A,"Green Stone Trust")+SUMIFS(Movimientos!$K$1:$K$1324,Movimientos!$C$1:$C$1324,"Green Stone Trust",Movimientos!$B$1:$B$1324,"&lt;="&amp;$B102)</f>
        <v>1968.99</v>
      </c>
      <c r="O102" s="24">
        <f>SUMIFS('Saldos Iniciales'!$D:$D,'Saldos Iniciales'!$A:$A,"EC Auto")+SUMIFS(Movimientos!$K$1:$K$1324,Movimientos!$C$1:$C$1324,"EC Auto",Movimientos!$B$1:$B$1324,"&lt;="&amp;$B102)</f>
        <v>901.34</v>
      </c>
      <c r="P102" s="24">
        <f>SUMIFS('Saldos Iniciales'!$D:$D,'Saldos Iniciales'!$A:$A,"Arbor Capital Properties")+SUMIFS(Movimientos!$K$1:$K$1324,Movimientos!$C$1:$C$1324,"Arbor Capital Properties",Movimientos!$B$1:$B$1324,"&lt;="&amp;$B102)</f>
        <v>1396.08</v>
      </c>
      <c r="Q102" s="24">
        <f>SUMIFS('Saldos Iniciales'!$D:$D,'Saldos Iniciales'!$A:$A,"2515 Overbrook")+SUMIFS(Movimientos!$K$1:$K$1324,Movimientos!$C$1:$C$1324,"2515 Overbrook",Movimientos!$B$1:$B$1324,"&lt;="&amp;$B102)</f>
        <v>11259.639999999961</v>
      </c>
      <c r="R102" s="24">
        <f>SUMIFS('Saldos Iniciales'!$D:$D,'Saldos Iniciales'!$A:$A,"112 Florida Ave")+SUMIFS(Movimientos!$K$1:$K$1324,Movimientos!$C$1:$C$1324,"112 Florida Ave",Movimientos!$B$1:$B$1324,"&lt;="&amp;$B102)</f>
        <v>8724.1700000000037</v>
      </c>
      <c r="S102" s="24">
        <f>SUMIFS('Saldos Iniciales'!$D:$D,'Saldos Iniciales'!$A:$A,"3628 Thomas Ave")+SUMIFS(Movimientos!$K$1:$K$1324,Movimientos!$C$1:$C$1324,"3628 Thomas Ave",Movimientos!$B$1:$B$1324,"&lt;="&amp;$B102)</f>
        <v>20106.099999999999</v>
      </c>
      <c r="T102" s="24">
        <f>SUMIFS('Saldos Iniciales'!$D:$D,'Saldos Iniciales'!$A:$A,"Green Harbor Trust")+SUMIFS(Movimientos!$K$1:$K$1324,Movimientos!$C$1:$C$1324,"Green Harbor Trust",Movimientos!$B$1:$B$1324,"&lt;="&amp;$B102)</f>
        <v>345</v>
      </c>
      <c r="U102" s="24">
        <f>SUMIFS('Saldos Iniciales'!$D:$D,'Saldos Iniciales'!$A:$A,"Go Blue")+SUMIFS(Movimientos!$K$1:$K$1324,Movimientos!$C$1:$C$1324,"Go Blue",Movimientos!$B$1:$B$1324,"&lt;="&amp;$B102)</f>
        <v>12470.040000000003</v>
      </c>
      <c r="V102" s="24">
        <f>IF(YEAR($B102)*100+MONTH($B102)&lt;--SUBSTITUTE(_xlfn.XLOOKUP("Pacha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LLC",Movimientos!$B$1:$B$1324,"&lt;="&amp;$B102))</f>
        <v>0</v>
      </c>
      <c r="W102" s="24">
        <f>IF(YEAR($B102)*100+MONTH($B102)&lt;--SUBSTITUTE(_xlfn.XLOOKUP("*CFT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Residence",Movimientos!$B$1:$B$1324,"&lt;="&amp;$B102))</f>
        <v>0</v>
      </c>
      <c r="X102" s="24">
        <f>IF(YEAR($B102)*100+MONTH($B102)&lt;--SUBSTITUTE(_xlfn.XLOOKUP("Carmen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Trust",Movimientos!$B$1:$B$1324,"&lt;="&amp;$B102))</f>
        <v>0</v>
      </c>
      <c r="Y102" s="24">
        <f>IF(YEAR($B102)*100+MONTH($B102)&lt;--SUBSTITUTE(_xlfn.XLOOKUP("SIYP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LLC",Movimientos!$B$1:$B$1324,"&lt;="&amp;$B102))</f>
        <v>0</v>
      </c>
      <c r="Z102" s="24">
        <f>IF(YEAR($B102)*100+MONTH($B102)&lt;--SUBSTITUTE(_xlfn.XLOOKUP("Prendamas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SRL",Movimientos!$B$1:$B$1324,"&lt;="&amp;$B102))</f>
        <v>0</v>
      </c>
      <c r="AA102" s="24">
        <f>IF(YEAR($B102)*100+MONTH($B102)&lt;--SUBSTITUTE(_xlfn.XLOOKUP("360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LLC",Movimientos!$B$1:$B$1324,"&lt;="&amp;$B102))</f>
        <v>0</v>
      </c>
      <c r="AB102" s="24">
        <f>IF(YEAR($B102)*100+MONTH($B102)&lt;--SUBSTITUTE(_xlfn.XLOOKUP("Five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",Movimientos!$B$1:$B$1324,"&lt;="&amp;$B102))</f>
        <v>0</v>
      </c>
      <c r="AC102" s="24">
        <f>IF(YEAR($B102)*100+MONTH($B102)&lt;--SUBSTITUTE(_xlfn.XLOOKUP("Nobe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Aparments",Movimientos!$B$1:$B$1324,"&lt;="&amp;$B102))</f>
        <v>0</v>
      </c>
      <c r="AD102" s="24">
        <f>IF(YEAR($B102)*100+MONTH($B102)&lt;--SUBSTITUTE(_xlfn.XLOOKUP("Don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Life",Movimientos!$B$1:$B$1324,"&lt;="&amp;$B102))</f>
        <v>0</v>
      </c>
      <c r="AE102" s="25">
        <f t="shared" si="4"/>
        <v>6596109.549999998</v>
      </c>
    </row>
    <row r="103" spans="1:31" hidden="1" outlineLevel="1" x14ac:dyDescent="0.3">
      <c r="A103" s="22">
        <f t="shared" si="2"/>
        <v>102</v>
      </c>
      <c r="B103" s="23">
        <v>46244</v>
      </c>
      <c r="C103" s="24">
        <f>SUMIFS('Saldos Iniciales'!$D:$D,'Saldos Iniciales'!$A:$A,"CFT Group")+SUMIFS(Movimientos!$K$1:$K$1324,Movimientos!$C$1:$C$1324,"CFT Group",Movimientos!$B$1:$B$1324,"&lt;="&amp;$B103)</f>
        <v>1260076.9800000002</v>
      </c>
      <c r="D103" s="24">
        <f>SUMIFS('Saldos Iniciales'!$D:$D,'Saldos Iniciales'!$A:$A,"M1B")+SUMIFS(Movimientos!$K$1:$K$1324,Movimientos!$C$1:$C$1324,"M1B",Movimientos!$B$1:$B$1324,"&lt;="&amp;$B103)</f>
        <v>83211.250000000175</v>
      </c>
      <c r="E103" s="24">
        <f>SUMIFS('Saldos Iniciales'!$D:$D,'Saldos Iniciales'!$A:$A,"Durand")+SUMIFS(Movimientos!$K$1:$K$1324,Movimientos!$C$1:$C$1324,"Durand",Movimientos!$B$1:$B$1324,"&lt;="&amp;$B103)</f>
        <v>1669.89</v>
      </c>
      <c r="F103" s="24">
        <f>SUMIFS('Saldos Iniciales'!$D:$D,'Saldos Iniciales'!$A:$A,"A&amp;M Imports")+SUMIFS(Movimientos!$K$1:$K$1324,Movimientos!$C$1:$C$1324,"A&amp;M Imports",Movimientos!$B$1:$B$1324,"&lt;="&amp;$B103)</f>
        <v>1349451.94</v>
      </c>
      <c r="G103" s="24">
        <f>SUMIFS('Saldos Iniciales'!$D:$D,'Saldos Iniciales'!$A:$A,"SSP Capital")+SUMIFS(Movimientos!$K$1:$K$1324,Movimientos!$C$1:$C$1324,"SSP Capital",Movimientos!$B$1:$B$1324,"&lt;="&amp;$B103)</f>
        <v>2098801.8999999994</v>
      </c>
      <c r="H103" s="24">
        <f>SUMIFS('Saldos Iniciales'!$D:$D,'Saldos Iniciales'!$A:$A,"Cross Family Trust")+SUMIFS(Movimientos!$K$1:$K$1324,Movimientos!$C$1:$C$1324,"Cross Family Trust",Movimientos!$B$1:$B$1324,"&lt;="&amp;$B103)</f>
        <v>171496.38</v>
      </c>
      <c r="I103" s="24">
        <f>SUMIFS('Saldos Iniciales'!$D:$D,'Saldos Iniciales'!$A:$A,"Cross Security Trust")+SUMIFS(Movimientos!$K$1:$K$1324,Movimientos!$C$1:$C$1324,"Cross Security Trust",Movimientos!$B$1:$B$1324,"&lt;="&amp;$B103)</f>
        <v>207582.47</v>
      </c>
      <c r="J103" s="24">
        <f>SUMIFS('Saldos Iniciales'!$D:$D,'Saldos Iniciales'!$A:$A,"Electrama")+SUMIFS(Movimientos!$K$1:$K$1324,Movimientos!$C$1:$C$1324,"Electrama",Movimientos!$B$1:$B$1324,"&lt;="&amp;$B103)</f>
        <v>13270.02</v>
      </c>
      <c r="K103" s="24">
        <f>SUMIFS('Saldos Iniciales'!$D:$D,'Saldos Iniciales'!$A:$A,"Sacred Valley Capital")+SUMIFS(Movimientos!$K$1:$K$1324,Movimientos!$C$1:$C$1324,"Sacred Valley Capital",Movimientos!$B$1:$B$1324,"&lt;="&amp;$B103)</f>
        <v>24.450000000000003</v>
      </c>
      <c r="L103" s="24">
        <f>SUMIFS('Saldos Iniciales'!$D:$D,'Saldos Iniciales'!$A:$A,"YWC Capital")+SUMIFS(Movimientos!$K$1:$K$1324,Movimientos!$C$1:$C$1324,"YWC Capital",Movimientos!$B$1:$B$1324,"&lt;="&amp;$B103)</f>
        <v>2177.87</v>
      </c>
      <c r="M103" s="24">
        <f>SUMIFS('Saldos Iniciales'!$D:$D,'Saldos Iniciales'!$A:$A,"Soweto")+SUMIFS(Movimientos!$K$1:$K$1324,Movimientos!$C$1:$C$1324,"Soweto",Movimientos!$B$1:$B$1324,"&lt;="&amp;$B103)</f>
        <v>1454589.72</v>
      </c>
      <c r="N103" s="24">
        <f>SUMIFS('Saldos Iniciales'!$D:$D,'Saldos Iniciales'!$A:$A,"Green Stone Trust")+SUMIFS(Movimientos!$K$1:$K$1324,Movimientos!$C$1:$C$1324,"Green Stone Trust",Movimientos!$B$1:$B$1324,"&lt;="&amp;$B103)</f>
        <v>1968.99</v>
      </c>
      <c r="O103" s="24">
        <f>SUMIFS('Saldos Iniciales'!$D:$D,'Saldos Iniciales'!$A:$A,"EC Auto")+SUMIFS(Movimientos!$K$1:$K$1324,Movimientos!$C$1:$C$1324,"EC Auto",Movimientos!$B$1:$B$1324,"&lt;="&amp;$B103)</f>
        <v>901.34</v>
      </c>
      <c r="P103" s="24">
        <f>SUMIFS('Saldos Iniciales'!$D:$D,'Saldos Iniciales'!$A:$A,"Arbor Capital Properties")+SUMIFS(Movimientos!$K$1:$K$1324,Movimientos!$C$1:$C$1324,"Arbor Capital Properties",Movimientos!$B$1:$B$1324,"&lt;="&amp;$B103)</f>
        <v>1396.08</v>
      </c>
      <c r="Q103" s="24">
        <f>SUMIFS('Saldos Iniciales'!$D:$D,'Saldos Iniciales'!$A:$A,"2515 Overbrook")+SUMIFS(Movimientos!$K$1:$K$1324,Movimientos!$C$1:$C$1324,"2515 Overbrook",Movimientos!$B$1:$B$1324,"&lt;="&amp;$B103)</f>
        <v>3700.7099999999591</v>
      </c>
      <c r="R103" s="24">
        <f>SUMIFS('Saldos Iniciales'!$D:$D,'Saldos Iniciales'!$A:$A,"112 Florida Ave")+SUMIFS(Movimientos!$K$1:$K$1324,Movimientos!$C$1:$C$1324,"112 Florida Ave",Movimientos!$B$1:$B$1324,"&lt;="&amp;$B103)</f>
        <v>8724.1700000000037</v>
      </c>
      <c r="S103" s="24">
        <f>SUMIFS('Saldos Iniciales'!$D:$D,'Saldos Iniciales'!$A:$A,"3628 Thomas Ave")+SUMIFS(Movimientos!$K$1:$K$1324,Movimientos!$C$1:$C$1324,"3628 Thomas Ave",Movimientos!$B$1:$B$1324,"&lt;="&amp;$B103)</f>
        <v>20106.099999999999</v>
      </c>
      <c r="T103" s="24">
        <f>SUMIFS('Saldos Iniciales'!$D:$D,'Saldos Iniciales'!$A:$A,"Green Harbor Trust")+SUMIFS(Movimientos!$K$1:$K$1324,Movimientos!$C$1:$C$1324,"Green Harbor Trust",Movimientos!$B$1:$B$1324,"&lt;="&amp;$B103)</f>
        <v>345</v>
      </c>
      <c r="U103" s="24">
        <f>SUMIFS('Saldos Iniciales'!$D:$D,'Saldos Iniciales'!$A:$A,"Go Blue")+SUMIFS(Movimientos!$K$1:$K$1324,Movimientos!$C$1:$C$1324,"Go Blue",Movimientos!$B$1:$B$1324,"&lt;="&amp;$B103)</f>
        <v>12470.040000000003</v>
      </c>
      <c r="V103" s="24">
        <f>IF(YEAR($B103)*100+MONTH($B103)&lt;--SUBSTITUTE(_xlfn.XLOOKUP("Pacha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LLC",Movimientos!$B$1:$B$1324,"&lt;="&amp;$B103))</f>
        <v>0</v>
      </c>
      <c r="W103" s="24">
        <f>IF(YEAR($B103)*100+MONTH($B103)&lt;--SUBSTITUTE(_xlfn.XLOOKUP("*CFT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Residence",Movimientos!$B$1:$B$1324,"&lt;="&amp;$B103))</f>
        <v>0</v>
      </c>
      <c r="X103" s="24">
        <f>IF(YEAR($B103)*100+MONTH($B103)&lt;--SUBSTITUTE(_xlfn.XLOOKUP("Carmen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Trust",Movimientos!$B$1:$B$1324,"&lt;="&amp;$B103))</f>
        <v>0</v>
      </c>
      <c r="Y103" s="24">
        <f>IF(YEAR($B103)*100+MONTH($B103)&lt;--SUBSTITUTE(_xlfn.XLOOKUP("SIYP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LLC",Movimientos!$B$1:$B$1324,"&lt;="&amp;$B103))</f>
        <v>0</v>
      </c>
      <c r="Z103" s="24">
        <f>IF(YEAR($B103)*100+MONTH($B103)&lt;--SUBSTITUTE(_xlfn.XLOOKUP("Prendamas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SRL",Movimientos!$B$1:$B$1324,"&lt;="&amp;$B103))</f>
        <v>0</v>
      </c>
      <c r="AA103" s="24">
        <f>IF(YEAR($B103)*100+MONTH($B103)&lt;--SUBSTITUTE(_xlfn.XLOOKUP("360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LLC",Movimientos!$B$1:$B$1324,"&lt;="&amp;$B103))</f>
        <v>0</v>
      </c>
      <c r="AB103" s="24">
        <f>IF(YEAR($B103)*100+MONTH($B103)&lt;--SUBSTITUTE(_xlfn.XLOOKUP("Five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",Movimientos!$B$1:$B$1324,"&lt;="&amp;$B103))</f>
        <v>0</v>
      </c>
      <c r="AC103" s="24">
        <f>IF(YEAR($B103)*100+MONTH($B103)&lt;--SUBSTITUTE(_xlfn.XLOOKUP("Nobe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Aparments",Movimientos!$B$1:$B$1324,"&lt;="&amp;$B103))</f>
        <v>0</v>
      </c>
      <c r="AD103" s="24">
        <f>IF(YEAR($B103)*100+MONTH($B103)&lt;--SUBSTITUTE(_xlfn.XLOOKUP("Don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Life",Movimientos!$B$1:$B$1324,"&lt;="&amp;$B103))</f>
        <v>0</v>
      </c>
      <c r="AE103" s="25">
        <f t="shared" si="4"/>
        <v>6691965.2999999989</v>
      </c>
    </row>
    <row r="104" spans="1:31" hidden="1" outlineLevel="1" x14ac:dyDescent="0.3">
      <c r="A104" s="22">
        <f t="shared" si="2"/>
        <v>103</v>
      </c>
      <c r="B104" s="23">
        <v>46245</v>
      </c>
      <c r="C104" s="24">
        <f>SUMIFS('Saldos Iniciales'!$D:$D,'Saldos Iniciales'!$A:$A,"CFT Group")+SUMIFS(Movimientos!$K$1:$K$1324,Movimientos!$C$1:$C$1324,"CFT Group",Movimientos!$B$1:$B$1324,"&lt;="&amp;$B104)</f>
        <v>1260076.9800000002</v>
      </c>
      <c r="D104" s="24">
        <f>SUMIFS('Saldos Iniciales'!$D:$D,'Saldos Iniciales'!$A:$A,"M1B")+SUMIFS(Movimientos!$K$1:$K$1324,Movimientos!$C$1:$C$1324,"M1B",Movimientos!$B$1:$B$1324,"&lt;="&amp;$B104)</f>
        <v>83211.250000000175</v>
      </c>
      <c r="E104" s="24">
        <f>SUMIFS('Saldos Iniciales'!$D:$D,'Saldos Iniciales'!$A:$A,"Durand")+SUMIFS(Movimientos!$K$1:$K$1324,Movimientos!$C$1:$C$1324,"Durand",Movimientos!$B$1:$B$1324,"&lt;="&amp;$B104)</f>
        <v>1669.89</v>
      </c>
      <c r="F104" s="24">
        <f>SUMIFS('Saldos Iniciales'!$D:$D,'Saldos Iniciales'!$A:$A,"A&amp;M Imports")+SUMIFS(Movimientos!$K$1:$K$1324,Movimientos!$C$1:$C$1324,"A&amp;M Imports",Movimientos!$B$1:$B$1324,"&lt;="&amp;$B104)</f>
        <v>1349451.94</v>
      </c>
      <c r="G104" s="24">
        <f>SUMIFS('Saldos Iniciales'!$D:$D,'Saldos Iniciales'!$A:$A,"SSP Capital")+SUMIFS(Movimientos!$K$1:$K$1324,Movimientos!$C$1:$C$1324,"SSP Capital",Movimientos!$B$1:$B$1324,"&lt;="&amp;$B104)</f>
        <v>1622920.8199999996</v>
      </c>
      <c r="H104" s="24">
        <f>SUMIFS('Saldos Iniciales'!$D:$D,'Saldos Iniciales'!$A:$A,"Cross Family Trust")+SUMIFS(Movimientos!$K$1:$K$1324,Movimientos!$C$1:$C$1324,"Cross Family Trust",Movimientos!$B$1:$B$1324,"&lt;="&amp;$B104)</f>
        <v>171496.38</v>
      </c>
      <c r="I104" s="24">
        <f>SUMIFS('Saldos Iniciales'!$D:$D,'Saldos Iniciales'!$A:$A,"Cross Security Trust")+SUMIFS(Movimientos!$K$1:$K$1324,Movimientos!$C$1:$C$1324,"Cross Security Trust",Movimientos!$B$1:$B$1324,"&lt;="&amp;$B104)</f>
        <v>207582.47</v>
      </c>
      <c r="J104" s="24">
        <f>SUMIFS('Saldos Iniciales'!$D:$D,'Saldos Iniciales'!$A:$A,"Electrama")+SUMIFS(Movimientos!$K$1:$K$1324,Movimientos!$C$1:$C$1324,"Electrama",Movimientos!$B$1:$B$1324,"&lt;="&amp;$B104)</f>
        <v>13270.02</v>
      </c>
      <c r="K104" s="24">
        <f>SUMIFS('Saldos Iniciales'!$D:$D,'Saldos Iniciales'!$A:$A,"Sacred Valley Capital")+SUMIFS(Movimientos!$K$1:$K$1324,Movimientos!$C$1:$C$1324,"Sacred Valley Capital",Movimientos!$B$1:$B$1324,"&lt;="&amp;$B104)</f>
        <v>24.450000000000003</v>
      </c>
      <c r="L104" s="24">
        <f>SUMIFS('Saldos Iniciales'!$D:$D,'Saldos Iniciales'!$A:$A,"YWC Capital")+SUMIFS(Movimientos!$K$1:$K$1324,Movimientos!$C$1:$C$1324,"YWC Capital",Movimientos!$B$1:$B$1324,"&lt;="&amp;$B104)</f>
        <v>2177.87</v>
      </c>
      <c r="M104" s="24">
        <f>SUMIFS('Saldos Iniciales'!$D:$D,'Saldos Iniciales'!$A:$A,"Soweto")+SUMIFS(Movimientos!$K$1:$K$1324,Movimientos!$C$1:$C$1324,"Soweto",Movimientos!$B$1:$B$1324,"&lt;="&amp;$B104)</f>
        <v>1454589.72</v>
      </c>
      <c r="N104" s="24">
        <f>SUMIFS('Saldos Iniciales'!$D:$D,'Saldos Iniciales'!$A:$A,"Green Stone Trust")+SUMIFS(Movimientos!$K$1:$K$1324,Movimientos!$C$1:$C$1324,"Green Stone Trust",Movimientos!$B$1:$B$1324,"&lt;="&amp;$B104)</f>
        <v>1968.99</v>
      </c>
      <c r="O104" s="24">
        <f>SUMIFS('Saldos Iniciales'!$D:$D,'Saldos Iniciales'!$A:$A,"EC Auto")+SUMIFS(Movimientos!$K$1:$K$1324,Movimientos!$C$1:$C$1324,"EC Auto",Movimientos!$B$1:$B$1324,"&lt;="&amp;$B104)</f>
        <v>901.34</v>
      </c>
      <c r="P104" s="24">
        <f>SUMIFS('Saldos Iniciales'!$D:$D,'Saldos Iniciales'!$A:$A,"Arbor Capital Properties")+SUMIFS(Movimientos!$K$1:$K$1324,Movimientos!$C$1:$C$1324,"Arbor Capital Properties",Movimientos!$B$1:$B$1324,"&lt;="&amp;$B104)</f>
        <v>1396.08</v>
      </c>
      <c r="Q104" s="24">
        <f>SUMIFS('Saldos Iniciales'!$D:$D,'Saldos Iniciales'!$A:$A,"2515 Overbrook")+SUMIFS(Movimientos!$K$1:$K$1324,Movimientos!$C$1:$C$1324,"2515 Overbrook",Movimientos!$B$1:$B$1324,"&lt;="&amp;$B104)</f>
        <v>3700.7099999999591</v>
      </c>
      <c r="R104" s="24">
        <f>SUMIFS('Saldos Iniciales'!$D:$D,'Saldos Iniciales'!$A:$A,"112 Florida Ave")+SUMIFS(Movimientos!$K$1:$K$1324,Movimientos!$C$1:$C$1324,"112 Florida Ave",Movimientos!$B$1:$B$1324,"&lt;="&amp;$B104)</f>
        <v>8724.1700000000037</v>
      </c>
      <c r="S104" s="24">
        <f>SUMIFS('Saldos Iniciales'!$D:$D,'Saldos Iniciales'!$A:$A,"3628 Thomas Ave")+SUMIFS(Movimientos!$K$1:$K$1324,Movimientos!$C$1:$C$1324,"3628 Thomas Ave",Movimientos!$B$1:$B$1324,"&lt;="&amp;$B104)</f>
        <v>19442.439999999995</v>
      </c>
      <c r="T104" s="24">
        <f>SUMIFS('Saldos Iniciales'!$D:$D,'Saldos Iniciales'!$A:$A,"Green Harbor Trust")+SUMIFS(Movimientos!$K$1:$K$1324,Movimientos!$C$1:$C$1324,"Green Harbor Trust",Movimientos!$B$1:$B$1324,"&lt;="&amp;$B104)</f>
        <v>345</v>
      </c>
      <c r="U104" s="24">
        <f>SUMIFS('Saldos Iniciales'!$D:$D,'Saldos Iniciales'!$A:$A,"Go Blue")+SUMIFS(Movimientos!$K$1:$K$1324,Movimientos!$C$1:$C$1324,"Go Blue",Movimientos!$B$1:$B$1324,"&lt;="&amp;$B104)</f>
        <v>12470.040000000003</v>
      </c>
      <c r="V104" s="24">
        <f>IF(YEAR($B104)*100+MONTH($B104)&lt;--SUBSTITUTE(_xlfn.XLOOKUP("Pacha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LLC",Movimientos!$B$1:$B$1324,"&lt;="&amp;$B104))</f>
        <v>0</v>
      </c>
      <c r="W104" s="24">
        <f>IF(YEAR($B104)*100+MONTH($B104)&lt;--SUBSTITUTE(_xlfn.XLOOKUP("*CFT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Residence",Movimientos!$B$1:$B$1324,"&lt;="&amp;$B104))</f>
        <v>0</v>
      </c>
      <c r="X104" s="24">
        <f>IF(YEAR($B104)*100+MONTH($B104)&lt;--SUBSTITUTE(_xlfn.XLOOKUP("Carmen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Trust",Movimientos!$B$1:$B$1324,"&lt;="&amp;$B104))</f>
        <v>0</v>
      </c>
      <c r="Y104" s="24">
        <f>IF(YEAR($B104)*100+MONTH($B104)&lt;--SUBSTITUTE(_xlfn.XLOOKUP("SIYP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LLC",Movimientos!$B$1:$B$1324,"&lt;="&amp;$B104))</f>
        <v>0</v>
      </c>
      <c r="Z104" s="24">
        <f>IF(YEAR($B104)*100+MONTH($B104)&lt;--SUBSTITUTE(_xlfn.XLOOKUP("Prendamas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SRL",Movimientos!$B$1:$B$1324,"&lt;="&amp;$B104))</f>
        <v>0</v>
      </c>
      <c r="AA104" s="24">
        <f>IF(YEAR($B104)*100+MONTH($B104)&lt;--SUBSTITUTE(_xlfn.XLOOKUP("360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LLC",Movimientos!$B$1:$B$1324,"&lt;="&amp;$B104))</f>
        <v>0</v>
      </c>
      <c r="AB104" s="24">
        <f>IF(YEAR($B104)*100+MONTH($B104)&lt;--SUBSTITUTE(_xlfn.XLOOKUP("Five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",Movimientos!$B$1:$B$1324,"&lt;="&amp;$B104))</f>
        <v>0</v>
      </c>
      <c r="AC104" s="24">
        <f>IF(YEAR($B104)*100+MONTH($B104)&lt;--SUBSTITUTE(_xlfn.XLOOKUP("Nobe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Aparments",Movimientos!$B$1:$B$1324,"&lt;="&amp;$B104))</f>
        <v>0</v>
      </c>
      <c r="AD104" s="24">
        <f>IF(YEAR($B104)*100+MONTH($B104)&lt;--SUBSTITUTE(_xlfn.XLOOKUP("Don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Life",Movimientos!$B$1:$B$1324,"&lt;="&amp;$B104))</f>
        <v>0</v>
      </c>
      <c r="AE104" s="25">
        <f t="shared" si="4"/>
        <v>6215420.5599999996</v>
      </c>
    </row>
    <row r="105" spans="1:31" hidden="1" outlineLevel="1" x14ac:dyDescent="0.3">
      <c r="A105" s="22">
        <f t="shared" si="2"/>
        <v>104</v>
      </c>
      <c r="B105" s="23">
        <v>46246</v>
      </c>
      <c r="C105" s="24">
        <f>SUMIFS('Saldos Iniciales'!$D:$D,'Saldos Iniciales'!$A:$A,"CFT Group")+SUMIFS(Movimientos!$K$1:$K$1324,Movimientos!$C$1:$C$1324,"CFT Group",Movimientos!$B$1:$B$1324,"&lt;="&amp;$B105)</f>
        <v>1260076.9800000002</v>
      </c>
      <c r="D105" s="24">
        <f>SUMIFS('Saldos Iniciales'!$D:$D,'Saldos Iniciales'!$A:$A,"M1B")+SUMIFS(Movimientos!$K$1:$K$1324,Movimientos!$C$1:$C$1324,"M1B",Movimientos!$B$1:$B$1324,"&lt;="&amp;$B105)</f>
        <v>83211.250000000175</v>
      </c>
      <c r="E105" s="24">
        <f>SUMIFS('Saldos Iniciales'!$D:$D,'Saldos Iniciales'!$A:$A,"Durand")+SUMIFS(Movimientos!$K$1:$K$1324,Movimientos!$C$1:$C$1324,"Durand",Movimientos!$B$1:$B$1324,"&lt;="&amp;$B105)</f>
        <v>1669.89</v>
      </c>
      <c r="F105" s="24">
        <f>SUMIFS('Saldos Iniciales'!$D:$D,'Saldos Iniciales'!$A:$A,"A&amp;M Imports")+SUMIFS(Movimientos!$K$1:$K$1324,Movimientos!$C$1:$C$1324,"A&amp;M Imports",Movimientos!$B$1:$B$1324,"&lt;="&amp;$B105)</f>
        <v>1349451.94</v>
      </c>
      <c r="G105" s="24">
        <f>SUMIFS('Saldos Iniciales'!$D:$D,'Saldos Iniciales'!$A:$A,"SSP Capital")+SUMIFS(Movimientos!$K$1:$K$1324,Movimientos!$C$1:$C$1324,"SSP Capital",Movimientos!$B$1:$B$1324,"&lt;="&amp;$B105)</f>
        <v>1622914.8199999996</v>
      </c>
      <c r="H105" s="24">
        <f>SUMIFS('Saldos Iniciales'!$D:$D,'Saldos Iniciales'!$A:$A,"Cross Family Trust")+SUMIFS(Movimientos!$K$1:$K$1324,Movimientos!$C$1:$C$1324,"Cross Family Trust",Movimientos!$B$1:$B$1324,"&lt;="&amp;$B105)</f>
        <v>731496.38</v>
      </c>
      <c r="I105" s="24">
        <f>SUMIFS('Saldos Iniciales'!$D:$D,'Saldos Iniciales'!$A:$A,"Cross Security Trust")+SUMIFS(Movimientos!$K$1:$K$1324,Movimientos!$C$1:$C$1324,"Cross Security Trust",Movimientos!$B$1:$B$1324,"&lt;="&amp;$B105)</f>
        <v>277582.47000000003</v>
      </c>
      <c r="J105" s="24">
        <f>SUMIFS('Saldos Iniciales'!$D:$D,'Saldos Iniciales'!$A:$A,"Electrama")+SUMIFS(Movimientos!$K$1:$K$1324,Movimientos!$C$1:$C$1324,"Electrama",Movimientos!$B$1:$B$1324,"&lt;="&amp;$B105)</f>
        <v>13270.02</v>
      </c>
      <c r="K105" s="24">
        <f>SUMIFS('Saldos Iniciales'!$D:$D,'Saldos Iniciales'!$A:$A,"Sacred Valley Capital")+SUMIFS(Movimientos!$K$1:$K$1324,Movimientos!$C$1:$C$1324,"Sacred Valley Capital",Movimientos!$B$1:$B$1324,"&lt;="&amp;$B105)</f>
        <v>24.450000000000003</v>
      </c>
      <c r="L105" s="24">
        <f>SUMIFS('Saldos Iniciales'!$D:$D,'Saldos Iniciales'!$A:$A,"YWC Capital")+SUMIFS(Movimientos!$K$1:$K$1324,Movimientos!$C$1:$C$1324,"YWC Capital",Movimientos!$B$1:$B$1324,"&lt;="&amp;$B105)</f>
        <v>2177.87</v>
      </c>
      <c r="M105" s="24">
        <f>SUMIFS('Saldos Iniciales'!$D:$D,'Saldos Iniciales'!$A:$A,"Soweto")+SUMIFS(Movimientos!$K$1:$K$1324,Movimientos!$C$1:$C$1324,"Soweto",Movimientos!$B$1:$B$1324,"&lt;="&amp;$B105)</f>
        <v>754424.72</v>
      </c>
      <c r="N105" s="24">
        <f>SUMIFS('Saldos Iniciales'!$D:$D,'Saldos Iniciales'!$A:$A,"Green Stone Trust")+SUMIFS(Movimientos!$K$1:$K$1324,Movimientos!$C$1:$C$1324,"Green Stone Trust",Movimientos!$B$1:$B$1324,"&lt;="&amp;$B105)</f>
        <v>1968.99</v>
      </c>
      <c r="O105" s="24">
        <f>SUMIFS('Saldos Iniciales'!$D:$D,'Saldos Iniciales'!$A:$A,"EC Auto")+SUMIFS(Movimientos!$K$1:$K$1324,Movimientos!$C$1:$C$1324,"EC Auto",Movimientos!$B$1:$B$1324,"&lt;="&amp;$B105)</f>
        <v>901.34</v>
      </c>
      <c r="P105" s="24">
        <f>SUMIFS('Saldos Iniciales'!$D:$D,'Saldos Iniciales'!$A:$A,"Arbor Capital Properties")+SUMIFS(Movimientos!$K$1:$K$1324,Movimientos!$C$1:$C$1324,"Arbor Capital Properties",Movimientos!$B$1:$B$1324,"&lt;="&amp;$B105)</f>
        <v>1396.08</v>
      </c>
      <c r="Q105" s="24">
        <f>SUMIFS('Saldos Iniciales'!$D:$D,'Saldos Iniciales'!$A:$A,"2515 Overbrook")+SUMIFS(Movimientos!$K$1:$K$1324,Movimientos!$C$1:$C$1324,"2515 Overbrook",Movimientos!$B$1:$B$1324,"&lt;="&amp;$B105)</f>
        <v>3700.7099999999591</v>
      </c>
      <c r="R105" s="24">
        <f>SUMIFS('Saldos Iniciales'!$D:$D,'Saldos Iniciales'!$A:$A,"112 Florida Ave")+SUMIFS(Movimientos!$K$1:$K$1324,Movimientos!$C$1:$C$1324,"112 Florida Ave",Movimientos!$B$1:$B$1324,"&lt;="&amp;$B105)</f>
        <v>8724.1700000000037</v>
      </c>
      <c r="S105" s="24">
        <f>SUMIFS('Saldos Iniciales'!$D:$D,'Saldos Iniciales'!$A:$A,"3628 Thomas Ave")+SUMIFS(Movimientos!$K$1:$K$1324,Movimientos!$C$1:$C$1324,"3628 Thomas Ave",Movimientos!$B$1:$B$1324,"&lt;="&amp;$B105)</f>
        <v>19336.039999999997</v>
      </c>
      <c r="T105" s="24">
        <f>SUMIFS('Saldos Iniciales'!$D:$D,'Saldos Iniciales'!$A:$A,"Green Harbor Trust")+SUMIFS(Movimientos!$K$1:$K$1324,Movimientos!$C$1:$C$1324,"Green Harbor Trust",Movimientos!$B$1:$B$1324,"&lt;="&amp;$B105)</f>
        <v>345</v>
      </c>
      <c r="U105" s="24">
        <f>SUMIFS('Saldos Iniciales'!$D:$D,'Saldos Iniciales'!$A:$A,"Go Blue")+SUMIFS(Movimientos!$K$1:$K$1324,Movimientos!$C$1:$C$1324,"Go Blue",Movimientos!$B$1:$B$1324,"&lt;="&amp;$B105)</f>
        <v>12470.040000000003</v>
      </c>
      <c r="V105" s="24">
        <f>IF(YEAR($B105)*100+MONTH($B105)&lt;--SUBSTITUTE(_xlfn.XLOOKUP("Pacha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LLC",Movimientos!$B$1:$B$1324,"&lt;="&amp;$B105))</f>
        <v>0</v>
      </c>
      <c r="W105" s="24">
        <f>IF(YEAR($B105)*100+MONTH($B105)&lt;--SUBSTITUTE(_xlfn.XLOOKUP("*CFT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Residence",Movimientos!$B$1:$B$1324,"&lt;="&amp;$B105))</f>
        <v>0</v>
      </c>
      <c r="X105" s="24">
        <f>IF(YEAR($B105)*100+MONTH($B105)&lt;--SUBSTITUTE(_xlfn.XLOOKUP("Carmen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Trust",Movimientos!$B$1:$B$1324,"&lt;="&amp;$B105))</f>
        <v>0</v>
      </c>
      <c r="Y105" s="24">
        <f>IF(YEAR($B105)*100+MONTH($B105)&lt;--SUBSTITUTE(_xlfn.XLOOKUP("SIYP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LLC",Movimientos!$B$1:$B$1324,"&lt;="&amp;$B105))</f>
        <v>0</v>
      </c>
      <c r="Z105" s="24">
        <f>IF(YEAR($B105)*100+MONTH($B105)&lt;--SUBSTITUTE(_xlfn.XLOOKUP("Prendamas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SRL",Movimientos!$B$1:$B$1324,"&lt;="&amp;$B105))</f>
        <v>0</v>
      </c>
      <c r="AA105" s="24">
        <f>IF(YEAR($B105)*100+MONTH($B105)&lt;--SUBSTITUTE(_xlfn.XLOOKUP("360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LLC",Movimientos!$B$1:$B$1324,"&lt;="&amp;$B105))</f>
        <v>0</v>
      </c>
      <c r="AB105" s="24">
        <f>IF(YEAR($B105)*100+MONTH($B105)&lt;--SUBSTITUTE(_xlfn.XLOOKUP("Five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",Movimientos!$B$1:$B$1324,"&lt;="&amp;$B105))</f>
        <v>0</v>
      </c>
      <c r="AC105" s="24">
        <f>IF(YEAR($B105)*100+MONTH($B105)&lt;--SUBSTITUTE(_xlfn.XLOOKUP("Nobe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Aparments",Movimientos!$B$1:$B$1324,"&lt;="&amp;$B105))</f>
        <v>0</v>
      </c>
      <c r="AD105" s="24">
        <f>IF(YEAR($B105)*100+MONTH($B105)&lt;--SUBSTITUTE(_xlfn.XLOOKUP("Don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Life",Movimientos!$B$1:$B$1324,"&lt;="&amp;$B105))</f>
        <v>0</v>
      </c>
      <c r="AE105" s="25">
        <f t="shared" si="4"/>
        <v>6145143.1599999992</v>
      </c>
    </row>
    <row r="106" spans="1:31" hidden="1" outlineLevel="1" x14ac:dyDescent="0.3">
      <c r="A106" s="22">
        <f t="shared" si="2"/>
        <v>105</v>
      </c>
      <c r="B106" s="23">
        <v>46247</v>
      </c>
      <c r="C106" s="24">
        <f>SUMIFS('Saldos Iniciales'!$D:$D,'Saldos Iniciales'!$A:$A,"CFT Group")+SUMIFS(Movimientos!$K$1:$K$1324,Movimientos!$C$1:$C$1324,"CFT Group",Movimientos!$B$1:$B$1324,"&lt;="&amp;$B106)</f>
        <v>1041223.5800000004</v>
      </c>
      <c r="D106" s="24">
        <f>SUMIFS('Saldos Iniciales'!$D:$D,'Saldos Iniciales'!$A:$A,"M1B")+SUMIFS(Movimientos!$K$1:$K$1324,Movimientos!$C$1:$C$1324,"M1B",Movimientos!$B$1:$B$1324,"&lt;="&amp;$B106)</f>
        <v>83211.250000000175</v>
      </c>
      <c r="E106" s="24">
        <f>SUMIFS('Saldos Iniciales'!$D:$D,'Saldos Iniciales'!$A:$A,"Durand")+SUMIFS(Movimientos!$K$1:$K$1324,Movimientos!$C$1:$C$1324,"Durand",Movimientos!$B$1:$B$1324,"&lt;="&amp;$B106)</f>
        <v>1669.89</v>
      </c>
      <c r="F106" s="24">
        <f>SUMIFS('Saldos Iniciales'!$D:$D,'Saldos Iniciales'!$A:$A,"A&amp;M Imports")+SUMIFS(Movimientos!$K$1:$K$1324,Movimientos!$C$1:$C$1324,"A&amp;M Imports",Movimientos!$B$1:$B$1324,"&lt;="&amp;$B106)</f>
        <v>1289451.94</v>
      </c>
      <c r="G106" s="24">
        <f>SUMIFS('Saldos Iniciales'!$D:$D,'Saldos Iniciales'!$A:$A,"SSP Capital")+SUMIFS(Movimientos!$K$1:$K$1324,Movimientos!$C$1:$C$1324,"SSP Capital",Movimientos!$B$1:$B$1324,"&lt;="&amp;$B106)</f>
        <v>1418808.6399999997</v>
      </c>
      <c r="H106" s="24">
        <f>SUMIFS('Saldos Iniciales'!$D:$D,'Saldos Iniciales'!$A:$A,"Cross Family Trust")+SUMIFS(Movimientos!$K$1:$K$1324,Movimientos!$C$1:$C$1324,"Cross Family Trust",Movimientos!$B$1:$B$1324,"&lt;="&amp;$B106)</f>
        <v>221496.38</v>
      </c>
      <c r="I106" s="24">
        <f>SUMIFS('Saldos Iniciales'!$D:$D,'Saldos Iniciales'!$A:$A,"Cross Security Trust")+SUMIFS(Movimientos!$K$1:$K$1324,Movimientos!$C$1:$C$1324,"Cross Security Trust",Movimientos!$B$1:$B$1324,"&lt;="&amp;$B106)</f>
        <v>277582.47000000003</v>
      </c>
      <c r="J106" s="24">
        <f>SUMIFS('Saldos Iniciales'!$D:$D,'Saldos Iniciales'!$A:$A,"Electrama")+SUMIFS(Movimientos!$K$1:$K$1324,Movimientos!$C$1:$C$1324,"Electrama",Movimientos!$B$1:$B$1324,"&lt;="&amp;$B106)</f>
        <v>13270.02</v>
      </c>
      <c r="K106" s="24">
        <f>SUMIFS('Saldos Iniciales'!$D:$D,'Saldos Iniciales'!$A:$A,"Sacred Valley Capital")+SUMIFS(Movimientos!$K$1:$K$1324,Movimientos!$C$1:$C$1324,"Sacred Valley Capital",Movimientos!$B$1:$B$1324,"&lt;="&amp;$B106)</f>
        <v>24.450000000000003</v>
      </c>
      <c r="L106" s="24">
        <f>SUMIFS('Saldos Iniciales'!$D:$D,'Saldos Iniciales'!$A:$A,"YWC Capital")+SUMIFS(Movimientos!$K$1:$K$1324,Movimientos!$C$1:$C$1324,"YWC Capital",Movimientos!$B$1:$B$1324,"&lt;="&amp;$B106)</f>
        <v>2177.87</v>
      </c>
      <c r="M106" s="24">
        <f>SUMIFS('Saldos Iniciales'!$D:$D,'Saldos Iniciales'!$A:$A,"Soweto")+SUMIFS(Movimientos!$K$1:$K$1324,Movimientos!$C$1:$C$1324,"Soweto",Movimientos!$B$1:$B$1324,"&lt;="&amp;$B106)</f>
        <v>754424.72</v>
      </c>
      <c r="N106" s="24">
        <f>SUMIFS('Saldos Iniciales'!$D:$D,'Saldos Iniciales'!$A:$A,"Green Stone Trust")+SUMIFS(Movimientos!$K$1:$K$1324,Movimientos!$C$1:$C$1324,"Green Stone Trust",Movimientos!$B$1:$B$1324,"&lt;="&amp;$B106)</f>
        <v>1968.99</v>
      </c>
      <c r="O106" s="24">
        <f>SUMIFS('Saldos Iniciales'!$D:$D,'Saldos Iniciales'!$A:$A,"EC Auto")+SUMIFS(Movimientos!$K$1:$K$1324,Movimientos!$C$1:$C$1324,"EC Auto",Movimientos!$B$1:$B$1324,"&lt;="&amp;$B106)</f>
        <v>901.34</v>
      </c>
      <c r="P106" s="24">
        <f>SUMIFS('Saldos Iniciales'!$D:$D,'Saldos Iniciales'!$A:$A,"Arbor Capital Properties")+SUMIFS(Movimientos!$K$1:$K$1324,Movimientos!$C$1:$C$1324,"Arbor Capital Properties",Movimientos!$B$1:$B$1324,"&lt;="&amp;$B106)</f>
        <v>1396.08</v>
      </c>
      <c r="Q106" s="24">
        <f>SUMIFS('Saldos Iniciales'!$D:$D,'Saldos Iniciales'!$A:$A,"2515 Overbrook")+SUMIFS(Movimientos!$K$1:$K$1324,Movimientos!$C$1:$C$1324,"2515 Overbrook",Movimientos!$B$1:$B$1324,"&lt;="&amp;$B106)</f>
        <v>13700.709999999959</v>
      </c>
      <c r="R106" s="24">
        <f>SUMIFS('Saldos Iniciales'!$D:$D,'Saldos Iniciales'!$A:$A,"112 Florida Ave")+SUMIFS(Movimientos!$K$1:$K$1324,Movimientos!$C$1:$C$1324,"112 Florida Ave",Movimientos!$B$1:$B$1324,"&lt;="&amp;$B106)</f>
        <v>8724.1700000000037</v>
      </c>
      <c r="S106" s="24">
        <f>SUMIFS('Saldos Iniciales'!$D:$D,'Saldos Iniciales'!$A:$A,"3628 Thomas Ave")+SUMIFS(Movimientos!$K$1:$K$1324,Movimientos!$C$1:$C$1324,"3628 Thomas Ave",Movimientos!$B$1:$B$1324,"&lt;="&amp;$B106)</f>
        <v>19336.039999999997</v>
      </c>
      <c r="T106" s="24">
        <f>SUMIFS('Saldos Iniciales'!$D:$D,'Saldos Iniciales'!$A:$A,"Green Harbor Trust")+SUMIFS(Movimientos!$K$1:$K$1324,Movimientos!$C$1:$C$1324,"Green Harbor Trust",Movimientos!$B$1:$B$1324,"&lt;="&amp;$B106)</f>
        <v>345</v>
      </c>
      <c r="U106" s="24">
        <f>SUMIFS('Saldos Iniciales'!$D:$D,'Saldos Iniciales'!$A:$A,"Go Blue")+SUMIFS(Movimientos!$K$1:$K$1324,Movimientos!$C$1:$C$1324,"Go Blue",Movimientos!$B$1:$B$1324,"&lt;="&amp;$B106)</f>
        <v>14740.900000000001</v>
      </c>
      <c r="V106" s="24">
        <f>IF(YEAR($B106)*100+MONTH($B106)&lt;--SUBSTITUTE(_xlfn.XLOOKUP("Pacha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LLC",Movimientos!$B$1:$B$1324,"&lt;="&amp;$B106))</f>
        <v>0</v>
      </c>
      <c r="W106" s="24">
        <f>IF(YEAR($B106)*100+MONTH($B106)&lt;--SUBSTITUTE(_xlfn.XLOOKUP("*CFT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Residence",Movimientos!$B$1:$B$1324,"&lt;="&amp;$B106))</f>
        <v>0</v>
      </c>
      <c r="X106" s="24">
        <f>IF(YEAR($B106)*100+MONTH($B106)&lt;--SUBSTITUTE(_xlfn.XLOOKUP("Carmen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Trust",Movimientos!$B$1:$B$1324,"&lt;="&amp;$B106))</f>
        <v>0</v>
      </c>
      <c r="Y106" s="24">
        <f>IF(YEAR($B106)*100+MONTH($B106)&lt;--SUBSTITUTE(_xlfn.XLOOKUP("SIYP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LLC",Movimientos!$B$1:$B$1324,"&lt;="&amp;$B106))</f>
        <v>0</v>
      </c>
      <c r="Z106" s="24">
        <f>IF(YEAR($B106)*100+MONTH($B106)&lt;--SUBSTITUTE(_xlfn.XLOOKUP("Prendamas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SRL",Movimientos!$B$1:$B$1324,"&lt;="&amp;$B106))</f>
        <v>0</v>
      </c>
      <c r="AA106" s="24">
        <f>IF(YEAR($B106)*100+MONTH($B106)&lt;--SUBSTITUTE(_xlfn.XLOOKUP("360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LLC",Movimientos!$B$1:$B$1324,"&lt;="&amp;$B106))</f>
        <v>0</v>
      </c>
      <c r="AB106" s="24">
        <f>IF(YEAR($B106)*100+MONTH($B106)&lt;--SUBSTITUTE(_xlfn.XLOOKUP("Five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",Movimientos!$B$1:$B$1324,"&lt;="&amp;$B106))</f>
        <v>0</v>
      </c>
      <c r="AC106" s="24">
        <f>IF(YEAR($B106)*100+MONTH($B106)&lt;--SUBSTITUTE(_xlfn.XLOOKUP("Nobe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Aparments",Movimientos!$B$1:$B$1324,"&lt;="&amp;$B106))</f>
        <v>0</v>
      </c>
      <c r="AD106" s="24">
        <f>IF(YEAR($B106)*100+MONTH($B106)&lt;--SUBSTITUTE(_xlfn.XLOOKUP("Don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Life",Movimientos!$B$1:$B$1324,"&lt;="&amp;$B106))</f>
        <v>0</v>
      </c>
      <c r="AE106" s="25">
        <f t="shared" si="4"/>
        <v>5164454.4399999995</v>
      </c>
    </row>
    <row r="107" spans="1:31" hidden="1" outlineLevel="1" x14ac:dyDescent="0.3">
      <c r="A107" s="22">
        <f t="shared" si="2"/>
        <v>106</v>
      </c>
      <c r="B107" s="23">
        <v>46248</v>
      </c>
      <c r="C107" s="24">
        <f>SUMIFS('Saldos Iniciales'!$D:$D,'Saldos Iniciales'!$A:$A,"CFT Group")+SUMIFS(Movimientos!$K$1:$K$1324,Movimientos!$C$1:$C$1324,"CFT Group",Movimientos!$B$1:$B$1324,"&lt;="&amp;$B107)</f>
        <v>941223.58000000042</v>
      </c>
      <c r="D107" s="24">
        <f>SUMIFS('Saldos Iniciales'!$D:$D,'Saldos Iniciales'!$A:$A,"M1B")+SUMIFS(Movimientos!$K$1:$K$1324,Movimientos!$C$1:$C$1324,"M1B",Movimientos!$B$1:$B$1324,"&lt;="&amp;$B107)</f>
        <v>83211.250000000175</v>
      </c>
      <c r="E107" s="24">
        <f>SUMIFS('Saldos Iniciales'!$D:$D,'Saldos Iniciales'!$A:$A,"Durand")+SUMIFS(Movimientos!$K$1:$K$1324,Movimientos!$C$1:$C$1324,"Durand",Movimientos!$B$1:$B$1324,"&lt;="&amp;$B107)</f>
        <v>1669.89</v>
      </c>
      <c r="F107" s="24">
        <f>SUMIFS('Saldos Iniciales'!$D:$D,'Saldos Iniciales'!$A:$A,"A&amp;M Imports")+SUMIFS(Movimientos!$K$1:$K$1324,Movimientos!$C$1:$C$1324,"A&amp;M Imports",Movimientos!$B$1:$B$1324,"&lt;="&amp;$B107)</f>
        <v>1289451.94</v>
      </c>
      <c r="G107" s="24">
        <f>SUMIFS('Saldos Iniciales'!$D:$D,'Saldos Iniciales'!$A:$A,"SSP Capital")+SUMIFS(Movimientos!$K$1:$K$1324,Movimientos!$C$1:$C$1324,"SSP Capital",Movimientos!$B$1:$B$1324,"&lt;="&amp;$B107)</f>
        <v>1418808.6399999997</v>
      </c>
      <c r="H107" s="24">
        <f>SUMIFS('Saldos Iniciales'!$D:$D,'Saldos Iniciales'!$A:$A,"Cross Family Trust")+SUMIFS(Movimientos!$K$1:$K$1324,Movimientos!$C$1:$C$1324,"Cross Family Trust",Movimientos!$B$1:$B$1324,"&lt;="&amp;$B107)</f>
        <v>221496.38</v>
      </c>
      <c r="I107" s="24">
        <f>SUMIFS('Saldos Iniciales'!$D:$D,'Saldos Iniciales'!$A:$A,"Cross Security Trust")+SUMIFS(Movimientos!$K$1:$K$1324,Movimientos!$C$1:$C$1324,"Cross Security Trust",Movimientos!$B$1:$B$1324,"&lt;="&amp;$B107)</f>
        <v>277586.34000000003</v>
      </c>
      <c r="J107" s="24">
        <f>SUMIFS('Saldos Iniciales'!$D:$D,'Saldos Iniciales'!$A:$A,"Electrama")+SUMIFS(Movimientos!$K$1:$K$1324,Movimientos!$C$1:$C$1324,"Electrama",Movimientos!$B$1:$B$1324,"&lt;="&amp;$B107)</f>
        <v>13270.02</v>
      </c>
      <c r="K107" s="24">
        <f>SUMIFS('Saldos Iniciales'!$D:$D,'Saldos Iniciales'!$A:$A,"Sacred Valley Capital")+SUMIFS(Movimientos!$K$1:$K$1324,Movimientos!$C$1:$C$1324,"Sacred Valley Capital",Movimientos!$B$1:$B$1324,"&lt;="&amp;$B107)</f>
        <v>24.450000000000003</v>
      </c>
      <c r="L107" s="24">
        <f>SUMIFS('Saldos Iniciales'!$D:$D,'Saldos Iniciales'!$A:$A,"YWC Capital")+SUMIFS(Movimientos!$K$1:$K$1324,Movimientos!$C$1:$C$1324,"YWC Capital",Movimientos!$B$1:$B$1324,"&lt;="&amp;$B107)</f>
        <v>2177.87</v>
      </c>
      <c r="M107" s="24">
        <f>SUMIFS('Saldos Iniciales'!$D:$D,'Saldos Iniciales'!$A:$A,"Soweto")+SUMIFS(Movimientos!$K$1:$K$1324,Movimientos!$C$1:$C$1324,"Soweto",Movimientos!$B$1:$B$1324,"&lt;="&amp;$B107)</f>
        <v>754424.72</v>
      </c>
      <c r="N107" s="24">
        <f>SUMIFS('Saldos Iniciales'!$D:$D,'Saldos Iniciales'!$A:$A,"Green Stone Trust")+SUMIFS(Movimientos!$K$1:$K$1324,Movimientos!$C$1:$C$1324,"Green Stone Trust",Movimientos!$B$1:$B$1324,"&lt;="&amp;$B107)</f>
        <v>1968.99</v>
      </c>
      <c r="O107" s="24">
        <f>SUMIFS('Saldos Iniciales'!$D:$D,'Saldos Iniciales'!$A:$A,"EC Auto")+SUMIFS(Movimientos!$K$1:$K$1324,Movimientos!$C$1:$C$1324,"EC Auto",Movimientos!$B$1:$B$1324,"&lt;="&amp;$B107)</f>
        <v>901.34</v>
      </c>
      <c r="P107" s="24">
        <f>SUMIFS('Saldos Iniciales'!$D:$D,'Saldos Iniciales'!$A:$A,"Arbor Capital Properties")+SUMIFS(Movimientos!$K$1:$K$1324,Movimientos!$C$1:$C$1324,"Arbor Capital Properties",Movimientos!$B$1:$B$1324,"&lt;="&amp;$B107)</f>
        <v>1396.08</v>
      </c>
      <c r="Q107" s="24">
        <f>SUMIFS('Saldos Iniciales'!$D:$D,'Saldos Iniciales'!$A:$A,"2515 Overbrook")+SUMIFS(Movimientos!$K$1:$K$1324,Movimientos!$C$1:$C$1324,"2515 Overbrook",Movimientos!$B$1:$B$1324,"&lt;="&amp;$B107)</f>
        <v>13685.709999999959</v>
      </c>
      <c r="R107" s="24">
        <f>SUMIFS('Saldos Iniciales'!$D:$D,'Saldos Iniciales'!$A:$A,"112 Florida Ave")+SUMIFS(Movimientos!$K$1:$K$1324,Movimientos!$C$1:$C$1324,"112 Florida Ave",Movimientos!$B$1:$B$1324,"&lt;="&amp;$B107)</f>
        <v>8724.1700000000037</v>
      </c>
      <c r="S107" s="24">
        <f>SUMIFS('Saldos Iniciales'!$D:$D,'Saldos Iniciales'!$A:$A,"3628 Thomas Ave")+SUMIFS(Movimientos!$K$1:$K$1324,Movimientos!$C$1:$C$1324,"3628 Thomas Ave",Movimientos!$B$1:$B$1324,"&lt;="&amp;$B107)</f>
        <v>19336.039999999997</v>
      </c>
      <c r="T107" s="24">
        <f>SUMIFS('Saldos Iniciales'!$D:$D,'Saldos Iniciales'!$A:$A,"Green Harbor Trust")+SUMIFS(Movimientos!$K$1:$K$1324,Movimientos!$C$1:$C$1324,"Green Harbor Trust",Movimientos!$B$1:$B$1324,"&lt;="&amp;$B107)</f>
        <v>345</v>
      </c>
      <c r="U107" s="24">
        <f>SUMIFS('Saldos Iniciales'!$D:$D,'Saldos Iniciales'!$A:$A,"Go Blue")+SUMIFS(Movimientos!$K$1:$K$1324,Movimientos!$C$1:$C$1324,"Go Blue",Movimientos!$B$1:$B$1324,"&lt;="&amp;$B107)</f>
        <v>14740.900000000001</v>
      </c>
      <c r="V107" s="24">
        <f>IF(YEAR($B107)*100+MONTH($B107)&lt;--SUBSTITUTE(_xlfn.XLOOKUP("Pacha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LLC",Movimientos!$B$1:$B$1324,"&lt;="&amp;$B107))</f>
        <v>0</v>
      </c>
      <c r="W107" s="24">
        <f>IF(YEAR($B107)*100+MONTH($B107)&lt;--SUBSTITUTE(_xlfn.XLOOKUP("*CFT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Residence",Movimientos!$B$1:$B$1324,"&lt;="&amp;$B107))</f>
        <v>0</v>
      </c>
      <c r="X107" s="24">
        <f>IF(YEAR($B107)*100+MONTH($B107)&lt;--SUBSTITUTE(_xlfn.XLOOKUP("Carmen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Trust",Movimientos!$B$1:$B$1324,"&lt;="&amp;$B107))</f>
        <v>0</v>
      </c>
      <c r="Y107" s="24">
        <f>IF(YEAR($B107)*100+MONTH($B107)&lt;--SUBSTITUTE(_xlfn.XLOOKUP("SIYP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LLC",Movimientos!$B$1:$B$1324,"&lt;="&amp;$B107))</f>
        <v>0</v>
      </c>
      <c r="Z107" s="24">
        <f>IF(YEAR($B107)*100+MONTH($B107)&lt;--SUBSTITUTE(_xlfn.XLOOKUP("Prendamas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SRL",Movimientos!$B$1:$B$1324,"&lt;="&amp;$B107))</f>
        <v>0</v>
      </c>
      <c r="AA107" s="24">
        <f>IF(YEAR($B107)*100+MONTH($B107)&lt;--SUBSTITUTE(_xlfn.XLOOKUP("360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LLC",Movimientos!$B$1:$B$1324,"&lt;="&amp;$B107))</f>
        <v>0</v>
      </c>
      <c r="AB107" s="24">
        <f>IF(YEAR($B107)*100+MONTH($B107)&lt;--SUBSTITUTE(_xlfn.XLOOKUP("Five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",Movimientos!$B$1:$B$1324,"&lt;="&amp;$B107))</f>
        <v>0</v>
      </c>
      <c r="AC107" s="24">
        <f>IF(YEAR($B107)*100+MONTH($B107)&lt;--SUBSTITUTE(_xlfn.XLOOKUP("Nobe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Aparments",Movimientos!$B$1:$B$1324,"&lt;="&amp;$B107))</f>
        <v>0</v>
      </c>
      <c r="AD107" s="24">
        <f>IF(YEAR($B107)*100+MONTH($B107)&lt;--SUBSTITUTE(_xlfn.XLOOKUP("Don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Life",Movimientos!$B$1:$B$1324,"&lt;="&amp;$B107))</f>
        <v>0</v>
      </c>
      <c r="AE107" s="25">
        <f t="shared" si="4"/>
        <v>5064443.3100000005</v>
      </c>
    </row>
    <row r="108" spans="1:31" hidden="1" outlineLevel="1" x14ac:dyDescent="0.3">
      <c r="A108" s="22">
        <f t="shared" si="2"/>
        <v>107</v>
      </c>
      <c r="B108" s="23">
        <v>46249</v>
      </c>
      <c r="C108" s="24">
        <f>SUMIFS('Saldos Iniciales'!$D:$D,'Saldos Iniciales'!$A:$A,"CFT Group")+SUMIFS(Movimientos!$K$1:$K$1324,Movimientos!$C$1:$C$1324,"CFT Group",Movimientos!$B$1:$B$1324,"&lt;="&amp;$B108)</f>
        <v>941223.58000000042</v>
      </c>
      <c r="D108" s="24">
        <f>SUMIFS('Saldos Iniciales'!$D:$D,'Saldos Iniciales'!$A:$A,"M1B")+SUMIFS(Movimientos!$K$1:$K$1324,Movimientos!$C$1:$C$1324,"M1B",Movimientos!$B$1:$B$1324,"&lt;="&amp;$B108)</f>
        <v>83211.250000000175</v>
      </c>
      <c r="E108" s="24">
        <f>SUMIFS('Saldos Iniciales'!$D:$D,'Saldos Iniciales'!$A:$A,"Durand")+SUMIFS(Movimientos!$K$1:$K$1324,Movimientos!$C$1:$C$1324,"Durand",Movimientos!$B$1:$B$1324,"&lt;="&amp;$B108)</f>
        <v>1669.89</v>
      </c>
      <c r="F108" s="24">
        <f>SUMIFS('Saldos Iniciales'!$D:$D,'Saldos Iniciales'!$A:$A,"A&amp;M Imports")+SUMIFS(Movimientos!$K$1:$K$1324,Movimientos!$C$1:$C$1324,"A&amp;M Imports",Movimientos!$B$1:$B$1324,"&lt;="&amp;$B108)</f>
        <v>1289451.94</v>
      </c>
      <c r="G108" s="24">
        <f>SUMIFS('Saldos Iniciales'!$D:$D,'Saldos Iniciales'!$A:$A,"SSP Capital")+SUMIFS(Movimientos!$K$1:$K$1324,Movimientos!$C$1:$C$1324,"SSP Capital",Movimientos!$B$1:$B$1324,"&lt;="&amp;$B108)</f>
        <v>1418808.6399999997</v>
      </c>
      <c r="H108" s="24">
        <f>SUMIFS('Saldos Iniciales'!$D:$D,'Saldos Iniciales'!$A:$A,"Cross Family Trust")+SUMIFS(Movimientos!$K$1:$K$1324,Movimientos!$C$1:$C$1324,"Cross Family Trust",Movimientos!$B$1:$B$1324,"&lt;="&amp;$B108)</f>
        <v>221496.38</v>
      </c>
      <c r="I108" s="24">
        <f>SUMIFS('Saldos Iniciales'!$D:$D,'Saldos Iniciales'!$A:$A,"Cross Security Trust")+SUMIFS(Movimientos!$K$1:$K$1324,Movimientos!$C$1:$C$1324,"Cross Security Trust",Movimientos!$B$1:$B$1324,"&lt;="&amp;$B108)</f>
        <v>277586.34000000003</v>
      </c>
      <c r="J108" s="24">
        <f>SUMIFS('Saldos Iniciales'!$D:$D,'Saldos Iniciales'!$A:$A,"Electrama")+SUMIFS(Movimientos!$K$1:$K$1324,Movimientos!$C$1:$C$1324,"Electrama",Movimientos!$B$1:$B$1324,"&lt;="&amp;$B108)</f>
        <v>13270.02</v>
      </c>
      <c r="K108" s="24">
        <f>SUMIFS('Saldos Iniciales'!$D:$D,'Saldos Iniciales'!$A:$A,"Sacred Valley Capital")+SUMIFS(Movimientos!$K$1:$K$1324,Movimientos!$C$1:$C$1324,"Sacred Valley Capital",Movimientos!$B$1:$B$1324,"&lt;="&amp;$B108)</f>
        <v>24.450000000000003</v>
      </c>
      <c r="L108" s="24">
        <f>SUMIFS('Saldos Iniciales'!$D:$D,'Saldos Iniciales'!$A:$A,"YWC Capital")+SUMIFS(Movimientos!$K$1:$K$1324,Movimientos!$C$1:$C$1324,"YWC Capital",Movimientos!$B$1:$B$1324,"&lt;="&amp;$B108)</f>
        <v>2177.87</v>
      </c>
      <c r="M108" s="24">
        <f>SUMIFS('Saldos Iniciales'!$D:$D,'Saldos Iniciales'!$A:$A,"Soweto")+SUMIFS(Movimientos!$K$1:$K$1324,Movimientos!$C$1:$C$1324,"Soweto",Movimientos!$B$1:$B$1324,"&lt;="&amp;$B108)</f>
        <v>754424.72</v>
      </c>
      <c r="N108" s="24">
        <f>SUMIFS('Saldos Iniciales'!$D:$D,'Saldos Iniciales'!$A:$A,"Green Stone Trust")+SUMIFS(Movimientos!$K$1:$K$1324,Movimientos!$C$1:$C$1324,"Green Stone Trust",Movimientos!$B$1:$B$1324,"&lt;="&amp;$B108)</f>
        <v>1968.99</v>
      </c>
      <c r="O108" s="24">
        <f>SUMIFS('Saldos Iniciales'!$D:$D,'Saldos Iniciales'!$A:$A,"EC Auto")+SUMIFS(Movimientos!$K$1:$K$1324,Movimientos!$C$1:$C$1324,"EC Auto",Movimientos!$B$1:$B$1324,"&lt;="&amp;$B108)</f>
        <v>901.34</v>
      </c>
      <c r="P108" s="24">
        <f>SUMIFS('Saldos Iniciales'!$D:$D,'Saldos Iniciales'!$A:$A,"Arbor Capital Properties")+SUMIFS(Movimientos!$K$1:$K$1324,Movimientos!$C$1:$C$1324,"Arbor Capital Properties",Movimientos!$B$1:$B$1324,"&lt;="&amp;$B108)</f>
        <v>1396.08</v>
      </c>
      <c r="Q108" s="24">
        <f>SUMIFS('Saldos Iniciales'!$D:$D,'Saldos Iniciales'!$A:$A,"2515 Overbrook")+SUMIFS(Movimientos!$K$1:$K$1324,Movimientos!$C$1:$C$1324,"2515 Overbrook",Movimientos!$B$1:$B$1324,"&lt;="&amp;$B108)</f>
        <v>13685.709999999959</v>
      </c>
      <c r="R108" s="24">
        <f>SUMIFS('Saldos Iniciales'!$D:$D,'Saldos Iniciales'!$A:$A,"112 Florida Ave")+SUMIFS(Movimientos!$K$1:$K$1324,Movimientos!$C$1:$C$1324,"112 Florida Ave",Movimientos!$B$1:$B$1324,"&lt;="&amp;$B108)</f>
        <v>8724.1700000000037</v>
      </c>
      <c r="S108" s="24">
        <f>SUMIFS('Saldos Iniciales'!$D:$D,'Saldos Iniciales'!$A:$A,"3628 Thomas Ave")+SUMIFS(Movimientos!$K$1:$K$1324,Movimientos!$C$1:$C$1324,"3628 Thomas Ave",Movimientos!$B$1:$B$1324,"&lt;="&amp;$B108)</f>
        <v>19336.039999999997</v>
      </c>
      <c r="T108" s="24">
        <f>SUMIFS('Saldos Iniciales'!$D:$D,'Saldos Iniciales'!$A:$A,"Green Harbor Trust")+SUMIFS(Movimientos!$K$1:$K$1324,Movimientos!$C$1:$C$1324,"Green Harbor Trust",Movimientos!$B$1:$B$1324,"&lt;="&amp;$B108)</f>
        <v>345</v>
      </c>
      <c r="U108" s="24">
        <f>SUMIFS('Saldos Iniciales'!$D:$D,'Saldos Iniciales'!$A:$A,"Go Blue")+SUMIFS(Movimientos!$K$1:$K$1324,Movimientos!$C$1:$C$1324,"Go Blue",Movimientos!$B$1:$B$1324,"&lt;="&amp;$B108)</f>
        <v>14740.900000000001</v>
      </c>
      <c r="V108" s="24">
        <f>IF(YEAR($B108)*100+MONTH($B108)&lt;--SUBSTITUTE(_xlfn.XLOOKUP("Pacha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LLC",Movimientos!$B$1:$B$1324,"&lt;="&amp;$B108))</f>
        <v>0</v>
      </c>
      <c r="W108" s="24">
        <f>IF(YEAR($B108)*100+MONTH($B108)&lt;--SUBSTITUTE(_xlfn.XLOOKUP("*CFT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Residence",Movimientos!$B$1:$B$1324,"&lt;="&amp;$B108))</f>
        <v>0</v>
      </c>
      <c r="X108" s="24">
        <f>IF(YEAR($B108)*100+MONTH($B108)&lt;--SUBSTITUTE(_xlfn.XLOOKUP("Carmen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Trust",Movimientos!$B$1:$B$1324,"&lt;="&amp;$B108))</f>
        <v>0</v>
      </c>
      <c r="Y108" s="24">
        <f>IF(YEAR($B108)*100+MONTH($B108)&lt;--SUBSTITUTE(_xlfn.XLOOKUP("SIYP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LLC",Movimientos!$B$1:$B$1324,"&lt;="&amp;$B108))</f>
        <v>0</v>
      </c>
      <c r="Z108" s="24">
        <f>IF(YEAR($B108)*100+MONTH($B108)&lt;--SUBSTITUTE(_xlfn.XLOOKUP("Prendamas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SRL",Movimientos!$B$1:$B$1324,"&lt;="&amp;$B108))</f>
        <v>0</v>
      </c>
      <c r="AA108" s="24">
        <f>IF(YEAR($B108)*100+MONTH($B108)&lt;--SUBSTITUTE(_xlfn.XLOOKUP("360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LLC",Movimientos!$B$1:$B$1324,"&lt;="&amp;$B108))</f>
        <v>0</v>
      </c>
      <c r="AB108" s="24">
        <f>IF(YEAR($B108)*100+MONTH($B108)&lt;--SUBSTITUTE(_xlfn.XLOOKUP("Five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",Movimientos!$B$1:$B$1324,"&lt;="&amp;$B108))</f>
        <v>0</v>
      </c>
      <c r="AC108" s="24">
        <f>IF(YEAR($B108)*100+MONTH($B108)&lt;--SUBSTITUTE(_xlfn.XLOOKUP("Nobe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Aparments",Movimientos!$B$1:$B$1324,"&lt;="&amp;$B108))</f>
        <v>0</v>
      </c>
      <c r="AD108" s="24">
        <f>IF(YEAR($B108)*100+MONTH($B108)&lt;--SUBSTITUTE(_xlfn.XLOOKUP("Don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Life",Movimientos!$B$1:$B$1324,"&lt;="&amp;$B108))</f>
        <v>0</v>
      </c>
      <c r="AE108" s="25">
        <f t="shared" si="4"/>
        <v>5064443.3100000005</v>
      </c>
    </row>
    <row r="109" spans="1:31" hidden="1" outlineLevel="1" x14ac:dyDescent="0.3">
      <c r="A109" s="22">
        <f t="shared" si="2"/>
        <v>108</v>
      </c>
      <c r="B109" s="23">
        <v>46250</v>
      </c>
      <c r="C109" s="24">
        <f>SUMIFS('Saldos Iniciales'!$D:$D,'Saldos Iniciales'!$A:$A,"CFT Group")+SUMIFS(Movimientos!$K$1:$K$1324,Movimientos!$C$1:$C$1324,"CFT Group",Movimientos!$B$1:$B$1324,"&lt;="&amp;$B109)</f>
        <v>941223.58000000042</v>
      </c>
      <c r="D109" s="24">
        <f>SUMIFS('Saldos Iniciales'!$D:$D,'Saldos Iniciales'!$A:$A,"M1B")+SUMIFS(Movimientos!$K$1:$K$1324,Movimientos!$C$1:$C$1324,"M1B",Movimientos!$B$1:$B$1324,"&lt;="&amp;$B109)</f>
        <v>83211.250000000175</v>
      </c>
      <c r="E109" s="24">
        <f>SUMIFS('Saldos Iniciales'!$D:$D,'Saldos Iniciales'!$A:$A,"Durand")+SUMIFS(Movimientos!$K$1:$K$1324,Movimientos!$C$1:$C$1324,"Durand",Movimientos!$B$1:$B$1324,"&lt;="&amp;$B109)</f>
        <v>1669.89</v>
      </c>
      <c r="F109" s="24">
        <f>SUMIFS('Saldos Iniciales'!$D:$D,'Saldos Iniciales'!$A:$A,"A&amp;M Imports")+SUMIFS(Movimientos!$K$1:$K$1324,Movimientos!$C$1:$C$1324,"A&amp;M Imports",Movimientos!$B$1:$B$1324,"&lt;="&amp;$B109)</f>
        <v>1289451.94</v>
      </c>
      <c r="G109" s="24">
        <f>SUMIFS('Saldos Iniciales'!$D:$D,'Saldos Iniciales'!$A:$A,"SSP Capital")+SUMIFS(Movimientos!$K$1:$K$1324,Movimientos!$C$1:$C$1324,"SSP Capital",Movimientos!$B$1:$B$1324,"&lt;="&amp;$B109)</f>
        <v>1418808.6399999997</v>
      </c>
      <c r="H109" s="24">
        <f>SUMIFS('Saldos Iniciales'!$D:$D,'Saldos Iniciales'!$A:$A,"Cross Family Trust")+SUMIFS(Movimientos!$K$1:$K$1324,Movimientos!$C$1:$C$1324,"Cross Family Trust",Movimientos!$B$1:$B$1324,"&lt;="&amp;$B109)</f>
        <v>221496.38</v>
      </c>
      <c r="I109" s="24">
        <f>SUMIFS('Saldos Iniciales'!$D:$D,'Saldos Iniciales'!$A:$A,"Cross Security Trust")+SUMIFS(Movimientos!$K$1:$K$1324,Movimientos!$C$1:$C$1324,"Cross Security Trust",Movimientos!$B$1:$B$1324,"&lt;="&amp;$B109)</f>
        <v>277586.34000000003</v>
      </c>
      <c r="J109" s="24">
        <f>SUMIFS('Saldos Iniciales'!$D:$D,'Saldos Iniciales'!$A:$A,"Electrama")+SUMIFS(Movimientos!$K$1:$K$1324,Movimientos!$C$1:$C$1324,"Electrama",Movimientos!$B$1:$B$1324,"&lt;="&amp;$B109)</f>
        <v>13270.02</v>
      </c>
      <c r="K109" s="24">
        <f>SUMIFS('Saldos Iniciales'!$D:$D,'Saldos Iniciales'!$A:$A,"Sacred Valley Capital")+SUMIFS(Movimientos!$K$1:$K$1324,Movimientos!$C$1:$C$1324,"Sacred Valley Capital",Movimientos!$B$1:$B$1324,"&lt;="&amp;$B109)</f>
        <v>24.450000000000003</v>
      </c>
      <c r="L109" s="24">
        <f>SUMIFS('Saldos Iniciales'!$D:$D,'Saldos Iniciales'!$A:$A,"YWC Capital")+SUMIFS(Movimientos!$K$1:$K$1324,Movimientos!$C$1:$C$1324,"YWC Capital",Movimientos!$B$1:$B$1324,"&lt;="&amp;$B109)</f>
        <v>2177.87</v>
      </c>
      <c r="M109" s="24">
        <f>SUMIFS('Saldos Iniciales'!$D:$D,'Saldos Iniciales'!$A:$A,"Soweto")+SUMIFS(Movimientos!$K$1:$K$1324,Movimientos!$C$1:$C$1324,"Soweto",Movimientos!$B$1:$B$1324,"&lt;="&amp;$B109)</f>
        <v>754424.72</v>
      </c>
      <c r="N109" s="24">
        <f>SUMIFS('Saldos Iniciales'!$D:$D,'Saldos Iniciales'!$A:$A,"Green Stone Trust")+SUMIFS(Movimientos!$K$1:$K$1324,Movimientos!$C$1:$C$1324,"Green Stone Trust",Movimientos!$B$1:$B$1324,"&lt;="&amp;$B109)</f>
        <v>1968.99</v>
      </c>
      <c r="O109" s="24">
        <f>SUMIFS('Saldos Iniciales'!$D:$D,'Saldos Iniciales'!$A:$A,"EC Auto")+SUMIFS(Movimientos!$K$1:$K$1324,Movimientos!$C$1:$C$1324,"EC Auto",Movimientos!$B$1:$B$1324,"&lt;="&amp;$B109)</f>
        <v>901.34</v>
      </c>
      <c r="P109" s="24">
        <f>SUMIFS('Saldos Iniciales'!$D:$D,'Saldos Iniciales'!$A:$A,"Arbor Capital Properties")+SUMIFS(Movimientos!$K$1:$K$1324,Movimientos!$C$1:$C$1324,"Arbor Capital Properties",Movimientos!$B$1:$B$1324,"&lt;="&amp;$B109)</f>
        <v>1396.08</v>
      </c>
      <c r="Q109" s="24">
        <f>SUMIFS('Saldos Iniciales'!$D:$D,'Saldos Iniciales'!$A:$A,"2515 Overbrook")+SUMIFS(Movimientos!$K$1:$K$1324,Movimientos!$C$1:$C$1324,"2515 Overbrook",Movimientos!$B$1:$B$1324,"&lt;="&amp;$B109)</f>
        <v>13685.709999999959</v>
      </c>
      <c r="R109" s="24">
        <f>SUMIFS('Saldos Iniciales'!$D:$D,'Saldos Iniciales'!$A:$A,"112 Florida Ave")+SUMIFS(Movimientos!$K$1:$K$1324,Movimientos!$C$1:$C$1324,"112 Florida Ave",Movimientos!$B$1:$B$1324,"&lt;="&amp;$B109)</f>
        <v>8724.1700000000037</v>
      </c>
      <c r="S109" s="24">
        <f>SUMIFS('Saldos Iniciales'!$D:$D,'Saldos Iniciales'!$A:$A,"3628 Thomas Ave")+SUMIFS(Movimientos!$K$1:$K$1324,Movimientos!$C$1:$C$1324,"3628 Thomas Ave",Movimientos!$B$1:$B$1324,"&lt;="&amp;$B109)</f>
        <v>19336.039999999997</v>
      </c>
      <c r="T109" s="24">
        <f>SUMIFS('Saldos Iniciales'!$D:$D,'Saldos Iniciales'!$A:$A,"Green Harbor Trust")+SUMIFS(Movimientos!$K$1:$K$1324,Movimientos!$C$1:$C$1324,"Green Harbor Trust",Movimientos!$B$1:$B$1324,"&lt;="&amp;$B109)</f>
        <v>345</v>
      </c>
      <c r="U109" s="24">
        <f>SUMIFS('Saldos Iniciales'!$D:$D,'Saldos Iniciales'!$A:$A,"Go Blue")+SUMIFS(Movimientos!$K$1:$K$1324,Movimientos!$C$1:$C$1324,"Go Blue",Movimientos!$B$1:$B$1324,"&lt;="&amp;$B109)</f>
        <v>14740.900000000001</v>
      </c>
      <c r="V109" s="24">
        <f>IF(YEAR($B109)*100+MONTH($B109)&lt;--SUBSTITUTE(_xlfn.XLOOKUP("Pacha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LLC",Movimientos!$B$1:$B$1324,"&lt;="&amp;$B109))</f>
        <v>0</v>
      </c>
      <c r="W109" s="24">
        <f>IF(YEAR($B109)*100+MONTH($B109)&lt;--SUBSTITUTE(_xlfn.XLOOKUP("*CFT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Residence",Movimientos!$B$1:$B$1324,"&lt;="&amp;$B109))</f>
        <v>0</v>
      </c>
      <c r="X109" s="24">
        <f>IF(YEAR($B109)*100+MONTH($B109)&lt;--SUBSTITUTE(_xlfn.XLOOKUP("Carmen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Trust",Movimientos!$B$1:$B$1324,"&lt;="&amp;$B109))</f>
        <v>0</v>
      </c>
      <c r="Y109" s="24">
        <f>IF(YEAR($B109)*100+MONTH($B109)&lt;--SUBSTITUTE(_xlfn.XLOOKUP("SIYP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LLC",Movimientos!$B$1:$B$1324,"&lt;="&amp;$B109))</f>
        <v>0</v>
      </c>
      <c r="Z109" s="24">
        <f>IF(YEAR($B109)*100+MONTH($B109)&lt;--SUBSTITUTE(_xlfn.XLOOKUP("Prendamas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SRL",Movimientos!$B$1:$B$1324,"&lt;="&amp;$B109))</f>
        <v>0</v>
      </c>
      <c r="AA109" s="24">
        <f>IF(YEAR($B109)*100+MONTH($B109)&lt;--SUBSTITUTE(_xlfn.XLOOKUP("360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LLC",Movimientos!$B$1:$B$1324,"&lt;="&amp;$B109))</f>
        <v>0</v>
      </c>
      <c r="AB109" s="24">
        <f>IF(YEAR($B109)*100+MONTH($B109)&lt;--SUBSTITUTE(_xlfn.XLOOKUP("Five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",Movimientos!$B$1:$B$1324,"&lt;="&amp;$B109))</f>
        <v>0</v>
      </c>
      <c r="AC109" s="24">
        <f>IF(YEAR($B109)*100+MONTH($B109)&lt;--SUBSTITUTE(_xlfn.XLOOKUP("Nobe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Aparments",Movimientos!$B$1:$B$1324,"&lt;="&amp;$B109))</f>
        <v>0</v>
      </c>
      <c r="AD109" s="24">
        <f>IF(YEAR($B109)*100+MONTH($B109)&lt;--SUBSTITUTE(_xlfn.XLOOKUP("Don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Life",Movimientos!$B$1:$B$1324,"&lt;="&amp;$B109))</f>
        <v>0</v>
      </c>
      <c r="AE109" s="25">
        <f t="shared" si="4"/>
        <v>5064443.3100000005</v>
      </c>
    </row>
    <row r="110" spans="1:31" hidden="1" outlineLevel="1" x14ac:dyDescent="0.3">
      <c r="A110" s="22">
        <f t="shared" si="2"/>
        <v>109</v>
      </c>
      <c r="B110" s="23">
        <v>46251</v>
      </c>
      <c r="C110" s="24">
        <f>SUMIFS('Saldos Iniciales'!$D:$D,'Saldos Iniciales'!$A:$A,"CFT Group")+SUMIFS(Movimientos!$K$1:$K$1324,Movimientos!$C$1:$C$1324,"CFT Group",Movimientos!$B$1:$B$1324,"&lt;="&amp;$B110)</f>
        <v>941223.58000000042</v>
      </c>
      <c r="D110" s="24">
        <f>SUMIFS('Saldos Iniciales'!$D:$D,'Saldos Iniciales'!$A:$A,"M1B")+SUMIFS(Movimientos!$K$1:$K$1324,Movimientos!$C$1:$C$1324,"M1B",Movimientos!$B$1:$B$1324,"&lt;="&amp;$B110)</f>
        <v>83211.250000000175</v>
      </c>
      <c r="E110" s="24">
        <f>SUMIFS('Saldos Iniciales'!$D:$D,'Saldos Iniciales'!$A:$A,"Durand")+SUMIFS(Movimientos!$K$1:$K$1324,Movimientos!$C$1:$C$1324,"Durand",Movimientos!$B$1:$B$1324,"&lt;="&amp;$B110)</f>
        <v>1669.89</v>
      </c>
      <c r="F110" s="24">
        <f>SUMIFS('Saldos Iniciales'!$D:$D,'Saldos Iniciales'!$A:$A,"A&amp;M Imports")+SUMIFS(Movimientos!$K$1:$K$1324,Movimientos!$C$1:$C$1324,"A&amp;M Imports",Movimientos!$B$1:$B$1324,"&lt;="&amp;$B110)</f>
        <v>1289031.3399999999</v>
      </c>
      <c r="G110" s="24">
        <f>SUMIFS('Saldos Iniciales'!$D:$D,'Saldos Iniciales'!$A:$A,"SSP Capital")+SUMIFS(Movimientos!$K$1:$K$1324,Movimientos!$C$1:$C$1324,"SSP Capital",Movimientos!$B$1:$B$1324,"&lt;="&amp;$B110)</f>
        <v>1383977.5499999996</v>
      </c>
      <c r="H110" s="24">
        <f>SUMIFS('Saldos Iniciales'!$D:$D,'Saldos Iniciales'!$A:$A,"Cross Family Trust")+SUMIFS(Movimientos!$K$1:$K$1324,Movimientos!$C$1:$C$1324,"Cross Family Trust",Movimientos!$B$1:$B$1324,"&lt;="&amp;$B110)</f>
        <v>221496.38</v>
      </c>
      <c r="I110" s="24">
        <f>SUMIFS('Saldos Iniciales'!$D:$D,'Saldos Iniciales'!$A:$A,"Cross Security Trust")+SUMIFS(Movimientos!$K$1:$K$1324,Movimientos!$C$1:$C$1324,"Cross Security Trust",Movimientos!$B$1:$B$1324,"&lt;="&amp;$B110)</f>
        <v>277586.34000000003</v>
      </c>
      <c r="J110" s="24">
        <f>SUMIFS('Saldos Iniciales'!$D:$D,'Saldos Iniciales'!$A:$A,"Electrama")+SUMIFS(Movimientos!$K$1:$K$1324,Movimientos!$C$1:$C$1324,"Electrama",Movimientos!$B$1:$B$1324,"&lt;="&amp;$B110)</f>
        <v>13270.02</v>
      </c>
      <c r="K110" s="24">
        <f>SUMIFS('Saldos Iniciales'!$D:$D,'Saldos Iniciales'!$A:$A,"Sacred Valley Capital")+SUMIFS(Movimientos!$K$1:$K$1324,Movimientos!$C$1:$C$1324,"Sacred Valley Capital",Movimientos!$B$1:$B$1324,"&lt;="&amp;$B110)</f>
        <v>24.450000000000003</v>
      </c>
      <c r="L110" s="24">
        <f>SUMIFS('Saldos Iniciales'!$D:$D,'Saldos Iniciales'!$A:$A,"YWC Capital")+SUMIFS(Movimientos!$K$1:$K$1324,Movimientos!$C$1:$C$1324,"YWC Capital",Movimientos!$B$1:$B$1324,"&lt;="&amp;$B110)</f>
        <v>2177.87</v>
      </c>
      <c r="M110" s="24">
        <f>SUMIFS('Saldos Iniciales'!$D:$D,'Saldos Iniciales'!$A:$A,"Soweto")+SUMIFS(Movimientos!$K$1:$K$1324,Movimientos!$C$1:$C$1324,"Soweto",Movimientos!$B$1:$B$1324,"&lt;="&amp;$B110)</f>
        <v>754424.72</v>
      </c>
      <c r="N110" s="24">
        <f>SUMIFS('Saldos Iniciales'!$D:$D,'Saldos Iniciales'!$A:$A,"Green Stone Trust")+SUMIFS(Movimientos!$K$1:$K$1324,Movimientos!$C$1:$C$1324,"Green Stone Trust",Movimientos!$B$1:$B$1324,"&lt;="&amp;$B110)</f>
        <v>1968.99</v>
      </c>
      <c r="O110" s="24">
        <f>SUMIFS('Saldos Iniciales'!$D:$D,'Saldos Iniciales'!$A:$A,"EC Auto")+SUMIFS(Movimientos!$K$1:$K$1324,Movimientos!$C$1:$C$1324,"EC Auto",Movimientos!$B$1:$B$1324,"&lt;="&amp;$B110)</f>
        <v>901.34</v>
      </c>
      <c r="P110" s="24">
        <f>SUMIFS('Saldos Iniciales'!$D:$D,'Saldos Iniciales'!$A:$A,"Arbor Capital Properties")+SUMIFS(Movimientos!$K$1:$K$1324,Movimientos!$C$1:$C$1324,"Arbor Capital Properties",Movimientos!$B$1:$B$1324,"&lt;="&amp;$B110)</f>
        <v>1396.08</v>
      </c>
      <c r="Q110" s="24">
        <f>SUMIFS('Saldos Iniciales'!$D:$D,'Saldos Iniciales'!$A:$A,"2515 Overbrook")+SUMIFS(Movimientos!$K$1:$K$1324,Movimientos!$C$1:$C$1324,"2515 Overbrook",Movimientos!$B$1:$B$1324,"&lt;="&amp;$B110)</f>
        <v>13685.709999999959</v>
      </c>
      <c r="R110" s="24">
        <f>SUMIFS('Saldos Iniciales'!$D:$D,'Saldos Iniciales'!$A:$A,"112 Florida Ave")+SUMIFS(Movimientos!$K$1:$K$1324,Movimientos!$C$1:$C$1324,"112 Florida Ave",Movimientos!$B$1:$B$1324,"&lt;="&amp;$B110)</f>
        <v>8724.1700000000037</v>
      </c>
      <c r="S110" s="24">
        <f>SUMIFS('Saldos Iniciales'!$D:$D,'Saldos Iniciales'!$A:$A,"3628 Thomas Ave")+SUMIFS(Movimientos!$K$1:$K$1324,Movimientos!$C$1:$C$1324,"3628 Thomas Ave",Movimientos!$B$1:$B$1324,"&lt;="&amp;$B110)</f>
        <v>19336.039999999997</v>
      </c>
      <c r="T110" s="24">
        <f>SUMIFS('Saldos Iniciales'!$D:$D,'Saldos Iniciales'!$A:$A,"Green Harbor Trust")+SUMIFS(Movimientos!$K$1:$K$1324,Movimientos!$C$1:$C$1324,"Green Harbor Trust",Movimientos!$B$1:$B$1324,"&lt;="&amp;$B110)</f>
        <v>345</v>
      </c>
      <c r="U110" s="24">
        <f>SUMIFS('Saldos Iniciales'!$D:$D,'Saldos Iniciales'!$A:$A,"Go Blue")+SUMIFS(Movimientos!$K$1:$K$1324,Movimientos!$C$1:$C$1324,"Go Blue",Movimientos!$B$1:$B$1324,"&lt;="&amp;$B110)</f>
        <v>14565.900000000001</v>
      </c>
      <c r="V110" s="24">
        <f>IF(YEAR($B110)*100+MONTH($B110)&lt;--SUBSTITUTE(_xlfn.XLOOKUP("Pacha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LLC",Movimientos!$B$1:$B$1324,"&lt;="&amp;$B110))</f>
        <v>0</v>
      </c>
      <c r="W110" s="24">
        <f>IF(YEAR($B110)*100+MONTH($B110)&lt;--SUBSTITUTE(_xlfn.XLOOKUP("*CFT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Residence",Movimientos!$B$1:$B$1324,"&lt;="&amp;$B110))</f>
        <v>0</v>
      </c>
      <c r="X110" s="24">
        <f>IF(YEAR($B110)*100+MONTH($B110)&lt;--SUBSTITUTE(_xlfn.XLOOKUP("Carmen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Trust",Movimientos!$B$1:$B$1324,"&lt;="&amp;$B110))</f>
        <v>0</v>
      </c>
      <c r="Y110" s="24">
        <f>IF(YEAR($B110)*100+MONTH($B110)&lt;--SUBSTITUTE(_xlfn.XLOOKUP("SIYP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LLC",Movimientos!$B$1:$B$1324,"&lt;="&amp;$B110))</f>
        <v>0</v>
      </c>
      <c r="Z110" s="24">
        <f>IF(YEAR($B110)*100+MONTH($B110)&lt;--SUBSTITUTE(_xlfn.XLOOKUP("Prendamas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SRL",Movimientos!$B$1:$B$1324,"&lt;="&amp;$B110))</f>
        <v>0</v>
      </c>
      <c r="AA110" s="24">
        <f>IF(YEAR($B110)*100+MONTH($B110)&lt;--SUBSTITUTE(_xlfn.XLOOKUP("360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LLC",Movimientos!$B$1:$B$1324,"&lt;="&amp;$B110))</f>
        <v>0</v>
      </c>
      <c r="AB110" s="24">
        <f>IF(YEAR($B110)*100+MONTH($B110)&lt;--SUBSTITUTE(_xlfn.XLOOKUP("Five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",Movimientos!$B$1:$B$1324,"&lt;="&amp;$B110))</f>
        <v>0</v>
      </c>
      <c r="AC110" s="24">
        <f>IF(YEAR($B110)*100+MONTH($B110)&lt;--SUBSTITUTE(_xlfn.XLOOKUP("Nobe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Aparments",Movimientos!$B$1:$B$1324,"&lt;="&amp;$B110))</f>
        <v>0</v>
      </c>
      <c r="AD110" s="24">
        <f>IF(YEAR($B110)*100+MONTH($B110)&lt;--SUBSTITUTE(_xlfn.XLOOKUP("Don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Life",Movimientos!$B$1:$B$1324,"&lt;="&amp;$B110))</f>
        <v>0</v>
      </c>
      <c r="AE110" s="25">
        <f t="shared" si="4"/>
        <v>5029016.62</v>
      </c>
    </row>
    <row r="111" spans="1:31" hidden="1" outlineLevel="1" x14ac:dyDescent="0.3">
      <c r="A111" s="22">
        <f t="shared" si="2"/>
        <v>110</v>
      </c>
      <c r="B111" s="23">
        <v>46252</v>
      </c>
      <c r="C111" s="24">
        <f>SUMIFS('Saldos Iniciales'!$D:$D,'Saldos Iniciales'!$A:$A,"CFT Group")+SUMIFS(Movimientos!$K$1:$K$1324,Movimientos!$C$1:$C$1324,"CFT Group",Movimientos!$B$1:$B$1324,"&lt;="&amp;$B111)</f>
        <v>1047085.3600000005</v>
      </c>
      <c r="D111" s="24">
        <f>SUMIFS('Saldos Iniciales'!$D:$D,'Saldos Iniciales'!$A:$A,"M1B")+SUMIFS(Movimientos!$K$1:$K$1324,Movimientos!$C$1:$C$1324,"M1B",Movimientos!$B$1:$B$1324,"&lt;="&amp;$B111)</f>
        <v>83211.250000000175</v>
      </c>
      <c r="E111" s="24">
        <f>SUMIFS('Saldos Iniciales'!$D:$D,'Saldos Iniciales'!$A:$A,"Durand")+SUMIFS(Movimientos!$K$1:$K$1324,Movimientos!$C$1:$C$1324,"Durand",Movimientos!$B$1:$B$1324,"&lt;="&amp;$B111)</f>
        <v>1669.89</v>
      </c>
      <c r="F111" s="24">
        <f>SUMIFS('Saldos Iniciales'!$D:$D,'Saldos Iniciales'!$A:$A,"A&amp;M Imports")+SUMIFS(Movimientos!$K$1:$K$1324,Movimientos!$C$1:$C$1324,"A&amp;M Imports",Movimientos!$B$1:$B$1324,"&lt;="&amp;$B111)</f>
        <v>1289031.3399999999</v>
      </c>
      <c r="G111" s="24">
        <f>SUMIFS('Saldos Iniciales'!$D:$D,'Saldos Iniciales'!$A:$A,"SSP Capital")+SUMIFS(Movimientos!$K$1:$K$1324,Movimientos!$C$1:$C$1324,"SSP Capital",Movimientos!$B$1:$B$1324,"&lt;="&amp;$B111)</f>
        <v>1381487.1899999995</v>
      </c>
      <c r="H111" s="24">
        <f>SUMIFS('Saldos Iniciales'!$D:$D,'Saldos Iniciales'!$A:$A,"Cross Family Trust")+SUMIFS(Movimientos!$K$1:$K$1324,Movimientos!$C$1:$C$1324,"Cross Family Trust",Movimientos!$B$1:$B$1324,"&lt;="&amp;$B111)</f>
        <v>221496.38</v>
      </c>
      <c r="I111" s="24">
        <f>SUMIFS('Saldos Iniciales'!$D:$D,'Saldos Iniciales'!$A:$A,"Cross Security Trust")+SUMIFS(Movimientos!$K$1:$K$1324,Movimientos!$C$1:$C$1324,"Cross Security Trust",Movimientos!$B$1:$B$1324,"&lt;="&amp;$B111)</f>
        <v>277586.34000000003</v>
      </c>
      <c r="J111" s="24">
        <f>SUMIFS('Saldos Iniciales'!$D:$D,'Saldos Iniciales'!$A:$A,"Electrama")+SUMIFS(Movimientos!$K$1:$K$1324,Movimientos!$C$1:$C$1324,"Electrama",Movimientos!$B$1:$B$1324,"&lt;="&amp;$B111)</f>
        <v>13270.02</v>
      </c>
      <c r="K111" s="24">
        <f>SUMIFS('Saldos Iniciales'!$D:$D,'Saldos Iniciales'!$A:$A,"Sacred Valley Capital")+SUMIFS(Movimientos!$K$1:$K$1324,Movimientos!$C$1:$C$1324,"Sacred Valley Capital",Movimientos!$B$1:$B$1324,"&lt;="&amp;$B111)</f>
        <v>24.450000000000003</v>
      </c>
      <c r="L111" s="24">
        <f>SUMIFS('Saldos Iniciales'!$D:$D,'Saldos Iniciales'!$A:$A,"YWC Capital")+SUMIFS(Movimientos!$K$1:$K$1324,Movimientos!$C$1:$C$1324,"YWC Capital",Movimientos!$B$1:$B$1324,"&lt;="&amp;$B111)</f>
        <v>2177.87</v>
      </c>
      <c r="M111" s="24">
        <f>SUMIFS('Saldos Iniciales'!$D:$D,'Saldos Iniciales'!$A:$A,"Soweto")+SUMIFS(Movimientos!$K$1:$K$1324,Movimientos!$C$1:$C$1324,"Soweto",Movimientos!$B$1:$B$1324,"&lt;="&amp;$B111)</f>
        <v>754424.72</v>
      </c>
      <c r="N111" s="24">
        <f>SUMIFS('Saldos Iniciales'!$D:$D,'Saldos Iniciales'!$A:$A,"Green Stone Trust")+SUMIFS(Movimientos!$K$1:$K$1324,Movimientos!$C$1:$C$1324,"Green Stone Trust",Movimientos!$B$1:$B$1324,"&lt;="&amp;$B111)</f>
        <v>1968.99</v>
      </c>
      <c r="O111" s="24">
        <f>SUMIFS('Saldos Iniciales'!$D:$D,'Saldos Iniciales'!$A:$A,"EC Auto")+SUMIFS(Movimientos!$K$1:$K$1324,Movimientos!$C$1:$C$1324,"EC Auto",Movimientos!$B$1:$B$1324,"&lt;="&amp;$B111)</f>
        <v>901.34</v>
      </c>
      <c r="P111" s="24">
        <f>SUMIFS('Saldos Iniciales'!$D:$D,'Saldos Iniciales'!$A:$A,"Arbor Capital Properties")+SUMIFS(Movimientos!$K$1:$K$1324,Movimientos!$C$1:$C$1324,"Arbor Capital Properties",Movimientos!$B$1:$B$1324,"&lt;="&amp;$B111)</f>
        <v>1396.08</v>
      </c>
      <c r="Q111" s="24">
        <f>SUMIFS('Saldos Iniciales'!$D:$D,'Saldos Iniciales'!$A:$A,"2515 Overbrook")+SUMIFS(Movimientos!$K$1:$K$1324,Movimientos!$C$1:$C$1324,"2515 Overbrook",Movimientos!$B$1:$B$1324,"&lt;="&amp;$B111)</f>
        <v>13685.709999999959</v>
      </c>
      <c r="R111" s="24">
        <f>SUMIFS('Saldos Iniciales'!$D:$D,'Saldos Iniciales'!$A:$A,"112 Florida Ave")+SUMIFS(Movimientos!$K$1:$K$1324,Movimientos!$C$1:$C$1324,"112 Florida Ave",Movimientos!$B$1:$B$1324,"&lt;="&amp;$B111)</f>
        <v>8724.1700000000037</v>
      </c>
      <c r="S111" s="24">
        <f>SUMIFS('Saldos Iniciales'!$D:$D,'Saldos Iniciales'!$A:$A,"3628 Thomas Ave")+SUMIFS(Movimientos!$K$1:$K$1324,Movimientos!$C$1:$C$1324,"3628 Thomas Ave",Movimientos!$B$1:$B$1324,"&lt;="&amp;$B111)</f>
        <v>19336.039999999997</v>
      </c>
      <c r="T111" s="24">
        <f>SUMIFS('Saldos Iniciales'!$D:$D,'Saldos Iniciales'!$A:$A,"Green Harbor Trust")+SUMIFS(Movimientos!$K$1:$K$1324,Movimientos!$C$1:$C$1324,"Green Harbor Trust",Movimientos!$B$1:$B$1324,"&lt;="&amp;$B111)</f>
        <v>345</v>
      </c>
      <c r="U111" s="24">
        <f>SUMIFS('Saldos Iniciales'!$D:$D,'Saldos Iniciales'!$A:$A,"Go Blue")+SUMIFS(Movimientos!$K$1:$K$1324,Movimientos!$C$1:$C$1324,"Go Blue",Movimientos!$B$1:$B$1324,"&lt;="&amp;$B111)</f>
        <v>14565.900000000001</v>
      </c>
      <c r="V111" s="24">
        <f>IF(YEAR($B111)*100+MONTH($B111)&lt;--SUBSTITUTE(_xlfn.XLOOKUP("Pacha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LLC",Movimientos!$B$1:$B$1324,"&lt;="&amp;$B111))</f>
        <v>0</v>
      </c>
      <c r="W111" s="24">
        <f>IF(YEAR($B111)*100+MONTH($B111)&lt;--SUBSTITUTE(_xlfn.XLOOKUP("*CFT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Residence",Movimientos!$B$1:$B$1324,"&lt;="&amp;$B111))</f>
        <v>0</v>
      </c>
      <c r="X111" s="24">
        <f>IF(YEAR($B111)*100+MONTH($B111)&lt;--SUBSTITUTE(_xlfn.XLOOKUP("Carmen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Trust",Movimientos!$B$1:$B$1324,"&lt;="&amp;$B111))</f>
        <v>0</v>
      </c>
      <c r="Y111" s="24">
        <f>IF(YEAR($B111)*100+MONTH($B111)&lt;--SUBSTITUTE(_xlfn.XLOOKUP("SIYP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LLC",Movimientos!$B$1:$B$1324,"&lt;="&amp;$B111))</f>
        <v>0</v>
      </c>
      <c r="Z111" s="24">
        <f>IF(YEAR($B111)*100+MONTH($B111)&lt;--SUBSTITUTE(_xlfn.XLOOKUP("Prendamas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SRL",Movimientos!$B$1:$B$1324,"&lt;="&amp;$B111))</f>
        <v>0</v>
      </c>
      <c r="AA111" s="24">
        <f>IF(YEAR($B111)*100+MONTH($B111)&lt;--SUBSTITUTE(_xlfn.XLOOKUP("360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LLC",Movimientos!$B$1:$B$1324,"&lt;="&amp;$B111))</f>
        <v>0</v>
      </c>
      <c r="AB111" s="24">
        <f>IF(YEAR($B111)*100+MONTH($B111)&lt;--SUBSTITUTE(_xlfn.XLOOKUP("Five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",Movimientos!$B$1:$B$1324,"&lt;="&amp;$B111))</f>
        <v>0</v>
      </c>
      <c r="AC111" s="24">
        <f>IF(YEAR($B111)*100+MONTH($B111)&lt;--SUBSTITUTE(_xlfn.XLOOKUP("Nobe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Aparments",Movimientos!$B$1:$B$1324,"&lt;="&amp;$B111))</f>
        <v>0</v>
      </c>
      <c r="AD111" s="24">
        <f>IF(YEAR($B111)*100+MONTH($B111)&lt;--SUBSTITUTE(_xlfn.XLOOKUP("Don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Life",Movimientos!$B$1:$B$1324,"&lt;="&amp;$B111))</f>
        <v>0</v>
      </c>
      <c r="AE111" s="25">
        <f t="shared" si="4"/>
        <v>5132388.04</v>
      </c>
    </row>
    <row r="112" spans="1:31" hidden="1" outlineLevel="1" x14ac:dyDescent="0.3">
      <c r="A112" s="22">
        <f t="shared" si="2"/>
        <v>111</v>
      </c>
      <c r="B112" s="23">
        <v>46253</v>
      </c>
      <c r="C112" s="24">
        <f>SUMIFS('Saldos Iniciales'!$D:$D,'Saldos Iniciales'!$A:$A,"CFT Group")+SUMIFS(Movimientos!$K$1:$K$1324,Movimientos!$C$1:$C$1324,"CFT Group",Movimientos!$B$1:$B$1324,"&lt;="&amp;$B112)</f>
        <v>1047085.3600000005</v>
      </c>
      <c r="D112" s="24">
        <f>SUMIFS('Saldos Iniciales'!$D:$D,'Saldos Iniciales'!$A:$A,"M1B")+SUMIFS(Movimientos!$K$1:$K$1324,Movimientos!$C$1:$C$1324,"M1B",Movimientos!$B$1:$B$1324,"&lt;="&amp;$B112)</f>
        <v>83211.250000000175</v>
      </c>
      <c r="E112" s="24">
        <f>SUMIFS('Saldos Iniciales'!$D:$D,'Saldos Iniciales'!$A:$A,"Durand")+SUMIFS(Movimientos!$K$1:$K$1324,Movimientos!$C$1:$C$1324,"Durand",Movimientos!$B$1:$B$1324,"&lt;="&amp;$B112)</f>
        <v>1669.89</v>
      </c>
      <c r="F112" s="24">
        <f>SUMIFS('Saldos Iniciales'!$D:$D,'Saldos Iniciales'!$A:$A,"A&amp;M Imports")+SUMIFS(Movimientos!$K$1:$K$1324,Movimientos!$C$1:$C$1324,"A&amp;M Imports",Movimientos!$B$1:$B$1324,"&lt;="&amp;$B112)</f>
        <v>1289031.3399999999</v>
      </c>
      <c r="G112" s="24">
        <f>SUMIFS('Saldos Iniciales'!$D:$D,'Saldos Iniciales'!$A:$A,"SSP Capital")+SUMIFS(Movimientos!$K$1:$K$1324,Movimientos!$C$1:$C$1324,"SSP Capital",Movimientos!$B$1:$B$1324,"&lt;="&amp;$B112)</f>
        <v>1880583.4899999998</v>
      </c>
      <c r="H112" s="24">
        <f>SUMIFS('Saldos Iniciales'!$D:$D,'Saldos Iniciales'!$A:$A,"Cross Family Trust")+SUMIFS(Movimientos!$K$1:$K$1324,Movimientos!$C$1:$C$1324,"Cross Family Trust",Movimientos!$B$1:$B$1324,"&lt;="&amp;$B112)</f>
        <v>221496.38</v>
      </c>
      <c r="I112" s="24">
        <f>SUMIFS('Saldos Iniciales'!$D:$D,'Saldos Iniciales'!$A:$A,"Cross Security Trust")+SUMIFS(Movimientos!$K$1:$K$1324,Movimientos!$C$1:$C$1324,"Cross Security Trust",Movimientos!$B$1:$B$1324,"&lt;="&amp;$B112)</f>
        <v>277586.34000000003</v>
      </c>
      <c r="J112" s="24">
        <f>SUMIFS('Saldos Iniciales'!$D:$D,'Saldos Iniciales'!$A:$A,"Electrama")+SUMIFS(Movimientos!$K$1:$K$1324,Movimientos!$C$1:$C$1324,"Electrama",Movimientos!$B$1:$B$1324,"&lt;="&amp;$B112)</f>
        <v>13270.02</v>
      </c>
      <c r="K112" s="24">
        <f>SUMIFS('Saldos Iniciales'!$D:$D,'Saldos Iniciales'!$A:$A,"Sacred Valley Capital")+SUMIFS(Movimientos!$K$1:$K$1324,Movimientos!$C$1:$C$1324,"Sacred Valley Capital",Movimientos!$B$1:$B$1324,"&lt;="&amp;$B112)</f>
        <v>24.450000000000003</v>
      </c>
      <c r="L112" s="24">
        <f>SUMIFS('Saldos Iniciales'!$D:$D,'Saldos Iniciales'!$A:$A,"YWC Capital")+SUMIFS(Movimientos!$K$1:$K$1324,Movimientos!$C$1:$C$1324,"YWC Capital",Movimientos!$B$1:$B$1324,"&lt;="&amp;$B112)</f>
        <v>2177.87</v>
      </c>
      <c r="M112" s="24">
        <f>SUMIFS('Saldos Iniciales'!$D:$D,'Saldos Iniciales'!$A:$A,"Soweto")+SUMIFS(Movimientos!$K$1:$K$1324,Movimientos!$C$1:$C$1324,"Soweto",Movimientos!$B$1:$B$1324,"&lt;="&amp;$B112)</f>
        <v>754424.72</v>
      </c>
      <c r="N112" s="24">
        <f>SUMIFS('Saldos Iniciales'!$D:$D,'Saldos Iniciales'!$A:$A,"Green Stone Trust")+SUMIFS(Movimientos!$K$1:$K$1324,Movimientos!$C$1:$C$1324,"Green Stone Trust",Movimientos!$B$1:$B$1324,"&lt;="&amp;$B112)</f>
        <v>1968.99</v>
      </c>
      <c r="O112" s="24">
        <f>SUMIFS('Saldos Iniciales'!$D:$D,'Saldos Iniciales'!$A:$A,"EC Auto")+SUMIFS(Movimientos!$K$1:$K$1324,Movimientos!$C$1:$C$1324,"EC Auto",Movimientos!$B$1:$B$1324,"&lt;="&amp;$B112)</f>
        <v>901.34</v>
      </c>
      <c r="P112" s="24">
        <f>SUMIFS('Saldos Iniciales'!$D:$D,'Saldos Iniciales'!$A:$A,"Arbor Capital Properties")+SUMIFS(Movimientos!$K$1:$K$1324,Movimientos!$C$1:$C$1324,"Arbor Capital Properties",Movimientos!$B$1:$B$1324,"&lt;="&amp;$B112)</f>
        <v>1396.08</v>
      </c>
      <c r="Q112" s="24">
        <f>SUMIFS('Saldos Iniciales'!$D:$D,'Saldos Iniciales'!$A:$A,"2515 Overbrook")+SUMIFS(Movimientos!$K$1:$K$1324,Movimientos!$C$1:$C$1324,"2515 Overbrook",Movimientos!$B$1:$B$1324,"&lt;="&amp;$B112)</f>
        <v>13685.709999999959</v>
      </c>
      <c r="R112" s="24">
        <f>SUMIFS('Saldos Iniciales'!$D:$D,'Saldos Iniciales'!$A:$A,"112 Florida Ave")+SUMIFS(Movimientos!$K$1:$K$1324,Movimientos!$C$1:$C$1324,"112 Florida Ave",Movimientos!$B$1:$B$1324,"&lt;="&amp;$B112)</f>
        <v>8724.1700000000037</v>
      </c>
      <c r="S112" s="24">
        <f>SUMIFS('Saldos Iniciales'!$D:$D,'Saldos Iniciales'!$A:$A,"3628 Thomas Ave")+SUMIFS(Movimientos!$K$1:$K$1324,Movimientos!$C$1:$C$1324,"3628 Thomas Ave",Movimientos!$B$1:$B$1324,"&lt;="&amp;$B112)</f>
        <v>19336.039999999997</v>
      </c>
      <c r="T112" s="24">
        <f>SUMIFS('Saldos Iniciales'!$D:$D,'Saldos Iniciales'!$A:$A,"Green Harbor Trust")+SUMIFS(Movimientos!$K$1:$K$1324,Movimientos!$C$1:$C$1324,"Green Harbor Trust",Movimientos!$B$1:$B$1324,"&lt;="&amp;$B112)</f>
        <v>345</v>
      </c>
      <c r="U112" s="24">
        <f>SUMIFS('Saldos Iniciales'!$D:$D,'Saldos Iniciales'!$A:$A,"Go Blue")+SUMIFS(Movimientos!$K$1:$K$1324,Movimientos!$C$1:$C$1324,"Go Blue",Movimientos!$B$1:$B$1324,"&lt;="&amp;$B112)</f>
        <v>14565.900000000001</v>
      </c>
      <c r="V112" s="24">
        <f>IF(YEAR($B112)*100+MONTH($B112)&lt;--SUBSTITUTE(_xlfn.XLOOKUP("Pacha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LLC",Movimientos!$B$1:$B$1324,"&lt;="&amp;$B112))</f>
        <v>0</v>
      </c>
      <c r="W112" s="24">
        <f>IF(YEAR($B112)*100+MONTH($B112)&lt;--SUBSTITUTE(_xlfn.XLOOKUP("*CFT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Residence",Movimientos!$B$1:$B$1324,"&lt;="&amp;$B112))</f>
        <v>0</v>
      </c>
      <c r="X112" s="24">
        <f>IF(YEAR($B112)*100+MONTH($B112)&lt;--SUBSTITUTE(_xlfn.XLOOKUP("Carmen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Trust",Movimientos!$B$1:$B$1324,"&lt;="&amp;$B112))</f>
        <v>0</v>
      </c>
      <c r="Y112" s="24">
        <f>IF(YEAR($B112)*100+MONTH($B112)&lt;--SUBSTITUTE(_xlfn.XLOOKUP("SIYP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LLC",Movimientos!$B$1:$B$1324,"&lt;="&amp;$B112))</f>
        <v>0</v>
      </c>
      <c r="Z112" s="24">
        <f>IF(YEAR($B112)*100+MONTH($B112)&lt;--SUBSTITUTE(_xlfn.XLOOKUP("Prendamas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SRL",Movimientos!$B$1:$B$1324,"&lt;="&amp;$B112))</f>
        <v>0</v>
      </c>
      <c r="AA112" s="24">
        <f>IF(YEAR($B112)*100+MONTH($B112)&lt;--SUBSTITUTE(_xlfn.XLOOKUP("360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LLC",Movimientos!$B$1:$B$1324,"&lt;="&amp;$B112))</f>
        <v>0</v>
      </c>
      <c r="AB112" s="24">
        <f>IF(YEAR($B112)*100+MONTH($B112)&lt;--SUBSTITUTE(_xlfn.XLOOKUP("Five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",Movimientos!$B$1:$B$1324,"&lt;="&amp;$B112))</f>
        <v>0</v>
      </c>
      <c r="AC112" s="24">
        <f>IF(YEAR($B112)*100+MONTH($B112)&lt;--SUBSTITUTE(_xlfn.XLOOKUP("Nobe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Aparments",Movimientos!$B$1:$B$1324,"&lt;="&amp;$B112))</f>
        <v>0</v>
      </c>
      <c r="AD112" s="24">
        <f>IF(YEAR($B112)*100+MONTH($B112)&lt;--SUBSTITUTE(_xlfn.XLOOKUP("Don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Life",Movimientos!$B$1:$B$1324,"&lt;="&amp;$B112))</f>
        <v>0</v>
      </c>
      <c r="AE112" s="25">
        <f t="shared" si="4"/>
        <v>5631484.3399999999</v>
      </c>
    </row>
    <row r="113" spans="1:31" hidden="1" outlineLevel="1" x14ac:dyDescent="0.3">
      <c r="A113" s="22">
        <f t="shared" si="2"/>
        <v>112</v>
      </c>
      <c r="B113" s="23">
        <v>46254</v>
      </c>
      <c r="C113" s="24">
        <f>SUMIFS('Saldos Iniciales'!$D:$D,'Saldos Iniciales'!$A:$A,"CFT Group")+SUMIFS(Movimientos!$K$1:$K$1324,Movimientos!$C$1:$C$1324,"CFT Group",Movimientos!$B$1:$B$1324,"&lt;="&amp;$B113)</f>
        <v>702210.36000000045</v>
      </c>
      <c r="D113" s="24">
        <f>SUMIFS('Saldos Iniciales'!$D:$D,'Saldos Iniciales'!$A:$A,"M1B")+SUMIFS(Movimientos!$K$1:$K$1324,Movimientos!$C$1:$C$1324,"M1B",Movimientos!$B$1:$B$1324,"&lt;="&amp;$B113)</f>
        <v>83211.250000000175</v>
      </c>
      <c r="E113" s="24">
        <f>SUMIFS('Saldos Iniciales'!$D:$D,'Saldos Iniciales'!$A:$A,"Durand")+SUMIFS(Movimientos!$K$1:$K$1324,Movimientos!$C$1:$C$1324,"Durand",Movimientos!$B$1:$B$1324,"&lt;="&amp;$B113)</f>
        <v>1669.89</v>
      </c>
      <c r="F113" s="24">
        <f>SUMIFS('Saldos Iniciales'!$D:$D,'Saldos Iniciales'!$A:$A,"A&amp;M Imports")+SUMIFS(Movimientos!$K$1:$K$1324,Movimientos!$C$1:$C$1324,"A&amp;M Imports",Movimientos!$B$1:$B$1324,"&lt;="&amp;$B113)</f>
        <v>1229031.3399999999</v>
      </c>
      <c r="G113" s="24">
        <f>SUMIFS('Saldos Iniciales'!$D:$D,'Saldos Iniciales'!$A:$A,"SSP Capital")+SUMIFS(Movimientos!$K$1:$K$1324,Movimientos!$C$1:$C$1324,"SSP Capital",Movimientos!$B$1:$B$1324,"&lt;="&amp;$B113)</f>
        <v>1744052.5799999996</v>
      </c>
      <c r="H113" s="24">
        <f>SUMIFS('Saldos Iniciales'!$D:$D,'Saldos Iniciales'!$A:$A,"Cross Family Trust")+SUMIFS(Movimientos!$K$1:$K$1324,Movimientos!$C$1:$C$1324,"Cross Family Trust",Movimientos!$B$1:$B$1324,"&lt;="&amp;$B113)</f>
        <v>221496.38</v>
      </c>
      <c r="I113" s="24">
        <f>SUMIFS('Saldos Iniciales'!$D:$D,'Saldos Iniciales'!$A:$A,"Cross Security Trust")+SUMIFS(Movimientos!$K$1:$K$1324,Movimientos!$C$1:$C$1324,"Cross Security Trust",Movimientos!$B$1:$B$1324,"&lt;="&amp;$B113)</f>
        <v>277586.34000000003</v>
      </c>
      <c r="J113" s="24">
        <f>SUMIFS('Saldos Iniciales'!$D:$D,'Saldos Iniciales'!$A:$A,"Electrama")+SUMIFS(Movimientos!$K$1:$K$1324,Movimientos!$C$1:$C$1324,"Electrama",Movimientos!$B$1:$B$1324,"&lt;="&amp;$B113)</f>
        <v>13270.02</v>
      </c>
      <c r="K113" s="24">
        <f>SUMIFS('Saldos Iniciales'!$D:$D,'Saldos Iniciales'!$A:$A,"Sacred Valley Capital")+SUMIFS(Movimientos!$K$1:$K$1324,Movimientos!$C$1:$C$1324,"Sacred Valley Capital",Movimientos!$B$1:$B$1324,"&lt;="&amp;$B113)</f>
        <v>24.450000000000003</v>
      </c>
      <c r="L113" s="24">
        <f>SUMIFS('Saldos Iniciales'!$D:$D,'Saldos Iniciales'!$A:$A,"YWC Capital")+SUMIFS(Movimientos!$K$1:$K$1324,Movimientos!$C$1:$C$1324,"YWC Capital",Movimientos!$B$1:$B$1324,"&lt;="&amp;$B113)</f>
        <v>2177.87</v>
      </c>
      <c r="M113" s="24">
        <f>SUMIFS('Saldos Iniciales'!$D:$D,'Saldos Iniciales'!$A:$A,"Soweto")+SUMIFS(Movimientos!$K$1:$K$1324,Movimientos!$C$1:$C$1324,"Soweto",Movimientos!$B$1:$B$1324,"&lt;="&amp;$B113)</f>
        <v>754424.72</v>
      </c>
      <c r="N113" s="24">
        <f>SUMIFS('Saldos Iniciales'!$D:$D,'Saldos Iniciales'!$A:$A,"Green Stone Trust")+SUMIFS(Movimientos!$K$1:$K$1324,Movimientos!$C$1:$C$1324,"Green Stone Trust",Movimientos!$B$1:$B$1324,"&lt;="&amp;$B113)</f>
        <v>1968.99</v>
      </c>
      <c r="O113" s="24">
        <f>SUMIFS('Saldos Iniciales'!$D:$D,'Saldos Iniciales'!$A:$A,"EC Auto")+SUMIFS(Movimientos!$K$1:$K$1324,Movimientos!$C$1:$C$1324,"EC Auto",Movimientos!$B$1:$B$1324,"&lt;="&amp;$B113)</f>
        <v>901.34</v>
      </c>
      <c r="P113" s="24">
        <f>SUMIFS('Saldos Iniciales'!$D:$D,'Saldos Iniciales'!$A:$A,"Arbor Capital Properties")+SUMIFS(Movimientos!$K$1:$K$1324,Movimientos!$C$1:$C$1324,"Arbor Capital Properties",Movimientos!$B$1:$B$1324,"&lt;="&amp;$B113)</f>
        <v>1396.08</v>
      </c>
      <c r="Q113" s="24">
        <f>SUMIFS('Saldos Iniciales'!$D:$D,'Saldos Iniciales'!$A:$A,"2515 Overbrook")+SUMIFS(Movimientos!$K$1:$K$1324,Movimientos!$C$1:$C$1324,"2515 Overbrook",Movimientos!$B$1:$B$1324,"&lt;="&amp;$B113)</f>
        <v>13685.709999999959</v>
      </c>
      <c r="R113" s="24">
        <f>SUMIFS('Saldos Iniciales'!$D:$D,'Saldos Iniciales'!$A:$A,"112 Florida Ave")+SUMIFS(Movimientos!$K$1:$K$1324,Movimientos!$C$1:$C$1324,"112 Florida Ave",Movimientos!$B$1:$B$1324,"&lt;="&amp;$B113)</f>
        <v>8724.1700000000037</v>
      </c>
      <c r="S113" s="24">
        <f>SUMIFS('Saldos Iniciales'!$D:$D,'Saldos Iniciales'!$A:$A,"3628 Thomas Ave")+SUMIFS(Movimientos!$K$1:$K$1324,Movimientos!$C$1:$C$1324,"3628 Thomas Ave",Movimientos!$B$1:$B$1324,"&lt;="&amp;$B113)</f>
        <v>19336.039999999997</v>
      </c>
      <c r="T113" s="24">
        <f>SUMIFS('Saldos Iniciales'!$D:$D,'Saldos Iniciales'!$A:$A,"Green Harbor Trust")+SUMIFS(Movimientos!$K$1:$K$1324,Movimientos!$C$1:$C$1324,"Green Harbor Trust",Movimientos!$B$1:$B$1324,"&lt;="&amp;$B113)</f>
        <v>345</v>
      </c>
      <c r="U113" s="24">
        <f>SUMIFS('Saldos Iniciales'!$D:$D,'Saldos Iniciales'!$A:$A,"Go Blue")+SUMIFS(Movimientos!$K$1:$K$1324,Movimientos!$C$1:$C$1324,"Go Blue",Movimientos!$B$1:$B$1324,"&lt;="&amp;$B113)</f>
        <v>12741.780000000002</v>
      </c>
      <c r="V113" s="24">
        <f>IF(YEAR($B113)*100+MONTH($B113)&lt;--SUBSTITUTE(_xlfn.XLOOKUP("Pacha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LLC",Movimientos!$B$1:$B$1324,"&lt;="&amp;$B113))</f>
        <v>0</v>
      </c>
      <c r="W113" s="24">
        <f>IF(YEAR($B113)*100+MONTH($B113)&lt;--SUBSTITUTE(_xlfn.XLOOKUP("*CFT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Residence",Movimientos!$B$1:$B$1324,"&lt;="&amp;$B113))</f>
        <v>0</v>
      </c>
      <c r="X113" s="24">
        <f>IF(YEAR($B113)*100+MONTH($B113)&lt;--SUBSTITUTE(_xlfn.XLOOKUP("Carmen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Trust",Movimientos!$B$1:$B$1324,"&lt;="&amp;$B113))</f>
        <v>0</v>
      </c>
      <c r="Y113" s="24">
        <f>IF(YEAR($B113)*100+MONTH($B113)&lt;--SUBSTITUTE(_xlfn.XLOOKUP("SIYP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LLC",Movimientos!$B$1:$B$1324,"&lt;="&amp;$B113))</f>
        <v>0</v>
      </c>
      <c r="Z113" s="24">
        <f>IF(YEAR($B113)*100+MONTH($B113)&lt;--SUBSTITUTE(_xlfn.XLOOKUP("Prendamas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SRL",Movimientos!$B$1:$B$1324,"&lt;="&amp;$B113))</f>
        <v>0</v>
      </c>
      <c r="AA113" s="24">
        <f>IF(YEAR($B113)*100+MONTH($B113)&lt;--SUBSTITUTE(_xlfn.XLOOKUP("360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LLC",Movimientos!$B$1:$B$1324,"&lt;="&amp;$B113))</f>
        <v>0</v>
      </c>
      <c r="AB113" s="24">
        <f>IF(YEAR($B113)*100+MONTH($B113)&lt;--SUBSTITUTE(_xlfn.XLOOKUP("Five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",Movimientos!$B$1:$B$1324,"&lt;="&amp;$B113))</f>
        <v>0</v>
      </c>
      <c r="AC113" s="24">
        <f>IF(YEAR($B113)*100+MONTH($B113)&lt;--SUBSTITUTE(_xlfn.XLOOKUP("Nobe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Aparments",Movimientos!$B$1:$B$1324,"&lt;="&amp;$B113))</f>
        <v>0</v>
      </c>
      <c r="AD113" s="24">
        <f>IF(YEAR($B113)*100+MONTH($B113)&lt;--SUBSTITUTE(_xlfn.XLOOKUP("Don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Life",Movimientos!$B$1:$B$1324,"&lt;="&amp;$B113))</f>
        <v>0</v>
      </c>
      <c r="AE113" s="25">
        <f t="shared" si="4"/>
        <v>5088254.3099999996</v>
      </c>
    </row>
    <row r="114" spans="1:31" hidden="1" outlineLevel="1" x14ac:dyDescent="0.3">
      <c r="A114" s="22">
        <f t="shared" si="2"/>
        <v>113</v>
      </c>
      <c r="B114" s="23">
        <v>46255</v>
      </c>
      <c r="C114" s="24">
        <f>SUMIFS('Saldos Iniciales'!$D:$D,'Saldos Iniciales'!$A:$A,"CFT Group")+SUMIFS(Movimientos!$K$1:$K$1324,Movimientos!$C$1:$C$1324,"CFT Group",Movimientos!$B$1:$B$1324,"&lt;="&amp;$B114)</f>
        <v>702210.36000000045</v>
      </c>
      <c r="D114" s="24">
        <f>SUMIFS('Saldos Iniciales'!$D:$D,'Saldos Iniciales'!$A:$A,"M1B")+SUMIFS(Movimientos!$K$1:$K$1324,Movimientos!$C$1:$C$1324,"M1B",Movimientos!$B$1:$B$1324,"&lt;="&amp;$B114)</f>
        <v>83211.250000000175</v>
      </c>
      <c r="E114" s="24">
        <f>SUMIFS('Saldos Iniciales'!$D:$D,'Saldos Iniciales'!$A:$A,"Durand")+SUMIFS(Movimientos!$K$1:$K$1324,Movimientos!$C$1:$C$1324,"Durand",Movimientos!$B$1:$B$1324,"&lt;="&amp;$B114)</f>
        <v>1669.89</v>
      </c>
      <c r="F114" s="24">
        <f>SUMIFS('Saldos Iniciales'!$D:$D,'Saldos Iniciales'!$A:$A,"A&amp;M Imports")+SUMIFS(Movimientos!$K$1:$K$1324,Movimientos!$C$1:$C$1324,"A&amp;M Imports",Movimientos!$B$1:$B$1324,"&lt;="&amp;$B114)</f>
        <v>1229031.3399999999</v>
      </c>
      <c r="G114" s="24">
        <f>SUMIFS('Saldos Iniciales'!$D:$D,'Saldos Iniciales'!$A:$A,"SSP Capital")+SUMIFS(Movimientos!$K$1:$K$1324,Movimientos!$C$1:$C$1324,"SSP Capital",Movimientos!$B$1:$B$1324,"&lt;="&amp;$B114)</f>
        <v>1744052.5799999996</v>
      </c>
      <c r="H114" s="24">
        <f>SUMIFS('Saldos Iniciales'!$D:$D,'Saldos Iniciales'!$A:$A,"Cross Family Trust")+SUMIFS(Movimientos!$K$1:$K$1324,Movimientos!$C$1:$C$1324,"Cross Family Trust",Movimientos!$B$1:$B$1324,"&lt;="&amp;$B114)</f>
        <v>221496.38</v>
      </c>
      <c r="I114" s="24">
        <f>SUMIFS('Saldos Iniciales'!$D:$D,'Saldos Iniciales'!$A:$A,"Cross Security Trust")+SUMIFS(Movimientos!$K$1:$K$1324,Movimientos!$C$1:$C$1324,"Cross Security Trust",Movimientos!$B$1:$B$1324,"&lt;="&amp;$B114)</f>
        <v>277586.34000000003</v>
      </c>
      <c r="J114" s="24">
        <f>SUMIFS('Saldos Iniciales'!$D:$D,'Saldos Iniciales'!$A:$A,"Electrama")+SUMIFS(Movimientos!$K$1:$K$1324,Movimientos!$C$1:$C$1324,"Electrama",Movimientos!$B$1:$B$1324,"&lt;="&amp;$B114)</f>
        <v>13270.02</v>
      </c>
      <c r="K114" s="24">
        <f>SUMIFS('Saldos Iniciales'!$D:$D,'Saldos Iniciales'!$A:$A,"Sacred Valley Capital")+SUMIFS(Movimientos!$K$1:$K$1324,Movimientos!$C$1:$C$1324,"Sacred Valley Capital",Movimientos!$B$1:$B$1324,"&lt;="&amp;$B114)</f>
        <v>24.450000000000003</v>
      </c>
      <c r="L114" s="24">
        <f>SUMIFS('Saldos Iniciales'!$D:$D,'Saldos Iniciales'!$A:$A,"YWC Capital")+SUMIFS(Movimientos!$K$1:$K$1324,Movimientos!$C$1:$C$1324,"YWC Capital",Movimientos!$B$1:$B$1324,"&lt;="&amp;$B114)</f>
        <v>2177.87</v>
      </c>
      <c r="M114" s="24">
        <f>SUMIFS('Saldos Iniciales'!$D:$D,'Saldos Iniciales'!$A:$A,"Soweto")+SUMIFS(Movimientos!$K$1:$K$1324,Movimientos!$C$1:$C$1324,"Soweto",Movimientos!$B$1:$B$1324,"&lt;="&amp;$B114)</f>
        <v>754424.72</v>
      </c>
      <c r="N114" s="24">
        <f>SUMIFS('Saldos Iniciales'!$D:$D,'Saldos Iniciales'!$A:$A,"Green Stone Trust")+SUMIFS(Movimientos!$K$1:$K$1324,Movimientos!$C$1:$C$1324,"Green Stone Trust",Movimientos!$B$1:$B$1324,"&lt;="&amp;$B114)</f>
        <v>1968.99</v>
      </c>
      <c r="O114" s="24">
        <f>SUMIFS('Saldos Iniciales'!$D:$D,'Saldos Iniciales'!$A:$A,"EC Auto")+SUMIFS(Movimientos!$K$1:$K$1324,Movimientos!$C$1:$C$1324,"EC Auto",Movimientos!$B$1:$B$1324,"&lt;="&amp;$B114)</f>
        <v>901.34</v>
      </c>
      <c r="P114" s="24">
        <f>SUMIFS('Saldos Iniciales'!$D:$D,'Saldos Iniciales'!$A:$A,"Arbor Capital Properties")+SUMIFS(Movimientos!$K$1:$K$1324,Movimientos!$C$1:$C$1324,"Arbor Capital Properties",Movimientos!$B$1:$B$1324,"&lt;="&amp;$B114)</f>
        <v>1396.08</v>
      </c>
      <c r="Q114" s="24">
        <f>SUMIFS('Saldos Iniciales'!$D:$D,'Saldos Iniciales'!$A:$A,"2515 Overbrook")+SUMIFS(Movimientos!$K$1:$K$1324,Movimientos!$C$1:$C$1324,"2515 Overbrook",Movimientos!$B$1:$B$1324,"&lt;="&amp;$B114)</f>
        <v>13685.709999999959</v>
      </c>
      <c r="R114" s="24">
        <f>SUMIFS('Saldos Iniciales'!$D:$D,'Saldos Iniciales'!$A:$A,"112 Florida Ave")+SUMIFS(Movimientos!$K$1:$K$1324,Movimientos!$C$1:$C$1324,"112 Florida Ave",Movimientos!$B$1:$B$1324,"&lt;="&amp;$B114)</f>
        <v>8724.1700000000037</v>
      </c>
      <c r="S114" s="24">
        <f>SUMIFS('Saldos Iniciales'!$D:$D,'Saldos Iniciales'!$A:$A,"3628 Thomas Ave")+SUMIFS(Movimientos!$K$1:$K$1324,Movimientos!$C$1:$C$1324,"3628 Thomas Ave",Movimientos!$B$1:$B$1324,"&lt;="&amp;$B114)</f>
        <v>19336.039999999997</v>
      </c>
      <c r="T114" s="24">
        <f>SUMIFS('Saldos Iniciales'!$D:$D,'Saldos Iniciales'!$A:$A,"Green Harbor Trust")+SUMIFS(Movimientos!$K$1:$K$1324,Movimientos!$C$1:$C$1324,"Green Harbor Trust",Movimientos!$B$1:$B$1324,"&lt;="&amp;$B114)</f>
        <v>345</v>
      </c>
      <c r="U114" s="24">
        <f>SUMIFS('Saldos Iniciales'!$D:$D,'Saldos Iniciales'!$A:$A,"Go Blue")+SUMIFS(Movimientos!$K$1:$K$1324,Movimientos!$C$1:$C$1324,"Go Blue",Movimientos!$B$1:$B$1324,"&lt;="&amp;$B114)</f>
        <v>12541.790000000003</v>
      </c>
      <c r="V114" s="24">
        <f>IF(YEAR($B114)*100+MONTH($B114)&lt;--SUBSTITUTE(_xlfn.XLOOKUP("Pacha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LLC",Movimientos!$B$1:$B$1324,"&lt;="&amp;$B114))</f>
        <v>0</v>
      </c>
      <c r="W114" s="24">
        <f>IF(YEAR($B114)*100+MONTH($B114)&lt;--SUBSTITUTE(_xlfn.XLOOKUP("*CFT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Residence",Movimientos!$B$1:$B$1324,"&lt;="&amp;$B114))</f>
        <v>0</v>
      </c>
      <c r="X114" s="24">
        <f>IF(YEAR($B114)*100+MONTH($B114)&lt;--SUBSTITUTE(_xlfn.XLOOKUP("Carmen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Trust",Movimientos!$B$1:$B$1324,"&lt;="&amp;$B114))</f>
        <v>0</v>
      </c>
      <c r="Y114" s="24">
        <f>IF(YEAR($B114)*100+MONTH($B114)&lt;--SUBSTITUTE(_xlfn.XLOOKUP("SIYP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LLC",Movimientos!$B$1:$B$1324,"&lt;="&amp;$B114))</f>
        <v>0</v>
      </c>
      <c r="Z114" s="24">
        <f>IF(YEAR($B114)*100+MONTH($B114)&lt;--SUBSTITUTE(_xlfn.XLOOKUP("Prendamas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SRL",Movimientos!$B$1:$B$1324,"&lt;="&amp;$B114))</f>
        <v>0</v>
      </c>
      <c r="AA114" s="24">
        <f>IF(YEAR($B114)*100+MONTH($B114)&lt;--SUBSTITUTE(_xlfn.XLOOKUP("360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LLC",Movimientos!$B$1:$B$1324,"&lt;="&amp;$B114))</f>
        <v>0</v>
      </c>
      <c r="AB114" s="24">
        <f>IF(YEAR($B114)*100+MONTH($B114)&lt;--SUBSTITUTE(_xlfn.XLOOKUP("Five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",Movimientos!$B$1:$B$1324,"&lt;="&amp;$B114))</f>
        <v>0</v>
      </c>
      <c r="AC114" s="24">
        <f>IF(YEAR($B114)*100+MONTH($B114)&lt;--SUBSTITUTE(_xlfn.XLOOKUP("Nobe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Aparments",Movimientos!$B$1:$B$1324,"&lt;="&amp;$B114))</f>
        <v>0</v>
      </c>
      <c r="AD114" s="24">
        <f>IF(YEAR($B114)*100+MONTH($B114)&lt;--SUBSTITUTE(_xlfn.XLOOKUP("Don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Life",Movimientos!$B$1:$B$1324,"&lt;="&amp;$B114))</f>
        <v>0</v>
      </c>
      <c r="AE114" s="25">
        <f t="shared" si="4"/>
        <v>5088054.3199999994</v>
      </c>
    </row>
    <row r="115" spans="1:31" hidden="1" outlineLevel="1" x14ac:dyDescent="0.3">
      <c r="A115" s="22">
        <f t="shared" si="2"/>
        <v>114</v>
      </c>
      <c r="B115" s="23">
        <v>46256</v>
      </c>
      <c r="C115" s="24">
        <f>SUMIFS('Saldos Iniciales'!$D:$D,'Saldos Iniciales'!$A:$A,"CFT Group")+SUMIFS(Movimientos!$K$1:$K$1324,Movimientos!$C$1:$C$1324,"CFT Group",Movimientos!$B$1:$B$1324,"&lt;="&amp;$B115)</f>
        <v>702210.36000000045</v>
      </c>
      <c r="D115" s="24">
        <f>SUMIFS('Saldos Iniciales'!$D:$D,'Saldos Iniciales'!$A:$A,"M1B")+SUMIFS(Movimientos!$K$1:$K$1324,Movimientos!$C$1:$C$1324,"M1B",Movimientos!$B$1:$B$1324,"&lt;="&amp;$B115)</f>
        <v>83211.250000000175</v>
      </c>
      <c r="E115" s="24">
        <f>SUMIFS('Saldos Iniciales'!$D:$D,'Saldos Iniciales'!$A:$A,"Durand")+SUMIFS(Movimientos!$K$1:$K$1324,Movimientos!$C$1:$C$1324,"Durand",Movimientos!$B$1:$B$1324,"&lt;="&amp;$B115)</f>
        <v>1669.89</v>
      </c>
      <c r="F115" s="24">
        <f>SUMIFS('Saldos Iniciales'!$D:$D,'Saldos Iniciales'!$A:$A,"A&amp;M Imports")+SUMIFS(Movimientos!$K$1:$K$1324,Movimientos!$C$1:$C$1324,"A&amp;M Imports",Movimientos!$B$1:$B$1324,"&lt;="&amp;$B115)</f>
        <v>1229031.3399999999</v>
      </c>
      <c r="G115" s="24">
        <f>SUMIFS('Saldos Iniciales'!$D:$D,'Saldos Iniciales'!$A:$A,"SSP Capital")+SUMIFS(Movimientos!$K$1:$K$1324,Movimientos!$C$1:$C$1324,"SSP Capital",Movimientos!$B$1:$B$1324,"&lt;="&amp;$B115)</f>
        <v>1744052.5799999996</v>
      </c>
      <c r="H115" s="24">
        <f>SUMIFS('Saldos Iniciales'!$D:$D,'Saldos Iniciales'!$A:$A,"Cross Family Trust")+SUMIFS(Movimientos!$K$1:$K$1324,Movimientos!$C$1:$C$1324,"Cross Family Trust",Movimientos!$B$1:$B$1324,"&lt;="&amp;$B115)</f>
        <v>221496.38</v>
      </c>
      <c r="I115" s="24">
        <f>SUMIFS('Saldos Iniciales'!$D:$D,'Saldos Iniciales'!$A:$A,"Cross Security Trust")+SUMIFS(Movimientos!$K$1:$K$1324,Movimientos!$C$1:$C$1324,"Cross Security Trust",Movimientos!$B$1:$B$1324,"&lt;="&amp;$B115)</f>
        <v>277586.34000000003</v>
      </c>
      <c r="J115" s="24">
        <f>SUMIFS('Saldos Iniciales'!$D:$D,'Saldos Iniciales'!$A:$A,"Electrama")+SUMIFS(Movimientos!$K$1:$K$1324,Movimientos!$C$1:$C$1324,"Electrama",Movimientos!$B$1:$B$1324,"&lt;="&amp;$B115)</f>
        <v>13270.02</v>
      </c>
      <c r="K115" s="24">
        <f>SUMIFS('Saldos Iniciales'!$D:$D,'Saldos Iniciales'!$A:$A,"Sacred Valley Capital")+SUMIFS(Movimientos!$K$1:$K$1324,Movimientos!$C$1:$C$1324,"Sacred Valley Capital",Movimientos!$B$1:$B$1324,"&lt;="&amp;$B115)</f>
        <v>24.450000000000003</v>
      </c>
      <c r="L115" s="24">
        <f>SUMIFS('Saldos Iniciales'!$D:$D,'Saldos Iniciales'!$A:$A,"YWC Capital")+SUMIFS(Movimientos!$K$1:$K$1324,Movimientos!$C$1:$C$1324,"YWC Capital",Movimientos!$B$1:$B$1324,"&lt;="&amp;$B115)</f>
        <v>2177.87</v>
      </c>
      <c r="M115" s="24">
        <f>SUMIFS('Saldos Iniciales'!$D:$D,'Saldos Iniciales'!$A:$A,"Soweto")+SUMIFS(Movimientos!$K$1:$K$1324,Movimientos!$C$1:$C$1324,"Soweto",Movimientos!$B$1:$B$1324,"&lt;="&amp;$B115)</f>
        <v>754424.72</v>
      </c>
      <c r="N115" s="24">
        <f>SUMIFS('Saldos Iniciales'!$D:$D,'Saldos Iniciales'!$A:$A,"Green Stone Trust")+SUMIFS(Movimientos!$K$1:$K$1324,Movimientos!$C$1:$C$1324,"Green Stone Trust",Movimientos!$B$1:$B$1324,"&lt;="&amp;$B115)</f>
        <v>1968.99</v>
      </c>
      <c r="O115" s="24">
        <f>SUMIFS('Saldos Iniciales'!$D:$D,'Saldos Iniciales'!$A:$A,"EC Auto")+SUMIFS(Movimientos!$K$1:$K$1324,Movimientos!$C$1:$C$1324,"EC Auto",Movimientos!$B$1:$B$1324,"&lt;="&amp;$B115)</f>
        <v>901.34</v>
      </c>
      <c r="P115" s="24">
        <f>SUMIFS('Saldos Iniciales'!$D:$D,'Saldos Iniciales'!$A:$A,"Arbor Capital Properties")+SUMIFS(Movimientos!$K$1:$K$1324,Movimientos!$C$1:$C$1324,"Arbor Capital Properties",Movimientos!$B$1:$B$1324,"&lt;="&amp;$B115)</f>
        <v>1396.08</v>
      </c>
      <c r="Q115" s="24">
        <f>SUMIFS('Saldos Iniciales'!$D:$D,'Saldos Iniciales'!$A:$A,"2515 Overbrook")+SUMIFS(Movimientos!$K$1:$K$1324,Movimientos!$C$1:$C$1324,"2515 Overbrook",Movimientos!$B$1:$B$1324,"&lt;="&amp;$B115)</f>
        <v>13685.709999999959</v>
      </c>
      <c r="R115" s="24">
        <f>SUMIFS('Saldos Iniciales'!$D:$D,'Saldos Iniciales'!$A:$A,"112 Florida Ave")+SUMIFS(Movimientos!$K$1:$K$1324,Movimientos!$C$1:$C$1324,"112 Florida Ave",Movimientos!$B$1:$B$1324,"&lt;="&amp;$B115)</f>
        <v>8724.1700000000037</v>
      </c>
      <c r="S115" s="24">
        <f>SUMIFS('Saldos Iniciales'!$D:$D,'Saldos Iniciales'!$A:$A,"3628 Thomas Ave")+SUMIFS(Movimientos!$K$1:$K$1324,Movimientos!$C$1:$C$1324,"3628 Thomas Ave",Movimientos!$B$1:$B$1324,"&lt;="&amp;$B115)</f>
        <v>19336.039999999997</v>
      </c>
      <c r="T115" s="24">
        <f>SUMIFS('Saldos Iniciales'!$D:$D,'Saldos Iniciales'!$A:$A,"Green Harbor Trust")+SUMIFS(Movimientos!$K$1:$K$1324,Movimientos!$C$1:$C$1324,"Green Harbor Trust",Movimientos!$B$1:$B$1324,"&lt;="&amp;$B115)</f>
        <v>345</v>
      </c>
      <c r="U115" s="24">
        <f>SUMIFS('Saldos Iniciales'!$D:$D,'Saldos Iniciales'!$A:$A,"Go Blue")+SUMIFS(Movimientos!$K$1:$K$1324,Movimientos!$C$1:$C$1324,"Go Blue",Movimientos!$B$1:$B$1324,"&lt;="&amp;$B115)</f>
        <v>12541.790000000003</v>
      </c>
      <c r="V115" s="24">
        <f>IF(YEAR($B115)*100+MONTH($B115)&lt;--SUBSTITUTE(_xlfn.XLOOKUP("Pacha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LLC",Movimientos!$B$1:$B$1324,"&lt;="&amp;$B115))</f>
        <v>0</v>
      </c>
      <c r="W115" s="24">
        <f>IF(YEAR($B115)*100+MONTH($B115)&lt;--SUBSTITUTE(_xlfn.XLOOKUP("*CFT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Residence",Movimientos!$B$1:$B$1324,"&lt;="&amp;$B115))</f>
        <v>0</v>
      </c>
      <c r="X115" s="24">
        <f>IF(YEAR($B115)*100+MONTH($B115)&lt;--SUBSTITUTE(_xlfn.XLOOKUP("Carmen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Trust",Movimientos!$B$1:$B$1324,"&lt;="&amp;$B115))</f>
        <v>0</v>
      </c>
      <c r="Y115" s="24">
        <f>IF(YEAR($B115)*100+MONTH($B115)&lt;--SUBSTITUTE(_xlfn.XLOOKUP("SIYP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LLC",Movimientos!$B$1:$B$1324,"&lt;="&amp;$B115))</f>
        <v>0</v>
      </c>
      <c r="Z115" s="24">
        <f>IF(YEAR($B115)*100+MONTH($B115)&lt;--SUBSTITUTE(_xlfn.XLOOKUP("Prendamas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SRL",Movimientos!$B$1:$B$1324,"&lt;="&amp;$B115))</f>
        <v>0</v>
      </c>
      <c r="AA115" s="24">
        <f>IF(YEAR($B115)*100+MONTH($B115)&lt;--SUBSTITUTE(_xlfn.XLOOKUP("360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LLC",Movimientos!$B$1:$B$1324,"&lt;="&amp;$B115))</f>
        <v>0</v>
      </c>
      <c r="AB115" s="24">
        <f>IF(YEAR($B115)*100+MONTH($B115)&lt;--SUBSTITUTE(_xlfn.XLOOKUP("Five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",Movimientos!$B$1:$B$1324,"&lt;="&amp;$B115))</f>
        <v>0</v>
      </c>
      <c r="AC115" s="24">
        <f>IF(YEAR($B115)*100+MONTH($B115)&lt;--SUBSTITUTE(_xlfn.XLOOKUP("Nobe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Aparments",Movimientos!$B$1:$B$1324,"&lt;="&amp;$B115))</f>
        <v>0</v>
      </c>
      <c r="AD115" s="24">
        <f>IF(YEAR($B115)*100+MONTH($B115)&lt;--SUBSTITUTE(_xlfn.XLOOKUP("Don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Life",Movimientos!$B$1:$B$1324,"&lt;="&amp;$B115))</f>
        <v>0</v>
      </c>
      <c r="AE115" s="25">
        <f t="shared" si="4"/>
        <v>5088054.3199999994</v>
      </c>
    </row>
    <row r="116" spans="1:31" hidden="1" outlineLevel="1" x14ac:dyDescent="0.3">
      <c r="A116" s="22">
        <f t="shared" si="2"/>
        <v>115</v>
      </c>
      <c r="B116" s="23">
        <v>46257</v>
      </c>
      <c r="C116" s="24">
        <f>SUMIFS('Saldos Iniciales'!$D:$D,'Saldos Iniciales'!$A:$A,"CFT Group")+SUMIFS(Movimientos!$K$1:$K$1324,Movimientos!$C$1:$C$1324,"CFT Group",Movimientos!$B$1:$B$1324,"&lt;="&amp;$B116)</f>
        <v>702210.36000000045</v>
      </c>
      <c r="D116" s="24">
        <f>SUMIFS('Saldos Iniciales'!$D:$D,'Saldos Iniciales'!$A:$A,"M1B")+SUMIFS(Movimientos!$K$1:$K$1324,Movimientos!$C$1:$C$1324,"M1B",Movimientos!$B$1:$B$1324,"&lt;="&amp;$B116)</f>
        <v>83211.250000000175</v>
      </c>
      <c r="E116" s="24">
        <f>SUMIFS('Saldos Iniciales'!$D:$D,'Saldos Iniciales'!$A:$A,"Durand")+SUMIFS(Movimientos!$K$1:$K$1324,Movimientos!$C$1:$C$1324,"Durand",Movimientos!$B$1:$B$1324,"&lt;="&amp;$B116)</f>
        <v>1669.89</v>
      </c>
      <c r="F116" s="24">
        <f>SUMIFS('Saldos Iniciales'!$D:$D,'Saldos Iniciales'!$A:$A,"A&amp;M Imports")+SUMIFS(Movimientos!$K$1:$K$1324,Movimientos!$C$1:$C$1324,"A&amp;M Imports",Movimientos!$B$1:$B$1324,"&lt;="&amp;$B116)</f>
        <v>1229031.3399999999</v>
      </c>
      <c r="G116" s="24">
        <f>SUMIFS('Saldos Iniciales'!$D:$D,'Saldos Iniciales'!$A:$A,"SSP Capital")+SUMIFS(Movimientos!$K$1:$K$1324,Movimientos!$C$1:$C$1324,"SSP Capital",Movimientos!$B$1:$B$1324,"&lt;="&amp;$B116)</f>
        <v>1744052.5799999996</v>
      </c>
      <c r="H116" s="24">
        <f>SUMIFS('Saldos Iniciales'!$D:$D,'Saldos Iniciales'!$A:$A,"Cross Family Trust")+SUMIFS(Movimientos!$K$1:$K$1324,Movimientos!$C$1:$C$1324,"Cross Family Trust",Movimientos!$B$1:$B$1324,"&lt;="&amp;$B116)</f>
        <v>221496.38</v>
      </c>
      <c r="I116" s="24">
        <f>SUMIFS('Saldos Iniciales'!$D:$D,'Saldos Iniciales'!$A:$A,"Cross Security Trust")+SUMIFS(Movimientos!$K$1:$K$1324,Movimientos!$C$1:$C$1324,"Cross Security Trust",Movimientos!$B$1:$B$1324,"&lt;="&amp;$B116)</f>
        <v>277586.34000000003</v>
      </c>
      <c r="J116" s="24">
        <f>SUMIFS('Saldos Iniciales'!$D:$D,'Saldos Iniciales'!$A:$A,"Electrama")+SUMIFS(Movimientos!$K$1:$K$1324,Movimientos!$C$1:$C$1324,"Electrama",Movimientos!$B$1:$B$1324,"&lt;="&amp;$B116)</f>
        <v>13270.02</v>
      </c>
      <c r="K116" s="24">
        <f>SUMIFS('Saldos Iniciales'!$D:$D,'Saldos Iniciales'!$A:$A,"Sacred Valley Capital")+SUMIFS(Movimientos!$K$1:$K$1324,Movimientos!$C$1:$C$1324,"Sacred Valley Capital",Movimientos!$B$1:$B$1324,"&lt;="&amp;$B116)</f>
        <v>24.450000000000003</v>
      </c>
      <c r="L116" s="24">
        <f>SUMIFS('Saldos Iniciales'!$D:$D,'Saldos Iniciales'!$A:$A,"YWC Capital")+SUMIFS(Movimientos!$K$1:$K$1324,Movimientos!$C$1:$C$1324,"YWC Capital",Movimientos!$B$1:$B$1324,"&lt;="&amp;$B116)</f>
        <v>2177.87</v>
      </c>
      <c r="M116" s="24">
        <f>SUMIFS('Saldos Iniciales'!$D:$D,'Saldos Iniciales'!$A:$A,"Soweto")+SUMIFS(Movimientos!$K$1:$K$1324,Movimientos!$C$1:$C$1324,"Soweto",Movimientos!$B$1:$B$1324,"&lt;="&amp;$B116)</f>
        <v>754424.72</v>
      </c>
      <c r="N116" s="24">
        <f>SUMIFS('Saldos Iniciales'!$D:$D,'Saldos Iniciales'!$A:$A,"Green Stone Trust")+SUMIFS(Movimientos!$K$1:$K$1324,Movimientos!$C$1:$C$1324,"Green Stone Trust",Movimientos!$B$1:$B$1324,"&lt;="&amp;$B116)</f>
        <v>1968.99</v>
      </c>
      <c r="O116" s="24">
        <f>SUMIFS('Saldos Iniciales'!$D:$D,'Saldos Iniciales'!$A:$A,"EC Auto")+SUMIFS(Movimientos!$K$1:$K$1324,Movimientos!$C$1:$C$1324,"EC Auto",Movimientos!$B$1:$B$1324,"&lt;="&amp;$B116)</f>
        <v>901.34</v>
      </c>
      <c r="P116" s="24">
        <f>SUMIFS('Saldos Iniciales'!$D:$D,'Saldos Iniciales'!$A:$A,"Arbor Capital Properties")+SUMIFS(Movimientos!$K$1:$K$1324,Movimientos!$C$1:$C$1324,"Arbor Capital Properties",Movimientos!$B$1:$B$1324,"&lt;="&amp;$B116)</f>
        <v>1396.08</v>
      </c>
      <c r="Q116" s="24">
        <f>SUMIFS('Saldos Iniciales'!$D:$D,'Saldos Iniciales'!$A:$A,"2515 Overbrook")+SUMIFS(Movimientos!$K$1:$K$1324,Movimientos!$C$1:$C$1324,"2515 Overbrook",Movimientos!$B$1:$B$1324,"&lt;="&amp;$B116)</f>
        <v>13685.709999999959</v>
      </c>
      <c r="R116" s="24">
        <f>SUMIFS('Saldos Iniciales'!$D:$D,'Saldos Iniciales'!$A:$A,"112 Florida Ave")+SUMIFS(Movimientos!$K$1:$K$1324,Movimientos!$C$1:$C$1324,"112 Florida Ave",Movimientos!$B$1:$B$1324,"&lt;="&amp;$B116)</f>
        <v>8724.1700000000037</v>
      </c>
      <c r="S116" s="24">
        <f>SUMIFS('Saldos Iniciales'!$D:$D,'Saldos Iniciales'!$A:$A,"3628 Thomas Ave")+SUMIFS(Movimientos!$K$1:$K$1324,Movimientos!$C$1:$C$1324,"3628 Thomas Ave",Movimientos!$B$1:$B$1324,"&lt;="&amp;$B116)</f>
        <v>19336.039999999997</v>
      </c>
      <c r="T116" s="24">
        <f>SUMIFS('Saldos Iniciales'!$D:$D,'Saldos Iniciales'!$A:$A,"Green Harbor Trust")+SUMIFS(Movimientos!$K$1:$K$1324,Movimientos!$C$1:$C$1324,"Green Harbor Trust",Movimientos!$B$1:$B$1324,"&lt;="&amp;$B116)</f>
        <v>345</v>
      </c>
      <c r="U116" s="24">
        <f>SUMIFS('Saldos Iniciales'!$D:$D,'Saldos Iniciales'!$A:$A,"Go Blue")+SUMIFS(Movimientos!$K$1:$K$1324,Movimientos!$C$1:$C$1324,"Go Blue",Movimientos!$B$1:$B$1324,"&lt;="&amp;$B116)</f>
        <v>12541.790000000003</v>
      </c>
      <c r="V116" s="24">
        <f>IF(YEAR($B116)*100+MONTH($B116)&lt;--SUBSTITUTE(_xlfn.XLOOKUP("Pacha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LLC",Movimientos!$B$1:$B$1324,"&lt;="&amp;$B116))</f>
        <v>0</v>
      </c>
      <c r="W116" s="24">
        <f>IF(YEAR($B116)*100+MONTH($B116)&lt;--SUBSTITUTE(_xlfn.XLOOKUP("*CFT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Residence",Movimientos!$B$1:$B$1324,"&lt;="&amp;$B116))</f>
        <v>0</v>
      </c>
      <c r="X116" s="24">
        <f>IF(YEAR($B116)*100+MONTH($B116)&lt;--SUBSTITUTE(_xlfn.XLOOKUP("Carmen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Trust",Movimientos!$B$1:$B$1324,"&lt;="&amp;$B116))</f>
        <v>0</v>
      </c>
      <c r="Y116" s="24">
        <f>IF(YEAR($B116)*100+MONTH($B116)&lt;--SUBSTITUTE(_xlfn.XLOOKUP("SIYP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LLC",Movimientos!$B$1:$B$1324,"&lt;="&amp;$B116))</f>
        <v>0</v>
      </c>
      <c r="Z116" s="24">
        <f>IF(YEAR($B116)*100+MONTH($B116)&lt;--SUBSTITUTE(_xlfn.XLOOKUP("Prendamas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SRL",Movimientos!$B$1:$B$1324,"&lt;="&amp;$B116))</f>
        <v>0</v>
      </c>
      <c r="AA116" s="24">
        <f>IF(YEAR($B116)*100+MONTH($B116)&lt;--SUBSTITUTE(_xlfn.XLOOKUP("360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LLC",Movimientos!$B$1:$B$1324,"&lt;="&amp;$B116))</f>
        <v>0</v>
      </c>
      <c r="AB116" s="24">
        <f>IF(YEAR($B116)*100+MONTH($B116)&lt;--SUBSTITUTE(_xlfn.XLOOKUP("Five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",Movimientos!$B$1:$B$1324,"&lt;="&amp;$B116))</f>
        <v>0</v>
      </c>
      <c r="AC116" s="24">
        <f>IF(YEAR($B116)*100+MONTH($B116)&lt;--SUBSTITUTE(_xlfn.XLOOKUP("Nobe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Aparments",Movimientos!$B$1:$B$1324,"&lt;="&amp;$B116))</f>
        <v>0</v>
      </c>
      <c r="AD116" s="24">
        <f>IF(YEAR($B116)*100+MONTH($B116)&lt;--SUBSTITUTE(_xlfn.XLOOKUP("Don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Life",Movimientos!$B$1:$B$1324,"&lt;="&amp;$B116))</f>
        <v>0</v>
      </c>
      <c r="AE116" s="25">
        <f t="shared" si="4"/>
        <v>5088054.3199999994</v>
      </c>
    </row>
    <row r="117" spans="1:31" hidden="1" outlineLevel="1" x14ac:dyDescent="0.3">
      <c r="A117" s="22">
        <f t="shared" si="2"/>
        <v>116</v>
      </c>
      <c r="B117" s="23">
        <v>46258</v>
      </c>
      <c r="C117" s="24">
        <f>SUMIFS('Saldos Iniciales'!$D:$D,'Saldos Iniciales'!$A:$A,"CFT Group")+SUMIFS(Movimientos!$K$1:$K$1324,Movimientos!$C$1:$C$1324,"CFT Group",Movimientos!$B$1:$B$1324,"&lt;="&amp;$B117)</f>
        <v>372210.36000000045</v>
      </c>
      <c r="D117" s="24">
        <f>SUMIFS('Saldos Iniciales'!$D:$D,'Saldos Iniciales'!$A:$A,"M1B")+SUMIFS(Movimientos!$K$1:$K$1324,Movimientos!$C$1:$C$1324,"M1B",Movimientos!$B$1:$B$1324,"&lt;="&amp;$B117)</f>
        <v>83668.990000000165</v>
      </c>
      <c r="E117" s="24">
        <f>SUMIFS('Saldos Iniciales'!$D:$D,'Saldos Iniciales'!$A:$A,"Durand")+SUMIFS(Movimientos!$K$1:$K$1324,Movimientos!$C$1:$C$1324,"Durand",Movimientos!$B$1:$B$1324,"&lt;="&amp;$B117)</f>
        <v>1669.89</v>
      </c>
      <c r="F117" s="24">
        <f>SUMIFS('Saldos Iniciales'!$D:$D,'Saldos Iniciales'!$A:$A,"A&amp;M Imports")+SUMIFS(Movimientos!$K$1:$K$1324,Movimientos!$C$1:$C$1324,"A&amp;M Imports",Movimientos!$B$1:$B$1324,"&lt;="&amp;$B117)</f>
        <v>1234763.3299999998</v>
      </c>
      <c r="G117" s="24">
        <f>SUMIFS('Saldos Iniciales'!$D:$D,'Saldos Iniciales'!$A:$A,"SSP Capital")+SUMIFS(Movimientos!$K$1:$K$1324,Movimientos!$C$1:$C$1324,"SSP Capital",Movimientos!$B$1:$B$1324,"&lt;="&amp;$B117)</f>
        <v>1743289.5899999996</v>
      </c>
      <c r="H117" s="24">
        <f>SUMIFS('Saldos Iniciales'!$D:$D,'Saldos Iniciales'!$A:$A,"Cross Family Trust")+SUMIFS(Movimientos!$K$1:$K$1324,Movimientos!$C$1:$C$1324,"Cross Family Trust",Movimientos!$B$1:$B$1324,"&lt;="&amp;$B117)</f>
        <v>221496.38</v>
      </c>
      <c r="I117" s="24">
        <f>SUMIFS('Saldos Iniciales'!$D:$D,'Saldos Iniciales'!$A:$A,"Cross Security Trust")+SUMIFS(Movimientos!$K$1:$K$1324,Movimientos!$C$1:$C$1324,"Cross Security Trust",Movimientos!$B$1:$B$1324,"&lt;="&amp;$B117)</f>
        <v>277586.34000000003</v>
      </c>
      <c r="J117" s="24">
        <f>SUMIFS('Saldos Iniciales'!$D:$D,'Saldos Iniciales'!$A:$A,"Electrama")+SUMIFS(Movimientos!$K$1:$K$1324,Movimientos!$C$1:$C$1324,"Electrama",Movimientos!$B$1:$B$1324,"&lt;="&amp;$B117)</f>
        <v>13270.02</v>
      </c>
      <c r="K117" s="24">
        <f>SUMIFS('Saldos Iniciales'!$D:$D,'Saldos Iniciales'!$A:$A,"Sacred Valley Capital")+SUMIFS(Movimientos!$K$1:$K$1324,Movimientos!$C$1:$C$1324,"Sacred Valley Capital",Movimientos!$B$1:$B$1324,"&lt;="&amp;$B117)</f>
        <v>24.450000000000003</v>
      </c>
      <c r="L117" s="24">
        <f>SUMIFS('Saldos Iniciales'!$D:$D,'Saldos Iniciales'!$A:$A,"YWC Capital")+SUMIFS(Movimientos!$K$1:$K$1324,Movimientos!$C$1:$C$1324,"YWC Capital",Movimientos!$B$1:$B$1324,"&lt;="&amp;$B117)</f>
        <v>2177.87</v>
      </c>
      <c r="M117" s="24">
        <f>SUMIFS('Saldos Iniciales'!$D:$D,'Saldos Iniciales'!$A:$A,"Soweto")+SUMIFS(Movimientos!$K$1:$K$1324,Movimientos!$C$1:$C$1324,"Soweto",Movimientos!$B$1:$B$1324,"&lt;="&amp;$B117)</f>
        <v>754424.72</v>
      </c>
      <c r="N117" s="24">
        <f>SUMIFS('Saldos Iniciales'!$D:$D,'Saldos Iniciales'!$A:$A,"Green Stone Trust")+SUMIFS(Movimientos!$K$1:$K$1324,Movimientos!$C$1:$C$1324,"Green Stone Trust",Movimientos!$B$1:$B$1324,"&lt;="&amp;$B117)</f>
        <v>1968.99</v>
      </c>
      <c r="O117" s="24">
        <f>SUMIFS('Saldos Iniciales'!$D:$D,'Saldos Iniciales'!$A:$A,"EC Auto")+SUMIFS(Movimientos!$K$1:$K$1324,Movimientos!$C$1:$C$1324,"EC Auto",Movimientos!$B$1:$B$1324,"&lt;="&amp;$B117)</f>
        <v>901.34</v>
      </c>
      <c r="P117" s="24">
        <f>SUMIFS('Saldos Iniciales'!$D:$D,'Saldos Iniciales'!$A:$A,"Arbor Capital Properties")+SUMIFS(Movimientos!$K$1:$K$1324,Movimientos!$C$1:$C$1324,"Arbor Capital Properties",Movimientos!$B$1:$B$1324,"&lt;="&amp;$B117)</f>
        <v>1396.08</v>
      </c>
      <c r="Q117" s="24">
        <f>SUMIFS('Saldos Iniciales'!$D:$D,'Saldos Iniciales'!$A:$A,"2515 Overbrook")+SUMIFS(Movimientos!$K$1:$K$1324,Movimientos!$C$1:$C$1324,"2515 Overbrook",Movimientos!$B$1:$B$1324,"&lt;="&amp;$B117)</f>
        <v>13685.709999999959</v>
      </c>
      <c r="R117" s="24">
        <f>SUMIFS('Saldos Iniciales'!$D:$D,'Saldos Iniciales'!$A:$A,"112 Florida Ave")+SUMIFS(Movimientos!$K$1:$K$1324,Movimientos!$C$1:$C$1324,"112 Florida Ave",Movimientos!$B$1:$B$1324,"&lt;="&amp;$B117)</f>
        <v>8724.1700000000037</v>
      </c>
      <c r="S117" s="24">
        <f>SUMIFS('Saldos Iniciales'!$D:$D,'Saldos Iniciales'!$A:$A,"3628 Thomas Ave")+SUMIFS(Movimientos!$K$1:$K$1324,Movimientos!$C$1:$C$1324,"3628 Thomas Ave",Movimientos!$B$1:$B$1324,"&lt;="&amp;$B117)</f>
        <v>19336.039999999997</v>
      </c>
      <c r="T117" s="24">
        <f>SUMIFS('Saldos Iniciales'!$D:$D,'Saldos Iniciales'!$A:$A,"Green Harbor Trust")+SUMIFS(Movimientos!$K$1:$K$1324,Movimientos!$C$1:$C$1324,"Green Harbor Trust",Movimientos!$B$1:$B$1324,"&lt;="&amp;$B117)</f>
        <v>345</v>
      </c>
      <c r="U117" s="24">
        <f>SUMIFS('Saldos Iniciales'!$D:$D,'Saldos Iniciales'!$A:$A,"Go Blue")+SUMIFS(Movimientos!$K$1:$K$1324,Movimientos!$C$1:$C$1324,"Go Blue",Movimientos!$B$1:$B$1324,"&lt;="&amp;$B117)</f>
        <v>12519.840000000004</v>
      </c>
      <c r="V117" s="24">
        <f>IF(YEAR($B117)*100+MONTH($B117)&lt;--SUBSTITUTE(_xlfn.XLOOKUP("Pacha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LLC",Movimientos!$B$1:$B$1324,"&lt;="&amp;$B117))</f>
        <v>0</v>
      </c>
      <c r="W117" s="24">
        <f>IF(YEAR($B117)*100+MONTH($B117)&lt;--SUBSTITUTE(_xlfn.XLOOKUP("*CFT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Residence",Movimientos!$B$1:$B$1324,"&lt;="&amp;$B117))</f>
        <v>0</v>
      </c>
      <c r="X117" s="24">
        <f>IF(YEAR($B117)*100+MONTH($B117)&lt;--SUBSTITUTE(_xlfn.XLOOKUP("Carmen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Trust",Movimientos!$B$1:$B$1324,"&lt;="&amp;$B117))</f>
        <v>0</v>
      </c>
      <c r="Y117" s="24">
        <f>IF(YEAR($B117)*100+MONTH($B117)&lt;--SUBSTITUTE(_xlfn.XLOOKUP("SIYP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LLC",Movimientos!$B$1:$B$1324,"&lt;="&amp;$B117))</f>
        <v>0</v>
      </c>
      <c r="Z117" s="24">
        <f>IF(YEAR($B117)*100+MONTH($B117)&lt;--SUBSTITUTE(_xlfn.XLOOKUP("Prendamas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SRL",Movimientos!$B$1:$B$1324,"&lt;="&amp;$B117))</f>
        <v>0</v>
      </c>
      <c r="AA117" s="24">
        <f>IF(YEAR($B117)*100+MONTH($B117)&lt;--SUBSTITUTE(_xlfn.XLOOKUP("360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LLC",Movimientos!$B$1:$B$1324,"&lt;="&amp;$B117))</f>
        <v>0</v>
      </c>
      <c r="AB117" s="24">
        <f>IF(YEAR($B117)*100+MONTH($B117)&lt;--SUBSTITUTE(_xlfn.XLOOKUP("Five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",Movimientos!$B$1:$B$1324,"&lt;="&amp;$B117))</f>
        <v>0</v>
      </c>
      <c r="AC117" s="24">
        <f>IF(YEAR($B117)*100+MONTH($B117)&lt;--SUBSTITUTE(_xlfn.XLOOKUP("Nobe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Aparments",Movimientos!$B$1:$B$1324,"&lt;="&amp;$B117))</f>
        <v>0</v>
      </c>
      <c r="AD117" s="24">
        <f>IF(YEAR($B117)*100+MONTH($B117)&lt;--SUBSTITUTE(_xlfn.XLOOKUP("Don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Life",Movimientos!$B$1:$B$1324,"&lt;="&amp;$B117))</f>
        <v>0</v>
      </c>
      <c r="AE117" s="25">
        <f t="shared" si="4"/>
        <v>4763459.1100000003</v>
      </c>
    </row>
    <row r="118" spans="1:31" hidden="1" outlineLevel="1" x14ac:dyDescent="0.3">
      <c r="A118" s="22">
        <f t="shared" si="2"/>
        <v>117</v>
      </c>
      <c r="B118" s="23">
        <v>46259</v>
      </c>
      <c r="C118" s="24">
        <f>SUMIFS('Saldos Iniciales'!$D:$D,'Saldos Iniciales'!$A:$A,"CFT Group")+SUMIFS(Movimientos!$K$1:$K$1324,Movimientos!$C$1:$C$1324,"CFT Group",Movimientos!$B$1:$B$1324,"&lt;="&amp;$B118)</f>
        <v>526096.53000000049</v>
      </c>
      <c r="D118" s="24">
        <f>SUMIFS('Saldos Iniciales'!$D:$D,'Saldos Iniciales'!$A:$A,"M1B")+SUMIFS(Movimientos!$K$1:$K$1324,Movimientos!$C$1:$C$1324,"M1B",Movimientos!$B$1:$B$1324,"&lt;="&amp;$B118)</f>
        <v>90643.10000000018</v>
      </c>
      <c r="E118" s="24">
        <f>SUMIFS('Saldos Iniciales'!$D:$D,'Saldos Iniciales'!$A:$A,"Durand")+SUMIFS(Movimientos!$K$1:$K$1324,Movimientos!$C$1:$C$1324,"Durand",Movimientos!$B$1:$B$1324,"&lt;="&amp;$B118)</f>
        <v>1669.89</v>
      </c>
      <c r="F118" s="24">
        <f>SUMIFS('Saldos Iniciales'!$D:$D,'Saldos Iniciales'!$A:$A,"A&amp;M Imports")+SUMIFS(Movimientos!$K$1:$K$1324,Movimientos!$C$1:$C$1324,"A&amp;M Imports",Movimientos!$B$1:$B$1324,"&lt;="&amp;$B118)</f>
        <v>1252108.94</v>
      </c>
      <c r="G118" s="24">
        <f>SUMIFS('Saldos Iniciales'!$D:$D,'Saldos Iniciales'!$A:$A,"SSP Capital")+SUMIFS(Movimientos!$K$1:$K$1324,Movimientos!$C$1:$C$1324,"SSP Capital",Movimientos!$B$1:$B$1324,"&lt;="&amp;$B118)</f>
        <v>1743289.5899999996</v>
      </c>
      <c r="H118" s="24">
        <f>SUMIFS('Saldos Iniciales'!$D:$D,'Saldos Iniciales'!$A:$A,"Cross Family Trust")+SUMIFS(Movimientos!$K$1:$K$1324,Movimientos!$C$1:$C$1324,"Cross Family Trust",Movimientos!$B$1:$B$1324,"&lt;="&amp;$B118)</f>
        <v>221496.38</v>
      </c>
      <c r="I118" s="24">
        <f>SUMIFS('Saldos Iniciales'!$D:$D,'Saldos Iniciales'!$A:$A,"Cross Security Trust")+SUMIFS(Movimientos!$K$1:$K$1324,Movimientos!$C$1:$C$1324,"Cross Security Trust",Movimientos!$B$1:$B$1324,"&lt;="&amp;$B118)</f>
        <v>277586.34000000003</v>
      </c>
      <c r="J118" s="24">
        <f>SUMIFS('Saldos Iniciales'!$D:$D,'Saldos Iniciales'!$A:$A,"Electrama")+SUMIFS(Movimientos!$K$1:$K$1324,Movimientos!$C$1:$C$1324,"Electrama",Movimientos!$B$1:$B$1324,"&lt;="&amp;$B118)</f>
        <v>13270.02</v>
      </c>
      <c r="K118" s="24">
        <f>SUMIFS('Saldos Iniciales'!$D:$D,'Saldos Iniciales'!$A:$A,"Sacred Valley Capital")+SUMIFS(Movimientos!$K$1:$K$1324,Movimientos!$C$1:$C$1324,"Sacred Valley Capital",Movimientos!$B$1:$B$1324,"&lt;="&amp;$B118)</f>
        <v>24.450000000000003</v>
      </c>
      <c r="L118" s="24">
        <f>SUMIFS('Saldos Iniciales'!$D:$D,'Saldos Iniciales'!$A:$A,"YWC Capital")+SUMIFS(Movimientos!$K$1:$K$1324,Movimientos!$C$1:$C$1324,"YWC Capital",Movimientos!$B$1:$B$1324,"&lt;="&amp;$B118)</f>
        <v>2177.87</v>
      </c>
      <c r="M118" s="24">
        <f>SUMIFS('Saldos Iniciales'!$D:$D,'Saldos Iniciales'!$A:$A,"Soweto")+SUMIFS(Movimientos!$K$1:$K$1324,Movimientos!$C$1:$C$1324,"Soweto",Movimientos!$B$1:$B$1324,"&lt;="&amp;$B118)</f>
        <v>754424.72</v>
      </c>
      <c r="N118" s="24">
        <f>SUMIFS('Saldos Iniciales'!$D:$D,'Saldos Iniciales'!$A:$A,"Green Stone Trust")+SUMIFS(Movimientos!$K$1:$K$1324,Movimientos!$C$1:$C$1324,"Green Stone Trust",Movimientos!$B$1:$B$1324,"&lt;="&amp;$B118)</f>
        <v>1968.99</v>
      </c>
      <c r="O118" s="24">
        <f>SUMIFS('Saldos Iniciales'!$D:$D,'Saldos Iniciales'!$A:$A,"EC Auto")+SUMIFS(Movimientos!$K$1:$K$1324,Movimientos!$C$1:$C$1324,"EC Auto",Movimientos!$B$1:$B$1324,"&lt;="&amp;$B118)</f>
        <v>901.34</v>
      </c>
      <c r="P118" s="24">
        <f>SUMIFS('Saldos Iniciales'!$D:$D,'Saldos Iniciales'!$A:$A,"Arbor Capital Properties")+SUMIFS(Movimientos!$K$1:$K$1324,Movimientos!$C$1:$C$1324,"Arbor Capital Properties",Movimientos!$B$1:$B$1324,"&lt;="&amp;$B118)</f>
        <v>1396.08</v>
      </c>
      <c r="Q118" s="24">
        <f>SUMIFS('Saldos Iniciales'!$D:$D,'Saldos Iniciales'!$A:$A,"2515 Overbrook")+SUMIFS(Movimientos!$K$1:$K$1324,Movimientos!$C$1:$C$1324,"2515 Overbrook",Movimientos!$B$1:$B$1324,"&lt;="&amp;$B118)</f>
        <v>13685.709999999959</v>
      </c>
      <c r="R118" s="24">
        <f>SUMIFS('Saldos Iniciales'!$D:$D,'Saldos Iniciales'!$A:$A,"112 Florida Ave")+SUMIFS(Movimientos!$K$1:$K$1324,Movimientos!$C$1:$C$1324,"112 Florida Ave",Movimientos!$B$1:$B$1324,"&lt;="&amp;$B118)</f>
        <v>8724.1700000000037</v>
      </c>
      <c r="S118" s="24">
        <f>SUMIFS('Saldos Iniciales'!$D:$D,'Saldos Iniciales'!$A:$A,"3628 Thomas Ave")+SUMIFS(Movimientos!$K$1:$K$1324,Movimientos!$C$1:$C$1324,"3628 Thomas Ave",Movimientos!$B$1:$B$1324,"&lt;="&amp;$B118)</f>
        <v>19336.039999999997</v>
      </c>
      <c r="T118" s="24">
        <f>SUMIFS('Saldos Iniciales'!$D:$D,'Saldos Iniciales'!$A:$A,"Green Harbor Trust")+SUMIFS(Movimientos!$K$1:$K$1324,Movimientos!$C$1:$C$1324,"Green Harbor Trust",Movimientos!$B$1:$B$1324,"&lt;="&amp;$B118)</f>
        <v>345</v>
      </c>
      <c r="U118" s="24">
        <f>SUMIFS('Saldos Iniciales'!$D:$D,'Saldos Iniciales'!$A:$A,"Go Blue")+SUMIFS(Movimientos!$K$1:$K$1324,Movimientos!$C$1:$C$1324,"Go Blue",Movimientos!$B$1:$B$1324,"&lt;="&amp;$B118)</f>
        <v>12519.840000000004</v>
      </c>
      <c r="V118" s="24">
        <f>IF(YEAR($B118)*100+MONTH($B118)&lt;--SUBSTITUTE(_xlfn.XLOOKUP("Pacha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LLC",Movimientos!$B$1:$B$1324,"&lt;="&amp;$B118))</f>
        <v>0</v>
      </c>
      <c r="W118" s="24">
        <f>IF(YEAR($B118)*100+MONTH($B118)&lt;--SUBSTITUTE(_xlfn.XLOOKUP("*CFT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Residence",Movimientos!$B$1:$B$1324,"&lt;="&amp;$B118))</f>
        <v>0</v>
      </c>
      <c r="X118" s="24">
        <f>IF(YEAR($B118)*100+MONTH($B118)&lt;--SUBSTITUTE(_xlfn.XLOOKUP("Carmen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Trust",Movimientos!$B$1:$B$1324,"&lt;="&amp;$B118))</f>
        <v>0</v>
      </c>
      <c r="Y118" s="24">
        <f>IF(YEAR($B118)*100+MONTH($B118)&lt;--SUBSTITUTE(_xlfn.XLOOKUP("SIYP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LLC",Movimientos!$B$1:$B$1324,"&lt;="&amp;$B118))</f>
        <v>0</v>
      </c>
      <c r="Z118" s="24">
        <f>IF(YEAR($B118)*100+MONTH($B118)&lt;--SUBSTITUTE(_xlfn.XLOOKUP("Prendamas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SRL",Movimientos!$B$1:$B$1324,"&lt;="&amp;$B118))</f>
        <v>0</v>
      </c>
      <c r="AA118" s="24">
        <f>IF(YEAR($B118)*100+MONTH($B118)&lt;--SUBSTITUTE(_xlfn.XLOOKUP("360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LLC",Movimientos!$B$1:$B$1324,"&lt;="&amp;$B118))</f>
        <v>0</v>
      </c>
      <c r="AB118" s="24">
        <f>IF(YEAR($B118)*100+MONTH($B118)&lt;--SUBSTITUTE(_xlfn.XLOOKUP("Five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",Movimientos!$B$1:$B$1324,"&lt;="&amp;$B118))</f>
        <v>0</v>
      </c>
      <c r="AC118" s="24">
        <f>IF(YEAR($B118)*100+MONTH($B118)&lt;--SUBSTITUTE(_xlfn.XLOOKUP("Nobe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Aparments",Movimientos!$B$1:$B$1324,"&lt;="&amp;$B118))</f>
        <v>0</v>
      </c>
      <c r="AD118" s="24">
        <f>IF(YEAR($B118)*100+MONTH($B118)&lt;--SUBSTITUTE(_xlfn.XLOOKUP("Don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Life",Movimientos!$B$1:$B$1324,"&lt;="&amp;$B118))</f>
        <v>0</v>
      </c>
      <c r="AE118" s="25">
        <f t="shared" si="4"/>
        <v>4941665</v>
      </c>
    </row>
    <row r="119" spans="1:31" hidden="1" outlineLevel="1" x14ac:dyDescent="0.3">
      <c r="A119" s="22">
        <f t="shared" si="2"/>
        <v>118</v>
      </c>
      <c r="B119" s="23">
        <v>46260</v>
      </c>
      <c r="C119" s="24">
        <f>SUMIFS('Saldos Iniciales'!$D:$D,'Saldos Iniciales'!$A:$A,"CFT Group")+SUMIFS(Movimientos!$K$1:$K$1324,Movimientos!$C$1:$C$1324,"CFT Group",Movimientos!$B$1:$B$1324,"&lt;="&amp;$B119)</f>
        <v>526096.53000000049</v>
      </c>
      <c r="D119" s="24">
        <f>SUMIFS('Saldos Iniciales'!$D:$D,'Saldos Iniciales'!$A:$A,"M1B")+SUMIFS(Movimientos!$K$1:$K$1324,Movimientos!$C$1:$C$1324,"M1B",Movimientos!$B$1:$B$1324,"&lt;="&amp;$B119)</f>
        <v>90643.10000000018</v>
      </c>
      <c r="E119" s="24">
        <f>SUMIFS('Saldos Iniciales'!$D:$D,'Saldos Iniciales'!$A:$A,"Durand")+SUMIFS(Movimientos!$K$1:$K$1324,Movimientos!$C$1:$C$1324,"Durand",Movimientos!$B$1:$B$1324,"&lt;="&amp;$B119)</f>
        <v>1669.89</v>
      </c>
      <c r="F119" s="24">
        <f>SUMIFS('Saldos Iniciales'!$D:$D,'Saldos Iniciales'!$A:$A,"A&amp;M Imports")+SUMIFS(Movimientos!$K$1:$K$1324,Movimientos!$C$1:$C$1324,"A&amp;M Imports",Movimientos!$B$1:$B$1324,"&lt;="&amp;$B119)</f>
        <v>1269654.47</v>
      </c>
      <c r="G119" s="24">
        <f>SUMIFS('Saldos Iniciales'!$D:$D,'Saldos Iniciales'!$A:$A,"SSP Capital")+SUMIFS(Movimientos!$K$1:$K$1324,Movimientos!$C$1:$C$1324,"SSP Capital",Movimientos!$B$1:$B$1324,"&lt;="&amp;$B119)</f>
        <v>1743289.5899999996</v>
      </c>
      <c r="H119" s="24">
        <f>SUMIFS('Saldos Iniciales'!$D:$D,'Saldos Iniciales'!$A:$A,"Cross Family Trust")+SUMIFS(Movimientos!$K$1:$K$1324,Movimientos!$C$1:$C$1324,"Cross Family Trust",Movimientos!$B$1:$B$1324,"&lt;="&amp;$B119)</f>
        <v>221496.38</v>
      </c>
      <c r="I119" s="24">
        <f>SUMIFS('Saldos Iniciales'!$D:$D,'Saldos Iniciales'!$A:$A,"Cross Security Trust")+SUMIFS(Movimientos!$K$1:$K$1324,Movimientos!$C$1:$C$1324,"Cross Security Trust",Movimientos!$B$1:$B$1324,"&lt;="&amp;$B119)</f>
        <v>277586.34000000003</v>
      </c>
      <c r="J119" s="24">
        <f>SUMIFS('Saldos Iniciales'!$D:$D,'Saldos Iniciales'!$A:$A,"Electrama")+SUMIFS(Movimientos!$K$1:$K$1324,Movimientos!$C$1:$C$1324,"Electrama",Movimientos!$B$1:$B$1324,"&lt;="&amp;$B119)</f>
        <v>13270.02</v>
      </c>
      <c r="K119" s="24">
        <f>SUMIFS('Saldos Iniciales'!$D:$D,'Saldos Iniciales'!$A:$A,"Sacred Valley Capital")+SUMIFS(Movimientos!$K$1:$K$1324,Movimientos!$C$1:$C$1324,"Sacred Valley Capital",Movimientos!$B$1:$B$1324,"&lt;="&amp;$B119)</f>
        <v>24.450000000000003</v>
      </c>
      <c r="L119" s="24">
        <f>SUMIFS('Saldos Iniciales'!$D:$D,'Saldos Iniciales'!$A:$A,"YWC Capital")+SUMIFS(Movimientos!$K$1:$K$1324,Movimientos!$C$1:$C$1324,"YWC Capital",Movimientos!$B$1:$B$1324,"&lt;="&amp;$B119)</f>
        <v>2177.87</v>
      </c>
      <c r="M119" s="24">
        <f>SUMIFS('Saldos Iniciales'!$D:$D,'Saldos Iniciales'!$A:$A,"Soweto")+SUMIFS(Movimientos!$K$1:$K$1324,Movimientos!$C$1:$C$1324,"Soweto",Movimientos!$B$1:$B$1324,"&lt;="&amp;$B119)</f>
        <v>754424.72</v>
      </c>
      <c r="N119" s="24">
        <f>SUMIFS('Saldos Iniciales'!$D:$D,'Saldos Iniciales'!$A:$A,"Green Stone Trust")+SUMIFS(Movimientos!$K$1:$K$1324,Movimientos!$C$1:$C$1324,"Green Stone Trust",Movimientos!$B$1:$B$1324,"&lt;="&amp;$B119)</f>
        <v>1968.99</v>
      </c>
      <c r="O119" s="24">
        <f>SUMIFS('Saldos Iniciales'!$D:$D,'Saldos Iniciales'!$A:$A,"EC Auto")+SUMIFS(Movimientos!$K$1:$K$1324,Movimientos!$C$1:$C$1324,"EC Auto",Movimientos!$B$1:$B$1324,"&lt;="&amp;$B119)</f>
        <v>901.34</v>
      </c>
      <c r="P119" s="24">
        <f>SUMIFS('Saldos Iniciales'!$D:$D,'Saldos Iniciales'!$A:$A,"Arbor Capital Properties")+SUMIFS(Movimientos!$K$1:$K$1324,Movimientos!$C$1:$C$1324,"Arbor Capital Properties",Movimientos!$B$1:$B$1324,"&lt;="&amp;$B119)</f>
        <v>1396.08</v>
      </c>
      <c r="Q119" s="24">
        <f>SUMIFS('Saldos Iniciales'!$D:$D,'Saldos Iniciales'!$A:$A,"2515 Overbrook")+SUMIFS(Movimientos!$K$1:$K$1324,Movimientos!$C$1:$C$1324,"2515 Overbrook",Movimientos!$B$1:$B$1324,"&lt;="&amp;$B119)</f>
        <v>13685.709999999959</v>
      </c>
      <c r="R119" s="24">
        <f>SUMIFS('Saldos Iniciales'!$D:$D,'Saldos Iniciales'!$A:$A,"112 Florida Ave")+SUMIFS(Movimientos!$K$1:$K$1324,Movimientos!$C$1:$C$1324,"112 Florida Ave",Movimientos!$B$1:$B$1324,"&lt;="&amp;$B119)</f>
        <v>8724.1700000000037</v>
      </c>
      <c r="S119" s="24">
        <f>SUMIFS('Saldos Iniciales'!$D:$D,'Saldos Iniciales'!$A:$A,"3628 Thomas Ave")+SUMIFS(Movimientos!$K$1:$K$1324,Movimientos!$C$1:$C$1324,"3628 Thomas Ave",Movimientos!$B$1:$B$1324,"&lt;="&amp;$B119)</f>
        <v>19336.039999999997</v>
      </c>
      <c r="T119" s="24">
        <f>SUMIFS('Saldos Iniciales'!$D:$D,'Saldos Iniciales'!$A:$A,"Green Harbor Trust")+SUMIFS(Movimientos!$K$1:$K$1324,Movimientos!$C$1:$C$1324,"Green Harbor Trust",Movimientos!$B$1:$B$1324,"&lt;="&amp;$B119)</f>
        <v>345</v>
      </c>
      <c r="U119" s="24">
        <f>SUMIFS('Saldos Iniciales'!$D:$D,'Saldos Iniciales'!$A:$A,"Go Blue")+SUMIFS(Movimientos!$K$1:$K$1324,Movimientos!$C$1:$C$1324,"Go Blue",Movimientos!$B$1:$B$1324,"&lt;="&amp;$B119)</f>
        <v>12519.840000000004</v>
      </c>
      <c r="V119" s="24">
        <f>IF(YEAR($B119)*100+MONTH($B119)&lt;--SUBSTITUTE(_xlfn.XLOOKUP("Pacha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LLC",Movimientos!$B$1:$B$1324,"&lt;="&amp;$B119))</f>
        <v>0</v>
      </c>
      <c r="W119" s="24">
        <f>IF(YEAR($B119)*100+MONTH($B119)&lt;--SUBSTITUTE(_xlfn.XLOOKUP("*CFT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Residence",Movimientos!$B$1:$B$1324,"&lt;="&amp;$B119))</f>
        <v>0</v>
      </c>
      <c r="X119" s="24">
        <f>IF(YEAR($B119)*100+MONTH($B119)&lt;--SUBSTITUTE(_xlfn.XLOOKUP("Carmen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Trust",Movimientos!$B$1:$B$1324,"&lt;="&amp;$B119))</f>
        <v>0</v>
      </c>
      <c r="Y119" s="24">
        <f>IF(YEAR($B119)*100+MONTH($B119)&lt;--SUBSTITUTE(_xlfn.XLOOKUP("SIYP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LLC",Movimientos!$B$1:$B$1324,"&lt;="&amp;$B119))</f>
        <v>0</v>
      </c>
      <c r="Z119" s="24">
        <f>IF(YEAR($B119)*100+MONTH($B119)&lt;--SUBSTITUTE(_xlfn.XLOOKUP("Prendamas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SRL",Movimientos!$B$1:$B$1324,"&lt;="&amp;$B119))</f>
        <v>0</v>
      </c>
      <c r="AA119" s="24">
        <f>IF(YEAR($B119)*100+MONTH($B119)&lt;--SUBSTITUTE(_xlfn.XLOOKUP("360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LLC",Movimientos!$B$1:$B$1324,"&lt;="&amp;$B119))</f>
        <v>0</v>
      </c>
      <c r="AB119" s="24">
        <f>IF(YEAR($B119)*100+MONTH($B119)&lt;--SUBSTITUTE(_xlfn.XLOOKUP("Five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",Movimientos!$B$1:$B$1324,"&lt;="&amp;$B119))</f>
        <v>0</v>
      </c>
      <c r="AC119" s="24">
        <f>IF(YEAR($B119)*100+MONTH($B119)&lt;--SUBSTITUTE(_xlfn.XLOOKUP("Nobe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Aparments",Movimientos!$B$1:$B$1324,"&lt;="&amp;$B119))</f>
        <v>0</v>
      </c>
      <c r="AD119" s="24">
        <f>IF(YEAR($B119)*100+MONTH($B119)&lt;--SUBSTITUTE(_xlfn.XLOOKUP("Don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Life",Movimientos!$B$1:$B$1324,"&lt;="&amp;$B119))</f>
        <v>0</v>
      </c>
      <c r="AE119" s="25">
        <f t="shared" si="4"/>
        <v>4959210.53</v>
      </c>
    </row>
    <row r="120" spans="1:31" hidden="1" outlineLevel="1" x14ac:dyDescent="0.3">
      <c r="A120" s="22">
        <f t="shared" si="2"/>
        <v>119</v>
      </c>
      <c r="B120" s="23">
        <v>46261</v>
      </c>
      <c r="C120" s="24">
        <f>SUMIFS('Saldos Iniciales'!$D:$D,'Saldos Iniciales'!$A:$A,"CFT Group")+SUMIFS(Movimientos!$K$1:$K$1324,Movimientos!$C$1:$C$1324,"CFT Group",Movimientos!$B$1:$B$1324,"&lt;="&amp;$B120)</f>
        <v>578093.59000000043</v>
      </c>
      <c r="D120" s="24">
        <f>SUMIFS('Saldos Iniciales'!$D:$D,'Saldos Iniciales'!$A:$A,"M1B")+SUMIFS(Movimientos!$K$1:$K$1324,Movimientos!$C$1:$C$1324,"M1B",Movimientos!$B$1:$B$1324,"&lt;="&amp;$B120)</f>
        <v>90643.10000000018</v>
      </c>
      <c r="E120" s="24">
        <f>SUMIFS('Saldos Iniciales'!$D:$D,'Saldos Iniciales'!$A:$A,"Durand")+SUMIFS(Movimientos!$K$1:$K$1324,Movimientos!$C$1:$C$1324,"Durand",Movimientos!$B$1:$B$1324,"&lt;="&amp;$B120)</f>
        <v>1669.89</v>
      </c>
      <c r="F120" s="24">
        <f>SUMIFS('Saldos Iniciales'!$D:$D,'Saldos Iniciales'!$A:$A,"A&amp;M Imports")+SUMIFS(Movimientos!$K$1:$K$1324,Movimientos!$C$1:$C$1324,"A&amp;M Imports",Movimientos!$B$1:$B$1324,"&lt;="&amp;$B120)</f>
        <v>1394654.47</v>
      </c>
      <c r="G120" s="24">
        <f>SUMIFS('Saldos Iniciales'!$D:$D,'Saldos Iniciales'!$A:$A,"SSP Capital")+SUMIFS(Movimientos!$K$1:$K$1324,Movimientos!$C$1:$C$1324,"SSP Capital",Movimientos!$B$1:$B$1324,"&lt;="&amp;$B120)</f>
        <v>1719364.7199999997</v>
      </c>
      <c r="H120" s="24">
        <f>SUMIFS('Saldos Iniciales'!$D:$D,'Saldos Iniciales'!$A:$A,"Cross Family Trust")+SUMIFS(Movimientos!$K$1:$K$1324,Movimientos!$C$1:$C$1324,"Cross Family Trust",Movimientos!$B$1:$B$1324,"&lt;="&amp;$B120)</f>
        <v>221496.38</v>
      </c>
      <c r="I120" s="24">
        <f>SUMIFS('Saldos Iniciales'!$D:$D,'Saldos Iniciales'!$A:$A,"Cross Security Trust")+SUMIFS(Movimientos!$K$1:$K$1324,Movimientos!$C$1:$C$1324,"Cross Security Trust",Movimientos!$B$1:$B$1324,"&lt;="&amp;$B120)</f>
        <v>277586.34000000003</v>
      </c>
      <c r="J120" s="24">
        <f>SUMIFS('Saldos Iniciales'!$D:$D,'Saldos Iniciales'!$A:$A,"Electrama")+SUMIFS(Movimientos!$K$1:$K$1324,Movimientos!$C$1:$C$1324,"Electrama",Movimientos!$B$1:$B$1324,"&lt;="&amp;$B120)</f>
        <v>13270.02</v>
      </c>
      <c r="K120" s="24">
        <f>SUMIFS('Saldos Iniciales'!$D:$D,'Saldos Iniciales'!$A:$A,"Sacred Valley Capital")+SUMIFS(Movimientos!$K$1:$K$1324,Movimientos!$C$1:$C$1324,"Sacred Valley Capital",Movimientos!$B$1:$B$1324,"&lt;="&amp;$B120)</f>
        <v>124.45</v>
      </c>
      <c r="L120" s="24">
        <f>SUMIFS('Saldos Iniciales'!$D:$D,'Saldos Iniciales'!$A:$A,"YWC Capital")+SUMIFS(Movimientos!$K$1:$K$1324,Movimientos!$C$1:$C$1324,"YWC Capital",Movimientos!$B$1:$B$1324,"&lt;="&amp;$B120)</f>
        <v>2177.87</v>
      </c>
      <c r="M120" s="24">
        <f>SUMIFS('Saldos Iniciales'!$D:$D,'Saldos Iniciales'!$A:$A,"Soweto")+SUMIFS(Movimientos!$K$1:$K$1324,Movimientos!$C$1:$C$1324,"Soweto",Movimientos!$B$1:$B$1324,"&lt;="&amp;$B120)</f>
        <v>754424.72</v>
      </c>
      <c r="N120" s="24">
        <f>SUMIFS('Saldos Iniciales'!$D:$D,'Saldos Iniciales'!$A:$A,"Green Stone Trust")+SUMIFS(Movimientos!$K$1:$K$1324,Movimientos!$C$1:$C$1324,"Green Stone Trust",Movimientos!$B$1:$B$1324,"&lt;="&amp;$B120)</f>
        <v>1968.99</v>
      </c>
      <c r="O120" s="24">
        <f>SUMIFS('Saldos Iniciales'!$D:$D,'Saldos Iniciales'!$A:$A,"EC Auto")+SUMIFS(Movimientos!$K$1:$K$1324,Movimientos!$C$1:$C$1324,"EC Auto",Movimientos!$B$1:$B$1324,"&lt;="&amp;$B120)</f>
        <v>901.34</v>
      </c>
      <c r="P120" s="24">
        <f>SUMIFS('Saldos Iniciales'!$D:$D,'Saldos Iniciales'!$A:$A,"Arbor Capital Properties")+SUMIFS(Movimientos!$K$1:$K$1324,Movimientos!$C$1:$C$1324,"Arbor Capital Properties",Movimientos!$B$1:$B$1324,"&lt;="&amp;$B120)</f>
        <v>1396.08</v>
      </c>
      <c r="Q120" s="24">
        <f>SUMIFS('Saldos Iniciales'!$D:$D,'Saldos Iniciales'!$A:$A,"2515 Overbrook")+SUMIFS(Movimientos!$K$1:$K$1324,Movimientos!$C$1:$C$1324,"2515 Overbrook",Movimientos!$B$1:$B$1324,"&lt;="&amp;$B120)</f>
        <v>33685.709999999963</v>
      </c>
      <c r="R120" s="24">
        <f>SUMIFS('Saldos Iniciales'!$D:$D,'Saldos Iniciales'!$A:$A,"112 Florida Ave")+SUMIFS(Movimientos!$K$1:$K$1324,Movimientos!$C$1:$C$1324,"112 Florida Ave",Movimientos!$B$1:$B$1324,"&lt;="&amp;$B120)</f>
        <v>29724.170000000006</v>
      </c>
      <c r="S120" s="24">
        <f>SUMIFS('Saldos Iniciales'!$D:$D,'Saldos Iniciales'!$A:$A,"3628 Thomas Ave")+SUMIFS(Movimientos!$K$1:$K$1324,Movimientos!$C$1:$C$1324,"3628 Thomas Ave",Movimientos!$B$1:$B$1324,"&lt;="&amp;$B120)</f>
        <v>19336.039999999997</v>
      </c>
      <c r="T120" s="24">
        <f>SUMIFS('Saldos Iniciales'!$D:$D,'Saldos Iniciales'!$A:$A,"Green Harbor Trust")+SUMIFS(Movimientos!$K$1:$K$1324,Movimientos!$C$1:$C$1324,"Green Harbor Trust",Movimientos!$B$1:$B$1324,"&lt;="&amp;$B120)</f>
        <v>345</v>
      </c>
      <c r="U120" s="24">
        <f>SUMIFS('Saldos Iniciales'!$D:$D,'Saldos Iniciales'!$A:$A,"Go Blue")+SUMIFS(Movimientos!$K$1:$K$1324,Movimientos!$C$1:$C$1324,"Go Blue",Movimientos!$B$1:$B$1324,"&lt;="&amp;$B120)</f>
        <v>9608.7000000000025</v>
      </c>
      <c r="V120" s="24">
        <f>IF(YEAR($B120)*100+MONTH($B120)&lt;--SUBSTITUTE(_xlfn.XLOOKUP("Pacha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LLC",Movimientos!$B$1:$B$1324,"&lt;="&amp;$B120))</f>
        <v>0</v>
      </c>
      <c r="W120" s="24">
        <f>IF(YEAR($B120)*100+MONTH($B120)&lt;--SUBSTITUTE(_xlfn.XLOOKUP("*CFT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Residence",Movimientos!$B$1:$B$1324,"&lt;="&amp;$B120))</f>
        <v>0</v>
      </c>
      <c r="X120" s="24">
        <f>IF(YEAR($B120)*100+MONTH($B120)&lt;--SUBSTITUTE(_xlfn.XLOOKUP("Carmen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Trust",Movimientos!$B$1:$B$1324,"&lt;="&amp;$B120))</f>
        <v>0</v>
      </c>
      <c r="Y120" s="24">
        <f>IF(YEAR($B120)*100+MONTH($B120)&lt;--SUBSTITUTE(_xlfn.XLOOKUP("SIYP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LLC",Movimientos!$B$1:$B$1324,"&lt;="&amp;$B120))</f>
        <v>0</v>
      </c>
      <c r="Z120" s="24">
        <f>IF(YEAR($B120)*100+MONTH($B120)&lt;--SUBSTITUTE(_xlfn.XLOOKUP("Prendamas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SRL",Movimientos!$B$1:$B$1324,"&lt;="&amp;$B120))</f>
        <v>0</v>
      </c>
      <c r="AA120" s="24">
        <f>IF(YEAR($B120)*100+MONTH($B120)&lt;--SUBSTITUTE(_xlfn.XLOOKUP("360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LLC",Movimientos!$B$1:$B$1324,"&lt;="&amp;$B120))</f>
        <v>0</v>
      </c>
      <c r="AB120" s="24">
        <f>IF(YEAR($B120)*100+MONTH($B120)&lt;--SUBSTITUTE(_xlfn.XLOOKUP("Five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",Movimientos!$B$1:$B$1324,"&lt;="&amp;$B120))</f>
        <v>0</v>
      </c>
      <c r="AC120" s="24">
        <f>IF(YEAR($B120)*100+MONTH($B120)&lt;--SUBSTITUTE(_xlfn.XLOOKUP("Nobe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Aparments",Movimientos!$B$1:$B$1324,"&lt;="&amp;$B120))</f>
        <v>0</v>
      </c>
      <c r="AD120" s="24">
        <f>IF(YEAR($B120)*100+MONTH($B120)&lt;--SUBSTITUTE(_xlfn.XLOOKUP("Don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Life",Movimientos!$B$1:$B$1324,"&lt;="&amp;$B120))</f>
        <v>0</v>
      </c>
      <c r="AE120" s="25">
        <f t="shared" si="4"/>
        <v>5150471.58</v>
      </c>
    </row>
    <row r="121" spans="1:31" hidden="1" outlineLevel="1" x14ac:dyDescent="0.3">
      <c r="A121" s="22">
        <f t="shared" si="2"/>
        <v>120</v>
      </c>
      <c r="B121" s="23">
        <v>46262</v>
      </c>
      <c r="C121" s="24">
        <f>SUMIFS('Saldos Iniciales'!$D:$D,'Saldos Iniciales'!$A:$A,"CFT Group")+SUMIFS(Movimientos!$K$1:$K$1324,Movimientos!$C$1:$C$1324,"CFT Group",Movimientos!$B$1:$B$1324,"&lt;="&amp;$B121)</f>
        <v>743430.83000000054</v>
      </c>
      <c r="D121" s="24">
        <f>SUMIFS('Saldos Iniciales'!$D:$D,'Saldos Iniciales'!$A:$A,"M1B")+SUMIFS(Movimientos!$K$1:$K$1324,Movimientos!$C$1:$C$1324,"M1B",Movimientos!$B$1:$B$1324,"&lt;="&amp;$B121)</f>
        <v>93280.230000000171</v>
      </c>
      <c r="E121" s="24">
        <f>SUMIFS('Saldos Iniciales'!$D:$D,'Saldos Iniciales'!$A:$A,"Durand")+SUMIFS(Movimientos!$K$1:$K$1324,Movimientos!$C$1:$C$1324,"Durand",Movimientos!$B$1:$B$1324,"&lt;="&amp;$B121)</f>
        <v>1669.89</v>
      </c>
      <c r="F121" s="24">
        <f>SUMIFS('Saldos Iniciales'!$D:$D,'Saldos Iniciales'!$A:$A,"A&amp;M Imports")+SUMIFS(Movimientos!$K$1:$K$1324,Movimientos!$C$1:$C$1324,"A&amp;M Imports",Movimientos!$B$1:$B$1324,"&lt;="&amp;$B121)</f>
        <v>1418445.91</v>
      </c>
      <c r="G121" s="24">
        <f>SUMIFS('Saldos Iniciales'!$D:$D,'Saldos Iniciales'!$A:$A,"SSP Capital")+SUMIFS(Movimientos!$K$1:$K$1324,Movimientos!$C$1:$C$1324,"SSP Capital",Movimientos!$B$1:$B$1324,"&lt;="&amp;$B121)</f>
        <v>1553167.1899999995</v>
      </c>
      <c r="H121" s="24">
        <f>SUMIFS('Saldos Iniciales'!$D:$D,'Saldos Iniciales'!$A:$A,"Cross Family Trust")+SUMIFS(Movimientos!$K$1:$K$1324,Movimientos!$C$1:$C$1324,"Cross Family Trust",Movimientos!$B$1:$B$1324,"&lt;="&amp;$B121)</f>
        <v>221496.38</v>
      </c>
      <c r="I121" s="24">
        <f>SUMIFS('Saldos Iniciales'!$D:$D,'Saldos Iniciales'!$A:$A,"Cross Security Trust")+SUMIFS(Movimientos!$K$1:$K$1324,Movimientos!$C$1:$C$1324,"Cross Security Trust",Movimientos!$B$1:$B$1324,"&lt;="&amp;$B121)</f>
        <v>217684.34</v>
      </c>
      <c r="J121" s="24">
        <f>SUMIFS('Saldos Iniciales'!$D:$D,'Saldos Iniciales'!$A:$A,"Electrama")+SUMIFS(Movimientos!$K$1:$K$1324,Movimientos!$C$1:$C$1324,"Electrama",Movimientos!$B$1:$B$1324,"&lt;="&amp;$B121)</f>
        <v>13270.02</v>
      </c>
      <c r="K121" s="24">
        <f>SUMIFS('Saldos Iniciales'!$D:$D,'Saldos Iniciales'!$A:$A,"Sacred Valley Capital")+SUMIFS(Movimientos!$K$1:$K$1324,Movimientos!$C$1:$C$1324,"Sacred Valley Capital",Movimientos!$B$1:$B$1324,"&lt;="&amp;$B121)</f>
        <v>124.45</v>
      </c>
      <c r="L121" s="24">
        <f>SUMIFS('Saldos Iniciales'!$D:$D,'Saldos Iniciales'!$A:$A,"YWC Capital")+SUMIFS(Movimientos!$K$1:$K$1324,Movimientos!$C$1:$C$1324,"YWC Capital",Movimientos!$B$1:$B$1324,"&lt;="&amp;$B121)</f>
        <v>2177.87</v>
      </c>
      <c r="M121" s="24">
        <f>SUMIFS('Saldos Iniciales'!$D:$D,'Saldos Iniciales'!$A:$A,"Soweto")+SUMIFS(Movimientos!$K$1:$K$1324,Movimientos!$C$1:$C$1324,"Soweto",Movimientos!$B$1:$B$1324,"&lt;="&amp;$B121)</f>
        <v>754424.72</v>
      </c>
      <c r="N121" s="24">
        <f>SUMIFS('Saldos Iniciales'!$D:$D,'Saldos Iniciales'!$A:$A,"Green Stone Trust")+SUMIFS(Movimientos!$K$1:$K$1324,Movimientos!$C$1:$C$1324,"Green Stone Trust",Movimientos!$B$1:$B$1324,"&lt;="&amp;$B121)</f>
        <v>1968.99</v>
      </c>
      <c r="O121" s="24">
        <f>SUMIFS('Saldos Iniciales'!$D:$D,'Saldos Iniciales'!$A:$A,"EC Auto")+SUMIFS(Movimientos!$K$1:$K$1324,Movimientos!$C$1:$C$1324,"EC Auto",Movimientos!$B$1:$B$1324,"&lt;="&amp;$B121)</f>
        <v>901.34</v>
      </c>
      <c r="P121" s="24">
        <f>SUMIFS('Saldos Iniciales'!$D:$D,'Saldos Iniciales'!$A:$A,"Arbor Capital Properties")+SUMIFS(Movimientos!$K$1:$K$1324,Movimientos!$C$1:$C$1324,"Arbor Capital Properties",Movimientos!$B$1:$B$1324,"&lt;="&amp;$B121)</f>
        <v>1396.08</v>
      </c>
      <c r="Q121" s="24">
        <f>SUMIFS('Saldos Iniciales'!$D:$D,'Saldos Iniciales'!$A:$A,"2515 Overbrook")+SUMIFS(Movimientos!$K$1:$K$1324,Movimientos!$C$1:$C$1324,"2515 Overbrook",Movimientos!$B$1:$B$1324,"&lt;="&amp;$B121)</f>
        <v>33670.709999999963</v>
      </c>
      <c r="R121" s="24">
        <f>SUMIFS('Saldos Iniciales'!$D:$D,'Saldos Iniciales'!$A:$A,"112 Florida Ave")+SUMIFS(Movimientos!$K$1:$K$1324,Movimientos!$C$1:$C$1324,"112 Florida Ave",Movimientos!$B$1:$B$1324,"&lt;="&amp;$B121)</f>
        <v>29709.170000000006</v>
      </c>
      <c r="S121" s="24">
        <f>SUMIFS('Saldos Iniciales'!$D:$D,'Saldos Iniciales'!$A:$A,"3628 Thomas Ave")+SUMIFS(Movimientos!$K$1:$K$1324,Movimientos!$C$1:$C$1324,"3628 Thomas Ave",Movimientos!$B$1:$B$1324,"&lt;="&amp;$B121)</f>
        <v>19336.039999999997</v>
      </c>
      <c r="T121" s="24">
        <f>SUMIFS('Saldos Iniciales'!$D:$D,'Saldos Iniciales'!$A:$A,"Green Harbor Trust")+SUMIFS(Movimientos!$K$1:$K$1324,Movimientos!$C$1:$C$1324,"Green Harbor Trust",Movimientos!$B$1:$B$1324,"&lt;="&amp;$B121)</f>
        <v>345</v>
      </c>
      <c r="U121" s="24">
        <f>SUMIFS('Saldos Iniciales'!$D:$D,'Saldos Iniciales'!$A:$A,"Go Blue")+SUMIFS(Movimientos!$K$1:$K$1324,Movimientos!$C$1:$C$1324,"Go Blue",Movimientos!$B$1:$B$1324,"&lt;="&amp;$B121)</f>
        <v>9560.0000000000018</v>
      </c>
      <c r="V121" s="24">
        <f>IF(YEAR($B121)*100+MONTH($B121)&lt;--SUBSTITUTE(_xlfn.XLOOKUP("Pacha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LLC",Movimientos!$B$1:$B$1324,"&lt;="&amp;$B121))</f>
        <v>0</v>
      </c>
      <c r="W121" s="24">
        <f>IF(YEAR($B121)*100+MONTH($B121)&lt;--SUBSTITUTE(_xlfn.XLOOKUP("*CFT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Residence",Movimientos!$B$1:$B$1324,"&lt;="&amp;$B121))</f>
        <v>0</v>
      </c>
      <c r="X121" s="24">
        <f>IF(YEAR($B121)*100+MONTH($B121)&lt;--SUBSTITUTE(_xlfn.XLOOKUP("Carmen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Trust",Movimientos!$B$1:$B$1324,"&lt;="&amp;$B121))</f>
        <v>0</v>
      </c>
      <c r="Y121" s="24">
        <f>IF(YEAR($B121)*100+MONTH($B121)&lt;--SUBSTITUTE(_xlfn.XLOOKUP("SIYP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LLC",Movimientos!$B$1:$B$1324,"&lt;="&amp;$B121))</f>
        <v>0</v>
      </c>
      <c r="Z121" s="24">
        <f>IF(YEAR($B121)*100+MONTH($B121)&lt;--SUBSTITUTE(_xlfn.XLOOKUP("Prendamas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SRL",Movimientos!$B$1:$B$1324,"&lt;="&amp;$B121))</f>
        <v>0</v>
      </c>
      <c r="AA121" s="24">
        <f>IF(YEAR($B121)*100+MONTH($B121)&lt;--SUBSTITUTE(_xlfn.XLOOKUP("360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LLC",Movimientos!$B$1:$B$1324,"&lt;="&amp;$B121))</f>
        <v>0</v>
      </c>
      <c r="AB121" s="24">
        <f>IF(YEAR($B121)*100+MONTH($B121)&lt;--SUBSTITUTE(_xlfn.XLOOKUP("Five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",Movimientos!$B$1:$B$1324,"&lt;="&amp;$B121))</f>
        <v>0</v>
      </c>
      <c r="AC121" s="24">
        <f>IF(YEAR($B121)*100+MONTH($B121)&lt;--SUBSTITUTE(_xlfn.XLOOKUP("Nobe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Aparments",Movimientos!$B$1:$B$1324,"&lt;="&amp;$B121))</f>
        <v>0</v>
      </c>
      <c r="AD121" s="24">
        <f>IF(YEAR($B121)*100+MONTH($B121)&lt;--SUBSTITUTE(_xlfn.XLOOKUP("Don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Life",Movimientos!$B$1:$B$1324,"&lt;="&amp;$B121))</f>
        <v>0</v>
      </c>
      <c r="AE121" s="25">
        <f t="shared" si="4"/>
        <v>5116059.16</v>
      </c>
    </row>
    <row r="122" spans="1:31" hidden="1" outlineLevel="1" x14ac:dyDescent="0.3">
      <c r="A122" s="22">
        <f t="shared" si="2"/>
        <v>121</v>
      </c>
      <c r="B122" s="23">
        <v>46263</v>
      </c>
      <c r="C122" s="24">
        <f>SUMIFS('Saldos Iniciales'!$D:$D,'Saldos Iniciales'!$A:$A,"CFT Group")+SUMIFS(Movimientos!$K$1:$K$1324,Movimientos!$C$1:$C$1324,"CFT Group",Movimientos!$B$1:$B$1324,"&lt;="&amp;$B122)</f>
        <v>743430.83000000054</v>
      </c>
      <c r="D122" s="24">
        <f>SUMIFS('Saldos Iniciales'!$D:$D,'Saldos Iniciales'!$A:$A,"M1B")+SUMIFS(Movimientos!$K$1:$K$1324,Movimientos!$C$1:$C$1324,"M1B",Movimientos!$B$1:$B$1324,"&lt;="&amp;$B122)</f>
        <v>93280.230000000171</v>
      </c>
      <c r="E122" s="24">
        <f>SUMIFS('Saldos Iniciales'!$D:$D,'Saldos Iniciales'!$A:$A,"Durand")+SUMIFS(Movimientos!$K$1:$K$1324,Movimientos!$C$1:$C$1324,"Durand",Movimientos!$B$1:$B$1324,"&lt;="&amp;$B122)</f>
        <v>1669.89</v>
      </c>
      <c r="F122" s="24">
        <f>SUMIFS('Saldos Iniciales'!$D:$D,'Saldos Iniciales'!$A:$A,"A&amp;M Imports")+SUMIFS(Movimientos!$K$1:$K$1324,Movimientos!$C$1:$C$1324,"A&amp;M Imports",Movimientos!$B$1:$B$1324,"&lt;="&amp;$B122)</f>
        <v>1418445.91</v>
      </c>
      <c r="G122" s="24">
        <f>SUMIFS('Saldos Iniciales'!$D:$D,'Saldos Iniciales'!$A:$A,"SSP Capital")+SUMIFS(Movimientos!$K$1:$K$1324,Movimientos!$C$1:$C$1324,"SSP Capital",Movimientos!$B$1:$B$1324,"&lt;="&amp;$B122)</f>
        <v>1553167.1899999995</v>
      </c>
      <c r="H122" s="24">
        <f>SUMIFS('Saldos Iniciales'!$D:$D,'Saldos Iniciales'!$A:$A,"Cross Family Trust")+SUMIFS(Movimientos!$K$1:$K$1324,Movimientos!$C$1:$C$1324,"Cross Family Trust",Movimientos!$B$1:$B$1324,"&lt;="&amp;$B122)</f>
        <v>221496.38</v>
      </c>
      <c r="I122" s="24">
        <f>SUMIFS('Saldos Iniciales'!$D:$D,'Saldos Iniciales'!$A:$A,"Cross Security Trust")+SUMIFS(Movimientos!$K$1:$K$1324,Movimientos!$C$1:$C$1324,"Cross Security Trust",Movimientos!$B$1:$B$1324,"&lt;="&amp;$B122)</f>
        <v>217684.34</v>
      </c>
      <c r="J122" s="24">
        <f>SUMIFS('Saldos Iniciales'!$D:$D,'Saldos Iniciales'!$A:$A,"Electrama")+SUMIFS(Movimientos!$K$1:$K$1324,Movimientos!$C$1:$C$1324,"Electrama",Movimientos!$B$1:$B$1324,"&lt;="&amp;$B122)</f>
        <v>13270.02</v>
      </c>
      <c r="K122" s="24">
        <f>SUMIFS('Saldos Iniciales'!$D:$D,'Saldos Iniciales'!$A:$A,"Sacred Valley Capital")+SUMIFS(Movimientos!$K$1:$K$1324,Movimientos!$C$1:$C$1324,"Sacred Valley Capital",Movimientos!$B$1:$B$1324,"&lt;="&amp;$B122)</f>
        <v>124.45</v>
      </c>
      <c r="L122" s="24">
        <f>SUMIFS('Saldos Iniciales'!$D:$D,'Saldos Iniciales'!$A:$A,"YWC Capital")+SUMIFS(Movimientos!$K$1:$K$1324,Movimientos!$C$1:$C$1324,"YWC Capital",Movimientos!$B$1:$B$1324,"&lt;="&amp;$B122)</f>
        <v>2177.87</v>
      </c>
      <c r="M122" s="24">
        <f>SUMIFS('Saldos Iniciales'!$D:$D,'Saldos Iniciales'!$A:$A,"Soweto")+SUMIFS(Movimientos!$K$1:$K$1324,Movimientos!$C$1:$C$1324,"Soweto",Movimientos!$B$1:$B$1324,"&lt;="&amp;$B122)</f>
        <v>754424.72</v>
      </c>
      <c r="N122" s="24">
        <f>SUMIFS('Saldos Iniciales'!$D:$D,'Saldos Iniciales'!$A:$A,"Green Stone Trust")+SUMIFS(Movimientos!$K$1:$K$1324,Movimientos!$C$1:$C$1324,"Green Stone Trust",Movimientos!$B$1:$B$1324,"&lt;="&amp;$B122)</f>
        <v>1968.99</v>
      </c>
      <c r="O122" s="24">
        <f>SUMIFS('Saldos Iniciales'!$D:$D,'Saldos Iniciales'!$A:$A,"EC Auto")+SUMIFS(Movimientos!$K$1:$K$1324,Movimientos!$C$1:$C$1324,"EC Auto",Movimientos!$B$1:$B$1324,"&lt;="&amp;$B122)</f>
        <v>901.34</v>
      </c>
      <c r="P122" s="24">
        <f>SUMIFS('Saldos Iniciales'!$D:$D,'Saldos Iniciales'!$A:$A,"Arbor Capital Properties")+SUMIFS(Movimientos!$K$1:$K$1324,Movimientos!$C$1:$C$1324,"Arbor Capital Properties",Movimientos!$B$1:$B$1324,"&lt;="&amp;$B122)</f>
        <v>1396.08</v>
      </c>
      <c r="Q122" s="24">
        <f>SUMIFS('Saldos Iniciales'!$D:$D,'Saldos Iniciales'!$A:$A,"2515 Overbrook")+SUMIFS(Movimientos!$K$1:$K$1324,Movimientos!$C$1:$C$1324,"2515 Overbrook",Movimientos!$B$1:$B$1324,"&lt;="&amp;$B122)</f>
        <v>33670.709999999963</v>
      </c>
      <c r="R122" s="24">
        <f>SUMIFS('Saldos Iniciales'!$D:$D,'Saldos Iniciales'!$A:$A,"112 Florida Ave")+SUMIFS(Movimientos!$K$1:$K$1324,Movimientos!$C$1:$C$1324,"112 Florida Ave",Movimientos!$B$1:$B$1324,"&lt;="&amp;$B122)</f>
        <v>29709.170000000006</v>
      </c>
      <c r="S122" s="24">
        <f>SUMIFS('Saldos Iniciales'!$D:$D,'Saldos Iniciales'!$A:$A,"3628 Thomas Ave")+SUMIFS(Movimientos!$K$1:$K$1324,Movimientos!$C$1:$C$1324,"3628 Thomas Ave",Movimientos!$B$1:$B$1324,"&lt;="&amp;$B122)</f>
        <v>19336.039999999997</v>
      </c>
      <c r="T122" s="24">
        <f>SUMIFS('Saldos Iniciales'!$D:$D,'Saldos Iniciales'!$A:$A,"Green Harbor Trust")+SUMIFS(Movimientos!$K$1:$K$1324,Movimientos!$C$1:$C$1324,"Green Harbor Trust",Movimientos!$B$1:$B$1324,"&lt;="&amp;$B122)</f>
        <v>345</v>
      </c>
      <c r="U122" s="24">
        <f>SUMIFS('Saldos Iniciales'!$D:$D,'Saldos Iniciales'!$A:$A,"Go Blue")+SUMIFS(Movimientos!$K$1:$K$1324,Movimientos!$C$1:$C$1324,"Go Blue",Movimientos!$B$1:$B$1324,"&lt;="&amp;$B122)</f>
        <v>9560.0000000000018</v>
      </c>
      <c r="V122" s="24">
        <f>IF(YEAR($B122)*100+MONTH($B122)&lt;--SUBSTITUTE(_xlfn.XLOOKUP("Pacha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LLC",Movimientos!$B$1:$B$1324,"&lt;="&amp;$B122))</f>
        <v>0</v>
      </c>
      <c r="W122" s="24">
        <f>IF(YEAR($B122)*100+MONTH($B122)&lt;--SUBSTITUTE(_xlfn.XLOOKUP("*CFT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Residence",Movimientos!$B$1:$B$1324,"&lt;="&amp;$B122))</f>
        <v>0</v>
      </c>
      <c r="X122" s="24">
        <f>IF(YEAR($B122)*100+MONTH($B122)&lt;--SUBSTITUTE(_xlfn.XLOOKUP("Carmen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Trust",Movimientos!$B$1:$B$1324,"&lt;="&amp;$B122))</f>
        <v>0</v>
      </c>
      <c r="Y122" s="24">
        <f>IF(YEAR($B122)*100+MONTH($B122)&lt;--SUBSTITUTE(_xlfn.XLOOKUP("SIYP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LLC",Movimientos!$B$1:$B$1324,"&lt;="&amp;$B122))</f>
        <v>0</v>
      </c>
      <c r="Z122" s="24">
        <f>IF(YEAR($B122)*100+MONTH($B122)&lt;--SUBSTITUTE(_xlfn.XLOOKUP("Prendamas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SRL",Movimientos!$B$1:$B$1324,"&lt;="&amp;$B122))</f>
        <v>0</v>
      </c>
      <c r="AA122" s="24">
        <f>IF(YEAR($B122)*100+MONTH($B122)&lt;--SUBSTITUTE(_xlfn.XLOOKUP("360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LLC",Movimientos!$B$1:$B$1324,"&lt;="&amp;$B122))</f>
        <v>0</v>
      </c>
      <c r="AB122" s="24">
        <f>IF(YEAR($B122)*100+MONTH($B122)&lt;--SUBSTITUTE(_xlfn.XLOOKUP("Five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",Movimientos!$B$1:$B$1324,"&lt;="&amp;$B122))</f>
        <v>0</v>
      </c>
      <c r="AC122" s="24">
        <f>IF(YEAR($B122)*100+MONTH($B122)&lt;--SUBSTITUTE(_xlfn.XLOOKUP("Nobe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Aparments",Movimientos!$B$1:$B$1324,"&lt;="&amp;$B122))</f>
        <v>0</v>
      </c>
      <c r="AD122" s="24">
        <f>IF(YEAR($B122)*100+MONTH($B122)&lt;--SUBSTITUTE(_xlfn.XLOOKUP("Don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Life",Movimientos!$B$1:$B$1324,"&lt;="&amp;$B122))</f>
        <v>0</v>
      </c>
      <c r="AE122" s="25">
        <f t="shared" si="4"/>
        <v>5116059.16</v>
      </c>
    </row>
    <row r="123" spans="1:31" hidden="1" outlineLevel="1" x14ac:dyDescent="0.3">
      <c r="A123" s="22">
        <f t="shared" si="2"/>
        <v>122</v>
      </c>
      <c r="B123" s="23">
        <v>46264</v>
      </c>
      <c r="C123" s="24">
        <f>SUMIFS('Saldos Iniciales'!$D:$D,'Saldos Iniciales'!$A:$A,"CFT Group")+SUMIFS(Movimientos!$K$1:$K$1324,Movimientos!$C$1:$C$1324,"CFT Group",Movimientos!$B$1:$B$1324,"&lt;="&amp;$B123)</f>
        <v>743430.83000000054</v>
      </c>
      <c r="D123" s="24">
        <f>SUMIFS('Saldos Iniciales'!$D:$D,'Saldos Iniciales'!$A:$A,"M1B")+SUMIFS(Movimientos!$K$1:$K$1324,Movimientos!$C$1:$C$1324,"M1B",Movimientos!$B$1:$B$1324,"&lt;="&amp;$B123)</f>
        <v>93280.230000000171</v>
      </c>
      <c r="E123" s="24">
        <f>SUMIFS('Saldos Iniciales'!$D:$D,'Saldos Iniciales'!$A:$A,"Durand")+SUMIFS(Movimientos!$K$1:$K$1324,Movimientos!$C$1:$C$1324,"Durand",Movimientos!$B$1:$B$1324,"&lt;="&amp;$B123)</f>
        <v>1669.89</v>
      </c>
      <c r="F123" s="24">
        <f>SUMIFS('Saldos Iniciales'!$D:$D,'Saldos Iniciales'!$A:$A,"A&amp;M Imports")+SUMIFS(Movimientos!$K$1:$K$1324,Movimientos!$C$1:$C$1324,"A&amp;M Imports",Movimientos!$B$1:$B$1324,"&lt;="&amp;$B123)</f>
        <v>1418445.91</v>
      </c>
      <c r="G123" s="24">
        <f>SUMIFS('Saldos Iniciales'!$D:$D,'Saldos Iniciales'!$A:$A,"SSP Capital")+SUMIFS(Movimientos!$K$1:$K$1324,Movimientos!$C$1:$C$1324,"SSP Capital",Movimientos!$B$1:$B$1324,"&lt;="&amp;$B123)</f>
        <v>1553167.1899999995</v>
      </c>
      <c r="H123" s="24">
        <f>SUMIFS('Saldos Iniciales'!$D:$D,'Saldos Iniciales'!$A:$A,"Cross Family Trust")+SUMIFS(Movimientos!$K$1:$K$1324,Movimientos!$C$1:$C$1324,"Cross Family Trust",Movimientos!$B$1:$B$1324,"&lt;="&amp;$B123)</f>
        <v>221496.38</v>
      </c>
      <c r="I123" s="24">
        <f>SUMIFS('Saldos Iniciales'!$D:$D,'Saldos Iniciales'!$A:$A,"Cross Security Trust")+SUMIFS(Movimientos!$K$1:$K$1324,Movimientos!$C$1:$C$1324,"Cross Security Trust",Movimientos!$B$1:$B$1324,"&lt;="&amp;$B123)</f>
        <v>217684.34</v>
      </c>
      <c r="J123" s="24">
        <f>SUMIFS('Saldos Iniciales'!$D:$D,'Saldos Iniciales'!$A:$A,"Electrama")+SUMIFS(Movimientos!$K$1:$K$1324,Movimientos!$C$1:$C$1324,"Electrama",Movimientos!$B$1:$B$1324,"&lt;="&amp;$B123)</f>
        <v>13270.02</v>
      </c>
      <c r="K123" s="24">
        <f>SUMIFS('Saldos Iniciales'!$D:$D,'Saldos Iniciales'!$A:$A,"Sacred Valley Capital")+SUMIFS(Movimientos!$K$1:$K$1324,Movimientos!$C$1:$C$1324,"Sacred Valley Capital",Movimientos!$B$1:$B$1324,"&lt;="&amp;$B123)</f>
        <v>124.45</v>
      </c>
      <c r="L123" s="24">
        <f>SUMIFS('Saldos Iniciales'!$D:$D,'Saldos Iniciales'!$A:$A,"YWC Capital")+SUMIFS(Movimientos!$K$1:$K$1324,Movimientos!$C$1:$C$1324,"YWC Capital",Movimientos!$B$1:$B$1324,"&lt;="&amp;$B123)</f>
        <v>2177.87</v>
      </c>
      <c r="M123" s="24">
        <f>SUMIFS('Saldos Iniciales'!$D:$D,'Saldos Iniciales'!$A:$A,"Soweto")+SUMIFS(Movimientos!$K$1:$K$1324,Movimientos!$C$1:$C$1324,"Soweto",Movimientos!$B$1:$B$1324,"&lt;="&amp;$B123)</f>
        <v>754424.72</v>
      </c>
      <c r="N123" s="24">
        <f>SUMIFS('Saldos Iniciales'!$D:$D,'Saldos Iniciales'!$A:$A,"Green Stone Trust")+SUMIFS(Movimientos!$K$1:$K$1324,Movimientos!$C$1:$C$1324,"Green Stone Trust",Movimientos!$B$1:$B$1324,"&lt;="&amp;$B123)</f>
        <v>1968.99</v>
      </c>
      <c r="O123" s="24">
        <f>SUMIFS('Saldos Iniciales'!$D:$D,'Saldos Iniciales'!$A:$A,"EC Auto")+SUMIFS(Movimientos!$K$1:$K$1324,Movimientos!$C$1:$C$1324,"EC Auto",Movimientos!$B$1:$B$1324,"&lt;="&amp;$B123)</f>
        <v>901.34</v>
      </c>
      <c r="P123" s="24">
        <f>SUMIFS('Saldos Iniciales'!$D:$D,'Saldos Iniciales'!$A:$A,"Arbor Capital Properties")+SUMIFS(Movimientos!$K$1:$K$1324,Movimientos!$C$1:$C$1324,"Arbor Capital Properties",Movimientos!$B$1:$B$1324,"&lt;="&amp;$B123)</f>
        <v>1396.08</v>
      </c>
      <c r="Q123" s="24">
        <f>SUMIFS('Saldos Iniciales'!$D:$D,'Saldos Iniciales'!$A:$A,"2515 Overbrook")+SUMIFS(Movimientos!$K$1:$K$1324,Movimientos!$C$1:$C$1324,"2515 Overbrook",Movimientos!$B$1:$B$1324,"&lt;="&amp;$B123)</f>
        <v>33670.709999999963</v>
      </c>
      <c r="R123" s="24">
        <f>SUMIFS('Saldos Iniciales'!$D:$D,'Saldos Iniciales'!$A:$A,"112 Florida Ave")+SUMIFS(Movimientos!$K$1:$K$1324,Movimientos!$C$1:$C$1324,"112 Florida Ave",Movimientos!$B$1:$B$1324,"&lt;="&amp;$B123)</f>
        <v>29709.170000000006</v>
      </c>
      <c r="S123" s="24">
        <f>SUMIFS('Saldos Iniciales'!$D:$D,'Saldos Iniciales'!$A:$A,"3628 Thomas Ave")+SUMIFS(Movimientos!$K$1:$K$1324,Movimientos!$C$1:$C$1324,"3628 Thomas Ave",Movimientos!$B$1:$B$1324,"&lt;="&amp;$B123)</f>
        <v>19336.039999999997</v>
      </c>
      <c r="T123" s="24">
        <f>SUMIFS('Saldos Iniciales'!$D:$D,'Saldos Iniciales'!$A:$A,"Green Harbor Trust")+SUMIFS(Movimientos!$K$1:$K$1324,Movimientos!$C$1:$C$1324,"Green Harbor Trust",Movimientos!$B$1:$B$1324,"&lt;="&amp;$B123)</f>
        <v>345</v>
      </c>
      <c r="U123" s="24">
        <f>SUMIFS('Saldos Iniciales'!$D:$D,'Saldos Iniciales'!$A:$A,"Go Blue")+SUMIFS(Movimientos!$K$1:$K$1324,Movimientos!$C$1:$C$1324,"Go Blue",Movimientos!$B$1:$B$1324,"&lt;="&amp;$B123)</f>
        <v>9560.0000000000018</v>
      </c>
      <c r="V123" s="24">
        <f>IF(YEAR($B123)*100+MONTH($B123)&lt;--SUBSTITUTE(_xlfn.XLOOKUP("Pacha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LLC",Movimientos!$B$1:$B$1324,"&lt;="&amp;$B123))</f>
        <v>0</v>
      </c>
      <c r="W123" s="24">
        <f>IF(YEAR($B123)*100+MONTH($B123)&lt;--SUBSTITUTE(_xlfn.XLOOKUP("*CFT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Residence",Movimientos!$B$1:$B$1324,"&lt;="&amp;$B123))</f>
        <v>0</v>
      </c>
      <c r="X123" s="24">
        <f>IF(YEAR($B123)*100+MONTH($B123)&lt;--SUBSTITUTE(_xlfn.XLOOKUP("Carmen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Trust",Movimientos!$B$1:$B$1324,"&lt;="&amp;$B123))</f>
        <v>0</v>
      </c>
      <c r="Y123" s="24">
        <f>IF(YEAR($B123)*100+MONTH($B123)&lt;--SUBSTITUTE(_xlfn.XLOOKUP("SIYP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LLC",Movimientos!$B$1:$B$1324,"&lt;="&amp;$B123))</f>
        <v>0</v>
      </c>
      <c r="Z123" s="24">
        <f>IF(YEAR($B123)*100+MONTH($B123)&lt;--SUBSTITUTE(_xlfn.XLOOKUP("Prendamas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SRL",Movimientos!$B$1:$B$1324,"&lt;="&amp;$B123))</f>
        <v>0</v>
      </c>
      <c r="AA123" s="24">
        <f>IF(YEAR($B123)*100+MONTH($B123)&lt;--SUBSTITUTE(_xlfn.XLOOKUP("360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LLC",Movimientos!$B$1:$B$1324,"&lt;="&amp;$B123))</f>
        <v>0</v>
      </c>
      <c r="AB123" s="24">
        <f>IF(YEAR($B123)*100+MONTH($B123)&lt;--SUBSTITUTE(_xlfn.XLOOKUP("Five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",Movimientos!$B$1:$B$1324,"&lt;="&amp;$B123))</f>
        <v>0</v>
      </c>
      <c r="AC123" s="24">
        <f>IF(YEAR($B123)*100+MONTH($B123)&lt;--SUBSTITUTE(_xlfn.XLOOKUP("Nobe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Aparments",Movimientos!$B$1:$B$1324,"&lt;="&amp;$B123))</f>
        <v>0</v>
      </c>
      <c r="AD123" s="24">
        <f>IF(YEAR($B123)*100+MONTH($B123)&lt;--SUBSTITUTE(_xlfn.XLOOKUP("Don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Life",Movimientos!$B$1:$B$1324,"&lt;="&amp;$B123))</f>
        <v>0</v>
      </c>
      <c r="AE123" s="25">
        <f t="shared" si="4"/>
        <v>5116059.16</v>
      </c>
    </row>
    <row r="124" spans="1:31" collapsed="1" x14ac:dyDescent="0.3">
      <c r="A124" s="22">
        <f t="shared" si="2"/>
        <v>123</v>
      </c>
      <c r="B124" s="23">
        <v>46265</v>
      </c>
      <c r="C124" s="24">
        <f>SUMIFS('Saldos Iniciales'!$D:$D,'Saldos Iniciales'!$A:$A,"CFT Group")+SUMIFS(Movimientos!$K$1:$K$1324,Movimientos!$C$1:$C$1324,"CFT Group",Movimientos!$B$1:$B$1324,"&lt;="&amp;$B124)</f>
        <v>740452.88000000059</v>
      </c>
      <c r="D124" s="24">
        <f>SUMIFS('Saldos Iniciales'!$D:$D,'Saldos Iniciales'!$A:$A,"M1B")+SUMIFS(Movimientos!$K$1:$K$1324,Movimientos!$C$1:$C$1324,"M1B",Movimientos!$B$1:$B$1324,"&lt;="&amp;$B124)</f>
        <v>93280.230000000171</v>
      </c>
      <c r="E124" s="24">
        <f>SUMIFS('Saldos Iniciales'!$D:$D,'Saldos Iniciales'!$A:$A,"Durand")+SUMIFS(Movimientos!$K$1:$K$1324,Movimientos!$C$1:$C$1324,"Durand",Movimientos!$B$1:$B$1324,"&lt;="&amp;$B124)</f>
        <v>1669.89</v>
      </c>
      <c r="F124" s="24">
        <f>SUMIFS('Saldos Iniciales'!$D:$D,'Saldos Iniciales'!$A:$A,"A&amp;M Imports")+SUMIFS(Movimientos!$K$1:$K$1324,Movimientos!$C$1:$C$1324,"A&amp;M Imports",Movimientos!$B$1:$B$1324,"&lt;="&amp;$B124)</f>
        <v>1419898.24</v>
      </c>
      <c r="G124" s="24">
        <f>SUMIFS('Saldos Iniciales'!$D:$D,'Saldos Iniciales'!$A:$A,"SSP Capital")+SUMIFS(Movimientos!$K$1:$K$1324,Movimientos!$C$1:$C$1324,"SSP Capital",Movimientos!$B$1:$B$1324,"&lt;="&amp;$B124)</f>
        <v>1555601.2099999995</v>
      </c>
      <c r="H124" s="24">
        <f>SUMIFS('Saldos Iniciales'!$D:$D,'Saldos Iniciales'!$A:$A,"Cross Family Trust")+SUMIFS(Movimientos!$K$1:$K$1324,Movimientos!$C$1:$C$1324,"Cross Family Trust",Movimientos!$B$1:$B$1324,"&lt;="&amp;$B124)</f>
        <v>221496.38</v>
      </c>
      <c r="I124" s="24">
        <f>SUMIFS('Saldos Iniciales'!$D:$D,'Saldos Iniciales'!$A:$A,"Cross Security Trust")+SUMIFS(Movimientos!$K$1:$K$1324,Movimientos!$C$1:$C$1324,"Cross Security Trust",Movimientos!$B$1:$B$1324,"&lt;="&amp;$B124)</f>
        <v>217684.34</v>
      </c>
      <c r="J124" s="24">
        <f>SUMIFS('Saldos Iniciales'!$D:$D,'Saldos Iniciales'!$A:$A,"Electrama")+SUMIFS(Movimientos!$K$1:$K$1324,Movimientos!$C$1:$C$1324,"Electrama",Movimientos!$B$1:$B$1324,"&lt;="&amp;$B124)</f>
        <v>13270.02</v>
      </c>
      <c r="K124" s="24">
        <f>SUMIFS('Saldos Iniciales'!$D:$D,'Saldos Iniciales'!$A:$A,"Sacred Valley Capital")+SUMIFS(Movimientos!$K$1:$K$1324,Movimientos!$C$1:$C$1324,"Sacred Valley Capital",Movimientos!$B$1:$B$1324,"&lt;="&amp;$B124)</f>
        <v>124.45</v>
      </c>
      <c r="L124" s="24">
        <f>SUMIFS('Saldos Iniciales'!$D:$D,'Saldos Iniciales'!$A:$A,"YWC Capital")+SUMIFS(Movimientos!$K$1:$K$1324,Movimientos!$C$1:$C$1324,"YWC Capital",Movimientos!$B$1:$B$1324,"&lt;="&amp;$B124)</f>
        <v>2177.87</v>
      </c>
      <c r="M124" s="24">
        <f>SUMIFS('Saldos Iniciales'!$D:$D,'Saldos Iniciales'!$A:$A,"Soweto")+SUMIFS(Movimientos!$K$1:$K$1324,Movimientos!$C$1:$C$1324,"Soweto",Movimientos!$B$1:$B$1324,"&lt;="&amp;$B124)</f>
        <v>754424.72</v>
      </c>
      <c r="N124" s="24">
        <f>SUMIFS('Saldos Iniciales'!$D:$D,'Saldos Iniciales'!$A:$A,"Green Stone Trust")+SUMIFS(Movimientos!$K$1:$K$1324,Movimientos!$C$1:$C$1324,"Green Stone Trust",Movimientos!$B$1:$B$1324,"&lt;="&amp;$B124)</f>
        <v>1968.99</v>
      </c>
      <c r="O124" s="24">
        <f>SUMIFS('Saldos Iniciales'!$D:$D,'Saldos Iniciales'!$A:$A,"EC Auto")+SUMIFS(Movimientos!$K$1:$K$1324,Movimientos!$C$1:$C$1324,"EC Auto",Movimientos!$B$1:$B$1324,"&lt;="&amp;$B124)</f>
        <v>901.34</v>
      </c>
      <c r="P124" s="24">
        <f>SUMIFS('Saldos Iniciales'!$D:$D,'Saldos Iniciales'!$A:$A,"Arbor Capital Properties")+SUMIFS(Movimientos!$K$1:$K$1324,Movimientos!$C$1:$C$1324,"Arbor Capital Properties",Movimientos!$B$1:$B$1324,"&lt;="&amp;$B124)</f>
        <v>1396.08</v>
      </c>
      <c r="Q124" s="24">
        <f>SUMIFS('Saldos Iniciales'!$D:$D,'Saldos Iniciales'!$A:$A,"2515 Overbrook")+SUMIFS(Movimientos!$K$1:$K$1324,Movimientos!$C$1:$C$1324,"2515 Overbrook",Movimientos!$B$1:$B$1324,"&lt;="&amp;$B124)</f>
        <v>33570.709999999963</v>
      </c>
      <c r="R124" s="24">
        <f>SUMIFS('Saldos Iniciales'!$D:$D,'Saldos Iniciales'!$A:$A,"112 Florida Ave")+SUMIFS(Movimientos!$K$1:$K$1324,Movimientos!$C$1:$C$1324,"112 Florida Ave",Movimientos!$B$1:$B$1324,"&lt;="&amp;$B124)</f>
        <v>26559.170000000006</v>
      </c>
      <c r="S124" s="24">
        <f>SUMIFS('Saldos Iniciales'!$D:$D,'Saldos Iniciales'!$A:$A,"3628 Thomas Ave")+SUMIFS(Movimientos!$K$1:$K$1324,Movimientos!$C$1:$C$1324,"3628 Thomas Ave",Movimientos!$B$1:$B$1324,"&lt;="&amp;$B124)</f>
        <v>23736.039999999997</v>
      </c>
      <c r="T124" s="24">
        <f>SUMIFS('Saldos Iniciales'!$D:$D,'Saldos Iniciales'!$A:$A,"Green Harbor Trust")+SUMIFS(Movimientos!$K$1:$K$1324,Movimientos!$C$1:$C$1324,"Green Harbor Trust",Movimientos!$B$1:$B$1324,"&lt;="&amp;$B124)</f>
        <v>345</v>
      </c>
      <c r="U124" s="24">
        <f>SUMIFS('Saldos Iniciales'!$D:$D,'Saldos Iniciales'!$A:$A,"Go Blue")+SUMIFS(Movimientos!$K$1:$K$1324,Movimientos!$C$1:$C$1324,"Go Blue",Movimientos!$B$1:$B$1324,"&lt;="&amp;$B124)</f>
        <v>9560.0000000000018</v>
      </c>
      <c r="V124" s="24">
        <f>IF(YEAR($B124)*100+MONTH($B124)&lt;--SUBSTITUTE(_xlfn.XLOOKUP("Pacha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LLC",Movimientos!$B$1:$B$1324,"&lt;="&amp;$B124))</f>
        <v>0</v>
      </c>
      <c r="W124" s="24">
        <f>IF(YEAR($B124)*100+MONTH($B124)&lt;--SUBSTITUTE(_xlfn.XLOOKUP("*CFT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Residence",Movimientos!$B$1:$B$1324,"&lt;="&amp;$B124))</f>
        <v>0</v>
      </c>
      <c r="X124" s="24">
        <f>IF(YEAR($B124)*100+MONTH($B124)&lt;--SUBSTITUTE(_xlfn.XLOOKUP("Carmen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Trust",Movimientos!$B$1:$B$1324,"&lt;="&amp;$B124))</f>
        <v>0</v>
      </c>
      <c r="Y124" s="24">
        <f>IF(YEAR($B124)*100+MONTH($B124)&lt;--SUBSTITUTE(_xlfn.XLOOKUP("SIYP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LLC",Movimientos!$B$1:$B$1324,"&lt;="&amp;$B124))</f>
        <v>0</v>
      </c>
      <c r="Z124" s="24">
        <f>IF(YEAR($B124)*100+MONTH($B124)&lt;--SUBSTITUTE(_xlfn.XLOOKUP("Prendamas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SRL",Movimientos!$B$1:$B$1324,"&lt;="&amp;$B124))</f>
        <v>0</v>
      </c>
      <c r="AA124" s="24">
        <f>IF(YEAR($B124)*100+MONTH($B124)&lt;--SUBSTITUTE(_xlfn.XLOOKUP("360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LLC",Movimientos!$B$1:$B$1324,"&lt;="&amp;$B124))</f>
        <v>0</v>
      </c>
      <c r="AB124" s="24">
        <f>IF(YEAR($B124)*100+MONTH($B124)&lt;--SUBSTITUTE(_xlfn.XLOOKUP("Five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",Movimientos!$B$1:$B$1324,"&lt;="&amp;$B124))</f>
        <v>0</v>
      </c>
      <c r="AC124" s="24">
        <f>IF(YEAR($B124)*100+MONTH($B124)&lt;--SUBSTITUTE(_xlfn.XLOOKUP("Nobe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Aparments",Movimientos!$B$1:$B$1324,"&lt;="&amp;$B124))</f>
        <v>0</v>
      </c>
      <c r="AD124" s="24">
        <f>IF(YEAR($B124)*100+MONTH($B124)&lt;--SUBSTITUTE(_xlfn.XLOOKUP("Don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Life",Movimientos!$B$1:$B$1324,"&lt;="&amp;$B124))</f>
        <v>0</v>
      </c>
      <c r="AE124" s="25">
        <f t="shared" si="4"/>
        <v>5118117.5599999996</v>
      </c>
    </row>
    <row r="125" spans="1:31" x14ac:dyDescent="0.3">
      <c r="A125" s="22">
        <f t="shared" si="2"/>
        <v>124</v>
      </c>
      <c r="B125" s="23">
        <v>46266</v>
      </c>
      <c r="C125" s="24">
        <f>SUMIFS('Saldos Iniciales'!$D:$D,'Saldos Iniciales'!$A:$A,"CFT Group")+SUMIFS(Movimientos!$K$1:$K$1324,Movimientos!$C$1:$C$1324,"CFT Group",Movimientos!$B$1:$B$1324,"&lt;="&amp;$B125)</f>
        <v>757677.3900000006</v>
      </c>
      <c r="D125" s="24">
        <f>SUMIFS('Saldos Iniciales'!$D:$D,'Saldos Iniciales'!$A:$A,"M1B")+SUMIFS(Movimientos!$K$1:$K$1324,Movimientos!$C$1:$C$1324,"M1B",Movimientos!$B$1:$B$1324,"&lt;="&amp;$B125)</f>
        <v>93280.230000000171</v>
      </c>
      <c r="E125" s="24">
        <f>SUMIFS('Saldos Iniciales'!$D:$D,'Saldos Iniciales'!$A:$A,"Durand")+SUMIFS(Movimientos!$K$1:$K$1324,Movimientos!$C$1:$C$1324,"Durand",Movimientos!$B$1:$B$1324,"&lt;="&amp;$B125)</f>
        <v>1669.89</v>
      </c>
      <c r="F125" s="24">
        <f>SUMIFS('Saldos Iniciales'!$D:$D,'Saldos Iniciales'!$A:$A,"A&amp;M Imports")+SUMIFS(Movimientos!$K$1:$K$1324,Movimientos!$C$1:$C$1324,"A&amp;M Imports",Movimientos!$B$1:$B$1324,"&lt;="&amp;$B125)</f>
        <v>1419898.24</v>
      </c>
      <c r="G125" s="24">
        <f>SUMIFS('Saldos Iniciales'!$D:$D,'Saldos Iniciales'!$A:$A,"SSP Capital")+SUMIFS(Movimientos!$K$1:$K$1324,Movimientos!$C$1:$C$1324,"SSP Capital",Movimientos!$B$1:$B$1324,"&lt;="&amp;$B125)</f>
        <v>1484962.6199999996</v>
      </c>
      <c r="H125" s="24">
        <f>SUMIFS('Saldos Iniciales'!$D:$D,'Saldos Iniciales'!$A:$A,"Cross Family Trust")+SUMIFS(Movimientos!$K$1:$K$1324,Movimientos!$C$1:$C$1324,"Cross Family Trust",Movimientos!$B$1:$B$1324,"&lt;="&amp;$B125)</f>
        <v>215496.38</v>
      </c>
      <c r="I125" s="24">
        <f>SUMIFS('Saldos Iniciales'!$D:$D,'Saldos Iniciales'!$A:$A,"Cross Security Trust")+SUMIFS(Movimientos!$K$1:$K$1324,Movimientos!$C$1:$C$1324,"Cross Security Trust",Movimientos!$B$1:$B$1324,"&lt;="&amp;$B125)</f>
        <v>217684.34</v>
      </c>
      <c r="J125" s="24">
        <f>SUMIFS('Saldos Iniciales'!$D:$D,'Saldos Iniciales'!$A:$A,"Electrama")+SUMIFS(Movimientos!$K$1:$K$1324,Movimientos!$C$1:$C$1324,"Electrama",Movimientos!$B$1:$B$1324,"&lt;="&amp;$B125)</f>
        <v>13054.880000000001</v>
      </c>
      <c r="K125" s="24">
        <f>SUMIFS('Saldos Iniciales'!$D:$D,'Saldos Iniciales'!$A:$A,"Sacred Valley Capital")+SUMIFS(Movimientos!$K$1:$K$1324,Movimientos!$C$1:$C$1324,"Sacred Valley Capital",Movimientos!$B$1:$B$1324,"&lt;="&amp;$B125)</f>
        <v>94.5</v>
      </c>
      <c r="L125" s="24">
        <f>SUMIFS('Saldos Iniciales'!$D:$D,'Saldos Iniciales'!$A:$A,"YWC Capital")+SUMIFS(Movimientos!$K$1:$K$1324,Movimientos!$C$1:$C$1324,"YWC Capital",Movimientos!$B$1:$B$1324,"&lt;="&amp;$B125)</f>
        <v>2147.92</v>
      </c>
      <c r="M125" s="24">
        <f>SUMIFS('Saldos Iniciales'!$D:$D,'Saldos Iniciales'!$A:$A,"Soweto")+SUMIFS(Movimientos!$K$1:$K$1324,Movimientos!$C$1:$C$1324,"Soweto",Movimientos!$B$1:$B$1324,"&lt;="&amp;$B125)</f>
        <v>754424.72</v>
      </c>
      <c r="N125" s="24">
        <f>SUMIFS('Saldos Iniciales'!$D:$D,'Saldos Iniciales'!$A:$A,"Green Stone Trust")+SUMIFS(Movimientos!$K$1:$K$1324,Movimientos!$C$1:$C$1324,"Green Stone Trust",Movimientos!$B$1:$B$1324,"&lt;="&amp;$B125)</f>
        <v>1968.99</v>
      </c>
      <c r="O125" s="24">
        <f>SUMIFS('Saldos Iniciales'!$D:$D,'Saldos Iniciales'!$A:$A,"EC Auto")+SUMIFS(Movimientos!$K$1:$K$1324,Movimientos!$C$1:$C$1324,"EC Auto",Movimientos!$B$1:$B$1324,"&lt;="&amp;$B125)</f>
        <v>901.34</v>
      </c>
      <c r="P125" s="24">
        <f>SUMIFS('Saldos Iniciales'!$D:$D,'Saldos Iniciales'!$A:$A,"Arbor Capital Properties")+SUMIFS(Movimientos!$K$1:$K$1324,Movimientos!$C$1:$C$1324,"Arbor Capital Properties",Movimientos!$B$1:$B$1324,"&lt;="&amp;$B125)</f>
        <v>1380.08</v>
      </c>
      <c r="Q125" s="24">
        <f>SUMIFS('Saldos Iniciales'!$D:$D,'Saldos Iniciales'!$A:$A,"2515 Overbrook")+SUMIFS(Movimientos!$K$1:$K$1324,Movimientos!$C$1:$C$1324,"2515 Overbrook",Movimientos!$B$1:$B$1324,"&lt;="&amp;$B125)</f>
        <v>25027.379999999961</v>
      </c>
      <c r="R125" s="24">
        <f>SUMIFS('Saldos Iniciales'!$D:$D,'Saldos Iniciales'!$A:$A,"112 Florida Ave")+SUMIFS(Movimientos!$K$1:$K$1324,Movimientos!$C$1:$C$1324,"112 Florida Ave",Movimientos!$B$1:$B$1324,"&lt;="&amp;$B125)</f>
        <v>16760.540000000008</v>
      </c>
      <c r="S125" s="24">
        <f>SUMIFS('Saldos Iniciales'!$D:$D,'Saldos Iniciales'!$A:$A,"3628 Thomas Ave")+SUMIFS(Movimientos!$K$1:$K$1324,Movimientos!$C$1:$C$1324,"3628 Thomas Ave",Movimientos!$B$1:$B$1324,"&lt;="&amp;$B125)</f>
        <v>14962.999999999996</v>
      </c>
      <c r="T125" s="24">
        <f>SUMIFS('Saldos Iniciales'!$D:$D,'Saldos Iniciales'!$A:$A,"Green Harbor Trust")+SUMIFS(Movimientos!$K$1:$K$1324,Movimientos!$C$1:$C$1324,"Green Harbor Trust",Movimientos!$B$1:$B$1324,"&lt;="&amp;$B125)</f>
        <v>345</v>
      </c>
      <c r="U125" s="24">
        <f>SUMIFS('Saldos Iniciales'!$D:$D,'Saldos Iniciales'!$A:$A,"Go Blue")+SUMIFS(Movimientos!$K$1:$K$1324,Movimientos!$C$1:$C$1324,"Go Blue",Movimientos!$B$1:$B$1324,"&lt;="&amp;$B125)</f>
        <v>9549.7500000000018</v>
      </c>
      <c r="V125" s="24">
        <f>IF(YEAR($B125)*100+MONTH($B125)&lt;--SUBSTITUTE(_xlfn.XLOOKUP("Pacha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LLC",Movimientos!$B$1:$B$1324,"&lt;="&amp;$B125))</f>
        <v>301167.45</v>
      </c>
      <c r="W125" s="24">
        <f>IF(YEAR($B125)*100+MONTH($B125)&lt;--SUBSTITUTE(_xlfn.XLOOKUP("*CFT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Residence",Movimientos!$B$1:$B$1324,"&lt;="&amp;$B125))</f>
        <v>20642.07</v>
      </c>
      <c r="X125" s="24">
        <f>IF(YEAR($B125)*100+MONTH($B125)&lt;--SUBSTITUTE(_xlfn.XLOOKUP("Carmen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Trust",Movimientos!$B$1:$B$1324,"&lt;="&amp;$B125))</f>
        <v>3631.96</v>
      </c>
      <c r="Y125" s="24">
        <f>IF(YEAR($B125)*100+MONTH($B125)&lt;--SUBSTITUTE(_xlfn.XLOOKUP("SIYP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LLC",Movimientos!$B$1:$B$1324,"&lt;="&amp;$B125))</f>
        <v>2303.4300000000003</v>
      </c>
      <c r="Z125" s="24">
        <f>IF(YEAR($B125)*100+MONTH($B125)&lt;--SUBSTITUTE(_xlfn.XLOOKUP("Prendamas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SRL",Movimientos!$B$1:$B$1324,"&lt;="&amp;$B125))</f>
        <v>92112.919999999969</v>
      </c>
      <c r="AA125" s="24">
        <f>IF(YEAR($B125)*100+MONTH($B125)&lt;--SUBSTITUTE(_xlfn.XLOOKUP("360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LLC",Movimientos!$B$1:$B$1324,"&lt;="&amp;$B125))</f>
        <v>794.01</v>
      </c>
      <c r="AB125" s="24">
        <f>IF(YEAR($B125)*100+MONTH($B125)&lt;--SUBSTITUTE(_xlfn.XLOOKUP("Five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",Movimientos!$B$1:$B$1324,"&lt;="&amp;$B125))</f>
        <v>5445.57</v>
      </c>
      <c r="AC125" s="24">
        <f>IF(YEAR($B125)*100+MONTH($B125)&lt;--SUBSTITUTE(_xlfn.XLOOKUP("Nobe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Aparments",Movimientos!$B$1:$B$1324,"&lt;="&amp;$B125))</f>
        <v>241342.91999999998</v>
      </c>
      <c r="AD125" s="24">
        <f>IF(YEAR($B125)*100+MONTH($B125)&lt;--SUBSTITUTE(_xlfn.XLOOKUP("Don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Life",Movimientos!$B$1:$B$1324,"&lt;="&amp;$B125))</f>
        <v>303874.71999999997</v>
      </c>
      <c r="AE125" s="25">
        <f t="shared" si="4"/>
        <v>6002602.2400000002</v>
      </c>
    </row>
    <row r="126" spans="1:31" outlineLevel="1" x14ac:dyDescent="0.3">
      <c r="A126" s="22">
        <f t="shared" ref="A126:A169" si="5">+A125+1</f>
        <v>125</v>
      </c>
      <c r="B126" s="23">
        <v>46267</v>
      </c>
      <c r="C126" s="24">
        <f>SUMIFS('Saldos Iniciales'!$D:$D,'Saldos Iniciales'!$A:$A,"CFT Group")+SUMIFS(Movimientos!$K$1:$K$1324,Movimientos!$C$1:$C$1324,"CFT Group",Movimientos!$B$1:$B$1324,"&lt;="&amp;$B126)</f>
        <v>1468396.1200000006</v>
      </c>
      <c r="D126" s="24">
        <f>SUMIFS('Saldos Iniciales'!$D:$D,'Saldos Iniciales'!$A:$A,"M1B")+SUMIFS(Movimientos!$K$1:$K$1324,Movimientos!$C$1:$C$1324,"M1B",Movimientos!$B$1:$B$1324,"&lt;="&amp;$B126)</f>
        <v>93280.230000000171</v>
      </c>
      <c r="E126" s="24">
        <f>SUMIFS('Saldos Iniciales'!$D:$D,'Saldos Iniciales'!$A:$A,"Durand")+SUMIFS(Movimientos!$K$1:$K$1324,Movimientos!$C$1:$C$1324,"Durand",Movimientos!$B$1:$B$1324,"&lt;="&amp;$B126)</f>
        <v>1669.89</v>
      </c>
      <c r="F126" s="24">
        <f>SUMIFS('Saldos Iniciales'!$D:$D,'Saldos Iniciales'!$A:$A,"A&amp;M Imports")+SUMIFS(Movimientos!$K$1:$K$1324,Movimientos!$C$1:$C$1324,"A&amp;M Imports",Movimientos!$B$1:$B$1324,"&lt;="&amp;$B126)</f>
        <v>1419898.24</v>
      </c>
      <c r="G126" s="24">
        <f>SUMIFS('Saldos Iniciales'!$D:$D,'Saldos Iniciales'!$A:$A,"SSP Capital")+SUMIFS(Movimientos!$K$1:$K$1324,Movimientos!$C$1:$C$1324,"SSP Capital",Movimientos!$B$1:$B$1324,"&lt;="&amp;$B126)</f>
        <v>1484962.6199999996</v>
      </c>
      <c r="H126" s="24">
        <f>SUMIFS('Saldos Iniciales'!$D:$D,'Saldos Iniciales'!$A:$A,"Cross Family Trust")+SUMIFS(Movimientos!$K$1:$K$1324,Movimientos!$C$1:$C$1324,"Cross Family Trust",Movimientos!$B$1:$B$1324,"&lt;="&amp;$B126)</f>
        <v>249778.14</v>
      </c>
      <c r="I126" s="24">
        <f>SUMIFS('Saldos Iniciales'!$D:$D,'Saldos Iniciales'!$A:$A,"Cross Security Trust")+SUMIFS(Movimientos!$K$1:$K$1324,Movimientos!$C$1:$C$1324,"Cross Security Trust",Movimientos!$B$1:$B$1324,"&lt;="&amp;$B126)</f>
        <v>217684.34</v>
      </c>
      <c r="J126" s="24">
        <f>SUMIFS('Saldos Iniciales'!$D:$D,'Saldos Iniciales'!$A:$A,"Electrama")+SUMIFS(Movimientos!$K$1:$K$1324,Movimientos!$C$1:$C$1324,"Electrama",Movimientos!$B$1:$B$1324,"&lt;="&amp;$B126)</f>
        <v>13054.880000000001</v>
      </c>
      <c r="K126" s="24">
        <f>SUMIFS('Saldos Iniciales'!$D:$D,'Saldos Iniciales'!$A:$A,"Sacred Valley Capital")+SUMIFS(Movimientos!$K$1:$K$1324,Movimientos!$C$1:$C$1324,"Sacred Valley Capital",Movimientos!$B$1:$B$1324,"&lt;="&amp;$B126)</f>
        <v>94.5</v>
      </c>
      <c r="L126" s="24">
        <f>SUMIFS('Saldos Iniciales'!$D:$D,'Saldos Iniciales'!$A:$A,"YWC Capital")+SUMIFS(Movimientos!$K$1:$K$1324,Movimientos!$C$1:$C$1324,"YWC Capital",Movimientos!$B$1:$B$1324,"&lt;="&amp;$B126)</f>
        <v>2147.92</v>
      </c>
      <c r="M126" s="24">
        <f>SUMIFS('Saldos Iniciales'!$D:$D,'Saldos Iniciales'!$A:$A,"Soweto")+SUMIFS(Movimientos!$K$1:$K$1324,Movimientos!$C$1:$C$1324,"Soweto",Movimientos!$B$1:$B$1324,"&lt;="&amp;$B126)</f>
        <v>17895.290000000015</v>
      </c>
      <c r="N126" s="24">
        <f>SUMIFS('Saldos Iniciales'!$D:$D,'Saldos Iniciales'!$A:$A,"Green Stone Trust")+SUMIFS(Movimientos!$K$1:$K$1324,Movimientos!$C$1:$C$1324,"Green Stone Trust",Movimientos!$B$1:$B$1324,"&lt;="&amp;$B126)</f>
        <v>1968.99</v>
      </c>
      <c r="O126" s="24">
        <f>SUMIFS('Saldos Iniciales'!$D:$D,'Saldos Iniciales'!$A:$A,"EC Auto")+SUMIFS(Movimientos!$K$1:$K$1324,Movimientos!$C$1:$C$1324,"EC Auto",Movimientos!$B$1:$B$1324,"&lt;="&amp;$B126)</f>
        <v>901.34</v>
      </c>
      <c r="P126" s="24">
        <f>SUMIFS('Saldos Iniciales'!$D:$D,'Saldos Iniciales'!$A:$A,"Arbor Capital Properties")+SUMIFS(Movimientos!$K$1:$K$1324,Movimientos!$C$1:$C$1324,"Arbor Capital Properties",Movimientos!$B$1:$B$1324,"&lt;="&amp;$B126)</f>
        <v>1380.08</v>
      </c>
      <c r="Q126" s="24">
        <f>SUMIFS('Saldos Iniciales'!$D:$D,'Saldos Iniciales'!$A:$A,"2515 Overbrook")+SUMIFS(Movimientos!$K$1:$K$1324,Movimientos!$C$1:$C$1324,"2515 Overbrook",Movimientos!$B$1:$B$1324,"&lt;="&amp;$B126)</f>
        <v>25027.379999999961</v>
      </c>
      <c r="R126" s="24">
        <f>SUMIFS('Saldos Iniciales'!$D:$D,'Saldos Iniciales'!$A:$A,"112 Florida Ave")+SUMIFS(Movimientos!$K$1:$K$1324,Movimientos!$C$1:$C$1324,"112 Florida Ave",Movimientos!$B$1:$B$1324,"&lt;="&amp;$B126)</f>
        <v>16760.540000000008</v>
      </c>
      <c r="S126" s="24">
        <f>SUMIFS('Saldos Iniciales'!$D:$D,'Saldos Iniciales'!$A:$A,"3628 Thomas Ave")+SUMIFS(Movimientos!$K$1:$K$1324,Movimientos!$C$1:$C$1324,"3628 Thomas Ave",Movimientos!$B$1:$B$1324,"&lt;="&amp;$B126)</f>
        <v>14162.999999999996</v>
      </c>
      <c r="T126" s="24">
        <f>SUMIFS('Saldos Iniciales'!$D:$D,'Saldos Iniciales'!$A:$A,"Green Harbor Trust")+SUMIFS(Movimientos!$K$1:$K$1324,Movimientos!$C$1:$C$1324,"Green Harbor Trust",Movimientos!$B$1:$B$1324,"&lt;="&amp;$B126)</f>
        <v>345</v>
      </c>
      <c r="U126" s="24">
        <f>SUMIFS('Saldos Iniciales'!$D:$D,'Saldos Iniciales'!$A:$A,"Go Blue")+SUMIFS(Movimientos!$K$1:$K$1324,Movimientos!$C$1:$C$1324,"Go Blue",Movimientos!$B$1:$B$1324,"&lt;="&amp;$B126)</f>
        <v>5861.1200000000026</v>
      </c>
      <c r="V126" s="24">
        <f>IF(YEAR($B126)*100+MONTH($B126)&lt;--SUBSTITUTE(_xlfn.XLOOKUP("Pacha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LLC",Movimientos!$B$1:$B$1324,"&lt;="&amp;$B126))</f>
        <v>301167.45</v>
      </c>
      <c r="W126" s="24">
        <f>IF(YEAR($B126)*100+MONTH($B126)&lt;--SUBSTITUTE(_xlfn.XLOOKUP("*CFT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Residence",Movimientos!$B$1:$B$1324,"&lt;="&amp;$B126))</f>
        <v>20642.07</v>
      </c>
      <c r="X126" s="24">
        <f>IF(YEAR($B126)*100+MONTH($B126)&lt;--SUBSTITUTE(_xlfn.XLOOKUP("Carmen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Trust",Movimientos!$B$1:$B$1324,"&lt;="&amp;$B126))</f>
        <v>3631.96</v>
      </c>
      <c r="Y126" s="24">
        <f>IF(YEAR($B126)*100+MONTH($B126)&lt;--SUBSTITUTE(_xlfn.XLOOKUP("SIYP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LLC",Movimientos!$B$1:$B$1324,"&lt;="&amp;$B126))</f>
        <v>2303.4300000000003</v>
      </c>
      <c r="Z126" s="24">
        <f>IF(YEAR($B126)*100+MONTH($B126)&lt;--SUBSTITUTE(_xlfn.XLOOKUP("Prendamas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SRL",Movimientos!$B$1:$B$1324,"&lt;="&amp;$B126))</f>
        <v>92112.919999999969</v>
      </c>
      <c r="AA126" s="24">
        <f>IF(YEAR($B126)*100+MONTH($B126)&lt;--SUBSTITUTE(_xlfn.XLOOKUP("360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LLC",Movimientos!$B$1:$B$1324,"&lt;="&amp;$B126))</f>
        <v>794.01</v>
      </c>
      <c r="AB126" s="24">
        <f>IF(YEAR($B126)*100+MONTH($B126)&lt;--SUBSTITUTE(_xlfn.XLOOKUP("Five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",Movimientos!$B$1:$B$1324,"&lt;="&amp;$B126))</f>
        <v>5445.57</v>
      </c>
      <c r="AC126" s="24">
        <f>IF(YEAR($B126)*100+MONTH($B126)&lt;--SUBSTITUTE(_xlfn.XLOOKUP("Nobe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Aparments",Movimientos!$B$1:$B$1324,"&lt;="&amp;$B126))</f>
        <v>241674.28999999998</v>
      </c>
      <c r="AD126" s="24">
        <f>IF(YEAR($B126)*100+MONTH($B126)&lt;--SUBSTITUTE(_xlfn.XLOOKUP("Don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Life",Movimientos!$B$1:$B$1324,"&lt;="&amp;$B126))</f>
        <v>303874.71999999997</v>
      </c>
      <c r="AE126" s="25">
        <f t="shared" si="4"/>
        <v>6006916.0399999991</v>
      </c>
    </row>
    <row r="127" spans="1:31" outlineLevel="1" x14ac:dyDescent="0.3">
      <c r="A127" s="22">
        <f t="shared" si="5"/>
        <v>126</v>
      </c>
      <c r="B127" s="23">
        <v>46268</v>
      </c>
      <c r="C127" s="24">
        <f>SUMIFS('Saldos Iniciales'!$D:$D,'Saldos Iniciales'!$A:$A,"CFT Group")+SUMIFS(Movimientos!$K$1:$K$1324,Movimientos!$C$1:$C$1324,"CFT Group",Movimientos!$B$1:$B$1324,"&lt;="&amp;$B127)</f>
        <v>1053254.4500000007</v>
      </c>
      <c r="D127" s="24">
        <f>SUMIFS('Saldos Iniciales'!$D:$D,'Saldos Iniciales'!$A:$A,"M1B")+SUMIFS(Movimientos!$K$1:$K$1324,Movimientos!$C$1:$C$1324,"M1B",Movimientos!$B$1:$B$1324,"&lt;="&amp;$B127)</f>
        <v>93280.230000000171</v>
      </c>
      <c r="E127" s="24">
        <f>SUMIFS('Saldos Iniciales'!$D:$D,'Saldos Iniciales'!$A:$A,"Durand")+SUMIFS(Movimientos!$K$1:$K$1324,Movimientos!$C$1:$C$1324,"Durand",Movimientos!$B$1:$B$1324,"&lt;="&amp;$B127)</f>
        <v>1669.89</v>
      </c>
      <c r="F127" s="24">
        <f>SUMIFS('Saldos Iniciales'!$D:$D,'Saldos Iniciales'!$A:$A,"A&amp;M Imports")+SUMIFS(Movimientos!$K$1:$K$1324,Movimientos!$C$1:$C$1324,"A&amp;M Imports",Movimientos!$B$1:$B$1324,"&lt;="&amp;$B127)</f>
        <v>1250938</v>
      </c>
      <c r="G127" s="24">
        <f>SUMIFS('Saldos Iniciales'!$D:$D,'Saldos Iniciales'!$A:$A,"SSP Capital")+SUMIFS(Movimientos!$K$1:$K$1324,Movimientos!$C$1:$C$1324,"SSP Capital",Movimientos!$B$1:$B$1324,"&lt;="&amp;$B127)</f>
        <v>1500228.9099999997</v>
      </c>
      <c r="H127" s="24">
        <f>SUMIFS('Saldos Iniciales'!$D:$D,'Saldos Iniciales'!$A:$A,"Cross Family Trust")+SUMIFS(Movimientos!$K$1:$K$1324,Movimientos!$C$1:$C$1324,"Cross Family Trust",Movimientos!$B$1:$B$1324,"&lt;="&amp;$B127)</f>
        <v>249778.14</v>
      </c>
      <c r="I127" s="24">
        <f>SUMIFS('Saldos Iniciales'!$D:$D,'Saldos Iniciales'!$A:$A,"Cross Security Trust")+SUMIFS(Movimientos!$K$1:$K$1324,Movimientos!$C$1:$C$1324,"Cross Security Trust",Movimientos!$B$1:$B$1324,"&lt;="&amp;$B127)</f>
        <v>217684.34</v>
      </c>
      <c r="J127" s="24">
        <f>SUMIFS('Saldos Iniciales'!$D:$D,'Saldos Iniciales'!$A:$A,"Electrama")+SUMIFS(Movimientos!$K$1:$K$1324,Movimientos!$C$1:$C$1324,"Electrama",Movimientos!$B$1:$B$1324,"&lt;="&amp;$B127)</f>
        <v>13014.880000000001</v>
      </c>
      <c r="K127" s="24">
        <f>SUMIFS('Saldos Iniciales'!$D:$D,'Saldos Iniciales'!$A:$A,"Sacred Valley Capital")+SUMIFS(Movimientos!$K$1:$K$1324,Movimientos!$C$1:$C$1324,"Sacred Valley Capital",Movimientos!$B$1:$B$1324,"&lt;="&amp;$B127)</f>
        <v>94.5</v>
      </c>
      <c r="L127" s="24">
        <f>SUMIFS('Saldos Iniciales'!$D:$D,'Saldos Iniciales'!$A:$A,"YWC Capital")+SUMIFS(Movimientos!$K$1:$K$1324,Movimientos!$C$1:$C$1324,"YWC Capital",Movimientos!$B$1:$B$1324,"&lt;="&amp;$B127)</f>
        <v>2147.92</v>
      </c>
      <c r="M127" s="24">
        <f>SUMIFS('Saldos Iniciales'!$D:$D,'Saldos Iniciales'!$A:$A,"Soweto")+SUMIFS(Movimientos!$K$1:$K$1324,Movimientos!$C$1:$C$1324,"Soweto",Movimientos!$B$1:$B$1324,"&lt;="&amp;$B127)</f>
        <v>17895.290000000015</v>
      </c>
      <c r="N127" s="24">
        <f>SUMIFS('Saldos Iniciales'!$D:$D,'Saldos Iniciales'!$A:$A,"Green Stone Trust")+SUMIFS(Movimientos!$K$1:$K$1324,Movimientos!$C$1:$C$1324,"Green Stone Trust",Movimientos!$B$1:$B$1324,"&lt;="&amp;$B127)</f>
        <v>1968.99</v>
      </c>
      <c r="O127" s="24">
        <f>SUMIFS('Saldos Iniciales'!$D:$D,'Saldos Iniciales'!$A:$A,"EC Auto")+SUMIFS(Movimientos!$K$1:$K$1324,Movimientos!$C$1:$C$1324,"EC Auto",Movimientos!$B$1:$B$1324,"&lt;="&amp;$B127)</f>
        <v>901.34</v>
      </c>
      <c r="P127" s="24">
        <f>SUMIFS('Saldos Iniciales'!$D:$D,'Saldos Iniciales'!$A:$A,"Arbor Capital Properties")+SUMIFS(Movimientos!$K$1:$K$1324,Movimientos!$C$1:$C$1324,"Arbor Capital Properties",Movimientos!$B$1:$B$1324,"&lt;="&amp;$B127)</f>
        <v>1380.08</v>
      </c>
      <c r="Q127" s="24">
        <f>SUMIFS('Saldos Iniciales'!$D:$D,'Saldos Iniciales'!$A:$A,"2515 Overbrook")+SUMIFS(Movimientos!$K$1:$K$1324,Movimientos!$C$1:$C$1324,"2515 Overbrook",Movimientos!$B$1:$B$1324,"&lt;="&amp;$B127)</f>
        <v>25027.379999999961</v>
      </c>
      <c r="R127" s="24">
        <f>SUMIFS('Saldos Iniciales'!$D:$D,'Saldos Iniciales'!$A:$A,"112 Florida Ave")+SUMIFS(Movimientos!$K$1:$K$1324,Movimientos!$C$1:$C$1324,"112 Florida Ave",Movimientos!$B$1:$B$1324,"&lt;="&amp;$B127)</f>
        <v>16760.540000000008</v>
      </c>
      <c r="S127" s="24">
        <f>SUMIFS('Saldos Iniciales'!$D:$D,'Saldos Iniciales'!$A:$A,"3628 Thomas Ave")+SUMIFS(Movimientos!$K$1:$K$1324,Movimientos!$C$1:$C$1324,"3628 Thomas Ave",Movimientos!$B$1:$B$1324,"&lt;="&amp;$B127)</f>
        <v>14162.999999999996</v>
      </c>
      <c r="T127" s="24">
        <f>SUMIFS('Saldos Iniciales'!$D:$D,'Saldos Iniciales'!$A:$A,"Green Harbor Trust")+SUMIFS(Movimientos!$K$1:$K$1324,Movimientos!$C$1:$C$1324,"Green Harbor Trust",Movimientos!$B$1:$B$1324,"&lt;="&amp;$B127)</f>
        <v>345</v>
      </c>
      <c r="U127" s="24">
        <f>SUMIFS('Saldos Iniciales'!$D:$D,'Saldos Iniciales'!$A:$A,"Go Blue")+SUMIFS(Movimientos!$K$1:$K$1324,Movimientos!$C$1:$C$1324,"Go Blue",Movimientos!$B$1:$B$1324,"&lt;="&amp;$B127)</f>
        <v>5861.1200000000026</v>
      </c>
      <c r="V127" s="24">
        <f>IF(YEAR($B127)*100+MONTH($B127)&lt;--SUBSTITUTE(_xlfn.XLOOKUP("Pacha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LLC",Movimientos!$B$1:$B$1324,"&lt;="&amp;$B127))</f>
        <v>299174.44</v>
      </c>
      <c r="W127" s="24">
        <f>IF(YEAR($B127)*100+MONTH($B127)&lt;--SUBSTITUTE(_xlfn.XLOOKUP("*CFT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Residence",Movimientos!$B$1:$B$1324,"&lt;="&amp;$B127))</f>
        <v>20547.07</v>
      </c>
      <c r="X127" s="24">
        <f>IF(YEAR($B127)*100+MONTH($B127)&lt;--SUBSTITUTE(_xlfn.XLOOKUP("Carmen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Trust",Movimientos!$B$1:$B$1324,"&lt;="&amp;$B127))</f>
        <v>3631.96</v>
      </c>
      <c r="Y127" s="24">
        <f>IF(YEAR($B127)*100+MONTH($B127)&lt;--SUBSTITUTE(_xlfn.XLOOKUP("SIYP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LLC",Movimientos!$B$1:$B$1324,"&lt;="&amp;$B127))</f>
        <v>604.80000000000018</v>
      </c>
      <c r="Z127" s="24">
        <f>IF(YEAR($B127)*100+MONTH($B127)&lt;--SUBSTITUTE(_xlfn.XLOOKUP("Prendamas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SRL",Movimientos!$B$1:$B$1324,"&lt;="&amp;$B127))</f>
        <v>92112.919999999969</v>
      </c>
      <c r="AA127" s="24">
        <f>IF(YEAR($B127)*100+MONTH($B127)&lt;--SUBSTITUTE(_xlfn.XLOOKUP("360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LLC",Movimientos!$B$1:$B$1324,"&lt;="&amp;$B127))</f>
        <v>794.01</v>
      </c>
      <c r="AB127" s="24">
        <f>IF(YEAR($B127)*100+MONTH($B127)&lt;--SUBSTITUTE(_xlfn.XLOOKUP("Five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",Movimientos!$B$1:$B$1324,"&lt;="&amp;$B127))</f>
        <v>5445.57</v>
      </c>
      <c r="AC127" s="24">
        <f>IF(YEAR($B127)*100+MONTH($B127)&lt;--SUBSTITUTE(_xlfn.XLOOKUP("Nobe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Aparments",Movimientos!$B$1:$B$1324,"&lt;="&amp;$B127))</f>
        <v>241819.28999999998</v>
      </c>
      <c r="AD127" s="24">
        <f>IF(YEAR($B127)*100+MONTH($B127)&lt;--SUBSTITUTE(_xlfn.XLOOKUP("Don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Life",Movimientos!$B$1:$B$1324,"&lt;="&amp;$B127))</f>
        <v>303874.71999999997</v>
      </c>
      <c r="AE127" s="25">
        <f t="shared" si="4"/>
        <v>5434398.7800000012</v>
      </c>
    </row>
    <row r="128" spans="1:31" outlineLevel="1" x14ac:dyDescent="0.3">
      <c r="A128" s="22">
        <f t="shared" si="5"/>
        <v>127</v>
      </c>
      <c r="B128" s="23">
        <v>46269</v>
      </c>
      <c r="C128" s="24">
        <f>SUMIFS('Saldos Iniciales'!$D:$D,'Saldos Iniciales'!$A:$A,"CFT Group")+SUMIFS(Movimientos!$K$1:$K$1324,Movimientos!$C$1:$C$1324,"CFT Group",Movimientos!$B$1:$B$1324,"&lt;="&amp;$B128)</f>
        <v>1549729.4500000007</v>
      </c>
      <c r="D128" s="24">
        <f>SUMIFS('Saldos Iniciales'!$D:$D,'Saldos Iniciales'!$A:$A,"M1B")+SUMIFS(Movimientos!$K$1:$K$1324,Movimientos!$C$1:$C$1324,"M1B",Movimientos!$B$1:$B$1324,"&lt;="&amp;$B128)</f>
        <v>93280.230000000171</v>
      </c>
      <c r="E128" s="24">
        <f>SUMIFS('Saldos Iniciales'!$D:$D,'Saldos Iniciales'!$A:$A,"Durand")+SUMIFS(Movimientos!$K$1:$K$1324,Movimientos!$C$1:$C$1324,"Durand",Movimientos!$B$1:$B$1324,"&lt;="&amp;$B128)</f>
        <v>1669.89</v>
      </c>
      <c r="F128" s="24">
        <f>SUMIFS('Saldos Iniciales'!$D:$D,'Saldos Iniciales'!$A:$A,"A&amp;M Imports")+SUMIFS(Movimientos!$K$1:$K$1324,Movimientos!$C$1:$C$1324,"A&amp;M Imports",Movimientos!$B$1:$B$1324,"&lt;="&amp;$B128)</f>
        <v>1250938</v>
      </c>
      <c r="G128" s="24">
        <f>SUMIFS('Saldos Iniciales'!$D:$D,'Saldos Iniciales'!$A:$A,"SSP Capital")+SUMIFS(Movimientos!$K$1:$K$1324,Movimientos!$C$1:$C$1324,"SSP Capital",Movimientos!$B$1:$B$1324,"&lt;="&amp;$B128)</f>
        <v>1499204.7399999998</v>
      </c>
      <c r="H128" s="24">
        <f>SUMIFS('Saldos Iniciales'!$D:$D,'Saldos Iniciales'!$A:$A,"Cross Family Trust")+SUMIFS(Movimientos!$K$1:$K$1324,Movimientos!$C$1:$C$1324,"Cross Family Trust",Movimientos!$B$1:$B$1324,"&lt;="&amp;$B128)</f>
        <v>249778.14</v>
      </c>
      <c r="I128" s="24">
        <f>SUMIFS('Saldos Iniciales'!$D:$D,'Saldos Iniciales'!$A:$A,"Cross Security Trust")+SUMIFS(Movimientos!$K$1:$K$1324,Movimientos!$C$1:$C$1324,"Cross Security Trust",Movimientos!$B$1:$B$1324,"&lt;="&amp;$B128)</f>
        <v>217684.34</v>
      </c>
      <c r="J128" s="24">
        <f>SUMIFS('Saldos Iniciales'!$D:$D,'Saldos Iniciales'!$A:$A,"Electrama")+SUMIFS(Movimientos!$K$1:$K$1324,Movimientos!$C$1:$C$1324,"Electrama",Movimientos!$B$1:$B$1324,"&lt;="&amp;$B128)</f>
        <v>13014.880000000001</v>
      </c>
      <c r="K128" s="24">
        <f>SUMIFS('Saldos Iniciales'!$D:$D,'Saldos Iniciales'!$A:$A,"Sacred Valley Capital")+SUMIFS(Movimientos!$K$1:$K$1324,Movimientos!$C$1:$C$1324,"Sacred Valley Capital",Movimientos!$B$1:$B$1324,"&lt;="&amp;$B128)</f>
        <v>94.5</v>
      </c>
      <c r="L128" s="24">
        <f>SUMIFS('Saldos Iniciales'!$D:$D,'Saldos Iniciales'!$A:$A,"YWC Capital")+SUMIFS(Movimientos!$K$1:$K$1324,Movimientos!$C$1:$C$1324,"YWC Capital",Movimientos!$B$1:$B$1324,"&lt;="&amp;$B128)</f>
        <v>2147.92</v>
      </c>
      <c r="M128" s="24">
        <f>SUMIFS('Saldos Iniciales'!$D:$D,'Saldos Iniciales'!$A:$A,"Soweto")+SUMIFS(Movimientos!$K$1:$K$1324,Movimientos!$C$1:$C$1324,"Soweto",Movimientos!$B$1:$B$1324,"&lt;="&amp;$B128)</f>
        <v>17895.290000000015</v>
      </c>
      <c r="N128" s="24">
        <f>SUMIFS('Saldos Iniciales'!$D:$D,'Saldos Iniciales'!$A:$A,"Green Stone Trust")+SUMIFS(Movimientos!$K$1:$K$1324,Movimientos!$C$1:$C$1324,"Green Stone Trust",Movimientos!$B$1:$B$1324,"&lt;="&amp;$B128)</f>
        <v>1968.99</v>
      </c>
      <c r="O128" s="24">
        <f>SUMIFS('Saldos Iniciales'!$D:$D,'Saldos Iniciales'!$A:$A,"EC Auto")+SUMIFS(Movimientos!$K$1:$K$1324,Movimientos!$C$1:$C$1324,"EC Auto",Movimientos!$B$1:$B$1324,"&lt;="&amp;$B128)</f>
        <v>901.34</v>
      </c>
      <c r="P128" s="24">
        <f>SUMIFS('Saldos Iniciales'!$D:$D,'Saldos Iniciales'!$A:$A,"Arbor Capital Properties")+SUMIFS(Movimientos!$K$1:$K$1324,Movimientos!$C$1:$C$1324,"Arbor Capital Properties",Movimientos!$B$1:$B$1324,"&lt;="&amp;$B128)</f>
        <v>1380.08</v>
      </c>
      <c r="Q128" s="24">
        <f>SUMIFS('Saldos Iniciales'!$D:$D,'Saldos Iniciales'!$A:$A,"2515 Overbrook")+SUMIFS(Movimientos!$K$1:$K$1324,Movimientos!$C$1:$C$1324,"2515 Overbrook",Movimientos!$B$1:$B$1324,"&lt;="&amp;$B128)</f>
        <v>25027.379999999961</v>
      </c>
      <c r="R128" s="24">
        <f>SUMIFS('Saldos Iniciales'!$D:$D,'Saldos Iniciales'!$A:$A,"112 Florida Ave")+SUMIFS(Movimientos!$K$1:$K$1324,Movimientos!$C$1:$C$1324,"112 Florida Ave",Movimientos!$B$1:$B$1324,"&lt;="&amp;$B128)</f>
        <v>16760.540000000008</v>
      </c>
      <c r="S128" s="24">
        <f>SUMIFS('Saldos Iniciales'!$D:$D,'Saldos Iniciales'!$A:$A,"3628 Thomas Ave")+SUMIFS(Movimientos!$K$1:$K$1324,Movimientos!$C$1:$C$1324,"3628 Thomas Ave",Movimientos!$B$1:$B$1324,"&lt;="&amp;$B128)</f>
        <v>14162.999999999996</v>
      </c>
      <c r="T128" s="24">
        <f>SUMIFS('Saldos Iniciales'!$D:$D,'Saldos Iniciales'!$A:$A,"Green Harbor Trust")+SUMIFS(Movimientos!$K$1:$K$1324,Movimientos!$C$1:$C$1324,"Green Harbor Trust",Movimientos!$B$1:$B$1324,"&lt;="&amp;$B128)</f>
        <v>345</v>
      </c>
      <c r="U128" s="24">
        <f>SUMIFS('Saldos Iniciales'!$D:$D,'Saldos Iniciales'!$A:$A,"Go Blue")+SUMIFS(Movimientos!$K$1:$K$1324,Movimientos!$C$1:$C$1324,"Go Blue",Movimientos!$B$1:$B$1324,"&lt;="&amp;$B128)</f>
        <v>5861.1200000000026</v>
      </c>
      <c r="V128" s="24">
        <f>IF(YEAR($B128)*100+MONTH($B128)&lt;--SUBSTITUTE(_xlfn.XLOOKUP("Pacha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LLC",Movimientos!$B$1:$B$1324,"&lt;="&amp;$B128))</f>
        <v>299174.44</v>
      </c>
      <c r="W128" s="24">
        <f>IF(YEAR($B128)*100+MONTH($B128)&lt;--SUBSTITUTE(_xlfn.XLOOKUP("*CFT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Residence",Movimientos!$B$1:$B$1324,"&lt;="&amp;$B128))</f>
        <v>20467.07</v>
      </c>
      <c r="X128" s="24">
        <f>IF(YEAR($B128)*100+MONTH($B128)&lt;--SUBSTITUTE(_xlfn.XLOOKUP("Carmen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Trust",Movimientos!$B$1:$B$1324,"&lt;="&amp;$B128))</f>
        <v>3631.96</v>
      </c>
      <c r="Y128" s="24">
        <f>IF(YEAR($B128)*100+MONTH($B128)&lt;--SUBSTITUTE(_xlfn.XLOOKUP("SIYP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LLC",Movimientos!$B$1:$B$1324,"&lt;="&amp;$B128))</f>
        <v>604.80000000000018</v>
      </c>
      <c r="Z128" s="24">
        <f>IF(YEAR($B128)*100+MONTH($B128)&lt;--SUBSTITUTE(_xlfn.XLOOKUP("Prendamas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SRL",Movimientos!$B$1:$B$1324,"&lt;="&amp;$B128))</f>
        <v>32112.919999999976</v>
      </c>
      <c r="AA128" s="24">
        <f>IF(YEAR($B128)*100+MONTH($B128)&lt;--SUBSTITUTE(_xlfn.XLOOKUP("360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LLC",Movimientos!$B$1:$B$1324,"&lt;="&amp;$B128))</f>
        <v>794.01</v>
      </c>
      <c r="AB128" s="24">
        <f>IF(YEAR($B128)*100+MONTH($B128)&lt;--SUBSTITUTE(_xlfn.XLOOKUP("Five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",Movimientos!$B$1:$B$1324,"&lt;="&amp;$B128))</f>
        <v>5445.57</v>
      </c>
      <c r="AC128" s="24">
        <f>IF(YEAR($B128)*100+MONTH($B128)&lt;--SUBSTITUTE(_xlfn.XLOOKUP("Nobe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Aparments",Movimientos!$B$1:$B$1324,"&lt;="&amp;$B128))</f>
        <v>242034.28999999998</v>
      </c>
      <c r="AD128" s="24">
        <f>IF(YEAR($B128)*100+MONTH($B128)&lt;--SUBSTITUTE(_xlfn.XLOOKUP("Don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Life",Movimientos!$B$1:$B$1324,"&lt;="&amp;$B128))</f>
        <v>303874.71999999997</v>
      </c>
      <c r="AE128" s="25">
        <f t="shared" si="4"/>
        <v>5869984.6100000003</v>
      </c>
    </row>
    <row r="129" spans="1:31" outlineLevel="1" x14ac:dyDescent="0.3">
      <c r="A129" s="22">
        <f t="shared" si="5"/>
        <v>128</v>
      </c>
      <c r="B129" s="23">
        <v>46270</v>
      </c>
      <c r="C129" s="24">
        <f>SUMIFS('Saldos Iniciales'!$D:$D,'Saldos Iniciales'!$A:$A,"CFT Group")+SUMIFS(Movimientos!$K$1:$K$1324,Movimientos!$C$1:$C$1324,"CFT Group",Movimientos!$B$1:$B$1324,"&lt;="&amp;$B129)</f>
        <v>1549729.4500000007</v>
      </c>
      <c r="D129" s="24">
        <f>SUMIFS('Saldos Iniciales'!$D:$D,'Saldos Iniciales'!$A:$A,"M1B")+SUMIFS(Movimientos!$K$1:$K$1324,Movimientos!$C$1:$C$1324,"M1B",Movimientos!$B$1:$B$1324,"&lt;="&amp;$B129)</f>
        <v>93280.230000000171</v>
      </c>
      <c r="E129" s="24">
        <f>SUMIFS('Saldos Iniciales'!$D:$D,'Saldos Iniciales'!$A:$A,"Durand")+SUMIFS(Movimientos!$K$1:$K$1324,Movimientos!$C$1:$C$1324,"Durand",Movimientos!$B$1:$B$1324,"&lt;="&amp;$B129)</f>
        <v>1669.89</v>
      </c>
      <c r="F129" s="24">
        <f>SUMIFS('Saldos Iniciales'!$D:$D,'Saldos Iniciales'!$A:$A,"A&amp;M Imports")+SUMIFS(Movimientos!$K$1:$K$1324,Movimientos!$C$1:$C$1324,"A&amp;M Imports",Movimientos!$B$1:$B$1324,"&lt;="&amp;$B129)</f>
        <v>1250938</v>
      </c>
      <c r="G129" s="24">
        <f>SUMIFS('Saldos Iniciales'!$D:$D,'Saldos Iniciales'!$A:$A,"SSP Capital")+SUMIFS(Movimientos!$K$1:$K$1324,Movimientos!$C$1:$C$1324,"SSP Capital",Movimientos!$B$1:$B$1324,"&lt;="&amp;$B129)</f>
        <v>1499204.7399999998</v>
      </c>
      <c r="H129" s="24">
        <f>SUMIFS('Saldos Iniciales'!$D:$D,'Saldos Iniciales'!$A:$A,"Cross Family Trust")+SUMIFS(Movimientos!$K$1:$K$1324,Movimientos!$C$1:$C$1324,"Cross Family Trust",Movimientos!$B$1:$B$1324,"&lt;="&amp;$B129)</f>
        <v>249778.14</v>
      </c>
      <c r="I129" s="24">
        <f>SUMIFS('Saldos Iniciales'!$D:$D,'Saldos Iniciales'!$A:$A,"Cross Security Trust")+SUMIFS(Movimientos!$K$1:$K$1324,Movimientos!$C$1:$C$1324,"Cross Security Trust",Movimientos!$B$1:$B$1324,"&lt;="&amp;$B129)</f>
        <v>217684.34</v>
      </c>
      <c r="J129" s="24">
        <f>SUMIFS('Saldos Iniciales'!$D:$D,'Saldos Iniciales'!$A:$A,"Electrama")+SUMIFS(Movimientos!$K$1:$K$1324,Movimientos!$C$1:$C$1324,"Electrama",Movimientos!$B$1:$B$1324,"&lt;="&amp;$B129)</f>
        <v>13014.880000000001</v>
      </c>
      <c r="K129" s="24">
        <f>SUMIFS('Saldos Iniciales'!$D:$D,'Saldos Iniciales'!$A:$A,"Sacred Valley Capital")+SUMIFS(Movimientos!$K$1:$K$1324,Movimientos!$C$1:$C$1324,"Sacred Valley Capital",Movimientos!$B$1:$B$1324,"&lt;="&amp;$B129)</f>
        <v>94.5</v>
      </c>
      <c r="L129" s="24">
        <f>SUMIFS('Saldos Iniciales'!$D:$D,'Saldos Iniciales'!$A:$A,"YWC Capital")+SUMIFS(Movimientos!$K$1:$K$1324,Movimientos!$C$1:$C$1324,"YWC Capital",Movimientos!$B$1:$B$1324,"&lt;="&amp;$B129)</f>
        <v>2147.92</v>
      </c>
      <c r="M129" s="24">
        <f>SUMIFS('Saldos Iniciales'!$D:$D,'Saldos Iniciales'!$A:$A,"Soweto")+SUMIFS(Movimientos!$K$1:$K$1324,Movimientos!$C$1:$C$1324,"Soweto",Movimientos!$B$1:$B$1324,"&lt;="&amp;$B129)</f>
        <v>17895.290000000015</v>
      </c>
      <c r="N129" s="24">
        <f>SUMIFS('Saldos Iniciales'!$D:$D,'Saldos Iniciales'!$A:$A,"Green Stone Trust")+SUMIFS(Movimientos!$K$1:$K$1324,Movimientos!$C$1:$C$1324,"Green Stone Trust",Movimientos!$B$1:$B$1324,"&lt;="&amp;$B129)</f>
        <v>1968.99</v>
      </c>
      <c r="O129" s="24">
        <f>SUMIFS('Saldos Iniciales'!$D:$D,'Saldos Iniciales'!$A:$A,"EC Auto")+SUMIFS(Movimientos!$K$1:$K$1324,Movimientos!$C$1:$C$1324,"EC Auto",Movimientos!$B$1:$B$1324,"&lt;="&amp;$B129)</f>
        <v>901.34</v>
      </c>
      <c r="P129" s="24">
        <f>SUMIFS('Saldos Iniciales'!$D:$D,'Saldos Iniciales'!$A:$A,"Arbor Capital Properties")+SUMIFS(Movimientos!$K$1:$K$1324,Movimientos!$C$1:$C$1324,"Arbor Capital Properties",Movimientos!$B$1:$B$1324,"&lt;="&amp;$B129)</f>
        <v>1380.08</v>
      </c>
      <c r="Q129" s="24">
        <f>SUMIFS('Saldos Iniciales'!$D:$D,'Saldos Iniciales'!$A:$A,"2515 Overbrook")+SUMIFS(Movimientos!$K$1:$K$1324,Movimientos!$C$1:$C$1324,"2515 Overbrook",Movimientos!$B$1:$B$1324,"&lt;="&amp;$B129)</f>
        <v>25027.379999999961</v>
      </c>
      <c r="R129" s="24">
        <f>SUMIFS('Saldos Iniciales'!$D:$D,'Saldos Iniciales'!$A:$A,"112 Florida Ave")+SUMIFS(Movimientos!$K$1:$K$1324,Movimientos!$C$1:$C$1324,"112 Florida Ave",Movimientos!$B$1:$B$1324,"&lt;="&amp;$B129)</f>
        <v>16760.540000000008</v>
      </c>
      <c r="S129" s="24">
        <f>SUMIFS('Saldos Iniciales'!$D:$D,'Saldos Iniciales'!$A:$A,"3628 Thomas Ave")+SUMIFS(Movimientos!$K$1:$K$1324,Movimientos!$C$1:$C$1324,"3628 Thomas Ave",Movimientos!$B$1:$B$1324,"&lt;="&amp;$B129)</f>
        <v>14162.999999999996</v>
      </c>
      <c r="T129" s="24">
        <f>SUMIFS('Saldos Iniciales'!$D:$D,'Saldos Iniciales'!$A:$A,"Green Harbor Trust")+SUMIFS(Movimientos!$K$1:$K$1324,Movimientos!$C$1:$C$1324,"Green Harbor Trust",Movimientos!$B$1:$B$1324,"&lt;="&amp;$B129)</f>
        <v>345</v>
      </c>
      <c r="U129" s="24">
        <f>SUMIFS('Saldos Iniciales'!$D:$D,'Saldos Iniciales'!$A:$A,"Go Blue")+SUMIFS(Movimientos!$K$1:$K$1324,Movimientos!$C$1:$C$1324,"Go Blue",Movimientos!$B$1:$B$1324,"&lt;="&amp;$B129)</f>
        <v>5861.1200000000026</v>
      </c>
      <c r="V129" s="24">
        <f>IF(YEAR($B129)*100+MONTH($B129)&lt;--SUBSTITUTE(_xlfn.XLOOKUP("Pacha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LLC",Movimientos!$B$1:$B$1324,"&lt;="&amp;$B129))</f>
        <v>299174.44</v>
      </c>
      <c r="W129" s="24">
        <f>IF(YEAR($B129)*100+MONTH($B129)&lt;--SUBSTITUTE(_xlfn.XLOOKUP("*CFT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Residence",Movimientos!$B$1:$B$1324,"&lt;="&amp;$B129))</f>
        <v>20467.07</v>
      </c>
      <c r="X129" s="24">
        <f>IF(YEAR($B129)*100+MONTH($B129)&lt;--SUBSTITUTE(_xlfn.XLOOKUP("Carmen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Trust",Movimientos!$B$1:$B$1324,"&lt;="&amp;$B129))</f>
        <v>3631.96</v>
      </c>
      <c r="Y129" s="24">
        <f>IF(YEAR($B129)*100+MONTH($B129)&lt;--SUBSTITUTE(_xlfn.XLOOKUP("SIYP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LLC",Movimientos!$B$1:$B$1324,"&lt;="&amp;$B129))</f>
        <v>604.80000000000018</v>
      </c>
      <c r="Z129" s="24">
        <f>IF(YEAR($B129)*100+MONTH($B129)&lt;--SUBSTITUTE(_xlfn.XLOOKUP("Prendamas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SRL",Movimientos!$B$1:$B$1324,"&lt;="&amp;$B129))</f>
        <v>32112.919999999976</v>
      </c>
      <c r="AA129" s="24">
        <f>IF(YEAR($B129)*100+MONTH($B129)&lt;--SUBSTITUTE(_xlfn.XLOOKUP("360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LLC",Movimientos!$B$1:$B$1324,"&lt;="&amp;$B129))</f>
        <v>794.01</v>
      </c>
      <c r="AB129" s="24">
        <f>IF(YEAR($B129)*100+MONTH($B129)&lt;--SUBSTITUTE(_xlfn.XLOOKUP("Five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",Movimientos!$B$1:$B$1324,"&lt;="&amp;$B129))</f>
        <v>5445.57</v>
      </c>
      <c r="AC129" s="24">
        <f>IF(YEAR($B129)*100+MONTH($B129)&lt;--SUBSTITUTE(_xlfn.XLOOKUP("Nobe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Aparments",Movimientos!$B$1:$B$1324,"&lt;="&amp;$B129))</f>
        <v>242034.28999999998</v>
      </c>
      <c r="AD129" s="24">
        <f>IF(YEAR($B129)*100+MONTH($B129)&lt;--SUBSTITUTE(_xlfn.XLOOKUP("Don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Life",Movimientos!$B$1:$B$1324,"&lt;="&amp;$B129))</f>
        <v>303874.71999999997</v>
      </c>
      <c r="AE129" s="25">
        <f t="shared" ref="AE129:AE160" si="6">SUM(C129:AD129)</f>
        <v>5869984.6100000003</v>
      </c>
    </row>
    <row r="130" spans="1:31" outlineLevel="1" x14ac:dyDescent="0.3">
      <c r="A130" s="22">
        <f t="shared" si="5"/>
        <v>129</v>
      </c>
      <c r="B130" s="23">
        <v>46271</v>
      </c>
      <c r="C130" s="24">
        <f>SUMIFS('Saldos Iniciales'!$D:$D,'Saldos Iniciales'!$A:$A,"CFT Group")+SUMIFS(Movimientos!$K$1:$K$1324,Movimientos!$C$1:$C$1324,"CFT Group",Movimientos!$B$1:$B$1324,"&lt;="&amp;$B130)</f>
        <v>1549729.4500000007</v>
      </c>
      <c r="D130" s="24">
        <f>SUMIFS('Saldos Iniciales'!$D:$D,'Saldos Iniciales'!$A:$A,"M1B")+SUMIFS(Movimientos!$K$1:$K$1324,Movimientos!$C$1:$C$1324,"M1B",Movimientos!$B$1:$B$1324,"&lt;="&amp;$B130)</f>
        <v>93280.230000000171</v>
      </c>
      <c r="E130" s="24">
        <f>SUMIFS('Saldos Iniciales'!$D:$D,'Saldos Iniciales'!$A:$A,"Durand")+SUMIFS(Movimientos!$K$1:$K$1324,Movimientos!$C$1:$C$1324,"Durand",Movimientos!$B$1:$B$1324,"&lt;="&amp;$B130)</f>
        <v>1669.89</v>
      </c>
      <c r="F130" s="24">
        <f>SUMIFS('Saldos Iniciales'!$D:$D,'Saldos Iniciales'!$A:$A,"A&amp;M Imports")+SUMIFS(Movimientos!$K$1:$K$1324,Movimientos!$C$1:$C$1324,"A&amp;M Imports",Movimientos!$B$1:$B$1324,"&lt;="&amp;$B130)</f>
        <v>1250938</v>
      </c>
      <c r="G130" s="24">
        <f>SUMIFS('Saldos Iniciales'!$D:$D,'Saldos Iniciales'!$A:$A,"SSP Capital")+SUMIFS(Movimientos!$K$1:$K$1324,Movimientos!$C$1:$C$1324,"SSP Capital",Movimientos!$B$1:$B$1324,"&lt;="&amp;$B130)</f>
        <v>1499204.7399999998</v>
      </c>
      <c r="H130" s="24">
        <f>SUMIFS('Saldos Iniciales'!$D:$D,'Saldos Iniciales'!$A:$A,"Cross Family Trust")+SUMIFS(Movimientos!$K$1:$K$1324,Movimientos!$C$1:$C$1324,"Cross Family Trust",Movimientos!$B$1:$B$1324,"&lt;="&amp;$B130)</f>
        <v>249778.14</v>
      </c>
      <c r="I130" s="24">
        <f>SUMIFS('Saldos Iniciales'!$D:$D,'Saldos Iniciales'!$A:$A,"Cross Security Trust")+SUMIFS(Movimientos!$K$1:$K$1324,Movimientos!$C$1:$C$1324,"Cross Security Trust",Movimientos!$B$1:$B$1324,"&lt;="&amp;$B130)</f>
        <v>217684.34</v>
      </c>
      <c r="J130" s="24">
        <f>SUMIFS('Saldos Iniciales'!$D:$D,'Saldos Iniciales'!$A:$A,"Electrama")+SUMIFS(Movimientos!$K$1:$K$1324,Movimientos!$C$1:$C$1324,"Electrama",Movimientos!$B$1:$B$1324,"&lt;="&amp;$B130)</f>
        <v>13014.880000000001</v>
      </c>
      <c r="K130" s="24">
        <f>SUMIFS('Saldos Iniciales'!$D:$D,'Saldos Iniciales'!$A:$A,"Sacred Valley Capital")+SUMIFS(Movimientos!$K$1:$K$1324,Movimientos!$C$1:$C$1324,"Sacred Valley Capital",Movimientos!$B$1:$B$1324,"&lt;="&amp;$B130)</f>
        <v>94.5</v>
      </c>
      <c r="L130" s="24">
        <f>SUMIFS('Saldos Iniciales'!$D:$D,'Saldos Iniciales'!$A:$A,"YWC Capital")+SUMIFS(Movimientos!$K$1:$K$1324,Movimientos!$C$1:$C$1324,"YWC Capital",Movimientos!$B$1:$B$1324,"&lt;="&amp;$B130)</f>
        <v>2147.92</v>
      </c>
      <c r="M130" s="24">
        <f>SUMIFS('Saldos Iniciales'!$D:$D,'Saldos Iniciales'!$A:$A,"Soweto")+SUMIFS(Movimientos!$K$1:$K$1324,Movimientos!$C$1:$C$1324,"Soweto",Movimientos!$B$1:$B$1324,"&lt;="&amp;$B130)</f>
        <v>17895.290000000015</v>
      </c>
      <c r="N130" s="24">
        <f>SUMIFS('Saldos Iniciales'!$D:$D,'Saldos Iniciales'!$A:$A,"Green Stone Trust")+SUMIFS(Movimientos!$K$1:$K$1324,Movimientos!$C$1:$C$1324,"Green Stone Trust",Movimientos!$B$1:$B$1324,"&lt;="&amp;$B130)</f>
        <v>1968.99</v>
      </c>
      <c r="O130" s="24">
        <f>SUMIFS('Saldos Iniciales'!$D:$D,'Saldos Iniciales'!$A:$A,"EC Auto")+SUMIFS(Movimientos!$K$1:$K$1324,Movimientos!$C$1:$C$1324,"EC Auto",Movimientos!$B$1:$B$1324,"&lt;="&amp;$B130)</f>
        <v>901.34</v>
      </c>
      <c r="P130" s="24">
        <f>SUMIFS('Saldos Iniciales'!$D:$D,'Saldos Iniciales'!$A:$A,"Arbor Capital Properties")+SUMIFS(Movimientos!$K$1:$K$1324,Movimientos!$C$1:$C$1324,"Arbor Capital Properties",Movimientos!$B$1:$B$1324,"&lt;="&amp;$B130)</f>
        <v>1380.08</v>
      </c>
      <c r="Q130" s="24">
        <f>SUMIFS('Saldos Iniciales'!$D:$D,'Saldos Iniciales'!$A:$A,"2515 Overbrook")+SUMIFS(Movimientos!$K$1:$K$1324,Movimientos!$C$1:$C$1324,"2515 Overbrook",Movimientos!$B$1:$B$1324,"&lt;="&amp;$B130)</f>
        <v>25027.379999999961</v>
      </c>
      <c r="R130" s="24">
        <f>SUMIFS('Saldos Iniciales'!$D:$D,'Saldos Iniciales'!$A:$A,"112 Florida Ave")+SUMIFS(Movimientos!$K$1:$K$1324,Movimientos!$C$1:$C$1324,"112 Florida Ave",Movimientos!$B$1:$B$1324,"&lt;="&amp;$B130)</f>
        <v>16760.540000000008</v>
      </c>
      <c r="S130" s="24">
        <f>SUMIFS('Saldos Iniciales'!$D:$D,'Saldos Iniciales'!$A:$A,"3628 Thomas Ave")+SUMIFS(Movimientos!$K$1:$K$1324,Movimientos!$C$1:$C$1324,"3628 Thomas Ave",Movimientos!$B$1:$B$1324,"&lt;="&amp;$B130)</f>
        <v>14162.999999999996</v>
      </c>
      <c r="T130" s="24">
        <f>SUMIFS('Saldos Iniciales'!$D:$D,'Saldos Iniciales'!$A:$A,"Green Harbor Trust")+SUMIFS(Movimientos!$K$1:$K$1324,Movimientos!$C$1:$C$1324,"Green Harbor Trust",Movimientos!$B$1:$B$1324,"&lt;="&amp;$B130)</f>
        <v>345</v>
      </c>
      <c r="U130" s="24">
        <f>SUMIFS('Saldos Iniciales'!$D:$D,'Saldos Iniciales'!$A:$A,"Go Blue")+SUMIFS(Movimientos!$K$1:$K$1324,Movimientos!$C$1:$C$1324,"Go Blue",Movimientos!$B$1:$B$1324,"&lt;="&amp;$B130)</f>
        <v>5861.1200000000026</v>
      </c>
      <c r="V130" s="24">
        <f>IF(YEAR($B130)*100+MONTH($B130)&lt;--SUBSTITUTE(_xlfn.XLOOKUP("Pacha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LLC",Movimientos!$B$1:$B$1324,"&lt;="&amp;$B130))</f>
        <v>299174.44</v>
      </c>
      <c r="W130" s="24">
        <f>IF(YEAR($B130)*100+MONTH($B130)&lt;--SUBSTITUTE(_xlfn.XLOOKUP("*CFT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Residence",Movimientos!$B$1:$B$1324,"&lt;="&amp;$B130))</f>
        <v>20467.07</v>
      </c>
      <c r="X130" s="24">
        <f>IF(YEAR($B130)*100+MONTH($B130)&lt;--SUBSTITUTE(_xlfn.XLOOKUP("Carmen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Trust",Movimientos!$B$1:$B$1324,"&lt;="&amp;$B130))</f>
        <v>3631.96</v>
      </c>
      <c r="Y130" s="24">
        <f>IF(YEAR($B130)*100+MONTH($B130)&lt;--SUBSTITUTE(_xlfn.XLOOKUP("SIYP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LLC",Movimientos!$B$1:$B$1324,"&lt;="&amp;$B130))</f>
        <v>604.80000000000018</v>
      </c>
      <c r="Z130" s="24">
        <f>IF(YEAR($B130)*100+MONTH($B130)&lt;--SUBSTITUTE(_xlfn.XLOOKUP("Prendamas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SRL",Movimientos!$B$1:$B$1324,"&lt;="&amp;$B130))</f>
        <v>32112.919999999976</v>
      </c>
      <c r="AA130" s="24">
        <f>IF(YEAR($B130)*100+MONTH($B130)&lt;--SUBSTITUTE(_xlfn.XLOOKUP("360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LLC",Movimientos!$B$1:$B$1324,"&lt;="&amp;$B130))</f>
        <v>794.01</v>
      </c>
      <c r="AB130" s="24">
        <f>IF(YEAR($B130)*100+MONTH($B130)&lt;--SUBSTITUTE(_xlfn.XLOOKUP("Five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",Movimientos!$B$1:$B$1324,"&lt;="&amp;$B130))</f>
        <v>5445.57</v>
      </c>
      <c r="AC130" s="24">
        <f>IF(YEAR($B130)*100+MONTH($B130)&lt;--SUBSTITUTE(_xlfn.XLOOKUP("Nobe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Aparments",Movimientos!$B$1:$B$1324,"&lt;="&amp;$B130))</f>
        <v>242034.28999999998</v>
      </c>
      <c r="AD130" s="24">
        <f>IF(YEAR($B130)*100+MONTH($B130)&lt;--SUBSTITUTE(_xlfn.XLOOKUP("Don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Life",Movimientos!$B$1:$B$1324,"&lt;="&amp;$B130))</f>
        <v>303874.71999999997</v>
      </c>
      <c r="AE130" s="25">
        <f t="shared" si="6"/>
        <v>5869984.6100000003</v>
      </c>
    </row>
    <row r="131" spans="1:31" outlineLevel="1" x14ac:dyDescent="0.3">
      <c r="A131" s="22">
        <f t="shared" si="5"/>
        <v>130</v>
      </c>
      <c r="B131" s="23">
        <v>46272</v>
      </c>
      <c r="C131" s="24">
        <f>SUMIFS('Saldos Iniciales'!$D:$D,'Saldos Iniciales'!$A:$A,"CFT Group")+SUMIFS(Movimientos!$K$1:$K$1324,Movimientos!$C$1:$C$1324,"CFT Group",Movimientos!$B$1:$B$1324,"&lt;="&amp;$B131)</f>
        <v>1549729.4500000007</v>
      </c>
      <c r="D131" s="24">
        <f>SUMIFS('Saldos Iniciales'!$D:$D,'Saldos Iniciales'!$A:$A,"M1B")+SUMIFS(Movimientos!$K$1:$K$1324,Movimientos!$C$1:$C$1324,"M1B",Movimientos!$B$1:$B$1324,"&lt;="&amp;$B131)</f>
        <v>93280.230000000171</v>
      </c>
      <c r="E131" s="24">
        <f>SUMIFS('Saldos Iniciales'!$D:$D,'Saldos Iniciales'!$A:$A,"Durand")+SUMIFS(Movimientos!$K$1:$K$1324,Movimientos!$C$1:$C$1324,"Durand",Movimientos!$B$1:$B$1324,"&lt;="&amp;$B131)</f>
        <v>1669.89</v>
      </c>
      <c r="F131" s="24">
        <f>SUMIFS('Saldos Iniciales'!$D:$D,'Saldos Iniciales'!$A:$A,"A&amp;M Imports")+SUMIFS(Movimientos!$K$1:$K$1324,Movimientos!$C$1:$C$1324,"A&amp;M Imports",Movimientos!$B$1:$B$1324,"&lt;="&amp;$B131)</f>
        <v>1250938</v>
      </c>
      <c r="G131" s="24">
        <f>SUMIFS('Saldos Iniciales'!$D:$D,'Saldos Iniciales'!$A:$A,"SSP Capital")+SUMIFS(Movimientos!$K$1:$K$1324,Movimientos!$C$1:$C$1324,"SSP Capital",Movimientos!$B$1:$B$1324,"&lt;="&amp;$B131)</f>
        <v>1499204.7399999998</v>
      </c>
      <c r="H131" s="24">
        <f>SUMIFS('Saldos Iniciales'!$D:$D,'Saldos Iniciales'!$A:$A,"Cross Family Trust")+SUMIFS(Movimientos!$K$1:$K$1324,Movimientos!$C$1:$C$1324,"Cross Family Trust",Movimientos!$B$1:$B$1324,"&lt;="&amp;$B131)</f>
        <v>249778.14</v>
      </c>
      <c r="I131" s="24">
        <f>SUMIFS('Saldos Iniciales'!$D:$D,'Saldos Iniciales'!$A:$A,"Cross Security Trust")+SUMIFS(Movimientos!$K$1:$K$1324,Movimientos!$C$1:$C$1324,"Cross Security Trust",Movimientos!$B$1:$B$1324,"&lt;="&amp;$B131)</f>
        <v>217684.34</v>
      </c>
      <c r="J131" s="24">
        <f>SUMIFS('Saldos Iniciales'!$D:$D,'Saldos Iniciales'!$A:$A,"Electrama")+SUMIFS(Movimientos!$K$1:$K$1324,Movimientos!$C$1:$C$1324,"Electrama",Movimientos!$B$1:$B$1324,"&lt;="&amp;$B131)</f>
        <v>13014.880000000001</v>
      </c>
      <c r="K131" s="24">
        <f>SUMIFS('Saldos Iniciales'!$D:$D,'Saldos Iniciales'!$A:$A,"Sacred Valley Capital")+SUMIFS(Movimientos!$K$1:$K$1324,Movimientos!$C$1:$C$1324,"Sacred Valley Capital",Movimientos!$B$1:$B$1324,"&lt;="&amp;$B131)</f>
        <v>94.5</v>
      </c>
      <c r="L131" s="24">
        <f>SUMIFS('Saldos Iniciales'!$D:$D,'Saldos Iniciales'!$A:$A,"YWC Capital")+SUMIFS(Movimientos!$K$1:$K$1324,Movimientos!$C$1:$C$1324,"YWC Capital",Movimientos!$B$1:$B$1324,"&lt;="&amp;$B131)</f>
        <v>2147.92</v>
      </c>
      <c r="M131" s="24">
        <f>SUMIFS('Saldos Iniciales'!$D:$D,'Saldos Iniciales'!$A:$A,"Soweto")+SUMIFS(Movimientos!$K$1:$K$1324,Movimientos!$C$1:$C$1324,"Soweto",Movimientos!$B$1:$B$1324,"&lt;="&amp;$B131)</f>
        <v>17895.290000000015</v>
      </c>
      <c r="N131" s="24">
        <f>SUMIFS('Saldos Iniciales'!$D:$D,'Saldos Iniciales'!$A:$A,"Green Stone Trust")+SUMIFS(Movimientos!$K$1:$K$1324,Movimientos!$C$1:$C$1324,"Green Stone Trust",Movimientos!$B$1:$B$1324,"&lt;="&amp;$B131)</f>
        <v>1968.99</v>
      </c>
      <c r="O131" s="24">
        <f>SUMIFS('Saldos Iniciales'!$D:$D,'Saldos Iniciales'!$A:$A,"EC Auto")+SUMIFS(Movimientos!$K$1:$K$1324,Movimientos!$C$1:$C$1324,"EC Auto",Movimientos!$B$1:$B$1324,"&lt;="&amp;$B131)</f>
        <v>901.34</v>
      </c>
      <c r="P131" s="24">
        <f>SUMIFS('Saldos Iniciales'!$D:$D,'Saldos Iniciales'!$A:$A,"Arbor Capital Properties")+SUMIFS(Movimientos!$K$1:$K$1324,Movimientos!$C$1:$C$1324,"Arbor Capital Properties",Movimientos!$B$1:$B$1324,"&lt;="&amp;$B131)</f>
        <v>1380.08</v>
      </c>
      <c r="Q131" s="24">
        <f>SUMIFS('Saldos Iniciales'!$D:$D,'Saldos Iniciales'!$A:$A,"2515 Overbrook")+SUMIFS(Movimientos!$K$1:$K$1324,Movimientos!$C$1:$C$1324,"2515 Overbrook",Movimientos!$B$1:$B$1324,"&lt;="&amp;$B131)</f>
        <v>25027.379999999961</v>
      </c>
      <c r="R131" s="24">
        <f>SUMIFS('Saldos Iniciales'!$D:$D,'Saldos Iniciales'!$A:$A,"112 Florida Ave")+SUMIFS(Movimientos!$K$1:$K$1324,Movimientos!$C$1:$C$1324,"112 Florida Ave",Movimientos!$B$1:$B$1324,"&lt;="&amp;$B131)</f>
        <v>16760.540000000008</v>
      </c>
      <c r="S131" s="24">
        <f>SUMIFS('Saldos Iniciales'!$D:$D,'Saldos Iniciales'!$A:$A,"3628 Thomas Ave")+SUMIFS(Movimientos!$K$1:$K$1324,Movimientos!$C$1:$C$1324,"3628 Thomas Ave",Movimientos!$B$1:$B$1324,"&lt;="&amp;$B131)</f>
        <v>14162.999999999996</v>
      </c>
      <c r="T131" s="24">
        <f>SUMIFS('Saldos Iniciales'!$D:$D,'Saldos Iniciales'!$A:$A,"Green Harbor Trust")+SUMIFS(Movimientos!$K$1:$K$1324,Movimientos!$C$1:$C$1324,"Green Harbor Trust",Movimientos!$B$1:$B$1324,"&lt;="&amp;$B131)</f>
        <v>345</v>
      </c>
      <c r="U131" s="24">
        <f>SUMIFS('Saldos Iniciales'!$D:$D,'Saldos Iniciales'!$A:$A,"Go Blue")+SUMIFS(Movimientos!$K$1:$K$1324,Movimientos!$C$1:$C$1324,"Go Blue",Movimientos!$B$1:$B$1324,"&lt;="&amp;$B131)</f>
        <v>5861.1200000000026</v>
      </c>
      <c r="V131" s="24">
        <f>IF(YEAR($B131)*100+MONTH($B131)&lt;--SUBSTITUTE(_xlfn.XLOOKUP("Pacha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LLC",Movimientos!$B$1:$B$1324,"&lt;="&amp;$B131))</f>
        <v>299174.44</v>
      </c>
      <c r="W131" s="24">
        <f>IF(YEAR($B131)*100+MONTH($B131)&lt;--SUBSTITUTE(_xlfn.XLOOKUP("*CFT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Residence",Movimientos!$B$1:$B$1324,"&lt;="&amp;$B131))</f>
        <v>20467.07</v>
      </c>
      <c r="X131" s="24">
        <f>IF(YEAR($B131)*100+MONTH($B131)&lt;--SUBSTITUTE(_xlfn.XLOOKUP("Carmen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Trust",Movimientos!$B$1:$B$1324,"&lt;="&amp;$B131))</f>
        <v>3631.96</v>
      </c>
      <c r="Y131" s="24">
        <f>IF(YEAR($B131)*100+MONTH($B131)&lt;--SUBSTITUTE(_xlfn.XLOOKUP("SIYP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LLC",Movimientos!$B$1:$B$1324,"&lt;="&amp;$B131))</f>
        <v>604.80000000000018</v>
      </c>
      <c r="Z131" s="24">
        <f>IF(YEAR($B131)*100+MONTH($B131)&lt;--SUBSTITUTE(_xlfn.XLOOKUP("Prendamas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SRL",Movimientos!$B$1:$B$1324,"&lt;="&amp;$B131))</f>
        <v>32112.919999999976</v>
      </c>
      <c r="AA131" s="24">
        <f>IF(YEAR($B131)*100+MONTH($B131)&lt;--SUBSTITUTE(_xlfn.XLOOKUP("360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LLC",Movimientos!$B$1:$B$1324,"&lt;="&amp;$B131))</f>
        <v>794.01</v>
      </c>
      <c r="AB131" s="24">
        <f>IF(YEAR($B131)*100+MONTH($B131)&lt;--SUBSTITUTE(_xlfn.XLOOKUP("Five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",Movimientos!$B$1:$B$1324,"&lt;="&amp;$B131))</f>
        <v>5445.57</v>
      </c>
      <c r="AC131" s="24">
        <f>IF(YEAR($B131)*100+MONTH($B131)&lt;--SUBSTITUTE(_xlfn.XLOOKUP("Nobe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Aparments",Movimientos!$B$1:$B$1324,"&lt;="&amp;$B131))</f>
        <v>242034.28999999998</v>
      </c>
      <c r="AD131" s="24">
        <f>IF(YEAR($B131)*100+MONTH($B131)&lt;--SUBSTITUTE(_xlfn.XLOOKUP("Don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Life",Movimientos!$B$1:$B$1324,"&lt;="&amp;$B131))</f>
        <v>303874.71999999997</v>
      </c>
      <c r="AE131" s="25">
        <f t="shared" si="6"/>
        <v>5869984.6100000003</v>
      </c>
    </row>
    <row r="132" spans="1:31" outlineLevel="1" x14ac:dyDescent="0.3">
      <c r="A132" s="22">
        <f t="shared" si="5"/>
        <v>131</v>
      </c>
      <c r="B132" s="23">
        <v>46273</v>
      </c>
      <c r="C132" s="24">
        <f>SUMIFS('Saldos Iniciales'!$D:$D,'Saldos Iniciales'!$A:$A,"CFT Group")+SUMIFS(Movimientos!$K$1:$K$1324,Movimientos!$C$1:$C$1324,"CFT Group",Movimientos!$B$1:$B$1324,"&lt;="&amp;$B132)</f>
        <v>1805955.2800000007</v>
      </c>
      <c r="D132" s="24">
        <f>SUMIFS('Saldos Iniciales'!$D:$D,'Saldos Iniciales'!$A:$A,"M1B")+SUMIFS(Movimientos!$K$1:$K$1324,Movimientos!$C$1:$C$1324,"M1B",Movimientos!$B$1:$B$1324,"&lt;="&amp;$B132)</f>
        <v>93737.970000000176</v>
      </c>
      <c r="E132" s="24">
        <f>SUMIFS('Saldos Iniciales'!$D:$D,'Saldos Iniciales'!$A:$A,"Durand")+SUMIFS(Movimientos!$K$1:$K$1324,Movimientos!$C$1:$C$1324,"Durand",Movimientos!$B$1:$B$1324,"&lt;="&amp;$B132)</f>
        <v>1669.89</v>
      </c>
      <c r="F132" s="24">
        <f>SUMIFS('Saldos Iniciales'!$D:$D,'Saldos Iniciales'!$A:$A,"A&amp;M Imports")+SUMIFS(Movimientos!$K$1:$K$1324,Movimientos!$C$1:$C$1324,"A&amp;M Imports",Movimientos!$B$1:$B$1324,"&lt;="&amp;$B132)</f>
        <v>1256669.99</v>
      </c>
      <c r="G132" s="24">
        <f>SUMIFS('Saldos Iniciales'!$D:$D,'Saldos Iniciales'!$A:$A,"SSP Capital")+SUMIFS(Movimientos!$K$1:$K$1324,Movimientos!$C$1:$C$1324,"SSP Capital",Movimientos!$B$1:$B$1324,"&lt;="&amp;$B132)</f>
        <v>1490233.3099999996</v>
      </c>
      <c r="H132" s="24">
        <f>SUMIFS('Saldos Iniciales'!$D:$D,'Saldos Iniciales'!$A:$A,"Cross Family Trust")+SUMIFS(Movimientos!$K$1:$K$1324,Movimientos!$C$1:$C$1324,"Cross Family Trust",Movimientos!$B$1:$B$1324,"&lt;="&amp;$B132)</f>
        <v>249778.14</v>
      </c>
      <c r="I132" s="24">
        <f>SUMIFS('Saldos Iniciales'!$D:$D,'Saldos Iniciales'!$A:$A,"Cross Security Trust")+SUMIFS(Movimientos!$K$1:$K$1324,Movimientos!$C$1:$C$1324,"Cross Security Trust",Movimientos!$B$1:$B$1324,"&lt;="&amp;$B132)</f>
        <v>217684.34</v>
      </c>
      <c r="J132" s="24">
        <f>SUMIFS('Saldos Iniciales'!$D:$D,'Saldos Iniciales'!$A:$A,"Electrama")+SUMIFS(Movimientos!$K$1:$K$1324,Movimientos!$C$1:$C$1324,"Electrama",Movimientos!$B$1:$B$1324,"&lt;="&amp;$B132)</f>
        <v>11744.75</v>
      </c>
      <c r="K132" s="24">
        <f>SUMIFS('Saldos Iniciales'!$D:$D,'Saldos Iniciales'!$A:$A,"Sacred Valley Capital")+SUMIFS(Movimientos!$K$1:$K$1324,Movimientos!$C$1:$C$1324,"Sacred Valley Capital",Movimientos!$B$1:$B$1324,"&lt;="&amp;$B132)</f>
        <v>94.5</v>
      </c>
      <c r="L132" s="24">
        <f>SUMIFS('Saldos Iniciales'!$D:$D,'Saldos Iniciales'!$A:$A,"YWC Capital")+SUMIFS(Movimientos!$K$1:$K$1324,Movimientos!$C$1:$C$1324,"YWC Capital",Movimientos!$B$1:$B$1324,"&lt;="&amp;$B132)</f>
        <v>2147.92</v>
      </c>
      <c r="M132" s="24">
        <f>SUMIFS('Saldos Iniciales'!$D:$D,'Saldos Iniciales'!$A:$A,"Soweto")+SUMIFS(Movimientos!$K$1:$K$1324,Movimientos!$C$1:$C$1324,"Soweto",Movimientos!$B$1:$B$1324,"&lt;="&amp;$B132)</f>
        <v>17895.290000000015</v>
      </c>
      <c r="N132" s="24">
        <f>SUMIFS('Saldos Iniciales'!$D:$D,'Saldos Iniciales'!$A:$A,"Green Stone Trust")+SUMIFS(Movimientos!$K$1:$K$1324,Movimientos!$C$1:$C$1324,"Green Stone Trust",Movimientos!$B$1:$B$1324,"&lt;="&amp;$B132)</f>
        <v>1968.99</v>
      </c>
      <c r="O132" s="24">
        <f>SUMIFS('Saldos Iniciales'!$D:$D,'Saldos Iniciales'!$A:$A,"EC Auto")+SUMIFS(Movimientos!$K$1:$K$1324,Movimientos!$C$1:$C$1324,"EC Auto",Movimientos!$B$1:$B$1324,"&lt;="&amp;$B132)</f>
        <v>901.34</v>
      </c>
      <c r="P132" s="24">
        <f>SUMIFS('Saldos Iniciales'!$D:$D,'Saldos Iniciales'!$A:$A,"Arbor Capital Properties")+SUMIFS(Movimientos!$K$1:$K$1324,Movimientos!$C$1:$C$1324,"Arbor Capital Properties",Movimientos!$B$1:$B$1324,"&lt;="&amp;$B132)</f>
        <v>1380.08</v>
      </c>
      <c r="Q132" s="24">
        <f>SUMIFS('Saldos Iniciales'!$D:$D,'Saldos Iniciales'!$A:$A,"2515 Overbrook")+SUMIFS(Movimientos!$K$1:$K$1324,Movimientos!$C$1:$C$1324,"2515 Overbrook",Movimientos!$B$1:$B$1324,"&lt;="&amp;$B132)</f>
        <v>25027.379999999961</v>
      </c>
      <c r="R132" s="24">
        <f>SUMIFS('Saldos Iniciales'!$D:$D,'Saldos Iniciales'!$A:$A,"112 Florida Ave")+SUMIFS(Movimientos!$K$1:$K$1324,Movimientos!$C$1:$C$1324,"112 Florida Ave",Movimientos!$B$1:$B$1324,"&lt;="&amp;$B132)</f>
        <v>16760.540000000008</v>
      </c>
      <c r="S132" s="24">
        <f>SUMIFS('Saldos Iniciales'!$D:$D,'Saldos Iniciales'!$A:$A,"3628 Thomas Ave")+SUMIFS(Movimientos!$K$1:$K$1324,Movimientos!$C$1:$C$1324,"3628 Thomas Ave",Movimientos!$B$1:$B$1324,"&lt;="&amp;$B132)</f>
        <v>14162.999999999996</v>
      </c>
      <c r="T132" s="24">
        <f>SUMIFS('Saldos Iniciales'!$D:$D,'Saldos Iniciales'!$A:$A,"Green Harbor Trust")+SUMIFS(Movimientos!$K$1:$K$1324,Movimientos!$C$1:$C$1324,"Green Harbor Trust",Movimientos!$B$1:$B$1324,"&lt;="&amp;$B132)</f>
        <v>345</v>
      </c>
      <c r="U132" s="24">
        <f>SUMIFS('Saldos Iniciales'!$D:$D,'Saldos Iniciales'!$A:$A,"Go Blue")+SUMIFS(Movimientos!$K$1:$K$1324,Movimientos!$C$1:$C$1324,"Go Blue",Movimientos!$B$1:$B$1324,"&lt;="&amp;$B132)</f>
        <v>5861.1200000000026</v>
      </c>
      <c r="V132" s="24">
        <f>IF(YEAR($B132)*100+MONTH($B132)&lt;--SUBSTITUTE(_xlfn.XLOOKUP("Pacha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LLC",Movimientos!$B$1:$B$1324,"&lt;="&amp;$B132))</f>
        <v>298843.33</v>
      </c>
      <c r="W132" s="24">
        <f>IF(YEAR($B132)*100+MONTH($B132)&lt;--SUBSTITUTE(_xlfn.XLOOKUP("*CFT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Residence",Movimientos!$B$1:$B$1324,"&lt;="&amp;$B132))</f>
        <v>19563.12</v>
      </c>
      <c r="X132" s="24">
        <f>IF(YEAR($B132)*100+MONTH($B132)&lt;--SUBSTITUTE(_xlfn.XLOOKUP("Carmen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Trust",Movimientos!$B$1:$B$1324,"&lt;="&amp;$B132))</f>
        <v>3631.96</v>
      </c>
      <c r="Y132" s="24">
        <f>IF(YEAR($B132)*100+MONTH($B132)&lt;--SUBSTITUTE(_xlfn.XLOOKUP("SIYP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LLC",Movimientos!$B$1:$B$1324,"&lt;="&amp;$B132))</f>
        <v>604.80000000000018</v>
      </c>
      <c r="Z132" s="24">
        <f>IF(YEAR($B132)*100+MONTH($B132)&lt;--SUBSTITUTE(_xlfn.XLOOKUP("Prendamas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SRL",Movimientos!$B$1:$B$1324,"&lt;="&amp;$B132))</f>
        <v>32112.919999999976</v>
      </c>
      <c r="AA132" s="24">
        <f>IF(YEAR($B132)*100+MONTH($B132)&lt;--SUBSTITUTE(_xlfn.XLOOKUP("360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LLC",Movimientos!$B$1:$B$1324,"&lt;="&amp;$B132))</f>
        <v>794.01</v>
      </c>
      <c r="AB132" s="24">
        <f>IF(YEAR($B132)*100+MONTH($B132)&lt;--SUBSTITUTE(_xlfn.XLOOKUP("Five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",Movimientos!$B$1:$B$1324,"&lt;="&amp;$B132))</f>
        <v>5445.57</v>
      </c>
      <c r="AC132" s="24">
        <f>IF(YEAR($B132)*100+MONTH($B132)&lt;--SUBSTITUTE(_xlfn.XLOOKUP("Nobe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Aparments",Movimientos!$B$1:$B$1324,"&lt;="&amp;$B132))</f>
        <v>241987.22999999998</v>
      </c>
      <c r="AD132" s="24">
        <f>IF(YEAR($B132)*100+MONTH($B132)&lt;--SUBSTITUTE(_xlfn.XLOOKUP("Don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Life",Movimientos!$B$1:$B$1324,"&lt;="&amp;$B132))</f>
        <v>303874.71999999997</v>
      </c>
      <c r="AE132" s="25">
        <f t="shared" si="6"/>
        <v>6120876.4899999993</v>
      </c>
    </row>
    <row r="133" spans="1:31" outlineLevel="1" x14ac:dyDescent="0.3">
      <c r="A133" s="22">
        <f t="shared" si="5"/>
        <v>132</v>
      </c>
      <c r="B133" s="23">
        <v>46274</v>
      </c>
      <c r="C133" s="24">
        <f>SUMIFS('Saldos Iniciales'!$D:$D,'Saldos Iniciales'!$A:$A,"CFT Group")+SUMIFS(Movimientos!$K$1:$K$1324,Movimientos!$C$1:$C$1324,"CFT Group",Movimientos!$B$1:$B$1324,"&lt;="&amp;$B133)</f>
        <v>1805355.2800000007</v>
      </c>
      <c r="D133" s="24">
        <f>SUMIFS('Saldos Iniciales'!$D:$D,'Saldos Iniciales'!$A:$A,"M1B")+SUMIFS(Movimientos!$K$1:$K$1324,Movimientos!$C$1:$C$1324,"M1B",Movimientos!$B$1:$B$1324,"&lt;="&amp;$B133)</f>
        <v>93737.970000000176</v>
      </c>
      <c r="E133" s="24">
        <f>SUMIFS('Saldos Iniciales'!$D:$D,'Saldos Iniciales'!$A:$A,"Durand")+SUMIFS(Movimientos!$K$1:$K$1324,Movimientos!$C$1:$C$1324,"Durand",Movimientos!$B$1:$B$1324,"&lt;="&amp;$B133)</f>
        <v>1669.89</v>
      </c>
      <c r="F133" s="24">
        <f>SUMIFS('Saldos Iniciales'!$D:$D,'Saldos Iniciales'!$A:$A,"A&amp;M Imports")+SUMIFS(Movimientos!$K$1:$K$1324,Movimientos!$C$1:$C$1324,"A&amp;M Imports",Movimientos!$B$1:$B$1324,"&lt;="&amp;$B133)</f>
        <v>1256669.99</v>
      </c>
      <c r="G133" s="24">
        <f>SUMIFS('Saldos Iniciales'!$D:$D,'Saldos Iniciales'!$A:$A,"SSP Capital")+SUMIFS(Movimientos!$K$1:$K$1324,Movimientos!$C$1:$C$1324,"SSP Capital",Movimientos!$B$1:$B$1324,"&lt;="&amp;$B133)</f>
        <v>1487787.1299999997</v>
      </c>
      <c r="H133" s="24">
        <f>SUMIFS('Saldos Iniciales'!$D:$D,'Saldos Iniciales'!$A:$A,"Cross Family Trust")+SUMIFS(Movimientos!$K$1:$K$1324,Movimientos!$C$1:$C$1324,"Cross Family Trust",Movimientos!$B$1:$B$1324,"&lt;="&amp;$B133)</f>
        <v>229778.14</v>
      </c>
      <c r="I133" s="24">
        <f>SUMIFS('Saldos Iniciales'!$D:$D,'Saldos Iniciales'!$A:$A,"Cross Security Trust")+SUMIFS(Movimientos!$K$1:$K$1324,Movimientos!$C$1:$C$1324,"Cross Security Trust",Movimientos!$B$1:$B$1324,"&lt;="&amp;$B133)</f>
        <v>217684.34</v>
      </c>
      <c r="J133" s="24">
        <f>SUMIFS('Saldos Iniciales'!$D:$D,'Saldos Iniciales'!$A:$A,"Electrama")+SUMIFS(Movimientos!$K$1:$K$1324,Movimientos!$C$1:$C$1324,"Electrama",Movimientos!$B$1:$B$1324,"&lt;="&amp;$B133)</f>
        <v>11744.75</v>
      </c>
      <c r="K133" s="24">
        <f>SUMIFS('Saldos Iniciales'!$D:$D,'Saldos Iniciales'!$A:$A,"Sacred Valley Capital")+SUMIFS(Movimientos!$K$1:$K$1324,Movimientos!$C$1:$C$1324,"Sacred Valley Capital",Movimientos!$B$1:$B$1324,"&lt;="&amp;$B133)</f>
        <v>94.5</v>
      </c>
      <c r="L133" s="24">
        <f>SUMIFS('Saldos Iniciales'!$D:$D,'Saldos Iniciales'!$A:$A,"YWC Capital")+SUMIFS(Movimientos!$K$1:$K$1324,Movimientos!$C$1:$C$1324,"YWC Capital",Movimientos!$B$1:$B$1324,"&lt;="&amp;$B133)</f>
        <v>2147.92</v>
      </c>
      <c r="M133" s="24">
        <f>SUMIFS('Saldos Iniciales'!$D:$D,'Saldos Iniciales'!$A:$A,"Soweto")+SUMIFS(Movimientos!$K$1:$K$1324,Movimientos!$C$1:$C$1324,"Soweto",Movimientos!$B$1:$B$1324,"&lt;="&amp;$B133)</f>
        <v>17895.290000000015</v>
      </c>
      <c r="N133" s="24">
        <f>SUMIFS('Saldos Iniciales'!$D:$D,'Saldos Iniciales'!$A:$A,"Green Stone Trust")+SUMIFS(Movimientos!$K$1:$K$1324,Movimientos!$C$1:$C$1324,"Green Stone Trust",Movimientos!$B$1:$B$1324,"&lt;="&amp;$B133)</f>
        <v>1968.99</v>
      </c>
      <c r="O133" s="24">
        <f>SUMIFS('Saldos Iniciales'!$D:$D,'Saldos Iniciales'!$A:$A,"EC Auto")+SUMIFS(Movimientos!$K$1:$K$1324,Movimientos!$C$1:$C$1324,"EC Auto",Movimientos!$B$1:$B$1324,"&lt;="&amp;$B133)</f>
        <v>901.34</v>
      </c>
      <c r="P133" s="24">
        <f>SUMIFS('Saldos Iniciales'!$D:$D,'Saldos Iniciales'!$A:$A,"Arbor Capital Properties")+SUMIFS(Movimientos!$K$1:$K$1324,Movimientos!$C$1:$C$1324,"Arbor Capital Properties",Movimientos!$B$1:$B$1324,"&lt;="&amp;$B133)</f>
        <v>1380.08</v>
      </c>
      <c r="Q133" s="24">
        <f>SUMIFS('Saldos Iniciales'!$D:$D,'Saldos Iniciales'!$A:$A,"2515 Overbrook")+SUMIFS(Movimientos!$K$1:$K$1324,Movimientos!$C$1:$C$1324,"2515 Overbrook",Movimientos!$B$1:$B$1324,"&lt;="&amp;$B133)</f>
        <v>25027.379999999961</v>
      </c>
      <c r="R133" s="24">
        <f>SUMIFS('Saldos Iniciales'!$D:$D,'Saldos Iniciales'!$A:$A,"112 Florida Ave")+SUMIFS(Movimientos!$K$1:$K$1324,Movimientos!$C$1:$C$1324,"112 Florida Ave",Movimientos!$B$1:$B$1324,"&lt;="&amp;$B133)</f>
        <v>16760.540000000008</v>
      </c>
      <c r="S133" s="24">
        <f>SUMIFS('Saldos Iniciales'!$D:$D,'Saldos Iniciales'!$A:$A,"3628 Thomas Ave")+SUMIFS(Movimientos!$K$1:$K$1324,Movimientos!$C$1:$C$1324,"3628 Thomas Ave",Movimientos!$B$1:$B$1324,"&lt;="&amp;$B133)</f>
        <v>14162.999999999996</v>
      </c>
      <c r="T133" s="24">
        <f>SUMIFS('Saldos Iniciales'!$D:$D,'Saldos Iniciales'!$A:$A,"Green Harbor Trust")+SUMIFS(Movimientos!$K$1:$K$1324,Movimientos!$C$1:$C$1324,"Green Harbor Trust",Movimientos!$B$1:$B$1324,"&lt;="&amp;$B133)</f>
        <v>345</v>
      </c>
      <c r="U133" s="24">
        <f>SUMIFS('Saldos Iniciales'!$D:$D,'Saldos Iniciales'!$A:$A,"Go Blue")+SUMIFS(Movimientos!$K$1:$K$1324,Movimientos!$C$1:$C$1324,"Go Blue",Movimientos!$B$1:$B$1324,"&lt;="&amp;$B133)</f>
        <v>25812.570000000003</v>
      </c>
      <c r="V133" s="24">
        <f>IF(YEAR($B133)*100+MONTH($B133)&lt;--SUBSTITUTE(_xlfn.XLOOKUP("Pacha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LLC",Movimientos!$B$1:$B$1324,"&lt;="&amp;$B133))</f>
        <v>298792.34000000003</v>
      </c>
      <c r="W133" s="24">
        <f>IF(YEAR($B133)*100+MONTH($B133)&lt;--SUBSTITUTE(_xlfn.XLOOKUP("*CFT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Residence",Movimientos!$B$1:$B$1324,"&lt;="&amp;$B133))</f>
        <v>18649.980000000003</v>
      </c>
      <c r="X133" s="24">
        <f>IF(YEAR($B133)*100+MONTH($B133)&lt;--SUBSTITUTE(_xlfn.XLOOKUP("Carmen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Trust",Movimientos!$B$1:$B$1324,"&lt;="&amp;$B133))</f>
        <v>3631.96</v>
      </c>
      <c r="Y133" s="24">
        <f>IF(YEAR($B133)*100+MONTH($B133)&lt;--SUBSTITUTE(_xlfn.XLOOKUP("SIYP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LLC",Movimientos!$B$1:$B$1324,"&lt;="&amp;$B133))</f>
        <v>604.80000000000018</v>
      </c>
      <c r="Z133" s="24">
        <f>IF(YEAR($B133)*100+MONTH($B133)&lt;--SUBSTITUTE(_xlfn.XLOOKUP("Prendamas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SRL",Movimientos!$B$1:$B$1324,"&lt;="&amp;$B133))</f>
        <v>32112.919999999976</v>
      </c>
      <c r="AA133" s="24">
        <f>IF(YEAR($B133)*100+MONTH($B133)&lt;--SUBSTITUTE(_xlfn.XLOOKUP("360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LLC",Movimientos!$B$1:$B$1324,"&lt;="&amp;$B133))</f>
        <v>794.01</v>
      </c>
      <c r="AB133" s="24">
        <f>IF(YEAR($B133)*100+MONTH($B133)&lt;--SUBSTITUTE(_xlfn.XLOOKUP("Five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",Movimientos!$B$1:$B$1324,"&lt;="&amp;$B133))</f>
        <v>5445.57</v>
      </c>
      <c r="AC133" s="24">
        <f>IF(YEAR($B133)*100+MONTH($B133)&lt;--SUBSTITUTE(_xlfn.XLOOKUP("Nobe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Aparments",Movimientos!$B$1:$B$1324,"&lt;="&amp;$B133))</f>
        <v>241987.22999999998</v>
      </c>
      <c r="AD133" s="24">
        <f>IF(YEAR($B133)*100+MONTH($B133)&lt;--SUBSTITUTE(_xlfn.XLOOKUP("Don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Life",Movimientos!$B$1:$B$1324,"&lt;="&amp;$B133))</f>
        <v>303874.71999999997</v>
      </c>
      <c r="AE133" s="25">
        <f t="shared" si="6"/>
        <v>6116817.6299999999</v>
      </c>
    </row>
    <row r="134" spans="1:31" outlineLevel="1" x14ac:dyDescent="0.3">
      <c r="A134" s="22">
        <f t="shared" si="5"/>
        <v>133</v>
      </c>
      <c r="B134" s="23">
        <v>46275</v>
      </c>
      <c r="C134" s="24">
        <f>SUMIFS('Saldos Iniciales'!$D:$D,'Saldos Iniciales'!$A:$A,"CFT Group")+SUMIFS(Movimientos!$K$1:$K$1324,Movimientos!$C$1:$C$1324,"CFT Group",Movimientos!$B$1:$B$1324,"&lt;="&amp;$B134)</f>
        <v>1338116.3900000008</v>
      </c>
      <c r="D134" s="24">
        <f>SUMIFS('Saldos Iniciales'!$D:$D,'Saldos Iniciales'!$A:$A,"M1B")+SUMIFS(Movimientos!$K$1:$K$1324,Movimientos!$C$1:$C$1324,"M1B",Movimientos!$B$1:$B$1324,"&lt;="&amp;$B134)</f>
        <v>93737.970000000176</v>
      </c>
      <c r="E134" s="24">
        <f>SUMIFS('Saldos Iniciales'!$D:$D,'Saldos Iniciales'!$A:$A,"Durand")+SUMIFS(Movimientos!$K$1:$K$1324,Movimientos!$C$1:$C$1324,"Durand",Movimientos!$B$1:$B$1324,"&lt;="&amp;$B134)</f>
        <v>1669.89</v>
      </c>
      <c r="F134" s="24">
        <f>SUMIFS('Saldos Iniciales'!$D:$D,'Saldos Iniciales'!$A:$A,"A&amp;M Imports")+SUMIFS(Movimientos!$K$1:$K$1324,Movimientos!$C$1:$C$1324,"A&amp;M Imports",Movimientos!$B$1:$B$1324,"&lt;="&amp;$B134)</f>
        <v>1089169.99</v>
      </c>
      <c r="G134" s="24">
        <f>SUMIFS('Saldos Iniciales'!$D:$D,'Saldos Iniciales'!$A:$A,"SSP Capital")+SUMIFS(Movimientos!$K$1:$K$1324,Movimientos!$C$1:$C$1324,"SSP Capital",Movimientos!$B$1:$B$1324,"&lt;="&amp;$B134)</f>
        <v>1233789.9099999997</v>
      </c>
      <c r="H134" s="24">
        <f>SUMIFS('Saldos Iniciales'!$D:$D,'Saldos Iniciales'!$A:$A,"Cross Family Trust")+SUMIFS(Movimientos!$K$1:$K$1324,Movimientos!$C$1:$C$1324,"Cross Family Trust",Movimientos!$B$1:$B$1324,"&lt;="&amp;$B134)</f>
        <v>229778.14</v>
      </c>
      <c r="I134" s="24">
        <f>SUMIFS('Saldos Iniciales'!$D:$D,'Saldos Iniciales'!$A:$A,"Cross Security Trust")+SUMIFS(Movimientos!$K$1:$K$1324,Movimientos!$C$1:$C$1324,"Cross Security Trust",Movimientos!$B$1:$B$1324,"&lt;="&amp;$B134)</f>
        <v>217684.34</v>
      </c>
      <c r="J134" s="24">
        <f>SUMIFS('Saldos Iniciales'!$D:$D,'Saldos Iniciales'!$A:$A,"Electrama")+SUMIFS(Movimientos!$K$1:$K$1324,Movimientos!$C$1:$C$1324,"Electrama",Movimientos!$B$1:$B$1324,"&lt;="&amp;$B134)</f>
        <v>11744.75</v>
      </c>
      <c r="K134" s="24">
        <f>SUMIFS('Saldos Iniciales'!$D:$D,'Saldos Iniciales'!$A:$A,"Sacred Valley Capital")+SUMIFS(Movimientos!$K$1:$K$1324,Movimientos!$C$1:$C$1324,"Sacred Valley Capital",Movimientos!$B$1:$B$1324,"&lt;="&amp;$B134)</f>
        <v>94.5</v>
      </c>
      <c r="L134" s="24">
        <f>SUMIFS('Saldos Iniciales'!$D:$D,'Saldos Iniciales'!$A:$A,"YWC Capital")+SUMIFS(Movimientos!$K$1:$K$1324,Movimientos!$C$1:$C$1324,"YWC Capital",Movimientos!$B$1:$B$1324,"&lt;="&amp;$B134)</f>
        <v>2147.92</v>
      </c>
      <c r="M134" s="24">
        <f>SUMIFS('Saldos Iniciales'!$D:$D,'Saldos Iniciales'!$A:$A,"Soweto")+SUMIFS(Movimientos!$K$1:$K$1324,Movimientos!$C$1:$C$1324,"Soweto",Movimientos!$B$1:$B$1324,"&lt;="&amp;$B134)</f>
        <v>17895.290000000015</v>
      </c>
      <c r="N134" s="24">
        <f>SUMIFS('Saldos Iniciales'!$D:$D,'Saldos Iniciales'!$A:$A,"Green Stone Trust")+SUMIFS(Movimientos!$K$1:$K$1324,Movimientos!$C$1:$C$1324,"Green Stone Trust",Movimientos!$B$1:$B$1324,"&lt;="&amp;$B134)</f>
        <v>1968.99</v>
      </c>
      <c r="O134" s="24">
        <f>SUMIFS('Saldos Iniciales'!$D:$D,'Saldos Iniciales'!$A:$A,"EC Auto")+SUMIFS(Movimientos!$K$1:$K$1324,Movimientos!$C$1:$C$1324,"EC Auto",Movimientos!$B$1:$B$1324,"&lt;="&amp;$B134)</f>
        <v>901.34</v>
      </c>
      <c r="P134" s="24">
        <f>SUMIFS('Saldos Iniciales'!$D:$D,'Saldos Iniciales'!$A:$A,"Arbor Capital Properties")+SUMIFS(Movimientos!$K$1:$K$1324,Movimientos!$C$1:$C$1324,"Arbor Capital Properties",Movimientos!$B$1:$B$1324,"&lt;="&amp;$B134)</f>
        <v>1380.08</v>
      </c>
      <c r="Q134" s="24">
        <f>SUMIFS('Saldos Iniciales'!$D:$D,'Saldos Iniciales'!$A:$A,"2515 Overbrook")+SUMIFS(Movimientos!$K$1:$K$1324,Movimientos!$C$1:$C$1324,"2515 Overbrook",Movimientos!$B$1:$B$1324,"&lt;="&amp;$B134)</f>
        <v>25027.379999999961</v>
      </c>
      <c r="R134" s="24">
        <f>SUMIFS('Saldos Iniciales'!$D:$D,'Saldos Iniciales'!$A:$A,"112 Florida Ave")+SUMIFS(Movimientos!$K$1:$K$1324,Movimientos!$C$1:$C$1324,"112 Florida Ave",Movimientos!$B$1:$B$1324,"&lt;="&amp;$B134)</f>
        <v>16760.540000000008</v>
      </c>
      <c r="S134" s="24">
        <f>SUMIFS('Saldos Iniciales'!$D:$D,'Saldos Iniciales'!$A:$A,"3628 Thomas Ave")+SUMIFS(Movimientos!$K$1:$K$1324,Movimientos!$C$1:$C$1324,"3628 Thomas Ave",Movimientos!$B$1:$B$1324,"&lt;="&amp;$B134)</f>
        <v>14162.999999999996</v>
      </c>
      <c r="T134" s="24">
        <f>SUMIFS('Saldos Iniciales'!$D:$D,'Saldos Iniciales'!$A:$A,"Green Harbor Trust")+SUMIFS(Movimientos!$K$1:$K$1324,Movimientos!$C$1:$C$1324,"Green Harbor Trust",Movimientos!$B$1:$B$1324,"&lt;="&amp;$B134)</f>
        <v>345</v>
      </c>
      <c r="U134" s="24">
        <f>SUMIFS('Saldos Iniciales'!$D:$D,'Saldos Iniciales'!$A:$A,"Go Blue")+SUMIFS(Movimientos!$K$1:$K$1324,Movimientos!$C$1:$C$1324,"Go Blue",Movimientos!$B$1:$B$1324,"&lt;="&amp;$B134)</f>
        <v>23159.510000000002</v>
      </c>
      <c r="V134" s="24">
        <f>IF(YEAR($B134)*100+MONTH($B134)&lt;--SUBSTITUTE(_xlfn.XLOOKUP("Pacha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LLC",Movimientos!$B$1:$B$1324,"&lt;="&amp;$B134))</f>
        <v>298792.34000000003</v>
      </c>
      <c r="W134" s="24">
        <f>IF(YEAR($B134)*100+MONTH($B134)&lt;--SUBSTITUTE(_xlfn.XLOOKUP("*CFT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Residence",Movimientos!$B$1:$B$1324,"&lt;="&amp;$B134))</f>
        <v>28004.970000000005</v>
      </c>
      <c r="X134" s="24">
        <f>IF(YEAR($B134)*100+MONTH($B134)&lt;--SUBSTITUTE(_xlfn.XLOOKUP("Carmen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Trust",Movimientos!$B$1:$B$1324,"&lt;="&amp;$B134))</f>
        <v>3631.96</v>
      </c>
      <c r="Y134" s="24">
        <f>IF(YEAR($B134)*100+MONTH($B134)&lt;--SUBSTITUTE(_xlfn.XLOOKUP("SIYP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LLC",Movimientos!$B$1:$B$1324,"&lt;="&amp;$B134))</f>
        <v>604.80000000000018</v>
      </c>
      <c r="Z134" s="24">
        <f>IF(YEAR($B134)*100+MONTH($B134)&lt;--SUBSTITUTE(_xlfn.XLOOKUP("Prendamas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SRL",Movimientos!$B$1:$B$1324,"&lt;="&amp;$B134))</f>
        <v>32112.919999999976</v>
      </c>
      <c r="AA134" s="24">
        <f>IF(YEAR($B134)*100+MONTH($B134)&lt;--SUBSTITUTE(_xlfn.XLOOKUP("360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LLC",Movimientos!$B$1:$B$1324,"&lt;="&amp;$B134))</f>
        <v>794.01</v>
      </c>
      <c r="AB134" s="24">
        <f>IF(YEAR($B134)*100+MONTH($B134)&lt;--SUBSTITUTE(_xlfn.XLOOKUP("Five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",Movimientos!$B$1:$B$1324,"&lt;="&amp;$B134))</f>
        <v>5445.57</v>
      </c>
      <c r="AC134" s="24">
        <f>IF(YEAR($B134)*100+MONTH($B134)&lt;--SUBSTITUTE(_xlfn.XLOOKUP("Nobe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Aparments",Movimientos!$B$1:$B$1324,"&lt;="&amp;$B134))</f>
        <v>241889.38999999998</v>
      </c>
      <c r="AD134" s="24">
        <f>IF(YEAR($B134)*100+MONTH($B134)&lt;--SUBSTITUTE(_xlfn.XLOOKUP("Don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Life",Movimientos!$B$1:$B$1324,"&lt;="&amp;$B134))</f>
        <v>327985.82999999996</v>
      </c>
      <c r="AE134" s="25">
        <f t="shared" si="6"/>
        <v>5258796.72</v>
      </c>
    </row>
    <row r="135" spans="1:31" outlineLevel="1" x14ac:dyDescent="0.3">
      <c r="A135" s="22">
        <f t="shared" si="5"/>
        <v>134</v>
      </c>
      <c r="B135" s="23">
        <v>46276</v>
      </c>
      <c r="C135" s="24">
        <f>SUMIFS('Saldos Iniciales'!$D:$D,'Saldos Iniciales'!$A:$A,"CFT Group")+SUMIFS(Movimientos!$K$1:$K$1324,Movimientos!$C$1:$C$1324,"CFT Group",Movimientos!$B$1:$B$1324,"&lt;="&amp;$B135)</f>
        <v>1892948.5900000008</v>
      </c>
      <c r="D135" s="24">
        <f>SUMIFS('Saldos Iniciales'!$D:$D,'Saldos Iniciales'!$A:$A,"M1B")+SUMIFS(Movimientos!$K$1:$K$1324,Movimientos!$C$1:$C$1324,"M1B",Movimientos!$B$1:$B$1324,"&lt;="&amp;$B135)</f>
        <v>93737.970000000176</v>
      </c>
      <c r="E135" s="24">
        <f>SUMIFS('Saldos Iniciales'!$D:$D,'Saldos Iniciales'!$A:$A,"Durand")+SUMIFS(Movimientos!$K$1:$K$1324,Movimientos!$C$1:$C$1324,"Durand",Movimientos!$B$1:$B$1324,"&lt;="&amp;$B135)</f>
        <v>1669.89</v>
      </c>
      <c r="F135" s="24">
        <f>SUMIFS('Saldos Iniciales'!$D:$D,'Saldos Iniciales'!$A:$A,"A&amp;M Imports")+SUMIFS(Movimientos!$K$1:$K$1324,Movimientos!$C$1:$C$1324,"A&amp;M Imports",Movimientos!$B$1:$B$1324,"&lt;="&amp;$B135)</f>
        <v>1089124.99</v>
      </c>
      <c r="G135" s="24">
        <f>SUMIFS('Saldos Iniciales'!$D:$D,'Saldos Iniciales'!$A:$A,"SSP Capital")+SUMIFS(Movimientos!$K$1:$K$1324,Movimientos!$C$1:$C$1324,"SSP Capital",Movimientos!$B$1:$B$1324,"&lt;="&amp;$B135)</f>
        <v>1233680.9399999995</v>
      </c>
      <c r="H135" s="24">
        <f>SUMIFS('Saldos Iniciales'!$D:$D,'Saldos Iniciales'!$A:$A,"Cross Family Trust")+SUMIFS(Movimientos!$K$1:$K$1324,Movimientos!$C$1:$C$1324,"Cross Family Trust",Movimientos!$B$1:$B$1324,"&lt;="&amp;$B135)</f>
        <v>229778.14</v>
      </c>
      <c r="I135" s="24">
        <f>SUMIFS('Saldos Iniciales'!$D:$D,'Saldos Iniciales'!$A:$A,"Cross Security Trust")+SUMIFS(Movimientos!$K$1:$K$1324,Movimientos!$C$1:$C$1324,"Cross Security Trust",Movimientos!$B$1:$B$1324,"&lt;="&amp;$B135)</f>
        <v>217684.34</v>
      </c>
      <c r="J135" s="24">
        <f>SUMIFS('Saldos Iniciales'!$D:$D,'Saldos Iniciales'!$A:$A,"Electrama")+SUMIFS(Movimientos!$K$1:$K$1324,Movimientos!$C$1:$C$1324,"Electrama",Movimientos!$B$1:$B$1324,"&lt;="&amp;$B135)</f>
        <v>11744.75</v>
      </c>
      <c r="K135" s="24">
        <f>SUMIFS('Saldos Iniciales'!$D:$D,'Saldos Iniciales'!$A:$A,"Sacred Valley Capital")+SUMIFS(Movimientos!$K$1:$K$1324,Movimientos!$C$1:$C$1324,"Sacred Valley Capital",Movimientos!$B$1:$B$1324,"&lt;="&amp;$B135)</f>
        <v>94.5</v>
      </c>
      <c r="L135" s="24">
        <f>SUMIFS('Saldos Iniciales'!$D:$D,'Saldos Iniciales'!$A:$A,"YWC Capital")+SUMIFS(Movimientos!$K$1:$K$1324,Movimientos!$C$1:$C$1324,"YWC Capital",Movimientos!$B$1:$B$1324,"&lt;="&amp;$B135)</f>
        <v>2147.92</v>
      </c>
      <c r="M135" s="24">
        <f>SUMIFS('Saldos Iniciales'!$D:$D,'Saldos Iniciales'!$A:$A,"Soweto")+SUMIFS(Movimientos!$K$1:$K$1324,Movimientos!$C$1:$C$1324,"Soweto",Movimientos!$B$1:$B$1324,"&lt;="&amp;$B135)</f>
        <v>17895.290000000015</v>
      </c>
      <c r="N135" s="24">
        <f>SUMIFS('Saldos Iniciales'!$D:$D,'Saldos Iniciales'!$A:$A,"Green Stone Trust")+SUMIFS(Movimientos!$K$1:$K$1324,Movimientos!$C$1:$C$1324,"Green Stone Trust",Movimientos!$B$1:$B$1324,"&lt;="&amp;$B135)</f>
        <v>1968.99</v>
      </c>
      <c r="O135" s="24">
        <f>SUMIFS('Saldos Iniciales'!$D:$D,'Saldos Iniciales'!$A:$A,"EC Auto")+SUMIFS(Movimientos!$K$1:$K$1324,Movimientos!$C$1:$C$1324,"EC Auto",Movimientos!$B$1:$B$1324,"&lt;="&amp;$B135)</f>
        <v>901.34</v>
      </c>
      <c r="P135" s="24">
        <f>SUMIFS('Saldos Iniciales'!$D:$D,'Saldos Iniciales'!$A:$A,"Arbor Capital Properties")+SUMIFS(Movimientos!$K$1:$K$1324,Movimientos!$C$1:$C$1324,"Arbor Capital Properties",Movimientos!$B$1:$B$1324,"&lt;="&amp;$B135)</f>
        <v>1380.08</v>
      </c>
      <c r="Q135" s="24">
        <f>SUMIFS('Saldos Iniciales'!$D:$D,'Saldos Iniciales'!$A:$A,"2515 Overbrook")+SUMIFS(Movimientos!$K$1:$K$1324,Movimientos!$C$1:$C$1324,"2515 Overbrook",Movimientos!$B$1:$B$1324,"&lt;="&amp;$B135)</f>
        <v>25027.379999999961</v>
      </c>
      <c r="R135" s="24">
        <f>SUMIFS('Saldos Iniciales'!$D:$D,'Saldos Iniciales'!$A:$A,"112 Florida Ave")+SUMIFS(Movimientos!$K$1:$K$1324,Movimientos!$C$1:$C$1324,"112 Florida Ave",Movimientos!$B$1:$B$1324,"&lt;="&amp;$B135)</f>
        <v>16282.630000000006</v>
      </c>
      <c r="S135" s="24">
        <f>SUMIFS('Saldos Iniciales'!$D:$D,'Saldos Iniciales'!$A:$A,"3628 Thomas Ave")+SUMIFS(Movimientos!$K$1:$K$1324,Movimientos!$C$1:$C$1324,"3628 Thomas Ave",Movimientos!$B$1:$B$1324,"&lt;="&amp;$B135)</f>
        <v>13339.389999999996</v>
      </c>
      <c r="T135" s="24">
        <f>SUMIFS('Saldos Iniciales'!$D:$D,'Saldos Iniciales'!$A:$A,"Green Harbor Trust")+SUMIFS(Movimientos!$K$1:$K$1324,Movimientos!$C$1:$C$1324,"Green Harbor Trust",Movimientos!$B$1:$B$1324,"&lt;="&amp;$B135)</f>
        <v>345</v>
      </c>
      <c r="U135" s="24">
        <f>SUMIFS('Saldos Iniciales'!$D:$D,'Saldos Iniciales'!$A:$A,"Go Blue")+SUMIFS(Movimientos!$K$1:$K$1324,Movimientos!$C$1:$C$1324,"Go Blue",Movimientos!$B$1:$B$1324,"&lt;="&amp;$B135)</f>
        <v>23057.24</v>
      </c>
      <c r="V135" s="24">
        <f>IF(YEAR($B135)*100+MONTH($B135)&lt;--SUBSTITUTE(_xlfn.XLOOKUP("Pacha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LLC",Movimientos!$B$1:$B$1324,"&lt;="&amp;$B135))</f>
        <v>298792.34000000003</v>
      </c>
      <c r="W135" s="24">
        <f>IF(YEAR($B135)*100+MONTH($B135)&lt;--SUBSTITUTE(_xlfn.XLOOKUP("*CFT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Residence",Movimientos!$B$1:$B$1324,"&lt;="&amp;$B135))</f>
        <v>28004.970000000005</v>
      </c>
      <c r="X135" s="24">
        <f>IF(YEAR($B135)*100+MONTH($B135)&lt;--SUBSTITUTE(_xlfn.XLOOKUP("Carmen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Trust",Movimientos!$B$1:$B$1324,"&lt;="&amp;$B135))</f>
        <v>3631.96</v>
      </c>
      <c r="Y135" s="24">
        <f>IF(YEAR($B135)*100+MONTH($B135)&lt;--SUBSTITUTE(_xlfn.XLOOKUP("SIYP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LLC",Movimientos!$B$1:$B$1324,"&lt;="&amp;$B135))</f>
        <v>604.80000000000018</v>
      </c>
      <c r="Z135" s="24">
        <f>IF(YEAR($B135)*100+MONTH($B135)&lt;--SUBSTITUTE(_xlfn.XLOOKUP("Prendamas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SRL",Movimientos!$B$1:$B$1324,"&lt;="&amp;$B135))</f>
        <v>31621.50999999998</v>
      </c>
      <c r="AA135" s="24">
        <f>IF(YEAR($B135)*100+MONTH($B135)&lt;--SUBSTITUTE(_xlfn.XLOOKUP("360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LLC",Movimientos!$B$1:$B$1324,"&lt;="&amp;$B135))</f>
        <v>794.01</v>
      </c>
      <c r="AB135" s="24">
        <f>IF(YEAR($B135)*100+MONTH($B135)&lt;--SUBSTITUTE(_xlfn.XLOOKUP("Five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",Movimientos!$B$1:$B$1324,"&lt;="&amp;$B135))</f>
        <v>5445.57</v>
      </c>
      <c r="AC135" s="24">
        <f>IF(YEAR($B135)*100+MONTH($B135)&lt;--SUBSTITUTE(_xlfn.XLOOKUP("Nobe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Aparments",Movimientos!$B$1:$B$1324,"&lt;="&amp;$B135))</f>
        <v>240458.22999999998</v>
      </c>
      <c r="AD135" s="24">
        <f>IF(YEAR($B135)*100+MONTH($B135)&lt;--SUBSTITUTE(_xlfn.XLOOKUP("Don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Life",Movimientos!$B$1:$B$1324,"&lt;="&amp;$B135))</f>
        <v>327985.82999999996</v>
      </c>
      <c r="AE135" s="25">
        <f t="shared" si="6"/>
        <v>5810148.5899999999</v>
      </c>
    </row>
    <row r="136" spans="1:31" outlineLevel="1" x14ac:dyDescent="0.3">
      <c r="A136" s="22">
        <f t="shared" si="5"/>
        <v>135</v>
      </c>
      <c r="B136" s="23">
        <v>46277</v>
      </c>
      <c r="C136" s="24">
        <f>SUMIFS('Saldos Iniciales'!$D:$D,'Saldos Iniciales'!$A:$A,"CFT Group")+SUMIFS(Movimientos!$K$1:$K$1324,Movimientos!$C$1:$C$1324,"CFT Group",Movimientos!$B$1:$B$1324,"&lt;="&amp;$B136)</f>
        <v>1892948.5900000008</v>
      </c>
      <c r="D136" s="24">
        <f>SUMIFS('Saldos Iniciales'!$D:$D,'Saldos Iniciales'!$A:$A,"M1B")+SUMIFS(Movimientos!$K$1:$K$1324,Movimientos!$C$1:$C$1324,"M1B",Movimientos!$B$1:$B$1324,"&lt;="&amp;$B136)</f>
        <v>93737.970000000176</v>
      </c>
      <c r="E136" s="24">
        <f>SUMIFS('Saldos Iniciales'!$D:$D,'Saldos Iniciales'!$A:$A,"Durand")+SUMIFS(Movimientos!$K$1:$K$1324,Movimientos!$C$1:$C$1324,"Durand",Movimientos!$B$1:$B$1324,"&lt;="&amp;$B136)</f>
        <v>1669.89</v>
      </c>
      <c r="F136" s="24">
        <f>SUMIFS('Saldos Iniciales'!$D:$D,'Saldos Iniciales'!$A:$A,"A&amp;M Imports")+SUMIFS(Movimientos!$K$1:$K$1324,Movimientos!$C$1:$C$1324,"A&amp;M Imports",Movimientos!$B$1:$B$1324,"&lt;="&amp;$B136)</f>
        <v>1089124.99</v>
      </c>
      <c r="G136" s="24">
        <f>SUMIFS('Saldos Iniciales'!$D:$D,'Saldos Iniciales'!$A:$A,"SSP Capital")+SUMIFS(Movimientos!$K$1:$K$1324,Movimientos!$C$1:$C$1324,"SSP Capital",Movimientos!$B$1:$B$1324,"&lt;="&amp;$B136)</f>
        <v>1233680.9399999995</v>
      </c>
      <c r="H136" s="24">
        <f>SUMIFS('Saldos Iniciales'!$D:$D,'Saldos Iniciales'!$A:$A,"Cross Family Trust")+SUMIFS(Movimientos!$K$1:$K$1324,Movimientos!$C$1:$C$1324,"Cross Family Trust",Movimientos!$B$1:$B$1324,"&lt;="&amp;$B136)</f>
        <v>229778.14</v>
      </c>
      <c r="I136" s="24">
        <f>SUMIFS('Saldos Iniciales'!$D:$D,'Saldos Iniciales'!$A:$A,"Cross Security Trust")+SUMIFS(Movimientos!$K$1:$K$1324,Movimientos!$C$1:$C$1324,"Cross Security Trust",Movimientos!$B$1:$B$1324,"&lt;="&amp;$B136)</f>
        <v>217684.34</v>
      </c>
      <c r="J136" s="24">
        <f>SUMIFS('Saldos Iniciales'!$D:$D,'Saldos Iniciales'!$A:$A,"Electrama")+SUMIFS(Movimientos!$K$1:$K$1324,Movimientos!$C$1:$C$1324,"Electrama",Movimientos!$B$1:$B$1324,"&lt;="&amp;$B136)</f>
        <v>11744.75</v>
      </c>
      <c r="K136" s="24">
        <f>SUMIFS('Saldos Iniciales'!$D:$D,'Saldos Iniciales'!$A:$A,"Sacred Valley Capital")+SUMIFS(Movimientos!$K$1:$K$1324,Movimientos!$C$1:$C$1324,"Sacred Valley Capital",Movimientos!$B$1:$B$1324,"&lt;="&amp;$B136)</f>
        <v>94.5</v>
      </c>
      <c r="L136" s="24">
        <f>SUMIFS('Saldos Iniciales'!$D:$D,'Saldos Iniciales'!$A:$A,"YWC Capital")+SUMIFS(Movimientos!$K$1:$K$1324,Movimientos!$C$1:$C$1324,"YWC Capital",Movimientos!$B$1:$B$1324,"&lt;="&amp;$B136)</f>
        <v>2147.92</v>
      </c>
      <c r="M136" s="24">
        <f>SUMIFS('Saldos Iniciales'!$D:$D,'Saldos Iniciales'!$A:$A,"Soweto")+SUMIFS(Movimientos!$K$1:$K$1324,Movimientos!$C$1:$C$1324,"Soweto",Movimientos!$B$1:$B$1324,"&lt;="&amp;$B136)</f>
        <v>17895.290000000015</v>
      </c>
      <c r="N136" s="24">
        <f>SUMIFS('Saldos Iniciales'!$D:$D,'Saldos Iniciales'!$A:$A,"Green Stone Trust")+SUMIFS(Movimientos!$K$1:$K$1324,Movimientos!$C$1:$C$1324,"Green Stone Trust",Movimientos!$B$1:$B$1324,"&lt;="&amp;$B136)</f>
        <v>1968.99</v>
      </c>
      <c r="O136" s="24">
        <f>SUMIFS('Saldos Iniciales'!$D:$D,'Saldos Iniciales'!$A:$A,"EC Auto")+SUMIFS(Movimientos!$K$1:$K$1324,Movimientos!$C$1:$C$1324,"EC Auto",Movimientos!$B$1:$B$1324,"&lt;="&amp;$B136)</f>
        <v>901.34</v>
      </c>
      <c r="P136" s="24">
        <f>SUMIFS('Saldos Iniciales'!$D:$D,'Saldos Iniciales'!$A:$A,"Arbor Capital Properties")+SUMIFS(Movimientos!$K$1:$K$1324,Movimientos!$C$1:$C$1324,"Arbor Capital Properties",Movimientos!$B$1:$B$1324,"&lt;="&amp;$B136)</f>
        <v>1380.08</v>
      </c>
      <c r="Q136" s="24">
        <f>SUMIFS('Saldos Iniciales'!$D:$D,'Saldos Iniciales'!$A:$A,"2515 Overbrook")+SUMIFS(Movimientos!$K$1:$K$1324,Movimientos!$C$1:$C$1324,"2515 Overbrook",Movimientos!$B$1:$B$1324,"&lt;="&amp;$B136)</f>
        <v>25027.379999999961</v>
      </c>
      <c r="R136" s="24">
        <f>SUMIFS('Saldos Iniciales'!$D:$D,'Saldos Iniciales'!$A:$A,"112 Florida Ave")+SUMIFS(Movimientos!$K$1:$K$1324,Movimientos!$C$1:$C$1324,"112 Florida Ave",Movimientos!$B$1:$B$1324,"&lt;="&amp;$B136)</f>
        <v>16282.630000000006</v>
      </c>
      <c r="S136" s="24">
        <f>SUMIFS('Saldos Iniciales'!$D:$D,'Saldos Iniciales'!$A:$A,"3628 Thomas Ave")+SUMIFS(Movimientos!$K$1:$K$1324,Movimientos!$C$1:$C$1324,"3628 Thomas Ave",Movimientos!$B$1:$B$1324,"&lt;="&amp;$B136)</f>
        <v>13339.389999999996</v>
      </c>
      <c r="T136" s="24">
        <f>SUMIFS('Saldos Iniciales'!$D:$D,'Saldos Iniciales'!$A:$A,"Green Harbor Trust")+SUMIFS(Movimientos!$K$1:$K$1324,Movimientos!$C$1:$C$1324,"Green Harbor Trust",Movimientos!$B$1:$B$1324,"&lt;="&amp;$B136)</f>
        <v>345</v>
      </c>
      <c r="U136" s="24">
        <f>SUMIFS('Saldos Iniciales'!$D:$D,'Saldos Iniciales'!$A:$A,"Go Blue")+SUMIFS(Movimientos!$K$1:$K$1324,Movimientos!$C$1:$C$1324,"Go Blue",Movimientos!$B$1:$B$1324,"&lt;="&amp;$B136)</f>
        <v>23057.24</v>
      </c>
      <c r="V136" s="24">
        <f>IF(YEAR($B136)*100+MONTH($B136)&lt;--SUBSTITUTE(_xlfn.XLOOKUP("Pacha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LLC",Movimientos!$B$1:$B$1324,"&lt;="&amp;$B136))</f>
        <v>298792.34000000003</v>
      </c>
      <c r="W136" s="24">
        <f>IF(YEAR($B136)*100+MONTH($B136)&lt;--SUBSTITUTE(_xlfn.XLOOKUP("*CFT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Residence",Movimientos!$B$1:$B$1324,"&lt;="&amp;$B136))</f>
        <v>28004.970000000005</v>
      </c>
      <c r="X136" s="24">
        <f>IF(YEAR($B136)*100+MONTH($B136)&lt;--SUBSTITUTE(_xlfn.XLOOKUP("Carmen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Trust",Movimientos!$B$1:$B$1324,"&lt;="&amp;$B136))</f>
        <v>3631.96</v>
      </c>
      <c r="Y136" s="24">
        <f>IF(YEAR($B136)*100+MONTH($B136)&lt;--SUBSTITUTE(_xlfn.XLOOKUP("SIYP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LLC",Movimientos!$B$1:$B$1324,"&lt;="&amp;$B136))</f>
        <v>604.80000000000018</v>
      </c>
      <c r="Z136" s="24">
        <f>IF(YEAR($B136)*100+MONTH($B136)&lt;--SUBSTITUTE(_xlfn.XLOOKUP("Prendamas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SRL",Movimientos!$B$1:$B$1324,"&lt;="&amp;$B136))</f>
        <v>31621.50999999998</v>
      </c>
      <c r="AA136" s="24">
        <f>IF(YEAR($B136)*100+MONTH($B136)&lt;--SUBSTITUTE(_xlfn.XLOOKUP("360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LLC",Movimientos!$B$1:$B$1324,"&lt;="&amp;$B136))</f>
        <v>794.01</v>
      </c>
      <c r="AB136" s="24">
        <f>IF(YEAR($B136)*100+MONTH($B136)&lt;--SUBSTITUTE(_xlfn.XLOOKUP("Five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",Movimientos!$B$1:$B$1324,"&lt;="&amp;$B136))</f>
        <v>5445.57</v>
      </c>
      <c r="AC136" s="24">
        <f>IF(YEAR($B136)*100+MONTH($B136)&lt;--SUBSTITUTE(_xlfn.XLOOKUP("Nobe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Aparments",Movimientos!$B$1:$B$1324,"&lt;="&amp;$B136))</f>
        <v>240458.22999999998</v>
      </c>
      <c r="AD136" s="24">
        <f>IF(YEAR($B136)*100+MONTH($B136)&lt;--SUBSTITUTE(_xlfn.XLOOKUP("Don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Life",Movimientos!$B$1:$B$1324,"&lt;="&amp;$B136))</f>
        <v>327985.82999999996</v>
      </c>
      <c r="AE136" s="25">
        <f t="shared" si="6"/>
        <v>5810148.5899999999</v>
      </c>
    </row>
    <row r="137" spans="1:31" outlineLevel="1" x14ac:dyDescent="0.3">
      <c r="A137" s="22">
        <f t="shared" si="5"/>
        <v>136</v>
      </c>
      <c r="B137" s="23">
        <v>46278</v>
      </c>
      <c r="C137" s="24">
        <f>SUMIFS('Saldos Iniciales'!$D:$D,'Saldos Iniciales'!$A:$A,"CFT Group")+SUMIFS(Movimientos!$K$1:$K$1324,Movimientos!$C$1:$C$1324,"CFT Group",Movimientos!$B$1:$B$1324,"&lt;="&amp;$B137)</f>
        <v>1892948.5900000008</v>
      </c>
      <c r="D137" s="24">
        <f>SUMIFS('Saldos Iniciales'!$D:$D,'Saldos Iniciales'!$A:$A,"M1B")+SUMIFS(Movimientos!$K$1:$K$1324,Movimientos!$C$1:$C$1324,"M1B",Movimientos!$B$1:$B$1324,"&lt;="&amp;$B137)</f>
        <v>93737.970000000176</v>
      </c>
      <c r="E137" s="24">
        <f>SUMIFS('Saldos Iniciales'!$D:$D,'Saldos Iniciales'!$A:$A,"Durand")+SUMIFS(Movimientos!$K$1:$K$1324,Movimientos!$C$1:$C$1324,"Durand",Movimientos!$B$1:$B$1324,"&lt;="&amp;$B137)</f>
        <v>1669.89</v>
      </c>
      <c r="F137" s="24">
        <f>SUMIFS('Saldos Iniciales'!$D:$D,'Saldos Iniciales'!$A:$A,"A&amp;M Imports")+SUMIFS(Movimientos!$K$1:$K$1324,Movimientos!$C$1:$C$1324,"A&amp;M Imports",Movimientos!$B$1:$B$1324,"&lt;="&amp;$B137)</f>
        <v>1089124.99</v>
      </c>
      <c r="G137" s="24">
        <f>SUMIFS('Saldos Iniciales'!$D:$D,'Saldos Iniciales'!$A:$A,"SSP Capital")+SUMIFS(Movimientos!$K$1:$K$1324,Movimientos!$C$1:$C$1324,"SSP Capital",Movimientos!$B$1:$B$1324,"&lt;="&amp;$B137)</f>
        <v>1233680.9399999995</v>
      </c>
      <c r="H137" s="24">
        <f>SUMIFS('Saldos Iniciales'!$D:$D,'Saldos Iniciales'!$A:$A,"Cross Family Trust")+SUMIFS(Movimientos!$K$1:$K$1324,Movimientos!$C$1:$C$1324,"Cross Family Trust",Movimientos!$B$1:$B$1324,"&lt;="&amp;$B137)</f>
        <v>229778.14</v>
      </c>
      <c r="I137" s="24">
        <f>SUMIFS('Saldos Iniciales'!$D:$D,'Saldos Iniciales'!$A:$A,"Cross Security Trust")+SUMIFS(Movimientos!$K$1:$K$1324,Movimientos!$C$1:$C$1324,"Cross Security Trust",Movimientos!$B$1:$B$1324,"&lt;="&amp;$B137)</f>
        <v>217684.34</v>
      </c>
      <c r="J137" s="24">
        <f>SUMIFS('Saldos Iniciales'!$D:$D,'Saldos Iniciales'!$A:$A,"Electrama")+SUMIFS(Movimientos!$K$1:$K$1324,Movimientos!$C$1:$C$1324,"Electrama",Movimientos!$B$1:$B$1324,"&lt;="&amp;$B137)</f>
        <v>11744.75</v>
      </c>
      <c r="K137" s="24">
        <f>SUMIFS('Saldos Iniciales'!$D:$D,'Saldos Iniciales'!$A:$A,"Sacred Valley Capital")+SUMIFS(Movimientos!$K$1:$K$1324,Movimientos!$C$1:$C$1324,"Sacred Valley Capital",Movimientos!$B$1:$B$1324,"&lt;="&amp;$B137)</f>
        <v>94.5</v>
      </c>
      <c r="L137" s="24">
        <f>SUMIFS('Saldos Iniciales'!$D:$D,'Saldos Iniciales'!$A:$A,"YWC Capital")+SUMIFS(Movimientos!$K$1:$K$1324,Movimientos!$C$1:$C$1324,"YWC Capital",Movimientos!$B$1:$B$1324,"&lt;="&amp;$B137)</f>
        <v>2147.92</v>
      </c>
      <c r="M137" s="24">
        <f>SUMIFS('Saldos Iniciales'!$D:$D,'Saldos Iniciales'!$A:$A,"Soweto")+SUMIFS(Movimientos!$K$1:$K$1324,Movimientos!$C$1:$C$1324,"Soweto",Movimientos!$B$1:$B$1324,"&lt;="&amp;$B137)</f>
        <v>17895.290000000015</v>
      </c>
      <c r="N137" s="24">
        <f>SUMIFS('Saldos Iniciales'!$D:$D,'Saldos Iniciales'!$A:$A,"Green Stone Trust")+SUMIFS(Movimientos!$K$1:$K$1324,Movimientos!$C$1:$C$1324,"Green Stone Trust",Movimientos!$B$1:$B$1324,"&lt;="&amp;$B137)</f>
        <v>1968.99</v>
      </c>
      <c r="O137" s="24">
        <f>SUMIFS('Saldos Iniciales'!$D:$D,'Saldos Iniciales'!$A:$A,"EC Auto")+SUMIFS(Movimientos!$K$1:$K$1324,Movimientos!$C$1:$C$1324,"EC Auto",Movimientos!$B$1:$B$1324,"&lt;="&amp;$B137)</f>
        <v>901.34</v>
      </c>
      <c r="P137" s="24">
        <f>SUMIFS('Saldos Iniciales'!$D:$D,'Saldos Iniciales'!$A:$A,"Arbor Capital Properties")+SUMIFS(Movimientos!$K$1:$K$1324,Movimientos!$C$1:$C$1324,"Arbor Capital Properties",Movimientos!$B$1:$B$1324,"&lt;="&amp;$B137)</f>
        <v>1380.08</v>
      </c>
      <c r="Q137" s="24">
        <f>SUMIFS('Saldos Iniciales'!$D:$D,'Saldos Iniciales'!$A:$A,"2515 Overbrook")+SUMIFS(Movimientos!$K$1:$K$1324,Movimientos!$C$1:$C$1324,"2515 Overbrook",Movimientos!$B$1:$B$1324,"&lt;="&amp;$B137)</f>
        <v>25027.379999999961</v>
      </c>
      <c r="R137" s="24">
        <f>SUMIFS('Saldos Iniciales'!$D:$D,'Saldos Iniciales'!$A:$A,"112 Florida Ave")+SUMIFS(Movimientos!$K$1:$K$1324,Movimientos!$C$1:$C$1324,"112 Florida Ave",Movimientos!$B$1:$B$1324,"&lt;="&amp;$B137)</f>
        <v>16282.630000000006</v>
      </c>
      <c r="S137" s="24">
        <f>SUMIFS('Saldos Iniciales'!$D:$D,'Saldos Iniciales'!$A:$A,"3628 Thomas Ave")+SUMIFS(Movimientos!$K$1:$K$1324,Movimientos!$C$1:$C$1324,"3628 Thomas Ave",Movimientos!$B$1:$B$1324,"&lt;="&amp;$B137)</f>
        <v>13339.389999999996</v>
      </c>
      <c r="T137" s="24">
        <f>SUMIFS('Saldos Iniciales'!$D:$D,'Saldos Iniciales'!$A:$A,"Green Harbor Trust")+SUMIFS(Movimientos!$K$1:$K$1324,Movimientos!$C$1:$C$1324,"Green Harbor Trust",Movimientos!$B$1:$B$1324,"&lt;="&amp;$B137)</f>
        <v>345</v>
      </c>
      <c r="U137" s="24">
        <f>SUMIFS('Saldos Iniciales'!$D:$D,'Saldos Iniciales'!$A:$A,"Go Blue")+SUMIFS(Movimientos!$K$1:$K$1324,Movimientos!$C$1:$C$1324,"Go Blue",Movimientos!$B$1:$B$1324,"&lt;="&amp;$B137)</f>
        <v>23057.24</v>
      </c>
      <c r="V137" s="24">
        <f>IF(YEAR($B137)*100+MONTH($B137)&lt;--SUBSTITUTE(_xlfn.XLOOKUP("Pacha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LLC",Movimientos!$B$1:$B$1324,"&lt;="&amp;$B137))</f>
        <v>298792.34000000003</v>
      </c>
      <c r="W137" s="24">
        <f>IF(YEAR($B137)*100+MONTH($B137)&lt;--SUBSTITUTE(_xlfn.XLOOKUP("*CFT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Residence",Movimientos!$B$1:$B$1324,"&lt;="&amp;$B137))</f>
        <v>28004.970000000005</v>
      </c>
      <c r="X137" s="24">
        <f>IF(YEAR($B137)*100+MONTH($B137)&lt;--SUBSTITUTE(_xlfn.XLOOKUP("Carmen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Trust",Movimientos!$B$1:$B$1324,"&lt;="&amp;$B137))</f>
        <v>3631.96</v>
      </c>
      <c r="Y137" s="24">
        <f>IF(YEAR($B137)*100+MONTH($B137)&lt;--SUBSTITUTE(_xlfn.XLOOKUP("SIYP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LLC",Movimientos!$B$1:$B$1324,"&lt;="&amp;$B137))</f>
        <v>604.80000000000018</v>
      </c>
      <c r="Z137" s="24">
        <f>IF(YEAR($B137)*100+MONTH($B137)&lt;--SUBSTITUTE(_xlfn.XLOOKUP("Prendamas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SRL",Movimientos!$B$1:$B$1324,"&lt;="&amp;$B137))</f>
        <v>31621.50999999998</v>
      </c>
      <c r="AA137" s="24">
        <f>IF(YEAR($B137)*100+MONTH($B137)&lt;--SUBSTITUTE(_xlfn.XLOOKUP("360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LLC",Movimientos!$B$1:$B$1324,"&lt;="&amp;$B137))</f>
        <v>794.01</v>
      </c>
      <c r="AB137" s="24">
        <f>IF(YEAR($B137)*100+MONTH($B137)&lt;--SUBSTITUTE(_xlfn.XLOOKUP("Five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",Movimientos!$B$1:$B$1324,"&lt;="&amp;$B137))</f>
        <v>5445.57</v>
      </c>
      <c r="AC137" s="24">
        <f>IF(YEAR($B137)*100+MONTH($B137)&lt;--SUBSTITUTE(_xlfn.XLOOKUP("Nobe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Aparments",Movimientos!$B$1:$B$1324,"&lt;="&amp;$B137))</f>
        <v>240458.22999999998</v>
      </c>
      <c r="AD137" s="24">
        <f>IF(YEAR($B137)*100+MONTH($B137)&lt;--SUBSTITUTE(_xlfn.XLOOKUP("Don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Life",Movimientos!$B$1:$B$1324,"&lt;="&amp;$B137))</f>
        <v>327985.82999999996</v>
      </c>
      <c r="AE137" s="25">
        <f t="shared" si="6"/>
        <v>5810148.5899999999</v>
      </c>
    </row>
    <row r="138" spans="1:31" outlineLevel="1" x14ac:dyDescent="0.3">
      <c r="A138" s="22">
        <f t="shared" si="5"/>
        <v>137</v>
      </c>
      <c r="B138" s="23">
        <v>46279</v>
      </c>
      <c r="C138" s="24">
        <f>SUMIFS('Saldos Iniciales'!$D:$D,'Saldos Iniciales'!$A:$A,"CFT Group")+SUMIFS(Movimientos!$K$1:$K$1324,Movimientos!$C$1:$C$1324,"CFT Group",Movimientos!$B$1:$B$1324,"&lt;="&amp;$B138)</f>
        <v>2042948.5900000008</v>
      </c>
      <c r="D138" s="24">
        <f>SUMIFS('Saldos Iniciales'!$D:$D,'Saldos Iniciales'!$A:$A,"M1B")+SUMIFS(Movimientos!$K$1:$K$1324,Movimientos!$C$1:$C$1324,"M1B",Movimientos!$B$1:$B$1324,"&lt;="&amp;$B138)</f>
        <v>93737.970000000176</v>
      </c>
      <c r="E138" s="24">
        <f>SUMIFS('Saldos Iniciales'!$D:$D,'Saldos Iniciales'!$A:$A,"Durand")+SUMIFS(Movimientos!$K$1:$K$1324,Movimientos!$C$1:$C$1324,"Durand",Movimientos!$B$1:$B$1324,"&lt;="&amp;$B138)</f>
        <v>1669.89</v>
      </c>
      <c r="F138" s="24">
        <f>SUMIFS('Saldos Iniciales'!$D:$D,'Saldos Iniciales'!$A:$A,"A&amp;M Imports")+SUMIFS(Movimientos!$K$1:$K$1324,Movimientos!$C$1:$C$1324,"A&amp;M Imports",Movimientos!$B$1:$B$1324,"&lt;="&amp;$B138)</f>
        <v>1105910.26</v>
      </c>
      <c r="G138" s="24">
        <f>SUMIFS('Saldos Iniciales'!$D:$D,'Saldos Iniciales'!$A:$A,"SSP Capital")+SUMIFS(Movimientos!$K$1:$K$1324,Movimientos!$C$1:$C$1324,"SSP Capital",Movimientos!$B$1:$B$1324,"&lt;="&amp;$B138)</f>
        <v>1191956.6299999997</v>
      </c>
      <c r="H138" s="24">
        <f>SUMIFS('Saldos Iniciales'!$D:$D,'Saldos Iniciales'!$A:$A,"Cross Family Trust")+SUMIFS(Movimientos!$K$1:$K$1324,Movimientos!$C$1:$C$1324,"Cross Family Trust",Movimientos!$B$1:$B$1324,"&lt;="&amp;$B138)</f>
        <v>229778.14</v>
      </c>
      <c r="I138" s="24">
        <f>SUMIFS('Saldos Iniciales'!$D:$D,'Saldos Iniciales'!$A:$A,"Cross Security Trust")+SUMIFS(Movimientos!$K$1:$K$1324,Movimientos!$C$1:$C$1324,"Cross Security Trust",Movimientos!$B$1:$B$1324,"&lt;="&amp;$B138)</f>
        <v>217684.34</v>
      </c>
      <c r="J138" s="24">
        <f>SUMIFS('Saldos Iniciales'!$D:$D,'Saldos Iniciales'!$A:$A,"Electrama")+SUMIFS(Movimientos!$K$1:$K$1324,Movimientos!$C$1:$C$1324,"Electrama",Movimientos!$B$1:$B$1324,"&lt;="&amp;$B138)</f>
        <v>11744.75</v>
      </c>
      <c r="K138" s="24">
        <f>SUMIFS('Saldos Iniciales'!$D:$D,'Saldos Iniciales'!$A:$A,"Sacred Valley Capital")+SUMIFS(Movimientos!$K$1:$K$1324,Movimientos!$C$1:$C$1324,"Sacred Valley Capital",Movimientos!$B$1:$B$1324,"&lt;="&amp;$B138)</f>
        <v>94.5</v>
      </c>
      <c r="L138" s="24">
        <f>SUMIFS('Saldos Iniciales'!$D:$D,'Saldos Iniciales'!$A:$A,"YWC Capital")+SUMIFS(Movimientos!$K$1:$K$1324,Movimientos!$C$1:$C$1324,"YWC Capital",Movimientos!$B$1:$B$1324,"&lt;="&amp;$B138)</f>
        <v>2147.92</v>
      </c>
      <c r="M138" s="24">
        <f>SUMIFS('Saldos Iniciales'!$D:$D,'Saldos Iniciales'!$A:$A,"Soweto")+SUMIFS(Movimientos!$K$1:$K$1324,Movimientos!$C$1:$C$1324,"Soweto",Movimientos!$B$1:$B$1324,"&lt;="&amp;$B138)</f>
        <v>17895.290000000015</v>
      </c>
      <c r="N138" s="24">
        <f>SUMIFS('Saldos Iniciales'!$D:$D,'Saldos Iniciales'!$A:$A,"Green Stone Trust")+SUMIFS(Movimientos!$K$1:$K$1324,Movimientos!$C$1:$C$1324,"Green Stone Trust",Movimientos!$B$1:$B$1324,"&lt;="&amp;$B138)</f>
        <v>1968.99</v>
      </c>
      <c r="O138" s="24">
        <f>SUMIFS('Saldos Iniciales'!$D:$D,'Saldos Iniciales'!$A:$A,"EC Auto")+SUMIFS(Movimientos!$K$1:$K$1324,Movimientos!$C$1:$C$1324,"EC Auto",Movimientos!$B$1:$B$1324,"&lt;="&amp;$B138)</f>
        <v>901.34</v>
      </c>
      <c r="P138" s="24">
        <f>SUMIFS('Saldos Iniciales'!$D:$D,'Saldos Iniciales'!$A:$A,"Arbor Capital Properties")+SUMIFS(Movimientos!$K$1:$K$1324,Movimientos!$C$1:$C$1324,"Arbor Capital Properties",Movimientos!$B$1:$B$1324,"&lt;="&amp;$B138)</f>
        <v>1380.08</v>
      </c>
      <c r="Q138" s="24">
        <f>SUMIFS('Saldos Iniciales'!$D:$D,'Saldos Iniciales'!$A:$A,"2515 Overbrook")+SUMIFS(Movimientos!$K$1:$K$1324,Movimientos!$C$1:$C$1324,"2515 Overbrook",Movimientos!$B$1:$B$1324,"&lt;="&amp;$B138)</f>
        <v>25027.379999999961</v>
      </c>
      <c r="R138" s="24">
        <f>SUMIFS('Saldos Iniciales'!$D:$D,'Saldos Iniciales'!$A:$A,"112 Florida Ave")+SUMIFS(Movimientos!$K$1:$K$1324,Movimientos!$C$1:$C$1324,"112 Florida Ave",Movimientos!$B$1:$B$1324,"&lt;="&amp;$B138)</f>
        <v>16282.630000000006</v>
      </c>
      <c r="S138" s="24">
        <f>SUMIFS('Saldos Iniciales'!$D:$D,'Saldos Iniciales'!$A:$A,"3628 Thomas Ave")+SUMIFS(Movimientos!$K$1:$K$1324,Movimientos!$C$1:$C$1324,"3628 Thomas Ave",Movimientos!$B$1:$B$1324,"&lt;="&amp;$B138)</f>
        <v>13685.999999999996</v>
      </c>
      <c r="T138" s="24">
        <f>SUMIFS('Saldos Iniciales'!$D:$D,'Saldos Iniciales'!$A:$A,"Green Harbor Trust")+SUMIFS(Movimientos!$K$1:$K$1324,Movimientos!$C$1:$C$1324,"Green Harbor Trust",Movimientos!$B$1:$B$1324,"&lt;="&amp;$B138)</f>
        <v>345</v>
      </c>
      <c r="U138" s="24">
        <f>SUMIFS('Saldos Iniciales'!$D:$D,'Saldos Iniciales'!$A:$A,"Go Blue")+SUMIFS(Movimientos!$K$1:$K$1324,Movimientos!$C$1:$C$1324,"Go Blue",Movimientos!$B$1:$B$1324,"&lt;="&amp;$B138)</f>
        <v>16762.45</v>
      </c>
      <c r="V138" s="24">
        <f>IF(YEAR($B138)*100+MONTH($B138)&lt;--SUBSTITUTE(_xlfn.XLOOKUP("Pacha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LLC",Movimientos!$B$1:$B$1324,"&lt;="&amp;$B138))</f>
        <v>298792.34000000003</v>
      </c>
      <c r="W138" s="24">
        <f>IF(YEAR($B138)*100+MONTH($B138)&lt;--SUBSTITUTE(_xlfn.XLOOKUP("*CFT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Residence",Movimientos!$B$1:$B$1324,"&lt;="&amp;$B138))</f>
        <v>26893.080000000005</v>
      </c>
      <c r="X138" s="24">
        <f>IF(YEAR($B138)*100+MONTH($B138)&lt;--SUBSTITUTE(_xlfn.XLOOKUP("Carmen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Trust",Movimientos!$B$1:$B$1324,"&lt;="&amp;$B138))</f>
        <v>3631.96</v>
      </c>
      <c r="Y138" s="24">
        <f>IF(YEAR($B138)*100+MONTH($B138)&lt;--SUBSTITUTE(_xlfn.XLOOKUP("SIYP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LLC",Movimientos!$B$1:$B$1324,"&lt;="&amp;$B138))</f>
        <v>604.80000000000018</v>
      </c>
      <c r="Z138" s="24">
        <f>IF(YEAR($B138)*100+MONTH($B138)&lt;--SUBSTITUTE(_xlfn.XLOOKUP("Prendamas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SRL",Movimientos!$B$1:$B$1324,"&lt;="&amp;$B138))</f>
        <v>31107.189999999981</v>
      </c>
      <c r="AA138" s="24">
        <f>IF(YEAR($B138)*100+MONTH($B138)&lt;--SUBSTITUTE(_xlfn.XLOOKUP("360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LLC",Movimientos!$B$1:$B$1324,"&lt;="&amp;$B138))</f>
        <v>794.01</v>
      </c>
      <c r="AB138" s="24">
        <f>IF(YEAR($B138)*100+MONTH($B138)&lt;--SUBSTITUTE(_xlfn.XLOOKUP("Five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",Movimientos!$B$1:$B$1324,"&lt;="&amp;$B138))</f>
        <v>5445.57</v>
      </c>
      <c r="AC138" s="24">
        <f>IF(YEAR($B138)*100+MONTH($B138)&lt;--SUBSTITUTE(_xlfn.XLOOKUP("Nobe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Aparments",Movimientos!$B$1:$B$1324,"&lt;="&amp;$B138))</f>
        <v>240356.58</v>
      </c>
      <c r="AD138" s="24">
        <f>IF(YEAR($B138)*100+MONTH($B138)&lt;--SUBSTITUTE(_xlfn.XLOOKUP("Don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Life",Movimientos!$B$1:$B$1324,"&lt;="&amp;$B138))</f>
        <v>327985.82999999996</v>
      </c>
      <c r="AE138" s="25">
        <f t="shared" si="6"/>
        <v>5927533.5100000007</v>
      </c>
    </row>
    <row r="139" spans="1:31" outlineLevel="1" x14ac:dyDescent="0.3">
      <c r="A139" s="22">
        <f t="shared" si="5"/>
        <v>138</v>
      </c>
      <c r="B139" s="23">
        <v>46280</v>
      </c>
      <c r="C139" s="24">
        <f>SUMIFS('Saldos Iniciales'!$D:$D,'Saldos Iniciales'!$A:$A,"CFT Group")+SUMIFS(Movimientos!$K$1:$K$1324,Movimientos!$C$1:$C$1324,"CFT Group",Movimientos!$B$1:$B$1324,"&lt;="&amp;$B139)</f>
        <v>2042948.5900000008</v>
      </c>
      <c r="D139" s="24">
        <f>SUMIFS('Saldos Iniciales'!$D:$D,'Saldos Iniciales'!$A:$A,"M1B")+SUMIFS(Movimientos!$K$1:$K$1324,Movimientos!$C$1:$C$1324,"M1B",Movimientos!$B$1:$B$1324,"&lt;="&amp;$B139)</f>
        <v>100486.46000000017</v>
      </c>
      <c r="E139" s="24">
        <f>SUMIFS('Saldos Iniciales'!$D:$D,'Saldos Iniciales'!$A:$A,"Durand")+SUMIFS(Movimientos!$K$1:$K$1324,Movimientos!$C$1:$C$1324,"Durand",Movimientos!$B$1:$B$1324,"&lt;="&amp;$B139)</f>
        <v>1669.89</v>
      </c>
      <c r="F139" s="24">
        <f>SUMIFS('Saldos Iniciales'!$D:$D,'Saldos Iniciales'!$A:$A,"A&amp;M Imports")+SUMIFS(Movimientos!$K$1:$K$1324,Movimientos!$C$1:$C$1324,"A&amp;M Imports",Movimientos!$B$1:$B$1324,"&lt;="&amp;$B139)</f>
        <v>1105534.6399999999</v>
      </c>
      <c r="G139" s="24">
        <f>SUMIFS('Saldos Iniciales'!$D:$D,'Saldos Iniciales'!$A:$A,"SSP Capital")+SUMIFS(Movimientos!$K$1:$K$1324,Movimientos!$C$1:$C$1324,"SSP Capital",Movimientos!$B$1:$B$1324,"&lt;="&amp;$B139)</f>
        <v>1191927.2199999995</v>
      </c>
      <c r="H139" s="24">
        <f>SUMIFS('Saldos Iniciales'!$D:$D,'Saldos Iniciales'!$A:$A,"Cross Family Trust")+SUMIFS(Movimientos!$K$1:$K$1324,Movimientos!$C$1:$C$1324,"Cross Family Trust",Movimientos!$B$1:$B$1324,"&lt;="&amp;$B139)</f>
        <v>229778.14</v>
      </c>
      <c r="I139" s="24">
        <f>SUMIFS('Saldos Iniciales'!$D:$D,'Saldos Iniciales'!$A:$A,"Cross Security Trust")+SUMIFS(Movimientos!$K$1:$K$1324,Movimientos!$C$1:$C$1324,"Cross Security Trust",Movimientos!$B$1:$B$1324,"&lt;="&amp;$B139)</f>
        <v>217688.58</v>
      </c>
      <c r="J139" s="24">
        <f>SUMIFS('Saldos Iniciales'!$D:$D,'Saldos Iniciales'!$A:$A,"Electrama")+SUMIFS(Movimientos!$K$1:$K$1324,Movimientos!$C$1:$C$1324,"Electrama",Movimientos!$B$1:$B$1324,"&lt;="&amp;$B139)</f>
        <v>11744.75</v>
      </c>
      <c r="K139" s="24">
        <f>SUMIFS('Saldos Iniciales'!$D:$D,'Saldos Iniciales'!$A:$A,"Sacred Valley Capital")+SUMIFS(Movimientos!$K$1:$K$1324,Movimientos!$C$1:$C$1324,"Sacred Valley Capital",Movimientos!$B$1:$B$1324,"&lt;="&amp;$B139)</f>
        <v>94.5</v>
      </c>
      <c r="L139" s="24">
        <f>SUMIFS('Saldos Iniciales'!$D:$D,'Saldos Iniciales'!$A:$A,"YWC Capital")+SUMIFS(Movimientos!$K$1:$K$1324,Movimientos!$C$1:$C$1324,"YWC Capital",Movimientos!$B$1:$B$1324,"&lt;="&amp;$B139)</f>
        <v>2147.92</v>
      </c>
      <c r="M139" s="24">
        <f>SUMIFS('Saldos Iniciales'!$D:$D,'Saldos Iniciales'!$A:$A,"Soweto")+SUMIFS(Movimientos!$K$1:$K$1324,Movimientos!$C$1:$C$1324,"Soweto",Movimientos!$B$1:$B$1324,"&lt;="&amp;$B139)</f>
        <v>17895.290000000015</v>
      </c>
      <c r="N139" s="24">
        <f>SUMIFS('Saldos Iniciales'!$D:$D,'Saldos Iniciales'!$A:$A,"Green Stone Trust")+SUMIFS(Movimientos!$K$1:$K$1324,Movimientos!$C$1:$C$1324,"Green Stone Trust",Movimientos!$B$1:$B$1324,"&lt;="&amp;$B139)</f>
        <v>1968.99</v>
      </c>
      <c r="O139" s="24">
        <f>SUMIFS('Saldos Iniciales'!$D:$D,'Saldos Iniciales'!$A:$A,"EC Auto")+SUMIFS(Movimientos!$K$1:$K$1324,Movimientos!$C$1:$C$1324,"EC Auto",Movimientos!$B$1:$B$1324,"&lt;="&amp;$B139)</f>
        <v>901.34</v>
      </c>
      <c r="P139" s="24">
        <f>SUMIFS('Saldos Iniciales'!$D:$D,'Saldos Iniciales'!$A:$A,"Arbor Capital Properties")+SUMIFS(Movimientos!$K$1:$K$1324,Movimientos!$C$1:$C$1324,"Arbor Capital Properties",Movimientos!$B$1:$B$1324,"&lt;="&amp;$B139)</f>
        <v>1380.08</v>
      </c>
      <c r="Q139" s="24">
        <f>SUMIFS('Saldos Iniciales'!$D:$D,'Saldos Iniciales'!$A:$A,"2515 Overbrook")+SUMIFS(Movimientos!$K$1:$K$1324,Movimientos!$C$1:$C$1324,"2515 Overbrook",Movimientos!$B$1:$B$1324,"&lt;="&amp;$B139)</f>
        <v>25027.379999999961</v>
      </c>
      <c r="R139" s="24">
        <f>SUMIFS('Saldos Iniciales'!$D:$D,'Saldos Iniciales'!$A:$A,"112 Florida Ave")+SUMIFS(Movimientos!$K$1:$K$1324,Movimientos!$C$1:$C$1324,"112 Florida Ave",Movimientos!$B$1:$B$1324,"&lt;="&amp;$B139)</f>
        <v>16282.630000000006</v>
      </c>
      <c r="S139" s="24">
        <f>SUMIFS('Saldos Iniciales'!$D:$D,'Saldos Iniciales'!$A:$A,"3628 Thomas Ave")+SUMIFS(Movimientos!$K$1:$K$1324,Movimientos!$C$1:$C$1324,"3628 Thomas Ave",Movimientos!$B$1:$B$1324,"&lt;="&amp;$B139)</f>
        <v>13685.999999999996</v>
      </c>
      <c r="T139" s="24">
        <f>SUMIFS('Saldos Iniciales'!$D:$D,'Saldos Iniciales'!$A:$A,"Green Harbor Trust")+SUMIFS(Movimientos!$K$1:$K$1324,Movimientos!$C$1:$C$1324,"Green Harbor Trust",Movimientos!$B$1:$B$1324,"&lt;="&amp;$B139)</f>
        <v>345</v>
      </c>
      <c r="U139" s="24">
        <f>SUMIFS('Saldos Iniciales'!$D:$D,'Saldos Iniciales'!$A:$A,"Go Blue")+SUMIFS(Movimientos!$K$1:$K$1324,Movimientos!$C$1:$C$1324,"Go Blue",Movimientos!$B$1:$B$1324,"&lt;="&amp;$B139)</f>
        <v>16587.45</v>
      </c>
      <c r="V139" s="24">
        <f>IF(YEAR($B139)*100+MONTH($B139)&lt;--SUBSTITUTE(_xlfn.XLOOKUP("Pacha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LLC",Movimientos!$B$1:$B$1324,"&lt;="&amp;$B139))</f>
        <v>298792.34000000003</v>
      </c>
      <c r="W139" s="24">
        <f>IF(YEAR($B139)*100+MONTH($B139)&lt;--SUBSTITUTE(_xlfn.XLOOKUP("*CFT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Residence",Movimientos!$B$1:$B$1324,"&lt;="&amp;$B139))</f>
        <v>26893.080000000005</v>
      </c>
      <c r="X139" s="24">
        <f>IF(YEAR($B139)*100+MONTH($B139)&lt;--SUBSTITUTE(_xlfn.XLOOKUP("Carmen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Trust",Movimientos!$B$1:$B$1324,"&lt;="&amp;$B139))</f>
        <v>3631.96</v>
      </c>
      <c r="Y139" s="24">
        <f>IF(YEAR($B139)*100+MONTH($B139)&lt;--SUBSTITUTE(_xlfn.XLOOKUP("SIYP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LLC",Movimientos!$B$1:$B$1324,"&lt;="&amp;$B139))</f>
        <v>604.80000000000018</v>
      </c>
      <c r="Z139" s="24">
        <f>IF(YEAR($B139)*100+MONTH($B139)&lt;--SUBSTITUTE(_xlfn.XLOOKUP("Prendamas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SRL",Movimientos!$B$1:$B$1324,"&lt;="&amp;$B139))</f>
        <v>30592.869999999981</v>
      </c>
      <c r="AA139" s="24">
        <f>IF(YEAR($B139)*100+MONTH($B139)&lt;--SUBSTITUTE(_xlfn.XLOOKUP("360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LLC",Movimientos!$B$1:$B$1324,"&lt;="&amp;$B139))</f>
        <v>794.01</v>
      </c>
      <c r="AB139" s="24">
        <f>IF(YEAR($B139)*100+MONTH($B139)&lt;--SUBSTITUTE(_xlfn.XLOOKUP("Five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",Movimientos!$B$1:$B$1324,"&lt;="&amp;$B139))</f>
        <v>5445.57</v>
      </c>
      <c r="AC139" s="24">
        <f>IF(YEAR($B139)*100+MONTH($B139)&lt;--SUBSTITUTE(_xlfn.XLOOKUP("Nobe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Aparments",Movimientos!$B$1:$B$1324,"&lt;="&amp;$B139))</f>
        <v>240356.58</v>
      </c>
      <c r="AD139" s="24">
        <f>IF(YEAR($B139)*100+MONTH($B139)&lt;--SUBSTITUTE(_xlfn.XLOOKUP("Don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Life",Movimientos!$B$1:$B$1324,"&lt;="&amp;$B139))</f>
        <v>327985.82999999996</v>
      </c>
      <c r="AE139" s="25">
        <f t="shared" si="6"/>
        <v>5933191.8900000006</v>
      </c>
    </row>
    <row r="140" spans="1:31" outlineLevel="1" x14ac:dyDescent="0.3">
      <c r="A140" s="22">
        <f t="shared" si="5"/>
        <v>139</v>
      </c>
      <c r="B140" s="23">
        <v>46281</v>
      </c>
      <c r="C140" s="24">
        <f>SUMIFS('Saldos Iniciales'!$D:$D,'Saldos Iniciales'!$A:$A,"CFT Group")+SUMIFS(Movimientos!$K$1:$K$1324,Movimientos!$C$1:$C$1324,"CFT Group",Movimientos!$B$1:$B$1324,"&lt;="&amp;$B140)</f>
        <v>2042948.5900000008</v>
      </c>
      <c r="D140" s="24">
        <f>SUMIFS('Saldos Iniciales'!$D:$D,'Saldos Iniciales'!$A:$A,"M1B")+SUMIFS(Movimientos!$K$1:$K$1324,Movimientos!$C$1:$C$1324,"M1B",Movimientos!$B$1:$B$1324,"&lt;="&amp;$B140)</f>
        <v>100486.46000000017</v>
      </c>
      <c r="E140" s="24">
        <f>SUMIFS('Saldos Iniciales'!$D:$D,'Saldos Iniciales'!$A:$A,"Durand")+SUMIFS(Movimientos!$K$1:$K$1324,Movimientos!$C$1:$C$1324,"Durand",Movimientos!$B$1:$B$1324,"&lt;="&amp;$B140)</f>
        <v>1669.89</v>
      </c>
      <c r="F140" s="24">
        <f>SUMIFS('Saldos Iniciales'!$D:$D,'Saldos Iniciales'!$A:$A,"A&amp;M Imports")+SUMIFS(Movimientos!$K$1:$K$1324,Movimientos!$C$1:$C$1324,"A&amp;M Imports",Movimientos!$B$1:$B$1324,"&lt;="&amp;$B140)</f>
        <v>1105534.6399999999</v>
      </c>
      <c r="G140" s="24">
        <f>SUMIFS('Saldos Iniciales'!$D:$D,'Saldos Iniciales'!$A:$A,"SSP Capital")+SUMIFS(Movimientos!$K$1:$K$1324,Movimientos!$C$1:$C$1324,"SSP Capital",Movimientos!$B$1:$B$1324,"&lt;="&amp;$B140)</f>
        <v>1189436.8599999996</v>
      </c>
      <c r="H140" s="24">
        <f>SUMIFS('Saldos Iniciales'!$D:$D,'Saldos Iniciales'!$A:$A,"Cross Family Trust")+SUMIFS(Movimientos!$K$1:$K$1324,Movimientos!$C$1:$C$1324,"Cross Family Trust",Movimientos!$B$1:$B$1324,"&lt;="&amp;$B140)</f>
        <v>229778.14</v>
      </c>
      <c r="I140" s="24">
        <f>SUMIFS('Saldos Iniciales'!$D:$D,'Saldos Iniciales'!$A:$A,"Cross Security Trust")+SUMIFS(Movimientos!$K$1:$K$1324,Movimientos!$C$1:$C$1324,"Cross Security Trust",Movimientos!$B$1:$B$1324,"&lt;="&amp;$B140)</f>
        <v>217688.58</v>
      </c>
      <c r="J140" s="24">
        <f>SUMIFS('Saldos Iniciales'!$D:$D,'Saldos Iniciales'!$A:$A,"Electrama")+SUMIFS(Movimientos!$K$1:$K$1324,Movimientos!$C$1:$C$1324,"Electrama",Movimientos!$B$1:$B$1324,"&lt;="&amp;$B140)</f>
        <v>11744.75</v>
      </c>
      <c r="K140" s="24">
        <f>SUMIFS('Saldos Iniciales'!$D:$D,'Saldos Iniciales'!$A:$A,"Sacred Valley Capital")+SUMIFS(Movimientos!$K$1:$K$1324,Movimientos!$C$1:$C$1324,"Sacred Valley Capital",Movimientos!$B$1:$B$1324,"&lt;="&amp;$B140)</f>
        <v>94.5</v>
      </c>
      <c r="L140" s="24">
        <f>SUMIFS('Saldos Iniciales'!$D:$D,'Saldos Iniciales'!$A:$A,"YWC Capital")+SUMIFS(Movimientos!$K$1:$K$1324,Movimientos!$C$1:$C$1324,"YWC Capital",Movimientos!$B$1:$B$1324,"&lt;="&amp;$B140)</f>
        <v>2147.92</v>
      </c>
      <c r="M140" s="24">
        <f>SUMIFS('Saldos Iniciales'!$D:$D,'Saldos Iniciales'!$A:$A,"Soweto")+SUMIFS(Movimientos!$K$1:$K$1324,Movimientos!$C$1:$C$1324,"Soweto",Movimientos!$B$1:$B$1324,"&lt;="&amp;$B140)</f>
        <v>17895.290000000015</v>
      </c>
      <c r="N140" s="24">
        <f>SUMIFS('Saldos Iniciales'!$D:$D,'Saldos Iniciales'!$A:$A,"Green Stone Trust")+SUMIFS(Movimientos!$K$1:$K$1324,Movimientos!$C$1:$C$1324,"Green Stone Trust",Movimientos!$B$1:$B$1324,"&lt;="&amp;$B140)</f>
        <v>1968.99</v>
      </c>
      <c r="O140" s="24">
        <f>SUMIFS('Saldos Iniciales'!$D:$D,'Saldos Iniciales'!$A:$A,"EC Auto")+SUMIFS(Movimientos!$K$1:$K$1324,Movimientos!$C$1:$C$1324,"EC Auto",Movimientos!$B$1:$B$1324,"&lt;="&amp;$B140)</f>
        <v>901.34</v>
      </c>
      <c r="P140" s="24">
        <f>SUMIFS('Saldos Iniciales'!$D:$D,'Saldos Iniciales'!$A:$A,"Arbor Capital Properties")+SUMIFS(Movimientos!$K$1:$K$1324,Movimientos!$C$1:$C$1324,"Arbor Capital Properties",Movimientos!$B$1:$B$1324,"&lt;="&amp;$B140)</f>
        <v>1380.08</v>
      </c>
      <c r="Q140" s="24">
        <f>SUMIFS('Saldos Iniciales'!$D:$D,'Saldos Iniciales'!$A:$A,"2515 Overbrook")+SUMIFS(Movimientos!$K$1:$K$1324,Movimientos!$C$1:$C$1324,"2515 Overbrook",Movimientos!$B$1:$B$1324,"&lt;="&amp;$B140)</f>
        <v>25027.379999999961</v>
      </c>
      <c r="R140" s="24">
        <f>SUMIFS('Saldos Iniciales'!$D:$D,'Saldos Iniciales'!$A:$A,"112 Florida Ave")+SUMIFS(Movimientos!$K$1:$K$1324,Movimientos!$C$1:$C$1324,"112 Florida Ave",Movimientos!$B$1:$B$1324,"&lt;="&amp;$B140)</f>
        <v>16282.630000000006</v>
      </c>
      <c r="S140" s="24">
        <f>SUMIFS('Saldos Iniciales'!$D:$D,'Saldos Iniciales'!$A:$A,"3628 Thomas Ave")+SUMIFS(Movimientos!$K$1:$K$1324,Movimientos!$C$1:$C$1324,"3628 Thomas Ave",Movimientos!$B$1:$B$1324,"&lt;="&amp;$B140)</f>
        <v>13685.999999999996</v>
      </c>
      <c r="T140" s="24">
        <f>SUMIFS('Saldos Iniciales'!$D:$D,'Saldos Iniciales'!$A:$A,"Green Harbor Trust")+SUMIFS(Movimientos!$K$1:$K$1324,Movimientos!$C$1:$C$1324,"Green Harbor Trust",Movimientos!$B$1:$B$1324,"&lt;="&amp;$B140)</f>
        <v>345</v>
      </c>
      <c r="U140" s="24">
        <f>SUMIFS('Saldos Iniciales'!$D:$D,'Saldos Iniciales'!$A:$A,"Go Blue")+SUMIFS(Movimientos!$K$1:$K$1324,Movimientos!$C$1:$C$1324,"Go Blue",Movimientos!$B$1:$B$1324,"&lt;="&amp;$B140)</f>
        <v>16384.45</v>
      </c>
      <c r="V140" s="24">
        <f>IF(YEAR($B140)*100+MONTH($B140)&lt;--SUBSTITUTE(_xlfn.XLOOKUP("Pacha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LLC",Movimientos!$B$1:$B$1324,"&lt;="&amp;$B140))</f>
        <v>298792.34000000003</v>
      </c>
      <c r="W140" s="24">
        <f>IF(YEAR($B140)*100+MONTH($B140)&lt;--SUBSTITUTE(_xlfn.XLOOKUP("*CFT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Residence",Movimientos!$B$1:$B$1324,"&lt;="&amp;$B140))</f>
        <v>26893.080000000005</v>
      </c>
      <c r="X140" s="24">
        <f>IF(YEAR($B140)*100+MONTH($B140)&lt;--SUBSTITUTE(_xlfn.XLOOKUP("Carmen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Trust",Movimientos!$B$1:$B$1324,"&lt;="&amp;$B140))</f>
        <v>3631.96</v>
      </c>
      <c r="Y140" s="24">
        <f>IF(YEAR($B140)*100+MONTH($B140)&lt;--SUBSTITUTE(_xlfn.XLOOKUP("SIYP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LLC",Movimientos!$B$1:$B$1324,"&lt;="&amp;$B140))</f>
        <v>604.80000000000018</v>
      </c>
      <c r="Z140" s="24">
        <f>IF(YEAR($B140)*100+MONTH($B140)&lt;--SUBSTITUTE(_xlfn.XLOOKUP("Prendamas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SRL",Movimientos!$B$1:$B$1324,"&lt;="&amp;$B140))</f>
        <v>29877.869999999981</v>
      </c>
      <c r="AA140" s="24">
        <f>IF(YEAR($B140)*100+MONTH($B140)&lt;--SUBSTITUTE(_xlfn.XLOOKUP("360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LLC",Movimientos!$B$1:$B$1324,"&lt;="&amp;$B140))</f>
        <v>794.01</v>
      </c>
      <c r="AB140" s="24">
        <f>IF(YEAR($B140)*100+MONTH($B140)&lt;--SUBSTITUTE(_xlfn.XLOOKUP("Five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",Movimientos!$B$1:$B$1324,"&lt;="&amp;$B140))</f>
        <v>5445.57</v>
      </c>
      <c r="AC140" s="24">
        <f>IF(YEAR($B140)*100+MONTH($B140)&lt;--SUBSTITUTE(_xlfn.XLOOKUP("Nobe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Aparments",Movimientos!$B$1:$B$1324,"&lt;="&amp;$B140))</f>
        <v>240356.58</v>
      </c>
      <c r="AD140" s="24">
        <f>IF(YEAR($B140)*100+MONTH($B140)&lt;--SUBSTITUTE(_xlfn.XLOOKUP("Don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Life",Movimientos!$B$1:$B$1324,"&lt;="&amp;$B140))</f>
        <v>327985.82999999996</v>
      </c>
      <c r="AE140" s="25">
        <f t="shared" si="6"/>
        <v>5929783.5300000003</v>
      </c>
    </row>
    <row r="141" spans="1:31" outlineLevel="1" x14ac:dyDescent="0.3">
      <c r="A141" s="22">
        <f t="shared" si="5"/>
        <v>140</v>
      </c>
      <c r="B141" s="23">
        <v>46282</v>
      </c>
      <c r="C141" s="24">
        <f>SUMIFS('Saldos Iniciales'!$D:$D,'Saldos Iniciales'!$A:$A,"CFT Group")+SUMIFS(Movimientos!$K$1:$K$1324,Movimientos!$C$1:$C$1324,"CFT Group",Movimientos!$B$1:$B$1324,"&lt;="&amp;$B141)</f>
        <v>1912320.2500000007</v>
      </c>
      <c r="D141" s="24">
        <f>SUMIFS('Saldos Iniciales'!$D:$D,'Saldos Iniciales'!$A:$A,"M1B")+SUMIFS(Movimientos!$K$1:$K$1324,Movimientos!$C$1:$C$1324,"M1B",Movimientos!$B$1:$B$1324,"&lt;="&amp;$B141)</f>
        <v>100486.46000000017</v>
      </c>
      <c r="E141" s="24">
        <f>SUMIFS('Saldos Iniciales'!$D:$D,'Saldos Iniciales'!$A:$A,"Durand")+SUMIFS(Movimientos!$K$1:$K$1324,Movimientos!$C$1:$C$1324,"Durand",Movimientos!$B$1:$B$1324,"&lt;="&amp;$B141)</f>
        <v>1669.89</v>
      </c>
      <c r="F141" s="24">
        <f>SUMIFS('Saldos Iniciales'!$D:$D,'Saldos Iniciales'!$A:$A,"A&amp;M Imports")+SUMIFS(Movimientos!$K$1:$K$1324,Movimientos!$C$1:$C$1324,"A&amp;M Imports",Movimientos!$B$1:$B$1324,"&lt;="&amp;$B141)</f>
        <v>975534.6399999999</v>
      </c>
      <c r="G141" s="24">
        <f>SUMIFS('Saldos Iniciales'!$D:$D,'Saldos Iniciales'!$A:$A,"SSP Capital")+SUMIFS(Movimientos!$K$1:$K$1324,Movimientos!$C$1:$C$1324,"SSP Capital",Movimientos!$B$1:$B$1324,"&lt;="&amp;$B141)</f>
        <v>1070645.1899999995</v>
      </c>
      <c r="H141" s="24">
        <f>SUMIFS('Saldos Iniciales'!$D:$D,'Saldos Iniciales'!$A:$A,"Cross Family Trust")+SUMIFS(Movimientos!$K$1:$K$1324,Movimientos!$C$1:$C$1324,"Cross Family Trust",Movimientos!$B$1:$B$1324,"&lt;="&amp;$B141)</f>
        <v>229778.14</v>
      </c>
      <c r="I141" s="24">
        <f>SUMIFS('Saldos Iniciales'!$D:$D,'Saldos Iniciales'!$A:$A,"Cross Security Trust")+SUMIFS(Movimientos!$K$1:$K$1324,Movimientos!$C$1:$C$1324,"Cross Security Trust",Movimientos!$B$1:$B$1324,"&lt;="&amp;$B141)</f>
        <v>217688.58</v>
      </c>
      <c r="J141" s="24">
        <f>SUMIFS('Saldos Iniciales'!$D:$D,'Saldos Iniciales'!$A:$A,"Electrama")+SUMIFS(Movimientos!$K$1:$K$1324,Movimientos!$C$1:$C$1324,"Electrama",Movimientos!$B$1:$B$1324,"&lt;="&amp;$B141)</f>
        <v>11744.75</v>
      </c>
      <c r="K141" s="24">
        <f>SUMIFS('Saldos Iniciales'!$D:$D,'Saldos Iniciales'!$A:$A,"Sacred Valley Capital")+SUMIFS(Movimientos!$K$1:$K$1324,Movimientos!$C$1:$C$1324,"Sacred Valley Capital",Movimientos!$B$1:$B$1324,"&lt;="&amp;$B141)</f>
        <v>94.5</v>
      </c>
      <c r="L141" s="24">
        <f>SUMIFS('Saldos Iniciales'!$D:$D,'Saldos Iniciales'!$A:$A,"YWC Capital")+SUMIFS(Movimientos!$K$1:$K$1324,Movimientos!$C$1:$C$1324,"YWC Capital",Movimientos!$B$1:$B$1324,"&lt;="&amp;$B141)</f>
        <v>2147.92</v>
      </c>
      <c r="M141" s="24">
        <f>SUMIFS('Saldos Iniciales'!$D:$D,'Saldos Iniciales'!$A:$A,"Soweto")+SUMIFS(Movimientos!$K$1:$K$1324,Movimientos!$C$1:$C$1324,"Soweto",Movimientos!$B$1:$B$1324,"&lt;="&amp;$B141)</f>
        <v>17895.290000000015</v>
      </c>
      <c r="N141" s="24">
        <f>SUMIFS('Saldos Iniciales'!$D:$D,'Saldos Iniciales'!$A:$A,"Green Stone Trust")+SUMIFS(Movimientos!$K$1:$K$1324,Movimientos!$C$1:$C$1324,"Green Stone Trust",Movimientos!$B$1:$B$1324,"&lt;="&amp;$B141)</f>
        <v>1968.99</v>
      </c>
      <c r="O141" s="24">
        <f>SUMIFS('Saldos Iniciales'!$D:$D,'Saldos Iniciales'!$A:$A,"EC Auto")+SUMIFS(Movimientos!$K$1:$K$1324,Movimientos!$C$1:$C$1324,"EC Auto",Movimientos!$B$1:$B$1324,"&lt;="&amp;$B141)</f>
        <v>901.34</v>
      </c>
      <c r="P141" s="24">
        <f>SUMIFS('Saldos Iniciales'!$D:$D,'Saldos Iniciales'!$A:$A,"Arbor Capital Properties")+SUMIFS(Movimientos!$K$1:$K$1324,Movimientos!$C$1:$C$1324,"Arbor Capital Properties",Movimientos!$B$1:$B$1324,"&lt;="&amp;$B141)</f>
        <v>1380.08</v>
      </c>
      <c r="Q141" s="24">
        <f>SUMIFS('Saldos Iniciales'!$D:$D,'Saldos Iniciales'!$A:$A,"2515 Overbrook")+SUMIFS(Movimientos!$K$1:$K$1324,Movimientos!$C$1:$C$1324,"2515 Overbrook",Movimientos!$B$1:$B$1324,"&lt;="&amp;$B141)</f>
        <v>25027.379999999961</v>
      </c>
      <c r="R141" s="24">
        <f>SUMIFS('Saldos Iniciales'!$D:$D,'Saldos Iniciales'!$A:$A,"112 Florida Ave")+SUMIFS(Movimientos!$K$1:$K$1324,Movimientos!$C$1:$C$1324,"112 Florida Ave",Movimientos!$B$1:$B$1324,"&lt;="&amp;$B141)</f>
        <v>16282.630000000006</v>
      </c>
      <c r="S141" s="24">
        <f>SUMIFS('Saldos Iniciales'!$D:$D,'Saldos Iniciales'!$A:$A,"3628 Thomas Ave")+SUMIFS(Movimientos!$K$1:$K$1324,Movimientos!$C$1:$C$1324,"3628 Thomas Ave",Movimientos!$B$1:$B$1324,"&lt;="&amp;$B141)</f>
        <v>13685.999999999996</v>
      </c>
      <c r="T141" s="24">
        <f>SUMIFS('Saldos Iniciales'!$D:$D,'Saldos Iniciales'!$A:$A,"Green Harbor Trust")+SUMIFS(Movimientos!$K$1:$K$1324,Movimientos!$C$1:$C$1324,"Green Harbor Trust",Movimientos!$B$1:$B$1324,"&lt;="&amp;$B141)</f>
        <v>345</v>
      </c>
      <c r="U141" s="24">
        <f>SUMIFS('Saldos Iniciales'!$D:$D,'Saldos Iniciales'!$A:$A,"Go Blue")+SUMIFS(Movimientos!$K$1:$K$1324,Movimientos!$C$1:$C$1324,"Go Blue",Movimientos!$B$1:$B$1324,"&lt;="&amp;$B141)</f>
        <v>16164.440000000002</v>
      </c>
      <c r="V141" s="24">
        <f>IF(YEAR($B141)*100+MONTH($B141)&lt;--SUBSTITUTE(_xlfn.XLOOKUP("Pacha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LLC",Movimientos!$B$1:$B$1324,"&lt;="&amp;$B141))</f>
        <v>312415.12000000005</v>
      </c>
      <c r="W141" s="24">
        <f>IF(YEAR($B141)*100+MONTH($B141)&lt;--SUBSTITUTE(_xlfn.XLOOKUP("*CFT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Residence",Movimientos!$B$1:$B$1324,"&lt;="&amp;$B141))</f>
        <v>17125.350000000006</v>
      </c>
      <c r="X141" s="24">
        <f>IF(YEAR($B141)*100+MONTH($B141)&lt;--SUBSTITUTE(_xlfn.XLOOKUP("Carmen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Trust",Movimientos!$B$1:$B$1324,"&lt;="&amp;$B141))</f>
        <v>3631.96</v>
      </c>
      <c r="Y141" s="24">
        <f>IF(YEAR($B141)*100+MONTH($B141)&lt;--SUBSTITUTE(_xlfn.XLOOKUP("SIYP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LLC",Movimientos!$B$1:$B$1324,"&lt;="&amp;$B141))</f>
        <v>604.80000000000018</v>
      </c>
      <c r="Z141" s="24">
        <f>IF(YEAR($B141)*100+MONTH($B141)&lt;--SUBSTITUTE(_xlfn.XLOOKUP("Prendamas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SRL",Movimientos!$B$1:$B$1324,"&lt;="&amp;$B141))</f>
        <v>26755.729999999981</v>
      </c>
      <c r="AA141" s="24">
        <f>IF(YEAR($B141)*100+MONTH($B141)&lt;--SUBSTITUTE(_xlfn.XLOOKUP("360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LLC",Movimientos!$B$1:$B$1324,"&lt;="&amp;$B141))</f>
        <v>794.01</v>
      </c>
      <c r="AB141" s="24">
        <f>IF(YEAR($B141)*100+MONTH($B141)&lt;--SUBSTITUTE(_xlfn.XLOOKUP("Five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",Movimientos!$B$1:$B$1324,"&lt;="&amp;$B141))</f>
        <v>5445.57</v>
      </c>
      <c r="AC141" s="24">
        <f>IF(YEAR($B141)*100+MONTH($B141)&lt;--SUBSTITUTE(_xlfn.XLOOKUP("Nobe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Aparments",Movimientos!$B$1:$B$1324,"&lt;="&amp;$B141))</f>
        <v>240356.58</v>
      </c>
      <c r="AD141" s="24">
        <f>IF(YEAR($B141)*100+MONTH($B141)&lt;--SUBSTITUTE(_xlfn.XLOOKUP("Don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Life",Movimientos!$B$1:$B$1324,"&lt;="&amp;$B141))</f>
        <v>327985.82999999996</v>
      </c>
      <c r="AE141" s="25">
        <f t="shared" si="6"/>
        <v>5550876.4199999999</v>
      </c>
    </row>
    <row r="142" spans="1:31" outlineLevel="1" x14ac:dyDescent="0.3">
      <c r="A142" s="22">
        <f t="shared" si="5"/>
        <v>141</v>
      </c>
      <c r="B142" s="23">
        <v>46283</v>
      </c>
      <c r="C142" s="24">
        <f>SUMIFS('Saldos Iniciales'!$D:$D,'Saldos Iniciales'!$A:$A,"CFT Group")+SUMIFS(Movimientos!$K$1:$K$1324,Movimientos!$C$1:$C$1324,"CFT Group",Movimientos!$B$1:$B$1324,"&lt;="&amp;$B142)</f>
        <v>2322320.2500000005</v>
      </c>
      <c r="D142" s="24">
        <f>SUMIFS('Saldos Iniciales'!$D:$D,'Saldos Iniciales'!$A:$A,"M1B")+SUMIFS(Movimientos!$K$1:$K$1324,Movimientos!$C$1:$C$1324,"M1B",Movimientos!$B$1:$B$1324,"&lt;="&amp;$B142)</f>
        <v>100486.46000000017</v>
      </c>
      <c r="E142" s="24">
        <f>SUMIFS('Saldos Iniciales'!$D:$D,'Saldos Iniciales'!$A:$A,"Durand")+SUMIFS(Movimientos!$K$1:$K$1324,Movimientos!$C$1:$C$1324,"Durand",Movimientos!$B$1:$B$1324,"&lt;="&amp;$B142)</f>
        <v>1669.89</v>
      </c>
      <c r="F142" s="24">
        <f>SUMIFS('Saldos Iniciales'!$D:$D,'Saldos Iniciales'!$A:$A,"A&amp;M Imports")+SUMIFS(Movimientos!$K$1:$K$1324,Movimientos!$C$1:$C$1324,"A&amp;M Imports",Movimientos!$B$1:$B$1324,"&lt;="&amp;$B142)</f>
        <v>1425534.64</v>
      </c>
      <c r="G142" s="24">
        <f>SUMIFS('Saldos Iniciales'!$D:$D,'Saldos Iniciales'!$A:$A,"SSP Capital")+SUMIFS(Movimientos!$K$1:$K$1324,Movimientos!$C$1:$C$1324,"SSP Capital",Movimientos!$B$1:$B$1324,"&lt;="&amp;$B142)</f>
        <v>1070478.5299999996</v>
      </c>
      <c r="H142" s="24">
        <f>SUMIFS('Saldos Iniciales'!$D:$D,'Saldos Iniciales'!$A:$A,"Cross Family Trust")+SUMIFS(Movimientos!$K$1:$K$1324,Movimientos!$C$1:$C$1324,"Cross Family Trust",Movimientos!$B$1:$B$1324,"&lt;="&amp;$B142)</f>
        <v>229778.14</v>
      </c>
      <c r="I142" s="24">
        <f>SUMIFS('Saldos Iniciales'!$D:$D,'Saldos Iniciales'!$A:$A,"Cross Security Trust")+SUMIFS(Movimientos!$K$1:$K$1324,Movimientos!$C$1:$C$1324,"Cross Security Trust",Movimientos!$B$1:$B$1324,"&lt;="&amp;$B142)</f>
        <v>217688.58</v>
      </c>
      <c r="J142" s="24">
        <f>SUMIFS('Saldos Iniciales'!$D:$D,'Saldos Iniciales'!$A:$A,"Electrama")+SUMIFS(Movimientos!$K$1:$K$1324,Movimientos!$C$1:$C$1324,"Electrama",Movimientos!$B$1:$B$1324,"&lt;="&amp;$B142)</f>
        <v>11744.75</v>
      </c>
      <c r="K142" s="24">
        <f>SUMIFS('Saldos Iniciales'!$D:$D,'Saldos Iniciales'!$A:$A,"Sacred Valley Capital")+SUMIFS(Movimientos!$K$1:$K$1324,Movimientos!$C$1:$C$1324,"Sacred Valley Capital",Movimientos!$B$1:$B$1324,"&lt;="&amp;$B142)</f>
        <v>94.5</v>
      </c>
      <c r="L142" s="24">
        <f>SUMIFS('Saldos Iniciales'!$D:$D,'Saldos Iniciales'!$A:$A,"YWC Capital")+SUMIFS(Movimientos!$K$1:$K$1324,Movimientos!$C$1:$C$1324,"YWC Capital",Movimientos!$B$1:$B$1324,"&lt;="&amp;$B142)</f>
        <v>2147.92</v>
      </c>
      <c r="M142" s="24">
        <f>SUMIFS('Saldos Iniciales'!$D:$D,'Saldos Iniciales'!$A:$A,"Soweto")+SUMIFS(Movimientos!$K$1:$K$1324,Movimientos!$C$1:$C$1324,"Soweto",Movimientos!$B$1:$B$1324,"&lt;="&amp;$B142)</f>
        <v>17895.290000000015</v>
      </c>
      <c r="N142" s="24">
        <f>SUMIFS('Saldos Iniciales'!$D:$D,'Saldos Iniciales'!$A:$A,"Green Stone Trust")+SUMIFS(Movimientos!$K$1:$K$1324,Movimientos!$C$1:$C$1324,"Green Stone Trust",Movimientos!$B$1:$B$1324,"&lt;="&amp;$B142)</f>
        <v>1968.99</v>
      </c>
      <c r="O142" s="24">
        <f>SUMIFS('Saldos Iniciales'!$D:$D,'Saldos Iniciales'!$A:$A,"EC Auto")+SUMIFS(Movimientos!$K$1:$K$1324,Movimientos!$C$1:$C$1324,"EC Auto",Movimientos!$B$1:$B$1324,"&lt;="&amp;$B142)</f>
        <v>901.34</v>
      </c>
      <c r="P142" s="24">
        <f>SUMIFS('Saldos Iniciales'!$D:$D,'Saldos Iniciales'!$A:$A,"Arbor Capital Properties")+SUMIFS(Movimientos!$K$1:$K$1324,Movimientos!$C$1:$C$1324,"Arbor Capital Properties",Movimientos!$B$1:$B$1324,"&lt;="&amp;$B142)</f>
        <v>1380.08</v>
      </c>
      <c r="Q142" s="24">
        <f>SUMIFS('Saldos Iniciales'!$D:$D,'Saldos Iniciales'!$A:$A,"2515 Overbrook")+SUMIFS(Movimientos!$K$1:$K$1324,Movimientos!$C$1:$C$1324,"2515 Overbrook",Movimientos!$B$1:$B$1324,"&lt;="&amp;$B142)</f>
        <v>30277.379999999961</v>
      </c>
      <c r="R142" s="24">
        <f>SUMIFS('Saldos Iniciales'!$D:$D,'Saldos Iniciales'!$A:$A,"112 Florida Ave")+SUMIFS(Movimientos!$K$1:$K$1324,Movimientos!$C$1:$C$1324,"112 Florida Ave",Movimientos!$B$1:$B$1324,"&lt;="&amp;$B142)</f>
        <v>16282.630000000006</v>
      </c>
      <c r="S142" s="24">
        <f>SUMIFS('Saldos Iniciales'!$D:$D,'Saldos Iniciales'!$A:$A,"3628 Thomas Ave")+SUMIFS(Movimientos!$K$1:$K$1324,Movimientos!$C$1:$C$1324,"3628 Thomas Ave",Movimientos!$B$1:$B$1324,"&lt;="&amp;$B142)</f>
        <v>13685.999999999996</v>
      </c>
      <c r="T142" s="24">
        <f>SUMIFS('Saldos Iniciales'!$D:$D,'Saldos Iniciales'!$A:$A,"Green Harbor Trust")+SUMIFS(Movimientos!$K$1:$K$1324,Movimientos!$C$1:$C$1324,"Green Harbor Trust",Movimientos!$B$1:$B$1324,"&lt;="&amp;$B142)</f>
        <v>345</v>
      </c>
      <c r="U142" s="24">
        <f>SUMIFS('Saldos Iniciales'!$D:$D,'Saldos Iniciales'!$A:$A,"Go Blue")+SUMIFS(Movimientos!$K$1:$K$1324,Movimientos!$C$1:$C$1324,"Go Blue",Movimientos!$B$1:$B$1324,"&lt;="&amp;$B142)</f>
        <v>16120.660000000002</v>
      </c>
      <c r="V142" s="24">
        <f>IF(YEAR($B142)*100+MONTH($B142)&lt;--SUBSTITUTE(_xlfn.XLOOKUP("Pacha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LLC",Movimientos!$B$1:$B$1324,"&lt;="&amp;$B142))</f>
        <v>312415.12000000005</v>
      </c>
      <c r="W142" s="24">
        <f>IF(YEAR($B142)*100+MONTH($B142)&lt;--SUBSTITUTE(_xlfn.XLOOKUP("*CFT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Residence",Movimientos!$B$1:$B$1324,"&lt;="&amp;$B142))</f>
        <v>103560.93000000001</v>
      </c>
      <c r="X142" s="24">
        <f>IF(YEAR($B142)*100+MONTH($B142)&lt;--SUBSTITUTE(_xlfn.XLOOKUP("Carmen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Trust",Movimientos!$B$1:$B$1324,"&lt;="&amp;$B142))</f>
        <v>3631.96</v>
      </c>
      <c r="Y142" s="24">
        <f>IF(YEAR($B142)*100+MONTH($B142)&lt;--SUBSTITUTE(_xlfn.XLOOKUP("SIYP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LLC",Movimientos!$B$1:$B$1324,"&lt;="&amp;$B142))</f>
        <v>604.80000000000018</v>
      </c>
      <c r="Z142" s="24">
        <f>IF(YEAR($B142)*100+MONTH($B142)&lt;--SUBSTITUTE(_xlfn.XLOOKUP("Prendamas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SRL",Movimientos!$B$1:$B$1324,"&lt;="&amp;$B142))</f>
        <v>26755.729999999981</v>
      </c>
      <c r="AA142" s="24">
        <f>IF(YEAR($B142)*100+MONTH($B142)&lt;--SUBSTITUTE(_xlfn.XLOOKUP("360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LLC",Movimientos!$B$1:$B$1324,"&lt;="&amp;$B142))</f>
        <v>794.01</v>
      </c>
      <c r="AB142" s="24">
        <f>IF(YEAR($B142)*100+MONTH($B142)&lt;--SUBSTITUTE(_xlfn.XLOOKUP("Five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",Movimientos!$B$1:$B$1324,"&lt;="&amp;$B142))</f>
        <v>5445.57</v>
      </c>
      <c r="AC142" s="24">
        <f>IF(YEAR($B142)*100+MONTH($B142)&lt;--SUBSTITUTE(_xlfn.XLOOKUP("Nobe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Aparments",Movimientos!$B$1:$B$1324,"&lt;="&amp;$B142))</f>
        <v>240356.58</v>
      </c>
      <c r="AD142" s="24">
        <f>IF(YEAR($B142)*100+MONTH($B142)&lt;--SUBSTITUTE(_xlfn.XLOOKUP("Don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Life",Movimientos!$B$1:$B$1324,"&lt;="&amp;$B142))</f>
        <v>327985.82999999996</v>
      </c>
      <c r="AE142" s="25">
        <f t="shared" si="6"/>
        <v>6502351.5599999987</v>
      </c>
    </row>
    <row r="143" spans="1:31" outlineLevel="1" x14ac:dyDescent="0.3">
      <c r="A143" s="22">
        <f t="shared" si="5"/>
        <v>142</v>
      </c>
      <c r="B143" s="23">
        <v>46284</v>
      </c>
      <c r="C143" s="24">
        <f>SUMIFS('Saldos Iniciales'!$D:$D,'Saldos Iniciales'!$A:$A,"CFT Group")+SUMIFS(Movimientos!$K$1:$K$1324,Movimientos!$C$1:$C$1324,"CFT Group",Movimientos!$B$1:$B$1324,"&lt;="&amp;$B143)</f>
        <v>2322320.2500000005</v>
      </c>
      <c r="D143" s="24">
        <f>SUMIFS('Saldos Iniciales'!$D:$D,'Saldos Iniciales'!$A:$A,"M1B")+SUMIFS(Movimientos!$K$1:$K$1324,Movimientos!$C$1:$C$1324,"M1B",Movimientos!$B$1:$B$1324,"&lt;="&amp;$B143)</f>
        <v>100486.46000000017</v>
      </c>
      <c r="E143" s="24">
        <f>SUMIFS('Saldos Iniciales'!$D:$D,'Saldos Iniciales'!$A:$A,"Durand")+SUMIFS(Movimientos!$K$1:$K$1324,Movimientos!$C$1:$C$1324,"Durand",Movimientos!$B$1:$B$1324,"&lt;="&amp;$B143)</f>
        <v>1669.89</v>
      </c>
      <c r="F143" s="24">
        <f>SUMIFS('Saldos Iniciales'!$D:$D,'Saldos Iniciales'!$A:$A,"A&amp;M Imports")+SUMIFS(Movimientos!$K$1:$K$1324,Movimientos!$C$1:$C$1324,"A&amp;M Imports",Movimientos!$B$1:$B$1324,"&lt;="&amp;$B143)</f>
        <v>1425534.64</v>
      </c>
      <c r="G143" s="24">
        <f>SUMIFS('Saldos Iniciales'!$D:$D,'Saldos Iniciales'!$A:$A,"SSP Capital")+SUMIFS(Movimientos!$K$1:$K$1324,Movimientos!$C$1:$C$1324,"SSP Capital",Movimientos!$B$1:$B$1324,"&lt;="&amp;$B143)</f>
        <v>1070478.5299999996</v>
      </c>
      <c r="H143" s="24">
        <f>SUMIFS('Saldos Iniciales'!$D:$D,'Saldos Iniciales'!$A:$A,"Cross Family Trust")+SUMIFS(Movimientos!$K$1:$K$1324,Movimientos!$C$1:$C$1324,"Cross Family Trust",Movimientos!$B$1:$B$1324,"&lt;="&amp;$B143)</f>
        <v>229778.14</v>
      </c>
      <c r="I143" s="24">
        <f>SUMIFS('Saldos Iniciales'!$D:$D,'Saldos Iniciales'!$A:$A,"Cross Security Trust")+SUMIFS(Movimientos!$K$1:$K$1324,Movimientos!$C$1:$C$1324,"Cross Security Trust",Movimientos!$B$1:$B$1324,"&lt;="&amp;$B143)</f>
        <v>217688.58</v>
      </c>
      <c r="J143" s="24">
        <f>SUMIFS('Saldos Iniciales'!$D:$D,'Saldos Iniciales'!$A:$A,"Electrama")+SUMIFS(Movimientos!$K$1:$K$1324,Movimientos!$C$1:$C$1324,"Electrama",Movimientos!$B$1:$B$1324,"&lt;="&amp;$B143)</f>
        <v>11744.75</v>
      </c>
      <c r="K143" s="24">
        <f>SUMIFS('Saldos Iniciales'!$D:$D,'Saldos Iniciales'!$A:$A,"Sacred Valley Capital")+SUMIFS(Movimientos!$K$1:$K$1324,Movimientos!$C$1:$C$1324,"Sacred Valley Capital",Movimientos!$B$1:$B$1324,"&lt;="&amp;$B143)</f>
        <v>94.5</v>
      </c>
      <c r="L143" s="24">
        <f>SUMIFS('Saldos Iniciales'!$D:$D,'Saldos Iniciales'!$A:$A,"YWC Capital")+SUMIFS(Movimientos!$K$1:$K$1324,Movimientos!$C$1:$C$1324,"YWC Capital",Movimientos!$B$1:$B$1324,"&lt;="&amp;$B143)</f>
        <v>2147.92</v>
      </c>
      <c r="M143" s="24">
        <f>SUMIFS('Saldos Iniciales'!$D:$D,'Saldos Iniciales'!$A:$A,"Soweto")+SUMIFS(Movimientos!$K$1:$K$1324,Movimientos!$C$1:$C$1324,"Soweto",Movimientos!$B$1:$B$1324,"&lt;="&amp;$B143)</f>
        <v>17895.290000000015</v>
      </c>
      <c r="N143" s="24">
        <f>SUMIFS('Saldos Iniciales'!$D:$D,'Saldos Iniciales'!$A:$A,"Green Stone Trust")+SUMIFS(Movimientos!$K$1:$K$1324,Movimientos!$C$1:$C$1324,"Green Stone Trust",Movimientos!$B$1:$B$1324,"&lt;="&amp;$B143)</f>
        <v>1968.99</v>
      </c>
      <c r="O143" s="24">
        <f>SUMIFS('Saldos Iniciales'!$D:$D,'Saldos Iniciales'!$A:$A,"EC Auto")+SUMIFS(Movimientos!$K$1:$K$1324,Movimientos!$C$1:$C$1324,"EC Auto",Movimientos!$B$1:$B$1324,"&lt;="&amp;$B143)</f>
        <v>901.34</v>
      </c>
      <c r="P143" s="24">
        <f>SUMIFS('Saldos Iniciales'!$D:$D,'Saldos Iniciales'!$A:$A,"Arbor Capital Properties")+SUMIFS(Movimientos!$K$1:$K$1324,Movimientos!$C$1:$C$1324,"Arbor Capital Properties",Movimientos!$B$1:$B$1324,"&lt;="&amp;$B143)</f>
        <v>1380.08</v>
      </c>
      <c r="Q143" s="24">
        <f>SUMIFS('Saldos Iniciales'!$D:$D,'Saldos Iniciales'!$A:$A,"2515 Overbrook")+SUMIFS(Movimientos!$K$1:$K$1324,Movimientos!$C$1:$C$1324,"2515 Overbrook",Movimientos!$B$1:$B$1324,"&lt;="&amp;$B143)</f>
        <v>30277.379999999961</v>
      </c>
      <c r="R143" s="24">
        <f>SUMIFS('Saldos Iniciales'!$D:$D,'Saldos Iniciales'!$A:$A,"112 Florida Ave")+SUMIFS(Movimientos!$K$1:$K$1324,Movimientos!$C$1:$C$1324,"112 Florida Ave",Movimientos!$B$1:$B$1324,"&lt;="&amp;$B143)</f>
        <v>16282.630000000006</v>
      </c>
      <c r="S143" s="24">
        <f>SUMIFS('Saldos Iniciales'!$D:$D,'Saldos Iniciales'!$A:$A,"3628 Thomas Ave")+SUMIFS(Movimientos!$K$1:$K$1324,Movimientos!$C$1:$C$1324,"3628 Thomas Ave",Movimientos!$B$1:$B$1324,"&lt;="&amp;$B143)</f>
        <v>13685.999999999996</v>
      </c>
      <c r="T143" s="24">
        <f>SUMIFS('Saldos Iniciales'!$D:$D,'Saldos Iniciales'!$A:$A,"Green Harbor Trust")+SUMIFS(Movimientos!$K$1:$K$1324,Movimientos!$C$1:$C$1324,"Green Harbor Trust",Movimientos!$B$1:$B$1324,"&lt;="&amp;$B143)</f>
        <v>345</v>
      </c>
      <c r="U143" s="24">
        <f>SUMIFS('Saldos Iniciales'!$D:$D,'Saldos Iniciales'!$A:$A,"Go Blue")+SUMIFS(Movimientos!$K$1:$K$1324,Movimientos!$C$1:$C$1324,"Go Blue",Movimientos!$B$1:$B$1324,"&lt;="&amp;$B143)</f>
        <v>16120.660000000002</v>
      </c>
      <c r="V143" s="24">
        <f>IF(YEAR($B143)*100+MONTH($B143)&lt;--SUBSTITUTE(_xlfn.XLOOKUP("Pacha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LLC",Movimientos!$B$1:$B$1324,"&lt;="&amp;$B143))</f>
        <v>312415.12000000005</v>
      </c>
      <c r="W143" s="24">
        <f>IF(YEAR($B143)*100+MONTH($B143)&lt;--SUBSTITUTE(_xlfn.XLOOKUP("*CFT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Residence",Movimientos!$B$1:$B$1324,"&lt;="&amp;$B143))</f>
        <v>103560.93000000001</v>
      </c>
      <c r="X143" s="24">
        <f>IF(YEAR($B143)*100+MONTH($B143)&lt;--SUBSTITUTE(_xlfn.XLOOKUP("Carmen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Trust",Movimientos!$B$1:$B$1324,"&lt;="&amp;$B143))</f>
        <v>3631.96</v>
      </c>
      <c r="Y143" s="24">
        <f>IF(YEAR($B143)*100+MONTH($B143)&lt;--SUBSTITUTE(_xlfn.XLOOKUP("SIYP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LLC",Movimientos!$B$1:$B$1324,"&lt;="&amp;$B143))</f>
        <v>604.80000000000018</v>
      </c>
      <c r="Z143" s="24">
        <f>IF(YEAR($B143)*100+MONTH($B143)&lt;--SUBSTITUTE(_xlfn.XLOOKUP("Prendamas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SRL",Movimientos!$B$1:$B$1324,"&lt;="&amp;$B143))</f>
        <v>26755.729999999981</v>
      </c>
      <c r="AA143" s="24">
        <f>IF(YEAR($B143)*100+MONTH($B143)&lt;--SUBSTITUTE(_xlfn.XLOOKUP("360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LLC",Movimientos!$B$1:$B$1324,"&lt;="&amp;$B143))</f>
        <v>794.01</v>
      </c>
      <c r="AB143" s="24">
        <f>IF(YEAR($B143)*100+MONTH($B143)&lt;--SUBSTITUTE(_xlfn.XLOOKUP("Five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",Movimientos!$B$1:$B$1324,"&lt;="&amp;$B143))</f>
        <v>5445.57</v>
      </c>
      <c r="AC143" s="24">
        <f>IF(YEAR($B143)*100+MONTH($B143)&lt;--SUBSTITUTE(_xlfn.XLOOKUP("Nobe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Aparments",Movimientos!$B$1:$B$1324,"&lt;="&amp;$B143))</f>
        <v>240356.58</v>
      </c>
      <c r="AD143" s="24">
        <f>IF(YEAR($B143)*100+MONTH($B143)&lt;--SUBSTITUTE(_xlfn.XLOOKUP("Don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Life",Movimientos!$B$1:$B$1324,"&lt;="&amp;$B143))</f>
        <v>327985.82999999996</v>
      </c>
      <c r="AE143" s="25">
        <f t="shared" si="6"/>
        <v>6502351.5599999987</v>
      </c>
    </row>
    <row r="144" spans="1:31" outlineLevel="1" x14ac:dyDescent="0.3">
      <c r="A144" s="22">
        <f t="shared" si="5"/>
        <v>143</v>
      </c>
      <c r="B144" s="23">
        <v>46285</v>
      </c>
      <c r="C144" s="24">
        <f>SUMIFS('Saldos Iniciales'!$D:$D,'Saldos Iniciales'!$A:$A,"CFT Group")+SUMIFS(Movimientos!$K$1:$K$1324,Movimientos!$C$1:$C$1324,"CFT Group",Movimientos!$B$1:$B$1324,"&lt;="&amp;$B144)</f>
        <v>2322320.2500000005</v>
      </c>
      <c r="D144" s="24">
        <f>SUMIFS('Saldos Iniciales'!$D:$D,'Saldos Iniciales'!$A:$A,"M1B")+SUMIFS(Movimientos!$K$1:$K$1324,Movimientos!$C$1:$C$1324,"M1B",Movimientos!$B$1:$B$1324,"&lt;="&amp;$B144)</f>
        <v>100486.46000000017</v>
      </c>
      <c r="E144" s="24">
        <f>SUMIFS('Saldos Iniciales'!$D:$D,'Saldos Iniciales'!$A:$A,"Durand")+SUMIFS(Movimientos!$K$1:$K$1324,Movimientos!$C$1:$C$1324,"Durand",Movimientos!$B$1:$B$1324,"&lt;="&amp;$B144)</f>
        <v>1669.89</v>
      </c>
      <c r="F144" s="24">
        <f>SUMIFS('Saldos Iniciales'!$D:$D,'Saldos Iniciales'!$A:$A,"A&amp;M Imports")+SUMIFS(Movimientos!$K$1:$K$1324,Movimientos!$C$1:$C$1324,"A&amp;M Imports",Movimientos!$B$1:$B$1324,"&lt;="&amp;$B144)</f>
        <v>1425534.64</v>
      </c>
      <c r="G144" s="24">
        <f>SUMIFS('Saldos Iniciales'!$D:$D,'Saldos Iniciales'!$A:$A,"SSP Capital")+SUMIFS(Movimientos!$K$1:$K$1324,Movimientos!$C$1:$C$1324,"SSP Capital",Movimientos!$B$1:$B$1324,"&lt;="&amp;$B144)</f>
        <v>1070478.5299999996</v>
      </c>
      <c r="H144" s="24">
        <f>SUMIFS('Saldos Iniciales'!$D:$D,'Saldos Iniciales'!$A:$A,"Cross Family Trust")+SUMIFS(Movimientos!$K$1:$K$1324,Movimientos!$C$1:$C$1324,"Cross Family Trust",Movimientos!$B$1:$B$1324,"&lt;="&amp;$B144)</f>
        <v>229778.14</v>
      </c>
      <c r="I144" s="24">
        <f>SUMIFS('Saldos Iniciales'!$D:$D,'Saldos Iniciales'!$A:$A,"Cross Security Trust")+SUMIFS(Movimientos!$K$1:$K$1324,Movimientos!$C$1:$C$1324,"Cross Security Trust",Movimientos!$B$1:$B$1324,"&lt;="&amp;$B144)</f>
        <v>217688.58</v>
      </c>
      <c r="J144" s="24">
        <f>SUMIFS('Saldos Iniciales'!$D:$D,'Saldos Iniciales'!$A:$A,"Electrama")+SUMIFS(Movimientos!$K$1:$K$1324,Movimientos!$C$1:$C$1324,"Electrama",Movimientos!$B$1:$B$1324,"&lt;="&amp;$B144)</f>
        <v>11744.75</v>
      </c>
      <c r="K144" s="24">
        <f>SUMIFS('Saldos Iniciales'!$D:$D,'Saldos Iniciales'!$A:$A,"Sacred Valley Capital")+SUMIFS(Movimientos!$K$1:$K$1324,Movimientos!$C$1:$C$1324,"Sacred Valley Capital",Movimientos!$B$1:$B$1324,"&lt;="&amp;$B144)</f>
        <v>94.5</v>
      </c>
      <c r="L144" s="24">
        <f>SUMIFS('Saldos Iniciales'!$D:$D,'Saldos Iniciales'!$A:$A,"YWC Capital")+SUMIFS(Movimientos!$K$1:$K$1324,Movimientos!$C$1:$C$1324,"YWC Capital",Movimientos!$B$1:$B$1324,"&lt;="&amp;$B144)</f>
        <v>2147.92</v>
      </c>
      <c r="M144" s="24">
        <f>SUMIFS('Saldos Iniciales'!$D:$D,'Saldos Iniciales'!$A:$A,"Soweto")+SUMIFS(Movimientos!$K$1:$K$1324,Movimientos!$C$1:$C$1324,"Soweto",Movimientos!$B$1:$B$1324,"&lt;="&amp;$B144)</f>
        <v>17895.290000000015</v>
      </c>
      <c r="N144" s="24">
        <f>SUMIFS('Saldos Iniciales'!$D:$D,'Saldos Iniciales'!$A:$A,"Green Stone Trust")+SUMIFS(Movimientos!$K$1:$K$1324,Movimientos!$C$1:$C$1324,"Green Stone Trust",Movimientos!$B$1:$B$1324,"&lt;="&amp;$B144)</f>
        <v>1968.99</v>
      </c>
      <c r="O144" s="24">
        <f>SUMIFS('Saldos Iniciales'!$D:$D,'Saldos Iniciales'!$A:$A,"EC Auto")+SUMIFS(Movimientos!$K$1:$K$1324,Movimientos!$C$1:$C$1324,"EC Auto",Movimientos!$B$1:$B$1324,"&lt;="&amp;$B144)</f>
        <v>901.34</v>
      </c>
      <c r="P144" s="24">
        <f>SUMIFS('Saldos Iniciales'!$D:$D,'Saldos Iniciales'!$A:$A,"Arbor Capital Properties")+SUMIFS(Movimientos!$K$1:$K$1324,Movimientos!$C$1:$C$1324,"Arbor Capital Properties",Movimientos!$B$1:$B$1324,"&lt;="&amp;$B144)</f>
        <v>1380.08</v>
      </c>
      <c r="Q144" s="24">
        <f>SUMIFS('Saldos Iniciales'!$D:$D,'Saldos Iniciales'!$A:$A,"2515 Overbrook")+SUMIFS(Movimientos!$K$1:$K$1324,Movimientos!$C$1:$C$1324,"2515 Overbrook",Movimientos!$B$1:$B$1324,"&lt;="&amp;$B144)</f>
        <v>30277.379999999961</v>
      </c>
      <c r="R144" s="24">
        <f>SUMIFS('Saldos Iniciales'!$D:$D,'Saldos Iniciales'!$A:$A,"112 Florida Ave")+SUMIFS(Movimientos!$K$1:$K$1324,Movimientos!$C$1:$C$1324,"112 Florida Ave",Movimientos!$B$1:$B$1324,"&lt;="&amp;$B144)</f>
        <v>16282.630000000006</v>
      </c>
      <c r="S144" s="24">
        <f>SUMIFS('Saldos Iniciales'!$D:$D,'Saldos Iniciales'!$A:$A,"3628 Thomas Ave")+SUMIFS(Movimientos!$K$1:$K$1324,Movimientos!$C$1:$C$1324,"3628 Thomas Ave",Movimientos!$B$1:$B$1324,"&lt;="&amp;$B144)</f>
        <v>13685.999999999996</v>
      </c>
      <c r="T144" s="24">
        <f>SUMIFS('Saldos Iniciales'!$D:$D,'Saldos Iniciales'!$A:$A,"Green Harbor Trust")+SUMIFS(Movimientos!$K$1:$K$1324,Movimientos!$C$1:$C$1324,"Green Harbor Trust",Movimientos!$B$1:$B$1324,"&lt;="&amp;$B144)</f>
        <v>345</v>
      </c>
      <c r="U144" s="24">
        <f>SUMIFS('Saldos Iniciales'!$D:$D,'Saldos Iniciales'!$A:$A,"Go Blue")+SUMIFS(Movimientos!$K$1:$K$1324,Movimientos!$C$1:$C$1324,"Go Blue",Movimientos!$B$1:$B$1324,"&lt;="&amp;$B144)</f>
        <v>16120.660000000002</v>
      </c>
      <c r="V144" s="24">
        <f>IF(YEAR($B144)*100+MONTH($B144)&lt;--SUBSTITUTE(_xlfn.XLOOKUP("Pacha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LLC",Movimientos!$B$1:$B$1324,"&lt;="&amp;$B144))</f>
        <v>312415.12000000005</v>
      </c>
      <c r="W144" s="24">
        <f>IF(YEAR($B144)*100+MONTH($B144)&lt;--SUBSTITUTE(_xlfn.XLOOKUP("*CFT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Residence",Movimientos!$B$1:$B$1324,"&lt;="&amp;$B144))</f>
        <v>103560.93000000001</v>
      </c>
      <c r="X144" s="24">
        <f>IF(YEAR($B144)*100+MONTH($B144)&lt;--SUBSTITUTE(_xlfn.XLOOKUP("Carmen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Trust",Movimientos!$B$1:$B$1324,"&lt;="&amp;$B144))</f>
        <v>3631.96</v>
      </c>
      <c r="Y144" s="24">
        <f>IF(YEAR($B144)*100+MONTH($B144)&lt;--SUBSTITUTE(_xlfn.XLOOKUP("SIYP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LLC",Movimientos!$B$1:$B$1324,"&lt;="&amp;$B144))</f>
        <v>604.80000000000018</v>
      </c>
      <c r="Z144" s="24">
        <f>IF(YEAR($B144)*100+MONTH($B144)&lt;--SUBSTITUTE(_xlfn.XLOOKUP("Prendamas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SRL",Movimientos!$B$1:$B$1324,"&lt;="&amp;$B144))</f>
        <v>26755.729999999981</v>
      </c>
      <c r="AA144" s="24">
        <f>IF(YEAR($B144)*100+MONTH($B144)&lt;--SUBSTITUTE(_xlfn.XLOOKUP("360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LLC",Movimientos!$B$1:$B$1324,"&lt;="&amp;$B144))</f>
        <v>794.01</v>
      </c>
      <c r="AB144" s="24">
        <f>IF(YEAR($B144)*100+MONTH($B144)&lt;--SUBSTITUTE(_xlfn.XLOOKUP("Five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",Movimientos!$B$1:$B$1324,"&lt;="&amp;$B144))</f>
        <v>5445.57</v>
      </c>
      <c r="AC144" s="24">
        <f>IF(YEAR($B144)*100+MONTH($B144)&lt;--SUBSTITUTE(_xlfn.XLOOKUP("Nobe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Aparments",Movimientos!$B$1:$B$1324,"&lt;="&amp;$B144))</f>
        <v>240356.58</v>
      </c>
      <c r="AD144" s="24">
        <f>IF(YEAR($B144)*100+MONTH($B144)&lt;--SUBSTITUTE(_xlfn.XLOOKUP("Don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Life",Movimientos!$B$1:$B$1324,"&lt;="&amp;$B144))</f>
        <v>327985.82999999996</v>
      </c>
      <c r="AE144" s="25">
        <f t="shared" si="6"/>
        <v>6502351.5599999987</v>
      </c>
    </row>
    <row r="145" spans="1:31" outlineLevel="1" x14ac:dyDescent="0.3">
      <c r="A145" s="22">
        <f t="shared" si="5"/>
        <v>144</v>
      </c>
      <c r="B145" s="23">
        <v>46286</v>
      </c>
      <c r="C145" s="24">
        <f>SUMIFS('Saldos Iniciales'!$D:$D,'Saldos Iniciales'!$A:$A,"CFT Group")+SUMIFS(Movimientos!$K$1:$K$1324,Movimientos!$C$1:$C$1324,"CFT Group",Movimientos!$B$1:$B$1324,"&lt;="&amp;$B145)</f>
        <v>2322320.2500000005</v>
      </c>
      <c r="D145" s="24">
        <f>SUMIFS('Saldos Iniciales'!$D:$D,'Saldos Iniciales'!$A:$A,"M1B")+SUMIFS(Movimientos!$K$1:$K$1324,Movimientos!$C$1:$C$1324,"M1B",Movimientos!$B$1:$B$1324,"&lt;="&amp;$B145)</f>
        <v>100486.46000000017</v>
      </c>
      <c r="E145" s="24">
        <f>SUMIFS('Saldos Iniciales'!$D:$D,'Saldos Iniciales'!$A:$A,"Durand")+SUMIFS(Movimientos!$K$1:$K$1324,Movimientos!$C$1:$C$1324,"Durand",Movimientos!$B$1:$B$1324,"&lt;="&amp;$B145)</f>
        <v>1669.89</v>
      </c>
      <c r="F145" s="24">
        <f>SUMIFS('Saldos Iniciales'!$D:$D,'Saldos Iniciales'!$A:$A,"A&amp;M Imports")+SUMIFS(Movimientos!$K$1:$K$1324,Movimientos!$C$1:$C$1324,"A&amp;M Imports",Movimientos!$B$1:$B$1324,"&lt;="&amp;$B145)</f>
        <v>1453603.3599999999</v>
      </c>
      <c r="G145" s="24">
        <f>SUMIFS('Saldos Iniciales'!$D:$D,'Saldos Iniciales'!$A:$A,"SSP Capital")+SUMIFS(Movimientos!$K$1:$K$1324,Movimientos!$C$1:$C$1324,"SSP Capital",Movimientos!$B$1:$B$1324,"&lt;="&amp;$B145)</f>
        <v>1066496.7899999996</v>
      </c>
      <c r="H145" s="24">
        <f>SUMIFS('Saldos Iniciales'!$D:$D,'Saldos Iniciales'!$A:$A,"Cross Family Trust")+SUMIFS(Movimientos!$K$1:$K$1324,Movimientos!$C$1:$C$1324,"Cross Family Trust",Movimientos!$B$1:$B$1324,"&lt;="&amp;$B145)</f>
        <v>229778.14</v>
      </c>
      <c r="I145" s="24">
        <f>SUMIFS('Saldos Iniciales'!$D:$D,'Saldos Iniciales'!$A:$A,"Cross Security Trust")+SUMIFS(Movimientos!$K$1:$K$1324,Movimientos!$C$1:$C$1324,"Cross Security Trust",Movimientos!$B$1:$B$1324,"&lt;="&amp;$B145)</f>
        <v>217688.58</v>
      </c>
      <c r="J145" s="24">
        <f>SUMIFS('Saldos Iniciales'!$D:$D,'Saldos Iniciales'!$A:$A,"Electrama")+SUMIFS(Movimientos!$K$1:$K$1324,Movimientos!$C$1:$C$1324,"Electrama",Movimientos!$B$1:$B$1324,"&lt;="&amp;$B145)</f>
        <v>11744.75</v>
      </c>
      <c r="K145" s="24">
        <f>SUMIFS('Saldos Iniciales'!$D:$D,'Saldos Iniciales'!$A:$A,"Sacred Valley Capital")+SUMIFS(Movimientos!$K$1:$K$1324,Movimientos!$C$1:$C$1324,"Sacred Valley Capital",Movimientos!$B$1:$B$1324,"&lt;="&amp;$B145)</f>
        <v>94.5</v>
      </c>
      <c r="L145" s="24">
        <f>SUMIFS('Saldos Iniciales'!$D:$D,'Saldos Iniciales'!$A:$A,"YWC Capital")+SUMIFS(Movimientos!$K$1:$K$1324,Movimientos!$C$1:$C$1324,"YWC Capital",Movimientos!$B$1:$B$1324,"&lt;="&amp;$B145)</f>
        <v>2147.92</v>
      </c>
      <c r="M145" s="24">
        <f>SUMIFS('Saldos Iniciales'!$D:$D,'Saldos Iniciales'!$A:$A,"Soweto")+SUMIFS(Movimientos!$K$1:$K$1324,Movimientos!$C$1:$C$1324,"Soweto",Movimientos!$B$1:$B$1324,"&lt;="&amp;$B145)</f>
        <v>17895.290000000015</v>
      </c>
      <c r="N145" s="24">
        <f>SUMIFS('Saldos Iniciales'!$D:$D,'Saldos Iniciales'!$A:$A,"Green Stone Trust")+SUMIFS(Movimientos!$K$1:$K$1324,Movimientos!$C$1:$C$1324,"Green Stone Trust",Movimientos!$B$1:$B$1324,"&lt;="&amp;$B145)</f>
        <v>1968.99</v>
      </c>
      <c r="O145" s="24">
        <f>SUMIFS('Saldos Iniciales'!$D:$D,'Saldos Iniciales'!$A:$A,"EC Auto")+SUMIFS(Movimientos!$K$1:$K$1324,Movimientos!$C$1:$C$1324,"EC Auto",Movimientos!$B$1:$B$1324,"&lt;="&amp;$B145)</f>
        <v>901.34</v>
      </c>
      <c r="P145" s="24">
        <f>SUMIFS('Saldos Iniciales'!$D:$D,'Saldos Iniciales'!$A:$A,"Arbor Capital Properties")+SUMIFS(Movimientos!$K$1:$K$1324,Movimientos!$C$1:$C$1324,"Arbor Capital Properties",Movimientos!$B$1:$B$1324,"&lt;="&amp;$B145)</f>
        <v>1380.08</v>
      </c>
      <c r="Q145" s="24">
        <f>SUMIFS('Saldos Iniciales'!$D:$D,'Saldos Iniciales'!$A:$A,"2515 Overbrook")+SUMIFS(Movimientos!$K$1:$K$1324,Movimientos!$C$1:$C$1324,"2515 Overbrook",Movimientos!$B$1:$B$1324,"&lt;="&amp;$B145)</f>
        <v>30277.379999999961</v>
      </c>
      <c r="R145" s="24">
        <f>SUMIFS('Saldos Iniciales'!$D:$D,'Saldos Iniciales'!$A:$A,"112 Florida Ave")+SUMIFS(Movimientos!$K$1:$K$1324,Movimientos!$C$1:$C$1324,"112 Florida Ave",Movimientos!$B$1:$B$1324,"&lt;="&amp;$B145)</f>
        <v>16282.630000000006</v>
      </c>
      <c r="S145" s="24">
        <f>SUMIFS('Saldos Iniciales'!$D:$D,'Saldos Iniciales'!$A:$A,"3628 Thomas Ave")+SUMIFS(Movimientos!$K$1:$K$1324,Movimientos!$C$1:$C$1324,"3628 Thomas Ave",Movimientos!$B$1:$B$1324,"&lt;="&amp;$B145)</f>
        <v>13685.999999999996</v>
      </c>
      <c r="T145" s="24">
        <f>SUMIFS('Saldos Iniciales'!$D:$D,'Saldos Iniciales'!$A:$A,"Green Harbor Trust")+SUMIFS(Movimientos!$K$1:$K$1324,Movimientos!$C$1:$C$1324,"Green Harbor Trust",Movimientos!$B$1:$B$1324,"&lt;="&amp;$B145)</f>
        <v>345</v>
      </c>
      <c r="U145" s="24">
        <f>SUMIFS('Saldos Iniciales'!$D:$D,'Saldos Iniciales'!$A:$A,"Go Blue")+SUMIFS(Movimientos!$K$1:$K$1324,Movimientos!$C$1:$C$1324,"Go Blue",Movimientos!$B$1:$B$1324,"&lt;="&amp;$B145)</f>
        <v>15349.190000000002</v>
      </c>
      <c r="V145" s="24">
        <f>IF(YEAR($B145)*100+MONTH($B145)&lt;--SUBSTITUTE(_xlfn.XLOOKUP("Pacha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LLC",Movimientos!$B$1:$B$1324,"&lt;="&amp;$B145))</f>
        <v>312415.12000000005</v>
      </c>
      <c r="W145" s="24">
        <f>IF(YEAR($B145)*100+MONTH($B145)&lt;--SUBSTITUTE(_xlfn.XLOOKUP("*CFT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Residence",Movimientos!$B$1:$B$1324,"&lt;="&amp;$B145))</f>
        <v>103560.93000000001</v>
      </c>
      <c r="X145" s="24">
        <f>IF(YEAR($B145)*100+MONTH($B145)&lt;--SUBSTITUTE(_xlfn.XLOOKUP("Carmen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Trust",Movimientos!$B$1:$B$1324,"&lt;="&amp;$B145))</f>
        <v>3631.96</v>
      </c>
      <c r="Y145" s="24">
        <f>IF(YEAR($B145)*100+MONTH($B145)&lt;--SUBSTITUTE(_xlfn.XLOOKUP("SIYP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LLC",Movimientos!$B$1:$B$1324,"&lt;="&amp;$B145))</f>
        <v>604.80000000000018</v>
      </c>
      <c r="Z145" s="24">
        <f>IF(YEAR($B145)*100+MONTH($B145)&lt;--SUBSTITUTE(_xlfn.XLOOKUP("Prendamas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SRL",Movimientos!$B$1:$B$1324,"&lt;="&amp;$B145))</f>
        <v>25507.15999999996</v>
      </c>
      <c r="AA145" s="24">
        <f>IF(YEAR($B145)*100+MONTH($B145)&lt;--SUBSTITUTE(_xlfn.XLOOKUP("360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LLC",Movimientos!$B$1:$B$1324,"&lt;="&amp;$B145))</f>
        <v>794.01</v>
      </c>
      <c r="AB145" s="24">
        <f>IF(YEAR($B145)*100+MONTH($B145)&lt;--SUBSTITUTE(_xlfn.XLOOKUP("Five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",Movimientos!$B$1:$B$1324,"&lt;="&amp;$B145))</f>
        <v>5445.57</v>
      </c>
      <c r="AC145" s="24">
        <f>IF(YEAR($B145)*100+MONTH($B145)&lt;--SUBSTITUTE(_xlfn.XLOOKUP("Nobe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Aparments",Movimientos!$B$1:$B$1324,"&lt;="&amp;$B145))</f>
        <v>239950.84</v>
      </c>
      <c r="AD145" s="24">
        <f>IF(YEAR($B145)*100+MONTH($B145)&lt;--SUBSTITUTE(_xlfn.XLOOKUP("Don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Life",Movimientos!$B$1:$B$1324,"&lt;="&amp;$B145))</f>
        <v>327985.82999999996</v>
      </c>
      <c r="AE145" s="25">
        <f t="shared" si="6"/>
        <v>6524012.7599999998</v>
      </c>
    </row>
    <row r="146" spans="1:31" outlineLevel="1" x14ac:dyDescent="0.3">
      <c r="A146" s="22">
        <f t="shared" si="5"/>
        <v>145</v>
      </c>
      <c r="B146" s="23">
        <v>46287</v>
      </c>
      <c r="C146" s="24">
        <f>SUMIFS('Saldos Iniciales'!$D:$D,'Saldos Iniciales'!$A:$A,"CFT Group")+SUMIFS(Movimientos!$K$1:$K$1324,Movimientos!$C$1:$C$1324,"CFT Group",Movimientos!$B$1:$B$1324,"&lt;="&amp;$B146)</f>
        <v>2322320.2500000005</v>
      </c>
      <c r="D146" s="24">
        <f>SUMIFS('Saldos Iniciales'!$D:$D,'Saldos Iniciales'!$A:$A,"M1B")+SUMIFS(Movimientos!$K$1:$K$1324,Movimientos!$C$1:$C$1324,"M1B",Movimientos!$B$1:$B$1324,"&lt;="&amp;$B146)</f>
        <v>100486.46000000017</v>
      </c>
      <c r="E146" s="24">
        <f>SUMIFS('Saldos Iniciales'!$D:$D,'Saldos Iniciales'!$A:$A,"Durand")+SUMIFS(Movimientos!$K$1:$K$1324,Movimientos!$C$1:$C$1324,"Durand",Movimientos!$B$1:$B$1324,"&lt;="&amp;$B146)</f>
        <v>1669.89</v>
      </c>
      <c r="F146" s="24">
        <f>SUMIFS('Saldos Iniciales'!$D:$D,'Saldos Iniciales'!$A:$A,"A&amp;M Imports")+SUMIFS(Movimientos!$K$1:$K$1324,Movimientos!$C$1:$C$1324,"A&amp;M Imports",Movimientos!$B$1:$B$1324,"&lt;="&amp;$B146)</f>
        <v>1453603.3599999999</v>
      </c>
      <c r="G146" s="24">
        <f>SUMIFS('Saldos Iniciales'!$D:$D,'Saldos Iniciales'!$A:$A,"SSP Capital")+SUMIFS(Movimientos!$K$1:$K$1324,Movimientos!$C$1:$C$1324,"SSP Capital",Movimientos!$B$1:$B$1324,"&lt;="&amp;$B146)</f>
        <v>1065733.7999999996</v>
      </c>
      <c r="H146" s="24">
        <f>SUMIFS('Saldos Iniciales'!$D:$D,'Saldos Iniciales'!$A:$A,"Cross Family Trust")+SUMIFS(Movimientos!$K$1:$K$1324,Movimientos!$C$1:$C$1324,"Cross Family Trust",Movimientos!$B$1:$B$1324,"&lt;="&amp;$B146)</f>
        <v>229778.14</v>
      </c>
      <c r="I146" s="24">
        <f>SUMIFS('Saldos Iniciales'!$D:$D,'Saldos Iniciales'!$A:$A,"Cross Security Trust")+SUMIFS(Movimientos!$K$1:$K$1324,Movimientos!$C$1:$C$1324,"Cross Security Trust",Movimientos!$B$1:$B$1324,"&lt;="&amp;$B146)</f>
        <v>217688.58</v>
      </c>
      <c r="J146" s="24">
        <f>SUMIFS('Saldos Iniciales'!$D:$D,'Saldos Iniciales'!$A:$A,"Electrama")+SUMIFS(Movimientos!$K$1:$K$1324,Movimientos!$C$1:$C$1324,"Electrama",Movimientos!$B$1:$B$1324,"&lt;="&amp;$B146)</f>
        <v>11744.75</v>
      </c>
      <c r="K146" s="24">
        <f>SUMIFS('Saldos Iniciales'!$D:$D,'Saldos Iniciales'!$A:$A,"Sacred Valley Capital")+SUMIFS(Movimientos!$K$1:$K$1324,Movimientos!$C$1:$C$1324,"Sacred Valley Capital",Movimientos!$B$1:$B$1324,"&lt;="&amp;$B146)</f>
        <v>94.5</v>
      </c>
      <c r="L146" s="24">
        <f>SUMIFS('Saldos Iniciales'!$D:$D,'Saldos Iniciales'!$A:$A,"YWC Capital")+SUMIFS(Movimientos!$K$1:$K$1324,Movimientos!$C$1:$C$1324,"YWC Capital",Movimientos!$B$1:$B$1324,"&lt;="&amp;$B146)</f>
        <v>2147.92</v>
      </c>
      <c r="M146" s="24">
        <f>SUMIFS('Saldos Iniciales'!$D:$D,'Saldos Iniciales'!$A:$A,"Soweto")+SUMIFS(Movimientos!$K$1:$K$1324,Movimientos!$C$1:$C$1324,"Soweto",Movimientos!$B$1:$B$1324,"&lt;="&amp;$B146)</f>
        <v>17895.290000000015</v>
      </c>
      <c r="N146" s="24">
        <f>SUMIFS('Saldos Iniciales'!$D:$D,'Saldos Iniciales'!$A:$A,"Green Stone Trust")+SUMIFS(Movimientos!$K$1:$K$1324,Movimientos!$C$1:$C$1324,"Green Stone Trust",Movimientos!$B$1:$B$1324,"&lt;="&amp;$B146)</f>
        <v>1968.99</v>
      </c>
      <c r="O146" s="24">
        <f>SUMIFS('Saldos Iniciales'!$D:$D,'Saldos Iniciales'!$A:$A,"EC Auto")+SUMIFS(Movimientos!$K$1:$K$1324,Movimientos!$C$1:$C$1324,"EC Auto",Movimientos!$B$1:$B$1324,"&lt;="&amp;$B146)</f>
        <v>901.34</v>
      </c>
      <c r="P146" s="24">
        <f>SUMIFS('Saldos Iniciales'!$D:$D,'Saldos Iniciales'!$A:$A,"Arbor Capital Properties")+SUMIFS(Movimientos!$K$1:$K$1324,Movimientos!$C$1:$C$1324,"Arbor Capital Properties",Movimientos!$B$1:$B$1324,"&lt;="&amp;$B146)</f>
        <v>1380.08</v>
      </c>
      <c r="Q146" s="24">
        <f>SUMIFS('Saldos Iniciales'!$D:$D,'Saldos Iniciales'!$A:$A,"2515 Overbrook")+SUMIFS(Movimientos!$K$1:$K$1324,Movimientos!$C$1:$C$1324,"2515 Overbrook",Movimientos!$B$1:$B$1324,"&lt;="&amp;$B146)</f>
        <v>28714.879999999961</v>
      </c>
      <c r="R146" s="24">
        <f>SUMIFS('Saldos Iniciales'!$D:$D,'Saldos Iniciales'!$A:$A,"112 Florida Ave")+SUMIFS(Movimientos!$K$1:$K$1324,Movimientos!$C$1:$C$1324,"112 Florida Ave",Movimientos!$B$1:$B$1324,"&lt;="&amp;$B146)</f>
        <v>15162.600000000006</v>
      </c>
      <c r="S146" s="24">
        <f>SUMIFS('Saldos Iniciales'!$D:$D,'Saldos Iniciales'!$A:$A,"3628 Thomas Ave")+SUMIFS(Movimientos!$K$1:$K$1324,Movimientos!$C$1:$C$1324,"3628 Thomas Ave",Movimientos!$B$1:$B$1324,"&lt;="&amp;$B146)</f>
        <v>12937.859999999997</v>
      </c>
      <c r="T146" s="24">
        <f>SUMIFS('Saldos Iniciales'!$D:$D,'Saldos Iniciales'!$A:$A,"Green Harbor Trust")+SUMIFS(Movimientos!$K$1:$K$1324,Movimientos!$C$1:$C$1324,"Green Harbor Trust",Movimientos!$B$1:$B$1324,"&lt;="&amp;$B146)</f>
        <v>345</v>
      </c>
      <c r="U146" s="24">
        <f>SUMIFS('Saldos Iniciales'!$D:$D,'Saldos Iniciales'!$A:$A,"Go Blue")+SUMIFS(Movimientos!$K$1:$K$1324,Movimientos!$C$1:$C$1324,"Go Blue",Movimientos!$B$1:$B$1324,"&lt;="&amp;$B146)</f>
        <v>15349.190000000002</v>
      </c>
      <c r="V146" s="24">
        <f>IF(YEAR($B146)*100+MONTH($B146)&lt;--SUBSTITUTE(_xlfn.XLOOKUP("Pacha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LLC",Movimientos!$B$1:$B$1324,"&lt;="&amp;$B146))</f>
        <v>312415.12000000005</v>
      </c>
      <c r="W146" s="24">
        <f>IF(YEAR($B146)*100+MONTH($B146)&lt;--SUBSTITUTE(_xlfn.XLOOKUP("*CFT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Residence",Movimientos!$B$1:$B$1324,"&lt;="&amp;$B146))</f>
        <v>103560.93000000001</v>
      </c>
      <c r="X146" s="24">
        <f>IF(YEAR($B146)*100+MONTH($B146)&lt;--SUBSTITUTE(_xlfn.XLOOKUP("Carmen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Trust",Movimientos!$B$1:$B$1324,"&lt;="&amp;$B146))</f>
        <v>3631.96</v>
      </c>
      <c r="Y146" s="24">
        <f>IF(YEAR($B146)*100+MONTH($B146)&lt;--SUBSTITUTE(_xlfn.XLOOKUP("SIYP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LLC",Movimientos!$B$1:$B$1324,"&lt;="&amp;$B146))</f>
        <v>604.80000000000018</v>
      </c>
      <c r="Z146" s="24">
        <f>IF(YEAR($B146)*100+MONTH($B146)&lt;--SUBSTITUTE(_xlfn.XLOOKUP("Prendamas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SRL",Movimientos!$B$1:$B$1324,"&lt;="&amp;$B146))</f>
        <v>24944.219999999972</v>
      </c>
      <c r="AA146" s="24">
        <f>IF(YEAR($B146)*100+MONTH($B146)&lt;--SUBSTITUTE(_xlfn.XLOOKUP("360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LLC",Movimientos!$B$1:$B$1324,"&lt;="&amp;$B146))</f>
        <v>794.01</v>
      </c>
      <c r="AB146" s="24">
        <f>IF(YEAR($B146)*100+MONTH($B146)&lt;--SUBSTITUTE(_xlfn.XLOOKUP("Five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",Movimientos!$B$1:$B$1324,"&lt;="&amp;$B146))</f>
        <v>5445.57</v>
      </c>
      <c r="AC146" s="24">
        <f>IF(YEAR($B146)*100+MONTH($B146)&lt;--SUBSTITUTE(_xlfn.XLOOKUP("Nobe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Aparments",Movimientos!$B$1:$B$1324,"&lt;="&amp;$B146))</f>
        <v>234193.16999999998</v>
      </c>
      <c r="AD146" s="24">
        <f>IF(YEAR($B146)*100+MONTH($B146)&lt;--SUBSTITUTE(_xlfn.XLOOKUP("Don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Life",Movimientos!$B$1:$B$1324,"&lt;="&amp;$B146))</f>
        <v>327985.82999999996</v>
      </c>
      <c r="AE146" s="25">
        <f t="shared" si="6"/>
        <v>6513498.4899999993</v>
      </c>
    </row>
    <row r="147" spans="1:31" outlineLevel="1" x14ac:dyDescent="0.3">
      <c r="A147" s="22">
        <f t="shared" si="5"/>
        <v>146</v>
      </c>
      <c r="B147" s="23">
        <v>46288</v>
      </c>
      <c r="C147" s="24">
        <f>SUMIFS('Saldos Iniciales'!$D:$D,'Saldos Iniciales'!$A:$A,"CFT Group")+SUMIFS(Movimientos!$K$1:$K$1324,Movimientos!$C$1:$C$1324,"CFT Group",Movimientos!$B$1:$B$1324,"&lt;="&amp;$B147)</f>
        <v>2322320.2500000005</v>
      </c>
      <c r="D147" s="24">
        <f>SUMIFS('Saldos Iniciales'!$D:$D,'Saldos Iniciales'!$A:$A,"M1B")+SUMIFS(Movimientos!$K$1:$K$1324,Movimientos!$C$1:$C$1324,"M1B",Movimientos!$B$1:$B$1324,"&lt;="&amp;$B147)</f>
        <v>100486.46000000017</v>
      </c>
      <c r="E147" s="24">
        <f>SUMIFS('Saldos Iniciales'!$D:$D,'Saldos Iniciales'!$A:$A,"Durand")+SUMIFS(Movimientos!$K$1:$K$1324,Movimientos!$C$1:$C$1324,"Durand",Movimientos!$B$1:$B$1324,"&lt;="&amp;$B147)</f>
        <v>1669.89</v>
      </c>
      <c r="F147" s="24">
        <f>SUMIFS('Saldos Iniciales'!$D:$D,'Saldos Iniciales'!$A:$A,"A&amp;M Imports")+SUMIFS(Movimientos!$K$1:$K$1324,Movimientos!$C$1:$C$1324,"A&amp;M Imports",Movimientos!$B$1:$B$1324,"&lt;="&amp;$B147)</f>
        <v>1453603.3599999999</v>
      </c>
      <c r="G147" s="24">
        <f>SUMIFS('Saldos Iniciales'!$D:$D,'Saldos Iniciales'!$A:$A,"SSP Capital")+SUMIFS(Movimientos!$K$1:$K$1324,Movimientos!$C$1:$C$1324,"SSP Capital",Movimientos!$B$1:$B$1324,"&lt;="&amp;$B147)</f>
        <v>1065733.7999999996</v>
      </c>
      <c r="H147" s="24">
        <f>SUMIFS('Saldos Iniciales'!$D:$D,'Saldos Iniciales'!$A:$A,"Cross Family Trust")+SUMIFS(Movimientos!$K$1:$K$1324,Movimientos!$C$1:$C$1324,"Cross Family Trust",Movimientos!$B$1:$B$1324,"&lt;="&amp;$B147)</f>
        <v>229778.14</v>
      </c>
      <c r="I147" s="24">
        <f>SUMIFS('Saldos Iniciales'!$D:$D,'Saldos Iniciales'!$A:$A,"Cross Security Trust")+SUMIFS(Movimientos!$K$1:$K$1324,Movimientos!$C$1:$C$1324,"Cross Security Trust",Movimientos!$B$1:$B$1324,"&lt;="&amp;$B147)</f>
        <v>217688.58</v>
      </c>
      <c r="J147" s="24">
        <f>SUMIFS('Saldos Iniciales'!$D:$D,'Saldos Iniciales'!$A:$A,"Electrama")+SUMIFS(Movimientos!$K$1:$K$1324,Movimientos!$C$1:$C$1324,"Electrama",Movimientos!$B$1:$B$1324,"&lt;="&amp;$B147)</f>
        <v>11744.75</v>
      </c>
      <c r="K147" s="24">
        <f>SUMIFS('Saldos Iniciales'!$D:$D,'Saldos Iniciales'!$A:$A,"Sacred Valley Capital")+SUMIFS(Movimientos!$K$1:$K$1324,Movimientos!$C$1:$C$1324,"Sacred Valley Capital",Movimientos!$B$1:$B$1324,"&lt;="&amp;$B147)</f>
        <v>94.5</v>
      </c>
      <c r="L147" s="24">
        <f>SUMIFS('Saldos Iniciales'!$D:$D,'Saldos Iniciales'!$A:$A,"YWC Capital")+SUMIFS(Movimientos!$K$1:$K$1324,Movimientos!$C$1:$C$1324,"YWC Capital",Movimientos!$B$1:$B$1324,"&lt;="&amp;$B147)</f>
        <v>2147.92</v>
      </c>
      <c r="M147" s="24">
        <f>SUMIFS('Saldos Iniciales'!$D:$D,'Saldos Iniciales'!$A:$A,"Soweto")+SUMIFS(Movimientos!$K$1:$K$1324,Movimientos!$C$1:$C$1324,"Soweto",Movimientos!$B$1:$B$1324,"&lt;="&amp;$B147)</f>
        <v>17895.290000000015</v>
      </c>
      <c r="N147" s="24">
        <f>SUMIFS('Saldos Iniciales'!$D:$D,'Saldos Iniciales'!$A:$A,"Green Stone Trust")+SUMIFS(Movimientos!$K$1:$K$1324,Movimientos!$C$1:$C$1324,"Green Stone Trust",Movimientos!$B$1:$B$1324,"&lt;="&amp;$B147)</f>
        <v>1968.99</v>
      </c>
      <c r="O147" s="24">
        <f>SUMIFS('Saldos Iniciales'!$D:$D,'Saldos Iniciales'!$A:$A,"EC Auto")+SUMIFS(Movimientos!$K$1:$K$1324,Movimientos!$C$1:$C$1324,"EC Auto",Movimientos!$B$1:$B$1324,"&lt;="&amp;$B147)</f>
        <v>901.34</v>
      </c>
      <c r="P147" s="24">
        <f>SUMIFS('Saldos Iniciales'!$D:$D,'Saldos Iniciales'!$A:$A,"Arbor Capital Properties")+SUMIFS(Movimientos!$K$1:$K$1324,Movimientos!$C$1:$C$1324,"Arbor Capital Properties",Movimientos!$B$1:$B$1324,"&lt;="&amp;$B147)</f>
        <v>1380.08</v>
      </c>
      <c r="Q147" s="24">
        <f>SUMIFS('Saldos Iniciales'!$D:$D,'Saldos Iniciales'!$A:$A,"2515 Overbrook")+SUMIFS(Movimientos!$K$1:$K$1324,Movimientos!$C$1:$C$1324,"2515 Overbrook",Movimientos!$B$1:$B$1324,"&lt;="&amp;$B147)</f>
        <v>28714.879999999961</v>
      </c>
      <c r="R147" s="24">
        <f>SUMIFS('Saldos Iniciales'!$D:$D,'Saldos Iniciales'!$A:$A,"112 Florida Ave")+SUMIFS(Movimientos!$K$1:$K$1324,Movimientos!$C$1:$C$1324,"112 Florida Ave",Movimientos!$B$1:$B$1324,"&lt;="&amp;$B147)</f>
        <v>15162.600000000006</v>
      </c>
      <c r="S147" s="24">
        <f>SUMIFS('Saldos Iniciales'!$D:$D,'Saldos Iniciales'!$A:$A,"3628 Thomas Ave")+SUMIFS(Movimientos!$K$1:$K$1324,Movimientos!$C$1:$C$1324,"3628 Thomas Ave",Movimientos!$B$1:$B$1324,"&lt;="&amp;$B147)</f>
        <v>12937.859999999997</v>
      </c>
      <c r="T147" s="24">
        <f>SUMIFS('Saldos Iniciales'!$D:$D,'Saldos Iniciales'!$A:$A,"Green Harbor Trust")+SUMIFS(Movimientos!$K$1:$K$1324,Movimientos!$C$1:$C$1324,"Green Harbor Trust",Movimientos!$B$1:$B$1324,"&lt;="&amp;$B147)</f>
        <v>345</v>
      </c>
      <c r="U147" s="24">
        <f>SUMIFS('Saldos Iniciales'!$D:$D,'Saldos Iniciales'!$A:$A,"Go Blue")+SUMIFS(Movimientos!$K$1:$K$1324,Movimientos!$C$1:$C$1324,"Go Blue",Movimientos!$B$1:$B$1324,"&lt;="&amp;$B147)</f>
        <v>15349.190000000002</v>
      </c>
      <c r="V147" s="24">
        <f>IF(YEAR($B147)*100+MONTH($B147)&lt;--SUBSTITUTE(_xlfn.XLOOKUP("Pacha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LLC",Movimientos!$B$1:$B$1324,"&lt;="&amp;$B147))</f>
        <v>312415.12000000005</v>
      </c>
      <c r="W147" s="24">
        <f>IF(YEAR($B147)*100+MONTH($B147)&lt;--SUBSTITUTE(_xlfn.XLOOKUP("*CFT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Residence",Movimientos!$B$1:$B$1324,"&lt;="&amp;$B147))</f>
        <v>103560.93000000001</v>
      </c>
      <c r="X147" s="24">
        <f>IF(YEAR($B147)*100+MONTH($B147)&lt;--SUBSTITUTE(_xlfn.XLOOKUP("Carmen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Trust",Movimientos!$B$1:$B$1324,"&lt;="&amp;$B147))</f>
        <v>3631.96</v>
      </c>
      <c r="Y147" s="24">
        <f>IF(YEAR($B147)*100+MONTH($B147)&lt;--SUBSTITUTE(_xlfn.XLOOKUP("SIYP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LLC",Movimientos!$B$1:$B$1324,"&lt;="&amp;$B147))</f>
        <v>604.80000000000018</v>
      </c>
      <c r="Z147" s="24">
        <f>IF(YEAR($B147)*100+MONTH($B147)&lt;--SUBSTITUTE(_xlfn.XLOOKUP("Prendamas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SRL",Movimientos!$B$1:$B$1324,"&lt;="&amp;$B147))</f>
        <v>24944.219999999972</v>
      </c>
      <c r="AA147" s="24">
        <f>IF(YEAR($B147)*100+MONTH($B147)&lt;--SUBSTITUTE(_xlfn.XLOOKUP("360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LLC",Movimientos!$B$1:$B$1324,"&lt;="&amp;$B147))</f>
        <v>794.01</v>
      </c>
      <c r="AB147" s="24">
        <f>IF(YEAR($B147)*100+MONTH($B147)&lt;--SUBSTITUTE(_xlfn.XLOOKUP("Five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",Movimientos!$B$1:$B$1324,"&lt;="&amp;$B147))</f>
        <v>5445.57</v>
      </c>
      <c r="AC147" s="24">
        <f>IF(YEAR($B147)*100+MONTH($B147)&lt;--SUBSTITUTE(_xlfn.XLOOKUP("Nobe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Aparments",Movimientos!$B$1:$B$1324,"&lt;="&amp;$B147))</f>
        <v>236093.16999999998</v>
      </c>
      <c r="AD147" s="24">
        <f>IF(YEAR($B147)*100+MONTH($B147)&lt;--SUBSTITUTE(_xlfn.XLOOKUP("Don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Life",Movimientos!$B$1:$B$1324,"&lt;="&amp;$B147))</f>
        <v>327985.82999999996</v>
      </c>
      <c r="AE147" s="25">
        <f t="shared" si="6"/>
        <v>6515398.4899999993</v>
      </c>
    </row>
    <row r="148" spans="1:31" outlineLevel="1" x14ac:dyDescent="0.3">
      <c r="A148" s="22">
        <f t="shared" si="5"/>
        <v>147</v>
      </c>
      <c r="B148" s="23">
        <v>46289</v>
      </c>
      <c r="C148" s="24">
        <f>SUMIFS('Saldos Iniciales'!$D:$D,'Saldos Iniciales'!$A:$A,"CFT Group")+SUMIFS(Movimientos!$K$1:$K$1324,Movimientos!$C$1:$C$1324,"CFT Group",Movimientos!$B$1:$B$1324,"&lt;="&amp;$B148)</f>
        <v>2322320.2500000005</v>
      </c>
      <c r="D148" s="24">
        <f>SUMIFS('Saldos Iniciales'!$D:$D,'Saldos Iniciales'!$A:$A,"M1B")+SUMIFS(Movimientos!$K$1:$K$1324,Movimientos!$C$1:$C$1324,"M1B",Movimientos!$B$1:$B$1324,"&lt;="&amp;$B148)</f>
        <v>100486.46000000017</v>
      </c>
      <c r="E148" s="24">
        <f>SUMIFS('Saldos Iniciales'!$D:$D,'Saldos Iniciales'!$A:$A,"Durand")+SUMIFS(Movimientos!$K$1:$K$1324,Movimientos!$C$1:$C$1324,"Durand",Movimientos!$B$1:$B$1324,"&lt;="&amp;$B148)</f>
        <v>1669.89</v>
      </c>
      <c r="F148" s="24">
        <f>SUMIFS('Saldos Iniciales'!$D:$D,'Saldos Iniciales'!$A:$A,"A&amp;M Imports")+SUMIFS(Movimientos!$K$1:$K$1324,Movimientos!$C$1:$C$1324,"A&amp;M Imports",Movimientos!$B$1:$B$1324,"&lt;="&amp;$B148)</f>
        <v>1453603.3599999999</v>
      </c>
      <c r="G148" s="24">
        <f>SUMIFS('Saldos Iniciales'!$D:$D,'Saldos Iniciales'!$A:$A,"SSP Capital")+SUMIFS(Movimientos!$K$1:$K$1324,Movimientos!$C$1:$C$1324,"SSP Capital",Movimientos!$B$1:$B$1324,"&lt;="&amp;$B148)</f>
        <v>1065733.7999999996</v>
      </c>
      <c r="H148" s="24">
        <f>SUMIFS('Saldos Iniciales'!$D:$D,'Saldos Iniciales'!$A:$A,"Cross Family Trust")+SUMIFS(Movimientos!$K$1:$K$1324,Movimientos!$C$1:$C$1324,"Cross Family Trust",Movimientos!$B$1:$B$1324,"&lt;="&amp;$B148)</f>
        <v>229778.14</v>
      </c>
      <c r="I148" s="24">
        <f>SUMIFS('Saldos Iniciales'!$D:$D,'Saldos Iniciales'!$A:$A,"Cross Security Trust")+SUMIFS(Movimientos!$K$1:$K$1324,Movimientos!$C$1:$C$1324,"Cross Security Trust",Movimientos!$B$1:$B$1324,"&lt;="&amp;$B148)</f>
        <v>217688.58</v>
      </c>
      <c r="J148" s="24">
        <f>SUMIFS('Saldos Iniciales'!$D:$D,'Saldos Iniciales'!$A:$A,"Electrama")+SUMIFS(Movimientos!$K$1:$K$1324,Movimientos!$C$1:$C$1324,"Electrama",Movimientos!$B$1:$B$1324,"&lt;="&amp;$B148)</f>
        <v>11744.75</v>
      </c>
      <c r="K148" s="24">
        <f>SUMIFS('Saldos Iniciales'!$D:$D,'Saldos Iniciales'!$A:$A,"Sacred Valley Capital")+SUMIFS(Movimientos!$K$1:$K$1324,Movimientos!$C$1:$C$1324,"Sacred Valley Capital",Movimientos!$B$1:$B$1324,"&lt;="&amp;$B148)</f>
        <v>94.5</v>
      </c>
      <c r="L148" s="24">
        <f>SUMIFS('Saldos Iniciales'!$D:$D,'Saldos Iniciales'!$A:$A,"YWC Capital")+SUMIFS(Movimientos!$K$1:$K$1324,Movimientos!$C$1:$C$1324,"YWC Capital",Movimientos!$B$1:$B$1324,"&lt;="&amp;$B148)</f>
        <v>2147.92</v>
      </c>
      <c r="M148" s="24">
        <f>SUMIFS('Saldos Iniciales'!$D:$D,'Saldos Iniciales'!$A:$A,"Soweto")+SUMIFS(Movimientos!$K$1:$K$1324,Movimientos!$C$1:$C$1324,"Soweto",Movimientos!$B$1:$B$1324,"&lt;="&amp;$B148)</f>
        <v>17895.290000000015</v>
      </c>
      <c r="N148" s="24">
        <f>SUMIFS('Saldos Iniciales'!$D:$D,'Saldos Iniciales'!$A:$A,"Green Stone Trust")+SUMIFS(Movimientos!$K$1:$K$1324,Movimientos!$C$1:$C$1324,"Green Stone Trust",Movimientos!$B$1:$B$1324,"&lt;="&amp;$B148)</f>
        <v>1968.99</v>
      </c>
      <c r="O148" s="24">
        <f>SUMIFS('Saldos Iniciales'!$D:$D,'Saldos Iniciales'!$A:$A,"EC Auto")+SUMIFS(Movimientos!$K$1:$K$1324,Movimientos!$C$1:$C$1324,"EC Auto",Movimientos!$B$1:$B$1324,"&lt;="&amp;$B148)</f>
        <v>901.34</v>
      </c>
      <c r="P148" s="24">
        <f>SUMIFS('Saldos Iniciales'!$D:$D,'Saldos Iniciales'!$A:$A,"Arbor Capital Properties")+SUMIFS(Movimientos!$K$1:$K$1324,Movimientos!$C$1:$C$1324,"Arbor Capital Properties",Movimientos!$B$1:$B$1324,"&lt;="&amp;$B148)</f>
        <v>1380.08</v>
      </c>
      <c r="Q148" s="24">
        <f>SUMIFS('Saldos Iniciales'!$D:$D,'Saldos Iniciales'!$A:$A,"2515 Overbrook")+SUMIFS(Movimientos!$K$1:$K$1324,Movimientos!$C$1:$C$1324,"2515 Overbrook",Movimientos!$B$1:$B$1324,"&lt;="&amp;$B148)</f>
        <v>28714.879999999961</v>
      </c>
      <c r="R148" s="24">
        <f>SUMIFS('Saldos Iniciales'!$D:$D,'Saldos Iniciales'!$A:$A,"112 Florida Ave")+SUMIFS(Movimientos!$K$1:$K$1324,Movimientos!$C$1:$C$1324,"112 Florida Ave",Movimientos!$B$1:$B$1324,"&lt;="&amp;$B148)</f>
        <v>15162.600000000006</v>
      </c>
      <c r="S148" s="24">
        <f>SUMIFS('Saldos Iniciales'!$D:$D,'Saldos Iniciales'!$A:$A,"3628 Thomas Ave")+SUMIFS(Movimientos!$K$1:$K$1324,Movimientos!$C$1:$C$1324,"3628 Thomas Ave",Movimientos!$B$1:$B$1324,"&lt;="&amp;$B148)</f>
        <v>12937.859999999997</v>
      </c>
      <c r="T148" s="24">
        <f>SUMIFS('Saldos Iniciales'!$D:$D,'Saldos Iniciales'!$A:$A,"Green Harbor Trust")+SUMIFS(Movimientos!$K$1:$K$1324,Movimientos!$C$1:$C$1324,"Green Harbor Trust",Movimientos!$B$1:$B$1324,"&lt;="&amp;$B148)</f>
        <v>345</v>
      </c>
      <c r="U148" s="24">
        <f>SUMIFS('Saldos Iniciales'!$D:$D,'Saldos Iniciales'!$A:$A,"Go Blue")+SUMIFS(Movimientos!$K$1:$K$1324,Movimientos!$C$1:$C$1324,"Go Blue",Movimientos!$B$1:$B$1324,"&lt;="&amp;$B148)</f>
        <v>15349.190000000002</v>
      </c>
      <c r="V148" s="24">
        <f>IF(YEAR($B148)*100+MONTH($B148)&lt;--SUBSTITUTE(_xlfn.XLOOKUP("Pacha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LLC",Movimientos!$B$1:$B$1324,"&lt;="&amp;$B148))</f>
        <v>312415.12000000005</v>
      </c>
      <c r="W148" s="24">
        <f>IF(YEAR($B148)*100+MONTH($B148)&lt;--SUBSTITUTE(_xlfn.XLOOKUP("*CFT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Residence",Movimientos!$B$1:$B$1324,"&lt;="&amp;$B148))</f>
        <v>103560.93000000001</v>
      </c>
      <c r="X148" s="24">
        <f>IF(YEAR($B148)*100+MONTH($B148)&lt;--SUBSTITUTE(_xlfn.XLOOKUP("Carmen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Trust",Movimientos!$B$1:$B$1324,"&lt;="&amp;$B148))</f>
        <v>3631.96</v>
      </c>
      <c r="Y148" s="24">
        <f>IF(YEAR($B148)*100+MONTH($B148)&lt;--SUBSTITUTE(_xlfn.XLOOKUP("SIYP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LLC",Movimientos!$B$1:$B$1324,"&lt;="&amp;$B148))</f>
        <v>604.80000000000018</v>
      </c>
      <c r="Z148" s="24">
        <f>IF(YEAR($B148)*100+MONTH($B148)&lt;--SUBSTITUTE(_xlfn.XLOOKUP("Prendamas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SRL",Movimientos!$B$1:$B$1324,"&lt;="&amp;$B148))</f>
        <v>24430.749999999971</v>
      </c>
      <c r="AA148" s="24">
        <f>IF(YEAR($B148)*100+MONTH($B148)&lt;--SUBSTITUTE(_xlfn.XLOOKUP("360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LLC",Movimientos!$B$1:$B$1324,"&lt;="&amp;$B148))</f>
        <v>794.01</v>
      </c>
      <c r="AB148" s="24">
        <f>IF(YEAR($B148)*100+MONTH($B148)&lt;--SUBSTITUTE(_xlfn.XLOOKUP("Five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",Movimientos!$B$1:$B$1324,"&lt;="&amp;$B148))</f>
        <v>5445.57</v>
      </c>
      <c r="AC148" s="24">
        <f>IF(YEAR($B148)*100+MONTH($B148)&lt;--SUBSTITUTE(_xlfn.XLOOKUP("Nobe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Aparments",Movimientos!$B$1:$B$1324,"&lt;="&amp;$B148))</f>
        <v>236093.16999999998</v>
      </c>
      <c r="AD148" s="24">
        <f>IF(YEAR($B148)*100+MONTH($B148)&lt;--SUBSTITUTE(_xlfn.XLOOKUP("Don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Life",Movimientos!$B$1:$B$1324,"&lt;="&amp;$B148))</f>
        <v>327985.82999999996</v>
      </c>
      <c r="AE148" s="25">
        <f t="shared" si="6"/>
        <v>6514885.0199999996</v>
      </c>
    </row>
    <row r="149" spans="1:31" outlineLevel="1" x14ac:dyDescent="0.3">
      <c r="A149" s="22">
        <f t="shared" si="5"/>
        <v>148</v>
      </c>
      <c r="B149" s="23">
        <v>46290</v>
      </c>
      <c r="C149" s="24">
        <f>SUMIFS('Saldos Iniciales'!$D:$D,'Saldos Iniciales'!$A:$A,"CFT Group")+SUMIFS(Movimientos!$K$1:$K$1324,Movimientos!$C$1:$C$1324,"CFT Group",Movimientos!$B$1:$B$1324,"&lt;="&amp;$B149)</f>
        <v>1835826.1700000004</v>
      </c>
      <c r="D149" s="24">
        <f>SUMIFS('Saldos Iniciales'!$D:$D,'Saldos Iniciales'!$A:$A,"M1B")+SUMIFS(Movimientos!$K$1:$K$1324,Movimientos!$C$1:$C$1324,"M1B",Movimientos!$B$1:$B$1324,"&lt;="&amp;$B149)</f>
        <v>100486.46000000017</v>
      </c>
      <c r="E149" s="24">
        <f>SUMIFS('Saldos Iniciales'!$D:$D,'Saldos Iniciales'!$A:$A,"Durand")+SUMIFS(Movimientos!$K$1:$K$1324,Movimientos!$C$1:$C$1324,"Durand",Movimientos!$B$1:$B$1324,"&lt;="&amp;$B149)</f>
        <v>1669.89</v>
      </c>
      <c r="F149" s="24">
        <f>SUMIFS('Saldos Iniciales'!$D:$D,'Saldos Iniciales'!$A:$A,"A&amp;M Imports")+SUMIFS(Movimientos!$K$1:$K$1324,Movimientos!$C$1:$C$1324,"A&amp;M Imports",Movimientos!$B$1:$B$1324,"&lt;="&amp;$B149)</f>
        <v>1313603.3599999999</v>
      </c>
      <c r="G149" s="24">
        <f>SUMIFS('Saldos Iniciales'!$D:$D,'Saldos Iniciales'!$A:$A,"SSP Capital")+SUMIFS(Movimientos!$K$1:$K$1324,Movimientos!$C$1:$C$1324,"SSP Capital",Movimientos!$B$1:$B$1324,"&lt;="&amp;$B149)</f>
        <v>1350091.6599999997</v>
      </c>
      <c r="H149" s="24">
        <f>SUMIFS('Saldos Iniciales'!$D:$D,'Saldos Iniciales'!$A:$A,"Cross Family Trust")+SUMIFS(Movimientos!$K$1:$K$1324,Movimientos!$C$1:$C$1324,"Cross Family Trust",Movimientos!$B$1:$B$1324,"&lt;="&amp;$B149)</f>
        <v>229778.14</v>
      </c>
      <c r="I149" s="24">
        <f>SUMIFS('Saldos Iniciales'!$D:$D,'Saldos Iniciales'!$A:$A,"Cross Security Trust")+SUMIFS(Movimientos!$K$1:$K$1324,Movimientos!$C$1:$C$1324,"Cross Security Trust",Movimientos!$B$1:$B$1324,"&lt;="&amp;$B149)</f>
        <v>217688.58</v>
      </c>
      <c r="J149" s="24">
        <f>SUMIFS('Saldos Iniciales'!$D:$D,'Saldos Iniciales'!$A:$A,"Electrama")+SUMIFS(Movimientos!$K$1:$K$1324,Movimientos!$C$1:$C$1324,"Electrama",Movimientos!$B$1:$B$1324,"&lt;="&amp;$B149)</f>
        <v>11744.75</v>
      </c>
      <c r="K149" s="24">
        <f>SUMIFS('Saldos Iniciales'!$D:$D,'Saldos Iniciales'!$A:$A,"Sacred Valley Capital")+SUMIFS(Movimientos!$K$1:$K$1324,Movimientos!$C$1:$C$1324,"Sacred Valley Capital",Movimientos!$B$1:$B$1324,"&lt;="&amp;$B149)</f>
        <v>94.5</v>
      </c>
      <c r="L149" s="24">
        <f>SUMIFS('Saldos Iniciales'!$D:$D,'Saldos Iniciales'!$A:$A,"YWC Capital")+SUMIFS(Movimientos!$K$1:$K$1324,Movimientos!$C$1:$C$1324,"YWC Capital",Movimientos!$B$1:$B$1324,"&lt;="&amp;$B149)</f>
        <v>2147.92</v>
      </c>
      <c r="M149" s="24">
        <f>SUMIFS('Saldos Iniciales'!$D:$D,'Saldos Iniciales'!$A:$A,"Soweto")+SUMIFS(Movimientos!$K$1:$K$1324,Movimientos!$C$1:$C$1324,"Soweto",Movimientos!$B$1:$B$1324,"&lt;="&amp;$B149)</f>
        <v>17895.290000000015</v>
      </c>
      <c r="N149" s="24">
        <f>SUMIFS('Saldos Iniciales'!$D:$D,'Saldos Iniciales'!$A:$A,"Green Stone Trust")+SUMIFS(Movimientos!$K$1:$K$1324,Movimientos!$C$1:$C$1324,"Green Stone Trust",Movimientos!$B$1:$B$1324,"&lt;="&amp;$B149)</f>
        <v>1968.99</v>
      </c>
      <c r="O149" s="24">
        <f>SUMIFS('Saldos Iniciales'!$D:$D,'Saldos Iniciales'!$A:$A,"EC Auto")+SUMIFS(Movimientos!$K$1:$K$1324,Movimientos!$C$1:$C$1324,"EC Auto",Movimientos!$B$1:$B$1324,"&lt;="&amp;$B149)</f>
        <v>901.34</v>
      </c>
      <c r="P149" s="24">
        <f>SUMIFS('Saldos Iniciales'!$D:$D,'Saldos Iniciales'!$A:$A,"Arbor Capital Properties")+SUMIFS(Movimientos!$K$1:$K$1324,Movimientos!$C$1:$C$1324,"Arbor Capital Properties",Movimientos!$B$1:$B$1324,"&lt;="&amp;$B149)</f>
        <v>1380.08</v>
      </c>
      <c r="Q149" s="24">
        <f>SUMIFS('Saldos Iniciales'!$D:$D,'Saldos Iniciales'!$A:$A,"2515 Overbrook")+SUMIFS(Movimientos!$K$1:$K$1324,Movimientos!$C$1:$C$1324,"2515 Overbrook",Movimientos!$B$1:$B$1324,"&lt;="&amp;$B149)</f>
        <v>28714.879999999961</v>
      </c>
      <c r="R149" s="24">
        <f>SUMIFS('Saldos Iniciales'!$D:$D,'Saldos Iniciales'!$A:$A,"112 Florida Ave")+SUMIFS(Movimientos!$K$1:$K$1324,Movimientos!$C$1:$C$1324,"112 Florida Ave",Movimientos!$B$1:$B$1324,"&lt;="&amp;$B149)</f>
        <v>23389.690000000006</v>
      </c>
      <c r="S149" s="24">
        <f>SUMIFS('Saldos Iniciales'!$D:$D,'Saldos Iniciales'!$A:$A,"3628 Thomas Ave")+SUMIFS(Movimientos!$K$1:$K$1324,Movimientos!$C$1:$C$1324,"3628 Thomas Ave",Movimientos!$B$1:$B$1324,"&lt;="&amp;$B149)</f>
        <v>16896.059999999998</v>
      </c>
      <c r="T149" s="24">
        <f>SUMIFS('Saldos Iniciales'!$D:$D,'Saldos Iniciales'!$A:$A,"Green Harbor Trust")+SUMIFS(Movimientos!$K$1:$K$1324,Movimientos!$C$1:$C$1324,"Green Harbor Trust",Movimientos!$B$1:$B$1324,"&lt;="&amp;$B149)</f>
        <v>345</v>
      </c>
      <c r="U149" s="24">
        <f>SUMIFS('Saldos Iniciales'!$D:$D,'Saldos Iniciales'!$A:$A,"Go Blue")+SUMIFS(Movimientos!$K$1:$K$1324,Movimientos!$C$1:$C$1324,"Go Blue",Movimientos!$B$1:$B$1324,"&lt;="&amp;$B149)</f>
        <v>12209.190000000002</v>
      </c>
      <c r="V149" s="24">
        <f>IF(YEAR($B149)*100+MONTH($B149)&lt;--SUBSTITUTE(_xlfn.XLOOKUP("Pacha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LLC",Movimientos!$B$1:$B$1324,"&lt;="&amp;$B149))</f>
        <v>312314.37000000005</v>
      </c>
      <c r="W149" s="24">
        <f>IF(YEAR($B149)*100+MONTH($B149)&lt;--SUBSTITUTE(_xlfn.XLOOKUP("*CFT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Residence",Movimientos!$B$1:$B$1324,"&lt;="&amp;$B149))</f>
        <v>103560.93000000001</v>
      </c>
      <c r="X149" s="24">
        <f>IF(YEAR($B149)*100+MONTH($B149)&lt;--SUBSTITUTE(_xlfn.XLOOKUP("Carmen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Trust",Movimientos!$B$1:$B$1324,"&lt;="&amp;$B149))</f>
        <v>3631.96</v>
      </c>
      <c r="Y149" s="24">
        <f>IF(YEAR($B149)*100+MONTH($B149)&lt;--SUBSTITUTE(_xlfn.XLOOKUP("SIYP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LLC",Movimientos!$B$1:$B$1324,"&lt;="&amp;$B149))</f>
        <v>604.80000000000018</v>
      </c>
      <c r="Z149" s="24">
        <f>IF(YEAR($B149)*100+MONTH($B149)&lt;--SUBSTITUTE(_xlfn.XLOOKUP("Prendamas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SRL",Movimientos!$B$1:$B$1324,"&lt;="&amp;$B149))</f>
        <v>22961.869999999966</v>
      </c>
      <c r="AA149" s="24">
        <f>IF(YEAR($B149)*100+MONTH($B149)&lt;--SUBSTITUTE(_xlfn.XLOOKUP("360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LLC",Movimientos!$B$1:$B$1324,"&lt;="&amp;$B149))</f>
        <v>794.01</v>
      </c>
      <c r="AB149" s="24">
        <f>IF(YEAR($B149)*100+MONTH($B149)&lt;--SUBSTITUTE(_xlfn.XLOOKUP("Five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",Movimientos!$B$1:$B$1324,"&lt;="&amp;$B149))</f>
        <v>5445.57</v>
      </c>
      <c r="AC149" s="24">
        <f>IF(YEAR($B149)*100+MONTH($B149)&lt;--SUBSTITUTE(_xlfn.XLOOKUP("Nobe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Aparments",Movimientos!$B$1:$B$1324,"&lt;="&amp;$B149))</f>
        <v>236033.16999999998</v>
      </c>
      <c r="AD149" s="24">
        <f>IF(YEAR($B149)*100+MONTH($B149)&lt;--SUBSTITUTE(_xlfn.XLOOKUP("Don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Life",Movimientos!$B$1:$B$1324,"&lt;="&amp;$B149))</f>
        <v>327985.82999999996</v>
      </c>
      <c r="AE149" s="25">
        <f t="shared" si="6"/>
        <v>6180164.46</v>
      </c>
    </row>
    <row r="150" spans="1:31" outlineLevel="1" x14ac:dyDescent="0.3">
      <c r="A150" s="22">
        <f t="shared" si="5"/>
        <v>149</v>
      </c>
      <c r="B150" s="23">
        <v>46291</v>
      </c>
      <c r="C150" s="24">
        <f>SUMIFS('Saldos Iniciales'!$D:$D,'Saldos Iniciales'!$A:$A,"CFT Group")+SUMIFS(Movimientos!$K$1:$K$1324,Movimientos!$C$1:$C$1324,"CFT Group",Movimientos!$B$1:$B$1324,"&lt;="&amp;$B150)</f>
        <v>1835826.1700000004</v>
      </c>
      <c r="D150" s="24">
        <f>SUMIFS('Saldos Iniciales'!$D:$D,'Saldos Iniciales'!$A:$A,"M1B")+SUMIFS(Movimientos!$K$1:$K$1324,Movimientos!$C$1:$C$1324,"M1B",Movimientos!$B$1:$B$1324,"&lt;="&amp;$B150)</f>
        <v>100486.46000000017</v>
      </c>
      <c r="E150" s="24">
        <f>SUMIFS('Saldos Iniciales'!$D:$D,'Saldos Iniciales'!$A:$A,"Durand")+SUMIFS(Movimientos!$K$1:$K$1324,Movimientos!$C$1:$C$1324,"Durand",Movimientos!$B$1:$B$1324,"&lt;="&amp;$B150)</f>
        <v>1669.89</v>
      </c>
      <c r="F150" s="24">
        <f>SUMIFS('Saldos Iniciales'!$D:$D,'Saldos Iniciales'!$A:$A,"A&amp;M Imports")+SUMIFS(Movimientos!$K$1:$K$1324,Movimientos!$C$1:$C$1324,"A&amp;M Imports",Movimientos!$B$1:$B$1324,"&lt;="&amp;$B150)</f>
        <v>1313603.3599999999</v>
      </c>
      <c r="G150" s="24">
        <f>SUMIFS('Saldos Iniciales'!$D:$D,'Saldos Iniciales'!$A:$A,"SSP Capital")+SUMIFS(Movimientos!$K$1:$K$1324,Movimientos!$C$1:$C$1324,"SSP Capital",Movimientos!$B$1:$B$1324,"&lt;="&amp;$B150)</f>
        <v>1350091.6599999997</v>
      </c>
      <c r="H150" s="24">
        <f>SUMIFS('Saldos Iniciales'!$D:$D,'Saldos Iniciales'!$A:$A,"Cross Family Trust")+SUMIFS(Movimientos!$K$1:$K$1324,Movimientos!$C$1:$C$1324,"Cross Family Trust",Movimientos!$B$1:$B$1324,"&lt;="&amp;$B150)</f>
        <v>229778.14</v>
      </c>
      <c r="I150" s="24">
        <f>SUMIFS('Saldos Iniciales'!$D:$D,'Saldos Iniciales'!$A:$A,"Cross Security Trust")+SUMIFS(Movimientos!$K$1:$K$1324,Movimientos!$C$1:$C$1324,"Cross Security Trust",Movimientos!$B$1:$B$1324,"&lt;="&amp;$B150)</f>
        <v>217688.58</v>
      </c>
      <c r="J150" s="24">
        <f>SUMIFS('Saldos Iniciales'!$D:$D,'Saldos Iniciales'!$A:$A,"Electrama")+SUMIFS(Movimientos!$K$1:$K$1324,Movimientos!$C$1:$C$1324,"Electrama",Movimientos!$B$1:$B$1324,"&lt;="&amp;$B150)</f>
        <v>11744.75</v>
      </c>
      <c r="K150" s="24">
        <f>SUMIFS('Saldos Iniciales'!$D:$D,'Saldos Iniciales'!$A:$A,"Sacred Valley Capital")+SUMIFS(Movimientos!$K$1:$K$1324,Movimientos!$C$1:$C$1324,"Sacred Valley Capital",Movimientos!$B$1:$B$1324,"&lt;="&amp;$B150)</f>
        <v>94.5</v>
      </c>
      <c r="L150" s="24">
        <f>SUMIFS('Saldos Iniciales'!$D:$D,'Saldos Iniciales'!$A:$A,"YWC Capital")+SUMIFS(Movimientos!$K$1:$K$1324,Movimientos!$C$1:$C$1324,"YWC Capital",Movimientos!$B$1:$B$1324,"&lt;="&amp;$B150)</f>
        <v>2147.92</v>
      </c>
      <c r="M150" s="24">
        <f>SUMIFS('Saldos Iniciales'!$D:$D,'Saldos Iniciales'!$A:$A,"Soweto")+SUMIFS(Movimientos!$K$1:$K$1324,Movimientos!$C$1:$C$1324,"Soweto",Movimientos!$B$1:$B$1324,"&lt;="&amp;$B150)</f>
        <v>17895.290000000015</v>
      </c>
      <c r="N150" s="24">
        <f>SUMIFS('Saldos Iniciales'!$D:$D,'Saldos Iniciales'!$A:$A,"Green Stone Trust")+SUMIFS(Movimientos!$K$1:$K$1324,Movimientos!$C$1:$C$1324,"Green Stone Trust",Movimientos!$B$1:$B$1324,"&lt;="&amp;$B150)</f>
        <v>1968.99</v>
      </c>
      <c r="O150" s="24">
        <f>SUMIFS('Saldos Iniciales'!$D:$D,'Saldos Iniciales'!$A:$A,"EC Auto")+SUMIFS(Movimientos!$K$1:$K$1324,Movimientos!$C$1:$C$1324,"EC Auto",Movimientos!$B$1:$B$1324,"&lt;="&amp;$B150)</f>
        <v>901.34</v>
      </c>
      <c r="P150" s="24">
        <f>SUMIFS('Saldos Iniciales'!$D:$D,'Saldos Iniciales'!$A:$A,"Arbor Capital Properties")+SUMIFS(Movimientos!$K$1:$K$1324,Movimientos!$C$1:$C$1324,"Arbor Capital Properties",Movimientos!$B$1:$B$1324,"&lt;="&amp;$B150)</f>
        <v>1380.08</v>
      </c>
      <c r="Q150" s="24">
        <f>SUMIFS('Saldos Iniciales'!$D:$D,'Saldos Iniciales'!$A:$A,"2515 Overbrook")+SUMIFS(Movimientos!$K$1:$K$1324,Movimientos!$C$1:$C$1324,"2515 Overbrook",Movimientos!$B$1:$B$1324,"&lt;="&amp;$B150)</f>
        <v>28714.879999999961</v>
      </c>
      <c r="R150" s="24">
        <f>SUMIFS('Saldos Iniciales'!$D:$D,'Saldos Iniciales'!$A:$A,"112 Florida Ave")+SUMIFS(Movimientos!$K$1:$K$1324,Movimientos!$C$1:$C$1324,"112 Florida Ave",Movimientos!$B$1:$B$1324,"&lt;="&amp;$B150)</f>
        <v>23389.690000000006</v>
      </c>
      <c r="S150" s="24">
        <f>SUMIFS('Saldos Iniciales'!$D:$D,'Saldos Iniciales'!$A:$A,"3628 Thomas Ave")+SUMIFS(Movimientos!$K$1:$K$1324,Movimientos!$C$1:$C$1324,"3628 Thomas Ave",Movimientos!$B$1:$B$1324,"&lt;="&amp;$B150)</f>
        <v>16896.059999999998</v>
      </c>
      <c r="T150" s="24">
        <f>SUMIFS('Saldos Iniciales'!$D:$D,'Saldos Iniciales'!$A:$A,"Green Harbor Trust")+SUMIFS(Movimientos!$K$1:$K$1324,Movimientos!$C$1:$C$1324,"Green Harbor Trust",Movimientos!$B$1:$B$1324,"&lt;="&amp;$B150)</f>
        <v>345</v>
      </c>
      <c r="U150" s="24">
        <f>SUMIFS('Saldos Iniciales'!$D:$D,'Saldos Iniciales'!$A:$A,"Go Blue")+SUMIFS(Movimientos!$K$1:$K$1324,Movimientos!$C$1:$C$1324,"Go Blue",Movimientos!$B$1:$B$1324,"&lt;="&amp;$B150)</f>
        <v>12209.190000000002</v>
      </c>
      <c r="V150" s="24">
        <f>IF(YEAR($B150)*100+MONTH($B150)&lt;--SUBSTITUTE(_xlfn.XLOOKUP("Pacha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LLC",Movimientos!$B$1:$B$1324,"&lt;="&amp;$B150))</f>
        <v>312314.37000000005</v>
      </c>
      <c r="W150" s="24">
        <f>IF(YEAR($B150)*100+MONTH($B150)&lt;--SUBSTITUTE(_xlfn.XLOOKUP("*CFT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Residence",Movimientos!$B$1:$B$1324,"&lt;="&amp;$B150))</f>
        <v>103560.93000000001</v>
      </c>
      <c r="X150" s="24">
        <f>IF(YEAR($B150)*100+MONTH($B150)&lt;--SUBSTITUTE(_xlfn.XLOOKUP("Carmen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Trust",Movimientos!$B$1:$B$1324,"&lt;="&amp;$B150))</f>
        <v>3631.96</v>
      </c>
      <c r="Y150" s="24">
        <f>IF(YEAR($B150)*100+MONTH($B150)&lt;--SUBSTITUTE(_xlfn.XLOOKUP("SIYP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LLC",Movimientos!$B$1:$B$1324,"&lt;="&amp;$B150))</f>
        <v>604.80000000000018</v>
      </c>
      <c r="Z150" s="24">
        <f>IF(YEAR($B150)*100+MONTH($B150)&lt;--SUBSTITUTE(_xlfn.XLOOKUP("Prendamas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SRL",Movimientos!$B$1:$B$1324,"&lt;="&amp;$B150))</f>
        <v>22961.869999999966</v>
      </c>
      <c r="AA150" s="24">
        <f>IF(YEAR($B150)*100+MONTH($B150)&lt;--SUBSTITUTE(_xlfn.XLOOKUP("360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LLC",Movimientos!$B$1:$B$1324,"&lt;="&amp;$B150))</f>
        <v>794.01</v>
      </c>
      <c r="AB150" s="24">
        <f>IF(YEAR($B150)*100+MONTH($B150)&lt;--SUBSTITUTE(_xlfn.XLOOKUP("Five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",Movimientos!$B$1:$B$1324,"&lt;="&amp;$B150))</f>
        <v>5445.57</v>
      </c>
      <c r="AC150" s="24">
        <f>IF(YEAR($B150)*100+MONTH($B150)&lt;--SUBSTITUTE(_xlfn.XLOOKUP("Nobe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Aparments",Movimientos!$B$1:$B$1324,"&lt;="&amp;$B150))</f>
        <v>236033.16999999998</v>
      </c>
      <c r="AD150" s="24">
        <f>IF(YEAR($B150)*100+MONTH($B150)&lt;--SUBSTITUTE(_xlfn.XLOOKUP("Don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Life",Movimientos!$B$1:$B$1324,"&lt;="&amp;$B150))</f>
        <v>327985.82999999996</v>
      </c>
      <c r="AE150" s="25">
        <f t="shared" si="6"/>
        <v>6180164.46</v>
      </c>
    </row>
    <row r="151" spans="1:31" outlineLevel="1" x14ac:dyDescent="0.3">
      <c r="A151" s="22">
        <f t="shared" si="5"/>
        <v>150</v>
      </c>
      <c r="B151" s="23">
        <v>46292</v>
      </c>
      <c r="C151" s="24">
        <f>SUMIFS('Saldos Iniciales'!$D:$D,'Saldos Iniciales'!$A:$A,"CFT Group")+SUMIFS(Movimientos!$K$1:$K$1324,Movimientos!$C$1:$C$1324,"CFT Group",Movimientos!$B$1:$B$1324,"&lt;="&amp;$B151)</f>
        <v>1835826.1700000004</v>
      </c>
      <c r="D151" s="24">
        <f>SUMIFS('Saldos Iniciales'!$D:$D,'Saldos Iniciales'!$A:$A,"M1B")+SUMIFS(Movimientos!$K$1:$K$1324,Movimientos!$C$1:$C$1324,"M1B",Movimientos!$B$1:$B$1324,"&lt;="&amp;$B151)</f>
        <v>100486.46000000017</v>
      </c>
      <c r="E151" s="24">
        <f>SUMIFS('Saldos Iniciales'!$D:$D,'Saldos Iniciales'!$A:$A,"Durand")+SUMIFS(Movimientos!$K$1:$K$1324,Movimientos!$C$1:$C$1324,"Durand",Movimientos!$B$1:$B$1324,"&lt;="&amp;$B151)</f>
        <v>1669.89</v>
      </c>
      <c r="F151" s="24">
        <f>SUMIFS('Saldos Iniciales'!$D:$D,'Saldos Iniciales'!$A:$A,"A&amp;M Imports")+SUMIFS(Movimientos!$K$1:$K$1324,Movimientos!$C$1:$C$1324,"A&amp;M Imports",Movimientos!$B$1:$B$1324,"&lt;="&amp;$B151)</f>
        <v>1313603.3599999999</v>
      </c>
      <c r="G151" s="24">
        <f>SUMIFS('Saldos Iniciales'!$D:$D,'Saldos Iniciales'!$A:$A,"SSP Capital")+SUMIFS(Movimientos!$K$1:$K$1324,Movimientos!$C$1:$C$1324,"SSP Capital",Movimientos!$B$1:$B$1324,"&lt;="&amp;$B151)</f>
        <v>1350091.6599999997</v>
      </c>
      <c r="H151" s="24">
        <f>SUMIFS('Saldos Iniciales'!$D:$D,'Saldos Iniciales'!$A:$A,"Cross Family Trust")+SUMIFS(Movimientos!$K$1:$K$1324,Movimientos!$C$1:$C$1324,"Cross Family Trust",Movimientos!$B$1:$B$1324,"&lt;="&amp;$B151)</f>
        <v>229778.14</v>
      </c>
      <c r="I151" s="24">
        <f>SUMIFS('Saldos Iniciales'!$D:$D,'Saldos Iniciales'!$A:$A,"Cross Security Trust")+SUMIFS(Movimientos!$K$1:$K$1324,Movimientos!$C$1:$C$1324,"Cross Security Trust",Movimientos!$B$1:$B$1324,"&lt;="&amp;$B151)</f>
        <v>217688.58</v>
      </c>
      <c r="J151" s="24">
        <f>SUMIFS('Saldos Iniciales'!$D:$D,'Saldos Iniciales'!$A:$A,"Electrama")+SUMIFS(Movimientos!$K$1:$K$1324,Movimientos!$C$1:$C$1324,"Electrama",Movimientos!$B$1:$B$1324,"&lt;="&amp;$B151)</f>
        <v>11744.75</v>
      </c>
      <c r="K151" s="24">
        <f>SUMIFS('Saldos Iniciales'!$D:$D,'Saldos Iniciales'!$A:$A,"Sacred Valley Capital")+SUMIFS(Movimientos!$K$1:$K$1324,Movimientos!$C$1:$C$1324,"Sacred Valley Capital",Movimientos!$B$1:$B$1324,"&lt;="&amp;$B151)</f>
        <v>94.5</v>
      </c>
      <c r="L151" s="24">
        <f>SUMIFS('Saldos Iniciales'!$D:$D,'Saldos Iniciales'!$A:$A,"YWC Capital")+SUMIFS(Movimientos!$K$1:$K$1324,Movimientos!$C$1:$C$1324,"YWC Capital",Movimientos!$B$1:$B$1324,"&lt;="&amp;$B151)</f>
        <v>2147.92</v>
      </c>
      <c r="M151" s="24">
        <f>SUMIFS('Saldos Iniciales'!$D:$D,'Saldos Iniciales'!$A:$A,"Soweto")+SUMIFS(Movimientos!$K$1:$K$1324,Movimientos!$C$1:$C$1324,"Soweto",Movimientos!$B$1:$B$1324,"&lt;="&amp;$B151)</f>
        <v>17895.290000000015</v>
      </c>
      <c r="N151" s="24">
        <f>SUMIFS('Saldos Iniciales'!$D:$D,'Saldos Iniciales'!$A:$A,"Green Stone Trust")+SUMIFS(Movimientos!$K$1:$K$1324,Movimientos!$C$1:$C$1324,"Green Stone Trust",Movimientos!$B$1:$B$1324,"&lt;="&amp;$B151)</f>
        <v>1968.99</v>
      </c>
      <c r="O151" s="24">
        <f>SUMIFS('Saldos Iniciales'!$D:$D,'Saldos Iniciales'!$A:$A,"EC Auto")+SUMIFS(Movimientos!$K$1:$K$1324,Movimientos!$C$1:$C$1324,"EC Auto",Movimientos!$B$1:$B$1324,"&lt;="&amp;$B151)</f>
        <v>901.34</v>
      </c>
      <c r="P151" s="24">
        <f>SUMIFS('Saldos Iniciales'!$D:$D,'Saldos Iniciales'!$A:$A,"Arbor Capital Properties")+SUMIFS(Movimientos!$K$1:$K$1324,Movimientos!$C$1:$C$1324,"Arbor Capital Properties",Movimientos!$B$1:$B$1324,"&lt;="&amp;$B151)</f>
        <v>1380.08</v>
      </c>
      <c r="Q151" s="24">
        <f>SUMIFS('Saldos Iniciales'!$D:$D,'Saldos Iniciales'!$A:$A,"2515 Overbrook")+SUMIFS(Movimientos!$K$1:$K$1324,Movimientos!$C$1:$C$1324,"2515 Overbrook",Movimientos!$B$1:$B$1324,"&lt;="&amp;$B151)</f>
        <v>28714.879999999961</v>
      </c>
      <c r="R151" s="24">
        <f>SUMIFS('Saldos Iniciales'!$D:$D,'Saldos Iniciales'!$A:$A,"112 Florida Ave")+SUMIFS(Movimientos!$K$1:$K$1324,Movimientos!$C$1:$C$1324,"112 Florida Ave",Movimientos!$B$1:$B$1324,"&lt;="&amp;$B151)</f>
        <v>23389.690000000006</v>
      </c>
      <c r="S151" s="24">
        <f>SUMIFS('Saldos Iniciales'!$D:$D,'Saldos Iniciales'!$A:$A,"3628 Thomas Ave")+SUMIFS(Movimientos!$K$1:$K$1324,Movimientos!$C$1:$C$1324,"3628 Thomas Ave",Movimientos!$B$1:$B$1324,"&lt;="&amp;$B151)</f>
        <v>16896.059999999998</v>
      </c>
      <c r="T151" s="24">
        <f>SUMIFS('Saldos Iniciales'!$D:$D,'Saldos Iniciales'!$A:$A,"Green Harbor Trust")+SUMIFS(Movimientos!$K$1:$K$1324,Movimientos!$C$1:$C$1324,"Green Harbor Trust",Movimientos!$B$1:$B$1324,"&lt;="&amp;$B151)</f>
        <v>345</v>
      </c>
      <c r="U151" s="24">
        <f>SUMIFS('Saldos Iniciales'!$D:$D,'Saldos Iniciales'!$A:$A,"Go Blue")+SUMIFS(Movimientos!$K$1:$K$1324,Movimientos!$C$1:$C$1324,"Go Blue",Movimientos!$B$1:$B$1324,"&lt;="&amp;$B151)</f>
        <v>12209.190000000002</v>
      </c>
      <c r="V151" s="24">
        <f>IF(YEAR($B151)*100+MONTH($B151)&lt;--SUBSTITUTE(_xlfn.XLOOKUP("Pacha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LLC",Movimientos!$B$1:$B$1324,"&lt;="&amp;$B151))</f>
        <v>312314.37000000005</v>
      </c>
      <c r="W151" s="24">
        <f>IF(YEAR($B151)*100+MONTH($B151)&lt;--SUBSTITUTE(_xlfn.XLOOKUP("*CFT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Residence",Movimientos!$B$1:$B$1324,"&lt;="&amp;$B151))</f>
        <v>103560.93000000001</v>
      </c>
      <c r="X151" s="24">
        <f>IF(YEAR($B151)*100+MONTH($B151)&lt;--SUBSTITUTE(_xlfn.XLOOKUP("Carmen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Trust",Movimientos!$B$1:$B$1324,"&lt;="&amp;$B151))</f>
        <v>3631.96</v>
      </c>
      <c r="Y151" s="24">
        <f>IF(YEAR($B151)*100+MONTH($B151)&lt;--SUBSTITUTE(_xlfn.XLOOKUP("SIYP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LLC",Movimientos!$B$1:$B$1324,"&lt;="&amp;$B151))</f>
        <v>604.80000000000018</v>
      </c>
      <c r="Z151" s="24">
        <f>IF(YEAR($B151)*100+MONTH($B151)&lt;--SUBSTITUTE(_xlfn.XLOOKUP("Prendamas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SRL",Movimientos!$B$1:$B$1324,"&lt;="&amp;$B151))</f>
        <v>22961.869999999966</v>
      </c>
      <c r="AA151" s="24">
        <f>IF(YEAR($B151)*100+MONTH($B151)&lt;--SUBSTITUTE(_xlfn.XLOOKUP("360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LLC",Movimientos!$B$1:$B$1324,"&lt;="&amp;$B151))</f>
        <v>794.01</v>
      </c>
      <c r="AB151" s="24">
        <f>IF(YEAR($B151)*100+MONTH($B151)&lt;--SUBSTITUTE(_xlfn.XLOOKUP("Five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",Movimientos!$B$1:$B$1324,"&lt;="&amp;$B151))</f>
        <v>5445.57</v>
      </c>
      <c r="AC151" s="24">
        <f>IF(YEAR($B151)*100+MONTH($B151)&lt;--SUBSTITUTE(_xlfn.XLOOKUP("Nobe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Aparments",Movimientos!$B$1:$B$1324,"&lt;="&amp;$B151))</f>
        <v>236033.16999999998</v>
      </c>
      <c r="AD151" s="24">
        <f>IF(YEAR($B151)*100+MONTH($B151)&lt;--SUBSTITUTE(_xlfn.XLOOKUP("Don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Life",Movimientos!$B$1:$B$1324,"&lt;="&amp;$B151))</f>
        <v>327985.82999999996</v>
      </c>
      <c r="AE151" s="25">
        <f t="shared" si="6"/>
        <v>6180164.46</v>
      </c>
    </row>
    <row r="152" spans="1:31" outlineLevel="1" x14ac:dyDescent="0.3">
      <c r="A152" s="22">
        <f t="shared" si="5"/>
        <v>151</v>
      </c>
      <c r="B152" s="23">
        <v>46293</v>
      </c>
      <c r="C152" s="24">
        <f>SUMIFS('Saldos Iniciales'!$D:$D,'Saldos Iniciales'!$A:$A,"CFT Group")+SUMIFS(Movimientos!$K$1:$K$1324,Movimientos!$C$1:$C$1324,"CFT Group",Movimientos!$B$1:$B$1324,"&lt;="&amp;$B152)</f>
        <v>1843622.6700000004</v>
      </c>
      <c r="D152" s="24">
        <f>SUMIFS('Saldos Iniciales'!$D:$D,'Saldos Iniciales'!$A:$A,"M1B")+SUMIFS(Movimientos!$K$1:$K$1324,Movimientos!$C$1:$C$1324,"M1B",Movimientos!$B$1:$B$1324,"&lt;="&amp;$B152)</f>
        <v>100486.46000000017</v>
      </c>
      <c r="E152" s="24">
        <f>SUMIFS('Saldos Iniciales'!$D:$D,'Saldos Iniciales'!$A:$A,"Durand")+SUMIFS(Movimientos!$K$1:$K$1324,Movimientos!$C$1:$C$1324,"Durand",Movimientos!$B$1:$B$1324,"&lt;="&amp;$B152)</f>
        <v>1669.89</v>
      </c>
      <c r="F152" s="24">
        <f>SUMIFS('Saldos Iniciales'!$D:$D,'Saldos Iniciales'!$A:$A,"A&amp;M Imports")+SUMIFS(Movimientos!$K$1:$K$1324,Movimientos!$C$1:$C$1324,"A&amp;M Imports",Movimientos!$B$1:$B$1324,"&lt;="&amp;$B152)</f>
        <v>1330582.2599999998</v>
      </c>
      <c r="G152" s="24">
        <f>SUMIFS('Saldos Iniciales'!$D:$D,'Saldos Iniciales'!$A:$A,"SSP Capital")+SUMIFS(Movimientos!$K$1:$K$1324,Movimientos!$C$1:$C$1324,"SSP Capital",Movimientos!$B$1:$B$1324,"&lt;="&amp;$B152)</f>
        <v>1350091.6599999997</v>
      </c>
      <c r="H152" s="24">
        <f>SUMIFS('Saldos Iniciales'!$D:$D,'Saldos Iniciales'!$A:$A,"Cross Family Trust")+SUMIFS(Movimientos!$K$1:$K$1324,Movimientos!$C$1:$C$1324,"Cross Family Trust",Movimientos!$B$1:$B$1324,"&lt;="&amp;$B152)</f>
        <v>229778.14</v>
      </c>
      <c r="I152" s="24">
        <f>SUMIFS('Saldos Iniciales'!$D:$D,'Saldos Iniciales'!$A:$A,"Cross Security Trust")+SUMIFS(Movimientos!$K$1:$K$1324,Movimientos!$C$1:$C$1324,"Cross Security Trust",Movimientos!$B$1:$B$1324,"&lt;="&amp;$B152)</f>
        <v>217688.58</v>
      </c>
      <c r="J152" s="24">
        <f>SUMIFS('Saldos Iniciales'!$D:$D,'Saldos Iniciales'!$A:$A,"Electrama")+SUMIFS(Movimientos!$K$1:$K$1324,Movimientos!$C$1:$C$1324,"Electrama",Movimientos!$B$1:$B$1324,"&lt;="&amp;$B152)</f>
        <v>11744.75</v>
      </c>
      <c r="K152" s="24">
        <f>SUMIFS('Saldos Iniciales'!$D:$D,'Saldos Iniciales'!$A:$A,"Sacred Valley Capital")+SUMIFS(Movimientos!$K$1:$K$1324,Movimientos!$C$1:$C$1324,"Sacred Valley Capital",Movimientos!$B$1:$B$1324,"&lt;="&amp;$B152)</f>
        <v>94.5</v>
      </c>
      <c r="L152" s="24">
        <f>SUMIFS('Saldos Iniciales'!$D:$D,'Saldos Iniciales'!$A:$A,"YWC Capital")+SUMIFS(Movimientos!$K$1:$K$1324,Movimientos!$C$1:$C$1324,"YWC Capital",Movimientos!$B$1:$B$1324,"&lt;="&amp;$B152)</f>
        <v>2147.92</v>
      </c>
      <c r="M152" s="24">
        <f>SUMIFS('Saldos Iniciales'!$D:$D,'Saldos Iniciales'!$A:$A,"Soweto")+SUMIFS(Movimientos!$K$1:$K$1324,Movimientos!$C$1:$C$1324,"Soweto",Movimientos!$B$1:$B$1324,"&lt;="&amp;$B152)</f>
        <v>17895.290000000015</v>
      </c>
      <c r="N152" s="24">
        <f>SUMIFS('Saldos Iniciales'!$D:$D,'Saldos Iniciales'!$A:$A,"Green Stone Trust")+SUMIFS(Movimientos!$K$1:$K$1324,Movimientos!$C$1:$C$1324,"Green Stone Trust",Movimientos!$B$1:$B$1324,"&lt;="&amp;$B152)</f>
        <v>1968.99</v>
      </c>
      <c r="O152" s="24">
        <f>SUMIFS('Saldos Iniciales'!$D:$D,'Saldos Iniciales'!$A:$A,"EC Auto")+SUMIFS(Movimientos!$K$1:$K$1324,Movimientos!$C$1:$C$1324,"EC Auto",Movimientos!$B$1:$B$1324,"&lt;="&amp;$B152)</f>
        <v>901.34</v>
      </c>
      <c r="P152" s="24">
        <f>SUMIFS('Saldos Iniciales'!$D:$D,'Saldos Iniciales'!$A:$A,"Arbor Capital Properties")+SUMIFS(Movimientos!$K$1:$K$1324,Movimientos!$C$1:$C$1324,"Arbor Capital Properties",Movimientos!$B$1:$B$1324,"&lt;="&amp;$B152)</f>
        <v>1380.08</v>
      </c>
      <c r="Q152" s="24">
        <f>SUMIFS('Saldos Iniciales'!$D:$D,'Saldos Iniciales'!$A:$A,"2515 Overbrook")+SUMIFS(Movimientos!$K$1:$K$1324,Movimientos!$C$1:$C$1324,"2515 Overbrook",Movimientos!$B$1:$B$1324,"&lt;="&amp;$B152)</f>
        <v>28714.879999999961</v>
      </c>
      <c r="R152" s="24">
        <f>SUMIFS('Saldos Iniciales'!$D:$D,'Saldos Iniciales'!$A:$A,"112 Florida Ave")+SUMIFS(Movimientos!$K$1:$K$1324,Movimientos!$C$1:$C$1324,"112 Florida Ave",Movimientos!$B$1:$B$1324,"&lt;="&amp;$B152)</f>
        <v>23374.690000000006</v>
      </c>
      <c r="S152" s="24">
        <f>SUMIFS('Saldos Iniciales'!$D:$D,'Saldos Iniciales'!$A:$A,"3628 Thomas Ave")+SUMIFS(Movimientos!$K$1:$K$1324,Movimientos!$C$1:$C$1324,"3628 Thomas Ave",Movimientos!$B$1:$B$1324,"&lt;="&amp;$B152)</f>
        <v>16266.809999999998</v>
      </c>
      <c r="T152" s="24">
        <f>SUMIFS('Saldos Iniciales'!$D:$D,'Saldos Iniciales'!$A:$A,"Green Harbor Trust")+SUMIFS(Movimientos!$K$1:$K$1324,Movimientos!$C$1:$C$1324,"Green Harbor Trust",Movimientos!$B$1:$B$1324,"&lt;="&amp;$B152)</f>
        <v>345</v>
      </c>
      <c r="U152" s="24">
        <f>SUMIFS('Saldos Iniciales'!$D:$D,'Saldos Iniciales'!$A:$A,"Go Blue")+SUMIFS(Movimientos!$K$1:$K$1324,Movimientos!$C$1:$C$1324,"Go Blue",Movimientos!$B$1:$B$1324,"&lt;="&amp;$B152)</f>
        <v>12209.190000000002</v>
      </c>
      <c r="V152" s="24">
        <f>IF(YEAR($B152)*100+MONTH($B152)&lt;--SUBSTITUTE(_xlfn.XLOOKUP("Pacha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LLC",Movimientos!$B$1:$B$1324,"&lt;="&amp;$B152))</f>
        <v>312314.37000000005</v>
      </c>
      <c r="W152" s="24">
        <f>IF(YEAR($B152)*100+MONTH($B152)&lt;--SUBSTITUTE(_xlfn.XLOOKUP("*CFT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Residence",Movimientos!$B$1:$B$1324,"&lt;="&amp;$B152))</f>
        <v>103560.93000000001</v>
      </c>
      <c r="X152" s="24">
        <f>IF(YEAR($B152)*100+MONTH($B152)&lt;--SUBSTITUTE(_xlfn.XLOOKUP("Carmen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Trust",Movimientos!$B$1:$B$1324,"&lt;="&amp;$B152))</f>
        <v>3631.96</v>
      </c>
      <c r="Y152" s="24">
        <f>IF(YEAR($B152)*100+MONTH($B152)&lt;--SUBSTITUTE(_xlfn.XLOOKUP("SIYP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LLC",Movimientos!$B$1:$B$1324,"&lt;="&amp;$B152))</f>
        <v>604.80000000000018</v>
      </c>
      <c r="Z152" s="24">
        <f>IF(YEAR($B152)*100+MONTH($B152)&lt;--SUBSTITUTE(_xlfn.XLOOKUP("Prendamas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SRL",Movimientos!$B$1:$B$1324,"&lt;="&amp;$B152))</f>
        <v>22456.779999999955</v>
      </c>
      <c r="AA152" s="24">
        <f>IF(YEAR($B152)*100+MONTH($B152)&lt;--SUBSTITUTE(_xlfn.XLOOKUP("360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LLC",Movimientos!$B$1:$B$1324,"&lt;="&amp;$B152))</f>
        <v>794.01</v>
      </c>
      <c r="AB152" s="24">
        <f>IF(YEAR($B152)*100+MONTH($B152)&lt;--SUBSTITUTE(_xlfn.XLOOKUP("Five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",Movimientos!$B$1:$B$1324,"&lt;="&amp;$B152))</f>
        <v>5445.57</v>
      </c>
      <c r="AC152" s="24">
        <f>IF(YEAR($B152)*100+MONTH($B152)&lt;--SUBSTITUTE(_xlfn.XLOOKUP("Nobe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Aparments",Movimientos!$B$1:$B$1324,"&lt;="&amp;$B152))</f>
        <v>237883.16999999998</v>
      </c>
      <c r="AD152" s="24">
        <f>IF(YEAR($B152)*100+MONTH($B152)&lt;--SUBSTITUTE(_xlfn.XLOOKUP("Don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Life",Movimientos!$B$1:$B$1324,"&lt;="&amp;$B152))</f>
        <v>327985.82999999996</v>
      </c>
      <c r="AE152" s="25">
        <f t="shared" si="6"/>
        <v>6205640.5199999996</v>
      </c>
    </row>
    <row r="153" spans="1:31" outlineLevel="1" x14ac:dyDescent="0.3">
      <c r="A153" s="22">
        <f t="shared" si="5"/>
        <v>152</v>
      </c>
      <c r="B153" s="23">
        <v>46294</v>
      </c>
      <c r="C153" s="24">
        <f>SUMIFS('Saldos Iniciales'!$D:$D,'Saldos Iniciales'!$A:$A,"CFT Group")+SUMIFS(Movimientos!$K$1:$K$1324,Movimientos!$C$1:$C$1324,"CFT Group",Movimientos!$B$1:$B$1324,"&lt;="&amp;$B153)</f>
        <v>1840829.6400000004</v>
      </c>
      <c r="D153" s="24">
        <f>SUMIFS('Saldos Iniciales'!$D:$D,'Saldos Iniciales'!$A:$A,"M1B")+SUMIFS(Movimientos!$K$1:$K$1324,Movimientos!$C$1:$C$1324,"M1B",Movimientos!$B$1:$B$1324,"&lt;="&amp;$B153)</f>
        <v>100486.46000000017</v>
      </c>
      <c r="E153" s="24">
        <f>SUMIFS('Saldos Iniciales'!$D:$D,'Saldos Iniciales'!$A:$A,"Durand")+SUMIFS(Movimientos!$K$1:$K$1324,Movimientos!$C$1:$C$1324,"Durand",Movimientos!$B$1:$B$1324,"&lt;="&amp;$B153)</f>
        <v>1669.89</v>
      </c>
      <c r="F153" s="24">
        <f>SUMIFS('Saldos Iniciales'!$D:$D,'Saldos Iniciales'!$A:$A,"A&amp;M Imports")+SUMIFS(Movimientos!$K$1:$K$1324,Movimientos!$C$1:$C$1324,"A&amp;M Imports",Movimientos!$B$1:$B$1324,"&lt;="&amp;$B153)</f>
        <v>1330582.2599999998</v>
      </c>
      <c r="G153" s="24">
        <f>SUMIFS('Saldos Iniciales'!$D:$D,'Saldos Iniciales'!$A:$A,"SSP Capital")+SUMIFS(Movimientos!$K$1:$K$1324,Movimientos!$C$1:$C$1324,"SSP Capital",Movimientos!$B$1:$B$1324,"&lt;="&amp;$B153)</f>
        <v>1180932.1499999997</v>
      </c>
      <c r="H153" s="24">
        <f>SUMIFS('Saldos Iniciales'!$D:$D,'Saldos Iniciales'!$A:$A,"Cross Family Trust")+SUMIFS(Movimientos!$K$1:$K$1324,Movimientos!$C$1:$C$1324,"Cross Family Trust",Movimientos!$B$1:$B$1324,"&lt;="&amp;$B153)</f>
        <v>229778.14</v>
      </c>
      <c r="I153" s="24">
        <f>SUMIFS('Saldos Iniciales'!$D:$D,'Saldos Iniciales'!$A:$A,"Cross Security Trust")+SUMIFS(Movimientos!$K$1:$K$1324,Movimientos!$C$1:$C$1324,"Cross Security Trust",Movimientos!$B$1:$B$1324,"&lt;="&amp;$B153)</f>
        <v>217688.58</v>
      </c>
      <c r="J153" s="24">
        <f>SUMIFS('Saldos Iniciales'!$D:$D,'Saldos Iniciales'!$A:$A,"Electrama")+SUMIFS(Movimientos!$K$1:$K$1324,Movimientos!$C$1:$C$1324,"Electrama",Movimientos!$B$1:$B$1324,"&lt;="&amp;$B153)</f>
        <v>10474.32</v>
      </c>
      <c r="K153" s="24">
        <f>SUMIFS('Saldos Iniciales'!$D:$D,'Saldos Iniciales'!$A:$A,"Sacred Valley Capital")+SUMIFS(Movimientos!$K$1:$K$1324,Movimientos!$C$1:$C$1324,"Sacred Valley Capital",Movimientos!$B$1:$B$1324,"&lt;="&amp;$B153)</f>
        <v>94.5</v>
      </c>
      <c r="L153" s="24">
        <f>SUMIFS('Saldos Iniciales'!$D:$D,'Saldos Iniciales'!$A:$A,"YWC Capital")+SUMIFS(Movimientos!$K$1:$K$1324,Movimientos!$C$1:$C$1324,"YWC Capital",Movimientos!$B$1:$B$1324,"&lt;="&amp;$B153)</f>
        <v>2147.92</v>
      </c>
      <c r="M153" s="24">
        <f>SUMIFS('Saldos Iniciales'!$D:$D,'Saldos Iniciales'!$A:$A,"Soweto")+SUMIFS(Movimientos!$K$1:$K$1324,Movimientos!$C$1:$C$1324,"Soweto",Movimientos!$B$1:$B$1324,"&lt;="&amp;$B153)</f>
        <v>17895.290000000015</v>
      </c>
      <c r="N153" s="24">
        <f>SUMIFS('Saldos Iniciales'!$D:$D,'Saldos Iniciales'!$A:$A,"Green Stone Trust")+SUMIFS(Movimientos!$K$1:$K$1324,Movimientos!$C$1:$C$1324,"Green Stone Trust",Movimientos!$B$1:$B$1324,"&lt;="&amp;$B153)</f>
        <v>1968.99</v>
      </c>
      <c r="O153" s="24">
        <f>SUMIFS('Saldos Iniciales'!$D:$D,'Saldos Iniciales'!$A:$A,"EC Auto")+SUMIFS(Movimientos!$K$1:$K$1324,Movimientos!$C$1:$C$1324,"EC Auto",Movimientos!$B$1:$B$1324,"&lt;="&amp;$B153)</f>
        <v>901.34</v>
      </c>
      <c r="P153" s="24">
        <f>SUMIFS('Saldos Iniciales'!$D:$D,'Saldos Iniciales'!$A:$A,"Arbor Capital Properties")+SUMIFS(Movimientos!$K$1:$K$1324,Movimientos!$C$1:$C$1324,"Arbor Capital Properties",Movimientos!$B$1:$B$1324,"&lt;="&amp;$B153)</f>
        <v>1380.08</v>
      </c>
      <c r="Q153" s="24">
        <f>SUMIFS('Saldos Iniciales'!$D:$D,'Saldos Iniciales'!$A:$A,"2515 Overbrook")+SUMIFS(Movimientos!$K$1:$K$1324,Movimientos!$C$1:$C$1324,"2515 Overbrook",Movimientos!$B$1:$B$1324,"&lt;="&amp;$B153)</f>
        <v>28714.879999999961</v>
      </c>
      <c r="R153" s="24">
        <f>SUMIFS('Saldos Iniciales'!$D:$D,'Saldos Iniciales'!$A:$A,"112 Florida Ave")+SUMIFS(Movimientos!$K$1:$K$1324,Movimientos!$C$1:$C$1324,"112 Florida Ave",Movimientos!$B$1:$B$1324,"&lt;="&amp;$B153)</f>
        <v>23374.690000000006</v>
      </c>
      <c r="S153" s="24">
        <f>SUMIFS('Saldos Iniciales'!$D:$D,'Saldos Iniciales'!$A:$A,"3628 Thomas Ave")+SUMIFS(Movimientos!$K$1:$K$1324,Movimientos!$C$1:$C$1324,"3628 Thomas Ave",Movimientos!$B$1:$B$1324,"&lt;="&amp;$B153)</f>
        <v>19266.809999999998</v>
      </c>
      <c r="T153" s="24">
        <f>SUMIFS('Saldos Iniciales'!$D:$D,'Saldos Iniciales'!$A:$A,"Green Harbor Trust")+SUMIFS(Movimientos!$K$1:$K$1324,Movimientos!$C$1:$C$1324,"Green Harbor Trust",Movimientos!$B$1:$B$1324,"&lt;="&amp;$B153)</f>
        <v>345</v>
      </c>
      <c r="U153" s="24">
        <f>SUMIFS('Saldos Iniciales'!$D:$D,'Saldos Iniciales'!$A:$A,"Go Blue")+SUMIFS(Movimientos!$K$1:$K$1324,Movimientos!$C$1:$C$1324,"Go Blue",Movimientos!$B$1:$B$1324,"&lt;="&amp;$B153)</f>
        <v>12209.190000000002</v>
      </c>
      <c r="V153" s="24">
        <f>IF(YEAR($B153)*100+MONTH($B153)&lt;--SUBSTITUTE(_xlfn.XLOOKUP("Pacha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LLC",Movimientos!$B$1:$B$1324,"&lt;="&amp;$B153))</f>
        <v>312314.37000000005</v>
      </c>
      <c r="W153" s="24">
        <f>IF(YEAR($B153)*100+MONTH($B153)&lt;--SUBSTITUTE(_xlfn.XLOOKUP("*CFT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Residence",Movimientos!$B$1:$B$1324,"&lt;="&amp;$B153))</f>
        <v>102394.01000000001</v>
      </c>
      <c r="X153" s="24">
        <f>IF(YEAR($B153)*100+MONTH($B153)&lt;--SUBSTITUTE(_xlfn.XLOOKUP("Carmen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Trust",Movimientos!$B$1:$B$1324,"&lt;="&amp;$B153))</f>
        <v>3631.96</v>
      </c>
      <c r="Y153" s="24">
        <f>IF(YEAR($B153)*100+MONTH($B153)&lt;--SUBSTITUTE(_xlfn.XLOOKUP("SIYP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LLC",Movimientos!$B$1:$B$1324,"&lt;="&amp;$B153))</f>
        <v>604.80000000000018</v>
      </c>
      <c r="Z153" s="24">
        <f>IF(YEAR($B153)*100+MONTH($B153)&lt;--SUBSTITUTE(_xlfn.XLOOKUP("Prendamas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SRL",Movimientos!$B$1:$B$1324,"&lt;="&amp;$B153))</f>
        <v>22456.779999999955</v>
      </c>
      <c r="AA153" s="24">
        <f>IF(YEAR($B153)*100+MONTH($B153)&lt;--SUBSTITUTE(_xlfn.XLOOKUP("360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LLC",Movimientos!$B$1:$B$1324,"&lt;="&amp;$B153))</f>
        <v>794.01</v>
      </c>
      <c r="AB153" s="24">
        <f>IF(YEAR($B153)*100+MONTH($B153)&lt;--SUBSTITUTE(_xlfn.XLOOKUP("Five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",Movimientos!$B$1:$B$1324,"&lt;="&amp;$B153))</f>
        <v>5445.57</v>
      </c>
      <c r="AC153" s="24">
        <f>IF(YEAR($B153)*100+MONTH($B153)&lt;--SUBSTITUTE(_xlfn.XLOOKUP("Nobe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Aparments",Movimientos!$B$1:$B$1324,"&lt;="&amp;$B153))</f>
        <v>239523.16999999998</v>
      </c>
      <c r="AD153" s="24">
        <f>IF(YEAR($B153)*100+MONTH($B153)&lt;--SUBSTITUTE(_xlfn.XLOOKUP("Don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Life",Movimientos!$B$1:$B$1324,"&lt;="&amp;$B153))</f>
        <v>327985.82999999996</v>
      </c>
      <c r="AE153" s="25">
        <f t="shared" si="6"/>
        <v>6035890.6299999999</v>
      </c>
    </row>
    <row r="154" spans="1:31" x14ac:dyDescent="0.3">
      <c r="A154" s="22">
        <f t="shared" si="5"/>
        <v>153</v>
      </c>
      <c r="B154" s="23">
        <v>46295</v>
      </c>
      <c r="C154" s="24">
        <f>SUMIFS('Saldos Iniciales'!$D:$D,'Saldos Iniciales'!$A:$A,"CFT Group")+SUMIFS(Movimientos!$K$1:$K$1324,Movimientos!$C$1:$C$1324,"CFT Group",Movimientos!$B$1:$B$1324,"&lt;="&amp;$B154)</f>
        <v>1926823.6500000004</v>
      </c>
      <c r="D154" s="24">
        <f>SUMIFS('Saldos Iniciales'!$D:$D,'Saldos Iniciales'!$A:$A,"M1B")+SUMIFS(Movimientos!$K$1:$K$1324,Movimientos!$C$1:$C$1324,"M1B",Movimientos!$B$1:$B$1324,"&lt;="&amp;$B154)</f>
        <v>103123.59000000017</v>
      </c>
      <c r="E154" s="24">
        <f>SUMIFS('Saldos Iniciales'!$D:$D,'Saldos Iniciales'!$A:$A,"Durand")+SUMIFS(Movimientos!$K$1:$K$1324,Movimientos!$C$1:$C$1324,"Durand",Movimientos!$B$1:$B$1324,"&lt;="&amp;$B154)</f>
        <v>1669.89</v>
      </c>
      <c r="F154" s="24">
        <f>SUMIFS('Saldos Iniciales'!$D:$D,'Saldos Iniciales'!$A:$A,"A&amp;M Imports")+SUMIFS(Movimientos!$K$1:$K$1324,Movimientos!$C$1:$C$1324,"A&amp;M Imports",Movimientos!$B$1:$B$1324,"&lt;="&amp;$B154)</f>
        <v>1355779.1799999997</v>
      </c>
      <c r="G154" s="24">
        <f>SUMIFS('Saldos Iniciales'!$D:$D,'Saldos Iniciales'!$A:$A,"SSP Capital")+SUMIFS(Movimientos!$K$1:$K$1324,Movimientos!$C$1:$C$1324,"SSP Capital",Movimientos!$B$1:$B$1324,"&lt;="&amp;$B154)</f>
        <v>1111163.6899999995</v>
      </c>
      <c r="H154" s="24">
        <f>SUMIFS('Saldos Iniciales'!$D:$D,'Saldos Iniciales'!$A:$A,"Cross Family Trust")+SUMIFS(Movimientos!$K$1:$K$1324,Movimientos!$C$1:$C$1324,"Cross Family Trust",Movimientos!$B$1:$B$1324,"&lt;="&amp;$B154)</f>
        <v>229778.14</v>
      </c>
      <c r="I154" s="24">
        <f>SUMIFS('Saldos Iniciales'!$D:$D,'Saldos Iniciales'!$A:$A,"Cross Security Trust")+SUMIFS(Movimientos!$K$1:$K$1324,Movimientos!$C$1:$C$1324,"Cross Security Trust",Movimientos!$B$1:$B$1324,"&lt;="&amp;$B154)</f>
        <v>80533.579999999987</v>
      </c>
      <c r="J154" s="24">
        <f>SUMIFS('Saldos Iniciales'!$D:$D,'Saldos Iniciales'!$A:$A,"Electrama")+SUMIFS(Movimientos!$K$1:$K$1324,Movimientos!$C$1:$C$1324,"Electrama",Movimientos!$B$1:$B$1324,"&lt;="&amp;$B154)</f>
        <v>10259.18</v>
      </c>
      <c r="K154" s="24">
        <f>SUMIFS('Saldos Iniciales'!$D:$D,'Saldos Iniciales'!$A:$A,"Sacred Valley Capital")+SUMIFS(Movimientos!$K$1:$K$1324,Movimientos!$C$1:$C$1324,"Sacred Valley Capital",Movimientos!$B$1:$B$1324,"&lt;="&amp;$B154)</f>
        <v>94.5</v>
      </c>
      <c r="L154" s="24">
        <f>SUMIFS('Saldos Iniciales'!$D:$D,'Saldos Iniciales'!$A:$A,"YWC Capital")+SUMIFS(Movimientos!$K$1:$K$1324,Movimientos!$C$1:$C$1324,"YWC Capital",Movimientos!$B$1:$B$1324,"&lt;="&amp;$B154)</f>
        <v>2147.92</v>
      </c>
      <c r="M154" s="24">
        <f>SUMIFS('Saldos Iniciales'!$D:$D,'Saldos Iniciales'!$A:$A,"Soweto")+SUMIFS(Movimientos!$K$1:$K$1324,Movimientos!$C$1:$C$1324,"Soweto",Movimientos!$B$1:$B$1324,"&lt;="&amp;$B154)</f>
        <v>17895.290000000015</v>
      </c>
      <c r="N154" s="24">
        <f>SUMIFS('Saldos Iniciales'!$D:$D,'Saldos Iniciales'!$A:$A,"Green Stone Trust")+SUMIFS(Movimientos!$K$1:$K$1324,Movimientos!$C$1:$C$1324,"Green Stone Trust",Movimientos!$B$1:$B$1324,"&lt;="&amp;$B154)</f>
        <v>1968.99</v>
      </c>
      <c r="O154" s="24">
        <f>SUMIFS('Saldos Iniciales'!$D:$D,'Saldos Iniciales'!$A:$A,"EC Auto")+SUMIFS(Movimientos!$K$1:$K$1324,Movimientos!$C$1:$C$1324,"EC Auto",Movimientos!$B$1:$B$1324,"&lt;="&amp;$B154)</f>
        <v>901.34</v>
      </c>
      <c r="P154" s="24">
        <f>SUMIFS('Saldos Iniciales'!$D:$D,'Saldos Iniciales'!$A:$A,"Arbor Capital Properties")+SUMIFS(Movimientos!$K$1:$K$1324,Movimientos!$C$1:$C$1324,"Arbor Capital Properties",Movimientos!$B$1:$B$1324,"&lt;="&amp;$B154)</f>
        <v>1380.08</v>
      </c>
      <c r="Q154" s="24">
        <f>SUMIFS('Saldos Iniciales'!$D:$D,'Saldos Iniciales'!$A:$A,"2515 Overbrook")+SUMIFS(Movimientos!$K$1:$K$1324,Movimientos!$C$1:$C$1324,"2515 Overbrook",Movimientos!$B$1:$B$1324,"&lt;="&amp;$B154)</f>
        <v>28714.879999999961</v>
      </c>
      <c r="R154" s="24">
        <f>SUMIFS('Saldos Iniciales'!$D:$D,'Saldos Iniciales'!$A:$A,"112 Florida Ave")+SUMIFS(Movimientos!$K$1:$K$1324,Movimientos!$C$1:$C$1324,"112 Florida Ave",Movimientos!$B$1:$B$1324,"&lt;="&amp;$B154)</f>
        <v>23374.690000000006</v>
      </c>
      <c r="S154" s="24">
        <f>SUMIFS('Saldos Iniciales'!$D:$D,'Saldos Iniciales'!$A:$A,"3628 Thomas Ave")+SUMIFS(Movimientos!$K$1:$K$1324,Movimientos!$C$1:$C$1324,"3628 Thomas Ave",Movimientos!$B$1:$B$1324,"&lt;="&amp;$B154)</f>
        <v>19266.809999999998</v>
      </c>
      <c r="T154" s="24">
        <f>SUMIFS('Saldos Iniciales'!$D:$D,'Saldos Iniciales'!$A:$A,"Green Harbor Trust")+SUMIFS(Movimientos!$K$1:$K$1324,Movimientos!$C$1:$C$1324,"Green Harbor Trust",Movimientos!$B$1:$B$1324,"&lt;="&amp;$B154)</f>
        <v>345</v>
      </c>
      <c r="U154" s="24">
        <f>SUMIFS('Saldos Iniciales'!$D:$D,'Saldos Iniciales'!$A:$A,"Go Blue")+SUMIFS(Movimientos!$K$1:$K$1324,Movimientos!$C$1:$C$1324,"Go Blue",Movimientos!$B$1:$B$1324,"&lt;="&amp;$B154)</f>
        <v>12209.190000000002</v>
      </c>
      <c r="V154" s="24">
        <f>IF(YEAR($B154)*100+MONTH($B154)&lt;--SUBSTITUTE(_xlfn.XLOOKUP("Pacha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LLC",Movimientos!$B$1:$B$1324,"&lt;="&amp;$B154))</f>
        <v>313178.98000000004</v>
      </c>
      <c r="W154" s="24">
        <f>IF(YEAR($B154)*100+MONTH($B154)&lt;--SUBSTITUTE(_xlfn.XLOOKUP("*CFT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Residence",Movimientos!$B$1:$B$1324,"&lt;="&amp;$B154))</f>
        <v>102344.01000000001</v>
      </c>
      <c r="X154" s="24">
        <f>IF(YEAR($B154)*100+MONTH($B154)&lt;--SUBSTITUTE(_xlfn.XLOOKUP("Carmen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Trust",Movimientos!$B$1:$B$1324,"&lt;="&amp;$B154))</f>
        <v>3631.96</v>
      </c>
      <c r="Y154" s="24">
        <f>IF(YEAR($B154)*100+MONTH($B154)&lt;--SUBSTITUTE(_xlfn.XLOOKUP("SIYP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LLC",Movimientos!$B$1:$B$1324,"&lt;="&amp;$B154))</f>
        <v>604.80000000000018</v>
      </c>
      <c r="Z154" s="24">
        <f>IF(YEAR($B154)*100+MONTH($B154)&lt;--SUBSTITUTE(_xlfn.XLOOKUP("Prendamas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SRL",Movimientos!$B$1:$B$1324,"&lt;="&amp;$B154))</f>
        <v>21964.799999999959</v>
      </c>
      <c r="AA154" s="24">
        <f>IF(YEAR($B154)*100+MONTH($B154)&lt;--SUBSTITUTE(_xlfn.XLOOKUP("360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LLC",Movimientos!$B$1:$B$1324,"&lt;="&amp;$B154))</f>
        <v>794.01</v>
      </c>
      <c r="AB154" s="24">
        <f>IF(YEAR($B154)*100+MONTH($B154)&lt;--SUBSTITUTE(_xlfn.XLOOKUP("Five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",Movimientos!$B$1:$B$1324,"&lt;="&amp;$B154))</f>
        <v>5445.57</v>
      </c>
      <c r="AC154" s="24">
        <f>IF(YEAR($B154)*100+MONTH($B154)&lt;--SUBSTITUTE(_xlfn.XLOOKUP("Nobe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Aparments",Movimientos!$B$1:$B$1324,"&lt;="&amp;$B154))</f>
        <v>239523.16999999998</v>
      </c>
      <c r="AD154" s="24">
        <f>IF(YEAR($B154)*100+MONTH($B154)&lt;--SUBSTITUTE(_xlfn.XLOOKUP("Don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Life",Movimientos!$B$1:$B$1324,"&lt;="&amp;$B154))</f>
        <v>327985.82999999996</v>
      </c>
      <c r="AE154" s="25">
        <f t="shared" si="6"/>
        <v>5942902.7199999997</v>
      </c>
    </row>
    <row r="155" spans="1:31" x14ac:dyDescent="0.3">
      <c r="A155" s="22">
        <f t="shared" si="5"/>
        <v>154</v>
      </c>
      <c r="B155" s="23">
        <v>46296</v>
      </c>
      <c r="C155" s="24">
        <f>SUMIFS('Saldos Iniciales'!$D:$D,'Saldos Iniciales'!$A:$A,"CFT Group")+SUMIFS(Movimientos!$K$1:$K$1324,Movimientos!$C$1:$C$1324,"CFT Group",Movimientos!$B$1:$B$1324,"&lt;="&amp;$B155)</f>
        <v>3099831.9800000004</v>
      </c>
      <c r="D155" s="24">
        <f>SUMIFS('Saldos Iniciales'!$D:$D,'Saldos Iniciales'!$A:$A,"M1B")+SUMIFS(Movimientos!$K$1:$K$1324,Movimientos!$C$1:$C$1324,"M1B",Movimientos!$B$1:$B$1324,"&lt;="&amp;$B155)</f>
        <v>103123.59000000017</v>
      </c>
      <c r="E155" s="24">
        <f>SUMIFS('Saldos Iniciales'!$D:$D,'Saldos Iniciales'!$A:$A,"Durand")+SUMIFS(Movimientos!$K$1:$K$1324,Movimientos!$C$1:$C$1324,"Durand",Movimientos!$B$1:$B$1324,"&lt;="&amp;$B155)</f>
        <v>1669.89</v>
      </c>
      <c r="F155" s="24">
        <f>SUMIFS('Saldos Iniciales'!$D:$D,'Saldos Iniciales'!$A:$A,"A&amp;M Imports")+SUMIFS(Movimientos!$K$1:$K$1324,Movimientos!$C$1:$C$1324,"A&amp;M Imports",Movimientos!$B$1:$B$1324,"&lt;="&amp;$B155)</f>
        <v>1200526.7499999995</v>
      </c>
      <c r="G155" s="24">
        <f>SUMIFS('Saldos Iniciales'!$D:$D,'Saldos Iniciales'!$A:$A,"SSP Capital")+SUMIFS(Movimientos!$K$1:$K$1324,Movimientos!$C$1:$C$1324,"SSP Capital",Movimientos!$B$1:$B$1324,"&lt;="&amp;$B155)</f>
        <v>1586416.1199999996</v>
      </c>
      <c r="H155" s="24">
        <f>SUMIFS('Saldos Iniciales'!$D:$D,'Saldos Iniciales'!$A:$A,"Cross Family Trust")+SUMIFS(Movimientos!$K$1:$K$1324,Movimientos!$C$1:$C$1324,"Cross Family Trust",Movimientos!$B$1:$B$1324,"&lt;="&amp;$B155)</f>
        <v>208778.14</v>
      </c>
      <c r="I155" s="24">
        <f>SUMIFS('Saldos Iniciales'!$D:$D,'Saldos Iniciales'!$A:$A,"Cross Security Trust")+SUMIFS(Movimientos!$K$1:$K$1324,Movimientos!$C$1:$C$1324,"Cross Security Trust",Movimientos!$B$1:$B$1324,"&lt;="&amp;$B155)</f>
        <v>80533.579999999987</v>
      </c>
      <c r="J155" s="24">
        <f>SUMIFS('Saldos Iniciales'!$D:$D,'Saldos Iniciales'!$A:$A,"Electrama")+SUMIFS(Movimientos!$K$1:$K$1324,Movimientos!$C$1:$C$1324,"Electrama",Movimientos!$B$1:$B$1324,"&lt;="&amp;$B155)</f>
        <v>10259.18</v>
      </c>
      <c r="K155" s="24">
        <f>SUMIFS('Saldos Iniciales'!$D:$D,'Saldos Iniciales'!$A:$A,"Sacred Valley Capital")+SUMIFS(Movimientos!$K$1:$K$1324,Movimientos!$C$1:$C$1324,"Sacred Valley Capital",Movimientos!$B$1:$B$1324,"&lt;="&amp;$B155)</f>
        <v>64.55</v>
      </c>
      <c r="L155" s="24">
        <f>SUMIFS('Saldos Iniciales'!$D:$D,'Saldos Iniciales'!$A:$A,"YWC Capital")+SUMIFS(Movimientos!$K$1:$K$1324,Movimientos!$C$1:$C$1324,"YWC Capital",Movimientos!$B$1:$B$1324,"&lt;="&amp;$B155)</f>
        <v>2117.9700000000003</v>
      </c>
      <c r="M155" s="24">
        <f>SUMIFS('Saldos Iniciales'!$D:$D,'Saldos Iniciales'!$A:$A,"Soweto")+SUMIFS(Movimientos!$K$1:$K$1324,Movimientos!$C$1:$C$1324,"Soweto",Movimientos!$B$1:$B$1324,"&lt;="&amp;$B155)</f>
        <v>17895.290000000015</v>
      </c>
      <c r="N155" s="24">
        <f>SUMIFS('Saldos Iniciales'!$D:$D,'Saldos Iniciales'!$A:$A,"Green Stone Trust")+SUMIFS(Movimientos!$K$1:$K$1324,Movimientos!$C$1:$C$1324,"Green Stone Trust",Movimientos!$B$1:$B$1324,"&lt;="&amp;$B155)</f>
        <v>1968.99</v>
      </c>
      <c r="O155" s="24">
        <f>SUMIFS('Saldos Iniciales'!$D:$D,'Saldos Iniciales'!$A:$A,"EC Auto")+SUMIFS(Movimientos!$K$1:$K$1324,Movimientos!$C$1:$C$1324,"EC Auto",Movimientos!$B$1:$B$1324,"&lt;="&amp;$B155)</f>
        <v>901.34</v>
      </c>
      <c r="P155" s="24">
        <f>SUMIFS('Saldos Iniciales'!$D:$D,'Saldos Iniciales'!$A:$A,"Arbor Capital Properties")+SUMIFS(Movimientos!$K$1:$K$1324,Movimientos!$C$1:$C$1324,"Arbor Capital Properties",Movimientos!$B$1:$B$1324,"&lt;="&amp;$B155)</f>
        <v>1364.08</v>
      </c>
      <c r="Q155" s="24">
        <f>SUMIFS('Saldos Iniciales'!$D:$D,'Saldos Iniciales'!$A:$A,"2515 Overbrook")+SUMIFS(Movimientos!$K$1:$K$1324,Movimientos!$C$1:$C$1324,"2515 Overbrook",Movimientos!$B$1:$B$1324,"&lt;="&amp;$B155)</f>
        <v>20171.549999999959</v>
      </c>
      <c r="R155" s="24">
        <f>SUMIFS('Saldos Iniciales'!$D:$D,'Saldos Iniciales'!$A:$A,"112 Florida Ave")+SUMIFS(Movimientos!$K$1:$K$1324,Movimientos!$C$1:$C$1324,"112 Florida Ave",Movimientos!$B$1:$B$1324,"&lt;="&amp;$B155)</f>
        <v>13576.060000000007</v>
      </c>
      <c r="S155" s="24">
        <f>SUMIFS('Saldos Iniciales'!$D:$D,'Saldos Iniciales'!$A:$A,"3628 Thomas Ave")+SUMIFS(Movimientos!$K$1:$K$1324,Movimientos!$C$1:$C$1324,"3628 Thomas Ave",Movimientos!$B$1:$B$1324,"&lt;="&amp;$B155)</f>
        <v>16893.769999999997</v>
      </c>
      <c r="T155" s="24">
        <f>SUMIFS('Saldos Iniciales'!$D:$D,'Saldos Iniciales'!$A:$A,"Green Harbor Trust")+SUMIFS(Movimientos!$K$1:$K$1324,Movimientos!$C$1:$C$1324,"Green Harbor Trust",Movimientos!$B$1:$B$1324,"&lt;="&amp;$B155)</f>
        <v>345</v>
      </c>
      <c r="U155" s="24">
        <f>SUMIFS('Saldos Iniciales'!$D:$D,'Saldos Iniciales'!$A:$A,"Go Blue")+SUMIFS(Movimientos!$K$1:$K$1324,Movimientos!$C$1:$C$1324,"Go Blue",Movimientos!$B$1:$B$1324,"&lt;="&amp;$B155)</f>
        <v>26842.190000000002</v>
      </c>
      <c r="V155" s="24">
        <f>IF(YEAR($B155)*100+MONTH($B155)&lt;--SUBSTITUTE(_xlfn.XLOOKUP("Pacha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LLC",Movimientos!$B$1:$B$1324,"&lt;="&amp;$B155))</f>
        <v>313178.98000000004</v>
      </c>
      <c r="W155" s="24">
        <f>IF(YEAR($B155)*100+MONTH($B155)&lt;--SUBSTITUTE(_xlfn.XLOOKUP("*CFT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Residence",Movimientos!$B$1:$B$1324,"&lt;="&amp;$B155))</f>
        <v>102344.01000000001</v>
      </c>
      <c r="X155" s="24">
        <f>IF(YEAR($B155)*100+MONTH($B155)&lt;--SUBSTITUTE(_xlfn.XLOOKUP("Carmen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Trust",Movimientos!$B$1:$B$1324,"&lt;="&amp;$B155))</f>
        <v>100631.96</v>
      </c>
      <c r="Y155" s="24">
        <f>IF(YEAR($B155)*100+MONTH($B155)&lt;--SUBSTITUTE(_xlfn.XLOOKUP("SIYP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LLC",Movimientos!$B$1:$B$1324,"&lt;="&amp;$B155))</f>
        <v>5604.8</v>
      </c>
      <c r="Z155" s="24">
        <f>IF(YEAR($B155)*100+MONTH($B155)&lt;--SUBSTITUTE(_xlfn.XLOOKUP("Prendamas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SRL",Movimientos!$B$1:$B$1324,"&lt;="&amp;$B155))</f>
        <v>21964.799999999959</v>
      </c>
      <c r="AA155" s="24">
        <f>IF(YEAR($B155)*100+MONTH($B155)&lt;--SUBSTITUTE(_xlfn.XLOOKUP("360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LLC",Movimientos!$B$1:$B$1324,"&lt;="&amp;$B155))</f>
        <v>794.01</v>
      </c>
      <c r="AB155" s="24">
        <f>IF(YEAR($B155)*100+MONTH($B155)&lt;--SUBSTITUTE(_xlfn.XLOOKUP("Five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",Movimientos!$B$1:$B$1324,"&lt;="&amp;$B155))</f>
        <v>5445.57</v>
      </c>
      <c r="AC155" s="24">
        <f>IF(YEAR($B155)*100+MONTH($B155)&lt;--SUBSTITUTE(_xlfn.XLOOKUP("Nobe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Aparments",Movimientos!$B$1:$B$1324,"&lt;="&amp;$B155))</f>
        <v>239523.16999999998</v>
      </c>
      <c r="AD155" s="24">
        <f>IF(YEAR($B155)*100+MONTH($B155)&lt;--SUBSTITUTE(_xlfn.XLOOKUP("Don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Life",Movimientos!$B$1:$B$1324,"&lt;="&amp;$B155))</f>
        <v>327985.82999999996</v>
      </c>
      <c r="AE155" s="25">
        <f t="shared" si="6"/>
        <v>7510753.1499999985</v>
      </c>
    </row>
    <row r="156" spans="1:31" x14ac:dyDescent="0.3">
      <c r="A156" s="22">
        <f t="shared" si="5"/>
        <v>155</v>
      </c>
      <c r="B156" s="23">
        <v>46297</v>
      </c>
      <c r="C156" s="24">
        <f>SUMIFS('Saldos Iniciales'!$D:$D,'Saldos Iniciales'!$A:$A,"CFT Group")+SUMIFS(Movimientos!$K$1:$K$1324,Movimientos!$C$1:$C$1324,"CFT Group",Movimientos!$B$1:$B$1324,"&lt;="&amp;$B156)</f>
        <v>3099831.9800000004</v>
      </c>
      <c r="D156" s="24">
        <f>SUMIFS('Saldos Iniciales'!$D:$D,'Saldos Iniciales'!$A:$A,"M1B")+SUMIFS(Movimientos!$K$1:$K$1324,Movimientos!$C$1:$C$1324,"M1B",Movimientos!$B$1:$B$1324,"&lt;="&amp;$B156)</f>
        <v>103123.59000000017</v>
      </c>
      <c r="E156" s="24">
        <f>SUMIFS('Saldos Iniciales'!$D:$D,'Saldos Iniciales'!$A:$A,"Durand")+SUMIFS(Movimientos!$K$1:$K$1324,Movimientos!$C$1:$C$1324,"Durand",Movimientos!$B$1:$B$1324,"&lt;="&amp;$B156)</f>
        <v>1669.89</v>
      </c>
      <c r="F156" s="24">
        <f>SUMIFS('Saldos Iniciales'!$D:$D,'Saldos Iniciales'!$A:$A,"A&amp;M Imports")+SUMIFS(Movimientos!$K$1:$K$1324,Movimientos!$C$1:$C$1324,"A&amp;M Imports",Movimientos!$B$1:$B$1324,"&lt;="&amp;$B156)</f>
        <v>1200526.7499999995</v>
      </c>
      <c r="G156" s="24">
        <f>SUMIFS('Saldos Iniciales'!$D:$D,'Saldos Iniciales'!$A:$A,"SSP Capital")+SUMIFS(Movimientos!$K$1:$K$1324,Movimientos!$C$1:$C$1324,"SSP Capital",Movimientos!$B$1:$B$1324,"&lt;="&amp;$B156)</f>
        <v>1586416.1199999996</v>
      </c>
      <c r="H156" s="24">
        <f>SUMIFS('Saldos Iniciales'!$D:$D,'Saldos Iniciales'!$A:$A,"Cross Family Trust")+SUMIFS(Movimientos!$K$1:$K$1324,Movimientos!$C$1:$C$1324,"Cross Family Trust",Movimientos!$B$1:$B$1324,"&lt;="&amp;$B156)</f>
        <v>208778.14</v>
      </c>
      <c r="I156" s="24">
        <f>SUMIFS('Saldos Iniciales'!$D:$D,'Saldos Iniciales'!$A:$A,"Cross Security Trust")+SUMIFS(Movimientos!$K$1:$K$1324,Movimientos!$C$1:$C$1324,"Cross Security Trust",Movimientos!$B$1:$B$1324,"&lt;="&amp;$B156)</f>
        <v>80533.579999999987</v>
      </c>
      <c r="J156" s="24">
        <f>SUMIFS('Saldos Iniciales'!$D:$D,'Saldos Iniciales'!$A:$A,"Electrama")+SUMIFS(Movimientos!$K$1:$K$1324,Movimientos!$C$1:$C$1324,"Electrama",Movimientos!$B$1:$B$1324,"&lt;="&amp;$B156)</f>
        <v>10259.18</v>
      </c>
      <c r="K156" s="24">
        <f>SUMIFS('Saldos Iniciales'!$D:$D,'Saldos Iniciales'!$A:$A,"Sacred Valley Capital")+SUMIFS(Movimientos!$K$1:$K$1324,Movimientos!$C$1:$C$1324,"Sacred Valley Capital",Movimientos!$B$1:$B$1324,"&lt;="&amp;$B156)</f>
        <v>64.55</v>
      </c>
      <c r="L156" s="24">
        <f>SUMIFS('Saldos Iniciales'!$D:$D,'Saldos Iniciales'!$A:$A,"YWC Capital")+SUMIFS(Movimientos!$K$1:$K$1324,Movimientos!$C$1:$C$1324,"YWC Capital",Movimientos!$B$1:$B$1324,"&lt;="&amp;$B156)</f>
        <v>2117.9700000000003</v>
      </c>
      <c r="M156" s="24">
        <f>SUMIFS('Saldos Iniciales'!$D:$D,'Saldos Iniciales'!$A:$A,"Soweto")+SUMIFS(Movimientos!$K$1:$K$1324,Movimientos!$C$1:$C$1324,"Soweto",Movimientos!$B$1:$B$1324,"&lt;="&amp;$B156)</f>
        <v>17895.290000000015</v>
      </c>
      <c r="N156" s="24">
        <f>SUMIFS('Saldos Iniciales'!$D:$D,'Saldos Iniciales'!$A:$A,"Green Stone Trust")+SUMIFS(Movimientos!$K$1:$K$1324,Movimientos!$C$1:$C$1324,"Green Stone Trust",Movimientos!$B$1:$B$1324,"&lt;="&amp;$B156)</f>
        <v>1968.99</v>
      </c>
      <c r="O156" s="24">
        <f>SUMIFS('Saldos Iniciales'!$D:$D,'Saldos Iniciales'!$A:$A,"EC Auto")+SUMIFS(Movimientos!$K$1:$K$1324,Movimientos!$C$1:$C$1324,"EC Auto",Movimientos!$B$1:$B$1324,"&lt;="&amp;$B156)</f>
        <v>901.34</v>
      </c>
      <c r="P156" s="24">
        <f>SUMIFS('Saldos Iniciales'!$D:$D,'Saldos Iniciales'!$A:$A,"Arbor Capital Properties")+SUMIFS(Movimientos!$K$1:$K$1324,Movimientos!$C$1:$C$1324,"Arbor Capital Properties",Movimientos!$B$1:$B$1324,"&lt;="&amp;$B156)</f>
        <v>1364.08</v>
      </c>
      <c r="Q156" s="24">
        <f>SUMIFS('Saldos Iniciales'!$D:$D,'Saldos Iniciales'!$A:$A,"2515 Overbrook")+SUMIFS(Movimientos!$K$1:$K$1324,Movimientos!$C$1:$C$1324,"2515 Overbrook",Movimientos!$B$1:$B$1324,"&lt;="&amp;$B156)</f>
        <v>20171.549999999959</v>
      </c>
      <c r="R156" s="24">
        <f>SUMIFS('Saldos Iniciales'!$D:$D,'Saldos Iniciales'!$A:$A,"112 Florida Ave")+SUMIFS(Movimientos!$K$1:$K$1324,Movimientos!$C$1:$C$1324,"112 Florida Ave",Movimientos!$B$1:$B$1324,"&lt;="&amp;$B156)</f>
        <v>13576.060000000007</v>
      </c>
      <c r="S156" s="24">
        <f>SUMIFS('Saldos Iniciales'!$D:$D,'Saldos Iniciales'!$A:$A,"3628 Thomas Ave")+SUMIFS(Movimientos!$K$1:$K$1324,Movimientos!$C$1:$C$1324,"3628 Thomas Ave",Movimientos!$B$1:$B$1324,"&lt;="&amp;$B156)</f>
        <v>16893.769999999997</v>
      </c>
      <c r="T156" s="24">
        <f>SUMIFS('Saldos Iniciales'!$D:$D,'Saldos Iniciales'!$A:$A,"Green Harbor Trust")+SUMIFS(Movimientos!$K$1:$K$1324,Movimientos!$C$1:$C$1324,"Green Harbor Trust",Movimientos!$B$1:$B$1324,"&lt;="&amp;$B156)</f>
        <v>345</v>
      </c>
      <c r="U156" s="24">
        <f>SUMIFS('Saldos Iniciales'!$D:$D,'Saldos Iniciales'!$A:$A,"Go Blue")+SUMIFS(Movimientos!$K$1:$K$1324,Movimientos!$C$1:$C$1324,"Go Blue",Movimientos!$B$1:$B$1324,"&lt;="&amp;$B156)</f>
        <v>23028.850000000002</v>
      </c>
      <c r="V156" s="24">
        <f>IF(YEAR($B156)*100+MONTH($B156)&lt;--SUBSTITUTE(_xlfn.XLOOKUP("Pacha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LLC",Movimientos!$B$1:$B$1324,"&lt;="&amp;$B156))</f>
        <v>313178.98000000004</v>
      </c>
      <c r="W156" s="24">
        <f>IF(YEAR($B156)*100+MONTH($B156)&lt;--SUBSTITUTE(_xlfn.XLOOKUP("*CFT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Residence",Movimientos!$B$1:$B$1324,"&lt;="&amp;$B156))</f>
        <v>102232.04000000001</v>
      </c>
      <c r="X156" s="24">
        <f>IF(YEAR($B156)*100+MONTH($B156)&lt;--SUBSTITUTE(_xlfn.XLOOKUP("Carmen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Trust",Movimientos!$B$1:$B$1324,"&lt;="&amp;$B156))</f>
        <v>100631.96</v>
      </c>
      <c r="Y156" s="24">
        <f>IF(YEAR($B156)*100+MONTH($B156)&lt;--SUBSTITUTE(_xlfn.XLOOKUP("SIYP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LLC",Movimientos!$B$1:$B$1324,"&lt;="&amp;$B156))</f>
        <v>5604.8</v>
      </c>
      <c r="Z156" s="24">
        <f>IF(YEAR($B156)*100+MONTH($B156)&lt;--SUBSTITUTE(_xlfn.XLOOKUP("Prendamas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SRL",Movimientos!$B$1:$B$1324,"&lt;="&amp;$B156))</f>
        <v>21434.939999999973</v>
      </c>
      <c r="AA156" s="24">
        <f>IF(YEAR($B156)*100+MONTH($B156)&lt;--SUBSTITUTE(_xlfn.XLOOKUP("360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LLC",Movimientos!$B$1:$B$1324,"&lt;="&amp;$B156))</f>
        <v>794.01</v>
      </c>
      <c r="AB156" s="24">
        <f>IF(YEAR($B156)*100+MONTH($B156)&lt;--SUBSTITUTE(_xlfn.XLOOKUP("Five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",Movimientos!$B$1:$B$1324,"&lt;="&amp;$B156))</f>
        <v>5445.57</v>
      </c>
      <c r="AC156" s="24">
        <f>IF(YEAR($B156)*100+MONTH($B156)&lt;--SUBSTITUTE(_xlfn.XLOOKUP("Nobe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Aparments",Movimientos!$B$1:$B$1324,"&lt;="&amp;$B156))</f>
        <v>240473.16999999998</v>
      </c>
      <c r="AD156" s="24">
        <f>IF(YEAR($B156)*100+MONTH($B156)&lt;--SUBSTITUTE(_xlfn.XLOOKUP("Don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Life",Movimientos!$B$1:$B$1324,"&lt;="&amp;$B156))</f>
        <v>327985.82999999996</v>
      </c>
      <c r="AE156" s="25">
        <f t="shared" si="6"/>
        <v>7507247.9799999986</v>
      </c>
    </row>
    <row r="157" spans="1:31" x14ac:dyDescent="0.3">
      <c r="A157" s="22">
        <f t="shared" si="5"/>
        <v>156</v>
      </c>
      <c r="B157" s="23">
        <v>46298</v>
      </c>
      <c r="C157" s="24">
        <f>SUMIFS('Saldos Iniciales'!$D:$D,'Saldos Iniciales'!$A:$A,"CFT Group")+SUMIFS(Movimientos!$K$1:$K$1324,Movimientos!$C$1:$C$1324,"CFT Group",Movimientos!$B$1:$B$1324,"&lt;="&amp;$B157)</f>
        <v>3099831.9800000004</v>
      </c>
      <c r="D157" s="24">
        <f>SUMIFS('Saldos Iniciales'!$D:$D,'Saldos Iniciales'!$A:$A,"M1B")+SUMIFS(Movimientos!$K$1:$K$1324,Movimientos!$C$1:$C$1324,"M1B",Movimientos!$B$1:$B$1324,"&lt;="&amp;$B157)</f>
        <v>103123.59000000017</v>
      </c>
      <c r="E157" s="24">
        <f>SUMIFS('Saldos Iniciales'!$D:$D,'Saldos Iniciales'!$A:$A,"Durand")+SUMIFS(Movimientos!$K$1:$K$1324,Movimientos!$C$1:$C$1324,"Durand",Movimientos!$B$1:$B$1324,"&lt;="&amp;$B157)</f>
        <v>1669.89</v>
      </c>
      <c r="F157" s="24">
        <f>SUMIFS('Saldos Iniciales'!$D:$D,'Saldos Iniciales'!$A:$A,"A&amp;M Imports")+SUMIFS(Movimientos!$K$1:$K$1324,Movimientos!$C$1:$C$1324,"A&amp;M Imports",Movimientos!$B$1:$B$1324,"&lt;="&amp;$B157)</f>
        <v>1200526.7499999995</v>
      </c>
      <c r="G157" s="24">
        <f>SUMIFS('Saldos Iniciales'!$D:$D,'Saldos Iniciales'!$A:$A,"SSP Capital")+SUMIFS(Movimientos!$K$1:$K$1324,Movimientos!$C$1:$C$1324,"SSP Capital",Movimientos!$B$1:$B$1324,"&lt;="&amp;$B157)</f>
        <v>1586416.1199999996</v>
      </c>
      <c r="H157" s="24">
        <f>SUMIFS('Saldos Iniciales'!$D:$D,'Saldos Iniciales'!$A:$A,"Cross Family Trust")+SUMIFS(Movimientos!$K$1:$K$1324,Movimientos!$C$1:$C$1324,"Cross Family Trust",Movimientos!$B$1:$B$1324,"&lt;="&amp;$B157)</f>
        <v>208778.14</v>
      </c>
      <c r="I157" s="24">
        <f>SUMIFS('Saldos Iniciales'!$D:$D,'Saldos Iniciales'!$A:$A,"Cross Security Trust")+SUMIFS(Movimientos!$K$1:$K$1324,Movimientos!$C$1:$C$1324,"Cross Security Trust",Movimientos!$B$1:$B$1324,"&lt;="&amp;$B157)</f>
        <v>80533.579999999987</v>
      </c>
      <c r="J157" s="24">
        <f>SUMIFS('Saldos Iniciales'!$D:$D,'Saldos Iniciales'!$A:$A,"Electrama")+SUMIFS(Movimientos!$K$1:$K$1324,Movimientos!$C$1:$C$1324,"Electrama",Movimientos!$B$1:$B$1324,"&lt;="&amp;$B157)</f>
        <v>10259.18</v>
      </c>
      <c r="K157" s="24">
        <f>SUMIFS('Saldos Iniciales'!$D:$D,'Saldos Iniciales'!$A:$A,"Sacred Valley Capital")+SUMIFS(Movimientos!$K$1:$K$1324,Movimientos!$C$1:$C$1324,"Sacred Valley Capital",Movimientos!$B$1:$B$1324,"&lt;="&amp;$B157)</f>
        <v>64.55</v>
      </c>
      <c r="L157" s="24">
        <f>SUMIFS('Saldos Iniciales'!$D:$D,'Saldos Iniciales'!$A:$A,"YWC Capital")+SUMIFS(Movimientos!$K$1:$K$1324,Movimientos!$C$1:$C$1324,"YWC Capital",Movimientos!$B$1:$B$1324,"&lt;="&amp;$B157)</f>
        <v>2117.9700000000003</v>
      </c>
      <c r="M157" s="24">
        <f>SUMIFS('Saldos Iniciales'!$D:$D,'Saldos Iniciales'!$A:$A,"Soweto")+SUMIFS(Movimientos!$K$1:$K$1324,Movimientos!$C$1:$C$1324,"Soweto",Movimientos!$B$1:$B$1324,"&lt;="&amp;$B157)</f>
        <v>17895.290000000015</v>
      </c>
      <c r="N157" s="24">
        <f>SUMIFS('Saldos Iniciales'!$D:$D,'Saldos Iniciales'!$A:$A,"Green Stone Trust")+SUMIFS(Movimientos!$K$1:$K$1324,Movimientos!$C$1:$C$1324,"Green Stone Trust",Movimientos!$B$1:$B$1324,"&lt;="&amp;$B157)</f>
        <v>1968.99</v>
      </c>
      <c r="O157" s="24">
        <f>SUMIFS('Saldos Iniciales'!$D:$D,'Saldos Iniciales'!$A:$A,"EC Auto")+SUMIFS(Movimientos!$K$1:$K$1324,Movimientos!$C$1:$C$1324,"EC Auto",Movimientos!$B$1:$B$1324,"&lt;="&amp;$B157)</f>
        <v>901.34</v>
      </c>
      <c r="P157" s="24">
        <f>SUMIFS('Saldos Iniciales'!$D:$D,'Saldos Iniciales'!$A:$A,"Arbor Capital Properties")+SUMIFS(Movimientos!$K$1:$K$1324,Movimientos!$C$1:$C$1324,"Arbor Capital Properties",Movimientos!$B$1:$B$1324,"&lt;="&amp;$B157)</f>
        <v>1364.08</v>
      </c>
      <c r="Q157" s="24">
        <f>SUMIFS('Saldos Iniciales'!$D:$D,'Saldos Iniciales'!$A:$A,"2515 Overbrook")+SUMIFS(Movimientos!$K$1:$K$1324,Movimientos!$C$1:$C$1324,"2515 Overbrook",Movimientos!$B$1:$B$1324,"&lt;="&amp;$B157)</f>
        <v>20171.549999999959</v>
      </c>
      <c r="R157" s="24">
        <f>SUMIFS('Saldos Iniciales'!$D:$D,'Saldos Iniciales'!$A:$A,"112 Florida Ave")+SUMIFS(Movimientos!$K$1:$K$1324,Movimientos!$C$1:$C$1324,"112 Florida Ave",Movimientos!$B$1:$B$1324,"&lt;="&amp;$B157)</f>
        <v>13576.060000000007</v>
      </c>
      <c r="S157" s="24">
        <f>SUMIFS('Saldos Iniciales'!$D:$D,'Saldos Iniciales'!$A:$A,"3628 Thomas Ave")+SUMIFS(Movimientos!$K$1:$K$1324,Movimientos!$C$1:$C$1324,"3628 Thomas Ave",Movimientos!$B$1:$B$1324,"&lt;="&amp;$B157)</f>
        <v>16893.769999999997</v>
      </c>
      <c r="T157" s="24">
        <f>SUMIFS('Saldos Iniciales'!$D:$D,'Saldos Iniciales'!$A:$A,"Green Harbor Trust")+SUMIFS(Movimientos!$K$1:$K$1324,Movimientos!$C$1:$C$1324,"Green Harbor Trust",Movimientos!$B$1:$B$1324,"&lt;="&amp;$B157)</f>
        <v>345</v>
      </c>
      <c r="U157" s="24">
        <f>SUMIFS('Saldos Iniciales'!$D:$D,'Saldos Iniciales'!$A:$A,"Go Blue")+SUMIFS(Movimientos!$K$1:$K$1324,Movimientos!$C$1:$C$1324,"Go Blue",Movimientos!$B$1:$B$1324,"&lt;="&amp;$B157)</f>
        <v>23028.850000000002</v>
      </c>
      <c r="V157" s="24">
        <f>IF(YEAR($B157)*100+MONTH($B157)&lt;--SUBSTITUTE(_xlfn.XLOOKUP("Pacha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LLC",Movimientos!$B$1:$B$1324,"&lt;="&amp;$B157))</f>
        <v>313178.98000000004</v>
      </c>
      <c r="W157" s="24">
        <f>IF(YEAR($B157)*100+MONTH($B157)&lt;--SUBSTITUTE(_xlfn.XLOOKUP("*CFT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Residence",Movimientos!$B$1:$B$1324,"&lt;="&amp;$B157))</f>
        <v>102232.04000000001</v>
      </c>
      <c r="X157" s="24">
        <f>IF(YEAR($B157)*100+MONTH($B157)&lt;--SUBSTITUTE(_xlfn.XLOOKUP("Carmen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Trust",Movimientos!$B$1:$B$1324,"&lt;="&amp;$B157))</f>
        <v>100631.96</v>
      </c>
      <c r="Y157" s="24">
        <f>IF(YEAR($B157)*100+MONTH($B157)&lt;--SUBSTITUTE(_xlfn.XLOOKUP("SIYP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LLC",Movimientos!$B$1:$B$1324,"&lt;="&amp;$B157))</f>
        <v>5604.8</v>
      </c>
      <c r="Z157" s="24">
        <f>IF(YEAR($B157)*100+MONTH($B157)&lt;--SUBSTITUTE(_xlfn.XLOOKUP("Prendamas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SRL",Movimientos!$B$1:$B$1324,"&lt;="&amp;$B157))</f>
        <v>21434.939999999973</v>
      </c>
      <c r="AA157" s="24">
        <f>IF(YEAR($B157)*100+MONTH($B157)&lt;--SUBSTITUTE(_xlfn.XLOOKUP("360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LLC",Movimientos!$B$1:$B$1324,"&lt;="&amp;$B157))</f>
        <v>794.01</v>
      </c>
      <c r="AB157" s="24">
        <f>IF(YEAR($B157)*100+MONTH($B157)&lt;--SUBSTITUTE(_xlfn.XLOOKUP("Five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",Movimientos!$B$1:$B$1324,"&lt;="&amp;$B157))</f>
        <v>5445.57</v>
      </c>
      <c r="AC157" s="24">
        <f>IF(YEAR($B157)*100+MONTH($B157)&lt;--SUBSTITUTE(_xlfn.XLOOKUP("Nobe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Aparments",Movimientos!$B$1:$B$1324,"&lt;="&amp;$B157))</f>
        <v>240473.16999999998</v>
      </c>
      <c r="AD157" s="24">
        <f>IF(YEAR($B157)*100+MONTH($B157)&lt;--SUBSTITUTE(_xlfn.XLOOKUP("Don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Life",Movimientos!$B$1:$B$1324,"&lt;="&amp;$B157))</f>
        <v>327985.82999999996</v>
      </c>
      <c r="AE157" s="25">
        <f t="shared" si="6"/>
        <v>7507247.9799999986</v>
      </c>
    </row>
    <row r="158" spans="1:31" x14ac:dyDescent="0.3">
      <c r="A158" s="22">
        <f t="shared" si="5"/>
        <v>157</v>
      </c>
      <c r="B158" s="23">
        <v>46299</v>
      </c>
      <c r="C158" s="24">
        <f>SUMIFS('Saldos Iniciales'!$D:$D,'Saldos Iniciales'!$A:$A,"CFT Group")+SUMIFS(Movimientos!$K$1:$K$1324,Movimientos!$C$1:$C$1324,"CFT Group",Movimientos!$B$1:$B$1324,"&lt;="&amp;$B158)</f>
        <v>3099831.9800000004</v>
      </c>
      <c r="D158" s="24">
        <f>SUMIFS('Saldos Iniciales'!$D:$D,'Saldos Iniciales'!$A:$A,"M1B")+SUMIFS(Movimientos!$K$1:$K$1324,Movimientos!$C$1:$C$1324,"M1B",Movimientos!$B$1:$B$1324,"&lt;="&amp;$B158)</f>
        <v>103123.59000000017</v>
      </c>
      <c r="E158" s="24">
        <f>SUMIFS('Saldos Iniciales'!$D:$D,'Saldos Iniciales'!$A:$A,"Durand")+SUMIFS(Movimientos!$K$1:$K$1324,Movimientos!$C$1:$C$1324,"Durand",Movimientos!$B$1:$B$1324,"&lt;="&amp;$B158)</f>
        <v>1669.89</v>
      </c>
      <c r="F158" s="24">
        <f>SUMIFS('Saldos Iniciales'!$D:$D,'Saldos Iniciales'!$A:$A,"A&amp;M Imports")+SUMIFS(Movimientos!$K$1:$K$1324,Movimientos!$C$1:$C$1324,"A&amp;M Imports",Movimientos!$B$1:$B$1324,"&lt;="&amp;$B158)</f>
        <v>1200526.7499999995</v>
      </c>
      <c r="G158" s="24">
        <f>SUMIFS('Saldos Iniciales'!$D:$D,'Saldos Iniciales'!$A:$A,"SSP Capital")+SUMIFS(Movimientos!$K$1:$K$1324,Movimientos!$C$1:$C$1324,"SSP Capital",Movimientos!$B$1:$B$1324,"&lt;="&amp;$B158)</f>
        <v>1586416.1199999996</v>
      </c>
      <c r="H158" s="24">
        <f>SUMIFS('Saldos Iniciales'!$D:$D,'Saldos Iniciales'!$A:$A,"Cross Family Trust")+SUMIFS(Movimientos!$K$1:$K$1324,Movimientos!$C$1:$C$1324,"Cross Family Trust",Movimientos!$B$1:$B$1324,"&lt;="&amp;$B158)</f>
        <v>208778.14</v>
      </c>
      <c r="I158" s="24">
        <f>SUMIFS('Saldos Iniciales'!$D:$D,'Saldos Iniciales'!$A:$A,"Cross Security Trust")+SUMIFS(Movimientos!$K$1:$K$1324,Movimientos!$C$1:$C$1324,"Cross Security Trust",Movimientos!$B$1:$B$1324,"&lt;="&amp;$B158)</f>
        <v>80533.579999999987</v>
      </c>
      <c r="J158" s="24">
        <f>SUMIFS('Saldos Iniciales'!$D:$D,'Saldos Iniciales'!$A:$A,"Electrama")+SUMIFS(Movimientos!$K$1:$K$1324,Movimientos!$C$1:$C$1324,"Electrama",Movimientos!$B$1:$B$1324,"&lt;="&amp;$B158)</f>
        <v>10259.18</v>
      </c>
      <c r="K158" s="24">
        <f>SUMIFS('Saldos Iniciales'!$D:$D,'Saldos Iniciales'!$A:$A,"Sacred Valley Capital")+SUMIFS(Movimientos!$K$1:$K$1324,Movimientos!$C$1:$C$1324,"Sacred Valley Capital",Movimientos!$B$1:$B$1324,"&lt;="&amp;$B158)</f>
        <v>64.55</v>
      </c>
      <c r="L158" s="24">
        <f>SUMIFS('Saldos Iniciales'!$D:$D,'Saldos Iniciales'!$A:$A,"YWC Capital")+SUMIFS(Movimientos!$K$1:$K$1324,Movimientos!$C$1:$C$1324,"YWC Capital",Movimientos!$B$1:$B$1324,"&lt;="&amp;$B158)</f>
        <v>2117.9700000000003</v>
      </c>
      <c r="M158" s="24">
        <f>SUMIFS('Saldos Iniciales'!$D:$D,'Saldos Iniciales'!$A:$A,"Soweto")+SUMIFS(Movimientos!$K$1:$K$1324,Movimientos!$C$1:$C$1324,"Soweto",Movimientos!$B$1:$B$1324,"&lt;="&amp;$B158)</f>
        <v>17895.290000000015</v>
      </c>
      <c r="N158" s="24">
        <f>SUMIFS('Saldos Iniciales'!$D:$D,'Saldos Iniciales'!$A:$A,"Green Stone Trust")+SUMIFS(Movimientos!$K$1:$K$1324,Movimientos!$C$1:$C$1324,"Green Stone Trust",Movimientos!$B$1:$B$1324,"&lt;="&amp;$B158)</f>
        <v>1968.99</v>
      </c>
      <c r="O158" s="24">
        <f>SUMIFS('Saldos Iniciales'!$D:$D,'Saldos Iniciales'!$A:$A,"EC Auto")+SUMIFS(Movimientos!$K$1:$K$1324,Movimientos!$C$1:$C$1324,"EC Auto",Movimientos!$B$1:$B$1324,"&lt;="&amp;$B158)</f>
        <v>901.34</v>
      </c>
      <c r="P158" s="24">
        <f>SUMIFS('Saldos Iniciales'!$D:$D,'Saldos Iniciales'!$A:$A,"Arbor Capital Properties")+SUMIFS(Movimientos!$K$1:$K$1324,Movimientos!$C$1:$C$1324,"Arbor Capital Properties",Movimientos!$B$1:$B$1324,"&lt;="&amp;$B158)</f>
        <v>1364.08</v>
      </c>
      <c r="Q158" s="24">
        <f>SUMIFS('Saldos Iniciales'!$D:$D,'Saldos Iniciales'!$A:$A,"2515 Overbrook")+SUMIFS(Movimientos!$K$1:$K$1324,Movimientos!$C$1:$C$1324,"2515 Overbrook",Movimientos!$B$1:$B$1324,"&lt;="&amp;$B158)</f>
        <v>20171.549999999959</v>
      </c>
      <c r="R158" s="24">
        <f>SUMIFS('Saldos Iniciales'!$D:$D,'Saldos Iniciales'!$A:$A,"112 Florida Ave")+SUMIFS(Movimientos!$K$1:$K$1324,Movimientos!$C$1:$C$1324,"112 Florida Ave",Movimientos!$B$1:$B$1324,"&lt;="&amp;$B158)</f>
        <v>13576.060000000007</v>
      </c>
      <c r="S158" s="24">
        <f>SUMIFS('Saldos Iniciales'!$D:$D,'Saldos Iniciales'!$A:$A,"3628 Thomas Ave")+SUMIFS(Movimientos!$K$1:$K$1324,Movimientos!$C$1:$C$1324,"3628 Thomas Ave",Movimientos!$B$1:$B$1324,"&lt;="&amp;$B158)</f>
        <v>16893.769999999997</v>
      </c>
      <c r="T158" s="24">
        <f>SUMIFS('Saldos Iniciales'!$D:$D,'Saldos Iniciales'!$A:$A,"Green Harbor Trust")+SUMIFS(Movimientos!$K$1:$K$1324,Movimientos!$C$1:$C$1324,"Green Harbor Trust",Movimientos!$B$1:$B$1324,"&lt;="&amp;$B158)</f>
        <v>345</v>
      </c>
      <c r="U158" s="24">
        <f>SUMIFS('Saldos Iniciales'!$D:$D,'Saldos Iniciales'!$A:$A,"Go Blue")+SUMIFS(Movimientos!$K$1:$K$1324,Movimientos!$C$1:$C$1324,"Go Blue",Movimientos!$B$1:$B$1324,"&lt;="&amp;$B158)</f>
        <v>23028.850000000002</v>
      </c>
      <c r="V158" s="24">
        <f>IF(YEAR($B158)*100+MONTH($B158)&lt;--SUBSTITUTE(_xlfn.XLOOKUP("Pacha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LLC",Movimientos!$B$1:$B$1324,"&lt;="&amp;$B158))</f>
        <v>313178.98000000004</v>
      </c>
      <c r="W158" s="24">
        <f>IF(YEAR($B158)*100+MONTH($B158)&lt;--SUBSTITUTE(_xlfn.XLOOKUP("*CFT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Residence",Movimientos!$B$1:$B$1324,"&lt;="&amp;$B158))</f>
        <v>102232.04000000001</v>
      </c>
      <c r="X158" s="24">
        <f>IF(YEAR($B158)*100+MONTH($B158)&lt;--SUBSTITUTE(_xlfn.XLOOKUP("Carmen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Trust",Movimientos!$B$1:$B$1324,"&lt;="&amp;$B158))</f>
        <v>100631.96</v>
      </c>
      <c r="Y158" s="24">
        <f>IF(YEAR($B158)*100+MONTH($B158)&lt;--SUBSTITUTE(_xlfn.XLOOKUP("SIYP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LLC",Movimientos!$B$1:$B$1324,"&lt;="&amp;$B158))</f>
        <v>5604.8</v>
      </c>
      <c r="Z158" s="24">
        <f>IF(YEAR($B158)*100+MONTH($B158)&lt;--SUBSTITUTE(_xlfn.XLOOKUP("Prendamas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SRL",Movimientos!$B$1:$B$1324,"&lt;="&amp;$B158))</f>
        <v>21434.939999999973</v>
      </c>
      <c r="AA158" s="24">
        <f>IF(YEAR($B158)*100+MONTH($B158)&lt;--SUBSTITUTE(_xlfn.XLOOKUP("360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LLC",Movimientos!$B$1:$B$1324,"&lt;="&amp;$B158))</f>
        <v>794.01</v>
      </c>
      <c r="AB158" s="24">
        <f>IF(YEAR($B158)*100+MONTH($B158)&lt;--SUBSTITUTE(_xlfn.XLOOKUP("Five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",Movimientos!$B$1:$B$1324,"&lt;="&amp;$B158))</f>
        <v>5445.57</v>
      </c>
      <c r="AC158" s="24">
        <f>IF(YEAR($B158)*100+MONTH($B158)&lt;--SUBSTITUTE(_xlfn.XLOOKUP("Nobe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Aparments",Movimientos!$B$1:$B$1324,"&lt;="&amp;$B158))</f>
        <v>240473.16999999998</v>
      </c>
      <c r="AD158" s="24">
        <f>IF(YEAR($B158)*100+MONTH($B158)&lt;--SUBSTITUTE(_xlfn.XLOOKUP("Don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Life",Movimientos!$B$1:$B$1324,"&lt;="&amp;$B158))</f>
        <v>327985.82999999996</v>
      </c>
      <c r="AE158" s="25">
        <f t="shared" si="6"/>
        <v>7507247.9799999986</v>
      </c>
    </row>
    <row r="159" spans="1:31" x14ac:dyDescent="0.3">
      <c r="A159" s="22">
        <f t="shared" si="5"/>
        <v>158</v>
      </c>
      <c r="B159" s="23">
        <v>46300</v>
      </c>
      <c r="C159" s="24">
        <f>SUMIFS('Saldos Iniciales'!$D:$D,'Saldos Iniciales'!$A:$A,"CFT Group")+SUMIFS(Movimientos!$K$1:$K$1324,Movimientos!$C$1:$C$1324,"CFT Group",Movimientos!$B$1:$B$1324,"&lt;="&amp;$B159)</f>
        <v>3099831.9800000004</v>
      </c>
      <c r="D159" s="24">
        <f>SUMIFS('Saldos Iniciales'!$D:$D,'Saldos Iniciales'!$A:$A,"M1B")+SUMIFS(Movimientos!$K$1:$K$1324,Movimientos!$C$1:$C$1324,"M1B",Movimientos!$B$1:$B$1324,"&lt;="&amp;$B159)</f>
        <v>103123.59000000017</v>
      </c>
      <c r="E159" s="24">
        <f>SUMIFS('Saldos Iniciales'!$D:$D,'Saldos Iniciales'!$A:$A,"Durand")+SUMIFS(Movimientos!$K$1:$K$1324,Movimientos!$C$1:$C$1324,"Durand",Movimientos!$B$1:$B$1324,"&lt;="&amp;$B159)</f>
        <v>1669.89</v>
      </c>
      <c r="F159" s="24">
        <f>SUMIFS('Saldos Iniciales'!$D:$D,'Saldos Iniciales'!$A:$A,"A&amp;M Imports")+SUMIFS(Movimientos!$K$1:$K$1324,Movimientos!$C$1:$C$1324,"A&amp;M Imports",Movimientos!$B$1:$B$1324,"&lt;="&amp;$B159)</f>
        <v>1200526.7499999995</v>
      </c>
      <c r="G159" s="24">
        <f>SUMIFS('Saldos Iniciales'!$D:$D,'Saldos Iniciales'!$A:$A,"SSP Capital")+SUMIFS(Movimientos!$K$1:$K$1324,Movimientos!$C$1:$C$1324,"SSP Capital",Movimientos!$B$1:$B$1324,"&lt;="&amp;$B159)</f>
        <v>1585767.3599999994</v>
      </c>
      <c r="H159" s="24">
        <f>SUMIFS('Saldos Iniciales'!$D:$D,'Saldos Iniciales'!$A:$A,"Cross Family Trust")+SUMIFS(Movimientos!$K$1:$K$1324,Movimientos!$C$1:$C$1324,"Cross Family Trust",Movimientos!$B$1:$B$1324,"&lt;="&amp;$B159)</f>
        <v>181778.14</v>
      </c>
      <c r="I159" s="24">
        <f>SUMIFS('Saldos Iniciales'!$D:$D,'Saldos Iniciales'!$A:$A,"Cross Security Trust")+SUMIFS(Movimientos!$K$1:$K$1324,Movimientos!$C$1:$C$1324,"Cross Security Trust",Movimientos!$B$1:$B$1324,"&lt;="&amp;$B159)</f>
        <v>80533.579999999987</v>
      </c>
      <c r="J159" s="24">
        <f>SUMIFS('Saldos Iniciales'!$D:$D,'Saldos Iniciales'!$A:$A,"Electrama")+SUMIFS(Movimientos!$K$1:$K$1324,Movimientos!$C$1:$C$1324,"Electrama",Movimientos!$B$1:$B$1324,"&lt;="&amp;$B159)</f>
        <v>10259.18</v>
      </c>
      <c r="K159" s="24">
        <f>SUMIFS('Saldos Iniciales'!$D:$D,'Saldos Iniciales'!$A:$A,"Sacred Valley Capital")+SUMIFS(Movimientos!$K$1:$K$1324,Movimientos!$C$1:$C$1324,"Sacred Valley Capital",Movimientos!$B$1:$B$1324,"&lt;="&amp;$B159)</f>
        <v>64.55</v>
      </c>
      <c r="L159" s="24">
        <f>SUMIFS('Saldos Iniciales'!$D:$D,'Saldos Iniciales'!$A:$A,"YWC Capital")+SUMIFS(Movimientos!$K$1:$K$1324,Movimientos!$C$1:$C$1324,"YWC Capital",Movimientos!$B$1:$B$1324,"&lt;="&amp;$B159)</f>
        <v>2117.9700000000003</v>
      </c>
      <c r="M159" s="24">
        <f>SUMIFS('Saldos Iniciales'!$D:$D,'Saldos Iniciales'!$A:$A,"Soweto")+SUMIFS(Movimientos!$K$1:$K$1324,Movimientos!$C$1:$C$1324,"Soweto",Movimientos!$B$1:$B$1324,"&lt;="&amp;$B159)</f>
        <v>17895.290000000015</v>
      </c>
      <c r="N159" s="24">
        <f>SUMIFS('Saldos Iniciales'!$D:$D,'Saldos Iniciales'!$A:$A,"Green Stone Trust")+SUMIFS(Movimientos!$K$1:$K$1324,Movimientos!$C$1:$C$1324,"Green Stone Trust",Movimientos!$B$1:$B$1324,"&lt;="&amp;$B159)</f>
        <v>1968.99</v>
      </c>
      <c r="O159" s="24">
        <f>SUMIFS('Saldos Iniciales'!$D:$D,'Saldos Iniciales'!$A:$A,"EC Auto")+SUMIFS(Movimientos!$K$1:$K$1324,Movimientos!$C$1:$C$1324,"EC Auto",Movimientos!$B$1:$B$1324,"&lt;="&amp;$B159)</f>
        <v>901.34</v>
      </c>
      <c r="P159" s="24">
        <f>SUMIFS('Saldos Iniciales'!$D:$D,'Saldos Iniciales'!$A:$A,"Arbor Capital Properties")+SUMIFS(Movimientos!$K$1:$K$1324,Movimientos!$C$1:$C$1324,"Arbor Capital Properties",Movimientos!$B$1:$B$1324,"&lt;="&amp;$B159)</f>
        <v>1364.08</v>
      </c>
      <c r="Q159" s="24">
        <f>SUMIFS('Saldos Iniciales'!$D:$D,'Saldos Iniciales'!$A:$A,"2515 Overbrook")+SUMIFS(Movimientos!$K$1:$K$1324,Movimientos!$C$1:$C$1324,"2515 Overbrook",Movimientos!$B$1:$B$1324,"&lt;="&amp;$B159)</f>
        <v>20171.549999999959</v>
      </c>
      <c r="R159" s="24">
        <f>SUMIFS('Saldos Iniciales'!$D:$D,'Saldos Iniciales'!$A:$A,"112 Florida Ave")+SUMIFS(Movimientos!$K$1:$K$1324,Movimientos!$C$1:$C$1324,"112 Florida Ave",Movimientos!$B$1:$B$1324,"&lt;="&amp;$B159)</f>
        <v>13576.060000000007</v>
      </c>
      <c r="S159" s="24">
        <f>SUMIFS('Saldos Iniciales'!$D:$D,'Saldos Iniciales'!$A:$A,"3628 Thomas Ave")+SUMIFS(Movimientos!$K$1:$K$1324,Movimientos!$C$1:$C$1324,"3628 Thomas Ave",Movimientos!$B$1:$B$1324,"&lt;="&amp;$B159)</f>
        <v>16893.769999999997</v>
      </c>
      <c r="T159" s="24">
        <f>SUMIFS('Saldos Iniciales'!$D:$D,'Saldos Iniciales'!$A:$A,"Green Harbor Trust")+SUMIFS(Movimientos!$K$1:$K$1324,Movimientos!$C$1:$C$1324,"Green Harbor Trust",Movimientos!$B$1:$B$1324,"&lt;="&amp;$B159)</f>
        <v>345</v>
      </c>
      <c r="U159" s="24">
        <f>SUMIFS('Saldos Iniciales'!$D:$D,'Saldos Iniciales'!$A:$A,"Go Blue")+SUMIFS(Movimientos!$K$1:$K$1324,Movimientos!$C$1:$C$1324,"Go Blue",Movimientos!$B$1:$B$1324,"&lt;="&amp;$B159)</f>
        <v>23077.850000000002</v>
      </c>
      <c r="V159" s="24">
        <f>IF(YEAR($B159)*100+MONTH($B159)&lt;--SUBSTITUTE(_xlfn.XLOOKUP("Pacha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LLC",Movimientos!$B$1:$B$1324,"&lt;="&amp;$B159))</f>
        <v>311185.97000000003</v>
      </c>
      <c r="W159" s="24">
        <f>IF(YEAR($B159)*100+MONTH($B159)&lt;--SUBSTITUTE(_xlfn.XLOOKUP("*CFT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Residence",Movimientos!$B$1:$B$1324,"&lt;="&amp;$B159))</f>
        <v>101769.28000000003</v>
      </c>
      <c r="X159" s="24">
        <f>IF(YEAR($B159)*100+MONTH($B159)&lt;--SUBSTITUTE(_xlfn.XLOOKUP("Carmen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Trust",Movimientos!$B$1:$B$1324,"&lt;="&amp;$B159))</f>
        <v>100631.96</v>
      </c>
      <c r="Y159" s="24">
        <f>IF(YEAR($B159)*100+MONTH($B159)&lt;--SUBSTITUTE(_xlfn.XLOOKUP("SIYP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LLC",Movimientos!$B$1:$B$1324,"&lt;="&amp;$B159))</f>
        <v>5604.8</v>
      </c>
      <c r="Z159" s="24">
        <f>IF(YEAR($B159)*100+MONTH($B159)&lt;--SUBSTITUTE(_xlfn.XLOOKUP("Prendamas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SRL",Movimientos!$B$1:$B$1324,"&lt;="&amp;$B159))</f>
        <v>21434.939999999973</v>
      </c>
      <c r="AA159" s="24">
        <f>IF(YEAR($B159)*100+MONTH($B159)&lt;--SUBSTITUTE(_xlfn.XLOOKUP("360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LLC",Movimientos!$B$1:$B$1324,"&lt;="&amp;$B159))</f>
        <v>794.01</v>
      </c>
      <c r="AB159" s="24">
        <f>IF(YEAR($B159)*100+MONTH($B159)&lt;--SUBSTITUTE(_xlfn.XLOOKUP("Five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",Movimientos!$B$1:$B$1324,"&lt;="&amp;$B159))</f>
        <v>5445.57</v>
      </c>
      <c r="AC159" s="24">
        <f>IF(YEAR($B159)*100+MONTH($B159)&lt;--SUBSTITUTE(_xlfn.XLOOKUP("Nobe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Aparments",Movimientos!$B$1:$B$1324,"&lt;="&amp;$B159))</f>
        <v>240473.16999999998</v>
      </c>
      <c r="AD159" s="24">
        <f>IF(YEAR($B159)*100+MONTH($B159)&lt;--SUBSTITUTE(_xlfn.XLOOKUP("Don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Life",Movimientos!$B$1:$B$1324,"&lt;="&amp;$B159))</f>
        <v>327985.82999999996</v>
      </c>
      <c r="AE159" s="25">
        <f t="shared" si="6"/>
        <v>7477192.4499999983</v>
      </c>
    </row>
    <row r="160" spans="1:31" x14ac:dyDescent="0.3">
      <c r="A160" s="22">
        <f t="shared" si="5"/>
        <v>159</v>
      </c>
      <c r="B160" s="23">
        <v>46301</v>
      </c>
      <c r="C160" s="24">
        <f>SUMIFS('Saldos Iniciales'!$D:$D,'Saldos Iniciales'!$A:$A,"CFT Group")+SUMIFS(Movimientos!$K$1:$K$1324,Movimientos!$C$1:$C$1324,"CFT Group",Movimientos!$B$1:$B$1324,"&lt;="&amp;$B160)</f>
        <v>3099831.9800000004</v>
      </c>
      <c r="D160" s="24">
        <f>SUMIFS('Saldos Iniciales'!$D:$D,'Saldos Iniciales'!$A:$A,"M1B")+SUMIFS(Movimientos!$K$1:$K$1324,Movimientos!$C$1:$C$1324,"M1B",Movimientos!$B$1:$B$1324,"&lt;="&amp;$B160)</f>
        <v>103123.59000000017</v>
      </c>
      <c r="E160" s="24">
        <f>SUMIFS('Saldos Iniciales'!$D:$D,'Saldos Iniciales'!$A:$A,"Durand")+SUMIFS(Movimientos!$K$1:$K$1324,Movimientos!$C$1:$C$1324,"Durand",Movimientos!$B$1:$B$1324,"&lt;="&amp;$B160)</f>
        <v>1669.89</v>
      </c>
      <c r="F160" s="24">
        <f>SUMIFS('Saldos Iniciales'!$D:$D,'Saldos Iniciales'!$A:$A,"A&amp;M Imports")+SUMIFS(Movimientos!$K$1:$K$1324,Movimientos!$C$1:$C$1324,"A&amp;M Imports",Movimientos!$B$1:$B$1324,"&lt;="&amp;$B160)</f>
        <v>1200526.7499999995</v>
      </c>
      <c r="G160" s="24">
        <f>SUMIFS('Saldos Iniciales'!$D:$D,'Saldos Iniciales'!$A:$A,"SSP Capital")+SUMIFS(Movimientos!$K$1:$K$1324,Movimientos!$C$1:$C$1324,"SSP Capital",Movimientos!$B$1:$B$1324,"&lt;="&amp;$B160)</f>
        <v>1585767.3599999994</v>
      </c>
      <c r="H160" s="24">
        <f>SUMIFS('Saldos Iniciales'!$D:$D,'Saldos Iniciales'!$A:$A,"Cross Family Trust")+SUMIFS(Movimientos!$K$1:$K$1324,Movimientos!$C$1:$C$1324,"Cross Family Trust",Movimientos!$B$1:$B$1324,"&lt;="&amp;$B160)</f>
        <v>181778.14</v>
      </c>
      <c r="I160" s="24">
        <f>SUMIFS('Saldos Iniciales'!$D:$D,'Saldos Iniciales'!$A:$A,"Cross Security Trust")+SUMIFS(Movimientos!$K$1:$K$1324,Movimientos!$C$1:$C$1324,"Cross Security Trust",Movimientos!$B$1:$B$1324,"&lt;="&amp;$B160)</f>
        <v>80533.579999999987</v>
      </c>
      <c r="J160" s="24">
        <f>SUMIFS('Saldos Iniciales'!$D:$D,'Saldos Iniciales'!$A:$A,"Electrama")+SUMIFS(Movimientos!$K$1:$K$1324,Movimientos!$C$1:$C$1324,"Electrama",Movimientos!$B$1:$B$1324,"&lt;="&amp;$B160)</f>
        <v>10259.18</v>
      </c>
      <c r="K160" s="24">
        <f>SUMIFS('Saldos Iniciales'!$D:$D,'Saldos Iniciales'!$A:$A,"Sacred Valley Capital")+SUMIFS(Movimientos!$K$1:$K$1324,Movimientos!$C$1:$C$1324,"Sacred Valley Capital",Movimientos!$B$1:$B$1324,"&lt;="&amp;$B160)</f>
        <v>64.55</v>
      </c>
      <c r="L160" s="24">
        <f>SUMIFS('Saldos Iniciales'!$D:$D,'Saldos Iniciales'!$A:$A,"YWC Capital")+SUMIFS(Movimientos!$K$1:$K$1324,Movimientos!$C$1:$C$1324,"YWC Capital",Movimientos!$B$1:$B$1324,"&lt;="&amp;$B160)</f>
        <v>2117.9700000000003</v>
      </c>
      <c r="M160" s="24">
        <f>SUMIFS('Saldos Iniciales'!$D:$D,'Saldos Iniciales'!$A:$A,"Soweto")+SUMIFS(Movimientos!$K$1:$K$1324,Movimientos!$C$1:$C$1324,"Soweto",Movimientos!$B$1:$B$1324,"&lt;="&amp;$B160)</f>
        <v>17895.290000000015</v>
      </c>
      <c r="N160" s="24">
        <f>SUMIFS('Saldos Iniciales'!$D:$D,'Saldos Iniciales'!$A:$A,"Green Stone Trust")+SUMIFS(Movimientos!$K$1:$K$1324,Movimientos!$C$1:$C$1324,"Green Stone Trust",Movimientos!$B$1:$B$1324,"&lt;="&amp;$B160)</f>
        <v>1968.99</v>
      </c>
      <c r="O160" s="24">
        <f>SUMIFS('Saldos Iniciales'!$D:$D,'Saldos Iniciales'!$A:$A,"EC Auto")+SUMIFS(Movimientos!$K$1:$K$1324,Movimientos!$C$1:$C$1324,"EC Auto",Movimientos!$B$1:$B$1324,"&lt;="&amp;$B160)</f>
        <v>901.34</v>
      </c>
      <c r="P160" s="24">
        <f>SUMIFS('Saldos Iniciales'!$D:$D,'Saldos Iniciales'!$A:$A,"Arbor Capital Properties")+SUMIFS(Movimientos!$K$1:$K$1324,Movimientos!$C$1:$C$1324,"Arbor Capital Properties",Movimientos!$B$1:$B$1324,"&lt;="&amp;$B160)</f>
        <v>1364.08</v>
      </c>
      <c r="Q160" s="24">
        <f>SUMIFS('Saldos Iniciales'!$D:$D,'Saldos Iniciales'!$A:$A,"2515 Overbrook")+SUMIFS(Movimientos!$K$1:$K$1324,Movimientos!$C$1:$C$1324,"2515 Overbrook",Movimientos!$B$1:$B$1324,"&lt;="&amp;$B160)</f>
        <v>20171.549999999959</v>
      </c>
      <c r="R160" s="24">
        <f>SUMIFS('Saldos Iniciales'!$D:$D,'Saldos Iniciales'!$A:$A,"112 Florida Ave")+SUMIFS(Movimientos!$K$1:$K$1324,Movimientos!$C$1:$C$1324,"112 Florida Ave",Movimientos!$B$1:$B$1324,"&lt;="&amp;$B160)</f>
        <v>13576.060000000007</v>
      </c>
      <c r="S160" s="24">
        <f>SUMIFS('Saldos Iniciales'!$D:$D,'Saldos Iniciales'!$A:$A,"3628 Thomas Ave")+SUMIFS(Movimientos!$K$1:$K$1324,Movimientos!$C$1:$C$1324,"3628 Thomas Ave",Movimientos!$B$1:$B$1324,"&lt;="&amp;$B160)</f>
        <v>16893.769999999997</v>
      </c>
      <c r="T160" s="24">
        <f>SUMIFS('Saldos Iniciales'!$D:$D,'Saldos Iniciales'!$A:$A,"Green Harbor Trust")+SUMIFS(Movimientos!$K$1:$K$1324,Movimientos!$C$1:$C$1324,"Green Harbor Trust",Movimientos!$B$1:$B$1324,"&lt;="&amp;$B160)</f>
        <v>345</v>
      </c>
      <c r="U160" s="24">
        <f>SUMIFS('Saldos Iniciales'!$D:$D,'Saldos Iniciales'!$A:$A,"Go Blue")+SUMIFS(Movimientos!$K$1:$K$1324,Movimientos!$C$1:$C$1324,"Go Blue",Movimientos!$B$1:$B$1324,"&lt;="&amp;$B160)</f>
        <v>23077.850000000002</v>
      </c>
      <c r="V160" s="24">
        <f>IF(YEAR($B160)*100+MONTH($B160)&lt;--SUBSTITUTE(_xlfn.XLOOKUP("Pacha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LLC",Movimientos!$B$1:$B$1324,"&lt;="&amp;$B160))</f>
        <v>310854.86000000004</v>
      </c>
      <c r="W160" s="24">
        <f>IF(YEAR($B160)*100+MONTH($B160)&lt;--SUBSTITUTE(_xlfn.XLOOKUP("*CFT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Residence",Movimientos!$B$1:$B$1324,"&lt;="&amp;$B160))</f>
        <v>101769.28000000003</v>
      </c>
      <c r="X160" s="24">
        <f>IF(YEAR($B160)*100+MONTH($B160)&lt;--SUBSTITUTE(_xlfn.XLOOKUP("Carmen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Trust",Movimientos!$B$1:$B$1324,"&lt;="&amp;$B160))</f>
        <v>90631.96</v>
      </c>
      <c r="Y160" s="24">
        <f>IF(YEAR($B160)*100+MONTH($B160)&lt;--SUBSTITUTE(_xlfn.XLOOKUP("SIYP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LLC",Movimientos!$B$1:$B$1324,"&lt;="&amp;$B160))</f>
        <v>5604.8</v>
      </c>
      <c r="Z160" s="24">
        <f>IF(YEAR($B160)*100+MONTH($B160)&lt;--SUBSTITUTE(_xlfn.XLOOKUP("Prendamas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SRL",Movimientos!$B$1:$B$1324,"&lt;="&amp;$B160))</f>
        <v>21434.939999999973</v>
      </c>
      <c r="AA160" s="24">
        <f>IF(YEAR($B160)*100+MONTH($B160)&lt;--SUBSTITUTE(_xlfn.XLOOKUP("360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LLC",Movimientos!$B$1:$B$1324,"&lt;="&amp;$B160))</f>
        <v>794.01</v>
      </c>
      <c r="AB160" s="24">
        <f>IF(YEAR($B160)*100+MONTH($B160)&lt;--SUBSTITUTE(_xlfn.XLOOKUP("Five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",Movimientos!$B$1:$B$1324,"&lt;="&amp;$B160))</f>
        <v>5445.57</v>
      </c>
      <c r="AC160" s="24">
        <f>IF(YEAR($B160)*100+MONTH($B160)&lt;--SUBSTITUTE(_xlfn.XLOOKUP("Nobe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Aparments",Movimientos!$B$1:$B$1324,"&lt;="&amp;$B160))</f>
        <v>240473.16999999998</v>
      </c>
      <c r="AD160" s="24">
        <f>IF(YEAR($B160)*100+MONTH($B160)&lt;--SUBSTITUTE(_xlfn.XLOOKUP("Don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Life",Movimientos!$B$1:$B$1324,"&lt;="&amp;$B160))</f>
        <v>327985.82999999996</v>
      </c>
      <c r="AE160" s="25">
        <f t="shared" si="6"/>
        <v>7466861.3399999989</v>
      </c>
    </row>
    <row r="161" spans="1:31" x14ac:dyDescent="0.3">
      <c r="A161" s="22">
        <f t="shared" si="5"/>
        <v>160</v>
      </c>
      <c r="B161" s="23">
        <v>46302</v>
      </c>
      <c r="C161" s="24">
        <f>SUMIFS('Saldos Iniciales'!$D:$D,'Saldos Iniciales'!$A:$A,"CFT Group")+SUMIFS(Movimientos!$K$1:$K$1324,Movimientos!$C$1:$C$1324,"CFT Group",Movimientos!$B$1:$B$1324,"&lt;="&amp;$B161)</f>
        <v>2834671.5400000005</v>
      </c>
      <c r="D161" s="24">
        <f>SUMIFS('Saldos Iniciales'!$D:$D,'Saldos Iniciales'!$A:$A,"M1B")+SUMIFS(Movimientos!$K$1:$K$1324,Movimientos!$C$1:$C$1324,"M1B",Movimientos!$B$1:$B$1324,"&lt;="&amp;$B161)</f>
        <v>103123.59000000017</v>
      </c>
      <c r="E161" s="24">
        <f>SUMIFS('Saldos Iniciales'!$D:$D,'Saldos Iniciales'!$A:$A,"Durand")+SUMIFS(Movimientos!$K$1:$K$1324,Movimientos!$C$1:$C$1324,"Durand",Movimientos!$B$1:$B$1324,"&lt;="&amp;$B161)</f>
        <v>1669.89</v>
      </c>
      <c r="F161" s="24">
        <f>SUMIFS('Saldos Iniciales'!$D:$D,'Saldos Iniciales'!$A:$A,"A&amp;M Imports")+SUMIFS(Movimientos!$K$1:$K$1324,Movimientos!$C$1:$C$1324,"A&amp;M Imports",Movimientos!$B$1:$B$1324,"&lt;="&amp;$B161)</f>
        <v>1026832.7999999996</v>
      </c>
      <c r="G161" s="24">
        <f>SUMIFS('Saldos Iniciales'!$D:$D,'Saldos Iniciales'!$A:$A,"SSP Capital")+SUMIFS(Movimientos!$K$1:$K$1324,Movimientos!$C$1:$C$1324,"SSP Capital",Movimientos!$B$1:$B$1324,"&lt;="&amp;$B161)</f>
        <v>1380670.9099999995</v>
      </c>
      <c r="H161" s="24">
        <f>SUMIFS('Saldos Iniciales'!$D:$D,'Saldos Iniciales'!$A:$A,"Cross Family Trust")+SUMIFS(Movimientos!$K$1:$K$1324,Movimientos!$C$1:$C$1324,"Cross Family Trust",Movimientos!$B$1:$B$1324,"&lt;="&amp;$B161)</f>
        <v>181778.14</v>
      </c>
      <c r="I161" s="24">
        <f>SUMIFS('Saldos Iniciales'!$D:$D,'Saldos Iniciales'!$A:$A,"Cross Security Trust")+SUMIFS(Movimientos!$K$1:$K$1324,Movimientos!$C$1:$C$1324,"Cross Security Trust",Movimientos!$B$1:$B$1324,"&lt;="&amp;$B161)</f>
        <v>80533.579999999987</v>
      </c>
      <c r="J161" s="24">
        <f>SUMIFS('Saldos Iniciales'!$D:$D,'Saldos Iniciales'!$A:$A,"Electrama")+SUMIFS(Movimientos!$K$1:$K$1324,Movimientos!$C$1:$C$1324,"Electrama",Movimientos!$B$1:$B$1324,"&lt;="&amp;$B161)</f>
        <v>10259.18</v>
      </c>
      <c r="K161" s="24">
        <f>SUMIFS('Saldos Iniciales'!$D:$D,'Saldos Iniciales'!$A:$A,"Sacred Valley Capital")+SUMIFS(Movimientos!$K$1:$K$1324,Movimientos!$C$1:$C$1324,"Sacred Valley Capital",Movimientos!$B$1:$B$1324,"&lt;="&amp;$B161)</f>
        <v>64.55</v>
      </c>
      <c r="L161" s="24">
        <f>SUMIFS('Saldos Iniciales'!$D:$D,'Saldos Iniciales'!$A:$A,"YWC Capital")+SUMIFS(Movimientos!$K$1:$K$1324,Movimientos!$C$1:$C$1324,"YWC Capital",Movimientos!$B$1:$B$1324,"&lt;="&amp;$B161)</f>
        <v>2117.9700000000003</v>
      </c>
      <c r="M161" s="24">
        <f>SUMIFS('Saldos Iniciales'!$D:$D,'Saldos Iniciales'!$A:$A,"Soweto")+SUMIFS(Movimientos!$K$1:$K$1324,Movimientos!$C$1:$C$1324,"Soweto",Movimientos!$B$1:$B$1324,"&lt;="&amp;$B161)</f>
        <v>17895.290000000015</v>
      </c>
      <c r="N161" s="24">
        <f>SUMIFS('Saldos Iniciales'!$D:$D,'Saldos Iniciales'!$A:$A,"Green Stone Trust")+SUMIFS(Movimientos!$K$1:$K$1324,Movimientos!$C$1:$C$1324,"Green Stone Trust",Movimientos!$B$1:$B$1324,"&lt;="&amp;$B161)</f>
        <v>1968.99</v>
      </c>
      <c r="O161" s="24">
        <f>SUMIFS('Saldos Iniciales'!$D:$D,'Saldos Iniciales'!$A:$A,"EC Auto")+SUMIFS(Movimientos!$K$1:$K$1324,Movimientos!$C$1:$C$1324,"EC Auto",Movimientos!$B$1:$B$1324,"&lt;="&amp;$B161)</f>
        <v>901.34</v>
      </c>
      <c r="P161" s="24">
        <f>SUMIFS('Saldos Iniciales'!$D:$D,'Saldos Iniciales'!$A:$A,"Arbor Capital Properties")+SUMIFS(Movimientos!$K$1:$K$1324,Movimientos!$C$1:$C$1324,"Arbor Capital Properties",Movimientos!$B$1:$B$1324,"&lt;="&amp;$B161)</f>
        <v>1364.08</v>
      </c>
      <c r="Q161" s="24">
        <f>SUMIFS('Saldos Iniciales'!$D:$D,'Saldos Iniciales'!$A:$A,"2515 Overbrook")+SUMIFS(Movimientos!$K$1:$K$1324,Movimientos!$C$1:$C$1324,"2515 Overbrook",Movimientos!$B$1:$B$1324,"&lt;="&amp;$B161)</f>
        <v>20171.549999999959</v>
      </c>
      <c r="R161" s="24">
        <f>SUMIFS('Saldos Iniciales'!$D:$D,'Saldos Iniciales'!$A:$A,"112 Florida Ave")+SUMIFS(Movimientos!$K$1:$K$1324,Movimientos!$C$1:$C$1324,"112 Florida Ave",Movimientos!$B$1:$B$1324,"&lt;="&amp;$B161)</f>
        <v>13576.060000000007</v>
      </c>
      <c r="S161" s="24">
        <f>SUMIFS('Saldos Iniciales'!$D:$D,'Saldos Iniciales'!$A:$A,"3628 Thomas Ave")+SUMIFS(Movimientos!$K$1:$K$1324,Movimientos!$C$1:$C$1324,"3628 Thomas Ave",Movimientos!$B$1:$B$1324,"&lt;="&amp;$B161)</f>
        <v>16893.769999999997</v>
      </c>
      <c r="T161" s="24">
        <f>SUMIFS('Saldos Iniciales'!$D:$D,'Saldos Iniciales'!$A:$A,"Green Harbor Trust")+SUMIFS(Movimientos!$K$1:$K$1324,Movimientos!$C$1:$C$1324,"Green Harbor Trust",Movimientos!$B$1:$B$1324,"&lt;="&amp;$B161)</f>
        <v>345</v>
      </c>
      <c r="U161" s="24">
        <f>SUMIFS('Saldos Iniciales'!$D:$D,'Saldos Iniciales'!$A:$A,"Go Blue")+SUMIFS(Movimientos!$K$1:$K$1324,Movimientos!$C$1:$C$1324,"Go Blue",Movimientos!$B$1:$B$1324,"&lt;="&amp;$B161)</f>
        <v>23077.850000000002</v>
      </c>
      <c r="V161" s="24">
        <f>IF(YEAR($B161)*100+MONTH($B161)&lt;--SUBSTITUTE(_xlfn.XLOOKUP("Pacha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LLC",Movimientos!$B$1:$B$1324,"&lt;="&amp;$B161))</f>
        <v>310854.86000000004</v>
      </c>
      <c r="W161" s="24">
        <f>IF(YEAR($B161)*100+MONTH($B161)&lt;--SUBSTITUTE(_xlfn.XLOOKUP("*CFT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Residence",Movimientos!$B$1:$B$1324,"&lt;="&amp;$B161))</f>
        <v>101647.52000000002</v>
      </c>
      <c r="X161" s="24">
        <f>IF(YEAR($B161)*100+MONTH($B161)&lt;--SUBSTITUTE(_xlfn.XLOOKUP("Carmen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Trust",Movimientos!$B$1:$B$1324,"&lt;="&amp;$B161))</f>
        <v>90631.96</v>
      </c>
      <c r="Y161" s="24">
        <f>IF(YEAR($B161)*100+MONTH($B161)&lt;--SUBSTITUTE(_xlfn.XLOOKUP("SIYP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LLC",Movimientos!$B$1:$B$1324,"&lt;="&amp;$B161))</f>
        <v>5604.8</v>
      </c>
      <c r="Z161" s="24">
        <f>IF(YEAR($B161)*100+MONTH($B161)&lt;--SUBSTITUTE(_xlfn.XLOOKUP("Prendamas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SRL",Movimientos!$B$1:$B$1324,"&lt;="&amp;$B161))</f>
        <v>21397.339999999967</v>
      </c>
      <c r="AA161" s="24">
        <f>IF(YEAR($B161)*100+MONTH($B161)&lt;--SUBSTITUTE(_xlfn.XLOOKUP("360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LLC",Movimientos!$B$1:$B$1324,"&lt;="&amp;$B161))</f>
        <v>794.01</v>
      </c>
      <c r="AB161" s="24">
        <f>IF(YEAR($B161)*100+MONTH($B161)&lt;--SUBSTITUTE(_xlfn.XLOOKUP("Five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",Movimientos!$B$1:$B$1324,"&lt;="&amp;$B161))</f>
        <v>5445.57</v>
      </c>
      <c r="AC161" s="24">
        <f>IF(YEAR($B161)*100+MONTH($B161)&lt;--SUBSTITUTE(_xlfn.XLOOKUP("Nobe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Aparments",Movimientos!$B$1:$B$1324,"&lt;="&amp;$B161))</f>
        <v>240473.16999999998</v>
      </c>
      <c r="AD161" s="24">
        <f>IF(YEAR($B161)*100+MONTH($B161)&lt;--SUBSTITUTE(_xlfn.XLOOKUP("Don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Life",Movimientos!$B$1:$B$1324,"&lt;="&amp;$B161))</f>
        <v>351319.16</v>
      </c>
      <c r="AE161" s="25">
        <f t="shared" ref="AE161:AE168" si="7">SUM(C161:AD161)</f>
        <v>6846084.4699999969</v>
      </c>
    </row>
    <row r="162" spans="1:31" x14ac:dyDescent="0.3">
      <c r="A162" s="22">
        <f t="shared" si="5"/>
        <v>161</v>
      </c>
      <c r="B162" s="23">
        <v>46303</v>
      </c>
      <c r="C162" s="24">
        <f>SUMIFS('Saldos Iniciales'!$D:$D,'Saldos Iniciales'!$A:$A,"CFT Group")+SUMIFS(Movimientos!$K$1:$K$1324,Movimientos!$C$1:$C$1324,"CFT Group",Movimientos!$B$1:$B$1324,"&lt;="&amp;$B162)</f>
        <v>2834671.5400000005</v>
      </c>
      <c r="D162" s="24">
        <f>SUMIFS('Saldos Iniciales'!$D:$D,'Saldos Iniciales'!$A:$A,"M1B")+SUMIFS(Movimientos!$K$1:$K$1324,Movimientos!$C$1:$C$1324,"M1B",Movimientos!$B$1:$B$1324,"&lt;="&amp;$B162)</f>
        <v>103123.59000000017</v>
      </c>
      <c r="E162" s="24">
        <f>SUMIFS('Saldos Iniciales'!$D:$D,'Saldos Iniciales'!$A:$A,"Durand")+SUMIFS(Movimientos!$K$1:$K$1324,Movimientos!$C$1:$C$1324,"Durand",Movimientos!$B$1:$B$1324,"&lt;="&amp;$B162)</f>
        <v>1669.89</v>
      </c>
      <c r="F162" s="24">
        <f>SUMIFS('Saldos Iniciales'!$D:$D,'Saldos Iniciales'!$A:$A,"A&amp;M Imports")+SUMIFS(Movimientos!$K$1:$K$1324,Movimientos!$C$1:$C$1324,"A&amp;M Imports",Movimientos!$B$1:$B$1324,"&lt;="&amp;$B162)</f>
        <v>1026832.7999999996</v>
      </c>
      <c r="G162" s="24">
        <f>SUMIFS('Saldos Iniciales'!$D:$D,'Saldos Iniciales'!$A:$A,"SSP Capital")+SUMIFS(Movimientos!$K$1:$K$1324,Movimientos!$C$1:$C$1324,"SSP Capital",Movimientos!$B$1:$B$1324,"&lt;="&amp;$B162)</f>
        <v>1378430.5699999994</v>
      </c>
      <c r="H162" s="24">
        <f>SUMIFS('Saldos Iniciales'!$D:$D,'Saldos Iniciales'!$A:$A,"Cross Family Trust")+SUMIFS(Movimientos!$K$1:$K$1324,Movimientos!$C$1:$C$1324,"Cross Family Trust",Movimientos!$B$1:$B$1324,"&lt;="&amp;$B162)</f>
        <v>181778.14</v>
      </c>
      <c r="I162" s="24">
        <f>SUMIFS('Saldos Iniciales'!$D:$D,'Saldos Iniciales'!$A:$A,"Cross Security Trust")+SUMIFS(Movimientos!$K$1:$K$1324,Movimientos!$C$1:$C$1324,"Cross Security Trust",Movimientos!$B$1:$B$1324,"&lt;="&amp;$B162)</f>
        <v>80533.579999999987</v>
      </c>
      <c r="J162" s="24">
        <f>SUMIFS('Saldos Iniciales'!$D:$D,'Saldos Iniciales'!$A:$A,"Electrama")+SUMIFS(Movimientos!$K$1:$K$1324,Movimientos!$C$1:$C$1324,"Electrama",Movimientos!$B$1:$B$1324,"&lt;="&amp;$B162)</f>
        <v>10259.18</v>
      </c>
      <c r="K162" s="24">
        <f>SUMIFS('Saldos Iniciales'!$D:$D,'Saldos Iniciales'!$A:$A,"Sacred Valley Capital")+SUMIFS(Movimientos!$K$1:$K$1324,Movimientos!$C$1:$C$1324,"Sacred Valley Capital",Movimientos!$B$1:$B$1324,"&lt;="&amp;$B162)</f>
        <v>64.55</v>
      </c>
      <c r="L162" s="24">
        <f>SUMIFS('Saldos Iniciales'!$D:$D,'Saldos Iniciales'!$A:$A,"YWC Capital")+SUMIFS(Movimientos!$K$1:$K$1324,Movimientos!$C$1:$C$1324,"YWC Capital",Movimientos!$B$1:$B$1324,"&lt;="&amp;$B162)</f>
        <v>2117.9700000000003</v>
      </c>
      <c r="M162" s="24">
        <f>SUMIFS('Saldos Iniciales'!$D:$D,'Saldos Iniciales'!$A:$A,"Soweto")+SUMIFS(Movimientos!$K$1:$K$1324,Movimientos!$C$1:$C$1324,"Soweto",Movimientos!$B$1:$B$1324,"&lt;="&amp;$B162)</f>
        <v>17895.290000000015</v>
      </c>
      <c r="N162" s="24">
        <f>SUMIFS('Saldos Iniciales'!$D:$D,'Saldos Iniciales'!$A:$A,"Green Stone Trust")+SUMIFS(Movimientos!$K$1:$K$1324,Movimientos!$C$1:$C$1324,"Green Stone Trust",Movimientos!$B$1:$B$1324,"&lt;="&amp;$B162)</f>
        <v>1968.99</v>
      </c>
      <c r="O162" s="24">
        <f>SUMIFS('Saldos Iniciales'!$D:$D,'Saldos Iniciales'!$A:$A,"EC Auto")+SUMIFS(Movimientos!$K$1:$K$1324,Movimientos!$C$1:$C$1324,"EC Auto",Movimientos!$B$1:$B$1324,"&lt;="&amp;$B162)</f>
        <v>901.34</v>
      </c>
      <c r="P162" s="24">
        <f>SUMIFS('Saldos Iniciales'!$D:$D,'Saldos Iniciales'!$A:$A,"Arbor Capital Properties")+SUMIFS(Movimientos!$K$1:$K$1324,Movimientos!$C$1:$C$1324,"Arbor Capital Properties",Movimientos!$B$1:$B$1324,"&lt;="&amp;$B162)</f>
        <v>1364.08</v>
      </c>
      <c r="Q162" s="24">
        <f>SUMIFS('Saldos Iniciales'!$D:$D,'Saldos Iniciales'!$A:$A,"2515 Overbrook")+SUMIFS(Movimientos!$K$1:$K$1324,Movimientos!$C$1:$C$1324,"2515 Overbrook",Movimientos!$B$1:$B$1324,"&lt;="&amp;$B162)</f>
        <v>20171.549999999959</v>
      </c>
      <c r="R162" s="24">
        <f>SUMIFS('Saldos Iniciales'!$D:$D,'Saldos Iniciales'!$A:$A,"112 Florida Ave")+SUMIFS(Movimientos!$K$1:$K$1324,Movimientos!$C$1:$C$1324,"112 Florida Ave",Movimientos!$B$1:$B$1324,"&lt;="&amp;$B162)</f>
        <v>13576.060000000007</v>
      </c>
      <c r="S162" s="24">
        <f>SUMIFS('Saldos Iniciales'!$D:$D,'Saldos Iniciales'!$A:$A,"3628 Thomas Ave")+SUMIFS(Movimientos!$K$1:$K$1324,Movimientos!$C$1:$C$1324,"3628 Thomas Ave",Movimientos!$B$1:$B$1324,"&lt;="&amp;$B162)</f>
        <v>16893.769999999997</v>
      </c>
      <c r="T162" s="24">
        <f>SUMIFS('Saldos Iniciales'!$D:$D,'Saldos Iniciales'!$A:$A,"Green Harbor Trust")+SUMIFS(Movimientos!$K$1:$K$1324,Movimientos!$C$1:$C$1324,"Green Harbor Trust",Movimientos!$B$1:$B$1324,"&lt;="&amp;$B162)</f>
        <v>345</v>
      </c>
      <c r="U162" s="24">
        <f>SUMIFS('Saldos Iniciales'!$D:$D,'Saldos Iniciales'!$A:$A,"Go Blue")+SUMIFS(Movimientos!$K$1:$K$1324,Movimientos!$C$1:$C$1324,"Go Blue",Movimientos!$B$1:$B$1324,"&lt;="&amp;$B162)</f>
        <v>23077.850000000002</v>
      </c>
      <c r="V162" s="24">
        <f>IF(YEAR($B162)*100+MONTH($B162)&lt;--SUBSTITUTE(_xlfn.XLOOKUP("Pacha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LLC",Movimientos!$B$1:$B$1324,"&lt;="&amp;$B162))</f>
        <v>310854.86000000004</v>
      </c>
      <c r="W162" s="24">
        <f>IF(YEAR($B162)*100+MONTH($B162)&lt;--SUBSTITUTE(_xlfn.XLOOKUP("*CFT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Residence",Movimientos!$B$1:$B$1324,"&lt;="&amp;$B162))</f>
        <v>101691.71000000002</v>
      </c>
      <c r="X162" s="24">
        <f>IF(YEAR($B162)*100+MONTH($B162)&lt;--SUBSTITUTE(_xlfn.XLOOKUP("Carmen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Trust",Movimientos!$B$1:$B$1324,"&lt;="&amp;$B162))</f>
        <v>90631.96</v>
      </c>
      <c r="Y162" s="24">
        <f>IF(YEAR($B162)*100+MONTH($B162)&lt;--SUBSTITUTE(_xlfn.XLOOKUP("SIYP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LLC",Movimientos!$B$1:$B$1324,"&lt;="&amp;$B162))</f>
        <v>5604.8</v>
      </c>
      <c r="Z162" s="24">
        <f>IF(YEAR($B162)*100+MONTH($B162)&lt;--SUBSTITUTE(_xlfn.XLOOKUP("Prendamas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SRL",Movimientos!$B$1:$B$1324,"&lt;="&amp;$B162))</f>
        <v>21397.339999999967</v>
      </c>
      <c r="AA162" s="24">
        <f>IF(YEAR($B162)*100+MONTH($B162)&lt;--SUBSTITUTE(_xlfn.XLOOKUP("360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LLC",Movimientos!$B$1:$B$1324,"&lt;="&amp;$B162))</f>
        <v>794.01</v>
      </c>
      <c r="AB162" s="24">
        <f>IF(YEAR($B162)*100+MONTH($B162)&lt;--SUBSTITUTE(_xlfn.XLOOKUP("Five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",Movimientos!$B$1:$B$1324,"&lt;="&amp;$B162))</f>
        <v>5445.57</v>
      </c>
      <c r="AC162" s="24">
        <f>IF(YEAR($B162)*100+MONTH($B162)&lt;--SUBSTITUTE(_xlfn.XLOOKUP("Nobe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Aparments",Movimientos!$B$1:$B$1324,"&lt;="&amp;$B162))</f>
        <v>240473.16999999998</v>
      </c>
      <c r="AD162" s="24">
        <f>IF(YEAR($B162)*100+MONTH($B162)&lt;--SUBSTITUTE(_xlfn.XLOOKUP("Don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Life",Movimientos!$B$1:$B$1324,"&lt;="&amp;$B162))</f>
        <v>351319.16</v>
      </c>
      <c r="AE162" s="25">
        <f t="shared" si="7"/>
        <v>6843888.3199999975</v>
      </c>
    </row>
    <row r="163" spans="1:31" x14ac:dyDescent="0.3">
      <c r="A163" s="22">
        <f t="shared" si="5"/>
        <v>162</v>
      </c>
      <c r="B163" s="23">
        <v>46304</v>
      </c>
      <c r="C163" s="24">
        <f>SUMIFS('Saldos Iniciales'!$D:$D,'Saldos Iniciales'!$A:$A,"CFT Group")+SUMIFS(Movimientos!$K$1:$K$1324,Movimientos!$C$1:$C$1324,"CFT Group",Movimientos!$B$1:$B$1324,"&lt;="&amp;$B163)</f>
        <v>2834671.5400000005</v>
      </c>
      <c r="D163" s="24">
        <f>SUMIFS('Saldos Iniciales'!$D:$D,'Saldos Iniciales'!$A:$A,"M1B")+SUMIFS(Movimientos!$K$1:$K$1324,Movimientos!$C$1:$C$1324,"M1B",Movimientos!$B$1:$B$1324,"&lt;="&amp;$B163)</f>
        <v>103123.59000000017</v>
      </c>
      <c r="E163" s="24">
        <f>SUMIFS('Saldos Iniciales'!$D:$D,'Saldos Iniciales'!$A:$A,"Durand")+SUMIFS(Movimientos!$K$1:$K$1324,Movimientos!$C$1:$C$1324,"Durand",Movimientos!$B$1:$B$1324,"&lt;="&amp;$B163)</f>
        <v>1669.89</v>
      </c>
      <c r="F163" s="24">
        <f>SUMIFS('Saldos Iniciales'!$D:$D,'Saldos Iniciales'!$A:$A,"A&amp;M Imports")+SUMIFS(Movimientos!$K$1:$K$1324,Movimientos!$C$1:$C$1324,"A&amp;M Imports",Movimientos!$B$1:$B$1324,"&lt;="&amp;$B163)</f>
        <v>1026832.7999999996</v>
      </c>
      <c r="G163" s="24">
        <f>SUMIFS('Saldos Iniciales'!$D:$D,'Saldos Iniciales'!$A:$A,"SSP Capital")+SUMIFS(Movimientos!$K$1:$K$1324,Movimientos!$C$1:$C$1324,"SSP Capital",Movimientos!$B$1:$B$1324,"&lt;="&amp;$B163)</f>
        <v>1377138.9199999995</v>
      </c>
      <c r="H163" s="24">
        <f>SUMIFS('Saldos Iniciales'!$D:$D,'Saldos Iniciales'!$A:$A,"Cross Family Trust")+SUMIFS(Movimientos!$K$1:$K$1324,Movimientos!$C$1:$C$1324,"Cross Family Trust",Movimientos!$B$1:$B$1324,"&lt;="&amp;$B163)</f>
        <v>181778.14</v>
      </c>
      <c r="I163" s="24">
        <f>SUMIFS('Saldos Iniciales'!$D:$D,'Saldos Iniciales'!$A:$A,"Cross Security Trust")+SUMIFS(Movimientos!$K$1:$K$1324,Movimientos!$C$1:$C$1324,"Cross Security Trust",Movimientos!$B$1:$B$1324,"&lt;="&amp;$B163)</f>
        <v>80533.579999999987</v>
      </c>
      <c r="J163" s="24">
        <f>SUMIFS('Saldos Iniciales'!$D:$D,'Saldos Iniciales'!$A:$A,"Electrama")+SUMIFS(Movimientos!$K$1:$K$1324,Movimientos!$C$1:$C$1324,"Electrama",Movimientos!$B$1:$B$1324,"&lt;="&amp;$B163)</f>
        <v>10259.18</v>
      </c>
      <c r="K163" s="24">
        <f>SUMIFS('Saldos Iniciales'!$D:$D,'Saldos Iniciales'!$A:$A,"Sacred Valley Capital")+SUMIFS(Movimientos!$K$1:$K$1324,Movimientos!$C$1:$C$1324,"Sacred Valley Capital",Movimientos!$B$1:$B$1324,"&lt;="&amp;$B163)</f>
        <v>64.55</v>
      </c>
      <c r="L163" s="24">
        <f>SUMIFS('Saldos Iniciales'!$D:$D,'Saldos Iniciales'!$A:$A,"YWC Capital")+SUMIFS(Movimientos!$K$1:$K$1324,Movimientos!$C$1:$C$1324,"YWC Capital",Movimientos!$B$1:$B$1324,"&lt;="&amp;$B163)</f>
        <v>2117.9700000000003</v>
      </c>
      <c r="M163" s="24">
        <f>SUMIFS('Saldos Iniciales'!$D:$D,'Saldos Iniciales'!$A:$A,"Soweto")+SUMIFS(Movimientos!$K$1:$K$1324,Movimientos!$C$1:$C$1324,"Soweto",Movimientos!$B$1:$B$1324,"&lt;="&amp;$B163)</f>
        <v>17895.290000000015</v>
      </c>
      <c r="N163" s="24">
        <f>SUMIFS('Saldos Iniciales'!$D:$D,'Saldos Iniciales'!$A:$A,"Green Stone Trust")+SUMIFS(Movimientos!$K$1:$K$1324,Movimientos!$C$1:$C$1324,"Green Stone Trust",Movimientos!$B$1:$B$1324,"&lt;="&amp;$B163)</f>
        <v>1968.99</v>
      </c>
      <c r="O163" s="24">
        <f>SUMIFS('Saldos Iniciales'!$D:$D,'Saldos Iniciales'!$A:$A,"EC Auto")+SUMIFS(Movimientos!$K$1:$K$1324,Movimientos!$C$1:$C$1324,"EC Auto",Movimientos!$B$1:$B$1324,"&lt;="&amp;$B163)</f>
        <v>901.34</v>
      </c>
      <c r="P163" s="24">
        <f>SUMIFS('Saldos Iniciales'!$D:$D,'Saldos Iniciales'!$A:$A,"Arbor Capital Properties")+SUMIFS(Movimientos!$K$1:$K$1324,Movimientos!$C$1:$C$1324,"Arbor Capital Properties",Movimientos!$B$1:$B$1324,"&lt;="&amp;$B163)</f>
        <v>1364.08</v>
      </c>
      <c r="Q163" s="24">
        <f>SUMIFS('Saldos Iniciales'!$D:$D,'Saldos Iniciales'!$A:$A,"2515 Overbrook")+SUMIFS(Movimientos!$K$1:$K$1324,Movimientos!$C$1:$C$1324,"2515 Overbrook",Movimientos!$B$1:$B$1324,"&lt;="&amp;$B163)</f>
        <v>20171.549999999959</v>
      </c>
      <c r="R163" s="24">
        <f>SUMIFS('Saldos Iniciales'!$D:$D,'Saldos Iniciales'!$A:$A,"112 Florida Ave")+SUMIFS(Movimientos!$K$1:$K$1324,Movimientos!$C$1:$C$1324,"112 Florida Ave",Movimientos!$B$1:$B$1324,"&lt;="&amp;$B163)</f>
        <v>13576.060000000007</v>
      </c>
      <c r="S163" s="24">
        <f>SUMIFS('Saldos Iniciales'!$D:$D,'Saldos Iniciales'!$A:$A,"3628 Thomas Ave")+SUMIFS(Movimientos!$K$1:$K$1324,Movimientos!$C$1:$C$1324,"3628 Thomas Ave",Movimientos!$B$1:$B$1324,"&lt;="&amp;$B163)</f>
        <v>16893.769999999997</v>
      </c>
      <c r="T163" s="24">
        <f>SUMIFS('Saldos Iniciales'!$D:$D,'Saldos Iniciales'!$A:$A,"Green Harbor Trust")+SUMIFS(Movimientos!$K$1:$K$1324,Movimientos!$C$1:$C$1324,"Green Harbor Trust",Movimientos!$B$1:$B$1324,"&lt;="&amp;$B163)</f>
        <v>345</v>
      </c>
      <c r="U163" s="24">
        <f>SUMIFS('Saldos Iniciales'!$D:$D,'Saldos Iniciales'!$A:$A,"Go Blue")+SUMIFS(Movimientos!$K$1:$K$1324,Movimientos!$C$1:$C$1324,"Go Blue",Movimientos!$B$1:$B$1324,"&lt;="&amp;$B163)</f>
        <v>23077.850000000002</v>
      </c>
      <c r="V163" s="24">
        <f>IF(YEAR($B163)*100+MONTH($B163)&lt;--SUBSTITUTE(_xlfn.XLOOKUP("Pacha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LLC",Movimientos!$B$1:$B$1324,"&lt;="&amp;$B163))</f>
        <v>310854.86000000004</v>
      </c>
      <c r="W163" s="24">
        <f>IF(YEAR($B163)*100+MONTH($B163)&lt;--SUBSTITUTE(_xlfn.XLOOKUP("*CFT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Residence",Movimientos!$B$1:$B$1324,"&lt;="&amp;$B163))</f>
        <v>101691.71000000002</v>
      </c>
      <c r="X163" s="24">
        <f>IF(YEAR($B163)*100+MONTH($B163)&lt;--SUBSTITUTE(_xlfn.XLOOKUP("Carmen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Trust",Movimientos!$B$1:$B$1324,"&lt;="&amp;$B163))</f>
        <v>90631.96</v>
      </c>
      <c r="Y163" s="24">
        <f>IF(YEAR($B163)*100+MONTH($B163)&lt;--SUBSTITUTE(_xlfn.XLOOKUP("SIYP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LLC",Movimientos!$B$1:$B$1324,"&lt;="&amp;$B163))</f>
        <v>5604.8</v>
      </c>
      <c r="Z163" s="24">
        <f>IF(YEAR($B163)*100+MONTH($B163)&lt;--SUBSTITUTE(_xlfn.XLOOKUP("Prendamas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SRL",Movimientos!$B$1:$B$1324,"&lt;="&amp;$B163))</f>
        <v>21397.339999999967</v>
      </c>
      <c r="AA163" s="24">
        <f>IF(YEAR($B163)*100+MONTH($B163)&lt;--SUBSTITUTE(_xlfn.XLOOKUP("360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LLC",Movimientos!$B$1:$B$1324,"&lt;="&amp;$B163))</f>
        <v>794.01</v>
      </c>
      <c r="AB163" s="24">
        <f>IF(YEAR($B163)*100+MONTH($B163)&lt;--SUBSTITUTE(_xlfn.XLOOKUP("Five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",Movimientos!$B$1:$B$1324,"&lt;="&amp;$B163))</f>
        <v>5445.57</v>
      </c>
      <c r="AC163" s="24">
        <f>IF(YEAR($B163)*100+MONTH($B163)&lt;--SUBSTITUTE(_xlfn.XLOOKUP("Nobe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Aparments",Movimientos!$B$1:$B$1324,"&lt;="&amp;$B163))</f>
        <v>240473.16999999998</v>
      </c>
      <c r="AD163" s="24">
        <f>IF(YEAR($B163)*100+MONTH($B163)&lt;--SUBSTITUTE(_xlfn.XLOOKUP("Don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Life",Movimientos!$B$1:$B$1324,"&lt;="&amp;$B163))</f>
        <v>351319.16</v>
      </c>
      <c r="AE163" s="25">
        <f t="shared" si="7"/>
        <v>6842596.6699999981</v>
      </c>
    </row>
    <row r="164" spans="1:31" x14ac:dyDescent="0.3">
      <c r="A164" s="22">
        <f t="shared" si="5"/>
        <v>163</v>
      </c>
      <c r="B164" s="23">
        <v>46305</v>
      </c>
      <c r="C164" s="24">
        <f>SUMIFS('Saldos Iniciales'!$D:$D,'Saldos Iniciales'!$A:$A,"CFT Group")+SUMIFS(Movimientos!$K$1:$K$1324,Movimientos!$C$1:$C$1324,"CFT Group",Movimientos!$B$1:$B$1324,"&lt;="&amp;$B164)</f>
        <v>2834671.5400000005</v>
      </c>
      <c r="D164" s="24">
        <f>SUMIFS('Saldos Iniciales'!$D:$D,'Saldos Iniciales'!$A:$A,"M1B")+SUMIFS(Movimientos!$K$1:$K$1324,Movimientos!$C$1:$C$1324,"M1B",Movimientos!$B$1:$B$1324,"&lt;="&amp;$B164)</f>
        <v>103123.59000000017</v>
      </c>
      <c r="E164" s="24">
        <f>SUMIFS('Saldos Iniciales'!$D:$D,'Saldos Iniciales'!$A:$A,"Durand")+SUMIFS(Movimientos!$K$1:$K$1324,Movimientos!$C$1:$C$1324,"Durand",Movimientos!$B$1:$B$1324,"&lt;="&amp;$B164)</f>
        <v>1669.89</v>
      </c>
      <c r="F164" s="24">
        <f>SUMIFS('Saldos Iniciales'!$D:$D,'Saldos Iniciales'!$A:$A,"A&amp;M Imports")+SUMIFS(Movimientos!$K$1:$K$1324,Movimientos!$C$1:$C$1324,"A&amp;M Imports",Movimientos!$B$1:$B$1324,"&lt;="&amp;$B164)</f>
        <v>1026832.7999999996</v>
      </c>
      <c r="G164" s="24">
        <f>SUMIFS('Saldos Iniciales'!$D:$D,'Saldos Iniciales'!$A:$A,"SSP Capital")+SUMIFS(Movimientos!$K$1:$K$1324,Movimientos!$C$1:$C$1324,"SSP Capital",Movimientos!$B$1:$B$1324,"&lt;="&amp;$B164)</f>
        <v>1340096.4199999995</v>
      </c>
      <c r="H164" s="24">
        <f>SUMIFS('Saldos Iniciales'!$D:$D,'Saldos Iniciales'!$A:$A,"Cross Family Trust")+SUMIFS(Movimientos!$K$1:$K$1324,Movimientos!$C$1:$C$1324,"Cross Family Trust",Movimientos!$B$1:$B$1324,"&lt;="&amp;$B164)</f>
        <v>181778.14</v>
      </c>
      <c r="I164" s="24">
        <f>SUMIFS('Saldos Iniciales'!$D:$D,'Saldos Iniciales'!$A:$A,"Cross Security Trust")+SUMIFS(Movimientos!$K$1:$K$1324,Movimientos!$C$1:$C$1324,"Cross Security Trust",Movimientos!$B$1:$B$1324,"&lt;="&amp;$B164)</f>
        <v>80533.579999999987</v>
      </c>
      <c r="J164" s="24">
        <f>SUMIFS('Saldos Iniciales'!$D:$D,'Saldos Iniciales'!$A:$A,"Electrama")+SUMIFS(Movimientos!$K$1:$K$1324,Movimientos!$C$1:$C$1324,"Electrama",Movimientos!$B$1:$B$1324,"&lt;="&amp;$B164)</f>
        <v>10259.18</v>
      </c>
      <c r="K164" s="24">
        <f>SUMIFS('Saldos Iniciales'!$D:$D,'Saldos Iniciales'!$A:$A,"Sacred Valley Capital")+SUMIFS(Movimientos!$K$1:$K$1324,Movimientos!$C$1:$C$1324,"Sacred Valley Capital",Movimientos!$B$1:$B$1324,"&lt;="&amp;$B164)</f>
        <v>64.55</v>
      </c>
      <c r="L164" s="24">
        <f>SUMIFS('Saldos Iniciales'!$D:$D,'Saldos Iniciales'!$A:$A,"YWC Capital")+SUMIFS(Movimientos!$K$1:$K$1324,Movimientos!$C$1:$C$1324,"YWC Capital",Movimientos!$B$1:$B$1324,"&lt;="&amp;$B164)</f>
        <v>2117.9700000000003</v>
      </c>
      <c r="M164" s="24">
        <f>SUMIFS('Saldos Iniciales'!$D:$D,'Saldos Iniciales'!$A:$A,"Soweto")+SUMIFS(Movimientos!$K$1:$K$1324,Movimientos!$C$1:$C$1324,"Soweto",Movimientos!$B$1:$B$1324,"&lt;="&amp;$B164)</f>
        <v>17895.290000000015</v>
      </c>
      <c r="N164" s="24">
        <f>SUMIFS('Saldos Iniciales'!$D:$D,'Saldos Iniciales'!$A:$A,"Green Stone Trust")+SUMIFS(Movimientos!$K$1:$K$1324,Movimientos!$C$1:$C$1324,"Green Stone Trust",Movimientos!$B$1:$B$1324,"&lt;="&amp;$B164)</f>
        <v>1968.99</v>
      </c>
      <c r="O164" s="24">
        <f>SUMIFS('Saldos Iniciales'!$D:$D,'Saldos Iniciales'!$A:$A,"EC Auto")+SUMIFS(Movimientos!$K$1:$K$1324,Movimientos!$C$1:$C$1324,"EC Auto",Movimientos!$B$1:$B$1324,"&lt;="&amp;$B164)</f>
        <v>901.34</v>
      </c>
      <c r="P164" s="24">
        <f>SUMIFS('Saldos Iniciales'!$D:$D,'Saldos Iniciales'!$A:$A,"Arbor Capital Properties")+SUMIFS(Movimientos!$K$1:$K$1324,Movimientos!$C$1:$C$1324,"Arbor Capital Properties",Movimientos!$B$1:$B$1324,"&lt;="&amp;$B164)</f>
        <v>1364.08</v>
      </c>
      <c r="Q164" s="24">
        <f>SUMIFS('Saldos Iniciales'!$D:$D,'Saldos Iniciales'!$A:$A,"2515 Overbrook")+SUMIFS(Movimientos!$K$1:$K$1324,Movimientos!$C$1:$C$1324,"2515 Overbrook",Movimientos!$B$1:$B$1324,"&lt;="&amp;$B164)</f>
        <v>20171.549999999959</v>
      </c>
      <c r="R164" s="24">
        <f>SUMIFS('Saldos Iniciales'!$D:$D,'Saldos Iniciales'!$A:$A,"112 Florida Ave")+SUMIFS(Movimientos!$K$1:$K$1324,Movimientos!$C$1:$C$1324,"112 Florida Ave",Movimientos!$B$1:$B$1324,"&lt;="&amp;$B164)</f>
        <v>13576.060000000007</v>
      </c>
      <c r="S164" s="24">
        <f>SUMIFS('Saldos Iniciales'!$D:$D,'Saldos Iniciales'!$A:$A,"3628 Thomas Ave")+SUMIFS(Movimientos!$K$1:$K$1324,Movimientos!$C$1:$C$1324,"3628 Thomas Ave",Movimientos!$B$1:$B$1324,"&lt;="&amp;$B164)</f>
        <v>16893.769999999997</v>
      </c>
      <c r="T164" s="24">
        <f>SUMIFS('Saldos Iniciales'!$D:$D,'Saldos Iniciales'!$A:$A,"Green Harbor Trust")+SUMIFS(Movimientos!$K$1:$K$1324,Movimientos!$C$1:$C$1324,"Green Harbor Trust",Movimientos!$B$1:$B$1324,"&lt;="&amp;$B164)</f>
        <v>345</v>
      </c>
      <c r="U164" s="24">
        <f>SUMIFS('Saldos Iniciales'!$D:$D,'Saldos Iniciales'!$A:$A,"Go Blue")+SUMIFS(Movimientos!$K$1:$K$1324,Movimientos!$C$1:$C$1324,"Go Blue",Movimientos!$B$1:$B$1324,"&lt;="&amp;$B164)</f>
        <v>23077.850000000002</v>
      </c>
      <c r="V164" s="24">
        <f>IF(YEAR($B164)*100+MONTH($B164)&lt;--SUBSTITUTE(_xlfn.XLOOKUP("Pacha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LLC",Movimientos!$B$1:$B$1324,"&lt;="&amp;$B164))</f>
        <v>310854.86000000004</v>
      </c>
      <c r="W164" s="24">
        <f>IF(YEAR($B164)*100+MONTH($B164)&lt;--SUBSTITUTE(_xlfn.XLOOKUP("*CFT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Residence",Movimientos!$B$1:$B$1324,"&lt;="&amp;$B164))</f>
        <v>101132.39000000001</v>
      </c>
      <c r="X164" s="24">
        <f>IF(YEAR($B164)*100+MONTH($B164)&lt;--SUBSTITUTE(_xlfn.XLOOKUP("Carmen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Trust",Movimientos!$B$1:$B$1324,"&lt;="&amp;$B164))</f>
        <v>90631.96</v>
      </c>
      <c r="Y164" s="24">
        <f>IF(YEAR($B164)*100+MONTH($B164)&lt;--SUBSTITUTE(_xlfn.XLOOKUP("SIYP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LLC",Movimientos!$B$1:$B$1324,"&lt;="&amp;$B164))</f>
        <v>5604.8</v>
      </c>
      <c r="Z164" s="24">
        <f>IF(YEAR($B164)*100+MONTH($B164)&lt;--SUBSTITUTE(_xlfn.XLOOKUP("Prendamas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SRL",Movimientos!$B$1:$B$1324,"&lt;="&amp;$B164))</f>
        <v>21397.339999999967</v>
      </c>
      <c r="AA164" s="24">
        <f>IF(YEAR($B164)*100+MONTH($B164)&lt;--SUBSTITUTE(_xlfn.XLOOKUP("360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LLC",Movimientos!$B$1:$B$1324,"&lt;="&amp;$B164))</f>
        <v>794.01</v>
      </c>
      <c r="AB164" s="24">
        <f>IF(YEAR($B164)*100+MONTH($B164)&lt;--SUBSTITUTE(_xlfn.XLOOKUP("Five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",Movimientos!$B$1:$B$1324,"&lt;="&amp;$B164))</f>
        <v>5445.57</v>
      </c>
      <c r="AC164" s="24">
        <f>IF(YEAR($B164)*100+MONTH($B164)&lt;--SUBSTITUTE(_xlfn.XLOOKUP("Nobe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Aparments",Movimientos!$B$1:$B$1324,"&lt;="&amp;$B164))</f>
        <v>240473.16999999998</v>
      </c>
      <c r="AD164" s="24">
        <f>IF(YEAR($B164)*100+MONTH($B164)&lt;--SUBSTITUTE(_xlfn.XLOOKUP("Don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Life",Movimientos!$B$1:$B$1324,"&lt;="&amp;$B164))</f>
        <v>351319.16</v>
      </c>
      <c r="AE164" s="25">
        <f t="shared" si="7"/>
        <v>6804994.8499999978</v>
      </c>
    </row>
    <row r="165" spans="1:31" x14ac:dyDescent="0.3">
      <c r="A165" s="22">
        <f t="shared" si="5"/>
        <v>164</v>
      </c>
      <c r="B165" s="23">
        <v>46306</v>
      </c>
      <c r="C165" s="24">
        <f>SUMIFS('Saldos Iniciales'!$D:$D,'Saldos Iniciales'!$A:$A,"CFT Group")+SUMIFS(Movimientos!$K$1:$K$1324,Movimientos!$C$1:$C$1324,"CFT Group",Movimientos!$B$1:$B$1324,"&lt;="&amp;$B165)</f>
        <v>2834671.5400000005</v>
      </c>
      <c r="D165" s="24">
        <f>SUMIFS('Saldos Iniciales'!$D:$D,'Saldos Iniciales'!$A:$A,"M1B")+SUMIFS(Movimientos!$K$1:$K$1324,Movimientos!$C$1:$C$1324,"M1B",Movimientos!$B$1:$B$1324,"&lt;="&amp;$B165)</f>
        <v>103123.59000000017</v>
      </c>
      <c r="E165" s="24">
        <f>SUMIFS('Saldos Iniciales'!$D:$D,'Saldos Iniciales'!$A:$A,"Durand")+SUMIFS(Movimientos!$K$1:$K$1324,Movimientos!$C$1:$C$1324,"Durand",Movimientos!$B$1:$B$1324,"&lt;="&amp;$B165)</f>
        <v>1669.89</v>
      </c>
      <c r="F165" s="24">
        <f>SUMIFS('Saldos Iniciales'!$D:$D,'Saldos Iniciales'!$A:$A,"A&amp;M Imports")+SUMIFS(Movimientos!$K$1:$K$1324,Movimientos!$C$1:$C$1324,"A&amp;M Imports",Movimientos!$B$1:$B$1324,"&lt;="&amp;$B165)</f>
        <v>1026832.7999999996</v>
      </c>
      <c r="G165" s="24">
        <f>SUMIFS('Saldos Iniciales'!$D:$D,'Saldos Iniciales'!$A:$A,"SSP Capital")+SUMIFS(Movimientos!$K$1:$K$1324,Movimientos!$C$1:$C$1324,"SSP Capital",Movimientos!$B$1:$B$1324,"&lt;="&amp;$B165)</f>
        <v>1340096.4199999995</v>
      </c>
      <c r="H165" s="24">
        <f>SUMIFS('Saldos Iniciales'!$D:$D,'Saldos Iniciales'!$A:$A,"Cross Family Trust")+SUMIFS(Movimientos!$K$1:$K$1324,Movimientos!$C$1:$C$1324,"Cross Family Trust",Movimientos!$B$1:$B$1324,"&lt;="&amp;$B165)</f>
        <v>181778.14</v>
      </c>
      <c r="I165" s="24">
        <f>SUMIFS('Saldos Iniciales'!$D:$D,'Saldos Iniciales'!$A:$A,"Cross Security Trust")+SUMIFS(Movimientos!$K$1:$K$1324,Movimientos!$C$1:$C$1324,"Cross Security Trust",Movimientos!$B$1:$B$1324,"&lt;="&amp;$B165)</f>
        <v>80533.579999999987</v>
      </c>
      <c r="J165" s="24">
        <f>SUMIFS('Saldos Iniciales'!$D:$D,'Saldos Iniciales'!$A:$A,"Electrama")+SUMIFS(Movimientos!$K$1:$K$1324,Movimientos!$C$1:$C$1324,"Electrama",Movimientos!$B$1:$B$1324,"&lt;="&amp;$B165)</f>
        <v>10259.18</v>
      </c>
      <c r="K165" s="24">
        <f>SUMIFS('Saldos Iniciales'!$D:$D,'Saldos Iniciales'!$A:$A,"Sacred Valley Capital")+SUMIFS(Movimientos!$K$1:$K$1324,Movimientos!$C$1:$C$1324,"Sacred Valley Capital",Movimientos!$B$1:$B$1324,"&lt;="&amp;$B165)</f>
        <v>64.55</v>
      </c>
      <c r="L165" s="24">
        <f>SUMIFS('Saldos Iniciales'!$D:$D,'Saldos Iniciales'!$A:$A,"YWC Capital")+SUMIFS(Movimientos!$K$1:$K$1324,Movimientos!$C$1:$C$1324,"YWC Capital",Movimientos!$B$1:$B$1324,"&lt;="&amp;$B165)</f>
        <v>2117.9700000000003</v>
      </c>
      <c r="M165" s="24">
        <f>SUMIFS('Saldos Iniciales'!$D:$D,'Saldos Iniciales'!$A:$A,"Soweto")+SUMIFS(Movimientos!$K$1:$K$1324,Movimientos!$C$1:$C$1324,"Soweto",Movimientos!$B$1:$B$1324,"&lt;="&amp;$B165)</f>
        <v>17895.290000000015</v>
      </c>
      <c r="N165" s="24">
        <f>SUMIFS('Saldos Iniciales'!$D:$D,'Saldos Iniciales'!$A:$A,"Green Stone Trust")+SUMIFS(Movimientos!$K$1:$K$1324,Movimientos!$C$1:$C$1324,"Green Stone Trust",Movimientos!$B$1:$B$1324,"&lt;="&amp;$B165)</f>
        <v>1968.99</v>
      </c>
      <c r="O165" s="24">
        <f>SUMIFS('Saldos Iniciales'!$D:$D,'Saldos Iniciales'!$A:$A,"EC Auto")+SUMIFS(Movimientos!$K$1:$K$1324,Movimientos!$C$1:$C$1324,"EC Auto",Movimientos!$B$1:$B$1324,"&lt;="&amp;$B165)</f>
        <v>901.34</v>
      </c>
      <c r="P165" s="24">
        <f>SUMIFS('Saldos Iniciales'!$D:$D,'Saldos Iniciales'!$A:$A,"Arbor Capital Properties")+SUMIFS(Movimientos!$K$1:$K$1324,Movimientos!$C$1:$C$1324,"Arbor Capital Properties",Movimientos!$B$1:$B$1324,"&lt;="&amp;$B165)</f>
        <v>1364.08</v>
      </c>
      <c r="Q165" s="24">
        <f>SUMIFS('Saldos Iniciales'!$D:$D,'Saldos Iniciales'!$A:$A,"2515 Overbrook")+SUMIFS(Movimientos!$K$1:$K$1324,Movimientos!$C$1:$C$1324,"2515 Overbrook",Movimientos!$B$1:$B$1324,"&lt;="&amp;$B165)</f>
        <v>20171.549999999959</v>
      </c>
      <c r="R165" s="24">
        <f>SUMIFS('Saldos Iniciales'!$D:$D,'Saldos Iniciales'!$A:$A,"112 Florida Ave")+SUMIFS(Movimientos!$K$1:$K$1324,Movimientos!$C$1:$C$1324,"112 Florida Ave",Movimientos!$B$1:$B$1324,"&lt;="&amp;$B165)</f>
        <v>13576.060000000007</v>
      </c>
      <c r="S165" s="24">
        <f>SUMIFS('Saldos Iniciales'!$D:$D,'Saldos Iniciales'!$A:$A,"3628 Thomas Ave")+SUMIFS(Movimientos!$K$1:$K$1324,Movimientos!$C$1:$C$1324,"3628 Thomas Ave",Movimientos!$B$1:$B$1324,"&lt;="&amp;$B165)</f>
        <v>16893.769999999997</v>
      </c>
      <c r="T165" s="24">
        <f>SUMIFS('Saldos Iniciales'!$D:$D,'Saldos Iniciales'!$A:$A,"Green Harbor Trust")+SUMIFS(Movimientos!$K$1:$K$1324,Movimientos!$C$1:$C$1324,"Green Harbor Trust",Movimientos!$B$1:$B$1324,"&lt;="&amp;$B165)</f>
        <v>345</v>
      </c>
      <c r="U165" s="24">
        <f>SUMIFS('Saldos Iniciales'!$D:$D,'Saldos Iniciales'!$A:$A,"Go Blue")+SUMIFS(Movimientos!$K$1:$K$1324,Movimientos!$C$1:$C$1324,"Go Blue",Movimientos!$B$1:$B$1324,"&lt;="&amp;$B165)</f>
        <v>23077.850000000002</v>
      </c>
      <c r="V165" s="24">
        <f>IF(YEAR($B165)*100+MONTH($B165)&lt;--SUBSTITUTE(_xlfn.XLOOKUP("Pacha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LLC",Movimientos!$B$1:$B$1324,"&lt;="&amp;$B165))</f>
        <v>310854.86000000004</v>
      </c>
      <c r="W165" s="24">
        <f>IF(YEAR($B165)*100+MONTH($B165)&lt;--SUBSTITUTE(_xlfn.XLOOKUP("*CFT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Residence",Movimientos!$B$1:$B$1324,"&lt;="&amp;$B165))</f>
        <v>101132.39000000001</v>
      </c>
      <c r="X165" s="24">
        <f>IF(YEAR($B165)*100+MONTH($B165)&lt;--SUBSTITUTE(_xlfn.XLOOKUP("Carmen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Trust",Movimientos!$B$1:$B$1324,"&lt;="&amp;$B165))</f>
        <v>90631.96</v>
      </c>
      <c r="Y165" s="24">
        <f>IF(YEAR($B165)*100+MONTH($B165)&lt;--SUBSTITUTE(_xlfn.XLOOKUP("SIYP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LLC",Movimientos!$B$1:$B$1324,"&lt;="&amp;$B165))</f>
        <v>5604.8</v>
      </c>
      <c r="Z165" s="24">
        <f>IF(YEAR($B165)*100+MONTH($B165)&lt;--SUBSTITUTE(_xlfn.XLOOKUP("Prendamas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SRL",Movimientos!$B$1:$B$1324,"&lt;="&amp;$B165))</f>
        <v>21397.339999999967</v>
      </c>
      <c r="AA165" s="24">
        <f>IF(YEAR($B165)*100+MONTH($B165)&lt;--SUBSTITUTE(_xlfn.XLOOKUP("360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LLC",Movimientos!$B$1:$B$1324,"&lt;="&amp;$B165))</f>
        <v>794.01</v>
      </c>
      <c r="AB165" s="24">
        <f>IF(YEAR($B165)*100+MONTH($B165)&lt;--SUBSTITUTE(_xlfn.XLOOKUP("Five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",Movimientos!$B$1:$B$1324,"&lt;="&amp;$B165))</f>
        <v>5445.57</v>
      </c>
      <c r="AC165" s="24">
        <f>IF(YEAR($B165)*100+MONTH($B165)&lt;--SUBSTITUTE(_xlfn.XLOOKUP("Nobe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Aparments",Movimientos!$B$1:$B$1324,"&lt;="&amp;$B165))</f>
        <v>240473.16999999998</v>
      </c>
      <c r="AD165" s="24">
        <f>IF(YEAR($B165)*100+MONTH($B165)&lt;--SUBSTITUTE(_xlfn.XLOOKUP("Don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Life",Movimientos!$B$1:$B$1324,"&lt;="&amp;$B165))</f>
        <v>351319.16</v>
      </c>
      <c r="AE165" s="25">
        <f t="shared" si="7"/>
        <v>6804994.8499999978</v>
      </c>
    </row>
    <row r="166" spans="1:31" x14ac:dyDescent="0.3">
      <c r="A166" s="22">
        <f t="shared" si="5"/>
        <v>165</v>
      </c>
      <c r="B166" s="23">
        <v>46307</v>
      </c>
      <c r="C166" s="24">
        <f>SUMIFS('Saldos Iniciales'!$D:$D,'Saldos Iniciales'!$A:$A,"CFT Group")+SUMIFS(Movimientos!$K$1:$K$1324,Movimientos!$C$1:$C$1324,"CFT Group",Movimientos!$B$1:$B$1324,"&lt;="&amp;$B166)</f>
        <v>2834671.5400000005</v>
      </c>
      <c r="D166" s="24">
        <f>SUMIFS('Saldos Iniciales'!$D:$D,'Saldos Iniciales'!$A:$A,"M1B")+SUMIFS(Movimientos!$K$1:$K$1324,Movimientos!$C$1:$C$1324,"M1B",Movimientos!$B$1:$B$1324,"&lt;="&amp;$B166)</f>
        <v>103123.59000000017</v>
      </c>
      <c r="E166" s="24">
        <f>SUMIFS('Saldos Iniciales'!$D:$D,'Saldos Iniciales'!$A:$A,"Durand")+SUMIFS(Movimientos!$K$1:$K$1324,Movimientos!$C$1:$C$1324,"Durand",Movimientos!$B$1:$B$1324,"&lt;="&amp;$B166)</f>
        <v>1669.89</v>
      </c>
      <c r="F166" s="24">
        <f>SUMIFS('Saldos Iniciales'!$D:$D,'Saldos Iniciales'!$A:$A,"A&amp;M Imports")+SUMIFS(Movimientos!$K$1:$K$1324,Movimientos!$C$1:$C$1324,"A&amp;M Imports",Movimientos!$B$1:$B$1324,"&lt;="&amp;$B166)</f>
        <v>1026832.7999999996</v>
      </c>
      <c r="G166" s="24">
        <f>SUMIFS('Saldos Iniciales'!$D:$D,'Saldos Iniciales'!$A:$A,"SSP Capital")+SUMIFS(Movimientos!$K$1:$K$1324,Movimientos!$C$1:$C$1324,"SSP Capital",Movimientos!$B$1:$B$1324,"&lt;="&amp;$B166)</f>
        <v>1340096.4199999995</v>
      </c>
      <c r="H166" s="24">
        <f>SUMIFS('Saldos Iniciales'!$D:$D,'Saldos Iniciales'!$A:$A,"Cross Family Trust")+SUMIFS(Movimientos!$K$1:$K$1324,Movimientos!$C$1:$C$1324,"Cross Family Trust",Movimientos!$B$1:$B$1324,"&lt;="&amp;$B166)</f>
        <v>181778.14</v>
      </c>
      <c r="I166" s="24">
        <f>SUMIFS('Saldos Iniciales'!$D:$D,'Saldos Iniciales'!$A:$A,"Cross Security Trust")+SUMIFS(Movimientos!$K$1:$K$1324,Movimientos!$C$1:$C$1324,"Cross Security Trust",Movimientos!$B$1:$B$1324,"&lt;="&amp;$B166)</f>
        <v>80533.579999999987</v>
      </c>
      <c r="J166" s="24">
        <f>SUMIFS('Saldos Iniciales'!$D:$D,'Saldos Iniciales'!$A:$A,"Electrama")+SUMIFS(Movimientos!$K$1:$K$1324,Movimientos!$C$1:$C$1324,"Electrama",Movimientos!$B$1:$B$1324,"&lt;="&amp;$B166)</f>
        <v>10259.18</v>
      </c>
      <c r="K166" s="24">
        <f>SUMIFS('Saldos Iniciales'!$D:$D,'Saldos Iniciales'!$A:$A,"Sacred Valley Capital")+SUMIFS(Movimientos!$K$1:$K$1324,Movimientos!$C$1:$C$1324,"Sacred Valley Capital",Movimientos!$B$1:$B$1324,"&lt;="&amp;$B166)</f>
        <v>64.55</v>
      </c>
      <c r="L166" s="24">
        <f>SUMIFS('Saldos Iniciales'!$D:$D,'Saldos Iniciales'!$A:$A,"YWC Capital")+SUMIFS(Movimientos!$K$1:$K$1324,Movimientos!$C$1:$C$1324,"YWC Capital",Movimientos!$B$1:$B$1324,"&lt;="&amp;$B166)</f>
        <v>2117.9700000000003</v>
      </c>
      <c r="M166" s="24">
        <f>SUMIFS('Saldos Iniciales'!$D:$D,'Saldos Iniciales'!$A:$A,"Soweto")+SUMIFS(Movimientos!$K$1:$K$1324,Movimientos!$C$1:$C$1324,"Soweto",Movimientos!$B$1:$B$1324,"&lt;="&amp;$B166)</f>
        <v>17895.290000000015</v>
      </c>
      <c r="N166" s="24">
        <f>SUMIFS('Saldos Iniciales'!$D:$D,'Saldos Iniciales'!$A:$A,"Green Stone Trust")+SUMIFS(Movimientos!$K$1:$K$1324,Movimientos!$C$1:$C$1324,"Green Stone Trust",Movimientos!$B$1:$B$1324,"&lt;="&amp;$B166)</f>
        <v>1968.99</v>
      </c>
      <c r="O166" s="24">
        <f>SUMIFS('Saldos Iniciales'!$D:$D,'Saldos Iniciales'!$A:$A,"EC Auto")+SUMIFS(Movimientos!$K$1:$K$1324,Movimientos!$C$1:$C$1324,"EC Auto",Movimientos!$B$1:$B$1324,"&lt;="&amp;$B166)</f>
        <v>901.34</v>
      </c>
      <c r="P166" s="24">
        <f>SUMIFS('Saldos Iniciales'!$D:$D,'Saldos Iniciales'!$A:$A,"Arbor Capital Properties")+SUMIFS(Movimientos!$K$1:$K$1324,Movimientos!$C$1:$C$1324,"Arbor Capital Properties",Movimientos!$B$1:$B$1324,"&lt;="&amp;$B166)</f>
        <v>1364.08</v>
      </c>
      <c r="Q166" s="24">
        <f>SUMIFS('Saldos Iniciales'!$D:$D,'Saldos Iniciales'!$A:$A,"2515 Overbrook")+SUMIFS(Movimientos!$K$1:$K$1324,Movimientos!$C$1:$C$1324,"2515 Overbrook",Movimientos!$B$1:$B$1324,"&lt;="&amp;$B166)</f>
        <v>20171.549999999959</v>
      </c>
      <c r="R166" s="24">
        <f>SUMIFS('Saldos Iniciales'!$D:$D,'Saldos Iniciales'!$A:$A,"112 Florida Ave")+SUMIFS(Movimientos!$K$1:$K$1324,Movimientos!$C$1:$C$1324,"112 Florida Ave",Movimientos!$B$1:$B$1324,"&lt;="&amp;$B166)</f>
        <v>13576.060000000007</v>
      </c>
      <c r="S166" s="24">
        <f>SUMIFS('Saldos Iniciales'!$D:$D,'Saldos Iniciales'!$A:$A,"3628 Thomas Ave")+SUMIFS(Movimientos!$K$1:$K$1324,Movimientos!$C$1:$C$1324,"3628 Thomas Ave",Movimientos!$B$1:$B$1324,"&lt;="&amp;$B166)</f>
        <v>16893.769999999997</v>
      </c>
      <c r="T166" s="24">
        <f>SUMIFS('Saldos Iniciales'!$D:$D,'Saldos Iniciales'!$A:$A,"Green Harbor Trust")+SUMIFS(Movimientos!$K$1:$K$1324,Movimientos!$C$1:$C$1324,"Green Harbor Trust",Movimientos!$B$1:$B$1324,"&lt;="&amp;$B166)</f>
        <v>345</v>
      </c>
      <c r="U166" s="24">
        <f>SUMIFS('Saldos Iniciales'!$D:$D,'Saldos Iniciales'!$A:$A,"Go Blue")+SUMIFS(Movimientos!$K$1:$K$1324,Movimientos!$C$1:$C$1324,"Go Blue",Movimientos!$B$1:$B$1324,"&lt;="&amp;$B166)</f>
        <v>23077.850000000002</v>
      </c>
      <c r="V166" s="24">
        <f>IF(YEAR($B166)*100+MONTH($B166)&lt;--SUBSTITUTE(_xlfn.XLOOKUP("Pacha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LLC",Movimientos!$B$1:$B$1324,"&lt;="&amp;$B166))</f>
        <v>310854.86000000004</v>
      </c>
      <c r="W166" s="24">
        <f>IF(YEAR($B166)*100+MONTH($B166)&lt;--SUBSTITUTE(_xlfn.XLOOKUP("*CFT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Residence",Movimientos!$B$1:$B$1324,"&lt;="&amp;$B166))</f>
        <v>101132.39000000001</v>
      </c>
      <c r="X166" s="24">
        <f>IF(YEAR($B166)*100+MONTH($B166)&lt;--SUBSTITUTE(_xlfn.XLOOKUP("Carmen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Trust",Movimientos!$B$1:$B$1324,"&lt;="&amp;$B166))</f>
        <v>90631.96</v>
      </c>
      <c r="Y166" s="24">
        <f>IF(YEAR($B166)*100+MONTH($B166)&lt;--SUBSTITUTE(_xlfn.XLOOKUP("SIYP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LLC",Movimientos!$B$1:$B$1324,"&lt;="&amp;$B166))</f>
        <v>5604.8</v>
      </c>
      <c r="Z166" s="24">
        <f>IF(YEAR($B166)*100+MONTH($B166)&lt;--SUBSTITUTE(_xlfn.XLOOKUP("Prendamas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SRL",Movimientos!$B$1:$B$1324,"&lt;="&amp;$B166))</f>
        <v>21397.339999999967</v>
      </c>
      <c r="AA166" s="24">
        <f>IF(YEAR($B166)*100+MONTH($B166)&lt;--SUBSTITUTE(_xlfn.XLOOKUP("360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LLC",Movimientos!$B$1:$B$1324,"&lt;="&amp;$B166))</f>
        <v>794.01</v>
      </c>
      <c r="AB166" s="24">
        <f>IF(YEAR($B166)*100+MONTH($B166)&lt;--SUBSTITUTE(_xlfn.XLOOKUP("Five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",Movimientos!$B$1:$B$1324,"&lt;="&amp;$B166))</f>
        <v>5445.57</v>
      </c>
      <c r="AC166" s="24">
        <f>IF(YEAR($B166)*100+MONTH($B166)&lt;--SUBSTITUTE(_xlfn.XLOOKUP("Nobe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Aparments",Movimientos!$B$1:$B$1324,"&lt;="&amp;$B166))</f>
        <v>240473.16999999998</v>
      </c>
      <c r="AD166" s="24">
        <f>IF(YEAR($B166)*100+MONTH($B166)&lt;--SUBSTITUTE(_xlfn.XLOOKUP("Don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Life",Movimientos!$B$1:$B$1324,"&lt;="&amp;$B166))</f>
        <v>351319.16</v>
      </c>
      <c r="AE166" s="25">
        <f t="shared" si="7"/>
        <v>6804994.8499999978</v>
      </c>
    </row>
    <row r="167" spans="1:31" x14ac:dyDescent="0.3">
      <c r="A167" s="22">
        <f t="shared" si="5"/>
        <v>166</v>
      </c>
      <c r="B167" s="23">
        <v>46308</v>
      </c>
      <c r="C167" s="24">
        <f>SUMIFS('Saldos Iniciales'!$D:$D,'Saldos Iniciales'!$A:$A,"CFT Group")+SUMIFS(Movimientos!$K$1:$K$1324,Movimientos!$C$1:$C$1324,"CFT Group",Movimientos!$B$1:$B$1324,"&lt;="&amp;$B167)</f>
        <v>2834671.5400000005</v>
      </c>
      <c r="D167" s="24">
        <f>SUMIFS('Saldos Iniciales'!$D:$D,'Saldos Iniciales'!$A:$A,"M1B")+SUMIFS(Movimientos!$K$1:$K$1324,Movimientos!$C$1:$C$1324,"M1B",Movimientos!$B$1:$B$1324,"&lt;="&amp;$B167)</f>
        <v>103123.59000000017</v>
      </c>
      <c r="E167" s="24">
        <f>SUMIFS('Saldos Iniciales'!$D:$D,'Saldos Iniciales'!$A:$A,"Durand")+SUMIFS(Movimientos!$K$1:$K$1324,Movimientos!$C$1:$C$1324,"Durand",Movimientos!$B$1:$B$1324,"&lt;="&amp;$B167)</f>
        <v>1669.89</v>
      </c>
      <c r="F167" s="24">
        <f>SUMIFS('Saldos Iniciales'!$D:$D,'Saldos Iniciales'!$A:$A,"A&amp;M Imports")+SUMIFS(Movimientos!$K$1:$K$1324,Movimientos!$C$1:$C$1324,"A&amp;M Imports",Movimientos!$B$1:$B$1324,"&lt;="&amp;$B167)</f>
        <v>1026832.7999999996</v>
      </c>
      <c r="G167" s="24">
        <f>SUMIFS('Saldos Iniciales'!$D:$D,'Saldos Iniciales'!$A:$A,"SSP Capital")+SUMIFS(Movimientos!$K$1:$K$1324,Movimientos!$C$1:$C$1324,"SSP Capital",Movimientos!$B$1:$B$1324,"&lt;="&amp;$B167)</f>
        <v>1340096.4199999995</v>
      </c>
      <c r="H167" s="24">
        <f>SUMIFS('Saldos Iniciales'!$D:$D,'Saldos Iniciales'!$A:$A,"Cross Family Trust")+SUMIFS(Movimientos!$K$1:$K$1324,Movimientos!$C$1:$C$1324,"Cross Family Trust",Movimientos!$B$1:$B$1324,"&lt;="&amp;$B167)</f>
        <v>181778.14</v>
      </c>
      <c r="I167" s="24">
        <f>SUMIFS('Saldos Iniciales'!$D:$D,'Saldos Iniciales'!$A:$A,"Cross Security Trust")+SUMIFS(Movimientos!$K$1:$K$1324,Movimientos!$C$1:$C$1324,"Cross Security Trust",Movimientos!$B$1:$B$1324,"&lt;="&amp;$B167)</f>
        <v>80533.579999999987</v>
      </c>
      <c r="J167" s="24">
        <f>SUMIFS('Saldos Iniciales'!$D:$D,'Saldos Iniciales'!$A:$A,"Electrama")+SUMIFS(Movimientos!$K$1:$K$1324,Movimientos!$C$1:$C$1324,"Electrama",Movimientos!$B$1:$B$1324,"&lt;="&amp;$B167)</f>
        <v>10259.18</v>
      </c>
      <c r="K167" s="24">
        <f>SUMIFS('Saldos Iniciales'!$D:$D,'Saldos Iniciales'!$A:$A,"Sacred Valley Capital")+SUMIFS(Movimientos!$K$1:$K$1324,Movimientos!$C$1:$C$1324,"Sacred Valley Capital",Movimientos!$B$1:$B$1324,"&lt;="&amp;$B167)</f>
        <v>64.55</v>
      </c>
      <c r="L167" s="24">
        <f>SUMIFS('Saldos Iniciales'!$D:$D,'Saldos Iniciales'!$A:$A,"YWC Capital")+SUMIFS(Movimientos!$K$1:$K$1324,Movimientos!$C$1:$C$1324,"YWC Capital",Movimientos!$B$1:$B$1324,"&lt;="&amp;$B167)</f>
        <v>2117.9700000000003</v>
      </c>
      <c r="M167" s="24">
        <f>SUMIFS('Saldos Iniciales'!$D:$D,'Saldos Iniciales'!$A:$A,"Soweto")+SUMIFS(Movimientos!$K$1:$K$1324,Movimientos!$C$1:$C$1324,"Soweto",Movimientos!$B$1:$B$1324,"&lt;="&amp;$B167)</f>
        <v>17895.290000000015</v>
      </c>
      <c r="N167" s="24">
        <f>SUMIFS('Saldos Iniciales'!$D:$D,'Saldos Iniciales'!$A:$A,"Green Stone Trust")+SUMIFS(Movimientos!$K$1:$K$1324,Movimientos!$C$1:$C$1324,"Green Stone Trust",Movimientos!$B$1:$B$1324,"&lt;="&amp;$B167)</f>
        <v>1968.99</v>
      </c>
      <c r="O167" s="24">
        <f>SUMIFS('Saldos Iniciales'!$D:$D,'Saldos Iniciales'!$A:$A,"EC Auto")+SUMIFS(Movimientos!$K$1:$K$1324,Movimientos!$C$1:$C$1324,"EC Auto",Movimientos!$B$1:$B$1324,"&lt;="&amp;$B167)</f>
        <v>901.34</v>
      </c>
      <c r="P167" s="24">
        <f>SUMIFS('Saldos Iniciales'!$D:$D,'Saldos Iniciales'!$A:$A,"Arbor Capital Properties")+SUMIFS(Movimientos!$K$1:$K$1324,Movimientos!$C$1:$C$1324,"Arbor Capital Properties",Movimientos!$B$1:$B$1324,"&lt;="&amp;$B167)</f>
        <v>1364.08</v>
      </c>
      <c r="Q167" s="24">
        <f>SUMIFS('Saldos Iniciales'!$D:$D,'Saldos Iniciales'!$A:$A,"2515 Overbrook")+SUMIFS(Movimientos!$K$1:$K$1324,Movimientos!$C$1:$C$1324,"2515 Overbrook",Movimientos!$B$1:$B$1324,"&lt;="&amp;$B167)</f>
        <v>20171.549999999959</v>
      </c>
      <c r="R167" s="24">
        <f>SUMIFS('Saldos Iniciales'!$D:$D,'Saldos Iniciales'!$A:$A,"112 Florida Ave")+SUMIFS(Movimientos!$K$1:$K$1324,Movimientos!$C$1:$C$1324,"112 Florida Ave",Movimientos!$B$1:$B$1324,"&lt;="&amp;$B167)</f>
        <v>13576.060000000007</v>
      </c>
      <c r="S167" s="24">
        <f>SUMIFS('Saldos Iniciales'!$D:$D,'Saldos Iniciales'!$A:$A,"3628 Thomas Ave")+SUMIFS(Movimientos!$K$1:$K$1324,Movimientos!$C$1:$C$1324,"3628 Thomas Ave",Movimientos!$B$1:$B$1324,"&lt;="&amp;$B167)</f>
        <v>16893.769999999997</v>
      </c>
      <c r="T167" s="24">
        <f>SUMIFS('Saldos Iniciales'!$D:$D,'Saldos Iniciales'!$A:$A,"Green Harbor Trust")+SUMIFS(Movimientos!$K$1:$K$1324,Movimientos!$C$1:$C$1324,"Green Harbor Trust",Movimientos!$B$1:$B$1324,"&lt;="&amp;$B167)</f>
        <v>345</v>
      </c>
      <c r="U167" s="24">
        <f>SUMIFS('Saldos Iniciales'!$D:$D,'Saldos Iniciales'!$A:$A,"Go Blue")+SUMIFS(Movimientos!$K$1:$K$1324,Movimientos!$C$1:$C$1324,"Go Blue",Movimientos!$B$1:$B$1324,"&lt;="&amp;$B167)</f>
        <v>23077.850000000002</v>
      </c>
      <c r="V167" s="24">
        <f>IF(YEAR($B167)*100+MONTH($B167)&lt;--SUBSTITUTE(_xlfn.XLOOKUP("Pacha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LLC",Movimientos!$B$1:$B$1324,"&lt;="&amp;$B167))</f>
        <v>310854.86000000004</v>
      </c>
      <c r="W167" s="24">
        <f>IF(YEAR($B167)*100+MONTH($B167)&lt;--SUBSTITUTE(_xlfn.XLOOKUP("*CFT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Residence",Movimientos!$B$1:$B$1324,"&lt;="&amp;$B167))</f>
        <v>100606.05000000002</v>
      </c>
      <c r="X167" s="24">
        <f>IF(YEAR($B167)*100+MONTH($B167)&lt;--SUBSTITUTE(_xlfn.XLOOKUP("Carmen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Trust",Movimientos!$B$1:$B$1324,"&lt;="&amp;$B167))</f>
        <v>90631.96</v>
      </c>
      <c r="Y167" s="24">
        <f>IF(YEAR($B167)*100+MONTH($B167)&lt;--SUBSTITUTE(_xlfn.XLOOKUP("SIYP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LLC",Movimientos!$B$1:$B$1324,"&lt;="&amp;$B167))</f>
        <v>5604.8</v>
      </c>
      <c r="Z167" s="24">
        <f>IF(YEAR($B167)*100+MONTH($B167)&lt;--SUBSTITUTE(_xlfn.XLOOKUP("Prendamas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SRL",Movimientos!$B$1:$B$1324,"&lt;="&amp;$B167))</f>
        <v>21397.339999999967</v>
      </c>
      <c r="AA167" s="24">
        <f>IF(YEAR($B167)*100+MONTH($B167)&lt;--SUBSTITUTE(_xlfn.XLOOKUP("360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LLC",Movimientos!$B$1:$B$1324,"&lt;="&amp;$B167))</f>
        <v>794.01</v>
      </c>
      <c r="AB167" s="24">
        <f>IF(YEAR($B167)*100+MONTH($B167)&lt;--SUBSTITUTE(_xlfn.XLOOKUP("Five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",Movimientos!$B$1:$B$1324,"&lt;="&amp;$B167))</f>
        <v>5445.57</v>
      </c>
      <c r="AC167" s="24">
        <f>IF(YEAR($B167)*100+MONTH($B167)&lt;--SUBSTITUTE(_xlfn.XLOOKUP("Nobe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Aparments",Movimientos!$B$1:$B$1324,"&lt;="&amp;$B167))</f>
        <v>240473.16999999998</v>
      </c>
      <c r="AD167" s="24">
        <f>IF(YEAR($B167)*100+MONTH($B167)&lt;--SUBSTITUTE(_xlfn.XLOOKUP("Don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Life",Movimientos!$B$1:$B$1324,"&lt;="&amp;$B167))</f>
        <v>351319.16</v>
      </c>
      <c r="AE167" s="25">
        <f t="shared" si="7"/>
        <v>6804468.5099999979</v>
      </c>
    </row>
    <row r="168" spans="1:31" x14ac:dyDescent="0.3">
      <c r="A168" s="22">
        <f t="shared" si="5"/>
        <v>167</v>
      </c>
      <c r="B168" s="23">
        <v>46309</v>
      </c>
      <c r="C168" s="24">
        <f>SUMIFS('Saldos Iniciales'!$D:$D,'Saldos Iniciales'!$A:$A,"CFT Group")+SUMIFS(Movimientos!$K$1:$K$1324,Movimientos!$C$1:$C$1324,"CFT Group",Movimientos!$B$1:$B$1324,"&lt;="&amp;$B168)</f>
        <v>2393911.5800000005</v>
      </c>
      <c r="D168" s="24">
        <f>SUMIFS('Saldos Iniciales'!$D:$D,'Saldos Iniciales'!$A:$A,"M1B")+SUMIFS(Movimientos!$K$1:$K$1324,Movimientos!$C$1:$C$1324,"M1B",Movimientos!$B$1:$B$1324,"&lt;="&amp;$B168)</f>
        <v>103123.59000000017</v>
      </c>
      <c r="E168" s="24">
        <f>SUMIFS('Saldos Iniciales'!$D:$D,'Saldos Iniciales'!$A:$A,"Durand")+SUMIFS(Movimientos!$K$1:$K$1324,Movimientos!$C$1:$C$1324,"Durand",Movimientos!$B$1:$B$1324,"&lt;="&amp;$B168)</f>
        <v>1669.89</v>
      </c>
      <c r="F168" s="24">
        <f>SUMIFS('Saldos Iniciales'!$D:$D,'Saldos Iniciales'!$A:$A,"A&amp;M Imports")+SUMIFS(Movimientos!$K$1:$K$1324,Movimientos!$C$1:$C$1324,"A&amp;M Imports",Movimientos!$B$1:$B$1324,"&lt;="&amp;$B168)</f>
        <v>892379.23999999953</v>
      </c>
      <c r="G168" s="24">
        <f>SUMIFS('Saldos Iniciales'!$D:$D,'Saldos Iniciales'!$A:$A,"SSP Capital")+SUMIFS(Movimientos!$K$1:$K$1324,Movimientos!$C$1:$C$1324,"SSP Capital",Movimientos!$B$1:$B$1324,"&lt;="&amp;$B168)</f>
        <v>1574252.7299999993</v>
      </c>
      <c r="H168" s="24">
        <f>SUMIFS('Saldos Iniciales'!$D:$D,'Saldos Iniciales'!$A:$A,"Cross Family Trust")+SUMIFS(Movimientos!$K$1:$K$1324,Movimientos!$C$1:$C$1324,"Cross Family Trust",Movimientos!$B$1:$B$1324,"&lt;="&amp;$B168)</f>
        <v>181763.14</v>
      </c>
      <c r="I168" s="24">
        <f>SUMIFS('Saldos Iniciales'!$D:$D,'Saldos Iniciales'!$A:$A,"Cross Security Trust")+SUMIFS(Movimientos!$K$1:$K$1324,Movimientos!$C$1:$C$1324,"Cross Security Trust",Movimientos!$B$1:$B$1324,"&lt;="&amp;$B168)</f>
        <v>80533.579999999987</v>
      </c>
      <c r="J168" s="24">
        <f>SUMIFS('Saldos Iniciales'!$D:$D,'Saldos Iniciales'!$A:$A,"Electrama")+SUMIFS(Movimientos!$K$1:$K$1324,Movimientos!$C$1:$C$1324,"Electrama",Movimientos!$B$1:$B$1324,"&lt;="&amp;$B168)</f>
        <v>10259.18</v>
      </c>
      <c r="K168" s="24">
        <f>SUMIFS('Saldos Iniciales'!$D:$D,'Saldos Iniciales'!$A:$A,"Sacred Valley Capital")+SUMIFS(Movimientos!$K$1:$K$1324,Movimientos!$C$1:$C$1324,"Sacred Valley Capital",Movimientos!$B$1:$B$1324,"&lt;="&amp;$B168)</f>
        <v>64.55</v>
      </c>
      <c r="L168" s="24">
        <f>SUMIFS('Saldos Iniciales'!$D:$D,'Saldos Iniciales'!$A:$A,"YWC Capital")+SUMIFS(Movimientos!$K$1:$K$1324,Movimientos!$C$1:$C$1324,"YWC Capital",Movimientos!$B$1:$B$1324,"&lt;="&amp;$B168)</f>
        <v>2117.9700000000003</v>
      </c>
      <c r="M168" s="24">
        <f>SUMIFS('Saldos Iniciales'!$D:$D,'Saldos Iniciales'!$A:$A,"Soweto")+SUMIFS(Movimientos!$K$1:$K$1324,Movimientos!$C$1:$C$1324,"Soweto",Movimientos!$B$1:$B$1324,"&lt;="&amp;$B168)</f>
        <v>17895.290000000015</v>
      </c>
      <c r="N168" s="24">
        <f>SUMIFS('Saldos Iniciales'!$D:$D,'Saldos Iniciales'!$A:$A,"Green Stone Trust")+SUMIFS(Movimientos!$K$1:$K$1324,Movimientos!$C$1:$C$1324,"Green Stone Trust",Movimientos!$B$1:$B$1324,"&lt;="&amp;$B168)</f>
        <v>1968.99</v>
      </c>
      <c r="O168" s="24">
        <f>SUMIFS('Saldos Iniciales'!$D:$D,'Saldos Iniciales'!$A:$A,"EC Auto")+SUMIFS(Movimientos!$K$1:$K$1324,Movimientos!$C$1:$C$1324,"EC Auto",Movimientos!$B$1:$B$1324,"&lt;="&amp;$B168)</f>
        <v>901.34</v>
      </c>
      <c r="P168" s="24">
        <f>SUMIFS('Saldos Iniciales'!$D:$D,'Saldos Iniciales'!$A:$A,"Arbor Capital Properties")+SUMIFS(Movimientos!$K$1:$K$1324,Movimientos!$C$1:$C$1324,"Arbor Capital Properties",Movimientos!$B$1:$B$1324,"&lt;="&amp;$B168)</f>
        <v>1364.08</v>
      </c>
      <c r="Q168" s="24">
        <f>SUMIFS('Saldos Iniciales'!$D:$D,'Saldos Iniciales'!$A:$A,"2515 Overbrook")+SUMIFS(Movimientos!$K$1:$K$1324,Movimientos!$C$1:$C$1324,"2515 Overbrook",Movimientos!$B$1:$B$1324,"&lt;="&amp;$B168)</f>
        <v>20171.549999999959</v>
      </c>
      <c r="R168" s="24">
        <f>SUMIFS('Saldos Iniciales'!$D:$D,'Saldos Iniciales'!$A:$A,"112 Florida Ave")+SUMIFS(Movimientos!$K$1:$K$1324,Movimientos!$C$1:$C$1324,"112 Florida Ave",Movimientos!$B$1:$B$1324,"&lt;="&amp;$B168)</f>
        <v>13576.060000000007</v>
      </c>
      <c r="S168" s="24">
        <f>SUMIFS('Saldos Iniciales'!$D:$D,'Saldos Iniciales'!$A:$A,"3628 Thomas Ave")+SUMIFS(Movimientos!$K$1:$K$1324,Movimientos!$C$1:$C$1324,"3628 Thomas Ave",Movimientos!$B$1:$B$1324,"&lt;="&amp;$B168)</f>
        <v>16893.769999999997</v>
      </c>
      <c r="T168" s="24">
        <f>SUMIFS('Saldos Iniciales'!$D:$D,'Saldos Iniciales'!$A:$A,"Green Harbor Trust")+SUMIFS(Movimientos!$K$1:$K$1324,Movimientos!$C$1:$C$1324,"Green Harbor Trust",Movimientos!$B$1:$B$1324,"&lt;="&amp;$B168)</f>
        <v>345</v>
      </c>
      <c r="U168" s="24">
        <f>SUMIFS('Saldos Iniciales'!$D:$D,'Saldos Iniciales'!$A:$A,"Go Blue")+SUMIFS(Movimientos!$K$1:$K$1324,Movimientos!$C$1:$C$1324,"Go Blue",Movimientos!$B$1:$B$1324,"&lt;="&amp;$B168)</f>
        <v>6416.7700000000023</v>
      </c>
      <c r="V168" s="24">
        <f>IF(YEAR($B168)*100+MONTH($B168)&lt;--SUBSTITUTE(_xlfn.XLOOKUP("Pacha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LLC",Movimientos!$B$1:$B$1324,"&lt;="&amp;$B168))</f>
        <v>329346.53000000003</v>
      </c>
      <c r="W168" s="24">
        <f>IF(YEAR($B168)*100+MONTH($B168)&lt;--SUBSTITUTE(_xlfn.XLOOKUP("*CFT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Residence",Movimientos!$B$1:$B$1324,"&lt;="&amp;$B168))</f>
        <v>149859.76000000004</v>
      </c>
      <c r="X168" s="24">
        <f>IF(YEAR($B168)*100+MONTH($B168)&lt;--SUBSTITUTE(_xlfn.XLOOKUP("Carmen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Trust",Movimientos!$B$1:$B$1324,"&lt;="&amp;$B168))</f>
        <v>100631.96</v>
      </c>
      <c r="Y168" s="24">
        <f>IF(YEAR($B168)*100+MONTH($B168)&lt;--SUBSTITUTE(_xlfn.XLOOKUP("SIYP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LLC",Movimientos!$B$1:$B$1324,"&lt;="&amp;$B168))</f>
        <v>3906.17</v>
      </c>
      <c r="Z168" s="24">
        <f>IF(YEAR($B168)*100+MONTH($B168)&lt;--SUBSTITUTE(_xlfn.XLOOKUP("Prendamas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SRL",Movimientos!$B$1:$B$1324,"&lt;="&amp;$B168))</f>
        <v>21397.339999999967</v>
      </c>
      <c r="AA168" s="24">
        <f>IF(YEAR($B168)*100+MONTH($B168)&lt;--SUBSTITUTE(_xlfn.XLOOKUP("360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LLC",Movimientos!$B$1:$B$1324,"&lt;="&amp;$B168))</f>
        <v>794.01</v>
      </c>
      <c r="AB168" s="24">
        <f>IF(YEAR($B168)*100+MONTH($B168)&lt;--SUBSTITUTE(_xlfn.XLOOKUP("Five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",Movimientos!$B$1:$B$1324,"&lt;="&amp;$B168))</f>
        <v>5445.57</v>
      </c>
      <c r="AC168" s="24">
        <f>IF(YEAR($B168)*100+MONTH($B168)&lt;--SUBSTITUTE(_xlfn.XLOOKUP("Nobe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Aparments",Movimientos!$B$1:$B$1324,"&lt;="&amp;$B168))</f>
        <v>240473.16999999998</v>
      </c>
      <c r="AD168" s="24">
        <f>IF(YEAR($B168)*100+MONTH($B168)&lt;--SUBSTITUTE(_xlfn.XLOOKUP("Don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Life",Movimientos!$B$1:$B$1324,"&lt;="&amp;$B168))</f>
        <v>351319.16</v>
      </c>
      <c r="AE168" s="25">
        <f t="shared" si="7"/>
        <v>6522781.9699999979</v>
      </c>
    </row>
    <row r="169" spans="1:31" x14ac:dyDescent="0.3">
      <c r="A169" s="22">
        <f t="shared" si="5"/>
        <v>168</v>
      </c>
      <c r="B169" s="23">
        <v>46310</v>
      </c>
      <c r="C169" s="24">
        <f>SUMIFS('Saldos Iniciales'!$D:$D,'Saldos Iniciales'!$A:$A,"CFT Group")+SUMIFS(Movimientos!$K$1:$K$1324,Movimientos!$C$1:$C$1324,"CFT Group",Movimientos!$B$1:$B$1324,"&lt;="&amp;$B169)</f>
        <v>2414911.5800000005</v>
      </c>
      <c r="D169" s="24">
        <f>SUMIFS('Saldos Iniciales'!$D:$D,'Saldos Iniciales'!$A:$A,"M1B")+SUMIFS(Movimientos!$K$1:$K$1324,Movimientos!$C$1:$C$1324,"M1B",Movimientos!$B$1:$B$1324,"&lt;="&amp;$B169)</f>
        <v>103123.59000000017</v>
      </c>
      <c r="E169" s="24">
        <f>SUMIFS('Saldos Iniciales'!$D:$D,'Saldos Iniciales'!$A:$A,"Durand")+SUMIFS(Movimientos!$K$1:$K$1324,Movimientos!$C$1:$C$1324,"Durand",Movimientos!$B$1:$B$1324,"&lt;="&amp;$B169)</f>
        <v>1669.89</v>
      </c>
      <c r="F169" s="24">
        <f>SUMIFS('Saldos Iniciales'!$D:$D,'Saldos Iniciales'!$A:$A,"A&amp;M Imports")+SUMIFS(Movimientos!$K$1:$K$1324,Movimientos!$C$1:$C$1324,"A&amp;M Imports",Movimientos!$B$1:$B$1324,"&lt;="&amp;$B169)</f>
        <v>891793.39999999956</v>
      </c>
      <c r="G169" s="24">
        <f>SUMIFS('Saldos Iniciales'!$D:$D,'Saldos Iniciales'!$A:$A,"SSP Capital")+SUMIFS(Movimientos!$K$1:$K$1324,Movimientos!$C$1:$C$1324,"SSP Capital",Movimientos!$B$1:$B$1324,"&lt;="&amp;$B169)</f>
        <v>1574223.3099999991</v>
      </c>
      <c r="H169" s="24">
        <f>SUMIFS('Saldos Iniciales'!$D:$D,'Saldos Iniciales'!$A:$A,"Cross Family Trust")+SUMIFS(Movimientos!$K$1:$K$1324,Movimientos!$C$1:$C$1324,"Cross Family Trust",Movimientos!$B$1:$B$1324,"&lt;="&amp;$B169)</f>
        <v>181763.14</v>
      </c>
      <c r="I169" s="24">
        <f>SUMIFS('Saldos Iniciales'!$D:$D,'Saldos Iniciales'!$A:$A,"Cross Security Trust")+SUMIFS(Movimientos!$K$1:$K$1324,Movimientos!$C$1:$C$1324,"Cross Security Trust",Movimientos!$B$1:$B$1324,"&lt;="&amp;$B169)</f>
        <v>80533.579999999987</v>
      </c>
      <c r="J169" s="24">
        <f>SUMIFS('Saldos Iniciales'!$D:$D,'Saldos Iniciales'!$A:$A,"Electrama")+SUMIFS(Movimientos!$K$1:$K$1324,Movimientos!$C$1:$C$1324,"Electrama",Movimientos!$B$1:$B$1324,"&lt;="&amp;$B169)</f>
        <v>10259.18</v>
      </c>
      <c r="K169" s="24">
        <f>SUMIFS('Saldos Iniciales'!$D:$D,'Saldos Iniciales'!$A:$A,"Sacred Valley Capital")+SUMIFS(Movimientos!$K$1:$K$1324,Movimientos!$C$1:$C$1324,"Sacred Valley Capital",Movimientos!$B$1:$B$1324,"&lt;="&amp;$B169)</f>
        <v>64.55</v>
      </c>
      <c r="L169" s="24">
        <f>SUMIFS('Saldos Iniciales'!$D:$D,'Saldos Iniciales'!$A:$A,"YWC Capital")+SUMIFS(Movimientos!$K$1:$K$1324,Movimientos!$C$1:$C$1324,"YWC Capital",Movimientos!$B$1:$B$1324,"&lt;="&amp;$B169)</f>
        <v>2117.9700000000003</v>
      </c>
      <c r="M169" s="24">
        <f>SUMIFS('Saldos Iniciales'!$D:$D,'Saldos Iniciales'!$A:$A,"Soweto")+SUMIFS(Movimientos!$K$1:$K$1324,Movimientos!$C$1:$C$1324,"Soweto",Movimientos!$B$1:$B$1324,"&lt;="&amp;$B169)</f>
        <v>17895.290000000015</v>
      </c>
      <c r="N169" s="24">
        <f>SUMIFS('Saldos Iniciales'!$D:$D,'Saldos Iniciales'!$A:$A,"Green Stone Trust")+SUMIFS(Movimientos!$K$1:$K$1324,Movimientos!$C$1:$C$1324,"Green Stone Trust",Movimientos!$B$1:$B$1324,"&lt;="&amp;$B169)</f>
        <v>1968.99</v>
      </c>
      <c r="O169" s="24">
        <f>SUMIFS('Saldos Iniciales'!$D:$D,'Saldos Iniciales'!$A:$A,"EC Auto")+SUMIFS(Movimientos!$K$1:$K$1324,Movimientos!$C$1:$C$1324,"EC Auto",Movimientos!$B$1:$B$1324,"&lt;="&amp;$B169)</f>
        <v>901.34</v>
      </c>
      <c r="P169" s="24">
        <f>SUMIFS('Saldos Iniciales'!$D:$D,'Saldos Iniciales'!$A:$A,"Arbor Capital Properties")+SUMIFS(Movimientos!$K$1:$K$1324,Movimientos!$C$1:$C$1324,"Arbor Capital Properties",Movimientos!$B$1:$B$1324,"&lt;="&amp;$B169)</f>
        <v>1364.08</v>
      </c>
      <c r="Q169" s="24">
        <f>SUMIFS('Saldos Iniciales'!$D:$D,'Saldos Iniciales'!$A:$A,"2515 Overbrook")+SUMIFS(Movimientos!$K$1:$K$1324,Movimientos!$C$1:$C$1324,"2515 Overbrook",Movimientos!$B$1:$B$1324,"&lt;="&amp;$B169)</f>
        <v>20171.549999999959</v>
      </c>
      <c r="R169" s="24">
        <f>SUMIFS('Saldos Iniciales'!$D:$D,'Saldos Iniciales'!$A:$A,"112 Florida Ave")+SUMIFS(Movimientos!$K$1:$K$1324,Movimientos!$C$1:$C$1324,"112 Florida Ave",Movimientos!$B$1:$B$1324,"&lt;="&amp;$B169)</f>
        <v>13576.060000000007</v>
      </c>
      <c r="S169" s="24">
        <f>SUMIFS('Saldos Iniciales'!$D:$D,'Saldos Iniciales'!$A:$A,"3628 Thomas Ave")+SUMIFS(Movimientos!$K$1:$K$1324,Movimientos!$C$1:$C$1324,"3628 Thomas Ave",Movimientos!$B$1:$B$1324,"&lt;="&amp;$B169)</f>
        <v>16893.769999999997</v>
      </c>
      <c r="T169" s="24">
        <f>SUMIFS('Saldos Iniciales'!$D:$D,'Saldos Iniciales'!$A:$A,"Green Harbor Trust")+SUMIFS(Movimientos!$K$1:$K$1324,Movimientos!$C$1:$C$1324,"Green Harbor Trust",Movimientos!$B$1:$B$1324,"&lt;="&amp;$B169)</f>
        <v>345</v>
      </c>
      <c r="U169" s="24">
        <f>SUMIFS('Saldos Iniciales'!$D:$D,'Saldos Iniciales'!$A:$A,"Go Blue")+SUMIFS(Movimientos!$K$1:$K$1324,Movimientos!$C$1:$C$1324,"Go Blue",Movimientos!$B$1:$B$1324,"&lt;="&amp;$B169)</f>
        <v>6241.7700000000023</v>
      </c>
      <c r="V169" s="24">
        <f>IF(YEAR($B169)*100+MONTH($B169)&lt;--SUBSTITUTE(_xlfn.XLOOKUP("Pacha Ventures LLC",'Saldos Iniciales'!$A:$A,'Saldos Iniciales'!$C:$C),"-",""),0,SUMIFS('Saldos Iniciales'!$D:$D,'Saldos Iniciales'!$A:$A,"Pacha Ventures LLC")+SUMIFS(Movimientos!$K$1:$K$1324,Movimientos!$C$1:$C$1324,"Pacha Ventures LLC",Movimientos!$B$1:$B$1324,"&lt;="&amp;$B169))</f>
        <v>329346.53000000003</v>
      </c>
      <c r="W169" s="24">
        <f>IF(YEAR($B169)*100+MONTH($B169)&lt;--SUBSTITUTE(_xlfn.XLOOKUP("*CFT 1 residence*",'Saldos Iniciales'!$B:$B,'Saldos Iniciales'!$C:$C,,2),"-",""),0,SUMIFS('Saldos Iniciales'!$D:$D,'Saldos Iniciales'!$B:$B,"*CFT 1 residence*")+SUMIFS(Movimientos!$K$1:$K$1324,Movimientos!$C$1:$C$1324,"CFT1 Residence",Movimientos!$B$1:$B$1324,"&lt;="&amp;$B169))</f>
        <v>149859.76000000004</v>
      </c>
      <c r="X169" s="24">
        <f>IF(YEAR($B169)*100+MONTH($B169)&lt;--SUBSTITUTE(_xlfn.XLOOKUP("Carmen Cross Irrevocable Trust",'Saldos Iniciales'!$A:$A,'Saldos Iniciales'!$C:$C),"-",""),0,SUMIFS('Saldos Iniciales'!$D:$D,'Saldos Iniciales'!$A:$A,"Carmen Cross Irrevocable Trust")+SUMIFS(Movimientos!$K$1:$K$1324,Movimientos!$C$1:$C$1324,"Carmen Cross Irrevocable Trust",Movimientos!$B$1:$B$1324,"&lt;="&amp;$B169))</f>
        <v>100631.96</v>
      </c>
      <c r="Y169" s="24">
        <f>IF(YEAR($B169)*100+MONTH($B169)&lt;--SUBSTITUTE(_xlfn.XLOOKUP("SIYP LLC",'Saldos Iniciales'!$A:$A,'Saldos Iniciales'!$C:$C),"-",""),0,SUMIFS('Saldos Iniciales'!$D:$D,'Saldos Iniciales'!$A:$A,"SIYP LLC")+SUMIFS(Movimientos!$K$1:$K$1324,Movimientos!$C$1:$C$1324,"SIYP LLC",Movimientos!$B$1:$B$1324,"&lt;="&amp;$B169))</f>
        <v>3906.17</v>
      </c>
      <c r="Z169" s="24">
        <f>IF(YEAR($B169)*100+MONTH($B169)&lt;--SUBSTITUTE(_xlfn.XLOOKUP("Prendamas SRL",'Saldos Iniciales'!$A:$A,'Saldos Iniciales'!$C:$C),"-",""),0,SUMIFS('Saldos Iniciales'!$D:$D,'Saldos Iniciales'!$A:$A,"Prendamas SRL")+SUMIFS(Movimientos!$K$1:$K$1324,Movimientos!$C$1:$C$1324,"Prendamas SRL",Movimientos!$B$1:$B$1324,"&lt;="&amp;$B169))</f>
        <v>120856.06999999998</v>
      </c>
      <c r="AA169" s="24">
        <f>IF(YEAR($B169)*100+MONTH($B169)&lt;--SUBSTITUTE(_xlfn.XLOOKUP("360 Harbor Lane LLC",'Saldos Iniciales'!$A:$A,'Saldos Iniciales'!$C:$C),"-",""),0,SUMIFS('Saldos Iniciales'!$D:$D,'Saldos Iniciales'!$A:$A,"360 Harbor Lane LLC")+SUMIFS(Movimientos!$K$1:$K$1324,Movimientos!$C$1:$C$1324,"360 Harbor Lane LLC",Movimientos!$B$1:$B$1324,"&lt;="&amp;$B169))</f>
        <v>794.01</v>
      </c>
      <c r="AB169" s="24">
        <f>IF(YEAR($B169)*100+MONTH($B169)&lt;--SUBSTITUTE(_xlfn.XLOOKUP("Five Capital ",'Saldos Iniciales'!$A:$A,'Saldos Iniciales'!$C:$C),"-",""),0,SUMIFS('Saldos Iniciales'!$D:$D,'Saldos Iniciales'!$A:$A,"Five Capital ")+SUMIFS(Movimientos!$K$1:$K$1324,Movimientos!$C$1:$C$1324,"Five Capital ",Movimientos!$B$1:$B$1324,"&lt;="&amp;$B169))</f>
        <v>5445.57</v>
      </c>
      <c r="AC169" s="24">
        <f>IF(YEAR($B169)*100+MONTH($B169)&lt;--SUBSTITUTE(_xlfn.XLOOKUP("Nobe Aparments",'Saldos Iniciales'!$A:$A,'Saldos Iniciales'!$C:$C),"-",""),0,SUMIFS('Saldos Iniciales'!$D:$D,'Saldos Iniciales'!$A:$A,"Nobe Aparments")+SUMIFS(Movimientos!$K$1:$K$1324,Movimientos!$C$1:$C$1324,"Nobe Aparments",Movimientos!$B$1:$B$1324,"&lt;="&amp;$B169))</f>
        <v>240473.16999999998</v>
      </c>
      <c r="AD169" s="24">
        <f>IF(YEAR($B169)*100+MONTH($B169)&lt;--SUBSTITUTE(_xlfn.XLOOKUP("Don Cross Life",'Saldos Iniciales'!$A:$A,'Saldos Iniciales'!$C:$C),"-",""),0,SUMIFS('Saldos Iniciales'!$D:$D,'Saldos Iniciales'!$A:$A,"Don Cross Life")+SUMIFS(Movimientos!$K$1:$K$1324,Movimientos!$C$1:$C$1324,"Don Cross Life",Movimientos!$B$1:$B$1324,"&lt;="&amp;$B169))</f>
        <v>351319.16</v>
      </c>
      <c r="AE169" s="25">
        <f t="shared" ref="AE169" si="8">SUM(C169:AD169)</f>
        <v>6642450.4399999976</v>
      </c>
    </row>
  </sheetData>
  <phoneticPr fontId="5" type="noConversion"/>
  <conditionalFormatting sqref="C2:AE169">
    <cfRule type="cellIs" dxfId="5" priority="1" operator="lessThan">
      <formula>0</formula>
    </cfRule>
  </conditionalFormatting>
  <conditionalFormatting sqref="AE2:AE169">
    <cfRule type="cellIs" dxfId="4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0528-37AA-49ED-B3F0-922AD496D11C}">
  <sheetPr>
    <tabColor rgb="FFFF0000"/>
  </sheetPr>
  <dimension ref="A1:J4705"/>
  <sheetViews>
    <sheetView tabSelected="1" zoomScale="80" zoomScaleNormal="80" workbookViewId="0">
      <pane ySplit="1" topLeftCell="A4643" activePane="bottomLeft" state="frozen"/>
      <selection pane="bottomLeft" sqref="A1:D1"/>
    </sheetView>
  </sheetViews>
  <sheetFormatPr baseColWidth="10" defaultColWidth="11.5546875" defaultRowHeight="14.4" x14ac:dyDescent="0.3"/>
  <cols>
    <col min="1" max="1" width="27.88671875" bestFit="1" customWidth="1"/>
    <col min="2" max="2" width="14" bestFit="1" customWidth="1"/>
    <col min="3" max="3" width="10.5546875" style="16" bestFit="1" customWidth="1"/>
    <col min="4" max="4" width="11" bestFit="1" customWidth="1"/>
  </cols>
  <sheetData>
    <row r="1" spans="1:10" s="56" customFormat="1" x14ac:dyDescent="0.3">
      <c r="A1" s="57" t="s">
        <v>2</v>
      </c>
      <c r="B1" s="58" t="s">
        <v>130</v>
      </c>
      <c r="C1" s="59" t="s">
        <v>163</v>
      </c>
      <c r="D1" s="60" t="s">
        <v>131</v>
      </c>
      <c r="G1" s="57" t="s">
        <v>2</v>
      </c>
      <c r="H1" s="58" t="s">
        <v>130</v>
      </c>
      <c r="I1" s="59" t="s">
        <v>163</v>
      </c>
      <c r="J1" s="60" t="s">
        <v>131</v>
      </c>
    </row>
    <row r="2" spans="1:10" x14ac:dyDescent="0.3">
      <c r="A2" s="83" t="s">
        <v>17</v>
      </c>
      <c r="B2" s="83"/>
      <c r="C2" s="16">
        <v>46143</v>
      </c>
      <c r="D2" s="82">
        <v>200763.43000000025</v>
      </c>
    </row>
    <row r="3" spans="1:10" x14ac:dyDescent="0.3">
      <c r="A3" s="83" t="s">
        <v>18</v>
      </c>
      <c r="B3" s="83"/>
      <c r="C3" s="16">
        <v>46143</v>
      </c>
      <c r="D3" s="82">
        <v>51288.029999999948</v>
      </c>
    </row>
    <row r="4" spans="1:10" x14ac:dyDescent="0.3">
      <c r="A4" s="83" t="s">
        <v>19</v>
      </c>
      <c r="B4" s="83"/>
      <c r="C4" s="16">
        <v>46143</v>
      </c>
      <c r="D4" s="82">
        <v>1669.89</v>
      </c>
    </row>
    <row r="5" spans="1:10" x14ac:dyDescent="0.3">
      <c r="A5" s="83" t="s">
        <v>20</v>
      </c>
      <c r="B5" s="83"/>
      <c r="C5" s="16">
        <v>46143</v>
      </c>
      <c r="D5" s="82">
        <v>589990.30000000005</v>
      </c>
    </row>
    <row r="6" spans="1:10" x14ac:dyDescent="0.3">
      <c r="A6" s="83" t="s">
        <v>21</v>
      </c>
      <c r="B6" s="83"/>
      <c r="C6" s="16">
        <v>46143</v>
      </c>
      <c r="D6" s="82">
        <v>990387.37999999931</v>
      </c>
    </row>
    <row r="7" spans="1:10" x14ac:dyDescent="0.3">
      <c r="A7" s="83" t="s">
        <v>22</v>
      </c>
      <c r="B7" s="83"/>
      <c r="C7" s="16">
        <v>46143</v>
      </c>
      <c r="D7" s="82">
        <v>142511.38</v>
      </c>
    </row>
    <row r="8" spans="1:10" x14ac:dyDescent="0.3">
      <c r="A8" s="83" t="s">
        <v>23</v>
      </c>
      <c r="B8" s="83"/>
      <c r="C8" s="16">
        <v>46143</v>
      </c>
      <c r="D8" s="82">
        <v>13088.589999999997</v>
      </c>
    </row>
    <row r="9" spans="1:10" x14ac:dyDescent="0.3">
      <c r="A9" s="83" t="s">
        <v>24</v>
      </c>
      <c r="B9" s="83"/>
      <c r="C9" s="16">
        <v>46143</v>
      </c>
      <c r="D9" s="82">
        <v>808.82999999999993</v>
      </c>
    </row>
    <row r="10" spans="1:10" x14ac:dyDescent="0.3">
      <c r="A10" s="83" t="s">
        <v>25</v>
      </c>
      <c r="B10" s="83"/>
      <c r="C10" s="16">
        <v>46143</v>
      </c>
      <c r="D10" s="82">
        <v>114.3</v>
      </c>
    </row>
    <row r="11" spans="1:10" x14ac:dyDescent="0.3">
      <c r="A11" s="83" t="s">
        <v>26</v>
      </c>
      <c r="B11" s="83"/>
      <c r="C11" s="16">
        <v>46143</v>
      </c>
      <c r="D11" s="82">
        <v>2267.7200000000003</v>
      </c>
    </row>
    <row r="12" spans="1:10" x14ac:dyDescent="0.3">
      <c r="A12" s="83" t="s">
        <v>27</v>
      </c>
      <c r="B12" s="83"/>
      <c r="C12" s="16">
        <v>46143</v>
      </c>
      <c r="D12" s="82">
        <v>3364.94</v>
      </c>
    </row>
    <row r="13" spans="1:10" x14ac:dyDescent="0.3">
      <c r="A13" s="83" t="s">
        <v>28</v>
      </c>
      <c r="B13" s="83"/>
      <c r="C13" s="16">
        <v>46143</v>
      </c>
      <c r="D13" s="82">
        <v>1968.99</v>
      </c>
    </row>
    <row r="14" spans="1:10" x14ac:dyDescent="0.3">
      <c r="A14" s="83" t="s">
        <v>29</v>
      </c>
      <c r="B14" s="83"/>
      <c r="C14" s="16">
        <v>46143</v>
      </c>
      <c r="D14" s="82">
        <v>901.34</v>
      </c>
    </row>
    <row r="15" spans="1:10" x14ac:dyDescent="0.3">
      <c r="A15" s="83" t="s">
        <v>30</v>
      </c>
      <c r="B15" s="83"/>
      <c r="C15" s="16">
        <v>46143</v>
      </c>
      <c r="D15" s="82">
        <v>1444.08</v>
      </c>
    </row>
    <row r="16" spans="1:10" x14ac:dyDescent="0.3">
      <c r="A16" s="83" t="s">
        <v>31</v>
      </c>
      <c r="B16" s="83"/>
      <c r="C16" s="16">
        <v>46143</v>
      </c>
      <c r="D16" s="82">
        <v>23262.599999999962</v>
      </c>
    </row>
    <row r="17" spans="1:4" x14ac:dyDescent="0.3">
      <c r="A17" s="83" t="s">
        <v>32</v>
      </c>
      <c r="B17" s="83"/>
      <c r="C17" s="16">
        <v>46143</v>
      </c>
      <c r="D17" s="82">
        <v>6853.9100000000017</v>
      </c>
    </row>
    <row r="18" spans="1:4" x14ac:dyDescent="0.3">
      <c r="A18" s="83" t="s">
        <v>33</v>
      </c>
      <c r="B18" s="83"/>
      <c r="C18" s="16">
        <v>46143</v>
      </c>
      <c r="D18" s="82">
        <v>21338.39</v>
      </c>
    </row>
    <row r="19" spans="1:4" x14ac:dyDescent="0.3">
      <c r="A19" s="83" t="s">
        <v>34</v>
      </c>
      <c r="B19" s="83"/>
      <c r="C19" s="16">
        <v>46143</v>
      </c>
      <c r="D19" s="82">
        <v>345</v>
      </c>
    </row>
    <row r="20" spans="1:4" x14ac:dyDescent="0.3">
      <c r="A20" s="83" t="s">
        <v>35</v>
      </c>
      <c r="B20" s="83"/>
      <c r="C20" s="16">
        <v>46143</v>
      </c>
      <c r="D20" s="82">
        <v>13491.26</v>
      </c>
    </row>
    <row r="21" spans="1:4" x14ac:dyDescent="0.3">
      <c r="A21" s="83" t="s">
        <v>193</v>
      </c>
      <c r="B21" s="83"/>
      <c r="C21" s="16">
        <v>46143</v>
      </c>
      <c r="D21" s="82">
        <v>0</v>
      </c>
    </row>
    <row r="22" spans="1:4" x14ac:dyDescent="0.3">
      <c r="A22" s="83" t="s">
        <v>214</v>
      </c>
      <c r="B22" s="83"/>
      <c r="C22" s="16">
        <v>46143</v>
      </c>
      <c r="D22" s="82">
        <v>0</v>
      </c>
    </row>
    <row r="23" spans="1:4" x14ac:dyDescent="0.3">
      <c r="A23" s="83" t="s">
        <v>194</v>
      </c>
      <c r="B23" s="83"/>
      <c r="C23" s="16">
        <v>46143</v>
      </c>
      <c r="D23" s="82">
        <v>0</v>
      </c>
    </row>
    <row r="24" spans="1:4" x14ac:dyDescent="0.3">
      <c r="A24" s="83" t="s">
        <v>195</v>
      </c>
      <c r="B24" s="83"/>
      <c r="C24" s="16">
        <v>46143</v>
      </c>
      <c r="D24" s="82">
        <v>0</v>
      </c>
    </row>
    <row r="25" spans="1:4" x14ac:dyDescent="0.3">
      <c r="A25" s="83" t="s">
        <v>196</v>
      </c>
      <c r="B25" s="83"/>
      <c r="C25" s="16">
        <v>46143</v>
      </c>
      <c r="D25" s="82">
        <v>0</v>
      </c>
    </row>
    <row r="26" spans="1:4" x14ac:dyDescent="0.3">
      <c r="A26" s="83" t="s">
        <v>197</v>
      </c>
      <c r="B26" s="83"/>
      <c r="C26" s="16">
        <v>46143</v>
      </c>
      <c r="D26" s="82">
        <v>0</v>
      </c>
    </row>
    <row r="27" spans="1:4" x14ac:dyDescent="0.3">
      <c r="A27" s="83" t="s">
        <v>212</v>
      </c>
      <c r="B27" s="83"/>
      <c r="C27" s="16">
        <v>46143</v>
      </c>
      <c r="D27" s="82">
        <v>0</v>
      </c>
    </row>
    <row r="28" spans="1:4" x14ac:dyDescent="0.3">
      <c r="A28" s="83" t="s">
        <v>199</v>
      </c>
      <c r="B28" s="83"/>
      <c r="C28" s="16">
        <v>46143</v>
      </c>
      <c r="D28" s="82">
        <v>0</v>
      </c>
    </row>
    <row r="29" spans="1:4" x14ac:dyDescent="0.3">
      <c r="A29" s="83" t="s">
        <v>216</v>
      </c>
      <c r="B29" s="83"/>
      <c r="C29" s="16">
        <v>46143</v>
      </c>
      <c r="D29" s="82">
        <v>0</v>
      </c>
    </row>
    <row r="30" spans="1:4" x14ac:dyDescent="0.3">
      <c r="A30" s="83" t="s">
        <v>17</v>
      </c>
      <c r="B30" s="83"/>
      <c r="C30" s="16">
        <v>46144</v>
      </c>
      <c r="D30" s="82">
        <v>200763.43000000025</v>
      </c>
    </row>
    <row r="31" spans="1:4" x14ac:dyDescent="0.3">
      <c r="A31" s="83" t="s">
        <v>18</v>
      </c>
      <c r="B31" s="83"/>
      <c r="C31" s="16">
        <v>46144</v>
      </c>
      <c r="D31" s="82">
        <v>51288.029999999948</v>
      </c>
    </row>
    <row r="32" spans="1:4" x14ac:dyDescent="0.3">
      <c r="A32" s="83" t="s">
        <v>19</v>
      </c>
      <c r="B32" s="83"/>
      <c r="C32" s="16">
        <v>46144</v>
      </c>
      <c r="D32" s="82">
        <v>1669.89</v>
      </c>
    </row>
    <row r="33" spans="1:4" x14ac:dyDescent="0.3">
      <c r="A33" s="83" t="s">
        <v>20</v>
      </c>
      <c r="B33" s="83"/>
      <c r="C33" s="16">
        <v>46144</v>
      </c>
      <c r="D33" s="82">
        <v>589990.30000000005</v>
      </c>
    </row>
    <row r="34" spans="1:4" x14ac:dyDescent="0.3">
      <c r="A34" s="83" t="s">
        <v>21</v>
      </c>
      <c r="B34" s="83"/>
      <c r="C34" s="16">
        <v>46144</v>
      </c>
      <c r="D34" s="82">
        <v>990387.37999999931</v>
      </c>
    </row>
    <row r="35" spans="1:4" x14ac:dyDescent="0.3">
      <c r="A35" s="83" t="s">
        <v>22</v>
      </c>
      <c r="B35" s="83"/>
      <c r="C35" s="16">
        <v>46144</v>
      </c>
      <c r="D35" s="82">
        <v>142511.38</v>
      </c>
    </row>
    <row r="36" spans="1:4" x14ac:dyDescent="0.3">
      <c r="A36" s="83" t="s">
        <v>23</v>
      </c>
      <c r="B36" s="83"/>
      <c r="C36" s="16">
        <v>46144</v>
      </c>
      <c r="D36" s="82">
        <v>13088.589999999997</v>
      </c>
    </row>
    <row r="37" spans="1:4" x14ac:dyDescent="0.3">
      <c r="A37" s="83" t="s">
        <v>24</v>
      </c>
      <c r="B37" s="83"/>
      <c r="C37" s="16">
        <v>46144</v>
      </c>
      <c r="D37" s="82">
        <v>808.82999999999993</v>
      </c>
    </row>
    <row r="38" spans="1:4" x14ac:dyDescent="0.3">
      <c r="A38" s="83" t="s">
        <v>25</v>
      </c>
      <c r="B38" s="83"/>
      <c r="C38" s="16">
        <v>46144</v>
      </c>
      <c r="D38" s="82">
        <v>114.3</v>
      </c>
    </row>
    <row r="39" spans="1:4" x14ac:dyDescent="0.3">
      <c r="A39" s="83" t="s">
        <v>26</v>
      </c>
      <c r="B39" s="83"/>
      <c r="C39" s="16">
        <v>46144</v>
      </c>
      <c r="D39" s="82">
        <v>2267.7200000000003</v>
      </c>
    </row>
    <row r="40" spans="1:4" x14ac:dyDescent="0.3">
      <c r="A40" s="83" t="s">
        <v>27</v>
      </c>
      <c r="B40" s="83"/>
      <c r="C40" s="16">
        <v>46144</v>
      </c>
      <c r="D40" s="82">
        <v>3364.94</v>
      </c>
    </row>
    <row r="41" spans="1:4" x14ac:dyDescent="0.3">
      <c r="A41" s="83" t="s">
        <v>28</v>
      </c>
      <c r="B41" s="83"/>
      <c r="C41" s="16">
        <v>46144</v>
      </c>
      <c r="D41" s="82">
        <v>1968.99</v>
      </c>
    </row>
    <row r="42" spans="1:4" x14ac:dyDescent="0.3">
      <c r="A42" s="83" t="s">
        <v>29</v>
      </c>
      <c r="B42" s="83"/>
      <c r="C42" s="16">
        <v>46144</v>
      </c>
      <c r="D42" s="82">
        <v>901.34</v>
      </c>
    </row>
    <row r="43" spans="1:4" x14ac:dyDescent="0.3">
      <c r="A43" s="83" t="s">
        <v>30</v>
      </c>
      <c r="B43" s="83"/>
      <c r="C43" s="16">
        <v>46144</v>
      </c>
      <c r="D43" s="82">
        <v>1444.08</v>
      </c>
    </row>
    <row r="44" spans="1:4" x14ac:dyDescent="0.3">
      <c r="A44" s="83" t="s">
        <v>31</v>
      </c>
      <c r="B44" s="83"/>
      <c r="C44" s="16">
        <v>46144</v>
      </c>
      <c r="D44" s="82">
        <v>23262.599999999962</v>
      </c>
    </row>
    <row r="45" spans="1:4" x14ac:dyDescent="0.3">
      <c r="A45" s="83" t="s">
        <v>32</v>
      </c>
      <c r="B45" s="83"/>
      <c r="C45" s="16">
        <v>46144</v>
      </c>
      <c r="D45" s="82">
        <v>6853.9100000000017</v>
      </c>
    </row>
    <row r="46" spans="1:4" x14ac:dyDescent="0.3">
      <c r="A46" s="83" t="s">
        <v>33</v>
      </c>
      <c r="B46" s="83"/>
      <c r="C46" s="16">
        <v>46144</v>
      </c>
      <c r="D46" s="82">
        <v>21338.39</v>
      </c>
    </row>
    <row r="47" spans="1:4" x14ac:dyDescent="0.3">
      <c r="A47" s="83" t="s">
        <v>34</v>
      </c>
      <c r="B47" s="83"/>
      <c r="C47" s="16">
        <v>46144</v>
      </c>
      <c r="D47" s="82">
        <v>345</v>
      </c>
    </row>
    <row r="48" spans="1:4" x14ac:dyDescent="0.3">
      <c r="A48" s="83" t="s">
        <v>35</v>
      </c>
      <c r="B48" s="83"/>
      <c r="C48" s="16">
        <v>46144</v>
      </c>
      <c r="D48" s="82">
        <v>13491.26</v>
      </c>
    </row>
    <row r="49" spans="1:4" x14ac:dyDescent="0.3">
      <c r="A49" s="83" t="s">
        <v>193</v>
      </c>
      <c r="B49" s="83"/>
      <c r="C49" s="16">
        <v>46144</v>
      </c>
      <c r="D49" s="82">
        <v>0</v>
      </c>
    </row>
    <row r="50" spans="1:4" x14ac:dyDescent="0.3">
      <c r="A50" s="83" t="s">
        <v>214</v>
      </c>
      <c r="B50" s="83"/>
      <c r="C50" s="16">
        <v>46144</v>
      </c>
      <c r="D50" s="82">
        <v>0</v>
      </c>
    </row>
    <row r="51" spans="1:4" x14ac:dyDescent="0.3">
      <c r="A51" s="83" t="s">
        <v>194</v>
      </c>
      <c r="B51" s="83"/>
      <c r="C51" s="16">
        <v>46144</v>
      </c>
      <c r="D51" s="82">
        <v>0</v>
      </c>
    </row>
    <row r="52" spans="1:4" x14ac:dyDescent="0.3">
      <c r="A52" s="83" t="s">
        <v>195</v>
      </c>
      <c r="B52" s="83"/>
      <c r="C52" s="16">
        <v>46144</v>
      </c>
      <c r="D52" s="82">
        <v>0</v>
      </c>
    </row>
    <row r="53" spans="1:4" x14ac:dyDescent="0.3">
      <c r="A53" s="83" t="s">
        <v>196</v>
      </c>
      <c r="B53" s="83"/>
      <c r="C53" s="16">
        <v>46144</v>
      </c>
      <c r="D53" s="82">
        <v>0</v>
      </c>
    </row>
    <row r="54" spans="1:4" x14ac:dyDescent="0.3">
      <c r="A54" s="83" t="s">
        <v>197</v>
      </c>
      <c r="B54" s="83"/>
      <c r="C54" s="16">
        <v>46144</v>
      </c>
      <c r="D54" s="82">
        <v>0</v>
      </c>
    </row>
    <row r="55" spans="1:4" x14ac:dyDescent="0.3">
      <c r="A55" s="83" t="s">
        <v>212</v>
      </c>
      <c r="B55" s="83"/>
      <c r="C55" s="16">
        <v>46144</v>
      </c>
      <c r="D55" s="82">
        <v>0</v>
      </c>
    </row>
    <row r="56" spans="1:4" x14ac:dyDescent="0.3">
      <c r="A56" s="83" t="s">
        <v>199</v>
      </c>
      <c r="B56" s="83"/>
      <c r="C56" s="16">
        <v>46144</v>
      </c>
      <c r="D56" s="82">
        <v>0</v>
      </c>
    </row>
    <row r="57" spans="1:4" x14ac:dyDescent="0.3">
      <c r="A57" s="83" t="s">
        <v>216</v>
      </c>
      <c r="B57" s="83"/>
      <c r="C57" s="16">
        <v>46144</v>
      </c>
      <c r="D57" s="82">
        <v>0</v>
      </c>
    </row>
    <row r="58" spans="1:4" x14ac:dyDescent="0.3">
      <c r="A58" s="83" t="s">
        <v>17</v>
      </c>
      <c r="B58" s="83"/>
      <c r="C58" s="16">
        <v>46145</v>
      </c>
      <c r="D58" s="82">
        <v>200763.43000000025</v>
      </c>
    </row>
    <row r="59" spans="1:4" x14ac:dyDescent="0.3">
      <c r="A59" s="83" t="s">
        <v>18</v>
      </c>
      <c r="B59" s="83"/>
      <c r="C59" s="16">
        <v>46145</v>
      </c>
      <c r="D59" s="82">
        <v>51288.029999999948</v>
      </c>
    </row>
    <row r="60" spans="1:4" x14ac:dyDescent="0.3">
      <c r="A60" s="83" t="s">
        <v>19</v>
      </c>
      <c r="B60" s="83"/>
      <c r="C60" s="16">
        <v>46145</v>
      </c>
      <c r="D60" s="82">
        <v>1669.89</v>
      </c>
    </row>
    <row r="61" spans="1:4" x14ac:dyDescent="0.3">
      <c r="A61" s="83" t="s">
        <v>20</v>
      </c>
      <c r="B61" s="83"/>
      <c r="C61" s="16">
        <v>46145</v>
      </c>
      <c r="D61" s="82">
        <v>589990.30000000005</v>
      </c>
    </row>
    <row r="62" spans="1:4" x14ac:dyDescent="0.3">
      <c r="A62" s="83" t="s">
        <v>21</v>
      </c>
      <c r="B62" s="83"/>
      <c r="C62" s="16">
        <v>46145</v>
      </c>
      <c r="D62" s="82">
        <v>990387.37999999931</v>
      </c>
    </row>
    <row r="63" spans="1:4" x14ac:dyDescent="0.3">
      <c r="A63" s="83" t="s">
        <v>22</v>
      </c>
      <c r="B63" s="83"/>
      <c r="C63" s="16">
        <v>46145</v>
      </c>
      <c r="D63" s="82">
        <v>142511.38</v>
      </c>
    </row>
    <row r="64" spans="1:4" x14ac:dyDescent="0.3">
      <c r="A64" s="83" t="s">
        <v>23</v>
      </c>
      <c r="B64" s="83"/>
      <c r="C64" s="16">
        <v>46145</v>
      </c>
      <c r="D64" s="82">
        <v>13088.589999999997</v>
      </c>
    </row>
    <row r="65" spans="1:4" x14ac:dyDescent="0.3">
      <c r="A65" s="83" t="s">
        <v>24</v>
      </c>
      <c r="B65" s="83"/>
      <c r="C65" s="16">
        <v>46145</v>
      </c>
      <c r="D65" s="82">
        <v>808.82999999999993</v>
      </c>
    </row>
    <row r="66" spans="1:4" x14ac:dyDescent="0.3">
      <c r="A66" s="83" t="s">
        <v>25</v>
      </c>
      <c r="B66" s="83"/>
      <c r="C66" s="16">
        <v>46145</v>
      </c>
      <c r="D66" s="82">
        <v>114.3</v>
      </c>
    </row>
    <row r="67" spans="1:4" x14ac:dyDescent="0.3">
      <c r="A67" s="83" t="s">
        <v>26</v>
      </c>
      <c r="B67" s="83"/>
      <c r="C67" s="16">
        <v>46145</v>
      </c>
      <c r="D67" s="82">
        <v>2267.7200000000003</v>
      </c>
    </row>
    <row r="68" spans="1:4" x14ac:dyDescent="0.3">
      <c r="A68" s="83" t="s">
        <v>27</v>
      </c>
      <c r="B68" s="83"/>
      <c r="C68" s="16">
        <v>46145</v>
      </c>
      <c r="D68" s="82">
        <v>3364.94</v>
      </c>
    </row>
    <row r="69" spans="1:4" x14ac:dyDescent="0.3">
      <c r="A69" s="83" t="s">
        <v>28</v>
      </c>
      <c r="B69" s="83"/>
      <c r="C69" s="16">
        <v>46145</v>
      </c>
      <c r="D69" s="82">
        <v>1968.99</v>
      </c>
    </row>
    <row r="70" spans="1:4" x14ac:dyDescent="0.3">
      <c r="A70" s="83" t="s">
        <v>29</v>
      </c>
      <c r="B70" s="83"/>
      <c r="C70" s="16">
        <v>46145</v>
      </c>
      <c r="D70" s="82">
        <v>901.34</v>
      </c>
    </row>
    <row r="71" spans="1:4" x14ac:dyDescent="0.3">
      <c r="A71" s="83" t="s">
        <v>30</v>
      </c>
      <c r="B71" s="83"/>
      <c r="C71" s="16">
        <v>46145</v>
      </c>
      <c r="D71" s="82">
        <v>1444.08</v>
      </c>
    </row>
    <row r="72" spans="1:4" x14ac:dyDescent="0.3">
      <c r="A72" s="83" t="s">
        <v>31</v>
      </c>
      <c r="B72" s="83"/>
      <c r="C72" s="16">
        <v>46145</v>
      </c>
      <c r="D72" s="82">
        <v>23262.599999999962</v>
      </c>
    </row>
    <row r="73" spans="1:4" x14ac:dyDescent="0.3">
      <c r="A73" s="83" t="s">
        <v>32</v>
      </c>
      <c r="B73" s="83"/>
      <c r="C73" s="16">
        <v>46145</v>
      </c>
      <c r="D73" s="82">
        <v>6853.9100000000017</v>
      </c>
    </row>
    <row r="74" spans="1:4" x14ac:dyDescent="0.3">
      <c r="A74" s="83" t="s">
        <v>33</v>
      </c>
      <c r="B74" s="83"/>
      <c r="C74" s="16">
        <v>46145</v>
      </c>
      <c r="D74" s="82">
        <v>21338.39</v>
      </c>
    </row>
    <row r="75" spans="1:4" x14ac:dyDescent="0.3">
      <c r="A75" s="83" t="s">
        <v>34</v>
      </c>
      <c r="B75" s="83"/>
      <c r="C75" s="16">
        <v>46145</v>
      </c>
      <c r="D75" s="82">
        <v>345</v>
      </c>
    </row>
    <row r="76" spans="1:4" x14ac:dyDescent="0.3">
      <c r="A76" s="83" t="s">
        <v>35</v>
      </c>
      <c r="B76" s="83"/>
      <c r="C76" s="16">
        <v>46145</v>
      </c>
      <c r="D76" s="82">
        <v>13491.26</v>
      </c>
    </row>
    <row r="77" spans="1:4" x14ac:dyDescent="0.3">
      <c r="A77" s="83" t="s">
        <v>193</v>
      </c>
      <c r="B77" s="83"/>
      <c r="C77" s="16">
        <v>46145</v>
      </c>
      <c r="D77" s="82">
        <v>0</v>
      </c>
    </row>
    <row r="78" spans="1:4" x14ac:dyDescent="0.3">
      <c r="A78" s="83" t="s">
        <v>214</v>
      </c>
      <c r="B78" s="83"/>
      <c r="C78" s="16">
        <v>46145</v>
      </c>
      <c r="D78" s="82">
        <v>0</v>
      </c>
    </row>
    <row r="79" spans="1:4" x14ac:dyDescent="0.3">
      <c r="A79" s="83" t="s">
        <v>194</v>
      </c>
      <c r="B79" s="83"/>
      <c r="C79" s="16">
        <v>46145</v>
      </c>
      <c r="D79" s="82">
        <v>0</v>
      </c>
    </row>
    <row r="80" spans="1:4" x14ac:dyDescent="0.3">
      <c r="A80" s="83" t="s">
        <v>195</v>
      </c>
      <c r="B80" s="83"/>
      <c r="C80" s="16">
        <v>46145</v>
      </c>
      <c r="D80" s="82">
        <v>0</v>
      </c>
    </row>
    <row r="81" spans="1:4" x14ac:dyDescent="0.3">
      <c r="A81" s="83" t="s">
        <v>196</v>
      </c>
      <c r="B81" s="83"/>
      <c r="C81" s="16">
        <v>46145</v>
      </c>
      <c r="D81" s="82">
        <v>0</v>
      </c>
    </row>
    <row r="82" spans="1:4" x14ac:dyDescent="0.3">
      <c r="A82" s="83" t="s">
        <v>197</v>
      </c>
      <c r="B82" s="83"/>
      <c r="C82" s="16">
        <v>46145</v>
      </c>
      <c r="D82" s="82">
        <v>0</v>
      </c>
    </row>
    <row r="83" spans="1:4" x14ac:dyDescent="0.3">
      <c r="A83" s="83" t="s">
        <v>212</v>
      </c>
      <c r="B83" s="83"/>
      <c r="C83" s="16">
        <v>46145</v>
      </c>
      <c r="D83" s="82">
        <v>0</v>
      </c>
    </row>
    <row r="84" spans="1:4" x14ac:dyDescent="0.3">
      <c r="A84" s="83" t="s">
        <v>199</v>
      </c>
      <c r="B84" s="83"/>
      <c r="C84" s="16">
        <v>46145</v>
      </c>
      <c r="D84" s="82">
        <v>0</v>
      </c>
    </row>
    <row r="85" spans="1:4" x14ac:dyDescent="0.3">
      <c r="A85" s="83" t="s">
        <v>216</v>
      </c>
      <c r="B85" s="83"/>
      <c r="C85" s="16">
        <v>46145</v>
      </c>
      <c r="D85" s="82">
        <v>0</v>
      </c>
    </row>
    <row r="86" spans="1:4" x14ac:dyDescent="0.3">
      <c r="A86" s="83" t="s">
        <v>17</v>
      </c>
      <c r="B86" s="83"/>
      <c r="C86" s="16">
        <v>46146</v>
      </c>
      <c r="D86" s="82">
        <v>200763.43000000025</v>
      </c>
    </row>
    <row r="87" spans="1:4" x14ac:dyDescent="0.3">
      <c r="A87" s="83" t="s">
        <v>18</v>
      </c>
      <c r="B87" s="83"/>
      <c r="C87" s="16">
        <v>46146</v>
      </c>
      <c r="D87" s="82">
        <v>51288.029999999948</v>
      </c>
    </row>
    <row r="88" spans="1:4" x14ac:dyDescent="0.3">
      <c r="A88" s="83" t="s">
        <v>19</v>
      </c>
      <c r="B88" s="83"/>
      <c r="C88" s="16">
        <v>46146</v>
      </c>
      <c r="D88" s="82">
        <v>1669.89</v>
      </c>
    </row>
    <row r="89" spans="1:4" x14ac:dyDescent="0.3">
      <c r="A89" s="83" t="s">
        <v>20</v>
      </c>
      <c r="B89" s="83"/>
      <c r="C89" s="16">
        <v>46146</v>
      </c>
      <c r="D89" s="82">
        <v>589990.30000000005</v>
      </c>
    </row>
    <row r="90" spans="1:4" x14ac:dyDescent="0.3">
      <c r="A90" s="83" t="s">
        <v>21</v>
      </c>
      <c r="B90" s="83"/>
      <c r="C90" s="16">
        <v>46146</v>
      </c>
      <c r="D90" s="82">
        <v>1790387.3799999994</v>
      </c>
    </row>
    <row r="91" spans="1:4" x14ac:dyDescent="0.3">
      <c r="A91" s="83" t="s">
        <v>22</v>
      </c>
      <c r="B91" s="83"/>
      <c r="C91" s="16">
        <v>46146</v>
      </c>
      <c r="D91" s="82">
        <v>136511.38</v>
      </c>
    </row>
    <row r="92" spans="1:4" x14ac:dyDescent="0.3">
      <c r="A92" s="83" t="s">
        <v>23</v>
      </c>
      <c r="B92" s="83"/>
      <c r="C92" s="16">
        <v>46146</v>
      </c>
      <c r="D92" s="82">
        <v>13088.589999999997</v>
      </c>
    </row>
    <row r="93" spans="1:4" x14ac:dyDescent="0.3">
      <c r="A93" s="83" t="s">
        <v>24</v>
      </c>
      <c r="B93" s="83"/>
      <c r="C93" s="16">
        <v>46146</v>
      </c>
      <c r="D93" s="82">
        <v>808.82999999999993</v>
      </c>
    </row>
    <row r="94" spans="1:4" x14ac:dyDescent="0.3">
      <c r="A94" s="83" t="s">
        <v>25</v>
      </c>
      <c r="B94" s="83"/>
      <c r="C94" s="16">
        <v>46146</v>
      </c>
      <c r="D94" s="82">
        <v>114.3</v>
      </c>
    </row>
    <row r="95" spans="1:4" x14ac:dyDescent="0.3">
      <c r="A95" s="83" t="s">
        <v>26</v>
      </c>
      <c r="B95" s="83"/>
      <c r="C95" s="16">
        <v>46146</v>
      </c>
      <c r="D95" s="82">
        <v>2267.7200000000003</v>
      </c>
    </row>
    <row r="96" spans="1:4" x14ac:dyDescent="0.3">
      <c r="A96" s="83" t="s">
        <v>27</v>
      </c>
      <c r="B96" s="83"/>
      <c r="C96" s="16">
        <v>46146</v>
      </c>
      <c r="D96" s="82">
        <v>3364.94</v>
      </c>
    </row>
    <row r="97" spans="1:4" x14ac:dyDescent="0.3">
      <c r="A97" s="83" t="s">
        <v>28</v>
      </c>
      <c r="B97" s="83"/>
      <c r="C97" s="16">
        <v>46146</v>
      </c>
      <c r="D97" s="82">
        <v>1968.99</v>
      </c>
    </row>
    <row r="98" spans="1:4" x14ac:dyDescent="0.3">
      <c r="A98" s="83" t="s">
        <v>29</v>
      </c>
      <c r="B98" s="83"/>
      <c r="C98" s="16">
        <v>46146</v>
      </c>
      <c r="D98" s="82">
        <v>901.34</v>
      </c>
    </row>
    <row r="99" spans="1:4" x14ac:dyDescent="0.3">
      <c r="A99" s="83" t="s">
        <v>30</v>
      </c>
      <c r="B99" s="83"/>
      <c r="C99" s="16">
        <v>46146</v>
      </c>
      <c r="D99" s="82">
        <v>1444.08</v>
      </c>
    </row>
    <row r="100" spans="1:4" x14ac:dyDescent="0.3">
      <c r="A100" s="83" t="s">
        <v>31</v>
      </c>
      <c r="B100" s="83"/>
      <c r="C100" s="16">
        <v>46146</v>
      </c>
      <c r="D100" s="82">
        <v>23247.599999999962</v>
      </c>
    </row>
    <row r="101" spans="1:4" x14ac:dyDescent="0.3">
      <c r="A101" s="83" t="s">
        <v>32</v>
      </c>
      <c r="B101" s="83"/>
      <c r="C101" s="16">
        <v>46146</v>
      </c>
      <c r="D101" s="82">
        <v>6853.9100000000017</v>
      </c>
    </row>
    <row r="102" spans="1:4" x14ac:dyDescent="0.3">
      <c r="A102" s="83" t="s">
        <v>33</v>
      </c>
      <c r="B102" s="83"/>
      <c r="C102" s="16">
        <v>46146</v>
      </c>
      <c r="D102" s="82">
        <v>21338.39</v>
      </c>
    </row>
    <row r="103" spans="1:4" x14ac:dyDescent="0.3">
      <c r="A103" s="83" t="s">
        <v>34</v>
      </c>
      <c r="B103" s="83"/>
      <c r="C103" s="16">
        <v>46146</v>
      </c>
      <c r="D103" s="82">
        <v>345</v>
      </c>
    </row>
    <row r="104" spans="1:4" x14ac:dyDescent="0.3">
      <c r="A104" s="83" t="s">
        <v>35</v>
      </c>
      <c r="B104" s="83"/>
      <c r="C104" s="16">
        <v>46146</v>
      </c>
      <c r="D104" s="82">
        <v>8782.25</v>
      </c>
    </row>
    <row r="105" spans="1:4" x14ac:dyDescent="0.3">
      <c r="A105" s="83" t="s">
        <v>193</v>
      </c>
      <c r="B105" s="83"/>
      <c r="C105" s="16">
        <v>46146</v>
      </c>
      <c r="D105" s="82">
        <v>0</v>
      </c>
    </row>
    <row r="106" spans="1:4" x14ac:dyDescent="0.3">
      <c r="A106" s="83" t="s">
        <v>214</v>
      </c>
      <c r="B106" s="83"/>
      <c r="C106" s="16">
        <v>46146</v>
      </c>
      <c r="D106" s="82">
        <v>0</v>
      </c>
    </row>
    <row r="107" spans="1:4" x14ac:dyDescent="0.3">
      <c r="A107" s="83" t="s">
        <v>194</v>
      </c>
      <c r="B107" s="83"/>
      <c r="C107" s="16">
        <v>46146</v>
      </c>
      <c r="D107" s="82">
        <v>0</v>
      </c>
    </row>
    <row r="108" spans="1:4" x14ac:dyDescent="0.3">
      <c r="A108" s="83" t="s">
        <v>195</v>
      </c>
      <c r="B108" s="83"/>
      <c r="C108" s="16">
        <v>46146</v>
      </c>
      <c r="D108" s="82">
        <v>0</v>
      </c>
    </row>
    <row r="109" spans="1:4" x14ac:dyDescent="0.3">
      <c r="A109" s="83" t="s">
        <v>196</v>
      </c>
      <c r="B109" s="83"/>
      <c r="C109" s="16">
        <v>46146</v>
      </c>
      <c r="D109" s="82">
        <v>0</v>
      </c>
    </row>
    <row r="110" spans="1:4" x14ac:dyDescent="0.3">
      <c r="A110" s="83" t="s">
        <v>197</v>
      </c>
      <c r="B110" s="83"/>
      <c r="C110" s="16">
        <v>46146</v>
      </c>
      <c r="D110" s="82">
        <v>0</v>
      </c>
    </row>
    <row r="111" spans="1:4" x14ac:dyDescent="0.3">
      <c r="A111" s="83" t="s">
        <v>212</v>
      </c>
      <c r="B111" s="83"/>
      <c r="C111" s="16">
        <v>46146</v>
      </c>
      <c r="D111" s="82">
        <v>0</v>
      </c>
    </row>
    <row r="112" spans="1:4" x14ac:dyDescent="0.3">
      <c r="A112" s="83" t="s">
        <v>199</v>
      </c>
      <c r="B112" s="83"/>
      <c r="C112" s="16">
        <v>46146</v>
      </c>
      <c r="D112" s="82">
        <v>0</v>
      </c>
    </row>
    <row r="113" spans="1:4" x14ac:dyDescent="0.3">
      <c r="A113" s="83" t="s">
        <v>216</v>
      </c>
      <c r="B113" s="83"/>
      <c r="C113" s="16">
        <v>46146</v>
      </c>
      <c r="D113" s="82">
        <v>0</v>
      </c>
    </row>
    <row r="114" spans="1:4" x14ac:dyDescent="0.3">
      <c r="A114" s="83" t="s">
        <v>17</v>
      </c>
      <c r="B114" s="83"/>
      <c r="C114" s="16">
        <v>46147</v>
      </c>
      <c r="D114" s="82">
        <v>197763.43000000025</v>
      </c>
    </row>
    <row r="115" spans="1:4" x14ac:dyDescent="0.3">
      <c r="A115" s="83" t="s">
        <v>18</v>
      </c>
      <c r="B115" s="83"/>
      <c r="C115" s="16">
        <v>46147</v>
      </c>
      <c r="D115" s="82">
        <v>51288.029999999948</v>
      </c>
    </row>
    <row r="116" spans="1:4" x14ac:dyDescent="0.3">
      <c r="A116" s="83" t="s">
        <v>19</v>
      </c>
      <c r="B116" s="83"/>
      <c r="C116" s="16">
        <v>46147</v>
      </c>
      <c r="D116" s="82">
        <v>1669.89</v>
      </c>
    </row>
    <row r="117" spans="1:4" x14ac:dyDescent="0.3">
      <c r="A117" s="83" t="s">
        <v>20</v>
      </c>
      <c r="B117" s="83"/>
      <c r="C117" s="16">
        <v>46147</v>
      </c>
      <c r="D117" s="82">
        <v>989990.29999999993</v>
      </c>
    </row>
    <row r="118" spans="1:4" x14ac:dyDescent="0.3">
      <c r="A118" s="83" t="s">
        <v>21</v>
      </c>
      <c r="B118" s="83"/>
      <c r="C118" s="16">
        <v>46147</v>
      </c>
      <c r="D118" s="82">
        <v>1088892.0899999994</v>
      </c>
    </row>
    <row r="119" spans="1:4" x14ac:dyDescent="0.3">
      <c r="A119" s="83" t="s">
        <v>22</v>
      </c>
      <c r="B119" s="83"/>
      <c r="C119" s="16">
        <v>46147</v>
      </c>
      <c r="D119" s="82">
        <v>121511.38</v>
      </c>
    </row>
    <row r="120" spans="1:4" x14ac:dyDescent="0.3">
      <c r="A120" s="83" t="s">
        <v>23</v>
      </c>
      <c r="B120" s="83"/>
      <c r="C120" s="16">
        <v>46147</v>
      </c>
      <c r="D120" s="82">
        <v>813088.59</v>
      </c>
    </row>
    <row r="121" spans="1:4" x14ac:dyDescent="0.3">
      <c r="A121" s="83" t="s">
        <v>24</v>
      </c>
      <c r="B121" s="83"/>
      <c r="C121" s="16">
        <v>46147</v>
      </c>
      <c r="D121" s="82">
        <v>3768.83</v>
      </c>
    </row>
    <row r="122" spans="1:4" x14ac:dyDescent="0.3">
      <c r="A122" s="83" t="s">
        <v>25</v>
      </c>
      <c r="B122" s="83"/>
      <c r="C122" s="16">
        <v>46147</v>
      </c>
      <c r="D122" s="82">
        <v>114.3</v>
      </c>
    </row>
    <row r="123" spans="1:4" x14ac:dyDescent="0.3">
      <c r="A123" s="83" t="s">
        <v>26</v>
      </c>
      <c r="B123" s="83"/>
      <c r="C123" s="16">
        <v>46147</v>
      </c>
      <c r="D123" s="82">
        <v>2267.7200000000003</v>
      </c>
    </row>
    <row r="124" spans="1:4" x14ac:dyDescent="0.3">
      <c r="A124" s="83" t="s">
        <v>27</v>
      </c>
      <c r="B124" s="83"/>
      <c r="C124" s="16">
        <v>46147</v>
      </c>
      <c r="D124" s="82">
        <v>3364.94</v>
      </c>
    </row>
    <row r="125" spans="1:4" x14ac:dyDescent="0.3">
      <c r="A125" s="83" t="s">
        <v>28</v>
      </c>
      <c r="B125" s="83"/>
      <c r="C125" s="16">
        <v>46147</v>
      </c>
      <c r="D125" s="82">
        <v>1968.99</v>
      </c>
    </row>
    <row r="126" spans="1:4" x14ac:dyDescent="0.3">
      <c r="A126" s="83" t="s">
        <v>29</v>
      </c>
      <c r="B126" s="83"/>
      <c r="C126" s="16">
        <v>46147</v>
      </c>
      <c r="D126" s="82">
        <v>901.34</v>
      </c>
    </row>
    <row r="127" spans="1:4" x14ac:dyDescent="0.3">
      <c r="A127" s="83" t="s">
        <v>30</v>
      </c>
      <c r="B127" s="83"/>
      <c r="C127" s="16">
        <v>46147</v>
      </c>
      <c r="D127" s="82">
        <v>1444.08</v>
      </c>
    </row>
    <row r="128" spans="1:4" x14ac:dyDescent="0.3">
      <c r="A128" s="83" t="s">
        <v>31</v>
      </c>
      <c r="B128" s="83"/>
      <c r="C128" s="16">
        <v>46147</v>
      </c>
      <c r="D128" s="82">
        <v>23247.599999999962</v>
      </c>
    </row>
    <row r="129" spans="1:4" x14ac:dyDescent="0.3">
      <c r="A129" s="83" t="s">
        <v>32</v>
      </c>
      <c r="B129" s="83"/>
      <c r="C129" s="16">
        <v>46147</v>
      </c>
      <c r="D129" s="82">
        <v>6853.9100000000017</v>
      </c>
    </row>
    <row r="130" spans="1:4" x14ac:dyDescent="0.3">
      <c r="A130" s="83" t="s">
        <v>33</v>
      </c>
      <c r="B130" s="83"/>
      <c r="C130" s="16">
        <v>46147</v>
      </c>
      <c r="D130" s="82">
        <v>21338.39</v>
      </c>
    </row>
    <row r="131" spans="1:4" x14ac:dyDescent="0.3">
      <c r="A131" s="83" t="s">
        <v>34</v>
      </c>
      <c r="B131" s="83"/>
      <c r="C131" s="16">
        <v>46147</v>
      </c>
      <c r="D131" s="82">
        <v>345</v>
      </c>
    </row>
    <row r="132" spans="1:4" x14ac:dyDescent="0.3">
      <c r="A132" s="83" t="s">
        <v>35</v>
      </c>
      <c r="B132" s="83"/>
      <c r="C132" s="16">
        <v>46147</v>
      </c>
      <c r="D132" s="82">
        <v>8782.25</v>
      </c>
    </row>
    <row r="133" spans="1:4" x14ac:dyDescent="0.3">
      <c r="A133" s="83" t="s">
        <v>193</v>
      </c>
      <c r="B133" s="83"/>
      <c r="C133" s="16">
        <v>46147</v>
      </c>
      <c r="D133" s="82">
        <v>0</v>
      </c>
    </row>
    <row r="134" spans="1:4" x14ac:dyDescent="0.3">
      <c r="A134" s="83" t="s">
        <v>214</v>
      </c>
      <c r="B134" s="83"/>
      <c r="C134" s="16">
        <v>46147</v>
      </c>
      <c r="D134" s="82">
        <v>0</v>
      </c>
    </row>
    <row r="135" spans="1:4" x14ac:dyDescent="0.3">
      <c r="A135" s="83" t="s">
        <v>194</v>
      </c>
      <c r="B135" s="83"/>
      <c r="C135" s="16">
        <v>46147</v>
      </c>
      <c r="D135" s="82">
        <v>0</v>
      </c>
    </row>
    <row r="136" spans="1:4" x14ac:dyDescent="0.3">
      <c r="A136" s="83" t="s">
        <v>195</v>
      </c>
      <c r="B136" s="83"/>
      <c r="C136" s="16">
        <v>46147</v>
      </c>
      <c r="D136" s="82">
        <v>0</v>
      </c>
    </row>
    <row r="137" spans="1:4" x14ac:dyDescent="0.3">
      <c r="A137" s="83" t="s">
        <v>196</v>
      </c>
      <c r="B137" s="83"/>
      <c r="C137" s="16">
        <v>46147</v>
      </c>
      <c r="D137" s="82">
        <v>0</v>
      </c>
    </row>
    <row r="138" spans="1:4" x14ac:dyDescent="0.3">
      <c r="A138" s="83" t="s">
        <v>197</v>
      </c>
      <c r="B138" s="83"/>
      <c r="C138" s="16">
        <v>46147</v>
      </c>
      <c r="D138" s="82">
        <v>0</v>
      </c>
    </row>
    <row r="139" spans="1:4" x14ac:dyDescent="0.3">
      <c r="A139" s="83" t="s">
        <v>212</v>
      </c>
      <c r="B139" s="83"/>
      <c r="C139" s="16">
        <v>46147</v>
      </c>
      <c r="D139" s="82">
        <v>0</v>
      </c>
    </row>
    <row r="140" spans="1:4" x14ac:dyDescent="0.3">
      <c r="A140" s="83" t="s">
        <v>199</v>
      </c>
      <c r="B140" s="83"/>
      <c r="C140" s="16">
        <v>46147</v>
      </c>
      <c r="D140" s="82">
        <v>0</v>
      </c>
    </row>
    <row r="141" spans="1:4" x14ac:dyDescent="0.3">
      <c r="A141" s="83" t="s">
        <v>216</v>
      </c>
      <c r="B141" s="83"/>
      <c r="C141" s="16">
        <v>46147</v>
      </c>
      <c r="D141" s="82">
        <v>0</v>
      </c>
    </row>
    <row r="142" spans="1:4" x14ac:dyDescent="0.3">
      <c r="A142" s="83" t="s">
        <v>17</v>
      </c>
      <c r="B142" s="83"/>
      <c r="C142" s="16">
        <v>46148</v>
      </c>
      <c r="D142" s="82">
        <v>197763.43000000025</v>
      </c>
    </row>
    <row r="143" spans="1:4" x14ac:dyDescent="0.3">
      <c r="A143" s="83" t="s">
        <v>18</v>
      </c>
      <c r="B143" s="83"/>
      <c r="C143" s="16">
        <v>46148</v>
      </c>
      <c r="D143" s="82">
        <v>626288.02999999991</v>
      </c>
    </row>
    <row r="144" spans="1:4" x14ac:dyDescent="0.3">
      <c r="A144" s="83" t="s">
        <v>19</v>
      </c>
      <c r="B144" s="83"/>
      <c r="C144" s="16">
        <v>46148</v>
      </c>
      <c r="D144" s="82">
        <v>1669.89</v>
      </c>
    </row>
    <row r="145" spans="1:4" x14ac:dyDescent="0.3">
      <c r="A145" s="83" t="s">
        <v>20</v>
      </c>
      <c r="B145" s="83"/>
      <c r="C145" s="16">
        <v>46148</v>
      </c>
      <c r="D145" s="82">
        <v>989990.29999999993</v>
      </c>
    </row>
    <row r="146" spans="1:4" x14ac:dyDescent="0.3">
      <c r="A146" s="83" t="s">
        <v>21</v>
      </c>
      <c r="B146" s="83"/>
      <c r="C146" s="16">
        <v>46148</v>
      </c>
      <c r="D146" s="82">
        <v>961212.30999999924</v>
      </c>
    </row>
    <row r="147" spans="1:4" x14ac:dyDescent="0.3">
      <c r="A147" s="83" t="s">
        <v>22</v>
      </c>
      <c r="B147" s="83"/>
      <c r="C147" s="16">
        <v>46148</v>
      </c>
      <c r="D147" s="82">
        <v>121511.38</v>
      </c>
    </row>
    <row r="148" spans="1:4" x14ac:dyDescent="0.3">
      <c r="A148" s="83" t="s">
        <v>23</v>
      </c>
      <c r="B148" s="83"/>
      <c r="C148" s="16">
        <v>46148</v>
      </c>
      <c r="D148" s="82">
        <v>813088.59</v>
      </c>
    </row>
    <row r="149" spans="1:4" x14ac:dyDescent="0.3">
      <c r="A149" s="83" t="s">
        <v>24</v>
      </c>
      <c r="B149" s="83"/>
      <c r="C149" s="16">
        <v>46148</v>
      </c>
      <c r="D149" s="82">
        <v>3768.83</v>
      </c>
    </row>
    <row r="150" spans="1:4" x14ac:dyDescent="0.3">
      <c r="A150" s="83" t="s">
        <v>25</v>
      </c>
      <c r="B150" s="83"/>
      <c r="C150" s="16">
        <v>46148</v>
      </c>
      <c r="D150" s="82">
        <v>114.3</v>
      </c>
    </row>
    <row r="151" spans="1:4" x14ac:dyDescent="0.3">
      <c r="A151" s="83" t="s">
        <v>26</v>
      </c>
      <c r="B151" s="83"/>
      <c r="C151" s="16">
        <v>46148</v>
      </c>
      <c r="D151" s="82">
        <v>2267.7200000000003</v>
      </c>
    </row>
    <row r="152" spans="1:4" x14ac:dyDescent="0.3">
      <c r="A152" s="83" t="s">
        <v>27</v>
      </c>
      <c r="B152" s="83"/>
      <c r="C152" s="16">
        <v>46148</v>
      </c>
      <c r="D152" s="82">
        <v>3364.94</v>
      </c>
    </row>
    <row r="153" spans="1:4" x14ac:dyDescent="0.3">
      <c r="A153" s="83" t="s">
        <v>28</v>
      </c>
      <c r="B153" s="83"/>
      <c r="C153" s="16">
        <v>46148</v>
      </c>
      <c r="D153" s="82">
        <v>1968.99</v>
      </c>
    </row>
    <row r="154" spans="1:4" x14ac:dyDescent="0.3">
      <c r="A154" s="83" t="s">
        <v>29</v>
      </c>
      <c r="B154" s="83"/>
      <c r="C154" s="16">
        <v>46148</v>
      </c>
      <c r="D154" s="82">
        <v>901.34</v>
      </c>
    </row>
    <row r="155" spans="1:4" x14ac:dyDescent="0.3">
      <c r="A155" s="83" t="s">
        <v>30</v>
      </c>
      <c r="B155" s="83"/>
      <c r="C155" s="16">
        <v>46148</v>
      </c>
      <c r="D155" s="82">
        <v>1444.08</v>
      </c>
    </row>
    <row r="156" spans="1:4" x14ac:dyDescent="0.3">
      <c r="A156" s="83" t="s">
        <v>31</v>
      </c>
      <c r="B156" s="83"/>
      <c r="C156" s="16">
        <v>46148</v>
      </c>
      <c r="D156" s="82">
        <v>23247.599999999962</v>
      </c>
    </row>
    <row r="157" spans="1:4" x14ac:dyDescent="0.3">
      <c r="A157" s="83" t="s">
        <v>32</v>
      </c>
      <c r="B157" s="83"/>
      <c r="C157" s="16">
        <v>46148</v>
      </c>
      <c r="D157" s="82">
        <v>5135.0600000000013</v>
      </c>
    </row>
    <row r="158" spans="1:4" x14ac:dyDescent="0.3">
      <c r="A158" s="83" t="s">
        <v>33</v>
      </c>
      <c r="B158" s="83"/>
      <c r="C158" s="16">
        <v>46148</v>
      </c>
      <c r="D158" s="82">
        <v>21338.39</v>
      </c>
    </row>
    <row r="159" spans="1:4" x14ac:dyDescent="0.3">
      <c r="A159" s="83" t="s">
        <v>34</v>
      </c>
      <c r="B159" s="83"/>
      <c r="C159" s="16">
        <v>46148</v>
      </c>
      <c r="D159" s="82">
        <v>345</v>
      </c>
    </row>
    <row r="160" spans="1:4" x14ac:dyDescent="0.3">
      <c r="A160" s="83" t="s">
        <v>35</v>
      </c>
      <c r="B160" s="83"/>
      <c r="C160" s="16">
        <v>46148</v>
      </c>
      <c r="D160" s="82">
        <v>8782.25</v>
      </c>
    </row>
    <row r="161" spans="1:4" x14ac:dyDescent="0.3">
      <c r="A161" s="83" t="s">
        <v>193</v>
      </c>
      <c r="B161" s="83"/>
      <c r="C161" s="16">
        <v>46148</v>
      </c>
      <c r="D161" s="82">
        <v>0</v>
      </c>
    </row>
    <row r="162" spans="1:4" x14ac:dyDescent="0.3">
      <c r="A162" s="83" t="s">
        <v>214</v>
      </c>
      <c r="B162" s="83"/>
      <c r="C162" s="16">
        <v>46148</v>
      </c>
      <c r="D162" s="82">
        <v>0</v>
      </c>
    </row>
    <row r="163" spans="1:4" x14ac:dyDescent="0.3">
      <c r="A163" s="83" t="s">
        <v>194</v>
      </c>
      <c r="B163" s="83"/>
      <c r="C163" s="16">
        <v>46148</v>
      </c>
      <c r="D163" s="82">
        <v>0</v>
      </c>
    </row>
    <row r="164" spans="1:4" x14ac:dyDescent="0.3">
      <c r="A164" s="83" t="s">
        <v>195</v>
      </c>
      <c r="B164" s="83"/>
      <c r="C164" s="16">
        <v>46148</v>
      </c>
      <c r="D164" s="82">
        <v>0</v>
      </c>
    </row>
    <row r="165" spans="1:4" x14ac:dyDescent="0.3">
      <c r="A165" s="83" t="s">
        <v>196</v>
      </c>
      <c r="B165" s="83"/>
      <c r="C165" s="16">
        <v>46148</v>
      </c>
      <c r="D165" s="82">
        <v>0</v>
      </c>
    </row>
    <row r="166" spans="1:4" x14ac:dyDescent="0.3">
      <c r="A166" s="83" t="s">
        <v>197</v>
      </c>
      <c r="B166" s="83"/>
      <c r="C166" s="16">
        <v>46148</v>
      </c>
      <c r="D166" s="82">
        <v>0</v>
      </c>
    </row>
    <row r="167" spans="1:4" x14ac:dyDescent="0.3">
      <c r="A167" s="83" t="s">
        <v>212</v>
      </c>
      <c r="B167" s="83"/>
      <c r="C167" s="16">
        <v>46148</v>
      </c>
      <c r="D167" s="82">
        <v>0</v>
      </c>
    </row>
    <row r="168" spans="1:4" x14ac:dyDescent="0.3">
      <c r="A168" s="83" t="s">
        <v>199</v>
      </c>
      <c r="B168" s="83"/>
      <c r="C168" s="16">
        <v>46148</v>
      </c>
      <c r="D168" s="82">
        <v>0</v>
      </c>
    </row>
    <row r="169" spans="1:4" x14ac:dyDescent="0.3">
      <c r="A169" s="83" t="s">
        <v>216</v>
      </c>
      <c r="B169" s="83"/>
      <c r="C169" s="16">
        <v>46148</v>
      </c>
      <c r="D169" s="82">
        <v>0</v>
      </c>
    </row>
    <row r="170" spans="1:4" x14ac:dyDescent="0.3">
      <c r="A170" s="83" t="s">
        <v>17</v>
      </c>
      <c r="B170" s="83"/>
      <c r="C170" s="16">
        <v>46149</v>
      </c>
      <c r="D170" s="82">
        <v>447763.43000000028</v>
      </c>
    </row>
    <row r="171" spans="1:4" x14ac:dyDescent="0.3">
      <c r="A171" s="83" t="s">
        <v>18</v>
      </c>
      <c r="B171" s="83"/>
      <c r="C171" s="16">
        <v>46149</v>
      </c>
      <c r="D171" s="82">
        <v>56288.029999999941</v>
      </c>
    </row>
    <row r="172" spans="1:4" x14ac:dyDescent="0.3">
      <c r="A172" s="83" t="s">
        <v>19</v>
      </c>
      <c r="B172" s="83"/>
      <c r="C172" s="16">
        <v>46149</v>
      </c>
      <c r="D172" s="82">
        <v>1669.89</v>
      </c>
    </row>
    <row r="173" spans="1:4" x14ac:dyDescent="0.3">
      <c r="A173" s="83" t="s">
        <v>20</v>
      </c>
      <c r="B173" s="83"/>
      <c r="C173" s="16">
        <v>46149</v>
      </c>
      <c r="D173" s="82">
        <v>274668.55999999994</v>
      </c>
    </row>
    <row r="174" spans="1:4" x14ac:dyDescent="0.3">
      <c r="A174" s="83" t="s">
        <v>21</v>
      </c>
      <c r="B174" s="83"/>
      <c r="C174" s="16">
        <v>46149</v>
      </c>
      <c r="D174" s="82">
        <v>926213.13999999932</v>
      </c>
    </row>
    <row r="175" spans="1:4" x14ac:dyDescent="0.3">
      <c r="A175" s="83" t="s">
        <v>22</v>
      </c>
      <c r="B175" s="83"/>
      <c r="C175" s="16">
        <v>46149</v>
      </c>
      <c r="D175" s="82">
        <v>121511.38</v>
      </c>
    </row>
    <row r="176" spans="1:4" x14ac:dyDescent="0.3">
      <c r="A176" s="83" t="s">
        <v>23</v>
      </c>
      <c r="B176" s="83"/>
      <c r="C176" s="16">
        <v>46149</v>
      </c>
      <c r="D176" s="82">
        <v>1513088.59</v>
      </c>
    </row>
    <row r="177" spans="1:4" x14ac:dyDescent="0.3">
      <c r="A177" s="83" t="s">
        <v>24</v>
      </c>
      <c r="B177" s="83"/>
      <c r="C177" s="16">
        <v>46149</v>
      </c>
      <c r="D177" s="82">
        <v>3768.83</v>
      </c>
    </row>
    <row r="178" spans="1:4" x14ac:dyDescent="0.3">
      <c r="A178" s="83" t="s">
        <v>25</v>
      </c>
      <c r="B178" s="83"/>
      <c r="C178" s="16">
        <v>46149</v>
      </c>
      <c r="D178" s="82">
        <v>114.3</v>
      </c>
    </row>
    <row r="179" spans="1:4" x14ac:dyDescent="0.3">
      <c r="A179" s="83" t="s">
        <v>26</v>
      </c>
      <c r="B179" s="83"/>
      <c r="C179" s="16">
        <v>46149</v>
      </c>
      <c r="D179" s="82">
        <v>2267.7200000000003</v>
      </c>
    </row>
    <row r="180" spans="1:4" x14ac:dyDescent="0.3">
      <c r="A180" s="83" t="s">
        <v>27</v>
      </c>
      <c r="B180" s="83"/>
      <c r="C180" s="16">
        <v>46149</v>
      </c>
      <c r="D180" s="82">
        <v>3364.94</v>
      </c>
    </row>
    <row r="181" spans="1:4" x14ac:dyDescent="0.3">
      <c r="A181" s="83" t="s">
        <v>28</v>
      </c>
      <c r="B181" s="83"/>
      <c r="C181" s="16">
        <v>46149</v>
      </c>
      <c r="D181" s="82">
        <v>1968.99</v>
      </c>
    </row>
    <row r="182" spans="1:4" x14ac:dyDescent="0.3">
      <c r="A182" s="83" t="s">
        <v>29</v>
      </c>
      <c r="B182" s="83"/>
      <c r="C182" s="16">
        <v>46149</v>
      </c>
      <c r="D182" s="82">
        <v>901.34</v>
      </c>
    </row>
    <row r="183" spans="1:4" x14ac:dyDescent="0.3">
      <c r="A183" s="83" t="s">
        <v>30</v>
      </c>
      <c r="B183" s="83"/>
      <c r="C183" s="16">
        <v>46149</v>
      </c>
      <c r="D183" s="82">
        <v>1444.08</v>
      </c>
    </row>
    <row r="184" spans="1:4" x14ac:dyDescent="0.3">
      <c r="A184" s="83" t="s">
        <v>31</v>
      </c>
      <c r="B184" s="83"/>
      <c r="C184" s="16">
        <v>46149</v>
      </c>
      <c r="D184" s="82">
        <v>23247.599999999962</v>
      </c>
    </row>
    <row r="185" spans="1:4" x14ac:dyDescent="0.3">
      <c r="A185" s="83" t="s">
        <v>32</v>
      </c>
      <c r="B185" s="83"/>
      <c r="C185" s="16">
        <v>46149</v>
      </c>
      <c r="D185" s="82">
        <v>15135.060000000001</v>
      </c>
    </row>
    <row r="186" spans="1:4" x14ac:dyDescent="0.3">
      <c r="A186" s="83" t="s">
        <v>33</v>
      </c>
      <c r="B186" s="83"/>
      <c r="C186" s="16">
        <v>46149</v>
      </c>
      <c r="D186" s="82">
        <v>31338.39</v>
      </c>
    </row>
    <row r="187" spans="1:4" x14ac:dyDescent="0.3">
      <c r="A187" s="83" t="s">
        <v>34</v>
      </c>
      <c r="B187" s="83"/>
      <c r="C187" s="16">
        <v>46149</v>
      </c>
      <c r="D187" s="82">
        <v>345</v>
      </c>
    </row>
    <row r="188" spans="1:4" x14ac:dyDescent="0.3">
      <c r="A188" s="83" t="s">
        <v>35</v>
      </c>
      <c r="B188" s="83"/>
      <c r="C188" s="16">
        <v>46149</v>
      </c>
      <c r="D188" s="82">
        <v>8782.25</v>
      </c>
    </row>
    <row r="189" spans="1:4" x14ac:dyDescent="0.3">
      <c r="A189" s="83" t="s">
        <v>193</v>
      </c>
      <c r="B189" s="83"/>
      <c r="C189" s="16">
        <v>46149</v>
      </c>
      <c r="D189" s="82">
        <v>0</v>
      </c>
    </row>
    <row r="190" spans="1:4" x14ac:dyDescent="0.3">
      <c r="A190" s="83" t="s">
        <v>214</v>
      </c>
      <c r="B190" s="83"/>
      <c r="C190" s="16">
        <v>46149</v>
      </c>
      <c r="D190" s="82">
        <v>0</v>
      </c>
    </row>
    <row r="191" spans="1:4" x14ac:dyDescent="0.3">
      <c r="A191" s="83" t="s">
        <v>194</v>
      </c>
      <c r="B191" s="83"/>
      <c r="C191" s="16">
        <v>46149</v>
      </c>
      <c r="D191" s="82">
        <v>0</v>
      </c>
    </row>
    <row r="192" spans="1:4" x14ac:dyDescent="0.3">
      <c r="A192" s="83" t="s">
        <v>195</v>
      </c>
      <c r="B192" s="83"/>
      <c r="C192" s="16">
        <v>46149</v>
      </c>
      <c r="D192" s="82">
        <v>0</v>
      </c>
    </row>
    <row r="193" spans="1:4" x14ac:dyDescent="0.3">
      <c r="A193" s="83" t="s">
        <v>196</v>
      </c>
      <c r="B193" s="83"/>
      <c r="C193" s="16">
        <v>46149</v>
      </c>
      <c r="D193" s="82">
        <v>0</v>
      </c>
    </row>
    <row r="194" spans="1:4" x14ac:dyDescent="0.3">
      <c r="A194" s="83" t="s">
        <v>197</v>
      </c>
      <c r="B194" s="83"/>
      <c r="C194" s="16">
        <v>46149</v>
      </c>
      <c r="D194" s="82">
        <v>0</v>
      </c>
    </row>
    <row r="195" spans="1:4" x14ac:dyDescent="0.3">
      <c r="A195" s="83" t="s">
        <v>212</v>
      </c>
      <c r="B195" s="83"/>
      <c r="C195" s="16">
        <v>46149</v>
      </c>
      <c r="D195" s="82">
        <v>0</v>
      </c>
    </row>
    <row r="196" spans="1:4" x14ac:dyDescent="0.3">
      <c r="A196" s="83" t="s">
        <v>199</v>
      </c>
      <c r="B196" s="83"/>
      <c r="C196" s="16">
        <v>46149</v>
      </c>
      <c r="D196" s="82">
        <v>0</v>
      </c>
    </row>
    <row r="197" spans="1:4" x14ac:dyDescent="0.3">
      <c r="A197" s="83" t="s">
        <v>216</v>
      </c>
      <c r="B197" s="83"/>
      <c r="C197" s="16">
        <v>46149</v>
      </c>
      <c r="D197" s="82">
        <v>0</v>
      </c>
    </row>
    <row r="198" spans="1:4" x14ac:dyDescent="0.3">
      <c r="A198" s="83" t="s">
        <v>17</v>
      </c>
      <c r="B198" s="83"/>
      <c r="C198" s="16">
        <v>46150</v>
      </c>
      <c r="D198" s="82">
        <v>512927.75000000023</v>
      </c>
    </row>
    <row r="199" spans="1:4" x14ac:dyDescent="0.3">
      <c r="A199" s="83" t="s">
        <v>18</v>
      </c>
      <c r="B199" s="83"/>
      <c r="C199" s="16">
        <v>46150</v>
      </c>
      <c r="D199" s="82">
        <v>58840.089999999938</v>
      </c>
    </row>
    <row r="200" spans="1:4" x14ac:dyDescent="0.3">
      <c r="A200" s="83" t="s">
        <v>19</v>
      </c>
      <c r="B200" s="83"/>
      <c r="C200" s="16">
        <v>46150</v>
      </c>
      <c r="D200" s="82">
        <v>1669.89</v>
      </c>
    </row>
    <row r="201" spans="1:4" x14ac:dyDescent="0.3">
      <c r="A201" s="83" t="s">
        <v>20</v>
      </c>
      <c r="B201" s="83"/>
      <c r="C201" s="16">
        <v>46150</v>
      </c>
      <c r="D201" s="82">
        <v>792366.49999999988</v>
      </c>
    </row>
    <row r="202" spans="1:4" x14ac:dyDescent="0.3">
      <c r="A202" s="83" t="s">
        <v>21</v>
      </c>
      <c r="B202" s="83"/>
      <c r="C202" s="16">
        <v>46150</v>
      </c>
      <c r="D202" s="82">
        <v>923830.41999999923</v>
      </c>
    </row>
    <row r="203" spans="1:4" x14ac:dyDescent="0.3">
      <c r="A203" s="83" t="s">
        <v>22</v>
      </c>
      <c r="B203" s="83"/>
      <c r="C203" s="16">
        <v>46150</v>
      </c>
      <c r="D203" s="82">
        <v>121511.38</v>
      </c>
    </row>
    <row r="204" spans="1:4" x14ac:dyDescent="0.3">
      <c r="A204" s="83" t="s">
        <v>23</v>
      </c>
      <c r="B204" s="83"/>
      <c r="C204" s="16">
        <v>46150</v>
      </c>
      <c r="D204" s="82">
        <v>13088.589999999997</v>
      </c>
    </row>
    <row r="205" spans="1:4" x14ac:dyDescent="0.3">
      <c r="A205" s="83" t="s">
        <v>24</v>
      </c>
      <c r="B205" s="83"/>
      <c r="C205" s="16">
        <v>46150</v>
      </c>
      <c r="D205" s="82">
        <v>3768.83</v>
      </c>
    </row>
    <row r="206" spans="1:4" x14ac:dyDescent="0.3">
      <c r="A206" s="83" t="s">
        <v>25</v>
      </c>
      <c r="B206" s="83"/>
      <c r="C206" s="16">
        <v>46150</v>
      </c>
      <c r="D206" s="82">
        <v>114.3</v>
      </c>
    </row>
    <row r="207" spans="1:4" x14ac:dyDescent="0.3">
      <c r="A207" s="83" t="s">
        <v>26</v>
      </c>
      <c r="B207" s="83"/>
      <c r="C207" s="16">
        <v>46150</v>
      </c>
      <c r="D207" s="82">
        <v>2267.7200000000003</v>
      </c>
    </row>
    <row r="208" spans="1:4" x14ac:dyDescent="0.3">
      <c r="A208" s="83" t="s">
        <v>27</v>
      </c>
      <c r="B208" s="83"/>
      <c r="C208" s="16">
        <v>46150</v>
      </c>
      <c r="D208" s="82">
        <v>3349.94</v>
      </c>
    </row>
    <row r="209" spans="1:4" x14ac:dyDescent="0.3">
      <c r="A209" s="83" t="s">
        <v>28</v>
      </c>
      <c r="B209" s="83"/>
      <c r="C209" s="16">
        <v>46150</v>
      </c>
      <c r="D209" s="82">
        <v>1968.99</v>
      </c>
    </row>
    <row r="210" spans="1:4" x14ac:dyDescent="0.3">
      <c r="A210" s="83" t="s">
        <v>29</v>
      </c>
      <c r="B210" s="83"/>
      <c r="C210" s="16">
        <v>46150</v>
      </c>
      <c r="D210" s="82">
        <v>901.34</v>
      </c>
    </row>
    <row r="211" spans="1:4" x14ac:dyDescent="0.3">
      <c r="A211" s="83" t="s">
        <v>30</v>
      </c>
      <c r="B211" s="83"/>
      <c r="C211" s="16">
        <v>46150</v>
      </c>
      <c r="D211" s="82">
        <v>1444.08</v>
      </c>
    </row>
    <row r="212" spans="1:4" x14ac:dyDescent="0.3">
      <c r="A212" s="83" t="s">
        <v>31</v>
      </c>
      <c r="B212" s="83"/>
      <c r="C212" s="16">
        <v>46150</v>
      </c>
      <c r="D212" s="82">
        <v>20592.599999999962</v>
      </c>
    </row>
    <row r="213" spans="1:4" x14ac:dyDescent="0.3">
      <c r="A213" s="83" t="s">
        <v>32</v>
      </c>
      <c r="B213" s="83"/>
      <c r="C213" s="16">
        <v>46150</v>
      </c>
      <c r="D213" s="82">
        <v>15120.060000000001</v>
      </c>
    </row>
    <row r="214" spans="1:4" x14ac:dyDescent="0.3">
      <c r="A214" s="83" t="s">
        <v>33</v>
      </c>
      <c r="B214" s="83"/>
      <c r="C214" s="16">
        <v>46150</v>
      </c>
      <c r="D214" s="82">
        <v>31323.39</v>
      </c>
    </row>
    <row r="215" spans="1:4" x14ac:dyDescent="0.3">
      <c r="A215" s="83" t="s">
        <v>34</v>
      </c>
      <c r="B215" s="83"/>
      <c r="C215" s="16">
        <v>46150</v>
      </c>
      <c r="D215" s="82">
        <v>345</v>
      </c>
    </row>
    <row r="216" spans="1:4" x14ac:dyDescent="0.3">
      <c r="A216" s="83" t="s">
        <v>35</v>
      </c>
      <c r="B216" s="83"/>
      <c r="C216" s="16">
        <v>46150</v>
      </c>
      <c r="D216" s="82">
        <v>23782.25</v>
      </c>
    </row>
    <row r="217" spans="1:4" x14ac:dyDescent="0.3">
      <c r="A217" s="83" t="s">
        <v>193</v>
      </c>
      <c r="B217" s="83"/>
      <c r="C217" s="16">
        <v>46150</v>
      </c>
      <c r="D217" s="82">
        <v>0</v>
      </c>
    </row>
    <row r="218" spans="1:4" x14ac:dyDescent="0.3">
      <c r="A218" s="83" t="s">
        <v>214</v>
      </c>
      <c r="B218" s="83"/>
      <c r="C218" s="16">
        <v>46150</v>
      </c>
      <c r="D218" s="82">
        <v>0</v>
      </c>
    </row>
    <row r="219" spans="1:4" x14ac:dyDescent="0.3">
      <c r="A219" s="83" t="s">
        <v>194</v>
      </c>
      <c r="B219" s="83"/>
      <c r="C219" s="16">
        <v>46150</v>
      </c>
      <c r="D219" s="82">
        <v>0</v>
      </c>
    </row>
    <row r="220" spans="1:4" x14ac:dyDescent="0.3">
      <c r="A220" s="83" t="s">
        <v>195</v>
      </c>
      <c r="B220" s="83"/>
      <c r="C220" s="16">
        <v>46150</v>
      </c>
      <c r="D220" s="82">
        <v>0</v>
      </c>
    </row>
    <row r="221" spans="1:4" x14ac:dyDescent="0.3">
      <c r="A221" s="83" t="s">
        <v>196</v>
      </c>
      <c r="B221" s="83"/>
      <c r="C221" s="16">
        <v>46150</v>
      </c>
      <c r="D221" s="82">
        <v>0</v>
      </c>
    </row>
    <row r="222" spans="1:4" x14ac:dyDescent="0.3">
      <c r="A222" s="83" t="s">
        <v>197</v>
      </c>
      <c r="B222" s="83"/>
      <c r="C222" s="16">
        <v>46150</v>
      </c>
      <c r="D222" s="82">
        <v>0</v>
      </c>
    </row>
    <row r="223" spans="1:4" x14ac:dyDescent="0.3">
      <c r="A223" s="83" t="s">
        <v>212</v>
      </c>
      <c r="B223" s="83"/>
      <c r="C223" s="16">
        <v>46150</v>
      </c>
      <c r="D223" s="82">
        <v>0</v>
      </c>
    </row>
    <row r="224" spans="1:4" x14ac:dyDescent="0.3">
      <c r="A224" s="83" t="s">
        <v>199</v>
      </c>
      <c r="B224" s="83"/>
      <c r="C224" s="16">
        <v>46150</v>
      </c>
      <c r="D224" s="82">
        <v>0</v>
      </c>
    </row>
    <row r="225" spans="1:4" x14ac:dyDescent="0.3">
      <c r="A225" s="83" t="s">
        <v>216</v>
      </c>
      <c r="B225" s="83"/>
      <c r="C225" s="16">
        <v>46150</v>
      </c>
      <c r="D225" s="82">
        <v>0</v>
      </c>
    </row>
    <row r="226" spans="1:4" x14ac:dyDescent="0.3">
      <c r="A226" s="83" t="s">
        <v>17</v>
      </c>
      <c r="B226" s="83"/>
      <c r="C226" s="16">
        <v>46151</v>
      </c>
      <c r="D226" s="82">
        <v>512927.75000000023</v>
      </c>
    </row>
    <row r="227" spans="1:4" x14ac:dyDescent="0.3">
      <c r="A227" s="83" t="s">
        <v>18</v>
      </c>
      <c r="B227" s="83"/>
      <c r="C227" s="16">
        <v>46151</v>
      </c>
      <c r="D227" s="82">
        <v>58840.089999999938</v>
      </c>
    </row>
    <row r="228" spans="1:4" x14ac:dyDescent="0.3">
      <c r="A228" s="83" t="s">
        <v>19</v>
      </c>
      <c r="B228" s="83"/>
      <c r="C228" s="16">
        <v>46151</v>
      </c>
      <c r="D228" s="82">
        <v>1669.89</v>
      </c>
    </row>
    <row r="229" spans="1:4" x14ac:dyDescent="0.3">
      <c r="A229" s="83" t="s">
        <v>20</v>
      </c>
      <c r="B229" s="83"/>
      <c r="C229" s="16">
        <v>46151</v>
      </c>
      <c r="D229" s="82">
        <v>792366.49999999988</v>
      </c>
    </row>
    <row r="230" spans="1:4" x14ac:dyDescent="0.3">
      <c r="A230" s="83" t="s">
        <v>21</v>
      </c>
      <c r="B230" s="83"/>
      <c r="C230" s="16">
        <v>46151</v>
      </c>
      <c r="D230" s="82">
        <v>923830.41999999923</v>
      </c>
    </row>
    <row r="231" spans="1:4" x14ac:dyDescent="0.3">
      <c r="A231" s="83" t="s">
        <v>22</v>
      </c>
      <c r="B231" s="83"/>
      <c r="C231" s="16">
        <v>46151</v>
      </c>
      <c r="D231" s="82">
        <v>121511.38</v>
      </c>
    </row>
    <row r="232" spans="1:4" x14ac:dyDescent="0.3">
      <c r="A232" s="83" t="s">
        <v>23</v>
      </c>
      <c r="B232" s="83"/>
      <c r="C232" s="16">
        <v>46151</v>
      </c>
      <c r="D232" s="82">
        <v>13088.589999999997</v>
      </c>
    </row>
    <row r="233" spans="1:4" x14ac:dyDescent="0.3">
      <c r="A233" s="83" t="s">
        <v>24</v>
      </c>
      <c r="B233" s="83"/>
      <c r="C233" s="16">
        <v>46151</v>
      </c>
      <c r="D233" s="82">
        <v>3768.83</v>
      </c>
    </row>
    <row r="234" spans="1:4" x14ac:dyDescent="0.3">
      <c r="A234" s="83" t="s">
        <v>25</v>
      </c>
      <c r="B234" s="83"/>
      <c r="C234" s="16">
        <v>46151</v>
      </c>
      <c r="D234" s="82">
        <v>114.3</v>
      </c>
    </row>
    <row r="235" spans="1:4" x14ac:dyDescent="0.3">
      <c r="A235" s="83" t="s">
        <v>26</v>
      </c>
      <c r="B235" s="83"/>
      <c r="C235" s="16">
        <v>46151</v>
      </c>
      <c r="D235" s="82">
        <v>2267.7200000000003</v>
      </c>
    </row>
    <row r="236" spans="1:4" x14ac:dyDescent="0.3">
      <c r="A236" s="83" t="s">
        <v>27</v>
      </c>
      <c r="B236" s="83"/>
      <c r="C236" s="16">
        <v>46151</v>
      </c>
      <c r="D236" s="82">
        <v>3349.94</v>
      </c>
    </row>
    <row r="237" spans="1:4" x14ac:dyDescent="0.3">
      <c r="A237" s="83" t="s">
        <v>28</v>
      </c>
      <c r="B237" s="83"/>
      <c r="C237" s="16">
        <v>46151</v>
      </c>
      <c r="D237" s="82">
        <v>1968.99</v>
      </c>
    </row>
    <row r="238" spans="1:4" x14ac:dyDescent="0.3">
      <c r="A238" s="83" t="s">
        <v>29</v>
      </c>
      <c r="B238" s="83"/>
      <c r="C238" s="16">
        <v>46151</v>
      </c>
      <c r="D238" s="82">
        <v>901.34</v>
      </c>
    </row>
    <row r="239" spans="1:4" x14ac:dyDescent="0.3">
      <c r="A239" s="83" t="s">
        <v>30</v>
      </c>
      <c r="B239" s="83"/>
      <c r="C239" s="16">
        <v>46151</v>
      </c>
      <c r="D239" s="82">
        <v>1444.08</v>
      </c>
    </row>
    <row r="240" spans="1:4" x14ac:dyDescent="0.3">
      <c r="A240" s="83" t="s">
        <v>31</v>
      </c>
      <c r="B240" s="83"/>
      <c r="C240" s="16">
        <v>46151</v>
      </c>
      <c r="D240" s="82">
        <v>20592.599999999962</v>
      </c>
    </row>
    <row r="241" spans="1:4" x14ac:dyDescent="0.3">
      <c r="A241" s="83" t="s">
        <v>32</v>
      </c>
      <c r="B241" s="83"/>
      <c r="C241" s="16">
        <v>46151</v>
      </c>
      <c r="D241" s="82">
        <v>15120.060000000001</v>
      </c>
    </row>
    <row r="242" spans="1:4" x14ac:dyDescent="0.3">
      <c r="A242" s="83" t="s">
        <v>33</v>
      </c>
      <c r="B242" s="83"/>
      <c r="C242" s="16">
        <v>46151</v>
      </c>
      <c r="D242" s="82">
        <v>31323.39</v>
      </c>
    </row>
    <row r="243" spans="1:4" x14ac:dyDescent="0.3">
      <c r="A243" s="83" t="s">
        <v>34</v>
      </c>
      <c r="B243" s="83"/>
      <c r="C243" s="16">
        <v>46151</v>
      </c>
      <c r="D243" s="82">
        <v>345</v>
      </c>
    </row>
    <row r="244" spans="1:4" x14ac:dyDescent="0.3">
      <c r="A244" s="83" t="s">
        <v>35</v>
      </c>
      <c r="B244" s="83"/>
      <c r="C244" s="16">
        <v>46151</v>
      </c>
      <c r="D244" s="82">
        <v>23782.25</v>
      </c>
    </row>
    <row r="245" spans="1:4" x14ac:dyDescent="0.3">
      <c r="A245" s="83" t="s">
        <v>193</v>
      </c>
      <c r="B245" s="83"/>
      <c r="C245" s="16">
        <v>46151</v>
      </c>
      <c r="D245" s="82">
        <v>0</v>
      </c>
    </row>
    <row r="246" spans="1:4" x14ac:dyDescent="0.3">
      <c r="A246" s="83" t="s">
        <v>214</v>
      </c>
      <c r="B246" s="83"/>
      <c r="C246" s="16">
        <v>46151</v>
      </c>
      <c r="D246" s="82">
        <v>0</v>
      </c>
    </row>
    <row r="247" spans="1:4" x14ac:dyDescent="0.3">
      <c r="A247" s="83" t="s">
        <v>194</v>
      </c>
      <c r="B247" s="83"/>
      <c r="C247" s="16">
        <v>46151</v>
      </c>
      <c r="D247" s="82">
        <v>0</v>
      </c>
    </row>
    <row r="248" spans="1:4" x14ac:dyDescent="0.3">
      <c r="A248" s="83" t="s">
        <v>195</v>
      </c>
      <c r="B248" s="83"/>
      <c r="C248" s="16">
        <v>46151</v>
      </c>
      <c r="D248" s="82">
        <v>0</v>
      </c>
    </row>
    <row r="249" spans="1:4" x14ac:dyDescent="0.3">
      <c r="A249" s="83" t="s">
        <v>196</v>
      </c>
      <c r="B249" s="83"/>
      <c r="C249" s="16">
        <v>46151</v>
      </c>
      <c r="D249" s="82">
        <v>0</v>
      </c>
    </row>
    <row r="250" spans="1:4" x14ac:dyDescent="0.3">
      <c r="A250" s="83" t="s">
        <v>197</v>
      </c>
      <c r="B250" s="83"/>
      <c r="C250" s="16">
        <v>46151</v>
      </c>
      <c r="D250" s="82">
        <v>0</v>
      </c>
    </row>
    <row r="251" spans="1:4" x14ac:dyDescent="0.3">
      <c r="A251" s="83" t="s">
        <v>212</v>
      </c>
      <c r="B251" s="83"/>
      <c r="C251" s="16">
        <v>46151</v>
      </c>
      <c r="D251" s="82">
        <v>0</v>
      </c>
    </row>
    <row r="252" spans="1:4" x14ac:dyDescent="0.3">
      <c r="A252" s="83" t="s">
        <v>199</v>
      </c>
      <c r="B252" s="83"/>
      <c r="C252" s="16">
        <v>46151</v>
      </c>
      <c r="D252" s="82">
        <v>0</v>
      </c>
    </row>
    <row r="253" spans="1:4" x14ac:dyDescent="0.3">
      <c r="A253" s="83" t="s">
        <v>216</v>
      </c>
      <c r="B253" s="83"/>
      <c r="C253" s="16">
        <v>46151</v>
      </c>
      <c r="D253" s="82">
        <v>0</v>
      </c>
    </row>
    <row r="254" spans="1:4" x14ac:dyDescent="0.3">
      <c r="A254" s="83" t="s">
        <v>17</v>
      </c>
      <c r="B254" s="83"/>
      <c r="C254" s="16">
        <v>46152</v>
      </c>
      <c r="D254" s="82">
        <v>512927.75000000023</v>
      </c>
    </row>
    <row r="255" spans="1:4" x14ac:dyDescent="0.3">
      <c r="A255" s="83" t="s">
        <v>18</v>
      </c>
      <c r="B255" s="83"/>
      <c r="C255" s="16">
        <v>46152</v>
      </c>
      <c r="D255" s="82">
        <v>58840.089999999938</v>
      </c>
    </row>
    <row r="256" spans="1:4" x14ac:dyDescent="0.3">
      <c r="A256" s="83" t="s">
        <v>19</v>
      </c>
      <c r="B256" s="83"/>
      <c r="C256" s="16">
        <v>46152</v>
      </c>
      <c r="D256" s="82">
        <v>1669.89</v>
      </c>
    </row>
    <row r="257" spans="1:4" x14ac:dyDescent="0.3">
      <c r="A257" s="83" t="s">
        <v>20</v>
      </c>
      <c r="B257" s="83"/>
      <c r="C257" s="16">
        <v>46152</v>
      </c>
      <c r="D257" s="82">
        <v>792366.49999999988</v>
      </c>
    </row>
    <row r="258" spans="1:4" x14ac:dyDescent="0.3">
      <c r="A258" s="83" t="s">
        <v>21</v>
      </c>
      <c r="B258" s="83"/>
      <c r="C258" s="16">
        <v>46152</v>
      </c>
      <c r="D258" s="82">
        <v>923830.41999999923</v>
      </c>
    </row>
    <row r="259" spans="1:4" x14ac:dyDescent="0.3">
      <c r="A259" s="83" t="s">
        <v>22</v>
      </c>
      <c r="B259" s="83"/>
      <c r="C259" s="16">
        <v>46152</v>
      </c>
      <c r="D259" s="82">
        <v>121511.38</v>
      </c>
    </row>
    <row r="260" spans="1:4" x14ac:dyDescent="0.3">
      <c r="A260" s="83" t="s">
        <v>23</v>
      </c>
      <c r="B260" s="83"/>
      <c r="C260" s="16">
        <v>46152</v>
      </c>
      <c r="D260" s="82">
        <v>13088.589999999997</v>
      </c>
    </row>
    <row r="261" spans="1:4" x14ac:dyDescent="0.3">
      <c r="A261" s="83" t="s">
        <v>24</v>
      </c>
      <c r="B261" s="83"/>
      <c r="C261" s="16">
        <v>46152</v>
      </c>
      <c r="D261" s="82">
        <v>3768.83</v>
      </c>
    </row>
    <row r="262" spans="1:4" x14ac:dyDescent="0.3">
      <c r="A262" s="83" t="s">
        <v>25</v>
      </c>
      <c r="B262" s="83"/>
      <c r="C262" s="16">
        <v>46152</v>
      </c>
      <c r="D262" s="82">
        <v>114.3</v>
      </c>
    </row>
    <row r="263" spans="1:4" x14ac:dyDescent="0.3">
      <c r="A263" s="83" t="s">
        <v>26</v>
      </c>
      <c r="B263" s="83"/>
      <c r="C263" s="16">
        <v>46152</v>
      </c>
      <c r="D263" s="82">
        <v>2267.7200000000003</v>
      </c>
    </row>
    <row r="264" spans="1:4" x14ac:dyDescent="0.3">
      <c r="A264" s="83" t="s">
        <v>27</v>
      </c>
      <c r="B264" s="83"/>
      <c r="C264" s="16">
        <v>46152</v>
      </c>
      <c r="D264" s="82">
        <v>3349.94</v>
      </c>
    </row>
    <row r="265" spans="1:4" x14ac:dyDescent="0.3">
      <c r="A265" s="83" t="s">
        <v>28</v>
      </c>
      <c r="B265" s="83"/>
      <c r="C265" s="16">
        <v>46152</v>
      </c>
      <c r="D265" s="82">
        <v>1968.99</v>
      </c>
    </row>
    <row r="266" spans="1:4" x14ac:dyDescent="0.3">
      <c r="A266" s="83" t="s">
        <v>29</v>
      </c>
      <c r="B266" s="83"/>
      <c r="C266" s="16">
        <v>46152</v>
      </c>
      <c r="D266" s="82">
        <v>901.34</v>
      </c>
    </row>
    <row r="267" spans="1:4" x14ac:dyDescent="0.3">
      <c r="A267" s="83" t="s">
        <v>30</v>
      </c>
      <c r="B267" s="83"/>
      <c r="C267" s="16">
        <v>46152</v>
      </c>
      <c r="D267" s="82">
        <v>1444.08</v>
      </c>
    </row>
    <row r="268" spans="1:4" x14ac:dyDescent="0.3">
      <c r="A268" s="83" t="s">
        <v>31</v>
      </c>
      <c r="B268" s="83"/>
      <c r="C268" s="16">
        <v>46152</v>
      </c>
      <c r="D268" s="82">
        <v>20592.599999999962</v>
      </c>
    </row>
    <row r="269" spans="1:4" x14ac:dyDescent="0.3">
      <c r="A269" s="83" t="s">
        <v>32</v>
      </c>
      <c r="B269" s="83"/>
      <c r="C269" s="16">
        <v>46152</v>
      </c>
      <c r="D269" s="82">
        <v>15120.060000000001</v>
      </c>
    </row>
    <row r="270" spans="1:4" x14ac:dyDescent="0.3">
      <c r="A270" s="83" t="s">
        <v>33</v>
      </c>
      <c r="B270" s="83"/>
      <c r="C270" s="16">
        <v>46152</v>
      </c>
      <c r="D270" s="82">
        <v>31323.39</v>
      </c>
    </row>
    <row r="271" spans="1:4" x14ac:dyDescent="0.3">
      <c r="A271" s="83" t="s">
        <v>34</v>
      </c>
      <c r="B271" s="83"/>
      <c r="C271" s="16">
        <v>46152</v>
      </c>
      <c r="D271" s="82">
        <v>345</v>
      </c>
    </row>
    <row r="272" spans="1:4" x14ac:dyDescent="0.3">
      <c r="A272" s="83" t="s">
        <v>35</v>
      </c>
      <c r="B272" s="83"/>
      <c r="C272" s="16">
        <v>46152</v>
      </c>
      <c r="D272" s="82">
        <v>23782.25</v>
      </c>
    </row>
    <row r="273" spans="1:4" x14ac:dyDescent="0.3">
      <c r="A273" s="83" t="s">
        <v>193</v>
      </c>
      <c r="B273" s="83"/>
      <c r="C273" s="16">
        <v>46152</v>
      </c>
      <c r="D273" s="82">
        <v>0</v>
      </c>
    </row>
    <row r="274" spans="1:4" x14ac:dyDescent="0.3">
      <c r="A274" s="83" t="s">
        <v>214</v>
      </c>
      <c r="B274" s="83"/>
      <c r="C274" s="16">
        <v>46152</v>
      </c>
      <c r="D274" s="82">
        <v>0</v>
      </c>
    </row>
    <row r="275" spans="1:4" x14ac:dyDescent="0.3">
      <c r="A275" s="83" t="s">
        <v>194</v>
      </c>
      <c r="B275" s="83"/>
      <c r="C275" s="16">
        <v>46152</v>
      </c>
      <c r="D275" s="82">
        <v>0</v>
      </c>
    </row>
    <row r="276" spans="1:4" x14ac:dyDescent="0.3">
      <c r="A276" s="83" t="s">
        <v>195</v>
      </c>
      <c r="B276" s="83"/>
      <c r="C276" s="16">
        <v>46152</v>
      </c>
      <c r="D276" s="82">
        <v>0</v>
      </c>
    </row>
    <row r="277" spans="1:4" x14ac:dyDescent="0.3">
      <c r="A277" s="83" t="s">
        <v>196</v>
      </c>
      <c r="B277" s="83"/>
      <c r="C277" s="16">
        <v>46152</v>
      </c>
      <c r="D277" s="82">
        <v>0</v>
      </c>
    </row>
    <row r="278" spans="1:4" x14ac:dyDescent="0.3">
      <c r="A278" s="83" t="s">
        <v>197</v>
      </c>
      <c r="B278" s="83"/>
      <c r="C278" s="16">
        <v>46152</v>
      </c>
      <c r="D278" s="82">
        <v>0</v>
      </c>
    </row>
    <row r="279" spans="1:4" x14ac:dyDescent="0.3">
      <c r="A279" s="83" t="s">
        <v>212</v>
      </c>
      <c r="B279" s="83"/>
      <c r="C279" s="16">
        <v>46152</v>
      </c>
      <c r="D279" s="82">
        <v>0</v>
      </c>
    </row>
    <row r="280" spans="1:4" x14ac:dyDescent="0.3">
      <c r="A280" s="83" t="s">
        <v>199</v>
      </c>
      <c r="B280" s="83"/>
      <c r="C280" s="16">
        <v>46152</v>
      </c>
      <c r="D280" s="82">
        <v>0</v>
      </c>
    </row>
    <row r="281" spans="1:4" x14ac:dyDescent="0.3">
      <c r="A281" s="83" t="s">
        <v>216</v>
      </c>
      <c r="B281" s="83"/>
      <c r="C281" s="16">
        <v>46152</v>
      </c>
      <c r="D281" s="82">
        <v>0</v>
      </c>
    </row>
    <row r="282" spans="1:4" x14ac:dyDescent="0.3">
      <c r="A282" s="83" t="s">
        <v>17</v>
      </c>
      <c r="B282" s="83"/>
      <c r="C282" s="16">
        <v>46153</v>
      </c>
      <c r="D282" s="82">
        <v>512927.75000000023</v>
      </c>
    </row>
    <row r="283" spans="1:4" x14ac:dyDescent="0.3">
      <c r="A283" s="83" t="s">
        <v>18</v>
      </c>
      <c r="B283" s="83"/>
      <c r="C283" s="16">
        <v>46153</v>
      </c>
      <c r="D283" s="82">
        <v>58840.089999999938</v>
      </c>
    </row>
    <row r="284" spans="1:4" x14ac:dyDescent="0.3">
      <c r="A284" s="83" t="s">
        <v>19</v>
      </c>
      <c r="B284" s="83"/>
      <c r="C284" s="16">
        <v>46153</v>
      </c>
      <c r="D284" s="82">
        <v>1669.89</v>
      </c>
    </row>
    <row r="285" spans="1:4" x14ac:dyDescent="0.3">
      <c r="A285" s="83" t="s">
        <v>20</v>
      </c>
      <c r="B285" s="83"/>
      <c r="C285" s="16">
        <v>46153</v>
      </c>
      <c r="D285" s="82">
        <v>1368366.5</v>
      </c>
    </row>
    <row r="286" spans="1:4" x14ac:dyDescent="0.3">
      <c r="A286" s="83" t="s">
        <v>21</v>
      </c>
      <c r="B286" s="83"/>
      <c r="C286" s="16">
        <v>46153</v>
      </c>
      <c r="D286" s="82">
        <v>1162513.7699999993</v>
      </c>
    </row>
    <row r="287" spans="1:4" x14ac:dyDescent="0.3">
      <c r="A287" s="83" t="s">
        <v>22</v>
      </c>
      <c r="B287" s="83"/>
      <c r="C287" s="16">
        <v>46153</v>
      </c>
      <c r="D287" s="82">
        <v>121511.38</v>
      </c>
    </row>
    <row r="288" spans="1:4" x14ac:dyDescent="0.3">
      <c r="A288" s="83" t="s">
        <v>23</v>
      </c>
      <c r="B288" s="83"/>
      <c r="C288" s="16">
        <v>46153</v>
      </c>
      <c r="D288" s="82">
        <v>13088.589999999997</v>
      </c>
    </row>
    <row r="289" spans="1:4" x14ac:dyDescent="0.3">
      <c r="A289" s="83" t="s">
        <v>24</v>
      </c>
      <c r="B289" s="83"/>
      <c r="C289" s="16">
        <v>46153</v>
      </c>
      <c r="D289" s="82">
        <v>3768.83</v>
      </c>
    </row>
    <row r="290" spans="1:4" x14ac:dyDescent="0.3">
      <c r="A290" s="83" t="s">
        <v>25</v>
      </c>
      <c r="B290" s="83"/>
      <c r="C290" s="16">
        <v>46153</v>
      </c>
      <c r="D290" s="82">
        <v>114.3</v>
      </c>
    </row>
    <row r="291" spans="1:4" x14ac:dyDescent="0.3">
      <c r="A291" s="83" t="s">
        <v>26</v>
      </c>
      <c r="B291" s="83"/>
      <c r="C291" s="16">
        <v>46153</v>
      </c>
      <c r="D291" s="82">
        <v>2267.7200000000003</v>
      </c>
    </row>
    <row r="292" spans="1:4" x14ac:dyDescent="0.3">
      <c r="A292" s="83" t="s">
        <v>27</v>
      </c>
      <c r="B292" s="83"/>
      <c r="C292" s="16">
        <v>46153</v>
      </c>
      <c r="D292" s="82">
        <v>3349.94</v>
      </c>
    </row>
    <row r="293" spans="1:4" x14ac:dyDescent="0.3">
      <c r="A293" s="83" t="s">
        <v>28</v>
      </c>
      <c r="B293" s="83"/>
      <c r="C293" s="16">
        <v>46153</v>
      </c>
      <c r="D293" s="82">
        <v>1968.99</v>
      </c>
    </row>
    <row r="294" spans="1:4" x14ac:dyDescent="0.3">
      <c r="A294" s="83" t="s">
        <v>29</v>
      </c>
      <c r="B294" s="83"/>
      <c r="C294" s="16">
        <v>46153</v>
      </c>
      <c r="D294" s="82">
        <v>901.34</v>
      </c>
    </row>
    <row r="295" spans="1:4" x14ac:dyDescent="0.3">
      <c r="A295" s="83" t="s">
        <v>30</v>
      </c>
      <c r="B295" s="83"/>
      <c r="C295" s="16">
        <v>46153</v>
      </c>
      <c r="D295" s="82">
        <v>1444.08</v>
      </c>
    </row>
    <row r="296" spans="1:4" x14ac:dyDescent="0.3">
      <c r="A296" s="83" t="s">
        <v>31</v>
      </c>
      <c r="B296" s="83"/>
      <c r="C296" s="16">
        <v>46153</v>
      </c>
      <c r="D296" s="82">
        <v>19092.599999999962</v>
      </c>
    </row>
    <row r="297" spans="1:4" x14ac:dyDescent="0.3">
      <c r="A297" s="83" t="s">
        <v>32</v>
      </c>
      <c r="B297" s="83"/>
      <c r="C297" s="16">
        <v>46153</v>
      </c>
      <c r="D297" s="82">
        <v>15120.060000000001</v>
      </c>
    </row>
    <row r="298" spans="1:4" x14ac:dyDescent="0.3">
      <c r="A298" s="83" t="s">
        <v>33</v>
      </c>
      <c r="B298" s="83"/>
      <c r="C298" s="16">
        <v>46153</v>
      </c>
      <c r="D298" s="82">
        <v>31323.39</v>
      </c>
    </row>
    <row r="299" spans="1:4" x14ac:dyDescent="0.3">
      <c r="A299" s="83" t="s">
        <v>34</v>
      </c>
      <c r="B299" s="83"/>
      <c r="C299" s="16">
        <v>46153</v>
      </c>
      <c r="D299" s="82">
        <v>345</v>
      </c>
    </row>
    <row r="300" spans="1:4" x14ac:dyDescent="0.3">
      <c r="A300" s="83" t="s">
        <v>35</v>
      </c>
      <c r="B300" s="83"/>
      <c r="C300" s="16">
        <v>46153</v>
      </c>
      <c r="D300" s="82">
        <v>16956.59</v>
      </c>
    </row>
    <row r="301" spans="1:4" x14ac:dyDescent="0.3">
      <c r="A301" s="83" t="s">
        <v>193</v>
      </c>
      <c r="B301" s="83"/>
      <c r="C301" s="16">
        <v>46153</v>
      </c>
      <c r="D301" s="82">
        <v>0</v>
      </c>
    </row>
    <row r="302" spans="1:4" x14ac:dyDescent="0.3">
      <c r="A302" s="83" t="s">
        <v>214</v>
      </c>
      <c r="B302" s="83"/>
      <c r="C302" s="16">
        <v>46153</v>
      </c>
      <c r="D302" s="82">
        <v>0</v>
      </c>
    </row>
    <row r="303" spans="1:4" x14ac:dyDescent="0.3">
      <c r="A303" s="83" t="s">
        <v>194</v>
      </c>
      <c r="B303" s="83"/>
      <c r="C303" s="16">
        <v>46153</v>
      </c>
      <c r="D303" s="82">
        <v>0</v>
      </c>
    </row>
    <row r="304" spans="1:4" x14ac:dyDescent="0.3">
      <c r="A304" s="83" t="s">
        <v>195</v>
      </c>
      <c r="B304" s="83"/>
      <c r="C304" s="16">
        <v>46153</v>
      </c>
      <c r="D304" s="82">
        <v>0</v>
      </c>
    </row>
    <row r="305" spans="1:4" x14ac:dyDescent="0.3">
      <c r="A305" s="83" t="s">
        <v>196</v>
      </c>
      <c r="B305" s="83"/>
      <c r="C305" s="16">
        <v>46153</v>
      </c>
      <c r="D305" s="82">
        <v>0</v>
      </c>
    </row>
    <row r="306" spans="1:4" x14ac:dyDescent="0.3">
      <c r="A306" s="83" t="s">
        <v>197</v>
      </c>
      <c r="B306" s="83"/>
      <c r="C306" s="16">
        <v>46153</v>
      </c>
      <c r="D306" s="82">
        <v>0</v>
      </c>
    </row>
    <row r="307" spans="1:4" x14ac:dyDescent="0.3">
      <c r="A307" s="83" t="s">
        <v>212</v>
      </c>
      <c r="B307" s="83"/>
      <c r="C307" s="16">
        <v>46153</v>
      </c>
      <c r="D307" s="82">
        <v>0</v>
      </c>
    </row>
    <row r="308" spans="1:4" x14ac:dyDescent="0.3">
      <c r="A308" s="83" t="s">
        <v>199</v>
      </c>
      <c r="B308" s="83"/>
      <c r="C308" s="16">
        <v>46153</v>
      </c>
      <c r="D308" s="82">
        <v>0</v>
      </c>
    </row>
    <row r="309" spans="1:4" x14ac:dyDescent="0.3">
      <c r="A309" s="83" t="s">
        <v>216</v>
      </c>
      <c r="B309" s="83"/>
      <c r="C309" s="16">
        <v>46153</v>
      </c>
      <c r="D309" s="82">
        <v>0</v>
      </c>
    </row>
    <row r="310" spans="1:4" x14ac:dyDescent="0.3">
      <c r="A310" s="83" t="s">
        <v>17</v>
      </c>
      <c r="B310" s="83"/>
      <c r="C310" s="16">
        <v>46154</v>
      </c>
      <c r="D310" s="82">
        <v>606714.4700000002</v>
      </c>
    </row>
    <row r="311" spans="1:4" x14ac:dyDescent="0.3">
      <c r="A311" s="83" t="s">
        <v>18</v>
      </c>
      <c r="B311" s="83"/>
      <c r="C311" s="16">
        <v>46154</v>
      </c>
      <c r="D311" s="82">
        <v>58840.089999999938</v>
      </c>
    </row>
    <row r="312" spans="1:4" x14ac:dyDescent="0.3">
      <c r="A312" s="83" t="s">
        <v>19</v>
      </c>
      <c r="B312" s="83"/>
      <c r="C312" s="16">
        <v>46154</v>
      </c>
      <c r="D312" s="82">
        <v>1669.89</v>
      </c>
    </row>
    <row r="313" spans="1:4" x14ac:dyDescent="0.3">
      <c r="A313" s="83" t="s">
        <v>20</v>
      </c>
      <c r="B313" s="83"/>
      <c r="C313" s="16">
        <v>46154</v>
      </c>
      <c r="D313" s="82">
        <v>1226185.8999999999</v>
      </c>
    </row>
    <row r="314" spans="1:4" x14ac:dyDescent="0.3">
      <c r="A314" s="83" t="s">
        <v>21</v>
      </c>
      <c r="B314" s="83"/>
      <c r="C314" s="16">
        <v>46154</v>
      </c>
      <c r="D314" s="82">
        <v>1162404.8599999992</v>
      </c>
    </row>
    <row r="315" spans="1:4" x14ac:dyDescent="0.3">
      <c r="A315" s="83" t="s">
        <v>22</v>
      </c>
      <c r="B315" s="83"/>
      <c r="C315" s="16">
        <v>46154</v>
      </c>
      <c r="D315" s="82">
        <v>121511.38</v>
      </c>
    </row>
    <row r="316" spans="1:4" x14ac:dyDescent="0.3">
      <c r="A316" s="83" t="s">
        <v>23</v>
      </c>
      <c r="B316" s="83"/>
      <c r="C316" s="16">
        <v>46154</v>
      </c>
      <c r="D316" s="82">
        <v>13088.589999999997</v>
      </c>
    </row>
    <row r="317" spans="1:4" x14ac:dyDescent="0.3">
      <c r="A317" s="83" t="s">
        <v>24</v>
      </c>
      <c r="B317" s="83"/>
      <c r="C317" s="16">
        <v>46154</v>
      </c>
      <c r="D317" s="82">
        <v>3768.83</v>
      </c>
    </row>
    <row r="318" spans="1:4" x14ac:dyDescent="0.3">
      <c r="A318" s="83" t="s">
        <v>25</v>
      </c>
      <c r="B318" s="83"/>
      <c r="C318" s="16">
        <v>46154</v>
      </c>
      <c r="D318" s="82">
        <v>114.3</v>
      </c>
    </row>
    <row r="319" spans="1:4" x14ac:dyDescent="0.3">
      <c r="A319" s="83" t="s">
        <v>26</v>
      </c>
      <c r="B319" s="83"/>
      <c r="C319" s="16">
        <v>46154</v>
      </c>
      <c r="D319" s="82">
        <v>2267.7200000000003</v>
      </c>
    </row>
    <row r="320" spans="1:4" x14ac:dyDescent="0.3">
      <c r="A320" s="83" t="s">
        <v>27</v>
      </c>
      <c r="B320" s="83"/>
      <c r="C320" s="16">
        <v>46154</v>
      </c>
      <c r="D320" s="82">
        <v>3349.94</v>
      </c>
    </row>
    <row r="321" spans="1:4" x14ac:dyDescent="0.3">
      <c r="A321" s="83" t="s">
        <v>28</v>
      </c>
      <c r="B321" s="83"/>
      <c r="C321" s="16">
        <v>46154</v>
      </c>
      <c r="D321" s="82">
        <v>1968.99</v>
      </c>
    </row>
    <row r="322" spans="1:4" x14ac:dyDescent="0.3">
      <c r="A322" s="83" t="s">
        <v>29</v>
      </c>
      <c r="B322" s="83"/>
      <c r="C322" s="16">
        <v>46154</v>
      </c>
      <c r="D322" s="82">
        <v>901.34</v>
      </c>
    </row>
    <row r="323" spans="1:4" x14ac:dyDescent="0.3">
      <c r="A323" s="83" t="s">
        <v>30</v>
      </c>
      <c r="B323" s="83"/>
      <c r="C323" s="16">
        <v>46154</v>
      </c>
      <c r="D323" s="82">
        <v>1444.08</v>
      </c>
    </row>
    <row r="324" spans="1:4" x14ac:dyDescent="0.3">
      <c r="A324" s="83" t="s">
        <v>31</v>
      </c>
      <c r="B324" s="83"/>
      <c r="C324" s="16">
        <v>46154</v>
      </c>
      <c r="D324" s="82">
        <v>19092.599999999962</v>
      </c>
    </row>
    <row r="325" spans="1:4" x14ac:dyDescent="0.3">
      <c r="A325" s="83" t="s">
        <v>32</v>
      </c>
      <c r="B325" s="83"/>
      <c r="C325" s="16">
        <v>46154</v>
      </c>
      <c r="D325" s="82">
        <v>15120.060000000001</v>
      </c>
    </row>
    <row r="326" spans="1:4" x14ac:dyDescent="0.3">
      <c r="A326" s="83" t="s">
        <v>33</v>
      </c>
      <c r="B326" s="83"/>
      <c r="C326" s="16">
        <v>46154</v>
      </c>
      <c r="D326" s="82">
        <v>31323.39</v>
      </c>
    </row>
    <row r="327" spans="1:4" x14ac:dyDescent="0.3">
      <c r="A327" s="83" t="s">
        <v>34</v>
      </c>
      <c r="B327" s="83"/>
      <c r="C327" s="16">
        <v>46154</v>
      </c>
      <c r="D327" s="82">
        <v>345</v>
      </c>
    </row>
    <row r="328" spans="1:4" x14ac:dyDescent="0.3">
      <c r="A328" s="83" t="s">
        <v>35</v>
      </c>
      <c r="B328" s="83"/>
      <c r="C328" s="16">
        <v>46154</v>
      </c>
      <c r="D328" s="82">
        <v>16741.59</v>
      </c>
    </row>
    <row r="329" spans="1:4" x14ac:dyDescent="0.3">
      <c r="A329" s="83" t="s">
        <v>193</v>
      </c>
      <c r="B329" s="83"/>
      <c r="C329" s="16">
        <v>46154</v>
      </c>
      <c r="D329" s="82">
        <v>0</v>
      </c>
    </row>
    <row r="330" spans="1:4" x14ac:dyDescent="0.3">
      <c r="A330" s="83" t="s">
        <v>214</v>
      </c>
      <c r="B330" s="83"/>
      <c r="C330" s="16">
        <v>46154</v>
      </c>
      <c r="D330" s="82">
        <v>0</v>
      </c>
    </row>
    <row r="331" spans="1:4" x14ac:dyDescent="0.3">
      <c r="A331" s="83" t="s">
        <v>194</v>
      </c>
      <c r="B331" s="83"/>
      <c r="C331" s="16">
        <v>46154</v>
      </c>
      <c r="D331" s="82">
        <v>0</v>
      </c>
    </row>
    <row r="332" spans="1:4" x14ac:dyDescent="0.3">
      <c r="A332" s="83" t="s">
        <v>195</v>
      </c>
      <c r="B332" s="83"/>
      <c r="C332" s="16">
        <v>46154</v>
      </c>
      <c r="D332" s="82">
        <v>0</v>
      </c>
    </row>
    <row r="333" spans="1:4" x14ac:dyDescent="0.3">
      <c r="A333" s="83" t="s">
        <v>196</v>
      </c>
      <c r="B333" s="83"/>
      <c r="C333" s="16">
        <v>46154</v>
      </c>
      <c r="D333" s="82">
        <v>0</v>
      </c>
    </row>
    <row r="334" spans="1:4" x14ac:dyDescent="0.3">
      <c r="A334" s="83" t="s">
        <v>197</v>
      </c>
      <c r="B334" s="83"/>
      <c r="C334" s="16">
        <v>46154</v>
      </c>
      <c r="D334" s="82">
        <v>0</v>
      </c>
    </row>
    <row r="335" spans="1:4" x14ac:dyDescent="0.3">
      <c r="A335" s="83" t="s">
        <v>212</v>
      </c>
      <c r="B335" s="83"/>
      <c r="C335" s="16">
        <v>46154</v>
      </c>
      <c r="D335" s="82">
        <v>0</v>
      </c>
    </row>
    <row r="336" spans="1:4" x14ac:dyDescent="0.3">
      <c r="A336" s="83" t="s">
        <v>199</v>
      </c>
      <c r="B336" s="83"/>
      <c r="C336" s="16">
        <v>46154</v>
      </c>
      <c r="D336" s="82">
        <v>0</v>
      </c>
    </row>
    <row r="337" spans="1:4" x14ac:dyDescent="0.3">
      <c r="A337" s="83" t="s">
        <v>216</v>
      </c>
      <c r="B337" s="83"/>
      <c r="C337" s="16">
        <v>46154</v>
      </c>
      <c r="D337" s="82">
        <v>0</v>
      </c>
    </row>
    <row r="338" spans="1:4" x14ac:dyDescent="0.3">
      <c r="A338" s="83" t="s">
        <v>17</v>
      </c>
      <c r="B338" s="83"/>
      <c r="C338" s="16">
        <v>46155</v>
      </c>
      <c r="D338" s="82">
        <v>606714.4700000002</v>
      </c>
    </row>
    <row r="339" spans="1:4" x14ac:dyDescent="0.3">
      <c r="A339" s="83" t="s">
        <v>18</v>
      </c>
      <c r="B339" s="83"/>
      <c r="C339" s="16">
        <v>46155</v>
      </c>
      <c r="D339" s="82">
        <v>58840.089999999938</v>
      </c>
    </row>
    <row r="340" spans="1:4" x14ac:dyDescent="0.3">
      <c r="A340" s="83" t="s">
        <v>19</v>
      </c>
      <c r="B340" s="83"/>
      <c r="C340" s="16">
        <v>46155</v>
      </c>
      <c r="D340" s="82">
        <v>1669.89</v>
      </c>
    </row>
    <row r="341" spans="1:4" x14ac:dyDescent="0.3">
      <c r="A341" s="83" t="s">
        <v>20</v>
      </c>
      <c r="B341" s="83"/>
      <c r="C341" s="16">
        <v>46155</v>
      </c>
      <c r="D341" s="82">
        <v>1242679.67</v>
      </c>
    </row>
    <row r="342" spans="1:4" x14ac:dyDescent="0.3">
      <c r="A342" s="83" t="s">
        <v>21</v>
      </c>
      <c r="B342" s="83"/>
      <c r="C342" s="16">
        <v>46155</v>
      </c>
      <c r="D342" s="82">
        <v>1162404.8599999992</v>
      </c>
    </row>
    <row r="343" spans="1:4" x14ac:dyDescent="0.3">
      <c r="A343" s="83" t="s">
        <v>22</v>
      </c>
      <c r="B343" s="83"/>
      <c r="C343" s="16">
        <v>46155</v>
      </c>
      <c r="D343" s="82">
        <v>121511.38</v>
      </c>
    </row>
    <row r="344" spans="1:4" x14ac:dyDescent="0.3">
      <c r="A344" s="83" t="s">
        <v>23</v>
      </c>
      <c r="B344" s="83"/>
      <c r="C344" s="16">
        <v>46155</v>
      </c>
      <c r="D344" s="82">
        <v>13090.369999999997</v>
      </c>
    </row>
    <row r="345" spans="1:4" x14ac:dyDescent="0.3">
      <c r="A345" s="83" t="s">
        <v>24</v>
      </c>
      <c r="B345" s="83"/>
      <c r="C345" s="16">
        <v>46155</v>
      </c>
      <c r="D345" s="82">
        <v>2498.3999999999996</v>
      </c>
    </row>
    <row r="346" spans="1:4" x14ac:dyDescent="0.3">
      <c r="A346" s="83" t="s">
        <v>25</v>
      </c>
      <c r="B346" s="83"/>
      <c r="C346" s="16">
        <v>46155</v>
      </c>
      <c r="D346" s="82">
        <v>114.3</v>
      </c>
    </row>
    <row r="347" spans="1:4" x14ac:dyDescent="0.3">
      <c r="A347" s="83" t="s">
        <v>26</v>
      </c>
      <c r="B347" s="83"/>
      <c r="C347" s="16">
        <v>46155</v>
      </c>
      <c r="D347" s="82">
        <v>2267.7200000000003</v>
      </c>
    </row>
    <row r="348" spans="1:4" x14ac:dyDescent="0.3">
      <c r="A348" s="83" t="s">
        <v>27</v>
      </c>
      <c r="B348" s="83"/>
      <c r="C348" s="16">
        <v>46155</v>
      </c>
      <c r="D348" s="82">
        <v>3349.94</v>
      </c>
    </row>
    <row r="349" spans="1:4" x14ac:dyDescent="0.3">
      <c r="A349" s="83" t="s">
        <v>28</v>
      </c>
      <c r="B349" s="83"/>
      <c r="C349" s="16">
        <v>46155</v>
      </c>
      <c r="D349" s="82">
        <v>1968.99</v>
      </c>
    </row>
    <row r="350" spans="1:4" x14ac:dyDescent="0.3">
      <c r="A350" s="83" t="s">
        <v>29</v>
      </c>
      <c r="B350" s="83"/>
      <c r="C350" s="16">
        <v>46155</v>
      </c>
      <c r="D350" s="82">
        <v>901.34</v>
      </c>
    </row>
    <row r="351" spans="1:4" x14ac:dyDescent="0.3">
      <c r="A351" s="83" t="s">
        <v>30</v>
      </c>
      <c r="B351" s="83"/>
      <c r="C351" s="16">
        <v>46155</v>
      </c>
      <c r="D351" s="82">
        <v>1444.08</v>
      </c>
    </row>
    <row r="352" spans="1:4" x14ac:dyDescent="0.3">
      <c r="A352" s="83" t="s">
        <v>31</v>
      </c>
      <c r="B352" s="83"/>
      <c r="C352" s="16">
        <v>46155</v>
      </c>
      <c r="D352" s="82">
        <v>18242.599999999962</v>
      </c>
    </row>
    <row r="353" spans="1:4" x14ac:dyDescent="0.3">
      <c r="A353" s="83" t="s">
        <v>32</v>
      </c>
      <c r="B353" s="83"/>
      <c r="C353" s="16">
        <v>46155</v>
      </c>
      <c r="D353" s="82">
        <v>15120.060000000001</v>
      </c>
    </row>
    <row r="354" spans="1:4" x14ac:dyDescent="0.3">
      <c r="A354" s="83" t="s">
        <v>33</v>
      </c>
      <c r="B354" s="83"/>
      <c r="C354" s="16">
        <v>46155</v>
      </c>
      <c r="D354" s="82">
        <v>31323.39</v>
      </c>
    </row>
    <row r="355" spans="1:4" x14ac:dyDescent="0.3">
      <c r="A355" s="83" t="s">
        <v>34</v>
      </c>
      <c r="B355" s="83"/>
      <c r="C355" s="16">
        <v>46155</v>
      </c>
      <c r="D355" s="82">
        <v>345</v>
      </c>
    </row>
    <row r="356" spans="1:4" x14ac:dyDescent="0.3">
      <c r="A356" s="83" t="s">
        <v>35</v>
      </c>
      <c r="B356" s="83"/>
      <c r="C356" s="16">
        <v>46155</v>
      </c>
      <c r="D356" s="82">
        <v>16741.59</v>
      </c>
    </row>
    <row r="357" spans="1:4" x14ac:dyDescent="0.3">
      <c r="A357" s="83" t="s">
        <v>193</v>
      </c>
      <c r="B357" s="83"/>
      <c r="C357" s="16">
        <v>46155</v>
      </c>
      <c r="D357" s="82">
        <v>0</v>
      </c>
    </row>
    <row r="358" spans="1:4" x14ac:dyDescent="0.3">
      <c r="A358" s="83" t="s">
        <v>214</v>
      </c>
      <c r="B358" s="83"/>
      <c r="C358" s="16">
        <v>46155</v>
      </c>
      <c r="D358" s="82">
        <v>0</v>
      </c>
    </row>
    <row r="359" spans="1:4" x14ac:dyDescent="0.3">
      <c r="A359" s="83" t="s">
        <v>194</v>
      </c>
      <c r="B359" s="83"/>
      <c r="C359" s="16">
        <v>46155</v>
      </c>
      <c r="D359" s="82">
        <v>0</v>
      </c>
    </row>
    <row r="360" spans="1:4" x14ac:dyDescent="0.3">
      <c r="A360" s="83" t="s">
        <v>195</v>
      </c>
      <c r="B360" s="83"/>
      <c r="C360" s="16">
        <v>46155</v>
      </c>
      <c r="D360" s="82">
        <v>0</v>
      </c>
    </row>
    <row r="361" spans="1:4" x14ac:dyDescent="0.3">
      <c r="A361" s="83" t="s">
        <v>196</v>
      </c>
      <c r="B361" s="83"/>
      <c r="C361" s="16">
        <v>46155</v>
      </c>
      <c r="D361" s="82">
        <v>0</v>
      </c>
    </row>
    <row r="362" spans="1:4" x14ac:dyDescent="0.3">
      <c r="A362" s="83" t="s">
        <v>197</v>
      </c>
      <c r="B362" s="83"/>
      <c r="C362" s="16">
        <v>46155</v>
      </c>
      <c r="D362" s="82">
        <v>0</v>
      </c>
    </row>
    <row r="363" spans="1:4" x14ac:dyDescent="0.3">
      <c r="A363" s="83" t="s">
        <v>212</v>
      </c>
      <c r="B363" s="83"/>
      <c r="C363" s="16">
        <v>46155</v>
      </c>
      <c r="D363" s="82">
        <v>0</v>
      </c>
    </row>
    <row r="364" spans="1:4" x14ac:dyDescent="0.3">
      <c r="A364" s="83" t="s">
        <v>199</v>
      </c>
      <c r="B364" s="83"/>
      <c r="C364" s="16">
        <v>46155</v>
      </c>
      <c r="D364" s="82">
        <v>0</v>
      </c>
    </row>
    <row r="365" spans="1:4" x14ac:dyDescent="0.3">
      <c r="A365" s="83" t="s">
        <v>216</v>
      </c>
      <c r="B365" s="83"/>
      <c r="C365" s="16">
        <v>46155</v>
      </c>
      <c r="D365" s="82">
        <v>0</v>
      </c>
    </row>
    <row r="366" spans="1:4" x14ac:dyDescent="0.3">
      <c r="A366" s="83" t="s">
        <v>17</v>
      </c>
      <c r="B366" s="83"/>
      <c r="C366" s="16">
        <v>46156</v>
      </c>
      <c r="D366" s="82">
        <v>165752.81000000023</v>
      </c>
    </row>
    <row r="367" spans="1:4" x14ac:dyDescent="0.3">
      <c r="A367" s="83" t="s">
        <v>18</v>
      </c>
      <c r="B367" s="83"/>
      <c r="C367" s="16">
        <v>46156</v>
      </c>
      <c r="D367" s="82">
        <v>59760.159999999938</v>
      </c>
    </row>
    <row r="368" spans="1:4" x14ac:dyDescent="0.3">
      <c r="A368" s="83" t="s">
        <v>19</v>
      </c>
      <c r="B368" s="83"/>
      <c r="C368" s="16">
        <v>46156</v>
      </c>
      <c r="D368" s="82">
        <v>1669.89</v>
      </c>
    </row>
    <row r="369" spans="1:4" x14ac:dyDescent="0.3">
      <c r="A369" s="83" t="s">
        <v>20</v>
      </c>
      <c r="B369" s="83"/>
      <c r="C369" s="16">
        <v>46156</v>
      </c>
      <c r="D369" s="82">
        <v>832679.66999999981</v>
      </c>
    </row>
    <row r="370" spans="1:4" x14ac:dyDescent="0.3">
      <c r="A370" s="83" t="s">
        <v>21</v>
      </c>
      <c r="B370" s="83"/>
      <c r="C370" s="16">
        <v>46156</v>
      </c>
      <c r="D370" s="82">
        <v>952193.18999999925</v>
      </c>
    </row>
    <row r="371" spans="1:4" x14ac:dyDescent="0.3">
      <c r="A371" s="83" t="s">
        <v>22</v>
      </c>
      <c r="B371" s="83"/>
      <c r="C371" s="16">
        <v>46156</v>
      </c>
      <c r="D371" s="82">
        <v>121511.38</v>
      </c>
    </row>
    <row r="372" spans="1:4" x14ac:dyDescent="0.3">
      <c r="A372" s="83" t="s">
        <v>23</v>
      </c>
      <c r="B372" s="83"/>
      <c r="C372" s="16">
        <v>46156</v>
      </c>
      <c r="D372" s="82">
        <v>13090.369999999997</v>
      </c>
    </row>
    <row r="373" spans="1:4" x14ac:dyDescent="0.3">
      <c r="A373" s="83" t="s">
        <v>24</v>
      </c>
      <c r="B373" s="83"/>
      <c r="C373" s="16">
        <v>46156</v>
      </c>
      <c r="D373" s="82">
        <v>2498.3999999999996</v>
      </c>
    </row>
    <row r="374" spans="1:4" x14ac:dyDescent="0.3">
      <c r="A374" s="83" t="s">
        <v>25</v>
      </c>
      <c r="B374" s="83"/>
      <c r="C374" s="16">
        <v>46156</v>
      </c>
      <c r="D374" s="82">
        <v>114.3</v>
      </c>
    </row>
    <row r="375" spans="1:4" x14ac:dyDescent="0.3">
      <c r="A375" s="83" t="s">
        <v>26</v>
      </c>
      <c r="B375" s="83"/>
      <c r="C375" s="16">
        <v>46156</v>
      </c>
      <c r="D375" s="82">
        <v>2267.7200000000003</v>
      </c>
    </row>
    <row r="376" spans="1:4" x14ac:dyDescent="0.3">
      <c r="A376" s="83" t="s">
        <v>27</v>
      </c>
      <c r="B376" s="83"/>
      <c r="C376" s="16">
        <v>46156</v>
      </c>
      <c r="D376" s="82">
        <v>3349.94</v>
      </c>
    </row>
    <row r="377" spans="1:4" x14ac:dyDescent="0.3">
      <c r="A377" s="83" t="s">
        <v>28</v>
      </c>
      <c r="B377" s="83"/>
      <c r="C377" s="16">
        <v>46156</v>
      </c>
      <c r="D377" s="82">
        <v>1968.99</v>
      </c>
    </row>
    <row r="378" spans="1:4" x14ac:dyDescent="0.3">
      <c r="A378" s="83" t="s">
        <v>29</v>
      </c>
      <c r="B378" s="83"/>
      <c r="C378" s="16">
        <v>46156</v>
      </c>
      <c r="D378" s="82">
        <v>901.34</v>
      </c>
    </row>
    <row r="379" spans="1:4" x14ac:dyDescent="0.3">
      <c r="A379" s="83" t="s">
        <v>30</v>
      </c>
      <c r="B379" s="83"/>
      <c r="C379" s="16">
        <v>46156</v>
      </c>
      <c r="D379" s="82">
        <v>1444.08</v>
      </c>
    </row>
    <row r="380" spans="1:4" x14ac:dyDescent="0.3">
      <c r="A380" s="83" t="s">
        <v>31</v>
      </c>
      <c r="B380" s="83"/>
      <c r="C380" s="16">
        <v>46156</v>
      </c>
      <c r="D380" s="82">
        <v>18242.599999999962</v>
      </c>
    </row>
    <row r="381" spans="1:4" x14ac:dyDescent="0.3">
      <c r="A381" s="83" t="s">
        <v>32</v>
      </c>
      <c r="B381" s="83"/>
      <c r="C381" s="16">
        <v>46156</v>
      </c>
      <c r="D381" s="82">
        <v>15120.060000000001</v>
      </c>
    </row>
    <row r="382" spans="1:4" x14ac:dyDescent="0.3">
      <c r="A382" s="83" t="s">
        <v>33</v>
      </c>
      <c r="B382" s="83"/>
      <c r="C382" s="16">
        <v>46156</v>
      </c>
      <c r="D382" s="82">
        <v>31323.39</v>
      </c>
    </row>
    <row r="383" spans="1:4" x14ac:dyDescent="0.3">
      <c r="A383" s="83" t="s">
        <v>34</v>
      </c>
      <c r="B383" s="83"/>
      <c r="C383" s="16">
        <v>46156</v>
      </c>
      <c r="D383" s="82">
        <v>345</v>
      </c>
    </row>
    <row r="384" spans="1:4" x14ac:dyDescent="0.3">
      <c r="A384" s="83" t="s">
        <v>35</v>
      </c>
      <c r="B384" s="83"/>
      <c r="C384" s="16">
        <v>46156</v>
      </c>
      <c r="D384" s="82">
        <v>14226.59</v>
      </c>
    </row>
    <row r="385" spans="1:4" x14ac:dyDescent="0.3">
      <c r="A385" s="83" t="s">
        <v>193</v>
      </c>
      <c r="B385" s="83"/>
      <c r="C385" s="16">
        <v>46156</v>
      </c>
      <c r="D385" s="82">
        <v>0</v>
      </c>
    </row>
    <row r="386" spans="1:4" x14ac:dyDescent="0.3">
      <c r="A386" s="83" t="s">
        <v>214</v>
      </c>
      <c r="B386" s="83"/>
      <c r="C386" s="16">
        <v>46156</v>
      </c>
      <c r="D386" s="82">
        <v>0</v>
      </c>
    </row>
    <row r="387" spans="1:4" x14ac:dyDescent="0.3">
      <c r="A387" s="83" t="s">
        <v>194</v>
      </c>
      <c r="B387" s="83"/>
      <c r="C387" s="16">
        <v>46156</v>
      </c>
      <c r="D387" s="82">
        <v>0</v>
      </c>
    </row>
    <row r="388" spans="1:4" x14ac:dyDescent="0.3">
      <c r="A388" s="83" t="s">
        <v>195</v>
      </c>
      <c r="B388" s="83"/>
      <c r="C388" s="16">
        <v>46156</v>
      </c>
      <c r="D388" s="82">
        <v>0</v>
      </c>
    </row>
    <row r="389" spans="1:4" x14ac:dyDescent="0.3">
      <c r="A389" s="83" t="s">
        <v>196</v>
      </c>
      <c r="B389" s="83"/>
      <c r="C389" s="16">
        <v>46156</v>
      </c>
      <c r="D389" s="82">
        <v>0</v>
      </c>
    </row>
    <row r="390" spans="1:4" x14ac:dyDescent="0.3">
      <c r="A390" s="83" t="s">
        <v>197</v>
      </c>
      <c r="B390" s="83"/>
      <c r="C390" s="16">
        <v>46156</v>
      </c>
      <c r="D390" s="82">
        <v>0</v>
      </c>
    </row>
    <row r="391" spans="1:4" x14ac:dyDescent="0.3">
      <c r="A391" s="83" t="s">
        <v>212</v>
      </c>
      <c r="B391" s="83"/>
      <c r="C391" s="16">
        <v>46156</v>
      </c>
      <c r="D391" s="82">
        <v>0</v>
      </c>
    </row>
    <row r="392" spans="1:4" x14ac:dyDescent="0.3">
      <c r="A392" s="83" t="s">
        <v>199</v>
      </c>
      <c r="B392" s="83"/>
      <c r="C392" s="16">
        <v>46156</v>
      </c>
      <c r="D392" s="82">
        <v>0</v>
      </c>
    </row>
    <row r="393" spans="1:4" x14ac:dyDescent="0.3">
      <c r="A393" s="83" t="s">
        <v>216</v>
      </c>
      <c r="B393" s="83"/>
      <c r="C393" s="16">
        <v>46156</v>
      </c>
      <c r="D393" s="82">
        <v>0</v>
      </c>
    </row>
    <row r="394" spans="1:4" x14ac:dyDescent="0.3">
      <c r="A394" s="83" t="s">
        <v>17</v>
      </c>
      <c r="B394" s="83"/>
      <c r="C394" s="16">
        <v>46157</v>
      </c>
      <c r="D394" s="82">
        <v>165752.81000000023</v>
      </c>
    </row>
    <row r="395" spans="1:4" x14ac:dyDescent="0.3">
      <c r="A395" s="83" t="s">
        <v>18</v>
      </c>
      <c r="B395" s="83"/>
      <c r="C395" s="16">
        <v>46157</v>
      </c>
      <c r="D395" s="82">
        <v>59760.159999999938</v>
      </c>
    </row>
    <row r="396" spans="1:4" x14ac:dyDescent="0.3">
      <c r="A396" s="83" t="s">
        <v>19</v>
      </c>
      <c r="B396" s="83"/>
      <c r="C396" s="16">
        <v>46157</v>
      </c>
      <c r="D396" s="82">
        <v>1669.89</v>
      </c>
    </row>
    <row r="397" spans="1:4" x14ac:dyDescent="0.3">
      <c r="A397" s="83" t="s">
        <v>20</v>
      </c>
      <c r="B397" s="83"/>
      <c r="C397" s="16">
        <v>46157</v>
      </c>
      <c r="D397" s="82">
        <v>832076.20999999985</v>
      </c>
    </row>
    <row r="398" spans="1:4" x14ac:dyDescent="0.3">
      <c r="A398" s="83" t="s">
        <v>21</v>
      </c>
      <c r="B398" s="83"/>
      <c r="C398" s="16">
        <v>46157</v>
      </c>
      <c r="D398" s="82">
        <v>952163.77999999933</v>
      </c>
    </row>
    <row r="399" spans="1:4" x14ac:dyDescent="0.3">
      <c r="A399" s="83" t="s">
        <v>22</v>
      </c>
      <c r="B399" s="83"/>
      <c r="C399" s="16">
        <v>46157</v>
      </c>
      <c r="D399" s="82">
        <v>121511.38</v>
      </c>
    </row>
    <row r="400" spans="1:4" x14ac:dyDescent="0.3">
      <c r="A400" s="83" t="s">
        <v>23</v>
      </c>
      <c r="B400" s="83"/>
      <c r="C400" s="16">
        <v>46157</v>
      </c>
      <c r="D400" s="82">
        <v>13090.369999999997</v>
      </c>
    </row>
    <row r="401" spans="1:4" x14ac:dyDescent="0.3">
      <c r="A401" s="83" t="s">
        <v>24</v>
      </c>
      <c r="B401" s="83"/>
      <c r="C401" s="16">
        <v>46157</v>
      </c>
      <c r="D401" s="82">
        <v>2498.3999999999996</v>
      </c>
    </row>
    <row r="402" spans="1:4" x14ac:dyDescent="0.3">
      <c r="A402" s="83" t="s">
        <v>25</v>
      </c>
      <c r="B402" s="83"/>
      <c r="C402" s="16">
        <v>46157</v>
      </c>
      <c r="D402" s="82">
        <v>114.3</v>
      </c>
    </row>
    <row r="403" spans="1:4" x14ac:dyDescent="0.3">
      <c r="A403" s="83" t="s">
        <v>26</v>
      </c>
      <c r="B403" s="83"/>
      <c r="C403" s="16">
        <v>46157</v>
      </c>
      <c r="D403" s="82">
        <v>2267.7200000000003</v>
      </c>
    </row>
    <row r="404" spans="1:4" x14ac:dyDescent="0.3">
      <c r="A404" s="83" t="s">
        <v>27</v>
      </c>
      <c r="B404" s="83"/>
      <c r="C404" s="16">
        <v>46157</v>
      </c>
      <c r="D404" s="82">
        <v>3349.94</v>
      </c>
    </row>
    <row r="405" spans="1:4" x14ac:dyDescent="0.3">
      <c r="A405" s="83" t="s">
        <v>28</v>
      </c>
      <c r="B405" s="83"/>
      <c r="C405" s="16">
        <v>46157</v>
      </c>
      <c r="D405" s="82">
        <v>1968.99</v>
      </c>
    </row>
    <row r="406" spans="1:4" x14ac:dyDescent="0.3">
      <c r="A406" s="83" t="s">
        <v>29</v>
      </c>
      <c r="B406" s="83"/>
      <c r="C406" s="16">
        <v>46157</v>
      </c>
      <c r="D406" s="82">
        <v>901.34</v>
      </c>
    </row>
    <row r="407" spans="1:4" x14ac:dyDescent="0.3">
      <c r="A407" s="83" t="s">
        <v>30</v>
      </c>
      <c r="B407" s="83"/>
      <c r="C407" s="16">
        <v>46157</v>
      </c>
      <c r="D407" s="82">
        <v>1444.08</v>
      </c>
    </row>
    <row r="408" spans="1:4" x14ac:dyDescent="0.3">
      <c r="A408" s="83" t="s">
        <v>31</v>
      </c>
      <c r="B408" s="83"/>
      <c r="C408" s="16">
        <v>46157</v>
      </c>
      <c r="D408" s="82">
        <v>18242.599999999962</v>
      </c>
    </row>
    <row r="409" spans="1:4" x14ac:dyDescent="0.3">
      <c r="A409" s="83" t="s">
        <v>32</v>
      </c>
      <c r="B409" s="83"/>
      <c r="C409" s="16">
        <v>46157</v>
      </c>
      <c r="D409" s="82">
        <v>15120.060000000001</v>
      </c>
    </row>
    <row r="410" spans="1:4" x14ac:dyDescent="0.3">
      <c r="A410" s="83" t="s">
        <v>33</v>
      </c>
      <c r="B410" s="83"/>
      <c r="C410" s="16">
        <v>46157</v>
      </c>
      <c r="D410" s="82">
        <v>27011.27</v>
      </c>
    </row>
    <row r="411" spans="1:4" x14ac:dyDescent="0.3">
      <c r="A411" s="83" t="s">
        <v>34</v>
      </c>
      <c r="B411" s="83"/>
      <c r="C411" s="16">
        <v>46157</v>
      </c>
      <c r="D411" s="82">
        <v>345</v>
      </c>
    </row>
    <row r="412" spans="1:4" x14ac:dyDescent="0.3">
      <c r="A412" s="83" t="s">
        <v>35</v>
      </c>
      <c r="B412" s="83"/>
      <c r="C412" s="16">
        <v>46157</v>
      </c>
      <c r="D412" s="82">
        <v>14176.59</v>
      </c>
    </row>
    <row r="413" spans="1:4" x14ac:dyDescent="0.3">
      <c r="A413" s="83" t="s">
        <v>193</v>
      </c>
      <c r="B413" s="83"/>
      <c r="C413" s="16">
        <v>46157</v>
      </c>
      <c r="D413" s="82">
        <v>0</v>
      </c>
    </row>
    <row r="414" spans="1:4" x14ac:dyDescent="0.3">
      <c r="A414" s="83" t="s">
        <v>214</v>
      </c>
      <c r="B414" s="83"/>
      <c r="C414" s="16">
        <v>46157</v>
      </c>
      <c r="D414" s="82">
        <v>0</v>
      </c>
    </row>
    <row r="415" spans="1:4" x14ac:dyDescent="0.3">
      <c r="A415" s="83" t="s">
        <v>194</v>
      </c>
      <c r="B415" s="83"/>
      <c r="C415" s="16">
        <v>46157</v>
      </c>
      <c r="D415" s="82">
        <v>0</v>
      </c>
    </row>
    <row r="416" spans="1:4" x14ac:dyDescent="0.3">
      <c r="A416" s="83" t="s">
        <v>195</v>
      </c>
      <c r="B416" s="83"/>
      <c r="C416" s="16">
        <v>46157</v>
      </c>
      <c r="D416" s="82">
        <v>0</v>
      </c>
    </row>
    <row r="417" spans="1:4" x14ac:dyDescent="0.3">
      <c r="A417" s="83" t="s">
        <v>196</v>
      </c>
      <c r="B417" s="83"/>
      <c r="C417" s="16">
        <v>46157</v>
      </c>
      <c r="D417" s="82">
        <v>0</v>
      </c>
    </row>
    <row r="418" spans="1:4" x14ac:dyDescent="0.3">
      <c r="A418" s="83" t="s">
        <v>197</v>
      </c>
      <c r="B418" s="83"/>
      <c r="C418" s="16">
        <v>46157</v>
      </c>
      <c r="D418" s="82">
        <v>0</v>
      </c>
    </row>
    <row r="419" spans="1:4" x14ac:dyDescent="0.3">
      <c r="A419" s="83" t="s">
        <v>212</v>
      </c>
      <c r="B419" s="83"/>
      <c r="C419" s="16">
        <v>46157</v>
      </c>
      <c r="D419" s="82">
        <v>0</v>
      </c>
    </row>
    <row r="420" spans="1:4" x14ac:dyDescent="0.3">
      <c r="A420" s="83" t="s">
        <v>199</v>
      </c>
      <c r="B420" s="83"/>
      <c r="C420" s="16">
        <v>46157</v>
      </c>
      <c r="D420" s="82">
        <v>0</v>
      </c>
    </row>
    <row r="421" spans="1:4" x14ac:dyDescent="0.3">
      <c r="A421" s="83" t="s">
        <v>216</v>
      </c>
      <c r="B421" s="83"/>
      <c r="C421" s="16">
        <v>46157</v>
      </c>
      <c r="D421" s="82">
        <v>0</v>
      </c>
    </row>
    <row r="422" spans="1:4" x14ac:dyDescent="0.3">
      <c r="A422" s="83" t="s">
        <v>17</v>
      </c>
      <c r="B422" s="83"/>
      <c r="C422" s="16">
        <v>46158</v>
      </c>
      <c r="D422" s="82">
        <v>165752.81000000023</v>
      </c>
    </row>
    <row r="423" spans="1:4" x14ac:dyDescent="0.3">
      <c r="A423" s="83" t="s">
        <v>18</v>
      </c>
      <c r="B423" s="83"/>
      <c r="C423" s="16">
        <v>46158</v>
      </c>
      <c r="D423" s="82">
        <v>59760.159999999938</v>
      </c>
    </row>
    <row r="424" spans="1:4" x14ac:dyDescent="0.3">
      <c r="A424" s="83" t="s">
        <v>19</v>
      </c>
      <c r="B424" s="83"/>
      <c r="C424" s="16">
        <v>46158</v>
      </c>
      <c r="D424" s="82">
        <v>1669.89</v>
      </c>
    </row>
    <row r="425" spans="1:4" x14ac:dyDescent="0.3">
      <c r="A425" s="83" t="s">
        <v>20</v>
      </c>
      <c r="B425" s="83"/>
      <c r="C425" s="16">
        <v>46158</v>
      </c>
      <c r="D425" s="82">
        <v>832076.20999999985</v>
      </c>
    </row>
    <row r="426" spans="1:4" x14ac:dyDescent="0.3">
      <c r="A426" s="83" t="s">
        <v>21</v>
      </c>
      <c r="B426" s="83"/>
      <c r="C426" s="16">
        <v>46158</v>
      </c>
      <c r="D426" s="82">
        <v>952163.77999999933</v>
      </c>
    </row>
    <row r="427" spans="1:4" x14ac:dyDescent="0.3">
      <c r="A427" s="83" t="s">
        <v>22</v>
      </c>
      <c r="B427" s="83"/>
      <c r="C427" s="16">
        <v>46158</v>
      </c>
      <c r="D427" s="82">
        <v>121511.38</v>
      </c>
    </row>
    <row r="428" spans="1:4" x14ac:dyDescent="0.3">
      <c r="A428" s="83" t="s">
        <v>23</v>
      </c>
      <c r="B428" s="83"/>
      <c r="C428" s="16">
        <v>46158</v>
      </c>
      <c r="D428" s="82">
        <v>13090.369999999997</v>
      </c>
    </row>
    <row r="429" spans="1:4" x14ac:dyDescent="0.3">
      <c r="A429" s="83" t="s">
        <v>24</v>
      </c>
      <c r="B429" s="83"/>
      <c r="C429" s="16">
        <v>46158</v>
      </c>
      <c r="D429" s="82">
        <v>2498.3999999999996</v>
      </c>
    </row>
    <row r="430" spans="1:4" x14ac:dyDescent="0.3">
      <c r="A430" s="83" t="s">
        <v>25</v>
      </c>
      <c r="B430" s="83"/>
      <c r="C430" s="16">
        <v>46158</v>
      </c>
      <c r="D430" s="82">
        <v>114.3</v>
      </c>
    </row>
    <row r="431" spans="1:4" x14ac:dyDescent="0.3">
      <c r="A431" s="83" t="s">
        <v>26</v>
      </c>
      <c r="B431" s="83"/>
      <c r="C431" s="16">
        <v>46158</v>
      </c>
      <c r="D431" s="82">
        <v>2267.7200000000003</v>
      </c>
    </row>
    <row r="432" spans="1:4" x14ac:dyDescent="0.3">
      <c r="A432" s="83" t="s">
        <v>27</v>
      </c>
      <c r="B432" s="83"/>
      <c r="C432" s="16">
        <v>46158</v>
      </c>
      <c r="D432" s="82">
        <v>3349.94</v>
      </c>
    </row>
    <row r="433" spans="1:4" x14ac:dyDescent="0.3">
      <c r="A433" s="83" t="s">
        <v>28</v>
      </c>
      <c r="B433" s="83"/>
      <c r="C433" s="16">
        <v>46158</v>
      </c>
      <c r="D433" s="82">
        <v>1968.99</v>
      </c>
    </row>
    <row r="434" spans="1:4" x14ac:dyDescent="0.3">
      <c r="A434" s="83" t="s">
        <v>29</v>
      </c>
      <c r="B434" s="83"/>
      <c r="C434" s="16">
        <v>46158</v>
      </c>
      <c r="D434" s="82">
        <v>901.34</v>
      </c>
    </row>
    <row r="435" spans="1:4" x14ac:dyDescent="0.3">
      <c r="A435" s="83" t="s">
        <v>30</v>
      </c>
      <c r="B435" s="83"/>
      <c r="C435" s="16">
        <v>46158</v>
      </c>
      <c r="D435" s="82">
        <v>1444.08</v>
      </c>
    </row>
    <row r="436" spans="1:4" x14ac:dyDescent="0.3">
      <c r="A436" s="83" t="s">
        <v>31</v>
      </c>
      <c r="B436" s="83"/>
      <c r="C436" s="16">
        <v>46158</v>
      </c>
      <c r="D436" s="82">
        <v>18242.599999999962</v>
      </c>
    </row>
    <row r="437" spans="1:4" x14ac:dyDescent="0.3">
      <c r="A437" s="83" t="s">
        <v>32</v>
      </c>
      <c r="B437" s="83"/>
      <c r="C437" s="16">
        <v>46158</v>
      </c>
      <c r="D437" s="82">
        <v>15120.060000000001</v>
      </c>
    </row>
    <row r="438" spans="1:4" x14ac:dyDescent="0.3">
      <c r="A438" s="83" t="s">
        <v>33</v>
      </c>
      <c r="B438" s="83"/>
      <c r="C438" s="16">
        <v>46158</v>
      </c>
      <c r="D438" s="82">
        <v>27011.27</v>
      </c>
    </row>
    <row r="439" spans="1:4" x14ac:dyDescent="0.3">
      <c r="A439" s="83" t="s">
        <v>34</v>
      </c>
      <c r="B439" s="83"/>
      <c r="C439" s="16">
        <v>46158</v>
      </c>
      <c r="D439" s="82">
        <v>345</v>
      </c>
    </row>
    <row r="440" spans="1:4" x14ac:dyDescent="0.3">
      <c r="A440" s="83" t="s">
        <v>35</v>
      </c>
      <c r="B440" s="83"/>
      <c r="C440" s="16">
        <v>46158</v>
      </c>
      <c r="D440" s="82">
        <v>14176.59</v>
      </c>
    </row>
    <row r="441" spans="1:4" x14ac:dyDescent="0.3">
      <c r="A441" s="83" t="s">
        <v>193</v>
      </c>
      <c r="B441" s="83"/>
      <c r="C441" s="16">
        <v>46158</v>
      </c>
      <c r="D441" s="82">
        <v>0</v>
      </c>
    </row>
    <row r="442" spans="1:4" x14ac:dyDescent="0.3">
      <c r="A442" s="83" t="s">
        <v>214</v>
      </c>
      <c r="B442" s="83"/>
      <c r="C442" s="16">
        <v>46158</v>
      </c>
      <c r="D442" s="82">
        <v>0</v>
      </c>
    </row>
    <row r="443" spans="1:4" x14ac:dyDescent="0.3">
      <c r="A443" s="83" t="s">
        <v>194</v>
      </c>
      <c r="B443" s="83"/>
      <c r="C443" s="16">
        <v>46158</v>
      </c>
      <c r="D443" s="82">
        <v>0</v>
      </c>
    </row>
    <row r="444" spans="1:4" x14ac:dyDescent="0.3">
      <c r="A444" s="83" t="s">
        <v>195</v>
      </c>
      <c r="B444" s="83"/>
      <c r="C444" s="16">
        <v>46158</v>
      </c>
      <c r="D444" s="82">
        <v>0</v>
      </c>
    </row>
    <row r="445" spans="1:4" x14ac:dyDescent="0.3">
      <c r="A445" s="83" t="s">
        <v>196</v>
      </c>
      <c r="B445" s="83"/>
      <c r="C445" s="16">
        <v>46158</v>
      </c>
      <c r="D445" s="82">
        <v>0</v>
      </c>
    </row>
    <row r="446" spans="1:4" x14ac:dyDescent="0.3">
      <c r="A446" s="83" t="s">
        <v>197</v>
      </c>
      <c r="B446" s="83"/>
      <c r="C446" s="16">
        <v>46158</v>
      </c>
      <c r="D446" s="82">
        <v>0</v>
      </c>
    </row>
    <row r="447" spans="1:4" x14ac:dyDescent="0.3">
      <c r="A447" s="83" t="s">
        <v>212</v>
      </c>
      <c r="B447" s="83"/>
      <c r="C447" s="16">
        <v>46158</v>
      </c>
      <c r="D447" s="82">
        <v>0</v>
      </c>
    </row>
    <row r="448" spans="1:4" x14ac:dyDescent="0.3">
      <c r="A448" s="83" t="s">
        <v>199</v>
      </c>
      <c r="B448" s="83"/>
      <c r="C448" s="16">
        <v>46158</v>
      </c>
      <c r="D448" s="82">
        <v>0</v>
      </c>
    </row>
    <row r="449" spans="1:4" x14ac:dyDescent="0.3">
      <c r="A449" s="83" t="s">
        <v>216</v>
      </c>
      <c r="B449" s="83"/>
      <c r="C449" s="16">
        <v>46158</v>
      </c>
      <c r="D449" s="82">
        <v>0</v>
      </c>
    </row>
    <row r="450" spans="1:4" x14ac:dyDescent="0.3">
      <c r="A450" s="83" t="s">
        <v>17</v>
      </c>
      <c r="B450" s="83"/>
      <c r="C450" s="16">
        <v>46159</v>
      </c>
      <c r="D450" s="82">
        <v>165752.81000000023</v>
      </c>
    </row>
    <row r="451" spans="1:4" x14ac:dyDescent="0.3">
      <c r="A451" s="83" t="s">
        <v>18</v>
      </c>
      <c r="B451" s="83"/>
      <c r="C451" s="16">
        <v>46159</v>
      </c>
      <c r="D451" s="82">
        <v>59760.159999999938</v>
      </c>
    </row>
    <row r="452" spans="1:4" x14ac:dyDescent="0.3">
      <c r="A452" s="83" t="s">
        <v>19</v>
      </c>
      <c r="B452" s="83"/>
      <c r="C452" s="16">
        <v>46159</v>
      </c>
      <c r="D452" s="82">
        <v>1669.89</v>
      </c>
    </row>
    <row r="453" spans="1:4" x14ac:dyDescent="0.3">
      <c r="A453" s="83" t="s">
        <v>20</v>
      </c>
      <c r="B453" s="83"/>
      <c r="C453" s="16">
        <v>46159</v>
      </c>
      <c r="D453" s="82">
        <v>832076.20999999985</v>
      </c>
    </row>
    <row r="454" spans="1:4" x14ac:dyDescent="0.3">
      <c r="A454" s="83" t="s">
        <v>21</v>
      </c>
      <c r="B454" s="83"/>
      <c r="C454" s="16">
        <v>46159</v>
      </c>
      <c r="D454" s="82">
        <v>952163.77999999933</v>
      </c>
    </row>
    <row r="455" spans="1:4" x14ac:dyDescent="0.3">
      <c r="A455" s="83" t="s">
        <v>22</v>
      </c>
      <c r="B455" s="83"/>
      <c r="C455" s="16">
        <v>46159</v>
      </c>
      <c r="D455" s="82">
        <v>121511.38</v>
      </c>
    </row>
    <row r="456" spans="1:4" x14ac:dyDescent="0.3">
      <c r="A456" s="83" t="s">
        <v>23</v>
      </c>
      <c r="B456" s="83"/>
      <c r="C456" s="16">
        <v>46159</v>
      </c>
      <c r="D456" s="82">
        <v>13090.369999999997</v>
      </c>
    </row>
    <row r="457" spans="1:4" x14ac:dyDescent="0.3">
      <c r="A457" s="83" t="s">
        <v>24</v>
      </c>
      <c r="B457" s="83"/>
      <c r="C457" s="16">
        <v>46159</v>
      </c>
      <c r="D457" s="82">
        <v>2498.3999999999996</v>
      </c>
    </row>
    <row r="458" spans="1:4" x14ac:dyDescent="0.3">
      <c r="A458" s="83" t="s">
        <v>25</v>
      </c>
      <c r="B458" s="83"/>
      <c r="C458" s="16">
        <v>46159</v>
      </c>
      <c r="D458" s="82">
        <v>114.3</v>
      </c>
    </row>
    <row r="459" spans="1:4" x14ac:dyDescent="0.3">
      <c r="A459" s="83" t="s">
        <v>26</v>
      </c>
      <c r="B459" s="83"/>
      <c r="C459" s="16">
        <v>46159</v>
      </c>
      <c r="D459" s="82">
        <v>2267.7200000000003</v>
      </c>
    </row>
    <row r="460" spans="1:4" x14ac:dyDescent="0.3">
      <c r="A460" s="83" t="s">
        <v>27</v>
      </c>
      <c r="B460" s="83"/>
      <c r="C460" s="16">
        <v>46159</v>
      </c>
      <c r="D460" s="82">
        <v>3349.94</v>
      </c>
    </row>
    <row r="461" spans="1:4" x14ac:dyDescent="0.3">
      <c r="A461" s="83" t="s">
        <v>28</v>
      </c>
      <c r="B461" s="83"/>
      <c r="C461" s="16">
        <v>46159</v>
      </c>
      <c r="D461" s="82">
        <v>1968.99</v>
      </c>
    </row>
    <row r="462" spans="1:4" x14ac:dyDescent="0.3">
      <c r="A462" s="83" t="s">
        <v>29</v>
      </c>
      <c r="B462" s="83"/>
      <c r="C462" s="16">
        <v>46159</v>
      </c>
      <c r="D462" s="82">
        <v>901.34</v>
      </c>
    </row>
    <row r="463" spans="1:4" x14ac:dyDescent="0.3">
      <c r="A463" s="83" t="s">
        <v>30</v>
      </c>
      <c r="B463" s="83"/>
      <c r="C463" s="16">
        <v>46159</v>
      </c>
      <c r="D463" s="82">
        <v>1444.08</v>
      </c>
    </row>
    <row r="464" spans="1:4" x14ac:dyDescent="0.3">
      <c r="A464" s="83" t="s">
        <v>31</v>
      </c>
      <c r="B464" s="83"/>
      <c r="C464" s="16">
        <v>46159</v>
      </c>
      <c r="D464" s="82">
        <v>18242.599999999962</v>
      </c>
    </row>
    <row r="465" spans="1:4" x14ac:dyDescent="0.3">
      <c r="A465" s="83" t="s">
        <v>32</v>
      </c>
      <c r="B465" s="83"/>
      <c r="C465" s="16">
        <v>46159</v>
      </c>
      <c r="D465" s="82">
        <v>15120.060000000001</v>
      </c>
    </row>
    <row r="466" spans="1:4" x14ac:dyDescent="0.3">
      <c r="A466" s="83" t="s">
        <v>33</v>
      </c>
      <c r="B466" s="83"/>
      <c r="C466" s="16">
        <v>46159</v>
      </c>
      <c r="D466" s="82">
        <v>27011.27</v>
      </c>
    </row>
    <row r="467" spans="1:4" x14ac:dyDescent="0.3">
      <c r="A467" s="83" t="s">
        <v>34</v>
      </c>
      <c r="B467" s="83"/>
      <c r="C467" s="16">
        <v>46159</v>
      </c>
      <c r="D467" s="82">
        <v>345</v>
      </c>
    </row>
    <row r="468" spans="1:4" x14ac:dyDescent="0.3">
      <c r="A468" s="83" t="s">
        <v>35</v>
      </c>
      <c r="B468" s="83"/>
      <c r="C468" s="16">
        <v>46159</v>
      </c>
      <c r="D468" s="82">
        <v>14176.59</v>
      </c>
    </row>
    <row r="469" spans="1:4" x14ac:dyDescent="0.3">
      <c r="A469" s="83" t="s">
        <v>193</v>
      </c>
      <c r="B469" s="83"/>
      <c r="C469" s="16">
        <v>46159</v>
      </c>
      <c r="D469" s="82">
        <v>0</v>
      </c>
    </row>
    <row r="470" spans="1:4" x14ac:dyDescent="0.3">
      <c r="A470" s="83" t="s">
        <v>214</v>
      </c>
      <c r="B470" s="83"/>
      <c r="C470" s="16">
        <v>46159</v>
      </c>
      <c r="D470" s="82">
        <v>0</v>
      </c>
    </row>
    <row r="471" spans="1:4" x14ac:dyDescent="0.3">
      <c r="A471" s="83" t="s">
        <v>194</v>
      </c>
      <c r="B471" s="83"/>
      <c r="C471" s="16">
        <v>46159</v>
      </c>
      <c r="D471" s="82">
        <v>0</v>
      </c>
    </row>
    <row r="472" spans="1:4" x14ac:dyDescent="0.3">
      <c r="A472" s="83" t="s">
        <v>195</v>
      </c>
      <c r="B472" s="83"/>
      <c r="C472" s="16">
        <v>46159</v>
      </c>
      <c r="D472" s="82">
        <v>0</v>
      </c>
    </row>
    <row r="473" spans="1:4" x14ac:dyDescent="0.3">
      <c r="A473" s="83" t="s">
        <v>196</v>
      </c>
      <c r="B473" s="83"/>
      <c r="C473" s="16">
        <v>46159</v>
      </c>
      <c r="D473" s="82">
        <v>0</v>
      </c>
    </row>
    <row r="474" spans="1:4" x14ac:dyDescent="0.3">
      <c r="A474" s="83" t="s">
        <v>197</v>
      </c>
      <c r="B474" s="83"/>
      <c r="C474" s="16">
        <v>46159</v>
      </c>
      <c r="D474" s="82">
        <v>0</v>
      </c>
    </row>
    <row r="475" spans="1:4" x14ac:dyDescent="0.3">
      <c r="A475" s="83" t="s">
        <v>212</v>
      </c>
      <c r="B475" s="83"/>
      <c r="C475" s="16">
        <v>46159</v>
      </c>
      <c r="D475" s="82">
        <v>0</v>
      </c>
    </row>
    <row r="476" spans="1:4" x14ac:dyDescent="0.3">
      <c r="A476" s="83" t="s">
        <v>199</v>
      </c>
      <c r="B476" s="83"/>
      <c r="C476" s="16">
        <v>46159</v>
      </c>
      <c r="D476" s="82">
        <v>0</v>
      </c>
    </row>
    <row r="477" spans="1:4" x14ac:dyDescent="0.3">
      <c r="A477" s="83" t="s">
        <v>216</v>
      </c>
      <c r="B477" s="83"/>
      <c r="C477" s="16">
        <v>46159</v>
      </c>
      <c r="D477" s="82">
        <v>0</v>
      </c>
    </row>
    <row r="478" spans="1:4" x14ac:dyDescent="0.3">
      <c r="A478" s="83" t="s">
        <v>17</v>
      </c>
      <c r="B478" s="83"/>
      <c r="C478" s="16">
        <v>46160</v>
      </c>
      <c r="D478" s="82">
        <v>165752.81000000023</v>
      </c>
    </row>
    <row r="479" spans="1:4" x14ac:dyDescent="0.3">
      <c r="A479" s="83" t="s">
        <v>18</v>
      </c>
      <c r="B479" s="83"/>
      <c r="C479" s="16">
        <v>46160</v>
      </c>
      <c r="D479" s="82">
        <v>59760.159999999938</v>
      </c>
    </row>
    <row r="480" spans="1:4" x14ac:dyDescent="0.3">
      <c r="A480" s="83" t="s">
        <v>19</v>
      </c>
      <c r="B480" s="83"/>
      <c r="C480" s="16">
        <v>46160</v>
      </c>
      <c r="D480" s="82">
        <v>1669.89</v>
      </c>
    </row>
    <row r="481" spans="1:4" x14ac:dyDescent="0.3">
      <c r="A481" s="83" t="s">
        <v>20</v>
      </c>
      <c r="B481" s="83"/>
      <c r="C481" s="16">
        <v>46160</v>
      </c>
      <c r="D481" s="82">
        <v>832076.20999999985</v>
      </c>
    </row>
    <row r="482" spans="1:4" x14ac:dyDescent="0.3">
      <c r="A482" s="83" t="s">
        <v>21</v>
      </c>
      <c r="B482" s="83"/>
      <c r="C482" s="16">
        <v>46160</v>
      </c>
      <c r="D482" s="82">
        <v>928713.30999999924</v>
      </c>
    </row>
    <row r="483" spans="1:4" x14ac:dyDescent="0.3">
      <c r="A483" s="83" t="s">
        <v>22</v>
      </c>
      <c r="B483" s="83"/>
      <c r="C483" s="16">
        <v>46160</v>
      </c>
      <c r="D483" s="82">
        <v>121511.38</v>
      </c>
    </row>
    <row r="484" spans="1:4" x14ac:dyDescent="0.3">
      <c r="A484" s="83" t="s">
        <v>23</v>
      </c>
      <c r="B484" s="83"/>
      <c r="C484" s="16">
        <v>46160</v>
      </c>
      <c r="D484" s="82">
        <v>13090.369999999997</v>
      </c>
    </row>
    <row r="485" spans="1:4" x14ac:dyDescent="0.3">
      <c r="A485" s="83" t="s">
        <v>24</v>
      </c>
      <c r="B485" s="83"/>
      <c r="C485" s="16">
        <v>46160</v>
      </c>
      <c r="D485" s="82">
        <v>2498.3999999999996</v>
      </c>
    </row>
    <row r="486" spans="1:4" x14ac:dyDescent="0.3">
      <c r="A486" s="83" t="s">
        <v>25</v>
      </c>
      <c r="B486" s="83"/>
      <c r="C486" s="16">
        <v>46160</v>
      </c>
      <c r="D486" s="82">
        <v>114.3</v>
      </c>
    </row>
    <row r="487" spans="1:4" x14ac:dyDescent="0.3">
      <c r="A487" s="83" t="s">
        <v>26</v>
      </c>
      <c r="B487" s="83"/>
      <c r="C487" s="16">
        <v>46160</v>
      </c>
      <c r="D487" s="82">
        <v>2267.7200000000003</v>
      </c>
    </row>
    <row r="488" spans="1:4" x14ac:dyDescent="0.3">
      <c r="A488" s="83" t="s">
        <v>27</v>
      </c>
      <c r="B488" s="83"/>
      <c r="C488" s="16">
        <v>46160</v>
      </c>
      <c r="D488" s="82">
        <v>3349.94</v>
      </c>
    </row>
    <row r="489" spans="1:4" x14ac:dyDescent="0.3">
      <c r="A489" s="83" t="s">
        <v>28</v>
      </c>
      <c r="B489" s="83"/>
      <c r="C489" s="16">
        <v>46160</v>
      </c>
      <c r="D489" s="82">
        <v>1968.99</v>
      </c>
    </row>
    <row r="490" spans="1:4" x14ac:dyDescent="0.3">
      <c r="A490" s="83" t="s">
        <v>29</v>
      </c>
      <c r="B490" s="83"/>
      <c r="C490" s="16">
        <v>46160</v>
      </c>
      <c r="D490" s="82">
        <v>901.34</v>
      </c>
    </row>
    <row r="491" spans="1:4" x14ac:dyDescent="0.3">
      <c r="A491" s="83" t="s">
        <v>30</v>
      </c>
      <c r="B491" s="83"/>
      <c r="C491" s="16">
        <v>46160</v>
      </c>
      <c r="D491" s="82">
        <v>1444.08</v>
      </c>
    </row>
    <row r="492" spans="1:4" x14ac:dyDescent="0.3">
      <c r="A492" s="83" t="s">
        <v>31</v>
      </c>
      <c r="B492" s="83"/>
      <c r="C492" s="16">
        <v>46160</v>
      </c>
      <c r="D492" s="82">
        <v>15463.59999999996</v>
      </c>
    </row>
    <row r="493" spans="1:4" x14ac:dyDescent="0.3">
      <c r="A493" s="83" t="s">
        <v>32</v>
      </c>
      <c r="B493" s="83"/>
      <c r="C493" s="16">
        <v>46160</v>
      </c>
      <c r="D493" s="82">
        <v>15120.060000000001</v>
      </c>
    </row>
    <row r="494" spans="1:4" x14ac:dyDescent="0.3">
      <c r="A494" s="83" t="s">
        <v>33</v>
      </c>
      <c r="B494" s="83"/>
      <c r="C494" s="16">
        <v>46160</v>
      </c>
      <c r="D494" s="82">
        <v>27006.27</v>
      </c>
    </row>
    <row r="495" spans="1:4" x14ac:dyDescent="0.3">
      <c r="A495" s="83" t="s">
        <v>34</v>
      </c>
      <c r="B495" s="83"/>
      <c r="C495" s="16">
        <v>46160</v>
      </c>
      <c r="D495" s="82">
        <v>345</v>
      </c>
    </row>
    <row r="496" spans="1:4" x14ac:dyDescent="0.3">
      <c r="A496" s="83" t="s">
        <v>35</v>
      </c>
      <c r="B496" s="83"/>
      <c r="C496" s="16">
        <v>46160</v>
      </c>
      <c r="D496" s="82">
        <v>13941.210000000001</v>
      </c>
    </row>
    <row r="497" spans="1:4" x14ac:dyDescent="0.3">
      <c r="A497" s="83" t="s">
        <v>193</v>
      </c>
      <c r="B497" s="83"/>
      <c r="C497" s="16">
        <v>46160</v>
      </c>
      <c r="D497" s="82">
        <v>0</v>
      </c>
    </row>
    <row r="498" spans="1:4" x14ac:dyDescent="0.3">
      <c r="A498" s="83" t="s">
        <v>214</v>
      </c>
      <c r="B498" s="83"/>
      <c r="C498" s="16">
        <v>46160</v>
      </c>
      <c r="D498" s="82">
        <v>0</v>
      </c>
    </row>
    <row r="499" spans="1:4" x14ac:dyDescent="0.3">
      <c r="A499" s="83" t="s">
        <v>194</v>
      </c>
      <c r="B499" s="83"/>
      <c r="C499" s="16">
        <v>46160</v>
      </c>
      <c r="D499" s="82">
        <v>0</v>
      </c>
    </row>
    <row r="500" spans="1:4" x14ac:dyDescent="0.3">
      <c r="A500" s="83" t="s">
        <v>195</v>
      </c>
      <c r="B500" s="83"/>
      <c r="C500" s="16">
        <v>46160</v>
      </c>
      <c r="D500" s="82">
        <v>0</v>
      </c>
    </row>
    <row r="501" spans="1:4" x14ac:dyDescent="0.3">
      <c r="A501" s="83" t="s">
        <v>196</v>
      </c>
      <c r="B501" s="83"/>
      <c r="C501" s="16">
        <v>46160</v>
      </c>
      <c r="D501" s="82">
        <v>0</v>
      </c>
    </row>
    <row r="502" spans="1:4" x14ac:dyDescent="0.3">
      <c r="A502" s="83" t="s">
        <v>197</v>
      </c>
      <c r="B502" s="83"/>
      <c r="C502" s="16">
        <v>46160</v>
      </c>
      <c r="D502" s="82">
        <v>0</v>
      </c>
    </row>
    <row r="503" spans="1:4" x14ac:dyDescent="0.3">
      <c r="A503" s="83" t="s">
        <v>212</v>
      </c>
      <c r="B503" s="83"/>
      <c r="C503" s="16">
        <v>46160</v>
      </c>
      <c r="D503" s="82">
        <v>0</v>
      </c>
    </row>
    <row r="504" spans="1:4" x14ac:dyDescent="0.3">
      <c r="A504" s="83" t="s">
        <v>199</v>
      </c>
      <c r="B504" s="83"/>
      <c r="C504" s="16">
        <v>46160</v>
      </c>
      <c r="D504" s="82">
        <v>0</v>
      </c>
    </row>
    <row r="505" spans="1:4" x14ac:dyDescent="0.3">
      <c r="A505" s="83" t="s">
        <v>216</v>
      </c>
      <c r="B505" s="83"/>
      <c r="C505" s="16">
        <v>46160</v>
      </c>
      <c r="D505" s="82">
        <v>0</v>
      </c>
    </row>
    <row r="506" spans="1:4" x14ac:dyDescent="0.3">
      <c r="A506" s="83" t="s">
        <v>17</v>
      </c>
      <c r="B506" s="83"/>
      <c r="C506" s="16">
        <v>46161</v>
      </c>
      <c r="D506" s="82">
        <v>815752.81000000029</v>
      </c>
    </row>
    <row r="507" spans="1:4" x14ac:dyDescent="0.3">
      <c r="A507" s="83" t="s">
        <v>18</v>
      </c>
      <c r="B507" s="83"/>
      <c r="C507" s="16">
        <v>46161</v>
      </c>
      <c r="D507" s="82">
        <v>59760.159999999938</v>
      </c>
    </row>
    <row r="508" spans="1:4" x14ac:dyDescent="0.3">
      <c r="A508" s="83" t="s">
        <v>19</v>
      </c>
      <c r="B508" s="83"/>
      <c r="C508" s="16">
        <v>46161</v>
      </c>
      <c r="D508" s="82">
        <v>1669.89</v>
      </c>
    </row>
    <row r="509" spans="1:4" x14ac:dyDescent="0.3">
      <c r="A509" s="83" t="s">
        <v>20</v>
      </c>
      <c r="B509" s="83"/>
      <c r="C509" s="16">
        <v>46161</v>
      </c>
      <c r="D509" s="82">
        <v>832076.20999999985</v>
      </c>
    </row>
    <row r="510" spans="1:4" x14ac:dyDescent="0.3">
      <c r="A510" s="83" t="s">
        <v>21</v>
      </c>
      <c r="B510" s="83"/>
      <c r="C510" s="16">
        <v>46161</v>
      </c>
      <c r="D510" s="82">
        <v>925592.77999999933</v>
      </c>
    </row>
    <row r="511" spans="1:4" x14ac:dyDescent="0.3">
      <c r="A511" s="83" t="s">
        <v>22</v>
      </c>
      <c r="B511" s="83"/>
      <c r="C511" s="16">
        <v>46161</v>
      </c>
      <c r="D511" s="82">
        <v>91511.38</v>
      </c>
    </row>
    <row r="512" spans="1:4" x14ac:dyDescent="0.3">
      <c r="A512" s="83" t="s">
        <v>23</v>
      </c>
      <c r="B512" s="83"/>
      <c r="C512" s="16">
        <v>46161</v>
      </c>
      <c r="D512" s="82">
        <v>13090.369999999997</v>
      </c>
    </row>
    <row r="513" spans="1:4" x14ac:dyDescent="0.3">
      <c r="A513" s="83" t="s">
        <v>24</v>
      </c>
      <c r="B513" s="83"/>
      <c r="C513" s="16">
        <v>46161</v>
      </c>
      <c r="D513" s="82">
        <v>2498.3999999999996</v>
      </c>
    </row>
    <row r="514" spans="1:4" x14ac:dyDescent="0.3">
      <c r="A514" s="83" t="s">
        <v>25</v>
      </c>
      <c r="B514" s="83"/>
      <c r="C514" s="16">
        <v>46161</v>
      </c>
      <c r="D514" s="82">
        <v>114.3</v>
      </c>
    </row>
    <row r="515" spans="1:4" x14ac:dyDescent="0.3">
      <c r="A515" s="83" t="s">
        <v>26</v>
      </c>
      <c r="B515" s="83"/>
      <c r="C515" s="16">
        <v>46161</v>
      </c>
      <c r="D515" s="82">
        <v>2267.7200000000003</v>
      </c>
    </row>
    <row r="516" spans="1:4" x14ac:dyDescent="0.3">
      <c r="A516" s="83" t="s">
        <v>27</v>
      </c>
      <c r="B516" s="83"/>
      <c r="C516" s="16">
        <v>46161</v>
      </c>
      <c r="D516" s="82">
        <v>3349.94</v>
      </c>
    </row>
    <row r="517" spans="1:4" x14ac:dyDescent="0.3">
      <c r="A517" s="83" t="s">
        <v>28</v>
      </c>
      <c r="B517" s="83"/>
      <c r="C517" s="16">
        <v>46161</v>
      </c>
      <c r="D517" s="82">
        <v>1968.99</v>
      </c>
    </row>
    <row r="518" spans="1:4" x14ac:dyDescent="0.3">
      <c r="A518" s="83" t="s">
        <v>29</v>
      </c>
      <c r="B518" s="83"/>
      <c r="C518" s="16">
        <v>46161</v>
      </c>
      <c r="D518" s="82">
        <v>901.34</v>
      </c>
    </row>
    <row r="519" spans="1:4" x14ac:dyDescent="0.3">
      <c r="A519" s="83" t="s">
        <v>30</v>
      </c>
      <c r="B519" s="83"/>
      <c r="C519" s="16">
        <v>46161</v>
      </c>
      <c r="D519" s="82">
        <v>1444.08</v>
      </c>
    </row>
    <row r="520" spans="1:4" x14ac:dyDescent="0.3">
      <c r="A520" s="83" t="s">
        <v>31</v>
      </c>
      <c r="B520" s="83"/>
      <c r="C520" s="16">
        <v>46161</v>
      </c>
      <c r="D520" s="82">
        <v>15463.59999999996</v>
      </c>
    </row>
    <row r="521" spans="1:4" x14ac:dyDescent="0.3">
      <c r="A521" s="83" t="s">
        <v>32</v>
      </c>
      <c r="B521" s="83"/>
      <c r="C521" s="16">
        <v>46161</v>
      </c>
      <c r="D521" s="82">
        <v>15120.060000000001</v>
      </c>
    </row>
    <row r="522" spans="1:4" x14ac:dyDescent="0.3">
      <c r="A522" s="83" t="s">
        <v>33</v>
      </c>
      <c r="B522" s="83"/>
      <c r="C522" s="16">
        <v>46161</v>
      </c>
      <c r="D522" s="82">
        <v>27006.27</v>
      </c>
    </row>
    <row r="523" spans="1:4" x14ac:dyDescent="0.3">
      <c r="A523" s="83" t="s">
        <v>34</v>
      </c>
      <c r="B523" s="83"/>
      <c r="C523" s="16">
        <v>46161</v>
      </c>
      <c r="D523" s="82">
        <v>345</v>
      </c>
    </row>
    <row r="524" spans="1:4" x14ac:dyDescent="0.3">
      <c r="A524" s="83" t="s">
        <v>35</v>
      </c>
      <c r="B524" s="83"/>
      <c r="C524" s="16">
        <v>46161</v>
      </c>
      <c r="D524" s="82">
        <v>18941.21</v>
      </c>
    </row>
    <row r="525" spans="1:4" x14ac:dyDescent="0.3">
      <c r="A525" s="83" t="s">
        <v>193</v>
      </c>
      <c r="B525" s="83"/>
      <c r="C525" s="16">
        <v>46161</v>
      </c>
      <c r="D525" s="82">
        <v>0</v>
      </c>
    </row>
    <row r="526" spans="1:4" x14ac:dyDescent="0.3">
      <c r="A526" s="83" t="s">
        <v>214</v>
      </c>
      <c r="B526" s="83"/>
      <c r="C526" s="16">
        <v>46161</v>
      </c>
      <c r="D526" s="82">
        <v>0</v>
      </c>
    </row>
    <row r="527" spans="1:4" x14ac:dyDescent="0.3">
      <c r="A527" s="83" t="s">
        <v>194</v>
      </c>
      <c r="B527" s="83"/>
      <c r="C527" s="16">
        <v>46161</v>
      </c>
      <c r="D527" s="82">
        <v>0</v>
      </c>
    </row>
    <row r="528" spans="1:4" x14ac:dyDescent="0.3">
      <c r="A528" s="83" t="s">
        <v>195</v>
      </c>
      <c r="B528" s="83"/>
      <c r="C528" s="16">
        <v>46161</v>
      </c>
      <c r="D528" s="82">
        <v>0</v>
      </c>
    </row>
    <row r="529" spans="1:4" x14ac:dyDescent="0.3">
      <c r="A529" s="83" t="s">
        <v>196</v>
      </c>
      <c r="B529" s="83"/>
      <c r="C529" s="16">
        <v>46161</v>
      </c>
      <c r="D529" s="82">
        <v>0</v>
      </c>
    </row>
    <row r="530" spans="1:4" x14ac:dyDescent="0.3">
      <c r="A530" s="83" t="s">
        <v>197</v>
      </c>
      <c r="B530" s="83"/>
      <c r="C530" s="16">
        <v>46161</v>
      </c>
      <c r="D530" s="82">
        <v>0</v>
      </c>
    </row>
    <row r="531" spans="1:4" x14ac:dyDescent="0.3">
      <c r="A531" s="83" t="s">
        <v>212</v>
      </c>
      <c r="B531" s="83"/>
      <c r="C531" s="16">
        <v>46161</v>
      </c>
      <c r="D531" s="82">
        <v>0</v>
      </c>
    </row>
    <row r="532" spans="1:4" x14ac:dyDescent="0.3">
      <c r="A532" s="83" t="s">
        <v>199</v>
      </c>
      <c r="B532" s="83"/>
      <c r="C532" s="16">
        <v>46161</v>
      </c>
      <c r="D532" s="82">
        <v>0</v>
      </c>
    </row>
    <row r="533" spans="1:4" x14ac:dyDescent="0.3">
      <c r="A533" s="83" t="s">
        <v>216</v>
      </c>
      <c r="B533" s="83"/>
      <c r="C533" s="16">
        <v>46161</v>
      </c>
      <c r="D533" s="82">
        <v>0</v>
      </c>
    </row>
    <row r="534" spans="1:4" x14ac:dyDescent="0.3">
      <c r="A534" s="83" t="s">
        <v>17</v>
      </c>
      <c r="B534" s="83"/>
      <c r="C534" s="16">
        <v>46162</v>
      </c>
      <c r="D534" s="82">
        <v>142321.80000000013</v>
      </c>
    </row>
    <row r="535" spans="1:4" x14ac:dyDescent="0.3">
      <c r="A535" s="83" t="s">
        <v>18</v>
      </c>
      <c r="B535" s="83"/>
      <c r="C535" s="16">
        <v>46162</v>
      </c>
      <c r="D535" s="82">
        <v>59760.159999999938</v>
      </c>
    </row>
    <row r="536" spans="1:4" x14ac:dyDescent="0.3">
      <c r="A536" s="83" t="s">
        <v>19</v>
      </c>
      <c r="B536" s="83"/>
      <c r="C536" s="16">
        <v>46162</v>
      </c>
      <c r="D536" s="82">
        <v>1669.89</v>
      </c>
    </row>
    <row r="537" spans="1:4" x14ac:dyDescent="0.3">
      <c r="A537" s="83" t="s">
        <v>20</v>
      </c>
      <c r="B537" s="83"/>
      <c r="C537" s="16">
        <v>46162</v>
      </c>
      <c r="D537" s="82">
        <v>832076.20999999985</v>
      </c>
    </row>
    <row r="538" spans="1:4" x14ac:dyDescent="0.3">
      <c r="A538" s="83" t="s">
        <v>21</v>
      </c>
      <c r="B538" s="83"/>
      <c r="C538" s="16">
        <v>46162</v>
      </c>
      <c r="D538" s="82">
        <v>981189.87999999931</v>
      </c>
    </row>
    <row r="539" spans="1:4" x14ac:dyDescent="0.3">
      <c r="A539" s="83" t="s">
        <v>22</v>
      </c>
      <c r="B539" s="83"/>
      <c r="C539" s="16">
        <v>46162</v>
      </c>
      <c r="D539" s="82">
        <v>141496.38</v>
      </c>
    </row>
    <row r="540" spans="1:4" x14ac:dyDescent="0.3">
      <c r="A540" s="83" t="s">
        <v>23</v>
      </c>
      <c r="B540" s="83"/>
      <c r="C540" s="16">
        <v>46162</v>
      </c>
      <c r="D540" s="82">
        <v>13090.369999999997</v>
      </c>
    </row>
    <row r="541" spans="1:4" x14ac:dyDescent="0.3">
      <c r="A541" s="83" t="s">
        <v>24</v>
      </c>
      <c r="B541" s="83"/>
      <c r="C541" s="16">
        <v>46162</v>
      </c>
      <c r="D541" s="82">
        <v>2498.3999999999996</v>
      </c>
    </row>
    <row r="542" spans="1:4" x14ac:dyDescent="0.3">
      <c r="A542" s="83" t="s">
        <v>25</v>
      </c>
      <c r="B542" s="83"/>
      <c r="C542" s="16">
        <v>46162</v>
      </c>
      <c r="D542" s="82">
        <v>114.3</v>
      </c>
    </row>
    <row r="543" spans="1:4" x14ac:dyDescent="0.3">
      <c r="A543" s="83" t="s">
        <v>26</v>
      </c>
      <c r="B543" s="83"/>
      <c r="C543" s="16">
        <v>46162</v>
      </c>
      <c r="D543" s="82">
        <v>2267.7200000000003</v>
      </c>
    </row>
    <row r="544" spans="1:4" x14ac:dyDescent="0.3">
      <c r="A544" s="83" t="s">
        <v>27</v>
      </c>
      <c r="B544" s="83"/>
      <c r="C544" s="16">
        <v>46162</v>
      </c>
      <c r="D544" s="82">
        <v>3349.94</v>
      </c>
    </row>
    <row r="545" spans="1:4" x14ac:dyDescent="0.3">
      <c r="A545" s="83" t="s">
        <v>28</v>
      </c>
      <c r="B545" s="83"/>
      <c r="C545" s="16">
        <v>46162</v>
      </c>
      <c r="D545" s="82">
        <v>1968.99</v>
      </c>
    </row>
    <row r="546" spans="1:4" x14ac:dyDescent="0.3">
      <c r="A546" s="83" t="s">
        <v>29</v>
      </c>
      <c r="B546" s="83"/>
      <c r="C546" s="16">
        <v>46162</v>
      </c>
      <c r="D546" s="82">
        <v>901.34</v>
      </c>
    </row>
    <row r="547" spans="1:4" x14ac:dyDescent="0.3">
      <c r="A547" s="83" t="s">
        <v>30</v>
      </c>
      <c r="B547" s="83"/>
      <c r="C547" s="16">
        <v>46162</v>
      </c>
      <c r="D547" s="82">
        <v>1444.08</v>
      </c>
    </row>
    <row r="548" spans="1:4" x14ac:dyDescent="0.3">
      <c r="A548" s="83" t="s">
        <v>31</v>
      </c>
      <c r="B548" s="83"/>
      <c r="C548" s="16">
        <v>46162</v>
      </c>
      <c r="D548" s="82">
        <v>15463.59999999996</v>
      </c>
    </row>
    <row r="549" spans="1:4" x14ac:dyDescent="0.3">
      <c r="A549" s="83" t="s">
        <v>32</v>
      </c>
      <c r="B549" s="83"/>
      <c r="C549" s="16">
        <v>46162</v>
      </c>
      <c r="D549" s="82">
        <v>15120.060000000001</v>
      </c>
    </row>
    <row r="550" spans="1:4" x14ac:dyDescent="0.3">
      <c r="A550" s="83" t="s">
        <v>33</v>
      </c>
      <c r="B550" s="83"/>
      <c r="C550" s="16">
        <v>46162</v>
      </c>
      <c r="D550" s="82">
        <v>29206.27</v>
      </c>
    </row>
    <row r="551" spans="1:4" x14ac:dyDescent="0.3">
      <c r="A551" s="83" t="s">
        <v>34</v>
      </c>
      <c r="B551" s="83"/>
      <c r="C551" s="16">
        <v>46162</v>
      </c>
      <c r="D551" s="82">
        <v>345</v>
      </c>
    </row>
    <row r="552" spans="1:4" x14ac:dyDescent="0.3">
      <c r="A552" s="83" t="s">
        <v>35</v>
      </c>
      <c r="B552" s="83"/>
      <c r="C552" s="16">
        <v>46162</v>
      </c>
      <c r="D552" s="82">
        <v>8168.0700000000006</v>
      </c>
    </row>
    <row r="553" spans="1:4" x14ac:dyDescent="0.3">
      <c r="A553" s="83" t="s">
        <v>193</v>
      </c>
      <c r="B553" s="83"/>
      <c r="C553" s="16">
        <v>46162</v>
      </c>
      <c r="D553" s="82">
        <v>0</v>
      </c>
    </row>
    <row r="554" spans="1:4" x14ac:dyDescent="0.3">
      <c r="A554" s="83" t="s">
        <v>214</v>
      </c>
      <c r="B554" s="83"/>
      <c r="C554" s="16">
        <v>46162</v>
      </c>
      <c r="D554" s="82">
        <v>0</v>
      </c>
    </row>
    <row r="555" spans="1:4" x14ac:dyDescent="0.3">
      <c r="A555" s="83" t="s">
        <v>194</v>
      </c>
      <c r="B555" s="83"/>
      <c r="C555" s="16">
        <v>46162</v>
      </c>
      <c r="D555" s="82">
        <v>0</v>
      </c>
    </row>
    <row r="556" spans="1:4" x14ac:dyDescent="0.3">
      <c r="A556" s="83" t="s">
        <v>195</v>
      </c>
      <c r="B556" s="83"/>
      <c r="C556" s="16">
        <v>46162</v>
      </c>
      <c r="D556" s="82">
        <v>0</v>
      </c>
    </row>
    <row r="557" spans="1:4" x14ac:dyDescent="0.3">
      <c r="A557" s="83" t="s">
        <v>196</v>
      </c>
      <c r="B557" s="83"/>
      <c r="C557" s="16">
        <v>46162</v>
      </c>
      <c r="D557" s="82">
        <v>0</v>
      </c>
    </row>
    <row r="558" spans="1:4" x14ac:dyDescent="0.3">
      <c r="A558" s="83" t="s">
        <v>197</v>
      </c>
      <c r="B558" s="83"/>
      <c r="C558" s="16">
        <v>46162</v>
      </c>
      <c r="D558" s="82">
        <v>0</v>
      </c>
    </row>
    <row r="559" spans="1:4" x14ac:dyDescent="0.3">
      <c r="A559" s="83" t="s">
        <v>212</v>
      </c>
      <c r="B559" s="83"/>
      <c r="C559" s="16">
        <v>46162</v>
      </c>
      <c r="D559" s="82">
        <v>0</v>
      </c>
    </row>
    <row r="560" spans="1:4" x14ac:dyDescent="0.3">
      <c r="A560" s="83" t="s">
        <v>199</v>
      </c>
      <c r="B560" s="83"/>
      <c r="C560" s="16">
        <v>46162</v>
      </c>
      <c r="D560" s="82">
        <v>0</v>
      </c>
    </row>
    <row r="561" spans="1:4" x14ac:dyDescent="0.3">
      <c r="A561" s="83" t="s">
        <v>216</v>
      </c>
      <c r="B561" s="83"/>
      <c r="C561" s="16">
        <v>46162</v>
      </c>
      <c r="D561" s="82">
        <v>0</v>
      </c>
    </row>
    <row r="562" spans="1:4" x14ac:dyDescent="0.3">
      <c r="A562" s="83" t="s">
        <v>17</v>
      </c>
      <c r="B562" s="83"/>
      <c r="C562" s="16">
        <v>46163</v>
      </c>
      <c r="D562" s="82">
        <v>142321.80000000013</v>
      </c>
    </row>
    <row r="563" spans="1:4" x14ac:dyDescent="0.3">
      <c r="A563" s="83" t="s">
        <v>18</v>
      </c>
      <c r="B563" s="83"/>
      <c r="C563" s="16">
        <v>46163</v>
      </c>
      <c r="D563" s="82">
        <v>659760.15999999992</v>
      </c>
    </row>
    <row r="564" spans="1:4" x14ac:dyDescent="0.3">
      <c r="A564" s="83" t="s">
        <v>19</v>
      </c>
      <c r="B564" s="83"/>
      <c r="C564" s="16">
        <v>46163</v>
      </c>
      <c r="D564" s="82">
        <v>1669.89</v>
      </c>
    </row>
    <row r="565" spans="1:4" x14ac:dyDescent="0.3">
      <c r="A565" s="83" t="s">
        <v>20</v>
      </c>
      <c r="B565" s="83"/>
      <c r="C565" s="16">
        <v>46163</v>
      </c>
      <c r="D565" s="82">
        <v>497076.20999999985</v>
      </c>
    </row>
    <row r="566" spans="1:4" x14ac:dyDescent="0.3">
      <c r="A566" s="83" t="s">
        <v>21</v>
      </c>
      <c r="B566" s="83"/>
      <c r="C566" s="16">
        <v>46163</v>
      </c>
      <c r="D566" s="82">
        <v>981189.87999999931</v>
      </c>
    </row>
    <row r="567" spans="1:4" x14ac:dyDescent="0.3">
      <c r="A567" s="83" t="s">
        <v>22</v>
      </c>
      <c r="B567" s="83"/>
      <c r="C567" s="16">
        <v>46163</v>
      </c>
      <c r="D567" s="82">
        <v>141496.38</v>
      </c>
    </row>
    <row r="568" spans="1:4" x14ac:dyDescent="0.3">
      <c r="A568" s="83" t="s">
        <v>23</v>
      </c>
      <c r="B568" s="83"/>
      <c r="C568" s="16">
        <v>46163</v>
      </c>
      <c r="D568" s="82">
        <v>88090.37</v>
      </c>
    </row>
    <row r="569" spans="1:4" x14ac:dyDescent="0.3">
      <c r="A569" s="83" t="s">
        <v>24</v>
      </c>
      <c r="B569" s="83"/>
      <c r="C569" s="16">
        <v>46163</v>
      </c>
      <c r="D569" s="82">
        <v>2498.3999999999996</v>
      </c>
    </row>
    <row r="570" spans="1:4" x14ac:dyDescent="0.3">
      <c r="A570" s="83" t="s">
        <v>25</v>
      </c>
      <c r="B570" s="83"/>
      <c r="C570" s="16">
        <v>46163</v>
      </c>
      <c r="D570" s="82">
        <v>114.3</v>
      </c>
    </row>
    <row r="571" spans="1:4" x14ac:dyDescent="0.3">
      <c r="A571" s="83" t="s">
        <v>26</v>
      </c>
      <c r="B571" s="83"/>
      <c r="C571" s="16">
        <v>46163</v>
      </c>
      <c r="D571" s="82">
        <v>2267.7200000000003</v>
      </c>
    </row>
    <row r="572" spans="1:4" x14ac:dyDescent="0.3">
      <c r="A572" s="83" t="s">
        <v>27</v>
      </c>
      <c r="B572" s="83"/>
      <c r="C572" s="16">
        <v>46163</v>
      </c>
      <c r="D572" s="82">
        <v>3349.94</v>
      </c>
    </row>
    <row r="573" spans="1:4" x14ac:dyDescent="0.3">
      <c r="A573" s="83" t="s">
        <v>28</v>
      </c>
      <c r="B573" s="83"/>
      <c r="C573" s="16">
        <v>46163</v>
      </c>
      <c r="D573" s="82">
        <v>1968.99</v>
      </c>
    </row>
    <row r="574" spans="1:4" x14ac:dyDescent="0.3">
      <c r="A574" s="83" t="s">
        <v>29</v>
      </c>
      <c r="B574" s="83"/>
      <c r="C574" s="16">
        <v>46163</v>
      </c>
      <c r="D574" s="82">
        <v>901.34</v>
      </c>
    </row>
    <row r="575" spans="1:4" x14ac:dyDescent="0.3">
      <c r="A575" s="83" t="s">
        <v>30</v>
      </c>
      <c r="B575" s="83"/>
      <c r="C575" s="16">
        <v>46163</v>
      </c>
      <c r="D575" s="82">
        <v>1444.08</v>
      </c>
    </row>
    <row r="576" spans="1:4" x14ac:dyDescent="0.3">
      <c r="A576" s="83" t="s">
        <v>31</v>
      </c>
      <c r="B576" s="83"/>
      <c r="C576" s="16">
        <v>46163</v>
      </c>
      <c r="D576" s="82">
        <v>15463.59999999996</v>
      </c>
    </row>
    <row r="577" spans="1:4" x14ac:dyDescent="0.3">
      <c r="A577" s="83" t="s">
        <v>32</v>
      </c>
      <c r="B577" s="83"/>
      <c r="C577" s="16">
        <v>46163</v>
      </c>
      <c r="D577" s="82">
        <v>15120.060000000001</v>
      </c>
    </row>
    <row r="578" spans="1:4" x14ac:dyDescent="0.3">
      <c r="A578" s="83" t="s">
        <v>33</v>
      </c>
      <c r="B578" s="83"/>
      <c r="C578" s="16">
        <v>46163</v>
      </c>
      <c r="D578" s="82">
        <v>29206.27</v>
      </c>
    </row>
    <row r="579" spans="1:4" x14ac:dyDescent="0.3">
      <c r="A579" s="83" t="s">
        <v>34</v>
      </c>
      <c r="B579" s="83"/>
      <c r="C579" s="16">
        <v>46163</v>
      </c>
      <c r="D579" s="82">
        <v>345</v>
      </c>
    </row>
    <row r="580" spans="1:4" x14ac:dyDescent="0.3">
      <c r="A580" s="83" t="s">
        <v>35</v>
      </c>
      <c r="B580" s="83"/>
      <c r="C580" s="16">
        <v>46163</v>
      </c>
      <c r="D580" s="82">
        <v>8168.0700000000006</v>
      </c>
    </row>
    <row r="581" spans="1:4" x14ac:dyDescent="0.3">
      <c r="A581" s="83" t="s">
        <v>193</v>
      </c>
      <c r="B581" s="83"/>
      <c r="C581" s="16">
        <v>46163</v>
      </c>
      <c r="D581" s="82">
        <v>0</v>
      </c>
    </row>
    <row r="582" spans="1:4" x14ac:dyDescent="0.3">
      <c r="A582" s="83" t="s">
        <v>214</v>
      </c>
      <c r="B582" s="83"/>
      <c r="C582" s="16">
        <v>46163</v>
      </c>
      <c r="D582" s="82">
        <v>0</v>
      </c>
    </row>
    <row r="583" spans="1:4" x14ac:dyDescent="0.3">
      <c r="A583" s="83" t="s">
        <v>194</v>
      </c>
      <c r="B583" s="83"/>
      <c r="C583" s="16">
        <v>46163</v>
      </c>
      <c r="D583" s="82">
        <v>0</v>
      </c>
    </row>
    <row r="584" spans="1:4" x14ac:dyDescent="0.3">
      <c r="A584" s="83" t="s">
        <v>195</v>
      </c>
      <c r="B584" s="83"/>
      <c r="C584" s="16">
        <v>46163</v>
      </c>
      <c r="D584" s="82">
        <v>0</v>
      </c>
    </row>
    <row r="585" spans="1:4" x14ac:dyDescent="0.3">
      <c r="A585" s="83" t="s">
        <v>196</v>
      </c>
      <c r="B585" s="83"/>
      <c r="C585" s="16">
        <v>46163</v>
      </c>
      <c r="D585" s="82">
        <v>0</v>
      </c>
    </row>
    <row r="586" spans="1:4" x14ac:dyDescent="0.3">
      <c r="A586" s="83" t="s">
        <v>197</v>
      </c>
      <c r="B586" s="83"/>
      <c r="C586" s="16">
        <v>46163</v>
      </c>
      <c r="D586" s="82">
        <v>0</v>
      </c>
    </row>
    <row r="587" spans="1:4" x14ac:dyDescent="0.3">
      <c r="A587" s="83" t="s">
        <v>212</v>
      </c>
      <c r="B587" s="83"/>
      <c r="C587" s="16">
        <v>46163</v>
      </c>
      <c r="D587" s="82">
        <v>0</v>
      </c>
    </row>
    <row r="588" spans="1:4" x14ac:dyDescent="0.3">
      <c r="A588" s="83" t="s">
        <v>199</v>
      </c>
      <c r="B588" s="83"/>
      <c r="C588" s="16">
        <v>46163</v>
      </c>
      <c r="D588" s="82">
        <v>0</v>
      </c>
    </row>
    <row r="589" spans="1:4" x14ac:dyDescent="0.3">
      <c r="A589" s="83" t="s">
        <v>216</v>
      </c>
      <c r="B589" s="83"/>
      <c r="C589" s="16">
        <v>46163</v>
      </c>
      <c r="D589" s="82">
        <v>0</v>
      </c>
    </row>
    <row r="590" spans="1:4" x14ac:dyDescent="0.3">
      <c r="A590" s="83" t="s">
        <v>17</v>
      </c>
      <c r="B590" s="83"/>
      <c r="C590" s="16">
        <v>46164</v>
      </c>
      <c r="D590" s="82">
        <v>142321.80000000013</v>
      </c>
    </row>
    <row r="591" spans="1:4" x14ac:dyDescent="0.3">
      <c r="A591" s="83" t="s">
        <v>18</v>
      </c>
      <c r="B591" s="83"/>
      <c r="C591" s="16">
        <v>46164</v>
      </c>
      <c r="D591" s="82">
        <v>659760.15999999992</v>
      </c>
    </row>
    <row r="592" spans="1:4" x14ac:dyDescent="0.3">
      <c r="A592" s="83" t="s">
        <v>19</v>
      </c>
      <c r="B592" s="83"/>
      <c r="C592" s="16">
        <v>46164</v>
      </c>
      <c r="D592" s="82">
        <v>1669.89</v>
      </c>
    </row>
    <row r="593" spans="1:4" x14ac:dyDescent="0.3">
      <c r="A593" s="83" t="s">
        <v>20</v>
      </c>
      <c r="B593" s="83"/>
      <c r="C593" s="16">
        <v>46164</v>
      </c>
      <c r="D593" s="82">
        <v>497076.20999999985</v>
      </c>
    </row>
    <row r="594" spans="1:4" x14ac:dyDescent="0.3">
      <c r="A594" s="83" t="s">
        <v>21</v>
      </c>
      <c r="B594" s="83"/>
      <c r="C594" s="16">
        <v>46164</v>
      </c>
      <c r="D594" s="82">
        <v>980426.88999999932</v>
      </c>
    </row>
    <row r="595" spans="1:4" x14ac:dyDescent="0.3">
      <c r="A595" s="83" t="s">
        <v>22</v>
      </c>
      <c r="B595" s="83"/>
      <c r="C595" s="16">
        <v>46164</v>
      </c>
      <c r="D595" s="82">
        <v>141496.38</v>
      </c>
    </row>
    <row r="596" spans="1:4" x14ac:dyDescent="0.3">
      <c r="A596" s="83" t="s">
        <v>23</v>
      </c>
      <c r="B596" s="83"/>
      <c r="C596" s="16">
        <v>46164</v>
      </c>
      <c r="D596" s="82">
        <v>88090.37</v>
      </c>
    </row>
    <row r="597" spans="1:4" x14ac:dyDescent="0.3">
      <c r="A597" s="83" t="s">
        <v>24</v>
      </c>
      <c r="B597" s="83"/>
      <c r="C597" s="16">
        <v>46164</v>
      </c>
      <c r="D597" s="82">
        <v>2498.3999999999996</v>
      </c>
    </row>
    <row r="598" spans="1:4" x14ac:dyDescent="0.3">
      <c r="A598" s="83" t="s">
        <v>25</v>
      </c>
      <c r="B598" s="83"/>
      <c r="C598" s="16">
        <v>46164</v>
      </c>
      <c r="D598" s="82">
        <v>114.3</v>
      </c>
    </row>
    <row r="599" spans="1:4" x14ac:dyDescent="0.3">
      <c r="A599" s="83" t="s">
        <v>26</v>
      </c>
      <c r="B599" s="83"/>
      <c r="C599" s="16">
        <v>46164</v>
      </c>
      <c r="D599" s="82">
        <v>2267.7200000000003</v>
      </c>
    </row>
    <row r="600" spans="1:4" x14ac:dyDescent="0.3">
      <c r="A600" s="83" t="s">
        <v>27</v>
      </c>
      <c r="B600" s="83"/>
      <c r="C600" s="16">
        <v>46164</v>
      </c>
      <c r="D600" s="82">
        <v>3349.94</v>
      </c>
    </row>
    <row r="601" spans="1:4" x14ac:dyDescent="0.3">
      <c r="A601" s="83" t="s">
        <v>28</v>
      </c>
      <c r="B601" s="83"/>
      <c r="C601" s="16">
        <v>46164</v>
      </c>
      <c r="D601" s="82">
        <v>1968.99</v>
      </c>
    </row>
    <row r="602" spans="1:4" x14ac:dyDescent="0.3">
      <c r="A602" s="83" t="s">
        <v>29</v>
      </c>
      <c r="B602" s="83"/>
      <c r="C602" s="16">
        <v>46164</v>
      </c>
      <c r="D602" s="82">
        <v>901.34</v>
      </c>
    </row>
    <row r="603" spans="1:4" x14ac:dyDescent="0.3">
      <c r="A603" s="83" t="s">
        <v>30</v>
      </c>
      <c r="B603" s="83"/>
      <c r="C603" s="16">
        <v>46164</v>
      </c>
      <c r="D603" s="82">
        <v>1444.08</v>
      </c>
    </row>
    <row r="604" spans="1:4" x14ac:dyDescent="0.3">
      <c r="A604" s="83" t="s">
        <v>31</v>
      </c>
      <c r="B604" s="83"/>
      <c r="C604" s="16">
        <v>46164</v>
      </c>
      <c r="D604" s="82">
        <v>15463.59999999996</v>
      </c>
    </row>
    <row r="605" spans="1:4" x14ac:dyDescent="0.3">
      <c r="A605" s="83" t="s">
        <v>32</v>
      </c>
      <c r="B605" s="83"/>
      <c r="C605" s="16">
        <v>46164</v>
      </c>
      <c r="D605" s="82">
        <v>15120.060000000001</v>
      </c>
    </row>
    <row r="606" spans="1:4" x14ac:dyDescent="0.3">
      <c r="A606" s="83" t="s">
        <v>33</v>
      </c>
      <c r="B606" s="83"/>
      <c r="C606" s="16">
        <v>46164</v>
      </c>
      <c r="D606" s="82">
        <v>29206.27</v>
      </c>
    </row>
    <row r="607" spans="1:4" x14ac:dyDescent="0.3">
      <c r="A607" s="83" t="s">
        <v>34</v>
      </c>
      <c r="B607" s="83"/>
      <c r="C607" s="16">
        <v>46164</v>
      </c>
      <c r="D607" s="82">
        <v>345</v>
      </c>
    </row>
    <row r="608" spans="1:4" x14ac:dyDescent="0.3">
      <c r="A608" s="83" t="s">
        <v>35</v>
      </c>
      <c r="B608" s="83"/>
      <c r="C608" s="16">
        <v>46164</v>
      </c>
      <c r="D608" s="82">
        <v>8168.0700000000006</v>
      </c>
    </row>
    <row r="609" spans="1:4" x14ac:dyDescent="0.3">
      <c r="A609" s="83" t="s">
        <v>193</v>
      </c>
      <c r="B609" s="83"/>
      <c r="C609" s="16">
        <v>46164</v>
      </c>
      <c r="D609" s="82">
        <v>0</v>
      </c>
    </row>
    <row r="610" spans="1:4" x14ac:dyDescent="0.3">
      <c r="A610" s="83" t="s">
        <v>214</v>
      </c>
      <c r="B610" s="83"/>
      <c r="C610" s="16">
        <v>46164</v>
      </c>
      <c r="D610" s="82">
        <v>0</v>
      </c>
    </row>
    <row r="611" spans="1:4" x14ac:dyDescent="0.3">
      <c r="A611" s="83" t="s">
        <v>194</v>
      </c>
      <c r="B611" s="83"/>
      <c r="C611" s="16">
        <v>46164</v>
      </c>
      <c r="D611" s="82">
        <v>0</v>
      </c>
    </row>
    <row r="612" spans="1:4" x14ac:dyDescent="0.3">
      <c r="A612" s="83" t="s">
        <v>195</v>
      </c>
      <c r="B612" s="83"/>
      <c r="C612" s="16">
        <v>46164</v>
      </c>
      <c r="D612" s="82">
        <v>0</v>
      </c>
    </row>
    <row r="613" spans="1:4" x14ac:dyDescent="0.3">
      <c r="A613" s="83" t="s">
        <v>196</v>
      </c>
      <c r="B613" s="83"/>
      <c r="C613" s="16">
        <v>46164</v>
      </c>
      <c r="D613" s="82">
        <v>0</v>
      </c>
    </row>
    <row r="614" spans="1:4" x14ac:dyDescent="0.3">
      <c r="A614" s="83" t="s">
        <v>197</v>
      </c>
      <c r="B614" s="83"/>
      <c r="C614" s="16">
        <v>46164</v>
      </c>
      <c r="D614" s="82">
        <v>0</v>
      </c>
    </row>
    <row r="615" spans="1:4" x14ac:dyDescent="0.3">
      <c r="A615" s="83" t="s">
        <v>212</v>
      </c>
      <c r="B615" s="83"/>
      <c r="C615" s="16">
        <v>46164</v>
      </c>
      <c r="D615" s="82">
        <v>0</v>
      </c>
    </row>
    <row r="616" spans="1:4" x14ac:dyDescent="0.3">
      <c r="A616" s="83" t="s">
        <v>199</v>
      </c>
      <c r="B616" s="83"/>
      <c r="C616" s="16">
        <v>46164</v>
      </c>
      <c r="D616" s="82">
        <v>0</v>
      </c>
    </row>
    <row r="617" spans="1:4" x14ac:dyDescent="0.3">
      <c r="A617" s="83" t="s">
        <v>216</v>
      </c>
      <c r="B617" s="83"/>
      <c r="C617" s="16">
        <v>46164</v>
      </c>
      <c r="D617" s="82">
        <v>0</v>
      </c>
    </row>
    <row r="618" spans="1:4" x14ac:dyDescent="0.3">
      <c r="A618" s="83" t="s">
        <v>17</v>
      </c>
      <c r="B618" s="83"/>
      <c r="C618" s="16">
        <v>46165</v>
      </c>
      <c r="D618" s="82">
        <v>142321.80000000013</v>
      </c>
    </row>
    <row r="619" spans="1:4" x14ac:dyDescent="0.3">
      <c r="A619" s="83" t="s">
        <v>18</v>
      </c>
      <c r="B619" s="83"/>
      <c r="C619" s="16">
        <v>46165</v>
      </c>
      <c r="D619" s="82">
        <v>659760.15999999992</v>
      </c>
    </row>
    <row r="620" spans="1:4" x14ac:dyDescent="0.3">
      <c r="A620" s="83" t="s">
        <v>19</v>
      </c>
      <c r="B620" s="83"/>
      <c r="C620" s="16">
        <v>46165</v>
      </c>
      <c r="D620" s="82">
        <v>1669.89</v>
      </c>
    </row>
    <row r="621" spans="1:4" x14ac:dyDescent="0.3">
      <c r="A621" s="83" t="s">
        <v>20</v>
      </c>
      <c r="B621" s="83"/>
      <c r="C621" s="16">
        <v>46165</v>
      </c>
      <c r="D621" s="82">
        <v>497076.20999999985</v>
      </c>
    </row>
    <row r="622" spans="1:4" x14ac:dyDescent="0.3">
      <c r="A622" s="83" t="s">
        <v>21</v>
      </c>
      <c r="B622" s="83"/>
      <c r="C622" s="16">
        <v>46165</v>
      </c>
      <c r="D622" s="82">
        <v>980426.88999999932</v>
      </c>
    </row>
    <row r="623" spans="1:4" x14ac:dyDescent="0.3">
      <c r="A623" s="83" t="s">
        <v>22</v>
      </c>
      <c r="B623" s="83"/>
      <c r="C623" s="16">
        <v>46165</v>
      </c>
      <c r="D623" s="82">
        <v>141496.38</v>
      </c>
    </row>
    <row r="624" spans="1:4" x14ac:dyDescent="0.3">
      <c r="A624" s="83" t="s">
        <v>23</v>
      </c>
      <c r="B624" s="83"/>
      <c r="C624" s="16">
        <v>46165</v>
      </c>
      <c r="D624" s="82">
        <v>88090.37</v>
      </c>
    </row>
    <row r="625" spans="1:4" x14ac:dyDescent="0.3">
      <c r="A625" s="83" t="s">
        <v>24</v>
      </c>
      <c r="B625" s="83"/>
      <c r="C625" s="16">
        <v>46165</v>
      </c>
      <c r="D625" s="82">
        <v>2498.3999999999996</v>
      </c>
    </row>
    <row r="626" spans="1:4" x14ac:dyDescent="0.3">
      <c r="A626" s="83" t="s">
        <v>25</v>
      </c>
      <c r="B626" s="83"/>
      <c r="C626" s="16">
        <v>46165</v>
      </c>
      <c r="D626" s="82">
        <v>114.3</v>
      </c>
    </row>
    <row r="627" spans="1:4" x14ac:dyDescent="0.3">
      <c r="A627" s="83" t="s">
        <v>26</v>
      </c>
      <c r="B627" s="83"/>
      <c r="C627" s="16">
        <v>46165</v>
      </c>
      <c r="D627" s="82">
        <v>2267.7200000000003</v>
      </c>
    </row>
    <row r="628" spans="1:4" x14ac:dyDescent="0.3">
      <c r="A628" s="83" t="s">
        <v>27</v>
      </c>
      <c r="B628" s="83"/>
      <c r="C628" s="16">
        <v>46165</v>
      </c>
      <c r="D628" s="82">
        <v>3349.94</v>
      </c>
    </row>
    <row r="629" spans="1:4" x14ac:dyDescent="0.3">
      <c r="A629" s="83" t="s">
        <v>28</v>
      </c>
      <c r="B629" s="83"/>
      <c r="C629" s="16">
        <v>46165</v>
      </c>
      <c r="D629" s="82">
        <v>1968.99</v>
      </c>
    </row>
    <row r="630" spans="1:4" x14ac:dyDescent="0.3">
      <c r="A630" s="83" t="s">
        <v>29</v>
      </c>
      <c r="B630" s="83"/>
      <c r="C630" s="16">
        <v>46165</v>
      </c>
      <c r="D630" s="82">
        <v>901.34</v>
      </c>
    </row>
    <row r="631" spans="1:4" x14ac:dyDescent="0.3">
      <c r="A631" s="83" t="s">
        <v>30</v>
      </c>
      <c r="B631" s="83"/>
      <c r="C631" s="16">
        <v>46165</v>
      </c>
      <c r="D631" s="82">
        <v>1444.08</v>
      </c>
    </row>
    <row r="632" spans="1:4" x14ac:dyDescent="0.3">
      <c r="A632" s="83" t="s">
        <v>31</v>
      </c>
      <c r="B632" s="83"/>
      <c r="C632" s="16">
        <v>46165</v>
      </c>
      <c r="D632" s="82">
        <v>15463.59999999996</v>
      </c>
    </row>
    <row r="633" spans="1:4" x14ac:dyDescent="0.3">
      <c r="A633" s="83" t="s">
        <v>32</v>
      </c>
      <c r="B633" s="83"/>
      <c r="C633" s="16">
        <v>46165</v>
      </c>
      <c r="D633" s="82">
        <v>15120.060000000001</v>
      </c>
    </row>
    <row r="634" spans="1:4" x14ac:dyDescent="0.3">
      <c r="A634" s="83" t="s">
        <v>33</v>
      </c>
      <c r="B634" s="83"/>
      <c r="C634" s="16">
        <v>46165</v>
      </c>
      <c r="D634" s="82">
        <v>29206.27</v>
      </c>
    </row>
    <row r="635" spans="1:4" x14ac:dyDescent="0.3">
      <c r="A635" s="83" t="s">
        <v>34</v>
      </c>
      <c r="B635" s="83"/>
      <c r="C635" s="16">
        <v>46165</v>
      </c>
      <c r="D635" s="82">
        <v>345</v>
      </c>
    </row>
    <row r="636" spans="1:4" x14ac:dyDescent="0.3">
      <c r="A636" s="83" t="s">
        <v>35</v>
      </c>
      <c r="B636" s="83"/>
      <c r="C636" s="16">
        <v>46165</v>
      </c>
      <c r="D636" s="82">
        <v>8168.0700000000006</v>
      </c>
    </row>
    <row r="637" spans="1:4" x14ac:dyDescent="0.3">
      <c r="A637" s="83" t="s">
        <v>193</v>
      </c>
      <c r="B637" s="83"/>
      <c r="C637" s="16">
        <v>46165</v>
      </c>
      <c r="D637" s="82">
        <v>0</v>
      </c>
    </row>
    <row r="638" spans="1:4" x14ac:dyDescent="0.3">
      <c r="A638" s="83" t="s">
        <v>214</v>
      </c>
      <c r="B638" s="83"/>
      <c r="C638" s="16">
        <v>46165</v>
      </c>
      <c r="D638" s="82">
        <v>0</v>
      </c>
    </row>
    <row r="639" spans="1:4" x14ac:dyDescent="0.3">
      <c r="A639" s="83" t="s">
        <v>194</v>
      </c>
      <c r="B639" s="83"/>
      <c r="C639" s="16">
        <v>46165</v>
      </c>
      <c r="D639" s="82">
        <v>0</v>
      </c>
    </row>
    <row r="640" spans="1:4" x14ac:dyDescent="0.3">
      <c r="A640" s="83" t="s">
        <v>195</v>
      </c>
      <c r="B640" s="83"/>
      <c r="C640" s="16">
        <v>46165</v>
      </c>
      <c r="D640" s="82">
        <v>0</v>
      </c>
    </row>
    <row r="641" spans="1:4" x14ac:dyDescent="0.3">
      <c r="A641" s="83" t="s">
        <v>196</v>
      </c>
      <c r="B641" s="83"/>
      <c r="C641" s="16">
        <v>46165</v>
      </c>
      <c r="D641" s="82">
        <v>0</v>
      </c>
    </row>
    <row r="642" spans="1:4" x14ac:dyDescent="0.3">
      <c r="A642" s="83" t="s">
        <v>197</v>
      </c>
      <c r="B642" s="83"/>
      <c r="C642" s="16">
        <v>46165</v>
      </c>
      <c r="D642" s="82">
        <v>0</v>
      </c>
    </row>
    <row r="643" spans="1:4" x14ac:dyDescent="0.3">
      <c r="A643" s="83" t="s">
        <v>212</v>
      </c>
      <c r="B643" s="83"/>
      <c r="C643" s="16">
        <v>46165</v>
      </c>
      <c r="D643" s="82">
        <v>0</v>
      </c>
    </row>
    <row r="644" spans="1:4" x14ac:dyDescent="0.3">
      <c r="A644" s="83" t="s">
        <v>199</v>
      </c>
      <c r="B644" s="83"/>
      <c r="C644" s="16">
        <v>46165</v>
      </c>
      <c r="D644" s="82">
        <v>0</v>
      </c>
    </row>
    <row r="645" spans="1:4" x14ac:dyDescent="0.3">
      <c r="A645" s="83" t="s">
        <v>216</v>
      </c>
      <c r="B645" s="83"/>
      <c r="C645" s="16">
        <v>46165</v>
      </c>
      <c r="D645" s="82">
        <v>0</v>
      </c>
    </row>
    <row r="646" spans="1:4" x14ac:dyDescent="0.3">
      <c r="A646" s="83" t="s">
        <v>17</v>
      </c>
      <c r="B646" s="83"/>
      <c r="C646" s="16">
        <v>46166</v>
      </c>
      <c r="D646" s="82">
        <v>142321.80000000013</v>
      </c>
    </row>
    <row r="647" spans="1:4" x14ac:dyDescent="0.3">
      <c r="A647" s="83" t="s">
        <v>18</v>
      </c>
      <c r="B647" s="83"/>
      <c r="C647" s="16">
        <v>46166</v>
      </c>
      <c r="D647" s="82">
        <v>659760.15999999992</v>
      </c>
    </row>
    <row r="648" spans="1:4" x14ac:dyDescent="0.3">
      <c r="A648" s="83" t="s">
        <v>19</v>
      </c>
      <c r="B648" s="83"/>
      <c r="C648" s="16">
        <v>46166</v>
      </c>
      <c r="D648" s="82">
        <v>1669.89</v>
      </c>
    </row>
    <row r="649" spans="1:4" x14ac:dyDescent="0.3">
      <c r="A649" s="83" t="s">
        <v>20</v>
      </c>
      <c r="B649" s="83"/>
      <c r="C649" s="16">
        <v>46166</v>
      </c>
      <c r="D649" s="82">
        <v>497076.20999999985</v>
      </c>
    </row>
    <row r="650" spans="1:4" x14ac:dyDescent="0.3">
      <c r="A650" s="83" t="s">
        <v>21</v>
      </c>
      <c r="B650" s="83"/>
      <c r="C650" s="16">
        <v>46166</v>
      </c>
      <c r="D650" s="82">
        <v>980426.88999999932</v>
      </c>
    </row>
    <row r="651" spans="1:4" x14ac:dyDescent="0.3">
      <c r="A651" s="83" t="s">
        <v>22</v>
      </c>
      <c r="B651" s="83"/>
      <c r="C651" s="16">
        <v>46166</v>
      </c>
      <c r="D651" s="82">
        <v>141496.38</v>
      </c>
    </row>
    <row r="652" spans="1:4" x14ac:dyDescent="0.3">
      <c r="A652" s="83" t="s">
        <v>23</v>
      </c>
      <c r="B652" s="83"/>
      <c r="C652" s="16">
        <v>46166</v>
      </c>
      <c r="D652" s="82">
        <v>88090.37</v>
      </c>
    </row>
    <row r="653" spans="1:4" x14ac:dyDescent="0.3">
      <c r="A653" s="83" t="s">
        <v>24</v>
      </c>
      <c r="B653" s="83"/>
      <c r="C653" s="16">
        <v>46166</v>
      </c>
      <c r="D653" s="82">
        <v>2498.3999999999996</v>
      </c>
    </row>
    <row r="654" spans="1:4" x14ac:dyDescent="0.3">
      <c r="A654" s="83" t="s">
        <v>25</v>
      </c>
      <c r="B654" s="83"/>
      <c r="C654" s="16">
        <v>46166</v>
      </c>
      <c r="D654" s="82">
        <v>114.3</v>
      </c>
    </row>
    <row r="655" spans="1:4" x14ac:dyDescent="0.3">
      <c r="A655" s="83" t="s">
        <v>26</v>
      </c>
      <c r="B655" s="83"/>
      <c r="C655" s="16">
        <v>46166</v>
      </c>
      <c r="D655" s="82">
        <v>2267.7200000000003</v>
      </c>
    </row>
    <row r="656" spans="1:4" x14ac:dyDescent="0.3">
      <c r="A656" s="83" t="s">
        <v>27</v>
      </c>
      <c r="B656" s="83"/>
      <c r="C656" s="16">
        <v>46166</v>
      </c>
      <c r="D656" s="82">
        <v>3349.94</v>
      </c>
    </row>
    <row r="657" spans="1:4" x14ac:dyDescent="0.3">
      <c r="A657" s="83" t="s">
        <v>28</v>
      </c>
      <c r="B657" s="83"/>
      <c r="C657" s="16">
        <v>46166</v>
      </c>
      <c r="D657" s="82">
        <v>1968.99</v>
      </c>
    </row>
    <row r="658" spans="1:4" x14ac:dyDescent="0.3">
      <c r="A658" s="83" t="s">
        <v>29</v>
      </c>
      <c r="B658" s="83"/>
      <c r="C658" s="16">
        <v>46166</v>
      </c>
      <c r="D658" s="82">
        <v>901.34</v>
      </c>
    </row>
    <row r="659" spans="1:4" x14ac:dyDescent="0.3">
      <c r="A659" s="83" t="s">
        <v>30</v>
      </c>
      <c r="B659" s="83"/>
      <c r="C659" s="16">
        <v>46166</v>
      </c>
      <c r="D659" s="82">
        <v>1444.08</v>
      </c>
    </row>
    <row r="660" spans="1:4" x14ac:dyDescent="0.3">
      <c r="A660" s="83" t="s">
        <v>31</v>
      </c>
      <c r="B660" s="83"/>
      <c r="C660" s="16">
        <v>46166</v>
      </c>
      <c r="D660" s="82">
        <v>15463.59999999996</v>
      </c>
    </row>
    <row r="661" spans="1:4" x14ac:dyDescent="0.3">
      <c r="A661" s="83" t="s">
        <v>32</v>
      </c>
      <c r="B661" s="83"/>
      <c r="C661" s="16">
        <v>46166</v>
      </c>
      <c r="D661" s="82">
        <v>15120.060000000001</v>
      </c>
    </row>
    <row r="662" spans="1:4" x14ac:dyDescent="0.3">
      <c r="A662" s="83" t="s">
        <v>33</v>
      </c>
      <c r="B662" s="83"/>
      <c r="C662" s="16">
        <v>46166</v>
      </c>
      <c r="D662" s="82">
        <v>29206.27</v>
      </c>
    </row>
    <row r="663" spans="1:4" x14ac:dyDescent="0.3">
      <c r="A663" s="83" t="s">
        <v>34</v>
      </c>
      <c r="B663" s="83"/>
      <c r="C663" s="16">
        <v>46166</v>
      </c>
      <c r="D663" s="82">
        <v>345</v>
      </c>
    </row>
    <row r="664" spans="1:4" x14ac:dyDescent="0.3">
      <c r="A664" s="83" t="s">
        <v>35</v>
      </c>
      <c r="B664" s="83"/>
      <c r="C664" s="16">
        <v>46166</v>
      </c>
      <c r="D664" s="82">
        <v>8168.0700000000006</v>
      </c>
    </row>
    <row r="665" spans="1:4" x14ac:dyDescent="0.3">
      <c r="A665" s="83" t="s">
        <v>193</v>
      </c>
      <c r="B665" s="83"/>
      <c r="C665" s="16">
        <v>46166</v>
      </c>
      <c r="D665" s="82">
        <v>0</v>
      </c>
    </row>
    <row r="666" spans="1:4" x14ac:dyDescent="0.3">
      <c r="A666" s="83" t="s">
        <v>214</v>
      </c>
      <c r="B666" s="83"/>
      <c r="C666" s="16">
        <v>46166</v>
      </c>
      <c r="D666" s="82">
        <v>0</v>
      </c>
    </row>
    <row r="667" spans="1:4" x14ac:dyDescent="0.3">
      <c r="A667" s="83" t="s">
        <v>194</v>
      </c>
      <c r="B667" s="83"/>
      <c r="C667" s="16">
        <v>46166</v>
      </c>
      <c r="D667" s="82">
        <v>0</v>
      </c>
    </row>
    <row r="668" spans="1:4" x14ac:dyDescent="0.3">
      <c r="A668" s="83" t="s">
        <v>195</v>
      </c>
      <c r="B668" s="83"/>
      <c r="C668" s="16">
        <v>46166</v>
      </c>
      <c r="D668" s="82">
        <v>0</v>
      </c>
    </row>
    <row r="669" spans="1:4" x14ac:dyDescent="0.3">
      <c r="A669" s="83" t="s">
        <v>196</v>
      </c>
      <c r="B669" s="83"/>
      <c r="C669" s="16">
        <v>46166</v>
      </c>
      <c r="D669" s="82">
        <v>0</v>
      </c>
    </row>
    <row r="670" spans="1:4" x14ac:dyDescent="0.3">
      <c r="A670" s="83" t="s">
        <v>197</v>
      </c>
      <c r="B670" s="83"/>
      <c r="C670" s="16">
        <v>46166</v>
      </c>
      <c r="D670" s="82">
        <v>0</v>
      </c>
    </row>
    <row r="671" spans="1:4" x14ac:dyDescent="0.3">
      <c r="A671" s="83" t="s">
        <v>212</v>
      </c>
      <c r="B671" s="83"/>
      <c r="C671" s="16">
        <v>46166</v>
      </c>
      <c r="D671" s="82">
        <v>0</v>
      </c>
    </row>
    <row r="672" spans="1:4" x14ac:dyDescent="0.3">
      <c r="A672" s="83" t="s">
        <v>199</v>
      </c>
      <c r="B672" s="83"/>
      <c r="C672" s="16">
        <v>46166</v>
      </c>
      <c r="D672" s="82">
        <v>0</v>
      </c>
    </row>
    <row r="673" spans="1:4" x14ac:dyDescent="0.3">
      <c r="A673" s="83" t="s">
        <v>216</v>
      </c>
      <c r="B673" s="83"/>
      <c r="C673" s="16">
        <v>46166</v>
      </c>
      <c r="D673" s="82">
        <v>0</v>
      </c>
    </row>
    <row r="674" spans="1:4" x14ac:dyDescent="0.3">
      <c r="A674" s="83" t="s">
        <v>17</v>
      </c>
      <c r="B674" s="83"/>
      <c r="C674" s="16">
        <v>46167</v>
      </c>
      <c r="D674" s="82">
        <v>142321.80000000013</v>
      </c>
    </row>
    <row r="675" spans="1:4" x14ac:dyDescent="0.3">
      <c r="A675" s="83" t="s">
        <v>18</v>
      </c>
      <c r="B675" s="83"/>
      <c r="C675" s="16">
        <v>46167</v>
      </c>
      <c r="D675" s="82">
        <v>659760.15999999992</v>
      </c>
    </row>
    <row r="676" spans="1:4" x14ac:dyDescent="0.3">
      <c r="A676" s="83" t="s">
        <v>19</v>
      </c>
      <c r="B676" s="83"/>
      <c r="C676" s="16">
        <v>46167</v>
      </c>
      <c r="D676" s="82">
        <v>1669.89</v>
      </c>
    </row>
    <row r="677" spans="1:4" x14ac:dyDescent="0.3">
      <c r="A677" s="83" t="s">
        <v>20</v>
      </c>
      <c r="B677" s="83"/>
      <c r="C677" s="16">
        <v>46167</v>
      </c>
      <c r="D677" s="82">
        <v>497076.20999999985</v>
      </c>
    </row>
    <row r="678" spans="1:4" x14ac:dyDescent="0.3">
      <c r="A678" s="83" t="s">
        <v>21</v>
      </c>
      <c r="B678" s="83"/>
      <c r="C678" s="16">
        <v>46167</v>
      </c>
      <c r="D678" s="82">
        <v>980426.88999999932</v>
      </c>
    </row>
    <row r="679" spans="1:4" x14ac:dyDescent="0.3">
      <c r="A679" s="83" t="s">
        <v>22</v>
      </c>
      <c r="B679" s="83"/>
      <c r="C679" s="16">
        <v>46167</v>
      </c>
      <c r="D679" s="82">
        <v>141496.38</v>
      </c>
    </row>
    <row r="680" spans="1:4" x14ac:dyDescent="0.3">
      <c r="A680" s="83" t="s">
        <v>23</v>
      </c>
      <c r="B680" s="83"/>
      <c r="C680" s="16">
        <v>46167</v>
      </c>
      <c r="D680" s="82">
        <v>88090.37</v>
      </c>
    </row>
    <row r="681" spans="1:4" x14ac:dyDescent="0.3">
      <c r="A681" s="83" t="s">
        <v>24</v>
      </c>
      <c r="B681" s="83"/>
      <c r="C681" s="16">
        <v>46167</v>
      </c>
      <c r="D681" s="82">
        <v>2498.3999999999996</v>
      </c>
    </row>
    <row r="682" spans="1:4" x14ac:dyDescent="0.3">
      <c r="A682" s="83" t="s">
        <v>25</v>
      </c>
      <c r="B682" s="83"/>
      <c r="C682" s="16">
        <v>46167</v>
      </c>
      <c r="D682" s="82">
        <v>114.3</v>
      </c>
    </row>
    <row r="683" spans="1:4" x14ac:dyDescent="0.3">
      <c r="A683" s="83" t="s">
        <v>26</v>
      </c>
      <c r="B683" s="83"/>
      <c r="C683" s="16">
        <v>46167</v>
      </c>
      <c r="D683" s="82">
        <v>2267.7200000000003</v>
      </c>
    </row>
    <row r="684" spans="1:4" x14ac:dyDescent="0.3">
      <c r="A684" s="83" t="s">
        <v>27</v>
      </c>
      <c r="B684" s="83"/>
      <c r="C684" s="16">
        <v>46167</v>
      </c>
      <c r="D684" s="82">
        <v>3349.94</v>
      </c>
    </row>
    <row r="685" spans="1:4" x14ac:dyDescent="0.3">
      <c r="A685" s="83" t="s">
        <v>28</v>
      </c>
      <c r="B685" s="83"/>
      <c r="C685" s="16">
        <v>46167</v>
      </c>
      <c r="D685" s="82">
        <v>1968.99</v>
      </c>
    </row>
    <row r="686" spans="1:4" x14ac:dyDescent="0.3">
      <c r="A686" s="83" t="s">
        <v>29</v>
      </c>
      <c r="B686" s="83"/>
      <c r="C686" s="16">
        <v>46167</v>
      </c>
      <c r="D686" s="82">
        <v>901.34</v>
      </c>
    </row>
    <row r="687" spans="1:4" x14ac:dyDescent="0.3">
      <c r="A687" s="83" t="s">
        <v>30</v>
      </c>
      <c r="B687" s="83"/>
      <c r="C687" s="16">
        <v>46167</v>
      </c>
      <c r="D687" s="82">
        <v>1444.08</v>
      </c>
    </row>
    <row r="688" spans="1:4" x14ac:dyDescent="0.3">
      <c r="A688" s="83" t="s">
        <v>31</v>
      </c>
      <c r="B688" s="83"/>
      <c r="C688" s="16">
        <v>46167</v>
      </c>
      <c r="D688" s="82">
        <v>15463.59999999996</v>
      </c>
    </row>
    <row r="689" spans="1:4" x14ac:dyDescent="0.3">
      <c r="A689" s="83" t="s">
        <v>32</v>
      </c>
      <c r="B689" s="83"/>
      <c r="C689" s="16">
        <v>46167</v>
      </c>
      <c r="D689" s="82">
        <v>15120.060000000001</v>
      </c>
    </row>
    <row r="690" spans="1:4" x14ac:dyDescent="0.3">
      <c r="A690" s="83" t="s">
        <v>33</v>
      </c>
      <c r="B690" s="83"/>
      <c r="C690" s="16">
        <v>46167</v>
      </c>
      <c r="D690" s="82">
        <v>29206.27</v>
      </c>
    </row>
    <row r="691" spans="1:4" x14ac:dyDescent="0.3">
      <c r="A691" s="83" t="s">
        <v>34</v>
      </c>
      <c r="B691" s="83"/>
      <c r="C691" s="16">
        <v>46167</v>
      </c>
      <c r="D691" s="82">
        <v>345</v>
      </c>
    </row>
    <row r="692" spans="1:4" x14ac:dyDescent="0.3">
      <c r="A692" s="83" t="s">
        <v>35</v>
      </c>
      <c r="B692" s="83"/>
      <c r="C692" s="16">
        <v>46167</v>
      </c>
      <c r="D692" s="82">
        <v>8168.0700000000006</v>
      </c>
    </row>
    <row r="693" spans="1:4" x14ac:dyDescent="0.3">
      <c r="A693" s="83" t="s">
        <v>193</v>
      </c>
      <c r="B693" s="83"/>
      <c r="C693" s="16">
        <v>46167</v>
      </c>
      <c r="D693" s="82">
        <v>0</v>
      </c>
    </row>
    <row r="694" spans="1:4" x14ac:dyDescent="0.3">
      <c r="A694" s="83" t="s">
        <v>214</v>
      </c>
      <c r="B694" s="83"/>
      <c r="C694" s="16">
        <v>46167</v>
      </c>
      <c r="D694" s="82">
        <v>0</v>
      </c>
    </row>
    <row r="695" spans="1:4" x14ac:dyDescent="0.3">
      <c r="A695" s="83" t="s">
        <v>194</v>
      </c>
      <c r="B695" s="83"/>
      <c r="C695" s="16">
        <v>46167</v>
      </c>
      <c r="D695" s="82">
        <v>0</v>
      </c>
    </row>
    <row r="696" spans="1:4" x14ac:dyDescent="0.3">
      <c r="A696" s="83" t="s">
        <v>195</v>
      </c>
      <c r="B696" s="83"/>
      <c r="C696" s="16">
        <v>46167</v>
      </c>
      <c r="D696" s="82">
        <v>0</v>
      </c>
    </row>
    <row r="697" spans="1:4" x14ac:dyDescent="0.3">
      <c r="A697" s="83" t="s">
        <v>196</v>
      </c>
      <c r="B697" s="83"/>
      <c r="C697" s="16">
        <v>46167</v>
      </c>
      <c r="D697" s="82">
        <v>0</v>
      </c>
    </row>
    <row r="698" spans="1:4" x14ac:dyDescent="0.3">
      <c r="A698" s="83" t="s">
        <v>197</v>
      </c>
      <c r="B698" s="83"/>
      <c r="C698" s="16">
        <v>46167</v>
      </c>
      <c r="D698" s="82">
        <v>0</v>
      </c>
    </row>
    <row r="699" spans="1:4" x14ac:dyDescent="0.3">
      <c r="A699" s="83" t="s">
        <v>212</v>
      </c>
      <c r="B699" s="83"/>
      <c r="C699" s="16">
        <v>46167</v>
      </c>
      <c r="D699" s="82">
        <v>0</v>
      </c>
    </row>
    <row r="700" spans="1:4" x14ac:dyDescent="0.3">
      <c r="A700" s="83" t="s">
        <v>199</v>
      </c>
      <c r="B700" s="83"/>
      <c r="C700" s="16">
        <v>46167</v>
      </c>
      <c r="D700" s="82">
        <v>0</v>
      </c>
    </row>
    <row r="701" spans="1:4" x14ac:dyDescent="0.3">
      <c r="A701" s="83" t="s">
        <v>216</v>
      </c>
      <c r="B701" s="83"/>
      <c r="C701" s="16">
        <v>46167</v>
      </c>
      <c r="D701" s="82">
        <v>0</v>
      </c>
    </row>
    <row r="702" spans="1:4" x14ac:dyDescent="0.3">
      <c r="A702" s="83" t="s">
        <v>17</v>
      </c>
      <c r="B702" s="83"/>
      <c r="C702" s="16">
        <v>46168</v>
      </c>
      <c r="D702" s="82">
        <v>253154.33000000013</v>
      </c>
    </row>
    <row r="703" spans="1:4" x14ac:dyDescent="0.3">
      <c r="A703" s="83" t="s">
        <v>18</v>
      </c>
      <c r="B703" s="83"/>
      <c r="C703" s="16">
        <v>46168</v>
      </c>
      <c r="D703" s="82">
        <v>1259760.1600000001</v>
      </c>
    </row>
    <row r="704" spans="1:4" x14ac:dyDescent="0.3">
      <c r="A704" s="83" t="s">
        <v>19</v>
      </c>
      <c r="B704" s="83"/>
      <c r="C704" s="16">
        <v>46168</v>
      </c>
      <c r="D704" s="82">
        <v>1669.89</v>
      </c>
    </row>
    <row r="705" spans="1:4" x14ac:dyDescent="0.3">
      <c r="A705" s="83" t="s">
        <v>20</v>
      </c>
      <c r="B705" s="83"/>
      <c r="C705" s="16">
        <v>46168</v>
      </c>
      <c r="D705" s="82">
        <v>497076.20999999985</v>
      </c>
    </row>
    <row r="706" spans="1:4" x14ac:dyDescent="0.3">
      <c r="A706" s="83" t="s">
        <v>21</v>
      </c>
      <c r="B706" s="83"/>
      <c r="C706" s="16">
        <v>46168</v>
      </c>
      <c r="D706" s="82">
        <v>980426.88999999932</v>
      </c>
    </row>
    <row r="707" spans="1:4" x14ac:dyDescent="0.3">
      <c r="A707" s="83" t="s">
        <v>22</v>
      </c>
      <c r="B707" s="83"/>
      <c r="C707" s="16">
        <v>46168</v>
      </c>
      <c r="D707" s="82">
        <v>141496.38</v>
      </c>
    </row>
    <row r="708" spans="1:4" x14ac:dyDescent="0.3">
      <c r="A708" s="83" t="s">
        <v>23</v>
      </c>
      <c r="B708" s="83"/>
      <c r="C708" s="16">
        <v>46168</v>
      </c>
      <c r="D708" s="82">
        <v>88090.37</v>
      </c>
    </row>
    <row r="709" spans="1:4" x14ac:dyDescent="0.3">
      <c r="A709" s="83" t="s">
        <v>24</v>
      </c>
      <c r="B709" s="83"/>
      <c r="C709" s="16">
        <v>46168</v>
      </c>
      <c r="D709" s="82">
        <v>2498.3999999999996</v>
      </c>
    </row>
    <row r="710" spans="1:4" x14ac:dyDescent="0.3">
      <c r="A710" s="83" t="s">
        <v>25</v>
      </c>
      <c r="B710" s="83"/>
      <c r="C710" s="16">
        <v>46168</v>
      </c>
      <c r="D710" s="82">
        <v>114.3</v>
      </c>
    </row>
    <row r="711" spans="1:4" x14ac:dyDescent="0.3">
      <c r="A711" s="83" t="s">
        <v>26</v>
      </c>
      <c r="B711" s="83"/>
      <c r="C711" s="16">
        <v>46168</v>
      </c>
      <c r="D711" s="82">
        <v>2267.7200000000003</v>
      </c>
    </row>
    <row r="712" spans="1:4" x14ac:dyDescent="0.3">
      <c r="A712" s="83" t="s">
        <v>27</v>
      </c>
      <c r="B712" s="83"/>
      <c r="C712" s="16">
        <v>46168</v>
      </c>
      <c r="D712" s="82">
        <v>3349.94</v>
      </c>
    </row>
    <row r="713" spans="1:4" x14ac:dyDescent="0.3">
      <c r="A713" s="83" t="s">
        <v>28</v>
      </c>
      <c r="B713" s="83"/>
      <c r="C713" s="16">
        <v>46168</v>
      </c>
      <c r="D713" s="82">
        <v>1968.99</v>
      </c>
    </row>
    <row r="714" spans="1:4" x14ac:dyDescent="0.3">
      <c r="A714" s="83" t="s">
        <v>29</v>
      </c>
      <c r="B714" s="83"/>
      <c r="C714" s="16">
        <v>46168</v>
      </c>
      <c r="D714" s="82">
        <v>901.34</v>
      </c>
    </row>
    <row r="715" spans="1:4" x14ac:dyDescent="0.3">
      <c r="A715" s="83" t="s">
        <v>30</v>
      </c>
      <c r="B715" s="83"/>
      <c r="C715" s="16">
        <v>46168</v>
      </c>
      <c r="D715" s="82">
        <v>1444.08</v>
      </c>
    </row>
    <row r="716" spans="1:4" x14ac:dyDescent="0.3">
      <c r="A716" s="83" t="s">
        <v>31</v>
      </c>
      <c r="B716" s="83"/>
      <c r="C716" s="16">
        <v>46168</v>
      </c>
      <c r="D716" s="82">
        <v>15463.59999999996</v>
      </c>
    </row>
    <row r="717" spans="1:4" x14ac:dyDescent="0.3">
      <c r="A717" s="83" t="s">
        <v>32</v>
      </c>
      <c r="B717" s="83"/>
      <c r="C717" s="16">
        <v>46168</v>
      </c>
      <c r="D717" s="82">
        <v>15120.060000000001</v>
      </c>
    </row>
    <row r="718" spans="1:4" x14ac:dyDescent="0.3">
      <c r="A718" s="83" t="s">
        <v>33</v>
      </c>
      <c r="B718" s="83"/>
      <c r="C718" s="16">
        <v>46168</v>
      </c>
      <c r="D718" s="82">
        <v>29206.27</v>
      </c>
    </row>
    <row r="719" spans="1:4" x14ac:dyDescent="0.3">
      <c r="A719" s="83" t="s">
        <v>34</v>
      </c>
      <c r="B719" s="83"/>
      <c r="C719" s="16">
        <v>46168</v>
      </c>
      <c r="D719" s="82">
        <v>345</v>
      </c>
    </row>
    <row r="720" spans="1:4" x14ac:dyDescent="0.3">
      <c r="A720" s="83" t="s">
        <v>35</v>
      </c>
      <c r="B720" s="83"/>
      <c r="C720" s="16">
        <v>46168</v>
      </c>
      <c r="D720" s="82">
        <v>8168.0700000000006</v>
      </c>
    </row>
    <row r="721" spans="1:4" x14ac:dyDescent="0.3">
      <c r="A721" s="83" t="s">
        <v>193</v>
      </c>
      <c r="B721" s="83"/>
      <c r="C721" s="16">
        <v>46168</v>
      </c>
      <c r="D721" s="82">
        <v>0</v>
      </c>
    </row>
    <row r="722" spans="1:4" x14ac:dyDescent="0.3">
      <c r="A722" s="83" t="s">
        <v>214</v>
      </c>
      <c r="B722" s="83"/>
      <c r="C722" s="16">
        <v>46168</v>
      </c>
      <c r="D722" s="82">
        <v>0</v>
      </c>
    </row>
    <row r="723" spans="1:4" x14ac:dyDescent="0.3">
      <c r="A723" s="83" t="s">
        <v>194</v>
      </c>
      <c r="B723" s="83"/>
      <c r="C723" s="16">
        <v>46168</v>
      </c>
      <c r="D723" s="82">
        <v>0</v>
      </c>
    </row>
    <row r="724" spans="1:4" x14ac:dyDescent="0.3">
      <c r="A724" s="83" t="s">
        <v>195</v>
      </c>
      <c r="B724" s="83"/>
      <c r="C724" s="16">
        <v>46168</v>
      </c>
      <c r="D724" s="82">
        <v>0</v>
      </c>
    </row>
    <row r="725" spans="1:4" x14ac:dyDescent="0.3">
      <c r="A725" s="83" t="s">
        <v>196</v>
      </c>
      <c r="B725" s="83"/>
      <c r="C725" s="16">
        <v>46168</v>
      </c>
      <c r="D725" s="82">
        <v>0</v>
      </c>
    </row>
    <row r="726" spans="1:4" x14ac:dyDescent="0.3">
      <c r="A726" s="83" t="s">
        <v>197</v>
      </c>
      <c r="B726" s="83"/>
      <c r="C726" s="16">
        <v>46168</v>
      </c>
      <c r="D726" s="82">
        <v>0</v>
      </c>
    </row>
    <row r="727" spans="1:4" x14ac:dyDescent="0.3">
      <c r="A727" s="83" t="s">
        <v>212</v>
      </c>
      <c r="B727" s="83"/>
      <c r="C727" s="16">
        <v>46168</v>
      </c>
      <c r="D727" s="82">
        <v>0</v>
      </c>
    </row>
    <row r="728" spans="1:4" x14ac:dyDescent="0.3">
      <c r="A728" s="83" t="s">
        <v>199</v>
      </c>
      <c r="B728" s="83"/>
      <c r="C728" s="16">
        <v>46168</v>
      </c>
      <c r="D728" s="82">
        <v>0</v>
      </c>
    </row>
    <row r="729" spans="1:4" x14ac:dyDescent="0.3">
      <c r="A729" s="83" t="s">
        <v>216</v>
      </c>
      <c r="B729" s="83"/>
      <c r="C729" s="16">
        <v>46168</v>
      </c>
      <c r="D729" s="82">
        <v>0</v>
      </c>
    </row>
    <row r="730" spans="1:4" x14ac:dyDescent="0.3">
      <c r="A730" s="83" t="s">
        <v>17</v>
      </c>
      <c r="B730" s="83"/>
      <c r="C730" s="16">
        <v>46169</v>
      </c>
      <c r="D730" s="82">
        <v>259371.70000000013</v>
      </c>
    </row>
    <row r="731" spans="1:4" x14ac:dyDescent="0.3">
      <c r="A731" s="83" t="s">
        <v>18</v>
      </c>
      <c r="B731" s="83"/>
      <c r="C731" s="16">
        <v>46169</v>
      </c>
      <c r="D731" s="82">
        <v>1259760.1600000001</v>
      </c>
    </row>
    <row r="732" spans="1:4" x14ac:dyDescent="0.3">
      <c r="A732" s="83" t="s">
        <v>19</v>
      </c>
      <c r="B732" s="83"/>
      <c r="C732" s="16">
        <v>46169</v>
      </c>
      <c r="D732" s="82">
        <v>1669.89</v>
      </c>
    </row>
    <row r="733" spans="1:4" x14ac:dyDescent="0.3">
      <c r="A733" s="83" t="s">
        <v>20</v>
      </c>
      <c r="B733" s="83"/>
      <c r="C733" s="16">
        <v>46169</v>
      </c>
      <c r="D733" s="82">
        <v>514616.73999999987</v>
      </c>
    </row>
    <row r="734" spans="1:4" x14ac:dyDescent="0.3">
      <c r="A734" s="83" t="s">
        <v>21</v>
      </c>
      <c r="B734" s="83"/>
      <c r="C734" s="16">
        <v>46169</v>
      </c>
      <c r="D734" s="82">
        <v>980426.88999999932</v>
      </c>
    </row>
    <row r="735" spans="1:4" x14ac:dyDescent="0.3">
      <c r="A735" s="83" t="s">
        <v>22</v>
      </c>
      <c r="B735" s="83"/>
      <c r="C735" s="16">
        <v>46169</v>
      </c>
      <c r="D735" s="82">
        <v>131496.38</v>
      </c>
    </row>
    <row r="736" spans="1:4" x14ac:dyDescent="0.3">
      <c r="A736" s="83" t="s">
        <v>23</v>
      </c>
      <c r="B736" s="83"/>
      <c r="C736" s="16">
        <v>46169</v>
      </c>
      <c r="D736" s="82">
        <v>88090.37</v>
      </c>
    </row>
    <row r="737" spans="1:4" x14ac:dyDescent="0.3">
      <c r="A737" s="83" t="s">
        <v>24</v>
      </c>
      <c r="B737" s="83"/>
      <c r="C737" s="16">
        <v>46169</v>
      </c>
      <c r="D737" s="82">
        <v>2498.3999999999996</v>
      </c>
    </row>
    <row r="738" spans="1:4" x14ac:dyDescent="0.3">
      <c r="A738" s="83" t="s">
        <v>25</v>
      </c>
      <c r="B738" s="83"/>
      <c r="C738" s="16">
        <v>46169</v>
      </c>
      <c r="D738" s="82">
        <v>114.3</v>
      </c>
    </row>
    <row r="739" spans="1:4" x14ac:dyDescent="0.3">
      <c r="A739" s="83" t="s">
        <v>26</v>
      </c>
      <c r="B739" s="83"/>
      <c r="C739" s="16">
        <v>46169</v>
      </c>
      <c r="D739" s="82">
        <v>2267.7200000000003</v>
      </c>
    </row>
    <row r="740" spans="1:4" x14ac:dyDescent="0.3">
      <c r="A740" s="83" t="s">
        <v>27</v>
      </c>
      <c r="B740" s="83"/>
      <c r="C740" s="16">
        <v>46169</v>
      </c>
      <c r="D740" s="82">
        <v>3349.94</v>
      </c>
    </row>
    <row r="741" spans="1:4" x14ac:dyDescent="0.3">
      <c r="A741" s="83" t="s">
        <v>28</v>
      </c>
      <c r="B741" s="83"/>
      <c r="C741" s="16">
        <v>46169</v>
      </c>
      <c r="D741" s="82">
        <v>1968.99</v>
      </c>
    </row>
    <row r="742" spans="1:4" x14ac:dyDescent="0.3">
      <c r="A742" s="83" t="s">
        <v>29</v>
      </c>
      <c r="B742" s="83"/>
      <c r="C742" s="16">
        <v>46169</v>
      </c>
      <c r="D742" s="82">
        <v>901.34</v>
      </c>
    </row>
    <row r="743" spans="1:4" x14ac:dyDescent="0.3">
      <c r="A743" s="83" t="s">
        <v>30</v>
      </c>
      <c r="B743" s="83"/>
      <c r="C743" s="16">
        <v>46169</v>
      </c>
      <c r="D743" s="82">
        <v>1444.08</v>
      </c>
    </row>
    <row r="744" spans="1:4" x14ac:dyDescent="0.3">
      <c r="A744" s="83" t="s">
        <v>31</v>
      </c>
      <c r="B744" s="83"/>
      <c r="C744" s="16">
        <v>46169</v>
      </c>
      <c r="D744" s="82">
        <v>15463.59999999996</v>
      </c>
    </row>
    <row r="745" spans="1:4" x14ac:dyDescent="0.3">
      <c r="A745" s="83" t="s">
        <v>32</v>
      </c>
      <c r="B745" s="83"/>
      <c r="C745" s="16">
        <v>46169</v>
      </c>
      <c r="D745" s="82">
        <v>15120.060000000001</v>
      </c>
    </row>
    <row r="746" spans="1:4" x14ac:dyDescent="0.3">
      <c r="A746" s="83" t="s">
        <v>33</v>
      </c>
      <c r="B746" s="83"/>
      <c r="C746" s="16">
        <v>46169</v>
      </c>
      <c r="D746" s="82">
        <v>33606.270000000004</v>
      </c>
    </row>
    <row r="747" spans="1:4" x14ac:dyDescent="0.3">
      <c r="A747" s="83" t="s">
        <v>34</v>
      </c>
      <c r="B747" s="83"/>
      <c r="C747" s="16">
        <v>46169</v>
      </c>
      <c r="D747" s="82">
        <v>345</v>
      </c>
    </row>
    <row r="748" spans="1:4" x14ac:dyDescent="0.3">
      <c r="A748" s="83" t="s">
        <v>35</v>
      </c>
      <c r="B748" s="83"/>
      <c r="C748" s="16">
        <v>46169</v>
      </c>
      <c r="D748" s="82">
        <v>17588.03</v>
      </c>
    </row>
    <row r="749" spans="1:4" x14ac:dyDescent="0.3">
      <c r="A749" s="83" t="s">
        <v>193</v>
      </c>
      <c r="B749" s="83"/>
      <c r="C749" s="16">
        <v>46169</v>
      </c>
      <c r="D749" s="82">
        <v>0</v>
      </c>
    </row>
    <row r="750" spans="1:4" x14ac:dyDescent="0.3">
      <c r="A750" s="83" t="s">
        <v>214</v>
      </c>
      <c r="B750" s="83"/>
      <c r="C750" s="16">
        <v>46169</v>
      </c>
      <c r="D750" s="82">
        <v>0</v>
      </c>
    </row>
    <row r="751" spans="1:4" x14ac:dyDescent="0.3">
      <c r="A751" s="83" t="s">
        <v>194</v>
      </c>
      <c r="B751" s="83"/>
      <c r="C751" s="16">
        <v>46169</v>
      </c>
      <c r="D751" s="82">
        <v>0</v>
      </c>
    </row>
    <row r="752" spans="1:4" x14ac:dyDescent="0.3">
      <c r="A752" s="83" t="s">
        <v>195</v>
      </c>
      <c r="B752" s="83"/>
      <c r="C752" s="16">
        <v>46169</v>
      </c>
      <c r="D752" s="82">
        <v>0</v>
      </c>
    </row>
    <row r="753" spans="1:4" x14ac:dyDescent="0.3">
      <c r="A753" s="83" t="s">
        <v>196</v>
      </c>
      <c r="B753" s="83"/>
      <c r="C753" s="16">
        <v>46169</v>
      </c>
      <c r="D753" s="82">
        <v>0</v>
      </c>
    </row>
    <row r="754" spans="1:4" x14ac:dyDescent="0.3">
      <c r="A754" s="83" t="s">
        <v>197</v>
      </c>
      <c r="B754" s="83"/>
      <c r="C754" s="16">
        <v>46169</v>
      </c>
      <c r="D754" s="82">
        <v>0</v>
      </c>
    </row>
    <row r="755" spans="1:4" x14ac:dyDescent="0.3">
      <c r="A755" s="83" t="s">
        <v>212</v>
      </c>
      <c r="B755" s="83"/>
      <c r="C755" s="16">
        <v>46169</v>
      </c>
      <c r="D755" s="82">
        <v>0</v>
      </c>
    </row>
    <row r="756" spans="1:4" x14ac:dyDescent="0.3">
      <c r="A756" s="83" t="s">
        <v>199</v>
      </c>
      <c r="B756" s="83"/>
      <c r="C756" s="16">
        <v>46169</v>
      </c>
      <c r="D756" s="82">
        <v>0</v>
      </c>
    </row>
    <row r="757" spans="1:4" x14ac:dyDescent="0.3">
      <c r="A757" s="83" t="s">
        <v>216</v>
      </c>
      <c r="B757" s="83"/>
      <c r="C757" s="16">
        <v>46169</v>
      </c>
      <c r="D757" s="82">
        <v>0</v>
      </c>
    </row>
    <row r="758" spans="1:4" x14ac:dyDescent="0.3">
      <c r="A758" s="83" t="s">
        <v>17</v>
      </c>
      <c r="B758" s="83"/>
      <c r="C758" s="16">
        <v>46170</v>
      </c>
      <c r="D758" s="82">
        <v>986983.19000000006</v>
      </c>
    </row>
    <row r="759" spans="1:4" x14ac:dyDescent="0.3">
      <c r="A759" s="83" t="s">
        <v>18</v>
      </c>
      <c r="B759" s="83"/>
      <c r="C759" s="16">
        <v>46170</v>
      </c>
      <c r="D759" s="82">
        <v>62397.280000000173</v>
      </c>
    </row>
    <row r="760" spans="1:4" x14ac:dyDescent="0.3">
      <c r="A760" s="83" t="s">
        <v>19</v>
      </c>
      <c r="B760" s="83"/>
      <c r="C760" s="16">
        <v>46170</v>
      </c>
      <c r="D760" s="82">
        <v>1669.89</v>
      </c>
    </row>
    <row r="761" spans="1:4" x14ac:dyDescent="0.3">
      <c r="A761" s="83" t="s">
        <v>20</v>
      </c>
      <c r="B761" s="83"/>
      <c r="C761" s="16">
        <v>46170</v>
      </c>
      <c r="D761" s="82">
        <v>376595.84999999986</v>
      </c>
    </row>
    <row r="762" spans="1:4" x14ac:dyDescent="0.3">
      <c r="A762" s="83" t="s">
        <v>21</v>
      </c>
      <c r="B762" s="83"/>
      <c r="C762" s="16">
        <v>46170</v>
      </c>
      <c r="D762" s="82">
        <v>1090396.4799999993</v>
      </c>
    </row>
    <row r="763" spans="1:4" x14ac:dyDescent="0.3">
      <c r="A763" s="83" t="s">
        <v>22</v>
      </c>
      <c r="B763" s="83"/>
      <c r="C763" s="16">
        <v>46170</v>
      </c>
      <c r="D763" s="82">
        <v>131496.38</v>
      </c>
    </row>
    <row r="764" spans="1:4" x14ac:dyDescent="0.3">
      <c r="A764" s="83" t="s">
        <v>23</v>
      </c>
      <c r="B764" s="83"/>
      <c r="C764" s="16">
        <v>46170</v>
      </c>
      <c r="D764" s="82">
        <v>88090.37</v>
      </c>
    </row>
    <row r="765" spans="1:4" x14ac:dyDescent="0.3">
      <c r="A765" s="83" t="s">
        <v>24</v>
      </c>
      <c r="B765" s="83"/>
      <c r="C765" s="16">
        <v>46170</v>
      </c>
      <c r="D765" s="82">
        <v>2498.3999999999996</v>
      </c>
    </row>
    <row r="766" spans="1:4" x14ac:dyDescent="0.3">
      <c r="A766" s="83" t="s">
        <v>25</v>
      </c>
      <c r="B766" s="83"/>
      <c r="C766" s="16">
        <v>46170</v>
      </c>
      <c r="D766" s="82">
        <v>114.3</v>
      </c>
    </row>
    <row r="767" spans="1:4" x14ac:dyDescent="0.3">
      <c r="A767" s="83" t="s">
        <v>26</v>
      </c>
      <c r="B767" s="83"/>
      <c r="C767" s="16">
        <v>46170</v>
      </c>
      <c r="D767" s="82">
        <v>2267.7200000000003</v>
      </c>
    </row>
    <row r="768" spans="1:4" x14ac:dyDescent="0.3">
      <c r="A768" s="83" t="s">
        <v>27</v>
      </c>
      <c r="B768" s="83"/>
      <c r="C768" s="16">
        <v>46170</v>
      </c>
      <c r="D768" s="82">
        <v>3349.94</v>
      </c>
    </row>
    <row r="769" spans="1:4" x14ac:dyDescent="0.3">
      <c r="A769" s="83" t="s">
        <v>28</v>
      </c>
      <c r="B769" s="83"/>
      <c r="C769" s="16">
        <v>46170</v>
      </c>
      <c r="D769" s="82">
        <v>1968.99</v>
      </c>
    </row>
    <row r="770" spans="1:4" x14ac:dyDescent="0.3">
      <c r="A770" s="83" t="s">
        <v>29</v>
      </c>
      <c r="B770" s="83"/>
      <c r="C770" s="16">
        <v>46170</v>
      </c>
      <c r="D770" s="82">
        <v>901.34</v>
      </c>
    </row>
    <row r="771" spans="1:4" x14ac:dyDescent="0.3">
      <c r="A771" s="83" t="s">
        <v>30</v>
      </c>
      <c r="B771" s="83"/>
      <c r="C771" s="16">
        <v>46170</v>
      </c>
      <c r="D771" s="82">
        <v>1444.08</v>
      </c>
    </row>
    <row r="772" spans="1:4" x14ac:dyDescent="0.3">
      <c r="A772" s="83" t="s">
        <v>31</v>
      </c>
      <c r="B772" s="83"/>
      <c r="C772" s="16">
        <v>46170</v>
      </c>
      <c r="D772" s="82">
        <v>35463.599999999962</v>
      </c>
    </row>
    <row r="773" spans="1:4" x14ac:dyDescent="0.3">
      <c r="A773" s="83" t="s">
        <v>32</v>
      </c>
      <c r="B773" s="83"/>
      <c r="C773" s="16">
        <v>46170</v>
      </c>
      <c r="D773" s="82">
        <v>15120.060000000001</v>
      </c>
    </row>
    <row r="774" spans="1:4" x14ac:dyDescent="0.3">
      <c r="A774" s="83" t="s">
        <v>33</v>
      </c>
      <c r="B774" s="83"/>
      <c r="C774" s="16">
        <v>46170</v>
      </c>
      <c r="D774" s="82">
        <v>33606.270000000004</v>
      </c>
    </row>
    <row r="775" spans="1:4" x14ac:dyDescent="0.3">
      <c r="A775" s="83" t="s">
        <v>34</v>
      </c>
      <c r="B775" s="83"/>
      <c r="C775" s="16">
        <v>46170</v>
      </c>
      <c r="D775" s="82">
        <v>345</v>
      </c>
    </row>
    <row r="776" spans="1:4" x14ac:dyDescent="0.3">
      <c r="A776" s="83" t="s">
        <v>35</v>
      </c>
      <c r="B776" s="83"/>
      <c r="C776" s="16">
        <v>46170</v>
      </c>
      <c r="D776" s="82">
        <v>9076.2400000000016</v>
      </c>
    </row>
    <row r="777" spans="1:4" x14ac:dyDescent="0.3">
      <c r="A777" s="83" t="s">
        <v>193</v>
      </c>
      <c r="B777" s="83"/>
      <c r="C777" s="16">
        <v>46170</v>
      </c>
      <c r="D777" s="82">
        <v>0</v>
      </c>
    </row>
    <row r="778" spans="1:4" x14ac:dyDescent="0.3">
      <c r="A778" s="83" t="s">
        <v>214</v>
      </c>
      <c r="B778" s="83"/>
      <c r="C778" s="16">
        <v>46170</v>
      </c>
      <c r="D778" s="82">
        <v>0</v>
      </c>
    </row>
    <row r="779" spans="1:4" x14ac:dyDescent="0.3">
      <c r="A779" s="83" t="s">
        <v>194</v>
      </c>
      <c r="B779" s="83"/>
      <c r="C779" s="16">
        <v>46170</v>
      </c>
      <c r="D779" s="82">
        <v>0</v>
      </c>
    </row>
    <row r="780" spans="1:4" x14ac:dyDescent="0.3">
      <c r="A780" s="83" t="s">
        <v>195</v>
      </c>
      <c r="B780" s="83"/>
      <c r="C780" s="16">
        <v>46170</v>
      </c>
      <c r="D780" s="82">
        <v>0</v>
      </c>
    </row>
    <row r="781" spans="1:4" x14ac:dyDescent="0.3">
      <c r="A781" s="83" t="s">
        <v>196</v>
      </c>
      <c r="B781" s="83"/>
      <c r="C781" s="16">
        <v>46170</v>
      </c>
      <c r="D781" s="82">
        <v>0</v>
      </c>
    </row>
    <row r="782" spans="1:4" x14ac:dyDescent="0.3">
      <c r="A782" s="83" t="s">
        <v>197</v>
      </c>
      <c r="B782" s="83"/>
      <c r="C782" s="16">
        <v>46170</v>
      </c>
      <c r="D782" s="82">
        <v>0</v>
      </c>
    </row>
    <row r="783" spans="1:4" x14ac:dyDescent="0.3">
      <c r="A783" s="83" t="s">
        <v>212</v>
      </c>
      <c r="B783" s="83"/>
      <c r="C783" s="16">
        <v>46170</v>
      </c>
      <c r="D783" s="82">
        <v>0</v>
      </c>
    </row>
    <row r="784" spans="1:4" x14ac:dyDescent="0.3">
      <c r="A784" s="83" t="s">
        <v>199</v>
      </c>
      <c r="B784" s="83"/>
      <c r="C784" s="16">
        <v>46170</v>
      </c>
      <c r="D784" s="82">
        <v>0</v>
      </c>
    </row>
    <row r="785" spans="1:4" x14ac:dyDescent="0.3">
      <c r="A785" s="83" t="s">
        <v>216</v>
      </c>
      <c r="B785" s="83"/>
      <c r="C785" s="16">
        <v>46170</v>
      </c>
      <c r="D785" s="82">
        <v>0</v>
      </c>
    </row>
    <row r="786" spans="1:4" x14ac:dyDescent="0.3">
      <c r="A786" s="83" t="s">
        <v>17</v>
      </c>
      <c r="B786" s="83"/>
      <c r="C786" s="16">
        <v>46171</v>
      </c>
      <c r="D786" s="82">
        <v>983394.14000000013</v>
      </c>
    </row>
    <row r="787" spans="1:4" x14ac:dyDescent="0.3">
      <c r="A787" s="83" t="s">
        <v>18</v>
      </c>
      <c r="B787" s="83"/>
      <c r="C787" s="16">
        <v>46171</v>
      </c>
      <c r="D787" s="82">
        <v>62397.280000000173</v>
      </c>
    </row>
    <row r="788" spans="1:4" x14ac:dyDescent="0.3">
      <c r="A788" s="83" t="s">
        <v>19</v>
      </c>
      <c r="B788" s="83"/>
      <c r="C788" s="16">
        <v>46171</v>
      </c>
      <c r="D788" s="82">
        <v>1669.89</v>
      </c>
    </row>
    <row r="789" spans="1:4" x14ac:dyDescent="0.3">
      <c r="A789" s="83" t="s">
        <v>20</v>
      </c>
      <c r="B789" s="83"/>
      <c r="C789" s="16">
        <v>46171</v>
      </c>
      <c r="D789" s="82">
        <v>424853.11999999988</v>
      </c>
    </row>
    <row r="790" spans="1:4" x14ac:dyDescent="0.3">
      <c r="A790" s="83" t="s">
        <v>21</v>
      </c>
      <c r="B790" s="83"/>
      <c r="C790" s="16">
        <v>46171</v>
      </c>
      <c r="D790" s="82">
        <v>1015901.6699999992</v>
      </c>
    </row>
    <row r="791" spans="1:4" x14ac:dyDescent="0.3">
      <c r="A791" s="83" t="s">
        <v>22</v>
      </c>
      <c r="B791" s="83"/>
      <c r="C791" s="16">
        <v>46171</v>
      </c>
      <c r="D791" s="82">
        <v>131496.38</v>
      </c>
    </row>
    <row r="792" spans="1:4" x14ac:dyDescent="0.3">
      <c r="A792" s="83" t="s">
        <v>23</v>
      </c>
      <c r="B792" s="83"/>
      <c r="C792" s="16">
        <v>46171</v>
      </c>
      <c r="D792" s="82">
        <v>88090.37</v>
      </c>
    </row>
    <row r="793" spans="1:4" x14ac:dyDescent="0.3">
      <c r="A793" s="83" t="s">
        <v>24</v>
      </c>
      <c r="B793" s="83"/>
      <c r="C793" s="16">
        <v>46171</v>
      </c>
      <c r="D793" s="82">
        <v>1227.9699999999998</v>
      </c>
    </row>
    <row r="794" spans="1:4" x14ac:dyDescent="0.3">
      <c r="A794" s="83" t="s">
        <v>25</v>
      </c>
      <c r="B794" s="83"/>
      <c r="C794" s="16">
        <v>46171</v>
      </c>
      <c r="D794" s="82">
        <v>114.3</v>
      </c>
    </row>
    <row r="795" spans="1:4" x14ac:dyDescent="0.3">
      <c r="A795" s="83" t="s">
        <v>26</v>
      </c>
      <c r="B795" s="83"/>
      <c r="C795" s="16">
        <v>46171</v>
      </c>
      <c r="D795" s="82">
        <v>2267.7200000000003</v>
      </c>
    </row>
    <row r="796" spans="1:4" x14ac:dyDescent="0.3">
      <c r="A796" s="83" t="s">
        <v>27</v>
      </c>
      <c r="B796" s="83"/>
      <c r="C796" s="16">
        <v>46171</v>
      </c>
      <c r="D796" s="82">
        <v>3349.94</v>
      </c>
    </row>
    <row r="797" spans="1:4" x14ac:dyDescent="0.3">
      <c r="A797" s="83" t="s">
        <v>28</v>
      </c>
      <c r="B797" s="83"/>
      <c r="C797" s="16">
        <v>46171</v>
      </c>
      <c r="D797" s="82">
        <v>1968.99</v>
      </c>
    </row>
    <row r="798" spans="1:4" x14ac:dyDescent="0.3">
      <c r="A798" s="83" t="s">
        <v>29</v>
      </c>
      <c r="B798" s="83"/>
      <c r="C798" s="16">
        <v>46171</v>
      </c>
      <c r="D798" s="82">
        <v>901.34</v>
      </c>
    </row>
    <row r="799" spans="1:4" x14ac:dyDescent="0.3">
      <c r="A799" s="83" t="s">
        <v>30</v>
      </c>
      <c r="B799" s="83"/>
      <c r="C799" s="16">
        <v>46171</v>
      </c>
      <c r="D799" s="82">
        <v>1444.08</v>
      </c>
    </row>
    <row r="800" spans="1:4" x14ac:dyDescent="0.3">
      <c r="A800" s="83" t="s">
        <v>31</v>
      </c>
      <c r="B800" s="83"/>
      <c r="C800" s="16">
        <v>46171</v>
      </c>
      <c r="D800" s="82">
        <v>35448.599999999962</v>
      </c>
    </row>
    <row r="801" spans="1:4" x14ac:dyDescent="0.3">
      <c r="A801" s="83" t="s">
        <v>32</v>
      </c>
      <c r="B801" s="83"/>
      <c r="C801" s="16">
        <v>46171</v>
      </c>
      <c r="D801" s="82">
        <v>15120.060000000001</v>
      </c>
    </row>
    <row r="802" spans="1:4" x14ac:dyDescent="0.3">
      <c r="A802" s="83" t="s">
        <v>33</v>
      </c>
      <c r="B802" s="83"/>
      <c r="C802" s="16">
        <v>46171</v>
      </c>
      <c r="D802" s="82">
        <v>33606.270000000004</v>
      </c>
    </row>
    <row r="803" spans="1:4" x14ac:dyDescent="0.3">
      <c r="A803" s="83" t="s">
        <v>34</v>
      </c>
      <c r="B803" s="83"/>
      <c r="C803" s="16">
        <v>46171</v>
      </c>
      <c r="D803" s="82">
        <v>345</v>
      </c>
    </row>
    <row r="804" spans="1:4" x14ac:dyDescent="0.3">
      <c r="A804" s="83" t="s">
        <v>35</v>
      </c>
      <c r="B804" s="83"/>
      <c r="C804" s="16">
        <v>46171</v>
      </c>
      <c r="D804" s="82">
        <v>9076.2400000000016</v>
      </c>
    </row>
    <row r="805" spans="1:4" x14ac:dyDescent="0.3">
      <c r="A805" s="83" t="s">
        <v>193</v>
      </c>
      <c r="B805" s="83"/>
      <c r="C805" s="16">
        <v>46171</v>
      </c>
      <c r="D805" s="82">
        <v>0</v>
      </c>
    </row>
    <row r="806" spans="1:4" x14ac:dyDescent="0.3">
      <c r="A806" s="83" t="s">
        <v>214</v>
      </c>
      <c r="B806" s="83"/>
      <c r="C806" s="16">
        <v>46171</v>
      </c>
      <c r="D806" s="82">
        <v>0</v>
      </c>
    </row>
    <row r="807" spans="1:4" x14ac:dyDescent="0.3">
      <c r="A807" s="83" t="s">
        <v>194</v>
      </c>
      <c r="B807" s="83"/>
      <c r="C807" s="16">
        <v>46171</v>
      </c>
      <c r="D807" s="82">
        <v>0</v>
      </c>
    </row>
    <row r="808" spans="1:4" x14ac:dyDescent="0.3">
      <c r="A808" s="83" t="s">
        <v>195</v>
      </c>
      <c r="B808" s="83"/>
      <c r="C808" s="16">
        <v>46171</v>
      </c>
      <c r="D808" s="82">
        <v>0</v>
      </c>
    </row>
    <row r="809" spans="1:4" x14ac:dyDescent="0.3">
      <c r="A809" s="83" t="s">
        <v>196</v>
      </c>
      <c r="B809" s="83"/>
      <c r="C809" s="16">
        <v>46171</v>
      </c>
      <c r="D809" s="82">
        <v>0</v>
      </c>
    </row>
    <row r="810" spans="1:4" x14ac:dyDescent="0.3">
      <c r="A810" s="83" t="s">
        <v>197</v>
      </c>
      <c r="B810" s="83"/>
      <c r="C810" s="16">
        <v>46171</v>
      </c>
      <c r="D810" s="82">
        <v>0</v>
      </c>
    </row>
    <row r="811" spans="1:4" x14ac:dyDescent="0.3">
      <c r="A811" s="83" t="s">
        <v>212</v>
      </c>
      <c r="B811" s="83"/>
      <c r="C811" s="16">
        <v>46171</v>
      </c>
      <c r="D811" s="82">
        <v>0</v>
      </c>
    </row>
    <row r="812" spans="1:4" x14ac:dyDescent="0.3">
      <c r="A812" s="83" t="s">
        <v>199</v>
      </c>
      <c r="B812" s="83"/>
      <c r="C812" s="16">
        <v>46171</v>
      </c>
      <c r="D812" s="82">
        <v>0</v>
      </c>
    </row>
    <row r="813" spans="1:4" x14ac:dyDescent="0.3">
      <c r="A813" s="83" t="s">
        <v>216</v>
      </c>
      <c r="B813" s="83"/>
      <c r="C813" s="16">
        <v>46171</v>
      </c>
      <c r="D813" s="82">
        <v>0</v>
      </c>
    </row>
    <row r="814" spans="1:4" x14ac:dyDescent="0.3">
      <c r="A814" s="83" t="s">
        <v>17</v>
      </c>
      <c r="B814" s="83"/>
      <c r="C814" s="16">
        <v>46172</v>
      </c>
      <c r="D814" s="82">
        <v>983394.14000000013</v>
      </c>
    </row>
    <row r="815" spans="1:4" x14ac:dyDescent="0.3">
      <c r="A815" s="83" t="s">
        <v>18</v>
      </c>
      <c r="B815" s="83"/>
      <c r="C815" s="16">
        <v>46172</v>
      </c>
      <c r="D815" s="82">
        <v>62397.280000000173</v>
      </c>
    </row>
    <row r="816" spans="1:4" x14ac:dyDescent="0.3">
      <c r="A816" s="83" t="s">
        <v>19</v>
      </c>
      <c r="B816" s="83"/>
      <c r="C816" s="16">
        <v>46172</v>
      </c>
      <c r="D816" s="82">
        <v>1669.89</v>
      </c>
    </row>
    <row r="817" spans="1:4" x14ac:dyDescent="0.3">
      <c r="A817" s="83" t="s">
        <v>20</v>
      </c>
      <c r="B817" s="83"/>
      <c r="C817" s="16">
        <v>46172</v>
      </c>
      <c r="D817" s="82">
        <v>424853.11999999988</v>
      </c>
    </row>
    <row r="818" spans="1:4" x14ac:dyDescent="0.3">
      <c r="A818" s="83" t="s">
        <v>21</v>
      </c>
      <c r="B818" s="83"/>
      <c r="C818" s="16">
        <v>46172</v>
      </c>
      <c r="D818" s="82">
        <v>1015901.6699999992</v>
      </c>
    </row>
    <row r="819" spans="1:4" x14ac:dyDescent="0.3">
      <c r="A819" s="83" t="s">
        <v>22</v>
      </c>
      <c r="B819" s="83"/>
      <c r="C819" s="16">
        <v>46172</v>
      </c>
      <c r="D819" s="82">
        <v>131496.38</v>
      </c>
    </row>
    <row r="820" spans="1:4" x14ac:dyDescent="0.3">
      <c r="A820" s="83" t="s">
        <v>23</v>
      </c>
      <c r="B820" s="83"/>
      <c r="C820" s="16">
        <v>46172</v>
      </c>
      <c r="D820" s="82">
        <v>88090.37</v>
      </c>
    </row>
    <row r="821" spans="1:4" x14ac:dyDescent="0.3">
      <c r="A821" s="83" t="s">
        <v>24</v>
      </c>
      <c r="B821" s="83"/>
      <c r="C821" s="16">
        <v>46172</v>
      </c>
      <c r="D821" s="82">
        <v>1227.9699999999998</v>
      </c>
    </row>
    <row r="822" spans="1:4" x14ac:dyDescent="0.3">
      <c r="A822" s="83" t="s">
        <v>25</v>
      </c>
      <c r="B822" s="83"/>
      <c r="C822" s="16">
        <v>46172</v>
      </c>
      <c r="D822" s="82">
        <v>114.3</v>
      </c>
    </row>
    <row r="823" spans="1:4" x14ac:dyDescent="0.3">
      <c r="A823" s="83" t="s">
        <v>26</v>
      </c>
      <c r="B823" s="83"/>
      <c r="C823" s="16">
        <v>46172</v>
      </c>
      <c r="D823" s="82">
        <v>2267.7200000000003</v>
      </c>
    </row>
    <row r="824" spans="1:4" x14ac:dyDescent="0.3">
      <c r="A824" s="83" t="s">
        <v>27</v>
      </c>
      <c r="B824" s="83"/>
      <c r="C824" s="16">
        <v>46172</v>
      </c>
      <c r="D824" s="82">
        <v>3349.94</v>
      </c>
    </row>
    <row r="825" spans="1:4" x14ac:dyDescent="0.3">
      <c r="A825" s="83" t="s">
        <v>28</v>
      </c>
      <c r="B825" s="83"/>
      <c r="C825" s="16">
        <v>46172</v>
      </c>
      <c r="D825" s="82">
        <v>1968.99</v>
      </c>
    </row>
    <row r="826" spans="1:4" x14ac:dyDescent="0.3">
      <c r="A826" s="83" t="s">
        <v>29</v>
      </c>
      <c r="B826" s="83"/>
      <c r="C826" s="16">
        <v>46172</v>
      </c>
      <c r="D826" s="82">
        <v>901.34</v>
      </c>
    </row>
    <row r="827" spans="1:4" x14ac:dyDescent="0.3">
      <c r="A827" s="83" t="s">
        <v>30</v>
      </c>
      <c r="B827" s="83"/>
      <c r="C827" s="16">
        <v>46172</v>
      </c>
      <c r="D827" s="82">
        <v>1444.08</v>
      </c>
    </row>
    <row r="828" spans="1:4" x14ac:dyDescent="0.3">
      <c r="A828" s="83" t="s">
        <v>31</v>
      </c>
      <c r="B828" s="83"/>
      <c r="C828" s="16">
        <v>46172</v>
      </c>
      <c r="D828" s="82">
        <v>35448.599999999962</v>
      </c>
    </row>
    <row r="829" spans="1:4" x14ac:dyDescent="0.3">
      <c r="A829" s="83" t="s">
        <v>32</v>
      </c>
      <c r="B829" s="83"/>
      <c r="C829" s="16">
        <v>46172</v>
      </c>
      <c r="D829" s="82">
        <v>15120.060000000001</v>
      </c>
    </row>
    <row r="830" spans="1:4" x14ac:dyDescent="0.3">
      <c r="A830" s="83" t="s">
        <v>33</v>
      </c>
      <c r="B830" s="83"/>
      <c r="C830" s="16">
        <v>46172</v>
      </c>
      <c r="D830" s="82">
        <v>33606.270000000004</v>
      </c>
    </row>
    <row r="831" spans="1:4" x14ac:dyDescent="0.3">
      <c r="A831" s="83" t="s">
        <v>34</v>
      </c>
      <c r="B831" s="83"/>
      <c r="C831" s="16">
        <v>46172</v>
      </c>
      <c r="D831" s="82">
        <v>345</v>
      </c>
    </row>
    <row r="832" spans="1:4" x14ac:dyDescent="0.3">
      <c r="A832" s="83" t="s">
        <v>35</v>
      </c>
      <c r="B832" s="83"/>
      <c r="C832" s="16">
        <v>46172</v>
      </c>
      <c r="D832" s="82">
        <v>9076.2400000000016</v>
      </c>
    </row>
    <row r="833" spans="1:4" x14ac:dyDescent="0.3">
      <c r="A833" s="83" t="s">
        <v>193</v>
      </c>
      <c r="B833" s="83"/>
      <c r="C833" s="16">
        <v>46172</v>
      </c>
      <c r="D833" s="82">
        <v>0</v>
      </c>
    </row>
    <row r="834" spans="1:4" x14ac:dyDescent="0.3">
      <c r="A834" s="83" t="s">
        <v>214</v>
      </c>
      <c r="B834" s="83"/>
      <c r="C834" s="16">
        <v>46172</v>
      </c>
      <c r="D834" s="82">
        <v>0</v>
      </c>
    </row>
    <row r="835" spans="1:4" x14ac:dyDescent="0.3">
      <c r="A835" s="83" t="s">
        <v>194</v>
      </c>
      <c r="B835" s="83"/>
      <c r="C835" s="16">
        <v>46172</v>
      </c>
      <c r="D835" s="82">
        <v>0</v>
      </c>
    </row>
    <row r="836" spans="1:4" x14ac:dyDescent="0.3">
      <c r="A836" s="83" t="s">
        <v>195</v>
      </c>
      <c r="B836" s="83"/>
      <c r="C836" s="16">
        <v>46172</v>
      </c>
      <c r="D836" s="82">
        <v>0</v>
      </c>
    </row>
    <row r="837" spans="1:4" x14ac:dyDescent="0.3">
      <c r="A837" s="83" t="s">
        <v>196</v>
      </c>
      <c r="B837" s="83"/>
      <c r="C837" s="16">
        <v>46172</v>
      </c>
      <c r="D837" s="82">
        <v>0</v>
      </c>
    </row>
    <row r="838" spans="1:4" x14ac:dyDescent="0.3">
      <c r="A838" s="83" t="s">
        <v>197</v>
      </c>
      <c r="B838" s="83"/>
      <c r="C838" s="16">
        <v>46172</v>
      </c>
      <c r="D838" s="82">
        <v>0</v>
      </c>
    </row>
    <row r="839" spans="1:4" x14ac:dyDescent="0.3">
      <c r="A839" s="83" t="s">
        <v>212</v>
      </c>
      <c r="B839" s="83"/>
      <c r="C839" s="16">
        <v>46172</v>
      </c>
      <c r="D839" s="82">
        <v>0</v>
      </c>
    </row>
    <row r="840" spans="1:4" x14ac:dyDescent="0.3">
      <c r="A840" s="83" t="s">
        <v>199</v>
      </c>
      <c r="B840" s="83"/>
      <c r="C840" s="16">
        <v>46172</v>
      </c>
      <c r="D840" s="82">
        <v>0</v>
      </c>
    </row>
    <row r="841" spans="1:4" x14ac:dyDescent="0.3">
      <c r="A841" s="83" t="s">
        <v>216</v>
      </c>
      <c r="B841" s="83"/>
      <c r="C841" s="16">
        <v>46172</v>
      </c>
      <c r="D841" s="82">
        <v>0</v>
      </c>
    </row>
    <row r="842" spans="1:4" x14ac:dyDescent="0.3">
      <c r="A842" s="83" t="s">
        <v>17</v>
      </c>
      <c r="B842" s="83"/>
      <c r="C842" s="16">
        <v>46173</v>
      </c>
      <c r="D842" s="82">
        <v>983394.14000000013</v>
      </c>
    </row>
    <row r="843" spans="1:4" x14ac:dyDescent="0.3">
      <c r="A843" s="83" t="s">
        <v>18</v>
      </c>
      <c r="B843" s="83"/>
      <c r="C843" s="16">
        <v>46173</v>
      </c>
      <c r="D843" s="82">
        <v>62397.280000000173</v>
      </c>
    </row>
    <row r="844" spans="1:4" x14ac:dyDescent="0.3">
      <c r="A844" s="83" t="s">
        <v>19</v>
      </c>
      <c r="B844" s="83"/>
      <c r="C844" s="16">
        <v>46173</v>
      </c>
      <c r="D844" s="82">
        <v>1669.89</v>
      </c>
    </row>
    <row r="845" spans="1:4" x14ac:dyDescent="0.3">
      <c r="A845" s="83" t="s">
        <v>20</v>
      </c>
      <c r="B845" s="83"/>
      <c r="C845" s="16">
        <v>46173</v>
      </c>
      <c r="D845" s="82">
        <v>424853.11999999988</v>
      </c>
    </row>
    <row r="846" spans="1:4" x14ac:dyDescent="0.3">
      <c r="A846" s="83" t="s">
        <v>21</v>
      </c>
      <c r="B846" s="83"/>
      <c r="C846" s="16">
        <v>46173</v>
      </c>
      <c r="D846" s="82">
        <v>1015901.6699999992</v>
      </c>
    </row>
    <row r="847" spans="1:4" x14ac:dyDescent="0.3">
      <c r="A847" s="83" t="s">
        <v>22</v>
      </c>
      <c r="B847" s="83"/>
      <c r="C847" s="16">
        <v>46173</v>
      </c>
      <c r="D847" s="82">
        <v>131496.38</v>
      </c>
    </row>
    <row r="848" spans="1:4" x14ac:dyDescent="0.3">
      <c r="A848" s="83" t="s">
        <v>23</v>
      </c>
      <c r="B848" s="83"/>
      <c r="C848" s="16">
        <v>46173</v>
      </c>
      <c r="D848" s="82">
        <v>88090.37</v>
      </c>
    </row>
    <row r="849" spans="1:4" x14ac:dyDescent="0.3">
      <c r="A849" s="83" t="s">
        <v>24</v>
      </c>
      <c r="B849" s="83"/>
      <c r="C849" s="16">
        <v>46173</v>
      </c>
      <c r="D849" s="82">
        <v>1227.9699999999998</v>
      </c>
    </row>
    <row r="850" spans="1:4" x14ac:dyDescent="0.3">
      <c r="A850" s="83" t="s">
        <v>25</v>
      </c>
      <c r="B850" s="83"/>
      <c r="C850" s="16">
        <v>46173</v>
      </c>
      <c r="D850" s="82">
        <v>114.3</v>
      </c>
    </row>
    <row r="851" spans="1:4" x14ac:dyDescent="0.3">
      <c r="A851" s="83" t="s">
        <v>26</v>
      </c>
      <c r="B851" s="83"/>
      <c r="C851" s="16">
        <v>46173</v>
      </c>
      <c r="D851" s="82">
        <v>2267.7200000000003</v>
      </c>
    </row>
    <row r="852" spans="1:4" x14ac:dyDescent="0.3">
      <c r="A852" s="83" t="s">
        <v>27</v>
      </c>
      <c r="B852" s="83"/>
      <c r="C852" s="16">
        <v>46173</v>
      </c>
      <c r="D852" s="82">
        <v>3349.94</v>
      </c>
    </row>
    <row r="853" spans="1:4" x14ac:dyDescent="0.3">
      <c r="A853" s="83" t="s">
        <v>28</v>
      </c>
      <c r="B853" s="83"/>
      <c r="C853" s="16">
        <v>46173</v>
      </c>
      <c r="D853" s="82">
        <v>1968.99</v>
      </c>
    </row>
    <row r="854" spans="1:4" x14ac:dyDescent="0.3">
      <c r="A854" s="83" t="s">
        <v>29</v>
      </c>
      <c r="B854" s="83"/>
      <c r="C854" s="16">
        <v>46173</v>
      </c>
      <c r="D854" s="82">
        <v>901.34</v>
      </c>
    </row>
    <row r="855" spans="1:4" x14ac:dyDescent="0.3">
      <c r="A855" s="83" t="s">
        <v>30</v>
      </c>
      <c r="B855" s="83"/>
      <c r="C855" s="16">
        <v>46173</v>
      </c>
      <c r="D855" s="82">
        <v>1444.08</v>
      </c>
    </row>
    <row r="856" spans="1:4" x14ac:dyDescent="0.3">
      <c r="A856" s="83" t="s">
        <v>31</v>
      </c>
      <c r="B856" s="83"/>
      <c r="C856" s="16">
        <v>46173</v>
      </c>
      <c r="D856" s="82">
        <v>35448.599999999962</v>
      </c>
    </row>
    <row r="857" spans="1:4" x14ac:dyDescent="0.3">
      <c r="A857" s="83" t="s">
        <v>32</v>
      </c>
      <c r="B857" s="83"/>
      <c r="C857" s="16">
        <v>46173</v>
      </c>
      <c r="D857" s="82">
        <v>15120.060000000001</v>
      </c>
    </row>
    <row r="858" spans="1:4" x14ac:dyDescent="0.3">
      <c r="A858" s="83" t="s">
        <v>33</v>
      </c>
      <c r="B858" s="83"/>
      <c r="C858" s="16">
        <v>46173</v>
      </c>
      <c r="D858" s="82">
        <v>33606.270000000004</v>
      </c>
    </row>
    <row r="859" spans="1:4" x14ac:dyDescent="0.3">
      <c r="A859" s="83" t="s">
        <v>34</v>
      </c>
      <c r="B859" s="83"/>
      <c r="C859" s="16">
        <v>46173</v>
      </c>
      <c r="D859" s="82">
        <v>345</v>
      </c>
    </row>
    <row r="860" spans="1:4" x14ac:dyDescent="0.3">
      <c r="A860" s="83" t="s">
        <v>35</v>
      </c>
      <c r="B860" s="83"/>
      <c r="C860" s="16">
        <v>46173</v>
      </c>
      <c r="D860" s="82">
        <v>9076.2400000000016</v>
      </c>
    </row>
    <row r="861" spans="1:4" x14ac:dyDescent="0.3">
      <c r="A861" s="83" t="s">
        <v>193</v>
      </c>
      <c r="B861" s="83"/>
      <c r="C861" s="16">
        <v>46173</v>
      </c>
      <c r="D861" s="82">
        <v>0</v>
      </c>
    </row>
    <row r="862" spans="1:4" x14ac:dyDescent="0.3">
      <c r="A862" s="83" t="s">
        <v>214</v>
      </c>
      <c r="B862" s="83"/>
      <c r="C862" s="16">
        <v>46173</v>
      </c>
      <c r="D862" s="82">
        <v>0</v>
      </c>
    </row>
    <row r="863" spans="1:4" x14ac:dyDescent="0.3">
      <c r="A863" s="83" t="s">
        <v>194</v>
      </c>
      <c r="B863" s="83"/>
      <c r="C863" s="16">
        <v>46173</v>
      </c>
      <c r="D863" s="82">
        <v>0</v>
      </c>
    </row>
    <row r="864" spans="1:4" x14ac:dyDescent="0.3">
      <c r="A864" s="83" t="s">
        <v>195</v>
      </c>
      <c r="B864" s="83"/>
      <c r="C864" s="16">
        <v>46173</v>
      </c>
      <c r="D864" s="82">
        <v>0</v>
      </c>
    </row>
    <row r="865" spans="1:4" x14ac:dyDescent="0.3">
      <c r="A865" s="83" t="s">
        <v>196</v>
      </c>
      <c r="B865" s="83"/>
      <c r="C865" s="16">
        <v>46173</v>
      </c>
      <c r="D865" s="82">
        <v>0</v>
      </c>
    </row>
    <row r="866" spans="1:4" x14ac:dyDescent="0.3">
      <c r="A866" s="83" t="s">
        <v>197</v>
      </c>
      <c r="B866" s="83"/>
      <c r="C866" s="16">
        <v>46173</v>
      </c>
      <c r="D866" s="82">
        <v>0</v>
      </c>
    </row>
    <row r="867" spans="1:4" x14ac:dyDescent="0.3">
      <c r="A867" s="83" t="s">
        <v>212</v>
      </c>
      <c r="B867" s="83"/>
      <c r="C867" s="16">
        <v>46173</v>
      </c>
      <c r="D867" s="82">
        <v>0</v>
      </c>
    </row>
    <row r="868" spans="1:4" x14ac:dyDescent="0.3">
      <c r="A868" s="83" t="s">
        <v>199</v>
      </c>
      <c r="B868" s="83"/>
      <c r="C868" s="16">
        <v>46173</v>
      </c>
      <c r="D868" s="82">
        <v>0</v>
      </c>
    </row>
    <row r="869" spans="1:4" x14ac:dyDescent="0.3">
      <c r="A869" s="83" t="s">
        <v>216</v>
      </c>
      <c r="B869" s="83"/>
      <c r="C869" s="16">
        <v>46173</v>
      </c>
      <c r="D869" s="82">
        <v>0</v>
      </c>
    </row>
    <row r="870" spans="1:4" x14ac:dyDescent="0.3">
      <c r="A870" s="83" t="s">
        <v>17</v>
      </c>
      <c r="B870" s="83"/>
      <c r="C870" s="16">
        <v>46174</v>
      </c>
      <c r="D870" s="82">
        <v>983394.14000000013</v>
      </c>
    </row>
    <row r="871" spans="1:4" x14ac:dyDescent="0.3">
      <c r="A871" s="83" t="s">
        <v>18</v>
      </c>
      <c r="B871" s="83"/>
      <c r="C871" s="16">
        <v>46174</v>
      </c>
      <c r="D871" s="82">
        <v>69376.390000000174</v>
      </c>
    </row>
    <row r="872" spans="1:4" x14ac:dyDescent="0.3">
      <c r="A872" s="83" t="s">
        <v>19</v>
      </c>
      <c r="B872" s="83"/>
      <c r="C872" s="16">
        <v>46174</v>
      </c>
      <c r="D872" s="82">
        <v>1669.89</v>
      </c>
    </row>
    <row r="873" spans="1:4" x14ac:dyDescent="0.3">
      <c r="A873" s="83" t="s">
        <v>20</v>
      </c>
      <c r="B873" s="83"/>
      <c r="C873" s="16">
        <v>46174</v>
      </c>
      <c r="D873" s="82">
        <v>804853.11999999988</v>
      </c>
    </row>
    <row r="874" spans="1:4" x14ac:dyDescent="0.3">
      <c r="A874" s="83" t="s">
        <v>21</v>
      </c>
      <c r="B874" s="83"/>
      <c r="C874" s="16">
        <v>46174</v>
      </c>
      <c r="D874" s="82">
        <v>1015901.6699999992</v>
      </c>
    </row>
    <row r="875" spans="1:4" x14ac:dyDescent="0.3">
      <c r="A875" s="83" t="s">
        <v>22</v>
      </c>
      <c r="B875" s="83"/>
      <c r="C875" s="16">
        <v>46174</v>
      </c>
      <c r="D875" s="82">
        <v>131496.38</v>
      </c>
    </row>
    <row r="876" spans="1:4" x14ac:dyDescent="0.3">
      <c r="A876" s="83" t="s">
        <v>23</v>
      </c>
      <c r="B876" s="83"/>
      <c r="C876" s="16">
        <v>46174</v>
      </c>
      <c r="D876" s="82">
        <v>20375.37</v>
      </c>
    </row>
    <row r="877" spans="1:4" x14ac:dyDescent="0.3">
      <c r="A877" s="83" t="s">
        <v>24</v>
      </c>
      <c r="B877" s="83"/>
      <c r="C877" s="16">
        <v>46174</v>
      </c>
      <c r="D877" s="82">
        <v>511.15999999999985</v>
      </c>
    </row>
    <row r="878" spans="1:4" x14ac:dyDescent="0.3">
      <c r="A878" s="83" t="s">
        <v>25</v>
      </c>
      <c r="B878" s="83"/>
      <c r="C878" s="16">
        <v>46174</v>
      </c>
      <c r="D878" s="82">
        <v>84.35</v>
      </c>
    </row>
    <row r="879" spans="1:4" x14ac:dyDescent="0.3">
      <c r="A879" s="83" t="s">
        <v>26</v>
      </c>
      <c r="B879" s="83"/>
      <c r="C879" s="16">
        <v>46174</v>
      </c>
      <c r="D879" s="82">
        <v>2237.77</v>
      </c>
    </row>
    <row r="880" spans="1:4" x14ac:dyDescent="0.3">
      <c r="A880" s="83" t="s">
        <v>27</v>
      </c>
      <c r="B880" s="83"/>
      <c r="C880" s="16">
        <v>46174</v>
      </c>
      <c r="D880" s="82">
        <v>3349.94</v>
      </c>
    </row>
    <row r="881" spans="1:4" x14ac:dyDescent="0.3">
      <c r="A881" s="83" t="s">
        <v>28</v>
      </c>
      <c r="B881" s="83"/>
      <c r="C881" s="16">
        <v>46174</v>
      </c>
      <c r="D881" s="82">
        <v>1968.99</v>
      </c>
    </row>
    <row r="882" spans="1:4" x14ac:dyDescent="0.3">
      <c r="A882" s="83" t="s">
        <v>29</v>
      </c>
      <c r="B882" s="83"/>
      <c r="C882" s="16">
        <v>46174</v>
      </c>
      <c r="D882" s="82">
        <v>901.34</v>
      </c>
    </row>
    <row r="883" spans="1:4" x14ac:dyDescent="0.3">
      <c r="A883" s="83" t="s">
        <v>30</v>
      </c>
      <c r="B883" s="83"/>
      <c r="C883" s="16">
        <v>46174</v>
      </c>
      <c r="D883" s="82">
        <v>1428.08</v>
      </c>
    </row>
    <row r="884" spans="1:4" x14ac:dyDescent="0.3">
      <c r="A884" s="83" t="s">
        <v>31</v>
      </c>
      <c r="B884" s="83"/>
      <c r="C884" s="16">
        <v>46174</v>
      </c>
      <c r="D884" s="82">
        <v>26416.26999999996</v>
      </c>
    </row>
    <row r="885" spans="1:4" x14ac:dyDescent="0.3">
      <c r="A885" s="83" t="s">
        <v>32</v>
      </c>
      <c r="B885" s="83"/>
      <c r="C885" s="16">
        <v>46174</v>
      </c>
      <c r="D885" s="82">
        <v>5321.4300000000021</v>
      </c>
    </row>
    <row r="886" spans="1:4" x14ac:dyDescent="0.3">
      <c r="A886" s="83" t="s">
        <v>33</v>
      </c>
      <c r="B886" s="83"/>
      <c r="C886" s="16">
        <v>46174</v>
      </c>
      <c r="D886" s="82">
        <v>24833.23</v>
      </c>
    </row>
    <row r="887" spans="1:4" x14ac:dyDescent="0.3">
      <c r="A887" s="83" t="s">
        <v>34</v>
      </c>
      <c r="B887" s="83"/>
      <c r="C887" s="16">
        <v>46174</v>
      </c>
      <c r="D887" s="82">
        <v>345</v>
      </c>
    </row>
    <row r="888" spans="1:4" x14ac:dyDescent="0.3">
      <c r="A888" s="83" t="s">
        <v>35</v>
      </c>
      <c r="B888" s="83"/>
      <c r="C888" s="16">
        <v>46174</v>
      </c>
      <c r="D888" s="82">
        <v>12117.82</v>
      </c>
    </row>
    <row r="889" spans="1:4" x14ac:dyDescent="0.3">
      <c r="A889" s="83" t="s">
        <v>193</v>
      </c>
      <c r="B889" s="83"/>
      <c r="C889" s="16">
        <v>46174</v>
      </c>
      <c r="D889" s="82">
        <v>0</v>
      </c>
    </row>
    <row r="890" spans="1:4" x14ac:dyDescent="0.3">
      <c r="A890" s="83" t="s">
        <v>214</v>
      </c>
      <c r="B890" s="83"/>
      <c r="C890" s="16">
        <v>46174</v>
      </c>
      <c r="D890" s="82">
        <v>0</v>
      </c>
    </row>
    <row r="891" spans="1:4" x14ac:dyDescent="0.3">
      <c r="A891" s="83" t="s">
        <v>194</v>
      </c>
      <c r="B891" s="83"/>
      <c r="C891" s="16">
        <v>46174</v>
      </c>
      <c r="D891" s="82">
        <v>0</v>
      </c>
    </row>
    <row r="892" spans="1:4" x14ac:dyDescent="0.3">
      <c r="A892" s="83" t="s">
        <v>195</v>
      </c>
      <c r="B892" s="83"/>
      <c r="C892" s="16">
        <v>46174</v>
      </c>
      <c r="D892" s="82">
        <v>0</v>
      </c>
    </row>
    <row r="893" spans="1:4" x14ac:dyDescent="0.3">
      <c r="A893" s="83" t="s">
        <v>196</v>
      </c>
      <c r="B893" s="83"/>
      <c r="C893" s="16">
        <v>46174</v>
      </c>
      <c r="D893" s="82">
        <v>0</v>
      </c>
    </row>
    <row r="894" spans="1:4" x14ac:dyDescent="0.3">
      <c r="A894" s="83" t="s">
        <v>197</v>
      </c>
      <c r="B894" s="83"/>
      <c r="C894" s="16">
        <v>46174</v>
      </c>
      <c r="D894" s="82">
        <v>0</v>
      </c>
    </row>
    <row r="895" spans="1:4" x14ac:dyDescent="0.3">
      <c r="A895" s="83" t="s">
        <v>212</v>
      </c>
      <c r="B895" s="83"/>
      <c r="C895" s="16">
        <v>46174</v>
      </c>
      <c r="D895" s="82">
        <v>0</v>
      </c>
    </row>
    <row r="896" spans="1:4" x14ac:dyDescent="0.3">
      <c r="A896" s="83" t="s">
        <v>199</v>
      </c>
      <c r="B896" s="83"/>
      <c r="C896" s="16">
        <v>46174</v>
      </c>
      <c r="D896" s="82">
        <v>0</v>
      </c>
    </row>
    <row r="897" spans="1:4" x14ac:dyDescent="0.3">
      <c r="A897" s="83" t="s">
        <v>216</v>
      </c>
      <c r="B897" s="83"/>
      <c r="C897" s="16">
        <v>46174</v>
      </c>
      <c r="D897" s="82">
        <v>0</v>
      </c>
    </row>
    <row r="898" spans="1:4" x14ac:dyDescent="0.3">
      <c r="A898" s="83" t="s">
        <v>17</v>
      </c>
      <c r="B898" s="83"/>
      <c r="C898" s="16">
        <v>46175</v>
      </c>
      <c r="D898" s="82">
        <v>983394.14000000013</v>
      </c>
    </row>
    <row r="899" spans="1:4" x14ac:dyDescent="0.3">
      <c r="A899" s="83" t="s">
        <v>18</v>
      </c>
      <c r="B899" s="83"/>
      <c r="C899" s="16">
        <v>46175</v>
      </c>
      <c r="D899" s="82">
        <v>69376.390000000174</v>
      </c>
    </row>
    <row r="900" spans="1:4" x14ac:dyDescent="0.3">
      <c r="A900" s="83" t="s">
        <v>19</v>
      </c>
      <c r="B900" s="83"/>
      <c r="C900" s="16">
        <v>46175</v>
      </c>
      <c r="D900" s="82">
        <v>1669.89</v>
      </c>
    </row>
    <row r="901" spans="1:4" x14ac:dyDescent="0.3">
      <c r="A901" s="83" t="s">
        <v>20</v>
      </c>
      <c r="B901" s="83"/>
      <c r="C901" s="16">
        <v>46175</v>
      </c>
      <c r="D901" s="82">
        <v>804853.11999999988</v>
      </c>
    </row>
    <row r="902" spans="1:4" x14ac:dyDescent="0.3">
      <c r="A902" s="83" t="s">
        <v>21</v>
      </c>
      <c r="B902" s="83"/>
      <c r="C902" s="16">
        <v>46175</v>
      </c>
      <c r="D902" s="82">
        <v>1015901.6699999992</v>
      </c>
    </row>
    <row r="903" spans="1:4" x14ac:dyDescent="0.3">
      <c r="A903" s="83" t="s">
        <v>22</v>
      </c>
      <c r="B903" s="83"/>
      <c r="C903" s="16">
        <v>46175</v>
      </c>
      <c r="D903" s="82">
        <v>131496.38</v>
      </c>
    </row>
    <row r="904" spans="1:4" x14ac:dyDescent="0.3">
      <c r="A904" s="83" t="s">
        <v>23</v>
      </c>
      <c r="B904" s="83"/>
      <c r="C904" s="16">
        <v>46175</v>
      </c>
      <c r="D904" s="82">
        <v>20375.37</v>
      </c>
    </row>
    <row r="905" spans="1:4" x14ac:dyDescent="0.3">
      <c r="A905" s="83" t="s">
        <v>24</v>
      </c>
      <c r="B905" s="83"/>
      <c r="C905" s="16">
        <v>46175</v>
      </c>
      <c r="D905" s="82">
        <v>511.15999999999985</v>
      </c>
    </row>
    <row r="906" spans="1:4" x14ac:dyDescent="0.3">
      <c r="A906" s="83" t="s">
        <v>25</v>
      </c>
      <c r="B906" s="83"/>
      <c r="C906" s="16">
        <v>46175</v>
      </c>
      <c r="D906" s="82">
        <v>84.35</v>
      </c>
    </row>
    <row r="907" spans="1:4" x14ac:dyDescent="0.3">
      <c r="A907" s="83" t="s">
        <v>26</v>
      </c>
      <c r="B907" s="83"/>
      <c r="C907" s="16">
        <v>46175</v>
      </c>
      <c r="D907" s="82">
        <v>2237.77</v>
      </c>
    </row>
    <row r="908" spans="1:4" x14ac:dyDescent="0.3">
      <c r="A908" s="83" t="s">
        <v>27</v>
      </c>
      <c r="B908" s="83"/>
      <c r="C908" s="16">
        <v>46175</v>
      </c>
      <c r="D908" s="82">
        <v>3349.94</v>
      </c>
    </row>
    <row r="909" spans="1:4" x14ac:dyDescent="0.3">
      <c r="A909" s="83" t="s">
        <v>28</v>
      </c>
      <c r="B909" s="83"/>
      <c r="C909" s="16">
        <v>46175</v>
      </c>
      <c r="D909" s="82">
        <v>1968.99</v>
      </c>
    </row>
    <row r="910" spans="1:4" x14ac:dyDescent="0.3">
      <c r="A910" s="83" t="s">
        <v>29</v>
      </c>
      <c r="B910" s="83"/>
      <c r="C910" s="16">
        <v>46175</v>
      </c>
      <c r="D910" s="82">
        <v>901.34</v>
      </c>
    </row>
    <row r="911" spans="1:4" x14ac:dyDescent="0.3">
      <c r="A911" s="83" t="s">
        <v>30</v>
      </c>
      <c r="B911" s="83"/>
      <c r="C911" s="16">
        <v>46175</v>
      </c>
      <c r="D911" s="82">
        <v>1428.08</v>
      </c>
    </row>
    <row r="912" spans="1:4" x14ac:dyDescent="0.3">
      <c r="A912" s="83" t="s">
        <v>31</v>
      </c>
      <c r="B912" s="83"/>
      <c r="C912" s="16">
        <v>46175</v>
      </c>
      <c r="D912" s="82">
        <v>25789.969999999961</v>
      </c>
    </row>
    <row r="913" spans="1:4" x14ac:dyDescent="0.3">
      <c r="A913" s="83" t="s">
        <v>32</v>
      </c>
      <c r="B913" s="83"/>
      <c r="C913" s="16">
        <v>46175</v>
      </c>
      <c r="D913" s="82">
        <v>5321.4300000000021</v>
      </c>
    </row>
    <row r="914" spans="1:4" x14ac:dyDescent="0.3">
      <c r="A914" s="83" t="s">
        <v>33</v>
      </c>
      <c r="B914" s="83"/>
      <c r="C914" s="16">
        <v>46175</v>
      </c>
      <c r="D914" s="82">
        <v>24833.23</v>
      </c>
    </row>
    <row r="915" spans="1:4" x14ac:dyDescent="0.3">
      <c r="A915" s="83" t="s">
        <v>34</v>
      </c>
      <c r="B915" s="83"/>
      <c r="C915" s="16">
        <v>46175</v>
      </c>
      <c r="D915" s="82">
        <v>345</v>
      </c>
    </row>
    <row r="916" spans="1:4" x14ac:dyDescent="0.3">
      <c r="A916" s="83" t="s">
        <v>35</v>
      </c>
      <c r="B916" s="83"/>
      <c r="C916" s="16">
        <v>46175</v>
      </c>
      <c r="D916" s="82">
        <v>8808.2400000000016</v>
      </c>
    </row>
    <row r="917" spans="1:4" x14ac:dyDescent="0.3">
      <c r="A917" s="83" t="s">
        <v>193</v>
      </c>
      <c r="B917" s="83"/>
      <c r="C917" s="16">
        <v>46175</v>
      </c>
      <c r="D917" s="82">
        <v>0</v>
      </c>
    </row>
    <row r="918" spans="1:4" x14ac:dyDescent="0.3">
      <c r="A918" s="83" t="s">
        <v>214</v>
      </c>
      <c r="B918" s="83"/>
      <c r="C918" s="16">
        <v>46175</v>
      </c>
      <c r="D918" s="82">
        <v>0</v>
      </c>
    </row>
    <row r="919" spans="1:4" x14ac:dyDescent="0.3">
      <c r="A919" s="83" t="s">
        <v>194</v>
      </c>
      <c r="B919" s="83"/>
      <c r="C919" s="16">
        <v>46175</v>
      </c>
      <c r="D919" s="82">
        <v>0</v>
      </c>
    </row>
    <row r="920" spans="1:4" x14ac:dyDescent="0.3">
      <c r="A920" s="83" t="s">
        <v>195</v>
      </c>
      <c r="B920" s="83"/>
      <c r="C920" s="16">
        <v>46175</v>
      </c>
      <c r="D920" s="82">
        <v>0</v>
      </c>
    </row>
    <row r="921" spans="1:4" x14ac:dyDescent="0.3">
      <c r="A921" s="83" t="s">
        <v>196</v>
      </c>
      <c r="B921" s="83"/>
      <c r="C921" s="16">
        <v>46175</v>
      </c>
      <c r="D921" s="82">
        <v>0</v>
      </c>
    </row>
    <row r="922" spans="1:4" x14ac:dyDescent="0.3">
      <c r="A922" s="83" t="s">
        <v>197</v>
      </c>
      <c r="B922" s="83"/>
      <c r="C922" s="16">
        <v>46175</v>
      </c>
      <c r="D922" s="82">
        <v>0</v>
      </c>
    </row>
    <row r="923" spans="1:4" x14ac:dyDescent="0.3">
      <c r="A923" s="83" t="s">
        <v>212</v>
      </c>
      <c r="B923" s="83"/>
      <c r="C923" s="16">
        <v>46175</v>
      </c>
      <c r="D923" s="82">
        <v>0</v>
      </c>
    </row>
    <row r="924" spans="1:4" x14ac:dyDescent="0.3">
      <c r="A924" s="83" t="s">
        <v>199</v>
      </c>
      <c r="B924" s="83"/>
      <c r="C924" s="16">
        <v>46175</v>
      </c>
      <c r="D924" s="82">
        <v>0</v>
      </c>
    </row>
    <row r="925" spans="1:4" x14ac:dyDescent="0.3">
      <c r="A925" s="83" t="s">
        <v>216</v>
      </c>
      <c r="B925" s="83"/>
      <c r="C925" s="16">
        <v>46175</v>
      </c>
      <c r="D925" s="82">
        <v>0</v>
      </c>
    </row>
    <row r="926" spans="1:4" x14ac:dyDescent="0.3">
      <c r="A926" s="83" t="s">
        <v>17</v>
      </c>
      <c r="B926" s="83"/>
      <c r="C926" s="16">
        <v>46176</v>
      </c>
      <c r="D926" s="82">
        <v>983394.14000000013</v>
      </c>
    </row>
    <row r="927" spans="1:4" x14ac:dyDescent="0.3">
      <c r="A927" s="83" t="s">
        <v>18</v>
      </c>
      <c r="B927" s="83"/>
      <c r="C927" s="16">
        <v>46176</v>
      </c>
      <c r="D927" s="82">
        <v>69376.390000000174</v>
      </c>
    </row>
    <row r="928" spans="1:4" x14ac:dyDescent="0.3">
      <c r="A928" s="83" t="s">
        <v>19</v>
      </c>
      <c r="B928" s="83"/>
      <c r="C928" s="16">
        <v>46176</v>
      </c>
      <c r="D928" s="82">
        <v>1669.89</v>
      </c>
    </row>
    <row r="929" spans="1:4" x14ac:dyDescent="0.3">
      <c r="A929" s="83" t="s">
        <v>20</v>
      </c>
      <c r="B929" s="83"/>
      <c r="C929" s="16">
        <v>46176</v>
      </c>
      <c r="D929" s="82">
        <v>804853.11999999988</v>
      </c>
    </row>
    <row r="930" spans="1:4" x14ac:dyDescent="0.3">
      <c r="A930" s="83" t="s">
        <v>21</v>
      </c>
      <c r="B930" s="83"/>
      <c r="C930" s="16">
        <v>46176</v>
      </c>
      <c r="D930" s="82">
        <v>1015611.6599999993</v>
      </c>
    </row>
    <row r="931" spans="1:4" x14ac:dyDescent="0.3">
      <c r="A931" s="83" t="s">
        <v>22</v>
      </c>
      <c r="B931" s="83"/>
      <c r="C931" s="16">
        <v>46176</v>
      </c>
      <c r="D931" s="82">
        <v>125496.38</v>
      </c>
    </row>
    <row r="932" spans="1:4" x14ac:dyDescent="0.3">
      <c r="A932" s="83" t="s">
        <v>23</v>
      </c>
      <c r="B932" s="83"/>
      <c r="C932" s="16">
        <v>46176</v>
      </c>
      <c r="D932" s="82">
        <v>20375.37</v>
      </c>
    </row>
    <row r="933" spans="1:4" x14ac:dyDescent="0.3">
      <c r="A933" s="83" t="s">
        <v>24</v>
      </c>
      <c r="B933" s="83"/>
      <c r="C933" s="16">
        <v>46176</v>
      </c>
      <c r="D933" s="82">
        <v>511.15999999999985</v>
      </c>
    </row>
    <row r="934" spans="1:4" x14ac:dyDescent="0.3">
      <c r="A934" s="83" t="s">
        <v>25</v>
      </c>
      <c r="B934" s="83"/>
      <c r="C934" s="16">
        <v>46176</v>
      </c>
      <c r="D934" s="82">
        <v>84.35</v>
      </c>
    </row>
    <row r="935" spans="1:4" x14ac:dyDescent="0.3">
      <c r="A935" s="83" t="s">
        <v>26</v>
      </c>
      <c r="B935" s="83"/>
      <c r="C935" s="16">
        <v>46176</v>
      </c>
      <c r="D935" s="82">
        <v>2237.77</v>
      </c>
    </row>
    <row r="936" spans="1:4" x14ac:dyDescent="0.3">
      <c r="A936" s="83" t="s">
        <v>27</v>
      </c>
      <c r="B936" s="83"/>
      <c r="C936" s="16">
        <v>46176</v>
      </c>
      <c r="D936" s="82">
        <v>3349.94</v>
      </c>
    </row>
    <row r="937" spans="1:4" x14ac:dyDescent="0.3">
      <c r="A937" s="83" t="s">
        <v>28</v>
      </c>
      <c r="B937" s="83"/>
      <c r="C937" s="16">
        <v>46176</v>
      </c>
      <c r="D937" s="82">
        <v>1968.99</v>
      </c>
    </row>
    <row r="938" spans="1:4" x14ac:dyDescent="0.3">
      <c r="A938" s="83" t="s">
        <v>29</v>
      </c>
      <c r="B938" s="83"/>
      <c r="C938" s="16">
        <v>46176</v>
      </c>
      <c r="D938" s="82">
        <v>901.34</v>
      </c>
    </row>
    <row r="939" spans="1:4" x14ac:dyDescent="0.3">
      <c r="A939" s="83" t="s">
        <v>30</v>
      </c>
      <c r="B939" s="83"/>
      <c r="C939" s="16">
        <v>46176</v>
      </c>
      <c r="D939" s="82">
        <v>1428.08</v>
      </c>
    </row>
    <row r="940" spans="1:4" x14ac:dyDescent="0.3">
      <c r="A940" s="83" t="s">
        <v>31</v>
      </c>
      <c r="B940" s="83"/>
      <c r="C940" s="16">
        <v>46176</v>
      </c>
      <c r="D940" s="82">
        <v>25789.969999999961</v>
      </c>
    </row>
    <row r="941" spans="1:4" x14ac:dyDescent="0.3">
      <c r="A941" s="83" t="s">
        <v>32</v>
      </c>
      <c r="B941" s="83"/>
      <c r="C941" s="16">
        <v>46176</v>
      </c>
      <c r="D941" s="82">
        <v>5321.4300000000021</v>
      </c>
    </row>
    <row r="942" spans="1:4" x14ac:dyDescent="0.3">
      <c r="A942" s="83" t="s">
        <v>33</v>
      </c>
      <c r="B942" s="83"/>
      <c r="C942" s="16">
        <v>46176</v>
      </c>
      <c r="D942" s="82">
        <v>24833.23</v>
      </c>
    </row>
    <row r="943" spans="1:4" x14ac:dyDescent="0.3">
      <c r="A943" s="83" t="s">
        <v>34</v>
      </c>
      <c r="B943" s="83"/>
      <c r="C943" s="16">
        <v>46176</v>
      </c>
      <c r="D943" s="82">
        <v>345</v>
      </c>
    </row>
    <row r="944" spans="1:4" x14ac:dyDescent="0.3">
      <c r="A944" s="83" t="s">
        <v>35</v>
      </c>
      <c r="B944" s="83"/>
      <c r="C944" s="16">
        <v>46176</v>
      </c>
      <c r="D944" s="82">
        <v>8808.2400000000016</v>
      </c>
    </row>
    <row r="945" spans="1:4" x14ac:dyDescent="0.3">
      <c r="A945" s="83" t="s">
        <v>193</v>
      </c>
      <c r="B945" s="83"/>
      <c r="C945" s="16">
        <v>46176</v>
      </c>
      <c r="D945" s="82">
        <v>0</v>
      </c>
    </row>
    <row r="946" spans="1:4" x14ac:dyDescent="0.3">
      <c r="A946" s="83" t="s">
        <v>214</v>
      </c>
      <c r="B946" s="83"/>
      <c r="C946" s="16">
        <v>46176</v>
      </c>
      <c r="D946" s="82">
        <v>0</v>
      </c>
    </row>
    <row r="947" spans="1:4" x14ac:dyDescent="0.3">
      <c r="A947" s="83" t="s">
        <v>194</v>
      </c>
      <c r="B947" s="83"/>
      <c r="C947" s="16">
        <v>46176</v>
      </c>
      <c r="D947" s="82">
        <v>0</v>
      </c>
    </row>
    <row r="948" spans="1:4" x14ac:dyDescent="0.3">
      <c r="A948" s="83" t="s">
        <v>195</v>
      </c>
      <c r="B948" s="83"/>
      <c r="C948" s="16">
        <v>46176</v>
      </c>
      <c r="D948" s="82">
        <v>0</v>
      </c>
    </row>
    <row r="949" spans="1:4" x14ac:dyDescent="0.3">
      <c r="A949" s="83" t="s">
        <v>196</v>
      </c>
      <c r="B949" s="83"/>
      <c r="C949" s="16">
        <v>46176</v>
      </c>
      <c r="D949" s="82">
        <v>0</v>
      </c>
    </row>
    <row r="950" spans="1:4" x14ac:dyDescent="0.3">
      <c r="A950" s="83" t="s">
        <v>197</v>
      </c>
      <c r="B950" s="83"/>
      <c r="C950" s="16">
        <v>46176</v>
      </c>
      <c r="D950" s="82">
        <v>0</v>
      </c>
    </row>
    <row r="951" spans="1:4" x14ac:dyDescent="0.3">
      <c r="A951" s="83" t="s">
        <v>212</v>
      </c>
      <c r="B951" s="83"/>
      <c r="C951" s="16">
        <v>46176</v>
      </c>
      <c r="D951" s="82">
        <v>0</v>
      </c>
    </row>
    <row r="952" spans="1:4" x14ac:dyDescent="0.3">
      <c r="A952" s="83" t="s">
        <v>199</v>
      </c>
      <c r="B952" s="83"/>
      <c r="C952" s="16">
        <v>46176</v>
      </c>
      <c r="D952" s="82">
        <v>0</v>
      </c>
    </row>
    <row r="953" spans="1:4" x14ac:dyDescent="0.3">
      <c r="A953" s="83" t="s">
        <v>216</v>
      </c>
      <c r="B953" s="83"/>
      <c r="C953" s="16">
        <v>46176</v>
      </c>
      <c r="D953" s="82">
        <v>0</v>
      </c>
    </row>
    <row r="954" spans="1:4" x14ac:dyDescent="0.3">
      <c r="A954" s="83" t="s">
        <v>17</v>
      </c>
      <c r="B954" s="83"/>
      <c r="C954" s="16">
        <v>46177</v>
      </c>
      <c r="D954" s="82">
        <v>733394.14000000013</v>
      </c>
    </row>
    <row r="955" spans="1:4" x14ac:dyDescent="0.3">
      <c r="A955" s="83" t="s">
        <v>18</v>
      </c>
      <c r="B955" s="83"/>
      <c r="C955" s="16">
        <v>46177</v>
      </c>
      <c r="D955" s="82">
        <v>69376.390000000174</v>
      </c>
    </row>
    <row r="956" spans="1:4" x14ac:dyDescent="0.3">
      <c r="A956" s="83" t="s">
        <v>19</v>
      </c>
      <c r="B956" s="83"/>
      <c r="C956" s="16">
        <v>46177</v>
      </c>
      <c r="D956" s="82">
        <v>1669.89</v>
      </c>
    </row>
    <row r="957" spans="1:4" x14ac:dyDescent="0.3">
      <c r="A957" s="83" t="s">
        <v>20</v>
      </c>
      <c r="B957" s="83"/>
      <c r="C957" s="16">
        <v>46177</v>
      </c>
      <c r="D957" s="82">
        <v>729545.23999999987</v>
      </c>
    </row>
    <row r="958" spans="1:4" x14ac:dyDescent="0.3">
      <c r="A958" s="83" t="s">
        <v>21</v>
      </c>
      <c r="B958" s="83"/>
      <c r="C958" s="16">
        <v>46177</v>
      </c>
      <c r="D958" s="82">
        <v>1171714.4499999993</v>
      </c>
    </row>
    <row r="959" spans="1:4" x14ac:dyDescent="0.3">
      <c r="A959" s="83" t="s">
        <v>22</v>
      </c>
      <c r="B959" s="83"/>
      <c r="C959" s="16">
        <v>46177</v>
      </c>
      <c r="D959" s="82">
        <v>116496.38</v>
      </c>
    </row>
    <row r="960" spans="1:4" x14ac:dyDescent="0.3">
      <c r="A960" s="83" t="s">
        <v>23</v>
      </c>
      <c r="B960" s="83"/>
      <c r="C960" s="16">
        <v>46177</v>
      </c>
      <c r="D960" s="82">
        <v>20375.37</v>
      </c>
    </row>
    <row r="961" spans="1:4" x14ac:dyDescent="0.3">
      <c r="A961" s="83" t="s">
        <v>24</v>
      </c>
      <c r="B961" s="83"/>
      <c r="C961" s="16">
        <v>46177</v>
      </c>
      <c r="D961" s="82">
        <v>511.15999999999985</v>
      </c>
    </row>
    <row r="962" spans="1:4" x14ac:dyDescent="0.3">
      <c r="A962" s="83" t="s">
        <v>25</v>
      </c>
      <c r="B962" s="83"/>
      <c r="C962" s="16">
        <v>46177</v>
      </c>
      <c r="D962" s="82">
        <v>84.35</v>
      </c>
    </row>
    <row r="963" spans="1:4" x14ac:dyDescent="0.3">
      <c r="A963" s="83" t="s">
        <v>26</v>
      </c>
      <c r="B963" s="83"/>
      <c r="C963" s="16">
        <v>46177</v>
      </c>
      <c r="D963" s="82">
        <v>2237.77</v>
      </c>
    </row>
    <row r="964" spans="1:4" x14ac:dyDescent="0.3">
      <c r="A964" s="83" t="s">
        <v>27</v>
      </c>
      <c r="B964" s="83"/>
      <c r="C964" s="16">
        <v>46177</v>
      </c>
      <c r="D964" s="82">
        <v>3349.94</v>
      </c>
    </row>
    <row r="965" spans="1:4" x14ac:dyDescent="0.3">
      <c r="A965" s="83" t="s">
        <v>28</v>
      </c>
      <c r="B965" s="83"/>
      <c r="C965" s="16">
        <v>46177</v>
      </c>
      <c r="D965" s="82">
        <v>1968.99</v>
      </c>
    </row>
    <row r="966" spans="1:4" x14ac:dyDescent="0.3">
      <c r="A966" s="83" t="s">
        <v>29</v>
      </c>
      <c r="B966" s="83"/>
      <c r="C966" s="16">
        <v>46177</v>
      </c>
      <c r="D966" s="82">
        <v>382.69000000000005</v>
      </c>
    </row>
    <row r="967" spans="1:4" x14ac:dyDescent="0.3">
      <c r="A967" s="83" t="s">
        <v>30</v>
      </c>
      <c r="B967" s="83"/>
      <c r="C967" s="16">
        <v>46177</v>
      </c>
      <c r="D967" s="82">
        <v>1428.08</v>
      </c>
    </row>
    <row r="968" spans="1:4" x14ac:dyDescent="0.3">
      <c r="A968" s="83" t="s">
        <v>31</v>
      </c>
      <c r="B968" s="83"/>
      <c r="C968" s="16">
        <v>46177</v>
      </c>
      <c r="D968" s="82">
        <v>25789.969999999961</v>
      </c>
    </row>
    <row r="969" spans="1:4" x14ac:dyDescent="0.3">
      <c r="A969" s="83" t="s">
        <v>32</v>
      </c>
      <c r="B969" s="83"/>
      <c r="C969" s="16">
        <v>46177</v>
      </c>
      <c r="D969" s="82">
        <v>5321.4300000000021</v>
      </c>
    </row>
    <row r="970" spans="1:4" x14ac:dyDescent="0.3">
      <c r="A970" s="83" t="s">
        <v>33</v>
      </c>
      <c r="B970" s="83"/>
      <c r="C970" s="16">
        <v>46177</v>
      </c>
      <c r="D970" s="82">
        <v>24833.23</v>
      </c>
    </row>
    <row r="971" spans="1:4" x14ac:dyDescent="0.3">
      <c r="A971" s="83" t="s">
        <v>34</v>
      </c>
      <c r="B971" s="83"/>
      <c r="C971" s="16">
        <v>46177</v>
      </c>
      <c r="D971" s="82">
        <v>345</v>
      </c>
    </row>
    <row r="972" spans="1:4" x14ac:dyDescent="0.3">
      <c r="A972" s="83" t="s">
        <v>35</v>
      </c>
      <c r="B972" s="83"/>
      <c r="C972" s="16">
        <v>46177</v>
      </c>
      <c r="D972" s="82">
        <v>7716.0900000000038</v>
      </c>
    </row>
    <row r="973" spans="1:4" x14ac:dyDescent="0.3">
      <c r="A973" s="83" t="s">
        <v>193</v>
      </c>
      <c r="B973" s="83"/>
      <c r="C973" s="16">
        <v>46177</v>
      </c>
      <c r="D973" s="82">
        <v>0</v>
      </c>
    </row>
    <row r="974" spans="1:4" x14ac:dyDescent="0.3">
      <c r="A974" s="83" t="s">
        <v>214</v>
      </c>
      <c r="B974" s="83"/>
      <c r="C974" s="16">
        <v>46177</v>
      </c>
      <c r="D974" s="82">
        <v>0</v>
      </c>
    </row>
    <row r="975" spans="1:4" x14ac:dyDescent="0.3">
      <c r="A975" s="83" t="s">
        <v>194</v>
      </c>
      <c r="B975" s="83"/>
      <c r="C975" s="16">
        <v>46177</v>
      </c>
      <c r="D975" s="82">
        <v>0</v>
      </c>
    </row>
    <row r="976" spans="1:4" x14ac:dyDescent="0.3">
      <c r="A976" s="83" t="s">
        <v>195</v>
      </c>
      <c r="B976" s="83"/>
      <c r="C976" s="16">
        <v>46177</v>
      </c>
      <c r="D976" s="82">
        <v>0</v>
      </c>
    </row>
    <row r="977" spans="1:4" x14ac:dyDescent="0.3">
      <c r="A977" s="83" t="s">
        <v>196</v>
      </c>
      <c r="B977" s="83"/>
      <c r="C977" s="16">
        <v>46177</v>
      </c>
      <c r="D977" s="82">
        <v>0</v>
      </c>
    </row>
    <row r="978" spans="1:4" x14ac:dyDescent="0.3">
      <c r="A978" s="83" t="s">
        <v>197</v>
      </c>
      <c r="B978" s="83"/>
      <c r="C978" s="16">
        <v>46177</v>
      </c>
      <c r="D978" s="82">
        <v>0</v>
      </c>
    </row>
    <row r="979" spans="1:4" x14ac:dyDescent="0.3">
      <c r="A979" s="83" t="s">
        <v>212</v>
      </c>
      <c r="B979" s="83"/>
      <c r="C979" s="16">
        <v>46177</v>
      </c>
      <c r="D979" s="82">
        <v>0</v>
      </c>
    </row>
    <row r="980" spans="1:4" x14ac:dyDescent="0.3">
      <c r="A980" s="83" t="s">
        <v>199</v>
      </c>
      <c r="B980" s="83"/>
      <c r="C980" s="16">
        <v>46177</v>
      </c>
      <c r="D980" s="82">
        <v>0</v>
      </c>
    </row>
    <row r="981" spans="1:4" x14ac:dyDescent="0.3">
      <c r="A981" s="83" t="s">
        <v>216</v>
      </c>
      <c r="B981" s="83"/>
      <c r="C981" s="16">
        <v>46177</v>
      </c>
      <c r="D981" s="82">
        <v>0</v>
      </c>
    </row>
    <row r="982" spans="1:4" x14ac:dyDescent="0.3">
      <c r="A982" s="83" t="s">
        <v>17</v>
      </c>
      <c r="B982" s="83"/>
      <c r="C982" s="16">
        <v>46178</v>
      </c>
      <c r="D982" s="82">
        <v>733394.14000000013</v>
      </c>
    </row>
    <row r="983" spans="1:4" x14ac:dyDescent="0.3">
      <c r="A983" s="83" t="s">
        <v>18</v>
      </c>
      <c r="B983" s="83"/>
      <c r="C983" s="16">
        <v>46178</v>
      </c>
      <c r="D983" s="82">
        <v>69376.390000000174</v>
      </c>
    </row>
    <row r="984" spans="1:4" x14ac:dyDescent="0.3">
      <c r="A984" s="83" t="s">
        <v>19</v>
      </c>
      <c r="B984" s="83"/>
      <c r="C984" s="16">
        <v>46178</v>
      </c>
      <c r="D984" s="82">
        <v>1669.89</v>
      </c>
    </row>
    <row r="985" spans="1:4" x14ac:dyDescent="0.3">
      <c r="A985" s="83" t="s">
        <v>20</v>
      </c>
      <c r="B985" s="83"/>
      <c r="C985" s="16">
        <v>46178</v>
      </c>
      <c r="D985" s="82">
        <v>729545.23999999987</v>
      </c>
    </row>
    <row r="986" spans="1:4" x14ac:dyDescent="0.3">
      <c r="A986" s="83" t="s">
        <v>21</v>
      </c>
      <c r="B986" s="83"/>
      <c r="C986" s="16">
        <v>46178</v>
      </c>
      <c r="D986" s="82">
        <v>1164028.3199999994</v>
      </c>
    </row>
    <row r="987" spans="1:4" x14ac:dyDescent="0.3">
      <c r="A987" s="83" t="s">
        <v>22</v>
      </c>
      <c r="B987" s="83"/>
      <c r="C987" s="16">
        <v>46178</v>
      </c>
      <c r="D987" s="82">
        <v>116496.38</v>
      </c>
    </row>
    <row r="988" spans="1:4" x14ac:dyDescent="0.3">
      <c r="A988" s="83" t="s">
        <v>23</v>
      </c>
      <c r="B988" s="83"/>
      <c r="C988" s="16">
        <v>46178</v>
      </c>
      <c r="D988" s="82">
        <v>20375.37</v>
      </c>
    </row>
    <row r="989" spans="1:4" x14ac:dyDescent="0.3">
      <c r="A989" s="83" t="s">
        <v>24</v>
      </c>
      <c r="B989" s="83"/>
      <c r="C989" s="16">
        <v>46178</v>
      </c>
      <c r="D989" s="82">
        <v>511.15999999999985</v>
      </c>
    </row>
    <row r="990" spans="1:4" x14ac:dyDescent="0.3">
      <c r="A990" s="83" t="s">
        <v>25</v>
      </c>
      <c r="B990" s="83"/>
      <c r="C990" s="16">
        <v>46178</v>
      </c>
      <c r="D990" s="82">
        <v>84.35</v>
      </c>
    </row>
    <row r="991" spans="1:4" x14ac:dyDescent="0.3">
      <c r="A991" s="83" t="s">
        <v>26</v>
      </c>
      <c r="B991" s="83"/>
      <c r="C991" s="16">
        <v>46178</v>
      </c>
      <c r="D991" s="82">
        <v>2237.77</v>
      </c>
    </row>
    <row r="992" spans="1:4" x14ac:dyDescent="0.3">
      <c r="A992" s="83" t="s">
        <v>27</v>
      </c>
      <c r="B992" s="83"/>
      <c r="C992" s="16">
        <v>46178</v>
      </c>
      <c r="D992" s="82">
        <v>3349.94</v>
      </c>
    </row>
    <row r="993" spans="1:4" x14ac:dyDescent="0.3">
      <c r="A993" s="83" t="s">
        <v>28</v>
      </c>
      <c r="B993" s="83"/>
      <c r="C993" s="16">
        <v>46178</v>
      </c>
      <c r="D993" s="82">
        <v>1968.99</v>
      </c>
    </row>
    <row r="994" spans="1:4" x14ac:dyDescent="0.3">
      <c r="A994" s="83" t="s">
        <v>29</v>
      </c>
      <c r="B994" s="83"/>
      <c r="C994" s="16">
        <v>46178</v>
      </c>
      <c r="D994" s="82">
        <v>382.69000000000005</v>
      </c>
    </row>
    <row r="995" spans="1:4" x14ac:dyDescent="0.3">
      <c r="A995" s="83" t="s">
        <v>30</v>
      </c>
      <c r="B995" s="83"/>
      <c r="C995" s="16">
        <v>46178</v>
      </c>
      <c r="D995" s="82">
        <v>1428.08</v>
      </c>
    </row>
    <row r="996" spans="1:4" x14ac:dyDescent="0.3">
      <c r="A996" s="83" t="s">
        <v>31</v>
      </c>
      <c r="B996" s="83"/>
      <c r="C996" s="16">
        <v>46178</v>
      </c>
      <c r="D996" s="82">
        <v>25789.969999999961</v>
      </c>
    </row>
    <row r="997" spans="1:4" x14ac:dyDescent="0.3">
      <c r="A997" s="83" t="s">
        <v>32</v>
      </c>
      <c r="B997" s="83"/>
      <c r="C997" s="16">
        <v>46178</v>
      </c>
      <c r="D997" s="82">
        <v>5321.4300000000021</v>
      </c>
    </row>
    <row r="998" spans="1:4" x14ac:dyDescent="0.3">
      <c r="A998" s="83" t="s">
        <v>33</v>
      </c>
      <c r="B998" s="83"/>
      <c r="C998" s="16">
        <v>46178</v>
      </c>
      <c r="D998" s="82">
        <v>24833.23</v>
      </c>
    </row>
    <row r="999" spans="1:4" x14ac:dyDescent="0.3">
      <c r="A999" s="83" t="s">
        <v>34</v>
      </c>
      <c r="B999" s="83"/>
      <c r="C999" s="16">
        <v>46178</v>
      </c>
      <c r="D999" s="82">
        <v>345</v>
      </c>
    </row>
    <row r="1000" spans="1:4" x14ac:dyDescent="0.3">
      <c r="A1000" s="83" t="s">
        <v>35</v>
      </c>
      <c r="B1000" s="83"/>
      <c r="C1000" s="16">
        <v>46178</v>
      </c>
      <c r="D1000" s="82">
        <v>7716.0900000000038</v>
      </c>
    </row>
    <row r="1001" spans="1:4" x14ac:dyDescent="0.3">
      <c r="A1001" s="83" t="s">
        <v>193</v>
      </c>
      <c r="B1001" s="83"/>
      <c r="C1001" s="16">
        <v>46178</v>
      </c>
      <c r="D1001" s="82">
        <v>0</v>
      </c>
    </row>
    <row r="1002" spans="1:4" x14ac:dyDescent="0.3">
      <c r="A1002" s="83" t="s">
        <v>214</v>
      </c>
      <c r="B1002" s="83"/>
      <c r="C1002" s="16">
        <v>46178</v>
      </c>
      <c r="D1002" s="82">
        <v>0</v>
      </c>
    </row>
    <row r="1003" spans="1:4" x14ac:dyDescent="0.3">
      <c r="A1003" s="83" t="s">
        <v>194</v>
      </c>
      <c r="B1003" s="83"/>
      <c r="C1003" s="16">
        <v>46178</v>
      </c>
      <c r="D1003" s="82">
        <v>0</v>
      </c>
    </row>
    <row r="1004" spans="1:4" x14ac:dyDescent="0.3">
      <c r="A1004" s="83" t="s">
        <v>195</v>
      </c>
      <c r="B1004" s="83"/>
      <c r="C1004" s="16">
        <v>46178</v>
      </c>
      <c r="D1004" s="82">
        <v>0</v>
      </c>
    </row>
    <row r="1005" spans="1:4" x14ac:dyDescent="0.3">
      <c r="A1005" s="83" t="s">
        <v>196</v>
      </c>
      <c r="B1005" s="83"/>
      <c r="C1005" s="16">
        <v>46178</v>
      </c>
      <c r="D1005" s="82">
        <v>0</v>
      </c>
    </row>
    <row r="1006" spans="1:4" x14ac:dyDescent="0.3">
      <c r="A1006" s="83" t="s">
        <v>197</v>
      </c>
      <c r="B1006" s="83"/>
      <c r="C1006" s="16">
        <v>46178</v>
      </c>
      <c r="D1006" s="82">
        <v>0</v>
      </c>
    </row>
    <row r="1007" spans="1:4" x14ac:dyDescent="0.3">
      <c r="A1007" s="83" t="s">
        <v>212</v>
      </c>
      <c r="B1007" s="83"/>
      <c r="C1007" s="16">
        <v>46178</v>
      </c>
      <c r="D1007" s="82">
        <v>0</v>
      </c>
    </row>
    <row r="1008" spans="1:4" x14ac:dyDescent="0.3">
      <c r="A1008" s="83" t="s">
        <v>199</v>
      </c>
      <c r="B1008" s="83"/>
      <c r="C1008" s="16">
        <v>46178</v>
      </c>
      <c r="D1008" s="82">
        <v>0</v>
      </c>
    </row>
    <row r="1009" spans="1:4" x14ac:dyDescent="0.3">
      <c r="A1009" s="83" t="s">
        <v>216</v>
      </c>
      <c r="B1009" s="83"/>
      <c r="C1009" s="16">
        <v>46178</v>
      </c>
      <c r="D1009" s="82">
        <v>0</v>
      </c>
    </row>
    <row r="1010" spans="1:4" x14ac:dyDescent="0.3">
      <c r="A1010" s="83" t="s">
        <v>17</v>
      </c>
      <c r="B1010" s="83"/>
      <c r="C1010" s="16">
        <v>46179</v>
      </c>
      <c r="D1010" s="82">
        <v>733394.14000000013</v>
      </c>
    </row>
    <row r="1011" spans="1:4" x14ac:dyDescent="0.3">
      <c r="A1011" s="83" t="s">
        <v>18</v>
      </c>
      <c r="B1011" s="83"/>
      <c r="C1011" s="16">
        <v>46179</v>
      </c>
      <c r="D1011" s="82">
        <v>69376.390000000174</v>
      </c>
    </row>
    <row r="1012" spans="1:4" x14ac:dyDescent="0.3">
      <c r="A1012" s="83" t="s">
        <v>19</v>
      </c>
      <c r="B1012" s="83"/>
      <c r="C1012" s="16">
        <v>46179</v>
      </c>
      <c r="D1012" s="82">
        <v>1669.89</v>
      </c>
    </row>
    <row r="1013" spans="1:4" x14ac:dyDescent="0.3">
      <c r="A1013" s="83" t="s">
        <v>20</v>
      </c>
      <c r="B1013" s="83"/>
      <c r="C1013" s="16">
        <v>46179</v>
      </c>
      <c r="D1013" s="82">
        <v>729545.23999999987</v>
      </c>
    </row>
    <row r="1014" spans="1:4" x14ac:dyDescent="0.3">
      <c r="A1014" s="83" t="s">
        <v>21</v>
      </c>
      <c r="B1014" s="83"/>
      <c r="C1014" s="16">
        <v>46179</v>
      </c>
      <c r="D1014" s="82">
        <v>1164028.3199999994</v>
      </c>
    </row>
    <row r="1015" spans="1:4" x14ac:dyDescent="0.3">
      <c r="A1015" s="83" t="s">
        <v>22</v>
      </c>
      <c r="B1015" s="83"/>
      <c r="C1015" s="16">
        <v>46179</v>
      </c>
      <c r="D1015" s="82">
        <v>116496.38</v>
      </c>
    </row>
    <row r="1016" spans="1:4" x14ac:dyDescent="0.3">
      <c r="A1016" s="83" t="s">
        <v>23</v>
      </c>
      <c r="B1016" s="83"/>
      <c r="C1016" s="16">
        <v>46179</v>
      </c>
      <c r="D1016" s="82">
        <v>20375.37</v>
      </c>
    </row>
    <row r="1017" spans="1:4" x14ac:dyDescent="0.3">
      <c r="A1017" s="83" t="s">
        <v>24</v>
      </c>
      <c r="B1017" s="83"/>
      <c r="C1017" s="16">
        <v>46179</v>
      </c>
      <c r="D1017" s="82">
        <v>511.15999999999985</v>
      </c>
    </row>
    <row r="1018" spans="1:4" x14ac:dyDescent="0.3">
      <c r="A1018" s="83" t="s">
        <v>25</v>
      </c>
      <c r="B1018" s="83"/>
      <c r="C1018" s="16">
        <v>46179</v>
      </c>
      <c r="D1018" s="82">
        <v>84.35</v>
      </c>
    </row>
    <row r="1019" spans="1:4" x14ac:dyDescent="0.3">
      <c r="A1019" s="83" t="s">
        <v>26</v>
      </c>
      <c r="B1019" s="83"/>
      <c r="C1019" s="16">
        <v>46179</v>
      </c>
      <c r="D1019" s="82">
        <v>2237.77</v>
      </c>
    </row>
    <row r="1020" spans="1:4" x14ac:dyDescent="0.3">
      <c r="A1020" s="83" t="s">
        <v>27</v>
      </c>
      <c r="B1020" s="83"/>
      <c r="C1020" s="16">
        <v>46179</v>
      </c>
      <c r="D1020" s="82">
        <v>3349.94</v>
      </c>
    </row>
    <row r="1021" spans="1:4" x14ac:dyDescent="0.3">
      <c r="A1021" s="83" t="s">
        <v>28</v>
      </c>
      <c r="B1021" s="83"/>
      <c r="C1021" s="16">
        <v>46179</v>
      </c>
      <c r="D1021" s="82">
        <v>1968.99</v>
      </c>
    </row>
    <row r="1022" spans="1:4" x14ac:dyDescent="0.3">
      <c r="A1022" s="83" t="s">
        <v>29</v>
      </c>
      <c r="B1022" s="83"/>
      <c r="C1022" s="16">
        <v>46179</v>
      </c>
      <c r="D1022" s="82">
        <v>382.69000000000005</v>
      </c>
    </row>
    <row r="1023" spans="1:4" x14ac:dyDescent="0.3">
      <c r="A1023" s="83" t="s">
        <v>30</v>
      </c>
      <c r="B1023" s="83"/>
      <c r="C1023" s="16">
        <v>46179</v>
      </c>
      <c r="D1023" s="82">
        <v>1428.08</v>
      </c>
    </row>
    <row r="1024" spans="1:4" x14ac:dyDescent="0.3">
      <c r="A1024" s="83" t="s">
        <v>31</v>
      </c>
      <c r="B1024" s="83"/>
      <c r="C1024" s="16">
        <v>46179</v>
      </c>
      <c r="D1024" s="82">
        <v>25789.969999999961</v>
      </c>
    </row>
    <row r="1025" spans="1:4" x14ac:dyDescent="0.3">
      <c r="A1025" s="83" t="s">
        <v>32</v>
      </c>
      <c r="B1025" s="83"/>
      <c r="C1025" s="16">
        <v>46179</v>
      </c>
      <c r="D1025" s="82">
        <v>5321.4300000000021</v>
      </c>
    </row>
    <row r="1026" spans="1:4" x14ac:dyDescent="0.3">
      <c r="A1026" s="83" t="s">
        <v>33</v>
      </c>
      <c r="B1026" s="83"/>
      <c r="C1026" s="16">
        <v>46179</v>
      </c>
      <c r="D1026" s="82">
        <v>24833.23</v>
      </c>
    </row>
    <row r="1027" spans="1:4" x14ac:dyDescent="0.3">
      <c r="A1027" s="83" t="s">
        <v>34</v>
      </c>
      <c r="B1027" s="83"/>
      <c r="C1027" s="16">
        <v>46179</v>
      </c>
      <c r="D1027" s="82">
        <v>345</v>
      </c>
    </row>
    <row r="1028" spans="1:4" x14ac:dyDescent="0.3">
      <c r="A1028" s="83" t="s">
        <v>35</v>
      </c>
      <c r="B1028" s="83"/>
      <c r="C1028" s="16">
        <v>46179</v>
      </c>
      <c r="D1028" s="82">
        <v>7716.0900000000038</v>
      </c>
    </row>
    <row r="1029" spans="1:4" x14ac:dyDescent="0.3">
      <c r="A1029" s="83" t="s">
        <v>193</v>
      </c>
      <c r="B1029" s="83"/>
      <c r="C1029" s="16">
        <v>46179</v>
      </c>
      <c r="D1029" s="82">
        <v>0</v>
      </c>
    </row>
    <row r="1030" spans="1:4" x14ac:dyDescent="0.3">
      <c r="A1030" s="83" t="s">
        <v>214</v>
      </c>
      <c r="B1030" s="83"/>
      <c r="C1030" s="16">
        <v>46179</v>
      </c>
      <c r="D1030" s="82">
        <v>0</v>
      </c>
    </row>
    <row r="1031" spans="1:4" x14ac:dyDescent="0.3">
      <c r="A1031" s="83" t="s">
        <v>194</v>
      </c>
      <c r="B1031" s="83"/>
      <c r="C1031" s="16">
        <v>46179</v>
      </c>
      <c r="D1031" s="82">
        <v>0</v>
      </c>
    </row>
    <row r="1032" spans="1:4" x14ac:dyDescent="0.3">
      <c r="A1032" s="83" t="s">
        <v>195</v>
      </c>
      <c r="B1032" s="83"/>
      <c r="C1032" s="16">
        <v>46179</v>
      </c>
      <c r="D1032" s="82">
        <v>0</v>
      </c>
    </row>
    <row r="1033" spans="1:4" x14ac:dyDescent="0.3">
      <c r="A1033" s="83" t="s">
        <v>196</v>
      </c>
      <c r="B1033" s="83"/>
      <c r="C1033" s="16">
        <v>46179</v>
      </c>
      <c r="D1033" s="82">
        <v>0</v>
      </c>
    </row>
    <row r="1034" spans="1:4" x14ac:dyDescent="0.3">
      <c r="A1034" s="83" t="s">
        <v>197</v>
      </c>
      <c r="B1034" s="83"/>
      <c r="C1034" s="16">
        <v>46179</v>
      </c>
      <c r="D1034" s="82">
        <v>0</v>
      </c>
    </row>
    <row r="1035" spans="1:4" x14ac:dyDescent="0.3">
      <c r="A1035" s="83" t="s">
        <v>212</v>
      </c>
      <c r="B1035" s="83"/>
      <c r="C1035" s="16">
        <v>46179</v>
      </c>
      <c r="D1035" s="82">
        <v>0</v>
      </c>
    </row>
    <row r="1036" spans="1:4" x14ac:dyDescent="0.3">
      <c r="A1036" s="83" t="s">
        <v>199</v>
      </c>
      <c r="B1036" s="83"/>
      <c r="C1036" s="16">
        <v>46179</v>
      </c>
      <c r="D1036" s="82">
        <v>0</v>
      </c>
    </row>
    <row r="1037" spans="1:4" x14ac:dyDescent="0.3">
      <c r="A1037" s="83" t="s">
        <v>216</v>
      </c>
      <c r="B1037" s="83"/>
      <c r="C1037" s="16">
        <v>46179</v>
      </c>
      <c r="D1037" s="82">
        <v>0</v>
      </c>
    </row>
    <row r="1038" spans="1:4" x14ac:dyDescent="0.3">
      <c r="A1038" s="83" t="s">
        <v>17</v>
      </c>
      <c r="B1038" s="83"/>
      <c r="C1038" s="16">
        <v>46180</v>
      </c>
      <c r="D1038" s="82">
        <v>733394.14000000013</v>
      </c>
    </row>
    <row r="1039" spans="1:4" x14ac:dyDescent="0.3">
      <c r="A1039" s="83" t="s">
        <v>18</v>
      </c>
      <c r="B1039" s="83"/>
      <c r="C1039" s="16">
        <v>46180</v>
      </c>
      <c r="D1039" s="82">
        <v>69376.390000000174</v>
      </c>
    </row>
    <row r="1040" spans="1:4" x14ac:dyDescent="0.3">
      <c r="A1040" s="83" t="s">
        <v>19</v>
      </c>
      <c r="B1040" s="83"/>
      <c r="C1040" s="16">
        <v>46180</v>
      </c>
      <c r="D1040" s="82">
        <v>1669.89</v>
      </c>
    </row>
    <row r="1041" spans="1:4" x14ac:dyDescent="0.3">
      <c r="A1041" s="83" t="s">
        <v>20</v>
      </c>
      <c r="B1041" s="83"/>
      <c r="C1041" s="16">
        <v>46180</v>
      </c>
      <c r="D1041" s="82">
        <v>729545.23999999987</v>
      </c>
    </row>
    <row r="1042" spans="1:4" x14ac:dyDescent="0.3">
      <c r="A1042" s="83" t="s">
        <v>21</v>
      </c>
      <c r="B1042" s="83"/>
      <c r="C1042" s="16">
        <v>46180</v>
      </c>
      <c r="D1042" s="82">
        <v>1164028.3199999994</v>
      </c>
    </row>
    <row r="1043" spans="1:4" x14ac:dyDescent="0.3">
      <c r="A1043" s="83" t="s">
        <v>22</v>
      </c>
      <c r="B1043" s="83"/>
      <c r="C1043" s="16">
        <v>46180</v>
      </c>
      <c r="D1043" s="82">
        <v>116496.38</v>
      </c>
    </row>
    <row r="1044" spans="1:4" x14ac:dyDescent="0.3">
      <c r="A1044" s="83" t="s">
        <v>23</v>
      </c>
      <c r="B1044" s="83"/>
      <c r="C1044" s="16">
        <v>46180</v>
      </c>
      <c r="D1044" s="82">
        <v>20375.37</v>
      </c>
    </row>
    <row r="1045" spans="1:4" x14ac:dyDescent="0.3">
      <c r="A1045" s="83" t="s">
        <v>24</v>
      </c>
      <c r="B1045" s="83"/>
      <c r="C1045" s="16">
        <v>46180</v>
      </c>
      <c r="D1045" s="82">
        <v>511.15999999999985</v>
      </c>
    </row>
    <row r="1046" spans="1:4" x14ac:dyDescent="0.3">
      <c r="A1046" s="83" t="s">
        <v>25</v>
      </c>
      <c r="B1046" s="83"/>
      <c r="C1046" s="16">
        <v>46180</v>
      </c>
      <c r="D1046" s="82">
        <v>84.35</v>
      </c>
    </row>
    <row r="1047" spans="1:4" x14ac:dyDescent="0.3">
      <c r="A1047" s="83" t="s">
        <v>26</v>
      </c>
      <c r="B1047" s="83"/>
      <c r="C1047" s="16">
        <v>46180</v>
      </c>
      <c r="D1047" s="82">
        <v>2237.77</v>
      </c>
    </row>
    <row r="1048" spans="1:4" x14ac:dyDescent="0.3">
      <c r="A1048" s="83" t="s">
        <v>27</v>
      </c>
      <c r="B1048" s="83"/>
      <c r="C1048" s="16">
        <v>46180</v>
      </c>
      <c r="D1048" s="82">
        <v>3349.94</v>
      </c>
    </row>
    <row r="1049" spans="1:4" x14ac:dyDescent="0.3">
      <c r="A1049" s="83" t="s">
        <v>28</v>
      </c>
      <c r="B1049" s="83"/>
      <c r="C1049" s="16">
        <v>46180</v>
      </c>
      <c r="D1049" s="82">
        <v>1968.99</v>
      </c>
    </row>
    <row r="1050" spans="1:4" x14ac:dyDescent="0.3">
      <c r="A1050" s="83" t="s">
        <v>29</v>
      </c>
      <c r="B1050" s="83"/>
      <c r="C1050" s="16">
        <v>46180</v>
      </c>
      <c r="D1050" s="82">
        <v>382.69000000000005</v>
      </c>
    </row>
    <row r="1051" spans="1:4" x14ac:dyDescent="0.3">
      <c r="A1051" s="83" t="s">
        <v>30</v>
      </c>
      <c r="B1051" s="83"/>
      <c r="C1051" s="16">
        <v>46180</v>
      </c>
      <c r="D1051" s="82">
        <v>1428.08</v>
      </c>
    </row>
    <row r="1052" spans="1:4" x14ac:dyDescent="0.3">
      <c r="A1052" s="83" t="s">
        <v>31</v>
      </c>
      <c r="B1052" s="83"/>
      <c r="C1052" s="16">
        <v>46180</v>
      </c>
      <c r="D1052" s="82">
        <v>25789.969999999961</v>
      </c>
    </row>
    <row r="1053" spans="1:4" x14ac:dyDescent="0.3">
      <c r="A1053" s="83" t="s">
        <v>32</v>
      </c>
      <c r="B1053" s="83"/>
      <c r="C1053" s="16">
        <v>46180</v>
      </c>
      <c r="D1053" s="82">
        <v>5321.4300000000021</v>
      </c>
    </row>
    <row r="1054" spans="1:4" x14ac:dyDescent="0.3">
      <c r="A1054" s="83" t="s">
        <v>33</v>
      </c>
      <c r="B1054" s="83"/>
      <c r="C1054" s="16">
        <v>46180</v>
      </c>
      <c r="D1054" s="82">
        <v>24833.23</v>
      </c>
    </row>
    <row r="1055" spans="1:4" x14ac:dyDescent="0.3">
      <c r="A1055" s="83" t="s">
        <v>34</v>
      </c>
      <c r="B1055" s="83"/>
      <c r="C1055" s="16">
        <v>46180</v>
      </c>
      <c r="D1055" s="82">
        <v>345</v>
      </c>
    </row>
    <row r="1056" spans="1:4" x14ac:dyDescent="0.3">
      <c r="A1056" s="83" t="s">
        <v>35</v>
      </c>
      <c r="B1056" s="83"/>
      <c r="C1056" s="16">
        <v>46180</v>
      </c>
      <c r="D1056" s="82">
        <v>7716.0900000000038</v>
      </c>
    </row>
    <row r="1057" spans="1:4" x14ac:dyDescent="0.3">
      <c r="A1057" s="83" t="s">
        <v>193</v>
      </c>
      <c r="B1057" s="83"/>
      <c r="C1057" s="16">
        <v>46180</v>
      </c>
      <c r="D1057" s="82">
        <v>0</v>
      </c>
    </row>
    <row r="1058" spans="1:4" x14ac:dyDescent="0.3">
      <c r="A1058" s="83" t="s">
        <v>214</v>
      </c>
      <c r="B1058" s="83"/>
      <c r="C1058" s="16">
        <v>46180</v>
      </c>
      <c r="D1058" s="82">
        <v>0</v>
      </c>
    </row>
    <row r="1059" spans="1:4" x14ac:dyDescent="0.3">
      <c r="A1059" s="83" t="s">
        <v>194</v>
      </c>
      <c r="B1059" s="83"/>
      <c r="C1059" s="16">
        <v>46180</v>
      </c>
      <c r="D1059" s="82">
        <v>0</v>
      </c>
    </row>
    <row r="1060" spans="1:4" x14ac:dyDescent="0.3">
      <c r="A1060" s="83" t="s">
        <v>195</v>
      </c>
      <c r="B1060" s="83"/>
      <c r="C1060" s="16">
        <v>46180</v>
      </c>
      <c r="D1060" s="82">
        <v>0</v>
      </c>
    </row>
    <row r="1061" spans="1:4" x14ac:dyDescent="0.3">
      <c r="A1061" s="83" t="s">
        <v>196</v>
      </c>
      <c r="B1061" s="83"/>
      <c r="C1061" s="16">
        <v>46180</v>
      </c>
      <c r="D1061" s="82">
        <v>0</v>
      </c>
    </row>
    <row r="1062" spans="1:4" x14ac:dyDescent="0.3">
      <c r="A1062" s="83" t="s">
        <v>197</v>
      </c>
      <c r="B1062" s="83"/>
      <c r="C1062" s="16">
        <v>46180</v>
      </c>
      <c r="D1062" s="82">
        <v>0</v>
      </c>
    </row>
    <row r="1063" spans="1:4" x14ac:dyDescent="0.3">
      <c r="A1063" s="83" t="s">
        <v>212</v>
      </c>
      <c r="B1063" s="83"/>
      <c r="C1063" s="16">
        <v>46180</v>
      </c>
      <c r="D1063" s="82">
        <v>0</v>
      </c>
    </row>
    <row r="1064" spans="1:4" x14ac:dyDescent="0.3">
      <c r="A1064" s="83" t="s">
        <v>199</v>
      </c>
      <c r="B1064" s="83"/>
      <c r="C1064" s="16">
        <v>46180</v>
      </c>
      <c r="D1064" s="82">
        <v>0</v>
      </c>
    </row>
    <row r="1065" spans="1:4" x14ac:dyDescent="0.3">
      <c r="A1065" s="83" t="s">
        <v>216</v>
      </c>
      <c r="B1065" s="83"/>
      <c r="C1065" s="16">
        <v>46180</v>
      </c>
      <c r="D1065" s="82">
        <v>0</v>
      </c>
    </row>
    <row r="1066" spans="1:4" x14ac:dyDescent="0.3">
      <c r="A1066" s="83" t="s">
        <v>17</v>
      </c>
      <c r="B1066" s="83"/>
      <c r="C1066" s="16">
        <v>46181</v>
      </c>
      <c r="D1066" s="82">
        <v>733394.14000000013</v>
      </c>
    </row>
    <row r="1067" spans="1:4" x14ac:dyDescent="0.3">
      <c r="A1067" s="83" t="s">
        <v>18</v>
      </c>
      <c r="B1067" s="83"/>
      <c r="C1067" s="16">
        <v>46181</v>
      </c>
      <c r="D1067" s="82">
        <v>69376.390000000174</v>
      </c>
    </row>
    <row r="1068" spans="1:4" x14ac:dyDescent="0.3">
      <c r="A1068" s="83" t="s">
        <v>19</v>
      </c>
      <c r="B1068" s="83"/>
      <c r="C1068" s="16">
        <v>46181</v>
      </c>
      <c r="D1068" s="82">
        <v>1669.89</v>
      </c>
    </row>
    <row r="1069" spans="1:4" x14ac:dyDescent="0.3">
      <c r="A1069" s="83" t="s">
        <v>20</v>
      </c>
      <c r="B1069" s="83"/>
      <c r="C1069" s="16">
        <v>46181</v>
      </c>
      <c r="D1069" s="82">
        <v>729545.23999999987</v>
      </c>
    </row>
    <row r="1070" spans="1:4" x14ac:dyDescent="0.3">
      <c r="A1070" s="83" t="s">
        <v>21</v>
      </c>
      <c r="B1070" s="83"/>
      <c r="C1070" s="16">
        <v>46181</v>
      </c>
      <c r="D1070" s="82">
        <v>1164028.3199999994</v>
      </c>
    </row>
    <row r="1071" spans="1:4" x14ac:dyDescent="0.3">
      <c r="A1071" s="83" t="s">
        <v>22</v>
      </c>
      <c r="B1071" s="83"/>
      <c r="C1071" s="16">
        <v>46181</v>
      </c>
      <c r="D1071" s="82">
        <v>116496.38</v>
      </c>
    </row>
    <row r="1072" spans="1:4" x14ac:dyDescent="0.3">
      <c r="A1072" s="83" t="s">
        <v>23</v>
      </c>
      <c r="B1072" s="83"/>
      <c r="C1072" s="16">
        <v>46181</v>
      </c>
      <c r="D1072" s="82">
        <v>20375.37</v>
      </c>
    </row>
    <row r="1073" spans="1:4" x14ac:dyDescent="0.3">
      <c r="A1073" s="83" t="s">
        <v>24</v>
      </c>
      <c r="B1073" s="83"/>
      <c r="C1073" s="16">
        <v>46181</v>
      </c>
      <c r="D1073" s="82">
        <v>511.15999999999985</v>
      </c>
    </row>
    <row r="1074" spans="1:4" x14ac:dyDescent="0.3">
      <c r="A1074" s="83" t="s">
        <v>25</v>
      </c>
      <c r="B1074" s="83"/>
      <c r="C1074" s="16">
        <v>46181</v>
      </c>
      <c r="D1074" s="82">
        <v>84.35</v>
      </c>
    </row>
    <row r="1075" spans="1:4" x14ac:dyDescent="0.3">
      <c r="A1075" s="83" t="s">
        <v>26</v>
      </c>
      <c r="B1075" s="83"/>
      <c r="C1075" s="16">
        <v>46181</v>
      </c>
      <c r="D1075" s="82">
        <v>2237.77</v>
      </c>
    </row>
    <row r="1076" spans="1:4" x14ac:dyDescent="0.3">
      <c r="A1076" s="83" t="s">
        <v>27</v>
      </c>
      <c r="B1076" s="83"/>
      <c r="C1076" s="16">
        <v>46181</v>
      </c>
      <c r="D1076" s="82">
        <v>3349.94</v>
      </c>
    </row>
    <row r="1077" spans="1:4" x14ac:dyDescent="0.3">
      <c r="A1077" s="83" t="s">
        <v>28</v>
      </c>
      <c r="B1077" s="83"/>
      <c r="C1077" s="16">
        <v>46181</v>
      </c>
      <c r="D1077" s="82">
        <v>1968.99</v>
      </c>
    </row>
    <row r="1078" spans="1:4" x14ac:dyDescent="0.3">
      <c r="A1078" s="83" t="s">
        <v>29</v>
      </c>
      <c r="B1078" s="83"/>
      <c r="C1078" s="16">
        <v>46181</v>
      </c>
      <c r="D1078" s="82">
        <v>382.69000000000005</v>
      </c>
    </row>
    <row r="1079" spans="1:4" x14ac:dyDescent="0.3">
      <c r="A1079" s="83" t="s">
        <v>30</v>
      </c>
      <c r="B1079" s="83"/>
      <c r="C1079" s="16">
        <v>46181</v>
      </c>
      <c r="D1079" s="82">
        <v>1428.08</v>
      </c>
    </row>
    <row r="1080" spans="1:4" x14ac:dyDescent="0.3">
      <c r="A1080" s="83" t="s">
        <v>31</v>
      </c>
      <c r="B1080" s="83"/>
      <c r="C1080" s="16">
        <v>46181</v>
      </c>
      <c r="D1080" s="82">
        <v>25789.969999999961</v>
      </c>
    </row>
    <row r="1081" spans="1:4" x14ac:dyDescent="0.3">
      <c r="A1081" s="83" t="s">
        <v>32</v>
      </c>
      <c r="B1081" s="83"/>
      <c r="C1081" s="16">
        <v>46181</v>
      </c>
      <c r="D1081" s="82">
        <v>5321.4300000000021</v>
      </c>
    </row>
    <row r="1082" spans="1:4" x14ac:dyDescent="0.3">
      <c r="A1082" s="83" t="s">
        <v>33</v>
      </c>
      <c r="B1082" s="83"/>
      <c r="C1082" s="16">
        <v>46181</v>
      </c>
      <c r="D1082" s="82">
        <v>24833.23</v>
      </c>
    </row>
    <row r="1083" spans="1:4" x14ac:dyDescent="0.3">
      <c r="A1083" s="83" t="s">
        <v>34</v>
      </c>
      <c r="B1083" s="83"/>
      <c r="C1083" s="16">
        <v>46181</v>
      </c>
      <c r="D1083" s="82">
        <v>345</v>
      </c>
    </row>
    <row r="1084" spans="1:4" x14ac:dyDescent="0.3">
      <c r="A1084" s="83" t="s">
        <v>35</v>
      </c>
      <c r="B1084" s="83"/>
      <c r="C1084" s="16">
        <v>46181</v>
      </c>
      <c r="D1084" s="82">
        <v>6744.5000000000036</v>
      </c>
    </row>
    <row r="1085" spans="1:4" x14ac:dyDescent="0.3">
      <c r="A1085" s="83" t="s">
        <v>193</v>
      </c>
      <c r="B1085" s="83"/>
      <c r="C1085" s="16">
        <v>46181</v>
      </c>
      <c r="D1085" s="82">
        <v>0</v>
      </c>
    </row>
    <row r="1086" spans="1:4" x14ac:dyDescent="0.3">
      <c r="A1086" s="83" t="s">
        <v>214</v>
      </c>
      <c r="B1086" s="83"/>
      <c r="C1086" s="16">
        <v>46181</v>
      </c>
      <c r="D1086" s="82">
        <v>0</v>
      </c>
    </row>
    <row r="1087" spans="1:4" x14ac:dyDescent="0.3">
      <c r="A1087" s="83" t="s">
        <v>194</v>
      </c>
      <c r="B1087" s="83"/>
      <c r="C1087" s="16">
        <v>46181</v>
      </c>
      <c r="D1087" s="82">
        <v>0</v>
      </c>
    </row>
    <row r="1088" spans="1:4" x14ac:dyDescent="0.3">
      <c r="A1088" s="83" t="s">
        <v>195</v>
      </c>
      <c r="B1088" s="83"/>
      <c r="C1088" s="16">
        <v>46181</v>
      </c>
      <c r="D1088" s="82">
        <v>0</v>
      </c>
    </row>
    <row r="1089" spans="1:4" x14ac:dyDescent="0.3">
      <c r="A1089" s="83" t="s">
        <v>196</v>
      </c>
      <c r="B1089" s="83"/>
      <c r="C1089" s="16">
        <v>46181</v>
      </c>
      <c r="D1089" s="82">
        <v>0</v>
      </c>
    </row>
    <row r="1090" spans="1:4" x14ac:dyDescent="0.3">
      <c r="A1090" s="83" t="s">
        <v>197</v>
      </c>
      <c r="B1090" s="83"/>
      <c r="C1090" s="16">
        <v>46181</v>
      </c>
      <c r="D1090" s="82">
        <v>0</v>
      </c>
    </row>
    <row r="1091" spans="1:4" x14ac:dyDescent="0.3">
      <c r="A1091" s="83" t="s">
        <v>212</v>
      </c>
      <c r="B1091" s="83"/>
      <c r="C1091" s="16">
        <v>46181</v>
      </c>
      <c r="D1091" s="82">
        <v>0</v>
      </c>
    </row>
    <row r="1092" spans="1:4" x14ac:dyDescent="0.3">
      <c r="A1092" s="83" t="s">
        <v>199</v>
      </c>
      <c r="B1092" s="83"/>
      <c r="C1092" s="16">
        <v>46181</v>
      </c>
      <c r="D1092" s="82">
        <v>0</v>
      </c>
    </row>
    <row r="1093" spans="1:4" x14ac:dyDescent="0.3">
      <c r="A1093" s="83" t="s">
        <v>216</v>
      </c>
      <c r="B1093" s="83"/>
      <c r="C1093" s="16">
        <v>46181</v>
      </c>
      <c r="D1093" s="82">
        <v>0</v>
      </c>
    </row>
    <row r="1094" spans="1:4" x14ac:dyDescent="0.3">
      <c r="A1094" s="83" t="s">
        <v>17</v>
      </c>
      <c r="B1094" s="83"/>
      <c r="C1094" s="16">
        <v>46182</v>
      </c>
      <c r="D1094" s="82">
        <v>847381.29000000015</v>
      </c>
    </row>
    <row r="1095" spans="1:4" x14ac:dyDescent="0.3">
      <c r="A1095" s="83" t="s">
        <v>18</v>
      </c>
      <c r="B1095" s="83"/>
      <c r="C1095" s="16">
        <v>46182</v>
      </c>
      <c r="D1095" s="82">
        <v>69376.390000000174</v>
      </c>
    </row>
    <row r="1096" spans="1:4" x14ac:dyDescent="0.3">
      <c r="A1096" s="83" t="s">
        <v>19</v>
      </c>
      <c r="B1096" s="83"/>
      <c r="C1096" s="16">
        <v>46182</v>
      </c>
      <c r="D1096" s="82">
        <v>1669.89</v>
      </c>
    </row>
    <row r="1097" spans="1:4" x14ac:dyDescent="0.3">
      <c r="A1097" s="83" t="s">
        <v>20</v>
      </c>
      <c r="B1097" s="83"/>
      <c r="C1097" s="16">
        <v>46182</v>
      </c>
      <c r="D1097" s="82">
        <v>729545.23999999987</v>
      </c>
    </row>
    <row r="1098" spans="1:4" x14ac:dyDescent="0.3">
      <c r="A1098" s="83" t="s">
        <v>21</v>
      </c>
      <c r="B1098" s="83"/>
      <c r="C1098" s="16">
        <v>46182</v>
      </c>
      <c r="D1098" s="82">
        <v>1160274.0499999993</v>
      </c>
    </row>
    <row r="1099" spans="1:4" x14ac:dyDescent="0.3">
      <c r="A1099" s="83" t="s">
        <v>22</v>
      </c>
      <c r="B1099" s="83"/>
      <c r="C1099" s="16">
        <v>46182</v>
      </c>
      <c r="D1099" s="82">
        <v>116496.38</v>
      </c>
    </row>
    <row r="1100" spans="1:4" x14ac:dyDescent="0.3">
      <c r="A1100" s="83" t="s">
        <v>23</v>
      </c>
      <c r="B1100" s="83"/>
      <c r="C1100" s="16">
        <v>46182</v>
      </c>
      <c r="D1100" s="82">
        <v>20375.37</v>
      </c>
    </row>
    <row r="1101" spans="1:4" x14ac:dyDescent="0.3">
      <c r="A1101" s="83" t="s">
        <v>24</v>
      </c>
      <c r="B1101" s="83"/>
      <c r="C1101" s="16">
        <v>46182</v>
      </c>
      <c r="D1101" s="82">
        <v>511.15999999999985</v>
      </c>
    </row>
    <row r="1102" spans="1:4" x14ac:dyDescent="0.3">
      <c r="A1102" s="83" t="s">
        <v>25</v>
      </c>
      <c r="B1102" s="83"/>
      <c r="C1102" s="16">
        <v>46182</v>
      </c>
      <c r="D1102" s="82">
        <v>84.35</v>
      </c>
    </row>
    <row r="1103" spans="1:4" x14ac:dyDescent="0.3">
      <c r="A1103" s="83" t="s">
        <v>26</v>
      </c>
      <c r="B1103" s="83"/>
      <c r="C1103" s="16">
        <v>46182</v>
      </c>
      <c r="D1103" s="82">
        <v>2237.77</v>
      </c>
    </row>
    <row r="1104" spans="1:4" x14ac:dyDescent="0.3">
      <c r="A1104" s="83" t="s">
        <v>27</v>
      </c>
      <c r="B1104" s="83"/>
      <c r="C1104" s="16">
        <v>46182</v>
      </c>
      <c r="D1104" s="82">
        <v>3349.94</v>
      </c>
    </row>
    <row r="1105" spans="1:4" x14ac:dyDescent="0.3">
      <c r="A1105" s="83" t="s">
        <v>28</v>
      </c>
      <c r="B1105" s="83"/>
      <c r="C1105" s="16">
        <v>46182</v>
      </c>
      <c r="D1105" s="82">
        <v>1968.99</v>
      </c>
    </row>
    <row r="1106" spans="1:4" x14ac:dyDescent="0.3">
      <c r="A1106" s="83" t="s">
        <v>29</v>
      </c>
      <c r="B1106" s="83"/>
      <c r="C1106" s="16">
        <v>46182</v>
      </c>
      <c r="D1106" s="82">
        <v>382.69000000000005</v>
      </c>
    </row>
    <row r="1107" spans="1:4" x14ac:dyDescent="0.3">
      <c r="A1107" s="83" t="s">
        <v>30</v>
      </c>
      <c r="B1107" s="83"/>
      <c r="C1107" s="16">
        <v>46182</v>
      </c>
      <c r="D1107" s="82">
        <v>1428.08</v>
      </c>
    </row>
    <row r="1108" spans="1:4" x14ac:dyDescent="0.3">
      <c r="A1108" s="83" t="s">
        <v>31</v>
      </c>
      <c r="B1108" s="83"/>
      <c r="C1108" s="16">
        <v>46182</v>
      </c>
      <c r="D1108" s="82">
        <v>25789.969999999961</v>
      </c>
    </row>
    <row r="1109" spans="1:4" x14ac:dyDescent="0.3">
      <c r="A1109" s="83" t="s">
        <v>32</v>
      </c>
      <c r="B1109" s="83"/>
      <c r="C1109" s="16">
        <v>46182</v>
      </c>
      <c r="D1109" s="82">
        <v>5321.4300000000021</v>
      </c>
    </row>
    <row r="1110" spans="1:4" x14ac:dyDescent="0.3">
      <c r="A1110" s="83" t="s">
        <v>33</v>
      </c>
      <c r="B1110" s="83"/>
      <c r="C1110" s="16">
        <v>46182</v>
      </c>
      <c r="D1110" s="82">
        <v>24833.23</v>
      </c>
    </row>
    <row r="1111" spans="1:4" x14ac:dyDescent="0.3">
      <c r="A1111" s="83" t="s">
        <v>34</v>
      </c>
      <c r="B1111" s="83"/>
      <c r="C1111" s="16">
        <v>46182</v>
      </c>
      <c r="D1111" s="82">
        <v>345</v>
      </c>
    </row>
    <row r="1112" spans="1:4" x14ac:dyDescent="0.3">
      <c r="A1112" s="83" t="s">
        <v>35</v>
      </c>
      <c r="B1112" s="83"/>
      <c r="C1112" s="16">
        <v>46182</v>
      </c>
      <c r="D1112" s="82">
        <v>6583.0800000000036</v>
      </c>
    </row>
    <row r="1113" spans="1:4" x14ac:dyDescent="0.3">
      <c r="A1113" s="83" t="s">
        <v>193</v>
      </c>
      <c r="B1113" s="83"/>
      <c r="C1113" s="16">
        <v>46182</v>
      </c>
      <c r="D1113" s="82">
        <v>0</v>
      </c>
    </row>
    <row r="1114" spans="1:4" x14ac:dyDescent="0.3">
      <c r="A1114" s="83" t="s">
        <v>214</v>
      </c>
      <c r="B1114" s="83"/>
      <c r="C1114" s="16">
        <v>46182</v>
      </c>
      <c r="D1114" s="82">
        <v>0</v>
      </c>
    </row>
    <row r="1115" spans="1:4" x14ac:dyDescent="0.3">
      <c r="A1115" s="83" t="s">
        <v>194</v>
      </c>
      <c r="B1115" s="83"/>
      <c r="C1115" s="16">
        <v>46182</v>
      </c>
      <c r="D1115" s="82">
        <v>0</v>
      </c>
    </row>
    <row r="1116" spans="1:4" x14ac:dyDescent="0.3">
      <c r="A1116" s="83" t="s">
        <v>195</v>
      </c>
      <c r="B1116" s="83"/>
      <c r="C1116" s="16">
        <v>46182</v>
      </c>
      <c r="D1116" s="82">
        <v>0</v>
      </c>
    </row>
    <row r="1117" spans="1:4" x14ac:dyDescent="0.3">
      <c r="A1117" s="83" t="s">
        <v>196</v>
      </c>
      <c r="B1117" s="83"/>
      <c r="C1117" s="16">
        <v>46182</v>
      </c>
      <c r="D1117" s="82">
        <v>0</v>
      </c>
    </row>
    <row r="1118" spans="1:4" x14ac:dyDescent="0.3">
      <c r="A1118" s="83" t="s">
        <v>197</v>
      </c>
      <c r="B1118" s="83"/>
      <c r="C1118" s="16">
        <v>46182</v>
      </c>
      <c r="D1118" s="82">
        <v>0</v>
      </c>
    </row>
    <row r="1119" spans="1:4" x14ac:dyDescent="0.3">
      <c r="A1119" s="83" t="s">
        <v>212</v>
      </c>
      <c r="B1119" s="83"/>
      <c r="C1119" s="16">
        <v>46182</v>
      </c>
      <c r="D1119" s="82">
        <v>0</v>
      </c>
    </row>
    <row r="1120" spans="1:4" x14ac:dyDescent="0.3">
      <c r="A1120" s="83" t="s">
        <v>199</v>
      </c>
      <c r="B1120" s="83"/>
      <c r="C1120" s="16">
        <v>46182</v>
      </c>
      <c r="D1120" s="82">
        <v>0</v>
      </c>
    </row>
    <row r="1121" spans="1:4" x14ac:dyDescent="0.3">
      <c r="A1121" s="83" t="s">
        <v>216</v>
      </c>
      <c r="B1121" s="83"/>
      <c r="C1121" s="16">
        <v>46182</v>
      </c>
      <c r="D1121" s="82">
        <v>0</v>
      </c>
    </row>
    <row r="1122" spans="1:4" x14ac:dyDescent="0.3">
      <c r="A1122" s="83" t="s">
        <v>17</v>
      </c>
      <c r="B1122" s="83"/>
      <c r="C1122" s="16">
        <v>46183</v>
      </c>
      <c r="D1122" s="82">
        <v>2288745.9500000002</v>
      </c>
    </row>
    <row r="1123" spans="1:4" x14ac:dyDescent="0.3">
      <c r="A1123" s="83" t="s">
        <v>18</v>
      </c>
      <c r="B1123" s="83"/>
      <c r="C1123" s="16">
        <v>46183</v>
      </c>
      <c r="D1123" s="82">
        <v>69376.390000000174</v>
      </c>
    </row>
    <row r="1124" spans="1:4" x14ac:dyDescent="0.3">
      <c r="A1124" s="83" t="s">
        <v>19</v>
      </c>
      <c r="B1124" s="83"/>
      <c r="C1124" s="16">
        <v>46183</v>
      </c>
      <c r="D1124" s="82">
        <v>1669.89</v>
      </c>
    </row>
    <row r="1125" spans="1:4" x14ac:dyDescent="0.3">
      <c r="A1125" s="83" t="s">
        <v>20</v>
      </c>
      <c r="B1125" s="83"/>
      <c r="C1125" s="16">
        <v>46183</v>
      </c>
      <c r="D1125" s="82">
        <v>744306.80999999982</v>
      </c>
    </row>
    <row r="1126" spans="1:4" x14ac:dyDescent="0.3">
      <c r="A1126" s="83" t="s">
        <v>21</v>
      </c>
      <c r="B1126" s="83"/>
      <c r="C1126" s="16">
        <v>46183</v>
      </c>
      <c r="D1126" s="82">
        <v>1160274.0499999993</v>
      </c>
    </row>
    <row r="1127" spans="1:4" x14ac:dyDescent="0.3">
      <c r="A1127" s="83" t="s">
        <v>22</v>
      </c>
      <c r="B1127" s="83"/>
      <c r="C1127" s="16">
        <v>46183</v>
      </c>
      <c r="D1127" s="82">
        <v>116496.38</v>
      </c>
    </row>
    <row r="1128" spans="1:4" x14ac:dyDescent="0.3">
      <c r="A1128" s="83" t="s">
        <v>23</v>
      </c>
      <c r="B1128" s="83"/>
      <c r="C1128" s="16">
        <v>46183</v>
      </c>
      <c r="D1128" s="82">
        <v>20375.37</v>
      </c>
    </row>
    <row r="1129" spans="1:4" x14ac:dyDescent="0.3">
      <c r="A1129" s="83" t="s">
        <v>24</v>
      </c>
      <c r="B1129" s="83"/>
      <c r="C1129" s="16">
        <v>46183</v>
      </c>
      <c r="D1129" s="82">
        <v>511.15999999999985</v>
      </c>
    </row>
    <row r="1130" spans="1:4" x14ac:dyDescent="0.3">
      <c r="A1130" s="83" t="s">
        <v>25</v>
      </c>
      <c r="B1130" s="83"/>
      <c r="C1130" s="16">
        <v>46183</v>
      </c>
      <c r="D1130" s="82">
        <v>84.35</v>
      </c>
    </row>
    <row r="1131" spans="1:4" x14ac:dyDescent="0.3">
      <c r="A1131" s="83" t="s">
        <v>26</v>
      </c>
      <c r="B1131" s="83"/>
      <c r="C1131" s="16">
        <v>46183</v>
      </c>
      <c r="D1131" s="82">
        <v>2237.77</v>
      </c>
    </row>
    <row r="1132" spans="1:4" x14ac:dyDescent="0.3">
      <c r="A1132" s="83" t="s">
        <v>27</v>
      </c>
      <c r="B1132" s="83"/>
      <c r="C1132" s="16">
        <v>46183</v>
      </c>
      <c r="D1132" s="82">
        <v>3349.94</v>
      </c>
    </row>
    <row r="1133" spans="1:4" x14ac:dyDescent="0.3">
      <c r="A1133" s="83" t="s">
        <v>28</v>
      </c>
      <c r="B1133" s="83"/>
      <c r="C1133" s="16">
        <v>46183</v>
      </c>
      <c r="D1133" s="82">
        <v>1968.99</v>
      </c>
    </row>
    <row r="1134" spans="1:4" x14ac:dyDescent="0.3">
      <c r="A1134" s="83" t="s">
        <v>29</v>
      </c>
      <c r="B1134" s="83"/>
      <c r="C1134" s="16">
        <v>46183</v>
      </c>
      <c r="D1134" s="82">
        <v>382.69000000000005</v>
      </c>
    </row>
    <row r="1135" spans="1:4" x14ac:dyDescent="0.3">
      <c r="A1135" s="83" t="s">
        <v>30</v>
      </c>
      <c r="B1135" s="83"/>
      <c r="C1135" s="16">
        <v>46183</v>
      </c>
      <c r="D1135" s="82">
        <v>1428.08</v>
      </c>
    </row>
    <row r="1136" spans="1:4" x14ac:dyDescent="0.3">
      <c r="A1136" s="83" t="s">
        <v>31</v>
      </c>
      <c r="B1136" s="83"/>
      <c r="C1136" s="16">
        <v>46183</v>
      </c>
      <c r="D1136" s="82">
        <v>25789.969999999961</v>
      </c>
    </row>
    <row r="1137" spans="1:4" x14ac:dyDescent="0.3">
      <c r="A1137" s="83" t="s">
        <v>32</v>
      </c>
      <c r="B1137" s="83"/>
      <c r="C1137" s="16">
        <v>46183</v>
      </c>
      <c r="D1137" s="82">
        <v>5321.4300000000021</v>
      </c>
    </row>
    <row r="1138" spans="1:4" x14ac:dyDescent="0.3">
      <c r="A1138" s="83" t="s">
        <v>33</v>
      </c>
      <c r="B1138" s="83"/>
      <c r="C1138" s="16">
        <v>46183</v>
      </c>
      <c r="D1138" s="82">
        <v>24743.98</v>
      </c>
    </row>
    <row r="1139" spans="1:4" x14ac:dyDescent="0.3">
      <c r="A1139" s="83" t="s">
        <v>34</v>
      </c>
      <c r="B1139" s="83"/>
      <c r="C1139" s="16">
        <v>46183</v>
      </c>
      <c r="D1139" s="82">
        <v>345</v>
      </c>
    </row>
    <row r="1140" spans="1:4" x14ac:dyDescent="0.3">
      <c r="A1140" s="83" t="s">
        <v>35</v>
      </c>
      <c r="B1140" s="83"/>
      <c r="C1140" s="16">
        <v>46183</v>
      </c>
      <c r="D1140" s="82">
        <v>6583.0800000000036</v>
      </c>
    </row>
    <row r="1141" spans="1:4" x14ac:dyDescent="0.3">
      <c r="A1141" s="83" t="s">
        <v>193</v>
      </c>
      <c r="B1141" s="83"/>
      <c r="C1141" s="16">
        <v>46183</v>
      </c>
      <c r="D1141" s="82">
        <v>0</v>
      </c>
    </row>
    <row r="1142" spans="1:4" x14ac:dyDescent="0.3">
      <c r="A1142" s="83" t="s">
        <v>214</v>
      </c>
      <c r="B1142" s="83"/>
      <c r="C1142" s="16">
        <v>46183</v>
      </c>
      <c r="D1142" s="82">
        <v>0</v>
      </c>
    </row>
    <row r="1143" spans="1:4" x14ac:dyDescent="0.3">
      <c r="A1143" s="83" t="s">
        <v>194</v>
      </c>
      <c r="B1143" s="83"/>
      <c r="C1143" s="16">
        <v>46183</v>
      </c>
      <c r="D1143" s="82">
        <v>0</v>
      </c>
    </row>
    <row r="1144" spans="1:4" x14ac:dyDescent="0.3">
      <c r="A1144" s="83" t="s">
        <v>195</v>
      </c>
      <c r="B1144" s="83"/>
      <c r="C1144" s="16">
        <v>46183</v>
      </c>
      <c r="D1144" s="82">
        <v>0</v>
      </c>
    </row>
    <row r="1145" spans="1:4" x14ac:dyDescent="0.3">
      <c r="A1145" s="83" t="s">
        <v>196</v>
      </c>
      <c r="B1145" s="83"/>
      <c r="C1145" s="16">
        <v>46183</v>
      </c>
      <c r="D1145" s="82">
        <v>0</v>
      </c>
    </row>
    <row r="1146" spans="1:4" x14ac:dyDescent="0.3">
      <c r="A1146" s="83" t="s">
        <v>197</v>
      </c>
      <c r="B1146" s="83"/>
      <c r="C1146" s="16">
        <v>46183</v>
      </c>
      <c r="D1146" s="82">
        <v>0</v>
      </c>
    </row>
    <row r="1147" spans="1:4" x14ac:dyDescent="0.3">
      <c r="A1147" s="83" t="s">
        <v>212</v>
      </c>
      <c r="B1147" s="83"/>
      <c r="C1147" s="16">
        <v>46183</v>
      </c>
      <c r="D1147" s="82">
        <v>0</v>
      </c>
    </row>
    <row r="1148" spans="1:4" x14ac:dyDescent="0.3">
      <c r="A1148" s="83" t="s">
        <v>199</v>
      </c>
      <c r="B1148" s="83"/>
      <c r="C1148" s="16">
        <v>46183</v>
      </c>
      <c r="D1148" s="82">
        <v>0</v>
      </c>
    </row>
    <row r="1149" spans="1:4" x14ac:dyDescent="0.3">
      <c r="A1149" s="83" t="s">
        <v>216</v>
      </c>
      <c r="B1149" s="83"/>
      <c r="C1149" s="16">
        <v>46183</v>
      </c>
      <c r="D1149" s="82">
        <v>0</v>
      </c>
    </row>
    <row r="1150" spans="1:4" x14ac:dyDescent="0.3">
      <c r="A1150" s="83" t="s">
        <v>17</v>
      </c>
      <c r="B1150" s="83"/>
      <c r="C1150" s="16">
        <v>46184</v>
      </c>
      <c r="D1150" s="82">
        <v>1837784.84</v>
      </c>
    </row>
    <row r="1151" spans="1:4" x14ac:dyDescent="0.3">
      <c r="A1151" s="83" t="s">
        <v>18</v>
      </c>
      <c r="B1151" s="83"/>
      <c r="C1151" s="16">
        <v>46184</v>
      </c>
      <c r="D1151" s="82">
        <v>69376.390000000174</v>
      </c>
    </row>
    <row r="1152" spans="1:4" x14ac:dyDescent="0.3">
      <c r="A1152" s="83" t="s">
        <v>19</v>
      </c>
      <c r="B1152" s="83"/>
      <c r="C1152" s="16">
        <v>46184</v>
      </c>
      <c r="D1152" s="82">
        <v>1669.89</v>
      </c>
    </row>
    <row r="1153" spans="1:4" x14ac:dyDescent="0.3">
      <c r="A1153" s="83" t="s">
        <v>20</v>
      </c>
      <c r="B1153" s="83"/>
      <c r="C1153" s="16">
        <v>46184</v>
      </c>
      <c r="D1153" s="82">
        <v>564626.20999999985</v>
      </c>
    </row>
    <row r="1154" spans="1:4" x14ac:dyDescent="0.3">
      <c r="A1154" s="83" t="s">
        <v>21</v>
      </c>
      <c r="B1154" s="83"/>
      <c r="C1154" s="16">
        <v>46184</v>
      </c>
      <c r="D1154" s="82">
        <v>794731.82999999926</v>
      </c>
    </row>
    <row r="1155" spans="1:4" x14ac:dyDescent="0.3">
      <c r="A1155" s="83" t="s">
        <v>22</v>
      </c>
      <c r="B1155" s="83"/>
      <c r="C1155" s="16">
        <v>46184</v>
      </c>
      <c r="D1155" s="82">
        <v>116496.38</v>
      </c>
    </row>
    <row r="1156" spans="1:4" x14ac:dyDescent="0.3">
      <c r="A1156" s="83" t="s">
        <v>23</v>
      </c>
      <c r="B1156" s="83"/>
      <c r="C1156" s="16">
        <v>46184</v>
      </c>
      <c r="D1156" s="82">
        <v>20375.37</v>
      </c>
    </row>
    <row r="1157" spans="1:4" x14ac:dyDescent="0.3">
      <c r="A1157" s="83" t="s">
        <v>24</v>
      </c>
      <c r="B1157" s="83"/>
      <c r="C1157" s="16">
        <v>46184</v>
      </c>
      <c r="D1157" s="82">
        <v>511.15999999999985</v>
      </c>
    </row>
    <row r="1158" spans="1:4" x14ac:dyDescent="0.3">
      <c r="A1158" s="83" t="s">
        <v>25</v>
      </c>
      <c r="B1158" s="83"/>
      <c r="C1158" s="16">
        <v>46184</v>
      </c>
      <c r="D1158" s="82">
        <v>84.35</v>
      </c>
    </row>
    <row r="1159" spans="1:4" x14ac:dyDescent="0.3">
      <c r="A1159" s="83" t="s">
        <v>26</v>
      </c>
      <c r="B1159" s="83"/>
      <c r="C1159" s="16">
        <v>46184</v>
      </c>
      <c r="D1159" s="82">
        <v>2237.77</v>
      </c>
    </row>
    <row r="1160" spans="1:4" x14ac:dyDescent="0.3">
      <c r="A1160" s="83" t="s">
        <v>27</v>
      </c>
      <c r="B1160" s="83"/>
      <c r="C1160" s="16">
        <v>46184</v>
      </c>
      <c r="D1160" s="82">
        <v>3349.94</v>
      </c>
    </row>
    <row r="1161" spans="1:4" x14ac:dyDescent="0.3">
      <c r="A1161" s="83" t="s">
        <v>28</v>
      </c>
      <c r="B1161" s="83"/>
      <c r="C1161" s="16">
        <v>46184</v>
      </c>
      <c r="D1161" s="82">
        <v>1968.99</v>
      </c>
    </row>
    <row r="1162" spans="1:4" x14ac:dyDescent="0.3">
      <c r="A1162" s="83" t="s">
        <v>29</v>
      </c>
      <c r="B1162" s="83"/>
      <c r="C1162" s="16">
        <v>46184</v>
      </c>
      <c r="D1162" s="82">
        <v>382.69000000000005</v>
      </c>
    </row>
    <row r="1163" spans="1:4" x14ac:dyDescent="0.3">
      <c r="A1163" s="83" t="s">
        <v>30</v>
      </c>
      <c r="B1163" s="83"/>
      <c r="C1163" s="16">
        <v>46184</v>
      </c>
      <c r="D1163" s="82">
        <v>1428.08</v>
      </c>
    </row>
    <row r="1164" spans="1:4" x14ac:dyDescent="0.3">
      <c r="A1164" s="83" t="s">
        <v>31</v>
      </c>
      <c r="B1164" s="83"/>
      <c r="C1164" s="16">
        <v>46184</v>
      </c>
      <c r="D1164" s="82">
        <v>25789.969999999961</v>
      </c>
    </row>
    <row r="1165" spans="1:4" x14ac:dyDescent="0.3">
      <c r="A1165" s="83" t="s">
        <v>32</v>
      </c>
      <c r="B1165" s="83"/>
      <c r="C1165" s="16">
        <v>46184</v>
      </c>
      <c r="D1165" s="82">
        <v>5321.4300000000021</v>
      </c>
    </row>
    <row r="1166" spans="1:4" x14ac:dyDescent="0.3">
      <c r="A1166" s="83" t="s">
        <v>33</v>
      </c>
      <c r="B1166" s="83"/>
      <c r="C1166" s="16">
        <v>46184</v>
      </c>
      <c r="D1166" s="82">
        <v>24743.98</v>
      </c>
    </row>
    <row r="1167" spans="1:4" x14ac:dyDescent="0.3">
      <c r="A1167" s="83" t="s">
        <v>34</v>
      </c>
      <c r="B1167" s="83"/>
      <c r="C1167" s="16">
        <v>46184</v>
      </c>
      <c r="D1167" s="82">
        <v>345</v>
      </c>
    </row>
    <row r="1168" spans="1:4" x14ac:dyDescent="0.3">
      <c r="A1168" s="83" t="s">
        <v>35</v>
      </c>
      <c r="B1168" s="83"/>
      <c r="C1168" s="16">
        <v>46184</v>
      </c>
      <c r="D1168" s="82">
        <v>54068.08</v>
      </c>
    </row>
    <row r="1169" spans="1:4" x14ac:dyDescent="0.3">
      <c r="A1169" s="83" t="s">
        <v>193</v>
      </c>
      <c r="B1169" s="83"/>
      <c r="C1169" s="16">
        <v>46184</v>
      </c>
      <c r="D1169" s="82">
        <v>0</v>
      </c>
    </row>
    <row r="1170" spans="1:4" x14ac:dyDescent="0.3">
      <c r="A1170" s="83" t="s">
        <v>214</v>
      </c>
      <c r="B1170" s="83"/>
      <c r="C1170" s="16">
        <v>46184</v>
      </c>
      <c r="D1170" s="82">
        <v>0</v>
      </c>
    </row>
    <row r="1171" spans="1:4" x14ac:dyDescent="0.3">
      <c r="A1171" s="83" t="s">
        <v>194</v>
      </c>
      <c r="B1171" s="83"/>
      <c r="C1171" s="16">
        <v>46184</v>
      </c>
      <c r="D1171" s="82">
        <v>0</v>
      </c>
    </row>
    <row r="1172" spans="1:4" x14ac:dyDescent="0.3">
      <c r="A1172" s="83" t="s">
        <v>195</v>
      </c>
      <c r="B1172" s="83"/>
      <c r="C1172" s="16">
        <v>46184</v>
      </c>
      <c r="D1172" s="82">
        <v>0</v>
      </c>
    </row>
    <row r="1173" spans="1:4" x14ac:dyDescent="0.3">
      <c r="A1173" s="83" t="s">
        <v>196</v>
      </c>
      <c r="B1173" s="83"/>
      <c r="C1173" s="16">
        <v>46184</v>
      </c>
      <c r="D1173" s="82">
        <v>0</v>
      </c>
    </row>
    <row r="1174" spans="1:4" x14ac:dyDescent="0.3">
      <c r="A1174" s="83" t="s">
        <v>197</v>
      </c>
      <c r="B1174" s="83"/>
      <c r="C1174" s="16">
        <v>46184</v>
      </c>
      <c r="D1174" s="82">
        <v>0</v>
      </c>
    </row>
    <row r="1175" spans="1:4" x14ac:dyDescent="0.3">
      <c r="A1175" s="83" t="s">
        <v>212</v>
      </c>
      <c r="B1175" s="83"/>
      <c r="C1175" s="16">
        <v>46184</v>
      </c>
      <c r="D1175" s="82">
        <v>0</v>
      </c>
    </row>
    <row r="1176" spans="1:4" x14ac:dyDescent="0.3">
      <c r="A1176" s="83" t="s">
        <v>199</v>
      </c>
      <c r="B1176" s="83"/>
      <c r="C1176" s="16">
        <v>46184</v>
      </c>
      <c r="D1176" s="82">
        <v>0</v>
      </c>
    </row>
    <row r="1177" spans="1:4" x14ac:dyDescent="0.3">
      <c r="A1177" s="83" t="s">
        <v>216</v>
      </c>
      <c r="B1177" s="83"/>
      <c r="C1177" s="16">
        <v>46184</v>
      </c>
      <c r="D1177" s="82">
        <v>0</v>
      </c>
    </row>
    <row r="1178" spans="1:4" x14ac:dyDescent="0.3">
      <c r="A1178" s="83" t="s">
        <v>17</v>
      </c>
      <c r="B1178" s="83"/>
      <c r="C1178" s="16">
        <v>46185</v>
      </c>
      <c r="D1178" s="82">
        <v>1837784.84</v>
      </c>
    </row>
    <row r="1179" spans="1:4" x14ac:dyDescent="0.3">
      <c r="A1179" s="83" t="s">
        <v>18</v>
      </c>
      <c r="B1179" s="83"/>
      <c r="C1179" s="16">
        <v>46185</v>
      </c>
      <c r="D1179" s="82">
        <v>69376.390000000174</v>
      </c>
    </row>
    <row r="1180" spans="1:4" x14ac:dyDescent="0.3">
      <c r="A1180" s="83" t="s">
        <v>19</v>
      </c>
      <c r="B1180" s="83"/>
      <c r="C1180" s="16">
        <v>46185</v>
      </c>
      <c r="D1180" s="82">
        <v>1669.89</v>
      </c>
    </row>
    <row r="1181" spans="1:4" x14ac:dyDescent="0.3">
      <c r="A1181" s="83" t="s">
        <v>20</v>
      </c>
      <c r="B1181" s="83"/>
      <c r="C1181" s="16">
        <v>46185</v>
      </c>
      <c r="D1181" s="82">
        <v>564626.20999999985</v>
      </c>
    </row>
    <row r="1182" spans="1:4" x14ac:dyDescent="0.3">
      <c r="A1182" s="83" t="s">
        <v>21</v>
      </c>
      <c r="B1182" s="83"/>
      <c r="C1182" s="16">
        <v>46185</v>
      </c>
      <c r="D1182" s="82">
        <v>3763348.8299999996</v>
      </c>
    </row>
    <row r="1183" spans="1:4" x14ac:dyDescent="0.3">
      <c r="A1183" s="83" t="s">
        <v>22</v>
      </c>
      <c r="B1183" s="83"/>
      <c r="C1183" s="16">
        <v>46185</v>
      </c>
      <c r="D1183" s="82">
        <v>116496.38</v>
      </c>
    </row>
    <row r="1184" spans="1:4" x14ac:dyDescent="0.3">
      <c r="A1184" s="83" t="s">
        <v>23</v>
      </c>
      <c r="B1184" s="83"/>
      <c r="C1184" s="16">
        <v>46185</v>
      </c>
      <c r="D1184" s="82">
        <v>20375.989999999998</v>
      </c>
    </row>
    <row r="1185" spans="1:4" x14ac:dyDescent="0.3">
      <c r="A1185" s="83" t="s">
        <v>24</v>
      </c>
      <c r="B1185" s="83"/>
      <c r="C1185" s="16">
        <v>46185</v>
      </c>
      <c r="D1185" s="82">
        <v>511.15999999999985</v>
      </c>
    </row>
    <row r="1186" spans="1:4" x14ac:dyDescent="0.3">
      <c r="A1186" s="83" t="s">
        <v>25</v>
      </c>
      <c r="B1186" s="83"/>
      <c r="C1186" s="16">
        <v>46185</v>
      </c>
      <c r="D1186" s="82">
        <v>84.35</v>
      </c>
    </row>
    <row r="1187" spans="1:4" x14ac:dyDescent="0.3">
      <c r="A1187" s="83" t="s">
        <v>26</v>
      </c>
      <c r="B1187" s="83"/>
      <c r="C1187" s="16">
        <v>46185</v>
      </c>
      <c r="D1187" s="82">
        <v>2237.77</v>
      </c>
    </row>
    <row r="1188" spans="1:4" x14ac:dyDescent="0.3">
      <c r="A1188" s="83" t="s">
        <v>27</v>
      </c>
      <c r="B1188" s="83"/>
      <c r="C1188" s="16">
        <v>46185</v>
      </c>
      <c r="D1188" s="82">
        <v>3349.94</v>
      </c>
    </row>
    <row r="1189" spans="1:4" x14ac:dyDescent="0.3">
      <c r="A1189" s="83" t="s">
        <v>28</v>
      </c>
      <c r="B1189" s="83"/>
      <c r="C1189" s="16">
        <v>46185</v>
      </c>
      <c r="D1189" s="82">
        <v>1968.99</v>
      </c>
    </row>
    <row r="1190" spans="1:4" x14ac:dyDescent="0.3">
      <c r="A1190" s="83" t="s">
        <v>29</v>
      </c>
      <c r="B1190" s="83"/>
      <c r="C1190" s="16">
        <v>46185</v>
      </c>
      <c r="D1190" s="82">
        <v>382.69000000000005</v>
      </c>
    </row>
    <row r="1191" spans="1:4" x14ac:dyDescent="0.3">
      <c r="A1191" s="83" t="s">
        <v>30</v>
      </c>
      <c r="B1191" s="83"/>
      <c r="C1191" s="16">
        <v>46185</v>
      </c>
      <c r="D1191" s="82">
        <v>1428.08</v>
      </c>
    </row>
    <row r="1192" spans="1:4" x14ac:dyDescent="0.3">
      <c r="A1192" s="83" t="s">
        <v>31</v>
      </c>
      <c r="B1192" s="83"/>
      <c r="C1192" s="16">
        <v>46185</v>
      </c>
      <c r="D1192" s="82">
        <v>27789.969999999961</v>
      </c>
    </row>
    <row r="1193" spans="1:4" x14ac:dyDescent="0.3">
      <c r="A1193" s="83" t="s">
        <v>32</v>
      </c>
      <c r="B1193" s="83"/>
      <c r="C1193" s="16">
        <v>46185</v>
      </c>
      <c r="D1193" s="82">
        <v>5321.4300000000021</v>
      </c>
    </row>
    <row r="1194" spans="1:4" x14ac:dyDescent="0.3">
      <c r="A1194" s="83" t="s">
        <v>33</v>
      </c>
      <c r="B1194" s="83"/>
      <c r="C1194" s="16">
        <v>46185</v>
      </c>
      <c r="D1194" s="82">
        <v>24484.85</v>
      </c>
    </row>
    <row r="1195" spans="1:4" x14ac:dyDescent="0.3">
      <c r="A1195" s="83" t="s">
        <v>34</v>
      </c>
      <c r="B1195" s="83"/>
      <c r="C1195" s="16">
        <v>46185</v>
      </c>
      <c r="D1195" s="82">
        <v>345</v>
      </c>
    </row>
    <row r="1196" spans="1:4" x14ac:dyDescent="0.3">
      <c r="A1196" s="83" t="s">
        <v>35</v>
      </c>
      <c r="B1196" s="83"/>
      <c r="C1196" s="16">
        <v>46185</v>
      </c>
      <c r="D1196" s="82">
        <v>54068.08</v>
      </c>
    </row>
    <row r="1197" spans="1:4" x14ac:dyDescent="0.3">
      <c r="A1197" s="83" t="s">
        <v>193</v>
      </c>
      <c r="B1197" s="83"/>
      <c r="C1197" s="16">
        <v>46185</v>
      </c>
      <c r="D1197" s="82">
        <v>0</v>
      </c>
    </row>
    <row r="1198" spans="1:4" x14ac:dyDescent="0.3">
      <c r="A1198" s="83" t="s">
        <v>214</v>
      </c>
      <c r="B1198" s="83"/>
      <c r="C1198" s="16">
        <v>46185</v>
      </c>
      <c r="D1198" s="82">
        <v>0</v>
      </c>
    </row>
    <row r="1199" spans="1:4" x14ac:dyDescent="0.3">
      <c r="A1199" s="83" t="s">
        <v>194</v>
      </c>
      <c r="B1199" s="83"/>
      <c r="C1199" s="16">
        <v>46185</v>
      </c>
      <c r="D1199" s="82">
        <v>0</v>
      </c>
    </row>
    <row r="1200" spans="1:4" x14ac:dyDescent="0.3">
      <c r="A1200" s="83" t="s">
        <v>195</v>
      </c>
      <c r="B1200" s="83"/>
      <c r="C1200" s="16">
        <v>46185</v>
      </c>
      <c r="D1200" s="82">
        <v>0</v>
      </c>
    </row>
    <row r="1201" spans="1:4" x14ac:dyDescent="0.3">
      <c r="A1201" s="83" t="s">
        <v>196</v>
      </c>
      <c r="B1201" s="83"/>
      <c r="C1201" s="16">
        <v>46185</v>
      </c>
      <c r="D1201" s="82">
        <v>0</v>
      </c>
    </row>
    <row r="1202" spans="1:4" x14ac:dyDescent="0.3">
      <c r="A1202" s="83" t="s">
        <v>197</v>
      </c>
      <c r="B1202" s="83"/>
      <c r="C1202" s="16">
        <v>46185</v>
      </c>
      <c r="D1202" s="82">
        <v>0</v>
      </c>
    </row>
    <row r="1203" spans="1:4" x14ac:dyDescent="0.3">
      <c r="A1203" s="83" t="s">
        <v>212</v>
      </c>
      <c r="B1203" s="83"/>
      <c r="C1203" s="16">
        <v>46185</v>
      </c>
      <c r="D1203" s="82">
        <v>0</v>
      </c>
    </row>
    <row r="1204" spans="1:4" x14ac:dyDescent="0.3">
      <c r="A1204" s="83" t="s">
        <v>199</v>
      </c>
      <c r="B1204" s="83"/>
      <c r="C1204" s="16">
        <v>46185</v>
      </c>
      <c r="D1204" s="82">
        <v>0</v>
      </c>
    </row>
    <row r="1205" spans="1:4" x14ac:dyDescent="0.3">
      <c r="A1205" s="83" t="s">
        <v>216</v>
      </c>
      <c r="B1205" s="83"/>
      <c r="C1205" s="16">
        <v>46185</v>
      </c>
      <c r="D1205" s="82">
        <v>0</v>
      </c>
    </row>
    <row r="1206" spans="1:4" x14ac:dyDescent="0.3">
      <c r="A1206" s="83" t="s">
        <v>17</v>
      </c>
      <c r="B1206" s="83"/>
      <c r="C1206" s="16">
        <v>46186</v>
      </c>
      <c r="D1206" s="82">
        <v>1837784.84</v>
      </c>
    </row>
    <row r="1207" spans="1:4" x14ac:dyDescent="0.3">
      <c r="A1207" s="83" t="s">
        <v>18</v>
      </c>
      <c r="B1207" s="83"/>
      <c r="C1207" s="16">
        <v>46186</v>
      </c>
      <c r="D1207" s="82">
        <v>69376.390000000174</v>
      </c>
    </row>
    <row r="1208" spans="1:4" x14ac:dyDescent="0.3">
      <c r="A1208" s="83" t="s">
        <v>19</v>
      </c>
      <c r="B1208" s="83"/>
      <c r="C1208" s="16">
        <v>46186</v>
      </c>
      <c r="D1208" s="82">
        <v>1669.89</v>
      </c>
    </row>
    <row r="1209" spans="1:4" x14ac:dyDescent="0.3">
      <c r="A1209" s="83" t="s">
        <v>20</v>
      </c>
      <c r="B1209" s="83"/>
      <c r="C1209" s="16">
        <v>46186</v>
      </c>
      <c r="D1209" s="82">
        <v>564626.20999999985</v>
      </c>
    </row>
    <row r="1210" spans="1:4" x14ac:dyDescent="0.3">
      <c r="A1210" s="83" t="s">
        <v>21</v>
      </c>
      <c r="B1210" s="83"/>
      <c r="C1210" s="16">
        <v>46186</v>
      </c>
      <c r="D1210" s="82">
        <v>3763348.8299999996</v>
      </c>
    </row>
    <row r="1211" spans="1:4" x14ac:dyDescent="0.3">
      <c r="A1211" s="83" t="s">
        <v>22</v>
      </c>
      <c r="B1211" s="83"/>
      <c r="C1211" s="16">
        <v>46186</v>
      </c>
      <c r="D1211" s="82">
        <v>116496.38</v>
      </c>
    </row>
    <row r="1212" spans="1:4" x14ac:dyDescent="0.3">
      <c r="A1212" s="83" t="s">
        <v>23</v>
      </c>
      <c r="B1212" s="83"/>
      <c r="C1212" s="16">
        <v>46186</v>
      </c>
      <c r="D1212" s="82">
        <v>20375.989999999998</v>
      </c>
    </row>
    <row r="1213" spans="1:4" x14ac:dyDescent="0.3">
      <c r="A1213" s="83" t="s">
        <v>24</v>
      </c>
      <c r="B1213" s="83"/>
      <c r="C1213" s="16">
        <v>46186</v>
      </c>
      <c r="D1213" s="82">
        <v>511.15999999999985</v>
      </c>
    </row>
    <row r="1214" spans="1:4" x14ac:dyDescent="0.3">
      <c r="A1214" s="83" t="s">
        <v>25</v>
      </c>
      <c r="B1214" s="83"/>
      <c r="C1214" s="16">
        <v>46186</v>
      </c>
      <c r="D1214" s="82">
        <v>84.35</v>
      </c>
    </row>
    <row r="1215" spans="1:4" x14ac:dyDescent="0.3">
      <c r="A1215" s="83" t="s">
        <v>26</v>
      </c>
      <c r="B1215" s="83"/>
      <c r="C1215" s="16">
        <v>46186</v>
      </c>
      <c r="D1215" s="82">
        <v>2237.77</v>
      </c>
    </row>
    <row r="1216" spans="1:4" x14ac:dyDescent="0.3">
      <c r="A1216" s="83" t="s">
        <v>27</v>
      </c>
      <c r="B1216" s="83"/>
      <c r="C1216" s="16">
        <v>46186</v>
      </c>
      <c r="D1216" s="82">
        <v>3349.94</v>
      </c>
    </row>
    <row r="1217" spans="1:4" x14ac:dyDescent="0.3">
      <c r="A1217" s="83" t="s">
        <v>28</v>
      </c>
      <c r="B1217" s="83"/>
      <c r="C1217" s="16">
        <v>46186</v>
      </c>
      <c r="D1217" s="82">
        <v>1968.99</v>
      </c>
    </row>
    <row r="1218" spans="1:4" x14ac:dyDescent="0.3">
      <c r="A1218" s="83" t="s">
        <v>29</v>
      </c>
      <c r="B1218" s="83"/>
      <c r="C1218" s="16">
        <v>46186</v>
      </c>
      <c r="D1218" s="82">
        <v>382.69000000000005</v>
      </c>
    </row>
    <row r="1219" spans="1:4" x14ac:dyDescent="0.3">
      <c r="A1219" s="83" t="s">
        <v>30</v>
      </c>
      <c r="B1219" s="83"/>
      <c r="C1219" s="16">
        <v>46186</v>
      </c>
      <c r="D1219" s="82">
        <v>1428.08</v>
      </c>
    </row>
    <row r="1220" spans="1:4" x14ac:dyDescent="0.3">
      <c r="A1220" s="83" t="s">
        <v>31</v>
      </c>
      <c r="B1220" s="83"/>
      <c r="C1220" s="16">
        <v>46186</v>
      </c>
      <c r="D1220" s="82">
        <v>27789.969999999961</v>
      </c>
    </row>
    <row r="1221" spans="1:4" x14ac:dyDescent="0.3">
      <c r="A1221" s="83" t="s">
        <v>32</v>
      </c>
      <c r="B1221" s="83"/>
      <c r="C1221" s="16">
        <v>46186</v>
      </c>
      <c r="D1221" s="82">
        <v>5321.4300000000021</v>
      </c>
    </row>
    <row r="1222" spans="1:4" x14ac:dyDescent="0.3">
      <c r="A1222" s="83" t="s">
        <v>33</v>
      </c>
      <c r="B1222" s="83"/>
      <c r="C1222" s="16">
        <v>46186</v>
      </c>
      <c r="D1222" s="82">
        <v>24484.85</v>
      </c>
    </row>
    <row r="1223" spans="1:4" x14ac:dyDescent="0.3">
      <c r="A1223" s="83" t="s">
        <v>34</v>
      </c>
      <c r="B1223" s="83"/>
      <c r="C1223" s="16">
        <v>46186</v>
      </c>
      <c r="D1223" s="82">
        <v>345</v>
      </c>
    </row>
    <row r="1224" spans="1:4" x14ac:dyDescent="0.3">
      <c r="A1224" s="83" t="s">
        <v>35</v>
      </c>
      <c r="B1224" s="83"/>
      <c r="C1224" s="16">
        <v>46186</v>
      </c>
      <c r="D1224" s="82">
        <v>54068.08</v>
      </c>
    </row>
    <row r="1225" spans="1:4" x14ac:dyDescent="0.3">
      <c r="A1225" s="83" t="s">
        <v>193</v>
      </c>
      <c r="B1225" s="83"/>
      <c r="C1225" s="16">
        <v>46186</v>
      </c>
      <c r="D1225" s="82">
        <v>0</v>
      </c>
    </row>
    <row r="1226" spans="1:4" x14ac:dyDescent="0.3">
      <c r="A1226" s="83" t="s">
        <v>214</v>
      </c>
      <c r="B1226" s="83"/>
      <c r="C1226" s="16">
        <v>46186</v>
      </c>
      <c r="D1226" s="82">
        <v>0</v>
      </c>
    </row>
    <row r="1227" spans="1:4" x14ac:dyDescent="0.3">
      <c r="A1227" s="83" t="s">
        <v>194</v>
      </c>
      <c r="B1227" s="83"/>
      <c r="C1227" s="16">
        <v>46186</v>
      </c>
      <c r="D1227" s="82">
        <v>0</v>
      </c>
    </row>
    <row r="1228" spans="1:4" x14ac:dyDescent="0.3">
      <c r="A1228" s="83" t="s">
        <v>195</v>
      </c>
      <c r="B1228" s="83"/>
      <c r="C1228" s="16">
        <v>46186</v>
      </c>
      <c r="D1228" s="82">
        <v>0</v>
      </c>
    </row>
    <row r="1229" spans="1:4" x14ac:dyDescent="0.3">
      <c r="A1229" s="83" t="s">
        <v>196</v>
      </c>
      <c r="B1229" s="83"/>
      <c r="C1229" s="16">
        <v>46186</v>
      </c>
      <c r="D1229" s="82">
        <v>0</v>
      </c>
    </row>
    <row r="1230" spans="1:4" x14ac:dyDescent="0.3">
      <c r="A1230" s="83" t="s">
        <v>197</v>
      </c>
      <c r="B1230" s="83"/>
      <c r="C1230" s="16">
        <v>46186</v>
      </c>
      <c r="D1230" s="82">
        <v>0</v>
      </c>
    </row>
    <row r="1231" spans="1:4" x14ac:dyDescent="0.3">
      <c r="A1231" s="83" t="s">
        <v>212</v>
      </c>
      <c r="B1231" s="83"/>
      <c r="C1231" s="16">
        <v>46186</v>
      </c>
      <c r="D1231" s="82">
        <v>0</v>
      </c>
    </row>
    <row r="1232" spans="1:4" x14ac:dyDescent="0.3">
      <c r="A1232" s="83" t="s">
        <v>199</v>
      </c>
      <c r="B1232" s="83"/>
      <c r="C1232" s="16">
        <v>46186</v>
      </c>
      <c r="D1232" s="82">
        <v>0</v>
      </c>
    </row>
    <row r="1233" spans="1:4" x14ac:dyDescent="0.3">
      <c r="A1233" s="83" t="s">
        <v>216</v>
      </c>
      <c r="B1233" s="83"/>
      <c r="C1233" s="16">
        <v>46186</v>
      </c>
      <c r="D1233" s="82">
        <v>0</v>
      </c>
    </row>
    <row r="1234" spans="1:4" x14ac:dyDescent="0.3">
      <c r="A1234" s="83" t="s">
        <v>17</v>
      </c>
      <c r="B1234" s="83"/>
      <c r="C1234" s="16">
        <v>46187</v>
      </c>
      <c r="D1234" s="82">
        <v>1837784.84</v>
      </c>
    </row>
    <row r="1235" spans="1:4" x14ac:dyDescent="0.3">
      <c r="A1235" s="83" t="s">
        <v>18</v>
      </c>
      <c r="B1235" s="83"/>
      <c r="C1235" s="16">
        <v>46187</v>
      </c>
      <c r="D1235" s="82">
        <v>69376.390000000174</v>
      </c>
    </row>
    <row r="1236" spans="1:4" x14ac:dyDescent="0.3">
      <c r="A1236" s="83" t="s">
        <v>19</v>
      </c>
      <c r="B1236" s="83"/>
      <c r="C1236" s="16">
        <v>46187</v>
      </c>
      <c r="D1236" s="82">
        <v>1669.89</v>
      </c>
    </row>
    <row r="1237" spans="1:4" x14ac:dyDescent="0.3">
      <c r="A1237" s="83" t="s">
        <v>20</v>
      </c>
      <c r="B1237" s="83"/>
      <c r="C1237" s="16">
        <v>46187</v>
      </c>
      <c r="D1237" s="82">
        <v>564626.20999999985</v>
      </c>
    </row>
    <row r="1238" spans="1:4" x14ac:dyDescent="0.3">
      <c r="A1238" s="83" t="s">
        <v>21</v>
      </c>
      <c r="B1238" s="83"/>
      <c r="C1238" s="16">
        <v>46187</v>
      </c>
      <c r="D1238" s="82">
        <v>3763348.8299999996</v>
      </c>
    </row>
    <row r="1239" spans="1:4" x14ac:dyDescent="0.3">
      <c r="A1239" s="83" t="s">
        <v>22</v>
      </c>
      <c r="B1239" s="83"/>
      <c r="C1239" s="16">
        <v>46187</v>
      </c>
      <c r="D1239" s="82">
        <v>116496.38</v>
      </c>
    </row>
    <row r="1240" spans="1:4" x14ac:dyDescent="0.3">
      <c r="A1240" s="83" t="s">
        <v>23</v>
      </c>
      <c r="B1240" s="83"/>
      <c r="C1240" s="16">
        <v>46187</v>
      </c>
      <c r="D1240" s="82">
        <v>20375.989999999998</v>
      </c>
    </row>
    <row r="1241" spans="1:4" x14ac:dyDescent="0.3">
      <c r="A1241" s="83" t="s">
        <v>24</v>
      </c>
      <c r="B1241" s="83"/>
      <c r="C1241" s="16">
        <v>46187</v>
      </c>
      <c r="D1241" s="82">
        <v>511.15999999999985</v>
      </c>
    </row>
    <row r="1242" spans="1:4" x14ac:dyDescent="0.3">
      <c r="A1242" s="83" t="s">
        <v>25</v>
      </c>
      <c r="B1242" s="83"/>
      <c r="C1242" s="16">
        <v>46187</v>
      </c>
      <c r="D1242" s="82">
        <v>84.35</v>
      </c>
    </row>
    <row r="1243" spans="1:4" x14ac:dyDescent="0.3">
      <c r="A1243" s="83" t="s">
        <v>26</v>
      </c>
      <c r="B1243" s="83"/>
      <c r="C1243" s="16">
        <v>46187</v>
      </c>
      <c r="D1243" s="82">
        <v>2237.77</v>
      </c>
    </row>
    <row r="1244" spans="1:4" x14ac:dyDescent="0.3">
      <c r="A1244" s="83" t="s">
        <v>27</v>
      </c>
      <c r="B1244" s="83"/>
      <c r="C1244" s="16">
        <v>46187</v>
      </c>
      <c r="D1244" s="82">
        <v>3349.94</v>
      </c>
    </row>
    <row r="1245" spans="1:4" x14ac:dyDescent="0.3">
      <c r="A1245" s="83" t="s">
        <v>28</v>
      </c>
      <c r="B1245" s="83"/>
      <c r="C1245" s="16">
        <v>46187</v>
      </c>
      <c r="D1245" s="82">
        <v>1968.99</v>
      </c>
    </row>
    <row r="1246" spans="1:4" x14ac:dyDescent="0.3">
      <c r="A1246" s="83" t="s">
        <v>29</v>
      </c>
      <c r="B1246" s="83"/>
      <c r="C1246" s="16">
        <v>46187</v>
      </c>
      <c r="D1246" s="82">
        <v>382.69000000000005</v>
      </c>
    </row>
    <row r="1247" spans="1:4" x14ac:dyDescent="0.3">
      <c r="A1247" s="83" t="s">
        <v>30</v>
      </c>
      <c r="B1247" s="83"/>
      <c r="C1247" s="16">
        <v>46187</v>
      </c>
      <c r="D1247" s="82">
        <v>1428.08</v>
      </c>
    </row>
    <row r="1248" spans="1:4" x14ac:dyDescent="0.3">
      <c r="A1248" s="83" t="s">
        <v>31</v>
      </c>
      <c r="B1248" s="83"/>
      <c r="C1248" s="16">
        <v>46187</v>
      </c>
      <c r="D1248" s="82">
        <v>27789.969999999961</v>
      </c>
    </row>
    <row r="1249" spans="1:4" x14ac:dyDescent="0.3">
      <c r="A1249" s="83" t="s">
        <v>32</v>
      </c>
      <c r="B1249" s="83"/>
      <c r="C1249" s="16">
        <v>46187</v>
      </c>
      <c r="D1249" s="82">
        <v>5321.4300000000021</v>
      </c>
    </row>
    <row r="1250" spans="1:4" x14ac:dyDescent="0.3">
      <c r="A1250" s="83" t="s">
        <v>33</v>
      </c>
      <c r="B1250" s="83"/>
      <c r="C1250" s="16">
        <v>46187</v>
      </c>
      <c r="D1250" s="82">
        <v>24484.85</v>
      </c>
    </row>
    <row r="1251" spans="1:4" x14ac:dyDescent="0.3">
      <c r="A1251" s="83" t="s">
        <v>34</v>
      </c>
      <c r="B1251" s="83"/>
      <c r="C1251" s="16">
        <v>46187</v>
      </c>
      <c r="D1251" s="82">
        <v>345</v>
      </c>
    </row>
    <row r="1252" spans="1:4" x14ac:dyDescent="0.3">
      <c r="A1252" s="83" t="s">
        <v>35</v>
      </c>
      <c r="B1252" s="83"/>
      <c r="C1252" s="16">
        <v>46187</v>
      </c>
      <c r="D1252" s="82">
        <v>54068.08</v>
      </c>
    </row>
    <row r="1253" spans="1:4" x14ac:dyDescent="0.3">
      <c r="A1253" s="83" t="s">
        <v>193</v>
      </c>
      <c r="B1253" s="83"/>
      <c r="C1253" s="16">
        <v>46187</v>
      </c>
      <c r="D1253" s="82">
        <v>0</v>
      </c>
    </row>
    <row r="1254" spans="1:4" x14ac:dyDescent="0.3">
      <c r="A1254" s="83" t="s">
        <v>214</v>
      </c>
      <c r="B1254" s="83"/>
      <c r="C1254" s="16">
        <v>46187</v>
      </c>
      <c r="D1254" s="82">
        <v>0</v>
      </c>
    </row>
    <row r="1255" spans="1:4" x14ac:dyDescent="0.3">
      <c r="A1255" s="83" t="s">
        <v>194</v>
      </c>
      <c r="B1255" s="83"/>
      <c r="C1255" s="16">
        <v>46187</v>
      </c>
      <c r="D1255" s="82">
        <v>0</v>
      </c>
    </row>
    <row r="1256" spans="1:4" x14ac:dyDescent="0.3">
      <c r="A1256" s="83" t="s">
        <v>195</v>
      </c>
      <c r="B1256" s="83"/>
      <c r="C1256" s="16">
        <v>46187</v>
      </c>
      <c r="D1256" s="82">
        <v>0</v>
      </c>
    </row>
    <row r="1257" spans="1:4" x14ac:dyDescent="0.3">
      <c r="A1257" s="83" t="s">
        <v>196</v>
      </c>
      <c r="B1257" s="83"/>
      <c r="C1257" s="16">
        <v>46187</v>
      </c>
      <c r="D1257" s="82">
        <v>0</v>
      </c>
    </row>
    <row r="1258" spans="1:4" x14ac:dyDescent="0.3">
      <c r="A1258" s="83" t="s">
        <v>197</v>
      </c>
      <c r="B1258" s="83"/>
      <c r="C1258" s="16">
        <v>46187</v>
      </c>
      <c r="D1258" s="82">
        <v>0</v>
      </c>
    </row>
    <row r="1259" spans="1:4" x14ac:dyDescent="0.3">
      <c r="A1259" s="83" t="s">
        <v>212</v>
      </c>
      <c r="B1259" s="83"/>
      <c r="C1259" s="16">
        <v>46187</v>
      </c>
      <c r="D1259" s="82">
        <v>0</v>
      </c>
    </row>
    <row r="1260" spans="1:4" x14ac:dyDescent="0.3">
      <c r="A1260" s="83" t="s">
        <v>199</v>
      </c>
      <c r="B1260" s="83"/>
      <c r="C1260" s="16">
        <v>46187</v>
      </c>
      <c r="D1260" s="82">
        <v>0</v>
      </c>
    </row>
    <row r="1261" spans="1:4" x14ac:dyDescent="0.3">
      <c r="A1261" s="83" t="s">
        <v>216</v>
      </c>
      <c r="B1261" s="83"/>
      <c r="C1261" s="16">
        <v>46187</v>
      </c>
      <c r="D1261" s="82">
        <v>0</v>
      </c>
    </row>
    <row r="1262" spans="1:4" x14ac:dyDescent="0.3">
      <c r="A1262" s="83" t="s">
        <v>17</v>
      </c>
      <c r="B1262" s="83"/>
      <c r="C1262" s="16">
        <v>46188</v>
      </c>
      <c r="D1262" s="82">
        <v>985975.94000000029</v>
      </c>
    </row>
    <row r="1263" spans="1:4" x14ac:dyDescent="0.3">
      <c r="A1263" s="83" t="s">
        <v>18</v>
      </c>
      <c r="B1263" s="83"/>
      <c r="C1263" s="16">
        <v>46188</v>
      </c>
      <c r="D1263" s="82">
        <v>69376.390000000174</v>
      </c>
    </row>
    <row r="1264" spans="1:4" x14ac:dyDescent="0.3">
      <c r="A1264" s="83" t="s">
        <v>19</v>
      </c>
      <c r="B1264" s="83"/>
      <c r="C1264" s="16">
        <v>46188</v>
      </c>
      <c r="D1264" s="82">
        <v>1669.89</v>
      </c>
    </row>
    <row r="1265" spans="1:4" x14ac:dyDescent="0.3">
      <c r="A1265" s="83" t="s">
        <v>20</v>
      </c>
      <c r="B1265" s="83"/>
      <c r="C1265" s="16">
        <v>46188</v>
      </c>
      <c r="D1265" s="82">
        <v>503904.80999999982</v>
      </c>
    </row>
    <row r="1266" spans="1:4" x14ac:dyDescent="0.3">
      <c r="A1266" s="83" t="s">
        <v>21</v>
      </c>
      <c r="B1266" s="83"/>
      <c r="C1266" s="16">
        <v>46188</v>
      </c>
      <c r="D1266" s="82">
        <v>3331737.2399999998</v>
      </c>
    </row>
    <row r="1267" spans="1:4" x14ac:dyDescent="0.3">
      <c r="A1267" s="83" t="s">
        <v>22</v>
      </c>
      <c r="B1267" s="83"/>
      <c r="C1267" s="16">
        <v>46188</v>
      </c>
      <c r="D1267" s="82">
        <v>116496.38</v>
      </c>
    </row>
    <row r="1268" spans="1:4" x14ac:dyDescent="0.3">
      <c r="A1268" s="83" t="s">
        <v>23</v>
      </c>
      <c r="B1268" s="83"/>
      <c r="C1268" s="16">
        <v>46188</v>
      </c>
      <c r="D1268" s="82">
        <v>20375.989999999998</v>
      </c>
    </row>
    <row r="1269" spans="1:4" x14ac:dyDescent="0.3">
      <c r="A1269" s="83" t="s">
        <v>24</v>
      </c>
      <c r="B1269" s="83"/>
      <c r="C1269" s="16">
        <v>46188</v>
      </c>
      <c r="D1269" s="82">
        <v>511.15999999999985</v>
      </c>
    </row>
    <row r="1270" spans="1:4" x14ac:dyDescent="0.3">
      <c r="A1270" s="83" t="s">
        <v>25</v>
      </c>
      <c r="B1270" s="83"/>
      <c r="C1270" s="16">
        <v>46188</v>
      </c>
      <c r="D1270" s="82">
        <v>84.35</v>
      </c>
    </row>
    <row r="1271" spans="1:4" x14ac:dyDescent="0.3">
      <c r="A1271" s="83" t="s">
        <v>26</v>
      </c>
      <c r="B1271" s="83"/>
      <c r="C1271" s="16">
        <v>46188</v>
      </c>
      <c r="D1271" s="82">
        <v>2237.77</v>
      </c>
    </row>
    <row r="1272" spans="1:4" x14ac:dyDescent="0.3">
      <c r="A1272" s="83" t="s">
        <v>27</v>
      </c>
      <c r="B1272" s="83"/>
      <c r="C1272" s="16">
        <v>46188</v>
      </c>
      <c r="D1272" s="82">
        <v>3349.94</v>
      </c>
    </row>
    <row r="1273" spans="1:4" x14ac:dyDescent="0.3">
      <c r="A1273" s="83" t="s">
        <v>28</v>
      </c>
      <c r="B1273" s="83"/>
      <c r="C1273" s="16">
        <v>46188</v>
      </c>
      <c r="D1273" s="82">
        <v>1968.99</v>
      </c>
    </row>
    <row r="1274" spans="1:4" x14ac:dyDescent="0.3">
      <c r="A1274" s="83" t="s">
        <v>29</v>
      </c>
      <c r="B1274" s="83"/>
      <c r="C1274" s="16">
        <v>46188</v>
      </c>
      <c r="D1274" s="82">
        <v>382.69000000000005</v>
      </c>
    </row>
    <row r="1275" spans="1:4" x14ac:dyDescent="0.3">
      <c r="A1275" s="83" t="s">
        <v>30</v>
      </c>
      <c r="B1275" s="83"/>
      <c r="C1275" s="16">
        <v>46188</v>
      </c>
      <c r="D1275" s="82">
        <v>1428.08</v>
      </c>
    </row>
    <row r="1276" spans="1:4" x14ac:dyDescent="0.3">
      <c r="A1276" s="83" t="s">
        <v>31</v>
      </c>
      <c r="B1276" s="83"/>
      <c r="C1276" s="16">
        <v>46188</v>
      </c>
      <c r="D1276" s="82">
        <v>29789.969999999961</v>
      </c>
    </row>
    <row r="1277" spans="1:4" x14ac:dyDescent="0.3">
      <c r="A1277" s="83" t="s">
        <v>32</v>
      </c>
      <c r="B1277" s="83"/>
      <c r="C1277" s="16">
        <v>46188</v>
      </c>
      <c r="D1277" s="82">
        <v>5321.4300000000021</v>
      </c>
    </row>
    <row r="1278" spans="1:4" x14ac:dyDescent="0.3">
      <c r="A1278" s="83" t="s">
        <v>33</v>
      </c>
      <c r="B1278" s="83"/>
      <c r="C1278" s="16">
        <v>46188</v>
      </c>
      <c r="D1278" s="82">
        <v>20484.849999999999</v>
      </c>
    </row>
    <row r="1279" spans="1:4" x14ac:dyDescent="0.3">
      <c r="A1279" s="83" t="s">
        <v>34</v>
      </c>
      <c r="B1279" s="83"/>
      <c r="C1279" s="16">
        <v>46188</v>
      </c>
      <c r="D1279" s="82">
        <v>345</v>
      </c>
    </row>
    <row r="1280" spans="1:4" x14ac:dyDescent="0.3">
      <c r="A1280" s="83" t="s">
        <v>35</v>
      </c>
      <c r="B1280" s="83"/>
      <c r="C1280" s="16">
        <v>46188</v>
      </c>
      <c r="D1280" s="82">
        <v>54018.080000000002</v>
      </c>
    </row>
    <row r="1281" spans="1:4" x14ac:dyDescent="0.3">
      <c r="A1281" s="83" t="s">
        <v>193</v>
      </c>
      <c r="B1281" s="83"/>
      <c r="C1281" s="16">
        <v>46188</v>
      </c>
      <c r="D1281" s="82">
        <v>0</v>
      </c>
    </row>
    <row r="1282" spans="1:4" x14ac:dyDescent="0.3">
      <c r="A1282" s="83" t="s">
        <v>214</v>
      </c>
      <c r="B1282" s="83"/>
      <c r="C1282" s="16">
        <v>46188</v>
      </c>
      <c r="D1282" s="82">
        <v>0</v>
      </c>
    </row>
    <row r="1283" spans="1:4" x14ac:dyDescent="0.3">
      <c r="A1283" s="83" t="s">
        <v>194</v>
      </c>
      <c r="B1283" s="83"/>
      <c r="C1283" s="16">
        <v>46188</v>
      </c>
      <c r="D1283" s="82">
        <v>0</v>
      </c>
    </row>
    <row r="1284" spans="1:4" x14ac:dyDescent="0.3">
      <c r="A1284" s="83" t="s">
        <v>195</v>
      </c>
      <c r="B1284" s="83"/>
      <c r="C1284" s="16">
        <v>46188</v>
      </c>
      <c r="D1284" s="82">
        <v>0</v>
      </c>
    </row>
    <row r="1285" spans="1:4" x14ac:dyDescent="0.3">
      <c r="A1285" s="83" t="s">
        <v>196</v>
      </c>
      <c r="B1285" s="83"/>
      <c r="C1285" s="16">
        <v>46188</v>
      </c>
      <c r="D1285" s="82">
        <v>0</v>
      </c>
    </row>
    <row r="1286" spans="1:4" x14ac:dyDescent="0.3">
      <c r="A1286" s="83" t="s">
        <v>197</v>
      </c>
      <c r="B1286" s="83"/>
      <c r="C1286" s="16">
        <v>46188</v>
      </c>
      <c r="D1286" s="82">
        <v>0</v>
      </c>
    </row>
    <row r="1287" spans="1:4" x14ac:dyDescent="0.3">
      <c r="A1287" s="83" t="s">
        <v>212</v>
      </c>
      <c r="B1287" s="83"/>
      <c r="C1287" s="16">
        <v>46188</v>
      </c>
      <c r="D1287" s="82">
        <v>0</v>
      </c>
    </row>
    <row r="1288" spans="1:4" x14ac:dyDescent="0.3">
      <c r="A1288" s="83" t="s">
        <v>199</v>
      </c>
      <c r="B1288" s="83"/>
      <c r="C1288" s="16">
        <v>46188</v>
      </c>
      <c r="D1288" s="82">
        <v>0</v>
      </c>
    </row>
    <row r="1289" spans="1:4" x14ac:dyDescent="0.3">
      <c r="A1289" s="83" t="s">
        <v>216</v>
      </c>
      <c r="B1289" s="83"/>
      <c r="C1289" s="16">
        <v>46188</v>
      </c>
      <c r="D1289" s="82">
        <v>0</v>
      </c>
    </row>
    <row r="1290" spans="1:4" x14ac:dyDescent="0.3">
      <c r="A1290" s="83" t="s">
        <v>17</v>
      </c>
      <c r="B1290" s="83"/>
      <c r="C1290" s="16">
        <v>46189</v>
      </c>
      <c r="D1290" s="82">
        <v>1086358.7500000002</v>
      </c>
    </row>
    <row r="1291" spans="1:4" x14ac:dyDescent="0.3">
      <c r="A1291" s="83" t="s">
        <v>18</v>
      </c>
      <c r="B1291" s="83"/>
      <c r="C1291" s="16">
        <v>46189</v>
      </c>
      <c r="D1291" s="82">
        <v>69376.390000000174</v>
      </c>
    </row>
    <row r="1292" spans="1:4" x14ac:dyDescent="0.3">
      <c r="A1292" s="83" t="s">
        <v>19</v>
      </c>
      <c r="B1292" s="83"/>
      <c r="C1292" s="16">
        <v>46189</v>
      </c>
      <c r="D1292" s="82">
        <v>1669.89</v>
      </c>
    </row>
    <row r="1293" spans="1:4" x14ac:dyDescent="0.3">
      <c r="A1293" s="83" t="s">
        <v>20</v>
      </c>
      <c r="B1293" s="83"/>
      <c r="C1293" s="16">
        <v>46189</v>
      </c>
      <c r="D1293" s="82">
        <v>503904.80999999982</v>
      </c>
    </row>
    <row r="1294" spans="1:4" x14ac:dyDescent="0.3">
      <c r="A1294" s="83" t="s">
        <v>21</v>
      </c>
      <c r="B1294" s="83"/>
      <c r="C1294" s="16">
        <v>46189</v>
      </c>
      <c r="D1294" s="82">
        <v>3329246.88</v>
      </c>
    </row>
    <row r="1295" spans="1:4" x14ac:dyDescent="0.3">
      <c r="A1295" s="83" t="s">
        <v>22</v>
      </c>
      <c r="B1295" s="83"/>
      <c r="C1295" s="16">
        <v>46189</v>
      </c>
      <c r="D1295" s="82">
        <v>116496.38</v>
      </c>
    </row>
    <row r="1296" spans="1:4" x14ac:dyDescent="0.3">
      <c r="A1296" s="83" t="s">
        <v>23</v>
      </c>
      <c r="B1296" s="83"/>
      <c r="C1296" s="16">
        <v>46189</v>
      </c>
      <c r="D1296" s="82">
        <v>20375.989999999998</v>
      </c>
    </row>
    <row r="1297" spans="1:4" x14ac:dyDescent="0.3">
      <c r="A1297" s="83" t="s">
        <v>24</v>
      </c>
      <c r="B1297" s="83"/>
      <c r="C1297" s="16">
        <v>46189</v>
      </c>
      <c r="D1297" s="82">
        <v>511.15999999999985</v>
      </c>
    </row>
    <row r="1298" spans="1:4" x14ac:dyDescent="0.3">
      <c r="A1298" s="83" t="s">
        <v>25</v>
      </c>
      <c r="B1298" s="83"/>
      <c r="C1298" s="16">
        <v>46189</v>
      </c>
      <c r="D1298" s="82">
        <v>84.35</v>
      </c>
    </row>
    <row r="1299" spans="1:4" x14ac:dyDescent="0.3">
      <c r="A1299" s="83" t="s">
        <v>26</v>
      </c>
      <c r="B1299" s="83"/>
      <c r="C1299" s="16">
        <v>46189</v>
      </c>
      <c r="D1299" s="82">
        <v>2237.77</v>
      </c>
    </row>
    <row r="1300" spans="1:4" x14ac:dyDescent="0.3">
      <c r="A1300" s="83" t="s">
        <v>27</v>
      </c>
      <c r="B1300" s="83"/>
      <c r="C1300" s="16">
        <v>46189</v>
      </c>
      <c r="D1300" s="82">
        <v>3349.94</v>
      </c>
    </row>
    <row r="1301" spans="1:4" x14ac:dyDescent="0.3">
      <c r="A1301" s="83" t="s">
        <v>28</v>
      </c>
      <c r="B1301" s="83"/>
      <c r="C1301" s="16">
        <v>46189</v>
      </c>
      <c r="D1301" s="82">
        <v>1968.99</v>
      </c>
    </row>
    <row r="1302" spans="1:4" x14ac:dyDescent="0.3">
      <c r="A1302" s="83" t="s">
        <v>29</v>
      </c>
      <c r="B1302" s="83"/>
      <c r="C1302" s="16">
        <v>46189</v>
      </c>
      <c r="D1302" s="82">
        <v>382.69000000000005</v>
      </c>
    </row>
    <row r="1303" spans="1:4" x14ac:dyDescent="0.3">
      <c r="A1303" s="83" t="s">
        <v>30</v>
      </c>
      <c r="B1303" s="83"/>
      <c r="C1303" s="16">
        <v>46189</v>
      </c>
      <c r="D1303" s="82">
        <v>1428.08</v>
      </c>
    </row>
    <row r="1304" spans="1:4" x14ac:dyDescent="0.3">
      <c r="A1304" s="83" t="s">
        <v>31</v>
      </c>
      <c r="B1304" s="83"/>
      <c r="C1304" s="16">
        <v>46189</v>
      </c>
      <c r="D1304" s="82">
        <v>29789.969999999961</v>
      </c>
    </row>
    <row r="1305" spans="1:4" x14ac:dyDescent="0.3">
      <c r="A1305" s="83" t="s">
        <v>32</v>
      </c>
      <c r="B1305" s="83"/>
      <c r="C1305" s="16">
        <v>46189</v>
      </c>
      <c r="D1305" s="82">
        <v>20321.43</v>
      </c>
    </row>
    <row r="1306" spans="1:4" x14ac:dyDescent="0.3">
      <c r="A1306" s="83" t="s">
        <v>33</v>
      </c>
      <c r="B1306" s="83"/>
      <c r="C1306" s="16">
        <v>46189</v>
      </c>
      <c r="D1306" s="82">
        <v>19811.349999999999</v>
      </c>
    </row>
    <row r="1307" spans="1:4" x14ac:dyDescent="0.3">
      <c r="A1307" s="83" t="s">
        <v>34</v>
      </c>
      <c r="B1307" s="83"/>
      <c r="C1307" s="16">
        <v>46189</v>
      </c>
      <c r="D1307" s="82">
        <v>345</v>
      </c>
    </row>
    <row r="1308" spans="1:4" x14ac:dyDescent="0.3">
      <c r="A1308" s="83" t="s">
        <v>35</v>
      </c>
      <c r="B1308" s="83"/>
      <c r="C1308" s="16">
        <v>46189</v>
      </c>
      <c r="D1308" s="82">
        <v>51334.36</v>
      </c>
    </row>
    <row r="1309" spans="1:4" x14ac:dyDescent="0.3">
      <c r="A1309" s="83" t="s">
        <v>193</v>
      </c>
      <c r="B1309" s="83"/>
      <c r="C1309" s="16">
        <v>46189</v>
      </c>
      <c r="D1309" s="82">
        <v>0</v>
      </c>
    </row>
    <row r="1310" spans="1:4" x14ac:dyDescent="0.3">
      <c r="A1310" s="83" t="s">
        <v>214</v>
      </c>
      <c r="B1310" s="83"/>
      <c r="C1310" s="16">
        <v>46189</v>
      </c>
      <c r="D1310" s="82">
        <v>0</v>
      </c>
    </row>
    <row r="1311" spans="1:4" x14ac:dyDescent="0.3">
      <c r="A1311" s="83" t="s">
        <v>194</v>
      </c>
      <c r="B1311" s="83"/>
      <c r="C1311" s="16">
        <v>46189</v>
      </c>
      <c r="D1311" s="82">
        <v>0</v>
      </c>
    </row>
    <row r="1312" spans="1:4" x14ac:dyDescent="0.3">
      <c r="A1312" s="83" t="s">
        <v>195</v>
      </c>
      <c r="B1312" s="83"/>
      <c r="C1312" s="16">
        <v>46189</v>
      </c>
      <c r="D1312" s="82">
        <v>0</v>
      </c>
    </row>
    <row r="1313" spans="1:4" x14ac:dyDescent="0.3">
      <c r="A1313" s="83" t="s">
        <v>196</v>
      </c>
      <c r="B1313" s="83"/>
      <c r="C1313" s="16">
        <v>46189</v>
      </c>
      <c r="D1313" s="82">
        <v>0</v>
      </c>
    </row>
    <row r="1314" spans="1:4" x14ac:dyDescent="0.3">
      <c r="A1314" s="83" t="s">
        <v>197</v>
      </c>
      <c r="B1314" s="83"/>
      <c r="C1314" s="16">
        <v>46189</v>
      </c>
      <c r="D1314" s="82">
        <v>0</v>
      </c>
    </row>
    <row r="1315" spans="1:4" x14ac:dyDescent="0.3">
      <c r="A1315" s="83" t="s">
        <v>212</v>
      </c>
      <c r="B1315" s="83"/>
      <c r="C1315" s="16">
        <v>46189</v>
      </c>
      <c r="D1315" s="82">
        <v>0</v>
      </c>
    </row>
    <row r="1316" spans="1:4" x14ac:dyDescent="0.3">
      <c r="A1316" s="83" t="s">
        <v>199</v>
      </c>
      <c r="B1316" s="83"/>
      <c r="C1316" s="16">
        <v>46189</v>
      </c>
      <c r="D1316" s="82">
        <v>0</v>
      </c>
    </row>
    <row r="1317" spans="1:4" x14ac:dyDescent="0.3">
      <c r="A1317" s="83" t="s">
        <v>216</v>
      </c>
      <c r="B1317" s="83"/>
      <c r="C1317" s="16">
        <v>46189</v>
      </c>
      <c r="D1317" s="82">
        <v>0</v>
      </c>
    </row>
    <row r="1318" spans="1:4" x14ac:dyDescent="0.3">
      <c r="A1318" s="83" t="s">
        <v>17</v>
      </c>
      <c r="B1318" s="83"/>
      <c r="C1318" s="16">
        <v>46190</v>
      </c>
      <c r="D1318" s="82">
        <v>1098358.7500000002</v>
      </c>
    </row>
    <row r="1319" spans="1:4" x14ac:dyDescent="0.3">
      <c r="A1319" s="83" t="s">
        <v>18</v>
      </c>
      <c r="B1319" s="83"/>
      <c r="C1319" s="16">
        <v>46190</v>
      </c>
      <c r="D1319" s="82">
        <v>69376.390000000174</v>
      </c>
    </row>
    <row r="1320" spans="1:4" x14ac:dyDescent="0.3">
      <c r="A1320" s="83" t="s">
        <v>19</v>
      </c>
      <c r="B1320" s="83"/>
      <c r="C1320" s="16">
        <v>46190</v>
      </c>
      <c r="D1320" s="82">
        <v>1669.89</v>
      </c>
    </row>
    <row r="1321" spans="1:4" x14ac:dyDescent="0.3">
      <c r="A1321" s="83" t="s">
        <v>20</v>
      </c>
      <c r="B1321" s="83"/>
      <c r="C1321" s="16">
        <v>46190</v>
      </c>
      <c r="D1321" s="82">
        <v>503904.80999999982</v>
      </c>
    </row>
    <row r="1322" spans="1:4" x14ac:dyDescent="0.3">
      <c r="A1322" s="83" t="s">
        <v>21</v>
      </c>
      <c r="B1322" s="83"/>
      <c r="C1322" s="16">
        <v>46190</v>
      </c>
      <c r="D1322" s="82">
        <v>3326863.3899999997</v>
      </c>
    </row>
    <row r="1323" spans="1:4" x14ac:dyDescent="0.3">
      <c r="A1323" s="83" t="s">
        <v>22</v>
      </c>
      <c r="B1323" s="83"/>
      <c r="C1323" s="16">
        <v>46190</v>
      </c>
      <c r="D1323" s="82">
        <v>116496.38</v>
      </c>
    </row>
    <row r="1324" spans="1:4" x14ac:dyDescent="0.3">
      <c r="A1324" s="83" t="s">
        <v>23</v>
      </c>
      <c r="B1324" s="83"/>
      <c r="C1324" s="16">
        <v>46190</v>
      </c>
      <c r="D1324" s="82">
        <v>20375.989999999998</v>
      </c>
    </row>
    <row r="1325" spans="1:4" x14ac:dyDescent="0.3">
      <c r="A1325" s="83" t="s">
        <v>24</v>
      </c>
      <c r="B1325" s="83"/>
      <c r="C1325" s="16">
        <v>46190</v>
      </c>
      <c r="D1325" s="82">
        <v>511.15999999999985</v>
      </c>
    </row>
    <row r="1326" spans="1:4" x14ac:dyDescent="0.3">
      <c r="A1326" s="83" t="s">
        <v>25</v>
      </c>
      <c r="B1326" s="83"/>
      <c r="C1326" s="16">
        <v>46190</v>
      </c>
      <c r="D1326" s="82">
        <v>84.35</v>
      </c>
    </row>
    <row r="1327" spans="1:4" x14ac:dyDescent="0.3">
      <c r="A1327" s="83" t="s">
        <v>26</v>
      </c>
      <c r="B1327" s="83"/>
      <c r="C1327" s="16">
        <v>46190</v>
      </c>
      <c r="D1327" s="82">
        <v>2237.77</v>
      </c>
    </row>
    <row r="1328" spans="1:4" x14ac:dyDescent="0.3">
      <c r="A1328" s="83" t="s">
        <v>27</v>
      </c>
      <c r="B1328" s="83"/>
      <c r="C1328" s="16">
        <v>46190</v>
      </c>
      <c r="D1328" s="82">
        <v>3349.94</v>
      </c>
    </row>
    <row r="1329" spans="1:4" x14ac:dyDescent="0.3">
      <c r="A1329" s="83" t="s">
        <v>28</v>
      </c>
      <c r="B1329" s="83"/>
      <c r="C1329" s="16">
        <v>46190</v>
      </c>
      <c r="D1329" s="82">
        <v>1968.99</v>
      </c>
    </row>
    <row r="1330" spans="1:4" x14ac:dyDescent="0.3">
      <c r="A1330" s="83" t="s">
        <v>29</v>
      </c>
      <c r="B1330" s="83"/>
      <c r="C1330" s="16">
        <v>46190</v>
      </c>
      <c r="D1330" s="82">
        <v>382.69000000000005</v>
      </c>
    </row>
    <row r="1331" spans="1:4" x14ac:dyDescent="0.3">
      <c r="A1331" s="83" t="s">
        <v>30</v>
      </c>
      <c r="B1331" s="83"/>
      <c r="C1331" s="16">
        <v>46190</v>
      </c>
      <c r="D1331" s="82">
        <v>1428.08</v>
      </c>
    </row>
    <row r="1332" spans="1:4" x14ac:dyDescent="0.3">
      <c r="A1332" s="83" t="s">
        <v>31</v>
      </c>
      <c r="B1332" s="83"/>
      <c r="C1332" s="16">
        <v>46190</v>
      </c>
      <c r="D1332" s="82">
        <v>29789.969999999961</v>
      </c>
    </row>
    <row r="1333" spans="1:4" x14ac:dyDescent="0.3">
      <c r="A1333" s="83" t="s">
        <v>32</v>
      </c>
      <c r="B1333" s="83"/>
      <c r="C1333" s="16">
        <v>46190</v>
      </c>
      <c r="D1333" s="82">
        <v>20321.43</v>
      </c>
    </row>
    <row r="1334" spans="1:4" x14ac:dyDescent="0.3">
      <c r="A1334" s="83" t="s">
        <v>33</v>
      </c>
      <c r="B1334" s="83"/>
      <c r="C1334" s="16">
        <v>46190</v>
      </c>
      <c r="D1334" s="82">
        <v>16681.349999999999</v>
      </c>
    </row>
    <row r="1335" spans="1:4" x14ac:dyDescent="0.3">
      <c r="A1335" s="83" t="s">
        <v>34</v>
      </c>
      <c r="B1335" s="83"/>
      <c r="C1335" s="16">
        <v>46190</v>
      </c>
      <c r="D1335" s="82">
        <v>345</v>
      </c>
    </row>
    <row r="1336" spans="1:4" x14ac:dyDescent="0.3">
      <c r="A1336" s="83" t="s">
        <v>35</v>
      </c>
      <c r="B1336" s="83"/>
      <c r="C1336" s="16">
        <v>46190</v>
      </c>
      <c r="D1336" s="82">
        <v>50334.36</v>
      </c>
    </row>
    <row r="1337" spans="1:4" x14ac:dyDescent="0.3">
      <c r="A1337" s="83" t="s">
        <v>193</v>
      </c>
      <c r="B1337" s="83"/>
      <c r="C1337" s="16">
        <v>46190</v>
      </c>
      <c r="D1337" s="82">
        <v>0</v>
      </c>
    </row>
    <row r="1338" spans="1:4" x14ac:dyDescent="0.3">
      <c r="A1338" s="83" t="s">
        <v>214</v>
      </c>
      <c r="B1338" s="83"/>
      <c r="C1338" s="16">
        <v>46190</v>
      </c>
      <c r="D1338" s="82">
        <v>0</v>
      </c>
    </row>
    <row r="1339" spans="1:4" x14ac:dyDescent="0.3">
      <c r="A1339" s="83" t="s">
        <v>194</v>
      </c>
      <c r="B1339" s="83"/>
      <c r="C1339" s="16">
        <v>46190</v>
      </c>
      <c r="D1339" s="82">
        <v>0</v>
      </c>
    </row>
    <row r="1340" spans="1:4" x14ac:dyDescent="0.3">
      <c r="A1340" s="83" t="s">
        <v>195</v>
      </c>
      <c r="B1340" s="83"/>
      <c r="C1340" s="16">
        <v>46190</v>
      </c>
      <c r="D1340" s="82">
        <v>0</v>
      </c>
    </row>
    <row r="1341" spans="1:4" x14ac:dyDescent="0.3">
      <c r="A1341" s="83" t="s">
        <v>196</v>
      </c>
      <c r="B1341" s="83"/>
      <c r="C1341" s="16">
        <v>46190</v>
      </c>
      <c r="D1341" s="82">
        <v>0</v>
      </c>
    </row>
    <row r="1342" spans="1:4" x14ac:dyDescent="0.3">
      <c r="A1342" s="83" t="s">
        <v>197</v>
      </c>
      <c r="B1342" s="83"/>
      <c r="C1342" s="16">
        <v>46190</v>
      </c>
      <c r="D1342" s="82">
        <v>0</v>
      </c>
    </row>
    <row r="1343" spans="1:4" x14ac:dyDescent="0.3">
      <c r="A1343" s="83" t="s">
        <v>212</v>
      </c>
      <c r="B1343" s="83"/>
      <c r="C1343" s="16">
        <v>46190</v>
      </c>
      <c r="D1343" s="82">
        <v>0</v>
      </c>
    </row>
    <row r="1344" spans="1:4" x14ac:dyDescent="0.3">
      <c r="A1344" s="83" t="s">
        <v>199</v>
      </c>
      <c r="B1344" s="83"/>
      <c r="C1344" s="16">
        <v>46190</v>
      </c>
      <c r="D1344" s="82">
        <v>0</v>
      </c>
    </row>
    <row r="1345" spans="1:4" x14ac:dyDescent="0.3">
      <c r="A1345" s="83" t="s">
        <v>216</v>
      </c>
      <c r="B1345" s="83"/>
      <c r="C1345" s="16">
        <v>46190</v>
      </c>
      <c r="D1345" s="82">
        <v>0</v>
      </c>
    </row>
    <row r="1346" spans="1:4" x14ac:dyDescent="0.3">
      <c r="A1346" s="83" t="s">
        <v>17</v>
      </c>
      <c r="B1346" s="83"/>
      <c r="C1346" s="16">
        <v>46191</v>
      </c>
      <c r="D1346" s="82">
        <v>1098358.7500000002</v>
      </c>
    </row>
    <row r="1347" spans="1:4" x14ac:dyDescent="0.3">
      <c r="A1347" s="83" t="s">
        <v>18</v>
      </c>
      <c r="B1347" s="83"/>
      <c r="C1347" s="16">
        <v>46191</v>
      </c>
      <c r="D1347" s="82">
        <v>69376.390000000174</v>
      </c>
    </row>
    <row r="1348" spans="1:4" x14ac:dyDescent="0.3">
      <c r="A1348" s="83" t="s">
        <v>19</v>
      </c>
      <c r="B1348" s="83"/>
      <c r="C1348" s="16">
        <v>46191</v>
      </c>
      <c r="D1348" s="82">
        <v>1669.89</v>
      </c>
    </row>
    <row r="1349" spans="1:4" x14ac:dyDescent="0.3">
      <c r="A1349" s="83" t="s">
        <v>20</v>
      </c>
      <c r="B1349" s="83"/>
      <c r="C1349" s="16">
        <v>46191</v>
      </c>
      <c r="D1349" s="82">
        <v>503904.80999999982</v>
      </c>
    </row>
    <row r="1350" spans="1:4" x14ac:dyDescent="0.3">
      <c r="A1350" s="83" t="s">
        <v>21</v>
      </c>
      <c r="B1350" s="83"/>
      <c r="C1350" s="16">
        <v>46191</v>
      </c>
      <c r="D1350" s="82">
        <v>3326696.7299999995</v>
      </c>
    </row>
    <row r="1351" spans="1:4" x14ac:dyDescent="0.3">
      <c r="A1351" s="83" t="s">
        <v>22</v>
      </c>
      <c r="B1351" s="83"/>
      <c r="C1351" s="16">
        <v>46191</v>
      </c>
      <c r="D1351" s="82">
        <v>116496.38</v>
      </c>
    </row>
    <row r="1352" spans="1:4" x14ac:dyDescent="0.3">
      <c r="A1352" s="83" t="s">
        <v>23</v>
      </c>
      <c r="B1352" s="83"/>
      <c r="C1352" s="16">
        <v>46191</v>
      </c>
      <c r="D1352" s="82">
        <v>20375.989999999998</v>
      </c>
    </row>
    <row r="1353" spans="1:4" x14ac:dyDescent="0.3">
      <c r="A1353" s="83" t="s">
        <v>24</v>
      </c>
      <c r="B1353" s="83"/>
      <c r="C1353" s="16">
        <v>46191</v>
      </c>
      <c r="D1353" s="82">
        <v>511.15999999999985</v>
      </c>
    </row>
    <row r="1354" spans="1:4" x14ac:dyDescent="0.3">
      <c r="A1354" s="83" t="s">
        <v>25</v>
      </c>
      <c r="B1354" s="83"/>
      <c r="C1354" s="16">
        <v>46191</v>
      </c>
      <c r="D1354" s="82">
        <v>84.35</v>
      </c>
    </row>
    <row r="1355" spans="1:4" x14ac:dyDescent="0.3">
      <c r="A1355" s="83" t="s">
        <v>26</v>
      </c>
      <c r="B1355" s="83"/>
      <c r="C1355" s="16">
        <v>46191</v>
      </c>
      <c r="D1355" s="82">
        <v>2237.77</v>
      </c>
    </row>
    <row r="1356" spans="1:4" x14ac:dyDescent="0.3">
      <c r="A1356" s="83" t="s">
        <v>27</v>
      </c>
      <c r="B1356" s="83"/>
      <c r="C1356" s="16">
        <v>46191</v>
      </c>
      <c r="D1356" s="82">
        <v>3349.94</v>
      </c>
    </row>
    <row r="1357" spans="1:4" x14ac:dyDescent="0.3">
      <c r="A1357" s="83" t="s">
        <v>28</v>
      </c>
      <c r="B1357" s="83"/>
      <c r="C1357" s="16">
        <v>46191</v>
      </c>
      <c r="D1357" s="82">
        <v>1968.99</v>
      </c>
    </row>
    <row r="1358" spans="1:4" x14ac:dyDescent="0.3">
      <c r="A1358" s="83" t="s">
        <v>29</v>
      </c>
      <c r="B1358" s="83"/>
      <c r="C1358" s="16">
        <v>46191</v>
      </c>
      <c r="D1358" s="82">
        <v>382.69000000000005</v>
      </c>
    </row>
    <row r="1359" spans="1:4" x14ac:dyDescent="0.3">
      <c r="A1359" s="83" t="s">
        <v>30</v>
      </c>
      <c r="B1359" s="83"/>
      <c r="C1359" s="16">
        <v>46191</v>
      </c>
      <c r="D1359" s="82">
        <v>1428.08</v>
      </c>
    </row>
    <row r="1360" spans="1:4" x14ac:dyDescent="0.3">
      <c r="A1360" s="83" t="s">
        <v>31</v>
      </c>
      <c r="B1360" s="83"/>
      <c r="C1360" s="16">
        <v>46191</v>
      </c>
      <c r="D1360" s="82">
        <v>29789.969999999961</v>
      </c>
    </row>
    <row r="1361" spans="1:4" x14ac:dyDescent="0.3">
      <c r="A1361" s="83" t="s">
        <v>32</v>
      </c>
      <c r="B1361" s="83"/>
      <c r="C1361" s="16">
        <v>46191</v>
      </c>
      <c r="D1361" s="82">
        <v>20321.43</v>
      </c>
    </row>
    <row r="1362" spans="1:4" x14ac:dyDescent="0.3">
      <c r="A1362" s="83" t="s">
        <v>33</v>
      </c>
      <c r="B1362" s="83"/>
      <c r="C1362" s="16">
        <v>46191</v>
      </c>
      <c r="D1362" s="82">
        <v>16681.349999999999</v>
      </c>
    </row>
    <row r="1363" spans="1:4" x14ac:dyDescent="0.3">
      <c r="A1363" s="83" t="s">
        <v>34</v>
      </c>
      <c r="B1363" s="83"/>
      <c r="C1363" s="16">
        <v>46191</v>
      </c>
      <c r="D1363" s="82">
        <v>345</v>
      </c>
    </row>
    <row r="1364" spans="1:4" x14ac:dyDescent="0.3">
      <c r="A1364" s="83" t="s">
        <v>35</v>
      </c>
      <c r="B1364" s="83"/>
      <c r="C1364" s="16">
        <v>46191</v>
      </c>
      <c r="D1364" s="82">
        <v>50334.36</v>
      </c>
    </row>
    <row r="1365" spans="1:4" x14ac:dyDescent="0.3">
      <c r="A1365" s="83" t="s">
        <v>193</v>
      </c>
      <c r="B1365" s="83"/>
      <c r="C1365" s="16">
        <v>46191</v>
      </c>
      <c r="D1365" s="82">
        <v>0</v>
      </c>
    </row>
    <row r="1366" spans="1:4" x14ac:dyDescent="0.3">
      <c r="A1366" s="83" t="s">
        <v>214</v>
      </c>
      <c r="B1366" s="83"/>
      <c r="C1366" s="16">
        <v>46191</v>
      </c>
      <c r="D1366" s="82">
        <v>0</v>
      </c>
    </row>
    <row r="1367" spans="1:4" x14ac:dyDescent="0.3">
      <c r="A1367" s="83" t="s">
        <v>194</v>
      </c>
      <c r="B1367" s="83"/>
      <c r="C1367" s="16">
        <v>46191</v>
      </c>
      <c r="D1367" s="82">
        <v>0</v>
      </c>
    </row>
    <row r="1368" spans="1:4" x14ac:dyDescent="0.3">
      <c r="A1368" s="83" t="s">
        <v>195</v>
      </c>
      <c r="B1368" s="83"/>
      <c r="C1368" s="16">
        <v>46191</v>
      </c>
      <c r="D1368" s="82">
        <v>0</v>
      </c>
    </row>
    <row r="1369" spans="1:4" x14ac:dyDescent="0.3">
      <c r="A1369" s="83" t="s">
        <v>196</v>
      </c>
      <c r="B1369" s="83"/>
      <c r="C1369" s="16">
        <v>46191</v>
      </c>
      <c r="D1369" s="82">
        <v>0</v>
      </c>
    </row>
    <row r="1370" spans="1:4" x14ac:dyDescent="0.3">
      <c r="A1370" s="83" t="s">
        <v>197</v>
      </c>
      <c r="B1370" s="83"/>
      <c r="C1370" s="16">
        <v>46191</v>
      </c>
      <c r="D1370" s="82">
        <v>0</v>
      </c>
    </row>
    <row r="1371" spans="1:4" x14ac:dyDescent="0.3">
      <c r="A1371" s="83" t="s">
        <v>212</v>
      </c>
      <c r="B1371" s="83"/>
      <c r="C1371" s="16">
        <v>46191</v>
      </c>
      <c r="D1371" s="82">
        <v>0</v>
      </c>
    </row>
    <row r="1372" spans="1:4" x14ac:dyDescent="0.3">
      <c r="A1372" s="83" t="s">
        <v>199</v>
      </c>
      <c r="B1372" s="83"/>
      <c r="C1372" s="16">
        <v>46191</v>
      </c>
      <c r="D1372" s="82">
        <v>0</v>
      </c>
    </row>
    <row r="1373" spans="1:4" x14ac:dyDescent="0.3">
      <c r="A1373" s="83" t="s">
        <v>216</v>
      </c>
      <c r="B1373" s="83"/>
      <c r="C1373" s="16">
        <v>46191</v>
      </c>
      <c r="D1373" s="82">
        <v>0</v>
      </c>
    </row>
    <row r="1374" spans="1:4" x14ac:dyDescent="0.3">
      <c r="A1374" s="83" t="s">
        <v>17</v>
      </c>
      <c r="B1374" s="83"/>
      <c r="C1374" s="16">
        <v>46192</v>
      </c>
      <c r="D1374" s="82">
        <v>1098358.7500000002</v>
      </c>
    </row>
    <row r="1375" spans="1:4" x14ac:dyDescent="0.3">
      <c r="A1375" s="83" t="s">
        <v>18</v>
      </c>
      <c r="B1375" s="83"/>
      <c r="C1375" s="16">
        <v>46192</v>
      </c>
      <c r="D1375" s="82">
        <v>69376.390000000174</v>
      </c>
    </row>
    <row r="1376" spans="1:4" x14ac:dyDescent="0.3">
      <c r="A1376" s="83" t="s">
        <v>19</v>
      </c>
      <c r="B1376" s="83"/>
      <c r="C1376" s="16">
        <v>46192</v>
      </c>
      <c r="D1376" s="82">
        <v>1669.89</v>
      </c>
    </row>
    <row r="1377" spans="1:4" x14ac:dyDescent="0.3">
      <c r="A1377" s="83" t="s">
        <v>20</v>
      </c>
      <c r="B1377" s="83"/>
      <c r="C1377" s="16">
        <v>46192</v>
      </c>
      <c r="D1377" s="82">
        <v>503904.80999999982</v>
      </c>
    </row>
    <row r="1378" spans="1:4" x14ac:dyDescent="0.3">
      <c r="A1378" s="83" t="s">
        <v>21</v>
      </c>
      <c r="B1378" s="83"/>
      <c r="C1378" s="16">
        <v>46192</v>
      </c>
      <c r="D1378" s="82">
        <v>3326696.7299999995</v>
      </c>
    </row>
    <row r="1379" spans="1:4" x14ac:dyDescent="0.3">
      <c r="A1379" s="83" t="s">
        <v>22</v>
      </c>
      <c r="B1379" s="83"/>
      <c r="C1379" s="16">
        <v>46192</v>
      </c>
      <c r="D1379" s="82">
        <v>116496.38</v>
      </c>
    </row>
    <row r="1380" spans="1:4" x14ac:dyDescent="0.3">
      <c r="A1380" s="83" t="s">
        <v>23</v>
      </c>
      <c r="B1380" s="83"/>
      <c r="C1380" s="16">
        <v>46192</v>
      </c>
      <c r="D1380" s="82">
        <v>20375.989999999998</v>
      </c>
    </row>
    <row r="1381" spans="1:4" x14ac:dyDescent="0.3">
      <c r="A1381" s="83" t="s">
        <v>24</v>
      </c>
      <c r="B1381" s="83"/>
      <c r="C1381" s="16">
        <v>46192</v>
      </c>
      <c r="D1381" s="82">
        <v>511.15999999999985</v>
      </c>
    </row>
    <row r="1382" spans="1:4" x14ac:dyDescent="0.3">
      <c r="A1382" s="83" t="s">
        <v>25</v>
      </c>
      <c r="B1382" s="83"/>
      <c r="C1382" s="16">
        <v>46192</v>
      </c>
      <c r="D1382" s="82">
        <v>84.35</v>
      </c>
    </row>
    <row r="1383" spans="1:4" x14ac:dyDescent="0.3">
      <c r="A1383" s="83" t="s">
        <v>26</v>
      </c>
      <c r="B1383" s="83"/>
      <c r="C1383" s="16">
        <v>46192</v>
      </c>
      <c r="D1383" s="82">
        <v>2237.77</v>
      </c>
    </row>
    <row r="1384" spans="1:4" x14ac:dyDescent="0.3">
      <c r="A1384" s="83" t="s">
        <v>27</v>
      </c>
      <c r="B1384" s="83"/>
      <c r="C1384" s="16">
        <v>46192</v>
      </c>
      <c r="D1384" s="82">
        <v>3349.94</v>
      </c>
    </row>
    <row r="1385" spans="1:4" x14ac:dyDescent="0.3">
      <c r="A1385" s="83" t="s">
        <v>28</v>
      </c>
      <c r="B1385" s="83"/>
      <c r="C1385" s="16">
        <v>46192</v>
      </c>
      <c r="D1385" s="82">
        <v>1968.99</v>
      </c>
    </row>
    <row r="1386" spans="1:4" x14ac:dyDescent="0.3">
      <c r="A1386" s="83" t="s">
        <v>29</v>
      </c>
      <c r="B1386" s="83"/>
      <c r="C1386" s="16">
        <v>46192</v>
      </c>
      <c r="D1386" s="82">
        <v>382.69000000000005</v>
      </c>
    </row>
    <row r="1387" spans="1:4" x14ac:dyDescent="0.3">
      <c r="A1387" s="83" t="s">
        <v>30</v>
      </c>
      <c r="B1387" s="83"/>
      <c r="C1387" s="16">
        <v>46192</v>
      </c>
      <c r="D1387" s="82">
        <v>1428.08</v>
      </c>
    </row>
    <row r="1388" spans="1:4" x14ac:dyDescent="0.3">
      <c r="A1388" s="83" t="s">
        <v>31</v>
      </c>
      <c r="B1388" s="83"/>
      <c r="C1388" s="16">
        <v>46192</v>
      </c>
      <c r="D1388" s="82">
        <v>29789.969999999961</v>
      </c>
    </row>
    <row r="1389" spans="1:4" x14ac:dyDescent="0.3">
      <c r="A1389" s="83" t="s">
        <v>32</v>
      </c>
      <c r="B1389" s="83"/>
      <c r="C1389" s="16">
        <v>46192</v>
      </c>
      <c r="D1389" s="82">
        <v>20321.43</v>
      </c>
    </row>
    <row r="1390" spans="1:4" x14ac:dyDescent="0.3">
      <c r="A1390" s="83" t="s">
        <v>33</v>
      </c>
      <c r="B1390" s="83"/>
      <c r="C1390" s="16">
        <v>46192</v>
      </c>
      <c r="D1390" s="82">
        <v>16681.349999999999</v>
      </c>
    </row>
    <row r="1391" spans="1:4" x14ac:dyDescent="0.3">
      <c r="A1391" s="83" t="s">
        <v>34</v>
      </c>
      <c r="B1391" s="83"/>
      <c r="C1391" s="16">
        <v>46192</v>
      </c>
      <c r="D1391" s="82">
        <v>345</v>
      </c>
    </row>
    <row r="1392" spans="1:4" x14ac:dyDescent="0.3">
      <c r="A1392" s="83" t="s">
        <v>35</v>
      </c>
      <c r="B1392" s="83"/>
      <c r="C1392" s="16">
        <v>46192</v>
      </c>
      <c r="D1392" s="82">
        <v>50334.36</v>
      </c>
    </row>
    <row r="1393" spans="1:4" x14ac:dyDescent="0.3">
      <c r="A1393" s="83" t="s">
        <v>193</v>
      </c>
      <c r="B1393" s="83"/>
      <c r="C1393" s="16">
        <v>46192</v>
      </c>
      <c r="D1393" s="82">
        <v>0</v>
      </c>
    </row>
    <row r="1394" spans="1:4" x14ac:dyDescent="0.3">
      <c r="A1394" s="83" t="s">
        <v>214</v>
      </c>
      <c r="B1394" s="83"/>
      <c r="C1394" s="16">
        <v>46192</v>
      </c>
      <c r="D1394" s="82">
        <v>0</v>
      </c>
    </row>
    <row r="1395" spans="1:4" x14ac:dyDescent="0.3">
      <c r="A1395" s="83" t="s">
        <v>194</v>
      </c>
      <c r="B1395" s="83"/>
      <c r="C1395" s="16">
        <v>46192</v>
      </c>
      <c r="D1395" s="82">
        <v>0</v>
      </c>
    </row>
    <row r="1396" spans="1:4" x14ac:dyDescent="0.3">
      <c r="A1396" s="83" t="s">
        <v>195</v>
      </c>
      <c r="B1396" s="83"/>
      <c r="C1396" s="16">
        <v>46192</v>
      </c>
      <c r="D1396" s="82">
        <v>0</v>
      </c>
    </row>
    <row r="1397" spans="1:4" x14ac:dyDescent="0.3">
      <c r="A1397" s="83" t="s">
        <v>196</v>
      </c>
      <c r="B1397" s="83"/>
      <c r="C1397" s="16">
        <v>46192</v>
      </c>
      <c r="D1397" s="82">
        <v>0</v>
      </c>
    </row>
    <row r="1398" spans="1:4" x14ac:dyDescent="0.3">
      <c r="A1398" s="83" t="s">
        <v>197</v>
      </c>
      <c r="B1398" s="83"/>
      <c r="C1398" s="16">
        <v>46192</v>
      </c>
      <c r="D1398" s="82">
        <v>0</v>
      </c>
    </row>
    <row r="1399" spans="1:4" x14ac:dyDescent="0.3">
      <c r="A1399" s="83" t="s">
        <v>212</v>
      </c>
      <c r="B1399" s="83"/>
      <c r="C1399" s="16">
        <v>46192</v>
      </c>
      <c r="D1399" s="82">
        <v>0</v>
      </c>
    </row>
    <row r="1400" spans="1:4" x14ac:dyDescent="0.3">
      <c r="A1400" s="83" t="s">
        <v>199</v>
      </c>
      <c r="B1400" s="83"/>
      <c r="C1400" s="16">
        <v>46192</v>
      </c>
      <c r="D1400" s="82">
        <v>0</v>
      </c>
    </row>
    <row r="1401" spans="1:4" x14ac:dyDescent="0.3">
      <c r="A1401" s="83" t="s">
        <v>216</v>
      </c>
      <c r="B1401" s="83"/>
      <c r="C1401" s="16">
        <v>46192</v>
      </c>
      <c r="D1401" s="82">
        <v>0</v>
      </c>
    </row>
    <row r="1402" spans="1:4" x14ac:dyDescent="0.3">
      <c r="A1402" s="83" t="s">
        <v>17</v>
      </c>
      <c r="B1402" s="83"/>
      <c r="C1402" s="16">
        <v>46193</v>
      </c>
      <c r="D1402" s="82">
        <v>1098358.7500000002</v>
      </c>
    </row>
    <row r="1403" spans="1:4" x14ac:dyDescent="0.3">
      <c r="A1403" s="83" t="s">
        <v>18</v>
      </c>
      <c r="B1403" s="83"/>
      <c r="C1403" s="16">
        <v>46193</v>
      </c>
      <c r="D1403" s="82">
        <v>69376.390000000174</v>
      </c>
    </row>
    <row r="1404" spans="1:4" x14ac:dyDescent="0.3">
      <c r="A1404" s="83" t="s">
        <v>19</v>
      </c>
      <c r="B1404" s="83"/>
      <c r="C1404" s="16">
        <v>46193</v>
      </c>
      <c r="D1404" s="82">
        <v>1669.89</v>
      </c>
    </row>
    <row r="1405" spans="1:4" x14ac:dyDescent="0.3">
      <c r="A1405" s="83" t="s">
        <v>20</v>
      </c>
      <c r="B1405" s="83"/>
      <c r="C1405" s="16">
        <v>46193</v>
      </c>
      <c r="D1405" s="82">
        <v>503904.80999999982</v>
      </c>
    </row>
    <row r="1406" spans="1:4" x14ac:dyDescent="0.3">
      <c r="A1406" s="83" t="s">
        <v>21</v>
      </c>
      <c r="B1406" s="83"/>
      <c r="C1406" s="16">
        <v>46193</v>
      </c>
      <c r="D1406" s="82">
        <v>3326696.7299999995</v>
      </c>
    </row>
    <row r="1407" spans="1:4" x14ac:dyDescent="0.3">
      <c r="A1407" s="83" t="s">
        <v>22</v>
      </c>
      <c r="B1407" s="83"/>
      <c r="C1407" s="16">
        <v>46193</v>
      </c>
      <c r="D1407" s="82">
        <v>116496.38</v>
      </c>
    </row>
    <row r="1408" spans="1:4" x14ac:dyDescent="0.3">
      <c r="A1408" s="83" t="s">
        <v>23</v>
      </c>
      <c r="B1408" s="83"/>
      <c r="C1408" s="16">
        <v>46193</v>
      </c>
      <c r="D1408" s="82">
        <v>20375.989999999998</v>
      </c>
    </row>
    <row r="1409" spans="1:4" x14ac:dyDescent="0.3">
      <c r="A1409" s="83" t="s">
        <v>24</v>
      </c>
      <c r="B1409" s="83"/>
      <c r="C1409" s="16">
        <v>46193</v>
      </c>
      <c r="D1409" s="82">
        <v>511.15999999999985</v>
      </c>
    </row>
    <row r="1410" spans="1:4" x14ac:dyDescent="0.3">
      <c r="A1410" s="83" t="s">
        <v>25</v>
      </c>
      <c r="B1410" s="83"/>
      <c r="C1410" s="16">
        <v>46193</v>
      </c>
      <c r="D1410" s="82">
        <v>84.35</v>
      </c>
    </row>
    <row r="1411" spans="1:4" x14ac:dyDescent="0.3">
      <c r="A1411" s="83" t="s">
        <v>26</v>
      </c>
      <c r="B1411" s="83"/>
      <c r="C1411" s="16">
        <v>46193</v>
      </c>
      <c r="D1411" s="82">
        <v>2237.77</v>
      </c>
    </row>
    <row r="1412" spans="1:4" x14ac:dyDescent="0.3">
      <c r="A1412" s="83" t="s">
        <v>27</v>
      </c>
      <c r="B1412" s="83"/>
      <c r="C1412" s="16">
        <v>46193</v>
      </c>
      <c r="D1412" s="82">
        <v>3349.94</v>
      </c>
    </row>
    <row r="1413" spans="1:4" x14ac:dyDescent="0.3">
      <c r="A1413" s="83" t="s">
        <v>28</v>
      </c>
      <c r="B1413" s="83"/>
      <c r="C1413" s="16">
        <v>46193</v>
      </c>
      <c r="D1413" s="82">
        <v>1968.99</v>
      </c>
    </row>
    <row r="1414" spans="1:4" x14ac:dyDescent="0.3">
      <c r="A1414" s="83" t="s">
        <v>29</v>
      </c>
      <c r="B1414" s="83"/>
      <c r="C1414" s="16">
        <v>46193</v>
      </c>
      <c r="D1414" s="82">
        <v>382.69000000000005</v>
      </c>
    </row>
    <row r="1415" spans="1:4" x14ac:dyDescent="0.3">
      <c r="A1415" s="83" t="s">
        <v>30</v>
      </c>
      <c r="B1415" s="83"/>
      <c r="C1415" s="16">
        <v>46193</v>
      </c>
      <c r="D1415" s="82">
        <v>1428.08</v>
      </c>
    </row>
    <row r="1416" spans="1:4" x14ac:dyDescent="0.3">
      <c r="A1416" s="83" t="s">
        <v>31</v>
      </c>
      <c r="B1416" s="83"/>
      <c r="C1416" s="16">
        <v>46193</v>
      </c>
      <c r="D1416" s="82">
        <v>29789.969999999961</v>
      </c>
    </row>
    <row r="1417" spans="1:4" x14ac:dyDescent="0.3">
      <c r="A1417" s="83" t="s">
        <v>32</v>
      </c>
      <c r="B1417" s="83"/>
      <c r="C1417" s="16">
        <v>46193</v>
      </c>
      <c r="D1417" s="82">
        <v>20321.43</v>
      </c>
    </row>
    <row r="1418" spans="1:4" x14ac:dyDescent="0.3">
      <c r="A1418" s="83" t="s">
        <v>33</v>
      </c>
      <c r="B1418" s="83"/>
      <c r="C1418" s="16">
        <v>46193</v>
      </c>
      <c r="D1418" s="82">
        <v>16681.349999999999</v>
      </c>
    </row>
    <row r="1419" spans="1:4" x14ac:dyDescent="0.3">
      <c r="A1419" s="83" t="s">
        <v>34</v>
      </c>
      <c r="B1419" s="83"/>
      <c r="C1419" s="16">
        <v>46193</v>
      </c>
      <c r="D1419" s="82">
        <v>345</v>
      </c>
    </row>
    <row r="1420" spans="1:4" x14ac:dyDescent="0.3">
      <c r="A1420" s="83" t="s">
        <v>35</v>
      </c>
      <c r="B1420" s="83"/>
      <c r="C1420" s="16">
        <v>46193</v>
      </c>
      <c r="D1420" s="82">
        <v>50334.36</v>
      </c>
    </row>
    <row r="1421" spans="1:4" x14ac:dyDescent="0.3">
      <c r="A1421" s="83" t="s">
        <v>193</v>
      </c>
      <c r="B1421" s="83"/>
      <c r="C1421" s="16">
        <v>46193</v>
      </c>
      <c r="D1421" s="82">
        <v>0</v>
      </c>
    </row>
    <row r="1422" spans="1:4" x14ac:dyDescent="0.3">
      <c r="A1422" s="83" t="s">
        <v>214</v>
      </c>
      <c r="B1422" s="83"/>
      <c r="C1422" s="16">
        <v>46193</v>
      </c>
      <c r="D1422" s="82">
        <v>0</v>
      </c>
    </row>
    <row r="1423" spans="1:4" x14ac:dyDescent="0.3">
      <c r="A1423" s="83" t="s">
        <v>194</v>
      </c>
      <c r="B1423" s="83"/>
      <c r="C1423" s="16">
        <v>46193</v>
      </c>
      <c r="D1423" s="82">
        <v>0</v>
      </c>
    </row>
    <row r="1424" spans="1:4" x14ac:dyDescent="0.3">
      <c r="A1424" s="83" t="s">
        <v>195</v>
      </c>
      <c r="B1424" s="83"/>
      <c r="C1424" s="16">
        <v>46193</v>
      </c>
      <c r="D1424" s="82">
        <v>0</v>
      </c>
    </row>
    <row r="1425" spans="1:4" x14ac:dyDescent="0.3">
      <c r="A1425" s="83" t="s">
        <v>196</v>
      </c>
      <c r="B1425" s="83"/>
      <c r="C1425" s="16">
        <v>46193</v>
      </c>
      <c r="D1425" s="82">
        <v>0</v>
      </c>
    </row>
    <row r="1426" spans="1:4" x14ac:dyDescent="0.3">
      <c r="A1426" s="83" t="s">
        <v>197</v>
      </c>
      <c r="B1426" s="83"/>
      <c r="C1426" s="16">
        <v>46193</v>
      </c>
      <c r="D1426" s="82">
        <v>0</v>
      </c>
    </row>
    <row r="1427" spans="1:4" x14ac:dyDescent="0.3">
      <c r="A1427" s="83" t="s">
        <v>212</v>
      </c>
      <c r="B1427" s="83"/>
      <c r="C1427" s="16">
        <v>46193</v>
      </c>
      <c r="D1427" s="82">
        <v>0</v>
      </c>
    </row>
    <row r="1428" spans="1:4" x14ac:dyDescent="0.3">
      <c r="A1428" s="83" t="s">
        <v>199</v>
      </c>
      <c r="B1428" s="83"/>
      <c r="C1428" s="16">
        <v>46193</v>
      </c>
      <c r="D1428" s="82">
        <v>0</v>
      </c>
    </row>
    <row r="1429" spans="1:4" x14ac:dyDescent="0.3">
      <c r="A1429" s="83" t="s">
        <v>216</v>
      </c>
      <c r="B1429" s="83"/>
      <c r="C1429" s="16">
        <v>46193</v>
      </c>
      <c r="D1429" s="82">
        <v>0</v>
      </c>
    </row>
    <row r="1430" spans="1:4" x14ac:dyDescent="0.3">
      <c r="A1430" s="83" t="s">
        <v>17</v>
      </c>
      <c r="B1430" s="83"/>
      <c r="C1430" s="16">
        <v>46194</v>
      </c>
      <c r="D1430" s="82">
        <v>1098358.7500000002</v>
      </c>
    </row>
    <row r="1431" spans="1:4" x14ac:dyDescent="0.3">
      <c r="A1431" s="83" t="s">
        <v>18</v>
      </c>
      <c r="B1431" s="83"/>
      <c r="C1431" s="16">
        <v>46194</v>
      </c>
      <c r="D1431" s="82">
        <v>69376.390000000174</v>
      </c>
    </row>
    <row r="1432" spans="1:4" x14ac:dyDescent="0.3">
      <c r="A1432" s="83" t="s">
        <v>19</v>
      </c>
      <c r="B1432" s="83"/>
      <c r="C1432" s="16">
        <v>46194</v>
      </c>
      <c r="D1432" s="82">
        <v>1669.89</v>
      </c>
    </row>
    <row r="1433" spans="1:4" x14ac:dyDescent="0.3">
      <c r="A1433" s="83" t="s">
        <v>20</v>
      </c>
      <c r="B1433" s="83"/>
      <c r="C1433" s="16">
        <v>46194</v>
      </c>
      <c r="D1433" s="82">
        <v>503904.80999999982</v>
      </c>
    </row>
    <row r="1434" spans="1:4" x14ac:dyDescent="0.3">
      <c r="A1434" s="83" t="s">
        <v>21</v>
      </c>
      <c r="B1434" s="83"/>
      <c r="C1434" s="16">
        <v>46194</v>
      </c>
      <c r="D1434" s="82">
        <v>3326696.7299999995</v>
      </c>
    </row>
    <row r="1435" spans="1:4" x14ac:dyDescent="0.3">
      <c r="A1435" s="83" t="s">
        <v>22</v>
      </c>
      <c r="B1435" s="83"/>
      <c r="C1435" s="16">
        <v>46194</v>
      </c>
      <c r="D1435" s="82">
        <v>116496.38</v>
      </c>
    </row>
    <row r="1436" spans="1:4" x14ac:dyDescent="0.3">
      <c r="A1436" s="83" t="s">
        <v>23</v>
      </c>
      <c r="B1436" s="83"/>
      <c r="C1436" s="16">
        <v>46194</v>
      </c>
      <c r="D1436" s="82">
        <v>20375.989999999998</v>
      </c>
    </row>
    <row r="1437" spans="1:4" x14ac:dyDescent="0.3">
      <c r="A1437" s="83" t="s">
        <v>24</v>
      </c>
      <c r="B1437" s="83"/>
      <c r="C1437" s="16">
        <v>46194</v>
      </c>
      <c r="D1437" s="82">
        <v>511.15999999999985</v>
      </c>
    </row>
    <row r="1438" spans="1:4" x14ac:dyDescent="0.3">
      <c r="A1438" s="83" t="s">
        <v>25</v>
      </c>
      <c r="B1438" s="83"/>
      <c r="C1438" s="16">
        <v>46194</v>
      </c>
      <c r="D1438" s="82">
        <v>84.35</v>
      </c>
    </row>
    <row r="1439" spans="1:4" x14ac:dyDescent="0.3">
      <c r="A1439" s="83" t="s">
        <v>26</v>
      </c>
      <c r="B1439" s="83"/>
      <c r="C1439" s="16">
        <v>46194</v>
      </c>
      <c r="D1439" s="82">
        <v>2237.77</v>
      </c>
    </row>
    <row r="1440" spans="1:4" x14ac:dyDescent="0.3">
      <c r="A1440" s="83" t="s">
        <v>27</v>
      </c>
      <c r="B1440" s="83"/>
      <c r="C1440" s="16">
        <v>46194</v>
      </c>
      <c r="D1440" s="82">
        <v>3349.94</v>
      </c>
    </row>
    <row r="1441" spans="1:4" x14ac:dyDescent="0.3">
      <c r="A1441" s="83" t="s">
        <v>28</v>
      </c>
      <c r="B1441" s="83"/>
      <c r="C1441" s="16">
        <v>46194</v>
      </c>
      <c r="D1441" s="82">
        <v>1968.99</v>
      </c>
    </row>
    <row r="1442" spans="1:4" x14ac:dyDescent="0.3">
      <c r="A1442" s="83" t="s">
        <v>29</v>
      </c>
      <c r="B1442" s="83"/>
      <c r="C1442" s="16">
        <v>46194</v>
      </c>
      <c r="D1442" s="82">
        <v>382.69000000000005</v>
      </c>
    </row>
    <row r="1443" spans="1:4" x14ac:dyDescent="0.3">
      <c r="A1443" s="83" t="s">
        <v>30</v>
      </c>
      <c r="B1443" s="83"/>
      <c r="C1443" s="16">
        <v>46194</v>
      </c>
      <c r="D1443" s="82">
        <v>1428.08</v>
      </c>
    </row>
    <row r="1444" spans="1:4" x14ac:dyDescent="0.3">
      <c r="A1444" s="83" t="s">
        <v>31</v>
      </c>
      <c r="B1444" s="83"/>
      <c r="C1444" s="16">
        <v>46194</v>
      </c>
      <c r="D1444" s="82">
        <v>29789.969999999961</v>
      </c>
    </row>
    <row r="1445" spans="1:4" x14ac:dyDescent="0.3">
      <c r="A1445" s="83" t="s">
        <v>32</v>
      </c>
      <c r="B1445" s="83"/>
      <c r="C1445" s="16">
        <v>46194</v>
      </c>
      <c r="D1445" s="82">
        <v>20321.43</v>
      </c>
    </row>
    <row r="1446" spans="1:4" x14ac:dyDescent="0.3">
      <c r="A1446" s="83" t="s">
        <v>33</v>
      </c>
      <c r="B1446" s="83"/>
      <c r="C1446" s="16">
        <v>46194</v>
      </c>
      <c r="D1446" s="82">
        <v>16681.349999999999</v>
      </c>
    </row>
    <row r="1447" spans="1:4" x14ac:dyDescent="0.3">
      <c r="A1447" s="83" t="s">
        <v>34</v>
      </c>
      <c r="B1447" s="83"/>
      <c r="C1447" s="16">
        <v>46194</v>
      </c>
      <c r="D1447" s="82">
        <v>345</v>
      </c>
    </row>
    <row r="1448" spans="1:4" x14ac:dyDescent="0.3">
      <c r="A1448" s="83" t="s">
        <v>35</v>
      </c>
      <c r="B1448" s="83"/>
      <c r="C1448" s="16">
        <v>46194</v>
      </c>
      <c r="D1448" s="82">
        <v>50334.36</v>
      </c>
    </row>
    <row r="1449" spans="1:4" x14ac:dyDescent="0.3">
      <c r="A1449" s="83" t="s">
        <v>193</v>
      </c>
      <c r="B1449" s="83"/>
      <c r="C1449" s="16">
        <v>46194</v>
      </c>
      <c r="D1449" s="82">
        <v>0</v>
      </c>
    </row>
    <row r="1450" spans="1:4" x14ac:dyDescent="0.3">
      <c r="A1450" s="83" t="s">
        <v>214</v>
      </c>
      <c r="B1450" s="83"/>
      <c r="C1450" s="16">
        <v>46194</v>
      </c>
      <c r="D1450" s="82">
        <v>0</v>
      </c>
    </row>
    <row r="1451" spans="1:4" x14ac:dyDescent="0.3">
      <c r="A1451" s="83" t="s">
        <v>194</v>
      </c>
      <c r="B1451" s="83"/>
      <c r="C1451" s="16">
        <v>46194</v>
      </c>
      <c r="D1451" s="82">
        <v>0</v>
      </c>
    </row>
    <row r="1452" spans="1:4" x14ac:dyDescent="0.3">
      <c r="A1452" s="83" t="s">
        <v>195</v>
      </c>
      <c r="B1452" s="83"/>
      <c r="C1452" s="16">
        <v>46194</v>
      </c>
      <c r="D1452" s="82">
        <v>0</v>
      </c>
    </row>
    <row r="1453" spans="1:4" x14ac:dyDescent="0.3">
      <c r="A1453" s="83" t="s">
        <v>196</v>
      </c>
      <c r="B1453" s="83"/>
      <c r="C1453" s="16">
        <v>46194</v>
      </c>
      <c r="D1453" s="82">
        <v>0</v>
      </c>
    </row>
    <row r="1454" spans="1:4" x14ac:dyDescent="0.3">
      <c r="A1454" s="83" t="s">
        <v>197</v>
      </c>
      <c r="B1454" s="83"/>
      <c r="C1454" s="16">
        <v>46194</v>
      </c>
      <c r="D1454" s="82">
        <v>0</v>
      </c>
    </row>
    <row r="1455" spans="1:4" x14ac:dyDescent="0.3">
      <c r="A1455" s="83" t="s">
        <v>212</v>
      </c>
      <c r="B1455" s="83"/>
      <c r="C1455" s="16">
        <v>46194</v>
      </c>
      <c r="D1455" s="82">
        <v>0</v>
      </c>
    </row>
    <row r="1456" spans="1:4" x14ac:dyDescent="0.3">
      <c r="A1456" s="83" t="s">
        <v>199</v>
      </c>
      <c r="B1456" s="83"/>
      <c r="C1456" s="16">
        <v>46194</v>
      </c>
      <c r="D1456" s="82">
        <v>0</v>
      </c>
    </row>
    <row r="1457" spans="1:4" x14ac:dyDescent="0.3">
      <c r="A1457" s="83" t="s">
        <v>216</v>
      </c>
      <c r="B1457" s="83"/>
      <c r="C1457" s="16">
        <v>46194</v>
      </c>
      <c r="D1457" s="82">
        <v>0</v>
      </c>
    </row>
    <row r="1458" spans="1:4" x14ac:dyDescent="0.3">
      <c r="A1458" s="83" t="s">
        <v>17</v>
      </c>
      <c r="B1458" s="83"/>
      <c r="C1458" s="16">
        <v>46195</v>
      </c>
      <c r="D1458" s="82">
        <v>7613332.1400000006</v>
      </c>
    </row>
    <row r="1459" spans="1:4" x14ac:dyDescent="0.3">
      <c r="A1459" s="83" t="s">
        <v>18</v>
      </c>
      <c r="B1459" s="83"/>
      <c r="C1459" s="16">
        <v>46195</v>
      </c>
      <c r="D1459" s="82">
        <v>69376.390000000174</v>
      </c>
    </row>
    <row r="1460" spans="1:4" x14ac:dyDescent="0.3">
      <c r="A1460" s="83" t="s">
        <v>19</v>
      </c>
      <c r="B1460" s="83"/>
      <c r="C1460" s="16">
        <v>46195</v>
      </c>
      <c r="D1460" s="82">
        <v>1669.89</v>
      </c>
    </row>
    <row r="1461" spans="1:4" x14ac:dyDescent="0.3">
      <c r="A1461" s="83" t="s">
        <v>20</v>
      </c>
      <c r="B1461" s="83"/>
      <c r="C1461" s="16">
        <v>46195</v>
      </c>
      <c r="D1461" s="82">
        <v>503904.80999999982</v>
      </c>
    </row>
    <row r="1462" spans="1:4" x14ac:dyDescent="0.3">
      <c r="A1462" s="83" t="s">
        <v>21</v>
      </c>
      <c r="B1462" s="83"/>
      <c r="C1462" s="16">
        <v>46195</v>
      </c>
      <c r="D1462" s="82">
        <v>3325868.6899999995</v>
      </c>
    </row>
    <row r="1463" spans="1:4" x14ac:dyDescent="0.3">
      <c r="A1463" s="83" t="s">
        <v>22</v>
      </c>
      <c r="B1463" s="83"/>
      <c r="C1463" s="16">
        <v>46195</v>
      </c>
      <c r="D1463" s="82">
        <v>116496.38</v>
      </c>
    </row>
    <row r="1464" spans="1:4" x14ac:dyDescent="0.3">
      <c r="A1464" s="83" t="s">
        <v>23</v>
      </c>
      <c r="B1464" s="83"/>
      <c r="C1464" s="16">
        <v>46195</v>
      </c>
      <c r="D1464" s="82">
        <v>20375.989999999998</v>
      </c>
    </row>
    <row r="1465" spans="1:4" x14ac:dyDescent="0.3">
      <c r="A1465" s="83" t="s">
        <v>24</v>
      </c>
      <c r="B1465" s="83"/>
      <c r="C1465" s="16">
        <v>46195</v>
      </c>
      <c r="D1465" s="82">
        <v>511.15999999999985</v>
      </c>
    </row>
    <row r="1466" spans="1:4" x14ac:dyDescent="0.3">
      <c r="A1466" s="83" t="s">
        <v>25</v>
      </c>
      <c r="B1466" s="83"/>
      <c r="C1466" s="16">
        <v>46195</v>
      </c>
      <c r="D1466" s="82">
        <v>84.35</v>
      </c>
    </row>
    <row r="1467" spans="1:4" x14ac:dyDescent="0.3">
      <c r="A1467" s="83" t="s">
        <v>26</v>
      </c>
      <c r="B1467" s="83"/>
      <c r="C1467" s="16">
        <v>46195</v>
      </c>
      <c r="D1467" s="82">
        <v>2237.77</v>
      </c>
    </row>
    <row r="1468" spans="1:4" x14ac:dyDescent="0.3">
      <c r="A1468" s="83" t="s">
        <v>27</v>
      </c>
      <c r="B1468" s="83"/>
      <c r="C1468" s="16">
        <v>46195</v>
      </c>
      <c r="D1468" s="82">
        <v>3349.94</v>
      </c>
    </row>
    <row r="1469" spans="1:4" x14ac:dyDescent="0.3">
      <c r="A1469" s="83" t="s">
        <v>28</v>
      </c>
      <c r="B1469" s="83"/>
      <c r="C1469" s="16">
        <v>46195</v>
      </c>
      <c r="D1469" s="82">
        <v>1968.99</v>
      </c>
    </row>
    <row r="1470" spans="1:4" x14ac:dyDescent="0.3">
      <c r="A1470" s="83" t="s">
        <v>29</v>
      </c>
      <c r="B1470" s="83"/>
      <c r="C1470" s="16">
        <v>46195</v>
      </c>
      <c r="D1470" s="82">
        <v>382.69000000000005</v>
      </c>
    </row>
    <row r="1471" spans="1:4" x14ac:dyDescent="0.3">
      <c r="A1471" s="83" t="s">
        <v>30</v>
      </c>
      <c r="B1471" s="83"/>
      <c r="C1471" s="16">
        <v>46195</v>
      </c>
      <c r="D1471" s="82">
        <v>1428.08</v>
      </c>
    </row>
    <row r="1472" spans="1:4" x14ac:dyDescent="0.3">
      <c r="A1472" s="83" t="s">
        <v>31</v>
      </c>
      <c r="B1472" s="83"/>
      <c r="C1472" s="16">
        <v>46195</v>
      </c>
      <c r="D1472" s="82">
        <v>31039.969999999961</v>
      </c>
    </row>
    <row r="1473" spans="1:4" x14ac:dyDescent="0.3">
      <c r="A1473" s="83" t="s">
        <v>32</v>
      </c>
      <c r="B1473" s="83"/>
      <c r="C1473" s="16">
        <v>46195</v>
      </c>
      <c r="D1473" s="82">
        <v>20321.43</v>
      </c>
    </row>
    <row r="1474" spans="1:4" x14ac:dyDescent="0.3">
      <c r="A1474" s="83" t="s">
        <v>33</v>
      </c>
      <c r="B1474" s="83"/>
      <c r="C1474" s="16">
        <v>46195</v>
      </c>
      <c r="D1474" s="82">
        <v>16681.349999999999</v>
      </c>
    </row>
    <row r="1475" spans="1:4" x14ac:dyDescent="0.3">
      <c r="A1475" s="83" t="s">
        <v>34</v>
      </c>
      <c r="B1475" s="83"/>
      <c r="C1475" s="16">
        <v>46195</v>
      </c>
      <c r="D1475" s="82">
        <v>345</v>
      </c>
    </row>
    <row r="1476" spans="1:4" x14ac:dyDescent="0.3">
      <c r="A1476" s="83" t="s">
        <v>35</v>
      </c>
      <c r="B1476" s="83"/>
      <c r="C1476" s="16">
        <v>46195</v>
      </c>
      <c r="D1476" s="82">
        <v>50109.68</v>
      </c>
    </row>
    <row r="1477" spans="1:4" x14ac:dyDescent="0.3">
      <c r="A1477" s="83" t="s">
        <v>193</v>
      </c>
      <c r="B1477" s="83"/>
      <c r="C1477" s="16">
        <v>46195</v>
      </c>
      <c r="D1477" s="82">
        <v>0</v>
      </c>
    </row>
    <row r="1478" spans="1:4" x14ac:dyDescent="0.3">
      <c r="A1478" s="83" t="s">
        <v>214</v>
      </c>
      <c r="B1478" s="83"/>
      <c r="C1478" s="16">
        <v>46195</v>
      </c>
      <c r="D1478" s="82">
        <v>0</v>
      </c>
    </row>
    <row r="1479" spans="1:4" x14ac:dyDescent="0.3">
      <c r="A1479" s="83" t="s">
        <v>194</v>
      </c>
      <c r="B1479" s="83"/>
      <c r="C1479" s="16">
        <v>46195</v>
      </c>
      <c r="D1479" s="82">
        <v>0</v>
      </c>
    </row>
    <row r="1480" spans="1:4" x14ac:dyDescent="0.3">
      <c r="A1480" s="83" t="s">
        <v>195</v>
      </c>
      <c r="B1480" s="83"/>
      <c r="C1480" s="16">
        <v>46195</v>
      </c>
      <c r="D1480" s="82">
        <v>0</v>
      </c>
    </row>
    <row r="1481" spans="1:4" x14ac:dyDescent="0.3">
      <c r="A1481" s="83" t="s">
        <v>196</v>
      </c>
      <c r="B1481" s="83"/>
      <c r="C1481" s="16">
        <v>46195</v>
      </c>
      <c r="D1481" s="82">
        <v>0</v>
      </c>
    </row>
    <row r="1482" spans="1:4" x14ac:dyDescent="0.3">
      <c r="A1482" s="83" t="s">
        <v>197</v>
      </c>
      <c r="B1482" s="83"/>
      <c r="C1482" s="16">
        <v>46195</v>
      </c>
      <c r="D1482" s="82">
        <v>0</v>
      </c>
    </row>
    <row r="1483" spans="1:4" x14ac:dyDescent="0.3">
      <c r="A1483" s="83" t="s">
        <v>212</v>
      </c>
      <c r="B1483" s="83"/>
      <c r="C1483" s="16">
        <v>46195</v>
      </c>
      <c r="D1483" s="82">
        <v>0</v>
      </c>
    </row>
    <row r="1484" spans="1:4" x14ac:dyDescent="0.3">
      <c r="A1484" s="83" t="s">
        <v>199</v>
      </c>
      <c r="B1484" s="83"/>
      <c r="C1484" s="16">
        <v>46195</v>
      </c>
      <c r="D1484" s="82">
        <v>0</v>
      </c>
    </row>
    <row r="1485" spans="1:4" x14ac:dyDescent="0.3">
      <c r="A1485" s="83" t="s">
        <v>216</v>
      </c>
      <c r="B1485" s="83"/>
      <c r="C1485" s="16">
        <v>46195</v>
      </c>
      <c r="D1485" s="82">
        <v>0</v>
      </c>
    </row>
    <row r="1486" spans="1:4" x14ac:dyDescent="0.3">
      <c r="A1486" s="83" t="s">
        <v>17</v>
      </c>
      <c r="B1486" s="83"/>
      <c r="C1486" s="16">
        <v>46196</v>
      </c>
      <c r="D1486" s="82">
        <v>7675741.5900000008</v>
      </c>
    </row>
    <row r="1487" spans="1:4" x14ac:dyDescent="0.3">
      <c r="A1487" s="83" t="s">
        <v>18</v>
      </c>
      <c r="B1487" s="83"/>
      <c r="C1487" s="16">
        <v>46196</v>
      </c>
      <c r="D1487" s="82">
        <v>69376.390000000174</v>
      </c>
    </row>
    <row r="1488" spans="1:4" x14ac:dyDescent="0.3">
      <c r="A1488" s="83" t="s">
        <v>19</v>
      </c>
      <c r="B1488" s="83"/>
      <c r="C1488" s="16">
        <v>46196</v>
      </c>
      <c r="D1488" s="82">
        <v>1669.89</v>
      </c>
    </row>
    <row r="1489" spans="1:4" x14ac:dyDescent="0.3">
      <c r="A1489" s="83" t="s">
        <v>20</v>
      </c>
      <c r="B1489" s="83"/>
      <c r="C1489" s="16">
        <v>46196</v>
      </c>
      <c r="D1489" s="82">
        <v>503904.80999999982</v>
      </c>
    </row>
    <row r="1490" spans="1:4" x14ac:dyDescent="0.3">
      <c r="A1490" s="83" t="s">
        <v>21</v>
      </c>
      <c r="B1490" s="83"/>
      <c r="C1490" s="16">
        <v>46196</v>
      </c>
      <c r="D1490" s="82">
        <v>3325868.6899999995</v>
      </c>
    </row>
    <row r="1491" spans="1:4" x14ac:dyDescent="0.3">
      <c r="A1491" s="83" t="s">
        <v>22</v>
      </c>
      <c r="B1491" s="83"/>
      <c r="C1491" s="16">
        <v>46196</v>
      </c>
      <c r="D1491" s="82">
        <v>116496.38</v>
      </c>
    </row>
    <row r="1492" spans="1:4" x14ac:dyDescent="0.3">
      <c r="A1492" s="83" t="s">
        <v>23</v>
      </c>
      <c r="B1492" s="83"/>
      <c r="C1492" s="16">
        <v>46196</v>
      </c>
      <c r="D1492" s="82">
        <v>20375.989999999998</v>
      </c>
    </row>
    <row r="1493" spans="1:4" x14ac:dyDescent="0.3">
      <c r="A1493" s="83" t="s">
        <v>24</v>
      </c>
      <c r="B1493" s="83"/>
      <c r="C1493" s="16">
        <v>46196</v>
      </c>
      <c r="D1493" s="82">
        <v>511.15999999999985</v>
      </c>
    </row>
    <row r="1494" spans="1:4" x14ac:dyDescent="0.3">
      <c r="A1494" s="83" t="s">
        <v>25</v>
      </c>
      <c r="B1494" s="83"/>
      <c r="C1494" s="16">
        <v>46196</v>
      </c>
      <c r="D1494" s="82">
        <v>84.35</v>
      </c>
    </row>
    <row r="1495" spans="1:4" x14ac:dyDescent="0.3">
      <c r="A1495" s="83" t="s">
        <v>26</v>
      </c>
      <c r="B1495" s="83"/>
      <c r="C1495" s="16">
        <v>46196</v>
      </c>
      <c r="D1495" s="82">
        <v>2237.77</v>
      </c>
    </row>
    <row r="1496" spans="1:4" x14ac:dyDescent="0.3">
      <c r="A1496" s="83" t="s">
        <v>27</v>
      </c>
      <c r="B1496" s="83"/>
      <c r="C1496" s="16">
        <v>46196</v>
      </c>
      <c r="D1496" s="82">
        <v>3349.94</v>
      </c>
    </row>
    <row r="1497" spans="1:4" x14ac:dyDescent="0.3">
      <c r="A1497" s="83" t="s">
        <v>28</v>
      </c>
      <c r="B1497" s="83"/>
      <c r="C1497" s="16">
        <v>46196</v>
      </c>
      <c r="D1497" s="82">
        <v>1968.99</v>
      </c>
    </row>
    <row r="1498" spans="1:4" x14ac:dyDescent="0.3">
      <c r="A1498" s="83" t="s">
        <v>29</v>
      </c>
      <c r="B1498" s="83"/>
      <c r="C1498" s="16">
        <v>46196</v>
      </c>
      <c r="D1498" s="82">
        <v>382.69000000000005</v>
      </c>
    </row>
    <row r="1499" spans="1:4" x14ac:dyDescent="0.3">
      <c r="A1499" s="83" t="s">
        <v>30</v>
      </c>
      <c r="B1499" s="83"/>
      <c r="C1499" s="16">
        <v>46196</v>
      </c>
      <c r="D1499" s="82">
        <v>1428.08</v>
      </c>
    </row>
    <row r="1500" spans="1:4" x14ac:dyDescent="0.3">
      <c r="A1500" s="83" t="s">
        <v>31</v>
      </c>
      <c r="B1500" s="83"/>
      <c r="C1500" s="16">
        <v>46196</v>
      </c>
      <c r="D1500" s="82">
        <v>31039.969999999961</v>
      </c>
    </row>
    <row r="1501" spans="1:4" x14ac:dyDescent="0.3">
      <c r="A1501" s="83" t="s">
        <v>32</v>
      </c>
      <c r="B1501" s="83"/>
      <c r="C1501" s="16">
        <v>46196</v>
      </c>
      <c r="D1501" s="82">
        <v>20321.43</v>
      </c>
    </row>
    <row r="1502" spans="1:4" x14ac:dyDescent="0.3">
      <c r="A1502" s="83" t="s">
        <v>33</v>
      </c>
      <c r="B1502" s="83"/>
      <c r="C1502" s="16">
        <v>46196</v>
      </c>
      <c r="D1502" s="82">
        <v>16681.349999999999</v>
      </c>
    </row>
    <row r="1503" spans="1:4" x14ac:dyDescent="0.3">
      <c r="A1503" s="83" t="s">
        <v>34</v>
      </c>
      <c r="B1503" s="83"/>
      <c r="C1503" s="16">
        <v>46196</v>
      </c>
      <c r="D1503" s="82">
        <v>345</v>
      </c>
    </row>
    <row r="1504" spans="1:4" x14ac:dyDescent="0.3">
      <c r="A1504" s="83" t="s">
        <v>35</v>
      </c>
      <c r="B1504" s="83"/>
      <c r="C1504" s="16">
        <v>46196</v>
      </c>
      <c r="D1504" s="82">
        <v>49981.31</v>
      </c>
    </row>
    <row r="1505" spans="1:4" x14ac:dyDescent="0.3">
      <c r="A1505" s="83" t="s">
        <v>193</v>
      </c>
      <c r="B1505" s="83"/>
      <c r="C1505" s="16">
        <v>46196</v>
      </c>
      <c r="D1505" s="82">
        <v>0</v>
      </c>
    </row>
    <row r="1506" spans="1:4" x14ac:dyDescent="0.3">
      <c r="A1506" s="83" t="s">
        <v>214</v>
      </c>
      <c r="B1506" s="83"/>
      <c r="C1506" s="16">
        <v>46196</v>
      </c>
      <c r="D1506" s="82">
        <v>0</v>
      </c>
    </row>
    <row r="1507" spans="1:4" x14ac:dyDescent="0.3">
      <c r="A1507" s="83" t="s">
        <v>194</v>
      </c>
      <c r="B1507" s="83"/>
      <c r="C1507" s="16">
        <v>46196</v>
      </c>
      <c r="D1507" s="82">
        <v>0</v>
      </c>
    </row>
    <row r="1508" spans="1:4" x14ac:dyDescent="0.3">
      <c r="A1508" s="83" t="s">
        <v>195</v>
      </c>
      <c r="B1508" s="83"/>
      <c r="C1508" s="16">
        <v>46196</v>
      </c>
      <c r="D1508" s="82">
        <v>0</v>
      </c>
    </row>
    <row r="1509" spans="1:4" x14ac:dyDescent="0.3">
      <c r="A1509" s="83" t="s">
        <v>196</v>
      </c>
      <c r="B1509" s="83"/>
      <c r="C1509" s="16">
        <v>46196</v>
      </c>
      <c r="D1509" s="82">
        <v>0</v>
      </c>
    </row>
    <row r="1510" spans="1:4" x14ac:dyDescent="0.3">
      <c r="A1510" s="83" t="s">
        <v>197</v>
      </c>
      <c r="B1510" s="83"/>
      <c r="C1510" s="16">
        <v>46196</v>
      </c>
      <c r="D1510" s="82">
        <v>0</v>
      </c>
    </row>
    <row r="1511" spans="1:4" x14ac:dyDescent="0.3">
      <c r="A1511" s="83" t="s">
        <v>212</v>
      </c>
      <c r="B1511" s="83"/>
      <c r="C1511" s="16">
        <v>46196</v>
      </c>
      <c r="D1511" s="82">
        <v>0</v>
      </c>
    </row>
    <row r="1512" spans="1:4" x14ac:dyDescent="0.3">
      <c r="A1512" s="83" t="s">
        <v>199</v>
      </c>
      <c r="B1512" s="83"/>
      <c r="C1512" s="16">
        <v>46196</v>
      </c>
      <c r="D1512" s="82">
        <v>0</v>
      </c>
    </row>
    <row r="1513" spans="1:4" x14ac:dyDescent="0.3">
      <c r="A1513" s="83" t="s">
        <v>216</v>
      </c>
      <c r="B1513" s="83"/>
      <c r="C1513" s="16">
        <v>46196</v>
      </c>
      <c r="D1513" s="82">
        <v>0</v>
      </c>
    </row>
    <row r="1514" spans="1:4" x14ac:dyDescent="0.3">
      <c r="A1514" s="83" t="s">
        <v>17</v>
      </c>
      <c r="B1514" s="83"/>
      <c r="C1514" s="16">
        <v>46197</v>
      </c>
      <c r="D1514" s="82">
        <v>7742810.7100000009</v>
      </c>
    </row>
    <row r="1515" spans="1:4" x14ac:dyDescent="0.3">
      <c r="A1515" s="83" t="s">
        <v>18</v>
      </c>
      <c r="B1515" s="83"/>
      <c r="C1515" s="16">
        <v>46197</v>
      </c>
      <c r="D1515" s="82">
        <v>72386.190000000177</v>
      </c>
    </row>
    <row r="1516" spans="1:4" x14ac:dyDescent="0.3">
      <c r="A1516" s="83" t="s">
        <v>19</v>
      </c>
      <c r="B1516" s="83"/>
      <c r="C1516" s="16">
        <v>46197</v>
      </c>
      <c r="D1516" s="82">
        <v>1669.89</v>
      </c>
    </row>
    <row r="1517" spans="1:4" x14ac:dyDescent="0.3">
      <c r="A1517" s="83" t="s">
        <v>20</v>
      </c>
      <c r="B1517" s="83"/>
      <c r="C1517" s="16">
        <v>46197</v>
      </c>
      <c r="D1517" s="82">
        <v>532766.72999999986</v>
      </c>
    </row>
    <row r="1518" spans="1:4" x14ac:dyDescent="0.3">
      <c r="A1518" s="83" t="s">
        <v>21</v>
      </c>
      <c r="B1518" s="83"/>
      <c r="C1518" s="16">
        <v>46197</v>
      </c>
      <c r="D1518" s="82">
        <v>3325868.6899999995</v>
      </c>
    </row>
    <row r="1519" spans="1:4" x14ac:dyDescent="0.3">
      <c r="A1519" s="83" t="s">
        <v>22</v>
      </c>
      <c r="B1519" s="83"/>
      <c r="C1519" s="16">
        <v>46197</v>
      </c>
      <c r="D1519" s="82">
        <v>116496.38</v>
      </c>
    </row>
    <row r="1520" spans="1:4" x14ac:dyDescent="0.3">
      <c r="A1520" s="83" t="s">
        <v>23</v>
      </c>
      <c r="B1520" s="83"/>
      <c r="C1520" s="16">
        <v>46197</v>
      </c>
      <c r="D1520" s="82">
        <v>20375.989999999998</v>
      </c>
    </row>
    <row r="1521" spans="1:4" x14ac:dyDescent="0.3">
      <c r="A1521" s="83" t="s">
        <v>24</v>
      </c>
      <c r="B1521" s="83"/>
      <c r="C1521" s="16">
        <v>46197</v>
      </c>
      <c r="D1521" s="82">
        <v>511.15999999999985</v>
      </c>
    </row>
    <row r="1522" spans="1:4" x14ac:dyDescent="0.3">
      <c r="A1522" s="83" t="s">
        <v>25</v>
      </c>
      <c r="B1522" s="83"/>
      <c r="C1522" s="16">
        <v>46197</v>
      </c>
      <c r="D1522" s="82">
        <v>84.35</v>
      </c>
    </row>
    <row r="1523" spans="1:4" x14ac:dyDescent="0.3">
      <c r="A1523" s="83" t="s">
        <v>26</v>
      </c>
      <c r="B1523" s="83"/>
      <c r="C1523" s="16">
        <v>46197</v>
      </c>
      <c r="D1523" s="82">
        <v>2237.77</v>
      </c>
    </row>
    <row r="1524" spans="1:4" x14ac:dyDescent="0.3">
      <c r="A1524" s="83" t="s">
        <v>27</v>
      </c>
      <c r="B1524" s="83"/>
      <c r="C1524" s="16">
        <v>46197</v>
      </c>
      <c r="D1524" s="82">
        <v>3349.94</v>
      </c>
    </row>
    <row r="1525" spans="1:4" x14ac:dyDescent="0.3">
      <c r="A1525" s="83" t="s">
        <v>28</v>
      </c>
      <c r="B1525" s="83"/>
      <c r="C1525" s="16">
        <v>46197</v>
      </c>
      <c r="D1525" s="82">
        <v>1968.99</v>
      </c>
    </row>
    <row r="1526" spans="1:4" x14ac:dyDescent="0.3">
      <c r="A1526" s="83" t="s">
        <v>29</v>
      </c>
      <c r="B1526" s="83"/>
      <c r="C1526" s="16">
        <v>46197</v>
      </c>
      <c r="D1526" s="82">
        <v>382.69000000000005</v>
      </c>
    </row>
    <row r="1527" spans="1:4" x14ac:dyDescent="0.3">
      <c r="A1527" s="83" t="s">
        <v>30</v>
      </c>
      <c r="B1527" s="83"/>
      <c r="C1527" s="16">
        <v>46197</v>
      </c>
      <c r="D1527" s="82">
        <v>1428.08</v>
      </c>
    </row>
    <row r="1528" spans="1:4" x14ac:dyDescent="0.3">
      <c r="A1528" s="83" t="s">
        <v>31</v>
      </c>
      <c r="B1528" s="83"/>
      <c r="C1528" s="16">
        <v>46197</v>
      </c>
      <c r="D1528" s="82">
        <v>31039.969999999961</v>
      </c>
    </row>
    <row r="1529" spans="1:4" x14ac:dyDescent="0.3">
      <c r="A1529" s="83" t="s">
        <v>32</v>
      </c>
      <c r="B1529" s="83"/>
      <c r="C1529" s="16">
        <v>46197</v>
      </c>
      <c r="D1529" s="82">
        <v>20321.43</v>
      </c>
    </row>
    <row r="1530" spans="1:4" x14ac:dyDescent="0.3">
      <c r="A1530" s="83" t="s">
        <v>33</v>
      </c>
      <c r="B1530" s="83"/>
      <c r="C1530" s="16">
        <v>46197</v>
      </c>
      <c r="D1530" s="82">
        <v>16681.349999999999</v>
      </c>
    </row>
    <row r="1531" spans="1:4" x14ac:dyDescent="0.3">
      <c r="A1531" s="83" t="s">
        <v>34</v>
      </c>
      <c r="B1531" s="83"/>
      <c r="C1531" s="16">
        <v>46197</v>
      </c>
      <c r="D1531" s="82">
        <v>345</v>
      </c>
    </row>
    <row r="1532" spans="1:4" x14ac:dyDescent="0.3">
      <c r="A1532" s="83" t="s">
        <v>35</v>
      </c>
      <c r="B1532" s="83"/>
      <c r="C1532" s="16">
        <v>46197</v>
      </c>
      <c r="D1532" s="82">
        <v>49981.31</v>
      </c>
    </row>
    <row r="1533" spans="1:4" x14ac:dyDescent="0.3">
      <c r="A1533" s="83" t="s">
        <v>193</v>
      </c>
      <c r="B1533" s="83"/>
      <c r="C1533" s="16">
        <v>46197</v>
      </c>
      <c r="D1533" s="82">
        <v>0</v>
      </c>
    </row>
    <row r="1534" spans="1:4" x14ac:dyDescent="0.3">
      <c r="A1534" s="83" t="s">
        <v>214</v>
      </c>
      <c r="B1534" s="83"/>
      <c r="C1534" s="16">
        <v>46197</v>
      </c>
      <c r="D1534" s="82">
        <v>0</v>
      </c>
    </row>
    <row r="1535" spans="1:4" x14ac:dyDescent="0.3">
      <c r="A1535" s="83" t="s">
        <v>194</v>
      </c>
      <c r="B1535" s="83"/>
      <c r="C1535" s="16">
        <v>46197</v>
      </c>
      <c r="D1535" s="82">
        <v>0</v>
      </c>
    </row>
    <row r="1536" spans="1:4" x14ac:dyDescent="0.3">
      <c r="A1536" s="83" t="s">
        <v>195</v>
      </c>
      <c r="B1536" s="83"/>
      <c r="C1536" s="16">
        <v>46197</v>
      </c>
      <c r="D1536" s="82">
        <v>0</v>
      </c>
    </row>
    <row r="1537" spans="1:4" x14ac:dyDescent="0.3">
      <c r="A1537" s="83" t="s">
        <v>196</v>
      </c>
      <c r="B1537" s="83"/>
      <c r="C1537" s="16">
        <v>46197</v>
      </c>
      <c r="D1537" s="82">
        <v>0</v>
      </c>
    </row>
    <row r="1538" spans="1:4" x14ac:dyDescent="0.3">
      <c r="A1538" s="83" t="s">
        <v>197</v>
      </c>
      <c r="B1538" s="83"/>
      <c r="C1538" s="16">
        <v>46197</v>
      </c>
      <c r="D1538" s="82">
        <v>0</v>
      </c>
    </row>
    <row r="1539" spans="1:4" x14ac:dyDescent="0.3">
      <c r="A1539" s="83" t="s">
        <v>212</v>
      </c>
      <c r="B1539" s="83"/>
      <c r="C1539" s="16">
        <v>46197</v>
      </c>
      <c r="D1539" s="82">
        <v>0</v>
      </c>
    </row>
    <row r="1540" spans="1:4" x14ac:dyDescent="0.3">
      <c r="A1540" s="83" t="s">
        <v>199</v>
      </c>
      <c r="B1540" s="83"/>
      <c r="C1540" s="16">
        <v>46197</v>
      </c>
      <c r="D1540" s="82">
        <v>0</v>
      </c>
    </row>
    <row r="1541" spans="1:4" x14ac:dyDescent="0.3">
      <c r="A1541" s="83" t="s">
        <v>216</v>
      </c>
      <c r="B1541" s="83"/>
      <c r="C1541" s="16">
        <v>46197</v>
      </c>
      <c r="D1541" s="82">
        <v>0</v>
      </c>
    </row>
    <row r="1542" spans="1:4" x14ac:dyDescent="0.3">
      <c r="A1542" s="83" t="s">
        <v>17</v>
      </c>
      <c r="B1542" s="83"/>
      <c r="C1542" s="16">
        <v>46198</v>
      </c>
      <c r="D1542" s="82">
        <v>6298935.7100000009</v>
      </c>
    </row>
    <row r="1543" spans="1:4" x14ac:dyDescent="0.3">
      <c r="A1543" s="83" t="s">
        <v>18</v>
      </c>
      <c r="B1543" s="83"/>
      <c r="C1543" s="16">
        <v>46198</v>
      </c>
      <c r="D1543" s="82">
        <v>72386.190000000177</v>
      </c>
    </row>
    <row r="1544" spans="1:4" x14ac:dyDescent="0.3">
      <c r="A1544" s="83" t="s">
        <v>19</v>
      </c>
      <c r="B1544" s="83"/>
      <c r="C1544" s="16">
        <v>46198</v>
      </c>
      <c r="D1544" s="82">
        <v>1669.89</v>
      </c>
    </row>
    <row r="1545" spans="1:4" x14ac:dyDescent="0.3">
      <c r="A1545" s="83" t="s">
        <v>20</v>
      </c>
      <c r="B1545" s="83"/>
      <c r="C1545" s="16">
        <v>46198</v>
      </c>
      <c r="D1545" s="82">
        <v>472766.72999999986</v>
      </c>
    </row>
    <row r="1546" spans="1:4" x14ac:dyDescent="0.3">
      <c r="A1546" s="83" t="s">
        <v>21</v>
      </c>
      <c r="B1546" s="83"/>
      <c r="C1546" s="16">
        <v>46198</v>
      </c>
      <c r="D1546" s="82">
        <v>1933152.7099999995</v>
      </c>
    </row>
    <row r="1547" spans="1:4" x14ac:dyDescent="0.3">
      <c r="A1547" s="83" t="s">
        <v>22</v>
      </c>
      <c r="B1547" s="83"/>
      <c r="C1547" s="16">
        <v>46198</v>
      </c>
      <c r="D1547" s="82">
        <v>1996496.38</v>
      </c>
    </row>
    <row r="1548" spans="1:4" x14ac:dyDescent="0.3">
      <c r="A1548" s="83" t="s">
        <v>23</v>
      </c>
      <c r="B1548" s="83"/>
      <c r="C1548" s="16">
        <v>46198</v>
      </c>
      <c r="D1548" s="82">
        <v>330375.99000000005</v>
      </c>
    </row>
    <row r="1549" spans="1:4" x14ac:dyDescent="0.3">
      <c r="A1549" s="83" t="s">
        <v>24</v>
      </c>
      <c r="B1549" s="83"/>
      <c r="C1549" s="16">
        <v>46198</v>
      </c>
      <c r="D1549" s="82">
        <v>511.15999999999985</v>
      </c>
    </row>
    <row r="1550" spans="1:4" x14ac:dyDescent="0.3">
      <c r="A1550" s="83" t="s">
        <v>25</v>
      </c>
      <c r="B1550" s="83"/>
      <c r="C1550" s="16">
        <v>46198</v>
      </c>
      <c r="D1550" s="82">
        <v>84.35</v>
      </c>
    </row>
    <row r="1551" spans="1:4" x14ac:dyDescent="0.3">
      <c r="A1551" s="83" t="s">
        <v>26</v>
      </c>
      <c r="B1551" s="83"/>
      <c r="C1551" s="16">
        <v>46198</v>
      </c>
      <c r="D1551" s="82">
        <v>2237.77</v>
      </c>
    </row>
    <row r="1552" spans="1:4" x14ac:dyDescent="0.3">
      <c r="A1552" s="83" t="s">
        <v>27</v>
      </c>
      <c r="B1552" s="83"/>
      <c r="C1552" s="16">
        <v>46198</v>
      </c>
      <c r="D1552" s="82">
        <v>3349.94</v>
      </c>
    </row>
    <row r="1553" spans="1:4" x14ac:dyDescent="0.3">
      <c r="A1553" s="83" t="s">
        <v>28</v>
      </c>
      <c r="B1553" s="83"/>
      <c r="C1553" s="16">
        <v>46198</v>
      </c>
      <c r="D1553" s="82">
        <v>1968.99</v>
      </c>
    </row>
    <row r="1554" spans="1:4" x14ac:dyDescent="0.3">
      <c r="A1554" s="83" t="s">
        <v>29</v>
      </c>
      <c r="B1554" s="83"/>
      <c r="C1554" s="16">
        <v>46198</v>
      </c>
      <c r="D1554" s="82">
        <v>382.69000000000005</v>
      </c>
    </row>
    <row r="1555" spans="1:4" x14ac:dyDescent="0.3">
      <c r="A1555" s="83" t="s">
        <v>30</v>
      </c>
      <c r="B1555" s="83"/>
      <c r="C1555" s="16">
        <v>46198</v>
      </c>
      <c r="D1555" s="82">
        <v>1428.08</v>
      </c>
    </row>
    <row r="1556" spans="1:4" x14ac:dyDescent="0.3">
      <c r="A1556" s="83" t="s">
        <v>31</v>
      </c>
      <c r="B1556" s="83"/>
      <c r="C1556" s="16">
        <v>46198</v>
      </c>
      <c r="D1556" s="82">
        <v>31039.969999999961</v>
      </c>
    </row>
    <row r="1557" spans="1:4" x14ac:dyDescent="0.3">
      <c r="A1557" s="83" t="s">
        <v>32</v>
      </c>
      <c r="B1557" s="83"/>
      <c r="C1557" s="16">
        <v>46198</v>
      </c>
      <c r="D1557" s="82">
        <v>20321.43</v>
      </c>
    </row>
    <row r="1558" spans="1:4" x14ac:dyDescent="0.3">
      <c r="A1558" s="83" t="s">
        <v>33</v>
      </c>
      <c r="B1558" s="83"/>
      <c r="C1558" s="16">
        <v>46198</v>
      </c>
      <c r="D1558" s="82">
        <v>28473.599999999999</v>
      </c>
    </row>
    <row r="1559" spans="1:4" x14ac:dyDescent="0.3">
      <c r="A1559" s="83" t="s">
        <v>34</v>
      </c>
      <c r="B1559" s="83"/>
      <c r="C1559" s="16">
        <v>46198</v>
      </c>
      <c r="D1559" s="82">
        <v>345</v>
      </c>
    </row>
    <row r="1560" spans="1:4" x14ac:dyDescent="0.3">
      <c r="A1560" s="83" t="s">
        <v>35</v>
      </c>
      <c r="B1560" s="83"/>
      <c r="C1560" s="16">
        <v>46198</v>
      </c>
      <c r="D1560" s="82">
        <v>38025.43</v>
      </c>
    </row>
    <row r="1561" spans="1:4" x14ac:dyDescent="0.3">
      <c r="A1561" s="83" t="s">
        <v>193</v>
      </c>
      <c r="B1561" s="83"/>
      <c r="C1561" s="16">
        <v>46198</v>
      </c>
      <c r="D1561" s="82">
        <v>0</v>
      </c>
    </row>
    <row r="1562" spans="1:4" x14ac:dyDescent="0.3">
      <c r="A1562" s="83" t="s">
        <v>214</v>
      </c>
      <c r="B1562" s="83"/>
      <c r="C1562" s="16">
        <v>46198</v>
      </c>
      <c r="D1562" s="82">
        <v>0</v>
      </c>
    </row>
    <row r="1563" spans="1:4" x14ac:dyDescent="0.3">
      <c r="A1563" s="83" t="s">
        <v>194</v>
      </c>
      <c r="B1563" s="83"/>
      <c r="C1563" s="16">
        <v>46198</v>
      </c>
      <c r="D1563" s="82">
        <v>0</v>
      </c>
    </row>
    <row r="1564" spans="1:4" x14ac:dyDescent="0.3">
      <c r="A1564" s="83" t="s">
        <v>195</v>
      </c>
      <c r="B1564" s="83"/>
      <c r="C1564" s="16">
        <v>46198</v>
      </c>
      <c r="D1564" s="82">
        <v>0</v>
      </c>
    </row>
    <row r="1565" spans="1:4" x14ac:dyDescent="0.3">
      <c r="A1565" s="83" t="s">
        <v>196</v>
      </c>
      <c r="B1565" s="83"/>
      <c r="C1565" s="16">
        <v>46198</v>
      </c>
      <c r="D1565" s="82">
        <v>0</v>
      </c>
    </row>
    <row r="1566" spans="1:4" x14ac:dyDescent="0.3">
      <c r="A1566" s="83" t="s">
        <v>197</v>
      </c>
      <c r="B1566" s="83"/>
      <c r="C1566" s="16">
        <v>46198</v>
      </c>
      <c r="D1566" s="82">
        <v>0</v>
      </c>
    </row>
    <row r="1567" spans="1:4" x14ac:dyDescent="0.3">
      <c r="A1567" s="83" t="s">
        <v>212</v>
      </c>
      <c r="B1567" s="83"/>
      <c r="C1567" s="16">
        <v>46198</v>
      </c>
      <c r="D1567" s="82">
        <v>0</v>
      </c>
    </row>
    <row r="1568" spans="1:4" x14ac:dyDescent="0.3">
      <c r="A1568" s="83" t="s">
        <v>199</v>
      </c>
      <c r="B1568" s="83"/>
      <c r="C1568" s="16">
        <v>46198</v>
      </c>
      <c r="D1568" s="82">
        <v>0</v>
      </c>
    </row>
    <row r="1569" spans="1:4" x14ac:dyDescent="0.3">
      <c r="A1569" s="83" t="s">
        <v>216</v>
      </c>
      <c r="B1569" s="83"/>
      <c r="C1569" s="16">
        <v>46198</v>
      </c>
      <c r="D1569" s="82">
        <v>0</v>
      </c>
    </row>
    <row r="1570" spans="1:4" x14ac:dyDescent="0.3">
      <c r="A1570" s="83" t="s">
        <v>17</v>
      </c>
      <c r="B1570" s="83"/>
      <c r="C1570" s="16">
        <v>46199</v>
      </c>
      <c r="D1570" s="82">
        <v>6288055.7100000009</v>
      </c>
    </row>
    <row r="1571" spans="1:4" x14ac:dyDescent="0.3">
      <c r="A1571" s="83" t="s">
        <v>18</v>
      </c>
      <c r="B1571" s="83"/>
      <c r="C1571" s="16">
        <v>46199</v>
      </c>
      <c r="D1571" s="82">
        <v>72386.190000000177</v>
      </c>
    </row>
    <row r="1572" spans="1:4" x14ac:dyDescent="0.3">
      <c r="A1572" s="83" t="s">
        <v>19</v>
      </c>
      <c r="B1572" s="83"/>
      <c r="C1572" s="16">
        <v>46199</v>
      </c>
      <c r="D1572" s="82">
        <v>1669.89</v>
      </c>
    </row>
    <row r="1573" spans="1:4" x14ac:dyDescent="0.3">
      <c r="A1573" s="83" t="s">
        <v>20</v>
      </c>
      <c r="B1573" s="83"/>
      <c r="C1573" s="16">
        <v>46199</v>
      </c>
      <c r="D1573" s="82">
        <v>472766.72999999986</v>
      </c>
    </row>
    <row r="1574" spans="1:4" x14ac:dyDescent="0.3">
      <c r="A1574" s="83" t="s">
        <v>21</v>
      </c>
      <c r="B1574" s="83"/>
      <c r="C1574" s="16">
        <v>46199</v>
      </c>
      <c r="D1574" s="82">
        <v>1932389.7199999993</v>
      </c>
    </row>
    <row r="1575" spans="1:4" x14ac:dyDescent="0.3">
      <c r="A1575" s="83" t="s">
        <v>22</v>
      </c>
      <c r="B1575" s="83"/>
      <c r="C1575" s="16">
        <v>46199</v>
      </c>
      <c r="D1575" s="82">
        <v>1396496.38</v>
      </c>
    </row>
    <row r="1576" spans="1:4" x14ac:dyDescent="0.3">
      <c r="A1576" s="83" t="s">
        <v>23</v>
      </c>
      <c r="B1576" s="83"/>
      <c r="C1576" s="16">
        <v>46199</v>
      </c>
      <c r="D1576" s="82">
        <v>330375.99000000005</v>
      </c>
    </row>
    <row r="1577" spans="1:4" x14ac:dyDescent="0.3">
      <c r="A1577" s="83" t="s">
        <v>24</v>
      </c>
      <c r="B1577" s="83"/>
      <c r="C1577" s="16">
        <v>46199</v>
      </c>
      <c r="D1577" s="82">
        <v>511.15999999999985</v>
      </c>
    </row>
    <row r="1578" spans="1:4" x14ac:dyDescent="0.3">
      <c r="A1578" s="83" t="s">
        <v>25</v>
      </c>
      <c r="B1578" s="83"/>
      <c r="C1578" s="16">
        <v>46199</v>
      </c>
      <c r="D1578" s="82">
        <v>84.35</v>
      </c>
    </row>
    <row r="1579" spans="1:4" x14ac:dyDescent="0.3">
      <c r="A1579" s="83" t="s">
        <v>26</v>
      </c>
      <c r="B1579" s="83"/>
      <c r="C1579" s="16">
        <v>46199</v>
      </c>
      <c r="D1579" s="82">
        <v>2237.77</v>
      </c>
    </row>
    <row r="1580" spans="1:4" x14ac:dyDescent="0.3">
      <c r="A1580" s="83" t="s">
        <v>27</v>
      </c>
      <c r="B1580" s="83"/>
      <c r="C1580" s="16">
        <v>46199</v>
      </c>
      <c r="D1580" s="82">
        <v>3349.94</v>
      </c>
    </row>
    <row r="1581" spans="1:4" x14ac:dyDescent="0.3">
      <c r="A1581" s="83" t="s">
        <v>28</v>
      </c>
      <c r="B1581" s="83"/>
      <c r="C1581" s="16">
        <v>46199</v>
      </c>
      <c r="D1581" s="82">
        <v>1968.99</v>
      </c>
    </row>
    <row r="1582" spans="1:4" x14ac:dyDescent="0.3">
      <c r="A1582" s="83" t="s">
        <v>29</v>
      </c>
      <c r="B1582" s="83"/>
      <c r="C1582" s="16">
        <v>46199</v>
      </c>
      <c r="D1582" s="82">
        <v>382.69000000000005</v>
      </c>
    </row>
    <row r="1583" spans="1:4" x14ac:dyDescent="0.3">
      <c r="A1583" s="83" t="s">
        <v>30</v>
      </c>
      <c r="B1583" s="83"/>
      <c r="C1583" s="16">
        <v>46199</v>
      </c>
      <c r="D1583" s="82">
        <v>1428.08</v>
      </c>
    </row>
    <row r="1584" spans="1:4" x14ac:dyDescent="0.3">
      <c r="A1584" s="83" t="s">
        <v>31</v>
      </c>
      <c r="B1584" s="83"/>
      <c r="C1584" s="16">
        <v>46199</v>
      </c>
      <c r="D1584" s="82">
        <v>31039.969999999961</v>
      </c>
    </row>
    <row r="1585" spans="1:4" x14ac:dyDescent="0.3">
      <c r="A1585" s="83" t="s">
        <v>32</v>
      </c>
      <c r="B1585" s="83"/>
      <c r="C1585" s="16">
        <v>46199</v>
      </c>
      <c r="D1585" s="82">
        <v>20321.43</v>
      </c>
    </row>
    <row r="1586" spans="1:4" x14ac:dyDescent="0.3">
      <c r="A1586" s="83" t="s">
        <v>33</v>
      </c>
      <c r="B1586" s="83"/>
      <c r="C1586" s="16">
        <v>46199</v>
      </c>
      <c r="D1586" s="82">
        <v>28458.6</v>
      </c>
    </row>
    <row r="1587" spans="1:4" x14ac:dyDescent="0.3">
      <c r="A1587" s="83" t="s">
        <v>34</v>
      </c>
      <c r="B1587" s="83"/>
      <c r="C1587" s="16">
        <v>46199</v>
      </c>
      <c r="D1587" s="82">
        <v>345</v>
      </c>
    </row>
    <row r="1588" spans="1:4" x14ac:dyDescent="0.3">
      <c r="A1588" s="83" t="s">
        <v>35</v>
      </c>
      <c r="B1588" s="83"/>
      <c r="C1588" s="16">
        <v>46199</v>
      </c>
      <c r="D1588" s="82">
        <v>29918.639999999999</v>
      </c>
    </row>
    <row r="1589" spans="1:4" x14ac:dyDescent="0.3">
      <c r="A1589" s="83" t="s">
        <v>193</v>
      </c>
      <c r="B1589" s="83"/>
      <c r="C1589" s="16">
        <v>46199</v>
      </c>
      <c r="D1589" s="82">
        <v>0</v>
      </c>
    </row>
    <row r="1590" spans="1:4" x14ac:dyDescent="0.3">
      <c r="A1590" s="83" t="s">
        <v>214</v>
      </c>
      <c r="B1590" s="83"/>
      <c r="C1590" s="16">
        <v>46199</v>
      </c>
      <c r="D1590" s="82">
        <v>0</v>
      </c>
    </row>
    <row r="1591" spans="1:4" x14ac:dyDescent="0.3">
      <c r="A1591" s="83" t="s">
        <v>194</v>
      </c>
      <c r="B1591" s="83"/>
      <c r="C1591" s="16">
        <v>46199</v>
      </c>
      <c r="D1591" s="82">
        <v>0</v>
      </c>
    </row>
    <row r="1592" spans="1:4" x14ac:dyDescent="0.3">
      <c r="A1592" s="83" t="s">
        <v>195</v>
      </c>
      <c r="B1592" s="83"/>
      <c r="C1592" s="16">
        <v>46199</v>
      </c>
      <c r="D1592" s="82">
        <v>0</v>
      </c>
    </row>
    <row r="1593" spans="1:4" x14ac:dyDescent="0.3">
      <c r="A1593" s="83" t="s">
        <v>196</v>
      </c>
      <c r="B1593" s="83"/>
      <c r="C1593" s="16">
        <v>46199</v>
      </c>
      <c r="D1593" s="82">
        <v>0</v>
      </c>
    </row>
    <row r="1594" spans="1:4" x14ac:dyDescent="0.3">
      <c r="A1594" s="83" t="s">
        <v>197</v>
      </c>
      <c r="B1594" s="83"/>
      <c r="C1594" s="16">
        <v>46199</v>
      </c>
      <c r="D1594" s="82">
        <v>0</v>
      </c>
    </row>
    <row r="1595" spans="1:4" x14ac:dyDescent="0.3">
      <c r="A1595" s="83" t="s">
        <v>212</v>
      </c>
      <c r="B1595" s="83"/>
      <c r="C1595" s="16">
        <v>46199</v>
      </c>
      <c r="D1595" s="82">
        <v>0</v>
      </c>
    </row>
    <row r="1596" spans="1:4" x14ac:dyDescent="0.3">
      <c r="A1596" s="83" t="s">
        <v>199</v>
      </c>
      <c r="B1596" s="83"/>
      <c r="C1596" s="16">
        <v>46199</v>
      </c>
      <c r="D1596" s="82">
        <v>0</v>
      </c>
    </row>
    <row r="1597" spans="1:4" x14ac:dyDescent="0.3">
      <c r="A1597" s="83" t="s">
        <v>216</v>
      </c>
      <c r="B1597" s="83"/>
      <c r="C1597" s="16">
        <v>46199</v>
      </c>
      <c r="D1597" s="82">
        <v>0</v>
      </c>
    </row>
    <row r="1598" spans="1:4" x14ac:dyDescent="0.3">
      <c r="A1598" s="83" t="s">
        <v>17</v>
      </c>
      <c r="B1598" s="83"/>
      <c r="C1598" s="16">
        <v>46200</v>
      </c>
      <c r="D1598" s="82">
        <v>6288055.7100000009</v>
      </c>
    </row>
    <row r="1599" spans="1:4" x14ac:dyDescent="0.3">
      <c r="A1599" s="83" t="s">
        <v>18</v>
      </c>
      <c r="B1599" s="83"/>
      <c r="C1599" s="16">
        <v>46200</v>
      </c>
      <c r="D1599" s="82">
        <v>72386.190000000177</v>
      </c>
    </row>
    <row r="1600" spans="1:4" x14ac:dyDescent="0.3">
      <c r="A1600" s="83" t="s">
        <v>19</v>
      </c>
      <c r="B1600" s="83"/>
      <c r="C1600" s="16">
        <v>46200</v>
      </c>
      <c r="D1600" s="82">
        <v>1669.89</v>
      </c>
    </row>
    <row r="1601" spans="1:4" x14ac:dyDescent="0.3">
      <c r="A1601" s="83" t="s">
        <v>20</v>
      </c>
      <c r="B1601" s="83"/>
      <c r="C1601" s="16">
        <v>46200</v>
      </c>
      <c r="D1601" s="82">
        <v>472766.72999999986</v>
      </c>
    </row>
    <row r="1602" spans="1:4" x14ac:dyDescent="0.3">
      <c r="A1602" s="83" t="s">
        <v>21</v>
      </c>
      <c r="B1602" s="83"/>
      <c r="C1602" s="16">
        <v>46200</v>
      </c>
      <c r="D1602" s="82">
        <v>1932389.7199999993</v>
      </c>
    </row>
    <row r="1603" spans="1:4" x14ac:dyDescent="0.3">
      <c r="A1603" s="83" t="s">
        <v>22</v>
      </c>
      <c r="B1603" s="83"/>
      <c r="C1603" s="16">
        <v>46200</v>
      </c>
      <c r="D1603" s="82">
        <v>1396496.38</v>
      </c>
    </row>
    <row r="1604" spans="1:4" x14ac:dyDescent="0.3">
      <c r="A1604" s="83" t="s">
        <v>23</v>
      </c>
      <c r="B1604" s="83"/>
      <c r="C1604" s="16">
        <v>46200</v>
      </c>
      <c r="D1604" s="82">
        <v>330375.99000000005</v>
      </c>
    </row>
    <row r="1605" spans="1:4" x14ac:dyDescent="0.3">
      <c r="A1605" s="83" t="s">
        <v>24</v>
      </c>
      <c r="B1605" s="83"/>
      <c r="C1605" s="16">
        <v>46200</v>
      </c>
      <c r="D1605" s="82">
        <v>511.15999999999985</v>
      </c>
    </row>
    <row r="1606" spans="1:4" x14ac:dyDescent="0.3">
      <c r="A1606" s="83" t="s">
        <v>25</v>
      </c>
      <c r="B1606" s="83"/>
      <c r="C1606" s="16">
        <v>46200</v>
      </c>
      <c r="D1606" s="82">
        <v>84.35</v>
      </c>
    </row>
    <row r="1607" spans="1:4" x14ac:dyDescent="0.3">
      <c r="A1607" s="83" t="s">
        <v>26</v>
      </c>
      <c r="B1607" s="83"/>
      <c r="C1607" s="16">
        <v>46200</v>
      </c>
      <c r="D1607" s="82">
        <v>2237.77</v>
      </c>
    </row>
    <row r="1608" spans="1:4" x14ac:dyDescent="0.3">
      <c r="A1608" s="83" t="s">
        <v>27</v>
      </c>
      <c r="B1608" s="83"/>
      <c r="C1608" s="16">
        <v>46200</v>
      </c>
      <c r="D1608" s="82">
        <v>3349.94</v>
      </c>
    </row>
    <row r="1609" spans="1:4" x14ac:dyDescent="0.3">
      <c r="A1609" s="83" t="s">
        <v>28</v>
      </c>
      <c r="B1609" s="83"/>
      <c r="C1609" s="16">
        <v>46200</v>
      </c>
      <c r="D1609" s="82">
        <v>1968.99</v>
      </c>
    </row>
    <row r="1610" spans="1:4" x14ac:dyDescent="0.3">
      <c r="A1610" s="83" t="s">
        <v>29</v>
      </c>
      <c r="B1610" s="83"/>
      <c r="C1610" s="16">
        <v>46200</v>
      </c>
      <c r="D1610" s="82">
        <v>382.69000000000005</v>
      </c>
    </row>
    <row r="1611" spans="1:4" x14ac:dyDescent="0.3">
      <c r="A1611" s="83" t="s">
        <v>30</v>
      </c>
      <c r="B1611" s="83"/>
      <c r="C1611" s="16">
        <v>46200</v>
      </c>
      <c r="D1611" s="82">
        <v>1428.08</v>
      </c>
    </row>
    <row r="1612" spans="1:4" x14ac:dyDescent="0.3">
      <c r="A1612" s="83" t="s">
        <v>31</v>
      </c>
      <c r="B1612" s="83"/>
      <c r="C1612" s="16">
        <v>46200</v>
      </c>
      <c r="D1612" s="82">
        <v>31039.969999999961</v>
      </c>
    </row>
    <row r="1613" spans="1:4" x14ac:dyDescent="0.3">
      <c r="A1613" s="83" t="s">
        <v>32</v>
      </c>
      <c r="B1613" s="83"/>
      <c r="C1613" s="16">
        <v>46200</v>
      </c>
      <c r="D1613" s="82">
        <v>20321.43</v>
      </c>
    </row>
    <row r="1614" spans="1:4" x14ac:dyDescent="0.3">
      <c r="A1614" s="83" t="s">
        <v>33</v>
      </c>
      <c r="B1614" s="83"/>
      <c r="C1614" s="16">
        <v>46200</v>
      </c>
      <c r="D1614" s="82">
        <v>28458.6</v>
      </c>
    </row>
    <row r="1615" spans="1:4" x14ac:dyDescent="0.3">
      <c r="A1615" s="83" t="s">
        <v>34</v>
      </c>
      <c r="B1615" s="83"/>
      <c r="C1615" s="16">
        <v>46200</v>
      </c>
      <c r="D1615" s="82">
        <v>345</v>
      </c>
    </row>
    <row r="1616" spans="1:4" x14ac:dyDescent="0.3">
      <c r="A1616" s="83" t="s">
        <v>35</v>
      </c>
      <c r="B1616" s="83"/>
      <c r="C1616" s="16">
        <v>46200</v>
      </c>
      <c r="D1616" s="82">
        <v>29918.639999999999</v>
      </c>
    </row>
    <row r="1617" spans="1:4" x14ac:dyDescent="0.3">
      <c r="A1617" s="83" t="s">
        <v>193</v>
      </c>
      <c r="B1617" s="83"/>
      <c r="C1617" s="16">
        <v>46200</v>
      </c>
      <c r="D1617" s="82">
        <v>0</v>
      </c>
    </row>
    <row r="1618" spans="1:4" x14ac:dyDescent="0.3">
      <c r="A1618" s="83" t="s">
        <v>214</v>
      </c>
      <c r="B1618" s="83"/>
      <c r="C1618" s="16">
        <v>46200</v>
      </c>
      <c r="D1618" s="82">
        <v>0</v>
      </c>
    </row>
    <row r="1619" spans="1:4" x14ac:dyDescent="0.3">
      <c r="A1619" s="83" t="s">
        <v>194</v>
      </c>
      <c r="B1619" s="83"/>
      <c r="C1619" s="16">
        <v>46200</v>
      </c>
      <c r="D1619" s="82">
        <v>0</v>
      </c>
    </row>
    <row r="1620" spans="1:4" x14ac:dyDescent="0.3">
      <c r="A1620" s="83" t="s">
        <v>195</v>
      </c>
      <c r="B1620" s="83"/>
      <c r="C1620" s="16">
        <v>46200</v>
      </c>
      <c r="D1620" s="82">
        <v>0</v>
      </c>
    </row>
    <row r="1621" spans="1:4" x14ac:dyDescent="0.3">
      <c r="A1621" s="83" t="s">
        <v>196</v>
      </c>
      <c r="B1621" s="83"/>
      <c r="C1621" s="16">
        <v>46200</v>
      </c>
      <c r="D1621" s="82">
        <v>0</v>
      </c>
    </row>
    <row r="1622" spans="1:4" x14ac:dyDescent="0.3">
      <c r="A1622" s="83" t="s">
        <v>197</v>
      </c>
      <c r="B1622" s="83"/>
      <c r="C1622" s="16">
        <v>46200</v>
      </c>
      <c r="D1622" s="82">
        <v>0</v>
      </c>
    </row>
    <row r="1623" spans="1:4" x14ac:dyDescent="0.3">
      <c r="A1623" s="83" t="s">
        <v>212</v>
      </c>
      <c r="B1623" s="83"/>
      <c r="C1623" s="16">
        <v>46200</v>
      </c>
      <c r="D1623" s="82">
        <v>0</v>
      </c>
    </row>
    <row r="1624" spans="1:4" x14ac:dyDescent="0.3">
      <c r="A1624" s="83" t="s">
        <v>199</v>
      </c>
      <c r="B1624" s="83"/>
      <c r="C1624" s="16">
        <v>46200</v>
      </c>
      <c r="D1624" s="82">
        <v>0</v>
      </c>
    </row>
    <row r="1625" spans="1:4" x14ac:dyDescent="0.3">
      <c r="A1625" s="83" t="s">
        <v>216</v>
      </c>
      <c r="B1625" s="83"/>
      <c r="C1625" s="16">
        <v>46200</v>
      </c>
      <c r="D1625" s="82">
        <v>0</v>
      </c>
    </row>
    <row r="1626" spans="1:4" x14ac:dyDescent="0.3">
      <c r="A1626" s="83" t="s">
        <v>17</v>
      </c>
      <c r="B1626" s="83"/>
      <c r="C1626" s="16">
        <v>46201</v>
      </c>
      <c r="D1626" s="82">
        <v>6288055.7100000009</v>
      </c>
    </row>
    <row r="1627" spans="1:4" x14ac:dyDescent="0.3">
      <c r="A1627" s="83" t="s">
        <v>18</v>
      </c>
      <c r="B1627" s="83"/>
      <c r="C1627" s="16">
        <v>46201</v>
      </c>
      <c r="D1627" s="82">
        <v>72386.190000000177</v>
      </c>
    </row>
    <row r="1628" spans="1:4" x14ac:dyDescent="0.3">
      <c r="A1628" s="83" t="s">
        <v>19</v>
      </c>
      <c r="B1628" s="83"/>
      <c r="C1628" s="16">
        <v>46201</v>
      </c>
      <c r="D1628" s="82">
        <v>1669.89</v>
      </c>
    </row>
    <row r="1629" spans="1:4" x14ac:dyDescent="0.3">
      <c r="A1629" s="83" t="s">
        <v>20</v>
      </c>
      <c r="B1629" s="83"/>
      <c r="C1629" s="16">
        <v>46201</v>
      </c>
      <c r="D1629" s="82">
        <v>472766.72999999986</v>
      </c>
    </row>
    <row r="1630" spans="1:4" x14ac:dyDescent="0.3">
      <c r="A1630" s="83" t="s">
        <v>21</v>
      </c>
      <c r="B1630" s="83"/>
      <c r="C1630" s="16">
        <v>46201</v>
      </c>
      <c r="D1630" s="82">
        <v>1932389.7199999993</v>
      </c>
    </row>
    <row r="1631" spans="1:4" x14ac:dyDescent="0.3">
      <c r="A1631" s="83" t="s">
        <v>22</v>
      </c>
      <c r="B1631" s="83"/>
      <c r="C1631" s="16">
        <v>46201</v>
      </c>
      <c r="D1631" s="82">
        <v>1396496.38</v>
      </c>
    </row>
    <row r="1632" spans="1:4" x14ac:dyDescent="0.3">
      <c r="A1632" s="83" t="s">
        <v>23</v>
      </c>
      <c r="B1632" s="83"/>
      <c r="C1632" s="16">
        <v>46201</v>
      </c>
      <c r="D1632" s="82">
        <v>330375.99000000005</v>
      </c>
    </row>
    <row r="1633" spans="1:4" x14ac:dyDescent="0.3">
      <c r="A1633" s="83" t="s">
        <v>24</v>
      </c>
      <c r="B1633" s="83"/>
      <c r="C1633" s="16">
        <v>46201</v>
      </c>
      <c r="D1633" s="82">
        <v>511.15999999999985</v>
      </c>
    </row>
    <row r="1634" spans="1:4" x14ac:dyDescent="0.3">
      <c r="A1634" s="83" t="s">
        <v>25</v>
      </c>
      <c r="B1634" s="83"/>
      <c r="C1634" s="16">
        <v>46201</v>
      </c>
      <c r="D1634" s="82">
        <v>84.35</v>
      </c>
    </row>
    <row r="1635" spans="1:4" x14ac:dyDescent="0.3">
      <c r="A1635" s="83" t="s">
        <v>26</v>
      </c>
      <c r="B1635" s="83"/>
      <c r="C1635" s="16">
        <v>46201</v>
      </c>
      <c r="D1635" s="82">
        <v>2237.77</v>
      </c>
    </row>
    <row r="1636" spans="1:4" x14ac:dyDescent="0.3">
      <c r="A1636" s="83" t="s">
        <v>27</v>
      </c>
      <c r="B1636" s="83"/>
      <c r="C1636" s="16">
        <v>46201</v>
      </c>
      <c r="D1636" s="82">
        <v>3349.94</v>
      </c>
    </row>
    <row r="1637" spans="1:4" x14ac:dyDescent="0.3">
      <c r="A1637" s="83" t="s">
        <v>28</v>
      </c>
      <c r="B1637" s="83"/>
      <c r="C1637" s="16">
        <v>46201</v>
      </c>
      <c r="D1637" s="82">
        <v>1968.99</v>
      </c>
    </row>
    <row r="1638" spans="1:4" x14ac:dyDescent="0.3">
      <c r="A1638" s="83" t="s">
        <v>29</v>
      </c>
      <c r="B1638" s="83"/>
      <c r="C1638" s="16">
        <v>46201</v>
      </c>
      <c r="D1638" s="82">
        <v>382.69000000000005</v>
      </c>
    </row>
    <row r="1639" spans="1:4" x14ac:dyDescent="0.3">
      <c r="A1639" s="83" t="s">
        <v>30</v>
      </c>
      <c r="B1639" s="83"/>
      <c r="C1639" s="16">
        <v>46201</v>
      </c>
      <c r="D1639" s="82">
        <v>1428.08</v>
      </c>
    </row>
    <row r="1640" spans="1:4" x14ac:dyDescent="0.3">
      <c r="A1640" s="83" t="s">
        <v>31</v>
      </c>
      <c r="B1640" s="83"/>
      <c r="C1640" s="16">
        <v>46201</v>
      </c>
      <c r="D1640" s="82">
        <v>31039.969999999961</v>
      </c>
    </row>
    <row r="1641" spans="1:4" x14ac:dyDescent="0.3">
      <c r="A1641" s="83" t="s">
        <v>32</v>
      </c>
      <c r="B1641" s="83"/>
      <c r="C1641" s="16">
        <v>46201</v>
      </c>
      <c r="D1641" s="82">
        <v>20321.43</v>
      </c>
    </row>
    <row r="1642" spans="1:4" x14ac:dyDescent="0.3">
      <c r="A1642" s="83" t="s">
        <v>33</v>
      </c>
      <c r="B1642" s="83"/>
      <c r="C1642" s="16">
        <v>46201</v>
      </c>
      <c r="D1642" s="82">
        <v>28458.6</v>
      </c>
    </row>
    <row r="1643" spans="1:4" x14ac:dyDescent="0.3">
      <c r="A1643" s="83" t="s">
        <v>34</v>
      </c>
      <c r="B1643" s="83"/>
      <c r="C1643" s="16">
        <v>46201</v>
      </c>
      <c r="D1643" s="82">
        <v>345</v>
      </c>
    </row>
    <row r="1644" spans="1:4" x14ac:dyDescent="0.3">
      <c r="A1644" s="83" t="s">
        <v>35</v>
      </c>
      <c r="B1644" s="83"/>
      <c r="C1644" s="16">
        <v>46201</v>
      </c>
      <c r="D1644" s="82">
        <v>29918.639999999999</v>
      </c>
    </row>
    <row r="1645" spans="1:4" x14ac:dyDescent="0.3">
      <c r="A1645" s="83" t="s">
        <v>193</v>
      </c>
      <c r="B1645" s="83"/>
      <c r="C1645" s="16">
        <v>46201</v>
      </c>
      <c r="D1645" s="82">
        <v>0</v>
      </c>
    </row>
    <row r="1646" spans="1:4" x14ac:dyDescent="0.3">
      <c r="A1646" s="83" t="s">
        <v>214</v>
      </c>
      <c r="B1646" s="83"/>
      <c r="C1646" s="16">
        <v>46201</v>
      </c>
      <c r="D1646" s="82">
        <v>0</v>
      </c>
    </row>
    <row r="1647" spans="1:4" x14ac:dyDescent="0.3">
      <c r="A1647" s="83" t="s">
        <v>194</v>
      </c>
      <c r="B1647" s="83"/>
      <c r="C1647" s="16">
        <v>46201</v>
      </c>
      <c r="D1647" s="82">
        <v>0</v>
      </c>
    </row>
    <row r="1648" spans="1:4" x14ac:dyDescent="0.3">
      <c r="A1648" s="83" t="s">
        <v>195</v>
      </c>
      <c r="B1648" s="83"/>
      <c r="C1648" s="16">
        <v>46201</v>
      </c>
      <c r="D1648" s="82">
        <v>0</v>
      </c>
    </row>
    <row r="1649" spans="1:4" x14ac:dyDescent="0.3">
      <c r="A1649" s="83" t="s">
        <v>196</v>
      </c>
      <c r="B1649" s="83"/>
      <c r="C1649" s="16">
        <v>46201</v>
      </c>
      <c r="D1649" s="82">
        <v>0</v>
      </c>
    </row>
    <row r="1650" spans="1:4" x14ac:dyDescent="0.3">
      <c r="A1650" s="83" t="s">
        <v>197</v>
      </c>
      <c r="B1650" s="83"/>
      <c r="C1650" s="16">
        <v>46201</v>
      </c>
      <c r="D1650" s="82">
        <v>0</v>
      </c>
    </row>
    <row r="1651" spans="1:4" x14ac:dyDescent="0.3">
      <c r="A1651" s="83" t="s">
        <v>212</v>
      </c>
      <c r="B1651" s="83"/>
      <c r="C1651" s="16">
        <v>46201</v>
      </c>
      <c r="D1651" s="82">
        <v>0</v>
      </c>
    </row>
    <row r="1652" spans="1:4" x14ac:dyDescent="0.3">
      <c r="A1652" s="83" t="s">
        <v>199</v>
      </c>
      <c r="B1652" s="83"/>
      <c r="C1652" s="16">
        <v>46201</v>
      </c>
      <c r="D1652" s="82">
        <v>0</v>
      </c>
    </row>
    <row r="1653" spans="1:4" x14ac:dyDescent="0.3">
      <c r="A1653" s="83" t="s">
        <v>216</v>
      </c>
      <c r="B1653" s="83"/>
      <c r="C1653" s="16">
        <v>46201</v>
      </c>
      <c r="D1653" s="82">
        <v>0</v>
      </c>
    </row>
    <row r="1654" spans="1:4" x14ac:dyDescent="0.3">
      <c r="A1654" s="83" t="s">
        <v>17</v>
      </c>
      <c r="B1654" s="83"/>
      <c r="C1654" s="16">
        <v>46202</v>
      </c>
      <c r="D1654" s="82">
        <v>6299174.8100000015</v>
      </c>
    </row>
    <row r="1655" spans="1:4" x14ac:dyDescent="0.3">
      <c r="A1655" s="83" t="s">
        <v>18</v>
      </c>
      <c r="B1655" s="83"/>
      <c r="C1655" s="16">
        <v>46202</v>
      </c>
      <c r="D1655" s="82">
        <v>72386.190000000177</v>
      </c>
    </row>
    <row r="1656" spans="1:4" x14ac:dyDescent="0.3">
      <c r="A1656" s="83" t="s">
        <v>19</v>
      </c>
      <c r="B1656" s="83"/>
      <c r="C1656" s="16">
        <v>46202</v>
      </c>
      <c r="D1656" s="82">
        <v>1669.89</v>
      </c>
    </row>
    <row r="1657" spans="1:4" x14ac:dyDescent="0.3">
      <c r="A1657" s="83" t="s">
        <v>20</v>
      </c>
      <c r="B1657" s="83"/>
      <c r="C1657" s="16">
        <v>46202</v>
      </c>
      <c r="D1657" s="82">
        <v>489745.62999999989</v>
      </c>
    </row>
    <row r="1658" spans="1:4" x14ac:dyDescent="0.3">
      <c r="A1658" s="83" t="s">
        <v>21</v>
      </c>
      <c r="B1658" s="83"/>
      <c r="C1658" s="16">
        <v>46202</v>
      </c>
      <c r="D1658" s="82">
        <v>1768167.9199999995</v>
      </c>
    </row>
    <row r="1659" spans="1:4" x14ac:dyDescent="0.3">
      <c r="A1659" s="83" t="s">
        <v>22</v>
      </c>
      <c r="B1659" s="83"/>
      <c r="C1659" s="16">
        <v>46202</v>
      </c>
      <c r="D1659" s="82">
        <v>396496.38</v>
      </c>
    </row>
    <row r="1660" spans="1:4" x14ac:dyDescent="0.3">
      <c r="A1660" s="83" t="s">
        <v>23</v>
      </c>
      <c r="B1660" s="83"/>
      <c r="C1660" s="16">
        <v>46202</v>
      </c>
      <c r="D1660" s="82">
        <v>327405.99000000005</v>
      </c>
    </row>
    <row r="1661" spans="1:4" x14ac:dyDescent="0.3">
      <c r="A1661" s="83" t="s">
        <v>24</v>
      </c>
      <c r="B1661" s="83"/>
      <c r="C1661" s="16">
        <v>46202</v>
      </c>
      <c r="D1661" s="82">
        <v>511.15999999999985</v>
      </c>
    </row>
    <row r="1662" spans="1:4" x14ac:dyDescent="0.3">
      <c r="A1662" s="83" t="s">
        <v>25</v>
      </c>
      <c r="B1662" s="83"/>
      <c r="C1662" s="16">
        <v>46202</v>
      </c>
      <c r="D1662" s="82">
        <v>84.35</v>
      </c>
    </row>
    <row r="1663" spans="1:4" x14ac:dyDescent="0.3">
      <c r="A1663" s="83" t="s">
        <v>26</v>
      </c>
      <c r="B1663" s="83"/>
      <c r="C1663" s="16">
        <v>46202</v>
      </c>
      <c r="D1663" s="82">
        <v>2237.77</v>
      </c>
    </row>
    <row r="1664" spans="1:4" x14ac:dyDescent="0.3">
      <c r="A1664" s="83" t="s">
        <v>27</v>
      </c>
      <c r="B1664" s="83"/>
      <c r="C1664" s="16">
        <v>46202</v>
      </c>
      <c r="D1664" s="82">
        <v>3349.94</v>
      </c>
    </row>
    <row r="1665" spans="1:4" x14ac:dyDescent="0.3">
      <c r="A1665" s="83" t="s">
        <v>28</v>
      </c>
      <c r="B1665" s="83"/>
      <c r="C1665" s="16">
        <v>46202</v>
      </c>
      <c r="D1665" s="82">
        <v>1968.99</v>
      </c>
    </row>
    <row r="1666" spans="1:4" x14ac:dyDescent="0.3">
      <c r="A1666" s="83" t="s">
        <v>29</v>
      </c>
      <c r="B1666" s="83"/>
      <c r="C1666" s="16">
        <v>46202</v>
      </c>
      <c r="D1666" s="82">
        <v>382.69000000000005</v>
      </c>
    </row>
    <row r="1667" spans="1:4" x14ac:dyDescent="0.3">
      <c r="A1667" s="83" t="s">
        <v>30</v>
      </c>
      <c r="B1667" s="83"/>
      <c r="C1667" s="16">
        <v>46202</v>
      </c>
      <c r="D1667" s="82">
        <v>1428.08</v>
      </c>
    </row>
    <row r="1668" spans="1:4" x14ac:dyDescent="0.3">
      <c r="A1668" s="83" t="s">
        <v>31</v>
      </c>
      <c r="B1668" s="83"/>
      <c r="C1668" s="16">
        <v>46202</v>
      </c>
      <c r="D1668" s="82">
        <v>31039.969999999961</v>
      </c>
    </row>
    <row r="1669" spans="1:4" x14ac:dyDescent="0.3">
      <c r="A1669" s="83" t="s">
        <v>32</v>
      </c>
      <c r="B1669" s="83"/>
      <c r="C1669" s="16">
        <v>46202</v>
      </c>
      <c r="D1669" s="82">
        <v>20321.43</v>
      </c>
    </row>
    <row r="1670" spans="1:4" x14ac:dyDescent="0.3">
      <c r="A1670" s="83" t="s">
        <v>33</v>
      </c>
      <c r="B1670" s="83"/>
      <c r="C1670" s="16">
        <v>46202</v>
      </c>
      <c r="D1670" s="82">
        <v>28458.6</v>
      </c>
    </row>
    <row r="1671" spans="1:4" x14ac:dyDescent="0.3">
      <c r="A1671" s="83" t="s">
        <v>34</v>
      </c>
      <c r="B1671" s="83"/>
      <c r="C1671" s="16">
        <v>46202</v>
      </c>
      <c r="D1671" s="82">
        <v>345</v>
      </c>
    </row>
    <row r="1672" spans="1:4" x14ac:dyDescent="0.3">
      <c r="A1672" s="83" t="s">
        <v>35</v>
      </c>
      <c r="B1672" s="83"/>
      <c r="C1672" s="16">
        <v>46202</v>
      </c>
      <c r="D1672" s="82">
        <v>23872.78</v>
      </c>
    </row>
    <row r="1673" spans="1:4" x14ac:dyDescent="0.3">
      <c r="A1673" s="83" t="s">
        <v>193</v>
      </c>
      <c r="B1673" s="83"/>
      <c r="C1673" s="16">
        <v>46202</v>
      </c>
      <c r="D1673" s="82">
        <v>0</v>
      </c>
    </row>
    <row r="1674" spans="1:4" x14ac:dyDescent="0.3">
      <c r="A1674" s="83" t="s">
        <v>214</v>
      </c>
      <c r="B1674" s="83"/>
      <c r="C1674" s="16">
        <v>46202</v>
      </c>
      <c r="D1674" s="82">
        <v>0</v>
      </c>
    </row>
    <row r="1675" spans="1:4" x14ac:dyDescent="0.3">
      <c r="A1675" s="83" t="s">
        <v>194</v>
      </c>
      <c r="B1675" s="83"/>
      <c r="C1675" s="16">
        <v>46202</v>
      </c>
      <c r="D1675" s="82">
        <v>0</v>
      </c>
    </row>
    <row r="1676" spans="1:4" x14ac:dyDescent="0.3">
      <c r="A1676" s="83" t="s">
        <v>195</v>
      </c>
      <c r="B1676" s="83"/>
      <c r="C1676" s="16">
        <v>46202</v>
      </c>
      <c r="D1676" s="82">
        <v>0</v>
      </c>
    </row>
    <row r="1677" spans="1:4" x14ac:dyDescent="0.3">
      <c r="A1677" s="83" t="s">
        <v>196</v>
      </c>
      <c r="B1677" s="83"/>
      <c r="C1677" s="16">
        <v>46202</v>
      </c>
      <c r="D1677" s="82">
        <v>0</v>
      </c>
    </row>
    <row r="1678" spans="1:4" x14ac:dyDescent="0.3">
      <c r="A1678" s="83" t="s">
        <v>197</v>
      </c>
      <c r="B1678" s="83"/>
      <c r="C1678" s="16">
        <v>46202</v>
      </c>
      <c r="D1678" s="82">
        <v>0</v>
      </c>
    </row>
    <row r="1679" spans="1:4" x14ac:dyDescent="0.3">
      <c r="A1679" s="83" t="s">
        <v>212</v>
      </c>
      <c r="B1679" s="83"/>
      <c r="C1679" s="16">
        <v>46202</v>
      </c>
      <c r="D1679" s="82">
        <v>0</v>
      </c>
    </row>
    <row r="1680" spans="1:4" x14ac:dyDescent="0.3">
      <c r="A1680" s="83" t="s">
        <v>199</v>
      </c>
      <c r="B1680" s="83"/>
      <c r="C1680" s="16">
        <v>46202</v>
      </c>
      <c r="D1680" s="82">
        <v>0</v>
      </c>
    </row>
    <row r="1681" spans="1:4" x14ac:dyDescent="0.3">
      <c r="A1681" s="83" t="s">
        <v>216</v>
      </c>
      <c r="B1681" s="83"/>
      <c r="C1681" s="16">
        <v>46202</v>
      </c>
      <c r="D1681" s="82">
        <v>0</v>
      </c>
    </row>
    <row r="1682" spans="1:4" x14ac:dyDescent="0.3">
      <c r="A1682" s="83" t="s">
        <v>17</v>
      </c>
      <c r="B1682" s="83"/>
      <c r="C1682" s="16">
        <v>46203</v>
      </c>
      <c r="D1682" s="82">
        <v>6295585.7500000009</v>
      </c>
    </row>
    <row r="1683" spans="1:4" x14ac:dyDescent="0.3">
      <c r="A1683" s="83" t="s">
        <v>18</v>
      </c>
      <c r="B1683" s="83"/>
      <c r="C1683" s="16">
        <v>46203</v>
      </c>
      <c r="D1683" s="82">
        <v>79139.680000000168</v>
      </c>
    </row>
    <row r="1684" spans="1:4" x14ac:dyDescent="0.3">
      <c r="A1684" s="83" t="s">
        <v>19</v>
      </c>
      <c r="B1684" s="83"/>
      <c r="C1684" s="16">
        <v>46203</v>
      </c>
      <c r="D1684" s="82">
        <v>1669.89</v>
      </c>
    </row>
    <row r="1685" spans="1:4" x14ac:dyDescent="0.3">
      <c r="A1685" s="83" t="s">
        <v>20</v>
      </c>
      <c r="B1685" s="83"/>
      <c r="C1685" s="16">
        <v>46203</v>
      </c>
      <c r="D1685" s="82">
        <v>489745.62999999989</v>
      </c>
    </row>
    <row r="1686" spans="1:4" x14ac:dyDescent="0.3">
      <c r="A1686" s="83" t="s">
        <v>21</v>
      </c>
      <c r="B1686" s="83"/>
      <c r="C1686" s="16">
        <v>46203</v>
      </c>
      <c r="D1686" s="82">
        <v>1696284.7299999995</v>
      </c>
    </row>
    <row r="1687" spans="1:4" x14ac:dyDescent="0.3">
      <c r="A1687" s="83" t="s">
        <v>22</v>
      </c>
      <c r="B1687" s="83"/>
      <c r="C1687" s="16">
        <v>46203</v>
      </c>
      <c r="D1687" s="82">
        <v>390496.38</v>
      </c>
    </row>
    <row r="1688" spans="1:4" x14ac:dyDescent="0.3">
      <c r="A1688" s="83" t="s">
        <v>23</v>
      </c>
      <c r="B1688" s="83"/>
      <c r="C1688" s="16">
        <v>46203</v>
      </c>
      <c r="D1688" s="82">
        <v>267503.99000000005</v>
      </c>
    </row>
    <row r="1689" spans="1:4" x14ac:dyDescent="0.3">
      <c r="A1689" s="83" t="s">
        <v>24</v>
      </c>
      <c r="B1689" s="83"/>
      <c r="C1689" s="16">
        <v>46203</v>
      </c>
      <c r="D1689" s="82">
        <v>511.15999999999985</v>
      </c>
    </row>
    <row r="1690" spans="1:4" x14ac:dyDescent="0.3">
      <c r="A1690" s="83" t="s">
        <v>25</v>
      </c>
      <c r="B1690" s="83"/>
      <c r="C1690" s="16">
        <v>46203</v>
      </c>
      <c r="D1690" s="82">
        <v>84.35</v>
      </c>
    </row>
    <row r="1691" spans="1:4" x14ac:dyDescent="0.3">
      <c r="A1691" s="83" t="s">
        <v>26</v>
      </c>
      <c r="B1691" s="83"/>
      <c r="C1691" s="16">
        <v>46203</v>
      </c>
      <c r="D1691" s="82">
        <v>2237.77</v>
      </c>
    </row>
    <row r="1692" spans="1:4" x14ac:dyDescent="0.3">
      <c r="A1692" s="83" t="s">
        <v>27</v>
      </c>
      <c r="B1692" s="83"/>
      <c r="C1692" s="16">
        <v>46203</v>
      </c>
      <c r="D1692" s="82">
        <v>3349.94</v>
      </c>
    </row>
    <row r="1693" spans="1:4" x14ac:dyDescent="0.3">
      <c r="A1693" s="83" t="s">
        <v>28</v>
      </c>
      <c r="B1693" s="83"/>
      <c r="C1693" s="16">
        <v>46203</v>
      </c>
      <c r="D1693" s="82">
        <v>1968.99</v>
      </c>
    </row>
    <row r="1694" spans="1:4" x14ac:dyDescent="0.3">
      <c r="A1694" s="83" t="s">
        <v>29</v>
      </c>
      <c r="B1694" s="83"/>
      <c r="C1694" s="16">
        <v>46203</v>
      </c>
      <c r="D1694" s="82">
        <v>382.69000000000005</v>
      </c>
    </row>
    <row r="1695" spans="1:4" x14ac:dyDescent="0.3">
      <c r="A1695" s="83" t="s">
        <v>30</v>
      </c>
      <c r="B1695" s="83"/>
      <c r="C1695" s="16">
        <v>46203</v>
      </c>
      <c r="D1695" s="82">
        <v>1428.08</v>
      </c>
    </row>
    <row r="1696" spans="1:4" x14ac:dyDescent="0.3">
      <c r="A1696" s="83" t="s">
        <v>31</v>
      </c>
      <c r="B1696" s="83"/>
      <c r="C1696" s="16">
        <v>46203</v>
      </c>
      <c r="D1696" s="82">
        <v>31039.969999999961</v>
      </c>
    </row>
    <row r="1697" spans="1:4" x14ac:dyDescent="0.3">
      <c r="A1697" s="83" t="s">
        <v>32</v>
      </c>
      <c r="B1697" s="83"/>
      <c r="C1697" s="16">
        <v>46203</v>
      </c>
      <c r="D1697" s="82">
        <v>20321.43</v>
      </c>
    </row>
    <row r="1698" spans="1:4" x14ac:dyDescent="0.3">
      <c r="A1698" s="83" t="s">
        <v>33</v>
      </c>
      <c r="B1698" s="83"/>
      <c r="C1698" s="16">
        <v>46203</v>
      </c>
      <c r="D1698" s="82">
        <v>28458.6</v>
      </c>
    </row>
    <row r="1699" spans="1:4" x14ac:dyDescent="0.3">
      <c r="A1699" s="83" t="s">
        <v>34</v>
      </c>
      <c r="B1699" s="83"/>
      <c r="C1699" s="16">
        <v>46203</v>
      </c>
      <c r="D1699" s="82">
        <v>345</v>
      </c>
    </row>
    <row r="1700" spans="1:4" x14ac:dyDescent="0.3">
      <c r="A1700" s="83" t="s">
        <v>35</v>
      </c>
      <c r="B1700" s="83"/>
      <c r="C1700" s="16">
        <v>46203</v>
      </c>
      <c r="D1700" s="82">
        <v>23872.78</v>
      </c>
    </row>
    <row r="1701" spans="1:4" x14ac:dyDescent="0.3">
      <c r="A1701" s="83" t="s">
        <v>193</v>
      </c>
      <c r="B1701" s="83"/>
      <c r="C1701" s="16">
        <v>46203</v>
      </c>
      <c r="D1701" s="82">
        <v>0</v>
      </c>
    </row>
    <row r="1702" spans="1:4" x14ac:dyDescent="0.3">
      <c r="A1702" s="83" t="s">
        <v>214</v>
      </c>
      <c r="B1702" s="83"/>
      <c r="C1702" s="16">
        <v>46203</v>
      </c>
      <c r="D1702" s="82">
        <v>0</v>
      </c>
    </row>
    <row r="1703" spans="1:4" x14ac:dyDescent="0.3">
      <c r="A1703" s="83" t="s">
        <v>194</v>
      </c>
      <c r="B1703" s="83"/>
      <c r="C1703" s="16">
        <v>46203</v>
      </c>
      <c r="D1703" s="82">
        <v>0</v>
      </c>
    </row>
    <row r="1704" spans="1:4" x14ac:dyDescent="0.3">
      <c r="A1704" s="83" t="s">
        <v>195</v>
      </c>
      <c r="B1704" s="83"/>
      <c r="C1704" s="16">
        <v>46203</v>
      </c>
      <c r="D1704" s="82">
        <v>0</v>
      </c>
    </row>
    <row r="1705" spans="1:4" x14ac:dyDescent="0.3">
      <c r="A1705" s="83" t="s">
        <v>196</v>
      </c>
      <c r="B1705" s="83"/>
      <c r="C1705" s="16">
        <v>46203</v>
      </c>
      <c r="D1705" s="82">
        <v>0</v>
      </c>
    </row>
    <row r="1706" spans="1:4" x14ac:dyDescent="0.3">
      <c r="A1706" s="83" t="s">
        <v>197</v>
      </c>
      <c r="B1706" s="83"/>
      <c r="C1706" s="16">
        <v>46203</v>
      </c>
      <c r="D1706" s="82">
        <v>0</v>
      </c>
    </row>
    <row r="1707" spans="1:4" x14ac:dyDescent="0.3">
      <c r="A1707" s="83" t="s">
        <v>212</v>
      </c>
      <c r="B1707" s="83"/>
      <c r="C1707" s="16">
        <v>46203</v>
      </c>
      <c r="D1707" s="82">
        <v>0</v>
      </c>
    </row>
    <row r="1708" spans="1:4" x14ac:dyDescent="0.3">
      <c r="A1708" s="83" t="s">
        <v>199</v>
      </c>
      <c r="B1708" s="83"/>
      <c r="C1708" s="16">
        <v>46203</v>
      </c>
      <c r="D1708" s="82">
        <v>0</v>
      </c>
    </row>
    <row r="1709" spans="1:4" x14ac:dyDescent="0.3">
      <c r="A1709" s="83" t="s">
        <v>216</v>
      </c>
      <c r="B1709" s="83"/>
      <c r="C1709" s="16">
        <v>46203</v>
      </c>
      <c r="D1709" s="82">
        <v>0</v>
      </c>
    </row>
    <row r="1710" spans="1:4" x14ac:dyDescent="0.3">
      <c r="A1710" s="83" t="s">
        <v>17</v>
      </c>
      <c r="B1710" s="83"/>
      <c r="C1710" s="16">
        <v>46204</v>
      </c>
      <c r="D1710" s="82">
        <v>6295585.7500000009</v>
      </c>
    </row>
    <row r="1711" spans="1:4" x14ac:dyDescent="0.3">
      <c r="A1711" s="83" t="s">
        <v>18</v>
      </c>
      <c r="B1711" s="83"/>
      <c r="C1711" s="16">
        <v>46204</v>
      </c>
      <c r="D1711" s="82">
        <v>79139.680000000168</v>
      </c>
    </row>
    <row r="1712" spans="1:4" x14ac:dyDescent="0.3">
      <c r="A1712" s="83" t="s">
        <v>19</v>
      </c>
      <c r="B1712" s="83"/>
      <c r="C1712" s="16">
        <v>46204</v>
      </c>
      <c r="D1712" s="82">
        <v>1669.89</v>
      </c>
    </row>
    <row r="1713" spans="1:4" x14ac:dyDescent="0.3">
      <c r="A1713" s="83" t="s">
        <v>20</v>
      </c>
      <c r="B1713" s="83"/>
      <c r="C1713" s="16">
        <v>46204</v>
      </c>
      <c r="D1713" s="82">
        <v>507936.37999999989</v>
      </c>
    </row>
    <row r="1714" spans="1:4" x14ac:dyDescent="0.3">
      <c r="A1714" s="83" t="s">
        <v>21</v>
      </c>
      <c r="B1714" s="83"/>
      <c r="C1714" s="16">
        <v>46204</v>
      </c>
      <c r="D1714" s="82">
        <v>1696284.7299999995</v>
      </c>
    </row>
    <row r="1715" spans="1:4" x14ac:dyDescent="0.3">
      <c r="A1715" s="83" t="s">
        <v>22</v>
      </c>
      <c r="B1715" s="83"/>
      <c r="C1715" s="16">
        <v>46204</v>
      </c>
      <c r="D1715" s="82">
        <v>390496.38</v>
      </c>
    </row>
    <row r="1716" spans="1:4" x14ac:dyDescent="0.3">
      <c r="A1716" s="83" t="s">
        <v>23</v>
      </c>
      <c r="B1716" s="83"/>
      <c r="C1716" s="16">
        <v>46204</v>
      </c>
      <c r="D1716" s="82">
        <v>267503.99000000005</v>
      </c>
    </row>
    <row r="1717" spans="1:4" x14ac:dyDescent="0.3">
      <c r="A1717" s="83" t="s">
        <v>24</v>
      </c>
      <c r="B1717" s="83"/>
      <c r="C1717" s="16">
        <v>46204</v>
      </c>
      <c r="D1717" s="82">
        <v>511.15999999999985</v>
      </c>
    </row>
    <row r="1718" spans="1:4" x14ac:dyDescent="0.3">
      <c r="A1718" s="83" t="s">
        <v>25</v>
      </c>
      <c r="B1718" s="83"/>
      <c r="C1718" s="16">
        <v>46204</v>
      </c>
      <c r="D1718" s="82">
        <v>54.400000000000006</v>
      </c>
    </row>
    <row r="1719" spans="1:4" x14ac:dyDescent="0.3">
      <c r="A1719" s="83" t="s">
        <v>26</v>
      </c>
      <c r="B1719" s="83"/>
      <c r="C1719" s="16">
        <v>46204</v>
      </c>
      <c r="D1719" s="82">
        <v>2207.8200000000002</v>
      </c>
    </row>
    <row r="1720" spans="1:4" x14ac:dyDescent="0.3">
      <c r="A1720" s="83" t="s">
        <v>27</v>
      </c>
      <c r="B1720" s="83"/>
      <c r="C1720" s="16">
        <v>46204</v>
      </c>
      <c r="D1720" s="82">
        <v>3349.94</v>
      </c>
    </row>
    <row r="1721" spans="1:4" x14ac:dyDescent="0.3">
      <c r="A1721" s="83" t="s">
        <v>28</v>
      </c>
      <c r="B1721" s="83"/>
      <c r="C1721" s="16">
        <v>46204</v>
      </c>
      <c r="D1721" s="82">
        <v>1968.99</v>
      </c>
    </row>
    <row r="1722" spans="1:4" x14ac:dyDescent="0.3">
      <c r="A1722" s="83" t="s">
        <v>29</v>
      </c>
      <c r="B1722" s="83"/>
      <c r="C1722" s="16">
        <v>46204</v>
      </c>
      <c r="D1722" s="82">
        <v>382.69000000000005</v>
      </c>
    </row>
    <row r="1723" spans="1:4" x14ac:dyDescent="0.3">
      <c r="A1723" s="83" t="s">
        <v>30</v>
      </c>
      <c r="B1723" s="83"/>
      <c r="C1723" s="16">
        <v>46204</v>
      </c>
      <c r="D1723" s="82">
        <v>1412.08</v>
      </c>
    </row>
    <row r="1724" spans="1:4" x14ac:dyDescent="0.3">
      <c r="A1724" s="83" t="s">
        <v>31</v>
      </c>
      <c r="B1724" s="83"/>
      <c r="C1724" s="16">
        <v>46204</v>
      </c>
      <c r="D1724" s="82">
        <v>22496.639999999959</v>
      </c>
    </row>
    <row r="1725" spans="1:4" x14ac:dyDescent="0.3">
      <c r="A1725" s="83" t="s">
        <v>32</v>
      </c>
      <c r="B1725" s="83"/>
      <c r="C1725" s="16">
        <v>46204</v>
      </c>
      <c r="D1725" s="82">
        <v>10522.800000000003</v>
      </c>
    </row>
    <row r="1726" spans="1:4" x14ac:dyDescent="0.3">
      <c r="A1726" s="83" t="s">
        <v>33</v>
      </c>
      <c r="B1726" s="83"/>
      <c r="C1726" s="16">
        <v>46204</v>
      </c>
      <c r="D1726" s="82">
        <v>19685.559999999998</v>
      </c>
    </row>
    <row r="1727" spans="1:4" x14ac:dyDescent="0.3">
      <c r="A1727" s="83" t="s">
        <v>34</v>
      </c>
      <c r="B1727" s="83"/>
      <c r="C1727" s="16">
        <v>46204</v>
      </c>
      <c r="D1727" s="82">
        <v>345</v>
      </c>
    </row>
    <row r="1728" spans="1:4" x14ac:dyDescent="0.3">
      <c r="A1728" s="83" t="s">
        <v>35</v>
      </c>
      <c r="B1728" s="83"/>
      <c r="C1728" s="16">
        <v>46204</v>
      </c>
      <c r="D1728" s="82">
        <v>23439.279999999999</v>
      </c>
    </row>
    <row r="1729" spans="1:4" x14ac:dyDescent="0.3">
      <c r="A1729" s="83" t="s">
        <v>193</v>
      </c>
      <c r="B1729" s="83"/>
      <c r="C1729" s="16">
        <v>46204</v>
      </c>
      <c r="D1729" s="82">
        <v>0</v>
      </c>
    </row>
    <row r="1730" spans="1:4" x14ac:dyDescent="0.3">
      <c r="A1730" s="83" t="s">
        <v>214</v>
      </c>
      <c r="B1730" s="83"/>
      <c r="C1730" s="16">
        <v>46204</v>
      </c>
      <c r="D1730" s="82">
        <v>0</v>
      </c>
    </row>
    <row r="1731" spans="1:4" x14ac:dyDescent="0.3">
      <c r="A1731" s="83" t="s">
        <v>194</v>
      </c>
      <c r="B1731" s="83"/>
      <c r="C1731" s="16">
        <v>46204</v>
      </c>
      <c r="D1731" s="82">
        <v>0</v>
      </c>
    </row>
    <row r="1732" spans="1:4" x14ac:dyDescent="0.3">
      <c r="A1732" s="83" t="s">
        <v>195</v>
      </c>
      <c r="B1732" s="83"/>
      <c r="C1732" s="16">
        <v>46204</v>
      </c>
      <c r="D1732" s="82">
        <v>0</v>
      </c>
    </row>
    <row r="1733" spans="1:4" x14ac:dyDescent="0.3">
      <c r="A1733" s="83" t="s">
        <v>196</v>
      </c>
      <c r="B1733" s="83"/>
      <c r="C1733" s="16">
        <v>46204</v>
      </c>
      <c r="D1733" s="82">
        <v>0</v>
      </c>
    </row>
    <row r="1734" spans="1:4" x14ac:dyDescent="0.3">
      <c r="A1734" s="83" t="s">
        <v>197</v>
      </c>
      <c r="B1734" s="83"/>
      <c r="C1734" s="16">
        <v>46204</v>
      </c>
      <c r="D1734" s="82">
        <v>0</v>
      </c>
    </row>
    <row r="1735" spans="1:4" x14ac:dyDescent="0.3">
      <c r="A1735" s="83" t="s">
        <v>212</v>
      </c>
      <c r="B1735" s="83"/>
      <c r="C1735" s="16">
        <v>46204</v>
      </c>
      <c r="D1735" s="82">
        <v>0</v>
      </c>
    </row>
    <row r="1736" spans="1:4" x14ac:dyDescent="0.3">
      <c r="A1736" s="83" t="s">
        <v>199</v>
      </c>
      <c r="B1736" s="83"/>
      <c r="C1736" s="16">
        <v>46204</v>
      </c>
      <c r="D1736" s="82">
        <v>0</v>
      </c>
    </row>
    <row r="1737" spans="1:4" x14ac:dyDescent="0.3">
      <c r="A1737" s="83" t="s">
        <v>216</v>
      </c>
      <c r="B1737" s="83"/>
      <c r="C1737" s="16">
        <v>46204</v>
      </c>
      <c r="D1737" s="82">
        <v>0</v>
      </c>
    </row>
    <row r="1738" spans="1:4" x14ac:dyDescent="0.3">
      <c r="A1738" s="83" t="s">
        <v>17</v>
      </c>
      <c r="B1738" s="83"/>
      <c r="C1738" s="16">
        <v>46205</v>
      </c>
      <c r="D1738" s="82">
        <v>5592585.7500000009</v>
      </c>
    </row>
    <row r="1739" spans="1:4" x14ac:dyDescent="0.3">
      <c r="A1739" s="83" t="s">
        <v>18</v>
      </c>
      <c r="B1739" s="83"/>
      <c r="C1739" s="16">
        <v>46205</v>
      </c>
      <c r="D1739" s="82">
        <v>79139.680000000168</v>
      </c>
    </row>
    <row r="1740" spans="1:4" x14ac:dyDescent="0.3">
      <c r="A1740" s="83" t="s">
        <v>19</v>
      </c>
      <c r="B1740" s="83"/>
      <c r="C1740" s="16">
        <v>46205</v>
      </c>
      <c r="D1740" s="82">
        <v>1669.89</v>
      </c>
    </row>
    <row r="1741" spans="1:4" x14ac:dyDescent="0.3">
      <c r="A1741" s="83" t="s">
        <v>20</v>
      </c>
      <c r="B1741" s="83"/>
      <c r="C1741" s="16">
        <v>46205</v>
      </c>
      <c r="D1741" s="82">
        <v>350475.62999999989</v>
      </c>
    </row>
    <row r="1742" spans="1:4" x14ac:dyDescent="0.3">
      <c r="A1742" s="83" t="s">
        <v>21</v>
      </c>
      <c r="B1742" s="83"/>
      <c r="C1742" s="16">
        <v>46205</v>
      </c>
      <c r="D1742" s="82">
        <v>1761564.8799999994</v>
      </c>
    </row>
    <row r="1743" spans="1:4" x14ac:dyDescent="0.3">
      <c r="A1743" s="83" t="s">
        <v>22</v>
      </c>
      <c r="B1743" s="83"/>
      <c r="C1743" s="16">
        <v>46205</v>
      </c>
      <c r="D1743" s="82">
        <v>220496.38</v>
      </c>
    </row>
    <row r="1744" spans="1:4" x14ac:dyDescent="0.3">
      <c r="A1744" s="83" t="s">
        <v>23</v>
      </c>
      <c r="B1744" s="83"/>
      <c r="C1744" s="16">
        <v>46205</v>
      </c>
      <c r="D1744" s="82">
        <v>267503.99000000005</v>
      </c>
    </row>
    <row r="1745" spans="1:4" x14ac:dyDescent="0.3">
      <c r="A1745" s="83" t="s">
        <v>24</v>
      </c>
      <c r="B1745" s="83"/>
      <c r="C1745" s="16">
        <v>46205</v>
      </c>
      <c r="D1745" s="82">
        <v>511.15999999999985</v>
      </c>
    </row>
    <row r="1746" spans="1:4" x14ac:dyDescent="0.3">
      <c r="A1746" s="83" t="s">
        <v>25</v>
      </c>
      <c r="B1746" s="83"/>
      <c r="C1746" s="16">
        <v>46205</v>
      </c>
      <c r="D1746" s="82">
        <v>54.400000000000006</v>
      </c>
    </row>
    <row r="1747" spans="1:4" x14ac:dyDescent="0.3">
      <c r="A1747" s="83" t="s">
        <v>26</v>
      </c>
      <c r="B1747" s="83"/>
      <c r="C1747" s="16">
        <v>46205</v>
      </c>
      <c r="D1747" s="82">
        <v>2207.8200000000002</v>
      </c>
    </row>
    <row r="1748" spans="1:4" x14ac:dyDescent="0.3">
      <c r="A1748" s="83" t="s">
        <v>27</v>
      </c>
      <c r="B1748" s="83"/>
      <c r="C1748" s="16">
        <v>46205</v>
      </c>
      <c r="D1748" s="82">
        <v>3349.94</v>
      </c>
    </row>
    <row r="1749" spans="1:4" x14ac:dyDescent="0.3">
      <c r="A1749" s="83" t="s">
        <v>28</v>
      </c>
      <c r="B1749" s="83"/>
      <c r="C1749" s="16">
        <v>46205</v>
      </c>
      <c r="D1749" s="82">
        <v>1968.99</v>
      </c>
    </row>
    <row r="1750" spans="1:4" x14ac:dyDescent="0.3">
      <c r="A1750" s="83" t="s">
        <v>29</v>
      </c>
      <c r="B1750" s="83"/>
      <c r="C1750" s="16">
        <v>46205</v>
      </c>
      <c r="D1750" s="82">
        <v>382.69000000000005</v>
      </c>
    </row>
    <row r="1751" spans="1:4" x14ac:dyDescent="0.3">
      <c r="A1751" s="83" t="s">
        <v>30</v>
      </c>
      <c r="B1751" s="83"/>
      <c r="C1751" s="16">
        <v>46205</v>
      </c>
      <c r="D1751" s="82">
        <v>1412.08</v>
      </c>
    </row>
    <row r="1752" spans="1:4" x14ac:dyDescent="0.3">
      <c r="A1752" s="83" t="s">
        <v>31</v>
      </c>
      <c r="B1752" s="83"/>
      <c r="C1752" s="16">
        <v>46205</v>
      </c>
      <c r="D1752" s="82">
        <v>22496.639999999959</v>
      </c>
    </row>
    <row r="1753" spans="1:4" x14ac:dyDescent="0.3">
      <c r="A1753" s="83" t="s">
        <v>32</v>
      </c>
      <c r="B1753" s="83"/>
      <c r="C1753" s="16">
        <v>46205</v>
      </c>
      <c r="D1753" s="82">
        <v>10522.800000000003</v>
      </c>
    </row>
    <row r="1754" spans="1:4" x14ac:dyDescent="0.3">
      <c r="A1754" s="83" t="s">
        <v>33</v>
      </c>
      <c r="B1754" s="83"/>
      <c r="C1754" s="16">
        <v>46205</v>
      </c>
      <c r="D1754" s="82">
        <v>28485.559999999998</v>
      </c>
    </row>
    <row r="1755" spans="1:4" x14ac:dyDescent="0.3">
      <c r="A1755" s="83" t="s">
        <v>34</v>
      </c>
      <c r="B1755" s="83"/>
      <c r="C1755" s="16">
        <v>46205</v>
      </c>
      <c r="D1755" s="82">
        <v>345</v>
      </c>
    </row>
    <row r="1756" spans="1:4" x14ac:dyDescent="0.3">
      <c r="A1756" s="83" t="s">
        <v>35</v>
      </c>
      <c r="B1756" s="83"/>
      <c r="C1756" s="16">
        <v>46205</v>
      </c>
      <c r="D1756" s="82">
        <v>36241.22</v>
      </c>
    </row>
    <row r="1757" spans="1:4" x14ac:dyDescent="0.3">
      <c r="A1757" s="83" t="s">
        <v>193</v>
      </c>
      <c r="B1757" s="83"/>
      <c r="C1757" s="16">
        <v>46205</v>
      </c>
      <c r="D1757" s="82">
        <v>0</v>
      </c>
    </row>
    <row r="1758" spans="1:4" x14ac:dyDescent="0.3">
      <c r="A1758" s="83" t="s">
        <v>214</v>
      </c>
      <c r="B1758" s="83"/>
      <c r="C1758" s="16">
        <v>46205</v>
      </c>
      <c r="D1758" s="82">
        <v>0</v>
      </c>
    </row>
    <row r="1759" spans="1:4" x14ac:dyDescent="0.3">
      <c r="A1759" s="83" t="s">
        <v>194</v>
      </c>
      <c r="B1759" s="83"/>
      <c r="C1759" s="16">
        <v>46205</v>
      </c>
      <c r="D1759" s="82">
        <v>0</v>
      </c>
    </row>
    <row r="1760" spans="1:4" x14ac:dyDescent="0.3">
      <c r="A1760" s="83" t="s">
        <v>195</v>
      </c>
      <c r="B1760" s="83"/>
      <c r="C1760" s="16">
        <v>46205</v>
      </c>
      <c r="D1760" s="82">
        <v>0</v>
      </c>
    </row>
    <row r="1761" spans="1:4" x14ac:dyDescent="0.3">
      <c r="A1761" s="83" t="s">
        <v>196</v>
      </c>
      <c r="B1761" s="83"/>
      <c r="C1761" s="16">
        <v>46205</v>
      </c>
      <c r="D1761" s="82">
        <v>0</v>
      </c>
    </row>
    <row r="1762" spans="1:4" x14ac:dyDescent="0.3">
      <c r="A1762" s="83" t="s">
        <v>197</v>
      </c>
      <c r="B1762" s="83"/>
      <c r="C1762" s="16">
        <v>46205</v>
      </c>
      <c r="D1762" s="82">
        <v>0</v>
      </c>
    </row>
    <row r="1763" spans="1:4" x14ac:dyDescent="0.3">
      <c r="A1763" s="83" t="s">
        <v>212</v>
      </c>
      <c r="B1763" s="83"/>
      <c r="C1763" s="16">
        <v>46205</v>
      </c>
      <c r="D1763" s="82">
        <v>0</v>
      </c>
    </row>
    <row r="1764" spans="1:4" x14ac:dyDescent="0.3">
      <c r="A1764" s="83" t="s">
        <v>199</v>
      </c>
      <c r="B1764" s="83"/>
      <c r="C1764" s="16">
        <v>46205</v>
      </c>
      <c r="D1764" s="82">
        <v>0</v>
      </c>
    </row>
    <row r="1765" spans="1:4" x14ac:dyDescent="0.3">
      <c r="A1765" s="83" t="s">
        <v>216</v>
      </c>
      <c r="B1765" s="83"/>
      <c r="C1765" s="16">
        <v>46205</v>
      </c>
      <c r="D1765" s="82">
        <v>0</v>
      </c>
    </row>
    <row r="1766" spans="1:4" x14ac:dyDescent="0.3">
      <c r="A1766" s="83" t="s">
        <v>17</v>
      </c>
      <c r="B1766" s="83"/>
      <c r="C1766" s="16">
        <v>46206</v>
      </c>
      <c r="D1766" s="82">
        <v>5592585.7500000009</v>
      </c>
    </row>
    <row r="1767" spans="1:4" x14ac:dyDescent="0.3">
      <c r="A1767" s="83" t="s">
        <v>18</v>
      </c>
      <c r="B1767" s="83"/>
      <c r="C1767" s="16">
        <v>46206</v>
      </c>
      <c r="D1767" s="82">
        <v>79139.680000000168</v>
      </c>
    </row>
    <row r="1768" spans="1:4" x14ac:dyDescent="0.3">
      <c r="A1768" s="83" t="s">
        <v>19</v>
      </c>
      <c r="B1768" s="83"/>
      <c r="C1768" s="16">
        <v>46206</v>
      </c>
      <c r="D1768" s="82">
        <v>1669.89</v>
      </c>
    </row>
    <row r="1769" spans="1:4" x14ac:dyDescent="0.3">
      <c r="A1769" s="83" t="s">
        <v>20</v>
      </c>
      <c r="B1769" s="83"/>
      <c r="C1769" s="16">
        <v>46206</v>
      </c>
      <c r="D1769" s="82">
        <v>350475.62999999989</v>
      </c>
    </row>
    <row r="1770" spans="1:4" x14ac:dyDescent="0.3">
      <c r="A1770" s="83" t="s">
        <v>21</v>
      </c>
      <c r="B1770" s="83"/>
      <c r="C1770" s="16">
        <v>46206</v>
      </c>
      <c r="D1770" s="82">
        <v>1761564.8799999994</v>
      </c>
    </row>
    <row r="1771" spans="1:4" x14ac:dyDescent="0.3">
      <c r="A1771" s="83" t="s">
        <v>22</v>
      </c>
      <c r="B1771" s="83"/>
      <c r="C1771" s="16">
        <v>46206</v>
      </c>
      <c r="D1771" s="82">
        <v>220496.38</v>
      </c>
    </row>
    <row r="1772" spans="1:4" x14ac:dyDescent="0.3">
      <c r="A1772" s="83" t="s">
        <v>23</v>
      </c>
      <c r="B1772" s="83"/>
      <c r="C1772" s="16">
        <v>46206</v>
      </c>
      <c r="D1772" s="82">
        <v>267503.99000000005</v>
      </c>
    </row>
    <row r="1773" spans="1:4" x14ac:dyDescent="0.3">
      <c r="A1773" s="83" t="s">
        <v>24</v>
      </c>
      <c r="B1773" s="83"/>
      <c r="C1773" s="16">
        <v>46206</v>
      </c>
      <c r="D1773" s="82">
        <v>471.15999999999985</v>
      </c>
    </row>
    <row r="1774" spans="1:4" x14ac:dyDescent="0.3">
      <c r="A1774" s="83" t="s">
        <v>25</v>
      </c>
      <c r="B1774" s="83"/>
      <c r="C1774" s="16">
        <v>46206</v>
      </c>
      <c r="D1774" s="82">
        <v>54.400000000000006</v>
      </c>
    </row>
    <row r="1775" spans="1:4" x14ac:dyDescent="0.3">
      <c r="A1775" s="83" t="s">
        <v>26</v>
      </c>
      <c r="B1775" s="83"/>
      <c r="C1775" s="16">
        <v>46206</v>
      </c>
      <c r="D1775" s="82">
        <v>2207.8200000000002</v>
      </c>
    </row>
    <row r="1776" spans="1:4" x14ac:dyDescent="0.3">
      <c r="A1776" s="83" t="s">
        <v>27</v>
      </c>
      <c r="B1776" s="83"/>
      <c r="C1776" s="16">
        <v>46206</v>
      </c>
      <c r="D1776" s="82">
        <v>3349.94</v>
      </c>
    </row>
    <row r="1777" spans="1:4" x14ac:dyDescent="0.3">
      <c r="A1777" s="83" t="s">
        <v>28</v>
      </c>
      <c r="B1777" s="83"/>
      <c r="C1777" s="16">
        <v>46206</v>
      </c>
      <c r="D1777" s="82">
        <v>1968.99</v>
      </c>
    </row>
    <row r="1778" spans="1:4" x14ac:dyDescent="0.3">
      <c r="A1778" s="83" t="s">
        <v>29</v>
      </c>
      <c r="B1778" s="83"/>
      <c r="C1778" s="16">
        <v>46206</v>
      </c>
      <c r="D1778" s="82">
        <v>382.69000000000005</v>
      </c>
    </row>
    <row r="1779" spans="1:4" x14ac:dyDescent="0.3">
      <c r="A1779" s="83" t="s">
        <v>30</v>
      </c>
      <c r="B1779" s="83"/>
      <c r="C1779" s="16">
        <v>46206</v>
      </c>
      <c r="D1779" s="82">
        <v>1412.08</v>
      </c>
    </row>
    <row r="1780" spans="1:4" x14ac:dyDescent="0.3">
      <c r="A1780" s="83" t="s">
        <v>31</v>
      </c>
      <c r="B1780" s="83"/>
      <c r="C1780" s="16">
        <v>46206</v>
      </c>
      <c r="D1780" s="82">
        <v>22496.639999999959</v>
      </c>
    </row>
    <row r="1781" spans="1:4" x14ac:dyDescent="0.3">
      <c r="A1781" s="83" t="s">
        <v>32</v>
      </c>
      <c r="B1781" s="83"/>
      <c r="C1781" s="16">
        <v>46206</v>
      </c>
      <c r="D1781" s="82">
        <v>10522.800000000003</v>
      </c>
    </row>
    <row r="1782" spans="1:4" x14ac:dyDescent="0.3">
      <c r="A1782" s="83" t="s">
        <v>33</v>
      </c>
      <c r="B1782" s="83"/>
      <c r="C1782" s="16">
        <v>46206</v>
      </c>
      <c r="D1782" s="82">
        <v>28485.559999999998</v>
      </c>
    </row>
    <row r="1783" spans="1:4" x14ac:dyDescent="0.3">
      <c r="A1783" s="83" t="s">
        <v>34</v>
      </c>
      <c r="B1783" s="83"/>
      <c r="C1783" s="16">
        <v>46206</v>
      </c>
      <c r="D1783" s="82">
        <v>345</v>
      </c>
    </row>
    <row r="1784" spans="1:4" x14ac:dyDescent="0.3">
      <c r="A1784" s="83" t="s">
        <v>35</v>
      </c>
      <c r="B1784" s="83"/>
      <c r="C1784" s="16">
        <v>46206</v>
      </c>
      <c r="D1784" s="82">
        <v>33119.040000000001</v>
      </c>
    </row>
    <row r="1785" spans="1:4" x14ac:dyDescent="0.3">
      <c r="A1785" s="83" t="s">
        <v>193</v>
      </c>
      <c r="B1785" s="83"/>
      <c r="C1785" s="16">
        <v>46206</v>
      </c>
      <c r="D1785" s="82">
        <v>0</v>
      </c>
    </row>
    <row r="1786" spans="1:4" x14ac:dyDescent="0.3">
      <c r="A1786" s="83" t="s">
        <v>214</v>
      </c>
      <c r="B1786" s="83"/>
      <c r="C1786" s="16">
        <v>46206</v>
      </c>
      <c r="D1786" s="82">
        <v>0</v>
      </c>
    </row>
    <row r="1787" spans="1:4" x14ac:dyDescent="0.3">
      <c r="A1787" s="83" t="s">
        <v>194</v>
      </c>
      <c r="B1787" s="83"/>
      <c r="C1787" s="16">
        <v>46206</v>
      </c>
      <c r="D1787" s="82">
        <v>0</v>
      </c>
    </row>
    <row r="1788" spans="1:4" x14ac:dyDescent="0.3">
      <c r="A1788" s="83" t="s">
        <v>195</v>
      </c>
      <c r="B1788" s="83"/>
      <c r="C1788" s="16">
        <v>46206</v>
      </c>
      <c r="D1788" s="82">
        <v>0</v>
      </c>
    </row>
    <row r="1789" spans="1:4" x14ac:dyDescent="0.3">
      <c r="A1789" s="83" t="s">
        <v>196</v>
      </c>
      <c r="B1789" s="83"/>
      <c r="C1789" s="16">
        <v>46206</v>
      </c>
      <c r="D1789" s="82">
        <v>0</v>
      </c>
    </row>
    <row r="1790" spans="1:4" x14ac:dyDescent="0.3">
      <c r="A1790" s="83" t="s">
        <v>197</v>
      </c>
      <c r="B1790" s="83"/>
      <c r="C1790" s="16">
        <v>46206</v>
      </c>
      <c r="D1790" s="82">
        <v>0</v>
      </c>
    </row>
    <row r="1791" spans="1:4" x14ac:dyDescent="0.3">
      <c r="A1791" s="83" t="s">
        <v>212</v>
      </c>
      <c r="B1791" s="83"/>
      <c r="C1791" s="16">
        <v>46206</v>
      </c>
      <c r="D1791" s="82">
        <v>0</v>
      </c>
    </row>
    <row r="1792" spans="1:4" x14ac:dyDescent="0.3">
      <c r="A1792" s="83" t="s">
        <v>199</v>
      </c>
      <c r="B1792" s="83"/>
      <c r="C1792" s="16">
        <v>46206</v>
      </c>
      <c r="D1792" s="82">
        <v>0</v>
      </c>
    </row>
    <row r="1793" spans="1:4" x14ac:dyDescent="0.3">
      <c r="A1793" s="83" t="s">
        <v>216</v>
      </c>
      <c r="B1793" s="83"/>
      <c r="C1793" s="16">
        <v>46206</v>
      </c>
      <c r="D1793" s="82">
        <v>0</v>
      </c>
    </row>
    <row r="1794" spans="1:4" x14ac:dyDescent="0.3">
      <c r="A1794" s="83" t="s">
        <v>17</v>
      </c>
      <c r="B1794" s="83"/>
      <c r="C1794" s="16">
        <v>46207</v>
      </c>
      <c r="D1794" s="82">
        <v>5592585.7500000009</v>
      </c>
    </row>
    <row r="1795" spans="1:4" x14ac:dyDescent="0.3">
      <c r="A1795" s="83" t="s">
        <v>18</v>
      </c>
      <c r="B1795" s="83"/>
      <c r="C1795" s="16">
        <v>46207</v>
      </c>
      <c r="D1795" s="82">
        <v>79139.680000000168</v>
      </c>
    </row>
    <row r="1796" spans="1:4" x14ac:dyDescent="0.3">
      <c r="A1796" s="83" t="s">
        <v>19</v>
      </c>
      <c r="B1796" s="83"/>
      <c r="C1796" s="16">
        <v>46207</v>
      </c>
      <c r="D1796" s="82">
        <v>1669.89</v>
      </c>
    </row>
    <row r="1797" spans="1:4" x14ac:dyDescent="0.3">
      <c r="A1797" s="83" t="s">
        <v>20</v>
      </c>
      <c r="B1797" s="83"/>
      <c r="C1797" s="16">
        <v>46207</v>
      </c>
      <c r="D1797" s="82">
        <v>350475.62999999989</v>
      </c>
    </row>
    <row r="1798" spans="1:4" x14ac:dyDescent="0.3">
      <c r="A1798" s="83" t="s">
        <v>21</v>
      </c>
      <c r="B1798" s="83"/>
      <c r="C1798" s="16">
        <v>46207</v>
      </c>
      <c r="D1798" s="82">
        <v>1761564.8799999994</v>
      </c>
    </row>
    <row r="1799" spans="1:4" x14ac:dyDescent="0.3">
      <c r="A1799" s="83" t="s">
        <v>22</v>
      </c>
      <c r="B1799" s="83"/>
      <c r="C1799" s="16">
        <v>46207</v>
      </c>
      <c r="D1799" s="82">
        <v>220496.38</v>
      </c>
    </row>
    <row r="1800" spans="1:4" x14ac:dyDescent="0.3">
      <c r="A1800" s="83" t="s">
        <v>23</v>
      </c>
      <c r="B1800" s="83"/>
      <c r="C1800" s="16">
        <v>46207</v>
      </c>
      <c r="D1800" s="82">
        <v>267503.99000000005</v>
      </c>
    </row>
    <row r="1801" spans="1:4" x14ac:dyDescent="0.3">
      <c r="A1801" s="83" t="s">
        <v>24</v>
      </c>
      <c r="B1801" s="83"/>
      <c r="C1801" s="16">
        <v>46207</v>
      </c>
      <c r="D1801" s="82">
        <v>471.15999999999985</v>
      </c>
    </row>
    <row r="1802" spans="1:4" x14ac:dyDescent="0.3">
      <c r="A1802" s="83" t="s">
        <v>25</v>
      </c>
      <c r="B1802" s="83"/>
      <c r="C1802" s="16">
        <v>46207</v>
      </c>
      <c r="D1802" s="82">
        <v>54.400000000000006</v>
      </c>
    </row>
    <row r="1803" spans="1:4" x14ac:dyDescent="0.3">
      <c r="A1803" s="83" t="s">
        <v>26</v>
      </c>
      <c r="B1803" s="83"/>
      <c r="C1803" s="16">
        <v>46207</v>
      </c>
      <c r="D1803" s="82">
        <v>2207.8200000000002</v>
      </c>
    </row>
    <row r="1804" spans="1:4" x14ac:dyDescent="0.3">
      <c r="A1804" s="83" t="s">
        <v>27</v>
      </c>
      <c r="B1804" s="83"/>
      <c r="C1804" s="16">
        <v>46207</v>
      </c>
      <c r="D1804" s="82">
        <v>3349.94</v>
      </c>
    </row>
    <row r="1805" spans="1:4" x14ac:dyDescent="0.3">
      <c r="A1805" s="83" t="s">
        <v>28</v>
      </c>
      <c r="B1805" s="83"/>
      <c r="C1805" s="16">
        <v>46207</v>
      </c>
      <c r="D1805" s="82">
        <v>1968.99</v>
      </c>
    </row>
    <row r="1806" spans="1:4" x14ac:dyDescent="0.3">
      <c r="A1806" s="83" t="s">
        <v>29</v>
      </c>
      <c r="B1806" s="83"/>
      <c r="C1806" s="16">
        <v>46207</v>
      </c>
      <c r="D1806" s="82">
        <v>382.69000000000005</v>
      </c>
    </row>
    <row r="1807" spans="1:4" x14ac:dyDescent="0.3">
      <c r="A1807" s="83" t="s">
        <v>30</v>
      </c>
      <c r="B1807" s="83"/>
      <c r="C1807" s="16">
        <v>46207</v>
      </c>
      <c r="D1807" s="82">
        <v>1412.08</v>
      </c>
    </row>
    <row r="1808" spans="1:4" x14ac:dyDescent="0.3">
      <c r="A1808" s="83" t="s">
        <v>31</v>
      </c>
      <c r="B1808" s="83"/>
      <c r="C1808" s="16">
        <v>46207</v>
      </c>
      <c r="D1808" s="82">
        <v>22496.639999999959</v>
      </c>
    </row>
    <row r="1809" spans="1:4" x14ac:dyDescent="0.3">
      <c r="A1809" s="83" t="s">
        <v>32</v>
      </c>
      <c r="B1809" s="83"/>
      <c r="C1809" s="16">
        <v>46207</v>
      </c>
      <c r="D1809" s="82">
        <v>10522.800000000003</v>
      </c>
    </row>
    <row r="1810" spans="1:4" x14ac:dyDescent="0.3">
      <c r="A1810" s="83" t="s">
        <v>33</v>
      </c>
      <c r="B1810" s="83"/>
      <c r="C1810" s="16">
        <v>46207</v>
      </c>
      <c r="D1810" s="82">
        <v>28485.559999999998</v>
      </c>
    </row>
    <row r="1811" spans="1:4" x14ac:dyDescent="0.3">
      <c r="A1811" s="83" t="s">
        <v>34</v>
      </c>
      <c r="B1811" s="83"/>
      <c r="C1811" s="16">
        <v>46207</v>
      </c>
      <c r="D1811" s="82">
        <v>345</v>
      </c>
    </row>
    <row r="1812" spans="1:4" x14ac:dyDescent="0.3">
      <c r="A1812" s="83" t="s">
        <v>35</v>
      </c>
      <c r="B1812" s="83"/>
      <c r="C1812" s="16">
        <v>46207</v>
      </c>
      <c r="D1812" s="82">
        <v>33119.040000000001</v>
      </c>
    </row>
    <row r="1813" spans="1:4" x14ac:dyDescent="0.3">
      <c r="A1813" s="83" t="s">
        <v>193</v>
      </c>
      <c r="B1813" s="83"/>
      <c r="C1813" s="16">
        <v>46207</v>
      </c>
      <c r="D1813" s="82">
        <v>0</v>
      </c>
    </row>
    <row r="1814" spans="1:4" x14ac:dyDescent="0.3">
      <c r="A1814" s="83" t="s">
        <v>214</v>
      </c>
      <c r="B1814" s="83"/>
      <c r="C1814" s="16">
        <v>46207</v>
      </c>
      <c r="D1814" s="82">
        <v>0</v>
      </c>
    </row>
    <row r="1815" spans="1:4" x14ac:dyDescent="0.3">
      <c r="A1815" s="83" t="s">
        <v>194</v>
      </c>
      <c r="B1815" s="83"/>
      <c r="C1815" s="16">
        <v>46207</v>
      </c>
      <c r="D1815" s="82">
        <v>0</v>
      </c>
    </row>
    <row r="1816" spans="1:4" x14ac:dyDescent="0.3">
      <c r="A1816" s="83" t="s">
        <v>195</v>
      </c>
      <c r="B1816" s="83"/>
      <c r="C1816" s="16">
        <v>46207</v>
      </c>
      <c r="D1816" s="82">
        <v>0</v>
      </c>
    </row>
    <row r="1817" spans="1:4" x14ac:dyDescent="0.3">
      <c r="A1817" s="83" t="s">
        <v>196</v>
      </c>
      <c r="B1817" s="83"/>
      <c r="C1817" s="16">
        <v>46207</v>
      </c>
      <c r="D1817" s="82">
        <v>0</v>
      </c>
    </row>
    <row r="1818" spans="1:4" x14ac:dyDescent="0.3">
      <c r="A1818" s="83" t="s">
        <v>197</v>
      </c>
      <c r="B1818" s="83"/>
      <c r="C1818" s="16">
        <v>46207</v>
      </c>
      <c r="D1818" s="82">
        <v>0</v>
      </c>
    </row>
    <row r="1819" spans="1:4" x14ac:dyDescent="0.3">
      <c r="A1819" s="83" t="s">
        <v>212</v>
      </c>
      <c r="B1819" s="83"/>
      <c r="C1819" s="16">
        <v>46207</v>
      </c>
      <c r="D1819" s="82">
        <v>0</v>
      </c>
    </row>
    <row r="1820" spans="1:4" x14ac:dyDescent="0.3">
      <c r="A1820" s="83" t="s">
        <v>199</v>
      </c>
      <c r="B1820" s="83"/>
      <c r="C1820" s="16">
        <v>46207</v>
      </c>
      <c r="D1820" s="82">
        <v>0</v>
      </c>
    </row>
    <row r="1821" spans="1:4" x14ac:dyDescent="0.3">
      <c r="A1821" s="83" t="s">
        <v>216</v>
      </c>
      <c r="B1821" s="83"/>
      <c r="C1821" s="16">
        <v>46207</v>
      </c>
      <c r="D1821" s="82">
        <v>0</v>
      </c>
    </row>
    <row r="1822" spans="1:4" x14ac:dyDescent="0.3">
      <c r="A1822" s="83" t="s">
        <v>17</v>
      </c>
      <c r="B1822" s="83"/>
      <c r="C1822" s="16">
        <v>46208</v>
      </c>
      <c r="D1822" s="82">
        <v>5592585.7500000009</v>
      </c>
    </row>
    <row r="1823" spans="1:4" x14ac:dyDescent="0.3">
      <c r="A1823" s="83" t="s">
        <v>18</v>
      </c>
      <c r="B1823" s="83"/>
      <c r="C1823" s="16">
        <v>46208</v>
      </c>
      <c r="D1823" s="82">
        <v>79139.680000000168</v>
      </c>
    </row>
    <row r="1824" spans="1:4" x14ac:dyDescent="0.3">
      <c r="A1824" s="83" t="s">
        <v>19</v>
      </c>
      <c r="B1824" s="83"/>
      <c r="C1824" s="16">
        <v>46208</v>
      </c>
      <c r="D1824" s="82">
        <v>1669.89</v>
      </c>
    </row>
    <row r="1825" spans="1:4" x14ac:dyDescent="0.3">
      <c r="A1825" s="83" t="s">
        <v>20</v>
      </c>
      <c r="B1825" s="83"/>
      <c r="C1825" s="16">
        <v>46208</v>
      </c>
      <c r="D1825" s="82">
        <v>350475.62999999989</v>
      </c>
    </row>
    <row r="1826" spans="1:4" x14ac:dyDescent="0.3">
      <c r="A1826" s="83" t="s">
        <v>21</v>
      </c>
      <c r="B1826" s="83"/>
      <c r="C1826" s="16">
        <v>46208</v>
      </c>
      <c r="D1826" s="82">
        <v>1761564.8799999994</v>
      </c>
    </row>
    <row r="1827" spans="1:4" x14ac:dyDescent="0.3">
      <c r="A1827" s="83" t="s">
        <v>22</v>
      </c>
      <c r="B1827" s="83"/>
      <c r="C1827" s="16">
        <v>46208</v>
      </c>
      <c r="D1827" s="82">
        <v>220496.38</v>
      </c>
    </row>
    <row r="1828" spans="1:4" x14ac:dyDescent="0.3">
      <c r="A1828" s="83" t="s">
        <v>23</v>
      </c>
      <c r="B1828" s="83"/>
      <c r="C1828" s="16">
        <v>46208</v>
      </c>
      <c r="D1828" s="82">
        <v>267503.99000000005</v>
      </c>
    </row>
    <row r="1829" spans="1:4" x14ac:dyDescent="0.3">
      <c r="A1829" s="83" t="s">
        <v>24</v>
      </c>
      <c r="B1829" s="83"/>
      <c r="C1829" s="16">
        <v>46208</v>
      </c>
      <c r="D1829" s="82">
        <v>471.15999999999985</v>
      </c>
    </row>
    <row r="1830" spans="1:4" x14ac:dyDescent="0.3">
      <c r="A1830" s="83" t="s">
        <v>25</v>
      </c>
      <c r="B1830" s="83"/>
      <c r="C1830" s="16">
        <v>46208</v>
      </c>
      <c r="D1830" s="82">
        <v>54.400000000000006</v>
      </c>
    </row>
    <row r="1831" spans="1:4" x14ac:dyDescent="0.3">
      <c r="A1831" s="83" t="s">
        <v>26</v>
      </c>
      <c r="B1831" s="83"/>
      <c r="C1831" s="16">
        <v>46208</v>
      </c>
      <c r="D1831" s="82">
        <v>2207.8200000000002</v>
      </c>
    </row>
    <row r="1832" spans="1:4" x14ac:dyDescent="0.3">
      <c r="A1832" s="83" t="s">
        <v>27</v>
      </c>
      <c r="B1832" s="83"/>
      <c r="C1832" s="16">
        <v>46208</v>
      </c>
      <c r="D1832" s="82">
        <v>3349.94</v>
      </c>
    </row>
    <row r="1833" spans="1:4" x14ac:dyDescent="0.3">
      <c r="A1833" s="83" t="s">
        <v>28</v>
      </c>
      <c r="B1833" s="83"/>
      <c r="C1833" s="16">
        <v>46208</v>
      </c>
      <c r="D1833" s="82">
        <v>1968.99</v>
      </c>
    </row>
    <row r="1834" spans="1:4" x14ac:dyDescent="0.3">
      <c r="A1834" s="83" t="s">
        <v>29</v>
      </c>
      <c r="B1834" s="83"/>
      <c r="C1834" s="16">
        <v>46208</v>
      </c>
      <c r="D1834" s="82">
        <v>382.69000000000005</v>
      </c>
    </row>
    <row r="1835" spans="1:4" x14ac:dyDescent="0.3">
      <c r="A1835" s="83" t="s">
        <v>30</v>
      </c>
      <c r="B1835" s="83"/>
      <c r="C1835" s="16">
        <v>46208</v>
      </c>
      <c r="D1835" s="82">
        <v>1412.08</v>
      </c>
    </row>
    <row r="1836" spans="1:4" x14ac:dyDescent="0.3">
      <c r="A1836" s="83" t="s">
        <v>31</v>
      </c>
      <c r="B1836" s="83"/>
      <c r="C1836" s="16">
        <v>46208</v>
      </c>
      <c r="D1836" s="82">
        <v>22496.639999999959</v>
      </c>
    </row>
    <row r="1837" spans="1:4" x14ac:dyDescent="0.3">
      <c r="A1837" s="83" t="s">
        <v>32</v>
      </c>
      <c r="B1837" s="83"/>
      <c r="C1837" s="16">
        <v>46208</v>
      </c>
      <c r="D1837" s="82">
        <v>10522.800000000003</v>
      </c>
    </row>
    <row r="1838" spans="1:4" x14ac:dyDescent="0.3">
      <c r="A1838" s="83" t="s">
        <v>33</v>
      </c>
      <c r="B1838" s="83"/>
      <c r="C1838" s="16">
        <v>46208</v>
      </c>
      <c r="D1838" s="82">
        <v>28485.559999999998</v>
      </c>
    </row>
    <row r="1839" spans="1:4" x14ac:dyDescent="0.3">
      <c r="A1839" s="83" t="s">
        <v>34</v>
      </c>
      <c r="B1839" s="83"/>
      <c r="C1839" s="16">
        <v>46208</v>
      </c>
      <c r="D1839" s="82">
        <v>345</v>
      </c>
    </row>
    <row r="1840" spans="1:4" x14ac:dyDescent="0.3">
      <c r="A1840" s="83" t="s">
        <v>35</v>
      </c>
      <c r="B1840" s="83"/>
      <c r="C1840" s="16">
        <v>46208</v>
      </c>
      <c r="D1840" s="82">
        <v>33119.040000000001</v>
      </c>
    </row>
    <row r="1841" spans="1:4" x14ac:dyDescent="0.3">
      <c r="A1841" s="83" t="s">
        <v>193</v>
      </c>
      <c r="B1841" s="83"/>
      <c r="C1841" s="16">
        <v>46208</v>
      </c>
      <c r="D1841" s="82">
        <v>0</v>
      </c>
    </row>
    <row r="1842" spans="1:4" x14ac:dyDescent="0.3">
      <c r="A1842" s="83" t="s">
        <v>214</v>
      </c>
      <c r="B1842" s="83"/>
      <c r="C1842" s="16">
        <v>46208</v>
      </c>
      <c r="D1842" s="82">
        <v>0</v>
      </c>
    </row>
    <row r="1843" spans="1:4" x14ac:dyDescent="0.3">
      <c r="A1843" s="83" t="s">
        <v>194</v>
      </c>
      <c r="B1843" s="83"/>
      <c r="C1843" s="16">
        <v>46208</v>
      </c>
      <c r="D1843" s="82">
        <v>0</v>
      </c>
    </row>
    <row r="1844" spans="1:4" x14ac:dyDescent="0.3">
      <c r="A1844" s="83" t="s">
        <v>195</v>
      </c>
      <c r="B1844" s="83"/>
      <c r="C1844" s="16">
        <v>46208</v>
      </c>
      <c r="D1844" s="82">
        <v>0</v>
      </c>
    </row>
    <row r="1845" spans="1:4" x14ac:dyDescent="0.3">
      <c r="A1845" s="83" t="s">
        <v>196</v>
      </c>
      <c r="B1845" s="83"/>
      <c r="C1845" s="16">
        <v>46208</v>
      </c>
      <c r="D1845" s="82">
        <v>0</v>
      </c>
    </row>
    <row r="1846" spans="1:4" x14ac:dyDescent="0.3">
      <c r="A1846" s="83" t="s">
        <v>197</v>
      </c>
      <c r="B1846" s="83"/>
      <c r="C1846" s="16">
        <v>46208</v>
      </c>
      <c r="D1846" s="82">
        <v>0</v>
      </c>
    </row>
    <row r="1847" spans="1:4" x14ac:dyDescent="0.3">
      <c r="A1847" s="83" t="s">
        <v>212</v>
      </c>
      <c r="B1847" s="83"/>
      <c r="C1847" s="16">
        <v>46208</v>
      </c>
      <c r="D1847" s="82">
        <v>0</v>
      </c>
    </row>
    <row r="1848" spans="1:4" x14ac:dyDescent="0.3">
      <c r="A1848" s="83" t="s">
        <v>199</v>
      </c>
      <c r="B1848" s="83"/>
      <c r="C1848" s="16">
        <v>46208</v>
      </c>
      <c r="D1848" s="82">
        <v>0</v>
      </c>
    </row>
    <row r="1849" spans="1:4" x14ac:dyDescent="0.3">
      <c r="A1849" s="83" t="s">
        <v>216</v>
      </c>
      <c r="B1849" s="83"/>
      <c r="C1849" s="16">
        <v>46208</v>
      </c>
      <c r="D1849" s="82">
        <v>0</v>
      </c>
    </row>
    <row r="1850" spans="1:4" x14ac:dyDescent="0.3">
      <c r="A1850" s="83" t="s">
        <v>17</v>
      </c>
      <c r="B1850" s="83"/>
      <c r="C1850" s="16">
        <v>46209</v>
      </c>
      <c r="D1850" s="82">
        <v>5592585.7500000009</v>
      </c>
    </row>
    <row r="1851" spans="1:4" x14ac:dyDescent="0.3">
      <c r="A1851" s="83" t="s">
        <v>18</v>
      </c>
      <c r="B1851" s="83"/>
      <c r="C1851" s="16">
        <v>46209</v>
      </c>
      <c r="D1851" s="82">
        <v>79139.680000000168</v>
      </c>
    </row>
    <row r="1852" spans="1:4" x14ac:dyDescent="0.3">
      <c r="A1852" s="83" t="s">
        <v>19</v>
      </c>
      <c r="B1852" s="83"/>
      <c r="C1852" s="16">
        <v>46209</v>
      </c>
      <c r="D1852" s="82">
        <v>1669.89</v>
      </c>
    </row>
    <row r="1853" spans="1:4" x14ac:dyDescent="0.3">
      <c r="A1853" s="83" t="s">
        <v>20</v>
      </c>
      <c r="B1853" s="83"/>
      <c r="C1853" s="16">
        <v>46209</v>
      </c>
      <c r="D1853" s="82">
        <v>350475.62999999989</v>
      </c>
    </row>
    <row r="1854" spans="1:4" x14ac:dyDescent="0.3">
      <c r="A1854" s="83" t="s">
        <v>21</v>
      </c>
      <c r="B1854" s="83"/>
      <c r="C1854" s="16">
        <v>46209</v>
      </c>
      <c r="D1854" s="82">
        <v>1761026.4599999995</v>
      </c>
    </row>
    <row r="1855" spans="1:4" x14ac:dyDescent="0.3">
      <c r="A1855" s="83" t="s">
        <v>22</v>
      </c>
      <c r="B1855" s="83"/>
      <c r="C1855" s="16">
        <v>46209</v>
      </c>
      <c r="D1855" s="82">
        <v>220496.38</v>
      </c>
    </row>
    <row r="1856" spans="1:4" x14ac:dyDescent="0.3">
      <c r="A1856" s="83" t="s">
        <v>23</v>
      </c>
      <c r="B1856" s="83"/>
      <c r="C1856" s="16">
        <v>46209</v>
      </c>
      <c r="D1856" s="82">
        <v>267503.99000000005</v>
      </c>
    </row>
    <row r="1857" spans="1:4" x14ac:dyDescent="0.3">
      <c r="A1857" s="83" t="s">
        <v>24</v>
      </c>
      <c r="B1857" s="83"/>
      <c r="C1857" s="16">
        <v>46209</v>
      </c>
      <c r="D1857" s="82">
        <v>471.15999999999985</v>
      </c>
    </row>
    <row r="1858" spans="1:4" x14ac:dyDescent="0.3">
      <c r="A1858" s="83" t="s">
        <v>25</v>
      </c>
      <c r="B1858" s="83"/>
      <c r="C1858" s="16">
        <v>46209</v>
      </c>
      <c r="D1858" s="82">
        <v>54.400000000000006</v>
      </c>
    </row>
    <row r="1859" spans="1:4" x14ac:dyDescent="0.3">
      <c r="A1859" s="83" t="s">
        <v>26</v>
      </c>
      <c r="B1859" s="83"/>
      <c r="C1859" s="16">
        <v>46209</v>
      </c>
      <c r="D1859" s="82">
        <v>2207.8200000000002</v>
      </c>
    </row>
    <row r="1860" spans="1:4" x14ac:dyDescent="0.3">
      <c r="A1860" s="83" t="s">
        <v>27</v>
      </c>
      <c r="B1860" s="83"/>
      <c r="C1860" s="16">
        <v>46209</v>
      </c>
      <c r="D1860" s="82">
        <v>3349.94</v>
      </c>
    </row>
    <row r="1861" spans="1:4" x14ac:dyDescent="0.3">
      <c r="A1861" s="83" t="s">
        <v>28</v>
      </c>
      <c r="B1861" s="83"/>
      <c r="C1861" s="16">
        <v>46209</v>
      </c>
      <c r="D1861" s="82">
        <v>1968.99</v>
      </c>
    </row>
    <row r="1862" spans="1:4" x14ac:dyDescent="0.3">
      <c r="A1862" s="83" t="s">
        <v>29</v>
      </c>
      <c r="B1862" s="83"/>
      <c r="C1862" s="16">
        <v>46209</v>
      </c>
      <c r="D1862" s="82">
        <v>382.69000000000005</v>
      </c>
    </row>
    <row r="1863" spans="1:4" x14ac:dyDescent="0.3">
      <c r="A1863" s="83" t="s">
        <v>30</v>
      </c>
      <c r="B1863" s="83"/>
      <c r="C1863" s="16">
        <v>46209</v>
      </c>
      <c r="D1863" s="82">
        <v>1412.08</v>
      </c>
    </row>
    <row r="1864" spans="1:4" x14ac:dyDescent="0.3">
      <c r="A1864" s="83" t="s">
        <v>31</v>
      </c>
      <c r="B1864" s="83"/>
      <c r="C1864" s="16">
        <v>46209</v>
      </c>
      <c r="D1864" s="82">
        <v>22496.639999999959</v>
      </c>
    </row>
    <row r="1865" spans="1:4" x14ac:dyDescent="0.3">
      <c r="A1865" s="83" t="s">
        <v>32</v>
      </c>
      <c r="B1865" s="83"/>
      <c r="C1865" s="16">
        <v>46209</v>
      </c>
      <c r="D1865" s="82">
        <v>10522.800000000003</v>
      </c>
    </row>
    <row r="1866" spans="1:4" x14ac:dyDescent="0.3">
      <c r="A1866" s="83" t="s">
        <v>33</v>
      </c>
      <c r="B1866" s="83"/>
      <c r="C1866" s="16">
        <v>46209</v>
      </c>
      <c r="D1866" s="82">
        <v>28485.559999999998</v>
      </c>
    </row>
    <row r="1867" spans="1:4" x14ac:dyDescent="0.3">
      <c r="A1867" s="83" t="s">
        <v>34</v>
      </c>
      <c r="B1867" s="83"/>
      <c r="C1867" s="16">
        <v>46209</v>
      </c>
      <c r="D1867" s="82">
        <v>345</v>
      </c>
    </row>
    <row r="1868" spans="1:4" x14ac:dyDescent="0.3">
      <c r="A1868" s="83" t="s">
        <v>35</v>
      </c>
      <c r="B1868" s="83"/>
      <c r="C1868" s="16">
        <v>46209</v>
      </c>
      <c r="D1868" s="82">
        <v>15165.34</v>
      </c>
    </row>
    <row r="1869" spans="1:4" x14ac:dyDescent="0.3">
      <c r="A1869" s="83" t="s">
        <v>193</v>
      </c>
      <c r="B1869" s="83"/>
      <c r="C1869" s="16">
        <v>46209</v>
      </c>
      <c r="D1869" s="82">
        <v>0</v>
      </c>
    </row>
    <row r="1870" spans="1:4" x14ac:dyDescent="0.3">
      <c r="A1870" s="83" t="s">
        <v>214</v>
      </c>
      <c r="B1870" s="83"/>
      <c r="C1870" s="16">
        <v>46209</v>
      </c>
      <c r="D1870" s="82">
        <v>0</v>
      </c>
    </row>
    <row r="1871" spans="1:4" x14ac:dyDescent="0.3">
      <c r="A1871" s="83" t="s">
        <v>194</v>
      </c>
      <c r="B1871" s="83"/>
      <c r="C1871" s="16">
        <v>46209</v>
      </c>
      <c r="D1871" s="82">
        <v>0</v>
      </c>
    </row>
    <row r="1872" spans="1:4" x14ac:dyDescent="0.3">
      <c r="A1872" s="83" t="s">
        <v>195</v>
      </c>
      <c r="B1872" s="83"/>
      <c r="C1872" s="16">
        <v>46209</v>
      </c>
      <c r="D1872" s="82">
        <v>0</v>
      </c>
    </row>
    <row r="1873" spans="1:4" x14ac:dyDescent="0.3">
      <c r="A1873" s="83" t="s">
        <v>196</v>
      </c>
      <c r="B1873" s="83"/>
      <c r="C1873" s="16">
        <v>46209</v>
      </c>
      <c r="D1873" s="82">
        <v>0</v>
      </c>
    </row>
    <row r="1874" spans="1:4" x14ac:dyDescent="0.3">
      <c r="A1874" s="83" t="s">
        <v>197</v>
      </c>
      <c r="B1874" s="83"/>
      <c r="C1874" s="16">
        <v>46209</v>
      </c>
      <c r="D1874" s="82">
        <v>0</v>
      </c>
    </row>
    <row r="1875" spans="1:4" x14ac:dyDescent="0.3">
      <c r="A1875" s="83" t="s">
        <v>212</v>
      </c>
      <c r="B1875" s="83"/>
      <c r="C1875" s="16">
        <v>46209</v>
      </c>
      <c r="D1875" s="82">
        <v>0</v>
      </c>
    </row>
    <row r="1876" spans="1:4" x14ac:dyDescent="0.3">
      <c r="A1876" s="83" t="s">
        <v>199</v>
      </c>
      <c r="B1876" s="83"/>
      <c r="C1876" s="16">
        <v>46209</v>
      </c>
      <c r="D1876" s="82">
        <v>0</v>
      </c>
    </row>
    <row r="1877" spans="1:4" x14ac:dyDescent="0.3">
      <c r="A1877" s="83" t="s">
        <v>216</v>
      </c>
      <c r="B1877" s="83"/>
      <c r="C1877" s="16">
        <v>46209</v>
      </c>
      <c r="D1877" s="82">
        <v>0</v>
      </c>
    </row>
    <row r="1878" spans="1:4" x14ac:dyDescent="0.3">
      <c r="A1878" s="83" t="s">
        <v>17</v>
      </c>
      <c r="B1878" s="83"/>
      <c r="C1878" s="16">
        <v>46210</v>
      </c>
      <c r="D1878" s="82">
        <v>5592585.7500000009</v>
      </c>
    </row>
    <row r="1879" spans="1:4" x14ac:dyDescent="0.3">
      <c r="A1879" s="83" t="s">
        <v>18</v>
      </c>
      <c r="B1879" s="83"/>
      <c r="C1879" s="16">
        <v>46210</v>
      </c>
      <c r="D1879" s="82">
        <v>79139.680000000168</v>
      </c>
    </row>
    <row r="1880" spans="1:4" x14ac:dyDescent="0.3">
      <c r="A1880" s="83" t="s">
        <v>19</v>
      </c>
      <c r="B1880" s="83"/>
      <c r="C1880" s="16">
        <v>46210</v>
      </c>
      <c r="D1880" s="82">
        <v>1669.89</v>
      </c>
    </row>
    <row r="1881" spans="1:4" x14ac:dyDescent="0.3">
      <c r="A1881" s="83" t="s">
        <v>20</v>
      </c>
      <c r="B1881" s="83"/>
      <c r="C1881" s="16">
        <v>46210</v>
      </c>
      <c r="D1881" s="82">
        <v>350475.62999999989</v>
      </c>
    </row>
    <row r="1882" spans="1:4" x14ac:dyDescent="0.3">
      <c r="A1882" s="83" t="s">
        <v>21</v>
      </c>
      <c r="B1882" s="83"/>
      <c r="C1882" s="16">
        <v>46210</v>
      </c>
      <c r="D1882" s="82">
        <v>1761026.4599999995</v>
      </c>
    </row>
    <row r="1883" spans="1:4" x14ac:dyDescent="0.3">
      <c r="A1883" s="83" t="s">
        <v>22</v>
      </c>
      <c r="B1883" s="83"/>
      <c r="C1883" s="16">
        <v>46210</v>
      </c>
      <c r="D1883" s="82">
        <v>220496.38</v>
      </c>
    </row>
    <row r="1884" spans="1:4" x14ac:dyDescent="0.3">
      <c r="A1884" s="83" t="s">
        <v>23</v>
      </c>
      <c r="B1884" s="83"/>
      <c r="C1884" s="16">
        <v>46210</v>
      </c>
      <c r="D1884" s="82">
        <v>267503.99000000005</v>
      </c>
    </row>
    <row r="1885" spans="1:4" x14ac:dyDescent="0.3">
      <c r="A1885" s="83" t="s">
        <v>24</v>
      </c>
      <c r="B1885" s="83"/>
      <c r="C1885" s="16">
        <v>46210</v>
      </c>
      <c r="D1885" s="82">
        <v>471.15999999999985</v>
      </c>
    </row>
    <row r="1886" spans="1:4" x14ac:dyDescent="0.3">
      <c r="A1886" s="83" t="s">
        <v>25</v>
      </c>
      <c r="B1886" s="83"/>
      <c r="C1886" s="16">
        <v>46210</v>
      </c>
      <c r="D1886" s="82">
        <v>54.400000000000006</v>
      </c>
    </row>
    <row r="1887" spans="1:4" x14ac:dyDescent="0.3">
      <c r="A1887" s="83" t="s">
        <v>26</v>
      </c>
      <c r="B1887" s="83"/>
      <c r="C1887" s="16">
        <v>46210</v>
      </c>
      <c r="D1887" s="82">
        <v>2207.8200000000002</v>
      </c>
    </row>
    <row r="1888" spans="1:4" x14ac:dyDescent="0.3">
      <c r="A1888" s="83" t="s">
        <v>27</v>
      </c>
      <c r="B1888" s="83"/>
      <c r="C1888" s="16">
        <v>46210</v>
      </c>
      <c r="D1888" s="82">
        <v>3349.94</v>
      </c>
    </row>
    <row r="1889" spans="1:4" x14ac:dyDescent="0.3">
      <c r="A1889" s="83" t="s">
        <v>28</v>
      </c>
      <c r="B1889" s="83"/>
      <c r="C1889" s="16">
        <v>46210</v>
      </c>
      <c r="D1889" s="82">
        <v>1968.99</v>
      </c>
    </row>
    <row r="1890" spans="1:4" x14ac:dyDescent="0.3">
      <c r="A1890" s="83" t="s">
        <v>29</v>
      </c>
      <c r="B1890" s="83"/>
      <c r="C1890" s="16">
        <v>46210</v>
      </c>
      <c r="D1890" s="82">
        <v>382.69000000000005</v>
      </c>
    </row>
    <row r="1891" spans="1:4" x14ac:dyDescent="0.3">
      <c r="A1891" s="83" t="s">
        <v>30</v>
      </c>
      <c r="B1891" s="83"/>
      <c r="C1891" s="16">
        <v>46210</v>
      </c>
      <c r="D1891" s="82">
        <v>1412.08</v>
      </c>
    </row>
    <row r="1892" spans="1:4" x14ac:dyDescent="0.3">
      <c r="A1892" s="83" t="s">
        <v>31</v>
      </c>
      <c r="B1892" s="83"/>
      <c r="C1892" s="16">
        <v>46210</v>
      </c>
      <c r="D1892" s="82">
        <v>22496.639999999959</v>
      </c>
    </row>
    <row r="1893" spans="1:4" x14ac:dyDescent="0.3">
      <c r="A1893" s="83" t="s">
        <v>32</v>
      </c>
      <c r="B1893" s="83"/>
      <c r="C1893" s="16">
        <v>46210</v>
      </c>
      <c r="D1893" s="82">
        <v>10522.800000000003</v>
      </c>
    </row>
    <row r="1894" spans="1:4" x14ac:dyDescent="0.3">
      <c r="A1894" s="83" t="s">
        <v>33</v>
      </c>
      <c r="B1894" s="83"/>
      <c r="C1894" s="16">
        <v>46210</v>
      </c>
      <c r="D1894" s="82">
        <v>28485.559999999998</v>
      </c>
    </row>
    <row r="1895" spans="1:4" x14ac:dyDescent="0.3">
      <c r="A1895" s="83" t="s">
        <v>34</v>
      </c>
      <c r="B1895" s="83"/>
      <c r="C1895" s="16">
        <v>46210</v>
      </c>
      <c r="D1895" s="82">
        <v>345</v>
      </c>
    </row>
    <row r="1896" spans="1:4" x14ac:dyDescent="0.3">
      <c r="A1896" s="83" t="s">
        <v>35</v>
      </c>
      <c r="B1896" s="83"/>
      <c r="C1896" s="16">
        <v>46210</v>
      </c>
      <c r="D1896" s="82">
        <v>14498.59</v>
      </c>
    </row>
    <row r="1897" spans="1:4" x14ac:dyDescent="0.3">
      <c r="A1897" s="83" t="s">
        <v>193</v>
      </c>
      <c r="B1897" s="83"/>
      <c r="C1897" s="16">
        <v>46210</v>
      </c>
      <c r="D1897" s="82">
        <v>0</v>
      </c>
    </row>
    <row r="1898" spans="1:4" x14ac:dyDescent="0.3">
      <c r="A1898" s="83" t="s">
        <v>214</v>
      </c>
      <c r="B1898" s="83"/>
      <c r="C1898" s="16">
        <v>46210</v>
      </c>
      <c r="D1898" s="82">
        <v>0</v>
      </c>
    </row>
    <row r="1899" spans="1:4" x14ac:dyDescent="0.3">
      <c r="A1899" s="83" t="s">
        <v>194</v>
      </c>
      <c r="B1899" s="83"/>
      <c r="C1899" s="16">
        <v>46210</v>
      </c>
      <c r="D1899" s="82">
        <v>0</v>
      </c>
    </row>
    <row r="1900" spans="1:4" x14ac:dyDescent="0.3">
      <c r="A1900" s="83" t="s">
        <v>195</v>
      </c>
      <c r="B1900" s="83"/>
      <c r="C1900" s="16">
        <v>46210</v>
      </c>
      <c r="D1900" s="82">
        <v>0</v>
      </c>
    </row>
    <row r="1901" spans="1:4" x14ac:dyDescent="0.3">
      <c r="A1901" s="83" t="s">
        <v>196</v>
      </c>
      <c r="B1901" s="83"/>
      <c r="C1901" s="16">
        <v>46210</v>
      </c>
      <c r="D1901" s="82">
        <v>0</v>
      </c>
    </row>
    <row r="1902" spans="1:4" x14ac:dyDescent="0.3">
      <c r="A1902" s="83" t="s">
        <v>197</v>
      </c>
      <c r="B1902" s="83"/>
      <c r="C1902" s="16">
        <v>46210</v>
      </c>
      <c r="D1902" s="82">
        <v>0</v>
      </c>
    </row>
    <row r="1903" spans="1:4" x14ac:dyDescent="0.3">
      <c r="A1903" s="83" t="s">
        <v>212</v>
      </c>
      <c r="B1903" s="83"/>
      <c r="C1903" s="16">
        <v>46210</v>
      </c>
      <c r="D1903" s="82">
        <v>0</v>
      </c>
    </row>
    <row r="1904" spans="1:4" x14ac:dyDescent="0.3">
      <c r="A1904" s="83" t="s">
        <v>199</v>
      </c>
      <c r="B1904" s="83"/>
      <c r="C1904" s="16">
        <v>46210</v>
      </c>
      <c r="D1904" s="82">
        <v>0</v>
      </c>
    </row>
    <row r="1905" spans="1:4" x14ac:dyDescent="0.3">
      <c r="A1905" s="83" t="s">
        <v>216</v>
      </c>
      <c r="B1905" s="83"/>
      <c r="C1905" s="16">
        <v>46210</v>
      </c>
      <c r="D1905" s="82">
        <v>0</v>
      </c>
    </row>
    <row r="1906" spans="1:4" x14ac:dyDescent="0.3">
      <c r="A1906" s="83" t="s">
        <v>17</v>
      </c>
      <c r="B1906" s="83"/>
      <c r="C1906" s="16">
        <v>46211</v>
      </c>
      <c r="D1906" s="82">
        <v>5592585.7500000009</v>
      </c>
    </row>
    <row r="1907" spans="1:4" x14ac:dyDescent="0.3">
      <c r="A1907" s="83" t="s">
        <v>18</v>
      </c>
      <c r="B1907" s="83"/>
      <c r="C1907" s="16">
        <v>46211</v>
      </c>
      <c r="D1907" s="82">
        <v>79139.680000000168</v>
      </c>
    </row>
    <row r="1908" spans="1:4" x14ac:dyDescent="0.3">
      <c r="A1908" s="83" t="s">
        <v>19</v>
      </c>
      <c r="B1908" s="83"/>
      <c r="C1908" s="16">
        <v>46211</v>
      </c>
      <c r="D1908" s="82">
        <v>1669.89</v>
      </c>
    </row>
    <row r="1909" spans="1:4" x14ac:dyDescent="0.3">
      <c r="A1909" s="83" t="s">
        <v>20</v>
      </c>
      <c r="B1909" s="83"/>
      <c r="C1909" s="16">
        <v>46211</v>
      </c>
      <c r="D1909" s="82">
        <v>350475.62999999989</v>
      </c>
    </row>
    <row r="1910" spans="1:4" x14ac:dyDescent="0.3">
      <c r="A1910" s="83" t="s">
        <v>21</v>
      </c>
      <c r="B1910" s="83"/>
      <c r="C1910" s="16">
        <v>46211</v>
      </c>
      <c r="D1910" s="82">
        <v>1751695.8399999994</v>
      </c>
    </row>
    <row r="1911" spans="1:4" x14ac:dyDescent="0.3">
      <c r="A1911" s="83" t="s">
        <v>22</v>
      </c>
      <c r="B1911" s="83"/>
      <c r="C1911" s="16">
        <v>46211</v>
      </c>
      <c r="D1911" s="82">
        <v>220496.38</v>
      </c>
    </row>
    <row r="1912" spans="1:4" x14ac:dyDescent="0.3">
      <c r="A1912" s="83" t="s">
        <v>23</v>
      </c>
      <c r="B1912" s="83"/>
      <c r="C1912" s="16">
        <v>46211</v>
      </c>
      <c r="D1912" s="82">
        <v>267503.99000000005</v>
      </c>
    </row>
    <row r="1913" spans="1:4" x14ac:dyDescent="0.3">
      <c r="A1913" s="83" t="s">
        <v>24</v>
      </c>
      <c r="B1913" s="83"/>
      <c r="C1913" s="16">
        <v>46211</v>
      </c>
      <c r="D1913" s="82">
        <v>471.15999999999985</v>
      </c>
    </row>
    <row r="1914" spans="1:4" x14ac:dyDescent="0.3">
      <c r="A1914" s="83" t="s">
        <v>25</v>
      </c>
      <c r="B1914" s="83"/>
      <c r="C1914" s="16">
        <v>46211</v>
      </c>
      <c r="D1914" s="82">
        <v>54.400000000000006</v>
      </c>
    </row>
    <row r="1915" spans="1:4" x14ac:dyDescent="0.3">
      <c r="A1915" s="83" t="s">
        <v>26</v>
      </c>
      <c r="B1915" s="83"/>
      <c r="C1915" s="16">
        <v>46211</v>
      </c>
      <c r="D1915" s="82">
        <v>2207.8200000000002</v>
      </c>
    </row>
    <row r="1916" spans="1:4" x14ac:dyDescent="0.3">
      <c r="A1916" s="83" t="s">
        <v>27</v>
      </c>
      <c r="B1916" s="83"/>
      <c r="C1916" s="16">
        <v>46211</v>
      </c>
      <c r="D1916" s="82">
        <v>3334.94</v>
      </c>
    </row>
    <row r="1917" spans="1:4" x14ac:dyDescent="0.3">
      <c r="A1917" s="83" t="s">
        <v>28</v>
      </c>
      <c r="B1917" s="83"/>
      <c r="C1917" s="16">
        <v>46211</v>
      </c>
      <c r="D1917" s="82">
        <v>1968.99</v>
      </c>
    </row>
    <row r="1918" spans="1:4" x14ac:dyDescent="0.3">
      <c r="A1918" s="83" t="s">
        <v>29</v>
      </c>
      <c r="B1918" s="83"/>
      <c r="C1918" s="16">
        <v>46211</v>
      </c>
      <c r="D1918" s="82">
        <v>382.69000000000005</v>
      </c>
    </row>
    <row r="1919" spans="1:4" x14ac:dyDescent="0.3">
      <c r="A1919" s="83" t="s">
        <v>30</v>
      </c>
      <c r="B1919" s="83"/>
      <c r="C1919" s="16">
        <v>46211</v>
      </c>
      <c r="D1919" s="82">
        <v>1412.08</v>
      </c>
    </row>
    <row r="1920" spans="1:4" x14ac:dyDescent="0.3">
      <c r="A1920" s="83" t="s">
        <v>31</v>
      </c>
      <c r="B1920" s="83"/>
      <c r="C1920" s="16">
        <v>46211</v>
      </c>
      <c r="D1920" s="82">
        <v>22496.639999999959</v>
      </c>
    </row>
    <row r="1921" spans="1:4" x14ac:dyDescent="0.3">
      <c r="A1921" s="83" t="s">
        <v>32</v>
      </c>
      <c r="B1921" s="83"/>
      <c r="C1921" s="16">
        <v>46211</v>
      </c>
      <c r="D1921" s="82">
        <v>6522.8000000000029</v>
      </c>
    </row>
    <row r="1922" spans="1:4" x14ac:dyDescent="0.3">
      <c r="A1922" s="83" t="s">
        <v>33</v>
      </c>
      <c r="B1922" s="83"/>
      <c r="C1922" s="16">
        <v>46211</v>
      </c>
      <c r="D1922" s="82">
        <v>28485.559999999998</v>
      </c>
    </row>
    <row r="1923" spans="1:4" x14ac:dyDescent="0.3">
      <c r="A1923" s="83" t="s">
        <v>34</v>
      </c>
      <c r="B1923" s="83"/>
      <c r="C1923" s="16">
        <v>46211</v>
      </c>
      <c r="D1923" s="82">
        <v>345</v>
      </c>
    </row>
    <row r="1924" spans="1:4" x14ac:dyDescent="0.3">
      <c r="A1924" s="83" t="s">
        <v>35</v>
      </c>
      <c r="B1924" s="83"/>
      <c r="C1924" s="16">
        <v>46211</v>
      </c>
      <c r="D1924" s="82">
        <v>14498.59</v>
      </c>
    </row>
    <row r="1925" spans="1:4" x14ac:dyDescent="0.3">
      <c r="A1925" s="83" t="s">
        <v>193</v>
      </c>
      <c r="B1925" s="83"/>
      <c r="C1925" s="16">
        <v>46211</v>
      </c>
      <c r="D1925" s="82">
        <v>0</v>
      </c>
    </row>
    <row r="1926" spans="1:4" x14ac:dyDescent="0.3">
      <c r="A1926" s="83" t="s">
        <v>214</v>
      </c>
      <c r="B1926" s="83"/>
      <c r="C1926" s="16">
        <v>46211</v>
      </c>
      <c r="D1926" s="82">
        <v>0</v>
      </c>
    </row>
    <row r="1927" spans="1:4" x14ac:dyDescent="0.3">
      <c r="A1927" s="83" t="s">
        <v>194</v>
      </c>
      <c r="B1927" s="83"/>
      <c r="C1927" s="16">
        <v>46211</v>
      </c>
      <c r="D1927" s="82">
        <v>0</v>
      </c>
    </row>
    <row r="1928" spans="1:4" x14ac:dyDescent="0.3">
      <c r="A1928" s="83" t="s">
        <v>195</v>
      </c>
      <c r="B1928" s="83"/>
      <c r="C1928" s="16">
        <v>46211</v>
      </c>
      <c r="D1928" s="82">
        <v>0</v>
      </c>
    </row>
    <row r="1929" spans="1:4" x14ac:dyDescent="0.3">
      <c r="A1929" s="83" t="s">
        <v>196</v>
      </c>
      <c r="B1929" s="83"/>
      <c r="C1929" s="16">
        <v>46211</v>
      </c>
      <c r="D1929" s="82">
        <v>0</v>
      </c>
    </row>
    <row r="1930" spans="1:4" x14ac:dyDescent="0.3">
      <c r="A1930" s="83" t="s">
        <v>197</v>
      </c>
      <c r="B1930" s="83"/>
      <c r="C1930" s="16">
        <v>46211</v>
      </c>
      <c r="D1930" s="82">
        <v>0</v>
      </c>
    </row>
    <row r="1931" spans="1:4" x14ac:dyDescent="0.3">
      <c r="A1931" s="83" t="s">
        <v>212</v>
      </c>
      <c r="B1931" s="83"/>
      <c r="C1931" s="16">
        <v>46211</v>
      </c>
      <c r="D1931" s="82">
        <v>0</v>
      </c>
    </row>
    <row r="1932" spans="1:4" x14ac:dyDescent="0.3">
      <c r="A1932" s="83" t="s">
        <v>199</v>
      </c>
      <c r="B1932" s="83"/>
      <c r="C1932" s="16">
        <v>46211</v>
      </c>
      <c r="D1932" s="82">
        <v>0</v>
      </c>
    </row>
    <row r="1933" spans="1:4" x14ac:dyDescent="0.3">
      <c r="A1933" s="83" t="s">
        <v>216</v>
      </c>
      <c r="B1933" s="83"/>
      <c r="C1933" s="16">
        <v>46211</v>
      </c>
      <c r="D1933" s="82">
        <v>0</v>
      </c>
    </row>
    <row r="1934" spans="1:4" x14ac:dyDescent="0.3">
      <c r="A1934" s="83" t="s">
        <v>17</v>
      </c>
      <c r="B1934" s="83"/>
      <c r="C1934" s="16">
        <v>46212</v>
      </c>
      <c r="D1934" s="82">
        <v>4377944.080000001</v>
      </c>
    </row>
    <row r="1935" spans="1:4" x14ac:dyDescent="0.3">
      <c r="A1935" s="83" t="s">
        <v>18</v>
      </c>
      <c r="B1935" s="83"/>
      <c r="C1935" s="16">
        <v>46212</v>
      </c>
      <c r="D1935" s="82">
        <v>73157.680000000168</v>
      </c>
    </row>
    <row r="1936" spans="1:4" x14ac:dyDescent="0.3">
      <c r="A1936" s="83" t="s">
        <v>19</v>
      </c>
      <c r="B1936" s="83"/>
      <c r="C1936" s="16">
        <v>46212</v>
      </c>
      <c r="D1936" s="82">
        <v>1669.89</v>
      </c>
    </row>
    <row r="1937" spans="1:4" x14ac:dyDescent="0.3">
      <c r="A1937" s="83" t="s">
        <v>20</v>
      </c>
      <c r="B1937" s="83"/>
      <c r="C1937" s="16">
        <v>46212</v>
      </c>
      <c r="D1937" s="82">
        <v>290475.62999999989</v>
      </c>
    </row>
    <row r="1938" spans="1:4" x14ac:dyDescent="0.3">
      <c r="A1938" s="83" t="s">
        <v>21</v>
      </c>
      <c r="B1938" s="83"/>
      <c r="C1938" s="16">
        <v>46212</v>
      </c>
      <c r="D1938" s="82">
        <v>2119592.9399999995</v>
      </c>
    </row>
    <row r="1939" spans="1:4" x14ac:dyDescent="0.3">
      <c r="A1939" s="83" t="s">
        <v>22</v>
      </c>
      <c r="B1939" s="83"/>
      <c r="C1939" s="16">
        <v>46212</v>
      </c>
      <c r="D1939" s="82">
        <v>200496.38</v>
      </c>
    </row>
    <row r="1940" spans="1:4" x14ac:dyDescent="0.3">
      <c r="A1940" s="83" t="s">
        <v>23</v>
      </c>
      <c r="B1940" s="83"/>
      <c r="C1940" s="16">
        <v>46212</v>
      </c>
      <c r="D1940" s="82">
        <v>267503.99000000005</v>
      </c>
    </row>
    <row r="1941" spans="1:4" x14ac:dyDescent="0.3">
      <c r="A1941" s="83" t="s">
        <v>24</v>
      </c>
      <c r="B1941" s="83"/>
      <c r="C1941" s="16">
        <v>46212</v>
      </c>
      <c r="D1941" s="82">
        <v>15130.45</v>
      </c>
    </row>
    <row r="1942" spans="1:4" x14ac:dyDescent="0.3">
      <c r="A1942" s="83" t="s">
        <v>25</v>
      </c>
      <c r="B1942" s="83"/>
      <c r="C1942" s="16">
        <v>46212</v>
      </c>
      <c r="D1942" s="82">
        <v>54.400000000000006</v>
      </c>
    </row>
    <row r="1943" spans="1:4" x14ac:dyDescent="0.3">
      <c r="A1943" s="83" t="s">
        <v>26</v>
      </c>
      <c r="B1943" s="83"/>
      <c r="C1943" s="16">
        <v>46212</v>
      </c>
      <c r="D1943" s="82">
        <v>2207.8200000000002</v>
      </c>
    </row>
    <row r="1944" spans="1:4" x14ac:dyDescent="0.3">
      <c r="A1944" s="83" t="s">
        <v>27</v>
      </c>
      <c r="B1944" s="83"/>
      <c r="C1944" s="16">
        <v>46212</v>
      </c>
      <c r="D1944" s="82">
        <v>1454604.72</v>
      </c>
    </row>
    <row r="1945" spans="1:4" x14ac:dyDescent="0.3">
      <c r="A1945" s="83" t="s">
        <v>28</v>
      </c>
      <c r="B1945" s="83"/>
      <c r="C1945" s="16">
        <v>46212</v>
      </c>
      <c r="D1945" s="82">
        <v>1968.99</v>
      </c>
    </row>
    <row r="1946" spans="1:4" x14ac:dyDescent="0.3">
      <c r="A1946" s="83" t="s">
        <v>29</v>
      </c>
      <c r="B1946" s="83"/>
      <c r="C1946" s="16">
        <v>46212</v>
      </c>
      <c r="D1946" s="82">
        <v>382.69000000000005</v>
      </c>
    </row>
    <row r="1947" spans="1:4" x14ac:dyDescent="0.3">
      <c r="A1947" s="83" t="s">
        <v>30</v>
      </c>
      <c r="B1947" s="83"/>
      <c r="C1947" s="16">
        <v>46212</v>
      </c>
      <c r="D1947" s="82">
        <v>1412.08</v>
      </c>
    </row>
    <row r="1948" spans="1:4" x14ac:dyDescent="0.3">
      <c r="A1948" s="83" t="s">
        <v>31</v>
      </c>
      <c r="B1948" s="83"/>
      <c r="C1948" s="16">
        <v>46212</v>
      </c>
      <c r="D1948" s="82">
        <v>22496.639999999959</v>
      </c>
    </row>
    <row r="1949" spans="1:4" x14ac:dyDescent="0.3">
      <c r="A1949" s="83" t="s">
        <v>32</v>
      </c>
      <c r="B1949" s="83"/>
      <c r="C1949" s="16">
        <v>46212</v>
      </c>
      <c r="D1949" s="82">
        <v>6522.8000000000029</v>
      </c>
    </row>
    <row r="1950" spans="1:4" x14ac:dyDescent="0.3">
      <c r="A1950" s="83" t="s">
        <v>33</v>
      </c>
      <c r="B1950" s="83"/>
      <c r="C1950" s="16">
        <v>46212</v>
      </c>
      <c r="D1950" s="82">
        <v>28485.559999999998</v>
      </c>
    </row>
    <row r="1951" spans="1:4" x14ac:dyDescent="0.3">
      <c r="A1951" s="83" t="s">
        <v>34</v>
      </c>
      <c r="B1951" s="83"/>
      <c r="C1951" s="16">
        <v>46212</v>
      </c>
      <c r="D1951" s="82">
        <v>345</v>
      </c>
    </row>
    <row r="1952" spans="1:4" x14ac:dyDescent="0.3">
      <c r="A1952" s="83" t="s">
        <v>35</v>
      </c>
      <c r="B1952" s="83"/>
      <c r="C1952" s="16">
        <v>46212</v>
      </c>
      <c r="D1952" s="82">
        <v>31900.120000000003</v>
      </c>
    </row>
    <row r="1953" spans="1:4" x14ac:dyDescent="0.3">
      <c r="A1953" s="83" t="s">
        <v>193</v>
      </c>
      <c r="B1953" s="83"/>
      <c r="C1953" s="16">
        <v>46212</v>
      </c>
      <c r="D1953" s="82">
        <v>0</v>
      </c>
    </row>
    <row r="1954" spans="1:4" x14ac:dyDescent="0.3">
      <c r="A1954" s="83" t="s">
        <v>214</v>
      </c>
      <c r="B1954" s="83"/>
      <c r="C1954" s="16">
        <v>46212</v>
      </c>
      <c r="D1954" s="82">
        <v>0</v>
      </c>
    </row>
    <row r="1955" spans="1:4" x14ac:dyDescent="0.3">
      <c r="A1955" s="83" t="s">
        <v>194</v>
      </c>
      <c r="B1955" s="83"/>
      <c r="C1955" s="16">
        <v>46212</v>
      </c>
      <c r="D1955" s="82">
        <v>0</v>
      </c>
    </row>
    <row r="1956" spans="1:4" x14ac:dyDescent="0.3">
      <c r="A1956" s="83" t="s">
        <v>195</v>
      </c>
      <c r="B1956" s="83"/>
      <c r="C1956" s="16">
        <v>46212</v>
      </c>
      <c r="D1956" s="82">
        <v>0</v>
      </c>
    </row>
    <row r="1957" spans="1:4" x14ac:dyDescent="0.3">
      <c r="A1957" s="83" t="s">
        <v>196</v>
      </c>
      <c r="B1957" s="83"/>
      <c r="C1957" s="16">
        <v>46212</v>
      </c>
      <c r="D1957" s="82">
        <v>0</v>
      </c>
    </row>
    <row r="1958" spans="1:4" x14ac:dyDescent="0.3">
      <c r="A1958" s="83" t="s">
        <v>197</v>
      </c>
      <c r="B1958" s="83"/>
      <c r="C1958" s="16">
        <v>46212</v>
      </c>
      <c r="D1958" s="82">
        <v>0</v>
      </c>
    </row>
    <row r="1959" spans="1:4" x14ac:dyDescent="0.3">
      <c r="A1959" s="83" t="s">
        <v>212</v>
      </c>
      <c r="B1959" s="83"/>
      <c r="C1959" s="16">
        <v>46212</v>
      </c>
      <c r="D1959" s="82">
        <v>0</v>
      </c>
    </row>
    <row r="1960" spans="1:4" x14ac:dyDescent="0.3">
      <c r="A1960" s="83" t="s">
        <v>199</v>
      </c>
      <c r="B1960" s="83"/>
      <c r="C1960" s="16">
        <v>46212</v>
      </c>
      <c r="D1960" s="82">
        <v>0</v>
      </c>
    </row>
    <row r="1961" spans="1:4" x14ac:dyDescent="0.3">
      <c r="A1961" s="83" t="s">
        <v>216</v>
      </c>
      <c r="B1961" s="83"/>
      <c r="C1961" s="16">
        <v>46212</v>
      </c>
      <c r="D1961" s="82">
        <v>0</v>
      </c>
    </row>
    <row r="1962" spans="1:4" x14ac:dyDescent="0.3">
      <c r="A1962" s="83" t="s">
        <v>17</v>
      </c>
      <c r="B1962" s="83"/>
      <c r="C1962" s="16">
        <v>46213</v>
      </c>
      <c r="D1962" s="82">
        <v>4163755.7500000005</v>
      </c>
    </row>
    <row r="1963" spans="1:4" x14ac:dyDescent="0.3">
      <c r="A1963" s="83" t="s">
        <v>18</v>
      </c>
      <c r="B1963" s="83"/>
      <c r="C1963" s="16">
        <v>46213</v>
      </c>
      <c r="D1963" s="82">
        <v>73157.680000000168</v>
      </c>
    </row>
    <row r="1964" spans="1:4" x14ac:dyDescent="0.3">
      <c r="A1964" s="83" t="s">
        <v>19</v>
      </c>
      <c r="B1964" s="83"/>
      <c r="C1964" s="16">
        <v>46213</v>
      </c>
      <c r="D1964" s="82">
        <v>1669.89</v>
      </c>
    </row>
    <row r="1965" spans="1:4" x14ac:dyDescent="0.3">
      <c r="A1965" s="83" t="s">
        <v>20</v>
      </c>
      <c r="B1965" s="83"/>
      <c r="C1965" s="16">
        <v>46213</v>
      </c>
      <c r="D1965" s="82">
        <v>290141.62999999989</v>
      </c>
    </row>
    <row r="1966" spans="1:4" x14ac:dyDescent="0.3">
      <c r="A1966" s="83" t="s">
        <v>21</v>
      </c>
      <c r="B1966" s="83"/>
      <c r="C1966" s="16">
        <v>46213</v>
      </c>
      <c r="D1966" s="82">
        <v>1921752.2699999993</v>
      </c>
    </row>
    <row r="1967" spans="1:4" x14ac:dyDescent="0.3">
      <c r="A1967" s="83" t="s">
        <v>22</v>
      </c>
      <c r="B1967" s="83"/>
      <c r="C1967" s="16">
        <v>46213</v>
      </c>
      <c r="D1967" s="82">
        <v>200496.38</v>
      </c>
    </row>
    <row r="1968" spans="1:4" x14ac:dyDescent="0.3">
      <c r="A1968" s="83" t="s">
        <v>23</v>
      </c>
      <c r="B1968" s="83"/>
      <c r="C1968" s="16">
        <v>46213</v>
      </c>
      <c r="D1968" s="82">
        <v>267503.99000000005</v>
      </c>
    </row>
    <row r="1969" spans="1:4" x14ac:dyDescent="0.3">
      <c r="A1969" s="83" t="s">
        <v>24</v>
      </c>
      <c r="B1969" s="83"/>
      <c r="C1969" s="16">
        <v>46213</v>
      </c>
      <c r="D1969" s="82">
        <v>14580.45</v>
      </c>
    </row>
    <row r="1970" spans="1:4" x14ac:dyDescent="0.3">
      <c r="A1970" s="83" t="s">
        <v>25</v>
      </c>
      <c r="B1970" s="83"/>
      <c r="C1970" s="16">
        <v>46213</v>
      </c>
      <c r="D1970" s="82">
        <v>54.400000000000006</v>
      </c>
    </row>
    <row r="1971" spans="1:4" x14ac:dyDescent="0.3">
      <c r="A1971" s="83" t="s">
        <v>26</v>
      </c>
      <c r="B1971" s="83"/>
      <c r="C1971" s="16">
        <v>46213</v>
      </c>
      <c r="D1971" s="82">
        <v>2207.8200000000002</v>
      </c>
    </row>
    <row r="1972" spans="1:4" x14ac:dyDescent="0.3">
      <c r="A1972" s="83" t="s">
        <v>27</v>
      </c>
      <c r="B1972" s="83"/>
      <c r="C1972" s="16">
        <v>46213</v>
      </c>
      <c r="D1972" s="82">
        <v>1454589.72</v>
      </c>
    </row>
    <row r="1973" spans="1:4" x14ac:dyDescent="0.3">
      <c r="A1973" s="83" t="s">
        <v>28</v>
      </c>
      <c r="B1973" s="83"/>
      <c r="C1973" s="16">
        <v>46213</v>
      </c>
      <c r="D1973" s="82">
        <v>1968.99</v>
      </c>
    </row>
    <row r="1974" spans="1:4" x14ac:dyDescent="0.3">
      <c r="A1974" s="83" t="s">
        <v>29</v>
      </c>
      <c r="B1974" s="83"/>
      <c r="C1974" s="16">
        <v>46213</v>
      </c>
      <c r="D1974" s="82">
        <v>382.69000000000005</v>
      </c>
    </row>
    <row r="1975" spans="1:4" x14ac:dyDescent="0.3">
      <c r="A1975" s="83" t="s">
        <v>30</v>
      </c>
      <c r="B1975" s="83"/>
      <c r="C1975" s="16">
        <v>46213</v>
      </c>
      <c r="D1975" s="82">
        <v>1412.08</v>
      </c>
    </row>
    <row r="1976" spans="1:4" x14ac:dyDescent="0.3">
      <c r="A1976" s="83" t="s">
        <v>31</v>
      </c>
      <c r="B1976" s="83"/>
      <c r="C1976" s="16">
        <v>46213</v>
      </c>
      <c r="D1976" s="82">
        <v>22496.639999999959</v>
      </c>
    </row>
    <row r="1977" spans="1:4" x14ac:dyDescent="0.3">
      <c r="A1977" s="83" t="s">
        <v>32</v>
      </c>
      <c r="B1977" s="83"/>
      <c r="C1977" s="16">
        <v>46213</v>
      </c>
      <c r="D1977" s="82">
        <v>6522.8000000000029</v>
      </c>
    </row>
    <row r="1978" spans="1:4" x14ac:dyDescent="0.3">
      <c r="A1978" s="83" t="s">
        <v>33</v>
      </c>
      <c r="B1978" s="83"/>
      <c r="C1978" s="16">
        <v>46213</v>
      </c>
      <c r="D1978" s="82">
        <v>28485.559999999998</v>
      </c>
    </row>
    <row r="1979" spans="1:4" x14ac:dyDescent="0.3">
      <c r="A1979" s="83" t="s">
        <v>34</v>
      </c>
      <c r="B1979" s="83"/>
      <c r="C1979" s="16">
        <v>46213</v>
      </c>
      <c r="D1979" s="82">
        <v>345</v>
      </c>
    </row>
    <row r="1980" spans="1:4" x14ac:dyDescent="0.3">
      <c r="A1980" s="83" t="s">
        <v>35</v>
      </c>
      <c r="B1980" s="83"/>
      <c r="C1980" s="16">
        <v>46213</v>
      </c>
      <c r="D1980" s="82">
        <v>31900.120000000003</v>
      </c>
    </row>
    <row r="1981" spans="1:4" x14ac:dyDescent="0.3">
      <c r="A1981" s="83" t="s">
        <v>193</v>
      </c>
      <c r="B1981" s="83"/>
      <c r="C1981" s="16">
        <v>46213</v>
      </c>
      <c r="D1981" s="82">
        <v>0</v>
      </c>
    </row>
    <row r="1982" spans="1:4" x14ac:dyDescent="0.3">
      <c r="A1982" s="83" t="s">
        <v>214</v>
      </c>
      <c r="B1982" s="83"/>
      <c r="C1982" s="16">
        <v>46213</v>
      </c>
      <c r="D1982" s="82">
        <v>0</v>
      </c>
    </row>
    <row r="1983" spans="1:4" x14ac:dyDescent="0.3">
      <c r="A1983" s="83" t="s">
        <v>194</v>
      </c>
      <c r="B1983" s="83"/>
      <c r="C1983" s="16">
        <v>46213</v>
      </c>
      <c r="D1983" s="82">
        <v>0</v>
      </c>
    </row>
    <row r="1984" spans="1:4" x14ac:dyDescent="0.3">
      <c r="A1984" s="83" t="s">
        <v>195</v>
      </c>
      <c r="B1984" s="83"/>
      <c r="C1984" s="16">
        <v>46213</v>
      </c>
      <c r="D1984" s="82">
        <v>0</v>
      </c>
    </row>
    <row r="1985" spans="1:4" x14ac:dyDescent="0.3">
      <c r="A1985" s="83" t="s">
        <v>196</v>
      </c>
      <c r="B1985" s="83"/>
      <c r="C1985" s="16">
        <v>46213</v>
      </c>
      <c r="D1985" s="82">
        <v>0</v>
      </c>
    </row>
    <row r="1986" spans="1:4" x14ac:dyDescent="0.3">
      <c r="A1986" s="83" t="s">
        <v>197</v>
      </c>
      <c r="B1986" s="83"/>
      <c r="C1986" s="16">
        <v>46213</v>
      </c>
      <c r="D1986" s="82">
        <v>0</v>
      </c>
    </row>
    <row r="1987" spans="1:4" x14ac:dyDescent="0.3">
      <c r="A1987" s="83" t="s">
        <v>212</v>
      </c>
      <c r="B1987" s="83"/>
      <c r="C1987" s="16">
        <v>46213</v>
      </c>
      <c r="D1987" s="82">
        <v>0</v>
      </c>
    </row>
    <row r="1988" spans="1:4" x14ac:dyDescent="0.3">
      <c r="A1988" s="83" t="s">
        <v>199</v>
      </c>
      <c r="B1988" s="83"/>
      <c r="C1988" s="16">
        <v>46213</v>
      </c>
      <c r="D1988" s="82">
        <v>0</v>
      </c>
    </row>
    <row r="1989" spans="1:4" x14ac:dyDescent="0.3">
      <c r="A1989" s="83" t="s">
        <v>216</v>
      </c>
      <c r="B1989" s="83"/>
      <c r="C1989" s="16">
        <v>46213</v>
      </c>
      <c r="D1989" s="82">
        <v>0</v>
      </c>
    </row>
    <row r="1990" spans="1:4" x14ac:dyDescent="0.3">
      <c r="A1990" s="83" t="s">
        <v>17</v>
      </c>
      <c r="B1990" s="83"/>
      <c r="C1990" s="16">
        <v>46214</v>
      </c>
      <c r="D1990" s="82">
        <v>4163755.7500000005</v>
      </c>
    </row>
    <row r="1991" spans="1:4" x14ac:dyDescent="0.3">
      <c r="A1991" s="83" t="s">
        <v>18</v>
      </c>
      <c r="B1991" s="83"/>
      <c r="C1991" s="16">
        <v>46214</v>
      </c>
      <c r="D1991" s="82">
        <v>73157.680000000168</v>
      </c>
    </row>
    <row r="1992" spans="1:4" x14ac:dyDescent="0.3">
      <c r="A1992" s="83" t="s">
        <v>19</v>
      </c>
      <c r="B1992" s="83"/>
      <c r="C1992" s="16">
        <v>46214</v>
      </c>
      <c r="D1992" s="82">
        <v>1669.89</v>
      </c>
    </row>
    <row r="1993" spans="1:4" x14ac:dyDescent="0.3">
      <c r="A1993" s="83" t="s">
        <v>20</v>
      </c>
      <c r="B1993" s="83"/>
      <c r="C1993" s="16">
        <v>46214</v>
      </c>
      <c r="D1993" s="82">
        <v>290141.62999999989</v>
      </c>
    </row>
    <row r="1994" spans="1:4" x14ac:dyDescent="0.3">
      <c r="A1994" s="83" t="s">
        <v>21</v>
      </c>
      <c r="B1994" s="83"/>
      <c r="C1994" s="16">
        <v>46214</v>
      </c>
      <c r="D1994" s="82">
        <v>1921752.2699999993</v>
      </c>
    </row>
    <row r="1995" spans="1:4" x14ac:dyDescent="0.3">
      <c r="A1995" s="83" t="s">
        <v>22</v>
      </c>
      <c r="B1995" s="83"/>
      <c r="C1995" s="16">
        <v>46214</v>
      </c>
      <c r="D1995" s="82">
        <v>200496.38</v>
      </c>
    </row>
    <row r="1996" spans="1:4" x14ac:dyDescent="0.3">
      <c r="A1996" s="83" t="s">
        <v>23</v>
      </c>
      <c r="B1996" s="83"/>
      <c r="C1996" s="16">
        <v>46214</v>
      </c>
      <c r="D1996" s="82">
        <v>267503.99000000005</v>
      </c>
    </row>
    <row r="1997" spans="1:4" x14ac:dyDescent="0.3">
      <c r="A1997" s="83" t="s">
        <v>24</v>
      </c>
      <c r="B1997" s="83"/>
      <c r="C1997" s="16">
        <v>46214</v>
      </c>
      <c r="D1997" s="82">
        <v>14580.45</v>
      </c>
    </row>
    <row r="1998" spans="1:4" x14ac:dyDescent="0.3">
      <c r="A1998" s="83" t="s">
        <v>25</v>
      </c>
      <c r="B1998" s="83"/>
      <c r="C1998" s="16">
        <v>46214</v>
      </c>
      <c r="D1998" s="82">
        <v>54.400000000000006</v>
      </c>
    </row>
    <row r="1999" spans="1:4" x14ac:dyDescent="0.3">
      <c r="A1999" s="83" t="s">
        <v>26</v>
      </c>
      <c r="B1999" s="83"/>
      <c r="C1999" s="16">
        <v>46214</v>
      </c>
      <c r="D1999" s="82">
        <v>2207.8200000000002</v>
      </c>
    </row>
    <row r="2000" spans="1:4" x14ac:dyDescent="0.3">
      <c r="A2000" s="83" t="s">
        <v>27</v>
      </c>
      <c r="B2000" s="83"/>
      <c r="C2000" s="16">
        <v>46214</v>
      </c>
      <c r="D2000" s="82">
        <v>1454589.72</v>
      </c>
    </row>
    <row r="2001" spans="1:4" x14ac:dyDescent="0.3">
      <c r="A2001" s="83" t="s">
        <v>28</v>
      </c>
      <c r="B2001" s="83"/>
      <c r="C2001" s="16">
        <v>46214</v>
      </c>
      <c r="D2001" s="82">
        <v>1968.99</v>
      </c>
    </row>
    <row r="2002" spans="1:4" x14ac:dyDescent="0.3">
      <c r="A2002" s="83" t="s">
        <v>29</v>
      </c>
      <c r="B2002" s="83"/>
      <c r="C2002" s="16">
        <v>46214</v>
      </c>
      <c r="D2002" s="82">
        <v>382.69000000000005</v>
      </c>
    </row>
    <row r="2003" spans="1:4" x14ac:dyDescent="0.3">
      <c r="A2003" s="83" t="s">
        <v>30</v>
      </c>
      <c r="B2003" s="83"/>
      <c r="C2003" s="16">
        <v>46214</v>
      </c>
      <c r="D2003" s="82">
        <v>1412.08</v>
      </c>
    </row>
    <row r="2004" spans="1:4" x14ac:dyDescent="0.3">
      <c r="A2004" s="83" t="s">
        <v>31</v>
      </c>
      <c r="B2004" s="83"/>
      <c r="C2004" s="16">
        <v>46214</v>
      </c>
      <c r="D2004" s="82">
        <v>22496.639999999959</v>
      </c>
    </row>
    <row r="2005" spans="1:4" x14ac:dyDescent="0.3">
      <c r="A2005" s="83" t="s">
        <v>32</v>
      </c>
      <c r="B2005" s="83"/>
      <c r="C2005" s="16">
        <v>46214</v>
      </c>
      <c r="D2005" s="82">
        <v>6522.8000000000029</v>
      </c>
    </row>
    <row r="2006" spans="1:4" x14ac:dyDescent="0.3">
      <c r="A2006" s="83" t="s">
        <v>33</v>
      </c>
      <c r="B2006" s="83"/>
      <c r="C2006" s="16">
        <v>46214</v>
      </c>
      <c r="D2006" s="82">
        <v>28485.559999999998</v>
      </c>
    </row>
    <row r="2007" spans="1:4" x14ac:dyDescent="0.3">
      <c r="A2007" s="83" t="s">
        <v>34</v>
      </c>
      <c r="B2007" s="83"/>
      <c r="C2007" s="16">
        <v>46214</v>
      </c>
      <c r="D2007" s="82">
        <v>345</v>
      </c>
    </row>
    <row r="2008" spans="1:4" x14ac:dyDescent="0.3">
      <c r="A2008" s="83" t="s">
        <v>35</v>
      </c>
      <c r="B2008" s="83"/>
      <c r="C2008" s="16">
        <v>46214</v>
      </c>
      <c r="D2008" s="82">
        <v>31900.120000000003</v>
      </c>
    </row>
    <row r="2009" spans="1:4" x14ac:dyDescent="0.3">
      <c r="A2009" s="83" t="s">
        <v>193</v>
      </c>
      <c r="B2009" s="83"/>
      <c r="C2009" s="16">
        <v>46214</v>
      </c>
      <c r="D2009" s="82">
        <v>0</v>
      </c>
    </row>
    <row r="2010" spans="1:4" x14ac:dyDescent="0.3">
      <c r="A2010" s="83" t="s">
        <v>214</v>
      </c>
      <c r="B2010" s="83"/>
      <c r="C2010" s="16">
        <v>46214</v>
      </c>
      <c r="D2010" s="82">
        <v>0</v>
      </c>
    </row>
    <row r="2011" spans="1:4" x14ac:dyDescent="0.3">
      <c r="A2011" s="83" t="s">
        <v>194</v>
      </c>
      <c r="B2011" s="83"/>
      <c r="C2011" s="16">
        <v>46214</v>
      </c>
      <c r="D2011" s="82">
        <v>0</v>
      </c>
    </row>
    <row r="2012" spans="1:4" x14ac:dyDescent="0.3">
      <c r="A2012" s="83" t="s">
        <v>195</v>
      </c>
      <c r="B2012" s="83"/>
      <c r="C2012" s="16">
        <v>46214</v>
      </c>
      <c r="D2012" s="82">
        <v>0</v>
      </c>
    </row>
    <row r="2013" spans="1:4" x14ac:dyDescent="0.3">
      <c r="A2013" s="83" t="s">
        <v>196</v>
      </c>
      <c r="B2013" s="83"/>
      <c r="C2013" s="16">
        <v>46214</v>
      </c>
      <c r="D2013" s="82">
        <v>0</v>
      </c>
    </row>
    <row r="2014" spans="1:4" x14ac:dyDescent="0.3">
      <c r="A2014" s="83" t="s">
        <v>197</v>
      </c>
      <c r="B2014" s="83"/>
      <c r="C2014" s="16">
        <v>46214</v>
      </c>
      <c r="D2014" s="82">
        <v>0</v>
      </c>
    </row>
    <row r="2015" spans="1:4" x14ac:dyDescent="0.3">
      <c r="A2015" s="83" t="s">
        <v>212</v>
      </c>
      <c r="B2015" s="83"/>
      <c r="C2015" s="16">
        <v>46214</v>
      </c>
      <c r="D2015" s="82">
        <v>0</v>
      </c>
    </row>
    <row r="2016" spans="1:4" x14ac:dyDescent="0.3">
      <c r="A2016" s="83" t="s">
        <v>199</v>
      </c>
      <c r="B2016" s="83"/>
      <c r="C2016" s="16">
        <v>46214</v>
      </c>
      <c r="D2016" s="82">
        <v>0</v>
      </c>
    </row>
    <row r="2017" spans="1:4" x14ac:dyDescent="0.3">
      <c r="A2017" s="83" t="s">
        <v>216</v>
      </c>
      <c r="B2017" s="83"/>
      <c r="C2017" s="16">
        <v>46214</v>
      </c>
      <c r="D2017" s="82">
        <v>0</v>
      </c>
    </row>
    <row r="2018" spans="1:4" x14ac:dyDescent="0.3">
      <c r="A2018" s="83" t="s">
        <v>17</v>
      </c>
      <c r="B2018" s="83"/>
      <c r="C2018" s="16">
        <v>46215</v>
      </c>
      <c r="D2018" s="82">
        <v>4163755.7500000005</v>
      </c>
    </row>
    <row r="2019" spans="1:4" x14ac:dyDescent="0.3">
      <c r="A2019" s="83" t="s">
        <v>18</v>
      </c>
      <c r="B2019" s="83"/>
      <c r="C2019" s="16">
        <v>46215</v>
      </c>
      <c r="D2019" s="82">
        <v>73157.680000000168</v>
      </c>
    </row>
    <row r="2020" spans="1:4" x14ac:dyDescent="0.3">
      <c r="A2020" s="83" t="s">
        <v>19</v>
      </c>
      <c r="B2020" s="83"/>
      <c r="C2020" s="16">
        <v>46215</v>
      </c>
      <c r="D2020" s="82">
        <v>1669.89</v>
      </c>
    </row>
    <row r="2021" spans="1:4" x14ac:dyDescent="0.3">
      <c r="A2021" s="83" t="s">
        <v>20</v>
      </c>
      <c r="B2021" s="83"/>
      <c r="C2021" s="16">
        <v>46215</v>
      </c>
      <c r="D2021" s="82">
        <v>290141.62999999989</v>
      </c>
    </row>
    <row r="2022" spans="1:4" x14ac:dyDescent="0.3">
      <c r="A2022" s="83" t="s">
        <v>21</v>
      </c>
      <c r="B2022" s="83"/>
      <c r="C2022" s="16">
        <v>46215</v>
      </c>
      <c r="D2022" s="82">
        <v>1921752.2699999993</v>
      </c>
    </row>
    <row r="2023" spans="1:4" x14ac:dyDescent="0.3">
      <c r="A2023" s="83" t="s">
        <v>22</v>
      </c>
      <c r="B2023" s="83"/>
      <c r="C2023" s="16">
        <v>46215</v>
      </c>
      <c r="D2023" s="82">
        <v>200496.38</v>
      </c>
    </row>
    <row r="2024" spans="1:4" x14ac:dyDescent="0.3">
      <c r="A2024" s="83" t="s">
        <v>23</v>
      </c>
      <c r="B2024" s="83"/>
      <c r="C2024" s="16">
        <v>46215</v>
      </c>
      <c r="D2024" s="82">
        <v>267503.99000000005</v>
      </c>
    </row>
    <row r="2025" spans="1:4" x14ac:dyDescent="0.3">
      <c r="A2025" s="83" t="s">
        <v>24</v>
      </c>
      <c r="B2025" s="83"/>
      <c r="C2025" s="16">
        <v>46215</v>
      </c>
      <c r="D2025" s="82">
        <v>14580.45</v>
      </c>
    </row>
    <row r="2026" spans="1:4" x14ac:dyDescent="0.3">
      <c r="A2026" s="83" t="s">
        <v>25</v>
      </c>
      <c r="B2026" s="83"/>
      <c r="C2026" s="16">
        <v>46215</v>
      </c>
      <c r="D2026" s="82">
        <v>54.400000000000006</v>
      </c>
    </row>
    <row r="2027" spans="1:4" x14ac:dyDescent="0.3">
      <c r="A2027" s="83" t="s">
        <v>26</v>
      </c>
      <c r="B2027" s="83"/>
      <c r="C2027" s="16">
        <v>46215</v>
      </c>
      <c r="D2027" s="82">
        <v>2207.8200000000002</v>
      </c>
    </row>
    <row r="2028" spans="1:4" x14ac:dyDescent="0.3">
      <c r="A2028" s="83" t="s">
        <v>27</v>
      </c>
      <c r="B2028" s="83"/>
      <c r="C2028" s="16">
        <v>46215</v>
      </c>
      <c r="D2028" s="82">
        <v>1454589.72</v>
      </c>
    </row>
    <row r="2029" spans="1:4" x14ac:dyDescent="0.3">
      <c r="A2029" s="83" t="s">
        <v>28</v>
      </c>
      <c r="B2029" s="83"/>
      <c r="C2029" s="16">
        <v>46215</v>
      </c>
      <c r="D2029" s="82">
        <v>1968.99</v>
      </c>
    </row>
    <row r="2030" spans="1:4" x14ac:dyDescent="0.3">
      <c r="A2030" s="83" t="s">
        <v>29</v>
      </c>
      <c r="B2030" s="83"/>
      <c r="C2030" s="16">
        <v>46215</v>
      </c>
      <c r="D2030" s="82">
        <v>382.69000000000005</v>
      </c>
    </row>
    <row r="2031" spans="1:4" x14ac:dyDescent="0.3">
      <c r="A2031" s="83" t="s">
        <v>30</v>
      </c>
      <c r="B2031" s="83"/>
      <c r="C2031" s="16">
        <v>46215</v>
      </c>
      <c r="D2031" s="82">
        <v>1412.08</v>
      </c>
    </row>
    <row r="2032" spans="1:4" x14ac:dyDescent="0.3">
      <c r="A2032" s="83" t="s">
        <v>31</v>
      </c>
      <c r="B2032" s="83"/>
      <c r="C2032" s="16">
        <v>46215</v>
      </c>
      <c r="D2032" s="82">
        <v>22496.639999999959</v>
      </c>
    </row>
    <row r="2033" spans="1:4" x14ac:dyDescent="0.3">
      <c r="A2033" s="83" t="s">
        <v>32</v>
      </c>
      <c r="B2033" s="83"/>
      <c r="C2033" s="16">
        <v>46215</v>
      </c>
      <c r="D2033" s="82">
        <v>6522.8000000000029</v>
      </c>
    </row>
    <row r="2034" spans="1:4" x14ac:dyDescent="0.3">
      <c r="A2034" s="83" t="s">
        <v>33</v>
      </c>
      <c r="B2034" s="83"/>
      <c r="C2034" s="16">
        <v>46215</v>
      </c>
      <c r="D2034" s="82">
        <v>28485.559999999998</v>
      </c>
    </row>
    <row r="2035" spans="1:4" x14ac:dyDescent="0.3">
      <c r="A2035" s="83" t="s">
        <v>34</v>
      </c>
      <c r="B2035" s="83"/>
      <c r="C2035" s="16">
        <v>46215</v>
      </c>
      <c r="D2035" s="82">
        <v>345</v>
      </c>
    </row>
    <row r="2036" spans="1:4" x14ac:dyDescent="0.3">
      <c r="A2036" s="83" t="s">
        <v>35</v>
      </c>
      <c r="B2036" s="83"/>
      <c r="C2036" s="16">
        <v>46215</v>
      </c>
      <c r="D2036" s="82">
        <v>31900.120000000003</v>
      </c>
    </row>
    <row r="2037" spans="1:4" x14ac:dyDescent="0.3">
      <c r="A2037" s="83" t="s">
        <v>193</v>
      </c>
      <c r="B2037" s="83"/>
      <c r="C2037" s="16">
        <v>46215</v>
      </c>
      <c r="D2037" s="82">
        <v>0</v>
      </c>
    </row>
    <row r="2038" spans="1:4" x14ac:dyDescent="0.3">
      <c r="A2038" s="83" t="s">
        <v>214</v>
      </c>
      <c r="B2038" s="83"/>
      <c r="C2038" s="16">
        <v>46215</v>
      </c>
      <c r="D2038" s="82">
        <v>0</v>
      </c>
    </row>
    <row r="2039" spans="1:4" x14ac:dyDescent="0.3">
      <c r="A2039" s="83" t="s">
        <v>194</v>
      </c>
      <c r="B2039" s="83"/>
      <c r="C2039" s="16">
        <v>46215</v>
      </c>
      <c r="D2039" s="82">
        <v>0</v>
      </c>
    </row>
    <row r="2040" spans="1:4" x14ac:dyDescent="0.3">
      <c r="A2040" s="83" t="s">
        <v>195</v>
      </c>
      <c r="B2040" s="83"/>
      <c r="C2040" s="16">
        <v>46215</v>
      </c>
      <c r="D2040" s="82">
        <v>0</v>
      </c>
    </row>
    <row r="2041" spans="1:4" x14ac:dyDescent="0.3">
      <c r="A2041" s="83" t="s">
        <v>196</v>
      </c>
      <c r="B2041" s="83"/>
      <c r="C2041" s="16">
        <v>46215</v>
      </c>
      <c r="D2041" s="82">
        <v>0</v>
      </c>
    </row>
    <row r="2042" spans="1:4" x14ac:dyDescent="0.3">
      <c r="A2042" s="83" t="s">
        <v>197</v>
      </c>
      <c r="B2042" s="83"/>
      <c r="C2042" s="16">
        <v>46215</v>
      </c>
      <c r="D2042" s="82">
        <v>0</v>
      </c>
    </row>
    <row r="2043" spans="1:4" x14ac:dyDescent="0.3">
      <c r="A2043" s="83" t="s">
        <v>212</v>
      </c>
      <c r="B2043" s="83"/>
      <c r="C2043" s="16">
        <v>46215</v>
      </c>
      <c r="D2043" s="82">
        <v>0</v>
      </c>
    </row>
    <row r="2044" spans="1:4" x14ac:dyDescent="0.3">
      <c r="A2044" s="83" t="s">
        <v>199</v>
      </c>
      <c r="B2044" s="83"/>
      <c r="C2044" s="16">
        <v>46215</v>
      </c>
      <c r="D2044" s="82">
        <v>0</v>
      </c>
    </row>
    <row r="2045" spans="1:4" x14ac:dyDescent="0.3">
      <c r="A2045" s="83" t="s">
        <v>216</v>
      </c>
      <c r="B2045" s="83"/>
      <c r="C2045" s="16">
        <v>46215</v>
      </c>
      <c r="D2045" s="82">
        <v>0</v>
      </c>
    </row>
    <row r="2046" spans="1:4" x14ac:dyDescent="0.3">
      <c r="A2046" s="83" t="s">
        <v>17</v>
      </c>
      <c r="B2046" s="83"/>
      <c r="C2046" s="16">
        <v>46216</v>
      </c>
      <c r="D2046" s="82">
        <v>4163755.7500000005</v>
      </c>
    </row>
    <row r="2047" spans="1:4" x14ac:dyDescent="0.3">
      <c r="A2047" s="83" t="s">
        <v>18</v>
      </c>
      <c r="B2047" s="83"/>
      <c r="C2047" s="16">
        <v>46216</v>
      </c>
      <c r="D2047" s="82">
        <v>73157.680000000168</v>
      </c>
    </row>
    <row r="2048" spans="1:4" x14ac:dyDescent="0.3">
      <c r="A2048" s="83" t="s">
        <v>19</v>
      </c>
      <c r="B2048" s="83"/>
      <c r="C2048" s="16">
        <v>46216</v>
      </c>
      <c r="D2048" s="82">
        <v>1669.89</v>
      </c>
    </row>
    <row r="2049" spans="1:4" x14ac:dyDescent="0.3">
      <c r="A2049" s="83" t="s">
        <v>20</v>
      </c>
      <c r="B2049" s="83"/>
      <c r="C2049" s="16">
        <v>46216</v>
      </c>
      <c r="D2049" s="82">
        <v>290141.62999999989</v>
      </c>
    </row>
    <row r="2050" spans="1:4" x14ac:dyDescent="0.3">
      <c r="A2050" s="83" t="s">
        <v>21</v>
      </c>
      <c r="B2050" s="83"/>
      <c r="C2050" s="16">
        <v>46216</v>
      </c>
      <c r="D2050" s="82">
        <v>1921752.2699999993</v>
      </c>
    </row>
    <row r="2051" spans="1:4" x14ac:dyDescent="0.3">
      <c r="A2051" s="83" t="s">
        <v>22</v>
      </c>
      <c r="B2051" s="83"/>
      <c r="C2051" s="16">
        <v>46216</v>
      </c>
      <c r="D2051" s="82">
        <v>200496.38</v>
      </c>
    </row>
    <row r="2052" spans="1:4" x14ac:dyDescent="0.3">
      <c r="A2052" s="83" t="s">
        <v>23</v>
      </c>
      <c r="B2052" s="83"/>
      <c r="C2052" s="16">
        <v>46216</v>
      </c>
      <c r="D2052" s="82">
        <v>267503.99000000005</v>
      </c>
    </row>
    <row r="2053" spans="1:4" x14ac:dyDescent="0.3">
      <c r="A2053" s="83" t="s">
        <v>24</v>
      </c>
      <c r="B2053" s="83"/>
      <c r="C2053" s="16">
        <v>46216</v>
      </c>
      <c r="D2053" s="82">
        <v>14580.45</v>
      </c>
    </row>
    <row r="2054" spans="1:4" x14ac:dyDescent="0.3">
      <c r="A2054" s="83" t="s">
        <v>25</v>
      </c>
      <c r="B2054" s="83"/>
      <c r="C2054" s="16">
        <v>46216</v>
      </c>
      <c r="D2054" s="82">
        <v>54.400000000000006</v>
      </c>
    </row>
    <row r="2055" spans="1:4" x14ac:dyDescent="0.3">
      <c r="A2055" s="83" t="s">
        <v>26</v>
      </c>
      <c r="B2055" s="83"/>
      <c r="C2055" s="16">
        <v>46216</v>
      </c>
      <c r="D2055" s="82">
        <v>2207.8200000000002</v>
      </c>
    </row>
    <row r="2056" spans="1:4" x14ac:dyDescent="0.3">
      <c r="A2056" s="83" t="s">
        <v>27</v>
      </c>
      <c r="B2056" s="83"/>
      <c r="C2056" s="16">
        <v>46216</v>
      </c>
      <c r="D2056" s="82">
        <v>1454589.72</v>
      </c>
    </row>
    <row r="2057" spans="1:4" x14ac:dyDescent="0.3">
      <c r="A2057" s="83" t="s">
        <v>28</v>
      </c>
      <c r="B2057" s="83"/>
      <c r="C2057" s="16">
        <v>46216</v>
      </c>
      <c r="D2057" s="82">
        <v>1968.99</v>
      </c>
    </row>
    <row r="2058" spans="1:4" x14ac:dyDescent="0.3">
      <c r="A2058" s="83" t="s">
        <v>29</v>
      </c>
      <c r="B2058" s="83"/>
      <c r="C2058" s="16">
        <v>46216</v>
      </c>
      <c r="D2058" s="82">
        <v>901.34</v>
      </c>
    </row>
    <row r="2059" spans="1:4" x14ac:dyDescent="0.3">
      <c r="A2059" s="83" t="s">
        <v>30</v>
      </c>
      <c r="B2059" s="83"/>
      <c r="C2059" s="16">
        <v>46216</v>
      </c>
      <c r="D2059" s="82">
        <v>1412.08</v>
      </c>
    </row>
    <row r="2060" spans="1:4" x14ac:dyDescent="0.3">
      <c r="A2060" s="83" t="s">
        <v>31</v>
      </c>
      <c r="B2060" s="83"/>
      <c r="C2060" s="16">
        <v>46216</v>
      </c>
      <c r="D2060" s="82">
        <v>22496.639999999959</v>
      </c>
    </row>
    <row r="2061" spans="1:4" x14ac:dyDescent="0.3">
      <c r="A2061" s="83" t="s">
        <v>32</v>
      </c>
      <c r="B2061" s="83"/>
      <c r="C2061" s="16">
        <v>46216</v>
      </c>
      <c r="D2061" s="82">
        <v>6522.8000000000029</v>
      </c>
    </row>
    <row r="2062" spans="1:4" x14ac:dyDescent="0.3">
      <c r="A2062" s="83" t="s">
        <v>33</v>
      </c>
      <c r="B2062" s="83"/>
      <c r="C2062" s="16">
        <v>46216</v>
      </c>
      <c r="D2062" s="82">
        <v>28485.559999999998</v>
      </c>
    </row>
    <row r="2063" spans="1:4" x14ac:dyDescent="0.3">
      <c r="A2063" s="83" t="s">
        <v>34</v>
      </c>
      <c r="B2063" s="83"/>
      <c r="C2063" s="16">
        <v>46216</v>
      </c>
      <c r="D2063" s="82">
        <v>345</v>
      </c>
    </row>
    <row r="2064" spans="1:4" x14ac:dyDescent="0.3">
      <c r="A2064" s="83" t="s">
        <v>35</v>
      </c>
      <c r="B2064" s="83"/>
      <c r="C2064" s="16">
        <v>46216</v>
      </c>
      <c r="D2064" s="82">
        <v>25198.240000000002</v>
      </c>
    </row>
    <row r="2065" spans="1:4" x14ac:dyDescent="0.3">
      <c r="A2065" s="83" t="s">
        <v>193</v>
      </c>
      <c r="B2065" s="83"/>
      <c r="C2065" s="16">
        <v>46216</v>
      </c>
      <c r="D2065" s="82">
        <v>0</v>
      </c>
    </row>
    <row r="2066" spans="1:4" x14ac:dyDescent="0.3">
      <c r="A2066" s="83" t="s">
        <v>214</v>
      </c>
      <c r="B2066" s="83"/>
      <c r="C2066" s="16">
        <v>46216</v>
      </c>
      <c r="D2066" s="82">
        <v>0</v>
      </c>
    </row>
    <row r="2067" spans="1:4" x14ac:dyDescent="0.3">
      <c r="A2067" s="83" t="s">
        <v>194</v>
      </c>
      <c r="B2067" s="83"/>
      <c r="C2067" s="16">
        <v>46216</v>
      </c>
      <c r="D2067" s="82">
        <v>0</v>
      </c>
    </row>
    <row r="2068" spans="1:4" x14ac:dyDescent="0.3">
      <c r="A2068" s="83" t="s">
        <v>195</v>
      </c>
      <c r="B2068" s="83"/>
      <c r="C2068" s="16">
        <v>46216</v>
      </c>
      <c r="D2068" s="82">
        <v>0</v>
      </c>
    </row>
    <row r="2069" spans="1:4" x14ac:dyDescent="0.3">
      <c r="A2069" s="83" t="s">
        <v>196</v>
      </c>
      <c r="B2069" s="83"/>
      <c r="C2069" s="16">
        <v>46216</v>
      </c>
      <c r="D2069" s="82">
        <v>0</v>
      </c>
    </row>
    <row r="2070" spans="1:4" x14ac:dyDescent="0.3">
      <c r="A2070" s="83" t="s">
        <v>197</v>
      </c>
      <c r="B2070" s="83"/>
      <c r="C2070" s="16">
        <v>46216</v>
      </c>
      <c r="D2070" s="82">
        <v>0</v>
      </c>
    </row>
    <row r="2071" spans="1:4" x14ac:dyDescent="0.3">
      <c r="A2071" s="83" t="s">
        <v>212</v>
      </c>
      <c r="B2071" s="83"/>
      <c r="C2071" s="16">
        <v>46216</v>
      </c>
      <c r="D2071" s="82">
        <v>0</v>
      </c>
    </row>
    <row r="2072" spans="1:4" x14ac:dyDescent="0.3">
      <c r="A2072" s="83" t="s">
        <v>199</v>
      </c>
      <c r="B2072" s="83"/>
      <c r="C2072" s="16">
        <v>46216</v>
      </c>
      <c r="D2072" s="82">
        <v>0</v>
      </c>
    </row>
    <row r="2073" spans="1:4" x14ac:dyDescent="0.3">
      <c r="A2073" s="83" t="s">
        <v>216</v>
      </c>
      <c r="B2073" s="83"/>
      <c r="C2073" s="16">
        <v>46216</v>
      </c>
      <c r="D2073" s="82">
        <v>0</v>
      </c>
    </row>
    <row r="2074" spans="1:4" x14ac:dyDescent="0.3">
      <c r="A2074" s="83" t="s">
        <v>17</v>
      </c>
      <c r="B2074" s="83"/>
      <c r="C2074" s="16">
        <v>46217</v>
      </c>
      <c r="D2074" s="82">
        <v>3363755.7500000005</v>
      </c>
    </row>
    <row r="2075" spans="1:4" x14ac:dyDescent="0.3">
      <c r="A2075" s="83" t="s">
        <v>18</v>
      </c>
      <c r="B2075" s="83"/>
      <c r="C2075" s="16">
        <v>46217</v>
      </c>
      <c r="D2075" s="82">
        <v>73157.680000000168</v>
      </c>
    </row>
    <row r="2076" spans="1:4" x14ac:dyDescent="0.3">
      <c r="A2076" s="83" t="s">
        <v>19</v>
      </c>
      <c r="B2076" s="83"/>
      <c r="C2076" s="16">
        <v>46217</v>
      </c>
      <c r="D2076" s="82">
        <v>1669.89</v>
      </c>
    </row>
    <row r="2077" spans="1:4" x14ac:dyDescent="0.3">
      <c r="A2077" s="83" t="s">
        <v>20</v>
      </c>
      <c r="B2077" s="83"/>
      <c r="C2077" s="16">
        <v>46217</v>
      </c>
      <c r="D2077" s="82">
        <v>1090141.6299999999</v>
      </c>
    </row>
    <row r="2078" spans="1:4" x14ac:dyDescent="0.3">
      <c r="A2078" s="83" t="s">
        <v>21</v>
      </c>
      <c r="B2078" s="83"/>
      <c r="C2078" s="16">
        <v>46217</v>
      </c>
      <c r="D2078" s="82">
        <v>1856542.8899999992</v>
      </c>
    </row>
    <row r="2079" spans="1:4" x14ac:dyDescent="0.3">
      <c r="A2079" s="83" t="s">
        <v>22</v>
      </c>
      <c r="B2079" s="83"/>
      <c r="C2079" s="16">
        <v>46217</v>
      </c>
      <c r="D2079" s="82">
        <v>200496.38</v>
      </c>
    </row>
    <row r="2080" spans="1:4" x14ac:dyDescent="0.3">
      <c r="A2080" s="83" t="s">
        <v>23</v>
      </c>
      <c r="B2080" s="83"/>
      <c r="C2080" s="16">
        <v>46217</v>
      </c>
      <c r="D2080" s="82">
        <v>267503.99000000005</v>
      </c>
    </row>
    <row r="2081" spans="1:4" x14ac:dyDescent="0.3">
      <c r="A2081" s="83" t="s">
        <v>24</v>
      </c>
      <c r="B2081" s="83"/>
      <c r="C2081" s="16">
        <v>46217</v>
      </c>
      <c r="D2081" s="82">
        <v>14580.45</v>
      </c>
    </row>
    <row r="2082" spans="1:4" x14ac:dyDescent="0.3">
      <c r="A2082" s="83" t="s">
        <v>25</v>
      </c>
      <c r="B2082" s="83"/>
      <c r="C2082" s="16">
        <v>46217</v>
      </c>
      <c r="D2082" s="82">
        <v>54.400000000000006</v>
      </c>
    </row>
    <row r="2083" spans="1:4" x14ac:dyDescent="0.3">
      <c r="A2083" s="83" t="s">
        <v>26</v>
      </c>
      <c r="B2083" s="83"/>
      <c r="C2083" s="16">
        <v>46217</v>
      </c>
      <c r="D2083" s="82">
        <v>2207.8200000000002</v>
      </c>
    </row>
    <row r="2084" spans="1:4" x14ac:dyDescent="0.3">
      <c r="A2084" s="83" t="s">
        <v>27</v>
      </c>
      <c r="B2084" s="83"/>
      <c r="C2084" s="16">
        <v>46217</v>
      </c>
      <c r="D2084" s="82">
        <v>1454589.72</v>
      </c>
    </row>
    <row r="2085" spans="1:4" x14ac:dyDescent="0.3">
      <c r="A2085" s="83" t="s">
        <v>28</v>
      </c>
      <c r="B2085" s="83"/>
      <c r="C2085" s="16">
        <v>46217</v>
      </c>
      <c r="D2085" s="82">
        <v>1968.99</v>
      </c>
    </row>
    <row r="2086" spans="1:4" x14ac:dyDescent="0.3">
      <c r="A2086" s="83" t="s">
        <v>29</v>
      </c>
      <c r="B2086" s="83"/>
      <c r="C2086" s="16">
        <v>46217</v>
      </c>
      <c r="D2086" s="82">
        <v>901.34</v>
      </c>
    </row>
    <row r="2087" spans="1:4" x14ac:dyDescent="0.3">
      <c r="A2087" s="83" t="s">
        <v>30</v>
      </c>
      <c r="B2087" s="83"/>
      <c r="C2087" s="16">
        <v>46217</v>
      </c>
      <c r="D2087" s="82">
        <v>1412.08</v>
      </c>
    </row>
    <row r="2088" spans="1:4" x14ac:dyDescent="0.3">
      <c r="A2088" s="83" t="s">
        <v>31</v>
      </c>
      <c r="B2088" s="83"/>
      <c r="C2088" s="16">
        <v>46217</v>
      </c>
      <c r="D2088" s="82">
        <v>22347.56999999996</v>
      </c>
    </row>
    <row r="2089" spans="1:4" x14ac:dyDescent="0.3">
      <c r="A2089" s="83" t="s">
        <v>32</v>
      </c>
      <c r="B2089" s="83"/>
      <c r="C2089" s="16">
        <v>46217</v>
      </c>
      <c r="D2089" s="82">
        <v>6522.8000000000029</v>
      </c>
    </row>
    <row r="2090" spans="1:4" x14ac:dyDescent="0.3">
      <c r="A2090" s="83" t="s">
        <v>33</v>
      </c>
      <c r="B2090" s="83"/>
      <c r="C2090" s="16">
        <v>46217</v>
      </c>
      <c r="D2090" s="82">
        <v>28485.559999999998</v>
      </c>
    </row>
    <row r="2091" spans="1:4" x14ac:dyDescent="0.3">
      <c r="A2091" s="83" t="s">
        <v>34</v>
      </c>
      <c r="B2091" s="83"/>
      <c r="C2091" s="16">
        <v>46217</v>
      </c>
      <c r="D2091" s="82">
        <v>345</v>
      </c>
    </row>
    <row r="2092" spans="1:4" x14ac:dyDescent="0.3">
      <c r="A2092" s="83" t="s">
        <v>35</v>
      </c>
      <c r="B2092" s="83"/>
      <c r="C2092" s="16">
        <v>46217</v>
      </c>
      <c r="D2092" s="82">
        <v>25198.240000000002</v>
      </c>
    </row>
    <row r="2093" spans="1:4" x14ac:dyDescent="0.3">
      <c r="A2093" s="83" t="s">
        <v>193</v>
      </c>
      <c r="B2093" s="83"/>
      <c r="C2093" s="16">
        <v>46217</v>
      </c>
      <c r="D2093" s="82">
        <v>0</v>
      </c>
    </row>
    <row r="2094" spans="1:4" x14ac:dyDescent="0.3">
      <c r="A2094" s="83" t="s">
        <v>214</v>
      </c>
      <c r="B2094" s="83"/>
      <c r="C2094" s="16">
        <v>46217</v>
      </c>
      <c r="D2094" s="82">
        <v>0</v>
      </c>
    </row>
    <row r="2095" spans="1:4" x14ac:dyDescent="0.3">
      <c r="A2095" s="83" t="s">
        <v>194</v>
      </c>
      <c r="B2095" s="83"/>
      <c r="C2095" s="16">
        <v>46217</v>
      </c>
      <c r="D2095" s="82">
        <v>0</v>
      </c>
    </row>
    <row r="2096" spans="1:4" x14ac:dyDescent="0.3">
      <c r="A2096" s="83" t="s">
        <v>195</v>
      </c>
      <c r="B2096" s="83"/>
      <c r="C2096" s="16">
        <v>46217</v>
      </c>
      <c r="D2096" s="82">
        <v>0</v>
      </c>
    </row>
    <row r="2097" spans="1:4" x14ac:dyDescent="0.3">
      <c r="A2097" s="83" t="s">
        <v>196</v>
      </c>
      <c r="B2097" s="83"/>
      <c r="C2097" s="16">
        <v>46217</v>
      </c>
      <c r="D2097" s="82">
        <v>0</v>
      </c>
    </row>
    <row r="2098" spans="1:4" x14ac:dyDescent="0.3">
      <c r="A2098" s="83" t="s">
        <v>197</v>
      </c>
      <c r="B2098" s="83"/>
      <c r="C2098" s="16">
        <v>46217</v>
      </c>
      <c r="D2098" s="82">
        <v>0</v>
      </c>
    </row>
    <row r="2099" spans="1:4" x14ac:dyDescent="0.3">
      <c r="A2099" s="83" t="s">
        <v>212</v>
      </c>
      <c r="B2099" s="83"/>
      <c r="C2099" s="16">
        <v>46217</v>
      </c>
      <c r="D2099" s="82">
        <v>0</v>
      </c>
    </row>
    <row r="2100" spans="1:4" x14ac:dyDescent="0.3">
      <c r="A2100" s="83" t="s">
        <v>199</v>
      </c>
      <c r="B2100" s="83"/>
      <c r="C2100" s="16">
        <v>46217</v>
      </c>
      <c r="D2100" s="82">
        <v>0</v>
      </c>
    </row>
    <row r="2101" spans="1:4" x14ac:dyDescent="0.3">
      <c r="A2101" s="83" t="s">
        <v>216</v>
      </c>
      <c r="B2101" s="83"/>
      <c r="C2101" s="16">
        <v>46217</v>
      </c>
      <c r="D2101" s="82">
        <v>0</v>
      </c>
    </row>
    <row r="2102" spans="1:4" x14ac:dyDescent="0.3">
      <c r="A2102" s="83" t="s">
        <v>17</v>
      </c>
      <c r="B2102" s="83"/>
      <c r="C2102" s="16">
        <v>46218</v>
      </c>
      <c r="D2102" s="82">
        <v>3363755.7500000005</v>
      </c>
    </row>
    <row r="2103" spans="1:4" x14ac:dyDescent="0.3">
      <c r="A2103" s="83" t="s">
        <v>18</v>
      </c>
      <c r="B2103" s="83"/>
      <c r="C2103" s="16">
        <v>46218</v>
      </c>
      <c r="D2103" s="82">
        <v>73157.680000000168</v>
      </c>
    </row>
    <row r="2104" spans="1:4" x14ac:dyDescent="0.3">
      <c r="A2104" s="83" t="s">
        <v>19</v>
      </c>
      <c r="B2104" s="83"/>
      <c r="C2104" s="16">
        <v>46218</v>
      </c>
      <c r="D2104" s="82">
        <v>1669.89</v>
      </c>
    </row>
    <row r="2105" spans="1:4" x14ac:dyDescent="0.3">
      <c r="A2105" s="83" t="s">
        <v>20</v>
      </c>
      <c r="B2105" s="83"/>
      <c r="C2105" s="16">
        <v>46218</v>
      </c>
      <c r="D2105" s="82">
        <v>1089804.7499999998</v>
      </c>
    </row>
    <row r="2106" spans="1:4" x14ac:dyDescent="0.3">
      <c r="A2106" s="83" t="s">
        <v>21</v>
      </c>
      <c r="B2106" s="83"/>
      <c r="C2106" s="16">
        <v>46218</v>
      </c>
      <c r="D2106" s="82">
        <v>1856513.4499999993</v>
      </c>
    </row>
    <row r="2107" spans="1:4" x14ac:dyDescent="0.3">
      <c r="A2107" s="83" t="s">
        <v>22</v>
      </c>
      <c r="B2107" s="83"/>
      <c r="C2107" s="16">
        <v>46218</v>
      </c>
      <c r="D2107" s="82">
        <v>200496.38</v>
      </c>
    </row>
    <row r="2108" spans="1:4" x14ac:dyDescent="0.3">
      <c r="A2108" s="83" t="s">
        <v>23</v>
      </c>
      <c r="B2108" s="83"/>
      <c r="C2108" s="16">
        <v>46218</v>
      </c>
      <c r="D2108" s="82">
        <v>267503.99000000005</v>
      </c>
    </row>
    <row r="2109" spans="1:4" x14ac:dyDescent="0.3">
      <c r="A2109" s="83" t="s">
        <v>24</v>
      </c>
      <c r="B2109" s="83"/>
      <c r="C2109" s="16">
        <v>46218</v>
      </c>
      <c r="D2109" s="82">
        <v>14580.45</v>
      </c>
    </row>
    <row r="2110" spans="1:4" x14ac:dyDescent="0.3">
      <c r="A2110" s="83" t="s">
        <v>25</v>
      </c>
      <c r="B2110" s="83"/>
      <c r="C2110" s="16">
        <v>46218</v>
      </c>
      <c r="D2110" s="82">
        <v>54.400000000000006</v>
      </c>
    </row>
    <row r="2111" spans="1:4" x14ac:dyDescent="0.3">
      <c r="A2111" s="83" t="s">
        <v>26</v>
      </c>
      <c r="B2111" s="83"/>
      <c r="C2111" s="16">
        <v>46218</v>
      </c>
      <c r="D2111" s="82">
        <v>2207.8200000000002</v>
      </c>
    </row>
    <row r="2112" spans="1:4" x14ac:dyDescent="0.3">
      <c r="A2112" s="83" t="s">
        <v>27</v>
      </c>
      <c r="B2112" s="83"/>
      <c r="C2112" s="16">
        <v>46218</v>
      </c>
      <c r="D2112" s="82">
        <v>1454589.72</v>
      </c>
    </row>
    <row r="2113" spans="1:4" x14ac:dyDescent="0.3">
      <c r="A2113" s="83" t="s">
        <v>28</v>
      </c>
      <c r="B2113" s="83"/>
      <c r="C2113" s="16">
        <v>46218</v>
      </c>
      <c r="D2113" s="82">
        <v>1968.99</v>
      </c>
    </row>
    <row r="2114" spans="1:4" x14ac:dyDescent="0.3">
      <c r="A2114" s="83" t="s">
        <v>29</v>
      </c>
      <c r="B2114" s="83"/>
      <c r="C2114" s="16">
        <v>46218</v>
      </c>
      <c r="D2114" s="82">
        <v>901.34</v>
      </c>
    </row>
    <row r="2115" spans="1:4" x14ac:dyDescent="0.3">
      <c r="A2115" s="83" t="s">
        <v>30</v>
      </c>
      <c r="B2115" s="83"/>
      <c r="C2115" s="16">
        <v>46218</v>
      </c>
      <c r="D2115" s="82">
        <v>1412.08</v>
      </c>
    </row>
    <row r="2116" spans="1:4" x14ac:dyDescent="0.3">
      <c r="A2116" s="83" t="s">
        <v>31</v>
      </c>
      <c r="B2116" s="83"/>
      <c r="C2116" s="16">
        <v>46218</v>
      </c>
      <c r="D2116" s="82">
        <v>22347.56999999996</v>
      </c>
    </row>
    <row r="2117" spans="1:4" x14ac:dyDescent="0.3">
      <c r="A2117" s="83" t="s">
        <v>32</v>
      </c>
      <c r="B2117" s="83"/>
      <c r="C2117" s="16">
        <v>46218</v>
      </c>
      <c r="D2117" s="82">
        <v>6522.8000000000029</v>
      </c>
    </row>
    <row r="2118" spans="1:4" x14ac:dyDescent="0.3">
      <c r="A2118" s="83" t="s">
        <v>33</v>
      </c>
      <c r="B2118" s="83"/>
      <c r="C2118" s="16">
        <v>46218</v>
      </c>
      <c r="D2118" s="82">
        <v>28485.559999999998</v>
      </c>
    </row>
    <row r="2119" spans="1:4" x14ac:dyDescent="0.3">
      <c r="A2119" s="83" t="s">
        <v>34</v>
      </c>
      <c r="B2119" s="83"/>
      <c r="C2119" s="16">
        <v>46218</v>
      </c>
      <c r="D2119" s="82">
        <v>345</v>
      </c>
    </row>
    <row r="2120" spans="1:4" x14ac:dyDescent="0.3">
      <c r="A2120" s="83" t="s">
        <v>35</v>
      </c>
      <c r="B2120" s="83"/>
      <c r="C2120" s="16">
        <v>46218</v>
      </c>
      <c r="D2120" s="82">
        <v>25023.24</v>
      </c>
    </row>
    <row r="2121" spans="1:4" x14ac:dyDescent="0.3">
      <c r="A2121" s="83" t="s">
        <v>193</v>
      </c>
      <c r="B2121" s="83"/>
      <c r="C2121" s="16">
        <v>46218</v>
      </c>
      <c r="D2121" s="82">
        <v>0</v>
      </c>
    </row>
    <row r="2122" spans="1:4" x14ac:dyDescent="0.3">
      <c r="A2122" s="83" t="s">
        <v>214</v>
      </c>
      <c r="B2122" s="83"/>
      <c r="C2122" s="16">
        <v>46218</v>
      </c>
      <c r="D2122" s="82">
        <v>0</v>
      </c>
    </row>
    <row r="2123" spans="1:4" x14ac:dyDescent="0.3">
      <c r="A2123" s="83" t="s">
        <v>194</v>
      </c>
      <c r="B2123" s="83"/>
      <c r="C2123" s="16">
        <v>46218</v>
      </c>
      <c r="D2123" s="82">
        <v>0</v>
      </c>
    </row>
    <row r="2124" spans="1:4" x14ac:dyDescent="0.3">
      <c r="A2124" s="83" t="s">
        <v>195</v>
      </c>
      <c r="B2124" s="83"/>
      <c r="C2124" s="16">
        <v>46218</v>
      </c>
      <c r="D2124" s="82">
        <v>0</v>
      </c>
    </row>
    <row r="2125" spans="1:4" x14ac:dyDescent="0.3">
      <c r="A2125" s="83" t="s">
        <v>196</v>
      </c>
      <c r="B2125" s="83"/>
      <c r="C2125" s="16">
        <v>46218</v>
      </c>
      <c r="D2125" s="82">
        <v>0</v>
      </c>
    </row>
    <row r="2126" spans="1:4" x14ac:dyDescent="0.3">
      <c r="A2126" s="83" t="s">
        <v>197</v>
      </c>
      <c r="B2126" s="83"/>
      <c r="C2126" s="16">
        <v>46218</v>
      </c>
      <c r="D2126" s="82">
        <v>0</v>
      </c>
    </row>
    <row r="2127" spans="1:4" x14ac:dyDescent="0.3">
      <c r="A2127" s="83" t="s">
        <v>212</v>
      </c>
      <c r="B2127" s="83"/>
      <c r="C2127" s="16">
        <v>46218</v>
      </c>
      <c r="D2127" s="82">
        <v>0</v>
      </c>
    </row>
    <row r="2128" spans="1:4" x14ac:dyDescent="0.3">
      <c r="A2128" s="83" t="s">
        <v>199</v>
      </c>
      <c r="B2128" s="83"/>
      <c r="C2128" s="16">
        <v>46218</v>
      </c>
      <c r="D2128" s="82">
        <v>0</v>
      </c>
    </row>
    <row r="2129" spans="1:4" x14ac:dyDescent="0.3">
      <c r="A2129" s="83" t="s">
        <v>216</v>
      </c>
      <c r="B2129" s="83"/>
      <c r="C2129" s="16">
        <v>46218</v>
      </c>
      <c r="D2129" s="82">
        <v>0</v>
      </c>
    </row>
    <row r="2130" spans="1:4" x14ac:dyDescent="0.3">
      <c r="A2130" s="83" t="s">
        <v>17</v>
      </c>
      <c r="B2130" s="83"/>
      <c r="C2130" s="16">
        <v>46219</v>
      </c>
      <c r="D2130" s="82">
        <v>3110339.0700000008</v>
      </c>
    </row>
    <row r="2131" spans="1:4" x14ac:dyDescent="0.3">
      <c r="A2131" s="83" t="s">
        <v>18</v>
      </c>
      <c r="B2131" s="83"/>
      <c r="C2131" s="16">
        <v>46219</v>
      </c>
      <c r="D2131" s="82">
        <v>73157.680000000168</v>
      </c>
    </row>
    <row r="2132" spans="1:4" x14ac:dyDescent="0.3">
      <c r="A2132" s="83" t="s">
        <v>19</v>
      </c>
      <c r="B2132" s="83"/>
      <c r="C2132" s="16">
        <v>46219</v>
      </c>
      <c r="D2132" s="82">
        <v>1669.89</v>
      </c>
    </row>
    <row r="2133" spans="1:4" x14ac:dyDescent="0.3">
      <c r="A2133" s="83" t="s">
        <v>20</v>
      </c>
      <c r="B2133" s="83"/>
      <c r="C2133" s="16">
        <v>46219</v>
      </c>
      <c r="D2133" s="82">
        <v>1029804.7499999998</v>
      </c>
    </row>
    <row r="2134" spans="1:4" x14ac:dyDescent="0.3">
      <c r="A2134" s="83" t="s">
        <v>21</v>
      </c>
      <c r="B2134" s="83"/>
      <c r="C2134" s="16">
        <v>46219</v>
      </c>
      <c r="D2134" s="82">
        <v>1678189.7499999995</v>
      </c>
    </row>
    <row r="2135" spans="1:4" x14ac:dyDescent="0.3">
      <c r="A2135" s="83" t="s">
        <v>22</v>
      </c>
      <c r="B2135" s="83"/>
      <c r="C2135" s="16">
        <v>46219</v>
      </c>
      <c r="D2135" s="82">
        <v>200496.38</v>
      </c>
    </row>
    <row r="2136" spans="1:4" x14ac:dyDescent="0.3">
      <c r="A2136" s="83" t="s">
        <v>23</v>
      </c>
      <c r="B2136" s="83"/>
      <c r="C2136" s="16">
        <v>46219</v>
      </c>
      <c r="D2136" s="82">
        <v>267507.45</v>
      </c>
    </row>
    <row r="2137" spans="1:4" x14ac:dyDescent="0.3">
      <c r="A2137" s="83" t="s">
        <v>24</v>
      </c>
      <c r="B2137" s="83"/>
      <c r="C2137" s="16">
        <v>46219</v>
      </c>
      <c r="D2137" s="82">
        <v>14580.45</v>
      </c>
    </row>
    <row r="2138" spans="1:4" x14ac:dyDescent="0.3">
      <c r="A2138" s="83" t="s">
        <v>25</v>
      </c>
      <c r="B2138" s="83"/>
      <c r="C2138" s="16">
        <v>46219</v>
      </c>
      <c r="D2138" s="82">
        <v>54.400000000000006</v>
      </c>
    </row>
    <row r="2139" spans="1:4" x14ac:dyDescent="0.3">
      <c r="A2139" s="83" t="s">
        <v>26</v>
      </c>
      <c r="B2139" s="83"/>
      <c r="C2139" s="16">
        <v>46219</v>
      </c>
      <c r="D2139" s="82">
        <v>2207.8200000000002</v>
      </c>
    </row>
    <row r="2140" spans="1:4" x14ac:dyDescent="0.3">
      <c r="A2140" s="83" t="s">
        <v>27</v>
      </c>
      <c r="B2140" s="83"/>
      <c r="C2140" s="16">
        <v>46219</v>
      </c>
      <c r="D2140" s="82">
        <v>1454589.72</v>
      </c>
    </row>
    <row r="2141" spans="1:4" x14ac:dyDescent="0.3">
      <c r="A2141" s="83" t="s">
        <v>28</v>
      </c>
      <c r="B2141" s="83"/>
      <c r="C2141" s="16">
        <v>46219</v>
      </c>
      <c r="D2141" s="82">
        <v>1968.99</v>
      </c>
    </row>
    <row r="2142" spans="1:4" x14ac:dyDescent="0.3">
      <c r="A2142" s="83" t="s">
        <v>29</v>
      </c>
      <c r="B2142" s="83"/>
      <c r="C2142" s="16">
        <v>46219</v>
      </c>
      <c r="D2142" s="82">
        <v>901.34</v>
      </c>
    </row>
    <row r="2143" spans="1:4" x14ac:dyDescent="0.3">
      <c r="A2143" s="83" t="s">
        <v>30</v>
      </c>
      <c r="B2143" s="83"/>
      <c r="C2143" s="16">
        <v>46219</v>
      </c>
      <c r="D2143" s="82">
        <v>1412.08</v>
      </c>
    </row>
    <row r="2144" spans="1:4" x14ac:dyDescent="0.3">
      <c r="A2144" s="83" t="s">
        <v>31</v>
      </c>
      <c r="B2144" s="83"/>
      <c r="C2144" s="16">
        <v>46219</v>
      </c>
      <c r="D2144" s="82">
        <v>22347.56999999996</v>
      </c>
    </row>
    <row r="2145" spans="1:4" x14ac:dyDescent="0.3">
      <c r="A2145" s="83" t="s">
        <v>32</v>
      </c>
      <c r="B2145" s="83"/>
      <c r="C2145" s="16">
        <v>46219</v>
      </c>
      <c r="D2145" s="82">
        <v>3522.8000000000029</v>
      </c>
    </row>
    <row r="2146" spans="1:4" x14ac:dyDescent="0.3">
      <c r="A2146" s="83" t="s">
        <v>33</v>
      </c>
      <c r="B2146" s="83"/>
      <c r="C2146" s="16">
        <v>46219</v>
      </c>
      <c r="D2146" s="82">
        <v>28485.559999999998</v>
      </c>
    </row>
    <row r="2147" spans="1:4" x14ac:dyDescent="0.3">
      <c r="A2147" s="83" t="s">
        <v>34</v>
      </c>
      <c r="B2147" s="83"/>
      <c r="C2147" s="16">
        <v>46219</v>
      </c>
      <c r="D2147" s="82">
        <v>345</v>
      </c>
    </row>
    <row r="2148" spans="1:4" x14ac:dyDescent="0.3">
      <c r="A2148" s="83" t="s">
        <v>35</v>
      </c>
      <c r="B2148" s="83"/>
      <c r="C2148" s="16">
        <v>46219</v>
      </c>
      <c r="D2148" s="82">
        <v>23978.850000000002</v>
      </c>
    </row>
    <row r="2149" spans="1:4" x14ac:dyDescent="0.3">
      <c r="A2149" s="83" t="s">
        <v>193</v>
      </c>
      <c r="B2149" s="83"/>
      <c r="C2149" s="16">
        <v>46219</v>
      </c>
      <c r="D2149" s="82">
        <v>0</v>
      </c>
    </row>
    <row r="2150" spans="1:4" x14ac:dyDescent="0.3">
      <c r="A2150" s="83" t="s">
        <v>214</v>
      </c>
      <c r="B2150" s="83"/>
      <c r="C2150" s="16">
        <v>46219</v>
      </c>
      <c r="D2150" s="82">
        <v>0</v>
      </c>
    </row>
    <row r="2151" spans="1:4" x14ac:dyDescent="0.3">
      <c r="A2151" s="83" t="s">
        <v>194</v>
      </c>
      <c r="B2151" s="83"/>
      <c r="C2151" s="16">
        <v>46219</v>
      </c>
      <c r="D2151" s="82">
        <v>0</v>
      </c>
    </row>
    <row r="2152" spans="1:4" x14ac:dyDescent="0.3">
      <c r="A2152" s="83" t="s">
        <v>195</v>
      </c>
      <c r="B2152" s="83"/>
      <c r="C2152" s="16">
        <v>46219</v>
      </c>
      <c r="D2152" s="82">
        <v>0</v>
      </c>
    </row>
    <row r="2153" spans="1:4" x14ac:dyDescent="0.3">
      <c r="A2153" s="83" t="s">
        <v>196</v>
      </c>
      <c r="B2153" s="83"/>
      <c r="C2153" s="16">
        <v>46219</v>
      </c>
      <c r="D2153" s="82">
        <v>0</v>
      </c>
    </row>
    <row r="2154" spans="1:4" x14ac:dyDescent="0.3">
      <c r="A2154" s="83" t="s">
        <v>197</v>
      </c>
      <c r="B2154" s="83"/>
      <c r="C2154" s="16">
        <v>46219</v>
      </c>
      <c r="D2154" s="82">
        <v>0</v>
      </c>
    </row>
    <row r="2155" spans="1:4" x14ac:dyDescent="0.3">
      <c r="A2155" s="83" t="s">
        <v>212</v>
      </c>
      <c r="B2155" s="83"/>
      <c r="C2155" s="16">
        <v>46219</v>
      </c>
      <c r="D2155" s="82">
        <v>0</v>
      </c>
    </row>
    <row r="2156" spans="1:4" x14ac:dyDescent="0.3">
      <c r="A2156" s="83" t="s">
        <v>199</v>
      </c>
      <c r="B2156" s="83"/>
      <c r="C2156" s="16">
        <v>46219</v>
      </c>
      <c r="D2156" s="82">
        <v>0</v>
      </c>
    </row>
    <row r="2157" spans="1:4" x14ac:dyDescent="0.3">
      <c r="A2157" s="83" t="s">
        <v>216</v>
      </c>
      <c r="B2157" s="83"/>
      <c r="C2157" s="16">
        <v>46219</v>
      </c>
      <c r="D2157" s="82">
        <v>0</v>
      </c>
    </row>
    <row r="2158" spans="1:4" x14ac:dyDescent="0.3">
      <c r="A2158" s="83" t="s">
        <v>17</v>
      </c>
      <c r="B2158" s="83"/>
      <c r="C2158" s="16">
        <v>46220</v>
      </c>
      <c r="D2158" s="82">
        <v>3110339.0700000008</v>
      </c>
    </row>
    <row r="2159" spans="1:4" x14ac:dyDescent="0.3">
      <c r="A2159" s="83" t="s">
        <v>18</v>
      </c>
      <c r="B2159" s="83"/>
      <c r="C2159" s="16">
        <v>46220</v>
      </c>
      <c r="D2159" s="82">
        <v>73157.680000000168</v>
      </c>
    </row>
    <row r="2160" spans="1:4" x14ac:dyDescent="0.3">
      <c r="A2160" s="83" t="s">
        <v>19</v>
      </c>
      <c r="B2160" s="83"/>
      <c r="C2160" s="16">
        <v>46220</v>
      </c>
      <c r="D2160" s="82">
        <v>1669.89</v>
      </c>
    </row>
    <row r="2161" spans="1:4" x14ac:dyDescent="0.3">
      <c r="A2161" s="83" t="s">
        <v>20</v>
      </c>
      <c r="B2161" s="83"/>
      <c r="C2161" s="16">
        <v>46220</v>
      </c>
      <c r="D2161" s="82">
        <v>1029804.7499999998</v>
      </c>
    </row>
    <row r="2162" spans="1:4" x14ac:dyDescent="0.3">
      <c r="A2162" s="83" t="s">
        <v>21</v>
      </c>
      <c r="B2162" s="83"/>
      <c r="C2162" s="16">
        <v>46220</v>
      </c>
      <c r="D2162" s="82">
        <v>1748189.7499999995</v>
      </c>
    </row>
    <row r="2163" spans="1:4" x14ac:dyDescent="0.3">
      <c r="A2163" s="83" t="s">
        <v>22</v>
      </c>
      <c r="B2163" s="83"/>
      <c r="C2163" s="16">
        <v>46220</v>
      </c>
      <c r="D2163" s="82">
        <v>200496.38</v>
      </c>
    </row>
    <row r="2164" spans="1:4" x14ac:dyDescent="0.3">
      <c r="A2164" s="83" t="s">
        <v>23</v>
      </c>
      <c r="B2164" s="83"/>
      <c r="C2164" s="16">
        <v>46220</v>
      </c>
      <c r="D2164" s="82">
        <v>267507.45</v>
      </c>
    </row>
    <row r="2165" spans="1:4" x14ac:dyDescent="0.3">
      <c r="A2165" s="83" t="s">
        <v>24</v>
      </c>
      <c r="B2165" s="83"/>
      <c r="C2165" s="16">
        <v>46220</v>
      </c>
      <c r="D2165" s="82">
        <v>14580.45</v>
      </c>
    </row>
    <row r="2166" spans="1:4" x14ac:dyDescent="0.3">
      <c r="A2166" s="83" t="s">
        <v>25</v>
      </c>
      <c r="B2166" s="83"/>
      <c r="C2166" s="16">
        <v>46220</v>
      </c>
      <c r="D2166" s="82">
        <v>54.400000000000006</v>
      </c>
    </row>
    <row r="2167" spans="1:4" x14ac:dyDescent="0.3">
      <c r="A2167" s="83" t="s">
        <v>26</v>
      </c>
      <c r="B2167" s="83"/>
      <c r="C2167" s="16">
        <v>46220</v>
      </c>
      <c r="D2167" s="82">
        <v>2207.8200000000002</v>
      </c>
    </row>
    <row r="2168" spans="1:4" x14ac:dyDescent="0.3">
      <c r="A2168" s="83" t="s">
        <v>27</v>
      </c>
      <c r="B2168" s="83"/>
      <c r="C2168" s="16">
        <v>46220</v>
      </c>
      <c r="D2168" s="82">
        <v>1454589.72</v>
      </c>
    </row>
    <row r="2169" spans="1:4" x14ac:dyDescent="0.3">
      <c r="A2169" s="83" t="s">
        <v>28</v>
      </c>
      <c r="B2169" s="83"/>
      <c r="C2169" s="16">
        <v>46220</v>
      </c>
      <c r="D2169" s="82">
        <v>1968.99</v>
      </c>
    </row>
    <row r="2170" spans="1:4" x14ac:dyDescent="0.3">
      <c r="A2170" s="83" t="s">
        <v>29</v>
      </c>
      <c r="B2170" s="83"/>
      <c r="C2170" s="16">
        <v>46220</v>
      </c>
      <c r="D2170" s="82">
        <v>901.34</v>
      </c>
    </row>
    <row r="2171" spans="1:4" x14ac:dyDescent="0.3">
      <c r="A2171" s="83" t="s">
        <v>30</v>
      </c>
      <c r="B2171" s="83"/>
      <c r="C2171" s="16">
        <v>46220</v>
      </c>
      <c r="D2171" s="82">
        <v>1412.08</v>
      </c>
    </row>
    <row r="2172" spans="1:4" x14ac:dyDescent="0.3">
      <c r="A2172" s="83" t="s">
        <v>31</v>
      </c>
      <c r="B2172" s="83"/>
      <c r="C2172" s="16">
        <v>46220</v>
      </c>
      <c r="D2172" s="82">
        <v>22347.56999999996</v>
      </c>
    </row>
    <row r="2173" spans="1:4" x14ac:dyDescent="0.3">
      <c r="A2173" s="83" t="s">
        <v>32</v>
      </c>
      <c r="B2173" s="83"/>
      <c r="C2173" s="16">
        <v>46220</v>
      </c>
      <c r="D2173" s="82">
        <v>3522.8000000000029</v>
      </c>
    </row>
    <row r="2174" spans="1:4" x14ac:dyDescent="0.3">
      <c r="A2174" s="83" t="s">
        <v>33</v>
      </c>
      <c r="B2174" s="83"/>
      <c r="C2174" s="16">
        <v>46220</v>
      </c>
      <c r="D2174" s="82">
        <v>28485.559999999998</v>
      </c>
    </row>
    <row r="2175" spans="1:4" x14ac:dyDescent="0.3">
      <c r="A2175" s="83" t="s">
        <v>34</v>
      </c>
      <c r="B2175" s="83"/>
      <c r="C2175" s="16">
        <v>46220</v>
      </c>
      <c r="D2175" s="82">
        <v>345</v>
      </c>
    </row>
    <row r="2176" spans="1:4" x14ac:dyDescent="0.3">
      <c r="A2176" s="83" t="s">
        <v>35</v>
      </c>
      <c r="B2176" s="83"/>
      <c r="C2176" s="16">
        <v>46220</v>
      </c>
      <c r="D2176" s="82">
        <v>16230.620000000003</v>
      </c>
    </row>
    <row r="2177" spans="1:4" x14ac:dyDescent="0.3">
      <c r="A2177" s="83" t="s">
        <v>193</v>
      </c>
      <c r="B2177" s="83"/>
      <c r="C2177" s="16">
        <v>46220</v>
      </c>
      <c r="D2177" s="82">
        <v>0</v>
      </c>
    </row>
    <row r="2178" spans="1:4" x14ac:dyDescent="0.3">
      <c r="A2178" s="83" t="s">
        <v>214</v>
      </c>
      <c r="B2178" s="83"/>
      <c r="C2178" s="16">
        <v>46220</v>
      </c>
      <c r="D2178" s="82">
        <v>0</v>
      </c>
    </row>
    <row r="2179" spans="1:4" x14ac:dyDescent="0.3">
      <c r="A2179" s="83" t="s">
        <v>194</v>
      </c>
      <c r="B2179" s="83"/>
      <c r="C2179" s="16">
        <v>46220</v>
      </c>
      <c r="D2179" s="82">
        <v>0</v>
      </c>
    </row>
    <row r="2180" spans="1:4" x14ac:dyDescent="0.3">
      <c r="A2180" s="83" t="s">
        <v>195</v>
      </c>
      <c r="B2180" s="83"/>
      <c r="C2180" s="16">
        <v>46220</v>
      </c>
      <c r="D2180" s="82">
        <v>0</v>
      </c>
    </row>
    <row r="2181" spans="1:4" x14ac:dyDescent="0.3">
      <c r="A2181" s="83" t="s">
        <v>196</v>
      </c>
      <c r="B2181" s="83"/>
      <c r="C2181" s="16">
        <v>46220</v>
      </c>
      <c r="D2181" s="82">
        <v>0</v>
      </c>
    </row>
    <row r="2182" spans="1:4" x14ac:dyDescent="0.3">
      <c r="A2182" s="83" t="s">
        <v>197</v>
      </c>
      <c r="B2182" s="83"/>
      <c r="C2182" s="16">
        <v>46220</v>
      </c>
      <c r="D2182" s="82">
        <v>0</v>
      </c>
    </row>
    <row r="2183" spans="1:4" x14ac:dyDescent="0.3">
      <c r="A2183" s="83" t="s">
        <v>212</v>
      </c>
      <c r="B2183" s="83"/>
      <c r="C2183" s="16">
        <v>46220</v>
      </c>
      <c r="D2183" s="82">
        <v>0</v>
      </c>
    </row>
    <row r="2184" spans="1:4" x14ac:dyDescent="0.3">
      <c r="A2184" s="83" t="s">
        <v>199</v>
      </c>
      <c r="B2184" s="83"/>
      <c r="C2184" s="16">
        <v>46220</v>
      </c>
      <c r="D2184" s="82">
        <v>0</v>
      </c>
    </row>
    <row r="2185" spans="1:4" x14ac:dyDescent="0.3">
      <c r="A2185" s="83" t="s">
        <v>216</v>
      </c>
      <c r="B2185" s="83"/>
      <c r="C2185" s="16">
        <v>46220</v>
      </c>
      <c r="D2185" s="82">
        <v>0</v>
      </c>
    </row>
    <row r="2186" spans="1:4" x14ac:dyDescent="0.3">
      <c r="A2186" s="83" t="s">
        <v>17</v>
      </c>
      <c r="B2186" s="83"/>
      <c r="C2186" s="16">
        <v>46221</v>
      </c>
      <c r="D2186" s="82">
        <v>3110339.0700000008</v>
      </c>
    </row>
    <row r="2187" spans="1:4" x14ac:dyDescent="0.3">
      <c r="A2187" s="83" t="s">
        <v>18</v>
      </c>
      <c r="B2187" s="83"/>
      <c r="C2187" s="16">
        <v>46221</v>
      </c>
      <c r="D2187" s="82">
        <v>73157.680000000168</v>
      </c>
    </row>
    <row r="2188" spans="1:4" x14ac:dyDescent="0.3">
      <c r="A2188" s="83" t="s">
        <v>19</v>
      </c>
      <c r="B2188" s="83"/>
      <c r="C2188" s="16">
        <v>46221</v>
      </c>
      <c r="D2188" s="82">
        <v>1669.89</v>
      </c>
    </row>
    <row r="2189" spans="1:4" x14ac:dyDescent="0.3">
      <c r="A2189" s="83" t="s">
        <v>20</v>
      </c>
      <c r="B2189" s="83"/>
      <c r="C2189" s="16">
        <v>46221</v>
      </c>
      <c r="D2189" s="82">
        <v>1029804.7499999998</v>
      </c>
    </row>
    <row r="2190" spans="1:4" x14ac:dyDescent="0.3">
      <c r="A2190" s="83" t="s">
        <v>21</v>
      </c>
      <c r="B2190" s="83"/>
      <c r="C2190" s="16">
        <v>46221</v>
      </c>
      <c r="D2190" s="82">
        <v>1748189.7499999995</v>
      </c>
    </row>
    <row r="2191" spans="1:4" x14ac:dyDescent="0.3">
      <c r="A2191" s="83" t="s">
        <v>22</v>
      </c>
      <c r="B2191" s="83"/>
      <c r="C2191" s="16">
        <v>46221</v>
      </c>
      <c r="D2191" s="82">
        <v>200496.38</v>
      </c>
    </row>
    <row r="2192" spans="1:4" x14ac:dyDescent="0.3">
      <c r="A2192" s="83" t="s">
        <v>23</v>
      </c>
      <c r="B2192" s="83"/>
      <c r="C2192" s="16">
        <v>46221</v>
      </c>
      <c r="D2192" s="82">
        <v>267507.45</v>
      </c>
    </row>
    <row r="2193" spans="1:4" x14ac:dyDescent="0.3">
      <c r="A2193" s="83" t="s">
        <v>24</v>
      </c>
      <c r="B2193" s="83"/>
      <c r="C2193" s="16">
        <v>46221</v>
      </c>
      <c r="D2193" s="82">
        <v>14580.45</v>
      </c>
    </row>
    <row r="2194" spans="1:4" x14ac:dyDescent="0.3">
      <c r="A2194" s="83" t="s">
        <v>25</v>
      </c>
      <c r="B2194" s="83"/>
      <c r="C2194" s="16">
        <v>46221</v>
      </c>
      <c r="D2194" s="82">
        <v>54.400000000000006</v>
      </c>
    </row>
    <row r="2195" spans="1:4" x14ac:dyDescent="0.3">
      <c r="A2195" s="83" t="s">
        <v>26</v>
      </c>
      <c r="B2195" s="83"/>
      <c r="C2195" s="16">
        <v>46221</v>
      </c>
      <c r="D2195" s="82">
        <v>2207.8200000000002</v>
      </c>
    </row>
    <row r="2196" spans="1:4" x14ac:dyDescent="0.3">
      <c r="A2196" s="83" t="s">
        <v>27</v>
      </c>
      <c r="B2196" s="83"/>
      <c r="C2196" s="16">
        <v>46221</v>
      </c>
      <c r="D2196" s="82">
        <v>1454589.72</v>
      </c>
    </row>
    <row r="2197" spans="1:4" x14ac:dyDescent="0.3">
      <c r="A2197" s="83" t="s">
        <v>28</v>
      </c>
      <c r="B2197" s="83"/>
      <c r="C2197" s="16">
        <v>46221</v>
      </c>
      <c r="D2197" s="82">
        <v>1968.99</v>
      </c>
    </row>
    <row r="2198" spans="1:4" x14ac:dyDescent="0.3">
      <c r="A2198" s="83" t="s">
        <v>29</v>
      </c>
      <c r="B2198" s="83"/>
      <c r="C2198" s="16">
        <v>46221</v>
      </c>
      <c r="D2198" s="82">
        <v>901.34</v>
      </c>
    </row>
    <row r="2199" spans="1:4" x14ac:dyDescent="0.3">
      <c r="A2199" s="83" t="s">
        <v>30</v>
      </c>
      <c r="B2199" s="83"/>
      <c r="C2199" s="16">
        <v>46221</v>
      </c>
      <c r="D2199" s="82">
        <v>1412.08</v>
      </c>
    </row>
    <row r="2200" spans="1:4" x14ac:dyDescent="0.3">
      <c r="A2200" s="83" t="s">
        <v>31</v>
      </c>
      <c r="B2200" s="83"/>
      <c r="C2200" s="16">
        <v>46221</v>
      </c>
      <c r="D2200" s="82">
        <v>22347.56999999996</v>
      </c>
    </row>
    <row r="2201" spans="1:4" x14ac:dyDescent="0.3">
      <c r="A2201" s="83" t="s">
        <v>32</v>
      </c>
      <c r="B2201" s="83"/>
      <c r="C2201" s="16">
        <v>46221</v>
      </c>
      <c r="D2201" s="82">
        <v>3522.8000000000029</v>
      </c>
    </row>
    <row r="2202" spans="1:4" x14ac:dyDescent="0.3">
      <c r="A2202" s="83" t="s">
        <v>33</v>
      </c>
      <c r="B2202" s="83"/>
      <c r="C2202" s="16">
        <v>46221</v>
      </c>
      <c r="D2202" s="82">
        <v>28485.559999999998</v>
      </c>
    </row>
    <row r="2203" spans="1:4" x14ac:dyDescent="0.3">
      <c r="A2203" s="83" t="s">
        <v>34</v>
      </c>
      <c r="B2203" s="83"/>
      <c r="C2203" s="16">
        <v>46221</v>
      </c>
      <c r="D2203" s="82">
        <v>345</v>
      </c>
    </row>
    <row r="2204" spans="1:4" x14ac:dyDescent="0.3">
      <c r="A2204" s="83" t="s">
        <v>35</v>
      </c>
      <c r="B2204" s="83"/>
      <c r="C2204" s="16">
        <v>46221</v>
      </c>
      <c r="D2204" s="82">
        <v>16230.620000000003</v>
      </c>
    </row>
    <row r="2205" spans="1:4" x14ac:dyDescent="0.3">
      <c r="A2205" s="83" t="s">
        <v>193</v>
      </c>
      <c r="B2205" s="83"/>
      <c r="C2205" s="16">
        <v>46221</v>
      </c>
      <c r="D2205" s="82">
        <v>0</v>
      </c>
    </row>
    <row r="2206" spans="1:4" x14ac:dyDescent="0.3">
      <c r="A2206" s="83" t="s">
        <v>214</v>
      </c>
      <c r="B2206" s="83"/>
      <c r="C2206" s="16">
        <v>46221</v>
      </c>
      <c r="D2206" s="82">
        <v>0</v>
      </c>
    </row>
    <row r="2207" spans="1:4" x14ac:dyDescent="0.3">
      <c r="A2207" s="83" t="s">
        <v>194</v>
      </c>
      <c r="B2207" s="83"/>
      <c r="C2207" s="16">
        <v>46221</v>
      </c>
      <c r="D2207" s="82">
        <v>0</v>
      </c>
    </row>
    <row r="2208" spans="1:4" x14ac:dyDescent="0.3">
      <c r="A2208" s="83" t="s">
        <v>195</v>
      </c>
      <c r="B2208" s="83"/>
      <c r="C2208" s="16">
        <v>46221</v>
      </c>
      <c r="D2208" s="82">
        <v>0</v>
      </c>
    </row>
    <row r="2209" spans="1:4" x14ac:dyDescent="0.3">
      <c r="A2209" s="83" t="s">
        <v>196</v>
      </c>
      <c r="B2209" s="83"/>
      <c r="C2209" s="16">
        <v>46221</v>
      </c>
      <c r="D2209" s="82">
        <v>0</v>
      </c>
    </row>
    <row r="2210" spans="1:4" x14ac:dyDescent="0.3">
      <c r="A2210" s="83" t="s">
        <v>197</v>
      </c>
      <c r="B2210" s="83"/>
      <c r="C2210" s="16">
        <v>46221</v>
      </c>
      <c r="D2210" s="82">
        <v>0</v>
      </c>
    </row>
    <row r="2211" spans="1:4" x14ac:dyDescent="0.3">
      <c r="A2211" s="83" t="s">
        <v>212</v>
      </c>
      <c r="B2211" s="83"/>
      <c r="C2211" s="16">
        <v>46221</v>
      </c>
      <c r="D2211" s="82">
        <v>0</v>
      </c>
    </row>
    <row r="2212" spans="1:4" x14ac:dyDescent="0.3">
      <c r="A2212" s="83" t="s">
        <v>199</v>
      </c>
      <c r="B2212" s="83"/>
      <c r="C2212" s="16">
        <v>46221</v>
      </c>
      <c r="D2212" s="82">
        <v>0</v>
      </c>
    </row>
    <row r="2213" spans="1:4" x14ac:dyDescent="0.3">
      <c r="A2213" s="83" t="s">
        <v>216</v>
      </c>
      <c r="B2213" s="83"/>
      <c r="C2213" s="16">
        <v>46221</v>
      </c>
      <c r="D2213" s="82">
        <v>0</v>
      </c>
    </row>
    <row r="2214" spans="1:4" x14ac:dyDescent="0.3">
      <c r="A2214" s="83" t="s">
        <v>17</v>
      </c>
      <c r="B2214" s="83"/>
      <c r="C2214" s="16">
        <v>46222</v>
      </c>
      <c r="D2214" s="82">
        <v>3110339.0700000008</v>
      </c>
    </row>
    <row r="2215" spans="1:4" x14ac:dyDescent="0.3">
      <c r="A2215" s="83" t="s">
        <v>18</v>
      </c>
      <c r="B2215" s="83"/>
      <c r="C2215" s="16">
        <v>46222</v>
      </c>
      <c r="D2215" s="82">
        <v>73157.680000000168</v>
      </c>
    </row>
    <row r="2216" spans="1:4" x14ac:dyDescent="0.3">
      <c r="A2216" s="83" t="s">
        <v>19</v>
      </c>
      <c r="B2216" s="83"/>
      <c r="C2216" s="16">
        <v>46222</v>
      </c>
      <c r="D2216" s="82">
        <v>1669.89</v>
      </c>
    </row>
    <row r="2217" spans="1:4" x14ac:dyDescent="0.3">
      <c r="A2217" s="83" t="s">
        <v>20</v>
      </c>
      <c r="B2217" s="83"/>
      <c r="C2217" s="16">
        <v>46222</v>
      </c>
      <c r="D2217" s="82">
        <v>1029804.7499999998</v>
      </c>
    </row>
    <row r="2218" spans="1:4" x14ac:dyDescent="0.3">
      <c r="A2218" s="83" t="s">
        <v>21</v>
      </c>
      <c r="B2218" s="83"/>
      <c r="C2218" s="16">
        <v>46222</v>
      </c>
      <c r="D2218" s="82">
        <v>1748189.7499999995</v>
      </c>
    </row>
    <row r="2219" spans="1:4" x14ac:dyDescent="0.3">
      <c r="A2219" s="83" t="s">
        <v>22</v>
      </c>
      <c r="B2219" s="83"/>
      <c r="C2219" s="16">
        <v>46222</v>
      </c>
      <c r="D2219" s="82">
        <v>200496.38</v>
      </c>
    </row>
    <row r="2220" spans="1:4" x14ac:dyDescent="0.3">
      <c r="A2220" s="83" t="s">
        <v>23</v>
      </c>
      <c r="B2220" s="83"/>
      <c r="C2220" s="16">
        <v>46222</v>
      </c>
      <c r="D2220" s="82">
        <v>267507.45</v>
      </c>
    </row>
    <row r="2221" spans="1:4" x14ac:dyDescent="0.3">
      <c r="A2221" s="83" t="s">
        <v>24</v>
      </c>
      <c r="B2221" s="83"/>
      <c r="C2221" s="16">
        <v>46222</v>
      </c>
      <c r="D2221" s="82">
        <v>14580.45</v>
      </c>
    </row>
    <row r="2222" spans="1:4" x14ac:dyDescent="0.3">
      <c r="A2222" s="83" t="s">
        <v>25</v>
      </c>
      <c r="B2222" s="83"/>
      <c r="C2222" s="16">
        <v>46222</v>
      </c>
      <c r="D2222" s="82">
        <v>54.400000000000006</v>
      </c>
    </row>
    <row r="2223" spans="1:4" x14ac:dyDescent="0.3">
      <c r="A2223" s="83" t="s">
        <v>26</v>
      </c>
      <c r="B2223" s="83"/>
      <c r="C2223" s="16">
        <v>46222</v>
      </c>
      <c r="D2223" s="82">
        <v>2207.8200000000002</v>
      </c>
    </row>
    <row r="2224" spans="1:4" x14ac:dyDescent="0.3">
      <c r="A2224" s="83" t="s">
        <v>27</v>
      </c>
      <c r="B2224" s="83"/>
      <c r="C2224" s="16">
        <v>46222</v>
      </c>
      <c r="D2224" s="82">
        <v>1454589.72</v>
      </c>
    </row>
    <row r="2225" spans="1:4" x14ac:dyDescent="0.3">
      <c r="A2225" s="83" t="s">
        <v>28</v>
      </c>
      <c r="B2225" s="83"/>
      <c r="C2225" s="16">
        <v>46222</v>
      </c>
      <c r="D2225" s="82">
        <v>1968.99</v>
      </c>
    </row>
    <row r="2226" spans="1:4" x14ac:dyDescent="0.3">
      <c r="A2226" s="83" t="s">
        <v>29</v>
      </c>
      <c r="B2226" s="83"/>
      <c r="C2226" s="16">
        <v>46222</v>
      </c>
      <c r="D2226" s="82">
        <v>901.34</v>
      </c>
    </row>
    <row r="2227" spans="1:4" x14ac:dyDescent="0.3">
      <c r="A2227" s="83" t="s">
        <v>30</v>
      </c>
      <c r="B2227" s="83"/>
      <c r="C2227" s="16">
        <v>46222</v>
      </c>
      <c r="D2227" s="82">
        <v>1412.08</v>
      </c>
    </row>
    <row r="2228" spans="1:4" x14ac:dyDescent="0.3">
      <c r="A2228" s="83" t="s">
        <v>31</v>
      </c>
      <c r="B2228" s="83"/>
      <c r="C2228" s="16">
        <v>46222</v>
      </c>
      <c r="D2228" s="82">
        <v>22347.56999999996</v>
      </c>
    </row>
    <row r="2229" spans="1:4" x14ac:dyDescent="0.3">
      <c r="A2229" s="83" t="s">
        <v>32</v>
      </c>
      <c r="B2229" s="83"/>
      <c r="C2229" s="16">
        <v>46222</v>
      </c>
      <c r="D2229" s="82">
        <v>3522.8000000000029</v>
      </c>
    </row>
    <row r="2230" spans="1:4" x14ac:dyDescent="0.3">
      <c r="A2230" s="83" t="s">
        <v>33</v>
      </c>
      <c r="B2230" s="83"/>
      <c r="C2230" s="16">
        <v>46222</v>
      </c>
      <c r="D2230" s="82">
        <v>28485.559999999998</v>
      </c>
    </row>
    <row r="2231" spans="1:4" x14ac:dyDescent="0.3">
      <c r="A2231" s="83" t="s">
        <v>34</v>
      </c>
      <c r="B2231" s="83"/>
      <c r="C2231" s="16">
        <v>46222</v>
      </c>
      <c r="D2231" s="82">
        <v>345</v>
      </c>
    </row>
    <row r="2232" spans="1:4" x14ac:dyDescent="0.3">
      <c r="A2232" s="83" t="s">
        <v>35</v>
      </c>
      <c r="B2232" s="83"/>
      <c r="C2232" s="16">
        <v>46222</v>
      </c>
      <c r="D2232" s="82">
        <v>16230.620000000003</v>
      </c>
    </row>
    <row r="2233" spans="1:4" x14ac:dyDescent="0.3">
      <c r="A2233" s="83" t="s">
        <v>193</v>
      </c>
      <c r="B2233" s="83"/>
      <c r="C2233" s="16">
        <v>46222</v>
      </c>
      <c r="D2233" s="82">
        <v>0</v>
      </c>
    </row>
    <row r="2234" spans="1:4" x14ac:dyDescent="0.3">
      <c r="A2234" s="83" t="s">
        <v>214</v>
      </c>
      <c r="B2234" s="83"/>
      <c r="C2234" s="16">
        <v>46222</v>
      </c>
      <c r="D2234" s="82">
        <v>0</v>
      </c>
    </row>
    <row r="2235" spans="1:4" x14ac:dyDescent="0.3">
      <c r="A2235" s="83" t="s">
        <v>194</v>
      </c>
      <c r="B2235" s="83"/>
      <c r="C2235" s="16">
        <v>46222</v>
      </c>
      <c r="D2235" s="82">
        <v>0</v>
      </c>
    </row>
    <row r="2236" spans="1:4" x14ac:dyDescent="0.3">
      <c r="A2236" s="83" t="s">
        <v>195</v>
      </c>
      <c r="B2236" s="83"/>
      <c r="C2236" s="16">
        <v>46222</v>
      </c>
      <c r="D2236" s="82">
        <v>0</v>
      </c>
    </row>
    <row r="2237" spans="1:4" x14ac:dyDescent="0.3">
      <c r="A2237" s="83" t="s">
        <v>196</v>
      </c>
      <c r="B2237" s="83"/>
      <c r="C2237" s="16">
        <v>46222</v>
      </c>
      <c r="D2237" s="82">
        <v>0</v>
      </c>
    </row>
    <row r="2238" spans="1:4" x14ac:dyDescent="0.3">
      <c r="A2238" s="83" t="s">
        <v>197</v>
      </c>
      <c r="B2238" s="83"/>
      <c r="C2238" s="16">
        <v>46222</v>
      </c>
      <c r="D2238" s="82">
        <v>0</v>
      </c>
    </row>
    <row r="2239" spans="1:4" x14ac:dyDescent="0.3">
      <c r="A2239" s="83" t="s">
        <v>212</v>
      </c>
      <c r="B2239" s="83"/>
      <c r="C2239" s="16">
        <v>46222</v>
      </c>
      <c r="D2239" s="82">
        <v>0</v>
      </c>
    </row>
    <row r="2240" spans="1:4" x14ac:dyDescent="0.3">
      <c r="A2240" s="83" t="s">
        <v>199</v>
      </c>
      <c r="B2240" s="83"/>
      <c r="C2240" s="16">
        <v>46222</v>
      </c>
      <c r="D2240" s="82">
        <v>0</v>
      </c>
    </row>
    <row r="2241" spans="1:4" x14ac:dyDescent="0.3">
      <c r="A2241" s="83" t="s">
        <v>216</v>
      </c>
      <c r="B2241" s="83"/>
      <c r="C2241" s="16">
        <v>46222</v>
      </c>
      <c r="D2241" s="82">
        <v>0</v>
      </c>
    </row>
    <row r="2242" spans="1:4" x14ac:dyDescent="0.3">
      <c r="A2242" s="83" t="s">
        <v>17</v>
      </c>
      <c r="B2242" s="83"/>
      <c r="C2242" s="16">
        <v>46223</v>
      </c>
      <c r="D2242" s="82">
        <v>3110339.0700000008</v>
      </c>
    </row>
    <row r="2243" spans="1:4" x14ac:dyDescent="0.3">
      <c r="A2243" s="83" t="s">
        <v>18</v>
      </c>
      <c r="B2243" s="83"/>
      <c r="C2243" s="16">
        <v>46223</v>
      </c>
      <c r="D2243" s="82">
        <v>73157.680000000168</v>
      </c>
    </row>
    <row r="2244" spans="1:4" x14ac:dyDescent="0.3">
      <c r="A2244" s="83" t="s">
        <v>19</v>
      </c>
      <c r="B2244" s="83"/>
      <c r="C2244" s="16">
        <v>46223</v>
      </c>
      <c r="D2244" s="82">
        <v>1669.89</v>
      </c>
    </row>
    <row r="2245" spans="1:4" x14ac:dyDescent="0.3">
      <c r="A2245" s="83" t="s">
        <v>20</v>
      </c>
      <c r="B2245" s="83"/>
      <c r="C2245" s="16">
        <v>46223</v>
      </c>
      <c r="D2245" s="82">
        <v>1029804.7499999998</v>
      </c>
    </row>
    <row r="2246" spans="1:4" x14ac:dyDescent="0.3">
      <c r="A2246" s="83" t="s">
        <v>21</v>
      </c>
      <c r="B2246" s="83"/>
      <c r="C2246" s="16">
        <v>46223</v>
      </c>
      <c r="D2246" s="82">
        <v>1744257.8699999994</v>
      </c>
    </row>
    <row r="2247" spans="1:4" x14ac:dyDescent="0.3">
      <c r="A2247" s="83" t="s">
        <v>22</v>
      </c>
      <c r="B2247" s="83"/>
      <c r="C2247" s="16">
        <v>46223</v>
      </c>
      <c r="D2247" s="82">
        <v>200496.38</v>
      </c>
    </row>
    <row r="2248" spans="1:4" x14ac:dyDescent="0.3">
      <c r="A2248" s="83" t="s">
        <v>23</v>
      </c>
      <c r="B2248" s="83"/>
      <c r="C2248" s="16">
        <v>46223</v>
      </c>
      <c r="D2248" s="82">
        <v>267507.45</v>
      </c>
    </row>
    <row r="2249" spans="1:4" x14ac:dyDescent="0.3">
      <c r="A2249" s="83" t="s">
        <v>24</v>
      </c>
      <c r="B2249" s="83"/>
      <c r="C2249" s="16">
        <v>46223</v>
      </c>
      <c r="D2249" s="82">
        <v>14580.45</v>
      </c>
    </row>
    <row r="2250" spans="1:4" x14ac:dyDescent="0.3">
      <c r="A2250" s="83" t="s">
        <v>25</v>
      </c>
      <c r="B2250" s="83"/>
      <c r="C2250" s="16">
        <v>46223</v>
      </c>
      <c r="D2250" s="82">
        <v>54.400000000000006</v>
      </c>
    </row>
    <row r="2251" spans="1:4" x14ac:dyDescent="0.3">
      <c r="A2251" s="83" t="s">
        <v>26</v>
      </c>
      <c r="B2251" s="83"/>
      <c r="C2251" s="16">
        <v>46223</v>
      </c>
      <c r="D2251" s="82">
        <v>2207.8200000000002</v>
      </c>
    </row>
    <row r="2252" spans="1:4" x14ac:dyDescent="0.3">
      <c r="A2252" s="83" t="s">
        <v>27</v>
      </c>
      <c r="B2252" s="83"/>
      <c r="C2252" s="16">
        <v>46223</v>
      </c>
      <c r="D2252" s="82">
        <v>1454589.72</v>
      </c>
    </row>
    <row r="2253" spans="1:4" x14ac:dyDescent="0.3">
      <c r="A2253" s="83" t="s">
        <v>28</v>
      </c>
      <c r="B2253" s="83"/>
      <c r="C2253" s="16">
        <v>46223</v>
      </c>
      <c r="D2253" s="82">
        <v>1968.99</v>
      </c>
    </row>
    <row r="2254" spans="1:4" x14ac:dyDescent="0.3">
      <c r="A2254" s="83" t="s">
        <v>29</v>
      </c>
      <c r="B2254" s="83"/>
      <c r="C2254" s="16">
        <v>46223</v>
      </c>
      <c r="D2254" s="82">
        <v>901.34</v>
      </c>
    </row>
    <row r="2255" spans="1:4" x14ac:dyDescent="0.3">
      <c r="A2255" s="83" t="s">
        <v>30</v>
      </c>
      <c r="B2255" s="83"/>
      <c r="C2255" s="16">
        <v>46223</v>
      </c>
      <c r="D2255" s="82">
        <v>1412.08</v>
      </c>
    </row>
    <row r="2256" spans="1:4" x14ac:dyDescent="0.3">
      <c r="A2256" s="83" t="s">
        <v>31</v>
      </c>
      <c r="B2256" s="83"/>
      <c r="C2256" s="16">
        <v>46223</v>
      </c>
      <c r="D2256" s="82">
        <v>22347.56999999996</v>
      </c>
    </row>
    <row r="2257" spans="1:4" x14ac:dyDescent="0.3">
      <c r="A2257" s="83" t="s">
        <v>32</v>
      </c>
      <c r="B2257" s="83"/>
      <c r="C2257" s="16">
        <v>46223</v>
      </c>
      <c r="D2257" s="82">
        <v>3522.8000000000029</v>
      </c>
    </row>
    <row r="2258" spans="1:4" x14ac:dyDescent="0.3">
      <c r="A2258" s="83" t="s">
        <v>33</v>
      </c>
      <c r="B2258" s="83"/>
      <c r="C2258" s="16">
        <v>46223</v>
      </c>
      <c r="D2258" s="82">
        <v>28485.559999999998</v>
      </c>
    </row>
    <row r="2259" spans="1:4" x14ac:dyDescent="0.3">
      <c r="A2259" s="83" t="s">
        <v>34</v>
      </c>
      <c r="B2259" s="83"/>
      <c r="C2259" s="16">
        <v>46223</v>
      </c>
      <c r="D2259" s="82">
        <v>345</v>
      </c>
    </row>
    <row r="2260" spans="1:4" x14ac:dyDescent="0.3">
      <c r="A2260" s="83" t="s">
        <v>35</v>
      </c>
      <c r="B2260" s="83"/>
      <c r="C2260" s="16">
        <v>46223</v>
      </c>
      <c r="D2260" s="82">
        <v>14097.480000000003</v>
      </c>
    </row>
    <row r="2261" spans="1:4" x14ac:dyDescent="0.3">
      <c r="A2261" s="83" t="s">
        <v>193</v>
      </c>
      <c r="B2261" s="83"/>
      <c r="C2261" s="16">
        <v>46223</v>
      </c>
      <c r="D2261" s="82">
        <v>0</v>
      </c>
    </row>
    <row r="2262" spans="1:4" x14ac:dyDescent="0.3">
      <c r="A2262" s="83" t="s">
        <v>214</v>
      </c>
      <c r="B2262" s="83"/>
      <c r="C2262" s="16">
        <v>46223</v>
      </c>
      <c r="D2262" s="82">
        <v>0</v>
      </c>
    </row>
    <row r="2263" spans="1:4" x14ac:dyDescent="0.3">
      <c r="A2263" s="83" t="s">
        <v>194</v>
      </c>
      <c r="B2263" s="83"/>
      <c r="C2263" s="16">
        <v>46223</v>
      </c>
      <c r="D2263" s="82">
        <v>0</v>
      </c>
    </row>
    <row r="2264" spans="1:4" x14ac:dyDescent="0.3">
      <c r="A2264" s="83" t="s">
        <v>195</v>
      </c>
      <c r="B2264" s="83"/>
      <c r="C2264" s="16">
        <v>46223</v>
      </c>
      <c r="D2264" s="82">
        <v>0</v>
      </c>
    </row>
    <row r="2265" spans="1:4" x14ac:dyDescent="0.3">
      <c r="A2265" s="83" t="s">
        <v>196</v>
      </c>
      <c r="B2265" s="83"/>
      <c r="C2265" s="16">
        <v>46223</v>
      </c>
      <c r="D2265" s="82">
        <v>0</v>
      </c>
    </row>
    <row r="2266" spans="1:4" x14ac:dyDescent="0.3">
      <c r="A2266" s="83" t="s">
        <v>197</v>
      </c>
      <c r="B2266" s="83"/>
      <c r="C2266" s="16">
        <v>46223</v>
      </c>
      <c r="D2266" s="82">
        <v>0</v>
      </c>
    </row>
    <row r="2267" spans="1:4" x14ac:dyDescent="0.3">
      <c r="A2267" s="83" t="s">
        <v>212</v>
      </c>
      <c r="B2267" s="83"/>
      <c r="C2267" s="16">
        <v>46223</v>
      </c>
      <c r="D2267" s="82">
        <v>0</v>
      </c>
    </row>
    <row r="2268" spans="1:4" x14ac:dyDescent="0.3">
      <c r="A2268" s="83" t="s">
        <v>199</v>
      </c>
      <c r="B2268" s="83"/>
      <c r="C2268" s="16">
        <v>46223</v>
      </c>
      <c r="D2268" s="82">
        <v>0</v>
      </c>
    </row>
    <row r="2269" spans="1:4" x14ac:dyDescent="0.3">
      <c r="A2269" s="83" t="s">
        <v>216</v>
      </c>
      <c r="B2269" s="83"/>
      <c r="C2269" s="16">
        <v>46223</v>
      </c>
      <c r="D2269" s="82">
        <v>0</v>
      </c>
    </row>
    <row r="2270" spans="1:4" x14ac:dyDescent="0.3">
      <c r="A2270" s="83" t="s">
        <v>17</v>
      </c>
      <c r="B2270" s="83"/>
      <c r="C2270" s="16">
        <v>46224</v>
      </c>
      <c r="D2270" s="82">
        <v>3110339.0700000008</v>
      </c>
    </row>
    <row r="2271" spans="1:4" x14ac:dyDescent="0.3">
      <c r="A2271" s="83" t="s">
        <v>18</v>
      </c>
      <c r="B2271" s="83"/>
      <c r="C2271" s="16">
        <v>46224</v>
      </c>
      <c r="D2271" s="82">
        <v>73157.680000000168</v>
      </c>
    </row>
    <row r="2272" spans="1:4" x14ac:dyDescent="0.3">
      <c r="A2272" s="83" t="s">
        <v>19</v>
      </c>
      <c r="B2272" s="83"/>
      <c r="C2272" s="16">
        <v>46224</v>
      </c>
      <c r="D2272" s="82">
        <v>1669.89</v>
      </c>
    </row>
    <row r="2273" spans="1:4" x14ac:dyDescent="0.3">
      <c r="A2273" s="83" t="s">
        <v>20</v>
      </c>
      <c r="B2273" s="83"/>
      <c r="C2273" s="16">
        <v>46224</v>
      </c>
      <c r="D2273" s="82">
        <v>1029804.7499999998</v>
      </c>
    </row>
    <row r="2274" spans="1:4" x14ac:dyDescent="0.3">
      <c r="A2274" s="83" t="s">
        <v>21</v>
      </c>
      <c r="B2274" s="83"/>
      <c r="C2274" s="16">
        <v>46224</v>
      </c>
      <c r="D2274" s="82">
        <v>1744257.8699999994</v>
      </c>
    </row>
    <row r="2275" spans="1:4" x14ac:dyDescent="0.3">
      <c r="A2275" s="83" t="s">
        <v>22</v>
      </c>
      <c r="B2275" s="83"/>
      <c r="C2275" s="16">
        <v>46224</v>
      </c>
      <c r="D2275" s="82">
        <v>200496.38</v>
      </c>
    </row>
    <row r="2276" spans="1:4" x14ac:dyDescent="0.3">
      <c r="A2276" s="83" t="s">
        <v>23</v>
      </c>
      <c r="B2276" s="83"/>
      <c r="C2276" s="16">
        <v>46224</v>
      </c>
      <c r="D2276" s="82">
        <v>267507.45</v>
      </c>
    </row>
    <row r="2277" spans="1:4" x14ac:dyDescent="0.3">
      <c r="A2277" s="83" t="s">
        <v>24</v>
      </c>
      <c r="B2277" s="83"/>
      <c r="C2277" s="16">
        <v>46224</v>
      </c>
      <c r="D2277" s="82">
        <v>14580.45</v>
      </c>
    </row>
    <row r="2278" spans="1:4" x14ac:dyDescent="0.3">
      <c r="A2278" s="83" t="s">
        <v>25</v>
      </c>
      <c r="B2278" s="83"/>
      <c r="C2278" s="16">
        <v>46224</v>
      </c>
      <c r="D2278" s="82">
        <v>54.400000000000006</v>
      </c>
    </row>
    <row r="2279" spans="1:4" x14ac:dyDescent="0.3">
      <c r="A2279" s="83" t="s">
        <v>26</v>
      </c>
      <c r="B2279" s="83"/>
      <c r="C2279" s="16">
        <v>46224</v>
      </c>
      <c r="D2279" s="82">
        <v>2207.8200000000002</v>
      </c>
    </row>
    <row r="2280" spans="1:4" x14ac:dyDescent="0.3">
      <c r="A2280" s="83" t="s">
        <v>27</v>
      </c>
      <c r="B2280" s="83"/>
      <c r="C2280" s="16">
        <v>46224</v>
      </c>
      <c r="D2280" s="82">
        <v>1454589.72</v>
      </c>
    </row>
    <row r="2281" spans="1:4" x14ac:dyDescent="0.3">
      <c r="A2281" s="83" t="s">
        <v>28</v>
      </c>
      <c r="B2281" s="83"/>
      <c r="C2281" s="16">
        <v>46224</v>
      </c>
      <c r="D2281" s="82">
        <v>1968.99</v>
      </c>
    </row>
    <row r="2282" spans="1:4" x14ac:dyDescent="0.3">
      <c r="A2282" s="83" t="s">
        <v>29</v>
      </c>
      <c r="B2282" s="83"/>
      <c r="C2282" s="16">
        <v>46224</v>
      </c>
      <c r="D2282" s="82">
        <v>901.34</v>
      </c>
    </row>
    <row r="2283" spans="1:4" x14ac:dyDescent="0.3">
      <c r="A2283" s="83" t="s">
        <v>30</v>
      </c>
      <c r="B2283" s="83"/>
      <c r="C2283" s="16">
        <v>46224</v>
      </c>
      <c r="D2283" s="82">
        <v>1412.08</v>
      </c>
    </row>
    <row r="2284" spans="1:4" x14ac:dyDescent="0.3">
      <c r="A2284" s="83" t="s">
        <v>31</v>
      </c>
      <c r="B2284" s="83"/>
      <c r="C2284" s="16">
        <v>46224</v>
      </c>
      <c r="D2284" s="82">
        <v>22347.56999999996</v>
      </c>
    </row>
    <row r="2285" spans="1:4" x14ac:dyDescent="0.3">
      <c r="A2285" s="83" t="s">
        <v>32</v>
      </c>
      <c r="B2285" s="83"/>
      <c r="C2285" s="16">
        <v>46224</v>
      </c>
      <c r="D2285" s="82">
        <v>3522.8000000000029</v>
      </c>
    </row>
    <row r="2286" spans="1:4" x14ac:dyDescent="0.3">
      <c r="A2286" s="83" t="s">
        <v>33</v>
      </c>
      <c r="B2286" s="83"/>
      <c r="C2286" s="16">
        <v>46224</v>
      </c>
      <c r="D2286" s="82">
        <v>28485.559999999998</v>
      </c>
    </row>
    <row r="2287" spans="1:4" x14ac:dyDescent="0.3">
      <c r="A2287" s="83" t="s">
        <v>34</v>
      </c>
      <c r="B2287" s="83"/>
      <c r="C2287" s="16">
        <v>46224</v>
      </c>
      <c r="D2287" s="82">
        <v>345</v>
      </c>
    </row>
    <row r="2288" spans="1:4" x14ac:dyDescent="0.3">
      <c r="A2288" s="83" t="s">
        <v>35</v>
      </c>
      <c r="B2288" s="83"/>
      <c r="C2288" s="16">
        <v>46224</v>
      </c>
      <c r="D2288" s="82">
        <v>13745.850000000002</v>
      </c>
    </row>
    <row r="2289" spans="1:4" x14ac:dyDescent="0.3">
      <c r="A2289" s="83" t="s">
        <v>193</v>
      </c>
      <c r="B2289" s="83"/>
      <c r="C2289" s="16">
        <v>46224</v>
      </c>
      <c r="D2289" s="82">
        <v>0</v>
      </c>
    </row>
    <row r="2290" spans="1:4" x14ac:dyDescent="0.3">
      <c r="A2290" s="83" t="s">
        <v>214</v>
      </c>
      <c r="B2290" s="83"/>
      <c r="C2290" s="16">
        <v>46224</v>
      </c>
      <c r="D2290" s="82">
        <v>0</v>
      </c>
    </row>
    <row r="2291" spans="1:4" x14ac:dyDescent="0.3">
      <c r="A2291" s="83" t="s">
        <v>194</v>
      </c>
      <c r="B2291" s="83"/>
      <c r="C2291" s="16">
        <v>46224</v>
      </c>
      <c r="D2291" s="82">
        <v>0</v>
      </c>
    </row>
    <row r="2292" spans="1:4" x14ac:dyDescent="0.3">
      <c r="A2292" s="83" t="s">
        <v>195</v>
      </c>
      <c r="B2292" s="83"/>
      <c r="C2292" s="16">
        <v>46224</v>
      </c>
      <c r="D2292" s="82">
        <v>0</v>
      </c>
    </row>
    <row r="2293" spans="1:4" x14ac:dyDescent="0.3">
      <c r="A2293" s="83" t="s">
        <v>196</v>
      </c>
      <c r="B2293" s="83"/>
      <c r="C2293" s="16">
        <v>46224</v>
      </c>
      <c r="D2293" s="82">
        <v>0</v>
      </c>
    </row>
    <row r="2294" spans="1:4" x14ac:dyDescent="0.3">
      <c r="A2294" s="83" t="s">
        <v>197</v>
      </c>
      <c r="B2294" s="83"/>
      <c r="C2294" s="16">
        <v>46224</v>
      </c>
      <c r="D2294" s="82">
        <v>0</v>
      </c>
    </row>
    <row r="2295" spans="1:4" x14ac:dyDescent="0.3">
      <c r="A2295" s="83" t="s">
        <v>212</v>
      </c>
      <c r="B2295" s="83"/>
      <c r="C2295" s="16">
        <v>46224</v>
      </c>
      <c r="D2295" s="82">
        <v>0</v>
      </c>
    </row>
    <row r="2296" spans="1:4" x14ac:dyDescent="0.3">
      <c r="A2296" s="83" t="s">
        <v>199</v>
      </c>
      <c r="B2296" s="83"/>
      <c r="C2296" s="16">
        <v>46224</v>
      </c>
      <c r="D2296" s="82">
        <v>0</v>
      </c>
    </row>
    <row r="2297" spans="1:4" x14ac:dyDescent="0.3">
      <c r="A2297" s="83" t="s">
        <v>216</v>
      </c>
      <c r="B2297" s="83"/>
      <c r="C2297" s="16">
        <v>46224</v>
      </c>
      <c r="D2297" s="82">
        <v>0</v>
      </c>
    </row>
    <row r="2298" spans="1:4" x14ac:dyDescent="0.3">
      <c r="A2298" s="83" t="s">
        <v>17</v>
      </c>
      <c r="B2298" s="83"/>
      <c r="C2298" s="16">
        <v>46225</v>
      </c>
      <c r="D2298" s="82">
        <v>2255755.7400000007</v>
      </c>
    </row>
    <row r="2299" spans="1:4" x14ac:dyDescent="0.3">
      <c r="A2299" s="83" t="s">
        <v>18</v>
      </c>
      <c r="B2299" s="83"/>
      <c r="C2299" s="16">
        <v>46225</v>
      </c>
      <c r="D2299" s="82">
        <v>73157.680000000168</v>
      </c>
    </row>
    <row r="2300" spans="1:4" x14ac:dyDescent="0.3">
      <c r="A2300" s="83" t="s">
        <v>19</v>
      </c>
      <c r="B2300" s="83"/>
      <c r="C2300" s="16">
        <v>46225</v>
      </c>
      <c r="D2300" s="82">
        <v>1669.89</v>
      </c>
    </row>
    <row r="2301" spans="1:4" x14ac:dyDescent="0.3">
      <c r="A2301" s="83" t="s">
        <v>20</v>
      </c>
      <c r="B2301" s="83"/>
      <c r="C2301" s="16">
        <v>46225</v>
      </c>
      <c r="D2301" s="82">
        <v>1002754.9899999998</v>
      </c>
    </row>
    <row r="2302" spans="1:4" x14ac:dyDescent="0.3">
      <c r="A2302" s="83" t="s">
        <v>21</v>
      </c>
      <c r="B2302" s="83"/>
      <c r="C2302" s="16">
        <v>46225</v>
      </c>
      <c r="D2302" s="82">
        <v>2022877.8699999996</v>
      </c>
    </row>
    <row r="2303" spans="1:4" x14ac:dyDescent="0.3">
      <c r="A2303" s="83" t="s">
        <v>22</v>
      </c>
      <c r="B2303" s="83"/>
      <c r="C2303" s="16">
        <v>46225</v>
      </c>
      <c r="D2303" s="82">
        <v>200496.38</v>
      </c>
    </row>
    <row r="2304" spans="1:4" x14ac:dyDescent="0.3">
      <c r="A2304" s="83" t="s">
        <v>23</v>
      </c>
      <c r="B2304" s="83"/>
      <c r="C2304" s="16">
        <v>46225</v>
      </c>
      <c r="D2304" s="82">
        <v>267507.45</v>
      </c>
    </row>
    <row r="2305" spans="1:4" x14ac:dyDescent="0.3">
      <c r="A2305" s="83" t="s">
        <v>24</v>
      </c>
      <c r="B2305" s="83"/>
      <c r="C2305" s="16">
        <v>46225</v>
      </c>
      <c r="D2305" s="82">
        <v>14580.45</v>
      </c>
    </row>
    <row r="2306" spans="1:4" x14ac:dyDescent="0.3">
      <c r="A2306" s="83" t="s">
        <v>25</v>
      </c>
      <c r="B2306" s="83"/>
      <c r="C2306" s="16">
        <v>46225</v>
      </c>
      <c r="D2306" s="82">
        <v>54.400000000000006</v>
      </c>
    </row>
    <row r="2307" spans="1:4" x14ac:dyDescent="0.3">
      <c r="A2307" s="83" t="s">
        <v>26</v>
      </c>
      <c r="B2307" s="83"/>
      <c r="C2307" s="16">
        <v>46225</v>
      </c>
      <c r="D2307" s="82">
        <v>2207.8200000000002</v>
      </c>
    </row>
    <row r="2308" spans="1:4" x14ac:dyDescent="0.3">
      <c r="A2308" s="83" t="s">
        <v>27</v>
      </c>
      <c r="B2308" s="83"/>
      <c r="C2308" s="16">
        <v>46225</v>
      </c>
      <c r="D2308" s="82">
        <v>1454589.72</v>
      </c>
    </row>
    <row r="2309" spans="1:4" x14ac:dyDescent="0.3">
      <c r="A2309" s="83" t="s">
        <v>28</v>
      </c>
      <c r="B2309" s="83"/>
      <c r="C2309" s="16">
        <v>46225</v>
      </c>
      <c r="D2309" s="82">
        <v>1968.99</v>
      </c>
    </row>
    <row r="2310" spans="1:4" x14ac:dyDescent="0.3">
      <c r="A2310" s="83" t="s">
        <v>29</v>
      </c>
      <c r="B2310" s="83"/>
      <c r="C2310" s="16">
        <v>46225</v>
      </c>
      <c r="D2310" s="82">
        <v>901.34</v>
      </c>
    </row>
    <row r="2311" spans="1:4" x14ac:dyDescent="0.3">
      <c r="A2311" s="83" t="s">
        <v>30</v>
      </c>
      <c r="B2311" s="83"/>
      <c r="C2311" s="16">
        <v>46225</v>
      </c>
      <c r="D2311" s="82">
        <v>1412.08</v>
      </c>
    </row>
    <row r="2312" spans="1:4" x14ac:dyDescent="0.3">
      <c r="A2312" s="83" t="s">
        <v>31</v>
      </c>
      <c r="B2312" s="83"/>
      <c r="C2312" s="16">
        <v>46225</v>
      </c>
      <c r="D2312" s="82">
        <v>22347.56999999996</v>
      </c>
    </row>
    <row r="2313" spans="1:4" x14ac:dyDescent="0.3">
      <c r="A2313" s="83" t="s">
        <v>32</v>
      </c>
      <c r="B2313" s="83"/>
      <c r="C2313" s="16">
        <v>46225</v>
      </c>
      <c r="D2313" s="82">
        <v>3522.8000000000029</v>
      </c>
    </row>
    <row r="2314" spans="1:4" x14ac:dyDescent="0.3">
      <c r="A2314" s="83" t="s">
        <v>33</v>
      </c>
      <c r="B2314" s="83"/>
      <c r="C2314" s="16">
        <v>46225</v>
      </c>
      <c r="D2314" s="82">
        <v>28485.559999999998</v>
      </c>
    </row>
    <row r="2315" spans="1:4" x14ac:dyDescent="0.3">
      <c r="A2315" s="83" t="s">
        <v>34</v>
      </c>
      <c r="B2315" s="83"/>
      <c r="C2315" s="16">
        <v>46225</v>
      </c>
      <c r="D2315" s="82">
        <v>345</v>
      </c>
    </row>
    <row r="2316" spans="1:4" x14ac:dyDescent="0.3">
      <c r="A2316" s="83" t="s">
        <v>35</v>
      </c>
      <c r="B2316" s="83"/>
      <c r="C2316" s="16">
        <v>46225</v>
      </c>
      <c r="D2316" s="82">
        <v>10252.290000000003</v>
      </c>
    </row>
    <row r="2317" spans="1:4" x14ac:dyDescent="0.3">
      <c r="A2317" s="83" t="s">
        <v>193</v>
      </c>
      <c r="B2317" s="83"/>
      <c r="C2317" s="16">
        <v>46225</v>
      </c>
      <c r="D2317" s="82">
        <v>0</v>
      </c>
    </row>
    <row r="2318" spans="1:4" x14ac:dyDescent="0.3">
      <c r="A2318" s="83" t="s">
        <v>214</v>
      </c>
      <c r="B2318" s="83"/>
      <c r="C2318" s="16">
        <v>46225</v>
      </c>
      <c r="D2318" s="82">
        <v>0</v>
      </c>
    </row>
    <row r="2319" spans="1:4" x14ac:dyDescent="0.3">
      <c r="A2319" s="83" t="s">
        <v>194</v>
      </c>
      <c r="B2319" s="83"/>
      <c r="C2319" s="16">
        <v>46225</v>
      </c>
      <c r="D2319" s="82">
        <v>0</v>
      </c>
    </row>
    <row r="2320" spans="1:4" x14ac:dyDescent="0.3">
      <c r="A2320" s="83" t="s">
        <v>195</v>
      </c>
      <c r="B2320" s="83"/>
      <c r="C2320" s="16">
        <v>46225</v>
      </c>
      <c r="D2320" s="82">
        <v>0</v>
      </c>
    </row>
    <row r="2321" spans="1:4" x14ac:dyDescent="0.3">
      <c r="A2321" s="83" t="s">
        <v>196</v>
      </c>
      <c r="B2321" s="83"/>
      <c r="C2321" s="16">
        <v>46225</v>
      </c>
      <c r="D2321" s="82">
        <v>0</v>
      </c>
    </row>
    <row r="2322" spans="1:4" x14ac:dyDescent="0.3">
      <c r="A2322" s="83" t="s">
        <v>197</v>
      </c>
      <c r="B2322" s="83"/>
      <c r="C2322" s="16">
        <v>46225</v>
      </c>
      <c r="D2322" s="82">
        <v>0</v>
      </c>
    </row>
    <row r="2323" spans="1:4" x14ac:dyDescent="0.3">
      <c r="A2323" s="83" t="s">
        <v>212</v>
      </c>
      <c r="B2323" s="83"/>
      <c r="C2323" s="16">
        <v>46225</v>
      </c>
      <c r="D2323" s="82">
        <v>0</v>
      </c>
    </row>
    <row r="2324" spans="1:4" x14ac:dyDescent="0.3">
      <c r="A2324" s="83" t="s">
        <v>199</v>
      </c>
      <c r="B2324" s="83"/>
      <c r="C2324" s="16">
        <v>46225</v>
      </c>
      <c r="D2324" s="82">
        <v>0</v>
      </c>
    </row>
    <row r="2325" spans="1:4" x14ac:dyDescent="0.3">
      <c r="A2325" s="83" t="s">
        <v>216</v>
      </c>
      <c r="B2325" s="83"/>
      <c r="C2325" s="16">
        <v>46225</v>
      </c>
      <c r="D2325" s="82">
        <v>0</v>
      </c>
    </row>
    <row r="2326" spans="1:4" x14ac:dyDescent="0.3">
      <c r="A2326" s="83" t="s">
        <v>17</v>
      </c>
      <c r="B2326" s="83"/>
      <c r="C2326" s="16">
        <v>46226</v>
      </c>
      <c r="D2326" s="82">
        <v>2255750.7400000007</v>
      </c>
    </row>
    <row r="2327" spans="1:4" x14ac:dyDescent="0.3">
      <c r="A2327" s="83" t="s">
        <v>18</v>
      </c>
      <c r="B2327" s="83"/>
      <c r="C2327" s="16">
        <v>46226</v>
      </c>
      <c r="D2327" s="82">
        <v>73157.680000000168</v>
      </c>
    </row>
    <row r="2328" spans="1:4" x14ac:dyDescent="0.3">
      <c r="A2328" s="83" t="s">
        <v>19</v>
      </c>
      <c r="B2328" s="83"/>
      <c r="C2328" s="16">
        <v>46226</v>
      </c>
      <c r="D2328" s="82">
        <v>1669.89</v>
      </c>
    </row>
    <row r="2329" spans="1:4" x14ac:dyDescent="0.3">
      <c r="A2329" s="83" t="s">
        <v>20</v>
      </c>
      <c r="B2329" s="83"/>
      <c r="C2329" s="16">
        <v>46226</v>
      </c>
      <c r="D2329" s="82">
        <v>1042744.6899999997</v>
      </c>
    </row>
    <row r="2330" spans="1:4" x14ac:dyDescent="0.3">
      <c r="A2330" s="83" t="s">
        <v>21</v>
      </c>
      <c r="B2330" s="83"/>
      <c r="C2330" s="16">
        <v>46226</v>
      </c>
      <c r="D2330" s="82">
        <v>2022877.8699999996</v>
      </c>
    </row>
    <row r="2331" spans="1:4" x14ac:dyDescent="0.3">
      <c r="A2331" s="83" t="s">
        <v>22</v>
      </c>
      <c r="B2331" s="83"/>
      <c r="C2331" s="16">
        <v>46226</v>
      </c>
      <c r="D2331" s="82">
        <v>200496.38</v>
      </c>
    </row>
    <row r="2332" spans="1:4" x14ac:dyDescent="0.3">
      <c r="A2332" s="83" t="s">
        <v>23</v>
      </c>
      <c r="B2332" s="83"/>
      <c r="C2332" s="16">
        <v>46226</v>
      </c>
      <c r="D2332" s="82">
        <v>267507.45</v>
      </c>
    </row>
    <row r="2333" spans="1:4" x14ac:dyDescent="0.3">
      <c r="A2333" s="83" t="s">
        <v>24</v>
      </c>
      <c r="B2333" s="83"/>
      <c r="C2333" s="16">
        <v>46226</v>
      </c>
      <c r="D2333" s="82">
        <v>14580.45</v>
      </c>
    </row>
    <row r="2334" spans="1:4" x14ac:dyDescent="0.3">
      <c r="A2334" s="83" t="s">
        <v>25</v>
      </c>
      <c r="B2334" s="83"/>
      <c r="C2334" s="16">
        <v>46226</v>
      </c>
      <c r="D2334" s="82">
        <v>54.400000000000006</v>
      </c>
    </row>
    <row r="2335" spans="1:4" x14ac:dyDescent="0.3">
      <c r="A2335" s="83" t="s">
        <v>26</v>
      </c>
      <c r="B2335" s="83"/>
      <c r="C2335" s="16">
        <v>46226</v>
      </c>
      <c r="D2335" s="82">
        <v>2207.8200000000002</v>
      </c>
    </row>
    <row r="2336" spans="1:4" x14ac:dyDescent="0.3">
      <c r="A2336" s="83" t="s">
        <v>27</v>
      </c>
      <c r="B2336" s="83"/>
      <c r="C2336" s="16">
        <v>46226</v>
      </c>
      <c r="D2336" s="82">
        <v>1454589.72</v>
      </c>
    </row>
    <row r="2337" spans="1:4" x14ac:dyDescent="0.3">
      <c r="A2337" s="83" t="s">
        <v>28</v>
      </c>
      <c r="B2337" s="83"/>
      <c r="C2337" s="16">
        <v>46226</v>
      </c>
      <c r="D2337" s="82">
        <v>1968.99</v>
      </c>
    </row>
    <row r="2338" spans="1:4" x14ac:dyDescent="0.3">
      <c r="A2338" s="83" t="s">
        <v>29</v>
      </c>
      <c r="B2338" s="83"/>
      <c r="C2338" s="16">
        <v>46226</v>
      </c>
      <c r="D2338" s="82">
        <v>901.34</v>
      </c>
    </row>
    <row r="2339" spans="1:4" x14ac:dyDescent="0.3">
      <c r="A2339" s="83" t="s">
        <v>30</v>
      </c>
      <c r="B2339" s="83"/>
      <c r="C2339" s="16">
        <v>46226</v>
      </c>
      <c r="D2339" s="82">
        <v>1412.08</v>
      </c>
    </row>
    <row r="2340" spans="1:4" x14ac:dyDescent="0.3">
      <c r="A2340" s="83" t="s">
        <v>31</v>
      </c>
      <c r="B2340" s="83"/>
      <c r="C2340" s="16">
        <v>46226</v>
      </c>
      <c r="D2340" s="82">
        <v>22347.56999999996</v>
      </c>
    </row>
    <row r="2341" spans="1:4" x14ac:dyDescent="0.3">
      <c r="A2341" s="83" t="s">
        <v>32</v>
      </c>
      <c r="B2341" s="83"/>
      <c r="C2341" s="16">
        <v>46226</v>
      </c>
      <c r="D2341" s="82">
        <v>18522.800000000003</v>
      </c>
    </row>
    <row r="2342" spans="1:4" x14ac:dyDescent="0.3">
      <c r="A2342" s="83" t="s">
        <v>33</v>
      </c>
      <c r="B2342" s="83"/>
      <c r="C2342" s="16">
        <v>46226</v>
      </c>
      <c r="D2342" s="82">
        <v>28485.559999999998</v>
      </c>
    </row>
    <row r="2343" spans="1:4" x14ac:dyDescent="0.3">
      <c r="A2343" s="83" t="s">
        <v>34</v>
      </c>
      <c r="B2343" s="83"/>
      <c r="C2343" s="16">
        <v>46226</v>
      </c>
      <c r="D2343" s="82">
        <v>345</v>
      </c>
    </row>
    <row r="2344" spans="1:4" x14ac:dyDescent="0.3">
      <c r="A2344" s="83" t="s">
        <v>35</v>
      </c>
      <c r="B2344" s="83"/>
      <c r="C2344" s="16">
        <v>46226</v>
      </c>
      <c r="D2344" s="82">
        <v>9958.7100000000028</v>
      </c>
    </row>
    <row r="2345" spans="1:4" x14ac:dyDescent="0.3">
      <c r="A2345" s="83" t="s">
        <v>193</v>
      </c>
      <c r="B2345" s="83"/>
      <c r="C2345" s="16">
        <v>46226</v>
      </c>
      <c r="D2345" s="82">
        <v>0</v>
      </c>
    </row>
    <row r="2346" spans="1:4" x14ac:dyDescent="0.3">
      <c r="A2346" s="83" t="s">
        <v>214</v>
      </c>
      <c r="B2346" s="83"/>
      <c r="C2346" s="16">
        <v>46226</v>
      </c>
      <c r="D2346" s="82">
        <v>0</v>
      </c>
    </row>
    <row r="2347" spans="1:4" x14ac:dyDescent="0.3">
      <c r="A2347" s="83" t="s">
        <v>194</v>
      </c>
      <c r="B2347" s="83"/>
      <c r="C2347" s="16">
        <v>46226</v>
      </c>
      <c r="D2347" s="82">
        <v>0</v>
      </c>
    </row>
    <row r="2348" spans="1:4" x14ac:dyDescent="0.3">
      <c r="A2348" s="83" t="s">
        <v>195</v>
      </c>
      <c r="B2348" s="83"/>
      <c r="C2348" s="16">
        <v>46226</v>
      </c>
      <c r="D2348" s="82">
        <v>0</v>
      </c>
    </row>
    <row r="2349" spans="1:4" x14ac:dyDescent="0.3">
      <c r="A2349" s="83" t="s">
        <v>196</v>
      </c>
      <c r="B2349" s="83"/>
      <c r="C2349" s="16">
        <v>46226</v>
      </c>
      <c r="D2349" s="82">
        <v>0</v>
      </c>
    </row>
    <row r="2350" spans="1:4" x14ac:dyDescent="0.3">
      <c r="A2350" s="83" t="s">
        <v>197</v>
      </c>
      <c r="B2350" s="83"/>
      <c r="C2350" s="16">
        <v>46226</v>
      </c>
      <c r="D2350" s="82">
        <v>0</v>
      </c>
    </row>
    <row r="2351" spans="1:4" x14ac:dyDescent="0.3">
      <c r="A2351" s="83" t="s">
        <v>212</v>
      </c>
      <c r="B2351" s="83"/>
      <c r="C2351" s="16">
        <v>46226</v>
      </c>
      <c r="D2351" s="82">
        <v>0</v>
      </c>
    </row>
    <row r="2352" spans="1:4" x14ac:dyDescent="0.3">
      <c r="A2352" s="83" t="s">
        <v>199</v>
      </c>
      <c r="B2352" s="83"/>
      <c r="C2352" s="16">
        <v>46226</v>
      </c>
      <c r="D2352" s="82">
        <v>0</v>
      </c>
    </row>
    <row r="2353" spans="1:4" x14ac:dyDescent="0.3">
      <c r="A2353" s="83" t="s">
        <v>216</v>
      </c>
      <c r="B2353" s="83"/>
      <c r="C2353" s="16">
        <v>46226</v>
      </c>
      <c r="D2353" s="82">
        <v>0</v>
      </c>
    </row>
    <row r="2354" spans="1:4" x14ac:dyDescent="0.3">
      <c r="A2354" s="83" t="s">
        <v>17</v>
      </c>
      <c r="B2354" s="83"/>
      <c r="C2354" s="16">
        <v>46227</v>
      </c>
      <c r="D2354" s="82">
        <v>2255750.7400000007</v>
      </c>
    </row>
    <row r="2355" spans="1:4" x14ac:dyDescent="0.3">
      <c r="A2355" s="83" t="s">
        <v>18</v>
      </c>
      <c r="B2355" s="83"/>
      <c r="C2355" s="16">
        <v>46227</v>
      </c>
      <c r="D2355" s="82">
        <v>73157.680000000168</v>
      </c>
    </row>
    <row r="2356" spans="1:4" x14ac:dyDescent="0.3">
      <c r="A2356" s="83" t="s">
        <v>19</v>
      </c>
      <c r="B2356" s="83"/>
      <c r="C2356" s="16">
        <v>46227</v>
      </c>
      <c r="D2356" s="82">
        <v>1669.89</v>
      </c>
    </row>
    <row r="2357" spans="1:4" x14ac:dyDescent="0.3">
      <c r="A2357" s="83" t="s">
        <v>20</v>
      </c>
      <c r="B2357" s="83"/>
      <c r="C2357" s="16">
        <v>46227</v>
      </c>
      <c r="D2357" s="82">
        <v>1042744.6899999997</v>
      </c>
    </row>
    <row r="2358" spans="1:4" x14ac:dyDescent="0.3">
      <c r="A2358" s="83" t="s">
        <v>21</v>
      </c>
      <c r="B2358" s="83"/>
      <c r="C2358" s="16">
        <v>46227</v>
      </c>
      <c r="D2358" s="82">
        <v>2022877.8699999996</v>
      </c>
    </row>
    <row r="2359" spans="1:4" x14ac:dyDescent="0.3">
      <c r="A2359" s="83" t="s">
        <v>22</v>
      </c>
      <c r="B2359" s="83"/>
      <c r="C2359" s="16">
        <v>46227</v>
      </c>
      <c r="D2359" s="82">
        <v>200496.38</v>
      </c>
    </row>
    <row r="2360" spans="1:4" x14ac:dyDescent="0.3">
      <c r="A2360" s="83" t="s">
        <v>23</v>
      </c>
      <c r="B2360" s="83"/>
      <c r="C2360" s="16">
        <v>46227</v>
      </c>
      <c r="D2360" s="82">
        <v>267507.45</v>
      </c>
    </row>
    <row r="2361" spans="1:4" x14ac:dyDescent="0.3">
      <c r="A2361" s="83" t="s">
        <v>24</v>
      </c>
      <c r="B2361" s="83"/>
      <c r="C2361" s="16">
        <v>46227</v>
      </c>
      <c r="D2361" s="82">
        <v>14580.45</v>
      </c>
    </row>
    <row r="2362" spans="1:4" x14ac:dyDescent="0.3">
      <c r="A2362" s="83" t="s">
        <v>25</v>
      </c>
      <c r="B2362" s="83"/>
      <c r="C2362" s="16">
        <v>46227</v>
      </c>
      <c r="D2362" s="82">
        <v>54.400000000000006</v>
      </c>
    </row>
    <row r="2363" spans="1:4" x14ac:dyDescent="0.3">
      <c r="A2363" s="83" t="s">
        <v>26</v>
      </c>
      <c r="B2363" s="83"/>
      <c r="C2363" s="16">
        <v>46227</v>
      </c>
      <c r="D2363" s="82">
        <v>2207.8200000000002</v>
      </c>
    </row>
    <row r="2364" spans="1:4" x14ac:dyDescent="0.3">
      <c r="A2364" s="83" t="s">
        <v>27</v>
      </c>
      <c r="B2364" s="83"/>
      <c r="C2364" s="16">
        <v>46227</v>
      </c>
      <c r="D2364" s="82">
        <v>1454589.72</v>
      </c>
    </row>
    <row r="2365" spans="1:4" x14ac:dyDescent="0.3">
      <c r="A2365" s="83" t="s">
        <v>28</v>
      </c>
      <c r="B2365" s="83"/>
      <c r="C2365" s="16">
        <v>46227</v>
      </c>
      <c r="D2365" s="82">
        <v>1968.99</v>
      </c>
    </row>
    <row r="2366" spans="1:4" x14ac:dyDescent="0.3">
      <c r="A2366" s="83" t="s">
        <v>29</v>
      </c>
      <c r="B2366" s="83"/>
      <c r="C2366" s="16">
        <v>46227</v>
      </c>
      <c r="D2366" s="82">
        <v>901.34</v>
      </c>
    </row>
    <row r="2367" spans="1:4" x14ac:dyDescent="0.3">
      <c r="A2367" s="83" t="s">
        <v>30</v>
      </c>
      <c r="B2367" s="83"/>
      <c r="C2367" s="16">
        <v>46227</v>
      </c>
      <c r="D2367" s="82">
        <v>1412.08</v>
      </c>
    </row>
    <row r="2368" spans="1:4" x14ac:dyDescent="0.3">
      <c r="A2368" s="83" t="s">
        <v>31</v>
      </c>
      <c r="B2368" s="83"/>
      <c r="C2368" s="16">
        <v>46227</v>
      </c>
      <c r="D2368" s="82">
        <v>22347.56999999996</v>
      </c>
    </row>
    <row r="2369" spans="1:4" x14ac:dyDescent="0.3">
      <c r="A2369" s="83" t="s">
        <v>32</v>
      </c>
      <c r="B2369" s="83"/>
      <c r="C2369" s="16">
        <v>46227</v>
      </c>
      <c r="D2369" s="82">
        <v>18522.800000000003</v>
      </c>
    </row>
    <row r="2370" spans="1:4" x14ac:dyDescent="0.3">
      <c r="A2370" s="83" t="s">
        <v>33</v>
      </c>
      <c r="B2370" s="83"/>
      <c r="C2370" s="16">
        <v>46227</v>
      </c>
      <c r="D2370" s="82">
        <v>28485.559999999998</v>
      </c>
    </row>
    <row r="2371" spans="1:4" x14ac:dyDescent="0.3">
      <c r="A2371" s="83" t="s">
        <v>34</v>
      </c>
      <c r="B2371" s="83"/>
      <c r="C2371" s="16">
        <v>46227</v>
      </c>
      <c r="D2371" s="82">
        <v>345</v>
      </c>
    </row>
    <row r="2372" spans="1:4" x14ac:dyDescent="0.3">
      <c r="A2372" s="83" t="s">
        <v>35</v>
      </c>
      <c r="B2372" s="83"/>
      <c r="C2372" s="16">
        <v>46227</v>
      </c>
      <c r="D2372" s="82">
        <v>9557.6300000000028</v>
      </c>
    </row>
    <row r="2373" spans="1:4" x14ac:dyDescent="0.3">
      <c r="A2373" s="83" t="s">
        <v>193</v>
      </c>
      <c r="B2373" s="83"/>
      <c r="C2373" s="16">
        <v>46227</v>
      </c>
      <c r="D2373" s="82">
        <v>0</v>
      </c>
    </row>
    <row r="2374" spans="1:4" x14ac:dyDescent="0.3">
      <c r="A2374" s="83" t="s">
        <v>214</v>
      </c>
      <c r="B2374" s="83"/>
      <c r="C2374" s="16">
        <v>46227</v>
      </c>
      <c r="D2374" s="82">
        <v>0</v>
      </c>
    </row>
    <row r="2375" spans="1:4" x14ac:dyDescent="0.3">
      <c r="A2375" s="83" t="s">
        <v>194</v>
      </c>
      <c r="B2375" s="83"/>
      <c r="C2375" s="16">
        <v>46227</v>
      </c>
      <c r="D2375" s="82">
        <v>0</v>
      </c>
    </row>
    <row r="2376" spans="1:4" x14ac:dyDescent="0.3">
      <c r="A2376" s="83" t="s">
        <v>195</v>
      </c>
      <c r="B2376" s="83"/>
      <c r="C2376" s="16">
        <v>46227</v>
      </c>
      <c r="D2376" s="82">
        <v>0</v>
      </c>
    </row>
    <row r="2377" spans="1:4" x14ac:dyDescent="0.3">
      <c r="A2377" s="83" t="s">
        <v>196</v>
      </c>
      <c r="B2377" s="83"/>
      <c r="C2377" s="16">
        <v>46227</v>
      </c>
      <c r="D2377" s="82">
        <v>0</v>
      </c>
    </row>
    <row r="2378" spans="1:4" x14ac:dyDescent="0.3">
      <c r="A2378" s="83" t="s">
        <v>197</v>
      </c>
      <c r="B2378" s="83"/>
      <c r="C2378" s="16">
        <v>46227</v>
      </c>
      <c r="D2378" s="82">
        <v>0</v>
      </c>
    </row>
    <row r="2379" spans="1:4" x14ac:dyDescent="0.3">
      <c r="A2379" s="83" t="s">
        <v>212</v>
      </c>
      <c r="B2379" s="83"/>
      <c r="C2379" s="16">
        <v>46227</v>
      </c>
      <c r="D2379" s="82">
        <v>0</v>
      </c>
    </row>
    <row r="2380" spans="1:4" x14ac:dyDescent="0.3">
      <c r="A2380" s="83" t="s">
        <v>199</v>
      </c>
      <c r="B2380" s="83"/>
      <c r="C2380" s="16">
        <v>46227</v>
      </c>
      <c r="D2380" s="82">
        <v>0</v>
      </c>
    </row>
    <row r="2381" spans="1:4" x14ac:dyDescent="0.3">
      <c r="A2381" s="83" t="s">
        <v>216</v>
      </c>
      <c r="B2381" s="83"/>
      <c r="C2381" s="16">
        <v>46227</v>
      </c>
      <c r="D2381" s="82">
        <v>0</v>
      </c>
    </row>
    <row r="2382" spans="1:4" x14ac:dyDescent="0.3">
      <c r="A2382" s="83" t="s">
        <v>17</v>
      </c>
      <c r="B2382" s="83"/>
      <c r="C2382" s="16">
        <v>46228</v>
      </c>
      <c r="D2382" s="82">
        <v>2255750.7400000007</v>
      </c>
    </row>
    <row r="2383" spans="1:4" x14ac:dyDescent="0.3">
      <c r="A2383" s="83" t="s">
        <v>18</v>
      </c>
      <c r="B2383" s="83"/>
      <c r="C2383" s="16">
        <v>46228</v>
      </c>
      <c r="D2383" s="82">
        <v>73157.680000000168</v>
      </c>
    </row>
    <row r="2384" spans="1:4" x14ac:dyDescent="0.3">
      <c r="A2384" s="83" t="s">
        <v>19</v>
      </c>
      <c r="B2384" s="83"/>
      <c r="C2384" s="16">
        <v>46228</v>
      </c>
      <c r="D2384" s="82">
        <v>1669.89</v>
      </c>
    </row>
    <row r="2385" spans="1:4" x14ac:dyDescent="0.3">
      <c r="A2385" s="83" t="s">
        <v>20</v>
      </c>
      <c r="B2385" s="83"/>
      <c r="C2385" s="16">
        <v>46228</v>
      </c>
      <c r="D2385" s="82">
        <v>1042744.6899999997</v>
      </c>
    </row>
    <row r="2386" spans="1:4" x14ac:dyDescent="0.3">
      <c r="A2386" s="83" t="s">
        <v>21</v>
      </c>
      <c r="B2386" s="83"/>
      <c r="C2386" s="16">
        <v>46228</v>
      </c>
      <c r="D2386" s="82">
        <v>2022877.8699999996</v>
      </c>
    </row>
    <row r="2387" spans="1:4" x14ac:dyDescent="0.3">
      <c r="A2387" s="83" t="s">
        <v>22</v>
      </c>
      <c r="B2387" s="83"/>
      <c r="C2387" s="16">
        <v>46228</v>
      </c>
      <c r="D2387" s="82">
        <v>200496.38</v>
      </c>
    </row>
    <row r="2388" spans="1:4" x14ac:dyDescent="0.3">
      <c r="A2388" s="83" t="s">
        <v>23</v>
      </c>
      <c r="B2388" s="83"/>
      <c r="C2388" s="16">
        <v>46228</v>
      </c>
      <c r="D2388" s="82">
        <v>267507.45</v>
      </c>
    </row>
    <row r="2389" spans="1:4" x14ac:dyDescent="0.3">
      <c r="A2389" s="83" t="s">
        <v>24</v>
      </c>
      <c r="B2389" s="83"/>
      <c r="C2389" s="16">
        <v>46228</v>
      </c>
      <c r="D2389" s="82">
        <v>14580.45</v>
      </c>
    </row>
    <row r="2390" spans="1:4" x14ac:dyDescent="0.3">
      <c r="A2390" s="83" t="s">
        <v>25</v>
      </c>
      <c r="B2390" s="83"/>
      <c r="C2390" s="16">
        <v>46228</v>
      </c>
      <c r="D2390" s="82">
        <v>54.400000000000006</v>
      </c>
    </row>
    <row r="2391" spans="1:4" x14ac:dyDescent="0.3">
      <c r="A2391" s="83" t="s">
        <v>26</v>
      </c>
      <c r="B2391" s="83"/>
      <c r="C2391" s="16">
        <v>46228</v>
      </c>
      <c r="D2391" s="82">
        <v>2207.8200000000002</v>
      </c>
    </row>
    <row r="2392" spans="1:4" x14ac:dyDescent="0.3">
      <c r="A2392" s="83" t="s">
        <v>27</v>
      </c>
      <c r="B2392" s="83"/>
      <c r="C2392" s="16">
        <v>46228</v>
      </c>
      <c r="D2392" s="82">
        <v>1454589.72</v>
      </c>
    </row>
    <row r="2393" spans="1:4" x14ac:dyDescent="0.3">
      <c r="A2393" s="83" t="s">
        <v>28</v>
      </c>
      <c r="B2393" s="83"/>
      <c r="C2393" s="16">
        <v>46228</v>
      </c>
      <c r="D2393" s="82">
        <v>1968.99</v>
      </c>
    </row>
    <row r="2394" spans="1:4" x14ac:dyDescent="0.3">
      <c r="A2394" s="83" t="s">
        <v>29</v>
      </c>
      <c r="B2394" s="83"/>
      <c r="C2394" s="16">
        <v>46228</v>
      </c>
      <c r="D2394" s="82">
        <v>901.34</v>
      </c>
    </row>
    <row r="2395" spans="1:4" x14ac:dyDescent="0.3">
      <c r="A2395" s="83" t="s">
        <v>30</v>
      </c>
      <c r="B2395" s="83"/>
      <c r="C2395" s="16">
        <v>46228</v>
      </c>
      <c r="D2395" s="82">
        <v>1412.08</v>
      </c>
    </row>
    <row r="2396" spans="1:4" x14ac:dyDescent="0.3">
      <c r="A2396" s="83" t="s">
        <v>31</v>
      </c>
      <c r="B2396" s="83"/>
      <c r="C2396" s="16">
        <v>46228</v>
      </c>
      <c r="D2396" s="82">
        <v>22347.56999999996</v>
      </c>
    </row>
    <row r="2397" spans="1:4" x14ac:dyDescent="0.3">
      <c r="A2397" s="83" t="s">
        <v>32</v>
      </c>
      <c r="B2397" s="83"/>
      <c r="C2397" s="16">
        <v>46228</v>
      </c>
      <c r="D2397" s="82">
        <v>18522.800000000003</v>
      </c>
    </row>
    <row r="2398" spans="1:4" x14ac:dyDescent="0.3">
      <c r="A2398" s="83" t="s">
        <v>33</v>
      </c>
      <c r="B2398" s="83"/>
      <c r="C2398" s="16">
        <v>46228</v>
      </c>
      <c r="D2398" s="82">
        <v>28485.559999999998</v>
      </c>
    </row>
    <row r="2399" spans="1:4" x14ac:dyDescent="0.3">
      <c r="A2399" s="83" t="s">
        <v>34</v>
      </c>
      <c r="B2399" s="83"/>
      <c r="C2399" s="16">
        <v>46228</v>
      </c>
      <c r="D2399" s="82">
        <v>345</v>
      </c>
    </row>
    <row r="2400" spans="1:4" x14ac:dyDescent="0.3">
      <c r="A2400" s="83" t="s">
        <v>35</v>
      </c>
      <c r="B2400" s="83"/>
      <c r="C2400" s="16">
        <v>46228</v>
      </c>
      <c r="D2400" s="82">
        <v>9557.6300000000028</v>
      </c>
    </row>
    <row r="2401" spans="1:4" x14ac:dyDescent="0.3">
      <c r="A2401" s="83" t="s">
        <v>193</v>
      </c>
      <c r="B2401" s="83"/>
      <c r="C2401" s="16">
        <v>46228</v>
      </c>
      <c r="D2401" s="82">
        <v>0</v>
      </c>
    </row>
    <row r="2402" spans="1:4" x14ac:dyDescent="0.3">
      <c r="A2402" s="83" t="s">
        <v>214</v>
      </c>
      <c r="B2402" s="83"/>
      <c r="C2402" s="16">
        <v>46228</v>
      </c>
      <c r="D2402" s="82">
        <v>0</v>
      </c>
    </row>
    <row r="2403" spans="1:4" x14ac:dyDescent="0.3">
      <c r="A2403" s="83" t="s">
        <v>194</v>
      </c>
      <c r="B2403" s="83"/>
      <c r="C2403" s="16">
        <v>46228</v>
      </c>
      <c r="D2403" s="82">
        <v>0</v>
      </c>
    </row>
    <row r="2404" spans="1:4" x14ac:dyDescent="0.3">
      <c r="A2404" s="83" t="s">
        <v>195</v>
      </c>
      <c r="B2404" s="83"/>
      <c r="C2404" s="16">
        <v>46228</v>
      </c>
      <c r="D2404" s="82">
        <v>0</v>
      </c>
    </row>
    <row r="2405" spans="1:4" x14ac:dyDescent="0.3">
      <c r="A2405" s="83" t="s">
        <v>196</v>
      </c>
      <c r="B2405" s="83"/>
      <c r="C2405" s="16">
        <v>46228</v>
      </c>
      <c r="D2405" s="82">
        <v>0</v>
      </c>
    </row>
    <row r="2406" spans="1:4" x14ac:dyDescent="0.3">
      <c r="A2406" s="83" t="s">
        <v>197</v>
      </c>
      <c r="B2406" s="83"/>
      <c r="C2406" s="16">
        <v>46228</v>
      </c>
      <c r="D2406" s="82">
        <v>0</v>
      </c>
    </row>
    <row r="2407" spans="1:4" x14ac:dyDescent="0.3">
      <c r="A2407" s="83" t="s">
        <v>212</v>
      </c>
      <c r="B2407" s="83"/>
      <c r="C2407" s="16">
        <v>46228</v>
      </c>
      <c r="D2407" s="82">
        <v>0</v>
      </c>
    </row>
    <row r="2408" spans="1:4" x14ac:dyDescent="0.3">
      <c r="A2408" s="83" t="s">
        <v>199</v>
      </c>
      <c r="B2408" s="83"/>
      <c r="C2408" s="16">
        <v>46228</v>
      </c>
      <c r="D2408" s="82">
        <v>0</v>
      </c>
    </row>
    <row r="2409" spans="1:4" x14ac:dyDescent="0.3">
      <c r="A2409" s="83" t="s">
        <v>216</v>
      </c>
      <c r="B2409" s="83"/>
      <c r="C2409" s="16">
        <v>46228</v>
      </c>
      <c r="D2409" s="82">
        <v>0</v>
      </c>
    </row>
    <row r="2410" spans="1:4" x14ac:dyDescent="0.3">
      <c r="A2410" s="83" t="s">
        <v>17</v>
      </c>
      <c r="B2410" s="83"/>
      <c r="C2410" s="16">
        <v>46229</v>
      </c>
      <c r="D2410" s="82">
        <v>2255750.7400000007</v>
      </c>
    </row>
    <row r="2411" spans="1:4" x14ac:dyDescent="0.3">
      <c r="A2411" s="83" t="s">
        <v>18</v>
      </c>
      <c r="B2411" s="83"/>
      <c r="C2411" s="16">
        <v>46229</v>
      </c>
      <c r="D2411" s="82">
        <v>73157.680000000168</v>
      </c>
    </row>
    <row r="2412" spans="1:4" x14ac:dyDescent="0.3">
      <c r="A2412" s="83" t="s">
        <v>19</v>
      </c>
      <c r="B2412" s="83"/>
      <c r="C2412" s="16">
        <v>46229</v>
      </c>
      <c r="D2412" s="82">
        <v>1669.89</v>
      </c>
    </row>
    <row r="2413" spans="1:4" x14ac:dyDescent="0.3">
      <c r="A2413" s="83" t="s">
        <v>20</v>
      </c>
      <c r="B2413" s="83"/>
      <c r="C2413" s="16">
        <v>46229</v>
      </c>
      <c r="D2413" s="82">
        <v>1042744.6899999997</v>
      </c>
    </row>
    <row r="2414" spans="1:4" x14ac:dyDescent="0.3">
      <c r="A2414" s="83" t="s">
        <v>21</v>
      </c>
      <c r="B2414" s="83"/>
      <c r="C2414" s="16">
        <v>46229</v>
      </c>
      <c r="D2414" s="82">
        <v>2022877.8699999996</v>
      </c>
    </row>
    <row r="2415" spans="1:4" x14ac:dyDescent="0.3">
      <c r="A2415" s="83" t="s">
        <v>22</v>
      </c>
      <c r="B2415" s="83"/>
      <c r="C2415" s="16">
        <v>46229</v>
      </c>
      <c r="D2415" s="82">
        <v>200496.38</v>
      </c>
    </row>
    <row r="2416" spans="1:4" x14ac:dyDescent="0.3">
      <c r="A2416" s="83" t="s">
        <v>23</v>
      </c>
      <c r="B2416" s="83"/>
      <c r="C2416" s="16">
        <v>46229</v>
      </c>
      <c r="D2416" s="82">
        <v>267507.45</v>
      </c>
    </row>
    <row r="2417" spans="1:4" x14ac:dyDescent="0.3">
      <c r="A2417" s="83" t="s">
        <v>24</v>
      </c>
      <c r="B2417" s="83"/>
      <c r="C2417" s="16">
        <v>46229</v>
      </c>
      <c r="D2417" s="82">
        <v>14580.45</v>
      </c>
    </row>
    <row r="2418" spans="1:4" x14ac:dyDescent="0.3">
      <c r="A2418" s="83" t="s">
        <v>25</v>
      </c>
      <c r="B2418" s="83"/>
      <c r="C2418" s="16">
        <v>46229</v>
      </c>
      <c r="D2418" s="82">
        <v>54.400000000000006</v>
      </c>
    </row>
    <row r="2419" spans="1:4" x14ac:dyDescent="0.3">
      <c r="A2419" s="83" t="s">
        <v>26</v>
      </c>
      <c r="B2419" s="83"/>
      <c r="C2419" s="16">
        <v>46229</v>
      </c>
      <c r="D2419" s="82">
        <v>2207.8200000000002</v>
      </c>
    </row>
    <row r="2420" spans="1:4" x14ac:dyDescent="0.3">
      <c r="A2420" s="83" t="s">
        <v>27</v>
      </c>
      <c r="B2420" s="83"/>
      <c r="C2420" s="16">
        <v>46229</v>
      </c>
      <c r="D2420" s="82">
        <v>1454589.72</v>
      </c>
    </row>
    <row r="2421" spans="1:4" x14ac:dyDescent="0.3">
      <c r="A2421" s="83" t="s">
        <v>28</v>
      </c>
      <c r="B2421" s="83"/>
      <c r="C2421" s="16">
        <v>46229</v>
      </c>
      <c r="D2421" s="82">
        <v>1968.99</v>
      </c>
    </row>
    <row r="2422" spans="1:4" x14ac:dyDescent="0.3">
      <c r="A2422" s="83" t="s">
        <v>29</v>
      </c>
      <c r="B2422" s="83"/>
      <c r="C2422" s="16">
        <v>46229</v>
      </c>
      <c r="D2422" s="82">
        <v>901.34</v>
      </c>
    </row>
    <row r="2423" spans="1:4" x14ac:dyDescent="0.3">
      <c r="A2423" s="83" t="s">
        <v>30</v>
      </c>
      <c r="B2423" s="83"/>
      <c r="C2423" s="16">
        <v>46229</v>
      </c>
      <c r="D2423" s="82">
        <v>1412.08</v>
      </c>
    </row>
    <row r="2424" spans="1:4" x14ac:dyDescent="0.3">
      <c r="A2424" s="83" t="s">
        <v>31</v>
      </c>
      <c r="B2424" s="83"/>
      <c r="C2424" s="16">
        <v>46229</v>
      </c>
      <c r="D2424" s="82">
        <v>22347.56999999996</v>
      </c>
    </row>
    <row r="2425" spans="1:4" x14ac:dyDescent="0.3">
      <c r="A2425" s="83" t="s">
        <v>32</v>
      </c>
      <c r="B2425" s="83"/>
      <c r="C2425" s="16">
        <v>46229</v>
      </c>
      <c r="D2425" s="82">
        <v>18522.800000000003</v>
      </c>
    </row>
    <row r="2426" spans="1:4" x14ac:dyDescent="0.3">
      <c r="A2426" s="83" t="s">
        <v>33</v>
      </c>
      <c r="B2426" s="83"/>
      <c r="C2426" s="16">
        <v>46229</v>
      </c>
      <c r="D2426" s="82">
        <v>28485.559999999998</v>
      </c>
    </row>
    <row r="2427" spans="1:4" x14ac:dyDescent="0.3">
      <c r="A2427" s="83" t="s">
        <v>34</v>
      </c>
      <c r="B2427" s="83"/>
      <c r="C2427" s="16">
        <v>46229</v>
      </c>
      <c r="D2427" s="82">
        <v>345</v>
      </c>
    </row>
    <row r="2428" spans="1:4" x14ac:dyDescent="0.3">
      <c r="A2428" s="83" t="s">
        <v>35</v>
      </c>
      <c r="B2428" s="83"/>
      <c r="C2428" s="16">
        <v>46229</v>
      </c>
      <c r="D2428" s="82">
        <v>9557.6300000000028</v>
      </c>
    </row>
    <row r="2429" spans="1:4" x14ac:dyDescent="0.3">
      <c r="A2429" s="83" t="s">
        <v>193</v>
      </c>
      <c r="B2429" s="83"/>
      <c r="C2429" s="16">
        <v>46229</v>
      </c>
      <c r="D2429" s="82">
        <v>0</v>
      </c>
    </row>
    <row r="2430" spans="1:4" x14ac:dyDescent="0.3">
      <c r="A2430" s="83" t="s">
        <v>214</v>
      </c>
      <c r="B2430" s="83"/>
      <c r="C2430" s="16">
        <v>46229</v>
      </c>
      <c r="D2430" s="82">
        <v>0</v>
      </c>
    </row>
    <row r="2431" spans="1:4" x14ac:dyDescent="0.3">
      <c r="A2431" s="83" t="s">
        <v>194</v>
      </c>
      <c r="B2431" s="83"/>
      <c r="C2431" s="16">
        <v>46229</v>
      </c>
      <c r="D2431" s="82">
        <v>0</v>
      </c>
    </row>
    <row r="2432" spans="1:4" x14ac:dyDescent="0.3">
      <c r="A2432" s="83" t="s">
        <v>195</v>
      </c>
      <c r="B2432" s="83"/>
      <c r="C2432" s="16">
        <v>46229</v>
      </c>
      <c r="D2432" s="82">
        <v>0</v>
      </c>
    </row>
    <row r="2433" spans="1:4" x14ac:dyDescent="0.3">
      <c r="A2433" s="83" t="s">
        <v>196</v>
      </c>
      <c r="B2433" s="83"/>
      <c r="C2433" s="16">
        <v>46229</v>
      </c>
      <c r="D2433" s="82">
        <v>0</v>
      </c>
    </row>
    <row r="2434" spans="1:4" x14ac:dyDescent="0.3">
      <c r="A2434" s="83" t="s">
        <v>197</v>
      </c>
      <c r="B2434" s="83"/>
      <c r="C2434" s="16">
        <v>46229</v>
      </c>
      <c r="D2434" s="82">
        <v>0</v>
      </c>
    </row>
    <row r="2435" spans="1:4" x14ac:dyDescent="0.3">
      <c r="A2435" s="83" t="s">
        <v>212</v>
      </c>
      <c r="B2435" s="83"/>
      <c r="C2435" s="16">
        <v>46229</v>
      </c>
      <c r="D2435" s="82">
        <v>0</v>
      </c>
    </row>
    <row r="2436" spans="1:4" x14ac:dyDescent="0.3">
      <c r="A2436" s="83" t="s">
        <v>199</v>
      </c>
      <c r="B2436" s="83"/>
      <c r="C2436" s="16">
        <v>46229</v>
      </c>
      <c r="D2436" s="82">
        <v>0</v>
      </c>
    </row>
    <row r="2437" spans="1:4" x14ac:dyDescent="0.3">
      <c r="A2437" s="83" t="s">
        <v>216</v>
      </c>
      <c r="B2437" s="83"/>
      <c r="C2437" s="16">
        <v>46229</v>
      </c>
      <c r="D2437" s="82">
        <v>0</v>
      </c>
    </row>
    <row r="2438" spans="1:4" x14ac:dyDescent="0.3">
      <c r="A2438" s="83" t="s">
        <v>17</v>
      </c>
      <c r="B2438" s="83"/>
      <c r="C2438" s="16">
        <v>46230</v>
      </c>
      <c r="D2438" s="82">
        <v>2255750.7400000007</v>
      </c>
    </row>
    <row r="2439" spans="1:4" x14ac:dyDescent="0.3">
      <c r="A2439" s="83" t="s">
        <v>18</v>
      </c>
      <c r="B2439" s="83"/>
      <c r="C2439" s="16">
        <v>46230</v>
      </c>
      <c r="D2439" s="82">
        <v>73157.680000000168</v>
      </c>
    </row>
    <row r="2440" spans="1:4" x14ac:dyDescent="0.3">
      <c r="A2440" s="83" t="s">
        <v>19</v>
      </c>
      <c r="B2440" s="83"/>
      <c r="C2440" s="16">
        <v>46230</v>
      </c>
      <c r="D2440" s="82">
        <v>1669.89</v>
      </c>
    </row>
    <row r="2441" spans="1:4" x14ac:dyDescent="0.3">
      <c r="A2441" s="83" t="s">
        <v>20</v>
      </c>
      <c r="B2441" s="83"/>
      <c r="C2441" s="16">
        <v>46230</v>
      </c>
      <c r="D2441" s="82">
        <v>1392744.6899999997</v>
      </c>
    </row>
    <row r="2442" spans="1:4" x14ac:dyDescent="0.3">
      <c r="A2442" s="83" t="s">
        <v>21</v>
      </c>
      <c r="B2442" s="83"/>
      <c r="C2442" s="16">
        <v>46230</v>
      </c>
      <c r="D2442" s="82">
        <v>2022877.8699999996</v>
      </c>
    </row>
    <row r="2443" spans="1:4" x14ac:dyDescent="0.3">
      <c r="A2443" s="83" t="s">
        <v>22</v>
      </c>
      <c r="B2443" s="83"/>
      <c r="C2443" s="16">
        <v>46230</v>
      </c>
      <c r="D2443" s="82">
        <v>190496.38</v>
      </c>
    </row>
    <row r="2444" spans="1:4" x14ac:dyDescent="0.3">
      <c r="A2444" s="83" t="s">
        <v>23</v>
      </c>
      <c r="B2444" s="83"/>
      <c r="C2444" s="16">
        <v>46230</v>
      </c>
      <c r="D2444" s="82">
        <v>267507.45</v>
      </c>
    </row>
    <row r="2445" spans="1:4" x14ac:dyDescent="0.3">
      <c r="A2445" s="83" t="s">
        <v>24</v>
      </c>
      <c r="B2445" s="83"/>
      <c r="C2445" s="16">
        <v>46230</v>
      </c>
      <c r="D2445" s="82">
        <v>14580.45</v>
      </c>
    </row>
    <row r="2446" spans="1:4" x14ac:dyDescent="0.3">
      <c r="A2446" s="83" t="s">
        <v>25</v>
      </c>
      <c r="B2446" s="83"/>
      <c r="C2446" s="16">
        <v>46230</v>
      </c>
      <c r="D2446" s="82">
        <v>54.400000000000006</v>
      </c>
    </row>
    <row r="2447" spans="1:4" x14ac:dyDescent="0.3">
      <c r="A2447" s="83" t="s">
        <v>26</v>
      </c>
      <c r="B2447" s="83"/>
      <c r="C2447" s="16">
        <v>46230</v>
      </c>
      <c r="D2447" s="82">
        <v>2207.8200000000002</v>
      </c>
    </row>
    <row r="2448" spans="1:4" x14ac:dyDescent="0.3">
      <c r="A2448" s="83" t="s">
        <v>27</v>
      </c>
      <c r="B2448" s="83"/>
      <c r="C2448" s="16">
        <v>46230</v>
      </c>
      <c r="D2448" s="82">
        <v>1454589.72</v>
      </c>
    </row>
    <row r="2449" spans="1:4" x14ac:dyDescent="0.3">
      <c r="A2449" s="83" t="s">
        <v>28</v>
      </c>
      <c r="B2449" s="83"/>
      <c r="C2449" s="16">
        <v>46230</v>
      </c>
      <c r="D2449" s="82">
        <v>1968.99</v>
      </c>
    </row>
    <row r="2450" spans="1:4" x14ac:dyDescent="0.3">
      <c r="A2450" s="83" t="s">
        <v>29</v>
      </c>
      <c r="B2450" s="83"/>
      <c r="C2450" s="16">
        <v>46230</v>
      </c>
      <c r="D2450" s="82">
        <v>901.34</v>
      </c>
    </row>
    <row r="2451" spans="1:4" x14ac:dyDescent="0.3">
      <c r="A2451" s="83" t="s">
        <v>30</v>
      </c>
      <c r="B2451" s="83"/>
      <c r="C2451" s="16">
        <v>46230</v>
      </c>
      <c r="D2451" s="82">
        <v>1412.08</v>
      </c>
    </row>
    <row r="2452" spans="1:4" x14ac:dyDescent="0.3">
      <c r="A2452" s="83" t="s">
        <v>31</v>
      </c>
      <c r="B2452" s="83"/>
      <c r="C2452" s="16">
        <v>46230</v>
      </c>
      <c r="D2452" s="82">
        <v>22347.56999999996</v>
      </c>
    </row>
    <row r="2453" spans="1:4" x14ac:dyDescent="0.3">
      <c r="A2453" s="83" t="s">
        <v>32</v>
      </c>
      <c r="B2453" s="83"/>
      <c r="C2453" s="16">
        <v>46230</v>
      </c>
      <c r="D2453" s="82">
        <v>18522.800000000003</v>
      </c>
    </row>
    <row r="2454" spans="1:4" x14ac:dyDescent="0.3">
      <c r="A2454" s="83" t="s">
        <v>33</v>
      </c>
      <c r="B2454" s="83"/>
      <c r="C2454" s="16">
        <v>46230</v>
      </c>
      <c r="D2454" s="82">
        <v>28485.559999999998</v>
      </c>
    </row>
    <row r="2455" spans="1:4" x14ac:dyDescent="0.3">
      <c r="A2455" s="83" t="s">
        <v>34</v>
      </c>
      <c r="B2455" s="83"/>
      <c r="C2455" s="16">
        <v>46230</v>
      </c>
      <c r="D2455" s="82">
        <v>345</v>
      </c>
    </row>
    <row r="2456" spans="1:4" x14ac:dyDescent="0.3">
      <c r="A2456" s="83" t="s">
        <v>35</v>
      </c>
      <c r="B2456" s="83"/>
      <c r="C2456" s="16">
        <v>46230</v>
      </c>
      <c r="D2456" s="82">
        <v>15418.180000000004</v>
      </c>
    </row>
    <row r="2457" spans="1:4" x14ac:dyDescent="0.3">
      <c r="A2457" s="83" t="s">
        <v>193</v>
      </c>
      <c r="B2457" s="83"/>
      <c r="C2457" s="16">
        <v>46230</v>
      </c>
      <c r="D2457" s="82">
        <v>0</v>
      </c>
    </row>
    <row r="2458" spans="1:4" x14ac:dyDescent="0.3">
      <c r="A2458" s="83" t="s">
        <v>214</v>
      </c>
      <c r="B2458" s="83"/>
      <c r="C2458" s="16">
        <v>46230</v>
      </c>
      <c r="D2458" s="82">
        <v>0</v>
      </c>
    </row>
    <row r="2459" spans="1:4" x14ac:dyDescent="0.3">
      <c r="A2459" s="83" t="s">
        <v>194</v>
      </c>
      <c r="B2459" s="83"/>
      <c r="C2459" s="16">
        <v>46230</v>
      </c>
      <c r="D2459" s="82">
        <v>0</v>
      </c>
    </row>
    <row r="2460" spans="1:4" x14ac:dyDescent="0.3">
      <c r="A2460" s="83" t="s">
        <v>195</v>
      </c>
      <c r="B2460" s="83"/>
      <c r="C2460" s="16">
        <v>46230</v>
      </c>
      <c r="D2460" s="82">
        <v>0</v>
      </c>
    </row>
    <row r="2461" spans="1:4" x14ac:dyDescent="0.3">
      <c r="A2461" s="83" t="s">
        <v>196</v>
      </c>
      <c r="B2461" s="83"/>
      <c r="C2461" s="16">
        <v>46230</v>
      </c>
      <c r="D2461" s="82">
        <v>0</v>
      </c>
    </row>
    <row r="2462" spans="1:4" x14ac:dyDescent="0.3">
      <c r="A2462" s="83" t="s">
        <v>197</v>
      </c>
      <c r="B2462" s="83"/>
      <c r="C2462" s="16">
        <v>46230</v>
      </c>
      <c r="D2462" s="82">
        <v>0</v>
      </c>
    </row>
    <row r="2463" spans="1:4" x14ac:dyDescent="0.3">
      <c r="A2463" s="83" t="s">
        <v>212</v>
      </c>
      <c r="B2463" s="83"/>
      <c r="C2463" s="16">
        <v>46230</v>
      </c>
      <c r="D2463" s="82">
        <v>0</v>
      </c>
    </row>
    <row r="2464" spans="1:4" x14ac:dyDescent="0.3">
      <c r="A2464" s="83" t="s">
        <v>199</v>
      </c>
      <c r="B2464" s="83"/>
      <c r="C2464" s="16">
        <v>46230</v>
      </c>
      <c r="D2464" s="82">
        <v>0</v>
      </c>
    </row>
    <row r="2465" spans="1:4" x14ac:dyDescent="0.3">
      <c r="A2465" s="83" t="s">
        <v>216</v>
      </c>
      <c r="B2465" s="83"/>
      <c r="C2465" s="16">
        <v>46230</v>
      </c>
      <c r="D2465" s="82">
        <v>0</v>
      </c>
    </row>
    <row r="2466" spans="1:4" x14ac:dyDescent="0.3">
      <c r="A2466" s="83" t="s">
        <v>17</v>
      </c>
      <c r="B2466" s="83"/>
      <c r="C2466" s="16">
        <v>46231</v>
      </c>
      <c r="D2466" s="82">
        <v>2255750.7400000007</v>
      </c>
    </row>
    <row r="2467" spans="1:4" x14ac:dyDescent="0.3">
      <c r="A2467" s="83" t="s">
        <v>18</v>
      </c>
      <c r="B2467" s="83"/>
      <c r="C2467" s="16">
        <v>46231</v>
      </c>
      <c r="D2467" s="82">
        <v>80574.12000000017</v>
      </c>
    </row>
    <row r="2468" spans="1:4" x14ac:dyDescent="0.3">
      <c r="A2468" s="83" t="s">
        <v>19</v>
      </c>
      <c r="B2468" s="83"/>
      <c r="C2468" s="16">
        <v>46231</v>
      </c>
      <c r="D2468" s="82">
        <v>1669.89</v>
      </c>
    </row>
    <row r="2469" spans="1:4" x14ac:dyDescent="0.3">
      <c r="A2469" s="83" t="s">
        <v>20</v>
      </c>
      <c r="B2469" s="83"/>
      <c r="C2469" s="16">
        <v>46231</v>
      </c>
      <c r="D2469" s="82">
        <v>1415636.7399999998</v>
      </c>
    </row>
    <row r="2470" spans="1:4" x14ac:dyDescent="0.3">
      <c r="A2470" s="83" t="s">
        <v>21</v>
      </c>
      <c r="B2470" s="83"/>
      <c r="C2470" s="16">
        <v>46231</v>
      </c>
      <c r="D2470" s="82">
        <v>1857997.0999999996</v>
      </c>
    </row>
    <row r="2471" spans="1:4" x14ac:dyDescent="0.3">
      <c r="A2471" s="83" t="s">
        <v>22</v>
      </c>
      <c r="B2471" s="83"/>
      <c r="C2471" s="16">
        <v>46231</v>
      </c>
      <c r="D2471" s="82">
        <v>190496.38</v>
      </c>
    </row>
    <row r="2472" spans="1:4" x14ac:dyDescent="0.3">
      <c r="A2472" s="83" t="s">
        <v>23</v>
      </c>
      <c r="B2472" s="83"/>
      <c r="C2472" s="16">
        <v>46231</v>
      </c>
      <c r="D2472" s="82">
        <v>267507.45</v>
      </c>
    </row>
    <row r="2473" spans="1:4" x14ac:dyDescent="0.3">
      <c r="A2473" s="83" t="s">
        <v>24</v>
      </c>
      <c r="B2473" s="83"/>
      <c r="C2473" s="16">
        <v>46231</v>
      </c>
      <c r="D2473" s="82">
        <v>14580.45</v>
      </c>
    </row>
    <row r="2474" spans="1:4" x14ac:dyDescent="0.3">
      <c r="A2474" s="83" t="s">
        <v>25</v>
      </c>
      <c r="B2474" s="83"/>
      <c r="C2474" s="16">
        <v>46231</v>
      </c>
      <c r="D2474" s="82">
        <v>54.400000000000006</v>
      </c>
    </row>
    <row r="2475" spans="1:4" x14ac:dyDescent="0.3">
      <c r="A2475" s="83" t="s">
        <v>26</v>
      </c>
      <c r="B2475" s="83"/>
      <c r="C2475" s="16">
        <v>46231</v>
      </c>
      <c r="D2475" s="82">
        <v>2207.8200000000002</v>
      </c>
    </row>
    <row r="2476" spans="1:4" x14ac:dyDescent="0.3">
      <c r="A2476" s="83" t="s">
        <v>27</v>
      </c>
      <c r="B2476" s="83"/>
      <c r="C2476" s="16">
        <v>46231</v>
      </c>
      <c r="D2476" s="82">
        <v>1454589.72</v>
      </c>
    </row>
    <row r="2477" spans="1:4" x14ac:dyDescent="0.3">
      <c r="A2477" s="83" t="s">
        <v>28</v>
      </c>
      <c r="B2477" s="83"/>
      <c r="C2477" s="16">
        <v>46231</v>
      </c>
      <c r="D2477" s="82">
        <v>1968.99</v>
      </c>
    </row>
    <row r="2478" spans="1:4" x14ac:dyDescent="0.3">
      <c r="A2478" s="83" t="s">
        <v>29</v>
      </c>
      <c r="B2478" s="83"/>
      <c r="C2478" s="16">
        <v>46231</v>
      </c>
      <c r="D2478" s="82">
        <v>901.34</v>
      </c>
    </row>
    <row r="2479" spans="1:4" x14ac:dyDescent="0.3">
      <c r="A2479" s="83" t="s">
        <v>30</v>
      </c>
      <c r="B2479" s="83"/>
      <c r="C2479" s="16">
        <v>46231</v>
      </c>
      <c r="D2479" s="82">
        <v>1412.08</v>
      </c>
    </row>
    <row r="2480" spans="1:4" x14ac:dyDescent="0.3">
      <c r="A2480" s="83" t="s">
        <v>31</v>
      </c>
      <c r="B2480" s="83"/>
      <c r="C2480" s="16">
        <v>46231</v>
      </c>
      <c r="D2480" s="82">
        <v>22347.56999999996</v>
      </c>
    </row>
    <row r="2481" spans="1:4" x14ac:dyDescent="0.3">
      <c r="A2481" s="83" t="s">
        <v>32</v>
      </c>
      <c r="B2481" s="83"/>
      <c r="C2481" s="16">
        <v>46231</v>
      </c>
      <c r="D2481" s="82">
        <v>18522.800000000003</v>
      </c>
    </row>
    <row r="2482" spans="1:4" x14ac:dyDescent="0.3">
      <c r="A2482" s="83" t="s">
        <v>33</v>
      </c>
      <c r="B2482" s="83"/>
      <c r="C2482" s="16">
        <v>46231</v>
      </c>
      <c r="D2482" s="82">
        <v>28485.559999999998</v>
      </c>
    </row>
    <row r="2483" spans="1:4" x14ac:dyDescent="0.3">
      <c r="A2483" s="83" t="s">
        <v>34</v>
      </c>
      <c r="B2483" s="83"/>
      <c r="C2483" s="16">
        <v>46231</v>
      </c>
      <c r="D2483" s="82">
        <v>345</v>
      </c>
    </row>
    <row r="2484" spans="1:4" x14ac:dyDescent="0.3">
      <c r="A2484" s="83" t="s">
        <v>35</v>
      </c>
      <c r="B2484" s="83"/>
      <c r="C2484" s="16">
        <v>46231</v>
      </c>
      <c r="D2484" s="82">
        <v>15094.090000000004</v>
      </c>
    </row>
    <row r="2485" spans="1:4" x14ac:dyDescent="0.3">
      <c r="A2485" s="83" t="s">
        <v>193</v>
      </c>
      <c r="B2485" s="83"/>
      <c r="C2485" s="16">
        <v>46231</v>
      </c>
      <c r="D2485" s="82">
        <v>0</v>
      </c>
    </row>
    <row r="2486" spans="1:4" x14ac:dyDescent="0.3">
      <c r="A2486" s="83" t="s">
        <v>214</v>
      </c>
      <c r="B2486" s="83"/>
      <c r="C2486" s="16">
        <v>46231</v>
      </c>
      <c r="D2486" s="82">
        <v>0</v>
      </c>
    </row>
    <row r="2487" spans="1:4" x14ac:dyDescent="0.3">
      <c r="A2487" s="83" t="s">
        <v>194</v>
      </c>
      <c r="B2487" s="83"/>
      <c r="C2487" s="16">
        <v>46231</v>
      </c>
      <c r="D2487" s="82">
        <v>0</v>
      </c>
    </row>
    <row r="2488" spans="1:4" x14ac:dyDescent="0.3">
      <c r="A2488" s="83" t="s">
        <v>195</v>
      </c>
      <c r="B2488" s="83"/>
      <c r="C2488" s="16">
        <v>46231</v>
      </c>
      <c r="D2488" s="82">
        <v>0</v>
      </c>
    </row>
    <row r="2489" spans="1:4" x14ac:dyDescent="0.3">
      <c r="A2489" s="83" t="s">
        <v>196</v>
      </c>
      <c r="B2489" s="83"/>
      <c r="C2489" s="16">
        <v>46231</v>
      </c>
      <c r="D2489" s="82">
        <v>0</v>
      </c>
    </row>
    <row r="2490" spans="1:4" x14ac:dyDescent="0.3">
      <c r="A2490" s="83" t="s">
        <v>197</v>
      </c>
      <c r="B2490" s="83"/>
      <c r="C2490" s="16">
        <v>46231</v>
      </c>
      <c r="D2490" s="82">
        <v>0</v>
      </c>
    </row>
    <row r="2491" spans="1:4" x14ac:dyDescent="0.3">
      <c r="A2491" s="83" t="s">
        <v>212</v>
      </c>
      <c r="B2491" s="83"/>
      <c r="C2491" s="16">
        <v>46231</v>
      </c>
      <c r="D2491" s="82">
        <v>0</v>
      </c>
    </row>
    <row r="2492" spans="1:4" x14ac:dyDescent="0.3">
      <c r="A2492" s="83" t="s">
        <v>199</v>
      </c>
      <c r="B2492" s="83"/>
      <c r="C2492" s="16">
        <v>46231</v>
      </c>
      <c r="D2492" s="82">
        <v>0</v>
      </c>
    </row>
    <row r="2493" spans="1:4" x14ac:dyDescent="0.3">
      <c r="A2493" s="83" t="s">
        <v>216</v>
      </c>
      <c r="B2493" s="83"/>
      <c r="C2493" s="16">
        <v>46231</v>
      </c>
      <c r="D2493" s="82">
        <v>0</v>
      </c>
    </row>
    <row r="2494" spans="1:4" x14ac:dyDescent="0.3">
      <c r="A2494" s="83" t="s">
        <v>17</v>
      </c>
      <c r="B2494" s="83"/>
      <c r="C2494" s="16">
        <v>46232</v>
      </c>
      <c r="D2494" s="82">
        <v>2270539.1300000008</v>
      </c>
    </row>
    <row r="2495" spans="1:4" x14ac:dyDescent="0.3">
      <c r="A2495" s="83" t="s">
        <v>18</v>
      </c>
      <c r="B2495" s="83"/>
      <c r="C2495" s="16">
        <v>46232</v>
      </c>
      <c r="D2495" s="82">
        <v>83211.250000000175</v>
      </c>
    </row>
    <row r="2496" spans="1:4" x14ac:dyDescent="0.3">
      <c r="A2496" s="83" t="s">
        <v>19</v>
      </c>
      <c r="B2496" s="83"/>
      <c r="C2496" s="16">
        <v>46232</v>
      </c>
      <c r="D2496" s="82">
        <v>1669.89</v>
      </c>
    </row>
    <row r="2497" spans="1:4" x14ac:dyDescent="0.3">
      <c r="A2497" s="83" t="s">
        <v>20</v>
      </c>
      <c r="B2497" s="83"/>
      <c r="C2497" s="16">
        <v>46232</v>
      </c>
      <c r="D2497" s="82">
        <v>1434634.5999999999</v>
      </c>
    </row>
    <row r="2498" spans="1:4" x14ac:dyDescent="0.3">
      <c r="A2498" s="83" t="s">
        <v>21</v>
      </c>
      <c r="B2498" s="83"/>
      <c r="C2498" s="16">
        <v>46232</v>
      </c>
      <c r="D2498" s="82">
        <v>1857997.0999999996</v>
      </c>
    </row>
    <row r="2499" spans="1:4" x14ac:dyDescent="0.3">
      <c r="A2499" s="83" t="s">
        <v>22</v>
      </c>
      <c r="B2499" s="83"/>
      <c r="C2499" s="16">
        <v>46232</v>
      </c>
      <c r="D2499" s="82">
        <v>190496.38</v>
      </c>
    </row>
    <row r="2500" spans="1:4" x14ac:dyDescent="0.3">
      <c r="A2500" s="83" t="s">
        <v>23</v>
      </c>
      <c r="B2500" s="83"/>
      <c r="C2500" s="16">
        <v>46232</v>
      </c>
      <c r="D2500" s="82">
        <v>267507.45</v>
      </c>
    </row>
    <row r="2501" spans="1:4" x14ac:dyDescent="0.3">
      <c r="A2501" s="83" t="s">
        <v>24</v>
      </c>
      <c r="B2501" s="83"/>
      <c r="C2501" s="16">
        <v>46232</v>
      </c>
      <c r="D2501" s="82">
        <v>14580.45</v>
      </c>
    </row>
    <row r="2502" spans="1:4" x14ac:dyDescent="0.3">
      <c r="A2502" s="83" t="s">
        <v>25</v>
      </c>
      <c r="B2502" s="83"/>
      <c r="C2502" s="16">
        <v>46232</v>
      </c>
      <c r="D2502" s="82">
        <v>54.400000000000006</v>
      </c>
    </row>
    <row r="2503" spans="1:4" x14ac:dyDescent="0.3">
      <c r="A2503" s="83" t="s">
        <v>26</v>
      </c>
      <c r="B2503" s="83"/>
      <c r="C2503" s="16">
        <v>46232</v>
      </c>
      <c r="D2503" s="82">
        <v>2207.8200000000002</v>
      </c>
    </row>
    <row r="2504" spans="1:4" x14ac:dyDescent="0.3">
      <c r="A2504" s="83" t="s">
        <v>27</v>
      </c>
      <c r="B2504" s="83"/>
      <c r="C2504" s="16">
        <v>46232</v>
      </c>
      <c r="D2504" s="82">
        <v>1454589.72</v>
      </c>
    </row>
    <row r="2505" spans="1:4" x14ac:dyDescent="0.3">
      <c r="A2505" s="83" t="s">
        <v>28</v>
      </c>
      <c r="B2505" s="83"/>
      <c r="C2505" s="16">
        <v>46232</v>
      </c>
      <c r="D2505" s="82">
        <v>1968.99</v>
      </c>
    </row>
    <row r="2506" spans="1:4" x14ac:dyDescent="0.3">
      <c r="A2506" s="83" t="s">
        <v>29</v>
      </c>
      <c r="B2506" s="83"/>
      <c r="C2506" s="16">
        <v>46232</v>
      </c>
      <c r="D2506" s="82">
        <v>901.34</v>
      </c>
    </row>
    <row r="2507" spans="1:4" x14ac:dyDescent="0.3">
      <c r="A2507" s="83" t="s">
        <v>30</v>
      </c>
      <c r="B2507" s="83"/>
      <c r="C2507" s="16">
        <v>46232</v>
      </c>
      <c r="D2507" s="82">
        <v>1412.08</v>
      </c>
    </row>
    <row r="2508" spans="1:4" x14ac:dyDescent="0.3">
      <c r="A2508" s="83" t="s">
        <v>31</v>
      </c>
      <c r="B2508" s="83"/>
      <c r="C2508" s="16">
        <v>46232</v>
      </c>
      <c r="D2508" s="82">
        <v>22347.56999999996</v>
      </c>
    </row>
    <row r="2509" spans="1:4" x14ac:dyDescent="0.3">
      <c r="A2509" s="83" t="s">
        <v>32</v>
      </c>
      <c r="B2509" s="83"/>
      <c r="C2509" s="16">
        <v>46232</v>
      </c>
      <c r="D2509" s="82">
        <v>18522.800000000003</v>
      </c>
    </row>
    <row r="2510" spans="1:4" x14ac:dyDescent="0.3">
      <c r="A2510" s="83" t="s">
        <v>33</v>
      </c>
      <c r="B2510" s="83"/>
      <c r="C2510" s="16">
        <v>46232</v>
      </c>
      <c r="D2510" s="82">
        <v>28485.559999999998</v>
      </c>
    </row>
    <row r="2511" spans="1:4" x14ac:dyDescent="0.3">
      <c r="A2511" s="83" t="s">
        <v>34</v>
      </c>
      <c r="B2511" s="83"/>
      <c r="C2511" s="16">
        <v>46232</v>
      </c>
      <c r="D2511" s="82">
        <v>345</v>
      </c>
    </row>
    <row r="2512" spans="1:4" x14ac:dyDescent="0.3">
      <c r="A2512" s="83" t="s">
        <v>35</v>
      </c>
      <c r="B2512" s="83"/>
      <c r="C2512" s="16">
        <v>46232</v>
      </c>
      <c r="D2512" s="82">
        <v>13469.780000000002</v>
      </c>
    </row>
    <row r="2513" spans="1:4" x14ac:dyDescent="0.3">
      <c r="A2513" s="83" t="s">
        <v>193</v>
      </c>
      <c r="B2513" s="83"/>
      <c r="C2513" s="16">
        <v>46232</v>
      </c>
      <c r="D2513" s="82">
        <v>0</v>
      </c>
    </row>
    <row r="2514" spans="1:4" x14ac:dyDescent="0.3">
      <c r="A2514" s="83" t="s">
        <v>214</v>
      </c>
      <c r="B2514" s="83"/>
      <c r="C2514" s="16">
        <v>46232</v>
      </c>
      <c r="D2514" s="82">
        <v>0</v>
      </c>
    </row>
    <row r="2515" spans="1:4" x14ac:dyDescent="0.3">
      <c r="A2515" s="83" t="s">
        <v>194</v>
      </c>
      <c r="B2515" s="83"/>
      <c r="C2515" s="16">
        <v>46232</v>
      </c>
      <c r="D2515" s="82">
        <v>0</v>
      </c>
    </row>
    <row r="2516" spans="1:4" x14ac:dyDescent="0.3">
      <c r="A2516" s="83" t="s">
        <v>195</v>
      </c>
      <c r="B2516" s="83"/>
      <c r="C2516" s="16">
        <v>46232</v>
      </c>
      <c r="D2516" s="82">
        <v>0</v>
      </c>
    </row>
    <row r="2517" spans="1:4" x14ac:dyDescent="0.3">
      <c r="A2517" s="83" t="s">
        <v>196</v>
      </c>
      <c r="B2517" s="83"/>
      <c r="C2517" s="16">
        <v>46232</v>
      </c>
      <c r="D2517" s="82">
        <v>0</v>
      </c>
    </row>
    <row r="2518" spans="1:4" x14ac:dyDescent="0.3">
      <c r="A2518" s="83" t="s">
        <v>197</v>
      </c>
      <c r="B2518" s="83"/>
      <c r="C2518" s="16">
        <v>46232</v>
      </c>
      <c r="D2518" s="82">
        <v>0</v>
      </c>
    </row>
    <row r="2519" spans="1:4" x14ac:dyDescent="0.3">
      <c r="A2519" s="83" t="s">
        <v>212</v>
      </c>
      <c r="B2519" s="83"/>
      <c r="C2519" s="16">
        <v>46232</v>
      </c>
      <c r="D2519" s="82">
        <v>0</v>
      </c>
    </row>
    <row r="2520" spans="1:4" x14ac:dyDescent="0.3">
      <c r="A2520" s="83" t="s">
        <v>199</v>
      </c>
      <c r="B2520" s="83"/>
      <c r="C2520" s="16">
        <v>46232</v>
      </c>
      <c r="D2520" s="82">
        <v>0</v>
      </c>
    </row>
    <row r="2521" spans="1:4" x14ac:dyDescent="0.3">
      <c r="A2521" s="83" t="s">
        <v>216</v>
      </c>
      <c r="B2521" s="83"/>
      <c r="C2521" s="16">
        <v>46232</v>
      </c>
      <c r="D2521" s="82">
        <v>0</v>
      </c>
    </row>
    <row r="2522" spans="1:4" x14ac:dyDescent="0.3">
      <c r="A2522" s="83" t="s">
        <v>17</v>
      </c>
      <c r="B2522" s="83"/>
      <c r="C2522" s="16">
        <v>46233</v>
      </c>
      <c r="D2522" s="82">
        <v>2470350.7000000002</v>
      </c>
    </row>
    <row r="2523" spans="1:4" x14ac:dyDescent="0.3">
      <c r="A2523" s="83" t="s">
        <v>18</v>
      </c>
      <c r="B2523" s="83"/>
      <c r="C2523" s="16">
        <v>46233</v>
      </c>
      <c r="D2523" s="82">
        <v>83211.250000000175</v>
      </c>
    </row>
    <row r="2524" spans="1:4" x14ac:dyDescent="0.3">
      <c r="A2524" s="83" t="s">
        <v>19</v>
      </c>
      <c r="B2524" s="83"/>
      <c r="C2524" s="16">
        <v>46233</v>
      </c>
      <c r="D2524" s="82">
        <v>1669.89</v>
      </c>
    </row>
    <row r="2525" spans="1:4" x14ac:dyDescent="0.3">
      <c r="A2525" s="83" t="s">
        <v>20</v>
      </c>
      <c r="B2525" s="83"/>
      <c r="C2525" s="16">
        <v>46233</v>
      </c>
      <c r="D2525" s="82">
        <v>1458426.0399999998</v>
      </c>
    </row>
    <row r="2526" spans="1:4" x14ac:dyDescent="0.3">
      <c r="A2526" s="83" t="s">
        <v>21</v>
      </c>
      <c r="B2526" s="83"/>
      <c r="C2526" s="16">
        <v>46233</v>
      </c>
      <c r="D2526" s="82">
        <v>1857993.8499999996</v>
      </c>
    </row>
    <row r="2527" spans="1:4" x14ac:dyDescent="0.3">
      <c r="A2527" s="83" t="s">
        <v>22</v>
      </c>
      <c r="B2527" s="83"/>
      <c r="C2527" s="16">
        <v>46233</v>
      </c>
      <c r="D2527" s="82">
        <v>190496.38</v>
      </c>
    </row>
    <row r="2528" spans="1:4" x14ac:dyDescent="0.3">
      <c r="A2528" s="83" t="s">
        <v>23</v>
      </c>
      <c r="B2528" s="83"/>
      <c r="C2528" s="16">
        <v>46233</v>
      </c>
      <c r="D2528" s="82">
        <v>267507.45</v>
      </c>
    </row>
    <row r="2529" spans="1:4" x14ac:dyDescent="0.3">
      <c r="A2529" s="83" t="s">
        <v>24</v>
      </c>
      <c r="B2529" s="83"/>
      <c r="C2529" s="16">
        <v>46233</v>
      </c>
      <c r="D2529" s="82">
        <v>14580.45</v>
      </c>
    </row>
    <row r="2530" spans="1:4" x14ac:dyDescent="0.3">
      <c r="A2530" s="83" t="s">
        <v>25</v>
      </c>
      <c r="B2530" s="83"/>
      <c r="C2530" s="16">
        <v>46233</v>
      </c>
      <c r="D2530" s="82">
        <v>54.400000000000006</v>
      </c>
    </row>
    <row r="2531" spans="1:4" x14ac:dyDescent="0.3">
      <c r="A2531" s="83" t="s">
        <v>26</v>
      </c>
      <c r="B2531" s="83"/>
      <c r="C2531" s="16">
        <v>46233</v>
      </c>
      <c r="D2531" s="82">
        <v>2207.8200000000002</v>
      </c>
    </row>
    <row r="2532" spans="1:4" x14ac:dyDescent="0.3">
      <c r="A2532" s="83" t="s">
        <v>27</v>
      </c>
      <c r="B2532" s="83"/>
      <c r="C2532" s="16">
        <v>46233</v>
      </c>
      <c r="D2532" s="82">
        <v>1454589.72</v>
      </c>
    </row>
    <row r="2533" spans="1:4" x14ac:dyDescent="0.3">
      <c r="A2533" s="83" t="s">
        <v>28</v>
      </c>
      <c r="B2533" s="83"/>
      <c r="C2533" s="16">
        <v>46233</v>
      </c>
      <c r="D2533" s="82">
        <v>1968.99</v>
      </c>
    </row>
    <row r="2534" spans="1:4" x14ac:dyDescent="0.3">
      <c r="A2534" s="83" t="s">
        <v>29</v>
      </c>
      <c r="B2534" s="83"/>
      <c r="C2534" s="16">
        <v>46233</v>
      </c>
      <c r="D2534" s="82">
        <v>901.34</v>
      </c>
    </row>
    <row r="2535" spans="1:4" x14ac:dyDescent="0.3">
      <c r="A2535" s="83" t="s">
        <v>30</v>
      </c>
      <c r="B2535" s="83"/>
      <c r="C2535" s="16">
        <v>46233</v>
      </c>
      <c r="D2535" s="82">
        <v>1412.08</v>
      </c>
    </row>
    <row r="2536" spans="1:4" x14ac:dyDescent="0.3">
      <c r="A2536" s="83" t="s">
        <v>31</v>
      </c>
      <c r="B2536" s="83"/>
      <c r="C2536" s="16">
        <v>46233</v>
      </c>
      <c r="D2536" s="82">
        <v>22347.56999999996</v>
      </c>
    </row>
    <row r="2537" spans="1:4" x14ac:dyDescent="0.3">
      <c r="A2537" s="83" t="s">
        <v>32</v>
      </c>
      <c r="B2537" s="83"/>
      <c r="C2537" s="16">
        <v>46233</v>
      </c>
      <c r="D2537" s="82">
        <v>18522.800000000003</v>
      </c>
    </row>
    <row r="2538" spans="1:4" x14ac:dyDescent="0.3">
      <c r="A2538" s="83" t="s">
        <v>33</v>
      </c>
      <c r="B2538" s="83"/>
      <c r="C2538" s="16">
        <v>46233</v>
      </c>
      <c r="D2538" s="82">
        <v>28485.559999999998</v>
      </c>
    </row>
    <row r="2539" spans="1:4" x14ac:dyDescent="0.3">
      <c r="A2539" s="83" t="s">
        <v>34</v>
      </c>
      <c r="B2539" s="83"/>
      <c r="C2539" s="16">
        <v>46233</v>
      </c>
      <c r="D2539" s="82">
        <v>345</v>
      </c>
    </row>
    <row r="2540" spans="1:4" x14ac:dyDescent="0.3">
      <c r="A2540" s="83" t="s">
        <v>35</v>
      </c>
      <c r="B2540" s="83"/>
      <c r="C2540" s="16">
        <v>46233</v>
      </c>
      <c r="D2540" s="82">
        <v>11634.930000000004</v>
      </c>
    </row>
    <row r="2541" spans="1:4" x14ac:dyDescent="0.3">
      <c r="A2541" s="83" t="s">
        <v>193</v>
      </c>
      <c r="B2541" s="83"/>
      <c r="C2541" s="16">
        <v>46233</v>
      </c>
      <c r="D2541" s="82">
        <v>0</v>
      </c>
    </row>
    <row r="2542" spans="1:4" x14ac:dyDescent="0.3">
      <c r="A2542" s="83" t="s">
        <v>214</v>
      </c>
      <c r="B2542" s="83"/>
      <c r="C2542" s="16">
        <v>46233</v>
      </c>
      <c r="D2542" s="82">
        <v>0</v>
      </c>
    </row>
    <row r="2543" spans="1:4" x14ac:dyDescent="0.3">
      <c r="A2543" s="83" t="s">
        <v>194</v>
      </c>
      <c r="B2543" s="83"/>
      <c r="C2543" s="16">
        <v>46233</v>
      </c>
      <c r="D2543" s="82">
        <v>0</v>
      </c>
    </row>
    <row r="2544" spans="1:4" x14ac:dyDescent="0.3">
      <c r="A2544" s="83" t="s">
        <v>195</v>
      </c>
      <c r="B2544" s="83"/>
      <c r="C2544" s="16">
        <v>46233</v>
      </c>
      <c r="D2544" s="82">
        <v>0</v>
      </c>
    </row>
    <row r="2545" spans="1:4" x14ac:dyDescent="0.3">
      <c r="A2545" s="83" t="s">
        <v>196</v>
      </c>
      <c r="B2545" s="83"/>
      <c r="C2545" s="16">
        <v>46233</v>
      </c>
      <c r="D2545" s="82">
        <v>0</v>
      </c>
    </row>
    <row r="2546" spans="1:4" x14ac:dyDescent="0.3">
      <c r="A2546" s="83" t="s">
        <v>197</v>
      </c>
      <c r="B2546" s="83"/>
      <c r="C2546" s="16">
        <v>46233</v>
      </c>
      <c r="D2546" s="82">
        <v>0</v>
      </c>
    </row>
    <row r="2547" spans="1:4" x14ac:dyDescent="0.3">
      <c r="A2547" s="83" t="s">
        <v>212</v>
      </c>
      <c r="B2547" s="83"/>
      <c r="C2547" s="16">
        <v>46233</v>
      </c>
      <c r="D2547" s="82">
        <v>0</v>
      </c>
    </row>
    <row r="2548" spans="1:4" x14ac:dyDescent="0.3">
      <c r="A2548" s="83" t="s">
        <v>199</v>
      </c>
      <c r="B2548" s="83"/>
      <c r="C2548" s="16">
        <v>46233</v>
      </c>
      <c r="D2548" s="82">
        <v>0</v>
      </c>
    </row>
    <row r="2549" spans="1:4" x14ac:dyDescent="0.3">
      <c r="A2549" s="83" t="s">
        <v>216</v>
      </c>
      <c r="B2549" s="83"/>
      <c r="C2549" s="16">
        <v>46233</v>
      </c>
      <c r="D2549" s="82">
        <v>0</v>
      </c>
    </row>
    <row r="2550" spans="1:4" x14ac:dyDescent="0.3">
      <c r="A2550" s="83" t="s">
        <v>17</v>
      </c>
      <c r="B2550" s="83"/>
      <c r="C2550" s="16">
        <v>46234</v>
      </c>
      <c r="D2550" s="82">
        <v>2468032.08</v>
      </c>
    </row>
    <row r="2551" spans="1:4" x14ac:dyDescent="0.3">
      <c r="A2551" s="83" t="s">
        <v>18</v>
      </c>
      <c r="B2551" s="83"/>
      <c r="C2551" s="16">
        <v>46234</v>
      </c>
      <c r="D2551" s="82">
        <v>83211.250000000175</v>
      </c>
    </row>
    <row r="2552" spans="1:4" x14ac:dyDescent="0.3">
      <c r="A2552" s="83" t="s">
        <v>19</v>
      </c>
      <c r="B2552" s="83"/>
      <c r="C2552" s="16">
        <v>46234</v>
      </c>
      <c r="D2552" s="82">
        <v>1669.89</v>
      </c>
    </row>
    <row r="2553" spans="1:4" x14ac:dyDescent="0.3">
      <c r="A2553" s="83" t="s">
        <v>20</v>
      </c>
      <c r="B2553" s="83"/>
      <c r="C2553" s="16">
        <v>46234</v>
      </c>
      <c r="D2553" s="82">
        <v>1458426.0399999998</v>
      </c>
    </row>
    <row r="2554" spans="1:4" x14ac:dyDescent="0.3">
      <c r="A2554" s="83" t="s">
        <v>21</v>
      </c>
      <c r="B2554" s="83"/>
      <c r="C2554" s="16">
        <v>46234</v>
      </c>
      <c r="D2554" s="82">
        <v>1514477.1199999996</v>
      </c>
    </row>
    <row r="2555" spans="1:4" x14ac:dyDescent="0.3">
      <c r="A2555" s="83" t="s">
        <v>22</v>
      </c>
      <c r="B2555" s="83"/>
      <c r="C2555" s="16">
        <v>46234</v>
      </c>
      <c r="D2555" s="82">
        <v>190496.38</v>
      </c>
    </row>
    <row r="2556" spans="1:4" x14ac:dyDescent="0.3">
      <c r="A2556" s="83" t="s">
        <v>23</v>
      </c>
      <c r="B2556" s="83"/>
      <c r="C2556" s="16">
        <v>46234</v>
      </c>
      <c r="D2556" s="82">
        <v>207605.45</v>
      </c>
    </row>
    <row r="2557" spans="1:4" x14ac:dyDescent="0.3">
      <c r="A2557" s="83" t="s">
        <v>24</v>
      </c>
      <c r="B2557" s="83"/>
      <c r="C2557" s="16">
        <v>46234</v>
      </c>
      <c r="D2557" s="82">
        <v>14580.45</v>
      </c>
    </row>
    <row r="2558" spans="1:4" x14ac:dyDescent="0.3">
      <c r="A2558" s="83" t="s">
        <v>25</v>
      </c>
      <c r="B2558" s="83"/>
      <c r="C2558" s="16">
        <v>46234</v>
      </c>
      <c r="D2558" s="82">
        <v>54.400000000000006</v>
      </c>
    </row>
    <row r="2559" spans="1:4" x14ac:dyDescent="0.3">
      <c r="A2559" s="83" t="s">
        <v>26</v>
      </c>
      <c r="B2559" s="83"/>
      <c r="C2559" s="16">
        <v>46234</v>
      </c>
      <c r="D2559" s="82">
        <v>2207.8200000000002</v>
      </c>
    </row>
    <row r="2560" spans="1:4" x14ac:dyDescent="0.3">
      <c r="A2560" s="83" t="s">
        <v>27</v>
      </c>
      <c r="B2560" s="83"/>
      <c r="C2560" s="16">
        <v>46234</v>
      </c>
      <c r="D2560" s="82">
        <v>1454589.72</v>
      </c>
    </row>
    <row r="2561" spans="1:4" x14ac:dyDescent="0.3">
      <c r="A2561" s="83" t="s">
        <v>28</v>
      </c>
      <c r="B2561" s="83"/>
      <c r="C2561" s="16">
        <v>46234</v>
      </c>
      <c r="D2561" s="82">
        <v>1968.99</v>
      </c>
    </row>
    <row r="2562" spans="1:4" x14ac:dyDescent="0.3">
      <c r="A2562" s="83" t="s">
        <v>29</v>
      </c>
      <c r="B2562" s="83"/>
      <c r="C2562" s="16">
        <v>46234</v>
      </c>
      <c r="D2562" s="82">
        <v>901.34</v>
      </c>
    </row>
    <row r="2563" spans="1:4" x14ac:dyDescent="0.3">
      <c r="A2563" s="83" t="s">
        <v>30</v>
      </c>
      <c r="B2563" s="83"/>
      <c r="C2563" s="16">
        <v>46234</v>
      </c>
      <c r="D2563" s="82">
        <v>1412.08</v>
      </c>
    </row>
    <row r="2564" spans="1:4" x14ac:dyDescent="0.3">
      <c r="A2564" s="83" t="s">
        <v>31</v>
      </c>
      <c r="B2564" s="83"/>
      <c r="C2564" s="16">
        <v>46234</v>
      </c>
      <c r="D2564" s="82">
        <v>22347.56999999996</v>
      </c>
    </row>
    <row r="2565" spans="1:4" x14ac:dyDescent="0.3">
      <c r="A2565" s="83" t="s">
        <v>32</v>
      </c>
      <c r="B2565" s="83"/>
      <c r="C2565" s="16">
        <v>46234</v>
      </c>
      <c r="D2565" s="82">
        <v>18522.800000000003</v>
      </c>
    </row>
    <row r="2566" spans="1:4" x14ac:dyDescent="0.3">
      <c r="A2566" s="83" t="s">
        <v>33</v>
      </c>
      <c r="B2566" s="83"/>
      <c r="C2566" s="16">
        <v>46234</v>
      </c>
      <c r="D2566" s="82">
        <v>28485.559999999998</v>
      </c>
    </row>
    <row r="2567" spans="1:4" x14ac:dyDescent="0.3">
      <c r="A2567" s="83" t="s">
        <v>34</v>
      </c>
      <c r="B2567" s="83"/>
      <c r="C2567" s="16">
        <v>46234</v>
      </c>
      <c r="D2567" s="82">
        <v>345</v>
      </c>
    </row>
    <row r="2568" spans="1:4" x14ac:dyDescent="0.3">
      <c r="A2568" s="83" t="s">
        <v>35</v>
      </c>
      <c r="B2568" s="83"/>
      <c r="C2568" s="16">
        <v>46234</v>
      </c>
      <c r="D2568" s="82">
        <v>11634.930000000004</v>
      </c>
    </row>
    <row r="2569" spans="1:4" x14ac:dyDescent="0.3">
      <c r="A2569" s="83" t="s">
        <v>193</v>
      </c>
      <c r="B2569" s="83"/>
      <c r="C2569" s="16">
        <v>46234</v>
      </c>
      <c r="D2569" s="82">
        <v>0</v>
      </c>
    </row>
    <row r="2570" spans="1:4" x14ac:dyDescent="0.3">
      <c r="A2570" s="83" t="s">
        <v>214</v>
      </c>
      <c r="B2570" s="83"/>
      <c r="C2570" s="16">
        <v>46234</v>
      </c>
      <c r="D2570" s="82">
        <v>0</v>
      </c>
    </row>
    <row r="2571" spans="1:4" x14ac:dyDescent="0.3">
      <c r="A2571" s="83" t="s">
        <v>194</v>
      </c>
      <c r="B2571" s="83"/>
      <c r="C2571" s="16">
        <v>46234</v>
      </c>
      <c r="D2571" s="82">
        <v>0</v>
      </c>
    </row>
    <row r="2572" spans="1:4" x14ac:dyDescent="0.3">
      <c r="A2572" s="83" t="s">
        <v>195</v>
      </c>
      <c r="B2572" s="83"/>
      <c r="C2572" s="16">
        <v>46234</v>
      </c>
      <c r="D2572" s="82">
        <v>0</v>
      </c>
    </row>
    <row r="2573" spans="1:4" x14ac:dyDescent="0.3">
      <c r="A2573" s="83" t="s">
        <v>196</v>
      </c>
      <c r="B2573" s="83"/>
      <c r="C2573" s="16">
        <v>46234</v>
      </c>
      <c r="D2573" s="82">
        <v>0</v>
      </c>
    </row>
    <row r="2574" spans="1:4" x14ac:dyDescent="0.3">
      <c r="A2574" s="83" t="s">
        <v>197</v>
      </c>
      <c r="B2574" s="83"/>
      <c r="C2574" s="16">
        <v>46234</v>
      </c>
      <c r="D2574" s="82">
        <v>0</v>
      </c>
    </row>
    <row r="2575" spans="1:4" x14ac:dyDescent="0.3">
      <c r="A2575" s="83" t="s">
        <v>212</v>
      </c>
      <c r="B2575" s="83"/>
      <c r="C2575" s="16">
        <v>46234</v>
      </c>
      <c r="D2575" s="82">
        <v>0</v>
      </c>
    </row>
    <row r="2576" spans="1:4" x14ac:dyDescent="0.3">
      <c r="A2576" s="83" t="s">
        <v>199</v>
      </c>
      <c r="B2576" s="83"/>
      <c r="C2576" s="16">
        <v>46234</v>
      </c>
      <c r="D2576" s="82">
        <v>0</v>
      </c>
    </row>
    <row r="2577" spans="1:4" x14ac:dyDescent="0.3">
      <c r="A2577" s="83" t="s">
        <v>216</v>
      </c>
      <c r="B2577" s="83"/>
      <c r="C2577" s="16">
        <v>46234</v>
      </c>
      <c r="D2577" s="82">
        <v>0</v>
      </c>
    </row>
    <row r="2578" spans="1:4" x14ac:dyDescent="0.3">
      <c r="A2578" s="83" t="s">
        <v>17</v>
      </c>
      <c r="B2578" s="83"/>
      <c r="C2578" s="16">
        <v>46235</v>
      </c>
      <c r="D2578" s="82">
        <v>2468032.08</v>
      </c>
    </row>
    <row r="2579" spans="1:4" x14ac:dyDescent="0.3">
      <c r="A2579" s="83" t="s">
        <v>18</v>
      </c>
      <c r="B2579" s="83"/>
      <c r="C2579" s="16">
        <v>46235</v>
      </c>
      <c r="D2579" s="82">
        <v>83211.250000000175</v>
      </c>
    </row>
    <row r="2580" spans="1:4" x14ac:dyDescent="0.3">
      <c r="A2580" s="83" t="s">
        <v>19</v>
      </c>
      <c r="B2580" s="83"/>
      <c r="C2580" s="16">
        <v>46235</v>
      </c>
      <c r="D2580" s="82">
        <v>1669.89</v>
      </c>
    </row>
    <row r="2581" spans="1:4" x14ac:dyDescent="0.3">
      <c r="A2581" s="83" t="s">
        <v>20</v>
      </c>
      <c r="B2581" s="83"/>
      <c r="C2581" s="16">
        <v>46235</v>
      </c>
      <c r="D2581" s="82">
        <v>1458426.0399999998</v>
      </c>
    </row>
    <row r="2582" spans="1:4" x14ac:dyDescent="0.3">
      <c r="A2582" s="83" t="s">
        <v>21</v>
      </c>
      <c r="B2582" s="83"/>
      <c r="C2582" s="16">
        <v>46235</v>
      </c>
      <c r="D2582" s="82">
        <v>1514477.1199999996</v>
      </c>
    </row>
    <row r="2583" spans="1:4" x14ac:dyDescent="0.3">
      <c r="A2583" s="83" t="s">
        <v>22</v>
      </c>
      <c r="B2583" s="83"/>
      <c r="C2583" s="16">
        <v>46235</v>
      </c>
      <c r="D2583" s="82">
        <v>190496.38</v>
      </c>
    </row>
    <row r="2584" spans="1:4" x14ac:dyDescent="0.3">
      <c r="A2584" s="83" t="s">
        <v>23</v>
      </c>
      <c r="B2584" s="83"/>
      <c r="C2584" s="16">
        <v>46235</v>
      </c>
      <c r="D2584" s="82">
        <v>207605.45</v>
      </c>
    </row>
    <row r="2585" spans="1:4" x14ac:dyDescent="0.3">
      <c r="A2585" s="83" t="s">
        <v>24</v>
      </c>
      <c r="B2585" s="83"/>
      <c r="C2585" s="16">
        <v>46235</v>
      </c>
      <c r="D2585" s="82">
        <v>14580.45</v>
      </c>
    </row>
    <row r="2586" spans="1:4" x14ac:dyDescent="0.3">
      <c r="A2586" s="83" t="s">
        <v>25</v>
      </c>
      <c r="B2586" s="83"/>
      <c r="C2586" s="16">
        <v>46235</v>
      </c>
      <c r="D2586" s="82">
        <v>54.400000000000006</v>
      </c>
    </row>
    <row r="2587" spans="1:4" x14ac:dyDescent="0.3">
      <c r="A2587" s="83" t="s">
        <v>26</v>
      </c>
      <c r="B2587" s="83"/>
      <c r="C2587" s="16">
        <v>46235</v>
      </c>
      <c r="D2587" s="82">
        <v>2207.8200000000002</v>
      </c>
    </row>
    <row r="2588" spans="1:4" x14ac:dyDescent="0.3">
      <c r="A2588" s="83" t="s">
        <v>27</v>
      </c>
      <c r="B2588" s="83"/>
      <c r="C2588" s="16">
        <v>46235</v>
      </c>
      <c r="D2588" s="82">
        <v>1454589.72</v>
      </c>
    </row>
    <row r="2589" spans="1:4" x14ac:dyDescent="0.3">
      <c r="A2589" s="83" t="s">
        <v>28</v>
      </c>
      <c r="B2589" s="83"/>
      <c r="C2589" s="16">
        <v>46235</v>
      </c>
      <c r="D2589" s="82">
        <v>1968.99</v>
      </c>
    </row>
    <row r="2590" spans="1:4" x14ac:dyDescent="0.3">
      <c r="A2590" s="83" t="s">
        <v>29</v>
      </c>
      <c r="B2590" s="83"/>
      <c r="C2590" s="16">
        <v>46235</v>
      </c>
      <c r="D2590" s="82">
        <v>901.34</v>
      </c>
    </row>
    <row r="2591" spans="1:4" x14ac:dyDescent="0.3">
      <c r="A2591" s="83" t="s">
        <v>30</v>
      </c>
      <c r="B2591" s="83"/>
      <c r="C2591" s="16">
        <v>46235</v>
      </c>
      <c r="D2591" s="82">
        <v>1412.08</v>
      </c>
    </row>
    <row r="2592" spans="1:4" x14ac:dyDescent="0.3">
      <c r="A2592" s="83" t="s">
        <v>31</v>
      </c>
      <c r="B2592" s="83"/>
      <c r="C2592" s="16">
        <v>46235</v>
      </c>
      <c r="D2592" s="82">
        <v>22347.56999999996</v>
      </c>
    </row>
    <row r="2593" spans="1:4" x14ac:dyDescent="0.3">
      <c r="A2593" s="83" t="s">
        <v>32</v>
      </c>
      <c r="B2593" s="83"/>
      <c r="C2593" s="16">
        <v>46235</v>
      </c>
      <c r="D2593" s="82">
        <v>18522.800000000003</v>
      </c>
    </row>
    <row r="2594" spans="1:4" x14ac:dyDescent="0.3">
      <c r="A2594" s="83" t="s">
        <v>33</v>
      </c>
      <c r="B2594" s="83"/>
      <c r="C2594" s="16">
        <v>46235</v>
      </c>
      <c r="D2594" s="82">
        <v>28485.559999999998</v>
      </c>
    </row>
    <row r="2595" spans="1:4" x14ac:dyDescent="0.3">
      <c r="A2595" s="83" t="s">
        <v>34</v>
      </c>
      <c r="B2595" s="83"/>
      <c r="C2595" s="16">
        <v>46235</v>
      </c>
      <c r="D2595" s="82">
        <v>345</v>
      </c>
    </row>
    <row r="2596" spans="1:4" x14ac:dyDescent="0.3">
      <c r="A2596" s="83" t="s">
        <v>35</v>
      </c>
      <c r="B2596" s="83"/>
      <c r="C2596" s="16">
        <v>46235</v>
      </c>
      <c r="D2596" s="82">
        <v>11634.930000000004</v>
      </c>
    </row>
    <row r="2597" spans="1:4" x14ac:dyDescent="0.3">
      <c r="A2597" s="83" t="s">
        <v>193</v>
      </c>
      <c r="B2597" s="83"/>
      <c r="C2597" s="16">
        <v>46235</v>
      </c>
      <c r="D2597" s="82">
        <v>0</v>
      </c>
    </row>
    <row r="2598" spans="1:4" x14ac:dyDescent="0.3">
      <c r="A2598" s="83" t="s">
        <v>214</v>
      </c>
      <c r="B2598" s="83"/>
      <c r="C2598" s="16">
        <v>46235</v>
      </c>
      <c r="D2598" s="82">
        <v>0</v>
      </c>
    </row>
    <row r="2599" spans="1:4" x14ac:dyDescent="0.3">
      <c r="A2599" s="83" t="s">
        <v>194</v>
      </c>
      <c r="B2599" s="83"/>
      <c r="C2599" s="16">
        <v>46235</v>
      </c>
      <c r="D2599" s="82">
        <v>0</v>
      </c>
    </row>
    <row r="2600" spans="1:4" x14ac:dyDescent="0.3">
      <c r="A2600" s="83" t="s">
        <v>195</v>
      </c>
      <c r="B2600" s="83"/>
      <c r="C2600" s="16">
        <v>46235</v>
      </c>
      <c r="D2600" s="82">
        <v>0</v>
      </c>
    </row>
    <row r="2601" spans="1:4" x14ac:dyDescent="0.3">
      <c r="A2601" s="83" t="s">
        <v>196</v>
      </c>
      <c r="B2601" s="83"/>
      <c r="C2601" s="16">
        <v>46235</v>
      </c>
      <c r="D2601" s="82">
        <v>0</v>
      </c>
    </row>
    <row r="2602" spans="1:4" x14ac:dyDescent="0.3">
      <c r="A2602" s="83" t="s">
        <v>197</v>
      </c>
      <c r="B2602" s="83"/>
      <c r="C2602" s="16">
        <v>46235</v>
      </c>
      <c r="D2602" s="82">
        <v>0</v>
      </c>
    </row>
    <row r="2603" spans="1:4" x14ac:dyDescent="0.3">
      <c r="A2603" s="83" t="s">
        <v>212</v>
      </c>
      <c r="B2603" s="83"/>
      <c r="C2603" s="16">
        <v>46235</v>
      </c>
      <c r="D2603" s="82">
        <v>0</v>
      </c>
    </row>
    <row r="2604" spans="1:4" x14ac:dyDescent="0.3">
      <c r="A2604" s="83" t="s">
        <v>199</v>
      </c>
      <c r="B2604" s="83"/>
      <c r="C2604" s="16">
        <v>46235</v>
      </c>
      <c r="D2604" s="82">
        <v>0</v>
      </c>
    </row>
    <row r="2605" spans="1:4" x14ac:dyDescent="0.3">
      <c r="A2605" s="83" t="s">
        <v>216</v>
      </c>
      <c r="B2605" s="83"/>
      <c r="C2605" s="16">
        <v>46235</v>
      </c>
      <c r="D2605" s="82">
        <v>0</v>
      </c>
    </row>
    <row r="2606" spans="1:4" x14ac:dyDescent="0.3">
      <c r="A2606" s="83" t="s">
        <v>17</v>
      </c>
      <c r="B2606" s="83"/>
      <c r="C2606" s="16">
        <v>46236</v>
      </c>
      <c r="D2606" s="82">
        <v>2468032.08</v>
      </c>
    </row>
    <row r="2607" spans="1:4" x14ac:dyDescent="0.3">
      <c r="A2607" s="83" t="s">
        <v>18</v>
      </c>
      <c r="B2607" s="83"/>
      <c r="C2607" s="16">
        <v>46236</v>
      </c>
      <c r="D2607" s="82">
        <v>83211.250000000175</v>
      </c>
    </row>
    <row r="2608" spans="1:4" x14ac:dyDescent="0.3">
      <c r="A2608" s="83" t="s">
        <v>19</v>
      </c>
      <c r="B2608" s="83"/>
      <c r="C2608" s="16">
        <v>46236</v>
      </c>
      <c r="D2608" s="82">
        <v>1669.89</v>
      </c>
    </row>
    <row r="2609" spans="1:4" x14ac:dyDescent="0.3">
      <c r="A2609" s="83" t="s">
        <v>20</v>
      </c>
      <c r="B2609" s="83"/>
      <c r="C2609" s="16">
        <v>46236</v>
      </c>
      <c r="D2609" s="82">
        <v>1458426.0399999998</v>
      </c>
    </row>
    <row r="2610" spans="1:4" x14ac:dyDescent="0.3">
      <c r="A2610" s="83" t="s">
        <v>21</v>
      </c>
      <c r="B2610" s="83"/>
      <c r="C2610" s="16">
        <v>46236</v>
      </c>
      <c r="D2610" s="82">
        <v>1514477.1199999996</v>
      </c>
    </row>
    <row r="2611" spans="1:4" x14ac:dyDescent="0.3">
      <c r="A2611" s="83" t="s">
        <v>22</v>
      </c>
      <c r="B2611" s="83"/>
      <c r="C2611" s="16">
        <v>46236</v>
      </c>
      <c r="D2611" s="82">
        <v>190496.38</v>
      </c>
    </row>
    <row r="2612" spans="1:4" x14ac:dyDescent="0.3">
      <c r="A2612" s="83" t="s">
        <v>23</v>
      </c>
      <c r="B2612" s="83"/>
      <c r="C2612" s="16">
        <v>46236</v>
      </c>
      <c r="D2612" s="82">
        <v>207605.45</v>
      </c>
    </row>
    <row r="2613" spans="1:4" x14ac:dyDescent="0.3">
      <c r="A2613" s="83" t="s">
        <v>24</v>
      </c>
      <c r="B2613" s="83"/>
      <c r="C2613" s="16">
        <v>46236</v>
      </c>
      <c r="D2613" s="82">
        <v>14580.45</v>
      </c>
    </row>
    <row r="2614" spans="1:4" x14ac:dyDescent="0.3">
      <c r="A2614" s="83" t="s">
        <v>25</v>
      </c>
      <c r="B2614" s="83"/>
      <c r="C2614" s="16">
        <v>46236</v>
      </c>
      <c r="D2614" s="82">
        <v>54.400000000000006</v>
      </c>
    </row>
    <row r="2615" spans="1:4" x14ac:dyDescent="0.3">
      <c r="A2615" s="83" t="s">
        <v>26</v>
      </c>
      <c r="B2615" s="83"/>
      <c r="C2615" s="16">
        <v>46236</v>
      </c>
      <c r="D2615" s="82">
        <v>2207.8200000000002</v>
      </c>
    </row>
    <row r="2616" spans="1:4" x14ac:dyDescent="0.3">
      <c r="A2616" s="83" t="s">
        <v>27</v>
      </c>
      <c r="B2616" s="83"/>
      <c r="C2616" s="16">
        <v>46236</v>
      </c>
      <c r="D2616" s="82">
        <v>1454589.72</v>
      </c>
    </row>
    <row r="2617" spans="1:4" x14ac:dyDescent="0.3">
      <c r="A2617" s="83" t="s">
        <v>28</v>
      </c>
      <c r="B2617" s="83"/>
      <c r="C2617" s="16">
        <v>46236</v>
      </c>
      <c r="D2617" s="82">
        <v>1968.99</v>
      </c>
    </row>
    <row r="2618" spans="1:4" x14ac:dyDescent="0.3">
      <c r="A2618" s="83" t="s">
        <v>29</v>
      </c>
      <c r="B2618" s="83"/>
      <c r="C2618" s="16">
        <v>46236</v>
      </c>
      <c r="D2618" s="82">
        <v>901.34</v>
      </c>
    </row>
    <row r="2619" spans="1:4" x14ac:dyDescent="0.3">
      <c r="A2619" s="83" t="s">
        <v>30</v>
      </c>
      <c r="B2619" s="83"/>
      <c r="C2619" s="16">
        <v>46236</v>
      </c>
      <c r="D2619" s="82">
        <v>1412.08</v>
      </c>
    </row>
    <row r="2620" spans="1:4" x14ac:dyDescent="0.3">
      <c r="A2620" s="83" t="s">
        <v>31</v>
      </c>
      <c r="B2620" s="83"/>
      <c r="C2620" s="16">
        <v>46236</v>
      </c>
      <c r="D2620" s="82">
        <v>22347.56999999996</v>
      </c>
    </row>
    <row r="2621" spans="1:4" x14ac:dyDescent="0.3">
      <c r="A2621" s="83" t="s">
        <v>32</v>
      </c>
      <c r="B2621" s="83"/>
      <c r="C2621" s="16">
        <v>46236</v>
      </c>
      <c r="D2621" s="82">
        <v>18522.800000000003</v>
      </c>
    </row>
    <row r="2622" spans="1:4" x14ac:dyDescent="0.3">
      <c r="A2622" s="83" t="s">
        <v>33</v>
      </c>
      <c r="B2622" s="83"/>
      <c r="C2622" s="16">
        <v>46236</v>
      </c>
      <c r="D2622" s="82">
        <v>28485.559999999998</v>
      </c>
    </row>
    <row r="2623" spans="1:4" x14ac:dyDescent="0.3">
      <c r="A2623" s="83" t="s">
        <v>34</v>
      </c>
      <c r="B2623" s="83"/>
      <c r="C2623" s="16">
        <v>46236</v>
      </c>
      <c r="D2623" s="82">
        <v>345</v>
      </c>
    </row>
    <row r="2624" spans="1:4" x14ac:dyDescent="0.3">
      <c r="A2624" s="83" t="s">
        <v>35</v>
      </c>
      <c r="B2624" s="83"/>
      <c r="C2624" s="16">
        <v>46236</v>
      </c>
      <c r="D2624" s="82">
        <v>11634.930000000004</v>
      </c>
    </row>
    <row r="2625" spans="1:4" x14ac:dyDescent="0.3">
      <c r="A2625" s="83" t="s">
        <v>193</v>
      </c>
      <c r="B2625" s="83"/>
      <c r="C2625" s="16">
        <v>46236</v>
      </c>
      <c r="D2625" s="82">
        <v>0</v>
      </c>
    </row>
    <row r="2626" spans="1:4" x14ac:dyDescent="0.3">
      <c r="A2626" s="83" t="s">
        <v>214</v>
      </c>
      <c r="B2626" s="83"/>
      <c r="C2626" s="16">
        <v>46236</v>
      </c>
      <c r="D2626" s="82">
        <v>0</v>
      </c>
    </row>
    <row r="2627" spans="1:4" x14ac:dyDescent="0.3">
      <c r="A2627" s="83" t="s">
        <v>194</v>
      </c>
      <c r="B2627" s="83"/>
      <c r="C2627" s="16">
        <v>46236</v>
      </c>
      <c r="D2627" s="82">
        <v>0</v>
      </c>
    </row>
    <row r="2628" spans="1:4" x14ac:dyDescent="0.3">
      <c r="A2628" s="83" t="s">
        <v>195</v>
      </c>
      <c r="B2628" s="83"/>
      <c r="C2628" s="16">
        <v>46236</v>
      </c>
      <c r="D2628" s="82">
        <v>0</v>
      </c>
    </row>
    <row r="2629" spans="1:4" x14ac:dyDescent="0.3">
      <c r="A2629" s="83" t="s">
        <v>196</v>
      </c>
      <c r="B2629" s="83"/>
      <c r="C2629" s="16">
        <v>46236</v>
      </c>
      <c r="D2629" s="82">
        <v>0</v>
      </c>
    </row>
    <row r="2630" spans="1:4" x14ac:dyDescent="0.3">
      <c r="A2630" s="83" t="s">
        <v>197</v>
      </c>
      <c r="B2630" s="83"/>
      <c r="C2630" s="16">
        <v>46236</v>
      </c>
      <c r="D2630" s="82">
        <v>0</v>
      </c>
    </row>
    <row r="2631" spans="1:4" x14ac:dyDescent="0.3">
      <c r="A2631" s="83" t="s">
        <v>212</v>
      </c>
      <c r="B2631" s="83"/>
      <c r="C2631" s="16">
        <v>46236</v>
      </c>
      <c r="D2631" s="82">
        <v>0</v>
      </c>
    </row>
    <row r="2632" spans="1:4" x14ac:dyDescent="0.3">
      <c r="A2632" s="83" t="s">
        <v>199</v>
      </c>
      <c r="B2632" s="83"/>
      <c r="C2632" s="16">
        <v>46236</v>
      </c>
      <c r="D2632" s="82">
        <v>0</v>
      </c>
    </row>
    <row r="2633" spans="1:4" x14ac:dyDescent="0.3">
      <c r="A2633" s="83" t="s">
        <v>216</v>
      </c>
      <c r="B2633" s="83"/>
      <c r="C2633" s="16">
        <v>46236</v>
      </c>
      <c r="D2633" s="82">
        <v>0</v>
      </c>
    </row>
    <row r="2634" spans="1:4" x14ac:dyDescent="0.3">
      <c r="A2634" s="83" t="s">
        <v>17</v>
      </c>
      <c r="B2634" s="83"/>
      <c r="C2634" s="16">
        <v>46237</v>
      </c>
      <c r="D2634" s="82">
        <v>2468032.08</v>
      </c>
    </row>
    <row r="2635" spans="1:4" x14ac:dyDescent="0.3">
      <c r="A2635" s="83" t="s">
        <v>18</v>
      </c>
      <c r="B2635" s="83"/>
      <c r="C2635" s="16">
        <v>46237</v>
      </c>
      <c r="D2635" s="82">
        <v>83211.250000000175</v>
      </c>
    </row>
    <row r="2636" spans="1:4" x14ac:dyDescent="0.3">
      <c r="A2636" s="83" t="s">
        <v>19</v>
      </c>
      <c r="B2636" s="83"/>
      <c r="C2636" s="16">
        <v>46237</v>
      </c>
      <c r="D2636" s="82">
        <v>1669.89</v>
      </c>
    </row>
    <row r="2637" spans="1:4" x14ac:dyDescent="0.3">
      <c r="A2637" s="83" t="s">
        <v>20</v>
      </c>
      <c r="B2637" s="83"/>
      <c r="C2637" s="16">
        <v>46237</v>
      </c>
      <c r="D2637" s="82">
        <v>1458426.0399999998</v>
      </c>
    </row>
    <row r="2638" spans="1:4" x14ac:dyDescent="0.3">
      <c r="A2638" s="83" t="s">
        <v>21</v>
      </c>
      <c r="B2638" s="83"/>
      <c r="C2638" s="16">
        <v>46237</v>
      </c>
      <c r="D2638" s="82">
        <v>1514477.1199999996</v>
      </c>
    </row>
    <row r="2639" spans="1:4" x14ac:dyDescent="0.3">
      <c r="A2639" s="83" t="s">
        <v>22</v>
      </c>
      <c r="B2639" s="83"/>
      <c r="C2639" s="16">
        <v>46237</v>
      </c>
      <c r="D2639" s="82">
        <v>190496.38</v>
      </c>
    </row>
    <row r="2640" spans="1:4" x14ac:dyDescent="0.3">
      <c r="A2640" s="83" t="s">
        <v>23</v>
      </c>
      <c r="B2640" s="83"/>
      <c r="C2640" s="16">
        <v>46237</v>
      </c>
      <c r="D2640" s="82">
        <v>207605.45</v>
      </c>
    </row>
    <row r="2641" spans="1:4" x14ac:dyDescent="0.3">
      <c r="A2641" s="83" t="s">
        <v>24</v>
      </c>
      <c r="B2641" s="83"/>
      <c r="C2641" s="16">
        <v>46237</v>
      </c>
      <c r="D2641" s="82">
        <v>14580.45</v>
      </c>
    </row>
    <row r="2642" spans="1:4" x14ac:dyDescent="0.3">
      <c r="A2642" s="83" t="s">
        <v>25</v>
      </c>
      <c r="B2642" s="83"/>
      <c r="C2642" s="16">
        <v>46237</v>
      </c>
      <c r="D2642" s="82">
        <v>24.450000000000003</v>
      </c>
    </row>
    <row r="2643" spans="1:4" x14ac:dyDescent="0.3">
      <c r="A2643" s="83" t="s">
        <v>26</v>
      </c>
      <c r="B2643" s="83"/>
      <c r="C2643" s="16">
        <v>46237</v>
      </c>
      <c r="D2643" s="82">
        <v>2177.87</v>
      </c>
    </row>
    <row r="2644" spans="1:4" x14ac:dyDescent="0.3">
      <c r="A2644" s="83" t="s">
        <v>27</v>
      </c>
      <c r="B2644" s="83"/>
      <c r="C2644" s="16">
        <v>46237</v>
      </c>
      <c r="D2644" s="82">
        <v>1454589.72</v>
      </c>
    </row>
    <row r="2645" spans="1:4" x14ac:dyDescent="0.3">
      <c r="A2645" s="83" t="s">
        <v>28</v>
      </c>
      <c r="B2645" s="83"/>
      <c r="C2645" s="16">
        <v>46237</v>
      </c>
      <c r="D2645" s="82">
        <v>1968.99</v>
      </c>
    </row>
    <row r="2646" spans="1:4" x14ac:dyDescent="0.3">
      <c r="A2646" s="83" t="s">
        <v>29</v>
      </c>
      <c r="B2646" s="83"/>
      <c r="C2646" s="16">
        <v>46237</v>
      </c>
      <c r="D2646" s="82">
        <v>901.34</v>
      </c>
    </row>
    <row r="2647" spans="1:4" x14ac:dyDescent="0.3">
      <c r="A2647" s="83" t="s">
        <v>30</v>
      </c>
      <c r="B2647" s="83"/>
      <c r="C2647" s="16">
        <v>46237</v>
      </c>
      <c r="D2647" s="82">
        <v>1396.08</v>
      </c>
    </row>
    <row r="2648" spans="1:4" x14ac:dyDescent="0.3">
      <c r="A2648" s="83" t="s">
        <v>31</v>
      </c>
      <c r="B2648" s="83"/>
      <c r="C2648" s="16">
        <v>46237</v>
      </c>
      <c r="D2648" s="82">
        <v>13804.239999999962</v>
      </c>
    </row>
    <row r="2649" spans="1:4" x14ac:dyDescent="0.3">
      <c r="A2649" s="83" t="s">
        <v>32</v>
      </c>
      <c r="B2649" s="83"/>
      <c r="C2649" s="16">
        <v>46237</v>
      </c>
      <c r="D2649" s="82">
        <v>8724.1700000000037</v>
      </c>
    </row>
    <row r="2650" spans="1:4" x14ac:dyDescent="0.3">
      <c r="A2650" s="83" t="s">
        <v>33</v>
      </c>
      <c r="B2650" s="83"/>
      <c r="C2650" s="16">
        <v>46237</v>
      </c>
      <c r="D2650" s="82">
        <v>15106.099999999997</v>
      </c>
    </row>
    <row r="2651" spans="1:4" x14ac:dyDescent="0.3">
      <c r="A2651" s="83" t="s">
        <v>34</v>
      </c>
      <c r="B2651" s="83"/>
      <c r="C2651" s="16">
        <v>46237</v>
      </c>
      <c r="D2651" s="82">
        <v>345</v>
      </c>
    </row>
    <row r="2652" spans="1:4" x14ac:dyDescent="0.3">
      <c r="A2652" s="83" t="s">
        <v>35</v>
      </c>
      <c r="B2652" s="83"/>
      <c r="C2652" s="16">
        <v>46237</v>
      </c>
      <c r="D2652" s="82">
        <v>8270.3500000000022</v>
      </c>
    </row>
    <row r="2653" spans="1:4" x14ac:dyDescent="0.3">
      <c r="A2653" s="83" t="s">
        <v>193</v>
      </c>
      <c r="B2653" s="83"/>
      <c r="C2653" s="16">
        <v>46237</v>
      </c>
      <c r="D2653" s="82">
        <v>0</v>
      </c>
    </row>
    <row r="2654" spans="1:4" x14ac:dyDescent="0.3">
      <c r="A2654" s="83" t="s">
        <v>214</v>
      </c>
      <c r="B2654" s="83"/>
      <c r="C2654" s="16">
        <v>46237</v>
      </c>
      <c r="D2654" s="82">
        <v>0</v>
      </c>
    </row>
    <row r="2655" spans="1:4" x14ac:dyDescent="0.3">
      <c r="A2655" s="83" t="s">
        <v>194</v>
      </c>
      <c r="B2655" s="83"/>
      <c r="C2655" s="16">
        <v>46237</v>
      </c>
      <c r="D2655" s="82">
        <v>0</v>
      </c>
    </row>
    <row r="2656" spans="1:4" x14ac:dyDescent="0.3">
      <c r="A2656" s="83" t="s">
        <v>195</v>
      </c>
      <c r="B2656" s="83"/>
      <c r="C2656" s="16">
        <v>46237</v>
      </c>
      <c r="D2656" s="82">
        <v>0</v>
      </c>
    </row>
    <row r="2657" spans="1:4" x14ac:dyDescent="0.3">
      <c r="A2657" s="83" t="s">
        <v>196</v>
      </c>
      <c r="B2657" s="83"/>
      <c r="C2657" s="16">
        <v>46237</v>
      </c>
      <c r="D2657" s="82">
        <v>0</v>
      </c>
    </row>
    <row r="2658" spans="1:4" x14ac:dyDescent="0.3">
      <c r="A2658" s="83" t="s">
        <v>197</v>
      </c>
      <c r="B2658" s="83"/>
      <c r="C2658" s="16">
        <v>46237</v>
      </c>
      <c r="D2658" s="82">
        <v>0</v>
      </c>
    </row>
    <row r="2659" spans="1:4" x14ac:dyDescent="0.3">
      <c r="A2659" s="83" t="s">
        <v>212</v>
      </c>
      <c r="B2659" s="83"/>
      <c r="C2659" s="16">
        <v>46237</v>
      </c>
      <c r="D2659" s="82">
        <v>0</v>
      </c>
    </row>
    <row r="2660" spans="1:4" x14ac:dyDescent="0.3">
      <c r="A2660" s="83" t="s">
        <v>199</v>
      </c>
      <c r="B2660" s="83"/>
      <c r="C2660" s="16">
        <v>46237</v>
      </c>
      <c r="D2660" s="82">
        <v>0</v>
      </c>
    </row>
    <row r="2661" spans="1:4" x14ac:dyDescent="0.3">
      <c r="A2661" s="83" t="s">
        <v>216</v>
      </c>
      <c r="B2661" s="83"/>
      <c r="C2661" s="16">
        <v>46237</v>
      </c>
      <c r="D2661" s="82">
        <v>0</v>
      </c>
    </row>
    <row r="2662" spans="1:4" x14ac:dyDescent="0.3">
      <c r="A2662" s="83" t="s">
        <v>17</v>
      </c>
      <c r="B2662" s="83"/>
      <c r="C2662" s="16">
        <v>46238</v>
      </c>
      <c r="D2662" s="82">
        <v>2468032.08</v>
      </c>
    </row>
    <row r="2663" spans="1:4" x14ac:dyDescent="0.3">
      <c r="A2663" s="83" t="s">
        <v>18</v>
      </c>
      <c r="B2663" s="83"/>
      <c r="C2663" s="16">
        <v>46238</v>
      </c>
      <c r="D2663" s="82">
        <v>83211.250000000175</v>
      </c>
    </row>
    <row r="2664" spans="1:4" x14ac:dyDescent="0.3">
      <c r="A2664" s="83" t="s">
        <v>19</v>
      </c>
      <c r="B2664" s="83"/>
      <c r="C2664" s="16">
        <v>46238</v>
      </c>
      <c r="D2664" s="82">
        <v>1669.89</v>
      </c>
    </row>
    <row r="2665" spans="1:4" x14ac:dyDescent="0.3">
      <c r="A2665" s="83" t="s">
        <v>20</v>
      </c>
      <c r="B2665" s="83"/>
      <c r="C2665" s="16">
        <v>46238</v>
      </c>
      <c r="D2665" s="82">
        <v>1458426.0399999998</v>
      </c>
    </row>
    <row r="2666" spans="1:4" x14ac:dyDescent="0.3">
      <c r="A2666" s="83" t="s">
        <v>21</v>
      </c>
      <c r="B2666" s="83"/>
      <c r="C2666" s="16">
        <v>46238</v>
      </c>
      <c r="D2666" s="82">
        <v>1513867.4199999995</v>
      </c>
    </row>
    <row r="2667" spans="1:4" x14ac:dyDescent="0.3">
      <c r="A2667" s="83" t="s">
        <v>22</v>
      </c>
      <c r="B2667" s="83"/>
      <c r="C2667" s="16">
        <v>46238</v>
      </c>
      <c r="D2667" s="82">
        <v>184496.38</v>
      </c>
    </row>
    <row r="2668" spans="1:4" x14ac:dyDescent="0.3">
      <c r="A2668" s="83" t="s">
        <v>23</v>
      </c>
      <c r="B2668" s="83"/>
      <c r="C2668" s="16">
        <v>46238</v>
      </c>
      <c r="D2668" s="82">
        <v>207605.45</v>
      </c>
    </row>
    <row r="2669" spans="1:4" x14ac:dyDescent="0.3">
      <c r="A2669" s="83" t="s">
        <v>24</v>
      </c>
      <c r="B2669" s="83"/>
      <c r="C2669" s="16">
        <v>46238</v>
      </c>
      <c r="D2669" s="82">
        <v>14580.45</v>
      </c>
    </row>
    <row r="2670" spans="1:4" x14ac:dyDescent="0.3">
      <c r="A2670" s="83" t="s">
        <v>25</v>
      </c>
      <c r="B2670" s="83"/>
      <c r="C2670" s="16">
        <v>46238</v>
      </c>
      <c r="D2670" s="82">
        <v>24.450000000000003</v>
      </c>
    </row>
    <row r="2671" spans="1:4" x14ac:dyDescent="0.3">
      <c r="A2671" s="83" t="s">
        <v>26</v>
      </c>
      <c r="B2671" s="83"/>
      <c r="C2671" s="16">
        <v>46238</v>
      </c>
      <c r="D2671" s="82">
        <v>2177.87</v>
      </c>
    </row>
    <row r="2672" spans="1:4" x14ac:dyDescent="0.3">
      <c r="A2672" s="83" t="s">
        <v>27</v>
      </c>
      <c r="B2672" s="83"/>
      <c r="C2672" s="16">
        <v>46238</v>
      </c>
      <c r="D2672" s="82">
        <v>1454589.72</v>
      </c>
    </row>
    <row r="2673" spans="1:4" x14ac:dyDescent="0.3">
      <c r="A2673" s="83" t="s">
        <v>28</v>
      </c>
      <c r="B2673" s="83"/>
      <c r="C2673" s="16">
        <v>46238</v>
      </c>
      <c r="D2673" s="82">
        <v>1968.99</v>
      </c>
    </row>
    <row r="2674" spans="1:4" x14ac:dyDescent="0.3">
      <c r="A2674" s="83" t="s">
        <v>29</v>
      </c>
      <c r="B2674" s="83"/>
      <c r="C2674" s="16">
        <v>46238</v>
      </c>
      <c r="D2674" s="82">
        <v>901.34</v>
      </c>
    </row>
    <row r="2675" spans="1:4" x14ac:dyDescent="0.3">
      <c r="A2675" s="83" t="s">
        <v>30</v>
      </c>
      <c r="B2675" s="83"/>
      <c r="C2675" s="16">
        <v>46238</v>
      </c>
      <c r="D2675" s="82">
        <v>1396.08</v>
      </c>
    </row>
    <row r="2676" spans="1:4" x14ac:dyDescent="0.3">
      <c r="A2676" s="83" t="s">
        <v>31</v>
      </c>
      <c r="B2676" s="83"/>
      <c r="C2676" s="16">
        <v>46238</v>
      </c>
      <c r="D2676" s="82">
        <v>13804.239999999962</v>
      </c>
    </row>
    <row r="2677" spans="1:4" x14ac:dyDescent="0.3">
      <c r="A2677" s="83" t="s">
        <v>32</v>
      </c>
      <c r="B2677" s="83"/>
      <c r="C2677" s="16">
        <v>46238</v>
      </c>
      <c r="D2677" s="82">
        <v>8724.1700000000037</v>
      </c>
    </row>
    <row r="2678" spans="1:4" x14ac:dyDescent="0.3">
      <c r="A2678" s="83" t="s">
        <v>33</v>
      </c>
      <c r="B2678" s="83"/>
      <c r="C2678" s="16">
        <v>46238</v>
      </c>
      <c r="D2678" s="82">
        <v>15106.099999999997</v>
      </c>
    </row>
    <row r="2679" spans="1:4" x14ac:dyDescent="0.3">
      <c r="A2679" s="83" t="s">
        <v>34</v>
      </c>
      <c r="B2679" s="83"/>
      <c r="C2679" s="16">
        <v>46238</v>
      </c>
      <c r="D2679" s="82">
        <v>345</v>
      </c>
    </row>
    <row r="2680" spans="1:4" x14ac:dyDescent="0.3">
      <c r="A2680" s="83" t="s">
        <v>35</v>
      </c>
      <c r="B2680" s="83"/>
      <c r="C2680" s="16">
        <v>46238</v>
      </c>
      <c r="D2680" s="82">
        <v>7879.4200000000019</v>
      </c>
    </row>
    <row r="2681" spans="1:4" x14ac:dyDescent="0.3">
      <c r="A2681" s="83" t="s">
        <v>193</v>
      </c>
      <c r="B2681" s="83"/>
      <c r="C2681" s="16">
        <v>46238</v>
      </c>
      <c r="D2681" s="82">
        <v>0</v>
      </c>
    </row>
    <row r="2682" spans="1:4" x14ac:dyDescent="0.3">
      <c r="A2682" s="83" t="s">
        <v>214</v>
      </c>
      <c r="B2682" s="83"/>
      <c r="C2682" s="16">
        <v>46238</v>
      </c>
      <c r="D2682" s="82">
        <v>0</v>
      </c>
    </row>
    <row r="2683" spans="1:4" x14ac:dyDescent="0.3">
      <c r="A2683" s="83" t="s">
        <v>194</v>
      </c>
      <c r="B2683" s="83"/>
      <c r="C2683" s="16">
        <v>46238</v>
      </c>
      <c r="D2683" s="82">
        <v>0</v>
      </c>
    </row>
    <row r="2684" spans="1:4" x14ac:dyDescent="0.3">
      <c r="A2684" s="83" t="s">
        <v>195</v>
      </c>
      <c r="B2684" s="83"/>
      <c r="C2684" s="16">
        <v>46238</v>
      </c>
      <c r="D2684" s="82">
        <v>0</v>
      </c>
    </row>
    <row r="2685" spans="1:4" x14ac:dyDescent="0.3">
      <c r="A2685" s="83" t="s">
        <v>196</v>
      </c>
      <c r="B2685" s="83"/>
      <c r="C2685" s="16">
        <v>46238</v>
      </c>
      <c r="D2685" s="82">
        <v>0</v>
      </c>
    </row>
    <row r="2686" spans="1:4" x14ac:dyDescent="0.3">
      <c r="A2686" s="83" t="s">
        <v>197</v>
      </c>
      <c r="B2686" s="83"/>
      <c r="C2686" s="16">
        <v>46238</v>
      </c>
      <c r="D2686" s="82">
        <v>0</v>
      </c>
    </row>
    <row r="2687" spans="1:4" x14ac:dyDescent="0.3">
      <c r="A2687" s="83" t="s">
        <v>212</v>
      </c>
      <c r="B2687" s="83"/>
      <c r="C2687" s="16">
        <v>46238</v>
      </c>
      <c r="D2687" s="82">
        <v>0</v>
      </c>
    </row>
    <row r="2688" spans="1:4" x14ac:dyDescent="0.3">
      <c r="A2688" s="83" t="s">
        <v>199</v>
      </c>
      <c r="B2688" s="83"/>
      <c r="C2688" s="16">
        <v>46238</v>
      </c>
      <c r="D2688" s="82">
        <v>0</v>
      </c>
    </row>
    <row r="2689" spans="1:4" x14ac:dyDescent="0.3">
      <c r="A2689" s="83" t="s">
        <v>216</v>
      </c>
      <c r="B2689" s="83"/>
      <c r="C2689" s="16">
        <v>46238</v>
      </c>
      <c r="D2689" s="82">
        <v>0</v>
      </c>
    </row>
    <row r="2690" spans="1:4" x14ac:dyDescent="0.3">
      <c r="A2690" s="83" t="s">
        <v>17</v>
      </c>
      <c r="B2690" s="83"/>
      <c r="C2690" s="16">
        <v>46239</v>
      </c>
      <c r="D2690" s="82">
        <v>2468032.08</v>
      </c>
    </row>
    <row r="2691" spans="1:4" x14ac:dyDescent="0.3">
      <c r="A2691" s="83" t="s">
        <v>18</v>
      </c>
      <c r="B2691" s="83"/>
      <c r="C2691" s="16">
        <v>46239</v>
      </c>
      <c r="D2691" s="82">
        <v>83211.250000000175</v>
      </c>
    </row>
    <row r="2692" spans="1:4" x14ac:dyDescent="0.3">
      <c r="A2692" s="83" t="s">
        <v>19</v>
      </c>
      <c r="B2692" s="83"/>
      <c r="C2692" s="16">
        <v>46239</v>
      </c>
      <c r="D2692" s="82">
        <v>1669.89</v>
      </c>
    </row>
    <row r="2693" spans="1:4" x14ac:dyDescent="0.3">
      <c r="A2693" s="83" t="s">
        <v>20</v>
      </c>
      <c r="B2693" s="83"/>
      <c r="C2693" s="16">
        <v>46239</v>
      </c>
      <c r="D2693" s="82">
        <v>1452426.0399999998</v>
      </c>
    </row>
    <row r="2694" spans="1:4" x14ac:dyDescent="0.3">
      <c r="A2694" s="83" t="s">
        <v>21</v>
      </c>
      <c r="B2694" s="83"/>
      <c r="C2694" s="16">
        <v>46239</v>
      </c>
      <c r="D2694" s="82">
        <v>1512187.6399999997</v>
      </c>
    </row>
    <row r="2695" spans="1:4" x14ac:dyDescent="0.3">
      <c r="A2695" s="83" t="s">
        <v>22</v>
      </c>
      <c r="B2695" s="83"/>
      <c r="C2695" s="16">
        <v>46239</v>
      </c>
      <c r="D2695" s="82">
        <v>184496.38</v>
      </c>
    </row>
    <row r="2696" spans="1:4" x14ac:dyDescent="0.3">
      <c r="A2696" s="83" t="s">
        <v>23</v>
      </c>
      <c r="B2696" s="83"/>
      <c r="C2696" s="16">
        <v>46239</v>
      </c>
      <c r="D2696" s="82">
        <v>207605.45</v>
      </c>
    </row>
    <row r="2697" spans="1:4" x14ac:dyDescent="0.3">
      <c r="A2697" s="83" t="s">
        <v>24</v>
      </c>
      <c r="B2697" s="83"/>
      <c r="C2697" s="16">
        <v>46239</v>
      </c>
      <c r="D2697" s="82">
        <v>14540.45</v>
      </c>
    </row>
    <row r="2698" spans="1:4" x14ac:dyDescent="0.3">
      <c r="A2698" s="83" t="s">
        <v>25</v>
      </c>
      <c r="B2698" s="83"/>
      <c r="C2698" s="16">
        <v>46239</v>
      </c>
      <c r="D2698" s="82">
        <v>24.450000000000003</v>
      </c>
    </row>
    <row r="2699" spans="1:4" x14ac:dyDescent="0.3">
      <c r="A2699" s="83" t="s">
        <v>26</v>
      </c>
      <c r="B2699" s="83"/>
      <c r="C2699" s="16">
        <v>46239</v>
      </c>
      <c r="D2699" s="82">
        <v>2177.87</v>
      </c>
    </row>
    <row r="2700" spans="1:4" x14ac:dyDescent="0.3">
      <c r="A2700" s="83" t="s">
        <v>27</v>
      </c>
      <c r="B2700" s="83"/>
      <c r="C2700" s="16">
        <v>46239</v>
      </c>
      <c r="D2700" s="82">
        <v>1454589.72</v>
      </c>
    </row>
    <row r="2701" spans="1:4" x14ac:dyDescent="0.3">
      <c r="A2701" s="83" t="s">
        <v>28</v>
      </c>
      <c r="B2701" s="83"/>
      <c r="C2701" s="16">
        <v>46239</v>
      </c>
      <c r="D2701" s="82">
        <v>1968.99</v>
      </c>
    </row>
    <row r="2702" spans="1:4" x14ac:dyDescent="0.3">
      <c r="A2702" s="83" t="s">
        <v>29</v>
      </c>
      <c r="B2702" s="83"/>
      <c r="C2702" s="16">
        <v>46239</v>
      </c>
      <c r="D2702" s="82">
        <v>901.34</v>
      </c>
    </row>
    <row r="2703" spans="1:4" x14ac:dyDescent="0.3">
      <c r="A2703" s="83" t="s">
        <v>30</v>
      </c>
      <c r="B2703" s="83"/>
      <c r="C2703" s="16">
        <v>46239</v>
      </c>
      <c r="D2703" s="82">
        <v>1396.08</v>
      </c>
    </row>
    <row r="2704" spans="1:4" x14ac:dyDescent="0.3">
      <c r="A2704" s="83" t="s">
        <v>31</v>
      </c>
      <c r="B2704" s="83"/>
      <c r="C2704" s="16">
        <v>46239</v>
      </c>
      <c r="D2704" s="82">
        <v>13804.239999999962</v>
      </c>
    </row>
    <row r="2705" spans="1:4" x14ac:dyDescent="0.3">
      <c r="A2705" s="83" t="s">
        <v>32</v>
      </c>
      <c r="B2705" s="83"/>
      <c r="C2705" s="16">
        <v>46239</v>
      </c>
      <c r="D2705" s="82">
        <v>8724.1700000000037</v>
      </c>
    </row>
    <row r="2706" spans="1:4" x14ac:dyDescent="0.3">
      <c r="A2706" s="83" t="s">
        <v>33</v>
      </c>
      <c r="B2706" s="83"/>
      <c r="C2706" s="16">
        <v>46239</v>
      </c>
      <c r="D2706" s="82">
        <v>15106.099999999997</v>
      </c>
    </row>
    <row r="2707" spans="1:4" x14ac:dyDescent="0.3">
      <c r="A2707" s="83" t="s">
        <v>34</v>
      </c>
      <c r="B2707" s="83"/>
      <c r="C2707" s="16">
        <v>46239</v>
      </c>
      <c r="D2707" s="82">
        <v>345</v>
      </c>
    </row>
    <row r="2708" spans="1:4" x14ac:dyDescent="0.3">
      <c r="A2708" s="83" t="s">
        <v>35</v>
      </c>
      <c r="B2708" s="83"/>
      <c r="C2708" s="16">
        <v>46239</v>
      </c>
      <c r="D2708" s="82">
        <v>7879.4200000000019</v>
      </c>
    </row>
    <row r="2709" spans="1:4" x14ac:dyDescent="0.3">
      <c r="A2709" s="83" t="s">
        <v>193</v>
      </c>
      <c r="B2709" s="83"/>
      <c r="C2709" s="16">
        <v>46239</v>
      </c>
      <c r="D2709" s="82">
        <v>0</v>
      </c>
    </row>
    <row r="2710" spans="1:4" x14ac:dyDescent="0.3">
      <c r="A2710" s="83" t="s">
        <v>214</v>
      </c>
      <c r="B2710" s="83"/>
      <c r="C2710" s="16">
        <v>46239</v>
      </c>
      <c r="D2710" s="82">
        <v>0</v>
      </c>
    </row>
    <row r="2711" spans="1:4" x14ac:dyDescent="0.3">
      <c r="A2711" s="83" t="s">
        <v>194</v>
      </c>
      <c r="B2711" s="83"/>
      <c r="C2711" s="16">
        <v>46239</v>
      </c>
      <c r="D2711" s="82">
        <v>0</v>
      </c>
    </row>
    <row r="2712" spans="1:4" x14ac:dyDescent="0.3">
      <c r="A2712" s="83" t="s">
        <v>195</v>
      </c>
      <c r="B2712" s="83"/>
      <c r="C2712" s="16">
        <v>46239</v>
      </c>
      <c r="D2712" s="82">
        <v>0</v>
      </c>
    </row>
    <row r="2713" spans="1:4" x14ac:dyDescent="0.3">
      <c r="A2713" s="83" t="s">
        <v>196</v>
      </c>
      <c r="B2713" s="83"/>
      <c r="C2713" s="16">
        <v>46239</v>
      </c>
      <c r="D2713" s="82">
        <v>0</v>
      </c>
    </row>
    <row r="2714" spans="1:4" x14ac:dyDescent="0.3">
      <c r="A2714" s="83" t="s">
        <v>197</v>
      </c>
      <c r="B2714" s="83"/>
      <c r="C2714" s="16">
        <v>46239</v>
      </c>
      <c r="D2714" s="82">
        <v>0</v>
      </c>
    </row>
    <row r="2715" spans="1:4" x14ac:dyDescent="0.3">
      <c r="A2715" s="83" t="s">
        <v>212</v>
      </c>
      <c r="B2715" s="83"/>
      <c r="C2715" s="16">
        <v>46239</v>
      </c>
      <c r="D2715" s="82">
        <v>0</v>
      </c>
    </row>
    <row r="2716" spans="1:4" x14ac:dyDescent="0.3">
      <c r="A2716" s="83" t="s">
        <v>199</v>
      </c>
      <c r="B2716" s="83"/>
      <c r="C2716" s="16">
        <v>46239</v>
      </c>
      <c r="D2716" s="82">
        <v>0</v>
      </c>
    </row>
    <row r="2717" spans="1:4" x14ac:dyDescent="0.3">
      <c r="A2717" s="83" t="s">
        <v>216</v>
      </c>
      <c r="B2717" s="83"/>
      <c r="C2717" s="16">
        <v>46239</v>
      </c>
      <c r="D2717" s="82">
        <v>0</v>
      </c>
    </row>
    <row r="2718" spans="1:4" x14ac:dyDescent="0.3">
      <c r="A2718" s="83" t="s">
        <v>17</v>
      </c>
      <c r="B2718" s="83"/>
      <c r="C2718" s="16">
        <v>46240</v>
      </c>
      <c r="D2718" s="82">
        <v>1153390.4100000001</v>
      </c>
    </row>
    <row r="2719" spans="1:4" x14ac:dyDescent="0.3">
      <c r="A2719" s="83" t="s">
        <v>18</v>
      </c>
      <c r="B2719" s="83"/>
      <c r="C2719" s="16">
        <v>46240</v>
      </c>
      <c r="D2719" s="82">
        <v>83211.250000000175</v>
      </c>
    </row>
    <row r="2720" spans="1:4" x14ac:dyDescent="0.3">
      <c r="A2720" s="83" t="s">
        <v>19</v>
      </c>
      <c r="B2720" s="83"/>
      <c r="C2720" s="16">
        <v>46240</v>
      </c>
      <c r="D2720" s="82">
        <v>1669.89</v>
      </c>
    </row>
    <row r="2721" spans="1:4" x14ac:dyDescent="0.3">
      <c r="A2721" s="83" t="s">
        <v>20</v>
      </c>
      <c r="B2721" s="83"/>
      <c r="C2721" s="16">
        <v>46240</v>
      </c>
      <c r="D2721" s="82">
        <v>1349451.94</v>
      </c>
    </row>
    <row r="2722" spans="1:4" x14ac:dyDescent="0.3">
      <c r="A2722" s="83" t="s">
        <v>21</v>
      </c>
      <c r="B2722" s="83"/>
      <c r="C2722" s="16">
        <v>46240</v>
      </c>
      <c r="D2722" s="82">
        <v>2102073.7899999996</v>
      </c>
    </row>
    <row r="2723" spans="1:4" x14ac:dyDescent="0.3">
      <c r="A2723" s="83" t="s">
        <v>22</v>
      </c>
      <c r="B2723" s="83"/>
      <c r="C2723" s="16">
        <v>46240</v>
      </c>
      <c r="D2723" s="82">
        <v>171496.38</v>
      </c>
    </row>
    <row r="2724" spans="1:4" x14ac:dyDescent="0.3">
      <c r="A2724" s="83" t="s">
        <v>23</v>
      </c>
      <c r="B2724" s="83"/>
      <c r="C2724" s="16">
        <v>46240</v>
      </c>
      <c r="D2724" s="82">
        <v>207582.47</v>
      </c>
    </row>
    <row r="2725" spans="1:4" x14ac:dyDescent="0.3">
      <c r="A2725" s="83" t="s">
        <v>24</v>
      </c>
      <c r="B2725" s="83"/>
      <c r="C2725" s="16">
        <v>46240</v>
      </c>
      <c r="D2725" s="82">
        <v>13270.02</v>
      </c>
    </row>
    <row r="2726" spans="1:4" x14ac:dyDescent="0.3">
      <c r="A2726" s="83" t="s">
        <v>25</v>
      </c>
      <c r="B2726" s="83"/>
      <c r="C2726" s="16">
        <v>46240</v>
      </c>
      <c r="D2726" s="82">
        <v>24.450000000000003</v>
      </c>
    </row>
    <row r="2727" spans="1:4" x14ac:dyDescent="0.3">
      <c r="A2727" s="83" t="s">
        <v>26</v>
      </c>
      <c r="B2727" s="83"/>
      <c r="C2727" s="16">
        <v>46240</v>
      </c>
      <c r="D2727" s="82">
        <v>2177.87</v>
      </c>
    </row>
    <row r="2728" spans="1:4" x14ac:dyDescent="0.3">
      <c r="A2728" s="83" t="s">
        <v>27</v>
      </c>
      <c r="B2728" s="83"/>
      <c r="C2728" s="16">
        <v>46240</v>
      </c>
      <c r="D2728" s="82">
        <v>1454589.72</v>
      </c>
    </row>
    <row r="2729" spans="1:4" x14ac:dyDescent="0.3">
      <c r="A2729" s="83" t="s">
        <v>28</v>
      </c>
      <c r="B2729" s="83"/>
      <c r="C2729" s="16">
        <v>46240</v>
      </c>
      <c r="D2729" s="82">
        <v>1968.99</v>
      </c>
    </row>
    <row r="2730" spans="1:4" x14ac:dyDescent="0.3">
      <c r="A2730" s="83" t="s">
        <v>29</v>
      </c>
      <c r="B2730" s="83"/>
      <c r="C2730" s="16">
        <v>46240</v>
      </c>
      <c r="D2730" s="82">
        <v>901.34</v>
      </c>
    </row>
    <row r="2731" spans="1:4" x14ac:dyDescent="0.3">
      <c r="A2731" s="83" t="s">
        <v>30</v>
      </c>
      <c r="B2731" s="83"/>
      <c r="C2731" s="16">
        <v>46240</v>
      </c>
      <c r="D2731" s="82">
        <v>1396.08</v>
      </c>
    </row>
    <row r="2732" spans="1:4" x14ac:dyDescent="0.3">
      <c r="A2732" s="83" t="s">
        <v>31</v>
      </c>
      <c r="B2732" s="83"/>
      <c r="C2732" s="16">
        <v>46240</v>
      </c>
      <c r="D2732" s="82">
        <v>13804.239999999962</v>
      </c>
    </row>
    <row r="2733" spans="1:4" x14ac:dyDescent="0.3">
      <c r="A2733" s="83" t="s">
        <v>32</v>
      </c>
      <c r="B2733" s="83"/>
      <c r="C2733" s="16">
        <v>46240</v>
      </c>
      <c r="D2733" s="82">
        <v>8724.1700000000037</v>
      </c>
    </row>
    <row r="2734" spans="1:4" x14ac:dyDescent="0.3">
      <c r="A2734" s="83" t="s">
        <v>33</v>
      </c>
      <c r="B2734" s="83"/>
      <c r="C2734" s="16">
        <v>46240</v>
      </c>
      <c r="D2734" s="82">
        <v>15106.099999999997</v>
      </c>
    </row>
    <row r="2735" spans="1:4" x14ac:dyDescent="0.3">
      <c r="A2735" s="83" t="s">
        <v>34</v>
      </c>
      <c r="B2735" s="83"/>
      <c r="C2735" s="16">
        <v>46240</v>
      </c>
      <c r="D2735" s="82">
        <v>345</v>
      </c>
    </row>
    <row r="2736" spans="1:4" x14ac:dyDescent="0.3">
      <c r="A2736" s="83" t="s">
        <v>35</v>
      </c>
      <c r="B2736" s="83"/>
      <c r="C2736" s="16">
        <v>46240</v>
      </c>
      <c r="D2736" s="82">
        <v>12470.040000000003</v>
      </c>
    </row>
    <row r="2737" spans="1:4" x14ac:dyDescent="0.3">
      <c r="A2737" s="83" t="s">
        <v>193</v>
      </c>
      <c r="B2737" s="83"/>
      <c r="C2737" s="16">
        <v>46240</v>
      </c>
      <c r="D2737" s="82">
        <v>0</v>
      </c>
    </row>
    <row r="2738" spans="1:4" x14ac:dyDescent="0.3">
      <c r="A2738" s="83" t="s">
        <v>214</v>
      </c>
      <c r="B2738" s="83"/>
      <c r="C2738" s="16">
        <v>46240</v>
      </c>
      <c r="D2738" s="82">
        <v>0</v>
      </c>
    </row>
    <row r="2739" spans="1:4" x14ac:dyDescent="0.3">
      <c r="A2739" s="83" t="s">
        <v>194</v>
      </c>
      <c r="B2739" s="83"/>
      <c r="C2739" s="16">
        <v>46240</v>
      </c>
      <c r="D2739" s="82">
        <v>0</v>
      </c>
    </row>
    <row r="2740" spans="1:4" x14ac:dyDescent="0.3">
      <c r="A2740" s="83" t="s">
        <v>195</v>
      </c>
      <c r="B2740" s="83"/>
      <c r="C2740" s="16">
        <v>46240</v>
      </c>
      <c r="D2740" s="82">
        <v>0</v>
      </c>
    </row>
    <row r="2741" spans="1:4" x14ac:dyDescent="0.3">
      <c r="A2741" s="83" t="s">
        <v>196</v>
      </c>
      <c r="B2741" s="83"/>
      <c r="C2741" s="16">
        <v>46240</v>
      </c>
      <c r="D2741" s="82">
        <v>0</v>
      </c>
    </row>
    <row r="2742" spans="1:4" x14ac:dyDescent="0.3">
      <c r="A2742" s="83" t="s">
        <v>197</v>
      </c>
      <c r="B2742" s="83"/>
      <c r="C2742" s="16">
        <v>46240</v>
      </c>
      <c r="D2742" s="82">
        <v>0</v>
      </c>
    </row>
    <row r="2743" spans="1:4" x14ac:dyDescent="0.3">
      <c r="A2743" s="83" t="s">
        <v>212</v>
      </c>
      <c r="B2743" s="83"/>
      <c r="C2743" s="16">
        <v>46240</v>
      </c>
      <c r="D2743" s="82">
        <v>0</v>
      </c>
    </row>
    <row r="2744" spans="1:4" x14ac:dyDescent="0.3">
      <c r="A2744" s="83" t="s">
        <v>199</v>
      </c>
      <c r="B2744" s="83"/>
      <c r="C2744" s="16">
        <v>46240</v>
      </c>
      <c r="D2744" s="82">
        <v>0</v>
      </c>
    </row>
    <row r="2745" spans="1:4" x14ac:dyDescent="0.3">
      <c r="A2745" s="83" t="s">
        <v>216</v>
      </c>
      <c r="B2745" s="83"/>
      <c r="C2745" s="16">
        <v>46240</v>
      </c>
      <c r="D2745" s="82">
        <v>0</v>
      </c>
    </row>
    <row r="2746" spans="1:4" x14ac:dyDescent="0.3">
      <c r="A2746" s="83" t="s">
        <v>17</v>
      </c>
      <c r="B2746" s="83"/>
      <c r="C2746" s="16">
        <v>46241</v>
      </c>
      <c r="D2746" s="82">
        <v>1153390.4100000001</v>
      </c>
    </row>
    <row r="2747" spans="1:4" x14ac:dyDescent="0.3">
      <c r="A2747" s="83" t="s">
        <v>18</v>
      </c>
      <c r="B2747" s="83"/>
      <c r="C2747" s="16">
        <v>46241</v>
      </c>
      <c r="D2747" s="82">
        <v>83211.250000000175</v>
      </c>
    </row>
    <row r="2748" spans="1:4" x14ac:dyDescent="0.3">
      <c r="A2748" s="83" t="s">
        <v>19</v>
      </c>
      <c r="B2748" s="83"/>
      <c r="C2748" s="16">
        <v>46241</v>
      </c>
      <c r="D2748" s="82">
        <v>1669.89</v>
      </c>
    </row>
    <row r="2749" spans="1:4" x14ac:dyDescent="0.3">
      <c r="A2749" s="83" t="s">
        <v>20</v>
      </c>
      <c r="B2749" s="83"/>
      <c r="C2749" s="16">
        <v>46241</v>
      </c>
      <c r="D2749" s="82">
        <v>1349451.94</v>
      </c>
    </row>
    <row r="2750" spans="1:4" x14ac:dyDescent="0.3">
      <c r="A2750" s="83" t="s">
        <v>21</v>
      </c>
      <c r="B2750" s="83"/>
      <c r="C2750" s="16">
        <v>46241</v>
      </c>
      <c r="D2750" s="82">
        <v>2102073.7899999996</v>
      </c>
    </row>
    <row r="2751" spans="1:4" x14ac:dyDescent="0.3">
      <c r="A2751" s="83" t="s">
        <v>22</v>
      </c>
      <c r="B2751" s="83"/>
      <c r="C2751" s="16">
        <v>46241</v>
      </c>
      <c r="D2751" s="82">
        <v>171496.38</v>
      </c>
    </row>
    <row r="2752" spans="1:4" x14ac:dyDescent="0.3">
      <c r="A2752" s="83" t="s">
        <v>23</v>
      </c>
      <c r="B2752" s="83"/>
      <c r="C2752" s="16">
        <v>46241</v>
      </c>
      <c r="D2752" s="82">
        <v>207582.47</v>
      </c>
    </row>
    <row r="2753" spans="1:4" x14ac:dyDescent="0.3">
      <c r="A2753" s="83" t="s">
        <v>24</v>
      </c>
      <c r="B2753" s="83"/>
      <c r="C2753" s="16">
        <v>46241</v>
      </c>
      <c r="D2753" s="82">
        <v>13270.02</v>
      </c>
    </row>
    <row r="2754" spans="1:4" x14ac:dyDescent="0.3">
      <c r="A2754" s="83" t="s">
        <v>25</v>
      </c>
      <c r="B2754" s="83"/>
      <c r="C2754" s="16">
        <v>46241</v>
      </c>
      <c r="D2754" s="82">
        <v>24.450000000000003</v>
      </c>
    </row>
    <row r="2755" spans="1:4" x14ac:dyDescent="0.3">
      <c r="A2755" s="83" t="s">
        <v>26</v>
      </c>
      <c r="B2755" s="83"/>
      <c r="C2755" s="16">
        <v>46241</v>
      </c>
      <c r="D2755" s="82">
        <v>2177.87</v>
      </c>
    </row>
    <row r="2756" spans="1:4" x14ac:dyDescent="0.3">
      <c r="A2756" s="83" t="s">
        <v>27</v>
      </c>
      <c r="B2756" s="83"/>
      <c r="C2756" s="16">
        <v>46241</v>
      </c>
      <c r="D2756" s="82">
        <v>1454589.72</v>
      </c>
    </row>
    <row r="2757" spans="1:4" x14ac:dyDescent="0.3">
      <c r="A2757" s="83" t="s">
        <v>28</v>
      </c>
      <c r="B2757" s="83"/>
      <c r="C2757" s="16">
        <v>46241</v>
      </c>
      <c r="D2757" s="82">
        <v>1968.99</v>
      </c>
    </row>
    <row r="2758" spans="1:4" x14ac:dyDescent="0.3">
      <c r="A2758" s="83" t="s">
        <v>29</v>
      </c>
      <c r="B2758" s="83"/>
      <c r="C2758" s="16">
        <v>46241</v>
      </c>
      <c r="D2758" s="82">
        <v>901.34</v>
      </c>
    </row>
    <row r="2759" spans="1:4" x14ac:dyDescent="0.3">
      <c r="A2759" s="83" t="s">
        <v>30</v>
      </c>
      <c r="B2759" s="83"/>
      <c r="C2759" s="16">
        <v>46241</v>
      </c>
      <c r="D2759" s="82">
        <v>1396.08</v>
      </c>
    </row>
    <row r="2760" spans="1:4" x14ac:dyDescent="0.3">
      <c r="A2760" s="83" t="s">
        <v>31</v>
      </c>
      <c r="B2760" s="83"/>
      <c r="C2760" s="16">
        <v>46241</v>
      </c>
      <c r="D2760" s="82">
        <v>11259.639999999961</v>
      </c>
    </row>
    <row r="2761" spans="1:4" x14ac:dyDescent="0.3">
      <c r="A2761" s="83" t="s">
        <v>32</v>
      </c>
      <c r="B2761" s="83"/>
      <c r="C2761" s="16">
        <v>46241</v>
      </c>
      <c r="D2761" s="82">
        <v>8724.1700000000037</v>
      </c>
    </row>
    <row r="2762" spans="1:4" x14ac:dyDescent="0.3">
      <c r="A2762" s="83" t="s">
        <v>33</v>
      </c>
      <c r="B2762" s="83"/>
      <c r="C2762" s="16">
        <v>46241</v>
      </c>
      <c r="D2762" s="82">
        <v>20106.099999999999</v>
      </c>
    </row>
    <row r="2763" spans="1:4" x14ac:dyDescent="0.3">
      <c r="A2763" s="83" t="s">
        <v>34</v>
      </c>
      <c r="B2763" s="83"/>
      <c r="C2763" s="16">
        <v>46241</v>
      </c>
      <c r="D2763" s="82">
        <v>345</v>
      </c>
    </row>
    <row r="2764" spans="1:4" x14ac:dyDescent="0.3">
      <c r="A2764" s="83" t="s">
        <v>35</v>
      </c>
      <c r="B2764" s="83"/>
      <c r="C2764" s="16">
        <v>46241</v>
      </c>
      <c r="D2764" s="82">
        <v>12470.040000000003</v>
      </c>
    </row>
    <row r="2765" spans="1:4" x14ac:dyDescent="0.3">
      <c r="A2765" s="83" t="s">
        <v>193</v>
      </c>
      <c r="B2765" s="83"/>
      <c r="C2765" s="16">
        <v>46241</v>
      </c>
      <c r="D2765" s="82">
        <v>0</v>
      </c>
    </row>
    <row r="2766" spans="1:4" x14ac:dyDescent="0.3">
      <c r="A2766" s="83" t="s">
        <v>214</v>
      </c>
      <c r="B2766" s="83"/>
      <c r="C2766" s="16">
        <v>46241</v>
      </c>
      <c r="D2766" s="82">
        <v>0</v>
      </c>
    </row>
    <row r="2767" spans="1:4" x14ac:dyDescent="0.3">
      <c r="A2767" s="83" t="s">
        <v>194</v>
      </c>
      <c r="B2767" s="83"/>
      <c r="C2767" s="16">
        <v>46241</v>
      </c>
      <c r="D2767" s="82">
        <v>0</v>
      </c>
    </row>
    <row r="2768" spans="1:4" x14ac:dyDescent="0.3">
      <c r="A2768" s="83" t="s">
        <v>195</v>
      </c>
      <c r="B2768" s="83"/>
      <c r="C2768" s="16">
        <v>46241</v>
      </c>
      <c r="D2768" s="82">
        <v>0</v>
      </c>
    </row>
    <row r="2769" spans="1:4" x14ac:dyDescent="0.3">
      <c r="A2769" s="83" t="s">
        <v>196</v>
      </c>
      <c r="B2769" s="83"/>
      <c r="C2769" s="16">
        <v>46241</v>
      </c>
      <c r="D2769" s="82">
        <v>0</v>
      </c>
    </row>
    <row r="2770" spans="1:4" x14ac:dyDescent="0.3">
      <c r="A2770" s="83" t="s">
        <v>197</v>
      </c>
      <c r="B2770" s="83"/>
      <c r="C2770" s="16">
        <v>46241</v>
      </c>
      <c r="D2770" s="82">
        <v>0</v>
      </c>
    </row>
    <row r="2771" spans="1:4" x14ac:dyDescent="0.3">
      <c r="A2771" s="83" t="s">
        <v>212</v>
      </c>
      <c r="B2771" s="83"/>
      <c r="C2771" s="16">
        <v>46241</v>
      </c>
      <c r="D2771" s="82">
        <v>0</v>
      </c>
    </row>
    <row r="2772" spans="1:4" x14ac:dyDescent="0.3">
      <c r="A2772" s="83" t="s">
        <v>199</v>
      </c>
      <c r="B2772" s="83"/>
      <c r="C2772" s="16">
        <v>46241</v>
      </c>
      <c r="D2772" s="82">
        <v>0</v>
      </c>
    </row>
    <row r="2773" spans="1:4" x14ac:dyDescent="0.3">
      <c r="A2773" s="83" t="s">
        <v>216</v>
      </c>
      <c r="B2773" s="83"/>
      <c r="C2773" s="16">
        <v>46241</v>
      </c>
      <c r="D2773" s="82">
        <v>0</v>
      </c>
    </row>
    <row r="2774" spans="1:4" x14ac:dyDescent="0.3">
      <c r="A2774" s="83" t="s">
        <v>17</v>
      </c>
      <c r="B2774" s="83"/>
      <c r="C2774" s="16">
        <v>46242</v>
      </c>
      <c r="D2774" s="82">
        <v>1153390.4100000001</v>
      </c>
    </row>
    <row r="2775" spans="1:4" x14ac:dyDescent="0.3">
      <c r="A2775" s="83" t="s">
        <v>18</v>
      </c>
      <c r="B2775" s="83"/>
      <c r="C2775" s="16">
        <v>46242</v>
      </c>
      <c r="D2775" s="82">
        <v>83211.250000000175</v>
      </c>
    </row>
    <row r="2776" spans="1:4" x14ac:dyDescent="0.3">
      <c r="A2776" s="83" t="s">
        <v>19</v>
      </c>
      <c r="B2776" s="83"/>
      <c r="C2776" s="16">
        <v>46242</v>
      </c>
      <c r="D2776" s="82">
        <v>1669.89</v>
      </c>
    </row>
    <row r="2777" spans="1:4" x14ac:dyDescent="0.3">
      <c r="A2777" s="83" t="s">
        <v>20</v>
      </c>
      <c r="B2777" s="83"/>
      <c r="C2777" s="16">
        <v>46242</v>
      </c>
      <c r="D2777" s="82">
        <v>1349451.94</v>
      </c>
    </row>
    <row r="2778" spans="1:4" x14ac:dyDescent="0.3">
      <c r="A2778" s="83" t="s">
        <v>21</v>
      </c>
      <c r="B2778" s="83"/>
      <c r="C2778" s="16">
        <v>46242</v>
      </c>
      <c r="D2778" s="82">
        <v>2102073.7899999996</v>
      </c>
    </row>
    <row r="2779" spans="1:4" x14ac:dyDescent="0.3">
      <c r="A2779" s="83" t="s">
        <v>22</v>
      </c>
      <c r="B2779" s="83"/>
      <c r="C2779" s="16">
        <v>46242</v>
      </c>
      <c r="D2779" s="82">
        <v>171496.38</v>
      </c>
    </row>
    <row r="2780" spans="1:4" x14ac:dyDescent="0.3">
      <c r="A2780" s="83" t="s">
        <v>23</v>
      </c>
      <c r="B2780" s="83"/>
      <c r="C2780" s="16">
        <v>46242</v>
      </c>
      <c r="D2780" s="82">
        <v>207582.47</v>
      </c>
    </row>
    <row r="2781" spans="1:4" x14ac:dyDescent="0.3">
      <c r="A2781" s="83" t="s">
        <v>24</v>
      </c>
      <c r="B2781" s="83"/>
      <c r="C2781" s="16">
        <v>46242</v>
      </c>
      <c r="D2781" s="82">
        <v>13270.02</v>
      </c>
    </row>
    <row r="2782" spans="1:4" x14ac:dyDescent="0.3">
      <c r="A2782" s="83" t="s">
        <v>25</v>
      </c>
      <c r="B2782" s="83"/>
      <c r="C2782" s="16">
        <v>46242</v>
      </c>
      <c r="D2782" s="82">
        <v>24.450000000000003</v>
      </c>
    </row>
    <row r="2783" spans="1:4" x14ac:dyDescent="0.3">
      <c r="A2783" s="83" t="s">
        <v>26</v>
      </c>
      <c r="B2783" s="83"/>
      <c r="C2783" s="16">
        <v>46242</v>
      </c>
      <c r="D2783" s="82">
        <v>2177.87</v>
      </c>
    </row>
    <row r="2784" spans="1:4" x14ac:dyDescent="0.3">
      <c r="A2784" s="83" t="s">
        <v>27</v>
      </c>
      <c r="B2784" s="83"/>
      <c r="C2784" s="16">
        <v>46242</v>
      </c>
      <c r="D2784" s="82">
        <v>1454589.72</v>
      </c>
    </row>
    <row r="2785" spans="1:4" x14ac:dyDescent="0.3">
      <c r="A2785" s="83" t="s">
        <v>28</v>
      </c>
      <c r="B2785" s="83"/>
      <c r="C2785" s="16">
        <v>46242</v>
      </c>
      <c r="D2785" s="82">
        <v>1968.99</v>
      </c>
    </row>
    <row r="2786" spans="1:4" x14ac:dyDescent="0.3">
      <c r="A2786" s="83" t="s">
        <v>29</v>
      </c>
      <c r="B2786" s="83"/>
      <c r="C2786" s="16">
        <v>46242</v>
      </c>
      <c r="D2786" s="82">
        <v>901.34</v>
      </c>
    </row>
    <row r="2787" spans="1:4" x14ac:dyDescent="0.3">
      <c r="A2787" s="83" t="s">
        <v>30</v>
      </c>
      <c r="B2787" s="83"/>
      <c r="C2787" s="16">
        <v>46242</v>
      </c>
      <c r="D2787" s="82">
        <v>1396.08</v>
      </c>
    </row>
    <row r="2788" spans="1:4" x14ac:dyDescent="0.3">
      <c r="A2788" s="83" t="s">
        <v>31</v>
      </c>
      <c r="B2788" s="83"/>
      <c r="C2788" s="16">
        <v>46242</v>
      </c>
      <c r="D2788" s="82">
        <v>11259.639999999961</v>
      </c>
    </row>
    <row r="2789" spans="1:4" x14ac:dyDescent="0.3">
      <c r="A2789" s="83" t="s">
        <v>32</v>
      </c>
      <c r="B2789" s="83"/>
      <c r="C2789" s="16">
        <v>46242</v>
      </c>
      <c r="D2789" s="82">
        <v>8724.1700000000037</v>
      </c>
    </row>
    <row r="2790" spans="1:4" x14ac:dyDescent="0.3">
      <c r="A2790" s="83" t="s">
        <v>33</v>
      </c>
      <c r="B2790" s="83"/>
      <c r="C2790" s="16">
        <v>46242</v>
      </c>
      <c r="D2790" s="82">
        <v>20106.099999999999</v>
      </c>
    </row>
    <row r="2791" spans="1:4" x14ac:dyDescent="0.3">
      <c r="A2791" s="83" t="s">
        <v>34</v>
      </c>
      <c r="B2791" s="83"/>
      <c r="C2791" s="16">
        <v>46242</v>
      </c>
      <c r="D2791" s="82">
        <v>345</v>
      </c>
    </row>
    <row r="2792" spans="1:4" x14ac:dyDescent="0.3">
      <c r="A2792" s="83" t="s">
        <v>35</v>
      </c>
      <c r="B2792" s="83"/>
      <c r="C2792" s="16">
        <v>46242</v>
      </c>
      <c r="D2792" s="82">
        <v>12470.040000000003</v>
      </c>
    </row>
    <row r="2793" spans="1:4" x14ac:dyDescent="0.3">
      <c r="A2793" s="83" t="s">
        <v>193</v>
      </c>
      <c r="B2793" s="83"/>
      <c r="C2793" s="16">
        <v>46242</v>
      </c>
      <c r="D2793" s="82">
        <v>0</v>
      </c>
    </row>
    <row r="2794" spans="1:4" x14ac:dyDescent="0.3">
      <c r="A2794" s="83" t="s">
        <v>214</v>
      </c>
      <c r="B2794" s="83"/>
      <c r="C2794" s="16">
        <v>46242</v>
      </c>
      <c r="D2794" s="82">
        <v>0</v>
      </c>
    </row>
    <row r="2795" spans="1:4" x14ac:dyDescent="0.3">
      <c r="A2795" s="83" t="s">
        <v>194</v>
      </c>
      <c r="B2795" s="83"/>
      <c r="C2795" s="16">
        <v>46242</v>
      </c>
      <c r="D2795" s="82">
        <v>0</v>
      </c>
    </row>
    <row r="2796" spans="1:4" x14ac:dyDescent="0.3">
      <c r="A2796" s="83" t="s">
        <v>195</v>
      </c>
      <c r="B2796" s="83"/>
      <c r="C2796" s="16">
        <v>46242</v>
      </c>
      <c r="D2796" s="82">
        <v>0</v>
      </c>
    </row>
    <row r="2797" spans="1:4" x14ac:dyDescent="0.3">
      <c r="A2797" s="83" t="s">
        <v>196</v>
      </c>
      <c r="B2797" s="83"/>
      <c r="C2797" s="16">
        <v>46242</v>
      </c>
      <c r="D2797" s="82">
        <v>0</v>
      </c>
    </row>
    <row r="2798" spans="1:4" x14ac:dyDescent="0.3">
      <c r="A2798" s="83" t="s">
        <v>197</v>
      </c>
      <c r="B2798" s="83"/>
      <c r="C2798" s="16">
        <v>46242</v>
      </c>
      <c r="D2798" s="82">
        <v>0</v>
      </c>
    </row>
    <row r="2799" spans="1:4" x14ac:dyDescent="0.3">
      <c r="A2799" s="83" t="s">
        <v>212</v>
      </c>
      <c r="B2799" s="83"/>
      <c r="C2799" s="16">
        <v>46242</v>
      </c>
      <c r="D2799" s="82">
        <v>0</v>
      </c>
    </row>
    <row r="2800" spans="1:4" x14ac:dyDescent="0.3">
      <c r="A2800" s="83" t="s">
        <v>199</v>
      </c>
      <c r="B2800" s="83"/>
      <c r="C2800" s="16">
        <v>46242</v>
      </c>
      <c r="D2800" s="82">
        <v>0</v>
      </c>
    </row>
    <row r="2801" spans="1:4" x14ac:dyDescent="0.3">
      <c r="A2801" s="83" t="s">
        <v>216</v>
      </c>
      <c r="B2801" s="83"/>
      <c r="C2801" s="16">
        <v>46242</v>
      </c>
      <c r="D2801" s="82">
        <v>0</v>
      </c>
    </row>
    <row r="2802" spans="1:4" x14ac:dyDescent="0.3">
      <c r="A2802" s="83" t="s">
        <v>17</v>
      </c>
      <c r="B2802" s="83"/>
      <c r="C2802" s="16">
        <v>46243</v>
      </c>
      <c r="D2802" s="82">
        <v>1153390.4100000001</v>
      </c>
    </row>
    <row r="2803" spans="1:4" x14ac:dyDescent="0.3">
      <c r="A2803" s="83" t="s">
        <v>18</v>
      </c>
      <c r="B2803" s="83"/>
      <c r="C2803" s="16">
        <v>46243</v>
      </c>
      <c r="D2803" s="82">
        <v>83211.250000000175</v>
      </c>
    </row>
    <row r="2804" spans="1:4" x14ac:dyDescent="0.3">
      <c r="A2804" s="83" t="s">
        <v>19</v>
      </c>
      <c r="B2804" s="83"/>
      <c r="C2804" s="16">
        <v>46243</v>
      </c>
      <c r="D2804" s="82">
        <v>1669.89</v>
      </c>
    </row>
    <row r="2805" spans="1:4" x14ac:dyDescent="0.3">
      <c r="A2805" s="83" t="s">
        <v>20</v>
      </c>
      <c r="B2805" s="83"/>
      <c r="C2805" s="16">
        <v>46243</v>
      </c>
      <c r="D2805" s="82">
        <v>1349451.94</v>
      </c>
    </row>
    <row r="2806" spans="1:4" x14ac:dyDescent="0.3">
      <c r="A2806" s="83" t="s">
        <v>21</v>
      </c>
      <c r="B2806" s="83"/>
      <c r="C2806" s="16">
        <v>46243</v>
      </c>
      <c r="D2806" s="82">
        <v>2102073.7899999996</v>
      </c>
    </row>
    <row r="2807" spans="1:4" x14ac:dyDescent="0.3">
      <c r="A2807" s="83" t="s">
        <v>22</v>
      </c>
      <c r="B2807" s="83"/>
      <c r="C2807" s="16">
        <v>46243</v>
      </c>
      <c r="D2807" s="82">
        <v>171496.38</v>
      </c>
    </row>
    <row r="2808" spans="1:4" x14ac:dyDescent="0.3">
      <c r="A2808" s="83" t="s">
        <v>23</v>
      </c>
      <c r="B2808" s="83"/>
      <c r="C2808" s="16">
        <v>46243</v>
      </c>
      <c r="D2808" s="82">
        <v>207582.47</v>
      </c>
    </row>
    <row r="2809" spans="1:4" x14ac:dyDescent="0.3">
      <c r="A2809" s="83" t="s">
        <v>24</v>
      </c>
      <c r="B2809" s="83"/>
      <c r="C2809" s="16">
        <v>46243</v>
      </c>
      <c r="D2809" s="82">
        <v>13270.02</v>
      </c>
    </row>
    <row r="2810" spans="1:4" x14ac:dyDescent="0.3">
      <c r="A2810" s="83" t="s">
        <v>25</v>
      </c>
      <c r="B2810" s="83"/>
      <c r="C2810" s="16">
        <v>46243</v>
      </c>
      <c r="D2810" s="82">
        <v>24.450000000000003</v>
      </c>
    </row>
    <row r="2811" spans="1:4" x14ac:dyDescent="0.3">
      <c r="A2811" s="83" t="s">
        <v>26</v>
      </c>
      <c r="B2811" s="83"/>
      <c r="C2811" s="16">
        <v>46243</v>
      </c>
      <c r="D2811" s="82">
        <v>2177.87</v>
      </c>
    </row>
    <row r="2812" spans="1:4" x14ac:dyDescent="0.3">
      <c r="A2812" s="83" t="s">
        <v>27</v>
      </c>
      <c r="B2812" s="83"/>
      <c r="C2812" s="16">
        <v>46243</v>
      </c>
      <c r="D2812" s="82">
        <v>1454589.72</v>
      </c>
    </row>
    <row r="2813" spans="1:4" x14ac:dyDescent="0.3">
      <c r="A2813" s="83" t="s">
        <v>28</v>
      </c>
      <c r="B2813" s="83"/>
      <c r="C2813" s="16">
        <v>46243</v>
      </c>
      <c r="D2813" s="82">
        <v>1968.99</v>
      </c>
    </row>
    <row r="2814" spans="1:4" x14ac:dyDescent="0.3">
      <c r="A2814" s="83" t="s">
        <v>29</v>
      </c>
      <c r="B2814" s="83"/>
      <c r="C2814" s="16">
        <v>46243</v>
      </c>
      <c r="D2814" s="82">
        <v>901.34</v>
      </c>
    </row>
    <row r="2815" spans="1:4" x14ac:dyDescent="0.3">
      <c r="A2815" s="83" t="s">
        <v>30</v>
      </c>
      <c r="B2815" s="83"/>
      <c r="C2815" s="16">
        <v>46243</v>
      </c>
      <c r="D2815" s="82">
        <v>1396.08</v>
      </c>
    </row>
    <row r="2816" spans="1:4" x14ac:dyDescent="0.3">
      <c r="A2816" s="83" t="s">
        <v>31</v>
      </c>
      <c r="B2816" s="83"/>
      <c r="C2816" s="16">
        <v>46243</v>
      </c>
      <c r="D2816" s="82">
        <v>11259.639999999961</v>
      </c>
    </row>
    <row r="2817" spans="1:4" x14ac:dyDescent="0.3">
      <c r="A2817" s="83" t="s">
        <v>32</v>
      </c>
      <c r="B2817" s="83"/>
      <c r="C2817" s="16">
        <v>46243</v>
      </c>
      <c r="D2817" s="82">
        <v>8724.1700000000037</v>
      </c>
    </row>
    <row r="2818" spans="1:4" x14ac:dyDescent="0.3">
      <c r="A2818" s="83" t="s">
        <v>33</v>
      </c>
      <c r="B2818" s="83"/>
      <c r="C2818" s="16">
        <v>46243</v>
      </c>
      <c r="D2818" s="82">
        <v>20106.099999999999</v>
      </c>
    </row>
    <row r="2819" spans="1:4" x14ac:dyDescent="0.3">
      <c r="A2819" s="83" t="s">
        <v>34</v>
      </c>
      <c r="B2819" s="83"/>
      <c r="C2819" s="16">
        <v>46243</v>
      </c>
      <c r="D2819" s="82">
        <v>345</v>
      </c>
    </row>
    <row r="2820" spans="1:4" x14ac:dyDescent="0.3">
      <c r="A2820" s="83" t="s">
        <v>35</v>
      </c>
      <c r="B2820" s="83"/>
      <c r="C2820" s="16">
        <v>46243</v>
      </c>
      <c r="D2820" s="82">
        <v>12470.040000000003</v>
      </c>
    </row>
    <row r="2821" spans="1:4" x14ac:dyDescent="0.3">
      <c r="A2821" s="83" t="s">
        <v>193</v>
      </c>
      <c r="B2821" s="83"/>
      <c r="C2821" s="16">
        <v>46243</v>
      </c>
      <c r="D2821" s="82">
        <v>0</v>
      </c>
    </row>
    <row r="2822" spans="1:4" x14ac:dyDescent="0.3">
      <c r="A2822" s="83" t="s">
        <v>214</v>
      </c>
      <c r="B2822" s="83"/>
      <c r="C2822" s="16">
        <v>46243</v>
      </c>
      <c r="D2822" s="82">
        <v>0</v>
      </c>
    </row>
    <row r="2823" spans="1:4" x14ac:dyDescent="0.3">
      <c r="A2823" s="83" t="s">
        <v>194</v>
      </c>
      <c r="B2823" s="83"/>
      <c r="C2823" s="16">
        <v>46243</v>
      </c>
      <c r="D2823" s="82">
        <v>0</v>
      </c>
    </row>
    <row r="2824" spans="1:4" x14ac:dyDescent="0.3">
      <c r="A2824" s="83" t="s">
        <v>195</v>
      </c>
      <c r="B2824" s="83"/>
      <c r="C2824" s="16">
        <v>46243</v>
      </c>
      <c r="D2824" s="82">
        <v>0</v>
      </c>
    </row>
    <row r="2825" spans="1:4" x14ac:dyDescent="0.3">
      <c r="A2825" s="83" t="s">
        <v>196</v>
      </c>
      <c r="B2825" s="83"/>
      <c r="C2825" s="16">
        <v>46243</v>
      </c>
      <c r="D2825" s="82">
        <v>0</v>
      </c>
    </row>
    <row r="2826" spans="1:4" x14ac:dyDescent="0.3">
      <c r="A2826" s="83" t="s">
        <v>197</v>
      </c>
      <c r="B2826" s="83"/>
      <c r="C2826" s="16">
        <v>46243</v>
      </c>
      <c r="D2826" s="82">
        <v>0</v>
      </c>
    </row>
    <row r="2827" spans="1:4" x14ac:dyDescent="0.3">
      <c r="A2827" s="83" t="s">
        <v>212</v>
      </c>
      <c r="B2827" s="83"/>
      <c r="C2827" s="16">
        <v>46243</v>
      </c>
      <c r="D2827" s="82">
        <v>0</v>
      </c>
    </row>
    <row r="2828" spans="1:4" x14ac:dyDescent="0.3">
      <c r="A2828" s="83" t="s">
        <v>199</v>
      </c>
      <c r="B2828" s="83"/>
      <c r="C2828" s="16">
        <v>46243</v>
      </c>
      <c r="D2828" s="82">
        <v>0</v>
      </c>
    </row>
    <row r="2829" spans="1:4" x14ac:dyDescent="0.3">
      <c r="A2829" s="83" t="s">
        <v>216</v>
      </c>
      <c r="B2829" s="83"/>
      <c r="C2829" s="16">
        <v>46243</v>
      </c>
      <c r="D2829" s="82">
        <v>0</v>
      </c>
    </row>
    <row r="2830" spans="1:4" x14ac:dyDescent="0.3">
      <c r="A2830" s="83" t="s">
        <v>17</v>
      </c>
      <c r="B2830" s="83"/>
      <c r="C2830" s="16">
        <v>46244</v>
      </c>
      <c r="D2830" s="82">
        <v>1260076.9800000002</v>
      </c>
    </row>
    <row r="2831" spans="1:4" x14ac:dyDescent="0.3">
      <c r="A2831" s="83" t="s">
        <v>18</v>
      </c>
      <c r="B2831" s="83"/>
      <c r="C2831" s="16">
        <v>46244</v>
      </c>
      <c r="D2831" s="82">
        <v>83211.250000000175</v>
      </c>
    </row>
    <row r="2832" spans="1:4" x14ac:dyDescent="0.3">
      <c r="A2832" s="83" t="s">
        <v>19</v>
      </c>
      <c r="B2832" s="83"/>
      <c r="C2832" s="16">
        <v>46244</v>
      </c>
      <c r="D2832" s="82">
        <v>1669.89</v>
      </c>
    </row>
    <row r="2833" spans="1:4" x14ac:dyDescent="0.3">
      <c r="A2833" s="83" t="s">
        <v>20</v>
      </c>
      <c r="B2833" s="83"/>
      <c r="C2833" s="16">
        <v>46244</v>
      </c>
      <c r="D2833" s="82">
        <v>1349451.94</v>
      </c>
    </row>
    <row r="2834" spans="1:4" x14ac:dyDescent="0.3">
      <c r="A2834" s="83" t="s">
        <v>21</v>
      </c>
      <c r="B2834" s="83"/>
      <c r="C2834" s="16">
        <v>46244</v>
      </c>
      <c r="D2834" s="82">
        <v>2098801.8999999994</v>
      </c>
    </row>
    <row r="2835" spans="1:4" x14ac:dyDescent="0.3">
      <c r="A2835" s="83" t="s">
        <v>22</v>
      </c>
      <c r="B2835" s="83"/>
      <c r="C2835" s="16">
        <v>46244</v>
      </c>
      <c r="D2835" s="82">
        <v>171496.38</v>
      </c>
    </row>
    <row r="2836" spans="1:4" x14ac:dyDescent="0.3">
      <c r="A2836" s="83" t="s">
        <v>23</v>
      </c>
      <c r="B2836" s="83"/>
      <c r="C2836" s="16">
        <v>46244</v>
      </c>
      <c r="D2836" s="82">
        <v>207582.47</v>
      </c>
    </row>
    <row r="2837" spans="1:4" x14ac:dyDescent="0.3">
      <c r="A2837" s="83" t="s">
        <v>24</v>
      </c>
      <c r="B2837" s="83"/>
      <c r="C2837" s="16">
        <v>46244</v>
      </c>
      <c r="D2837" s="82">
        <v>13270.02</v>
      </c>
    </row>
    <row r="2838" spans="1:4" x14ac:dyDescent="0.3">
      <c r="A2838" s="83" t="s">
        <v>25</v>
      </c>
      <c r="B2838" s="83"/>
      <c r="C2838" s="16">
        <v>46244</v>
      </c>
      <c r="D2838" s="82">
        <v>24.450000000000003</v>
      </c>
    </row>
    <row r="2839" spans="1:4" x14ac:dyDescent="0.3">
      <c r="A2839" s="83" t="s">
        <v>26</v>
      </c>
      <c r="B2839" s="83"/>
      <c r="C2839" s="16">
        <v>46244</v>
      </c>
      <c r="D2839" s="82">
        <v>2177.87</v>
      </c>
    </row>
    <row r="2840" spans="1:4" x14ac:dyDescent="0.3">
      <c r="A2840" s="83" t="s">
        <v>27</v>
      </c>
      <c r="B2840" s="83"/>
      <c r="C2840" s="16">
        <v>46244</v>
      </c>
      <c r="D2840" s="82">
        <v>1454589.72</v>
      </c>
    </row>
    <row r="2841" spans="1:4" x14ac:dyDescent="0.3">
      <c r="A2841" s="83" t="s">
        <v>28</v>
      </c>
      <c r="B2841" s="83"/>
      <c r="C2841" s="16">
        <v>46244</v>
      </c>
      <c r="D2841" s="82">
        <v>1968.99</v>
      </c>
    </row>
    <row r="2842" spans="1:4" x14ac:dyDescent="0.3">
      <c r="A2842" s="83" t="s">
        <v>29</v>
      </c>
      <c r="B2842" s="83"/>
      <c r="C2842" s="16">
        <v>46244</v>
      </c>
      <c r="D2842" s="82">
        <v>901.34</v>
      </c>
    </row>
    <row r="2843" spans="1:4" x14ac:dyDescent="0.3">
      <c r="A2843" s="83" t="s">
        <v>30</v>
      </c>
      <c r="B2843" s="83"/>
      <c r="C2843" s="16">
        <v>46244</v>
      </c>
      <c r="D2843" s="82">
        <v>1396.08</v>
      </c>
    </row>
    <row r="2844" spans="1:4" x14ac:dyDescent="0.3">
      <c r="A2844" s="83" t="s">
        <v>31</v>
      </c>
      <c r="B2844" s="83"/>
      <c r="C2844" s="16">
        <v>46244</v>
      </c>
      <c r="D2844" s="82">
        <v>3700.7099999999591</v>
      </c>
    </row>
    <row r="2845" spans="1:4" x14ac:dyDescent="0.3">
      <c r="A2845" s="83" t="s">
        <v>32</v>
      </c>
      <c r="B2845" s="83"/>
      <c r="C2845" s="16">
        <v>46244</v>
      </c>
      <c r="D2845" s="82">
        <v>8724.1700000000037</v>
      </c>
    </row>
    <row r="2846" spans="1:4" x14ac:dyDescent="0.3">
      <c r="A2846" s="83" t="s">
        <v>33</v>
      </c>
      <c r="B2846" s="83"/>
      <c r="C2846" s="16">
        <v>46244</v>
      </c>
      <c r="D2846" s="82">
        <v>20106.099999999999</v>
      </c>
    </row>
    <row r="2847" spans="1:4" x14ac:dyDescent="0.3">
      <c r="A2847" s="83" t="s">
        <v>34</v>
      </c>
      <c r="B2847" s="83"/>
      <c r="C2847" s="16">
        <v>46244</v>
      </c>
      <c r="D2847" s="82">
        <v>345</v>
      </c>
    </row>
    <row r="2848" spans="1:4" x14ac:dyDescent="0.3">
      <c r="A2848" s="83" t="s">
        <v>35</v>
      </c>
      <c r="B2848" s="83"/>
      <c r="C2848" s="16">
        <v>46244</v>
      </c>
      <c r="D2848" s="82">
        <v>12470.040000000003</v>
      </c>
    </row>
    <row r="2849" spans="1:4" x14ac:dyDescent="0.3">
      <c r="A2849" s="83" t="s">
        <v>193</v>
      </c>
      <c r="B2849" s="83"/>
      <c r="C2849" s="16">
        <v>46244</v>
      </c>
      <c r="D2849" s="82">
        <v>0</v>
      </c>
    </row>
    <row r="2850" spans="1:4" x14ac:dyDescent="0.3">
      <c r="A2850" s="83" t="s">
        <v>214</v>
      </c>
      <c r="B2850" s="83"/>
      <c r="C2850" s="16">
        <v>46244</v>
      </c>
      <c r="D2850" s="82">
        <v>0</v>
      </c>
    </row>
    <row r="2851" spans="1:4" x14ac:dyDescent="0.3">
      <c r="A2851" s="83" t="s">
        <v>194</v>
      </c>
      <c r="B2851" s="83"/>
      <c r="C2851" s="16">
        <v>46244</v>
      </c>
      <c r="D2851" s="82">
        <v>0</v>
      </c>
    </row>
    <row r="2852" spans="1:4" x14ac:dyDescent="0.3">
      <c r="A2852" s="83" t="s">
        <v>195</v>
      </c>
      <c r="B2852" s="83"/>
      <c r="C2852" s="16">
        <v>46244</v>
      </c>
      <c r="D2852" s="82">
        <v>0</v>
      </c>
    </row>
    <row r="2853" spans="1:4" x14ac:dyDescent="0.3">
      <c r="A2853" s="83" t="s">
        <v>196</v>
      </c>
      <c r="B2853" s="83"/>
      <c r="C2853" s="16">
        <v>46244</v>
      </c>
      <c r="D2853" s="82">
        <v>0</v>
      </c>
    </row>
    <row r="2854" spans="1:4" x14ac:dyDescent="0.3">
      <c r="A2854" s="83" t="s">
        <v>197</v>
      </c>
      <c r="B2854" s="83"/>
      <c r="C2854" s="16">
        <v>46244</v>
      </c>
      <c r="D2854" s="82">
        <v>0</v>
      </c>
    </row>
    <row r="2855" spans="1:4" x14ac:dyDescent="0.3">
      <c r="A2855" s="83" t="s">
        <v>212</v>
      </c>
      <c r="B2855" s="83"/>
      <c r="C2855" s="16">
        <v>46244</v>
      </c>
      <c r="D2855" s="82">
        <v>0</v>
      </c>
    </row>
    <row r="2856" spans="1:4" x14ac:dyDescent="0.3">
      <c r="A2856" s="83" t="s">
        <v>199</v>
      </c>
      <c r="B2856" s="83"/>
      <c r="C2856" s="16">
        <v>46244</v>
      </c>
      <c r="D2856" s="82">
        <v>0</v>
      </c>
    </row>
    <row r="2857" spans="1:4" x14ac:dyDescent="0.3">
      <c r="A2857" s="83" t="s">
        <v>216</v>
      </c>
      <c r="B2857" s="83"/>
      <c r="C2857" s="16">
        <v>46244</v>
      </c>
      <c r="D2857" s="82">
        <v>0</v>
      </c>
    </row>
    <row r="2858" spans="1:4" x14ac:dyDescent="0.3">
      <c r="A2858" s="83" t="s">
        <v>17</v>
      </c>
      <c r="B2858" s="83"/>
      <c r="C2858" s="16">
        <v>46245</v>
      </c>
      <c r="D2858" s="82">
        <v>1260076.9800000002</v>
      </c>
    </row>
    <row r="2859" spans="1:4" x14ac:dyDescent="0.3">
      <c r="A2859" s="83" t="s">
        <v>18</v>
      </c>
      <c r="B2859" s="83"/>
      <c r="C2859" s="16">
        <v>46245</v>
      </c>
      <c r="D2859" s="82">
        <v>83211.250000000175</v>
      </c>
    </row>
    <row r="2860" spans="1:4" x14ac:dyDescent="0.3">
      <c r="A2860" s="83" t="s">
        <v>19</v>
      </c>
      <c r="B2860" s="83"/>
      <c r="C2860" s="16">
        <v>46245</v>
      </c>
      <c r="D2860" s="82">
        <v>1669.89</v>
      </c>
    </row>
    <row r="2861" spans="1:4" x14ac:dyDescent="0.3">
      <c r="A2861" s="83" t="s">
        <v>20</v>
      </c>
      <c r="B2861" s="83"/>
      <c r="C2861" s="16">
        <v>46245</v>
      </c>
      <c r="D2861" s="82">
        <v>1349451.94</v>
      </c>
    </row>
    <row r="2862" spans="1:4" x14ac:dyDescent="0.3">
      <c r="A2862" s="83" t="s">
        <v>21</v>
      </c>
      <c r="B2862" s="83"/>
      <c r="C2862" s="16">
        <v>46245</v>
      </c>
      <c r="D2862" s="82">
        <v>1622920.8199999996</v>
      </c>
    </row>
    <row r="2863" spans="1:4" x14ac:dyDescent="0.3">
      <c r="A2863" s="83" t="s">
        <v>22</v>
      </c>
      <c r="B2863" s="83"/>
      <c r="C2863" s="16">
        <v>46245</v>
      </c>
      <c r="D2863" s="82">
        <v>171496.38</v>
      </c>
    </row>
    <row r="2864" spans="1:4" x14ac:dyDescent="0.3">
      <c r="A2864" s="83" t="s">
        <v>23</v>
      </c>
      <c r="B2864" s="83"/>
      <c r="C2864" s="16">
        <v>46245</v>
      </c>
      <c r="D2864" s="82">
        <v>207582.47</v>
      </c>
    </row>
    <row r="2865" spans="1:4" x14ac:dyDescent="0.3">
      <c r="A2865" s="83" t="s">
        <v>24</v>
      </c>
      <c r="B2865" s="83"/>
      <c r="C2865" s="16">
        <v>46245</v>
      </c>
      <c r="D2865" s="82">
        <v>13270.02</v>
      </c>
    </row>
    <row r="2866" spans="1:4" x14ac:dyDescent="0.3">
      <c r="A2866" s="83" t="s">
        <v>25</v>
      </c>
      <c r="B2866" s="83"/>
      <c r="C2866" s="16">
        <v>46245</v>
      </c>
      <c r="D2866" s="82">
        <v>24.450000000000003</v>
      </c>
    </row>
    <row r="2867" spans="1:4" x14ac:dyDescent="0.3">
      <c r="A2867" s="83" t="s">
        <v>26</v>
      </c>
      <c r="B2867" s="83"/>
      <c r="C2867" s="16">
        <v>46245</v>
      </c>
      <c r="D2867" s="82">
        <v>2177.87</v>
      </c>
    </row>
    <row r="2868" spans="1:4" x14ac:dyDescent="0.3">
      <c r="A2868" s="83" t="s">
        <v>27</v>
      </c>
      <c r="B2868" s="83"/>
      <c r="C2868" s="16">
        <v>46245</v>
      </c>
      <c r="D2868" s="82">
        <v>1454589.72</v>
      </c>
    </row>
    <row r="2869" spans="1:4" x14ac:dyDescent="0.3">
      <c r="A2869" s="83" t="s">
        <v>28</v>
      </c>
      <c r="B2869" s="83"/>
      <c r="C2869" s="16">
        <v>46245</v>
      </c>
      <c r="D2869" s="82">
        <v>1968.99</v>
      </c>
    </row>
    <row r="2870" spans="1:4" x14ac:dyDescent="0.3">
      <c r="A2870" s="83" t="s">
        <v>29</v>
      </c>
      <c r="B2870" s="83"/>
      <c r="C2870" s="16">
        <v>46245</v>
      </c>
      <c r="D2870" s="82">
        <v>901.34</v>
      </c>
    </row>
    <row r="2871" spans="1:4" x14ac:dyDescent="0.3">
      <c r="A2871" s="83" t="s">
        <v>30</v>
      </c>
      <c r="B2871" s="83"/>
      <c r="C2871" s="16">
        <v>46245</v>
      </c>
      <c r="D2871" s="82">
        <v>1396.08</v>
      </c>
    </row>
    <row r="2872" spans="1:4" x14ac:dyDescent="0.3">
      <c r="A2872" s="83" t="s">
        <v>31</v>
      </c>
      <c r="B2872" s="83"/>
      <c r="C2872" s="16">
        <v>46245</v>
      </c>
      <c r="D2872" s="82">
        <v>3700.7099999999591</v>
      </c>
    </row>
    <row r="2873" spans="1:4" x14ac:dyDescent="0.3">
      <c r="A2873" s="83" t="s">
        <v>32</v>
      </c>
      <c r="B2873" s="83"/>
      <c r="C2873" s="16">
        <v>46245</v>
      </c>
      <c r="D2873" s="82">
        <v>8724.1700000000037</v>
      </c>
    </row>
    <row r="2874" spans="1:4" x14ac:dyDescent="0.3">
      <c r="A2874" s="83" t="s">
        <v>33</v>
      </c>
      <c r="B2874" s="83"/>
      <c r="C2874" s="16">
        <v>46245</v>
      </c>
      <c r="D2874" s="82">
        <v>19442.439999999995</v>
      </c>
    </row>
    <row r="2875" spans="1:4" x14ac:dyDescent="0.3">
      <c r="A2875" s="83" t="s">
        <v>34</v>
      </c>
      <c r="B2875" s="83"/>
      <c r="C2875" s="16">
        <v>46245</v>
      </c>
      <c r="D2875" s="82">
        <v>345</v>
      </c>
    </row>
    <row r="2876" spans="1:4" x14ac:dyDescent="0.3">
      <c r="A2876" s="83" t="s">
        <v>35</v>
      </c>
      <c r="B2876" s="83"/>
      <c r="C2876" s="16">
        <v>46245</v>
      </c>
      <c r="D2876" s="82">
        <v>12470.040000000003</v>
      </c>
    </row>
    <row r="2877" spans="1:4" x14ac:dyDescent="0.3">
      <c r="A2877" s="83" t="s">
        <v>193</v>
      </c>
      <c r="B2877" s="83"/>
      <c r="C2877" s="16">
        <v>46245</v>
      </c>
      <c r="D2877" s="82">
        <v>0</v>
      </c>
    </row>
    <row r="2878" spans="1:4" x14ac:dyDescent="0.3">
      <c r="A2878" s="83" t="s">
        <v>214</v>
      </c>
      <c r="B2878" s="83"/>
      <c r="C2878" s="16">
        <v>46245</v>
      </c>
      <c r="D2878" s="82">
        <v>0</v>
      </c>
    </row>
    <row r="2879" spans="1:4" x14ac:dyDescent="0.3">
      <c r="A2879" s="83" t="s">
        <v>194</v>
      </c>
      <c r="B2879" s="83"/>
      <c r="C2879" s="16">
        <v>46245</v>
      </c>
      <c r="D2879" s="82">
        <v>0</v>
      </c>
    </row>
    <row r="2880" spans="1:4" x14ac:dyDescent="0.3">
      <c r="A2880" s="83" t="s">
        <v>195</v>
      </c>
      <c r="B2880" s="83"/>
      <c r="C2880" s="16">
        <v>46245</v>
      </c>
      <c r="D2880" s="82">
        <v>0</v>
      </c>
    </row>
    <row r="2881" spans="1:4" x14ac:dyDescent="0.3">
      <c r="A2881" s="83" t="s">
        <v>196</v>
      </c>
      <c r="B2881" s="83"/>
      <c r="C2881" s="16">
        <v>46245</v>
      </c>
      <c r="D2881" s="82">
        <v>0</v>
      </c>
    </row>
    <row r="2882" spans="1:4" x14ac:dyDescent="0.3">
      <c r="A2882" s="83" t="s">
        <v>197</v>
      </c>
      <c r="B2882" s="83"/>
      <c r="C2882" s="16">
        <v>46245</v>
      </c>
      <c r="D2882" s="82">
        <v>0</v>
      </c>
    </row>
    <row r="2883" spans="1:4" x14ac:dyDescent="0.3">
      <c r="A2883" s="83" t="s">
        <v>212</v>
      </c>
      <c r="B2883" s="83"/>
      <c r="C2883" s="16">
        <v>46245</v>
      </c>
      <c r="D2883" s="82">
        <v>0</v>
      </c>
    </row>
    <row r="2884" spans="1:4" x14ac:dyDescent="0.3">
      <c r="A2884" s="83" t="s">
        <v>199</v>
      </c>
      <c r="B2884" s="83"/>
      <c r="C2884" s="16">
        <v>46245</v>
      </c>
      <c r="D2884" s="82">
        <v>0</v>
      </c>
    </row>
    <row r="2885" spans="1:4" x14ac:dyDescent="0.3">
      <c r="A2885" s="83" t="s">
        <v>216</v>
      </c>
      <c r="B2885" s="83"/>
      <c r="C2885" s="16">
        <v>46245</v>
      </c>
      <c r="D2885" s="82">
        <v>0</v>
      </c>
    </row>
    <row r="2886" spans="1:4" x14ac:dyDescent="0.3">
      <c r="A2886" s="83" t="s">
        <v>17</v>
      </c>
      <c r="B2886" s="83"/>
      <c r="C2886" s="16">
        <v>46246</v>
      </c>
      <c r="D2886" s="82">
        <v>1260076.9800000002</v>
      </c>
    </row>
    <row r="2887" spans="1:4" x14ac:dyDescent="0.3">
      <c r="A2887" s="83" t="s">
        <v>18</v>
      </c>
      <c r="B2887" s="83"/>
      <c r="C2887" s="16">
        <v>46246</v>
      </c>
      <c r="D2887" s="82">
        <v>83211.250000000175</v>
      </c>
    </row>
    <row r="2888" spans="1:4" x14ac:dyDescent="0.3">
      <c r="A2888" s="83" t="s">
        <v>19</v>
      </c>
      <c r="B2888" s="83"/>
      <c r="C2888" s="16">
        <v>46246</v>
      </c>
      <c r="D2888" s="82">
        <v>1669.89</v>
      </c>
    </row>
    <row r="2889" spans="1:4" x14ac:dyDescent="0.3">
      <c r="A2889" s="83" t="s">
        <v>20</v>
      </c>
      <c r="B2889" s="83"/>
      <c r="C2889" s="16">
        <v>46246</v>
      </c>
      <c r="D2889" s="82">
        <v>1349451.94</v>
      </c>
    </row>
    <row r="2890" spans="1:4" x14ac:dyDescent="0.3">
      <c r="A2890" s="83" t="s">
        <v>21</v>
      </c>
      <c r="B2890" s="83"/>
      <c r="C2890" s="16">
        <v>46246</v>
      </c>
      <c r="D2890" s="82">
        <v>1622914.8199999996</v>
      </c>
    </row>
    <row r="2891" spans="1:4" x14ac:dyDescent="0.3">
      <c r="A2891" s="83" t="s">
        <v>22</v>
      </c>
      <c r="B2891" s="83"/>
      <c r="C2891" s="16">
        <v>46246</v>
      </c>
      <c r="D2891" s="82">
        <v>731496.38</v>
      </c>
    </row>
    <row r="2892" spans="1:4" x14ac:dyDescent="0.3">
      <c r="A2892" s="83" t="s">
        <v>23</v>
      </c>
      <c r="B2892" s="83"/>
      <c r="C2892" s="16">
        <v>46246</v>
      </c>
      <c r="D2892" s="82">
        <v>277582.47000000003</v>
      </c>
    </row>
    <row r="2893" spans="1:4" x14ac:dyDescent="0.3">
      <c r="A2893" s="83" t="s">
        <v>24</v>
      </c>
      <c r="B2893" s="83"/>
      <c r="C2893" s="16">
        <v>46246</v>
      </c>
      <c r="D2893" s="82">
        <v>13270.02</v>
      </c>
    </row>
    <row r="2894" spans="1:4" x14ac:dyDescent="0.3">
      <c r="A2894" s="83" t="s">
        <v>25</v>
      </c>
      <c r="B2894" s="83"/>
      <c r="C2894" s="16">
        <v>46246</v>
      </c>
      <c r="D2894" s="82">
        <v>24.450000000000003</v>
      </c>
    </row>
    <row r="2895" spans="1:4" x14ac:dyDescent="0.3">
      <c r="A2895" s="83" t="s">
        <v>26</v>
      </c>
      <c r="B2895" s="83"/>
      <c r="C2895" s="16">
        <v>46246</v>
      </c>
      <c r="D2895" s="82">
        <v>2177.87</v>
      </c>
    </row>
    <row r="2896" spans="1:4" x14ac:dyDescent="0.3">
      <c r="A2896" s="83" t="s">
        <v>27</v>
      </c>
      <c r="B2896" s="83"/>
      <c r="C2896" s="16">
        <v>46246</v>
      </c>
      <c r="D2896" s="82">
        <v>754424.72</v>
      </c>
    </row>
    <row r="2897" spans="1:4" x14ac:dyDescent="0.3">
      <c r="A2897" s="83" t="s">
        <v>28</v>
      </c>
      <c r="B2897" s="83"/>
      <c r="C2897" s="16">
        <v>46246</v>
      </c>
      <c r="D2897" s="82">
        <v>1968.99</v>
      </c>
    </row>
    <row r="2898" spans="1:4" x14ac:dyDescent="0.3">
      <c r="A2898" s="83" t="s">
        <v>29</v>
      </c>
      <c r="B2898" s="83"/>
      <c r="C2898" s="16">
        <v>46246</v>
      </c>
      <c r="D2898" s="82">
        <v>901.34</v>
      </c>
    </row>
    <row r="2899" spans="1:4" x14ac:dyDescent="0.3">
      <c r="A2899" s="83" t="s">
        <v>30</v>
      </c>
      <c r="B2899" s="83"/>
      <c r="C2899" s="16">
        <v>46246</v>
      </c>
      <c r="D2899" s="82">
        <v>1396.08</v>
      </c>
    </row>
    <row r="2900" spans="1:4" x14ac:dyDescent="0.3">
      <c r="A2900" s="83" t="s">
        <v>31</v>
      </c>
      <c r="B2900" s="83"/>
      <c r="C2900" s="16">
        <v>46246</v>
      </c>
      <c r="D2900" s="82">
        <v>3700.7099999999591</v>
      </c>
    </row>
    <row r="2901" spans="1:4" x14ac:dyDescent="0.3">
      <c r="A2901" s="83" t="s">
        <v>32</v>
      </c>
      <c r="B2901" s="83"/>
      <c r="C2901" s="16">
        <v>46246</v>
      </c>
      <c r="D2901" s="82">
        <v>8724.1700000000037</v>
      </c>
    </row>
    <row r="2902" spans="1:4" x14ac:dyDescent="0.3">
      <c r="A2902" s="83" t="s">
        <v>33</v>
      </c>
      <c r="B2902" s="83"/>
      <c r="C2902" s="16">
        <v>46246</v>
      </c>
      <c r="D2902" s="82">
        <v>19336.039999999997</v>
      </c>
    </row>
    <row r="2903" spans="1:4" x14ac:dyDescent="0.3">
      <c r="A2903" s="83" t="s">
        <v>34</v>
      </c>
      <c r="B2903" s="83"/>
      <c r="C2903" s="16">
        <v>46246</v>
      </c>
      <c r="D2903" s="82">
        <v>345</v>
      </c>
    </row>
    <row r="2904" spans="1:4" x14ac:dyDescent="0.3">
      <c r="A2904" s="83" t="s">
        <v>35</v>
      </c>
      <c r="B2904" s="83"/>
      <c r="C2904" s="16">
        <v>46246</v>
      </c>
      <c r="D2904" s="82">
        <v>12470.040000000003</v>
      </c>
    </row>
    <row r="2905" spans="1:4" x14ac:dyDescent="0.3">
      <c r="A2905" s="83" t="s">
        <v>193</v>
      </c>
      <c r="B2905" s="83"/>
      <c r="C2905" s="16">
        <v>46246</v>
      </c>
      <c r="D2905" s="82">
        <v>0</v>
      </c>
    </row>
    <row r="2906" spans="1:4" x14ac:dyDescent="0.3">
      <c r="A2906" s="83" t="s">
        <v>214</v>
      </c>
      <c r="B2906" s="83"/>
      <c r="C2906" s="16">
        <v>46246</v>
      </c>
      <c r="D2906" s="82">
        <v>0</v>
      </c>
    </row>
    <row r="2907" spans="1:4" x14ac:dyDescent="0.3">
      <c r="A2907" s="83" t="s">
        <v>194</v>
      </c>
      <c r="B2907" s="83"/>
      <c r="C2907" s="16">
        <v>46246</v>
      </c>
      <c r="D2907" s="82">
        <v>0</v>
      </c>
    </row>
    <row r="2908" spans="1:4" x14ac:dyDescent="0.3">
      <c r="A2908" s="83" t="s">
        <v>195</v>
      </c>
      <c r="B2908" s="83"/>
      <c r="C2908" s="16">
        <v>46246</v>
      </c>
      <c r="D2908" s="82">
        <v>0</v>
      </c>
    </row>
    <row r="2909" spans="1:4" x14ac:dyDescent="0.3">
      <c r="A2909" s="83" t="s">
        <v>196</v>
      </c>
      <c r="B2909" s="83"/>
      <c r="C2909" s="16">
        <v>46246</v>
      </c>
      <c r="D2909" s="82">
        <v>0</v>
      </c>
    </row>
    <row r="2910" spans="1:4" x14ac:dyDescent="0.3">
      <c r="A2910" s="83" t="s">
        <v>197</v>
      </c>
      <c r="B2910" s="83"/>
      <c r="C2910" s="16">
        <v>46246</v>
      </c>
      <c r="D2910" s="82">
        <v>0</v>
      </c>
    </row>
    <row r="2911" spans="1:4" x14ac:dyDescent="0.3">
      <c r="A2911" s="83" t="s">
        <v>212</v>
      </c>
      <c r="B2911" s="83"/>
      <c r="C2911" s="16">
        <v>46246</v>
      </c>
      <c r="D2911" s="82">
        <v>0</v>
      </c>
    </row>
    <row r="2912" spans="1:4" x14ac:dyDescent="0.3">
      <c r="A2912" s="83" t="s">
        <v>199</v>
      </c>
      <c r="B2912" s="83"/>
      <c r="C2912" s="16">
        <v>46246</v>
      </c>
      <c r="D2912" s="82">
        <v>0</v>
      </c>
    </row>
    <row r="2913" spans="1:4" x14ac:dyDescent="0.3">
      <c r="A2913" s="83" t="s">
        <v>216</v>
      </c>
      <c r="B2913" s="83"/>
      <c r="C2913" s="16">
        <v>46246</v>
      </c>
      <c r="D2913" s="82">
        <v>0</v>
      </c>
    </row>
    <row r="2914" spans="1:4" x14ac:dyDescent="0.3">
      <c r="A2914" s="83" t="s">
        <v>17</v>
      </c>
      <c r="B2914" s="83"/>
      <c r="C2914" s="16">
        <v>46247</v>
      </c>
      <c r="D2914" s="82">
        <v>1041223.5800000004</v>
      </c>
    </row>
    <row r="2915" spans="1:4" x14ac:dyDescent="0.3">
      <c r="A2915" s="83" t="s">
        <v>18</v>
      </c>
      <c r="B2915" s="83"/>
      <c r="C2915" s="16">
        <v>46247</v>
      </c>
      <c r="D2915" s="82">
        <v>83211.250000000175</v>
      </c>
    </row>
    <row r="2916" spans="1:4" x14ac:dyDescent="0.3">
      <c r="A2916" s="83" t="s">
        <v>19</v>
      </c>
      <c r="B2916" s="83"/>
      <c r="C2916" s="16">
        <v>46247</v>
      </c>
      <c r="D2916" s="82">
        <v>1669.89</v>
      </c>
    </row>
    <row r="2917" spans="1:4" x14ac:dyDescent="0.3">
      <c r="A2917" s="83" t="s">
        <v>20</v>
      </c>
      <c r="B2917" s="83"/>
      <c r="C2917" s="16">
        <v>46247</v>
      </c>
      <c r="D2917" s="82">
        <v>1289451.94</v>
      </c>
    </row>
    <row r="2918" spans="1:4" x14ac:dyDescent="0.3">
      <c r="A2918" s="83" t="s">
        <v>21</v>
      </c>
      <c r="B2918" s="83"/>
      <c r="C2918" s="16">
        <v>46247</v>
      </c>
      <c r="D2918" s="82">
        <v>1418808.6399999997</v>
      </c>
    </row>
    <row r="2919" spans="1:4" x14ac:dyDescent="0.3">
      <c r="A2919" s="83" t="s">
        <v>22</v>
      </c>
      <c r="B2919" s="83"/>
      <c r="C2919" s="16">
        <v>46247</v>
      </c>
      <c r="D2919" s="82">
        <v>221496.38</v>
      </c>
    </row>
    <row r="2920" spans="1:4" x14ac:dyDescent="0.3">
      <c r="A2920" s="83" t="s">
        <v>23</v>
      </c>
      <c r="B2920" s="83"/>
      <c r="C2920" s="16">
        <v>46247</v>
      </c>
      <c r="D2920" s="82">
        <v>277582.47000000003</v>
      </c>
    </row>
    <row r="2921" spans="1:4" x14ac:dyDescent="0.3">
      <c r="A2921" s="83" t="s">
        <v>24</v>
      </c>
      <c r="B2921" s="83"/>
      <c r="C2921" s="16">
        <v>46247</v>
      </c>
      <c r="D2921" s="82">
        <v>13270.02</v>
      </c>
    </row>
    <row r="2922" spans="1:4" x14ac:dyDescent="0.3">
      <c r="A2922" s="83" t="s">
        <v>25</v>
      </c>
      <c r="B2922" s="83"/>
      <c r="C2922" s="16">
        <v>46247</v>
      </c>
      <c r="D2922" s="82">
        <v>24.450000000000003</v>
      </c>
    </row>
    <row r="2923" spans="1:4" x14ac:dyDescent="0.3">
      <c r="A2923" s="83" t="s">
        <v>26</v>
      </c>
      <c r="B2923" s="83"/>
      <c r="C2923" s="16">
        <v>46247</v>
      </c>
      <c r="D2923" s="82">
        <v>2177.87</v>
      </c>
    </row>
    <row r="2924" spans="1:4" x14ac:dyDescent="0.3">
      <c r="A2924" s="83" t="s">
        <v>27</v>
      </c>
      <c r="B2924" s="83"/>
      <c r="C2924" s="16">
        <v>46247</v>
      </c>
      <c r="D2924" s="82">
        <v>754424.72</v>
      </c>
    </row>
    <row r="2925" spans="1:4" x14ac:dyDescent="0.3">
      <c r="A2925" s="83" t="s">
        <v>28</v>
      </c>
      <c r="B2925" s="83"/>
      <c r="C2925" s="16">
        <v>46247</v>
      </c>
      <c r="D2925" s="82">
        <v>1968.99</v>
      </c>
    </row>
    <row r="2926" spans="1:4" x14ac:dyDescent="0.3">
      <c r="A2926" s="83" t="s">
        <v>29</v>
      </c>
      <c r="B2926" s="83"/>
      <c r="C2926" s="16">
        <v>46247</v>
      </c>
      <c r="D2926" s="82">
        <v>901.34</v>
      </c>
    </row>
    <row r="2927" spans="1:4" x14ac:dyDescent="0.3">
      <c r="A2927" s="83" t="s">
        <v>30</v>
      </c>
      <c r="B2927" s="83"/>
      <c r="C2927" s="16">
        <v>46247</v>
      </c>
      <c r="D2927" s="82">
        <v>1396.08</v>
      </c>
    </row>
    <row r="2928" spans="1:4" x14ac:dyDescent="0.3">
      <c r="A2928" s="83" t="s">
        <v>31</v>
      </c>
      <c r="B2928" s="83"/>
      <c r="C2928" s="16">
        <v>46247</v>
      </c>
      <c r="D2928" s="82">
        <v>13700.709999999959</v>
      </c>
    </row>
    <row r="2929" spans="1:4" x14ac:dyDescent="0.3">
      <c r="A2929" s="83" t="s">
        <v>32</v>
      </c>
      <c r="B2929" s="83"/>
      <c r="C2929" s="16">
        <v>46247</v>
      </c>
      <c r="D2929" s="82">
        <v>8724.1700000000037</v>
      </c>
    </row>
    <row r="2930" spans="1:4" x14ac:dyDescent="0.3">
      <c r="A2930" s="83" t="s">
        <v>33</v>
      </c>
      <c r="B2930" s="83"/>
      <c r="C2930" s="16">
        <v>46247</v>
      </c>
      <c r="D2930" s="82">
        <v>19336.039999999997</v>
      </c>
    </row>
    <row r="2931" spans="1:4" x14ac:dyDescent="0.3">
      <c r="A2931" s="83" t="s">
        <v>34</v>
      </c>
      <c r="B2931" s="83"/>
      <c r="C2931" s="16">
        <v>46247</v>
      </c>
      <c r="D2931" s="82">
        <v>345</v>
      </c>
    </row>
    <row r="2932" spans="1:4" x14ac:dyDescent="0.3">
      <c r="A2932" s="83" t="s">
        <v>35</v>
      </c>
      <c r="B2932" s="83"/>
      <c r="C2932" s="16">
        <v>46247</v>
      </c>
      <c r="D2932" s="82">
        <v>14740.900000000001</v>
      </c>
    </row>
    <row r="2933" spans="1:4" x14ac:dyDescent="0.3">
      <c r="A2933" s="83" t="s">
        <v>193</v>
      </c>
      <c r="B2933" s="83"/>
      <c r="C2933" s="16">
        <v>46247</v>
      </c>
      <c r="D2933" s="82">
        <v>0</v>
      </c>
    </row>
    <row r="2934" spans="1:4" x14ac:dyDescent="0.3">
      <c r="A2934" s="83" t="s">
        <v>214</v>
      </c>
      <c r="B2934" s="83"/>
      <c r="C2934" s="16">
        <v>46247</v>
      </c>
      <c r="D2934" s="82">
        <v>0</v>
      </c>
    </row>
    <row r="2935" spans="1:4" x14ac:dyDescent="0.3">
      <c r="A2935" s="83" t="s">
        <v>194</v>
      </c>
      <c r="B2935" s="83"/>
      <c r="C2935" s="16">
        <v>46247</v>
      </c>
      <c r="D2935" s="82">
        <v>0</v>
      </c>
    </row>
    <row r="2936" spans="1:4" x14ac:dyDescent="0.3">
      <c r="A2936" s="83" t="s">
        <v>195</v>
      </c>
      <c r="B2936" s="83"/>
      <c r="C2936" s="16">
        <v>46247</v>
      </c>
      <c r="D2936" s="82">
        <v>0</v>
      </c>
    </row>
    <row r="2937" spans="1:4" x14ac:dyDescent="0.3">
      <c r="A2937" s="83" t="s">
        <v>196</v>
      </c>
      <c r="B2937" s="83"/>
      <c r="C2937" s="16">
        <v>46247</v>
      </c>
      <c r="D2937" s="82">
        <v>0</v>
      </c>
    </row>
    <row r="2938" spans="1:4" x14ac:dyDescent="0.3">
      <c r="A2938" s="83" t="s">
        <v>197</v>
      </c>
      <c r="B2938" s="83"/>
      <c r="C2938" s="16">
        <v>46247</v>
      </c>
      <c r="D2938" s="82">
        <v>0</v>
      </c>
    </row>
    <row r="2939" spans="1:4" x14ac:dyDescent="0.3">
      <c r="A2939" s="83" t="s">
        <v>212</v>
      </c>
      <c r="B2939" s="83"/>
      <c r="C2939" s="16">
        <v>46247</v>
      </c>
      <c r="D2939" s="82">
        <v>0</v>
      </c>
    </row>
    <row r="2940" spans="1:4" x14ac:dyDescent="0.3">
      <c r="A2940" s="83" t="s">
        <v>199</v>
      </c>
      <c r="B2940" s="83"/>
      <c r="C2940" s="16">
        <v>46247</v>
      </c>
      <c r="D2940" s="82">
        <v>0</v>
      </c>
    </row>
    <row r="2941" spans="1:4" x14ac:dyDescent="0.3">
      <c r="A2941" s="83" t="s">
        <v>216</v>
      </c>
      <c r="B2941" s="83"/>
      <c r="C2941" s="16">
        <v>46247</v>
      </c>
      <c r="D2941" s="82">
        <v>0</v>
      </c>
    </row>
    <row r="2942" spans="1:4" x14ac:dyDescent="0.3">
      <c r="A2942" s="83" t="s">
        <v>17</v>
      </c>
      <c r="B2942" s="83"/>
      <c r="C2942" s="16">
        <v>46248</v>
      </c>
      <c r="D2942" s="82">
        <v>941223.58000000042</v>
      </c>
    </row>
    <row r="2943" spans="1:4" x14ac:dyDescent="0.3">
      <c r="A2943" s="83" t="s">
        <v>18</v>
      </c>
      <c r="B2943" s="83"/>
      <c r="C2943" s="16">
        <v>46248</v>
      </c>
      <c r="D2943" s="82">
        <v>83211.250000000175</v>
      </c>
    </row>
    <row r="2944" spans="1:4" x14ac:dyDescent="0.3">
      <c r="A2944" s="83" t="s">
        <v>19</v>
      </c>
      <c r="B2944" s="83"/>
      <c r="C2944" s="16">
        <v>46248</v>
      </c>
      <c r="D2944" s="82">
        <v>1669.89</v>
      </c>
    </row>
    <row r="2945" spans="1:4" x14ac:dyDescent="0.3">
      <c r="A2945" s="83" t="s">
        <v>20</v>
      </c>
      <c r="B2945" s="83"/>
      <c r="C2945" s="16">
        <v>46248</v>
      </c>
      <c r="D2945" s="82">
        <v>1289451.94</v>
      </c>
    </row>
    <row r="2946" spans="1:4" x14ac:dyDescent="0.3">
      <c r="A2946" s="83" t="s">
        <v>21</v>
      </c>
      <c r="B2946" s="83"/>
      <c r="C2946" s="16">
        <v>46248</v>
      </c>
      <c r="D2946" s="82">
        <v>1418808.6399999997</v>
      </c>
    </row>
    <row r="2947" spans="1:4" x14ac:dyDescent="0.3">
      <c r="A2947" s="83" t="s">
        <v>22</v>
      </c>
      <c r="B2947" s="83"/>
      <c r="C2947" s="16">
        <v>46248</v>
      </c>
      <c r="D2947" s="82">
        <v>221496.38</v>
      </c>
    </row>
    <row r="2948" spans="1:4" x14ac:dyDescent="0.3">
      <c r="A2948" s="83" t="s">
        <v>23</v>
      </c>
      <c r="B2948" s="83"/>
      <c r="C2948" s="16">
        <v>46248</v>
      </c>
      <c r="D2948" s="82">
        <v>277586.34000000003</v>
      </c>
    </row>
    <row r="2949" spans="1:4" x14ac:dyDescent="0.3">
      <c r="A2949" s="83" t="s">
        <v>24</v>
      </c>
      <c r="B2949" s="83"/>
      <c r="C2949" s="16">
        <v>46248</v>
      </c>
      <c r="D2949" s="82">
        <v>13270.02</v>
      </c>
    </row>
    <row r="2950" spans="1:4" x14ac:dyDescent="0.3">
      <c r="A2950" s="83" t="s">
        <v>25</v>
      </c>
      <c r="B2950" s="83"/>
      <c r="C2950" s="16">
        <v>46248</v>
      </c>
      <c r="D2950" s="82">
        <v>24.450000000000003</v>
      </c>
    </row>
    <row r="2951" spans="1:4" x14ac:dyDescent="0.3">
      <c r="A2951" s="83" t="s">
        <v>26</v>
      </c>
      <c r="B2951" s="83"/>
      <c r="C2951" s="16">
        <v>46248</v>
      </c>
      <c r="D2951" s="82">
        <v>2177.87</v>
      </c>
    </row>
    <row r="2952" spans="1:4" x14ac:dyDescent="0.3">
      <c r="A2952" s="83" t="s">
        <v>27</v>
      </c>
      <c r="B2952" s="83"/>
      <c r="C2952" s="16">
        <v>46248</v>
      </c>
      <c r="D2952" s="82">
        <v>754424.72</v>
      </c>
    </row>
    <row r="2953" spans="1:4" x14ac:dyDescent="0.3">
      <c r="A2953" s="83" t="s">
        <v>28</v>
      </c>
      <c r="B2953" s="83"/>
      <c r="C2953" s="16">
        <v>46248</v>
      </c>
      <c r="D2953" s="82">
        <v>1968.99</v>
      </c>
    </row>
    <row r="2954" spans="1:4" x14ac:dyDescent="0.3">
      <c r="A2954" s="83" t="s">
        <v>29</v>
      </c>
      <c r="B2954" s="83"/>
      <c r="C2954" s="16">
        <v>46248</v>
      </c>
      <c r="D2954" s="82">
        <v>901.34</v>
      </c>
    </row>
    <row r="2955" spans="1:4" x14ac:dyDescent="0.3">
      <c r="A2955" s="83" t="s">
        <v>30</v>
      </c>
      <c r="B2955" s="83"/>
      <c r="C2955" s="16">
        <v>46248</v>
      </c>
      <c r="D2955" s="82">
        <v>1396.08</v>
      </c>
    </row>
    <row r="2956" spans="1:4" x14ac:dyDescent="0.3">
      <c r="A2956" s="83" t="s">
        <v>31</v>
      </c>
      <c r="B2956" s="83"/>
      <c r="C2956" s="16">
        <v>46248</v>
      </c>
      <c r="D2956" s="82">
        <v>13685.709999999959</v>
      </c>
    </row>
    <row r="2957" spans="1:4" x14ac:dyDescent="0.3">
      <c r="A2957" s="83" t="s">
        <v>32</v>
      </c>
      <c r="B2957" s="83"/>
      <c r="C2957" s="16">
        <v>46248</v>
      </c>
      <c r="D2957" s="82">
        <v>8724.1700000000037</v>
      </c>
    </row>
    <row r="2958" spans="1:4" x14ac:dyDescent="0.3">
      <c r="A2958" s="83" t="s">
        <v>33</v>
      </c>
      <c r="B2958" s="83"/>
      <c r="C2958" s="16">
        <v>46248</v>
      </c>
      <c r="D2958" s="82">
        <v>19336.039999999997</v>
      </c>
    </row>
    <row r="2959" spans="1:4" x14ac:dyDescent="0.3">
      <c r="A2959" s="83" t="s">
        <v>34</v>
      </c>
      <c r="B2959" s="83"/>
      <c r="C2959" s="16">
        <v>46248</v>
      </c>
      <c r="D2959" s="82">
        <v>345</v>
      </c>
    </row>
    <row r="2960" spans="1:4" x14ac:dyDescent="0.3">
      <c r="A2960" s="83" t="s">
        <v>35</v>
      </c>
      <c r="B2960" s="83"/>
      <c r="C2960" s="16">
        <v>46248</v>
      </c>
      <c r="D2960" s="82">
        <v>14740.900000000001</v>
      </c>
    </row>
    <row r="2961" spans="1:4" x14ac:dyDescent="0.3">
      <c r="A2961" s="83" t="s">
        <v>193</v>
      </c>
      <c r="B2961" s="83"/>
      <c r="C2961" s="16">
        <v>46248</v>
      </c>
      <c r="D2961" s="82">
        <v>0</v>
      </c>
    </row>
    <row r="2962" spans="1:4" x14ac:dyDescent="0.3">
      <c r="A2962" s="83" t="s">
        <v>214</v>
      </c>
      <c r="B2962" s="83"/>
      <c r="C2962" s="16">
        <v>46248</v>
      </c>
      <c r="D2962" s="82">
        <v>0</v>
      </c>
    </row>
    <row r="2963" spans="1:4" x14ac:dyDescent="0.3">
      <c r="A2963" s="83" t="s">
        <v>194</v>
      </c>
      <c r="B2963" s="83"/>
      <c r="C2963" s="16">
        <v>46248</v>
      </c>
      <c r="D2963" s="82">
        <v>0</v>
      </c>
    </row>
    <row r="2964" spans="1:4" x14ac:dyDescent="0.3">
      <c r="A2964" s="83" t="s">
        <v>195</v>
      </c>
      <c r="B2964" s="83"/>
      <c r="C2964" s="16">
        <v>46248</v>
      </c>
      <c r="D2964" s="82">
        <v>0</v>
      </c>
    </row>
    <row r="2965" spans="1:4" x14ac:dyDescent="0.3">
      <c r="A2965" s="83" t="s">
        <v>196</v>
      </c>
      <c r="B2965" s="83"/>
      <c r="C2965" s="16">
        <v>46248</v>
      </c>
      <c r="D2965" s="82">
        <v>0</v>
      </c>
    </row>
    <row r="2966" spans="1:4" x14ac:dyDescent="0.3">
      <c r="A2966" s="83" t="s">
        <v>197</v>
      </c>
      <c r="B2966" s="83"/>
      <c r="C2966" s="16">
        <v>46248</v>
      </c>
      <c r="D2966" s="82">
        <v>0</v>
      </c>
    </row>
    <row r="2967" spans="1:4" x14ac:dyDescent="0.3">
      <c r="A2967" s="83" t="s">
        <v>212</v>
      </c>
      <c r="B2967" s="83"/>
      <c r="C2967" s="16">
        <v>46248</v>
      </c>
      <c r="D2967" s="82">
        <v>0</v>
      </c>
    </row>
    <row r="2968" spans="1:4" x14ac:dyDescent="0.3">
      <c r="A2968" s="83" t="s">
        <v>199</v>
      </c>
      <c r="B2968" s="83"/>
      <c r="C2968" s="16">
        <v>46248</v>
      </c>
      <c r="D2968" s="82">
        <v>0</v>
      </c>
    </row>
    <row r="2969" spans="1:4" x14ac:dyDescent="0.3">
      <c r="A2969" s="83" t="s">
        <v>216</v>
      </c>
      <c r="B2969" s="83"/>
      <c r="C2969" s="16">
        <v>46248</v>
      </c>
      <c r="D2969" s="82">
        <v>0</v>
      </c>
    </row>
    <row r="2970" spans="1:4" x14ac:dyDescent="0.3">
      <c r="A2970" s="83" t="s">
        <v>17</v>
      </c>
      <c r="B2970" s="83"/>
      <c r="C2970" s="16">
        <v>46249</v>
      </c>
      <c r="D2970" s="82">
        <v>941223.58000000042</v>
      </c>
    </row>
    <row r="2971" spans="1:4" x14ac:dyDescent="0.3">
      <c r="A2971" s="83" t="s">
        <v>18</v>
      </c>
      <c r="B2971" s="83"/>
      <c r="C2971" s="16">
        <v>46249</v>
      </c>
      <c r="D2971" s="82">
        <v>83211.250000000175</v>
      </c>
    </row>
    <row r="2972" spans="1:4" x14ac:dyDescent="0.3">
      <c r="A2972" s="83" t="s">
        <v>19</v>
      </c>
      <c r="B2972" s="83"/>
      <c r="C2972" s="16">
        <v>46249</v>
      </c>
      <c r="D2972" s="82">
        <v>1669.89</v>
      </c>
    </row>
    <row r="2973" spans="1:4" x14ac:dyDescent="0.3">
      <c r="A2973" s="83" t="s">
        <v>20</v>
      </c>
      <c r="B2973" s="83"/>
      <c r="C2973" s="16">
        <v>46249</v>
      </c>
      <c r="D2973" s="82">
        <v>1289451.94</v>
      </c>
    </row>
    <row r="2974" spans="1:4" x14ac:dyDescent="0.3">
      <c r="A2974" s="83" t="s">
        <v>21</v>
      </c>
      <c r="B2974" s="83"/>
      <c r="C2974" s="16">
        <v>46249</v>
      </c>
      <c r="D2974" s="82">
        <v>1418808.6399999997</v>
      </c>
    </row>
    <row r="2975" spans="1:4" x14ac:dyDescent="0.3">
      <c r="A2975" s="83" t="s">
        <v>22</v>
      </c>
      <c r="B2975" s="83"/>
      <c r="C2975" s="16">
        <v>46249</v>
      </c>
      <c r="D2975" s="82">
        <v>221496.38</v>
      </c>
    </row>
    <row r="2976" spans="1:4" x14ac:dyDescent="0.3">
      <c r="A2976" s="83" t="s">
        <v>23</v>
      </c>
      <c r="B2976" s="83"/>
      <c r="C2976" s="16">
        <v>46249</v>
      </c>
      <c r="D2976" s="82">
        <v>277586.34000000003</v>
      </c>
    </row>
    <row r="2977" spans="1:4" x14ac:dyDescent="0.3">
      <c r="A2977" s="83" t="s">
        <v>24</v>
      </c>
      <c r="B2977" s="83"/>
      <c r="C2977" s="16">
        <v>46249</v>
      </c>
      <c r="D2977" s="82">
        <v>13270.02</v>
      </c>
    </row>
    <row r="2978" spans="1:4" x14ac:dyDescent="0.3">
      <c r="A2978" s="83" t="s">
        <v>25</v>
      </c>
      <c r="B2978" s="83"/>
      <c r="C2978" s="16">
        <v>46249</v>
      </c>
      <c r="D2978" s="82">
        <v>24.450000000000003</v>
      </c>
    </row>
    <row r="2979" spans="1:4" x14ac:dyDescent="0.3">
      <c r="A2979" s="83" t="s">
        <v>26</v>
      </c>
      <c r="B2979" s="83"/>
      <c r="C2979" s="16">
        <v>46249</v>
      </c>
      <c r="D2979" s="82">
        <v>2177.87</v>
      </c>
    </row>
    <row r="2980" spans="1:4" x14ac:dyDescent="0.3">
      <c r="A2980" s="83" t="s">
        <v>27</v>
      </c>
      <c r="B2980" s="83"/>
      <c r="C2980" s="16">
        <v>46249</v>
      </c>
      <c r="D2980" s="82">
        <v>754424.72</v>
      </c>
    </row>
    <row r="2981" spans="1:4" x14ac:dyDescent="0.3">
      <c r="A2981" s="83" t="s">
        <v>28</v>
      </c>
      <c r="B2981" s="83"/>
      <c r="C2981" s="16">
        <v>46249</v>
      </c>
      <c r="D2981" s="82">
        <v>1968.99</v>
      </c>
    </row>
    <row r="2982" spans="1:4" x14ac:dyDescent="0.3">
      <c r="A2982" s="83" t="s">
        <v>29</v>
      </c>
      <c r="B2982" s="83"/>
      <c r="C2982" s="16">
        <v>46249</v>
      </c>
      <c r="D2982" s="82">
        <v>901.34</v>
      </c>
    </row>
    <row r="2983" spans="1:4" x14ac:dyDescent="0.3">
      <c r="A2983" s="83" t="s">
        <v>30</v>
      </c>
      <c r="B2983" s="83"/>
      <c r="C2983" s="16">
        <v>46249</v>
      </c>
      <c r="D2983" s="82">
        <v>1396.08</v>
      </c>
    </row>
    <row r="2984" spans="1:4" x14ac:dyDescent="0.3">
      <c r="A2984" s="83" t="s">
        <v>31</v>
      </c>
      <c r="B2984" s="83"/>
      <c r="C2984" s="16">
        <v>46249</v>
      </c>
      <c r="D2984" s="82">
        <v>13685.709999999959</v>
      </c>
    </row>
    <row r="2985" spans="1:4" x14ac:dyDescent="0.3">
      <c r="A2985" s="83" t="s">
        <v>32</v>
      </c>
      <c r="B2985" s="83"/>
      <c r="C2985" s="16">
        <v>46249</v>
      </c>
      <c r="D2985" s="82">
        <v>8724.1700000000037</v>
      </c>
    </row>
    <row r="2986" spans="1:4" x14ac:dyDescent="0.3">
      <c r="A2986" s="83" t="s">
        <v>33</v>
      </c>
      <c r="B2986" s="83"/>
      <c r="C2986" s="16">
        <v>46249</v>
      </c>
      <c r="D2986" s="82">
        <v>19336.039999999997</v>
      </c>
    </row>
    <row r="2987" spans="1:4" x14ac:dyDescent="0.3">
      <c r="A2987" s="83" t="s">
        <v>34</v>
      </c>
      <c r="B2987" s="83"/>
      <c r="C2987" s="16">
        <v>46249</v>
      </c>
      <c r="D2987" s="82">
        <v>345</v>
      </c>
    </row>
    <row r="2988" spans="1:4" x14ac:dyDescent="0.3">
      <c r="A2988" s="83" t="s">
        <v>35</v>
      </c>
      <c r="B2988" s="83"/>
      <c r="C2988" s="16">
        <v>46249</v>
      </c>
      <c r="D2988" s="82">
        <v>14740.900000000001</v>
      </c>
    </row>
    <row r="2989" spans="1:4" x14ac:dyDescent="0.3">
      <c r="A2989" s="83" t="s">
        <v>193</v>
      </c>
      <c r="B2989" s="83"/>
      <c r="C2989" s="16">
        <v>46249</v>
      </c>
      <c r="D2989" s="82">
        <v>0</v>
      </c>
    </row>
    <row r="2990" spans="1:4" x14ac:dyDescent="0.3">
      <c r="A2990" s="83" t="s">
        <v>214</v>
      </c>
      <c r="B2990" s="83"/>
      <c r="C2990" s="16">
        <v>46249</v>
      </c>
      <c r="D2990" s="82">
        <v>0</v>
      </c>
    </row>
    <row r="2991" spans="1:4" x14ac:dyDescent="0.3">
      <c r="A2991" s="83" t="s">
        <v>194</v>
      </c>
      <c r="B2991" s="83"/>
      <c r="C2991" s="16">
        <v>46249</v>
      </c>
      <c r="D2991" s="82">
        <v>0</v>
      </c>
    </row>
    <row r="2992" spans="1:4" x14ac:dyDescent="0.3">
      <c r="A2992" s="83" t="s">
        <v>195</v>
      </c>
      <c r="B2992" s="83"/>
      <c r="C2992" s="16">
        <v>46249</v>
      </c>
      <c r="D2992" s="82">
        <v>0</v>
      </c>
    </row>
    <row r="2993" spans="1:4" x14ac:dyDescent="0.3">
      <c r="A2993" s="83" t="s">
        <v>196</v>
      </c>
      <c r="B2993" s="83"/>
      <c r="C2993" s="16">
        <v>46249</v>
      </c>
      <c r="D2993" s="82">
        <v>0</v>
      </c>
    </row>
    <row r="2994" spans="1:4" x14ac:dyDescent="0.3">
      <c r="A2994" s="83" t="s">
        <v>197</v>
      </c>
      <c r="B2994" s="83"/>
      <c r="C2994" s="16">
        <v>46249</v>
      </c>
      <c r="D2994" s="82">
        <v>0</v>
      </c>
    </row>
    <row r="2995" spans="1:4" x14ac:dyDescent="0.3">
      <c r="A2995" s="83" t="s">
        <v>212</v>
      </c>
      <c r="B2995" s="83"/>
      <c r="C2995" s="16">
        <v>46249</v>
      </c>
      <c r="D2995" s="82">
        <v>0</v>
      </c>
    </row>
    <row r="2996" spans="1:4" x14ac:dyDescent="0.3">
      <c r="A2996" s="83" t="s">
        <v>199</v>
      </c>
      <c r="B2996" s="83"/>
      <c r="C2996" s="16">
        <v>46249</v>
      </c>
      <c r="D2996" s="82">
        <v>0</v>
      </c>
    </row>
    <row r="2997" spans="1:4" x14ac:dyDescent="0.3">
      <c r="A2997" s="83" t="s">
        <v>216</v>
      </c>
      <c r="B2997" s="83"/>
      <c r="C2997" s="16">
        <v>46249</v>
      </c>
      <c r="D2997" s="82">
        <v>0</v>
      </c>
    </row>
    <row r="2998" spans="1:4" x14ac:dyDescent="0.3">
      <c r="A2998" s="83" t="s">
        <v>17</v>
      </c>
      <c r="B2998" s="83"/>
      <c r="C2998" s="16">
        <v>46250</v>
      </c>
      <c r="D2998" s="82">
        <v>941223.58000000042</v>
      </c>
    </row>
    <row r="2999" spans="1:4" x14ac:dyDescent="0.3">
      <c r="A2999" s="83" t="s">
        <v>18</v>
      </c>
      <c r="B2999" s="83"/>
      <c r="C2999" s="16">
        <v>46250</v>
      </c>
      <c r="D2999" s="82">
        <v>83211.250000000175</v>
      </c>
    </row>
    <row r="3000" spans="1:4" x14ac:dyDescent="0.3">
      <c r="A3000" s="83" t="s">
        <v>19</v>
      </c>
      <c r="B3000" s="83"/>
      <c r="C3000" s="16">
        <v>46250</v>
      </c>
      <c r="D3000" s="82">
        <v>1669.89</v>
      </c>
    </row>
    <row r="3001" spans="1:4" x14ac:dyDescent="0.3">
      <c r="A3001" s="83" t="s">
        <v>20</v>
      </c>
      <c r="B3001" s="83"/>
      <c r="C3001" s="16">
        <v>46250</v>
      </c>
      <c r="D3001" s="82">
        <v>1289451.94</v>
      </c>
    </row>
    <row r="3002" spans="1:4" x14ac:dyDescent="0.3">
      <c r="A3002" s="83" t="s">
        <v>21</v>
      </c>
      <c r="B3002" s="83"/>
      <c r="C3002" s="16">
        <v>46250</v>
      </c>
      <c r="D3002" s="82">
        <v>1418808.6399999997</v>
      </c>
    </row>
    <row r="3003" spans="1:4" x14ac:dyDescent="0.3">
      <c r="A3003" s="83" t="s">
        <v>22</v>
      </c>
      <c r="B3003" s="83"/>
      <c r="C3003" s="16">
        <v>46250</v>
      </c>
      <c r="D3003" s="82">
        <v>221496.38</v>
      </c>
    </row>
    <row r="3004" spans="1:4" x14ac:dyDescent="0.3">
      <c r="A3004" s="83" t="s">
        <v>23</v>
      </c>
      <c r="B3004" s="83"/>
      <c r="C3004" s="16">
        <v>46250</v>
      </c>
      <c r="D3004" s="82">
        <v>277586.34000000003</v>
      </c>
    </row>
    <row r="3005" spans="1:4" x14ac:dyDescent="0.3">
      <c r="A3005" s="83" t="s">
        <v>24</v>
      </c>
      <c r="B3005" s="83"/>
      <c r="C3005" s="16">
        <v>46250</v>
      </c>
      <c r="D3005" s="82">
        <v>13270.02</v>
      </c>
    </row>
    <row r="3006" spans="1:4" x14ac:dyDescent="0.3">
      <c r="A3006" s="83" t="s">
        <v>25</v>
      </c>
      <c r="B3006" s="83"/>
      <c r="C3006" s="16">
        <v>46250</v>
      </c>
      <c r="D3006" s="82">
        <v>24.450000000000003</v>
      </c>
    </row>
    <row r="3007" spans="1:4" x14ac:dyDescent="0.3">
      <c r="A3007" s="83" t="s">
        <v>26</v>
      </c>
      <c r="B3007" s="83"/>
      <c r="C3007" s="16">
        <v>46250</v>
      </c>
      <c r="D3007" s="82">
        <v>2177.87</v>
      </c>
    </row>
    <row r="3008" spans="1:4" x14ac:dyDescent="0.3">
      <c r="A3008" s="83" t="s">
        <v>27</v>
      </c>
      <c r="B3008" s="83"/>
      <c r="C3008" s="16">
        <v>46250</v>
      </c>
      <c r="D3008" s="82">
        <v>754424.72</v>
      </c>
    </row>
    <row r="3009" spans="1:4" x14ac:dyDescent="0.3">
      <c r="A3009" s="83" t="s">
        <v>28</v>
      </c>
      <c r="B3009" s="83"/>
      <c r="C3009" s="16">
        <v>46250</v>
      </c>
      <c r="D3009" s="82">
        <v>1968.99</v>
      </c>
    </row>
    <row r="3010" spans="1:4" x14ac:dyDescent="0.3">
      <c r="A3010" s="83" t="s">
        <v>29</v>
      </c>
      <c r="B3010" s="83"/>
      <c r="C3010" s="16">
        <v>46250</v>
      </c>
      <c r="D3010" s="82">
        <v>901.34</v>
      </c>
    </row>
    <row r="3011" spans="1:4" x14ac:dyDescent="0.3">
      <c r="A3011" s="83" t="s">
        <v>30</v>
      </c>
      <c r="B3011" s="83"/>
      <c r="C3011" s="16">
        <v>46250</v>
      </c>
      <c r="D3011" s="82">
        <v>1396.08</v>
      </c>
    </row>
    <row r="3012" spans="1:4" x14ac:dyDescent="0.3">
      <c r="A3012" s="83" t="s">
        <v>31</v>
      </c>
      <c r="B3012" s="83"/>
      <c r="C3012" s="16">
        <v>46250</v>
      </c>
      <c r="D3012" s="82">
        <v>13685.709999999959</v>
      </c>
    </row>
    <row r="3013" spans="1:4" x14ac:dyDescent="0.3">
      <c r="A3013" s="83" t="s">
        <v>32</v>
      </c>
      <c r="B3013" s="83"/>
      <c r="C3013" s="16">
        <v>46250</v>
      </c>
      <c r="D3013" s="82">
        <v>8724.1700000000037</v>
      </c>
    </row>
    <row r="3014" spans="1:4" x14ac:dyDescent="0.3">
      <c r="A3014" s="83" t="s">
        <v>33</v>
      </c>
      <c r="B3014" s="83"/>
      <c r="C3014" s="16">
        <v>46250</v>
      </c>
      <c r="D3014" s="82">
        <v>19336.039999999997</v>
      </c>
    </row>
    <row r="3015" spans="1:4" x14ac:dyDescent="0.3">
      <c r="A3015" s="83" t="s">
        <v>34</v>
      </c>
      <c r="B3015" s="83"/>
      <c r="C3015" s="16">
        <v>46250</v>
      </c>
      <c r="D3015" s="82">
        <v>345</v>
      </c>
    </row>
    <row r="3016" spans="1:4" x14ac:dyDescent="0.3">
      <c r="A3016" s="83" t="s">
        <v>35</v>
      </c>
      <c r="B3016" s="83"/>
      <c r="C3016" s="16">
        <v>46250</v>
      </c>
      <c r="D3016" s="82">
        <v>14740.900000000001</v>
      </c>
    </row>
    <row r="3017" spans="1:4" x14ac:dyDescent="0.3">
      <c r="A3017" s="83" t="s">
        <v>193</v>
      </c>
      <c r="B3017" s="83"/>
      <c r="C3017" s="16">
        <v>46250</v>
      </c>
      <c r="D3017" s="82">
        <v>0</v>
      </c>
    </row>
    <row r="3018" spans="1:4" x14ac:dyDescent="0.3">
      <c r="A3018" s="83" t="s">
        <v>214</v>
      </c>
      <c r="B3018" s="83"/>
      <c r="C3018" s="16">
        <v>46250</v>
      </c>
      <c r="D3018" s="82">
        <v>0</v>
      </c>
    </row>
    <row r="3019" spans="1:4" x14ac:dyDescent="0.3">
      <c r="A3019" s="83" t="s">
        <v>194</v>
      </c>
      <c r="B3019" s="83"/>
      <c r="C3019" s="16">
        <v>46250</v>
      </c>
      <c r="D3019" s="82">
        <v>0</v>
      </c>
    </row>
    <row r="3020" spans="1:4" x14ac:dyDescent="0.3">
      <c r="A3020" s="83" t="s">
        <v>195</v>
      </c>
      <c r="B3020" s="83"/>
      <c r="C3020" s="16">
        <v>46250</v>
      </c>
      <c r="D3020" s="82">
        <v>0</v>
      </c>
    </row>
    <row r="3021" spans="1:4" x14ac:dyDescent="0.3">
      <c r="A3021" s="83" t="s">
        <v>196</v>
      </c>
      <c r="B3021" s="83"/>
      <c r="C3021" s="16">
        <v>46250</v>
      </c>
      <c r="D3021" s="82">
        <v>0</v>
      </c>
    </row>
    <row r="3022" spans="1:4" x14ac:dyDescent="0.3">
      <c r="A3022" s="83" t="s">
        <v>197</v>
      </c>
      <c r="B3022" s="83"/>
      <c r="C3022" s="16">
        <v>46250</v>
      </c>
      <c r="D3022" s="82">
        <v>0</v>
      </c>
    </row>
    <row r="3023" spans="1:4" x14ac:dyDescent="0.3">
      <c r="A3023" s="83" t="s">
        <v>212</v>
      </c>
      <c r="B3023" s="83"/>
      <c r="C3023" s="16">
        <v>46250</v>
      </c>
      <c r="D3023" s="82">
        <v>0</v>
      </c>
    </row>
    <row r="3024" spans="1:4" x14ac:dyDescent="0.3">
      <c r="A3024" s="83" t="s">
        <v>199</v>
      </c>
      <c r="B3024" s="83"/>
      <c r="C3024" s="16">
        <v>46250</v>
      </c>
      <c r="D3024" s="82">
        <v>0</v>
      </c>
    </row>
    <row r="3025" spans="1:4" x14ac:dyDescent="0.3">
      <c r="A3025" s="83" t="s">
        <v>216</v>
      </c>
      <c r="B3025" s="83"/>
      <c r="C3025" s="16">
        <v>46250</v>
      </c>
      <c r="D3025" s="82">
        <v>0</v>
      </c>
    </row>
    <row r="3026" spans="1:4" x14ac:dyDescent="0.3">
      <c r="A3026" s="83" t="s">
        <v>17</v>
      </c>
      <c r="B3026" s="83"/>
      <c r="C3026" s="16">
        <v>46251</v>
      </c>
      <c r="D3026" s="82">
        <v>941223.58000000042</v>
      </c>
    </row>
    <row r="3027" spans="1:4" x14ac:dyDescent="0.3">
      <c r="A3027" s="83" t="s">
        <v>18</v>
      </c>
      <c r="B3027" s="83"/>
      <c r="C3027" s="16">
        <v>46251</v>
      </c>
      <c r="D3027" s="82">
        <v>83211.250000000175</v>
      </c>
    </row>
    <row r="3028" spans="1:4" x14ac:dyDescent="0.3">
      <c r="A3028" s="83" t="s">
        <v>19</v>
      </c>
      <c r="B3028" s="83"/>
      <c r="C3028" s="16">
        <v>46251</v>
      </c>
      <c r="D3028" s="82">
        <v>1669.89</v>
      </c>
    </row>
    <row r="3029" spans="1:4" x14ac:dyDescent="0.3">
      <c r="A3029" s="83" t="s">
        <v>20</v>
      </c>
      <c r="B3029" s="83"/>
      <c r="C3029" s="16">
        <v>46251</v>
      </c>
      <c r="D3029" s="82">
        <v>1289031.3399999999</v>
      </c>
    </row>
    <row r="3030" spans="1:4" x14ac:dyDescent="0.3">
      <c r="A3030" s="83" t="s">
        <v>21</v>
      </c>
      <c r="B3030" s="83"/>
      <c r="C3030" s="16">
        <v>46251</v>
      </c>
      <c r="D3030" s="82">
        <v>1383977.5499999996</v>
      </c>
    </row>
    <row r="3031" spans="1:4" x14ac:dyDescent="0.3">
      <c r="A3031" s="83" t="s">
        <v>22</v>
      </c>
      <c r="B3031" s="83"/>
      <c r="C3031" s="16">
        <v>46251</v>
      </c>
      <c r="D3031" s="82">
        <v>221496.38</v>
      </c>
    </row>
    <row r="3032" spans="1:4" x14ac:dyDescent="0.3">
      <c r="A3032" s="83" t="s">
        <v>23</v>
      </c>
      <c r="B3032" s="83"/>
      <c r="C3032" s="16">
        <v>46251</v>
      </c>
      <c r="D3032" s="82">
        <v>277586.34000000003</v>
      </c>
    </row>
    <row r="3033" spans="1:4" x14ac:dyDescent="0.3">
      <c r="A3033" s="83" t="s">
        <v>24</v>
      </c>
      <c r="B3033" s="83"/>
      <c r="C3033" s="16">
        <v>46251</v>
      </c>
      <c r="D3033" s="82">
        <v>13270.02</v>
      </c>
    </row>
    <row r="3034" spans="1:4" x14ac:dyDescent="0.3">
      <c r="A3034" s="83" t="s">
        <v>25</v>
      </c>
      <c r="B3034" s="83"/>
      <c r="C3034" s="16">
        <v>46251</v>
      </c>
      <c r="D3034" s="82">
        <v>24.450000000000003</v>
      </c>
    </row>
    <row r="3035" spans="1:4" x14ac:dyDescent="0.3">
      <c r="A3035" s="83" t="s">
        <v>26</v>
      </c>
      <c r="B3035" s="83"/>
      <c r="C3035" s="16">
        <v>46251</v>
      </c>
      <c r="D3035" s="82">
        <v>2177.87</v>
      </c>
    </row>
    <row r="3036" spans="1:4" x14ac:dyDescent="0.3">
      <c r="A3036" s="83" t="s">
        <v>27</v>
      </c>
      <c r="B3036" s="83"/>
      <c r="C3036" s="16">
        <v>46251</v>
      </c>
      <c r="D3036" s="82">
        <v>754424.72</v>
      </c>
    </row>
    <row r="3037" spans="1:4" x14ac:dyDescent="0.3">
      <c r="A3037" s="83" t="s">
        <v>28</v>
      </c>
      <c r="B3037" s="83"/>
      <c r="C3037" s="16">
        <v>46251</v>
      </c>
      <c r="D3037" s="82">
        <v>1968.99</v>
      </c>
    </row>
    <row r="3038" spans="1:4" x14ac:dyDescent="0.3">
      <c r="A3038" s="83" t="s">
        <v>29</v>
      </c>
      <c r="B3038" s="83"/>
      <c r="C3038" s="16">
        <v>46251</v>
      </c>
      <c r="D3038" s="82">
        <v>901.34</v>
      </c>
    </row>
    <row r="3039" spans="1:4" x14ac:dyDescent="0.3">
      <c r="A3039" s="83" t="s">
        <v>30</v>
      </c>
      <c r="B3039" s="83"/>
      <c r="C3039" s="16">
        <v>46251</v>
      </c>
      <c r="D3039" s="82">
        <v>1396.08</v>
      </c>
    </row>
    <row r="3040" spans="1:4" x14ac:dyDescent="0.3">
      <c r="A3040" s="83" t="s">
        <v>31</v>
      </c>
      <c r="B3040" s="83"/>
      <c r="C3040" s="16">
        <v>46251</v>
      </c>
      <c r="D3040" s="82">
        <v>13685.709999999959</v>
      </c>
    </row>
    <row r="3041" spans="1:4" x14ac:dyDescent="0.3">
      <c r="A3041" s="83" t="s">
        <v>32</v>
      </c>
      <c r="B3041" s="83"/>
      <c r="C3041" s="16">
        <v>46251</v>
      </c>
      <c r="D3041" s="82">
        <v>8724.1700000000037</v>
      </c>
    </row>
    <row r="3042" spans="1:4" x14ac:dyDescent="0.3">
      <c r="A3042" s="83" t="s">
        <v>33</v>
      </c>
      <c r="B3042" s="83"/>
      <c r="C3042" s="16">
        <v>46251</v>
      </c>
      <c r="D3042" s="82">
        <v>19336.039999999997</v>
      </c>
    </row>
    <row r="3043" spans="1:4" x14ac:dyDescent="0.3">
      <c r="A3043" s="83" t="s">
        <v>34</v>
      </c>
      <c r="B3043" s="83"/>
      <c r="C3043" s="16">
        <v>46251</v>
      </c>
      <c r="D3043" s="82">
        <v>345</v>
      </c>
    </row>
    <row r="3044" spans="1:4" x14ac:dyDescent="0.3">
      <c r="A3044" s="83" t="s">
        <v>35</v>
      </c>
      <c r="B3044" s="83"/>
      <c r="C3044" s="16">
        <v>46251</v>
      </c>
      <c r="D3044" s="82">
        <v>14565.900000000001</v>
      </c>
    </row>
    <row r="3045" spans="1:4" x14ac:dyDescent="0.3">
      <c r="A3045" s="83" t="s">
        <v>193</v>
      </c>
      <c r="B3045" s="83"/>
      <c r="C3045" s="16">
        <v>46251</v>
      </c>
      <c r="D3045" s="82">
        <v>0</v>
      </c>
    </row>
    <row r="3046" spans="1:4" x14ac:dyDescent="0.3">
      <c r="A3046" s="83" t="s">
        <v>214</v>
      </c>
      <c r="B3046" s="83"/>
      <c r="C3046" s="16">
        <v>46251</v>
      </c>
      <c r="D3046" s="82">
        <v>0</v>
      </c>
    </row>
    <row r="3047" spans="1:4" x14ac:dyDescent="0.3">
      <c r="A3047" s="83" t="s">
        <v>194</v>
      </c>
      <c r="B3047" s="83"/>
      <c r="C3047" s="16">
        <v>46251</v>
      </c>
      <c r="D3047" s="82">
        <v>0</v>
      </c>
    </row>
    <row r="3048" spans="1:4" x14ac:dyDescent="0.3">
      <c r="A3048" s="83" t="s">
        <v>195</v>
      </c>
      <c r="B3048" s="83"/>
      <c r="C3048" s="16">
        <v>46251</v>
      </c>
      <c r="D3048" s="82">
        <v>0</v>
      </c>
    </row>
    <row r="3049" spans="1:4" x14ac:dyDescent="0.3">
      <c r="A3049" s="83" t="s">
        <v>196</v>
      </c>
      <c r="B3049" s="83"/>
      <c r="C3049" s="16">
        <v>46251</v>
      </c>
      <c r="D3049" s="82">
        <v>0</v>
      </c>
    </row>
    <row r="3050" spans="1:4" x14ac:dyDescent="0.3">
      <c r="A3050" s="83" t="s">
        <v>197</v>
      </c>
      <c r="B3050" s="83"/>
      <c r="C3050" s="16">
        <v>46251</v>
      </c>
      <c r="D3050" s="82">
        <v>0</v>
      </c>
    </row>
    <row r="3051" spans="1:4" x14ac:dyDescent="0.3">
      <c r="A3051" s="83" t="s">
        <v>212</v>
      </c>
      <c r="B3051" s="83"/>
      <c r="C3051" s="16">
        <v>46251</v>
      </c>
      <c r="D3051" s="82">
        <v>0</v>
      </c>
    </row>
    <row r="3052" spans="1:4" x14ac:dyDescent="0.3">
      <c r="A3052" s="83" t="s">
        <v>199</v>
      </c>
      <c r="B3052" s="83"/>
      <c r="C3052" s="16">
        <v>46251</v>
      </c>
      <c r="D3052" s="82">
        <v>0</v>
      </c>
    </row>
    <row r="3053" spans="1:4" x14ac:dyDescent="0.3">
      <c r="A3053" s="83" t="s">
        <v>216</v>
      </c>
      <c r="B3053" s="83"/>
      <c r="C3053" s="16">
        <v>46251</v>
      </c>
      <c r="D3053" s="82">
        <v>0</v>
      </c>
    </row>
    <row r="3054" spans="1:4" x14ac:dyDescent="0.3">
      <c r="A3054" s="83" t="s">
        <v>17</v>
      </c>
      <c r="B3054" s="83"/>
      <c r="C3054" s="16">
        <v>46252</v>
      </c>
      <c r="D3054" s="82">
        <v>1047085.3600000005</v>
      </c>
    </row>
    <row r="3055" spans="1:4" x14ac:dyDescent="0.3">
      <c r="A3055" s="83" t="s">
        <v>18</v>
      </c>
      <c r="B3055" s="83"/>
      <c r="C3055" s="16">
        <v>46252</v>
      </c>
      <c r="D3055" s="82">
        <v>83211.250000000175</v>
      </c>
    </row>
    <row r="3056" spans="1:4" x14ac:dyDescent="0.3">
      <c r="A3056" s="83" t="s">
        <v>19</v>
      </c>
      <c r="B3056" s="83"/>
      <c r="C3056" s="16">
        <v>46252</v>
      </c>
      <c r="D3056" s="82">
        <v>1669.89</v>
      </c>
    </row>
    <row r="3057" spans="1:4" x14ac:dyDescent="0.3">
      <c r="A3057" s="83" t="s">
        <v>20</v>
      </c>
      <c r="B3057" s="83"/>
      <c r="C3057" s="16">
        <v>46252</v>
      </c>
      <c r="D3057" s="82">
        <v>1289031.3399999999</v>
      </c>
    </row>
    <row r="3058" spans="1:4" x14ac:dyDescent="0.3">
      <c r="A3058" s="83" t="s">
        <v>21</v>
      </c>
      <c r="B3058" s="83"/>
      <c r="C3058" s="16">
        <v>46252</v>
      </c>
      <c r="D3058" s="82">
        <v>1381487.1899999995</v>
      </c>
    </row>
    <row r="3059" spans="1:4" x14ac:dyDescent="0.3">
      <c r="A3059" s="83" t="s">
        <v>22</v>
      </c>
      <c r="B3059" s="83"/>
      <c r="C3059" s="16">
        <v>46252</v>
      </c>
      <c r="D3059" s="82">
        <v>221496.38</v>
      </c>
    </row>
    <row r="3060" spans="1:4" x14ac:dyDescent="0.3">
      <c r="A3060" s="83" t="s">
        <v>23</v>
      </c>
      <c r="B3060" s="83"/>
      <c r="C3060" s="16">
        <v>46252</v>
      </c>
      <c r="D3060" s="82">
        <v>277586.34000000003</v>
      </c>
    </row>
    <row r="3061" spans="1:4" x14ac:dyDescent="0.3">
      <c r="A3061" s="83" t="s">
        <v>24</v>
      </c>
      <c r="B3061" s="83"/>
      <c r="C3061" s="16">
        <v>46252</v>
      </c>
      <c r="D3061" s="82">
        <v>13270.02</v>
      </c>
    </row>
    <row r="3062" spans="1:4" x14ac:dyDescent="0.3">
      <c r="A3062" s="83" t="s">
        <v>25</v>
      </c>
      <c r="B3062" s="83"/>
      <c r="C3062" s="16">
        <v>46252</v>
      </c>
      <c r="D3062" s="82">
        <v>24.450000000000003</v>
      </c>
    </row>
    <row r="3063" spans="1:4" x14ac:dyDescent="0.3">
      <c r="A3063" s="83" t="s">
        <v>26</v>
      </c>
      <c r="B3063" s="83"/>
      <c r="C3063" s="16">
        <v>46252</v>
      </c>
      <c r="D3063" s="82">
        <v>2177.87</v>
      </c>
    </row>
    <row r="3064" spans="1:4" x14ac:dyDescent="0.3">
      <c r="A3064" s="83" t="s">
        <v>27</v>
      </c>
      <c r="B3064" s="83"/>
      <c r="C3064" s="16">
        <v>46252</v>
      </c>
      <c r="D3064" s="82">
        <v>754424.72</v>
      </c>
    </row>
    <row r="3065" spans="1:4" x14ac:dyDescent="0.3">
      <c r="A3065" s="83" t="s">
        <v>28</v>
      </c>
      <c r="B3065" s="83"/>
      <c r="C3065" s="16">
        <v>46252</v>
      </c>
      <c r="D3065" s="82">
        <v>1968.99</v>
      </c>
    </row>
    <row r="3066" spans="1:4" x14ac:dyDescent="0.3">
      <c r="A3066" s="83" t="s">
        <v>29</v>
      </c>
      <c r="B3066" s="83"/>
      <c r="C3066" s="16">
        <v>46252</v>
      </c>
      <c r="D3066" s="82">
        <v>901.34</v>
      </c>
    </row>
    <row r="3067" spans="1:4" x14ac:dyDescent="0.3">
      <c r="A3067" s="83" t="s">
        <v>30</v>
      </c>
      <c r="B3067" s="83"/>
      <c r="C3067" s="16">
        <v>46252</v>
      </c>
      <c r="D3067" s="82">
        <v>1396.08</v>
      </c>
    </row>
    <row r="3068" spans="1:4" x14ac:dyDescent="0.3">
      <c r="A3068" s="83" t="s">
        <v>31</v>
      </c>
      <c r="B3068" s="83"/>
      <c r="C3068" s="16">
        <v>46252</v>
      </c>
      <c r="D3068" s="82">
        <v>13685.709999999959</v>
      </c>
    </row>
    <row r="3069" spans="1:4" x14ac:dyDescent="0.3">
      <c r="A3069" s="83" t="s">
        <v>32</v>
      </c>
      <c r="B3069" s="83"/>
      <c r="C3069" s="16">
        <v>46252</v>
      </c>
      <c r="D3069" s="82">
        <v>8724.1700000000037</v>
      </c>
    </row>
    <row r="3070" spans="1:4" x14ac:dyDescent="0.3">
      <c r="A3070" s="83" t="s">
        <v>33</v>
      </c>
      <c r="B3070" s="83"/>
      <c r="C3070" s="16">
        <v>46252</v>
      </c>
      <c r="D3070" s="82">
        <v>19336.039999999997</v>
      </c>
    </row>
    <row r="3071" spans="1:4" x14ac:dyDescent="0.3">
      <c r="A3071" s="83" t="s">
        <v>34</v>
      </c>
      <c r="B3071" s="83"/>
      <c r="C3071" s="16">
        <v>46252</v>
      </c>
      <c r="D3071" s="82">
        <v>345</v>
      </c>
    </row>
    <row r="3072" spans="1:4" x14ac:dyDescent="0.3">
      <c r="A3072" s="83" t="s">
        <v>35</v>
      </c>
      <c r="B3072" s="83"/>
      <c r="C3072" s="16">
        <v>46252</v>
      </c>
      <c r="D3072" s="82">
        <v>14565.900000000001</v>
      </c>
    </row>
    <row r="3073" spans="1:4" x14ac:dyDescent="0.3">
      <c r="A3073" s="83" t="s">
        <v>193</v>
      </c>
      <c r="B3073" s="83"/>
      <c r="C3073" s="16">
        <v>46252</v>
      </c>
      <c r="D3073" s="82">
        <v>0</v>
      </c>
    </row>
    <row r="3074" spans="1:4" x14ac:dyDescent="0.3">
      <c r="A3074" s="83" t="s">
        <v>214</v>
      </c>
      <c r="B3074" s="83"/>
      <c r="C3074" s="16">
        <v>46252</v>
      </c>
      <c r="D3074" s="82">
        <v>0</v>
      </c>
    </row>
    <row r="3075" spans="1:4" x14ac:dyDescent="0.3">
      <c r="A3075" s="83" t="s">
        <v>194</v>
      </c>
      <c r="B3075" s="83"/>
      <c r="C3075" s="16">
        <v>46252</v>
      </c>
      <c r="D3075" s="82">
        <v>0</v>
      </c>
    </row>
    <row r="3076" spans="1:4" x14ac:dyDescent="0.3">
      <c r="A3076" s="83" t="s">
        <v>195</v>
      </c>
      <c r="B3076" s="83"/>
      <c r="C3076" s="16">
        <v>46252</v>
      </c>
      <c r="D3076" s="82">
        <v>0</v>
      </c>
    </row>
    <row r="3077" spans="1:4" x14ac:dyDescent="0.3">
      <c r="A3077" s="83" t="s">
        <v>196</v>
      </c>
      <c r="B3077" s="83"/>
      <c r="C3077" s="16">
        <v>46252</v>
      </c>
      <c r="D3077" s="82">
        <v>0</v>
      </c>
    </row>
    <row r="3078" spans="1:4" x14ac:dyDescent="0.3">
      <c r="A3078" s="83" t="s">
        <v>197</v>
      </c>
      <c r="B3078" s="83"/>
      <c r="C3078" s="16">
        <v>46252</v>
      </c>
      <c r="D3078" s="82">
        <v>0</v>
      </c>
    </row>
    <row r="3079" spans="1:4" x14ac:dyDescent="0.3">
      <c r="A3079" s="83" t="s">
        <v>212</v>
      </c>
      <c r="B3079" s="83"/>
      <c r="C3079" s="16">
        <v>46252</v>
      </c>
      <c r="D3079" s="82">
        <v>0</v>
      </c>
    </row>
    <row r="3080" spans="1:4" x14ac:dyDescent="0.3">
      <c r="A3080" s="83" t="s">
        <v>199</v>
      </c>
      <c r="B3080" s="83"/>
      <c r="C3080" s="16">
        <v>46252</v>
      </c>
      <c r="D3080" s="82">
        <v>0</v>
      </c>
    </row>
    <row r="3081" spans="1:4" x14ac:dyDescent="0.3">
      <c r="A3081" s="83" t="s">
        <v>216</v>
      </c>
      <c r="B3081" s="83"/>
      <c r="C3081" s="16">
        <v>46252</v>
      </c>
      <c r="D3081" s="82">
        <v>0</v>
      </c>
    </row>
    <row r="3082" spans="1:4" x14ac:dyDescent="0.3">
      <c r="A3082" s="83" t="s">
        <v>17</v>
      </c>
      <c r="B3082" s="83"/>
      <c r="C3082" s="16">
        <v>46253</v>
      </c>
      <c r="D3082" s="82">
        <v>1047085.3600000005</v>
      </c>
    </row>
    <row r="3083" spans="1:4" x14ac:dyDescent="0.3">
      <c r="A3083" s="83" t="s">
        <v>18</v>
      </c>
      <c r="B3083" s="83"/>
      <c r="C3083" s="16">
        <v>46253</v>
      </c>
      <c r="D3083" s="82">
        <v>83211.250000000175</v>
      </c>
    </row>
    <row r="3084" spans="1:4" x14ac:dyDescent="0.3">
      <c r="A3084" s="83" t="s">
        <v>19</v>
      </c>
      <c r="B3084" s="83"/>
      <c r="C3084" s="16">
        <v>46253</v>
      </c>
      <c r="D3084" s="82">
        <v>1669.89</v>
      </c>
    </row>
    <row r="3085" spans="1:4" x14ac:dyDescent="0.3">
      <c r="A3085" s="83" t="s">
        <v>20</v>
      </c>
      <c r="B3085" s="83"/>
      <c r="C3085" s="16">
        <v>46253</v>
      </c>
      <c r="D3085" s="82">
        <v>1289031.3399999999</v>
      </c>
    </row>
    <row r="3086" spans="1:4" x14ac:dyDescent="0.3">
      <c r="A3086" s="83" t="s">
        <v>21</v>
      </c>
      <c r="B3086" s="83"/>
      <c r="C3086" s="16">
        <v>46253</v>
      </c>
      <c r="D3086" s="82">
        <v>1880583.4899999998</v>
      </c>
    </row>
    <row r="3087" spans="1:4" x14ac:dyDescent="0.3">
      <c r="A3087" s="83" t="s">
        <v>22</v>
      </c>
      <c r="B3087" s="83"/>
      <c r="C3087" s="16">
        <v>46253</v>
      </c>
      <c r="D3087" s="82">
        <v>221496.38</v>
      </c>
    </row>
    <row r="3088" spans="1:4" x14ac:dyDescent="0.3">
      <c r="A3088" s="83" t="s">
        <v>23</v>
      </c>
      <c r="B3088" s="83"/>
      <c r="C3088" s="16">
        <v>46253</v>
      </c>
      <c r="D3088" s="82">
        <v>277586.34000000003</v>
      </c>
    </row>
    <row r="3089" spans="1:4" x14ac:dyDescent="0.3">
      <c r="A3089" s="83" t="s">
        <v>24</v>
      </c>
      <c r="B3089" s="83"/>
      <c r="C3089" s="16">
        <v>46253</v>
      </c>
      <c r="D3089" s="82">
        <v>13270.02</v>
      </c>
    </row>
    <row r="3090" spans="1:4" x14ac:dyDescent="0.3">
      <c r="A3090" s="83" t="s">
        <v>25</v>
      </c>
      <c r="B3090" s="83"/>
      <c r="C3090" s="16">
        <v>46253</v>
      </c>
      <c r="D3090" s="82">
        <v>24.450000000000003</v>
      </c>
    </row>
    <row r="3091" spans="1:4" x14ac:dyDescent="0.3">
      <c r="A3091" s="83" t="s">
        <v>26</v>
      </c>
      <c r="B3091" s="83"/>
      <c r="C3091" s="16">
        <v>46253</v>
      </c>
      <c r="D3091" s="82">
        <v>2177.87</v>
      </c>
    </row>
    <row r="3092" spans="1:4" x14ac:dyDescent="0.3">
      <c r="A3092" s="83" t="s">
        <v>27</v>
      </c>
      <c r="B3092" s="83"/>
      <c r="C3092" s="16">
        <v>46253</v>
      </c>
      <c r="D3092" s="82">
        <v>754424.72</v>
      </c>
    </row>
    <row r="3093" spans="1:4" x14ac:dyDescent="0.3">
      <c r="A3093" s="83" t="s">
        <v>28</v>
      </c>
      <c r="B3093" s="83"/>
      <c r="C3093" s="16">
        <v>46253</v>
      </c>
      <c r="D3093" s="82">
        <v>1968.99</v>
      </c>
    </row>
    <row r="3094" spans="1:4" x14ac:dyDescent="0.3">
      <c r="A3094" s="83" t="s">
        <v>29</v>
      </c>
      <c r="B3094" s="83"/>
      <c r="C3094" s="16">
        <v>46253</v>
      </c>
      <c r="D3094" s="82">
        <v>901.34</v>
      </c>
    </row>
    <row r="3095" spans="1:4" x14ac:dyDescent="0.3">
      <c r="A3095" s="83" t="s">
        <v>30</v>
      </c>
      <c r="B3095" s="83"/>
      <c r="C3095" s="16">
        <v>46253</v>
      </c>
      <c r="D3095" s="82">
        <v>1396.08</v>
      </c>
    </row>
    <row r="3096" spans="1:4" x14ac:dyDescent="0.3">
      <c r="A3096" s="83" t="s">
        <v>31</v>
      </c>
      <c r="B3096" s="83"/>
      <c r="C3096" s="16">
        <v>46253</v>
      </c>
      <c r="D3096" s="82">
        <v>13685.709999999959</v>
      </c>
    </row>
    <row r="3097" spans="1:4" x14ac:dyDescent="0.3">
      <c r="A3097" s="83" t="s">
        <v>32</v>
      </c>
      <c r="B3097" s="83"/>
      <c r="C3097" s="16">
        <v>46253</v>
      </c>
      <c r="D3097" s="82">
        <v>8724.1700000000037</v>
      </c>
    </row>
    <row r="3098" spans="1:4" x14ac:dyDescent="0.3">
      <c r="A3098" s="83" t="s">
        <v>33</v>
      </c>
      <c r="B3098" s="83"/>
      <c r="C3098" s="16">
        <v>46253</v>
      </c>
      <c r="D3098" s="82">
        <v>19336.039999999997</v>
      </c>
    </row>
    <row r="3099" spans="1:4" x14ac:dyDescent="0.3">
      <c r="A3099" s="83" t="s">
        <v>34</v>
      </c>
      <c r="B3099" s="83"/>
      <c r="C3099" s="16">
        <v>46253</v>
      </c>
      <c r="D3099" s="82">
        <v>345</v>
      </c>
    </row>
    <row r="3100" spans="1:4" x14ac:dyDescent="0.3">
      <c r="A3100" s="83" t="s">
        <v>35</v>
      </c>
      <c r="B3100" s="83"/>
      <c r="C3100" s="16">
        <v>46253</v>
      </c>
      <c r="D3100" s="82">
        <v>14565.900000000001</v>
      </c>
    </row>
    <row r="3101" spans="1:4" x14ac:dyDescent="0.3">
      <c r="A3101" s="83" t="s">
        <v>193</v>
      </c>
      <c r="B3101" s="83"/>
      <c r="C3101" s="16">
        <v>46253</v>
      </c>
      <c r="D3101" s="82">
        <v>0</v>
      </c>
    </row>
    <row r="3102" spans="1:4" x14ac:dyDescent="0.3">
      <c r="A3102" s="83" t="s">
        <v>214</v>
      </c>
      <c r="B3102" s="83"/>
      <c r="C3102" s="16">
        <v>46253</v>
      </c>
      <c r="D3102" s="82">
        <v>0</v>
      </c>
    </row>
    <row r="3103" spans="1:4" x14ac:dyDescent="0.3">
      <c r="A3103" s="83" t="s">
        <v>194</v>
      </c>
      <c r="B3103" s="83"/>
      <c r="C3103" s="16">
        <v>46253</v>
      </c>
      <c r="D3103" s="82">
        <v>0</v>
      </c>
    </row>
    <row r="3104" spans="1:4" x14ac:dyDescent="0.3">
      <c r="A3104" s="83" t="s">
        <v>195</v>
      </c>
      <c r="B3104" s="83"/>
      <c r="C3104" s="16">
        <v>46253</v>
      </c>
      <c r="D3104" s="82">
        <v>0</v>
      </c>
    </row>
    <row r="3105" spans="1:4" x14ac:dyDescent="0.3">
      <c r="A3105" s="83" t="s">
        <v>196</v>
      </c>
      <c r="B3105" s="83"/>
      <c r="C3105" s="16">
        <v>46253</v>
      </c>
      <c r="D3105" s="82">
        <v>0</v>
      </c>
    </row>
    <row r="3106" spans="1:4" x14ac:dyDescent="0.3">
      <c r="A3106" s="83" t="s">
        <v>197</v>
      </c>
      <c r="B3106" s="83"/>
      <c r="C3106" s="16">
        <v>46253</v>
      </c>
      <c r="D3106" s="82">
        <v>0</v>
      </c>
    </row>
    <row r="3107" spans="1:4" x14ac:dyDescent="0.3">
      <c r="A3107" s="83" t="s">
        <v>212</v>
      </c>
      <c r="B3107" s="83"/>
      <c r="C3107" s="16">
        <v>46253</v>
      </c>
      <c r="D3107" s="82">
        <v>0</v>
      </c>
    </row>
    <row r="3108" spans="1:4" x14ac:dyDescent="0.3">
      <c r="A3108" s="83" t="s">
        <v>199</v>
      </c>
      <c r="B3108" s="83"/>
      <c r="C3108" s="16">
        <v>46253</v>
      </c>
      <c r="D3108" s="82">
        <v>0</v>
      </c>
    </row>
    <row r="3109" spans="1:4" x14ac:dyDescent="0.3">
      <c r="A3109" s="83" t="s">
        <v>216</v>
      </c>
      <c r="B3109" s="83"/>
      <c r="C3109" s="16">
        <v>46253</v>
      </c>
      <c r="D3109" s="82">
        <v>0</v>
      </c>
    </row>
    <row r="3110" spans="1:4" x14ac:dyDescent="0.3">
      <c r="A3110" s="83" t="s">
        <v>17</v>
      </c>
      <c r="B3110" s="83"/>
      <c r="C3110" s="16">
        <v>46254</v>
      </c>
      <c r="D3110" s="82">
        <v>702210.36000000045</v>
      </c>
    </row>
    <row r="3111" spans="1:4" x14ac:dyDescent="0.3">
      <c r="A3111" s="83" t="s">
        <v>18</v>
      </c>
      <c r="B3111" s="83"/>
      <c r="C3111" s="16">
        <v>46254</v>
      </c>
      <c r="D3111" s="82">
        <v>83211.250000000175</v>
      </c>
    </row>
    <row r="3112" spans="1:4" x14ac:dyDescent="0.3">
      <c r="A3112" s="83" t="s">
        <v>19</v>
      </c>
      <c r="B3112" s="83"/>
      <c r="C3112" s="16">
        <v>46254</v>
      </c>
      <c r="D3112" s="82">
        <v>1669.89</v>
      </c>
    </row>
    <row r="3113" spans="1:4" x14ac:dyDescent="0.3">
      <c r="A3113" s="83" t="s">
        <v>20</v>
      </c>
      <c r="B3113" s="83"/>
      <c r="C3113" s="16">
        <v>46254</v>
      </c>
      <c r="D3113" s="82">
        <v>1229031.3399999999</v>
      </c>
    </row>
    <row r="3114" spans="1:4" x14ac:dyDescent="0.3">
      <c r="A3114" s="83" t="s">
        <v>21</v>
      </c>
      <c r="B3114" s="83"/>
      <c r="C3114" s="16">
        <v>46254</v>
      </c>
      <c r="D3114" s="82">
        <v>1744052.5799999996</v>
      </c>
    </row>
    <row r="3115" spans="1:4" x14ac:dyDescent="0.3">
      <c r="A3115" s="83" t="s">
        <v>22</v>
      </c>
      <c r="B3115" s="83"/>
      <c r="C3115" s="16">
        <v>46254</v>
      </c>
      <c r="D3115" s="82">
        <v>221496.38</v>
      </c>
    </row>
    <row r="3116" spans="1:4" x14ac:dyDescent="0.3">
      <c r="A3116" s="83" t="s">
        <v>23</v>
      </c>
      <c r="B3116" s="83"/>
      <c r="C3116" s="16">
        <v>46254</v>
      </c>
      <c r="D3116" s="82">
        <v>277586.34000000003</v>
      </c>
    </row>
    <row r="3117" spans="1:4" x14ac:dyDescent="0.3">
      <c r="A3117" s="83" t="s">
        <v>24</v>
      </c>
      <c r="B3117" s="83"/>
      <c r="C3117" s="16">
        <v>46254</v>
      </c>
      <c r="D3117" s="82">
        <v>13270.02</v>
      </c>
    </row>
    <row r="3118" spans="1:4" x14ac:dyDescent="0.3">
      <c r="A3118" s="83" t="s">
        <v>25</v>
      </c>
      <c r="B3118" s="83"/>
      <c r="C3118" s="16">
        <v>46254</v>
      </c>
      <c r="D3118" s="82">
        <v>24.450000000000003</v>
      </c>
    </row>
    <row r="3119" spans="1:4" x14ac:dyDescent="0.3">
      <c r="A3119" s="83" t="s">
        <v>26</v>
      </c>
      <c r="B3119" s="83"/>
      <c r="C3119" s="16">
        <v>46254</v>
      </c>
      <c r="D3119" s="82">
        <v>2177.87</v>
      </c>
    </row>
    <row r="3120" spans="1:4" x14ac:dyDescent="0.3">
      <c r="A3120" s="83" t="s">
        <v>27</v>
      </c>
      <c r="B3120" s="83"/>
      <c r="C3120" s="16">
        <v>46254</v>
      </c>
      <c r="D3120" s="82">
        <v>754424.72</v>
      </c>
    </row>
    <row r="3121" spans="1:4" x14ac:dyDescent="0.3">
      <c r="A3121" s="83" t="s">
        <v>28</v>
      </c>
      <c r="B3121" s="83"/>
      <c r="C3121" s="16">
        <v>46254</v>
      </c>
      <c r="D3121" s="82">
        <v>1968.99</v>
      </c>
    </row>
    <row r="3122" spans="1:4" x14ac:dyDescent="0.3">
      <c r="A3122" s="83" t="s">
        <v>29</v>
      </c>
      <c r="B3122" s="83"/>
      <c r="C3122" s="16">
        <v>46254</v>
      </c>
      <c r="D3122" s="82">
        <v>901.34</v>
      </c>
    </row>
    <row r="3123" spans="1:4" x14ac:dyDescent="0.3">
      <c r="A3123" s="83" t="s">
        <v>30</v>
      </c>
      <c r="B3123" s="83"/>
      <c r="C3123" s="16">
        <v>46254</v>
      </c>
      <c r="D3123" s="82">
        <v>1396.08</v>
      </c>
    </row>
    <row r="3124" spans="1:4" x14ac:dyDescent="0.3">
      <c r="A3124" s="83" t="s">
        <v>31</v>
      </c>
      <c r="B3124" s="83"/>
      <c r="C3124" s="16">
        <v>46254</v>
      </c>
      <c r="D3124" s="82">
        <v>13685.709999999959</v>
      </c>
    </row>
    <row r="3125" spans="1:4" x14ac:dyDescent="0.3">
      <c r="A3125" s="83" t="s">
        <v>32</v>
      </c>
      <c r="B3125" s="83"/>
      <c r="C3125" s="16">
        <v>46254</v>
      </c>
      <c r="D3125" s="82">
        <v>8724.1700000000037</v>
      </c>
    </row>
    <row r="3126" spans="1:4" x14ac:dyDescent="0.3">
      <c r="A3126" s="83" t="s">
        <v>33</v>
      </c>
      <c r="B3126" s="83"/>
      <c r="C3126" s="16">
        <v>46254</v>
      </c>
      <c r="D3126" s="82">
        <v>19336.039999999997</v>
      </c>
    </row>
    <row r="3127" spans="1:4" x14ac:dyDescent="0.3">
      <c r="A3127" s="83" t="s">
        <v>34</v>
      </c>
      <c r="B3127" s="83"/>
      <c r="C3127" s="16">
        <v>46254</v>
      </c>
      <c r="D3127" s="82">
        <v>345</v>
      </c>
    </row>
    <row r="3128" spans="1:4" x14ac:dyDescent="0.3">
      <c r="A3128" s="83" t="s">
        <v>35</v>
      </c>
      <c r="B3128" s="83"/>
      <c r="C3128" s="16">
        <v>46254</v>
      </c>
      <c r="D3128" s="82">
        <v>12741.780000000002</v>
      </c>
    </row>
    <row r="3129" spans="1:4" x14ac:dyDescent="0.3">
      <c r="A3129" s="83" t="s">
        <v>193</v>
      </c>
      <c r="B3129" s="83"/>
      <c r="C3129" s="16">
        <v>46254</v>
      </c>
      <c r="D3129" s="82">
        <v>0</v>
      </c>
    </row>
    <row r="3130" spans="1:4" x14ac:dyDescent="0.3">
      <c r="A3130" s="83" t="s">
        <v>214</v>
      </c>
      <c r="B3130" s="83"/>
      <c r="C3130" s="16">
        <v>46254</v>
      </c>
      <c r="D3130" s="82">
        <v>0</v>
      </c>
    </row>
    <row r="3131" spans="1:4" x14ac:dyDescent="0.3">
      <c r="A3131" s="83" t="s">
        <v>194</v>
      </c>
      <c r="B3131" s="83"/>
      <c r="C3131" s="16">
        <v>46254</v>
      </c>
      <c r="D3131" s="82">
        <v>0</v>
      </c>
    </row>
    <row r="3132" spans="1:4" x14ac:dyDescent="0.3">
      <c r="A3132" s="83" t="s">
        <v>195</v>
      </c>
      <c r="B3132" s="83"/>
      <c r="C3132" s="16">
        <v>46254</v>
      </c>
      <c r="D3132" s="82">
        <v>0</v>
      </c>
    </row>
    <row r="3133" spans="1:4" x14ac:dyDescent="0.3">
      <c r="A3133" s="83" t="s">
        <v>196</v>
      </c>
      <c r="B3133" s="83"/>
      <c r="C3133" s="16">
        <v>46254</v>
      </c>
      <c r="D3133" s="82">
        <v>0</v>
      </c>
    </row>
    <row r="3134" spans="1:4" x14ac:dyDescent="0.3">
      <c r="A3134" s="83" t="s">
        <v>197</v>
      </c>
      <c r="B3134" s="83"/>
      <c r="C3134" s="16">
        <v>46254</v>
      </c>
      <c r="D3134" s="82">
        <v>0</v>
      </c>
    </row>
    <row r="3135" spans="1:4" x14ac:dyDescent="0.3">
      <c r="A3135" s="83" t="s">
        <v>212</v>
      </c>
      <c r="B3135" s="83"/>
      <c r="C3135" s="16">
        <v>46254</v>
      </c>
      <c r="D3135" s="82">
        <v>0</v>
      </c>
    </row>
    <row r="3136" spans="1:4" x14ac:dyDescent="0.3">
      <c r="A3136" s="83" t="s">
        <v>199</v>
      </c>
      <c r="B3136" s="83"/>
      <c r="C3136" s="16">
        <v>46254</v>
      </c>
      <c r="D3136" s="82">
        <v>0</v>
      </c>
    </row>
    <row r="3137" spans="1:4" x14ac:dyDescent="0.3">
      <c r="A3137" s="83" t="s">
        <v>216</v>
      </c>
      <c r="B3137" s="83"/>
      <c r="C3137" s="16">
        <v>46254</v>
      </c>
      <c r="D3137" s="82">
        <v>0</v>
      </c>
    </row>
    <row r="3138" spans="1:4" x14ac:dyDescent="0.3">
      <c r="A3138" s="83" t="s">
        <v>17</v>
      </c>
      <c r="B3138" s="83"/>
      <c r="C3138" s="16">
        <v>46255</v>
      </c>
      <c r="D3138" s="82">
        <v>702210.36000000045</v>
      </c>
    </row>
    <row r="3139" spans="1:4" x14ac:dyDescent="0.3">
      <c r="A3139" s="83" t="s">
        <v>18</v>
      </c>
      <c r="B3139" s="83"/>
      <c r="C3139" s="16">
        <v>46255</v>
      </c>
      <c r="D3139" s="82">
        <v>83211.250000000175</v>
      </c>
    </row>
    <row r="3140" spans="1:4" x14ac:dyDescent="0.3">
      <c r="A3140" s="83" t="s">
        <v>19</v>
      </c>
      <c r="B3140" s="83"/>
      <c r="C3140" s="16">
        <v>46255</v>
      </c>
      <c r="D3140" s="82">
        <v>1669.89</v>
      </c>
    </row>
    <row r="3141" spans="1:4" x14ac:dyDescent="0.3">
      <c r="A3141" s="83" t="s">
        <v>20</v>
      </c>
      <c r="B3141" s="83"/>
      <c r="C3141" s="16">
        <v>46255</v>
      </c>
      <c r="D3141" s="82">
        <v>1229031.3399999999</v>
      </c>
    </row>
    <row r="3142" spans="1:4" x14ac:dyDescent="0.3">
      <c r="A3142" s="83" t="s">
        <v>21</v>
      </c>
      <c r="B3142" s="83"/>
      <c r="C3142" s="16">
        <v>46255</v>
      </c>
      <c r="D3142" s="82">
        <v>1744052.5799999996</v>
      </c>
    </row>
    <row r="3143" spans="1:4" x14ac:dyDescent="0.3">
      <c r="A3143" s="83" t="s">
        <v>22</v>
      </c>
      <c r="B3143" s="83"/>
      <c r="C3143" s="16">
        <v>46255</v>
      </c>
      <c r="D3143" s="82">
        <v>221496.38</v>
      </c>
    </row>
    <row r="3144" spans="1:4" x14ac:dyDescent="0.3">
      <c r="A3144" s="83" t="s">
        <v>23</v>
      </c>
      <c r="B3144" s="83"/>
      <c r="C3144" s="16">
        <v>46255</v>
      </c>
      <c r="D3144" s="82">
        <v>277586.34000000003</v>
      </c>
    </row>
    <row r="3145" spans="1:4" x14ac:dyDescent="0.3">
      <c r="A3145" s="83" t="s">
        <v>24</v>
      </c>
      <c r="B3145" s="83"/>
      <c r="C3145" s="16">
        <v>46255</v>
      </c>
      <c r="D3145" s="82">
        <v>13270.02</v>
      </c>
    </row>
    <row r="3146" spans="1:4" x14ac:dyDescent="0.3">
      <c r="A3146" s="83" t="s">
        <v>25</v>
      </c>
      <c r="B3146" s="83"/>
      <c r="C3146" s="16">
        <v>46255</v>
      </c>
      <c r="D3146" s="82">
        <v>24.450000000000003</v>
      </c>
    </row>
    <row r="3147" spans="1:4" x14ac:dyDescent="0.3">
      <c r="A3147" s="83" t="s">
        <v>26</v>
      </c>
      <c r="B3147" s="83"/>
      <c r="C3147" s="16">
        <v>46255</v>
      </c>
      <c r="D3147" s="82">
        <v>2177.87</v>
      </c>
    </row>
    <row r="3148" spans="1:4" x14ac:dyDescent="0.3">
      <c r="A3148" s="83" t="s">
        <v>27</v>
      </c>
      <c r="B3148" s="83"/>
      <c r="C3148" s="16">
        <v>46255</v>
      </c>
      <c r="D3148" s="82">
        <v>754424.72</v>
      </c>
    </row>
    <row r="3149" spans="1:4" x14ac:dyDescent="0.3">
      <c r="A3149" s="83" t="s">
        <v>28</v>
      </c>
      <c r="B3149" s="83"/>
      <c r="C3149" s="16">
        <v>46255</v>
      </c>
      <c r="D3149" s="82">
        <v>1968.99</v>
      </c>
    </row>
    <row r="3150" spans="1:4" x14ac:dyDescent="0.3">
      <c r="A3150" s="83" t="s">
        <v>29</v>
      </c>
      <c r="B3150" s="83"/>
      <c r="C3150" s="16">
        <v>46255</v>
      </c>
      <c r="D3150" s="82">
        <v>901.34</v>
      </c>
    </row>
    <row r="3151" spans="1:4" x14ac:dyDescent="0.3">
      <c r="A3151" s="83" t="s">
        <v>30</v>
      </c>
      <c r="B3151" s="83"/>
      <c r="C3151" s="16">
        <v>46255</v>
      </c>
      <c r="D3151" s="82">
        <v>1396.08</v>
      </c>
    </row>
    <row r="3152" spans="1:4" x14ac:dyDescent="0.3">
      <c r="A3152" s="83" t="s">
        <v>31</v>
      </c>
      <c r="B3152" s="83"/>
      <c r="C3152" s="16">
        <v>46255</v>
      </c>
      <c r="D3152" s="82">
        <v>13685.709999999959</v>
      </c>
    </row>
    <row r="3153" spans="1:4" x14ac:dyDescent="0.3">
      <c r="A3153" s="83" t="s">
        <v>32</v>
      </c>
      <c r="B3153" s="83"/>
      <c r="C3153" s="16">
        <v>46255</v>
      </c>
      <c r="D3153" s="82">
        <v>8724.1700000000037</v>
      </c>
    </row>
    <row r="3154" spans="1:4" x14ac:dyDescent="0.3">
      <c r="A3154" s="83" t="s">
        <v>33</v>
      </c>
      <c r="B3154" s="83"/>
      <c r="C3154" s="16">
        <v>46255</v>
      </c>
      <c r="D3154" s="82">
        <v>19336.039999999997</v>
      </c>
    </row>
    <row r="3155" spans="1:4" x14ac:dyDescent="0.3">
      <c r="A3155" s="83" t="s">
        <v>34</v>
      </c>
      <c r="B3155" s="83"/>
      <c r="C3155" s="16">
        <v>46255</v>
      </c>
      <c r="D3155" s="82">
        <v>345</v>
      </c>
    </row>
    <row r="3156" spans="1:4" x14ac:dyDescent="0.3">
      <c r="A3156" s="83" t="s">
        <v>35</v>
      </c>
      <c r="B3156" s="83"/>
      <c r="C3156" s="16">
        <v>46255</v>
      </c>
      <c r="D3156" s="82">
        <v>12541.790000000003</v>
      </c>
    </row>
    <row r="3157" spans="1:4" x14ac:dyDescent="0.3">
      <c r="A3157" s="83" t="s">
        <v>193</v>
      </c>
      <c r="B3157" s="83"/>
      <c r="C3157" s="16">
        <v>46255</v>
      </c>
      <c r="D3157" s="82">
        <v>0</v>
      </c>
    </row>
    <row r="3158" spans="1:4" x14ac:dyDescent="0.3">
      <c r="A3158" s="83" t="s">
        <v>214</v>
      </c>
      <c r="B3158" s="83"/>
      <c r="C3158" s="16">
        <v>46255</v>
      </c>
      <c r="D3158" s="82">
        <v>0</v>
      </c>
    </row>
    <row r="3159" spans="1:4" x14ac:dyDescent="0.3">
      <c r="A3159" s="83" t="s">
        <v>194</v>
      </c>
      <c r="B3159" s="83"/>
      <c r="C3159" s="16">
        <v>46255</v>
      </c>
      <c r="D3159" s="82">
        <v>0</v>
      </c>
    </row>
    <row r="3160" spans="1:4" x14ac:dyDescent="0.3">
      <c r="A3160" s="83" t="s">
        <v>195</v>
      </c>
      <c r="B3160" s="83"/>
      <c r="C3160" s="16">
        <v>46255</v>
      </c>
      <c r="D3160" s="82">
        <v>0</v>
      </c>
    </row>
    <row r="3161" spans="1:4" x14ac:dyDescent="0.3">
      <c r="A3161" s="83" t="s">
        <v>196</v>
      </c>
      <c r="B3161" s="83"/>
      <c r="C3161" s="16">
        <v>46255</v>
      </c>
      <c r="D3161" s="82">
        <v>0</v>
      </c>
    </row>
    <row r="3162" spans="1:4" x14ac:dyDescent="0.3">
      <c r="A3162" s="83" t="s">
        <v>197</v>
      </c>
      <c r="B3162" s="83"/>
      <c r="C3162" s="16">
        <v>46255</v>
      </c>
      <c r="D3162" s="82">
        <v>0</v>
      </c>
    </row>
    <row r="3163" spans="1:4" x14ac:dyDescent="0.3">
      <c r="A3163" s="83" t="s">
        <v>212</v>
      </c>
      <c r="B3163" s="83"/>
      <c r="C3163" s="16">
        <v>46255</v>
      </c>
      <c r="D3163" s="82">
        <v>0</v>
      </c>
    </row>
    <row r="3164" spans="1:4" x14ac:dyDescent="0.3">
      <c r="A3164" s="83" t="s">
        <v>199</v>
      </c>
      <c r="B3164" s="83"/>
      <c r="C3164" s="16">
        <v>46255</v>
      </c>
      <c r="D3164" s="82">
        <v>0</v>
      </c>
    </row>
    <row r="3165" spans="1:4" x14ac:dyDescent="0.3">
      <c r="A3165" s="83" t="s">
        <v>216</v>
      </c>
      <c r="B3165" s="83"/>
      <c r="C3165" s="16">
        <v>46255</v>
      </c>
      <c r="D3165" s="82">
        <v>0</v>
      </c>
    </row>
    <row r="3166" spans="1:4" x14ac:dyDescent="0.3">
      <c r="A3166" s="83" t="s">
        <v>17</v>
      </c>
      <c r="B3166" s="83"/>
      <c r="C3166" s="16">
        <v>46256</v>
      </c>
      <c r="D3166" s="82">
        <v>702210.36000000045</v>
      </c>
    </row>
    <row r="3167" spans="1:4" x14ac:dyDescent="0.3">
      <c r="A3167" s="83" t="s">
        <v>18</v>
      </c>
      <c r="B3167" s="83"/>
      <c r="C3167" s="16">
        <v>46256</v>
      </c>
      <c r="D3167" s="82">
        <v>83211.250000000175</v>
      </c>
    </row>
    <row r="3168" spans="1:4" x14ac:dyDescent="0.3">
      <c r="A3168" s="83" t="s">
        <v>19</v>
      </c>
      <c r="B3168" s="83"/>
      <c r="C3168" s="16">
        <v>46256</v>
      </c>
      <c r="D3168" s="82">
        <v>1669.89</v>
      </c>
    </row>
    <row r="3169" spans="1:4" x14ac:dyDescent="0.3">
      <c r="A3169" s="83" t="s">
        <v>20</v>
      </c>
      <c r="B3169" s="83"/>
      <c r="C3169" s="16">
        <v>46256</v>
      </c>
      <c r="D3169" s="82">
        <v>1229031.3399999999</v>
      </c>
    </row>
    <row r="3170" spans="1:4" x14ac:dyDescent="0.3">
      <c r="A3170" s="83" t="s">
        <v>21</v>
      </c>
      <c r="B3170" s="83"/>
      <c r="C3170" s="16">
        <v>46256</v>
      </c>
      <c r="D3170" s="82">
        <v>1744052.5799999996</v>
      </c>
    </row>
    <row r="3171" spans="1:4" x14ac:dyDescent="0.3">
      <c r="A3171" s="83" t="s">
        <v>22</v>
      </c>
      <c r="B3171" s="83"/>
      <c r="C3171" s="16">
        <v>46256</v>
      </c>
      <c r="D3171" s="82">
        <v>221496.38</v>
      </c>
    </row>
    <row r="3172" spans="1:4" x14ac:dyDescent="0.3">
      <c r="A3172" s="83" t="s">
        <v>23</v>
      </c>
      <c r="B3172" s="83"/>
      <c r="C3172" s="16">
        <v>46256</v>
      </c>
      <c r="D3172" s="82">
        <v>277586.34000000003</v>
      </c>
    </row>
    <row r="3173" spans="1:4" x14ac:dyDescent="0.3">
      <c r="A3173" s="83" t="s">
        <v>24</v>
      </c>
      <c r="B3173" s="83"/>
      <c r="C3173" s="16">
        <v>46256</v>
      </c>
      <c r="D3173" s="82">
        <v>13270.02</v>
      </c>
    </row>
    <row r="3174" spans="1:4" x14ac:dyDescent="0.3">
      <c r="A3174" s="83" t="s">
        <v>25</v>
      </c>
      <c r="B3174" s="83"/>
      <c r="C3174" s="16">
        <v>46256</v>
      </c>
      <c r="D3174" s="82">
        <v>24.450000000000003</v>
      </c>
    </row>
    <row r="3175" spans="1:4" x14ac:dyDescent="0.3">
      <c r="A3175" s="83" t="s">
        <v>26</v>
      </c>
      <c r="B3175" s="83"/>
      <c r="C3175" s="16">
        <v>46256</v>
      </c>
      <c r="D3175" s="82">
        <v>2177.87</v>
      </c>
    </row>
    <row r="3176" spans="1:4" x14ac:dyDescent="0.3">
      <c r="A3176" s="83" t="s">
        <v>27</v>
      </c>
      <c r="B3176" s="83"/>
      <c r="C3176" s="16">
        <v>46256</v>
      </c>
      <c r="D3176" s="82">
        <v>754424.72</v>
      </c>
    </row>
    <row r="3177" spans="1:4" x14ac:dyDescent="0.3">
      <c r="A3177" s="83" t="s">
        <v>28</v>
      </c>
      <c r="B3177" s="83"/>
      <c r="C3177" s="16">
        <v>46256</v>
      </c>
      <c r="D3177" s="82">
        <v>1968.99</v>
      </c>
    </row>
    <row r="3178" spans="1:4" x14ac:dyDescent="0.3">
      <c r="A3178" s="83" t="s">
        <v>29</v>
      </c>
      <c r="B3178" s="83"/>
      <c r="C3178" s="16">
        <v>46256</v>
      </c>
      <c r="D3178" s="82">
        <v>901.34</v>
      </c>
    </row>
    <row r="3179" spans="1:4" x14ac:dyDescent="0.3">
      <c r="A3179" s="83" t="s">
        <v>30</v>
      </c>
      <c r="B3179" s="83"/>
      <c r="C3179" s="16">
        <v>46256</v>
      </c>
      <c r="D3179" s="82">
        <v>1396.08</v>
      </c>
    </row>
    <row r="3180" spans="1:4" x14ac:dyDescent="0.3">
      <c r="A3180" s="83" t="s">
        <v>31</v>
      </c>
      <c r="B3180" s="83"/>
      <c r="C3180" s="16">
        <v>46256</v>
      </c>
      <c r="D3180" s="82">
        <v>13685.709999999959</v>
      </c>
    </row>
    <row r="3181" spans="1:4" x14ac:dyDescent="0.3">
      <c r="A3181" s="83" t="s">
        <v>32</v>
      </c>
      <c r="B3181" s="83"/>
      <c r="C3181" s="16">
        <v>46256</v>
      </c>
      <c r="D3181" s="82">
        <v>8724.1700000000037</v>
      </c>
    </row>
    <row r="3182" spans="1:4" x14ac:dyDescent="0.3">
      <c r="A3182" s="83" t="s">
        <v>33</v>
      </c>
      <c r="B3182" s="83"/>
      <c r="C3182" s="16">
        <v>46256</v>
      </c>
      <c r="D3182" s="82">
        <v>19336.039999999997</v>
      </c>
    </row>
    <row r="3183" spans="1:4" x14ac:dyDescent="0.3">
      <c r="A3183" s="83" t="s">
        <v>34</v>
      </c>
      <c r="B3183" s="83"/>
      <c r="C3183" s="16">
        <v>46256</v>
      </c>
      <c r="D3183" s="82">
        <v>345</v>
      </c>
    </row>
    <row r="3184" spans="1:4" x14ac:dyDescent="0.3">
      <c r="A3184" s="83" t="s">
        <v>35</v>
      </c>
      <c r="B3184" s="83"/>
      <c r="C3184" s="16">
        <v>46256</v>
      </c>
      <c r="D3184" s="82">
        <v>12541.790000000003</v>
      </c>
    </row>
    <row r="3185" spans="1:4" x14ac:dyDescent="0.3">
      <c r="A3185" s="83" t="s">
        <v>193</v>
      </c>
      <c r="B3185" s="83"/>
      <c r="C3185" s="16">
        <v>46256</v>
      </c>
      <c r="D3185" s="82">
        <v>0</v>
      </c>
    </row>
    <row r="3186" spans="1:4" x14ac:dyDescent="0.3">
      <c r="A3186" s="83" t="s">
        <v>214</v>
      </c>
      <c r="B3186" s="83"/>
      <c r="C3186" s="16">
        <v>46256</v>
      </c>
      <c r="D3186" s="82">
        <v>0</v>
      </c>
    </row>
    <row r="3187" spans="1:4" x14ac:dyDescent="0.3">
      <c r="A3187" s="83" t="s">
        <v>194</v>
      </c>
      <c r="B3187" s="83"/>
      <c r="C3187" s="16">
        <v>46256</v>
      </c>
      <c r="D3187" s="82">
        <v>0</v>
      </c>
    </row>
    <row r="3188" spans="1:4" x14ac:dyDescent="0.3">
      <c r="A3188" s="83" t="s">
        <v>195</v>
      </c>
      <c r="B3188" s="83"/>
      <c r="C3188" s="16">
        <v>46256</v>
      </c>
      <c r="D3188" s="82">
        <v>0</v>
      </c>
    </row>
    <row r="3189" spans="1:4" x14ac:dyDescent="0.3">
      <c r="A3189" s="83" t="s">
        <v>196</v>
      </c>
      <c r="B3189" s="83"/>
      <c r="C3189" s="16">
        <v>46256</v>
      </c>
      <c r="D3189" s="82">
        <v>0</v>
      </c>
    </row>
    <row r="3190" spans="1:4" x14ac:dyDescent="0.3">
      <c r="A3190" s="83" t="s">
        <v>197</v>
      </c>
      <c r="B3190" s="83"/>
      <c r="C3190" s="16">
        <v>46256</v>
      </c>
      <c r="D3190" s="82">
        <v>0</v>
      </c>
    </row>
    <row r="3191" spans="1:4" x14ac:dyDescent="0.3">
      <c r="A3191" s="83" t="s">
        <v>212</v>
      </c>
      <c r="B3191" s="83"/>
      <c r="C3191" s="16">
        <v>46256</v>
      </c>
      <c r="D3191" s="82">
        <v>0</v>
      </c>
    </row>
    <row r="3192" spans="1:4" x14ac:dyDescent="0.3">
      <c r="A3192" s="83" t="s">
        <v>199</v>
      </c>
      <c r="B3192" s="83"/>
      <c r="C3192" s="16">
        <v>46256</v>
      </c>
      <c r="D3192" s="82">
        <v>0</v>
      </c>
    </row>
    <row r="3193" spans="1:4" x14ac:dyDescent="0.3">
      <c r="A3193" s="83" t="s">
        <v>216</v>
      </c>
      <c r="B3193" s="83"/>
      <c r="C3193" s="16">
        <v>46256</v>
      </c>
      <c r="D3193" s="82">
        <v>0</v>
      </c>
    </row>
    <row r="3194" spans="1:4" x14ac:dyDescent="0.3">
      <c r="A3194" s="83" t="s">
        <v>17</v>
      </c>
      <c r="B3194" s="83"/>
      <c r="C3194" s="16">
        <v>46257</v>
      </c>
      <c r="D3194" s="82">
        <v>702210.36000000045</v>
      </c>
    </row>
    <row r="3195" spans="1:4" x14ac:dyDescent="0.3">
      <c r="A3195" s="83" t="s">
        <v>18</v>
      </c>
      <c r="B3195" s="83"/>
      <c r="C3195" s="16">
        <v>46257</v>
      </c>
      <c r="D3195" s="82">
        <v>83211.250000000175</v>
      </c>
    </row>
    <row r="3196" spans="1:4" x14ac:dyDescent="0.3">
      <c r="A3196" s="83" t="s">
        <v>19</v>
      </c>
      <c r="B3196" s="83"/>
      <c r="C3196" s="16">
        <v>46257</v>
      </c>
      <c r="D3196" s="82">
        <v>1669.89</v>
      </c>
    </row>
    <row r="3197" spans="1:4" x14ac:dyDescent="0.3">
      <c r="A3197" s="83" t="s">
        <v>20</v>
      </c>
      <c r="B3197" s="83"/>
      <c r="C3197" s="16">
        <v>46257</v>
      </c>
      <c r="D3197" s="82">
        <v>1229031.3399999999</v>
      </c>
    </row>
    <row r="3198" spans="1:4" x14ac:dyDescent="0.3">
      <c r="A3198" s="83" t="s">
        <v>21</v>
      </c>
      <c r="B3198" s="83"/>
      <c r="C3198" s="16">
        <v>46257</v>
      </c>
      <c r="D3198" s="82">
        <v>1744052.5799999996</v>
      </c>
    </row>
    <row r="3199" spans="1:4" x14ac:dyDescent="0.3">
      <c r="A3199" s="83" t="s">
        <v>22</v>
      </c>
      <c r="B3199" s="83"/>
      <c r="C3199" s="16">
        <v>46257</v>
      </c>
      <c r="D3199" s="82">
        <v>221496.38</v>
      </c>
    </row>
    <row r="3200" spans="1:4" x14ac:dyDescent="0.3">
      <c r="A3200" s="83" t="s">
        <v>23</v>
      </c>
      <c r="B3200" s="83"/>
      <c r="C3200" s="16">
        <v>46257</v>
      </c>
      <c r="D3200" s="82">
        <v>277586.34000000003</v>
      </c>
    </row>
    <row r="3201" spans="1:4" x14ac:dyDescent="0.3">
      <c r="A3201" s="83" t="s">
        <v>24</v>
      </c>
      <c r="B3201" s="83"/>
      <c r="C3201" s="16">
        <v>46257</v>
      </c>
      <c r="D3201" s="82">
        <v>13270.02</v>
      </c>
    </row>
    <row r="3202" spans="1:4" x14ac:dyDescent="0.3">
      <c r="A3202" s="83" t="s">
        <v>25</v>
      </c>
      <c r="B3202" s="83"/>
      <c r="C3202" s="16">
        <v>46257</v>
      </c>
      <c r="D3202" s="82">
        <v>24.450000000000003</v>
      </c>
    </row>
    <row r="3203" spans="1:4" x14ac:dyDescent="0.3">
      <c r="A3203" s="83" t="s">
        <v>26</v>
      </c>
      <c r="B3203" s="83"/>
      <c r="C3203" s="16">
        <v>46257</v>
      </c>
      <c r="D3203" s="82">
        <v>2177.87</v>
      </c>
    </row>
    <row r="3204" spans="1:4" x14ac:dyDescent="0.3">
      <c r="A3204" s="83" t="s">
        <v>27</v>
      </c>
      <c r="B3204" s="83"/>
      <c r="C3204" s="16">
        <v>46257</v>
      </c>
      <c r="D3204" s="82">
        <v>754424.72</v>
      </c>
    </row>
    <row r="3205" spans="1:4" x14ac:dyDescent="0.3">
      <c r="A3205" s="83" t="s">
        <v>28</v>
      </c>
      <c r="B3205" s="83"/>
      <c r="C3205" s="16">
        <v>46257</v>
      </c>
      <c r="D3205" s="82">
        <v>1968.99</v>
      </c>
    </row>
    <row r="3206" spans="1:4" x14ac:dyDescent="0.3">
      <c r="A3206" s="83" t="s">
        <v>29</v>
      </c>
      <c r="B3206" s="83"/>
      <c r="C3206" s="16">
        <v>46257</v>
      </c>
      <c r="D3206" s="82">
        <v>901.34</v>
      </c>
    </row>
    <row r="3207" spans="1:4" x14ac:dyDescent="0.3">
      <c r="A3207" s="83" t="s">
        <v>30</v>
      </c>
      <c r="B3207" s="83"/>
      <c r="C3207" s="16">
        <v>46257</v>
      </c>
      <c r="D3207" s="82">
        <v>1396.08</v>
      </c>
    </row>
    <row r="3208" spans="1:4" x14ac:dyDescent="0.3">
      <c r="A3208" s="83" t="s">
        <v>31</v>
      </c>
      <c r="B3208" s="83"/>
      <c r="C3208" s="16">
        <v>46257</v>
      </c>
      <c r="D3208" s="82">
        <v>13685.709999999959</v>
      </c>
    </row>
    <row r="3209" spans="1:4" x14ac:dyDescent="0.3">
      <c r="A3209" s="83" t="s">
        <v>32</v>
      </c>
      <c r="B3209" s="83"/>
      <c r="C3209" s="16">
        <v>46257</v>
      </c>
      <c r="D3209" s="82">
        <v>8724.1700000000037</v>
      </c>
    </row>
    <row r="3210" spans="1:4" x14ac:dyDescent="0.3">
      <c r="A3210" s="83" t="s">
        <v>33</v>
      </c>
      <c r="B3210" s="83"/>
      <c r="C3210" s="16">
        <v>46257</v>
      </c>
      <c r="D3210" s="82">
        <v>19336.039999999997</v>
      </c>
    </row>
    <row r="3211" spans="1:4" x14ac:dyDescent="0.3">
      <c r="A3211" s="83" t="s">
        <v>34</v>
      </c>
      <c r="B3211" s="83"/>
      <c r="C3211" s="16">
        <v>46257</v>
      </c>
      <c r="D3211" s="82">
        <v>345</v>
      </c>
    </row>
    <row r="3212" spans="1:4" x14ac:dyDescent="0.3">
      <c r="A3212" s="83" t="s">
        <v>35</v>
      </c>
      <c r="B3212" s="83"/>
      <c r="C3212" s="16">
        <v>46257</v>
      </c>
      <c r="D3212" s="82">
        <v>12541.790000000003</v>
      </c>
    </row>
    <row r="3213" spans="1:4" x14ac:dyDescent="0.3">
      <c r="A3213" s="83" t="s">
        <v>193</v>
      </c>
      <c r="B3213" s="83"/>
      <c r="C3213" s="16">
        <v>46257</v>
      </c>
      <c r="D3213" s="82">
        <v>0</v>
      </c>
    </row>
    <row r="3214" spans="1:4" x14ac:dyDescent="0.3">
      <c r="A3214" s="83" t="s">
        <v>214</v>
      </c>
      <c r="B3214" s="83"/>
      <c r="C3214" s="16">
        <v>46257</v>
      </c>
      <c r="D3214" s="82">
        <v>0</v>
      </c>
    </row>
    <row r="3215" spans="1:4" x14ac:dyDescent="0.3">
      <c r="A3215" s="83" t="s">
        <v>194</v>
      </c>
      <c r="B3215" s="83"/>
      <c r="C3215" s="16">
        <v>46257</v>
      </c>
      <c r="D3215" s="82">
        <v>0</v>
      </c>
    </row>
    <row r="3216" spans="1:4" x14ac:dyDescent="0.3">
      <c r="A3216" s="83" t="s">
        <v>195</v>
      </c>
      <c r="B3216" s="83"/>
      <c r="C3216" s="16">
        <v>46257</v>
      </c>
      <c r="D3216" s="82">
        <v>0</v>
      </c>
    </row>
    <row r="3217" spans="1:4" x14ac:dyDescent="0.3">
      <c r="A3217" s="83" t="s">
        <v>196</v>
      </c>
      <c r="B3217" s="83"/>
      <c r="C3217" s="16">
        <v>46257</v>
      </c>
      <c r="D3217" s="82">
        <v>0</v>
      </c>
    </row>
    <row r="3218" spans="1:4" x14ac:dyDescent="0.3">
      <c r="A3218" s="83" t="s">
        <v>197</v>
      </c>
      <c r="B3218" s="83"/>
      <c r="C3218" s="16">
        <v>46257</v>
      </c>
      <c r="D3218" s="82">
        <v>0</v>
      </c>
    </row>
    <row r="3219" spans="1:4" x14ac:dyDescent="0.3">
      <c r="A3219" s="83" t="s">
        <v>212</v>
      </c>
      <c r="B3219" s="83"/>
      <c r="C3219" s="16">
        <v>46257</v>
      </c>
      <c r="D3219" s="82">
        <v>0</v>
      </c>
    </row>
    <row r="3220" spans="1:4" x14ac:dyDescent="0.3">
      <c r="A3220" s="83" t="s">
        <v>199</v>
      </c>
      <c r="B3220" s="83"/>
      <c r="C3220" s="16">
        <v>46257</v>
      </c>
      <c r="D3220" s="82">
        <v>0</v>
      </c>
    </row>
    <row r="3221" spans="1:4" x14ac:dyDescent="0.3">
      <c r="A3221" s="83" t="s">
        <v>216</v>
      </c>
      <c r="B3221" s="83"/>
      <c r="C3221" s="16">
        <v>46257</v>
      </c>
      <c r="D3221" s="82">
        <v>0</v>
      </c>
    </row>
    <row r="3222" spans="1:4" x14ac:dyDescent="0.3">
      <c r="A3222" s="83" t="s">
        <v>17</v>
      </c>
      <c r="B3222" s="83"/>
      <c r="C3222" s="16">
        <v>46258</v>
      </c>
      <c r="D3222" s="82">
        <v>372210.36000000045</v>
      </c>
    </row>
    <row r="3223" spans="1:4" x14ac:dyDescent="0.3">
      <c r="A3223" s="83" t="s">
        <v>18</v>
      </c>
      <c r="B3223" s="83"/>
      <c r="C3223" s="16">
        <v>46258</v>
      </c>
      <c r="D3223" s="82">
        <v>83668.990000000165</v>
      </c>
    </row>
    <row r="3224" spans="1:4" x14ac:dyDescent="0.3">
      <c r="A3224" s="83" t="s">
        <v>19</v>
      </c>
      <c r="B3224" s="83"/>
      <c r="C3224" s="16">
        <v>46258</v>
      </c>
      <c r="D3224" s="82">
        <v>1669.89</v>
      </c>
    </row>
    <row r="3225" spans="1:4" x14ac:dyDescent="0.3">
      <c r="A3225" s="83" t="s">
        <v>20</v>
      </c>
      <c r="B3225" s="83"/>
      <c r="C3225" s="16">
        <v>46258</v>
      </c>
      <c r="D3225" s="82">
        <v>1234763.3299999998</v>
      </c>
    </row>
    <row r="3226" spans="1:4" x14ac:dyDescent="0.3">
      <c r="A3226" s="83" t="s">
        <v>21</v>
      </c>
      <c r="B3226" s="83"/>
      <c r="C3226" s="16">
        <v>46258</v>
      </c>
      <c r="D3226" s="82">
        <v>1743289.5899999996</v>
      </c>
    </row>
    <row r="3227" spans="1:4" x14ac:dyDescent="0.3">
      <c r="A3227" s="83" t="s">
        <v>22</v>
      </c>
      <c r="B3227" s="83"/>
      <c r="C3227" s="16">
        <v>46258</v>
      </c>
      <c r="D3227" s="82">
        <v>221496.38</v>
      </c>
    </row>
    <row r="3228" spans="1:4" x14ac:dyDescent="0.3">
      <c r="A3228" s="83" t="s">
        <v>23</v>
      </c>
      <c r="B3228" s="83"/>
      <c r="C3228" s="16">
        <v>46258</v>
      </c>
      <c r="D3228" s="82">
        <v>277586.34000000003</v>
      </c>
    </row>
    <row r="3229" spans="1:4" x14ac:dyDescent="0.3">
      <c r="A3229" s="83" t="s">
        <v>24</v>
      </c>
      <c r="B3229" s="83"/>
      <c r="C3229" s="16">
        <v>46258</v>
      </c>
      <c r="D3229" s="82">
        <v>13270.02</v>
      </c>
    </row>
    <row r="3230" spans="1:4" x14ac:dyDescent="0.3">
      <c r="A3230" s="83" t="s">
        <v>25</v>
      </c>
      <c r="B3230" s="83"/>
      <c r="C3230" s="16">
        <v>46258</v>
      </c>
      <c r="D3230" s="82">
        <v>24.450000000000003</v>
      </c>
    </row>
    <row r="3231" spans="1:4" x14ac:dyDescent="0.3">
      <c r="A3231" s="83" t="s">
        <v>26</v>
      </c>
      <c r="B3231" s="83"/>
      <c r="C3231" s="16">
        <v>46258</v>
      </c>
      <c r="D3231" s="82">
        <v>2177.87</v>
      </c>
    </row>
    <row r="3232" spans="1:4" x14ac:dyDescent="0.3">
      <c r="A3232" s="83" t="s">
        <v>27</v>
      </c>
      <c r="B3232" s="83"/>
      <c r="C3232" s="16">
        <v>46258</v>
      </c>
      <c r="D3232" s="82">
        <v>754424.72</v>
      </c>
    </row>
    <row r="3233" spans="1:4" x14ac:dyDescent="0.3">
      <c r="A3233" s="83" t="s">
        <v>28</v>
      </c>
      <c r="B3233" s="83"/>
      <c r="C3233" s="16">
        <v>46258</v>
      </c>
      <c r="D3233" s="82">
        <v>1968.99</v>
      </c>
    </row>
    <row r="3234" spans="1:4" x14ac:dyDescent="0.3">
      <c r="A3234" s="83" t="s">
        <v>29</v>
      </c>
      <c r="B3234" s="83"/>
      <c r="C3234" s="16">
        <v>46258</v>
      </c>
      <c r="D3234" s="82">
        <v>901.34</v>
      </c>
    </row>
    <row r="3235" spans="1:4" x14ac:dyDescent="0.3">
      <c r="A3235" s="83" t="s">
        <v>30</v>
      </c>
      <c r="B3235" s="83"/>
      <c r="C3235" s="16">
        <v>46258</v>
      </c>
      <c r="D3235" s="82">
        <v>1396.08</v>
      </c>
    </row>
    <row r="3236" spans="1:4" x14ac:dyDescent="0.3">
      <c r="A3236" s="83" t="s">
        <v>31</v>
      </c>
      <c r="B3236" s="83"/>
      <c r="C3236" s="16">
        <v>46258</v>
      </c>
      <c r="D3236" s="82">
        <v>13685.709999999959</v>
      </c>
    </row>
    <row r="3237" spans="1:4" x14ac:dyDescent="0.3">
      <c r="A3237" s="83" t="s">
        <v>32</v>
      </c>
      <c r="B3237" s="83"/>
      <c r="C3237" s="16">
        <v>46258</v>
      </c>
      <c r="D3237" s="82">
        <v>8724.1700000000037</v>
      </c>
    </row>
    <row r="3238" spans="1:4" x14ac:dyDescent="0.3">
      <c r="A3238" s="83" t="s">
        <v>33</v>
      </c>
      <c r="B3238" s="83"/>
      <c r="C3238" s="16">
        <v>46258</v>
      </c>
      <c r="D3238" s="82">
        <v>19336.039999999997</v>
      </c>
    </row>
    <row r="3239" spans="1:4" x14ac:dyDescent="0.3">
      <c r="A3239" s="83" t="s">
        <v>34</v>
      </c>
      <c r="B3239" s="83"/>
      <c r="C3239" s="16">
        <v>46258</v>
      </c>
      <c r="D3239" s="82">
        <v>345</v>
      </c>
    </row>
    <row r="3240" spans="1:4" x14ac:dyDescent="0.3">
      <c r="A3240" s="83" t="s">
        <v>35</v>
      </c>
      <c r="B3240" s="83"/>
      <c r="C3240" s="16">
        <v>46258</v>
      </c>
      <c r="D3240" s="82">
        <v>12519.840000000004</v>
      </c>
    </row>
    <row r="3241" spans="1:4" x14ac:dyDescent="0.3">
      <c r="A3241" s="83" t="s">
        <v>193</v>
      </c>
      <c r="B3241" s="83"/>
      <c r="C3241" s="16">
        <v>46258</v>
      </c>
      <c r="D3241" s="82">
        <v>0</v>
      </c>
    </row>
    <row r="3242" spans="1:4" x14ac:dyDescent="0.3">
      <c r="A3242" s="83" t="s">
        <v>214</v>
      </c>
      <c r="B3242" s="83"/>
      <c r="C3242" s="16">
        <v>46258</v>
      </c>
      <c r="D3242" s="82">
        <v>0</v>
      </c>
    </row>
    <row r="3243" spans="1:4" x14ac:dyDescent="0.3">
      <c r="A3243" s="83" t="s">
        <v>194</v>
      </c>
      <c r="B3243" s="83"/>
      <c r="C3243" s="16">
        <v>46258</v>
      </c>
      <c r="D3243" s="82">
        <v>0</v>
      </c>
    </row>
    <row r="3244" spans="1:4" x14ac:dyDescent="0.3">
      <c r="A3244" s="83" t="s">
        <v>195</v>
      </c>
      <c r="B3244" s="83"/>
      <c r="C3244" s="16">
        <v>46258</v>
      </c>
      <c r="D3244" s="82">
        <v>0</v>
      </c>
    </row>
    <row r="3245" spans="1:4" x14ac:dyDescent="0.3">
      <c r="A3245" s="83" t="s">
        <v>196</v>
      </c>
      <c r="B3245" s="83"/>
      <c r="C3245" s="16">
        <v>46258</v>
      </c>
      <c r="D3245" s="82">
        <v>0</v>
      </c>
    </row>
    <row r="3246" spans="1:4" x14ac:dyDescent="0.3">
      <c r="A3246" s="83" t="s">
        <v>197</v>
      </c>
      <c r="B3246" s="83"/>
      <c r="C3246" s="16">
        <v>46258</v>
      </c>
      <c r="D3246" s="82">
        <v>0</v>
      </c>
    </row>
    <row r="3247" spans="1:4" x14ac:dyDescent="0.3">
      <c r="A3247" s="83" t="s">
        <v>212</v>
      </c>
      <c r="B3247" s="83"/>
      <c r="C3247" s="16">
        <v>46258</v>
      </c>
      <c r="D3247" s="82">
        <v>0</v>
      </c>
    </row>
    <row r="3248" spans="1:4" x14ac:dyDescent="0.3">
      <c r="A3248" s="83" t="s">
        <v>199</v>
      </c>
      <c r="B3248" s="83"/>
      <c r="C3248" s="16">
        <v>46258</v>
      </c>
      <c r="D3248" s="82">
        <v>0</v>
      </c>
    </row>
    <row r="3249" spans="1:4" x14ac:dyDescent="0.3">
      <c r="A3249" s="83" t="s">
        <v>216</v>
      </c>
      <c r="B3249" s="83"/>
      <c r="C3249" s="16">
        <v>46258</v>
      </c>
      <c r="D3249" s="82">
        <v>0</v>
      </c>
    </row>
    <row r="3250" spans="1:4" x14ac:dyDescent="0.3">
      <c r="A3250" s="83" t="s">
        <v>17</v>
      </c>
      <c r="B3250" s="83"/>
      <c r="C3250" s="16">
        <v>46259</v>
      </c>
      <c r="D3250" s="82">
        <v>526096.53000000049</v>
      </c>
    </row>
    <row r="3251" spans="1:4" x14ac:dyDescent="0.3">
      <c r="A3251" s="83" t="s">
        <v>18</v>
      </c>
      <c r="B3251" s="83"/>
      <c r="C3251" s="16">
        <v>46259</v>
      </c>
      <c r="D3251" s="82">
        <v>90643.10000000018</v>
      </c>
    </row>
    <row r="3252" spans="1:4" x14ac:dyDescent="0.3">
      <c r="A3252" s="83" t="s">
        <v>19</v>
      </c>
      <c r="B3252" s="83"/>
      <c r="C3252" s="16">
        <v>46259</v>
      </c>
      <c r="D3252" s="82">
        <v>1669.89</v>
      </c>
    </row>
    <row r="3253" spans="1:4" x14ac:dyDescent="0.3">
      <c r="A3253" s="83" t="s">
        <v>20</v>
      </c>
      <c r="B3253" s="83"/>
      <c r="C3253" s="16">
        <v>46259</v>
      </c>
      <c r="D3253" s="82">
        <v>1252108.94</v>
      </c>
    </row>
    <row r="3254" spans="1:4" x14ac:dyDescent="0.3">
      <c r="A3254" s="83" t="s">
        <v>21</v>
      </c>
      <c r="B3254" s="83"/>
      <c r="C3254" s="16">
        <v>46259</v>
      </c>
      <c r="D3254" s="82">
        <v>1743289.5899999996</v>
      </c>
    </row>
    <row r="3255" spans="1:4" x14ac:dyDescent="0.3">
      <c r="A3255" s="83" t="s">
        <v>22</v>
      </c>
      <c r="B3255" s="83"/>
      <c r="C3255" s="16">
        <v>46259</v>
      </c>
      <c r="D3255" s="82">
        <v>221496.38</v>
      </c>
    </row>
    <row r="3256" spans="1:4" x14ac:dyDescent="0.3">
      <c r="A3256" s="83" t="s">
        <v>23</v>
      </c>
      <c r="B3256" s="83"/>
      <c r="C3256" s="16">
        <v>46259</v>
      </c>
      <c r="D3256" s="82">
        <v>277586.34000000003</v>
      </c>
    </row>
    <row r="3257" spans="1:4" x14ac:dyDescent="0.3">
      <c r="A3257" s="83" t="s">
        <v>24</v>
      </c>
      <c r="B3257" s="83"/>
      <c r="C3257" s="16">
        <v>46259</v>
      </c>
      <c r="D3257" s="82">
        <v>13270.02</v>
      </c>
    </row>
    <row r="3258" spans="1:4" x14ac:dyDescent="0.3">
      <c r="A3258" s="83" t="s">
        <v>25</v>
      </c>
      <c r="B3258" s="83"/>
      <c r="C3258" s="16">
        <v>46259</v>
      </c>
      <c r="D3258" s="82">
        <v>24.450000000000003</v>
      </c>
    </row>
    <row r="3259" spans="1:4" x14ac:dyDescent="0.3">
      <c r="A3259" s="83" t="s">
        <v>26</v>
      </c>
      <c r="B3259" s="83"/>
      <c r="C3259" s="16">
        <v>46259</v>
      </c>
      <c r="D3259" s="82">
        <v>2177.87</v>
      </c>
    </row>
    <row r="3260" spans="1:4" x14ac:dyDescent="0.3">
      <c r="A3260" s="83" t="s">
        <v>27</v>
      </c>
      <c r="B3260" s="83"/>
      <c r="C3260" s="16">
        <v>46259</v>
      </c>
      <c r="D3260" s="82">
        <v>754424.72</v>
      </c>
    </row>
    <row r="3261" spans="1:4" x14ac:dyDescent="0.3">
      <c r="A3261" s="83" t="s">
        <v>28</v>
      </c>
      <c r="B3261" s="83"/>
      <c r="C3261" s="16">
        <v>46259</v>
      </c>
      <c r="D3261" s="82">
        <v>1968.99</v>
      </c>
    </row>
    <row r="3262" spans="1:4" x14ac:dyDescent="0.3">
      <c r="A3262" s="83" t="s">
        <v>29</v>
      </c>
      <c r="B3262" s="83"/>
      <c r="C3262" s="16">
        <v>46259</v>
      </c>
      <c r="D3262" s="82">
        <v>901.34</v>
      </c>
    </row>
    <row r="3263" spans="1:4" x14ac:dyDescent="0.3">
      <c r="A3263" s="83" t="s">
        <v>30</v>
      </c>
      <c r="B3263" s="83"/>
      <c r="C3263" s="16">
        <v>46259</v>
      </c>
      <c r="D3263" s="82">
        <v>1396.08</v>
      </c>
    </row>
    <row r="3264" spans="1:4" x14ac:dyDescent="0.3">
      <c r="A3264" s="83" t="s">
        <v>31</v>
      </c>
      <c r="B3264" s="83"/>
      <c r="C3264" s="16">
        <v>46259</v>
      </c>
      <c r="D3264" s="82">
        <v>13685.709999999959</v>
      </c>
    </row>
    <row r="3265" spans="1:4" x14ac:dyDescent="0.3">
      <c r="A3265" s="83" t="s">
        <v>32</v>
      </c>
      <c r="B3265" s="83"/>
      <c r="C3265" s="16">
        <v>46259</v>
      </c>
      <c r="D3265" s="82">
        <v>8724.1700000000037</v>
      </c>
    </row>
    <row r="3266" spans="1:4" x14ac:dyDescent="0.3">
      <c r="A3266" s="83" t="s">
        <v>33</v>
      </c>
      <c r="B3266" s="83"/>
      <c r="C3266" s="16">
        <v>46259</v>
      </c>
      <c r="D3266" s="82">
        <v>19336.039999999997</v>
      </c>
    </row>
    <row r="3267" spans="1:4" x14ac:dyDescent="0.3">
      <c r="A3267" s="83" t="s">
        <v>34</v>
      </c>
      <c r="B3267" s="83"/>
      <c r="C3267" s="16">
        <v>46259</v>
      </c>
      <c r="D3267" s="82">
        <v>345</v>
      </c>
    </row>
    <row r="3268" spans="1:4" x14ac:dyDescent="0.3">
      <c r="A3268" s="83" t="s">
        <v>35</v>
      </c>
      <c r="B3268" s="83"/>
      <c r="C3268" s="16">
        <v>46259</v>
      </c>
      <c r="D3268" s="82">
        <v>12519.840000000004</v>
      </c>
    </row>
    <row r="3269" spans="1:4" x14ac:dyDescent="0.3">
      <c r="A3269" s="83" t="s">
        <v>193</v>
      </c>
      <c r="B3269" s="83"/>
      <c r="C3269" s="16">
        <v>46259</v>
      </c>
      <c r="D3269" s="82">
        <v>0</v>
      </c>
    </row>
    <row r="3270" spans="1:4" x14ac:dyDescent="0.3">
      <c r="A3270" s="83" t="s">
        <v>214</v>
      </c>
      <c r="B3270" s="83"/>
      <c r="C3270" s="16">
        <v>46259</v>
      </c>
      <c r="D3270" s="82">
        <v>0</v>
      </c>
    </row>
    <row r="3271" spans="1:4" x14ac:dyDescent="0.3">
      <c r="A3271" s="83" t="s">
        <v>194</v>
      </c>
      <c r="B3271" s="83"/>
      <c r="C3271" s="16">
        <v>46259</v>
      </c>
      <c r="D3271" s="82">
        <v>0</v>
      </c>
    </row>
    <row r="3272" spans="1:4" x14ac:dyDescent="0.3">
      <c r="A3272" s="83" t="s">
        <v>195</v>
      </c>
      <c r="B3272" s="83"/>
      <c r="C3272" s="16">
        <v>46259</v>
      </c>
      <c r="D3272" s="82">
        <v>0</v>
      </c>
    </row>
    <row r="3273" spans="1:4" x14ac:dyDescent="0.3">
      <c r="A3273" s="83" t="s">
        <v>196</v>
      </c>
      <c r="B3273" s="83"/>
      <c r="C3273" s="16">
        <v>46259</v>
      </c>
      <c r="D3273" s="82">
        <v>0</v>
      </c>
    </row>
    <row r="3274" spans="1:4" x14ac:dyDescent="0.3">
      <c r="A3274" s="83" t="s">
        <v>197</v>
      </c>
      <c r="B3274" s="83"/>
      <c r="C3274" s="16">
        <v>46259</v>
      </c>
      <c r="D3274" s="82">
        <v>0</v>
      </c>
    </row>
    <row r="3275" spans="1:4" x14ac:dyDescent="0.3">
      <c r="A3275" s="83" t="s">
        <v>212</v>
      </c>
      <c r="B3275" s="83"/>
      <c r="C3275" s="16">
        <v>46259</v>
      </c>
      <c r="D3275" s="82">
        <v>0</v>
      </c>
    </row>
    <row r="3276" spans="1:4" x14ac:dyDescent="0.3">
      <c r="A3276" s="83" t="s">
        <v>199</v>
      </c>
      <c r="B3276" s="83"/>
      <c r="C3276" s="16">
        <v>46259</v>
      </c>
      <c r="D3276" s="82">
        <v>0</v>
      </c>
    </row>
    <row r="3277" spans="1:4" x14ac:dyDescent="0.3">
      <c r="A3277" s="83" t="s">
        <v>216</v>
      </c>
      <c r="B3277" s="83"/>
      <c r="C3277" s="16">
        <v>46259</v>
      </c>
      <c r="D3277" s="82">
        <v>0</v>
      </c>
    </row>
    <row r="3278" spans="1:4" x14ac:dyDescent="0.3">
      <c r="A3278" s="83" t="s">
        <v>17</v>
      </c>
      <c r="B3278" s="83"/>
      <c r="C3278" s="16">
        <v>46260</v>
      </c>
      <c r="D3278" s="82">
        <v>526096.53000000049</v>
      </c>
    </row>
    <row r="3279" spans="1:4" x14ac:dyDescent="0.3">
      <c r="A3279" s="83" t="s">
        <v>18</v>
      </c>
      <c r="B3279" s="83"/>
      <c r="C3279" s="16">
        <v>46260</v>
      </c>
      <c r="D3279" s="82">
        <v>90643.10000000018</v>
      </c>
    </row>
    <row r="3280" spans="1:4" x14ac:dyDescent="0.3">
      <c r="A3280" s="83" t="s">
        <v>19</v>
      </c>
      <c r="B3280" s="83"/>
      <c r="C3280" s="16">
        <v>46260</v>
      </c>
      <c r="D3280" s="82">
        <v>1669.89</v>
      </c>
    </row>
    <row r="3281" spans="1:4" x14ac:dyDescent="0.3">
      <c r="A3281" s="83" t="s">
        <v>20</v>
      </c>
      <c r="B3281" s="83"/>
      <c r="C3281" s="16">
        <v>46260</v>
      </c>
      <c r="D3281" s="82">
        <v>1269654.47</v>
      </c>
    </row>
    <row r="3282" spans="1:4" x14ac:dyDescent="0.3">
      <c r="A3282" s="83" t="s">
        <v>21</v>
      </c>
      <c r="B3282" s="83"/>
      <c r="C3282" s="16">
        <v>46260</v>
      </c>
      <c r="D3282" s="82">
        <v>1743289.5899999996</v>
      </c>
    </row>
    <row r="3283" spans="1:4" x14ac:dyDescent="0.3">
      <c r="A3283" s="83" t="s">
        <v>22</v>
      </c>
      <c r="B3283" s="83"/>
      <c r="C3283" s="16">
        <v>46260</v>
      </c>
      <c r="D3283" s="82">
        <v>221496.38</v>
      </c>
    </row>
    <row r="3284" spans="1:4" x14ac:dyDescent="0.3">
      <c r="A3284" s="83" t="s">
        <v>23</v>
      </c>
      <c r="B3284" s="83"/>
      <c r="C3284" s="16">
        <v>46260</v>
      </c>
      <c r="D3284" s="82">
        <v>277586.34000000003</v>
      </c>
    </row>
    <row r="3285" spans="1:4" x14ac:dyDescent="0.3">
      <c r="A3285" s="83" t="s">
        <v>24</v>
      </c>
      <c r="B3285" s="83"/>
      <c r="C3285" s="16">
        <v>46260</v>
      </c>
      <c r="D3285" s="82">
        <v>13270.02</v>
      </c>
    </row>
    <row r="3286" spans="1:4" x14ac:dyDescent="0.3">
      <c r="A3286" s="83" t="s">
        <v>25</v>
      </c>
      <c r="B3286" s="83"/>
      <c r="C3286" s="16">
        <v>46260</v>
      </c>
      <c r="D3286" s="82">
        <v>24.450000000000003</v>
      </c>
    </row>
    <row r="3287" spans="1:4" x14ac:dyDescent="0.3">
      <c r="A3287" s="83" t="s">
        <v>26</v>
      </c>
      <c r="B3287" s="83"/>
      <c r="C3287" s="16">
        <v>46260</v>
      </c>
      <c r="D3287" s="82">
        <v>2177.87</v>
      </c>
    </row>
    <row r="3288" spans="1:4" x14ac:dyDescent="0.3">
      <c r="A3288" s="83" t="s">
        <v>27</v>
      </c>
      <c r="B3288" s="83"/>
      <c r="C3288" s="16">
        <v>46260</v>
      </c>
      <c r="D3288" s="82">
        <v>754424.72</v>
      </c>
    </row>
    <row r="3289" spans="1:4" x14ac:dyDescent="0.3">
      <c r="A3289" s="83" t="s">
        <v>28</v>
      </c>
      <c r="B3289" s="83"/>
      <c r="C3289" s="16">
        <v>46260</v>
      </c>
      <c r="D3289" s="82">
        <v>1968.99</v>
      </c>
    </row>
    <row r="3290" spans="1:4" x14ac:dyDescent="0.3">
      <c r="A3290" s="83" t="s">
        <v>29</v>
      </c>
      <c r="B3290" s="83"/>
      <c r="C3290" s="16">
        <v>46260</v>
      </c>
      <c r="D3290" s="82">
        <v>901.34</v>
      </c>
    </row>
    <row r="3291" spans="1:4" x14ac:dyDescent="0.3">
      <c r="A3291" s="83" t="s">
        <v>30</v>
      </c>
      <c r="B3291" s="83"/>
      <c r="C3291" s="16">
        <v>46260</v>
      </c>
      <c r="D3291" s="82">
        <v>1396.08</v>
      </c>
    </row>
    <row r="3292" spans="1:4" x14ac:dyDescent="0.3">
      <c r="A3292" s="83" t="s">
        <v>31</v>
      </c>
      <c r="B3292" s="83"/>
      <c r="C3292" s="16">
        <v>46260</v>
      </c>
      <c r="D3292" s="82">
        <v>13685.709999999959</v>
      </c>
    </row>
    <row r="3293" spans="1:4" x14ac:dyDescent="0.3">
      <c r="A3293" s="83" t="s">
        <v>32</v>
      </c>
      <c r="B3293" s="83"/>
      <c r="C3293" s="16">
        <v>46260</v>
      </c>
      <c r="D3293" s="82">
        <v>8724.1700000000037</v>
      </c>
    </row>
    <row r="3294" spans="1:4" x14ac:dyDescent="0.3">
      <c r="A3294" s="83" t="s">
        <v>33</v>
      </c>
      <c r="B3294" s="83"/>
      <c r="C3294" s="16">
        <v>46260</v>
      </c>
      <c r="D3294" s="82">
        <v>19336.039999999997</v>
      </c>
    </row>
    <row r="3295" spans="1:4" x14ac:dyDescent="0.3">
      <c r="A3295" s="83" t="s">
        <v>34</v>
      </c>
      <c r="B3295" s="83"/>
      <c r="C3295" s="16">
        <v>46260</v>
      </c>
      <c r="D3295" s="82">
        <v>345</v>
      </c>
    </row>
    <row r="3296" spans="1:4" x14ac:dyDescent="0.3">
      <c r="A3296" s="83" t="s">
        <v>35</v>
      </c>
      <c r="B3296" s="83"/>
      <c r="C3296" s="16">
        <v>46260</v>
      </c>
      <c r="D3296" s="82">
        <v>12519.840000000004</v>
      </c>
    </row>
    <row r="3297" spans="1:4" x14ac:dyDescent="0.3">
      <c r="A3297" s="83" t="s">
        <v>193</v>
      </c>
      <c r="B3297" s="83"/>
      <c r="C3297" s="16">
        <v>46260</v>
      </c>
      <c r="D3297" s="82">
        <v>0</v>
      </c>
    </row>
    <row r="3298" spans="1:4" x14ac:dyDescent="0.3">
      <c r="A3298" s="83" t="s">
        <v>214</v>
      </c>
      <c r="B3298" s="83"/>
      <c r="C3298" s="16">
        <v>46260</v>
      </c>
      <c r="D3298" s="82">
        <v>0</v>
      </c>
    </row>
    <row r="3299" spans="1:4" x14ac:dyDescent="0.3">
      <c r="A3299" s="83" t="s">
        <v>194</v>
      </c>
      <c r="B3299" s="83"/>
      <c r="C3299" s="16">
        <v>46260</v>
      </c>
      <c r="D3299" s="82">
        <v>0</v>
      </c>
    </row>
    <row r="3300" spans="1:4" x14ac:dyDescent="0.3">
      <c r="A3300" s="83" t="s">
        <v>195</v>
      </c>
      <c r="B3300" s="83"/>
      <c r="C3300" s="16">
        <v>46260</v>
      </c>
      <c r="D3300" s="82">
        <v>0</v>
      </c>
    </row>
    <row r="3301" spans="1:4" x14ac:dyDescent="0.3">
      <c r="A3301" s="83" t="s">
        <v>196</v>
      </c>
      <c r="B3301" s="83"/>
      <c r="C3301" s="16">
        <v>46260</v>
      </c>
      <c r="D3301" s="82">
        <v>0</v>
      </c>
    </row>
    <row r="3302" spans="1:4" x14ac:dyDescent="0.3">
      <c r="A3302" s="83" t="s">
        <v>197</v>
      </c>
      <c r="B3302" s="83"/>
      <c r="C3302" s="16">
        <v>46260</v>
      </c>
      <c r="D3302" s="82">
        <v>0</v>
      </c>
    </row>
    <row r="3303" spans="1:4" x14ac:dyDescent="0.3">
      <c r="A3303" s="83" t="s">
        <v>212</v>
      </c>
      <c r="B3303" s="83"/>
      <c r="C3303" s="16">
        <v>46260</v>
      </c>
      <c r="D3303" s="82">
        <v>0</v>
      </c>
    </row>
    <row r="3304" spans="1:4" x14ac:dyDescent="0.3">
      <c r="A3304" s="83" t="s">
        <v>199</v>
      </c>
      <c r="B3304" s="83"/>
      <c r="C3304" s="16">
        <v>46260</v>
      </c>
      <c r="D3304" s="82">
        <v>0</v>
      </c>
    </row>
    <row r="3305" spans="1:4" x14ac:dyDescent="0.3">
      <c r="A3305" s="83" t="s">
        <v>216</v>
      </c>
      <c r="B3305" s="83"/>
      <c r="C3305" s="16">
        <v>46260</v>
      </c>
      <c r="D3305" s="82">
        <v>0</v>
      </c>
    </row>
    <row r="3306" spans="1:4" x14ac:dyDescent="0.3">
      <c r="A3306" s="83" t="s">
        <v>17</v>
      </c>
      <c r="B3306" s="83"/>
      <c r="C3306" s="16">
        <v>46261</v>
      </c>
      <c r="D3306" s="82">
        <v>578093.59000000043</v>
      </c>
    </row>
    <row r="3307" spans="1:4" x14ac:dyDescent="0.3">
      <c r="A3307" s="83" t="s">
        <v>18</v>
      </c>
      <c r="B3307" s="83"/>
      <c r="C3307" s="16">
        <v>46261</v>
      </c>
      <c r="D3307" s="82">
        <v>90643.10000000018</v>
      </c>
    </row>
    <row r="3308" spans="1:4" x14ac:dyDescent="0.3">
      <c r="A3308" s="83" t="s">
        <v>19</v>
      </c>
      <c r="B3308" s="83"/>
      <c r="C3308" s="16">
        <v>46261</v>
      </c>
      <c r="D3308" s="82">
        <v>1669.89</v>
      </c>
    </row>
    <row r="3309" spans="1:4" x14ac:dyDescent="0.3">
      <c r="A3309" s="83" t="s">
        <v>20</v>
      </c>
      <c r="B3309" s="83"/>
      <c r="C3309" s="16">
        <v>46261</v>
      </c>
      <c r="D3309" s="82">
        <v>1394654.47</v>
      </c>
    </row>
    <row r="3310" spans="1:4" x14ac:dyDescent="0.3">
      <c r="A3310" s="83" t="s">
        <v>21</v>
      </c>
      <c r="B3310" s="83"/>
      <c r="C3310" s="16">
        <v>46261</v>
      </c>
      <c r="D3310" s="82">
        <v>1719364.7199999997</v>
      </c>
    </row>
    <row r="3311" spans="1:4" x14ac:dyDescent="0.3">
      <c r="A3311" s="83" t="s">
        <v>22</v>
      </c>
      <c r="B3311" s="83"/>
      <c r="C3311" s="16">
        <v>46261</v>
      </c>
      <c r="D3311" s="82">
        <v>221496.38</v>
      </c>
    </row>
    <row r="3312" spans="1:4" x14ac:dyDescent="0.3">
      <c r="A3312" s="83" t="s">
        <v>23</v>
      </c>
      <c r="B3312" s="83"/>
      <c r="C3312" s="16">
        <v>46261</v>
      </c>
      <c r="D3312" s="82">
        <v>277586.34000000003</v>
      </c>
    </row>
    <row r="3313" spans="1:4" x14ac:dyDescent="0.3">
      <c r="A3313" s="83" t="s">
        <v>24</v>
      </c>
      <c r="B3313" s="83"/>
      <c r="C3313" s="16">
        <v>46261</v>
      </c>
      <c r="D3313" s="82">
        <v>13270.02</v>
      </c>
    </row>
    <row r="3314" spans="1:4" x14ac:dyDescent="0.3">
      <c r="A3314" s="83" t="s">
        <v>25</v>
      </c>
      <c r="B3314" s="83"/>
      <c r="C3314" s="16">
        <v>46261</v>
      </c>
      <c r="D3314" s="82">
        <v>124.45</v>
      </c>
    </row>
    <row r="3315" spans="1:4" x14ac:dyDescent="0.3">
      <c r="A3315" s="83" t="s">
        <v>26</v>
      </c>
      <c r="B3315" s="83"/>
      <c r="C3315" s="16">
        <v>46261</v>
      </c>
      <c r="D3315" s="82">
        <v>2177.87</v>
      </c>
    </row>
    <row r="3316" spans="1:4" x14ac:dyDescent="0.3">
      <c r="A3316" s="83" t="s">
        <v>27</v>
      </c>
      <c r="B3316" s="83"/>
      <c r="C3316" s="16">
        <v>46261</v>
      </c>
      <c r="D3316" s="82">
        <v>754424.72</v>
      </c>
    </row>
    <row r="3317" spans="1:4" x14ac:dyDescent="0.3">
      <c r="A3317" s="83" t="s">
        <v>28</v>
      </c>
      <c r="B3317" s="83"/>
      <c r="C3317" s="16">
        <v>46261</v>
      </c>
      <c r="D3317" s="82">
        <v>1968.99</v>
      </c>
    </row>
    <row r="3318" spans="1:4" x14ac:dyDescent="0.3">
      <c r="A3318" s="83" t="s">
        <v>29</v>
      </c>
      <c r="B3318" s="83"/>
      <c r="C3318" s="16">
        <v>46261</v>
      </c>
      <c r="D3318" s="82">
        <v>901.34</v>
      </c>
    </row>
    <row r="3319" spans="1:4" x14ac:dyDescent="0.3">
      <c r="A3319" s="83" t="s">
        <v>30</v>
      </c>
      <c r="B3319" s="83"/>
      <c r="C3319" s="16">
        <v>46261</v>
      </c>
      <c r="D3319" s="82">
        <v>1396.08</v>
      </c>
    </row>
    <row r="3320" spans="1:4" x14ac:dyDescent="0.3">
      <c r="A3320" s="83" t="s">
        <v>31</v>
      </c>
      <c r="B3320" s="83"/>
      <c r="C3320" s="16">
        <v>46261</v>
      </c>
      <c r="D3320" s="82">
        <v>33685.709999999963</v>
      </c>
    </row>
    <row r="3321" spans="1:4" x14ac:dyDescent="0.3">
      <c r="A3321" s="83" t="s">
        <v>32</v>
      </c>
      <c r="B3321" s="83"/>
      <c r="C3321" s="16">
        <v>46261</v>
      </c>
      <c r="D3321" s="82">
        <v>29724.170000000006</v>
      </c>
    </row>
    <row r="3322" spans="1:4" x14ac:dyDescent="0.3">
      <c r="A3322" s="83" t="s">
        <v>33</v>
      </c>
      <c r="B3322" s="83"/>
      <c r="C3322" s="16">
        <v>46261</v>
      </c>
      <c r="D3322" s="82">
        <v>19336.039999999997</v>
      </c>
    </row>
    <row r="3323" spans="1:4" x14ac:dyDescent="0.3">
      <c r="A3323" s="83" t="s">
        <v>34</v>
      </c>
      <c r="B3323" s="83"/>
      <c r="C3323" s="16">
        <v>46261</v>
      </c>
      <c r="D3323" s="82">
        <v>345</v>
      </c>
    </row>
    <row r="3324" spans="1:4" x14ac:dyDescent="0.3">
      <c r="A3324" s="83" t="s">
        <v>35</v>
      </c>
      <c r="B3324" s="83"/>
      <c r="C3324" s="16">
        <v>46261</v>
      </c>
      <c r="D3324" s="82">
        <v>9608.7000000000025</v>
      </c>
    </row>
    <row r="3325" spans="1:4" x14ac:dyDescent="0.3">
      <c r="A3325" s="83" t="s">
        <v>193</v>
      </c>
      <c r="B3325" s="83"/>
      <c r="C3325" s="16">
        <v>46261</v>
      </c>
      <c r="D3325" s="82">
        <v>0</v>
      </c>
    </row>
    <row r="3326" spans="1:4" x14ac:dyDescent="0.3">
      <c r="A3326" s="83" t="s">
        <v>214</v>
      </c>
      <c r="B3326" s="83"/>
      <c r="C3326" s="16">
        <v>46261</v>
      </c>
      <c r="D3326" s="82">
        <v>0</v>
      </c>
    </row>
    <row r="3327" spans="1:4" x14ac:dyDescent="0.3">
      <c r="A3327" s="83" t="s">
        <v>194</v>
      </c>
      <c r="B3327" s="83"/>
      <c r="C3327" s="16">
        <v>46261</v>
      </c>
      <c r="D3327" s="82">
        <v>0</v>
      </c>
    </row>
    <row r="3328" spans="1:4" x14ac:dyDescent="0.3">
      <c r="A3328" s="83" t="s">
        <v>195</v>
      </c>
      <c r="B3328" s="83"/>
      <c r="C3328" s="16">
        <v>46261</v>
      </c>
      <c r="D3328" s="82">
        <v>0</v>
      </c>
    </row>
    <row r="3329" spans="1:4" x14ac:dyDescent="0.3">
      <c r="A3329" s="83" t="s">
        <v>196</v>
      </c>
      <c r="B3329" s="83"/>
      <c r="C3329" s="16">
        <v>46261</v>
      </c>
      <c r="D3329" s="82">
        <v>0</v>
      </c>
    </row>
    <row r="3330" spans="1:4" x14ac:dyDescent="0.3">
      <c r="A3330" s="83" t="s">
        <v>197</v>
      </c>
      <c r="B3330" s="83"/>
      <c r="C3330" s="16">
        <v>46261</v>
      </c>
      <c r="D3330" s="82">
        <v>0</v>
      </c>
    </row>
    <row r="3331" spans="1:4" x14ac:dyDescent="0.3">
      <c r="A3331" s="83" t="s">
        <v>212</v>
      </c>
      <c r="B3331" s="83"/>
      <c r="C3331" s="16">
        <v>46261</v>
      </c>
      <c r="D3331" s="82">
        <v>0</v>
      </c>
    </row>
    <row r="3332" spans="1:4" x14ac:dyDescent="0.3">
      <c r="A3332" s="83" t="s">
        <v>199</v>
      </c>
      <c r="B3332" s="83"/>
      <c r="C3332" s="16">
        <v>46261</v>
      </c>
      <c r="D3332" s="82">
        <v>0</v>
      </c>
    </row>
    <row r="3333" spans="1:4" x14ac:dyDescent="0.3">
      <c r="A3333" s="83" t="s">
        <v>216</v>
      </c>
      <c r="B3333" s="83"/>
      <c r="C3333" s="16">
        <v>46261</v>
      </c>
      <c r="D3333" s="82">
        <v>0</v>
      </c>
    </row>
    <row r="3334" spans="1:4" x14ac:dyDescent="0.3">
      <c r="A3334" s="83" t="s">
        <v>17</v>
      </c>
      <c r="B3334" s="83"/>
      <c r="C3334" s="16">
        <v>46262</v>
      </c>
      <c r="D3334" s="82">
        <v>743430.83000000054</v>
      </c>
    </row>
    <row r="3335" spans="1:4" x14ac:dyDescent="0.3">
      <c r="A3335" s="83" t="s">
        <v>18</v>
      </c>
      <c r="B3335" s="83"/>
      <c r="C3335" s="16">
        <v>46262</v>
      </c>
      <c r="D3335" s="82">
        <v>93280.230000000171</v>
      </c>
    </row>
    <row r="3336" spans="1:4" x14ac:dyDescent="0.3">
      <c r="A3336" s="83" t="s">
        <v>19</v>
      </c>
      <c r="B3336" s="83"/>
      <c r="C3336" s="16">
        <v>46262</v>
      </c>
      <c r="D3336" s="82">
        <v>1669.89</v>
      </c>
    </row>
    <row r="3337" spans="1:4" x14ac:dyDescent="0.3">
      <c r="A3337" s="83" t="s">
        <v>20</v>
      </c>
      <c r="B3337" s="83"/>
      <c r="C3337" s="16">
        <v>46262</v>
      </c>
      <c r="D3337" s="82">
        <v>1418445.91</v>
      </c>
    </row>
    <row r="3338" spans="1:4" x14ac:dyDescent="0.3">
      <c r="A3338" s="83" t="s">
        <v>21</v>
      </c>
      <c r="B3338" s="83"/>
      <c r="C3338" s="16">
        <v>46262</v>
      </c>
      <c r="D3338" s="82">
        <v>1553167.1899999995</v>
      </c>
    </row>
    <row r="3339" spans="1:4" x14ac:dyDescent="0.3">
      <c r="A3339" s="83" t="s">
        <v>22</v>
      </c>
      <c r="B3339" s="83"/>
      <c r="C3339" s="16">
        <v>46262</v>
      </c>
      <c r="D3339" s="82">
        <v>221496.38</v>
      </c>
    </row>
    <row r="3340" spans="1:4" x14ac:dyDescent="0.3">
      <c r="A3340" s="83" t="s">
        <v>23</v>
      </c>
      <c r="B3340" s="83"/>
      <c r="C3340" s="16">
        <v>46262</v>
      </c>
      <c r="D3340" s="82">
        <v>217684.34</v>
      </c>
    </row>
    <row r="3341" spans="1:4" x14ac:dyDescent="0.3">
      <c r="A3341" s="83" t="s">
        <v>24</v>
      </c>
      <c r="B3341" s="83"/>
      <c r="C3341" s="16">
        <v>46262</v>
      </c>
      <c r="D3341" s="82">
        <v>13270.02</v>
      </c>
    </row>
    <row r="3342" spans="1:4" x14ac:dyDescent="0.3">
      <c r="A3342" s="83" t="s">
        <v>25</v>
      </c>
      <c r="B3342" s="83"/>
      <c r="C3342" s="16">
        <v>46262</v>
      </c>
      <c r="D3342" s="82">
        <v>124.45</v>
      </c>
    </row>
    <row r="3343" spans="1:4" x14ac:dyDescent="0.3">
      <c r="A3343" s="83" t="s">
        <v>26</v>
      </c>
      <c r="B3343" s="83"/>
      <c r="C3343" s="16">
        <v>46262</v>
      </c>
      <c r="D3343" s="82">
        <v>2177.87</v>
      </c>
    </row>
    <row r="3344" spans="1:4" x14ac:dyDescent="0.3">
      <c r="A3344" s="83" t="s">
        <v>27</v>
      </c>
      <c r="B3344" s="83"/>
      <c r="C3344" s="16">
        <v>46262</v>
      </c>
      <c r="D3344" s="82">
        <v>754424.72</v>
      </c>
    </row>
    <row r="3345" spans="1:4" x14ac:dyDescent="0.3">
      <c r="A3345" s="83" t="s">
        <v>28</v>
      </c>
      <c r="B3345" s="83"/>
      <c r="C3345" s="16">
        <v>46262</v>
      </c>
      <c r="D3345" s="82">
        <v>1968.99</v>
      </c>
    </row>
    <row r="3346" spans="1:4" x14ac:dyDescent="0.3">
      <c r="A3346" s="83" t="s">
        <v>29</v>
      </c>
      <c r="B3346" s="83"/>
      <c r="C3346" s="16">
        <v>46262</v>
      </c>
      <c r="D3346" s="82">
        <v>901.34</v>
      </c>
    </row>
    <row r="3347" spans="1:4" x14ac:dyDescent="0.3">
      <c r="A3347" s="83" t="s">
        <v>30</v>
      </c>
      <c r="B3347" s="83"/>
      <c r="C3347" s="16">
        <v>46262</v>
      </c>
      <c r="D3347" s="82">
        <v>1396.08</v>
      </c>
    </row>
    <row r="3348" spans="1:4" x14ac:dyDescent="0.3">
      <c r="A3348" s="83" t="s">
        <v>31</v>
      </c>
      <c r="B3348" s="83"/>
      <c r="C3348" s="16">
        <v>46262</v>
      </c>
      <c r="D3348" s="82">
        <v>33670.709999999963</v>
      </c>
    </row>
    <row r="3349" spans="1:4" x14ac:dyDescent="0.3">
      <c r="A3349" s="83" t="s">
        <v>32</v>
      </c>
      <c r="B3349" s="83"/>
      <c r="C3349" s="16">
        <v>46262</v>
      </c>
      <c r="D3349" s="82">
        <v>29709.170000000006</v>
      </c>
    </row>
    <row r="3350" spans="1:4" x14ac:dyDescent="0.3">
      <c r="A3350" s="83" t="s">
        <v>33</v>
      </c>
      <c r="B3350" s="83"/>
      <c r="C3350" s="16">
        <v>46262</v>
      </c>
      <c r="D3350" s="82">
        <v>19336.039999999997</v>
      </c>
    </row>
    <row r="3351" spans="1:4" x14ac:dyDescent="0.3">
      <c r="A3351" s="83" t="s">
        <v>34</v>
      </c>
      <c r="B3351" s="83"/>
      <c r="C3351" s="16">
        <v>46262</v>
      </c>
      <c r="D3351" s="82">
        <v>345</v>
      </c>
    </row>
    <row r="3352" spans="1:4" x14ac:dyDescent="0.3">
      <c r="A3352" s="83" t="s">
        <v>35</v>
      </c>
      <c r="B3352" s="83"/>
      <c r="C3352" s="16">
        <v>46262</v>
      </c>
      <c r="D3352" s="82">
        <v>9560.0000000000018</v>
      </c>
    </row>
    <row r="3353" spans="1:4" x14ac:dyDescent="0.3">
      <c r="A3353" s="83" t="s">
        <v>193</v>
      </c>
      <c r="B3353" s="83"/>
      <c r="C3353" s="16">
        <v>46262</v>
      </c>
      <c r="D3353" s="82">
        <v>0</v>
      </c>
    </row>
    <row r="3354" spans="1:4" x14ac:dyDescent="0.3">
      <c r="A3354" s="83" t="s">
        <v>214</v>
      </c>
      <c r="B3354" s="83"/>
      <c r="C3354" s="16">
        <v>46262</v>
      </c>
      <c r="D3354" s="82">
        <v>0</v>
      </c>
    </row>
    <row r="3355" spans="1:4" x14ac:dyDescent="0.3">
      <c r="A3355" s="83" t="s">
        <v>194</v>
      </c>
      <c r="B3355" s="83"/>
      <c r="C3355" s="16">
        <v>46262</v>
      </c>
      <c r="D3355" s="82">
        <v>0</v>
      </c>
    </row>
    <row r="3356" spans="1:4" x14ac:dyDescent="0.3">
      <c r="A3356" s="83" t="s">
        <v>195</v>
      </c>
      <c r="B3356" s="83"/>
      <c r="C3356" s="16">
        <v>46262</v>
      </c>
      <c r="D3356" s="82">
        <v>0</v>
      </c>
    </row>
    <row r="3357" spans="1:4" x14ac:dyDescent="0.3">
      <c r="A3357" s="83" t="s">
        <v>196</v>
      </c>
      <c r="B3357" s="83"/>
      <c r="C3357" s="16">
        <v>46262</v>
      </c>
      <c r="D3357" s="82">
        <v>0</v>
      </c>
    </row>
    <row r="3358" spans="1:4" x14ac:dyDescent="0.3">
      <c r="A3358" s="83" t="s">
        <v>197</v>
      </c>
      <c r="B3358" s="83"/>
      <c r="C3358" s="16">
        <v>46262</v>
      </c>
      <c r="D3358" s="82">
        <v>0</v>
      </c>
    </row>
    <row r="3359" spans="1:4" x14ac:dyDescent="0.3">
      <c r="A3359" s="83" t="s">
        <v>212</v>
      </c>
      <c r="B3359" s="83"/>
      <c r="C3359" s="16">
        <v>46262</v>
      </c>
      <c r="D3359" s="82">
        <v>0</v>
      </c>
    </row>
    <row r="3360" spans="1:4" x14ac:dyDescent="0.3">
      <c r="A3360" s="83" t="s">
        <v>199</v>
      </c>
      <c r="B3360" s="83"/>
      <c r="C3360" s="16">
        <v>46262</v>
      </c>
      <c r="D3360" s="82">
        <v>0</v>
      </c>
    </row>
    <row r="3361" spans="1:4" x14ac:dyDescent="0.3">
      <c r="A3361" s="83" t="s">
        <v>216</v>
      </c>
      <c r="B3361" s="83"/>
      <c r="C3361" s="16">
        <v>46262</v>
      </c>
      <c r="D3361" s="82">
        <v>0</v>
      </c>
    </row>
    <row r="3362" spans="1:4" x14ac:dyDescent="0.3">
      <c r="A3362" s="83" t="s">
        <v>17</v>
      </c>
      <c r="B3362" s="83"/>
      <c r="C3362" s="16">
        <v>46263</v>
      </c>
      <c r="D3362" s="82">
        <v>743430.83000000054</v>
      </c>
    </row>
    <row r="3363" spans="1:4" x14ac:dyDescent="0.3">
      <c r="A3363" s="83" t="s">
        <v>18</v>
      </c>
      <c r="B3363" s="83"/>
      <c r="C3363" s="16">
        <v>46263</v>
      </c>
      <c r="D3363" s="82">
        <v>93280.230000000171</v>
      </c>
    </row>
    <row r="3364" spans="1:4" x14ac:dyDescent="0.3">
      <c r="A3364" s="83" t="s">
        <v>19</v>
      </c>
      <c r="B3364" s="83"/>
      <c r="C3364" s="16">
        <v>46263</v>
      </c>
      <c r="D3364" s="82">
        <v>1669.89</v>
      </c>
    </row>
    <row r="3365" spans="1:4" x14ac:dyDescent="0.3">
      <c r="A3365" s="83" t="s">
        <v>20</v>
      </c>
      <c r="B3365" s="83"/>
      <c r="C3365" s="16">
        <v>46263</v>
      </c>
      <c r="D3365" s="82">
        <v>1418445.91</v>
      </c>
    </row>
    <row r="3366" spans="1:4" x14ac:dyDescent="0.3">
      <c r="A3366" s="83" t="s">
        <v>21</v>
      </c>
      <c r="B3366" s="83"/>
      <c r="C3366" s="16">
        <v>46263</v>
      </c>
      <c r="D3366" s="82">
        <v>1553167.1899999995</v>
      </c>
    </row>
    <row r="3367" spans="1:4" x14ac:dyDescent="0.3">
      <c r="A3367" s="83" t="s">
        <v>22</v>
      </c>
      <c r="B3367" s="83"/>
      <c r="C3367" s="16">
        <v>46263</v>
      </c>
      <c r="D3367" s="82">
        <v>221496.38</v>
      </c>
    </row>
    <row r="3368" spans="1:4" x14ac:dyDescent="0.3">
      <c r="A3368" s="83" t="s">
        <v>23</v>
      </c>
      <c r="B3368" s="83"/>
      <c r="C3368" s="16">
        <v>46263</v>
      </c>
      <c r="D3368" s="82">
        <v>217684.34</v>
      </c>
    </row>
    <row r="3369" spans="1:4" x14ac:dyDescent="0.3">
      <c r="A3369" s="83" t="s">
        <v>24</v>
      </c>
      <c r="B3369" s="83"/>
      <c r="C3369" s="16">
        <v>46263</v>
      </c>
      <c r="D3369" s="82">
        <v>13270.02</v>
      </c>
    </row>
    <row r="3370" spans="1:4" x14ac:dyDescent="0.3">
      <c r="A3370" s="83" t="s">
        <v>25</v>
      </c>
      <c r="B3370" s="83"/>
      <c r="C3370" s="16">
        <v>46263</v>
      </c>
      <c r="D3370" s="82">
        <v>124.45</v>
      </c>
    </row>
    <row r="3371" spans="1:4" x14ac:dyDescent="0.3">
      <c r="A3371" s="83" t="s">
        <v>26</v>
      </c>
      <c r="B3371" s="83"/>
      <c r="C3371" s="16">
        <v>46263</v>
      </c>
      <c r="D3371" s="82">
        <v>2177.87</v>
      </c>
    </row>
    <row r="3372" spans="1:4" x14ac:dyDescent="0.3">
      <c r="A3372" s="83" t="s">
        <v>27</v>
      </c>
      <c r="B3372" s="83"/>
      <c r="C3372" s="16">
        <v>46263</v>
      </c>
      <c r="D3372" s="82">
        <v>754424.72</v>
      </c>
    </row>
    <row r="3373" spans="1:4" x14ac:dyDescent="0.3">
      <c r="A3373" s="83" t="s">
        <v>28</v>
      </c>
      <c r="B3373" s="83"/>
      <c r="C3373" s="16">
        <v>46263</v>
      </c>
      <c r="D3373" s="82">
        <v>1968.99</v>
      </c>
    </row>
    <row r="3374" spans="1:4" x14ac:dyDescent="0.3">
      <c r="A3374" s="83" t="s">
        <v>29</v>
      </c>
      <c r="B3374" s="83"/>
      <c r="C3374" s="16">
        <v>46263</v>
      </c>
      <c r="D3374" s="82">
        <v>901.34</v>
      </c>
    </row>
    <row r="3375" spans="1:4" x14ac:dyDescent="0.3">
      <c r="A3375" s="83" t="s">
        <v>30</v>
      </c>
      <c r="B3375" s="83"/>
      <c r="C3375" s="16">
        <v>46263</v>
      </c>
      <c r="D3375" s="82">
        <v>1396.08</v>
      </c>
    </row>
    <row r="3376" spans="1:4" x14ac:dyDescent="0.3">
      <c r="A3376" s="83" t="s">
        <v>31</v>
      </c>
      <c r="B3376" s="83"/>
      <c r="C3376" s="16">
        <v>46263</v>
      </c>
      <c r="D3376" s="82">
        <v>33670.709999999963</v>
      </c>
    </row>
    <row r="3377" spans="1:4" x14ac:dyDescent="0.3">
      <c r="A3377" s="83" t="s">
        <v>32</v>
      </c>
      <c r="B3377" s="83"/>
      <c r="C3377" s="16">
        <v>46263</v>
      </c>
      <c r="D3377" s="82">
        <v>29709.170000000006</v>
      </c>
    </row>
    <row r="3378" spans="1:4" x14ac:dyDescent="0.3">
      <c r="A3378" s="83" t="s">
        <v>33</v>
      </c>
      <c r="B3378" s="83"/>
      <c r="C3378" s="16">
        <v>46263</v>
      </c>
      <c r="D3378" s="82">
        <v>19336.039999999997</v>
      </c>
    </row>
    <row r="3379" spans="1:4" x14ac:dyDescent="0.3">
      <c r="A3379" s="83" t="s">
        <v>34</v>
      </c>
      <c r="B3379" s="83"/>
      <c r="C3379" s="16">
        <v>46263</v>
      </c>
      <c r="D3379" s="82">
        <v>345</v>
      </c>
    </row>
    <row r="3380" spans="1:4" x14ac:dyDescent="0.3">
      <c r="A3380" s="83" t="s">
        <v>35</v>
      </c>
      <c r="B3380" s="83"/>
      <c r="C3380" s="16">
        <v>46263</v>
      </c>
      <c r="D3380" s="82">
        <v>9560.0000000000018</v>
      </c>
    </row>
    <row r="3381" spans="1:4" x14ac:dyDescent="0.3">
      <c r="A3381" s="83" t="s">
        <v>193</v>
      </c>
      <c r="B3381" s="83"/>
      <c r="C3381" s="16">
        <v>46263</v>
      </c>
      <c r="D3381" s="82">
        <v>0</v>
      </c>
    </row>
    <row r="3382" spans="1:4" x14ac:dyDescent="0.3">
      <c r="A3382" s="83" t="s">
        <v>214</v>
      </c>
      <c r="B3382" s="83"/>
      <c r="C3382" s="16">
        <v>46263</v>
      </c>
      <c r="D3382" s="82">
        <v>0</v>
      </c>
    </row>
    <row r="3383" spans="1:4" x14ac:dyDescent="0.3">
      <c r="A3383" s="83" t="s">
        <v>194</v>
      </c>
      <c r="B3383" s="83"/>
      <c r="C3383" s="16">
        <v>46263</v>
      </c>
      <c r="D3383" s="82">
        <v>0</v>
      </c>
    </row>
    <row r="3384" spans="1:4" x14ac:dyDescent="0.3">
      <c r="A3384" s="83" t="s">
        <v>195</v>
      </c>
      <c r="B3384" s="83"/>
      <c r="C3384" s="16">
        <v>46263</v>
      </c>
      <c r="D3384" s="82">
        <v>0</v>
      </c>
    </row>
    <row r="3385" spans="1:4" x14ac:dyDescent="0.3">
      <c r="A3385" s="83" t="s">
        <v>196</v>
      </c>
      <c r="B3385" s="83"/>
      <c r="C3385" s="16">
        <v>46263</v>
      </c>
      <c r="D3385" s="82">
        <v>0</v>
      </c>
    </row>
    <row r="3386" spans="1:4" x14ac:dyDescent="0.3">
      <c r="A3386" s="83" t="s">
        <v>197</v>
      </c>
      <c r="B3386" s="83"/>
      <c r="C3386" s="16">
        <v>46263</v>
      </c>
      <c r="D3386" s="82">
        <v>0</v>
      </c>
    </row>
    <row r="3387" spans="1:4" x14ac:dyDescent="0.3">
      <c r="A3387" s="83" t="s">
        <v>212</v>
      </c>
      <c r="B3387" s="83"/>
      <c r="C3387" s="16">
        <v>46263</v>
      </c>
      <c r="D3387" s="82">
        <v>0</v>
      </c>
    </row>
    <row r="3388" spans="1:4" x14ac:dyDescent="0.3">
      <c r="A3388" s="83" t="s">
        <v>199</v>
      </c>
      <c r="B3388" s="83"/>
      <c r="C3388" s="16">
        <v>46263</v>
      </c>
      <c r="D3388" s="82">
        <v>0</v>
      </c>
    </row>
    <row r="3389" spans="1:4" x14ac:dyDescent="0.3">
      <c r="A3389" s="83" t="s">
        <v>216</v>
      </c>
      <c r="B3389" s="83"/>
      <c r="C3389" s="16">
        <v>46263</v>
      </c>
      <c r="D3389" s="82">
        <v>0</v>
      </c>
    </row>
    <row r="3390" spans="1:4" x14ac:dyDescent="0.3">
      <c r="A3390" s="83" t="s">
        <v>17</v>
      </c>
      <c r="B3390" s="83"/>
      <c r="C3390" s="16">
        <v>46264</v>
      </c>
      <c r="D3390" s="82">
        <v>743430.83000000054</v>
      </c>
    </row>
    <row r="3391" spans="1:4" x14ac:dyDescent="0.3">
      <c r="A3391" s="83" t="s">
        <v>18</v>
      </c>
      <c r="B3391" s="83"/>
      <c r="C3391" s="16">
        <v>46264</v>
      </c>
      <c r="D3391" s="82">
        <v>93280.230000000171</v>
      </c>
    </row>
    <row r="3392" spans="1:4" x14ac:dyDescent="0.3">
      <c r="A3392" s="83" t="s">
        <v>19</v>
      </c>
      <c r="B3392" s="83"/>
      <c r="C3392" s="16">
        <v>46264</v>
      </c>
      <c r="D3392" s="82">
        <v>1669.89</v>
      </c>
    </row>
    <row r="3393" spans="1:4" x14ac:dyDescent="0.3">
      <c r="A3393" s="83" t="s">
        <v>20</v>
      </c>
      <c r="B3393" s="83"/>
      <c r="C3393" s="16">
        <v>46264</v>
      </c>
      <c r="D3393" s="82">
        <v>1418445.91</v>
      </c>
    </row>
    <row r="3394" spans="1:4" x14ac:dyDescent="0.3">
      <c r="A3394" s="83" t="s">
        <v>21</v>
      </c>
      <c r="B3394" s="83"/>
      <c r="C3394" s="16">
        <v>46264</v>
      </c>
      <c r="D3394" s="82">
        <v>1553167.1899999995</v>
      </c>
    </row>
    <row r="3395" spans="1:4" x14ac:dyDescent="0.3">
      <c r="A3395" s="83" t="s">
        <v>22</v>
      </c>
      <c r="B3395" s="83"/>
      <c r="C3395" s="16">
        <v>46264</v>
      </c>
      <c r="D3395" s="82">
        <v>221496.38</v>
      </c>
    </row>
    <row r="3396" spans="1:4" x14ac:dyDescent="0.3">
      <c r="A3396" s="83" t="s">
        <v>23</v>
      </c>
      <c r="B3396" s="83"/>
      <c r="C3396" s="16">
        <v>46264</v>
      </c>
      <c r="D3396" s="82">
        <v>217684.34</v>
      </c>
    </row>
    <row r="3397" spans="1:4" x14ac:dyDescent="0.3">
      <c r="A3397" s="83" t="s">
        <v>24</v>
      </c>
      <c r="B3397" s="83"/>
      <c r="C3397" s="16">
        <v>46264</v>
      </c>
      <c r="D3397" s="82">
        <v>13270.02</v>
      </c>
    </row>
    <row r="3398" spans="1:4" x14ac:dyDescent="0.3">
      <c r="A3398" s="83" t="s">
        <v>25</v>
      </c>
      <c r="B3398" s="83"/>
      <c r="C3398" s="16">
        <v>46264</v>
      </c>
      <c r="D3398" s="82">
        <v>124.45</v>
      </c>
    </row>
    <row r="3399" spans="1:4" x14ac:dyDescent="0.3">
      <c r="A3399" s="83" t="s">
        <v>26</v>
      </c>
      <c r="B3399" s="83"/>
      <c r="C3399" s="16">
        <v>46264</v>
      </c>
      <c r="D3399" s="82">
        <v>2177.87</v>
      </c>
    </row>
    <row r="3400" spans="1:4" x14ac:dyDescent="0.3">
      <c r="A3400" s="83" t="s">
        <v>27</v>
      </c>
      <c r="B3400" s="83"/>
      <c r="C3400" s="16">
        <v>46264</v>
      </c>
      <c r="D3400" s="82">
        <v>754424.72</v>
      </c>
    </row>
    <row r="3401" spans="1:4" x14ac:dyDescent="0.3">
      <c r="A3401" s="83" t="s">
        <v>28</v>
      </c>
      <c r="B3401" s="83"/>
      <c r="C3401" s="16">
        <v>46264</v>
      </c>
      <c r="D3401" s="82">
        <v>1968.99</v>
      </c>
    </row>
    <row r="3402" spans="1:4" x14ac:dyDescent="0.3">
      <c r="A3402" s="83" t="s">
        <v>29</v>
      </c>
      <c r="B3402" s="83"/>
      <c r="C3402" s="16">
        <v>46264</v>
      </c>
      <c r="D3402" s="82">
        <v>901.34</v>
      </c>
    </row>
    <row r="3403" spans="1:4" x14ac:dyDescent="0.3">
      <c r="A3403" s="83" t="s">
        <v>30</v>
      </c>
      <c r="B3403" s="83"/>
      <c r="C3403" s="16">
        <v>46264</v>
      </c>
      <c r="D3403" s="82">
        <v>1396.08</v>
      </c>
    </row>
    <row r="3404" spans="1:4" x14ac:dyDescent="0.3">
      <c r="A3404" s="83" t="s">
        <v>31</v>
      </c>
      <c r="B3404" s="83"/>
      <c r="C3404" s="16">
        <v>46264</v>
      </c>
      <c r="D3404" s="82">
        <v>33670.709999999963</v>
      </c>
    </row>
    <row r="3405" spans="1:4" x14ac:dyDescent="0.3">
      <c r="A3405" s="83" t="s">
        <v>32</v>
      </c>
      <c r="B3405" s="83"/>
      <c r="C3405" s="16">
        <v>46264</v>
      </c>
      <c r="D3405" s="82">
        <v>29709.170000000006</v>
      </c>
    </row>
    <row r="3406" spans="1:4" x14ac:dyDescent="0.3">
      <c r="A3406" s="83" t="s">
        <v>33</v>
      </c>
      <c r="B3406" s="83"/>
      <c r="C3406" s="16">
        <v>46264</v>
      </c>
      <c r="D3406" s="82">
        <v>19336.039999999997</v>
      </c>
    </row>
    <row r="3407" spans="1:4" x14ac:dyDescent="0.3">
      <c r="A3407" s="83" t="s">
        <v>34</v>
      </c>
      <c r="B3407" s="83"/>
      <c r="C3407" s="16">
        <v>46264</v>
      </c>
      <c r="D3407" s="82">
        <v>345</v>
      </c>
    </row>
    <row r="3408" spans="1:4" x14ac:dyDescent="0.3">
      <c r="A3408" s="83" t="s">
        <v>35</v>
      </c>
      <c r="B3408" s="83"/>
      <c r="C3408" s="16">
        <v>46264</v>
      </c>
      <c r="D3408" s="82">
        <v>9560.0000000000018</v>
      </c>
    </row>
    <row r="3409" spans="1:4" x14ac:dyDescent="0.3">
      <c r="A3409" s="83" t="s">
        <v>193</v>
      </c>
      <c r="B3409" s="83"/>
      <c r="C3409" s="16">
        <v>46264</v>
      </c>
      <c r="D3409" s="82">
        <v>0</v>
      </c>
    </row>
    <row r="3410" spans="1:4" x14ac:dyDescent="0.3">
      <c r="A3410" s="83" t="s">
        <v>214</v>
      </c>
      <c r="B3410" s="83"/>
      <c r="C3410" s="16">
        <v>46264</v>
      </c>
      <c r="D3410" s="82">
        <v>0</v>
      </c>
    </row>
    <row r="3411" spans="1:4" x14ac:dyDescent="0.3">
      <c r="A3411" s="83" t="s">
        <v>194</v>
      </c>
      <c r="B3411" s="83"/>
      <c r="C3411" s="16">
        <v>46264</v>
      </c>
      <c r="D3411" s="82">
        <v>0</v>
      </c>
    </row>
    <row r="3412" spans="1:4" x14ac:dyDescent="0.3">
      <c r="A3412" s="83" t="s">
        <v>195</v>
      </c>
      <c r="B3412" s="83"/>
      <c r="C3412" s="16">
        <v>46264</v>
      </c>
      <c r="D3412" s="82">
        <v>0</v>
      </c>
    </row>
    <row r="3413" spans="1:4" x14ac:dyDescent="0.3">
      <c r="A3413" s="83" t="s">
        <v>196</v>
      </c>
      <c r="B3413" s="83"/>
      <c r="C3413" s="16">
        <v>46264</v>
      </c>
      <c r="D3413" s="82">
        <v>0</v>
      </c>
    </row>
    <row r="3414" spans="1:4" x14ac:dyDescent="0.3">
      <c r="A3414" s="83" t="s">
        <v>197</v>
      </c>
      <c r="B3414" s="83"/>
      <c r="C3414" s="16">
        <v>46264</v>
      </c>
      <c r="D3414" s="82">
        <v>0</v>
      </c>
    </row>
    <row r="3415" spans="1:4" x14ac:dyDescent="0.3">
      <c r="A3415" s="83" t="s">
        <v>212</v>
      </c>
      <c r="B3415" s="83"/>
      <c r="C3415" s="16">
        <v>46264</v>
      </c>
      <c r="D3415" s="82">
        <v>0</v>
      </c>
    </row>
    <row r="3416" spans="1:4" x14ac:dyDescent="0.3">
      <c r="A3416" s="83" t="s">
        <v>199</v>
      </c>
      <c r="B3416" s="83"/>
      <c r="C3416" s="16">
        <v>46264</v>
      </c>
      <c r="D3416" s="82">
        <v>0</v>
      </c>
    </row>
    <row r="3417" spans="1:4" x14ac:dyDescent="0.3">
      <c r="A3417" s="83" t="s">
        <v>216</v>
      </c>
      <c r="B3417" s="83"/>
      <c r="C3417" s="16">
        <v>46264</v>
      </c>
      <c r="D3417" s="82">
        <v>0</v>
      </c>
    </row>
    <row r="3418" spans="1:4" x14ac:dyDescent="0.3">
      <c r="A3418" s="83" t="s">
        <v>17</v>
      </c>
      <c r="B3418" s="83"/>
      <c r="C3418" s="16">
        <v>46265</v>
      </c>
      <c r="D3418" s="82">
        <v>740452.88000000059</v>
      </c>
    </row>
    <row r="3419" spans="1:4" x14ac:dyDescent="0.3">
      <c r="A3419" s="83" t="s">
        <v>18</v>
      </c>
      <c r="B3419" s="83"/>
      <c r="C3419" s="16">
        <v>46265</v>
      </c>
      <c r="D3419" s="82">
        <v>93280.230000000171</v>
      </c>
    </row>
    <row r="3420" spans="1:4" x14ac:dyDescent="0.3">
      <c r="A3420" s="83" t="s">
        <v>19</v>
      </c>
      <c r="B3420" s="83"/>
      <c r="C3420" s="16">
        <v>46265</v>
      </c>
      <c r="D3420" s="82">
        <v>1669.89</v>
      </c>
    </row>
    <row r="3421" spans="1:4" x14ac:dyDescent="0.3">
      <c r="A3421" s="83" t="s">
        <v>20</v>
      </c>
      <c r="B3421" s="83"/>
      <c r="C3421" s="16">
        <v>46265</v>
      </c>
      <c r="D3421" s="82">
        <v>1419898.24</v>
      </c>
    </row>
    <row r="3422" spans="1:4" x14ac:dyDescent="0.3">
      <c r="A3422" s="83" t="s">
        <v>21</v>
      </c>
      <c r="B3422" s="83"/>
      <c r="C3422" s="16">
        <v>46265</v>
      </c>
      <c r="D3422" s="82">
        <v>1555601.2099999995</v>
      </c>
    </row>
    <row r="3423" spans="1:4" x14ac:dyDescent="0.3">
      <c r="A3423" s="83" t="s">
        <v>22</v>
      </c>
      <c r="B3423" s="83"/>
      <c r="C3423" s="16">
        <v>46265</v>
      </c>
      <c r="D3423" s="82">
        <v>221496.38</v>
      </c>
    </row>
    <row r="3424" spans="1:4" x14ac:dyDescent="0.3">
      <c r="A3424" s="83" t="s">
        <v>23</v>
      </c>
      <c r="B3424" s="83"/>
      <c r="C3424" s="16">
        <v>46265</v>
      </c>
      <c r="D3424" s="82">
        <v>217684.34</v>
      </c>
    </row>
    <row r="3425" spans="1:4" x14ac:dyDescent="0.3">
      <c r="A3425" s="83" t="s">
        <v>24</v>
      </c>
      <c r="B3425" s="83"/>
      <c r="C3425" s="16">
        <v>46265</v>
      </c>
      <c r="D3425" s="82">
        <v>13270.02</v>
      </c>
    </row>
    <row r="3426" spans="1:4" x14ac:dyDescent="0.3">
      <c r="A3426" s="83" t="s">
        <v>25</v>
      </c>
      <c r="B3426" s="83"/>
      <c r="C3426" s="16">
        <v>46265</v>
      </c>
      <c r="D3426" s="82">
        <v>124.45</v>
      </c>
    </row>
    <row r="3427" spans="1:4" x14ac:dyDescent="0.3">
      <c r="A3427" s="83" t="s">
        <v>26</v>
      </c>
      <c r="B3427" s="83"/>
      <c r="C3427" s="16">
        <v>46265</v>
      </c>
      <c r="D3427" s="82">
        <v>2177.87</v>
      </c>
    </row>
    <row r="3428" spans="1:4" x14ac:dyDescent="0.3">
      <c r="A3428" s="83" t="s">
        <v>27</v>
      </c>
      <c r="B3428" s="83"/>
      <c r="C3428" s="16">
        <v>46265</v>
      </c>
      <c r="D3428" s="82">
        <v>754424.72</v>
      </c>
    </row>
    <row r="3429" spans="1:4" x14ac:dyDescent="0.3">
      <c r="A3429" s="83" t="s">
        <v>28</v>
      </c>
      <c r="B3429" s="83"/>
      <c r="C3429" s="16">
        <v>46265</v>
      </c>
      <c r="D3429" s="82">
        <v>1968.99</v>
      </c>
    </row>
    <row r="3430" spans="1:4" x14ac:dyDescent="0.3">
      <c r="A3430" s="83" t="s">
        <v>29</v>
      </c>
      <c r="B3430" s="83"/>
      <c r="C3430" s="16">
        <v>46265</v>
      </c>
      <c r="D3430" s="82">
        <v>901.34</v>
      </c>
    </row>
    <row r="3431" spans="1:4" x14ac:dyDescent="0.3">
      <c r="A3431" s="83" t="s">
        <v>30</v>
      </c>
      <c r="B3431" s="83"/>
      <c r="C3431" s="16">
        <v>46265</v>
      </c>
      <c r="D3431" s="82">
        <v>1396.08</v>
      </c>
    </row>
    <row r="3432" spans="1:4" x14ac:dyDescent="0.3">
      <c r="A3432" s="83" t="s">
        <v>31</v>
      </c>
      <c r="B3432" s="83"/>
      <c r="C3432" s="16">
        <v>46265</v>
      </c>
      <c r="D3432" s="82">
        <v>33570.709999999963</v>
      </c>
    </row>
    <row r="3433" spans="1:4" x14ac:dyDescent="0.3">
      <c r="A3433" s="83" t="s">
        <v>32</v>
      </c>
      <c r="B3433" s="83"/>
      <c r="C3433" s="16">
        <v>46265</v>
      </c>
      <c r="D3433" s="82">
        <v>26559.170000000006</v>
      </c>
    </row>
    <row r="3434" spans="1:4" x14ac:dyDescent="0.3">
      <c r="A3434" s="83" t="s">
        <v>33</v>
      </c>
      <c r="B3434" s="83"/>
      <c r="C3434" s="16">
        <v>46265</v>
      </c>
      <c r="D3434" s="82">
        <v>23736.039999999997</v>
      </c>
    </row>
    <row r="3435" spans="1:4" x14ac:dyDescent="0.3">
      <c r="A3435" s="83" t="s">
        <v>34</v>
      </c>
      <c r="B3435" s="83"/>
      <c r="C3435" s="16">
        <v>46265</v>
      </c>
      <c r="D3435" s="82">
        <v>345</v>
      </c>
    </row>
    <row r="3436" spans="1:4" x14ac:dyDescent="0.3">
      <c r="A3436" s="83" t="s">
        <v>35</v>
      </c>
      <c r="B3436" s="83"/>
      <c r="C3436" s="16">
        <v>46265</v>
      </c>
      <c r="D3436" s="82">
        <v>9560.0000000000018</v>
      </c>
    </row>
    <row r="3437" spans="1:4" x14ac:dyDescent="0.3">
      <c r="A3437" s="83" t="s">
        <v>193</v>
      </c>
      <c r="B3437" s="83"/>
      <c r="C3437" s="16">
        <v>46265</v>
      </c>
      <c r="D3437" s="82">
        <v>0</v>
      </c>
    </row>
    <row r="3438" spans="1:4" x14ac:dyDescent="0.3">
      <c r="A3438" s="83" t="s">
        <v>214</v>
      </c>
      <c r="B3438" s="83"/>
      <c r="C3438" s="16">
        <v>46265</v>
      </c>
      <c r="D3438" s="82">
        <v>0</v>
      </c>
    </row>
    <row r="3439" spans="1:4" x14ac:dyDescent="0.3">
      <c r="A3439" s="83" t="s">
        <v>194</v>
      </c>
      <c r="B3439" s="83"/>
      <c r="C3439" s="16">
        <v>46265</v>
      </c>
      <c r="D3439" s="82">
        <v>0</v>
      </c>
    </row>
    <row r="3440" spans="1:4" x14ac:dyDescent="0.3">
      <c r="A3440" s="83" t="s">
        <v>195</v>
      </c>
      <c r="B3440" s="83"/>
      <c r="C3440" s="16">
        <v>46265</v>
      </c>
      <c r="D3440" s="82">
        <v>0</v>
      </c>
    </row>
    <row r="3441" spans="1:4" x14ac:dyDescent="0.3">
      <c r="A3441" s="83" t="s">
        <v>196</v>
      </c>
      <c r="B3441" s="83"/>
      <c r="C3441" s="16">
        <v>46265</v>
      </c>
      <c r="D3441" s="82">
        <v>0</v>
      </c>
    </row>
    <row r="3442" spans="1:4" x14ac:dyDescent="0.3">
      <c r="A3442" s="83" t="s">
        <v>197</v>
      </c>
      <c r="B3442" s="83"/>
      <c r="C3442" s="16">
        <v>46265</v>
      </c>
      <c r="D3442" s="82">
        <v>0</v>
      </c>
    </row>
    <row r="3443" spans="1:4" x14ac:dyDescent="0.3">
      <c r="A3443" s="83" t="s">
        <v>212</v>
      </c>
      <c r="B3443" s="83"/>
      <c r="C3443" s="16">
        <v>46265</v>
      </c>
      <c r="D3443" s="82">
        <v>0</v>
      </c>
    </row>
    <row r="3444" spans="1:4" x14ac:dyDescent="0.3">
      <c r="A3444" s="83" t="s">
        <v>199</v>
      </c>
      <c r="B3444" s="83"/>
      <c r="C3444" s="16">
        <v>46265</v>
      </c>
      <c r="D3444" s="82">
        <v>0</v>
      </c>
    </row>
    <row r="3445" spans="1:4" x14ac:dyDescent="0.3">
      <c r="A3445" s="83" t="s">
        <v>216</v>
      </c>
      <c r="B3445" s="83"/>
      <c r="C3445" s="16">
        <v>46265</v>
      </c>
      <c r="D3445" s="82">
        <v>0</v>
      </c>
    </row>
    <row r="3446" spans="1:4" x14ac:dyDescent="0.3">
      <c r="A3446" s="83" t="s">
        <v>17</v>
      </c>
      <c r="B3446" s="83"/>
      <c r="C3446" s="16">
        <v>46266</v>
      </c>
      <c r="D3446" s="82">
        <v>757677.3900000006</v>
      </c>
    </row>
    <row r="3447" spans="1:4" x14ac:dyDescent="0.3">
      <c r="A3447" s="83" t="s">
        <v>18</v>
      </c>
      <c r="B3447" s="83"/>
      <c r="C3447" s="16">
        <v>46266</v>
      </c>
      <c r="D3447" s="82">
        <v>93280.230000000171</v>
      </c>
    </row>
    <row r="3448" spans="1:4" x14ac:dyDescent="0.3">
      <c r="A3448" s="83" t="s">
        <v>19</v>
      </c>
      <c r="B3448" s="83"/>
      <c r="C3448" s="16">
        <v>46266</v>
      </c>
      <c r="D3448" s="82">
        <v>1669.89</v>
      </c>
    </row>
    <row r="3449" spans="1:4" x14ac:dyDescent="0.3">
      <c r="A3449" s="83" t="s">
        <v>20</v>
      </c>
      <c r="B3449" s="83"/>
      <c r="C3449" s="16">
        <v>46266</v>
      </c>
      <c r="D3449" s="82">
        <v>1419898.24</v>
      </c>
    </row>
    <row r="3450" spans="1:4" x14ac:dyDescent="0.3">
      <c r="A3450" s="83" t="s">
        <v>21</v>
      </c>
      <c r="B3450" s="83"/>
      <c r="C3450" s="16">
        <v>46266</v>
      </c>
      <c r="D3450" s="82">
        <v>1484962.6199999996</v>
      </c>
    </row>
    <row r="3451" spans="1:4" x14ac:dyDescent="0.3">
      <c r="A3451" s="83" t="s">
        <v>22</v>
      </c>
      <c r="B3451" s="83"/>
      <c r="C3451" s="16">
        <v>46266</v>
      </c>
      <c r="D3451" s="82">
        <v>215496.38</v>
      </c>
    </row>
    <row r="3452" spans="1:4" x14ac:dyDescent="0.3">
      <c r="A3452" s="83" t="s">
        <v>23</v>
      </c>
      <c r="B3452" s="83"/>
      <c r="C3452" s="16">
        <v>46266</v>
      </c>
      <c r="D3452" s="82">
        <v>217684.34</v>
      </c>
    </row>
    <row r="3453" spans="1:4" x14ac:dyDescent="0.3">
      <c r="A3453" s="83" t="s">
        <v>24</v>
      </c>
      <c r="B3453" s="83"/>
      <c r="C3453" s="16">
        <v>46266</v>
      </c>
      <c r="D3453" s="82">
        <v>13054.880000000001</v>
      </c>
    </row>
    <row r="3454" spans="1:4" x14ac:dyDescent="0.3">
      <c r="A3454" s="83" t="s">
        <v>25</v>
      </c>
      <c r="B3454" s="83"/>
      <c r="C3454" s="16">
        <v>46266</v>
      </c>
      <c r="D3454" s="82">
        <v>94.5</v>
      </c>
    </row>
    <row r="3455" spans="1:4" x14ac:dyDescent="0.3">
      <c r="A3455" s="83" t="s">
        <v>26</v>
      </c>
      <c r="B3455" s="83"/>
      <c r="C3455" s="16">
        <v>46266</v>
      </c>
      <c r="D3455" s="82">
        <v>2147.92</v>
      </c>
    </row>
    <row r="3456" spans="1:4" x14ac:dyDescent="0.3">
      <c r="A3456" s="83" t="s">
        <v>27</v>
      </c>
      <c r="B3456" s="83"/>
      <c r="C3456" s="16">
        <v>46266</v>
      </c>
      <c r="D3456" s="82">
        <v>754424.72</v>
      </c>
    </row>
    <row r="3457" spans="1:4" x14ac:dyDescent="0.3">
      <c r="A3457" s="83" t="s">
        <v>28</v>
      </c>
      <c r="B3457" s="83"/>
      <c r="C3457" s="16">
        <v>46266</v>
      </c>
      <c r="D3457" s="82">
        <v>1968.99</v>
      </c>
    </row>
    <row r="3458" spans="1:4" x14ac:dyDescent="0.3">
      <c r="A3458" s="83" t="s">
        <v>29</v>
      </c>
      <c r="B3458" s="83"/>
      <c r="C3458" s="16">
        <v>46266</v>
      </c>
      <c r="D3458" s="82">
        <v>901.34</v>
      </c>
    </row>
    <row r="3459" spans="1:4" x14ac:dyDescent="0.3">
      <c r="A3459" s="83" t="s">
        <v>30</v>
      </c>
      <c r="B3459" s="83"/>
      <c r="C3459" s="16">
        <v>46266</v>
      </c>
      <c r="D3459" s="82">
        <v>1380.08</v>
      </c>
    </row>
    <row r="3460" spans="1:4" x14ac:dyDescent="0.3">
      <c r="A3460" s="83" t="s">
        <v>31</v>
      </c>
      <c r="B3460" s="83"/>
      <c r="C3460" s="16">
        <v>46266</v>
      </c>
      <c r="D3460" s="82">
        <v>25027.379999999961</v>
      </c>
    </row>
    <row r="3461" spans="1:4" x14ac:dyDescent="0.3">
      <c r="A3461" s="83" t="s">
        <v>32</v>
      </c>
      <c r="B3461" s="83"/>
      <c r="C3461" s="16">
        <v>46266</v>
      </c>
      <c r="D3461" s="82">
        <v>16760.540000000008</v>
      </c>
    </row>
    <row r="3462" spans="1:4" x14ac:dyDescent="0.3">
      <c r="A3462" s="83" t="s">
        <v>33</v>
      </c>
      <c r="B3462" s="83"/>
      <c r="C3462" s="16">
        <v>46266</v>
      </c>
      <c r="D3462" s="82">
        <v>14962.999999999996</v>
      </c>
    </row>
    <row r="3463" spans="1:4" x14ac:dyDescent="0.3">
      <c r="A3463" s="83" t="s">
        <v>34</v>
      </c>
      <c r="B3463" s="83"/>
      <c r="C3463" s="16">
        <v>46266</v>
      </c>
      <c r="D3463" s="82">
        <v>345</v>
      </c>
    </row>
    <row r="3464" spans="1:4" x14ac:dyDescent="0.3">
      <c r="A3464" s="83" t="s">
        <v>35</v>
      </c>
      <c r="B3464" s="83"/>
      <c r="C3464" s="16">
        <v>46266</v>
      </c>
      <c r="D3464" s="82">
        <v>9549.7500000000018</v>
      </c>
    </row>
    <row r="3465" spans="1:4" x14ac:dyDescent="0.3">
      <c r="A3465" s="83" t="s">
        <v>193</v>
      </c>
      <c r="B3465" s="83"/>
      <c r="C3465" s="16">
        <v>46266</v>
      </c>
      <c r="D3465" s="82">
        <v>301167.45</v>
      </c>
    </row>
    <row r="3466" spans="1:4" x14ac:dyDescent="0.3">
      <c r="A3466" s="83" t="s">
        <v>214</v>
      </c>
      <c r="B3466" s="83"/>
      <c r="C3466" s="16">
        <v>46266</v>
      </c>
      <c r="D3466" s="82">
        <v>20642.07</v>
      </c>
    </row>
    <row r="3467" spans="1:4" x14ac:dyDescent="0.3">
      <c r="A3467" s="83" t="s">
        <v>194</v>
      </c>
      <c r="B3467" s="83"/>
      <c r="C3467" s="16">
        <v>46266</v>
      </c>
      <c r="D3467" s="82">
        <v>3631.96</v>
      </c>
    </row>
    <row r="3468" spans="1:4" x14ac:dyDescent="0.3">
      <c r="A3468" s="83" t="s">
        <v>195</v>
      </c>
      <c r="B3468" s="83"/>
      <c r="C3468" s="16">
        <v>46266</v>
      </c>
      <c r="D3468" s="82">
        <v>2303.4300000000003</v>
      </c>
    </row>
    <row r="3469" spans="1:4" x14ac:dyDescent="0.3">
      <c r="A3469" s="83" t="s">
        <v>196</v>
      </c>
      <c r="B3469" s="83"/>
      <c r="C3469" s="16">
        <v>46266</v>
      </c>
      <c r="D3469" s="82">
        <v>92112.919999999969</v>
      </c>
    </row>
    <row r="3470" spans="1:4" x14ac:dyDescent="0.3">
      <c r="A3470" s="83" t="s">
        <v>197</v>
      </c>
      <c r="B3470" s="83"/>
      <c r="C3470" s="16">
        <v>46266</v>
      </c>
      <c r="D3470" s="82">
        <v>794.01</v>
      </c>
    </row>
    <row r="3471" spans="1:4" x14ac:dyDescent="0.3">
      <c r="A3471" s="83" t="s">
        <v>212</v>
      </c>
      <c r="B3471" s="83"/>
      <c r="C3471" s="16">
        <v>46266</v>
      </c>
      <c r="D3471" s="82">
        <v>5445.57</v>
      </c>
    </row>
    <row r="3472" spans="1:4" x14ac:dyDescent="0.3">
      <c r="A3472" s="83" t="s">
        <v>199</v>
      </c>
      <c r="B3472" s="83"/>
      <c r="C3472" s="16">
        <v>46266</v>
      </c>
      <c r="D3472" s="82">
        <v>241342.91999999998</v>
      </c>
    </row>
    <row r="3473" spans="1:4" x14ac:dyDescent="0.3">
      <c r="A3473" s="83" t="s">
        <v>216</v>
      </c>
      <c r="B3473" s="83"/>
      <c r="C3473" s="16">
        <v>46266</v>
      </c>
      <c r="D3473" s="82">
        <v>303874.71999999997</v>
      </c>
    </row>
    <row r="3474" spans="1:4" x14ac:dyDescent="0.3">
      <c r="A3474" s="83" t="s">
        <v>17</v>
      </c>
      <c r="B3474" s="83"/>
      <c r="C3474" s="16">
        <v>46267</v>
      </c>
      <c r="D3474" s="82">
        <v>1468396.1200000006</v>
      </c>
    </row>
    <row r="3475" spans="1:4" x14ac:dyDescent="0.3">
      <c r="A3475" s="83" t="s">
        <v>18</v>
      </c>
      <c r="B3475" s="83"/>
      <c r="C3475" s="16">
        <v>46267</v>
      </c>
      <c r="D3475" s="82">
        <v>93280.230000000171</v>
      </c>
    </row>
    <row r="3476" spans="1:4" x14ac:dyDescent="0.3">
      <c r="A3476" s="83" t="s">
        <v>19</v>
      </c>
      <c r="B3476" s="83"/>
      <c r="C3476" s="16">
        <v>46267</v>
      </c>
      <c r="D3476" s="82">
        <v>1669.89</v>
      </c>
    </row>
    <row r="3477" spans="1:4" x14ac:dyDescent="0.3">
      <c r="A3477" s="83" t="s">
        <v>20</v>
      </c>
      <c r="B3477" s="83"/>
      <c r="C3477" s="16">
        <v>46267</v>
      </c>
      <c r="D3477" s="82">
        <v>1419898.24</v>
      </c>
    </row>
    <row r="3478" spans="1:4" x14ac:dyDescent="0.3">
      <c r="A3478" s="83" t="s">
        <v>21</v>
      </c>
      <c r="B3478" s="83"/>
      <c r="C3478" s="16">
        <v>46267</v>
      </c>
      <c r="D3478" s="82">
        <v>1484962.6199999996</v>
      </c>
    </row>
    <row r="3479" spans="1:4" x14ac:dyDescent="0.3">
      <c r="A3479" s="83" t="s">
        <v>22</v>
      </c>
      <c r="B3479" s="83"/>
      <c r="C3479" s="16">
        <v>46267</v>
      </c>
      <c r="D3479" s="82">
        <v>249778.14</v>
      </c>
    </row>
    <row r="3480" spans="1:4" x14ac:dyDescent="0.3">
      <c r="A3480" s="83" t="s">
        <v>23</v>
      </c>
      <c r="B3480" s="83"/>
      <c r="C3480" s="16">
        <v>46267</v>
      </c>
      <c r="D3480" s="82">
        <v>217684.34</v>
      </c>
    </row>
    <row r="3481" spans="1:4" x14ac:dyDescent="0.3">
      <c r="A3481" s="83" t="s">
        <v>24</v>
      </c>
      <c r="B3481" s="83"/>
      <c r="C3481" s="16">
        <v>46267</v>
      </c>
      <c r="D3481" s="82">
        <v>13054.880000000001</v>
      </c>
    </row>
    <row r="3482" spans="1:4" x14ac:dyDescent="0.3">
      <c r="A3482" s="83" t="s">
        <v>25</v>
      </c>
      <c r="B3482" s="83"/>
      <c r="C3482" s="16">
        <v>46267</v>
      </c>
      <c r="D3482" s="82">
        <v>94.5</v>
      </c>
    </row>
    <row r="3483" spans="1:4" x14ac:dyDescent="0.3">
      <c r="A3483" s="83" t="s">
        <v>26</v>
      </c>
      <c r="B3483" s="83"/>
      <c r="C3483" s="16">
        <v>46267</v>
      </c>
      <c r="D3483" s="82">
        <v>2147.92</v>
      </c>
    </row>
    <row r="3484" spans="1:4" x14ac:dyDescent="0.3">
      <c r="A3484" s="83" t="s">
        <v>27</v>
      </c>
      <c r="B3484" s="83"/>
      <c r="C3484" s="16">
        <v>46267</v>
      </c>
      <c r="D3484" s="82">
        <v>17895.290000000015</v>
      </c>
    </row>
    <row r="3485" spans="1:4" x14ac:dyDescent="0.3">
      <c r="A3485" s="83" t="s">
        <v>28</v>
      </c>
      <c r="B3485" s="83"/>
      <c r="C3485" s="16">
        <v>46267</v>
      </c>
      <c r="D3485" s="82">
        <v>1968.99</v>
      </c>
    </row>
    <row r="3486" spans="1:4" x14ac:dyDescent="0.3">
      <c r="A3486" s="83" t="s">
        <v>29</v>
      </c>
      <c r="B3486" s="83"/>
      <c r="C3486" s="16">
        <v>46267</v>
      </c>
      <c r="D3486" s="82">
        <v>901.34</v>
      </c>
    </row>
    <row r="3487" spans="1:4" x14ac:dyDescent="0.3">
      <c r="A3487" s="83" t="s">
        <v>30</v>
      </c>
      <c r="B3487" s="83"/>
      <c r="C3487" s="16">
        <v>46267</v>
      </c>
      <c r="D3487" s="82">
        <v>1380.08</v>
      </c>
    </row>
    <row r="3488" spans="1:4" x14ac:dyDescent="0.3">
      <c r="A3488" s="83" t="s">
        <v>31</v>
      </c>
      <c r="B3488" s="83"/>
      <c r="C3488" s="16">
        <v>46267</v>
      </c>
      <c r="D3488" s="82">
        <v>25027.379999999961</v>
      </c>
    </row>
    <row r="3489" spans="1:4" x14ac:dyDescent="0.3">
      <c r="A3489" s="83" t="s">
        <v>32</v>
      </c>
      <c r="B3489" s="83"/>
      <c r="C3489" s="16">
        <v>46267</v>
      </c>
      <c r="D3489" s="82">
        <v>16760.540000000008</v>
      </c>
    </row>
    <row r="3490" spans="1:4" x14ac:dyDescent="0.3">
      <c r="A3490" s="83" t="s">
        <v>33</v>
      </c>
      <c r="B3490" s="83"/>
      <c r="C3490" s="16">
        <v>46267</v>
      </c>
      <c r="D3490" s="82">
        <v>14162.999999999996</v>
      </c>
    </row>
    <row r="3491" spans="1:4" x14ac:dyDescent="0.3">
      <c r="A3491" s="83" t="s">
        <v>34</v>
      </c>
      <c r="B3491" s="83"/>
      <c r="C3491" s="16">
        <v>46267</v>
      </c>
      <c r="D3491" s="82">
        <v>345</v>
      </c>
    </row>
    <row r="3492" spans="1:4" x14ac:dyDescent="0.3">
      <c r="A3492" s="83" t="s">
        <v>35</v>
      </c>
      <c r="B3492" s="83"/>
      <c r="C3492" s="16">
        <v>46267</v>
      </c>
      <c r="D3492" s="82">
        <v>5861.1200000000026</v>
      </c>
    </row>
    <row r="3493" spans="1:4" x14ac:dyDescent="0.3">
      <c r="A3493" s="83" t="s">
        <v>193</v>
      </c>
      <c r="B3493" s="83"/>
      <c r="C3493" s="16">
        <v>46267</v>
      </c>
      <c r="D3493" s="82">
        <v>301167.45</v>
      </c>
    </row>
    <row r="3494" spans="1:4" x14ac:dyDescent="0.3">
      <c r="A3494" s="83" t="s">
        <v>214</v>
      </c>
      <c r="B3494" s="83"/>
      <c r="C3494" s="16">
        <v>46267</v>
      </c>
      <c r="D3494" s="82">
        <v>20642.07</v>
      </c>
    </row>
    <row r="3495" spans="1:4" x14ac:dyDescent="0.3">
      <c r="A3495" s="83" t="s">
        <v>194</v>
      </c>
      <c r="B3495" s="83"/>
      <c r="C3495" s="16">
        <v>46267</v>
      </c>
      <c r="D3495" s="82">
        <v>3631.96</v>
      </c>
    </row>
    <row r="3496" spans="1:4" x14ac:dyDescent="0.3">
      <c r="A3496" s="83" t="s">
        <v>195</v>
      </c>
      <c r="B3496" s="83"/>
      <c r="C3496" s="16">
        <v>46267</v>
      </c>
      <c r="D3496" s="82">
        <v>2303.4300000000003</v>
      </c>
    </row>
    <row r="3497" spans="1:4" x14ac:dyDescent="0.3">
      <c r="A3497" s="83" t="s">
        <v>196</v>
      </c>
      <c r="B3497" s="83"/>
      <c r="C3497" s="16">
        <v>46267</v>
      </c>
      <c r="D3497" s="82">
        <v>92112.919999999969</v>
      </c>
    </row>
    <row r="3498" spans="1:4" x14ac:dyDescent="0.3">
      <c r="A3498" s="83" t="s">
        <v>197</v>
      </c>
      <c r="B3498" s="83"/>
      <c r="C3498" s="16">
        <v>46267</v>
      </c>
      <c r="D3498" s="82">
        <v>794.01</v>
      </c>
    </row>
    <row r="3499" spans="1:4" x14ac:dyDescent="0.3">
      <c r="A3499" s="83" t="s">
        <v>212</v>
      </c>
      <c r="B3499" s="83"/>
      <c r="C3499" s="16">
        <v>46267</v>
      </c>
      <c r="D3499" s="82">
        <v>5445.57</v>
      </c>
    </row>
    <row r="3500" spans="1:4" x14ac:dyDescent="0.3">
      <c r="A3500" s="83" t="s">
        <v>199</v>
      </c>
      <c r="B3500" s="83"/>
      <c r="C3500" s="16">
        <v>46267</v>
      </c>
      <c r="D3500" s="82">
        <v>241674.28999999998</v>
      </c>
    </row>
    <row r="3501" spans="1:4" x14ac:dyDescent="0.3">
      <c r="A3501" s="83" t="s">
        <v>216</v>
      </c>
      <c r="B3501" s="83"/>
      <c r="C3501" s="16">
        <v>46267</v>
      </c>
      <c r="D3501" s="82">
        <v>303874.71999999997</v>
      </c>
    </row>
    <row r="3502" spans="1:4" x14ac:dyDescent="0.3">
      <c r="A3502" s="83" t="s">
        <v>17</v>
      </c>
      <c r="B3502" s="83"/>
      <c r="C3502" s="16">
        <v>46268</v>
      </c>
      <c r="D3502" s="82">
        <v>1053254.4500000007</v>
      </c>
    </row>
    <row r="3503" spans="1:4" x14ac:dyDescent="0.3">
      <c r="A3503" s="83" t="s">
        <v>18</v>
      </c>
      <c r="B3503" s="83"/>
      <c r="C3503" s="16">
        <v>46268</v>
      </c>
      <c r="D3503" s="82">
        <v>93280.230000000171</v>
      </c>
    </row>
    <row r="3504" spans="1:4" x14ac:dyDescent="0.3">
      <c r="A3504" s="83" t="s">
        <v>19</v>
      </c>
      <c r="B3504" s="83"/>
      <c r="C3504" s="16">
        <v>46268</v>
      </c>
      <c r="D3504" s="82">
        <v>1669.89</v>
      </c>
    </row>
    <row r="3505" spans="1:4" x14ac:dyDescent="0.3">
      <c r="A3505" s="83" t="s">
        <v>20</v>
      </c>
      <c r="B3505" s="83"/>
      <c r="C3505" s="16">
        <v>46268</v>
      </c>
      <c r="D3505" s="82">
        <v>1250938</v>
      </c>
    </row>
    <row r="3506" spans="1:4" x14ac:dyDescent="0.3">
      <c r="A3506" s="83" t="s">
        <v>21</v>
      </c>
      <c r="B3506" s="83"/>
      <c r="C3506" s="16">
        <v>46268</v>
      </c>
      <c r="D3506" s="82">
        <v>1500228.9099999997</v>
      </c>
    </row>
    <row r="3507" spans="1:4" x14ac:dyDescent="0.3">
      <c r="A3507" s="83" t="s">
        <v>22</v>
      </c>
      <c r="B3507" s="83"/>
      <c r="C3507" s="16">
        <v>46268</v>
      </c>
      <c r="D3507" s="82">
        <v>249778.14</v>
      </c>
    </row>
    <row r="3508" spans="1:4" x14ac:dyDescent="0.3">
      <c r="A3508" s="83" t="s">
        <v>23</v>
      </c>
      <c r="B3508" s="83"/>
      <c r="C3508" s="16">
        <v>46268</v>
      </c>
      <c r="D3508" s="82">
        <v>217684.34</v>
      </c>
    </row>
    <row r="3509" spans="1:4" x14ac:dyDescent="0.3">
      <c r="A3509" s="83" t="s">
        <v>24</v>
      </c>
      <c r="B3509" s="83"/>
      <c r="C3509" s="16">
        <v>46268</v>
      </c>
      <c r="D3509" s="82">
        <v>13014.880000000001</v>
      </c>
    </row>
    <row r="3510" spans="1:4" x14ac:dyDescent="0.3">
      <c r="A3510" s="83" t="s">
        <v>25</v>
      </c>
      <c r="B3510" s="83"/>
      <c r="C3510" s="16">
        <v>46268</v>
      </c>
      <c r="D3510" s="82">
        <v>94.5</v>
      </c>
    </row>
    <row r="3511" spans="1:4" x14ac:dyDescent="0.3">
      <c r="A3511" s="83" t="s">
        <v>26</v>
      </c>
      <c r="B3511" s="83"/>
      <c r="C3511" s="16">
        <v>46268</v>
      </c>
      <c r="D3511" s="82">
        <v>2147.92</v>
      </c>
    </row>
    <row r="3512" spans="1:4" x14ac:dyDescent="0.3">
      <c r="A3512" s="83" t="s">
        <v>27</v>
      </c>
      <c r="B3512" s="83"/>
      <c r="C3512" s="16">
        <v>46268</v>
      </c>
      <c r="D3512" s="82">
        <v>17895.290000000015</v>
      </c>
    </row>
    <row r="3513" spans="1:4" x14ac:dyDescent="0.3">
      <c r="A3513" s="83" t="s">
        <v>28</v>
      </c>
      <c r="B3513" s="83"/>
      <c r="C3513" s="16">
        <v>46268</v>
      </c>
      <c r="D3513" s="82">
        <v>1968.99</v>
      </c>
    </row>
    <row r="3514" spans="1:4" x14ac:dyDescent="0.3">
      <c r="A3514" s="83" t="s">
        <v>29</v>
      </c>
      <c r="B3514" s="83"/>
      <c r="C3514" s="16">
        <v>46268</v>
      </c>
      <c r="D3514" s="82">
        <v>901.34</v>
      </c>
    </row>
    <row r="3515" spans="1:4" x14ac:dyDescent="0.3">
      <c r="A3515" s="83" t="s">
        <v>30</v>
      </c>
      <c r="B3515" s="83"/>
      <c r="C3515" s="16">
        <v>46268</v>
      </c>
      <c r="D3515" s="82">
        <v>1380.08</v>
      </c>
    </row>
    <row r="3516" spans="1:4" x14ac:dyDescent="0.3">
      <c r="A3516" s="83" t="s">
        <v>31</v>
      </c>
      <c r="B3516" s="83"/>
      <c r="C3516" s="16">
        <v>46268</v>
      </c>
      <c r="D3516" s="82">
        <v>25027.379999999961</v>
      </c>
    </row>
    <row r="3517" spans="1:4" x14ac:dyDescent="0.3">
      <c r="A3517" s="83" t="s">
        <v>32</v>
      </c>
      <c r="B3517" s="83"/>
      <c r="C3517" s="16">
        <v>46268</v>
      </c>
      <c r="D3517" s="82">
        <v>16760.540000000008</v>
      </c>
    </row>
    <row r="3518" spans="1:4" x14ac:dyDescent="0.3">
      <c r="A3518" s="83" t="s">
        <v>33</v>
      </c>
      <c r="B3518" s="83"/>
      <c r="C3518" s="16">
        <v>46268</v>
      </c>
      <c r="D3518" s="82">
        <v>14162.999999999996</v>
      </c>
    </row>
    <row r="3519" spans="1:4" x14ac:dyDescent="0.3">
      <c r="A3519" s="83" t="s">
        <v>34</v>
      </c>
      <c r="B3519" s="83"/>
      <c r="C3519" s="16">
        <v>46268</v>
      </c>
      <c r="D3519" s="82">
        <v>345</v>
      </c>
    </row>
    <row r="3520" spans="1:4" x14ac:dyDescent="0.3">
      <c r="A3520" s="83" t="s">
        <v>35</v>
      </c>
      <c r="B3520" s="83"/>
      <c r="C3520" s="16">
        <v>46268</v>
      </c>
      <c r="D3520" s="82">
        <v>5861.1200000000026</v>
      </c>
    </row>
    <row r="3521" spans="1:4" x14ac:dyDescent="0.3">
      <c r="A3521" s="83" t="s">
        <v>193</v>
      </c>
      <c r="B3521" s="83"/>
      <c r="C3521" s="16">
        <v>46268</v>
      </c>
      <c r="D3521" s="82">
        <v>299174.44</v>
      </c>
    </row>
    <row r="3522" spans="1:4" x14ac:dyDescent="0.3">
      <c r="A3522" s="83" t="s">
        <v>214</v>
      </c>
      <c r="B3522" s="83"/>
      <c r="C3522" s="16">
        <v>46268</v>
      </c>
      <c r="D3522" s="82">
        <v>20547.07</v>
      </c>
    </row>
    <row r="3523" spans="1:4" x14ac:dyDescent="0.3">
      <c r="A3523" s="83" t="s">
        <v>194</v>
      </c>
      <c r="B3523" s="83"/>
      <c r="C3523" s="16">
        <v>46268</v>
      </c>
      <c r="D3523" s="82">
        <v>3631.96</v>
      </c>
    </row>
    <row r="3524" spans="1:4" x14ac:dyDescent="0.3">
      <c r="A3524" s="83" t="s">
        <v>195</v>
      </c>
      <c r="B3524" s="83"/>
      <c r="C3524" s="16">
        <v>46268</v>
      </c>
      <c r="D3524" s="82">
        <v>604.80000000000018</v>
      </c>
    </row>
    <row r="3525" spans="1:4" x14ac:dyDescent="0.3">
      <c r="A3525" s="83" t="s">
        <v>196</v>
      </c>
      <c r="B3525" s="83"/>
      <c r="C3525" s="16">
        <v>46268</v>
      </c>
      <c r="D3525" s="82">
        <v>92112.919999999969</v>
      </c>
    </row>
    <row r="3526" spans="1:4" x14ac:dyDescent="0.3">
      <c r="A3526" s="83" t="s">
        <v>197</v>
      </c>
      <c r="B3526" s="83"/>
      <c r="C3526" s="16">
        <v>46268</v>
      </c>
      <c r="D3526" s="82">
        <v>794.01</v>
      </c>
    </row>
    <row r="3527" spans="1:4" x14ac:dyDescent="0.3">
      <c r="A3527" s="83" t="s">
        <v>212</v>
      </c>
      <c r="B3527" s="83"/>
      <c r="C3527" s="16">
        <v>46268</v>
      </c>
      <c r="D3527" s="82">
        <v>5445.57</v>
      </c>
    </row>
    <row r="3528" spans="1:4" x14ac:dyDescent="0.3">
      <c r="A3528" s="83" t="s">
        <v>199</v>
      </c>
      <c r="B3528" s="83"/>
      <c r="C3528" s="16">
        <v>46268</v>
      </c>
      <c r="D3528" s="82">
        <v>241819.28999999998</v>
      </c>
    </row>
    <row r="3529" spans="1:4" x14ac:dyDescent="0.3">
      <c r="A3529" s="83" t="s">
        <v>216</v>
      </c>
      <c r="B3529" s="83"/>
      <c r="C3529" s="16">
        <v>46268</v>
      </c>
      <c r="D3529" s="82">
        <v>303874.71999999997</v>
      </c>
    </row>
    <row r="3530" spans="1:4" x14ac:dyDescent="0.3">
      <c r="A3530" s="83" t="s">
        <v>17</v>
      </c>
      <c r="B3530" s="83"/>
      <c r="C3530" s="16">
        <v>46269</v>
      </c>
      <c r="D3530" s="82">
        <v>1549729.4500000007</v>
      </c>
    </row>
    <row r="3531" spans="1:4" x14ac:dyDescent="0.3">
      <c r="A3531" s="83" t="s">
        <v>18</v>
      </c>
      <c r="B3531" s="83"/>
      <c r="C3531" s="16">
        <v>46269</v>
      </c>
      <c r="D3531" s="82">
        <v>93280.230000000171</v>
      </c>
    </row>
    <row r="3532" spans="1:4" x14ac:dyDescent="0.3">
      <c r="A3532" s="83" t="s">
        <v>19</v>
      </c>
      <c r="B3532" s="83"/>
      <c r="C3532" s="16">
        <v>46269</v>
      </c>
      <c r="D3532" s="82">
        <v>1669.89</v>
      </c>
    </row>
    <row r="3533" spans="1:4" x14ac:dyDescent="0.3">
      <c r="A3533" s="83" t="s">
        <v>20</v>
      </c>
      <c r="B3533" s="83"/>
      <c r="C3533" s="16">
        <v>46269</v>
      </c>
      <c r="D3533" s="82">
        <v>1250938</v>
      </c>
    </row>
    <row r="3534" spans="1:4" x14ac:dyDescent="0.3">
      <c r="A3534" s="83" t="s">
        <v>21</v>
      </c>
      <c r="B3534" s="83"/>
      <c r="C3534" s="16">
        <v>46269</v>
      </c>
      <c r="D3534" s="82">
        <v>1499204.7399999998</v>
      </c>
    </row>
    <row r="3535" spans="1:4" x14ac:dyDescent="0.3">
      <c r="A3535" s="83" t="s">
        <v>22</v>
      </c>
      <c r="B3535" s="83"/>
      <c r="C3535" s="16">
        <v>46269</v>
      </c>
      <c r="D3535" s="82">
        <v>249778.14</v>
      </c>
    </row>
    <row r="3536" spans="1:4" x14ac:dyDescent="0.3">
      <c r="A3536" s="83" t="s">
        <v>23</v>
      </c>
      <c r="B3536" s="83"/>
      <c r="C3536" s="16">
        <v>46269</v>
      </c>
      <c r="D3536" s="82">
        <v>217684.34</v>
      </c>
    </row>
    <row r="3537" spans="1:4" x14ac:dyDescent="0.3">
      <c r="A3537" s="83" t="s">
        <v>24</v>
      </c>
      <c r="B3537" s="83"/>
      <c r="C3537" s="16">
        <v>46269</v>
      </c>
      <c r="D3537" s="82">
        <v>13014.880000000001</v>
      </c>
    </row>
    <row r="3538" spans="1:4" x14ac:dyDescent="0.3">
      <c r="A3538" s="83" t="s">
        <v>25</v>
      </c>
      <c r="B3538" s="83"/>
      <c r="C3538" s="16">
        <v>46269</v>
      </c>
      <c r="D3538" s="82">
        <v>94.5</v>
      </c>
    </row>
    <row r="3539" spans="1:4" x14ac:dyDescent="0.3">
      <c r="A3539" s="83" t="s">
        <v>26</v>
      </c>
      <c r="B3539" s="83"/>
      <c r="C3539" s="16">
        <v>46269</v>
      </c>
      <c r="D3539" s="82">
        <v>2147.92</v>
      </c>
    </row>
    <row r="3540" spans="1:4" x14ac:dyDescent="0.3">
      <c r="A3540" s="83" t="s">
        <v>27</v>
      </c>
      <c r="B3540" s="83"/>
      <c r="C3540" s="16">
        <v>46269</v>
      </c>
      <c r="D3540" s="82">
        <v>17895.290000000015</v>
      </c>
    </row>
    <row r="3541" spans="1:4" x14ac:dyDescent="0.3">
      <c r="A3541" s="83" t="s">
        <v>28</v>
      </c>
      <c r="B3541" s="83"/>
      <c r="C3541" s="16">
        <v>46269</v>
      </c>
      <c r="D3541" s="82">
        <v>1968.99</v>
      </c>
    </row>
    <row r="3542" spans="1:4" x14ac:dyDescent="0.3">
      <c r="A3542" s="83" t="s">
        <v>29</v>
      </c>
      <c r="B3542" s="83"/>
      <c r="C3542" s="16">
        <v>46269</v>
      </c>
      <c r="D3542" s="82">
        <v>901.34</v>
      </c>
    </row>
    <row r="3543" spans="1:4" x14ac:dyDescent="0.3">
      <c r="A3543" s="83" t="s">
        <v>30</v>
      </c>
      <c r="B3543" s="83"/>
      <c r="C3543" s="16">
        <v>46269</v>
      </c>
      <c r="D3543" s="82">
        <v>1380.08</v>
      </c>
    </row>
    <row r="3544" spans="1:4" x14ac:dyDescent="0.3">
      <c r="A3544" s="83" t="s">
        <v>31</v>
      </c>
      <c r="B3544" s="83"/>
      <c r="C3544" s="16">
        <v>46269</v>
      </c>
      <c r="D3544" s="82">
        <v>25027.379999999961</v>
      </c>
    </row>
    <row r="3545" spans="1:4" x14ac:dyDescent="0.3">
      <c r="A3545" s="83" t="s">
        <v>32</v>
      </c>
      <c r="B3545" s="83"/>
      <c r="C3545" s="16">
        <v>46269</v>
      </c>
      <c r="D3545" s="82">
        <v>16760.540000000008</v>
      </c>
    </row>
    <row r="3546" spans="1:4" x14ac:dyDescent="0.3">
      <c r="A3546" s="83" t="s">
        <v>33</v>
      </c>
      <c r="B3546" s="83"/>
      <c r="C3546" s="16">
        <v>46269</v>
      </c>
      <c r="D3546" s="82">
        <v>14162.999999999996</v>
      </c>
    </row>
    <row r="3547" spans="1:4" x14ac:dyDescent="0.3">
      <c r="A3547" s="83" t="s">
        <v>34</v>
      </c>
      <c r="B3547" s="83"/>
      <c r="C3547" s="16">
        <v>46269</v>
      </c>
      <c r="D3547" s="82">
        <v>345</v>
      </c>
    </row>
    <row r="3548" spans="1:4" x14ac:dyDescent="0.3">
      <c r="A3548" s="83" t="s">
        <v>35</v>
      </c>
      <c r="B3548" s="83"/>
      <c r="C3548" s="16">
        <v>46269</v>
      </c>
      <c r="D3548" s="82">
        <v>5861.1200000000026</v>
      </c>
    </row>
    <row r="3549" spans="1:4" x14ac:dyDescent="0.3">
      <c r="A3549" s="83" t="s">
        <v>193</v>
      </c>
      <c r="B3549" s="83"/>
      <c r="C3549" s="16">
        <v>46269</v>
      </c>
      <c r="D3549" s="82">
        <v>299174.44</v>
      </c>
    </row>
    <row r="3550" spans="1:4" x14ac:dyDescent="0.3">
      <c r="A3550" s="83" t="s">
        <v>214</v>
      </c>
      <c r="B3550" s="83"/>
      <c r="C3550" s="16">
        <v>46269</v>
      </c>
      <c r="D3550" s="82">
        <v>20467.07</v>
      </c>
    </row>
    <row r="3551" spans="1:4" x14ac:dyDescent="0.3">
      <c r="A3551" s="83" t="s">
        <v>194</v>
      </c>
      <c r="B3551" s="83"/>
      <c r="C3551" s="16">
        <v>46269</v>
      </c>
      <c r="D3551" s="82">
        <v>3631.96</v>
      </c>
    </row>
    <row r="3552" spans="1:4" x14ac:dyDescent="0.3">
      <c r="A3552" s="83" t="s">
        <v>195</v>
      </c>
      <c r="B3552" s="83"/>
      <c r="C3552" s="16">
        <v>46269</v>
      </c>
      <c r="D3552" s="82">
        <v>604.80000000000018</v>
      </c>
    </row>
    <row r="3553" spans="1:4" x14ac:dyDescent="0.3">
      <c r="A3553" s="83" t="s">
        <v>196</v>
      </c>
      <c r="B3553" s="83"/>
      <c r="C3553" s="16">
        <v>46269</v>
      </c>
      <c r="D3553" s="82">
        <v>32112.919999999976</v>
      </c>
    </row>
    <row r="3554" spans="1:4" x14ac:dyDescent="0.3">
      <c r="A3554" s="83" t="s">
        <v>197</v>
      </c>
      <c r="B3554" s="83"/>
      <c r="C3554" s="16">
        <v>46269</v>
      </c>
      <c r="D3554" s="82">
        <v>794.01</v>
      </c>
    </row>
    <row r="3555" spans="1:4" x14ac:dyDescent="0.3">
      <c r="A3555" s="83" t="s">
        <v>212</v>
      </c>
      <c r="B3555" s="83"/>
      <c r="C3555" s="16">
        <v>46269</v>
      </c>
      <c r="D3555" s="82">
        <v>5445.57</v>
      </c>
    </row>
    <row r="3556" spans="1:4" x14ac:dyDescent="0.3">
      <c r="A3556" s="83" t="s">
        <v>199</v>
      </c>
      <c r="B3556" s="83"/>
      <c r="C3556" s="16">
        <v>46269</v>
      </c>
      <c r="D3556" s="82">
        <v>242034.28999999998</v>
      </c>
    </row>
    <row r="3557" spans="1:4" x14ac:dyDescent="0.3">
      <c r="A3557" s="83" t="s">
        <v>216</v>
      </c>
      <c r="B3557" s="83"/>
      <c r="C3557" s="16">
        <v>46269</v>
      </c>
      <c r="D3557" s="82">
        <v>303874.71999999997</v>
      </c>
    </row>
    <row r="3558" spans="1:4" x14ac:dyDescent="0.3">
      <c r="A3558" s="83" t="s">
        <v>17</v>
      </c>
      <c r="B3558" s="83"/>
      <c r="C3558" s="16">
        <v>46270</v>
      </c>
      <c r="D3558" s="82">
        <v>1549729.4500000007</v>
      </c>
    </row>
    <row r="3559" spans="1:4" x14ac:dyDescent="0.3">
      <c r="A3559" s="83" t="s">
        <v>18</v>
      </c>
      <c r="B3559" s="83"/>
      <c r="C3559" s="16">
        <v>46270</v>
      </c>
      <c r="D3559" s="82">
        <v>93280.230000000171</v>
      </c>
    </row>
    <row r="3560" spans="1:4" x14ac:dyDescent="0.3">
      <c r="A3560" s="83" t="s">
        <v>19</v>
      </c>
      <c r="B3560" s="83"/>
      <c r="C3560" s="16">
        <v>46270</v>
      </c>
      <c r="D3560" s="82">
        <v>1669.89</v>
      </c>
    </row>
    <row r="3561" spans="1:4" x14ac:dyDescent="0.3">
      <c r="A3561" s="83" t="s">
        <v>20</v>
      </c>
      <c r="B3561" s="83"/>
      <c r="C3561" s="16">
        <v>46270</v>
      </c>
      <c r="D3561" s="82">
        <v>1250938</v>
      </c>
    </row>
    <row r="3562" spans="1:4" x14ac:dyDescent="0.3">
      <c r="A3562" s="83" t="s">
        <v>21</v>
      </c>
      <c r="B3562" s="83"/>
      <c r="C3562" s="16">
        <v>46270</v>
      </c>
      <c r="D3562" s="82">
        <v>1499204.7399999998</v>
      </c>
    </row>
    <row r="3563" spans="1:4" x14ac:dyDescent="0.3">
      <c r="A3563" s="83" t="s">
        <v>22</v>
      </c>
      <c r="B3563" s="83"/>
      <c r="C3563" s="16">
        <v>46270</v>
      </c>
      <c r="D3563" s="82">
        <v>249778.14</v>
      </c>
    </row>
    <row r="3564" spans="1:4" x14ac:dyDescent="0.3">
      <c r="A3564" s="83" t="s">
        <v>23</v>
      </c>
      <c r="B3564" s="83"/>
      <c r="C3564" s="16">
        <v>46270</v>
      </c>
      <c r="D3564" s="82">
        <v>217684.34</v>
      </c>
    </row>
    <row r="3565" spans="1:4" x14ac:dyDescent="0.3">
      <c r="A3565" s="83" t="s">
        <v>24</v>
      </c>
      <c r="B3565" s="83"/>
      <c r="C3565" s="16">
        <v>46270</v>
      </c>
      <c r="D3565" s="82">
        <v>13014.880000000001</v>
      </c>
    </row>
    <row r="3566" spans="1:4" x14ac:dyDescent="0.3">
      <c r="A3566" s="83" t="s">
        <v>25</v>
      </c>
      <c r="B3566" s="83"/>
      <c r="C3566" s="16">
        <v>46270</v>
      </c>
      <c r="D3566" s="82">
        <v>94.5</v>
      </c>
    </row>
    <row r="3567" spans="1:4" x14ac:dyDescent="0.3">
      <c r="A3567" s="83" t="s">
        <v>26</v>
      </c>
      <c r="B3567" s="83"/>
      <c r="C3567" s="16">
        <v>46270</v>
      </c>
      <c r="D3567" s="82">
        <v>2147.92</v>
      </c>
    </row>
    <row r="3568" spans="1:4" x14ac:dyDescent="0.3">
      <c r="A3568" s="83" t="s">
        <v>27</v>
      </c>
      <c r="B3568" s="83"/>
      <c r="C3568" s="16">
        <v>46270</v>
      </c>
      <c r="D3568" s="82">
        <v>17895.290000000015</v>
      </c>
    </row>
    <row r="3569" spans="1:4" x14ac:dyDescent="0.3">
      <c r="A3569" s="83" t="s">
        <v>28</v>
      </c>
      <c r="B3569" s="83"/>
      <c r="C3569" s="16">
        <v>46270</v>
      </c>
      <c r="D3569" s="82">
        <v>1968.99</v>
      </c>
    </row>
    <row r="3570" spans="1:4" x14ac:dyDescent="0.3">
      <c r="A3570" s="83" t="s">
        <v>29</v>
      </c>
      <c r="B3570" s="83"/>
      <c r="C3570" s="16">
        <v>46270</v>
      </c>
      <c r="D3570" s="82">
        <v>901.34</v>
      </c>
    </row>
    <row r="3571" spans="1:4" x14ac:dyDescent="0.3">
      <c r="A3571" s="83" t="s">
        <v>30</v>
      </c>
      <c r="B3571" s="83"/>
      <c r="C3571" s="16">
        <v>46270</v>
      </c>
      <c r="D3571" s="82">
        <v>1380.08</v>
      </c>
    </row>
    <row r="3572" spans="1:4" x14ac:dyDescent="0.3">
      <c r="A3572" s="83" t="s">
        <v>31</v>
      </c>
      <c r="B3572" s="83"/>
      <c r="C3572" s="16">
        <v>46270</v>
      </c>
      <c r="D3572" s="82">
        <v>25027.379999999961</v>
      </c>
    </row>
    <row r="3573" spans="1:4" x14ac:dyDescent="0.3">
      <c r="A3573" s="83" t="s">
        <v>32</v>
      </c>
      <c r="B3573" s="83"/>
      <c r="C3573" s="16">
        <v>46270</v>
      </c>
      <c r="D3573" s="82">
        <v>16760.540000000008</v>
      </c>
    </row>
    <row r="3574" spans="1:4" x14ac:dyDescent="0.3">
      <c r="A3574" s="83" t="s">
        <v>33</v>
      </c>
      <c r="B3574" s="83"/>
      <c r="C3574" s="16">
        <v>46270</v>
      </c>
      <c r="D3574" s="82">
        <v>14162.999999999996</v>
      </c>
    </row>
    <row r="3575" spans="1:4" x14ac:dyDescent="0.3">
      <c r="A3575" s="83" t="s">
        <v>34</v>
      </c>
      <c r="B3575" s="83"/>
      <c r="C3575" s="16">
        <v>46270</v>
      </c>
      <c r="D3575" s="82">
        <v>345</v>
      </c>
    </row>
    <row r="3576" spans="1:4" x14ac:dyDescent="0.3">
      <c r="A3576" s="83" t="s">
        <v>35</v>
      </c>
      <c r="B3576" s="83"/>
      <c r="C3576" s="16">
        <v>46270</v>
      </c>
      <c r="D3576" s="82">
        <v>5861.1200000000026</v>
      </c>
    </row>
    <row r="3577" spans="1:4" x14ac:dyDescent="0.3">
      <c r="A3577" s="83" t="s">
        <v>193</v>
      </c>
      <c r="B3577" s="83"/>
      <c r="C3577" s="16">
        <v>46270</v>
      </c>
      <c r="D3577" s="82">
        <v>299174.44</v>
      </c>
    </row>
    <row r="3578" spans="1:4" x14ac:dyDescent="0.3">
      <c r="A3578" s="83" t="s">
        <v>214</v>
      </c>
      <c r="B3578" s="83"/>
      <c r="C3578" s="16">
        <v>46270</v>
      </c>
      <c r="D3578" s="82">
        <v>20467.07</v>
      </c>
    </row>
    <row r="3579" spans="1:4" x14ac:dyDescent="0.3">
      <c r="A3579" s="83" t="s">
        <v>194</v>
      </c>
      <c r="B3579" s="83"/>
      <c r="C3579" s="16">
        <v>46270</v>
      </c>
      <c r="D3579" s="82">
        <v>3631.96</v>
      </c>
    </row>
    <row r="3580" spans="1:4" x14ac:dyDescent="0.3">
      <c r="A3580" s="83" t="s">
        <v>195</v>
      </c>
      <c r="B3580" s="83"/>
      <c r="C3580" s="16">
        <v>46270</v>
      </c>
      <c r="D3580" s="82">
        <v>604.80000000000018</v>
      </c>
    </row>
    <row r="3581" spans="1:4" x14ac:dyDescent="0.3">
      <c r="A3581" s="83" t="s">
        <v>196</v>
      </c>
      <c r="B3581" s="83"/>
      <c r="C3581" s="16">
        <v>46270</v>
      </c>
      <c r="D3581" s="82">
        <v>32112.919999999976</v>
      </c>
    </row>
    <row r="3582" spans="1:4" x14ac:dyDescent="0.3">
      <c r="A3582" s="83" t="s">
        <v>197</v>
      </c>
      <c r="B3582" s="83"/>
      <c r="C3582" s="16">
        <v>46270</v>
      </c>
      <c r="D3582" s="82">
        <v>794.01</v>
      </c>
    </row>
    <row r="3583" spans="1:4" x14ac:dyDescent="0.3">
      <c r="A3583" s="83" t="s">
        <v>212</v>
      </c>
      <c r="B3583" s="83"/>
      <c r="C3583" s="16">
        <v>46270</v>
      </c>
      <c r="D3583" s="82">
        <v>5445.57</v>
      </c>
    </row>
    <row r="3584" spans="1:4" x14ac:dyDescent="0.3">
      <c r="A3584" s="83" t="s">
        <v>199</v>
      </c>
      <c r="B3584" s="83"/>
      <c r="C3584" s="16">
        <v>46270</v>
      </c>
      <c r="D3584" s="82">
        <v>242034.28999999998</v>
      </c>
    </row>
    <row r="3585" spans="1:4" x14ac:dyDescent="0.3">
      <c r="A3585" s="83" t="s">
        <v>216</v>
      </c>
      <c r="B3585" s="83"/>
      <c r="C3585" s="16">
        <v>46270</v>
      </c>
      <c r="D3585" s="82">
        <v>303874.71999999997</v>
      </c>
    </row>
    <row r="3586" spans="1:4" x14ac:dyDescent="0.3">
      <c r="A3586" s="83" t="s">
        <v>17</v>
      </c>
      <c r="B3586" s="83"/>
      <c r="C3586" s="16">
        <v>46271</v>
      </c>
      <c r="D3586" s="82">
        <v>1549729.4500000007</v>
      </c>
    </row>
    <row r="3587" spans="1:4" x14ac:dyDescent="0.3">
      <c r="A3587" s="83" t="s">
        <v>18</v>
      </c>
      <c r="B3587" s="83"/>
      <c r="C3587" s="16">
        <v>46271</v>
      </c>
      <c r="D3587" s="82">
        <v>93280.230000000171</v>
      </c>
    </row>
    <row r="3588" spans="1:4" x14ac:dyDescent="0.3">
      <c r="A3588" s="83" t="s">
        <v>19</v>
      </c>
      <c r="B3588" s="83"/>
      <c r="C3588" s="16">
        <v>46271</v>
      </c>
      <c r="D3588" s="82">
        <v>1669.89</v>
      </c>
    </row>
    <row r="3589" spans="1:4" x14ac:dyDescent="0.3">
      <c r="A3589" s="83" t="s">
        <v>20</v>
      </c>
      <c r="B3589" s="83"/>
      <c r="C3589" s="16">
        <v>46271</v>
      </c>
      <c r="D3589" s="82">
        <v>1250938</v>
      </c>
    </row>
    <row r="3590" spans="1:4" x14ac:dyDescent="0.3">
      <c r="A3590" s="83" t="s">
        <v>21</v>
      </c>
      <c r="B3590" s="83"/>
      <c r="C3590" s="16">
        <v>46271</v>
      </c>
      <c r="D3590" s="82">
        <v>1499204.7399999998</v>
      </c>
    </row>
    <row r="3591" spans="1:4" x14ac:dyDescent="0.3">
      <c r="A3591" s="83" t="s">
        <v>22</v>
      </c>
      <c r="B3591" s="83"/>
      <c r="C3591" s="16">
        <v>46271</v>
      </c>
      <c r="D3591" s="82">
        <v>249778.14</v>
      </c>
    </row>
    <row r="3592" spans="1:4" x14ac:dyDescent="0.3">
      <c r="A3592" s="83" t="s">
        <v>23</v>
      </c>
      <c r="B3592" s="83"/>
      <c r="C3592" s="16">
        <v>46271</v>
      </c>
      <c r="D3592" s="82">
        <v>217684.34</v>
      </c>
    </row>
    <row r="3593" spans="1:4" x14ac:dyDescent="0.3">
      <c r="A3593" s="83" t="s">
        <v>24</v>
      </c>
      <c r="B3593" s="83"/>
      <c r="C3593" s="16">
        <v>46271</v>
      </c>
      <c r="D3593" s="82">
        <v>13014.880000000001</v>
      </c>
    </row>
    <row r="3594" spans="1:4" x14ac:dyDescent="0.3">
      <c r="A3594" s="83" t="s">
        <v>25</v>
      </c>
      <c r="B3594" s="83"/>
      <c r="C3594" s="16">
        <v>46271</v>
      </c>
      <c r="D3594" s="82">
        <v>94.5</v>
      </c>
    </row>
    <row r="3595" spans="1:4" x14ac:dyDescent="0.3">
      <c r="A3595" s="83" t="s">
        <v>26</v>
      </c>
      <c r="B3595" s="83"/>
      <c r="C3595" s="16">
        <v>46271</v>
      </c>
      <c r="D3595" s="82">
        <v>2147.92</v>
      </c>
    </row>
    <row r="3596" spans="1:4" x14ac:dyDescent="0.3">
      <c r="A3596" s="83" t="s">
        <v>27</v>
      </c>
      <c r="B3596" s="83"/>
      <c r="C3596" s="16">
        <v>46271</v>
      </c>
      <c r="D3596" s="82">
        <v>17895.290000000015</v>
      </c>
    </row>
    <row r="3597" spans="1:4" x14ac:dyDescent="0.3">
      <c r="A3597" s="83" t="s">
        <v>28</v>
      </c>
      <c r="B3597" s="83"/>
      <c r="C3597" s="16">
        <v>46271</v>
      </c>
      <c r="D3597" s="82">
        <v>1968.99</v>
      </c>
    </row>
    <row r="3598" spans="1:4" x14ac:dyDescent="0.3">
      <c r="A3598" s="83" t="s">
        <v>29</v>
      </c>
      <c r="B3598" s="83"/>
      <c r="C3598" s="16">
        <v>46271</v>
      </c>
      <c r="D3598" s="82">
        <v>901.34</v>
      </c>
    </row>
    <row r="3599" spans="1:4" x14ac:dyDescent="0.3">
      <c r="A3599" s="83" t="s">
        <v>30</v>
      </c>
      <c r="B3599" s="83"/>
      <c r="C3599" s="16">
        <v>46271</v>
      </c>
      <c r="D3599" s="82">
        <v>1380.08</v>
      </c>
    </row>
    <row r="3600" spans="1:4" x14ac:dyDescent="0.3">
      <c r="A3600" s="83" t="s">
        <v>31</v>
      </c>
      <c r="B3600" s="83"/>
      <c r="C3600" s="16">
        <v>46271</v>
      </c>
      <c r="D3600" s="82">
        <v>25027.379999999961</v>
      </c>
    </row>
    <row r="3601" spans="1:4" x14ac:dyDescent="0.3">
      <c r="A3601" s="83" t="s">
        <v>32</v>
      </c>
      <c r="B3601" s="83"/>
      <c r="C3601" s="16">
        <v>46271</v>
      </c>
      <c r="D3601" s="82">
        <v>16760.540000000008</v>
      </c>
    </row>
    <row r="3602" spans="1:4" x14ac:dyDescent="0.3">
      <c r="A3602" s="83" t="s">
        <v>33</v>
      </c>
      <c r="B3602" s="83"/>
      <c r="C3602" s="16">
        <v>46271</v>
      </c>
      <c r="D3602" s="82">
        <v>14162.999999999996</v>
      </c>
    </row>
    <row r="3603" spans="1:4" x14ac:dyDescent="0.3">
      <c r="A3603" s="83" t="s">
        <v>34</v>
      </c>
      <c r="B3603" s="83"/>
      <c r="C3603" s="16">
        <v>46271</v>
      </c>
      <c r="D3603" s="82">
        <v>345</v>
      </c>
    </row>
    <row r="3604" spans="1:4" x14ac:dyDescent="0.3">
      <c r="A3604" s="83" t="s">
        <v>35</v>
      </c>
      <c r="B3604" s="83"/>
      <c r="C3604" s="16">
        <v>46271</v>
      </c>
      <c r="D3604" s="82">
        <v>5861.1200000000026</v>
      </c>
    </row>
    <row r="3605" spans="1:4" x14ac:dyDescent="0.3">
      <c r="A3605" s="83" t="s">
        <v>193</v>
      </c>
      <c r="B3605" s="83"/>
      <c r="C3605" s="16">
        <v>46271</v>
      </c>
      <c r="D3605" s="82">
        <v>299174.44</v>
      </c>
    </row>
    <row r="3606" spans="1:4" x14ac:dyDescent="0.3">
      <c r="A3606" s="83" t="s">
        <v>214</v>
      </c>
      <c r="B3606" s="83"/>
      <c r="C3606" s="16">
        <v>46271</v>
      </c>
      <c r="D3606" s="82">
        <v>20467.07</v>
      </c>
    </row>
    <row r="3607" spans="1:4" x14ac:dyDescent="0.3">
      <c r="A3607" s="83" t="s">
        <v>194</v>
      </c>
      <c r="B3607" s="83"/>
      <c r="C3607" s="16">
        <v>46271</v>
      </c>
      <c r="D3607" s="82">
        <v>3631.96</v>
      </c>
    </row>
    <row r="3608" spans="1:4" x14ac:dyDescent="0.3">
      <c r="A3608" s="83" t="s">
        <v>195</v>
      </c>
      <c r="B3608" s="83"/>
      <c r="C3608" s="16">
        <v>46271</v>
      </c>
      <c r="D3608" s="82">
        <v>604.80000000000018</v>
      </c>
    </row>
    <row r="3609" spans="1:4" x14ac:dyDescent="0.3">
      <c r="A3609" s="83" t="s">
        <v>196</v>
      </c>
      <c r="B3609" s="83"/>
      <c r="C3609" s="16">
        <v>46271</v>
      </c>
      <c r="D3609" s="82">
        <v>32112.919999999976</v>
      </c>
    </row>
    <row r="3610" spans="1:4" x14ac:dyDescent="0.3">
      <c r="A3610" s="83" t="s">
        <v>197</v>
      </c>
      <c r="B3610" s="83"/>
      <c r="C3610" s="16">
        <v>46271</v>
      </c>
      <c r="D3610" s="82">
        <v>794.01</v>
      </c>
    </row>
    <row r="3611" spans="1:4" x14ac:dyDescent="0.3">
      <c r="A3611" s="83" t="s">
        <v>212</v>
      </c>
      <c r="B3611" s="83"/>
      <c r="C3611" s="16">
        <v>46271</v>
      </c>
      <c r="D3611" s="82">
        <v>5445.57</v>
      </c>
    </row>
    <row r="3612" spans="1:4" x14ac:dyDescent="0.3">
      <c r="A3612" s="83" t="s">
        <v>199</v>
      </c>
      <c r="B3612" s="83"/>
      <c r="C3612" s="16">
        <v>46271</v>
      </c>
      <c r="D3612" s="82">
        <v>242034.28999999998</v>
      </c>
    </row>
    <row r="3613" spans="1:4" x14ac:dyDescent="0.3">
      <c r="A3613" s="83" t="s">
        <v>216</v>
      </c>
      <c r="B3613" s="83"/>
      <c r="C3613" s="16">
        <v>46271</v>
      </c>
      <c r="D3613" s="82">
        <v>303874.71999999997</v>
      </c>
    </row>
    <row r="3614" spans="1:4" x14ac:dyDescent="0.3">
      <c r="A3614" s="83" t="s">
        <v>17</v>
      </c>
      <c r="B3614" s="83"/>
      <c r="C3614" s="16">
        <v>46272</v>
      </c>
      <c r="D3614" s="82">
        <v>1549729.4500000007</v>
      </c>
    </row>
    <row r="3615" spans="1:4" x14ac:dyDescent="0.3">
      <c r="A3615" s="83" t="s">
        <v>18</v>
      </c>
      <c r="B3615" s="83"/>
      <c r="C3615" s="16">
        <v>46272</v>
      </c>
      <c r="D3615" s="82">
        <v>93280.230000000171</v>
      </c>
    </row>
    <row r="3616" spans="1:4" x14ac:dyDescent="0.3">
      <c r="A3616" s="83" t="s">
        <v>19</v>
      </c>
      <c r="B3616" s="83"/>
      <c r="C3616" s="16">
        <v>46272</v>
      </c>
      <c r="D3616" s="82">
        <v>1669.89</v>
      </c>
    </row>
    <row r="3617" spans="1:4" x14ac:dyDescent="0.3">
      <c r="A3617" s="83" t="s">
        <v>20</v>
      </c>
      <c r="B3617" s="83"/>
      <c r="C3617" s="16">
        <v>46272</v>
      </c>
      <c r="D3617" s="82">
        <v>1250938</v>
      </c>
    </row>
    <row r="3618" spans="1:4" x14ac:dyDescent="0.3">
      <c r="A3618" s="83" t="s">
        <v>21</v>
      </c>
      <c r="B3618" s="83"/>
      <c r="C3618" s="16">
        <v>46272</v>
      </c>
      <c r="D3618" s="82">
        <v>1499204.7399999998</v>
      </c>
    </row>
    <row r="3619" spans="1:4" x14ac:dyDescent="0.3">
      <c r="A3619" s="83" t="s">
        <v>22</v>
      </c>
      <c r="B3619" s="83"/>
      <c r="C3619" s="16">
        <v>46272</v>
      </c>
      <c r="D3619" s="82">
        <v>249778.14</v>
      </c>
    </row>
    <row r="3620" spans="1:4" x14ac:dyDescent="0.3">
      <c r="A3620" s="83" t="s">
        <v>23</v>
      </c>
      <c r="B3620" s="83"/>
      <c r="C3620" s="16">
        <v>46272</v>
      </c>
      <c r="D3620" s="82">
        <v>217684.34</v>
      </c>
    </row>
    <row r="3621" spans="1:4" x14ac:dyDescent="0.3">
      <c r="A3621" s="83" t="s">
        <v>24</v>
      </c>
      <c r="B3621" s="83"/>
      <c r="C3621" s="16">
        <v>46272</v>
      </c>
      <c r="D3621" s="82">
        <v>13014.880000000001</v>
      </c>
    </row>
    <row r="3622" spans="1:4" x14ac:dyDescent="0.3">
      <c r="A3622" s="83" t="s">
        <v>25</v>
      </c>
      <c r="B3622" s="83"/>
      <c r="C3622" s="16">
        <v>46272</v>
      </c>
      <c r="D3622" s="82">
        <v>94.5</v>
      </c>
    </row>
    <row r="3623" spans="1:4" x14ac:dyDescent="0.3">
      <c r="A3623" s="83" t="s">
        <v>26</v>
      </c>
      <c r="B3623" s="83"/>
      <c r="C3623" s="16">
        <v>46272</v>
      </c>
      <c r="D3623" s="82">
        <v>2147.92</v>
      </c>
    </row>
    <row r="3624" spans="1:4" x14ac:dyDescent="0.3">
      <c r="A3624" s="83" t="s">
        <v>27</v>
      </c>
      <c r="B3624" s="83"/>
      <c r="C3624" s="16">
        <v>46272</v>
      </c>
      <c r="D3624" s="82">
        <v>17895.290000000015</v>
      </c>
    </row>
    <row r="3625" spans="1:4" x14ac:dyDescent="0.3">
      <c r="A3625" s="83" t="s">
        <v>28</v>
      </c>
      <c r="B3625" s="83"/>
      <c r="C3625" s="16">
        <v>46272</v>
      </c>
      <c r="D3625" s="82">
        <v>1968.99</v>
      </c>
    </row>
    <row r="3626" spans="1:4" x14ac:dyDescent="0.3">
      <c r="A3626" s="83" t="s">
        <v>29</v>
      </c>
      <c r="B3626" s="83"/>
      <c r="C3626" s="16">
        <v>46272</v>
      </c>
      <c r="D3626" s="82">
        <v>901.34</v>
      </c>
    </row>
    <row r="3627" spans="1:4" x14ac:dyDescent="0.3">
      <c r="A3627" s="83" t="s">
        <v>30</v>
      </c>
      <c r="B3627" s="83"/>
      <c r="C3627" s="16">
        <v>46272</v>
      </c>
      <c r="D3627" s="82">
        <v>1380.08</v>
      </c>
    </row>
    <row r="3628" spans="1:4" x14ac:dyDescent="0.3">
      <c r="A3628" s="83" t="s">
        <v>31</v>
      </c>
      <c r="B3628" s="83"/>
      <c r="C3628" s="16">
        <v>46272</v>
      </c>
      <c r="D3628" s="82">
        <v>25027.379999999961</v>
      </c>
    </row>
    <row r="3629" spans="1:4" x14ac:dyDescent="0.3">
      <c r="A3629" s="83" t="s">
        <v>32</v>
      </c>
      <c r="B3629" s="83"/>
      <c r="C3629" s="16">
        <v>46272</v>
      </c>
      <c r="D3629" s="82">
        <v>16760.540000000008</v>
      </c>
    </row>
    <row r="3630" spans="1:4" x14ac:dyDescent="0.3">
      <c r="A3630" s="83" t="s">
        <v>33</v>
      </c>
      <c r="B3630" s="83"/>
      <c r="C3630" s="16">
        <v>46272</v>
      </c>
      <c r="D3630" s="82">
        <v>14162.999999999996</v>
      </c>
    </row>
    <row r="3631" spans="1:4" x14ac:dyDescent="0.3">
      <c r="A3631" s="83" t="s">
        <v>34</v>
      </c>
      <c r="B3631" s="83"/>
      <c r="C3631" s="16">
        <v>46272</v>
      </c>
      <c r="D3631" s="82">
        <v>345</v>
      </c>
    </row>
    <row r="3632" spans="1:4" x14ac:dyDescent="0.3">
      <c r="A3632" s="83" t="s">
        <v>35</v>
      </c>
      <c r="B3632" s="83"/>
      <c r="C3632" s="16">
        <v>46272</v>
      </c>
      <c r="D3632" s="82">
        <v>5861.1200000000026</v>
      </c>
    </row>
    <row r="3633" spans="1:4" x14ac:dyDescent="0.3">
      <c r="A3633" s="83" t="s">
        <v>193</v>
      </c>
      <c r="B3633" s="83"/>
      <c r="C3633" s="16">
        <v>46272</v>
      </c>
      <c r="D3633" s="82">
        <v>299174.44</v>
      </c>
    </row>
    <row r="3634" spans="1:4" x14ac:dyDescent="0.3">
      <c r="A3634" s="83" t="s">
        <v>214</v>
      </c>
      <c r="B3634" s="83"/>
      <c r="C3634" s="16">
        <v>46272</v>
      </c>
      <c r="D3634" s="82">
        <v>20467.07</v>
      </c>
    </row>
    <row r="3635" spans="1:4" x14ac:dyDescent="0.3">
      <c r="A3635" s="83" t="s">
        <v>194</v>
      </c>
      <c r="B3635" s="83"/>
      <c r="C3635" s="16">
        <v>46272</v>
      </c>
      <c r="D3635" s="82">
        <v>3631.96</v>
      </c>
    </row>
    <row r="3636" spans="1:4" x14ac:dyDescent="0.3">
      <c r="A3636" s="83" t="s">
        <v>195</v>
      </c>
      <c r="B3636" s="83"/>
      <c r="C3636" s="16">
        <v>46272</v>
      </c>
      <c r="D3636" s="82">
        <v>604.80000000000018</v>
      </c>
    </row>
    <row r="3637" spans="1:4" x14ac:dyDescent="0.3">
      <c r="A3637" s="83" t="s">
        <v>196</v>
      </c>
      <c r="B3637" s="83"/>
      <c r="C3637" s="16">
        <v>46272</v>
      </c>
      <c r="D3637" s="82">
        <v>32112.919999999976</v>
      </c>
    </row>
    <row r="3638" spans="1:4" x14ac:dyDescent="0.3">
      <c r="A3638" s="83" t="s">
        <v>197</v>
      </c>
      <c r="B3638" s="83"/>
      <c r="C3638" s="16">
        <v>46272</v>
      </c>
      <c r="D3638" s="82">
        <v>794.01</v>
      </c>
    </row>
    <row r="3639" spans="1:4" x14ac:dyDescent="0.3">
      <c r="A3639" s="83" t="s">
        <v>212</v>
      </c>
      <c r="B3639" s="83"/>
      <c r="C3639" s="16">
        <v>46272</v>
      </c>
      <c r="D3639" s="82">
        <v>5445.57</v>
      </c>
    </row>
    <row r="3640" spans="1:4" x14ac:dyDescent="0.3">
      <c r="A3640" s="83" t="s">
        <v>199</v>
      </c>
      <c r="B3640" s="83"/>
      <c r="C3640" s="16">
        <v>46272</v>
      </c>
      <c r="D3640" s="82">
        <v>242034.28999999998</v>
      </c>
    </row>
    <row r="3641" spans="1:4" x14ac:dyDescent="0.3">
      <c r="A3641" s="83" t="s">
        <v>216</v>
      </c>
      <c r="B3641" s="83"/>
      <c r="C3641" s="16">
        <v>46272</v>
      </c>
      <c r="D3641" s="82">
        <v>303874.71999999997</v>
      </c>
    </row>
    <row r="3642" spans="1:4" x14ac:dyDescent="0.3">
      <c r="A3642" s="83" t="s">
        <v>17</v>
      </c>
      <c r="B3642" s="83"/>
      <c r="C3642" s="16">
        <v>46273</v>
      </c>
      <c r="D3642" s="82">
        <v>1805955.2800000007</v>
      </c>
    </row>
    <row r="3643" spans="1:4" x14ac:dyDescent="0.3">
      <c r="A3643" s="83" t="s">
        <v>18</v>
      </c>
      <c r="B3643" s="83"/>
      <c r="C3643" s="16">
        <v>46273</v>
      </c>
      <c r="D3643" s="82">
        <v>93737.970000000176</v>
      </c>
    </row>
    <row r="3644" spans="1:4" x14ac:dyDescent="0.3">
      <c r="A3644" s="83" t="s">
        <v>19</v>
      </c>
      <c r="B3644" s="83"/>
      <c r="C3644" s="16">
        <v>46273</v>
      </c>
      <c r="D3644" s="82">
        <v>1669.89</v>
      </c>
    </row>
    <row r="3645" spans="1:4" x14ac:dyDescent="0.3">
      <c r="A3645" s="83" t="s">
        <v>20</v>
      </c>
      <c r="B3645" s="83"/>
      <c r="C3645" s="16">
        <v>46273</v>
      </c>
      <c r="D3645" s="82">
        <v>1256669.99</v>
      </c>
    </row>
    <row r="3646" spans="1:4" x14ac:dyDescent="0.3">
      <c r="A3646" s="83" t="s">
        <v>21</v>
      </c>
      <c r="B3646" s="83"/>
      <c r="C3646" s="16">
        <v>46273</v>
      </c>
      <c r="D3646" s="82">
        <v>1490233.3099999996</v>
      </c>
    </row>
    <row r="3647" spans="1:4" x14ac:dyDescent="0.3">
      <c r="A3647" s="83" t="s">
        <v>22</v>
      </c>
      <c r="B3647" s="83"/>
      <c r="C3647" s="16">
        <v>46273</v>
      </c>
      <c r="D3647" s="82">
        <v>249778.14</v>
      </c>
    </row>
    <row r="3648" spans="1:4" x14ac:dyDescent="0.3">
      <c r="A3648" s="83" t="s">
        <v>23</v>
      </c>
      <c r="B3648" s="83"/>
      <c r="C3648" s="16">
        <v>46273</v>
      </c>
      <c r="D3648" s="82">
        <v>217684.34</v>
      </c>
    </row>
    <row r="3649" spans="1:4" x14ac:dyDescent="0.3">
      <c r="A3649" s="83" t="s">
        <v>24</v>
      </c>
      <c r="B3649" s="83"/>
      <c r="C3649" s="16">
        <v>46273</v>
      </c>
      <c r="D3649" s="82">
        <v>11744.75</v>
      </c>
    </row>
    <row r="3650" spans="1:4" x14ac:dyDescent="0.3">
      <c r="A3650" s="83" t="s">
        <v>25</v>
      </c>
      <c r="B3650" s="83"/>
      <c r="C3650" s="16">
        <v>46273</v>
      </c>
      <c r="D3650" s="82">
        <v>94.5</v>
      </c>
    </row>
    <row r="3651" spans="1:4" x14ac:dyDescent="0.3">
      <c r="A3651" s="83" t="s">
        <v>26</v>
      </c>
      <c r="B3651" s="83"/>
      <c r="C3651" s="16">
        <v>46273</v>
      </c>
      <c r="D3651" s="82">
        <v>2147.92</v>
      </c>
    </row>
    <row r="3652" spans="1:4" x14ac:dyDescent="0.3">
      <c r="A3652" s="83" t="s">
        <v>27</v>
      </c>
      <c r="B3652" s="83"/>
      <c r="C3652" s="16">
        <v>46273</v>
      </c>
      <c r="D3652" s="82">
        <v>17895.290000000015</v>
      </c>
    </row>
    <row r="3653" spans="1:4" x14ac:dyDescent="0.3">
      <c r="A3653" s="83" t="s">
        <v>28</v>
      </c>
      <c r="B3653" s="83"/>
      <c r="C3653" s="16">
        <v>46273</v>
      </c>
      <c r="D3653" s="82">
        <v>1968.99</v>
      </c>
    </row>
    <row r="3654" spans="1:4" x14ac:dyDescent="0.3">
      <c r="A3654" s="83" t="s">
        <v>29</v>
      </c>
      <c r="B3654" s="83"/>
      <c r="C3654" s="16">
        <v>46273</v>
      </c>
      <c r="D3654" s="82">
        <v>901.34</v>
      </c>
    </row>
    <row r="3655" spans="1:4" x14ac:dyDescent="0.3">
      <c r="A3655" s="83" t="s">
        <v>30</v>
      </c>
      <c r="B3655" s="83"/>
      <c r="C3655" s="16">
        <v>46273</v>
      </c>
      <c r="D3655" s="82">
        <v>1380.08</v>
      </c>
    </row>
    <row r="3656" spans="1:4" x14ac:dyDescent="0.3">
      <c r="A3656" s="83" t="s">
        <v>31</v>
      </c>
      <c r="B3656" s="83"/>
      <c r="C3656" s="16">
        <v>46273</v>
      </c>
      <c r="D3656" s="82">
        <v>25027.379999999961</v>
      </c>
    </row>
    <row r="3657" spans="1:4" x14ac:dyDescent="0.3">
      <c r="A3657" s="83" t="s">
        <v>32</v>
      </c>
      <c r="B3657" s="83"/>
      <c r="C3657" s="16">
        <v>46273</v>
      </c>
      <c r="D3657" s="82">
        <v>16760.540000000008</v>
      </c>
    </row>
    <row r="3658" spans="1:4" x14ac:dyDescent="0.3">
      <c r="A3658" s="83" t="s">
        <v>33</v>
      </c>
      <c r="B3658" s="83"/>
      <c r="C3658" s="16">
        <v>46273</v>
      </c>
      <c r="D3658" s="82">
        <v>14162.999999999996</v>
      </c>
    </row>
    <row r="3659" spans="1:4" x14ac:dyDescent="0.3">
      <c r="A3659" s="83" t="s">
        <v>34</v>
      </c>
      <c r="B3659" s="83"/>
      <c r="C3659" s="16">
        <v>46273</v>
      </c>
      <c r="D3659" s="82">
        <v>345</v>
      </c>
    </row>
    <row r="3660" spans="1:4" x14ac:dyDescent="0.3">
      <c r="A3660" s="83" t="s">
        <v>35</v>
      </c>
      <c r="B3660" s="83"/>
      <c r="C3660" s="16">
        <v>46273</v>
      </c>
      <c r="D3660" s="82">
        <v>5861.1200000000026</v>
      </c>
    </row>
    <row r="3661" spans="1:4" x14ac:dyDescent="0.3">
      <c r="A3661" s="83" t="s">
        <v>193</v>
      </c>
      <c r="B3661" s="83"/>
      <c r="C3661" s="16">
        <v>46273</v>
      </c>
      <c r="D3661" s="82">
        <v>298843.33</v>
      </c>
    </row>
    <row r="3662" spans="1:4" x14ac:dyDescent="0.3">
      <c r="A3662" s="83" t="s">
        <v>214</v>
      </c>
      <c r="B3662" s="83"/>
      <c r="C3662" s="16">
        <v>46273</v>
      </c>
      <c r="D3662" s="82">
        <v>19563.12</v>
      </c>
    </row>
    <row r="3663" spans="1:4" x14ac:dyDescent="0.3">
      <c r="A3663" s="83" t="s">
        <v>194</v>
      </c>
      <c r="B3663" s="83"/>
      <c r="C3663" s="16">
        <v>46273</v>
      </c>
      <c r="D3663" s="82">
        <v>3631.96</v>
      </c>
    </row>
    <row r="3664" spans="1:4" x14ac:dyDescent="0.3">
      <c r="A3664" s="83" t="s">
        <v>195</v>
      </c>
      <c r="B3664" s="83"/>
      <c r="C3664" s="16">
        <v>46273</v>
      </c>
      <c r="D3664" s="82">
        <v>604.80000000000018</v>
      </c>
    </row>
    <row r="3665" spans="1:4" x14ac:dyDescent="0.3">
      <c r="A3665" s="83" t="s">
        <v>196</v>
      </c>
      <c r="B3665" s="83"/>
      <c r="C3665" s="16">
        <v>46273</v>
      </c>
      <c r="D3665" s="82">
        <v>32112.919999999976</v>
      </c>
    </row>
    <row r="3666" spans="1:4" x14ac:dyDescent="0.3">
      <c r="A3666" s="83" t="s">
        <v>197</v>
      </c>
      <c r="B3666" s="83"/>
      <c r="C3666" s="16">
        <v>46273</v>
      </c>
      <c r="D3666" s="82">
        <v>794.01</v>
      </c>
    </row>
    <row r="3667" spans="1:4" x14ac:dyDescent="0.3">
      <c r="A3667" s="83" t="s">
        <v>212</v>
      </c>
      <c r="B3667" s="83"/>
      <c r="C3667" s="16">
        <v>46273</v>
      </c>
      <c r="D3667" s="82">
        <v>5445.57</v>
      </c>
    </row>
    <row r="3668" spans="1:4" x14ac:dyDescent="0.3">
      <c r="A3668" s="83" t="s">
        <v>199</v>
      </c>
      <c r="B3668" s="83"/>
      <c r="C3668" s="16">
        <v>46273</v>
      </c>
      <c r="D3668" s="82">
        <v>241987.22999999998</v>
      </c>
    </row>
    <row r="3669" spans="1:4" x14ac:dyDescent="0.3">
      <c r="A3669" s="83" t="s">
        <v>216</v>
      </c>
      <c r="B3669" s="83"/>
      <c r="C3669" s="16">
        <v>46273</v>
      </c>
      <c r="D3669" s="82">
        <v>303874.71999999997</v>
      </c>
    </row>
    <row r="3670" spans="1:4" x14ac:dyDescent="0.3">
      <c r="A3670" s="83" t="s">
        <v>17</v>
      </c>
      <c r="B3670" s="83"/>
      <c r="C3670" s="16">
        <v>46274</v>
      </c>
      <c r="D3670" s="82">
        <v>1805355.2800000007</v>
      </c>
    </row>
    <row r="3671" spans="1:4" x14ac:dyDescent="0.3">
      <c r="A3671" s="83" t="s">
        <v>18</v>
      </c>
      <c r="B3671" s="83"/>
      <c r="C3671" s="16">
        <v>46274</v>
      </c>
      <c r="D3671" s="82">
        <v>93737.970000000176</v>
      </c>
    </row>
    <row r="3672" spans="1:4" x14ac:dyDescent="0.3">
      <c r="A3672" s="83" t="s">
        <v>19</v>
      </c>
      <c r="B3672" s="83"/>
      <c r="C3672" s="16">
        <v>46274</v>
      </c>
      <c r="D3672" s="82">
        <v>1669.89</v>
      </c>
    </row>
    <row r="3673" spans="1:4" x14ac:dyDescent="0.3">
      <c r="A3673" s="83" t="s">
        <v>20</v>
      </c>
      <c r="B3673" s="83"/>
      <c r="C3673" s="16">
        <v>46274</v>
      </c>
      <c r="D3673" s="82">
        <v>1256669.99</v>
      </c>
    </row>
    <row r="3674" spans="1:4" x14ac:dyDescent="0.3">
      <c r="A3674" s="83" t="s">
        <v>21</v>
      </c>
      <c r="B3674" s="83"/>
      <c r="C3674" s="16">
        <v>46274</v>
      </c>
      <c r="D3674" s="82">
        <v>1487787.1299999997</v>
      </c>
    </row>
    <row r="3675" spans="1:4" x14ac:dyDescent="0.3">
      <c r="A3675" s="83" t="s">
        <v>22</v>
      </c>
      <c r="B3675" s="83"/>
      <c r="C3675" s="16">
        <v>46274</v>
      </c>
      <c r="D3675" s="82">
        <v>229778.14</v>
      </c>
    </row>
    <row r="3676" spans="1:4" x14ac:dyDescent="0.3">
      <c r="A3676" s="83" t="s">
        <v>23</v>
      </c>
      <c r="B3676" s="83"/>
      <c r="C3676" s="16">
        <v>46274</v>
      </c>
      <c r="D3676" s="82">
        <v>217684.34</v>
      </c>
    </row>
    <row r="3677" spans="1:4" x14ac:dyDescent="0.3">
      <c r="A3677" s="83" t="s">
        <v>24</v>
      </c>
      <c r="B3677" s="83"/>
      <c r="C3677" s="16">
        <v>46274</v>
      </c>
      <c r="D3677" s="82">
        <v>11744.75</v>
      </c>
    </row>
    <row r="3678" spans="1:4" x14ac:dyDescent="0.3">
      <c r="A3678" s="83" t="s">
        <v>25</v>
      </c>
      <c r="B3678" s="83"/>
      <c r="C3678" s="16">
        <v>46274</v>
      </c>
      <c r="D3678" s="82">
        <v>94.5</v>
      </c>
    </row>
    <row r="3679" spans="1:4" x14ac:dyDescent="0.3">
      <c r="A3679" s="83" t="s">
        <v>26</v>
      </c>
      <c r="B3679" s="83"/>
      <c r="C3679" s="16">
        <v>46274</v>
      </c>
      <c r="D3679" s="82">
        <v>2147.92</v>
      </c>
    </row>
    <row r="3680" spans="1:4" x14ac:dyDescent="0.3">
      <c r="A3680" s="83" t="s">
        <v>27</v>
      </c>
      <c r="B3680" s="83"/>
      <c r="C3680" s="16">
        <v>46274</v>
      </c>
      <c r="D3680" s="82">
        <v>17895.290000000015</v>
      </c>
    </row>
    <row r="3681" spans="1:4" x14ac:dyDescent="0.3">
      <c r="A3681" s="83" t="s">
        <v>28</v>
      </c>
      <c r="B3681" s="83"/>
      <c r="C3681" s="16">
        <v>46274</v>
      </c>
      <c r="D3681" s="82">
        <v>1968.99</v>
      </c>
    </row>
    <row r="3682" spans="1:4" x14ac:dyDescent="0.3">
      <c r="A3682" s="83" t="s">
        <v>29</v>
      </c>
      <c r="B3682" s="83"/>
      <c r="C3682" s="16">
        <v>46274</v>
      </c>
      <c r="D3682" s="82">
        <v>901.34</v>
      </c>
    </row>
    <row r="3683" spans="1:4" x14ac:dyDescent="0.3">
      <c r="A3683" s="83" t="s">
        <v>30</v>
      </c>
      <c r="B3683" s="83"/>
      <c r="C3683" s="16">
        <v>46274</v>
      </c>
      <c r="D3683" s="82">
        <v>1380.08</v>
      </c>
    </row>
    <row r="3684" spans="1:4" x14ac:dyDescent="0.3">
      <c r="A3684" s="83" t="s">
        <v>31</v>
      </c>
      <c r="B3684" s="83"/>
      <c r="C3684" s="16">
        <v>46274</v>
      </c>
      <c r="D3684" s="82">
        <v>25027.379999999961</v>
      </c>
    </row>
    <row r="3685" spans="1:4" x14ac:dyDescent="0.3">
      <c r="A3685" s="83" t="s">
        <v>32</v>
      </c>
      <c r="B3685" s="83"/>
      <c r="C3685" s="16">
        <v>46274</v>
      </c>
      <c r="D3685" s="82">
        <v>16760.540000000008</v>
      </c>
    </row>
    <row r="3686" spans="1:4" x14ac:dyDescent="0.3">
      <c r="A3686" s="83" t="s">
        <v>33</v>
      </c>
      <c r="B3686" s="83"/>
      <c r="C3686" s="16">
        <v>46274</v>
      </c>
      <c r="D3686" s="82">
        <v>14162.999999999996</v>
      </c>
    </row>
    <row r="3687" spans="1:4" x14ac:dyDescent="0.3">
      <c r="A3687" s="83" t="s">
        <v>34</v>
      </c>
      <c r="B3687" s="83"/>
      <c r="C3687" s="16">
        <v>46274</v>
      </c>
      <c r="D3687" s="82">
        <v>345</v>
      </c>
    </row>
    <row r="3688" spans="1:4" x14ac:dyDescent="0.3">
      <c r="A3688" s="83" t="s">
        <v>35</v>
      </c>
      <c r="B3688" s="83"/>
      <c r="C3688" s="16">
        <v>46274</v>
      </c>
      <c r="D3688" s="82">
        <v>25812.570000000003</v>
      </c>
    </row>
    <row r="3689" spans="1:4" x14ac:dyDescent="0.3">
      <c r="A3689" s="83" t="s">
        <v>193</v>
      </c>
      <c r="B3689" s="83"/>
      <c r="C3689" s="16">
        <v>46274</v>
      </c>
      <c r="D3689" s="82">
        <v>298792.34000000003</v>
      </c>
    </row>
    <row r="3690" spans="1:4" x14ac:dyDescent="0.3">
      <c r="A3690" s="83" t="s">
        <v>214</v>
      </c>
      <c r="B3690" s="83"/>
      <c r="C3690" s="16">
        <v>46274</v>
      </c>
      <c r="D3690" s="82">
        <v>18649.980000000003</v>
      </c>
    </row>
    <row r="3691" spans="1:4" x14ac:dyDescent="0.3">
      <c r="A3691" s="83" t="s">
        <v>194</v>
      </c>
      <c r="B3691" s="83"/>
      <c r="C3691" s="16">
        <v>46274</v>
      </c>
      <c r="D3691" s="82">
        <v>3631.96</v>
      </c>
    </row>
    <row r="3692" spans="1:4" x14ac:dyDescent="0.3">
      <c r="A3692" s="83" t="s">
        <v>195</v>
      </c>
      <c r="B3692" s="83"/>
      <c r="C3692" s="16">
        <v>46274</v>
      </c>
      <c r="D3692" s="82">
        <v>604.80000000000018</v>
      </c>
    </row>
    <row r="3693" spans="1:4" x14ac:dyDescent="0.3">
      <c r="A3693" s="83" t="s">
        <v>196</v>
      </c>
      <c r="B3693" s="83"/>
      <c r="C3693" s="16">
        <v>46274</v>
      </c>
      <c r="D3693" s="82">
        <v>32112.919999999976</v>
      </c>
    </row>
    <row r="3694" spans="1:4" x14ac:dyDescent="0.3">
      <c r="A3694" s="83" t="s">
        <v>197</v>
      </c>
      <c r="B3694" s="83"/>
      <c r="C3694" s="16">
        <v>46274</v>
      </c>
      <c r="D3694" s="82">
        <v>794.01</v>
      </c>
    </row>
    <row r="3695" spans="1:4" x14ac:dyDescent="0.3">
      <c r="A3695" s="83" t="s">
        <v>212</v>
      </c>
      <c r="B3695" s="83"/>
      <c r="C3695" s="16">
        <v>46274</v>
      </c>
      <c r="D3695" s="82">
        <v>5445.57</v>
      </c>
    </row>
    <row r="3696" spans="1:4" x14ac:dyDescent="0.3">
      <c r="A3696" s="83" t="s">
        <v>199</v>
      </c>
      <c r="B3696" s="83"/>
      <c r="C3696" s="16">
        <v>46274</v>
      </c>
      <c r="D3696" s="82">
        <v>241987.22999999998</v>
      </c>
    </row>
    <row r="3697" spans="1:4" x14ac:dyDescent="0.3">
      <c r="A3697" s="83" t="s">
        <v>216</v>
      </c>
      <c r="B3697" s="83"/>
      <c r="C3697" s="16">
        <v>46274</v>
      </c>
      <c r="D3697" s="82">
        <v>303874.71999999997</v>
      </c>
    </row>
    <row r="3698" spans="1:4" x14ac:dyDescent="0.3">
      <c r="A3698" s="83" t="s">
        <v>17</v>
      </c>
      <c r="B3698" s="83"/>
      <c r="C3698" s="16">
        <v>46275</v>
      </c>
      <c r="D3698" s="82">
        <v>1338116.3900000008</v>
      </c>
    </row>
    <row r="3699" spans="1:4" x14ac:dyDescent="0.3">
      <c r="A3699" s="83" t="s">
        <v>18</v>
      </c>
      <c r="B3699" s="83"/>
      <c r="C3699" s="16">
        <v>46275</v>
      </c>
      <c r="D3699" s="82">
        <v>93737.970000000176</v>
      </c>
    </row>
    <row r="3700" spans="1:4" x14ac:dyDescent="0.3">
      <c r="A3700" s="83" t="s">
        <v>19</v>
      </c>
      <c r="B3700" s="83"/>
      <c r="C3700" s="16">
        <v>46275</v>
      </c>
      <c r="D3700" s="82">
        <v>1669.89</v>
      </c>
    </row>
    <row r="3701" spans="1:4" x14ac:dyDescent="0.3">
      <c r="A3701" s="83" t="s">
        <v>20</v>
      </c>
      <c r="B3701" s="83"/>
      <c r="C3701" s="16">
        <v>46275</v>
      </c>
      <c r="D3701" s="82">
        <v>1089169.99</v>
      </c>
    </row>
    <row r="3702" spans="1:4" x14ac:dyDescent="0.3">
      <c r="A3702" s="83" t="s">
        <v>21</v>
      </c>
      <c r="B3702" s="83"/>
      <c r="C3702" s="16">
        <v>46275</v>
      </c>
      <c r="D3702" s="82">
        <v>1233789.9099999997</v>
      </c>
    </row>
    <row r="3703" spans="1:4" x14ac:dyDescent="0.3">
      <c r="A3703" s="83" t="s">
        <v>22</v>
      </c>
      <c r="B3703" s="83"/>
      <c r="C3703" s="16">
        <v>46275</v>
      </c>
      <c r="D3703" s="82">
        <v>229778.14</v>
      </c>
    </row>
    <row r="3704" spans="1:4" x14ac:dyDescent="0.3">
      <c r="A3704" s="83" t="s">
        <v>23</v>
      </c>
      <c r="B3704" s="83"/>
      <c r="C3704" s="16">
        <v>46275</v>
      </c>
      <c r="D3704" s="82">
        <v>217684.34</v>
      </c>
    </row>
    <row r="3705" spans="1:4" x14ac:dyDescent="0.3">
      <c r="A3705" s="83" t="s">
        <v>24</v>
      </c>
      <c r="B3705" s="83"/>
      <c r="C3705" s="16">
        <v>46275</v>
      </c>
      <c r="D3705" s="82">
        <v>11744.75</v>
      </c>
    </row>
    <row r="3706" spans="1:4" x14ac:dyDescent="0.3">
      <c r="A3706" s="83" t="s">
        <v>25</v>
      </c>
      <c r="B3706" s="83"/>
      <c r="C3706" s="16">
        <v>46275</v>
      </c>
      <c r="D3706" s="82">
        <v>94.5</v>
      </c>
    </row>
    <row r="3707" spans="1:4" x14ac:dyDescent="0.3">
      <c r="A3707" s="83" t="s">
        <v>26</v>
      </c>
      <c r="B3707" s="83"/>
      <c r="C3707" s="16">
        <v>46275</v>
      </c>
      <c r="D3707" s="82">
        <v>2147.92</v>
      </c>
    </row>
    <row r="3708" spans="1:4" x14ac:dyDescent="0.3">
      <c r="A3708" s="83" t="s">
        <v>27</v>
      </c>
      <c r="B3708" s="83"/>
      <c r="C3708" s="16">
        <v>46275</v>
      </c>
      <c r="D3708" s="82">
        <v>17895.290000000015</v>
      </c>
    </row>
    <row r="3709" spans="1:4" x14ac:dyDescent="0.3">
      <c r="A3709" s="83" t="s">
        <v>28</v>
      </c>
      <c r="B3709" s="83"/>
      <c r="C3709" s="16">
        <v>46275</v>
      </c>
      <c r="D3709" s="82">
        <v>1968.99</v>
      </c>
    </row>
    <row r="3710" spans="1:4" x14ac:dyDescent="0.3">
      <c r="A3710" s="83" t="s">
        <v>29</v>
      </c>
      <c r="B3710" s="83"/>
      <c r="C3710" s="16">
        <v>46275</v>
      </c>
      <c r="D3710" s="82">
        <v>901.34</v>
      </c>
    </row>
    <row r="3711" spans="1:4" x14ac:dyDescent="0.3">
      <c r="A3711" s="83" t="s">
        <v>30</v>
      </c>
      <c r="B3711" s="83"/>
      <c r="C3711" s="16">
        <v>46275</v>
      </c>
      <c r="D3711" s="82">
        <v>1380.08</v>
      </c>
    </row>
    <row r="3712" spans="1:4" x14ac:dyDescent="0.3">
      <c r="A3712" s="83" t="s">
        <v>31</v>
      </c>
      <c r="B3712" s="83"/>
      <c r="C3712" s="16">
        <v>46275</v>
      </c>
      <c r="D3712" s="82">
        <v>25027.379999999961</v>
      </c>
    </row>
    <row r="3713" spans="1:4" x14ac:dyDescent="0.3">
      <c r="A3713" s="83" t="s">
        <v>32</v>
      </c>
      <c r="B3713" s="83"/>
      <c r="C3713" s="16">
        <v>46275</v>
      </c>
      <c r="D3713" s="82">
        <v>16760.540000000008</v>
      </c>
    </row>
    <row r="3714" spans="1:4" x14ac:dyDescent="0.3">
      <c r="A3714" s="83" t="s">
        <v>33</v>
      </c>
      <c r="B3714" s="83"/>
      <c r="C3714" s="16">
        <v>46275</v>
      </c>
      <c r="D3714" s="82">
        <v>14162.999999999996</v>
      </c>
    </row>
    <row r="3715" spans="1:4" x14ac:dyDescent="0.3">
      <c r="A3715" s="83" t="s">
        <v>34</v>
      </c>
      <c r="B3715" s="83"/>
      <c r="C3715" s="16">
        <v>46275</v>
      </c>
      <c r="D3715" s="82">
        <v>345</v>
      </c>
    </row>
    <row r="3716" spans="1:4" x14ac:dyDescent="0.3">
      <c r="A3716" s="83" t="s">
        <v>35</v>
      </c>
      <c r="B3716" s="83"/>
      <c r="C3716" s="16">
        <v>46275</v>
      </c>
      <c r="D3716" s="82">
        <v>23159.510000000002</v>
      </c>
    </row>
    <row r="3717" spans="1:4" x14ac:dyDescent="0.3">
      <c r="A3717" s="83" t="s">
        <v>193</v>
      </c>
      <c r="B3717" s="83"/>
      <c r="C3717" s="16">
        <v>46275</v>
      </c>
      <c r="D3717" s="82">
        <v>298792.34000000003</v>
      </c>
    </row>
    <row r="3718" spans="1:4" x14ac:dyDescent="0.3">
      <c r="A3718" s="83" t="s">
        <v>214</v>
      </c>
      <c r="B3718" s="83"/>
      <c r="C3718" s="16">
        <v>46275</v>
      </c>
      <c r="D3718" s="82">
        <v>28004.970000000005</v>
      </c>
    </row>
    <row r="3719" spans="1:4" x14ac:dyDescent="0.3">
      <c r="A3719" s="83" t="s">
        <v>194</v>
      </c>
      <c r="B3719" s="83"/>
      <c r="C3719" s="16">
        <v>46275</v>
      </c>
      <c r="D3719" s="82">
        <v>3631.96</v>
      </c>
    </row>
    <row r="3720" spans="1:4" x14ac:dyDescent="0.3">
      <c r="A3720" s="83" t="s">
        <v>195</v>
      </c>
      <c r="B3720" s="83"/>
      <c r="C3720" s="16">
        <v>46275</v>
      </c>
      <c r="D3720" s="82">
        <v>604.80000000000018</v>
      </c>
    </row>
    <row r="3721" spans="1:4" x14ac:dyDescent="0.3">
      <c r="A3721" s="83" t="s">
        <v>196</v>
      </c>
      <c r="B3721" s="83"/>
      <c r="C3721" s="16">
        <v>46275</v>
      </c>
      <c r="D3721" s="82">
        <v>32112.919999999976</v>
      </c>
    </row>
    <row r="3722" spans="1:4" x14ac:dyDescent="0.3">
      <c r="A3722" s="83" t="s">
        <v>197</v>
      </c>
      <c r="B3722" s="83"/>
      <c r="C3722" s="16">
        <v>46275</v>
      </c>
      <c r="D3722" s="82">
        <v>794.01</v>
      </c>
    </row>
    <row r="3723" spans="1:4" x14ac:dyDescent="0.3">
      <c r="A3723" s="83" t="s">
        <v>212</v>
      </c>
      <c r="B3723" s="83"/>
      <c r="C3723" s="16">
        <v>46275</v>
      </c>
      <c r="D3723" s="82">
        <v>5445.57</v>
      </c>
    </row>
    <row r="3724" spans="1:4" x14ac:dyDescent="0.3">
      <c r="A3724" s="83" t="s">
        <v>199</v>
      </c>
      <c r="B3724" s="83"/>
      <c r="C3724" s="16">
        <v>46275</v>
      </c>
      <c r="D3724" s="82">
        <v>241889.38999999998</v>
      </c>
    </row>
    <row r="3725" spans="1:4" x14ac:dyDescent="0.3">
      <c r="A3725" s="83" t="s">
        <v>216</v>
      </c>
      <c r="B3725" s="83"/>
      <c r="C3725" s="16">
        <v>46275</v>
      </c>
      <c r="D3725" s="82">
        <v>327985.82999999996</v>
      </c>
    </row>
    <row r="3726" spans="1:4" x14ac:dyDescent="0.3">
      <c r="A3726" s="83" t="s">
        <v>17</v>
      </c>
      <c r="B3726" s="83"/>
      <c r="C3726" s="16">
        <v>46276</v>
      </c>
      <c r="D3726" s="82">
        <v>1892948.5900000008</v>
      </c>
    </row>
    <row r="3727" spans="1:4" x14ac:dyDescent="0.3">
      <c r="A3727" s="83" t="s">
        <v>18</v>
      </c>
      <c r="B3727" s="83"/>
      <c r="C3727" s="16">
        <v>46276</v>
      </c>
      <c r="D3727" s="82">
        <v>93737.970000000176</v>
      </c>
    </row>
    <row r="3728" spans="1:4" x14ac:dyDescent="0.3">
      <c r="A3728" s="83" t="s">
        <v>19</v>
      </c>
      <c r="B3728" s="83"/>
      <c r="C3728" s="16">
        <v>46276</v>
      </c>
      <c r="D3728" s="82">
        <v>1669.89</v>
      </c>
    </row>
    <row r="3729" spans="1:4" x14ac:dyDescent="0.3">
      <c r="A3729" s="83" t="s">
        <v>20</v>
      </c>
      <c r="B3729" s="83"/>
      <c r="C3729" s="16">
        <v>46276</v>
      </c>
      <c r="D3729" s="82">
        <v>1089124.99</v>
      </c>
    </row>
    <row r="3730" spans="1:4" x14ac:dyDescent="0.3">
      <c r="A3730" s="83" t="s">
        <v>21</v>
      </c>
      <c r="B3730" s="83"/>
      <c r="C3730" s="16">
        <v>46276</v>
      </c>
      <c r="D3730" s="82">
        <v>1233680.9399999995</v>
      </c>
    </row>
    <row r="3731" spans="1:4" x14ac:dyDescent="0.3">
      <c r="A3731" s="83" t="s">
        <v>22</v>
      </c>
      <c r="B3731" s="83"/>
      <c r="C3731" s="16">
        <v>46276</v>
      </c>
      <c r="D3731" s="82">
        <v>229778.14</v>
      </c>
    </row>
    <row r="3732" spans="1:4" x14ac:dyDescent="0.3">
      <c r="A3732" s="83" t="s">
        <v>23</v>
      </c>
      <c r="B3732" s="83"/>
      <c r="C3732" s="16">
        <v>46276</v>
      </c>
      <c r="D3732" s="82">
        <v>217684.34</v>
      </c>
    </row>
    <row r="3733" spans="1:4" x14ac:dyDescent="0.3">
      <c r="A3733" s="83" t="s">
        <v>24</v>
      </c>
      <c r="B3733" s="83"/>
      <c r="C3733" s="16">
        <v>46276</v>
      </c>
      <c r="D3733" s="82">
        <v>11744.75</v>
      </c>
    </row>
    <row r="3734" spans="1:4" x14ac:dyDescent="0.3">
      <c r="A3734" s="83" t="s">
        <v>25</v>
      </c>
      <c r="B3734" s="83"/>
      <c r="C3734" s="16">
        <v>46276</v>
      </c>
      <c r="D3734" s="82">
        <v>94.5</v>
      </c>
    </row>
    <row r="3735" spans="1:4" x14ac:dyDescent="0.3">
      <c r="A3735" s="83" t="s">
        <v>26</v>
      </c>
      <c r="B3735" s="83"/>
      <c r="C3735" s="16">
        <v>46276</v>
      </c>
      <c r="D3735" s="82">
        <v>2147.92</v>
      </c>
    </row>
    <row r="3736" spans="1:4" x14ac:dyDescent="0.3">
      <c r="A3736" s="83" t="s">
        <v>27</v>
      </c>
      <c r="B3736" s="83"/>
      <c r="C3736" s="16">
        <v>46276</v>
      </c>
      <c r="D3736" s="82">
        <v>17895.290000000015</v>
      </c>
    </row>
    <row r="3737" spans="1:4" x14ac:dyDescent="0.3">
      <c r="A3737" s="83" t="s">
        <v>28</v>
      </c>
      <c r="B3737" s="83"/>
      <c r="C3737" s="16">
        <v>46276</v>
      </c>
      <c r="D3737" s="82">
        <v>1968.99</v>
      </c>
    </row>
    <row r="3738" spans="1:4" x14ac:dyDescent="0.3">
      <c r="A3738" s="83" t="s">
        <v>29</v>
      </c>
      <c r="B3738" s="83"/>
      <c r="C3738" s="16">
        <v>46276</v>
      </c>
      <c r="D3738" s="82">
        <v>901.34</v>
      </c>
    </row>
    <row r="3739" spans="1:4" x14ac:dyDescent="0.3">
      <c r="A3739" s="83" t="s">
        <v>30</v>
      </c>
      <c r="B3739" s="83"/>
      <c r="C3739" s="16">
        <v>46276</v>
      </c>
      <c r="D3739" s="82">
        <v>1380.08</v>
      </c>
    </row>
    <row r="3740" spans="1:4" x14ac:dyDescent="0.3">
      <c r="A3740" s="83" t="s">
        <v>31</v>
      </c>
      <c r="B3740" s="83"/>
      <c r="C3740" s="16">
        <v>46276</v>
      </c>
      <c r="D3740" s="82">
        <v>25027.379999999961</v>
      </c>
    </row>
    <row r="3741" spans="1:4" x14ac:dyDescent="0.3">
      <c r="A3741" s="83" t="s">
        <v>32</v>
      </c>
      <c r="B3741" s="83"/>
      <c r="C3741" s="16">
        <v>46276</v>
      </c>
      <c r="D3741" s="82">
        <v>16282.630000000006</v>
      </c>
    </row>
    <row r="3742" spans="1:4" x14ac:dyDescent="0.3">
      <c r="A3742" s="83" t="s">
        <v>33</v>
      </c>
      <c r="B3742" s="83"/>
      <c r="C3742" s="16">
        <v>46276</v>
      </c>
      <c r="D3742" s="82">
        <v>13339.389999999996</v>
      </c>
    </row>
    <row r="3743" spans="1:4" x14ac:dyDescent="0.3">
      <c r="A3743" s="83" t="s">
        <v>34</v>
      </c>
      <c r="B3743" s="83"/>
      <c r="C3743" s="16">
        <v>46276</v>
      </c>
      <c r="D3743" s="82">
        <v>345</v>
      </c>
    </row>
    <row r="3744" spans="1:4" x14ac:dyDescent="0.3">
      <c r="A3744" s="83" t="s">
        <v>35</v>
      </c>
      <c r="B3744" s="83"/>
      <c r="C3744" s="16">
        <v>46276</v>
      </c>
      <c r="D3744" s="82">
        <v>23057.24</v>
      </c>
    </row>
    <row r="3745" spans="1:4" x14ac:dyDescent="0.3">
      <c r="A3745" s="83" t="s">
        <v>193</v>
      </c>
      <c r="B3745" s="83"/>
      <c r="C3745" s="16">
        <v>46276</v>
      </c>
      <c r="D3745" s="82">
        <v>298792.34000000003</v>
      </c>
    </row>
    <row r="3746" spans="1:4" x14ac:dyDescent="0.3">
      <c r="A3746" s="83" t="s">
        <v>214</v>
      </c>
      <c r="B3746" s="83"/>
      <c r="C3746" s="16">
        <v>46276</v>
      </c>
      <c r="D3746" s="82">
        <v>28004.970000000005</v>
      </c>
    </row>
    <row r="3747" spans="1:4" x14ac:dyDescent="0.3">
      <c r="A3747" s="83" t="s">
        <v>194</v>
      </c>
      <c r="B3747" s="83"/>
      <c r="C3747" s="16">
        <v>46276</v>
      </c>
      <c r="D3747" s="82">
        <v>3631.96</v>
      </c>
    </row>
    <row r="3748" spans="1:4" x14ac:dyDescent="0.3">
      <c r="A3748" s="83" t="s">
        <v>195</v>
      </c>
      <c r="B3748" s="83"/>
      <c r="C3748" s="16">
        <v>46276</v>
      </c>
      <c r="D3748" s="82">
        <v>604.80000000000018</v>
      </c>
    </row>
    <row r="3749" spans="1:4" x14ac:dyDescent="0.3">
      <c r="A3749" s="83" t="s">
        <v>196</v>
      </c>
      <c r="B3749" s="83"/>
      <c r="C3749" s="16">
        <v>46276</v>
      </c>
      <c r="D3749" s="82">
        <v>31621.50999999998</v>
      </c>
    </row>
    <row r="3750" spans="1:4" x14ac:dyDescent="0.3">
      <c r="A3750" s="83" t="s">
        <v>197</v>
      </c>
      <c r="B3750" s="83"/>
      <c r="C3750" s="16">
        <v>46276</v>
      </c>
      <c r="D3750" s="82">
        <v>794.01</v>
      </c>
    </row>
    <row r="3751" spans="1:4" x14ac:dyDescent="0.3">
      <c r="A3751" s="83" t="s">
        <v>212</v>
      </c>
      <c r="B3751" s="83"/>
      <c r="C3751" s="16">
        <v>46276</v>
      </c>
      <c r="D3751" s="82">
        <v>5445.57</v>
      </c>
    </row>
    <row r="3752" spans="1:4" x14ac:dyDescent="0.3">
      <c r="A3752" s="83" t="s">
        <v>199</v>
      </c>
      <c r="B3752" s="83"/>
      <c r="C3752" s="16">
        <v>46276</v>
      </c>
      <c r="D3752" s="82">
        <v>240458.22999999998</v>
      </c>
    </row>
    <row r="3753" spans="1:4" x14ac:dyDescent="0.3">
      <c r="A3753" s="83" t="s">
        <v>216</v>
      </c>
      <c r="B3753" s="83"/>
      <c r="C3753" s="16">
        <v>46276</v>
      </c>
      <c r="D3753" s="82">
        <v>327985.82999999996</v>
      </c>
    </row>
    <row r="3754" spans="1:4" x14ac:dyDescent="0.3">
      <c r="A3754" s="83" t="s">
        <v>17</v>
      </c>
      <c r="B3754" s="83"/>
      <c r="C3754" s="16">
        <v>46277</v>
      </c>
      <c r="D3754" s="82">
        <v>1892948.5900000008</v>
      </c>
    </row>
    <row r="3755" spans="1:4" x14ac:dyDescent="0.3">
      <c r="A3755" s="83" t="s">
        <v>18</v>
      </c>
      <c r="B3755" s="83"/>
      <c r="C3755" s="16">
        <v>46277</v>
      </c>
      <c r="D3755" s="82">
        <v>93737.970000000176</v>
      </c>
    </row>
    <row r="3756" spans="1:4" x14ac:dyDescent="0.3">
      <c r="A3756" s="83" t="s">
        <v>19</v>
      </c>
      <c r="B3756" s="83"/>
      <c r="C3756" s="16">
        <v>46277</v>
      </c>
      <c r="D3756" s="82">
        <v>1669.89</v>
      </c>
    </row>
    <row r="3757" spans="1:4" x14ac:dyDescent="0.3">
      <c r="A3757" s="83" t="s">
        <v>20</v>
      </c>
      <c r="B3757" s="83"/>
      <c r="C3757" s="16">
        <v>46277</v>
      </c>
      <c r="D3757" s="82">
        <v>1089124.99</v>
      </c>
    </row>
    <row r="3758" spans="1:4" x14ac:dyDescent="0.3">
      <c r="A3758" s="83" t="s">
        <v>21</v>
      </c>
      <c r="B3758" s="83"/>
      <c r="C3758" s="16">
        <v>46277</v>
      </c>
      <c r="D3758" s="82">
        <v>1233680.9399999995</v>
      </c>
    </row>
    <row r="3759" spans="1:4" x14ac:dyDescent="0.3">
      <c r="A3759" s="83" t="s">
        <v>22</v>
      </c>
      <c r="B3759" s="83"/>
      <c r="C3759" s="16">
        <v>46277</v>
      </c>
      <c r="D3759" s="82">
        <v>229778.14</v>
      </c>
    </row>
    <row r="3760" spans="1:4" x14ac:dyDescent="0.3">
      <c r="A3760" s="83" t="s">
        <v>23</v>
      </c>
      <c r="B3760" s="83"/>
      <c r="C3760" s="16">
        <v>46277</v>
      </c>
      <c r="D3760" s="82">
        <v>217684.34</v>
      </c>
    </row>
    <row r="3761" spans="1:4" x14ac:dyDescent="0.3">
      <c r="A3761" s="83" t="s">
        <v>24</v>
      </c>
      <c r="B3761" s="83"/>
      <c r="C3761" s="16">
        <v>46277</v>
      </c>
      <c r="D3761" s="82">
        <v>11744.75</v>
      </c>
    </row>
    <row r="3762" spans="1:4" x14ac:dyDescent="0.3">
      <c r="A3762" s="83" t="s">
        <v>25</v>
      </c>
      <c r="B3762" s="83"/>
      <c r="C3762" s="16">
        <v>46277</v>
      </c>
      <c r="D3762" s="82">
        <v>94.5</v>
      </c>
    </row>
    <row r="3763" spans="1:4" x14ac:dyDescent="0.3">
      <c r="A3763" s="83" t="s">
        <v>26</v>
      </c>
      <c r="B3763" s="83"/>
      <c r="C3763" s="16">
        <v>46277</v>
      </c>
      <c r="D3763" s="82">
        <v>2147.92</v>
      </c>
    </row>
    <row r="3764" spans="1:4" x14ac:dyDescent="0.3">
      <c r="A3764" s="83" t="s">
        <v>27</v>
      </c>
      <c r="B3764" s="83"/>
      <c r="C3764" s="16">
        <v>46277</v>
      </c>
      <c r="D3764" s="82">
        <v>17895.290000000015</v>
      </c>
    </row>
    <row r="3765" spans="1:4" x14ac:dyDescent="0.3">
      <c r="A3765" s="83" t="s">
        <v>28</v>
      </c>
      <c r="B3765" s="83"/>
      <c r="C3765" s="16">
        <v>46277</v>
      </c>
      <c r="D3765" s="82">
        <v>1968.99</v>
      </c>
    </row>
    <row r="3766" spans="1:4" x14ac:dyDescent="0.3">
      <c r="A3766" s="83" t="s">
        <v>29</v>
      </c>
      <c r="B3766" s="83"/>
      <c r="C3766" s="16">
        <v>46277</v>
      </c>
      <c r="D3766" s="82">
        <v>901.34</v>
      </c>
    </row>
    <row r="3767" spans="1:4" x14ac:dyDescent="0.3">
      <c r="A3767" s="83" t="s">
        <v>30</v>
      </c>
      <c r="B3767" s="83"/>
      <c r="C3767" s="16">
        <v>46277</v>
      </c>
      <c r="D3767" s="82">
        <v>1380.08</v>
      </c>
    </row>
    <row r="3768" spans="1:4" x14ac:dyDescent="0.3">
      <c r="A3768" s="83" t="s">
        <v>31</v>
      </c>
      <c r="B3768" s="83"/>
      <c r="C3768" s="16">
        <v>46277</v>
      </c>
      <c r="D3768" s="82">
        <v>25027.379999999961</v>
      </c>
    </row>
    <row r="3769" spans="1:4" x14ac:dyDescent="0.3">
      <c r="A3769" s="83" t="s">
        <v>32</v>
      </c>
      <c r="B3769" s="83"/>
      <c r="C3769" s="16">
        <v>46277</v>
      </c>
      <c r="D3769" s="82">
        <v>16282.630000000006</v>
      </c>
    </row>
    <row r="3770" spans="1:4" x14ac:dyDescent="0.3">
      <c r="A3770" s="83" t="s">
        <v>33</v>
      </c>
      <c r="B3770" s="83"/>
      <c r="C3770" s="16">
        <v>46277</v>
      </c>
      <c r="D3770" s="82">
        <v>13339.389999999996</v>
      </c>
    </row>
    <row r="3771" spans="1:4" x14ac:dyDescent="0.3">
      <c r="A3771" s="83" t="s">
        <v>34</v>
      </c>
      <c r="B3771" s="83"/>
      <c r="C3771" s="16">
        <v>46277</v>
      </c>
      <c r="D3771" s="82">
        <v>345</v>
      </c>
    </row>
    <row r="3772" spans="1:4" x14ac:dyDescent="0.3">
      <c r="A3772" s="83" t="s">
        <v>35</v>
      </c>
      <c r="B3772" s="83"/>
      <c r="C3772" s="16">
        <v>46277</v>
      </c>
      <c r="D3772" s="82">
        <v>23057.24</v>
      </c>
    </row>
    <row r="3773" spans="1:4" x14ac:dyDescent="0.3">
      <c r="A3773" s="83" t="s">
        <v>193</v>
      </c>
      <c r="B3773" s="83"/>
      <c r="C3773" s="16">
        <v>46277</v>
      </c>
      <c r="D3773" s="82">
        <v>298792.34000000003</v>
      </c>
    </row>
    <row r="3774" spans="1:4" x14ac:dyDescent="0.3">
      <c r="A3774" s="83" t="s">
        <v>214</v>
      </c>
      <c r="B3774" s="83"/>
      <c r="C3774" s="16">
        <v>46277</v>
      </c>
      <c r="D3774" s="82">
        <v>28004.970000000005</v>
      </c>
    </row>
    <row r="3775" spans="1:4" x14ac:dyDescent="0.3">
      <c r="A3775" s="83" t="s">
        <v>194</v>
      </c>
      <c r="B3775" s="83"/>
      <c r="C3775" s="16">
        <v>46277</v>
      </c>
      <c r="D3775" s="82">
        <v>3631.96</v>
      </c>
    </row>
    <row r="3776" spans="1:4" x14ac:dyDescent="0.3">
      <c r="A3776" s="83" t="s">
        <v>195</v>
      </c>
      <c r="B3776" s="83"/>
      <c r="C3776" s="16">
        <v>46277</v>
      </c>
      <c r="D3776" s="82">
        <v>604.80000000000018</v>
      </c>
    </row>
    <row r="3777" spans="1:4" x14ac:dyDescent="0.3">
      <c r="A3777" s="83" t="s">
        <v>196</v>
      </c>
      <c r="B3777" s="83"/>
      <c r="C3777" s="16">
        <v>46277</v>
      </c>
      <c r="D3777" s="82">
        <v>31621.50999999998</v>
      </c>
    </row>
    <row r="3778" spans="1:4" x14ac:dyDescent="0.3">
      <c r="A3778" s="83" t="s">
        <v>197</v>
      </c>
      <c r="B3778" s="83"/>
      <c r="C3778" s="16">
        <v>46277</v>
      </c>
      <c r="D3778" s="82">
        <v>794.01</v>
      </c>
    </row>
    <row r="3779" spans="1:4" x14ac:dyDescent="0.3">
      <c r="A3779" s="83" t="s">
        <v>212</v>
      </c>
      <c r="B3779" s="83"/>
      <c r="C3779" s="16">
        <v>46277</v>
      </c>
      <c r="D3779" s="82">
        <v>5445.57</v>
      </c>
    </row>
    <row r="3780" spans="1:4" x14ac:dyDescent="0.3">
      <c r="A3780" s="83" t="s">
        <v>199</v>
      </c>
      <c r="B3780" s="83"/>
      <c r="C3780" s="16">
        <v>46277</v>
      </c>
      <c r="D3780" s="82">
        <v>240458.22999999998</v>
      </c>
    </row>
    <row r="3781" spans="1:4" x14ac:dyDescent="0.3">
      <c r="A3781" s="83" t="s">
        <v>216</v>
      </c>
      <c r="B3781" s="83"/>
      <c r="C3781" s="16">
        <v>46277</v>
      </c>
      <c r="D3781" s="82">
        <v>327985.82999999996</v>
      </c>
    </row>
    <row r="3782" spans="1:4" x14ac:dyDescent="0.3">
      <c r="A3782" s="83" t="s">
        <v>17</v>
      </c>
      <c r="B3782" s="83"/>
      <c r="C3782" s="16">
        <v>46278</v>
      </c>
      <c r="D3782" s="82">
        <v>1892948.5900000008</v>
      </c>
    </row>
    <row r="3783" spans="1:4" x14ac:dyDescent="0.3">
      <c r="A3783" s="83" t="s">
        <v>18</v>
      </c>
      <c r="B3783" s="83"/>
      <c r="C3783" s="16">
        <v>46278</v>
      </c>
      <c r="D3783" s="82">
        <v>93737.970000000176</v>
      </c>
    </row>
    <row r="3784" spans="1:4" x14ac:dyDescent="0.3">
      <c r="A3784" s="83" t="s">
        <v>19</v>
      </c>
      <c r="B3784" s="83"/>
      <c r="C3784" s="16">
        <v>46278</v>
      </c>
      <c r="D3784" s="82">
        <v>1669.89</v>
      </c>
    </row>
    <row r="3785" spans="1:4" x14ac:dyDescent="0.3">
      <c r="A3785" s="83" t="s">
        <v>20</v>
      </c>
      <c r="B3785" s="83"/>
      <c r="C3785" s="16">
        <v>46278</v>
      </c>
      <c r="D3785" s="82">
        <v>1089124.99</v>
      </c>
    </row>
    <row r="3786" spans="1:4" x14ac:dyDescent="0.3">
      <c r="A3786" s="83" t="s">
        <v>21</v>
      </c>
      <c r="B3786" s="83"/>
      <c r="C3786" s="16">
        <v>46278</v>
      </c>
      <c r="D3786" s="82">
        <v>1233680.9399999995</v>
      </c>
    </row>
    <row r="3787" spans="1:4" x14ac:dyDescent="0.3">
      <c r="A3787" s="83" t="s">
        <v>22</v>
      </c>
      <c r="B3787" s="83"/>
      <c r="C3787" s="16">
        <v>46278</v>
      </c>
      <c r="D3787" s="82">
        <v>229778.14</v>
      </c>
    </row>
    <row r="3788" spans="1:4" x14ac:dyDescent="0.3">
      <c r="A3788" s="83" t="s">
        <v>23</v>
      </c>
      <c r="B3788" s="83"/>
      <c r="C3788" s="16">
        <v>46278</v>
      </c>
      <c r="D3788" s="82">
        <v>217684.34</v>
      </c>
    </row>
    <row r="3789" spans="1:4" x14ac:dyDescent="0.3">
      <c r="A3789" s="83" t="s">
        <v>24</v>
      </c>
      <c r="B3789" s="83"/>
      <c r="C3789" s="16">
        <v>46278</v>
      </c>
      <c r="D3789" s="82">
        <v>11744.75</v>
      </c>
    </row>
    <row r="3790" spans="1:4" x14ac:dyDescent="0.3">
      <c r="A3790" s="83" t="s">
        <v>25</v>
      </c>
      <c r="B3790" s="83"/>
      <c r="C3790" s="16">
        <v>46278</v>
      </c>
      <c r="D3790" s="82">
        <v>94.5</v>
      </c>
    </row>
    <row r="3791" spans="1:4" x14ac:dyDescent="0.3">
      <c r="A3791" s="83" t="s">
        <v>26</v>
      </c>
      <c r="B3791" s="83"/>
      <c r="C3791" s="16">
        <v>46278</v>
      </c>
      <c r="D3791" s="82">
        <v>2147.92</v>
      </c>
    </row>
    <row r="3792" spans="1:4" x14ac:dyDescent="0.3">
      <c r="A3792" s="83" t="s">
        <v>27</v>
      </c>
      <c r="B3792" s="83"/>
      <c r="C3792" s="16">
        <v>46278</v>
      </c>
      <c r="D3792" s="82">
        <v>17895.290000000015</v>
      </c>
    </row>
    <row r="3793" spans="1:4" x14ac:dyDescent="0.3">
      <c r="A3793" s="83" t="s">
        <v>28</v>
      </c>
      <c r="B3793" s="83"/>
      <c r="C3793" s="16">
        <v>46278</v>
      </c>
      <c r="D3793" s="82">
        <v>1968.99</v>
      </c>
    </row>
    <row r="3794" spans="1:4" x14ac:dyDescent="0.3">
      <c r="A3794" s="83" t="s">
        <v>29</v>
      </c>
      <c r="B3794" s="83"/>
      <c r="C3794" s="16">
        <v>46278</v>
      </c>
      <c r="D3794" s="82">
        <v>901.34</v>
      </c>
    </row>
    <row r="3795" spans="1:4" x14ac:dyDescent="0.3">
      <c r="A3795" s="83" t="s">
        <v>30</v>
      </c>
      <c r="B3795" s="83"/>
      <c r="C3795" s="16">
        <v>46278</v>
      </c>
      <c r="D3795" s="82">
        <v>1380.08</v>
      </c>
    </row>
    <row r="3796" spans="1:4" x14ac:dyDescent="0.3">
      <c r="A3796" s="83" t="s">
        <v>31</v>
      </c>
      <c r="B3796" s="83"/>
      <c r="C3796" s="16">
        <v>46278</v>
      </c>
      <c r="D3796" s="82">
        <v>25027.379999999961</v>
      </c>
    </row>
    <row r="3797" spans="1:4" x14ac:dyDescent="0.3">
      <c r="A3797" s="83" t="s">
        <v>32</v>
      </c>
      <c r="B3797" s="83"/>
      <c r="C3797" s="16">
        <v>46278</v>
      </c>
      <c r="D3797" s="82">
        <v>16282.630000000006</v>
      </c>
    </row>
    <row r="3798" spans="1:4" x14ac:dyDescent="0.3">
      <c r="A3798" s="83" t="s">
        <v>33</v>
      </c>
      <c r="B3798" s="83"/>
      <c r="C3798" s="16">
        <v>46278</v>
      </c>
      <c r="D3798" s="82">
        <v>13339.389999999996</v>
      </c>
    </row>
    <row r="3799" spans="1:4" x14ac:dyDescent="0.3">
      <c r="A3799" s="83" t="s">
        <v>34</v>
      </c>
      <c r="B3799" s="83"/>
      <c r="C3799" s="16">
        <v>46278</v>
      </c>
      <c r="D3799" s="82">
        <v>345</v>
      </c>
    </row>
    <row r="3800" spans="1:4" x14ac:dyDescent="0.3">
      <c r="A3800" s="83" t="s">
        <v>35</v>
      </c>
      <c r="B3800" s="83"/>
      <c r="C3800" s="16">
        <v>46278</v>
      </c>
      <c r="D3800" s="82">
        <v>23057.24</v>
      </c>
    </row>
    <row r="3801" spans="1:4" x14ac:dyDescent="0.3">
      <c r="A3801" s="83" t="s">
        <v>193</v>
      </c>
      <c r="B3801" s="83"/>
      <c r="C3801" s="16">
        <v>46278</v>
      </c>
      <c r="D3801" s="82">
        <v>298792.34000000003</v>
      </c>
    </row>
    <row r="3802" spans="1:4" x14ac:dyDescent="0.3">
      <c r="A3802" s="83" t="s">
        <v>214</v>
      </c>
      <c r="B3802" s="83"/>
      <c r="C3802" s="16">
        <v>46278</v>
      </c>
      <c r="D3802" s="82">
        <v>28004.970000000005</v>
      </c>
    </row>
    <row r="3803" spans="1:4" x14ac:dyDescent="0.3">
      <c r="A3803" s="83" t="s">
        <v>194</v>
      </c>
      <c r="B3803" s="83"/>
      <c r="C3803" s="16">
        <v>46278</v>
      </c>
      <c r="D3803" s="82">
        <v>3631.96</v>
      </c>
    </row>
    <row r="3804" spans="1:4" x14ac:dyDescent="0.3">
      <c r="A3804" s="83" t="s">
        <v>195</v>
      </c>
      <c r="B3804" s="83"/>
      <c r="C3804" s="16">
        <v>46278</v>
      </c>
      <c r="D3804" s="82">
        <v>604.80000000000018</v>
      </c>
    </row>
    <row r="3805" spans="1:4" x14ac:dyDescent="0.3">
      <c r="A3805" s="83" t="s">
        <v>196</v>
      </c>
      <c r="B3805" s="83"/>
      <c r="C3805" s="16">
        <v>46278</v>
      </c>
      <c r="D3805" s="82">
        <v>31621.50999999998</v>
      </c>
    </row>
    <row r="3806" spans="1:4" x14ac:dyDescent="0.3">
      <c r="A3806" s="83" t="s">
        <v>197</v>
      </c>
      <c r="B3806" s="83"/>
      <c r="C3806" s="16">
        <v>46278</v>
      </c>
      <c r="D3806" s="82">
        <v>794.01</v>
      </c>
    </row>
    <row r="3807" spans="1:4" x14ac:dyDescent="0.3">
      <c r="A3807" s="83" t="s">
        <v>212</v>
      </c>
      <c r="B3807" s="83"/>
      <c r="C3807" s="16">
        <v>46278</v>
      </c>
      <c r="D3807" s="82">
        <v>5445.57</v>
      </c>
    </row>
    <row r="3808" spans="1:4" x14ac:dyDescent="0.3">
      <c r="A3808" s="83" t="s">
        <v>199</v>
      </c>
      <c r="B3808" s="83"/>
      <c r="C3808" s="16">
        <v>46278</v>
      </c>
      <c r="D3808" s="82">
        <v>240458.22999999998</v>
      </c>
    </row>
    <row r="3809" spans="1:4" x14ac:dyDescent="0.3">
      <c r="A3809" s="83" t="s">
        <v>216</v>
      </c>
      <c r="B3809" s="83"/>
      <c r="C3809" s="16">
        <v>46278</v>
      </c>
      <c r="D3809" s="82">
        <v>327985.82999999996</v>
      </c>
    </row>
    <row r="3810" spans="1:4" x14ac:dyDescent="0.3">
      <c r="A3810" s="83" t="s">
        <v>17</v>
      </c>
      <c r="B3810" s="83"/>
      <c r="C3810" s="16">
        <v>46279</v>
      </c>
      <c r="D3810" s="82">
        <v>2042948.5900000008</v>
      </c>
    </row>
    <row r="3811" spans="1:4" x14ac:dyDescent="0.3">
      <c r="A3811" s="83" t="s">
        <v>18</v>
      </c>
      <c r="B3811" s="83"/>
      <c r="C3811" s="16">
        <v>46279</v>
      </c>
      <c r="D3811" s="82">
        <v>93737.970000000176</v>
      </c>
    </row>
    <row r="3812" spans="1:4" x14ac:dyDescent="0.3">
      <c r="A3812" s="83" t="s">
        <v>19</v>
      </c>
      <c r="B3812" s="83"/>
      <c r="C3812" s="16">
        <v>46279</v>
      </c>
      <c r="D3812" s="82">
        <v>1669.89</v>
      </c>
    </row>
    <row r="3813" spans="1:4" x14ac:dyDescent="0.3">
      <c r="A3813" s="83" t="s">
        <v>20</v>
      </c>
      <c r="B3813" s="83"/>
      <c r="C3813" s="16">
        <v>46279</v>
      </c>
      <c r="D3813" s="82">
        <v>1105910.26</v>
      </c>
    </row>
    <row r="3814" spans="1:4" x14ac:dyDescent="0.3">
      <c r="A3814" s="83" t="s">
        <v>21</v>
      </c>
      <c r="B3814" s="83"/>
      <c r="C3814" s="16">
        <v>46279</v>
      </c>
      <c r="D3814" s="82">
        <v>1191956.6299999997</v>
      </c>
    </row>
    <row r="3815" spans="1:4" x14ac:dyDescent="0.3">
      <c r="A3815" s="83" t="s">
        <v>22</v>
      </c>
      <c r="B3815" s="83"/>
      <c r="C3815" s="16">
        <v>46279</v>
      </c>
      <c r="D3815" s="82">
        <v>229778.14</v>
      </c>
    </row>
    <row r="3816" spans="1:4" x14ac:dyDescent="0.3">
      <c r="A3816" s="83" t="s">
        <v>23</v>
      </c>
      <c r="B3816" s="83"/>
      <c r="C3816" s="16">
        <v>46279</v>
      </c>
      <c r="D3816" s="82">
        <v>217684.34</v>
      </c>
    </row>
    <row r="3817" spans="1:4" x14ac:dyDescent="0.3">
      <c r="A3817" s="83" t="s">
        <v>24</v>
      </c>
      <c r="B3817" s="83"/>
      <c r="C3817" s="16">
        <v>46279</v>
      </c>
      <c r="D3817" s="82">
        <v>11744.75</v>
      </c>
    </row>
    <row r="3818" spans="1:4" x14ac:dyDescent="0.3">
      <c r="A3818" s="83" t="s">
        <v>25</v>
      </c>
      <c r="B3818" s="83"/>
      <c r="C3818" s="16">
        <v>46279</v>
      </c>
      <c r="D3818" s="82">
        <v>94.5</v>
      </c>
    </row>
    <row r="3819" spans="1:4" x14ac:dyDescent="0.3">
      <c r="A3819" s="83" t="s">
        <v>26</v>
      </c>
      <c r="B3819" s="83"/>
      <c r="C3819" s="16">
        <v>46279</v>
      </c>
      <c r="D3819" s="82">
        <v>2147.92</v>
      </c>
    </row>
    <row r="3820" spans="1:4" x14ac:dyDescent="0.3">
      <c r="A3820" s="83" t="s">
        <v>27</v>
      </c>
      <c r="B3820" s="83"/>
      <c r="C3820" s="16">
        <v>46279</v>
      </c>
      <c r="D3820" s="82">
        <v>17895.290000000015</v>
      </c>
    </row>
    <row r="3821" spans="1:4" x14ac:dyDescent="0.3">
      <c r="A3821" s="83" t="s">
        <v>28</v>
      </c>
      <c r="B3821" s="83"/>
      <c r="C3821" s="16">
        <v>46279</v>
      </c>
      <c r="D3821" s="82">
        <v>1968.99</v>
      </c>
    </row>
    <row r="3822" spans="1:4" x14ac:dyDescent="0.3">
      <c r="A3822" s="83" t="s">
        <v>29</v>
      </c>
      <c r="B3822" s="83"/>
      <c r="C3822" s="16">
        <v>46279</v>
      </c>
      <c r="D3822" s="82">
        <v>901.34</v>
      </c>
    </row>
    <row r="3823" spans="1:4" x14ac:dyDescent="0.3">
      <c r="A3823" s="83" t="s">
        <v>30</v>
      </c>
      <c r="B3823" s="83"/>
      <c r="C3823" s="16">
        <v>46279</v>
      </c>
      <c r="D3823" s="82">
        <v>1380.08</v>
      </c>
    </row>
    <row r="3824" spans="1:4" x14ac:dyDescent="0.3">
      <c r="A3824" s="83" t="s">
        <v>31</v>
      </c>
      <c r="B3824" s="83"/>
      <c r="C3824" s="16">
        <v>46279</v>
      </c>
      <c r="D3824" s="82">
        <v>25027.379999999961</v>
      </c>
    </row>
    <row r="3825" spans="1:4" x14ac:dyDescent="0.3">
      <c r="A3825" s="83" t="s">
        <v>32</v>
      </c>
      <c r="B3825" s="83"/>
      <c r="C3825" s="16">
        <v>46279</v>
      </c>
      <c r="D3825" s="82">
        <v>16282.630000000006</v>
      </c>
    </row>
    <row r="3826" spans="1:4" x14ac:dyDescent="0.3">
      <c r="A3826" s="83" t="s">
        <v>33</v>
      </c>
      <c r="B3826" s="83"/>
      <c r="C3826" s="16">
        <v>46279</v>
      </c>
      <c r="D3826" s="82">
        <v>13685.999999999996</v>
      </c>
    </row>
    <row r="3827" spans="1:4" x14ac:dyDescent="0.3">
      <c r="A3827" s="83" t="s">
        <v>34</v>
      </c>
      <c r="B3827" s="83"/>
      <c r="C3827" s="16">
        <v>46279</v>
      </c>
      <c r="D3827" s="82">
        <v>345</v>
      </c>
    </row>
    <row r="3828" spans="1:4" x14ac:dyDescent="0.3">
      <c r="A3828" s="83" t="s">
        <v>35</v>
      </c>
      <c r="B3828" s="83"/>
      <c r="C3828" s="16">
        <v>46279</v>
      </c>
      <c r="D3828" s="82">
        <v>16762.45</v>
      </c>
    </row>
    <row r="3829" spans="1:4" x14ac:dyDescent="0.3">
      <c r="A3829" s="83" t="s">
        <v>193</v>
      </c>
      <c r="B3829" s="83"/>
      <c r="C3829" s="16">
        <v>46279</v>
      </c>
      <c r="D3829" s="82">
        <v>298792.34000000003</v>
      </c>
    </row>
    <row r="3830" spans="1:4" x14ac:dyDescent="0.3">
      <c r="A3830" s="83" t="s">
        <v>214</v>
      </c>
      <c r="B3830" s="83"/>
      <c r="C3830" s="16">
        <v>46279</v>
      </c>
      <c r="D3830" s="82">
        <v>26893.080000000005</v>
      </c>
    </row>
    <row r="3831" spans="1:4" x14ac:dyDescent="0.3">
      <c r="A3831" s="83" t="s">
        <v>194</v>
      </c>
      <c r="B3831" s="83"/>
      <c r="C3831" s="16">
        <v>46279</v>
      </c>
      <c r="D3831" s="82">
        <v>3631.96</v>
      </c>
    </row>
    <row r="3832" spans="1:4" x14ac:dyDescent="0.3">
      <c r="A3832" s="83" t="s">
        <v>195</v>
      </c>
      <c r="B3832" s="83"/>
      <c r="C3832" s="16">
        <v>46279</v>
      </c>
      <c r="D3832" s="82">
        <v>604.80000000000018</v>
      </c>
    </row>
    <row r="3833" spans="1:4" x14ac:dyDescent="0.3">
      <c r="A3833" s="83" t="s">
        <v>196</v>
      </c>
      <c r="B3833" s="83"/>
      <c r="C3833" s="16">
        <v>46279</v>
      </c>
      <c r="D3833" s="82">
        <v>31107.189999999981</v>
      </c>
    </row>
    <row r="3834" spans="1:4" x14ac:dyDescent="0.3">
      <c r="A3834" s="83" t="s">
        <v>197</v>
      </c>
      <c r="B3834" s="83"/>
      <c r="C3834" s="16">
        <v>46279</v>
      </c>
      <c r="D3834" s="82">
        <v>794.01</v>
      </c>
    </row>
    <row r="3835" spans="1:4" x14ac:dyDescent="0.3">
      <c r="A3835" s="83" t="s">
        <v>212</v>
      </c>
      <c r="B3835" s="83"/>
      <c r="C3835" s="16">
        <v>46279</v>
      </c>
      <c r="D3835" s="82">
        <v>5445.57</v>
      </c>
    </row>
    <row r="3836" spans="1:4" x14ac:dyDescent="0.3">
      <c r="A3836" s="83" t="s">
        <v>199</v>
      </c>
      <c r="B3836" s="83"/>
      <c r="C3836" s="16">
        <v>46279</v>
      </c>
      <c r="D3836" s="82">
        <v>240356.58</v>
      </c>
    </row>
    <row r="3837" spans="1:4" x14ac:dyDescent="0.3">
      <c r="A3837" s="83" t="s">
        <v>216</v>
      </c>
      <c r="B3837" s="83"/>
      <c r="C3837" s="16">
        <v>46279</v>
      </c>
      <c r="D3837" s="82">
        <v>327985.82999999996</v>
      </c>
    </row>
    <row r="3838" spans="1:4" x14ac:dyDescent="0.3">
      <c r="A3838" s="83" t="s">
        <v>17</v>
      </c>
      <c r="B3838" s="83"/>
      <c r="C3838" s="16">
        <v>46280</v>
      </c>
      <c r="D3838" s="82">
        <v>2042948.5900000008</v>
      </c>
    </row>
    <row r="3839" spans="1:4" x14ac:dyDescent="0.3">
      <c r="A3839" s="83" t="s">
        <v>18</v>
      </c>
      <c r="B3839" s="83"/>
      <c r="C3839" s="16">
        <v>46280</v>
      </c>
      <c r="D3839" s="82">
        <v>100486.46000000017</v>
      </c>
    </row>
    <row r="3840" spans="1:4" x14ac:dyDescent="0.3">
      <c r="A3840" s="83" t="s">
        <v>19</v>
      </c>
      <c r="B3840" s="83"/>
      <c r="C3840" s="16">
        <v>46280</v>
      </c>
      <c r="D3840" s="82">
        <v>1669.89</v>
      </c>
    </row>
    <row r="3841" spans="1:4" x14ac:dyDescent="0.3">
      <c r="A3841" s="83" t="s">
        <v>20</v>
      </c>
      <c r="B3841" s="83"/>
      <c r="C3841" s="16">
        <v>46280</v>
      </c>
      <c r="D3841" s="82">
        <v>1105534.6399999999</v>
      </c>
    </row>
    <row r="3842" spans="1:4" x14ac:dyDescent="0.3">
      <c r="A3842" s="83" t="s">
        <v>21</v>
      </c>
      <c r="B3842" s="83"/>
      <c r="C3842" s="16">
        <v>46280</v>
      </c>
      <c r="D3842" s="82">
        <v>1191927.2199999995</v>
      </c>
    </row>
    <row r="3843" spans="1:4" x14ac:dyDescent="0.3">
      <c r="A3843" s="83" t="s">
        <v>22</v>
      </c>
      <c r="B3843" s="83"/>
      <c r="C3843" s="16">
        <v>46280</v>
      </c>
      <c r="D3843" s="82">
        <v>229778.14</v>
      </c>
    </row>
    <row r="3844" spans="1:4" x14ac:dyDescent="0.3">
      <c r="A3844" s="83" t="s">
        <v>23</v>
      </c>
      <c r="B3844" s="83"/>
      <c r="C3844" s="16">
        <v>46280</v>
      </c>
      <c r="D3844" s="82">
        <v>217688.58</v>
      </c>
    </row>
    <row r="3845" spans="1:4" x14ac:dyDescent="0.3">
      <c r="A3845" s="83" t="s">
        <v>24</v>
      </c>
      <c r="B3845" s="83"/>
      <c r="C3845" s="16">
        <v>46280</v>
      </c>
      <c r="D3845" s="82">
        <v>11744.75</v>
      </c>
    </row>
    <row r="3846" spans="1:4" x14ac:dyDescent="0.3">
      <c r="A3846" s="83" t="s">
        <v>25</v>
      </c>
      <c r="B3846" s="83"/>
      <c r="C3846" s="16">
        <v>46280</v>
      </c>
      <c r="D3846" s="82">
        <v>94.5</v>
      </c>
    </row>
    <row r="3847" spans="1:4" x14ac:dyDescent="0.3">
      <c r="A3847" s="83" t="s">
        <v>26</v>
      </c>
      <c r="B3847" s="83"/>
      <c r="C3847" s="16">
        <v>46280</v>
      </c>
      <c r="D3847" s="82">
        <v>2147.92</v>
      </c>
    </row>
    <row r="3848" spans="1:4" x14ac:dyDescent="0.3">
      <c r="A3848" s="83" t="s">
        <v>27</v>
      </c>
      <c r="B3848" s="83"/>
      <c r="C3848" s="16">
        <v>46280</v>
      </c>
      <c r="D3848" s="82">
        <v>17895.290000000015</v>
      </c>
    </row>
    <row r="3849" spans="1:4" x14ac:dyDescent="0.3">
      <c r="A3849" s="83" t="s">
        <v>28</v>
      </c>
      <c r="B3849" s="83"/>
      <c r="C3849" s="16">
        <v>46280</v>
      </c>
      <c r="D3849" s="82">
        <v>1968.99</v>
      </c>
    </row>
    <row r="3850" spans="1:4" x14ac:dyDescent="0.3">
      <c r="A3850" s="83" t="s">
        <v>29</v>
      </c>
      <c r="B3850" s="83"/>
      <c r="C3850" s="16">
        <v>46280</v>
      </c>
      <c r="D3850" s="82">
        <v>901.34</v>
      </c>
    </row>
    <row r="3851" spans="1:4" x14ac:dyDescent="0.3">
      <c r="A3851" s="83" t="s">
        <v>30</v>
      </c>
      <c r="B3851" s="83"/>
      <c r="C3851" s="16">
        <v>46280</v>
      </c>
      <c r="D3851" s="82">
        <v>1380.08</v>
      </c>
    </row>
    <row r="3852" spans="1:4" x14ac:dyDescent="0.3">
      <c r="A3852" s="83" t="s">
        <v>31</v>
      </c>
      <c r="B3852" s="83"/>
      <c r="C3852" s="16">
        <v>46280</v>
      </c>
      <c r="D3852" s="82">
        <v>25027.379999999961</v>
      </c>
    </row>
    <row r="3853" spans="1:4" x14ac:dyDescent="0.3">
      <c r="A3853" s="83" t="s">
        <v>32</v>
      </c>
      <c r="B3853" s="83"/>
      <c r="C3853" s="16">
        <v>46280</v>
      </c>
      <c r="D3853" s="82">
        <v>16282.630000000006</v>
      </c>
    </row>
    <row r="3854" spans="1:4" x14ac:dyDescent="0.3">
      <c r="A3854" s="83" t="s">
        <v>33</v>
      </c>
      <c r="B3854" s="83"/>
      <c r="C3854" s="16">
        <v>46280</v>
      </c>
      <c r="D3854" s="82">
        <v>13685.999999999996</v>
      </c>
    </row>
    <row r="3855" spans="1:4" x14ac:dyDescent="0.3">
      <c r="A3855" s="83" t="s">
        <v>34</v>
      </c>
      <c r="B3855" s="83"/>
      <c r="C3855" s="16">
        <v>46280</v>
      </c>
      <c r="D3855" s="82">
        <v>345</v>
      </c>
    </row>
    <row r="3856" spans="1:4" x14ac:dyDescent="0.3">
      <c r="A3856" s="83" t="s">
        <v>35</v>
      </c>
      <c r="B3856" s="83"/>
      <c r="C3856" s="16">
        <v>46280</v>
      </c>
      <c r="D3856" s="82">
        <v>16587.45</v>
      </c>
    </row>
    <row r="3857" spans="1:4" x14ac:dyDescent="0.3">
      <c r="A3857" s="83" t="s">
        <v>193</v>
      </c>
      <c r="B3857" s="83"/>
      <c r="C3857" s="16">
        <v>46280</v>
      </c>
      <c r="D3857" s="82">
        <v>298792.34000000003</v>
      </c>
    </row>
    <row r="3858" spans="1:4" x14ac:dyDescent="0.3">
      <c r="A3858" s="83" t="s">
        <v>214</v>
      </c>
      <c r="B3858" s="83"/>
      <c r="C3858" s="16">
        <v>46280</v>
      </c>
      <c r="D3858" s="82">
        <v>26893.080000000005</v>
      </c>
    </row>
    <row r="3859" spans="1:4" x14ac:dyDescent="0.3">
      <c r="A3859" s="83" t="s">
        <v>194</v>
      </c>
      <c r="B3859" s="83"/>
      <c r="C3859" s="16">
        <v>46280</v>
      </c>
      <c r="D3859" s="82">
        <v>3631.96</v>
      </c>
    </row>
    <row r="3860" spans="1:4" x14ac:dyDescent="0.3">
      <c r="A3860" s="83" t="s">
        <v>195</v>
      </c>
      <c r="B3860" s="83"/>
      <c r="C3860" s="16">
        <v>46280</v>
      </c>
      <c r="D3860" s="82">
        <v>604.80000000000018</v>
      </c>
    </row>
    <row r="3861" spans="1:4" x14ac:dyDescent="0.3">
      <c r="A3861" s="83" t="s">
        <v>196</v>
      </c>
      <c r="B3861" s="83"/>
      <c r="C3861" s="16">
        <v>46280</v>
      </c>
      <c r="D3861" s="82">
        <v>30592.869999999981</v>
      </c>
    </row>
    <row r="3862" spans="1:4" x14ac:dyDescent="0.3">
      <c r="A3862" s="83" t="s">
        <v>197</v>
      </c>
      <c r="B3862" s="83"/>
      <c r="C3862" s="16">
        <v>46280</v>
      </c>
      <c r="D3862" s="82">
        <v>794.01</v>
      </c>
    </row>
    <row r="3863" spans="1:4" x14ac:dyDescent="0.3">
      <c r="A3863" s="83" t="s">
        <v>212</v>
      </c>
      <c r="B3863" s="83"/>
      <c r="C3863" s="16">
        <v>46280</v>
      </c>
      <c r="D3863" s="82">
        <v>5445.57</v>
      </c>
    </row>
    <row r="3864" spans="1:4" x14ac:dyDescent="0.3">
      <c r="A3864" s="83" t="s">
        <v>199</v>
      </c>
      <c r="B3864" s="83"/>
      <c r="C3864" s="16">
        <v>46280</v>
      </c>
      <c r="D3864" s="82">
        <v>240356.58</v>
      </c>
    </row>
    <row r="3865" spans="1:4" x14ac:dyDescent="0.3">
      <c r="A3865" s="83" t="s">
        <v>216</v>
      </c>
      <c r="B3865" s="83"/>
      <c r="C3865" s="16">
        <v>46280</v>
      </c>
      <c r="D3865" s="82">
        <v>327985.82999999996</v>
      </c>
    </row>
    <row r="3866" spans="1:4" x14ac:dyDescent="0.3">
      <c r="A3866" s="83" t="s">
        <v>17</v>
      </c>
      <c r="B3866" s="83"/>
      <c r="C3866" s="16">
        <v>46281</v>
      </c>
      <c r="D3866" s="82">
        <v>2042948.5900000008</v>
      </c>
    </row>
    <row r="3867" spans="1:4" x14ac:dyDescent="0.3">
      <c r="A3867" s="83" t="s">
        <v>18</v>
      </c>
      <c r="B3867" s="83"/>
      <c r="C3867" s="16">
        <v>46281</v>
      </c>
      <c r="D3867" s="82">
        <v>100486.46000000017</v>
      </c>
    </row>
    <row r="3868" spans="1:4" x14ac:dyDescent="0.3">
      <c r="A3868" s="83" t="s">
        <v>19</v>
      </c>
      <c r="B3868" s="83"/>
      <c r="C3868" s="16">
        <v>46281</v>
      </c>
      <c r="D3868" s="82">
        <v>1669.89</v>
      </c>
    </row>
    <row r="3869" spans="1:4" x14ac:dyDescent="0.3">
      <c r="A3869" s="83" t="s">
        <v>20</v>
      </c>
      <c r="B3869" s="83"/>
      <c r="C3869" s="16">
        <v>46281</v>
      </c>
      <c r="D3869" s="82">
        <v>1105534.6399999999</v>
      </c>
    </row>
    <row r="3870" spans="1:4" x14ac:dyDescent="0.3">
      <c r="A3870" s="83" t="s">
        <v>21</v>
      </c>
      <c r="B3870" s="83"/>
      <c r="C3870" s="16">
        <v>46281</v>
      </c>
      <c r="D3870" s="82">
        <v>1189436.8599999996</v>
      </c>
    </row>
    <row r="3871" spans="1:4" x14ac:dyDescent="0.3">
      <c r="A3871" s="83" t="s">
        <v>22</v>
      </c>
      <c r="B3871" s="83"/>
      <c r="C3871" s="16">
        <v>46281</v>
      </c>
      <c r="D3871" s="82">
        <v>229778.14</v>
      </c>
    </row>
    <row r="3872" spans="1:4" x14ac:dyDescent="0.3">
      <c r="A3872" s="83" t="s">
        <v>23</v>
      </c>
      <c r="B3872" s="83"/>
      <c r="C3872" s="16">
        <v>46281</v>
      </c>
      <c r="D3872" s="82">
        <v>217688.58</v>
      </c>
    </row>
    <row r="3873" spans="1:4" x14ac:dyDescent="0.3">
      <c r="A3873" s="83" t="s">
        <v>24</v>
      </c>
      <c r="B3873" s="83"/>
      <c r="C3873" s="16">
        <v>46281</v>
      </c>
      <c r="D3873" s="82">
        <v>11744.75</v>
      </c>
    </row>
    <row r="3874" spans="1:4" x14ac:dyDescent="0.3">
      <c r="A3874" s="83" t="s">
        <v>25</v>
      </c>
      <c r="B3874" s="83"/>
      <c r="C3874" s="16">
        <v>46281</v>
      </c>
      <c r="D3874" s="82">
        <v>94.5</v>
      </c>
    </row>
    <row r="3875" spans="1:4" x14ac:dyDescent="0.3">
      <c r="A3875" s="83" t="s">
        <v>26</v>
      </c>
      <c r="B3875" s="83"/>
      <c r="C3875" s="16">
        <v>46281</v>
      </c>
      <c r="D3875" s="82">
        <v>2147.92</v>
      </c>
    </row>
    <row r="3876" spans="1:4" x14ac:dyDescent="0.3">
      <c r="A3876" s="83" t="s">
        <v>27</v>
      </c>
      <c r="B3876" s="83"/>
      <c r="C3876" s="16">
        <v>46281</v>
      </c>
      <c r="D3876" s="82">
        <v>17895.290000000015</v>
      </c>
    </row>
    <row r="3877" spans="1:4" x14ac:dyDescent="0.3">
      <c r="A3877" s="83" t="s">
        <v>28</v>
      </c>
      <c r="B3877" s="83"/>
      <c r="C3877" s="16">
        <v>46281</v>
      </c>
      <c r="D3877" s="82">
        <v>1968.99</v>
      </c>
    </row>
    <row r="3878" spans="1:4" x14ac:dyDescent="0.3">
      <c r="A3878" s="83" t="s">
        <v>29</v>
      </c>
      <c r="B3878" s="83"/>
      <c r="C3878" s="16">
        <v>46281</v>
      </c>
      <c r="D3878" s="82">
        <v>901.34</v>
      </c>
    </row>
    <row r="3879" spans="1:4" x14ac:dyDescent="0.3">
      <c r="A3879" s="83" t="s">
        <v>30</v>
      </c>
      <c r="B3879" s="83"/>
      <c r="C3879" s="16">
        <v>46281</v>
      </c>
      <c r="D3879" s="82">
        <v>1380.08</v>
      </c>
    </row>
    <row r="3880" spans="1:4" x14ac:dyDescent="0.3">
      <c r="A3880" s="83" t="s">
        <v>31</v>
      </c>
      <c r="B3880" s="83"/>
      <c r="C3880" s="16">
        <v>46281</v>
      </c>
      <c r="D3880" s="82">
        <v>25027.379999999961</v>
      </c>
    </row>
    <row r="3881" spans="1:4" x14ac:dyDescent="0.3">
      <c r="A3881" s="83" t="s">
        <v>32</v>
      </c>
      <c r="B3881" s="83"/>
      <c r="C3881" s="16">
        <v>46281</v>
      </c>
      <c r="D3881" s="82">
        <v>16282.630000000006</v>
      </c>
    </row>
    <row r="3882" spans="1:4" x14ac:dyDescent="0.3">
      <c r="A3882" s="83" t="s">
        <v>33</v>
      </c>
      <c r="B3882" s="83"/>
      <c r="C3882" s="16">
        <v>46281</v>
      </c>
      <c r="D3882" s="82">
        <v>13685.999999999996</v>
      </c>
    </row>
    <row r="3883" spans="1:4" x14ac:dyDescent="0.3">
      <c r="A3883" s="83" t="s">
        <v>34</v>
      </c>
      <c r="B3883" s="83"/>
      <c r="C3883" s="16">
        <v>46281</v>
      </c>
      <c r="D3883" s="82">
        <v>345</v>
      </c>
    </row>
    <row r="3884" spans="1:4" x14ac:dyDescent="0.3">
      <c r="A3884" s="83" t="s">
        <v>35</v>
      </c>
      <c r="B3884" s="83"/>
      <c r="C3884" s="16">
        <v>46281</v>
      </c>
      <c r="D3884" s="82">
        <v>16384.45</v>
      </c>
    </row>
    <row r="3885" spans="1:4" x14ac:dyDescent="0.3">
      <c r="A3885" s="83" t="s">
        <v>193</v>
      </c>
      <c r="B3885" s="83"/>
      <c r="C3885" s="16">
        <v>46281</v>
      </c>
      <c r="D3885" s="82">
        <v>298792.34000000003</v>
      </c>
    </row>
    <row r="3886" spans="1:4" x14ac:dyDescent="0.3">
      <c r="A3886" s="83" t="s">
        <v>214</v>
      </c>
      <c r="B3886" s="83"/>
      <c r="C3886" s="16">
        <v>46281</v>
      </c>
      <c r="D3886" s="82">
        <v>26893.080000000005</v>
      </c>
    </row>
    <row r="3887" spans="1:4" x14ac:dyDescent="0.3">
      <c r="A3887" s="83" t="s">
        <v>194</v>
      </c>
      <c r="B3887" s="83"/>
      <c r="C3887" s="16">
        <v>46281</v>
      </c>
      <c r="D3887" s="82">
        <v>3631.96</v>
      </c>
    </row>
    <row r="3888" spans="1:4" x14ac:dyDescent="0.3">
      <c r="A3888" s="83" t="s">
        <v>195</v>
      </c>
      <c r="B3888" s="83"/>
      <c r="C3888" s="16">
        <v>46281</v>
      </c>
      <c r="D3888" s="82">
        <v>604.80000000000018</v>
      </c>
    </row>
    <row r="3889" spans="1:4" x14ac:dyDescent="0.3">
      <c r="A3889" s="83" t="s">
        <v>196</v>
      </c>
      <c r="B3889" s="83"/>
      <c r="C3889" s="16">
        <v>46281</v>
      </c>
      <c r="D3889" s="82">
        <v>29877.869999999981</v>
      </c>
    </row>
    <row r="3890" spans="1:4" x14ac:dyDescent="0.3">
      <c r="A3890" s="83" t="s">
        <v>197</v>
      </c>
      <c r="B3890" s="83"/>
      <c r="C3890" s="16">
        <v>46281</v>
      </c>
      <c r="D3890" s="82">
        <v>794.01</v>
      </c>
    </row>
    <row r="3891" spans="1:4" x14ac:dyDescent="0.3">
      <c r="A3891" s="83" t="s">
        <v>212</v>
      </c>
      <c r="B3891" s="83"/>
      <c r="C3891" s="16">
        <v>46281</v>
      </c>
      <c r="D3891" s="82">
        <v>5445.57</v>
      </c>
    </row>
    <row r="3892" spans="1:4" x14ac:dyDescent="0.3">
      <c r="A3892" s="83" t="s">
        <v>199</v>
      </c>
      <c r="B3892" s="83"/>
      <c r="C3892" s="16">
        <v>46281</v>
      </c>
      <c r="D3892" s="82">
        <v>240356.58</v>
      </c>
    </row>
    <row r="3893" spans="1:4" x14ac:dyDescent="0.3">
      <c r="A3893" s="83" t="s">
        <v>216</v>
      </c>
      <c r="B3893" s="83"/>
      <c r="C3893" s="16">
        <v>46281</v>
      </c>
      <c r="D3893" s="82">
        <v>327985.82999999996</v>
      </c>
    </row>
    <row r="3894" spans="1:4" x14ac:dyDescent="0.3">
      <c r="A3894" s="83" t="s">
        <v>17</v>
      </c>
      <c r="B3894" s="83"/>
      <c r="C3894" s="16">
        <v>46282</v>
      </c>
      <c r="D3894" s="82">
        <v>1912320.2500000007</v>
      </c>
    </row>
    <row r="3895" spans="1:4" x14ac:dyDescent="0.3">
      <c r="A3895" s="83" t="s">
        <v>18</v>
      </c>
      <c r="B3895" s="83"/>
      <c r="C3895" s="16">
        <v>46282</v>
      </c>
      <c r="D3895" s="82">
        <v>100486.46000000017</v>
      </c>
    </row>
    <row r="3896" spans="1:4" x14ac:dyDescent="0.3">
      <c r="A3896" s="83" t="s">
        <v>19</v>
      </c>
      <c r="B3896" s="83"/>
      <c r="C3896" s="16">
        <v>46282</v>
      </c>
      <c r="D3896" s="82">
        <v>1669.89</v>
      </c>
    </row>
    <row r="3897" spans="1:4" x14ac:dyDescent="0.3">
      <c r="A3897" s="83" t="s">
        <v>20</v>
      </c>
      <c r="B3897" s="83"/>
      <c r="C3897" s="16">
        <v>46282</v>
      </c>
      <c r="D3897" s="82">
        <v>975534.6399999999</v>
      </c>
    </row>
    <row r="3898" spans="1:4" x14ac:dyDescent="0.3">
      <c r="A3898" s="83" t="s">
        <v>21</v>
      </c>
      <c r="B3898" s="83"/>
      <c r="C3898" s="16">
        <v>46282</v>
      </c>
      <c r="D3898" s="82">
        <v>1070645.1899999995</v>
      </c>
    </row>
    <row r="3899" spans="1:4" x14ac:dyDescent="0.3">
      <c r="A3899" s="83" t="s">
        <v>22</v>
      </c>
      <c r="B3899" s="83"/>
      <c r="C3899" s="16">
        <v>46282</v>
      </c>
      <c r="D3899" s="82">
        <v>229778.14</v>
      </c>
    </row>
    <row r="3900" spans="1:4" x14ac:dyDescent="0.3">
      <c r="A3900" s="83" t="s">
        <v>23</v>
      </c>
      <c r="B3900" s="83"/>
      <c r="C3900" s="16">
        <v>46282</v>
      </c>
      <c r="D3900" s="82">
        <v>217688.58</v>
      </c>
    </row>
    <row r="3901" spans="1:4" x14ac:dyDescent="0.3">
      <c r="A3901" s="83" t="s">
        <v>24</v>
      </c>
      <c r="B3901" s="83"/>
      <c r="C3901" s="16">
        <v>46282</v>
      </c>
      <c r="D3901" s="82">
        <v>11744.75</v>
      </c>
    </row>
    <row r="3902" spans="1:4" x14ac:dyDescent="0.3">
      <c r="A3902" s="83" t="s">
        <v>25</v>
      </c>
      <c r="B3902" s="83"/>
      <c r="C3902" s="16">
        <v>46282</v>
      </c>
      <c r="D3902" s="82">
        <v>94.5</v>
      </c>
    </row>
    <row r="3903" spans="1:4" x14ac:dyDescent="0.3">
      <c r="A3903" s="83" t="s">
        <v>26</v>
      </c>
      <c r="B3903" s="83"/>
      <c r="C3903" s="16">
        <v>46282</v>
      </c>
      <c r="D3903" s="82">
        <v>2147.92</v>
      </c>
    </row>
    <row r="3904" spans="1:4" x14ac:dyDescent="0.3">
      <c r="A3904" s="83" t="s">
        <v>27</v>
      </c>
      <c r="B3904" s="83"/>
      <c r="C3904" s="16">
        <v>46282</v>
      </c>
      <c r="D3904" s="82">
        <v>17895.290000000015</v>
      </c>
    </row>
    <row r="3905" spans="1:4" x14ac:dyDescent="0.3">
      <c r="A3905" s="83" t="s">
        <v>28</v>
      </c>
      <c r="B3905" s="83"/>
      <c r="C3905" s="16">
        <v>46282</v>
      </c>
      <c r="D3905" s="82">
        <v>1968.99</v>
      </c>
    </row>
    <row r="3906" spans="1:4" x14ac:dyDescent="0.3">
      <c r="A3906" s="83" t="s">
        <v>29</v>
      </c>
      <c r="B3906" s="83"/>
      <c r="C3906" s="16">
        <v>46282</v>
      </c>
      <c r="D3906" s="82">
        <v>901.34</v>
      </c>
    </row>
    <row r="3907" spans="1:4" x14ac:dyDescent="0.3">
      <c r="A3907" s="83" t="s">
        <v>30</v>
      </c>
      <c r="B3907" s="83"/>
      <c r="C3907" s="16">
        <v>46282</v>
      </c>
      <c r="D3907" s="82">
        <v>1380.08</v>
      </c>
    </row>
    <row r="3908" spans="1:4" x14ac:dyDescent="0.3">
      <c r="A3908" s="83" t="s">
        <v>31</v>
      </c>
      <c r="B3908" s="83"/>
      <c r="C3908" s="16">
        <v>46282</v>
      </c>
      <c r="D3908" s="82">
        <v>25027.379999999961</v>
      </c>
    </row>
    <row r="3909" spans="1:4" x14ac:dyDescent="0.3">
      <c r="A3909" s="83" t="s">
        <v>32</v>
      </c>
      <c r="B3909" s="83"/>
      <c r="C3909" s="16">
        <v>46282</v>
      </c>
      <c r="D3909" s="82">
        <v>16282.630000000006</v>
      </c>
    </row>
    <row r="3910" spans="1:4" x14ac:dyDescent="0.3">
      <c r="A3910" s="83" t="s">
        <v>33</v>
      </c>
      <c r="B3910" s="83"/>
      <c r="C3910" s="16">
        <v>46282</v>
      </c>
      <c r="D3910" s="82">
        <v>13685.999999999996</v>
      </c>
    </row>
    <row r="3911" spans="1:4" x14ac:dyDescent="0.3">
      <c r="A3911" s="83" t="s">
        <v>34</v>
      </c>
      <c r="B3911" s="83"/>
      <c r="C3911" s="16">
        <v>46282</v>
      </c>
      <c r="D3911" s="82">
        <v>345</v>
      </c>
    </row>
    <row r="3912" spans="1:4" x14ac:dyDescent="0.3">
      <c r="A3912" s="83" t="s">
        <v>35</v>
      </c>
      <c r="B3912" s="83"/>
      <c r="C3912" s="16">
        <v>46282</v>
      </c>
      <c r="D3912" s="82">
        <v>16164.440000000002</v>
      </c>
    </row>
    <row r="3913" spans="1:4" x14ac:dyDescent="0.3">
      <c r="A3913" s="83" t="s">
        <v>193</v>
      </c>
      <c r="B3913" s="83"/>
      <c r="C3913" s="16">
        <v>46282</v>
      </c>
      <c r="D3913" s="82">
        <v>312415.12000000005</v>
      </c>
    </row>
    <row r="3914" spans="1:4" x14ac:dyDescent="0.3">
      <c r="A3914" s="83" t="s">
        <v>214</v>
      </c>
      <c r="B3914" s="83"/>
      <c r="C3914" s="16">
        <v>46282</v>
      </c>
      <c r="D3914" s="82">
        <v>17125.350000000006</v>
      </c>
    </row>
    <row r="3915" spans="1:4" x14ac:dyDescent="0.3">
      <c r="A3915" s="83" t="s">
        <v>194</v>
      </c>
      <c r="B3915" s="83"/>
      <c r="C3915" s="16">
        <v>46282</v>
      </c>
      <c r="D3915" s="82">
        <v>3631.96</v>
      </c>
    </row>
    <row r="3916" spans="1:4" x14ac:dyDescent="0.3">
      <c r="A3916" s="83" t="s">
        <v>195</v>
      </c>
      <c r="B3916" s="83"/>
      <c r="C3916" s="16">
        <v>46282</v>
      </c>
      <c r="D3916" s="82">
        <v>604.80000000000018</v>
      </c>
    </row>
    <row r="3917" spans="1:4" x14ac:dyDescent="0.3">
      <c r="A3917" s="83" t="s">
        <v>196</v>
      </c>
      <c r="B3917" s="83"/>
      <c r="C3917" s="16">
        <v>46282</v>
      </c>
      <c r="D3917" s="82">
        <v>26755.729999999981</v>
      </c>
    </row>
    <row r="3918" spans="1:4" x14ac:dyDescent="0.3">
      <c r="A3918" s="83" t="s">
        <v>197</v>
      </c>
      <c r="B3918" s="83"/>
      <c r="C3918" s="16">
        <v>46282</v>
      </c>
      <c r="D3918" s="82">
        <v>794.01</v>
      </c>
    </row>
    <row r="3919" spans="1:4" x14ac:dyDescent="0.3">
      <c r="A3919" s="83" t="s">
        <v>212</v>
      </c>
      <c r="B3919" s="83"/>
      <c r="C3919" s="16">
        <v>46282</v>
      </c>
      <c r="D3919" s="82">
        <v>5445.57</v>
      </c>
    </row>
    <row r="3920" spans="1:4" x14ac:dyDescent="0.3">
      <c r="A3920" s="83" t="s">
        <v>199</v>
      </c>
      <c r="B3920" s="83"/>
      <c r="C3920" s="16">
        <v>46282</v>
      </c>
      <c r="D3920" s="82">
        <v>240356.58</v>
      </c>
    </row>
    <row r="3921" spans="1:4" x14ac:dyDescent="0.3">
      <c r="A3921" s="83" t="s">
        <v>216</v>
      </c>
      <c r="B3921" s="83"/>
      <c r="C3921" s="16">
        <v>46282</v>
      </c>
      <c r="D3921" s="82">
        <v>327985.82999999996</v>
      </c>
    </row>
    <row r="3922" spans="1:4" x14ac:dyDescent="0.3">
      <c r="A3922" s="83" t="s">
        <v>17</v>
      </c>
      <c r="B3922" s="83"/>
      <c r="C3922" s="16">
        <v>46283</v>
      </c>
      <c r="D3922" s="82">
        <v>2322320.2500000005</v>
      </c>
    </row>
    <row r="3923" spans="1:4" x14ac:dyDescent="0.3">
      <c r="A3923" s="83" t="s">
        <v>18</v>
      </c>
      <c r="B3923" s="83"/>
      <c r="C3923" s="16">
        <v>46283</v>
      </c>
      <c r="D3923" s="82">
        <v>100486.46000000017</v>
      </c>
    </row>
    <row r="3924" spans="1:4" x14ac:dyDescent="0.3">
      <c r="A3924" s="83" t="s">
        <v>19</v>
      </c>
      <c r="B3924" s="83"/>
      <c r="C3924" s="16">
        <v>46283</v>
      </c>
      <c r="D3924" s="82">
        <v>1669.89</v>
      </c>
    </row>
    <row r="3925" spans="1:4" x14ac:dyDescent="0.3">
      <c r="A3925" s="83" t="s">
        <v>20</v>
      </c>
      <c r="B3925" s="83"/>
      <c r="C3925" s="16">
        <v>46283</v>
      </c>
      <c r="D3925" s="82">
        <v>1425534.64</v>
      </c>
    </row>
    <row r="3926" spans="1:4" x14ac:dyDescent="0.3">
      <c r="A3926" s="83" t="s">
        <v>21</v>
      </c>
      <c r="B3926" s="83"/>
      <c r="C3926" s="16">
        <v>46283</v>
      </c>
      <c r="D3926" s="82">
        <v>1070478.5299999996</v>
      </c>
    </row>
    <row r="3927" spans="1:4" x14ac:dyDescent="0.3">
      <c r="A3927" s="83" t="s">
        <v>22</v>
      </c>
      <c r="B3927" s="83"/>
      <c r="C3927" s="16">
        <v>46283</v>
      </c>
      <c r="D3927" s="82">
        <v>229778.14</v>
      </c>
    </row>
    <row r="3928" spans="1:4" x14ac:dyDescent="0.3">
      <c r="A3928" s="83" t="s">
        <v>23</v>
      </c>
      <c r="B3928" s="83"/>
      <c r="C3928" s="16">
        <v>46283</v>
      </c>
      <c r="D3928" s="82">
        <v>217688.58</v>
      </c>
    </row>
    <row r="3929" spans="1:4" x14ac:dyDescent="0.3">
      <c r="A3929" s="83" t="s">
        <v>24</v>
      </c>
      <c r="B3929" s="83"/>
      <c r="C3929" s="16">
        <v>46283</v>
      </c>
      <c r="D3929" s="82">
        <v>11744.75</v>
      </c>
    </row>
    <row r="3930" spans="1:4" x14ac:dyDescent="0.3">
      <c r="A3930" s="83" t="s">
        <v>25</v>
      </c>
      <c r="B3930" s="83"/>
      <c r="C3930" s="16">
        <v>46283</v>
      </c>
      <c r="D3930" s="82">
        <v>94.5</v>
      </c>
    </row>
    <row r="3931" spans="1:4" x14ac:dyDescent="0.3">
      <c r="A3931" s="83" t="s">
        <v>26</v>
      </c>
      <c r="B3931" s="83"/>
      <c r="C3931" s="16">
        <v>46283</v>
      </c>
      <c r="D3931" s="82">
        <v>2147.92</v>
      </c>
    </row>
    <row r="3932" spans="1:4" x14ac:dyDescent="0.3">
      <c r="A3932" s="83" t="s">
        <v>27</v>
      </c>
      <c r="B3932" s="83"/>
      <c r="C3932" s="16">
        <v>46283</v>
      </c>
      <c r="D3932" s="82">
        <v>17895.290000000015</v>
      </c>
    </row>
    <row r="3933" spans="1:4" x14ac:dyDescent="0.3">
      <c r="A3933" s="83" t="s">
        <v>28</v>
      </c>
      <c r="B3933" s="83"/>
      <c r="C3933" s="16">
        <v>46283</v>
      </c>
      <c r="D3933" s="82">
        <v>1968.99</v>
      </c>
    </row>
    <row r="3934" spans="1:4" x14ac:dyDescent="0.3">
      <c r="A3934" s="83" t="s">
        <v>29</v>
      </c>
      <c r="B3934" s="83"/>
      <c r="C3934" s="16">
        <v>46283</v>
      </c>
      <c r="D3934" s="82">
        <v>901.34</v>
      </c>
    </row>
    <row r="3935" spans="1:4" x14ac:dyDescent="0.3">
      <c r="A3935" s="83" t="s">
        <v>30</v>
      </c>
      <c r="B3935" s="83"/>
      <c r="C3935" s="16">
        <v>46283</v>
      </c>
      <c r="D3935" s="82">
        <v>1380.08</v>
      </c>
    </row>
    <row r="3936" spans="1:4" x14ac:dyDescent="0.3">
      <c r="A3936" s="83" t="s">
        <v>31</v>
      </c>
      <c r="B3936" s="83"/>
      <c r="C3936" s="16">
        <v>46283</v>
      </c>
      <c r="D3936" s="82">
        <v>30277.379999999961</v>
      </c>
    </row>
    <row r="3937" spans="1:4" x14ac:dyDescent="0.3">
      <c r="A3937" s="83" t="s">
        <v>32</v>
      </c>
      <c r="B3937" s="83"/>
      <c r="C3937" s="16">
        <v>46283</v>
      </c>
      <c r="D3937" s="82">
        <v>16282.630000000006</v>
      </c>
    </row>
    <row r="3938" spans="1:4" x14ac:dyDescent="0.3">
      <c r="A3938" s="83" t="s">
        <v>33</v>
      </c>
      <c r="B3938" s="83"/>
      <c r="C3938" s="16">
        <v>46283</v>
      </c>
      <c r="D3938" s="82">
        <v>13685.999999999996</v>
      </c>
    </row>
    <row r="3939" spans="1:4" x14ac:dyDescent="0.3">
      <c r="A3939" s="83" t="s">
        <v>34</v>
      </c>
      <c r="B3939" s="83"/>
      <c r="C3939" s="16">
        <v>46283</v>
      </c>
      <c r="D3939" s="82">
        <v>345</v>
      </c>
    </row>
    <row r="3940" spans="1:4" x14ac:dyDescent="0.3">
      <c r="A3940" s="83" t="s">
        <v>35</v>
      </c>
      <c r="B3940" s="83"/>
      <c r="C3940" s="16">
        <v>46283</v>
      </c>
      <c r="D3940" s="82">
        <v>16120.660000000002</v>
      </c>
    </row>
    <row r="3941" spans="1:4" x14ac:dyDescent="0.3">
      <c r="A3941" s="83" t="s">
        <v>193</v>
      </c>
      <c r="B3941" s="83"/>
      <c r="C3941" s="16">
        <v>46283</v>
      </c>
      <c r="D3941" s="82">
        <v>312415.12000000005</v>
      </c>
    </row>
    <row r="3942" spans="1:4" x14ac:dyDescent="0.3">
      <c r="A3942" s="83" t="s">
        <v>214</v>
      </c>
      <c r="B3942" s="83"/>
      <c r="C3942" s="16">
        <v>46283</v>
      </c>
      <c r="D3942" s="82">
        <v>103560.93000000001</v>
      </c>
    </row>
    <row r="3943" spans="1:4" x14ac:dyDescent="0.3">
      <c r="A3943" s="83" t="s">
        <v>194</v>
      </c>
      <c r="B3943" s="83"/>
      <c r="C3943" s="16">
        <v>46283</v>
      </c>
      <c r="D3943" s="82">
        <v>3631.96</v>
      </c>
    </row>
    <row r="3944" spans="1:4" x14ac:dyDescent="0.3">
      <c r="A3944" s="83" t="s">
        <v>195</v>
      </c>
      <c r="B3944" s="83"/>
      <c r="C3944" s="16">
        <v>46283</v>
      </c>
      <c r="D3944" s="82">
        <v>604.80000000000018</v>
      </c>
    </row>
    <row r="3945" spans="1:4" x14ac:dyDescent="0.3">
      <c r="A3945" s="83" t="s">
        <v>196</v>
      </c>
      <c r="B3945" s="83"/>
      <c r="C3945" s="16">
        <v>46283</v>
      </c>
      <c r="D3945" s="82">
        <v>26755.729999999981</v>
      </c>
    </row>
    <row r="3946" spans="1:4" x14ac:dyDescent="0.3">
      <c r="A3946" s="83" t="s">
        <v>197</v>
      </c>
      <c r="B3946" s="83"/>
      <c r="C3946" s="16">
        <v>46283</v>
      </c>
      <c r="D3946" s="82">
        <v>794.01</v>
      </c>
    </row>
    <row r="3947" spans="1:4" x14ac:dyDescent="0.3">
      <c r="A3947" s="83" t="s">
        <v>212</v>
      </c>
      <c r="B3947" s="83"/>
      <c r="C3947" s="16">
        <v>46283</v>
      </c>
      <c r="D3947" s="82">
        <v>5445.57</v>
      </c>
    </row>
    <row r="3948" spans="1:4" x14ac:dyDescent="0.3">
      <c r="A3948" s="83" t="s">
        <v>199</v>
      </c>
      <c r="B3948" s="83"/>
      <c r="C3948" s="16">
        <v>46283</v>
      </c>
      <c r="D3948" s="82">
        <v>240356.58</v>
      </c>
    </row>
    <row r="3949" spans="1:4" x14ac:dyDescent="0.3">
      <c r="A3949" s="83" t="s">
        <v>216</v>
      </c>
      <c r="B3949" s="83"/>
      <c r="C3949" s="16">
        <v>46283</v>
      </c>
      <c r="D3949" s="82">
        <v>327985.82999999996</v>
      </c>
    </row>
    <row r="3950" spans="1:4" x14ac:dyDescent="0.3">
      <c r="A3950" s="83" t="s">
        <v>17</v>
      </c>
      <c r="B3950" s="83"/>
      <c r="C3950" s="16">
        <v>46284</v>
      </c>
      <c r="D3950" s="82">
        <v>2322320.2500000005</v>
      </c>
    </row>
    <row r="3951" spans="1:4" x14ac:dyDescent="0.3">
      <c r="A3951" s="83" t="s">
        <v>18</v>
      </c>
      <c r="B3951" s="83"/>
      <c r="C3951" s="16">
        <v>46284</v>
      </c>
      <c r="D3951" s="82">
        <v>100486.46000000017</v>
      </c>
    </row>
    <row r="3952" spans="1:4" x14ac:dyDescent="0.3">
      <c r="A3952" s="83" t="s">
        <v>19</v>
      </c>
      <c r="B3952" s="83"/>
      <c r="C3952" s="16">
        <v>46284</v>
      </c>
      <c r="D3952" s="82">
        <v>1669.89</v>
      </c>
    </row>
    <row r="3953" spans="1:4" x14ac:dyDescent="0.3">
      <c r="A3953" s="83" t="s">
        <v>20</v>
      </c>
      <c r="B3953" s="83"/>
      <c r="C3953" s="16">
        <v>46284</v>
      </c>
      <c r="D3953" s="82">
        <v>1425534.64</v>
      </c>
    </row>
    <row r="3954" spans="1:4" x14ac:dyDescent="0.3">
      <c r="A3954" s="83" t="s">
        <v>21</v>
      </c>
      <c r="B3954" s="83"/>
      <c r="C3954" s="16">
        <v>46284</v>
      </c>
      <c r="D3954" s="82">
        <v>1070478.5299999996</v>
      </c>
    </row>
    <row r="3955" spans="1:4" x14ac:dyDescent="0.3">
      <c r="A3955" s="83" t="s">
        <v>22</v>
      </c>
      <c r="B3955" s="83"/>
      <c r="C3955" s="16">
        <v>46284</v>
      </c>
      <c r="D3955" s="82">
        <v>229778.14</v>
      </c>
    </row>
    <row r="3956" spans="1:4" x14ac:dyDescent="0.3">
      <c r="A3956" s="83" t="s">
        <v>23</v>
      </c>
      <c r="B3956" s="83"/>
      <c r="C3956" s="16">
        <v>46284</v>
      </c>
      <c r="D3956" s="82">
        <v>217688.58</v>
      </c>
    </row>
    <row r="3957" spans="1:4" x14ac:dyDescent="0.3">
      <c r="A3957" s="83" t="s">
        <v>24</v>
      </c>
      <c r="B3957" s="83"/>
      <c r="C3957" s="16">
        <v>46284</v>
      </c>
      <c r="D3957" s="82">
        <v>11744.75</v>
      </c>
    </row>
    <row r="3958" spans="1:4" x14ac:dyDescent="0.3">
      <c r="A3958" s="83" t="s">
        <v>25</v>
      </c>
      <c r="B3958" s="83"/>
      <c r="C3958" s="16">
        <v>46284</v>
      </c>
      <c r="D3958" s="82">
        <v>94.5</v>
      </c>
    </row>
    <row r="3959" spans="1:4" x14ac:dyDescent="0.3">
      <c r="A3959" s="83" t="s">
        <v>26</v>
      </c>
      <c r="B3959" s="83"/>
      <c r="C3959" s="16">
        <v>46284</v>
      </c>
      <c r="D3959" s="82">
        <v>2147.92</v>
      </c>
    </row>
    <row r="3960" spans="1:4" x14ac:dyDescent="0.3">
      <c r="A3960" s="83" t="s">
        <v>27</v>
      </c>
      <c r="B3960" s="83"/>
      <c r="C3960" s="16">
        <v>46284</v>
      </c>
      <c r="D3960" s="82">
        <v>17895.290000000015</v>
      </c>
    </row>
    <row r="3961" spans="1:4" x14ac:dyDescent="0.3">
      <c r="A3961" s="83" t="s">
        <v>28</v>
      </c>
      <c r="B3961" s="83"/>
      <c r="C3961" s="16">
        <v>46284</v>
      </c>
      <c r="D3961" s="82">
        <v>1968.99</v>
      </c>
    </row>
    <row r="3962" spans="1:4" x14ac:dyDescent="0.3">
      <c r="A3962" s="83" t="s">
        <v>29</v>
      </c>
      <c r="B3962" s="83"/>
      <c r="C3962" s="16">
        <v>46284</v>
      </c>
      <c r="D3962" s="82">
        <v>901.34</v>
      </c>
    </row>
    <row r="3963" spans="1:4" x14ac:dyDescent="0.3">
      <c r="A3963" s="83" t="s">
        <v>30</v>
      </c>
      <c r="B3963" s="83"/>
      <c r="C3963" s="16">
        <v>46284</v>
      </c>
      <c r="D3963" s="82">
        <v>1380.08</v>
      </c>
    </row>
    <row r="3964" spans="1:4" x14ac:dyDescent="0.3">
      <c r="A3964" s="83" t="s">
        <v>31</v>
      </c>
      <c r="B3964" s="83"/>
      <c r="C3964" s="16">
        <v>46284</v>
      </c>
      <c r="D3964" s="82">
        <v>30277.379999999961</v>
      </c>
    </row>
    <row r="3965" spans="1:4" x14ac:dyDescent="0.3">
      <c r="A3965" s="83" t="s">
        <v>32</v>
      </c>
      <c r="B3965" s="83"/>
      <c r="C3965" s="16">
        <v>46284</v>
      </c>
      <c r="D3965" s="82">
        <v>16282.630000000006</v>
      </c>
    </row>
    <row r="3966" spans="1:4" x14ac:dyDescent="0.3">
      <c r="A3966" s="83" t="s">
        <v>33</v>
      </c>
      <c r="B3966" s="83"/>
      <c r="C3966" s="16">
        <v>46284</v>
      </c>
      <c r="D3966" s="82">
        <v>13685.999999999996</v>
      </c>
    </row>
    <row r="3967" spans="1:4" x14ac:dyDescent="0.3">
      <c r="A3967" s="83" t="s">
        <v>34</v>
      </c>
      <c r="B3967" s="83"/>
      <c r="C3967" s="16">
        <v>46284</v>
      </c>
      <c r="D3967" s="82">
        <v>345</v>
      </c>
    </row>
    <row r="3968" spans="1:4" x14ac:dyDescent="0.3">
      <c r="A3968" s="83" t="s">
        <v>35</v>
      </c>
      <c r="B3968" s="83"/>
      <c r="C3968" s="16">
        <v>46284</v>
      </c>
      <c r="D3968" s="82">
        <v>16120.660000000002</v>
      </c>
    </row>
    <row r="3969" spans="1:4" x14ac:dyDescent="0.3">
      <c r="A3969" s="83" t="s">
        <v>193</v>
      </c>
      <c r="B3969" s="83"/>
      <c r="C3969" s="16">
        <v>46284</v>
      </c>
      <c r="D3969" s="82">
        <v>312415.12000000005</v>
      </c>
    </row>
    <row r="3970" spans="1:4" x14ac:dyDescent="0.3">
      <c r="A3970" s="83" t="s">
        <v>214</v>
      </c>
      <c r="B3970" s="83"/>
      <c r="C3970" s="16">
        <v>46284</v>
      </c>
      <c r="D3970" s="82">
        <v>103560.93000000001</v>
      </c>
    </row>
    <row r="3971" spans="1:4" x14ac:dyDescent="0.3">
      <c r="A3971" s="83" t="s">
        <v>194</v>
      </c>
      <c r="B3971" s="83"/>
      <c r="C3971" s="16">
        <v>46284</v>
      </c>
      <c r="D3971" s="82">
        <v>3631.96</v>
      </c>
    </row>
    <row r="3972" spans="1:4" x14ac:dyDescent="0.3">
      <c r="A3972" s="83" t="s">
        <v>195</v>
      </c>
      <c r="B3972" s="83"/>
      <c r="C3972" s="16">
        <v>46284</v>
      </c>
      <c r="D3972" s="82">
        <v>604.80000000000018</v>
      </c>
    </row>
    <row r="3973" spans="1:4" x14ac:dyDescent="0.3">
      <c r="A3973" s="83" t="s">
        <v>196</v>
      </c>
      <c r="B3973" s="83"/>
      <c r="C3973" s="16">
        <v>46284</v>
      </c>
      <c r="D3973" s="82">
        <v>26755.729999999981</v>
      </c>
    </row>
    <row r="3974" spans="1:4" x14ac:dyDescent="0.3">
      <c r="A3974" s="83" t="s">
        <v>197</v>
      </c>
      <c r="B3974" s="83"/>
      <c r="C3974" s="16">
        <v>46284</v>
      </c>
      <c r="D3974" s="82">
        <v>794.01</v>
      </c>
    </row>
    <row r="3975" spans="1:4" x14ac:dyDescent="0.3">
      <c r="A3975" s="83" t="s">
        <v>212</v>
      </c>
      <c r="B3975" s="83"/>
      <c r="C3975" s="16">
        <v>46284</v>
      </c>
      <c r="D3975" s="82">
        <v>5445.57</v>
      </c>
    </row>
    <row r="3976" spans="1:4" x14ac:dyDescent="0.3">
      <c r="A3976" s="83" t="s">
        <v>199</v>
      </c>
      <c r="B3976" s="83"/>
      <c r="C3976" s="16">
        <v>46284</v>
      </c>
      <c r="D3976" s="82">
        <v>240356.58</v>
      </c>
    </row>
    <row r="3977" spans="1:4" x14ac:dyDescent="0.3">
      <c r="A3977" s="83" t="s">
        <v>216</v>
      </c>
      <c r="B3977" s="83"/>
      <c r="C3977" s="16">
        <v>46284</v>
      </c>
      <c r="D3977" s="82">
        <v>327985.82999999996</v>
      </c>
    </row>
    <row r="3978" spans="1:4" x14ac:dyDescent="0.3">
      <c r="A3978" s="83" t="s">
        <v>17</v>
      </c>
      <c r="B3978" s="83"/>
      <c r="C3978" s="16">
        <v>46285</v>
      </c>
      <c r="D3978" s="82">
        <v>2322320.2500000005</v>
      </c>
    </row>
    <row r="3979" spans="1:4" x14ac:dyDescent="0.3">
      <c r="A3979" s="83" t="s">
        <v>18</v>
      </c>
      <c r="B3979" s="83"/>
      <c r="C3979" s="16">
        <v>46285</v>
      </c>
      <c r="D3979" s="82">
        <v>100486.46000000017</v>
      </c>
    </row>
    <row r="3980" spans="1:4" x14ac:dyDescent="0.3">
      <c r="A3980" s="83" t="s">
        <v>19</v>
      </c>
      <c r="B3980" s="83"/>
      <c r="C3980" s="16">
        <v>46285</v>
      </c>
      <c r="D3980" s="82">
        <v>1669.89</v>
      </c>
    </row>
    <row r="3981" spans="1:4" x14ac:dyDescent="0.3">
      <c r="A3981" s="83" t="s">
        <v>20</v>
      </c>
      <c r="B3981" s="83"/>
      <c r="C3981" s="16">
        <v>46285</v>
      </c>
      <c r="D3981" s="82">
        <v>1425534.64</v>
      </c>
    </row>
    <row r="3982" spans="1:4" x14ac:dyDescent="0.3">
      <c r="A3982" s="83" t="s">
        <v>21</v>
      </c>
      <c r="B3982" s="83"/>
      <c r="C3982" s="16">
        <v>46285</v>
      </c>
      <c r="D3982" s="82">
        <v>1070478.5299999996</v>
      </c>
    </row>
    <row r="3983" spans="1:4" x14ac:dyDescent="0.3">
      <c r="A3983" s="83" t="s">
        <v>22</v>
      </c>
      <c r="B3983" s="83"/>
      <c r="C3983" s="16">
        <v>46285</v>
      </c>
      <c r="D3983" s="82">
        <v>229778.14</v>
      </c>
    </row>
    <row r="3984" spans="1:4" x14ac:dyDescent="0.3">
      <c r="A3984" s="83" t="s">
        <v>23</v>
      </c>
      <c r="B3984" s="83"/>
      <c r="C3984" s="16">
        <v>46285</v>
      </c>
      <c r="D3984" s="82">
        <v>217688.58</v>
      </c>
    </row>
    <row r="3985" spans="1:4" x14ac:dyDescent="0.3">
      <c r="A3985" s="83" t="s">
        <v>24</v>
      </c>
      <c r="B3985" s="83"/>
      <c r="C3985" s="16">
        <v>46285</v>
      </c>
      <c r="D3985" s="82">
        <v>11744.75</v>
      </c>
    </row>
    <row r="3986" spans="1:4" x14ac:dyDescent="0.3">
      <c r="A3986" s="83" t="s">
        <v>25</v>
      </c>
      <c r="B3986" s="83"/>
      <c r="C3986" s="16">
        <v>46285</v>
      </c>
      <c r="D3986" s="82">
        <v>94.5</v>
      </c>
    </row>
    <row r="3987" spans="1:4" x14ac:dyDescent="0.3">
      <c r="A3987" s="83" t="s">
        <v>26</v>
      </c>
      <c r="B3987" s="83"/>
      <c r="C3987" s="16">
        <v>46285</v>
      </c>
      <c r="D3987" s="82">
        <v>2147.92</v>
      </c>
    </row>
    <row r="3988" spans="1:4" x14ac:dyDescent="0.3">
      <c r="A3988" s="83" t="s">
        <v>27</v>
      </c>
      <c r="B3988" s="83"/>
      <c r="C3988" s="16">
        <v>46285</v>
      </c>
      <c r="D3988" s="82">
        <v>17895.290000000015</v>
      </c>
    </row>
    <row r="3989" spans="1:4" x14ac:dyDescent="0.3">
      <c r="A3989" s="83" t="s">
        <v>28</v>
      </c>
      <c r="B3989" s="83"/>
      <c r="C3989" s="16">
        <v>46285</v>
      </c>
      <c r="D3989" s="82">
        <v>1968.99</v>
      </c>
    </row>
    <row r="3990" spans="1:4" x14ac:dyDescent="0.3">
      <c r="A3990" s="83" t="s">
        <v>29</v>
      </c>
      <c r="B3990" s="83"/>
      <c r="C3990" s="16">
        <v>46285</v>
      </c>
      <c r="D3990" s="82">
        <v>901.34</v>
      </c>
    </row>
    <row r="3991" spans="1:4" x14ac:dyDescent="0.3">
      <c r="A3991" s="83" t="s">
        <v>30</v>
      </c>
      <c r="B3991" s="83"/>
      <c r="C3991" s="16">
        <v>46285</v>
      </c>
      <c r="D3991" s="82">
        <v>1380.08</v>
      </c>
    </row>
    <row r="3992" spans="1:4" x14ac:dyDescent="0.3">
      <c r="A3992" s="83" t="s">
        <v>31</v>
      </c>
      <c r="B3992" s="83"/>
      <c r="C3992" s="16">
        <v>46285</v>
      </c>
      <c r="D3992" s="82">
        <v>30277.379999999961</v>
      </c>
    </row>
    <row r="3993" spans="1:4" x14ac:dyDescent="0.3">
      <c r="A3993" s="83" t="s">
        <v>32</v>
      </c>
      <c r="B3993" s="83"/>
      <c r="C3993" s="16">
        <v>46285</v>
      </c>
      <c r="D3993" s="82">
        <v>16282.630000000006</v>
      </c>
    </row>
    <row r="3994" spans="1:4" x14ac:dyDescent="0.3">
      <c r="A3994" s="83" t="s">
        <v>33</v>
      </c>
      <c r="B3994" s="83"/>
      <c r="C3994" s="16">
        <v>46285</v>
      </c>
      <c r="D3994" s="82">
        <v>13685.999999999996</v>
      </c>
    </row>
    <row r="3995" spans="1:4" x14ac:dyDescent="0.3">
      <c r="A3995" s="83" t="s">
        <v>34</v>
      </c>
      <c r="B3995" s="83"/>
      <c r="C3995" s="16">
        <v>46285</v>
      </c>
      <c r="D3995" s="82">
        <v>345</v>
      </c>
    </row>
    <row r="3996" spans="1:4" x14ac:dyDescent="0.3">
      <c r="A3996" s="83" t="s">
        <v>35</v>
      </c>
      <c r="B3996" s="83"/>
      <c r="C3996" s="16">
        <v>46285</v>
      </c>
      <c r="D3996" s="82">
        <v>16120.660000000002</v>
      </c>
    </row>
    <row r="3997" spans="1:4" x14ac:dyDescent="0.3">
      <c r="A3997" s="83" t="s">
        <v>193</v>
      </c>
      <c r="B3997" s="83"/>
      <c r="C3997" s="16">
        <v>46285</v>
      </c>
      <c r="D3997" s="82">
        <v>312415.12000000005</v>
      </c>
    </row>
    <row r="3998" spans="1:4" x14ac:dyDescent="0.3">
      <c r="A3998" s="83" t="s">
        <v>214</v>
      </c>
      <c r="B3998" s="83"/>
      <c r="C3998" s="16">
        <v>46285</v>
      </c>
      <c r="D3998" s="82">
        <v>103560.93000000001</v>
      </c>
    </row>
    <row r="3999" spans="1:4" x14ac:dyDescent="0.3">
      <c r="A3999" s="83" t="s">
        <v>194</v>
      </c>
      <c r="B3999" s="83"/>
      <c r="C3999" s="16">
        <v>46285</v>
      </c>
      <c r="D3999" s="82">
        <v>3631.96</v>
      </c>
    </row>
    <row r="4000" spans="1:4" x14ac:dyDescent="0.3">
      <c r="A4000" s="83" t="s">
        <v>195</v>
      </c>
      <c r="B4000" s="83"/>
      <c r="C4000" s="16">
        <v>46285</v>
      </c>
      <c r="D4000" s="82">
        <v>604.80000000000018</v>
      </c>
    </row>
    <row r="4001" spans="1:4" x14ac:dyDescent="0.3">
      <c r="A4001" s="83" t="s">
        <v>196</v>
      </c>
      <c r="B4001" s="83"/>
      <c r="C4001" s="16">
        <v>46285</v>
      </c>
      <c r="D4001" s="82">
        <v>26755.729999999981</v>
      </c>
    </row>
    <row r="4002" spans="1:4" x14ac:dyDescent="0.3">
      <c r="A4002" s="83" t="s">
        <v>197</v>
      </c>
      <c r="B4002" s="83"/>
      <c r="C4002" s="16">
        <v>46285</v>
      </c>
      <c r="D4002" s="82">
        <v>794.01</v>
      </c>
    </row>
    <row r="4003" spans="1:4" x14ac:dyDescent="0.3">
      <c r="A4003" s="83" t="s">
        <v>212</v>
      </c>
      <c r="B4003" s="83"/>
      <c r="C4003" s="16">
        <v>46285</v>
      </c>
      <c r="D4003" s="82">
        <v>5445.57</v>
      </c>
    </row>
    <row r="4004" spans="1:4" x14ac:dyDescent="0.3">
      <c r="A4004" s="83" t="s">
        <v>199</v>
      </c>
      <c r="B4004" s="83"/>
      <c r="C4004" s="16">
        <v>46285</v>
      </c>
      <c r="D4004" s="82">
        <v>240356.58</v>
      </c>
    </row>
    <row r="4005" spans="1:4" x14ac:dyDescent="0.3">
      <c r="A4005" s="83" t="s">
        <v>216</v>
      </c>
      <c r="B4005" s="83"/>
      <c r="C4005" s="16">
        <v>46285</v>
      </c>
      <c r="D4005" s="82">
        <v>327985.82999999996</v>
      </c>
    </row>
    <row r="4006" spans="1:4" x14ac:dyDescent="0.3">
      <c r="A4006" s="83" t="s">
        <v>17</v>
      </c>
      <c r="B4006" s="83"/>
      <c r="C4006" s="16">
        <v>46286</v>
      </c>
      <c r="D4006" s="82">
        <v>2322320.2500000005</v>
      </c>
    </row>
    <row r="4007" spans="1:4" x14ac:dyDescent="0.3">
      <c r="A4007" s="83" t="s">
        <v>18</v>
      </c>
      <c r="B4007" s="83"/>
      <c r="C4007" s="16">
        <v>46286</v>
      </c>
      <c r="D4007" s="82">
        <v>100486.46000000017</v>
      </c>
    </row>
    <row r="4008" spans="1:4" x14ac:dyDescent="0.3">
      <c r="A4008" s="83" t="s">
        <v>19</v>
      </c>
      <c r="B4008" s="83"/>
      <c r="C4008" s="16">
        <v>46286</v>
      </c>
      <c r="D4008" s="82">
        <v>1669.89</v>
      </c>
    </row>
    <row r="4009" spans="1:4" x14ac:dyDescent="0.3">
      <c r="A4009" s="83" t="s">
        <v>20</v>
      </c>
      <c r="B4009" s="83"/>
      <c r="C4009" s="16">
        <v>46286</v>
      </c>
      <c r="D4009" s="82">
        <v>1453603.3599999999</v>
      </c>
    </row>
    <row r="4010" spans="1:4" x14ac:dyDescent="0.3">
      <c r="A4010" s="83" t="s">
        <v>21</v>
      </c>
      <c r="B4010" s="83"/>
      <c r="C4010" s="16">
        <v>46286</v>
      </c>
      <c r="D4010" s="82">
        <v>1066496.7899999996</v>
      </c>
    </row>
    <row r="4011" spans="1:4" x14ac:dyDescent="0.3">
      <c r="A4011" s="83" t="s">
        <v>22</v>
      </c>
      <c r="B4011" s="83"/>
      <c r="C4011" s="16">
        <v>46286</v>
      </c>
      <c r="D4011" s="82">
        <v>229778.14</v>
      </c>
    </row>
    <row r="4012" spans="1:4" x14ac:dyDescent="0.3">
      <c r="A4012" s="83" t="s">
        <v>23</v>
      </c>
      <c r="B4012" s="83"/>
      <c r="C4012" s="16">
        <v>46286</v>
      </c>
      <c r="D4012" s="82">
        <v>217688.58</v>
      </c>
    </row>
    <row r="4013" spans="1:4" x14ac:dyDescent="0.3">
      <c r="A4013" s="83" t="s">
        <v>24</v>
      </c>
      <c r="B4013" s="83"/>
      <c r="C4013" s="16">
        <v>46286</v>
      </c>
      <c r="D4013" s="82">
        <v>11744.75</v>
      </c>
    </row>
    <row r="4014" spans="1:4" x14ac:dyDescent="0.3">
      <c r="A4014" s="83" t="s">
        <v>25</v>
      </c>
      <c r="B4014" s="83"/>
      <c r="C4014" s="16">
        <v>46286</v>
      </c>
      <c r="D4014" s="82">
        <v>94.5</v>
      </c>
    </row>
    <row r="4015" spans="1:4" x14ac:dyDescent="0.3">
      <c r="A4015" s="83" t="s">
        <v>26</v>
      </c>
      <c r="B4015" s="83"/>
      <c r="C4015" s="16">
        <v>46286</v>
      </c>
      <c r="D4015" s="82">
        <v>2147.92</v>
      </c>
    </row>
    <row r="4016" spans="1:4" x14ac:dyDescent="0.3">
      <c r="A4016" s="83" t="s">
        <v>27</v>
      </c>
      <c r="B4016" s="83"/>
      <c r="C4016" s="16">
        <v>46286</v>
      </c>
      <c r="D4016" s="82">
        <v>17895.290000000015</v>
      </c>
    </row>
    <row r="4017" spans="1:4" x14ac:dyDescent="0.3">
      <c r="A4017" s="83" t="s">
        <v>28</v>
      </c>
      <c r="B4017" s="83"/>
      <c r="C4017" s="16">
        <v>46286</v>
      </c>
      <c r="D4017" s="82">
        <v>1968.99</v>
      </c>
    </row>
    <row r="4018" spans="1:4" x14ac:dyDescent="0.3">
      <c r="A4018" s="83" t="s">
        <v>29</v>
      </c>
      <c r="B4018" s="83"/>
      <c r="C4018" s="16">
        <v>46286</v>
      </c>
      <c r="D4018" s="82">
        <v>901.34</v>
      </c>
    </row>
    <row r="4019" spans="1:4" x14ac:dyDescent="0.3">
      <c r="A4019" s="83" t="s">
        <v>30</v>
      </c>
      <c r="B4019" s="83"/>
      <c r="C4019" s="16">
        <v>46286</v>
      </c>
      <c r="D4019" s="82">
        <v>1380.08</v>
      </c>
    </row>
    <row r="4020" spans="1:4" x14ac:dyDescent="0.3">
      <c r="A4020" s="83" t="s">
        <v>31</v>
      </c>
      <c r="B4020" s="83"/>
      <c r="C4020" s="16">
        <v>46286</v>
      </c>
      <c r="D4020" s="82">
        <v>30277.379999999961</v>
      </c>
    </row>
    <row r="4021" spans="1:4" x14ac:dyDescent="0.3">
      <c r="A4021" s="83" t="s">
        <v>32</v>
      </c>
      <c r="B4021" s="83"/>
      <c r="C4021" s="16">
        <v>46286</v>
      </c>
      <c r="D4021" s="82">
        <v>16282.630000000006</v>
      </c>
    </row>
    <row r="4022" spans="1:4" x14ac:dyDescent="0.3">
      <c r="A4022" s="83" t="s">
        <v>33</v>
      </c>
      <c r="B4022" s="83"/>
      <c r="C4022" s="16">
        <v>46286</v>
      </c>
      <c r="D4022" s="82">
        <v>13685.999999999996</v>
      </c>
    </row>
    <row r="4023" spans="1:4" x14ac:dyDescent="0.3">
      <c r="A4023" s="83" t="s">
        <v>34</v>
      </c>
      <c r="B4023" s="83"/>
      <c r="C4023" s="16">
        <v>46286</v>
      </c>
      <c r="D4023" s="82">
        <v>345</v>
      </c>
    </row>
    <row r="4024" spans="1:4" x14ac:dyDescent="0.3">
      <c r="A4024" s="83" t="s">
        <v>35</v>
      </c>
      <c r="B4024" s="83"/>
      <c r="C4024" s="16">
        <v>46286</v>
      </c>
      <c r="D4024" s="82">
        <v>15349.190000000002</v>
      </c>
    </row>
    <row r="4025" spans="1:4" x14ac:dyDescent="0.3">
      <c r="A4025" s="83" t="s">
        <v>193</v>
      </c>
      <c r="B4025" s="83"/>
      <c r="C4025" s="16">
        <v>46286</v>
      </c>
      <c r="D4025" s="82">
        <v>312415.12000000005</v>
      </c>
    </row>
    <row r="4026" spans="1:4" x14ac:dyDescent="0.3">
      <c r="A4026" s="83" t="s">
        <v>214</v>
      </c>
      <c r="B4026" s="83"/>
      <c r="C4026" s="16">
        <v>46286</v>
      </c>
      <c r="D4026" s="82">
        <v>103560.93000000001</v>
      </c>
    </row>
    <row r="4027" spans="1:4" x14ac:dyDescent="0.3">
      <c r="A4027" s="83" t="s">
        <v>194</v>
      </c>
      <c r="B4027" s="83"/>
      <c r="C4027" s="16">
        <v>46286</v>
      </c>
      <c r="D4027" s="82">
        <v>3631.96</v>
      </c>
    </row>
    <row r="4028" spans="1:4" x14ac:dyDescent="0.3">
      <c r="A4028" s="83" t="s">
        <v>195</v>
      </c>
      <c r="B4028" s="83"/>
      <c r="C4028" s="16">
        <v>46286</v>
      </c>
      <c r="D4028" s="82">
        <v>604.80000000000018</v>
      </c>
    </row>
    <row r="4029" spans="1:4" x14ac:dyDescent="0.3">
      <c r="A4029" s="83" t="s">
        <v>196</v>
      </c>
      <c r="B4029" s="83"/>
      <c r="C4029" s="16">
        <v>46286</v>
      </c>
      <c r="D4029" s="82">
        <v>25507.15999999996</v>
      </c>
    </row>
    <row r="4030" spans="1:4" x14ac:dyDescent="0.3">
      <c r="A4030" s="83" t="s">
        <v>197</v>
      </c>
      <c r="B4030" s="83"/>
      <c r="C4030" s="16">
        <v>46286</v>
      </c>
      <c r="D4030" s="82">
        <v>794.01</v>
      </c>
    </row>
    <row r="4031" spans="1:4" x14ac:dyDescent="0.3">
      <c r="A4031" s="83" t="s">
        <v>212</v>
      </c>
      <c r="B4031" s="83"/>
      <c r="C4031" s="16">
        <v>46286</v>
      </c>
      <c r="D4031" s="82">
        <v>5445.57</v>
      </c>
    </row>
    <row r="4032" spans="1:4" x14ac:dyDescent="0.3">
      <c r="A4032" s="83" t="s">
        <v>199</v>
      </c>
      <c r="B4032" s="83"/>
      <c r="C4032" s="16">
        <v>46286</v>
      </c>
      <c r="D4032" s="82">
        <v>239950.84</v>
      </c>
    </row>
    <row r="4033" spans="1:4" x14ac:dyDescent="0.3">
      <c r="A4033" s="83" t="s">
        <v>216</v>
      </c>
      <c r="B4033" s="83"/>
      <c r="C4033" s="16">
        <v>46286</v>
      </c>
      <c r="D4033" s="82">
        <v>327985.82999999996</v>
      </c>
    </row>
    <row r="4034" spans="1:4" x14ac:dyDescent="0.3">
      <c r="A4034" s="83" t="s">
        <v>17</v>
      </c>
      <c r="B4034" s="83"/>
      <c r="C4034" s="16">
        <v>46287</v>
      </c>
      <c r="D4034" s="82">
        <v>2322320.2500000005</v>
      </c>
    </row>
    <row r="4035" spans="1:4" x14ac:dyDescent="0.3">
      <c r="A4035" s="83" t="s">
        <v>18</v>
      </c>
      <c r="B4035" s="83"/>
      <c r="C4035" s="16">
        <v>46287</v>
      </c>
      <c r="D4035" s="82">
        <v>100486.46000000017</v>
      </c>
    </row>
    <row r="4036" spans="1:4" x14ac:dyDescent="0.3">
      <c r="A4036" s="83" t="s">
        <v>19</v>
      </c>
      <c r="B4036" s="83"/>
      <c r="C4036" s="16">
        <v>46287</v>
      </c>
      <c r="D4036" s="82">
        <v>1669.89</v>
      </c>
    </row>
    <row r="4037" spans="1:4" x14ac:dyDescent="0.3">
      <c r="A4037" s="83" t="s">
        <v>20</v>
      </c>
      <c r="B4037" s="83"/>
      <c r="C4037" s="16">
        <v>46287</v>
      </c>
      <c r="D4037" s="82">
        <v>1453603.3599999999</v>
      </c>
    </row>
    <row r="4038" spans="1:4" x14ac:dyDescent="0.3">
      <c r="A4038" s="83" t="s">
        <v>21</v>
      </c>
      <c r="B4038" s="83"/>
      <c r="C4038" s="16">
        <v>46287</v>
      </c>
      <c r="D4038" s="82">
        <v>1065733.7999999996</v>
      </c>
    </row>
    <row r="4039" spans="1:4" x14ac:dyDescent="0.3">
      <c r="A4039" s="83" t="s">
        <v>22</v>
      </c>
      <c r="B4039" s="83"/>
      <c r="C4039" s="16">
        <v>46287</v>
      </c>
      <c r="D4039" s="82">
        <v>229778.14</v>
      </c>
    </row>
    <row r="4040" spans="1:4" x14ac:dyDescent="0.3">
      <c r="A4040" s="83" t="s">
        <v>23</v>
      </c>
      <c r="B4040" s="83"/>
      <c r="C4040" s="16">
        <v>46287</v>
      </c>
      <c r="D4040" s="82">
        <v>217688.58</v>
      </c>
    </row>
    <row r="4041" spans="1:4" x14ac:dyDescent="0.3">
      <c r="A4041" s="83" t="s">
        <v>24</v>
      </c>
      <c r="B4041" s="83"/>
      <c r="C4041" s="16">
        <v>46287</v>
      </c>
      <c r="D4041" s="82">
        <v>11744.75</v>
      </c>
    </row>
    <row r="4042" spans="1:4" x14ac:dyDescent="0.3">
      <c r="A4042" s="83" t="s">
        <v>25</v>
      </c>
      <c r="B4042" s="83"/>
      <c r="C4042" s="16">
        <v>46287</v>
      </c>
      <c r="D4042" s="82">
        <v>94.5</v>
      </c>
    </row>
    <row r="4043" spans="1:4" x14ac:dyDescent="0.3">
      <c r="A4043" s="83" t="s">
        <v>26</v>
      </c>
      <c r="B4043" s="83"/>
      <c r="C4043" s="16">
        <v>46287</v>
      </c>
      <c r="D4043" s="82">
        <v>2147.92</v>
      </c>
    </row>
    <row r="4044" spans="1:4" x14ac:dyDescent="0.3">
      <c r="A4044" s="83" t="s">
        <v>27</v>
      </c>
      <c r="B4044" s="83"/>
      <c r="C4044" s="16">
        <v>46287</v>
      </c>
      <c r="D4044" s="82">
        <v>17895.290000000015</v>
      </c>
    </row>
    <row r="4045" spans="1:4" x14ac:dyDescent="0.3">
      <c r="A4045" s="83" t="s">
        <v>28</v>
      </c>
      <c r="B4045" s="83"/>
      <c r="C4045" s="16">
        <v>46287</v>
      </c>
      <c r="D4045" s="82">
        <v>1968.99</v>
      </c>
    </row>
    <row r="4046" spans="1:4" x14ac:dyDescent="0.3">
      <c r="A4046" s="83" t="s">
        <v>29</v>
      </c>
      <c r="B4046" s="83"/>
      <c r="C4046" s="16">
        <v>46287</v>
      </c>
      <c r="D4046" s="82">
        <v>901.34</v>
      </c>
    </row>
    <row r="4047" spans="1:4" x14ac:dyDescent="0.3">
      <c r="A4047" s="83" t="s">
        <v>30</v>
      </c>
      <c r="B4047" s="83"/>
      <c r="C4047" s="16">
        <v>46287</v>
      </c>
      <c r="D4047" s="82">
        <v>1380.08</v>
      </c>
    </row>
    <row r="4048" spans="1:4" x14ac:dyDescent="0.3">
      <c r="A4048" s="83" t="s">
        <v>31</v>
      </c>
      <c r="B4048" s="83"/>
      <c r="C4048" s="16">
        <v>46287</v>
      </c>
      <c r="D4048" s="82">
        <v>28714.879999999961</v>
      </c>
    </row>
    <row r="4049" spans="1:4" x14ac:dyDescent="0.3">
      <c r="A4049" s="83" t="s">
        <v>32</v>
      </c>
      <c r="B4049" s="83"/>
      <c r="C4049" s="16">
        <v>46287</v>
      </c>
      <c r="D4049" s="82">
        <v>15162.600000000006</v>
      </c>
    </row>
    <row r="4050" spans="1:4" x14ac:dyDescent="0.3">
      <c r="A4050" s="83" t="s">
        <v>33</v>
      </c>
      <c r="B4050" s="83"/>
      <c r="C4050" s="16">
        <v>46287</v>
      </c>
      <c r="D4050" s="82">
        <v>12937.859999999997</v>
      </c>
    </row>
    <row r="4051" spans="1:4" x14ac:dyDescent="0.3">
      <c r="A4051" s="83" t="s">
        <v>34</v>
      </c>
      <c r="B4051" s="83"/>
      <c r="C4051" s="16">
        <v>46287</v>
      </c>
      <c r="D4051" s="82">
        <v>345</v>
      </c>
    </row>
    <row r="4052" spans="1:4" x14ac:dyDescent="0.3">
      <c r="A4052" s="83" t="s">
        <v>35</v>
      </c>
      <c r="B4052" s="83"/>
      <c r="C4052" s="16">
        <v>46287</v>
      </c>
      <c r="D4052" s="82">
        <v>15349.190000000002</v>
      </c>
    </row>
    <row r="4053" spans="1:4" x14ac:dyDescent="0.3">
      <c r="A4053" s="83" t="s">
        <v>193</v>
      </c>
      <c r="B4053" s="83"/>
      <c r="C4053" s="16">
        <v>46287</v>
      </c>
      <c r="D4053" s="82">
        <v>312415.12000000005</v>
      </c>
    </row>
    <row r="4054" spans="1:4" x14ac:dyDescent="0.3">
      <c r="A4054" s="83" t="s">
        <v>214</v>
      </c>
      <c r="B4054" s="83"/>
      <c r="C4054" s="16">
        <v>46287</v>
      </c>
      <c r="D4054" s="82">
        <v>103560.93000000001</v>
      </c>
    </row>
    <row r="4055" spans="1:4" x14ac:dyDescent="0.3">
      <c r="A4055" s="83" t="s">
        <v>194</v>
      </c>
      <c r="B4055" s="83"/>
      <c r="C4055" s="16">
        <v>46287</v>
      </c>
      <c r="D4055" s="82">
        <v>3631.96</v>
      </c>
    </row>
    <row r="4056" spans="1:4" x14ac:dyDescent="0.3">
      <c r="A4056" s="83" t="s">
        <v>195</v>
      </c>
      <c r="B4056" s="83"/>
      <c r="C4056" s="16">
        <v>46287</v>
      </c>
      <c r="D4056" s="82">
        <v>604.80000000000018</v>
      </c>
    </row>
    <row r="4057" spans="1:4" x14ac:dyDescent="0.3">
      <c r="A4057" s="83" t="s">
        <v>196</v>
      </c>
      <c r="B4057" s="83"/>
      <c r="C4057" s="16">
        <v>46287</v>
      </c>
      <c r="D4057" s="82">
        <v>24944.219999999972</v>
      </c>
    </row>
    <row r="4058" spans="1:4" x14ac:dyDescent="0.3">
      <c r="A4058" s="83" t="s">
        <v>197</v>
      </c>
      <c r="B4058" s="83"/>
      <c r="C4058" s="16">
        <v>46287</v>
      </c>
      <c r="D4058" s="82">
        <v>794.01</v>
      </c>
    </row>
    <row r="4059" spans="1:4" x14ac:dyDescent="0.3">
      <c r="A4059" s="83" t="s">
        <v>212</v>
      </c>
      <c r="B4059" s="83"/>
      <c r="C4059" s="16">
        <v>46287</v>
      </c>
      <c r="D4059" s="82">
        <v>5445.57</v>
      </c>
    </row>
    <row r="4060" spans="1:4" x14ac:dyDescent="0.3">
      <c r="A4060" s="83" t="s">
        <v>199</v>
      </c>
      <c r="B4060" s="83"/>
      <c r="C4060" s="16">
        <v>46287</v>
      </c>
      <c r="D4060" s="82">
        <v>234193.16999999998</v>
      </c>
    </row>
    <row r="4061" spans="1:4" x14ac:dyDescent="0.3">
      <c r="A4061" s="83" t="s">
        <v>216</v>
      </c>
      <c r="B4061" s="83"/>
      <c r="C4061" s="16">
        <v>46287</v>
      </c>
      <c r="D4061" s="82">
        <v>327985.82999999996</v>
      </c>
    </row>
    <row r="4062" spans="1:4" x14ac:dyDescent="0.3">
      <c r="A4062" s="83" t="s">
        <v>17</v>
      </c>
      <c r="B4062" s="83"/>
      <c r="C4062" s="16">
        <v>46288</v>
      </c>
      <c r="D4062" s="82">
        <v>2322320.2500000005</v>
      </c>
    </row>
    <row r="4063" spans="1:4" x14ac:dyDescent="0.3">
      <c r="A4063" s="83" t="s">
        <v>18</v>
      </c>
      <c r="B4063" s="83"/>
      <c r="C4063" s="16">
        <v>46288</v>
      </c>
      <c r="D4063" s="82">
        <v>100486.46000000017</v>
      </c>
    </row>
    <row r="4064" spans="1:4" x14ac:dyDescent="0.3">
      <c r="A4064" s="83" t="s">
        <v>19</v>
      </c>
      <c r="B4064" s="83"/>
      <c r="C4064" s="16">
        <v>46288</v>
      </c>
      <c r="D4064" s="82">
        <v>1669.89</v>
      </c>
    </row>
    <row r="4065" spans="1:4" x14ac:dyDescent="0.3">
      <c r="A4065" s="83" t="s">
        <v>20</v>
      </c>
      <c r="B4065" s="83"/>
      <c r="C4065" s="16">
        <v>46288</v>
      </c>
      <c r="D4065" s="82">
        <v>1453603.3599999999</v>
      </c>
    </row>
    <row r="4066" spans="1:4" x14ac:dyDescent="0.3">
      <c r="A4066" s="83" t="s">
        <v>21</v>
      </c>
      <c r="B4066" s="83"/>
      <c r="C4066" s="16">
        <v>46288</v>
      </c>
      <c r="D4066" s="82">
        <v>1065733.7999999996</v>
      </c>
    </row>
    <row r="4067" spans="1:4" x14ac:dyDescent="0.3">
      <c r="A4067" s="83" t="s">
        <v>22</v>
      </c>
      <c r="B4067" s="83"/>
      <c r="C4067" s="16">
        <v>46288</v>
      </c>
      <c r="D4067" s="82">
        <v>229778.14</v>
      </c>
    </row>
    <row r="4068" spans="1:4" x14ac:dyDescent="0.3">
      <c r="A4068" s="83" t="s">
        <v>23</v>
      </c>
      <c r="B4068" s="83"/>
      <c r="C4068" s="16">
        <v>46288</v>
      </c>
      <c r="D4068" s="82">
        <v>217688.58</v>
      </c>
    </row>
    <row r="4069" spans="1:4" x14ac:dyDescent="0.3">
      <c r="A4069" s="83" t="s">
        <v>24</v>
      </c>
      <c r="B4069" s="83"/>
      <c r="C4069" s="16">
        <v>46288</v>
      </c>
      <c r="D4069" s="82">
        <v>11744.75</v>
      </c>
    </row>
    <row r="4070" spans="1:4" x14ac:dyDescent="0.3">
      <c r="A4070" s="83" t="s">
        <v>25</v>
      </c>
      <c r="B4070" s="83"/>
      <c r="C4070" s="16">
        <v>46288</v>
      </c>
      <c r="D4070" s="82">
        <v>94.5</v>
      </c>
    </row>
    <row r="4071" spans="1:4" x14ac:dyDescent="0.3">
      <c r="A4071" s="83" t="s">
        <v>26</v>
      </c>
      <c r="B4071" s="83"/>
      <c r="C4071" s="16">
        <v>46288</v>
      </c>
      <c r="D4071" s="82">
        <v>2147.92</v>
      </c>
    </row>
    <row r="4072" spans="1:4" x14ac:dyDescent="0.3">
      <c r="A4072" s="83" t="s">
        <v>27</v>
      </c>
      <c r="B4072" s="83"/>
      <c r="C4072" s="16">
        <v>46288</v>
      </c>
      <c r="D4072" s="82">
        <v>17895.290000000015</v>
      </c>
    </row>
    <row r="4073" spans="1:4" x14ac:dyDescent="0.3">
      <c r="A4073" s="83" t="s">
        <v>28</v>
      </c>
      <c r="B4073" s="83"/>
      <c r="C4073" s="16">
        <v>46288</v>
      </c>
      <c r="D4073" s="82">
        <v>1968.99</v>
      </c>
    </row>
    <row r="4074" spans="1:4" x14ac:dyDescent="0.3">
      <c r="A4074" s="83" t="s">
        <v>29</v>
      </c>
      <c r="B4074" s="83"/>
      <c r="C4074" s="16">
        <v>46288</v>
      </c>
      <c r="D4074" s="82">
        <v>901.34</v>
      </c>
    </row>
    <row r="4075" spans="1:4" x14ac:dyDescent="0.3">
      <c r="A4075" s="83" t="s">
        <v>30</v>
      </c>
      <c r="B4075" s="83"/>
      <c r="C4075" s="16">
        <v>46288</v>
      </c>
      <c r="D4075" s="82">
        <v>1380.08</v>
      </c>
    </row>
    <row r="4076" spans="1:4" x14ac:dyDescent="0.3">
      <c r="A4076" s="83" t="s">
        <v>31</v>
      </c>
      <c r="B4076" s="83"/>
      <c r="C4076" s="16">
        <v>46288</v>
      </c>
      <c r="D4076" s="82">
        <v>28714.879999999961</v>
      </c>
    </row>
    <row r="4077" spans="1:4" x14ac:dyDescent="0.3">
      <c r="A4077" s="83" t="s">
        <v>32</v>
      </c>
      <c r="B4077" s="83"/>
      <c r="C4077" s="16">
        <v>46288</v>
      </c>
      <c r="D4077" s="82">
        <v>15162.600000000006</v>
      </c>
    </row>
    <row r="4078" spans="1:4" x14ac:dyDescent="0.3">
      <c r="A4078" s="83" t="s">
        <v>33</v>
      </c>
      <c r="B4078" s="83"/>
      <c r="C4078" s="16">
        <v>46288</v>
      </c>
      <c r="D4078" s="82">
        <v>12937.859999999997</v>
      </c>
    </row>
    <row r="4079" spans="1:4" x14ac:dyDescent="0.3">
      <c r="A4079" s="83" t="s">
        <v>34</v>
      </c>
      <c r="B4079" s="83"/>
      <c r="C4079" s="16">
        <v>46288</v>
      </c>
      <c r="D4079" s="82">
        <v>345</v>
      </c>
    </row>
    <row r="4080" spans="1:4" x14ac:dyDescent="0.3">
      <c r="A4080" s="83" t="s">
        <v>35</v>
      </c>
      <c r="B4080" s="83"/>
      <c r="C4080" s="16">
        <v>46288</v>
      </c>
      <c r="D4080" s="82">
        <v>15349.190000000002</v>
      </c>
    </row>
    <row r="4081" spans="1:4" x14ac:dyDescent="0.3">
      <c r="A4081" s="83" t="s">
        <v>193</v>
      </c>
      <c r="B4081" s="83"/>
      <c r="C4081" s="16">
        <v>46288</v>
      </c>
      <c r="D4081" s="82">
        <v>312415.12000000005</v>
      </c>
    </row>
    <row r="4082" spans="1:4" x14ac:dyDescent="0.3">
      <c r="A4082" s="83" t="s">
        <v>214</v>
      </c>
      <c r="B4082" s="83"/>
      <c r="C4082" s="16">
        <v>46288</v>
      </c>
      <c r="D4082" s="82">
        <v>103560.93000000001</v>
      </c>
    </row>
    <row r="4083" spans="1:4" x14ac:dyDescent="0.3">
      <c r="A4083" s="83" t="s">
        <v>194</v>
      </c>
      <c r="B4083" s="83"/>
      <c r="C4083" s="16">
        <v>46288</v>
      </c>
      <c r="D4083" s="82">
        <v>3631.96</v>
      </c>
    </row>
    <row r="4084" spans="1:4" x14ac:dyDescent="0.3">
      <c r="A4084" s="83" t="s">
        <v>195</v>
      </c>
      <c r="B4084" s="83"/>
      <c r="C4084" s="16">
        <v>46288</v>
      </c>
      <c r="D4084" s="82">
        <v>604.80000000000018</v>
      </c>
    </row>
    <row r="4085" spans="1:4" x14ac:dyDescent="0.3">
      <c r="A4085" s="83" t="s">
        <v>196</v>
      </c>
      <c r="B4085" s="83"/>
      <c r="C4085" s="16">
        <v>46288</v>
      </c>
      <c r="D4085" s="82">
        <v>24944.219999999972</v>
      </c>
    </row>
    <row r="4086" spans="1:4" x14ac:dyDescent="0.3">
      <c r="A4086" s="83" t="s">
        <v>197</v>
      </c>
      <c r="B4086" s="83"/>
      <c r="C4086" s="16">
        <v>46288</v>
      </c>
      <c r="D4086" s="82">
        <v>794.01</v>
      </c>
    </row>
    <row r="4087" spans="1:4" x14ac:dyDescent="0.3">
      <c r="A4087" s="83" t="s">
        <v>212</v>
      </c>
      <c r="B4087" s="83"/>
      <c r="C4087" s="16">
        <v>46288</v>
      </c>
      <c r="D4087" s="82">
        <v>5445.57</v>
      </c>
    </row>
    <row r="4088" spans="1:4" x14ac:dyDescent="0.3">
      <c r="A4088" s="83" t="s">
        <v>199</v>
      </c>
      <c r="B4088" s="83"/>
      <c r="C4088" s="16">
        <v>46288</v>
      </c>
      <c r="D4088" s="82">
        <v>236093.16999999998</v>
      </c>
    </row>
    <row r="4089" spans="1:4" x14ac:dyDescent="0.3">
      <c r="A4089" s="83" t="s">
        <v>216</v>
      </c>
      <c r="B4089" s="83"/>
      <c r="C4089" s="16">
        <v>46288</v>
      </c>
      <c r="D4089" s="82">
        <v>327985.82999999996</v>
      </c>
    </row>
    <row r="4090" spans="1:4" x14ac:dyDescent="0.3">
      <c r="A4090" s="83" t="s">
        <v>17</v>
      </c>
      <c r="B4090" s="83"/>
      <c r="C4090" s="16">
        <v>46289</v>
      </c>
      <c r="D4090" s="82">
        <v>2322320.2500000005</v>
      </c>
    </row>
    <row r="4091" spans="1:4" x14ac:dyDescent="0.3">
      <c r="A4091" s="83" t="s">
        <v>18</v>
      </c>
      <c r="B4091" s="83"/>
      <c r="C4091" s="16">
        <v>46289</v>
      </c>
      <c r="D4091" s="82">
        <v>100486.46000000017</v>
      </c>
    </row>
    <row r="4092" spans="1:4" x14ac:dyDescent="0.3">
      <c r="A4092" s="83" t="s">
        <v>19</v>
      </c>
      <c r="B4092" s="83"/>
      <c r="C4092" s="16">
        <v>46289</v>
      </c>
      <c r="D4092" s="82">
        <v>1669.89</v>
      </c>
    </row>
    <row r="4093" spans="1:4" x14ac:dyDescent="0.3">
      <c r="A4093" s="83" t="s">
        <v>20</v>
      </c>
      <c r="B4093" s="83"/>
      <c r="C4093" s="16">
        <v>46289</v>
      </c>
      <c r="D4093" s="82">
        <v>1453603.3599999999</v>
      </c>
    </row>
    <row r="4094" spans="1:4" x14ac:dyDescent="0.3">
      <c r="A4094" s="83" t="s">
        <v>21</v>
      </c>
      <c r="B4094" s="83"/>
      <c r="C4094" s="16">
        <v>46289</v>
      </c>
      <c r="D4094" s="82">
        <v>1065733.7999999996</v>
      </c>
    </row>
    <row r="4095" spans="1:4" x14ac:dyDescent="0.3">
      <c r="A4095" s="83" t="s">
        <v>22</v>
      </c>
      <c r="B4095" s="83"/>
      <c r="C4095" s="16">
        <v>46289</v>
      </c>
      <c r="D4095" s="82">
        <v>229778.14</v>
      </c>
    </row>
    <row r="4096" spans="1:4" x14ac:dyDescent="0.3">
      <c r="A4096" s="83" t="s">
        <v>23</v>
      </c>
      <c r="B4096" s="83"/>
      <c r="C4096" s="16">
        <v>46289</v>
      </c>
      <c r="D4096" s="82">
        <v>217688.58</v>
      </c>
    </row>
    <row r="4097" spans="1:4" x14ac:dyDescent="0.3">
      <c r="A4097" s="83" t="s">
        <v>24</v>
      </c>
      <c r="B4097" s="83"/>
      <c r="C4097" s="16">
        <v>46289</v>
      </c>
      <c r="D4097" s="82">
        <v>11744.75</v>
      </c>
    </row>
    <row r="4098" spans="1:4" x14ac:dyDescent="0.3">
      <c r="A4098" s="83" t="s">
        <v>25</v>
      </c>
      <c r="B4098" s="83"/>
      <c r="C4098" s="16">
        <v>46289</v>
      </c>
      <c r="D4098" s="82">
        <v>94.5</v>
      </c>
    </row>
    <row r="4099" spans="1:4" x14ac:dyDescent="0.3">
      <c r="A4099" s="83" t="s">
        <v>26</v>
      </c>
      <c r="B4099" s="83"/>
      <c r="C4099" s="16">
        <v>46289</v>
      </c>
      <c r="D4099" s="82">
        <v>2147.92</v>
      </c>
    </row>
    <row r="4100" spans="1:4" x14ac:dyDescent="0.3">
      <c r="A4100" s="83" t="s">
        <v>27</v>
      </c>
      <c r="B4100" s="83"/>
      <c r="C4100" s="16">
        <v>46289</v>
      </c>
      <c r="D4100" s="82">
        <v>17895.290000000015</v>
      </c>
    </row>
    <row r="4101" spans="1:4" x14ac:dyDescent="0.3">
      <c r="A4101" s="83" t="s">
        <v>28</v>
      </c>
      <c r="B4101" s="83"/>
      <c r="C4101" s="16">
        <v>46289</v>
      </c>
      <c r="D4101" s="82">
        <v>1968.99</v>
      </c>
    </row>
    <row r="4102" spans="1:4" x14ac:dyDescent="0.3">
      <c r="A4102" s="83" t="s">
        <v>29</v>
      </c>
      <c r="B4102" s="83"/>
      <c r="C4102" s="16">
        <v>46289</v>
      </c>
      <c r="D4102" s="82">
        <v>901.34</v>
      </c>
    </row>
    <row r="4103" spans="1:4" x14ac:dyDescent="0.3">
      <c r="A4103" s="83" t="s">
        <v>30</v>
      </c>
      <c r="B4103" s="83"/>
      <c r="C4103" s="16">
        <v>46289</v>
      </c>
      <c r="D4103" s="82">
        <v>1380.08</v>
      </c>
    </row>
    <row r="4104" spans="1:4" x14ac:dyDescent="0.3">
      <c r="A4104" s="83" t="s">
        <v>31</v>
      </c>
      <c r="B4104" s="83"/>
      <c r="C4104" s="16">
        <v>46289</v>
      </c>
      <c r="D4104" s="82">
        <v>28714.879999999961</v>
      </c>
    </row>
    <row r="4105" spans="1:4" x14ac:dyDescent="0.3">
      <c r="A4105" s="83" t="s">
        <v>32</v>
      </c>
      <c r="B4105" s="83"/>
      <c r="C4105" s="16">
        <v>46289</v>
      </c>
      <c r="D4105" s="82">
        <v>15162.600000000006</v>
      </c>
    </row>
    <row r="4106" spans="1:4" x14ac:dyDescent="0.3">
      <c r="A4106" s="83" t="s">
        <v>33</v>
      </c>
      <c r="B4106" s="83"/>
      <c r="C4106" s="16">
        <v>46289</v>
      </c>
      <c r="D4106" s="82">
        <v>12937.859999999997</v>
      </c>
    </row>
    <row r="4107" spans="1:4" x14ac:dyDescent="0.3">
      <c r="A4107" s="83" t="s">
        <v>34</v>
      </c>
      <c r="B4107" s="83"/>
      <c r="C4107" s="16">
        <v>46289</v>
      </c>
      <c r="D4107" s="82">
        <v>345</v>
      </c>
    </row>
    <row r="4108" spans="1:4" x14ac:dyDescent="0.3">
      <c r="A4108" s="83" t="s">
        <v>35</v>
      </c>
      <c r="B4108" s="83"/>
      <c r="C4108" s="16">
        <v>46289</v>
      </c>
      <c r="D4108" s="82">
        <v>15349.190000000002</v>
      </c>
    </row>
    <row r="4109" spans="1:4" x14ac:dyDescent="0.3">
      <c r="A4109" s="83" t="s">
        <v>193</v>
      </c>
      <c r="B4109" s="83"/>
      <c r="C4109" s="16">
        <v>46289</v>
      </c>
      <c r="D4109" s="82">
        <v>312415.12000000005</v>
      </c>
    </row>
    <row r="4110" spans="1:4" x14ac:dyDescent="0.3">
      <c r="A4110" s="83" t="s">
        <v>214</v>
      </c>
      <c r="B4110" s="83"/>
      <c r="C4110" s="16">
        <v>46289</v>
      </c>
      <c r="D4110" s="82">
        <v>103560.93000000001</v>
      </c>
    </row>
    <row r="4111" spans="1:4" x14ac:dyDescent="0.3">
      <c r="A4111" s="83" t="s">
        <v>194</v>
      </c>
      <c r="B4111" s="83"/>
      <c r="C4111" s="16">
        <v>46289</v>
      </c>
      <c r="D4111" s="82">
        <v>3631.96</v>
      </c>
    </row>
    <row r="4112" spans="1:4" x14ac:dyDescent="0.3">
      <c r="A4112" s="83" t="s">
        <v>195</v>
      </c>
      <c r="B4112" s="83"/>
      <c r="C4112" s="16">
        <v>46289</v>
      </c>
      <c r="D4112" s="82">
        <v>604.80000000000018</v>
      </c>
    </row>
    <row r="4113" spans="1:4" x14ac:dyDescent="0.3">
      <c r="A4113" s="83" t="s">
        <v>196</v>
      </c>
      <c r="B4113" s="83"/>
      <c r="C4113" s="16">
        <v>46289</v>
      </c>
      <c r="D4113" s="82">
        <v>24430.749999999971</v>
      </c>
    </row>
    <row r="4114" spans="1:4" x14ac:dyDescent="0.3">
      <c r="A4114" s="83" t="s">
        <v>197</v>
      </c>
      <c r="B4114" s="83"/>
      <c r="C4114" s="16">
        <v>46289</v>
      </c>
      <c r="D4114" s="82">
        <v>794.01</v>
      </c>
    </row>
    <row r="4115" spans="1:4" x14ac:dyDescent="0.3">
      <c r="A4115" s="83" t="s">
        <v>212</v>
      </c>
      <c r="B4115" s="83"/>
      <c r="C4115" s="16">
        <v>46289</v>
      </c>
      <c r="D4115" s="82">
        <v>5445.57</v>
      </c>
    </row>
    <row r="4116" spans="1:4" x14ac:dyDescent="0.3">
      <c r="A4116" s="83" t="s">
        <v>199</v>
      </c>
      <c r="B4116" s="83"/>
      <c r="C4116" s="16">
        <v>46289</v>
      </c>
      <c r="D4116" s="82">
        <v>236093.16999999998</v>
      </c>
    </row>
    <row r="4117" spans="1:4" x14ac:dyDescent="0.3">
      <c r="A4117" s="83" t="s">
        <v>216</v>
      </c>
      <c r="B4117" s="83"/>
      <c r="C4117" s="16">
        <v>46289</v>
      </c>
      <c r="D4117" s="82">
        <v>327985.82999999996</v>
      </c>
    </row>
    <row r="4118" spans="1:4" x14ac:dyDescent="0.3">
      <c r="A4118" s="83" t="s">
        <v>17</v>
      </c>
      <c r="B4118" s="83"/>
      <c r="C4118" s="16">
        <v>46290</v>
      </c>
      <c r="D4118" s="82">
        <v>1835826.1700000004</v>
      </c>
    </row>
    <row r="4119" spans="1:4" x14ac:dyDescent="0.3">
      <c r="A4119" s="83" t="s">
        <v>18</v>
      </c>
      <c r="B4119" s="83"/>
      <c r="C4119" s="16">
        <v>46290</v>
      </c>
      <c r="D4119" s="82">
        <v>100486.46000000017</v>
      </c>
    </row>
    <row r="4120" spans="1:4" x14ac:dyDescent="0.3">
      <c r="A4120" s="83" t="s">
        <v>19</v>
      </c>
      <c r="B4120" s="83"/>
      <c r="C4120" s="16">
        <v>46290</v>
      </c>
      <c r="D4120" s="82">
        <v>1669.89</v>
      </c>
    </row>
    <row r="4121" spans="1:4" x14ac:dyDescent="0.3">
      <c r="A4121" s="83" t="s">
        <v>20</v>
      </c>
      <c r="B4121" s="83"/>
      <c r="C4121" s="16">
        <v>46290</v>
      </c>
      <c r="D4121" s="82">
        <v>1313603.3599999999</v>
      </c>
    </row>
    <row r="4122" spans="1:4" x14ac:dyDescent="0.3">
      <c r="A4122" s="83" t="s">
        <v>21</v>
      </c>
      <c r="B4122" s="83"/>
      <c r="C4122" s="16">
        <v>46290</v>
      </c>
      <c r="D4122" s="82">
        <v>1350091.6599999997</v>
      </c>
    </row>
    <row r="4123" spans="1:4" x14ac:dyDescent="0.3">
      <c r="A4123" s="83" t="s">
        <v>22</v>
      </c>
      <c r="B4123" s="83"/>
      <c r="C4123" s="16">
        <v>46290</v>
      </c>
      <c r="D4123" s="82">
        <v>229778.14</v>
      </c>
    </row>
    <row r="4124" spans="1:4" x14ac:dyDescent="0.3">
      <c r="A4124" s="83" t="s">
        <v>23</v>
      </c>
      <c r="B4124" s="83"/>
      <c r="C4124" s="16">
        <v>46290</v>
      </c>
      <c r="D4124" s="82">
        <v>217688.58</v>
      </c>
    </row>
    <row r="4125" spans="1:4" x14ac:dyDescent="0.3">
      <c r="A4125" s="83" t="s">
        <v>24</v>
      </c>
      <c r="B4125" s="83"/>
      <c r="C4125" s="16">
        <v>46290</v>
      </c>
      <c r="D4125" s="82">
        <v>11744.75</v>
      </c>
    </row>
    <row r="4126" spans="1:4" x14ac:dyDescent="0.3">
      <c r="A4126" s="83" t="s">
        <v>25</v>
      </c>
      <c r="B4126" s="83"/>
      <c r="C4126" s="16">
        <v>46290</v>
      </c>
      <c r="D4126" s="82">
        <v>94.5</v>
      </c>
    </row>
    <row r="4127" spans="1:4" x14ac:dyDescent="0.3">
      <c r="A4127" s="83" t="s">
        <v>26</v>
      </c>
      <c r="B4127" s="83"/>
      <c r="C4127" s="16">
        <v>46290</v>
      </c>
      <c r="D4127" s="82">
        <v>2147.92</v>
      </c>
    </row>
    <row r="4128" spans="1:4" x14ac:dyDescent="0.3">
      <c r="A4128" s="83" t="s">
        <v>27</v>
      </c>
      <c r="B4128" s="83"/>
      <c r="C4128" s="16">
        <v>46290</v>
      </c>
      <c r="D4128" s="82">
        <v>17895.290000000015</v>
      </c>
    </row>
    <row r="4129" spans="1:4" x14ac:dyDescent="0.3">
      <c r="A4129" s="83" t="s">
        <v>28</v>
      </c>
      <c r="B4129" s="83"/>
      <c r="C4129" s="16">
        <v>46290</v>
      </c>
      <c r="D4129" s="82">
        <v>1968.99</v>
      </c>
    </row>
    <row r="4130" spans="1:4" x14ac:dyDescent="0.3">
      <c r="A4130" s="83" t="s">
        <v>29</v>
      </c>
      <c r="B4130" s="83"/>
      <c r="C4130" s="16">
        <v>46290</v>
      </c>
      <c r="D4130" s="82">
        <v>901.34</v>
      </c>
    </row>
    <row r="4131" spans="1:4" x14ac:dyDescent="0.3">
      <c r="A4131" s="83" t="s">
        <v>30</v>
      </c>
      <c r="B4131" s="83"/>
      <c r="C4131" s="16">
        <v>46290</v>
      </c>
      <c r="D4131" s="82">
        <v>1380.08</v>
      </c>
    </row>
    <row r="4132" spans="1:4" x14ac:dyDescent="0.3">
      <c r="A4132" s="83" t="s">
        <v>31</v>
      </c>
      <c r="B4132" s="83"/>
      <c r="C4132" s="16">
        <v>46290</v>
      </c>
      <c r="D4132" s="82">
        <v>28714.879999999961</v>
      </c>
    </row>
    <row r="4133" spans="1:4" x14ac:dyDescent="0.3">
      <c r="A4133" s="83" t="s">
        <v>32</v>
      </c>
      <c r="B4133" s="83"/>
      <c r="C4133" s="16">
        <v>46290</v>
      </c>
      <c r="D4133" s="82">
        <v>23389.690000000006</v>
      </c>
    </row>
    <row r="4134" spans="1:4" x14ac:dyDescent="0.3">
      <c r="A4134" s="83" t="s">
        <v>33</v>
      </c>
      <c r="B4134" s="83"/>
      <c r="C4134" s="16">
        <v>46290</v>
      </c>
      <c r="D4134" s="82">
        <v>16896.059999999998</v>
      </c>
    </row>
    <row r="4135" spans="1:4" x14ac:dyDescent="0.3">
      <c r="A4135" s="83" t="s">
        <v>34</v>
      </c>
      <c r="B4135" s="83"/>
      <c r="C4135" s="16">
        <v>46290</v>
      </c>
      <c r="D4135" s="82">
        <v>345</v>
      </c>
    </row>
    <row r="4136" spans="1:4" x14ac:dyDescent="0.3">
      <c r="A4136" s="83" t="s">
        <v>35</v>
      </c>
      <c r="B4136" s="83"/>
      <c r="C4136" s="16">
        <v>46290</v>
      </c>
      <c r="D4136" s="82">
        <v>12209.190000000002</v>
      </c>
    </row>
    <row r="4137" spans="1:4" x14ac:dyDescent="0.3">
      <c r="A4137" s="83" t="s">
        <v>193</v>
      </c>
      <c r="B4137" s="83"/>
      <c r="C4137" s="16">
        <v>46290</v>
      </c>
      <c r="D4137" s="82">
        <v>312314.37000000005</v>
      </c>
    </row>
    <row r="4138" spans="1:4" x14ac:dyDescent="0.3">
      <c r="A4138" s="83" t="s">
        <v>214</v>
      </c>
      <c r="B4138" s="83"/>
      <c r="C4138" s="16">
        <v>46290</v>
      </c>
      <c r="D4138" s="82">
        <v>103560.93000000001</v>
      </c>
    </row>
    <row r="4139" spans="1:4" x14ac:dyDescent="0.3">
      <c r="A4139" s="83" t="s">
        <v>194</v>
      </c>
      <c r="B4139" s="83"/>
      <c r="C4139" s="16">
        <v>46290</v>
      </c>
      <c r="D4139" s="82">
        <v>3631.96</v>
      </c>
    </row>
    <row r="4140" spans="1:4" x14ac:dyDescent="0.3">
      <c r="A4140" s="83" t="s">
        <v>195</v>
      </c>
      <c r="B4140" s="83"/>
      <c r="C4140" s="16">
        <v>46290</v>
      </c>
      <c r="D4140" s="82">
        <v>604.80000000000018</v>
      </c>
    </row>
    <row r="4141" spans="1:4" x14ac:dyDescent="0.3">
      <c r="A4141" s="83" t="s">
        <v>196</v>
      </c>
      <c r="B4141" s="83"/>
      <c r="C4141" s="16">
        <v>46290</v>
      </c>
      <c r="D4141" s="82">
        <v>22961.869999999966</v>
      </c>
    </row>
    <row r="4142" spans="1:4" x14ac:dyDescent="0.3">
      <c r="A4142" s="83" t="s">
        <v>197</v>
      </c>
      <c r="B4142" s="83"/>
      <c r="C4142" s="16">
        <v>46290</v>
      </c>
      <c r="D4142" s="82">
        <v>794.01</v>
      </c>
    </row>
    <row r="4143" spans="1:4" x14ac:dyDescent="0.3">
      <c r="A4143" s="83" t="s">
        <v>212</v>
      </c>
      <c r="B4143" s="83"/>
      <c r="C4143" s="16">
        <v>46290</v>
      </c>
      <c r="D4143" s="82">
        <v>5445.57</v>
      </c>
    </row>
    <row r="4144" spans="1:4" x14ac:dyDescent="0.3">
      <c r="A4144" s="83" t="s">
        <v>199</v>
      </c>
      <c r="B4144" s="83"/>
      <c r="C4144" s="16">
        <v>46290</v>
      </c>
      <c r="D4144" s="82">
        <v>236033.16999999998</v>
      </c>
    </row>
    <row r="4145" spans="1:4" x14ac:dyDescent="0.3">
      <c r="A4145" s="83" t="s">
        <v>216</v>
      </c>
      <c r="B4145" s="83"/>
      <c r="C4145" s="16">
        <v>46290</v>
      </c>
      <c r="D4145" s="82">
        <v>327985.82999999996</v>
      </c>
    </row>
    <row r="4146" spans="1:4" x14ac:dyDescent="0.3">
      <c r="A4146" s="83" t="s">
        <v>17</v>
      </c>
      <c r="B4146" s="83"/>
      <c r="C4146" s="16">
        <v>46291</v>
      </c>
      <c r="D4146" s="82">
        <v>1835826.1700000004</v>
      </c>
    </row>
    <row r="4147" spans="1:4" x14ac:dyDescent="0.3">
      <c r="A4147" s="83" t="s">
        <v>18</v>
      </c>
      <c r="B4147" s="83"/>
      <c r="C4147" s="16">
        <v>46291</v>
      </c>
      <c r="D4147" s="82">
        <v>100486.46000000017</v>
      </c>
    </row>
    <row r="4148" spans="1:4" x14ac:dyDescent="0.3">
      <c r="A4148" s="83" t="s">
        <v>19</v>
      </c>
      <c r="B4148" s="83"/>
      <c r="C4148" s="16">
        <v>46291</v>
      </c>
      <c r="D4148" s="82">
        <v>1669.89</v>
      </c>
    </row>
    <row r="4149" spans="1:4" x14ac:dyDescent="0.3">
      <c r="A4149" s="83" t="s">
        <v>20</v>
      </c>
      <c r="B4149" s="83"/>
      <c r="C4149" s="16">
        <v>46291</v>
      </c>
      <c r="D4149" s="82">
        <v>1313603.3599999999</v>
      </c>
    </row>
    <row r="4150" spans="1:4" x14ac:dyDescent="0.3">
      <c r="A4150" s="83" t="s">
        <v>21</v>
      </c>
      <c r="B4150" s="83"/>
      <c r="C4150" s="16">
        <v>46291</v>
      </c>
      <c r="D4150" s="82">
        <v>1350091.6599999997</v>
      </c>
    </row>
    <row r="4151" spans="1:4" x14ac:dyDescent="0.3">
      <c r="A4151" s="83" t="s">
        <v>22</v>
      </c>
      <c r="B4151" s="83"/>
      <c r="C4151" s="16">
        <v>46291</v>
      </c>
      <c r="D4151" s="82">
        <v>229778.14</v>
      </c>
    </row>
    <row r="4152" spans="1:4" x14ac:dyDescent="0.3">
      <c r="A4152" s="83" t="s">
        <v>23</v>
      </c>
      <c r="B4152" s="83"/>
      <c r="C4152" s="16">
        <v>46291</v>
      </c>
      <c r="D4152" s="82">
        <v>217688.58</v>
      </c>
    </row>
    <row r="4153" spans="1:4" x14ac:dyDescent="0.3">
      <c r="A4153" s="83" t="s">
        <v>24</v>
      </c>
      <c r="B4153" s="83"/>
      <c r="C4153" s="16">
        <v>46291</v>
      </c>
      <c r="D4153" s="82">
        <v>11744.75</v>
      </c>
    </row>
    <row r="4154" spans="1:4" x14ac:dyDescent="0.3">
      <c r="A4154" s="83" t="s">
        <v>25</v>
      </c>
      <c r="B4154" s="83"/>
      <c r="C4154" s="16">
        <v>46291</v>
      </c>
      <c r="D4154" s="82">
        <v>94.5</v>
      </c>
    </row>
    <row r="4155" spans="1:4" x14ac:dyDescent="0.3">
      <c r="A4155" s="83" t="s">
        <v>26</v>
      </c>
      <c r="B4155" s="83"/>
      <c r="C4155" s="16">
        <v>46291</v>
      </c>
      <c r="D4155" s="82">
        <v>2147.92</v>
      </c>
    </row>
    <row r="4156" spans="1:4" x14ac:dyDescent="0.3">
      <c r="A4156" s="83" t="s">
        <v>27</v>
      </c>
      <c r="B4156" s="83"/>
      <c r="C4156" s="16">
        <v>46291</v>
      </c>
      <c r="D4156" s="82">
        <v>17895.290000000015</v>
      </c>
    </row>
    <row r="4157" spans="1:4" x14ac:dyDescent="0.3">
      <c r="A4157" s="83" t="s">
        <v>28</v>
      </c>
      <c r="B4157" s="83"/>
      <c r="C4157" s="16">
        <v>46291</v>
      </c>
      <c r="D4157" s="82">
        <v>1968.99</v>
      </c>
    </row>
    <row r="4158" spans="1:4" x14ac:dyDescent="0.3">
      <c r="A4158" s="83" t="s">
        <v>29</v>
      </c>
      <c r="B4158" s="83"/>
      <c r="C4158" s="16">
        <v>46291</v>
      </c>
      <c r="D4158" s="82">
        <v>901.34</v>
      </c>
    </row>
    <row r="4159" spans="1:4" x14ac:dyDescent="0.3">
      <c r="A4159" s="83" t="s">
        <v>30</v>
      </c>
      <c r="B4159" s="83"/>
      <c r="C4159" s="16">
        <v>46291</v>
      </c>
      <c r="D4159" s="82">
        <v>1380.08</v>
      </c>
    </row>
    <row r="4160" spans="1:4" x14ac:dyDescent="0.3">
      <c r="A4160" s="83" t="s">
        <v>31</v>
      </c>
      <c r="B4160" s="83"/>
      <c r="C4160" s="16">
        <v>46291</v>
      </c>
      <c r="D4160" s="82">
        <v>28714.879999999961</v>
      </c>
    </row>
    <row r="4161" spans="1:4" x14ac:dyDescent="0.3">
      <c r="A4161" s="83" t="s">
        <v>32</v>
      </c>
      <c r="B4161" s="83"/>
      <c r="C4161" s="16">
        <v>46291</v>
      </c>
      <c r="D4161" s="82">
        <v>23389.690000000006</v>
      </c>
    </row>
    <row r="4162" spans="1:4" x14ac:dyDescent="0.3">
      <c r="A4162" s="83" t="s">
        <v>33</v>
      </c>
      <c r="B4162" s="83"/>
      <c r="C4162" s="16">
        <v>46291</v>
      </c>
      <c r="D4162" s="82">
        <v>16896.059999999998</v>
      </c>
    </row>
    <row r="4163" spans="1:4" x14ac:dyDescent="0.3">
      <c r="A4163" s="83" t="s">
        <v>34</v>
      </c>
      <c r="B4163" s="83"/>
      <c r="C4163" s="16">
        <v>46291</v>
      </c>
      <c r="D4163" s="82">
        <v>345</v>
      </c>
    </row>
    <row r="4164" spans="1:4" x14ac:dyDescent="0.3">
      <c r="A4164" s="83" t="s">
        <v>35</v>
      </c>
      <c r="B4164" s="83"/>
      <c r="C4164" s="16">
        <v>46291</v>
      </c>
      <c r="D4164" s="82">
        <v>12209.190000000002</v>
      </c>
    </row>
    <row r="4165" spans="1:4" x14ac:dyDescent="0.3">
      <c r="A4165" s="83" t="s">
        <v>193</v>
      </c>
      <c r="B4165" s="83"/>
      <c r="C4165" s="16">
        <v>46291</v>
      </c>
      <c r="D4165" s="82">
        <v>312314.37000000005</v>
      </c>
    </row>
    <row r="4166" spans="1:4" x14ac:dyDescent="0.3">
      <c r="A4166" s="83" t="s">
        <v>214</v>
      </c>
      <c r="B4166" s="83"/>
      <c r="C4166" s="16">
        <v>46291</v>
      </c>
      <c r="D4166" s="82">
        <v>103560.93000000001</v>
      </c>
    </row>
    <row r="4167" spans="1:4" x14ac:dyDescent="0.3">
      <c r="A4167" s="83" t="s">
        <v>194</v>
      </c>
      <c r="B4167" s="83"/>
      <c r="C4167" s="16">
        <v>46291</v>
      </c>
      <c r="D4167" s="82">
        <v>3631.96</v>
      </c>
    </row>
    <row r="4168" spans="1:4" x14ac:dyDescent="0.3">
      <c r="A4168" s="83" t="s">
        <v>195</v>
      </c>
      <c r="B4168" s="83"/>
      <c r="C4168" s="16">
        <v>46291</v>
      </c>
      <c r="D4168" s="82">
        <v>604.80000000000018</v>
      </c>
    </row>
    <row r="4169" spans="1:4" x14ac:dyDescent="0.3">
      <c r="A4169" s="83" t="s">
        <v>196</v>
      </c>
      <c r="B4169" s="83"/>
      <c r="C4169" s="16">
        <v>46291</v>
      </c>
      <c r="D4169" s="82">
        <v>22961.869999999966</v>
      </c>
    </row>
    <row r="4170" spans="1:4" x14ac:dyDescent="0.3">
      <c r="A4170" s="83" t="s">
        <v>197</v>
      </c>
      <c r="B4170" s="83"/>
      <c r="C4170" s="16">
        <v>46291</v>
      </c>
      <c r="D4170" s="82">
        <v>794.01</v>
      </c>
    </row>
    <row r="4171" spans="1:4" x14ac:dyDescent="0.3">
      <c r="A4171" s="83" t="s">
        <v>212</v>
      </c>
      <c r="B4171" s="83"/>
      <c r="C4171" s="16">
        <v>46291</v>
      </c>
      <c r="D4171" s="82">
        <v>5445.57</v>
      </c>
    </row>
    <row r="4172" spans="1:4" x14ac:dyDescent="0.3">
      <c r="A4172" s="83" t="s">
        <v>199</v>
      </c>
      <c r="B4172" s="83"/>
      <c r="C4172" s="16">
        <v>46291</v>
      </c>
      <c r="D4172" s="82">
        <v>236033.16999999998</v>
      </c>
    </row>
    <row r="4173" spans="1:4" x14ac:dyDescent="0.3">
      <c r="A4173" s="83" t="s">
        <v>216</v>
      </c>
      <c r="B4173" s="83"/>
      <c r="C4173" s="16">
        <v>46291</v>
      </c>
      <c r="D4173" s="82">
        <v>327985.82999999996</v>
      </c>
    </row>
    <row r="4174" spans="1:4" x14ac:dyDescent="0.3">
      <c r="A4174" s="83" t="s">
        <v>17</v>
      </c>
      <c r="B4174" s="83"/>
      <c r="C4174" s="16">
        <v>46292</v>
      </c>
      <c r="D4174" s="82">
        <v>1835826.1700000004</v>
      </c>
    </row>
    <row r="4175" spans="1:4" x14ac:dyDescent="0.3">
      <c r="A4175" s="83" t="s">
        <v>18</v>
      </c>
      <c r="B4175" s="83"/>
      <c r="C4175" s="16">
        <v>46292</v>
      </c>
      <c r="D4175" s="82">
        <v>100486.46000000017</v>
      </c>
    </row>
    <row r="4176" spans="1:4" x14ac:dyDescent="0.3">
      <c r="A4176" s="83" t="s">
        <v>19</v>
      </c>
      <c r="B4176" s="83"/>
      <c r="C4176" s="16">
        <v>46292</v>
      </c>
      <c r="D4176" s="82">
        <v>1669.89</v>
      </c>
    </row>
    <row r="4177" spans="1:4" x14ac:dyDescent="0.3">
      <c r="A4177" s="83" t="s">
        <v>20</v>
      </c>
      <c r="B4177" s="83"/>
      <c r="C4177" s="16">
        <v>46292</v>
      </c>
      <c r="D4177" s="82">
        <v>1313603.3599999999</v>
      </c>
    </row>
    <row r="4178" spans="1:4" x14ac:dyDescent="0.3">
      <c r="A4178" s="83" t="s">
        <v>21</v>
      </c>
      <c r="B4178" s="83"/>
      <c r="C4178" s="16">
        <v>46292</v>
      </c>
      <c r="D4178" s="82">
        <v>1350091.6599999997</v>
      </c>
    </row>
    <row r="4179" spans="1:4" x14ac:dyDescent="0.3">
      <c r="A4179" s="83" t="s">
        <v>22</v>
      </c>
      <c r="B4179" s="83"/>
      <c r="C4179" s="16">
        <v>46292</v>
      </c>
      <c r="D4179" s="82">
        <v>229778.14</v>
      </c>
    </row>
    <row r="4180" spans="1:4" x14ac:dyDescent="0.3">
      <c r="A4180" s="83" t="s">
        <v>23</v>
      </c>
      <c r="B4180" s="83"/>
      <c r="C4180" s="16">
        <v>46292</v>
      </c>
      <c r="D4180" s="82">
        <v>217688.58</v>
      </c>
    </row>
    <row r="4181" spans="1:4" x14ac:dyDescent="0.3">
      <c r="A4181" s="83" t="s">
        <v>24</v>
      </c>
      <c r="B4181" s="83"/>
      <c r="C4181" s="16">
        <v>46292</v>
      </c>
      <c r="D4181" s="82">
        <v>11744.75</v>
      </c>
    </row>
    <row r="4182" spans="1:4" x14ac:dyDescent="0.3">
      <c r="A4182" s="83" t="s">
        <v>25</v>
      </c>
      <c r="B4182" s="83"/>
      <c r="C4182" s="16">
        <v>46292</v>
      </c>
      <c r="D4182" s="82">
        <v>94.5</v>
      </c>
    </row>
    <row r="4183" spans="1:4" x14ac:dyDescent="0.3">
      <c r="A4183" s="83" t="s">
        <v>26</v>
      </c>
      <c r="B4183" s="83"/>
      <c r="C4183" s="16">
        <v>46292</v>
      </c>
      <c r="D4183" s="82">
        <v>2147.92</v>
      </c>
    </row>
    <row r="4184" spans="1:4" x14ac:dyDescent="0.3">
      <c r="A4184" s="83" t="s">
        <v>27</v>
      </c>
      <c r="B4184" s="83"/>
      <c r="C4184" s="16">
        <v>46292</v>
      </c>
      <c r="D4184" s="82">
        <v>17895.290000000015</v>
      </c>
    </row>
    <row r="4185" spans="1:4" x14ac:dyDescent="0.3">
      <c r="A4185" s="83" t="s">
        <v>28</v>
      </c>
      <c r="B4185" s="83"/>
      <c r="C4185" s="16">
        <v>46292</v>
      </c>
      <c r="D4185" s="82">
        <v>1968.99</v>
      </c>
    </row>
    <row r="4186" spans="1:4" x14ac:dyDescent="0.3">
      <c r="A4186" s="83" t="s">
        <v>29</v>
      </c>
      <c r="B4186" s="83"/>
      <c r="C4186" s="16">
        <v>46292</v>
      </c>
      <c r="D4186" s="82">
        <v>901.34</v>
      </c>
    </row>
    <row r="4187" spans="1:4" x14ac:dyDescent="0.3">
      <c r="A4187" s="83" t="s">
        <v>30</v>
      </c>
      <c r="B4187" s="83"/>
      <c r="C4187" s="16">
        <v>46292</v>
      </c>
      <c r="D4187" s="82">
        <v>1380.08</v>
      </c>
    </row>
    <row r="4188" spans="1:4" x14ac:dyDescent="0.3">
      <c r="A4188" s="83" t="s">
        <v>31</v>
      </c>
      <c r="B4188" s="83"/>
      <c r="C4188" s="16">
        <v>46292</v>
      </c>
      <c r="D4188" s="82">
        <v>28714.879999999961</v>
      </c>
    </row>
    <row r="4189" spans="1:4" x14ac:dyDescent="0.3">
      <c r="A4189" s="83" t="s">
        <v>32</v>
      </c>
      <c r="B4189" s="83"/>
      <c r="C4189" s="16">
        <v>46292</v>
      </c>
      <c r="D4189" s="82">
        <v>23389.690000000006</v>
      </c>
    </row>
    <row r="4190" spans="1:4" x14ac:dyDescent="0.3">
      <c r="A4190" s="83" t="s">
        <v>33</v>
      </c>
      <c r="B4190" s="83"/>
      <c r="C4190" s="16">
        <v>46292</v>
      </c>
      <c r="D4190" s="82">
        <v>16896.059999999998</v>
      </c>
    </row>
    <row r="4191" spans="1:4" x14ac:dyDescent="0.3">
      <c r="A4191" s="83" t="s">
        <v>34</v>
      </c>
      <c r="B4191" s="83"/>
      <c r="C4191" s="16">
        <v>46292</v>
      </c>
      <c r="D4191" s="82">
        <v>345</v>
      </c>
    </row>
    <row r="4192" spans="1:4" x14ac:dyDescent="0.3">
      <c r="A4192" s="83" t="s">
        <v>35</v>
      </c>
      <c r="B4192" s="83"/>
      <c r="C4192" s="16">
        <v>46292</v>
      </c>
      <c r="D4192" s="82">
        <v>12209.190000000002</v>
      </c>
    </row>
    <row r="4193" spans="1:4" x14ac:dyDescent="0.3">
      <c r="A4193" s="83" t="s">
        <v>193</v>
      </c>
      <c r="B4193" s="83"/>
      <c r="C4193" s="16">
        <v>46292</v>
      </c>
      <c r="D4193" s="82">
        <v>312314.37000000005</v>
      </c>
    </row>
    <row r="4194" spans="1:4" x14ac:dyDescent="0.3">
      <c r="A4194" s="83" t="s">
        <v>214</v>
      </c>
      <c r="B4194" s="83"/>
      <c r="C4194" s="16">
        <v>46292</v>
      </c>
      <c r="D4194" s="82">
        <v>103560.93000000001</v>
      </c>
    </row>
    <row r="4195" spans="1:4" x14ac:dyDescent="0.3">
      <c r="A4195" s="83" t="s">
        <v>194</v>
      </c>
      <c r="B4195" s="83"/>
      <c r="C4195" s="16">
        <v>46292</v>
      </c>
      <c r="D4195" s="82">
        <v>3631.96</v>
      </c>
    </row>
    <row r="4196" spans="1:4" x14ac:dyDescent="0.3">
      <c r="A4196" s="83" t="s">
        <v>195</v>
      </c>
      <c r="B4196" s="83"/>
      <c r="C4196" s="16">
        <v>46292</v>
      </c>
      <c r="D4196" s="82">
        <v>604.80000000000018</v>
      </c>
    </row>
    <row r="4197" spans="1:4" x14ac:dyDescent="0.3">
      <c r="A4197" s="83" t="s">
        <v>196</v>
      </c>
      <c r="B4197" s="83"/>
      <c r="C4197" s="16">
        <v>46292</v>
      </c>
      <c r="D4197" s="82">
        <v>22961.869999999966</v>
      </c>
    </row>
    <row r="4198" spans="1:4" x14ac:dyDescent="0.3">
      <c r="A4198" s="83" t="s">
        <v>197</v>
      </c>
      <c r="B4198" s="83"/>
      <c r="C4198" s="16">
        <v>46292</v>
      </c>
      <c r="D4198" s="82">
        <v>794.01</v>
      </c>
    </row>
    <row r="4199" spans="1:4" x14ac:dyDescent="0.3">
      <c r="A4199" s="83" t="s">
        <v>212</v>
      </c>
      <c r="B4199" s="83"/>
      <c r="C4199" s="16">
        <v>46292</v>
      </c>
      <c r="D4199" s="82">
        <v>5445.57</v>
      </c>
    </row>
    <row r="4200" spans="1:4" x14ac:dyDescent="0.3">
      <c r="A4200" s="83" t="s">
        <v>199</v>
      </c>
      <c r="B4200" s="83"/>
      <c r="C4200" s="16">
        <v>46292</v>
      </c>
      <c r="D4200" s="82">
        <v>236033.16999999998</v>
      </c>
    </row>
    <row r="4201" spans="1:4" x14ac:dyDescent="0.3">
      <c r="A4201" s="83" t="s">
        <v>216</v>
      </c>
      <c r="B4201" s="83"/>
      <c r="C4201" s="16">
        <v>46292</v>
      </c>
      <c r="D4201" s="82">
        <v>327985.82999999996</v>
      </c>
    </row>
    <row r="4202" spans="1:4" x14ac:dyDescent="0.3">
      <c r="A4202" s="83" t="s">
        <v>17</v>
      </c>
      <c r="B4202" s="83"/>
      <c r="C4202" s="16">
        <v>46293</v>
      </c>
      <c r="D4202" s="82">
        <v>1843622.6700000004</v>
      </c>
    </row>
    <row r="4203" spans="1:4" x14ac:dyDescent="0.3">
      <c r="A4203" s="83" t="s">
        <v>18</v>
      </c>
      <c r="B4203" s="83"/>
      <c r="C4203" s="16">
        <v>46293</v>
      </c>
      <c r="D4203" s="82">
        <v>100486.46000000017</v>
      </c>
    </row>
    <row r="4204" spans="1:4" x14ac:dyDescent="0.3">
      <c r="A4204" s="83" t="s">
        <v>19</v>
      </c>
      <c r="B4204" s="83"/>
      <c r="C4204" s="16">
        <v>46293</v>
      </c>
      <c r="D4204" s="82">
        <v>1669.89</v>
      </c>
    </row>
    <row r="4205" spans="1:4" x14ac:dyDescent="0.3">
      <c r="A4205" s="83" t="s">
        <v>20</v>
      </c>
      <c r="B4205" s="83"/>
      <c r="C4205" s="16">
        <v>46293</v>
      </c>
      <c r="D4205" s="82">
        <v>1330582.2599999998</v>
      </c>
    </row>
    <row r="4206" spans="1:4" x14ac:dyDescent="0.3">
      <c r="A4206" s="83" t="s">
        <v>21</v>
      </c>
      <c r="B4206" s="83"/>
      <c r="C4206" s="16">
        <v>46293</v>
      </c>
      <c r="D4206" s="82">
        <v>1350091.6599999997</v>
      </c>
    </row>
    <row r="4207" spans="1:4" x14ac:dyDescent="0.3">
      <c r="A4207" s="83" t="s">
        <v>22</v>
      </c>
      <c r="B4207" s="83"/>
      <c r="C4207" s="16">
        <v>46293</v>
      </c>
      <c r="D4207" s="82">
        <v>229778.14</v>
      </c>
    </row>
    <row r="4208" spans="1:4" x14ac:dyDescent="0.3">
      <c r="A4208" s="83" t="s">
        <v>23</v>
      </c>
      <c r="B4208" s="83"/>
      <c r="C4208" s="16">
        <v>46293</v>
      </c>
      <c r="D4208" s="82">
        <v>217688.58</v>
      </c>
    </row>
    <row r="4209" spans="1:4" x14ac:dyDescent="0.3">
      <c r="A4209" s="83" t="s">
        <v>24</v>
      </c>
      <c r="B4209" s="83"/>
      <c r="C4209" s="16">
        <v>46293</v>
      </c>
      <c r="D4209" s="82">
        <v>11744.75</v>
      </c>
    </row>
    <row r="4210" spans="1:4" x14ac:dyDescent="0.3">
      <c r="A4210" s="83" t="s">
        <v>25</v>
      </c>
      <c r="B4210" s="83"/>
      <c r="C4210" s="16">
        <v>46293</v>
      </c>
      <c r="D4210" s="82">
        <v>94.5</v>
      </c>
    </row>
    <row r="4211" spans="1:4" x14ac:dyDescent="0.3">
      <c r="A4211" s="83" t="s">
        <v>26</v>
      </c>
      <c r="B4211" s="83"/>
      <c r="C4211" s="16">
        <v>46293</v>
      </c>
      <c r="D4211" s="82">
        <v>2147.92</v>
      </c>
    </row>
    <row r="4212" spans="1:4" x14ac:dyDescent="0.3">
      <c r="A4212" s="83" t="s">
        <v>27</v>
      </c>
      <c r="B4212" s="83"/>
      <c r="C4212" s="16">
        <v>46293</v>
      </c>
      <c r="D4212" s="82">
        <v>17895.290000000015</v>
      </c>
    </row>
    <row r="4213" spans="1:4" x14ac:dyDescent="0.3">
      <c r="A4213" s="83" t="s">
        <v>28</v>
      </c>
      <c r="B4213" s="83"/>
      <c r="C4213" s="16">
        <v>46293</v>
      </c>
      <c r="D4213" s="82">
        <v>1968.99</v>
      </c>
    </row>
    <row r="4214" spans="1:4" x14ac:dyDescent="0.3">
      <c r="A4214" s="83" t="s">
        <v>29</v>
      </c>
      <c r="B4214" s="83"/>
      <c r="C4214" s="16">
        <v>46293</v>
      </c>
      <c r="D4214" s="82">
        <v>901.34</v>
      </c>
    </row>
    <row r="4215" spans="1:4" x14ac:dyDescent="0.3">
      <c r="A4215" s="83" t="s">
        <v>30</v>
      </c>
      <c r="B4215" s="83"/>
      <c r="C4215" s="16">
        <v>46293</v>
      </c>
      <c r="D4215" s="82">
        <v>1380.08</v>
      </c>
    </row>
    <row r="4216" spans="1:4" x14ac:dyDescent="0.3">
      <c r="A4216" s="83" t="s">
        <v>31</v>
      </c>
      <c r="B4216" s="83"/>
      <c r="C4216" s="16">
        <v>46293</v>
      </c>
      <c r="D4216" s="82">
        <v>28714.879999999961</v>
      </c>
    </row>
    <row r="4217" spans="1:4" x14ac:dyDescent="0.3">
      <c r="A4217" s="83" t="s">
        <v>32</v>
      </c>
      <c r="B4217" s="83"/>
      <c r="C4217" s="16">
        <v>46293</v>
      </c>
      <c r="D4217" s="82">
        <v>23374.690000000006</v>
      </c>
    </row>
    <row r="4218" spans="1:4" x14ac:dyDescent="0.3">
      <c r="A4218" s="83" t="s">
        <v>33</v>
      </c>
      <c r="B4218" s="83"/>
      <c r="C4218" s="16">
        <v>46293</v>
      </c>
      <c r="D4218" s="82">
        <v>16266.809999999998</v>
      </c>
    </row>
    <row r="4219" spans="1:4" x14ac:dyDescent="0.3">
      <c r="A4219" s="83" t="s">
        <v>34</v>
      </c>
      <c r="B4219" s="83"/>
      <c r="C4219" s="16">
        <v>46293</v>
      </c>
      <c r="D4219" s="82">
        <v>345</v>
      </c>
    </row>
    <row r="4220" spans="1:4" x14ac:dyDescent="0.3">
      <c r="A4220" s="83" t="s">
        <v>35</v>
      </c>
      <c r="B4220" s="83"/>
      <c r="C4220" s="16">
        <v>46293</v>
      </c>
      <c r="D4220" s="82">
        <v>12209.190000000002</v>
      </c>
    </row>
    <row r="4221" spans="1:4" x14ac:dyDescent="0.3">
      <c r="A4221" s="83" t="s">
        <v>193</v>
      </c>
      <c r="B4221" s="83"/>
      <c r="C4221" s="16">
        <v>46293</v>
      </c>
      <c r="D4221" s="82">
        <v>312314.37000000005</v>
      </c>
    </row>
    <row r="4222" spans="1:4" x14ac:dyDescent="0.3">
      <c r="A4222" s="83" t="s">
        <v>214</v>
      </c>
      <c r="B4222" s="83"/>
      <c r="C4222" s="16">
        <v>46293</v>
      </c>
      <c r="D4222" s="82">
        <v>103560.93000000001</v>
      </c>
    </row>
    <row r="4223" spans="1:4" x14ac:dyDescent="0.3">
      <c r="A4223" s="83" t="s">
        <v>194</v>
      </c>
      <c r="B4223" s="83"/>
      <c r="C4223" s="16">
        <v>46293</v>
      </c>
      <c r="D4223" s="82">
        <v>3631.96</v>
      </c>
    </row>
    <row r="4224" spans="1:4" x14ac:dyDescent="0.3">
      <c r="A4224" s="83" t="s">
        <v>195</v>
      </c>
      <c r="B4224" s="83"/>
      <c r="C4224" s="16">
        <v>46293</v>
      </c>
      <c r="D4224" s="82">
        <v>604.80000000000018</v>
      </c>
    </row>
    <row r="4225" spans="1:4" x14ac:dyDescent="0.3">
      <c r="A4225" s="83" t="s">
        <v>196</v>
      </c>
      <c r="B4225" s="83"/>
      <c r="C4225" s="16">
        <v>46293</v>
      </c>
      <c r="D4225" s="82">
        <v>22456.779999999955</v>
      </c>
    </row>
    <row r="4226" spans="1:4" x14ac:dyDescent="0.3">
      <c r="A4226" s="83" t="s">
        <v>197</v>
      </c>
      <c r="B4226" s="83"/>
      <c r="C4226" s="16">
        <v>46293</v>
      </c>
      <c r="D4226" s="82">
        <v>794.01</v>
      </c>
    </row>
    <row r="4227" spans="1:4" x14ac:dyDescent="0.3">
      <c r="A4227" s="83" t="s">
        <v>212</v>
      </c>
      <c r="B4227" s="83"/>
      <c r="C4227" s="16">
        <v>46293</v>
      </c>
      <c r="D4227" s="82">
        <v>5445.57</v>
      </c>
    </row>
    <row r="4228" spans="1:4" x14ac:dyDescent="0.3">
      <c r="A4228" s="83" t="s">
        <v>199</v>
      </c>
      <c r="B4228" s="83"/>
      <c r="C4228" s="16">
        <v>46293</v>
      </c>
      <c r="D4228" s="82">
        <v>237883.16999999998</v>
      </c>
    </row>
    <row r="4229" spans="1:4" x14ac:dyDescent="0.3">
      <c r="A4229" s="83" t="s">
        <v>216</v>
      </c>
      <c r="B4229" s="83"/>
      <c r="C4229" s="16">
        <v>46293</v>
      </c>
      <c r="D4229" s="82">
        <v>327985.82999999996</v>
      </c>
    </row>
    <row r="4230" spans="1:4" x14ac:dyDescent="0.3">
      <c r="A4230" s="83" t="s">
        <v>17</v>
      </c>
      <c r="B4230" s="83"/>
      <c r="C4230" s="16">
        <v>46294</v>
      </c>
      <c r="D4230" s="82">
        <v>1840829.6400000004</v>
      </c>
    </row>
    <row r="4231" spans="1:4" x14ac:dyDescent="0.3">
      <c r="A4231" s="83" t="s">
        <v>18</v>
      </c>
      <c r="B4231" s="83"/>
      <c r="C4231" s="16">
        <v>46294</v>
      </c>
      <c r="D4231" s="82">
        <v>100486.46000000017</v>
      </c>
    </row>
    <row r="4232" spans="1:4" x14ac:dyDescent="0.3">
      <c r="A4232" s="83" t="s">
        <v>19</v>
      </c>
      <c r="B4232" s="83"/>
      <c r="C4232" s="16">
        <v>46294</v>
      </c>
      <c r="D4232" s="82">
        <v>1669.89</v>
      </c>
    </row>
    <row r="4233" spans="1:4" x14ac:dyDescent="0.3">
      <c r="A4233" s="83" t="s">
        <v>20</v>
      </c>
      <c r="B4233" s="83"/>
      <c r="C4233" s="16">
        <v>46294</v>
      </c>
      <c r="D4233" s="82">
        <v>1330582.2599999998</v>
      </c>
    </row>
    <row r="4234" spans="1:4" x14ac:dyDescent="0.3">
      <c r="A4234" s="83" t="s">
        <v>21</v>
      </c>
      <c r="B4234" s="83"/>
      <c r="C4234" s="16">
        <v>46294</v>
      </c>
      <c r="D4234" s="82">
        <v>1180932.1499999997</v>
      </c>
    </row>
    <row r="4235" spans="1:4" x14ac:dyDescent="0.3">
      <c r="A4235" s="83" t="s">
        <v>22</v>
      </c>
      <c r="B4235" s="83"/>
      <c r="C4235" s="16">
        <v>46294</v>
      </c>
      <c r="D4235" s="82">
        <v>229778.14</v>
      </c>
    </row>
    <row r="4236" spans="1:4" x14ac:dyDescent="0.3">
      <c r="A4236" s="83" t="s">
        <v>23</v>
      </c>
      <c r="B4236" s="83"/>
      <c r="C4236" s="16">
        <v>46294</v>
      </c>
      <c r="D4236" s="82">
        <v>217688.58</v>
      </c>
    </row>
    <row r="4237" spans="1:4" x14ac:dyDescent="0.3">
      <c r="A4237" s="83" t="s">
        <v>24</v>
      </c>
      <c r="B4237" s="83"/>
      <c r="C4237" s="16">
        <v>46294</v>
      </c>
      <c r="D4237" s="82">
        <v>10474.32</v>
      </c>
    </row>
    <row r="4238" spans="1:4" x14ac:dyDescent="0.3">
      <c r="A4238" s="83" t="s">
        <v>25</v>
      </c>
      <c r="B4238" s="83"/>
      <c r="C4238" s="16">
        <v>46294</v>
      </c>
      <c r="D4238" s="82">
        <v>94.5</v>
      </c>
    </row>
    <row r="4239" spans="1:4" x14ac:dyDescent="0.3">
      <c r="A4239" s="83" t="s">
        <v>26</v>
      </c>
      <c r="B4239" s="83"/>
      <c r="C4239" s="16">
        <v>46294</v>
      </c>
      <c r="D4239" s="82">
        <v>2147.92</v>
      </c>
    </row>
    <row r="4240" spans="1:4" x14ac:dyDescent="0.3">
      <c r="A4240" s="83" t="s">
        <v>27</v>
      </c>
      <c r="B4240" s="83"/>
      <c r="C4240" s="16">
        <v>46294</v>
      </c>
      <c r="D4240" s="82">
        <v>17895.290000000015</v>
      </c>
    </row>
    <row r="4241" spans="1:4" x14ac:dyDescent="0.3">
      <c r="A4241" s="83" t="s">
        <v>28</v>
      </c>
      <c r="B4241" s="83"/>
      <c r="C4241" s="16">
        <v>46294</v>
      </c>
      <c r="D4241" s="82">
        <v>1968.99</v>
      </c>
    </row>
    <row r="4242" spans="1:4" x14ac:dyDescent="0.3">
      <c r="A4242" s="83" t="s">
        <v>29</v>
      </c>
      <c r="B4242" s="83"/>
      <c r="C4242" s="16">
        <v>46294</v>
      </c>
      <c r="D4242" s="82">
        <v>901.34</v>
      </c>
    </row>
    <row r="4243" spans="1:4" x14ac:dyDescent="0.3">
      <c r="A4243" s="83" t="s">
        <v>30</v>
      </c>
      <c r="B4243" s="83"/>
      <c r="C4243" s="16">
        <v>46294</v>
      </c>
      <c r="D4243" s="82">
        <v>1380.08</v>
      </c>
    </row>
    <row r="4244" spans="1:4" x14ac:dyDescent="0.3">
      <c r="A4244" s="83" t="s">
        <v>31</v>
      </c>
      <c r="B4244" s="83"/>
      <c r="C4244" s="16">
        <v>46294</v>
      </c>
      <c r="D4244" s="82">
        <v>28714.879999999961</v>
      </c>
    </row>
    <row r="4245" spans="1:4" x14ac:dyDescent="0.3">
      <c r="A4245" s="83" t="s">
        <v>32</v>
      </c>
      <c r="B4245" s="83"/>
      <c r="C4245" s="16">
        <v>46294</v>
      </c>
      <c r="D4245" s="82">
        <v>23374.690000000006</v>
      </c>
    </row>
    <row r="4246" spans="1:4" x14ac:dyDescent="0.3">
      <c r="A4246" s="83" t="s">
        <v>33</v>
      </c>
      <c r="B4246" s="83"/>
      <c r="C4246" s="16">
        <v>46294</v>
      </c>
      <c r="D4246" s="82">
        <v>19266.809999999998</v>
      </c>
    </row>
    <row r="4247" spans="1:4" x14ac:dyDescent="0.3">
      <c r="A4247" s="83" t="s">
        <v>34</v>
      </c>
      <c r="B4247" s="83"/>
      <c r="C4247" s="16">
        <v>46294</v>
      </c>
      <c r="D4247" s="82">
        <v>345</v>
      </c>
    </row>
    <row r="4248" spans="1:4" x14ac:dyDescent="0.3">
      <c r="A4248" s="83" t="s">
        <v>35</v>
      </c>
      <c r="B4248" s="83"/>
      <c r="C4248" s="16">
        <v>46294</v>
      </c>
      <c r="D4248" s="82">
        <v>12209.190000000002</v>
      </c>
    </row>
    <row r="4249" spans="1:4" x14ac:dyDescent="0.3">
      <c r="A4249" s="83" t="s">
        <v>193</v>
      </c>
      <c r="B4249" s="83"/>
      <c r="C4249" s="16">
        <v>46294</v>
      </c>
      <c r="D4249" s="82">
        <v>312314.37000000005</v>
      </c>
    </row>
    <row r="4250" spans="1:4" x14ac:dyDescent="0.3">
      <c r="A4250" s="83" t="s">
        <v>214</v>
      </c>
      <c r="B4250" s="83"/>
      <c r="C4250" s="16">
        <v>46294</v>
      </c>
      <c r="D4250" s="82">
        <v>102394.01000000001</v>
      </c>
    </row>
    <row r="4251" spans="1:4" x14ac:dyDescent="0.3">
      <c r="A4251" s="83" t="s">
        <v>194</v>
      </c>
      <c r="B4251" s="83"/>
      <c r="C4251" s="16">
        <v>46294</v>
      </c>
      <c r="D4251" s="82">
        <v>3631.96</v>
      </c>
    </row>
    <row r="4252" spans="1:4" x14ac:dyDescent="0.3">
      <c r="A4252" s="83" t="s">
        <v>195</v>
      </c>
      <c r="B4252" s="83"/>
      <c r="C4252" s="16">
        <v>46294</v>
      </c>
      <c r="D4252" s="82">
        <v>604.80000000000018</v>
      </c>
    </row>
    <row r="4253" spans="1:4" x14ac:dyDescent="0.3">
      <c r="A4253" s="83" t="s">
        <v>196</v>
      </c>
      <c r="B4253" s="83"/>
      <c r="C4253" s="16">
        <v>46294</v>
      </c>
      <c r="D4253" s="82">
        <v>22456.779999999955</v>
      </c>
    </row>
    <row r="4254" spans="1:4" x14ac:dyDescent="0.3">
      <c r="A4254" s="83" t="s">
        <v>197</v>
      </c>
      <c r="B4254" s="83"/>
      <c r="C4254" s="16">
        <v>46294</v>
      </c>
      <c r="D4254" s="82">
        <v>794.01</v>
      </c>
    </row>
    <row r="4255" spans="1:4" x14ac:dyDescent="0.3">
      <c r="A4255" s="83" t="s">
        <v>212</v>
      </c>
      <c r="B4255" s="83"/>
      <c r="C4255" s="16">
        <v>46294</v>
      </c>
      <c r="D4255" s="82">
        <v>5445.57</v>
      </c>
    </row>
    <row r="4256" spans="1:4" x14ac:dyDescent="0.3">
      <c r="A4256" s="83" t="s">
        <v>199</v>
      </c>
      <c r="B4256" s="83"/>
      <c r="C4256" s="16">
        <v>46294</v>
      </c>
      <c r="D4256" s="82">
        <v>239523.16999999998</v>
      </c>
    </row>
    <row r="4257" spans="1:4" x14ac:dyDescent="0.3">
      <c r="A4257" s="83" t="s">
        <v>216</v>
      </c>
      <c r="B4257" s="83"/>
      <c r="C4257" s="16">
        <v>46294</v>
      </c>
      <c r="D4257" s="82">
        <v>327985.82999999996</v>
      </c>
    </row>
    <row r="4258" spans="1:4" x14ac:dyDescent="0.3">
      <c r="A4258" s="83" t="s">
        <v>17</v>
      </c>
      <c r="B4258" s="83"/>
      <c r="C4258" s="16">
        <v>46295</v>
      </c>
      <c r="D4258" s="82">
        <v>1926823.6500000004</v>
      </c>
    </row>
    <row r="4259" spans="1:4" x14ac:dyDescent="0.3">
      <c r="A4259" s="83" t="s">
        <v>18</v>
      </c>
      <c r="B4259" s="83"/>
      <c r="C4259" s="16">
        <v>46295</v>
      </c>
      <c r="D4259" s="82">
        <v>103123.59000000017</v>
      </c>
    </row>
    <row r="4260" spans="1:4" x14ac:dyDescent="0.3">
      <c r="A4260" s="83" t="s">
        <v>19</v>
      </c>
      <c r="B4260" s="83"/>
      <c r="C4260" s="16">
        <v>46295</v>
      </c>
      <c r="D4260" s="82">
        <v>1669.89</v>
      </c>
    </row>
    <row r="4261" spans="1:4" x14ac:dyDescent="0.3">
      <c r="A4261" s="83" t="s">
        <v>20</v>
      </c>
      <c r="B4261" s="83"/>
      <c r="C4261" s="16">
        <v>46295</v>
      </c>
      <c r="D4261" s="82">
        <v>1355779.1799999997</v>
      </c>
    </row>
    <row r="4262" spans="1:4" x14ac:dyDescent="0.3">
      <c r="A4262" s="83" t="s">
        <v>21</v>
      </c>
      <c r="B4262" s="83"/>
      <c r="C4262" s="16">
        <v>46295</v>
      </c>
      <c r="D4262" s="82">
        <v>1111163.6899999995</v>
      </c>
    </row>
    <row r="4263" spans="1:4" x14ac:dyDescent="0.3">
      <c r="A4263" s="83" t="s">
        <v>22</v>
      </c>
      <c r="B4263" s="83"/>
      <c r="C4263" s="16">
        <v>46295</v>
      </c>
      <c r="D4263" s="82">
        <v>229778.14</v>
      </c>
    </row>
    <row r="4264" spans="1:4" x14ac:dyDescent="0.3">
      <c r="A4264" s="83" t="s">
        <v>23</v>
      </c>
      <c r="B4264" s="83"/>
      <c r="C4264" s="16">
        <v>46295</v>
      </c>
      <c r="D4264" s="82">
        <v>80533.579999999987</v>
      </c>
    </row>
    <row r="4265" spans="1:4" x14ac:dyDescent="0.3">
      <c r="A4265" s="83" t="s">
        <v>24</v>
      </c>
      <c r="B4265" s="83"/>
      <c r="C4265" s="16">
        <v>46295</v>
      </c>
      <c r="D4265" s="82">
        <v>10259.18</v>
      </c>
    </row>
    <row r="4266" spans="1:4" x14ac:dyDescent="0.3">
      <c r="A4266" s="83" t="s">
        <v>25</v>
      </c>
      <c r="B4266" s="83"/>
      <c r="C4266" s="16">
        <v>46295</v>
      </c>
      <c r="D4266" s="82">
        <v>94.5</v>
      </c>
    </row>
    <row r="4267" spans="1:4" x14ac:dyDescent="0.3">
      <c r="A4267" s="83" t="s">
        <v>26</v>
      </c>
      <c r="B4267" s="83"/>
      <c r="C4267" s="16">
        <v>46295</v>
      </c>
      <c r="D4267" s="82">
        <v>2147.92</v>
      </c>
    </row>
    <row r="4268" spans="1:4" x14ac:dyDescent="0.3">
      <c r="A4268" s="83" t="s">
        <v>27</v>
      </c>
      <c r="B4268" s="83"/>
      <c r="C4268" s="16">
        <v>46295</v>
      </c>
      <c r="D4268" s="82">
        <v>17895.290000000015</v>
      </c>
    </row>
    <row r="4269" spans="1:4" x14ac:dyDescent="0.3">
      <c r="A4269" s="83" t="s">
        <v>28</v>
      </c>
      <c r="B4269" s="83"/>
      <c r="C4269" s="16">
        <v>46295</v>
      </c>
      <c r="D4269" s="82">
        <v>1968.99</v>
      </c>
    </row>
    <row r="4270" spans="1:4" x14ac:dyDescent="0.3">
      <c r="A4270" s="83" t="s">
        <v>29</v>
      </c>
      <c r="B4270" s="83"/>
      <c r="C4270" s="16">
        <v>46295</v>
      </c>
      <c r="D4270" s="82">
        <v>901.34</v>
      </c>
    </row>
    <row r="4271" spans="1:4" x14ac:dyDescent="0.3">
      <c r="A4271" s="83" t="s">
        <v>30</v>
      </c>
      <c r="B4271" s="83"/>
      <c r="C4271" s="16">
        <v>46295</v>
      </c>
      <c r="D4271" s="82">
        <v>1380.08</v>
      </c>
    </row>
    <row r="4272" spans="1:4" x14ac:dyDescent="0.3">
      <c r="A4272" s="83" t="s">
        <v>31</v>
      </c>
      <c r="B4272" s="83"/>
      <c r="C4272" s="16">
        <v>46295</v>
      </c>
      <c r="D4272" s="82">
        <v>28714.879999999961</v>
      </c>
    </row>
    <row r="4273" spans="1:4" x14ac:dyDescent="0.3">
      <c r="A4273" s="83" t="s">
        <v>32</v>
      </c>
      <c r="B4273" s="83"/>
      <c r="C4273" s="16">
        <v>46295</v>
      </c>
      <c r="D4273" s="82">
        <v>23374.690000000006</v>
      </c>
    </row>
    <row r="4274" spans="1:4" x14ac:dyDescent="0.3">
      <c r="A4274" s="83" t="s">
        <v>33</v>
      </c>
      <c r="B4274" s="83"/>
      <c r="C4274" s="16">
        <v>46295</v>
      </c>
      <c r="D4274" s="82">
        <v>19266.809999999998</v>
      </c>
    </row>
    <row r="4275" spans="1:4" x14ac:dyDescent="0.3">
      <c r="A4275" s="83" t="s">
        <v>34</v>
      </c>
      <c r="B4275" s="83"/>
      <c r="C4275" s="16">
        <v>46295</v>
      </c>
      <c r="D4275" s="82">
        <v>345</v>
      </c>
    </row>
    <row r="4276" spans="1:4" x14ac:dyDescent="0.3">
      <c r="A4276" s="83" t="s">
        <v>35</v>
      </c>
      <c r="B4276" s="83"/>
      <c r="C4276" s="16">
        <v>46295</v>
      </c>
      <c r="D4276" s="82">
        <v>12209.190000000002</v>
      </c>
    </row>
    <row r="4277" spans="1:4" x14ac:dyDescent="0.3">
      <c r="A4277" s="83" t="s">
        <v>193</v>
      </c>
      <c r="B4277" s="83"/>
      <c r="C4277" s="16">
        <v>46295</v>
      </c>
      <c r="D4277" s="82">
        <v>313178.98000000004</v>
      </c>
    </row>
    <row r="4278" spans="1:4" x14ac:dyDescent="0.3">
      <c r="A4278" s="83" t="s">
        <v>214</v>
      </c>
      <c r="B4278" s="83"/>
      <c r="C4278" s="16">
        <v>46295</v>
      </c>
      <c r="D4278" s="82">
        <v>102344.01000000001</v>
      </c>
    </row>
    <row r="4279" spans="1:4" x14ac:dyDescent="0.3">
      <c r="A4279" s="83" t="s">
        <v>194</v>
      </c>
      <c r="B4279" s="83"/>
      <c r="C4279" s="16">
        <v>46295</v>
      </c>
      <c r="D4279" s="82">
        <v>3631.96</v>
      </c>
    </row>
    <row r="4280" spans="1:4" x14ac:dyDescent="0.3">
      <c r="A4280" s="83" t="s">
        <v>195</v>
      </c>
      <c r="B4280" s="83"/>
      <c r="C4280" s="16">
        <v>46295</v>
      </c>
      <c r="D4280" s="82">
        <v>604.80000000000018</v>
      </c>
    </row>
    <row r="4281" spans="1:4" x14ac:dyDescent="0.3">
      <c r="A4281" s="83" t="s">
        <v>196</v>
      </c>
      <c r="B4281" s="83"/>
      <c r="C4281" s="16">
        <v>46295</v>
      </c>
      <c r="D4281" s="82">
        <v>21964.799999999959</v>
      </c>
    </row>
    <row r="4282" spans="1:4" x14ac:dyDescent="0.3">
      <c r="A4282" s="83" t="s">
        <v>197</v>
      </c>
      <c r="B4282" s="83"/>
      <c r="C4282" s="16">
        <v>46295</v>
      </c>
      <c r="D4282" s="82">
        <v>794.01</v>
      </c>
    </row>
    <row r="4283" spans="1:4" x14ac:dyDescent="0.3">
      <c r="A4283" s="83" t="s">
        <v>212</v>
      </c>
      <c r="B4283" s="83"/>
      <c r="C4283" s="16">
        <v>46295</v>
      </c>
      <c r="D4283" s="82">
        <v>5445.57</v>
      </c>
    </row>
    <row r="4284" spans="1:4" x14ac:dyDescent="0.3">
      <c r="A4284" s="83" t="s">
        <v>199</v>
      </c>
      <c r="B4284" s="83"/>
      <c r="C4284" s="16">
        <v>46295</v>
      </c>
      <c r="D4284" s="82">
        <v>239523.16999999998</v>
      </c>
    </row>
    <row r="4285" spans="1:4" x14ac:dyDescent="0.3">
      <c r="A4285" s="83" t="s">
        <v>216</v>
      </c>
      <c r="B4285" s="83"/>
      <c r="C4285" s="16">
        <v>46295</v>
      </c>
      <c r="D4285" s="82">
        <v>327985.82999999996</v>
      </c>
    </row>
    <row r="4286" spans="1:4" x14ac:dyDescent="0.3">
      <c r="A4286" s="83" t="s">
        <v>17</v>
      </c>
      <c r="B4286" s="83"/>
      <c r="C4286" s="16">
        <v>46296</v>
      </c>
      <c r="D4286" s="82">
        <v>3099831.9800000004</v>
      </c>
    </row>
    <row r="4287" spans="1:4" x14ac:dyDescent="0.3">
      <c r="A4287" s="83" t="s">
        <v>18</v>
      </c>
      <c r="B4287" s="83"/>
      <c r="C4287" s="16">
        <v>46296</v>
      </c>
      <c r="D4287" s="82">
        <v>103123.59000000017</v>
      </c>
    </row>
    <row r="4288" spans="1:4" x14ac:dyDescent="0.3">
      <c r="A4288" s="83" t="s">
        <v>19</v>
      </c>
      <c r="B4288" s="83"/>
      <c r="C4288" s="16">
        <v>46296</v>
      </c>
      <c r="D4288" s="82">
        <v>1669.89</v>
      </c>
    </row>
    <row r="4289" spans="1:4" x14ac:dyDescent="0.3">
      <c r="A4289" s="83" t="s">
        <v>20</v>
      </c>
      <c r="B4289" s="83"/>
      <c r="C4289" s="16">
        <v>46296</v>
      </c>
      <c r="D4289" s="82">
        <v>1200526.7499999995</v>
      </c>
    </row>
    <row r="4290" spans="1:4" x14ac:dyDescent="0.3">
      <c r="A4290" s="83" t="s">
        <v>21</v>
      </c>
      <c r="B4290" s="83"/>
      <c r="C4290" s="16">
        <v>46296</v>
      </c>
      <c r="D4290" s="82">
        <v>1586416.1199999996</v>
      </c>
    </row>
    <row r="4291" spans="1:4" x14ac:dyDescent="0.3">
      <c r="A4291" s="83" t="s">
        <v>22</v>
      </c>
      <c r="B4291" s="83"/>
      <c r="C4291" s="16">
        <v>46296</v>
      </c>
      <c r="D4291" s="82">
        <v>208778.14</v>
      </c>
    </row>
    <row r="4292" spans="1:4" x14ac:dyDescent="0.3">
      <c r="A4292" s="83" t="s">
        <v>23</v>
      </c>
      <c r="B4292" s="83"/>
      <c r="C4292" s="16">
        <v>46296</v>
      </c>
      <c r="D4292" s="82">
        <v>80533.579999999987</v>
      </c>
    </row>
    <row r="4293" spans="1:4" x14ac:dyDescent="0.3">
      <c r="A4293" s="83" t="s">
        <v>24</v>
      </c>
      <c r="B4293" s="83"/>
      <c r="C4293" s="16">
        <v>46296</v>
      </c>
      <c r="D4293" s="82">
        <v>10259.18</v>
      </c>
    </row>
    <row r="4294" spans="1:4" x14ac:dyDescent="0.3">
      <c r="A4294" s="83" t="s">
        <v>25</v>
      </c>
      <c r="B4294" s="83"/>
      <c r="C4294" s="16">
        <v>46296</v>
      </c>
      <c r="D4294" s="82">
        <v>64.55</v>
      </c>
    </row>
    <row r="4295" spans="1:4" x14ac:dyDescent="0.3">
      <c r="A4295" s="83" t="s">
        <v>26</v>
      </c>
      <c r="B4295" s="83"/>
      <c r="C4295" s="16">
        <v>46296</v>
      </c>
      <c r="D4295" s="82">
        <v>2117.9700000000003</v>
      </c>
    </row>
    <row r="4296" spans="1:4" x14ac:dyDescent="0.3">
      <c r="A4296" s="83" t="s">
        <v>27</v>
      </c>
      <c r="B4296" s="83"/>
      <c r="C4296" s="16">
        <v>46296</v>
      </c>
      <c r="D4296" s="82">
        <v>17895.290000000015</v>
      </c>
    </row>
    <row r="4297" spans="1:4" x14ac:dyDescent="0.3">
      <c r="A4297" s="83" t="s">
        <v>28</v>
      </c>
      <c r="B4297" s="83"/>
      <c r="C4297" s="16">
        <v>46296</v>
      </c>
      <c r="D4297" s="82">
        <v>1968.99</v>
      </c>
    </row>
    <row r="4298" spans="1:4" x14ac:dyDescent="0.3">
      <c r="A4298" s="83" t="s">
        <v>29</v>
      </c>
      <c r="B4298" s="83"/>
      <c r="C4298" s="16">
        <v>46296</v>
      </c>
      <c r="D4298" s="82">
        <v>901.34</v>
      </c>
    </row>
    <row r="4299" spans="1:4" x14ac:dyDescent="0.3">
      <c r="A4299" s="83" t="s">
        <v>30</v>
      </c>
      <c r="B4299" s="83"/>
      <c r="C4299" s="16">
        <v>46296</v>
      </c>
      <c r="D4299" s="82">
        <v>1364.08</v>
      </c>
    </row>
    <row r="4300" spans="1:4" x14ac:dyDescent="0.3">
      <c r="A4300" s="83" t="s">
        <v>31</v>
      </c>
      <c r="B4300" s="83"/>
      <c r="C4300" s="16">
        <v>46296</v>
      </c>
      <c r="D4300" s="82">
        <v>20171.549999999959</v>
      </c>
    </row>
    <row r="4301" spans="1:4" x14ac:dyDescent="0.3">
      <c r="A4301" s="83" t="s">
        <v>32</v>
      </c>
      <c r="B4301" s="83"/>
      <c r="C4301" s="16">
        <v>46296</v>
      </c>
      <c r="D4301" s="82">
        <v>13576.060000000007</v>
      </c>
    </row>
    <row r="4302" spans="1:4" x14ac:dyDescent="0.3">
      <c r="A4302" s="83" t="s">
        <v>33</v>
      </c>
      <c r="B4302" s="83"/>
      <c r="C4302" s="16">
        <v>46296</v>
      </c>
      <c r="D4302" s="82">
        <v>16893.769999999997</v>
      </c>
    </row>
    <row r="4303" spans="1:4" x14ac:dyDescent="0.3">
      <c r="A4303" s="83" t="s">
        <v>34</v>
      </c>
      <c r="B4303" s="83"/>
      <c r="C4303" s="16">
        <v>46296</v>
      </c>
      <c r="D4303" s="82">
        <v>345</v>
      </c>
    </row>
    <row r="4304" spans="1:4" x14ac:dyDescent="0.3">
      <c r="A4304" s="83" t="s">
        <v>35</v>
      </c>
      <c r="B4304" s="83"/>
      <c r="C4304" s="16">
        <v>46296</v>
      </c>
      <c r="D4304" s="82">
        <v>26842.190000000002</v>
      </c>
    </row>
    <row r="4305" spans="1:4" x14ac:dyDescent="0.3">
      <c r="A4305" s="83" t="s">
        <v>193</v>
      </c>
      <c r="B4305" s="83"/>
      <c r="C4305" s="16">
        <v>46296</v>
      </c>
      <c r="D4305" s="82">
        <v>313178.98000000004</v>
      </c>
    </row>
    <row r="4306" spans="1:4" x14ac:dyDescent="0.3">
      <c r="A4306" s="83" t="s">
        <v>214</v>
      </c>
      <c r="B4306" s="83"/>
      <c r="C4306" s="16">
        <v>46296</v>
      </c>
      <c r="D4306" s="82">
        <v>102344.01000000001</v>
      </c>
    </row>
    <row r="4307" spans="1:4" x14ac:dyDescent="0.3">
      <c r="A4307" s="83" t="s">
        <v>194</v>
      </c>
      <c r="B4307" s="83"/>
      <c r="C4307" s="16">
        <v>46296</v>
      </c>
      <c r="D4307" s="82">
        <v>100631.96</v>
      </c>
    </row>
    <row r="4308" spans="1:4" x14ac:dyDescent="0.3">
      <c r="A4308" s="83" t="s">
        <v>195</v>
      </c>
      <c r="B4308" s="83"/>
      <c r="C4308" s="16">
        <v>46296</v>
      </c>
      <c r="D4308" s="82">
        <v>5604.8</v>
      </c>
    </row>
    <row r="4309" spans="1:4" x14ac:dyDescent="0.3">
      <c r="A4309" s="83" t="s">
        <v>196</v>
      </c>
      <c r="B4309" s="83"/>
      <c r="C4309" s="16">
        <v>46296</v>
      </c>
      <c r="D4309" s="82">
        <v>21964.799999999959</v>
      </c>
    </row>
    <row r="4310" spans="1:4" x14ac:dyDescent="0.3">
      <c r="A4310" s="83" t="s">
        <v>197</v>
      </c>
      <c r="B4310" s="83"/>
      <c r="C4310" s="16">
        <v>46296</v>
      </c>
      <c r="D4310" s="82">
        <v>794.01</v>
      </c>
    </row>
    <row r="4311" spans="1:4" x14ac:dyDescent="0.3">
      <c r="A4311" s="83" t="s">
        <v>212</v>
      </c>
      <c r="B4311" s="83"/>
      <c r="C4311" s="16">
        <v>46296</v>
      </c>
      <c r="D4311" s="82">
        <v>5445.57</v>
      </c>
    </row>
    <row r="4312" spans="1:4" x14ac:dyDescent="0.3">
      <c r="A4312" s="83" t="s">
        <v>199</v>
      </c>
      <c r="B4312" s="83"/>
      <c r="C4312" s="16">
        <v>46296</v>
      </c>
      <c r="D4312" s="82">
        <v>239523.16999999998</v>
      </c>
    </row>
    <row r="4313" spans="1:4" x14ac:dyDescent="0.3">
      <c r="A4313" s="83" t="s">
        <v>216</v>
      </c>
      <c r="B4313" s="83"/>
      <c r="C4313" s="16">
        <v>46296</v>
      </c>
      <c r="D4313" s="82">
        <v>327985.82999999996</v>
      </c>
    </row>
    <row r="4314" spans="1:4" x14ac:dyDescent="0.3">
      <c r="A4314" s="83" t="s">
        <v>17</v>
      </c>
      <c r="B4314" s="83"/>
      <c r="C4314" s="16">
        <v>46297</v>
      </c>
      <c r="D4314" s="82">
        <v>3099831.9800000004</v>
      </c>
    </row>
    <row r="4315" spans="1:4" x14ac:dyDescent="0.3">
      <c r="A4315" s="83" t="s">
        <v>18</v>
      </c>
      <c r="B4315" s="83"/>
      <c r="C4315" s="16">
        <v>46297</v>
      </c>
      <c r="D4315" s="82">
        <v>103123.59000000017</v>
      </c>
    </row>
    <row r="4316" spans="1:4" x14ac:dyDescent="0.3">
      <c r="A4316" s="83" t="s">
        <v>19</v>
      </c>
      <c r="B4316" s="83"/>
      <c r="C4316" s="16">
        <v>46297</v>
      </c>
      <c r="D4316" s="82">
        <v>1669.89</v>
      </c>
    </row>
    <row r="4317" spans="1:4" x14ac:dyDescent="0.3">
      <c r="A4317" s="83" t="s">
        <v>20</v>
      </c>
      <c r="B4317" s="83"/>
      <c r="C4317" s="16">
        <v>46297</v>
      </c>
      <c r="D4317" s="82">
        <v>1200526.7499999995</v>
      </c>
    </row>
    <row r="4318" spans="1:4" x14ac:dyDescent="0.3">
      <c r="A4318" s="83" t="s">
        <v>21</v>
      </c>
      <c r="B4318" s="83"/>
      <c r="C4318" s="16">
        <v>46297</v>
      </c>
      <c r="D4318" s="82">
        <v>1586416.1199999996</v>
      </c>
    </row>
    <row r="4319" spans="1:4" x14ac:dyDescent="0.3">
      <c r="A4319" s="83" t="s">
        <v>22</v>
      </c>
      <c r="B4319" s="83"/>
      <c r="C4319" s="16">
        <v>46297</v>
      </c>
      <c r="D4319" s="82">
        <v>208778.14</v>
      </c>
    </row>
    <row r="4320" spans="1:4" x14ac:dyDescent="0.3">
      <c r="A4320" s="83" t="s">
        <v>23</v>
      </c>
      <c r="B4320" s="83"/>
      <c r="C4320" s="16">
        <v>46297</v>
      </c>
      <c r="D4320" s="82">
        <v>80533.579999999987</v>
      </c>
    </row>
    <row r="4321" spans="1:4" x14ac:dyDescent="0.3">
      <c r="A4321" s="83" t="s">
        <v>24</v>
      </c>
      <c r="B4321" s="83"/>
      <c r="C4321" s="16">
        <v>46297</v>
      </c>
      <c r="D4321" s="82">
        <v>10259.18</v>
      </c>
    </row>
    <row r="4322" spans="1:4" x14ac:dyDescent="0.3">
      <c r="A4322" s="83" t="s">
        <v>25</v>
      </c>
      <c r="B4322" s="83"/>
      <c r="C4322" s="16">
        <v>46297</v>
      </c>
      <c r="D4322" s="82">
        <v>64.55</v>
      </c>
    </row>
    <row r="4323" spans="1:4" x14ac:dyDescent="0.3">
      <c r="A4323" s="83" t="s">
        <v>26</v>
      </c>
      <c r="B4323" s="83"/>
      <c r="C4323" s="16">
        <v>46297</v>
      </c>
      <c r="D4323" s="82">
        <v>2117.9700000000003</v>
      </c>
    </row>
    <row r="4324" spans="1:4" x14ac:dyDescent="0.3">
      <c r="A4324" s="83" t="s">
        <v>27</v>
      </c>
      <c r="B4324" s="83"/>
      <c r="C4324" s="16">
        <v>46297</v>
      </c>
      <c r="D4324" s="82">
        <v>17895.290000000015</v>
      </c>
    </row>
    <row r="4325" spans="1:4" x14ac:dyDescent="0.3">
      <c r="A4325" s="83" t="s">
        <v>28</v>
      </c>
      <c r="B4325" s="83"/>
      <c r="C4325" s="16">
        <v>46297</v>
      </c>
      <c r="D4325" s="82">
        <v>1968.99</v>
      </c>
    </row>
    <row r="4326" spans="1:4" x14ac:dyDescent="0.3">
      <c r="A4326" s="83" t="s">
        <v>29</v>
      </c>
      <c r="B4326" s="83"/>
      <c r="C4326" s="16">
        <v>46297</v>
      </c>
      <c r="D4326" s="82">
        <v>901.34</v>
      </c>
    </row>
    <row r="4327" spans="1:4" x14ac:dyDescent="0.3">
      <c r="A4327" s="83" t="s">
        <v>30</v>
      </c>
      <c r="B4327" s="83"/>
      <c r="C4327" s="16">
        <v>46297</v>
      </c>
      <c r="D4327" s="82">
        <v>1364.08</v>
      </c>
    </row>
    <row r="4328" spans="1:4" x14ac:dyDescent="0.3">
      <c r="A4328" s="83" t="s">
        <v>31</v>
      </c>
      <c r="B4328" s="83"/>
      <c r="C4328" s="16">
        <v>46297</v>
      </c>
      <c r="D4328" s="82">
        <v>20171.549999999959</v>
      </c>
    </row>
    <row r="4329" spans="1:4" x14ac:dyDescent="0.3">
      <c r="A4329" s="83" t="s">
        <v>32</v>
      </c>
      <c r="B4329" s="83"/>
      <c r="C4329" s="16">
        <v>46297</v>
      </c>
      <c r="D4329" s="82">
        <v>13576.060000000007</v>
      </c>
    </row>
    <row r="4330" spans="1:4" x14ac:dyDescent="0.3">
      <c r="A4330" s="83" t="s">
        <v>33</v>
      </c>
      <c r="B4330" s="83"/>
      <c r="C4330" s="16">
        <v>46297</v>
      </c>
      <c r="D4330" s="82">
        <v>16893.769999999997</v>
      </c>
    </row>
    <row r="4331" spans="1:4" x14ac:dyDescent="0.3">
      <c r="A4331" s="83" t="s">
        <v>34</v>
      </c>
      <c r="B4331" s="83"/>
      <c r="C4331" s="16">
        <v>46297</v>
      </c>
      <c r="D4331" s="82">
        <v>345</v>
      </c>
    </row>
    <row r="4332" spans="1:4" x14ac:dyDescent="0.3">
      <c r="A4332" s="83" t="s">
        <v>35</v>
      </c>
      <c r="B4332" s="83"/>
      <c r="C4332" s="16">
        <v>46297</v>
      </c>
      <c r="D4332" s="82">
        <v>23028.850000000002</v>
      </c>
    </row>
    <row r="4333" spans="1:4" x14ac:dyDescent="0.3">
      <c r="A4333" s="83" t="s">
        <v>193</v>
      </c>
      <c r="B4333" s="83"/>
      <c r="C4333" s="16">
        <v>46297</v>
      </c>
      <c r="D4333" s="82">
        <v>313178.98000000004</v>
      </c>
    </row>
    <row r="4334" spans="1:4" x14ac:dyDescent="0.3">
      <c r="A4334" s="83" t="s">
        <v>214</v>
      </c>
      <c r="B4334" s="83"/>
      <c r="C4334" s="16">
        <v>46297</v>
      </c>
      <c r="D4334" s="82">
        <v>102232.04000000001</v>
      </c>
    </row>
    <row r="4335" spans="1:4" x14ac:dyDescent="0.3">
      <c r="A4335" s="83" t="s">
        <v>194</v>
      </c>
      <c r="B4335" s="83"/>
      <c r="C4335" s="16">
        <v>46297</v>
      </c>
      <c r="D4335" s="82">
        <v>100631.96</v>
      </c>
    </row>
    <row r="4336" spans="1:4" x14ac:dyDescent="0.3">
      <c r="A4336" s="83" t="s">
        <v>195</v>
      </c>
      <c r="B4336" s="83"/>
      <c r="C4336" s="16">
        <v>46297</v>
      </c>
      <c r="D4336" s="82">
        <v>5604.8</v>
      </c>
    </row>
    <row r="4337" spans="1:4" x14ac:dyDescent="0.3">
      <c r="A4337" s="83" t="s">
        <v>196</v>
      </c>
      <c r="B4337" s="83"/>
      <c r="C4337" s="16">
        <v>46297</v>
      </c>
      <c r="D4337" s="82">
        <v>21434.939999999973</v>
      </c>
    </row>
    <row r="4338" spans="1:4" x14ac:dyDescent="0.3">
      <c r="A4338" s="83" t="s">
        <v>197</v>
      </c>
      <c r="B4338" s="83"/>
      <c r="C4338" s="16">
        <v>46297</v>
      </c>
      <c r="D4338" s="82">
        <v>794.01</v>
      </c>
    </row>
    <row r="4339" spans="1:4" x14ac:dyDescent="0.3">
      <c r="A4339" s="83" t="s">
        <v>212</v>
      </c>
      <c r="B4339" s="83"/>
      <c r="C4339" s="16">
        <v>46297</v>
      </c>
      <c r="D4339" s="82">
        <v>5445.57</v>
      </c>
    </row>
    <row r="4340" spans="1:4" x14ac:dyDescent="0.3">
      <c r="A4340" s="83" t="s">
        <v>199</v>
      </c>
      <c r="B4340" s="83"/>
      <c r="C4340" s="16">
        <v>46297</v>
      </c>
      <c r="D4340" s="82">
        <v>240473.16999999998</v>
      </c>
    </row>
    <row r="4341" spans="1:4" x14ac:dyDescent="0.3">
      <c r="A4341" s="83" t="s">
        <v>216</v>
      </c>
      <c r="B4341" s="83"/>
      <c r="C4341" s="16">
        <v>46297</v>
      </c>
      <c r="D4341" s="82">
        <v>327985.82999999996</v>
      </c>
    </row>
    <row r="4342" spans="1:4" x14ac:dyDescent="0.3">
      <c r="A4342" s="83" t="s">
        <v>17</v>
      </c>
      <c r="B4342" s="83"/>
      <c r="C4342" s="16">
        <v>46298</v>
      </c>
      <c r="D4342" s="82">
        <v>3099831.9800000004</v>
      </c>
    </row>
    <row r="4343" spans="1:4" x14ac:dyDescent="0.3">
      <c r="A4343" s="83" t="s">
        <v>18</v>
      </c>
      <c r="B4343" s="83"/>
      <c r="C4343" s="16">
        <v>46298</v>
      </c>
      <c r="D4343" s="82">
        <v>103123.59000000017</v>
      </c>
    </row>
    <row r="4344" spans="1:4" x14ac:dyDescent="0.3">
      <c r="A4344" s="83" t="s">
        <v>19</v>
      </c>
      <c r="B4344" s="83"/>
      <c r="C4344" s="16">
        <v>46298</v>
      </c>
      <c r="D4344" s="82">
        <v>1669.89</v>
      </c>
    </row>
    <row r="4345" spans="1:4" x14ac:dyDescent="0.3">
      <c r="A4345" s="83" t="s">
        <v>20</v>
      </c>
      <c r="B4345" s="83"/>
      <c r="C4345" s="16">
        <v>46298</v>
      </c>
      <c r="D4345" s="82">
        <v>1200526.7499999995</v>
      </c>
    </row>
    <row r="4346" spans="1:4" x14ac:dyDescent="0.3">
      <c r="A4346" s="83" t="s">
        <v>21</v>
      </c>
      <c r="B4346" s="83"/>
      <c r="C4346" s="16">
        <v>46298</v>
      </c>
      <c r="D4346" s="82">
        <v>1586416.1199999996</v>
      </c>
    </row>
    <row r="4347" spans="1:4" x14ac:dyDescent="0.3">
      <c r="A4347" s="83" t="s">
        <v>22</v>
      </c>
      <c r="B4347" s="83"/>
      <c r="C4347" s="16">
        <v>46298</v>
      </c>
      <c r="D4347" s="82">
        <v>208778.14</v>
      </c>
    </row>
    <row r="4348" spans="1:4" x14ac:dyDescent="0.3">
      <c r="A4348" s="83" t="s">
        <v>23</v>
      </c>
      <c r="B4348" s="83"/>
      <c r="C4348" s="16">
        <v>46298</v>
      </c>
      <c r="D4348" s="82">
        <v>80533.579999999987</v>
      </c>
    </row>
    <row r="4349" spans="1:4" x14ac:dyDescent="0.3">
      <c r="A4349" s="83" t="s">
        <v>24</v>
      </c>
      <c r="B4349" s="83"/>
      <c r="C4349" s="16">
        <v>46298</v>
      </c>
      <c r="D4349" s="82">
        <v>10259.18</v>
      </c>
    </row>
    <row r="4350" spans="1:4" x14ac:dyDescent="0.3">
      <c r="A4350" s="83" t="s">
        <v>25</v>
      </c>
      <c r="B4350" s="83"/>
      <c r="C4350" s="16">
        <v>46298</v>
      </c>
      <c r="D4350" s="82">
        <v>64.55</v>
      </c>
    </row>
    <row r="4351" spans="1:4" x14ac:dyDescent="0.3">
      <c r="A4351" s="83" t="s">
        <v>26</v>
      </c>
      <c r="B4351" s="83"/>
      <c r="C4351" s="16">
        <v>46298</v>
      </c>
      <c r="D4351" s="82">
        <v>2117.9700000000003</v>
      </c>
    </row>
    <row r="4352" spans="1:4" x14ac:dyDescent="0.3">
      <c r="A4352" s="83" t="s">
        <v>27</v>
      </c>
      <c r="B4352" s="83"/>
      <c r="C4352" s="16">
        <v>46298</v>
      </c>
      <c r="D4352" s="82">
        <v>17895.290000000015</v>
      </c>
    </row>
    <row r="4353" spans="1:4" x14ac:dyDescent="0.3">
      <c r="A4353" s="83" t="s">
        <v>28</v>
      </c>
      <c r="B4353" s="83"/>
      <c r="C4353" s="16">
        <v>46298</v>
      </c>
      <c r="D4353" s="82">
        <v>1968.99</v>
      </c>
    </row>
    <row r="4354" spans="1:4" x14ac:dyDescent="0.3">
      <c r="A4354" s="83" t="s">
        <v>29</v>
      </c>
      <c r="B4354" s="83"/>
      <c r="C4354" s="16">
        <v>46298</v>
      </c>
      <c r="D4354" s="82">
        <v>901.34</v>
      </c>
    </row>
    <row r="4355" spans="1:4" x14ac:dyDescent="0.3">
      <c r="A4355" s="83" t="s">
        <v>30</v>
      </c>
      <c r="B4355" s="83"/>
      <c r="C4355" s="16">
        <v>46298</v>
      </c>
      <c r="D4355" s="82">
        <v>1364.08</v>
      </c>
    </row>
    <row r="4356" spans="1:4" x14ac:dyDescent="0.3">
      <c r="A4356" s="83" t="s">
        <v>31</v>
      </c>
      <c r="B4356" s="83"/>
      <c r="C4356" s="16">
        <v>46298</v>
      </c>
      <c r="D4356" s="82">
        <v>20171.549999999959</v>
      </c>
    </row>
    <row r="4357" spans="1:4" x14ac:dyDescent="0.3">
      <c r="A4357" s="83" t="s">
        <v>32</v>
      </c>
      <c r="B4357" s="83"/>
      <c r="C4357" s="16">
        <v>46298</v>
      </c>
      <c r="D4357" s="82">
        <v>13576.060000000007</v>
      </c>
    </row>
    <row r="4358" spans="1:4" x14ac:dyDescent="0.3">
      <c r="A4358" s="83" t="s">
        <v>33</v>
      </c>
      <c r="B4358" s="83"/>
      <c r="C4358" s="16">
        <v>46298</v>
      </c>
      <c r="D4358" s="82">
        <v>16893.769999999997</v>
      </c>
    </row>
    <row r="4359" spans="1:4" x14ac:dyDescent="0.3">
      <c r="A4359" s="83" t="s">
        <v>34</v>
      </c>
      <c r="B4359" s="83"/>
      <c r="C4359" s="16">
        <v>46298</v>
      </c>
      <c r="D4359" s="82">
        <v>345</v>
      </c>
    </row>
    <row r="4360" spans="1:4" x14ac:dyDescent="0.3">
      <c r="A4360" s="83" t="s">
        <v>35</v>
      </c>
      <c r="B4360" s="83"/>
      <c r="C4360" s="16">
        <v>46298</v>
      </c>
      <c r="D4360" s="82">
        <v>23028.850000000002</v>
      </c>
    </row>
    <row r="4361" spans="1:4" x14ac:dyDescent="0.3">
      <c r="A4361" s="83" t="s">
        <v>193</v>
      </c>
      <c r="B4361" s="83"/>
      <c r="C4361" s="16">
        <v>46298</v>
      </c>
      <c r="D4361" s="82">
        <v>313178.98000000004</v>
      </c>
    </row>
    <row r="4362" spans="1:4" x14ac:dyDescent="0.3">
      <c r="A4362" s="83" t="s">
        <v>214</v>
      </c>
      <c r="B4362" s="83"/>
      <c r="C4362" s="16">
        <v>46298</v>
      </c>
      <c r="D4362" s="82">
        <v>102232.04000000001</v>
      </c>
    </row>
    <row r="4363" spans="1:4" x14ac:dyDescent="0.3">
      <c r="A4363" s="83" t="s">
        <v>194</v>
      </c>
      <c r="B4363" s="83"/>
      <c r="C4363" s="16">
        <v>46298</v>
      </c>
      <c r="D4363" s="82">
        <v>100631.96</v>
      </c>
    </row>
    <row r="4364" spans="1:4" x14ac:dyDescent="0.3">
      <c r="A4364" s="83" t="s">
        <v>195</v>
      </c>
      <c r="B4364" s="83"/>
      <c r="C4364" s="16">
        <v>46298</v>
      </c>
      <c r="D4364" s="82">
        <v>5604.8</v>
      </c>
    </row>
    <row r="4365" spans="1:4" x14ac:dyDescent="0.3">
      <c r="A4365" s="83" t="s">
        <v>196</v>
      </c>
      <c r="B4365" s="83"/>
      <c r="C4365" s="16">
        <v>46298</v>
      </c>
      <c r="D4365" s="82">
        <v>21434.939999999973</v>
      </c>
    </row>
    <row r="4366" spans="1:4" x14ac:dyDescent="0.3">
      <c r="A4366" s="83" t="s">
        <v>197</v>
      </c>
      <c r="B4366" s="83"/>
      <c r="C4366" s="16">
        <v>46298</v>
      </c>
      <c r="D4366" s="82">
        <v>794.01</v>
      </c>
    </row>
    <row r="4367" spans="1:4" x14ac:dyDescent="0.3">
      <c r="A4367" s="83" t="s">
        <v>212</v>
      </c>
      <c r="B4367" s="83"/>
      <c r="C4367" s="16">
        <v>46298</v>
      </c>
      <c r="D4367" s="82">
        <v>5445.57</v>
      </c>
    </row>
    <row r="4368" spans="1:4" x14ac:dyDescent="0.3">
      <c r="A4368" s="83" t="s">
        <v>199</v>
      </c>
      <c r="B4368" s="83"/>
      <c r="C4368" s="16">
        <v>46298</v>
      </c>
      <c r="D4368" s="82">
        <v>240473.16999999998</v>
      </c>
    </row>
    <row r="4369" spans="1:4" x14ac:dyDescent="0.3">
      <c r="A4369" s="83" t="s">
        <v>216</v>
      </c>
      <c r="B4369" s="83"/>
      <c r="C4369" s="16">
        <v>46298</v>
      </c>
      <c r="D4369" s="82">
        <v>327985.82999999996</v>
      </c>
    </row>
    <row r="4370" spans="1:4" x14ac:dyDescent="0.3">
      <c r="A4370" s="83" t="s">
        <v>17</v>
      </c>
      <c r="B4370" s="83"/>
      <c r="C4370" s="16">
        <v>46299</v>
      </c>
      <c r="D4370" s="82">
        <v>3099831.9800000004</v>
      </c>
    </row>
    <row r="4371" spans="1:4" x14ac:dyDescent="0.3">
      <c r="A4371" s="83" t="s">
        <v>18</v>
      </c>
      <c r="B4371" s="83"/>
      <c r="C4371" s="16">
        <v>46299</v>
      </c>
      <c r="D4371" s="82">
        <v>103123.59000000017</v>
      </c>
    </row>
    <row r="4372" spans="1:4" x14ac:dyDescent="0.3">
      <c r="A4372" s="83" t="s">
        <v>19</v>
      </c>
      <c r="B4372" s="83"/>
      <c r="C4372" s="16">
        <v>46299</v>
      </c>
      <c r="D4372" s="82">
        <v>1669.89</v>
      </c>
    </row>
    <row r="4373" spans="1:4" x14ac:dyDescent="0.3">
      <c r="A4373" s="83" t="s">
        <v>20</v>
      </c>
      <c r="B4373" s="83"/>
      <c r="C4373" s="16">
        <v>46299</v>
      </c>
      <c r="D4373" s="82">
        <v>1200526.7499999995</v>
      </c>
    </row>
    <row r="4374" spans="1:4" x14ac:dyDescent="0.3">
      <c r="A4374" s="83" t="s">
        <v>21</v>
      </c>
      <c r="B4374" s="83"/>
      <c r="C4374" s="16">
        <v>46299</v>
      </c>
      <c r="D4374" s="82">
        <v>1586416.1199999996</v>
      </c>
    </row>
    <row r="4375" spans="1:4" x14ac:dyDescent="0.3">
      <c r="A4375" s="83" t="s">
        <v>22</v>
      </c>
      <c r="B4375" s="83"/>
      <c r="C4375" s="16">
        <v>46299</v>
      </c>
      <c r="D4375" s="82">
        <v>208778.14</v>
      </c>
    </row>
    <row r="4376" spans="1:4" x14ac:dyDescent="0.3">
      <c r="A4376" s="83" t="s">
        <v>23</v>
      </c>
      <c r="B4376" s="83"/>
      <c r="C4376" s="16">
        <v>46299</v>
      </c>
      <c r="D4376" s="82">
        <v>80533.579999999987</v>
      </c>
    </row>
    <row r="4377" spans="1:4" x14ac:dyDescent="0.3">
      <c r="A4377" s="83" t="s">
        <v>24</v>
      </c>
      <c r="B4377" s="83"/>
      <c r="C4377" s="16">
        <v>46299</v>
      </c>
      <c r="D4377" s="82">
        <v>10259.18</v>
      </c>
    </row>
    <row r="4378" spans="1:4" x14ac:dyDescent="0.3">
      <c r="A4378" s="83" t="s">
        <v>25</v>
      </c>
      <c r="B4378" s="83"/>
      <c r="C4378" s="16">
        <v>46299</v>
      </c>
      <c r="D4378" s="82">
        <v>64.55</v>
      </c>
    </row>
    <row r="4379" spans="1:4" x14ac:dyDescent="0.3">
      <c r="A4379" s="83" t="s">
        <v>26</v>
      </c>
      <c r="B4379" s="83"/>
      <c r="C4379" s="16">
        <v>46299</v>
      </c>
      <c r="D4379" s="82">
        <v>2117.9700000000003</v>
      </c>
    </row>
    <row r="4380" spans="1:4" x14ac:dyDescent="0.3">
      <c r="A4380" s="83" t="s">
        <v>27</v>
      </c>
      <c r="B4380" s="83"/>
      <c r="C4380" s="16">
        <v>46299</v>
      </c>
      <c r="D4380" s="82">
        <v>17895.290000000015</v>
      </c>
    </row>
    <row r="4381" spans="1:4" x14ac:dyDescent="0.3">
      <c r="A4381" s="83" t="s">
        <v>28</v>
      </c>
      <c r="B4381" s="83"/>
      <c r="C4381" s="16">
        <v>46299</v>
      </c>
      <c r="D4381" s="82">
        <v>1968.99</v>
      </c>
    </row>
    <row r="4382" spans="1:4" x14ac:dyDescent="0.3">
      <c r="A4382" s="83" t="s">
        <v>29</v>
      </c>
      <c r="B4382" s="83"/>
      <c r="C4382" s="16">
        <v>46299</v>
      </c>
      <c r="D4382" s="82">
        <v>901.34</v>
      </c>
    </row>
    <row r="4383" spans="1:4" x14ac:dyDescent="0.3">
      <c r="A4383" s="83" t="s">
        <v>30</v>
      </c>
      <c r="B4383" s="83"/>
      <c r="C4383" s="16">
        <v>46299</v>
      </c>
      <c r="D4383" s="82">
        <v>1364.08</v>
      </c>
    </row>
    <row r="4384" spans="1:4" x14ac:dyDescent="0.3">
      <c r="A4384" s="83" t="s">
        <v>31</v>
      </c>
      <c r="B4384" s="83"/>
      <c r="C4384" s="16">
        <v>46299</v>
      </c>
      <c r="D4384" s="82">
        <v>20171.549999999959</v>
      </c>
    </row>
    <row r="4385" spans="1:4" x14ac:dyDescent="0.3">
      <c r="A4385" s="83" t="s">
        <v>32</v>
      </c>
      <c r="B4385" s="83"/>
      <c r="C4385" s="16">
        <v>46299</v>
      </c>
      <c r="D4385" s="82">
        <v>13576.060000000007</v>
      </c>
    </row>
    <row r="4386" spans="1:4" x14ac:dyDescent="0.3">
      <c r="A4386" s="83" t="s">
        <v>33</v>
      </c>
      <c r="B4386" s="83"/>
      <c r="C4386" s="16">
        <v>46299</v>
      </c>
      <c r="D4386" s="82">
        <v>16893.769999999997</v>
      </c>
    </row>
    <row r="4387" spans="1:4" x14ac:dyDescent="0.3">
      <c r="A4387" s="83" t="s">
        <v>34</v>
      </c>
      <c r="B4387" s="83"/>
      <c r="C4387" s="16">
        <v>46299</v>
      </c>
      <c r="D4387" s="82">
        <v>345</v>
      </c>
    </row>
    <row r="4388" spans="1:4" x14ac:dyDescent="0.3">
      <c r="A4388" s="83" t="s">
        <v>35</v>
      </c>
      <c r="B4388" s="83"/>
      <c r="C4388" s="16">
        <v>46299</v>
      </c>
      <c r="D4388" s="82">
        <v>23028.850000000002</v>
      </c>
    </row>
    <row r="4389" spans="1:4" x14ac:dyDescent="0.3">
      <c r="A4389" s="83" t="s">
        <v>193</v>
      </c>
      <c r="B4389" s="83"/>
      <c r="C4389" s="16">
        <v>46299</v>
      </c>
      <c r="D4389" s="82">
        <v>313178.98000000004</v>
      </c>
    </row>
    <row r="4390" spans="1:4" x14ac:dyDescent="0.3">
      <c r="A4390" s="83" t="s">
        <v>214</v>
      </c>
      <c r="B4390" s="83"/>
      <c r="C4390" s="16">
        <v>46299</v>
      </c>
      <c r="D4390" s="82">
        <v>102232.04000000001</v>
      </c>
    </row>
    <row r="4391" spans="1:4" x14ac:dyDescent="0.3">
      <c r="A4391" s="83" t="s">
        <v>194</v>
      </c>
      <c r="B4391" s="83"/>
      <c r="C4391" s="16">
        <v>46299</v>
      </c>
      <c r="D4391" s="82">
        <v>100631.96</v>
      </c>
    </row>
    <row r="4392" spans="1:4" x14ac:dyDescent="0.3">
      <c r="A4392" s="83" t="s">
        <v>195</v>
      </c>
      <c r="B4392" s="83"/>
      <c r="C4392" s="16">
        <v>46299</v>
      </c>
      <c r="D4392" s="82">
        <v>5604.8</v>
      </c>
    </row>
    <row r="4393" spans="1:4" x14ac:dyDescent="0.3">
      <c r="A4393" s="83" t="s">
        <v>196</v>
      </c>
      <c r="B4393" s="83"/>
      <c r="C4393" s="16">
        <v>46299</v>
      </c>
      <c r="D4393" s="82">
        <v>21434.939999999973</v>
      </c>
    </row>
    <row r="4394" spans="1:4" x14ac:dyDescent="0.3">
      <c r="A4394" s="83" t="s">
        <v>197</v>
      </c>
      <c r="B4394" s="83"/>
      <c r="C4394" s="16">
        <v>46299</v>
      </c>
      <c r="D4394" s="82">
        <v>794.01</v>
      </c>
    </row>
    <row r="4395" spans="1:4" x14ac:dyDescent="0.3">
      <c r="A4395" s="83" t="s">
        <v>212</v>
      </c>
      <c r="B4395" s="83"/>
      <c r="C4395" s="16">
        <v>46299</v>
      </c>
      <c r="D4395" s="82">
        <v>5445.57</v>
      </c>
    </row>
    <row r="4396" spans="1:4" x14ac:dyDescent="0.3">
      <c r="A4396" s="83" t="s">
        <v>199</v>
      </c>
      <c r="B4396" s="83"/>
      <c r="C4396" s="16">
        <v>46299</v>
      </c>
      <c r="D4396" s="82">
        <v>240473.16999999998</v>
      </c>
    </row>
    <row r="4397" spans="1:4" x14ac:dyDescent="0.3">
      <c r="A4397" s="83" t="s">
        <v>216</v>
      </c>
      <c r="B4397" s="83"/>
      <c r="C4397" s="16">
        <v>46299</v>
      </c>
      <c r="D4397" s="82">
        <v>327985.82999999996</v>
      </c>
    </row>
    <row r="4398" spans="1:4" x14ac:dyDescent="0.3">
      <c r="A4398" s="83" t="s">
        <v>17</v>
      </c>
      <c r="B4398" s="83"/>
      <c r="C4398" s="16">
        <v>46300</v>
      </c>
      <c r="D4398" s="82">
        <v>3099831.9800000004</v>
      </c>
    </row>
    <row r="4399" spans="1:4" x14ac:dyDescent="0.3">
      <c r="A4399" s="83" t="s">
        <v>18</v>
      </c>
      <c r="B4399" s="83"/>
      <c r="C4399" s="16">
        <v>46300</v>
      </c>
      <c r="D4399" s="82">
        <v>103123.59000000017</v>
      </c>
    </row>
    <row r="4400" spans="1:4" x14ac:dyDescent="0.3">
      <c r="A4400" s="83" t="s">
        <v>19</v>
      </c>
      <c r="B4400" s="83"/>
      <c r="C4400" s="16">
        <v>46300</v>
      </c>
      <c r="D4400" s="82">
        <v>1669.89</v>
      </c>
    </row>
    <row r="4401" spans="1:4" x14ac:dyDescent="0.3">
      <c r="A4401" s="83" t="s">
        <v>20</v>
      </c>
      <c r="B4401" s="83"/>
      <c r="C4401" s="16">
        <v>46300</v>
      </c>
      <c r="D4401" s="82">
        <v>1200526.7499999995</v>
      </c>
    </row>
    <row r="4402" spans="1:4" x14ac:dyDescent="0.3">
      <c r="A4402" s="83" t="s">
        <v>21</v>
      </c>
      <c r="B4402" s="83"/>
      <c r="C4402" s="16">
        <v>46300</v>
      </c>
      <c r="D4402" s="82">
        <v>1585767.3599999994</v>
      </c>
    </row>
    <row r="4403" spans="1:4" x14ac:dyDescent="0.3">
      <c r="A4403" s="83" t="s">
        <v>22</v>
      </c>
      <c r="B4403" s="83"/>
      <c r="C4403" s="16">
        <v>46300</v>
      </c>
      <c r="D4403" s="82">
        <v>181778.14</v>
      </c>
    </row>
    <row r="4404" spans="1:4" x14ac:dyDescent="0.3">
      <c r="A4404" s="83" t="s">
        <v>23</v>
      </c>
      <c r="B4404" s="83"/>
      <c r="C4404" s="16">
        <v>46300</v>
      </c>
      <c r="D4404" s="82">
        <v>80533.579999999987</v>
      </c>
    </row>
    <row r="4405" spans="1:4" x14ac:dyDescent="0.3">
      <c r="A4405" s="83" t="s">
        <v>24</v>
      </c>
      <c r="B4405" s="83"/>
      <c r="C4405" s="16">
        <v>46300</v>
      </c>
      <c r="D4405" s="82">
        <v>10259.18</v>
      </c>
    </row>
    <row r="4406" spans="1:4" x14ac:dyDescent="0.3">
      <c r="A4406" s="83" t="s">
        <v>25</v>
      </c>
      <c r="B4406" s="83"/>
      <c r="C4406" s="16">
        <v>46300</v>
      </c>
      <c r="D4406" s="82">
        <v>64.55</v>
      </c>
    </row>
    <row r="4407" spans="1:4" x14ac:dyDescent="0.3">
      <c r="A4407" s="83" t="s">
        <v>26</v>
      </c>
      <c r="B4407" s="83"/>
      <c r="C4407" s="16">
        <v>46300</v>
      </c>
      <c r="D4407" s="82">
        <v>2117.9700000000003</v>
      </c>
    </row>
    <row r="4408" spans="1:4" x14ac:dyDescent="0.3">
      <c r="A4408" s="83" t="s">
        <v>27</v>
      </c>
      <c r="B4408" s="83"/>
      <c r="C4408" s="16">
        <v>46300</v>
      </c>
      <c r="D4408" s="82">
        <v>17895.290000000015</v>
      </c>
    </row>
    <row r="4409" spans="1:4" x14ac:dyDescent="0.3">
      <c r="A4409" s="83" t="s">
        <v>28</v>
      </c>
      <c r="B4409" s="83"/>
      <c r="C4409" s="16">
        <v>46300</v>
      </c>
      <c r="D4409" s="82">
        <v>1968.99</v>
      </c>
    </row>
    <row r="4410" spans="1:4" x14ac:dyDescent="0.3">
      <c r="A4410" s="83" t="s">
        <v>29</v>
      </c>
      <c r="B4410" s="83"/>
      <c r="C4410" s="16">
        <v>46300</v>
      </c>
      <c r="D4410" s="82">
        <v>901.34</v>
      </c>
    </row>
    <row r="4411" spans="1:4" x14ac:dyDescent="0.3">
      <c r="A4411" s="83" t="s">
        <v>30</v>
      </c>
      <c r="B4411" s="83"/>
      <c r="C4411" s="16">
        <v>46300</v>
      </c>
      <c r="D4411" s="82">
        <v>1364.08</v>
      </c>
    </row>
    <row r="4412" spans="1:4" x14ac:dyDescent="0.3">
      <c r="A4412" s="83" t="s">
        <v>31</v>
      </c>
      <c r="B4412" s="83"/>
      <c r="C4412" s="16">
        <v>46300</v>
      </c>
      <c r="D4412" s="82">
        <v>20171.549999999959</v>
      </c>
    </row>
    <row r="4413" spans="1:4" x14ac:dyDescent="0.3">
      <c r="A4413" s="83" t="s">
        <v>32</v>
      </c>
      <c r="B4413" s="83"/>
      <c r="C4413" s="16">
        <v>46300</v>
      </c>
      <c r="D4413" s="82">
        <v>13576.060000000007</v>
      </c>
    </row>
    <row r="4414" spans="1:4" x14ac:dyDescent="0.3">
      <c r="A4414" s="83" t="s">
        <v>33</v>
      </c>
      <c r="B4414" s="83"/>
      <c r="C4414" s="16">
        <v>46300</v>
      </c>
      <c r="D4414" s="82">
        <v>16893.769999999997</v>
      </c>
    </row>
    <row r="4415" spans="1:4" x14ac:dyDescent="0.3">
      <c r="A4415" s="83" t="s">
        <v>34</v>
      </c>
      <c r="B4415" s="83"/>
      <c r="C4415" s="16">
        <v>46300</v>
      </c>
      <c r="D4415" s="82">
        <v>345</v>
      </c>
    </row>
    <row r="4416" spans="1:4" x14ac:dyDescent="0.3">
      <c r="A4416" s="83" t="s">
        <v>35</v>
      </c>
      <c r="B4416" s="83"/>
      <c r="C4416" s="16">
        <v>46300</v>
      </c>
      <c r="D4416" s="82">
        <v>23077.850000000002</v>
      </c>
    </row>
    <row r="4417" spans="1:4" x14ac:dyDescent="0.3">
      <c r="A4417" s="83" t="s">
        <v>193</v>
      </c>
      <c r="B4417" s="83"/>
      <c r="C4417" s="16">
        <v>46300</v>
      </c>
      <c r="D4417" s="82">
        <v>311185.97000000003</v>
      </c>
    </row>
    <row r="4418" spans="1:4" x14ac:dyDescent="0.3">
      <c r="A4418" s="83" t="s">
        <v>214</v>
      </c>
      <c r="B4418" s="83"/>
      <c r="C4418" s="16">
        <v>46300</v>
      </c>
      <c r="D4418" s="82">
        <v>101769.28000000003</v>
      </c>
    </row>
    <row r="4419" spans="1:4" x14ac:dyDescent="0.3">
      <c r="A4419" s="83" t="s">
        <v>194</v>
      </c>
      <c r="B4419" s="83"/>
      <c r="C4419" s="16">
        <v>46300</v>
      </c>
      <c r="D4419" s="82">
        <v>100631.96</v>
      </c>
    </row>
    <row r="4420" spans="1:4" x14ac:dyDescent="0.3">
      <c r="A4420" s="83" t="s">
        <v>195</v>
      </c>
      <c r="B4420" s="83"/>
      <c r="C4420" s="16">
        <v>46300</v>
      </c>
      <c r="D4420" s="82">
        <v>5604.8</v>
      </c>
    </row>
    <row r="4421" spans="1:4" x14ac:dyDescent="0.3">
      <c r="A4421" s="83" t="s">
        <v>196</v>
      </c>
      <c r="B4421" s="83"/>
      <c r="C4421" s="16">
        <v>46300</v>
      </c>
      <c r="D4421" s="82">
        <v>21434.939999999973</v>
      </c>
    </row>
    <row r="4422" spans="1:4" x14ac:dyDescent="0.3">
      <c r="A4422" s="83" t="s">
        <v>197</v>
      </c>
      <c r="B4422" s="83"/>
      <c r="C4422" s="16">
        <v>46300</v>
      </c>
      <c r="D4422" s="82">
        <v>794.01</v>
      </c>
    </row>
    <row r="4423" spans="1:4" x14ac:dyDescent="0.3">
      <c r="A4423" s="83" t="s">
        <v>212</v>
      </c>
      <c r="B4423" s="83"/>
      <c r="C4423" s="16">
        <v>46300</v>
      </c>
      <c r="D4423" s="82">
        <v>5445.57</v>
      </c>
    </row>
    <row r="4424" spans="1:4" x14ac:dyDescent="0.3">
      <c r="A4424" s="83" t="s">
        <v>199</v>
      </c>
      <c r="B4424" s="83"/>
      <c r="C4424" s="16">
        <v>46300</v>
      </c>
      <c r="D4424" s="82">
        <v>240473.16999999998</v>
      </c>
    </row>
    <row r="4425" spans="1:4" x14ac:dyDescent="0.3">
      <c r="A4425" s="83" t="s">
        <v>216</v>
      </c>
      <c r="B4425" s="83"/>
      <c r="C4425" s="16">
        <v>46300</v>
      </c>
      <c r="D4425" s="82">
        <v>327985.82999999996</v>
      </c>
    </row>
    <row r="4426" spans="1:4" x14ac:dyDescent="0.3">
      <c r="A4426" s="83" t="s">
        <v>17</v>
      </c>
      <c r="B4426" s="83"/>
      <c r="C4426" s="16">
        <v>46301</v>
      </c>
      <c r="D4426" s="82">
        <v>3099831.9800000004</v>
      </c>
    </row>
    <row r="4427" spans="1:4" x14ac:dyDescent="0.3">
      <c r="A4427" s="83" t="s">
        <v>18</v>
      </c>
      <c r="B4427" s="83"/>
      <c r="C4427" s="16">
        <v>46301</v>
      </c>
      <c r="D4427" s="82">
        <v>103123.59000000017</v>
      </c>
    </row>
    <row r="4428" spans="1:4" x14ac:dyDescent="0.3">
      <c r="A4428" s="83" t="s">
        <v>19</v>
      </c>
      <c r="B4428" s="83"/>
      <c r="C4428" s="16">
        <v>46301</v>
      </c>
      <c r="D4428" s="82">
        <v>1669.89</v>
      </c>
    </row>
    <row r="4429" spans="1:4" x14ac:dyDescent="0.3">
      <c r="A4429" s="83" t="s">
        <v>20</v>
      </c>
      <c r="B4429" s="83"/>
      <c r="C4429" s="16">
        <v>46301</v>
      </c>
      <c r="D4429" s="82">
        <v>1200526.7499999995</v>
      </c>
    </row>
    <row r="4430" spans="1:4" x14ac:dyDescent="0.3">
      <c r="A4430" s="83" t="s">
        <v>21</v>
      </c>
      <c r="B4430" s="83"/>
      <c r="C4430" s="16">
        <v>46301</v>
      </c>
      <c r="D4430" s="82">
        <v>1585767.3599999994</v>
      </c>
    </row>
    <row r="4431" spans="1:4" x14ac:dyDescent="0.3">
      <c r="A4431" s="83" t="s">
        <v>22</v>
      </c>
      <c r="B4431" s="83"/>
      <c r="C4431" s="16">
        <v>46301</v>
      </c>
      <c r="D4431" s="82">
        <v>181778.14</v>
      </c>
    </row>
    <row r="4432" spans="1:4" x14ac:dyDescent="0.3">
      <c r="A4432" s="83" t="s">
        <v>23</v>
      </c>
      <c r="B4432" s="83"/>
      <c r="C4432" s="16">
        <v>46301</v>
      </c>
      <c r="D4432" s="82">
        <v>80533.579999999987</v>
      </c>
    </row>
    <row r="4433" spans="1:4" x14ac:dyDescent="0.3">
      <c r="A4433" s="83" t="s">
        <v>24</v>
      </c>
      <c r="B4433" s="83"/>
      <c r="C4433" s="16">
        <v>46301</v>
      </c>
      <c r="D4433" s="82">
        <v>10259.18</v>
      </c>
    </row>
    <row r="4434" spans="1:4" x14ac:dyDescent="0.3">
      <c r="A4434" s="83" t="s">
        <v>25</v>
      </c>
      <c r="B4434" s="83"/>
      <c r="C4434" s="16">
        <v>46301</v>
      </c>
      <c r="D4434" s="82">
        <v>64.55</v>
      </c>
    </row>
    <row r="4435" spans="1:4" x14ac:dyDescent="0.3">
      <c r="A4435" s="83" t="s">
        <v>26</v>
      </c>
      <c r="B4435" s="83"/>
      <c r="C4435" s="16">
        <v>46301</v>
      </c>
      <c r="D4435" s="82">
        <v>2117.9700000000003</v>
      </c>
    </row>
    <row r="4436" spans="1:4" x14ac:dyDescent="0.3">
      <c r="A4436" s="83" t="s">
        <v>27</v>
      </c>
      <c r="B4436" s="83"/>
      <c r="C4436" s="16">
        <v>46301</v>
      </c>
      <c r="D4436" s="82">
        <v>17895.290000000015</v>
      </c>
    </row>
    <row r="4437" spans="1:4" x14ac:dyDescent="0.3">
      <c r="A4437" s="83" t="s">
        <v>28</v>
      </c>
      <c r="B4437" s="83"/>
      <c r="C4437" s="16">
        <v>46301</v>
      </c>
      <c r="D4437" s="82">
        <v>1968.99</v>
      </c>
    </row>
    <row r="4438" spans="1:4" x14ac:dyDescent="0.3">
      <c r="A4438" s="83" t="s">
        <v>29</v>
      </c>
      <c r="B4438" s="83"/>
      <c r="C4438" s="16">
        <v>46301</v>
      </c>
      <c r="D4438" s="82">
        <v>901.34</v>
      </c>
    </row>
    <row r="4439" spans="1:4" x14ac:dyDescent="0.3">
      <c r="A4439" s="83" t="s">
        <v>30</v>
      </c>
      <c r="B4439" s="83"/>
      <c r="C4439" s="16">
        <v>46301</v>
      </c>
      <c r="D4439" s="82">
        <v>1364.08</v>
      </c>
    </row>
    <row r="4440" spans="1:4" x14ac:dyDescent="0.3">
      <c r="A4440" s="83" t="s">
        <v>31</v>
      </c>
      <c r="B4440" s="83"/>
      <c r="C4440" s="16">
        <v>46301</v>
      </c>
      <c r="D4440" s="82">
        <v>20171.549999999959</v>
      </c>
    </row>
    <row r="4441" spans="1:4" x14ac:dyDescent="0.3">
      <c r="A4441" s="83" t="s">
        <v>32</v>
      </c>
      <c r="B4441" s="83"/>
      <c r="C4441" s="16">
        <v>46301</v>
      </c>
      <c r="D4441" s="82">
        <v>13576.060000000007</v>
      </c>
    </row>
    <row r="4442" spans="1:4" x14ac:dyDescent="0.3">
      <c r="A4442" s="83" t="s">
        <v>33</v>
      </c>
      <c r="B4442" s="83"/>
      <c r="C4442" s="16">
        <v>46301</v>
      </c>
      <c r="D4442" s="82">
        <v>16893.769999999997</v>
      </c>
    </row>
    <row r="4443" spans="1:4" x14ac:dyDescent="0.3">
      <c r="A4443" s="83" t="s">
        <v>34</v>
      </c>
      <c r="B4443" s="83"/>
      <c r="C4443" s="16">
        <v>46301</v>
      </c>
      <c r="D4443" s="82">
        <v>345</v>
      </c>
    </row>
    <row r="4444" spans="1:4" x14ac:dyDescent="0.3">
      <c r="A4444" s="83" t="s">
        <v>35</v>
      </c>
      <c r="B4444" s="83"/>
      <c r="C4444" s="16">
        <v>46301</v>
      </c>
      <c r="D4444" s="82">
        <v>23077.850000000002</v>
      </c>
    </row>
    <row r="4445" spans="1:4" x14ac:dyDescent="0.3">
      <c r="A4445" s="83" t="s">
        <v>193</v>
      </c>
      <c r="B4445" s="83"/>
      <c r="C4445" s="16">
        <v>46301</v>
      </c>
      <c r="D4445" s="82">
        <v>310854.86000000004</v>
      </c>
    </row>
    <row r="4446" spans="1:4" x14ac:dyDescent="0.3">
      <c r="A4446" s="83" t="s">
        <v>214</v>
      </c>
      <c r="B4446" s="83"/>
      <c r="C4446" s="16">
        <v>46301</v>
      </c>
      <c r="D4446" s="82">
        <v>101769.28000000003</v>
      </c>
    </row>
    <row r="4447" spans="1:4" x14ac:dyDescent="0.3">
      <c r="A4447" s="83" t="s">
        <v>194</v>
      </c>
      <c r="B4447" s="83"/>
      <c r="C4447" s="16">
        <v>46301</v>
      </c>
      <c r="D4447" s="82">
        <v>90631.96</v>
      </c>
    </row>
    <row r="4448" spans="1:4" x14ac:dyDescent="0.3">
      <c r="A4448" s="83" t="s">
        <v>195</v>
      </c>
      <c r="B4448" s="83"/>
      <c r="C4448" s="16">
        <v>46301</v>
      </c>
      <c r="D4448" s="82">
        <v>5604.8</v>
      </c>
    </row>
    <row r="4449" spans="1:4" x14ac:dyDescent="0.3">
      <c r="A4449" s="83" t="s">
        <v>196</v>
      </c>
      <c r="B4449" s="83"/>
      <c r="C4449" s="16">
        <v>46301</v>
      </c>
      <c r="D4449" s="82">
        <v>21434.939999999973</v>
      </c>
    </row>
    <row r="4450" spans="1:4" x14ac:dyDescent="0.3">
      <c r="A4450" s="83" t="s">
        <v>197</v>
      </c>
      <c r="B4450" s="83"/>
      <c r="C4450" s="16">
        <v>46301</v>
      </c>
      <c r="D4450" s="82">
        <v>794.01</v>
      </c>
    </row>
    <row r="4451" spans="1:4" x14ac:dyDescent="0.3">
      <c r="A4451" s="83" t="s">
        <v>212</v>
      </c>
      <c r="B4451" s="83"/>
      <c r="C4451" s="16">
        <v>46301</v>
      </c>
      <c r="D4451" s="82">
        <v>5445.57</v>
      </c>
    </row>
    <row r="4452" spans="1:4" x14ac:dyDescent="0.3">
      <c r="A4452" s="83" t="s">
        <v>199</v>
      </c>
      <c r="B4452" s="83"/>
      <c r="C4452" s="16">
        <v>46301</v>
      </c>
      <c r="D4452" s="82">
        <v>240473.16999999998</v>
      </c>
    </row>
    <row r="4453" spans="1:4" x14ac:dyDescent="0.3">
      <c r="A4453" s="83" t="s">
        <v>216</v>
      </c>
      <c r="B4453" s="83"/>
      <c r="C4453" s="16">
        <v>46301</v>
      </c>
      <c r="D4453" s="82">
        <v>327985.82999999996</v>
      </c>
    </row>
    <row r="4454" spans="1:4" x14ac:dyDescent="0.3">
      <c r="A4454" s="83" t="s">
        <v>17</v>
      </c>
      <c r="B4454" s="83"/>
      <c r="C4454" s="16">
        <v>46302</v>
      </c>
      <c r="D4454" s="82">
        <v>2834671.5400000005</v>
      </c>
    </row>
    <row r="4455" spans="1:4" x14ac:dyDescent="0.3">
      <c r="A4455" s="83" t="s">
        <v>18</v>
      </c>
      <c r="B4455" s="83"/>
      <c r="C4455" s="16">
        <v>46302</v>
      </c>
      <c r="D4455" s="82">
        <v>103123.59000000017</v>
      </c>
    </row>
    <row r="4456" spans="1:4" x14ac:dyDescent="0.3">
      <c r="A4456" s="83" t="s">
        <v>19</v>
      </c>
      <c r="B4456" s="83"/>
      <c r="C4456" s="16">
        <v>46302</v>
      </c>
      <c r="D4456" s="82">
        <v>1669.89</v>
      </c>
    </row>
    <row r="4457" spans="1:4" x14ac:dyDescent="0.3">
      <c r="A4457" s="83" t="s">
        <v>20</v>
      </c>
      <c r="B4457" s="83"/>
      <c r="C4457" s="16">
        <v>46302</v>
      </c>
      <c r="D4457" s="82">
        <v>1026832.7999999996</v>
      </c>
    </row>
    <row r="4458" spans="1:4" x14ac:dyDescent="0.3">
      <c r="A4458" s="83" t="s">
        <v>21</v>
      </c>
      <c r="B4458" s="83"/>
      <c r="C4458" s="16">
        <v>46302</v>
      </c>
      <c r="D4458" s="82">
        <v>1380670.9099999995</v>
      </c>
    </row>
    <row r="4459" spans="1:4" x14ac:dyDescent="0.3">
      <c r="A4459" s="83" t="s">
        <v>22</v>
      </c>
      <c r="B4459" s="83"/>
      <c r="C4459" s="16">
        <v>46302</v>
      </c>
      <c r="D4459" s="82">
        <v>181778.14</v>
      </c>
    </row>
    <row r="4460" spans="1:4" x14ac:dyDescent="0.3">
      <c r="A4460" s="83" t="s">
        <v>23</v>
      </c>
      <c r="B4460" s="83"/>
      <c r="C4460" s="16">
        <v>46302</v>
      </c>
      <c r="D4460" s="82">
        <v>80533.579999999987</v>
      </c>
    </row>
    <row r="4461" spans="1:4" x14ac:dyDescent="0.3">
      <c r="A4461" s="83" t="s">
        <v>24</v>
      </c>
      <c r="B4461" s="83"/>
      <c r="C4461" s="16">
        <v>46302</v>
      </c>
      <c r="D4461" s="82">
        <v>10259.18</v>
      </c>
    </row>
    <row r="4462" spans="1:4" x14ac:dyDescent="0.3">
      <c r="A4462" s="83" t="s">
        <v>25</v>
      </c>
      <c r="B4462" s="83"/>
      <c r="C4462" s="16">
        <v>46302</v>
      </c>
      <c r="D4462" s="82">
        <v>64.55</v>
      </c>
    </row>
    <row r="4463" spans="1:4" x14ac:dyDescent="0.3">
      <c r="A4463" s="83" t="s">
        <v>26</v>
      </c>
      <c r="B4463" s="83"/>
      <c r="C4463" s="16">
        <v>46302</v>
      </c>
      <c r="D4463" s="82">
        <v>2117.9700000000003</v>
      </c>
    </row>
    <row r="4464" spans="1:4" x14ac:dyDescent="0.3">
      <c r="A4464" s="83" t="s">
        <v>27</v>
      </c>
      <c r="B4464" s="83"/>
      <c r="C4464" s="16">
        <v>46302</v>
      </c>
      <c r="D4464" s="82">
        <v>17895.290000000015</v>
      </c>
    </row>
    <row r="4465" spans="1:4" x14ac:dyDescent="0.3">
      <c r="A4465" s="83" t="s">
        <v>28</v>
      </c>
      <c r="B4465" s="83"/>
      <c r="C4465" s="16">
        <v>46302</v>
      </c>
      <c r="D4465" s="82">
        <v>1968.99</v>
      </c>
    </row>
    <row r="4466" spans="1:4" x14ac:dyDescent="0.3">
      <c r="A4466" s="83" t="s">
        <v>29</v>
      </c>
      <c r="B4466" s="83"/>
      <c r="C4466" s="16">
        <v>46302</v>
      </c>
      <c r="D4466" s="82">
        <v>901.34</v>
      </c>
    </row>
    <row r="4467" spans="1:4" x14ac:dyDescent="0.3">
      <c r="A4467" s="83" t="s">
        <v>30</v>
      </c>
      <c r="B4467" s="83"/>
      <c r="C4467" s="16">
        <v>46302</v>
      </c>
      <c r="D4467" s="82">
        <v>1364.08</v>
      </c>
    </row>
    <row r="4468" spans="1:4" x14ac:dyDescent="0.3">
      <c r="A4468" s="83" t="s">
        <v>31</v>
      </c>
      <c r="B4468" s="83"/>
      <c r="C4468" s="16">
        <v>46302</v>
      </c>
      <c r="D4468" s="82">
        <v>20171.549999999959</v>
      </c>
    </row>
    <row r="4469" spans="1:4" x14ac:dyDescent="0.3">
      <c r="A4469" s="83" t="s">
        <v>32</v>
      </c>
      <c r="B4469" s="83"/>
      <c r="C4469" s="16">
        <v>46302</v>
      </c>
      <c r="D4469" s="82">
        <v>13576.060000000007</v>
      </c>
    </row>
    <row r="4470" spans="1:4" x14ac:dyDescent="0.3">
      <c r="A4470" s="83" t="s">
        <v>33</v>
      </c>
      <c r="B4470" s="83"/>
      <c r="C4470" s="16">
        <v>46302</v>
      </c>
      <c r="D4470" s="82">
        <v>16893.769999999997</v>
      </c>
    </row>
    <row r="4471" spans="1:4" x14ac:dyDescent="0.3">
      <c r="A4471" s="83" t="s">
        <v>34</v>
      </c>
      <c r="B4471" s="83"/>
      <c r="C4471" s="16">
        <v>46302</v>
      </c>
      <c r="D4471" s="82">
        <v>345</v>
      </c>
    </row>
    <row r="4472" spans="1:4" x14ac:dyDescent="0.3">
      <c r="A4472" s="83" t="s">
        <v>35</v>
      </c>
      <c r="B4472" s="83"/>
      <c r="C4472" s="16">
        <v>46302</v>
      </c>
      <c r="D4472" s="82">
        <v>23077.850000000002</v>
      </c>
    </row>
    <row r="4473" spans="1:4" x14ac:dyDescent="0.3">
      <c r="A4473" s="83" t="s">
        <v>193</v>
      </c>
      <c r="B4473" s="83"/>
      <c r="C4473" s="16">
        <v>46302</v>
      </c>
      <c r="D4473" s="82">
        <v>310854.86000000004</v>
      </c>
    </row>
    <row r="4474" spans="1:4" x14ac:dyDescent="0.3">
      <c r="A4474" s="83" t="s">
        <v>214</v>
      </c>
      <c r="B4474" s="83"/>
      <c r="C4474" s="16">
        <v>46302</v>
      </c>
      <c r="D4474" s="82">
        <v>101647.52000000002</v>
      </c>
    </row>
    <row r="4475" spans="1:4" x14ac:dyDescent="0.3">
      <c r="A4475" s="83" t="s">
        <v>194</v>
      </c>
      <c r="B4475" s="83"/>
      <c r="C4475" s="16">
        <v>46302</v>
      </c>
      <c r="D4475" s="82">
        <v>90631.96</v>
      </c>
    </row>
    <row r="4476" spans="1:4" x14ac:dyDescent="0.3">
      <c r="A4476" s="83" t="s">
        <v>195</v>
      </c>
      <c r="B4476" s="83"/>
      <c r="C4476" s="16">
        <v>46302</v>
      </c>
      <c r="D4476" s="82">
        <v>5604.8</v>
      </c>
    </row>
    <row r="4477" spans="1:4" x14ac:dyDescent="0.3">
      <c r="A4477" s="83" t="s">
        <v>196</v>
      </c>
      <c r="B4477" s="83"/>
      <c r="C4477" s="16">
        <v>46302</v>
      </c>
      <c r="D4477" s="82">
        <v>21397.339999999967</v>
      </c>
    </row>
    <row r="4478" spans="1:4" x14ac:dyDescent="0.3">
      <c r="A4478" s="83" t="s">
        <v>197</v>
      </c>
      <c r="B4478" s="83"/>
      <c r="C4478" s="16">
        <v>46302</v>
      </c>
      <c r="D4478" s="82">
        <v>794.01</v>
      </c>
    </row>
    <row r="4479" spans="1:4" x14ac:dyDescent="0.3">
      <c r="A4479" s="83" t="s">
        <v>212</v>
      </c>
      <c r="B4479" s="83"/>
      <c r="C4479" s="16">
        <v>46302</v>
      </c>
      <c r="D4479" s="82">
        <v>5445.57</v>
      </c>
    </row>
    <row r="4480" spans="1:4" x14ac:dyDescent="0.3">
      <c r="A4480" s="83" t="s">
        <v>199</v>
      </c>
      <c r="B4480" s="83"/>
      <c r="C4480" s="16">
        <v>46302</v>
      </c>
      <c r="D4480" s="82">
        <v>240473.16999999998</v>
      </c>
    </row>
    <row r="4481" spans="1:4" x14ac:dyDescent="0.3">
      <c r="A4481" s="83" t="s">
        <v>216</v>
      </c>
      <c r="B4481" s="83"/>
      <c r="C4481" s="16">
        <v>46302</v>
      </c>
      <c r="D4481" s="82">
        <v>351319.16</v>
      </c>
    </row>
    <row r="4482" spans="1:4" x14ac:dyDescent="0.3">
      <c r="A4482" s="83" t="s">
        <v>17</v>
      </c>
      <c r="B4482" s="83"/>
      <c r="C4482" s="16">
        <v>46303</v>
      </c>
      <c r="D4482" s="82">
        <v>2834671.5400000005</v>
      </c>
    </row>
    <row r="4483" spans="1:4" x14ac:dyDescent="0.3">
      <c r="A4483" s="83" t="s">
        <v>18</v>
      </c>
      <c r="B4483" s="83"/>
      <c r="C4483" s="16">
        <v>46303</v>
      </c>
      <c r="D4483" s="82">
        <v>103123.59000000017</v>
      </c>
    </row>
    <row r="4484" spans="1:4" x14ac:dyDescent="0.3">
      <c r="A4484" s="83" t="s">
        <v>19</v>
      </c>
      <c r="B4484" s="83"/>
      <c r="C4484" s="16">
        <v>46303</v>
      </c>
      <c r="D4484" s="82">
        <v>1669.89</v>
      </c>
    </row>
    <row r="4485" spans="1:4" x14ac:dyDescent="0.3">
      <c r="A4485" s="83" t="s">
        <v>20</v>
      </c>
      <c r="B4485" s="83"/>
      <c r="C4485" s="16">
        <v>46303</v>
      </c>
      <c r="D4485" s="82">
        <v>1026832.7999999996</v>
      </c>
    </row>
    <row r="4486" spans="1:4" x14ac:dyDescent="0.3">
      <c r="A4486" s="83" t="s">
        <v>21</v>
      </c>
      <c r="B4486" s="83"/>
      <c r="C4486" s="16">
        <v>46303</v>
      </c>
      <c r="D4486" s="82">
        <v>1378430.5699999994</v>
      </c>
    </row>
    <row r="4487" spans="1:4" x14ac:dyDescent="0.3">
      <c r="A4487" s="83" t="s">
        <v>22</v>
      </c>
      <c r="B4487" s="83"/>
      <c r="C4487" s="16">
        <v>46303</v>
      </c>
      <c r="D4487" s="82">
        <v>181778.14</v>
      </c>
    </row>
    <row r="4488" spans="1:4" x14ac:dyDescent="0.3">
      <c r="A4488" s="83" t="s">
        <v>23</v>
      </c>
      <c r="B4488" s="83"/>
      <c r="C4488" s="16">
        <v>46303</v>
      </c>
      <c r="D4488" s="82">
        <v>80533.579999999987</v>
      </c>
    </row>
    <row r="4489" spans="1:4" x14ac:dyDescent="0.3">
      <c r="A4489" s="83" t="s">
        <v>24</v>
      </c>
      <c r="B4489" s="83"/>
      <c r="C4489" s="16">
        <v>46303</v>
      </c>
      <c r="D4489" s="82">
        <v>10259.18</v>
      </c>
    </row>
    <row r="4490" spans="1:4" x14ac:dyDescent="0.3">
      <c r="A4490" s="83" t="s">
        <v>25</v>
      </c>
      <c r="B4490" s="83"/>
      <c r="C4490" s="16">
        <v>46303</v>
      </c>
      <c r="D4490" s="82">
        <v>64.55</v>
      </c>
    </row>
    <row r="4491" spans="1:4" x14ac:dyDescent="0.3">
      <c r="A4491" s="83" t="s">
        <v>26</v>
      </c>
      <c r="B4491" s="83"/>
      <c r="C4491" s="16">
        <v>46303</v>
      </c>
      <c r="D4491" s="82">
        <v>2117.9700000000003</v>
      </c>
    </row>
    <row r="4492" spans="1:4" x14ac:dyDescent="0.3">
      <c r="A4492" s="83" t="s">
        <v>27</v>
      </c>
      <c r="B4492" s="83"/>
      <c r="C4492" s="16">
        <v>46303</v>
      </c>
      <c r="D4492" s="82">
        <v>17895.290000000015</v>
      </c>
    </row>
    <row r="4493" spans="1:4" x14ac:dyDescent="0.3">
      <c r="A4493" s="83" t="s">
        <v>28</v>
      </c>
      <c r="B4493" s="83"/>
      <c r="C4493" s="16">
        <v>46303</v>
      </c>
      <c r="D4493" s="82">
        <v>1968.99</v>
      </c>
    </row>
    <row r="4494" spans="1:4" x14ac:dyDescent="0.3">
      <c r="A4494" s="83" t="s">
        <v>29</v>
      </c>
      <c r="B4494" s="83"/>
      <c r="C4494" s="16">
        <v>46303</v>
      </c>
      <c r="D4494" s="82">
        <v>901.34</v>
      </c>
    </row>
    <row r="4495" spans="1:4" x14ac:dyDescent="0.3">
      <c r="A4495" s="83" t="s">
        <v>30</v>
      </c>
      <c r="B4495" s="83"/>
      <c r="C4495" s="16">
        <v>46303</v>
      </c>
      <c r="D4495" s="82">
        <v>1364.08</v>
      </c>
    </row>
    <row r="4496" spans="1:4" x14ac:dyDescent="0.3">
      <c r="A4496" s="83" t="s">
        <v>31</v>
      </c>
      <c r="B4496" s="83"/>
      <c r="C4496" s="16">
        <v>46303</v>
      </c>
      <c r="D4496" s="82">
        <v>20171.549999999959</v>
      </c>
    </row>
    <row r="4497" spans="1:4" x14ac:dyDescent="0.3">
      <c r="A4497" s="83" t="s">
        <v>32</v>
      </c>
      <c r="B4497" s="83"/>
      <c r="C4497" s="16">
        <v>46303</v>
      </c>
      <c r="D4497" s="82">
        <v>13576.060000000007</v>
      </c>
    </row>
    <row r="4498" spans="1:4" x14ac:dyDescent="0.3">
      <c r="A4498" s="83" t="s">
        <v>33</v>
      </c>
      <c r="B4498" s="83"/>
      <c r="C4498" s="16">
        <v>46303</v>
      </c>
      <c r="D4498" s="82">
        <v>16893.769999999997</v>
      </c>
    </row>
    <row r="4499" spans="1:4" x14ac:dyDescent="0.3">
      <c r="A4499" s="83" t="s">
        <v>34</v>
      </c>
      <c r="B4499" s="83"/>
      <c r="C4499" s="16">
        <v>46303</v>
      </c>
      <c r="D4499" s="82">
        <v>345</v>
      </c>
    </row>
    <row r="4500" spans="1:4" x14ac:dyDescent="0.3">
      <c r="A4500" s="83" t="s">
        <v>35</v>
      </c>
      <c r="B4500" s="83"/>
      <c r="C4500" s="16">
        <v>46303</v>
      </c>
      <c r="D4500" s="82">
        <v>23077.850000000002</v>
      </c>
    </row>
    <row r="4501" spans="1:4" x14ac:dyDescent="0.3">
      <c r="A4501" s="83" t="s">
        <v>193</v>
      </c>
      <c r="B4501" s="83"/>
      <c r="C4501" s="16">
        <v>46303</v>
      </c>
      <c r="D4501" s="82">
        <v>310854.86000000004</v>
      </c>
    </row>
    <row r="4502" spans="1:4" x14ac:dyDescent="0.3">
      <c r="A4502" s="83" t="s">
        <v>214</v>
      </c>
      <c r="B4502" s="83"/>
      <c r="C4502" s="16">
        <v>46303</v>
      </c>
      <c r="D4502" s="82">
        <v>101691.71000000002</v>
      </c>
    </row>
    <row r="4503" spans="1:4" x14ac:dyDescent="0.3">
      <c r="A4503" s="83" t="s">
        <v>194</v>
      </c>
      <c r="B4503" s="83"/>
      <c r="C4503" s="16">
        <v>46303</v>
      </c>
      <c r="D4503" s="82">
        <v>90631.96</v>
      </c>
    </row>
    <row r="4504" spans="1:4" x14ac:dyDescent="0.3">
      <c r="A4504" s="83" t="s">
        <v>195</v>
      </c>
      <c r="B4504" s="83"/>
      <c r="C4504" s="16">
        <v>46303</v>
      </c>
      <c r="D4504" s="82">
        <v>5604.8</v>
      </c>
    </row>
    <row r="4505" spans="1:4" x14ac:dyDescent="0.3">
      <c r="A4505" s="83" t="s">
        <v>196</v>
      </c>
      <c r="B4505" s="83"/>
      <c r="C4505" s="16">
        <v>46303</v>
      </c>
      <c r="D4505" s="82">
        <v>21397.339999999967</v>
      </c>
    </row>
    <row r="4506" spans="1:4" x14ac:dyDescent="0.3">
      <c r="A4506" s="83" t="s">
        <v>197</v>
      </c>
      <c r="B4506" s="83"/>
      <c r="C4506" s="16">
        <v>46303</v>
      </c>
      <c r="D4506" s="82">
        <v>794.01</v>
      </c>
    </row>
    <row r="4507" spans="1:4" x14ac:dyDescent="0.3">
      <c r="A4507" s="83" t="s">
        <v>212</v>
      </c>
      <c r="B4507" s="83"/>
      <c r="C4507" s="16">
        <v>46303</v>
      </c>
      <c r="D4507" s="82">
        <v>5445.57</v>
      </c>
    </row>
    <row r="4508" spans="1:4" x14ac:dyDescent="0.3">
      <c r="A4508" s="83" t="s">
        <v>199</v>
      </c>
      <c r="B4508" s="83"/>
      <c r="C4508" s="16">
        <v>46303</v>
      </c>
      <c r="D4508" s="82">
        <v>240473.16999999998</v>
      </c>
    </row>
    <row r="4509" spans="1:4" x14ac:dyDescent="0.3">
      <c r="A4509" s="83" t="s">
        <v>216</v>
      </c>
      <c r="B4509" s="83"/>
      <c r="C4509" s="16">
        <v>46303</v>
      </c>
      <c r="D4509" s="82">
        <v>351319.16</v>
      </c>
    </row>
    <row r="4510" spans="1:4" x14ac:dyDescent="0.3">
      <c r="A4510" s="83" t="s">
        <v>17</v>
      </c>
      <c r="B4510" s="83"/>
      <c r="C4510" s="16">
        <v>46304</v>
      </c>
      <c r="D4510" s="82">
        <v>2834671.5400000005</v>
      </c>
    </row>
    <row r="4511" spans="1:4" x14ac:dyDescent="0.3">
      <c r="A4511" s="83" t="s">
        <v>18</v>
      </c>
      <c r="B4511" s="83"/>
      <c r="C4511" s="16">
        <v>46304</v>
      </c>
      <c r="D4511" s="82">
        <v>103123.59000000017</v>
      </c>
    </row>
    <row r="4512" spans="1:4" x14ac:dyDescent="0.3">
      <c r="A4512" s="83" t="s">
        <v>19</v>
      </c>
      <c r="B4512" s="83"/>
      <c r="C4512" s="16">
        <v>46304</v>
      </c>
      <c r="D4512" s="82">
        <v>1669.89</v>
      </c>
    </row>
    <row r="4513" spans="1:4" x14ac:dyDescent="0.3">
      <c r="A4513" s="83" t="s">
        <v>20</v>
      </c>
      <c r="B4513" s="83"/>
      <c r="C4513" s="16">
        <v>46304</v>
      </c>
      <c r="D4513" s="82">
        <v>1026832.7999999996</v>
      </c>
    </row>
    <row r="4514" spans="1:4" x14ac:dyDescent="0.3">
      <c r="A4514" s="83" t="s">
        <v>21</v>
      </c>
      <c r="B4514" s="83"/>
      <c r="C4514" s="16">
        <v>46304</v>
      </c>
      <c r="D4514" s="82">
        <v>1377138.9199999995</v>
      </c>
    </row>
    <row r="4515" spans="1:4" x14ac:dyDescent="0.3">
      <c r="A4515" s="83" t="s">
        <v>22</v>
      </c>
      <c r="B4515" s="83"/>
      <c r="C4515" s="16">
        <v>46304</v>
      </c>
      <c r="D4515" s="82">
        <v>181778.14</v>
      </c>
    </row>
    <row r="4516" spans="1:4" x14ac:dyDescent="0.3">
      <c r="A4516" s="83" t="s">
        <v>23</v>
      </c>
      <c r="B4516" s="83"/>
      <c r="C4516" s="16">
        <v>46304</v>
      </c>
      <c r="D4516" s="82">
        <v>80533.579999999987</v>
      </c>
    </row>
    <row r="4517" spans="1:4" x14ac:dyDescent="0.3">
      <c r="A4517" s="83" t="s">
        <v>24</v>
      </c>
      <c r="B4517" s="83"/>
      <c r="C4517" s="16">
        <v>46304</v>
      </c>
      <c r="D4517" s="82">
        <v>10259.18</v>
      </c>
    </row>
    <row r="4518" spans="1:4" x14ac:dyDescent="0.3">
      <c r="A4518" s="83" t="s">
        <v>25</v>
      </c>
      <c r="B4518" s="83"/>
      <c r="C4518" s="16">
        <v>46304</v>
      </c>
      <c r="D4518" s="82">
        <v>64.55</v>
      </c>
    </row>
    <row r="4519" spans="1:4" x14ac:dyDescent="0.3">
      <c r="A4519" s="83" t="s">
        <v>26</v>
      </c>
      <c r="B4519" s="83"/>
      <c r="C4519" s="16">
        <v>46304</v>
      </c>
      <c r="D4519" s="82">
        <v>2117.9700000000003</v>
      </c>
    </row>
    <row r="4520" spans="1:4" x14ac:dyDescent="0.3">
      <c r="A4520" s="83" t="s">
        <v>27</v>
      </c>
      <c r="B4520" s="83"/>
      <c r="C4520" s="16">
        <v>46304</v>
      </c>
      <c r="D4520" s="82">
        <v>17895.290000000015</v>
      </c>
    </row>
    <row r="4521" spans="1:4" x14ac:dyDescent="0.3">
      <c r="A4521" s="83" t="s">
        <v>28</v>
      </c>
      <c r="B4521" s="83"/>
      <c r="C4521" s="16">
        <v>46304</v>
      </c>
      <c r="D4521" s="82">
        <v>1968.99</v>
      </c>
    </row>
    <row r="4522" spans="1:4" x14ac:dyDescent="0.3">
      <c r="A4522" s="83" t="s">
        <v>29</v>
      </c>
      <c r="B4522" s="83"/>
      <c r="C4522" s="16">
        <v>46304</v>
      </c>
      <c r="D4522" s="82">
        <v>901.34</v>
      </c>
    </row>
    <row r="4523" spans="1:4" x14ac:dyDescent="0.3">
      <c r="A4523" s="83" t="s">
        <v>30</v>
      </c>
      <c r="B4523" s="83"/>
      <c r="C4523" s="16">
        <v>46304</v>
      </c>
      <c r="D4523" s="82">
        <v>1364.08</v>
      </c>
    </row>
    <row r="4524" spans="1:4" x14ac:dyDescent="0.3">
      <c r="A4524" s="83" t="s">
        <v>31</v>
      </c>
      <c r="B4524" s="83"/>
      <c r="C4524" s="16">
        <v>46304</v>
      </c>
      <c r="D4524" s="82">
        <v>20171.549999999959</v>
      </c>
    </row>
    <row r="4525" spans="1:4" x14ac:dyDescent="0.3">
      <c r="A4525" s="83" t="s">
        <v>32</v>
      </c>
      <c r="B4525" s="83"/>
      <c r="C4525" s="16">
        <v>46304</v>
      </c>
      <c r="D4525" s="82">
        <v>13576.060000000007</v>
      </c>
    </row>
    <row r="4526" spans="1:4" x14ac:dyDescent="0.3">
      <c r="A4526" s="83" t="s">
        <v>33</v>
      </c>
      <c r="B4526" s="83"/>
      <c r="C4526" s="16">
        <v>46304</v>
      </c>
      <c r="D4526" s="82">
        <v>16893.769999999997</v>
      </c>
    </row>
    <row r="4527" spans="1:4" x14ac:dyDescent="0.3">
      <c r="A4527" s="83" t="s">
        <v>34</v>
      </c>
      <c r="B4527" s="83"/>
      <c r="C4527" s="16">
        <v>46304</v>
      </c>
      <c r="D4527" s="82">
        <v>345</v>
      </c>
    </row>
    <row r="4528" spans="1:4" x14ac:dyDescent="0.3">
      <c r="A4528" s="83" t="s">
        <v>35</v>
      </c>
      <c r="B4528" s="83"/>
      <c r="C4528" s="16">
        <v>46304</v>
      </c>
      <c r="D4528" s="82">
        <v>23077.850000000002</v>
      </c>
    </row>
    <row r="4529" spans="1:4" x14ac:dyDescent="0.3">
      <c r="A4529" s="83" t="s">
        <v>193</v>
      </c>
      <c r="B4529" s="83"/>
      <c r="C4529" s="16">
        <v>46304</v>
      </c>
      <c r="D4529" s="82">
        <v>310854.86000000004</v>
      </c>
    </row>
    <row r="4530" spans="1:4" x14ac:dyDescent="0.3">
      <c r="A4530" s="83" t="s">
        <v>214</v>
      </c>
      <c r="B4530" s="83"/>
      <c r="C4530" s="16">
        <v>46304</v>
      </c>
      <c r="D4530" s="82">
        <v>101691.71000000002</v>
      </c>
    </row>
    <row r="4531" spans="1:4" x14ac:dyDescent="0.3">
      <c r="A4531" s="83" t="s">
        <v>194</v>
      </c>
      <c r="B4531" s="83"/>
      <c r="C4531" s="16">
        <v>46304</v>
      </c>
      <c r="D4531" s="82">
        <v>90631.96</v>
      </c>
    </row>
    <row r="4532" spans="1:4" x14ac:dyDescent="0.3">
      <c r="A4532" s="83" t="s">
        <v>195</v>
      </c>
      <c r="B4532" s="83"/>
      <c r="C4532" s="16">
        <v>46304</v>
      </c>
      <c r="D4532" s="82">
        <v>5604.8</v>
      </c>
    </row>
    <row r="4533" spans="1:4" x14ac:dyDescent="0.3">
      <c r="A4533" s="83" t="s">
        <v>196</v>
      </c>
      <c r="B4533" s="83"/>
      <c r="C4533" s="16">
        <v>46304</v>
      </c>
      <c r="D4533" s="82">
        <v>21397.339999999967</v>
      </c>
    </row>
    <row r="4534" spans="1:4" x14ac:dyDescent="0.3">
      <c r="A4534" s="83" t="s">
        <v>197</v>
      </c>
      <c r="B4534" s="83"/>
      <c r="C4534" s="16">
        <v>46304</v>
      </c>
      <c r="D4534" s="82">
        <v>794.01</v>
      </c>
    </row>
    <row r="4535" spans="1:4" x14ac:dyDescent="0.3">
      <c r="A4535" s="83" t="s">
        <v>212</v>
      </c>
      <c r="B4535" s="83"/>
      <c r="C4535" s="16">
        <v>46304</v>
      </c>
      <c r="D4535" s="82">
        <v>5445.57</v>
      </c>
    </row>
    <row r="4536" spans="1:4" x14ac:dyDescent="0.3">
      <c r="A4536" s="83" t="s">
        <v>199</v>
      </c>
      <c r="B4536" s="83"/>
      <c r="C4536" s="16">
        <v>46304</v>
      </c>
      <c r="D4536" s="82">
        <v>240473.16999999998</v>
      </c>
    </row>
    <row r="4537" spans="1:4" x14ac:dyDescent="0.3">
      <c r="A4537" s="83" t="s">
        <v>216</v>
      </c>
      <c r="B4537" s="83"/>
      <c r="C4537" s="16">
        <v>46304</v>
      </c>
      <c r="D4537" s="82">
        <v>351319.16</v>
      </c>
    </row>
    <row r="4538" spans="1:4" x14ac:dyDescent="0.3">
      <c r="A4538" s="83" t="s">
        <v>17</v>
      </c>
      <c r="B4538" s="83"/>
      <c r="C4538" s="16">
        <v>46305</v>
      </c>
      <c r="D4538" s="82">
        <v>2834671.5400000005</v>
      </c>
    </row>
    <row r="4539" spans="1:4" x14ac:dyDescent="0.3">
      <c r="A4539" s="83" t="s">
        <v>18</v>
      </c>
      <c r="B4539" s="83"/>
      <c r="C4539" s="16">
        <v>46305</v>
      </c>
      <c r="D4539" s="82">
        <v>103123.59000000017</v>
      </c>
    </row>
    <row r="4540" spans="1:4" x14ac:dyDescent="0.3">
      <c r="A4540" s="83" t="s">
        <v>19</v>
      </c>
      <c r="B4540" s="83"/>
      <c r="C4540" s="16">
        <v>46305</v>
      </c>
      <c r="D4540" s="82">
        <v>1669.89</v>
      </c>
    </row>
    <row r="4541" spans="1:4" x14ac:dyDescent="0.3">
      <c r="A4541" s="83" t="s">
        <v>20</v>
      </c>
      <c r="B4541" s="83"/>
      <c r="C4541" s="16">
        <v>46305</v>
      </c>
      <c r="D4541" s="82">
        <v>1026832.7999999996</v>
      </c>
    </row>
    <row r="4542" spans="1:4" x14ac:dyDescent="0.3">
      <c r="A4542" s="83" t="s">
        <v>21</v>
      </c>
      <c r="B4542" s="83"/>
      <c r="C4542" s="16">
        <v>46305</v>
      </c>
      <c r="D4542" s="82">
        <v>1340096.4199999995</v>
      </c>
    </row>
    <row r="4543" spans="1:4" x14ac:dyDescent="0.3">
      <c r="A4543" s="83" t="s">
        <v>22</v>
      </c>
      <c r="B4543" s="83"/>
      <c r="C4543" s="16">
        <v>46305</v>
      </c>
      <c r="D4543" s="82">
        <v>181778.14</v>
      </c>
    </row>
    <row r="4544" spans="1:4" x14ac:dyDescent="0.3">
      <c r="A4544" s="83" t="s">
        <v>23</v>
      </c>
      <c r="B4544" s="83"/>
      <c r="C4544" s="16">
        <v>46305</v>
      </c>
      <c r="D4544" s="82">
        <v>80533.579999999987</v>
      </c>
    </row>
    <row r="4545" spans="1:4" x14ac:dyDescent="0.3">
      <c r="A4545" s="83" t="s">
        <v>24</v>
      </c>
      <c r="B4545" s="83"/>
      <c r="C4545" s="16">
        <v>46305</v>
      </c>
      <c r="D4545" s="82">
        <v>10259.18</v>
      </c>
    </row>
    <row r="4546" spans="1:4" x14ac:dyDescent="0.3">
      <c r="A4546" s="83" t="s">
        <v>25</v>
      </c>
      <c r="B4546" s="83"/>
      <c r="C4546" s="16">
        <v>46305</v>
      </c>
      <c r="D4546" s="82">
        <v>64.55</v>
      </c>
    </row>
    <row r="4547" spans="1:4" x14ac:dyDescent="0.3">
      <c r="A4547" s="83" t="s">
        <v>26</v>
      </c>
      <c r="B4547" s="83"/>
      <c r="C4547" s="16">
        <v>46305</v>
      </c>
      <c r="D4547" s="82">
        <v>2117.9700000000003</v>
      </c>
    </row>
    <row r="4548" spans="1:4" x14ac:dyDescent="0.3">
      <c r="A4548" s="83" t="s">
        <v>27</v>
      </c>
      <c r="B4548" s="83"/>
      <c r="C4548" s="16">
        <v>46305</v>
      </c>
      <c r="D4548" s="82">
        <v>17895.290000000015</v>
      </c>
    </row>
    <row r="4549" spans="1:4" x14ac:dyDescent="0.3">
      <c r="A4549" s="83" t="s">
        <v>28</v>
      </c>
      <c r="B4549" s="83"/>
      <c r="C4549" s="16">
        <v>46305</v>
      </c>
      <c r="D4549" s="82">
        <v>1968.99</v>
      </c>
    </row>
    <row r="4550" spans="1:4" x14ac:dyDescent="0.3">
      <c r="A4550" s="83" t="s">
        <v>29</v>
      </c>
      <c r="B4550" s="83"/>
      <c r="C4550" s="16">
        <v>46305</v>
      </c>
      <c r="D4550" s="82">
        <v>901.34</v>
      </c>
    </row>
    <row r="4551" spans="1:4" x14ac:dyDescent="0.3">
      <c r="A4551" s="83" t="s">
        <v>30</v>
      </c>
      <c r="B4551" s="83"/>
      <c r="C4551" s="16">
        <v>46305</v>
      </c>
      <c r="D4551" s="82">
        <v>1364.08</v>
      </c>
    </row>
    <row r="4552" spans="1:4" x14ac:dyDescent="0.3">
      <c r="A4552" s="83" t="s">
        <v>31</v>
      </c>
      <c r="B4552" s="83"/>
      <c r="C4552" s="16">
        <v>46305</v>
      </c>
      <c r="D4552" s="82">
        <v>20171.549999999959</v>
      </c>
    </row>
    <row r="4553" spans="1:4" x14ac:dyDescent="0.3">
      <c r="A4553" s="83" t="s">
        <v>32</v>
      </c>
      <c r="B4553" s="83"/>
      <c r="C4553" s="16">
        <v>46305</v>
      </c>
      <c r="D4553" s="82">
        <v>13576.060000000007</v>
      </c>
    </row>
    <row r="4554" spans="1:4" x14ac:dyDescent="0.3">
      <c r="A4554" s="83" t="s">
        <v>33</v>
      </c>
      <c r="B4554" s="83"/>
      <c r="C4554" s="16">
        <v>46305</v>
      </c>
      <c r="D4554" s="82">
        <v>16893.769999999997</v>
      </c>
    </row>
    <row r="4555" spans="1:4" x14ac:dyDescent="0.3">
      <c r="A4555" s="83" t="s">
        <v>34</v>
      </c>
      <c r="B4555" s="83"/>
      <c r="C4555" s="16">
        <v>46305</v>
      </c>
      <c r="D4555" s="82">
        <v>345</v>
      </c>
    </row>
    <row r="4556" spans="1:4" x14ac:dyDescent="0.3">
      <c r="A4556" s="83" t="s">
        <v>35</v>
      </c>
      <c r="B4556" s="83"/>
      <c r="C4556" s="16">
        <v>46305</v>
      </c>
      <c r="D4556" s="82">
        <v>23077.850000000002</v>
      </c>
    </row>
    <row r="4557" spans="1:4" x14ac:dyDescent="0.3">
      <c r="A4557" s="83" t="s">
        <v>193</v>
      </c>
      <c r="B4557" s="83"/>
      <c r="C4557" s="16">
        <v>46305</v>
      </c>
      <c r="D4557" s="82">
        <v>310854.86000000004</v>
      </c>
    </row>
    <row r="4558" spans="1:4" x14ac:dyDescent="0.3">
      <c r="A4558" s="83" t="s">
        <v>214</v>
      </c>
      <c r="B4558" s="83"/>
      <c r="C4558" s="16">
        <v>46305</v>
      </c>
      <c r="D4558" s="82">
        <v>101132.39000000001</v>
      </c>
    </row>
    <row r="4559" spans="1:4" x14ac:dyDescent="0.3">
      <c r="A4559" s="83" t="s">
        <v>194</v>
      </c>
      <c r="B4559" s="83"/>
      <c r="C4559" s="16">
        <v>46305</v>
      </c>
      <c r="D4559" s="82">
        <v>90631.96</v>
      </c>
    </row>
    <row r="4560" spans="1:4" x14ac:dyDescent="0.3">
      <c r="A4560" s="83" t="s">
        <v>195</v>
      </c>
      <c r="B4560" s="83"/>
      <c r="C4560" s="16">
        <v>46305</v>
      </c>
      <c r="D4560" s="82">
        <v>5604.8</v>
      </c>
    </row>
    <row r="4561" spans="1:4" x14ac:dyDescent="0.3">
      <c r="A4561" s="83" t="s">
        <v>196</v>
      </c>
      <c r="B4561" s="83"/>
      <c r="C4561" s="16">
        <v>46305</v>
      </c>
      <c r="D4561" s="82">
        <v>21397.339999999967</v>
      </c>
    </row>
    <row r="4562" spans="1:4" x14ac:dyDescent="0.3">
      <c r="A4562" s="83" t="s">
        <v>197</v>
      </c>
      <c r="B4562" s="83"/>
      <c r="C4562" s="16">
        <v>46305</v>
      </c>
      <c r="D4562" s="82">
        <v>794.01</v>
      </c>
    </row>
    <row r="4563" spans="1:4" x14ac:dyDescent="0.3">
      <c r="A4563" s="83" t="s">
        <v>212</v>
      </c>
      <c r="B4563" s="83"/>
      <c r="C4563" s="16">
        <v>46305</v>
      </c>
      <c r="D4563" s="82">
        <v>5445.57</v>
      </c>
    </row>
    <row r="4564" spans="1:4" x14ac:dyDescent="0.3">
      <c r="A4564" s="83" t="s">
        <v>199</v>
      </c>
      <c r="B4564" s="83"/>
      <c r="C4564" s="16">
        <v>46305</v>
      </c>
      <c r="D4564" s="82">
        <v>240473.16999999998</v>
      </c>
    </row>
    <row r="4565" spans="1:4" x14ac:dyDescent="0.3">
      <c r="A4565" s="83" t="s">
        <v>216</v>
      </c>
      <c r="B4565" s="83"/>
      <c r="C4565" s="16">
        <v>46305</v>
      </c>
      <c r="D4565" s="82">
        <v>351319.16</v>
      </c>
    </row>
    <row r="4566" spans="1:4" x14ac:dyDescent="0.3">
      <c r="A4566" s="83" t="s">
        <v>17</v>
      </c>
      <c r="B4566" s="83"/>
      <c r="C4566" s="16">
        <v>46306</v>
      </c>
      <c r="D4566" s="82">
        <v>2834671.5400000005</v>
      </c>
    </row>
    <row r="4567" spans="1:4" x14ac:dyDescent="0.3">
      <c r="A4567" s="83" t="s">
        <v>18</v>
      </c>
      <c r="B4567" s="83"/>
      <c r="C4567" s="16">
        <v>46306</v>
      </c>
      <c r="D4567" s="82">
        <v>103123.59000000017</v>
      </c>
    </row>
    <row r="4568" spans="1:4" x14ac:dyDescent="0.3">
      <c r="A4568" s="83" t="s">
        <v>19</v>
      </c>
      <c r="B4568" s="83"/>
      <c r="C4568" s="16">
        <v>46306</v>
      </c>
      <c r="D4568" s="82">
        <v>1669.89</v>
      </c>
    </row>
    <row r="4569" spans="1:4" x14ac:dyDescent="0.3">
      <c r="A4569" s="83" t="s">
        <v>20</v>
      </c>
      <c r="B4569" s="83"/>
      <c r="C4569" s="16">
        <v>46306</v>
      </c>
      <c r="D4569" s="82">
        <v>1026832.7999999996</v>
      </c>
    </row>
    <row r="4570" spans="1:4" x14ac:dyDescent="0.3">
      <c r="A4570" s="83" t="s">
        <v>21</v>
      </c>
      <c r="B4570" s="83"/>
      <c r="C4570" s="16">
        <v>46306</v>
      </c>
      <c r="D4570" s="82">
        <v>1340096.4199999995</v>
      </c>
    </row>
    <row r="4571" spans="1:4" x14ac:dyDescent="0.3">
      <c r="A4571" s="83" t="s">
        <v>22</v>
      </c>
      <c r="B4571" s="83"/>
      <c r="C4571" s="16">
        <v>46306</v>
      </c>
      <c r="D4571" s="82">
        <v>181778.14</v>
      </c>
    </row>
    <row r="4572" spans="1:4" x14ac:dyDescent="0.3">
      <c r="A4572" s="83" t="s">
        <v>23</v>
      </c>
      <c r="B4572" s="83"/>
      <c r="C4572" s="16">
        <v>46306</v>
      </c>
      <c r="D4572" s="82">
        <v>80533.579999999987</v>
      </c>
    </row>
    <row r="4573" spans="1:4" x14ac:dyDescent="0.3">
      <c r="A4573" s="83" t="s">
        <v>24</v>
      </c>
      <c r="B4573" s="83"/>
      <c r="C4573" s="16">
        <v>46306</v>
      </c>
      <c r="D4573" s="82">
        <v>10259.18</v>
      </c>
    </row>
    <row r="4574" spans="1:4" x14ac:dyDescent="0.3">
      <c r="A4574" s="83" t="s">
        <v>25</v>
      </c>
      <c r="B4574" s="83"/>
      <c r="C4574" s="16">
        <v>46306</v>
      </c>
      <c r="D4574" s="82">
        <v>64.55</v>
      </c>
    </row>
    <row r="4575" spans="1:4" x14ac:dyDescent="0.3">
      <c r="A4575" s="83" t="s">
        <v>26</v>
      </c>
      <c r="B4575" s="83"/>
      <c r="C4575" s="16">
        <v>46306</v>
      </c>
      <c r="D4575" s="82">
        <v>2117.9700000000003</v>
      </c>
    </row>
    <row r="4576" spans="1:4" x14ac:dyDescent="0.3">
      <c r="A4576" s="83" t="s">
        <v>27</v>
      </c>
      <c r="B4576" s="83"/>
      <c r="C4576" s="16">
        <v>46306</v>
      </c>
      <c r="D4576" s="82">
        <v>17895.290000000015</v>
      </c>
    </row>
    <row r="4577" spans="1:4" x14ac:dyDescent="0.3">
      <c r="A4577" s="83" t="s">
        <v>28</v>
      </c>
      <c r="B4577" s="83"/>
      <c r="C4577" s="16">
        <v>46306</v>
      </c>
      <c r="D4577" s="82">
        <v>1968.99</v>
      </c>
    </row>
    <row r="4578" spans="1:4" x14ac:dyDescent="0.3">
      <c r="A4578" s="83" t="s">
        <v>29</v>
      </c>
      <c r="B4578" s="83"/>
      <c r="C4578" s="16">
        <v>46306</v>
      </c>
      <c r="D4578" s="82">
        <v>901.34</v>
      </c>
    </row>
    <row r="4579" spans="1:4" x14ac:dyDescent="0.3">
      <c r="A4579" s="83" t="s">
        <v>30</v>
      </c>
      <c r="B4579" s="83"/>
      <c r="C4579" s="16">
        <v>46306</v>
      </c>
      <c r="D4579" s="82">
        <v>1364.08</v>
      </c>
    </row>
    <row r="4580" spans="1:4" x14ac:dyDescent="0.3">
      <c r="A4580" s="83" t="s">
        <v>31</v>
      </c>
      <c r="B4580" s="83"/>
      <c r="C4580" s="16">
        <v>46306</v>
      </c>
      <c r="D4580" s="82">
        <v>20171.549999999959</v>
      </c>
    </row>
    <row r="4581" spans="1:4" x14ac:dyDescent="0.3">
      <c r="A4581" s="83" t="s">
        <v>32</v>
      </c>
      <c r="B4581" s="83"/>
      <c r="C4581" s="16">
        <v>46306</v>
      </c>
      <c r="D4581" s="82">
        <v>13576.060000000007</v>
      </c>
    </row>
    <row r="4582" spans="1:4" x14ac:dyDescent="0.3">
      <c r="A4582" s="83" t="s">
        <v>33</v>
      </c>
      <c r="B4582" s="83"/>
      <c r="C4582" s="16">
        <v>46306</v>
      </c>
      <c r="D4582" s="82">
        <v>16893.769999999997</v>
      </c>
    </row>
    <row r="4583" spans="1:4" x14ac:dyDescent="0.3">
      <c r="A4583" s="83" t="s">
        <v>34</v>
      </c>
      <c r="B4583" s="83"/>
      <c r="C4583" s="16">
        <v>46306</v>
      </c>
      <c r="D4583" s="82">
        <v>345</v>
      </c>
    </row>
    <row r="4584" spans="1:4" x14ac:dyDescent="0.3">
      <c r="A4584" s="83" t="s">
        <v>35</v>
      </c>
      <c r="B4584" s="83"/>
      <c r="C4584" s="16">
        <v>46306</v>
      </c>
      <c r="D4584" s="82">
        <v>23077.850000000002</v>
      </c>
    </row>
    <row r="4585" spans="1:4" x14ac:dyDescent="0.3">
      <c r="A4585" s="83" t="s">
        <v>193</v>
      </c>
      <c r="B4585" s="83"/>
      <c r="C4585" s="16">
        <v>46306</v>
      </c>
      <c r="D4585" s="82">
        <v>310854.86000000004</v>
      </c>
    </row>
    <row r="4586" spans="1:4" x14ac:dyDescent="0.3">
      <c r="A4586" s="83" t="s">
        <v>214</v>
      </c>
      <c r="B4586" s="83"/>
      <c r="C4586" s="16">
        <v>46306</v>
      </c>
      <c r="D4586" s="82">
        <v>101132.39000000001</v>
      </c>
    </row>
    <row r="4587" spans="1:4" x14ac:dyDescent="0.3">
      <c r="A4587" s="83" t="s">
        <v>194</v>
      </c>
      <c r="B4587" s="83"/>
      <c r="C4587" s="16">
        <v>46306</v>
      </c>
      <c r="D4587" s="82">
        <v>90631.96</v>
      </c>
    </row>
    <row r="4588" spans="1:4" x14ac:dyDescent="0.3">
      <c r="A4588" s="83" t="s">
        <v>195</v>
      </c>
      <c r="B4588" s="83"/>
      <c r="C4588" s="16">
        <v>46306</v>
      </c>
      <c r="D4588" s="82">
        <v>5604.8</v>
      </c>
    </row>
    <row r="4589" spans="1:4" x14ac:dyDescent="0.3">
      <c r="A4589" s="83" t="s">
        <v>196</v>
      </c>
      <c r="B4589" s="83"/>
      <c r="C4589" s="16">
        <v>46306</v>
      </c>
      <c r="D4589" s="82">
        <v>21397.339999999967</v>
      </c>
    </row>
    <row r="4590" spans="1:4" x14ac:dyDescent="0.3">
      <c r="A4590" s="83" t="s">
        <v>197</v>
      </c>
      <c r="B4590" s="83"/>
      <c r="C4590" s="16">
        <v>46306</v>
      </c>
      <c r="D4590" s="82">
        <v>794.01</v>
      </c>
    </row>
    <row r="4591" spans="1:4" x14ac:dyDescent="0.3">
      <c r="A4591" s="83" t="s">
        <v>212</v>
      </c>
      <c r="B4591" s="83"/>
      <c r="C4591" s="16">
        <v>46306</v>
      </c>
      <c r="D4591" s="82">
        <v>5445.57</v>
      </c>
    </row>
    <row r="4592" spans="1:4" x14ac:dyDescent="0.3">
      <c r="A4592" s="83" t="s">
        <v>199</v>
      </c>
      <c r="B4592" s="83"/>
      <c r="C4592" s="16">
        <v>46306</v>
      </c>
      <c r="D4592" s="82">
        <v>240473.16999999998</v>
      </c>
    </row>
    <row r="4593" spans="1:4" x14ac:dyDescent="0.3">
      <c r="A4593" s="83" t="s">
        <v>216</v>
      </c>
      <c r="B4593" s="83"/>
      <c r="C4593" s="16">
        <v>46306</v>
      </c>
      <c r="D4593" s="82">
        <v>351319.16</v>
      </c>
    </row>
    <row r="4594" spans="1:4" x14ac:dyDescent="0.3">
      <c r="A4594" s="83" t="s">
        <v>17</v>
      </c>
      <c r="B4594" s="83"/>
      <c r="C4594" s="16">
        <v>46307</v>
      </c>
      <c r="D4594" s="82">
        <v>2834671.5400000005</v>
      </c>
    </row>
    <row r="4595" spans="1:4" x14ac:dyDescent="0.3">
      <c r="A4595" s="83" t="s">
        <v>18</v>
      </c>
      <c r="B4595" s="83"/>
      <c r="C4595" s="16">
        <v>46307</v>
      </c>
      <c r="D4595" s="82">
        <v>103123.59000000017</v>
      </c>
    </row>
    <row r="4596" spans="1:4" x14ac:dyDescent="0.3">
      <c r="A4596" s="83" t="s">
        <v>19</v>
      </c>
      <c r="B4596" s="83"/>
      <c r="C4596" s="16">
        <v>46307</v>
      </c>
      <c r="D4596" s="82">
        <v>1669.89</v>
      </c>
    </row>
    <row r="4597" spans="1:4" x14ac:dyDescent="0.3">
      <c r="A4597" s="83" t="s">
        <v>20</v>
      </c>
      <c r="B4597" s="83"/>
      <c r="C4597" s="16">
        <v>46307</v>
      </c>
      <c r="D4597" s="82">
        <v>1026832.7999999996</v>
      </c>
    </row>
    <row r="4598" spans="1:4" x14ac:dyDescent="0.3">
      <c r="A4598" s="83" t="s">
        <v>21</v>
      </c>
      <c r="B4598" s="83"/>
      <c r="C4598" s="16">
        <v>46307</v>
      </c>
      <c r="D4598" s="82">
        <v>1340096.4199999995</v>
      </c>
    </row>
    <row r="4599" spans="1:4" x14ac:dyDescent="0.3">
      <c r="A4599" s="83" t="s">
        <v>22</v>
      </c>
      <c r="B4599" s="83"/>
      <c r="C4599" s="16">
        <v>46307</v>
      </c>
      <c r="D4599" s="82">
        <v>181778.14</v>
      </c>
    </row>
    <row r="4600" spans="1:4" x14ac:dyDescent="0.3">
      <c r="A4600" s="83" t="s">
        <v>23</v>
      </c>
      <c r="B4600" s="83"/>
      <c r="C4600" s="16">
        <v>46307</v>
      </c>
      <c r="D4600" s="82">
        <v>80533.579999999987</v>
      </c>
    </row>
    <row r="4601" spans="1:4" x14ac:dyDescent="0.3">
      <c r="A4601" s="83" t="s">
        <v>24</v>
      </c>
      <c r="B4601" s="83"/>
      <c r="C4601" s="16">
        <v>46307</v>
      </c>
      <c r="D4601" s="82">
        <v>10259.18</v>
      </c>
    </row>
    <row r="4602" spans="1:4" x14ac:dyDescent="0.3">
      <c r="A4602" s="83" t="s">
        <v>25</v>
      </c>
      <c r="B4602" s="83"/>
      <c r="C4602" s="16">
        <v>46307</v>
      </c>
      <c r="D4602" s="82">
        <v>64.55</v>
      </c>
    </row>
    <row r="4603" spans="1:4" x14ac:dyDescent="0.3">
      <c r="A4603" s="83" t="s">
        <v>26</v>
      </c>
      <c r="B4603" s="83"/>
      <c r="C4603" s="16">
        <v>46307</v>
      </c>
      <c r="D4603" s="82">
        <v>2117.9700000000003</v>
      </c>
    </row>
    <row r="4604" spans="1:4" x14ac:dyDescent="0.3">
      <c r="A4604" s="83" t="s">
        <v>27</v>
      </c>
      <c r="B4604" s="83"/>
      <c r="C4604" s="16">
        <v>46307</v>
      </c>
      <c r="D4604" s="82">
        <v>17895.290000000015</v>
      </c>
    </row>
    <row r="4605" spans="1:4" x14ac:dyDescent="0.3">
      <c r="A4605" s="83" t="s">
        <v>28</v>
      </c>
      <c r="B4605" s="83"/>
      <c r="C4605" s="16">
        <v>46307</v>
      </c>
      <c r="D4605" s="82">
        <v>1968.99</v>
      </c>
    </row>
    <row r="4606" spans="1:4" x14ac:dyDescent="0.3">
      <c r="A4606" s="83" t="s">
        <v>29</v>
      </c>
      <c r="B4606" s="83"/>
      <c r="C4606" s="16">
        <v>46307</v>
      </c>
      <c r="D4606" s="82">
        <v>901.34</v>
      </c>
    </row>
    <row r="4607" spans="1:4" x14ac:dyDescent="0.3">
      <c r="A4607" s="83" t="s">
        <v>30</v>
      </c>
      <c r="B4607" s="83"/>
      <c r="C4607" s="16">
        <v>46307</v>
      </c>
      <c r="D4607" s="82">
        <v>1364.08</v>
      </c>
    </row>
    <row r="4608" spans="1:4" x14ac:dyDescent="0.3">
      <c r="A4608" s="83" t="s">
        <v>31</v>
      </c>
      <c r="B4608" s="83"/>
      <c r="C4608" s="16">
        <v>46307</v>
      </c>
      <c r="D4608" s="82">
        <v>20171.549999999959</v>
      </c>
    </row>
    <row r="4609" spans="1:4" x14ac:dyDescent="0.3">
      <c r="A4609" s="83" t="s">
        <v>32</v>
      </c>
      <c r="B4609" s="83"/>
      <c r="C4609" s="16">
        <v>46307</v>
      </c>
      <c r="D4609" s="82">
        <v>13576.060000000007</v>
      </c>
    </row>
    <row r="4610" spans="1:4" x14ac:dyDescent="0.3">
      <c r="A4610" s="83" t="s">
        <v>33</v>
      </c>
      <c r="B4610" s="83"/>
      <c r="C4610" s="16">
        <v>46307</v>
      </c>
      <c r="D4610" s="82">
        <v>16893.769999999997</v>
      </c>
    </row>
    <row r="4611" spans="1:4" x14ac:dyDescent="0.3">
      <c r="A4611" s="83" t="s">
        <v>34</v>
      </c>
      <c r="B4611" s="83"/>
      <c r="C4611" s="16">
        <v>46307</v>
      </c>
      <c r="D4611" s="82">
        <v>345</v>
      </c>
    </row>
    <row r="4612" spans="1:4" x14ac:dyDescent="0.3">
      <c r="A4612" s="83" t="s">
        <v>35</v>
      </c>
      <c r="B4612" s="83"/>
      <c r="C4612" s="16">
        <v>46307</v>
      </c>
      <c r="D4612" s="82">
        <v>23077.850000000002</v>
      </c>
    </row>
    <row r="4613" spans="1:4" x14ac:dyDescent="0.3">
      <c r="A4613" s="83" t="s">
        <v>193</v>
      </c>
      <c r="B4613" s="83"/>
      <c r="C4613" s="16">
        <v>46307</v>
      </c>
      <c r="D4613" s="82">
        <v>310854.86000000004</v>
      </c>
    </row>
    <row r="4614" spans="1:4" x14ac:dyDescent="0.3">
      <c r="A4614" s="83" t="s">
        <v>214</v>
      </c>
      <c r="B4614" s="83"/>
      <c r="C4614" s="16">
        <v>46307</v>
      </c>
      <c r="D4614" s="82">
        <v>101132.39000000001</v>
      </c>
    </row>
    <row r="4615" spans="1:4" x14ac:dyDescent="0.3">
      <c r="A4615" s="83" t="s">
        <v>194</v>
      </c>
      <c r="B4615" s="83"/>
      <c r="C4615" s="16">
        <v>46307</v>
      </c>
      <c r="D4615" s="82">
        <v>90631.96</v>
      </c>
    </row>
    <row r="4616" spans="1:4" x14ac:dyDescent="0.3">
      <c r="A4616" s="83" t="s">
        <v>195</v>
      </c>
      <c r="B4616" s="83"/>
      <c r="C4616" s="16">
        <v>46307</v>
      </c>
      <c r="D4616" s="82">
        <v>5604.8</v>
      </c>
    </row>
    <row r="4617" spans="1:4" x14ac:dyDescent="0.3">
      <c r="A4617" s="83" t="s">
        <v>196</v>
      </c>
      <c r="B4617" s="83"/>
      <c r="C4617" s="16">
        <v>46307</v>
      </c>
      <c r="D4617" s="82">
        <v>21397.339999999967</v>
      </c>
    </row>
    <row r="4618" spans="1:4" x14ac:dyDescent="0.3">
      <c r="A4618" s="83" t="s">
        <v>197</v>
      </c>
      <c r="B4618" s="83"/>
      <c r="C4618" s="16">
        <v>46307</v>
      </c>
      <c r="D4618" s="82">
        <v>794.01</v>
      </c>
    </row>
    <row r="4619" spans="1:4" x14ac:dyDescent="0.3">
      <c r="A4619" s="83" t="s">
        <v>212</v>
      </c>
      <c r="B4619" s="83"/>
      <c r="C4619" s="16">
        <v>46307</v>
      </c>
      <c r="D4619" s="82">
        <v>5445.57</v>
      </c>
    </row>
    <row r="4620" spans="1:4" x14ac:dyDescent="0.3">
      <c r="A4620" s="83" t="s">
        <v>199</v>
      </c>
      <c r="B4620" s="83"/>
      <c r="C4620" s="16">
        <v>46307</v>
      </c>
      <c r="D4620" s="82">
        <v>240473.16999999998</v>
      </c>
    </row>
    <row r="4621" spans="1:4" x14ac:dyDescent="0.3">
      <c r="A4621" s="83" t="s">
        <v>216</v>
      </c>
      <c r="B4621" s="83"/>
      <c r="C4621" s="16">
        <v>46307</v>
      </c>
      <c r="D4621" s="82">
        <v>351319.16</v>
      </c>
    </row>
    <row r="4622" spans="1:4" x14ac:dyDescent="0.3">
      <c r="A4622" s="83" t="s">
        <v>17</v>
      </c>
      <c r="B4622" s="83"/>
      <c r="C4622" s="16">
        <v>46308</v>
      </c>
      <c r="D4622" s="82">
        <v>2834671.5400000005</v>
      </c>
    </row>
    <row r="4623" spans="1:4" x14ac:dyDescent="0.3">
      <c r="A4623" s="83" t="s">
        <v>18</v>
      </c>
      <c r="B4623" s="83"/>
      <c r="C4623" s="16">
        <v>46308</v>
      </c>
      <c r="D4623" s="82">
        <v>103123.59000000017</v>
      </c>
    </row>
    <row r="4624" spans="1:4" x14ac:dyDescent="0.3">
      <c r="A4624" s="83" t="s">
        <v>19</v>
      </c>
      <c r="B4624" s="83"/>
      <c r="C4624" s="16">
        <v>46308</v>
      </c>
      <c r="D4624" s="82">
        <v>1669.89</v>
      </c>
    </row>
    <row r="4625" spans="1:4" x14ac:dyDescent="0.3">
      <c r="A4625" s="83" t="s">
        <v>20</v>
      </c>
      <c r="B4625" s="83"/>
      <c r="C4625" s="16">
        <v>46308</v>
      </c>
      <c r="D4625" s="82">
        <v>1026832.7999999996</v>
      </c>
    </row>
    <row r="4626" spans="1:4" x14ac:dyDescent="0.3">
      <c r="A4626" s="83" t="s">
        <v>21</v>
      </c>
      <c r="B4626" s="83"/>
      <c r="C4626" s="16">
        <v>46308</v>
      </c>
      <c r="D4626" s="82">
        <v>1340096.4199999995</v>
      </c>
    </row>
    <row r="4627" spans="1:4" x14ac:dyDescent="0.3">
      <c r="A4627" s="83" t="s">
        <v>22</v>
      </c>
      <c r="B4627" s="83"/>
      <c r="C4627" s="16">
        <v>46308</v>
      </c>
      <c r="D4627" s="82">
        <v>181778.14</v>
      </c>
    </row>
    <row r="4628" spans="1:4" x14ac:dyDescent="0.3">
      <c r="A4628" s="83" t="s">
        <v>23</v>
      </c>
      <c r="B4628" s="83"/>
      <c r="C4628" s="16">
        <v>46308</v>
      </c>
      <c r="D4628" s="82">
        <v>80533.579999999987</v>
      </c>
    </row>
    <row r="4629" spans="1:4" x14ac:dyDescent="0.3">
      <c r="A4629" s="83" t="s">
        <v>24</v>
      </c>
      <c r="B4629" s="83"/>
      <c r="C4629" s="16">
        <v>46308</v>
      </c>
      <c r="D4629" s="82">
        <v>10259.18</v>
      </c>
    </row>
    <row r="4630" spans="1:4" x14ac:dyDescent="0.3">
      <c r="A4630" s="83" t="s">
        <v>25</v>
      </c>
      <c r="B4630" s="83"/>
      <c r="C4630" s="16">
        <v>46308</v>
      </c>
      <c r="D4630" s="82">
        <v>64.55</v>
      </c>
    </row>
    <row r="4631" spans="1:4" x14ac:dyDescent="0.3">
      <c r="A4631" s="83" t="s">
        <v>26</v>
      </c>
      <c r="B4631" s="83"/>
      <c r="C4631" s="16">
        <v>46308</v>
      </c>
      <c r="D4631" s="82">
        <v>2117.9700000000003</v>
      </c>
    </row>
    <row r="4632" spans="1:4" x14ac:dyDescent="0.3">
      <c r="A4632" s="83" t="s">
        <v>27</v>
      </c>
      <c r="B4632" s="83"/>
      <c r="C4632" s="16">
        <v>46308</v>
      </c>
      <c r="D4632" s="82">
        <v>17895.290000000015</v>
      </c>
    </row>
    <row r="4633" spans="1:4" x14ac:dyDescent="0.3">
      <c r="A4633" s="83" t="s">
        <v>28</v>
      </c>
      <c r="B4633" s="83"/>
      <c r="C4633" s="16">
        <v>46308</v>
      </c>
      <c r="D4633" s="82">
        <v>1968.99</v>
      </c>
    </row>
    <row r="4634" spans="1:4" x14ac:dyDescent="0.3">
      <c r="A4634" s="83" t="s">
        <v>29</v>
      </c>
      <c r="B4634" s="83"/>
      <c r="C4634" s="16">
        <v>46308</v>
      </c>
      <c r="D4634" s="82">
        <v>901.34</v>
      </c>
    </row>
    <row r="4635" spans="1:4" x14ac:dyDescent="0.3">
      <c r="A4635" s="83" t="s">
        <v>30</v>
      </c>
      <c r="B4635" s="83"/>
      <c r="C4635" s="16">
        <v>46308</v>
      </c>
      <c r="D4635" s="82">
        <v>1364.08</v>
      </c>
    </row>
    <row r="4636" spans="1:4" x14ac:dyDescent="0.3">
      <c r="A4636" s="83" t="s">
        <v>31</v>
      </c>
      <c r="B4636" s="83"/>
      <c r="C4636" s="16">
        <v>46308</v>
      </c>
      <c r="D4636" s="82">
        <v>20171.549999999959</v>
      </c>
    </row>
    <row r="4637" spans="1:4" x14ac:dyDescent="0.3">
      <c r="A4637" s="83" t="s">
        <v>32</v>
      </c>
      <c r="B4637" s="83"/>
      <c r="C4637" s="16">
        <v>46308</v>
      </c>
      <c r="D4637" s="82">
        <v>13576.060000000007</v>
      </c>
    </row>
    <row r="4638" spans="1:4" x14ac:dyDescent="0.3">
      <c r="A4638" s="83" t="s">
        <v>33</v>
      </c>
      <c r="B4638" s="83"/>
      <c r="C4638" s="16">
        <v>46308</v>
      </c>
      <c r="D4638" s="82">
        <v>16893.769999999997</v>
      </c>
    </row>
    <row r="4639" spans="1:4" x14ac:dyDescent="0.3">
      <c r="A4639" s="83" t="s">
        <v>34</v>
      </c>
      <c r="B4639" s="83"/>
      <c r="C4639" s="16">
        <v>46308</v>
      </c>
      <c r="D4639" s="82">
        <v>345</v>
      </c>
    </row>
    <row r="4640" spans="1:4" x14ac:dyDescent="0.3">
      <c r="A4640" s="83" t="s">
        <v>35</v>
      </c>
      <c r="B4640" s="83"/>
      <c r="C4640" s="16">
        <v>46308</v>
      </c>
      <c r="D4640" s="82">
        <v>23077.850000000002</v>
      </c>
    </row>
    <row r="4641" spans="1:4" x14ac:dyDescent="0.3">
      <c r="A4641" s="83" t="s">
        <v>193</v>
      </c>
      <c r="B4641" s="83"/>
      <c r="C4641" s="16">
        <v>46308</v>
      </c>
      <c r="D4641" s="82">
        <v>310854.86000000004</v>
      </c>
    </row>
    <row r="4642" spans="1:4" x14ac:dyDescent="0.3">
      <c r="A4642" s="83" t="s">
        <v>214</v>
      </c>
      <c r="B4642" s="83"/>
      <c r="C4642" s="16">
        <v>46308</v>
      </c>
      <c r="D4642" s="82">
        <v>100606.05000000002</v>
      </c>
    </row>
    <row r="4643" spans="1:4" x14ac:dyDescent="0.3">
      <c r="A4643" s="83" t="s">
        <v>194</v>
      </c>
      <c r="B4643" s="83"/>
      <c r="C4643" s="16">
        <v>46308</v>
      </c>
      <c r="D4643" s="82">
        <v>90631.96</v>
      </c>
    </row>
    <row r="4644" spans="1:4" x14ac:dyDescent="0.3">
      <c r="A4644" s="83" t="s">
        <v>195</v>
      </c>
      <c r="B4644" s="83"/>
      <c r="C4644" s="16">
        <v>46308</v>
      </c>
      <c r="D4644" s="82">
        <v>5604.8</v>
      </c>
    </row>
    <row r="4645" spans="1:4" x14ac:dyDescent="0.3">
      <c r="A4645" s="83" t="s">
        <v>196</v>
      </c>
      <c r="B4645" s="83"/>
      <c r="C4645" s="16">
        <v>46308</v>
      </c>
      <c r="D4645" s="82">
        <v>21397.339999999967</v>
      </c>
    </row>
    <row r="4646" spans="1:4" x14ac:dyDescent="0.3">
      <c r="A4646" s="83" t="s">
        <v>197</v>
      </c>
      <c r="B4646" s="83"/>
      <c r="C4646" s="16">
        <v>46308</v>
      </c>
      <c r="D4646" s="82">
        <v>794.01</v>
      </c>
    </row>
    <row r="4647" spans="1:4" x14ac:dyDescent="0.3">
      <c r="A4647" s="83" t="s">
        <v>212</v>
      </c>
      <c r="B4647" s="83"/>
      <c r="C4647" s="16">
        <v>46308</v>
      </c>
      <c r="D4647" s="82">
        <v>5445.57</v>
      </c>
    </row>
    <row r="4648" spans="1:4" x14ac:dyDescent="0.3">
      <c r="A4648" s="83" t="s">
        <v>199</v>
      </c>
      <c r="B4648" s="83"/>
      <c r="C4648" s="16">
        <v>46308</v>
      </c>
      <c r="D4648" s="82">
        <v>240473.16999999998</v>
      </c>
    </row>
    <row r="4649" spans="1:4" x14ac:dyDescent="0.3">
      <c r="A4649" s="83" t="s">
        <v>216</v>
      </c>
      <c r="B4649" s="83"/>
      <c r="C4649" s="16">
        <v>46308</v>
      </c>
      <c r="D4649" s="82">
        <v>351319.16</v>
      </c>
    </row>
    <row r="4650" spans="1:4" x14ac:dyDescent="0.3">
      <c r="A4650" s="83" t="s">
        <v>17</v>
      </c>
      <c r="B4650" s="83"/>
      <c r="C4650" s="16">
        <v>46309</v>
      </c>
      <c r="D4650" s="82">
        <v>2393911.5800000005</v>
      </c>
    </row>
    <row r="4651" spans="1:4" x14ac:dyDescent="0.3">
      <c r="A4651" s="83" t="s">
        <v>18</v>
      </c>
      <c r="B4651" s="83"/>
      <c r="C4651" s="16">
        <v>46309</v>
      </c>
      <c r="D4651" s="82">
        <v>103123.59000000017</v>
      </c>
    </row>
    <row r="4652" spans="1:4" x14ac:dyDescent="0.3">
      <c r="A4652" s="83" t="s">
        <v>19</v>
      </c>
      <c r="B4652" s="83"/>
      <c r="C4652" s="16">
        <v>46309</v>
      </c>
      <c r="D4652" s="82">
        <v>1669.89</v>
      </c>
    </row>
    <row r="4653" spans="1:4" x14ac:dyDescent="0.3">
      <c r="A4653" s="83" t="s">
        <v>20</v>
      </c>
      <c r="B4653" s="83"/>
      <c r="C4653" s="16">
        <v>46309</v>
      </c>
      <c r="D4653" s="82">
        <v>892379.23999999953</v>
      </c>
    </row>
    <row r="4654" spans="1:4" x14ac:dyDescent="0.3">
      <c r="A4654" s="83" t="s">
        <v>21</v>
      </c>
      <c r="B4654" s="83"/>
      <c r="C4654" s="16">
        <v>46309</v>
      </c>
      <c r="D4654" s="82">
        <v>1574252.7299999993</v>
      </c>
    </row>
    <row r="4655" spans="1:4" x14ac:dyDescent="0.3">
      <c r="A4655" s="83" t="s">
        <v>22</v>
      </c>
      <c r="B4655" s="83"/>
      <c r="C4655" s="16">
        <v>46309</v>
      </c>
      <c r="D4655" s="82">
        <v>181763.14</v>
      </c>
    </row>
    <row r="4656" spans="1:4" x14ac:dyDescent="0.3">
      <c r="A4656" s="83" t="s">
        <v>23</v>
      </c>
      <c r="B4656" s="83"/>
      <c r="C4656" s="16">
        <v>46309</v>
      </c>
      <c r="D4656" s="82">
        <v>80533.579999999987</v>
      </c>
    </row>
    <row r="4657" spans="1:4" x14ac:dyDescent="0.3">
      <c r="A4657" s="83" t="s">
        <v>24</v>
      </c>
      <c r="B4657" s="83"/>
      <c r="C4657" s="16">
        <v>46309</v>
      </c>
      <c r="D4657" s="82">
        <v>10259.18</v>
      </c>
    </row>
    <row r="4658" spans="1:4" x14ac:dyDescent="0.3">
      <c r="A4658" s="83" t="s">
        <v>25</v>
      </c>
      <c r="B4658" s="83"/>
      <c r="C4658" s="16">
        <v>46309</v>
      </c>
      <c r="D4658" s="82">
        <v>64.55</v>
      </c>
    </row>
    <row r="4659" spans="1:4" x14ac:dyDescent="0.3">
      <c r="A4659" s="83" t="s">
        <v>26</v>
      </c>
      <c r="B4659" s="83"/>
      <c r="C4659" s="16">
        <v>46309</v>
      </c>
      <c r="D4659" s="82">
        <v>2117.9700000000003</v>
      </c>
    </row>
    <row r="4660" spans="1:4" x14ac:dyDescent="0.3">
      <c r="A4660" s="83" t="s">
        <v>27</v>
      </c>
      <c r="B4660" s="83"/>
      <c r="C4660" s="16">
        <v>46309</v>
      </c>
      <c r="D4660" s="82">
        <v>17895.290000000015</v>
      </c>
    </row>
    <row r="4661" spans="1:4" x14ac:dyDescent="0.3">
      <c r="A4661" s="83" t="s">
        <v>28</v>
      </c>
      <c r="B4661" s="83"/>
      <c r="C4661" s="16">
        <v>46309</v>
      </c>
      <c r="D4661" s="82">
        <v>1968.99</v>
      </c>
    </row>
    <row r="4662" spans="1:4" x14ac:dyDescent="0.3">
      <c r="A4662" s="83" t="s">
        <v>29</v>
      </c>
      <c r="B4662" s="83"/>
      <c r="C4662" s="16">
        <v>46309</v>
      </c>
      <c r="D4662" s="82">
        <v>901.34</v>
      </c>
    </row>
    <row r="4663" spans="1:4" x14ac:dyDescent="0.3">
      <c r="A4663" s="83" t="s">
        <v>30</v>
      </c>
      <c r="B4663" s="83"/>
      <c r="C4663" s="16">
        <v>46309</v>
      </c>
      <c r="D4663" s="82">
        <v>1364.08</v>
      </c>
    </row>
    <row r="4664" spans="1:4" x14ac:dyDescent="0.3">
      <c r="A4664" s="83" t="s">
        <v>31</v>
      </c>
      <c r="B4664" s="83"/>
      <c r="C4664" s="16">
        <v>46309</v>
      </c>
      <c r="D4664" s="82">
        <v>20171.549999999959</v>
      </c>
    </row>
    <row r="4665" spans="1:4" x14ac:dyDescent="0.3">
      <c r="A4665" s="83" t="s">
        <v>32</v>
      </c>
      <c r="B4665" s="83"/>
      <c r="C4665" s="16">
        <v>46309</v>
      </c>
      <c r="D4665" s="82">
        <v>13576.060000000007</v>
      </c>
    </row>
    <row r="4666" spans="1:4" x14ac:dyDescent="0.3">
      <c r="A4666" s="83" t="s">
        <v>33</v>
      </c>
      <c r="B4666" s="83"/>
      <c r="C4666" s="16">
        <v>46309</v>
      </c>
      <c r="D4666" s="82">
        <v>16893.769999999997</v>
      </c>
    </row>
    <row r="4667" spans="1:4" x14ac:dyDescent="0.3">
      <c r="A4667" s="83" t="s">
        <v>34</v>
      </c>
      <c r="B4667" s="83"/>
      <c r="C4667" s="16">
        <v>46309</v>
      </c>
      <c r="D4667" s="82">
        <v>345</v>
      </c>
    </row>
    <row r="4668" spans="1:4" x14ac:dyDescent="0.3">
      <c r="A4668" s="83" t="s">
        <v>35</v>
      </c>
      <c r="B4668" s="83"/>
      <c r="C4668" s="16">
        <v>46309</v>
      </c>
      <c r="D4668" s="82">
        <v>6416.7700000000023</v>
      </c>
    </row>
    <row r="4669" spans="1:4" x14ac:dyDescent="0.3">
      <c r="A4669" s="83" t="s">
        <v>193</v>
      </c>
      <c r="B4669" s="83"/>
      <c r="C4669" s="16">
        <v>46309</v>
      </c>
      <c r="D4669" s="82">
        <v>329346.53000000003</v>
      </c>
    </row>
    <row r="4670" spans="1:4" x14ac:dyDescent="0.3">
      <c r="A4670" s="83" t="s">
        <v>214</v>
      </c>
      <c r="B4670" s="83"/>
      <c r="C4670" s="16">
        <v>46309</v>
      </c>
      <c r="D4670" s="82">
        <v>149859.76000000004</v>
      </c>
    </row>
    <row r="4671" spans="1:4" x14ac:dyDescent="0.3">
      <c r="A4671" s="83" t="s">
        <v>194</v>
      </c>
      <c r="B4671" s="83"/>
      <c r="C4671" s="16">
        <v>46309</v>
      </c>
      <c r="D4671" s="82">
        <v>100631.96</v>
      </c>
    </row>
    <row r="4672" spans="1:4" x14ac:dyDescent="0.3">
      <c r="A4672" s="83" t="s">
        <v>195</v>
      </c>
      <c r="B4672" s="83"/>
      <c r="C4672" s="16">
        <v>46309</v>
      </c>
      <c r="D4672" s="82">
        <v>3906.17</v>
      </c>
    </row>
    <row r="4673" spans="1:4" x14ac:dyDescent="0.3">
      <c r="A4673" s="83" t="s">
        <v>196</v>
      </c>
      <c r="B4673" s="83"/>
      <c r="C4673" s="16">
        <v>46309</v>
      </c>
      <c r="D4673" s="82">
        <v>21397.339999999967</v>
      </c>
    </row>
    <row r="4674" spans="1:4" x14ac:dyDescent="0.3">
      <c r="A4674" s="83" t="s">
        <v>197</v>
      </c>
      <c r="B4674" s="83"/>
      <c r="C4674" s="16">
        <v>46309</v>
      </c>
      <c r="D4674" s="82">
        <v>794.01</v>
      </c>
    </row>
    <row r="4675" spans="1:4" x14ac:dyDescent="0.3">
      <c r="A4675" s="83" t="s">
        <v>212</v>
      </c>
      <c r="B4675" s="83"/>
      <c r="C4675" s="16">
        <v>46309</v>
      </c>
      <c r="D4675" s="82">
        <v>5445.57</v>
      </c>
    </row>
    <row r="4676" spans="1:4" x14ac:dyDescent="0.3">
      <c r="A4676" s="83" t="s">
        <v>199</v>
      </c>
      <c r="B4676" s="83"/>
      <c r="C4676" s="16">
        <v>46309</v>
      </c>
      <c r="D4676" s="82">
        <v>240473.16999999998</v>
      </c>
    </row>
    <row r="4677" spans="1:4" x14ac:dyDescent="0.3">
      <c r="A4677" s="83" t="s">
        <v>216</v>
      </c>
      <c r="B4677" s="83"/>
      <c r="C4677" s="16">
        <v>46309</v>
      </c>
      <c r="D4677" s="82">
        <v>351319.16</v>
      </c>
    </row>
    <row r="4678" spans="1:4" x14ac:dyDescent="0.3">
      <c r="A4678" s="83" t="s">
        <v>17</v>
      </c>
      <c r="B4678" s="83"/>
      <c r="C4678" s="16">
        <v>46310</v>
      </c>
      <c r="D4678" s="82">
        <v>2414911.5800000005</v>
      </c>
    </row>
    <row r="4679" spans="1:4" x14ac:dyDescent="0.3">
      <c r="A4679" s="83" t="s">
        <v>18</v>
      </c>
      <c r="B4679" s="83"/>
      <c r="C4679" s="16">
        <v>46310</v>
      </c>
      <c r="D4679" s="82">
        <v>103123.59000000017</v>
      </c>
    </row>
    <row r="4680" spans="1:4" x14ac:dyDescent="0.3">
      <c r="A4680" s="83" t="s">
        <v>19</v>
      </c>
      <c r="B4680" s="83"/>
      <c r="C4680" s="16">
        <v>46310</v>
      </c>
      <c r="D4680" s="82">
        <v>1669.89</v>
      </c>
    </row>
    <row r="4681" spans="1:4" x14ac:dyDescent="0.3">
      <c r="A4681" s="83" t="s">
        <v>20</v>
      </c>
      <c r="B4681" s="83"/>
      <c r="C4681" s="16">
        <v>46310</v>
      </c>
      <c r="D4681" s="82">
        <v>891793.39999999956</v>
      </c>
    </row>
    <row r="4682" spans="1:4" x14ac:dyDescent="0.3">
      <c r="A4682" s="83" t="s">
        <v>21</v>
      </c>
      <c r="B4682" s="83"/>
      <c r="C4682" s="16">
        <v>46310</v>
      </c>
      <c r="D4682" s="82">
        <v>1574223.3099999991</v>
      </c>
    </row>
    <row r="4683" spans="1:4" x14ac:dyDescent="0.3">
      <c r="A4683" s="83" t="s">
        <v>22</v>
      </c>
      <c r="B4683" s="83"/>
      <c r="C4683" s="16">
        <v>46310</v>
      </c>
      <c r="D4683" s="82">
        <v>181763.14</v>
      </c>
    </row>
    <row r="4684" spans="1:4" x14ac:dyDescent="0.3">
      <c r="A4684" s="83" t="s">
        <v>23</v>
      </c>
      <c r="B4684" s="83"/>
      <c r="C4684" s="16">
        <v>46310</v>
      </c>
      <c r="D4684" s="82">
        <v>80533.579999999987</v>
      </c>
    </row>
    <row r="4685" spans="1:4" x14ac:dyDescent="0.3">
      <c r="A4685" s="83" t="s">
        <v>24</v>
      </c>
      <c r="B4685" s="83"/>
      <c r="C4685" s="16">
        <v>46310</v>
      </c>
      <c r="D4685" s="82">
        <v>10259.18</v>
      </c>
    </row>
    <row r="4686" spans="1:4" x14ac:dyDescent="0.3">
      <c r="A4686" s="83" t="s">
        <v>25</v>
      </c>
      <c r="B4686" s="83"/>
      <c r="C4686" s="16">
        <v>46310</v>
      </c>
      <c r="D4686" s="82">
        <v>64.55</v>
      </c>
    </row>
    <row r="4687" spans="1:4" x14ac:dyDescent="0.3">
      <c r="A4687" s="83" t="s">
        <v>26</v>
      </c>
      <c r="B4687" s="83"/>
      <c r="C4687" s="16">
        <v>46310</v>
      </c>
      <c r="D4687" s="82">
        <v>2117.9700000000003</v>
      </c>
    </row>
    <row r="4688" spans="1:4" x14ac:dyDescent="0.3">
      <c r="A4688" s="83" t="s">
        <v>27</v>
      </c>
      <c r="B4688" s="83"/>
      <c r="C4688" s="16">
        <v>46310</v>
      </c>
      <c r="D4688" s="82">
        <v>17895.290000000015</v>
      </c>
    </row>
    <row r="4689" spans="1:4" x14ac:dyDescent="0.3">
      <c r="A4689" s="83" t="s">
        <v>28</v>
      </c>
      <c r="B4689" s="83"/>
      <c r="C4689" s="16">
        <v>46310</v>
      </c>
      <c r="D4689" s="82">
        <v>1968.99</v>
      </c>
    </row>
    <row r="4690" spans="1:4" x14ac:dyDescent="0.3">
      <c r="A4690" s="83" t="s">
        <v>29</v>
      </c>
      <c r="B4690" s="83"/>
      <c r="C4690" s="16">
        <v>46310</v>
      </c>
      <c r="D4690" s="82">
        <v>901.34</v>
      </c>
    </row>
    <row r="4691" spans="1:4" x14ac:dyDescent="0.3">
      <c r="A4691" s="83" t="s">
        <v>30</v>
      </c>
      <c r="B4691" s="83"/>
      <c r="C4691" s="16">
        <v>46310</v>
      </c>
      <c r="D4691" s="82">
        <v>1364.08</v>
      </c>
    </row>
    <row r="4692" spans="1:4" x14ac:dyDescent="0.3">
      <c r="A4692" s="83" t="s">
        <v>31</v>
      </c>
      <c r="B4692" s="83"/>
      <c r="C4692" s="16">
        <v>46310</v>
      </c>
      <c r="D4692" s="82">
        <v>20171.549999999959</v>
      </c>
    </row>
    <row r="4693" spans="1:4" x14ac:dyDescent="0.3">
      <c r="A4693" s="83" t="s">
        <v>32</v>
      </c>
      <c r="B4693" s="83"/>
      <c r="C4693" s="16">
        <v>46310</v>
      </c>
      <c r="D4693" s="82">
        <v>13576.060000000007</v>
      </c>
    </row>
    <row r="4694" spans="1:4" x14ac:dyDescent="0.3">
      <c r="A4694" s="83" t="s">
        <v>33</v>
      </c>
      <c r="B4694" s="83"/>
      <c r="C4694" s="16">
        <v>46310</v>
      </c>
      <c r="D4694" s="82">
        <v>16893.769999999997</v>
      </c>
    </row>
    <row r="4695" spans="1:4" x14ac:dyDescent="0.3">
      <c r="A4695" s="83" t="s">
        <v>34</v>
      </c>
      <c r="B4695" s="83"/>
      <c r="C4695" s="16">
        <v>46310</v>
      </c>
      <c r="D4695" s="82">
        <v>345</v>
      </c>
    </row>
    <row r="4696" spans="1:4" x14ac:dyDescent="0.3">
      <c r="A4696" s="83" t="s">
        <v>35</v>
      </c>
      <c r="B4696" s="83"/>
      <c r="C4696" s="16">
        <v>46310</v>
      </c>
      <c r="D4696" s="82">
        <v>6241.7700000000023</v>
      </c>
    </row>
    <row r="4697" spans="1:4" x14ac:dyDescent="0.3">
      <c r="A4697" s="83" t="s">
        <v>193</v>
      </c>
      <c r="B4697" s="83"/>
      <c r="C4697" s="16">
        <v>46310</v>
      </c>
      <c r="D4697" s="82">
        <v>329346.53000000003</v>
      </c>
    </row>
    <row r="4698" spans="1:4" x14ac:dyDescent="0.3">
      <c r="A4698" s="83" t="s">
        <v>214</v>
      </c>
      <c r="B4698" s="83"/>
      <c r="C4698" s="16">
        <v>46310</v>
      </c>
      <c r="D4698" s="82">
        <v>149859.76000000004</v>
      </c>
    </row>
    <row r="4699" spans="1:4" x14ac:dyDescent="0.3">
      <c r="A4699" s="83" t="s">
        <v>194</v>
      </c>
      <c r="B4699" s="83"/>
      <c r="C4699" s="16">
        <v>46310</v>
      </c>
      <c r="D4699" s="82">
        <v>100631.96</v>
      </c>
    </row>
    <row r="4700" spans="1:4" x14ac:dyDescent="0.3">
      <c r="A4700" s="83" t="s">
        <v>195</v>
      </c>
      <c r="B4700" s="83"/>
      <c r="C4700" s="16">
        <v>46310</v>
      </c>
      <c r="D4700" s="82">
        <v>3906.17</v>
      </c>
    </row>
    <row r="4701" spans="1:4" x14ac:dyDescent="0.3">
      <c r="A4701" s="83" t="s">
        <v>196</v>
      </c>
      <c r="B4701" s="83"/>
      <c r="C4701" s="16">
        <v>46310</v>
      </c>
      <c r="D4701" s="82">
        <v>120856.06999999998</v>
      </c>
    </row>
    <row r="4702" spans="1:4" x14ac:dyDescent="0.3">
      <c r="A4702" s="83" t="s">
        <v>197</v>
      </c>
      <c r="B4702" s="83"/>
      <c r="C4702" s="16">
        <v>46310</v>
      </c>
      <c r="D4702" s="82">
        <v>794.01</v>
      </c>
    </row>
    <row r="4703" spans="1:4" x14ac:dyDescent="0.3">
      <c r="A4703" s="83" t="s">
        <v>212</v>
      </c>
      <c r="B4703" s="83"/>
      <c r="C4703" s="16">
        <v>46310</v>
      </c>
      <c r="D4703" s="82">
        <v>5445.57</v>
      </c>
    </row>
    <row r="4704" spans="1:4" x14ac:dyDescent="0.3">
      <c r="A4704" s="83" t="s">
        <v>199</v>
      </c>
      <c r="B4704" s="83"/>
      <c r="C4704" s="16">
        <v>46310</v>
      </c>
      <c r="D4704" s="82">
        <v>240473.16999999998</v>
      </c>
    </row>
    <row r="4705" spans="1:4" x14ac:dyDescent="0.3">
      <c r="A4705" s="83" t="s">
        <v>216</v>
      </c>
      <c r="B4705" s="83"/>
      <c r="C4705" s="16">
        <v>46310</v>
      </c>
      <c r="D4705" s="82">
        <v>351319.16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304C50-B0B1-492D-848A-1572471672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Saldos Iniciales</vt:lpstr>
      <vt:lpstr>Listas</vt:lpstr>
      <vt:lpstr>Cuentas</vt:lpstr>
      <vt:lpstr>Movimientos</vt:lpstr>
      <vt:lpstr>SaldoBanco</vt:lpstr>
      <vt:lpstr>Control de Saldos</vt:lpstr>
      <vt:lpstr>Saldos Diarios</vt:lpstr>
      <vt:lpstr>Lista diaria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Renzo Fernando Tomosada Rodriguez</cp:lastModifiedBy>
  <cp:revision>0</cp:revision>
  <dcterms:created xsi:type="dcterms:W3CDTF">2026-05-29T14:38:40Z</dcterms:created>
  <dcterms:modified xsi:type="dcterms:W3CDTF">2026-10-16T17:06:53Z</dcterms:modified>
  <dc:language>en-US</dc:language>
</cp:coreProperties>
</file>