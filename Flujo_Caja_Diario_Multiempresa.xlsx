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24" documentId="8_{BBC9EA4E-7F3B-475F-B61B-890F681C3A1C}" xr6:coauthVersionLast="47" xr6:coauthVersionMax="47" xr10:uidLastSave="{45BB804E-9567-4139-BC5A-DDA99B4BEC08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33" i="1" l="1"/>
  <c r="M533" i="1"/>
  <c r="N533" i="1"/>
  <c r="O533" i="1"/>
  <c r="P533" i="1" s="1"/>
  <c r="K534" i="1"/>
  <c r="M534" i="1"/>
  <c r="N534" i="1"/>
  <c r="O534" i="1"/>
  <c r="P534" i="1"/>
  <c r="K535" i="1"/>
  <c r="M535" i="1"/>
  <c r="N535" i="1"/>
  <c r="O535" i="1"/>
  <c r="P535" i="1"/>
  <c r="I533" i="1"/>
  <c r="I534" i="1"/>
  <c r="I535" i="1"/>
  <c r="C533" i="1"/>
  <c r="C534" i="1"/>
  <c r="C535" i="1"/>
  <c r="A75" i="6"/>
  <c r="K524" i="1"/>
  <c r="N524" i="1"/>
  <c r="O524" i="1"/>
  <c r="P524" i="1" s="1"/>
  <c r="K525" i="1"/>
  <c r="N525" i="1"/>
  <c r="O525" i="1"/>
  <c r="P525" i="1"/>
  <c r="K526" i="1"/>
  <c r="N526" i="1"/>
  <c r="O526" i="1"/>
  <c r="P526" i="1"/>
  <c r="K527" i="1"/>
  <c r="N527" i="1"/>
  <c r="O527" i="1"/>
  <c r="P527" i="1"/>
  <c r="K528" i="1"/>
  <c r="N528" i="1"/>
  <c r="O528" i="1"/>
  <c r="P528" i="1" s="1"/>
  <c r="K529" i="1"/>
  <c r="N529" i="1"/>
  <c r="P529" i="1" s="1"/>
  <c r="O529" i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H526" i="1"/>
  <c r="H527" i="1"/>
  <c r="H528" i="1"/>
  <c r="H529" i="1"/>
  <c r="H530" i="1"/>
  <c r="H531" i="1"/>
  <c r="H532" i="1"/>
  <c r="H524" i="1"/>
  <c r="I524" i="1"/>
  <c r="I525" i="1"/>
  <c r="I526" i="1"/>
  <c r="I527" i="1"/>
  <c r="I528" i="1"/>
  <c r="I529" i="1"/>
  <c r="I530" i="1"/>
  <c r="I531" i="1"/>
  <c r="I532" i="1"/>
  <c r="C524" i="1"/>
  <c r="C525" i="1"/>
  <c r="C526" i="1"/>
  <c r="C527" i="1"/>
  <c r="C528" i="1"/>
  <c r="C529" i="1"/>
  <c r="C530" i="1"/>
  <c r="C531" i="1"/>
  <c r="C532" i="1"/>
  <c r="A72" i="6"/>
  <c r="A73" i="6"/>
  <c r="A74" i="6"/>
  <c r="K444" i="1"/>
  <c r="N444" i="1"/>
  <c r="O444" i="1"/>
  <c r="P444" i="1" s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7" i="1"/>
  <c r="N477" i="1"/>
  <c r="O477" i="1"/>
  <c r="P477" i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/>
  <c r="K483" i="1"/>
  <c r="N483" i="1"/>
  <c r="O483" i="1"/>
  <c r="P483" i="1"/>
  <c r="I444" i="1"/>
  <c r="I472" i="1"/>
  <c r="I473" i="1"/>
  <c r="I474" i="1"/>
  <c r="I477" i="1"/>
  <c r="I478" i="1"/>
  <c r="I479" i="1"/>
  <c r="I480" i="1"/>
  <c r="I481" i="1"/>
  <c r="I483" i="1"/>
  <c r="C444" i="1"/>
  <c r="C472" i="1"/>
  <c r="C473" i="1"/>
  <c r="C474" i="1"/>
  <c r="C477" i="1"/>
  <c r="C478" i="1"/>
  <c r="C479" i="1"/>
  <c r="C480" i="1"/>
  <c r="C481" i="1"/>
  <c r="C483" i="1"/>
  <c r="U23" i="3" l="1"/>
  <c r="T32" i="3"/>
  <c r="T13" i="3"/>
  <c r="T28" i="3"/>
  <c r="T5" i="3"/>
  <c r="U15" i="3"/>
  <c r="T27" i="3"/>
  <c r="T4" i="3"/>
  <c r="U30" i="3"/>
  <c r="T2" i="3"/>
  <c r="T25" i="3"/>
  <c r="T9" i="3"/>
  <c r="U27" i="3"/>
  <c r="U5" i="3"/>
  <c r="V5" i="3" s="1"/>
  <c r="T24" i="3"/>
  <c r="T8" i="3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I512" i="1"/>
  <c r="I513" i="1"/>
  <c r="I514" i="1"/>
  <c r="I515" i="1"/>
  <c r="I516" i="1"/>
  <c r="I517" i="1"/>
  <c r="I518" i="1"/>
  <c r="I519" i="1"/>
  <c r="I520" i="1"/>
  <c r="I521" i="1"/>
  <c r="I522" i="1"/>
  <c r="I523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A70" i="6"/>
  <c r="A71" i="6"/>
  <c r="K484" i="1"/>
  <c r="N484" i="1"/>
  <c r="O484" i="1"/>
  <c r="P484" i="1" s="1"/>
  <c r="K487" i="1"/>
  <c r="N487" i="1"/>
  <c r="O487" i="1"/>
  <c r="P487" i="1" s="1"/>
  <c r="K488" i="1"/>
  <c r="N488" i="1"/>
  <c r="O488" i="1"/>
  <c r="P488" i="1" s="1"/>
  <c r="K485" i="1"/>
  <c r="N485" i="1"/>
  <c r="O485" i="1"/>
  <c r="P485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/>
  <c r="K486" i="1"/>
  <c r="N486" i="1"/>
  <c r="O486" i="1"/>
  <c r="P486" i="1" s="1"/>
  <c r="K502" i="1"/>
  <c r="N502" i="1"/>
  <c r="P502" i="1" s="1"/>
  <c r="O502" i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P507" i="1" s="1"/>
  <c r="O507" i="1"/>
  <c r="K508" i="1"/>
  <c r="N508" i="1"/>
  <c r="O508" i="1"/>
  <c r="P508" i="1" s="1"/>
  <c r="K509" i="1"/>
  <c r="N509" i="1"/>
  <c r="P509" i="1" s="1"/>
  <c r="O509" i="1"/>
  <c r="K510" i="1"/>
  <c r="N510" i="1"/>
  <c r="O510" i="1"/>
  <c r="P510" i="1" s="1"/>
  <c r="K511" i="1"/>
  <c r="N511" i="1"/>
  <c r="O511" i="1"/>
  <c r="P511" i="1" s="1"/>
  <c r="I484" i="1"/>
  <c r="I487" i="1"/>
  <c r="I488" i="1"/>
  <c r="I485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486" i="1"/>
  <c r="I502" i="1"/>
  <c r="I503" i="1"/>
  <c r="I504" i="1"/>
  <c r="I505" i="1"/>
  <c r="I506" i="1"/>
  <c r="I507" i="1"/>
  <c r="I508" i="1"/>
  <c r="I509" i="1"/>
  <c r="I510" i="1"/>
  <c r="I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444" i="1"/>
  <c r="E472" i="1"/>
  <c r="E473" i="1"/>
  <c r="E474" i="1"/>
  <c r="E477" i="1"/>
  <c r="E478" i="1"/>
  <c r="E479" i="1"/>
  <c r="E480" i="1"/>
  <c r="E481" i="1"/>
  <c r="E48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444" i="1"/>
  <c r="H472" i="1"/>
  <c r="H473" i="1"/>
  <c r="H474" i="1"/>
  <c r="H477" i="1"/>
  <c r="H478" i="1"/>
  <c r="H479" i="1"/>
  <c r="H480" i="1"/>
  <c r="H481" i="1"/>
  <c r="H483" i="1"/>
  <c r="H525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36" i="1"/>
  <c r="P536" i="1" s="1"/>
  <c r="O537" i="1"/>
  <c r="O538" i="1"/>
  <c r="O539" i="1"/>
  <c r="P539" i="1" s="1"/>
  <c r="O540" i="1"/>
  <c r="O541" i="1"/>
  <c r="P541" i="1" s="1"/>
  <c r="O542" i="1"/>
  <c r="P542" i="1" s="1"/>
  <c r="O543" i="1"/>
  <c r="P543" i="1" s="1"/>
  <c r="O544" i="1"/>
  <c r="P544" i="1" s="1"/>
  <c r="O545" i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O554" i="1"/>
  <c r="O555" i="1"/>
  <c r="P555" i="1" s="1"/>
  <c r="O556" i="1"/>
  <c r="O557" i="1"/>
  <c r="P557" i="1" s="1"/>
  <c r="O558" i="1"/>
  <c r="P558" i="1" s="1"/>
  <c r="O559" i="1"/>
  <c r="P559" i="1" s="1"/>
  <c r="O560" i="1"/>
  <c r="P560" i="1" s="1"/>
  <c r="O561" i="1"/>
  <c r="O562" i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O578" i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O586" i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O610" i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O626" i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641" i="1"/>
  <c r="O642" i="1"/>
  <c r="O643" i="1"/>
  <c r="P643" i="1" s="1"/>
  <c r="O644" i="1"/>
  <c r="P644" i="1" s="1"/>
  <c r="O645" i="1"/>
  <c r="P645" i="1" s="1"/>
  <c r="O646" i="1"/>
  <c r="P646" i="1" s="1"/>
  <c r="O647" i="1"/>
  <c r="P647" i="1" s="1"/>
  <c r="O648" i="1"/>
  <c r="P648" i="1" s="1"/>
  <c r="O649" i="1"/>
  <c r="O650" i="1"/>
  <c r="O651" i="1"/>
  <c r="P651" i="1" s="1"/>
  <c r="O652" i="1"/>
  <c r="O653" i="1"/>
  <c r="P653" i="1" s="1"/>
  <c r="O654" i="1"/>
  <c r="P654" i="1" s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P663" i="1" s="1"/>
  <c r="O664" i="1"/>
  <c r="P664" i="1" s="1"/>
  <c r="O665" i="1"/>
  <c r="O666" i="1"/>
  <c r="O667" i="1"/>
  <c r="P667" i="1" s="1"/>
  <c r="O668" i="1"/>
  <c r="P668" i="1" s="1"/>
  <c r="O669" i="1"/>
  <c r="P669" i="1" s="1"/>
  <c r="O670" i="1"/>
  <c r="P670" i="1" s="1"/>
  <c r="O671" i="1"/>
  <c r="P671" i="1" s="1"/>
  <c r="O672" i="1"/>
  <c r="P672" i="1" s="1"/>
  <c r="O673" i="1"/>
  <c r="O674" i="1"/>
  <c r="O675" i="1"/>
  <c r="P675" i="1" s="1"/>
  <c r="O676" i="1"/>
  <c r="P676" i="1" s="1"/>
  <c r="O677" i="1"/>
  <c r="O678" i="1"/>
  <c r="P678" i="1" s="1"/>
  <c r="O679" i="1"/>
  <c r="P679" i="1" s="1"/>
  <c r="O680" i="1"/>
  <c r="P680" i="1" s="1"/>
  <c r="O681" i="1"/>
  <c r="O682" i="1"/>
  <c r="O683" i="1"/>
  <c r="P683" i="1" s="1"/>
  <c r="O684" i="1"/>
  <c r="P684" i="1" s="1"/>
  <c r="O685" i="1"/>
  <c r="P685" i="1" s="1"/>
  <c r="O686" i="1"/>
  <c r="P686" i="1" s="1"/>
  <c r="O687" i="1"/>
  <c r="P687" i="1" s="1"/>
  <c r="O688" i="1"/>
  <c r="P688" i="1" s="1"/>
  <c r="O689" i="1"/>
  <c r="O690" i="1"/>
  <c r="P690" i="1" s="1"/>
  <c r="O691" i="1"/>
  <c r="P691" i="1" s="1"/>
  <c r="O692" i="1"/>
  <c r="P692" i="1" s="1"/>
  <c r="O693" i="1"/>
  <c r="P693" i="1" s="1"/>
  <c r="O694" i="1"/>
  <c r="P694" i="1" s="1"/>
  <c r="O695" i="1"/>
  <c r="P695" i="1" s="1"/>
  <c r="O696" i="1"/>
  <c r="P696" i="1" s="1"/>
  <c r="O697" i="1"/>
  <c r="O698" i="1"/>
  <c r="O699" i="1"/>
  <c r="P699" i="1" s="1"/>
  <c r="O700" i="1"/>
  <c r="P700" i="1" s="1"/>
  <c r="O701" i="1"/>
  <c r="P701" i="1" s="1"/>
  <c r="O702" i="1"/>
  <c r="P702" i="1" s="1"/>
  <c r="O703" i="1"/>
  <c r="P703" i="1" s="1"/>
  <c r="O704" i="1"/>
  <c r="P704" i="1" s="1"/>
  <c r="O705" i="1"/>
  <c r="O706" i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720" i="1"/>
  <c r="P720" i="1" s="1"/>
  <c r="O721" i="1"/>
  <c r="O722" i="1"/>
  <c r="O723" i="1"/>
  <c r="P723" i="1" s="1"/>
  <c r="O724" i="1"/>
  <c r="P724" i="1" s="1"/>
  <c r="P537" i="1"/>
  <c r="P538" i="1"/>
  <c r="P540" i="1"/>
  <c r="P545" i="1"/>
  <c r="P553" i="1"/>
  <c r="P554" i="1"/>
  <c r="P556" i="1"/>
  <c r="P561" i="1"/>
  <c r="P562" i="1"/>
  <c r="P569" i="1"/>
  <c r="P577" i="1"/>
  <c r="P578" i="1"/>
  <c r="P585" i="1"/>
  <c r="P586" i="1"/>
  <c r="P593" i="1"/>
  <c r="P601" i="1"/>
  <c r="P609" i="1"/>
  <c r="P610" i="1"/>
  <c r="P617" i="1"/>
  <c r="P618" i="1"/>
  <c r="P625" i="1"/>
  <c r="P626" i="1"/>
  <c r="P633" i="1"/>
  <c r="P641" i="1"/>
  <c r="P642" i="1"/>
  <c r="P649" i="1"/>
  <c r="P650" i="1"/>
  <c r="P652" i="1"/>
  <c r="P657" i="1"/>
  <c r="P665" i="1"/>
  <c r="P666" i="1"/>
  <c r="P673" i="1"/>
  <c r="P674" i="1"/>
  <c r="P677" i="1"/>
  <c r="P681" i="1"/>
  <c r="P682" i="1"/>
  <c r="P689" i="1"/>
  <c r="P697" i="1"/>
  <c r="P698" i="1"/>
  <c r="P705" i="1"/>
  <c r="P706" i="1"/>
  <c r="P708" i="1"/>
  <c r="P713" i="1"/>
  <c r="P721" i="1"/>
  <c r="P722" i="1"/>
  <c r="C484" i="1"/>
  <c r="C487" i="1"/>
  <c r="C488" i="1"/>
  <c r="C485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486" i="1"/>
  <c r="C502" i="1"/>
  <c r="C503" i="1"/>
  <c r="C504" i="1"/>
  <c r="C505" i="1"/>
  <c r="C506" i="1"/>
  <c r="C507" i="1"/>
  <c r="C508" i="1"/>
  <c r="C509" i="1"/>
  <c r="C510" i="1"/>
  <c r="C511" i="1"/>
  <c r="E484" i="1"/>
  <c r="E487" i="1"/>
  <c r="E488" i="1"/>
  <c r="E485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486" i="1"/>
  <c r="E502" i="1"/>
  <c r="E503" i="1"/>
  <c r="E504" i="1"/>
  <c r="E505" i="1"/>
  <c r="E506" i="1"/>
  <c r="E507" i="1"/>
  <c r="E508" i="1"/>
  <c r="E509" i="1"/>
  <c r="E510" i="1"/>
  <c r="E511" i="1"/>
  <c r="H484" i="1"/>
  <c r="H487" i="1"/>
  <c r="H488" i="1"/>
  <c r="H485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486" i="1"/>
  <c r="H502" i="1"/>
  <c r="H503" i="1"/>
  <c r="H504" i="1"/>
  <c r="H505" i="1"/>
  <c r="H506" i="1"/>
  <c r="H507" i="1"/>
  <c r="H508" i="1"/>
  <c r="H509" i="1"/>
  <c r="H510" i="1"/>
  <c r="H511" i="1"/>
  <c r="H35" i="3"/>
  <c r="I35" i="3" s="1"/>
  <c r="N482" i="1"/>
  <c r="O482" i="1"/>
  <c r="P482" i="1" s="1"/>
  <c r="K482" i="1"/>
  <c r="I482" i="1"/>
  <c r="C482" i="1"/>
  <c r="E482" i="1"/>
  <c r="H482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P449" i="1" s="1"/>
  <c r="O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 s="1"/>
  <c r="K457" i="1"/>
  <c r="N457" i="1"/>
  <c r="O457" i="1"/>
  <c r="P457" i="1" s="1"/>
  <c r="K458" i="1"/>
  <c r="N458" i="1"/>
  <c r="O458" i="1"/>
  <c r="P458" i="1" s="1"/>
  <c r="K459" i="1"/>
  <c r="N459" i="1"/>
  <c r="O459" i="1"/>
  <c r="P459" i="1" s="1"/>
  <c r="K460" i="1"/>
  <c r="N460" i="1"/>
  <c r="P460" i="1" s="1"/>
  <c r="O460" i="1"/>
  <c r="K461" i="1"/>
  <c r="N461" i="1"/>
  <c r="O461" i="1"/>
  <c r="P461" i="1" s="1"/>
  <c r="K462" i="1"/>
  <c r="N462" i="1"/>
  <c r="P462" i="1" s="1"/>
  <c r="O462" i="1"/>
  <c r="K463" i="1"/>
  <c r="N463" i="1"/>
  <c r="O463" i="1"/>
  <c r="P463" i="1" s="1"/>
  <c r="K464" i="1"/>
  <c r="N464" i="1"/>
  <c r="P464" i="1" s="1"/>
  <c r="O464" i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5" i="1"/>
  <c r="N475" i="1"/>
  <c r="O475" i="1"/>
  <c r="P475" i="1" s="1"/>
  <c r="K476" i="1"/>
  <c r="N476" i="1"/>
  <c r="O476" i="1"/>
  <c r="P476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V27" i="3" l="1"/>
  <c r="M528" i="1"/>
  <c r="M524" i="1"/>
  <c r="M525" i="1"/>
  <c r="M526" i="1"/>
  <c r="M527" i="1"/>
  <c r="M491" i="1"/>
  <c r="M49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5" i="1"/>
  <c r="I476" i="1"/>
  <c r="C475" i="1"/>
  <c r="C476" i="1"/>
  <c r="E475" i="1"/>
  <c r="E476" i="1"/>
  <c r="H475" i="1"/>
  <c r="H476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P11" i="3" s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13" i="3" l="1"/>
  <c r="O2" i="3"/>
  <c r="M507" i="1"/>
  <c r="M508" i="1"/>
  <c r="P9" i="3"/>
  <c r="P12" i="3"/>
  <c r="O12" i="3"/>
  <c r="J28" i="3"/>
  <c r="K28" i="3"/>
  <c r="O28" i="3"/>
  <c r="P28" i="3"/>
  <c r="M439" i="1"/>
  <c r="J30" i="3"/>
  <c r="O30" i="3"/>
  <c r="M441" i="1"/>
  <c r="P30" i="3"/>
  <c r="K30" i="3"/>
  <c r="P8" i="3"/>
  <c r="P34" i="3"/>
  <c r="P29" i="3"/>
  <c r="O29" i="3"/>
  <c r="P23" i="3"/>
  <c r="O23" i="3"/>
  <c r="K23" i="3"/>
  <c r="M438" i="1"/>
  <c r="O34" i="3"/>
  <c r="M462" i="1"/>
  <c r="P33" i="3"/>
  <c r="O33" i="3"/>
  <c r="J33" i="3"/>
  <c r="O19" i="3"/>
  <c r="P19" i="3"/>
  <c r="P3" i="3"/>
  <c r="O3" i="3"/>
  <c r="M437" i="1"/>
  <c r="J22" i="3"/>
  <c r="P22" i="3"/>
  <c r="K22" i="3"/>
  <c r="O22" i="3"/>
  <c r="O32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501" i="1" l="1"/>
  <c r="M458" i="1"/>
  <c r="M387" i="1"/>
  <c r="M386" i="1"/>
  <c r="J19" i="3"/>
  <c r="M415" i="1"/>
  <c r="M422" i="1"/>
  <c r="J32" i="3"/>
  <c r="P18" i="3"/>
  <c r="K18" i="3"/>
  <c r="O18" i="3"/>
  <c r="M433" i="1"/>
  <c r="M459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489" i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34" i="3" l="1"/>
  <c r="T20" i="3"/>
  <c r="T29" i="3"/>
  <c r="T34" i="3"/>
  <c r="U26" i="3"/>
  <c r="U22" i="3"/>
  <c r="U35" i="3"/>
  <c r="T12" i="3"/>
  <c r="T21" i="3"/>
  <c r="T35" i="3"/>
  <c r="U18" i="3"/>
  <c r="M529" i="1"/>
  <c r="M473" i="1"/>
  <c r="T33" i="3"/>
  <c r="U9" i="3"/>
  <c r="V9" i="3" s="1"/>
  <c r="U17" i="3"/>
  <c r="U25" i="3"/>
  <c r="V25" i="3" s="1"/>
  <c r="U33" i="3"/>
  <c r="T7" i="3"/>
  <c r="T15" i="3"/>
  <c r="V15" i="3" s="1"/>
  <c r="T23" i="3"/>
  <c r="V23" i="3" s="1"/>
  <c r="U7" i="3"/>
  <c r="U11" i="3"/>
  <c r="U19" i="3"/>
  <c r="U3" i="3"/>
  <c r="U12" i="3"/>
  <c r="U20" i="3"/>
  <c r="V20" i="3" s="1"/>
  <c r="U28" i="3"/>
  <c r="V28" i="3" s="1"/>
  <c r="U2" i="3"/>
  <c r="V2" i="3" s="1"/>
  <c r="U4" i="3"/>
  <c r="V4" i="3" s="1"/>
  <c r="U13" i="3"/>
  <c r="V13" i="3" s="1"/>
  <c r="U21" i="3"/>
  <c r="V21" i="3" s="1"/>
  <c r="U29" i="3"/>
  <c r="V29" i="3" s="1"/>
  <c r="U6" i="3"/>
  <c r="U8" i="3"/>
  <c r="V8" i="3" s="1"/>
  <c r="U16" i="3"/>
  <c r="V16" i="3" s="1"/>
  <c r="U24" i="3"/>
  <c r="V24" i="3" s="1"/>
  <c r="U32" i="3"/>
  <c r="V32" i="3" s="1"/>
  <c r="T6" i="3"/>
  <c r="M477" i="1"/>
  <c r="M483" i="1"/>
  <c r="M480" i="1"/>
  <c r="M444" i="1"/>
  <c r="O35" i="3"/>
  <c r="O20" i="3"/>
  <c r="J26" i="3"/>
  <c r="O26" i="3"/>
  <c r="M481" i="1"/>
  <c r="J27" i="3"/>
  <c r="O24" i="3"/>
  <c r="K4" i="3"/>
  <c r="M472" i="1"/>
  <c r="O21" i="3"/>
  <c r="P26" i="3"/>
  <c r="P13" i="3"/>
  <c r="M478" i="1"/>
  <c r="O5" i="3"/>
  <c r="P21" i="3"/>
  <c r="K35" i="3"/>
  <c r="K26" i="3"/>
  <c r="M474" i="1"/>
  <c r="P2" i="3"/>
  <c r="P24" i="3"/>
  <c r="O11" i="3"/>
  <c r="O4" i="3"/>
  <c r="K24" i="3"/>
  <c r="J4" i="3"/>
  <c r="M479" i="1"/>
  <c r="M515" i="1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T31" i="3" s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T10" i="3" s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T17" i="3" s="1"/>
  <c r="C306" i="1"/>
  <c r="C283" i="1"/>
  <c r="V12" i="3" l="1"/>
  <c r="U14" i="3"/>
  <c r="V14" i="3" s="1"/>
  <c r="V33" i="3"/>
  <c r="V35" i="3"/>
  <c r="V34" i="3"/>
  <c r="V17" i="3"/>
  <c r="U75" i="6"/>
  <c r="M354" i="1"/>
  <c r="U10" i="3"/>
  <c r="V10" i="3" s="1"/>
  <c r="U31" i="3"/>
  <c r="V31" i="3" s="1"/>
  <c r="V7" i="3"/>
  <c r="T72" i="6"/>
  <c r="D75" i="6"/>
  <c r="I71" i="6"/>
  <c r="M531" i="1"/>
  <c r="M532" i="1"/>
  <c r="M530" i="1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M522" i="1"/>
  <c r="M504" i="1"/>
  <c r="M521" i="1"/>
  <c r="M486" i="1"/>
  <c r="M506" i="1"/>
  <c r="M502" i="1"/>
  <c r="M520" i="1"/>
  <c r="M505" i="1"/>
  <c r="M503" i="1"/>
  <c r="M518" i="1"/>
  <c r="M495" i="1"/>
  <c r="M516" i="1"/>
  <c r="M497" i="1"/>
  <c r="M492" i="1"/>
  <c r="M519" i="1"/>
  <c r="M500" i="1"/>
  <c r="M496" i="1"/>
  <c r="M499" i="1"/>
  <c r="M517" i="1"/>
  <c r="M498" i="1"/>
  <c r="M494" i="1"/>
  <c r="M493" i="1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M488" i="1"/>
  <c r="M513" i="1"/>
  <c r="F64" i="6"/>
  <c r="M56" i="6"/>
  <c r="D46" i="6"/>
  <c r="O71" i="6"/>
  <c r="J71" i="6"/>
  <c r="G70" i="6"/>
  <c r="F70" i="6"/>
  <c r="J70" i="6"/>
  <c r="G71" i="6"/>
  <c r="M487" i="1"/>
  <c r="M484" i="1"/>
  <c r="H70" i="6"/>
  <c r="D71" i="6"/>
  <c r="L70" i="6"/>
  <c r="K70" i="6"/>
  <c r="T71" i="6"/>
  <c r="Q71" i="6"/>
  <c r="M523" i="1"/>
  <c r="M341" i="1"/>
  <c r="E69" i="6"/>
  <c r="O55" i="6"/>
  <c r="G59" i="6"/>
  <c r="N68" i="6"/>
  <c r="M70" i="6"/>
  <c r="Q70" i="6"/>
  <c r="R70" i="6"/>
  <c r="S70" i="6"/>
  <c r="M352" i="1"/>
  <c r="M510" i="1"/>
  <c r="M509" i="1"/>
  <c r="M511" i="1"/>
  <c r="M337" i="1"/>
  <c r="M485" i="1"/>
  <c r="I54" i="6"/>
  <c r="S43" i="6"/>
  <c r="M61" i="6"/>
  <c r="C70" i="6"/>
  <c r="I70" i="6"/>
  <c r="O70" i="6"/>
  <c r="U71" i="6"/>
  <c r="S62" i="6"/>
  <c r="J57" i="6"/>
  <c r="N70" i="6"/>
  <c r="R71" i="6"/>
  <c r="T70" i="6"/>
  <c r="M512" i="1"/>
  <c r="M514" i="1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440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443" i="1"/>
  <c r="M449" i="1"/>
  <c r="M377" i="1"/>
  <c r="M378" i="1"/>
  <c r="M413" i="1"/>
  <c r="M355" i="1"/>
  <c r="M356" i="1"/>
  <c r="M357" i="1"/>
  <c r="M333" i="1"/>
  <c r="M435" i="1"/>
  <c r="M436" i="1"/>
  <c r="M446" i="1"/>
  <c r="M447" i="1"/>
  <c r="M448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45" i="1"/>
  <c r="M475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82" i="1"/>
  <c r="M469" i="1"/>
  <c r="M466" i="1"/>
  <c r="M470" i="1"/>
  <c r="M476" i="1"/>
  <c r="M471" i="1"/>
  <c r="M465" i="1"/>
  <c r="M434" i="1"/>
  <c r="M468" i="1"/>
  <c r="M464" i="1"/>
  <c r="M467" i="1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M442" i="1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32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460" i="1"/>
  <c r="M461" i="1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451" i="1"/>
  <c r="M457" i="1"/>
  <c r="M450" i="1"/>
  <c r="M454" i="1"/>
  <c r="M452" i="1"/>
  <c r="M456" i="1"/>
  <c r="M455" i="1"/>
  <c r="M453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s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<sst xmlns="http://schemas.openxmlformats.org/spreadsheetml/2006/main" count="4679" uniqueCount="180">
  <si>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</si>
  <si>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</si>
  <si>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</si>
  <si>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</si>
  <si>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</si>
  <si>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</si>
  <si>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</si>
  <si>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</si>
  <si>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</si>
  <si>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</si>
  <si>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</si>
  <si>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</si>
  <si>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</si>
  <si>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</si>
  <si>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</si>
  <si>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</si>
  <si>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</si>
  <si>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</si>
  <si>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</si>
  <si>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</si>
  <si>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</si>
  <si>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</si>
  <si>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</si>
  <si>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</si>
  <si>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</si>
  <si>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</si>
  <si>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</si>
  <si>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</si>
  <si>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</si>
  <si>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</si>
  <si>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</si>
  <si>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</si>
  <si>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</si>
  <si>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</si>
  <si>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</si>
  <si>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</si>
  <si>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</si>
  <si>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</si>
  <si>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</si>
  <si>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</si>
  <si>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</si>
  <si>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</si>
  <si>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</si>
  <si>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</si>
  <si>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</si>
  <si>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</si>
  <si>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</si>
  <si>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</si>
  <si>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</si>
  <si>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</si>
  <si>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</si>
  <si>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</si>
  <si>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</si>
  <si>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</si>
  <si>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</si>
  <si>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</si>
  <si>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</si>
  <si>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</si>
  <si>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</si>
  <si>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</si>
  <si>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</si>
  <si>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</si>
  <si>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</si>
  <si>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</si>
  <si>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</si>
  <si>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</si>
  <si>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</si>
  <si>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</si>
  <si>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</si>
  <si>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</si>
  <si>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</si>
  <si>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</si>
  <si>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</si>
  <si>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</si>
  <si>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</si>
  <si>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</si>
  <si>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</si>
  <si>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</si>
  <si>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</si>
  <si>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</si>
  <si>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</si>
  <si>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</si>
  <si>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</si>
  <si>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</si>
  <si>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</si>
  <si>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</si>
  <si>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</si>
  <si>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</si>
  <si>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</si>
  <si>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</si>
  <si>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</si>
  <si>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</si>
  <si>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</si>
  <si>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</si>
  <si>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</si>
  <si>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</si>
  <si>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</si>
  <si>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</si>
  <si>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</si>
  <si>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</si>
  <si>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</si>
  <si>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</si>
  <si>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</si>
  <si>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</si>
  <si>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</si>
  <si>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</si>
  <si>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</si>
  <si>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</si>
  <si>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</si>
  <si>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</si>
  <si>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</si>
  <si>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</si>
  <si>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</si>
  <si>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</si>
  <si>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</si>
  <si>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</si>
  <si>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</si>
  <si>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</si>
  <si>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</si>
  <si>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</si>
  <si>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</si>
  <si>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</si>
  <si>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</si>
  <si>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</si>
  <si>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</si>
  <si>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</si>
  <si>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</si>
  <si>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</si>
  <si>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</si>
  <si>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</si>
  <si>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</si>
  <si>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</si>
  <si>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</si>
  <si>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</si>
  <si>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</si>
  <si>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</si>
  <si>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</si>
  <si>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</si>
  <si>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</si>
  <si>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</si>
  <si>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</si>
  <si>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</si>
  <si>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</si>
  <si>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</si>
  <si>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</si>
  <si>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</si>
  <si>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</si>
  <si>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</si>
  <si>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</si>
  <si>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</si>
  <si>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</si>
  <si>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</si>
  <si>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</si>
  <si>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</si>
  <si>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</si>
  <si>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</si>
  <si>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</si>
  <si>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</si>
  <si>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</si>
  <si>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</si>
  <si>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</si>
  <si>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</si>
  <si>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</si>
  <si>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</si>
  <si>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</si>
  <si>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</si>
  <si>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</si>
  <si>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</si>
  <si>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</si>
  <si>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</si>
  <si>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</si>
  <si>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</si>
  <si>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</si>
  <si>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</si>
  <si>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</si>
  <si>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</si>
  <si>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</si>
  <si>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</si>
  <si>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</si>
  <si>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Atributo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</si>
</sst>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0" formatCode="General"/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07" tableType="queryTable" totalsRowShown="0" headerRowDxfId="5">
  <autoFilter ref="A1:D1407" xr:uid="{2C5E576C-56D5-4661-AEE8-C56EAF46506C}"/>
  <tableColumns count="4">
    <tableColumn id="1" xr3:uid="{C5F72CE6-A217-4AAA-B890-634003E10415}" uniqueName="1" name="Atributo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Fecha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D22" sqref="D2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128</v>
      </c>
      <c r="D21" s="10">
        <v>92.02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35</v>
      </c>
      <c r="B35" s="8" t="s">
        <v>174</v>
      </c>
      <c r="C35" s="9" t="s">
        <v>129</v>
      </c>
      <c r="D35" s="10">
        <v>5293.35</v>
      </c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38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zoomScale="70" zoomScaleNormal="70" workbookViewId="0">
      <pane ySplit="1" topLeftCell="A517" activePane="bottomLeft" state="frozen"/>
      <selection pane="bottomLeft" activeCell="P535" sqref="P535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47">
        <f t="shared" si="2"/>
        <v>-29.95</v>
      </c>
      <c r="L438" s="15" t="s">
        <v>129</v>
      </c>
      <c r="M438" s="58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47">
        <f t="shared" si="2"/>
        <v>-258.5</v>
      </c>
      <c r="L444" s="15" t="s">
        <v>129</v>
      </c>
      <c r="M444" s="58">
        <f>SUMIFS('Saldos Iniciales'!$D$2:$D$38,'Saldos Iniciales'!$A$2:$A$38,C444,'Saldos Iniciales'!$B$2:$B$38,D444)+SUMIFS($K$1:$K$724,$C$1:$C$724,C444,$D$1:$D$724,D444,$B$1:$B$724,"&lt;="&amp;B444)</f>
        <v>5034.8500000000004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47">
        <f t="shared" si="2"/>
        <v>-3000</v>
      </c>
      <c r="L450" s="15" t="s">
        <v>129</v>
      </c>
      <c r="M450" s="58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47">
        <f t="shared" si="2"/>
        <v>-100000</v>
      </c>
      <c r="L456" s="15" t="s">
        <v>129</v>
      </c>
      <c r="M456" s="58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47">
        <f t="shared" si="2"/>
        <v>20000</v>
      </c>
      <c r="L462" s="15" t="s">
        <v>129</v>
      </c>
      <c r="M462" s="58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47">
        <f t="shared" si="2"/>
        <v>-15</v>
      </c>
      <c r="L468" s="15" t="s">
        <v>129</v>
      </c>
      <c r="M468" s="58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2"/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2"/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4276.5200000000004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2"/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4276.5200000000004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47">
        <f t="shared" si="2"/>
        <v>-29.96</v>
      </c>
      <c r="L474" s="15" t="s">
        <v>129</v>
      </c>
      <c r="M474" s="58">
        <f>SUMIFS('Saldos Iniciales'!$D$2:$D$38,'Saldos Iniciales'!$A$2:$A$38,C474,'Saldos Iniciales'!$B$2:$B$38,D474)+SUMIFS($K$1:$K$724,$C$1:$C$724,C474,$D$1:$D$724,D474,$B$1:$B$724,"&lt;="&amp;B474)</f>
        <v>4276.5200000000004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46209</v>
      </c>
      <c r="C475" s="46" t="str">
        <f>_xlfn.XLOOKUP(tblMovimientos[[#This Row],[Cuenta Bancaria]],Listas!$B:$B,Listas!$A:$A,"")</f>
        <v>SSP Capital</v>
      </c>
      <c r="D475" s="41" t="s">
        <v>101</v>
      </c>
      <c r="E475" s="4" t="str">
        <f>_xlfn.XLOOKUP(tblMovimientos[[#This Row],[Cuenta Bancaria]],Listas!$B:$B,Listas!$C:$C,"")</f>
        <v>Bank of America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538.41999999999996</v>
      </c>
      <c r="K475" s="5">
        <f t="shared" si="2"/>
        <v>-538.41999999999996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22518.97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538.41999999999996</v>
      </c>
      <c r="P475" s="28">
        <f>IF(tblMovimientos[[#This Row],[Tipo de Movimiento]]="Ingreso",tblMovimientos[[#This Row],[Ingreso]],-tblMovimientos[[#This Row],[Egreso]])</f>
        <v>-538.41999999999996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Go Blue</v>
      </c>
      <c r="D476" s="41" t="s">
        <v>126</v>
      </c>
      <c r="E476" s="4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17151.490000000002</v>
      </c>
      <c r="K476" s="5">
        <f t="shared" si="2"/>
        <v>-17151.490000000002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11691.029999999999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17151.490000000002</v>
      </c>
      <c r="P476" s="28">
        <f>IF(tblMovimientos[[#This Row],[Tipo de Movimiento]]="Ingreso",tblMovimientos[[#This Row],[Ingreso]],-tblMovimientos[[#This Row],[Egreso]])</f>
        <v>-17151.490000000002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174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30</v>
      </c>
      <c r="K477" s="5">
        <f t="shared" si="2"/>
        <v>-30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3474.3100000000004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30</v>
      </c>
      <c r="P477" s="28">
        <f>IF(tblMovimientos[[#This Row],[Tipo de Movimiento]]="Ingreso",tblMovimientos[[#This Row],[Ingreso]],-tblMovimientos[[#This Row],[Egreso]])</f>
        <v>-30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18</v>
      </c>
      <c r="K478" s="5">
        <f t="shared" si="2"/>
        <v>-18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3474.3100000000004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18</v>
      </c>
      <c r="P478" s="28">
        <f>IF(tblMovimientos[[#This Row],[Tipo de Movimiento]]="Ingreso",tblMovimientos[[#This Row],[Ingreso]],-tblMovimientos[[#This Row],[Egreso]])</f>
        <v>-18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458.35</v>
      </c>
      <c r="K479" s="5">
        <f t="shared" si="2"/>
        <v>-458.35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3474.3100000000004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458.35</v>
      </c>
      <c r="P479" s="28">
        <f>IF(tblMovimientos[[#This Row],[Tipo de Movimiento]]="Ingreso",tblMovimientos[[#This Row],[Ingreso]],-tblMovimientos[[#This Row],[Egreso]])</f>
        <v>-458.35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24</v>
      </c>
      <c r="K480" s="47">
        <f t="shared" si="2"/>
        <v>-24</v>
      </c>
      <c r="L480" s="15" t="s">
        <v>129</v>
      </c>
      <c r="M480" s="58">
        <f>SUMIFS('Saldos Iniciales'!$D$2:$D$38,'Saldos Iniciales'!$A$2:$A$38,C480,'Saldos Iniciales'!$B$2:$B$38,D480)+SUMIFS($K$1:$K$724,$C$1:$C$724,C480,$D$1:$D$724,D480,$B$1:$B$724,"&lt;="&amp;B480)</f>
        <v>3474.3100000000004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24</v>
      </c>
      <c r="P480" s="28">
        <f>IF(tblMovimientos[[#This Row],[Tipo de Movimiento]]="Ingreso",tblMovimientos[[#This Row],[Ingreso]],-tblMovimientos[[#This Row],[Egreso]])</f>
        <v>-24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271.86</v>
      </c>
      <c r="K481" s="5">
        <f t="shared" si="2"/>
        <v>-271.86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3474.3100000000004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271.86</v>
      </c>
      <c r="P481" s="28">
        <f>IF(tblMovimientos[[#This Row],[Tipo de Movimiento]]="Ingreso",tblMovimientos[[#This Row],[Ingreso]],-tblMovimientos[[#This Row],[Egreso]])</f>
        <v>-271.86</v>
      </c>
    </row>
    <row r="482" spans="2:16" x14ac:dyDescent="0.3">
      <c r="B482" s="39">
        <v>46210</v>
      </c>
      <c r="C482" s="46" t="str">
        <f>_xlfn.XLOOKUP(tblMovimientos[[#This Row],[Cuenta Bancaria]],Listas!$B:$B,Listas!$A:$A,"")</f>
        <v>Go Blue</v>
      </c>
      <c r="D482" s="41" t="s">
        <v>126</v>
      </c>
      <c r="E482" s="4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614.75</v>
      </c>
      <c r="K482" s="5">
        <f t="shared" si="2"/>
        <v>-614.75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11076.279999999999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614.75</v>
      </c>
      <c r="P482" s="28">
        <f>IF(tblMovimientos[[#This Row],[Tipo de Movimiento]]="Ingreso",tblMovimientos[[#This Row],[Ingreso]],-tblMovimientos[[#This Row],[Egreso]])</f>
        <v>-614.75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174</v>
      </c>
      <c r="E483" s="68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52</v>
      </c>
      <c r="K483" s="5">
        <f t="shared" si="2"/>
        <v>-52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3422.3100000000004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52</v>
      </c>
      <c r="P483" s="28">
        <f>IF(tblMovimientos[[#This Row],[Tipo de Movimiento]]="Ingreso",tblMovimientos[[#This Row],[Ingreso]],-tblMovimientos[[#This Row],[Egreso]])</f>
        <v>-52</v>
      </c>
    </row>
    <row r="484" spans="2:16" x14ac:dyDescent="0.3">
      <c r="B484" s="39">
        <v>46211</v>
      </c>
      <c r="C484" s="46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41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7679.78</v>
      </c>
      <c r="K484" s="5">
        <f t="shared" si="2"/>
        <v>-7679.78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14839.189999999999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7679.78</v>
      </c>
      <c r="P484" s="28">
        <f>IF(tblMovimientos[[#This Row],[Tipo de Movimiento]]="Ingreso",tblMovimientos[[#This Row],[Ingreso]],-tblMovimientos[[#This Row],[Egreso]])</f>
        <v>-7679.78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112 Florida Ave</v>
      </c>
      <c r="D485" s="41" t="s">
        <v>123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4000</v>
      </c>
      <c r="K485" s="5">
        <f t="shared" si="2"/>
        <v>-4000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6522.8000000000029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4000</v>
      </c>
      <c r="P485" s="28">
        <f>IF(tblMovimientos[[#This Row],[Tipo de Movimiento]]="Ingreso",tblMovimientos[[#This Row],[Ingreso]],-tblMovimientos[[#This Row],[Egreso]])</f>
        <v>-4000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104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1650.84</v>
      </c>
      <c r="K486" s="47">
        <f t="shared" si="2"/>
        <v>-1650.84</v>
      </c>
      <c r="L486" s="15" t="s">
        <v>129</v>
      </c>
      <c r="M486" s="58">
        <f>SUMIFS('Saldos Iniciales'!$D$2:$D$38,'Saldos Iniciales'!$A$2:$A$38,C486,'Saldos Iniciales'!$B$2:$B$38,D486)+SUMIFS($K$1:$K$724,$C$1:$C$724,C486,$D$1:$D$724,D486,$B$1:$B$724,"&lt;="&amp;B486)</f>
        <v>920047.91999999946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1650.84</v>
      </c>
      <c r="P486" s="28">
        <f>IF(tblMovimientos[[#This Row],[Tipo de Movimiento]]="Ingreso",tblMovimientos[[#This Row],[Ingreso]],-tblMovimientos[[#This Row],[Egreso]])</f>
        <v>-1650.84</v>
      </c>
    </row>
    <row r="487" spans="2:16" x14ac:dyDescent="0.3">
      <c r="B487" s="39">
        <v>46212</v>
      </c>
      <c r="C487" s="46" t="str">
        <f>_xlfn.XLOOKUP(tblMovimientos[[#This Row],[Cuenta Bancaria]],Listas!$B:$B,Listas!$A:$A,"")</f>
        <v>SSP Capital</v>
      </c>
      <c r="D487" s="41" t="s">
        <v>101</v>
      </c>
      <c r="E487" s="68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1291.6500000000001</v>
      </c>
      <c r="K487" s="5">
        <f t="shared" si="2"/>
        <v>-1291.6500000000001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13547.539999999999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1291.6500000000001</v>
      </c>
      <c r="P487" s="28">
        <f>IF(tblMovimientos[[#This Row],[Tipo de Movimiento]]="Ingreso",tblMovimientos[[#This Row],[Ingreso]],-tblMovimientos[[#This Row],[Egreso]])</f>
        <v>-1291.6500000000001</v>
      </c>
    </row>
    <row r="488" spans="2:16" x14ac:dyDescent="0.3">
      <c r="B488" s="39">
        <v>46212</v>
      </c>
      <c r="C488" s="46" t="str">
        <f>_xlfn.XLOOKUP(tblMovimientos[[#This Row],[Cuenta Bancaria]],Listas!$B:$B,Listas!$A:$A,"")</f>
        <v>A&amp;M Imports</v>
      </c>
      <c r="D488" s="41" t="s">
        <v>100</v>
      </c>
      <c r="E488" s="68" t="str">
        <f>_xlfn.XLOOKUP(tblMovimientos[[#This Row],[Cuenta Bancaria]],Listas!$B:$B,Listas!$C:$C,"")</f>
        <v>Bank of America</v>
      </c>
      <c r="F488" s="41" t="s">
        <v>10</v>
      </c>
      <c r="G488" s="41" t="s">
        <v>61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60000</v>
      </c>
      <c r="K488" s="5">
        <f t="shared" si="2"/>
        <v>-60000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290475.62999999989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60000</v>
      </c>
      <c r="P488" s="28">
        <f>IF(tblMovimientos[[#This Row],[Tipo de Movimiento]]="Ingreso",tblMovimientos[[#This Row],[Ingreso]],-tblMovimientos[[#This Row],[Egreso]])</f>
        <v>-60000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M1B</v>
      </c>
      <c r="D489" s="41" t="s">
        <v>97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5982</v>
      </c>
      <c r="K489" s="5">
        <f t="shared" si="2"/>
        <v>-5982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68157.680000000168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5982</v>
      </c>
      <c r="P489" s="28">
        <f>IF(tblMovimientos[[#This Row],[Tipo de Movimiento]]="Ingreso",tblMovimientos[[#This Row],[Ingreso]],-tblMovimientos[[#This Row],[Egreso]])</f>
        <v>-5982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Go Blue</v>
      </c>
      <c r="D490" s="41" t="s">
        <v>174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47.47</v>
      </c>
      <c r="K490" s="5">
        <f t="shared" si="2"/>
        <v>-47.47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3338.84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47.47</v>
      </c>
      <c r="P490" s="28">
        <f>IF(tblMovimientos[[#This Row],[Tipo de Movimiento]]="Ingreso",tblMovimientos[[#This Row],[Ingreso]],-tblMovimientos[[#This Row],[Egreso]])</f>
        <v>-47.47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Go Blue</v>
      </c>
      <c r="D491" s="41" t="s">
        <v>174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36</v>
      </c>
      <c r="K491" s="5">
        <f t="shared" si="2"/>
        <v>-36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3338.84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36</v>
      </c>
      <c r="P491" s="28">
        <f>IF(tblMovimientos[[#This Row],[Tipo de Movimiento]]="Ingreso",tblMovimientos[[#This Row],[Ingreso]],-tblMovimientos[[#This Row],[Egreso]])</f>
        <v>-36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CFT Group</v>
      </c>
      <c r="D492" s="41" t="s">
        <v>95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46</v>
      </c>
      <c r="H492" s="4" t="str">
        <f>IFERROR(_xlfn.XLOOKUP(G492,Listas!E:E,Listas!F:F,""),"")</f>
        <v>Financiamiento</v>
      </c>
      <c r="I492" s="46" t="str">
        <f>IFERROR(_xlfn.XLOOKUP(G492,Listas!E:E,Listas!G:G,""),"")</f>
        <v>Externo</v>
      </c>
      <c r="J492" s="43">
        <v>2975</v>
      </c>
      <c r="K492" s="47">
        <f t="shared" si="2"/>
        <v>-2975</v>
      </c>
      <c r="L492" s="15" t="s">
        <v>129</v>
      </c>
      <c r="M492" s="58">
        <f>SUMIFS('Saldos Iniciales'!$D$2:$D$38,'Saldos Iniciales'!$A$2:$A$38,C492,'Saldos Iniciales'!$B$2:$B$38,D492)+SUMIFS($K$1:$K$724,$C$1:$C$724,C492,$D$1:$D$724,D492,$B$1:$B$724,"&lt;="&amp;B492)</f>
        <v>4336744.6900000004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2975</v>
      </c>
      <c r="P492" s="28">
        <f>IF(tblMovimientos[[#This Row],[Tipo de Movimiento]]="Ingreso",tblMovimientos[[#This Row],[Ingreso]],-tblMovimientos[[#This Row],[Egreso]])</f>
        <v>-2975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CFT Group</v>
      </c>
      <c r="D493" s="41" t="s">
        <v>95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46</v>
      </c>
      <c r="H493" s="4" t="str">
        <f>IFERROR(_xlfn.XLOOKUP(G493,Listas!E:E,Listas!F:F,""),"")</f>
        <v>Financiamiento</v>
      </c>
      <c r="I493" s="46" t="str">
        <f>IFERROR(_xlfn.XLOOKUP(G493,Listas!E:E,Listas!G:G,""),"")</f>
        <v>Externo</v>
      </c>
      <c r="J493" s="43">
        <v>11666.67</v>
      </c>
      <c r="K493" s="5">
        <f t="shared" si="2"/>
        <v>-11666.67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4336744.6900000004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11666.67</v>
      </c>
      <c r="P493" s="28">
        <f>IF(tblMovimientos[[#This Row],[Tipo de Movimiento]]="Ingreso",tblMovimientos[[#This Row],[Ingreso]],-tblMovimientos[[#This Row],[Egreso]])</f>
        <v>-11666.67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61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40000</v>
      </c>
      <c r="K494" s="5">
        <f t="shared" si="2"/>
        <v>-40000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40000</v>
      </c>
      <c r="P494" s="28">
        <f>IF(tblMovimientos[[#This Row],[Tipo de Movimiento]]="Ingreso",tblMovimientos[[#This Row],[Ingreso]],-tblMovimientos[[#This Row],[Egreso]])</f>
        <v>-40000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61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60000</v>
      </c>
      <c r="K495" s="5">
        <f t="shared" si="2"/>
        <v>-60000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60000</v>
      </c>
      <c r="P495" s="28">
        <f>IF(tblMovimientos[[#This Row],[Tipo de Movimiento]]="Ingreso",tblMovimientos[[#This Row],[Ingreso]],-tblMovimientos[[#This Row],[Egreso]])</f>
        <v>-60000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100000</v>
      </c>
      <c r="K496" s="5">
        <f t="shared" si="2"/>
        <v>-100000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100000</v>
      </c>
      <c r="P496" s="28">
        <f>IF(tblMovimientos[[#This Row],[Tipo de Movimiento]]="Ingreso",tblMovimientos[[#This Row],[Ingreso]],-tblMovimientos[[#This Row],[Egreso]])</f>
        <v>-100000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100000</v>
      </c>
      <c r="K497" s="5">
        <f t="shared" si="2"/>
        <v>-100000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100000</v>
      </c>
      <c r="P497" s="28">
        <f>IF(tblMovimientos[[#This Row],[Tipo de Movimiento]]="Ingreso",tblMovimientos[[#This Row],[Ingreso]],-tblMovimientos[[#This Row],[Egreso]])</f>
        <v>-100000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47">
        <f t="shared" ref="K498:K523" si="3">IF(F498="Ingreso",J498,-J498)</f>
        <v>-100000</v>
      </c>
      <c r="L498" s="15" t="s">
        <v>129</v>
      </c>
      <c r="M498" s="58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48</v>
      </c>
      <c r="H499" s="4" t="str">
        <f>IFERROR(_xlfn.XLOOKUP(G499,Listas!E:E,Listas!F:F,""),"")</f>
        <v>Financiamiento</v>
      </c>
      <c r="I499" s="46" t="str">
        <f>IFERROR(_xlfn.XLOOKUP(G499,Listas!E:E,Listas!G:G,""),"")</f>
        <v>Externo</v>
      </c>
      <c r="J499" s="43">
        <v>200000</v>
      </c>
      <c r="K499" s="5">
        <f t="shared" si="3"/>
        <v>-200000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200000</v>
      </c>
      <c r="P499" s="28">
        <f>IF(tblMovimientos[[#This Row],[Tipo de Movimiento]]="Ingreso",tblMovimientos[[#This Row],[Ingreso]],-tblMovimientos[[#This Row],[Egreso]])</f>
        <v>-200000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62</v>
      </c>
      <c r="H500" s="4" t="str">
        <f>IFERROR(_xlfn.XLOOKUP(G500,Listas!E:E,Listas!F:F,""),"")</f>
        <v>Operativo</v>
      </c>
      <c r="I500" s="46" t="str">
        <f>IFERROR(_xlfn.XLOOKUP(G500,Listas!E:E,Listas!G:G,""),"")</f>
        <v>Interno</v>
      </c>
      <c r="J500" s="43">
        <v>600000</v>
      </c>
      <c r="K500" s="5">
        <f t="shared" si="3"/>
        <v>-600000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600000</v>
      </c>
      <c r="P500" s="28">
        <f>IF(tblMovimientos[[#This Row],[Tipo de Movimiento]]="Ingreso",tblMovimientos[[#This Row],[Ingreso]],-tblMovimientos[[#This Row],[Egreso]])</f>
        <v>-600000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Cross Family Trust</v>
      </c>
      <c r="D501" s="41" t="s">
        <v>111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53</v>
      </c>
      <c r="H501" s="46" t="str">
        <f>IFERROR(_xlfn.XLOOKUP(G501,Listas!E:E,Listas!F:F,""),"")</f>
        <v>Inversion</v>
      </c>
      <c r="I501" s="46" t="str">
        <f>IFERROR(_xlfn.XLOOKUP(G501,Listas!E:E,Listas!G:G,""),"")</f>
        <v>Interno</v>
      </c>
      <c r="J501" s="43">
        <v>20000</v>
      </c>
      <c r="K501" s="5">
        <f t="shared" si="3"/>
        <v>-20000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91717.6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</v>
      </c>
      <c r="P501" s="28">
        <f>IF(tblMovimientos[[#This Row],[Tipo de Movimiento]]="Ingreso",tblMovimientos[[#This Row],[Ingreso]],-tblMovimientos[[#This Row],[Egreso]])</f>
        <v>-20000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SSP Capital</v>
      </c>
      <c r="D502" s="41" t="s">
        <v>104</v>
      </c>
      <c r="E502" s="68" t="str">
        <f>_xlfn.XLOOKUP(tblMovimientos[[#This Row],[Cuenta Bancaria]],Listas!$B:$B,Listas!$C:$C,"")</f>
        <v xml:space="preserve">Amerant Bank </v>
      </c>
      <c r="F502" s="41" t="s">
        <v>9</v>
      </c>
      <c r="G502" s="41" t="s">
        <v>75</v>
      </c>
      <c r="H502" s="4" t="str">
        <f>IFERROR(_xlfn.XLOOKUP(G502,Listas!E:E,Listas!F:F,""),"")</f>
        <v>Financiamiento</v>
      </c>
      <c r="I502" s="46" t="str">
        <f>IFERROR(_xlfn.XLOOKUP(G502,Listas!E:E,Listas!G:G,""),"")</f>
        <v>Interno</v>
      </c>
      <c r="J502" s="43">
        <v>600000</v>
      </c>
      <c r="K502" s="47">
        <f t="shared" si="3"/>
        <v>600000</v>
      </c>
      <c r="L502" s="15" t="s">
        <v>129</v>
      </c>
      <c r="M502" s="58">
        <f>SUMIFS('Saldos Iniciales'!$D$2:$D$38,'Saldos Iniciales'!$A$2:$A$38,C502,'Saldos Iniciales'!$B$2:$B$38,D502)+SUMIFS($K$1:$K$724,$C$1:$C$724,C502,$D$1:$D$724,D502,$B$1:$B$724,"&lt;="&amp;B502)</f>
        <v>1289236.6699999995</v>
      </c>
      <c r="N502" s="67">
        <f>IF(tblMovimientos[[#This Row],[Tipo de Movimiento]]="Ingreso",tblMovimientos[[#This Row],[Monto (S/)]],"0")</f>
        <v>600000</v>
      </c>
      <c r="O502" s="67" t="str">
        <f>IF(tblMovimientos[[#This Row],[Tipo de Movimiento]]="Egreso",tblMovimientos[[#This Row],[Monto (S/)]],"0")</f>
        <v>0</v>
      </c>
      <c r="P502" s="28">
        <f>IF(tblMovimientos[[#This Row],[Tipo de Movimiento]]="Ingreso",tblMovimientos[[#This Row],[Ingreso]],-tblMovimientos[[#This Row],[Egreso]])</f>
        <v>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SSP Capital</v>
      </c>
      <c r="D503" s="41" t="s">
        <v>104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295</v>
      </c>
      <c r="K503" s="5">
        <f t="shared" si="3"/>
        <v>-295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1289236.6699999995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295</v>
      </c>
      <c r="P503" s="28">
        <f>IF(tblMovimientos[[#This Row],[Tipo de Movimiento]]="Ingreso",tblMovimientos[[#This Row],[Ingreso]],-tblMovimientos[[#This Row],[Egreso]])</f>
        <v>-295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38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24255</v>
      </c>
      <c r="K504" s="5">
        <f t="shared" si="3"/>
        <v>-24255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 t="str">
        <f>IF(tblMovimientos[[#This Row],[Tipo de Movimiento]]="Ingreso",tblMovimientos[[#This Row],[Monto (S/)]],"0")</f>
        <v>0</v>
      </c>
      <c r="O504" s="67">
        <f>IF(tblMovimientos[[#This Row],[Tipo de Movimiento]]="Egreso",tblMovimientos[[#This Row],[Monto (S/)]],"0")</f>
        <v>24255</v>
      </c>
      <c r="P504" s="28">
        <f>IF(tblMovimientos[[#This Row],[Tipo de Movimiento]]="Ingreso",tblMovimientos[[#This Row],[Ingreso]],-tblMovimientos[[#This Row],[Egreso]])</f>
        <v>-24255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66261.25</v>
      </c>
      <c r="K505" s="5">
        <f t="shared" si="3"/>
        <v>-66261.25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66261.25</v>
      </c>
      <c r="P505" s="28">
        <f>IF(tblMovimientos[[#This Row],[Tipo de Movimiento]]="Ingreso",tblMovimientos[[#This Row],[Ingreso]],-tblMovimientos[[#This Row],[Egreso]])</f>
        <v>-66261.25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60</v>
      </c>
      <c r="H506" s="4" t="str">
        <f>IFERROR(_xlfn.XLOOKUP(G506,Listas!E:E,Listas!F:F,""),"")</f>
        <v>Inversion</v>
      </c>
      <c r="I506" s="46" t="str">
        <f>IFERROR(_xlfn.XLOOKUP(G506,Listas!E:E,Listas!G:G,""),"")</f>
        <v>Interno</v>
      </c>
      <c r="J506" s="43">
        <v>140000</v>
      </c>
      <c r="K506" s="47">
        <f t="shared" si="3"/>
        <v>-140000</v>
      </c>
      <c r="L506" s="15" t="s">
        <v>129</v>
      </c>
      <c r="M506" s="58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140000</v>
      </c>
      <c r="P506" s="28">
        <f>IF(tblMovimientos[[#This Row],[Tipo de Movimiento]]="Ingreso",tblMovimientos[[#This Row],[Ingreso]],-tblMovimientos[[#This Row],[Egreso]])</f>
        <v>-140000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Green Harbor Trust</v>
      </c>
      <c r="D507" s="41" t="s">
        <v>125</v>
      </c>
      <c r="E507" s="68" t="str">
        <f>_xlfn.XLOOKUP(tblMovimientos[[#This Row],[Cuenta Bancaria]],Listas!$B:$B,Listas!$C:$C,"")</f>
        <v xml:space="preserve">Amerant Bank </v>
      </c>
      <c r="F507" s="41" t="s">
        <v>9</v>
      </c>
      <c r="G507" s="41" t="s">
        <v>77</v>
      </c>
      <c r="H507" s="4" t="str">
        <f>IFERROR(_xlfn.XLOOKUP(G507,Listas!E:E,Listas!F:F,""),"")</f>
        <v>Inversion</v>
      </c>
      <c r="I507" s="46" t="str">
        <f>IFERROR(_xlfn.XLOOKUP(G507,Listas!E:E,Listas!G:G,""),"")</f>
        <v>Interno</v>
      </c>
      <c r="J507" s="43">
        <v>20000</v>
      </c>
      <c r="K507" s="5">
        <f t="shared" si="3"/>
        <v>20000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345</v>
      </c>
      <c r="N507" s="67">
        <f>IF(tblMovimientos[[#This Row],[Tipo de Movimiento]]="Ingreso",tblMovimientos[[#This Row],[Monto (S/)]],"0")</f>
        <v>20000</v>
      </c>
      <c r="O507" s="67" t="str">
        <f>IF(tblMovimientos[[#This Row],[Tipo de Movimiento]]="Egreso",tblMovimientos[[#This Row],[Monto (S/)]],"0")</f>
        <v>0</v>
      </c>
      <c r="P507" s="28">
        <f>IF(tblMovimientos[[#This Row],[Tipo de Movimiento]]="Ingreso",tblMovimientos[[#This Row],[Ingreso]],-tblMovimientos[[#This Row],[Egreso]])</f>
        <v>20000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Green Harbor Trust</v>
      </c>
      <c r="D508" s="41" t="s">
        <v>125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59</v>
      </c>
      <c r="H508" s="4" t="str">
        <f>IFERROR(_xlfn.XLOOKUP(G508,Listas!E:E,Listas!F:F,""),"")</f>
        <v>Inversion</v>
      </c>
      <c r="I508" s="46" t="str">
        <f>IFERROR(_xlfn.XLOOKUP(G508,Listas!E:E,Listas!G:G,""),"")</f>
        <v>Externo</v>
      </c>
      <c r="J508" s="43">
        <v>20000</v>
      </c>
      <c r="K508" s="5">
        <f t="shared" si="3"/>
        <v>-20000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345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20000</v>
      </c>
      <c r="P508" s="28">
        <f>IF(tblMovimientos[[#This Row],[Tipo de Movimiento]]="Ingreso",tblMovimientos[[#This Row],[Ingreso]],-tblMovimientos[[#This Row],[Egreso]])</f>
        <v>-20000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Go Blue</v>
      </c>
      <c r="D509" s="41" t="s">
        <v>126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3"/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28561.279999999999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Go Blue</v>
      </c>
      <c r="D510" s="41" t="s">
        <v>126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2500</v>
      </c>
      <c r="K510" s="47">
        <f t="shared" si="3"/>
        <v>-2500</v>
      </c>
      <c r="L510" s="15" t="s">
        <v>129</v>
      </c>
      <c r="M510" s="58">
        <f>SUMIFS('Saldos Iniciales'!$D$2:$D$38,'Saldos Iniciales'!$A$2:$A$38,C510,'Saldos Iniciales'!$B$2:$B$38,D510)+SUMIFS($K$1:$K$724,$C$1:$C$724,C510,$D$1:$D$724,D510,$B$1:$B$724,"&lt;="&amp;B510)</f>
        <v>28561.279999999999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2500</v>
      </c>
      <c r="P510" s="28">
        <f>IF(tblMovimientos[[#This Row],[Tipo de Movimiento]]="Ingreso",tblMovimientos[[#This Row],[Ingreso]],-tblMovimientos[[#This Row],[Egreso]])</f>
        <v>-2500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44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15</v>
      </c>
      <c r="K511" s="5">
        <f t="shared" si="3"/>
        <v>-15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 t="str">
        <f>IF(tblMovimientos[[#This Row],[Tipo de Movimiento]]="Ingreso",tblMovimientos[[#This Row],[Monto (S/)]],"0")</f>
        <v>0</v>
      </c>
      <c r="O511" s="67">
        <f>IF(tblMovimientos[[#This Row],[Tipo de Movimiento]]="Egreso",tblMovimientos[[#This Row],[Monto (S/)]],"0")</f>
        <v>15</v>
      </c>
      <c r="P511" s="28">
        <f>IF(tblMovimientos[[#This Row],[Tipo de Movimiento]]="Ingreso",tblMovimientos[[#This Row],[Ingreso]],-tblMovimientos[[#This Row],[Egreso]])</f>
        <v>-15</v>
      </c>
    </row>
    <row r="512" spans="1:16" x14ac:dyDescent="0.3">
      <c r="B512" s="39">
        <v>46213</v>
      </c>
      <c r="C512" s="46" t="str">
        <f>_xlfn.XLOOKUP(tblMovimientos[[#This Row],[Cuenta Bancaria]],Listas!$B:$B,Listas!$A:$A,"")</f>
        <v>SSP Capital</v>
      </c>
      <c r="D512" s="41" t="s">
        <v>101</v>
      </c>
      <c r="E512" s="68" t="str">
        <f>_xlfn.XLOOKUP(tblMovimientos[[#This Row],[Cuenta Bancaria]],Listas!$B:$B,Listas!$C:$C,"")</f>
        <v>Bank of America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424</v>
      </c>
      <c r="K512" s="5">
        <f t="shared" si="3"/>
        <v>-424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13123.539999999999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424</v>
      </c>
      <c r="P512" s="28">
        <f>IF(tblMovimientos[[#This Row],[Tipo de Movimiento]]="Ingreso",tblMovimientos[[#This Row],[Ingreso]],-tblMovimientos[[#This Row],[Egreso]])</f>
        <v>-424</v>
      </c>
    </row>
    <row r="513" spans="2:16" x14ac:dyDescent="0.3">
      <c r="B513" s="39">
        <v>46213</v>
      </c>
      <c r="C513" s="46" t="str">
        <f>_xlfn.XLOOKUP(tblMovimientos[[#This Row],[Cuenta Bancaria]],Listas!$B:$B,Listas!$A:$A,"")</f>
        <v>A&amp;M Imports</v>
      </c>
      <c r="D513" s="41" t="s">
        <v>100</v>
      </c>
      <c r="E513" s="68" t="str">
        <f>_xlfn.XLOOKUP(tblMovimientos[[#This Row],[Cuenta Bancaria]],Listas!$B:$B,Listas!$C:$C,"")</f>
        <v>Bank of America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334</v>
      </c>
      <c r="K513" s="5">
        <f t="shared" si="3"/>
        <v>-334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290141.62999999989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334</v>
      </c>
      <c r="P513" s="28">
        <f>IF(tblMovimientos[[#This Row],[Tipo de Movimiento]]="Ingreso",tblMovimientos[[#This Row],[Ingreso]],-tblMovimientos[[#This Row],[Egreso]])</f>
        <v>-334</v>
      </c>
    </row>
    <row r="514" spans="2:16" x14ac:dyDescent="0.3">
      <c r="B514" s="39">
        <v>46213</v>
      </c>
      <c r="C514" s="46" t="str">
        <f>_xlfn.XLOOKUP(tblMovimientos[[#This Row],[Cuenta Bancaria]],Listas!$B:$B,Listas!$A:$A,"")</f>
        <v>CFT Group</v>
      </c>
      <c r="D514" s="41" t="s">
        <v>94</v>
      </c>
      <c r="E514" s="68" t="str">
        <f>_xlfn.XLOOKUP(tblMovimientos[[#This Row],[Cuenta Bancaria]],Listas!$B:$B,Listas!$C:$C,"")</f>
        <v>Bank of America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355</v>
      </c>
      <c r="K514" s="5">
        <f t="shared" si="3"/>
        <v>-355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35588.359999999986</v>
      </c>
      <c r="N514" s="67" t="str">
        <f>IF(tblMovimientos[[#This Row],[Tipo de Movimiento]]="Ingreso",tblMovimientos[[#This Row],[Monto (S/)]],"0")</f>
        <v>0</v>
      </c>
      <c r="O514" s="67">
        <f>IF(tblMovimientos[[#This Row],[Tipo de Movimiento]]="Egreso",tblMovimientos[[#This Row],[Monto (S/)]],"0")</f>
        <v>355</v>
      </c>
      <c r="P514" s="28">
        <f>IF(tblMovimientos[[#This Row],[Tipo de Movimiento]]="Ingreso",tblMovimientos[[#This Row],[Ingreso]],-tblMovimientos[[#This Row],[Egreso]])</f>
        <v>-355</v>
      </c>
    </row>
    <row r="515" spans="2:16" x14ac:dyDescent="0.3">
      <c r="B515" s="39">
        <v>46213</v>
      </c>
      <c r="C515" s="46" t="str">
        <f>_xlfn.XLOOKUP(tblMovimientos[[#This Row],[Cuenta Bancaria]],Listas!$B:$B,Listas!$A:$A,"")</f>
        <v>Go Blue</v>
      </c>
      <c r="D515" s="41" t="s">
        <v>174</v>
      </c>
      <c r="E515" s="68" t="str">
        <f>_xlfn.XLOOKUP(tblMovimientos[[#This Row],[Cuenta Bancaria]],Listas!$B:$B,Listas!$C:$C,"")</f>
        <v xml:space="preserve">Amerant Bank </v>
      </c>
      <c r="F515" s="41" t="s">
        <v>9</v>
      </c>
      <c r="G515" s="41" t="s">
        <v>85</v>
      </c>
      <c r="H515" s="4" t="str">
        <f>IFERROR(_xlfn.XLOOKUP(G515,Listas!E:E,Listas!F:F,""),"")</f>
        <v>Operativo</v>
      </c>
      <c r="I515" s="46" t="str">
        <f>IFERROR(_xlfn.XLOOKUP(G515,Listas!E:E,Listas!G:G,""),"")</f>
        <v>Interno</v>
      </c>
      <c r="J515" s="43">
        <v>2000</v>
      </c>
      <c r="K515" s="47">
        <f t="shared" si="3"/>
        <v>2000</v>
      </c>
      <c r="L515" s="15" t="s">
        <v>129</v>
      </c>
      <c r="M515" s="58">
        <f>SUMIFS('Saldos Iniciales'!$D$2:$D$38,'Saldos Iniciales'!$A$2:$A$38,C515,'Saldos Iniciales'!$B$2:$B$38,D515)+SUMIFS($K$1:$K$724,$C$1:$C$724,C515,$D$1:$D$724,D515,$B$1:$B$724,"&lt;="&amp;B515)</f>
        <v>5338.84</v>
      </c>
      <c r="N515" s="67">
        <f>IF(tblMovimientos[[#This Row],[Tipo de Movimiento]]="Ingreso",tblMovimientos[[#This Row],[Monto (S/)]],"0")</f>
        <v>2000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2000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CFT Group</v>
      </c>
      <c r="D516" s="41" t="s">
        <v>95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46</v>
      </c>
      <c r="H516" s="4" t="str">
        <f>IFERROR(_xlfn.XLOOKUP(G516,Listas!E:E,Listas!F:F,""),"")</f>
        <v>Financiamiento</v>
      </c>
      <c r="I516" s="46" t="str">
        <f>IFERROR(_xlfn.XLOOKUP(G516,Listas!E:E,Listas!G:G,""),"")</f>
        <v>Externo</v>
      </c>
      <c r="J516" s="43">
        <v>5000</v>
      </c>
      <c r="K516" s="5">
        <f t="shared" si="3"/>
        <v>-5000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4122911.3600000003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5000</v>
      </c>
      <c r="P516" s="28">
        <f>IF(tblMovimientos[[#This Row],[Tipo de Movimiento]]="Ingreso",tblMovimientos[[#This Row],[Ingreso]],-tblMovimientos[[#This Row],[Egreso]])</f>
        <v>-5000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CFT Group</v>
      </c>
      <c r="D517" s="41" t="s">
        <v>95</v>
      </c>
      <c r="E517" s="68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46</v>
      </c>
      <c r="H517" s="4" t="str">
        <f>IFERROR(_xlfn.XLOOKUP(G517,Listas!E:E,Listas!F:F,""),"")</f>
        <v>Financiamiento</v>
      </c>
      <c r="I517" s="46" t="str">
        <f>IFERROR(_xlfn.XLOOKUP(G517,Listas!E:E,Listas!G:G,""),"")</f>
        <v>Externo</v>
      </c>
      <c r="J517" s="43">
        <v>56000</v>
      </c>
      <c r="K517" s="5">
        <f t="shared" si="3"/>
        <v>-56000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4122911.3600000003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56000</v>
      </c>
      <c r="P517" s="28">
        <f>IF(tblMovimientos[[#This Row],[Tipo de Movimiento]]="Ingreso",tblMovimientos[[#This Row],[Ingreso]],-tblMovimientos[[#This Row],[Egreso]])</f>
        <v>-56000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46</v>
      </c>
      <c r="H518" s="4" t="str">
        <f>IFERROR(_xlfn.XLOOKUP(G518,Listas!E:E,Listas!F:F,""),"")</f>
        <v>Financiamiento</v>
      </c>
      <c r="I518" s="46" t="str">
        <f>IFERROR(_xlfn.XLOOKUP(G518,Listas!E:E,Listas!G:G,""),"")</f>
        <v>Externo</v>
      </c>
      <c r="J518" s="43">
        <v>70000</v>
      </c>
      <c r="K518" s="5">
        <f t="shared" si="3"/>
        <v>-70000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4122911.3600000003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70000</v>
      </c>
      <c r="P518" s="28">
        <f>IF(tblMovimientos[[#This Row],[Tipo de Movimiento]]="Ingreso",tblMovimientos[[#This Row],[Ingreso]],-tblMovimientos[[#This Row],[Egreso]])</f>
        <v>-70000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95</v>
      </c>
      <c r="E519" s="68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46</v>
      </c>
      <c r="H519" s="4" t="str">
        <f>IFERROR(_xlfn.XLOOKUP(G519,Listas!E:E,Listas!F:F,""),"")</f>
        <v>Financiamiento</v>
      </c>
      <c r="I519" s="46" t="str">
        <f>IFERROR(_xlfn.XLOOKUP(G519,Listas!E:E,Listas!G:G,""),"")</f>
        <v>Externo</v>
      </c>
      <c r="J519" s="43">
        <v>82833.33</v>
      </c>
      <c r="K519" s="5">
        <f t="shared" si="3"/>
        <v>-82833.33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4122911.3600000003</v>
      </c>
      <c r="N519" s="67" t="str">
        <f>IF(tblMovimientos[[#This Row],[Tipo de Movimiento]]="Ingreso",tblMovimientos[[#This Row],[Monto (S/)]],"0")</f>
        <v>0</v>
      </c>
      <c r="O519" s="67">
        <f>IF(tblMovimientos[[#This Row],[Tipo de Movimiento]]="Egreso",tblMovimientos[[#This Row],[Monto (S/)]],"0")</f>
        <v>82833.33</v>
      </c>
      <c r="P519" s="28">
        <f>IF(tblMovimientos[[#This Row],[Tipo de Movimiento]]="Ingreso",tblMovimientos[[#This Row],[Ingreso]],-tblMovimientos[[#This Row],[Egreso]])</f>
        <v>-82833.33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SSP Capital</v>
      </c>
      <c r="D520" s="41" t="s">
        <v>104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9583.33</v>
      </c>
      <c r="K520" s="47">
        <f t="shared" si="3"/>
        <v>-9583.33</v>
      </c>
      <c r="L520" s="15" t="s">
        <v>129</v>
      </c>
      <c r="M520" s="58">
        <f>SUMIFS('Saldos Iniciales'!$D$2:$D$38,'Saldos Iniciales'!$A$2:$A$38,C520,'Saldos Iniciales'!$B$2:$B$38,D520)+SUMIFS($K$1:$K$724,$C$1:$C$724,C520,$D$1:$D$724,D520,$B$1:$B$724,"&lt;="&amp;B520)</f>
        <v>1091819.9999999993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9583.33</v>
      </c>
      <c r="P520" s="28">
        <f>IF(tblMovimientos[[#This Row],[Tipo de Movimiento]]="Ingreso",tblMovimientos[[#This Row],[Ingreso]],-tblMovimientos[[#This Row],[Egreso]])</f>
        <v>-9583.33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SSP Capital</v>
      </c>
      <c r="D521" s="41" t="s">
        <v>104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53666.67</v>
      </c>
      <c r="K521" s="5">
        <f t="shared" si="3"/>
        <v>-53666.67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1091819.9999999993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53666.67</v>
      </c>
      <c r="P521" s="28">
        <f>IF(tblMovimientos[[#This Row],[Tipo de Movimiento]]="Ingreso",tblMovimientos[[#This Row],[Ingreso]],-tblMovimientos[[#This Row],[Egreso]])</f>
        <v>-53666.67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SSP Capital</v>
      </c>
      <c r="D522" s="41" t="s">
        <v>104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134166.67000000001</v>
      </c>
      <c r="K522" s="5">
        <f t="shared" si="3"/>
        <v>-134166.67000000001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1091819.9999999993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134166.67000000001</v>
      </c>
      <c r="P522" s="28">
        <f>IF(tblMovimientos[[#This Row],[Tipo de Movimiento]]="Ingreso",tblMovimientos[[#This Row],[Ingreso]],-tblMovimientos[[#This Row],[Egreso]])</f>
        <v>-134166.67000000001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Go Blue</v>
      </c>
      <c r="D523" s="41" t="s">
        <v>126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64</v>
      </c>
      <c r="H523" s="4" t="str">
        <f>IFERROR(_xlfn.XLOOKUP(G523,Listas!E:E,Listas!F:F,""),"")</f>
        <v>Operativo</v>
      </c>
      <c r="I523" s="46" t="str">
        <f>IFERROR(_xlfn.XLOOKUP(G523,Listas!E:E,Listas!G:G,""),"")</f>
        <v>Interno</v>
      </c>
      <c r="J523" s="43">
        <v>2000</v>
      </c>
      <c r="K523" s="5">
        <f t="shared" si="3"/>
        <v>-2000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26561.279999999999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2000</v>
      </c>
      <c r="P523" s="28">
        <f>IF(tblMovimientos[[#This Row],[Tipo de Movimiento]]="Ingreso",tblMovimientos[[#This Row],[Ingreso]],-tblMovimientos[[#This Row],[Egreso]])</f>
        <v>-2000</v>
      </c>
    </row>
    <row r="524" spans="2:16" x14ac:dyDescent="0.3">
      <c r="B524" s="39">
        <v>46216</v>
      </c>
      <c r="C524" s="46" t="str">
        <f>_xlfn.XLOOKUP(tblMovimientos[[#This Row],[Cuenta Bancaria]],Listas!$B:$B,Listas!$A:$A,"")</f>
        <v>Go Blue</v>
      </c>
      <c r="D524" s="41" t="s">
        <v>174</v>
      </c>
      <c r="E524" s="68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24</v>
      </c>
      <c r="K524" s="47">
        <f t="shared" ref="K524:K532" si="4">IF(F524="Ingreso",J524,-J524)</f>
        <v>-24</v>
      </c>
      <c r="L524" s="15" t="s">
        <v>129</v>
      </c>
      <c r="M524" s="58">
        <f>SUMIFS('Saldos Iniciales'!$D$2:$D$38,'Saldos Iniciales'!$A$2:$A$38,C524,'Saldos Iniciales'!$B$2:$B$38,D524)+SUMIFS($K$1:$K$724,$C$1:$C$724,C524,$D$1:$D$724,D524,$B$1:$B$724,"&lt;="&amp;B524)</f>
        <v>4458</v>
      </c>
      <c r="N524" s="67" t="str">
        <f>IF(tblMovimientos[[#This Row],[Tipo de Movimiento]]="Ingreso",tblMovimientos[[#This Row],[Monto (S/)]],"0")</f>
        <v>0</v>
      </c>
      <c r="O524" s="67">
        <f>IF(tblMovimientos[[#This Row],[Tipo de Movimiento]]="Egreso",tblMovimientos[[#This Row],[Monto (S/)]],"0")</f>
        <v>24</v>
      </c>
      <c r="P524" s="28">
        <f>IF(tblMovimientos[[#This Row],[Tipo de Movimiento]]="Ingreso",tblMovimientos[[#This Row],[Ingreso]],-tblMovimientos[[#This Row],[Egreso]])</f>
        <v>-24</v>
      </c>
    </row>
    <row r="525" spans="2:16" x14ac:dyDescent="0.3">
      <c r="B525" s="39">
        <v>46216</v>
      </c>
      <c r="C525" s="46" t="str">
        <f>_xlfn.XLOOKUP(tblMovimientos[[#This Row],[Cuenta Bancaria]],Listas!$B:$B,Listas!$A:$A,"")</f>
        <v>Go Blue</v>
      </c>
      <c r="D525" s="41" t="s">
        <v>174</v>
      </c>
      <c r="E525" s="68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764.97</v>
      </c>
      <c r="K525" s="5">
        <f t="shared" si="4"/>
        <v>-764.97</v>
      </c>
      <c r="L525" s="15" t="s">
        <v>129</v>
      </c>
      <c r="M525" s="44">
        <f>SUMIFS('Saldos Iniciales'!$D$2:$D$38,'Saldos Iniciales'!$A$2:$A$38,C525,'Saldos Iniciales'!$B$2:$B$38,D525)+SUMIFS($K$1:$K$724,$C$1:$C$724,C525,$D$1:$D$724,D525,$B$1:$B$724,"&lt;="&amp;B525)</f>
        <v>4458</v>
      </c>
      <c r="N525" s="67" t="str">
        <f>IF(tblMovimientos[[#This Row],[Tipo de Movimiento]]="Ingreso",tblMovimientos[[#This Row],[Monto (S/)]],"0")</f>
        <v>0</v>
      </c>
      <c r="O525" s="67">
        <f>IF(tblMovimientos[[#This Row],[Tipo de Movimiento]]="Egreso",tblMovimientos[[#This Row],[Monto (S/)]],"0")</f>
        <v>764.97</v>
      </c>
      <c r="P525" s="28">
        <f>IF(tblMovimientos[[#This Row],[Tipo de Movimiento]]="Ingreso",tblMovimientos[[#This Row],[Ingreso]],-tblMovimientos[[#This Row],[Egreso]])</f>
        <v>-764.97</v>
      </c>
    </row>
    <row r="526" spans="2:16" x14ac:dyDescent="0.3">
      <c r="B526" s="39">
        <v>46216</v>
      </c>
      <c r="C526" s="46" t="str">
        <f>_xlfn.XLOOKUP(tblMovimientos[[#This Row],[Cuenta Bancaria]],Listas!$B:$B,Listas!$A:$A,"")</f>
        <v>Go Blue</v>
      </c>
      <c r="D526" s="41" t="s">
        <v>174</v>
      </c>
      <c r="E526" s="68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24</v>
      </c>
      <c r="K526" s="5">
        <f t="shared" si="4"/>
        <v>-24</v>
      </c>
      <c r="L526" s="15" t="s">
        <v>129</v>
      </c>
      <c r="M526" s="44">
        <f>SUMIFS('Saldos Iniciales'!$D$2:$D$38,'Saldos Iniciales'!$A$2:$A$38,C526,'Saldos Iniciales'!$B$2:$B$38,D526)+SUMIFS($K$1:$K$724,$C$1:$C$724,C526,$D$1:$D$724,D526,$B$1:$B$724,"&lt;="&amp;B526)</f>
        <v>4458</v>
      </c>
      <c r="N526" s="67" t="str">
        <f>IF(tblMovimientos[[#This Row],[Tipo de Movimiento]]="Ingreso",tblMovimientos[[#This Row],[Monto (S/)]],"0")</f>
        <v>0</v>
      </c>
      <c r="O526" s="67">
        <f>IF(tblMovimientos[[#This Row],[Tipo de Movimiento]]="Egreso",tblMovimientos[[#This Row],[Monto (S/)]],"0")</f>
        <v>24</v>
      </c>
      <c r="P526" s="28">
        <f>IF(tblMovimientos[[#This Row],[Tipo de Movimiento]]="Ingreso",tblMovimientos[[#This Row],[Ingreso]],-tblMovimientos[[#This Row],[Egreso]])</f>
        <v>-24</v>
      </c>
    </row>
    <row r="527" spans="2:16" x14ac:dyDescent="0.3">
      <c r="B527" s="39">
        <v>46216</v>
      </c>
      <c r="C527" s="46" t="str">
        <f>_xlfn.XLOOKUP(tblMovimientos[[#This Row],[Cuenta Bancaria]],Listas!$B:$B,Listas!$A:$A,"")</f>
        <v>Go Blue</v>
      </c>
      <c r="D527" s="41" t="s">
        <v>174</v>
      </c>
      <c r="E527" s="68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38</v>
      </c>
      <c r="H527" s="4" t="str">
        <f>IFERROR(_xlfn.XLOOKUP(G527,Listas!E:E,Listas!F:F,""),"")</f>
        <v>Operativo</v>
      </c>
      <c r="I527" s="46" t="str">
        <f>IFERROR(_xlfn.XLOOKUP(G527,Listas!E:E,Listas!G:G,""),"")</f>
        <v>Externo</v>
      </c>
      <c r="J527" s="43">
        <v>29.47</v>
      </c>
      <c r="K527" s="5">
        <f t="shared" si="4"/>
        <v>-29.47</v>
      </c>
      <c r="L527" s="15" t="s">
        <v>129</v>
      </c>
      <c r="M527" s="44">
        <f>SUMIFS('Saldos Iniciales'!$D$2:$D$38,'Saldos Iniciales'!$A$2:$A$38,C527,'Saldos Iniciales'!$B$2:$B$38,D527)+SUMIFS($K$1:$K$724,$C$1:$C$724,C527,$D$1:$D$724,D527,$B$1:$B$724,"&lt;="&amp;B527)</f>
        <v>4458</v>
      </c>
      <c r="N527" s="67" t="str">
        <f>IF(tblMovimientos[[#This Row],[Tipo de Movimiento]]="Ingreso",tblMovimientos[[#This Row],[Monto (S/)]],"0")</f>
        <v>0</v>
      </c>
      <c r="O527" s="67">
        <f>IF(tblMovimientos[[#This Row],[Tipo de Movimiento]]="Egreso",tblMovimientos[[#This Row],[Monto (S/)]],"0")</f>
        <v>29.47</v>
      </c>
      <c r="P527" s="28">
        <f>IF(tblMovimientos[[#This Row],[Tipo de Movimiento]]="Ingreso",tblMovimientos[[#This Row],[Ingreso]],-tblMovimientos[[#This Row],[Egreso]])</f>
        <v>-29.47</v>
      </c>
    </row>
    <row r="528" spans="2:16" x14ac:dyDescent="0.3">
      <c r="B528" s="39">
        <v>46216</v>
      </c>
      <c r="C528" s="46" t="str">
        <f>_xlfn.XLOOKUP(tblMovimientos[[#This Row],[Cuenta Bancaria]],Listas!$B:$B,Listas!$A:$A,"")</f>
        <v>Go Blue</v>
      </c>
      <c r="D528" s="41" t="s">
        <v>174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38.4</v>
      </c>
      <c r="K528" s="47">
        <f t="shared" si="4"/>
        <v>-38.4</v>
      </c>
      <c r="L528" s="15" t="s">
        <v>129</v>
      </c>
      <c r="M528" s="58">
        <f>SUMIFS('Saldos Iniciales'!$D$2:$D$38,'Saldos Iniciales'!$A$2:$A$38,C528,'Saldos Iniciales'!$B$2:$B$38,D528)+SUMIFS($K$1:$K$724,$C$1:$C$724,C528,$D$1:$D$724,D528,$B$1:$B$724,"&lt;="&amp;B528)</f>
        <v>4458</v>
      </c>
      <c r="N528" s="67" t="str">
        <f>IF(tblMovimientos[[#This Row],[Tipo de Movimiento]]="Ingreso",tblMovimientos[[#This Row],[Monto (S/)]],"0")</f>
        <v>0</v>
      </c>
      <c r="O528" s="67">
        <f>IF(tblMovimientos[[#This Row],[Tipo de Movimiento]]="Egreso",tblMovimientos[[#This Row],[Monto (S/)]],"0")</f>
        <v>38.4</v>
      </c>
      <c r="P528" s="28">
        <f>IF(tblMovimientos[[#This Row],[Tipo de Movimiento]]="Ingreso",tblMovimientos[[#This Row],[Ingreso]],-tblMovimientos[[#This Row],[Egreso]])</f>
        <v>-38.4</v>
      </c>
    </row>
    <row r="529" spans="2:16" x14ac:dyDescent="0.3">
      <c r="B529" s="39">
        <v>46216</v>
      </c>
      <c r="C529" s="46" t="str">
        <f>_xlfn.XLOOKUP(tblMovimientos[[#This Row],[Cuenta Bancaria]],Listas!$B:$B,Listas!$A:$A,"")</f>
        <v>EC Auto</v>
      </c>
      <c r="D529" s="41" t="s">
        <v>119</v>
      </c>
      <c r="E529" s="68" t="str">
        <f>_xlfn.XLOOKUP(tblMovimientos[[#This Row],[Cuenta Bancaria]],Listas!$B:$B,Listas!$C:$C,"")</f>
        <v xml:space="preserve">Amerant Bank </v>
      </c>
      <c r="F529" s="41" t="s">
        <v>9</v>
      </c>
      <c r="G529" s="41" t="s">
        <v>82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518.65</v>
      </c>
      <c r="K529" s="5">
        <f t="shared" si="4"/>
        <v>518.65</v>
      </c>
      <c r="L529" s="15" t="s">
        <v>129</v>
      </c>
      <c r="M529" s="44">
        <f>SUMIFS('Saldos Iniciales'!$D$2:$D$38,'Saldos Iniciales'!$A$2:$A$38,C529,'Saldos Iniciales'!$B$2:$B$38,D529)+SUMIFS($K$1:$K$724,$C$1:$C$724,C529,$D$1:$D$724,D529,$B$1:$B$724,"&lt;="&amp;B529)</f>
        <v>901.34</v>
      </c>
      <c r="N529" s="67">
        <f>IF(tblMovimientos[[#This Row],[Tipo de Movimiento]]="Ingreso",tblMovimientos[[#This Row],[Monto (S/)]],"0")</f>
        <v>518.65</v>
      </c>
      <c r="O529" s="67" t="str">
        <f>IF(tblMovimientos[[#This Row],[Tipo de Movimiento]]="Egreso",tblMovimientos[[#This Row],[Monto (S/)]],"0")</f>
        <v>0</v>
      </c>
      <c r="P529" s="28">
        <f>IF(tblMovimientos[[#This Row],[Tipo de Movimiento]]="Ingreso",tblMovimientos[[#This Row],[Ingreso]],-tblMovimientos[[#This Row],[Egreso]])</f>
        <v>518.65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126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1104.78</v>
      </c>
      <c r="K530" s="5">
        <f t="shared" si="4"/>
        <v>-1104.78</v>
      </c>
      <c r="L530" s="15" t="s">
        <v>129</v>
      </c>
      <c r="M530" s="44">
        <f>SUMIFS('Saldos Iniciales'!$D$2:$D$38,'Saldos Iniciales'!$A$2:$A$38,C530,'Saldos Iniciales'!$B$2:$B$38,D530)+SUMIFS($K$1:$K$724,$C$1:$C$724,C530,$D$1:$D$724,D530,$B$1:$B$724,"&lt;="&amp;B530)</f>
        <v>20740.239999999998</v>
      </c>
      <c r="N530" s="67" t="str">
        <f>IF(tblMovimientos[[#This Row],[Tipo de Movimiento]]="Ingreso",tblMovimientos[[#This Row],[Monto (S/)]],"0")</f>
        <v>0</v>
      </c>
      <c r="O530" s="67">
        <f>IF(tblMovimientos[[#This Row],[Tipo de Movimiento]]="Egreso",tblMovimientos[[#This Row],[Monto (S/)]],"0")</f>
        <v>1104.78</v>
      </c>
      <c r="P530" s="28">
        <f>IF(tblMovimientos[[#This Row],[Tipo de Movimiento]]="Ingreso",tblMovimientos[[#This Row],[Ingreso]],-tblMovimientos[[#This Row],[Egreso]])</f>
        <v>-1104.78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126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2209.56</v>
      </c>
      <c r="K531" s="5">
        <f t="shared" si="4"/>
        <v>-2209.56</v>
      </c>
      <c r="L531" s="15" t="s">
        <v>129</v>
      </c>
      <c r="M531" s="44">
        <f>SUMIFS('Saldos Iniciales'!$D$2:$D$38,'Saldos Iniciales'!$A$2:$A$38,C531,'Saldos Iniciales'!$B$2:$B$38,D531)+SUMIFS($K$1:$K$724,$C$1:$C$724,C531,$D$1:$D$724,D531,$B$1:$B$724,"&lt;="&amp;B531)</f>
        <v>20740.239999999998</v>
      </c>
      <c r="N531" s="67" t="str">
        <f>IF(tblMovimientos[[#This Row],[Tipo de Movimiento]]="Ingreso",tblMovimientos[[#This Row],[Monto (S/)]],"0")</f>
        <v>0</v>
      </c>
      <c r="O531" s="67">
        <f>IF(tblMovimientos[[#This Row],[Tipo de Movimiento]]="Egreso",tblMovimientos[[#This Row],[Monto (S/)]],"0")</f>
        <v>2209.56</v>
      </c>
      <c r="P531" s="28">
        <f>IF(tblMovimientos[[#This Row],[Tipo de Movimiento]]="Ingreso",tblMovimientos[[#This Row],[Ingreso]],-tblMovimientos[[#This Row],[Egreso]])</f>
        <v>-2209.56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126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2506.6999999999998</v>
      </c>
      <c r="K532" s="47">
        <f t="shared" si="4"/>
        <v>-2506.6999999999998</v>
      </c>
      <c r="L532" s="15" t="s">
        <v>129</v>
      </c>
      <c r="M532" s="58">
        <f>SUMIFS('Saldos Iniciales'!$D$2:$D$38,'Saldos Iniciales'!$A$2:$A$38,C532,'Saldos Iniciales'!$B$2:$B$38,D532)+SUMIFS($K$1:$K$724,$C$1:$C$724,C532,$D$1:$D$724,D532,$B$1:$B$724,"&lt;="&amp;B532)</f>
        <v>20740.239999999998</v>
      </c>
      <c r="N532" s="67" t="str">
        <f>IF(tblMovimientos[[#This Row],[Tipo de Movimiento]]="Ingreso",tblMovimientos[[#This Row],[Monto (S/)]],"0")</f>
        <v>0</v>
      </c>
      <c r="O532" s="67">
        <f>IF(tblMovimientos[[#This Row],[Tipo de Movimiento]]="Egreso",tblMovimientos[[#This Row],[Monto (S/)]],"0")</f>
        <v>2506.6999999999998</v>
      </c>
      <c r="P532" s="28">
        <f>IF(tblMovimientos[[#This Row],[Tipo de Movimiento]]="Ingreso",tblMovimientos[[#This Row],[Ingreso]],-tblMovimientos[[#This Row],[Egreso]])</f>
        <v>-2506.6999999999998</v>
      </c>
    </row>
    <row r="533" spans="2:16" x14ac:dyDescent="0.3">
      <c r="B533" s="39">
        <v>46206</v>
      </c>
      <c r="C533" s="46" t="str">
        <f>_xlfn.XLOOKUP(tblMovimientos[[#This Row],[Cuenta Bancaria]],Listas!$B:$B,Listas!$A:$A,"")</f>
        <v>Electrama</v>
      </c>
      <c r="D533" s="41" t="s">
        <v>113</v>
      </c>
      <c r="E533" s="68" t="str">
        <f>_xlfn.XLOOKUP(tblMovimientos[[#This Row],[Cuenta Bancaria]],Listas!$B:$B,Listas!$C:$C,"")</f>
        <v>Chase Bank</v>
      </c>
      <c r="F533" s="41" t="s">
        <v>10</v>
      </c>
      <c r="G533" s="41" t="s">
        <v>44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40</v>
      </c>
      <c r="K533" s="5">
        <f t="shared" ref="K533:K535" si="5">IF(F533="Ingreso",J533,-J533)</f>
        <v>-40</v>
      </c>
      <c r="L533" s="15" t="s">
        <v>129</v>
      </c>
      <c r="M533" s="44">
        <f>SUMIFS('Saldos Iniciales'!$D$2:$D$38,'Saldos Iniciales'!$A$2:$A$38,C533,'Saldos Iniciales'!$B$2:$B$38,D533)+SUMIFS($K$1:$K$724,$C$1:$C$724,C533,$D$1:$D$724,D533,$B$1:$B$724,"&lt;="&amp;B533)</f>
        <v>471.15999999999985</v>
      </c>
      <c r="N533" s="67" t="str">
        <f>IF(tblMovimientos[[#This Row],[Tipo de Movimiento]]="Ingreso",tblMovimientos[[#This Row],[Monto (S/)]],"0")</f>
        <v>0</v>
      </c>
      <c r="O533" s="67">
        <f>IF(tblMovimientos[[#This Row],[Tipo de Movimiento]]="Egreso",tblMovimientos[[#This Row],[Monto (S/)]],"0")</f>
        <v>40</v>
      </c>
      <c r="P533" s="28">
        <f>IF(tblMovimientos[[#This Row],[Tipo de Movimiento]]="Ingreso",tblMovimientos[[#This Row],[Ingreso]],-tblMovimientos[[#This Row],[Egreso]])</f>
        <v>-40</v>
      </c>
    </row>
    <row r="534" spans="2:16" x14ac:dyDescent="0.3">
      <c r="B534" s="39">
        <v>46212</v>
      </c>
      <c r="C534" s="46" t="str">
        <f>_xlfn.XLOOKUP(tblMovimientos[[#This Row],[Cuenta Bancaria]],Listas!$B:$B,Listas!$A:$A,"")</f>
        <v>Electrama</v>
      </c>
      <c r="D534" s="41" t="s">
        <v>113</v>
      </c>
      <c r="E534" s="68" t="str">
        <f>_xlfn.XLOOKUP(tblMovimientos[[#This Row],[Cuenta Bancaria]],Listas!$B:$B,Listas!$C:$C,"")</f>
        <v>Chase 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14659.29</v>
      </c>
      <c r="K534" s="47">
        <f t="shared" si="5"/>
        <v>14659.29</v>
      </c>
      <c r="L534" s="15" t="s">
        <v>129</v>
      </c>
      <c r="M534" s="58">
        <f>SUMIFS('Saldos Iniciales'!$D$2:$D$38,'Saldos Iniciales'!$A$2:$A$38,C534,'Saldos Iniciales'!$B$2:$B$38,D534)+SUMIFS($K$1:$K$724,$C$1:$C$724,C534,$D$1:$D$724,D534,$B$1:$B$724,"&lt;="&amp;B534)</f>
        <v>15130.45</v>
      </c>
      <c r="N534" s="67">
        <f>IF(tblMovimientos[[#This Row],[Tipo de Movimiento]]="Ingreso",tblMovimientos[[#This Row],[Monto (S/)]],"0")</f>
        <v>14659.29</v>
      </c>
      <c r="O534" s="67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14659.29</v>
      </c>
    </row>
    <row r="535" spans="2:16" x14ac:dyDescent="0.3">
      <c r="B535" s="39">
        <v>46213</v>
      </c>
      <c r="C535" s="46" t="str">
        <f>_xlfn.XLOOKUP(tblMovimientos[[#This Row],[Cuenta Bancaria]],Listas!$B:$B,Listas!$A:$A,"")</f>
        <v>Electrama</v>
      </c>
      <c r="D535" s="41" t="s">
        <v>113</v>
      </c>
      <c r="E535" s="68" t="str">
        <f>_xlfn.XLOOKUP(tblMovimientos[[#This Row],[Cuenta Bancaria]],Listas!$B:$B,Listas!$C:$C,"")</f>
        <v>Chase Bank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550</v>
      </c>
      <c r="K535" s="5">
        <f t="shared" si="5"/>
        <v>-550</v>
      </c>
      <c r="L535" s="15" t="s">
        <v>129</v>
      </c>
      <c r="M535" s="44">
        <f>SUMIFS('Saldos Iniciales'!$D$2:$D$38,'Saldos Iniciales'!$A$2:$A$38,C535,'Saldos Iniciales'!$B$2:$B$38,D535)+SUMIFS($K$1:$K$724,$C$1:$C$724,C535,$D$1:$D$724,D535,$B$1:$B$724,"&lt;="&amp;B535)</f>
        <v>14580.45</v>
      </c>
      <c r="N535" s="67" t="str">
        <f>IF(tblMovimientos[[#This Row],[Tipo de Movimiento]]="Ingreso",tblMovimientos[[#This Row],[Monto (S/)]],"0")</f>
        <v>0</v>
      </c>
      <c r="O535" s="67">
        <f>IF(tblMovimientos[[#This Row],[Tipo de Movimiento]]="Egreso",tblMovimientos[[#This Row],[Monto (S/)]],"0")</f>
        <v>550</v>
      </c>
      <c r="P535" s="28">
        <f>IF(tblMovimientos[[#This Row],[Tipo de Movimiento]]="Ingreso",tblMovimientos[[#This Row],[Ingreso]],-tblMovimientos[[#This Row],[Egreso]])</f>
        <v>-550</v>
      </c>
    </row>
    <row r="536" spans="2:16" x14ac:dyDescent="0.3">
      <c r="E536" s="68">
        <f>_xlfn.XLOOKUP(tblMovimientos[[#This Row],[Cuenta Bancaria]],Listas!$B:$B,Listas!$C:$C,"")</f>
        <v>0</v>
      </c>
      <c r="H536" s="4">
        <f>IFERROR(_xlfn.XLOOKUP(G536,Listas!E:E,Listas!F:F,""),"")</f>
        <v>0</v>
      </c>
      <c r="I536" s="68"/>
      <c r="N536" s="67" t="str">
        <f>IF(tblMovimientos[[#This Row],[Tipo de Movimiento]]="Ingreso",tblMovimientos[[#This Row],[Monto (S/)]],"0")</f>
        <v>0</v>
      </c>
      <c r="O536" s="67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0</v>
      </c>
    </row>
    <row r="537" spans="2:16" x14ac:dyDescent="0.3">
      <c r="E537" s="68">
        <f>_xlfn.XLOOKUP(tblMovimientos[[#This Row],[Cuenta Bancaria]],Listas!$B:$B,Listas!$C:$C,"")</f>
        <v>0</v>
      </c>
      <c r="H537" s="4">
        <f>IFERROR(_xlfn.XLOOKUP(G537,Listas!E:E,Listas!F:F,""),"")</f>
        <v>0</v>
      </c>
      <c r="I537" s="68"/>
      <c r="N537" s="67" t="str">
        <f>IF(tblMovimientos[[#This Row],[Tipo de Movimiento]]="Ingreso",tblMovimientos[[#This Row],[Monto (S/)]],"0")</f>
        <v>0</v>
      </c>
      <c r="O537" s="67" t="str">
        <f>IF(tblMovimientos[[#This Row],[Tipo de Movimiento]]="Egreso",tblMovimientos[[#This Row],[Monto (S/)]],"0")</f>
        <v>0</v>
      </c>
      <c r="P537" s="28">
        <f>IF(tblMovimientos[[#This Row],[Tipo de Movimiento]]="Ingreso",tblMovimientos[[#This Row],[Ingreso]],-tblMovimientos[[#This Row],[Egreso]])</f>
        <v>0</v>
      </c>
    </row>
    <row r="538" spans="2:16" x14ac:dyDescent="0.3">
      <c r="E538" s="68">
        <f>_xlfn.XLOOKUP(tblMovimientos[[#This Row],[Cuenta Bancaria]],Listas!$B:$B,Listas!$C:$C,"")</f>
        <v>0</v>
      </c>
      <c r="H538" s="4">
        <f>IFERROR(_xlfn.XLOOKUP(G538,Listas!E:E,Listas!F:F,""),"")</f>
        <v>0</v>
      </c>
      <c r="I538" s="68"/>
      <c r="N538" s="67" t="str">
        <f>IF(tblMovimientos[[#This Row],[Tipo de Movimiento]]="Ingreso",tblMovimientos[[#This Row],[Monto (S/)]],"0")</f>
        <v>0</v>
      </c>
      <c r="O538" s="67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0</v>
      </c>
    </row>
    <row r="539" spans="2:16" x14ac:dyDescent="0.3">
      <c r="E539" s="68">
        <f>_xlfn.XLOOKUP(tblMovimientos[[#This Row],[Cuenta Bancaria]],Listas!$B:$B,Listas!$C:$C,"")</f>
        <v>0</v>
      </c>
      <c r="H539" s="4">
        <f>IFERROR(_xlfn.XLOOKUP(G539,Listas!E:E,Listas!F:F,""),"")</f>
        <v>0</v>
      </c>
      <c r="I539" s="68"/>
      <c r="N539" s="67" t="str">
        <f>IF(tblMovimientos[[#This Row],[Tipo de Movimiento]]="Ingreso",tblMovimientos[[#This Row],[Monto (S/)]],"0")</f>
        <v>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2:16" x14ac:dyDescent="0.3">
      <c r="E540" s="68">
        <f>_xlfn.XLOOKUP(tblMovimientos[[#This Row],[Cuenta Bancaria]],Listas!$B:$B,Listas!$C:$C,"")</f>
        <v>0</v>
      </c>
      <c r="H540" s="4">
        <f>IFERROR(_xlfn.XLOOKUP(G540,Listas!E:E,Listas!F:F,""),"")</f>
        <v>0</v>
      </c>
      <c r="I540" s="68"/>
      <c r="N540" s="67" t="str">
        <f>IF(tblMovimientos[[#This Row],[Tipo de Movimiento]]="Ingreso",tblMovimientos[[#This Row],[Monto (S/)]],"0")</f>
        <v>0</v>
      </c>
      <c r="O540" s="67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2:16" x14ac:dyDescent="0.3">
      <c r="E541" s="68">
        <f>_xlfn.XLOOKUP(tblMovimientos[[#This Row],[Cuenta Bancaria]],Listas!$B:$B,Listas!$C:$C,"")</f>
        <v>0</v>
      </c>
      <c r="H541" s="4">
        <f>IFERROR(_xlfn.XLOOKUP(G541,Listas!E:E,Listas!F:F,""),"")</f>
        <v>0</v>
      </c>
      <c r="I541" s="68"/>
      <c r="N541" s="67" t="str">
        <f>IF(tblMovimientos[[#This Row],[Tipo de Movimiento]]="Ingreso",tblMovimientos[[#This Row],[Monto (S/)]],"0")</f>
        <v>0</v>
      </c>
      <c r="O541" s="67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2:16" x14ac:dyDescent="0.3">
      <c r="E542" s="68">
        <f>_xlfn.XLOOKUP(tblMovimientos[[#This Row],[Cuenta Bancaria]],Listas!$B:$B,Listas!$C:$C,"")</f>
        <v>0</v>
      </c>
      <c r="H542" s="4">
        <f>IFERROR(_xlfn.XLOOKUP(G542,Listas!E:E,Listas!F:F,""),"")</f>
        <v>0</v>
      </c>
      <c r="I542" s="68"/>
      <c r="N542" s="67" t="str">
        <f>IF(tblMovimientos[[#This Row],[Tipo de Movimiento]]="Ingreso",tblMovimientos[[#This Row],[Monto (S/)]],"0")</f>
        <v>0</v>
      </c>
      <c r="O542" s="67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2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68"/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2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68"/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68"/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68"/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68"/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68"/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68"/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68"/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68"/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68"/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68"/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68"/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68"/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68"/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D444 D472:D724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40" sqref="C40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114587.74000000011</v>
      </c>
      <c r="E2" s="37">
        <f>C2+D2</f>
        <v>531266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5052100.1900000079</v>
      </c>
      <c r="E3" s="37">
        <f t="shared" ref="E3:E9" si="0">C3+D3</f>
        <v>6219401.7200000081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7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H33" sqref="H3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142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SUMIFS(Movimientos!$J$1:$J$724,Movimientos!$C$1:$C$724,$B2,Movimientos!$D$1:$D$724,$C2,Movimientos!$L$1:$L$724,A$5,Movimientos!$F$1:$F$724,"Ingreso")</f>
        <v>0</v>
      </c>
      <c r="U2" s="44">
        <f>SUMIFS(Movimientos!$J$1:$J$724,Movimientos!$C$1:$C$724,$B2,Movimientos!$D$1:$D$724,$C2,Movimientos!$L$1:$L$724,A$5,Movimientos!$F$1:$F$724,"Egreso")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2131475</v>
      </c>
      <c r="Q3" s="7">
        <f t="shared" ref="Q3:Q34" si="1">+O3-P3</f>
        <v>-2131475</v>
      </c>
      <c r="R3" s="12">
        <f>N3+O3-P3</f>
        <v>4122911.3599999994</v>
      </c>
      <c r="S3" s="5">
        <f>R3</f>
        <v>4122911.3599999994</v>
      </c>
      <c r="T3" s="44">
        <f>SUMIFS(Movimientos!$J$1:$J$724,Movimientos!$C$1:$C$724,$B3,Movimientos!$D$1:$D$724,$C3,Movimientos!$L$1:$L$724,A$5,Movimientos!$F$1:$F$724,"Ingreso")</f>
        <v>0</v>
      </c>
      <c r="U3" s="44">
        <f>SUMIFS(Movimientos!$J$1:$J$724,Movimientos!$C$1:$C$724,$B3,Movimientos!$D$1:$D$724,$C3,Movimientos!$L$1:$L$724,A$5,Movimientos!$F$1:$F$724,"Egreso")</f>
        <v>0</v>
      </c>
      <c r="V3" s="7">
        <f t="shared" ref="V3:V35" si="2">+T3-U3</f>
        <v>0</v>
      </c>
      <c r="W3" s="12">
        <f>S3+T3-U3</f>
        <v>4122911.3599999994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SUMIFS(Movimientos!$J$1:$J$724,Movimientos!$C$1:$C$724,$B4,Movimientos!$D$1:$D$724,$C4,Movimientos!$L$1:$L$724,A$5,Movimientos!$F$1:$F$724,"Ingreso")</f>
        <v>0</v>
      </c>
      <c r="U4" s="44">
        <f>SUMIFS(Movimientos!$J$1:$J$724,Movimientos!$C$1:$C$724,$B4,Movimientos!$D$1:$D$724,$C4,Movimientos!$L$1:$L$724,A$5,Movimientos!$F$1:$F$724,"Egreso")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SUMIFS(Movimientos!$J$1:$J$724,Movimientos!$C$1:$C$724,$B5,Movimientos!$D$1:$D$724,$C5,Movimientos!$L$1:$L$724,A$5,Movimientos!$F$1:$F$724,"Ingreso")</f>
        <v>0</v>
      </c>
      <c r="U5" s="44">
        <f>SUMIFS(Movimientos!$J$1:$J$724,Movimientos!$C$1:$C$724,$B5,Movimientos!$D$1:$D$724,$C5,Movimientos!$L$1:$L$724,A$5,Movimientos!$F$1:$F$724,"Egreso")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SUMIFS(Movimientos!$J$1:$J$724,Movimientos!$C$1:$C$724,$B6,Movimientos!$D$1:$D$724,$C6,Movimientos!$L$1:$L$724,A$5,Movimientos!$F$1:$F$724,"Ingreso")</f>
        <v>0</v>
      </c>
      <c r="U6" s="44">
        <f>SUMIFS(Movimientos!$J$1:$J$724,Movimientos!$C$1:$C$724,$B6,Movimientos!$D$1:$D$724,$C6,Movimientos!$L$1:$L$724,A$5,Movimientos!$F$1:$F$724,"Egreso")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SUMIFS(Movimientos!$J$1:$J$724,Movimientos!$C$1:$C$724,$B7,Movimientos!$D$1:$D$724,$C7,Movimientos!$L$1:$L$724,A$5,Movimientos!$F$1:$F$724,"Ingreso")</f>
        <v>0</v>
      </c>
      <c r="U7" s="44">
        <f>SUMIFS(Movimientos!$J$1:$J$724,Movimientos!$C$1:$C$724,$B7,Movimientos!$D$1:$D$724,$C7,Movimientos!$L$1:$L$724,A$5,Movimientos!$F$1:$F$724,"Egreso")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-199604</v>
      </c>
      <c r="R8" s="12">
        <f t="shared" si="7"/>
        <v>290141.62999999966</v>
      </c>
      <c r="S8" s="5">
        <f t="shared" si="8"/>
        <v>290141.62999999966</v>
      </c>
      <c r="T8" s="44">
        <f>SUMIFS(Movimientos!$J$1:$J$724,Movimientos!$C$1:$C$724,$B8,Movimientos!$D$1:$D$724,$C8,Movimientos!$L$1:$L$724,A$5,Movimientos!$F$1:$F$724,"Ingreso")</f>
        <v>0</v>
      </c>
      <c r="U8" s="44">
        <f>SUMIFS(Movimientos!$J$1:$J$724,Movimientos!$C$1:$C$724,$B8,Movimientos!$D$1:$D$724,$C8,Movimientos!$L$1:$L$724,A$5,Movimientos!$F$1:$F$724,"Egreso")</f>
        <v>0</v>
      </c>
      <c r="V8" s="7">
        <f t="shared" si="2"/>
        <v>0</v>
      </c>
      <c r="W8" s="12">
        <f t="shared" si="9"/>
        <v>290141.62999999966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SUMIFS(Movimientos!$J$1:$J$724,Movimientos!$C$1:$C$724,$B9,Movimientos!$D$1:$D$724,$C9,Movimientos!$L$1:$L$724,A$5,Movimientos!$F$1:$F$724,"Ingreso")</f>
        <v>0</v>
      </c>
      <c r="U9" s="44">
        <f>SUMIFS(Movimientos!$J$1:$J$724,Movimientos!$C$1:$C$724,$B9,Movimientos!$D$1:$D$724,$C9,Movimientos!$L$1:$L$724,A$5,Movimientos!$F$1:$F$724,"Egreso")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7"/>
        <v>366.92</v>
      </c>
      <c r="S10" s="5">
        <f t="shared" si="8"/>
        <v>366.92</v>
      </c>
      <c r="T10" s="44">
        <f>SUMIFS(Movimientos!$J$1:$J$724,Movimientos!$C$1:$C$724,$B10,Movimientos!$D$1:$D$724,$C10,Movimientos!$L$1:$L$724,A$5,Movimientos!$F$1:$F$724,"Ingreso")</f>
        <v>0</v>
      </c>
      <c r="U10" s="44">
        <f>SUMIFS(Movimientos!$J$1:$J$724,Movimientos!$C$1:$C$724,$B10,Movimientos!$D$1:$D$724,$C10,Movimientos!$L$1:$L$724,A$5,Movimientos!$F$1:$F$724,"Egreso")</f>
        <v>0</v>
      </c>
      <c r="V10" s="7">
        <f t="shared" si="2"/>
        <v>0</v>
      </c>
      <c r="W10" s="12">
        <f t="shared" si="9"/>
        <v>366.92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SUMIFS(Movimientos!$J$1:$J$724,Movimientos!$C$1:$C$724,$B11,Movimientos!$D$1:$D$724,$C11,Movimientos!$L$1:$L$724,A$5,Movimientos!$F$1:$F$724,"Ingreso")</f>
        <v>0</v>
      </c>
      <c r="U11" s="44">
        <f>SUMIFS(Movimientos!$J$1:$J$724,Movimientos!$C$1:$C$724,$B11,Movimientos!$D$1:$D$724,$C11,Movimientos!$L$1:$L$724,A$5,Movimientos!$F$1:$F$724,"Egreso")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529878.76</v>
      </c>
      <c r="Q12" s="7">
        <f t="shared" si="1"/>
        <v>220121.24</v>
      </c>
      <c r="R12" s="12">
        <f t="shared" si="7"/>
        <v>1091819.9999999988</v>
      </c>
      <c r="S12" s="5">
        <f t="shared" si="8"/>
        <v>1091819.9999999988</v>
      </c>
      <c r="T12" s="44">
        <f>SUMIFS(Movimientos!$J$1:$J$724,Movimientos!$C$1:$C$724,$B12,Movimientos!$D$1:$D$724,$C12,Movimientos!$L$1:$L$724,A$5,Movimientos!$F$1:$F$724,"Ingreso")</f>
        <v>0</v>
      </c>
      <c r="U12" s="44">
        <f>SUMIFS(Movimientos!$J$1:$J$724,Movimientos!$C$1:$C$724,$B12,Movimientos!$D$1:$D$724,$C12,Movimientos!$L$1:$L$724,A$5,Movimientos!$F$1:$F$724,"Egreso")</f>
        <v>0</v>
      </c>
      <c r="V12" s="7">
        <f t="shared" si="2"/>
        <v>0</v>
      </c>
      <c r="W12" s="12">
        <f t="shared" si="9"/>
        <v>1091819.9999999988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SUMIFS(Movimientos!$J$1:$J$724,Movimientos!$C$1:$C$724,$B13,Movimientos!$D$1:$D$724,$C13,Movimientos!$L$1:$L$724,A$5,Movimientos!$F$1:$F$724,"Ingreso")</f>
        <v>0</v>
      </c>
      <c r="U13" s="44">
        <f>SUMIFS(Movimientos!$J$1:$J$724,Movimientos!$C$1:$C$724,$B13,Movimientos!$D$1:$D$724,$C13,Movimientos!$L$1:$L$724,A$5,Movimientos!$F$1:$F$724,"Egreso")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SUMIFS(Movimientos!$J$1:$J$724,Movimientos!$C$1:$C$724,$B14,Movimientos!$D$1:$D$724,$C14,Movimientos!$L$1:$L$724,A$5,Movimientos!$F$1:$F$724,"Ingreso")</f>
        <v>0</v>
      </c>
      <c r="U14" s="44">
        <f>SUMIFS(Movimientos!$J$1:$J$724,Movimientos!$C$1:$C$724,$B14,Movimientos!$D$1:$D$724,$C14,Movimientos!$L$1:$L$724,A$5,Movimientos!$F$1:$F$724,"Egreso")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SUMIFS(Movimientos!$J$1:$J$724,Movimientos!$C$1:$C$724,$B15,Movimientos!$D$1:$D$724,$C15,Movimientos!$L$1:$L$724,A$5,Movimientos!$F$1:$F$724,"Ingreso")</f>
        <v>0</v>
      </c>
      <c r="U15" s="44">
        <f>SUMIFS(Movimientos!$J$1:$J$724,Movimientos!$C$1:$C$724,$B15,Movimientos!$D$1:$D$724,$C15,Movimientos!$L$1:$L$724,A$5,Movimientos!$F$1:$F$724,"Egreso")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SUMIFS(Movimientos!$J$1:$J$724,Movimientos!$C$1:$C$724,$B16,Movimientos!$D$1:$D$724,$C16,Movimientos!$L$1:$L$724,A$5,Movimientos!$F$1:$F$724,"Ingreso")</f>
        <v>0</v>
      </c>
      <c r="U16" s="44">
        <f>SUMIFS(Movimientos!$J$1:$J$724,Movimientos!$C$1:$C$724,$B16,Movimientos!$D$1:$D$724,$C16,Movimientos!$L$1:$L$724,A$5,Movimientos!$F$1:$F$724,"Egreso")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SUMIFS(Movimientos!$J$1:$J$724,Movimientos!$C$1:$C$724,$B17,Movimientos!$D$1:$D$724,$C17,Movimientos!$L$1:$L$724,A$5,Movimientos!$F$1:$F$724,"Ingreso")</f>
        <v>0</v>
      </c>
      <c r="U17" s="44">
        <f>SUMIFS(Movimientos!$J$1:$J$724,Movimientos!$C$1:$C$724,$B17,Movimientos!$D$1:$D$724,$C17,Movimientos!$L$1:$L$724,A$5,Movimientos!$F$1:$F$724,"Egreso")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SUMIFS(Movimientos!$J$1:$J$724,Movimientos!$C$1:$C$724,$B18,Movimientos!$D$1:$D$724,$C18,Movimientos!$L$1:$L$724,A$5,Movimientos!$F$1:$F$724,"Ingreso")</f>
        <v>0</v>
      </c>
      <c r="U18" s="44">
        <f>SUMIFS(Movimientos!$J$1:$J$724,Movimientos!$C$1:$C$724,$B18,Movimientos!$D$1:$D$724,$C18,Movimientos!$L$1:$L$724,A$5,Movimientos!$F$1:$F$724,"Egreso")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SUMIFS(Movimientos!$J$1:$J$724,Movimientos!$C$1:$C$724,$B19,Movimientos!$D$1:$D$724,$C19,Movimientos!$L$1:$L$724,A$5,Movimientos!$F$1:$F$724,"Ingreso")</f>
        <v>0</v>
      </c>
      <c r="U19" s="44">
        <f>SUMIFS(Movimientos!$J$1:$J$724,Movimientos!$C$1:$C$724,$B19,Movimientos!$D$1:$D$724,$C19,Movimientos!$L$1:$L$724,A$5,Movimientos!$F$1:$F$724,"Egreso")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SUMIFS(Movimientos!$J$1:$J$724,Movimientos!$C$1:$C$724,$B20,Movimientos!$D$1:$D$724,$C20,Movimientos!$L$1:$L$724,A$5,Movimientos!$F$1:$F$724,"Ingreso")</f>
        <v>0</v>
      </c>
      <c r="U20" s="44">
        <f>SUMIFS(Movimientos!$J$1:$J$724,Movimientos!$C$1:$C$724,$B20,Movimientos!$D$1:$D$724,$C20,Movimientos!$L$1:$L$724,A$5,Movimientos!$F$1:$F$724,"Egreso")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SUMIFS(Movimientos!$J$1:$J$724,Movimientos!$C$1:$C$724,$B21,Movimientos!$D$1:$D$724,$C21,Movimientos!$L$1:$L$724,A$4,Movimientos!$F$1:$F$724,"Ingreso")</f>
        <v>14659.29</v>
      </c>
      <c r="P21" s="44">
        <f>SUMIFS(Movimientos!$J$1:$J$724,Movimientos!$C$1:$C$724,$B21,Movimientos!$D$1:$D$724,$C21,Movimientos!$L$1:$L$724,A$4,Movimientos!$F$1:$F$724,"Egreso")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SUMIFS(Movimientos!$J$1:$J$724,Movimientos!$C$1:$C$724,$B21,Movimientos!$D$1:$D$724,$C21,Movimientos!$L$1:$L$724,A$5,Movimientos!$F$1:$F$724,"Ingreso")</f>
        <v>0</v>
      </c>
      <c r="U21" s="44">
        <f>SUMIFS(Movimientos!$J$1:$J$724,Movimientos!$C$1:$C$724,$B21,Movimientos!$D$1:$D$724,$C21,Movimientos!$L$1:$L$724,A$5,Movimientos!$F$1:$F$724,"Egreso")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SUMIFS(Movimientos!$J$1:$J$724,Movimientos!$C$1:$C$724,$B22,Movimientos!$D$1:$D$724,$C22,Movimientos!$L$1:$L$724,A$5,Movimientos!$F$1:$F$724,"Ingreso")</f>
        <v>0</v>
      </c>
      <c r="U22" s="44">
        <f>SUMIFS(Movimientos!$J$1:$J$724,Movimientos!$C$1:$C$724,$B22,Movimientos!$D$1:$D$724,$C22,Movimientos!$L$1:$L$724,A$5,Movimientos!$F$1:$F$724,"Egreso")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SUMIFS(Movimientos!$J$1:$J$724,Movimientos!$C$1:$C$724,$B23,Movimientos!$D$1:$D$724,$C23,Movimientos!$L$1:$L$724,A$5,Movimientos!$F$1:$F$724,"Ingreso")</f>
        <v>0</v>
      </c>
      <c r="U23" s="44">
        <f>SUMIFS(Movimientos!$J$1:$J$724,Movimientos!$C$1:$C$724,$B23,Movimientos!$D$1:$D$724,$C23,Movimientos!$L$1:$L$724,A$5,Movimientos!$F$1:$F$724,"Egreso")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SUMIFS(Movimientos!$J$1:$J$724,Movimientos!$C$1:$C$724,$B24,Movimientos!$D$1:$D$724,$C24,Movimientos!$L$1:$L$724,A$4,Movimientos!$F$1:$F$724,"Ingreso")</f>
        <v>0</v>
      </c>
      <c r="P24" s="44">
        <f>SUMIFS(Movimientos!$J$1:$J$724,Movimientos!$C$1:$C$724,$B24,Movimientos!$D$1:$D$724,$C24,Movimientos!$L$1:$L$724,A$4,Movimientos!$F$1:$F$724,"Egreso")</f>
        <v>0</v>
      </c>
      <c r="Q24" s="7">
        <f t="shared" si="1"/>
        <v>0</v>
      </c>
      <c r="R24" s="12">
        <f t="shared" si="7"/>
        <v>3349.94</v>
      </c>
      <c r="S24" s="5">
        <f t="shared" si="8"/>
        <v>3349.94</v>
      </c>
      <c r="T24" s="44">
        <f>SUMIFS(Movimientos!$J$1:$J$724,Movimientos!$C$1:$C$724,$B24,Movimientos!$D$1:$D$724,$C24,Movimientos!$L$1:$L$724,A$5,Movimientos!$F$1:$F$724,"Ingreso")</f>
        <v>0</v>
      </c>
      <c r="U24" s="44">
        <f>SUMIFS(Movimientos!$J$1:$J$724,Movimientos!$C$1:$C$724,$B24,Movimientos!$D$1:$D$724,$C24,Movimientos!$L$1:$L$724,A$5,Movimientos!$F$1:$F$724,"Egreso")</f>
        <v>0</v>
      </c>
      <c r="V24" s="7">
        <f t="shared" si="2"/>
        <v>0</v>
      </c>
      <c r="W24" s="12">
        <f t="shared" si="9"/>
        <v>3349.94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SUMIFS(Movimientos!$J$1:$J$724,Movimientos!$C$1:$C$724,$B25,Movimientos!$D$1:$D$724,$C25,Movimientos!$L$1:$L$724,A$5,Movimientos!$F$1:$F$724,"Ingreso")</f>
        <v>0</v>
      </c>
      <c r="U25" s="44">
        <f>SUMIFS(Movimientos!$J$1:$J$724,Movimientos!$C$1:$C$724,$B25,Movimientos!$D$1:$D$724,$C25,Movimientos!$L$1:$L$724,A$5,Movimientos!$F$1:$F$724,"Egreso")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SUMIFS(Movimientos!$J$1:$J$724,Movimientos!$C$1:$C$724,$B26,Movimientos!$D$1:$D$724,$C26,Movimientos!$L$1:$L$724,A$5,Movimientos!$F$1:$F$724,"Ingreso")</f>
        <v>0</v>
      </c>
      <c r="U26" s="44">
        <f>SUMIFS(Movimientos!$J$1:$J$724,Movimientos!$C$1:$C$724,$B26,Movimientos!$D$1:$D$724,$C26,Movimientos!$L$1:$L$724,A$5,Movimientos!$F$1:$F$724,"Egreso")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SUMIFS(Movimientos!$J$1:$J$724,Movimientos!$C$1:$C$724,$B27,Movimientos!$D$1:$D$724,$C27,Movimientos!$L$1:$L$724,A$4,Movimientos!$F$1:$F$724,"Ingreso")</f>
        <v>518.65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SUMIFS(Movimientos!$J$1:$J$724,Movimientos!$C$1:$C$724,$B27,Movimientos!$D$1:$D$724,$C27,Movimientos!$L$1:$L$724,A$5,Movimientos!$F$1:$F$724,"Ingreso")</f>
        <v>0</v>
      </c>
      <c r="U27" s="44">
        <f>SUMIFS(Movimientos!$J$1:$J$724,Movimientos!$C$1:$C$724,$B27,Movimientos!$D$1:$D$724,$C27,Movimientos!$L$1:$L$724,A$5,Movimientos!$F$1:$F$724,"Egreso")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SUMIFS(Movimientos!$J$1:$J$724,Movimientos!$C$1:$C$724,$B28,Movimientos!$D$1:$D$724,$C28,Movimientos!$L$1:$L$724,A$5,Movimientos!$F$1:$F$724,"Ingreso")</f>
        <v>0</v>
      </c>
      <c r="U28" s="44">
        <f>SUMIFS(Movimientos!$J$1:$J$724,Movimientos!$C$1:$C$724,$B28,Movimientos!$D$1:$D$724,$C28,Movimientos!$L$1:$L$724,A$5,Movimientos!$F$1:$F$724,"Egreso")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7"/>
        <v>22176.219999999965</v>
      </c>
      <c r="S29" s="5">
        <f t="shared" si="8"/>
        <v>22176.219999999965</v>
      </c>
      <c r="T29" s="44">
        <f>SUMIFS(Movimientos!$J$1:$J$724,Movimientos!$C$1:$C$724,$B29,Movimientos!$D$1:$D$724,$C29,Movimientos!$L$1:$L$724,A$5,Movimientos!$F$1:$F$724,"Ingreso")</f>
        <v>0</v>
      </c>
      <c r="U29" s="44">
        <f>SUMIFS(Movimientos!$J$1:$J$724,Movimientos!$C$1:$C$724,$B29,Movimientos!$D$1:$D$724,$C29,Movimientos!$L$1:$L$724,A$5,Movimientos!$F$1:$F$724,"Egreso")</f>
        <v>0</v>
      </c>
      <c r="V29" s="7">
        <f t="shared" si="2"/>
        <v>0</v>
      </c>
      <c r="W29" s="12">
        <f t="shared" si="9"/>
        <v>22176.219999999965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SUMIFS(Movimientos!$J$1:$J$724,Movimientos!$C$1:$C$724,$B30,Movimientos!$D$1:$D$724,$C30,Movimientos!$L$1:$L$724,A$5,Movimientos!$F$1:$F$724,"Ingreso")</f>
        <v>0</v>
      </c>
      <c r="U30" s="44">
        <f>SUMIFS(Movimientos!$J$1:$J$724,Movimientos!$C$1:$C$724,$B30,Movimientos!$D$1:$D$724,$C30,Movimientos!$L$1:$L$724,A$5,Movimientos!$F$1:$F$724,"Egreso")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SUMIFS(Movimientos!$J$1:$J$724,Movimientos!$C$1:$C$724,$B31,Movimientos!$D$1:$D$724,$C31,Movimientos!$L$1:$L$724,A$5,Movimientos!$F$1:$F$724,"Ingreso")</f>
        <v>0</v>
      </c>
      <c r="U31" s="44">
        <f>SUMIFS(Movimientos!$J$1:$J$724,Movimientos!$C$1:$C$724,$B31,Movimientos!$D$1:$D$724,$C31,Movimientos!$L$1:$L$724,A$5,Movimientos!$F$1:$F$724,"Egreso")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SUMIFS(Movimientos!$J$1:$J$724,Movimientos!$C$1:$C$724,$B32,Movimientos!$D$1:$D$724,$C32,Movimientos!$L$1:$L$724,A$5,Movimientos!$F$1:$F$724,"Ingreso")</f>
        <v>0</v>
      </c>
      <c r="U32" s="44">
        <f>SUMIFS(Movimientos!$J$1:$J$724,Movimientos!$C$1:$C$724,$B32,Movimientos!$D$1:$D$724,$C32,Movimientos!$L$1:$L$724,A$5,Movimientos!$F$1:$F$724,"Egreso")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SUMIFS(Movimientos!$J$1:$J$724,Movimientos!$C$1:$C$724,$B33,Movimientos!$D$1:$D$724,$C33,Movimientos!$L$1:$L$724,A$5,Movimientos!$F$1:$F$724,"Ingreso")</f>
        <v>0</v>
      </c>
      <c r="U33" s="44">
        <f>SUMIFS(Movimientos!$J$1:$J$724,Movimientos!$C$1:$C$724,$B33,Movimientos!$D$1:$D$724,$C33,Movimientos!$L$1:$L$724,A$5,Movimientos!$F$1:$F$724,"Egreso")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37839.189999999995</v>
      </c>
      <c r="Q34" s="7">
        <f t="shared" si="1"/>
        <v>2160.8100000000049</v>
      </c>
      <c r="R34" s="12">
        <f t="shared" si="7"/>
        <v>20740.239999999991</v>
      </c>
      <c r="S34" s="5">
        <f t="shared" si="8"/>
        <v>20740.239999999991</v>
      </c>
      <c r="T34" s="44">
        <f>SUMIFS(Movimientos!$J$1:$J$724,Movimientos!$C$1:$C$724,$B34,Movimientos!$D$1:$D$724,$C34,Movimientos!$L$1:$L$724,A$5,Movimientos!$F$1:$F$724,"Ingreso")</f>
        <v>0</v>
      </c>
      <c r="U34" s="44">
        <f>SUMIFS(Movimientos!$J$1:$J$724,Movimientos!$C$1:$C$724,$B34,Movimientos!$D$1:$D$724,$C34,Movimientos!$L$1:$L$724,A$5,Movimientos!$F$1:$F$724,"Egreso")</f>
        <v>0</v>
      </c>
      <c r="V34" s="7">
        <f t="shared" si="2"/>
        <v>0</v>
      </c>
      <c r="W34" s="12">
        <f t="shared" si="9"/>
        <v>20740.239999999991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SUMIFS(Movimientos!$J$1:$J$724,Movimientos!$C$1:$C$724,$B35,Movimientos!$D$1:$D$724,$C35,Movimientos!$L$1:$L$724,A$5,Movimientos!$F$1:$F$724,"Ingreso")</f>
        <v>0</v>
      </c>
      <c r="U35" s="44">
        <f>SUMIFS(Movimientos!$J$1:$J$724,Movimientos!$C$1:$C$724,$B35,Movimientos!$D$1:$D$724,$C35,Movimientos!$L$1:$L$724,A$5,Movimientos!$F$1:$F$724,"Egreso")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5"/>
  <sheetViews>
    <sheetView showGridLines="0" zoomScale="80" zoomScaleNormal="80" workbookViewId="0">
      <pane xSplit="2" ySplit="1" topLeftCell="K62" activePane="bottomRight" state="frozen"/>
      <selection pane="topRight" activeCell="C1" sqref="C1"/>
      <selection pane="bottomLeft" activeCell="A2" sqref="A2"/>
      <selection pane="bottomRight" activeCell="U1" sqref="U1:U104857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1.664062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9.77734375" bestFit="1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511.15999999999985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511.15999999999985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511.15999999999985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511.15999999999985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511.15999999999985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511.15999999999985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511.15999999999985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511.15999999999985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511.15999999999985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511.15999999999985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511.15999999999985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511.15999999999985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511.15999999999985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511.15999999999985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511.15999999999985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511.15999999999985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511.15999999999985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511.15999999999985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511.15999999999985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511.15999999999985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511.15999999999985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511.15999999999985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511.15999999999985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511.15999999999985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511.15999999999985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511.15999999999985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511.15999999999985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5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511.15999999999985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511.15999999999985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511.15999999999985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511.15999999999985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511.15999999999985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471.15999999999985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471.15999999999985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471.15999999999985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471.15999999999985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471.15999999999985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471.15999999999985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3349.94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14498.59</v>
      </c>
      <c r="V70" s="25">
        <f t="shared" si="15"/>
        <v>8161949.2100000018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15130.45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3349.94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31900.120000000003</v>
      </c>
      <c r="V71" s="25">
        <f t="shared" si="15"/>
        <v>7261283.4600000018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14580.45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3349.94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31900.120000000003</v>
      </c>
      <c r="V72" s="25">
        <f t="shared" ref="V72:V74" si="16">SUM(C72:U72)</f>
        <v>6848370.4600000009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14580.45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3349.94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31900.120000000003</v>
      </c>
      <c r="V73" s="25">
        <f t="shared" si="16"/>
        <v>6848370.4600000009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14580.45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3349.94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31900.120000000003</v>
      </c>
      <c r="V74" s="25">
        <f t="shared" si="16"/>
        <v>6848370.4600000009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Group")+SUMIFS(Movimientos!$K$1:$K$724,Movimientos!$C$1:$C$724,"CFT Group",Movimientos!$B$1:$B$724,"&lt;="&amp;$B75)</f>
        <v>4163755.7500000005</v>
      </c>
      <c r="D75" s="24">
        <f>SUMIFS('Saldos Iniciales'!$D:$D,'Saldos Iniciales'!$A:$A,"M1B")+SUMIFS(Movimientos!$K$1:$K$724,Movimientos!$C$1:$C$724,"M1B",Movimientos!$B$1:$B$724,"&lt;="&amp;$B75)</f>
        <v>73157.680000000168</v>
      </c>
      <c r="E75" s="24">
        <f>SUMIFS('Saldos Iniciales'!$D:$D,'Saldos Iniciales'!$A:$A,"Durand")+SUMIFS(Movimientos!$K$1:$K$724,Movimientos!$C$1:$C$724,"Durand",Movimientos!$B$1:$B$724,"&lt;="&amp;$B75)</f>
        <v>1669.89</v>
      </c>
      <c r="F75" s="24">
        <f>SUMIFS('Saldos Iniciales'!$D:$D,'Saldos Iniciales'!$A:$A,"A&amp;M Imports")+SUMIFS(Movimientos!$K$1:$K$724,Movimientos!$C$1:$C$724,"A&amp;M Imports",Movimientos!$B$1:$B$724,"&lt;="&amp;$B75)</f>
        <v>290141.62999999989</v>
      </c>
      <c r="G75" s="24">
        <f>SUMIFS('Saldos Iniciales'!$D:$D,'Saldos Iniciales'!$A:$A,"SSP Capital")+SUMIFS(Movimientos!$K$1:$K$724,Movimientos!$C$1:$C$724,"SSP Capital",Movimientos!$B$1:$B$724,"&lt;="&amp;$B75)</f>
        <v>1921752.2699999993</v>
      </c>
      <c r="H75" s="24">
        <f>SUMIFS('Saldos Iniciales'!$D:$D,'Saldos Iniciales'!$A:$A,"Cross Family Trust")+SUMIFS(Movimientos!$K$1:$K$724,Movimientos!$C$1:$C$724,"Cross Family Trust",Movimientos!$B$1:$B$724,"&lt;="&amp;$B75)</f>
        <v>200496.38</v>
      </c>
      <c r="I75" s="24">
        <f>SUMIFS('Saldos Iniciales'!$D:$D,'Saldos Iniciales'!$A:$A,"Cross Security Trust")+SUMIFS(Movimientos!$K$1:$K$724,Movimientos!$C$1:$C$724,"Cross Security Trust",Movimientos!$B$1:$B$724,"&lt;="&amp;$B75)</f>
        <v>88090.37</v>
      </c>
      <c r="J75" s="24">
        <f>SUMIFS('Saldos Iniciales'!$D:$D,'Saldos Iniciales'!$A:$A,"Electrama")+SUMIFS(Movimientos!$K$1:$K$724,Movimientos!$C$1:$C$724,"Electrama",Movimientos!$B$1:$B$724,"&lt;="&amp;$B75)</f>
        <v>14580.45</v>
      </c>
      <c r="K75" s="24">
        <f>SUMIFS('Saldos Iniciales'!$D:$D,'Saldos Iniciales'!$A:$A,"Sacred Valley Capital")+SUMIFS(Movimientos!$K$1:$K$724,Movimientos!$C$1:$C$724,"Sacred Valley Capital",Movimientos!$B$1:$B$724,"&lt;="&amp;$B75)</f>
        <v>54.400000000000006</v>
      </c>
      <c r="L75" s="24">
        <f>SUMIFS('Saldos Iniciales'!$D:$D,'Saldos Iniciales'!$A:$A,"YWC Capital")+SUMIFS(Movimientos!$K$1:$K$724,Movimientos!$C$1:$C$724,"YWC Capital",Movimientos!$B$1:$B$724,"&lt;="&amp;$B75)</f>
        <v>2207.8200000000002</v>
      </c>
      <c r="M75" s="24">
        <f>SUMIFS('Saldos Iniciales'!$D:$D,'Saldos Iniciales'!$A:$A,"Soweto")+SUMIFS(Movimientos!$K$1:$K$724,Movimientos!$C$1:$C$724,"Soweto",Movimientos!$B$1:$B$724,"&lt;="&amp;$B75)</f>
        <v>3349.94</v>
      </c>
      <c r="N75" s="24">
        <f>SUMIFS('Saldos Iniciales'!$D:$D,'Saldos Iniciales'!$A:$A,"Green Stone Trust")+SUMIFS(Movimientos!$K$1:$K$724,Movimientos!$C$1:$C$724,"Green Stone Trust",Movimientos!$B$1:$B$724,"&lt;="&amp;$B75)</f>
        <v>1968.99</v>
      </c>
      <c r="O75" s="24">
        <f>SUMIFS('Saldos Iniciales'!$D:$D,'Saldos Iniciales'!$A:$A,"EC Auto")+SUMIFS(Movimientos!$K$1:$K$724,Movimientos!$C$1:$C$724,"EC Auto",Movimientos!$B$1:$B$724,"&lt;="&amp;$B75)</f>
        <v>901.34</v>
      </c>
      <c r="P75" s="24">
        <f>SUMIFS('Saldos Iniciales'!$D:$D,'Saldos Iniciales'!$A:$A,"Arbor Capital Properties")+SUMIFS(Movimientos!$K$1:$K$724,Movimientos!$C$1:$C$724,"Arbor Capital Properties",Movimientos!$B$1:$B$724,"&lt;="&amp;$B75)</f>
        <v>1412.08</v>
      </c>
      <c r="Q75" s="24">
        <f>SUMIFS('Saldos Iniciales'!$D:$D,'Saldos Iniciales'!$A:$A,"2515 Overbrook")+SUMIFS(Movimientos!$K$1:$K$724,Movimientos!$C$1:$C$724,"2515 Overbrook",Movimientos!$B$1:$B$724,"&lt;="&amp;$B75)</f>
        <v>22496.639999999959</v>
      </c>
      <c r="R75" s="24">
        <f>SUMIFS('Saldos Iniciales'!$D:$D,'Saldos Iniciales'!$A:$A,"112 Florida Ave")+SUMIFS(Movimientos!$K$1:$K$724,Movimientos!$C$1:$C$724,"112 Florida Ave",Movimientos!$B$1:$B$724,"&lt;="&amp;$B75)</f>
        <v>6522.8000000000029</v>
      </c>
      <c r="S75" s="24">
        <f>SUMIFS('Saldos Iniciales'!$D:$D,'Saldos Iniciales'!$A:$A,"3628 Thomas Ave")+SUMIFS(Movimientos!$K$1:$K$724,Movimientos!$C$1:$C$724,"3628 Thomas Ave",Movimientos!$B$1:$B$724,"&lt;="&amp;$B75)</f>
        <v>24085.559999999998</v>
      </c>
      <c r="T75" s="24">
        <f>SUMIFS('Saldos Iniciales'!$D:$D,'Saldos Iniciales'!$A:$A,"Green Harbor Trust")+SUMIFS(Movimientos!$K$1:$K$724,Movimientos!$C$1:$C$724,"Green Harbor Trust",Movimientos!$B$1:$B$724,"&lt;="&amp;$B75)</f>
        <v>345</v>
      </c>
      <c r="U75" s="24">
        <f>SUMIFS('Saldos Iniciales'!$D:$D,'Saldos Iniciales'!$A:$A,"Go Blue")+SUMIFS(Movimientos!$K$1:$K$724,Movimientos!$C$1:$C$724,"Go Blue",Movimientos!$B$1:$B$724,"&lt;="&amp;$B75)</f>
        <v>25198.240000000002</v>
      </c>
      <c r="V75" s="25">
        <f t="shared" ref="V75" si="17">SUM(C75:U75)</f>
        <v>6842187.2300000004</v>
      </c>
    </row>
  </sheetData>
  <conditionalFormatting sqref="C2:V75">
    <cfRule type="cellIs" dxfId="2" priority="1" operator="lessThan">
      <formula>0</formula>
    </cfRule>
  </conditionalFormatting>
  <conditionalFormatting sqref="V2:V75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07"/>
  <sheetViews>
    <sheetView tabSelected="1" zoomScale="80" zoomScaleNormal="80" workbookViewId="0">
      <pane ySplit="1" topLeftCell="A1388" activePane="bottomLeft" state="frozen"/>
      <selection pane="bottomLeft" activeCell="D1396" sqref="D139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179</v>
      </c>
      <c r="B1" s="60" t="s">
        <v>130</v>
      </c>
      <c r="C1" s="61" t="s">
        <v>1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24085.559999999998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24085.559999999998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3349.94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24085.559999999998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3349.94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24085.559999999998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3349.94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24085.559999999998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3349.94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24085.559999999998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3349.94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24085.559999999998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3349.94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24085.559999999998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2026-07-14T15:14:21Z</dcterms:modified>
  <dc:language>en-US</dc:language>
</cp:coreProperties>
</file>