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648" documentId="8_{BBC9EA4E-7F3B-475F-B61B-890F681C3A1C}" xr6:coauthVersionLast="47" xr6:coauthVersionMax="47" xr10:uidLastSave="{B8A017B7-C49B-4932-B14D-34827009E2D1}"/>
  <bookViews>
    <workbookView xWindow="11520" yWindow="0" windowWidth="11520" windowHeight="12360" tabRatio="597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diaria'!$A$1:$D$1008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358" i="1" l="1"/>
  <c r="I358" i="1"/>
  <c r="C358" i="1"/>
  <c r="E358" i="1"/>
  <c r="H358" i="1"/>
  <c r="N358" i="1"/>
  <c r="O358" i="1"/>
  <c r="P358" i="1" s="1"/>
  <c r="A54" i="6"/>
  <c r="K363" i="1"/>
  <c r="K362" i="1"/>
  <c r="K361" i="1"/>
  <c r="K360" i="1"/>
  <c r="K359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P361" i="1" s="1"/>
  <c r="O362" i="1"/>
  <c r="O363" i="1"/>
  <c r="E346" i="1"/>
  <c r="E347" i="1"/>
  <c r="E348" i="1"/>
  <c r="E349" i="1"/>
  <c r="E350" i="1"/>
  <c r="E351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O20" i="1"/>
  <c r="P20" i="1"/>
  <c r="N21" i="1"/>
  <c r="O21" i="1"/>
  <c r="P21" i="1" s="1"/>
  <c r="N22" i="1"/>
  <c r="O22" i="1"/>
  <c r="P22" i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/>
  <c r="N53" i="1"/>
  <c r="O53" i="1"/>
  <c r="P53" i="1" s="1"/>
  <c r="N54" i="1"/>
  <c r="O54" i="1"/>
  <c r="P54" i="1" s="1"/>
  <c r="N55" i="1"/>
  <c r="O55" i="1"/>
  <c r="P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/>
  <c r="N93" i="1"/>
  <c r="O93" i="1"/>
  <c r="P93" i="1" s="1"/>
  <c r="N94" i="1"/>
  <c r="O94" i="1"/>
  <c r="P94" i="1" s="1"/>
  <c r="N95" i="1"/>
  <c r="O95" i="1"/>
  <c r="P95" i="1" s="1"/>
  <c r="N96" i="1"/>
  <c r="O96" i="1"/>
  <c r="P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/>
  <c r="N128" i="1"/>
  <c r="O128" i="1"/>
  <c r="P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O145" i="1"/>
  <c r="P145" i="1"/>
  <c r="N146" i="1"/>
  <c r="P146" i="1" s="1"/>
  <c r="O146" i="1"/>
  <c r="N147" i="1"/>
  <c r="P147" i="1" s="1"/>
  <c r="O147" i="1"/>
  <c r="N148" i="1"/>
  <c r="O148" i="1"/>
  <c r="P148" i="1"/>
  <c r="N149" i="1"/>
  <c r="O149" i="1"/>
  <c r="P149" i="1" s="1"/>
  <c r="N150" i="1"/>
  <c r="O150" i="1"/>
  <c r="P150" i="1" s="1"/>
  <c r="N151" i="1"/>
  <c r="O151" i="1"/>
  <c r="P151" i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/>
  <c r="N158" i="1"/>
  <c r="O158" i="1"/>
  <c r="P158" i="1" s="1"/>
  <c r="N159" i="1"/>
  <c r="O159" i="1"/>
  <c r="P159" i="1" s="1"/>
  <c r="N160" i="1"/>
  <c r="O160" i="1"/>
  <c r="P160" i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O177" i="1"/>
  <c r="P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/>
  <c r="N197" i="1"/>
  <c r="O197" i="1"/>
  <c r="P197" i="1" s="1"/>
  <c r="N198" i="1"/>
  <c r="O198" i="1"/>
  <c r="P198" i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/>
  <c r="N205" i="1"/>
  <c r="O205" i="1"/>
  <c r="P205" i="1" s="1"/>
  <c r="N206" i="1"/>
  <c r="O206" i="1"/>
  <c r="P206" i="1" s="1"/>
  <c r="N207" i="1"/>
  <c r="O207" i="1"/>
  <c r="P207" i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31" i="1"/>
  <c r="O231" i="1"/>
  <c r="P231" i="1" s="1"/>
  <c r="N232" i="1"/>
  <c r="O232" i="1"/>
  <c r="P232" i="1"/>
  <c r="N233" i="1"/>
  <c r="O233" i="1"/>
  <c r="P233" i="1" s="1"/>
  <c r="N234" i="1"/>
  <c r="O234" i="1"/>
  <c r="P234" i="1" s="1"/>
  <c r="N235" i="1"/>
  <c r="O235" i="1"/>
  <c r="P235" i="1" s="1"/>
  <c r="N236" i="1"/>
  <c r="O236" i="1"/>
  <c r="P236" i="1"/>
  <c r="N237" i="1"/>
  <c r="O237" i="1"/>
  <c r="P237" i="1"/>
  <c r="N238" i="1"/>
  <c r="P238" i="1" s="1"/>
  <c r="O238" i="1"/>
  <c r="N239" i="1"/>
  <c r="O239" i="1"/>
  <c r="P239" i="1"/>
  <c r="N240" i="1"/>
  <c r="O240" i="1"/>
  <c r="P240" i="1"/>
  <c r="N241" i="1"/>
  <c r="O241" i="1"/>
  <c r="P241" i="1" s="1"/>
  <c r="N242" i="1"/>
  <c r="O242" i="1"/>
  <c r="P242" i="1" s="1"/>
  <c r="N243" i="1"/>
  <c r="P243" i="1" s="1"/>
  <c r="O243" i="1"/>
  <c r="N244" i="1"/>
  <c r="O244" i="1"/>
  <c r="P244" i="1" s="1"/>
  <c r="N245" i="1"/>
  <c r="O245" i="1"/>
  <c r="P245" i="1"/>
  <c r="N246" i="1"/>
  <c r="O246" i="1"/>
  <c r="P246" i="1" s="1"/>
  <c r="N247" i="1"/>
  <c r="O247" i="1"/>
  <c r="P247" i="1" s="1"/>
  <c r="N248" i="1"/>
  <c r="O248" i="1"/>
  <c r="P248" i="1" s="1"/>
  <c r="N249" i="1"/>
  <c r="O249" i="1"/>
  <c r="P249" i="1"/>
  <c r="N250" i="1"/>
  <c r="O250" i="1"/>
  <c r="P250" i="1" s="1"/>
  <c r="N251" i="1"/>
  <c r="P251" i="1" s="1"/>
  <c r="O251" i="1"/>
  <c r="N252" i="1"/>
  <c r="O252" i="1"/>
  <c r="P252" i="1" s="1"/>
  <c r="N253" i="1"/>
  <c r="O253" i="1"/>
  <c r="P253" i="1" s="1"/>
  <c r="N254" i="1"/>
  <c r="O254" i="1"/>
  <c r="P254" i="1"/>
  <c r="N255" i="1"/>
  <c r="O255" i="1"/>
  <c r="P255" i="1"/>
  <c r="N256" i="1"/>
  <c r="O256" i="1"/>
  <c r="P256" i="1" s="1"/>
  <c r="N257" i="1"/>
  <c r="O257" i="1"/>
  <c r="P257" i="1" s="1"/>
  <c r="N258" i="1"/>
  <c r="O258" i="1"/>
  <c r="P258" i="1" s="1"/>
  <c r="N259" i="1"/>
  <c r="O259" i="1"/>
  <c r="P259" i="1" s="1"/>
  <c r="N260" i="1"/>
  <c r="O260" i="1"/>
  <c r="P260" i="1"/>
  <c r="N261" i="1"/>
  <c r="O261" i="1"/>
  <c r="P261" i="1" s="1"/>
  <c r="N262" i="1"/>
  <c r="O262" i="1"/>
  <c r="P262" i="1" s="1"/>
  <c r="N263" i="1"/>
  <c r="O263" i="1"/>
  <c r="P263" i="1"/>
  <c r="N264" i="1"/>
  <c r="O264" i="1"/>
  <c r="P264" i="1"/>
  <c r="N265" i="1"/>
  <c r="O265" i="1"/>
  <c r="P265" i="1" s="1"/>
  <c r="N266" i="1"/>
  <c r="O266" i="1"/>
  <c r="P266" i="1" s="1"/>
  <c r="N267" i="1"/>
  <c r="O267" i="1"/>
  <c r="P267" i="1" s="1"/>
  <c r="N268" i="1"/>
  <c r="O268" i="1"/>
  <c r="P268" i="1"/>
  <c r="N269" i="1"/>
  <c r="P269" i="1" s="1"/>
  <c r="O269" i="1"/>
  <c r="N270" i="1"/>
  <c r="P270" i="1" s="1"/>
  <c r="O270" i="1"/>
  <c r="N271" i="1"/>
  <c r="P271" i="1" s="1"/>
  <c r="O271" i="1"/>
  <c r="N272" i="1"/>
  <c r="P272" i="1" s="1"/>
  <c r="O272" i="1"/>
  <c r="N273" i="1"/>
  <c r="P273" i="1" s="1"/>
  <c r="O273" i="1"/>
  <c r="N274" i="1"/>
  <c r="O274" i="1"/>
  <c r="P274" i="1" s="1"/>
  <c r="N275" i="1"/>
  <c r="O275" i="1"/>
  <c r="P275" i="1" s="1"/>
  <c r="N276" i="1"/>
  <c r="O276" i="1"/>
  <c r="P276" i="1"/>
  <c r="N277" i="1"/>
  <c r="O277" i="1"/>
  <c r="P277" i="1" s="1"/>
  <c r="N278" i="1"/>
  <c r="O278" i="1"/>
  <c r="P278" i="1" s="1"/>
  <c r="N279" i="1"/>
  <c r="O279" i="1"/>
  <c r="P279" i="1" s="1"/>
  <c r="N280" i="1"/>
  <c r="O280" i="1"/>
  <c r="P280" i="1"/>
  <c r="N281" i="1"/>
  <c r="O281" i="1"/>
  <c r="P281" i="1" s="1"/>
  <c r="N282" i="1"/>
  <c r="O282" i="1"/>
  <c r="P282" i="1" s="1"/>
  <c r="N283" i="1"/>
  <c r="O283" i="1"/>
  <c r="P283" i="1" s="1"/>
  <c r="N284" i="1"/>
  <c r="O284" i="1"/>
  <c r="P284" i="1" s="1"/>
  <c r="N285" i="1"/>
  <c r="O285" i="1"/>
  <c r="P285" i="1"/>
  <c r="N286" i="1"/>
  <c r="P286" i="1" s="1"/>
  <c r="O286" i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/>
  <c r="N293" i="1"/>
  <c r="O293" i="1"/>
  <c r="P293" i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P301" i="1" s="1"/>
  <c r="O301" i="1"/>
  <c r="N302" i="1"/>
  <c r="O302" i="1"/>
  <c r="P302" i="1" s="1"/>
  <c r="N303" i="1"/>
  <c r="P303" i="1" s="1"/>
  <c r="O303" i="1"/>
  <c r="N304" i="1"/>
  <c r="P304" i="1" s="1"/>
  <c r="O304" i="1"/>
  <c r="N305" i="1"/>
  <c r="O305" i="1"/>
  <c r="P305" i="1" s="1"/>
  <c r="N306" i="1"/>
  <c r="O306" i="1"/>
  <c r="P306" i="1" s="1"/>
  <c r="N307" i="1"/>
  <c r="O307" i="1"/>
  <c r="P307" i="1" s="1"/>
  <c r="N308" i="1"/>
  <c r="O308" i="1"/>
  <c r="P308" i="1"/>
  <c r="N309" i="1"/>
  <c r="O309" i="1"/>
  <c r="P309" i="1" s="1"/>
  <c r="N310" i="1"/>
  <c r="O310" i="1"/>
  <c r="P310" i="1"/>
  <c r="N311" i="1"/>
  <c r="O311" i="1"/>
  <c r="P311" i="1" s="1"/>
  <c r="N312" i="1"/>
  <c r="O312" i="1"/>
  <c r="P312" i="1" s="1"/>
  <c r="N313" i="1"/>
  <c r="O313" i="1"/>
  <c r="P313" i="1" s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32" i="1"/>
  <c r="O332" i="1"/>
  <c r="P332" i="1"/>
  <c r="N333" i="1"/>
  <c r="O333" i="1"/>
  <c r="P333" i="1"/>
  <c r="N334" i="1"/>
  <c r="O334" i="1"/>
  <c r="P334" i="1" s="1"/>
  <c r="N335" i="1"/>
  <c r="P335" i="1" s="1"/>
  <c r="O335" i="1"/>
  <c r="N336" i="1"/>
  <c r="O336" i="1"/>
  <c r="P336" i="1" s="1"/>
  <c r="N337" i="1"/>
  <c r="O337" i="1"/>
  <c r="P337" i="1" s="1"/>
  <c r="N338" i="1"/>
  <c r="P338" i="1" s="1"/>
  <c r="O338" i="1"/>
  <c r="N339" i="1"/>
  <c r="O339" i="1"/>
  <c r="P339" i="1" s="1"/>
  <c r="N340" i="1"/>
  <c r="O340" i="1"/>
  <c r="P340" i="1" s="1"/>
  <c r="N341" i="1"/>
  <c r="O341" i="1"/>
  <c r="P341" i="1" s="1"/>
  <c r="N342" i="1"/>
  <c r="O342" i="1"/>
  <c r="P342" i="1"/>
  <c r="N343" i="1"/>
  <c r="O343" i="1"/>
  <c r="P343" i="1" s="1"/>
  <c r="N344" i="1"/>
  <c r="P344" i="1" s="1"/>
  <c r="O344" i="1"/>
  <c r="N345" i="1"/>
  <c r="O345" i="1"/>
  <c r="P345" i="1" s="1"/>
  <c r="N346" i="1"/>
  <c r="P346" i="1" s="1"/>
  <c r="O346" i="1"/>
  <c r="N347" i="1"/>
  <c r="O347" i="1"/>
  <c r="P347" i="1" s="1"/>
  <c r="N348" i="1"/>
  <c r="O348" i="1"/>
  <c r="P348" i="1" s="1"/>
  <c r="N349" i="1"/>
  <c r="O349" i="1"/>
  <c r="P349" i="1" s="1"/>
  <c r="N350" i="1"/>
  <c r="P350" i="1" s="1"/>
  <c r="O350" i="1"/>
  <c r="N351" i="1"/>
  <c r="O351" i="1"/>
  <c r="P351" i="1" s="1"/>
  <c r="N352" i="1"/>
  <c r="P352" i="1" s="1"/>
  <c r="O352" i="1"/>
  <c r="N353" i="1"/>
  <c r="O353" i="1"/>
  <c r="P353" i="1" s="1"/>
  <c r="N354" i="1"/>
  <c r="O354" i="1"/>
  <c r="P354" i="1" s="1"/>
  <c r="N355" i="1"/>
  <c r="O355" i="1"/>
  <c r="P355" i="1" s="1"/>
  <c r="N356" i="1"/>
  <c r="O356" i="1"/>
  <c r="P356" i="1" s="1"/>
  <c r="N357" i="1"/>
  <c r="O357" i="1"/>
  <c r="P357" i="1"/>
  <c r="N2" i="1"/>
  <c r="P2" i="1" s="1"/>
  <c r="O2" i="1"/>
  <c r="A51" i="6"/>
  <c r="A52" i="6"/>
  <c r="A53" i="6"/>
  <c r="P362" i="1" l="1"/>
  <c r="C357" i="1"/>
  <c r="E357" i="1"/>
  <c r="H357" i="1"/>
  <c r="I357" i="1"/>
  <c r="K357" i="1"/>
  <c r="C355" i="1"/>
  <c r="C356" i="1"/>
  <c r="K355" i="1"/>
  <c r="K356" i="1"/>
  <c r="I355" i="1"/>
  <c r="I356" i="1"/>
  <c r="E355" i="1"/>
  <c r="E356" i="1"/>
  <c r="H355" i="1"/>
  <c r="H356" i="1"/>
  <c r="C353" i="1"/>
  <c r="C354" i="1"/>
  <c r="K353" i="1"/>
  <c r="K354" i="1"/>
  <c r="I353" i="1"/>
  <c r="I354" i="1"/>
  <c r="E354" i="1"/>
  <c r="H354" i="1"/>
  <c r="E353" i="1"/>
  <c r="H353" i="1"/>
  <c r="A50" i="6"/>
  <c r="K351" i="1"/>
  <c r="I351" i="1"/>
  <c r="C351" i="1"/>
  <c r="H351" i="1"/>
  <c r="A49" i="6"/>
  <c r="K345" i="1"/>
  <c r="K346" i="1"/>
  <c r="K347" i="1"/>
  <c r="K348" i="1"/>
  <c r="K349" i="1"/>
  <c r="K266" i="1"/>
  <c r="I345" i="1"/>
  <c r="I346" i="1"/>
  <c r="I347" i="1"/>
  <c r="I348" i="1"/>
  <c r="I349" i="1"/>
  <c r="I266" i="1"/>
  <c r="C345" i="1"/>
  <c r="C346" i="1"/>
  <c r="C347" i="1"/>
  <c r="C348" i="1"/>
  <c r="C349" i="1"/>
  <c r="C266" i="1"/>
  <c r="E345" i="1"/>
  <c r="E266" i="1"/>
  <c r="H345" i="1"/>
  <c r="H346" i="1"/>
  <c r="H347" i="1"/>
  <c r="H348" i="1"/>
  <c r="H349" i="1"/>
  <c r="H266" i="1"/>
  <c r="A48" i="6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97" i="1"/>
  <c r="I297" i="1"/>
  <c r="H260" i="1"/>
  <c r="I260" i="1"/>
  <c r="H257" i="1"/>
  <c r="I257" i="1"/>
  <c r="H234" i="1"/>
  <c r="I234" i="1"/>
  <c r="H324" i="1"/>
  <c r="I324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350" i="1"/>
  <c r="I350" i="1"/>
  <c r="H259" i="1"/>
  <c r="I259" i="1"/>
  <c r="H299" i="1"/>
  <c r="I299" i="1"/>
  <c r="H232" i="1"/>
  <c r="I232" i="1"/>
  <c r="H325" i="1"/>
  <c r="I325" i="1"/>
  <c r="H233" i="1"/>
  <c r="I233" i="1"/>
  <c r="H326" i="1"/>
  <c r="I326" i="1"/>
  <c r="H235" i="1"/>
  <c r="I235" i="1"/>
  <c r="H261" i="1"/>
  <c r="I261" i="1"/>
  <c r="H262" i="1"/>
  <c r="I262" i="1"/>
  <c r="H264" i="1"/>
  <c r="I264" i="1"/>
  <c r="H231" i="1"/>
  <c r="I231" i="1"/>
  <c r="H258" i="1"/>
  <c r="I258" i="1"/>
  <c r="H256" i="1"/>
  <c r="I256" i="1"/>
  <c r="H265" i="1"/>
  <c r="I265" i="1"/>
  <c r="H254" i="1"/>
  <c r="I254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352" i="1"/>
  <c r="I352" i="1"/>
  <c r="H323" i="1"/>
  <c r="I323" i="1"/>
  <c r="H253" i="1"/>
  <c r="I253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H321" i="1"/>
  <c r="H322" i="1"/>
  <c r="H255" i="1"/>
  <c r="H263" i="1"/>
  <c r="H298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K334" i="1"/>
  <c r="K335" i="1"/>
  <c r="K336" i="1"/>
  <c r="K337" i="1"/>
  <c r="K338" i="1"/>
  <c r="K339" i="1"/>
  <c r="K340" i="1"/>
  <c r="K341" i="1"/>
  <c r="K342" i="1"/>
  <c r="K343" i="1"/>
  <c r="K344" i="1"/>
  <c r="I334" i="1"/>
  <c r="I335" i="1"/>
  <c r="I336" i="1"/>
  <c r="I337" i="1"/>
  <c r="I338" i="1"/>
  <c r="I339" i="1"/>
  <c r="I340" i="1"/>
  <c r="I341" i="1"/>
  <c r="I342" i="1"/>
  <c r="I343" i="1"/>
  <c r="I344" i="1"/>
  <c r="C334" i="1"/>
  <c r="C335" i="1"/>
  <c r="C336" i="1"/>
  <c r="C337" i="1"/>
  <c r="C338" i="1"/>
  <c r="C339" i="1"/>
  <c r="C340" i="1"/>
  <c r="C341" i="1"/>
  <c r="C342" i="1"/>
  <c r="C343" i="1"/>
  <c r="C344" i="1"/>
  <c r="E334" i="1"/>
  <c r="E335" i="1"/>
  <c r="E336" i="1"/>
  <c r="E337" i="1"/>
  <c r="E338" i="1"/>
  <c r="E339" i="1"/>
  <c r="E340" i="1"/>
  <c r="E341" i="1"/>
  <c r="E342" i="1"/>
  <c r="E343" i="1"/>
  <c r="E344" i="1"/>
  <c r="H339" i="1"/>
  <c r="H340" i="1"/>
  <c r="H341" i="1"/>
  <c r="H342" i="1"/>
  <c r="H343" i="1"/>
  <c r="H344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255" i="1"/>
  <c r="E263" i="1"/>
  <c r="E298" i="1"/>
  <c r="E327" i="1"/>
  <c r="E328" i="1"/>
  <c r="E329" i="1"/>
  <c r="E330" i="1"/>
  <c r="E331" i="1"/>
  <c r="E332" i="1"/>
  <c r="E33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255" i="1"/>
  <c r="C263" i="1"/>
  <c r="C298" i="1"/>
  <c r="C327" i="1"/>
  <c r="C328" i="1"/>
  <c r="C329" i="1"/>
  <c r="C330" i="1"/>
  <c r="M330" i="1" s="1"/>
  <c r="C331" i="1"/>
  <c r="C332" i="1"/>
  <c r="C33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255" i="1"/>
  <c r="K263" i="1"/>
  <c r="K298" i="1"/>
  <c r="K327" i="1"/>
  <c r="K328" i="1"/>
  <c r="K329" i="1"/>
  <c r="K330" i="1"/>
  <c r="K331" i="1"/>
  <c r="K332" i="1"/>
  <c r="K333" i="1"/>
  <c r="I320" i="1"/>
  <c r="I321" i="1"/>
  <c r="I322" i="1"/>
  <c r="I255" i="1"/>
  <c r="I263" i="1"/>
  <c r="I298" i="1"/>
  <c r="I327" i="1"/>
  <c r="I328" i="1"/>
  <c r="I329" i="1"/>
  <c r="I330" i="1"/>
  <c r="I331" i="1"/>
  <c r="I332" i="1"/>
  <c r="I333" i="1"/>
  <c r="K300" i="1"/>
  <c r="K301" i="1"/>
  <c r="K302" i="1"/>
  <c r="K303" i="1"/>
  <c r="K352" i="1"/>
  <c r="K323" i="1"/>
  <c r="K253" i="1"/>
  <c r="E300" i="1"/>
  <c r="E301" i="1"/>
  <c r="E302" i="1"/>
  <c r="E303" i="1"/>
  <c r="E352" i="1"/>
  <c r="E323" i="1"/>
  <c r="E253" i="1"/>
  <c r="C300" i="1"/>
  <c r="C301" i="1"/>
  <c r="C302" i="1"/>
  <c r="C303" i="1"/>
  <c r="C352" i="1"/>
  <c r="M352" i="1" s="1"/>
  <c r="C323" i="1"/>
  <c r="C253" i="1"/>
  <c r="M351" i="1" l="1"/>
  <c r="E54" i="6"/>
  <c r="M54" i="6"/>
  <c r="U54" i="6"/>
  <c r="F54" i="6"/>
  <c r="N54" i="6"/>
  <c r="G54" i="6"/>
  <c r="O54" i="6"/>
  <c r="H54" i="6"/>
  <c r="P54" i="6"/>
  <c r="I54" i="6"/>
  <c r="Q54" i="6"/>
  <c r="J54" i="6"/>
  <c r="R54" i="6"/>
  <c r="C54" i="6"/>
  <c r="K54" i="6"/>
  <c r="S54" i="6"/>
  <c r="D54" i="6"/>
  <c r="L54" i="6"/>
  <c r="T54" i="6"/>
  <c r="M359" i="1"/>
  <c r="M361" i="1"/>
  <c r="M360" i="1"/>
  <c r="M362" i="1"/>
  <c r="M363" i="1"/>
  <c r="M323" i="1"/>
  <c r="M302" i="1"/>
  <c r="M327" i="1"/>
  <c r="M301" i="1"/>
  <c r="M318" i="1"/>
  <c r="M347" i="1"/>
  <c r="M300" i="1"/>
  <c r="M298" i="1"/>
  <c r="M317" i="1"/>
  <c r="M309" i="1"/>
  <c r="M340" i="1"/>
  <c r="M266" i="1"/>
  <c r="M341" i="1"/>
  <c r="M333" i="1"/>
  <c r="M263" i="1"/>
  <c r="M316" i="1"/>
  <c r="M308" i="1"/>
  <c r="M339" i="1"/>
  <c r="M310" i="1"/>
  <c r="M52" i="6"/>
  <c r="S51" i="6"/>
  <c r="K53" i="6"/>
  <c r="D53" i="6"/>
  <c r="E53" i="6"/>
  <c r="R52" i="6"/>
  <c r="S52" i="6"/>
  <c r="J24" i="3"/>
  <c r="T41" i="6"/>
  <c r="K6" i="3"/>
  <c r="J49" i="6"/>
  <c r="J26" i="3"/>
  <c r="D43" i="6"/>
  <c r="P15" i="3"/>
  <c r="D37" i="6"/>
  <c r="K49" i="6"/>
  <c r="G50" i="6"/>
  <c r="E40" i="6"/>
  <c r="L46" i="6"/>
  <c r="P6" i="3"/>
  <c r="G39" i="6"/>
  <c r="O39" i="6"/>
  <c r="J33" i="6"/>
  <c r="P2" i="3"/>
  <c r="R35" i="6"/>
  <c r="E42" i="6"/>
  <c r="H35" i="6"/>
  <c r="J35" i="6"/>
  <c r="L44" i="6"/>
  <c r="O7" i="3"/>
  <c r="S33" i="6"/>
  <c r="P25" i="3"/>
  <c r="O10" i="3"/>
  <c r="C36" i="6"/>
  <c r="O50" i="6"/>
  <c r="Q50" i="6"/>
  <c r="O8" i="3"/>
  <c r="J5" i="3"/>
  <c r="T44" i="6"/>
  <c r="L40" i="6"/>
  <c r="I50" i="6"/>
  <c r="E41" i="6"/>
  <c r="N38" i="6"/>
  <c r="E38" i="6"/>
  <c r="F40" i="6"/>
  <c r="N39" i="6"/>
  <c r="P3" i="3"/>
  <c r="M253" i="1"/>
  <c r="U52" i="6"/>
  <c r="F52" i="6"/>
  <c r="S53" i="6"/>
  <c r="L53" i="6"/>
  <c r="M53" i="6"/>
  <c r="F53" i="6"/>
  <c r="G53" i="6"/>
  <c r="U42" i="6"/>
  <c r="J18" i="3"/>
  <c r="K45" i="6"/>
  <c r="O34" i="3"/>
  <c r="C39" i="6"/>
  <c r="H47" i="6"/>
  <c r="J39" i="6"/>
  <c r="P48" i="6"/>
  <c r="U41" i="6"/>
  <c r="I37" i="6"/>
  <c r="J20" i="3"/>
  <c r="F43" i="6"/>
  <c r="J11" i="3"/>
  <c r="K26" i="3"/>
  <c r="P33" i="3"/>
  <c r="J46" i="6"/>
  <c r="K44" i="6"/>
  <c r="L34" i="6"/>
  <c r="E47" i="6"/>
  <c r="G37" i="6"/>
  <c r="D40" i="6"/>
  <c r="J9" i="3"/>
  <c r="R40" i="6"/>
  <c r="J2" i="3"/>
  <c r="O33" i="3"/>
  <c r="S48" i="6"/>
  <c r="K43" i="6"/>
  <c r="O26" i="3"/>
  <c r="C45" i="6"/>
  <c r="C49" i="6"/>
  <c r="T33" i="6"/>
  <c r="D38" i="6"/>
  <c r="T48" i="6"/>
  <c r="O9" i="3"/>
  <c r="P40" i="6"/>
  <c r="O17" i="3"/>
  <c r="U45" i="6"/>
  <c r="J22" i="3"/>
  <c r="T45" i="6"/>
  <c r="I53" i="6"/>
  <c r="D51" i="6"/>
  <c r="J53" i="6"/>
  <c r="T53" i="6"/>
  <c r="U53" i="6"/>
  <c r="N53" i="6"/>
  <c r="O53" i="6"/>
  <c r="J29" i="3"/>
  <c r="P31" i="3"/>
  <c r="P44" i="6"/>
  <c r="J48" i="6"/>
  <c r="S39" i="6"/>
  <c r="M34" i="6"/>
  <c r="P18" i="3"/>
  <c r="J38" i="6"/>
  <c r="D47" i="6"/>
  <c r="E43" i="6"/>
  <c r="S37" i="6"/>
  <c r="D35" i="6"/>
  <c r="P13" i="3"/>
  <c r="E36" i="6"/>
  <c r="K2" i="3"/>
  <c r="G45" i="6"/>
  <c r="P23" i="3"/>
  <c r="E45" i="6"/>
  <c r="N49" i="6"/>
  <c r="S49" i="6"/>
  <c r="O45" i="6"/>
  <c r="S44" i="6"/>
  <c r="L35" i="6"/>
  <c r="L50" i="6"/>
  <c r="N41" i="6"/>
  <c r="K4" i="3"/>
  <c r="I33" i="6"/>
  <c r="D34" i="6"/>
  <c r="U47" i="6"/>
  <c r="T40" i="6"/>
  <c r="P4" i="3"/>
  <c r="P41" i="6"/>
  <c r="D49" i="6"/>
  <c r="J16" i="3"/>
  <c r="Q49" i="6"/>
  <c r="K15" i="3"/>
  <c r="O15" i="3"/>
  <c r="Q53" i="6"/>
  <c r="L51" i="6"/>
  <c r="E51" i="6"/>
  <c r="T52" i="6"/>
  <c r="Q51" i="6"/>
  <c r="D52" i="6"/>
  <c r="L52" i="6"/>
  <c r="D36" i="6"/>
  <c r="J15" i="3"/>
  <c r="F50" i="6"/>
  <c r="C38" i="6"/>
  <c r="J43" i="6"/>
  <c r="N48" i="6"/>
  <c r="K20" i="3"/>
  <c r="O30" i="3"/>
  <c r="M48" i="6"/>
  <c r="R48" i="6"/>
  <c r="R42" i="6"/>
  <c r="I42" i="6"/>
  <c r="C35" i="6"/>
  <c r="D41" i="6"/>
  <c r="K11" i="3"/>
  <c r="O18" i="3"/>
  <c r="L45" i="6"/>
  <c r="H38" i="6"/>
  <c r="F46" i="6"/>
  <c r="M39" i="6"/>
  <c r="J10" i="3"/>
  <c r="O22" i="3"/>
  <c r="I39" i="6"/>
  <c r="J32" i="3"/>
  <c r="H49" i="6"/>
  <c r="H36" i="6"/>
  <c r="P11" i="3"/>
  <c r="P27" i="3"/>
  <c r="C46" i="6"/>
  <c r="L37" i="6"/>
  <c r="K32" i="3"/>
  <c r="K7" i="3"/>
  <c r="P43" i="6"/>
  <c r="L47" i="6"/>
  <c r="N34" i="6"/>
  <c r="N52" i="6"/>
  <c r="T51" i="6"/>
  <c r="M51" i="6"/>
  <c r="F51" i="6"/>
  <c r="H53" i="6"/>
  <c r="H51" i="6"/>
  <c r="P53" i="6"/>
  <c r="U34" i="6"/>
  <c r="O2" i="3"/>
  <c r="E39" i="6"/>
  <c r="L38" i="6"/>
  <c r="U38" i="6"/>
  <c r="I36" i="6"/>
  <c r="J6" i="3"/>
  <c r="M37" i="6"/>
  <c r="C40" i="6"/>
  <c r="T47" i="6"/>
  <c r="F36" i="6"/>
  <c r="H46" i="6"/>
  <c r="T37" i="6"/>
  <c r="R43" i="6"/>
  <c r="O28" i="3"/>
  <c r="D48" i="6"/>
  <c r="I43" i="6"/>
  <c r="G34" i="6"/>
  <c r="K34" i="3"/>
  <c r="P37" i="6"/>
  <c r="D46" i="6"/>
  <c r="C42" i="6"/>
  <c r="T34" i="6"/>
  <c r="P49" i="6"/>
  <c r="Q36" i="6"/>
  <c r="F34" i="6"/>
  <c r="K24" i="3"/>
  <c r="K17" i="3"/>
  <c r="H42" i="6"/>
  <c r="K36" i="6"/>
  <c r="R50" i="6"/>
  <c r="S41" i="6"/>
  <c r="G33" i="6"/>
  <c r="P45" i="6"/>
  <c r="O31" i="3"/>
  <c r="J51" i="6"/>
  <c r="R53" i="6"/>
  <c r="G52" i="6"/>
  <c r="U51" i="6"/>
  <c r="N51" i="6"/>
  <c r="G51" i="6"/>
  <c r="P51" i="6"/>
  <c r="I51" i="6"/>
  <c r="K31" i="3"/>
  <c r="O49" i="6"/>
  <c r="R45" i="6"/>
  <c r="K9" i="3"/>
  <c r="F44" i="6"/>
  <c r="M45" i="6"/>
  <c r="Q48" i="6"/>
  <c r="K28" i="3"/>
  <c r="S38" i="6"/>
  <c r="F38" i="6"/>
  <c r="U33" i="6"/>
  <c r="U36" i="6"/>
  <c r="O46" i="6"/>
  <c r="P36" i="6"/>
  <c r="Q46" i="6"/>
  <c r="J37" i="6"/>
  <c r="M49" i="6"/>
  <c r="U44" i="6"/>
  <c r="O19" i="3"/>
  <c r="E50" i="6"/>
  <c r="O33" i="6"/>
  <c r="T35" i="6"/>
  <c r="K18" i="3"/>
  <c r="O5" i="3"/>
  <c r="J17" i="3"/>
  <c r="P19" i="3"/>
  <c r="G48" i="6"/>
  <c r="P8" i="3"/>
  <c r="G36" i="6"/>
  <c r="M36" i="6"/>
  <c r="S47" i="6"/>
  <c r="O27" i="3"/>
  <c r="K38" i="6"/>
  <c r="T50" i="6"/>
  <c r="K10" i="3"/>
  <c r="M46" i="6"/>
  <c r="J30" i="3"/>
  <c r="I34" i="6"/>
  <c r="K16" i="3"/>
  <c r="O20" i="3"/>
  <c r="J31" i="3"/>
  <c r="J41" i="6"/>
  <c r="S45" i="6"/>
  <c r="N43" i="6"/>
  <c r="O38" i="6"/>
  <c r="K50" i="6"/>
  <c r="S42" i="6"/>
  <c r="C41" i="6"/>
  <c r="Q33" i="6"/>
  <c r="P29" i="3"/>
  <c r="L42" i="6"/>
  <c r="K48" i="6"/>
  <c r="P17" i="3"/>
  <c r="L41" i="6"/>
  <c r="N50" i="6"/>
  <c r="M47" i="6"/>
  <c r="G40" i="6"/>
  <c r="P24" i="3"/>
  <c r="R51" i="6"/>
  <c r="C51" i="6"/>
  <c r="O52" i="6"/>
  <c r="H52" i="6"/>
  <c r="I52" i="6"/>
  <c r="O51" i="6"/>
  <c r="C52" i="6"/>
  <c r="F39" i="6"/>
  <c r="M50" i="6"/>
  <c r="R44" i="6"/>
  <c r="H41" i="6"/>
  <c r="U39" i="6"/>
  <c r="K39" i="6"/>
  <c r="K33" i="6"/>
  <c r="E33" i="6"/>
  <c r="I48" i="6"/>
  <c r="K42" i="6"/>
  <c r="P35" i="6"/>
  <c r="I46" i="6"/>
  <c r="F35" i="6"/>
  <c r="O23" i="3"/>
  <c r="L36" i="6"/>
  <c r="D45" i="6"/>
  <c r="P7" i="3"/>
  <c r="P46" i="6"/>
  <c r="P16" i="3"/>
  <c r="O4" i="3"/>
  <c r="D44" i="6"/>
  <c r="H45" i="6"/>
  <c r="C43" i="6"/>
  <c r="O34" i="6"/>
  <c r="I44" i="6"/>
  <c r="U50" i="6"/>
  <c r="S40" i="6"/>
  <c r="J21" i="3"/>
  <c r="P47" i="6"/>
  <c r="R33" i="6"/>
  <c r="M42" i="6"/>
  <c r="K29" i="3"/>
  <c r="J44" i="6"/>
  <c r="K21" i="3"/>
  <c r="K35" i="6"/>
  <c r="J23" i="3"/>
  <c r="Q34" i="6"/>
  <c r="O12" i="3"/>
  <c r="E52" i="6"/>
  <c r="F45" i="6"/>
  <c r="R37" i="6"/>
  <c r="O32" i="3"/>
  <c r="Q35" i="6"/>
  <c r="H39" i="6"/>
  <c r="J33" i="3"/>
  <c r="O16" i="3"/>
  <c r="G35" i="6"/>
  <c r="E46" i="6"/>
  <c r="O21" i="3"/>
  <c r="L33" i="6"/>
  <c r="J7" i="3"/>
  <c r="Q47" i="6"/>
  <c r="M41" i="6"/>
  <c r="P26" i="3"/>
  <c r="O42" i="6"/>
  <c r="J19" i="3"/>
  <c r="O25" i="3"/>
  <c r="S43" i="6"/>
  <c r="N44" i="6"/>
  <c r="L49" i="6"/>
  <c r="H43" i="6"/>
  <c r="J40" i="6"/>
  <c r="H44" i="6"/>
  <c r="E49" i="6"/>
  <c r="O37" i="6"/>
  <c r="P14" i="3"/>
  <c r="K51" i="6"/>
  <c r="T43" i="6"/>
  <c r="K33" i="3"/>
  <c r="H37" i="6"/>
  <c r="K19" i="3"/>
  <c r="P39" i="6"/>
  <c r="E34" i="6"/>
  <c r="H48" i="6"/>
  <c r="K47" i="6"/>
  <c r="M33" i="6"/>
  <c r="J3" i="3"/>
  <c r="P32" i="3"/>
  <c r="G42" i="6"/>
  <c r="S46" i="6"/>
  <c r="C37" i="6"/>
  <c r="G43" i="6"/>
  <c r="N35" i="6"/>
  <c r="D42" i="6"/>
  <c r="K41" i="6"/>
  <c r="P33" i="6"/>
  <c r="L39" i="6"/>
  <c r="H40" i="6"/>
  <c r="O24" i="3"/>
  <c r="P5" i="3"/>
  <c r="K34" i="6"/>
  <c r="J13" i="3"/>
  <c r="N40" i="6"/>
  <c r="D39" i="6"/>
  <c r="C53" i="6"/>
  <c r="T36" i="6"/>
  <c r="O13" i="3"/>
  <c r="C44" i="6"/>
  <c r="K46" i="6"/>
  <c r="O40" i="6"/>
  <c r="J42" i="6"/>
  <c r="P21" i="3"/>
  <c r="N42" i="6"/>
  <c r="Q45" i="6"/>
  <c r="I47" i="6"/>
  <c r="M35" i="6"/>
  <c r="R41" i="6"/>
  <c r="P20" i="3"/>
  <c r="O6" i="3"/>
  <c r="M44" i="6"/>
  <c r="D33" i="6"/>
  <c r="G49" i="6"/>
  <c r="P42" i="6"/>
  <c r="K23" i="3"/>
  <c r="J34" i="6"/>
  <c r="M38" i="6"/>
  <c r="H33" i="6"/>
  <c r="K22" i="3"/>
  <c r="S36" i="6"/>
  <c r="F48" i="6"/>
  <c r="G47" i="6"/>
  <c r="S50" i="6"/>
  <c r="P52" i="6"/>
  <c r="J8" i="3"/>
  <c r="C47" i="6"/>
  <c r="E48" i="6"/>
  <c r="F47" i="6"/>
  <c r="I38" i="6"/>
  <c r="J4" i="3"/>
  <c r="J12" i="3"/>
  <c r="K25" i="3"/>
  <c r="M40" i="6"/>
  <c r="I35" i="6"/>
  <c r="O43" i="6"/>
  <c r="P28" i="3"/>
  <c r="O14" i="3"/>
  <c r="P50" i="6"/>
  <c r="O11" i="3"/>
  <c r="P34" i="6"/>
  <c r="P30" i="3"/>
  <c r="L48" i="6"/>
  <c r="R36" i="6"/>
  <c r="O29" i="3"/>
  <c r="K14" i="3"/>
  <c r="J47" i="6"/>
  <c r="O48" i="6"/>
  <c r="T46" i="6"/>
  <c r="Q44" i="6"/>
  <c r="J45" i="6"/>
  <c r="S34" i="6"/>
  <c r="Q52" i="6"/>
  <c r="Q39" i="6"/>
  <c r="U40" i="6"/>
  <c r="U43" i="6"/>
  <c r="U35" i="6"/>
  <c r="K3" i="3"/>
  <c r="Q41" i="6"/>
  <c r="J50" i="6"/>
  <c r="C34" i="6"/>
  <c r="N46" i="6"/>
  <c r="F33" i="6"/>
  <c r="U46" i="6"/>
  <c r="R34" i="6"/>
  <c r="O35" i="6"/>
  <c r="F49" i="6"/>
  <c r="F41" i="6"/>
  <c r="M43" i="6"/>
  <c r="N36" i="6"/>
  <c r="K8" i="3"/>
  <c r="P12" i="3"/>
  <c r="K30" i="3"/>
  <c r="Q40" i="6"/>
  <c r="P10" i="3"/>
  <c r="J14" i="3"/>
  <c r="N47" i="6"/>
  <c r="R49" i="6"/>
  <c r="L43" i="6"/>
  <c r="G46" i="6"/>
  <c r="S35" i="6"/>
  <c r="R47" i="6"/>
  <c r="J52" i="6"/>
  <c r="J34" i="3"/>
  <c r="D50" i="6"/>
  <c r="K5" i="3"/>
  <c r="R46" i="6"/>
  <c r="G41" i="6"/>
  <c r="C33" i="6"/>
  <c r="H50" i="6"/>
  <c r="C48" i="6"/>
  <c r="J25" i="3"/>
  <c r="Q42" i="6"/>
  <c r="N45" i="6"/>
  <c r="O47" i="6"/>
  <c r="K37" i="6"/>
  <c r="P38" i="6"/>
  <c r="O41" i="6"/>
  <c r="P22" i="3"/>
  <c r="I49" i="6"/>
  <c r="T38" i="6"/>
  <c r="T42" i="6"/>
  <c r="K13" i="3"/>
  <c r="O36" i="6"/>
  <c r="G38" i="6"/>
  <c r="F37" i="6"/>
  <c r="K40" i="6"/>
  <c r="K52" i="6"/>
  <c r="N37" i="6"/>
  <c r="J27" i="3"/>
  <c r="U49" i="6"/>
  <c r="I45" i="6"/>
  <c r="T49" i="6"/>
  <c r="I40" i="6"/>
  <c r="O44" i="6"/>
  <c r="R38" i="6"/>
  <c r="I41" i="6"/>
  <c r="Q37" i="6"/>
  <c r="K12" i="3"/>
  <c r="O3" i="3"/>
  <c r="J36" i="6"/>
  <c r="F42" i="6"/>
  <c r="G44" i="6"/>
  <c r="C50" i="6"/>
  <c r="R39" i="6"/>
  <c r="T39" i="6"/>
  <c r="U37" i="6"/>
  <c r="E35" i="6"/>
  <c r="H34" i="6"/>
  <c r="P9" i="3"/>
  <c r="U48" i="6"/>
  <c r="E44" i="6"/>
  <c r="J28" i="3"/>
  <c r="K27" i="3"/>
  <c r="N33" i="6"/>
  <c r="P34" i="3"/>
  <c r="E37" i="6"/>
  <c r="Q38" i="6"/>
  <c r="Q43" i="6"/>
  <c r="M332" i="1"/>
  <c r="M255" i="1"/>
  <c r="M315" i="1"/>
  <c r="M307" i="1"/>
  <c r="M338" i="1"/>
  <c r="M353" i="1"/>
  <c r="M331" i="1"/>
  <c r="M322" i="1"/>
  <c r="M314" i="1"/>
  <c r="M306" i="1"/>
  <c r="M337" i="1"/>
  <c r="M357" i="1"/>
  <c r="M355" i="1"/>
  <c r="M321" i="1"/>
  <c r="M313" i="1"/>
  <c r="M305" i="1"/>
  <c r="M344" i="1"/>
  <c r="M336" i="1"/>
  <c r="M354" i="1"/>
  <c r="M356" i="1"/>
  <c r="M303" i="1"/>
  <c r="M329" i="1"/>
  <c r="M320" i="1"/>
  <c r="M312" i="1"/>
  <c r="M304" i="1"/>
  <c r="M343" i="1"/>
  <c r="M335" i="1"/>
  <c r="M345" i="1"/>
  <c r="M349" i="1"/>
  <c r="M328" i="1"/>
  <c r="M319" i="1"/>
  <c r="M311" i="1"/>
  <c r="M342" i="1"/>
  <c r="M334" i="1"/>
  <c r="M346" i="1"/>
  <c r="M348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54" i="6" l="1"/>
  <c r="V52" i="6"/>
  <c r="V51" i="6"/>
  <c r="V53" i="6"/>
  <c r="V50" i="6"/>
  <c r="V49" i="6"/>
  <c r="V48" i="6"/>
  <c r="V47" i="6"/>
  <c r="V46" i="6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55" i="6" s="1"/>
  <c r="A56" i="6" s="1"/>
  <c r="A5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<sst xmlns="http://schemas.openxmlformats.org/spreadsheetml/2006/main" count="3576" uniqueCount="174">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</sst>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8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16" fillId="10" borderId="11" xfId="0" applyFont="1" applyFill="1" applyBorder="1"/>
    <xf numFmtId="0" fontId="16" fillId="10" borderId="12" xfId="0" applyFont="1" applyFill="1" applyBorder="1"/>
    <xf numFmtId="0" fontId="16" fillId="10" borderId="13" xfId="0" applyFont="1" applyFill="1" applyBorder="1"/>
    <xf numFmtId="14" fontId="16" fillId="10" borderId="12" xfId="0" applyNumberFormat="1" applyFont="1" applyFill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164" fontId="2" fillId="11" borderId="14" xfId="0" applyNumberFormat="1" applyFont="1" applyFill="1" applyBorder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</cellXfs>
  <cellStyles count="1">
    <cellStyle name="Normal" xfId="0" builtinId="0"/>
  </cellStyles>
  <dxfs count="42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63" totalsRowShown="0">
  <autoFilter ref="A1:P363" xr:uid="{00000000-0009-0000-0100-000001000000}"/>
  <tableColumns count="16">
    <tableColumn id="1" xr3:uid="{00000000-0010-0000-0000-000001000000}" name="ID"/>
    <tableColumn id="2" xr3:uid="{00000000-0010-0000-0000-000002000000}" name="Fecha" dataDxfId="38"/>
    <tableColumn id="3" xr3:uid="{00000000-0010-0000-0000-000003000000}" name="Empresa"/>
    <tableColumn id="4" xr3:uid="{00000000-0010-0000-0000-000004000000}" name="Cuenta Bancaria" dataDxfId="37"/>
    <tableColumn id="12" xr3:uid="{4E4C6484-6819-4411-A0F3-4017EFF8C28C}" name="Banco" dataDxfId="36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5"/>
    <tableColumn id="6" xr3:uid="{00000000-0010-0000-0000-000006000000}" name="Categoria / Concepto" dataDxfId="34"/>
    <tableColumn id="7" xr3:uid="{00000000-0010-0000-0000-000007000000}" name="Descripcion" dataDxfId="33">
      <calculatedColumnFormula>IFERROR(_xlfn.XLOOKUP(G2,Listas!E:E,Listas!F:F,""),"")</calculatedColumnFormula>
    </tableColumn>
    <tableColumn id="13" xr3:uid="{44ABE6CE-2513-45FC-BD14-32E930AFDBBD}" name="Ext/Int" dataDxfId="32"/>
    <tableColumn id="8" xr3:uid="{00000000-0010-0000-0000-000008000000}" name="Monto (S/)" dataDxfId="31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0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29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28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27" dataDxfId="25" headerRowBorderDxfId="26" tableBorderDxfId="24">
  <autoFilter ref="A1:V500" xr:uid="{F415436C-AC07-4BC7-AF63-CF4210A06BB4}"/>
  <tableColumns count="22">
    <tableColumn id="1" xr3:uid="{63FFD75C-E666-43DD-8029-F430E7835BEE}" name="Día" dataDxfId="23"/>
    <tableColumn id="2" xr3:uid="{3C0A637E-5BCF-4DAA-A47B-1062D26CE0FC}" name="Fecha" dataDxfId="22"/>
    <tableColumn id="3" xr3:uid="{AA52C2CE-0BC6-4D55-8E20-0938296D1C23}" name="CFT Group" dataDxfId="21"/>
    <tableColumn id="4" xr3:uid="{EE7D0652-E6C8-4122-A765-D1B09096A21E}" name="M1B" dataDxfId="20"/>
    <tableColumn id="5" xr3:uid="{B4646433-2F6C-4447-A177-6AD7A4B88B6F}" name="Durand" dataDxfId="19"/>
    <tableColumn id="6" xr3:uid="{DCA1C6D9-C3E1-43F4-A721-4008460687C7}" name="A&amp;M Imports" dataDxfId="18"/>
    <tableColumn id="7" xr3:uid="{D4A7DE77-6043-4E65-8D3F-445DF17D93F1}" name="SSP Capital" dataDxfId="17"/>
    <tableColumn id="8" xr3:uid="{64A897BF-46B4-411E-BA9D-FE799CF2FEFB}" name="Cross Family Trust" dataDxfId="16"/>
    <tableColumn id="9" xr3:uid="{22730D08-F998-46A3-A6B6-4BF23E38D8F9}" name="Cross Security Trust" dataDxfId="15"/>
    <tableColumn id="10" xr3:uid="{BB5B9930-003E-4DC5-8E5D-067C1CF1A456}" name="Electrama" dataDxfId="14"/>
    <tableColumn id="11" xr3:uid="{72B1FF5A-A2B1-4F18-A8C8-32EEB09E3A17}" name="Sacred Valley Capital" dataDxfId="13"/>
    <tableColumn id="12" xr3:uid="{8285724C-9042-463F-8339-13C60DCBF2F4}" name="YWC Capital" dataDxfId="12"/>
    <tableColumn id="13" xr3:uid="{A6BA6873-5C5A-44C1-A199-00F91718164E}" name="Soweto" dataDxfId="11"/>
    <tableColumn id="14" xr3:uid="{50FB5920-A571-4DC5-9E26-0EF4F33A880F}" name="Green Stone Trust" dataDxfId="10"/>
    <tableColumn id="15" xr3:uid="{F3DE628D-3663-4B8C-88C3-8ED6C47CDAD0}" name="EC Auto" dataDxfId="9"/>
    <tableColumn id="16" xr3:uid="{63079263-2DC8-47D4-869E-EF7FF8CC83E2}" name="Arbor Capital Properties" dataDxfId="8"/>
    <tableColumn id="17" xr3:uid="{F0CCDB07-528A-4A91-A40E-B313EA61AC5A}" name="2515 Overbrook" dataDxfId="7"/>
    <tableColumn id="18" xr3:uid="{A92B8B5E-42D0-409B-819B-93575E6B5338}" name="112 Florida Ave" dataDxfId="6"/>
    <tableColumn id="19" xr3:uid="{E8590E2C-955F-4887-9F19-BD4E50391F39}" name="3628 Thomas Ave" dataDxfId="5"/>
    <tableColumn id="20" xr3:uid="{C99311AE-E772-4C28-A5BF-F01473FDC99C}" name="Green Harbor Trust" dataDxfId="4"/>
    <tableColumn id="21" xr3:uid="{531291F0-F871-4ED7-85FB-D95349130FEE}" name="Go Blue" dataDxfId="3"/>
    <tableColumn id="22" xr3:uid="{9970DF30-CB1E-4EE7-A51A-8EEDF7EFDE4C}" name="TOTAL CONSOLIDADO" dataDxfId="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008" tableType="queryTable" totalsRowShown="0">
  <autoFilter ref="A1:D1008" xr:uid="{2C5E576C-56D5-4661-AEE8-C56EAF46506C}"/>
  <tableColumns count="4">
    <tableColumn id="1" xr3:uid="{C5F72CE6-A217-4AAA-B890-634003E10415}" uniqueName="1" name="Empresa" queryTableFieldId="1" dataDxfId="41"/>
    <tableColumn id="4" xr3:uid="{1BFD00E9-36EE-42D9-A985-B1FC2CE4E317}" uniqueName="4" name="Saldo inicial" queryTableFieldId="4" dataDxfId="40"/>
    <tableColumn id="2" xr3:uid="{EA09EB92-4B2D-420E-B39F-7A131A47C123}" uniqueName="2" name="Atributo " queryTableFieldId="2" dataDxfId="39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tabSelected="1" zoomScale="70" zoomScaleNormal="70" workbookViewId="0">
      <pane ySplit="1" topLeftCell="A12" activePane="bottomLeft" state="frozen"/>
      <selection pane="bottomLeft" activeCell="D27" sqref="D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5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63"/>
  <sheetViews>
    <sheetView topLeftCell="H1" zoomScale="70" zoomScaleNormal="70" workbookViewId="0">
      <pane ySplit="1" topLeftCell="A335" activePane="bottomLeft" state="frozen"/>
      <selection pane="bottomLeft" activeCell="M358" sqref="M358"/>
    </sheetView>
  </sheetViews>
  <sheetFormatPr baseColWidth="10" defaultColWidth="8.6640625" defaultRowHeight="14.4" x14ac:dyDescent="0.3"/>
  <cols>
    <col min="1" max="1" width="6" style="3" customWidth="1"/>
    <col min="2" max="2" width="12" style="41" customWidth="1"/>
    <col min="3" max="3" width="24" style="4" customWidth="1"/>
    <col min="4" max="4" width="46.88671875" style="43" bestFit="1" customWidth="1"/>
    <col min="5" max="5" width="18.109375" style="4" customWidth="1"/>
    <col min="6" max="6" width="16" style="43" customWidth="1"/>
    <col min="7" max="7" width="53.77734375" style="43" bestFit="1" customWidth="1"/>
    <col min="8" max="8" width="18" style="4" customWidth="1"/>
    <col min="9" max="9" width="16.5546875" style="4" customWidth="1"/>
    <col min="10" max="10" width="14" style="45" customWidth="1"/>
    <col min="11" max="11" width="16" style="5" customWidth="1"/>
    <col min="12" max="12" width="10" style="15" customWidth="1"/>
    <col min="13" max="13" width="26.109375" style="46" customWidth="1"/>
    <col min="14" max="14" width="14.21875" style="27" bestFit="1" customWidth="1"/>
    <col min="15" max="15" width="13.77734375" style="27" bestFit="1" customWidth="1"/>
    <col min="16" max="16" width="16" style="29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8" t="s">
        <v>162</v>
      </c>
    </row>
    <row r="2" spans="1:16" x14ac:dyDescent="0.3">
      <c r="B2" s="40">
        <v>46143</v>
      </c>
      <c r="C2" s="4" t="s">
        <v>20</v>
      </c>
      <c r="D2" s="42" t="s">
        <v>100</v>
      </c>
      <c r="E2" s="4" t="s">
        <v>36</v>
      </c>
      <c r="F2" s="42" t="s">
        <v>9</v>
      </c>
      <c r="G2" s="42" t="s">
        <v>80</v>
      </c>
      <c r="H2" s="4" t="s">
        <v>88</v>
      </c>
      <c r="I2" s="4" t="s">
        <v>158</v>
      </c>
      <c r="J2" s="44">
        <v>400000</v>
      </c>
      <c r="K2" s="5">
        <v>400000</v>
      </c>
      <c r="L2" s="6" t="s">
        <v>93</v>
      </c>
      <c r="M2" s="46">
        <v>589990.30000000005</v>
      </c>
      <c r="N2" s="27">
        <f>IF(tblMovimientos[[#This Row],[Tipo de Movimiento]]="Ingreso",tblMovimientos[[#This Row],[Monto (S/)]],"0")</f>
        <v>400000</v>
      </c>
      <c r="O2" s="27" t="str">
        <f>IF(tblMovimientos[[#This Row],[Tipo de Movimiento]]="Egreso",tblMovimientos[[#This Row],[Monto (S/)]],"0")</f>
        <v>0</v>
      </c>
      <c r="P2" s="29">
        <f>IF(tblMovimientos[[#This Row],[Tipo de Movimiento]]="Ingreso",tblMovimientos[[#This Row],[Ingreso]],-tblMovimientos[[#This Row],[Egreso]])</f>
        <v>400000</v>
      </c>
    </row>
    <row r="3" spans="1:16" x14ac:dyDescent="0.3">
      <c r="B3" s="40">
        <v>46143</v>
      </c>
      <c r="C3" s="4" t="s">
        <v>20</v>
      </c>
      <c r="D3" s="42" t="s">
        <v>100</v>
      </c>
      <c r="E3" s="4" t="s">
        <v>36</v>
      </c>
      <c r="F3" s="42" t="s">
        <v>9</v>
      </c>
      <c r="G3" s="42" t="s">
        <v>68</v>
      </c>
      <c r="H3" s="4" t="s">
        <v>88</v>
      </c>
      <c r="I3" s="4" t="s">
        <v>158</v>
      </c>
      <c r="J3" s="44">
        <v>12901.71</v>
      </c>
      <c r="K3" s="5">
        <v>12901.71</v>
      </c>
      <c r="L3" s="6" t="s">
        <v>93</v>
      </c>
      <c r="M3" s="46">
        <v>589990.30000000005</v>
      </c>
      <c r="N3" s="27">
        <f>IF(tblMovimientos[[#This Row],[Tipo de Movimiento]]="Ingreso",tblMovimientos[[#This Row],[Monto (S/)]],"0")</f>
        <v>12901.71</v>
      </c>
      <c r="O3" s="27" t="str">
        <f>IF(tblMovimientos[[#This Row],[Tipo de Movimiento]]="Egreso",tblMovimientos[[#This Row],[Monto (S/)]],"0")</f>
        <v>0</v>
      </c>
      <c r="P3" s="29">
        <f>IF(tblMovimientos[[#This Row],[Tipo de Movimiento]]="Ingreso",tblMovimientos[[#This Row],[Ingreso]],-tblMovimientos[[#This Row],[Egreso]])</f>
        <v>12901.71</v>
      </c>
    </row>
    <row r="4" spans="1:16" x14ac:dyDescent="0.3">
      <c r="B4" s="40">
        <v>46143</v>
      </c>
      <c r="C4" s="4" t="s">
        <v>25</v>
      </c>
      <c r="D4" s="42" t="s">
        <v>114</v>
      </c>
      <c r="E4" s="4" t="s">
        <v>36</v>
      </c>
      <c r="F4" s="42" t="s">
        <v>10</v>
      </c>
      <c r="G4" s="42" t="s">
        <v>44</v>
      </c>
      <c r="H4" s="4" t="str">
        <f>IFERROR(_xlfn.XLOOKUP(G4,Listas!E:E,Listas!F:F,""),"")</f>
        <v>Operativo</v>
      </c>
      <c r="I4" s="52" t="str">
        <f>IFERROR(_xlfn.XLOOKUP(G4,Listas!E:E,Listas!G:G,""),"")</f>
        <v>Externo</v>
      </c>
      <c r="J4" s="44">
        <v>29.95</v>
      </c>
      <c r="K4" s="5">
        <v>-29.95</v>
      </c>
      <c r="L4" s="6" t="s">
        <v>93</v>
      </c>
      <c r="M4" s="46">
        <v>114.3</v>
      </c>
      <c r="N4" s="27" t="str">
        <f>IF(tblMovimientos[[#This Row],[Tipo de Movimiento]]="Ingreso",tblMovimientos[[#This Row],[Monto (S/)]],"0")</f>
        <v>0</v>
      </c>
      <c r="O4" s="27">
        <f>IF(tblMovimientos[[#This Row],[Tipo de Movimiento]]="Egreso",tblMovimientos[[#This Row],[Monto (S/)]],"0")</f>
        <v>29.95</v>
      </c>
      <c r="P4" s="29">
        <f>IF(tblMovimientos[[#This Row],[Tipo de Movimiento]]="Ingreso",tblMovimientos[[#This Row],[Ingreso]],-tblMovimientos[[#This Row],[Egreso]])</f>
        <v>-29.95</v>
      </c>
    </row>
    <row r="5" spans="1:16" x14ac:dyDescent="0.3">
      <c r="B5" s="40">
        <v>46143</v>
      </c>
      <c r="C5" s="4" t="s">
        <v>26</v>
      </c>
      <c r="D5" s="42" t="s">
        <v>115</v>
      </c>
      <c r="E5" s="4" t="s">
        <v>36</v>
      </c>
      <c r="F5" s="42" t="s">
        <v>10</v>
      </c>
      <c r="G5" s="42" t="s">
        <v>44</v>
      </c>
      <c r="H5" s="4" t="str">
        <f>IFERROR(_xlfn.XLOOKUP(G5,Listas!E:E,Listas!F:F,""),"")</f>
        <v>Operativo</v>
      </c>
      <c r="I5" s="52" t="str">
        <f>IFERROR(_xlfn.XLOOKUP(G5,Listas!E:E,Listas!G:G,""),"")</f>
        <v>Externo</v>
      </c>
      <c r="J5" s="44">
        <v>29.95</v>
      </c>
      <c r="K5" s="5">
        <v>-29.95</v>
      </c>
      <c r="L5" s="6" t="s">
        <v>93</v>
      </c>
      <c r="M5" s="46">
        <v>2267.7200000000003</v>
      </c>
      <c r="N5" s="27" t="str">
        <f>IF(tblMovimientos[[#This Row],[Tipo de Movimiento]]="Ingreso",tblMovimientos[[#This Row],[Monto (S/)]],"0")</f>
        <v>0</v>
      </c>
      <c r="O5" s="27">
        <f>IF(tblMovimientos[[#This Row],[Tipo de Movimiento]]="Egreso",tblMovimientos[[#This Row],[Monto (S/)]],"0")</f>
        <v>29.95</v>
      </c>
      <c r="P5" s="29">
        <f>IF(tblMovimientos[[#This Row],[Tipo de Movimiento]]="Ingreso",tblMovimientos[[#This Row],[Ingreso]],-tblMovimientos[[#This Row],[Egreso]])</f>
        <v>-29.95</v>
      </c>
    </row>
    <row r="6" spans="1:16" x14ac:dyDescent="0.3">
      <c r="B6" s="40">
        <v>46143</v>
      </c>
      <c r="C6" s="4" t="s">
        <v>30</v>
      </c>
      <c r="D6" s="42" t="s">
        <v>120</v>
      </c>
      <c r="E6" s="4" t="s">
        <v>36</v>
      </c>
      <c r="F6" s="42" t="s">
        <v>10</v>
      </c>
      <c r="G6" s="42" t="s">
        <v>44</v>
      </c>
      <c r="H6" s="4" t="str">
        <f>IFERROR(_xlfn.XLOOKUP(G6,Listas!E:E,Listas!F:F,""),"")</f>
        <v>Operativo</v>
      </c>
      <c r="I6" s="52" t="str">
        <f>IFERROR(_xlfn.XLOOKUP(G6,Listas!E:E,Listas!G:G,""),"")</f>
        <v>Externo</v>
      </c>
      <c r="J6" s="44">
        <v>16</v>
      </c>
      <c r="K6" s="5">
        <v>-16</v>
      </c>
      <c r="L6" s="6" t="s">
        <v>93</v>
      </c>
      <c r="M6" s="46">
        <v>1444.08</v>
      </c>
      <c r="N6" s="27" t="str">
        <f>IF(tblMovimientos[[#This Row],[Tipo de Movimiento]]="Ingreso",tblMovimientos[[#This Row],[Monto (S/)]],"0")</f>
        <v>0</v>
      </c>
      <c r="O6" s="27">
        <f>IF(tblMovimientos[[#This Row],[Tipo de Movimiento]]="Egreso",tblMovimientos[[#This Row],[Monto (S/)]],"0")</f>
        <v>16</v>
      </c>
      <c r="P6" s="29">
        <f>IF(tblMovimientos[[#This Row],[Tipo de Movimiento]]="Ingreso",tblMovimientos[[#This Row],[Ingreso]],-tblMovimientos[[#This Row],[Egreso]])</f>
        <v>-16</v>
      </c>
    </row>
    <row r="7" spans="1:16" x14ac:dyDescent="0.3">
      <c r="B7" s="40">
        <v>46143</v>
      </c>
      <c r="C7" s="4" t="s">
        <v>31</v>
      </c>
      <c r="D7" s="42" t="s">
        <v>121</v>
      </c>
      <c r="E7" s="4" t="s">
        <v>36</v>
      </c>
      <c r="F7" s="42" t="s">
        <v>9</v>
      </c>
      <c r="G7" s="42" t="s">
        <v>81</v>
      </c>
      <c r="H7" s="4" t="str">
        <f>IFERROR(_xlfn.XLOOKUP(G7,Listas!E:E,Listas!F:F,""),"")</f>
        <v>Operativo</v>
      </c>
      <c r="I7" s="52" t="str">
        <f>IFERROR(_xlfn.XLOOKUP(G7,Listas!E:E,Listas!G:G,""),"")</f>
        <v>Externo</v>
      </c>
      <c r="J7" s="44">
        <v>5250</v>
      </c>
      <c r="K7" s="5">
        <v>5250</v>
      </c>
      <c r="L7" s="6" t="s">
        <v>93</v>
      </c>
      <c r="M7" s="46">
        <v>22922.179999999964</v>
      </c>
      <c r="N7" s="27">
        <f>IF(tblMovimientos[[#This Row],[Tipo de Movimiento]]="Ingreso",tblMovimientos[[#This Row],[Monto (S/)]],"0")</f>
        <v>5250</v>
      </c>
      <c r="O7" s="27" t="str">
        <f>IF(tblMovimientos[[#This Row],[Tipo de Movimiento]]="Egreso",tblMovimientos[[#This Row],[Monto (S/)]],"0")</f>
        <v>0</v>
      </c>
      <c r="P7" s="29">
        <f>IF(tblMovimientos[[#This Row],[Tipo de Movimiento]]="Ingreso",tblMovimientos[[#This Row],[Ingreso]],-tblMovimientos[[#This Row],[Egreso]])</f>
        <v>5250</v>
      </c>
    </row>
    <row r="8" spans="1:16" x14ac:dyDescent="0.3">
      <c r="B8" s="40">
        <v>46143</v>
      </c>
      <c r="C8" s="4" t="s">
        <v>31</v>
      </c>
      <c r="D8" s="42" t="s">
        <v>121</v>
      </c>
      <c r="E8" s="4" t="s">
        <v>36</v>
      </c>
      <c r="F8" s="42" t="s">
        <v>10</v>
      </c>
      <c r="G8" s="42" t="s">
        <v>48</v>
      </c>
      <c r="H8" s="4" t="str">
        <f>IFERROR(_xlfn.XLOOKUP(G8,Listas!E:E,Listas!F:F,""),"")</f>
        <v>Financiamiento</v>
      </c>
      <c r="I8" s="52" t="str">
        <f>IFERROR(_xlfn.XLOOKUP(G8,Listas!E:E,Listas!G:G,""),"")</f>
        <v>Externo</v>
      </c>
      <c r="J8" s="44">
        <v>8578.33</v>
      </c>
      <c r="K8" s="5">
        <v>-8578.33</v>
      </c>
      <c r="L8" s="6" t="s">
        <v>93</v>
      </c>
      <c r="M8" s="46">
        <v>22922.179999999964</v>
      </c>
      <c r="N8" s="27" t="str">
        <f>IF(tblMovimientos[[#This Row],[Tipo de Movimiento]]="Ingreso",tblMovimientos[[#This Row],[Monto (S/)]],"0")</f>
        <v>0</v>
      </c>
      <c r="O8" s="27">
        <f>IF(tblMovimientos[[#This Row],[Tipo de Movimiento]]="Egreso",tblMovimientos[[#This Row],[Monto (S/)]],"0")</f>
        <v>8578.33</v>
      </c>
      <c r="P8" s="29">
        <f>IF(tblMovimientos[[#This Row],[Tipo de Movimiento]]="Ingreso",tblMovimientos[[#This Row],[Ingreso]],-tblMovimientos[[#This Row],[Egreso]])</f>
        <v>-8578.33</v>
      </c>
    </row>
    <row r="9" spans="1:16" x14ac:dyDescent="0.3">
      <c r="B9" s="40">
        <v>46143</v>
      </c>
      <c r="C9" s="4" t="s">
        <v>31</v>
      </c>
      <c r="D9" s="42" t="s">
        <v>121</v>
      </c>
      <c r="E9" s="4" t="s">
        <v>36</v>
      </c>
      <c r="F9" s="42" t="s">
        <v>10</v>
      </c>
      <c r="G9" s="42" t="s">
        <v>44</v>
      </c>
      <c r="H9" s="4" t="str">
        <f>IFERROR(_xlfn.XLOOKUP(G9,Listas!E:E,Listas!F:F,""),"")</f>
        <v>Operativo</v>
      </c>
      <c r="I9" s="52" t="str">
        <f>IFERROR(_xlfn.XLOOKUP(G9,Listas!E:E,Listas!G:G,""),"")</f>
        <v>Externo</v>
      </c>
      <c r="J9" s="44">
        <v>16</v>
      </c>
      <c r="K9" s="5">
        <v>-16</v>
      </c>
      <c r="L9" s="6" t="s">
        <v>93</v>
      </c>
      <c r="M9" s="46">
        <v>22922.179999999964</v>
      </c>
      <c r="N9" s="27" t="str">
        <f>IF(tblMovimientos[[#This Row],[Tipo de Movimiento]]="Ingreso",tblMovimientos[[#This Row],[Monto (S/)]],"0")</f>
        <v>0</v>
      </c>
      <c r="O9" s="27">
        <f>IF(tblMovimientos[[#This Row],[Tipo de Movimiento]]="Egreso",tblMovimientos[[#This Row],[Monto (S/)]],"0")</f>
        <v>16</v>
      </c>
      <c r="P9" s="29">
        <f>IF(tblMovimientos[[#This Row],[Tipo de Movimiento]]="Ingreso",tblMovimientos[[#This Row],[Ingreso]],-tblMovimientos[[#This Row],[Egreso]])</f>
        <v>-16</v>
      </c>
    </row>
    <row r="10" spans="1:16" x14ac:dyDescent="0.3">
      <c r="B10" s="40">
        <v>46143</v>
      </c>
      <c r="C10" s="4" t="s">
        <v>31</v>
      </c>
      <c r="D10" s="42" t="s">
        <v>122</v>
      </c>
      <c r="E10" s="4" t="s">
        <v>36</v>
      </c>
      <c r="F10" s="42" t="s">
        <v>10</v>
      </c>
      <c r="G10" s="42" t="s">
        <v>44</v>
      </c>
      <c r="H10" s="4" t="str">
        <f>IFERROR(_xlfn.XLOOKUP(G10,Listas!E:E,Listas!F:F,""),"")</f>
        <v>Operativo</v>
      </c>
      <c r="I10" s="52" t="str">
        <f>IFERROR(_xlfn.XLOOKUP(G10,Listas!E:E,Listas!G:G,""),"")</f>
        <v>Externo</v>
      </c>
      <c r="J10" s="44">
        <v>10</v>
      </c>
      <c r="K10" s="5">
        <v>-10</v>
      </c>
      <c r="L10" s="6" t="s">
        <v>93</v>
      </c>
      <c r="M10" s="46">
        <v>340.42</v>
      </c>
      <c r="N10" s="27" t="str">
        <f>IF(tblMovimientos[[#This Row],[Tipo de Movimiento]]="Ingreso",tblMovimientos[[#This Row],[Monto (S/)]],"0")</f>
        <v>0</v>
      </c>
      <c r="O10" s="27">
        <f>IF(tblMovimientos[[#This Row],[Tipo de Movimiento]]="Egreso",tblMovimientos[[#This Row],[Monto (S/)]],"0")</f>
        <v>10</v>
      </c>
      <c r="P10" s="29">
        <f>IF(tblMovimientos[[#This Row],[Tipo de Movimiento]]="Ingreso",tblMovimientos[[#This Row],[Ingreso]],-tblMovimientos[[#This Row],[Egreso]])</f>
        <v>-10</v>
      </c>
    </row>
    <row r="11" spans="1:16" x14ac:dyDescent="0.3">
      <c r="B11" s="40">
        <v>46143</v>
      </c>
      <c r="C11" s="4" t="s">
        <v>32</v>
      </c>
      <c r="D11" s="42" t="s">
        <v>123</v>
      </c>
      <c r="E11" s="4" t="s">
        <v>36</v>
      </c>
      <c r="F11" s="42" t="s">
        <v>9</v>
      </c>
      <c r="G11" s="42" t="s">
        <v>81</v>
      </c>
      <c r="H11" s="4" t="str">
        <f>IFERROR(_xlfn.XLOOKUP(G11,Listas!E:E,Listas!F:F,""),"")</f>
        <v>Operativo</v>
      </c>
      <c r="I11" s="52" t="str">
        <f>IFERROR(_xlfn.XLOOKUP(G11,Listas!E:E,Listas!G:G,""),"")</f>
        <v>Externo</v>
      </c>
      <c r="J11" s="44">
        <v>6750</v>
      </c>
      <c r="K11" s="5">
        <v>6750</v>
      </c>
      <c r="L11" s="6" t="s">
        <v>93</v>
      </c>
      <c r="M11" s="46">
        <v>6853.9100000000017</v>
      </c>
      <c r="N11" s="27">
        <f>IF(tblMovimientos[[#This Row],[Tipo de Movimiento]]="Ingreso",tblMovimientos[[#This Row],[Monto (S/)]],"0")</f>
        <v>6750</v>
      </c>
      <c r="O11" s="27" t="str">
        <f>IF(tblMovimientos[[#This Row],[Tipo de Movimiento]]="Egreso",tblMovimientos[[#This Row],[Monto (S/)]],"0")</f>
        <v>0</v>
      </c>
      <c r="P11" s="29">
        <f>IF(tblMovimientos[[#This Row],[Tipo de Movimiento]]="Ingreso",tblMovimientos[[#This Row],[Ingreso]],-tblMovimientos[[#This Row],[Egreso]])</f>
        <v>6750</v>
      </c>
    </row>
    <row r="12" spans="1:16" x14ac:dyDescent="0.3">
      <c r="B12" s="40">
        <v>46143</v>
      </c>
      <c r="C12" s="4" t="s">
        <v>32</v>
      </c>
      <c r="D12" s="42" t="s">
        <v>123</v>
      </c>
      <c r="E12" s="4" t="s">
        <v>36</v>
      </c>
      <c r="F12" s="42" t="s">
        <v>10</v>
      </c>
      <c r="G12" s="42" t="s">
        <v>48</v>
      </c>
      <c r="H12" s="4" t="str">
        <f>IFERROR(_xlfn.XLOOKUP(G12,Listas!E:E,Listas!F:F,""),"")</f>
        <v>Financiamiento</v>
      </c>
      <c r="I12" s="52" t="str">
        <f>IFERROR(_xlfn.XLOOKUP(G12,Listas!E:E,Listas!G:G,""),"")</f>
        <v>Externo</v>
      </c>
      <c r="J12" s="44">
        <v>9798.6299999999992</v>
      </c>
      <c r="K12" s="5">
        <v>-9798.6299999999992</v>
      </c>
      <c r="L12" s="6" t="s">
        <v>93</v>
      </c>
      <c r="M12" s="46">
        <v>6853.9100000000017</v>
      </c>
      <c r="N12" s="27" t="str">
        <f>IF(tblMovimientos[[#This Row],[Tipo de Movimiento]]="Ingreso",tblMovimientos[[#This Row],[Monto (S/)]],"0")</f>
        <v>0</v>
      </c>
      <c r="O12" s="27">
        <f>IF(tblMovimientos[[#This Row],[Tipo de Movimiento]]="Egreso",tblMovimientos[[#This Row],[Monto (S/)]],"0")</f>
        <v>9798.6299999999992</v>
      </c>
      <c r="P12" s="29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40">
        <v>46143</v>
      </c>
      <c r="C13" s="4" t="s">
        <v>33</v>
      </c>
      <c r="D13" s="42" t="s">
        <v>124</v>
      </c>
      <c r="E13" s="4" t="s">
        <v>36</v>
      </c>
      <c r="F13" s="42" t="s">
        <v>9</v>
      </c>
      <c r="G13" s="42" t="s">
        <v>81</v>
      </c>
      <c r="H13" s="4" t="str">
        <f>IFERROR(_xlfn.XLOOKUP(G13,Listas!E:E,Listas!F:F,""),"")</f>
        <v>Operativo</v>
      </c>
      <c r="I13" s="52" t="str">
        <f>IFERROR(_xlfn.XLOOKUP(G13,Listas!E:E,Listas!G:G,""),"")</f>
        <v>Externo</v>
      </c>
      <c r="J13" s="44">
        <v>5050</v>
      </c>
      <c r="K13" s="5">
        <v>5050</v>
      </c>
      <c r="L13" s="6" t="s">
        <v>93</v>
      </c>
      <c r="M13" s="46">
        <v>21338.39</v>
      </c>
      <c r="N13" s="27">
        <f>IF(tblMovimientos[[#This Row],[Tipo de Movimiento]]="Ingreso",tblMovimientos[[#This Row],[Monto (S/)]],"0")</f>
        <v>5050</v>
      </c>
      <c r="O13" s="27" t="str">
        <f>IF(tblMovimientos[[#This Row],[Tipo de Movimiento]]="Egreso",tblMovimientos[[#This Row],[Monto (S/)]],"0")</f>
        <v>0</v>
      </c>
      <c r="P13" s="29">
        <f>IF(tblMovimientos[[#This Row],[Tipo de Movimiento]]="Ingreso",tblMovimientos[[#This Row],[Ingreso]],-tblMovimientos[[#This Row],[Egreso]])</f>
        <v>5050</v>
      </c>
    </row>
    <row r="14" spans="1:16" x14ac:dyDescent="0.3">
      <c r="B14" s="40">
        <v>46143</v>
      </c>
      <c r="C14" s="4" t="s">
        <v>33</v>
      </c>
      <c r="D14" s="42" t="s">
        <v>124</v>
      </c>
      <c r="E14" s="4" t="s">
        <v>36</v>
      </c>
      <c r="F14" s="42" t="s">
        <v>10</v>
      </c>
      <c r="G14" s="42" t="s">
        <v>48</v>
      </c>
      <c r="H14" s="4" t="str">
        <f>IFERROR(_xlfn.XLOOKUP(G14,Listas!E:E,Listas!F:F,""),"")</f>
        <v>Financiamiento</v>
      </c>
      <c r="I14" s="52" t="str">
        <f>IFERROR(_xlfn.XLOOKUP(G14,Listas!E:E,Listas!G:G,""),"")</f>
        <v>Externo</v>
      </c>
      <c r="J14" s="44">
        <v>8773.0400000000009</v>
      </c>
      <c r="K14" s="5">
        <v>-8773.0400000000009</v>
      </c>
      <c r="L14" s="6" t="s">
        <v>93</v>
      </c>
      <c r="M14" s="46">
        <v>21338.39</v>
      </c>
      <c r="N14" s="27" t="str">
        <f>IF(tblMovimientos[[#This Row],[Tipo de Movimiento]]="Ingreso",tblMovimientos[[#This Row],[Monto (S/)]],"0")</f>
        <v>0</v>
      </c>
      <c r="O14" s="27">
        <f>IF(tblMovimientos[[#This Row],[Tipo de Movimiento]]="Egreso",tblMovimientos[[#This Row],[Monto (S/)]],"0")</f>
        <v>8773.0400000000009</v>
      </c>
      <c r="P14" s="29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40">
        <v>46143</v>
      </c>
      <c r="C15" s="4" t="s">
        <v>18</v>
      </c>
      <c r="D15" s="42" t="s">
        <v>97</v>
      </c>
      <c r="E15" s="4" t="s">
        <v>37</v>
      </c>
      <c r="F15" s="42" t="s">
        <v>9</v>
      </c>
      <c r="G15" s="42" t="s">
        <v>68</v>
      </c>
      <c r="H15" s="4" t="str">
        <f>IFERROR(_xlfn.XLOOKUP(G15,Listas!E:E,Listas!F:F,""),"")</f>
        <v>Operativo</v>
      </c>
      <c r="I15" s="52" t="str">
        <f>IFERROR(_xlfn.XLOOKUP(G15,Listas!E:E,Listas!G:G,""),"")</f>
        <v>Externo</v>
      </c>
      <c r="J15" s="44">
        <v>6748.49</v>
      </c>
      <c r="K15" s="5">
        <v>6748.49</v>
      </c>
      <c r="L15" s="6" t="s">
        <v>93</v>
      </c>
      <c r="M15" s="46">
        <v>46288.029999999948</v>
      </c>
      <c r="N15" s="27">
        <f>IF(tblMovimientos[[#This Row],[Tipo de Movimiento]]="Ingreso",tblMovimientos[[#This Row],[Monto (S/)]],"0")</f>
        <v>6748.49</v>
      </c>
      <c r="O15" s="27" t="str">
        <f>IF(tblMovimientos[[#This Row],[Tipo de Movimiento]]="Egreso",tblMovimientos[[#This Row],[Monto (S/)]],"0")</f>
        <v>0</v>
      </c>
      <c r="P15" s="29">
        <f>IF(tblMovimientos[[#This Row],[Tipo de Movimiento]]="Ingreso",tblMovimientos[[#This Row],[Ingreso]],-tblMovimientos[[#This Row],[Egreso]])</f>
        <v>6748.49</v>
      </c>
    </row>
    <row r="16" spans="1:16" x14ac:dyDescent="0.3">
      <c r="B16" s="40">
        <v>46143</v>
      </c>
      <c r="C16" s="4" t="s">
        <v>35</v>
      </c>
      <c r="D16" s="42" t="s">
        <v>126</v>
      </c>
      <c r="E16" s="4" t="s">
        <v>37</v>
      </c>
      <c r="F16" s="42" t="s">
        <v>10</v>
      </c>
      <c r="G16" s="42" t="s">
        <v>38</v>
      </c>
      <c r="H16" s="4" t="str">
        <f>IFERROR(_xlfn.XLOOKUP(G16,Listas!E:E,Listas!F:F,""),"")</f>
        <v>Operativo</v>
      </c>
      <c r="I16" s="52" t="str">
        <f>IFERROR(_xlfn.XLOOKUP(G16,Listas!E:E,Listas!G:G,""),"")</f>
        <v>Externo</v>
      </c>
      <c r="J16" s="44">
        <v>165</v>
      </c>
      <c r="K16" s="5">
        <v>-165</v>
      </c>
      <c r="L16" s="6" t="s">
        <v>93</v>
      </c>
      <c r="M16" s="46">
        <v>13491.26</v>
      </c>
      <c r="N16" s="27" t="str">
        <f>IF(tblMovimientos[[#This Row],[Tipo de Movimiento]]="Ingreso",tblMovimientos[[#This Row],[Monto (S/)]],"0")</f>
        <v>0</v>
      </c>
      <c r="O16" s="27">
        <f>IF(tblMovimientos[[#This Row],[Tipo de Movimiento]]="Egreso",tblMovimientos[[#This Row],[Monto (S/)]],"0")</f>
        <v>165</v>
      </c>
      <c r="P16" s="29">
        <f>IF(tblMovimientos[[#This Row],[Tipo de Movimiento]]="Ingreso",tblMovimientos[[#This Row],[Ingreso]],-tblMovimientos[[#This Row],[Egreso]])</f>
        <v>-165</v>
      </c>
    </row>
    <row r="17" spans="2:16" x14ac:dyDescent="0.3">
      <c r="B17" s="40">
        <v>46146</v>
      </c>
      <c r="C17" s="4" t="s">
        <v>22</v>
      </c>
      <c r="D17" s="42" t="s">
        <v>110</v>
      </c>
      <c r="E17" s="4" t="s">
        <v>36</v>
      </c>
      <c r="F17" s="42" t="s">
        <v>10</v>
      </c>
      <c r="G17" s="42" t="s">
        <v>43</v>
      </c>
      <c r="H17" s="4" t="str">
        <f>IFERROR(_xlfn.XLOOKUP(G17,Listas!E:E,Listas!F:F,""),"")</f>
        <v>Operativo</v>
      </c>
      <c r="I17" s="52" t="str">
        <f>IFERROR(_xlfn.XLOOKUP(G17,Listas!E:E,Listas!G:G,""),"")</f>
        <v>Externo</v>
      </c>
      <c r="J17" s="44">
        <v>6000</v>
      </c>
      <c r="K17" s="5">
        <v>-6000</v>
      </c>
      <c r="L17" s="6" t="s">
        <v>93</v>
      </c>
      <c r="M17" s="46">
        <v>7221.8899999999994</v>
      </c>
      <c r="N17" s="27" t="str">
        <f>IF(tblMovimientos[[#This Row],[Tipo de Movimiento]]="Ingreso",tblMovimientos[[#This Row],[Monto (S/)]],"0")</f>
        <v>0</v>
      </c>
      <c r="O17" s="27">
        <f>IF(tblMovimientos[[#This Row],[Tipo de Movimiento]]="Egreso",tblMovimientos[[#This Row],[Monto (S/)]],"0")</f>
        <v>6000</v>
      </c>
      <c r="P17" s="29">
        <f>IF(tblMovimientos[[#This Row],[Tipo de Movimiento]]="Ingreso",tblMovimientos[[#This Row],[Ingreso]],-tblMovimientos[[#This Row],[Egreso]])</f>
        <v>-6000</v>
      </c>
    </row>
    <row r="18" spans="2:16" x14ac:dyDescent="0.3">
      <c r="B18" s="40">
        <v>46146</v>
      </c>
      <c r="C18" s="4" t="s">
        <v>31</v>
      </c>
      <c r="D18" s="42" t="s">
        <v>121</v>
      </c>
      <c r="E18" s="4" t="s">
        <v>36</v>
      </c>
      <c r="F18" s="42" t="s">
        <v>10</v>
      </c>
      <c r="G18" s="42" t="s">
        <v>44</v>
      </c>
      <c r="H18" s="4" t="str">
        <f>IFERROR(_xlfn.XLOOKUP(G18,Listas!E:E,Listas!F:F,""),"")</f>
        <v>Operativo</v>
      </c>
      <c r="I18" s="52" t="str">
        <f>IFERROR(_xlfn.XLOOKUP(G18,Listas!E:E,Listas!G:G,""),"")</f>
        <v>Externo</v>
      </c>
      <c r="J18" s="44">
        <v>15</v>
      </c>
      <c r="K18" s="5">
        <v>-15</v>
      </c>
      <c r="L18" s="6" t="s">
        <v>93</v>
      </c>
      <c r="M18" s="46">
        <v>22907.179999999964</v>
      </c>
      <c r="N18" s="27" t="str">
        <f>IF(tblMovimientos[[#This Row],[Tipo de Movimiento]]="Ingreso",tblMovimientos[[#This Row],[Monto (S/)]],"0")</f>
        <v>0</v>
      </c>
      <c r="O18" s="27">
        <f>IF(tblMovimientos[[#This Row],[Tipo de Movimiento]]="Egreso",tblMovimientos[[#This Row],[Monto (S/)]],"0")</f>
        <v>15</v>
      </c>
      <c r="P18" s="29">
        <f>IF(tblMovimientos[[#This Row],[Tipo de Movimiento]]="Ingreso",tblMovimientos[[#This Row],[Ingreso]],-tblMovimientos[[#This Row],[Egreso]])</f>
        <v>-15</v>
      </c>
    </row>
    <row r="19" spans="2:16" x14ac:dyDescent="0.3">
      <c r="B19" s="40">
        <v>46146</v>
      </c>
      <c r="C19" s="4" t="s">
        <v>35</v>
      </c>
      <c r="D19" s="42" t="s">
        <v>126</v>
      </c>
      <c r="E19" s="4" t="s">
        <v>37</v>
      </c>
      <c r="F19" s="42" t="s">
        <v>10</v>
      </c>
      <c r="G19" s="42" t="s">
        <v>38</v>
      </c>
      <c r="H19" s="4" t="str">
        <f>IFERROR(_xlfn.XLOOKUP(G19,Listas!E:E,Listas!F:F,""),"")</f>
        <v>Operativo</v>
      </c>
      <c r="I19" s="52" t="str">
        <f>IFERROR(_xlfn.XLOOKUP(G19,Listas!E:E,Listas!G:G,""),"")</f>
        <v>Externo</v>
      </c>
      <c r="J19" s="44">
        <v>1020</v>
      </c>
      <c r="K19" s="5">
        <v>-1020</v>
      </c>
      <c r="L19" s="6" t="s">
        <v>93</v>
      </c>
      <c r="M19" s="46">
        <v>8782.25</v>
      </c>
      <c r="N19" s="27" t="str">
        <f>IF(tblMovimientos[[#This Row],[Tipo de Movimiento]]="Ingreso",tblMovimientos[[#This Row],[Monto (S/)]],"0")</f>
        <v>0</v>
      </c>
      <c r="O19" s="27">
        <f>IF(tblMovimientos[[#This Row],[Tipo de Movimiento]]="Egreso",tblMovimientos[[#This Row],[Monto (S/)]],"0")</f>
        <v>1020</v>
      </c>
      <c r="P19" s="29">
        <f>IF(tblMovimientos[[#This Row],[Tipo de Movimiento]]="Ingreso",tblMovimientos[[#This Row],[Ingreso]],-tblMovimientos[[#This Row],[Egreso]])</f>
        <v>-1020</v>
      </c>
    </row>
    <row r="20" spans="2:16" x14ac:dyDescent="0.3">
      <c r="B20" s="40">
        <v>46146</v>
      </c>
      <c r="C20" s="4" t="s">
        <v>21</v>
      </c>
      <c r="D20" s="42" t="s">
        <v>104</v>
      </c>
      <c r="E20" s="4" t="s">
        <v>37</v>
      </c>
      <c r="F20" s="42" t="s">
        <v>9</v>
      </c>
      <c r="G20" s="42" t="s">
        <v>76</v>
      </c>
      <c r="H20" s="4" t="str">
        <f>IFERROR(_xlfn.XLOOKUP(G20,Listas!E:E,Listas!F:F,""),"")</f>
        <v>Financiamiento</v>
      </c>
      <c r="I20" s="52" t="str">
        <f>IFERROR(_xlfn.XLOOKUP(G20,Listas!E:E,Listas!G:G,""),"")</f>
        <v>Externo</v>
      </c>
      <c r="J20" s="44">
        <v>800000</v>
      </c>
      <c r="K20" s="5">
        <v>800000</v>
      </c>
      <c r="L20" s="6" t="s">
        <v>93</v>
      </c>
      <c r="M20" s="46">
        <v>1019857.8199999994</v>
      </c>
      <c r="N20" s="27">
        <f>IF(tblMovimientos[[#This Row],[Tipo de Movimiento]]="Ingreso",tblMovimientos[[#This Row],[Monto (S/)]],"0")</f>
        <v>800000</v>
      </c>
      <c r="O20" s="27" t="str">
        <f>IF(tblMovimientos[[#This Row],[Tipo de Movimiento]]="Egreso",tblMovimientos[[#This Row],[Monto (S/)]],"0")</f>
        <v>0</v>
      </c>
      <c r="P20" s="29">
        <f>IF(tblMovimientos[[#This Row],[Tipo de Movimiento]]="Ingreso",tblMovimientos[[#This Row],[Ingreso]],-tblMovimientos[[#This Row],[Egreso]])</f>
        <v>800000</v>
      </c>
    </row>
    <row r="21" spans="2:16" x14ac:dyDescent="0.3">
      <c r="B21" s="40">
        <v>46146</v>
      </c>
      <c r="C21" s="4" t="s">
        <v>35</v>
      </c>
      <c r="D21" s="42" t="s">
        <v>126</v>
      </c>
      <c r="E21" s="4" t="s">
        <v>37</v>
      </c>
      <c r="F21" s="42" t="s">
        <v>10</v>
      </c>
      <c r="G21" s="42" t="s">
        <v>38</v>
      </c>
      <c r="H21" s="4" t="str">
        <f>IFERROR(_xlfn.XLOOKUP(G21,Listas!E:E,Listas!F:F,""),"")</f>
        <v>Operativo</v>
      </c>
      <c r="I21" s="52" t="str">
        <f>IFERROR(_xlfn.XLOOKUP(G21,Listas!E:E,Listas!G:G,""),"")</f>
        <v>Externo</v>
      </c>
      <c r="J21" s="44">
        <v>3689.01</v>
      </c>
      <c r="K21" s="5">
        <v>-3689.01</v>
      </c>
      <c r="L21" s="6" t="s">
        <v>93</v>
      </c>
      <c r="M21" s="46">
        <v>8782.25</v>
      </c>
      <c r="N21" s="27" t="str">
        <f>IF(tblMovimientos[[#This Row],[Tipo de Movimiento]]="Ingreso",tblMovimientos[[#This Row],[Monto (S/)]],"0")</f>
        <v>0</v>
      </c>
      <c r="O21" s="27">
        <f>IF(tblMovimientos[[#This Row],[Tipo de Movimiento]]="Egreso",tblMovimientos[[#This Row],[Monto (S/)]],"0")</f>
        <v>3689.01</v>
      </c>
      <c r="P21" s="29">
        <f>IF(tblMovimientos[[#This Row],[Tipo de Movimiento]]="Ingreso",tblMovimientos[[#This Row],[Ingreso]],-tblMovimientos[[#This Row],[Egreso]])</f>
        <v>-3689.01</v>
      </c>
    </row>
    <row r="22" spans="2:16" x14ac:dyDescent="0.3">
      <c r="B22" s="40">
        <v>46147</v>
      </c>
      <c r="C22" s="4" t="s">
        <v>21</v>
      </c>
      <c r="D22" s="42" t="s">
        <v>101</v>
      </c>
      <c r="E22" s="4" t="s">
        <v>36</v>
      </c>
      <c r="F22" s="42" t="s">
        <v>10</v>
      </c>
      <c r="G22" s="42" t="s">
        <v>38</v>
      </c>
      <c r="H22" s="4" t="str">
        <f>IFERROR(_xlfn.XLOOKUP(G22,Listas!E:E,Listas!F:F,""),"")</f>
        <v>Operativo</v>
      </c>
      <c r="I22" s="52" t="str">
        <f>IFERROR(_xlfn.XLOOKUP(G22,Listas!E:E,Listas!G:G,""),"")</f>
        <v>Externo</v>
      </c>
      <c r="J22" s="44">
        <v>695.29</v>
      </c>
      <c r="K22" s="5">
        <v>-695.29</v>
      </c>
      <c r="L22" s="6" t="s">
        <v>93</v>
      </c>
      <c r="M22" s="46">
        <v>11683.89</v>
      </c>
      <c r="N22" s="27" t="str">
        <f>IF(tblMovimientos[[#This Row],[Tipo de Movimiento]]="Ingreso",tblMovimientos[[#This Row],[Monto (S/)]],"0")</f>
        <v>0</v>
      </c>
      <c r="O22" s="27">
        <f>IF(tblMovimientos[[#This Row],[Tipo de Movimiento]]="Egreso",tblMovimientos[[#This Row],[Monto (S/)]],"0")</f>
        <v>695.29</v>
      </c>
      <c r="P22" s="29">
        <f>IF(tblMovimientos[[#This Row],[Tipo de Movimiento]]="Ingreso",tblMovimientos[[#This Row],[Ingreso]],-tblMovimientos[[#This Row],[Egreso]])</f>
        <v>-695.29</v>
      </c>
    </row>
    <row r="23" spans="2:16" x14ac:dyDescent="0.3">
      <c r="B23" s="40">
        <v>46147</v>
      </c>
      <c r="C23" s="4" t="s">
        <v>20</v>
      </c>
      <c r="D23" s="42" t="s">
        <v>100</v>
      </c>
      <c r="E23" s="4" t="s">
        <v>36</v>
      </c>
      <c r="F23" s="42" t="s">
        <v>9</v>
      </c>
      <c r="G23" s="42" t="s">
        <v>71</v>
      </c>
      <c r="H23" s="4" t="str">
        <f>IFERROR(_xlfn.XLOOKUP(G23,Listas!E:E,Listas!F:F,""),"")</f>
        <v>Operativo</v>
      </c>
      <c r="I23" s="52" t="str">
        <f>IFERROR(_xlfn.XLOOKUP(G23,Listas!E:E,Listas!G:G,""),"")</f>
        <v>Interno</v>
      </c>
      <c r="J23" s="44">
        <v>700000</v>
      </c>
      <c r="K23" s="5">
        <v>700000</v>
      </c>
      <c r="L23" s="6" t="s">
        <v>93</v>
      </c>
      <c r="M23" s="46">
        <v>989990.29999999993</v>
      </c>
      <c r="N23" s="27">
        <f>IF(tblMovimientos[[#This Row],[Tipo de Movimiento]]="Ingreso",tblMovimientos[[#This Row],[Monto (S/)]],"0")</f>
        <v>700000</v>
      </c>
      <c r="O23" s="27" t="str">
        <f>IF(tblMovimientos[[#This Row],[Tipo de Movimiento]]="Egreso",tblMovimientos[[#This Row],[Monto (S/)]],"0")</f>
        <v>0</v>
      </c>
      <c r="P23" s="29">
        <f>IF(tblMovimientos[[#This Row],[Tipo de Movimiento]]="Ingreso",tblMovimientos[[#This Row],[Ingreso]],-tblMovimientos[[#This Row],[Egreso]])</f>
        <v>700000</v>
      </c>
    </row>
    <row r="24" spans="2:16" x14ac:dyDescent="0.3">
      <c r="B24" s="40">
        <v>46147</v>
      </c>
      <c r="C24" s="4" t="s">
        <v>20</v>
      </c>
      <c r="D24" s="42" t="s">
        <v>100</v>
      </c>
      <c r="E24" s="4" t="s">
        <v>36</v>
      </c>
      <c r="F24" s="42" t="s">
        <v>9</v>
      </c>
      <c r="G24" s="42" t="s">
        <v>70</v>
      </c>
      <c r="H24" s="4" t="str">
        <f>IFERROR(_xlfn.XLOOKUP(G24,Listas!E:E,Listas!F:F,""),"")</f>
        <v>Operativo</v>
      </c>
      <c r="I24" s="52" t="str">
        <f>IFERROR(_xlfn.XLOOKUP(G24,Listas!E:E,Listas!G:G,""),"")</f>
        <v>Externo</v>
      </c>
      <c r="J24" s="44">
        <v>500000</v>
      </c>
      <c r="K24" s="5">
        <v>500000</v>
      </c>
      <c r="L24" s="6" t="s">
        <v>93</v>
      </c>
      <c r="M24" s="46">
        <v>989990.29999999993</v>
      </c>
      <c r="N24" s="27">
        <f>IF(tblMovimientos[[#This Row],[Tipo de Movimiento]]="Ingreso",tblMovimientos[[#This Row],[Monto (S/)]],"0")</f>
        <v>500000</v>
      </c>
      <c r="O24" s="27" t="str">
        <f>IF(tblMovimientos[[#This Row],[Tipo de Movimiento]]="Egreso",tblMovimientos[[#This Row],[Monto (S/)]],"0")</f>
        <v>0</v>
      </c>
      <c r="P24" s="29">
        <f>IF(tblMovimientos[[#This Row],[Tipo de Movimiento]]="Ingreso",tblMovimientos[[#This Row],[Ingreso]],-tblMovimientos[[#This Row],[Egreso]])</f>
        <v>500000</v>
      </c>
    </row>
    <row r="25" spans="2:16" x14ac:dyDescent="0.3">
      <c r="B25" s="41">
        <v>46147</v>
      </c>
      <c r="C25" s="4" t="s">
        <v>20</v>
      </c>
      <c r="D25" s="42" t="s">
        <v>100</v>
      </c>
      <c r="E25" s="4" t="s">
        <v>36</v>
      </c>
      <c r="F25" s="43" t="s">
        <v>10</v>
      </c>
      <c r="G25" s="42" t="s">
        <v>59</v>
      </c>
      <c r="H25" s="4" t="str">
        <f>IFERROR(_xlfn.XLOOKUP(G25,Listas!E:E,Listas!F:F,""),"")</f>
        <v>Inversion</v>
      </c>
      <c r="I25" s="52" t="str">
        <f>IFERROR(_xlfn.XLOOKUP(G25,Listas!E:E,Listas!G:G,""),"")</f>
        <v>Externo</v>
      </c>
      <c r="J25" s="45">
        <v>800000</v>
      </c>
      <c r="K25" s="5">
        <v>-800000</v>
      </c>
      <c r="L25" s="6" t="s">
        <v>93</v>
      </c>
      <c r="M25" s="46">
        <v>989990.29999999993</v>
      </c>
      <c r="N25" s="27" t="str">
        <f>IF(tblMovimientos[[#This Row],[Tipo de Movimiento]]="Ingreso",tblMovimientos[[#This Row],[Monto (S/)]],"0")</f>
        <v>0</v>
      </c>
      <c r="O25" s="27">
        <f>IF(tblMovimientos[[#This Row],[Tipo de Movimiento]]="Egreso",tblMovimientos[[#This Row],[Monto (S/)]],"0")</f>
        <v>800000</v>
      </c>
      <c r="P25" s="29">
        <f>IF(tblMovimientos[[#This Row],[Tipo de Movimiento]]="Ingreso",tblMovimientos[[#This Row],[Ingreso]],-tblMovimientos[[#This Row],[Egreso]])</f>
        <v>-800000</v>
      </c>
    </row>
    <row r="26" spans="2:16" x14ac:dyDescent="0.3">
      <c r="B26" s="41">
        <v>46147</v>
      </c>
      <c r="C26" s="4" t="s">
        <v>17</v>
      </c>
      <c r="D26" s="42" t="s">
        <v>94</v>
      </c>
      <c r="E26" s="4" t="s">
        <v>36</v>
      </c>
      <c r="F26" s="43" t="s">
        <v>10</v>
      </c>
      <c r="G26" s="42" t="s">
        <v>64</v>
      </c>
      <c r="H26" s="4" t="str">
        <f>IFERROR(_xlfn.XLOOKUP(G26,Listas!E:E,Listas!F:F,""),"")</f>
        <v>Operativo</v>
      </c>
      <c r="I26" s="52" t="str">
        <f>IFERROR(_xlfn.XLOOKUP(G26,Listas!E:E,Listas!G:G,""),"")</f>
        <v>Interno</v>
      </c>
      <c r="J26" s="45">
        <v>110000</v>
      </c>
      <c r="K26" s="5">
        <v>-110000</v>
      </c>
      <c r="L26" s="6" t="s">
        <v>93</v>
      </c>
      <c r="M26" s="46">
        <v>22689.049999999988</v>
      </c>
      <c r="N26" s="27" t="str">
        <f>IF(tblMovimientos[[#This Row],[Tipo de Movimiento]]="Ingreso",tblMovimientos[[#This Row],[Monto (S/)]],"0")</f>
        <v>0</v>
      </c>
      <c r="O26" s="27">
        <f>IF(tblMovimientos[[#This Row],[Tipo de Movimiento]]="Egreso",tblMovimientos[[#This Row],[Monto (S/)]],"0")</f>
        <v>110000</v>
      </c>
      <c r="P26" s="29">
        <f>IF(tblMovimientos[[#This Row],[Tipo de Movimiento]]="Ingreso",tblMovimientos[[#This Row],[Ingreso]],-tblMovimientos[[#This Row],[Egreso]])</f>
        <v>-110000</v>
      </c>
    </row>
    <row r="27" spans="2:16" x14ac:dyDescent="0.3">
      <c r="B27" s="41">
        <v>46147</v>
      </c>
      <c r="C27" s="4" t="s">
        <v>17</v>
      </c>
      <c r="D27" s="42" t="s">
        <v>95</v>
      </c>
      <c r="E27" s="4" t="s">
        <v>37</v>
      </c>
      <c r="F27" s="43" t="s">
        <v>9</v>
      </c>
      <c r="G27" s="42" t="s">
        <v>85</v>
      </c>
      <c r="H27" s="4" t="str">
        <f>IFERROR(_xlfn.XLOOKUP(G27,Listas!E:E,Listas!F:F,""),"")</f>
        <v>Operativo</v>
      </c>
      <c r="I27" s="52" t="str">
        <f>IFERROR(_xlfn.XLOOKUP(G27,Listas!E:E,Listas!G:G,""),"")</f>
        <v>Interno</v>
      </c>
      <c r="J27" s="45">
        <v>110000</v>
      </c>
      <c r="K27" s="5">
        <v>110000</v>
      </c>
      <c r="L27" s="6" t="s">
        <v>93</v>
      </c>
      <c r="M27" s="46">
        <v>169799.53000000026</v>
      </c>
      <c r="N27" s="27">
        <f>IF(tblMovimientos[[#This Row],[Tipo de Movimiento]]="Ingreso",tblMovimientos[[#This Row],[Monto (S/)]],"0")</f>
        <v>110000</v>
      </c>
      <c r="O27" s="27" t="str">
        <f>IF(tblMovimientos[[#This Row],[Tipo de Movimiento]]="Egreso",tblMovimientos[[#This Row],[Monto (S/)]],"0")</f>
        <v>0</v>
      </c>
      <c r="P27" s="29">
        <f>IF(tblMovimientos[[#This Row],[Tipo de Movimiento]]="Ingreso",tblMovimientos[[#This Row],[Ingreso]],-tblMovimientos[[#This Row],[Egreso]])</f>
        <v>110000</v>
      </c>
    </row>
    <row r="28" spans="2:16" x14ac:dyDescent="0.3">
      <c r="B28" s="41">
        <v>46147</v>
      </c>
      <c r="C28" s="4" t="s">
        <v>17</v>
      </c>
      <c r="D28" s="42" t="s">
        <v>95</v>
      </c>
      <c r="E28" s="4" t="s">
        <v>37</v>
      </c>
      <c r="F28" s="43" t="s">
        <v>10</v>
      </c>
      <c r="G28" s="42" t="s">
        <v>62</v>
      </c>
      <c r="H28" s="4" t="str">
        <f>IFERROR(_xlfn.XLOOKUP(G28,Listas!E:E,Listas!F:F,""),"")</f>
        <v>Operativo</v>
      </c>
      <c r="I28" s="52" t="str">
        <f>IFERROR(_xlfn.XLOOKUP(G28,Listas!E:E,Listas!G:G,""),"")</f>
        <v>Interno</v>
      </c>
      <c r="J28" s="45">
        <v>3000</v>
      </c>
      <c r="K28" s="5">
        <v>-3000</v>
      </c>
      <c r="L28" s="6" t="s">
        <v>93</v>
      </c>
      <c r="M28" s="46">
        <v>169799.53000000026</v>
      </c>
      <c r="N28" s="27" t="str">
        <f>IF(tblMovimientos[[#This Row],[Tipo de Movimiento]]="Ingreso",tblMovimientos[[#This Row],[Monto (S/)]],"0")</f>
        <v>0</v>
      </c>
      <c r="O28" s="27">
        <f>IF(tblMovimientos[[#This Row],[Tipo de Movimiento]]="Egreso",tblMovimientos[[#This Row],[Monto (S/)]],"0")</f>
        <v>3000</v>
      </c>
      <c r="P28" s="29">
        <f>IF(tblMovimientos[[#This Row],[Tipo de Movimiento]]="Ingreso",tblMovimientos[[#This Row],[Ingreso]],-tblMovimientos[[#This Row],[Egreso]])</f>
        <v>-3000</v>
      </c>
    </row>
    <row r="29" spans="2:16" x14ac:dyDescent="0.3">
      <c r="B29" s="41">
        <v>46147</v>
      </c>
      <c r="C29" s="4" t="s">
        <v>22</v>
      </c>
      <c r="D29" s="42" t="s">
        <v>111</v>
      </c>
      <c r="E29" s="4" t="s">
        <v>37</v>
      </c>
      <c r="F29" s="43" t="s">
        <v>10</v>
      </c>
      <c r="G29" s="42" t="s">
        <v>65</v>
      </c>
      <c r="H29" s="4" t="str">
        <f>IFERROR(_xlfn.XLOOKUP(G29,Listas!E:E,Listas!F:F,""),"")</f>
        <v>Operativo</v>
      </c>
      <c r="I29" s="52" t="str">
        <f>IFERROR(_xlfn.XLOOKUP(G29,Listas!E:E,Listas!G:G,""),"")</f>
        <v>Externo</v>
      </c>
      <c r="J29" s="45">
        <v>15000</v>
      </c>
      <c r="K29" s="5">
        <v>-15000</v>
      </c>
      <c r="L29" s="6" t="s">
        <v>93</v>
      </c>
      <c r="M29" s="46">
        <v>50717.600000000006</v>
      </c>
      <c r="N29" s="27" t="str">
        <f>IF(tblMovimientos[[#This Row],[Tipo de Movimiento]]="Ingreso",tblMovimientos[[#This Row],[Monto (S/)]],"0")</f>
        <v>0</v>
      </c>
      <c r="O29" s="27">
        <f>IF(tblMovimientos[[#This Row],[Tipo de Movimiento]]="Egreso",tblMovimientos[[#This Row],[Monto (S/)]],"0")</f>
        <v>15000</v>
      </c>
      <c r="P29" s="29">
        <f>IF(tblMovimientos[[#This Row],[Tipo de Movimiento]]="Ingreso",tblMovimientos[[#This Row],[Ingreso]],-tblMovimientos[[#This Row],[Egreso]])</f>
        <v>-15000</v>
      </c>
    </row>
    <row r="30" spans="2:16" x14ac:dyDescent="0.3">
      <c r="B30" s="41">
        <v>46147</v>
      </c>
      <c r="C30" s="4" t="s">
        <v>21</v>
      </c>
      <c r="D30" s="42" t="s">
        <v>104</v>
      </c>
      <c r="E30" s="4" t="s">
        <v>37</v>
      </c>
      <c r="F30" s="43" t="s">
        <v>10</v>
      </c>
      <c r="G30" s="42" t="s">
        <v>38</v>
      </c>
      <c r="H30" s="4" t="str">
        <f>IFERROR(_xlfn.XLOOKUP(G30,Listas!E:E,Listas!F:F,""),"")</f>
        <v>Operativo</v>
      </c>
      <c r="I30" s="52" t="str">
        <f>IFERROR(_xlfn.XLOOKUP(G30,Listas!E:E,Listas!G:G,""),"")</f>
        <v>Externo</v>
      </c>
      <c r="J30" s="45">
        <v>800</v>
      </c>
      <c r="K30" s="5">
        <v>-800</v>
      </c>
      <c r="L30" s="6" t="s">
        <v>93</v>
      </c>
      <c r="M30" s="46">
        <v>319057.81999999937</v>
      </c>
      <c r="N30" s="27" t="str">
        <f>IF(tblMovimientos[[#This Row],[Tipo de Movimiento]]="Ingreso",tblMovimientos[[#This Row],[Monto (S/)]],"0")</f>
        <v>0</v>
      </c>
      <c r="O30" s="27">
        <f>IF(tblMovimientos[[#This Row],[Tipo de Movimiento]]="Egreso",tblMovimientos[[#This Row],[Monto (S/)]],"0")</f>
        <v>800</v>
      </c>
      <c r="P30" s="29">
        <f>IF(tblMovimientos[[#This Row],[Tipo de Movimiento]]="Ingreso",tblMovimientos[[#This Row],[Ingreso]],-tblMovimientos[[#This Row],[Egreso]])</f>
        <v>-800</v>
      </c>
    </row>
    <row r="31" spans="2:16" x14ac:dyDescent="0.3">
      <c r="B31" s="41">
        <v>46147</v>
      </c>
      <c r="C31" s="4" t="s">
        <v>21</v>
      </c>
      <c r="D31" s="42" t="s">
        <v>104</v>
      </c>
      <c r="E31" s="4" t="s">
        <v>37</v>
      </c>
      <c r="F31" s="43" t="s">
        <v>10</v>
      </c>
      <c r="G31" s="42" t="s">
        <v>50</v>
      </c>
      <c r="H31" s="4" t="str">
        <f>IFERROR(_xlfn.XLOOKUP(G31,Listas!E:E,Listas!F:F,""),"")</f>
        <v>Financiamiento</v>
      </c>
      <c r="I31" s="52" t="str">
        <f>IFERROR(_xlfn.XLOOKUP(G31,Listas!E:E,Listas!G:G,""),"")</f>
        <v>Externo</v>
      </c>
      <c r="J31" s="45">
        <v>700000</v>
      </c>
      <c r="K31" s="5">
        <v>-700000</v>
      </c>
      <c r="L31" s="6" t="s">
        <v>93</v>
      </c>
      <c r="M31" s="46">
        <v>319057.81999999937</v>
      </c>
      <c r="N31" s="27" t="str">
        <f>IF(tblMovimientos[[#This Row],[Tipo de Movimiento]]="Ingreso",tblMovimientos[[#This Row],[Monto (S/)]],"0")</f>
        <v>0</v>
      </c>
      <c r="O31" s="27">
        <f>IF(tblMovimientos[[#This Row],[Tipo de Movimiento]]="Egreso",tblMovimientos[[#This Row],[Monto (S/)]],"0")</f>
        <v>700000</v>
      </c>
      <c r="P31" s="29">
        <f>IF(tblMovimientos[[#This Row],[Tipo de Movimiento]]="Ingreso",tblMovimientos[[#This Row],[Ingreso]],-tblMovimientos[[#This Row],[Egreso]])</f>
        <v>-700000</v>
      </c>
    </row>
    <row r="32" spans="2:16" x14ac:dyDescent="0.3">
      <c r="B32" s="41">
        <v>46147</v>
      </c>
      <c r="C32" s="4" t="s">
        <v>23</v>
      </c>
      <c r="D32" s="42" t="s">
        <v>112</v>
      </c>
      <c r="E32" s="4" t="s">
        <v>36</v>
      </c>
      <c r="F32" s="43" t="s">
        <v>9</v>
      </c>
      <c r="G32" s="42" t="s">
        <v>76</v>
      </c>
      <c r="H32" s="4" t="str">
        <f>IFERROR(_xlfn.XLOOKUP(G32,Listas!E:E,Listas!F:F,""),"")</f>
        <v>Financiamiento</v>
      </c>
      <c r="I32" s="52" t="str">
        <f>IFERROR(_xlfn.XLOOKUP(G32,Listas!E:E,Listas!G:G,""),"")</f>
        <v>Externo</v>
      </c>
      <c r="J32" s="45">
        <v>800000</v>
      </c>
      <c r="K32" s="5">
        <v>800000</v>
      </c>
      <c r="L32" s="6" t="s">
        <v>93</v>
      </c>
      <c r="M32" s="46">
        <v>813088.59</v>
      </c>
      <c r="N32" s="27">
        <f>IF(tblMovimientos[[#This Row],[Tipo de Movimiento]]="Ingreso",tblMovimientos[[#This Row],[Monto (S/)]],"0")</f>
        <v>800000</v>
      </c>
      <c r="O32" s="27" t="str">
        <f>IF(tblMovimientos[[#This Row],[Tipo de Movimiento]]="Egreso",tblMovimientos[[#This Row],[Monto (S/)]],"0")</f>
        <v>0</v>
      </c>
      <c r="P32" s="29">
        <f>IF(tblMovimientos[[#This Row],[Tipo de Movimiento]]="Ingreso",tblMovimientos[[#This Row],[Ingreso]],-tblMovimientos[[#This Row],[Egreso]])</f>
        <v>800000</v>
      </c>
    </row>
    <row r="33" spans="2:16" x14ac:dyDescent="0.3">
      <c r="B33" s="41">
        <v>46147</v>
      </c>
      <c r="C33" s="4" t="s">
        <v>24</v>
      </c>
      <c r="D33" s="42" t="s">
        <v>113</v>
      </c>
      <c r="E33" s="4" t="s">
        <v>154</v>
      </c>
      <c r="F33" s="43" t="s">
        <v>9</v>
      </c>
      <c r="G33" s="42" t="s">
        <v>75</v>
      </c>
      <c r="H33" s="4" t="str">
        <f>IFERROR(_xlfn.XLOOKUP(G33,Listas!E:E,Listas!F:F,""),"")</f>
        <v>Financiamiento</v>
      </c>
      <c r="I33" s="52" t="str">
        <f>IFERROR(_xlfn.XLOOKUP(G33,Listas!E:E,Listas!G:G,""),"")</f>
        <v>Interno</v>
      </c>
      <c r="J33" s="45">
        <v>3000</v>
      </c>
      <c r="K33" s="5">
        <v>3000</v>
      </c>
      <c r="L33" s="6" t="s">
        <v>93</v>
      </c>
      <c r="M33" s="46">
        <v>3768.83</v>
      </c>
      <c r="N33" s="27">
        <f>IF(tblMovimientos[[#This Row],[Tipo de Movimiento]]="Ingreso",tblMovimientos[[#This Row],[Monto (S/)]],"0")</f>
        <v>3000</v>
      </c>
      <c r="O33" s="27" t="str">
        <f>IF(tblMovimientos[[#This Row],[Tipo de Movimiento]]="Egreso",tblMovimientos[[#This Row],[Monto (S/)]],"0")</f>
        <v>0</v>
      </c>
      <c r="P33" s="29">
        <f>IF(tblMovimientos[[#This Row],[Tipo de Movimiento]]="Ingreso",tblMovimientos[[#This Row],[Ingreso]],-tblMovimientos[[#This Row],[Egreso]])</f>
        <v>3000</v>
      </c>
    </row>
    <row r="34" spans="2:16" x14ac:dyDescent="0.3">
      <c r="B34" s="41">
        <v>46147</v>
      </c>
      <c r="C34" s="4" t="s">
        <v>24</v>
      </c>
      <c r="D34" s="42" t="s">
        <v>113</v>
      </c>
      <c r="E34" s="4" t="s">
        <v>154</v>
      </c>
      <c r="F34" s="43" t="s">
        <v>10</v>
      </c>
      <c r="G34" s="42" t="s">
        <v>38</v>
      </c>
      <c r="H34" s="4" t="str">
        <f>IFERROR(_xlfn.XLOOKUP(G34,Listas!E:E,Listas!F:F,""),"")</f>
        <v>Operativo</v>
      </c>
      <c r="I34" s="52" t="str">
        <f>IFERROR(_xlfn.XLOOKUP(G34,Listas!E:E,Listas!G:G,""),"")</f>
        <v>Externo</v>
      </c>
      <c r="J34" s="45">
        <v>40</v>
      </c>
      <c r="K34" s="5">
        <v>-40</v>
      </c>
      <c r="L34" s="6" t="s">
        <v>93</v>
      </c>
      <c r="M34" s="46">
        <v>3768.83</v>
      </c>
      <c r="N34" s="27" t="str">
        <f>IF(tblMovimientos[[#This Row],[Tipo de Movimiento]]="Ingreso",tblMovimientos[[#This Row],[Monto (S/)]],"0")</f>
        <v>0</v>
      </c>
      <c r="O34" s="27">
        <f>IF(tblMovimientos[[#This Row],[Tipo de Movimiento]]="Egreso",tblMovimientos[[#This Row],[Monto (S/)]],"0")</f>
        <v>40</v>
      </c>
      <c r="P34" s="29">
        <f>IF(tblMovimientos[[#This Row],[Tipo de Movimiento]]="Ingreso",tblMovimientos[[#This Row],[Ingreso]],-tblMovimientos[[#This Row],[Egreso]])</f>
        <v>-40</v>
      </c>
    </row>
    <row r="35" spans="2:16" x14ac:dyDescent="0.3">
      <c r="B35" s="41">
        <v>46148</v>
      </c>
      <c r="C35" s="4" t="s">
        <v>21</v>
      </c>
      <c r="D35" s="42" t="s">
        <v>101</v>
      </c>
      <c r="E35" s="4" t="s">
        <v>36</v>
      </c>
      <c r="F35" s="43" t="s">
        <v>10</v>
      </c>
      <c r="G35" s="42" t="s">
        <v>41</v>
      </c>
      <c r="H35" s="4" t="str">
        <f>IFERROR(_xlfn.XLOOKUP(G35,Listas!E:E,Listas!F:F,""),"")</f>
        <v>Operativo</v>
      </c>
      <c r="I35" s="52" t="str">
        <f>IFERROR(_xlfn.XLOOKUP(G35,Listas!E:E,Listas!G:G,""),"")</f>
        <v>Externo</v>
      </c>
      <c r="J35" s="45">
        <v>7679.78</v>
      </c>
      <c r="K35" s="5">
        <v>-7679.78</v>
      </c>
      <c r="L35" s="6" t="s">
        <v>93</v>
      </c>
      <c r="M35" s="46">
        <v>4004.1100000000006</v>
      </c>
      <c r="N35" s="27" t="str">
        <f>IF(tblMovimientos[[#This Row],[Tipo de Movimiento]]="Ingreso",tblMovimientos[[#This Row],[Monto (S/)]],"0")</f>
        <v>0</v>
      </c>
      <c r="O35" s="27">
        <f>IF(tblMovimientos[[#This Row],[Tipo de Movimiento]]="Egreso",tblMovimientos[[#This Row],[Monto (S/)]],"0")</f>
        <v>7679.78</v>
      </c>
      <c r="P35" s="29">
        <f>IF(tblMovimientos[[#This Row],[Tipo de Movimiento]]="Ingreso",tblMovimientos[[#This Row],[Ingreso]],-tblMovimientos[[#This Row],[Egreso]])</f>
        <v>-7679.78</v>
      </c>
    </row>
    <row r="36" spans="2:16" x14ac:dyDescent="0.3">
      <c r="B36" s="41">
        <v>46148</v>
      </c>
      <c r="C36" s="4" t="s">
        <v>32</v>
      </c>
      <c r="D36" s="42" t="s">
        <v>123</v>
      </c>
      <c r="E36" s="4" t="s">
        <v>36</v>
      </c>
      <c r="F36" s="43" t="s">
        <v>10</v>
      </c>
      <c r="G36" s="42" t="s">
        <v>38</v>
      </c>
      <c r="H36" s="4" t="str">
        <f>IFERROR(_xlfn.XLOOKUP(G36,Listas!E:E,Listas!F:F,""),"")</f>
        <v>Operativo</v>
      </c>
      <c r="I36" s="52" t="str">
        <f>IFERROR(_xlfn.XLOOKUP(G36,Listas!E:E,Listas!G:G,""),"")</f>
        <v>Externo</v>
      </c>
      <c r="J36" s="45">
        <v>1718.85</v>
      </c>
      <c r="K36" s="5">
        <v>-1718.85</v>
      </c>
      <c r="L36" s="6" t="s">
        <v>93</v>
      </c>
      <c r="M36" s="46">
        <v>5135.0600000000013</v>
      </c>
      <c r="N36" s="27" t="str">
        <f>IF(tblMovimientos[[#This Row],[Tipo de Movimiento]]="Ingreso",tblMovimientos[[#This Row],[Monto (S/)]],"0")</f>
        <v>0</v>
      </c>
      <c r="O36" s="27">
        <f>IF(tblMovimientos[[#This Row],[Tipo de Movimiento]]="Egreso",tblMovimientos[[#This Row],[Monto (S/)]],"0")</f>
        <v>1718.85</v>
      </c>
      <c r="P36" s="29">
        <f>IF(tblMovimientos[[#This Row],[Tipo de Movimiento]]="Ingreso",tblMovimientos[[#This Row],[Ingreso]],-tblMovimientos[[#This Row],[Egreso]])</f>
        <v>-1718.85</v>
      </c>
    </row>
    <row r="37" spans="2:16" x14ac:dyDescent="0.3">
      <c r="B37" s="41">
        <v>46148</v>
      </c>
      <c r="C37" s="4" t="s">
        <v>18</v>
      </c>
      <c r="D37" s="42" t="s">
        <v>97</v>
      </c>
      <c r="E37" s="4" t="s">
        <v>37</v>
      </c>
      <c r="F37" s="43" t="s">
        <v>9</v>
      </c>
      <c r="G37" s="42" t="s">
        <v>70</v>
      </c>
      <c r="H37" s="4" t="str">
        <f>IFERROR(_xlfn.XLOOKUP(G37,Listas!E:E,Listas!F:F,""),"")</f>
        <v>Operativo</v>
      </c>
      <c r="I37" s="52" t="str">
        <f>IFERROR(_xlfn.XLOOKUP(G37,Listas!E:E,Listas!G:G,""),"")</f>
        <v>Externo</v>
      </c>
      <c r="J37" s="45">
        <v>575000</v>
      </c>
      <c r="K37" s="5">
        <v>575000</v>
      </c>
      <c r="L37" s="6" t="s">
        <v>93</v>
      </c>
      <c r="M37" s="46">
        <v>621288.02999999991</v>
      </c>
      <c r="N37" s="27">
        <f>IF(tblMovimientos[[#This Row],[Tipo de Movimiento]]="Ingreso",tblMovimientos[[#This Row],[Monto (S/)]],"0")</f>
        <v>575000</v>
      </c>
      <c r="O37" s="27" t="str">
        <f>IF(tblMovimientos[[#This Row],[Tipo de Movimiento]]="Egreso",tblMovimientos[[#This Row],[Monto (S/)]],"0")</f>
        <v>0</v>
      </c>
      <c r="P37" s="29">
        <f>IF(tblMovimientos[[#This Row],[Tipo de Movimiento]]="Ingreso",tblMovimientos[[#This Row],[Ingreso]],-tblMovimientos[[#This Row],[Egreso]])</f>
        <v>575000</v>
      </c>
    </row>
    <row r="38" spans="2:16" x14ac:dyDescent="0.3">
      <c r="B38" s="41">
        <v>46148</v>
      </c>
      <c r="C38" s="4" t="s">
        <v>21</v>
      </c>
      <c r="D38" s="42" t="s">
        <v>104</v>
      </c>
      <c r="E38" s="4" t="s">
        <v>37</v>
      </c>
      <c r="F38" s="43" t="s">
        <v>10</v>
      </c>
      <c r="G38" s="42" t="s">
        <v>60</v>
      </c>
      <c r="H38" s="4" t="str">
        <f>IFERROR(_xlfn.XLOOKUP(G38,Listas!E:E,Listas!F:F,""),"")</f>
        <v>Inversion</v>
      </c>
      <c r="I38" s="52" t="str">
        <f>IFERROR(_xlfn.XLOOKUP(G38,Listas!E:E,Listas!G:G,""),"")</f>
        <v>Interno</v>
      </c>
      <c r="J38" s="45">
        <v>120000</v>
      </c>
      <c r="K38" s="5">
        <v>-120000</v>
      </c>
      <c r="L38" s="6" t="s">
        <v>93</v>
      </c>
      <c r="M38" s="46">
        <v>199057.81999999937</v>
      </c>
      <c r="N38" s="27" t="str">
        <f>IF(tblMovimientos[[#This Row],[Tipo de Movimiento]]="Ingreso",tblMovimientos[[#This Row],[Monto (S/)]],"0")</f>
        <v>0</v>
      </c>
      <c r="O38" s="27">
        <f>IF(tblMovimientos[[#This Row],[Tipo de Movimiento]]="Egreso",tblMovimientos[[#This Row],[Monto (S/)]],"0")</f>
        <v>120000</v>
      </c>
      <c r="P38" s="29">
        <f>IF(tblMovimientos[[#This Row],[Tipo de Movimiento]]="Ingreso",tblMovimientos[[#This Row],[Ingreso]],-tblMovimientos[[#This Row],[Egreso]])</f>
        <v>-120000</v>
      </c>
    </row>
    <row r="39" spans="2:16" x14ac:dyDescent="0.3">
      <c r="B39" s="41">
        <v>46149</v>
      </c>
      <c r="C39" s="4" t="s">
        <v>21</v>
      </c>
      <c r="D39" s="42" t="s">
        <v>104</v>
      </c>
      <c r="E39" s="4" t="s">
        <v>37</v>
      </c>
      <c r="F39" s="43" t="s">
        <v>10</v>
      </c>
      <c r="G39" s="42" t="s">
        <v>56</v>
      </c>
      <c r="H39" s="4" t="str">
        <f>IFERROR(_xlfn.XLOOKUP(G39,Listas!E:E,Listas!F:F,""),"")</f>
        <v>Inversion</v>
      </c>
      <c r="I39" s="52" t="str">
        <f>IFERROR(_xlfn.XLOOKUP(G39,Listas!E:E,Listas!G:G,""),"")</f>
        <v>Externo</v>
      </c>
      <c r="J39" s="45">
        <v>374.25</v>
      </c>
      <c r="K39" s="5">
        <v>-374.25</v>
      </c>
      <c r="L39" s="6" t="s">
        <v>93</v>
      </c>
      <c r="M39" s="46">
        <v>148736.90999999936</v>
      </c>
      <c r="N39" s="27" t="str">
        <f>IF(tblMovimientos[[#This Row],[Tipo de Movimiento]]="Ingreso",tblMovimientos[[#This Row],[Monto (S/)]],"0")</f>
        <v>0</v>
      </c>
      <c r="O39" s="27">
        <f>IF(tblMovimientos[[#This Row],[Tipo de Movimiento]]="Egreso",tblMovimientos[[#This Row],[Monto (S/)]],"0")</f>
        <v>374.25</v>
      </c>
      <c r="P39" s="29">
        <f>IF(tblMovimientos[[#This Row],[Tipo de Movimiento]]="Ingreso",tblMovimientos[[#This Row],[Ingreso]],-tblMovimientos[[#This Row],[Egreso]])</f>
        <v>-374.25</v>
      </c>
    </row>
    <row r="40" spans="2:16" x14ac:dyDescent="0.3">
      <c r="B40" s="41">
        <v>46149</v>
      </c>
      <c r="C40" s="4" t="s">
        <v>21</v>
      </c>
      <c r="D40" s="42" t="s">
        <v>101</v>
      </c>
      <c r="E40" s="4" t="s">
        <v>36</v>
      </c>
      <c r="F40" s="43" t="s">
        <v>9</v>
      </c>
      <c r="G40" s="42" t="s">
        <v>73</v>
      </c>
      <c r="H40" s="4" t="str">
        <f>IFERROR(_xlfn.XLOOKUP(G40,Listas!E:E,Listas!F:F,""),"")</f>
        <v>Operativo</v>
      </c>
      <c r="I40" s="52" t="str">
        <f>IFERROR(_xlfn.XLOOKUP(G40,Listas!E:E,Listas!G:G,""),"")</f>
        <v>Interno</v>
      </c>
      <c r="J40" s="45">
        <v>15321.74</v>
      </c>
      <c r="K40" s="5">
        <v>15321.74</v>
      </c>
      <c r="L40" s="6" t="s">
        <v>93</v>
      </c>
      <c r="M40" s="46">
        <v>19325.849999999999</v>
      </c>
      <c r="N40" s="27">
        <f>IF(tblMovimientos[[#This Row],[Tipo de Movimiento]]="Ingreso",tblMovimientos[[#This Row],[Monto (S/)]],"0")</f>
        <v>15321.74</v>
      </c>
      <c r="O40" s="27" t="str">
        <f>IF(tblMovimientos[[#This Row],[Tipo de Movimiento]]="Egreso",tblMovimientos[[#This Row],[Monto (S/)]],"0")</f>
        <v>0</v>
      </c>
      <c r="P40" s="29">
        <f>IF(tblMovimientos[[#This Row],[Tipo de Movimiento]]="Ingreso",tblMovimientos[[#This Row],[Ingreso]],-tblMovimientos[[#This Row],[Egreso]])</f>
        <v>15321.74</v>
      </c>
    </row>
    <row r="41" spans="2:16" x14ac:dyDescent="0.3">
      <c r="B41" s="41">
        <v>46149</v>
      </c>
      <c r="C41" s="4" t="s">
        <v>20</v>
      </c>
      <c r="D41" s="42" t="s">
        <v>100</v>
      </c>
      <c r="E41" s="4" t="s">
        <v>36</v>
      </c>
      <c r="F41" s="43" t="s">
        <v>10</v>
      </c>
      <c r="G41" s="42" t="s">
        <v>51</v>
      </c>
      <c r="H41" s="4" t="str">
        <f>IFERROR(_xlfn.XLOOKUP(G41,Listas!E:E,Listas!F:F,""),"")</f>
        <v>Financiamiento</v>
      </c>
      <c r="I41" s="52" t="str">
        <f>IFERROR(_xlfn.XLOOKUP(G41,Listas!E:E,Listas!G:G,""),"")</f>
        <v>Externo</v>
      </c>
      <c r="J41" s="45">
        <v>15321.74</v>
      </c>
      <c r="K41" s="5">
        <v>-15321.74</v>
      </c>
      <c r="L41" s="6" t="s">
        <v>93</v>
      </c>
      <c r="M41" s="46">
        <v>274668.55999999994</v>
      </c>
      <c r="N41" s="27" t="str">
        <f>IF(tblMovimientos[[#This Row],[Tipo de Movimiento]]="Ingreso",tblMovimientos[[#This Row],[Monto (S/)]],"0")</f>
        <v>0</v>
      </c>
      <c r="O41" s="27">
        <f>IF(tblMovimientos[[#This Row],[Tipo de Movimiento]]="Egreso",tblMovimientos[[#This Row],[Monto (S/)]],"0")</f>
        <v>15321.74</v>
      </c>
      <c r="P41" s="29">
        <f>IF(tblMovimientos[[#This Row],[Tipo de Movimiento]]="Ingreso",tblMovimientos[[#This Row],[Ingreso]],-tblMovimientos[[#This Row],[Egreso]])</f>
        <v>-15321.74</v>
      </c>
    </row>
    <row r="42" spans="2:16" x14ac:dyDescent="0.3">
      <c r="B42" s="41">
        <v>46149</v>
      </c>
      <c r="C42" s="4" t="s">
        <v>20</v>
      </c>
      <c r="D42" s="42" t="s">
        <v>100</v>
      </c>
      <c r="E42" s="4" t="s">
        <v>36</v>
      </c>
      <c r="F42" s="43" t="s">
        <v>10</v>
      </c>
      <c r="G42" s="42" t="s">
        <v>59</v>
      </c>
      <c r="H42" s="4" t="str">
        <f>IFERROR(_xlfn.XLOOKUP(G42,Listas!E:E,Listas!F:F,""),"")</f>
        <v>Inversion</v>
      </c>
      <c r="I42" s="52" t="str">
        <f>IFERROR(_xlfn.XLOOKUP(G42,Listas!E:E,Listas!G:G,""),"")</f>
        <v>Externo</v>
      </c>
      <c r="J42" s="45">
        <v>700000</v>
      </c>
      <c r="K42" s="5">
        <v>-700000</v>
      </c>
      <c r="L42" s="6" t="s">
        <v>93</v>
      </c>
      <c r="M42" s="46">
        <v>274668.55999999994</v>
      </c>
      <c r="N42" s="27" t="str">
        <f>IF(tblMovimientos[[#This Row],[Tipo de Movimiento]]="Ingreso",tblMovimientos[[#This Row],[Monto (S/)]],"0")</f>
        <v>0</v>
      </c>
      <c r="O42" s="27">
        <f>IF(tblMovimientos[[#This Row],[Tipo de Movimiento]]="Egreso",tblMovimientos[[#This Row],[Monto (S/)]],"0")</f>
        <v>700000</v>
      </c>
      <c r="P42" s="29">
        <f>IF(tblMovimientos[[#This Row],[Tipo de Movimiento]]="Ingreso",tblMovimientos[[#This Row],[Ingreso]],-tblMovimientos[[#This Row],[Egreso]])</f>
        <v>-700000</v>
      </c>
    </row>
    <row r="43" spans="2:16" x14ac:dyDescent="0.3">
      <c r="B43" s="41">
        <v>46149</v>
      </c>
      <c r="C43" s="4" t="s">
        <v>17</v>
      </c>
      <c r="D43" s="42" t="s">
        <v>94</v>
      </c>
      <c r="E43" s="4" t="s">
        <v>36</v>
      </c>
      <c r="F43" s="43" t="s">
        <v>10</v>
      </c>
      <c r="G43" s="42" t="s">
        <v>50</v>
      </c>
      <c r="H43" s="4" t="str">
        <f>IFERROR(_xlfn.XLOOKUP(G43,Listas!E:E,Listas!F:F,""),"")</f>
        <v>Financiamiento</v>
      </c>
      <c r="I43" s="52" t="str">
        <f>IFERROR(_xlfn.XLOOKUP(G43,Listas!E:E,Listas!G:G,""),"")</f>
        <v>Externo</v>
      </c>
      <c r="J43" s="45">
        <v>10000</v>
      </c>
      <c r="K43" s="5">
        <v>-10000</v>
      </c>
      <c r="L43" s="6" t="s">
        <v>93</v>
      </c>
      <c r="M43" s="46">
        <v>2689.0499999999884</v>
      </c>
      <c r="N43" s="27" t="str">
        <f>IF(tblMovimientos[[#This Row],[Tipo de Movimiento]]="Ingreso",tblMovimientos[[#This Row],[Monto (S/)]],"0")</f>
        <v>0</v>
      </c>
      <c r="O43" s="27">
        <f>IF(tblMovimientos[[#This Row],[Tipo de Movimiento]]="Egreso",tblMovimientos[[#This Row],[Monto (S/)]],"0")</f>
        <v>10000</v>
      </c>
      <c r="P43" s="29">
        <f>IF(tblMovimientos[[#This Row],[Tipo de Movimiento]]="Ingreso",tblMovimientos[[#This Row],[Ingreso]],-tblMovimientos[[#This Row],[Egreso]])</f>
        <v>-10000</v>
      </c>
    </row>
    <row r="44" spans="2:16" x14ac:dyDescent="0.3">
      <c r="B44" s="41">
        <v>46149</v>
      </c>
      <c r="C44" s="4" t="s">
        <v>17</v>
      </c>
      <c r="D44" s="42" t="s">
        <v>94</v>
      </c>
      <c r="E44" s="4" t="s">
        <v>36</v>
      </c>
      <c r="F44" s="43" t="s">
        <v>10</v>
      </c>
      <c r="G44" s="42" t="s">
        <v>50</v>
      </c>
      <c r="H44" s="4" t="str">
        <f>IFERROR(_xlfn.XLOOKUP(G44,Listas!E:E,Listas!F:F,""),"")</f>
        <v>Financiamiento</v>
      </c>
      <c r="I44" s="52" t="str">
        <f>IFERROR(_xlfn.XLOOKUP(G44,Listas!E:E,Listas!G:G,""),"")</f>
        <v>Externo</v>
      </c>
      <c r="J44" s="45">
        <v>10000</v>
      </c>
      <c r="K44" s="5">
        <v>-10000</v>
      </c>
      <c r="L44" s="6" t="s">
        <v>93</v>
      </c>
      <c r="M44" s="46">
        <v>2689.0499999999884</v>
      </c>
      <c r="N44" s="27" t="str">
        <f>IF(tblMovimientos[[#This Row],[Tipo de Movimiento]]="Ingreso",tblMovimientos[[#This Row],[Monto (S/)]],"0")</f>
        <v>0</v>
      </c>
      <c r="O44" s="27">
        <f>IF(tblMovimientos[[#This Row],[Tipo de Movimiento]]="Egreso",tblMovimientos[[#This Row],[Monto (S/)]],"0")</f>
        <v>10000</v>
      </c>
      <c r="P44" s="29">
        <f>IF(tblMovimientos[[#This Row],[Tipo de Movimiento]]="Ingreso",tblMovimientos[[#This Row],[Ingreso]],-tblMovimientos[[#This Row],[Egreso]])</f>
        <v>-10000</v>
      </c>
    </row>
    <row r="45" spans="2:16" x14ac:dyDescent="0.3">
      <c r="B45" s="41">
        <v>46149</v>
      </c>
      <c r="C45" s="4" t="s">
        <v>32</v>
      </c>
      <c r="D45" s="42" t="s">
        <v>123</v>
      </c>
      <c r="E45" s="4" t="s">
        <v>36</v>
      </c>
      <c r="F45" s="43" t="s">
        <v>9</v>
      </c>
      <c r="G45" s="42" t="s">
        <v>71</v>
      </c>
      <c r="H45" s="4" t="str">
        <f>IFERROR(_xlfn.XLOOKUP(G45,Listas!E:E,Listas!F:F,""),"")</f>
        <v>Operativo</v>
      </c>
      <c r="I45" s="52" t="str">
        <f>IFERROR(_xlfn.XLOOKUP(G45,Listas!E:E,Listas!G:G,""),"")</f>
        <v>Interno</v>
      </c>
      <c r="J45" s="45">
        <v>10000</v>
      </c>
      <c r="K45" s="5">
        <v>10000</v>
      </c>
      <c r="L45" s="6" t="s">
        <v>93</v>
      </c>
      <c r="M45" s="46">
        <v>15135.060000000001</v>
      </c>
      <c r="N45" s="27">
        <f>IF(tblMovimientos[[#This Row],[Tipo de Movimiento]]="Ingreso",tblMovimientos[[#This Row],[Monto (S/)]],"0")</f>
        <v>10000</v>
      </c>
      <c r="O45" s="27" t="str">
        <f>IF(tblMovimientos[[#This Row],[Tipo de Movimiento]]="Egreso",tblMovimientos[[#This Row],[Monto (S/)]],"0")</f>
        <v>0</v>
      </c>
      <c r="P45" s="29">
        <f>IF(tblMovimientos[[#This Row],[Tipo de Movimiento]]="Ingreso",tblMovimientos[[#This Row],[Ingreso]],-tblMovimientos[[#This Row],[Egreso]])</f>
        <v>10000</v>
      </c>
    </row>
    <row r="46" spans="2:16" x14ac:dyDescent="0.3">
      <c r="B46" s="41">
        <v>46149</v>
      </c>
      <c r="C46" s="4" t="s">
        <v>33</v>
      </c>
      <c r="D46" s="42" t="s">
        <v>124</v>
      </c>
      <c r="E46" s="4" t="s">
        <v>36</v>
      </c>
      <c r="F46" s="43" t="s">
        <v>9</v>
      </c>
      <c r="G46" s="42" t="s">
        <v>71</v>
      </c>
      <c r="H46" s="4" t="str">
        <f>IFERROR(_xlfn.XLOOKUP(G46,Listas!E:E,Listas!F:F,""),"")</f>
        <v>Operativo</v>
      </c>
      <c r="I46" s="52" t="str">
        <f>IFERROR(_xlfn.XLOOKUP(G46,Listas!E:E,Listas!G:G,""),"")</f>
        <v>Interno</v>
      </c>
      <c r="J46" s="45">
        <v>10000</v>
      </c>
      <c r="K46" s="5">
        <v>10000</v>
      </c>
      <c r="L46" s="6" t="s">
        <v>93</v>
      </c>
      <c r="M46" s="46">
        <v>31338.39</v>
      </c>
      <c r="N46" s="27">
        <f>IF(tblMovimientos[[#This Row],[Tipo de Movimiento]]="Ingreso",tblMovimientos[[#This Row],[Monto (S/)]],"0")</f>
        <v>10000</v>
      </c>
      <c r="O46" s="27" t="str">
        <f>IF(tblMovimientos[[#This Row],[Tipo de Movimiento]]="Egreso",tblMovimientos[[#This Row],[Monto (S/)]],"0")</f>
        <v>0</v>
      </c>
      <c r="P46" s="29">
        <f>IF(tblMovimientos[[#This Row],[Tipo de Movimiento]]="Ingreso",tblMovimientos[[#This Row],[Ingreso]],-tblMovimientos[[#This Row],[Egreso]])</f>
        <v>10000</v>
      </c>
    </row>
    <row r="47" spans="2:16" x14ac:dyDescent="0.3">
      <c r="B47" s="41">
        <v>46149</v>
      </c>
      <c r="C47" s="4" t="s">
        <v>18</v>
      </c>
      <c r="D47" s="42" t="s">
        <v>97</v>
      </c>
      <c r="E47" s="4" t="s">
        <v>37</v>
      </c>
      <c r="F47" s="43" t="s">
        <v>10</v>
      </c>
      <c r="G47" s="42" t="s">
        <v>50</v>
      </c>
      <c r="H47" s="4" t="str">
        <f>IFERROR(_xlfn.XLOOKUP(G47,Listas!E:E,Listas!F:F,""),"")</f>
        <v>Financiamiento</v>
      </c>
      <c r="I47" s="52" t="str">
        <f>IFERROR(_xlfn.XLOOKUP(G47,Listas!E:E,Listas!G:G,""),"")</f>
        <v>Externo</v>
      </c>
      <c r="J47" s="45">
        <v>570000</v>
      </c>
      <c r="K47" s="5">
        <v>-570000</v>
      </c>
      <c r="L47" s="6" t="s">
        <v>93</v>
      </c>
      <c r="M47" s="46">
        <v>51288.029999999941</v>
      </c>
      <c r="N47" s="27" t="str">
        <f>IF(tblMovimientos[[#This Row],[Tipo de Movimiento]]="Ingreso",tblMovimientos[[#This Row],[Monto (S/)]],"0")</f>
        <v>0</v>
      </c>
      <c r="O47" s="27">
        <f>IF(tblMovimientos[[#This Row],[Tipo de Movimiento]]="Egreso",tblMovimientos[[#This Row],[Monto (S/)]],"0")</f>
        <v>570000</v>
      </c>
      <c r="P47" s="29">
        <f>IF(tblMovimientos[[#This Row],[Tipo de Movimiento]]="Ingreso",tblMovimientos[[#This Row],[Ingreso]],-tblMovimientos[[#This Row],[Egreso]])</f>
        <v>-570000</v>
      </c>
    </row>
    <row r="48" spans="2:16" x14ac:dyDescent="0.3">
      <c r="B48" s="41">
        <v>46149</v>
      </c>
      <c r="C48" s="4" t="s">
        <v>17</v>
      </c>
      <c r="D48" s="42" t="s">
        <v>95</v>
      </c>
      <c r="E48" s="4" t="s">
        <v>37</v>
      </c>
      <c r="F48" s="43" t="s">
        <v>9</v>
      </c>
      <c r="G48" s="42" t="s">
        <v>71</v>
      </c>
      <c r="H48" s="4" t="str">
        <f>IFERROR(_xlfn.XLOOKUP(G48,Listas!E:E,Listas!F:F,""),"")</f>
        <v>Operativo</v>
      </c>
      <c r="I48" s="52" t="str">
        <f>IFERROR(_xlfn.XLOOKUP(G48,Listas!E:E,Listas!G:G,""),"")</f>
        <v>Interno</v>
      </c>
      <c r="J48" s="45">
        <v>570000</v>
      </c>
      <c r="K48" s="5">
        <v>570000</v>
      </c>
      <c r="L48" s="6" t="s">
        <v>93</v>
      </c>
      <c r="M48" s="46">
        <v>439799.53000000026</v>
      </c>
      <c r="N48" s="27">
        <f>IF(tblMovimientos[[#This Row],[Tipo de Movimiento]]="Ingreso",tblMovimientos[[#This Row],[Monto (S/)]],"0")</f>
        <v>570000</v>
      </c>
      <c r="O48" s="27" t="str">
        <f>IF(tblMovimientos[[#This Row],[Tipo de Movimiento]]="Egreso",tblMovimientos[[#This Row],[Monto (S/)]],"0")</f>
        <v>0</v>
      </c>
      <c r="P48" s="29">
        <f>IF(tblMovimientos[[#This Row],[Tipo de Movimiento]]="Ingreso",tblMovimientos[[#This Row],[Ingreso]],-tblMovimientos[[#This Row],[Egreso]])</f>
        <v>570000</v>
      </c>
    </row>
    <row r="49" spans="2:16" x14ac:dyDescent="0.3">
      <c r="B49" s="41">
        <v>46149</v>
      </c>
      <c r="C49" s="4" t="s">
        <v>17</v>
      </c>
      <c r="D49" s="42" t="s">
        <v>95</v>
      </c>
      <c r="E49" s="4" t="s">
        <v>37</v>
      </c>
      <c r="F49" s="43" t="s">
        <v>10</v>
      </c>
      <c r="G49" s="42" t="s">
        <v>61</v>
      </c>
      <c r="H49" s="4" t="str">
        <f>IFERROR(_xlfn.XLOOKUP(G49,Listas!E:E,Listas!F:F,""),"")</f>
        <v>Operativo</v>
      </c>
      <c r="I49" s="52" t="str">
        <f>IFERROR(_xlfn.XLOOKUP(G49,Listas!E:E,Listas!G:G,""),"")</f>
        <v>Externo</v>
      </c>
      <c r="J49" s="45">
        <v>30000</v>
      </c>
      <c r="K49" s="5">
        <v>-30000</v>
      </c>
      <c r="L49" s="6" t="s">
        <v>93</v>
      </c>
      <c r="M49" s="46">
        <v>439799.53000000026</v>
      </c>
      <c r="N49" s="27" t="str">
        <f>IF(tblMovimientos[[#This Row],[Tipo de Movimiento]]="Ingreso",tblMovimientos[[#This Row],[Monto (S/)]],"0")</f>
        <v>0</v>
      </c>
      <c r="O49" s="27">
        <f>IF(tblMovimientos[[#This Row],[Tipo de Movimiento]]="Egreso",tblMovimientos[[#This Row],[Monto (S/)]],"0")</f>
        <v>30000</v>
      </c>
      <c r="P49" s="29">
        <f>IF(tblMovimientos[[#This Row],[Tipo de Movimiento]]="Ingreso",tblMovimientos[[#This Row],[Ingreso]],-tblMovimientos[[#This Row],[Egreso]])</f>
        <v>-30000</v>
      </c>
    </row>
    <row r="50" spans="2:16" x14ac:dyDescent="0.3">
      <c r="B50" s="41">
        <v>46149</v>
      </c>
      <c r="C50" s="4" t="s">
        <v>17</v>
      </c>
      <c r="D50" s="42" t="s">
        <v>95</v>
      </c>
      <c r="E50" s="4" t="s">
        <v>37</v>
      </c>
      <c r="F50" s="43" t="s">
        <v>10</v>
      </c>
      <c r="G50" s="42" t="s">
        <v>61</v>
      </c>
      <c r="H50" s="4" t="str">
        <f>IFERROR(_xlfn.XLOOKUP(G50,Listas!E:E,Listas!F:F,""),"")</f>
        <v>Operativo</v>
      </c>
      <c r="I50" s="52" t="str">
        <f>IFERROR(_xlfn.XLOOKUP(G50,Listas!E:E,Listas!G:G,""),"")</f>
        <v>Externo</v>
      </c>
      <c r="J50" s="45">
        <v>70000</v>
      </c>
      <c r="K50" s="5">
        <v>-70000</v>
      </c>
      <c r="L50" s="6" t="s">
        <v>93</v>
      </c>
      <c r="M50" s="46">
        <v>439799.53000000026</v>
      </c>
      <c r="N50" s="27" t="str">
        <f>IF(tblMovimientos[[#This Row],[Tipo de Movimiento]]="Ingreso",tblMovimientos[[#This Row],[Monto (S/)]],"0")</f>
        <v>0</v>
      </c>
      <c r="O50" s="27">
        <f>IF(tblMovimientos[[#This Row],[Tipo de Movimiento]]="Egreso",tblMovimientos[[#This Row],[Monto (S/)]],"0")</f>
        <v>70000</v>
      </c>
      <c r="P50" s="29">
        <f>IF(tblMovimientos[[#This Row],[Tipo de Movimiento]]="Ingreso",tblMovimientos[[#This Row],[Ingreso]],-tblMovimientos[[#This Row],[Egreso]])</f>
        <v>-70000</v>
      </c>
    </row>
    <row r="51" spans="2:16" x14ac:dyDescent="0.3">
      <c r="B51" s="41">
        <v>46149</v>
      </c>
      <c r="C51" s="4" t="s">
        <v>17</v>
      </c>
      <c r="D51" s="42" t="s">
        <v>95</v>
      </c>
      <c r="E51" s="4" t="s">
        <v>37</v>
      </c>
      <c r="F51" s="43" t="s">
        <v>10</v>
      </c>
      <c r="G51" s="42" t="s">
        <v>61</v>
      </c>
      <c r="H51" s="4" t="str">
        <f>IFERROR(_xlfn.XLOOKUP(G51,Listas!E:E,Listas!F:F,""),"")</f>
        <v>Operativo</v>
      </c>
      <c r="I51" s="52" t="str">
        <f>IFERROR(_xlfn.XLOOKUP(G51,Listas!E:E,Listas!G:G,""),"")</f>
        <v>Externo</v>
      </c>
      <c r="J51" s="45">
        <v>100000</v>
      </c>
      <c r="K51" s="5">
        <v>-100000</v>
      </c>
      <c r="L51" s="6" t="s">
        <v>93</v>
      </c>
      <c r="M51" s="46">
        <v>439799.53000000026</v>
      </c>
      <c r="N51" s="27" t="str">
        <f>IF(tblMovimientos[[#This Row],[Tipo de Movimiento]]="Ingreso",tblMovimientos[[#This Row],[Monto (S/)]],"0")</f>
        <v>0</v>
      </c>
      <c r="O51" s="27">
        <f>IF(tblMovimientos[[#This Row],[Tipo de Movimiento]]="Egreso",tblMovimientos[[#This Row],[Monto (S/)]],"0")</f>
        <v>100000</v>
      </c>
      <c r="P51" s="29">
        <f>IF(tblMovimientos[[#This Row],[Tipo de Movimiento]]="Ingreso",tblMovimientos[[#This Row],[Ingreso]],-tblMovimientos[[#This Row],[Egreso]])</f>
        <v>-100000</v>
      </c>
    </row>
    <row r="52" spans="2:16" x14ac:dyDescent="0.3">
      <c r="B52" s="41">
        <v>46149</v>
      </c>
      <c r="C52" s="4" t="s">
        <v>17</v>
      </c>
      <c r="D52" s="42" t="s">
        <v>95</v>
      </c>
      <c r="E52" s="4" t="s">
        <v>37</v>
      </c>
      <c r="F52" s="43" t="s">
        <v>10</v>
      </c>
      <c r="G52" s="42" t="s">
        <v>61</v>
      </c>
      <c r="H52" s="4" t="str">
        <f>IFERROR(_xlfn.XLOOKUP(G52,Listas!E:E,Listas!F:F,""),"")</f>
        <v>Operativo</v>
      </c>
      <c r="I52" s="52" t="str">
        <f>IFERROR(_xlfn.XLOOKUP(G52,Listas!E:E,Listas!G:G,""),"")</f>
        <v>Externo</v>
      </c>
      <c r="J52" s="45">
        <v>100000</v>
      </c>
      <c r="K52" s="5">
        <v>-100000</v>
      </c>
      <c r="L52" s="6" t="s">
        <v>93</v>
      </c>
      <c r="M52" s="46">
        <v>439799.53000000026</v>
      </c>
      <c r="N52" s="27" t="str">
        <f>IF(tblMovimientos[[#This Row],[Tipo de Movimiento]]="Ingreso",tblMovimientos[[#This Row],[Monto (S/)]],"0")</f>
        <v>0</v>
      </c>
      <c r="O52" s="27">
        <f>IF(tblMovimientos[[#This Row],[Tipo de Movimiento]]="Egreso",tblMovimientos[[#This Row],[Monto (S/)]],"0")</f>
        <v>100000</v>
      </c>
      <c r="P52" s="29">
        <f>IF(tblMovimientos[[#This Row],[Tipo de Movimiento]]="Ingreso",tblMovimientos[[#This Row],[Ingreso]],-tblMovimientos[[#This Row],[Egreso]])</f>
        <v>-100000</v>
      </c>
    </row>
    <row r="53" spans="2:16" x14ac:dyDescent="0.3">
      <c r="B53" s="41">
        <v>46149</v>
      </c>
      <c r="C53" s="4" t="s">
        <v>21</v>
      </c>
      <c r="D53" s="42" t="s">
        <v>104</v>
      </c>
      <c r="E53" s="4" t="s">
        <v>37</v>
      </c>
      <c r="F53" s="43" t="s">
        <v>10</v>
      </c>
      <c r="G53" s="42" t="s">
        <v>56</v>
      </c>
      <c r="H53" s="4" t="str">
        <f>IFERROR(_xlfn.XLOOKUP(G53,Listas!E:E,Listas!F:F,""),"")</f>
        <v>Inversion</v>
      </c>
      <c r="I53" s="52" t="str">
        <f>IFERROR(_xlfn.XLOOKUP(G53,Listas!E:E,Listas!G:G,""),"")</f>
        <v>Externo</v>
      </c>
      <c r="J53" s="45">
        <v>13706.66</v>
      </c>
      <c r="K53" s="5">
        <v>-13706.66</v>
      </c>
      <c r="L53" s="6" t="s">
        <v>93</v>
      </c>
      <c r="M53" s="46">
        <v>148736.90999999936</v>
      </c>
      <c r="N53" s="27" t="str">
        <f>IF(tblMovimientos[[#This Row],[Tipo de Movimiento]]="Ingreso",tblMovimientos[[#This Row],[Monto (S/)]],"0")</f>
        <v>0</v>
      </c>
      <c r="O53" s="27">
        <f>IF(tblMovimientos[[#This Row],[Tipo de Movimiento]]="Egreso",tblMovimientos[[#This Row],[Monto (S/)]],"0")</f>
        <v>13706.66</v>
      </c>
      <c r="P53" s="29">
        <f>IF(tblMovimientos[[#This Row],[Tipo de Movimiento]]="Ingreso",tblMovimientos[[#This Row],[Ingreso]],-tblMovimientos[[#This Row],[Egreso]])</f>
        <v>-13706.66</v>
      </c>
    </row>
    <row r="54" spans="2:16" x14ac:dyDescent="0.3">
      <c r="B54" s="41">
        <v>46149</v>
      </c>
      <c r="C54" s="4" t="s">
        <v>21</v>
      </c>
      <c r="D54" s="42" t="s">
        <v>104</v>
      </c>
      <c r="E54" s="4" t="s">
        <v>37</v>
      </c>
      <c r="F54" s="43" t="s">
        <v>10</v>
      </c>
      <c r="G54" s="42" t="s">
        <v>56</v>
      </c>
      <c r="H54" s="4" t="str">
        <f>IFERROR(_xlfn.XLOOKUP(G54,Listas!E:E,Listas!F:F,""),"")</f>
        <v>Inversion</v>
      </c>
      <c r="I54" s="52" t="str">
        <f>IFERROR(_xlfn.XLOOKUP(G54,Listas!E:E,Listas!G:G,""),"")</f>
        <v>Externo</v>
      </c>
      <c r="J54" s="45">
        <v>36240</v>
      </c>
      <c r="K54" s="5">
        <v>-36240</v>
      </c>
      <c r="L54" s="6" t="s">
        <v>93</v>
      </c>
      <c r="M54" s="46">
        <v>148736.90999999936</v>
      </c>
      <c r="N54" s="27" t="str">
        <f>IF(tblMovimientos[[#This Row],[Tipo de Movimiento]]="Ingreso",tblMovimientos[[#This Row],[Monto (S/)]],"0")</f>
        <v>0</v>
      </c>
      <c r="O54" s="27">
        <f>IF(tblMovimientos[[#This Row],[Tipo de Movimiento]]="Egreso",tblMovimientos[[#This Row],[Monto (S/)]],"0")</f>
        <v>36240</v>
      </c>
      <c r="P54" s="29">
        <f>IF(tblMovimientos[[#This Row],[Tipo de Movimiento]]="Ingreso",tblMovimientos[[#This Row],[Ingreso]],-tblMovimientos[[#This Row],[Egreso]])</f>
        <v>-36240</v>
      </c>
    </row>
    <row r="55" spans="2:16" x14ac:dyDescent="0.3">
      <c r="B55" s="41">
        <v>46149</v>
      </c>
      <c r="C55" s="4" t="s">
        <v>23</v>
      </c>
      <c r="D55" s="42" t="s">
        <v>112</v>
      </c>
      <c r="E55" s="4" t="s">
        <v>36</v>
      </c>
      <c r="F55" s="43" t="s">
        <v>9</v>
      </c>
      <c r="G55" s="42" t="s">
        <v>67</v>
      </c>
      <c r="H55" s="4" t="str">
        <f>IFERROR(_xlfn.XLOOKUP(G55,Listas!E:E,Listas!F:F,""),"")</f>
        <v>Inversion</v>
      </c>
      <c r="I55" s="52" t="str">
        <f>IFERROR(_xlfn.XLOOKUP(G55,Listas!E:E,Listas!G:G,""),"")</f>
        <v>Interno</v>
      </c>
      <c r="J55" s="45">
        <v>700000</v>
      </c>
      <c r="K55" s="5">
        <v>700000</v>
      </c>
      <c r="L55" s="6" t="s">
        <v>93</v>
      </c>
      <c r="M55" s="46">
        <v>1513088.59</v>
      </c>
      <c r="N55" s="27">
        <f>IF(tblMovimientos[[#This Row],[Tipo de Movimiento]]="Ingreso",tblMovimientos[[#This Row],[Monto (S/)]],"0")</f>
        <v>700000</v>
      </c>
      <c r="O55" s="27" t="str">
        <f>IF(tblMovimientos[[#This Row],[Tipo de Movimiento]]="Egreso",tblMovimientos[[#This Row],[Monto (S/)]],"0")</f>
        <v>0</v>
      </c>
      <c r="P55" s="29">
        <f>IF(tblMovimientos[[#This Row],[Tipo de Movimiento]]="Ingreso",tblMovimientos[[#This Row],[Ingreso]],-tblMovimientos[[#This Row],[Egreso]])</f>
        <v>700000</v>
      </c>
    </row>
    <row r="56" spans="2:16" x14ac:dyDescent="0.3">
      <c r="B56" s="41">
        <v>46150</v>
      </c>
      <c r="C56" s="4" t="s">
        <v>21</v>
      </c>
      <c r="D56" s="42" t="s">
        <v>104</v>
      </c>
      <c r="E56" s="4" t="s">
        <v>37</v>
      </c>
      <c r="F56" s="43" t="s">
        <v>10</v>
      </c>
      <c r="G56" s="42" t="s">
        <v>44</v>
      </c>
      <c r="H56" s="4" t="str">
        <f>IFERROR(_xlfn.XLOOKUP(G56,Listas!E:E,Listas!F:F,""),"")</f>
        <v>Operativo</v>
      </c>
      <c r="I56" s="52" t="str">
        <f>IFERROR(_xlfn.XLOOKUP(G56,Listas!E:E,Listas!G:G,""),"")</f>
        <v>Externo</v>
      </c>
      <c r="J56" s="45">
        <v>2382.7199999999998</v>
      </c>
      <c r="K56" s="5">
        <v>-2382.7199999999998</v>
      </c>
      <c r="L56" s="6" t="s">
        <v>93</v>
      </c>
      <c r="M56" s="46">
        <v>146354.18999999936</v>
      </c>
      <c r="N56" s="27" t="str">
        <f>IF(tblMovimientos[[#This Row],[Tipo de Movimiento]]="Ingreso",tblMovimientos[[#This Row],[Monto (S/)]],"0")</f>
        <v>0</v>
      </c>
      <c r="O56" s="27">
        <f>IF(tblMovimientos[[#This Row],[Tipo de Movimiento]]="Egreso",tblMovimientos[[#This Row],[Monto (S/)]],"0")</f>
        <v>2382.7199999999998</v>
      </c>
      <c r="P56" s="29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1">
        <v>46150</v>
      </c>
      <c r="C57" s="4" t="s">
        <v>20</v>
      </c>
      <c r="D57" s="42" t="s">
        <v>100</v>
      </c>
      <c r="E57" s="4" t="s">
        <v>36</v>
      </c>
      <c r="F57" s="43" t="s">
        <v>9</v>
      </c>
      <c r="G57" s="42" t="s">
        <v>70</v>
      </c>
      <c r="H57" s="4" t="str">
        <f>IFERROR(_xlfn.XLOOKUP(G57,Listas!E:E,Listas!F:F,""),"")</f>
        <v>Operativo</v>
      </c>
      <c r="I57" s="52" t="str">
        <f>IFERROR(_xlfn.XLOOKUP(G57,Listas!E:E,Listas!G:G,""),"")</f>
        <v>Externo</v>
      </c>
      <c r="J57" s="45">
        <v>500000</v>
      </c>
      <c r="K57" s="5">
        <v>500000</v>
      </c>
      <c r="L57" s="6" t="s">
        <v>93</v>
      </c>
      <c r="M57" s="46">
        <v>792366.49999999988</v>
      </c>
      <c r="N57" s="27">
        <f>IF(tblMovimientos[[#This Row],[Tipo de Movimiento]]="Ingreso",tblMovimientos[[#This Row],[Monto (S/)]],"0")</f>
        <v>500000</v>
      </c>
      <c r="O57" s="27" t="str">
        <f>IF(tblMovimientos[[#This Row],[Tipo de Movimiento]]="Egreso",tblMovimientos[[#This Row],[Monto (S/)]],"0")</f>
        <v>0</v>
      </c>
      <c r="P57" s="29">
        <f>IF(tblMovimientos[[#This Row],[Tipo de Movimiento]]="Ingreso",tblMovimientos[[#This Row],[Ingreso]],-tblMovimientos[[#This Row],[Egreso]])</f>
        <v>500000</v>
      </c>
    </row>
    <row r="58" spans="2:16" x14ac:dyDescent="0.3">
      <c r="B58" s="41">
        <v>46150</v>
      </c>
      <c r="C58" s="4" t="s">
        <v>20</v>
      </c>
      <c r="D58" s="42" t="s">
        <v>100</v>
      </c>
      <c r="E58" s="4" t="s">
        <v>36</v>
      </c>
      <c r="F58" s="43" t="s">
        <v>9</v>
      </c>
      <c r="G58" s="42" t="s">
        <v>68</v>
      </c>
      <c r="H58" s="4" t="str">
        <f>IFERROR(_xlfn.XLOOKUP(G58,Listas!E:E,Listas!F:F,""),"")</f>
        <v>Operativo</v>
      </c>
      <c r="I58" s="52" t="str">
        <f>IFERROR(_xlfn.XLOOKUP(G58,Listas!E:E,Listas!G:G,""),"")</f>
        <v>Externo</v>
      </c>
      <c r="J58" s="45">
        <v>17697.939999999999</v>
      </c>
      <c r="K58" s="5">
        <v>17697.939999999999</v>
      </c>
      <c r="L58" s="6" t="s">
        <v>93</v>
      </c>
      <c r="M58" s="46">
        <v>792366.49999999988</v>
      </c>
      <c r="N58" s="27">
        <f>IF(tblMovimientos[[#This Row],[Tipo de Movimiento]]="Ingreso",tblMovimientos[[#This Row],[Monto (S/)]],"0")</f>
        <v>17697.939999999999</v>
      </c>
      <c r="O58" s="27" t="str">
        <f>IF(tblMovimientos[[#This Row],[Tipo de Movimiento]]="Egreso",tblMovimientos[[#This Row],[Monto (S/)]],"0")</f>
        <v>0</v>
      </c>
      <c r="P58" s="29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1">
        <v>46150</v>
      </c>
      <c r="C59" s="4" t="s">
        <v>17</v>
      </c>
      <c r="D59" s="42" t="s">
        <v>94</v>
      </c>
      <c r="E59" s="4" t="s">
        <v>36</v>
      </c>
      <c r="F59" s="43" t="s">
        <v>9</v>
      </c>
      <c r="G59" s="42" t="s">
        <v>68</v>
      </c>
      <c r="H59" s="4" t="str">
        <f>IFERROR(_xlfn.XLOOKUP(G59,Listas!E:E,Listas!F:F,""),"")</f>
        <v>Operativo</v>
      </c>
      <c r="I59" s="52" t="str">
        <f>IFERROR(_xlfn.XLOOKUP(G59,Listas!E:E,Listas!G:G,""),"")</f>
        <v>Externo</v>
      </c>
      <c r="J59" s="45">
        <v>65164.32</v>
      </c>
      <c r="K59" s="5">
        <v>65164.32</v>
      </c>
      <c r="L59" s="6" t="s">
        <v>93</v>
      </c>
      <c r="M59" s="46">
        <v>67853.37</v>
      </c>
      <c r="N59" s="27">
        <f>IF(tblMovimientos[[#This Row],[Tipo de Movimiento]]="Ingreso",tblMovimientos[[#This Row],[Monto (S/)]],"0")</f>
        <v>65164.32</v>
      </c>
      <c r="O59" s="27" t="str">
        <f>IF(tblMovimientos[[#This Row],[Tipo de Movimiento]]="Egreso",tblMovimientos[[#This Row],[Monto (S/)]],"0")</f>
        <v>0</v>
      </c>
      <c r="P59" s="29">
        <f>IF(tblMovimientos[[#This Row],[Tipo de Movimiento]]="Ingreso",tblMovimientos[[#This Row],[Ingreso]],-tblMovimientos[[#This Row],[Egreso]])</f>
        <v>65164.32</v>
      </c>
    </row>
    <row r="60" spans="2:16" x14ac:dyDescent="0.3">
      <c r="B60" s="41">
        <v>46150</v>
      </c>
      <c r="C60" s="4" t="s">
        <v>31</v>
      </c>
      <c r="D60" s="42" t="s">
        <v>121</v>
      </c>
      <c r="E60" s="4" t="s">
        <v>36</v>
      </c>
      <c r="F60" s="43" t="s">
        <v>10</v>
      </c>
      <c r="G60" s="42" t="s">
        <v>38</v>
      </c>
      <c r="H60" s="4" t="str">
        <f>IFERROR(_xlfn.XLOOKUP(G60,Listas!E:E,Listas!F:F,""),"")</f>
        <v>Operativo</v>
      </c>
      <c r="I60" s="52" t="str">
        <f>IFERROR(_xlfn.XLOOKUP(G60,Listas!E:E,Listas!G:G,""),"")</f>
        <v>Externo</v>
      </c>
      <c r="J60" s="45">
        <v>2625</v>
      </c>
      <c r="K60" s="5">
        <v>-2625</v>
      </c>
      <c r="L60" s="6" t="s">
        <v>93</v>
      </c>
      <c r="M60" s="46">
        <v>20252.179999999964</v>
      </c>
      <c r="N60" s="27" t="str">
        <f>IF(tblMovimientos[[#This Row],[Tipo de Movimiento]]="Ingreso",tblMovimientos[[#This Row],[Monto (S/)]],"0")</f>
        <v>0</v>
      </c>
      <c r="O60" s="27">
        <f>IF(tblMovimientos[[#This Row],[Tipo de Movimiento]]="Egreso",tblMovimientos[[#This Row],[Monto (S/)]],"0")</f>
        <v>2625</v>
      </c>
      <c r="P60" s="29">
        <f>IF(tblMovimientos[[#This Row],[Tipo de Movimiento]]="Ingreso",tblMovimientos[[#This Row],[Ingreso]],-tblMovimientos[[#This Row],[Egreso]])</f>
        <v>-2625</v>
      </c>
    </row>
    <row r="61" spans="2:16" x14ac:dyDescent="0.3">
      <c r="B61" s="41">
        <v>46150</v>
      </c>
      <c r="C61" s="4" t="s">
        <v>31</v>
      </c>
      <c r="D61" s="42" t="s">
        <v>121</v>
      </c>
      <c r="E61" s="4" t="s">
        <v>36</v>
      </c>
      <c r="F61" s="43" t="s">
        <v>10</v>
      </c>
      <c r="G61" s="42" t="s">
        <v>44</v>
      </c>
      <c r="H61" s="4" t="str">
        <f>IFERROR(_xlfn.XLOOKUP(G61,Listas!E:E,Listas!F:F,""),"")</f>
        <v>Operativo</v>
      </c>
      <c r="I61" s="52" t="str">
        <f>IFERROR(_xlfn.XLOOKUP(G61,Listas!E:E,Listas!G:G,""),"")</f>
        <v>Externo</v>
      </c>
      <c r="J61" s="45">
        <v>30</v>
      </c>
      <c r="K61" s="5">
        <v>-30</v>
      </c>
      <c r="L61" s="6" t="s">
        <v>93</v>
      </c>
      <c r="M61" s="46">
        <v>20252.179999999964</v>
      </c>
      <c r="N61" s="27" t="str">
        <f>IF(tblMovimientos[[#This Row],[Tipo de Movimiento]]="Ingreso",tblMovimientos[[#This Row],[Monto (S/)]],"0")</f>
        <v>0</v>
      </c>
      <c r="O61" s="27">
        <f>IF(tblMovimientos[[#This Row],[Tipo de Movimiento]]="Egreso",tblMovimientos[[#This Row],[Monto (S/)]],"0")</f>
        <v>30</v>
      </c>
      <c r="P61" s="29">
        <f>IF(tblMovimientos[[#This Row],[Tipo de Movimiento]]="Ingreso",tblMovimientos[[#This Row],[Ingreso]],-tblMovimientos[[#This Row],[Egreso]])</f>
        <v>-30</v>
      </c>
    </row>
    <row r="62" spans="2:16" x14ac:dyDescent="0.3">
      <c r="B62" s="41">
        <v>46150</v>
      </c>
      <c r="C62" s="4" t="s">
        <v>32</v>
      </c>
      <c r="D62" s="42" t="s">
        <v>123</v>
      </c>
      <c r="E62" s="4" t="s">
        <v>36</v>
      </c>
      <c r="F62" s="43" t="s">
        <v>10</v>
      </c>
      <c r="G62" s="42" t="s">
        <v>44</v>
      </c>
      <c r="H62" s="4" t="str">
        <f>IFERROR(_xlfn.XLOOKUP(G62,Listas!E:E,Listas!F:F,""),"")</f>
        <v>Operativo</v>
      </c>
      <c r="I62" s="52" t="str">
        <f>IFERROR(_xlfn.XLOOKUP(G62,Listas!E:E,Listas!G:G,""),"")</f>
        <v>Externo</v>
      </c>
      <c r="J62" s="45">
        <v>15</v>
      </c>
      <c r="K62" s="5">
        <v>-15</v>
      </c>
      <c r="L62" s="6" t="s">
        <v>93</v>
      </c>
      <c r="M62" s="46">
        <v>15120.060000000001</v>
      </c>
      <c r="N62" s="27" t="str">
        <f>IF(tblMovimientos[[#This Row],[Tipo de Movimiento]]="Ingreso",tblMovimientos[[#This Row],[Monto (S/)]],"0")</f>
        <v>0</v>
      </c>
      <c r="O62" s="27">
        <f>IF(tblMovimientos[[#This Row],[Tipo de Movimiento]]="Egreso",tblMovimientos[[#This Row],[Monto (S/)]],"0")</f>
        <v>15</v>
      </c>
      <c r="P62" s="29">
        <f>IF(tblMovimientos[[#This Row],[Tipo de Movimiento]]="Ingreso",tblMovimientos[[#This Row],[Ingreso]],-tblMovimientos[[#This Row],[Egreso]])</f>
        <v>-15</v>
      </c>
    </row>
    <row r="63" spans="2:16" x14ac:dyDescent="0.3">
      <c r="B63" s="41">
        <v>46150</v>
      </c>
      <c r="C63" s="4" t="s">
        <v>33</v>
      </c>
      <c r="D63" s="42" t="s">
        <v>124</v>
      </c>
      <c r="E63" s="4" t="s">
        <v>36</v>
      </c>
      <c r="F63" s="43" t="s">
        <v>10</v>
      </c>
      <c r="G63" s="42" t="s">
        <v>44</v>
      </c>
      <c r="H63" s="4" t="str">
        <f>IFERROR(_xlfn.XLOOKUP(G63,Listas!E:E,Listas!F:F,""),"")</f>
        <v>Operativo</v>
      </c>
      <c r="I63" s="52" t="str">
        <f>IFERROR(_xlfn.XLOOKUP(G63,Listas!E:E,Listas!G:G,""),"")</f>
        <v>Externo</v>
      </c>
      <c r="J63" s="45">
        <v>15</v>
      </c>
      <c r="K63" s="5">
        <v>-15</v>
      </c>
      <c r="L63" s="6" t="s">
        <v>93</v>
      </c>
      <c r="M63" s="46">
        <v>31323.39</v>
      </c>
      <c r="N63" s="27" t="str">
        <f>IF(tblMovimientos[[#This Row],[Tipo de Movimiento]]="Ingreso",tblMovimientos[[#This Row],[Monto (S/)]],"0")</f>
        <v>0</v>
      </c>
      <c r="O63" s="27">
        <f>IF(tblMovimientos[[#This Row],[Tipo de Movimiento]]="Egreso",tblMovimientos[[#This Row],[Monto (S/)]],"0")</f>
        <v>15</v>
      </c>
      <c r="P63" s="29">
        <f>IF(tblMovimientos[[#This Row],[Tipo de Movimiento]]="Ingreso",tblMovimientos[[#This Row],[Ingreso]],-tblMovimientos[[#This Row],[Egreso]])</f>
        <v>-15</v>
      </c>
    </row>
    <row r="64" spans="2:16" x14ac:dyDescent="0.3">
      <c r="B64" s="41">
        <v>46150</v>
      </c>
      <c r="C64" s="4" t="s">
        <v>18</v>
      </c>
      <c r="D64" s="42" t="s">
        <v>97</v>
      </c>
      <c r="E64" s="4" t="s">
        <v>37</v>
      </c>
      <c r="F64" s="43" t="s">
        <v>9</v>
      </c>
      <c r="G64" s="42" t="s">
        <v>68</v>
      </c>
      <c r="H64" s="4" t="str">
        <f>IFERROR(_xlfn.XLOOKUP(G64,Listas!E:E,Listas!F:F,""),"")</f>
        <v>Operativo</v>
      </c>
      <c r="I64" s="52" t="str">
        <f>IFERROR(_xlfn.XLOOKUP(G64,Listas!E:E,Listas!G:G,""),"")</f>
        <v>Externo</v>
      </c>
      <c r="J64" s="45">
        <v>2552.06</v>
      </c>
      <c r="K64" s="5">
        <v>2552.06</v>
      </c>
      <c r="L64" s="6" t="s">
        <v>93</v>
      </c>
      <c r="M64" s="46">
        <v>53840.089999999938</v>
      </c>
      <c r="N64" s="27">
        <f>IF(tblMovimientos[[#This Row],[Tipo de Movimiento]]="Ingreso",tblMovimientos[[#This Row],[Monto (S/)]],"0")</f>
        <v>2552.06</v>
      </c>
      <c r="O64" s="27" t="str">
        <f>IF(tblMovimientos[[#This Row],[Tipo de Movimiento]]="Egreso",tblMovimientos[[#This Row],[Monto (S/)]],"0")</f>
        <v>0</v>
      </c>
      <c r="P64" s="29">
        <f>IF(tblMovimientos[[#This Row],[Tipo de Movimiento]]="Ingreso",tblMovimientos[[#This Row],[Ingreso]],-tblMovimientos[[#This Row],[Egreso]])</f>
        <v>2552.06</v>
      </c>
    </row>
    <row r="65" spans="2:16" x14ac:dyDescent="0.3">
      <c r="B65" s="41">
        <v>46150</v>
      </c>
      <c r="C65" s="4" t="s">
        <v>35</v>
      </c>
      <c r="D65" s="42" t="s">
        <v>126</v>
      </c>
      <c r="E65" s="4" t="s">
        <v>37</v>
      </c>
      <c r="F65" s="43" t="s">
        <v>9</v>
      </c>
      <c r="G65" s="42" t="s">
        <v>77</v>
      </c>
      <c r="H65" s="4" t="str">
        <f>IFERROR(_xlfn.XLOOKUP(G65,Listas!E:E,Listas!F:F,""),"")</f>
        <v>Inversion</v>
      </c>
      <c r="I65" s="52" t="str">
        <f>IFERROR(_xlfn.XLOOKUP(G65,Listas!E:E,Listas!G:G,""),"")</f>
        <v>Interno</v>
      </c>
      <c r="J65" s="45">
        <v>15000</v>
      </c>
      <c r="K65" s="5">
        <v>15000</v>
      </c>
      <c r="L65" s="6" t="s">
        <v>93</v>
      </c>
      <c r="M65" s="46">
        <v>23782.25</v>
      </c>
      <c r="N65" s="27">
        <f>IF(tblMovimientos[[#This Row],[Tipo de Movimiento]]="Ingreso",tblMovimientos[[#This Row],[Monto (S/)]],"0")</f>
        <v>15000</v>
      </c>
      <c r="O65" s="27" t="str">
        <f>IF(tblMovimientos[[#This Row],[Tipo de Movimiento]]="Egreso",tblMovimientos[[#This Row],[Monto (S/)]],"0")</f>
        <v>0</v>
      </c>
      <c r="P65" s="29">
        <f>IF(tblMovimientos[[#This Row],[Tipo de Movimiento]]="Ingreso",tblMovimientos[[#This Row],[Ingreso]],-tblMovimientos[[#This Row],[Egreso]])</f>
        <v>15000</v>
      </c>
    </row>
    <row r="66" spans="2:16" x14ac:dyDescent="0.3">
      <c r="B66" s="41">
        <v>46150</v>
      </c>
      <c r="C66" s="4" t="s">
        <v>23</v>
      </c>
      <c r="D66" s="42" t="s">
        <v>112</v>
      </c>
      <c r="E66" s="4" t="s">
        <v>36</v>
      </c>
      <c r="F66" s="43" t="s">
        <v>10</v>
      </c>
      <c r="G66" s="42" t="s">
        <v>59</v>
      </c>
      <c r="H66" s="4" t="str">
        <f>IFERROR(_xlfn.XLOOKUP(G66,Listas!E:E,Listas!F:F,""),"")</f>
        <v>Inversion</v>
      </c>
      <c r="I66" s="52" t="str">
        <f>IFERROR(_xlfn.XLOOKUP(G66,Listas!E:E,Listas!G:G,""),"")</f>
        <v>Externo</v>
      </c>
      <c r="J66" s="45">
        <v>1500000</v>
      </c>
      <c r="K66" s="5">
        <v>-1500000</v>
      </c>
      <c r="L66" s="6" t="s">
        <v>93</v>
      </c>
      <c r="M66" s="46">
        <v>13088.589999999997</v>
      </c>
      <c r="N66" s="27" t="str">
        <f>IF(tblMovimientos[[#This Row],[Tipo de Movimiento]]="Ingreso",tblMovimientos[[#This Row],[Monto (S/)]],"0")</f>
        <v>0</v>
      </c>
      <c r="O66" s="27">
        <f>IF(tblMovimientos[[#This Row],[Tipo de Movimiento]]="Egreso",tblMovimientos[[#This Row],[Monto (S/)]],"0")</f>
        <v>1500000</v>
      </c>
      <c r="P66" s="29">
        <f>IF(tblMovimientos[[#This Row],[Tipo de Movimiento]]="Ingreso",tblMovimientos[[#This Row],[Ingreso]],-tblMovimientos[[#This Row],[Egreso]])</f>
        <v>-1500000</v>
      </c>
    </row>
    <row r="67" spans="2:16" x14ac:dyDescent="0.3">
      <c r="B67" s="41">
        <v>46150</v>
      </c>
      <c r="C67" s="4" t="s">
        <v>27</v>
      </c>
      <c r="D67" s="42" t="s">
        <v>116</v>
      </c>
      <c r="E67" s="4" t="s">
        <v>155</v>
      </c>
      <c r="F67" s="43" t="s">
        <v>10</v>
      </c>
      <c r="G67" s="42" t="s">
        <v>38</v>
      </c>
      <c r="H67" s="4" t="str">
        <f>IFERROR(_xlfn.XLOOKUP(G67,Listas!E:E,Listas!F:F,""),"")</f>
        <v>Operativo</v>
      </c>
      <c r="I67" s="52" t="str">
        <f>IFERROR(_xlfn.XLOOKUP(G67,Listas!E:E,Listas!G:G,""),"")</f>
        <v>Externo</v>
      </c>
      <c r="J67" s="45">
        <v>15</v>
      </c>
      <c r="K67" s="5">
        <v>-15</v>
      </c>
      <c r="L67" s="6" t="s">
        <v>93</v>
      </c>
      <c r="M67" s="46">
        <v>3349.94</v>
      </c>
      <c r="N67" s="27" t="str">
        <f>IF(tblMovimientos[[#This Row],[Tipo de Movimiento]]="Ingreso",tblMovimientos[[#This Row],[Monto (S/)]],"0")</f>
        <v>0</v>
      </c>
      <c r="O67" s="27">
        <f>IF(tblMovimientos[[#This Row],[Tipo de Movimiento]]="Egreso",tblMovimientos[[#This Row],[Monto (S/)]],"0")</f>
        <v>15</v>
      </c>
      <c r="P67" s="29">
        <f>IF(tblMovimientos[[#This Row],[Tipo de Movimiento]]="Ingreso",tblMovimientos[[#This Row],[Ingreso]],-tblMovimientos[[#This Row],[Egreso]])</f>
        <v>-15</v>
      </c>
    </row>
    <row r="68" spans="2:16" x14ac:dyDescent="0.3">
      <c r="B68" s="41">
        <v>46153</v>
      </c>
      <c r="C68" s="4" t="s">
        <v>35</v>
      </c>
      <c r="D68" s="42" t="s">
        <v>126</v>
      </c>
      <c r="E68" s="4" t="s">
        <v>37</v>
      </c>
      <c r="F68" s="43" t="s">
        <v>10</v>
      </c>
      <c r="G68" s="42" t="s">
        <v>38</v>
      </c>
      <c r="H68" s="4" t="str">
        <f>IFERROR(_xlfn.XLOOKUP(G68,Listas!E:E,Listas!F:F,""),"")</f>
        <v>Operativo</v>
      </c>
      <c r="I68" s="52" t="str">
        <f>IFERROR(_xlfn.XLOOKUP(G68,Listas!E:E,Listas!G:G,""),"")</f>
        <v>Externo</v>
      </c>
      <c r="J68" s="45">
        <v>20</v>
      </c>
      <c r="K68" s="5">
        <v>-20</v>
      </c>
      <c r="L68" s="6" t="s">
        <v>93</v>
      </c>
      <c r="M68" s="46">
        <v>16956.59</v>
      </c>
      <c r="N68" s="27" t="str">
        <f>IF(tblMovimientos[[#This Row],[Tipo de Movimiento]]="Ingreso",tblMovimientos[[#This Row],[Monto (S/)]],"0")</f>
        <v>0</v>
      </c>
      <c r="O68" s="27">
        <f>IF(tblMovimientos[[#This Row],[Tipo de Movimiento]]="Egreso",tblMovimientos[[#This Row],[Monto (S/)]],"0")</f>
        <v>20</v>
      </c>
      <c r="P68" s="29">
        <f>IF(tblMovimientos[[#This Row],[Tipo de Movimiento]]="Ingreso",tblMovimientos[[#This Row],[Ingreso]],-tblMovimientos[[#This Row],[Egreso]])</f>
        <v>-20</v>
      </c>
    </row>
    <row r="69" spans="2:16" x14ac:dyDescent="0.3">
      <c r="B69" s="41">
        <v>46153</v>
      </c>
      <c r="C69" s="4" t="s">
        <v>20</v>
      </c>
      <c r="D69" s="42" t="s">
        <v>100</v>
      </c>
      <c r="E69" s="4" t="s">
        <v>36</v>
      </c>
      <c r="F69" s="43" t="s">
        <v>9</v>
      </c>
      <c r="G69" s="42" t="s">
        <v>70</v>
      </c>
      <c r="H69" s="4" t="str">
        <f>IFERROR(_xlfn.XLOOKUP(G69,Listas!E:E,Listas!F:F,""),"")</f>
        <v>Operativo</v>
      </c>
      <c r="I69" s="52" t="str">
        <f>IFERROR(_xlfn.XLOOKUP(G69,Listas!E:E,Listas!G:G,""),"")</f>
        <v>Externo</v>
      </c>
      <c r="J69" s="45">
        <v>576000</v>
      </c>
      <c r="K69" s="5">
        <v>576000</v>
      </c>
      <c r="L69" s="6" t="s">
        <v>93</v>
      </c>
      <c r="M69" s="46">
        <v>1368366.5</v>
      </c>
      <c r="N69" s="27">
        <f>IF(tblMovimientos[[#This Row],[Tipo de Movimiento]]="Ingreso",tblMovimientos[[#This Row],[Monto (S/)]],"0")</f>
        <v>576000</v>
      </c>
      <c r="O69" s="27" t="str">
        <f>IF(tblMovimientos[[#This Row],[Tipo de Movimiento]]="Egreso",tblMovimientos[[#This Row],[Monto (S/)]],"0")</f>
        <v>0</v>
      </c>
      <c r="P69" s="29">
        <f>IF(tblMovimientos[[#This Row],[Tipo de Movimiento]]="Ingreso",tblMovimientos[[#This Row],[Ingreso]],-tblMovimientos[[#This Row],[Egreso]])</f>
        <v>576000</v>
      </c>
    </row>
    <row r="70" spans="2:16" x14ac:dyDescent="0.3">
      <c r="B70" s="41">
        <v>46153</v>
      </c>
      <c r="C70" s="4" t="s">
        <v>31</v>
      </c>
      <c r="D70" s="42" t="s">
        <v>121</v>
      </c>
      <c r="E70" s="4" t="s">
        <v>36</v>
      </c>
      <c r="F70" s="43" t="s">
        <v>10</v>
      </c>
      <c r="G70" s="42" t="s">
        <v>38</v>
      </c>
      <c r="H70" s="4" t="str">
        <f>IFERROR(_xlfn.XLOOKUP(G70,Listas!E:E,Listas!F:F,""),"")</f>
        <v>Operativo</v>
      </c>
      <c r="I70" s="52" t="str">
        <f>IFERROR(_xlfn.XLOOKUP(G70,Listas!E:E,Listas!G:G,""),"")</f>
        <v>Externo</v>
      </c>
      <c r="J70" s="45">
        <v>1500</v>
      </c>
      <c r="K70" s="5">
        <v>-1500</v>
      </c>
      <c r="L70" s="6" t="s">
        <v>93</v>
      </c>
      <c r="M70" s="46">
        <v>18752.179999999964</v>
      </c>
      <c r="N70" s="27" t="str">
        <f>IF(tblMovimientos[[#This Row],[Tipo de Movimiento]]="Ingreso",tblMovimientos[[#This Row],[Monto (S/)]],"0")</f>
        <v>0</v>
      </c>
      <c r="O70" s="27">
        <f>IF(tblMovimientos[[#This Row],[Tipo de Movimiento]]="Egreso",tblMovimientos[[#This Row],[Monto (S/)]],"0")</f>
        <v>1500</v>
      </c>
      <c r="P70" s="29">
        <f>IF(tblMovimientos[[#This Row],[Tipo de Movimiento]]="Ingreso",tblMovimientos[[#This Row],[Ingreso]],-tblMovimientos[[#This Row],[Egreso]])</f>
        <v>-1500</v>
      </c>
    </row>
    <row r="71" spans="2:16" x14ac:dyDescent="0.3">
      <c r="B71" s="41">
        <v>46153</v>
      </c>
      <c r="C71" s="4" t="s">
        <v>21</v>
      </c>
      <c r="D71" s="42" t="s">
        <v>101</v>
      </c>
      <c r="E71" s="4" t="s">
        <v>36</v>
      </c>
      <c r="F71" s="43" t="s">
        <v>10</v>
      </c>
      <c r="G71" s="42" t="s">
        <v>38</v>
      </c>
      <c r="H71" s="4" t="str">
        <f>IFERROR(_xlfn.XLOOKUP(G71,Listas!E:E,Listas!F:F,""),"")</f>
        <v>Operativo</v>
      </c>
      <c r="I71" s="52" t="str">
        <f>IFERROR(_xlfn.XLOOKUP(G71,Listas!E:E,Listas!G:G,""),"")</f>
        <v>Externo</v>
      </c>
      <c r="J71" s="45">
        <v>1291.6500000000001</v>
      </c>
      <c r="K71" s="5">
        <v>-1291.6500000000001</v>
      </c>
      <c r="L71" s="6" t="s">
        <v>93</v>
      </c>
      <c r="M71" s="46">
        <v>18034.2</v>
      </c>
      <c r="N71" s="27" t="str">
        <f>IF(tblMovimientos[[#This Row],[Tipo de Movimiento]]="Ingreso",tblMovimientos[[#This Row],[Monto (S/)]],"0")</f>
        <v>0</v>
      </c>
      <c r="O71" s="27">
        <f>IF(tblMovimientos[[#This Row],[Tipo de Movimiento]]="Egreso",tblMovimientos[[#This Row],[Monto (S/)]],"0")</f>
        <v>1291.6500000000001</v>
      </c>
      <c r="P71" s="29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1">
        <v>46153</v>
      </c>
      <c r="C72" s="4" t="s">
        <v>35</v>
      </c>
      <c r="D72" s="42" t="s">
        <v>126</v>
      </c>
      <c r="E72" s="4" t="s">
        <v>37</v>
      </c>
      <c r="F72" s="43" t="s">
        <v>10</v>
      </c>
      <c r="G72" s="42" t="s">
        <v>38</v>
      </c>
      <c r="H72" s="4" t="str">
        <f>IFERROR(_xlfn.XLOOKUP(G72,Listas!E:E,Listas!F:F,""),"")</f>
        <v>Operativo</v>
      </c>
      <c r="I72" s="52" t="str">
        <f>IFERROR(_xlfn.XLOOKUP(G72,Listas!E:E,Listas!G:G,""),"")</f>
        <v>Externo</v>
      </c>
      <c r="J72" s="45">
        <v>65.86</v>
      </c>
      <c r="K72" s="5">
        <v>-65.86</v>
      </c>
      <c r="L72" s="6" t="s">
        <v>93</v>
      </c>
      <c r="M72" s="46">
        <v>16956.59</v>
      </c>
      <c r="N72" s="27" t="str">
        <f>IF(tblMovimientos[[#This Row],[Tipo de Movimiento]]="Ingreso",tblMovimientos[[#This Row],[Monto (S/)]],"0")</f>
        <v>0</v>
      </c>
      <c r="O72" s="27">
        <f>IF(tblMovimientos[[#This Row],[Tipo de Movimiento]]="Egreso",tblMovimientos[[#This Row],[Monto (S/)]],"0")</f>
        <v>65.86</v>
      </c>
      <c r="P72" s="29">
        <f>IF(tblMovimientos[[#This Row],[Tipo de Movimiento]]="Ingreso",tblMovimientos[[#This Row],[Ingreso]],-tblMovimientos[[#This Row],[Egreso]])</f>
        <v>-65.86</v>
      </c>
    </row>
    <row r="73" spans="2:16" x14ac:dyDescent="0.3">
      <c r="B73" s="41">
        <v>46153</v>
      </c>
      <c r="C73" s="4" t="s">
        <v>35</v>
      </c>
      <c r="D73" s="42" t="s">
        <v>126</v>
      </c>
      <c r="E73" s="4" t="s">
        <v>37</v>
      </c>
      <c r="F73" s="43" t="s">
        <v>10</v>
      </c>
      <c r="G73" s="42" t="s">
        <v>38</v>
      </c>
      <c r="H73" s="4" t="str">
        <f>IFERROR(_xlfn.XLOOKUP(G73,Listas!E:E,Listas!F:F,""),"")</f>
        <v>Operativo</v>
      </c>
      <c r="I73" s="52" t="str">
        <f>IFERROR(_xlfn.XLOOKUP(G73,Listas!E:E,Listas!G:G,""),"")</f>
        <v>Externo</v>
      </c>
      <c r="J73" s="45">
        <v>163</v>
      </c>
      <c r="K73" s="5">
        <v>-163</v>
      </c>
      <c r="L73" s="6" t="s">
        <v>93</v>
      </c>
      <c r="M73" s="46">
        <v>16956.59</v>
      </c>
      <c r="N73" s="27" t="str">
        <f>IF(tblMovimientos[[#This Row],[Tipo de Movimiento]]="Ingreso",tblMovimientos[[#This Row],[Monto (S/)]],"0")</f>
        <v>0</v>
      </c>
      <c r="O73" s="27">
        <f>IF(tblMovimientos[[#This Row],[Tipo de Movimiento]]="Egreso",tblMovimientos[[#This Row],[Monto (S/)]],"0")</f>
        <v>163</v>
      </c>
      <c r="P73" s="29">
        <f>IF(tblMovimientos[[#This Row],[Tipo de Movimiento]]="Ingreso",tblMovimientos[[#This Row],[Ingreso]],-tblMovimientos[[#This Row],[Egreso]])</f>
        <v>-163</v>
      </c>
    </row>
    <row r="74" spans="2:16" x14ac:dyDescent="0.3">
      <c r="B74" s="41">
        <v>46153</v>
      </c>
      <c r="C74" s="4" t="s">
        <v>35</v>
      </c>
      <c r="D74" s="42" t="s">
        <v>126</v>
      </c>
      <c r="E74" s="4" t="s">
        <v>37</v>
      </c>
      <c r="F74" s="43" t="s">
        <v>10</v>
      </c>
      <c r="G74" s="42" t="s">
        <v>38</v>
      </c>
      <c r="H74" s="4" t="str">
        <f>IFERROR(_xlfn.XLOOKUP(G74,Listas!E:E,Listas!F:F,""),"")</f>
        <v>Operativo</v>
      </c>
      <c r="I74" s="52" t="str">
        <f>IFERROR(_xlfn.XLOOKUP(G74,Listas!E:E,Listas!G:G,""),"")</f>
        <v>Externo</v>
      </c>
      <c r="J74" s="45">
        <v>576.79999999999995</v>
      </c>
      <c r="K74" s="5">
        <v>-576.79999999999995</v>
      </c>
      <c r="L74" s="6" t="s">
        <v>93</v>
      </c>
      <c r="M74" s="46">
        <v>16956.59</v>
      </c>
      <c r="N74" s="27" t="str">
        <f>IF(tblMovimientos[[#This Row],[Tipo de Movimiento]]="Ingreso",tblMovimientos[[#This Row],[Monto (S/)]],"0")</f>
        <v>0</v>
      </c>
      <c r="O74" s="27">
        <f>IF(tblMovimientos[[#This Row],[Tipo de Movimiento]]="Egreso",tblMovimientos[[#This Row],[Monto (S/)]],"0")</f>
        <v>576.79999999999995</v>
      </c>
      <c r="P74" s="29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1">
        <v>46153</v>
      </c>
      <c r="C75" s="4" t="s">
        <v>21</v>
      </c>
      <c r="D75" s="42" t="s">
        <v>104</v>
      </c>
      <c r="E75" s="4" t="s">
        <v>37</v>
      </c>
      <c r="F75" s="43" t="s">
        <v>9</v>
      </c>
      <c r="G75" s="42" t="s">
        <v>66</v>
      </c>
      <c r="H75" s="4" t="str">
        <f>IFERROR(_xlfn.XLOOKUP(G75,Listas!E:E,Listas!F:F,""),"")</f>
        <v>Inversion</v>
      </c>
      <c r="I75" s="52" t="str">
        <f>IFERROR(_xlfn.XLOOKUP(G75,Listas!E:E,Listas!G:G,""),"")</f>
        <v>Externo</v>
      </c>
      <c r="J75" s="45">
        <v>239975</v>
      </c>
      <c r="K75" s="5">
        <v>239975</v>
      </c>
      <c r="L75" s="6" t="s">
        <v>93</v>
      </c>
      <c r="M75" s="46">
        <v>386329.18999999936</v>
      </c>
      <c r="N75" s="27">
        <f>IF(tblMovimientos[[#This Row],[Tipo de Movimiento]]="Ingreso",tblMovimientos[[#This Row],[Monto (S/)]],"0")</f>
        <v>239975</v>
      </c>
      <c r="O75" s="27" t="str">
        <f>IF(tblMovimientos[[#This Row],[Tipo de Movimiento]]="Egreso",tblMovimientos[[#This Row],[Monto (S/)]],"0")</f>
        <v>0</v>
      </c>
      <c r="P75" s="29">
        <f>IF(tblMovimientos[[#This Row],[Tipo de Movimiento]]="Ingreso",tblMovimientos[[#This Row],[Ingreso]],-tblMovimientos[[#This Row],[Egreso]])</f>
        <v>239975</v>
      </c>
    </row>
    <row r="76" spans="2:16" x14ac:dyDescent="0.3">
      <c r="B76" s="41">
        <v>46153</v>
      </c>
      <c r="C76" s="4" t="s">
        <v>35</v>
      </c>
      <c r="D76" s="42" t="s">
        <v>126</v>
      </c>
      <c r="E76" s="4" t="s">
        <v>37</v>
      </c>
      <c r="F76" s="43" t="s">
        <v>10</v>
      </c>
      <c r="G76" s="42" t="s">
        <v>38</v>
      </c>
      <c r="H76" s="4" t="str">
        <f>IFERROR(_xlfn.XLOOKUP(G76,Listas!E:E,Listas!F:F,""),"")</f>
        <v>Operativo</v>
      </c>
      <c r="I76" s="52" t="str">
        <f>IFERROR(_xlfn.XLOOKUP(G76,Listas!E:E,Listas!G:G,""),"")</f>
        <v>Externo</v>
      </c>
      <c r="J76" s="45">
        <v>6000</v>
      </c>
      <c r="K76" s="5">
        <v>-6000</v>
      </c>
      <c r="L76" s="6" t="s">
        <v>93</v>
      </c>
      <c r="M76" s="46">
        <v>16956.59</v>
      </c>
      <c r="N76" s="27" t="str">
        <f>IF(tblMovimientos[[#This Row],[Tipo de Movimiento]]="Ingreso",tblMovimientos[[#This Row],[Monto (S/)]],"0")</f>
        <v>0</v>
      </c>
      <c r="O76" s="27">
        <f>IF(tblMovimientos[[#This Row],[Tipo de Movimiento]]="Egreso",tblMovimientos[[#This Row],[Monto (S/)]],"0")</f>
        <v>6000</v>
      </c>
      <c r="P76" s="29">
        <f>IF(tblMovimientos[[#This Row],[Tipo de Movimiento]]="Ingreso",tblMovimientos[[#This Row],[Ingreso]],-tblMovimientos[[#This Row],[Egreso]])</f>
        <v>-6000</v>
      </c>
    </row>
    <row r="77" spans="2:16" x14ac:dyDescent="0.3">
      <c r="B77" s="41">
        <v>46154</v>
      </c>
      <c r="C77" s="4" t="s">
        <v>20</v>
      </c>
      <c r="D77" s="42" t="s">
        <v>100</v>
      </c>
      <c r="E77" s="4" t="s">
        <v>36</v>
      </c>
      <c r="F77" s="43" t="s">
        <v>10</v>
      </c>
      <c r="G77" s="42" t="s">
        <v>61</v>
      </c>
      <c r="H77" s="4" t="str">
        <f>IFERROR(_xlfn.XLOOKUP(G77,Listas!E:E,Listas!F:F,""),"")</f>
        <v>Operativo</v>
      </c>
      <c r="I77" s="52" t="str">
        <f>IFERROR(_xlfn.XLOOKUP(G77,Listas!E:E,Listas!G:G,""),"")</f>
        <v>Externo</v>
      </c>
      <c r="J77" s="45">
        <v>60000</v>
      </c>
      <c r="K77" s="5">
        <v>-60000</v>
      </c>
      <c r="L77" s="6" t="s">
        <v>93</v>
      </c>
      <c r="M77" s="46">
        <v>1226185.8999999999</v>
      </c>
      <c r="N77" s="27" t="str">
        <f>IF(tblMovimientos[[#This Row],[Tipo de Movimiento]]="Ingreso",tblMovimientos[[#This Row],[Monto (S/)]],"0")</f>
        <v>0</v>
      </c>
      <c r="O77" s="27">
        <f>IF(tblMovimientos[[#This Row],[Tipo de Movimiento]]="Egreso",tblMovimientos[[#This Row],[Monto (S/)]],"0")</f>
        <v>60000</v>
      </c>
      <c r="P77" s="29">
        <f>IF(tblMovimientos[[#This Row],[Tipo de Movimiento]]="Ingreso",tblMovimientos[[#This Row],[Ingreso]],-tblMovimientos[[#This Row],[Egreso]])</f>
        <v>-60000</v>
      </c>
    </row>
    <row r="78" spans="2:16" x14ac:dyDescent="0.3">
      <c r="B78" s="41">
        <v>46154</v>
      </c>
      <c r="C78" s="4" t="s">
        <v>20</v>
      </c>
      <c r="D78" s="42" t="s">
        <v>100</v>
      </c>
      <c r="E78" s="4" t="s">
        <v>36</v>
      </c>
      <c r="F78" s="43" t="s">
        <v>10</v>
      </c>
      <c r="G78" s="42" t="s">
        <v>51</v>
      </c>
      <c r="H78" s="4" t="str">
        <f>IFERROR(_xlfn.XLOOKUP(G78,Listas!E:E,Listas!F:F,""),"")</f>
        <v>Financiamiento</v>
      </c>
      <c r="I78" s="52" t="str">
        <f>IFERROR(_xlfn.XLOOKUP(G78,Listas!E:E,Listas!G:G,""),"")</f>
        <v>Externo</v>
      </c>
      <c r="J78" s="45">
        <v>82180.600000000006</v>
      </c>
      <c r="K78" s="5">
        <v>-82180.600000000006</v>
      </c>
      <c r="L78" s="6" t="s">
        <v>93</v>
      </c>
      <c r="M78" s="46">
        <v>1226185.8999999999</v>
      </c>
      <c r="N78" s="27" t="str">
        <f>IF(tblMovimientos[[#This Row],[Tipo de Movimiento]]="Ingreso",tblMovimientos[[#This Row],[Monto (S/)]],"0")</f>
        <v>0</v>
      </c>
      <c r="O78" s="27">
        <f>IF(tblMovimientos[[#This Row],[Tipo de Movimiento]]="Egreso",tblMovimientos[[#This Row],[Monto (S/)]],"0")</f>
        <v>82180.600000000006</v>
      </c>
      <c r="P78" s="29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1">
        <v>46154</v>
      </c>
      <c r="C79" s="4" t="s">
        <v>17</v>
      </c>
      <c r="D79" s="42" t="s">
        <v>94</v>
      </c>
      <c r="E79" s="4" t="s">
        <v>36</v>
      </c>
      <c r="F79" s="43" t="s">
        <v>9</v>
      </c>
      <c r="G79" s="42" t="s">
        <v>68</v>
      </c>
      <c r="H79" s="4" t="str">
        <f>IFERROR(_xlfn.XLOOKUP(G79,Listas!E:E,Listas!F:F,""),"")</f>
        <v>Operativo</v>
      </c>
      <c r="I79" s="52" t="str">
        <f>IFERROR(_xlfn.XLOOKUP(G79,Listas!E:E,Listas!G:G,""),"")</f>
        <v>Externo</v>
      </c>
      <c r="J79" s="45">
        <v>93805.54</v>
      </c>
      <c r="K79" s="5">
        <v>93805.54</v>
      </c>
      <c r="L79" s="6" t="s">
        <v>93</v>
      </c>
      <c r="M79" s="46">
        <v>161658.90999999997</v>
      </c>
      <c r="N79" s="27">
        <f>IF(tblMovimientos[[#This Row],[Tipo de Movimiento]]="Ingreso",tblMovimientos[[#This Row],[Monto (S/)]],"0")</f>
        <v>93805.54</v>
      </c>
      <c r="O79" s="27" t="str">
        <f>IF(tblMovimientos[[#This Row],[Tipo de Movimiento]]="Egreso",tblMovimientos[[#This Row],[Monto (S/)]],"0")</f>
        <v>0</v>
      </c>
      <c r="P79" s="29">
        <f>IF(tblMovimientos[[#This Row],[Tipo de Movimiento]]="Ingreso",tblMovimientos[[#This Row],[Ingreso]],-tblMovimientos[[#This Row],[Egreso]])</f>
        <v>93805.54</v>
      </c>
    </row>
    <row r="80" spans="2:16" x14ac:dyDescent="0.3">
      <c r="B80" s="41">
        <v>46154</v>
      </c>
      <c r="C80" s="4" t="s">
        <v>35</v>
      </c>
      <c r="D80" s="42" t="s">
        <v>126</v>
      </c>
      <c r="E80" s="4" t="s">
        <v>37</v>
      </c>
      <c r="F80" s="43" t="s">
        <v>10</v>
      </c>
      <c r="G80" s="42" t="s">
        <v>38</v>
      </c>
      <c r="H80" s="4" t="str">
        <f>IFERROR(_xlfn.XLOOKUP(G80,Listas!E:E,Listas!F:F,""),"")</f>
        <v>Operativo</v>
      </c>
      <c r="I80" s="52" t="str">
        <f>IFERROR(_xlfn.XLOOKUP(G80,Listas!E:E,Listas!G:G,""),"")</f>
        <v>Externo</v>
      </c>
      <c r="J80" s="45">
        <v>215</v>
      </c>
      <c r="K80" s="5">
        <v>-215</v>
      </c>
      <c r="L80" s="6" t="s">
        <v>93</v>
      </c>
      <c r="M80" s="46">
        <v>16741.59</v>
      </c>
      <c r="N80" s="27" t="str">
        <f>IF(tblMovimientos[[#This Row],[Tipo de Movimiento]]="Ingreso",tblMovimientos[[#This Row],[Monto (S/)]],"0")</f>
        <v>0</v>
      </c>
      <c r="O80" s="27">
        <f>IF(tblMovimientos[[#This Row],[Tipo de Movimiento]]="Egreso",tblMovimientos[[#This Row],[Monto (S/)]],"0")</f>
        <v>215</v>
      </c>
      <c r="P80" s="29">
        <f>IF(tblMovimientos[[#This Row],[Tipo de Movimiento]]="Ingreso",tblMovimientos[[#This Row],[Ingreso]],-tblMovimientos[[#This Row],[Egreso]])</f>
        <v>-215</v>
      </c>
    </row>
    <row r="81" spans="2:16" x14ac:dyDescent="0.3">
      <c r="B81" s="41">
        <v>46154</v>
      </c>
      <c r="C81" s="4" t="s">
        <v>17</v>
      </c>
      <c r="D81" s="42" t="s">
        <v>96</v>
      </c>
      <c r="E81" s="4" t="s">
        <v>152</v>
      </c>
      <c r="F81" s="43" t="s">
        <v>10</v>
      </c>
      <c r="G81" s="42" t="s">
        <v>38</v>
      </c>
      <c r="H81" s="4" t="str">
        <f>IFERROR(_xlfn.XLOOKUP(G81,Listas!E:E,Listas!F:F,""),"")</f>
        <v>Operativo</v>
      </c>
      <c r="I81" s="52" t="str">
        <f>IFERROR(_xlfn.XLOOKUP(G81,Listas!E:E,Listas!G:G,""),"")</f>
        <v>Externo</v>
      </c>
      <c r="J81" s="45">
        <v>18.82</v>
      </c>
      <c r="K81" s="5">
        <v>-18.82</v>
      </c>
      <c r="L81" s="6" t="s">
        <v>93</v>
      </c>
      <c r="M81" s="46">
        <v>5256.0300000000007</v>
      </c>
      <c r="N81" s="27" t="str">
        <f>IF(tblMovimientos[[#This Row],[Tipo de Movimiento]]="Ingreso",tblMovimientos[[#This Row],[Monto (S/)]],"0")</f>
        <v>0</v>
      </c>
      <c r="O81" s="27">
        <f>IF(tblMovimientos[[#This Row],[Tipo de Movimiento]]="Egreso",tblMovimientos[[#This Row],[Monto (S/)]],"0")</f>
        <v>18.82</v>
      </c>
      <c r="P81" s="29">
        <f>IF(tblMovimientos[[#This Row],[Tipo de Movimiento]]="Ingreso",tblMovimientos[[#This Row],[Ingreso]],-tblMovimientos[[#This Row],[Egreso]])</f>
        <v>-18.82</v>
      </c>
    </row>
    <row r="82" spans="2:16" x14ac:dyDescent="0.3">
      <c r="B82" s="41">
        <v>46154</v>
      </c>
      <c r="C82" s="4" t="s">
        <v>21</v>
      </c>
      <c r="D82" s="42" t="s">
        <v>105</v>
      </c>
      <c r="E82" s="4" t="s">
        <v>152</v>
      </c>
      <c r="F82" s="43" t="s">
        <v>10</v>
      </c>
      <c r="G82" s="42" t="s">
        <v>38</v>
      </c>
      <c r="H82" s="4" t="str">
        <f>IFERROR(_xlfn.XLOOKUP(G82,Listas!E:E,Listas!F:F,""),"")</f>
        <v>Operativo</v>
      </c>
      <c r="I82" s="52" t="str">
        <f>IFERROR(_xlfn.XLOOKUP(G82,Listas!E:E,Listas!G:G,""),"")</f>
        <v>Externo</v>
      </c>
      <c r="J82" s="45">
        <v>108.91</v>
      </c>
      <c r="K82" s="5">
        <v>-108.91</v>
      </c>
      <c r="L82" s="6" t="s">
        <v>93</v>
      </c>
      <c r="M82" s="46">
        <v>4761.2</v>
      </c>
      <c r="N82" s="27" t="str">
        <f>IF(tblMovimientos[[#This Row],[Tipo de Movimiento]]="Ingreso",tblMovimientos[[#This Row],[Monto (S/)]],"0")</f>
        <v>0</v>
      </c>
      <c r="O82" s="27">
        <f>IF(tblMovimientos[[#This Row],[Tipo de Movimiento]]="Egreso",tblMovimientos[[#This Row],[Monto (S/)]],"0")</f>
        <v>108.91</v>
      </c>
      <c r="P82" s="29">
        <f>IF(tblMovimientos[[#This Row],[Tipo de Movimiento]]="Ingreso",tblMovimientos[[#This Row],[Ingreso]],-tblMovimientos[[#This Row],[Egreso]])</f>
        <v>-108.91</v>
      </c>
    </row>
    <row r="83" spans="2:16" x14ac:dyDescent="0.3">
      <c r="B83" s="41">
        <v>46155</v>
      </c>
      <c r="C83" s="4" t="s">
        <v>20</v>
      </c>
      <c r="D83" s="42" t="s">
        <v>100</v>
      </c>
      <c r="E83" s="4" t="s">
        <v>36</v>
      </c>
      <c r="F83" s="43" t="s">
        <v>9</v>
      </c>
      <c r="G83" s="42" t="s">
        <v>68</v>
      </c>
      <c r="H83" s="4" t="str">
        <f>IFERROR(_xlfn.XLOOKUP(G83,Listas!E:E,Listas!F:F,""),"")</f>
        <v>Operativo</v>
      </c>
      <c r="I83" s="52" t="str">
        <f>IFERROR(_xlfn.XLOOKUP(G83,Listas!E:E,Listas!G:G,""),"")</f>
        <v>Externo</v>
      </c>
      <c r="J83" s="45">
        <v>16493.77</v>
      </c>
      <c r="K83" s="5">
        <v>16493.77</v>
      </c>
      <c r="L83" s="6" t="s">
        <v>93</v>
      </c>
      <c r="M83" s="46">
        <v>1242679.67</v>
      </c>
      <c r="N83" s="27">
        <f>IF(tblMovimientos[[#This Row],[Tipo de Movimiento]]="Ingreso",tblMovimientos[[#This Row],[Monto (S/)]],"0")</f>
        <v>16493.77</v>
      </c>
      <c r="O83" s="27" t="str">
        <f>IF(tblMovimientos[[#This Row],[Tipo de Movimiento]]="Egreso",tblMovimientos[[#This Row],[Monto (S/)]],"0")</f>
        <v>0</v>
      </c>
      <c r="P83" s="29">
        <f>IF(tblMovimientos[[#This Row],[Tipo de Movimiento]]="Ingreso",tblMovimientos[[#This Row],[Ingreso]],-tblMovimientos[[#This Row],[Egreso]])</f>
        <v>16493.77</v>
      </c>
    </row>
    <row r="84" spans="2:16" x14ac:dyDescent="0.3">
      <c r="B84" s="41">
        <v>46155</v>
      </c>
      <c r="C84" s="4" t="s">
        <v>31</v>
      </c>
      <c r="D84" s="42" t="s">
        <v>121</v>
      </c>
      <c r="E84" s="4" t="s">
        <v>36</v>
      </c>
      <c r="F84" s="43" t="s">
        <v>10</v>
      </c>
      <c r="G84" s="42" t="s">
        <v>38</v>
      </c>
      <c r="H84" s="4" t="str">
        <f>IFERROR(_xlfn.XLOOKUP(G84,Listas!E:E,Listas!F:F,""),"")</f>
        <v>Operativo</v>
      </c>
      <c r="I84" s="52" t="str">
        <f>IFERROR(_xlfn.XLOOKUP(G84,Listas!E:E,Listas!G:G,""),"")</f>
        <v>Externo</v>
      </c>
      <c r="J84" s="45">
        <v>850</v>
      </c>
      <c r="K84" s="5">
        <v>-850</v>
      </c>
      <c r="L84" s="6" t="s">
        <v>93</v>
      </c>
      <c r="M84" s="46">
        <v>17902.179999999964</v>
      </c>
      <c r="N84" s="27" t="str">
        <f>IF(tblMovimientos[[#This Row],[Tipo de Movimiento]]="Ingreso",tblMovimientos[[#This Row],[Monto (S/)]],"0")</f>
        <v>0</v>
      </c>
      <c r="O84" s="27">
        <f>IF(tblMovimientos[[#This Row],[Tipo de Movimiento]]="Egreso",tblMovimientos[[#This Row],[Monto (S/)]],"0")</f>
        <v>850</v>
      </c>
      <c r="P84" s="29">
        <f>IF(tblMovimientos[[#This Row],[Tipo de Movimiento]]="Ingreso",tblMovimientos[[#This Row],[Ingreso]],-tblMovimientos[[#This Row],[Egreso]])</f>
        <v>-850</v>
      </c>
    </row>
    <row r="85" spans="2:16" x14ac:dyDescent="0.3">
      <c r="B85" s="41">
        <v>46155</v>
      </c>
      <c r="C85" s="4" t="s">
        <v>23</v>
      </c>
      <c r="D85" s="42" t="s">
        <v>112</v>
      </c>
      <c r="E85" s="4" t="s">
        <v>36</v>
      </c>
      <c r="F85" s="43" t="s">
        <v>9</v>
      </c>
      <c r="G85" s="42" t="s">
        <v>87</v>
      </c>
      <c r="H85" s="4" t="str">
        <f>IFERROR(_xlfn.XLOOKUP(G85,Listas!E:E,Listas!F:F,""),"")</f>
        <v>Operativo</v>
      </c>
      <c r="I85" s="52" t="str">
        <f>IFERROR(_xlfn.XLOOKUP(G85,Listas!E:E,Listas!G:G,""),"")</f>
        <v>Externo</v>
      </c>
      <c r="J85" s="45">
        <v>1.78</v>
      </c>
      <c r="K85" s="5">
        <v>1.78</v>
      </c>
      <c r="L85" s="6" t="s">
        <v>93</v>
      </c>
      <c r="M85" s="46">
        <v>13090.369999999997</v>
      </c>
      <c r="N85" s="27">
        <f>IF(tblMovimientos[[#This Row],[Tipo de Movimiento]]="Ingreso",tblMovimientos[[#This Row],[Monto (S/)]],"0")</f>
        <v>1.78</v>
      </c>
      <c r="O85" s="27" t="str">
        <f>IF(tblMovimientos[[#This Row],[Tipo de Movimiento]]="Egreso",tblMovimientos[[#This Row],[Monto (S/)]],"0")</f>
        <v>0</v>
      </c>
      <c r="P85" s="29">
        <f>IF(tblMovimientos[[#This Row],[Tipo de Movimiento]]="Ingreso",tblMovimientos[[#This Row],[Ingreso]],-tblMovimientos[[#This Row],[Egreso]])</f>
        <v>1.78</v>
      </c>
    </row>
    <row r="86" spans="2:16" x14ac:dyDescent="0.3">
      <c r="B86" s="41">
        <v>46155</v>
      </c>
      <c r="C86" s="4" t="s">
        <v>24</v>
      </c>
      <c r="D86" s="42" t="s">
        <v>113</v>
      </c>
      <c r="E86" s="4" t="s">
        <v>154</v>
      </c>
      <c r="F86" s="43" t="s">
        <v>10</v>
      </c>
      <c r="G86" s="42" t="s">
        <v>38</v>
      </c>
      <c r="H86" s="4" t="str">
        <f>IFERROR(_xlfn.XLOOKUP(G86,Listas!E:E,Listas!F:F,""),"")</f>
        <v>Operativo</v>
      </c>
      <c r="I86" s="52" t="str">
        <f>IFERROR(_xlfn.XLOOKUP(G86,Listas!E:E,Listas!G:G,""),"")</f>
        <v>Externo</v>
      </c>
      <c r="J86" s="45">
        <v>1270.43</v>
      </c>
      <c r="K86" s="5">
        <v>-1270.43</v>
      </c>
      <c r="L86" s="6" t="s">
        <v>93</v>
      </c>
      <c r="M86" s="46">
        <v>2498.3999999999996</v>
      </c>
      <c r="N86" s="27" t="str">
        <f>IF(tblMovimientos[[#This Row],[Tipo de Movimiento]]="Ingreso",tblMovimientos[[#This Row],[Monto (S/)]],"0")</f>
        <v>0</v>
      </c>
      <c r="O86" s="27">
        <f>IF(tblMovimientos[[#This Row],[Tipo de Movimiento]]="Egreso",tblMovimientos[[#This Row],[Monto (S/)]],"0")</f>
        <v>1270.43</v>
      </c>
      <c r="P86" s="29">
        <f>IF(tblMovimientos[[#This Row],[Tipo de Movimiento]]="Ingreso",tblMovimientos[[#This Row],[Ingreso]],-tblMovimientos[[#This Row],[Egreso]])</f>
        <v>-1270.43</v>
      </c>
    </row>
    <row r="87" spans="2:16" x14ac:dyDescent="0.3">
      <c r="B87" s="41">
        <v>46156</v>
      </c>
      <c r="C87" s="4" t="s">
        <v>35</v>
      </c>
      <c r="D87" s="42" t="s">
        <v>126</v>
      </c>
      <c r="E87" s="4" t="s">
        <v>37</v>
      </c>
      <c r="F87" s="43" t="s">
        <v>10</v>
      </c>
      <c r="G87" s="42" t="s">
        <v>44</v>
      </c>
      <c r="H87" s="4" t="str">
        <f>IFERROR(_xlfn.XLOOKUP(G87,Listas!E:E,Listas!F:F,""),"")</f>
        <v>Operativo</v>
      </c>
      <c r="I87" s="52" t="str">
        <f>IFERROR(_xlfn.XLOOKUP(G87,Listas!E:E,Listas!G:G,""),"")</f>
        <v>Externo</v>
      </c>
      <c r="J87" s="45">
        <v>15</v>
      </c>
      <c r="K87" s="5">
        <v>-15</v>
      </c>
      <c r="L87" s="6" t="s">
        <v>93</v>
      </c>
      <c r="M87" s="46">
        <v>14226.59</v>
      </c>
      <c r="N87" s="27" t="str">
        <f>IF(tblMovimientos[[#This Row],[Tipo de Movimiento]]="Ingreso",tblMovimientos[[#This Row],[Monto (S/)]],"0")</f>
        <v>0</v>
      </c>
      <c r="O87" s="27">
        <f>IF(tblMovimientos[[#This Row],[Tipo de Movimiento]]="Egreso",tblMovimientos[[#This Row],[Monto (S/)]],"0")</f>
        <v>15</v>
      </c>
      <c r="P87" s="29">
        <f>IF(tblMovimientos[[#This Row],[Tipo de Movimiento]]="Ingreso",tblMovimientos[[#This Row],[Ingreso]],-tblMovimientos[[#This Row],[Egreso]])</f>
        <v>-15</v>
      </c>
    </row>
    <row r="88" spans="2:16" x14ac:dyDescent="0.3">
      <c r="B88" s="41">
        <v>46156</v>
      </c>
      <c r="C88" s="4" t="s">
        <v>21</v>
      </c>
      <c r="D88" s="42" t="s">
        <v>104</v>
      </c>
      <c r="E88" s="4" t="s">
        <v>37</v>
      </c>
      <c r="F88" s="43" t="s">
        <v>10</v>
      </c>
      <c r="G88" s="42" t="s">
        <v>38</v>
      </c>
      <c r="H88" s="4" t="str">
        <f>IFERROR(_xlfn.XLOOKUP(G88,Listas!E:E,Listas!F:F,""),"")</f>
        <v>Operativo</v>
      </c>
      <c r="I88" s="52" t="str">
        <f>IFERROR(_xlfn.XLOOKUP(G88,Listas!E:E,Listas!G:G,""),"")</f>
        <v>Externo</v>
      </c>
      <c r="J88" s="45">
        <v>295</v>
      </c>
      <c r="K88" s="5">
        <v>-295</v>
      </c>
      <c r="L88" s="6" t="s">
        <v>93</v>
      </c>
      <c r="M88" s="46">
        <v>176117.51999999938</v>
      </c>
      <c r="N88" s="27" t="str">
        <f>IF(tblMovimientos[[#This Row],[Tipo de Movimiento]]="Ingreso",tblMovimientos[[#This Row],[Monto (S/)]],"0")</f>
        <v>0</v>
      </c>
      <c r="O88" s="27">
        <f>IF(tblMovimientos[[#This Row],[Tipo de Movimiento]]="Egreso",tblMovimientos[[#This Row],[Monto (S/)]],"0")</f>
        <v>295</v>
      </c>
      <c r="P88" s="29">
        <f>IF(tblMovimientos[[#This Row],[Tipo de Movimiento]]="Ingreso",tblMovimientos[[#This Row],[Ingreso]],-tblMovimientos[[#This Row],[Egreso]])</f>
        <v>-295</v>
      </c>
    </row>
    <row r="89" spans="2:16" x14ac:dyDescent="0.3">
      <c r="B89" s="41">
        <v>46156</v>
      </c>
      <c r="C89" s="4" t="s">
        <v>21</v>
      </c>
      <c r="D89" s="42" t="s">
        <v>104</v>
      </c>
      <c r="E89" s="4" t="s">
        <v>37</v>
      </c>
      <c r="F89" s="43" t="s">
        <v>10</v>
      </c>
      <c r="G89" s="42" t="s">
        <v>46</v>
      </c>
      <c r="H89" s="4" t="str">
        <f>IFERROR(_xlfn.XLOOKUP(G89,Listas!E:E,Listas!F:F,""),"")</f>
        <v>Financiamiento</v>
      </c>
      <c r="I89" s="52" t="str">
        <f>IFERROR(_xlfn.XLOOKUP(G89,Listas!E:E,Listas!G:G,""),"")</f>
        <v>Externo</v>
      </c>
      <c r="J89" s="45">
        <v>7083.33</v>
      </c>
      <c r="K89" s="5">
        <v>-7083.33</v>
      </c>
      <c r="L89" s="6" t="s">
        <v>93</v>
      </c>
      <c r="M89" s="46">
        <v>176117.51999999938</v>
      </c>
      <c r="N89" s="27" t="str">
        <f>IF(tblMovimientos[[#This Row],[Tipo de Movimiento]]="Ingreso",tblMovimientos[[#This Row],[Monto (S/)]],"0")</f>
        <v>0</v>
      </c>
      <c r="O89" s="27">
        <f>IF(tblMovimientos[[#This Row],[Tipo de Movimiento]]="Egreso",tblMovimientos[[#This Row],[Monto (S/)]],"0")</f>
        <v>7083.33</v>
      </c>
      <c r="P89" s="29">
        <f>IF(tblMovimientos[[#This Row],[Tipo de Movimiento]]="Ingreso",tblMovimientos[[#This Row],[Ingreso]],-tblMovimientos[[#This Row],[Egreso]])</f>
        <v>-7083.33</v>
      </c>
    </row>
    <row r="90" spans="2:16" x14ac:dyDescent="0.3">
      <c r="B90" s="41">
        <v>46156</v>
      </c>
      <c r="C90" s="4" t="s">
        <v>20</v>
      </c>
      <c r="D90" s="42" t="s">
        <v>100</v>
      </c>
      <c r="E90" s="4" t="s">
        <v>36</v>
      </c>
      <c r="F90" s="43" t="s">
        <v>10</v>
      </c>
      <c r="G90" s="42" t="s">
        <v>61</v>
      </c>
      <c r="H90" s="4" t="str">
        <f>IFERROR(_xlfn.XLOOKUP(G90,Listas!E:E,Listas!F:F,""),"")</f>
        <v>Operativo</v>
      </c>
      <c r="I90" s="52" t="str">
        <f>IFERROR(_xlfn.XLOOKUP(G90,Listas!E:E,Listas!G:G,""),"")</f>
        <v>Externo</v>
      </c>
      <c r="J90" s="45">
        <v>200000</v>
      </c>
      <c r="K90" s="5">
        <v>-200000</v>
      </c>
      <c r="L90" s="6" t="s">
        <v>93</v>
      </c>
      <c r="M90" s="46">
        <v>832679.66999999981</v>
      </c>
      <c r="N90" s="27" t="str">
        <f>IF(tblMovimientos[[#This Row],[Tipo de Movimiento]]="Ingreso",tblMovimientos[[#This Row],[Monto (S/)]],"0")</f>
        <v>0</v>
      </c>
      <c r="O90" s="27">
        <f>IF(tblMovimientos[[#This Row],[Tipo de Movimiento]]="Egreso",tblMovimientos[[#This Row],[Monto (S/)]],"0")</f>
        <v>200000</v>
      </c>
      <c r="P90" s="29">
        <f>IF(tblMovimientos[[#This Row],[Tipo de Movimiento]]="Ingreso",tblMovimientos[[#This Row],[Ingreso]],-tblMovimientos[[#This Row],[Egreso]])</f>
        <v>-200000</v>
      </c>
    </row>
    <row r="91" spans="2:16" x14ac:dyDescent="0.3">
      <c r="B91" s="41">
        <v>46156</v>
      </c>
      <c r="C91" s="4" t="s">
        <v>20</v>
      </c>
      <c r="D91" s="42" t="s">
        <v>100</v>
      </c>
      <c r="E91" s="4" t="s">
        <v>36</v>
      </c>
      <c r="F91" s="43" t="s">
        <v>10</v>
      </c>
      <c r="G91" s="42" t="s">
        <v>61</v>
      </c>
      <c r="H91" s="4" t="str">
        <f>IFERROR(_xlfn.XLOOKUP(G91,Listas!E:E,Listas!F:F,""),"")</f>
        <v>Operativo</v>
      </c>
      <c r="I91" s="52" t="str">
        <f>IFERROR(_xlfn.XLOOKUP(G91,Listas!E:E,Listas!G:G,""),"")</f>
        <v>Externo</v>
      </c>
      <c r="J91" s="45">
        <v>60000</v>
      </c>
      <c r="K91" s="5">
        <v>-60000</v>
      </c>
      <c r="L91" s="6" t="s">
        <v>93</v>
      </c>
      <c r="M91" s="46">
        <v>832679.66999999981</v>
      </c>
      <c r="N91" s="27" t="str">
        <f>IF(tblMovimientos[[#This Row],[Tipo de Movimiento]]="Ingreso",tblMovimientos[[#This Row],[Monto (S/)]],"0")</f>
        <v>0</v>
      </c>
      <c r="O91" s="27">
        <f>IF(tblMovimientos[[#This Row],[Tipo de Movimiento]]="Egreso",tblMovimientos[[#This Row],[Monto (S/)]],"0")</f>
        <v>60000</v>
      </c>
      <c r="P91" s="29">
        <f>IF(tblMovimientos[[#This Row],[Tipo de Movimiento]]="Ingreso",tblMovimientos[[#This Row],[Ingreso]],-tblMovimientos[[#This Row],[Egreso]])</f>
        <v>-60000</v>
      </c>
    </row>
    <row r="92" spans="2:16" x14ac:dyDescent="0.3">
      <c r="B92" s="41">
        <v>46156</v>
      </c>
      <c r="C92" s="4" t="s">
        <v>20</v>
      </c>
      <c r="D92" s="42" t="s">
        <v>100</v>
      </c>
      <c r="E92" s="4" t="s">
        <v>36</v>
      </c>
      <c r="F92" s="43" t="s">
        <v>10</v>
      </c>
      <c r="G92" s="42" t="s">
        <v>61</v>
      </c>
      <c r="H92" s="4" t="str">
        <f>IFERROR(_xlfn.XLOOKUP(G92,Listas!E:E,Listas!F:F,""),"")</f>
        <v>Operativo</v>
      </c>
      <c r="I92" s="52" t="str">
        <f>IFERROR(_xlfn.XLOOKUP(G92,Listas!E:E,Listas!G:G,""),"")</f>
        <v>Externo</v>
      </c>
      <c r="J92" s="45">
        <v>150000</v>
      </c>
      <c r="K92" s="5">
        <v>-150000</v>
      </c>
      <c r="L92" s="6" t="s">
        <v>93</v>
      </c>
      <c r="M92" s="46">
        <v>832679.66999999981</v>
      </c>
      <c r="N92" s="27" t="str">
        <f>IF(tblMovimientos[[#This Row],[Tipo de Movimiento]]="Ingreso",tblMovimientos[[#This Row],[Monto (S/)]],"0")</f>
        <v>0</v>
      </c>
      <c r="O92" s="27">
        <f>IF(tblMovimientos[[#This Row],[Tipo de Movimiento]]="Egreso",tblMovimientos[[#This Row],[Monto (S/)]],"0")</f>
        <v>150000</v>
      </c>
      <c r="P92" s="29">
        <f>IF(tblMovimientos[[#This Row],[Tipo de Movimiento]]="Ingreso",tblMovimientos[[#This Row],[Ingreso]],-tblMovimientos[[#This Row],[Egreso]])</f>
        <v>-150000</v>
      </c>
    </row>
    <row r="93" spans="2:16" x14ac:dyDescent="0.3">
      <c r="B93" s="41">
        <v>46156</v>
      </c>
      <c r="C93" s="4" t="s">
        <v>17</v>
      </c>
      <c r="D93" s="42" t="s">
        <v>94</v>
      </c>
      <c r="E93" s="4" t="s">
        <v>36</v>
      </c>
      <c r="F93" s="43" t="s">
        <v>10</v>
      </c>
      <c r="G93" s="42" t="s">
        <v>61</v>
      </c>
      <c r="H93" s="4" t="str">
        <f>IFERROR(_xlfn.XLOOKUP(G93,Listas!E:E,Listas!F:F,""),"")</f>
        <v>Operativo</v>
      </c>
      <c r="I93" s="52" t="str">
        <f>IFERROR(_xlfn.XLOOKUP(G93,Listas!E:E,Listas!G:G,""),"")</f>
        <v>Externo</v>
      </c>
      <c r="J93" s="45">
        <v>100000</v>
      </c>
      <c r="K93" s="5">
        <v>-100000</v>
      </c>
      <c r="L93" s="6" t="s">
        <v>93</v>
      </c>
      <c r="M93" s="46">
        <v>11613.909999999974</v>
      </c>
      <c r="N93" s="27" t="str">
        <f>IF(tblMovimientos[[#This Row],[Tipo de Movimiento]]="Ingreso",tblMovimientos[[#This Row],[Monto (S/)]],"0")</f>
        <v>0</v>
      </c>
      <c r="O93" s="27">
        <f>IF(tblMovimientos[[#This Row],[Tipo de Movimiento]]="Egreso",tblMovimientos[[#This Row],[Monto (S/)]],"0")</f>
        <v>100000</v>
      </c>
      <c r="P93" s="29">
        <f>IF(tblMovimientos[[#This Row],[Tipo de Movimiento]]="Ingreso",tblMovimientos[[#This Row],[Ingreso]],-tblMovimientos[[#This Row],[Egreso]])</f>
        <v>-100000</v>
      </c>
    </row>
    <row r="94" spans="2:16" x14ac:dyDescent="0.3">
      <c r="B94" s="41">
        <v>46156</v>
      </c>
      <c r="C94" s="4" t="s">
        <v>17</v>
      </c>
      <c r="D94" s="42" t="s">
        <v>94</v>
      </c>
      <c r="E94" s="4" t="s">
        <v>36</v>
      </c>
      <c r="F94" s="43" t="s">
        <v>10</v>
      </c>
      <c r="G94" s="42" t="s">
        <v>64</v>
      </c>
      <c r="H94" s="4" t="str">
        <f>IFERROR(_xlfn.XLOOKUP(G94,Listas!E:E,Listas!F:F,""),"")</f>
        <v>Operativo</v>
      </c>
      <c r="I94" s="52" t="str">
        <f>IFERROR(_xlfn.XLOOKUP(G94,Listas!E:E,Listas!G:G,""),"")</f>
        <v>Interno</v>
      </c>
      <c r="J94" s="45">
        <v>50000</v>
      </c>
      <c r="K94" s="5">
        <v>-50000</v>
      </c>
      <c r="L94" s="6" t="s">
        <v>93</v>
      </c>
      <c r="M94" s="46">
        <v>11613.909999999974</v>
      </c>
      <c r="N94" s="27" t="str">
        <f>IF(tblMovimientos[[#This Row],[Tipo de Movimiento]]="Ingreso",tblMovimientos[[#This Row],[Monto (S/)]],"0")</f>
        <v>0</v>
      </c>
      <c r="O94" s="27">
        <f>IF(tblMovimientos[[#This Row],[Tipo de Movimiento]]="Egreso",tblMovimientos[[#This Row],[Monto (S/)]],"0")</f>
        <v>50000</v>
      </c>
      <c r="P94" s="29">
        <f>IF(tblMovimientos[[#This Row],[Tipo de Movimiento]]="Ingreso",tblMovimientos[[#This Row],[Ingreso]],-tblMovimientos[[#This Row],[Egreso]])</f>
        <v>-50000</v>
      </c>
    </row>
    <row r="95" spans="2:16" x14ac:dyDescent="0.3">
      <c r="B95" s="41">
        <v>46156</v>
      </c>
      <c r="C95" s="4" t="s">
        <v>17</v>
      </c>
      <c r="D95" s="42" t="s">
        <v>94</v>
      </c>
      <c r="E95" s="4" t="s">
        <v>36</v>
      </c>
      <c r="F95" s="43" t="s">
        <v>10</v>
      </c>
      <c r="G95" s="42" t="s">
        <v>44</v>
      </c>
      <c r="H95" s="4" t="str">
        <f>IFERROR(_xlfn.XLOOKUP(G95,Listas!E:E,Listas!F:F,""),"")</f>
        <v>Operativo</v>
      </c>
      <c r="I95" s="52" t="str">
        <f>IFERROR(_xlfn.XLOOKUP(G95,Listas!E:E,Listas!G:G,""),"")</f>
        <v>Externo</v>
      </c>
      <c r="J95" s="45">
        <v>45</v>
      </c>
      <c r="K95" s="5">
        <v>-45</v>
      </c>
      <c r="L95" s="6" t="s">
        <v>93</v>
      </c>
      <c r="M95" s="46">
        <v>11613.909999999974</v>
      </c>
      <c r="N95" s="27" t="str">
        <f>IF(tblMovimientos[[#This Row],[Tipo de Movimiento]]="Ingreso",tblMovimientos[[#This Row],[Monto (S/)]],"0")</f>
        <v>0</v>
      </c>
      <c r="O95" s="27">
        <f>IF(tblMovimientos[[#This Row],[Tipo de Movimiento]]="Egreso",tblMovimientos[[#This Row],[Monto (S/)]],"0")</f>
        <v>45</v>
      </c>
      <c r="P95" s="29">
        <f>IF(tblMovimientos[[#This Row],[Tipo de Movimiento]]="Ingreso",tblMovimientos[[#This Row],[Ingreso]],-tblMovimientos[[#This Row],[Egreso]])</f>
        <v>-45</v>
      </c>
    </row>
    <row r="96" spans="2:16" x14ac:dyDescent="0.3">
      <c r="B96" s="41">
        <v>46156</v>
      </c>
      <c r="C96" s="4" t="s">
        <v>18</v>
      </c>
      <c r="D96" s="42" t="s">
        <v>97</v>
      </c>
      <c r="E96" s="4" t="s">
        <v>37</v>
      </c>
      <c r="F96" s="43" t="s">
        <v>9</v>
      </c>
      <c r="G96" s="42" t="s">
        <v>68</v>
      </c>
      <c r="H96" s="4" t="str">
        <f>IFERROR(_xlfn.XLOOKUP(G96,Listas!E:E,Listas!F:F,""),"")</f>
        <v>Operativo</v>
      </c>
      <c r="I96" s="52" t="str">
        <f>IFERROR(_xlfn.XLOOKUP(G96,Listas!E:E,Listas!G:G,""),"")</f>
        <v>Externo</v>
      </c>
      <c r="J96" s="45">
        <v>920.07</v>
      </c>
      <c r="K96" s="5">
        <v>920.07</v>
      </c>
      <c r="L96" s="6" t="s">
        <v>93</v>
      </c>
      <c r="M96" s="46">
        <v>54760.159999999938</v>
      </c>
      <c r="N96" s="27">
        <f>IF(tblMovimientos[[#This Row],[Tipo de Movimiento]]="Ingreso",tblMovimientos[[#This Row],[Monto (S/)]],"0")</f>
        <v>920.07</v>
      </c>
      <c r="O96" s="27" t="str">
        <f>IF(tblMovimientos[[#This Row],[Tipo de Movimiento]]="Egreso",tblMovimientos[[#This Row],[Monto (S/)]],"0")</f>
        <v>0</v>
      </c>
      <c r="P96" s="29">
        <f>IF(tblMovimientos[[#This Row],[Tipo de Movimiento]]="Ingreso",tblMovimientos[[#This Row],[Ingreso]],-tblMovimientos[[#This Row],[Egreso]])</f>
        <v>920.07</v>
      </c>
    </row>
    <row r="97" spans="2:16" x14ac:dyDescent="0.3">
      <c r="B97" s="41">
        <v>46156</v>
      </c>
      <c r="C97" s="4" t="s">
        <v>17</v>
      </c>
      <c r="D97" s="42" t="s">
        <v>95</v>
      </c>
      <c r="E97" s="4" t="s">
        <v>37</v>
      </c>
      <c r="F97" s="43" t="s">
        <v>9</v>
      </c>
      <c r="G97" s="42" t="s">
        <v>85</v>
      </c>
      <c r="H97" s="4" t="str">
        <f>IFERROR(_xlfn.XLOOKUP(G97,Listas!E:E,Listas!F:F,""),"")</f>
        <v>Operativo</v>
      </c>
      <c r="I97" s="52" t="str">
        <f>IFERROR(_xlfn.XLOOKUP(G97,Listas!E:E,Listas!G:G,""),"")</f>
        <v>Interno</v>
      </c>
      <c r="J97" s="45">
        <v>50000</v>
      </c>
      <c r="K97" s="5">
        <v>50000</v>
      </c>
      <c r="L97" s="6" t="s">
        <v>93</v>
      </c>
      <c r="M97" s="46">
        <v>148882.87000000023</v>
      </c>
      <c r="N97" s="27">
        <f>IF(tblMovimientos[[#This Row],[Tipo de Movimiento]]="Ingreso",tblMovimientos[[#This Row],[Monto (S/)]],"0")</f>
        <v>50000</v>
      </c>
      <c r="O97" s="27" t="str">
        <f>IF(tblMovimientos[[#This Row],[Tipo de Movimiento]]="Egreso",tblMovimientos[[#This Row],[Monto (S/)]],"0")</f>
        <v>0</v>
      </c>
      <c r="P97" s="29">
        <f>IF(tblMovimientos[[#This Row],[Tipo de Movimiento]]="Ingreso",tblMovimientos[[#This Row],[Ingreso]],-tblMovimientos[[#This Row],[Egreso]])</f>
        <v>50000</v>
      </c>
    </row>
    <row r="98" spans="2:16" x14ac:dyDescent="0.3">
      <c r="B98" s="41">
        <v>46156</v>
      </c>
      <c r="C98" s="4" t="s">
        <v>17</v>
      </c>
      <c r="D98" s="42" t="s">
        <v>95</v>
      </c>
      <c r="E98" s="4" t="s">
        <v>37</v>
      </c>
      <c r="F98" s="43" t="s">
        <v>10</v>
      </c>
      <c r="G98" s="42" t="s">
        <v>46</v>
      </c>
      <c r="H98" s="4" t="str">
        <f>IFERROR(_xlfn.XLOOKUP(G98,Listas!E:E,Listas!F:F,""),"")</f>
        <v>Financiamiento</v>
      </c>
      <c r="I98" s="52" t="str">
        <f>IFERROR(_xlfn.XLOOKUP(G98,Listas!E:E,Listas!G:G,""),"")</f>
        <v>Externo</v>
      </c>
      <c r="J98" s="45">
        <v>5000</v>
      </c>
      <c r="K98" s="5">
        <v>-5000</v>
      </c>
      <c r="L98" s="6" t="s">
        <v>93</v>
      </c>
      <c r="M98" s="46">
        <v>148882.87000000023</v>
      </c>
      <c r="N98" s="27" t="str">
        <f>IF(tblMovimientos[[#This Row],[Tipo de Movimiento]]="Ingreso",tblMovimientos[[#This Row],[Monto (S/)]],"0")</f>
        <v>0</v>
      </c>
      <c r="O98" s="27">
        <f>IF(tblMovimientos[[#This Row],[Tipo de Movimiento]]="Egreso",tblMovimientos[[#This Row],[Monto (S/)]],"0")</f>
        <v>5000</v>
      </c>
      <c r="P98" s="29">
        <f>IF(tblMovimientos[[#This Row],[Tipo de Movimiento]]="Ingreso",tblMovimientos[[#This Row],[Ingreso]],-tblMovimientos[[#This Row],[Egreso]])</f>
        <v>-5000</v>
      </c>
    </row>
    <row r="99" spans="2:16" x14ac:dyDescent="0.3">
      <c r="B99" s="41">
        <v>46156</v>
      </c>
      <c r="C99" s="4" t="s">
        <v>17</v>
      </c>
      <c r="D99" s="42" t="s">
        <v>95</v>
      </c>
      <c r="E99" s="4" t="s">
        <v>37</v>
      </c>
      <c r="F99" s="43" t="s">
        <v>10</v>
      </c>
      <c r="G99" s="42" t="s">
        <v>46</v>
      </c>
      <c r="H99" s="4" t="str">
        <f>IFERROR(_xlfn.XLOOKUP(G99,Listas!E:E,Listas!F:F,""),"")</f>
        <v>Financiamiento</v>
      </c>
      <c r="I99" s="52" t="str">
        <f>IFERROR(_xlfn.XLOOKUP(G99,Listas!E:E,Listas!G:G,""),"")</f>
        <v>Externo</v>
      </c>
      <c r="J99" s="45">
        <v>27083.33</v>
      </c>
      <c r="K99" s="5">
        <v>-27083.33</v>
      </c>
      <c r="L99" s="6" t="s">
        <v>93</v>
      </c>
      <c r="M99" s="46">
        <v>148882.87000000023</v>
      </c>
      <c r="N99" s="27" t="str">
        <f>IF(tblMovimientos[[#This Row],[Tipo de Movimiento]]="Ingreso",tblMovimientos[[#This Row],[Monto (S/)]],"0")</f>
        <v>0</v>
      </c>
      <c r="O99" s="27">
        <f>IF(tblMovimientos[[#This Row],[Tipo de Movimiento]]="Egreso",tblMovimientos[[#This Row],[Monto (S/)]],"0")</f>
        <v>27083.33</v>
      </c>
      <c r="P99" s="29">
        <f>IF(tblMovimientos[[#This Row],[Tipo de Movimiento]]="Ingreso",tblMovimientos[[#This Row],[Ingreso]],-tblMovimientos[[#This Row],[Egreso]])</f>
        <v>-27083.33</v>
      </c>
    </row>
    <row r="100" spans="2:16" x14ac:dyDescent="0.3">
      <c r="B100" s="41">
        <v>46156</v>
      </c>
      <c r="C100" s="4" t="s">
        <v>17</v>
      </c>
      <c r="D100" s="42" t="s">
        <v>95</v>
      </c>
      <c r="E100" s="4" t="s">
        <v>37</v>
      </c>
      <c r="F100" s="43" t="s">
        <v>10</v>
      </c>
      <c r="G100" s="42" t="s">
        <v>61</v>
      </c>
      <c r="H100" s="4" t="str">
        <f>IFERROR(_xlfn.XLOOKUP(G100,Listas!E:E,Listas!F:F,""),"")</f>
        <v>Operativo</v>
      </c>
      <c r="I100" s="52" t="str">
        <f>IFERROR(_xlfn.XLOOKUP(G100,Listas!E:E,Listas!G:G,""),"")</f>
        <v>Externo</v>
      </c>
      <c r="J100" s="45">
        <v>40000</v>
      </c>
      <c r="K100" s="5">
        <v>-40000</v>
      </c>
      <c r="L100" s="6" t="s">
        <v>93</v>
      </c>
      <c r="M100" s="46">
        <v>148882.87000000023</v>
      </c>
      <c r="N100" s="27" t="str">
        <f>IF(tblMovimientos[[#This Row],[Tipo de Movimiento]]="Ingreso",tblMovimientos[[#This Row],[Monto (S/)]],"0")</f>
        <v>0</v>
      </c>
      <c r="O100" s="27">
        <f>IF(tblMovimientos[[#This Row],[Tipo de Movimiento]]="Egreso",tblMovimientos[[#This Row],[Monto (S/)]],"0")</f>
        <v>40000</v>
      </c>
      <c r="P100" s="29">
        <f>IF(tblMovimientos[[#This Row],[Tipo de Movimiento]]="Ingreso",tblMovimientos[[#This Row],[Ingreso]],-tblMovimientos[[#This Row],[Egreso]])</f>
        <v>-40000</v>
      </c>
    </row>
    <row r="101" spans="2:16" x14ac:dyDescent="0.3">
      <c r="B101" s="41">
        <v>46156</v>
      </c>
      <c r="C101" s="4" t="s">
        <v>17</v>
      </c>
      <c r="D101" s="42" t="s">
        <v>95</v>
      </c>
      <c r="E101" s="4" t="s">
        <v>37</v>
      </c>
      <c r="F101" s="43" t="s">
        <v>10</v>
      </c>
      <c r="G101" s="42" t="s">
        <v>46</v>
      </c>
      <c r="H101" s="4" t="str">
        <f>IFERROR(_xlfn.XLOOKUP(G101,Listas!E:E,Listas!F:F,""),"")</f>
        <v>Financiamiento</v>
      </c>
      <c r="I101" s="52" t="str">
        <f>IFERROR(_xlfn.XLOOKUP(G101,Listas!E:E,Listas!G:G,""),"")</f>
        <v>Externo</v>
      </c>
      <c r="J101" s="45">
        <v>56000</v>
      </c>
      <c r="K101" s="5">
        <v>-56000</v>
      </c>
      <c r="L101" s="6" t="s">
        <v>93</v>
      </c>
      <c r="M101" s="46">
        <v>148882.87000000023</v>
      </c>
      <c r="N101" s="27" t="str">
        <f>IF(tblMovimientos[[#This Row],[Tipo de Movimiento]]="Ingreso",tblMovimientos[[#This Row],[Monto (S/)]],"0")</f>
        <v>0</v>
      </c>
      <c r="O101" s="27">
        <f>IF(tblMovimientos[[#This Row],[Tipo de Movimiento]]="Egreso",tblMovimientos[[#This Row],[Monto (S/)]],"0")</f>
        <v>56000</v>
      </c>
      <c r="P101" s="29">
        <f>IF(tblMovimientos[[#This Row],[Tipo de Movimiento]]="Ingreso",tblMovimientos[[#This Row],[Ingreso]],-tblMovimientos[[#This Row],[Egreso]])</f>
        <v>-56000</v>
      </c>
    </row>
    <row r="102" spans="2:16" x14ac:dyDescent="0.3">
      <c r="B102" s="41">
        <v>46156</v>
      </c>
      <c r="C102" s="4" t="s">
        <v>17</v>
      </c>
      <c r="D102" s="42" t="s">
        <v>95</v>
      </c>
      <c r="E102" s="4" t="s">
        <v>37</v>
      </c>
      <c r="F102" s="43" t="s">
        <v>10</v>
      </c>
      <c r="G102" s="42" t="s">
        <v>61</v>
      </c>
      <c r="H102" s="4" t="str">
        <f>IFERROR(_xlfn.XLOOKUP(G102,Listas!E:E,Listas!F:F,""),"")</f>
        <v>Operativo</v>
      </c>
      <c r="I102" s="52" t="str">
        <f>IFERROR(_xlfn.XLOOKUP(G102,Listas!E:E,Listas!G:G,""),"")</f>
        <v>Externo</v>
      </c>
      <c r="J102" s="45">
        <v>60000</v>
      </c>
      <c r="K102" s="5">
        <v>-60000</v>
      </c>
      <c r="L102" s="6" t="s">
        <v>93</v>
      </c>
      <c r="M102" s="46">
        <v>148882.87000000023</v>
      </c>
      <c r="N102" s="27" t="str">
        <f>IF(tblMovimientos[[#This Row],[Tipo de Movimiento]]="Ingreso",tblMovimientos[[#This Row],[Monto (S/)]],"0")</f>
        <v>0</v>
      </c>
      <c r="O102" s="27">
        <f>IF(tblMovimientos[[#This Row],[Tipo de Movimiento]]="Egreso",tblMovimientos[[#This Row],[Monto (S/)]],"0")</f>
        <v>60000</v>
      </c>
      <c r="P102" s="29">
        <f>IF(tblMovimientos[[#This Row],[Tipo de Movimiento]]="Ingreso",tblMovimientos[[#This Row],[Ingreso]],-tblMovimientos[[#This Row],[Egreso]])</f>
        <v>-60000</v>
      </c>
    </row>
    <row r="103" spans="2:16" x14ac:dyDescent="0.3">
      <c r="B103" s="41">
        <v>46156</v>
      </c>
      <c r="C103" s="4" t="s">
        <v>17</v>
      </c>
      <c r="D103" s="42" t="s">
        <v>95</v>
      </c>
      <c r="E103" s="4" t="s">
        <v>37</v>
      </c>
      <c r="F103" s="43" t="s">
        <v>10</v>
      </c>
      <c r="G103" s="42" t="s">
        <v>46</v>
      </c>
      <c r="H103" s="4" t="str">
        <f>IFERROR(_xlfn.XLOOKUP(G103,Listas!E:E,Listas!F:F,""),"")</f>
        <v>Financiamiento</v>
      </c>
      <c r="I103" s="52" t="str">
        <f>IFERROR(_xlfn.XLOOKUP(G103,Listas!E:E,Listas!G:G,""),"")</f>
        <v>Externo</v>
      </c>
      <c r="J103" s="45">
        <v>70000</v>
      </c>
      <c r="K103" s="5">
        <v>-70000</v>
      </c>
      <c r="L103" s="6" t="s">
        <v>93</v>
      </c>
      <c r="M103" s="46">
        <v>148882.87000000023</v>
      </c>
      <c r="N103" s="27" t="str">
        <f>IF(tblMovimientos[[#This Row],[Tipo de Movimiento]]="Ingreso",tblMovimientos[[#This Row],[Monto (S/)]],"0")</f>
        <v>0</v>
      </c>
      <c r="O103" s="27">
        <f>IF(tblMovimientos[[#This Row],[Tipo de Movimiento]]="Egreso",tblMovimientos[[#This Row],[Monto (S/)]],"0")</f>
        <v>70000</v>
      </c>
      <c r="P103" s="29">
        <f>IF(tblMovimientos[[#This Row],[Tipo de Movimiento]]="Ingreso",tblMovimientos[[#This Row],[Ingreso]],-tblMovimientos[[#This Row],[Egreso]])</f>
        <v>-70000</v>
      </c>
    </row>
    <row r="104" spans="2:16" x14ac:dyDescent="0.3">
      <c r="B104" s="41">
        <v>46156</v>
      </c>
      <c r="C104" s="4" t="s">
        <v>17</v>
      </c>
      <c r="D104" s="42" t="s">
        <v>95</v>
      </c>
      <c r="E104" s="4" t="s">
        <v>37</v>
      </c>
      <c r="F104" s="43" t="s">
        <v>10</v>
      </c>
      <c r="G104" s="42" t="s">
        <v>46</v>
      </c>
      <c r="H104" s="4" t="str">
        <f>IFERROR(_xlfn.XLOOKUP(G104,Listas!E:E,Listas!F:F,""),"")</f>
        <v>Financiamiento</v>
      </c>
      <c r="I104" s="52" t="str">
        <f>IFERROR(_xlfn.XLOOKUP(G104,Listas!E:E,Listas!G:G,""),"")</f>
        <v>Externo</v>
      </c>
      <c r="J104" s="45">
        <v>82833.33</v>
      </c>
      <c r="K104" s="5">
        <v>-82833.33</v>
      </c>
      <c r="L104" s="6" t="s">
        <v>93</v>
      </c>
      <c r="M104" s="46">
        <v>148882.87000000023</v>
      </c>
      <c r="N104" s="27" t="str">
        <f>IF(tblMovimientos[[#This Row],[Tipo de Movimiento]]="Ingreso",tblMovimientos[[#This Row],[Monto (S/)]],"0")</f>
        <v>0</v>
      </c>
      <c r="O104" s="27">
        <f>IF(tblMovimientos[[#This Row],[Tipo de Movimiento]]="Egreso",tblMovimientos[[#This Row],[Monto (S/)]],"0")</f>
        <v>82833.33</v>
      </c>
      <c r="P104" s="29">
        <f>IF(tblMovimientos[[#This Row],[Tipo de Movimiento]]="Ingreso",tblMovimientos[[#This Row],[Ingreso]],-tblMovimientos[[#This Row],[Egreso]])</f>
        <v>-82833.33</v>
      </c>
    </row>
    <row r="105" spans="2:16" x14ac:dyDescent="0.3">
      <c r="B105" s="41">
        <v>46156</v>
      </c>
      <c r="C105" s="4" t="s">
        <v>21</v>
      </c>
      <c r="D105" s="42" t="s">
        <v>104</v>
      </c>
      <c r="E105" s="4" t="s">
        <v>37</v>
      </c>
      <c r="F105" s="43" t="s">
        <v>10</v>
      </c>
      <c r="G105" s="42" t="s">
        <v>60</v>
      </c>
      <c r="H105" s="4" t="str">
        <f>IFERROR(_xlfn.XLOOKUP(G105,Listas!E:E,Listas!F:F,""),"")</f>
        <v>Inversion</v>
      </c>
      <c r="I105" s="52" t="str">
        <f>IFERROR(_xlfn.XLOOKUP(G105,Listas!E:E,Listas!G:G,""),"")</f>
        <v>Interno</v>
      </c>
      <c r="J105" s="45">
        <v>50000</v>
      </c>
      <c r="K105" s="5">
        <v>-50000</v>
      </c>
      <c r="L105" s="6" t="s">
        <v>93</v>
      </c>
      <c r="M105" s="46">
        <v>176117.51999999938</v>
      </c>
      <c r="N105" s="27" t="str">
        <f>IF(tblMovimientos[[#This Row],[Tipo de Movimiento]]="Ingreso",tblMovimientos[[#This Row],[Monto (S/)]],"0")</f>
        <v>0</v>
      </c>
      <c r="O105" s="27">
        <f>IF(tblMovimientos[[#This Row],[Tipo de Movimiento]]="Egreso",tblMovimientos[[#This Row],[Monto (S/)]],"0")</f>
        <v>50000</v>
      </c>
      <c r="P105" s="29">
        <f>IF(tblMovimientos[[#This Row],[Tipo de Movimiento]]="Ingreso",tblMovimientos[[#This Row],[Ingreso]],-tblMovimientos[[#This Row],[Egreso]])</f>
        <v>-50000</v>
      </c>
    </row>
    <row r="106" spans="2:16" x14ac:dyDescent="0.3">
      <c r="B106" s="41">
        <v>46156</v>
      </c>
      <c r="C106" s="4" t="s">
        <v>21</v>
      </c>
      <c r="D106" s="42" t="s">
        <v>104</v>
      </c>
      <c r="E106" s="4" t="s">
        <v>37</v>
      </c>
      <c r="F106" s="43" t="s">
        <v>10</v>
      </c>
      <c r="G106" s="42" t="s">
        <v>46</v>
      </c>
      <c r="H106" s="4" t="str">
        <f>IFERROR(_xlfn.XLOOKUP(G106,Listas!E:E,Listas!F:F,""),"")</f>
        <v>Financiamiento</v>
      </c>
      <c r="I106" s="52" t="str">
        <f>IFERROR(_xlfn.XLOOKUP(G106,Listas!E:E,Listas!G:G,""),"")</f>
        <v>Externo</v>
      </c>
      <c r="J106" s="45">
        <v>53666.67</v>
      </c>
      <c r="K106" s="5">
        <v>-53666.67</v>
      </c>
      <c r="L106" s="6" t="s">
        <v>93</v>
      </c>
      <c r="M106" s="46">
        <v>176117.51999999938</v>
      </c>
      <c r="N106" s="27" t="str">
        <f>IF(tblMovimientos[[#This Row],[Tipo de Movimiento]]="Ingreso",tblMovimientos[[#This Row],[Monto (S/)]],"0")</f>
        <v>0</v>
      </c>
      <c r="O106" s="27">
        <f>IF(tblMovimientos[[#This Row],[Tipo de Movimiento]]="Egreso",tblMovimientos[[#This Row],[Monto (S/)]],"0")</f>
        <v>53666.67</v>
      </c>
      <c r="P106" s="29">
        <f>IF(tblMovimientos[[#This Row],[Tipo de Movimiento]]="Ingreso",tblMovimientos[[#This Row],[Ingreso]],-tblMovimientos[[#This Row],[Egreso]])</f>
        <v>-53666.67</v>
      </c>
    </row>
    <row r="107" spans="2:16" x14ac:dyDescent="0.3">
      <c r="B107" s="41">
        <v>46156</v>
      </c>
      <c r="C107" s="4" t="s">
        <v>21</v>
      </c>
      <c r="D107" s="42" t="s">
        <v>104</v>
      </c>
      <c r="E107" s="4" t="s">
        <v>37</v>
      </c>
      <c r="F107" s="43" t="s">
        <v>10</v>
      </c>
      <c r="G107" s="42" t="s">
        <v>46</v>
      </c>
      <c r="H107" s="4" t="str">
        <f>IFERROR(_xlfn.XLOOKUP(G107,Listas!E:E,Listas!F:F,""),"")</f>
        <v>Financiamiento</v>
      </c>
      <c r="I107" s="52" t="str">
        <f>IFERROR(_xlfn.XLOOKUP(G107,Listas!E:E,Listas!G:G,""),"")</f>
        <v>Externo</v>
      </c>
      <c r="J107" s="45">
        <v>99166.67</v>
      </c>
      <c r="K107" s="5">
        <v>-99166.67</v>
      </c>
      <c r="L107" s="6" t="s">
        <v>93</v>
      </c>
      <c r="M107" s="46">
        <v>176117.51999999938</v>
      </c>
      <c r="N107" s="27" t="str">
        <f>IF(tblMovimientos[[#This Row],[Tipo de Movimiento]]="Ingreso",tblMovimientos[[#This Row],[Monto (S/)]],"0")</f>
        <v>0</v>
      </c>
      <c r="O107" s="27">
        <f>IF(tblMovimientos[[#This Row],[Tipo de Movimiento]]="Egreso",tblMovimientos[[#This Row],[Monto (S/)]],"0")</f>
        <v>99166.67</v>
      </c>
      <c r="P107" s="29">
        <f>IF(tblMovimientos[[#This Row],[Tipo de Movimiento]]="Ingreso",tblMovimientos[[#This Row],[Ingreso]],-tblMovimientos[[#This Row],[Egreso]])</f>
        <v>-99166.67</v>
      </c>
    </row>
    <row r="108" spans="2:16" x14ac:dyDescent="0.3">
      <c r="B108" s="41">
        <v>46156</v>
      </c>
      <c r="C108" s="4" t="s">
        <v>35</v>
      </c>
      <c r="D108" s="42" t="s">
        <v>126</v>
      </c>
      <c r="E108" s="4" t="s">
        <v>37</v>
      </c>
      <c r="F108" s="43" t="s">
        <v>10</v>
      </c>
      <c r="G108" s="42" t="s">
        <v>38</v>
      </c>
      <c r="H108" s="4" t="str">
        <f>IFERROR(_xlfn.XLOOKUP(G108,Listas!E:E,Listas!F:F,""),"")</f>
        <v>Operativo</v>
      </c>
      <c r="I108" s="52" t="str">
        <f>IFERROR(_xlfn.XLOOKUP(G108,Listas!E:E,Listas!G:G,""),"")</f>
        <v>Externo</v>
      </c>
      <c r="J108" s="45">
        <v>2500</v>
      </c>
      <c r="K108" s="5">
        <v>-2500</v>
      </c>
      <c r="L108" s="6" t="s">
        <v>93</v>
      </c>
      <c r="M108" s="46">
        <v>14226.59</v>
      </c>
      <c r="N108" s="27" t="str">
        <f>IF(tblMovimientos[[#This Row],[Tipo de Movimiento]]="Ingreso",tblMovimientos[[#This Row],[Monto (S/)]],"0")</f>
        <v>0</v>
      </c>
      <c r="O108" s="27">
        <f>IF(tblMovimientos[[#This Row],[Tipo de Movimiento]]="Egreso",tblMovimientos[[#This Row],[Monto (S/)]],"0")</f>
        <v>2500</v>
      </c>
      <c r="P108" s="29">
        <f>IF(tblMovimientos[[#This Row],[Tipo de Movimiento]]="Ingreso",tblMovimientos[[#This Row],[Ingreso]],-tblMovimientos[[#This Row],[Egreso]])</f>
        <v>-2500</v>
      </c>
    </row>
    <row r="109" spans="2:16" x14ac:dyDescent="0.3">
      <c r="B109" s="41">
        <v>46157</v>
      </c>
      <c r="C109" s="4" t="s">
        <v>35</v>
      </c>
      <c r="D109" s="42" t="s">
        <v>126</v>
      </c>
      <c r="E109" s="4" t="s">
        <v>37</v>
      </c>
      <c r="F109" s="43" t="s">
        <v>10</v>
      </c>
      <c r="G109" s="42" t="s">
        <v>38</v>
      </c>
      <c r="H109" s="4" t="str">
        <f>IFERROR(_xlfn.XLOOKUP(G109,Listas!E:E,Listas!F:F,""),"")</f>
        <v>Operativo</v>
      </c>
      <c r="I109" s="52" t="str">
        <f>IFERROR(_xlfn.XLOOKUP(G109,Listas!E:E,Listas!G:G,""),"")</f>
        <v>Externo</v>
      </c>
      <c r="J109" s="45">
        <v>50</v>
      </c>
      <c r="K109" s="5">
        <v>-50</v>
      </c>
      <c r="L109" s="6" t="s">
        <v>93</v>
      </c>
      <c r="M109" s="46">
        <v>14176.59</v>
      </c>
      <c r="N109" s="27" t="str">
        <f>IF(tblMovimientos[[#This Row],[Tipo de Movimiento]]="Ingreso",tblMovimientos[[#This Row],[Monto (S/)]],"0")</f>
        <v>0</v>
      </c>
      <c r="O109" s="27">
        <f>IF(tblMovimientos[[#This Row],[Tipo de Movimiento]]="Egreso",tblMovimientos[[#This Row],[Monto (S/)]],"0")</f>
        <v>50</v>
      </c>
      <c r="P109" s="29">
        <f>IF(tblMovimientos[[#This Row],[Tipo de Movimiento]]="Ingreso",tblMovimientos[[#This Row],[Ingreso]],-tblMovimientos[[#This Row],[Egreso]])</f>
        <v>-50</v>
      </c>
    </row>
    <row r="110" spans="2:16" x14ac:dyDescent="0.3">
      <c r="B110" s="41">
        <v>46157</v>
      </c>
      <c r="C110" s="4" t="s">
        <v>33</v>
      </c>
      <c r="D110" s="42" t="s">
        <v>124</v>
      </c>
      <c r="E110" s="4" t="s">
        <v>36</v>
      </c>
      <c r="F110" s="43" t="s">
        <v>10</v>
      </c>
      <c r="G110" s="42" t="s">
        <v>38</v>
      </c>
      <c r="H110" s="4" t="str">
        <f>IFERROR(_xlfn.XLOOKUP(G110,Listas!E:E,Listas!F:F,""),"")</f>
        <v>Operativo</v>
      </c>
      <c r="I110" s="52" t="str">
        <f>IFERROR(_xlfn.XLOOKUP(G110,Listas!E:E,Listas!G:G,""),"")</f>
        <v>Externo</v>
      </c>
      <c r="J110" s="45">
        <v>1650</v>
      </c>
      <c r="K110" s="5">
        <v>-1650</v>
      </c>
      <c r="L110" s="6" t="s">
        <v>93</v>
      </c>
      <c r="M110" s="46">
        <v>27011.27</v>
      </c>
      <c r="N110" s="27" t="str">
        <f>IF(tblMovimientos[[#This Row],[Tipo de Movimiento]]="Ingreso",tblMovimientos[[#This Row],[Monto (S/)]],"0")</f>
        <v>0</v>
      </c>
      <c r="O110" s="27">
        <f>IF(tblMovimientos[[#This Row],[Tipo de Movimiento]]="Egreso",tblMovimientos[[#This Row],[Monto (S/)]],"0")</f>
        <v>1650</v>
      </c>
      <c r="P110" s="29">
        <f>IF(tblMovimientos[[#This Row],[Tipo de Movimiento]]="Ingreso",tblMovimientos[[#This Row],[Ingreso]],-tblMovimientos[[#This Row],[Egreso]])</f>
        <v>-1650</v>
      </c>
    </row>
    <row r="111" spans="2:16" x14ac:dyDescent="0.3">
      <c r="B111" s="41">
        <v>46157</v>
      </c>
      <c r="C111" s="4" t="s">
        <v>33</v>
      </c>
      <c r="D111" s="42" t="s">
        <v>124</v>
      </c>
      <c r="E111" s="4" t="s">
        <v>36</v>
      </c>
      <c r="F111" s="43" t="s">
        <v>10</v>
      </c>
      <c r="G111" s="42" t="s">
        <v>38</v>
      </c>
      <c r="H111" s="4" t="str">
        <f>IFERROR(_xlfn.XLOOKUP(G111,Listas!E:E,Listas!F:F,""),"")</f>
        <v>Operativo</v>
      </c>
      <c r="I111" s="52" t="str">
        <f>IFERROR(_xlfn.XLOOKUP(G111,Listas!E:E,Listas!G:G,""),"")</f>
        <v>Externo</v>
      </c>
      <c r="J111" s="45">
        <v>2200</v>
      </c>
      <c r="K111" s="5">
        <v>-2200</v>
      </c>
      <c r="L111" s="6" t="s">
        <v>93</v>
      </c>
      <c r="M111" s="46">
        <v>27011.27</v>
      </c>
      <c r="N111" s="27" t="str">
        <f>IF(tblMovimientos[[#This Row],[Tipo de Movimiento]]="Ingreso",tblMovimientos[[#This Row],[Monto (S/)]],"0")</f>
        <v>0</v>
      </c>
      <c r="O111" s="27">
        <f>IF(tblMovimientos[[#This Row],[Tipo de Movimiento]]="Egreso",tblMovimientos[[#This Row],[Monto (S/)]],"0")</f>
        <v>2200</v>
      </c>
      <c r="P111" s="29">
        <f>IF(tblMovimientos[[#This Row],[Tipo de Movimiento]]="Ingreso",tblMovimientos[[#This Row],[Ingreso]],-tblMovimientos[[#This Row],[Egreso]])</f>
        <v>-2200</v>
      </c>
    </row>
    <row r="112" spans="2:16" x14ac:dyDescent="0.3">
      <c r="B112" s="41">
        <v>46157</v>
      </c>
      <c r="C112" s="4" t="s">
        <v>33</v>
      </c>
      <c r="D112" s="42" t="s">
        <v>124</v>
      </c>
      <c r="E112" s="4" t="s">
        <v>36</v>
      </c>
      <c r="F112" s="43" t="s">
        <v>10</v>
      </c>
      <c r="G112" s="42" t="s">
        <v>38</v>
      </c>
      <c r="H112" s="4" t="str">
        <f>IFERROR(_xlfn.XLOOKUP(G112,Listas!E:E,Listas!F:F,""),"")</f>
        <v>Operativo</v>
      </c>
      <c r="I112" s="52" t="str">
        <f>IFERROR(_xlfn.XLOOKUP(G112,Listas!E:E,Listas!G:G,""),"")</f>
        <v>Externo</v>
      </c>
      <c r="J112" s="45">
        <v>160</v>
      </c>
      <c r="K112" s="5">
        <v>-160</v>
      </c>
      <c r="L112" s="6" t="s">
        <v>93</v>
      </c>
      <c r="M112" s="46">
        <v>27011.27</v>
      </c>
      <c r="N112" s="27" t="str">
        <f>IF(tblMovimientos[[#This Row],[Tipo de Movimiento]]="Ingreso",tblMovimientos[[#This Row],[Monto (S/)]],"0")</f>
        <v>0</v>
      </c>
      <c r="O112" s="27">
        <f>IF(tblMovimientos[[#This Row],[Tipo de Movimiento]]="Egreso",tblMovimientos[[#This Row],[Monto (S/)]],"0")</f>
        <v>160</v>
      </c>
      <c r="P112" s="29">
        <f>IF(tblMovimientos[[#This Row],[Tipo de Movimiento]]="Ingreso",tblMovimientos[[#This Row],[Ingreso]],-tblMovimientos[[#This Row],[Egreso]])</f>
        <v>-160</v>
      </c>
    </row>
    <row r="113" spans="2:16" x14ac:dyDescent="0.3">
      <c r="B113" s="41">
        <v>46157</v>
      </c>
      <c r="C113" s="4" t="s">
        <v>33</v>
      </c>
      <c r="D113" s="42" t="s">
        <v>124</v>
      </c>
      <c r="E113" s="4" t="s">
        <v>36</v>
      </c>
      <c r="F113" s="43" t="s">
        <v>10</v>
      </c>
      <c r="G113" s="42" t="s">
        <v>38</v>
      </c>
      <c r="H113" s="4" t="str">
        <f>IFERROR(_xlfn.XLOOKUP(G113,Listas!E:E,Listas!F:F,""),"")</f>
        <v>Operativo</v>
      </c>
      <c r="I113" s="52" t="str">
        <f>IFERROR(_xlfn.XLOOKUP(G113,Listas!E:E,Listas!G:G,""),"")</f>
        <v>Externo</v>
      </c>
      <c r="J113" s="45">
        <v>100</v>
      </c>
      <c r="K113" s="5">
        <v>-100</v>
      </c>
      <c r="L113" s="6" t="s">
        <v>93</v>
      </c>
      <c r="M113" s="46">
        <v>27011.27</v>
      </c>
      <c r="N113" s="27" t="str">
        <f>IF(tblMovimientos[[#This Row],[Tipo de Movimiento]]="Ingreso",tblMovimientos[[#This Row],[Monto (S/)]],"0")</f>
        <v>0</v>
      </c>
      <c r="O113" s="27">
        <f>IF(tblMovimientos[[#This Row],[Tipo de Movimiento]]="Egreso",tblMovimientos[[#This Row],[Monto (S/)]],"0")</f>
        <v>100</v>
      </c>
      <c r="P113" s="29">
        <f>IF(tblMovimientos[[#This Row],[Tipo de Movimiento]]="Ingreso",tblMovimientos[[#This Row],[Ingreso]],-tblMovimientos[[#This Row],[Egreso]])</f>
        <v>-100</v>
      </c>
    </row>
    <row r="114" spans="2:16" x14ac:dyDescent="0.3">
      <c r="B114" s="41">
        <v>46157</v>
      </c>
      <c r="C114" s="4" t="s">
        <v>33</v>
      </c>
      <c r="D114" s="42" t="s">
        <v>124</v>
      </c>
      <c r="E114" s="4" t="s">
        <v>36</v>
      </c>
      <c r="F114" s="43" t="s">
        <v>10</v>
      </c>
      <c r="G114" s="42" t="s">
        <v>38</v>
      </c>
      <c r="H114" s="4" t="str">
        <f>IFERROR(_xlfn.XLOOKUP(G114,Listas!E:E,Listas!F:F,""),"")</f>
        <v>Operativo</v>
      </c>
      <c r="I114" s="52" t="str">
        <f>IFERROR(_xlfn.XLOOKUP(G114,Listas!E:E,Listas!G:G,""),"")</f>
        <v>Externo</v>
      </c>
      <c r="J114" s="45">
        <v>200</v>
      </c>
      <c r="K114" s="5">
        <v>-200</v>
      </c>
      <c r="L114" s="6" t="s">
        <v>93</v>
      </c>
      <c r="M114" s="46">
        <v>27011.27</v>
      </c>
      <c r="N114" s="27" t="str">
        <f>IF(tblMovimientos[[#This Row],[Tipo de Movimiento]]="Ingreso",tblMovimientos[[#This Row],[Monto (S/)]],"0")</f>
        <v>0</v>
      </c>
      <c r="O114" s="27">
        <f>IF(tblMovimientos[[#This Row],[Tipo de Movimiento]]="Egreso",tblMovimientos[[#This Row],[Monto (S/)]],"0")</f>
        <v>200</v>
      </c>
      <c r="P114" s="29">
        <f>IF(tblMovimientos[[#This Row],[Tipo de Movimiento]]="Ingreso",tblMovimientos[[#This Row],[Ingreso]],-tblMovimientos[[#This Row],[Egreso]])</f>
        <v>-200</v>
      </c>
    </row>
    <row r="115" spans="2:16" x14ac:dyDescent="0.3">
      <c r="B115" s="41">
        <v>46157</v>
      </c>
      <c r="C115" s="4" t="s">
        <v>33</v>
      </c>
      <c r="D115" s="42" t="s">
        <v>124</v>
      </c>
      <c r="E115" s="4" t="s">
        <v>36</v>
      </c>
      <c r="F115" s="43" t="s">
        <v>10</v>
      </c>
      <c r="G115" s="42" t="s">
        <v>38</v>
      </c>
      <c r="H115" s="4" t="str">
        <f>IFERROR(_xlfn.XLOOKUP(G115,Listas!E:E,Listas!F:F,""),"")</f>
        <v>Operativo</v>
      </c>
      <c r="I115" s="52" t="str">
        <f>IFERROR(_xlfn.XLOOKUP(G115,Listas!E:E,Listas!G:G,""),"")</f>
        <v>Externo</v>
      </c>
      <c r="J115" s="45">
        <v>2.12</v>
      </c>
      <c r="K115" s="5">
        <v>-2.12</v>
      </c>
      <c r="L115" s="6" t="s">
        <v>93</v>
      </c>
      <c r="M115" s="46">
        <v>27011.27</v>
      </c>
      <c r="N115" s="27" t="str">
        <f>IF(tblMovimientos[[#This Row],[Tipo de Movimiento]]="Ingreso",tblMovimientos[[#This Row],[Monto (S/)]],"0")</f>
        <v>0</v>
      </c>
      <c r="O115" s="27">
        <f>IF(tblMovimientos[[#This Row],[Tipo de Movimiento]]="Egreso",tblMovimientos[[#This Row],[Monto (S/)]],"0")</f>
        <v>2.12</v>
      </c>
      <c r="P115" s="29">
        <f>IF(tblMovimientos[[#This Row],[Tipo de Movimiento]]="Ingreso",tblMovimientos[[#This Row],[Ingreso]],-tblMovimientos[[#This Row],[Egreso]])</f>
        <v>-2.12</v>
      </c>
    </row>
    <row r="116" spans="2:16" x14ac:dyDescent="0.3">
      <c r="B116" s="41">
        <v>46157</v>
      </c>
      <c r="C116" s="4" t="s">
        <v>20</v>
      </c>
      <c r="D116" s="42" t="s">
        <v>100</v>
      </c>
      <c r="E116" s="4" t="s">
        <v>36</v>
      </c>
      <c r="F116" s="43" t="s">
        <v>10</v>
      </c>
      <c r="G116" s="42" t="s">
        <v>44</v>
      </c>
      <c r="H116" s="4" t="str">
        <f>IFERROR(_xlfn.XLOOKUP(G116,Listas!E:E,Listas!F:F,""),"")</f>
        <v>Operativo</v>
      </c>
      <c r="I116" s="52" t="str">
        <f>IFERROR(_xlfn.XLOOKUP(G116,Listas!E:E,Listas!G:G,""),"")</f>
        <v>Externo</v>
      </c>
      <c r="J116" s="45">
        <v>603.46</v>
      </c>
      <c r="K116" s="5">
        <v>-603.46</v>
      </c>
      <c r="L116" s="6" t="s">
        <v>93</v>
      </c>
      <c r="M116" s="46">
        <v>832076.20999999985</v>
      </c>
      <c r="N116" s="27" t="str">
        <f>IF(tblMovimientos[[#This Row],[Tipo de Movimiento]]="Ingreso",tblMovimientos[[#This Row],[Monto (S/)]],"0")</f>
        <v>0</v>
      </c>
      <c r="O116" s="27">
        <f>IF(tblMovimientos[[#This Row],[Tipo de Movimiento]]="Egreso",tblMovimientos[[#This Row],[Monto (S/)]],"0")</f>
        <v>603.46</v>
      </c>
      <c r="P116" s="29">
        <f>IF(tblMovimientos[[#This Row],[Tipo de Movimiento]]="Ingreso",tblMovimientos[[#This Row],[Ingreso]],-tblMovimientos[[#This Row],[Egreso]])</f>
        <v>-603.46</v>
      </c>
    </row>
    <row r="117" spans="2:16" x14ac:dyDescent="0.3">
      <c r="B117" s="41">
        <v>46157</v>
      </c>
      <c r="C117" s="4" t="s">
        <v>21</v>
      </c>
      <c r="D117" s="42" t="s">
        <v>102</v>
      </c>
      <c r="E117" s="4" t="s">
        <v>36</v>
      </c>
      <c r="F117" s="43" t="s">
        <v>10</v>
      </c>
      <c r="G117" s="42" t="s">
        <v>44</v>
      </c>
      <c r="H117" s="4" t="str">
        <f>IFERROR(_xlfn.XLOOKUP(G117,Listas!E:E,Listas!F:F,""),"")</f>
        <v>Operativo</v>
      </c>
      <c r="I117" s="52" t="str">
        <f>IFERROR(_xlfn.XLOOKUP(G117,Listas!E:E,Listas!G:G,""),"")</f>
        <v>Externo</v>
      </c>
      <c r="J117" s="45">
        <v>29.41</v>
      </c>
      <c r="K117" s="5">
        <v>-29.41</v>
      </c>
      <c r="L117" s="6" t="s">
        <v>93</v>
      </c>
      <c r="M117" s="46">
        <v>729.66000000000008</v>
      </c>
      <c r="N117" s="27" t="str">
        <f>IF(tblMovimientos[[#This Row],[Tipo de Movimiento]]="Ingreso",tblMovimientos[[#This Row],[Monto (S/)]],"0")</f>
        <v>0</v>
      </c>
      <c r="O117" s="27">
        <f>IF(tblMovimientos[[#This Row],[Tipo de Movimiento]]="Egreso",tblMovimientos[[#This Row],[Monto (S/)]],"0")</f>
        <v>29.41</v>
      </c>
      <c r="P117" s="29">
        <f>IF(tblMovimientos[[#This Row],[Tipo de Movimiento]]="Ingreso",tblMovimientos[[#This Row],[Ingreso]],-tblMovimientos[[#This Row],[Egreso]])</f>
        <v>-29.41</v>
      </c>
    </row>
    <row r="118" spans="2:16" x14ac:dyDescent="0.3">
      <c r="B118" s="41">
        <v>46160</v>
      </c>
      <c r="C118" s="4" t="s">
        <v>21</v>
      </c>
      <c r="D118" s="42" t="s">
        <v>104</v>
      </c>
      <c r="E118" s="4" t="s">
        <v>37</v>
      </c>
      <c r="F118" s="43" t="s">
        <v>10</v>
      </c>
      <c r="G118" s="42" t="s">
        <v>39</v>
      </c>
      <c r="H118" s="4" t="str">
        <f>IFERROR(_xlfn.XLOOKUP(G118,Listas!E:E,Listas!F:F,""),"")</f>
        <v>Operativo</v>
      </c>
      <c r="I118" s="52" t="str">
        <f>IFERROR(_xlfn.XLOOKUP(G118,Listas!E:E,Listas!G:G,""),"")</f>
        <v>Externo</v>
      </c>
      <c r="J118" s="45">
        <v>20960.11</v>
      </c>
      <c r="K118" s="5">
        <v>-20960.11</v>
      </c>
      <c r="L118" s="6" t="s">
        <v>93</v>
      </c>
      <c r="M118" s="46">
        <v>155157.40999999939</v>
      </c>
      <c r="N118" s="27" t="str">
        <f>IF(tblMovimientos[[#This Row],[Tipo de Movimiento]]="Ingreso",tblMovimientos[[#This Row],[Monto (S/)]],"0")</f>
        <v>0</v>
      </c>
      <c r="O118" s="27">
        <f>IF(tblMovimientos[[#This Row],[Tipo de Movimiento]]="Egreso",tblMovimientos[[#This Row],[Monto (S/)]],"0")</f>
        <v>20960.11</v>
      </c>
      <c r="P118" s="29">
        <f>IF(tblMovimientos[[#This Row],[Tipo de Movimiento]]="Ingreso",tblMovimientos[[#This Row],[Ingreso]],-tblMovimientos[[#This Row],[Egreso]])</f>
        <v>-20960.11</v>
      </c>
    </row>
    <row r="119" spans="2:16" x14ac:dyDescent="0.3">
      <c r="B119" s="41">
        <v>46160</v>
      </c>
      <c r="C119" s="4" t="s">
        <v>35</v>
      </c>
      <c r="D119" s="42" t="s">
        <v>126</v>
      </c>
      <c r="E119" s="4" t="s">
        <v>37</v>
      </c>
      <c r="F119" s="43" t="s">
        <v>10</v>
      </c>
      <c r="G119" s="42" t="s">
        <v>38</v>
      </c>
      <c r="H119" s="4" t="str">
        <f>IFERROR(_xlfn.XLOOKUP(G119,Listas!E:E,Listas!F:F,""),"")</f>
        <v>Operativo</v>
      </c>
      <c r="I119" s="52" t="str">
        <f>IFERROR(_xlfn.XLOOKUP(G119,Listas!E:E,Listas!G:G,""),"")</f>
        <v>Externo</v>
      </c>
      <c r="J119" s="45">
        <v>235.38</v>
      </c>
      <c r="K119" s="5">
        <v>-235.38</v>
      </c>
      <c r="L119" s="6" t="s">
        <v>93</v>
      </c>
      <c r="M119" s="46">
        <v>13941.210000000001</v>
      </c>
      <c r="N119" s="27" t="str">
        <f>IF(tblMovimientos[[#This Row],[Tipo de Movimiento]]="Ingreso",tblMovimientos[[#This Row],[Monto (S/)]],"0")</f>
        <v>0</v>
      </c>
      <c r="O119" s="27">
        <f>IF(tblMovimientos[[#This Row],[Tipo de Movimiento]]="Egreso",tblMovimientos[[#This Row],[Monto (S/)]],"0")</f>
        <v>235.38</v>
      </c>
      <c r="P119" s="29">
        <f>IF(tblMovimientos[[#This Row],[Tipo de Movimiento]]="Ingreso",tblMovimientos[[#This Row],[Ingreso]],-tblMovimientos[[#This Row],[Egreso]])</f>
        <v>-235.38</v>
      </c>
    </row>
    <row r="120" spans="2:16" x14ac:dyDescent="0.3">
      <c r="B120" s="41">
        <v>46160</v>
      </c>
      <c r="C120" s="4" t="s">
        <v>21</v>
      </c>
      <c r="D120" s="42" t="s">
        <v>101</v>
      </c>
      <c r="E120" s="4" t="s">
        <v>36</v>
      </c>
      <c r="F120" s="43" t="s">
        <v>10</v>
      </c>
      <c r="G120" s="42" t="s">
        <v>38</v>
      </c>
      <c r="H120" s="4" t="str">
        <f>IFERROR(_xlfn.XLOOKUP(G120,Listas!E:E,Listas!F:F,""),"")</f>
        <v>Operativo</v>
      </c>
      <c r="I120" s="52" t="str">
        <f>IFERROR(_xlfn.XLOOKUP(G120,Listas!E:E,Listas!G:G,""),"")</f>
        <v>Externo</v>
      </c>
      <c r="J120" s="45">
        <v>2490.36</v>
      </c>
      <c r="K120" s="5">
        <v>-2490.36</v>
      </c>
      <c r="L120" s="6" t="s">
        <v>93</v>
      </c>
      <c r="M120" s="46">
        <v>15543.84</v>
      </c>
      <c r="N120" s="27" t="str">
        <f>IF(tblMovimientos[[#This Row],[Tipo de Movimiento]]="Ingreso",tblMovimientos[[#This Row],[Monto (S/)]],"0")</f>
        <v>0</v>
      </c>
      <c r="O120" s="27">
        <f>IF(tblMovimientos[[#This Row],[Tipo de Movimiento]]="Egreso",tblMovimientos[[#This Row],[Monto (S/)]],"0")</f>
        <v>2490.36</v>
      </c>
      <c r="P120" s="29">
        <f>IF(tblMovimientos[[#This Row],[Tipo de Movimiento]]="Ingreso",tblMovimientos[[#This Row],[Ingreso]],-tblMovimientos[[#This Row],[Egreso]])</f>
        <v>-2490.36</v>
      </c>
    </row>
    <row r="121" spans="2:16" x14ac:dyDescent="0.3">
      <c r="B121" s="41">
        <v>46160</v>
      </c>
      <c r="C121" s="4" t="s">
        <v>31</v>
      </c>
      <c r="D121" s="42" t="s">
        <v>121</v>
      </c>
      <c r="E121" s="4" t="s">
        <v>36</v>
      </c>
      <c r="F121" s="43" t="s">
        <v>10</v>
      </c>
      <c r="G121" s="42" t="s">
        <v>38</v>
      </c>
      <c r="H121" s="4" t="str">
        <f>IFERROR(_xlfn.XLOOKUP(G121,Listas!E:E,Listas!F:F,""),"")</f>
        <v>Operativo</v>
      </c>
      <c r="I121" s="52" t="str">
        <f>IFERROR(_xlfn.XLOOKUP(G121,Listas!E:E,Listas!G:G,""),"")</f>
        <v>Externo</v>
      </c>
      <c r="J121" s="45">
        <v>2779</v>
      </c>
      <c r="K121" s="5">
        <v>-2779</v>
      </c>
      <c r="L121" s="6" t="s">
        <v>93</v>
      </c>
      <c r="M121" s="46">
        <v>15123.179999999962</v>
      </c>
      <c r="N121" s="27" t="str">
        <f>IF(tblMovimientos[[#This Row],[Tipo de Movimiento]]="Ingreso",tblMovimientos[[#This Row],[Monto (S/)]],"0")</f>
        <v>0</v>
      </c>
      <c r="O121" s="27">
        <f>IF(tblMovimientos[[#This Row],[Tipo de Movimiento]]="Egreso",tblMovimientos[[#This Row],[Monto (S/)]],"0")</f>
        <v>2779</v>
      </c>
      <c r="P121" s="29">
        <f>IF(tblMovimientos[[#This Row],[Tipo de Movimiento]]="Ingreso",tblMovimientos[[#This Row],[Ingreso]],-tblMovimientos[[#This Row],[Egreso]])</f>
        <v>-2779</v>
      </c>
    </row>
    <row r="122" spans="2:16" x14ac:dyDescent="0.3">
      <c r="B122" s="41">
        <v>46160</v>
      </c>
      <c r="C122" s="4" t="s">
        <v>33</v>
      </c>
      <c r="D122" s="42" t="s">
        <v>124</v>
      </c>
      <c r="E122" s="4" t="s">
        <v>36</v>
      </c>
      <c r="F122" s="43" t="s">
        <v>10</v>
      </c>
      <c r="G122" s="42" t="s">
        <v>44</v>
      </c>
      <c r="H122" s="4" t="str">
        <f>IFERROR(_xlfn.XLOOKUP(G122,Listas!E:E,Listas!F:F,""),"")</f>
        <v>Operativo</v>
      </c>
      <c r="I122" s="52" t="str">
        <f>IFERROR(_xlfn.XLOOKUP(G122,Listas!E:E,Listas!G:G,""),"")</f>
        <v>Externo</v>
      </c>
      <c r="J122" s="45">
        <v>5</v>
      </c>
      <c r="K122" s="5">
        <v>-5</v>
      </c>
      <c r="L122" s="6" t="s">
        <v>93</v>
      </c>
      <c r="M122" s="46">
        <v>27006.27</v>
      </c>
      <c r="N122" s="27" t="str">
        <f>IF(tblMovimientos[[#This Row],[Tipo de Movimiento]]="Ingreso",tblMovimientos[[#This Row],[Monto (S/)]],"0")</f>
        <v>0</v>
      </c>
      <c r="O122" s="27">
        <f>IF(tblMovimientos[[#This Row],[Tipo de Movimiento]]="Egreso",tblMovimientos[[#This Row],[Monto (S/)]],"0")</f>
        <v>5</v>
      </c>
      <c r="P122" s="29">
        <f>IF(tblMovimientos[[#This Row],[Tipo de Movimiento]]="Ingreso",tblMovimientos[[#This Row],[Ingreso]],-tblMovimientos[[#This Row],[Egreso]])</f>
        <v>-5</v>
      </c>
    </row>
    <row r="123" spans="2:16" x14ac:dyDescent="0.3">
      <c r="B123" s="41">
        <v>46161</v>
      </c>
      <c r="C123" s="4" t="s">
        <v>21</v>
      </c>
      <c r="D123" s="42" t="s">
        <v>101</v>
      </c>
      <c r="E123" s="4" t="s">
        <v>36</v>
      </c>
      <c r="F123" s="43" t="s">
        <v>10</v>
      </c>
      <c r="G123" s="42" t="s">
        <v>38</v>
      </c>
      <c r="H123" s="4" t="str">
        <f>IFERROR(_xlfn.XLOOKUP(G123,Listas!E:E,Listas!F:F,""),"")</f>
        <v>Operativo</v>
      </c>
      <c r="I123" s="52" t="str">
        <f>IFERROR(_xlfn.XLOOKUP(G123,Listas!E:E,Listas!G:G,""),"")</f>
        <v>Externo</v>
      </c>
      <c r="J123" s="45">
        <v>2383.4899999999998</v>
      </c>
      <c r="K123" s="5">
        <v>-2383.4899999999998</v>
      </c>
      <c r="L123" s="6" t="s">
        <v>93</v>
      </c>
      <c r="M123" s="46">
        <v>12423.310000000001</v>
      </c>
      <c r="N123" s="27" t="str">
        <f>IF(tblMovimientos[[#This Row],[Tipo de Movimiento]]="Ingreso",tblMovimientos[[#This Row],[Monto (S/)]],"0")</f>
        <v>0</v>
      </c>
      <c r="O123" s="27">
        <f>IF(tblMovimientos[[#This Row],[Tipo de Movimiento]]="Egreso",tblMovimientos[[#This Row],[Monto (S/)]],"0")</f>
        <v>2383.4899999999998</v>
      </c>
      <c r="P123" s="29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1">
        <v>46161</v>
      </c>
      <c r="C124" s="4" t="s">
        <v>21</v>
      </c>
      <c r="D124" s="42" t="s">
        <v>101</v>
      </c>
      <c r="E124" s="4" t="s">
        <v>36</v>
      </c>
      <c r="F124" s="43" t="s">
        <v>10</v>
      </c>
      <c r="G124" s="42" t="s">
        <v>38</v>
      </c>
      <c r="H124" s="4" t="str">
        <f>IFERROR(_xlfn.XLOOKUP(G124,Listas!E:E,Listas!F:F,""),"")</f>
        <v>Operativo</v>
      </c>
      <c r="I124" s="52" t="str">
        <f>IFERROR(_xlfn.XLOOKUP(G124,Listas!E:E,Listas!G:G,""),"")</f>
        <v>Externo</v>
      </c>
      <c r="J124" s="45">
        <v>737.04</v>
      </c>
      <c r="K124" s="5">
        <v>-737.04</v>
      </c>
      <c r="L124" s="6" t="s">
        <v>93</v>
      </c>
      <c r="M124" s="46">
        <v>12423.310000000001</v>
      </c>
      <c r="N124" s="27" t="str">
        <f>IF(tblMovimientos[[#This Row],[Tipo de Movimiento]]="Ingreso",tblMovimientos[[#This Row],[Monto (S/)]],"0")</f>
        <v>0</v>
      </c>
      <c r="O124" s="27">
        <f>IF(tblMovimientos[[#This Row],[Tipo de Movimiento]]="Egreso",tblMovimientos[[#This Row],[Monto (S/)]],"0")</f>
        <v>737.04</v>
      </c>
      <c r="P124" s="29">
        <f>IF(tblMovimientos[[#This Row],[Tipo de Movimiento]]="Ingreso",tblMovimientos[[#This Row],[Ingreso]],-tblMovimientos[[#This Row],[Egreso]])</f>
        <v>-737.04</v>
      </c>
    </row>
    <row r="125" spans="2:16" x14ac:dyDescent="0.3">
      <c r="B125" s="41">
        <v>46161</v>
      </c>
      <c r="C125" s="4" t="s">
        <v>17</v>
      </c>
      <c r="D125" s="42" t="s">
        <v>94</v>
      </c>
      <c r="E125" s="4" t="s">
        <v>36</v>
      </c>
      <c r="F125" s="43" t="s">
        <v>9</v>
      </c>
      <c r="G125" s="42" t="s">
        <v>70</v>
      </c>
      <c r="H125" s="4" t="str">
        <f>IFERROR(_xlfn.XLOOKUP(G125,Listas!E:E,Listas!F:F,""),"")</f>
        <v>Operativo</v>
      </c>
      <c r="I125" s="52" t="str">
        <f>IFERROR(_xlfn.XLOOKUP(G125,Listas!E:E,Listas!G:G,""),"")</f>
        <v>Externo</v>
      </c>
      <c r="J125" s="45">
        <v>650000</v>
      </c>
      <c r="K125" s="5">
        <v>650000</v>
      </c>
      <c r="L125" s="6" t="s">
        <v>93</v>
      </c>
      <c r="M125" s="46">
        <v>661613.90999999992</v>
      </c>
      <c r="N125" s="27">
        <f>IF(tblMovimientos[[#This Row],[Tipo de Movimiento]]="Ingreso",tblMovimientos[[#This Row],[Monto (S/)]],"0")</f>
        <v>650000</v>
      </c>
      <c r="O125" s="27" t="str">
        <f>IF(tblMovimientos[[#This Row],[Tipo de Movimiento]]="Egreso",tblMovimientos[[#This Row],[Monto (S/)]],"0")</f>
        <v>0</v>
      </c>
      <c r="P125" s="29">
        <f>IF(tblMovimientos[[#This Row],[Tipo de Movimiento]]="Ingreso",tblMovimientos[[#This Row],[Ingreso]],-tblMovimientos[[#This Row],[Egreso]])</f>
        <v>650000</v>
      </c>
    </row>
    <row r="126" spans="2:16" x14ac:dyDescent="0.3">
      <c r="B126" s="41">
        <v>46161</v>
      </c>
      <c r="C126" s="4" t="s">
        <v>22</v>
      </c>
      <c r="D126" s="42" t="s">
        <v>111</v>
      </c>
      <c r="E126" s="4" t="s">
        <v>37</v>
      </c>
      <c r="F126" s="43" t="s">
        <v>10</v>
      </c>
      <c r="G126" s="42" t="s">
        <v>53</v>
      </c>
      <c r="H126" s="4" t="str">
        <f>IFERROR(_xlfn.XLOOKUP(G126,Listas!E:E,Listas!F:F,""),"")</f>
        <v>Inversion</v>
      </c>
      <c r="I126" s="52" t="str">
        <f>IFERROR(_xlfn.XLOOKUP(G126,Listas!E:E,Listas!G:G,""),"")</f>
        <v>Interno</v>
      </c>
      <c r="J126" s="45">
        <v>30000</v>
      </c>
      <c r="K126" s="5">
        <v>-30000</v>
      </c>
      <c r="L126" s="6" t="s">
        <v>93</v>
      </c>
      <c r="M126" s="46">
        <v>20717.600000000006</v>
      </c>
      <c r="N126" s="27" t="str">
        <f>IF(tblMovimientos[[#This Row],[Tipo de Movimiento]]="Ingreso",tblMovimientos[[#This Row],[Monto (S/)]],"0")</f>
        <v>0</v>
      </c>
      <c r="O126" s="27">
        <f>IF(tblMovimientos[[#This Row],[Tipo de Movimiento]]="Egreso",tblMovimientos[[#This Row],[Monto (S/)]],"0")</f>
        <v>30000</v>
      </c>
      <c r="P126" s="29">
        <f>IF(tblMovimientos[[#This Row],[Tipo de Movimiento]]="Ingreso",tblMovimientos[[#This Row],[Ingreso]],-tblMovimientos[[#This Row],[Egreso]])</f>
        <v>-30000</v>
      </c>
    </row>
    <row r="127" spans="2:16" x14ac:dyDescent="0.3">
      <c r="B127" s="41">
        <v>46161</v>
      </c>
      <c r="C127" s="4" t="s">
        <v>35</v>
      </c>
      <c r="D127" s="42" t="s">
        <v>126</v>
      </c>
      <c r="E127" s="4" t="s">
        <v>37</v>
      </c>
      <c r="F127" s="43" t="s">
        <v>10</v>
      </c>
      <c r="G127" s="42" t="s">
        <v>38</v>
      </c>
      <c r="H127" s="4" t="str">
        <f>IFERROR(_xlfn.XLOOKUP(G127,Listas!E:E,Listas!F:F,""),"")</f>
        <v>Operativo</v>
      </c>
      <c r="I127" s="52" t="str">
        <f>IFERROR(_xlfn.XLOOKUP(G127,Listas!E:E,Listas!G:G,""),"")</f>
        <v>Externo</v>
      </c>
      <c r="J127" s="45">
        <v>25000</v>
      </c>
      <c r="K127" s="5">
        <v>-25000</v>
      </c>
      <c r="L127" s="6" t="s">
        <v>93</v>
      </c>
      <c r="M127" s="46">
        <v>18941.21</v>
      </c>
      <c r="N127" s="27" t="str">
        <f>IF(tblMovimientos[[#This Row],[Tipo de Movimiento]]="Ingreso",tblMovimientos[[#This Row],[Monto (S/)]],"0")</f>
        <v>0</v>
      </c>
      <c r="O127" s="27">
        <f>IF(tblMovimientos[[#This Row],[Tipo de Movimiento]]="Egreso",tblMovimientos[[#This Row],[Monto (S/)]],"0")</f>
        <v>25000</v>
      </c>
      <c r="P127" s="29">
        <f>IF(tblMovimientos[[#This Row],[Tipo de Movimiento]]="Ingreso",tblMovimientos[[#This Row],[Ingreso]],-tblMovimientos[[#This Row],[Egreso]])</f>
        <v>-25000</v>
      </c>
    </row>
    <row r="128" spans="2:16" x14ac:dyDescent="0.3">
      <c r="B128" s="41">
        <v>46161</v>
      </c>
      <c r="C128" s="4" t="s">
        <v>35</v>
      </c>
      <c r="D128" s="42" t="s">
        <v>126</v>
      </c>
      <c r="E128" s="4" t="s">
        <v>37</v>
      </c>
      <c r="F128" s="43" t="s">
        <v>9</v>
      </c>
      <c r="G128" s="42" t="s">
        <v>77</v>
      </c>
      <c r="H128" s="4" t="str">
        <f>IFERROR(_xlfn.XLOOKUP(G128,Listas!E:E,Listas!F:F,""),"")</f>
        <v>Inversion</v>
      </c>
      <c r="I128" s="52" t="str">
        <f>IFERROR(_xlfn.XLOOKUP(G128,Listas!E:E,Listas!G:G,""),"")</f>
        <v>Interno</v>
      </c>
      <c r="J128" s="45">
        <v>30000</v>
      </c>
      <c r="K128" s="5">
        <v>30000</v>
      </c>
      <c r="L128" s="6" t="s">
        <v>93</v>
      </c>
      <c r="M128" s="46">
        <v>18941.21</v>
      </c>
      <c r="N128" s="27">
        <f>IF(tblMovimientos[[#This Row],[Tipo de Movimiento]]="Ingreso",tblMovimientos[[#This Row],[Monto (S/)]],"0")</f>
        <v>30000</v>
      </c>
      <c r="O128" s="27" t="str">
        <f>IF(tblMovimientos[[#This Row],[Tipo de Movimiento]]="Egreso",tblMovimientos[[#This Row],[Monto (S/)]],"0")</f>
        <v>0</v>
      </c>
      <c r="P128" s="29">
        <f>IF(tblMovimientos[[#This Row],[Tipo de Movimiento]]="Ingreso",tblMovimientos[[#This Row],[Ingreso]],-tblMovimientos[[#This Row],[Egreso]])</f>
        <v>30000</v>
      </c>
    </row>
    <row r="129" spans="2:16" x14ac:dyDescent="0.3">
      <c r="B129" s="41">
        <v>46162</v>
      </c>
      <c r="C129" s="4" t="s">
        <v>35</v>
      </c>
      <c r="D129" s="42" t="s">
        <v>126</v>
      </c>
      <c r="E129" s="4" t="s">
        <v>37</v>
      </c>
      <c r="F129" s="43" t="s">
        <v>10</v>
      </c>
      <c r="G129" s="42" t="s">
        <v>44</v>
      </c>
      <c r="H129" s="4" t="str">
        <f>IFERROR(_xlfn.XLOOKUP(G129,Listas!E:E,Listas!F:F,""),"")</f>
        <v>Operativo</v>
      </c>
      <c r="I129" s="52" t="str">
        <f>IFERROR(_xlfn.XLOOKUP(G129,Listas!E:E,Listas!G:G,""),"")</f>
        <v>Externo</v>
      </c>
      <c r="J129" s="45">
        <v>15</v>
      </c>
      <c r="K129" s="5">
        <v>-15</v>
      </c>
      <c r="L129" s="6" t="s">
        <v>93</v>
      </c>
      <c r="M129" s="46">
        <v>8168.0700000000006</v>
      </c>
      <c r="N129" s="27" t="str">
        <f>IF(tblMovimientos[[#This Row],[Tipo de Movimiento]]="Ingreso",tblMovimientos[[#This Row],[Monto (S/)]],"0")</f>
        <v>0</v>
      </c>
      <c r="O129" s="27">
        <f>IF(tblMovimientos[[#This Row],[Tipo de Movimiento]]="Egreso",tblMovimientos[[#This Row],[Monto (S/)]],"0")</f>
        <v>15</v>
      </c>
      <c r="P129" s="29">
        <f>IF(tblMovimientos[[#This Row],[Tipo de Movimiento]]="Ingreso",tblMovimientos[[#This Row],[Ingreso]],-tblMovimientos[[#This Row],[Egreso]])</f>
        <v>-15</v>
      </c>
    </row>
    <row r="130" spans="2:16" x14ac:dyDescent="0.3">
      <c r="B130" s="41">
        <v>46162</v>
      </c>
      <c r="C130" s="4" t="s">
        <v>35</v>
      </c>
      <c r="D130" s="42" t="s">
        <v>126</v>
      </c>
      <c r="E130" s="4" t="s">
        <v>37</v>
      </c>
      <c r="F130" s="43" t="s">
        <v>10</v>
      </c>
      <c r="G130" s="42" t="s">
        <v>44</v>
      </c>
      <c r="H130" s="4" t="str">
        <f>IFERROR(_xlfn.XLOOKUP(G130,Listas!E:E,Listas!F:F,""),"")</f>
        <v>Operativo</v>
      </c>
      <c r="I130" s="52" t="str">
        <f>IFERROR(_xlfn.XLOOKUP(G130,Listas!E:E,Listas!G:G,""),"")</f>
        <v>Externo</v>
      </c>
      <c r="J130" s="45">
        <v>15</v>
      </c>
      <c r="K130" s="5">
        <v>-15</v>
      </c>
      <c r="L130" s="6" t="s">
        <v>93</v>
      </c>
      <c r="M130" s="46">
        <v>8168.0700000000006</v>
      </c>
      <c r="N130" s="27" t="str">
        <f>IF(tblMovimientos[[#This Row],[Tipo de Movimiento]]="Ingreso",tblMovimientos[[#This Row],[Monto (S/)]],"0")</f>
        <v>0</v>
      </c>
      <c r="O130" s="27">
        <f>IF(tblMovimientos[[#This Row],[Tipo de Movimiento]]="Egreso",tblMovimientos[[#This Row],[Monto (S/)]],"0")</f>
        <v>15</v>
      </c>
      <c r="P130" s="29">
        <f>IF(tblMovimientos[[#This Row],[Tipo de Movimiento]]="Ingreso",tblMovimientos[[#This Row],[Ingreso]],-tblMovimientos[[#This Row],[Egreso]])</f>
        <v>-15</v>
      </c>
    </row>
    <row r="131" spans="2:16" x14ac:dyDescent="0.3">
      <c r="B131" s="41">
        <v>46162</v>
      </c>
      <c r="C131" s="4" t="s">
        <v>21</v>
      </c>
      <c r="D131" s="42" t="s">
        <v>104</v>
      </c>
      <c r="E131" s="4" t="s">
        <v>37</v>
      </c>
      <c r="F131" s="43" t="s">
        <v>10</v>
      </c>
      <c r="G131" s="42" t="s">
        <v>46</v>
      </c>
      <c r="H131" s="4" t="str">
        <f>IFERROR(_xlfn.XLOOKUP(G131,Listas!E:E,Listas!F:F,""),"")</f>
        <v>Financiamiento</v>
      </c>
      <c r="I131" s="52" t="str">
        <f>IFERROR(_xlfn.XLOOKUP(G131,Listas!E:E,Listas!G:G,""),"")</f>
        <v>Externo</v>
      </c>
      <c r="J131" s="45">
        <v>2472.2199999999998</v>
      </c>
      <c r="K131" s="5">
        <v>-2472.2199999999998</v>
      </c>
      <c r="L131" s="6" t="s">
        <v>93</v>
      </c>
      <c r="M131" s="46">
        <v>211018.51999999938</v>
      </c>
      <c r="N131" s="27" t="str">
        <f>IF(tblMovimientos[[#This Row],[Tipo de Movimiento]]="Ingreso",tblMovimientos[[#This Row],[Monto (S/)]],"0")</f>
        <v>0</v>
      </c>
      <c r="O131" s="27">
        <f>IF(tblMovimientos[[#This Row],[Tipo de Movimiento]]="Egreso",tblMovimientos[[#This Row],[Monto (S/)]],"0")</f>
        <v>2472.2199999999998</v>
      </c>
      <c r="P131" s="29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1">
        <v>46162</v>
      </c>
      <c r="C132" s="4" t="s">
        <v>21</v>
      </c>
      <c r="D132" s="42" t="s">
        <v>104</v>
      </c>
      <c r="E132" s="4" t="s">
        <v>37</v>
      </c>
      <c r="F132" s="43" t="s">
        <v>10</v>
      </c>
      <c r="G132" s="42" t="s">
        <v>65</v>
      </c>
      <c r="H132" s="4" t="str">
        <f>IFERROR(_xlfn.XLOOKUP(G132,Listas!E:E,Listas!F:F,""),"")</f>
        <v>Operativo</v>
      </c>
      <c r="I132" s="52" t="str">
        <f>IFERROR(_xlfn.XLOOKUP(G132,Listas!E:E,Listas!G:G,""),"")</f>
        <v>Externo</v>
      </c>
      <c r="J132" s="45">
        <v>20000</v>
      </c>
      <c r="K132" s="5">
        <v>-20000</v>
      </c>
      <c r="L132" s="6" t="s">
        <v>93</v>
      </c>
      <c r="M132" s="46">
        <v>211018.51999999938</v>
      </c>
      <c r="N132" s="27" t="str">
        <f>IF(tblMovimientos[[#This Row],[Tipo de Movimiento]]="Ingreso",tblMovimientos[[#This Row],[Monto (S/)]],"0")</f>
        <v>0</v>
      </c>
      <c r="O132" s="27">
        <f>IF(tblMovimientos[[#This Row],[Tipo de Movimiento]]="Egreso",tblMovimientos[[#This Row],[Monto (S/)]],"0")</f>
        <v>20000</v>
      </c>
      <c r="P132" s="29">
        <f>IF(tblMovimientos[[#This Row],[Tipo de Movimiento]]="Ingreso",tblMovimientos[[#This Row],[Ingreso]],-tblMovimientos[[#This Row],[Egreso]])</f>
        <v>-20000</v>
      </c>
    </row>
    <row r="133" spans="2:16" x14ac:dyDescent="0.3">
      <c r="B133" s="41">
        <v>46162</v>
      </c>
      <c r="C133" s="4" t="s">
        <v>35</v>
      </c>
      <c r="D133" s="42" t="s">
        <v>126</v>
      </c>
      <c r="E133" s="4" t="s">
        <v>37</v>
      </c>
      <c r="F133" s="43" t="s">
        <v>10</v>
      </c>
      <c r="G133" s="42" t="s">
        <v>38</v>
      </c>
      <c r="H133" s="4" t="str">
        <f>IFERROR(_xlfn.XLOOKUP(G133,Listas!E:E,Listas!F:F,""),"")</f>
        <v>Operativo</v>
      </c>
      <c r="I133" s="52" t="str">
        <f>IFERROR(_xlfn.XLOOKUP(G133,Listas!E:E,Listas!G:G,""),"")</f>
        <v>Externo</v>
      </c>
      <c r="J133" s="45">
        <v>45</v>
      </c>
      <c r="K133" s="5">
        <v>-45</v>
      </c>
      <c r="L133" s="6" t="s">
        <v>93</v>
      </c>
      <c r="M133" s="46">
        <v>8168.0700000000006</v>
      </c>
      <c r="N133" s="27" t="str">
        <f>IF(tblMovimientos[[#This Row],[Tipo de Movimiento]]="Ingreso",tblMovimientos[[#This Row],[Monto (S/)]],"0")</f>
        <v>0</v>
      </c>
      <c r="O133" s="27">
        <f>IF(tblMovimientos[[#This Row],[Tipo de Movimiento]]="Egreso",tblMovimientos[[#This Row],[Monto (S/)]],"0")</f>
        <v>45</v>
      </c>
      <c r="P133" s="29">
        <f>IF(tblMovimientos[[#This Row],[Tipo de Movimiento]]="Ingreso",tblMovimientos[[#This Row],[Ingreso]],-tblMovimientos[[#This Row],[Egreso]])</f>
        <v>-45</v>
      </c>
    </row>
    <row r="134" spans="2:16" x14ac:dyDescent="0.3">
      <c r="B134" s="41">
        <v>46162</v>
      </c>
      <c r="C134" s="4" t="s">
        <v>35</v>
      </c>
      <c r="D134" s="42" t="s">
        <v>126</v>
      </c>
      <c r="E134" s="4" t="s">
        <v>37</v>
      </c>
      <c r="F134" s="43" t="s">
        <v>10</v>
      </c>
      <c r="G134" s="42" t="s">
        <v>38</v>
      </c>
      <c r="H134" s="4" t="str">
        <f>IFERROR(_xlfn.XLOOKUP(G134,Listas!E:E,Listas!F:F,""),"")</f>
        <v>Operativo</v>
      </c>
      <c r="I134" s="52" t="str">
        <f>IFERROR(_xlfn.XLOOKUP(G134,Listas!E:E,Listas!G:G,""),"")</f>
        <v>Externo</v>
      </c>
      <c r="J134" s="45">
        <v>49</v>
      </c>
      <c r="K134" s="5">
        <v>-49</v>
      </c>
      <c r="L134" s="6" t="s">
        <v>93</v>
      </c>
      <c r="M134" s="46">
        <v>8168.0700000000006</v>
      </c>
      <c r="N134" s="27" t="str">
        <f>IF(tblMovimientos[[#This Row],[Tipo de Movimiento]]="Ingreso",tblMovimientos[[#This Row],[Monto (S/)]],"0")</f>
        <v>0</v>
      </c>
      <c r="O134" s="27">
        <f>IF(tblMovimientos[[#This Row],[Tipo de Movimiento]]="Egreso",tblMovimientos[[#This Row],[Monto (S/)]],"0")</f>
        <v>49</v>
      </c>
      <c r="P134" s="29">
        <f>IF(tblMovimientos[[#This Row],[Tipo de Movimiento]]="Ingreso",tblMovimientos[[#This Row],[Ingreso]],-tblMovimientos[[#This Row],[Egreso]])</f>
        <v>-49</v>
      </c>
    </row>
    <row r="135" spans="2:16" x14ac:dyDescent="0.3">
      <c r="B135" s="41">
        <v>46162</v>
      </c>
      <c r="C135" s="4" t="s">
        <v>21</v>
      </c>
      <c r="D135" s="42" t="s">
        <v>104</v>
      </c>
      <c r="E135" s="4" t="s">
        <v>37</v>
      </c>
      <c r="F135" s="43" t="s">
        <v>10</v>
      </c>
      <c r="G135" s="42" t="s">
        <v>46</v>
      </c>
      <c r="H135" s="4" t="str">
        <f>IFERROR(_xlfn.XLOOKUP(G135,Listas!E:E,Listas!F:F,""),"")</f>
        <v>Financiamiento</v>
      </c>
      <c r="I135" s="52" t="str">
        <f>IFERROR(_xlfn.XLOOKUP(G135,Listas!E:E,Listas!G:G,""),"")</f>
        <v>Externo</v>
      </c>
      <c r="J135" s="45">
        <v>26250</v>
      </c>
      <c r="K135" s="5">
        <v>-26250</v>
      </c>
      <c r="L135" s="6" t="s">
        <v>93</v>
      </c>
      <c r="M135" s="46">
        <v>211018.51999999938</v>
      </c>
      <c r="N135" s="27" t="str">
        <f>IF(tblMovimientos[[#This Row],[Tipo de Movimiento]]="Ingreso",tblMovimientos[[#This Row],[Monto (S/)]],"0")</f>
        <v>0</v>
      </c>
      <c r="O135" s="27">
        <f>IF(tblMovimientos[[#This Row],[Tipo de Movimiento]]="Egreso",tblMovimientos[[#This Row],[Monto (S/)]],"0")</f>
        <v>26250</v>
      </c>
      <c r="P135" s="29">
        <f>IF(tblMovimientos[[#This Row],[Tipo de Movimiento]]="Ingreso",tblMovimientos[[#This Row],[Ingreso]],-tblMovimientos[[#This Row],[Egreso]])</f>
        <v>-26250</v>
      </c>
    </row>
    <row r="136" spans="2:16" x14ac:dyDescent="0.3">
      <c r="B136" s="41">
        <v>46162</v>
      </c>
      <c r="C136" s="4" t="s">
        <v>21</v>
      </c>
      <c r="D136" s="42" t="s">
        <v>104</v>
      </c>
      <c r="E136" s="4" t="s">
        <v>37</v>
      </c>
      <c r="F136" s="43" t="s">
        <v>10</v>
      </c>
      <c r="G136" s="42" t="s">
        <v>46</v>
      </c>
      <c r="H136" s="4" t="str">
        <f>IFERROR(_xlfn.XLOOKUP(G136,Listas!E:E,Listas!F:F,""),"")</f>
        <v>Financiamiento</v>
      </c>
      <c r="I136" s="52" t="str">
        <f>IFERROR(_xlfn.XLOOKUP(G136,Listas!E:E,Listas!G:G,""),"")</f>
        <v>Externo</v>
      </c>
      <c r="J136" s="45">
        <v>45833.33</v>
      </c>
      <c r="K136" s="5">
        <v>-45833.33</v>
      </c>
      <c r="L136" s="6" t="s">
        <v>93</v>
      </c>
      <c r="M136" s="46">
        <v>211018.51999999938</v>
      </c>
      <c r="N136" s="27" t="str">
        <f>IF(tblMovimientos[[#This Row],[Tipo de Movimiento]]="Ingreso",tblMovimientos[[#This Row],[Monto (S/)]],"0")</f>
        <v>0</v>
      </c>
      <c r="O136" s="27">
        <f>IF(tblMovimientos[[#This Row],[Tipo de Movimiento]]="Egreso",tblMovimientos[[#This Row],[Monto (S/)]],"0")</f>
        <v>45833.33</v>
      </c>
      <c r="P136" s="29">
        <f>IF(tblMovimientos[[#This Row],[Tipo de Movimiento]]="Ingreso",tblMovimientos[[#This Row],[Ingreso]],-tblMovimientos[[#This Row],[Egreso]])</f>
        <v>-45833.33</v>
      </c>
    </row>
    <row r="137" spans="2:16" x14ac:dyDescent="0.3">
      <c r="B137" s="41">
        <v>46162</v>
      </c>
      <c r="C137" s="4" t="s">
        <v>21</v>
      </c>
      <c r="D137" s="42" t="s">
        <v>104</v>
      </c>
      <c r="E137" s="4" t="s">
        <v>37</v>
      </c>
      <c r="F137" s="43" t="s">
        <v>10</v>
      </c>
      <c r="G137" s="42" t="s">
        <v>46</v>
      </c>
      <c r="H137" s="4" t="str">
        <f>IFERROR(_xlfn.XLOOKUP(G137,Listas!E:E,Listas!F:F,""),"")</f>
        <v>Financiamiento</v>
      </c>
      <c r="I137" s="52" t="str">
        <f>IFERROR(_xlfn.XLOOKUP(G137,Listas!E:E,Listas!G:G,""),"")</f>
        <v>Externo</v>
      </c>
      <c r="J137" s="45">
        <v>49583.34</v>
      </c>
      <c r="K137" s="5">
        <v>-49583.34</v>
      </c>
      <c r="L137" s="6" t="s">
        <v>93</v>
      </c>
      <c r="M137" s="46">
        <v>211018.51999999938</v>
      </c>
      <c r="N137" s="27" t="str">
        <f>IF(tblMovimientos[[#This Row],[Tipo de Movimiento]]="Ingreso",tblMovimientos[[#This Row],[Monto (S/)]],"0")</f>
        <v>0</v>
      </c>
      <c r="O137" s="27">
        <f>IF(tblMovimientos[[#This Row],[Tipo de Movimiento]]="Egreso",tblMovimientos[[#This Row],[Monto (S/)]],"0")</f>
        <v>49583.34</v>
      </c>
      <c r="P137" s="29">
        <f>IF(tblMovimientos[[#This Row],[Tipo de Movimiento]]="Ingreso",tblMovimientos[[#This Row],[Ingreso]],-tblMovimientos[[#This Row],[Egreso]])</f>
        <v>-49583.34</v>
      </c>
    </row>
    <row r="138" spans="2:16" x14ac:dyDescent="0.3">
      <c r="B138" s="41">
        <v>46162</v>
      </c>
      <c r="C138" s="4" t="s">
        <v>21</v>
      </c>
      <c r="D138" s="42" t="s">
        <v>101</v>
      </c>
      <c r="E138" s="4" t="s">
        <v>36</v>
      </c>
      <c r="F138" s="43" t="s">
        <v>10</v>
      </c>
      <c r="G138" s="42" t="s">
        <v>38</v>
      </c>
      <c r="H138" s="4" t="str">
        <f>IFERROR(_xlfn.XLOOKUP(G138,Listas!E:E,Listas!F:F,""),"")</f>
        <v>Operativo</v>
      </c>
      <c r="I138" s="52" t="str">
        <f>IFERROR(_xlfn.XLOOKUP(G138,Listas!E:E,Listas!G:G,""),"")</f>
        <v>Externo</v>
      </c>
      <c r="J138" s="45">
        <v>6.35</v>
      </c>
      <c r="K138" s="5">
        <v>-6.35</v>
      </c>
      <c r="L138" s="6" t="s">
        <v>93</v>
      </c>
      <c r="M138" s="46">
        <v>12325.960000000001</v>
      </c>
      <c r="N138" s="27" t="str">
        <f>IF(tblMovimientos[[#This Row],[Tipo de Movimiento]]="Ingreso",tblMovimientos[[#This Row],[Monto (S/)]],"0")</f>
        <v>0</v>
      </c>
      <c r="O138" s="27">
        <f>IF(tblMovimientos[[#This Row],[Tipo de Movimiento]]="Egreso",tblMovimientos[[#This Row],[Monto (S/)]],"0")</f>
        <v>6.35</v>
      </c>
      <c r="P138" s="29">
        <f>IF(tblMovimientos[[#This Row],[Tipo de Movimiento]]="Ingreso",tblMovimientos[[#This Row],[Ingreso]],-tblMovimientos[[#This Row],[Egreso]])</f>
        <v>-6.35</v>
      </c>
    </row>
    <row r="139" spans="2:16" x14ac:dyDescent="0.3">
      <c r="B139" s="41">
        <v>46162</v>
      </c>
      <c r="C139" s="4" t="s">
        <v>21</v>
      </c>
      <c r="D139" s="42" t="s">
        <v>101</v>
      </c>
      <c r="E139" s="4" t="s">
        <v>36</v>
      </c>
      <c r="F139" s="43" t="s">
        <v>10</v>
      </c>
      <c r="G139" s="42" t="s">
        <v>41</v>
      </c>
      <c r="H139" s="4" t="str">
        <f>IFERROR(_xlfn.XLOOKUP(G139,Listas!E:E,Listas!F:F,""),"")</f>
        <v>Operativo</v>
      </c>
      <c r="I139" s="52" t="str">
        <f>IFERROR(_xlfn.XLOOKUP(G139,Listas!E:E,Listas!G:G,""),"")</f>
        <v>Externo</v>
      </c>
      <c r="J139" s="45">
        <v>91</v>
      </c>
      <c r="K139" s="5">
        <v>-91</v>
      </c>
      <c r="L139" s="6" t="s">
        <v>93</v>
      </c>
      <c r="M139" s="46">
        <v>12325.960000000001</v>
      </c>
      <c r="N139" s="27" t="str">
        <f>IF(tblMovimientos[[#This Row],[Tipo de Movimiento]]="Ingreso",tblMovimientos[[#This Row],[Monto (S/)]],"0")</f>
        <v>0</v>
      </c>
      <c r="O139" s="27">
        <f>IF(tblMovimientos[[#This Row],[Tipo de Movimiento]]="Egreso",tblMovimientos[[#This Row],[Monto (S/)]],"0")</f>
        <v>91</v>
      </c>
      <c r="P139" s="29">
        <f>IF(tblMovimientos[[#This Row],[Tipo de Movimiento]]="Ingreso",tblMovimientos[[#This Row],[Ingreso]],-tblMovimientos[[#This Row],[Egreso]])</f>
        <v>-91</v>
      </c>
    </row>
    <row r="140" spans="2:16" x14ac:dyDescent="0.3">
      <c r="B140" s="41">
        <v>46162</v>
      </c>
      <c r="C140" s="4" t="s">
        <v>21</v>
      </c>
      <c r="D140" s="42" t="s">
        <v>102</v>
      </c>
      <c r="E140" s="4" t="s">
        <v>36</v>
      </c>
      <c r="F140" s="43" t="s">
        <v>10</v>
      </c>
      <c r="G140" s="42" t="s">
        <v>38</v>
      </c>
      <c r="H140" s="4" t="str">
        <f>IFERROR(_xlfn.XLOOKUP(G140,Listas!E:E,Listas!F:F,""),"")</f>
        <v>Operativo</v>
      </c>
      <c r="I140" s="52" t="str">
        <f>IFERROR(_xlfn.XLOOKUP(G140,Listas!E:E,Listas!G:G,""),"")</f>
        <v>Externo</v>
      </c>
      <c r="J140" s="45">
        <v>166.66</v>
      </c>
      <c r="K140" s="5">
        <v>-166.66</v>
      </c>
      <c r="L140" s="6" t="s">
        <v>93</v>
      </c>
      <c r="M140" s="46">
        <v>563</v>
      </c>
      <c r="N140" s="27" t="str">
        <f>IF(tblMovimientos[[#This Row],[Tipo de Movimiento]]="Ingreso",tblMovimientos[[#This Row],[Monto (S/)]],"0")</f>
        <v>0</v>
      </c>
      <c r="O140" s="27">
        <f>IF(tblMovimientos[[#This Row],[Tipo de Movimiento]]="Egreso",tblMovimientos[[#This Row],[Monto (S/)]],"0")</f>
        <v>166.66</v>
      </c>
      <c r="P140" s="29">
        <f>IF(tblMovimientos[[#This Row],[Tipo de Movimiento]]="Ingreso",tblMovimientos[[#This Row],[Ingreso]],-tblMovimientos[[#This Row],[Egreso]])</f>
        <v>-166.66</v>
      </c>
    </row>
    <row r="141" spans="2:16" x14ac:dyDescent="0.3">
      <c r="B141" s="41">
        <v>46162</v>
      </c>
      <c r="C141" s="4" t="s">
        <v>17</v>
      </c>
      <c r="D141" s="42" t="s">
        <v>94</v>
      </c>
      <c r="E141" s="4" t="s">
        <v>36</v>
      </c>
      <c r="F141" s="43" t="s">
        <v>10</v>
      </c>
      <c r="G141" s="42" t="s">
        <v>64</v>
      </c>
      <c r="H141" s="4" t="str">
        <f>IFERROR(_xlfn.XLOOKUP(G141,Listas!E:E,Listas!F:F,""),"")</f>
        <v>Operativo</v>
      </c>
      <c r="I141" s="52" t="str">
        <f>IFERROR(_xlfn.XLOOKUP(G141,Listas!E:E,Listas!G:G,""),"")</f>
        <v>Interno</v>
      </c>
      <c r="J141" s="45">
        <v>650000</v>
      </c>
      <c r="K141" s="5">
        <v>-650000</v>
      </c>
      <c r="L141" s="6" t="s">
        <v>93</v>
      </c>
      <c r="M141" s="46">
        <v>11583.909999999974</v>
      </c>
      <c r="N141" s="27" t="str">
        <f>IF(tblMovimientos[[#This Row],[Tipo de Movimiento]]="Ingreso",tblMovimientos[[#This Row],[Monto (S/)]],"0")</f>
        <v>0</v>
      </c>
      <c r="O141" s="27">
        <f>IF(tblMovimientos[[#This Row],[Tipo de Movimiento]]="Egreso",tblMovimientos[[#This Row],[Monto (S/)]],"0")</f>
        <v>650000</v>
      </c>
      <c r="P141" s="29">
        <f>IF(tblMovimientos[[#This Row],[Tipo de Movimiento]]="Ingreso",tblMovimientos[[#This Row],[Ingreso]],-tblMovimientos[[#This Row],[Egreso]])</f>
        <v>-650000</v>
      </c>
    </row>
    <row r="142" spans="2:16" x14ac:dyDescent="0.3">
      <c r="B142" s="41">
        <v>46162</v>
      </c>
      <c r="C142" s="4" t="s">
        <v>17</v>
      </c>
      <c r="D142" s="42" t="s">
        <v>94</v>
      </c>
      <c r="E142" s="4" t="s">
        <v>36</v>
      </c>
      <c r="F142" s="43" t="s">
        <v>10</v>
      </c>
      <c r="G142" s="42" t="s">
        <v>44</v>
      </c>
      <c r="H142" s="4" t="str">
        <f>IFERROR(_xlfn.XLOOKUP(G142,Listas!E:E,Listas!F:F,""),"")</f>
        <v>Operativo</v>
      </c>
      <c r="I142" s="52" t="str">
        <f>IFERROR(_xlfn.XLOOKUP(G142,Listas!E:E,Listas!G:G,""),"")</f>
        <v>Externo</v>
      </c>
      <c r="J142" s="45">
        <v>30</v>
      </c>
      <c r="K142" s="5">
        <v>-30</v>
      </c>
      <c r="L142" s="6" t="s">
        <v>93</v>
      </c>
      <c r="M142" s="46">
        <v>11583.909999999974</v>
      </c>
      <c r="N142" s="27" t="str">
        <f>IF(tblMovimientos[[#This Row],[Tipo de Movimiento]]="Ingreso",tblMovimientos[[#This Row],[Monto (S/)]],"0")</f>
        <v>0</v>
      </c>
      <c r="O142" s="27">
        <f>IF(tblMovimientos[[#This Row],[Tipo de Movimiento]]="Egreso",tblMovimientos[[#This Row],[Monto (S/)]],"0")</f>
        <v>30</v>
      </c>
      <c r="P142" s="29">
        <f>IF(tblMovimientos[[#This Row],[Tipo de Movimiento]]="Ingreso",tblMovimientos[[#This Row],[Ingreso]],-tblMovimientos[[#This Row],[Egreso]])</f>
        <v>-30</v>
      </c>
    </row>
    <row r="143" spans="2:16" x14ac:dyDescent="0.3">
      <c r="B143" s="41">
        <v>46162</v>
      </c>
      <c r="C143" s="4" t="s">
        <v>22</v>
      </c>
      <c r="D143" s="42" t="s">
        <v>110</v>
      </c>
      <c r="E143" s="4" t="s">
        <v>36</v>
      </c>
      <c r="F143" s="43" t="s">
        <v>9</v>
      </c>
      <c r="G143" s="42" t="s">
        <v>79</v>
      </c>
      <c r="H143" s="4" t="str">
        <f>IFERROR(_xlfn.XLOOKUP(G143,Listas!E:E,Listas!F:F,""),"")</f>
        <v>Inversion</v>
      </c>
      <c r="I143" s="52" t="str">
        <f>IFERROR(_xlfn.XLOOKUP(G143,Listas!E:E,Listas!G:G,""),"")</f>
        <v>Externo</v>
      </c>
      <c r="J143" s="45">
        <v>50000</v>
      </c>
      <c r="K143" s="5">
        <v>50000</v>
      </c>
      <c r="L143" s="6" t="s">
        <v>93</v>
      </c>
      <c r="M143" s="46">
        <v>57206.89</v>
      </c>
      <c r="N143" s="27">
        <f>IF(tblMovimientos[[#This Row],[Tipo de Movimiento]]="Ingreso",tblMovimientos[[#This Row],[Monto (S/)]],"0")</f>
        <v>50000</v>
      </c>
      <c r="O143" s="27" t="str">
        <f>IF(tblMovimientos[[#This Row],[Tipo de Movimiento]]="Egreso",tblMovimientos[[#This Row],[Monto (S/)]],"0")</f>
        <v>0</v>
      </c>
      <c r="P143" s="29">
        <f>IF(tblMovimientos[[#This Row],[Tipo de Movimiento]]="Ingreso",tblMovimientos[[#This Row],[Ingreso]],-tblMovimientos[[#This Row],[Egreso]])</f>
        <v>50000</v>
      </c>
    </row>
    <row r="144" spans="2:16" x14ac:dyDescent="0.3">
      <c r="B144" s="41">
        <v>46162</v>
      </c>
      <c r="C144" s="4" t="s">
        <v>22</v>
      </c>
      <c r="D144" s="42" t="s">
        <v>110</v>
      </c>
      <c r="E144" s="4" t="s">
        <v>36</v>
      </c>
      <c r="F144" s="43" t="s">
        <v>10</v>
      </c>
      <c r="G144" s="42" t="s">
        <v>44</v>
      </c>
      <c r="H144" s="4" t="str">
        <f>IFERROR(_xlfn.XLOOKUP(G144,Listas!E:E,Listas!F:F,""),"")</f>
        <v>Operativo</v>
      </c>
      <c r="I144" s="52" t="str">
        <f>IFERROR(_xlfn.XLOOKUP(G144,Listas!E:E,Listas!G:G,""),"")</f>
        <v>Externo</v>
      </c>
      <c r="J144" s="45">
        <v>15</v>
      </c>
      <c r="K144" s="5">
        <v>-15</v>
      </c>
      <c r="L144" s="6" t="s">
        <v>93</v>
      </c>
      <c r="M144" s="46">
        <v>57206.89</v>
      </c>
      <c r="N144" s="27" t="str">
        <f>IF(tblMovimientos[[#This Row],[Tipo de Movimiento]]="Ingreso",tblMovimientos[[#This Row],[Monto (S/)]],"0")</f>
        <v>0</v>
      </c>
      <c r="O144" s="27">
        <f>IF(tblMovimientos[[#This Row],[Tipo de Movimiento]]="Egreso",tblMovimientos[[#This Row],[Monto (S/)]],"0")</f>
        <v>15</v>
      </c>
      <c r="P144" s="29">
        <f>IF(tblMovimientos[[#This Row],[Tipo de Movimiento]]="Ingreso",tblMovimientos[[#This Row],[Ingreso]],-tblMovimientos[[#This Row],[Egreso]])</f>
        <v>-15</v>
      </c>
    </row>
    <row r="145" spans="2:16" x14ac:dyDescent="0.3">
      <c r="B145" s="41">
        <v>46162</v>
      </c>
      <c r="C145" s="4" t="s">
        <v>33</v>
      </c>
      <c r="D145" s="42" t="s">
        <v>124</v>
      </c>
      <c r="E145" s="4" t="s">
        <v>36</v>
      </c>
      <c r="F145" s="43" t="s">
        <v>9</v>
      </c>
      <c r="G145" s="42" t="s">
        <v>82</v>
      </c>
      <c r="H145" s="4" t="str">
        <f>IFERROR(_xlfn.XLOOKUP(G145,Listas!E:E,Listas!F:F,""),"")</f>
        <v>Operativo</v>
      </c>
      <c r="I145" s="52" t="str">
        <f>IFERROR(_xlfn.XLOOKUP(G145,Listas!E:E,Listas!G:G,""),"")</f>
        <v>Externo</v>
      </c>
      <c r="J145" s="45">
        <v>2200</v>
      </c>
      <c r="K145" s="5">
        <v>2200</v>
      </c>
      <c r="L145" s="6" t="s">
        <v>93</v>
      </c>
      <c r="M145" s="46">
        <v>29206.27</v>
      </c>
      <c r="N145" s="27">
        <f>IF(tblMovimientos[[#This Row],[Tipo de Movimiento]]="Ingreso",tblMovimientos[[#This Row],[Monto (S/)]],"0")</f>
        <v>2200</v>
      </c>
      <c r="O145" s="27" t="str">
        <f>IF(tblMovimientos[[#This Row],[Tipo de Movimiento]]="Egreso",tblMovimientos[[#This Row],[Monto (S/)]],"0")</f>
        <v>0</v>
      </c>
      <c r="P145" s="29">
        <f>IF(tblMovimientos[[#This Row],[Tipo de Movimiento]]="Ingreso",tblMovimientos[[#This Row],[Ingreso]],-tblMovimientos[[#This Row],[Egreso]])</f>
        <v>2200</v>
      </c>
    </row>
    <row r="146" spans="2:16" x14ac:dyDescent="0.3">
      <c r="B146" s="41">
        <v>46162</v>
      </c>
      <c r="C146" s="4" t="s">
        <v>17</v>
      </c>
      <c r="D146" s="42" t="s">
        <v>95</v>
      </c>
      <c r="E146" s="4" t="s">
        <v>37</v>
      </c>
      <c r="F146" s="43" t="s">
        <v>9</v>
      </c>
      <c r="G146" s="42" t="s">
        <v>86</v>
      </c>
      <c r="H146" s="4" t="str">
        <f>IFERROR(_xlfn.XLOOKUP(G146,Listas!E:E,Listas!F:F,""),"")</f>
        <v>Inversion</v>
      </c>
      <c r="I146" s="52" t="str">
        <f>IFERROR(_xlfn.XLOOKUP(G146,Listas!E:E,Listas!G:G,""),"")</f>
        <v>Externo</v>
      </c>
      <c r="J146" s="45">
        <v>25274</v>
      </c>
      <c r="K146" s="5">
        <v>25274</v>
      </c>
      <c r="L146" s="6" t="s">
        <v>93</v>
      </c>
      <c r="M146" s="46">
        <v>125481.8600000001</v>
      </c>
      <c r="N146" s="27">
        <f>IF(tblMovimientos[[#This Row],[Tipo de Movimiento]]="Ingreso",tblMovimientos[[#This Row],[Monto (S/)]],"0")</f>
        <v>25274</v>
      </c>
      <c r="O146" s="27" t="str">
        <f>IF(tblMovimientos[[#This Row],[Tipo de Movimiento]]="Egreso",tblMovimientos[[#This Row],[Monto (S/)]],"0")</f>
        <v>0</v>
      </c>
      <c r="P146" s="29">
        <f>IF(tblMovimientos[[#This Row],[Tipo de Movimiento]]="Ingreso",tblMovimientos[[#This Row],[Ingreso]],-tblMovimientos[[#This Row],[Egreso]])</f>
        <v>25274</v>
      </c>
    </row>
    <row r="147" spans="2:16" x14ac:dyDescent="0.3">
      <c r="B147" s="41">
        <v>46162</v>
      </c>
      <c r="C147" s="4" t="s">
        <v>17</v>
      </c>
      <c r="D147" s="42" t="s">
        <v>95</v>
      </c>
      <c r="E147" s="4" t="s">
        <v>37</v>
      </c>
      <c r="F147" s="43" t="s">
        <v>9</v>
      </c>
      <c r="G147" s="42" t="s">
        <v>85</v>
      </c>
      <c r="H147" s="4" t="str">
        <f>IFERROR(_xlfn.XLOOKUP(G147,Listas!E:E,Listas!F:F,""),"")</f>
        <v>Operativo</v>
      </c>
      <c r="I147" s="52" t="str">
        <f>IFERROR(_xlfn.XLOOKUP(G147,Listas!E:E,Listas!G:G,""),"")</f>
        <v>Interno</v>
      </c>
      <c r="J147" s="45">
        <v>650000</v>
      </c>
      <c r="K147" s="5">
        <v>650000</v>
      </c>
      <c r="L147" s="6" t="s">
        <v>93</v>
      </c>
      <c r="M147" s="46">
        <v>125481.8600000001</v>
      </c>
      <c r="N147" s="27">
        <f>IF(tblMovimientos[[#This Row],[Tipo de Movimiento]]="Ingreso",tblMovimientos[[#This Row],[Monto (S/)]],"0")</f>
        <v>650000</v>
      </c>
      <c r="O147" s="27" t="str">
        <f>IF(tblMovimientos[[#This Row],[Tipo de Movimiento]]="Egreso",tblMovimientos[[#This Row],[Monto (S/)]],"0")</f>
        <v>0</v>
      </c>
      <c r="P147" s="29">
        <f>IF(tblMovimientos[[#This Row],[Tipo de Movimiento]]="Ingreso",tblMovimientos[[#This Row],[Ingreso]],-tblMovimientos[[#This Row],[Egreso]])</f>
        <v>650000</v>
      </c>
    </row>
    <row r="148" spans="2:16" x14ac:dyDescent="0.3">
      <c r="B148" s="41">
        <v>46162</v>
      </c>
      <c r="C148" s="4" t="s">
        <v>17</v>
      </c>
      <c r="D148" s="42" t="s">
        <v>95</v>
      </c>
      <c r="E148" s="4" t="s">
        <v>37</v>
      </c>
      <c r="F148" s="43" t="s">
        <v>10</v>
      </c>
      <c r="G148" s="42" t="s">
        <v>46</v>
      </c>
      <c r="H148" s="4" t="str">
        <f>IFERROR(_xlfn.XLOOKUP(G148,Listas!E:E,Listas!F:F,""),"")</f>
        <v>Financiamiento</v>
      </c>
      <c r="I148" s="52" t="str">
        <f>IFERROR(_xlfn.XLOOKUP(G148,Listas!E:E,Listas!G:G,""),"")</f>
        <v>Externo</v>
      </c>
      <c r="J148" s="45">
        <v>2366.67</v>
      </c>
      <c r="K148" s="5">
        <v>-2366.67</v>
      </c>
      <c r="L148" s="6" t="s">
        <v>93</v>
      </c>
      <c r="M148" s="46">
        <v>125481.8600000001</v>
      </c>
      <c r="N148" s="27" t="str">
        <f>IF(tblMovimientos[[#This Row],[Tipo de Movimiento]]="Ingreso",tblMovimientos[[#This Row],[Monto (S/)]],"0")</f>
        <v>0</v>
      </c>
      <c r="O148" s="27">
        <f>IF(tblMovimientos[[#This Row],[Tipo de Movimiento]]="Egreso",tblMovimientos[[#This Row],[Monto (S/)]],"0")</f>
        <v>2366.67</v>
      </c>
      <c r="P148" s="29">
        <f>IF(tblMovimientos[[#This Row],[Tipo de Movimiento]]="Ingreso",tblMovimientos[[#This Row],[Ingreso]],-tblMovimientos[[#This Row],[Egreso]])</f>
        <v>-2366.67</v>
      </c>
    </row>
    <row r="149" spans="2:16" x14ac:dyDescent="0.3">
      <c r="B149" s="41">
        <v>46162</v>
      </c>
      <c r="C149" s="4" t="s">
        <v>17</v>
      </c>
      <c r="D149" s="42" t="s">
        <v>95</v>
      </c>
      <c r="E149" s="4" t="s">
        <v>37</v>
      </c>
      <c r="F149" s="43" t="s">
        <v>10</v>
      </c>
      <c r="G149" s="42" t="s">
        <v>46</v>
      </c>
      <c r="H149" s="4" t="str">
        <f>IFERROR(_xlfn.XLOOKUP(G149,Listas!E:E,Listas!F:F,""),"")</f>
        <v>Financiamiento</v>
      </c>
      <c r="I149" s="52" t="str">
        <f>IFERROR(_xlfn.XLOOKUP(G149,Listas!E:E,Listas!G:G,""),"")</f>
        <v>Externo</v>
      </c>
      <c r="J149" s="45">
        <v>2916.67</v>
      </c>
      <c r="K149" s="5">
        <v>-2916.67</v>
      </c>
      <c r="L149" s="6" t="s">
        <v>93</v>
      </c>
      <c r="M149" s="46">
        <v>125481.8600000001</v>
      </c>
      <c r="N149" s="27" t="str">
        <f>IF(tblMovimientos[[#This Row],[Tipo de Movimiento]]="Ingreso",tblMovimientos[[#This Row],[Monto (S/)]],"0")</f>
        <v>0</v>
      </c>
      <c r="O149" s="27">
        <f>IF(tblMovimientos[[#This Row],[Tipo de Movimiento]]="Egreso",tblMovimientos[[#This Row],[Monto (S/)]],"0")</f>
        <v>2916.67</v>
      </c>
      <c r="P149" s="29">
        <f>IF(tblMovimientos[[#This Row],[Tipo de Movimiento]]="Ingreso",tblMovimientos[[#This Row],[Ingreso]],-tblMovimientos[[#This Row],[Egreso]])</f>
        <v>-2916.67</v>
      </c>
    </row>
    <row r="150" spans="2:16" x14ac:dyDescent="0.3">
      <c r="B150" s="41">
        <v>46162</v>
      </c>
      <c r="C150" s="4" t="s">
        <v>17</v>
      </c>
      <c r="D150" s="42" t="s">
        <v>95</v>
      </c>
      <c r="E150" s="4" t="s">
        <v>37</v>
      </c>
      <c r="F150" s="43" t="s">
        <v>10</v>
      </c>
      <c r="G150" s="42" t="s">
        <v>46</v>
      </c>
      <c r="H150" s="4" t="str">
        <f>IFERROR(_xlfn.XLOOKUP(G150,Listas!E:E,Listas!F:F,""),"")</f>
        <v>Financiamiento</v>
      </c>
      <c r="I150" s="52" t="str">
        <f>IFERROR(_xlfn.XLOOKUP(G150,Listas!E:E,Listas!G:G,""),"")</f>
        <v>Externo</v>
      </c>
      <c r="J150" s="45">
        <v>3500</v>
      </c>
      <c r="K150" s="5">
        <v>-3500</v>
      </c>
      <c r="L150" s="6" t="s">
        <v>93</v>
      </c>
      <c r="M150" s="46">
        <v>125481.8600000001</v>
      </c>
      <c r="N150" s="27" t="str">
        <f>IF(tblMovimientos[[#This Row],[Tipo de Movimiento]]="Ingreso",tblMovimientos[[#This Row],[Monto (S/)]],"0")</f>
        <v>0</v>
      </c>
      <c r="O150" s="27">
        <f>IF(tblMovimientos[[#This Row],[Tipo de Movimiento]]="Egreso",tblMovimientos[[#This Row],[Monto (S/)]],"0")</f>
        <v>3500</v>
      </c>
      <c r="P150" s="29">
        <f>IF(tblMovimientos[[#This Row],[Tipo de Movimiento]]="Ingreso",tblMovimientos[[#This Row],[Ingreso]],-tblMovimientos[[#This Row],[Egreso]])</f>
        <v>-3500</v>
      </c>
    </row>
    <row r="151" spans="2:16" x14ac:dyDescent="0.3">
      <c r="B151" s="41">
        <v>46162</v>
      </c>
      <c r="C151" s="4" t="s">
        <v>17</v>
      </c>
      <c r="D151" s="42" t="s">
        <v>95</v>
      </c>
      <c r="E151" s="4" t="s">
        <v>37</v>
      </c>
      <c r="F151" s="43" t="s">
        <v>10</v>
      </c>
      <c r="G151" s="42" t="s">
        <v>46</v>
      </c>
      <c r="H151" s="4" t="str">
        <f>IFERROR(_xlfn.XLOOKUP(G151,Listas!E:E,Listas!F:F,""),"")</f>
        <v>Financiamiento</v>
      </c>
      <c r="I151" s="52" t="str">
        <f>IFERROR(_xlfn.XLOOKUP(G151,Listas!E:E,Listas!G:G,""),"")</f>
        <v>Externo</v>
      </c>
      <c r="J151" s="45">
        <v>3708.33</v>
      </c>
      <c r="K151" s="5">
        <v>-3708.33</v>
      </c>
      <c r="L151" s="6" t="s">
        <v>93</v>
      </c>
      <c r="M151" s="46">
        <v>125481.8600000001</v>
      </c>
      <c r="N151" s="27" t="str">
        <f>IF(tblMovimientos[[#This Row],[Tipo de Movimiento]]="Ingreso",tblMovimientos[[#This Row],[Monto (S/)]],"0")</f>
        <v>0</v>
      </c>
      <c r="O151" s="27">
        <f>IF(tblMovimientos[[#This Row],[Tipo de Movimiento]]="Egreso",tblMovimientos[[#This Row],[Monto (S/)]],"0")</f>
        <v>3708.33</v>
      </c>
      <c r="P151" s="29">
        <f>IF(tblMovimientos[[#This Row],[Tipo de Movimiento]]="Ingreso",tblMovimientos[[#This Row],[Ingreso]],-tblMovimientos[[#This Row],[Egreso]])</f>
        <v>-3708.33</v>
      </c>
    </row>
    <row r="152" spans="2:16" x14ac:dyDescent="0.3">
      <c r="B152" s="41">
        <v>46162</v>
      </c>
      <c r="C152" s="4" t="s">
        <v>17</v>
      </c>
      <c r="D152" s="42" t="s">
        <v>95</v>
      </c>
      <c r="E152" s="4" t="s">
        <v>37</v>
      </c>
      <c r="F152" s="43" t="s">
        <v>10</v>
      </c>
      <c r="G152" s="42" t="s">
        <v>46</v>
      </c>
      <c r="H152" s="4" t="str">
        <f>IFERROR(_xlfn.XLOOKUP(G152,Listas!E:E,Listas!F:F,""),"")</f>
        <v>Financiamiento</v>
      </c>
      <c r="I152" s="52" t="str">
        <f>IFERROR(_xlfn.XLOOKUP(G152,Listas!E:E,Listas!G:G,""),"")</f>
        <v>Externo</v>
      </c>
      <c r="J152" s="45">
        <v>10266.67</v>
      </c>
      <c r="K152" s="5">
        <v>-10266.67</v>
      </c>
      <c r="L152" s="6" t="s">
        <v>93</v>
      </c>
      <c r="M152" s="46">
        <v>125481.8600000001</v>
      </c>
      <c r="N152" s="27" t="str">
        <f>IF(tblMovimientos[[#This Row],[Tipo de Movimiento]]="Ingreso",tblMovimientos[[#This Row],[Monto (S/)]],"0")</f>
        <v>0</v>
      </c>
      <c r="O152" s="27">
        <f>IF(tblMovimientos[[#This Row],[Tipo de Movimiento]]="Egreso",tblMovimientos[[#This Row],[Monto (S/)]],"0")</f>
        <v>10266.67</v>
      </c>
      <c r="P152" s="29">
        <f>IF(tblMovimientos[[#This Row],[Tipo de Movimiento]]="Ingreso",tblMovimientos[[#This Row],[Ingreso]],-tblMovimientos[[#This Row],[Egreso]])</f>
        <v>-10266.67</v>
      </c>
    </row>
    <row r="153" spans="2:16" x14ac:dyDescent="0.3">
      <c r="B153" s="41">
        <v>46162</v>
      </c>
      <c r="C153" s="4" t="s">
        <v>17</v>
      </c>
      <c r="D153" s="42" t="s">
        <v>95</v>
      </c>
      <c r="E153" s="4" t="s">
        <v>37</v>
      </c>
      <c r="F153" s="43" t="s">
        <v>10</v>
      </c>
      <c r="G153" s="42" t="s">
        <v>46</v>
      </c>
      <c r="H153" s="4" t="str">
        <f>IFERROR(_xlfn.XLOOKUP(G153,Listas!E:E,Listas!F:F,""),"")</f>
        <v>Financiamiento</v>
      </c>
      <c r="I153" s="52" t="str">
        <f>IFERROR(_xlfn.XLOOKUP(G153,Listas!E:E,Listas!G:G,""),"")</f>
        <v>Externo</v>
      </c>
      <c r="J153" s="45">
        <v>11666.67</v>
      </c>
      <c r="K153" s="5">
        <v>-11666.67</v>
      </c>
      <c r="L153" s="6" t="s">
        <v>93</v>
      </c>
      <c r="M153" s="46">
        <v>125481.8600000001</v>
      </c>
      <c r="N153" s="27" t="str">
        <f>IF(tblMovimientos[[#This Row],[Tipo de Movimiento]]="Ingreso",tblMovimientos[[#This Row],[Monto (S/)]],"0")</f>
        <v>0</v>
      </c>
      <c r="O153" s="27">
        <f>IF(tblMovimientos[[#This Row],[Tipo de Movimiento]]="Egreso",tblMovimientos[[#This Row],[Monto (S/)]],"0")</f>
        <v>11666.67</v>
      </c>
      <c r="P153" s="29">
        <f>IF(tblMovimientos[[#This Row],[Tipo de Movimiento]]="Ingreso",tblMovimientos[[#This Row],[Ingreso]],-tblMovimientos[[#This Row],[Egreso]])</f>
        <v>-11666.67</v>
      </c>
    </row>
    <row r="154" spans="2:16" x14ac:dyDescent="0.3">
      <c r="B154" s="41">
        <v>46162</v>
      </c>
      <c r="C154" s="4" t="s">
        <v>17</v>
      </c>
      <c r="D154" s="42" t="s">
        <v>95</v>
      </c>
      <c r="E154" s="4" t="s">
        <v>37</v>
      </c>
      <c r="F154" s="43" t="s">
        <v>10</v>
      </c>
      <c r="G154" s="42" t="s">
        <v>46</v>
      </c>
      <c r="H154" s="4" t="str">
        <f>IFERROR(_xlfn.XLOOKUP(G154,Listas!E:E,Listas!F:F,""),"")</f>
        <v>Financiamiento</v>
      </c>
      <c r="I154" s="52" t="str">
        <f>IFERROR(_xlfn.XLOOKUP(G154,Listas!E:E,Listas!G:G,""),"")</f>
        <v>Externo</v>
      </c>
      <c r="J154" s="45">
        <v>22166.67</v>
      </c>
      <c r="K154" s="5">
        <v>-22166.67</v>
      </c>
      <c r="L154" s="6" t="s">
        <v>93</v>
      </c>
      <c r="M154" s="46">
        <v>125481.8600000001</v>
      </c>
      <c r="N154" s="27" t="str">
        <f>IF(tblMovimientos[[#This Row],[Tipo de Movimiento]]="Ingreso",tblMovimientos[[#This Row],[Monto (S/)]],"0")</f>
        <v>0</v>
      </c>
      <c r="O154" s="27">
        <f>IF(tblMovimientos[[#This Row],[Tipo de Movimiento]]="Egreso",tblMovimientos[[#This Row],[Monto (S/)]],"0")</f>
        <v>22166.67</v>
      </c>
      <c r="P154" s="29">
        <f>IF(tblMovimientos[[#This Row],[Tipo de Movimiento]]="Ingreso",tblMovimientos[[#This Row],[Ingreso]],-tblMovimientos[[#This Row],[Egreso]])</f>
        <v>-22166.67</v>
      </c>
    </row>
    <row r="155" spans="2:16" x14ac:dyDescent="0.3">
      <c r="B155" s="41">
        <v>46162</v>
      </c>
      <c r="C155" s="4" t="s">
        <v>17</v>
      </c>
      <c r="D155" s="42" t="s">
        <v>95</v>
      </c>
      <c r="E155" s="4" t="s">
        <v>37</v>
      </c>
      <c r="F155" s="43" t="s">
        <v>10</v>
      </c>
      <c r="G155" s="42" t="s">
        <v>46</v>
      </c>
      <c r="H155" s="4" t="str">
        <f>IFERROR(_xlfn.XLOOKUP(G155,Listas!E:E,Listas!F:F,""),"")</f>
        <v>Financiamiento</v>
      </c>
      <c r="I155" s="52" t="str">
        <f>IFERROR(_xlfn.XLOOKUP(G155,Listas!E:E,Listas!G:G,""),"")</f>
        <v>Externo</v>
      </c>
      <c r="J155" s="45">
        <v>23333.33</v>
      </c>
      <c r="K155" s="5">
        <v>-23333.33</v>
      </c>
      <c r="L155" s="6" t="s">
        <v>93</v>
      </c>
      <c r="M155" s="46">
        <v>125481.8600000001</v>
      </c>
      <c r="N155" s="27" t="str">
        <f>IF(tblMovimientos[[#This Row],[Tipo de Movimiento]]="Ingreso",tblMovimientos[[#This Row],[Monto (S/)]],"0")</f>
        <v>0</v>
      </c>
      <c r="O155" s="27">
        <f>IF(tblMovimientos[[#This Row],[Tipo de Movimiento]]="Egreso",tblMovimientos[[#This Row],[Monto (S/)]],"0")</f>
        <v>23333.33</v>
      </c>
      <c r="P155" s="29">
        <f>IF(tblMovimientos[[#This Row],[Tipo de Movimiento]]="Ingreso",tblMovimientos[[#This Row],[Ingreso]],-tblMovimientos[[#This Row],[Egreso]])</f>
        <v>-23333.33</v>
      </c>
    </row>
    <row r="156" spans="2:16" x14ac:dyDescent="0.3">
      <c r="B156" s="41">
        <v>46162</v>
      </c>
      <c r="C156" s="4" t="s">
        <v>17</v>
      </c>
      <c r="D156" s="42" t="s">
        <v>95</v>
      </c>
      <c r="E156" s="4" t="s">
        <v>37</v>
      </c>
      <c r="F156" s="43" t="s">
        <v>10</v>
      </c>
      <c r="G156" s="42" t="s">
        <v>61</v>
      </c>
      <c r="H156" s="4" t="str">
        <f>IFERROR(_xlfn.XLOOKUP(G156,Listas!E:E,Listas!F:F,""),"")</f>
        <v>Operativo</v>
      </c>
      <c r="I156" s="52" t="str">
        <f>IFERROR(_xlfn.XLOOKUP(G156,Listas!E:E,Listas!G:G,""),"")</f>
        <v>Externo</v>
      </c>
      <c r="J156" s="45">
        <v>35000</v>
      </c>
      <c r="K156" s="5">
        <v>-35000</v>
      </c>
      <c r="L156" s="6" t="s">
        <v>93</v>
      </c>
      <c r="M156" s="46">
        <v>125481.8600000001</v>
      </c>
      <c r="N156" s="27" t="str">
        <f>IF(tblMovimientos[[#This Row],[Tipo de Movimiento]]="Ingreso",tblMovimientos[[#This Row],[Monto (S/)]],"0")</f>
        <v>0</v>
      </c>
      <c r="O156" s="27">
        <f>IF(tblMovimientos[[#This Row],[Tipo de Movimiento]]="Egreso",tblMovimientos[[#This Row],[Monto (S/)]],"0")</f>
        <v>35000</v>
      </c>
      <c r="P156" s="29">
        <f>IF(tblMovimientos[[#This Row],[Tipo de Movimiento]]="Ingreso",tblMovimientos[[#This Row],[Ingreso]],-tblMovimientos[[#This Row],[Egreso]])</f>
        <v>-35000</v>
      </c>
    </row>
    <row r="157" spans="2:16" x14ac:dyDescent="0.3">
      <c r="B157" s="41">
        <v>46162</v>
      </c>
      <c r="C157" s="4" t="s">
        <v>17</v>
      </c>
      <c r="D157" s="42" t="s">
        <v>95</v>
      </c>
      <c r="E157" s="4" t="s">
        <v>37</v>
      </c>
      <c r="F157" s="43" t="s">
        <v>10</v>
      </c>
      <c r="G157" s="42" t="s">
        <v>61</v>
      </c>
      <c r="H157" s="4" t="str">
        <f>IFERROR(_xlfn.XLOOKUP(G157,Listas!E:E,Listas!F:F,""),"")</f>
        <v>Operativo</v>
      </c>
      <c r="I157" s="52" t="str">
        <f>IFERROR(_xlfn.XLOOKUP(G157,Listas!E:E,Listas!G:G,""),"")</f>
        <v>Externo</v>
      </c>
      <c r="J157" s="45">
        <v>65000</v>
      </c>
      <c r="K157" s="5">
        <v>-65000</v>
      </c>
      <c r="L157" s="6" t="s">
        <v>93</v>
      </c>
      <c r="M157" s="46">
        <v>125481.8600000001</v>
      </c>
      <c r="N157" s="27" t="str">
        <f>IF(tblMovimientos[[#This Row],[Tipo de Movimiento]]="Ingreso",tblMovimientos[[#This Row],[Monto (S/)]],"0")</f>
        <v>0</v>
      </c>
      <c r="O157" s="27">
        <f>IF(tblMovimientos[[#This Row],[Tipo de Movimiento]]="Egreso",tblMovimientos[[#This Row],[Monto (S/)]],"0")</f>
        <v>65000</v>
      </c>
      <c r="P157" s="29">
        <f>IF(tblMovimientos[[#This Row],[Tipo de Movimiento]]="Ingreso",tblMovimientos[[#This Row],[Ingreso]],-tblMovimientos[[#This Row],[Egreso]])</f>
        <v>-65000</v>
      </c>
    </row>
    <row r="158" spans="2:16" x14ac:dyDescent="0.3">
      <c r="B158" s="41">
        <v>46162</v>
      </c>
      <c r="C158" s="4" t="s">
        <v>17</v>
      </c>
      <c r="D158" s="42" t="s">
        <v>95</v>
      </c>
      <c r="E158" s="4" t="s">
        <v>37</v>
      </c>
      <c r="F158" s="43" t="s">
        <v>10</v>
      </c>
      <c r="G158" s="42" t="s">
        <v>46</v>
      </c>
      <c r="H158" s="4" t="str">
        <f>IFERROR(_xlfn.XLOOKUP(G158,Listas!E:E,Listas!F:F,""),"")</f>
        <v>Financiamiento</v>
      </c>
      <c r="I158" s="52" t="str">
        <f>IFERROR(_xlfn.XLOOKUP(G158,Listas!E:E,Listas!G:G,""),"")</f>
        <v>Externo</v>
      </c>
      <c r="J158" s="45">
        <v>68750</v>
      </c>
      <c r="K158" s="5">
        <v>-68750</v>
      </c>
      <c r="L158" s="6" t="s">
        <v>93</v>
      </c>
      <c r="M158" s="46">
        <v>125481.8600000001</v>
      </c>
      <c r="N158" s="27" t="str">
        <f>IF(tblMovimientos[[#This Row],[Tipo de Movimiento]]="Ingreso",tblMovimientos[[#This Row],[Monto (S/)]],"0")</f>
        <v>0</v>
      </c>
      <c r="O158" s="27">
        <f>IF(tblMovimientos[[#This Row],[Tipo de Movimiento]]="Egreso",tblMovimientos[[#This Row],[Monto (S/)]],"0")</f>
        <v>68750</v>
      </c>
      <c r="P158" s="29">
        <f>IF(tblMovimientos[[#This Row],[Tipo de Movimiento]]="Ingreso",tblMovimientos[[#This Row],[Ingreso]],-tblMovimientos[[#This Row],[Egreso]])</f>
        <v>-68750</v>
      </c>
    </row>
    <row r="159" spans="2:16" x14ac:dyDescent="0.3">
      <c r="B159" s="41">
        <v>46162</v>
      </c>
      <c r="C159" s="4" t="s">
        <v>17</v>
      </c>
      <c r="D159" s="42" t="s">
        <v>95</v>
      </c>
      <c r="E159" s="4" t="s">
        <v>37</v>
      </c>
      <c r="F159" s="43" t="s">
        <v>10</v>
      </c>
      <c r="G159" s="42" t="s">
        <v>61</v>
      </c>
      <c r="H159" s="4" t="str">
        <f>IFERROR(_xlfn.XLOOKUP(G159,Listas!E:E,Listas!F:F,""),"")</f>
        <v>Operativo</v>
      </c>
      <c r="I159" s="52" t="str">
        <f>IFERROR(_xlfn.XLOOKUP(G159,Listas!E:E,Listas!G:G,""),"")</f>
        <v>Externo</v>
      </c>
      <c r="J159" s="45">
        <v>100000</v>
      </c>
      <c r="K159" s="5">
        <v>-100000</v>
      </c>
      <c r="L159" s="6" t="s">
        <v>93</v>
      </c>
      <c r="M159" s="46">
        <v>125481.8600000001</v>
      </c>
      <c r="N159" s="27" t="str">
        <f>IF(tblMovimientos[[#This Row],[Tipo de Movimiento]]="Ingreso",tblMovimientos[[#This Row],[Monto (S/)]],"0")</f>
        <v>0</v>
      </c>
      <c r="O159" s="27">
        <f>IF(tblMovimientos[[#This Row],[Tipo de Movimiento]]="Egreso",tblMovimientos[[#This Row],[Monto (S/)]],"0")</f>
        <v>100000</v>
      </c>
      <c r="P159" s="29">
        <f>IF(tblMovimientos[[#This Row],[Tipo de Movimiento]]="Ingreso",tblMovimientos[[#This Row],[Ingreso]],-tblMovimientos[[#This Row],[Egreso]])</f>
        <v>-100000</v>
      </c>
    </row>
    <row r="160" spans="2:16" x14ac:dyDescent="0.3">
      <c r="B160" s="41">
        <v>46162</v>
      </c>
      <c r="C160" s="4" t="s">
        <v>17</v>
      </c>
      <c r="D160" s="42" t="s">
        <v>95</v>
      </c>
      <c r="E160" s="4" t="s">
        <v>37</v>
      </c>
      <c r="F160" s="43" t="s">
        <v>10</v>
      </c>
      <c r="G160" s="42" t="s">
        <v>62</v>
      </c>
      <c r="H160" s="4" t="str">
        <f>IFERROR(_xlfn.XLOOKUP(G160,Listas!E:E,Listas!F:F,""),"")</f>
        <v>Operativo</v>
      </c>
      <c r="I160" s="52" t="str">
        <f>IFERROR(_xlfn.XLOOKUP(G160,Listas!E:E,Listas!G:G,""),"")</f>
        <v>Interno</v>
      </c>
      <c r="J160" s="45">
        <v>350000</v>
      </c>
      <c r="K160" s="5">
        <v>-350000</v>
      </c>
      <c r="L160" s="6" t="s">
        <v>93</v>
      </c>
      <c r="M160" s="46">
        <v>125481.8600000001</v>
      </c>
      <c r="N160" s="27" t="str">
        <f>IF(tblMovimientos[[#This Row],[Tipo de Movimiento]]="Ingreso",tblMovimientos[[#This Row],[Monto (S/)]],"0")</f>
        <v>0</v>
      </c>
      <c r="O160" s="27">
        <f>IF(tblMovimientos[[#This Row],[Tipo de Movimiento]]="Egreso",tblMovimientos[[#This Row],[Monto (S/)]],"0")</f>
        <v>350000</v>
      </c>
      <c r="P160" s="29">
        <f>IF(tblMovimientos[[#This Row],[Tipo de Movimiento]]="Ingreso",tblMovimientos[[#This Row],[Ingreso]],-tblMovimientos[[#This Row],[Egreso]])</f>
        <v>-350000</v>
      </c>
    </row>
    <row r="161" spans="2:16" x14ac:dyDescent="0.3">
      <c r="B161" s="41">
        <v>46162</v>
      </c>
      <c r="C161" s="4" t="s">
        <v>21</v>
      </c>
      <c r="D161" s="42" t="s">
        <v>104</v>
      </c>
      <c r="E161" s="4" t="s">
        <v>37</v>
      </c>
      <c r="F161" s="43" t="s">
        <v>10</v>
      </c>
      <c r="G161" s="42" t="s">
        <v>60</v>
      </c>
      <c r="H161" s="4" t="str">
        <f>IFERROR(_xlfn.XLOOKUP(G161,Listas!E:E,Listas!F:F,""),"")</f>
        <v>Inversion</v>
      </c>
      <c r="I161" s="52" t="str">
        <f>IFERROR(_xlfn.XLOOKUP(G161,Listas!E:E,Listas!G:G,""),"")</f>
        <v>Interno</v>
      </c>
      <c r="J161" s="45">
        <v>50000</v>
      </c>
      <c r="K161" s="5">
        <v>-50000</v>
      </c>
      <c r="L161" s="6" t="s">
        <v>93</v>
      </c>
      <c r="M161" s="46">
        <v>211018.51999999938</v>
      </c>
      <c r="N161" s="27" t="str">
        <f>IF(tblMovimientos[[#This Row],[Tipo de Movimiento]]="Ingreso",tblMovimientos[[#This Row],[Monto (S/)]],"0")</f>
        <v>0</v>
      </c>
      <c r="O161" s="27">
        <f>IF(tblMovimientos[[#This Row],[Tipo de Movimiento]]="Egreso",tblMovimientos[[#This Row],[Monto (S/)]],"0")</f>
        <v>50000</v>
      </c>
      <c r="P161" s="29">
        <f>IF(tblMovimientos[[#This Row],[Tipo de Movimiento]]="Ingreso",tblMovimientos[[#This Row],[Ingreso]],-tblMovimientos[[#This Row],[Egreso]])</f>
        <v>-50000</v>
      </c>
    </row>
    <row r="162" spans="2:16" x14ac:dyDescent="0.3">
      <c r="B162" s="41">
        <v>46162</v>
      </c>
      <c r="C162" s="4" t="s">
        <v>21</v>
      </c>
      <c r="D162" s="43" t="s">
        <v>104</v>
      </c>
      <c r="E162" s="4" t="s">
        <v>37</v>
      </c>
      <c r="F162" s="43" t="s">
        <v>10</v>
      </c>
      <c r="G162" s="43" t="s">
        <v>60</v>
      </c>
      <c r="H162" s="4" t="str">
        <f>IFERROR(_xlfn.XLOOKUP(G162,Listas!E:E,Listas!F:F,""),"")</f>
        <v>Inversion</v>
      </c>
      <c r="I162" s="52" t="str">
        <f>IFERROR(_xlfn.XLOOKUP(G162,Listas!E:E,Listas!G:G,""),"")</f>
        <v>Interno</v>
      </c>
      <c r="J162" s="45">
        <v>100000</v>
      </c>
      <c r="K162" s="5">
        <v>-100000</v>
      </c>
      <c r="L162" s="6" t="s">
        <v>93</v>
      </c>
      <c r="M162" s="46">
        <v>211018.51999999938</v>
      </c>
      <c r="N162" s="27" t="str">
        <f>IF(tblMovimientos[[#This Row],[Tipo de Movimiento]]="Ingreso",tblMovimientos[[#This Row],[Monto (S/)]],"0")</f>
        <v>0</v>
      </c>
      <c r="O162" s="27">
        <f>IF(tblMovimientos[[#This Row],[Tipo de Movimiento]]="Egreso",tblMovimientos[[#This Row],[Monto (S/)]],"0")</f>
        <v>100000</v>
      </c>
      <c r="P162" s="29">
        <f>IF(tblMovimientos[[#This Row],[Tipo de Movimiento]]="Ingreso",tblMovimientos[[#This Row],[Ingreso]],-tblMovimientos[[#This Row],[Egreso]])</f>
        <v>-100000</v>
      </c>
    </row>
    <row r="163" spans="2:16" x14ac:dyDescent="0.3">
      <c r="B163" s="41">
        <v>46162</v>
      </c>
      <c r="C163" s="4" t="s">
        <v>21</v>
      </c>
      <c r="D163" s="43" t="s">
        <v>104</v>
      </c>
      <c r="E163" s="4" t="s">
        <v>37</v>
      </c>
      <c r="F163" s="43" t="s">
        <v>9</v>
      </c>
      <c r="G163" s="43" t="s">
        <v>75</v>
      </c>
      <c r="H163" s="4" t="str">
        <f>IFERROR(_xlfn.XLOOKUP(G163,Listas!E:E,Listas!F:F,""),"")</f>
        <v>Financiamiento</v>
      </c>
      <c r="I163" s="52" t="str">
        <f>IFERROR(_xlfn.XLOOKUP(G163,Listas!E:E,Listas!G:G,""),"")</f>
        <v>Interno</v>
      </c>
      <c r="J163" s="45">
        <v>350000</v>
      </c>
      <c r="K163" s="5">
        <v>350000</v>
      </c>
      <c r="L163" s="6" t="s">
        <v>93</v>
      </c>
      <c r="M163" s="46">
        <v>211018.51999999938</v>
      </c>
      <c r="N163" s="27">
        <f>IF(tblMovimientos[[#This Row],[Tipo de Movimiento]]="Ingreso",tblMovimientos[[#This Row],[Monto (S/)]],"0")</f>
        <v>350000</v>
      </c>
      <c r="O163" s="27" t="str">
        <f>IF(tblMovimientos[[#This Row],[Tipo de Movimiento]]="Egreso",tblMovimientos[[#This Row],[Monto (S/)]],"0")</f>
        <v>0</v>
      </c>
      <c r="P163" s="29">
        <f>IF(tblMovimientos[[#This Row],[Tipo de Movimiento]]="Ingreso",tblMovimientos[[#This Row],[Ingreso]],-tblMovimientos[[#This Row],[Egreso]])</f>
        <v>350000</v>
      </c>
    </row>
    <row r="164" spans="2:16" x14ac:dyDescent="0.3">
      <c r="B164" s="41">
        <v>46162</v>
      </c>
      <c r="C164" s="4" t="s">
        <v>35</v>
      </c>
      <c r="D164" s="43" t="s">
        <v>126</v>
      </c>
      <c r="E164" s="4" t="s">
        <v>37</v>
      </c>
      <c r="F164" s="43" t="s">
        <v>10</v>
      </c>
      <c r="G164" s="43" t="s">
        <v>38</v>
      </c>
      <c r="H164" s="4" t="str">
        <f>IFERROR(_xlfn.XLOOKUP(G164,Listas!E:E,Listas!F:F,""),"")</f>
        <v>Operativo</v>
      </c>
      <c r="I164" s="52" t="str">
        <f>IFERROR(_xlfn.XLOOKUP(G164,Listas!E:E,Listas!G:G,""),"")</f>
        <v>Externo</v>
      </c>
      <c r="J164" s="45">
        <v>5199.1400000000003</v>
      </c>
      <c r="K164" s="5">
        <v>-5199.1400000000003</v>
      </c>
      <c r="L164" s="6" t="s">
        <v>93</v>
      </c>
      <c r="M164" s="46">
        <v>8168.0700000000006</v>
      </c>
      <c r="N164" s="27" t="str">
        <f>IF(tblMovimientos[[#This Row],[Tipo de Movimiento]]="Ingreso",tblMovimientos[[#This Row],[Monto (S/)]],"0")</f>
        <v>0</v>
      </c>
      <c r="O164" s="27">
        <f>IF(tblMovimientos[[#This Row],[Tipo de Movimiento]]="Egreso",tblMovimientos[[#This Row],[Monto (S/)]],"0")</f>
        <v>5199.1400000000003</v>
      </c>
      <c r="P164" s="29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1">
        <v>46162</v>
      </c>
      <c r="C165" s="4" t="s">
        <v>35</v>
      </c>
      <c r="D165" s="43" t="s">
        <v>126</v>
      </c>
      <c r="E165" s="4" t="s">
        <v>37</v>
      </c>
      <c r="F165" s="43" t="s">
        <v>10</v>
      </c>
      <c r="G165" s="43" t="s">
        <v>38</v>
      </c>
      <c r="H165" s="4" t="str">
        <f>IFERROR(_xlfn.XLOOKUP(G165,Listas!E:E,Listas!F:F,""),"")</f>
        <v>Operativo</v>
      </c>
      <c r="I165" s="52" t="str">
        <f>IFERROR(_xlfn.XLOOKUP(G165,Listas!E:E,Listas!G:G,""),"")</f>
        <v>Externo</v>
      </c>
      <c r="J165" s="45">
        <v>5450</v>
      </c>
      <c r="K165" s="5">
        <v>-5450</v>
      </c>
      <c r="L165" s="6" t="s">
        <v>93</v>
      </c>
      <c r="M165" s="46">
        <v>8168.0700000000006</v>
      </c>
      <c r="N165" s="27" t="str">
        <f>IF(tblMovimientos[[#This Row],[Tipo de Movimiento]]="Ingreso",tblMovimientos[[#This Row],[Monto (S/)]],"0")</f>
        <v>0</v>
      </c>
      <c r="O165" s="27">
        <f>IF(tblMovimientos[[#This Row],[Tipo de Movimiento]]="Egreso",tblMovimientos[[#This Row],[Monto (S/)]],"0")</f>
        <v>5450</v>
      </c>
      <c r="P165" s="29">
        <f>IF(tblMovimientos[[#This Row],[Tipo de Movimiento]]="Ingreso",tblMovimientos[[#This Row],[Ingreso]],-tblMovimientos[[#This Row],[Egreso]])</f>
        <v>-5450</v>
      </c>
    </row>
    <row r="166" spans="2:16" x14ac:dyDescent="0.3">
      <c r="B166" s="41">
        <v>46163</v>
      </c>
      <c r="C166" s="4" t="s">
        <v>20</v>
      </c>
      <c r="D166" s="43" t="s">
        <v>100</v>
      </c>
      <c r="E166" s="4" t="s">
        <v>36</v>
      </c>
      <c r="F166" s="43" t="s">
        <v>10</v>
      </c>
      <c r="G166" s="43" t="s">
        <v>61</v>
      </c>
      <c r="H166" s="4" t="str">
        <f>IFERROR(_xlfn.XLOOKUP(G166,Listas!E:E,Listas!F:F,""),"")</f>
        <v>Operativo</v>
      </c>
      <c r="I166" s="52" t="str">
        <f>IFERROR(_xlfn.XLOOKUP(G166,Listas!E:E,Listas!G:G,""),"")</f>
        <v>Externo</v>
      </c>
      <c r="J166" s="45">
        <v>60000</v>
      </c>
      <c r="K166" s="5">
        <v>-60000</v>
      </c>
      <c r="L166" s="6" t="s">
        <v>93</v>
      </c>
      <c r="M166" s="46">
        <v>497076.20999999985</v>
      </c>
      <c r="N166" s="27" t="str">
        <f>IF(tblMovimientos[[#This Row],[Tipo de Movimiento]]="Ingreso",tblMovimientos[[#This Row],[Monto (S/)]],"0")</f>
        <v>0</v>
      </c>
      <c r="O166" s="27">
        <f>IF(tblMovimientos[[#This Row],[Tipo de Movimiento]]="Egreso",tblMovimientos[[#This Row],[Monto (S/)]],"0")</f>
        <v>60000</v>
      </c>
      <c r="P166" s="29">
        <f>IF(tblMovimientos[[#This Row],[Tipo de Movimiento]]="Ingreso",tblMovimientos[[#This Row],[Ingreso]],-tblMovimientos[[#This Row],[Egreso]])</f>
        <v>-60000</v>
      </c>
    </row>
    <row r="167" spans="2:16" x14ac:dyDescent="0.3">
      <c r="B167" s="41">
        <v>46163</v>
      </c>
      <c r="C167" s="4" t="s">
        <v>20</v>
      </c>
      <c r="D167" s="43" t="s">
        <v>100</v>
      </c>
      <c r="E167" s="4" t="s">
        <v>36</v>
      </c>
      <c r="F167" s="43" t="s">
        <v>10</v>
      </c>
      <c r="G167" s="43" t="s">
        <v>60</v>
      </c>
      <c r="H167" s="4" t="str">
        <f>IFERROR(_xlfn.XLOOKUP(G167,Listas!E:E,Listas!F:F,""),"")</f>
        <v>Inversion</v>
      </c>
      <c r="I167" s="52" t="str">
        <f>IFERROR(_xlfn.XLOOKUP(G167,Listas!E:E,Listas!G:G,""),"")</f>
        <v>Interno</v>
      </c>
      <c r="J167" s="45">
        <v>75000</v>
      </c>
      <c r="K167" s="5">
        <v>-75000</v>
      </c>
      <c r="L167" s="6" t="s">
        <v>93</v>
      </c>
      <c r="M167" s="46">
        <v>497076.20999999985</v>
      </c>
      <c r="N167" s="27" t="str">
        <f>IF(tblMovimientos[[#This Row],[Tipo de Movimiento]]="Ingreso",tblMovimientos[[#This Row],[Monto (S/)]],"0")</f>
        <v>0</v>
      </c>
      <c r="O167" s="27">
        <f>IF(tblMovimientos[[#This Row],[Tipo de Movimiento]]="Egreso",tblMovimientos[[#This Row],[Monto (S/)]],"0")</f>
        <v>75000</v>
      </c>
      <c r="P167" s="29">
        <f>IF(tblMovimientos[[#This Row],[Tipo de Movimiento]]="Ingreso",tblMovimientos[[#This Row],[Ingreso]],-tblMovimientos[[#This Row],[Egreso]])</f>
        <v>-75000</v>
      </c>
    </row>
    <row r="168" spans="2:16" x14ac:dyDescent="0.3">
      <c r="B168" s="41">
        <v>46163</v>
      </c>
      <c r="C168" s="4" t="s">
        <v>20</v>
      </c>
      <c r="D168" s="43" t="s">
        <v>100</v>
      </c>
      <c r="E168" s="4" t="s">
        <v>36</v>
      </c>
      <c r="F168" s="43" t="s">
        <v>10</v>
      </c>
      <c r="G168" s="43" t="s">
        <v>61</v>
      </c>
      <c r="H168" s="4" t="str">
        <f>IFERROR(_xlfn.XLOOKUP(G168,Listas!E:E,Listas!F:F,""),"")</f>
        <v>Operativo</v>
      </c>
      <c r="I168" s="52" t="str">
        <f>IFERROR(_xlfn.XLOOKUP(G168,Listas!E:E,Listas!G:G,""),"")</f>
        <v>Externo</v>
      </c>
      <c r="J168" s="45">
        <v>100000</v>
      </c>
      <c r="K168" s="5">
        <v>-100000</v>
      </c>
      <c r="L168" s="6" t="s">
        <v>93</v>
      </c>
      <c r="M168" s="46">
        <v>497076.20999999985</v>
      </c>
      <c r="N168" s="27" t="str">
        <f>IF(tblMovimientos[[#This Row],[Tipo de Movimiento]]="Ingreso",tblMovimientos[[#This Row],[Monto (S/)]],"0")</f>
        <v>0</v>
      </c>
      <c r="O168" s="27">
        <f>IF(tblMovimientos[[#This Row],[Tipo de Movimiento]]="Egreso",tblMovimientos[[#This Row],[Monto (S/)]],"0")</f>
        <v>100000</v>
      </c>
      <c r="P168" s="29">
        <f>IF(tblMovimientos[[#This Row],[Tipo de Movimiento]]="Ingreso",tblMovimientos[[#This Row],[Ingreso]],-tblMovimientos[[#This Row],[Egreso]])</f>
        <v>-100000</v>
      </c>
    </row>
    <row r="169" spans="2:16" x14ac:dyDescent="0.3">
      <c r="B169" s="41">
        <v>46163</v>
      </c>
      <c r="C169" s="4" t="s">
        <v>20</v>
      </c>
      <c r="D169" s="43" t="s">
        <v>100</v>
      </c>
      <c r="E169" s="4" t="s">
        <v>36</v>
      </c>
      <c r="F169" s="43" t="s">
        <v>10</v>
      </c>
      <c r="G169" s="43" t="s">
        <v>61</v>
      </c>
      <c r="H169" s="4" t="str">
        <f>IFERROR(_xlfn.XLOOKUP(G169,Listas!E:E,Listas!F:F,""),"")</f>
        <v>Operativo</v>
      </c>
      <c r="I169" s="52" t="str">
        <f>IFERROR(_xlfn.XLOOKUP(G169,Listas!E:E,Listas!G:G,""),"")</f>
        <v>Externo</v>
      </c>
      <c r="J169" s="45">
        <v>100000</v>
      </c>
      <c r="K169" s="5">
        <v>-100000</v>
      </c>
      <c r="L169" s="6" t="s">
        <v>93</v>
      </c>
      <c r="M169" s="46">
        <v>497076.20999999985</v>
      </c>
      <c r="N169" s="27" t="str">
        <f>IF(tblMovimientos[[#This Row],[Tipo de Movimiento]]="Ingreso",tblMovimientos[[#This Row],[Monto (S/)]],"0")</f>
        <v>0</v>
      </c>
      <c r="O169" s="27">
        <f>IF(tblMovimientos[[#This Row],[Tipo de Movimiento]]="Egreso",tblMovimientos[[#This Row],[Monto (S/)]],"0")</f>
        <v>100000</v>
      </c>
      <c r="P169" s="29">
        <f>IF(tblMovimientos[[#This Row],[Tipo de Movimiento]]="Ingreso",tblMovimientos[[#This Row],[Ingreso]],-tblMovimientos[[#This Row],[Egreso]])</f>
        <v>-100000</v>
      </c>
    </row>
    <row r="170" spans="2:16" x14ac:dyDescent="0.3">
      <c r="B170" s="41">
        <v>46163</v>
      </c>
      <c r="C170" s="4" t="s">
        <v>18</v>
      </c>
      <c r="D170" s="43" t="s">
        <v>97</v>
      </c>
      <c r="E170" s="4" t="s">
        <v>37</v>
      </c>
      <c r="F170" s="43" t="s">
        <v>9</v>
      </c>
      <c r="G170" s="43" t="s">
        <v>87</v>
      </c>
      <c r="H170" s="4" t="str">
        <f>IFERROR(_xlfn.XLOOKUP(G170,Listas!E:E,Listas!F:F,""),"")</f>
        <v>Operativo</v>
      </c>
      <c r="I170" s="52" t="str">
        <f>IFERROR(_xlfn.XLOOKUP(G170,Listas!E:E,Listas!G:G,""),"")</f>
        <v>Externo</v>
      </c>
      <c r="J170" s="45">
        <v>600000</v>
      </c>
      <c r="K170" s="5">
        <v>600000</v>
      </c>
      <c r="L170" s="6" t="s">
        <v>93</v>
      </c>
      <c r="M170" s="46">
        <v>654760.15999999992</v>
      </c>
      <c r="N170" s="27">
        <f>IF(tblMovimientos[[#This Row],[Tipo de Movimiento]]="Ingreso",tblMovimientos[[#This Row],[Monto (S/)]],"0")</f>
        <v>600000</v>
      </c>
      <c r="O170" s="27" t="str">
        <f>IF(tblMovimientos[[#This Row],[Tipo de Movimiento]]="Egreso",tblMovimientos[[#This Row],[Monto (S/)]],"0")</f>
        <v>0</v>
      </c>
      <c r="P170" s="29">
        <f>IF(tblMovimientos[[#This Row],[Tipo de Movimiento]]="Ingreso",tblMovimientos[[#This Row],[Ingreso]],-tblMovimientos[[#This Row],[Egreso]])</f>
        <v>600000</v>
      </c>
    </row>
    <row r="171" spans="2:16" x14ac:dyDescent="0.3">
      <c r="B171" s="41">
        <v>46163</v>
      </c>
      <c r="C171" s="4" t="s">
        <v>23</v>
      </c>
      <c r="D171" s="43" t="s">
        <v>112</v>
      </c>
      <c r="E171" s="4" t="s">
        <v>36</v>
      </c>
      <c r="F171" s="43" t="s">
        <v>9</v>
      </c>
      <c r="G171" s="43" t="s">
        <v>67</v>
      </c>
      <c r="H171" s="4" t="str">
        <f>IFERROR(_xlfn.XLOOKUP(G171,Listas!E:E,Listas!F:F,""),"")</f>
        <v>Inversion</v>
      </c>
      <c r="I171" s="52" t="str">
        <f>IFERROR(_xlfn.XLOOKUP(G171,Listas!E:E,Listas!G:G,""),"")</f>
        <v>Interno</v>
      </c>
      <c r="J171" s="45">
        <v>75000</v>
      </c>
      <c r="K171" s="5">
        <v>75000</v>
      </c>
      <c r="L171" s="6" t="s">
        <v>93</v>
      </c>
      <c r="M171" s="46">
        <v>88090.37</v>
      </c>
      <c r="N171" s="27">
        <f>IF(tblMovimientos[[#This Row],[Tipo de Movimiento]]="Ingreso",tblMovimientos[[#This Row],[Monto (S/)]],"0")</f>
        <v>75000</v>
      </c>
      <c r="O171" s="27" t="str">
        <f>IF(tblMovimientos[[#This Row],[Tipo de Movimiento]]="Egreso",tblMovimientos[[#This Row],[Monto (S/)]],"0")</f>
        <v>0</v>
      </c>
      <c r="P171" s="29">
        <f>IF(tblMovimientos[[#This Row],[Tipo de Movimiento]]="Ingreso",tblMovimientos[[#This Row],[Ingreso]],-tblMovimientos[[#This Row],[Egreso]])</f>
        <v>75000</v>
      </c>
    </row>
    <row r="172" spans="2:16" x14ac:dyDescent="0.3">
      <c r="B172" s="41">
        <v>46164</v>
      </c>
      <c r="C172" s="4" t="s">
        <v>21</v>
      </c>
      <c r="D172" s="43" t="s">
        <v>101</v>
      </c>
      <c r="E172" s="4" t="s">
        <v>36</v>
      </c>
      <c r="F172" s="43" t="s">
        <v>10</v>
      </c>
      <c r="G172" s="43" t="s">
        <v>38</v>
      </c>
      <c r="H172" s="4" t="str">
        <f>IFERROR(_xlfn.XLOOKUP(G172,Listas!E:E,Listas!F:F,""),"")</f>
        <v>Operativo</v>
      </c>
      <c r="I172" s="52" t="str">
        <f>IFERROR(_xlfn.XLOOKUP(G172,Listas!E:E,Listas!G:G,""),"")</f>
        <v>Externo</v>
      </c>
      <c r="J172" s="45">
        <v>762.99</v>
      </c>
      <c r="K172" s="5">
        <v>-762.99</v>
      </c>
      <c r="L172" s="6" t="s">
        <v>93</v>
      </c>
      <c r="M172" s="46">
        <v>11562.970000000001</v>
      </c>
      <c r="N172" s="27" t="str">
        <f>IF(tblMovimientos[[#This Row],[Tipo de Movimiento]]="Ingreso",tblMovimientos[[#This Row],[Monto (S/)]],"0")</f>
        <v>0</v>
      </c>
      <c r="O172" s="27">
        <f>IF(tblMovimientos[[#This Row],[Tipo de Movimiento]]="Egreso",tblMovimientos[[#This Row],[Monto (S/)]],"0")</f>
        <v>762.99</v>
      </c>
      <c r="P172" s="29">
        <f>IF(tblMovimientos[[#This Row],[Tipo de Movimiento]]="Ingreso",tblMovimientos[[#This Row],[Ingreso]],-tblMovimientos[[#This Row],[Egreso]])</f>
        <v>-762.99</v>
      </c>
    </row>
    <row r="173" spans="2:16" x14ac:dyDescent="0.3">
      <c r="B173" s="41">
        <v>46168</v>
      </c>
      <c r="C173" s="4" t="s">
        <v>17</v>
      </c>
      <c r="D173" s="43" t="s">
        <v>94</v>
      </c>
      <c r="E173" s="4" t="s">
        <v>36</v>
      </c>
      <c r="F173" s="43" t="s">
        <v>9</v>
      </c>
      <c r="G173" s="43" t="s">
        <v>68</v>
      </c>
      <c r="H173" s="4" t="str">
        <f>IFERROR(_xlfn.XLOOKUP(G173,Listas!E:E,Listas!F:F,""),"")</f>
        <v>Operativo</v>
      </c>
      <c r="I173" s="52" t="str">
        <f>IFERROR(_xlfn.XLOOKUP(G173,Listas!E:E,Listas!G:G,""),"")</f>
        <v>Externo</v>
      </c>
      <c r="J173" s="45">
        <v>110832.53</v>
      </c>
      <c r="K173" s="5">
        <v>110832.53</v>
      </c>
      <c r="L173" s="6" t="s">
        <v>93</v>
      </c>
      <c r="M173" s="46">
        <v>122416.43999999997</v>
      </c>
      <c r="N173" s="27">
        <f>IF(tblMovimientos[[#This Row],[Tipo de Movimiento]]="Ingreso",tblMovimientos[[#This Row],[Monto (S/)]],"0")</f>
        <v>110832.53</v>
      </c>
      <c r="O173" s="27" t="str">
        <f>IF(tblMovimientos[[#This Row],[Tipo de Movimiento]]="Egreso",tblMovimientos[[#This Row],[Monto (S/)]],"0")</f>
        <v>0</v>
      </c>
      <c r="P173" s="29">
        <f>IF(tblMovimientos[[#This Row],[Tipo de Movimiento]]="Ingreso",tblMovimientos[[#This Row],[Ingreso]],-tblMovimientos[[#This Row],[Egreso]])</f>
        <v>110832.53</v>
      </c>
    </row>
    <row r="174" spans="2:16" x14ac:dyDescent="0.3">
      <c r="B174" s="41">
        <v>46168</v>
      </c>
      <c r="C174" s="4" t="s">
        <v>18</v>
      </c>
      <c r="D174" s="43" t="s">
        <v>97</v>
      </c>
      <c r="E174" s="4" t="s">
        <v>37</v>
      </c>
      <c r="F174" s="43" t="s">
        <v>9</v>
      </c>
      <c r="G174" s="43" t="s">
        <v>87</v>
      </c>
      <c r="H174" s="4" t="str">
        <f>IFERROR(_xlfn.XLOOKUP(G174,Listas!E:E,Listas!F:F,""),"")</f>
        <v>Operativo</v>
      </c>
      <c r="I174" s="52" t="str">
        <f>IFERROR(_xlfn.XLOOKUP(G174,Listas!E:E,Listas!G:G,""),"")</f>
        <v>Externo</v>
      </c>
      <c r="J174" s="45">
        <v>600000</v>
      </c>
      <c r="K174" s="5">
        <v>600000</v>
      </c>
      <c r="L174" s="6" t="s">
        <v>93</v>
      </c>
      <c r="M174" s="46">
        <v>1254760.1600000001</v>
      </c>
      <c r="N174" s="27">
        <f>IF(tblMovimientos[[#This Row],[Tipo de Movimiento]]="Ingreso",tblMovimientos[[#This Row],[Monto (S/)]],"0")</f>
        <v>600000</v>
      </c>
      <c r="O174" s="27" t="str">
        <f>IF(tblMovimientos[[#This Row],[Tipo de Movimiento]]="Egreso",tblMovimientos[[#This Row],[Monto (S/)]],"0")</f>
        <v>0</v>
      </c>
      <c r="P174" s="29">
        <f>IF(tblMovimientos[[#This Row],[Tipo de Movimiento]]="Ingreso",tblMovimientos[[#This Row],[Ingreso]],-tblMovimientos[[#This Row],[Egreso]])</f>
        <v>600000</v>
      </c>
    </row>
    <row r="175" spans="2:16" x14ac:dyDescent="0.3">
      <c r="B175" s="41">
        <v>46169</v>
      </c>
      <c r="C175" s="4" t="s">
        <v>20</v>
      </c>
      <c r="D175" s="43" t="s">
        <v>100</v>
      </c>
      <c r="E175" s="4" t="s">
        <v>36</v>
      </c>
      <c r="F175" s="43" t="s">
        <v>9</v>
      </c>
      <c r="G175" s="43" t="s">
        <v>68</v>
      </c>
      <c r="H175" s="4" t="str">
        <f>IFERROR(_xlfn.XLOOKUP(G175,Listas!E:E,Listas!F:F,""),"")</f>
        <v>Operativo</v>
      </c>
      <c r="I175" s="52" t="str">
        <f>IFERROR(_xlfn.XLOOKUP(G175,Listas!E:E,Listas!G:G,""),"")</f>
        <v>Externo</v>
      </c>
      <c r="J175" s="45">
        <v>17540.53</v>
      </c>
      <c r="K175" s="5">
        <v>17540.53</v>
      </c>
      <c r="L175" s="6" t="s">
        <v>93</v>
      </c>
      <c r="M175" s="46">
        <v>514616.73999999987</v>
      </c>
      <c r="N175" s="27">
        <f>IF(tblMovimientos[[#This Row],[Tipo de Movimiento]]="Ingreso",tblMovimientos[[#This Row],[Monto (S/)]],"0")</f>
        <v>17540.53</v>
      </c>
      <c r="O175" s="27" t="str">
        <f>IF(tblMovimientos[[#This Row],[Tipo de Movimiento]]="Egreso",tblMovimientos[[#This Row],[Monto (S/)]],"0")</f>
        <v>0</v>
      </c>
      <c r="P175" s="29">
        <f>IF(tblMovimientos[[#This Row],[Tipo de Movimiento]]="Ingreso",tblMovimientos[[#This Row],[Ingreso]],-tblMovimientos[[#This Row],[Egreso]])</f>
        <v>17540.53</v>
      </c>
    </row>
    <row r="176" spans="2:16" x14ac:dyDescent="0.3">
      <c r="B176" s="41">
        <v>46169</v>
      </c>
      <c r="C176" s="4" t="s">
        <v>17</v>
      </c>
      <c r="D176" s="43" t="s">
        <v>94</v>
      </c>
      <c r="E176" s="4" t="s">
        <v>36</v>
      </c>
      <c r="F176" s="43" t="s">
        <v>9</v>
      </c>
      <c r="G176" s="43" t="s">
        <v>68</v>
      </c>
      <c r="H176" s="4" t="str">
        <f>IFERROR(_xlfn.XLOOKUP(G176,Listas!E:E,Listas!F:F,""),"")</f>
        <v>Operativo</v>
      </c>
      <c r="I176" s="52" t="str">
        <f>IFERROR(_xlfn.XLOOKUP(G176,Listas!E:E,Listas!G:G,""),"")</f>
        <v>Externo</v>
      </c>
      <c r="J176" s="45">
        <v>6217.37</v>
      </c>
      <c r="K176" s="5">
        <v>6217.37</v>
      </c>
      <c r="L176" s="6" t="s">
        <v>93</v>
      </c>
      <c r="M176" s="46">
        <v>128633.80999999997</v>
      </c>
      <c r="N176" s="27">
        <f>IF(tblMovimientos[[#This Row],[Tipo de Movimiento]]="Ingreso",tblMovimientos[[#This Row],[Monto (S/)]],"0")</f>
        <v>6217.37</v>
      </c>
      <c r="O176" s="27" t="str">
        <f>IF(tblMovimientos[[#This Row],[Tipo de Movimiento]]="Egreso",tblMovimientos[[#This Row],[Monto (S/)]],"0")</f>
        <v>0</v>
      </c>
      <c r="P176" s="29">
        <f>IF(tblMovimientos[[#This Row],[Tipo de Movimiento]]="Ingreso",tblMovimientos[[#This Row],[Ingreso]],-tblMovimientos[[#This Row],[Egreso]])</f>
        <v>6217.37</v>
      </c>
    </row>
    <row r="177" spans="2:16" x14ac:dyDescent="0.3">
      <c r="B177" s="41">
        <v>46169</v>
      </c>
      <c r="C177" s="4" t="s">
        <v>33</v>
      </c>
      <c r="D177" s="43" t="s">
        <v>124</v>
      </c>
      <c r="E177" s="4" t="s">
        <v>36</v>
      </c>
      <c r="F177" s="43" t="s">
        <v>9</v>
      </c>
      <c r="G177" s="43" t="s">
        <v>81</v>
      </c>
      <c r="H177" s="4" t="str">
        <f>IFERROR(_xlfn.XLOOKUP(G177,Listas!E:E,Listas!F:F,""),"")</f>
        <v>Operativo</v>
      </c>
      <c r="I177" s="52" t="str">
        <f>IFERROR(_xlfn.XLOOKUP(G177,Listas!E:E,Listas!G:G,""),"")</f>
        <v>Externo</v>
      </c>
      <c r="J177" s="45">
        <v>4400</v>
      </c>
      <c r="K177" s="5">
        <v>4400</v>
      </c>
      <c r="L177" s="6" t="s">
        <v>93</v>
      </c>
      <c r="M177" s="46">
        <v>33606.270000000004</v>
      </c>
      <c r="N177" s="27">
        <f>IF(tblMovimientos[[#This Row],[Tipo de Movimiento]]="Ingreso",tblMovimientos[[#This Row],[Monto (S/)]],"0")</f>
        <v>4400</v>
      </c>
      <c r="O177" s="27" t="str">
        <f>IF(tblMovimientos[[#This Row],[Tipo de Movimiento]]="Egreso",tblMovimientos[[#This Row],[Monto (S/)]],"0")</f>
        <v>0</v>
      </c>
      <c r="P177" s="29">
        <f>IF(tblMovimientos[[#This Row],[Tipo de Movimiento]]="Ingreso",tblMovimientos[[#This Row],[Ingreso]],-tblMovimientos[[#This Row],[Egreso]])</f>
        <v>4400</v>
      </c>
    </row>
    <row r="178" spans="2:16" x14ac:dyDescent="0.3">
      <c r="B178" s="41">
        <v>46169</v>
      </c>
      <c r="C178" s="4" t="s">
        <v>22</v>
      </c>
      <c r="D178" s="43" t="s">
        <v>111</v>
      </c>
      <c r="E178" s="4" t="s">
        <v>37</v>
      </c>
      <c r="F178" s="43" t="s">
        <v>10</v>
      </c>
      <c r="G178" s="43" t="s">
        <v>53</v>
      </c>
      <c r="H178" s="4" t="str">
        <f>IFERROR(_xlfn.XLOOKUP(G178,Listas!E:E,Listas!F:F,""),"")</f>
        <v>Inversion</v>
      </c>
      <c r="I178" s="52" t="str">
        <f>IFERROR(_xlfn.XLOOKUP(G178,Listas!E:E,Listas!G:G,""),"")</f>
        <v>Interno</v>
      </c>
      <c r="J178" s="45">
        <v>10000</v>
      </c>
      <c r="K178" s="5">
        <v>-10000</v>
      </c>
      <c r="L178" s="6" t="s">
        <v>93</v>
      </c>
      <c r="M178" s="46">
        <v>10717.600000000006</v>
      </c>
      <c r="N178" s="27" t="str">
        <f>IF(tblMovimientos[[#This Row],[Tipo de Movimiento]]="Ingreso",tblMovimientos[[#This Row],[Monto (S/)]],"0")</f>
        <v>0</v>
      </c>
      <c r="O178" s="27">
        <f>IF(tblMovimientos[[#This Row],[Tipo de Movimiento]]="Egreso",tblMovimientos[[#This Row],[Monto (S/)]],"0")</f>
        <v>10000</v>
      </c>
      <c r="P178" s="29">
        <f>IF(tblMovimientos[[#This Row],[Tipo de Movimiento]]="Ingreso",tblMovimientos[[#This Row],[Ingreso]],-tblMovimientos[[#This Row],[Egreso]])</f>
        <v>-10000</v>
      </c>
    </row>
    <row r="179" spans="2:16" x14ac:dyDescent="0.3">
      <c r="B179" s="41">
        <v>46169</v>
      </c>
      <c r="C179" s="4" t="s">
        <v>34</v>
      </c>
      <c r="D179" s="43" t="s">
        <v>125</v>
      </c>
      <c r="E179" s="4" t="s">
        <v>37</v>
      </c>
      <c r="F179" s="43" t="s">
        <v>9</v>
      </c>
      <c r="G179" s="43" t="s">
        <v>77</v>
      </c>
      <c r="H179" s="4" t="str">
        <f>IFERROR(_xlfn.XLOOKUP(G179,Listas!E:E,Listas!F:F,""),"")</f>
        <v>Inversion</v>
      </c>
      <c r="I179" s="52" t="str">
        <f>IFERROR(_xlfn.XLOOKUP(G179,Listas!E:E,Listas!G:G,""),"")</f>
        <v>Interno</v>
      </c>
      <c r="J179" s="45">
        <v>10000</v>
      </c>
      <c r="K179" s="5">
        <v>10000</v>
      </c>
      <c r="L179" s="6" t="s">
        <v>93</v>
      </c>
      <c r="M179" s="46">
        <v>345</v>
      </c>
      <c r="N179" s="27">
        <f>IF(tblMovimientos[[#This Row],[Tipo de Movimiento]]="Ingreso",tblMovimientos[[#This Row],[Monto (S/)]],"0")</f>
        <v>10000</v>
      </c>
      <c r="O179" s="27" t="str">
        <f>IF(tblMovimientos[[#This Row],[Tipo de Movimiento]]="Egreso",tblMovimientos[[#This Row],[Monto (S/)]],"0")</f>
        <v>0</v>
      </c>
      <c r="P179" s="29">
        <f>IF(tblMovimientos[[#This Row],[Tipo de Movimiento]]="Ingreso",tblMovimientos[[#This Row],[Ingreso]],-tblMovimientos[[#This Row],[Egreso]])</f>
        <v>10000</v>
      </c>
    </row>
    <row r="180" spans="2:16" x14ac:dyDescent="0.3">
      <c r="B180" s="41">
        <v>46169</v>
      </c>
      <c r="C180" s="4" t="s">
        <v>34</v>
      </c>
      <c r="D180" s="43" t="s">
        <v>125</v>
      </c>
      <c r="E180" s="4" t="s">
        <v>37</v>
      </c>
      <c r="F180" s="43" t="s">
        <v>10</v>
      </c>
      <c r="G180" s="43" t="s">
        <v>53</v>
      </c>
      <c r="H180" s="4" t="str">
        <f>IFERROR(_xlfn.XLOOKUP(G180,Listas!E:E,Listas!F:F,""),"")</f>
        <v>Inversion</v>
      </c>
      <c r="I180" s="52" t="str">
        <f>IFERROR(_xlfn.XLOOKUP(G180,Listas!E:E,Listas!G:G,""),"")</f>
        <v>Interno</v>
      </c>
      <c r="J180" s="45">
        <v>10000</v>
      </c>
      <c r="K180" s="5">
        <v>-10000</v>
      </c>
      <c r="L180" s="6" t="s">
        <v>93</v>
      </c>
      <c r="M180" s="46">
        <v>345</v>
      </c>
      <c r="N180" s="27" t="str">
        <f>IF(tblMovimientos[[#This Row],[Tipo de Movimiento]]="Ingreso",tblMovimientos[[#This Row],[Monto (S/)]],"0")</f>
        <v>0</v>
      </c>
      <c r="O180" s="27">
        <f>IF(tblMovimientos[[#This Row],[Tipo de Movimiento]]="Egreso",tblMovimientos[[#This Row],[Monto (S/)]],"0")</f>
        <v>10000</v>
      </c>
      <c r="P180" s="29">
        <f>IF(tblMovimientos[[#This Row],[Tipo de Movimiento]]="Ingreso",tblMovimientos[[#This Row],[Ingreso]],-tblMovimientos[[#This Row],[Egreso]])</f>
        <v>-10000</v>
      </c>
    </row>
    <row r="181" spans="2:16" x14ac:dyDescent="0.3">
      <c r="B181" s="41">
        <v>46169</v>
      </c>
      <c r="C181" s="4" t="s">
        <v>35</v>
      </c>
      <c r="D181" s="43" t="s">
        <v>126</v>
      </c>
      <c r="E181" s="4" t="s">
        <v>37</v>
      </c>
      <c r="F181" s="43" t="s">
        <v>10</v>
      </c>
      <c r="G181" s="43" t="s">
        <v>38</v>
      </c>
      <c r="H181" s="4" t="str">
        <f>IFERROR(_xlfn.XLOOKUP(G181,Listas!E:E,Listas!F:F,""),"")</f>
        <v>Operativo</v>
      </c>
      <c r="I181" s="52" t="str">
        <f>IFERROR(_xlfn.XLOOKUP(G181,Listas!E:E,Listas!G:G,""),"")</f>
        <v>Externo</v>
      </c>
      <c r="J181" s="45">
        <v>51.35</v>
      </c>
      <c r="K181" s="5">
        <v>-51.35</v>
      </c>
      <c r="L181" s="6" t="s">
        <v>93</v>
      </c>
      <c r="M181" s="46">
        <v>17588.03</v>
      </c>
      <c r="N181" s="27" t="str">
        <f>IF(tblMovimientos[[#This Row],[Tipo de Movimiento]]="Ingreso",tblMovimientos[[#This Row],[Monto (S/)]],"0")</f>
        <v>0</v>
      </c>
      <c r="O181" s="27">
        <f>IF(tblMovimientos[[#This Row],[Tipo de Movimiento]]="Egreso",tblMovimientos[[#This Row],[Monto (S/)]],"0")</f>
        <v>51.35</v>
      </c>
      <c r="P181" s="29">
        <f>IF(tblMovimientos[[#This Row],[Tipo de Movimiento]]="Ingreso",tblMovimientos[[#This Row],[Ingreso]],-tblMovimientos[[#This Row],[Egreso]])</f>
        <v>-51.35</v>
      </c>
    </row>
    <row r="182" spans="2:16" x14ac:dyDescent="0.3">
      <c r="B182" s="41">
        <v>46169</v>
      </c>
      <c r="C182" s="4" t="s">
        <v>35</v>
      </c>
      <c r="D182" s="43" t="s">
        <v>126</v>
      </c>
      <c r="E182" s="4" t="s">
        <v>37</v>
      </c>
      <c r="F182" s="43" t="s">
        <v>10</v>
      </c>
      <c r="G182" s="43" t="s">
        <v>38</v>
      </c>
      <c r="H182" s="4" t="str">
        <f>IFERROR(_xlfn.XLOOKUP(G182,Listas!E:E,Listas!F:F,""),"")</f>
        <v>Operativo</v>
      </c>
      <c r="I182" s="52" t="str">
        <f>IFERROR(_xlfn.XLOOKUP(G182,Listas!E:E,Listas!G:G,""),"")</f>
        <v>Externo</v>
      </c>
      <c r="J182" s="45">
        <v>528.69000000000005</v>
      </c>
      <c r="K182" s="5">
        <v>-528.69000000000005</v>
      </c>
      <c r="L182" s="6" t="s">
        <v>93</v>
      </c>
      <c r="M182" s="46">
        <v>17588.03</v>
      </c>
      <c r="N182" s="27" t="str">
        <f>IF(tblMovimientos[[#This Row],[Tipo de Movimiento]]="Ingreso",tblMovimientos[[#This Row],[Monto (S/)]],"0")</f>
        <v>0</v>
      </c>
      <c r="O182" s="27">
        <f>IF(tblMovimientos[[#This Row],[Tipo de Movimiento]]="Egreso",tblMovimientos[[#This Row],[Monto (S/)]],"0")</f>
        <v>528.69000000000005</v>
      </c>
      <c r="P182" s="29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1">
        <v>46169</v>
      </c>
      <c r="C183" s="4" t="s">
        <v>35</v>
      </c>
      <c r="D183" s="43" t="s">
        <v>126</v>
      </c>
      <c r="E183" s="4" t="s">
        <v>37</v>
      </c>
      <c r="F183" s="43" t="s">
        <v>9</v>
      </c>
      <c r="G183" s="43" t="s">
        <v>77</v>
      </c>
      <c r="H183" s="4" t="str">
        <f>IFERROR(_xlfn.XLOOKUP(G183,Listas!E:E,Listas!F:F,""),"")</f>
        <v>Inversion</v>
      </c>
      <c r="I183" s="52" t="str">
        <f>IFERROR(_xlfn.XLOOKUP(G183,Listas!E:E,Listas!G:G,""),"")</f>
        <v>Interno</v>
      </c>
      <c r="J183" s="45">
        <v>10000</v>
      </c>
      <c r="K183" s="5">
        <v>10000</v>
      </c>
      <c r="L183" s="6" t="s">
        <v>93</v>
      </c>
      <c r="M183" s="46">
        <v>17588.03</v>
      </c>
      <c r="N183" s="27">
        <f>IF(tblMovimientos[[#This Row],[Tipo de Movimiento]]="Ingreso",tblMovimientos[[#This Row],[Monto (S/)]],"0")</f>
        <v>10000</v>
      </c>
      <c r="O183" s="27" t="str">
        <f>IF(tblMovimientos[[#This Row],[Tipo de Movimiento]]="Egreso",tblMovimientos[[#This Row],[Monto (S/)]],"0")</f>
        <v>0</v>
      </c>
      <c r="P183" s="29">
        <f>IF(tblMovimientos[[#This Row],[Tipo de Movimiento]]="Ingreso",tblMovimientos[[#This Row],[Ingreso]],-tblMovimientos[[#This Row],[Egreso]])</f>
        <v>10000</v>
      </c>
    </row>
    <row r="184" spans="2:16" x14ac:dyDescent="0.3">
      <c r="B184" s="41">
        <v>46170</v>
      </c>
      <c r="C184" s="4" t="s">
        <v>21</v>
      </c>
      <c r="D184" s="43" t="s">
        <v>101</v>
      </c>
      <c r="E184" s="4" t="s">
        <v>36</v>
      </c>
      <c r="F184" s="43" t="s">
        <v>10</v>
      </c>
      <c r="G184" s="43" t="s">
        <v>38</v>
      </c>
      <c r="H184" s="4" t="str">
        <f>IFERROR(_xlfn.XLOOKUP(G184,Listas!E:E,Listas!F:F,""),"")</f>
        <v>Operativo</v>
      </c>
      <c r="I184" s="52" t="str">
        <f>IFERROR(_xlfn.XLOOKUP(G184,Listas!E:E,Listas!G:G,""),"")</f>
        <v>Externo</v>
      </c>
      <c r="J184" s="45">
        <v>526.75</v>
      </c>
      <c r="K184" s="5">
        <v>-526.75</v>
      </c>
      <c r="L184" s="6" t="s">
        <v>93</v>
      </c>
      <c r="M184" s="46">
        <v>11036.220000000001</v>
      </c>
      <c r="N184" s="27" t="str">
        <f>IF(tblMovimientos[[#This Row],[Tipo de Movimiento]]="Ingreso",tblMovimientos[[#This Row],[Monto (S/)]],"0")</f>
        <v>0</v>
      </c>
      <c r="O184" s="27">
        <f>IF(tblMovimientos[[#This Row],[Tipo de Movimiento]]="Egreso",tblMovimientos[[#This Row],[Monto (S/)]],"0")</f>
        <v>526.75</v>
      </c>
      <c r="P184" s="29">
        <f>IF(tblMovimientos[[#This Row],[Tipo de Movimiento]]="Ingreso",tblMovimientos[[#This Row],[Ingreso]],-tblMovimientos[[#This Row],[Egreso]])</f>
        <v>-526.75</v>
      </c>
    </row>
    <row r="185" spans="2:16" x14ac:dyDescent="0.3">
      <c r="B185" s="41">
        <v>46170</v>
      </c>
      <c r="C185" s="4" t="s">
        <v>20</v>
      </c>
      <c r="D185" s="43" t="s">
        <v>100</v>
      </c>
      <c r="E185" s="4" t="s">
        <v>36</v>
      </c>
      <c r="F185" s="43" t="s">
        <v>9</v>
      </c>
      <c r="G185" s="43" t="s">
        <v>68</v>
      </c>
      <c r="H185" s="4" t="str">
        <f>IFERROR(_xlfn.XLOOKUP(G185,Listas!E:E,Listas!F:F,""),"")</f>
        <v>Operativo</v>
      </c>
      <c r="I185" s="52" t="str">
        <f>IFERROR(_xlfn.XLOOKUP(G185,Listas!E:E,Listas!G:G,""),"")</f>
        <v>Externo</v>
      </c>
      <c r="J185" s="45">
        <v>21979.11</v>
      </c>
      <c r="K185" s="5">
        <v>21979.11</v>
      </c>
      <c r="L185" s="6" t="s">
        <v>93</v>
      </c>
      <c r="M185" s="46">
        <v>376595.84999999986</v>
      </c>
      <c r="N185" s="27">
        <f>IF(tblMovimientos[[#This Row],[Tipo de Movimiento]]="Ingreso",tblMovimientos[[#This Row],[Monto (S/)]],"0")</f>
        <v>21979.11</v>
      </c>
      <c r="O185" s="27" t="str">
        <f>IF(tblMovimientos[[#This Row],[Tipo de Movimiento]]="Egreso",tblMovimientos[[#This Row],[Monto (S/)]],"0")</f>
        <v>0</v>
      </c>
      <c r="P185" s="29">
        <f>IF(tblMovimientos[[#This Row],[Tipo de Movimiento]]="Ingreso",tblMovimientos[[#This Row],[Ingreso]],-tblMovimientos[[#This Row],[Egreso]])</f>
        <v>21979.11</v>
      </c>
    </row>
    <row r="186" spans="2:16" x14ac:dyDescent="0.3">
      <c r="B186" s="41">
        <v>46170</v>
      </c>
      <c r="C186" s="4" t="s">
        <v>20</v>
      </c>
      <c r="D186" s="43" t="s">
        <v>100</v>
      </c>
      <c r="E186" s="4" t="s">
        <v>36</v>
      </c>
      <c r="F186" s="43" t="s">
        <v>10</v>
      </c>
      <c r="G186" s="43" t="s">
        <v>61</v>
      </c>
      <c r="H186" s="4" t="str">
        <f>IFERROR(_xlfn.XLOOKUP(G186,Listas!E:E,Listas!F:F,""),"")</f>
        <v>Operativo</v>
      </c>
      <c r="I186" s="52" t="str">
        <f>IFERROR(_xlfn.XLOOKUP(G186,Listas!E:E,Listas!G:G,""),"")</f>
        <v>Externo</v>
      </c>
      <c r="J186" s="45">
        <v>60000</v>
      </c>
      <c r="K186" s="5">
        <v>-60000</v>
      </c>
      <c r="L186" s="6" t="s">
        <v>93</v>
      </c>
      <c r="M186" s="46">
        <v>376595.84999999986</v>
      </c>
      <c r="N186" s="27" t="str">
        <f>IF(tblMovimientos[[#This Row],[Tipo de Movimiento]]="Ingreso",tblMovimientos[[#This Row],[Monto (S/)]],"0")</f>
        <v>0</v>
      </c>
      <c r="O186" s="27">
        <f>IF(tblMovimientos[[#This Row],[Tipo de Movimiento]]="Egreso",tblMovimientos[[#This Row],[Monto (S/)]],"0")</f>
        <v>60000</v>
      </c>
      <c r="P186" s="29">
        <f>IF(tblMovimientos[[#This Row],[Tipo de Movimiento]]="Ingreso",tblMovimientos[[#This Row],[Ingreso]],-tblMovimientos[[#This Row],[Egreso]])</f>
        <v>-60000</v>
      </c>
    </row>
    <row r="187" spans="2:16" x14ac:dyDescent="0.3">
      <c r="B187" s="41">
        <v>46170</v>
      </c>
      <c r="C187" s="4" t="s">
        <v>20</v>
      </c>
      <c r="D187" s="43" t="s">
        <v>100</v>
      </c>
      <c r="E187" s="4" t="s">
        <v>36</v>
      </c>
      <c r="F187" s="43" t="s">
        <v>10</v>
      </c>
      <c r="G187" s="43" t="s">
        <v>61</v>
      </c>
      <c r="H187" s="4" t="str">
        <f>IFERROR(_xlfn.XLOOKUP(G187,Listas!E:E,Listas!F:F,""),"")</f>
        <v>Operativo</v>
      </c>
      <c r="I187" s="52" t="str">
        <f>IFERROR(_xlfn.XLOOKUP(G187,Listas!E:E,Listas!G:G,""),"")</f>
        <v>Externo</v>
      </c>
      <c r="J187" s="45">
        <v>100000</v>
      </c>
      <c r="K187" s="5">
        <v>-100000</v>
      </c>
      <c r="L187" s="6" t="s">
        <v>93</v>
      </c>
      <c r="M187" s="46">
        <v>376595.84999999986</v>
      </c>
      <c r="N187" s="27" t="str">
        <f>IF(tblMovimientos[[#This Row],[Tipo de Movimiento]]="Ingreso",tblMovimientos[[#This Row],[Monto (S/)]],"0")</f>
        <v>0</v>
      </c>
      <c r="O187" s="27">
        <f>IF(tblMovimientos[[#This Row],[Tipo de Movimiento]]="Egreso",tblMovimientos[[#This Row],[Monto (S/)]],"0")</f>
        <v>100000</v>
      </c>
      <c r="P187" s="29">
        <f>IF(tblMovimientos[[#This Row],[Tipo de Movimiento]]="Ingreso",tblMovimientos[[#This Row],[Ingreso]],-tblMovimientos[[#This Row],[Egreso]])</f>
        <v>-100000</v>
      </c>
    </row>
    <row r="188" spans="2:16" x14ac:dyDescent="0.3">
      <c r="B188" s="41">
        <v>46170</v>
      </c>
      <c r="C188" s="4" t="s">
        <v>17</v>
      </c>
      <c r="D188" s="43" t="s">
        <v>94</v>
      </c>
      <c r="E188" s="4" t="s">
        <v>36</v>
      </c>
      <c r="F188" s="43" t="s">
        <v>9</v>
      </c>
      <c r="G188" s="43" t="s">
        <v>68</v>
      </c>
      <c r="H188" s="4" t="str">
        <f>IFERROR(_xlfn.XLOOKUP(G188,Listas!E:E,Listas!F:F,""),"")</f>
        <v>Operativo</v>
      </c>
      <c r="I188" s="52" t="str">
        <f>IFERROR(_xlfn.XLOOKUP(G188,Listas!E:E,Listas!G:G,""),"")</f>
        <v>Externo</v>
      </c>
      <c r="J188" s="45">
        <v>68444.820000000007</v>
      </c>
      <c r="K188" s="5">
        <v>68444.820000000007</v>
      </c>
      <c r="L188" s="6" t="s">
        <v>93</v>
      </c>
      <c r="M188" s="46">
        <v>197078.62999999998</v>
      </c>
      <c r="N188" s="27">
        <f>IF(tblMovimientos[[#This Row],[Tipo de Movimiento]]="Ingreso",tblMovimientos[[#This Row],[Monto (S/)]],"0")</f>
        <v>68444.820000000007</v>
      </c>
      <c r="O188" s="27" t="str">
        <f>IF(tblMovimientos[[#This Row],[Tipo de Movimiento]]="Egreso",tblMovimientos[[#This Row],[Monto (S/)]],"0")</f>
        <v>0</v>
      </c>
      <c r="P188" s="29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1">
        <v>46170</v>
      </c>
      <c r="C189" s="4" t="s">
        <v>31</v>
      </c>
      <c r="D189" s="43" t="s">
        <v>121</v>
      </c>
      <c r="E189" s="4" t="s">
        <v>36</v>
      </c>
      <c r="F189" s="43" t="s">
        <v>9</v>
      </c>
      <c r="G189" s="43" t="s">
        <v>71</v>
      </c>
      <c r="H189" s="4" t="str">
        <f>IFERROR(_xlfn.XLOOKUP(G189,Listas!E:E,Listas!F:F,""),"")</f>
        <v>Operativo</v>
      </c>
      <c r="I189" s="52" t="str">
        <f>IFERROR(_xlfn.XLOOKUP(G189,Listas!E:E,Listas!G:G,""),"")</f>
        <v>Interno</v>
      </c>
      <c r="J189" s="45">
        <v>20000</v>
      </c>
      <c r="K189" s="5">
        <v>20000</v>
      </c>
      <c r="L189" s="6" t="s">
        <v>93</v>
      </c>
      <c r="M189" s="46">
        <v>35123.179999999964</v>
      </c>
      <c r="N189" s="27">
        <f>IF(tblMovimientos[[#This Row],[Tipo de Movimiento]]="Ingreso",tblMovimientos[[#This Row],[Monto (S/)]],"0")</f>
        <v>20000</v>
      </c>
      <c r="O189" s="27" t="str">
        <f>IF(tblMovimientos[[#This Row],[Tipo de Movimiento]]="Egreso",tblMovimientos[[#This Row],[Monto (S/)]],"0")</f>
        <v>0</v>
      </c>
      <c r="P189" s="29">
        <f>IF(tblMovimientos[[#This Row],[Tipo de Movimiento]]="Ingreso",tblMovimientos[[#This Row],[Ingreso]],-tblMovimientos[[#This Row],[Egreso]])</f>
        <v>20000</v>
      </c>
    </row>
    <row r="190" spans="2:16" x14ac:dyDescent="0.3">
      <c r="B190" s="41">
        <v>46170</v>
      </c>
      <c r="C190" s="4" t="s">
        <v>18</v>
      </c>
      <c r="D190" s="43" t="s">
        <v>97</v>
      </c>
      <c r="E190" s="4" t="s">
        <v>37</v>
      </c>
      <c r="F190" s="43" t="s">
        <v>9</v>
      </c>
      <c r="G190" s="43" t="s">
        <v>68</v>
      </c>
      <c r="H190" s="4" t="str">
        <f>IFERROR(_xlfn.XLOOKUP(G190,Listas!E:E,Listas!F:F,""),"")</f>
        <v>Operativo</v>
      </c>
      <c r="I190" s="52" t="str">
        <f>IFERROR(_xlfn.XLOOKUP(G190,Listas!E:E,Listas!G:G,""),"")</f>
        <v>Externo</v>
      </c>
      <c r="J190" s="45">
        <v>2637.12</v>
      </c>
      <c r="K190" s="5">
        <v>2637.12</v>
      </c>
      <c r="L190" s="6" t="s">
        <v>93</v>
      </c>
      <c r="M190" s="46">
        <v>57397.280000000173</v>
      </c>
      <c r="N190" s="27">
        <f>IF(tblMovimientos[[#This Row],[Tipo de Movimiento]]="Ingreso",tblMovimientos[[#This Row],[Monto (S/)]],"0")</f>
        <v>2637.12</v>
      </c>
      <c r="O190" s="27" t="str">
        <f>IF(tblMovimientos[[#This Row],[Tipo de Movimiento]]="Egreso",tblMovimientos[[#This Row],[Monto (S/)]],"0")</f>
        <v>0</v>
      </c>
      <c r="P190" s="29">
        <f>IF(tblMovimientos[[#This Row],[Tipo de Movimiento]]="Ingreso",tblMovimientos[[#This Row],[Ingreso]],-tblMovimientos[[#This Row],[Egreso]])</f>
        <v>2637.12</v>
      </c>
    </row>
    <row r="191" spans="2:16" x14ac:dyDescent="0.3">
      <c r="B191" s="41">
        <v>46170</v>
      </c>
      <c r="C191" s="4" t="s">
        <v>18</v>
      </c>
      <c r="D191" s="43" t="s">
        <v>97</v>
      </c>
      <c r="E191" s="4" t="s">
        <v>37</v>
      </c>
      <c r="F191" s="43" t="s">
        <v>10</v>
      </c>
      <c r="G191" s="43" t="s">
        <v>65</v>
      </c>
      <c r="H191" s="4" t="str">
        <f>IFERROR(_xlfn.XLOOKUP(G191,Listas!E:E,Listas!F:F,""),"")</f>
        <v>Operativo</v>
      </c>
      <c r="I191" s="52" t="str">
        <f>IFERROR(_xlfn.XLOOKUP(G191,Listas!E:E,Listas!G:G,""),"")</f>
        <v>Externo</v>
      </c>
      <c r="J191" s="45">
        <v>1200000</v>
      </c>
      <c r="K191" s="5">
        <v>-1200000</v>
      </c>
      <c r="L191" s="6" t="s">
        <v>93</v>
      </c>
      <c r="M191" s="46">
        <v>57397.280000000173</v>
      </c>
      <c r="N191" s="27" t="str">
        <f>IF(tblMovimientos[[#This Row],[Tipo de Movimiento]]="Ingreso",tblMovimientos[[#This Row],[Monto (S/)]],"0")</f>
        <v>0</v>
      </c>
      <c r="O191" s="27">
        <f>IF(tblMovimientos[[#This Row],[Tipo de Movimiento]]="Egreso",tblMovimientos[[#This Row],[Monto (S/)]],"0")</f>
        <v>1200000</v>
      </c>
      <c r="P191" s="29">
        <f>IF(tblMovimientos[[#This Row],[Tipo de Movimiento]]="Ingreso",tblMovimientos[[#This Row],[Ingreso]],-tblMovimientos[[#This Row],[Egreso]])</f>
        <v>-1200000</v>
      </c>
    </row>
    <row r="192" spans="2:16" x14ac:dyDescent="0.3">
      <c r="B192" s="41">
        <v>46170</v>
      </c>
      <c r="C192" s="4" t="s">
        <v>17</v>
      </c>
      <c r="D192" s="43" t="s">
        <v>95</v>
      </c>
      <c r="E192" s="4" t="s">
        <v>37</v>
      </c>
      <c r="F192" s="43" t="s">
        <v>9</v>
      </c>
      <c r="G192" s="43" t="s">
        <v>70</v>
      </c>
      <c r="H192" s="4" t="str">
        <f>IFERROR(_xlfn.XLOOKUP(G192,Listas!E:E,Listas!F:F,""),"")</f>
        <v>Operativo</v>
      </c>
      <c r="I192" s="52" t="str">
        <f>IFERROR(_xlfn.XLOOKUP(G192,Listas!E:E,Listas!G:G,""),"")</f>
        <v>Externo</v>
      </c>
      <c r="J192" s="45">
        <v>1200000</v>
      </c>
      <c r="K192" s="5">
        <v>1200000</v>
      </c>
      <c r="L192" s="6" t="s">
        <v>93</v>
      </c>
      <c r="M192" s="46">
        <v>784648.53</v>
      </c>
      <c r="N192" s="27">
        <f>IF(tblMovimientos[[#This Row],[Tipo de Movimiento]]="Ingreso",tblMovimientos[[#This Row],[Monto (S/)]],"0")</f>
        <v>1200000</v>
      </c>
      <c r="O192" s="27" t="str">
        <f>IF(tblMovimientos[[#This Row],[Tipo de Movimiento]]="Egreso",tblMovimientos[[#This Row],[Monto (S/)]],"0")</f>
        <v>0</v>
      </c>
      <c r="P192" s="29">
        <f>IF(tblMovimientos[[#This Row],[Tipo de Movimiento]]="Ingreso",tblMovimientos[[#This Row],[Ingreso]],-tblMovimientos[[#This Row],[Egreso]])</f>
        <v>1200000</v>
      </c>
    </row>
    <row r="193" spans="2:16" x14ac:dyDescent="0.3">
      <c r="B193" s="41">
        <v>46170</v>
      </c>
      <c r="C193" s="4" t="s">
        <v>17</v>
      </c>
      <c r="D193" s="43" t="s">
        <v>95</v>
      </c>
      <c r="E193" s="4" t="s">
        <v>37</v>
      </c>
      <c r="F193" s="43" t="s">
        <v>10</v>
      </c>
      <c r="G193" s="43" t="s">
        <v>46</v>
      </c>
      <c r="H193" s="4" t="str">
        <f>IFERROR(_xlfn.XLOOKUP(G193,Listas!E:E,Listas!F:F,""),"")</f>
        <v>Financiamiento</v>
      </c>
      <c r="I193" s="52" t="str">
        <f>IFERROR(_xlfn.XLOOKUP(G193,Listas!E:E,Listas!G:G,""),"")</f>
        <v>Externo</v>
      </c>
      <c r="J193" s="45">
        <v>10000</v>
      </c>
      <c r="K193" s="5">
        <v>-10000</v>
      </c>
      <c r="L193" s="6" t="s">
        <v>93</v>
      </c>
      <c r="M193" s="46">
        <v>784648.53</v>
      </c>
      <c r="N193" s="27" t="str">
        <f>IF(tblMovimientos[[#This Row],[Tipo de Movimiento]]="Ingreso",tblMovimientos[[#This Row],[Monto (S/)]],"0")</f>
        <v>0</v>
      </c>
      <c r="O193" s="27">
        <f>IF(tblMovimientos[[#This Row],[Tipo de Movimiento]]="Egreso",tblMovimientos[[#This Row],[Monto (S/)]],"0")</f>
        <v>10000</v>
      </c>
      <c r="P193" s="29">
        <f>IF(tblMovimientos[[#This Row],[Tipo de Movimiento]]="Ingreso",tblMovimientos[[#This Row],[Ingreso]],-tblMovimientos[[#This Row],[Egreso]])</f>
        <v>-10000</v>
      </c>
    </row>
    <row r="194" spans="2:16" x14ac:dyDescent="0.3">
      <c r="B194" s="41">
        <v>46170</v>
      </c>
      <c r="C194" s="4" t="s">
        <v>17</v>
      </c>
      <c r="D194" s="43" t="s">
        <v>95</v>
      </c>
      <c r="E194" s="4" t="s">
        <v>37</v>
      </c>
      <c r="F194" s="43" t="s">
        <v>10</v>
      </c>
      <c r="G194" s="43" t="s">
        <v>46</v>
      </c>
      <c r="H194" s="4" t="str">
        <f>IFERROR(_xlfn.XLOOKUP(G194,Listas!E:E,Listas!F:F,""),"")</f>
        <v>Financiamiento</v>
      </c>
      <c r="I194" s="52" t="str">
        <f>IFERROR(_xlfn.XLOOKUP(G194,Listas!E:E,Listas!G:G,""),"")</f>
        <v>Externo</v>
      </c>
      <c r="J194" s="45">
        <v>10833.33</v>
      </c>
      <c r="K194" s="5">
        <v>-10833.33</v>
      </c>
      <c r="L194" s="6" t="s">
        <v>93</v>
      </c>
      <c r="M194" s="46">
        <v>784648.53</v>
      </c>
      <c r="N194" s="27" t="str">
        <f>IF(tblMovimientos[[#This Row],[Tipo de Movimiento]]="Ingreso",tblMovimientos[[#This Row],[Monto (S/)]],"0")</f>
        <v>0</v>
      </c>
      <c r="O194" s="27">
        <f>IF(tblMovimientos[[#This Row],[Tipo de Movimiento]]="Egreso",tblMovimientos[[#This Row],[Monto (S/)]],"0")</f>
        <v>10833.33</v>
      </c>
      <c r="P194" s="29">
        <f>IF(tblMovimientos[[#This Row],[Tipo de Movimiento]]="Ingreso",tblMovimientos[[#This Row],[Ingreso]],-tblMovimientos[[#This Row],[Egreso]])</f>
        <v>-10833.33</v>
      </c>
    </row>
    <row r="195" spans="2:16" x14ac:dyDescent="0.3">
      <c r="B195" s="41">
        <v>46170</v>
      </c>
      <c r="C195" s="4" t="s">
        <v>17</v>
      </c>
      <c r="D195" s="43" t="s">
        <v>95</v>
      </c>
      <c r="E195" s="4" t="s">
        <v>37</v>
      </c>
      <c r="F195" s="43" t="s">
        <v>10</v>
      </c>
      <c r="G195" s="43" t="s">
        <v>50</v>
      </c>
      <c r="H195" s="4" t="str">
        <f>IFERROR(_xlfn.XLOOKUP(G195,Listas!E:E,Listas!F:F,""),"")</f>
        <v>Financiamiento</v>
      </c>
      <c r="I195" s="52" t="str">
        <f>IFERROR(_xlfn.XLOOKUP(G195,Listas!E:E,Listas!G:G,""),"")</f>
        <v>Externo</v>
      </c>
      <c r="J195" s="45">
        <v>20000</v>
      </c>
      <c r="K195" s="5">
        <v>-20000</v>
      </c>
      <c r="L195" s="6" t="s">
        <v>93</v>
      </c>
      <c r="M195" s="46">
        <v>784648.53</v>
      </c>
      <c r="N195" s="27" t="str">
        <f>IF(tblMovimientos[[#This Row],[Tipo de Movimiento]]="Ingreso",tblMovimientos[[#This Row],[Monto (S/)]],"0")</f>
        <v>0</v>
      </c>
      <c r="O195" s="27">
        <f>IF(tblMovimientos[[#This Row],[Tipo de Movimiento]]="Egreso",tblMovimientos[[#This Row],[Monto (S/)]],"0")</f>
        <v>20000</v>
      </c>
      <c r="P195" s="29">
        <f>IF(tblMovimientos[[#This Row],[Tipo de Movimiento]]="Ingreso",tblMovimientos[[#This Row],[Ingreso]],-tblMovimientos[[#This Row],[Egreso]])</f>
        <v>-20000</v>
      </c>
    </row>
    <row r="196" spans="2:16" x14ac:dyDescent="0.3">
      <c r="B196" s="41">
        <v>46170</v>
      </c>
      <c r="C196" s="4" t="s">
        <v>17</v>
      </c>
      <c r="D196" s="43" t="s">
        <v>95</v>
      </c>
      <c r="E196" s="4" t="s">
        <v>37</v>
      </c>
      <c r="F196" s="43" t="s">
        <v>10</v>
      </c>
      <c r="G196" s="43" t="s">
        <v>61</v>
      </c>
      <c r="H196" s="4" t="str">
        <f>IFERROR(_xlfn.XLOOKUP(G196,Listas!E:E,Listas!F:F,""),"")</f>
        <v>Operativo</v>
      </c>
      <c r="I196" s="52" t="str">
        <f>IFERROR(_xlfn.XLOOKUP(G196,Listas!E:E,Listas!G:G,""),"")</f>
        <v>Externo</v>
      </c>
      <c r="J196" s="45">
        <v>40000</v>
      </c>
      <c r="K196" s="5">
        <v>-40000</v>
      </c>
      <c r="L196" s="6" t="s">
        <v>93</v>
      </c>
      <c r="M196" s="46">
        <v>784648.53</v>
      </c>
      <c r="N196" s="27" t="str">
        <f>IF(tblMovimientos[[#This Row],[Tipo de Movimiento]]="Ingreso",tblMovimientos[[#This Row],[Monto (S/)]],"0")</f>
        <v>0</v>
      </c>
      <c r="O196" s="27">
        <f>IF(tblMovimientos[[#This Row],[Tipo de Movimiento]]="Egreso",tblMovimientos[[#This Row],[Monto (S/)]],"0")</f>
        <v>40000</v>
      </c>
      <c r="P196" s="29">
        <f>IF(tblMovimientos[[#This Row],[Tipo de Movimiento]]="Ingreso",tblMovimientos[[#This Row],[Ingreso]],-tblMovimientos[[#This Row],[Egreso]])</f>
        <v>-40000</v>
      </c>
    </row>
    <row r="197" spans="2:16" x14ac:dyDescent="0.3">
      <c r="B197" s="41">
        <v>46170</v>
      </c>
      <c r="C197" s="4" t="s">
        <v>17</v>
      </c>
      <c r="D197" s="43" t="s">
        <v>95</v>
      </c>
      <c r="E197" s="4" t="s">
        <v>37</v>
      </c>
      <c r="F197" s="43" t="s">
        <v>10</v>
      </c>
      <c r="G197" s="43" t="s">
        <v>61</v>
      </c>
      <c r="H197" s="4" t="str">
        <f>IFERROR(_xlfn.XLOOKUP(G197,Listas!E:E,Listas!F:F,""),"")</f>
        <v>Operativo</v>
      </c>
      <c r="I197" s="52" t="str">
        <f>IFERROR(_xlfn.XLOOKUP(G197,Listas!E:E,Listas!G:G,""),"")</f>
        <v>Externo</v>
      </c>
      <c r="J197" s="45">
        <v>60000</v>
      </c>
      <c r="K197" s="5">
        <v>-60000</v>
      </c>
      <c r="L197" s="6" t="s">
        <v>93</v>
      </c>
      <c r="M197" s="46">
        <v>784648.53</v>
      </c>
      <c r="N197" s="27" t="str">
        <f>IF(tblMovimientos[[#This Row],[Tipo de Movimiento]]="Ingreso",tblMovimientos[[#This Row],[Monto (S/)]],"0")</f>
        <v>0</v>
      </c>
      <c r="O197" s="27">
        <f>IF(tblMovimientos[[#This Row],[Tipo de Movimiento]]="Egreso",tblMovimientos[[#This Row],[Monto (S/)]],"0")</f>
        <v>60000</v>
      </c>
      <c r="P197" s="29">
        <f>IF(tblMovimientos[[#This Row],[Tipo de Movimiento]]="Ingreso",tblMovimientos[[#This Row],[Ingreso]],-tblMovimientos[[#This Row],[Egreso]])</f>
        <v>-60000</v>
      </c>
    </row>
    <row r="198" spans="2:16" x14ac:dyDescent="0.3">
      <c r="B198" s="41">
        <v>46170</v>
      </c>
      <c r="C198" s="4" t="s">
        <v>17</v>
      </c>
      <c r="D198" s="43" t="s">
        <v>95</v>
      </c>
      <c r="E198" s="4" t="s">
        <v>37</v>
      </c>
      <c r="F198" s="43" t="s">
        <v>10</v>
      </c>
      <c r="G198" s="43" t="s">
        <v>61</v>
      </c>
      <c r="H198" s="4" t="str">
        <f>IFERROR(_xlfn.XLOOKUP(G198,Listas!E:E,Listas!F:F,""),"")</f>
        <v>Operativo</v>
      </c>
      <c r="I198" s="52" t="str">
        <f>IFERROR(_xlfn.XLOOKUP(G198,Listas!E:E,Listas!G:G,""),"")</f>
        <v>Externo</v>
      </c>
      <c r="J198" s="45">
        <v>100000</v>
      </c>
      <c r="K198" s="5">
        <v>-100000</v>
      </c>
      <c r="L198" s="6" t="s">
        <v>93</v>
      </c>
      <c r="M198" s="46">
        <v>784648.53</v>
      </c>
      <c r="N198" s="27" t="str">
        <f>IF(tblMovimientos[[#This Row],[Tipo de Movimiento]]="Ingreso",tblMovimientos[[#This Row],[Monto (S/)]],"0")</f>
        <v>0</v>
      </c>
      <c r="O198" s="27">
        <f>IF(tblMovimientos[[#This Row],[Tipo de Movimiento]]="Egreso",tblMovimientos[[#This Row],[Monto (S/)]],"0")</f>
        <v>100000</v>
      </c>
      <c r="P198" s="29">
        <f>IF(tblMovimientos[[#This Row],[Tipo de Movimiento]]="Ingreso",tblMovimientos[[#This Row],[Ingreso]],-tblMovimientos[[#This Row],[Egreso]])</f>
        <v>-100000</v>
      </c>
    </row>
    <row r="199" spans="2:16" x14ac:dyDescent="0.3">
      <c r="B199" s="41">
        <v>46170</v>
      </c>
      <c r="C199" s="4" t="s">
        <v>17</v>
      </c>
      <c r="D199" s="43" t="s">
        <v>95</v>
      </c>
      <c r="E199" s="4" t="s">
        <v>37</v>
      </c>
      <c r="F199" s="43" t="s">
        <v>10</v>
      </c>
      <c r="G199" s="43" t="s">
        <v>62</v>
      </c>
      <c r="H199" s="4" t="str">
        <f>IFERROR(_xlfn.XLOOKUP(G199,Listas!E:E,Listas!F:F,""),"")</f>
        <v>Operativo</v>
      </c>
      <c r="I199" s="52" t="str">
        <f>IFERROR(_xlfn.XLOOKUP(G199,Listas!E:E,Listas!G:G,""),"")</f>
        <v>Interno</v>
      </c>
      <c r="J199" s="45">
        <v>300000</v>
      </c>
      <c r="K199" s="5">
        <v>-300000</v>
      </c>
      <c r="L199" s="6" t="s">
        <v>93</v>
      </c>
      <c r="M199" s="46">
        <v>784648.53</v>
      </c>
      <c r="N199" s="27" t="str">
        <f>IF(tblMovimientos[[#This Row],[Tipo de Movimiento]]="Ingreso",tblMovimientos[[#This Row],[Monto (S/)]],"0")</f>
        <v>0</v>
      </c>
      <c r="O199" s="27">
        <f>IF(tblMovimientos[[#This Row],[Tipo de Movimiento]]="Egreso",tblMovimientos[[#This Row],[Monto (S/)]],"0")</f>
        <v>300000</v>
      </c>
      <c r="P199" s="29">
        <f>IF(tblMovimientos[[#This Row],[Tipo de Movimiento]]="Ingreso",tblMovimientos[[#This Row],[Ingreso]],-tblMovimientos[[#This Row],[Egreso]])</f>
        <v>-300000</v>
      </c>
    </row>
    <row r="200" spans="2:16" x14ac:dyDescent="0.3">
      <c r="B200" s="41">
        <v>46170</v>
      </c>
      <c r="C200" s="4" t="s">
        <v>21</v>
      </c>
      <c r="D200" s="43" t="s">
        <v>104</v>
      </c>
      <c r="E200" s="4" t="s">
        <v>37</v>
      </c>
      <c r="F200" s="43" t="s">
        <v>9</v>
      </c>
      <c r="G200" s="43" t="s">
        <v>75</v>
      </c>
      <c r="H200" s="4" t="str">
        <f>IFERROR(_xlfn.XLOOKUP(G200,Listas!E:E,Listas!F:F,""),"")</f>
        <v>Financiamiento</v>
      </c>
      <c r="I200" s="52" t="str">
        <f>IFERROR(_xlfn.XLOOKUP(G200,Listas!E:E,Listas!G:G,""),"")</f>
        <v>Interno</v>
      </c>
      <c r="J200" s="45">
        <v>300000</v>
      </c>
      <c r="K200" s="5">
        <v>300000</v>
      </c>
      <c r="L200" s="6" t="s">
        <v>93</v>
      </c>
      <c r="M200" s="46">
        <v>321514.8599999994</v>
      </c>
      <c r="N200" s="27">
        <f>IF(tblMovimientos[[#This Row],[Tipo de Movimiento]]="Ingreso",tblMovimientos[[#This Row],[Monto (S/)]],"0")</f>
        <v>300000</v>
      </c>
      <c r="O200" s="27" t="str">
        <f>IF(tblMovimientos[[#This Row],[Tipo de Movimiento]]="Egreso",tblMovimientos[[#This Row],[Monto (S/)]],"0")</f>
        <v>0</v>
      </c>
      <c r="P200" s="29">
        <f>IF(tblMovimientos[[#This Row],[Tipo de Movimiento]]="Ingreso",tblMovimientos[[#This Row],[Ingreso]],-tblMovimientos[[#This Row],[Egreso]])</f>
        <v>300000</v>
      </c>
    </row>
    <row r="201" spans="2:16" x14ac:dyDescent="0.3">
      <c r="B201" s="41">
        <v>46170</v>
      </c>
      <c r="C201" s="4" t="s">
        <v>21</v>
      </c>
      <c r="D201" s="43" t="s">
        <v>104</v>
      </c>
      <c r="E201" s="4" t="s">
        <v>37</v>
      </c>
      <c r="F201" s="43" t="s">
        <v>10</v>
      </c>
      <c r="G201" s="43" t="s">
        <v>38</v>
      </c>
      <c r="H201" s="4" t="str">
        <f>IFERROR(_xlfn.XLOOKUP(G201,Listas!E:E,Listas!F:F,""),"")</f>
        <v>Operativo</v>
      </c>
      <c r="I201" s="52" t="str">
        <f>IFERROR(_xlfn.XLOOKUP(G201,Listas!E:E,Listas!G:G,""),"")</f>
        <v>Externo</v>
      </c>
      <c r="J201" s="45">
        <v>10753.2</v>
      </c>
      <c r="K201" s="5">
        <v>-10753.2</v>
      </c>
      <c r="L201" s="6" t="s">
        <v>93</v>
      </c>
      <c r="M201" s="46">
        <v>321514.8599999994</v>
      </c>
      <c r="N201" s="27" t="str">
        <f>IF(tblMovimientos[[#This Row],[Tipo de Movimiento]]="Ingreso",tblMovimientos[[#This Row],[Monto (S/)]],"0")</f>
        <v>0</v>
      </c>
      <c r="O201" s="27">
        <f>IF(tblMovimientos[[#This Row],[Tipo de Movimiento]]="Egreso",tblMovimientos[[#This Row],[Monto (S/)]],"0")</f>
        <v>10753.2</v>
      </c>
      <c r="P201" s="29">
        <f>IF(tblMovimientos[[#This Row],[Tipo de Movimiento]]="Ingreso",tblMovimientos[[#This Row],[Ingreso]],-tblMovimientos[[#This Row],[Egreso]])</f>
        <v>-10753.2</v>
      </c>
    </row>
    <row r="202" spans="2:16" x14ac:dyDescent="0.3">
      <c r="B202" s="41">
        <v>46170</v>
      </c>
      <c r="C202" s="4" t="s">
        <v>21</v>
      </c>
      <c r="D202" s="43" t="s">
        <v>104</v>
      </c>
      <c r="E202" s="4" t="s">
        <v>37</v>
      </c>
      <c r="F202" s="43" t="s">
        <v>10</v>
      </c>
      <c r="G202" s="43" t="s">
        <v>56</v>
      </c>
      <c r="H202" s="4" t="str">
        <f>IFERROR(_xlfn.XLOOKUP(G202,Listas!E:E,Listas!F:F,""),"")</f>
        <v>Inversion</v>
      </c>
      <c r="I202" s="52" t="str">
        <f>IFERROR(_xlfn.XLOOKUP(G202,Listas!E:E,Listas!G:G,""),"")</f>
        <v>Externo</v>
      </c>
      <c r="J202" s="45">
        <v>16733.29</v>
      </c>
      <c r="K202" s="5">
        <v>-16733.29</v>
      </c>
      <c r="L202" s="6" t="s">
        <v>93</v>
      </c>
      <c r="M202" s="46">
        <v>321514.8599999994</v>
      </c>
      <c r="N202" s="27" t="str">
        <f>IF(tblMovimientos[[#This Row],[Tipo de Movimiento]]="Ingreso",tblMovimientos[[#This Row],[Monto (S/)]],"0")</f>
        <v>0</v>
      </c>
      <c r="O202" s="27">
        <f>IF(tblMovimientos[[#This Row],[Tipo de Movimiento]]="Egreso",tblMovimientos[[#This Row],[Monto (S/)]],"0")</f>
        <v>16733.29</v>
      </c>
      <c r="P202" s="29">
        <f>IF(tblMovimientos[[#This Row],[Tipo de Movimiento]]="Ingreso",tblMovimientos[[#This Row],[Ingreso]],-tblMovimientos[[#This Row],[Egreso]])</f>
        <v>-16733.29</v>
      </c>
    </row>
    <row r="203" spans="2:16" x14ac:dyDescent="0.3">
      <c r="B203" s="41">
        <v>46170</v>
      </c>
      <c r="C203" s="4" t="s">
        <v>21</v>
      </c>
      <c r="D203" s="43" t="s">
        <v>104</v>
      </c>
      <c r="E203" s="4" t="s">
        <v>37</v>
      </c>
      <c r="F203" s="43" t="s">
        <v>10</v>
      </c>
      <c r="G203" s="43" t="s">
        <v>40</v>
      </c>
      <c r="H203" s="4" t="str">
        <f>IFERROR(_xlfn.XLOOKUP(G203,Listas!E:E,Listas!F:F,""),"")</f>
        <v>Operativo</v>
      </c>
      <c r="I203" s="52" t="str">
        <f>IFERROR(_xlfn.XLOOKUP(G203,Listas!E:E,Listas!G:G,""),"")</f>
        <v>Externo</v>
      </c>
      <c r="J203" s="45">
        <v>162017.17000000001</v>
      </c>
      <c r="K203" s="5">
        <v>-162017.17000000001</v>
      </c>
      <c r="L203" s="6" t="s">
        <v>93</v>
      </c>
      <c r="M203" s="46">
        <v>321514.8599999994</v>
      </c>
      <c r="N203" s="27" t="str">
        <f>IF(tblMovimientos[[#This Row],[Tipo de Movimiento]]="Ingreso",tblMovimientos[[#This Row],[Monto (S/)]],"0")</f>
        <v>0</v>
      </c>
      <c r="O203" s="27">
        <f>IF(tblMovimientos[[#This Row],[Tipo de Movimiento]]="Egreso",tblMovimientos[[#This Row],[Monto (S/)]],"0")</f>
        <v>162017.17000000001</v>
      </c>
      <c r="P203" s="29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1">
        <v>46170</v>
      </c>
      <c r="C204" s="4" t="s">
        <v>35</v>
      </c>
      <c r="D204" s="43" t="s">
        <v>126</v>
      </c>
      <c r="E204" s="4" t="s">
        <v>37</v>
      </c>
      <c r="F204" s="43" t="s">
        <v>10</v>
      </c>
      <c r="G204" s="43" t="s">
        <v>44</v>
      </c>
      <c r="H204" s="4" t="str">
        <f>IFERROR(_xlfn.XLOOKUP(G204,Listas!E:E,Listas!F:F,""),"")</f>
        <v>Operativo</v>
      </c>
      <c r="I204" s="52" t="str">
        <f>IFERROR(_xlfn.XLOOKUP(G204,Listas!E:E,Listas!G:G,""),"")</f>
        <v>Externo</v>
      </c>
      <c r="J204" s="45">
        <v>15</v>
      </c>
      <c r="K204" s="5">
        <v>-15</v>
      </c>
      <c r="L204" s="6" t="s">
        <v>93</v>
      </c>
      <c r="M204" s="46">
        <v>9076.2400000000016</v>
      </c>
      <c r="N204" s="27" t="str">
        <f>IF(tblMovimientos[[#This Row],[Tipo de Movimiento]]="Ingreso",tblMovimientos[[#This Row],[Monto (S/)]],"0")</f>
        <v>0</v>
      </c>
      <c r="O204" s="27">
        <f>IF(tblMovimientos[[#This Row],[Tipo de Movimiento]]="Egreso",tblMovimientos[[#This Row],[Monto (S/)]],"0")</f>
        <v>15</v>
      </c>
      <c r="P204" s="29">
        <f>IF(tblMovimientos[[#This Row],[Tipo de Movimiento]]="Ingreso",tblMovimientos[[#This Row],[Ingreso]],-tblMovimientos[[#This Row],[Egreso]])</f>
        <v>-15</v>
      </c>
    </row>
    <row r="205" spans="2:16" x14ac:dyDescent="0.3">
      <c r="B205" s="41">
        <v>46170</v>
      </c>
      <c r="C205" s="4" t="s">
        <v>35</v>
      </c>
      <c r="D205" s="43" t="s">
        <v>126</v>
      </c>
      <c r="E205" s="4" t="s">
        <v>37</v>
      </c>
      <c r="F205" s="43" t="s">
        <v>10</v>
      </c>
      <c r="G205" s="43" t="s">
        <v>44</v>
      </c>
      <c r="H205" s="4" t="str">
        <f>IFERROR(_xlfn.XLOOKUP(G205,Listas!E:E,Listas!F:F,""),"")</f>
        <v>Operativo</v>
      </c>
      <c r="I205" s="52" t="str">
        <f>IFERROR(_xlfn.XLOOKUP(G205,Listas!E:E,Listas!G:G,""),"")</f>
        <v>Externo</v>
      </c>
      <c r="J205" s="45">
        <v>15</v>
      </c>
      <c r="K205" s="5">
        <v>-15</v>
      </c>
      <c r="L205" s="6" t="s">
        <v>93</v>
      </c>
      <c r="M205" s="46">
        <v>9076.2400000000016</v>
      </c>
      <c r="N205" s="27" t="str">
        <f>IF(tblMovimientos[[#This Row],[Tipo de Movimiento]]="Ingreso",tblMovimientos[[#This Row],[Monto (S/)]],"0")</f>
        <v>0</v>
      </c>
      <c r="O205" s="27">
        <f>IF(tblMovimientos[[#This Row],[Tipo de Movimiento]]="Egreso",tblMovimientos[[#This Row],[Monto (S/)]],"0")</f>
        <v>15</v>
      </c>
      <c r="P205" s="29">
        <f>IF(tblMovimientos[[#This Row],[Tipo de Movimiento]]="Ingreso",tblMovimientos[[#This Row],[Ingreso]],-tblMovimientos[[#This Row],[Egreso]])</f>
        <v>-15</v>
      </c>
    </row>
    <row r="206" spans="2:16" x14ac:dyDescent="0.3">
      <c r="B206" s="41">
        <v>46170</v>
      </c>
      <c r="C206" s="4" t="s">
        <v>35</v>
      </c>
      <c r="D206" s="43" t="s">
        <v>126</v>
      </c>
      <c r="E206" s="4" t="s">
        <v>37</v>
      </c>
      <c r="F206" s="43" t="s">
        <v>10</v>
      </c>
      <c r="G206" s="43" t="s">
        <v>44</v>
      </c>
      <c r="H206" s="4" t="str">
        <f>IFERROR(_xlfn.XLOOKUP(G206,Listas!E:E,Listas!F:F,""),"")</f>
        <v>Operativo</v>
      </c>
      <c r="I206" s="52" t="str">
        <f>IFERROR(_xlfn.XLOOKUP(G206,Listas!E:E,Listas!G:G,""),"")</f>
        <v>Externo</v>
      </c>
      <c r="J206" s="45">
        <v>15</v>
      </c>
      <c r="K206" s="5">
        <v>-15</v>
      </c>
      <c r="L206" s="6" t="s">
        <v>93</v>
      </c>
      <c r="M206" s="46">
        <v>9076.2400000000016</v>
      </c>
      <c r="N206" s="27" t="str">
        <f>IF(tblMovimientos[[#This Row],[Tipo de Movimiento]]="Ingreso",tblMovimientos[[#This Row],[Monto (S/)]],"0")</f>
        <v>0</v>
      </c>
      <c r="O206" s="27">
        <f>IF(tblMovimientos[[#This Row],[Tipo de Movimiento]]="Egreso",tblMovimientos[[#This Row],[Monto (S/)]],"0")</f>
        <v>15</v>
      </c>
      <c r="P206" s="29">
        <f>IF(tblMovimientos[[#This Row],[Tipo de Movimiento]]="Ingreso",tblMovimientos[[#This Row],[Ingreso]],-tblMovimientos[[#This Row],[Egreso]])</f>
        <v>-15</v>
      </c>
    </row>
    <row r="207" spans="2:16" x14ac:dyDescent="0.3">
      <c r="B207" s="41">
        <v>46170</v>
      </c>
      <c r="C207" s="4" t="s">
        <v>35</v>
      </c>
      <c r="D207" s="43" t="s">
        <v>126</v>
      </c>
      <c r="E207" s="4" t="s">
        <v>37</v>
      </c>
      <c r="F207" s="43" t="s">
        <v>10</v>
      </c>
      <c r="G207" s="43" t="s">
        <v>44</v>
      </c>
      <c r="H207" s="4" t="str">
        <f>IFERROR(_xlfn.XLOOKUP(G207,Listas!E:E,Listas!F:F,""),"")</f>
        <v>Operativo</v>
      </c>
      <c r="I207" s="52" t="str">
        <f>IFERROR(_xlfn.XLOOKUP(G207,Listas!E:E,Listas!G:G,""),"")</f>
        <v>Externo</v>
      </c>
      <c r="J207" s="45">
        <v>15</v>
      </c>
      <c r="K207" s="5">
        <v>-15</v>
      </c>
      <c r="L207" s="6" t="s">
        <v>93</v>
      </c>
      <c r="M207" s="46">
        <v>9076.2400000000016</v>
      </c>
      <c r="N207" s="27" t="str">
        <f>IF(tblMovimientos[[#This Row],[Tipo de Movimiento]]="Ingreso",tblMovimientos[[#This Row],[Monto (S/)]],"0")</f>
        <v>0</v>
      </c>
      <c r="O207" s="27">
        <f>IF(tblMovimientos[[#This Row],[Tipo de Movimiento]]="Egreso",tblMovimientos[[#This Row],[Monto (S/)]],"0")</f>
        <v>15</v>
      </c>
      <c r="P207" s="29">
        <f>IF(tblMovimientos[[#This Row],[Tipo de Movimiento]]="Ingreso",tblMovimientos[[#This Row],[Ingreso]],-tblMovimientos[[#This Row],[Egreso]])</f>
        <v>-15</v>
      </c>
    </row>
    <row r="208" spans="2:16" x14ac:dyDescent="0.3">
      <c r="B208" s="41">
        <v>46170</v>
      </c>
      <c r="C208" s="4" t="s">
        <v>35</v>
      </c>
      <c r="D208" s="43" t="s">
        <v>126</v>
      </c>
      <c r="E208" s="4" t="s">
        <v>37</v>
      </c>
      <c r="F208" s="43" t="s">
        <v>10</v>
      </c>
      <c r="G208" s="43" t="s">
        <v>38</v>
      </c>
      <c r="H208" s="4" t="str">
        <f>IFERROR(_xlfn.XLOOKUP(G208,Listas!E:E,Listas!F:F,""),"")</f>
        <v>Operativo</v>
      </c>
      <c r="I208" s="52" t="str">
        <f>IFERROR(_xlfn.XLOOKUP(G208,Listas!E:E,Listas!G:G,""),"")</f>
        <v>Externo</v>
      </c>
      <c r="J208" s="45">
        <v>951.3</v>
      </c>
      <c r="K208" s="5">
        <v>-951.3</v>
      </c>
      <c r="L208" s="6" t="s">
        <v>93</v>
      </c>
      <c r="M208" s="46">
        <v>9076.2400000000016</v>
      </c>
      <c r="N208" s="27" t="str">
        <f>IF(tblMovimientos[[#This Row],[Tipo de Movimiento]]="Ingreso",tblMovimientos[[#This Row],[Monto (S/)]],"0")</f>
        <v>0</v>
      </c>
      <c r="O208" s="27">
        <f>IF(tblMovimientos[[#This Row],[Tipo de Movimiento]]="Egreso",tblMovimientos[[#This Row],[Monto (S/)]],"0")</f>
        <v>951.3</v>
      </c>
      <c r="P208" s="29">
        <f>IF(tblMovimientos[[#This Row],[Tipo de Movimiento]]="Ingreso",tblMovimientos[[#This Row],[Ingreso]],-tblMovimientos[[#This Row],[Egreso]])</f>
        <v>-951.3</v>
      </c>
    </row>
    <row r="209" spans="2:16" x14ac:dyDescent="0.3">
      <c r="B209" s="41">
        <v>46170</v>
      </c>
      <c r="C209" s="4" t="s">
        <v>35</v>
      </c>
      <c r="D209" s="43" t="s">
        <v>126</v>
      </c>
      <c r="E209" s="4" t="s">
        <v>37</v>
      </c>
      <c r="F209" s="43" t="s">
        <v>10</v>
      </c>
      <c r="G209" s="43" t="s">
        <v>38</v>
      </c>
      <c r="H209" s="4" t="str">
        <f>IFERROR(_xlfn.XLOOKUP(G209,Listas!E:E,Listas!F:F,""),"")</f>
        <v>Operativo</v>
      </c>
      <c r="I209" s="52" t="str">
        <f>IFERROR(_xlfn.XLOOKUP(G209,Listas!E:E,Listas!G:G,""),"")</f>
        <v>Externo</v>
      </c>
      <c r="J209" s="45">
        <v>1981.86</v>
      </c>
      <c r="K209" s="5">
        <v>-1981.86</v>
      </c>
      <c r="L209" s="6" t="s">
        <v>93</v>
      </c>
      <c r="M209" s="46">
        <v>9076.2400000000016</v>
      </c>
      <c r="N209" s="27" t="str">
        <f>IF(tblMovimientos[[#This Row],[Tipo de Movimiento]]="Ingreso",tblMovimientos[[#This Row],[Monto (S/)]],"0")</f>
        <v>0</v>
      </c>
      <c r="O209" s="27">
        <f>IF(tblMovimientos[[#This Row],[Tipo de Movimiento]]="Egreso",tblMovimientos[[#This Row],[Monto (S/)]],"0")</f>
        <v>1981.86</v>
      </c>
      <c r="P209" s="29">
        <f>IF(tblMovimientos[[#This Row],[Tipo de Movimiento]]="Ingreso",tblMovimientos[[#This Row],[Ingreso]],-tblMovimientos[[#This Row],[Egreso]])</f>
        <v>-1981.86</v>
      </c>
    </row>
    <row r="210" spans="2:16" x14ac:dyDescent="0.3">
      <c r="B210" s="41">
        <v>46170</v>
      </c>
      <c r="C210" s="4" t="s">
        <v>35</v>
      </c>
      <c r="D210" s="43" t="s">
        <v>126</v>
      </c>
      <c r="E210" s="4" t="s">
        <v>37</v>
      </c>
      <c r="F210" s="43" t="s">
        <v>10</v>
      </c>
      <c r="G210" s="43" t="s">
        <v>38</v>
      </c>
      <c r="H210" s="4" t="str">
        <f>IFERROR(_xlfn.XLOOKUP(G210,Listas!E:E,Listas!F:F,""),"")</f>
        <v>Operativo</v>
      </c>
      <c r="I210" s="52" t="str">
        <f>IFERROR(_xlfn.XLOOKUP(G210,Listas!E:E,Listas!G:G,""),"")</f>
        <v>Externo</v>
      </c>
      <c r="J210" s="45">
        <v>2500</v>
      </c>
      <c r="K210" s="5">
        <v>-2500</v>
      </c>
      <c r="L210" s="6" t="s">
        <v>93</v>
      </c>
      <c r="M210" s="46">
        <v>9076.2400000000016</v>
      </c>
      <c r="N210" s="27" t="str">
        <f>IF(tblMovimientos[[#This Row],[Tipo de Movimiento]]="Ingreso",tblMovimientos[[#This Row],[Monto (S/)]],"0")</f>
        <v>0</v>
      </c>
      <c r="O210" s="27">
        <f>IF(tblMovimientos[[#This Row],[Tipo de Movimiento]]="Egreso",tblMovimientos[[#This Row],[Monto (S/)]],"0")</f>
        <v>2500</v>
      </c>
      <c r="P210" s="29">
        <f>IF(tblMovimientos[[#This Row],[Tipo de Movimiento]]="Ingreso",tblMovimientos[[#This Row],[Ingreso]],-tblMovimientos[[#This Row],[Egreso]])</f>
        <v>-2500</v>
      </c>
    </row>
    <row r="211" spans="2:16" x14ac:dyDescent="0.3">
      <c r="B211" s="41">
        <v>46170</v>
      </c>
      <c r="C211" s="4" t="s">
        <v>35</v>
      </c>
      <c r="D211" s="43" t="s">
        <v>126</v>
      </c>
      <c r="E211" s="4" t="s">
        <v>37</v>
      </c>
      <c r="F211" s="43" t="s">
        <v>10</v>
      </c>
      <c r="G211" s="43" t="s">
        <v>38</v>
      </c>
      <c r="H211" s="4" t="str">
        <f>IFERROR(_xlfn.XLOOKUP(G211,Listas!E:E,Listas!F:F,""),"")</f>
        <v>Operativo</v>
      </c>
      <c r="I211" s="52" t="str">
        <f>IFERROR(_xlfn.XLOOKUP(G211,Listas!E:E,Listas!G:G,""),"")</f>
        <v>Externo</v>
      </c>
      <c r="J211" s="45">
        <v>3018.63</v>
      </c>
      <c r="K211" s="5">
        <v>-3018.63</v>
      </c>
      <c r="L211" s="6" t="s">
        <v>93</v>
      </c>
      <c r="M211" s="46">
        <v>9076.2400000000016</v>
      </c>
      <c r="N211" s="27" t="str">
        <f>IF(tblMovimientos[[#This Row],[Tipo de Movimiento]]="Ingreso",tblMovimientos[[#This Row],[Monto (S/)]],"0")</f>
        <v>0</v>
      </c>
      <c r="O211" s="27">
        <f>IF(tblMovimientos[[#This Row],[Tipo de Movimiento]]="Egreso",tblMovimientos[[#This Row],[Monto (S/)]],"0")</f>
        <v>3018.63</v>
      </c>
      <c r="P211" s="29">
        <f>IF(tblMovimientos[[#This Row],[Tipo de Movimiento]]="Ingreso",tblMovimientos[[#This Row],[Ingreso]],-tblMovimientos[[#This Row],[Egreso]])</f>
        <v>-3018.63</v>
      </c>
    </row>
    <row r="212" spans="2:16" x14ac:dyDescent="0.3">
      <c r="B212" s="41">
        <v>46171</v>
      </c>
      <c r="C212" s="4" t="s">
        <v>21</v>
      </c>
      <c r="D212" s="43" t="s">
        <v>101</v>
      </c>
      <c r="E212" s="4" t="s">
        <v>36</v>
      </c>
      <c r="F212" s="43" t="s">
        <v>10</v>
      </c>
      <c r="G212" s="43" t="s">
        <v>38</v>
      </c>
      <c r="H212" s="4" t="str">
        <f>IFERROR(_xlfn.XLOOKUP(G212,Listas!E:E,Listas!F:F,""),"")</f>
        <v>Operativo</v>
      </c>
      <c r="I212" s="52" t="str">
        <f>IFERROR(_xlfn.XLOOKUP(G212,Listas!E:E,Listas!G:G,""),"")</f>
        <v>Externo</v>
      </c>
      <c r="J212" s="45">
        <v>193.01</v>
      </c>
      <c r="K212" s="5">
        <v>-193.01</v>
      </c>
      <c r="L212" s="6" t="s">
        <v>93</v>
      </c>
      <c r="M212" s="46">
        <v>10843.210000000001</v>
      </c>
      <c r="N212" s="27" t="str">
        <f>IF(tblMovimientos[[#This Row],[Tipo de Movimiento]]="Ingreso",tblMovimientos[[#This Row],[Monto (S/)]],"0")</f>
        <v>0</v>
      </c>
      <c r="O212" s="27">
        <f>IF(tblMovimientos[[#This Row],[Tipo de Movimiento]]="Egreso",tblMovimientos[[#This Row],[Monto (S/)]],"0")</f>
        <v>193.01</v>
      </c>
      <c r="P212" s="29">
        <f>IF(tblMovimientos[[#This Row],[Tipo de Movimiento]]="Ingreso",tblMovimientos[[#This Row],[Ingreso]],-tblMovimientos[[#This Row],[Egreso]])</f>
        <v>-193.01</v>
      </c>
    </row>
    <row r="213" spans="2:16" x14ac:dyDescent="0.3">
      <c r="B213" s="41">
        <v>46171</v>
      </c>
      <c r="C213" s="4" t="s">
        <v>20</v>
      </c>
      <c r="D213" s="43" t="s">
        <v>100</v>
      </c>
      <c r="E213" s="4" t="s">
        <v>36</v>
      </c>
      <c r="F213" s="43" t="s">
        <v>9</v>
      </c>
      <c r="G213" s="43" t="s">
        <v>80</v>
      </c>
      <c r="H213" s="4" t="str">
        <f>IFERROR(_xlfn.XLOOKUP(G213,Listas!E:E,Listas!F:F,""),"")</f>
        <v>Operativo</v>
      </c>
      <c r="I213" s="52" t="str">
        <f>IFERROR(_xlfn.XLOOKUP(G213,Listas!E:E,Listas!G:G,""),"")</f>
        <v>Externo</v>
      </c>
      <c r="J213" s="45">
        <v>46804.94</v>
      </c>
      <c r="K213" s="5">
        <v>46804.94</v>
      </c>
      <c r="L213" s="6" t="s">
        <v>93</v>
      </c>
      <c r="M213" s="46">
        <v>424853.11999999988</v>
      </c>
      <c r="N213" s="27">
        <f>IF(tblMovimientos[[#This Row],[Tipo de Movimiento]]="Ingreso",tblMovimientos[[#This Row],[Monto (S/)]],"0")</f>
        <v>46804.94</v>
      </c>
      <c r="O213" s="27" t="str">
        <f>IF(tblMovimientos[[#This Row],[Tipo de Movimiento]]="Egreso",tblMovimientos[[#This Row],[Monto (S/)]],"0")</f>
        <v>0</v>
      </c>
      <c r="P213" s="29">
        <f>IF(tblMovimientos[[#This Row],[Tipo de Movimiento]]="Ingreso",tblMovimientos[[#This Row],[Ingreso]],-tblMovimientos[[#This Row],[Egreso]])</f>
        <v>46804.94</v>
      </c>
    </row>
    <row r="214" spans="2:16" x14ac:dyDescent="0.3">
      <c r="B214" s="41">
        <v>46171</v>
      </c>
      <c r="C214" s="4" t="s">
        <v>20</v>
      </c>
      <c r="D214" s="43" t="s">
        <v>100</v>
      </c>
      <c r="E214" s="4" t="s">
        <v>36</v>
      </c>
      <c r="F214" s="43" t="s">
        <v>9</v>
      </c>
      <c r="G214" s="43" t="s">
        <v>68</v>
      </c>
      <c r="H214" s="4" t="str">
        <f>IFERROR(_xlfn.XLOOKUP(G214,Listas!E:E,Listas!F:F,""),"")</f>
        <v>Operativo</v>
      </c>
      <c r="I214" s="52" t="str">
        <f>IFERROR(_xlfn.XLOOKUP(G214,Listas!E:E,Listas!G:G,""),"")</f>
        <v>Externo</v>
      </c>
      <c r="J214" s="45">
        <v>1452.33</v>
      </c>
      <c r="K214" s="5">
        <v>1452.33</v>
      </c>
      <c r="L214" s="6" t="s">
        <v>93</v>
      </c>
      <c r="M214" s="46">
        <v>424853.11999999988</v>
      </c>
      <c r="N214" s="27">
        <f>IF(tblMovimientos[[#This Row],[Tipo de Movimiento]]="Ingreso",tblMovimientos[[#This Row],[Monto (S/)]],"0")</f>
        <v>1452.33</v>
      </c>
      <c r="O214" s="27" t="str">
        <f>IF(tblMovimientos[[#This Row],[Tipo de Movimiento]]="Egreso",tblMovimientos[[#This Row],[Monto (S/)]],"0")</f>
        <v>0</v>
      </c>
      <c r="P214" s="29">
        <f>IF(tblMovimientos[[#This Row],[Tipo de Movimiento]]="Ingreso",tblMovimientos[[#This Row],[Ingreso]],-tblMovimientos[[#This Row],[Egreso]])</f>
        <v>1452.33</v>
      </c>
    </row>
    <row r="215" spans="2:16" x14ac:dyDescent="0.3">
      <c r="B215" s="41">
        <v>46171</v>
      </c>
      <c r="C215" s="4" t="s">
        <v>17</v>
      </c>
      <c r="D215" s="43" t="s">
        <v>94</v>
      </c>
      <c r="E215" s="4" t="s">
        <v>36</v>
      </c>
      <c r="F215" s="43" t="s">
        <v>10</v>
      </c>
      <c r="G215" s="43" t="s">
        <v>40</v>
      </c>
      <c r="H215" s="4" t="str">
        <f>IFERROR(_xlfn.XLOOKUP(G215,Listas!E:E,Listas!F:F,""),"")</f>
        <v>Operativo</v>
      </c>
      <c r="I215" s="52" t="str">
        <f>IFERROR(_xlfn.XLOOKUP(G215,Listas!E:E,Listas!G:G,""),"")</f>
        <v>Externo</v>
      </c>
      <c r="J215" s="45">
        <v>2977.95</v>
      </c>
      <c r="K215" s="5">
        <v>-2977.95</v>
      </c>
      <c r="L215" s="6" t="s">
        <v>93</v>
      </c>
      <c r="M215" s="46">
        <v>193489.58</v>
      </c>
      <c r="N215" s="27" t="str">
        <f>IF(tblMovimientos[[#This Row],[Tipo de Movimiento]]="Ingreso",tblMovimientos[[#This Row],[Monto (S/)]],"0")</f>
        <v>0</v>
      </c>
      <c r="O215" s="27">
        <f>IF(tblMovimientos[[#This Row],[Tipo de Movimiento]]="Egreso",tblMovimientos[[#This Row],[Monto (S/)]],"0")</f>
        <v>2977.95</v>
      </c>
      <c r="P215" s="29">
        <f>IF(tblMovimientos[[#This Row],[Tipo de Movimiento]]="Ingreso",tblMovimientos[[#This Row],[Ingreso]],-tblMovimientos[[#This Row],[Egreso]])</f>
        <v>-2977.95</v>
      </c>
    </row>
    <row r="216" spans="2:16" x14ac:dyDescent="0.3">
      <c r="B216" s="41">
        <v>46171</v>
      </c>
      <c r="C216" s="4" t="s">
        <v>17</v>
      </c>
      <c r="D216" s="43" t="s">
        <v>94</v>
      </c>
      <c r="E216" s="4" t="s">
        <v>36</v>
      </c>
      <c r="F216" s="43" t="s">
        <v>10</v>
      </c>
      <c r="G216" s="43" t="s">
        <v>42</v>
      </c>
      <c r="H216" s="4" t="str">
        <f>IFERROR(_xlfn.XLOOKUP(G216,Listas!E:E,Listas!F:F,""),"")</f>
        <v>Operativo</v>
      </c>
      <c r="I216" s="52" t="str">
        <f>IFERROR(_xlfn.XLOOKUP(G216,Listas!E:E,Listas!G:G,""),"")</f>
        <v>Externo</v>
      </c>
      <c r="J216" s="45">
        <v>611.1</v>
      </c>
      <c r="K216" s="5">
        <v>-611.1</v>
      </c>
      <c r="L216" s="6" t="s">
        <v>93</v>
      </c>
      <c r="M216" s="46">
        <v>193489.58</v>
      </c>
      <c r="N216" s="27" t="str">
        <f>IF(tblMovimientos[[#This Row],[Tipo de Movimiento]]="Ingreso",tblMovimientos[[#This Row],[Monto (S/)]],"0")</f>
        <v>0</v>
      </c>
      <c r="O216" s="27">
        <f>IF(tblMovimientos[[#This Row],[Tipo de Movimiento]]="Egreso",tblMovimientos[[#This Row],[Monto (S/)]],"0")</f>
        <v>611.1</v>
      </c>
      <c r="P216" s="29">
        <f>IF(tblMovimientos[[#This Row],[Tipo de Movimiento]]="Ingreso",tblMovimientos[[#This Row],[Ingreso]],-tblMovimientos[[#This Row],[Egreso]])</f>
        <v>-611.1</v>
      </c>
    </row>
    <row r="217" spans="2:16" x14ac:dyDescent="0.3">
      <c r="B217" s="41">
        <v>46171</v>
      </c>
      <c r="C217" s="4" t="s">
        <v>31</v>
      </c>
      <c r="D217" s="43" t="s">
        <v>121</v>
      </c>
      <c r="E217" s="4" t="s">
        <v>36</v>
      </c>
      <c r="F217" s="43" t="s">
        <v>10</v>
      </c>
      <c r="G217" s="43" t="s">
        <v>44</v>
      </c>
      <c r="H217" s="4" t="str">
        <f>IFERROR(_xlfn.XLOOKUP(G217,Listas!E:E,Listas!F:F,""),"")</f>
        <v>Operativo</v>
      </c>
      <c r="I217" s="52" t="str">
        <f>IFERROR(_xlfn.XLOOKUP(G217,Listas!E:E,Listas!G:G,""),"")</f>
        <v>Externo</v>
      </c>
      <c r="J217" s="45">
        <v>15</v>
      </c>
      <c r="K217" s="5">
        <v>-15</v>
      </c>
      <c r="L217" s="6" t="s">
        <v>93</v>
      </c>
      <c r="M217" s="46">
        <v>35108.179999999964</v>
      </c>
      <c r="N217" s="27" t="str">
        <f>IF(tblMovimientos[[#This Row],[Tipo de Movimiento]]="Ingreso",tblMovimientos[[#This Row],[Monto (S/)]],"0")</f>
        <v>0</v>
      </c>
      <c r="O217" s="27">
        <f>IF(tblMovimientos[[#This Row],[Tipo de Movimiento]]="Egreso",tblMovimientos[[#This Row],[Monto (S/)]],"0")</f>
        <v>15</v>
      </c>
      <c r="P217" s="29">
        <f>IF(tblMovimientos[[#This Row],[Tipo de Movimiento]]="Ingreso",tblMovimientos[[#This Row],[Ingreso]],-tblMovimientos[[#This Row],[Egreso]])</f>
        <v>-15</v>
      </c>
    </row>
    <row r="218" spans="2:16" x14ac:dyDescent="0.3">
      <c r="B218" s="41">
        <v>46171</v>
      </c>
      <c r="C218" s="4" t="s">
        <v>21</v>
      </c>
      <c r="D218" s="43" t="s">
        <v>106</v>
      </c>
      <c r="E218" s="4" t="s">
        <v>37</v>
      </c>
      <c r="F218" s="43" t="s">
        <v>9</v>
      </c>
      <c r="G218" s="43" t="s">
        <v>84</v>
      </c>
      <c r="H218" s="4" t="str">
        <f>IFERROR(_xlfn.XLOOKUP(G218,Listas!E:E,Listas!F:F,""),"")</f>
        <v>Operativo</v>
      </c>
      <c r="I218" s="52" t="str">
        <f>IFERROR(_xlfn.XLOOKUP(G218,Listas!E:E,Listas!G:G,""),"")</f>
        <v>Externo</v>
      </c>
      <c r="J218" s="45">
        <v>2291.75</v>
      </c>
      <c r="K218" s="5">
        <v>2291.75</v>
      </c>
      <c r="L218" s="6" t="s">
        <v>93</v>
      </c>
      <c r="M218" s="46">
        <v>749812.95</v>
      </c>
      <c r="N218" s="27">
        <f>IF(tblMovimientos[[#This Row],[Tipo de Movimiento]]="Ingreso",tblMovimientos[[#This Row],[Monto (S/)]],"0")</f>
        <v>2291.75</v>
      </c>
      <c r="O218" s="27" t="str">
        <f>IF(tblMovimientos[[#This Row],[Tipo de Movimiento]]="Egreso",tblMovimientos[[#This Row],[Monto (S/)]],"0")</f>
        <v>0</v>
      </c>
      <c r="P218" s="29">
        <f>IF(tblMovimientos[[#This Row],[Tipo de Movimiento]]="Ingreso",tblMovimientos[[#This Row],[Ingreso]],-tblMovimientos[[#This Row],[Egreso]])</f>
        <v>2291.75</v>
      </c>
    </row>
    <row r="219" spans="2:16" x14ac:dyDescent="0.3">
      <c r="B219" s="41">
        <v>46171</v>
      </c>
      <c r="C219" s="4" t="s">
        <v>21</v>
      </c>
      <c r="D219" s="43" t="s">
        <v>104</v>
      </c>
      <c r="E219" s="4" t="s">
        <v>37</v>
      </c>
      <c r="F219" s="43" t="s">
        <v>10</v>
      </c>
      <c r="G219" s="43" t="s">
        <v>42</v>
      </c>
      <c r="H219" s="4" t="str">
        <f>IFERROR(_xlfn.XLOOKUP(G219,Listas!E:E,Listas!F:F,""),"")</f>
        <v>Operativo</v>
      </c>
      <c r="I219" s="52" t="str">
        <f>IFERROR(_xlfn.XLOOKUP(G219,Listas!E:E,Listas!G:G,""),"")</f>
        <v>Externo</v>
      </c>
      <c r="J219" s="45">
        <v>76593.55</v>
      </c>
      <c r="K219" s="5">
        <v>-76593.55</v>
      </c>
      <c r="L219" s="6" t="s">
        <v>93</v>
      </c>
      <c r="M219" s="46">
        <v>244921.30999999936</v>
      </c>
      <c r="N219" s="27" t="str">
        <f>IF(tblMovimientos[[#This Row],[Tipo de Movimiento]]="Ingreso",tblMovimientos[[#This Row],[Monto (S/)]],"0")</f>
        <v>0</v>
      </c>
      <c r="O219" s="27">
        <f>IF(tblMovimientos[[#This Row],[Tipo de Movimiento]]="Egreso",tblMovimientos[[#This Row],[Monto (S/)]],"0")</f>
        <v>76593.55</v>
      </c>
      <c r="P219" s="29">
        <f>IF(tblMovimientos[[#This Row],[Tipo de Movimiento]]="Ingreso",tblMovimientos[[#This Row],[Ingreso]],-tblMovimientos[[#This Row],[Egreso]])</f>
        <v>-76593.55</v>
      </c>
    </row>
    <row r="220" spans="2:16" x14ac:dyDescent="0.3">
      <c r="B220" s="41">
        <v>46171</v>
      </c>
      <c r="C220" s="4" t="s">
        <v>24</v>
      </c>
      <c r="D220" s="43" t="s">
        <v>113</v>
      </c>
      <c r="E220" s="4" t="s">
        <v>154</v>
      </c>
      <c r="F220" s="43" t="s">
        <v>10</v>
      </c>
      <c r="G220" s="42" t="s">
        <v>38</v>
      </c>
      <c r="H220" s="4" t="str">
        <f>IFERROR(_xlfn.XLOOKUP(G220,Listas!E:E,Listas!F:F,""),"")</f>
        <v>Operativo</v>
      </c>
      <c r="I220" s="52" t="str">
        <f>IFERROR(_xlfn.XLOOKUP(G220,Listas!E:E,Listas!G:G,""),"")</f>
        <v>Externo</v>
      </c>
      <c r="J220" s="45">
        <v>1270.43</v>
      </c>
      <c r="K220" s="5">
        <v>-1270.43</v>
      </c>
      <c r="L220" s="6" t="s">
        <v>93</v>
      </c>
      <c r="M220" s="46">
        <v>1227.9699999999998</v>
      </c>
      <c r="N220" s="27" t="str">
        <f>IF(tblMovimientos[[#This Row],[Tipo de Movimiento]]="Ingreso",tblMovimientos[[#This Row],[Monto (S/)]],"0")</f>
        <v>0</v>
      </c>
      <c r="O220" s="27">
        <f>IF(tblMovimientos[[#This Row],[Tipo de Movimiento]]="Egreso",tblMovimientos[[#This Row],[Monto (S/)]],"0")</f>
        <v>1270.43</v>
      </c>
      <c r="P220" s="29">
        <f>IF(tblMovimientos[[#This Row],[Tipo de Movimiento]]="Ingreso",tblMovimientos[[#This Row],[Ingreso]],-tblMovimientos[[#This Row],[Egreso]])</f>
        <v>-1270.43</v>
      </c>
    </row>
    <row r="221" spans="2:16" x14ac:dyDescent="0.3">
      <c r="B221" s="41">
        <v>46174</v>
      </c>
      <c r="C221" s="4" t="s">
        <v>20</v>
      </c>
      <c r="D221" s="43" t="s">
        <v>100</v>
      </c>
      <c r="E221" s="4" t="s">
        <v>36</v>
      </c>
      <c r="F221" s="43" t="s">
        <v>9</v>
      </c>
      <c r="G221" s="43" t="s">
        <v>80</v>
      </c>
      <c r="H221" s="4" t="str">
        <f>IFERROR(_xlfn.XLOOKUP(G221,Listas!E:E,Listas!F:F,""),"")</f>
        <v>Operativo</v>
      </c>
      <c r="I221" s="52" t="str">
        <f>IFERROR(_xlfn.XLOOKUP(G221,Listas!E:E,Listas!G:G,""),"")</f>
        <v>Externo</v>
      </c>
      <c r="J221" s="45">
        <v>380000</v>
      </c>
      <c r="K221" s="5">
        <v>380000</v>
      </c>
      <c r="L221" s="15" t="s">
        <v>128</v>
      </c>
      <c r="M221" s="46">
        <v>804853.11999999988</v>
      </c>
      <c r="N221" s="27">
        <f>IF(tblMovimientos[[#This Row],[Tipo de Movimiento]]="Ingreso",tblMovimientos[[#This Row],[Monto (S/)]],"0")</f>
        <v>380000</v>
      </c>
      <c r="O221" s="27" t="str">
        <f>IF(tblMovimientos[[#This Row],[Tipo de Movimiento]]="Egreso",tblMovimientos[[#This Row],[Monto (S/)]],"0")</f>
        <v>0</v>
      </c>
      <c r="P221" s="29">
        <f>IF(tblMovimientos[[#This Row],[Tipo de Movimiento]]="Ingreso",tblMovimientos[[#This Row],[Ingreso]],-tblMovimientos[[#This Row],[Egreso]])</f>
        <v>380000</v>
      </c>
    </row>
    <row r="222" spans="2:16" x14ac:dyDescent="0.3">
      <c r="B222" s="41">
        <v>46174</v>
      </c>
      <c r="C222" s="4" t="s">
        <v>25</v>
      </c>
      <c r="D222" s="43" t="s">
        <v>114</v>
      </c>
      <c r="E222" s="4" t="s">
        <v>36</v>
      </c>
      <c r="F222" s="43" t="s">
        <v>10</v>
      </c>
      <c r="G222" s="43" t="s">
        <v>44</v>
      </c>
      <c r="H222" s="4" t="str">
        <f>IFERROR(_xlfn.XLOOKUP(G222,Listas!E:E,Listas!F:F,""),"")</f>
        <v>Operativo</v>
      </c>
      <c r="I222" s="52" t="str">
        <f>IFERROR(_xlfn.XLOOKUP(G222,Listas!E:E,Listas!G:G,""),"")</f>
        <v>Externo</v>
      </c>
      <c r="J222" s="45">
        <v>29.95</v>
      </c>
      <c r="K222" s="5">
        <v>-29.95</v>
      </c>
      <c r="L222" s="15" t="s">
        <v>128</v>
      </c>
      <c r="M222" s="46">
        <v>84.35</v>
      </c>
      <c r="N222" s="27" t="str">
        <f>IF(tblMovimientos[[#This Row],[Tipo de Movimiento]]="Ingreso",tblMovimientos[[#This Row],[Monto (S/)]],"0")</f>
        <v>0</v>
      </c>
      <c r="O222" s="27">
        <f>IF(tblMovimientos[[#This Row],[Tipo de Movimiento]]="Egreso",tblMovimientos[[#This Row],[Monto (S/)]],"0")</f>
        <v>29.95</v>
      </c>
      <c r="P222" s="29">
        <f>IF(tblMovimientos[[#This Row],[Tipo de Movimiento]]="Ingreso",tblMovimientos[[#This Row],[Ingreso]],-tblMovimientos[[#This Row],[Egreso]])</f>
        <v>-29.95</v>
      </c>
    </row>
    <row r="223" spans="2:16" x14ac:dyDescent="0.3">
      <c r="B223" s="41">
        <v>46174</v>
      </c>
      <c r="C223" s="4" t="s">
        <v>26</v>
      </c>
      <c r="D223" s="43" t="s">
        <v>115</v>
      </c>
      <c r="E223" s="4" t="s">
        <v>36</v>
      </c>
      <c r="F223" s="43" t="s">
        <v>10</v>
      </c>
      <c r="G223" s="43" t="s">
        <v>44</v>
      </c>
      <c r="H223" s="4" t="str">
        <f>IFERROR(_xlfn.XLOOKUP(G223,Listas!E:E,Listas!F:F,""),"")</f>
        <v>Operativo</v>
      </c>
      <c r="I223" s="52" t="str">
        <f>IFERROR(_xlfn.XLOOKUP(G223,Listas!E:E,Listas!G:G,""),"")</f>
        <v>Externo</v>
      </c>
      <c r="J223" s="45">
        <v>29.95</v>
      </c>
      <c r="K223" s="5">
        <v>-29.95</v>
      </c>
      <c r="L223" s="15" t="s">
        <v>128</v>
      </c>
      <c r="M223" s="46">
        <v>2237.77</v>
      </c>
      <c r="N223" s="27" t="str">
        <f>IF(tblMovimientos[[#This Row],[Tipo de Movimiento]]="Ingreso",tblMovimientos[[#This Row],[Monto (S/)]],"0")</f>
        <v>0</v>
      </c>
      <c r="O223" s="27">
        <f>IF(tblMovimientos[[#This Row],[Tipo de Movimiento]]="Egreso",tblMovimientos[[#This Row],[Monto (S/)]],"0")</f>
        <v>29.95</v>
      </c>
      <c r="P223" s="29">
        <f>IF(tblMovimientos[[#This Row],[Tipo de Movimiento]]="Ingreso",tblMovimientos[[#This Row],[Ingreso]],-tblMovimientos[[#This Row],[Egreso]])</f>
        <v>-29.95</v>
      </c>
    </row>
    <row r="224" spans="2:16" x14ac:dyDescent="0.3">
      <c r="B224" s="41">
        <v>46174</v>
      </c>
      <c r="C224" s="4" t="s">
        <v>30</v>
      </c>
      <c r="D224" s="43" t="s">
        <v>120</v>
      </c>
      <c r="E224" s="4" t="s">
        <v>36</v>
      </c>
      <c r="F224" s="43" t="s">
        <v>10</v>
      </c>
      <c r="G224" s="43" t="s">
        <v>44</v>
      </c>
      <c r="H224" s="4" t="str">
        <f>IFERROR(_xlfn.XLOOKUP(G224,Listas!E:E,Listas!F:F,""),"")</f>
        <v>Operativo</v>
      </c>
      <c r="I224" s="52" t="str">
        <f>IFERROR(_xlfn.XLOOKUP(G224,Listas!E:E,Listas!G:G,""),"")</f>
        <v>Externo</v>
      </c>
      <c r="J224" s="45">
        <v>16</v>
      </c>
      <c r="K224" s="5">
        <v>-16</v>
      </c>
      <c r="L224" s="15" t="s">
        <v>128</v>
      </c>
      <c r="M224" s="46">
        <v>1428.08</v>
      </c>
      <c r="N224" s="27" t="str">
        <f>IF(tblMovimientos[[#This Row],[Tipo de Movimiento]]="Ingreso",tblMovimientos[[#This Row],[Monto (S/)]],"0")</f>
        <v>0</v>
      </c>
      <c r="O224" s="27">
        <f>IF(tblMovimientos[[#This Row],[Tipo de Movimiento]]="Egreso",tblMovimientos[[#This Row],[Monto (S/)]],"0")</f>
        <v>16</v>
      </c>
      <c r="P224" s="29">
        <f>IF(tblMovimientos[[#This Row],[Tipo de Movimiento]]="Ingreso",tblMovimientos[[#This Row],[Ingreso]],-tblMovimientos[[#This Row],[Egreso]])</f>
        <v>-16</v>
      </c>
    </row>
    <row r="225" spans="2:16" x14ac:dyDescent="0.3">
      <c r="B225" s="41">
        <v>46174</v>
      </c>
      <c r="C225" s="4" t="s">
        <v>31</v>
      </c>
      <c r="D225" s="43" t="s">
        <v>121</v>
      </c>
      <c r="E225" s="4" t="s">
        <v>36</v>
      </c>
      <c r="F225" s="43" t="s">
        <v>10</v>
      </c>
      <c r="G225" s="43" t="s">
        <v>38</v>
      </c>
      <c r="H225" s="4" t="str">
        <f>IFERROR(_xlfn.XLOOKUP(G225,Listas!E:E,Listas!F:F,""),"")</f>
        <v>Operativo</v>
      </c>
      <c r="I225" s="52" t="str">
        <f>IFERROR(_xlfn.XLOOKUP(G225,Listas!E:E,Listas!G:G,""),"")</f>
        <v>Externo</v>
      </c>
      <c r="J225" s="45">
        <v>489</v>
      </c>
      <c r="K225" s="5">
        <v>-489</v>
      </c>
      <c r="L225" s="15" t="s">
        <v>128</v>
      </c>
      <c r="M225" s="46">
        <v>26085.849999999962</v>
      </c>
      <c r="N225" s="27" t="str">
        <f>IF(tblMovimientos[[#This Row],[Tipo de Movimiento]]="Ingreso",tblMovimientos[[#This Row],[Monto (S/)]],"0")</f>
        <v>0</v>
      </c>
      <c r="O225" s="27">
        <f>IF(tblMovimientos[[#This Row],[Tipo de Movimiento]]="Egreso",tblMovimientos[[#This Row],[Monto (S/)]],"0")</f>
        <v>489</v>
      </c>
      <c r="P225" s="29">
        <f>IF(tblMovimientos[[#This Row],[Tipo de Movimiento]]="Ingreso",tblMovimientos[[#This Row],[Ingreso]],-tblMovimientos[[#This Row],[Egreso]])</f>
        <v>-489</v>
      </c>
    </row>
    <row r="226" spans="2:16" x14ac:dyDescent="0.3">
      <c r="B226" s="41">
        <v>46174</v>
      </c>
      <c r="C226" s="4" t="s">
        <v>31</v>
      </c>
      <c r="D226" s="43" t="s">
        <v>121</v>
      </c>
      <c r="E226" s="4" t="s">
        <v>36</v>
      </c>
      <c r="F226" s="43" t="s">
        <v>10</v>
      </c>
      <c r="G226" s="43" t="s">
        <v>65</v>
      </c>
      <c r="H226" s="4" t="str">
        <f>IFERROR(_xlfn.XLOOKUP(G226,Listas!E:E,Listas!F:F,""),"")</f>
        <v>Operativo</v>
      </c>
      <c r="I226" s="52" t="str">
        <f>IFERROR(_xlfn.XLOOKUP(G226,Listas!E:E,Listas!G:G,""),"")</f>
        <v>Externo</v>
      </c>
      <c r="J226" s="45">
        <v>8533.33</v>
      </c>
      <c r="K226" s="5">
        <v>-8533.33</v>
      </c>
      <c r="L226" s="15" t="s">
        <v>128</v>
      </c>
      <c r="M226" s="46">
        <v>26085.849999999962</v>
      </c>
      <c r="N226" s="27" t="str">
        <f>IF(tblMovimientos[[#This Row],[Tipo de Movimiento]]="Ingreso",tblMovimientos[[#This Row],[Monto (S/)]],"0")</f>
        <v>0</v>
      </c>
      <c r="O226" s="27">
        <f>IF(tblMovimientos[[#This Row],[Tipo de Movimiento]]="Egreso",tblMovimientos[[#This Row],[Monto (S/)]],"0")</f>
        <v>8533.33</v>
      </c>
      <c r="P226" s="29">
        <f>IF(tblMovimientos[[#This Row],[Tipo de Movimiento]]="Ingreso",tblMovimientos[[#This Row],[Ingreso]],-tblMovimientos[[#This Row],[Egreso]])</f>
        <v>-8533.33</v>
      </c>
    </row>
    <row r="227" spans="2:16" x14ac:dyDescent="0.3">
      <c r="B227" s="41">
        <v>46174</v>
      </c>
      <c r="C227" s="4" t="s">
        <v>31</v>
      </c>
      <c r="D227" s="43" t="s">
        <v>122</v>
      </c>
      <c r="E227" s="4" t="s">
        <v>36</v>
      </c>
      <c r="F227" s="43" t="s">
        <v>10</v>
      </c>
      <c r="G227" s="43" t="s">
        <v>44</v>
      </c>
      <c r="H227" s="4" t="str">
        <f>IFERROR(_xlfn.XLOOKUP(G227,Listas!E:E,Listas!F:F,""),"")</f>
        <v>Operativo</v>
      </c>
      <c r="I227" s="52" t="str">
        <f>IFERROR(_xlfn.XLOOKUP(G227,Listas!E:E,Listas!G:G,""),"")</f>
        <v>Externo</v>
      </c>
      <c r="J227" s="45">
        <v>10</v>
      </c>
      <c r="K227" s="5">
        <v>-10</v>
      </c>
      <c r="L227" s="15" t="s">
        <v>128</v>
      </c>
      <c r="M227" s="46">
        <v>330.42</v>
      </c>
      <c r="N227" s="27" t="str">
        <f>IF(tblMovimientos[[#This Row],[Tipo de Movimiento]]="Ingreso",tblMovimientos[[#This Row],[Monto (S/)]],"0")</f>
        <v>0</v>
      </c>
      <c r="O227" s="27">
        <f>IF(tblMovimientos[[#This Row],[Tipo de Movimiento]]="Egreso",tblMovimientos[[#This Row],[Monto (S/)]],"0")</f>
        <v>10</v>
      </c>
      <c r="P227" s="29">
        <f>IF(tblMovimientos[[#This Row],[Tipo de Movimiento]]="Ingreso",tblMovimientos[[#This Row],[Ingreso]],-tblMovimientos[[#This Row],[Egreso]])</f>
        <v>-10</v>
      </c>
    </row>
    <row r="228" spans="2:16" x14ac:dyDescent="0.3">
      <c r="B228" s="41">
        <v>46174</v>
      </c>
      <c r="C228" s="4" t="s">
        <v>32</v>
      </c>
      <c r="D228" s="43" t="s">
        <v>123</v>
      </c>
      <c r="E228" s="4" t="s">
        <v>36</v>
      </c>
      <c r="F228" s="43" t="s">
        <v>10</v>
      </c>
      <c r="G228" s="43" t="s">
        <v>48</v>
      </c>
      <c r="H228" s="4" t="str">
        <f>IFERROR(_xlfn.XLOOKUP(G228,Listas!E:E,Listas!F:F,""),"")</f>
        <v>Financiamiento</v>
      </c>
      <c r="I228" s="52" t="str">
        <f>IFERROR(_xlfn.XLOOKUP(G228,Listas!E:E,Listas!G:G,""),"")</f>
        <v>Externo</v>
      </c>
      <c r="J228" s="45">
        <v>9798.6299999999992</v>
      </c>
      <c r="K228" s="5">
        <v>-9798.6299999999992</v>
      </c>
      <c r="L228" s="15" t="s">
        <v>128</v>
      </c>
      <c r="M228" s="46">
        <v>5321.4300000000021</v>
      </c>
      <c r="N228" s="27" t="str">
        <f>IF(tblMovimientos[[#This Row],[Tipo de Movimiento]]="Ingreso",tblMovimientos[[#This Row],[Monto (S/)]],"0")</f>
        <v>0</v>
      </c>
      <c r="O228" s="27">
        <f>IF(tblMovimientos[[#This Row],[Tipo de Movimiento]]="Egreso",tblMovimientos[[#This Row],[Monto (S/)]],"0")</f>
        <v>9798.6299999999992</v>
      </c>
      <c r="P228" s="29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1">
        <v>46174</v>
      </c>
      <c r="C229" s="4" t="s">
        <v>33</v>
      </c>
      <c r="D229" s="43" t="s">
        <v>124</v>
      </c>
      <c r="E229" s="4" t="s">
        <v>36</v>
      </c>
      <c r="F229" s="43" t="s">
        <v>10</v>
      </c>
      <c r="G229" s="43" t="s">
        <v>48</v>
      </c>
      <c r="H229" s="4" t="str">
        <f>IFERROR(_xlfn.XLOOKUP(G229,Listas!E:E,Listas!F:F,""),"")</f>
        <v>Financiamiento</v>
      </c>
      <c r="I229" s="52" t="str">
        <f>IFERROR(_xlfn.XLOOKUP(G229,Listas!E:E,Listas!G:G,""),"")</f>
        <v>Externo</v>
      </c>
      <c r="J229" s="45">
        <v>8773.0400000000009</v>
      </c>
      <c r="K229" s="5">
        <v>-8773.0400000000009</v>
      </c>
      <c r="L229" s="15" t="s">
        <v>128</v>
      </c>
      <c r="M229" s="46">
        <v>24833.23</v>
      </c>
      <c r="N229" s="27" t="str">
        <f>IF(tblMovimientos[[#This Row],[Tipo de Movimiento]]="Ingreso",tblMovimientos[[#This Row],[Monto (S/)]],"0")</f>
        <v>0</v>
      </c>
      <c r="O229" s="27">
        <f>IF(tblMovimientos[[#This Row],[Tipo de Movimiento]]="Egreso",tblMovimientos[[#This Row],[Monto (S/)]],"0")</f>
        <v>8773.0400000000009</v>
      </c>
      <c r="P229" s="29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1">
        <v>46174</v>
      </c>
      <c r="C230" s="4" t="s">
        <v>18</v>
      </c>
      <c r="D230" s="43" t="s">
        <v>97</v>
      </c>
      <c r="E230" s="4" t="s">
        <v>37</v>
      </c>
      <c r="F230" s="43" t="s">
        <v>9</v>
      </c>
      <c r="G230" s="43" t="s">
        <v>68</v>
      </c>
      <c r="H230" s="4" t="str">
        <f>IFERROR(_xlfn.XLOOKUP(G230,Listas!E:E,Listas!F:F,""),"")</f>
        <v>Operativo</v>
      </c>
      <c r="I230" s="52" t="str">
        <f>IFERROR(_xlfn.XLOOKUP(G230,Listas!E:E,Listas!G:G,""),"")</f>
        <v>Externo</v>
      </c>
      <c r="J230" s="45">
        <v>6979.11</v>
      </c>
      <c r="K230" s="5">
        <v>6979.11</v>
      </c>
      <c r="L230" s="15" t="s">
        <v>128</v>
      </c>
      <c r="M230" s="46">
        <v>64376.390000000174</v>
      </c>
      <c r="N230" s="27">
        <f>IF(tblMovimientos[[#This Row],[Tipo de Movimiento]]="Ingreso",tblMovimientos[[#This Row],[Monto (S/)]],"0")</f>
        <v>6979.11</v>
      </c>
      <c r="O230" s="27" t="str">
        <f>IF(tblMovimientos[[#This Row],[Tipo de Movimiento]]="Egreso",tblMovimientos[[#This Row],[Monto (S/)]],"0")</f>
        <v>0</v>
      </c>
      <c r="P230" s="29">
        <f>IF(tblMovimientos[[#This Row],[Tipo de Movimiento]]="Ingreso",tblMovimientos[[#This Row],[Ingreso]],-tblMovimientos[[#This Row],[Egreso]])</f>
        <v>6979.11</v>
      </c>
    </row>
    <row r="231" spans="2:16" x14ac:dyDescent="0.3">
      <c r="B231" s="41">
        <v>46181</v>
      </c>
      <c r="C231" s="4" t="s">
        <v>35</v>
      </c>
      <c r="D231" s="43" t="s">
        <v>126</v>
      </c>
      <c r="E231" s="4" t="s">
        <v>37</v>
      </c>
      <c r="F231" s="43" t="s">
        <v>10</v>
      </c>
      <c r="G231" s="43" t="s">
        <v>38</v>
      </c>
      <c r="H231" s="4" t="str">
        <f>IFERROR(_xlfn.XLOOKUP(G231,Listas!E:E,Listas!F:F,""),"")</f>
        <v>Operativo</v>
      </c>
      <c r="I231" s="52" t="str">
        <f>IFERROR(_xlfn.XLOOKUP(G231,Listas!E:E,Listas!G:G,""),"")</f>
        <v>Externo</v>
      </c>
      <c r="J231" s="45">
        <v>0.01</v>
      </c>
      <c r="K231" s="5">
        <v>-0.01</v>
      </c>
      <c r="L231" s="15" t="s">
        <v>128</v>
      </c>
      <c r="M231" s="46">
        <v>1451.1500000000015</v>
      </c>
      <c r="N231" s="27" t="str">
        <f>IF(tblMovimientos[[#This Row],[Tipo de Movimiento]]="Ingreso",tblMovimientos[[#This Row],[Monto (S/)]],"0")</f>
        <v>0</v>
      </c>
      <c r="O231" s="27">
        <f>IF(tblMovimientos[[#This Row],[Tipo de Movimiento]]="Egreso",tblMovimientos[[#This Row],[Monto (S/)]],"0")</f>
        <v>0.01</v>
      </c>
      <c r="P231" s="29">
        <f>IF(tblMovimientos[[#This Row],[Tipo de Movimiento]]="Ingreso",tblMovimientos[[#This Row],[Ingreso]],-tblMovimientos[[#This Row],[Egreso]])</f>
        <v>-0.01</v>
      </c>
    </row>
    <row r="232" spans="2:16" x14ac:dyDescent="0.3">
      <c r="B232" s="41">
        <v>46177</v>
      </c>
      <c r="C232" s="4" t="s">
        <v>35</v>
      </c>
      <c r="D232" s="43" t="s">
        <v>126</v>
      </c>
      <c r="E232" s="4" t="s">
        <v>37</v>
      </c>
      <c r="F232" s="43" t="s">
        <v>10</v>
      </c>
      <c r="G232" s="43" t="s">
        <v>44</v>
      </c>
      <c r="H232" s="4" t="str">
        <f>IFERROR(_xlfn.XLOOKUP(G232,Listas!E:E,Listas!F:F,""),"")</f>
        <v>Operativo</v>
      </c>
      <c r="I232" s="52" t="str">
        <f>IFERROR(_xlfn.XLOOKUP(G232,Listas!E:E,Listas!G:G,""),"")</f>
        <v>Externo</v>
      </c>
      <c r="J232" s="45">
        <v>15</v>
      </c>
      <c r="K232" s="5">
        <v>-15</v>
      </c>
      <c r="L232" s="15" t="s">
        <v>128</v>
      </c>
      <c r="M232" s="46">
        <v>2422.7400000000016</v>
      </c>
      <c r="N232" s="27" t="str">
        <f>IF(tblMovimientos[[#This Row],[Tipo de Movimiento]]="Ingreso",tblMovimientos[[#This Row],[Monto (S/)]],"0")</f>
        <v>0</v>
      </c>
      <c r="O232" s="27">
        <f>IF(tblMovimientos[[#This Row],[Tipo de Movimiento]]="Egreso",tblMovimientos[[#This Row],[Monto (S/)]],"0")</f>
        <v>15</v>
      </c>
      <c r="P232" s="29">
        <f>IF(tblMovimientos[[#This Row],[Tipo de Movimiento]]="Ingreso",tblMovimientos[[#This Row],[Ingreso]],-tblMovimientos[[#This Row],[Egreso]])</f>
        <v>-15</v>
      </c>
    </row>
    <row r="233" spans="2:16" x14ac:dyDescent="0.3">
      <c r="B233" s="41">
        <v>46177</v>
      </c>
      <c r="C233" s="4" t="s">
        <v>35</v>
      </c>
      <c r="D233" s="43" t="s">
        <v>126</v>
      </c>
      <c r="E233" s="4" t="s">
        <v>37</v>
      </c>
      <c r="F233" s="43" t="s">
        <v>10</v>
      </c>
      <c r="G233" s="43" t="s">
        <v>44</v>
      </c>
      <c r="H233" s="4" t="str">
        <f>IFERROR(_xlfn.XLOOKUP(G233,Listas!E:E,Listas!F:F,""),"")</f>
        <v>Operativo</v>
      </c>
      <c r="I233" s="52" t="str">
        <f>IFERROR(_xlfn.XLOOKUP(G233,Listas!E:E,Listas!G:G,""),"")</f>
        <v>Externo</v>
      </c>
      <c r="J233" s="45">
        <v>15</v>
      </c>
      <c r="K233" s="5">
        <v>-15</v>
      </c>
      <c r="L233" s="15" t="s">
        <v>128</v>
      </c>
      <c r="M233" s="46">
        <v>2422.7400000000016</v>
      </c>
      <c r="N233" s="27" t="str">
        <f>IF(tblMovimientos[[#This Row],[Tipo de Movimiento]]="Ingreso",tblMovimientos[[#This Row],[Monto (S/)]],"0")</f>
        <v>0</v>
      </c>
      <c r="O233" s="27">
        <f>IF(tblMovimientos[[#This Row],[Tipo de Movimiento]]="Egreso",tblMovimientos[[#This Row],[Monto (S/)]],"0")</f>
        <v>15</v>
      </c>
      <c r="P233" s="29">
        <f>IF(tblMovimientos[[#This Row],[Tipo de Movimiento]]="Ingreso",tblMovimientos[[#This Row],[Ingreso]],-tblMovimientos[[#This Row],[Egreso]])</f>
        <v>-15</v>
      </c>
    </row>
    <row r="234" spans="2:16" x14ac:dyDescent="0.3">
      <c r="B234" s="41">
        <v>46175</v>
      </c>
      <c r="C234" s="4" t="s">
        <v>31</v>
      </c>
      <c r="D234" s="43" t="s">
        <v>121</v>
      </c>
      <c r="E234" s="4" t="s">
        <v>36</v>
      </c>
      <c r="F234" s="43" t="s">
        <v>10</v>
      </c>
      <c r="G234" s="43" t="s">
        <v>38</v>
      </c>
      <c r="H234" s="4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45">
        <v>626.29999999999995</v>
      </c>
      <c r="K234" s="5">
        <v>-626.29999999999995</v>
      </c>
      <c r="L234" s="15" t="s">
        <v>128</v>
      </c>
      <c r="M234" s="46">
        <v>25459.549999999963</v>
      </c>
      <c r="N234" s="27" t="str">
        <f>IF(tblMovimientos[[#This Row],[Tipo de Movimiento]]="Ingreso",tblMovimientos[[#This Row],[Monto (S/)]],"0")</f>
        <v>0</v>
      </c>
      <c r="O234" s="27">
        <f>IF(tblMovimientos[[#This Row],[Tipo de Movimiento]]="Egreso",tblMovimientos[[#This Row],[Monto (S/)]],"0")</f>
        <v>626.29999999999995</v>
      </c>
      <c r="P234" s="29">
        <f>IF(tblMovimientos[[#This Row],[Tipo de Movimiento]]="Ingreso",tblMovimientos[[#This Row],[Ingreso]],-tblMovimientos[[#This Row],[Egreso]])</f>
        <v>-626.29999999999995</v>
      </c>
    </row>
    <row r="235" spans="2:16" x14ac:dyDescent="0.3">
      <c r="B235" s="41">
        <v>46177</v>
      </c>
      <c r="C235" s="4" t="s">
        <v>35</v>
      </c>
      <c r="D235" s="43" t="s">
        <v>126</v>
      </c>
      <c r="E235" s="4" t="s">
        <v>37</v>
      </c>
      <c r="F235" s="43" t="s">
        <v>10</v>
      </c>
      <c r="G235" s="43" t="s">
        <v>44</v>
      </c>
      <c r="H235" s="4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45">
        <v>15</v>
      </c>
      <c r="K235" s="5">
        <v>-15</v>
      </c>
      <c r="L235" s="15" t="s">
        <v>128</v>
      </c>
      <c r="M235" s="46">
        <v>2422.7400000000016</v>
      </c>
      <c r="N235" s="27" t="str">
        <f>IF(tblMovimientos[[#This Row],[Tipo de Movimiento]]="Ingreso",tblMovimientos[[#This Row],[Monto (S/)]],"0")</f>
        <v>0</v>
      </c>
      <c r="O235" s="27">
        <f>IF(tblMovimientos[[#This Row],[Tipo de Movimiento]]="Egreso",tblMovimientos[[#This Row],[Monto (S/)]],"0")</f>
        <v>15</v>
      </c>
      <c r="P235" s="29">
        <f>IF(tblMovimientos[[#This Row],[Tipo de Movimiento]]="Ingreso",tblMovimientos[[#This Row],[Ingreso]],-tblMovimientos[[#This Row],[Egreso]])</f>
        <v>-15</v>
      </c>
    </row>
    <row r="236" spans="2:16" x14ac:dyDescent="0.3">
      <c r="B236" s="41">
        <v>46176</v>
      </c>
      <c r="C236" s="4" t="s">
        <v>21</v>
      </c>
      <c r="D236" s="43" t="s">
        <v>101</v>
      </c>
      <c r="E236" s="4" t="s">
        <v>36</v>
      </c>
      <c r="F236" s="43" t="s">
        <v>10</v>
      </c>
      <c r="G236" s="43" t="s">
        <v>38</v>
      </c>
      <c r="H236" s="4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45">
        <v>290.01</v>
      </c>
      <c r="K236" s="5">
        <v>-290.01</v>
      </c>
      <c r="L236" s="15" t="s">
        <v>128</v>
      </c>
      <c r="M236" s="46">
        <v>10553.2</v>
      </c>
      <c r="N236" s="27" t="str">
        <f>IF(tblMovimientos[[#This Row],[Tipo de Movimiento]]="Ingreso",tblMovimientos[[#This Row],[Monto (S/)]],"0")</f>
        <v>0</v>
      </c>
      <c r="O236" s="27">
        <f>IF(tblMovimientos[[#This Row],[Tipo de Movimiento]]="Egreso",tblMovimientos[[#This Row],[Monto (S/)]],"0")</f>
        <v>290.01</v>
      </c>
      <c r="P236" s="29">
        <f>IF(tblMovimientos[[#This Row],[Tipo de Movimiento]]="Ingreso",tblMovimientos[[#This Row],[Ingreso]],-tblMovimientos[[#This Row],[Egreso]])</f>
        <v>-290.01</v>
      </c>
    </row>
    <row r="237" spans="2:16" x14ac:dyDescent="0.3">
      <c r="B237" s="41">
        <v>46176</v>
      </c>
      <c r="C237" s="4" t="s">
        <v>22</v>
      </c>
      <c r="D237" s="43" t="s">
        <v>110</v>
      </c>
      <c r="E237" s="4" t="s">
        <v>36</v>
      </c>
      <c r="F237" s="43" t="s">
        <v>10</v>
      </c>
      <c r="G237" s="43" t="s">
        <v>38</v>
      </c>
      <c r="H237" s="4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45">
        <v>6000</v>
      </c>
      <c r="K237" s="5">
        <v>-6000</v>
      </c>
      <c r="L237" s="15" t="s">
        <v>128</v>
      </c>
      <c r="M237" s="46">
        <v>51206.89</v>
      </c>
      <c r="N237" s="27" t="str">
        <f>IF(tblMovimientos[[#This Row],[Tipo de Movimiento]]="Ingreso",tblMovimientos[[#This Row],[Monto (S/)]],"0")</f>
        <v>0</v>
      </c>
      <c r="O237" s="27">
        <f>IF(tblMovimientos[[#This Row],[Tipo de Movimiento]]="Egreso",tblMovimientos[[#This Row],[Monto (S/)]],"0")</f>
        <v>6000</v>
      </c>
      <c r="P237" s="29">
        <f>IF(tblMovimientos[[#This Row],[Tipo de Movimiento]]="Ingreso",tblMovimientos[[#This Row],[Ingreso]],-tblMovimientos[[#This Row],[Egreso]])</f>
        <v>-6000</v>
      </c>
    </row>
    <row r="238" spans="2:16" x14ac:dyDescent="0.3">
      <c r="B238" s="41">
        <v>46177</v>
      </c>
      <c r="C238" s="4" t="s">
        <v>21</v>
      </c>
      <c r="D238" s="43" t="s">
        <v>101</v>
      </c>
      <c r="E238" s="4" t="s">
        <v>36</v>
      </c>
      <c r="F238" s="43" t="s">
        <v>9</v>
      </c>
      <c r="G238" s="43" t="s">
        <v>68</v>
      </c>
      <c r="H238" s="4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45">
        <v>15307.88</v>
      </c>
      <c r="K238" s="5">
        <v>15307.88</v>
      </c>
      <c r="L238" s="15" t="s">
        <v>128</v>
      </c>
      <c r="M238" s="46">
        <v>25322.66</v>
      </c>
      <c r="N238" s="27">
        <f>IF(tblMovimientos[[#This Row],[Tipo de Movimiento]]="Ingreso",tblMovimientos[[#This Row],[Monto (S/)]],"0")</f>
        <v>15307.88</v>
      </c>
      <c r="O238" s="27" t="str">
        <f>IF(tblMovimientos[[#This Row],[Tipo de Movimiento]]="Egreso",tblMovimientos[[#This Row],[Monto (S/)]],"0")</f>
        <v>0</v>
      </c>
      <c r="P238" s="29">
        <f>IF(tblMovimientos[[#This Row],[Tipo de Movimiento]]="Ingreso",tblMovimientos[[#This Row],[Ingreso]],-tblMovimientos[[#This Row],[Egreso]])</f>
        <v>15307.88</v>
      </c>
    </row>
    <row r="239" spans="2:16" x14ac:dyDescent="0.3">
      <c r="B239" s="41">
        <v>46177</v>
      </c>
      <c r="C239" s="4" t="s">
        <v>21</v>
      </c>
      <c r="D239" s="43" t="s">
        <v>101</v>
      </c>
      <c r="E239" s="4" t="s">
        <v>36</v>
      </c>
      <c r="F239" s="43" t="s">
        <v>10</v>
      </c>
      <c r="G239" s="43" t="s">
        <v>38</v>
      </c>
      <c r="H239" s="4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45">
        <v>538.41999999999996</v>
      </c>
      <c r="K239" s="5">
        <v>-538.41999999999996</v>
      </c>
      <c r="L239" s="15" t="s">
        <v>128</v>
      </c>
      <c r="M239" s="46">
        <v>25322.66</v>
      </c>
      <c r="N239" s="27" t="str">
        <f>IF(tblMovimientos[[#This Row],[Tipo de Movimiento]]="Ingreso",tblMovimientos[[#This Row],[Monto (S/)]],"0")</f>
        <v>0</v>
      </c>
      <c r="O239" s="27">
        <f>IF(tblMovimientos[[#This Row],[Tipo de Movimiento]]="Egreso",tblMovimientos[[#This Row],[Monto (S/)]],"0")</f>
        <v>538.41999999999996</v>
      </c>
      <c r="P239" s="29">
        <f>IF(tblMovimientos[[#This Row],[Tipo de Movimiento]]="Ingreso",tblMovimientos[[#This Row],[Ingreso]],-tblMovimientos[[#This Row],[Egreso]])</f>
        <v>-538.41999999999996</v>
      </c>
    </row>
    <row r="240" spans="2:16" x14ac:dyDescent="0.3">
      <c r="B240" s="41">
        <v>46177</v>
      </c>
      <c r="C240" s="4" t="s">
        <v>20</v>
      </c>
      <c r="D240" s="43" t="s">
        <v>100</v>
      </c>
      <c r="E240" s="4" t="s">
        <v>36</v>
      </c>
      <c r="F240" s="43" t="s">
        <v>10</v>
      </c>
      <c r="G240" s="43" t="s">
        <v>61</v>
      </c>
      <c r="H240" s="4" t="str">
        <f>IFERROR(_xlfn.XLOOKUP(G240,Listas!E:E,Listas!F:F,""),"")</f>
        <v>Operativo</v>
      </c>
      <c r="I240" s="52" t="str">
        <f>IFERROR(_xlfn.XLOOKUP(G240,Listas!E:E,Listas!G:G,""),"")</f>
        <v>Externo</v>
      </c>
      <c r="J240" s="45">
        <v>60000</v>
      </c>
      <c r="K240" s="5">
        <v>-60000</v>
      </c>
      <c r="L240" s="15" t="s">
        <v>128</v>
      </c>
      <c r="M240" s="46">
        <v>729545.23999999987</v>
      </c>
      <c r="N240" s="27" t="str">
        <f>IF(tblMovimientos[[#This Row],[Tipo de Movimiento]]="Ingreso",tblMovimientos[[#This Row],[Monto (S/)]],"0")</f>
        <v>0</v>
      </c>
      <c r="O240" s="27">
        <f>IF(tblMovimientos[[#This Row],[Tipo de Movimiento]]="Egreso",tblMovimientos[[#This Row],[Monto (S/)]],"0")</f>
        <v>60000</v>
      </c>
      <c r="P240" s="29">
        <f>IF(tblMovimientos[[#This Row],[Tipo de Movimiento]]="Ingreso",tblMovimientos[[#This Row],[Ingreso]],-tblMovimientos[[#This Row],[Egreso]])</f>
        <v>-60000</v>
      </c>
    </row>
    <row r="241" spans="2:16" x14ac:dyDescent="0.3">
      <c r="B241" s="41">
        <v>46177</v>
      </c>
      <c r="C241" s="4" t="s">
        <v>20</v>
      </c>
      <c r="D241" s="43" t="s">
        <v>100</v>
      </c>
      <c r="E241" s="4" t="s">
        <v>36</v>
      </c>
      <c r="F241" s="43" t="s">
        <v>10</v>
      </c>
      <c r="G241" s="43" t="s">
        <v>49</v>
      </c>
      <c r="H241" s="4" t="str">
        <f>IFERROR(_xlfn.XLOOKUP(G241,Listas!E:E,Listas!F:F,""),"")</f>
        <v>Financiamiento</v>
      </c>
      <c r="I241" s="52" t="str">
        <f>IFERROR(_xlfn.XLOOKUP(G241,Listas!E:E,Listas!G:G,""),"")</f>
        <v>Externo</v>
      </c>
      <c r="J241" s="45">
        <v>15307.88</v>
      </c>
      <c r="K241" s="5">
        <v>-15307.88</v>
      </c>
      <c r="L241" s="15" t="s">
        <v>128</v>
      </c>
      <c r="M241" s="46">
        <v>729545.23999999987</v>
      </c>
      <c r="N241" s="27" t="str">
        <f>IF(tblMovimientos[[#This Row],[Tipo de Movimiento]]="Ingreso",tblMovimientos[[#This Row],[Monto (S/)]],"0")</f>
        <v>0</v>
      </c>
      <c r="O241" s="27">
        <f>IF(tblMovimientos[[#This Row],[Tipo de Movimiento]]="Egreso",tblMovimientos[[#This Row],[Monto (S/)]],"0")</f>
        <v>15307.88</v>
      </c>
      <c r="P241" s="29">
        <f>IF(tblMovimientos[[#This Row],[Tipo de Movimiento]]="Ingreso",tblMovimientos[[#This Row],[Ingreso]],-tblMovimientos[[#This Row],[Egreso]])</f>
        <v>-15307.88</v>
      </c>
    </row>
    <row r="242" spans="2:16" x14ac:dyDescent="0.3">
      <c r="B242" s="41">
        <v>46177</v>
      </c>
      <c r="C242" s="4" t="s">
        <v>17</v>
      </c>
      <c r="D242" s="43" t="s">
        <v>94</v>
      </c>
      <c r="E242" s="4" t="s">
        <v>36</v>
      </c>
      <c r="F242" s="43" t="s">
        <v>10</v>
      </c>
      <c r="G242" s="43" t="s">
        <v>64</v>
      </c>
      <c r="H242" s="4" t="str">
        <f>IFERROR(_xlfn.XLOOKUP(G242,Listas!E:E,Listas!F:F,""),"")</f>
        <v>Operativo</v>
      </c>
      <c r="I242" s="52" t="str">
        <f>IFERROR(_xlfn.XLOOKUP(G242,Listas!E:E,Listas!G:G,""),"")</f>
        <v>Interno</v>
      </c>
      <c r="J242" s="45">
        <v>185000</v>
      </c>
      <c r="K242" s="5">
        <v>-185000</v>
      </c>
      <c r="L242" s="15" t="s">
        <v>128</v>
      </c>
      <c r="M242" s="46">
        <v>8489.5799999999872</v>
      </c>
      <c r="N242" s="27" t="str">
        <f>IF(tblMovimientos[[#This Row],[Tipo de Movimiento]]="Ingreso",tblMovimientos[[#This Row],[Monto (S/)]],"0")</f>
        <v>0</v>
      </c>
      <c r="O242" s="27">
        <f>IF(tblMovimientos[[#This Row],[Tipo de Movimiento]]="Egreso",tblMovimientos[[#This Row],[Monto (S/)]],"0")</f>
        <v>185000</v>
      </c>
      <c r="P242" s="29">
        <f>IF(tblMovimientos[[#This Row],[Tipo de Movimiento]]="Ingreso",tblMovimientos[[#This Row],[Ingreso]],-tblMovimientos[[#This Row],[Egreso]])</f>
        <v>-185000</v>
      </c>
    </row>
    <row r="243" spans="2:16" x14ac:dyDescent="0.3">
      <c r="B243" s="41">
        <v>46177</v>
      </c>
      <c r="C243" s="4" t="s">
        <v>17</v>
      </c>
      <c r="D243" s="43" t="s">
        <v>95</v>
      </c>
      <c r="E243" s="4" t="s">
        <v>37</v>
      </c>
      <c r="F243" s="43" t="s">
        <v>9</v>
      </c>
      <c r="G243" s="43" t="s">
        <v>85</v>
      </c>
      <c r="H243" s="4" t="str">
        <f>IFERROR(_xlfn.XLOOKUP(G243,Listas!E:E,Listas!F:F,""),"")</f>
        <v>Operativo</v>
      </c>
      <c r="I243" s="52" t="str">
        <f>IFERROR(_xlfn.XLOOKUP(G243,Listas!E:E,Listas!G:G,""),"")</f>
        <v>Interno</v>
      </c>
      <c r="J243" s="45">
        <v>185000</v>
      </c>
      <c r="K243" s="5">
        <v>185000</v>
      </c>
      <c r="L243" s="15" t="s">
        <v>128</v>
      </c>
      <c r="M243" s="46">
        <v>719648.53</v>
      </c>
      <c r="N243" s="27">
        <f>IF(tblMovimientos[[#This Row],[Tipo de Movimiento]]="Ingreso",tblMovimientos[[#This Row],[Monto (S/)]],"0")</f>
        <v>185000</v>
      </c>
      <c r="O243" s="27" t="str">
        <f>IF(tblMovimientos[[#This Row],[Tipo de Movimiento]]="Egreso",tblMovimientos[[#This Row],[Monto (S/)]],"0")</f>
        <v>0</v>
      </c>
      <c r="P243" s="29">
        <f>IF(tblMovimientos[[#This Row],[Tipo de Movimiento]]="Ingreso",tblMovimientos[[#This Row],[Ingreso]],-tblMovimientos[[#This Row],[Egreso]])</f>
        <v>185000</v>
      </c>
    </row>
    <row r="244" spans="2:16" x14ac:dyDescent="0.3">
      <c r="B244" s="41">
        <v>46177</v>
      </c>
      <c r="C244" s="4" t="s">
        <v>17</v>
      </c>
      <c r="D244" s="43" t="s">
        <v>95</v>
      </c>
      <c r="E244" s="4" t="s">
        <v>37</v>
      </c>
      <c r="F244" s="43" t="s">
        <v>10</v>
      </c>
      <c r="G244" s="43" t="s">
        <v>61</v>
      </c>
      <c r="H244" s="4" t="str">
        <f>IFERROR(_xlfn.XLOOKUP(G244,Listas!E:E,Listas!F:F,""),"")</f>
        <v>Operativo</v>
      </c>
      <c r="I244" s="52" t="str">
        <f>IFERROR(_xlfn.XLOOKUP(G244,Listas!E:E,Listas!G:G,""),"")</f>
        <v>Externo</v>
      </c>
      <c r="J244" s="45">
        <v>30000</v>
      </c>
      <c r="K244" s="5">
        <v>-30000</v>
      </c>
      <c r="L244" s="15" t="s">
        <v>128</v>
      </c>
      <c r="M244" s="46">
        <v>719648.53</v>
      </c>
      <c r="N244" s="27" t="str">
        <f>IF(tblMovimientos[[#This Row],[Tipo de Movimiento]]="Ingreso",tblMovimientos[[#This Row],[Monto (S/)]],"0")</f>
        <v>0</v>
      </c>
      <c r="O244" s="27">
        <f>IF(tblMovimientos[[#This Row],[Tipo de Movimiento]]="Egreso",tblMovimientos[[#This Row],[Monto (S/)]],"0")</f>
        <v>30000</v>
      </c>
      <c r="P244" s="29">
        <f>IF(tblMovimientos[[#This Row],[Tipo de Movimiento]]="Ingreso",tblMovimientos[[#This Row],[Ingreso]],-tblMovimientos[[#This Row],[Egreso]])</f>
        <v>-30000</v>
      </c>
    </row>
    <row r="245" spans="2:16" x14ac:dyDescent="0.3">
      <c r="B245" s="41">
        <v>46177</v>
      </c>
      <c r="C245" s="4" t="s">
        <v>17</v>
      </c>
      <c r="D245" s="43" t="s">
        <v>95</v>
      </c>
      <c r="E245" s="4" t="s">
        <v>37</v>
      </c>
      <c r="F245" s="43" t="s">
        <v>10</v>
      </c>
      <c r="G245" s="43" t="s">
        <v>61</v>
      </c>
      <c r="H245" s="4" t="str">
        <f>IFERROR(_xlfn.XLOOKUP(G245,Listas!E:E,Listas!F:F,""),"")</f>
        <v>Operativo</v>
      </c>
      <c r="I245" s="52" t="str">
        <f>IFERROR(_xlfn.XLOOKUP(G245,Listas!E:E,Listas!G:G,""),"")</f>
        <v>Externo</v>
      </c>
      <c r="J245" s="45">
        <v>70000</v>
      </c>
      <c r="K245" s="5">
        <v>-70000</v>
      </c>
      <c r="L245" s="15" t="s">
        <v>128</v>
      </c>
      <c r="M245" s="46">
        <v>719648.53</v>
      </c>
      <c r="N245" s="27" t="str">
        <f>IF(tblMovimientos[[#This Row],[Tipo de Movimiento]]="Ingreso",tblMovimientos[[#This Row],[Monto (S/)]],"0")</f>
        <v>0</v>
      </c>
      <c r="O245" s="27">
        <f>IF(tblMovimientos[[#This Row],[Tipo de Movimiento]]="Egreso",tblMovimientos[[#This Row],[Monto (S/)]],"0")</f>
        <v>70000</v>
      </c>
      <c r="P245" s="29">
        <f>IF(tblMovimientos[[#This Row],[Tipo de Movimiento]]="Ingreso",tblMovimientos[[#This Row],[Ingreso]],-tblMovimientos[[#This Row],[Egreso]])</f>
        <v>-70000</v>
      </c>
    </row>
    <row r="246" spans="2:16" x14ac:dyDescent="0.3">
      <c r="B246" s="41">
        <v>46177</v>
      </c>
      <c r="C246" s="4" t="s">
        <v>17</v>
      </c>
      <c r="D246" s="43" t="s">
        <v>95</v>
      </c>
      <c r="E246" s="4" t="s">
        <v>37</v>
      </c>
      <c r="F246" s="43" t="s">
        <v>10</v>
      </c>
      <c r="G246" s="43" t="s">
        <v>50</v>
      </c>
      <c r="H246" s="4" t="str">
        <f>IFERROR(_xlfn.XLOOKUP(G246,Listas!E:E,Listas!F:F,""),"")</f>
        <v>Financiamiento</v>
      </c>
      <c r="I246" s="52" t="str">
        <f>IFERROR(_xlfn.XLOOKUP(G246,Listas!E:E,Listas!G:G,""),"")</f>
        <v>Externo</v>
      </c>
      <c r="J246" s="45">
        <v>150000</v>
      </c>
      <c r="K246" s="5">
        <v>-150000</v>
      </c>
      <c r="L246" s="15" t="s">
        <v>128</v>
      </c>
      <c r="M246" s="46">
        <v>719648.53</v>
      </c>
      <c r="N246" s="27" t="str">
        <f>IF(tblMovimientos[[#This Row],[Tipo de Movimiento]]="Ingreso",tblMovimientos[[#This Row],[Monto (S/)]],"0")</f>
        <v>0</v>
      </c>
      <c r="O246" s="27">
        <f>IF(tblMovimientos[[#This Row],[Tipo de Movimiento]]="Egreso",tblMovimientos[[#This Row],[Monto (S/)]],"0")</f>
        <v>150000</v>
      </c>
      <c r="P246" s="29">
        <f>IF(tblMovimientos[[#This Row],[Tipo de Movimiento]]="Ingreso",tblMovimientos[[#This Row],[Ingreso]],-tblMovimientos[[#This Row],[Egreso]])</f>
        <v>-150000</v>
      </c>
    </row>
    <row r="247" spans="2:16" x14ac:dyDescent="0.3">
      <c r="B247" s="41">
        <v>46177</v>
      </c>
      <c r="C247" s="4" t="s">
        <v>29</v>
      </c>
      <c r="D247" s="43" t="s">
        <v>119</v>
      </c>
      <c r="E247" s="4" t="s">
        <v>37</v>
      </c>
      <c r="F247" s="43" t="s">
        <v>10</v>
      </c>
      <c r="G247" s="43" t="s">
        <v>38</v>
      </c>
      <c r="H247" s="4" t="str">
        <f>IFERROR(_xlfn.XLOOKUP(G247,Listas!E:E,Listas!F:F,""),"")</f>
        <v>Operativo</v>
      </c>
      <c r="I247" s="52" t="str">
        <f>IFERROR(_xlfn.XLOOKUP(G247,Listas!E:E,Listas!G:G,""),"")</f>
        <v>Externo</v>
      </c>
      <c r="J247" s="45">
        <v>518.65</v>
      </c>
      <c r="K247" s="5">
        <v>-518.65</v>
      </c>
      <c r="L247" s="15" t="s">
        <v>128</v>
      </c>
      <c r="M247" s="46">
        <v>382.69000000000005</v>
      </c>
      <c r="N247" s="27" t="str">
        <f>IF(tblMovimientos[[#This Row],[Tipo de Movimiento]]="Ingreso",tblMovimientos[[#This Row],[Monto (S/)]],"0")</f>
        <v>0</v>
      </c>
      <c r="O247" s="27">
        <f>IF(tblMovimientos[[#This Row],[Tipo de Movimiento]]="Egreso",tblMovimientos[[#This Row],[Monto (S/)]],"0")</f>
        <v>518.65</v>
      </c>
      <c r="P247" s="29">
        <f>IF(tblMovimientos[[#This Row],[Tipo de Movimiento]]="Ingreso",tblMovimientos[[#This Row],[Ingreso]],-tblMovimientos[[#This Row],[Egreso]])</f>
        <v>-518.65</v>
      </c>
    </row>
    <row r="248" spans="2:16" x14ac:dyDescent="0.3">
      <c r="B248" s="41">
        <v>46177</v>
      </c>
      <c r="C248" s="4" t="s">
        <v>22</v>
      </c>
      <c r="D248" s="43" t="s">
        <v>111</v>
      </c>
      <c r="E248" s="4" t="s">
        <v>37</v>
      </c>
      <c r="F248" s="43" t="s">
        <v>10</v>
      </c>
      <c r="G248" s="43" t="s">
        <v>64</v>
      </c>
      <c r="H248" s="4" t="str">
        <f>IFERROR(_xlfn.XLOOKUP(G248,Listas!E:E,Listas!F:F,""),"")</f>
        <v>Operativo</v>
      </c>
      <c r="I248" s="52" t="str">
        <f>IFERROR(_xlfn.XLOOKUP(G248,Listas!E:E,Listas!G:G,""),"")</f>
        <v>Interno</v>
      </c>
      <c r="J248" s="45">
        <v>9000</v>
      </c>
      <c r="K248" s="5">
        <v>-9000</v>
      </c>
      <c r="L248" s="15" t="s">
        <v>128</v>
      </c>
      <c r="M248" s="46">
        <v>1717.6000000000058</v>
      </c>
      <c r="N248" s="27" t="str">
        <f>IF(tblMovimientos[[#This Row],[Tipo de Movimiento]]="Ingreso",tblMovimientos[[#This Row],[Monto (S/)]],"0")</f>
        <v>0</v>
      </c>
      <c r="O248" s="27">
        <f>IF(tblMovimientos[[#This Row],[Tipo de Movimiento]]="Egreso",tblMovimientos[[#This Row],[Monto (S/)]],"0")</f>
        <v>9000</v>
      </c>
      <c r="P248" s="29">
        <f>IF(tblMovimientos[[#This Row],[Tipo de Movimiento]]="Ingreso",tblMovimientos[[#This Row],[Ingreso]],-tblMovimientos[[#This Row],[Egreso]])</f>
        <v>-9000</v>
      </c>
    </row>
    <row r="249" spans="2:16" x14ac:dyDescent="0.3">
      <c r="B249" s="41">
        <v>46177</v>
      </c>
      <c r="C249" s="4" t="s">
        <v>21</v>
      </c>
      <c r="D249" s="43" t="s">
        <v>104</v>
      </c>
      <c r="E249" s="4" t="s">
        <v>37</v>
      </c>
      <c r="F249" s="43" t="s">
        <v>9</v>
      </c>
      <c r="G249" s="43" t="s">
        <v>75</v>
      </c>
      <c r="H249" s="4" t="str">
        <f>IFERROR(_xlfn.XLOOKUP(G249,Listas!E:E,Listas!F:F,""),"")</f>
        <v>Financiamiento</v>
      </c>
      <c r="I249" s="52" t="str">
        <f>IFERROR(_xlfn.XLOOKUP(G249,Listas!E:E,Listas!G:G,""),"")</f>
        <v>Interno</v>
      </c>
      <c r="J249" s="45">
        <v>150000</v>
      </c>
      <c r="K249" s="5">
        <v>150000</v>
      </c>
      <c r="L249" s="15" t="s">
        <v>128</v>
      </c>
      <c r="M249" s="46">
        <v>386254.63999999932</v>
      </c>
      <c r="N249" s="27">
        <f>IF(tblMovimientos[[#This Row],[Tipo de Movimiento]]="Ingreso",tblMovimientos[[#This Row],[Monto (S/)]],"0")</f>
        <v>150000</v>
      </c>
      <c r="O249" s="27" t="str">
        <f>IF(tblMovimientos[[#This Row],[Tipo de Movimiento]]="Egreso",tblMovimientos[[#This Row],[Monto (S/)]],"0")</f>
        <v>0</v>
      </c>
      <c r="P249" s="29">
        <f>IF(tblMovimientos[[#This Row],[Tipo de Movimiento]]="Ingreso",tblMovimientos[[#This Row],[Ingreso]],-tblMovimientos[[#This Row],[Egreso]])</f>
        <v>150000</v>
      </c>
    </row>
    <row r="250" spans="2:16" x14ac:dyDescent="0.3">
      <c r="B250" s="41">
        <v>46177</v>
      </c>
      <c r="C250" s="4" t="s">
        <v>21</v>
      </c>
      <c r="D250" s="43" t="s">
        <v>104</v>
      </c>
      <c r="E250" s="4" t="s">
        <v>37</v>
      </c>
      <c r="F250" s="43" t="s">
        <v>10</v>
      </c>
      <c r="G250" s="43" t="s">
        <v>46</v>
      </c>
      <c r="H250" s="4" t="str">
        <f>IFERROR(_xlfn.XLOOKUP(G250,Listas!E:E,Listas!F:F,""),"")</f>
        <v>Financiamiento</v>
      </c>
      <c r="I250" s="52" t="str">
        <f>IFERROR(_xlfn.XLOOKUP(G250,Listas!E:E,Listas!G:G,""),"")</f>
        <v>Externo</v>
      </c>
      <c r="J250" s="45">
        <v>8666.67</v>
      </c>
      <c r="K250" s="5">
        <v>-8666.67</v>
      </c>
      <c r="L250" s="15" t="s">
        <v>128</v>
      </c>
      <c r="M250" s="46">
        <v>386254.63999999932</v>
      </c>
      <c r="N250" s="27" t="str">
        <f>IF(tblMovimientos[[#This Row],[Tipo de Movimiento]]="Ingreso",tblMovimientos[[#This Row],[Monto (S/)]],"0")</f>
        <v>0</v>
      </c>
      <c r="O250" s="27">
        <f>IF(tblMovimientos[[#This Row],[Tipo de Movimiento]]="Egreso",tblMovimientos[[#This Row],[Monto (S/)]],"0")</f>
        <v>8666.67</v>
      </c>
      <c r="P250" s="29">
        <f>IF(tblMovimientos[[#This Row],[Tipo de Movimiento]]="Ingreso",tblMovimientos[[#This Row],[Ingreso]],-tblMovimientos[[#This Row],[Egreso]])</f>
        <v>-8666.67</v>
      </c>
    </row>
    <row r="251" spans="2:16" x14ac:dyDescent="0.3">
      <c r="B251" s="41">
        <v>46177</v>
      </c>
      <c r="C251" s="4" t="s">
        <v>34</v>
      </c>
      <c r="D251" s="43" t="s">
        <v>125</v>
      </c>
      <c r="E251" s="4" t="s">
        <v>37</v>
      </c>
      <c r="F251" s="43" t="s">
        <v>9</v>
      </c>
      <c r="G251" s="43" t="s">
        <v>85</v>
      </c>
      <c r="H251" s="4" t="str">
        <f>IFERROR(_xlfn.XLOOKUP(G251,Listas!E:E,Listas!F:F,""),"")</f>
        <v>Operativo</v>
      </c>
      <c r="I251" s="52" t="str">
        <f>IFERROR(_xlfn.XLOOKUP(G251,Listas!E:E,Listas!G:G,""),"")</f>
        <v>Interno</v>
      </c>
      <c r="J251" s="45">
        <v>9000</v>
      </c>
      <c r="K251" s="5">
        <v>9000</v>
      </c>
      <c r="L251" s="15" t="s">
        <v>128</v>
      </c>
      <c r="M251" s="46">
        <v>345</v>
      </c>
      <c r="N251" s="27">
        <f>IF(tblMovimientos[[#This Row],[Tipo de Movimiento]]="Ingreso",tblMovimientos[[#This Row],[Monto (S/)]],"0")</f>
        <v>9000</v>
      </c>
      <c r="O251" s="27" t="str">
        <f>IF(tblMovimientos[[#This Row],[Tipo de Movimiento]]="Egreso",tblMovimientos[[#This Row],[Monto (S/)]],"0")</f>
        <v>0</v>
      </c>
      <c r="P251" s="29">
        <f>IF(tblMovimientos[[#This Row],[Tipo de Movimiento]]="Ingreso",tblMovimientos[[#This Row],[Ingreso]],-tblMovimientos[[#This Row],[Egreso]])</f>
        <v>9000</v>
      </c>
    </row>
    <row r="252" spans="2:16" x14ac:dyDescent="0.3">
      <c r="B252" s="41">
        <v>46177</v>
      </c>
      <c r="C252" s="4" t="s">
        <v>34</v>
      </c>
      <c r="D252" s="43" t="s">
        <v>125</v>
      </c>
      <c r="E252" s="4" t="s">
        <v>37</v>
      </c>
      <c r="F252" s="43" t="s">
        <v>10</v>
      </c>
      <c r="G252" s="43" t="s">
        <v>64</v>
      </c>
      <c r="H252" s="4" t="str">
        <f>IFERROR(_xlfn.XLOOKUP(G252,Listas!E:E,Listas!F:F,""),"")</f>
        <v>Operativo</v>
      </c>
      <c r="I252" s="52" t="str">
        <f>IFERROR(_xlfn.XLOOKUP(G252,Listas!E:E,Listas!G:G,""),"")</f>
        <v>Interno</v>
      </c>
      <c r="J252" s="45">
        <v>9000</v>
      </c>
      <c r="K252" s="5">
        <v>-9000</v>
      </c>
      <c r="L252" s="15" t="s">
        <v>128</v>
      </c>
      <c r="M252" s="46">
        <v>345</v>
      </c>
      <c r="N252" s="27" t="str">
        <f>IF(tblMovimientos[[#This Row],[Tipo de Movimiento]]="Ingreso",tblMovimientos[[#This Row],[Monto (S/)]],"0")</f>
        <v>0</v>
      </c>
      <c r="O252" s="27">
        <f>IF(tblMovimientos[[#This Row],[Tipo de Movimiento]]="Egreso",tblMovimientos[[#This Row],[Monto (S/)]],"0")</f>
        <v>9000</v>
      </c>
      <c r="P252" s="29">
        <f>IF(tblMovimientos[[#This Row],[Tipo de Movimiento]]="Ingreso",tblMovimientos[[#This Row],[Ingreso]],-tblMovimientos[[#This Row],[Egreso]])</f>
        <v>-9000</v>
      </c>
    </row>
    <row r="253" spans="2:16" x14ac:dyDescent="0.3">
      <c r="B253" s="41">
        <v>46184</v>
      </c>
      <c r="C253" s="4" t="str">
        <f>_xlfn.XLOOKUP(tblMovimientos[[#This Row],[Cuenta Bancaria]],Listas!$B:$B,Listas!$A:$A,"")</f>
        <v>Go Blue</v>
      </c>
      <c r="D253" s="43" t="s">
        <v>126</v>
      </c>
      <c r="E253" s="4" t="str">
        <f>_xlfn.XLOOKUP(tblMovimientos[[#This Row],[Cuenta Bancaria]],Listas!$B:$B,Listas!$C:$C,"")</f>
        <v xml:space="preserve">Amerant Bank </v>
      </c>
      <c r="F253" s="43" t="s">
        <v>10</v>
      </c>
      <c r="G253" s="43" t="s">
        <v>44</v>
      </c>
      <c r="H253" s="4" t="str">
        <f>IFERROR(_xlfn.XLOOKUP(G253,Listas!E:E,Listas!F:F,""),"")</f>
        <v>Operativo</v>
      </c>
      <c r="I253" s="52" t="str">
        <f>IFERROR(_xlfn.XLOOKUP(G253,Listas!E:E,Listas!G:G,""),"")</f>
        <v>Externo</v>
      </c>
      <c r="J253" s="45">
        <v>15</v>
      </c>
      <c r="K253" s="5">
        <f>IF(F253="Ingreso",J253,-J253)</f>
        <v>-15</v>
      </c>
      <c r="L253" s="15" t="s">
        <v>128</v>
      </c>
      <c r="M253" s="46">
        <f>SUMIFS('Saldos Iniciales'!$D$2:$D$38,'Saldos Iniciales'!$A$2:$A$38,C253,'Saldos Iniciales'!$B$2:$B$38,D253)+SUMIFS($K$1:$K$363,$C$1:$C$363,C253,$D$1:$D$363,D253,$B$1:$B$363,"&lt;="&amp;B253)</f>
        <v>48774.73</v>
      </c>
      <c r="N253" s="27" t="str">
        <f>IF(tblMovimientos[[#This Row],[Tipo de Movimiento]]="Ingreso",tblMovimientos[[#This Row],[Monto (S/)]],"0")</f>
        <v>0</v>
      </c>
      <c r="O253" s="27">
        <f>IF(tblMovimientos[[#This Row],[Tipo de Movimiento]]="Egreso",tblMovimientos[[#This Row],[Monto (S/)]],"0")</f>
        <v>15</v>
      </c>
      <c r="P253" s="29">
        <f>IF(tblMovimientos[[#This Row],[Tipo de Movimiento]]="Ingreso",tblMovimientos[[#This Row],[Ingreso]],-tblMovimientos[[#This Row],[Egreso]])</f>
        <v>-15</v>
      </c>
    </row>
    <row r="254" spans="2:16" x14ac:dyDescent="0.3">
      <c r="B254" s="41">
        <v>46182</v>
      </c>
      <c r="C254" s="4" t="s">
        <v>35</v>
      </c>
      <c r="D254" s="43" t="s">
        <v>126</v>
      </c>
      <c r="E254" s="4" t="s">
        <v>37</v>
      </c>
      <c r="F254" s="43" t="s">
        <v>10</v>
      </c>
      <c r="G254" s="43" t="s">
        <v>38</v>
      </c>
      <c r="H254" s="4" t="str">
        <f>IFERROR(_xlfn.XLOOKUP(G254,Listas!E:E,Listas!F:F,""),"")</f>
        <v>Operativo</v>
      </c>
      <c r="I254" s="52" t="str">
        <f>IFERROR(_xlfn.XLOOKUP(G254,Listas!E:E,Listas!G:G,""),"")</f>
        <v>Externo</v>
      </c>
      <c r="J254" s="45">
        <v>46.76</v>
      </c>
      <c r="K254" s="5">
        <v>-46.76</v>
      </c>
      <c r="L254" s="15" t="s">
        <v>128</v>
      </c>
      <c r="M254" s="46">
        <v>1289.7300000000014</v>
      </c>
      <c r="N254" s="27" t="str">
        <f>IF(tblMovimientos[[#This Row],[Tipo de Movimiento]]="Ingreso",tblMovimientos[[#This Row],[Monto (S/)]],"0")</f>
        <v>0</v>
      </c>
      <c r="O254" s="27">
        <f>IF(tblMovimientos[[#This Row],[Tipo de Movimiento]]="Egreso",tblMovimientos[[#This Row],[Monto (S/)]],"0")</f>
        <v>46.76</v>
      </c>
      <c r="P254" s="29">
        <f>IF(tblMovimientos[[#This Row],[Tipo de Movimiento]]="Ingreso",tblMovimientos[[#This Row],[Ingreso]],-tblMovimientos[[#This Row],[Egreso]])</f>
        <v>-46.76</v>
      </c>
    </row>
    <row r="255" spans="2:16" x14ac:dyDescent="0.3">
      <c r="B255" s="41">
        <v>46188</v>
      </c>
      <c r="C255" s="4" t="str">
        <f>_xlfn.XLOOKUP(tblMovimientos[[#This Row],[Cuenta Bancaria]],Listas!$B:$B,Listas!$A:$A,"")</f>
        <v>Go Blue</v>
      </c>
      <c r="D255" s="43" t="s">
        <v>126</v>
      </c>
      <c r="E255" s="4" t="str">
        <f>_xlfn.XLOOKUP(tblMovimientos[[#This Row],[Cuenta Bancaria]],Listas!$B:$B,Listas!$C:$C,"")</f>
        <v xml:space="preserve">Amerant Bank </v>
      </c>
      <c r="F255" s="43" t="s">
        <v>10</v>
      </c>
      <c r="G255" s="43" t="s">
        <v>38</v>
      </c>
      <c r="H255" s="4" t="str">
        <f>IFERROR(_xlfn.XLOOKUP(G255,Listas!E:E,Listas!F:F,""),"")</f>
        <v>Operativo</v>
      </c>
      <c r="I255" s="52" t="str">
        <f>IFERROR(_xlfn.XLOOKUP(G255,Listas!E:E,Listas!G:G,""),"")</f>
        <v>Externo</v>
      </c>
      <c r="J255" s="45">
        <v>50</v>
      </c>
      <c r="K255" s="5">
        <f>IF(F255="Ingreso",J255,-J255)</f>
        <v>-50</v>
      </c>
      <c r="L255" s="15" t="s">
        <v>128</v>
      </c>
      <c r="M255" s="46">
        <f>SUMIFS('Saldos Iniciales'!$D$2:$D$38,'Saldos Iniciales'!$A$2:$A$38,C255,'Saldos Iniciales'!$B$2:$B$38,D255)+SUMIFS($K$1:$K$363,$C$1:$C$363,C255,$D$1:$D$363,D255,$B$1:$B$363,"&lt;="&amp;B255)</f>
        <v>48724.73</v>
      </c>
      <c r="N255" s="27" t="str">
        <f>IF(tblMovimientos[[#This Row],[Tipo de Movimiento]]="Ingreso",tblMovimientos[[#This Row],[Monto (S/)]],"0")</f>
        <v>0</v>
      </c>
      <c r="O255" s="27">
        <f>IF(tblMovimientos[[#This Row],[Tipo de Movimiento]]="Egreso",tblMovimientos[[#This Row],[Monto (S/)]],"0")</f>
        <v>50</v>
      </c>
      <c r="P255" s="29">
        <f>IF(tblMovimientos[[#This Row],[Tipo de Movimiento]]="Ingreso",tblMovimientos[[#This Row],[Ingreso]],-tblMovimientos[[#This Row],[Egreso]])</f>
        <v>-50</v>
      </c>
    </row>
    <row r="256" spans="2:16" x14ac:dyDescent="0.3">
      <c r="B256" s="41">
        <v>46182</v>
      </c>
      <c r="C256" s="4" t="s">
        <v>35</v>
      </c>
      <c r="D256" s="43" t="s">
        <v>126</v>
      </c>
      <c r="E256" s="4" t="s">
        <v>37</v>
      </c>
      <c r="F256" s="43" t="s">
        <v>10</v>
      </c>
      <c r="G256" s="43" t="s">
        <v>38</v>
      </c>
      <c r="H256" s="4" t="str">
        <f>IFERROR(_xlfn.XLOOKUP(G256,Listas!E:E,Listas!F:F,""),"")</f>
        <v>Operativo</v>
      </c>
      <c r="I256" s="52" t="str">
        <f>IFERROR(_xlfn.XLOOKUP(G256,Listas!E:E,Listas!G:G,""),"")</f>
        <v>Externo</v>
      </c>
      <c r="J256" s="45">
        <v>114.66</v>
      </c>
      <c r="K256" s="5">
        <v>-114.66</v>
      </c>
      <c r="L256" s="15" t="s">
        <v>128</v>
      </c>
      <c r="M256" s="46">
        <v>1289.7300000000014</v>
      </c>
      <c r="N256" s="27" t="str">
        <f>IF(tblMovimientos[[#This Row],[Tipo de Movimiento]]="Ingreso",tblMovimientos[[#This Row],[Monto (S/)]],"0")</f>
        <v>0</v>
      </c>
      <c r="O256" s="27">
        <f>IF(tblMovimientos[[#This Row],[Tipo de Movimiento]]="Egreso",tblMovimientos[[#This Row],[Monto (S/)]],"0")</f>
        <v>114.66</v>
      </c>
      <c r="P256" s="29">
        <f>IF(tblMovimientos[[#This Row],[Tipo de Movimiento]]="Ingreso",tblMovimientos[[#This Row],[Ingreso]],-tblMovimientos[[#This Row],[Egreso]])</f>
        <v>-114.66</v>
      </c>
    </row>
    <row r="257" spans="2:16" x14ac:dyDescent="0.3">
      <c r="B257" s="41">
        <v>46174</v>
      </c>
      <c r="C257" s="4" t="s">
        <v>35</v>
      </c>
      <c r="D257" s="43" t="s">
        <v>126</v>
      </c>
      <c r="E257" s="4" t="s">
        <v>37</v>
      </c>
      <c r="F257" s="43" t="s">
        <v>10</v>
      </c>
      <c r="G257" s="43" t="s">
        <v>38</v>
      </c>
      <c r="H257" s="4" t="str">
        <f>IFERROR(_xlfn.XLOOKUP(G257,Listas!E:E,Listas!F:F,""),"")</f>
        <v>Operativo</v>
      </c>
      <c r="I257" s="52" t="str">
        <f>IFERROR(_xlfn.XLOOKUP(G257,Listas!E:E,Listas!G:G,""),"")</f>
        <v>Externo</v>
      </c>
      <c r="J257" s="45">
        <v>165</v>
      </c>
      <c r="K257" s="5">
        <v>-165</v>
      </c>
      <c r="L257" s="15" t="s">
        <v>128</v>
      </c>
      <c r="M257" s="46">
        <v>6824.47</v>
      </c>
      <c r="N257" s="27" t="str">
        <f>IF(tblMovimientos[[#This Row],[Tipo de Movimiento]]="Ingreso",tblMovimientos[[#This Row],[Monto (S/)]],"0")</f>
        <v>0</v>
      </c>
      <c r="O257" s="27">
        <f>IF(tblMovimientos[[#This Row],[Tipo de Movimiento]]="Egreso",tblMovimientos[[#This Row],[Monto (S/)]],"0")</f>
        <v>165</v>
      </c>
      <c r="P257" s="29">
        <f>IF(tblMovimientos[[#This Row],[Tipo de Movimiento]]="Ingreso",tblMovimientos[[#This Row],[Ingreso]],-tblMovimientos[[#This Row],[Egreso]])</f>
        <v>-165</v>
      </c>
    </row>
    <row r="258" spans="2:16" x14ac:dyDescent="0.3">
      <c r="B258" s="41">
        <v>46181</v>
      </c>
      <c r="C258" s="4" t="s">
        <v>35</v>
      </c>
      <c r="D258" s="43" t="s">
        <v>126</v>
      </c>
      <c r="E258" s="4" t="s">
        <v>37</v>
      </c>
      <c r="F258" s="43" t="s">
        <v>10</v>
      </c>
      <c r="G258" s="43" t="s">
        <v>38</v>
      </c>
      <c r="H258" s="4" t="str">
        <f>IFERROR(_xlfn.XLOOKUP(G258,Listas!E:E,Listas!F:F,""),"")</f>
        <v>Operativo</v>
      </c>
      <c r="I258" s="52" t="str">
        <f>IFERROR(_xlfn.XLOOKUP(G258,Listas!E:E,Listas!G:G,""),"")</f>
        <v>Externo</v>
      </c>
      <c r="J258" s="45">
        <v>232.06</v>
      </c>
      <c r="K258" s="5">
        <v>-232.06</v>
      </c>
      <c r="L258" s="15" t="s">
        <v>128</v>
      </c>
      <c r="M258" s="46">
        <v>1451.1500000000015</v>
      </c>
      <c r="N258" s="27" t="str">
        <f>IF(tblMovimientos[[#This Row],[Tipo de Movimiento]]="Ingreso",tblMovimientos[[#This Row],[Monto (S/)]],"0")</f>
        <v>0</v>
      </c>
      <c r="O258" s="27">
        <f>IF(tblMovimientos[[#This Row],[Tipo de Movimiento]]="Egreso",tblMovimientos[[#This Row],[Monto (S/)]],"0")</f>
        <v>232.06</v>
      </c>
      <c r="P258" s="29">
        <f>IF(tblMovimientos[[#This Row],[Tipo de Movimiento]]="Ingreso",tblMovimientos[[#This Row],[Ingreso]],-tblMovimientos[[#This Row],[Egreso]])</f>
        <v>-232.06</v>
      </c>
    </row>
    <row r="259" spans="2:16" x14ac:dyDescent="0.3">
      <c r="B259" s="41">
        <v>46177</v>
      </c>
      <c r="C259" s="4" t="s">
        <v>35</v>
      </c>
      <c r="D259" s="43" t="s">
        <v>126</v>
      </c>
      <c r="E259" s="4" t="s">
        <v>37</v>
      </c>
      <c r="F259" s="43" t="s">
        <v>10</v>
      </c>
      <c r="G259" s="43" t="s">
        <v>38</v>
      </c>
      <c r="H259" s="4" t="str">
        <f>IFERROR(_xlfn.XLOOKUP(G259,Listas!E:E,Listas!F:F,""),"")</f>
        <v>Operativo</v>
      </c>
      <c r="I259" s="52" t="str">
        <f>IFERROR(_xlfn.XLOOKUP(G259,Listas!E:E,Listas!G:G,""),"")</f>
        <v>Externo</v>
      </c>
      <c r="J259" s="45">
        <v>250</v>
      </c>
      <c r="K259" s="5">
        <v>-250</v>
      </c>
      <c r="L259" s="15" t="s">
        <v>128</v>
      </c>
      <c r="M259" s="46">
        <v>2422.7400000000016</v>
      </c>
      <c r="N259" s="27" t="str">
        <f>IF(tblMovimientos[[#This Row],[Tipo de Movimiento]]="Ingreso",tblMovimientos[[#This Row],[Monto (S/)]],"0")</f>
        <v>0</v>
      </c>
      <c r="O259" s="27">
        <f>IF(tblMovimientos[[#This Row],[Tipo de Movimiento]]="Egreso",tblMovimientos[[#This Row],[Monto (S/)]],"0")</f>
        <v>250</v>
      </c>
      <c r="P259" s="29">
        <f>IF(tblMovimientos[[#This Row],[Tipo de Movimiento]]="Ingreso",tblMovimientos[[#This Row],[Ingreso]],-tblMovimientos[[#This Row],[Egreso]])</f>
        <v>-250</v>
      </c>
    </row>
    <row r="260" spans="2:16" x14ac:dyDescent="0.3">
      <c r="B260" s="41">
        <v>46174</v>
      </c>
      <c r="C260" s="4" t="s">
        <v>35</v>
      </c>
      <c r="D260" s="43" t="s">
        <v>126</v>
      </c>
      <c r="E260" s="4" t="s">
        <v>37</v>
      </c>
      <c r="F260" s="43" t="s">
        <v>10</v>
      </c>
      <c r="G260" s="43" t="s">
        <v>38</v>
      </c>
      <c r="H260" s="4" t="str">
        <f>IFERROR(_xlfn.XLOOKUP(G260,Listas!E:E,Listas!F:F,""),"")</f>
        <v>Operativo</v>
      </c>
      <c r="I260" s="52" t="str">
        <f>IFERROR(_xlfn.XLOOKUP(G260,Listas!E:E,Listas!G:G,""),"")</f>
        <v>Externo</v>
      </c>
      <c r="J260" s="45">
        <v>493.38</v>
      </c>
      <c r="K260" s="5">
        <v>-493.38</v>
      </c>
      <c r="L260" s="15" t="s">
        <v>128</v>
      </c>
      <c r="M260" s="46">
        <v>6824.47</v>
      </c>
      <c r="N260" s="27" t="str">
        <f>IF(tblMovimientos[[#This Row],[Tipo de Movimiento]]="Ingreso",tblMovimientos[[#This Row],[Monto (S/)]],"0")</f>
        <v>0</v>
      </c>
      <c r="O260" s="27">
        <f>IF(tblMovimientos[[#This Row],[Tipo de Movimiento]]="Egreso",tblMovimientos[[#This Row],[Monto (S/)]],"0")</f>
        <v>493.38</v>
      </c>
      <c r="P260" s="29">
        <f>IF(tblMovimientos[[#This Row],[Tipo de Movimiento]]="Ingreso",tblMovimientos[[#This Row],[Ingreso]],-tblMovimientos[[#This Row],[Egreso]])</f>
        <v>-493.38</v>
      </c>
    </row>
    <row r="261" spans="2:16" x14ac:dyDescent="0.3">
      <c r="B261" s="41">
        <v>46178</v>
      </c>
      <c r="C261" s="4" t="s">
        <v>21</v>
      </c>
      <c r="D261" s="43" t="s">
        <v>101</v>
      </c>
      <c r="E261" s="4" t="s">
        <v>36</v>
      </c>
      <c r="F261" s="43" t="s">
        <v>10</v>
      </c>
      <c r="G261" s="43" t="s">
        <v>38</v>
      </c>
      <c r="H261" s="4" t="str">
        <f>IFERROR(_xlfn.XLOOKUP(G261,Listas!E:E,Listas!F:F,""),"")</f>
        <v>Operativo</v>
      </c>
      <c r="I261" s="52" t="str">
        <f>IFERROR(_xlfn.XLOOKUP(G261,Listas!E:E,Listas!G:G,""),"")</f>
        <v>Externo</v>
      </c>
      <c r="J261" s="45">
        <v>6.35</v>
      </c>
      <c r="K261" s="5">
        <v>-6.35</v>
      </c>
      <c r="L261" s="15" t="s">
        <v>128</v>
      </c>
      <c r="M261" s="46">
        <v>17636.53</v>
      </c>
      <c r="N261" s="27" t="str">
        <f>IF(tblMovimientos[[#This Row],[Tipo de Movimiento]]="Ingreso",tblMovimientos[[#This Row],[Monto (S/)]],"0")</f>
        <v>0</v>
      </c>
      <c r="O261" s="27">
        <f>IF(tblMovimientos[[#This Row],[Tipo de Movimiento]]="Egreso",tblMovimientos[[#This Row],[Monto (S/)]],"0")</f>
        <v>6.35</v>
      </c>
      <c r="P261" s="29">
        <f>IF(tblMovimientos[[#This Row],[Tipo de Movimiento]]="Ingreso",tblMovimientos[[#This Row],[Ingreso]],-tblMovimientos[[#This Row],[Egreso]])</f>
        <v>-6.35</v>
      </c>
    </row>
    <row r="262" spans="2:16" x14ac:dyDescent="0.3">
      <c r="B262" s="41">
        <v>46178</v>
      </c>
      <c r="C262" s="4" t="s">
        <v>21</v>
      </c>
      <c r="D262" s="43" t="s">
        <v>101</v>
      </c>
      <c r="E262" s="4" t="s">
        <v>36</v>
      </c>
      <c r="F262" s="43" t="s">
        <v>10</v>
      </c>
      <c r="G262" s="43" t="s">
        <v>41</v>
      </c>
      <c r="H262" s="4" t="str">
        <f>IFERROR(_xlfn.XLOOKUP(G262,Listas!E:E,Listas!F:F,""),"")</f>
        <v>Operativo</v>
      </c>
      <c r="I262" s="52" t="str">
        <f>IFERROR(_xlfn.XLOOKUP(G262,Listas!E:E,Listas!G:G,""),"")</f>
        <v>Externo</v>
      </c>
      <c r="J262" s="45">
        <v>7679.78</v>
      </c>
      <c r="K262" s="5">
        <v>-7679.78</v>
      </c>
      <c r="L262" s="15" t="s">
        <v>128</v>
      </c>
      <c r="M262" s="46">
        <v>17636.53</v>
      </c>
      <c r="N262" s="27" t="str">
        <f>IF(tblMovimientos[[#This Row],[Tipo de Movimiento]]="Ingreso",tblMovimientos[[#This Row],[Monto (S/)]],"0")</f>
        <v>0</v>
      </c>
      <c r="O262" s="27">
        <f>IF(tblMovimientos[[#This Row],[Tipo de Movimiento]]="Egreso",tblMovimientos[[#This Row],[Monto (S/)]],"0")</f>
        <v>7679.78</v>
      </c>
      <c r="P262" s="29">
        <f>IF(tblMovimientos[[#This Row],[Tipo de Movimiento]]="Ingreso",tblMovimientos[[#This Row],[Ingreso]],-tblMovimientos[[#This Row],[Egreso]])</f>
        <v>-7679.78</v>
      </c>
    </row>
    <row r="263" spans="2:16" x14ac:dyDescent="0.3">
      <c r="B263" s="41">
        <v>46189</v>
      </c>
      <c r="C263" s="4" t="str">
        <f>_xlfn.XLOOKUP(tblMovimientos[[#This Row],[Cuenta Bancaria]],Listas!$B:$B,Listas!$A:$A,"")</f>
        <v>Go Blue</v>
      </c>
      <c r="D263" s="43" t="s">
        <v>126</v>
      </c>
      <c r="E263" s="4" t="str">
        <f>_xlfn.XLOOKUP(tblMovimientos[[#This Row],[Cuenta Bancaria]],Listas!$B:$B,Listas!$C:$C,"")</f>
        <v xml:space="preserve">Amerant Bank </v>
      </c>
      <c r="F263" s="43" t="s">
        <v>10</v>
      </c>
      <c r="G263" s="43" t="s">
        <v>38</v>
      </c>
      <c r="H263" s="4" t="str">
        <f>IFERROR(_xlfn.XLOOKUP(G263,Listas!E:E,Listas!F:F,""),"")</f>
        <v>Operativo</v>
      </c>
      <c r="I263" s="52" t="str">
        <f>IFERROR(_xlfn.XLOOKUP(G263,Listas!E:E,Listas!G:G,""),"")</f>
        <v>Externo</v>
      </c>
      <c r="J263" s="45">
        <v>522</v>
      </c>
      <c r="K263" s="5">
        <f>IF(F263="Ingreso",J263,-J263)</f>
        <v>-522</v>
      </c>
      <c r="L263" s="15" t="s">
        <v>128</v>
      </c>
      <c r="M263" s="46">
        <f>SUMIFS('Saldos Iniciales'!$D$2:$D$38,'Saldos Iniciales'!$A$2:$A$38,C263,'Saldos Iniciales'!$B$2:$B$38,D263)+SUMIFS($K$1:$K$363,$C$1:$C$363,C263,$D$1:$D$363,D263,$B$1:$B$363,"&lt;="&amp;B263)</f>
        <v>46041.01</v>
      </c>
      <c r="N263" s="27" t="str">
        <f>IF(tblMovimientos[[#This Row],[Tipo de Movimiento]]="Ingreso",tblMovimientos[[#This Row],[Monto (S/)]],"0")</f>
        <v>0</v>
      </c>
      <c r="O263" s="27">
        <f>IF(tblMovimientos[[#This Row],[Tipo de Movimiento]]="Egreso",tblMovimientos[[#This Row],[Monto (S/)]],"0")</f>
        <v>522</v>
      </c>
      <c r="P263" s="29">
        <f>IF(tblMovimientos[[#This Row],[Tipo de Movimiento]]="Ingreso",tblMovimientos[[#This Row],[Ingreso]],-tblMovimientos[[#This Row],[Egreso]])</f>
        <v>-522</v>
      </c>
    </row>
    <row r="264" spans="2:16" x14ac:dyDescent="0.3">
      <c r="B264" s="41">
        <v>46181</v>
      </c>
      <c r="C264" s="4" t="s">
        <v>35</v>
      </c>
      <c r="D264" s="43" t="s">
        <v>126</v>
      </c>
      <c r="E264" s="4" t="s">
        <v>37</v>
      </c>
      <c r="F264" s="43" t="s">
        <v>10</v>
      </c>
      <c r="G264" s="43" t="s">
        <v>38</v>
      </c>
      <c r="H264" s="4" t="str">
        <f>IFERROR(_xlfn.XLOOKUP(G264,Listas!E:E,Listas!F:F,""),"")</f>
        <v>Operativo</v>
      </c>
      <c r="I264" s="52" t="str">
        <f>IFERROR(_xlfn.XLOOKUP(G264,Listas!E:E,Listas!G:G,""),"")</f>
        <v>Externo</v>
      </c>
      <c r="J264" s="45">
        <v>739.52</v>
      </c>
      <c r="K264" s="5">
        <v>-739.52</v>
      </c>
      <c r="L264" s="15" t="s">
        <v>128</v>
      </c>
      <c r="M264" s="46">
        <v>1451.1500000000015</v>
      </c>
      <c r="N264" s="27" t="str">
        <f>IF(tblMovimientos[[#This Row],[Tipo de Movimiento]]="Ingreso",tblMovimientos[[#This Row],[Monto (S/)]],"0")</f>
        <v>0</v>
      </c>
      <c r="O264" s="27">
        <f>IF(tblMovimientos[[#This Row],[Tipo de Movimiento]]="Egreso",tblMovimientos[[#This Row],[Monto (S/)]],"0")</f>
        <v>739.52</v>
      </c>
      <c r="P264" s="29">
        <f>IF(tblMovimientos[[#This Row],[Tipo de Movimiento]]="Ingreso",tblMovimientos[[#This Row],[Ingreso]],-tblMovimientos[[#This Row],[Egreso]])</f>
        <v>-739.52</v>
      </c>
    </row>
    <row r="265" spans="2:16" x14ac:dyDescent="0.3">
      <c r="B265" s="41">
        <v>46182</v>
      </c>
      <c r="C265" s="4" t="s">
        <v>21</v>
      </c>
      <c r="D265" s="43" t="s">
        <v>104</v>
      </c>
      <c r="E265" s="4" t="s">
        <v>37</v>
      </c>
      <c r="F265" s="43" t="s">
        <v>10</v>
      </c>
      <c r="G265" s="43" t="s">
        <v>44</v>
      </c>
      <c r="H265" s="4" t="str">
        <f>IFERROR(_xlfn.XLOOKUP(G265,Listas!E:E,Listas!F:F,""),"")</f>
        <v>Operativo</v>
      </c>
      <c r="I265" s="52" t="str">
        <f>IFERROR(_xlfn.XLOOKUP(G265,Listas!E:E,Listas!G:G,""),"")</f>
        <v>Externo</v>
      </c>
      <c r="J265" s="45">
        <v>2462.62</v>
      </c>
      <c r="K265" s="5">
        <v>-2462.62</v>
      </c>
      <c r="L265" s="15" t="s">
        <v>128</v>
      </c>
      <c r="M265" s="46">
        <v>383792.01999999932</v>
      </c>
      <c r="N265" s="27" t="str">
        <f>IF(tblMovimientos[[#This Row],[Tipo de Movimiento]]="Ingreso",tblMovimientos[[#This Row],[Monto (S/)]],"0")</f>
        <v>0</v>
      </c>
      <c r="O265" s="27">
        <f>IF(tblMovimientos[[#This Row],[Tipo de Movimiento]]="Egreso",tblMovimientos[[#This Row],[Monto (S/)]],"0")</f>
        <v>2462.62</v>
      </c>
      <c r="P265" s="29">
        <f>IF(tblMovimientos[[#This Row],[Tipo de Movimiento]]="Ingreso",tblMovimientos[[#This Row],[Ingreso]],-tblMovimientos[[#This Row],[Egreso]])</f>
        <v>-2462.62</v>
      </c>
    </row>
    <row r="266" spans="2:16" x14ac:dyDescent="0.3">
      <c r="B266" s="41">
        <v>46190</v>
      </c>
      <c r="C266" s="4" t="str">
        <f>_xlfn.XLOOKUP(tblMovimientos[[#This Row],[Cuenta Bancaria]],Listas!$B:$B,Listas!$A:$A,"")</f>
        <v>Go Blue</v>
      </c>
      <c r="D266" s="43" t="s">
        <v>126</v>
      </c>
      <c r="E266" s="4" t="str">
        <f>_xlfn.XLOOKUP(tblMovimientos[[#This Row],[Cuenta Bancaria]],Listas!$B:$B,Listas!$C:$C,"")</f>
        <v xml:space="preserve">Amerant Bank </v>
      </c>
      <c r="F266" s="43" t="s">
        <v>10</v>
      </c>
      <c r="G266" s="43" t="s">
        <v>38</v>
      </c>
      <c r="H266" s="4" t="str">
        <f>IFERROR(_xlfn.XLOOKUP(G266,Listas!E:E,Listas!F:F,""),"")</f>
        <v>Operativo</v>
      </c>
      <c r="I266" s="52" t="str">
        <f>IFERROR(_xlfn.XLOOKUP(G266,Listas!E:E,Listas!G:G,""),"")</f>
        <v>Externo</v>
      </c>
      <c r="J266" s="45">
        <v>1000</v>
      </c>
      <c r="K266" s="5">
        <f>IF(F266="Ingreso",J266,-J266)</f>
        <v>-1000</v>
      </c>
      <c r="L266" s="15" t="s">
        <v>128</v>
      </c>
      <c r="M266" s="46">
        <f>SUMIFS('Saldos Iniciales'!$D$2:$D$38,'Saldos Iniciales'!$A$2:$A$38,C266,'Saldos Iniciales'!$B$2:$B$38,D266)+SUMIFS($K$1:$K$363,$C$1:$C$363,C266,$D$1:$D$363,D266,$B$1:$B$363,"&lt;="&amp;B266)</f>
        <v>45041.01</v>
      </c>
      <c r="N266" s="27" t="str">
        <f>IF(tblMovimientos[[#This Row],[Tipo de Movimiento]]="Ingreso",tblMovimientos[[#This Row],[Monto (S/)]],"0")</f>
        <v>0</v>
      </c>
      <c r="O266" s="27">
        <f>IF(tblMovimientos[[#This Row],[Tipo de Movimiento]]="Egreso",tblMovimientos[[#This Row],[Monto (S/)]],"0")</f>
        <v>1000</v>
      </c>
      <c r="P266" s="29">
        <f>IF(tblMovimientos[[#This Row],[Tipo de Movimiento]]="Ingreso",tblMovimientos[[#This Row],[Ingreso]],-tblMovimientos[[#This Row],[Egreso]])</f>
        <v>-1000</v>
      </c>
    </row>
    <row r="267" spans="2:16" x14ac:dyDescent="0.3">
      <c r="B267" s="41">
        <v>46182</v>
      </c>
      <c r="C267" s="4" t="s">
        <v>21</v>
      </c>
      <c r="D267" s="43" t="s">
        <v>101</v>
      </c>
      <c r="E267" s="4" t="s">
        <v>36</v>
      </c>
      <c r="F267" s="43" t="s">
        <v>10</v>
      </c>
      <c r="G267" s="43" t="s">
        <v>38</v>
      </c>
      <c r="H267" s="4" t="str">
        <f>IFERROR(_xlfn.XLOOKUP(G267,Listas!E:E,Listas!F:F,""),"")</f>
        <v>Operativo</v>
      </c>
      <c r="I267" s="52" t="str">
        <f>IFERROR(_xlfn.XLOOKUP(G267,Listas!E:E,Listas!G:G,""),"")</f>
        <v>Externo</v>
      </c>
      <c r="J267" s="45">
        <v>1291.6500000000001</v>
      </c>
      <c r="K267" s="5">
        <v>-1291.6500000000001</v>
      </c>
      <c r="L267" s="15" t="s">
        <v>128</v>
      </c>
      <c r="M267" s="46">
        <v>16344.88</v>
      </c>
      <c r="N267" s="27" t="str">
        <f>IF(tblMovimientos[[#This Row],[Tipo de Movimiento]]="Ingreso",tblMovimientos[[#This Row],[Monto (S/)]],"0")</f>
        <v>0</v>
      </c>
      <c r="O267" s="27">
        <f>IF(tblMovimientos[[#This Row],[Tipo de Movimiento]]="Egreso",tblMovimientos[[#This Row],[Monto (S/)]],"0")</f>
        <v>1291.6500000000001</v>
      </c>
      <c r="P267" s="29">
        <f>IF(tblMovimientos[[#This Row],[Tipo de Movimiento]]="Ingreso",tblMovimientos[[#This Row],[Ingreso]],-tblMovimientos[[#This Row],[Egreso]])</f>
        <v>-1291.6500000000001</v>
      </c>
    </row>
    <row r="268" spans="2:16" x14ac:dyDescent="0.3">
      <c r="B268" s="41">
        <v>46182</v>
      </c>
      <c r="C268" s="4" t="s">
        <v>17</v>
      </c>
      <c r="D268" s="43" t="s">
        <v>94</v>
      </c>
      <c r="E268" s="4" t="s">
        <v>36</v>
      </c>
      <c r="F268" s="43" t="s">
        <v>9</v>
      </c>
      <c r="G268" s="43" t="s">
        <v>72</v>
      </c>
      <c r="H268" s="4" t="str">
        <f>IFERROR(_xlfn.XLOOKUP(G268,Listas!E:E,Listas!F:F,""),"")</f>
        <v>Operativo</v>
      </c>
      <c r="I268" s="52" t="str">
        <f>IFERROR(_xlfn.XLOOKUP(G268,Listas!E:E,Listas!G:G,""),"")</f>
        <v>Externo</v>
      </c>
      <c r="J268" s="45">
        <v>113987.15</v>
      </c>
      <c r="K268" s="5">
        <v>113987.15</v>
      </c>
      <c r="L268" s="15" t="s">
        <v>128</v>
      </c>
      <c r="M268" s="46">
        <v>122476.72999999998</v>
      </c>
      <c r="N268" s="27">
        <f>IF(tblMovimientos[[#This Row],[Tipo de Movimiento]]="Ingreso",tblMovimientos[[#This Row],[Monto (S/)]],"0")</f>
        <v>113987.15</v>
      </c>
      <c r="O268" s="27" t="str">
        <f>IF(tblMovimientos[[#This Row],[Tipo de Movimiento]]="Egreso",tblMovimientos[[#This Row],[Monto (S/)]],"0")</f>
        <v>0</v>
      </c>
      <c r="P268" s="29">
        <f>IF(tblMovimientos[[#This Row],[Tipo de Movimiento]]="Ingreso",tblMovimientos[[#This Row],[Ingreso]],-tblMovimientos[[#This Row],[Egreso]])</f>
        <v>113987.15</v>
      </c>
    </row>
    <row r="269" spans="2:16" x14ac:dyDescent="0.3">
      <c r="B269" s="41">
        <v>46183</v>
      </c>
      <c r="C269" s="4" t="s">
        <v>17</v>
      </c>
      <c r="D269" s="43" t="s">
        <v>95</v>
      </c>
      <c r="E269" s="4" t="s">
        <v>37</v>
      </c>
      <c r="F269" s="43" t="s">
        <v>9</v>
      </c>
      <c r="G269" s="43" t="s">
        <v>76</v>
      </c>
      <c r="H269" s="4" t="str">
        <f>IFERROR(_xlfn.XLOOKUP(G269,Listas!E:E,Listas!F:F,""),"")</f>
        <v>Financiamiento</v>
      </c>
      <c r="I269" s="52" t="str">
        <f>IFERROR(_xlfn.XLOOKUP(G269,Listas!E:E,Listas!G:G,""),"")</f>
        <v>Externo</v>
      </c>
      <c r="J269" s="45">
        <v>255000</v>
      </c>
      <c r="K269" s="5">
        <v>255000</v>
      </c>
      <c r="L269" s="15" t="s">
        <v>128</v>
      </c>
      <c r="M269" s="46">
        <v>1974648.53</v>
      </c>
      <c r="N269" s="27">
        <f>IF(tblMovimientos[[#This Row],[Tipo de Movimiento]]="Ingreso",tblMovimientos[[#This Row],[Monto (S/)]],"0")</f>
        <v>255000</v>
      </c>
      <c r="O269" s="27" t="str">
        <f>IF(tblMovimientos[[#This Row],[Tipo de Movimiento]]="Egreso",tblMovimientos[[#This Row],[Monto (S/)]],"0")</f>
        <v>0</v>
      </c>
      <c r="P269" s="29">
        <f>IF(tblMovimientos[[#This Row],[Tipo de Movimiento]]="Ingreso",tblMovimientos[[#This Row],[Ingreso]],-tblMovimientos[[#This Row],[Egreso]])</f>
        <v>255000</v>
      </c>
    </row>
    <row r="270" spans="2:16" x14ac:dyDescent="0.3">
      <c r="B270" s="41">
        <v>46183</v>
      </c>
      <c r="C270" s="4" t="s">
        <v>17</v>
      </c>
      <c r="D270" s="43" t="s">
        <v>95</v>
      </c>
      <c r="E270" s="4" t="s">
        <v>37</v>
      </c>
      <c r="F270" s="43" t="s">
        <v>9</v>
      </c>
      <c r="G270" s="43" t="s">
        <v>76</v>
      </c>
      <c r="H270" s="4" t="str">
        <f>IFERROR(_xlfn.XLOOKUP(G270,Listas!E:E,Listas!F:F,""),"")</f>
        <v>Financiamiento</v>
      </c>
      <c r="I270" s="52" t="str">
        <f>IFERROR(_xlfn.XLOOKUP(G270,Listas!E:E,Listas!G:G,""),"")</f>
        <v>Externo</v>
      </c>
      <c r="J270" s="45">
        <v>1000000</v>
      </c>
      <c r="K270" s="5">
        <v>1000000</v>
      </c>
      <c r="L270" s="15" t="s">
        <v>128</v>
      </c>
      <c r="M270" s="46">
        <v>1974648.53</v>
      </c>
      <c r="N270" s="27">
        <f>IF(tblMovimientos[[#This Row],[Tipo de Movimiento]]="Ingreso",tblMovimientos[[#This Row],[Monto (S/)]],"0")</f>
        <v>1000000</v>
      </c>
      <c r="O270" s="27" t="str">
        <f>IF(tblMovimientos[[#This Row],[Tipo de Movimiento]]="Egreso",tblMovimientos[[#This Row],[Monto (S/)]],"0")</f>
        <v>0</v>
      </c>
      <c r="P270" s="29">
        <f>IF(tblMovimientos[[#This Row],[Tipo de Movimiento]]="Ingreso",tblMovimientos[[#This Row],[Ingreso]],-tblMovimientos[[#This Row],[Egreso]])</f>
        <v>1000000</v>
      </c>
    </row>
    <row r="271" spans="2:16" x14ac:dyDescent="0.3">
      <c r="B271" s="41">
        <v>46183</v>
      </c>
      <c r="C271" s="4" t="s">
        <v>20</v>
      </c>
      <c r="D271" s="43" t="s">
        <v>100</v>
      </c>
      <c r="E271" s="4" t="s">
        <v>36</v>
      </c>
      <c r="F271" s="43" t="s">
        <v>9</v>
      </c>
      <c r="G271" s="43" t="s">
        <v>72</v>
      </c>
      <c r="H271" s="4" t="str">
        <f>IFERROR(_xlfn.XLOOKUP(G271,Listas!E:E,Listas!F:F,""),"")</f>
        <v>Operativo</v>
      </c>
      <c r="I271" s="52" t="str">
        <f>IFERROR(_xlfn.XLOOKUP(G271,Listas!E:E,Listas!G:G,""),"")</f>
        <v>Externo</v>
      </c>
      <c r="J271" s="45">
        <v>14761.57</v>
      </c>
      <c r="K271" s="5">
        <v>14761.57</v>
      </c>
      <c r="L271" s="15" t="s">
        <v>128</v>
      </c>
      <c r="M271" s="46">
        <v>744306.80999999982</v>
      </c>
      <c r="N271" s="27">
        <f>IF(tblMovimientos[[#This Row],[Tipo de Movimiento]]="Ingreso",tblMovimientos[[#This Row],[Monto (S/)]],"0")</f>
        <v>14761.57</v>
      </c>
      <c r="O271" s="27" t="str">
        <f>IF(tblMovimientos[[#This Row],[Tipo de Movimiento]]="Egreso",tblMovimientos[[#This Row],[Monto (S/)]],"0")</f>
        <v>0</v>
      </c>
      <c r="P271" s="29">
        <f>IF(tblMovimientos[[#This Row],[Tipo de Movimiento]]="Ingreso",tblMovimientos[[#This Row],[Ingreso]],-tblMovimientos[[#This Row],[Egreso]])</f>
        <v>14761.57</v>
      </c>
    </row>
    <row r="272" spans="2:16" x14ac:dyDescent="0.3">
      <c r="B272" s="41">
        <v>46183</v>
      </c>
      <c r="C272" s="4" t="s">
        <v>17</v>
      </c>
      <c r="D272" s="43" t="s">
        <v>94</v>
      </c>
      <c r="E272" s="4" t="s">
        <v>36</v>
      </c>
      <c r="F272" s="43" t="s">
        <v>9</v>
      </c>
      <c r="G272" s="43" t="s">
        <v>72</v>
      </c>
      <c r="H272" s="4" t="str">
        <f>IFERROR(_xlfn.XLOOKUP(G272,Listas!E:E,Listas!F:F,""),"")</f>
        <v>Operativo</v>
      </c>
      <c r="I272" s="52" t="str">
        <f>IFERROR(_xlfn.XLOOKUP(G272,Listas!E:E,Listas!G:G,""),"")</f>
        <v>Externo</v>
      </c>
      <c r="J272" s="45">
        <v>99279.52</v>
      </c>
      <c r="K272" s="5">
        <v>99279.52</v>
      </c>
      <c r="L272" s="15" t="s">
        <v>128</v>
      </c>
      <c r="M272" s="46">
        <v>308841.39</v>
      </c>
      <c r="N272" s="27">
        <f>IF(tblMovimientos[[#This Row],[Tipo de Movimiento]]="Ingreso",tblMovimientos[[#This Row],[Monto (S/)]],"0")</f>
        <v>99279.52</v>
      </c>
      <c r="O272" s="27" t="str">
        <f>IF(tblMovimientos[[#This Row],[Tipo de Movimiento]]="Egreso",tblMovimientos[[#This Row],[Monto (S/)]],"0")</f>
        <v>0</v>
      </c>
      <c r="P272" s="29">
        <f>IF(tblMovimientos[[#This Row],[Tipo de Movimiento]]="Ingreso",tblMovimientos[[#This Row],[Ingreso]],-tblMovimientos[[#This Row],[Egreso]])</f>
        <v>99279.52</v>
      </c>
    </row>
    <row r="273" spans="2:16" x14ac:dyDescent="0.3">
      <c r="B273" s="41">
        <v>46183</v>
      </c>
      <c r="C273" s="4" t="s">
        <v>17</v>
      </c>
      <c r="D273" s="43" t="s">
        <v>94</v>
      </c>
      <c r="E273" s="4" t="s">
        <v>36</v>
      </c>
      <c r="F273" s="43" t="s">
        <v>9</v>
      </c>
      <c r="G273" s="43" t="s">
        <v>72</v>
      </c>
      <c r="H273" s="4" t="str">
        <f>IFERROR(_xlfn.XLOOKUP(G273,Listas!E:E,Listas!F:F,""),"")</f>
        <v>Operativo</v>
      </c>
      <c r="I273" s="52" t="str">
        <f>IFERROR(_xlfn.XLOOKUP(G273,Listas!E:E,Listas!G:G,""),"")</f>
        <v>Externo</v>
      </c>
      <c r="J273" s="45">
        <v>87085.14</v>
      </c>
      <c r="K273" s="5">
        <v>87085.14</v>
      </c>
      <c r="L273" s="15" t="s">
        <v>128</v>
      </c>
      <c r="M273" s="46">
        <v>308841.39</v>
      </c>
      <c r="N273" s="27">
        <f>IF(tblMovimientos[[#This Row],[Tipo de Movimiento]]="Ingreso",tblMovimientos[[#This Row],[Monto (S/)]],"0")</f>
        <v>87085.14</v>
      </c>
      <c r="O273" s="27" t="str">
        <f>IF(tblMovimientos[[#This Row],[Tipo de Movimiento]]="Egreso",tblMovimientos[[#This Row],[Monto (S/)]],"0")</f>
        <v>0</v>
      </c>
      <c r="P273" s="29">
        <f>IF(tblMovimientos[[#This Row],[Tipo de Movimiento]]="Ingreso",tblMovimientos[[#This Row],[Ingreso]],-tblMovimientos[[#This Row],[Egreso]])</f>
        <v>87085.14</v>
      </c>
    </row>
    <row r="274" spans="2:16" x14ac:dyDescent="0.3">
      <c r="B274" s="41">
        <v>46183</v>
      </c>
      <c r="C274" s="4" t="s">
        <v>33</v>
      </c>
      <c r="D274" s="43" t="s">
        <v>124</v>
      </c>
      <c r="E274" s="4" t="s">
        <v>36</v>
      </c>
      <c r="F274" s="43" t="s">
        <v>10</v>
      </c>
      <c r="G274" s="43" t="s">
        <v>38</v>
      </c>
      <c r="H274" s="4" t="str">
        <f>IFERROR(_xlfn.XLOOKUP(G274,Listas!E:E,Listas!F:F,""),"")</f>
        <v>Operativo</v>
      </c>
      <c r="I274" s="52" t="str">
        <f>IFERROR(_xlfn.XLOOKUP(G274,Listas!E:E,Listas!G:G,""),"")</f>
        <v>Externo</v>
      </c>
      <c r="J274" s="45">
        <v>89.25</v>
      </c>
      <c r="K274" s="5">
        <v>-89.25</v>
      </c>
      <c r="L274" s="15" t="s">
        <v>128</v>
      </c>
      <c r="M274" s="46">
        <v>24743.98</v>
      </c>
      <c r="N274" s="27" t="str">
        <f>IF(tblMovimientos[[#This Row],[Tipo de Movimiento]]="Ingreso",tblMovimientos[[#This Row],[Monto (S/)]],"0")</f>
        <v>0</v>
      </c>
      <c r="O274" s="27">
        <f>IF(tblMovimientos[[#This Row],[Tipo de Movimiento]]="Egreso",tblMovimientos[[#This Row],[Monto (S/)]],"0")</f>
        <v>89.25</v>
      </c>
      <c r="P274" s="29">
        <f>IF(tblMovimientos[[#This Row],[Tipo de Movimiento]]="Ingreso",tblMovimientos[[#This Row],[Ingreso]],-tblMovimientos[[#This Row],[Egreso]])</f>
        <v>-89.25</v>
      </c>
    </row>
    <row r="275" spans="2:16" x14ac:dyDescent="0.3">
      <c r="B275" s="41">
        <v>46184</v>
      </c>
      <c r="C275" s="4" t="s">
        <v>20</v>
      </c>
      <c r="D275" s="43" t="s">
        <v>100</v>
      </c>
      <c r="E275" s="4" t="s">
        <v>36</v>
      </c>
      <c r="F275" s="43" t="s">
        <v>10</v>
      </c>
      <c r="G275" s="43" t="s">
        <v>61</v>
      </c>
      <c r="H275" s="4" t="str">
        <f>IFERROR(_xlfn.XLOOKUP(G275,Listas!E:E,Listas!F:F,""),"")</f>
        <v>Operativo</v>
      </c>
      <c r="I275" s="52" t="str">
        <f>IFERROR(_xlfn.XLOOKUP(G275,Listas!E:E,Listas!G:G,""),"")</f>
        <v>Externo</v>
      </c>
      <c r="J275" s="45">
        <v>60000</v>
      </c>
      <c r="K275" s="5">
        <v>-60000</v>
      </c>
      <c r="L275" s="15" t="s">
        <v>128</v>
      </c>
      <c r="M275" s="46">
        <v>564626.20999999985</v>
      </c>
      <c r="N275" s="27" t="str">
        <f>IF(tblMovimientos[[#This Row],[Tipo de Movimiento]]="Ingreso",tblMovimientos[[#This Row],[Monto (S/)]],"0")</f>
        <v>0</v>
      </c>
      <c r="O275" s="27">
        <f>IF(tblMovimientos[[#This Row],[Tipo de Movimiento]]="Egreso",tblMovimientos[[#This Row],[Monto (S/)]],"0")</f>
        <v>60000</v>
      </c>
      <c r="P275" s="29">
        <f>IF(tblMovimientos[[#This Row],[Tipo de Movimiento]]="Ingreso",tblMovimientos[[#This Row],[Ingreso]],-tblMovimientos[[#This Row],[Egreso]])</f>
        <v>-60000</v>
      </c>
    </row>
    <row r="276" spans="2:16" x14ac:dyDescent="0.3">
      <c r="B276" s="41">
        <v>46184</v>
      </c>
      <c r="C276" s="4" t="s">
        <v>20</v>
      </c>
      <c r="D276" s="43" t="s">
        <v>100</v>
      </c>
      <c r="E276" s="4" t="s">
        <v>36</v>
      </c>
      <c r="F276" s="43" t="s">
        <v>10</v>
      </c>
      <c r="G276" s="43" t="s">
        <v>51</v>
      </c>
      <c r="H276" s="4" t="str">
        <f>IFERROR(_xlfn.XLOOKUP(G276,Listas!E:E,Listas!F:F,""),"")</f>
        <v>Financiamiento</v>
      </c>
      <c r="I276" s="52" t="str">
        <f>IFERROR(_xlfn.XLOOKUP(G276,Listas!E:E,Listas!G:G,""),"")</f>
        <v>Externo</v>
      </c>
      <c r="J276" s="45">
        <v>119680.6</v>
      </c>
      <c r="K276" s="5">
        <v>-119680.6</v>
      </c>
      <c r="L276" s="15" t="s">
        <v>128</v>
      </c>
      <c r="M276" s="46">
        <v>564626.20999999985</v>
      </c>
      <c r="N276" s="27" t="str">
        <f>IF(tblMovimientos[[#This Row],[Tipo de Movimiento]]="Ingreso",tblMovimientos[[#This Row],[Monto (S/)]],"0")</f>
        <v>0</v>
      </c>
      <c r="O276" s="27">
        <f>IF(tblMovimientos[[#This Row],[Tipo de Movimiento]]="Egreso",tblMovimientos[[#This Row],[Monto (S/)]],"0")</f>
        <v>119680.6</v>
      </c>
      <c r="P276" s="29">
        <f>IF(tblMovimientos[[#This Row],[Tipo de Movimiento]]="Ingreso",tblMovimientos[[#This Row],[Ingreso]],-tblMovimientos[[#This Row],[Egreso]])</f>
        <v>-119680.6</v>
      </c>
    </row>
    <row r="277" spans="2:16" x14ac:dyDescent="0.3">
      <c r="B277" s="41">
        <v>46184</v>
      </c>
      <c r="C277" s="4" t="s">
        <v>17</v>
      </c>
      <c r="D277" s="43" t="s">
        <v>95</v>
      </c>
      <c r="E277" s="4" t="s">
        <v>37</v>
      </c>
      <c r="F277" s="43" t="s">
        <v>10</v>
      </c>
      <c r="G277" s="43" t="s">
        <v>46</v>
      </c>
      <c r="H277" s="4" t="str">
        <f>IFERROR(_xlfn.XLOOKUP(G277,Listas!E:E,Listas!F:F,""),"")</f>
        <v>Financiamiento</v>
      </c>
      <c r="I277" s="52" t="str">
        <f>IFERROR(_xlfn.XLOOKUP(G277,Listas!E:E,Listas!G:G,""),"")</f>
        <v>Externo</v>
      </c>
      <c r="J277" s="45">
        <v>2916.67</v>
      </c>
      <c r="K277" s="5">
        <v>-2916.67</v>
      </c>
      <c r="L277" s="15" t="s">
        <v>128</v>
      </c>
      <c r="M277" s="46">
        <v>1523687.4200000002</v>
      </c>
      <c r="N277" s="27" t="str">
        <f>IF(tblMovimientos[[#This Row],[Tipo de Movimiento]]="Ingreso",tblMovimientos[[#This Row],[Monto (S/)]],"0")</f>
        <v>0</v>
      </c>
      <c r="O277" s="27">
        <f>IF(tblMovimientos[[#This Row],[Tipo de Movimiento]]="Egreso",tblMovimientos[[#This Row],[Monto (S/)]],"0")</f>
        <v>2916.67</v>
      </c>
      <c r="P277" s="29">
        <f>IF(tblMovimientos[[#This Row],[Tipo de Movimiento]]="Ingreso",tblMovimientos[[#This Row],[Ingreso]],-tblMovimientos[[#This Row],[Egreso]])</f>
        <v>-2916.67</v>
      </c>
    </row>
    <row r="278" spans="2:16" x14ac:dyDescent="0.3">
      <c r="B278" s="41">
        <v>46184</v>
      </c>
      <c r="C278" s="4" t="s">
        <v>17</v>
      </c>
      <c r="D278" s="43" t="s">
        <v>95</v>
      </c>
      <c r="E278" s="4" t="s">
        <v>37</v>
      </c>
      <c r="F278" s="43" t="s">
        <v>10</v>
      </c>
      <c r="G278" s="43" t="s">
        <v>46</v>
      </c>
      <c r="H278" s="4" t="str">
        <f>IFERROR(_xlfn.XLOOKUP(G278,Listas!E:E,Listas!F:F,""),"")</f>
        <v>Financiamiento</v>
      </c>
      <c r="I278" s="52" t="str">
        <f>IFERROR(_xlfn.XLOOKUP(G278,Listas!E:E,Listas!G:G,""),"")</f>
        <v>Externo</v>
      </c>
      <c r="J278" s="45">
        <v>5166.67</v>
      </c>
      <c r="K278" s="5">
        <v>-5166.67</v>
      </c>
      <c r="L278" s="15" t="s">
        <v>128</v>
      </c>
      <c r="M278" s="46">
        <v>1523687.4200000002</v>
      </c>
      <c r="N278" s="27" t="str">
        <f>IF(tblMovimientos[[#This Row],[Tipo de Movimiento]]="Ingreso",tblMovimientos[[#This Row],[Monto (S/)]],"0")</f>
        <v>0</v>
      </c>
      <c r="O278" s="27">
        <f>IF(tblMovimientos[[#This Row],[Tipo de Movimiento]]="Egreso",tblMovimientos[[#This Row],[Monto (S/)]],"0")</f>
        <v>5166.67</v>
      </c>
      <c r="P278" s="29">
        <f>IF(tblMovimientos[[#This Row],[Tipo de Movimiento]]="Ingreso",tblMovimientos[[#This Row],[Ingreso]],-tblMovimientos[[#This Row],[Egreso]])</f>
        <v>-5166.67</v>
      </c>
    </row>
    <row r="279" spans="2:16" x14ac:dyDescent="0.3">
      <c r="B279" s="41">
        <v>46184</v>
      </c>
      <c r="C279" s="4" t="s">
        <v>17</v>
      </c>
      <c r="D279" s="43" t="s">
        <v>95</v>
      </c>
      <c r="E279" s="4" t="s">
        <v>37</v>
      </c>
      <c r="F279" s="43" t="s">
        <v>10</v>
      </c>
      <c r="G279" s="43" t="s">
        <v>46</v>
      </c>
      <c r="H279" s="4" t="str">
        <f>IFERROR(_xlfn.XLOOKUP(G279,Listas!E:E,Listas!F:F,""),"")</f>
        <v>Financiamiento</v>
      </c>
      <c r="I279" s="52" t="str">
        <f>IFERROR(_xlfn.XLOOKUP(G279,Listas!E:E,Listas!G:G,""),"")</f>
        <v>Externo</v>
      </c>
      <c r="J279" s="45">
        <v>27083.33</v>
      </c>
      <c r="K279" s="5">
        <v>-27083.33</v>
      </c>
      <c r="L279" s="15" t="s">
        <v>128</v>
      </c>
      <c r="M279" s="46">
        <v>1523687.4200000002</v>
      </c>
      <c r="N279" s="27" t="str">
        <f>IF(tblMovimientos[[#This Row],[Tipo de Movimiento]]="Ingreso",tblMovimientos[[#This Row],[Monto (S/)]],"0")</f>
        <v>0</v>
      </c>
      <c r="O279" s="27">
        <f>IF(tblMovimientos[[#This Row],[Tipo de Movimiento]]="Egreso",tblMovimientos[[#This Row],[Monto (S/)]],"0")</f>
        <v>27083.33</v>
      </c>
      <c r="P279" s="29">
        <f>IF(tblMovimientos[[#This Row],[Tipo de Movimiento]]="Ingreso",tblMovimientos[[#This Row],[Ingreso]],-tblMovimientos[[#This Row],[Egreso]])</f>
        <v>-27083.33</v>
      </c>
    </row>
    <row r="280" spans="2:16" x14ac:dyDescent="0.3">
      <c r="B280" s="41">
        <v>46184</v>
      </c>
      <c r="C280" s="4" t="s">
        <v>17</v>
      </c>
      <c r="D280" s="43" t="s">
        <v>95</v>
      </c>
      <c r="E280" s="4" t="s">
        <v>37</v>
      </c>
      <c r="F280" s="43" t="s">
        <v>10</v>
      </c>
      <c r="G280" s="43" t="s">
        <v>61</v>
      </c>
      <c r="H280" s="4" t="str">
        <f>IFERROR(_xlfn.XLOOKUP(G280,Listas!E:E,Listas!F:F,""),"")</f>
        <v>Operativo</v>
      </c>
      <c r="I280" s="52" t="str">
        <f>IFERROR(_xlfn.XLOOKUP(G280,Listas!E:E,Listas!G:G,""),"")</f>
        <v>Externo</v>
      </c>
      <c r="J280" s="45">
        <v>40000</v>
      </c>
      <c r="K280" s="5">
        <v>-40000</v>
      </c>
      <c r="L280" s="15" t="s">
        <v>128</v>
      </c>
      <c r="M280" s="46">
        <v>1523687.4200000002</v>
      </c>
      <c r="N280" s="27" t="str">
        <f>IF(tblMovimientos[[#This Row],[Tipo de Movimiento]]="Ingreso",tblMovimientos[[#This Row],[Monto (S/)]],"0")</f>
        <v>0</v>
      </c>
      <c r="O280" s="27">
        <f>IF(tblMovimientos[[#This Row],[Tipo de Movimiento]]="Egreso",tblMovimientos[[#This Row],[Monto (S/)]],"0")</f>
        <v>40000</v>
      </c>
      <c r="P280" s="29">
        <f>IF(tblMovimientos[[#This Row],[Tipo de Movimiento]]="Ingreso",tblMovimientos[[#This Row],[Ingreso]],-tblMovimientos[[#This Row],[Egreso]])</f>
        <v>-40000</v>
      </c>
    </row>
    <row r="281" spans="2:16" x14ac:dyDescent="0.3">
      <c r="B281" s="41">
        <v>46184</v>
      </c>
      <c r="C281" s="4" t="s">
        <v>17</v>
      </c>
      <c r="D281" s="43" t="s">
        <v>95</v>
      </c>
      <c r="E281" s="4" t="s">
        <v>37</v>
      </c>
      <c r="F281" s="43" t="s">
        <v>10</v>
      </c>
      <c r="G281" s="43" t="s">
        <v>46</v>
      </c>
      <c r="H281" s="4" t="str">
        <f>IFERROR(_xlfn.XLOOKUP(G281,Listas!E:E,Listas!F:F,""),"")</f>
        <v>Financiamiento</v>
      </c>
      <c r="I281" s="52" t="str">
        <f>IFERROR(_xlfn.XLOOKUP(G281,Listas!E:E,Listas!G:G,""),"")</f>
        <v>Externo</v>
      </c>
      <c r="J281" s="45">
        <v>57866.67</v>
      </c>
      <c r="K281" s="5">
        <v>-57866.67</v>
      </c>
      <c r="L281" s="15" t="s">
        <v>128</v>
      </c>
      <c r="M281" s="46">
        <v>1523687.4200000002</v>
      </c>
      <c r="N281" s="27" t="str">
        <f>IF(tblMovimientos[[#This Row],[Tipo de Movimiento]]="Ingreso",tblMovimientos[[#This Row],[Monto (S/)]],"0")</f>
        <v>0</v>
      </c>
      <c r="O281" s="27">
        <f>IF(tblMovimientos[[#This Row],[Tipo de Movimiento]]="Egreso",tblMovimientos[[#This Row],[Monto (S/)]],"0")</f>
        <v>57866.67</v>
      </c>
      <c r="P281" s="29">
        <f>IF(tblMovimientos[[#This Row],[Tipo de Movimiento]]="Ingreso",tblMovimientos[[#This Row],[Ingreso]],-tblMovimientos[[#This Row],[Egreso]])</f>
        <v>-57866.67</v>
      </c>
    </row>
    <row r="282" spans="2:16" x14ac:dyDescent="0.3">
      <c r="B282" s="41">
        <v>46184</v>
      </c>
      <c r="C282" s="4" t="s">
        <v>17</v>
      </c>
      <c r="D282" s="43" t="s">
        <v>95</v>
      </c>
      <c r="E282" s="4" t="s">
        <v>37</v>
      </c>
      <c r="F282" s="43" t="s">
        <v>10</v>
      </c>
      <c r="G282" s="43" t="s">
        <v>61</v>
      </c>
      <c r="H282" s="4" t="str">
        <f>IFERROR(_xlfn.XLOOKUP(G282,Listas!E:E,Listas!F:F,""),"")</f>
        <v>Operativo</v>
      </c>
      <c r="I282" s="52" t="str">
        <f>IFERROR(_xlfn.XLOOKUP(G282,Listas!E:E,Listas!G:G,""),"")</f>
        <v>Externo</v>
      </c>
      <c r="J282" s="45">
        <v>60000</v>
      </c>
      <c r="K282" s="5">
        <v>-60000</v>
      </c>
      <c r="L282" s="15" t="s">
        <v>128</v>
      </c>
      <c r="M282" s="46">
        <v>1523687.4200000002</v>
      </c>
      <c r="N282" s="27" t="str">
        <f>IF(tblMovimientos[[#This Row],[Tipo de Movimiento]]="Ingreso",tblMovimientos[[#This Row],[Monto (S/)]],"0")</f>
        <v>0</v>
      </c>
      <c r="O282" s="27">
        <f>IF(tblMovimientos[[#This Row],[Tipo de Movimiento]]="Egreso",tblMovimientos[[#This Row],[Monto (S/)]],"0")</f>
        <v>60000</v>
      </c>
      <c r="P282" s="29">
        <f>IF(tblMovimientos[[#This Row],[Tipo de Movimiento]]="Ingreso",tblMovimientos[[#This Row],[Ingreso]],-tblMovimientos[[#This Row],[Egreso]])</f>
        <v>-60000</v>
      </c>
    </row>
    <row r="283" spans="2:16" x14ac:dyDescent="0.3">
      <c r="B283" s="41">
        <v>46184</v>
      </c>
      <c r="C283" s="4" t="s">
        <v>17</v>
      </c>
      <c r="D283" s="43" t="s">
        <v>95</v>
      </c>
      <c r="E283" s="4" t="s">
        <v>37</v>
      </c>
      <c r="F283" s="43" t="s">
        <v>10</v>
      </c>
      <c r="G283" s="43" t="s">
        <v>46</v>
      </c>
      <c r="H283" s="4" t="str">
        <f>IFERROR(_xlfn.XLOOKUP(G283,Listas!E:E,Listas!F:F,""),"")</f>
        <v>Financiamiento</v>
      </c>
      <c r="I283" s="52" t="str">
        <f>IFERROR(_xlfn.XLOOKUP(G283,Listas!E:E,Listas!G:G,""),"")</f>
        <v>Externo</v>
      </c>
      <c r="J283" s="45">
        <v>72333.33</v>
      </c>
      <c r="K283" s="5">
        <v>-72333.33</v>
      </c>
      <c r="L283" s="15" t="s">
        <v>128</v>
      </c>
      <c r="M283" s="46">
        <v>1523687.4200000002</v>
      </c>
      <c r="N283" s="27" t="str">
        <f>IF(tblMovimientos[[#This Row],[Tipo de Movimiento]]="Ingreso",tblMovimientos[[#This Row],[Monto (S/)]],"0")</f>
        <v>0</v>
      </c>
      <c r="O283" s="27">
        <f>IF(tblMovimientos[[#This Row],[Tipo de Movimiento]]="Egreso",tblMovimientos[[#This Row],[Monto (S/)]],"0")</f>
        <v>72333.33</v>
      </c>
      <c r="P283" s="29">
        <f>IF(tblMovimientos[[#This Row],[Tipo de Movimiento]]="Ingreso",tblMovimientos[[#This Row],[Ingreso]],-tblMovimientos[[#This Row],[Egreso]])</f>
        <v>-72333.33</v>
      </c>
    </row>
    <row r="284" spans="2:16" x14ac:dyDescent="0.3">
      <c r="B284" s="41">
        <v>46184</v>
      </c>
      <c r="C284" s="4" t="s">
        <v>17</v>
      </c>
      <c r="D284" s="43" t="s">
        <v>95</v>
      </c>
      <c r="E284" s="4" t="s">
        <v>37</v>
      </c>
      <c r="F284" s="43" t="s">
        <v>10</v>
      </c>
      <c r="G284" s="43" t="s">
        <v>46</v>
      </c>
      <c r="H284" s="4" t="str">
        <f>IFERROR(_xlfn.XLOOKUP(G284,Listas!E:E,Listas!F:F,""),"")</f>
        <v>Financiamiento</v>
      </c>
      <c r="I284" s="52" t="str">
        <f>IFERROR(_xlfn.XLOOKUP(G284,Listas!E:E,Listas!G:G,""),"")</f>
        <v>Externo</v>
      </c>
      <c r="J284" s="45">
        <v>85594.44</v>
      </c>
      <c r="K284" s="5">
        <v>-85594.44</v>
      </c>
      <c r="L284" s="15" t="s">
        <v>128</v>
      </c>
      <c r="M284" s="46">
        <v>1523687.4200000002</v>
      </c>
      <c r="N284" s="27" t="str">
        <f>IF(tblMovimientos[[#This Row],[Tipo de Movimiento]]="Ingreso",tblMovimientos[[#This Row],[Monto (S/)]],"0")</f>
        <v>0</v>
      </c>
      <c r="O284" s="27">
        <f>IF(tblMovimientos[[#This Row],[Tipo de Movimiento]]="Egreso",tblMovimientos[[#This Row],[Monto (S/)]],"0")</f>
        <v>85594.44</v>
      </c>
      <c r="P284" s="29">
        <f>IF(tblMovimientos[[#This Row],[Tipo de Movimiento]]="Ingreso",tblMovimientos[[#This Row],[Ingreso]],-tblMovimientos[[#This Row],[Egreso]])</f>
        <v>-85594.44</v>
      </c>
    </row>
    <row r="285" spans="2:16" x14ac:dyDescent="0.3">
      <c r="B285" s="41">
        <v>46184</v>
      </c>
      <c r="C285" s="4" t="s">
        <v>17</v>
      </c>
      <c r="D285" s="43" t="s">
        <v>95</v>
      </c>
      <c r="E285" s="4" t="s">
        <v>37</v>
      </c>
      <c r="F285" s="43" t="s">
        <v>10</v>
      </c>
      <c r="G285" s="43" t="s">
        <v>61</v>
      </c>
      <c r="H285" s="4" t="str">
        <f>IFERROR(_xlfn.XLOOKUP(G285,Listas!E:E,Listas!F:F,""),"")</f>
        <v>Operativo</v>
      </c>
      <c r="I285" s="52" t="str">
        <f>IFERROR(_xlfn.XLOOKUP(G285,Listas!E:E,Listas!G:G,""),"")</f>
        <v>Externo</v>
      </c>
      <c r="J285" s="45">
        <v>100000</v>
      </c>
      <c r="K285" s="5">
        <v>-100000</v>
      </c>
      <c r="L285" s="15" t="s">
        <v>128</v>
      </c>
      <c r="M285" s="46">
        <v>1523687.4200000002</v>
      </c>
      <c r="N285" s="27" t="str">
        <f>IF(tblMovimientos[[#This Row],[Tipo de Movimiento]]="Ingreso",tblMovimientos[[#This Row],[Monto (S/)]],"0")</f>
        <v>0</v>
      </c>
      <c r="O285" s="27">
        <f>IF(tblMovimientos[[#This Row],[Tipo de Movimiento]]="Egreso",tblMovimientos[[#This Row],[Monto (S/)]],"0")</f>
        <v>100000</v>
      </c>
      <c r="P285" s="29">
        <f>IF(tblMovimientos[[#This Row],[Tipo de Movimiento]]="Ingreso",tblMovimientos[[#This Row],[Ingreso]],-tblMovimientos[[#This Row],[Egreso]])</f>
        <v>-100000</v>
      </c>
    </row>
    <row r="286" spans="2:16" x14ac:dyDescent="0.3">
      <c r="B286" s="41">
        <v>46184</v>
      </c>
      <c r="C286" s="4" t="s">
        <v>22</v>
      </c>
      <c r="D286" s="43" t="s">
        <v>111</v>
      </c>
      <c r="E286" s="4" t="s">
        <v>37</v>
      </c>
      <c r="F286" s="43" t="s">
        <v>9</v>
      </c>
      <c r="G286" s="43" t="s">
        <v>75</v>
      </c>
      <c r="H286" s="4" t="str">
        <f>IFERROR(_xlfn.XLOOKUP(G286,Listas!E:E,Listas!F:F,""),"")</f>
        <v>Financiamiento</v>
      </c>
      <c r="I286" s="52" t="str">
        <f>IFERROR(_xlfn.XLOOKUP(G286,Listas!E:E,Listas!G:G,""),"")</f>
        <v>Interno</v>
      </c>
      <c r="J286" s="45">
        <v>50000</v>
      </c>
      <c r="K286" s="5">
        <v>50000</v>
      </c>
      <c r="L286" s="15" t="s">
        <v>128</v>
      </c>
      <c r="M286" s="46">
        <v>1717.6000000000058</v>
      </c>
      <c r="N286" s="27">
        <f>IF(tblMovimientos[[#This Row],[Tipo de Movimiento]]="Ingreso",tblMovimientos[[#This Row],[Monto (S/)]],"0")</f>
        <v>50000</v>
      </c>
      <c r="O286" s="27" t="str">
        <f>IF(tblMovimientos[[#This Row],[Tipo de Movimiento]]="Egreso",tblMovimientos[[#This Row],[Monto (S/)]],"0")</f>
        <v>0</v>
      </c>
      <c r="P286" s="29">
        <f>IF(tblMovimientos[[#This Row],[Tipo de Movimiento]]="Ingreso",tblMovimientos[[#This Row],[Ingreso]],-tblMovimientos[[#This Row],[Egreso]])</f>
        <v>50000</v>
      </c>
    </row>
    <row r="287" spans="2:16" x14ac:dyDescent="0.3">
      <c r="B287" s="41">
        <v>46184</v>
      </c>
      <c r="C287" s="4" t="s">
        <v>22</v>
      </c>
      <c r="D287" s="43" t="s">
        <v>111</v>
      </c>
      <c r="E287" s="4" t="s">
        <v>37</v>
      </c>
      <c r="F287" s="43" t="s">
        <v>10</v>
      </c>
      <c r="G287" s="43" t="s">
        <v>64</v>
      </c>
      <c r="H287" s="4" t="str">
        <f>IFERROR(_xlfn.XLOOKUP(G287,Listas!E:E,Listas!F:F,""),"")</f>
        <v>Operativo</v>
      </c>
      <c r="I287" s="52" t="str">
        <f>IFERROR(_xlfn.XLOOKUP(G287,Listas!E:E,Listas!G:G,""),"")</f>
        <v>Interno</v>
      </c>
      <c r="J287" s="45">
        <v>50000</v>
      </c>
      <c r="K287" s="5">
        <v>-50000</v>
      </c>
      <c r="L287" s="15" t="s">
        <v>128</v>
      </c>
      <c r="M287" s="46">
        <v>1717.6000000000058</v>
      </c>
      <c r="N287" s="27" t="str">
        <f>IF(tblMovimientos[[#This Row],[Tipo de Movimiento]]="Ingreso",tblMovimientos[[#This Row],[Monto (S/)]],"0")</f>
        <v>0</v>
      </c>
      <c r="O287" s="27">
        <f>IF(tblMovimientos[[#This Row],[Tipo de Movimiento]]="Egreso",tblMovimientos[[#This Row],[Monto (S/)]],"0")</f>
        <v>50000</v>
      </c>
      <c r="P287" s="29">
        <f>IF(tblMovimientos[[#This Row],[Tipo de Movimiento]]="Ingreso",tblMovimientos[[#This Row],[Ingreso]],-tblMovimientos[[#This Row],[Egreso]])</f>
        <v>-50000</v>
      </c>
    </row>
    <row r="288" spans="2:16" x14ac:dyDescent="0.3">
      <c r="B288" s="41">
        <v>46184</v>
      </c>
      <c r="C288" s="4" t="s">
        <v>21</v>
      </c>
      <c r="D288" s="43" t="s">
        <v>104</v>
      </c>
      <c r="E288" s="4" t="s">
        <v>37</v>
      </c>
      <c r="F288" s="43" t="s">
        <v>10</v>
      </c>
      <c r="G288" s="43" t="s">
        <v>38</v>
      </c>
      <c r="H288" s="4" t="str">
        <f>IFERROR(_xlfn.XLOOKUP(G288,Listas!E:E,Listas!F:F,""),"")</f>
        <v>Operativo</v>
      </c>
      <c r="I288" s="52" t="str">
        <f>IFERROR(_xlfn.XLOOKUP(G288,Listas!E:E,Listas!G:G,""),"")</f>
        <v>Externo</v>
      </c>
      <c r="J288" s="45">
        <v>295</v>
      </c>
      <c r="K288" s="5">
        <v>-295</v>
      </c>
      <c r="L288" s="15" t="s">
        <v>128</v>
      </c>
      <c r="M288" s="46">
        <v>18249.799999999348</v>
      </c>
      <c r="N288" s="27" t="str">
        <f>IF(tblMovimientos[[#This Row],[Tipo de Movimiento]]="Ingreso",tblMovimientos[[#This Row],[Monto (S/)]],"0")</f>
        <v>0</v>
      </c>
      <c r="O288" s="27">
        <f>IF(tblMovimientos[[#This Row],[Tipo de Movimiento]]="Egreso",tblMovimientos[[#This Row],[Monto (S/)]],"0")</f>
        <v>295</v>
      </c>
      <c r="P288" s="29">
        <f>IF(tblMovimientos[[#This Row],[Tipo de Movimiento]]="Ingreso",tblMovimientos[[#This Row],[Ingreso]],-tblMovimientos[[#This Row],[Egreso]])</f>
        <v>-295</v>
      </c>
    </row>
    <row r="289" spans="1:16" x14ac:dyDescent="0.3">
      <c r="B289" s="41">
        <v>46184</v>
      </c>
      <c r="C289" s="4" t="s">
        <v>21</v>
      </c>
      <c r="D289" s="43" t="s">
        <v>104</v>
      </c>
      <c r="E289" s="4" t="s">
        <v>37</v>
      </c>
      <c r="F289" s="43" t="s">
        <v>10</v>
      </c>
      <c r="G289" s="43" t="s">
        <v>46</v>
      </c>
      <c r="H289" s="4" t="str">
        <f>IFERROR(_xlfn.XLOOKUP(G289,Listas!E:E,Listas!F:F,""),"")</f>
        <v>Financiamiento</v>
      </c>
      <c r="I289" s="52" t="str">
        <f>IFERROR(_xlfn.XLOOKUP(G289,Listas!E:E,Listas!G:G,""),"")</f>
        <v>Externo</v>
      </c>
      <c r="J289" s="45">
        <v>7319.44</v>
      </c>
      <c r="K289" s="5">
        <v>-7319.44</v>
      </c>
      <c r="L289" s="15" t="s">
        <v>128</v>
      </c>
      <c r="M289" s="46">
        <v>18249.799999999348</v>
      </c>
      <c r="N289" s="27" t="str">
        <f>IF(tblMovimientos[[#This Row],[Tipo de Movimiento]]="Ingreso",tblMovimientos[[#This Row],[Monto (S/)]],"0")</f>
        <v>0</v>
      </c>
      <c r="O289" s="27">
        <f>IF(tblMovimientos[[#This Row],[Tipo de Movimiento]]="Egreso",tblMovimientos[[#This Row],[Monto (S/)]],"0")</f>
        <v>7319.44</v>
      </c>
      <c r="P289" s="29">
        <f>IF(tblMovimientos[[#This Row],[Tipo de Movimiento]]="Ingreso",tblMovimientos[[#This Row],[Ingreso]],-tblMovimientos[[#This Row],[Egreso]])</f>
        <v>-7319.44</v>
      </c>
    </row>
    <row r="290" spans="1:16" x14ac:dyDescent="0.3">
      <c r="B290" s="41">
        <v>46184</v>
      </c>
      <c r="C290" s="4" t="s">
        <v>21</v>
      </c>
      <c r="D290" s="43" t="s">
        <v>104</v>
      </c>
      <c r="E290" s="4" t="s">
        <v>37</v>
      </c>
      <c r="F290" s="43" t="s">
        <v>10</v>
      </c>
      <c r="G290" s="43" t="s">
        <v>48</v>
      </c>
      <c r="H290" s="4" t="str">
        <f>IFERROR(_xlfn.XLOOKUP(G290,Listas!E:E,Listas!F:F,""),"")</f>
        <v>Financiamiento</v>
      </c>
      <c r="I290" s="52" t="str">
        <f>IFERROR(_xlfn.XLOOKUP(G290,Listas!E:E,Listas!G:G,""),"")</f>
        <v>Externo</v>
      </c>
      <c r="J290" s="45">
        <v>55455.56</v>
      </c>
      <c r="K290" s="5">
        <v>-55455.56</v>
      </c>
      <c r="L290" s="15" t="s">
        <v>128</v>
      </c>
      <c r="M290" s="46">
        <v>18249.799999999348</v>
      </c>
      <c r="N290" s="27" t="str">
        <f>IF(tblMovimientos[[#This Row],[Tipo de Movimiento]]="Ingreso",tblMovimientos[[#This Row],[Monto (S/)]],"0")</f>
        <v>0</v>
      </c>
      <c r="O290" s="27">
        <f>IF(tblMovimientos[[#This Row],[Tipo de Movimiento]]="Egreso",tblMovimientos[[#This Row],[Monto (S/)]],"0")</f>
        <v>55455.56</v>
      </c>
      <c r="P290" s="29">
        <f>IF(tblMovimientos[[#This Row],[Tipo de Movimiento]]="Ingreso",tblMovimientos[[#This Row],[Ingreso]],-tblMovimientos[[#This Row],[Egreso]])</f>
        <v>-55455.56</v>
      </c>
    </row>
    <row r="291" spans="1:16" x14ac:dyDescent="0.3">
      <c r="B291" s="41">
        <v>46184</v>
      </c>
      <c r="C291" s="4" t="s">
        <v>21</v>
      </c>
      <c r="D291" s="43" t="s">
        <v>104</v>
      </c>
      <c r="E291" s="4" t="s">
        <v>37</v>
      </c>
      <c r="F291" s="43" t="s">
        <v>10</v>
      </c>
      <c r="G291" s="43" t="s">
        <v>48</v>
      </c>
      <c r="H291" s="4" t="str">
        <f>IFERROR(_xlfn.XLOOKUP(G291,Listas!E:E,Listas!F:F,""),"")</f>
        <v>Financiamiento</v>
      </c>
      <c r="I291" s="52" t="str">
        <f>IFERROR(_xlfn.XLOOKUP(G291,Listas!E:E,Listas!G:G,""),"")</f>
        <v>Externo</v>
      </c>
      <c r="J291" s="45">
        <v>102472.22</v>
      </c>
      <c r="K291" s="5">
        <v>-102472.22</v>
      </c>
      <c r="L291" s="15" t="s">
        <v>128</v>
      </c>
      <c r="M291" s="46">
        <v>18249.799999999348</v>
      </c>
      <c r="N291" s="27" t="str">
        <f>IF(tblMovimientos[[#This Row],[Tipo de Movimiento]]="Ingreso",tblMovimientos[[#This Row],[Monto (S/)]],"0")</f>
        <v>0</v>
      </c>
      <c r="O291" s="27">
        <f>IF(tblMovimientos[[#This Row],[Tipo de Movimiento]]="Egreso",tblMovimientos[[#This Row],[Monto (S/)]],"0")</f>
        <v>102472.22</v>
      </c>
      <c r="P291" s="29">
        <f>IF(tblMovimientos[[#This Row],[Tipo de Movimiento]]="Ingreso",tblMovimientos[[#This Row],[Ingreso]],-tblMovimientos[[#This Row],[Egreso]])</f>
        <v>-102472.22</v>
      </c>
    </row>
    <row r="292" spans="1:16" x14ac:dyDescent="0.3">
      <c r="B292" s="41">
        <v>46184</v>
      </c>
      <c r="C292" s="4" t="s">
        <v>21</v>
      </c>
      <c r="D292" s="43" t="s">
        <v>104</v>
      </c>
      <c r="E292" s="4" t="s">
        <v>37</v>
      </c>
      <c r="F292" s="43" t="s">
        <v>10</v>
      </c>
      <c r="G292" s="43" t="s">
        <v>64</v>
      </c>
      <c r="H292" s="4" t="str">
        <f>IFERROR(_xlfn.XLOOKUP(G292,Listas!E:E,Listas!F:F,""),"")</f>
        <v>Operativo</v>
      </c>
      <c r="I292" s="52" t="str">
        <f>IFERROR(_xlfn.XLOOKUP(G292,Listas!E:E,Listas!G:G,""),"")</f>
        <v>Interno</v>
      </c>
      <c r="J292" s="45">
        <v>50000</v>
      </c>
      <c r="K292" s="5">
        <v>-50000</v>
      </c>
      <c r="L292" s="15" t="s">
        <v>128</v>
      </c>
      <c r="M292" s="46">
        <v>18249.799999999348</v>
      </c>
      <c r="N292" s="27" t="str">
        <f>IF(tblMovimientos[[#This Row],[Tipo de Movimiento]]="Ingreso",tblMovimientos[[#This Row],[Monto (S/)]],"0")</f>
        <v>0</v>
      </c>
      <c r="O292" s="27">
        <f>IF(tblMovimientos[[#This Row],[Tipo de Movimiento]]="Egreso",tblMovimientos[[#This Row],[Monto (S/)]],"0")</f>
        <v>50000</v>
      </c>
      <c r="P292" s="29">
        <f>IF(tblMovimientos[[#This Row],[Tipo de Movimiento]]="Ingreso",tblMovimientos[[#This Row],[Ingreso]],-tblMovimientos[[#This Row],[Egreso]])</f>
        <v>-50000</v>
      </c>
    </row>
    <row r="293" spans="1:16" x14ac:dyDescent="0.3">
      <c r="B293" s="41">
        <v>46184</v>
      </c>
      <c r="C293" s="4" t="s">
        <v>21</v>
      </c>
      <c r="D293" s="43" t="s">
        <v>104</v>
      </c>
      <c r="E293" s="4" t="s">
        <v>37</v>
      </c>
      <c r="F293" s="43" t="s">
        <v>10</v>
      </c>
      <c r="G293" s="43" t="s">
        <v>64</v>
      </c>
      <c r="H293" s="4" t="str">
        <f>IFERROR(_xlfn.XLOOKUP(G293,Listas!E:E,Listas!F:F,""),"")</f>
        <v>Operativo</v>
      </c>
      <c r="I293" s="52" t="str">
        <f>IFERROR(_xlfn.XLOOKUP(G293,Listas!E:E,Listas!G:G,""),"")</f>
        <v>Interno</v>
      </c>
      <c r="J293" s="45">
        <v>50000</v>
      </c>
      <c r="K293" s="5">
        <v>-50000</v>
      </c>
      <c r="L293" s="15" t="s">
        <v>128</v>
      </c>
      <c r="M293" s="46">
        <v>18249.799999999348</v>
      </c>
      <c r="N293" s="27" t="str">
        <f>IF(tblMovimientos[[#This Row],[Tipo de Movimiento]]="Ingreso",tblMovimientos[[#This Row],[Monto (S/)]],"0")</f>
        <v>0</v>
      </c>
      <c r="O293" s="27">
        <f>IF(tblMovimientos[[#This Row],[Tipo de Movimiento]]="Egreso",tblMovimientos[[#This Row],[Monto (S/)]],"0")</f>
        <v>50000</v>
      </c>
      <c r="P293" s="29">
        <f>IF(tblMovimientos[[#This Row],[Tipo de Movimiento]]="Ingreso",tblMovimientos[[#This Row],[Ingreso]],-tblMovimientos[[#This Row],[Egreso]])</f>
        <v>-50000</v>
      </c>
    </row>
    <row r="294" spans="1:16" x14ac:dyDescent="0.3">
      <c r="B294" s="41">
        <v>46184</v>
      </c>
      <c r="C294" s="4" t="s">
        <v>21</v>
      </c>
      <c r="D294" s="43" t="s">
        <v>104</v>
      </c>
      <c r="E294" s="4" t="s">
        <v>37</v>
      </c>
      <c r="F294" s="43" t="s">
        <v>10</v>
      </c>
      <c r="G294" s="43" t="s">
        <v>52</v>
      </c>
      <c r="H294" s="4" t="str">
        <f>IFERROR(_xlfn.XLOOKUP(G294,Listas!E:E,Listas!F:F,""),"")</f>
        <v>Inversion</v>
      </c>
      <c r="I294" s="52" t="str">
        <f>IFERROR(_xlfn.XLOOKUP(G294,Listas!E:E,Listas!G:G,""),"")</f>
        <v>Externo</v>
      </c>
      <c r="J294" s="45">
        <v>100000</v>
      </c>
      <c r="K294" s="5">
        <v>-100000</v>
      </c>
      <c r="L294" s="15" t="s">
        <v>128</v>
      </c>
      <c r="M294" s="46">
        <v>18249.799999999348</v>
      </c>
      <c r="N294" s="27" t="str">
        <f>IF(tblMovimientos[[#This Row],[Tipo de Movimiento]]="Ingreso",tblMovimientos[[#This Row],[Monto (S/)]],"0")</f>
        <v>0</v>
      </c>
      <c r="O294" s="27">
        <f>IF(tblMovimientos[[#This Row],[Tipo de Movimiento]]="Egreso",tblMovimientos[[#This Row],[Monto (S/)]],"0")</f>
        <v>100000</v>
      </c>
      <c r="P294" s="29">
        <f>IF(tblMovimientos[[#This Row],[Tipo de Movimiento]]="Ingreso",tblMovimientos[[#This Row],[Ingreso]],-tblMovimientos[[#This Row],[Egreso]])</f>
        <v>-100000</v>
      </c>
    </row>
    <row r="295" spans="1:16" x14ac:dyDescent="0.3">
      <c r="B295" s="41">
        <v>46184</v>
      </c>
      <c r="C295" s="4" t="s">
        <v>34</v>
      </c>
      <c r="D295" s="43" t="s">
        <v>125</v>
      </c>
      <c r="E295" s="4" t="s">
        <v>37</v>
      </c>
      <c r="F295" s="43" t="s">
        <v>9</v>
      </c>
      <c r="G295" s="43" t="s">
        <v>75</v>
      </c>
      <c r="H295" s="4" t="str">
        <f>IFERROR(_xlfn.XLOOKUP(G295,Listas!E:E,Listas!F:F,""),"")</f>
        <v>Financiamiento</v>
      </c>
      <c r="I295" s="52" t="str">
        <f>IFERROR(_xlfn.XLOOKUP(G295,Listas!E:E,Listas!G:G,""),"")</f>
        <v>Interno</v>
      </c>
      <c r="J295" s="45">
        <v>50000</v>
      </c>
      <c r="K295" s="5">
        <v>50000</v>
      </c>
      <c r="L295" s="15" t="s">
        <v>128</v>
      </c>
      <c r="M295" s="46">
        <v>345</v>
      </c>
      <c r="N295" s="27">
        <f>IF(tblMovimientos[[#This Row],[Tipo de Movimiento]]="Ingreso",tblMovimientos[[#This Row],[Monto (S/)]],"0")</f>
        <v>50000</v>
      </c>
      <c r="O295" s="27" t="str">
        <f>IF(tblMovimientos[[#This Row],[Tipo de Movimiento]]="Egreso",tblMovimientos[[#This Row],[Monto (S/)]],"0")</f>
        <v>0</v>
      </c>
      <c r="P295" s="29">
        <f>IF(tblMovimientos[[#This Row],[Tipo de Movimiento]]="Ingreso",tblMovimientos[[#This Row],[Ingreso]],-tblMovimientos[[#This Row],[Egreso]])</f>
        <v>50000</v>
      </c>
    </row>
    <row r="296" spans="1:16" x14ac:dyDescent="0.3">
      <c r="B296" s="41">
        <v>46184</v>
      </c>
      <c r="C296" s="4" t="s">
        <v>34</v>
      </c>
      <c r="D296" s="43" t="s">
        <v>125</v>
      </c>
      <c r="E296" s="4" t="s">
        <v>37</v>
      </c>
      <c r="F296" s="43" t="s">
        <v>10</v>
      </c>
      <c r="G296" s="43" t="s">
        <v>64</v>
      </c>
      <c r="H296" s="4" t="str">
        <f>IFERROR(_xlfn.XLOOKUP(G296,Listas!E:E,Listas!F:F,""),"")</f>
        <v>Operativo</v>
      </c>
      <c r="I296" s="52" t="str">
        <f>IFERROR(_xlfn.XLOOKUP(G296,Listas!E:E,Listas!G:G,""),"")</f>
        <v>Interno</v>
      </c>
      <c r="J296" s="45">
        <v>50000</v>
      </c>
      <c r="K296" s="5">
        <v>-50000</v>
      </c>
      <c r="L296" s="15" t="s">
        <v>128</v>
      </c>
      <c r="M296" s="46">
        <v>345</v>
      </c>
      <c r="N296" s="27" t="str">
        <f>IF(tblMovimientos[[#This Row],[Tipo de Movimiento]]="Ingreso",tblMovimientos[[#This Row],[Monto (S/)]],"0")</f>
        <v>0</v>
      </c>
      <c r="O296" s="27">
        <f>IF(tblMovimientos[[#This Row],[Tipo de Movimiento]]="Egreso",tblMovimientos[[#This Row],[Monto (S/)]],"0")</f>
        <v>50000</v>
      </c>
      <c r="P296" s="29">
        <f>IF(tblMovimientos[[#This Row],[Tipo de Movimiento]]="Ingreso",tblMovimientos[[#This Row],[Ingreso]],-tblMovimientos[[#This Row],[Egreso]])</f>
        <v>-50000</v>
      </c>
    </row>
    <row r="297" spans="1:16" x14ac:dyDescent="0.3">
      <c r="B297" s="41">
        <v>46174</v>
      </c>
      <c r="C297" s="4" t="s">
        <v>35</v>
      </c>
      <c r="D297" s="43" t="s">
        <v>126</v>
      </c>
      <c r="E297" s="4" t="s">
        <v>37</v>
      </c>
      <c r="F297" s="43" t="s">
        <v>10</v>
      </c>
      <c r="G297" s="43" t="s">
        <v>38</v>
      </c>
      <c r="H297" s="4" t="str">
        <f>IFERROR(_xlfn.XLOOKUP(G297,Listas!E:E,Listas!F:F,""),"")</f>
        <v>Operativo</v>
      </c>
      <c r="I297" s="52" t="str">
        <f>IFERROR(_xlfn.XLOOKUP(G297,Listas!E:E,Listas!G:G,""),"")</f>
        <v>Externo</v>
      </c>
      <c r="J297" s="45">
        <v>1593.39</v>
      </c>
      <c r="K297" s="5">
        <v>-1593.39</v>
      </c>
      <c r="L297" s="15" t="s">
        <v>128</v>
      </c>
      <c r="M297" s="46">
        <v>6824.47</v>
      </c>
      <c r="N297" s="27" t="str">
        <f>IF(tblMovimientos[[#This Row],[Tipo de Movimiento]]="Ingreso",tblMovimientos[[#This Row],[Monto (S/)]],"0")</f>
        <v>0</v>
      </c>
      <c r="O297" s="27">
        <f>IF(tblMovimientos[[#This Row],[Tipo de Movimiento]]="Egreso",tblMovimientos[[#This Row],[Monto (S/)]],"0")</f>
        <v>1593.39</v>
      </c>
      <c r="P297" s="29">
        <f>IF(tblMovimientos[[#This Row],[Tipo de Movimiento]]="Ingreso",tblMovimientos[[#This Row],[Ingreso]],-tblMovimientos[[#This Row],[Egreso]])</f>
        <v>-1593.39</v>
      </c>
    </row>
    <row r="298" spans="1:16" x14ac:dyDescent="0.3">
      <c r="B298" s="41">
        <v>46189</v>
      </c>
      <c r="C298" s="4" t="str">
        <f>_xlfn.XLOOKUP(tblMovimientos[[#This Row],[Cuenta Bancaria]],Listas!$B:$B,Listas!$A:$A,"")</f>
        <v>Go Blue</v>
      </c>
      <c r="D298" s="43" t="s">
        <v>126</v>
      </c>
      <c r="E298" s="4" t="str">
        <f>_xlfn.XLOOKUP(tblMovimientos[[#This Row],[Cuenta Bancaria]],Listas!$B:$B,Listas!$C:$C,"")</f>
        <v xml:space="preserve">Amerant Bank </v>
      </c>
      <c r="F298" s="43" t="s">
        <v>10</v>
      </c>
      <c r="G298" s="43" t="s">
        <v>38</v>
      </c>
      <c r="H298" s="4" t="str">
        <f>IFERROR(_xlfn.XLOOKUP(G298,Listas!E:E,Listas!F:F,""),"")</f>
        <v>Operativo</v>
      </c>
      <c r="I298" s="52" t="str">
        <f>IFERROR(_xlfn.XLOOKUP(G298,Listas!E:E,Listas!G:G,""),"")</f>
        <v>Externo</v>
      </c>
      <c r="J298" s="45">
        <v>2161.7199999999998</v>
      </c>
      <c r="K298" s="5">
        <f>IF(F298="Ingreso",J298,-J298)</f>
        <v>-2161.7199999999998</v>
      </c>
      <c r="L298" s="15" t="s">
        <v>128</v>
      </c>
      <c r="M298" s="46">
        <f>SUMIFS('Saldos Iniciales'!$D$2:$D$38,'Saldos Iniciales'!$A$2:$A$38,C298,'Saldos Iniciales'!$B$2:$B$38,D298)+SUMIFS($K$1:$K$363,$C$1:$C$363,C298,$D$1:$D$363,D298,$B$1:$B$363,"&lt;="&amp;B298)</f>
        <v>46041.01</v>
      </c>
      <c r="N298" s="27" t="str">
        <f>IF(tblMovimientos[[#This Row],[Tipo de Movimiento]]="Ingreso",tblMovimientos[[#This Row],[Monto (S/)]],"0")</f>
        <v>0</v>
      </c>
      <c r="O298" s="27">
        <f>IF(tblMovimientos[[#This Row],[Tipo de Movimiento]]="Egreso",tblMovimientos[[#This Row],[Monto (S/)]],"0")</f>
        <v>2161.7199999999998</v>
      </c>
      <c r="P298" s="29">
        <f>IF(tblMovimientos[[#This Row],[Tipo de Movimiento]]="Ingreso",tblMovimientos[[#This Row],[Ingreso]],-tblMovimientos[[#This Row],[Egreso]])</f>
        <v>-2161.7199999999998</v>
      </c>
    </row>
    <row r="299" spans="1:16" x14ac:dyDescent="0.3">
      <c r="B299" s="41">
        <v>46177</v>
      </c>
      <c r="C299" s="4" t="s">
        <v>35</v>
      </c>
      <c r="D299" s="43" t="s">
        <v>126</v>
      </c>
      <c r="E299" s="4" t="s">
        <v>37</v>
      </c>
      <c r="F299" s="43" t="s">
        <v>10</v>
      </c>
      <c r="G299" s="43" t="s">
        <v>38</v>
      </c>
      <c r="H299" s="4" t="str">
        <f>IFERROR(_xlfn.XLOOKUP(G299,Listas!E:E,Listas!F:F,""),"")</f>
        <v>Operativo</v>
      </c>
      <c r="I299" s="52" t="str">
        <f>IFERROR(_xlfn.XLOOKUP(G299,Listas!E:E,Listas!G:G,""),"")</f>
        <v>Externo</v>
      </c>
      <c r="J299" s="45">
        <v>2175</v>
      </c>
      <c r="K299" s="5">
        <v>-2175</v>
      </c>
      <c r="L299" s="15" t="s">
        <v>128</v>
      </c>
      <c r="M299" s="46">
        <v>2422.7400000000016</v>
      </c>
      <c r="N299" s="27" t="str">
        <f>IF(tblMovimientos[[#This Row],[Tipo de Movimiento]]="Ingreso",tblMovimientos[[#This Row],[Monto (S/)]],"0")</f>
        <v>0</v>
      </c>
      <c r="O299" s="27">
        <f>IF(tblMovimientos[[#This Row],[Tipo de Movimiento]]="Egreso",tblMovimientos[[#This Row],[Monto (S/)]],"0")</f>
        <v>2175</v>
      </c>
      <c r="P299" s="29">
        <f>IF(tblMovimientos[[#This Row],[Tipo de Movimiento]]="Ingreso",tblMovimientos[[#This Row],[Ingreso]],-tblMovimientos[[#This Row],[Egreso]])</f>
        <v>-2175</v>
      </c>
    </row>
    <row r="300" spans="1:16" x14ac:dyDescent="0.3">
      <c r="B300" s="41">
        <v>46185</v>
      </c>
      <c r="C300" s="4" t="str">
        <f>_xlfn.XLOOKUP(tblMovimientos[[#This Row],[Cuenta Bancaria]],Listas!$B:$B,Listas!$A:$A,"")</f>
        <v>SSP Capital</v>
      </c>
      <c r="D300" s="43" t="s">
        <v>101</v>
      </c>
      <c r="E300" s="4" t="str">
        <f>_xlfn.XLOOKUP(tblMovimientos[[#This Row],[Cuenta Bancaria]],Listas!$B:$B,Listas!$C:$C,"")</f>
        <v>Bank of America</v>
      </c>
      <c r="F300" s="43" t="s">
        <v>10</v>
      </c>
      <c r="G300" s="43" t="s">
        <v>38</v>
      </c>
      <c r="H300" s="4" t="str">
        <f>IFERROR(_xlfn.XLOOKUP(G300,Listas!E:E,Listas!F:F,""),"")</f>
        <v>Operativo</v>
      </c>
      <c r="I300" s="52" t="str">
        <f>IFERROR(_xlfn.XLOOKUP(G300,Listas!E:E,Listas!G:G,""),"")</f>
        <v>Externo</v>
      </c>
      <c r="J300" s="45">
        <v>1383</v>
      </c>
      <c r="K300" s="5">
        <f t="shared" ref="K300:K323" si="0">IF(F300="Ingreso",J300,-J300)</f>
        <v>-1383</v>
      </c>
      <c r="L300" s="15" t="s">
        <v>128</v>
      </c>
      <c r="M300" s="46">
        <f>SUMIFS('Saldos Iniciales'!$D$2:$D$38,'Saldos Iniciales'!$A$2:$A$38,C300,'Saldos Iniciales'!$B$2:$B$38,D300)+SUMIFS($K$1:$K$363,$C$1:$C$363,C300,$D$1:$D$363,D300,$B$1:$B$363,"&lt;="&amp;B300)</f>
        <v>14961.88</v>
      </c>
      <c r="N300" s="27" t="str">
        <f>IF(tblMovimientos[[#This Row],[Tipo de Movimiento]]="Ingreso",tblMovimientos[[#This Row],[Monto (S/)]],"0")</f>
        <v>0</v>
      </c>
      <c r="O300" s="27">
        <f>IF(tblMovimientos[[#This Row],[Tipo de Movimiento]]="Egreso",tblMovimientos[[#This Row],[Monto (S/)]],"0")</f>
        <v>1383</v>
      </c>
      <c r="P300" s="29">
        <f>IF(tblMovimientos[[#This Row],[Tipo de Movimiento]]="Ingreso",tblMovimientos[[#This Row],[Ingreso]],-tblMovimientos[[#This Row],[Egreso]])</f>
        <v>-1383</v>
      </c>
    </row>
    <row r="301" spans="1:16" x14ac:dyDescent="0.3">
      <c r="B301" s="41">
        <v>46185</v>
      </c>
      <c r="C301" s="4" t="str">
        <f>_xlfn.XLOOKUP(tblMovimientos[[#This Row],[Cuenta Bancaria]],Listas!$B:$B,Listas!$A:$A,"")</f>
        <v>2515 Overbrook</v>
      </c>
      <c r="D301" s="43" t="s">
        <v>121</v>
      </c>
      <c r="E301" s="4" t="str">
        <f>_xlfn.XLOOKUP(tblMovimientos[[#This Row],[Cuenta Bancaria]],Listas!$B:$B,Listas!$C:$C,"")</f>
        <v>Bank of America</v>
      </c>
      <c r="F301" s="43" t="s">
        <v>9</v>
      </c>
      <c r="G301" s="43" t="s">
        <v>81</v>
      </c>
      <c r="H301" s="4" t="str">
        <f>IFERROR(_xlfn.XLOOKUP(G301,Listas!E:E,Listas!F:F,""),"")</f>
        <v>Operativo</v>
      </c>
      <c r="I301" s="52" t="str">
        <f>IFERROR(_xlfn.XLOOKUP(G301,Listas!E:E,Listas!G:G,""),"")</f>
        <v>Externo</v>
      </c>
      <c r="J301" s="45">
        <v>2000</v>
      </c>
      <c r="K301" s="5">
        <f t="shared" si="0"/>
        <v>2000</v>
      </c>
      <c r="L301" s="15" t="s">
        <v>128</v>
      </c>
      <c r="M301" s="46">
        <f>SUMIFS('Saldos Iniciales'!$D$2:$D$38,'Saldos Iniciales'!$A$2:$A$38,C301,'Saldos Iniciales'!$B$2:$B$38,D301)+SUMIFS($K$1:$K$363,$C$1:$C$363,C301,$D$1:$D$363,D301,$B$1:$B$363,"&lt;="&amp;B301)</f>
        <v>27459.549999999963</v>
      </c>
      <c r="N301" s="27">
        <f>IF(tblMovimientos[[#This Row],[Tipo de Movimiento]]="Ingreso",tblMovimientos[[#This Row],[Monto (S/)]],"0")</f>
        <v>2000</v>
      </c>
      <c r="O301" s="27" t="str">
        <f>IF(tblMovimientos[[#This Row],[Tipo de Movimiento]]="Egreso",tblMovimientos[[#This Row],[Monto (S/)]],"0")</f>
        <v>0</v>
      </c>
      <c r="P301" s="29">
        <f>IF(tblMovimientos[[#This Row],[Tipo de Movimiento]]="Ingreso",tblMovimientos[[#This Row],[Ingreso]],-tblMovimientos[[#This Row],[Egreso]])</f>
        <v>2000</v>
      </c>
    </row>
    <row r="302" spans="1:16" x14ac:dyDescent="0.3">
      <c r="B302" s="41">
        <v>46185</v>
      </c>
      <c r="C302" s="4" t="str">
        <f>_xlfn.XLOOKUP(tblMovimientos[[#This Row],[Cuenta Bancaria]],Listas!$B:$B,Listas!$A:$A,"")</f>
        <v>3628 Thomas Ave</v>
      </c>
      <c r="D302" s="43" t="s">
        <v>124</v>
      </c>
      <c r="E302" s="4" t="str">
        <f>_xlfn.XLOOKUP(tblMovimientos[[#This Row],[Cuenta Bancaria]],Listas!$B:$B,Listas!$C:$C,"")</f>
        <v>Bank of America</v>
      </c>
      <c r="F302" s="43" t="s">
        <v>10</v>
      </c>
      <c r="G302" s="43" t="s">
        <v>38</v>
      </c>
      <c r="H302" s="4" t="str">
        <f>IFERROR(_xlfn.XLOOKUP(G302,Listas!E:E,Listas!F:F,""),"")</f>
        <v>Operativo</v>
      </c>
      <c r="I302" s="52" t="str">
        <f>IFERROR(_xlfn.XLOOKUP(G302,Listas!E:E,Listas!G:G,""),"")</f>
        <v>Externo</v>
      </c>
      <c r="J302" s="45">
        <v>259.13</v>
      </c>
      <c r="K302" s="5">
        <f t="shared" si="0"/>
        <v>-259.13</v>
      </c>
      <c r="L302" s="15" t="s">
        <v>128</v>
      </c>
      <c r="M302" s="46">
        <f>SUMIFS('Saldos Iniciales'!$D$2:$D$38,'Saldos Iniciales'!$A$2:$A$38,C302,'Saldos Iniciales'!$B$2:$B$38,D302)+SUMIFS($K$1:$K$363,$C$1:$C$363,C302,$D$1:$D$363,D302,$B$1:$B$363,"&lt;="&amp;B302)</f>
        <v>24484.85</v>
      </c>
      <c r="N302" s="27" t="str">
        <f>IF(tblMovimientos[[#This Row],[Tipo de Movimiento]]="Ingreso",tblMovimientos[[#This Row],[Monto (S/)]],"0")</f>
        <v>0</v>
      </c>
      <c r="O302" s="27">
        <f>IF(tblMovimientos[[#This Row],[Tipo de Movimiento]]="Egreso",tblMovimientos[[#This Row],[Monto (S/)]],"0")</f>
        <v>259.13</v>
      </c>
      <c r="P302" s="29">
        <f>IF(tblMovimientos[[#This Row],[Tipo de Movimiento]]="Ingreso",tblMovimientos[[#This Row],[Ingreso]],-tblMovimientos[[#This Row],[Egreso]])</f>
        <v>-259.13</v>
      </c>
    </row>
    <row r="303" spans="1:16" x14ac:dyDescent="0.3">
      <c r="A303" s="51"/>
      <c r="B303" s="41">
        <v>46185</v>
      </c>
      <c r="C303" s="52" t="str">
        <f>_xlfn.XLOOKUP(tblMovimientos[[#This Row],[Cuenta Bancaria]],Listas!$B:$B,Listas!$A:$A,"")</f>
        <v>SSP Capital</v>
      </c>
      <c r="D303" s="43" t="s">
        <v>104</v>
      </c>
      <c r="E303" s="52" t="str">
        <f>_xlfn.XLOOKUP(tblMovimientos[[#This Row],[Cuenta Bancaria]],Listas!$B:$B,Listas!$C:$C,"")</f>
        <v xml:space="preserve">Amerant Bank </v>
      </c>
      <c r="F303" s="43" t="s">
        <v>9</v>
      </c>
      <c r="G303" s="43" t="s">
        <v>76</v>
      </c>
      <c r="H303" s="4" t="str">
        <f>IFERROR(_xlfn.XLOOKUP(G303,Listas!E:E,Listas!F:F,""),"")</f>
        <v>Financiamiento</v>
      </c>
      <c r="I303" s="52" t="str">
        <f>IFERROR(_xlfn.XLOOKUP(G303,Listas!E:E,Listas!G:G,""),"")</f>
        <v>Externo</v>
      </c>
      <c r="J303" s="45">
        <v>2970000</v>
      </c>
      <c r="K303" s="53">
        <f t="shared" si="0"/>
        <v>2970000</v>
      </c>
      <c r="L303" s="15" t="s">
        <v>128</v>
      </c>
      <c r="M303" s="46">
        <f>SUMIFS('Saldos Iniciales'!$D$2:$D$38,'Saldos Iniciales'!$A$2:$A$38,C303,'Saldos Iniciales'!$B$2:$B$38,D303)+SUMIFS($K$1:$K$363,$C$1:$C$363,C303,$D$1:$D$363,D303,$B$1:$B$363,"&lt;="&amp;B303)</f>
        <v>2988249.7999999993</v>
      </c>
      <c r="N303" s="27">
        <f>IF(tblMovimientos[[#This Row],[Tipo de Movimiento]]="Ingreso",tblMovimientos[[#This Row],[Monto (S/)]],"0")</f>
        <v>2970000</v>
      </c>
      <c r="O303" s="27" t="str">
        <f>IF(tblMovimientos[[#This Row],[Tipo de Movimiento]]="Egreso",tblMovimientos[[#This Row],[Monto (S/)]],"0")</f>
        <v>0</v>
      </c>
      <c r="P303" s="29">
        <f>IF(tblMovimientos[[#This Row],[Tipo de Movimiento]]="Ingreso",tblMovimientos[[#This Row],[Ingreso]],-tblMovimientos[[#This Row],[Egreso]])</f>
        <v>2970000</v>
      </c>
    </row>
    <row r="304" spans="1:16" x14ac:dyDescent="0.3">
      <c r="B304" s="41">
        <v>46188</v>
      </c>
      <c r="C304" s="4" t="str">
        <f>_xlfn.XLOOKUP(tblMovimientos[[#This Row],[Cuenta Bancaria]],Listas!$B:$B,Listas!$A:$A,"")</f>
        <v>CFT Group</v>
      </c>
      <c r="D304" s="43" t="s">
        <v>95</v>
      </c>
      <c r="E304" s="52" t="str">
        <f>_xlfn.XLOOKUP(tblMovimientos[[#This Row],[Cuenta Bancaria]],Listas!$B:$B,Listas!$C:$C,"")</f>
        <v xml:space="preserve">Amerant Bank </v>
      </c>
      <c r="F304" s="43" t="s">
        <v>9</v>
      </c>
      <c r="G304" s="43" t="s">
        <v>85</v>
      </c>
      <c r="H304" s="4" t="str">
        <f>IFERROR(_xlfn.XLOOKUP(G304,Listas!E:E,Listas!F:F,""),"")</f>
        <v>Operativo</v>
      </c>
      <c r="I304" s="52" t="str">
        <f>IFERROR(_xlfn.XLOOKUP(G304,Listas!E:E,Listas!G:G,""),"")</f>
        <v>Interno</v>
      </c>
      <c r="J304" s="45">
        <v>270000</v>
      </c>
      <c r="K304" s="53">
        <f t="shared" si="0"/>
        <v>270000</v>
      </c>
      <c r="L304" s="15" t="s">
        <v>128</v>
      </c>
      <c r="M304" s="46">
        <f>SUMIFS('Saldos Iniciales'!$D$2:$D$38,'Saldos Iniciales'!$A$2:$A$38,C304,'Saldos Iniciales'!$B$2:$B$38,D304)+SUMIFS($K$1:$K$363,$C$1:$C$363,C304,$D$1:$D$363,D304,$B$1:$B$363,"&lt;="&amp;B304)</f>
        <v>968878.52000000025</v>
      </c>
      <c r="N304" s="27">
        <f>IF(tblMovimientos[[#This Row],[Tipo de Movimiento]]="Ingreso",tblMovimientos[[#This Row],[Monto (S/)]],"0")</f>
        <v>270000</v>
      </c>
      <c r="O304" s="27" t="str">
        <f>IF(tblMovimientos[[#This Row],[Tipo de Movimiento]]="Egreso",tblMovimientos[[#This Row],[Monto (S/)]],"0")</f>
        <v>0</v>
      </c>
      <c r="P304" s="29">
        <f>IF(tblMovimientos[[#This Row],[Tipo de Movimiento]]="Ingreso",tblMovimientos[[#This Row],[Ingreso]],-tblMovimientos[[#This Row],[Egreso]])</f>
        <v>270000</v>
      </c>
    </row>
    <row r="305" spans="2:16" x14ac:dyDescent="0.3">
      <c r="B305" s="41">
        <v>46188</v>
      </c>
      <c r="C305" s="4" t="str">
        <f>_xlfn.XLOOKUP(tblMovimientos[[#This Row],[Cuenta Bancaria]],Listas!$B:$B,Listas!$A:$A,"")</f>
        <v>CFT Group</v>
      </c>
      <c r="D305" s="43" t="s">
        <v>95</v>
      </c>
      <c r="E305" s="52" t="str">
        <f>_xlfn.XLOOKUP(tblMovimientos[[#This Row],[Cuenta Bancaria]],Listas!$B:$B,Listas!$C:$C,"")</f>
        <v xml:space="preserve">Amerant Bank </v>
      </c>
      <c r="F305" s="43" t="s">
        <v>10</v>
      </c>
      <c r="G305" s="43" t="s">
        <v>48</v>
      </c>
      <c r="H305" s="4" t="str">
        <f>IFERROR(_xlfn.XLOOKUP(G305,Listas!E:E,Listas!F:F,""),"")</f>
        <v>Financiamiento</v>
      </c>
      <c r="I305" s="52" t="str">
        <f>IFERROR(_xlfn.XLOOKUP(G305,Listas!E:E,Listas!G:G,""),"")</f>
        <v>Externo</v>
      </c>
      <c r="J305" s="45">
        <v>2366.67</v>
      </c>
      <c r="K305" s="53">
        <f t="shared" si="0"/>
        <v>-2366.67</v>
      </c>
      <c r="L305" s="15" t="s">
        <v>128</v>
      </c>
      <c r="M305" s="46">
        <f>SUMIFS('Saldos Iniciales'!$D$2:$D$38,'Saldos Iniciales'!$A$2:$A$38,C305,'Saldos Iniciales'!$B$2:$B$38,D305)+SUMIFS($K$1:$K$363,$C$1:$C$363,C305,$D$1:$D$363,D305,$B$1:$B$363,"&lt;="&amp;B305)</f>
        <v>968878.52000000025</v>
      </c>
      <c r="N305" s="27" t="str">
        <f>IF(tblMovimientos[[#This Row],[Tipo de Movimiento]]="Ingreso",tblMovimientos[[#This Row],[Monto (S/)]],"0")</f>
        <v>0</v>
      </c>
      <c r="O305" s="27">
        <f>IF(tblMovimientos[[#This Row],[Tipo de Movimiento]]="Egreso",tblMovimientos[[#This Row],[Monto (S/)]],"0")</f>
        <v>2366.67</v>
      </c>
      <c r="P305" s="29">
        <f>IF(tblMovimientos[[#This Row],[Tipo de Movimiento]]="Ingreso",tblMovimientos[[#This Row],[Ingreso]],-tblMovimientos[[#This Row],[Egreso]])</f>
        <v>-2366.67</v>
      </c>
    </row>
    <row r="306" spans="2:16" x14ac:dyDescent="0.3">
      <c r="B306" s="41">
        <v>46188</v>
      </c>
      <c r="C306" s="4" t="str">
        <f>_xlfn.XLOOKUP(tblMovimientos[[#This Row],[Cuenta Bancaria]],Listas!$B:$B,Listas!$A:$A,"")</f>
        <v>CFT Group</v>
      </c>
      <c r="D306" s="43" t="s">
        <v>95</v>
      </c>
      <c r="E306" s="52" t="str">
        <f>_xlfn.XLOOKUP(tblMovimientos[[#This Row],[Cuenta Bancaria]],Listas!$B:$B,Listas!$C:$C,"")</f>
        <v xml:space="preserve">Amerant Bank </v>
      </c>
      <c r="F306" s="43" t="s">
        <v>10</v>
      </c>
      <c r="G306" s="43" t="s">
        <v>48</v>
      </c>
      <c r="H306" s="4" t="str">
        <f>IFERROR(_xlfn.XLOOKUP(G306,Listas!E:E,Listas!F:F,""),"")</f>
        <v>Financiamiento</v>
      </c>
      <c r="I306" s="52" t="str">
        <f>IFERROR(_xlfn.XLOOKUP(G306,Listas!E:E,Listas!G:G,""),"")</f>
        <v>Externo</v>
      </c>
      <c r="J306" s="45">
        <v>3500</v>
      </c>
      <c r="K306" s="53">
        <f t="shared" si="0"/>
        <v>-3500</v>
      </c>
      <c r="L306" s="15" t="s">
        <v>128</v>
      </c>
      <c r="M306" s="46">
        <f>SUMIFS('Saldos Iniciales'!$D$2:$D$38,'Saldos Iniciales'!$A$2:$A$38,C306,'Saldos Iniciales'!$B$2:$B$38,D306)+SUMIFS($K$1:$K$363,$C$1:$C$363,C306,$D$1:$D$363,D306,$B$1:$B$363,"&lt;="&amp;B306)</f>
        <v>968878.52000000025</v>
      </c>
      <c r="N306" s="27" t="str">
        <f>IF(tblMovimientos[[#This Row],[Tipo de Movimiento]]="Ingreso",tblMovimientos[[#This Row],[Monto (S/)]],"0")</f>
        <v>0</v>
      </c>
      <c r="O306" s="27">
        <f>IF(tblMovimientos[[#This Row],[Tipo de Movimiento]]="Egreso",tblMovimientos[[#This Row],[Monto (S/)]],"0")</f>
        <v>3500</v>
      </c>
      <c r="P306" s="29">
        <f>IF(tblMovimientos[[#This Row],[Tipo de Movimiento]]="Ingreso",tblMovimientos[[#This Row],[Ingreso]],-tblMovimientos[[#This Row],[Egreso]])</f>
        <v>-3500</v>
      </c>
    </row>
    <row r="307" spans="2:16" x14ac:dyDescent="0.3">
      <c r="B307" s="41">
        <v>46188</v>
      </c>
      <c r="C307" s="52" t="str">
        <f>_xlfn.XLOOKUP(tblMovimientos[[#This Row],[Cuenta Bancaria]],Listas!$B:$B,Listas!$A:$A,"")</f>
        <v>CFT Group</v>
      </c>
      <c r="D307" s="43" t="s">
        <v>95</v>
      </c>
      <c r="E307" s="52" t="str">
        <f>_xlfn.XLOOKUP(tblMovimientos[[#This Row],[Cuenta Bancaria]],Listas!$B:$B,Listas!$C:$C,"")</f>
        <v xml:space="preserve">Amerant Bank </v>
      </c>
      <c r="F307" s="43" t="s">
        <v>10</v>
      </c>
      <c r="G307" s="43" t="s">
        <v>48</v>
      </c>
      <c r="H307" s="4" t="str">
        <f>IFERROR(_xlfn.XLOOKUP(G307,Listas!E:E,Listas!F:F,""),"")</f>
        <v>Financiamiento</v>
      </c>
      <c r="I307" s="52" t="str">
        <f>IFERROR(_xlfn.XLOOKUP(G307,Listas!E:E,Listas!G:G,""),"")</f>
        <v>Externo</v>
      </c>
      <c r="J307" s="45">
        <v>10608.89</v>
      </c>
      <c r="K307" s="53">
        <f t="shared" si="0"/>
        <v>-10608.89</v>
      </c>
      <c r="L307" s="15" t="s">
        <v>128</v>
      </c>
      <c r="M307" s="46">
        <f>SUMIFS('Saldos Iniciales'!$D$2:$D$38,'Saldos Iniciales'!$A$2:$A$38,C307,'Saldos Iniciales'!$B$2:$B$38,D307)+SUMIFS($K$1:$K$363,$C$1:$C$363,C307,$D$1:$D$363,D307,$B$1:$B$363,"&lt;="&amp;B307)</f>
        <v>968878.52000000025</v>
      </c>
      <c r="N307" s="27" t="str">
        <f>IF(tblMovimientos[[#This Row],[Tipo de Movimiento]]="Ingreso",tblMovimientos[[#This Row],[Monto (S/)]],"0")</f>
        <v>0</v>
      </c>
      <c r="O307" s="27">
        <f>IF(tblMovimientos[[#This Row],[Tipo de Movimiento]]="Egreso",tblMovimientos[[#This Row],[Monto (S/)]],"0")</f>
        <v>10608.89</v>
      </c>
      <c r="P307" s="29">
        <f>IF(tblMovimientos[[#This Row],[Tipo de Movimiento]]="Ingreso",tblMovimientos[[#This Row],[Ingreso]],-tblMovimientos[[#This Row],[Egreso]])</f>
        <v>-10608.89</v>
      </c>
    </row>
    <row r="308" spans="2:16" x14ac:dyDescent="0.3">
      <c r="B308" s="41">
        <v>46188</v>
      </c>
      <c r="C308" s="4" t="str">
        <f>_xlfn.XLOOKUP(tblMovimientos[[#This Row],[Cuenta Bancaria]],Listas!$B:$B,Listas!$A:$A,"")</f>
        <v>CFT Group</v>
      </c>
      <c r="D308" s="43" t="s">
        <v>95</v>
      </c>
      <c r="E308" s="52" t="str">
        <f>_xlfn.XLOOKUP(tblMovimientos[[#This Row],[Cuenta Bancaria]],Listas!$B:$B,Listas!$C:$C,"")</f>
        <v xml:space="preserve">Amerant Bank </v>
      </c>
      <c r="F308" s="43" t="s">
        <v>10</v>
      </c>
      <c r="G308" s="43" t="s">
        <v>48</v>
      </c>
      <c r="H308" s="4" t="str">
        <f>IFERROR(_xlfn.XLOOKUP(G308,Listas!E:E,Listas!F:F,""),"")</f>
        <v>Financiamiento</v>
      </c>
      <c r="I308" s="52" t="str">
        <f>IFERROR(_xlfn.XLOOKUP(G308,Listas!E:E,Listas!G:G,""),"")</f>
        <v>Externo</v>
      </c>
      <c r="J308" s="45">
        <v>12055.56</v>
      </c>
      <c r="K308" s="53">
        <f t="shared" si="0"/>
        <v>-12055.56</v>
      </c>
      <c r="L308" s="15" t="s">
        <v>128</v>
      </c>
      <c r="M308" s="46">
        <f>SUMIFS('Saldos Iniciales'!$D$2:$D$38,'Saldos Iniciales'!$A$2:$A$38,C308,'Saldos Iniciales'!$B$2:$B$38,D308)+SUMIFS($K$1:$K$363,$C$1:$C$363,C308,$D$1:$D$363,D308,$B$1:$B$363,"&lt;="&amp;B308)</f>
        <v>968878.52000000025</v>
      </c>
      <c r="N308" s="27" t="str">
        <f>IF(tblMovimientos[[#This Row],[Tipo de Movimiento]]="Ingreso",tblMovimientos[[#This Row],[Monto (S/)]],"0")</f>
        <v>0</v>
      </c>
      <c r="O308" s="27">
        <f>IF(tblMovimientos[[#This Row],[Tipo de Movimiento]]="Egreso",tblMovimientos[[#This Row],[Monto (S/)]],"0")</f>
        <v>12055.56</v>
      </c>
      <c r="P308" s="29">
        <f>IF(tblMovimientos[[#This Row],[Tipo de Movimiento]]="Ingreso",tblMovimientos[[#This Row],[Ingreso]],-tblMovimientos[[#This Row],[Egreso]])</f>
        <v>-12055.56</v>
      </c>
    </row>
    <row r="309" spans="2:16" x14ac:dyDescent="0.3">
      <c r="B309" s="41">
        <v>46188</v>
      </c>
      <c r="C309" s="4" t="str">
        <f>_xlfn.XLOOKUP(tblMovimientos[[#This Row],[Cuenta Bancaria]],Listas!$B:$B,Listas!$A:$A,"")</f>
        <v>CFT Group</v>
      </c>
      <c r="D309" s="43" t="s">
        <v>95</v>
      </c>
      <c r="E309" s="52" t="str">
        <f>_xlfn.XLOOKUP(tblMovimientos[[#This Row],[Cuenta Bancaria]],Listas!$B:$B,Listas!$C:$C,"")</f>
        <v xml:space="preserve">Amerant Bank </v>
      </c>
      <c r="F309" s="43" t="s">
        <v>10</v>
      </c>
      <c r="G309" s="43" t="s">
        <v>48</v>
      </c>
      <c r="H309" s="4" t="str">
        <f>IFERROR(_xlfn.XLOOKUP(G309,Listas!E:E,Listas!F:F,""),"")</f>
        <v>Financiamiento</v>
      </c>
      <c r="I309" s="52" t="str">
        <f>IFERROR(_xlfn.XLOOKUP(G309,Listas!E:E,Listas!G:G,""),"")</f>
        <v>Externo</v>
      </c>
      <c r="J309" s="45">
        <v>22166.67</v>
      </c>
      <c r="K309" s="53">
        <f t="shared" si="0"/>
        <v>-22166.67</v>
      </c>
      <c r="L309" s="15" t="s">
        <v>128</v>
      </c>
      <c r="M309" s="46">
        <f>SUMIFS('Saldos Iniciales'!$D$2:$D$38,'Saldos Iniciales'!$A$2:$A$38,C309,'Saldos Iniciales'!$B$2:$B$38,D309)+SUMIFS($K$1:$K$363,$C$1:$C$363,C309,$D$1:$D$363,D309,$B$1:$B$363,"&lt;="&amp;B309)</f>
        <v>968878.52000000025</v>
      </c>
      <c r="N309" s="27" t="str">
        <f>IF(tblMovimientos[[#This Row],[Tipo de Movimiento]]="Ingreso",tblMovimientos[[#This Row],[Monto (S/)]],"0")</f>
        <v>0</v>
      </c>
      <c r="O309" s="27">
        <f>IF(tblMovimientos[[#This Row],[Tipo de Movimiento]]="Egreso",tblMovimientos[[#This Row],[Monto (S/)]],"0")</f>
        <v>22166.67</v>
      </c>
      <c r="P309" s="29">
        <f>IF(tblMovimientos[[#This Row],[Tipo de Movimiento]]="Ingreso",tblMovimientos[[#This Row],[Ingreso]],-tblMovimientos[[#This Row],[Egreso]])</f>
        <v>-22166.67</v>
      </c>
    </row>
    <row r="310" spans="2:16" x14ac:dyDescent="0.3">
      <c r="B310" s="41">
        <v>46188</v>
      </c>
      <c r="C310" s="4" t="str">
        <f>_xlfn.XLOOKUP(tblMovimientos[[#This Row],[Cuenta Bancaria]],Listas!$B:$B,Listas!$A:$A,"")</f>
        <v>CFT Group</v>
      </c>
      <c r="D310" s="43" t="s">
        <v>95</v>
      </c>
      <c r="E310" s="52" t="str">
        <f>_xlfn.XLOOKUP(tblMovimientos[[#This Row],[Cuenta Bancaria]],Listas!$B:$B,Listas!$C:$C,"")</f>
        <v xml:space="preserve">Amerant Bank </v>
      </c>
      <c r="F310" s="43" t="s">
        <v>10</v>
      </c>
      <c r="G310" s="43" t="s">
        <v>48</v>
      </c>
      <c r="H310" s="4" t="str">
        <f>IFERROR(_xlfn.XLOOKUP(G310,Listas!E:E,Listas!F:F,""),"")</f>
        <v>Financiamiento</v>
      </c>
      <c r="I310" s="52" t="str">
        <f>IFERROR(_xlfn.XLOOKUP(G310,Listas!E:E,Listas!G:G,""),"")</f>
        <v>Externo</v>
      </c>
      <c r="J310" s="45">
        <v>24111.11</v>
      </c>
      <c r="K310" s="53">
        <f t="shared" si="0"/>
        <v>-24111.11</v>
      </c>
      <c r="L310" s="15" t="s">
        <v>128</v>
      </c>
      <c r="M310" s="46">
        <f>SUMIFS('Saldos Iniciales'!$D$2:$D$38,'Saldos Iniciales'!$A$2:$A$38,C310,'Saldos Iniciales'!$B$2:$B$38,D310)+SUMIFS($K$1:$K$363,$C$1:$C$363,C310,$D$1:$D$363,D310,$B$1:$B$363,"&lt;="&amp;B310)</f>
        <v>968878.52000000025</v>
      </c>
      <c r="N310" s="27" t="str">
        <f>IF(tblMovimientos[[#This Row],[Tipo de Movimiento]]="Ingreso",tblMovimientos[[#This Row],[Monto (S/)]],"0")</f>
        <v>0</v>
      </c>
      <c r="O310" s="27">
        <f>IF(tblMovimientos[[#This Row],[Tipo de Movimiento]]="Egreso",tblMovimientos[[#This Row],[Monto (S/)]],"0")</f>
        <v>24111.11</v>
      </c>
      <c r="P310" s="29">
        <f>IF(tblMovimientos[[#This Row],[Tipo de Movimiento]]="Ingreso",tblMovimientos[[#This Row],[Ingreso]],-tblMovimientos[[#This Row],[Egreso]])</f>
        <v>-24111.11</v>
      </c>
    </row>
    <row r="311" spans="2:16" x14ac:dyDescent="0.3">
      <c r="B311" s="41">
        <v>46188</v>
      </c>
      <c r="C311" s="52" t="str">
        <f>_xlfn.XLOOKUP(tblMovimientos[[#This Row],[Cuenta Bancaria]],Listas!$B:$B,Listas!$A:$A,"")</f>
        <v>CFT Group</v>
      </c>
      <c r="D311" s="43" t="s">
        <v>95</v>
      </c>
      <c r="E311" s="52" t="str">
        <f>_xlfn.XLOOKUP(tblMovimientos[[#This Row],[Cuenta Bancaria]],Listas!$B:$B,Listas!$C:$C,"")</f>
        <v xml:space="preserve">Amerant Bank </v>
      </c>
      <c r="F311" s="43" t="s">
        <v>10</v>
      </c>
      <c r="G311" s="43" t="s">
        <v>61</v>
      </c>
      <c r="H311" s="4" t="str">
        <f>IFERROR(_xlfn.XLOOKUP(G311,Listas!E:E,Listas!F:F,""),"")</f>
        <v>Operativo</v>
      </c>
      <c r="I311" s="52" t="str">
        <f>IFERROR(_xlfn.XLOOKUP(G311,Listas!E:E,Listas!G:G,""),"")</f>
        <v>Externo</v>
      </c>
      <c r="J311" s="45">
        <v>40000</v>
      </c>
      <c r="K311" s="53">
        <f t="shared" si="0"/>
        <v>-40000</v>
      </c>
      <c r="L311" s="15" t="s">
        <v>128</v>
      </c>
      <c r="M311" s="46">
        <f>SUMIFS('Saldos Iniciales'!$D$2:$D$38,'Saldos Iniciales'!$A$2:$A$38,C311,'Saldos Iniciales'!$B$2:$B$38,D311)+SUMIFS($K$1:$K$363,$C$1:$C$363,C311,$D$1:$D$363,D311,$B$1:$B$363,"&lt;="&amp;B311)</f>
        <v>968878.52000000025</v>
      </c>
      <c r="N311" s="27" t="str">
        <f>IF(tblMovimientos[[#This Row],[Tipo de Movimiento]]="Ingreso",tblMovimientos[[#This Row],[Monto (S/)]],"0")</f>
        <v>0</v>
      </c>
      <c r="O311" s="27">
        <f>IF(tblMovimientos[[#This Row],[Tipo de Movimiento]]="Egreso",tblMovimientos[[#This Row],[Monto (S/)]],"0")</f>
        <v>40000</v>
      </c>
      <c r="P311" s="29">
        <f>IF(tblMovimientos[[#This Row],[Tipo de Movimiento]]="Ingreso",tblMovimientos[[#This Row],[Ingreso]],-tblMovimientos[[#This Row],[Egreso]])</f>
        <v>-40000</v>
      </c>
    </row>
    <row r="312" spans="2:16" x14ac:dyDescent="0.3">
      <c r="B312" s="41">
        <v>46188</v>
      </c>
      <c r="C312" s="4" t="str">
        <f>_xlfn.XLOOKUP(tblMovimientos[[#This Row],[Cuenta Bancaria]],Listas!$B:$B,Listas!$A:$A,"")</f>
        <v>CFT Group</v>
      </c>
      <c r="D312" s="43" t="s">
        <v>95</v>
      </c>
      <c r="E312" s="52" t="str">
        <f>_xlfn.XLOOKUP(tblMovimientos[[#This Row],[Cuenta Bancaria]],Listas!$B:$B,Listas!$C:$C,"")</f>
        <v xml:space="preserve">Amerant Bank </v>
      </c>
      <c r="F312" s="43" t="s">
        <v>10</v>
      </c>
      <c r="G312" s="43" t="s">
        <v>61</v>
      </c>
      <c r="H312" s="4" t="str">
        <f>IFERROR(_xlfn.XLOOKUP(G312,Listas!E:E,Listas!F:F,""),"")</f>
        <v>Operativo</v>
      </c>
      <c r="I312" s="52" t="str">
        <f>IFERROR(_xlfn.XLOOKUP(G312,Listas!E:E,Listas!G:G,""),"")</f>
        <v>Externo</v>
      </c>
      <c r="J312" s="45">
        <v>60000</v>
      </c>
      <c r="K312" s="53">
        <f t="shared" si="0"/>
        <v>-60000</v>
      </c>
      <c r="L312" s="15" t="s">
        <v>128</v>
      </c>
      <c r="M312" s="46">
        <f>SUMIFS('Saldos Iniciales'!$D$2:$D$38,'Saldos Iniciales'!$A$2:$A$38,C312,'Saldos Iniciales'!$B$2:$B$38,D312)+SUMIFS($K$1:$K$363,$C$1:$C$363,C312,$D$1:$D$363,D312,$B$1:$B$363,"&lt;="&amp;B312)</f>
        <v>968878.52000000025</v>
      </c>
      <c r="N312" s="27" t="str">
        <f>IF(tblMovimientos[[#This Row],[Tipo de Movimiento]]="Ingreso",tblMovimientos[[#This Row],[Monto (S/)]],"0")</f>
        <v>0</v>
      </c>
      <c r="O312" s="27">
        <f>IF(tblMovimientos[[#This Row],[Tipo de Movimiento]]="Egreso",tblMovimientos[[#This Row],[Monto (S/)]],"0")</f>
        <v>60000</v>
      </c>
      <c r="P312" s="29">
        <f>IF(tblMovimientos[[#This Row],[Tipo de Movimiento]]="Ingreso",tblMovimientos[[#This Row],[Ingreso]],-tblMovimientos[[#This Row],[Egreso]])</f>
        <v>-60000</v>
      </c>
    </row>
    <row r="313" spans="2:16" x14ac:dyDescent="0.3">
      <c r="B313" s="41">
        <v>46188</v>
      </c>
      <c r="C313" s="4" t="str">
        <f>_xlfn.XLOOKUP(tblMovimientos[[#This Row],[Cuenta Bancaria]],Listas!$B:$B,Listas!$A:$A,"")</f>
        <v>CFT Group</v>
      </c>
      <c r="D313" s="43" t="s">
        <v>95</v>
      </c>
      <c r="E313" s="52" t="str">
        <f>_xlfn.XLOOKUP(tblMovimientos[[#This Row],[Cuenta Bancaria]],Listas!$B:$B,Listas!$C:$C,"")</f>
        <v xml:space="preserve">Amerant Bank </v>
      </c>
      <c r="F313" s="43" t="s">
        <v>10</v>
      </c>
      <c r="G313" s="43" t="s">
        <v>61</v>
      </c>
      <c r="H313" s="4" t="str">
        <f>IFERROR(_xlfn.XLOOKUP(G313,Listas!E:E,Listas!F:F,""),"")</f>
        <v>Operativo</v>
      </c>
      <c r="I313" s="52" t="str">
        <f>IFERROR(_xlfn.XLOOKUP(G313,Listas!E:E,Listas!G:G,""),"")</f>
        <v>Externo</v>
      </c>
      <c r="J313" s="45">
        <v>100000</v>
      </c>
      <c r="K313" s="53">
        <f t="shared" si="0"/>
        <v>-100000</v>
      </c>
      <c r="L313" s="15" t="s">
        <v>128</v>
      </c>
      <c r="M313" s="46">
        <f>SUMIFS('Saldos Iniciales'!$D$2:$D$38,'Saldos Iniciales'!$A$2:$A$38,C313,'Saldos Iniciales'!$B$2:$B$38,D313)+SUMIFS($K$1:$K$363,$C$1:$C$363,C313,$D$1:$D$363,D313,$B$1:$B$363,"&lt;="&amp;B313)</f>
        <v>968878.52000000025</v>
      </c>
      <c r="N313" s="27" t="str">
        <f>IF(tblMovimientos[[#This Row],[Tipo de Movimiento]]="Ingreso",tblMovimientos[[#This Row],[Monto (S/)]],"0")</f>
        <v>0</v>
      </c>
      <c r="O313" s="27">
        <f>IF(tblMovimientos[[#This Row],[Tipo de Movimiento]]="Egreso",tblMovimientos[[#This Row],[Monto (S/)]],"0")</f>
        <v>100000</v>
      </c>
      <c r="P313" s="29">
        <f>IF(tblMovimientos[[#This Row],[Tipo de Movimiento]]="Ingreso",tblMovimientos[[#This Row],[Ingreso]],-tblMovimientos[[#This Row],[Egreso]])</f>
        <v>-100000</v>
      </c>
    </row>
    <row r="314" spans="2:16" x14ac:dyDescent="0.3">
      <c r="B314" s="41">
        <v>46188</v>
      </c>
      <c r="C314" s="4" t="str">
        <f>_xlfn.XLOOKUP(tblMovimientos[[#This Row],[Cuenta Bancaria]],Listas!$B:$B,Listas!$A:$A,"")</f>
        <v>CFT Group</v>
      </c>
      <c r="D314" s="43" t="s">
        <v>95</v>
      </c>
      <c r="E314" s="52" t="str">
        <f>_xlfn.XLOOKUP(tblMovimientos[[#This Row],[Cuenta Bancaria]],Listas!$B:$B,Listas!$C:$C,"")</f>
        <v xml:space="preserve">Amerant Bank </v>
      </c>
      <c r="F314" s="43" t="s">
        <v>10</v>
      </c>
      <c r="G314" s="43" t="s">
        <v>61</v>
      </c>
      <c r="H314" s="4" t="str">
        <f>IFERROR(_xlfn.XLOOKUP(G314,Listas!E:E,Listas!F:F,""),"")</f>
        <v>Operativo</v>
      </c>
      <c r="I314" s="52" t="str">
        <f>IFERROR(_xlfn.XLOOKUP(G314,Listas!E:E,Listas!G:G,""),"")</f>
        <v>Externo</v>
      </c>
      <c r="J314" s="45">
        <v>150000</v>
      </c>
      <c r="K314" s="53">
        <f t="shared" si="0"/>
        <v>-150000</v>
      </c>
      <c r="L314" s="15" t="s">
        <v>128</v>
      </c>
      <c r="M314" s="46">
        <f>SUMIFS('Saldos Iniciales'!$D$2:$D$38,'Saldos Iniciales'!$A$2:$A$38,C314,'Saldos Iniciales'!$B$2:$B$38,D314)+SUMIFS($K$1:$K$363,$C$1:$C$363,C314,$D$1:$D$363,D314,$B$1:$B$363,"&lt;="&amp;B314)</f>
        <v>968878.52000000025</v>
      </c>
      <c r="N314" s="27" t="str">
        <f>IF(tblMovimientos[[#This Row],[Tipo de Movimiento]]="Ingreso",tblMovimientos[[#This Row],[Monto (S/)]],"0")</f>
        <v>0</v>
      </c>
      <c r="O314" s="27">
        <f>IF(tblMovimientos[[#This Row],[Tipo de Movimiento]]="Egreso",tblMovimientos[[#This Row],[Monto (S/)]],"0")</f>
        <v>150000</v>
      </c>
      <c r="P314" s="29">
        <f>IF(tblMovimientos[[#This Row],[Tipo de Movimiento]]="Ingreso",tblMovimientos[[#This Row],[Ingreso]],-tblMovimientos[[#This Row],[Egreso]])</f>
        <v>-150000</v>
      </c>
    </row>
    <row r="315" spans="2:16" x14ac:dyDescent="0.3">
      <c r="B315" s="41">
        <v>46188</v>
      </c>
      <c r="C315" s="52" t="str">
        <f>_xlfn.XLOOKUP(tblMovimientos[[#This Row],[Cuenta Bancaria]],Listas!$B:$B,Listas!$A:$A,"")</f>
        <v>CFT Group</v>
      </c>
      <c r="D315" s="43" t="s">
        <v>95</v>
      </c>
      <c r="E315" s="52" t="str">
        <f>_xlfn.XLOOKUP(tblMovimientos[[#This Row],[Cuenta Bancaria]],Listas!$B:$B,Listas!$C:$C,"")</f>
        <v xml:space="preserve">Amerant Bank </v>
      </c>
      <c r="F315" s="43" t="s">
        <v>10</v>
      </c>
      <c r="G315" s="43" t="s">
        <v>61</v>
      </c>
      <c r="H315" s="4" t="str">
        <f>IFERROR(_xlfn.XLOOKUP(G315,Listas!E:E,Listas!F:F,""),"")</f>
        <v>Operativo</v>
      </c>
      <c r="I315" s="52" t="str">
        <f>IFERROR(_xlfn.XLOOKUP(G315,Listas!E:E,Listas!G:G,""),"")</f>
        <v>Externo</v>
      </c>
      <c r="J315" s="45">
        <v>200000</v>
      </c>
      <c r="K315" s="53">
        <f t="shared" si="0"/>
        <v>-200000</v>
      </c>
      <c r="L315" s="15" t="s">
        <v>128</v>
      </c>
      <c r="M315" s="46">
        <f>SUMIFS('Saldos Iniciales'!$D$2:$D$38,'Saldos Iniciales'!$A$2:$A$38,C315,'Saldos Iniciales'!$B$2:$B$38,D315)+SUMIFS($K$1:$K$363,$C$1:$C$363,C315,$D$1:$D$363,D315,$B$1:$B$363,"&lt;="&amp;B315)</f>
        <v>968878.52000000025</v>
      </c>
      <c r="N315" s="27" t="str">
        <f>IF(tblMovimientos[[#This Row],[Tipo de Movimiento]]="Ingreso",tblMovimientos[[#This Row],[Monto (S/)]],"0")</f>
        <v>0</v>
      </c>
      <c r="O315" s="27">
        <f>IF(tblMovimientos[[#This Row],[Tipo de Movimiento]]="Egreso",tblMovimientos[[#This Row],[Monto (S/)]],"0")</f>
        <v>200000</v>
      </c>
      <c r="P315" s="29">
        <f>IF(tblMovimientos[[#This Row],[Tipo de Movimiento]]="Ingreso",tblMovimientos[[#This Row],[Ingreso]],-tblMovimientos[[#This Row],[Egreso]])</f>
        <v>-200000</v>
      </c>
    </row>
    <row r="316" spans="2:16" x14ac:dyDescent="0.3">
      <c r="B316" s="41">
        <v>46188</v>
      </c>
      <c r="C316" s="4" t="str">
        <f>_xlfn.XLOOKUP(tblMovimientos[[#This Row],[Cuenta Bancaria]],Listas!$B:$B,Listas!$A:$A,"")</f>
        <v>CFT Group</v>
      </c>
      <c r="D316" s="43" t="s">
        <v>95</v>
      </c>
      <c r="E316" s="52" t="str">
        <f>_xlfn.XLOOKUP(tblMovimientos[[#This Row],[Cuenta Bancaria]],Listas!$B:$B,Listas!$C:$C,"")</f>
        <v xml:space="preserve">Amerant Bank </v>
      </c>
      <c r="F316" s="43" t="s">
        <v>10</v>
      </c>
      <c r="G316" s="43" t="s">
        <v>61</v>
      </c>
      <c r="H316" s="4" t="str">
        <f>IFERROR(_xlfn.XLOOKUP(G316,Listas!E:E,Listas!F:F,""),"")</f>
        <v>Operativo</v>
      </c>
      <c r="I316" s="52" t="str">
        <f>IFERROR(_xlfn.XLOOKUP(G316,Listas!E:E,Listas!G:G,""),"")</f>
        <v>Externo</v>
      </c>
      <c r="J316" s="45">
        <v>200000</v>
      </c>
      <c r="K316" s="53">
        <f t="shared" si="0"/>
        <v>-200000</v>
      </c>
      <c r="L316" s="15" t="s">
        <v>128</v>
      </c>
      <c r="M316" s="46">
        <f>SUMIFS('Saldos Iniciales'!$D$2:$D$38,'Saldos Iniciales'!$A$2:$A$38,C316,'Saldos Iniciales'!$B$2:$B$38,D316)+SUMIFS($K$1:$K$363,$C$1:$C$363,C316,$D$1:$D$363,D316,$B$1:$B$363,"&lt;="&amp;B316)</f>
        <v>968878.52000000025</v>
      </c>
      <c r="N316" s="27" t="str">
        <f>IF(tblMovimientos[[#This Row],[Tipo de Movimiento]]="Ingreso",tblMovimientos[[#This Row],[Monto (S/)]],"0")</f>
        <v>0</v>
      </c>
      <c r="O316" s="27">
        <f>IF(tblMovimientos[[#This Row],[Tipo de Movimiento]]="Egreso",tblMovimientos[[#This Row],[Monto (S/)]],"0")</f>
        <v>200000</v>
      </c>
      <c r="P316" s="29">
        <f>IF(tblMovimientos[[#This Row],[Tipo de Movimiento]]="Ingreso",tblMovimientos[[#This Row],[Ingreso]],-tblMovimientos[[#This Row],[Egreso]])</f>
        <v>-200000</v>
      </c>
    </row>
    <row r="317" spans="2:16" x14ac:dyDescent="0.3">
      <c r="B317" s="41">
        <v>46188</v>
      </c>
      <c r="C317" s="4" t="str">
        <f>_xlfn.XLOOKUP(tblMovimientos[[#This Row],[Cuenta Bancaria]],Listas!$B:$B,Listas!$A:$A,"")</f>
        <v>SSP Capital</v>
      </c>
      <c r="D317" s="43" t="s">
        <v>104</v>
      </c>
      <c r="E317" s="52" t="str">
        <f>_xlfn.XLOOKUP(tblMovimientos[[#This Row],[Cuenta Bancaria]],Listas!$B:$B,Listas!$C:$C,"")</f>
        <v xml:space="preserve">Amerant Bank </v>
      </c>
      <c r="F317" s="43" t="s">
        <v>10</v>
      </c>
      <c r="G317" s="43" t="s">
        <v>48</v>
      </c>
      <c r="H317" s="4" t="str">
        <f>IFERROR(_xlfn.XLOOKUP(G317,Listas!E:E,Listas!F:F,""),"")</f>
        <v>Financiamiento</v>
      </c>
      <c r="I317" s="52" t="str">
        <f>IFERROR(_xlfn.XLOOKUP(G317,Listas!E:E,Listas!G:G,""),"")</f>
        <v>Externo</v>
      </c>
      <c r="J317" s="45">
        <v>26250</v>
      </c>
      <c r="K317" s="53">
        <f t="shared" si="0"/>
        <v>-26250</v>
      </c>
      <c r="L317" s="15" t="s">
        <v>128</v>
      </c>
      <c r="M317" s="46">
        <f>SUMIFS('Saldos Iniciales'!$D$2:$D$38,'Saldos Iniciales'!$A$2:$A$38,C317,'Saldos Iniciales'!$B$2:$B$38,D317)+SUMIFS($K$1:$K$363,$C$1:$C$363,C317,$D$1:$D$363,D317,$B$1:$B$363,"&lt;="&amp;B317)</f>
        <v>2502067.6299999994</v>
      </c>
      <c r="N317" s="27" t="str">
        <f>IF(tblMovimientos[[#This Row],[Tipo de Movimiento]]="Ingreso",tblMovimientos[[#This Row],[Monto (S/)]],"0")</f>
        <v>0</v>
      </c>
      <c r="O317" s="27">
        <f>IF(tblMovimientos[[#This Row],[Tipo de Movimiento]]="Egreso",tblMovimientos[[#This Row],[Monto (S/)]],"0")</f>
        <v>26250</v>
      </c>
      <c r="P317" s="29">
        <f>IF(tblMovimientos[[#This Row],[Tipo de Movimiento]]="Ingreso",tblMovimientos[[#This Row],[Ingreso]],-tblMovimientos[[#This Row],[Egreso]])</f>
        <v>-26250</v>
      </c>
    </row>
    <row r="318" spans="2:16" x14ac:dyDescent="0.3">
      <c r="B318" s="41">
        <v>46188</v>
      </c>
      <c r="C318" s="4" t="str">
        <f>_xlfn.XLOOKUP(tblMovimientos[[#This Row],[Cuenta Bancaria]],Listas!$B:$B,Listas!$A:$A,"")</f>
        <v>SSP Capital</v>
      </c>
      <c r="D318" s="43" t="s">
        <v>104</v>
      </c>
      <c r="E318" s="52" t="str">
        <f>_xlfn.XLOOKUP(tblMovimientos[[#This Row],[Cuenta Bancaria]],Listas!$B:$B,Listas!$C:$C,"")</f>
        <v xml:space="preserve">Amerant Bank </v>
      </c>
      <c r="F318" s="43" t="s">
        <v>10</v>
      </c>
      <c r="G318" s="43" t="s">
        <v>48</v>
      </c>
      <c r="H318" s="4" t="str">
        <f>IFERROR(_xlfn.XLOOKUP(G318,Listas!E:E,Listas!F:F,""),"")</f>
        <v>Financiamiento</v>
      </c>
      <c r="I318" s="52" t="str">
        <f>IFERROR(_xlfn.XLOOKUP(G318,Listas!E:E,Listas!G:G,""),"")</f>
        <v>Externo</v>
      </c>
      <c r="J318" s="45">
        <v>32435</v>
      </c>
      <c r="K318" s="53">
        <f t="shared" si="0"/>
        <v>-32435</v>
      </c>
      <c r="L318" s="15" t="s">
        <v>128</v>
      </c>
      <c r="M318" s="46">
        <f>SUMIFS('Saldos Iniciales'!$D$2:$D$38,'Saldos Iniciales'!$A$2:$A$38,C318,'Saldos Iniciales'!$B$2:$B$38,D318)+SUMIFS($K$1:$K$363,$C$1:$C$363,C318,$D$1:$D$363,D318,$B$1:$B$363,"&lt;="&amp;B318)</f>
        <v>2502067.6299999994</v>
      </c>
      <c r="N318" s="27" t="str">
        <f>IF(tblMovimientos[[#This Row],[Tipo de Movimiento]]="Ingreso",tblMovimientos[[#This Row],[Monto (S/)]],"0")</f>
        <v>0</v>
      </c>
      <c r="O318" s="27">
        <f>IF(tblMovimientos[[#This Row],[Tipo de Movimiento]]="Egreso",tblMovimientos[[#This Row],[Monto (S/)]],"0")</f>
        <v>32435</v>
      </c>
      <c r="P318" s="29">
        <f>IF(tblMovimientos[[#This Row],[Tipo de Movimiento]]="Ingreso",tblMovimientos[[#This Row],[Ingreso]],-tblMovimientos[[#This Row],[Egreso]])</f>
        <v>-32435</v>
      </c>
    </row>
    <row r="319" spans="2:16" x14ac:dyDescent="0.3">
      <c r="B319" s="41">
        <v>46188</v>
      </c>
      <c r="C319" s="52" t="str">
        <f>_xlfn.XLOOKUP(tblMovimientos[[#This Row],[Cuenta Bancaria]],Listas!$B:$B,Listas!$A:$A,"")</f>
        <v>SSP Capital</v>
      </c>
      <c r="D319" s="43" t="s">
        <v>104</v>
      </c>
      <c r="E319" s="52" t="str">
        <f>_xlfn.XLOOKUP(tblMovimientos[[#This Row],[Cuenta Bancaria]],Listas!$B:$B,Listas!$C:$C,"")</f>
        <v xml:space="preserve">Amerant Bank </v>
      </c>
      <c r="F319" s="43" t="s">
        <v>10</v>
      </c>
      <c r="G319" s="43" t="s">
        <v>48</v>
      </c>
      <c r="H319" s="4" t="str">
        <f>IFERROR(_xlfn.XLOOKUP(G319,Listas!E:E,Listas!F:F,""),"")</f>
        <v>Financiamiento</v>
      </c>
      <c r="I319" s="52" t="str">
        <f>IFERROR(_xlfn.XLOOKUP(G319,Listas!E:E,Listas!G:G,""),"")</f>
        <v>Externo</v>
      </c>
      <c r="J319" s="45">
        <v>49583.34</v>
      </c>
      <c r="K319" s="53">
        <f t="shared" si="0"/>
        <v>-49583.34</v>
      </c>
      <c r="L319" s="15" t="s">
        <v>128</v>
      </c>
      <c r="M319" s="46">
        <f>SUMIFS('Saldos Iniciales'!$D$2:$D$38,'Saldos Iniciales'!$A$2:$A$38,C319,'Saldos Iniciales'!$B$2:$B$38,D319)+SUMIFS($K$1:$K$363,$C$1:$C$363,C319,$D$1:$D$363,D319,$B$1:$B$363,"&lt;="&amp;B319)</f>
        <v>2502067.6299999994</v>
      </c>
      <c r="N319" s="27" t="str">
        <f>IF(tblMovimientos[[#This Row],[Tipo de Movimiento]]="Ingreso",tblMovimientos[[#This Row],[Monto (S/)]],"0")</f>
        <v>0</v>
      </c>
      <c r="O319" s="27">
        <f>IF(tblMovimientos[[#This Row],[Tipo de Movimiento]]="Egreso",tblMovimientos[[#This Row],[Monto (S/)]],"0")</f>
        <v>49583.34</v>
      </c>
      <c r="P319" s="29">
        <f>IF(tblMovimientos[[#This Row],[Tipo de Movimiento]]="Ingreso",tblMovimientos[[#This Row],[Ingreso]],-tblMovimientos[[#This Row],[Egreso]])</f>
        <v>-49583.34</v>
      </c>
    </row>
    <row r="320" spans="2:16" x14ac:dyDescent="0.3">
      <c r="B320" s="41">
        <v>46188</v>
      </c>
      <c r="C320" s="4" t="str">
        <f>_xlfn.XLOOKUP(tblMovimientos[[#This Row],[Cuenta Bancaria]],Listas!$B:$B,Listas!$A:$A,"")</f>
        <v>SSP Capital</v>
      </c>
      <c r="D320" s="43" t="s">
        <v>104</v>
      </c>
      <c r="E320" s="52" t="str">
        <f>_xlfn.XLOOKUP(tblMovimientos[[#This Row],[Cuenta Bancaria]],Listas!$B:$B,Listas!$C:$C,"")</f>
        <v xml:space="preserve">Amerant Bank </v>
      </c>
      <c r="F320" s="43" t="s">
        <v>10</v>
      </c>
      <c r="G320" s="43" t="s">
        <v>48</v>
      </c>
      <c r="H320" s="4" t="str">
        <f>IFERROR(_xlfn.XLOOKUP(G320,Listas!E:E,Listas!F:F,""),"")</f>
        <v>Financiamiento</v>
      </c>
      <c r="I320" s="52" t="str">
        <f>IFERROR(_xlfn.XLOOKUP(G320,Listas!E:E,Listas!G:G,""),"")</f>
        <v>Externo</v>
      </c>
      <c r="J320" s="45">
        <v>23313.83</v>
      </c>
      <c r="K320" s="53">
        <f t="shared" si="0"/>
        <v>-23313.83</v>
      </c>
      <c r="L320" s="15" t="s">
        <v>128</v>
      </c>
      <c r="M320" s="46">
        <f>SUMIFS('Saldos Iniciales'!$D$2:$D$38,'Saldos Iniciales'!$A$2:$A$38,C320,'Saldos Iniciales'!$B$2:$B$38,D320)+SUMIFS($K$1:$K$363,$C$1:$C$363,C320,$D$1:$D$363,D320,$B$1:$B$363,"&lt;="&amp;B320)</f>
        <v>2502067.6299999994</v>
      </c>
      <c r="N320" s="27" t="str">
        <f>IF(tblMovimientos[[#This Row],[Tipo de Movimiento]]="Ingreso",tblMovimientos[[#This Row],[Monto (S/)]],"0")</f>
        <v>0</v>
      </c>
      <c r="O320" s="27">
        <f>IF(tblMovimientos[[#This Row],[Tipo de Movimiento]]="Egreso",tblMovimientos[[#This Row],[Monto (S/)]],"0")</f>
        <v>23313.83</v>
      </c>
      <c r="P320" s="29">
        <f>IF(tblMovimientos[[#This Row],[Tipo de Movimiento]]="Ingreso",tblMovimientos[[#This Row],[Ingreso]],-tblMovimientos[[#This Row],[Egreso]])</f>
        <v>-23313.83</v>
      </c>
    </row>
    <row r="321" spans="1:16" x14ac:dyDescent="0.3">
      <c r="B321" s="41">
        <v>46188</v>
      </c>
      <c r="C321" s="4" t="str">
        <f>_xlfn.XLOOKUP(tblMovimientos[[#This Row],[Cuenta Bancaria]],Listas!$B:$B,Listas!$A:$A,"")</f>
        <v>SSP Capital</v>
      </c>
      <c r="D321" s="43" t="s">
        <v>104</v>
      </c>
      <c r="E321" s="52" t="str">
        <f>_xlfn.XLOOKUP(tblMovimientos[[#This Row],[Cuenta Bancaria]],Listas!$B:$B,Listas!$C:$C,"")</f>
        <v xml:space="preserve">Amerant Bank </v>
      </c>
      <c r="F321" s="43" t="s">
        <v>10</v>
      </c>
      <c r="G321" s="43" t="s">
        <v>64</v>
      </c>
      <c r="H321" s="4" t="str">
        <f>IFERROR(_xlfn.XLOOKUP(G321,Listas!E:E,Listas!F:F,""),"")</f>
        <v>Operativo</v>
      </c>
      <c r="I321" s="52" t="str">
        <f>IFERROR(_xlfn.XLOOKUP(G321,Listas!E:E,Listas!G:G,""),"")</f>
        <v>Interno</v>
      </c>
      <c r="J321" s="45">
        <v>54600</v>
      </c>
      <c r="K321" s="53">
        <f t="shared" si="0"/>
        <v>-54600</v>
      </c>
      <c r="L321" s="15" t="s">
        <v>128</v>
      </c>
      <c r="M321" s="46">
        <f>SUMIFS('Saldos Iniciales'!$D$2:$D$38,'Saldos Iniciales'!$A$2:$A$38,C321,'Saldos Iniciales'!$B$2:$B$38,D321)+SUMIFS($K$1:$K$363,$C$1:$C$363,C321,$D$1:$D$363,D321,$B$1:$B$363,"&lt;="&amp;B321)</f>
        <v>2502067.6299999994</v>
      </c>
      <c r="N321" s="27" t="str">
        <f>IF(tblMovimientos[[#This Row],[Tipo de Movimiento]]="Ingreso",tblMovimientos[[#This Row],[Monto (S/)]],"0")</f>
        <v>0</v>
      </c>
      <c r="O321" s="27">
        <f>IF(tblMovimientos[[#This Row],[Tipo de Movimiento]]="Egreso",tblMovimientos[[#This Row],[Monto (S/)]],"0")</f>
        <v>54600</v>
      </c>
      <c r="P321" s="29">
        <f>IF(tblMovimientos[[#This Row],[Tipo de Movimiento]]="Ingreso",tblMovimientos[[#This Row],[Ingreso]],-tblMovimientos[[#This Row],[Egreso]])</f>
        <v>-54600</v>
      </c>
    </row>
    <row r="322" spans="1:16" x14ac:dyDescent="0.3">
      <c r="B322" s="41">
        <v>46188</v>
      </c>
      <c r="C322" s="4" t="str">
        <f>_xlfn.XLOOKUP(tblMovimientos[[#This Row],[Cuenta Bancaria]],Listas!$B:$B,Listas!$A:$A,"")</f>
        <v>SSP Capital</v>
      </c>
      <c r="D322" s="43" t="s">
        <v>104</v>
      </c>
      <c r="E322" s="52" t="str">
        <f>_xlfn.XLOOKUP(tblMovimientos[[#This Row],[Cuenta Bancaria]],Listas!$B:$B,Listas!$C:$C,"")</f>
        <v xml:space="preserve">Amerant Bank </v>
      </c>
      <c r="F322" s="43" t="s">
        <v>10</v>
      </c>
      <c r="G322" s="43" t="s">
        <v>61</v>
      </c>
      <c r="H322" s="4" t="str">
        <f>IFERROR(_xlfn.XLOOKUP(G322,Listas!E:E,Listas!F:F,""),"")</f>
        <v>Operativo</v>
      </c>
      <c r="I322" s="52" t="str">
        <f>IFERROR(_xlfn.XLOOKUP(G322,Listas!E:E,Listas!G:G,""),"")</f>
        <v>Externo</v>
      </c>
      <c r="J322" s="45">
        <v>300000</v>
      </c>
      <c r="K322" s="53">
        <f t="shared" si="0"/>
        <v>-300000</v>
      </c>
      <c r="L322" s="15" t="s">
        <v>128</v>
      </c>
      <c r="M322" s="46">
        <f>SUMIFS('Saldos Iniciales'!$D$2:$D$38,'Saldos Iniciales'!$A$2:$A$38,C322,'Saldos Iniciales'!$B$2:$B$38,D322)+SUMIFS($K$1:$K$363,$C$1:$C$363,C322,$D$1:$D$363,D322,$B$1:$B$363,"&lt;="&amp;B322)</f>
        <v>2502067.6299999994</v>
      </c>
      <c r="N322" s="27" t="str">
        <f>IF(tblMovimientos[[#This Row],[Tipo de Movimiento]]="Ingreso",tblMovimientos[[#This Row],[Monto (S/)]],"0")</f>
        <v>0</v>
      </c>
      <c r="O322" s="27">
        <f>IF(tblMovimientos[[#This Row],[Tipo de Movimiento]]="Egreso",tblMovimientos[[#This Row],[Monto (S/)]],"0")</f>
        <v>300000</v>
      </c>
      <c r="P322" s="29">
        <f>IF(tblMovimientos[[#This Row],[Tipo de Movimiento]]="Ingreso",tblMovimientos[[#This Row],[Ingreso]],-tblMovimientos[[#This Row],[Egreso]])</f>
        <v>-300000</v>
      </c>
    </row>
    <row r="323" spans="1:16" x14ac:dyDescent="0.3">
      <c r="B323" s="41">
        <v>46184</v>
      </c>
      <c r="C323" s="52" t="str">
        <f>_xlfn.XLOOKUP(tblMovimientos[[#This Row],[Cuenta Bancaria]],Listas!$B:$B,Listas!$A:$A,"")</f>
        <v>Go Blue</v>
      </c>
      <c r="D323" s="43" t="s">
        <v>126</v>
      </c>
      <c r="E323" s="52" t="str">
        <f>_xlfn.XLOOKUP(tblMovimientos[[#This Row],[Cuenta Bancaria]],Listas!$B:$B,Listas!$C:$C,"")</f>
        <v xml:space="preserve">Amerant Bank </v>
      </c>
      <c r="F323" s="43" t="s">
        <v>10</v>
      </c>
      <c r="G323" s="43" t="s">
        <v>38</v>
      </c>
      <c r="H323" s="4" t="str">
        <f>IFERROR(_xlfn.XLOOKUP(G323,Listas!E:E,Listas!F:F,""),"")</f>
        <v>Operativo</v>
      </c>
      <c r="I323" s="52" t="str">
        <f>IFERROR(_xlfn.XLOOKUP(G323,Listas!E:E,Listas!G:G,""),"")</f>
        <v>Externo</v>
      </c>
      <c r="J323" s="45">
        <v>2500</v>
      </c>
      <c r="K323" s="53">
        <f t="shared" si="0"/>
        <v>-2500</v>
      </c>
      <c r="L323" s="15" t="s">
        <v>128</v>
      </c>
      <c r="M323" s="46">
        <f>SUMIFS('Saldos Iniciales'!$D$2:$D$38,'Saldos Iniciales'!$A$2:$A$38,C323,'Saldos Iniciales'!$B$2:$B$38,D323)+SUMIFS($K$1:$K$363,$C$1:$C$363,C323,$D$1:$D$363,D323,$B$1:$B$363,"&lt;="&amp;B323)</f>
        <v>48774.73</v>
      </c>
      <c r="N323" s="27" t="str">
        <f>IF(tblMovimientos[[#This Row],[Tipo de Movimiento]]="Ingreso",tblMovimientos[[#This Row],[Monto (S/)]],"0")</f>
        <v>0</v>
      </c>
      <c r="O323" s="27">
        <f>IF(tblMovimientos[[#This Row],[Tipo de Movimiento]]="Egreso",tblMovimientos[[#This Row],[Monto (S/)]],"0")</f>
        <v>2500</v>
      </c>
      <c r="P323" s="29">
        <f>IF(tblMovimientos[[#This Row],[Tipo de Movimiento]]="Ingreso",tblMovimientos[[#This Row],[Ingreso]],-tblMovimientos[[#This Row],[Egreso]])</f>
        <v>-2500</v>
      </c>
    </row>
    <row r="324" spans="1:16" x14ac:dyDescent="0.3">
      <c r="B324" s="41">
        <v>46175</v>
      </c>
      <c r="C324" s="4" t="s">
        <v>35</v>
      </c>
      <c r="D324" s="43" t="s">
        <v>126</v>
      </c>
      <c r="E324" s="52" t="s">
        <v>37</v>
      </c>
      <c r="F324" s="43" t="s">
        <v>10</v>
      </c>
      <c r="G324" s="43" t="s">
        <v>38</v>
      </c>
      <c r="H324" s="4" t="str">
        <f>IFERROR(_xlfn.XLOOKUP(G324,Listas!E:E,Listas!F:F,""),"")</f>
        <v>Operativo</v>
      </c>
      <c r="I324" s="52" t="str">
        <f>IFERROR(_xlfn.XLOOKUP(G324,Listas!E:E,Listas!G:G,""),"")</f>
        <v>Externo</v>
      </c>
      <c r="J324" s="45">
        <v>3309.58</v>
      </c>
      <c r="K324" s="53">
        <v>-3309.58</v>
      </c>
      <c r="L324" s="15" t="s">
        <v>128</v>
      </c>
      <c r="M324" s="46">
        <v>3514.8900000000012</v>
      </c>
      <c r="N324" s="27" t="str">
        <f>IF(tblMovimientos[[#This Row],[Tipo de Movimiento]]="Ingreso",tblMovimientos[[#This Row],[Monto (S/)]],"0")</f>
        <v>0</v>
      </c>
      <c r="O324" s="27">
        <f>IF(tblMovimientos[[#This Row],[Tipo de Movimiento]]="Egreso",tblMovimientos[[#This Row],[Monto (S/)]],"0")</f>
        <v>3309.58</v>
      </c>
      <c r="P324" s="29">
        <f>IF(tblMovimientos[[#This Row],[Tipo de Movimiento]]="Ingreso",tblMovimientos[[#This Row],[Ingreso]],-tblMovimientos[[#This Row],[Egreso]])</f>
        <v>-3309.58</v>
      </c>
    </row>
    <row r="325" spans="1:16" x14ac:dyDescent="0.3">
      <c r="B325" s="41">
        <v>46177</v>
      </c>
      <c r="C325" s="4" t="s">
        <v>35</v>
      </c>
      <c r="D325" s="43" t="s">
        <v>126</v>
      </c>
      <c r="E325" s="52" t="s">
        <v>37</v>
      </c>
      <c r="F325" s="43" t="s">
        <v>10</v>
      </c>
      <c r="G325" s="43" t="s">
        <v>38</v>
      </c>
      <c r="H325" s="4" t="str">
        <f>IFERROR(_xlfn.XLOOKUP(G325,Listas!E:E,Listas!F:F,""),"")</f>
        <v>Operativo</v>
      </c>
      <c r="I325" s="52" t="str">
        <f>IFERROR(_xlfn.XLOOKUP(G325,Listas!E:E,Listas!G:G,""),"")</f>
        <v>Externo</v>
      </c>
      <c r="J325" s="45">
        <v>3622.15</v>
      </c>
      <c r="K325" s="53">
        <v>-3622.15</v>
      </c>
      <c r="L325" s="15" t="s">
        <v>128</v>
      </c>
      <c r="M325" s="46">
        <v>2422.7400000000016</v>
      </c>
      <c r="N325" s="27" t="str">
        <f>IF(tblMovimientos[[#This Row],[Tipo de Movimiento]]="Ingreso",tblMovimientos[[#This Row],[Monto (S/)]],"0")</f>
        <v>0</v>
      </c>
      <c r="O325" s="27">
        <f>IF(tblMovimientos[[#This Row],[Tipo de Movimiento]]="Egreso",tblMovimientos[[#This Row],[Monto (S/)]],"0")</f>
        <v>3622.15</v>
      </c>
      <c r="P325" s="29">
        <f>IF(tblMovimientos[[#This Row],[Tipo de Movimiento]]="Ingreso",tblMovimientos[[#This Row],[Ingreso]],-tblMovimientos[[#This Row],[Egreso]])</f>
        <v>-3622.15</v>
      </c>
    </row>
    <row r="326" spans="1:16" x14ac:dyDescent="0.3">
      <c r="B326" s="41">
        <v>46177</v>
      </c>
      <c r="C326" s="4" t="s">
        <v>35</v>
      </c>
      <c r="D326" s="43" t="s">
        <v>126</v>
      </c>
      <c r="E326" s="52" t="s">
        <v>37</v>
      </c>
      <c r="F326" s="43" t="s">
        <v>10</v>
      </c>
      <c r="G326" s="43" t="s">
        <v>38</v>
      </c>
      <c r="H326" s="4" t="str">
        <f>IFERROR(_xlfn.XLOOKUP(G326,Listas!E:E,Listas!F:F,""),"")</f>
        <v>Operativo</v>
      </c>
      <c r="I326" s="52" t="str">
        <f>IFERROR(_xlfn.XLOOKUP(G326,Listas!E:E,Listas!G:G,""),"")</f>
        <v>Externo</v>
      </c>
      <c r="J326" s="45">
        <v>4000</v>
      </c>
      <c r="K326" s="53">
        <v>-4000</v>
      </c>
      <c r="L326" s="15" t="s">
        <v>128</v>
      </c>
      <c r="M326" s="46">
        <v>2422.7400000000016</v>
      </c>
      <c r="N326" s="27" t="str">
        <f>IF(tblMovimientos[[#This Row],[Tipo de Movimiento]]="Ingreso",tblMovimientos[[#This Row],[Monto (S/)]],"0")</f>
        <v>0</v>
      </c>
      <c r="O326" s="27">
        <f>IF(tblMovimientos[[#This Row],[Tipo de Movimiento]]="Egreso",tblMovimientos[[#This Row],[Monto (S/)]],"0")</f>
        <v>4000</v>
      </c>
      <c r="P326" s="29">
        <f>IF(tblMovimientos[[#This Row],[Tipo de Movimiento]]="Ingreso",tblMovimientos[[#This Row],[Ingreso]],-tblMovimientos[[#This Row],[Egreso]])</f>
        <v>-4000</v>
      </c>
    </row>
    <row r="327" spans="1:16" x14ac:dyDescent="0.3">
      <c r="B327" s="41">
        <v>46188</v>
      </c>
      <c r="C327" s="52" t="str">
        <f>_xlfn.XLOOKUP(tblMovimientos[[#This Row],[Cuenta Bancaria]],Listas!$B:$B,Listas!$A:$A,"")</f>
        <v>SSP Capital</v>
      </c>
      <c r="D327" s="43" t="s">
        <v>102</v>
      </c>
      <c r="E327" s="52" t="str">
        <f>_xlfn.XLOOKUP(tblMovimientos[[#This Row],[Cuenta Bancaria]],Listas!$B:$B,Listas!$C:$C,"")</f>
        <v>Bank of America</v>
      </c>
      <c r="F327" s="43" t="s">
        <v>10</v>
      </c>
      <c r="G327" s="43" t="s">
        <v>44</v>
      </c>
      <c r="H327" s="4" t="str">
        <f>IFERROR(_xlfn.XLOOKUP(G327,Listas!E:E,Listas!F:F,""),"")</f>
        <v>Operativo</v>
      </c>
      <c r="I327" s="52" t="str">
        <f>IFERROR(_xlfn.XLOOKUP(G327,Listas!E:E,Listas!G:G,""),"")</f>
        <v>Externo</v>
      </c>
      <c r="J327" s="45">
        <v>29.42</v>
      </c>
      <c r="K327" s="53">
        <f t="shared" ref="K327:K349" si="1">IF(F327="Ingreso",J327,-J327)</f>
        <v>-29.42</v>
      </c>
      <c r="L327" s="15" t="s">
        <v>128</v>
      </c>
      <c r="M327" s="46">
        <f>SUMIFS('Saldos Iniciales'!$D$2:$D$38,'Saldos Iniciales'!$A$2:$A$38,C327,'Saldos Iniciales'!$B$2:$B$38,D327)+SUMIFS($K$1:$K$363,$C$1:$C$363,C327,$D$1:$D$363,D327,$B$1:$B$363,"&lt;="&amp;B327)</f>
        <v>533.58000000000004</v>
      </c>
      <c r="N327" s="27" t="str">
        <f>IF(tblMovimientos[[#This Row],[Tipo de Movimiento]]="Ingreso",tblMovimientos[[#This Row],[Monto (S/)]],"0")</f>
        <v>0</v>
      </c>
      <c r="O327" s="27">
        <f>IF(tblMovimientos[[#This Row],[Tipo de Movimiento]]="Egreso",tblMovimientos[[#This Row],[Monto (S/)]],"0")</f>
        <v>29.42</v>
      </c>
      <c r="P327" s="29">
        <f>IF(tblMovimientos[[#This Row],[Tipo de Movimiento]]="Ingreso",tblMovimientos[[#This Row],[Ingreso]],-tblMovimientos[[#This Row],[Egreso]])</f>
        <v>-29.42</v>
      </c>
    </row>
    <row r="328" spans="1:16" x14ac:dyDescent="0.3">
      <c r="B328" s="41">
        <v>46188</v>
      </c>
      <c r="C328" s="4" t="str">
        <f>_xlfn.XLOOKUP(tblMovimientos[[#This Row],[Cuenta Bancaria]],Listas!$B:$B,Listas!$A:$A,"")</f>
        <v>A&amp;M Imports</v>
      </c>
      <c r="D328" s="43" t="s">
        <v>100</v>
      </c>
      <c r="E328" s="52" t="str">
        <f>_xlfn.XLOOKUP(tblMovimientos[[#This Row],[Cuenta Bancaria]],Listas!$B:$B,Listas!$C:$C,"")</f>
        <v>Bank of America</v>
      </c>
      <c r="F328" s="43" t="s">
        <v>10</v>
      </c>
      <c r="G328" s="43" t="s">
        <v>61</v>
      </c>
      <c r="H328" s="4" t="str">
        <f>IFERROR(_xlfn.XLOOKUP(G328,Listas!E:E,Listas!F:F,""),"")</f>
        <v>Operativo</v>
      </c>
      <c r="I328" s="52" t="str">
        <f>IFERROR(_xlfn.XLOOKUP(G328,Listas!E:E,Listas!G:G,""),"")</f>
        <v>Externo</v>
      </c>
      <c r="J328" s="45">
        <v>60000</v>
      </c>
      <c r="K328" s="53">
        <f t="shared" si="1"/>
        <v>-60000</v>
      </c>
      <c r="L328" s="15" t="s">
        <v>128</v>
      </c>
      <c r="M328" s="46">
        <f>SUMIFS('Saldos Iniciales'!$D$2:$D$38,'Saldos Iniciales'!$A$2:$A$38,C328,'Saldos Iniciales'!$B$2:$B$38,D328)+SUMIFS($K$1:$K$363,$C$1:$C$363,C328,$D$1:$D$363,D328,$B$1:$B$363,"&lt;="&amp;B328)</f>
        <v>503904.80999999982</v>
      </c>
      <c r="N328" s="27" t="str">
        <f>IF(tblMovimientos[[#This Row],[Tipo de Movimiento]]="Ingreso",tblMovimientos[[#This Row],[Monto (S/)]],"0")</f>
        <v>0</v>
      </c>
      <c r="O328" s="27">
        <f>IF(tblMovimientos[[#This Row],[Tipo de Movimiento]]="Egreso",tblMovimientos[[#This Row],[Monto (S/)]],"0")</f>
        <v>60000</v>
      </c>
      <c r="P328" s="29">
        <f>IF(tblMovimientos[[#This Row],[Tipo de Movimiento]]="Ingreso",tblMovimientos[[#This Row],[Ingreso]],-tblMovimientos[[#This Row],[Egreso]])</f>
        <v>-60000</v>
      </c>
    </row>
    <row r="329" spans="1:16" x14ac:dyDescent="0.3">
      <c r="B329" s="41">
        <v>46188</v>
      </c>
      <c r="C329" s="4" t="str">
        <f>_xlfn.XLOOKUP(tblMovimientos[[#This Row],[Cuenta Bancaria]],Listas!$B:$B,Listas!$A:$A,"")</f>
        <v>A&amp;M Imports</v>
      </c>
      <c r="D329" s="43" t="s">
        <v>100</v>
      </c>
      <c r="E329" s="52" t="str">
        <f>_xlfn.XLOOKUP(tblMovimientos[[#This Row],[Cuenta Bancaria]],Listas!$B:$B,Listas!$C:$C,"")</f>
        <v>Bank of America</v>
      </c>
      <c r="F329" s="43" t="s">
        <v>10</v>
      </c>
      <c r="G329" s="43" t="s">
        <v>44</v>
      </c>
      <c r="H329" s="4" t="str">
        <f>IFERROR(_xlfn.XLOOKUP(G329,Listas!E:E,Listas!F:F,""),"")</f>
        <v>Operativo</v>
      </c>
      <c r="I329" s="52" t="str">
        <f>IFERROR(_xlfn.XLOOKUP(G329,Listas!E:E,Listas!G:G,""),"")</f>
        <v>Externo</v>
      </c>
      <c r="J329" s="45">
        <v>721.4</v>
      </c>
      <c r="K329" s="53">
        <f t="shared" si="1"/>
        <v>-721.4</v>
      </c>
      <c r="L329" s="15" t="s">
        <v>128</v>
      </c>
      <c r="M329" s="46">
        <f>SUMIFS('Saldos Iniciales'!$D$2:$D$38,'Saldos Iniciales'!$A$2:$A$38,C329,'Saldos Iniciales'!$B$2:$B$38,D329)+SUMIFS($K$1:$K$363,$C$1:$C$363,C329,$D$1:$D$363,D329,$B$1:$B$363,"&lt;="&amp;B329)</f>
        <v>503904.80999999982</v>
      </c>
      <c r="N329" s="27" t="str">
        <f>IF(tblMovimientos[[#This Row],[Tipo de Movimiento]]="Ingreso",tblMovimientos[[#This Row],[Monto (S/)]],"0")</f>
        <v>0</v>
      </c>
      <c r="O329" s="27">
        <f>IF(tblMovimientos[[#This Row],[Tipo de Movimiento]]="Egreso",tblMovimientos[[#This Row],[Monto (S/)]],"0")</f>
        <v>721.4</v>
      </c>
      <c r="P329" s="29">
        <f>IF(tblMovimientos[[#This Row],[Tipo de Movimiento]]="Ingreso",tblMovimientos[[#This Row],[Ingreso]],-tblMovimientos[[#This Row],[Egreso]])</f>
        <v>-721.4</v>
      </c>
    </row>
    <row r="330" spans="1:16" x14ac:dyDescent="0.3">
      <c r="B330" s="41">
        <v>46188</v>
      </c>
      <c r="C330" s="4" t="str">
        <f>_xlfn.XLOOKUP(tblMovimientos[[#This Row],[Cuenta Bancaria]],Listas!$B:$B,Listas!$A:$A,"")</f>
        <v>CFT Group</v>
      </c>
      <c r="D330" s="43" t="s">
        <v>94</v>
      </c>
      <c r="E330" s="52" t="str">
        <f>_xlfn.XLOOKUP(tblMovimientos[[#This Row],[Cuenta Bancaria]],Listas!$B:$B,Listas!$C:$C,"")</f>
        <v>Bank of America</v>
      </c>
      <c r="F330" s="43" t="s">
        <v>10</v>
      </c>
      <c r="G330" s="43" t="s">
        <v>64</v>
      </c>
      <c r="H330" s="4" t="str">
        <f>IFERROR(_xlfn.XLOOKUP(G330,Listas!E:E,Listas!F:F,""),"")</f>
        <v>Operativo</v>
      </c>
      <c r="I330" s="52" t="str">
        <f>IFERROR(_xlfn.XLOOKUP(G330,Listas!E:E,Listas!G:G,""),"")</f>
        <v>Interno</v>
      </c>
      <c r="J330" s="45">
        <v>270000</v>
      </c>
      <c r="K330" s="53">
        <f t="shared" si="1"/>
        <v>-270000</v>
      </c>
      <c r="L330" s="15" t="s">
        <v>128</v>
      </c>
      <c r="M330" s="46">
        <f>SUMIFS('Saldos Iniciales'!$D$2:$D$38,'Saldos Iniciales'!$A$2:$A$38,C330,'Saldos Iniciales'!$B$2:$B$38,D330)+SUMIFS($K$1:$K$363,$C$1:$C$363,C330,$D$1:$D$363,D330,$B$1:$B$363,"&lt;="&amp;B330)</f>
        <v>11841.389999999985</v>
      </c>
      <c r="N330" s="27" t="str">
        <f>IF(tblMovimientos[[#This Row],[Tipo de Movimiento]]="Ingreso",tblMovimientos[[#This Row],[Monto (S/)]],"0")</f>
        <v>0</v>
      </c>
      <c r="O330" s="27">
        <f>IF(tblMovimientos[[#This Row],[Tipo de Movimiento]]="Egreso",tblMovimientos[[#This Row],[Monto (S/)]],"0")</f>
        <v>270000</v>
      </c>
      <c r="P330" s="29">
        <f>IF(tblMovimientos[[#This Row],[Tipo de Movimiento]]="Ingreso",tblMovimientos[[#This Row],[Ingreso]],-tblMovimientos[[#This Row],[Egreso]])</f>
        <v>-270000</v>
      </c>
    </row>
    <row r="331" spans="1:16" x14ac:dyDescent="0.3">
      <c r="B331" s="41">
        <v>46188</v>
      </c>
      <c r="C331" s="52" t="str">
        <f>_xlfn.XLOOKUP(tblMovimientos[[#This Row],[Cuenta Bancaria]],Listas!$B:$B,Listas!$A:$A,"")</f>
        <v>CFT Group</v>
      </c>
      <c r="D331" s="43" t="s">
        <v>94</v>
      </c>
      <c r="E331" s="52" t="str">
        <f>_xlfn.XLOOKUP(tblMovimientos[[#This Row],[Cuenta Bancaria]],Listas!$B:$B,Listas!$C:$C,"")</f>
        <v>Bank of America</v>
      </c>
      <c r="F331" s="43" t="s">
        <v>10</v>
      </c>
      <c r="G331" s="43" t="s">
        <v>62</v>
      </c>
      <c r="H331" s="4" t="str">
        <f>IFERROR(_xlfn.XLOOKUP(G331,Listas!E:E,Listas!F:F,""),"")</f>
        <v>Operativo</v>
      </c>
      <c r="I331" s="52" t="str">
        <f>IFERROR(_xlfn.XLOOKUP(G331,Listas!E:E,Listas!G:G,""),"")</f>
        <v>Interno</v>
      </c>
      <c r="J331" s="45">
        <v>12000</v>
      </c>
      <c r="K331" s="53">
        <f t="shared" si="1"/>
        <v>-12000</v>
      </c>
      <c r="L331" s="15" t="s">
        <v>128</v>
      </c>
      <c r="M331" s="46">
        <f>SUMIFS('Saldos Iniciales'!$D$2:$D$38,'Saldos Iniciales'!$A$2:$A$38,C331,'Saldos Iniciales'!$B$2:$B$38,D331)+SUMIFS($K$1:$K$363,$C$1:$C$363,C331,$D$1:$D$363,D331,$B$1:$B$363,"&lt;="&amp;B331)</f>
        <v>11841.389999999985</v>
      </c>
      <c r="N331" s="27" t="str">
        <f>IF(tblMovimientos[[#This Row],[Tipo de Movimiento]]="Ingreso",tblMovimientos[[#This Row],[Monto (S/)]],"0")</f>
        <v>0</v>
      </c>
      <c r="O331" s="27">
        <f>IF(tblMovimientos[[#This Row],[Tipo de Movimiento]]="Egreso",tblMovimientos[[#This Row],[Monto (S/)]],"0")</f>
        <v>12000</v>
      </c>
      <c r="P331" s="29">
        <f>IF(tblMovimientos[[#This Row],[Tipo de Movimiento]]="Ingreso",tblMovimientos[[#This Row],[Ingreso]],-tblMovimientos[[#This Row],[Egreso]])</f>
        <v>-12000</v>
      </c>
    </row>
    <row r="332" spans="1:16" x14ac:dyDescent="0.3">
      <c r="B332" s="41">
        <v>46188</v>
      </c>
      <c r="C332" s="4" t="str">
        <f>_xlfn.XLOOKUP(tblMovimientos[[#This Row],[Cuenta Bancaria]],Listas!$B:$B,Listas!$A:$A,"")</f>
        <v>CFT Group</v>
      </c>
      <c r="D332" s="43" t="s">
        <v>94</v>
      </c>
      <c r="E332" s="52" t="str">
        <f>_xlfn.XLOOKUP(tblMovimientos[[#This Row],[Cuenta Bancaria]],Listas!$B:$B,Listas!$C:$C,"")</f>
        <v>Bank of America</v>
      </c>
      <c r="F332" s="43" t="s">
        <v>10</v>
      </c>
      <c r="G332" s="43" t="s">
        <v>62</v>
      </c>
      <c r="H332" s="4" t="str">
        <f>IFERROR(_xlfn.XLOOKUP(G332,Listas!E:E,Listas!F:F,""),"")</f>
        <v>Operativo</v>
      </c>
      <c r="I332" s="52" t="str">
        <f>IFERROR(_xlfn.XLOOKUP(G332,Listas!E:E,Listas!G:G,""),"")</f>
        <v>Interno</v>
      </c>
      <c r="J332" s="45">
        <v>15000</v>
      </c>
      <c r="K332" s="53">
        <f t="shared" si="1"/>
        <v>-15000</v>
      </c>
      <c r="L332" s="15" t="s">
        <v>128</v>
      </c>
      <c r="M332" s="46">
        <f>SUMIFS('Saldos Iniciales'!$D$2:$D$38,'Saldos Iniciales'!$A$2:$A$38,C332,'Saldos Iniciales'!$B$2:$B$38,D332)+SUMIFS($K$1:$K$363,$C$1:$C$363,C332,$D$1:$D$363,D332,$B$1:$B$363,"&lt;="&amp;B332)</f>
        <v>11841.389999999985</v>
      </c>
      <c r="N332" s="27" t="str">
        <f>IF(tblMovimientos[[#This Row],[Tipo de Movimiento]]="Ingreso",tblMovimientos[[#This Row],[Monto (S/)]],"0")</f>
        <v>0</v>
      </c>
      <c r="O332" s="27">
        <f>IF(tblMovimientos[[#This Row],[Tipo de Movimiento]]="Egreso",tblMovimientos[[#This Row],[Monto (S/)]],"0")</f>
        <v>15000</v>
      </c>
      <c r="P332" s="29">
        <f>IF(tblMovimientos[[#This Row],[Tipo de Movimiento]]="Ingreso",tblMovimientos[[#This Row],[Ingreso]],-tblMovimientos[[#This Row],[Egreso]])</f>
        <v>-15000</v>
      </c>
    </row>
    <row r="333" spans="1:16" x14ac:dyDescent="0.3">
      <c r="A333" s="51"/>
      <c r="B333" s="41">
        <v>46188</v>
      </c>
      <c r="C333" s="4" t="str">
        <f>_xlfn.XLOOKUP(tblMovimientos[[#This Row],[Cuenta Bancaria]],Listas!$B:$B,Listas!$A:$A,"")</f>
        <v>2515 Overbrook</v>
      </c>
      <c r="D333" s="43" t="s">
        <v>121</v>
      </c>
      <c r="E333" s="52" t="str">
        <f>_xlfn.XLOOKUP(tblMovimientos[[#This Row],[Cuenta Bancaria]],Listas!$B:$B,Listas!$C:$C,"")</f>
        <v>Bank of America</v>
      </c>
      <c r="F333" s="43" t="s">
        <v>9</v>
      </c>
      <c r="G333" s="43" t="s">
        <v>81</v>
      </c>
      <c r="H333" s="4" t="str">
        <f>IFERROR(_xlfn.XLOOKUP(G333,Listas!E:E,Listas!F:F,""),"")</f>
        <v>Operativo</v>
      </c>
      <c r="I333" s="52" t="str">
        <f>IFERROR(_xlfn.XLOOKUP(G333,Listas!E:E,Listas!G:G,""),"")</f>
        <v>Externo</v>
      </c>
      <c r="J333" s="45">
        <v>2000</v>
      </c>
      <c r="K333" s="53">
        <f t="shared" si="1"/>
        <v>2000</v>
      </c>
      <c r="L333" s="15" t="s">
        <v>128</v>
      </c>
      <c r="M333" s="46">
        <f>SUMIFS('Saldos Iniciales'!$D$2:$D$38,'Saldos Iniciales'!$A$2:$A$38,C333,'Saldos Iniciales'!$B$2:$B$38,D333)+SUMIFS($K$1:$K$363,$C$1:$C$363,C333,$D$1:$D$363,D333,$B$1:$B$363,"&lt;="&amp;B333)</f>
        <v>29459.549999999963</v>
      </c>
      <c r="N333" s="27">
        <f>IF(tblMovimientos[[#This Row],[Tipo de Movimiento]]="Ingreso",tblMovimientos[[#This Row],[Monto (S/)]],"0")</f>
        <v>2000</v>
      </c>
      <c r="O333" s="27" t="str">
        <f>IF(tblMovimientos[[#This Row],[Tipo de Movimiento]]="Egreso",tblMovimientos[[#This Row],[Monto (S/)]],"0")</f>
        <v>0</v>
      </c>
      <c r="P333" s="29">
        <f>IF(tblMovimientos[[#This Row],[Tipo de Movimiento]]="Ingreso",tblMovimientos[[#This Row],[Ingreso]],-tblMovimientos[[#This Row],[Egreso]])</f>
        <v>2000</v>
      </c>
    </row>
    <row r="334" spans="1:16" x14ac:dyDescent="0.3">
      <c r="B334" s="41">
        <v>46189</v>
      </c>
      <c r="C334" s="4" t="str">
        <f>_xlfn.XLOOKUP(tblMovimientos[[#This Row],[Cuenta Bancaria]],Listas!$B:$B,Listas!$A:$A,"")</f>
        <v>SSP Capital</v>
      </c>
      <c r="D334" s="43" t="s">
        <v>101</v>
      </c>
      <c r="E334" s="4" t="str">
        <f>_xlfn.XLOOKUP(tblMovimientos[[#This Row],[Cuenta Bancaria]],Listas!$B:$B,Listas!$C:$C,"")</f>
        <v>Bank of America</v>
      </c>
      <c r="F334" s="43" t="s">
        <v>10</v>
      </c>
      <c r="G334" s="43" t="s">
        <v>38</v>
      </c>
      <c r="H334" s="4" t="str">
        <f>IFERROR(_xlfn.XLOOKUP(G334,Listas!E:E,Listas!F:F,""),"")</f>
        <v>Operativo</v>
      </c>
      <c r="I334" s="52" t="str">
        <f>IFERROR(_xlfn.XLOOKUP(G334,Listas!E:E,Listas!G:G,""),"")</f>
        <v>Externo</v>
      </c>
      <c r="J334" s="45">
        <v>2490.36</v>
      </c>
      <c r="K334" s="53">
        <f t="shared" si="1"/>
        <v>-2490.36</v>
      </c>
      <c r="L334" s="15" t="s">
        <v>128</v>
      </c>
      <c r="M334" s="46">
        <f>SUMIFS('Saldos Iniciales'!$D$2:$D$38,'Saldos Iniciales'!$A$2:$A$38,C334,'Saldos Iniciales'!$B$2:$B$38,D334)+SUMIFS($K$1:$K$363,$C$1:$C$363,C334,$D$1:$D$363,D334,$B$1:$B$363,"&lt;="&amp;B334)</f>
        <v>12471.52</v>
      </c>
      <c r="N334" s="27" t="str">
        <f>IF(tblMovimientos[[#This Row],[Tipo de Movimiento]]="Ingreso",tblMovimientos[[#This Row],[Monto (S/)]],"0")</f>
        <v>0</v>
      </c>
      <c r="O334" s="27">
        <f>IF(tblMovimientos[[#This Row],[Tipo de Movimiento]]="Egreso",tblMovimientos[[#This Row],[Monto (S/)]],"0")</f>
        <v>2490.36</v>
      </c>
      <c r="P334" s="29">
        <f>IF(tblMovimientos[[#This Row],[Tipo de Movimiento]]="Ingreso",tblMovimientos[[#This Row],[Ingreso]],-tblMovimientos[[#This Row],[Egreso]])</f>
        <v>-2490.36</v>
      </c>
    </row>
    <row r="335" spans="1:16" x14ac:dyDescent="0.3">
      <c r="B335" s="41">
        <v>46189</v>
      </c>
      <c r="C335" s="4" t="str">
        <f>_xlfn.XLOOKUP(tblMovimientos[[#This Row],[Cuenta Bancaria]],Listas!$B:$B,Listas!$A:$A,"")</f>
        <v>CFT Group</v>
      </c>
      <c r="D335" s="43" t="s">
        <v>94</v>
      </c>
      <c r="E335" s="4" t="str">
        <f>_xlfn.XLOOKUP(tblMovimientos[[#This Row],[Cuenta Bancaria]],Listas!$B:$B,Listas!$C:$C,"")</f>
        <v>Bank of America</v>
      </c>
      <c r="F335" s="43" t="s">
        <v>9</v>
      </c>
      <c r="G335" s="43" t="s">
        <v>72</v>
      </c>
      <c r="H335" s="4" t="str">
        <f>IFERROR(_xlfn.XLOOKUP(G335,Listas!E:E,Listas!F:F,""),"")</f>
        <v>Operativo</v>
      </c>
      <c r="I335" s="52" t="str">
        <f>IFERROR(_xlfn.XLOOKUP(G335,Listas!E:E,Listas!G:G,""),"")</f>
        <v>Externo</v>
      </c>
      <c r="J335" s="45">
        <v>100392.81</v>
      </c>
      <c r="K335" s="53">
        <f t="shared" si="1"/>
        <v>100392.81</v>
      </c>
      <c r="L335" s="15" t="s">
        <v>128</v>
      </c>
      <c r="M335" s="46">
        <f>SUMIFS('Saldos Iniciales'!$D$2:$D$38,'Saldos Iniciales'!$A$2:$A$38,C335,'Saldos Iniciales'!$B$2:$B$38,D335)+SUMIFS($K$1:$K$363,$C$1:$C$363,C335,$D$1:$D$363,D335,$B$1:$B$363,"&lt;="&amp;B335)</f>
        <v>112224.19999999998</v>
      </c>
      <c r="N335" s="27">
        <f>IF(tblMovimientos[[#This Row],[Tipo de Movimiento]]="Ingreso",tblMovimientos[[#This Row],[Monto (S/)]],"0")</f>
        <v>100392.81</v>
      </c>
      <c r="O335" s="27" t="str">
        <f>IF(tblMovimientos[[#This Row],[Tipo de Movimiento]]="Egreso",tblMovimientos[[#This Row],[Monto (S/)]],"0")</f>
        <v>0</v>
      </c>
      <c r="P335" s="29">
        <f>IF(tblMovimientos[[#This Row],[Tipo de Movimiento]]="Ingreso",tblMovimientos[[#This Row],[Ingreso]],-tblMovimientos[[#This Row],[Egreso]])</f>
        <v>100392.81</v>
      </c>
    </row>
    <row r="336" spans="1:16" x14ac:dyDescent="0.3">
      <c r="B336" s="41">
        <v>46189</v>
      </c>
      <c r="C336" s="4" t="str">
        <f>_xlfn.XLOOKUP(tblMovimientos[[#This Row],[Cuenta Bancaria]],Listas!$B:$B,Listas!$A:$A,"")</f>
        <v>CFT Group</v>
      </c>
      <c r="D336" s="43" t="s">
        <v>94</v>
      </c>
      <c r="E336" s="4" t="str">
        <f>_xlfn.XLOOKUP(tblMovimientos[[#This Row],[Cuenta Bancaria]],Listas!$B:$B,Listas!$C:$C,"")</f>
        <v>Bank of America</v>
      </c>
      <c r="F336" s="43" t="s">
        <v>10</v>
      </c>
      <c r="G336" s="43" t="s">
        <v>44</v>
      </c>
      <c r="H336" s="4" t="str">
        <f>IFERROR(_xlfn.XLOOKUP(G336,Listas!E:E,Listas!F:F,""),"")</f>
        <v>Operativo</v>
      </c>
      <c r="I336" s="52" t="str">
        <f>IFERROR(_xlfn.XLOOKUP(G336,Listas!E:E,Listas!G:G,""),"")</f>
        <v>Externo</v>
      </c>
      <c r="J336" s="45">
        <v>5</v>
      </c>
      <c r="K336" s="53">
        <f t="shared" si="1"/>
        <v>-5</v>
      </c>
      <c r="L336" s="15" t="s">
        <v>128</v>
      </c>
      <c r="M336" s="46">
        <f>SUMIFS('Saldos Iniciales'!$D$2:$D$38,'Saldos Iniciales'!$A$2:$A$38,C336,'Saldos Iniciales'!$B$2:$B$38,D336)+SUMIFS($K$1:$K$363,$C$1:$C$363,C336,$D$1:$D$363,D336,$B$1:$B$363,"&lt;="&amp;B336)</f>
        <v>112224.19999999998</v>
      </c>
      <c r="N336" s="27" t="str">
        <f>IF(tblMovimientos[[#This Row],[Tipo de Movimiento]]="Ingreso",tblMovimientos[[#This Row],[Monto (S/)]],"0")</f>
        <v>0</v>
      </c>
      <c r="O336" s="27">
        <f>IF(tblMovimientos[[#This Row],[Tipo de Movimiento]]="Egreso",tblMovimientos[[#This Row],[Monto (S/)]],"0")</f>
        <v>5</v>
      </c>
      <c r="P336" s="29">
        <f>IF(tblMovimientos[[#This Row],[Tipo de Movimiento]]="Ingreso",tblMovimientos[[#This Row],[Ingreso]],-tblMovimientos[[#This Row],[Egreso]])</f>
        <v>-5</v>
      </c>
    </row>
    <row r="337" spans="1:16" x14ac:dyDescent="0.3">
      <c r="B337" s="41">
        <v>46189</v>
      </c>
      <c r="C337" s="4" t="str">
        <f>_xlfn.XLOOKUP(tblMovimientos[[#This Row],[Cuenta Bancaria]],Listas!$B:$B,Listas!$A:$A,"")</f>
        <v>CFT Group</v>
      </c>
      <c r="D337" s="43" t="s">
        <v>94</v>
      </c>
      <c r="E337" s="4" t="str">
        <f>_xlfn.XLOOKUP(tblMovimientos[[#This Row],[Cuenta Bancaria]],Listas!$B:$B,Listas!$C:$C,"")</f>
        <v>Bank of America</v>
      </c>
      <c r="F337" s="43" t="s">
        <v>10</v>
      </c>
      <c r="G337" s="43" t="s">
        <v>44</v>
      </c>
      <c r="H337" s="4" t="str">
        <f>IFERROR(_xlfn.XLOOKUP(G337,Listas!E:E,Listas!F:F,""),"")</f>
        <v>Operativo</v>
      </c>
      <c r="I337" s="52" t="str">
        <f>IFERROR(_xlfn.XLOOKUP(G337,Listas!E:E,Listas!G:G,""),"")</f>
        <v>Externo</v>
      </c>
      <c r="J337" s="45">
        <v>5</v>
      </c>
      <c r="K337" s="53">
        <f t="shared" si="1"/>
        <v>-5</v>
      </c>
      <c r="L337" s="15" t="s">
        <v>128</v>
      </c>
      <c r="M337" s="46">
        <f>SUMIFS('Saldos Iniciales'!$D$2:$D$38,'Saldos Iniciales'!$A$2:$A$38,C337,'Saldos Iniciales'!$B$2:$B$38,D337)+SUMIFS($K$1:$K$363,$C$1:$C$363,C337,$D$1:$D$363,D337,$B$1:$B$363,"&lt;="&amp;B337)</f>
        <v>112224.19999999998</v>
      </c>
      <c r="N337" s="27" t="str">
        <f>IF(tblMovimientos[[#This Row],[Tipo de Movimiento]]="Ingreso",tblMovimientos[[#This Row],[Monto (S/)]],"0")</f>
        <v>0</v>
      </c>
      <c r="O337" s="27">
        <f>IF(tblMovimientos[[#This Row],[Tipo de Movimiento]]="Egreso",tblMovimientos[[#This Row],[Monto (S/)]],"0")</f>
        <v>5</v>
      </c>
      <c r="P337" s="29">
        <f>IF(tblMovimientos[[#This Row],[Tipo de Movimiento]]="Ingreso",tblMovimientos[[#This Row],[Ingreso]],-tblMovimientos[[#This Row],[Egreso]])</f>
        <v>-5</v>
      </c>
    </row>
    <row r="338" spans="1:16" x14ac:dyDescent="0.3">
      <c r="B338" s="41">
        <v>46189</v>
      </c>
      <c r="C338" s="4" t="str">
        <f>_xlfn.XLOOKUP(tblMovimientos[[#This Row],[Cuenta Bancaria]],Listas!$B:$B,Listas!$A:$A,"")</f>
        <v>112 Florida Ave</v>
      </c>
      <c r="D338" s="43" t="s">
        <v>123</v>
      </c>
      <c r="E338" s="4" t="str">
        <f>_xlfn.XLOOKUP(tblMovimientos[[#This Row],[Cuenta Bancaria]],Listas!$B:$B,Listas!$C:$C,"")</f>
        <v>Bank of America</v>
      </c>
      <c r="F338" s="43" t="s">
        <v>9</v>
      </c>
      <c r="G338" s="43" t="s">
        <v>75</v>
      </c>
      <c r="H338" s="4" t="str">
        <f>IFERROR(_xlfn.XLOOKUP(G338,Listas!E:E,Listas!F:F,""),"")</f>
        <v>Financiamiento</v>
      </c>
      <c r="I338" s="52" t="str">
        <f>IFERROR(_xlfn.XLOOKUP(G338,Listas!E:E,Listas!G:G,""),"")</f>
        <v>Interno</v>
      </c>
      <c r="J338" s="45">
        <v>15000</v>
      </c>
      <c r="K338" s="53">
        <f t="shared" si="1"/>
        <v>15000</v>
      </c>
      <c r="L338" s="15" t="s">
        <v>128</v>
      </c>
      <c r="M338" s="46">
        <f>SUMIFS('Saldos Iniciales'!$D$2:$D$38,'Saldos Iniciales'!$A$2:$A$38,C338,'Saldos Iniciales'!$B$2:$B$38,D338)+SUMIFS($K$1:$K$363,$C$1:$C$363,C338,$D$1:$D$363,D338,$B$1:$B$363,"&lt;="&amp;B338)</f>
        <v>20321.43</v>
      </c>
      <c r="N338" s="27">
        <f>IF(tblMovimientos[[#This Row],[Tipo de Movimiento]]="Ingreso",tblMovimientos[[#This Row],[Monto (S/)]],"0")</f>
        <v>15000</v>
      </c>
      <c r="O338" s="27" t="str">
        <f>IF(tblMovimientos[[#This Row],[Tipo de Movimiento]]="Egreso",tblMovimientos[[#This Row],[Monto (S/)]],"0")</f>
        <v>0</v>
      </c>
      <c r="P338" s="29">
        <f>IF(tblMovimientos[[#This Row],[Tipo de Movimiento]]="Ingreso",tblMovimientos[[#This Row],[Ingreso]],-tblMovimientos[[#This Row],[Egreso]])</f>
        <v>15000</v>
      </c>
    </row>
    <row r="339" spans="1:16" x14ac:dyDescent="0.3">
      <c r="B339" s="41">
        <v>46188</v>
      </c>
      <c r="C339" s="4" t="str">
        <f>_xlfn.XLOOKUP(tblMovimientos[[#This Row],[Cuenta Bancaria]],Listas!$B:$B,Listas!$A:$A,"")</f>
        <v>3628 Thomas Ave</v>
      </c>
      <c r="D339" s="43" t="s">
        <v>124</v>
      </c>
      <c r="E339" s="4" t="str">
        <f>_xlfn.XLOOKUP(tblMovimientos[[#This Row],[Cuenta Bancaria]],Listas!$B:$B,Listas!$C:$C,"")</f>
        <v>Bank of America</v>
      </c>
      <c r="F339" s="43" t="s">
        <v>10</v>
      </c>
      <c r="G339" s="43" t="s">
        <v>38</v>
      </c>
      <c r="H339" s="4" t="str">
        <f>IFERROR(_xlfn.XLOOKUP(G339,Listas!E:E,Listas!F:F,""),"")</f>
        <v>Operativo</v>
      </c>
      <c r="I339" s="52" t="str">
        <f>IFERROR(_xlfn.XLOOKUP(G339,Listas!E:E,Listas!G:G,""),"")</f>
        <v>Externo</v>
      </c>
      <c r="J339" s="45">
        <v>4000</v>
      </c>
      <c r="K339" s="53">
        <f t="shared" si="1"/>
        <v>-4000</v>
      </c>
      <c r="L339" s="15" t="s">
        <v>128</v>
      </c>
      <c r="M339" s="46">
        <f>SUMIFS('Saldos Iniciales'!$D$2:$D$38,'Saldos Iniciales'!$A$2:$A$38,C339,'Saldos Iniciales'!$B$2:$B$38,D339)+SUMIFS($K$1:$K$363,$C$1:$C$363,C339,$D$1:$D$363,D339,$B$1:$B$363,"&lt;="&amp;B339)</f>
        <v>20484.849999999999</v>
      </c>
      <c r="N339" s="27" t="str">
        <f>IF(tblMovimientos[[#This Row],[Tipo de Movimiento]]="Ingreso",tblMovimientos[[#This Row],[Monto (S/)]],"0")</f>
        <v>0</v>
      </c>
      <c r="O339" s="27">
        <f>IF(tblMovimientos[[#This Row],[Tipo de Movimiento]]="Egreso",tblMovimientos[[#This Row],[Monto (S/)]],"0")</f>
        <v>4000</v>
      </c>
      <c r="P339" s="29">
        <f>IF(tblMovimientos[[#This Row],[Tipo de Movimiento]]="Ingreso",tblMovimientos[[#This Row],[Ingreso]],-tblMovimientos[[#This Row],[Egreso]])</f>
        <v>-4000</v>
      </c>
    </row>
    <row r="340" spans="1:16" x14ac:dyDescent="0.3">
      <c r="B340" s="41">
        <v>46189</v>
      </c>
      <c r="C340" s="4" t="str">
        <f>_xlfn.XLOOKUP(tblMovimientos[[#This Row],[Cuenta Bancaria]],Listas!$B:$B,Listas!$A:$A,"")</f>
        <v>3628 Thomas Ave</v>
      </c>
      <c r="D340" s="43" t="s">
        <v>124</v>
      </c>
      <c r="E340" s="4" t="str">
        <f>_xlfn.XLOOKUP(tblMovimientos[[#This Row],[Cuenta Bancaria]],Listas!$B:$B,Listas!$C:$C,"")</f>
        <v>Bank of America</v>
      </c>
      <c r="F340" s="43" t="s">
        <v>10</v>
      </c>
      <c r="G340" s="43" t="s">
        <v>38</v>
      </c>
      <c r="H340" s="4" t="str">
        <f>IFERROR(_xlfn.XLOOKUP(G340,Listas!E:E,Listas!F:F,""),"")</f>
        <v>Operativo</v>
      </c>
      <c r="I340" s="52" t="str">
        <f>IFERROR(_xlfn.XLOOKUP(G340,Listas!E:E,Listas!G:G,""),"")</f>
        <v>Externo</v>
      </c>
      <c r="J340" s="45">
        <v>173.5</v>
      </c>
      <c r="K340" s="53">
        <f t="shared" si="1"/>
        <v>-173.5</v>
      </c>
      <c r="L340" s="15" t="s">
        <v>128</v>
      </c>
      <c r="M340" s="46">
        <f>SUMIFS('Saldos Iniciales'!$D$2:$D$38,'Saldos Iniciales'!$A$2:$A$38,C340,'Saldos Iniciales'!$B$2:$B$38,D340)+SUMIFS($K$1:$K$363,$C$1:$C$363,C340,$D$1:$D$363,D340,$B$1:$B$363,"&lt;="&amp;B340)</f>
        <v>19811.349999999999</v>
      </c>
      <c r="N340" s="27" t="str">
        <f>IF(tblMovimientos[[#This Row],[Tipo de Movimiento]]="Ingreso",tblMovimientos[[#This Row],[Monto (S/)]],"0")</f>
        <v>0</v>
      </c>
      <c r="O340" s="27">
        <f>IF(tblMovimientos[[#This Row],[Tipo de Movimiento]]="Egreso",tblMovimientos[[#This Row],[Monto (S/)]],"0")</f>
        <v>173.5</v>
      </c>
      <c r="P340" s="29">
        <f>IF(tblMovimientos[[#This Row],[Tipo de Movimiento]]="Ingreso",tblMovimientos[[#This Row],[Ingreso]],-tblMovimientos[[#This Row],[Egreso]])</f>
        <v>-173.5</v>
      </c>
    </row>
    <row r="341" spans="1:16" x14ac:dyDescent="0.3">
      <c r="B341" s="41">
        <v>46189</v>
      </c>
      <c r="C341" s="4" t="str">
        <f>_xlfn.XLOOKUP(tblMovimientos[[#This Row],[Cuenta Bancaria]],Listas!$B:$B,Listas!$A:$A,"")</f>
        <v>3628 Thomas Ave</v>
      </c>
      <c r="D341" s="43" t="s">
        <v>124</v>
      </c>
      <c r="E341" s="4" t="str">
        <f>_xlfn.XLOOKUP(tblMovimientos[[#This Row],[Cuenta Bancaria]],Listas!$B:$B,Listas!$C:$C,"")</f>
        <v>Bank of America</v>
      </c>
      <c r="F341" s="43" t="s">
        <v>10</v>
      </c>
      <c r="G341" s="43" t="s">
        <v>38</v>
      </c>
      <c r="H341" s="4" t="str">
        <f>IFERROR(_xlfn.XLOOKUP(G341,Listas!E:E,Listas!F:F,""),"")</f>
        <v>Operativo</v>
      </c>
      <c r="I341" s="52" t="str">
        <f>IFERROR(_xlfn.XLOOKUP(G341,Listas!E:E,Listas!G:G,""),"")</f>
        <v>Externo</v>
      </c>
      <c r="J341" s="45">
        <v>220</v>
      </c>
      <c r="K341" s="53">
        <f t="shared" si="1"/>
        <v>-220</v>
      </c>
      <c r="L341" s="15" t="s">
        <v>128</v>
      </c>
      <c r="M341" s="46">
        <f>SUMIFS('Saldos Iniciales'!$D$2:$D$38,'Saldos Iniciales'!$A$2:$A$38,C341,'Saldos Iniciales'!$B$2:$B$38,D341)+SUMIFS($K$1:$K$363,$C$1:$C$363,C341,$D$1:$D$363,D341,$B$1:$B$363,"&lt;="&amp;B341)</f>
        <v>19811.349999999999</v>
      </c>
      <c r="N341" s="27" t="str">
        <f>IF(tblMovimientos[[#This Row],[Tipo de Movimiento]]="Ingreso",tblMovimientos[[#This Row],[Monto (S/)]],"0")</f>
        <v>0</v>
      </c>
      <c r="O341" s="27">
        <f>IF(tblMovimientos[[#This Row],[Tipo de Movimiento]]="Egreso",tblMovimientos[[#This Row],[Monto (S/)]],"0")</f>
        <v>220</v>
      </c>
      <c r="P341" s="29">
        <f>IF(tblMovimientos[[#This Row],[Tipo de Movimiento]]="Ingreso",tblMovimientos[[#This Row],[Ingreso]],-tblMovimientos[[#This Row],[Egreso]])</f>
        <v>-220</v>
      </c>
    </row>
    <row r="342" spans="1:16" x14ac:dyDescent="0.3">
      <c r="B342" s="41">
        <v>46189</v>
      </c>
      <c r="C342" s="4" t="str">
        <f>_xlfn.XLOOKUP(tblMovimientos[[#This Row],[Cuenta Bancaria]],Listas!$B:$B,Listas!$A:$A,"")</f>
        <v>3628 Thomas Ave</v>
      </c>
      <c r="D342" s="43" t="s">
        <v>124</v>
      </c>
      <c r="E342" s="4" t="str">
        <f>_xlfn.XLOOKUP(tblMovimientos[[#This Row],[Cuenta Bancaria]],Listas!$B:$B,Listas!$C:$C,"")</f>
        <v>Bank of America</v>
      </c>
      <c r="F342" s="43" t="s">
        <v>10</v>
      </c>
      <c r="G342" s="43" t="s">
        <v>38</v>
      </c>
      <c r="H342" s="4" t="str">
        <f>IFERROR(_xlfn.XLOOKUP(G342,Listas!E:E,Listas!F:F,""),"")</f>
        <v>Operativo</v>
      </c>
      <c r="I342" s="52" t="str">
        <f>IFERROR(_xlfn.XLOOKUP(G342,Listas!E:E,Listas!G:G,""),"")</f>
        <v>Externo</v>
      </c>
      <c r="J342" s="45">
        <v>80</v>
      </c>
      <c r="K342" s="53">
        <f t="shared" si="1"/>
        <v>-80</v>
      </c>
      <c r="L342" s="15" t="s">
        <v>128</v>
      </c>
      <c r="M342" s="46">
        <f>SUMIFS('Saldos Iniciales'!$D$2:$D$38,'Saldos Iniciales'!$A$2:$A$38,C342,'Saldos Iniciales'!$B$2:$B$38,D342)+SUMIFS($K$1:$K$363,$C$1:$C$363,C342,$D$1:$D$363,D342,$B$1:$B$363,"&lt;="&amp;B342)</f>
        <v>19811.349999999999</v>
      </c>
      <c r="N342" s="27" t="str">
        <f>IF(tblMovimientos[[#This Row],[Tipo de Movimiento]]="Ingreso",tblMovimientos[[#This Row],[Monto (S/)]],"0")</f>
        <v>0</v>
      </c>
      <c r="O342" s="27">
        <f>IF(tblMovimientos[[#This Row],[Tipo de Movimiento]]="Egreso",tblMovimientos[[#This Row],[Monto (S/)]],"0")</f>
        <v>80</v>
      </c>
      <c r="P342" s="29">
        <f>IF(tblMovimientos[[#This Row],[Tipo de Movimiento]]="Ingreso",tblMovimientos[[#This Row],[Ingreso]],-tblMovimientos[[#This Row],[Egreso]])</f>
        <v>-80</v>
      </c>
    </row>
    <row r="343" spans="1:16" x14ac:dyDescent="0.3">
      <c r="B343" s="41">
        <v>46189</v>
      </c>
      <c r="C343" s="4" t="str">
        <f>_xlfn.XLOOKUP(tblMovimientos[[#This Row],[Cuenta Bancaria]],Listas!$B:$B,Listas!$A:$A,"")</f>
        <v>3628 Thomas Ave</v>
      </c>
      <c r="D343" s="43" t="s">
        <v>124</v>
      </c>
      <c r="E343" s="4" t="str">
        <f>_xlfn.XLOOKUP(tblMovimientos[[#This Row],[Cuenta Bancaria]],Listas!$B:$B,Listas!$C:$C,"")</f>
        <v>Bank of America</v>
      </c>
      <c r="F343" s="43" t="s">
        <v>10</v>
      </c>
      <c r="G343" s="43" t="s">
        <v>38</v>
      </c>
      <c r="H343" s="4" t="str">
        <f>IFERROR(_xlfn.XLOOKUP(G343,Listas!E:E,Listas!F:F,""),"")</f>
        <v>Operativo</v>
      </c>
      <c r="I343" s="52" t="str">
        <f>IFERROR(_xlfn.XLOOKUP(G343,Listas!E:E,Listas!G:G,""),"")</f>
        <v>Externo</v>
      </c>
      <c r="J343" s="45">
        <v>200</v>
      </c>
      <c r="K343" s="53">
        <f t="shared" si="1"/>
        <v>-200</v>
      </c>
      <c r="L343" s="15" t="s">
        <v>128</v>
      </c>
      <c r="M343" s="46">
        <f>SUMIFS('Saldos Iniciales'!$D$2:$D$38,'Saldos Iniciales'!$A$2:$A$38,C343,'Saldos Iniciales'!$B$2:$B$38,D343)+SUMIFS($K$1:$K$363,$C$1:$C$363,C343,$D$1:$D$363,D343,$B$1:$B$363,"&lt;="&amp;B343)</f>
        <v>19811.349999999999</v>
      </c>
      <c r="N343" s="27" t="str">
        <f>IF(tblMovimientos[[#This Row],[Tipo de Movimiento]]="Ingreso",tblMovimientos[[#This Row],[Monto (S/)]],"0")</f>
        <v>0</v>
      </c>
      <c r="O343" s="27">
        <f>IF(tblMovimientos[[#This Row],[Tipo de Movimiento]]="Egreso",tblMovimientos[[#This Row],[Monto (S/)]],"0")</f>
        <v>200</v>
      </c>
      <c r="P343" s="29">
        <f>IF(tblMovimientos[[#This Row],[Tipo de Movimiento]]="Ingreso",tblMovimientos[[#This Row],[Ingreso]],-tblMovimientos[[#This Row],[Egreso]])</f>
        <v>-200</v>
      </c>
    </row>
    <row r="344" spans="1:16" x14ac:dyDescent="0.3">
      <c r="A344" s="51"/>
      <c r="B344" s="41">
        <v>46188</v>
      </c>
      <c r="C344" s="4" t="str">
        <f>_xlfn.XLOOKUP(tblMovimientos[[#This Row],[Cuenta Bancaria]],Listas!$B:$B,Listas!$A:$A,"")</f>
        <v>SSP Capital</v>
      </c>
      <c r="D344" s="43" t="s">
        <v>106</v>
      </c>
      <c r="E344" s="52" t="str">
        <f>_xlfn.XLOOKUP(tblMovimientos[[#This Row],[Cuenta Bancaria]],Listas!$B:$B,Listas!$C:$C,"")</f>
        <v xml:space="preserve">Amerant Bank </v>
      </c>
      <c r="F344" s="43" t="s">
        <v>9</v>
      </c>
      <c r="G344" s="43" t="s">
        <v>85</v>
      </c>
      <c r="H344" s="52" t="str">
        <f>IFERROR(_xlfn.XLOOKUP(G344,Listas!E:E,Listas!F:F,""),"")</f>
        <v>Operativo</v>
      </c>
      <c r="I344" s="52" t="str">
        <f>IFERROR(_xlfn.XLOOKUP(G344,Listas!E:E,Listas!G:G,""),"")</f>
        <v>Interno</v>
      </c>
      <c r="J344" s="45">
        <v>54600</v>
      </c>
      <c r="K344" s="53">
        <f t="shared" si="1"/>
        <v>54600</v>
      </c>
      <c r="L344" s="15" t="s">
        <v>128</v>
      </c>
      <c r="M344" s="46">
        <f>SUMIFS('Saldos Iniciales'!$D$2:$D$38,'Saldos Iniciales'!$A$2:$A$38,C344,'Saldos Iniciales'!$B$2:$B$38,D344)+SUMIFS($K$1:$K$363,$C$1:$C$363,C344,$D$1:$D$363,D344,$B$1:$B$363,"&lt;="&amp;B344)</f>
        <v>804412.95</v>
      </c>
      <c r="N344" s="27">
        <f>IF(tblMovimientos[[#This Row],[Tipo de Movimiento]]="Ingreso",tblMovimientos[[#This Row],[Monto (S/)]],"0")</f>
        <v>54600</v>
      </c>
      <c r="O344" s="27" t="str">
        <f>IF(tblMovimientos[[#This Row],[Tipo de Movimiento]]="Egreso",tblMovimientos[[#This Row],[Monto (S/)]],"0")</f>
        <v>0</v>
      </c>
      <c r="P344" s="29">
        <f>IF(tblMovimientos[[#This Row],[Tipo de Movimiento]]="Ingreso",tblMovimientos[[#This Row],[Ingreso]],-tblMovimientos[[#This Row],[Egreso]])</f>
        <v>54600</v>
      </c>
    </row>
    <row r="345" spans="1:16" x14ac:dyDescent="0.3">
      <c r="B345" s="41">
        <v>46190</v>
      </c>
      <c r="C345" s="4" t="str">
        <f>_xlfn.XLOOKUP(tblMovimientos[[#This Row],[Cuenta Bancaria]],Listas!$B:$B,Listas!$A:$A,"")</f>
        <v>SSP Capital</v>
      </c>
      <c r="D345" s="43" t="s">
        <v>101</v>
      </c>
      <c r="E345" s="4" t="str">
        <f>_xlfn.XLOOKUP(tblMovimientos[[#This Row],[Cuenta Bancaria]],Listas!$B:$B,Listas!$C:$C,"")</f>
        <v>Bank of America</v>
      </c>
      <c r="F345" s="43" t="s">
        <v>10</v>
      </c>
      <c r="G345" s="43" t="s">
        <v>38</v>
      </c>
      <c r="H345" s="4" t="str">
        <f>IFERROR(_xlfn.XLOOKUP(G345,Listas!E:E,Listas!F:F,""),"")</f>
        <v>Operativo</v>
      </c>
      <c r="I345" s="52" t="str">
        <f>IFERROR(_xlfn.XLOOKUP(G345,Listas!E:E,Listas!G:G,""),"")</f>
        <v>Externo</v>
      </c>
      <c r="J345" s="45">
        <v>2383.4899999999998</v>
      </c>
      <c r="K345" s="53">
        <f t="shared" si="1"/>
        <v>-2383.4899999999998</v>
      </c>
      <c r="L345" s="15" t="s">
        <v>128</v>
      </c>
      <c r="M345" s="46">
        <f>SUMIFS('Saldos Iniciales'!$D$2:$D$38,'Saldos Iniciales'!$A$2:$A$38,C345,'Saldos Iniciales'!$B$2:$B$38,D345)+SUMIFS($K$1:$K$363,$C$1:$C$363,C345,$D$1:$D$363,D345,$B$1:$B$363,"&lt;="&amp;B345)</f>
        <v>10088.029999999999</v>
      </c>
      <c r="N345" s="27" t="str">
        <f>IF(tblMovimientos[[#This Row],[Tipo de Movimiento]]="Ingreso",tblMovimientos[[#This Row],[Monto (S/)]],"0")</f>
        <v>0</v>
      </c>
      <c r="O345" s="27">
        <f>IF(tblMovimientos[[#This Row],[Tipo de Movimiento]]="Egreso",tblMovimientos[[#This Row],[Monto (S/)]],"0")</f>
        <v>2383.4899999999998</v>
      </c>
      <c r="P345" s="29">
        <f>IF(tblMovimientos[[#This Row],[Tipo de Movimiento]]="Ingreso",tblMovimientos[[#This Row],[Ingreso]],-tblMovimientos[[#This Row],[Egreso]])</f>
        <v>-2383.4899999999998</v>
      </c>
    </row>
    <row r="346" spans="1:16" x14ac:dyDescent="0.3">
      <c r="B346" s="41">
        <v>46190</v>
      </c>
      <c r="C346" s="4" t="str">
        <f>_xlfn.XLOOKUP(tblMovimientos[[#This Row],[Cuenta Bancaria]],Listas!$B:$B,Listas!$A:$A,"")</f>
        <v>CFT Group</v>
      </c>
      <c r="D346" s="43" t="s">
        <v>94</v>
      </c>
      <c r="E346" s="4" t="str">
        <f>_xlfn.XLOOKUP(tblMovimientos[[#This Row],[Cuenta Bancaria]],Listas!$B:$B,Listas!$C:$C,"")</f>
        <v>Bank of America</v>
      </c>
      <c r="F346" s="43" t="s">
        <v>9</v>
      </c>
      <c r="G346" s="43" t="s">
        <v>75</v>
      </c>
      <c r="H346" s="4" t="str">
        <f>IFERROR(_xlfn.XLOOKUP(G346,Listas!E:E,Listas!F:F,""),"")</f>
        <v>Financiamiento</v>
      </c>
      <c r="I346" s="52" t="str">
        <f>IFERROR(_xlfn.XLOOKUP(G346,Listas!E:E,Listas!G:G,""),"")</f>
        <v>Interno</v>
      </c>
      <c r="J346" s="45">
        <v>12000</v>
      </c>
      <c r="K346" s="53">
        <f t="shared" si="1"/>
        <v>12000</v>
      </c>
      <c r="L346" s="15" t="s">
        <v>128</v>
      </c>
      <c r="M346" s="46">
        <f>SUMIFS('Saldos Iniciales'!$D$2:$D$38,'Saldos Iniciales'!$A$2:$A$38,C346,'Saldos Iniciales'!$B$2:$B$38,D346)+SUMIFS($K$1:$K$363,$C$1:$C$363,C346,$D$1:$D$363,D346,$B$1:$B$363,"&lt;="&amp;B346)</f>
        <v>124224.19999999998</v>
      </c>
      <c r="N346" s="27">
        <f>IF(tblMovimientos[[#This Row],[Tipo de Movimiento]]="Ingreso",tblMovimientos[[#This Row],[Monto (S/)]],"0")</f>
        <v>12000</v>
      </c>
      <c r="O346" s="27" t="str">
        <f>IF(tblMovimientos[[#This Row],[Tipo de Movimiento]]="Egreso",tblMovimientos[[#This Row],[Monto (S/)]],"0")</f>
        <v>0</v>
      </c>
      <c r="P346" s="29">
        <f>IF(tblMovimientos[[#This Row],[Tipo de Movimiento]]="Ingreso",tblMovimientos[[#This Row],[Ingreso]],-tblMovimientos[[#This Row],[Egreso]])</f>
        <v>12000</v>
      </c>
    </row>
    <row r="347" spans="1:16" x14ac:dyDescent="0.3">
      <c r="B347" s="41">
        <v>46190</v>
      </c>
      <c r="C347" s="4" t="str">
        <f>_xlfn.XLOOKUP(tblMovimientos[[#This Row],[Cuenta Bancaria]],Listas!$B:$B,Listas!$A:$A,"")</f>
        <v>3628 Thomas Ave</v>
      </c>
      <c r="D347" s="43" t="s">
        <v>124</v>
      </c>
      <c r="E347" s="4" t="str">
        <f>_xlfn.XLOOKUP(tblMovimientos[[#This Row],[Cuenta Bancaria]],Listas!$B:$B,Listas!$C:$C,"")</f>
        <v>Bank of America</v>
      </c>
      <c r="F347" s="43" t="s">
        <v>10</v>
      </c>
      <c r="G347" s="43" t="s">
        <v>38</v>
      </c>
      <c r="H347" s="4" t="str">
        <f>IFERROR(_xlfn.XLOOKUP(G347,Listas!E:E,Listas!F:F,""),"")</f>
        <v>Operativo</v>
      </c>
      <c r="I347" s="52" t="str">
        <f>IFERROR(_xlfn.XLOOKUP(G347,Listas!E:E,Listas!G:G,""),"")</f>
        <v>Externo</v>
      </c>
      <c r="J347" s="45">
        <v>2200</v>
      </c>
      <c r="K347" s="53">
        <f t="shared" si="1"/>
        <v>-2200</v>
      </c>
      <c r="L347" s="15" t="s">
        <v>128</v>
      </c>
      <c r="M347" s="46">
        <f>SUMIFS('Saldos Iniciales'!$D$2:$D$38,'Saldos Iniciales'!$A$2:$A$38,C347,'Saldos Iniciales'!$B$2:$B$38,D347)+SUMIFS($K$1:$K$363,$C$1:$C$363,C347,$D$1:$D$363,D347,$B$1:$B$363,"&lt;="&amp;B347)</f>
        <v>16681.349999999999</v>
      </c>
      <c r="N347" s="27" t="str">
        <f>IF(tblMovimientos[[#This Row],[Tipo de Movimiento]]="Ingreso",tblMovimientos[[#This Row],[Monto (S/)]],"0")</f>
        <v>0</v>
      </c>
      <c r="O347" s="27">
        <f>IF(tblMovimientos[[#This Row],[Tipo de Movimiento]]="Egreso",tblMovimientos[[#This Row],[Monto (S/)]],"0")</f>
        <v>2200</v>
      </c>
      <c r="P347" s="29">
        <f>IF(tblMovimientos[[#This Row],[Tipo de Movimiento]]="Ingreso",tblMovimientos[[#This Row],[Ingreso]],-tblMovimientos[[#This Row],[Egreso]])</f>
        <v>-2200</v>
      </c>
    </row>
    <row r="348" spans="1:16" x14ac:dyDescent="0.3">
      <c r="B348" s="41">
        <v>46190</v>
      </c>
      <c r="C348" s="4" t="str">
        <f>_xlfn.XLOOKUP(tblMovimientos[[#This Row],[Cuenta Bancaria]],Listas!$B:$B,Listas!$A:$A,"")</f>
        <v>3628 Thomas Ave</v>
      </c>
      <c r="D348" s="43" t="s">
        <v>124</v>
      </c>
      <c r="E348" s="4" t="str">
        <f>_xlfn.XLOOKUP(tblMovimientos[[#This Row],[Cuenta Bancaria]],Listas!$B:$B,Listas!$C:$C,"")</f>
        <v>Bank of America</v>
      </c>
      <c r="F348" s="43" t="s">
        <v>10</v>
      </c>
      <c r="G348" s="43" t="s">
        <v>38</v>
      </c>
      <c r="H348" s="4" t="str">
        <f>IFERROR(_xlfn.XLOOKUP(G348,Listas!E:E,Listas!F:F,""),"")</f>
        <v>Operativo</v>
      </c>
      <c r="I348" s="52" t="str">
        <f>IFERROR(_xlfn.XLOOKUP(G348,Listas!E:E,Listas!G:G,""),"")</f>
        <v>Externo</v>
      </c>
      <c r="J348" s="45">
        <v>900</v>
      </c>
      <c r="K348" s="53">
        <f t="shared" si="1"/>
        <v>-900</v>
      </c>
      <c r="L348" s="15" t="s">
        <v>128</v>
      </c>
      <c r="M348" s="46">
        <f>SUMIFS('Saldos Iniciales'!$D$2:$D$38,'Saldos Iniciales'!$A$2:$A$38,C348,'Saldos Iniciales'!$B$2:$B$38,D348)+SUMIFS($K$1:$K$363,$C$1:$C$363,C348,$D$1:$D$363,D348,$B$1:$B$363,"&lt;="&amp;B348)</f>
        <v>16681.349999999999</v>
      </c>
      <c r="N348" s="27" t="str">
        <f>IF(tblMovimientos[[#This Row],[Tipo de Movimiento]]="Ingreso",tblMovimientos[[#This Row],[Monto (S/)]],"0")</f>
        <v>0</v>
      </c>
      <c r="O348" s="27">
        <f>IF(tblMovimientos[[#This Row],[Tipo de Movimiento]]="Egreso",tblMovimientos[[#This Row],[Monto (S/)]],"0")</f>
        <v>900</v>
      </c>
      <c r="P348" s="29">
        <f>IF(tblMovimientos[[#This Row],[Tipo de Movimiento]]="Ingreso",tblMovimientos[[#This Row],[Ingreso]],-tblMovimientos[[#This Row],[Egreso]])</f>
        <v>-900</v>
      </c>
    </row>
    <row r="349" spans="1:16" x14ac:dyDescent="0.3">
      <c r="B349" s="41">
        <v>46190</v>
      </c>
      <c r="C349" s="4" t="str">
        <f>_xlfn.XLOOKUP(tblMovimientos[[#This Row],[Cuenta Bancaria]],Listas!$B:$B,Listas!$A:$A,"")</f>
        <v>3628 Thomas Ave</v>
      </c>
      <c r="D349" s="43" t="s">
        <v>124</v>
      </c>
      <c r="E349" s="4" t="str">
        <f>_xlfn.XLOOKUP(tblMovimientos[[#This Row],[Cuenta Bancaria]],Listas!$B:$B,Listas!$C:$C,"")</f>
        <v>Bank of America</v>
      </c>
      <c r="F349" s="43" t="s">
        <v>10</v>
      </c>
      <c r="G349" s="43" t="s">
        <v>44</v>
      </c>
      <c r="H349" s="4" t="str">
        <f>IFERROR(_xlfn.XLOOKUP(G349,Listas!E:E,Listas!F:F,""),"")</f>
        <v>Operativo</v>
      </c>
      <c r="I349" s="52" t="str">
        <f>IFERROR(_xlfn.XLOOKUP(G349,Listas!E:E,Listas!G:G,""),"")</f>
        <v>Externo</v>
      </c>
      <c r="J349" s="45">
        <v>30</v>
      </c>
      <c r="K349" s="53">
        <f t="shared" si="1"/>
        <v>-30</v>
      </c>
      <c r="L349" s="15" t="s">
        <v>128</v>
      </c>
      <c r="M349" s="46">
        <f>SUMIFS('Saldos Iniciales'!$D$2:$D$38,'Saldos Iniciales'!$A$2:$A$38,C349,'Saldos Iniciales'!$B$2:$B$38,D349)+SUMIFS($K$1:$K$363,$C$1:$C$363,C349,$D$1:$D$363,D349,$B$1:$B$363,"&lt;="&amp;B349)</f>
        <v>16681.349999999999</v>
      </c>
      <c r="N349" s="27" t="str">
        <f>IF(tblMovimientos[[#This Row],[Tipo de Movimiento]]="Ingreso",tblMovimientos[[#This Row],[Monto (S/)]],"0")</f>
        <v>0</v>
      </c>
      <c r="O349" s="27">
        <f>IF(tblMovimientos[[#This Row],[Tipo de Movimiento]]="Egreso",tblMovimientos[[#This Row],[Monto (S/)]],"0")</f>
        <v>30</v>
      </c>
      <c r="P349" s="29">
        <f>IF(tblMovimientos[[#This Row],[Tipo de Movimiento]]="Ingreso",tblMovimientos[[#This Row],[Ingreso]],-tblMovimientos[[#This Row],[Egreso]])</f>
        <v>-30</v>
      </c>
    </row>
    <row r="350" spans="1:16" x14ac:dyDescent="0.3">
      <c r="A350" s="51"/>
      <c r="B350" s="41">
        <v>46177</v>
      </c>
      <c r="C350" s="4" t="s">
        <v>35</v>
      </c>
      <c r="D350" s="43" t="s">
        <v>126</v>
      </c>
      <c r="E350" s="4" t="str">
        <f>_xlfn.XLOOKUP(tblMovimientos[[#This Row],[Cuenta Bancaria]],Listas!$B:$B,Listas!$C:$C,"")</f>
        <v xml:space="preserve">Amerant Bank </v>
      </c>
      <c r="F350" s="43" t="s">
        <v>9</v>
      </c>
      <c r="G350" s="43" t="s">
        <v>85</v>
      </c>
      <c r="H350" s="52" t="str">
        <f>IFERROR(_xlfn.XLOOKUP(G350,Listas!E:E,Listas!F:F,""),"")</f>
        <v>Operativo</v>
      </c>
      <c r="I350" s="52" t="str">
        <f>IFERROR(_xlfn.XLOOKUP(G350,Listas!E:E,Listas!G:G,""),"")</f>
        <v>Interno</v>
      </c>
      <c r="J350" s="45">
        <v>9000</v>
      </c>
      <c r="K350" s="53">
        <v>9000</v>
      </c>
      <c r="L350" s="15" t="s">
        <v>128</v>
      </c>
      <c r="M350" s="46">
        <v>2422.7400000000016</v>
      </c>
      <c r="N350" s="27">
        <f>IF(tblMovimientos[[#This Row],[Tipo de Movimiento]]="Ingreso",tblMovimientos[[#This Row],[Monto (S/)]],"0")</f>
        <v>9000</v>
      </c>
      <c r="O350" s="27" t="str">
        <f>IF(tblMovimientos[[#This Row],[Tipo de Movimiento]]="Egreso",tblMovimientos[[#This Row],[Monto (S/)]],"0")</f>
        <v>0</v>
      </c>
      <c r="P350" s="29">
        <f>IF(tblMovimientos[[#This Row],[Tipo de Movimiento]]="Ingreso",tblMovimientos[[#This Row],[Ingreso]],-tblMovimientos[[#This Row],[Egreso]])</f>
        <v>9000</v>
      </c>
    </row>
    <row r="351" spans="1:16" x14ac:dyDescent="0.3">
      <c r="B351" s="41">
        <v>46191</v>
      </c>
      <c r="C351" s="4" t="str">
        <f>_xlfn.XLOOKUP(tblMovimientos[[#This Row],[Cuenta Bancaria]],Listas!$B:$B,Listas!$A:$A,"")</f>
        <v>SSP Capital</v>
      </c>
      <c r="D351" s="43" t="s">
        <v>102</v>
      </c>
      <c r="E351" s="4" t="str">
        <f>_xlfn.XLOOKUP(tblMovimientos[[#This Row],[Cuenta Bancaria]],Listas!$B:$B,Listas!$C:$C,"")</f>
        <v>Bank of America</v>
      </c>
      <c r="F351" s="43" t="s">
        <v>10</v>
      </c>
      <c r="H351" s="4">
        <f>IFERROR(_xlfn.XLOOKUP(G351,Listas!E:E,Listas!F:F,""),"")</f>
        <v>0</v>
      </c>
      <c r="I351" s="52">
        <f>IFERROR(_xlfn.XLOOKUP(G351,Listas!E:E,Listas!G:G,""),"")</f>
        <v>0</v>
      </c>
      <c r="J351" s="45">
        <v>166.66</v>
      </c>
      <c r="K351" s="53">
        <f>IF(F351="Ingreso",J351,-J351)</f>
        <v>-166.66</v>
      </c>
      <c r="L351" s="15" t="s">
        <v>128</v>
      </c>
      <c r="M351" s="46">
        <f>SUMIFS('Saldos Iniciales'!$D$2:$D$38,'Saldos Iniciales'!$A$2:$A$38,C351,'Saldos Iniciales'!$B$2:$B$38,D351)+SUMIFS($K$1:$K$363,$C$1:$C$363,C351,$D$1:$D$363,D351,$B$1:$B$363,"&lt;="&amp;B351)</f>
        <v>366.92000000000007</v>
      </c>
      <c r="N351" s="27" t="str">
        <f>IF(tblMovimientos[[#This Row],[Tipo de Movimiento]]="Ingreso",tblMovimientos[[#This Row],[Monto (S/)]],"0")</f>
        <v>0</v>
      </c>
      <c r="O351" s="27">
        <f>IF(tblMovimientos[[#This Row],[Tipo de Movimiento]]="Egreso",tblMovimientos[[#This Row],[Monto (S/)]],"0")</f>
        <v>166.66</v>
      </c>
      <c r="P351" s="29">
        <f>IF(tblMovimientos[[#This Row],[Tipo de Movimiento]]="Ingreso",tblMovimientos[[#This Row],[Ingreso]],-tblMovimientos[[#This Row],[Egreso]])</f>
        <v>-166.66</v>
      </c>
    </row>
    <row r="352" spans="1:16" x14ac:dyDescent="0.3">
      <c r="A352" s="51"/>
      <c r="B352" s="41">
        <v>46184</v>
      </c>
      <c r="C352" s="4" t="str">
        <f>_xlfn.XLOOKUP(tblMovimientos[[#This Row],[Cuenta Bancaria]],Listas!$B:$B,Listas!$A:$A,"")</f>
        <v>Go Blue</v>
      </c>
      <c r="D352" s="43" t="s">
        <v>126</v>
      </c>
      <c r="E352" s="52" t="str">
        <f>_xlfn.XLOOKUP(tblMovimientos[[#This Row],[Cuenta Bancaria]],Listas!$B:$B,Listas!$C:$C,"")</f>
        <v xml:space="preserve">Amerant Bank </v>
      </c>
      <c r="F352" s="43" t="s">
        <v>9</v>
      </c>
      <c r="G352" s="43" t="s">
        <v>75</v>
      </c>
      <c r="H352" s="52" t="str">
        <f>IFERROR(_xlfn.XLOOKUP(G352,Listas!E:E,Listas!F:F,""),"")</f>
        <v>Financiamiento</v>
      </c>
      <c r="I352" s="52" t="str">
        <f>IFERROR(_xlfn.XLOOKUP(G352,Listas!E:E,Listas!G:G,""),"")</f>
        <v>Interno</v>
      </c>
      <c r="J352" s="45">
        <v>50000</v>
      </c>
      <c r="K352" s="53">
        <f>IF(F352="Ingreso",J352,-J352)</f>
        <v>50000</v>
      </c>
      <c r="L352" s="15" t="s">
        <v>128</v>
      </c>
      <c r="M352" s="46">
        <f>SUMIFS('Saldos Iniciales'!$D$2:$D$38,'Saldos Iniciales'!$A$2:$A$38,C352,'Saldos Iniciales'!$B$2:$B$38,D352)+SUMIFS($K$1:$K$363,$C$1:$C$363,C352,$D$1:$D$363,D352,$B$1:$B$363,"&lt;="&amp;B352)</f>
        <v>48774.73</v>
      </c>
      <c r="N352" s="27">
        <f>IF(tblMovimientos[[#This Row],[Tipo de Movimiento]]="Ingreso",tblMovimientos[[#This Row],[Monto (S/)]],"0")</f>
        <v>50000</v>
      </c>
      <c r="O352" s="27" t="str">
        <f>IF(tblMovimientos[[#This Row],[Tipo de Movimiento]]="Egreso",tblMovimientos[[#This Row],[Monto (S/)]],"0")</f>
        <v>0</v>
      </c>
      <c r="P352" s="29">
        <f>IF(tblMovimientos[[#This Row],[Tipo de Movimiento]]="Ingreso",tblMovimientos[[#This Row],[Ingreso]],-tblMovimientos[[#This Row],[Egreso]])</f>
        <v>50000</v>
      </c>
    </row>
    <row r="353" spans="1:16" x14ac:dyDescent="0.3">
      <c r="B353" s="55">
        <v>46191</v>
      </c>
      <c r="C353" s="56" t="str">
        <f>_xlfn.XLOOKUP(tblMovimientos[[#This Row],[Cuenta Bancaria]],Listas!$B:$B,Listas!$A:$A,"")</f>
        <v>M1B</v>
      </c>
      <c r="D353" s="57" t="s">
        <v>98</v>
      </c>
      <c r="E353" s="56" t="str">
        <f>_xlfn.XLOOKUP(tblMovimientos[[#This Row],[Cuenta Bancaria]],Listas!$B:$B,Listas!$C:$C,"")</f>
        <v xml:space="preserve">Amerant Bank </v>
      </c>
      <c r="F353" s="57" t="s">
        <v>10</v>
      </c>
      <c r="G353" s="57" t="s">
        <v>44</v>
      </c>
      <c r="H353" s="56" t="str">
        <f>IFERROR(_xlfn.XLOOKUP(G353,Listas!E:E,Listas!F:F,""),"")</f>
        <v>Operativo</v>
      </c>
      <c r="I353" s="58" t="str">
        <f>IFERROR(_xlfn.XLOOKUP(G353,Listas!E:E,Listas!G:G,""),"")</f>
        <v>Externo</v>
      </c>
      <c r="J353" s="59">
        <v>0</v>
      </c>
      <c r="K353" s="60">
        <f t="shared" ref="K353:K356" si="2">IF(F353="Ingreso",J353,-J353)</f>
        <v>0</v>
      </c>
      <c r="L353" s="61" t="s">
        <v>128</v>
      </c>
      <c r="M353" s="62">
        <f>SUMIFS('Saldos Iniciales'!$D$2:$D$38,'Saldos Iniciales'!$A$2:$A$38,C353,'Saldos Iniciales'!$B$2:$B$38,D353)+SUMIFS($K$1:$K$363,$C$1:$C$363,C353,$D$1:$D$363,D353,$B$1:$B$363,"&lt;="&amp;B353)</f>
        <v>5000</v>
      </c>
      <c r="N353" s="27" t="str">
        <f>IF(tblMovimientos[[#This Row],[Tipo de Movimiento]]="Ingreso",tblMovimientos[[#This Row],[Monto (S/)]],"0")</f>
        <v>0</v>
      </c>
      <c r="O353" s="27">
        <f>IF(tblMovimientos[[#This Row],[Tipo de Movimiento]]="Egreso",tblMovimientos[[#This Row],[Monto (S/)]],"0")</f>
        <v>0</v>
      </c>
      <c r="P353" s="29">
        <f>IF(tblMovimientos[[#This Row],[Tipo de Movimiento]]="Ingreso",tblMovimientos[[#This Row],[Ingreso]],-tblMovimientos[[#This Row],[Egreso]])</f>
        <v>0</v>
      </c>
    </row>
    <row r="354" spans="1:16" x14ac:dyDescent="0.3">
      <c r="B354" s="55">
        <v>46191</v>
      </c>
      <c r="C354" s="56" t="str">
        <f>_xlfn.XLOOKUP(tblMovimientos[[#This Row],[Cuenta Bancaria]],Listas!$B:$B,Listas!$A:$A,"")</f>
        <v>SSP Capital</v>
      </c>
      <c r="D354" s="57" t="s">
        <v>107</v>
      </c>
      <c r="E354" s="56" t="str">
        <f>_xlfn.XLOOKUP(tblMovimientos[[#This Row],[Cuenta Bancaria]],Listas!$B:$B,Listas!$C:$C,"")</f>
        <v xml:space="preserve">Amerant Bank </v>
      </c>
      <c r="F354" s="57" t="s">
        <v>10</v>
      </c>
      <c r="G354" s="57" t="s">
        <v>44</v>
      </c>
      <c r="H354" s="56" t="str">
        <f>IFERROR(_xlfn.XLOOKUP(G354,Listas!E:E,Listas!F:F,""),"")</f>
        <v>Operativo</v>
      </c>
      <c r="I354" s="58" t="str">
        <f>IFERROR(_xlfn.XLOOKUP(G354,Listas!E:E,Listas!G:G,""),"")</f>
        <v>Externo</v>
      </c>
      <c r="J354" s="59">
        <v>0</v>
      </c>
      <c r="K354" s="60">
        <f t="shared" si="2"/>
        <v>0</v>
      </c>
      <c r="L354" s="61" t="s">
        <v>128</v>
      </c>
      <c r="M354" s="62">
        <f>SUMIFS('Saldos Iniciales'!$D$2:$D$38,'Saldos Iniciales'!$A$2:$A$38,C354,'Saldos Iniciales'!$B$2:$B$38,D354)+SUMIFS($K$1:$K$363,$C$1:$C$363,C354,$D$1:$D$363,D354,$B$1:$B$363,"&lt;="&amp;B354)</f>
        <v>5000</v>
      </c>
      <c r="N354" s="27" t="str">
        <f>IF(tblMovimientos[[#This Row],[Tipo de Movimiento]]="Ingreso",tblMovimientos[[#This Row],[Monto (S/)]],"0")</f>
        <v>0</v>
      </c>
      <c r="O354" s="27">
        <f>IF(tblMovimientos[[#This Row],[Tipo de Movimiento]]="Egreso",tblMovimientos[[#This Row],[Monto (S/)]],"0")</f>
        <v>0</v>
      </c>
      <c r="P354" s="29">
        <f>IF(tblMovimientos[[#This Row],[Tipo de Movimiento]]="Ingreso",tblMovimientos[[#This Row],[Ingreso]],-tblMovimientos[[#This Row],[Egreso]])</f>
        <v>0</v>
      </c>
    </row>
    <row r="355" spans="1:16" x14ac:dyDescent="0.3">
      <c r="B355" s="55">
        <v>46191</v>
      </c>
      <c r="C355" s="56" t="str">
        <f>_xlfn.XLOOKUP(tblMovimientos[[#This Row],[Cuenta Bancaria]],Listas!$B:$B,Listas!$A:$A,"")</f>
        <v>Cross Family Trust</v>
      </c>
      <c r="D355" s="57" t="s">
        <v>108</v>
      </c>
      <c r="E355" s="56" t="str">
        <f>_xlfn.XLOOKUP(tblMovimientos[[#This Row],[Cuenta Bancaria]],Listas!$B:$B,Listas!$C:$C,"")</f>
        <v>Ocean Bank</v>
      </c>
      <c r="F355" s="57" t="s">
        <v>10</v>
      </c>
      <c r="G355" s="57" t="s">
        <v>44</v>
      </c>
      <c r="H355" s="56" t="str">
        <f>IFERROR(_xlfn.XLOOKUP(G355,Listas!E:E,Listas!F:F,""),"")</f>
        <v>Operativo</v>
      </c>
      <c r="I355" s="58" t="str">
        <f>IFERROR(_xlfn.XLOOKUP(G355,Listas!E:E,Listas!G:G,""),"")</f>
        <v>Externo</v>
      </c>
      <c r="J355" s="59">
        <v>0</v>
      </c>
      <c r="K355" s="60">
        <f t="shared" si="2"/>
        <v>0</v>
      </c>
      <c r="L355" s="61" t="s">
        <v>128</v>
      </c>
      <c r="M355" s="62">
        <f>SUMIFS('Saldos Iniciales'!$D$2:$D$38,'Saldos Iniciales'!$A$2:$A$38,C355,'Saldos Iniciales'!$B$2:$B$38,D355)+SUMIFS($K$1:$K$363,$C$1:$C$363,C355,$D$1:$D$363,D355,$B$1:$B$363,"&lt;="&amp;B355)</f>
        <v>57206.89</v>
      </c>
      <c r="N355" s="27" t="str">
        <f>IF(tblMovimientos[[#This Row],[Tipo de Movimiento]]="Ingreso",tblMovimientos[[#This Row],[Monto (S/)]],"0")</f>
        <v>0</v>
      </c>
      <c r="O355" s="27">
        <f>IF(tblMovimientos[[#This Row],[Tipo de Movimiento]]="Egreso",tblMovimientos[[#This Row],[Monto (S/)]],"0")</f>
        <v>0</v>
      </c>
      <c r="P355" s="29">
        <f>IF(tblMovimientos[[#This Row],[Tipo de Movimiento]]="Ingreso",tblMovimientos[[#This Row],[Ingreso]],-tblMovimientos[[#This Row],[Egreso]])</f>
        <v>0</v>
      </c>
    </row>
    <row r="356" spans="1:16" x14ac:dyDescent="0.3">
      <c r="B356" s="55">
        <v>46191</v>
      </c>
      <c r="C356" s="56" t="str">
        <f>_xlfn.XLOOKUP(tblMovimientos[[#This Row],[Cuenta Bancaria]],Listas!$B:$B,Listas!$A:$A,"")</f>
        <v>Cross Family Trust</v>
      </c>
      <c r="D356" s="57" t="s">
        <v>109</v>
      </c>
      <c r="E356" s="56" t="str">
        <f>_xlfn.XLOOKUP(tblMovimientos[[#This Row],[Cuenta Bancaria]],Listas!$B:$B,Listas!$C:$C,"")</f>
        <v>Northern Trust</v>
      </c>
      <c r="F356" s="57" t="s">
        <v>10</v>
      </c>
      <c r="G356" s="57" t="s">
        <v>44</v>
      </c>
      <c r="H356" s="56" t="str">
        <f>IFERROR(_xlfn.XLOOKUP(G356,Listas!E:E,Listas!F:F,""),"")</f>
        <v>Operativo</v>
      </c>
      <c r="I356" s="58" t="str">
        <f>IFERROR(_xlfn.XLOOKUP(G356,Listas!E:E,Listas!G:G,""),"")</f>
        <v>Externo</v>
      </c>
      <c r="J356" s="59">
        <v>0</v>
      </c>
      <c r="K356" s="60">
        <f t="shared" si="2"/>
        <v>0</v>
      </c>
      <c r="L356" s="61" t="s">
        <v>128</v>
      </c>
      <c r="M356" s="62">
        <f>SUMIFS('Saldos Iniciales'!$D$2:$D$38,'Saldos Iniciales'!$A$2:$A$38,C356,'Saldos Iniciales'!$B$2:$B$38,D356)+SUMIFS($K$1:$K$363,$C$1:$C$363,C356,$D$1:$D$363,D356,$B$1:$B$363,"&lt;="&amp;B356)</f>
        <v>6365</v>
      </c>
      <c r="N356" s="27" t="str">
        <f>IF(tblMovimientos[[#This Row],[Tipo de Movimiento]]="Ingreso",tblMovimientos[[#This Row],[Monto (S/)]],"0")</f>
        <v>0</v>
      </c>
      <c r="O356" s="27">
        <f>IF(tblMovimientos[[#This Row],[Tipo de Movimiento]]="Egreso",tblMovimientos[[#This Row],[Monto (S/)]],"0")</f>
        <v>0</v>
      </c>
      <c r="P356" s="29">
        <f>IF(tblMovimientos[[#This Row],[Tipo de Movimiento]]="Ingreso",tblMovimientos[[#This Row],[Ingreso]],-tblMovimientos[[#This Row],[Egreso]])</f>
        <v>0</v>
      </c>
    </row>
    <row r="357" spans="1:16" x14ac:dyDescent="0.3">
      <c r="B357" s="55">
        <v>46191</v>
      </c>
      <c r="C357" s="56" t="str">
        <f>_xlfn.XLOOKUP(tblMovimientos[[#This Row],[Cuenta Bancaria]],Listas!$B:$B,Listas!$A:$A,"")</f>
        <v>Durand</v>
      </c>
      <c r="D357" s="57" t="s">
        <v>99</v>
      </c>
      <c r="E357" s="56" t="str">
        <f>_xlfn.XLOOKUP(tblMovimientos[[#This Row],[Cuenta Bancaria]],Listas!$B:$B,Listas!$C:$C,"")</f>
        <v xml:space="preserve">Amerant Bank </v>
      </c>
      <c r="F357" s="57" t="s">
        <v>10</v>
      </c>
      <c r="G357" s="57" t="s">
        <v>44</v>
      </c>
      <c r="H357" s="56" t="str">
        <f>IFERROR(_xlfn.XLOOKUP(G357,Listas!E:E,Listas!F:F,""),"")</f>
        <v>Operativo</v>
      </c>
      <c r="I357" s="58" t="str">
        <f>IFERROR(_xlfn.XLOOKUP(G357,Listas!E:E,Listas!G:G,""),"")</f>
        <v>Externo</v>
      </c>
      <c r="J357" s="59">
        <v>0</v>
      </c>
      <c r="K357" s="60">
        <f t="shared" ref="K357:K363" si="3">IF(F357="Ingreso",J357,-J357)</f>
        <v>0</v>
      </c>
      <c r="L357" s="61" t="s">
        <v>128</v>
      </c>
      <c r="M357" s="62">
        <f>SUMIFS('Saldos Iniciales'!$D$2:$D$38,'Saldos Iniciales'!$A$2:$A$38,C357,'Saldos Iniciales'!$B$2:$B$38,D357)+SUMIFS($K$1:$K$363,$C$1:$C$363,C357,$D$1:$D$363,D357,$B$1:$B$363,"&lt;="&amp;B357)</f>
        <v>1669.89</v>
      </c>
      <c r="N357" s="27" t="str">
        <f>IF(tblMovimientos[[#This Row],[Tipo de Movimiento]]="Ingreso",tblMovimientos[[#This Row],[Monto (S/)]],"0")</f>
        <v>0</v>
      </c>
      <c r="O357" s="27">
        <f>IF(tblMovimientos[[#This Row],[Tipo de Movimiento]]="Egreso",tblMovimientos[[#This Row],[Monto (S/)]],"0")</f>
        <v>0</v>
      </c>
      <c r="P357" s="29">
        <f>IF(tblMovimientos[[#This Row],[Tipo de Movimiento]]="Ingreso",tblMovimientos[[#This Row],[Ingreso]],-tblMovimientos[[#This Row],[Egreso]])</f>
        <v>0</v>
      </c>
    </row>
    <row r="358" spans="1:16" x14ac:dyDescent="0.3">
      <c r="B358" s="55">
        <v>46191</v>
      </c>
      <c r="C358" s="56" t="str">
        <f>_xlfn.XLOOKUP(tblMovimientos[[#This Row],[Cuenta Bancaria]],Listas!$B:$B,Listas!$A:$A,"")</f>
        <v>Green Stone Trust</v>
      </c>
      <c r="D358" s="57" t="s">
        <v>117</v>
      </c>
      <c r="E358" s="56" t="str">
        <f>_xlfn.XLOOKUP(tblMovimientos[[#This Row],[Cuenta Bancaria]],Listas!$B:$B,Listas!$C:$C,"")</f>
        <v>Bank of America</v>
      </c>
      <c r="F358" s="57" t="s">
        <v>10</v>
      </c>
      <c r="G358" s="57" t="s">
        <v>44</v>
      </c>
      <c r="H358" s="56" t="str">
        <f>IFERROR(_xlfn.XLOOKUP(G358,Listas!E:E,Listas!F:F,""),"")</f>
        <v>Operativo</v>
      </c>
      <c r="I358" s="58" t="str">
        <f>IFERROR(_xlfn.XLOOKUP(G358,Listas!E:E,Listas!G:G,""),"")</f>
        <v>Externo</v>
      </c>
      <c r="J358" s="59"/>
      <c r="K358" s="60">
        <v>0</v>
      </c>
      <c r="L358" s="61" t="s">
        <v>128</v>
      </c>
      <c r="M358" s="62">
        <f>SUMIFS('Saldos Iniciales'!$D$2:$D$38,'Saldos Iniciales'!$A$2:$A$38,C358,'Saldos Iniciales'!$B$2:$B$38,D358)+SUMIFS($K$1:$K$363,$C$1:$C$363,C358,$D$1:$D$363,D358,$B$1:$B$363,"&lt;="&amp;B358)</f>
        <v>1968.99</v>
      </c>
      <c r="N358" s="27" t="str">
        <f>IF(tblMovimientos[[#This Row],[Tipo de Movimiento]]="Ingreso",tblMovimientos[[#This Row],[Monto (S/)]],"0")</f>
        <v>0</v>
      </c>
      <c r="O358" s="27">
        <f>IF(tblMovimientos[[#This Row],[Tipo de Movimiento]]="Egreso",tblMovimientos[[#This Row],[Monto (S/)]],"0")</f>
        <v>0</v>
      </c>
      <c r="P358" s="29">
        <f>IF(tblMovimientos[[#This Row],[Tipo de Movimiento]]="Ingreso",tblMovimientos[[#This Row],[Ingreso]],-tblMovimientos[[#This Row],[Egreso]])</f>
        <v>0</v>
      </c>
    </row>
    <row r="359" spans="1:16" x14ac:dyDescent="0.3">
      <c r="B359" s="41">
        <v>46195</v>
      </c>
      <c r="C359" s="4" t="str">
        <f>_xlfn.XLOOKUP(tblMovimientos[[#This Row],[Cuenta Bancaria]],Listas!$B:$B,Listas!$A:$A,"")</f>
        <v>SSP Capital</v>
      </c>
      <c r="D359" s="43" t="s">
        <v>101</v>
      </c>
      <c r="E359" s="63" t="str">
        <f>_xlfn.XLOOKUP(tblMovimientos[[#This Row],[Cuenta Bancaria]],Listas!$B:$B,Listas!$C:$C,"")</f>
        <v>Bank of America</v>
      </c>
      <c r="F359" s="43" t="s">
        <v>10</v>
      </c>
      <c r="H359" s="4">
        <f>IFERROR(_xlfn.XLOOKUP(G359,Listas!E:E,Listas!F:F,""),"")</f>
        <v>0</v>
      </c>
      <c r="I359" s="63"/>
      <c r="J359" s="45">
        <v>737.04</v>
      </c>
      <c r="K359" s="5">
        <f t="shared" si="3"/>
        <v>-737.04</v>
      </c>
      <c r="L359" s="15" t="s">
        <v>128</v>
      </c>
      <c r="M359" s="46">
        <f>SUMIFS('Saldos Iniciales'!$D$2:$D$38,'Saldos Iniciales'!$A$2:$A$38,C359,'Saldos Iniciales'!$B$2:$B$38,D359)+SUMIFS($K$1:$K$363,$C$1:$C$363,C359,$D$1:$D$363,D359,$B$1:$B$363,"&lt;="&amp;B359)</f>
        <v>9259.99</v>
      </c>
      <c r="N359" s="27" t="str">
        <f>IF(tblMovimientos[[#This Row],[Tipo de Movimiento]]="Ingreso",tblMovimientos[[#This Row],[Monto (S/)]],"0")</f>
        <v>0</v>
      </c>
      <c r="O359" s="27">
        <f>IF(tblMovimientos[[#This Row],[Tipo de Movimiento]]="Egreso",tblMovimientos[[#This Row],[Monto (S/)]],"0")</f>
        <v>737.04</v>
      </c>
      <c r="P359" s="29">
        <f>IF(tblMovimientos[[#This Row],[Tipo de Movimiento]]="Ingreso",tblMovimientos[[#This Row],[Ingreso]],-tblMovimientos[[#This Row],[Egreso]])</f>
        <v>-737.04</v>
      </c>
    </row>
    <row r="360" spans="1:16" x14ac:dyDescent="0.3">
      <c r="B360" s="41">
        <v>46195</v>
      </c>
      <c r="C360" s="4" t="str">
        <f>_xlfn.XLOOKUP(tblMovimientos[[#This Row],[Cuenta Bancaria]],Listas!$B:$B,Listas!$A:$A,"")</f>
        <v>SSP Capital</v>
      </c>
      <c r="D360" s="43" t="s">
        <v>101</v>
      </c>
      <c r="E360" s="63" t="str">
        <f>_xlfn.XLOOKUP(tblMovimientos[[#This Row],[Cuenta Bancaria]],Listas!$B:$B,Listas!$C:$C,"")</f>
        <v>Bank of America</v>
      </c>
      <c r="F360" s="43" t="s">
        <v>10</v>
      </c>
      <c r="H360" s="4">
        <f>IFERROR(_xlfn.XLOOKUP(G360,Listas!E:E,Listas!F:F,""),"")</f>
        <v>0</v>
      </c>
      <c r="I360" s="63"/>
      <c r="J360" s="45">
        <v>91</v>
      </c>
      <c r="K360" s="5">
        <f t="shared" si="3"/>
        <v>-91</v>
      </c>
      <c r="L360" s="15" t="s">
        <v>128</v>
      </c>
      <c r="M360" s="46">
        <f>SUMIFS('Saldos Iniciales'!$D$2:$D$38,'Saldos Iniciales'!$A$2:$A$38,C360,'Saldos Iniciales'!$B$2:$B$38,D360)+SUMIFS($K$1:$K$363,$C$1:$C$363,C360,$D$1:$D$363,D360,$B$1:$B$363,"&lt;="&amp;B360)</f>
        <v>9259.99</v>
      </c>
      <c r="N360" s="27" t="str">
        <f>IF(tblMovimientos[[#This Row],[Tipo de Movimiento]]="Ingreso",tblMovimientos[[#This Row],[Monto (S/)]],"0")</f>
        <v>0</v>
      </c>
      <c r="O360" s="27">
        <f>IF(tblMovimientos[[#This Row],[Tipo de Movimiento]]="Egreso",tblMovimientos[[#This Row],[Monto (S/)]],"0")</f>
        <v>91</v>
      </c>
      <c r="P360" s="29">
        <f>IF(tblMovimientos[[#This Row],[Tipo de Movimiento]]="Ingreso",tblMovimientos[[#This Row],[Ingreso]],-tblMovimientos[[#This Row],[Egreso]])</f>
        <v>-91</v>
      </c>
    </row>
    <row r="361" spans="1:16" x14ac:dyDescent="0.3">
      <c r="B361" s="41">
        <v>46195</v>
      </c>
      <c r="C361" s="4" t="str">
        <f>_xlfn.XLOOKUP(tblMovimientos[[#This Row],[Cuenta Bancaria]],Listas!$B:$B,Listas!$A:$A,"")</f>
        <v>2515 Overbrook</v>
      </c>
      <c r="D361" s="43" t="s">
        <v>121</v>
      </c>
      <c r="E361" s="63" t="str">
        <f>_xlfn.XLOOKUP(tblMovimientos[[#This Row],[Cuenta Bancaria]],Listas!$B:$B,Listas!$C:$C,"")</f>
        <v>Bank of America</v>
      </c>
      <c r="F361" s="43" t="s">
        <v>9</v>
      </c>
      <c r="H361" s="4">
        <f>IFERROR(_xlfn.XLOOKUP(G361,Listas!E:E,Listas!F:F,""),"")</f>
        <v>0</v>
      </c>
      <c r="I361" s="63"/>
      <c r="J361" s="45">
        <v>1250</v>
      </c>
      <c r="K361" s="5">
        <f t="shared" si="3"/>
        <v>1250</v>
      </c>
      <c r="L361" s="15" t="s">
        <v>128</v>
      </c>
      <c r="M361" s="46">
        <f>SUMIFS('Saldos Iniciales'!$D$2:$D$38,'Saldos Iniciales'!$A$2:$A$38,C361,'Saldos Iniciales'!$B$2:$B$38,D361)+SUMIFS($K$1:$K$363,$C$1:$C$363,C361,$D$1:$D$363,D361,$B$1:$B$363,"&lt;="&amp;B361)</f>
        <v>30709.549999999963</v>
      </c>
      <c r="N361" s="27">
        <f>IF(tblMovimientos[[#This Row],[Tipo de Movimiento]]="Ingreso",tblMovimientos[[#This Row],[Monto (S/)]],"0")</f>
        <v>1250</v>
      </c>
      <c r="O361" s="27" t="str">
        <f>IF(tblMovimientos[[#This Row],[Tipo de Movimiento]]="Egreso",tblMovimientos[[#This Row],[Monto (S/)]],"0")</f>
        <v>0</v>
      </c>
      <c r="P361" s="29">
        <f>IF(tblMovimientos[[#This Row],[Tipo de Movimiento]]="Ingreso",tblMovimientos[[#This Row],[Ingreso]],-tblMovimientos[[#This Row],[Egreso]])</f>
        <v>1250</v>
      </c>
    </row>
    <row r="362" spans="1:16" x14ac:dyDescent="0.3">
      <c r="B362" s="41">
        <v>46195</v>
      </c>
      <c r="C362" s="4" t="str">
        <f>_xlfn.XLOOKUP(tblMovimientos[[#This Row],[Cuenta Bancaria]],Listas!$B:$B,Listas!$A:$A,"")</f>
        <v>CFT Group</v>
      </c>
      <c r="D362" s="43" t="s">
        <v>95</v>
      </c>
      <c r="E362" s="63" t="str">
        <f>_xlfn.XLOOKUP(tblMovimientos[[#This Row],[Cuenta Bancaria]],Listas!$B:$B,Listas!$C:$C,"")</f>
        <v xml:space="preserve">Amerant Bank </v>
      </c>
      <c r="F362" s="43" t="s">
        <v>9</v>
      </c>
      <c r="H362" s="4">
        <f>IFERROR(_xlfn.XLOOKUP(G362,Listas!E:E,Listas!F:F,""),"")</f>
        <v>0</v>
      </c>
      <c r="I362" s="63"/>
      <c r="J362" s="45">
        <v>114973.39</v>
      </c>
      <c r="K362" s="5">
        <f t="shared" si="3"/>
        <v>114973.39</v>
      </c>
      <c r="L362" s="15" t="s">
        <v>128</v>
      </c>
      <c r="M362" s="46">
        <f>SUMIFS('Saldos Iniciales'!$D$2:$D$38,'Saldos Iniciales'!$A$2:$A$38,C362,'Saldos Iniciales'!$B$2:$B$38,D362)+SUMIFS($K$1:$K$363,$C$1:$C$363,C362,$D$1:$D$363,D362,$B$1:$B$363,"&lt;="&amp;B362)</f>
        <v>7483851.9100000001</v>
      </c>
      <c r="N362" s="27">
        <f>IF(tblMovimientos[[#This Row],[Tipo de Movimiento]]="Ingreso",tblMovimientos[[#This Row],[Monto (S/)]],"0")</f>
        <v>114973.39</v>
      </c>
      <c r="O362" s="27" t="str">
        <f>IF(tblMovimientos[[#This Row],[Tipo de Movimiento]]="Egreso",tblMovimientos[[#This Row],[Monto (S/)]],"0")</f>
        <v>0</v>
      </c>
      <c r="P362" s="29">
        <f>IF(tblMovimientos[[#This Row],[Tipo de Movimiento]]="Ingreso",tblMovimientos[[#This Row],[Ingreso]],-tblMovimientos[[#This Row],[Egreso]])</f>
        <v>114973.39</v>
      </c>
    </row>
    <row r="363" spans="1:16" x14ac:dyDescent="0.3">
      <c r="A363" s="51"/>
      <c r="B363" s="41">
        <v>46195</v>
      </c>
      <c r="C363" s="52" t="str">
        <f>_xlfn.XLOOKUP(tblMovimientos[[#This Row],[Cuenta Bancaria]],Listas!$B:$B,Listas!$A:$A,"")</f>
        <v>CFT Group</v>
      </c>
      <c r="D363" s="43" t="s">
        <v>95</v>
      </c>
      <c r="E363" s="64" t="str">
        <f>_xlfn.XLOOKUP(tblMovimientos[[#This Row],[Cuenta Bancaria]],Listas!$B:$B,Listas!$C:$C,"")</f>
        <v xml:space="preserve">Amerant Bank </v>
      </c>
      <c r="F363" s="43" t="s">
        <v>9</v>
      </c>
      <c r="H363" s="52">
        <f>IFERROR(_xlfn.XLOOKUP(G363,Listas!E:E,Listas!F:F,""),"")</f>
        <v>0</v>
      </c>
      <c r="I363" s="64"/>
      <c r="J363" s="45">
        <v>6400000</v>
      </c>
      <c r="K363" s="53">
        <f t="shared" si="3"/>
        <v>6400000</v>
      </c>
      <c r="L363" s="15" t="s">
        <v>128</v>
      </c>
      <c r="M363" s="65">
        <f>SUMIFS('Saldos Iniciales'!$D$2:$D$38,'Saldos Iniciales'!$A$2:$A$38,C363,'Saldos Iniciales'!$B$2:$B$38,D363)+SUMIFS($K$1:$K$363,$C$1:$C$363,C363,$D$1:$D$363,D363,$B$1:$B$363,"&lt;="&amp;B363)</f>
        <v>7483851.9100000001</v>
      </c>
      <c r="N363" s="27">
        <f>IF(tblMovimientos[[#This Row],[Tipo de Movimiento]]="Ingreso",tblMovimientos[[#This Row],[Monto (S/)]],"0")</f>
        <v>6400000</v>
      </c>
      <c r="O363" s="27" t="str">
        <f>IF(tblMovimientos[[#This Row],[Tipo de Movimiento]]="Egreso",tblMovimientos[[#This Row],[Monto (S/)]],"0")</f>
        <v>0</v>
      </c>
      <c r="P363" s="29">
        <f>IF(tblMovimientos[[#This Row],[Tipo de Movimiento]]="Ingreso",tblMovimientos[[#This Row],[Ingreso]],-tblMovimientos[[#This Row],[Egreso]])</f>
        <v>6400000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M3 E35:G54 E32:F32 J32:M32 E33:F33 J33:M33 E34:F34 J34:M34 E31:G31 J31:M31 E4:G30 J4:M30 J35:M230 E56:G65 E55:F55 E83:G84 E81:F82 E87:G170 E85:F85 E86:F86 E68:G80 E67:F67 E172:G219 E171:F171 E221:G230 E220:F220 E66:F66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C2:C363</xm:sqref>
        </x14:dataValidation>
        <x14:dataValidation type="list" allowBlank="1" xr:uid="{AAA2F2FB-5D82-4852-BA68-E541EA956BD2}">
          <x14:formula1>
            <xm:f>Listas!$B$2:$B$34</xm:f>
          </x14:formula1>
          <xm:sqref>D2:D363</xm:sqref>
        </x14:dataValidation>
        <x14:dataValidation type="list" allowBlank="1" xr:uid="{DC8BA3D2-F104-4639-8653-545CA2BBE131}">
          <x14:formula1>
            <xm:f>Listas!$E$2:$E$52</xm:f>
          </x14:formula1>
          <xm:sqref>G2:G363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F2:F363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0" t="s">
        <v>127</v>
      </c>
      <c r="B1" s="30" t="s">
        <v>163</v>
      </c>
      <c r="C1" s="30" t="s">
        <v>165</v>
      </c>
      <c r="D1" s="30" t="s">
        <v>168</v>
      </c>
      <c r="E1" s="31" t="s">
        <v>164</v>
      </c>
    </row>
    <row r="2" spans="1:5" x14ac:dyDescent="0.3">
      <c r="A2" s="33" t="s">
        <v>36</v>
      </c>
      <c r="B2" s="34">
        <f>COUNTIF('Saldos Iniciales'!B:B,"*"&amp;A2&amp;"*")</f>
        <v>14</v>
      </c>
      <c r="C2" s="36">
        <f>SUMIF('Saldos Iniciales'!B:B,"*"&amp;A2&amp;"*",'Saldos Iniciales'!D:D)</f>
        <v>416678.25999999989</v>
      </c>
      <c r="D2" s="36">
        <f>SUMIF(tblMovimientos[Banco],"*"&amp;A2&amp;"*",tblMovimientos[Monto con signo])</f>
        <v>434136.86000000016</v>
      </c>
      <c r="E2" s="39">
        <f>C2+D2</f>
        <v>850815.12000000011</v>
      </c>
    </row>
    <row r="3" spans="1:5" x14ac:dyDescent="0.3">
      <c r="A3" s="33" t="s">
        <v>166</v>
      </c>
      <c r="B3" s="34">
        <f>COUNTIF('Saldos Iniciales'!B:B,"*"&amp;A3&amp;"*")</f>
        <v>11</v>
      </c>
      <c r="C3" s="36">
        <f>SUMIF('Saldos Iniciales'!B:B,"*"&amp;A3&amp;"*",'Saldos Iniciales'!D:D)</f>
        <v>1162008.1799999997</v>
      </c>
      <c r="D3" s="36">
        <f>SUMIF(tblMovimientos[Banco],"*"&amp;A3&amp;"*",tblMovimientos[Monto con signo])</f>
        <v>9751856.8900000006</v>
      </c>
      <c r="E3" s="39">
        <f t="shared" ref="E3:E9" si="0">C3+D3</f>
        <v>10913865.07</v>
      </c>
    </row>
    <row r="4" spans="1:5" x14ac:dyDescent="0.3">
      <c r="A4" s="33" t="s">
        <v>152</v>
      </c>
      <c r="B4" s="34">
        <f>COUNTIF('Saldos Iniciales'!B:B,"*"&amp;A4&amp;"*")</f>
        <v>3</v>
      </c>
      <c r="C4" s="36">
        <f>SUMIF('Saldos Iniciales'!B:B,"*"&amp;A4&amp;"*",'Saldos Iniciales'!D:D)</f>
        <v>16509.96</v>
      </c>
      <c r="D4" s="36">
        <f>SUMIF(tblMovimientos[Banco],"*"&amp;A4&amp;"*",tblMovimientos[Monto con signo])</f>
        <v>-127.72999999999999</v>
      </c>
      <c r="E4" s="39">
        <f t="shared" si="0"/>
        <v>16382.23</v>
      </c>
    </row>
    <row r="5" spans="1:5" x14ac:dyDescent="0.3">
      <c r="A5" s="33" t="s">
        <v>153</v>
      </c>
      <c r="B5" s="34">
        <f>COUNTIF('Saldos Iniciales'!B:B,"*"&amp;A5&amp;"*")</f>
        <v>1</v>
      </c>
      <c r="C5" s="36">
        <f>SUMIF('Saldos Iniciales'!B:B,"*"&amp;A5&amp;"*",'Saldos Iniciales'!D:D)</f>
        <v>57206.89</v>
      </c>
      <c r="D5" s="36">
        <f>SUMIF(tblMovimientos[Banco],"*"&amp;A5&amp;"*",tblMovimientos[Monto con signo])</f>
        <v>0</v>
      </c>
      <c r="E5" s="39">
        <f t="shared" si="0"/>
        <v>57206.89</v>
      </c>
    </row>
    <row r="6" spans="1:5" x14ac:dyDescent="0.3">
      <c r="A6" s="33" t="s">
        <v>154</v>
      </c>
      <c r="B6" s="34">
        <f>COUNTIF('Saldos Iniciales'!B:B,"*"&amp;A6&amp;"*")</f>
        <v>1</v>
      </c>
      <c r="C6" s="36">
        <f>SUMIF('Saldos Iniciales'!B:B,"*"&amp;A6&amp;"*",'Saldos Iniciales'!D:D)</f>
        <v>808.82999999999993</v>
      </c>
      <c r="D6" s="36">
        <f>SUMIF(tblMovimientos[Banco],"*"&amp;A6&amp;"*",tblMovimientos[Monto con signo])</f>
        <v>419.13999999999987</v>
      </c>
      <c r="E6" s="39">
        <f t="shared" si="0"/>
        <v>1227.9699999999998</v>
      </c>
    </row>
    <row r="7" spans="1:5" x14ac:dyDescent="0.3">
      <c r="A7" s="33" t="s">
        <v>155</v>
      </c>
      <c r="B7" s="34">
        <f>COUNTIF('Saldos Iniciales'!B:B,"*"&amp;A7&amp;"*")</f>
        <v>1</v>
      </c>
      <c r="C7" s="36">
        <f>SUMIF('Saldos Iniciales'!B:B,"*"&amp;A7&amp;"*",'Saldos Iniciales'!D:D)</f>
        <v>3364.94</v>
      </c>
      <c r="D7" s="36">
        <f>SUMIF(tblMovimientos[Banco],"*"&amp;A7&amp;"*",tblMovimientos[Monto con signo])</f>
        <v>-15</v>
      </c>
      <c r="E7" s="39">
        <f t="shared" si="0"/>
        <v>3349.94</v>
      </c>
    </row>
    <row r="8" spans="1:5" x14ac:dyDescent="0.3">
      <c r="A8" s="33" t="s">
        <v>156</v>
      </c>
      <c r="B8" s="34">
        <f>COUNTIF('Saldos Iniciales'!B:B,"*"&amp;A8&amp;"*")</f>
        <v>1</v>
      </c>
      <c r="C8" s="36">
        <f>SUMIF('Saldos Iniciales'!B:B,"*"&amp;A8&amp;"*",'Saldos Iniciales'!D:D)</f>
        <v>0</v>
      </c>
      <c r="D8" s="36">
        <f>SUMIF(tblMovimientos[Banco],"*"&amp;A8&amp;"*",tblMovimientos[Monto con signo])</f>
        <v>0</v>
      </c>
      <c r="E8" s="39">
        <f t="shared" si="0"/>
        <v>0</v>
      </c>
    </row>
    <row r="9" spans="1:5" x14ac:dyDescent="0.3">
      <c r="A9" s="32" t="s">
        <v>167</v>
      </c>
      <c r="B9" s="35">
        <f>COUNTIF('Saldos Iniciales'!B:B,"*"&amp;A9&amp;"*")</f>
        <v>1</v>
      </c>
      <c r="C9" s="37">
        <f>SUMIF('Saldos Iniciales'!B:B,"*"&amp;A9&amp;"*",'Saldos Iniciales'!D:D)</f>
        <v>0</v>
      </c>
      <c r="D9" s="36">
        <f>SUMIF(tblMovimientos[Banco],"*"&amp;A9&amp;"*",tblMovimientos[Monto con signo])</f>
        <v>0</v>
      </c>
      <c r="E9" s="39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R35"/>
  <sheetViews>
    <sheetView zoomScale="65" zoomScaleNormal="65" workbookViewId="0">
      <pane xSplit="3" ySplit="1" topLeftCell="M9" activePane="bottomRight" state="frozen"/>
      <selection pane="topRight" activeCell="C1" sqref="C1"/>
      <selection pane="bottomLeft" activeCell="A5" sqref="A5"/>
      <selection pane="bottomRight" activeCell="C48" sqref="C48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hidden="1" customWidth="1" outlineLevel="1"/>
    <col min="11" max="11" width="13.33203125" hidden="1" customWidth="1" outlineLevel="1"/>
    <col min="12" max="12" width="14.21875" hidden="1" customWidth="1" outlineLevel="1"/>
    <col min="13" max="13" width="19.5546875" bestFit="1" customWidth="1" collapsed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hidden="1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6">
        <v>994464.58000000007</v>
      </c>
      <c r="F2" s="46">
        <v>933664.04999999993</v>
      </c>
      <c r="G2" s="17">
        <v>60800.530000000144</v>
      </c>
      <c r="H2" s="12">
        <f>D2+E2-F2</f>
        <v>193489.58000000019</v>
      </c>
      <c r="I2" s="54">
        <f>H2</f>
        <v>193489.58000000019</v>
      </c>
      <c r="J2" s="46">
        <f>SUMIFS(Movimientos!$J$1:$J$363,Movimientos!$C$1:$C$363,$B2,Movimientos!$D$1:$D$363,$C2,Movimientos!$L$1:$L$363,A$3,Movimientos!$F$1:$F$363,"Ingreso")</f>
        <v>412744.62</v>
      </c>
      <c r="K2" s="46">
        <f>SUMIFS(Movimientos!$J$1:$J$363,Movimientos!$C$1:$C$363,$B2,Movimientos!$D$1:$D$363,$C2,Movimientos!$L$1:$L$363,A$3,Movimientos!$F$1:$F$363,"Egreso")</f>
        <v>482010</v>
      </c>
      <c r="L2" s="7">
        <f>+J2-K2</f>
        <v>-69265.38</v>
      </c>
      <c r="M2" s="12">
        <f>I2+J2-K2</f>
        <v>124224.20000000019</v>
      </c>
      <c r="N2" s="5">
        <f>M2</f>
        <v>124224.20000000019</v>
      </c>
      <c r="O2" s="46">
        <f>SUMIFS(Movimientos!$J$1:$J$363,Movimientos!$C$1:$C$363,$B2,Movimientos!$D$1:$D$363,$C2,Movimientos!$L$1:$L$363,A$4,Movimientos!$F$1:$F$363,"Ingreso")</f>
        <v>0</v>
      </c>
      <c r="P2" s="46">
        <f>SUMIFS(Movimientos!$J$1:$J$363,Movimientos!$C$1:$C$363,$B2,Movimientos!$D$1:$D$363,$C2,Movimientos!$L$1:$L$363,A$4,Movimientos!$F$1:$F$363,"Egreso")</f>
        <v>0</v>
      </c>
      <c r="Q2" s="7">
        <f>+O2-P2</f>
        <v>0</v>
      </c>
      <c r="R2" s="12">
        <f>N2+O2-P2</f>
        <v>124224.20000000019</v>
      </c>
    </row>
    <row r="3" spans="1:18" hidden="1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6">
        <v>2605274</v>
      </c>
      <c r="F3" s="46">
        <v>1883425.0000000002</v>
      </c>
      <c r="G3" s="17">
        <v>721848.99999999977</v>
      </c>
      <c r="H3" s="12">
        <f>D3+E3-F3</f>
        <v>784648.53</v>
      </c>
      <c r="I3" s="54">
        <f>H3</f>
        <v>784648.53</v>
      </c>
      <c r="J3" s="46">
        <f>SUMIFS(Movimientos!$J$1:$J$363,Movimientos!$C$1:$C$363,$B3,Movimientos!$D$1:$D$363,$C3,Movimientos!$L$1:$L$363,A$3,Movimientos!$F$1:$F$363,"Ingreso")</f>
        <v>8224973.3899999997</v>
      </c>
      <c r="K3" s="46">
        <f>SUMIFS(Movimientos!$J$1:$J$363,Movimientos!$C$1:$C$363,$B3,Movimientos!$D$1:$D$363,$C3,Movimientos!$L$1:$L$363,A$3,Movimientos!$F$1:$F$363,"Egreso")</f>
        <v>1525770.0100000002</v>
      </c>
      <c r="L3" s="7">
        <f t="shared" ref="L3:L34" si="0">+J3-K3</f>
        <v>6699203.379999999</v>
      </c>
      <c r="M3" s="12">
        <f>I3+J3-K3</f>
        <v>7483851.9100000001</v>
      </c>
      <c r="N3" s="5">
        <f>M3</f>
        <v>7483851.9100000001</v>
      </c>
      <c r="O3" s="46">
        <f>SUMIFS(Movimientos!$J$1:$J$363,Movimientos!$C$1:$C$363,$B3,Movimientos!$D$1:$D$363,$C3,Movimientos!$L$1:$L$363,A$4,Movimientos!$F$1:$F$363,"Ingreso")</f>
        <v>0</v>
      </c>
      <c r="P3" s="46">
        <f>SUMIFS(Movimientos!$J$1:$J$363,Movimientos!$C$1:$C$363,$B3,Movimientos!$D$1:$D$363,$C3,Movimientos!$L$1:$L$363,A$4,Movimientos!$F$1:$F$363,"Egreso")</f>
        <v>0</v>
      </c>
      <c r="Q3" s="7">
        <f t="shared" ref="Q3:Q34" si="1">+O3-P3</f>
        <v>0</v>
      </c>
      <c r="R3" s="12">
        <f>N3+O3-P3</f>
        <v>7483851.9100000001</v>
      </c>
    </row>
    <row r="4" spans="1:18" hidden="1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6">
        <v>0</v>
      </c>
      <c r="F4" s="46">
        <v>18.82</v>
      </c>
      <c r="G4" s="17">
        <v>-18.82</v>
      </c>
      <c r="H4" s="12">
        <f>D4+E4-F4</f>
        <v>5256.0300000000007</v>
      </c>
      <c r="I4" s="54">
        <f>H4</f>
        <v>5256.0300000000007</v>
      </c>
      <c r="J4" s="46">
        <f>SUMIFS(Movimientos!$J$1:$J$363,Movimientos!$C$1:$C$363,$B4,Movimientos!$D$1:$D$363,$C4,Movimientos!$L$1:$L$363,A$3,Movimientos!$F$1:$F$363,"Ingreso")</f>
        <v>0</v>
      </c>
      <c r="K4" s="46">
        <f>SUMIFS(Movimientos!$J$1:$J$363,Movimientos!$C$1:$C$363,$B4,Movimientos!$D$1:$D$363,$C4,Movimientos!$L$1:$L$363,A$3,Movimientos!$F$1:$F$363,"Egreso")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6">
        <f>SUMIFS(Movimientos!$J$1:$J$363,Movimientos!$C$1:$C$363,$B4,Movimientos!$D$1:$D$363,$C4,Movimientos!$L$1:$L$363,A$4,Movimientos!$F$1:$F$363,"Ingreso")</f>
        <v>0</v>
      </c>
      <c r="P4" s="46">
        <f>SUMIFS(Movimientos!$J$1:$J$363,Movimientos!$C$1:$C$363,$B4,Movimientos!$D$1:$D$363,$C4,Movimientos!$L$1:$L$363,A$4,Movimientos!$F$1:$F$363,"Egreso")</f>
        <v>0</v>
      </c>
      <c r="Q4" s="7">
        <f t="shared" si="1"/>
        <v>0</v>
      </c>
      <c r="R4" s="12">
        <f>N4+O4-P4</f>
        <v>5256.0300000000007</v>
      </c>
    </row>
    <row r="5" spans="1:18" hidden="1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6">
        <v>1787857.7400000002</v>
      </c>
      <c r="F5" s="46">
        <v>1770000</v>
      </c>
      <c r="G5" s="17">
        <v>17857.740000000224</v>
      </c>
      <c r="H5" s="12">
        <f>D5+E5-F5</f>
        <v>57397.280000000261</v>
      </c>
      <c r="I5" s="54">
        <f>H5</f>
        <v>57397.280000000261</v>
      </c>
      <c r="J5" s="46">
        <f>SUMIFS(Movimientos!$J$1:$J$363,Movimientos!$C$1:$C$363,$B5,Movimientos!$D$1:$D$363,$C5,Movimientos!$L$1:$L$363,A$3,Movimientos!$F$1:$F$363,"Ingreso")</f>
        <v>6979.11</v>
      </c>
      <c r="K5" s="46">
        <f>SUMIFS(Movimientos!$J$1:$J$363,Movimientos!$C$1:$C$363,$B5,Movimientos!$D$1:$D$363,$C5,Movimientos!$L$1:$L$363,A$3,Movimientos!$F$1:$F$363,"Egreso")</f>
        <v>0</v>
      </c>
      <c r="L5" s="7">
        <f t="shared" si="0"/>
        <v>6979.11</v>
      </c>
      <c r="M5" s="12">
        <f>I5+J5-K5</f>
        <v>64376.390000000261</v>
      </c>
      <c r="N5" s="5">
        <f>M5</f>
        <v>64376.390000000261</v>
      </c>
      <c r="O5" s="46">
        <f>SUMIFS(Movimientos!$J$1:$J$363,Movimientos!$C$1:$C$363,$B5,Movimientos!$D$1:$D$363,$C5,Movimientos!$L$1:$L$363,A$4,Movimientos!$F$1:$F$363,"Ingreso")</f>
        <v>0</v>
      </c>
      <c r="P5" s="46">
        <f>SUMIFS(Movimientos!$J$1:$J$363,Movimientos!$C$1:$C$363,$B5,Movimientos!$D$1:$D$363,$C5,Movimientos!$L$1:$L$363,A$4,Movimientos!$F$1:$F$363,"Egreso")</f>
        <v>0</v>
      </c>
      <c r="Q5" s="7">
        <f t="shared" si="1"/>
        <v>0</v>
      </c>
      <c r="R5" s="12">
        <f>N5+O5-P5</f>
        <v>64376.390000000261</v>
      </c>
    </row>
    <row r="6" spans="1:18" hidden="1" x14ac:dyDescent="0.3">
      <c r="A6" s="11" t="s">
        <v>133</v>
      </c>
      <c r="B6" s="11" t="s">
        <v>18</v>
      </c>
      <c r="C6" s="11" t="s">
        <v>98</v>
      </c>
      <c r="D6" s="18">
        <v>5000</v>
      </c>
      <c r="E6" s="46">
        <v>0</v>
      </c>
      <c r="F6" s="46">
        <v>0</v>
      </c>
      <c r="G6" s="17">
        <v>0</v>
      </c>
      <c r="H6" s="12">
        <f>D6+E6-F6</f>
        <v>5000</v>
      </c>
      <c r="I6" s="54">
        <f>H6</f>
        <v>5000</v>
      </c>
      <c r="J6" s="46">
        <f>SUMIFS(Movimientos!$J$1:$J$363,Movimientos!$C$1:$C$363,$B6,Movimientos!$D$1:$D$363,$C6,Movimientos!$L$1:$L$363,A$3,Movimientos!$F$1:$F$363,"Ingreso")</f>
        <v>0</v>
      </c>
      <c r="K6" s="46">
        <f>SUMIFS(Movimientos!$J$1:$J$363,Movimientos!$C$1:$C$363,$B6,Movimientos!$D$1:$D$363,$C6,Movimientos!$L$1:$L$363,A$3,Movimientos!$F$1:$F$363,"Egreso")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6">
        <f>SUMIFS(Movimientos!$J$1:$J$363,Movimientos!$C$1:$C$363,$B6,Movimientos!$D$1:$D$363,$C6,Movimientos!$L$1:$L$363,A$4,Movimientos!$F$1:$F$363,"Ingreso")</f>
        <v>0</v>
      </c>
      <c r="P6" s="46">
        <f>SUMIFS(Movimientos!$J$1:$J$363,Movimientos!$C$1:$C$363,$B6,Movimientos!$D$1:$D$363,$C6,Movimientos!$L$1:$L$363,A$4,Movimientos!$F$1:$F$363,"Egreso")</f>
        <v>0</v>
      </c>
      <c r="Q6" s="7">
        <f t="shared" si="1"/>
        <v>0</v>
      </c>
      <c r="R6" s="12">
        <f>N6+O6-P6</f>
        <v>5000</v>
      </c>
    </row>
    <row r="7" spans="1:18" hidden="1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6">
        <v>0</v>
      </c>
      <c r="F7" s="46">
        <v>0</v>
      </c>
      <c r="G7" s="17">
        <v>0</v>
      </c>
      <c r="H7" s="12">
        <f t="shared" ref="H7:H34" si="2">D7+E7-F7</f>
        <v>1669.89</v>
      </c>
      <c r="I7" s="54">
        <f t="shared" ref="I7:I34" si="3">H7</f>
        <v>1669.89</v>
      </c>
      <c r="J7" s="46">
        <f>SUMIFS(Movimientos!$J$1:$J$363,Movimientos!$C$1:$C$363,$B7,Movimientos!$D$1:$D$363,$C7,Movimientos!$L$1:$L$363,A$3,Movimientos!$F$1:$F$363,"Ingreso")</f>
        <v>0</v>
      </c>
      <c r="K7" s="46">
        <f>SUMIFS(Movimientos!$J$1:$J$363,Movimientos!$C$1:$C$363,$B7,Movimientos!$D$1:$D$363,$C7,Movimientos!$L$1:$L$363,A$3,Movimientos!$F$1:$F$363,"Egreso")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6">
        <f>SUMIFS(Movimientos!$J$1:$J$363,Movimientos!$C$1:$C$363,$B7,Movimientos!$D$1:$D$363,$C7,Movimientos!$L$1:$L$363,A$4,Movimientos!$F$1:$F$363,"Ingreso")</f>
        <v>0</v>
      </c>
      <c r="P7" s="46">
        <f>SUMIFS(Movimientos!$J$1:$J$363,Movimientos!$C$1:$C$363,$B7,Movimientos!$D$1:$D$363,$C7,Movimientos!$L$1:$L$363,A$4,Movimientos!$F$1:$F$363,"Egreso")</f>
        <v>0</v>
      </c>
      <c r="Q7" s="7">
        <f t="shared" si="1"/>
        <v>0</v>
      </c>
      <c r="R7" s="12">
        <f t="shared" ref="R7:R34" si="6">N7+O7-P7</f>
        <v>1669.89</v>
      </c>
    </row>
    <row r="8" spans="1:18" hidden="1" x14ac:dyDescent="0.3">
      <c r="A8" s="11"/>
      <c r="B8" s="11" t="s">
        <v>20</v>
      </c>
      <c r="C8" s="11" t="s">
        <v>100</v>
      </c>
      <c r="D8" s="18">
        <v>177088.59</v>
      </c>
      <c r="E8" s="46">
        <v>2810870.3299999996</v>
      </c>
      <c r="F8" s="46">
        <v>2563105.7999999998</v>
      </c>
      <c r="G8" s="17">
        <v>247764.5299999998</v>
      </c>
      <c r="H8" s="12">
        <f t="shared" si="2"/>
        <v>424853.11999999965</v>
      </c>
      <c r="I8" s="54">
        <f t="shared" si="3"/>
        <v>424853.11999999965</v>
      </c>
      <c r="J8" s="46">
        <f>SUMIFS(Movimientos!$J$1:$J$363,Movimientos!$C$1:$C$363,$B8,Movimientos!$D$1:$D$363,$C8,Movimientos!$L$1:$L$363,A$3,Movimientos!$F$1:$F$363,"Ingreso")</f>
        <v>394761.57</v>
      </c>
      <c r="K8" s="46">
        <f>SUMIFS(Movimientos!$J$1:$J$363,Movimientos!$C$1:$C$363,$B8,Movimientos!$D$1:$D$363,$C8,Movimientos!$L$1:$L$363,A$3,Movimientos!$F$1:$F$363,"Egreso")</f>
        <v>315709.88</v>
      </c>
      <c r="L8" s="7">
        <f t="shared" si="0"/>
        <v>79051.69</v>
      </c>
      <c r="M8" s="12">
        <f t="shared" si="4"/>
        <v>503904.80999999971</v>
      </c>
      <c r="N8" s="5">
        <f t="shared" si="5"/>
        <v>503904.80999999971</v>
      </c>
      <c r="O8" s="46">
        <f>SUMIFS(Movimientos!$J$1:$J$363,Movimientos!$C$1:$C$363,$B8,Movimientos!$D$1:$D$363,$C8,Movimientos!$L$1:$L$363,A$4,Movimientos!$F$1:$F$363,"Ingreso")</f>
        <v>0</v>
      </c>
      <c r="P8" s="46">
        <f>SUMIFS(Movimientos!$J$1:$J$363,Movimientos!$C$1:$C$363,$B8,Movimientos!$D$1:$D$363,$C8,Movimientos!$L$1:$L$363,A$4,Movimientos!$F$1:$F$363,"Egreso")</f>
        <v>0</v>
      </c>
      <c r="Q8" s="7">
        <f t="shared" si="1"/>
        <v>0</v>
      </c>
      <c r="R8" s="12">
        <f t="shared" si="6"/>
        <v>503904.80999999971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6">
        <v>15321.74</v>
      </c>
      <c r="F9" s="46">
        <v>16857.71</v>
      </c>
      <c r="G9" s="17">
        <v>-1535.9699999999993</v>
      </c>
      <c r="H9" s="12">
        <f t="shared" si="2"/>
        <v>10843.21</v>
      </c>
      <c r="I9" s="54">
        <f t="shared" si="3"/>
        <v>10843.21</v>
      </c>
      <c r="J9" s="46">
        <f>SUMIFS(Movimientos!$J$1:$J$363,Movimientos!$C$1:$C$363,$B9,Movimientos!$D$1:$D$363,$C9,Movimientos!$L$1:$L$363,A$3,Movimientos!$F$1:$F$363,"Ingreso")</f>
        <v>15307.88</v>
      </c>
      <c r="K9" s="46">
        <f>SUMIFS(Movimientos!$J$1:$J$363,Movimientos!$C$1:$C$363,$B9,Movimientos!$D$1:$D$363,$C9,Movimientos!$L$1:$L$363,A$3,Movimientos!$F$1:$F$363,"Egreso")</f>
        <v>16891.099999999999</v>
      </c>
      <c r="L9" s="7">
        <f t="shared" si="0"/>
        <v>-1583.2199999999993</v>
      </c>
      <c r="M9" s="12">
        <f t="shared" si="4"/>
        <v>9259.989999999998</v>
      </c>
      <c r="N9" s="5">
        <f t="shared" si="5"/>
        <v>9259.989999999998</v>
      </c>
      <c r="O9" s="46">
        <f>SUMIFS(Movimientos!$J$1:$J$363,Movimientos!$C$1:$C$363,$B9,Movimientos!$D$1:$D$363,$C9,Movimientos!$L$1:$L$363,A$4,Movimientos!$F$1:$F$363,"Ingreso")</f>
        <v>0</v>
      </c>
      <c r="P9" s="46">
        <f>SUMIFS(Movimientos!$J$1:$J$363,Movimientos!$C$1:$C$363,$B9,Movimientos!$D$1:$D$363,$C9,Movimientos!$L$1:$L$363,A$4,Movimientos!$F$1:$F$363,"Egreso")</f>
        <v>0</v>
      </c>
      <c r="Q9" s="7">
        <f t="shared" si="1"/>
        <v>0</v>
      </c>
      <c r="R9" s="12">
        <f t="shared" si="6"/>
        <v>9259.989999999998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6">
        <v>0</v>
      </c>
      <c r="F10" s="46">
        <v>196.07</v>
      </c>
      <c r="G10" s="17">
        <v>-196.07</v>
      </c>
      <c r="H10" s="12">
        <f t="shared" si="2"/>
        <v>563</v>
      </c>
      <c r="I10" s="54">
        <f t="shared" si="3"/>
        <v>563</v>
      </c>
      <c r="J10" s="46">
        <f>SUMIFS(Movimientos!$J$1:$J$363,Movimientos!$C$1:$C$363,$B10,Movimientos!$D$1:$D$363,$C10,Movimientos!$L$1:$L$363,A$3,Movimientos!$F$1:$F$363,"Ingreso")</f>
        <v>0</v>
      </c>
      <c r="K10" s="46">
        <f>SUMIFS(Movimientos!$J$1:$J$363,Movimientos!$C$1:$C$363,$B10,Movimientos!$D$1:$D$363,$C10,Movimientos!$L$1:$L$363,A$3,Movimientos!$F$1:$F$363,"Egreso")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6">
        <f>SUMIFS(Movimientos!$J$1:$J$363,Movimientos!$C$1:$C$363,$B10,Movimientos!$D$1:$D$363,$C10,Movimientos!$L$1:$L$363,A$4,Movimientos!$F$1:$F$363,"Ingreso")</f>
        <v>0</v>
      </c>
      <c r="P10" s="46">
        <f>SUMIFS(Movimientos!$J$1:$J$363,Movimientos!$C$1:$C$363,$B10,Movimientos!$D$1:$D$363,$C10,Movimientos!$L$1:$L$363,A$4,Movimientos!$F$1:$F$363,"Egreso")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6">
        <v>0</v>
      </c>
      <c r="F11" s="46">
        <v>0</v>
      </c>
      <c r="G11" s="17">
        <v>0</v>
      </c>
      <c r="H11" s="12">
        <f t="shared" si="2"/>
        <v>0</v>
      </c>
      <c r="I11" s="54">
        <f t="shared" si="3"/>
        <v>0</v>
      </c>
      <c r="J11" s="46">
        <f>SUMIFS(Movimientos!$J$1:$J$363,Movimientos!$C$1:$C$363,$B11,Movimientos!$D$1:$D$363,$C11,Movimientos!$L$1:$L$363,A$3,Movimientos!$F$1:$F$363,"Ingreso")</f>
        <v>0</v>
      </c>
      <c r="K11" s="46">
        <f>SUMIFS(Movimientos!$J$1:$J$363,Movimientos!$C$1:$C$363,$B11,Movimientos!$D$1:$D$363,$C11,Movimientos!$L$1:$L$363,A$3,Movimientos!$F$1:$F$363,"Egreso")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6">
        <f>SUMIFS(Movimientos!$J$1:$J$363,Movimientos!$C$1:$C$363,$B11,Movimientos!$D$1:$D$363,$C11,Movimientos!$L$1:$L$363,A$4,Movimientos!$F$1:$F$363,"Ingreso")</f>
        <v>0</v>
      </c>
      <c r="P11" s="46">
        <f>SUMIFS(Movimientos!$J$1:$J$363,Movimientos!$C$1:$C$363,$B11,Movimientos!$D$1:$D$363,$C11,Movimientos!$L$1:$L$363,A$4,Movimientos!$F$1:$F$363,"Egreso")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6">
        <v>1689975</v>
      </c>
      <c r="F12" s="46">
        <v>1664911.5100000002</v>
      </c>
      <c r="G12" s="17">
        <v>25063.489999999758</v>
      </c>
      <c r="H12" s="12">
        <f t="shared" si="2"/>
        <v>244921.30999999912</v>
      </c>
      <c r="I12" s="54">
        <f t="shared" si="3"/>
        <v>244921.30999999912</v>
      </c>
      <c r="J12" s="46">
        <f>SUMIFS(Movimientos!$J$1:$J$363,Movimientos!$C$1:$C$363,$B12,Movimientos!$D$1:$D$363,$C12,Movimientos!$L$1:$L$363,A$3,Movimientos!$F$1:$F$363,"Ingreso")</f>
        <v>3120000</v>
      </c>
      <c r="K12" s="46">
        <f>SUMIFS(Movimientos!$J$1:$J$363,Movimientos!$C$1:$C$363,$B12,Movimientos!$D$1:$D$363,$C12,Movimientos!$L$1:$L$363,A$3,Movimientos!$F$1:$F$363,"Egreso")</f>
        <v>862853.67999999993</v>
      </c>
      <c r="L12" s="7">
        <f t="shared" si="0"/>
        <v>2257146.3200000003</v>
      </c>
      <c r="M12" s="12">
        <f t="shared" si="4"/>
        <v>2502067.629999999</v>
      </c>
      <c r="N12" s="5">
        <f t="shared" si="5"/>
        <v>2502067.629999999</v>
      </c>
      <c r="O12" s="46">
        <f>SUMIFS(Movimientos!$J$1:$J$363,Movimientos!$C$1:$C$363,$B12,Movimientos!$D$1:$D$363,$C12,Movimientos!$L$1:$L$363,A$4,Movimientos!$F$1:$F$363,"Ingreso")</f>
        <v>0</v>
      </c>
      <c r="P12" s="46">
        <f>SUMIFS(Movimientos!$J$1:$J$363,Movimientos!$C$1:$C$363,$B12,Movimientos!$D$1:$D$363,$C12,Movimientos!$L$1:$L$363,A$4,Movimientos!$F$1:$F$363,"Egreso")</f>
        <v>0</v>
      </c>
      <c r="Q12" s="7">
        <f t="shared" si="1"/>
        <v>0</v>
      </c>
      <c r="R12" s="12">
        <f t="shared" si="6"/>
        <v>2502067.629999999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6">
        <v>0</v>
      </c>
      <c r="F13" s="46">
        <v>108.91</v>
      </c>
      <c r="G13" s="17">
        <v>-108.91</v>
      </c>
      <c r="H13" s="12">
        <f t="shared" si="2"/>
        <v>4761.2</v>
      </c>
      <c r="I13" s="54">
        <f t="shared" si="3"/>
        <v>4761.2</v>
      </c>
      <c r="J13" s="46">
        <f>SUMIFS(Movimientos!$J$1:$J$363,Movimientos!$C$1:$C$363,$B13,Movimientos!$D$1:$D$363,$C13,Movimientos!$L$1:$L$363,A$3,Movimientos!$F$1:$F$363,"Ingreso")</f>
        <v>0</v>
      </c>
      <c r="K13" s="46">
        <f>SUMIFS(Movimientos!$J$1:$J$363,Movimientos!$C$1:$C$363,$B13,Movimientos!$D$1:$D$363,$C13,Movimientos!$L$1:$L$363,A$3,Movimientos!$F$1:$F$363,"Egreso")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6">
        <f>SUMIFS(Movimientos!$J$1:$J$363,Movimientos!$C$1:$C$363,$B13,Movimientos!$D$1:$D$363,$C13,Movimientos!$L$1:$L$363,A$4,Movimientos!$F$1:$F$363,"Ingreso")</f>
        <v>0</v>
      </c>
      <c r="P13" s="46">
        <f>SUMIFS(Movimientos!$J$1:$J$363,Movimientos!$C$1:$C$363,$B13,Movimientos!$D$1:$D$363,$C13,Movimientos!$L$1:$L$363,A$4,Movimientos!$F$1:$F$363,"Egreso")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6">
        <v>2291.75</v>
      </c>
      <c r="F14" s="46">
        <v>0</v>
      </c>
      <c r="G14" s="17">
        <v>2291.75</v>
      </c>
      <c r="H14" s="12">
        <f t="shared" si="2"/>
        <v>749812.95</v>
      </c>
      <c r="I14" s="54">
        <f t="shared" si="3"/>
        <v>749812.95</v>
      </c>
      <c r="J14" s="46">
        <f>SUMIFS(Movimientos!$J$1:$J$363,Movimientos!$C$1:$C$363,$B14,Movimientos!$D$1:$D$363,$C14,Movimientos!$L$1:$L$363,A$3,Movimientos!$F$1:$F$363,"Ingreso")</f>
        <v>54600</v>
      </c>
      <c r="K14" s="46">
        <f>SUMIFS(Movimientos!$J$1:$J$363,Movimientos!$C$1:$C$363,$B14,Movimientos!$D$1:$D$363,$C14,Movimientos!$L$1:$L$363,A$3,Movimientos!$F$1:$F$363,"Egreso")</f>
        <v>0</v>
      </c>
      <c r="L14" s="7">
        <f t="shared" si="0"/>
        <v>54600</v>
      </c>
      <c r="M14" s="12">
        <f t="shared" si="4"/>
        <v>804412.95</v>
      </c>
      <c r="N14" s="5">
        <f t="shared" si="5"/>
        <v>804412.95</v>
      </c>
      <c r="O14" s="46">
        <f>SUMIFS(Movimientos!$J$1:$J$363,Movimientos!$C$1:$C$363,$B14,Movimientos!$D$1:$D$363,$C14,Movimientos!$L$1:$L$363,A$4,Movimientos!$F$1:$F$363,"Ingreso")</f>
        <v>0</v>
      </c>
      <c r="P14" s="46">
        <f>SUMIFS(Movimientos!$J$1:$J$363,Movimientos!$C$1:$C$363,$B14,Movimientos!$D$1:$D$363,$C14,Movimientos!$L$1:$L$363,A$4,Movimientos!$F$1:$F$363,"Egreso")</f>
        <v>0</v>
      </c>
      <c r="Q14" s="7">
        <f t="shared" si="1"/>
        <v>0</v>
      </c>
      <c r="R14" s="12">
        <f t="shared" si="6"/>
        <v>804412.95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6">
        <v>0</v>
      </c>
      <c r="F15" s="46">
        <v>0</v>
      </c>
      <c r="G15" s="17">
        <v>0</v>
      </c>
      <c r="H15" s="12">
        <f t="shared" si="2"/>
        <v>5000</v>
      </c>
      <c r="I15" s="54">
        <f t="shared" si="3"/>
        <v>5000</v>
      </c>
      <c r="J15" s="46">
        <f>SUMIFS(Movimientos!$J$1:$J$363,Movimientos!$C$1:$C$363,$B15,Movimientos!$D$1:$D$363,$C15,Movimientos!$L$1:$L$363,A$3,Movimientos!$F$1:$F$363,"Ingreso")</f>
        <v>0</v>
      </c>
      <c r="K15" s="46">
        <f>SUMIFS(Movimientos!$J$1:$J$363,Movimientos!$C$1:$C$363,$B15,Movimientos!$D$1:$D$363,$C15,Movimientos!$L$1:$L$363,A$3,Movimientos!$F$1:$F$363,"Egreso")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6">
        <f>SUMIFS(Movimientos!$J$1:$J$363,Movimientos!$C$1:$C$363,$B15,Movimientos!$D$1:$D$363,$C15,Movimientos!$L$1:$L$363,A$4,Movimientos!$F$1:$F$363,"Ingreso")</f>
        <v>0</v>
      </c>
      <c r="P15" s="46">
        <f>SUMIFS(Movimientos!$J$1:$J$363,Movimientos!$C$1:$C$363,$B15,Movimientos!$D$1:$D$363,$C15,Movimientos!$L$1:$L$363,A$4,Movimientos!$F$1:$F$363,"Egreso")</f>
        <v>0</v>
      </c>
      <c r="Q15" s="7">
        <f t="shared" si="1"/>
        <v>0</v>
      </c>
      <c r="R15" s="12">
        <f t="shared" si="6"/>
        <v>5000</v>
      </c>
    </row>
    <row r="16" spans="1:18" hidden="1" x14ac:dyDescent="0.3">
      <c r="A16" s="11"/>
      <c r="B16" s="11" t="s">
        <v>22</v>
      </c>
      <c r="C16" s="11" t="s">
        <v>108</v>
      </c>
      <c r="D16" s="18">
        <v>57206.89</v>
      </c>
      <c r="E16" s="46">
        <v>0</v>
      </c>
      <c r="F16" s="46">
        <v>0</v>
      </c>
      <c r="G16" s="17">
        <v>0</v>
      </c>
      <c r="H16" s="12">
        <f t="shared" si="2"/>
        <v>57206.89</v>
      </c>
      <c r="I16" s="54">
        <f t="shared" si="3"/>
        <v>57206.89</v>
      </c>
      <c r="J16" s="46">
        <f>SUMIFS(Movimientos!$J$1:$J$363,Movimientos!$C$1:$C$363,$B16,Movimientos!$D$1:$D$363,$C16,Movimientos!$L$1:$L$363,A$3,Movimientos!$F$1:$F$363,"Ingreso")</f>
        <v>0</v>
      </c>
      <c r="K16" s="46">
        <f>SUMIFS(Movimientos!$J$1:$J$363,Movimientos!$C$1:$C$363,$B16,Movimientos!$D$1:$D$363,$C16,Movimientos!$L$1:$L$363,A$3,Movimientos!$F$1:$F$363,"Egreso")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6">
        <f>SUMIFS(Movimientos!$J$1:$J$363,Movimientos!$C$1:$C$363,$B16,Movimientos!$D$1:$D$363,$C16,Movimientos!$L$1:$L$363,A$4,Movimientos!$F$1:$F$363,"Ingreso")</f>
        <v>0</v>
      </c>
      <c r="P16" s="46">
        <f>SUMIFS(Movimientos!$J$1:$J$363,Movimientos!$C$1:$C$363,$B16,Movimientos!$D$1:$D$363,$C16,Movimientos!$L$1:$L$363,A$4,Movimientos!$F$1:$F$363,"Egreso")</f>
        <v>0</v>
      </c>
      <c r="Q16" s="7">
        <f t="shared" si="1"/>
        <v>0</v>
      </c>
      <c r="R16" s="12">
        <f t="shared" si="6"/>
        <v>57206.89</v>
      </c>
    </row>
    <row r="17" spans="1:18" hidden="1" x14ac:dyDescent="0.3">
      <c r="A17" s="11"/>
      <c r="B17" s="11" t="s">
        <v>22</v>
      </c>
      <c r="C17" s="11" t="s">
        <v>109</v>
      </c>
      <c r="D17" s="18">
        <v>6365</v>
      </c>
      <c r="E17" s="46">
        <v>0</v>
      </c>
      <c r="F17" s="46">
        <v>0</v>
      </c>
      <c r="G17" s="17">
        <v>0</v>
      </c>
      <c r="H17" s="12">
        <f t="shared" si="2"/>
        <v>6365</v>
      </c>
      <c r="I17" s="54">
        <f t="shared" si="3"/>
        <v>6365</v>
      </c>
      <c r="J17" s="46">
        <f>SUMIFS(Movimientos!$J$1:$J$363,Movimientos!$C$1:$C$363,$B17,Movimientos!$D$1:$D$363,$C17,Movimientos!$L$1:$L$363,A$3,Movimientos!$F$1:$F$363,"Ingreso")</f>
        <v>0</v>
      </c>
      <c r="K17" s="46">
        <f>SUMIFS(Movimientos!$J$1:$J$363,Movimientos!$C$1:$C$363,$B17,Movimientos!$D$1:$D$363,$C17,Movimientos!$L$1:$L$363,A$3,Movimientos!$F$1:$F$363,"Egreso")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6">
        <f>SUMIFS(Movimientos!$J$1:$J$363,Movimientos!$C$1:$C$363,$B17,Movimientos!$D$1:$D$363,$C17,Movimientos!$L$1:$L$363,A$4,Movimientos!$F$1:$F$363,"Ingreso")</f>
        <v>0</v>
      </c>
      <c r="P17" s="46">
        <f>SUMIFS(Movimientos!$J$1:$J$363,Movimientos!$C$1:$C$363,$B17,Movimientos!$D$1:$D$363,$C17,Movimientos!$L$1:$L$363,A$4,Movimientos!$F$1:$F$363,"Egreso")</f>
        <v>0</v>
      </c>
      <c r="Q17" s="7">
        <f t="shared" si="1"/>
        <v>0</v>
      </c>
      <c r="R17" s="12">
        <f t="shared" si="6"/>
        <v>6365</v>
      </c>
    </row>
    <row r="18" spans="1:18" hidden="1" x14ac:dyDescent="0.3">
      <c r="A18" s="11"/>
      <c r="B18" s="11" t="s">
        <v>22</v>
      </c>
      <c r="C18" s="11" t="s">
        <v>110</v>
      </c>
      <c r="D18" s="18">
        <v>13221.89</v>
      </c>
      <c r="E18" s="46">
        <v>50000</v>
      </c>
      <c r="F18" s="46">
        <v>6015</v>
      </c>
      <c r="G18" s="17">
        <v>43985</v>
      </c>
      <c r="H18" s="12">
        <f t="shared" si="2"/>
        <v>57206.89</v>
      </c>
      <c r="I18" s="54">
        <f t="shared" si="3"/>
        <v>57206.89</v>
      </c>
      <c r="J18" s="46">
        <f>SUMIFS(Movimientos!$J$1:$J$363,Movimientos!$C$1:$C$363,$B18,Movimientos!$D$1:$D$363,$C18,Movimientos!$L$1:$L$363,A$3,Movimientos!$F$1:$F$363,"Ingreso")</f>
        <v>0</v>
      </c>
      <c r="K18" s="46">
        <f>SUMIFS(Movimientos!$J$1:$J$363,Movimientos!$C$1:$C$363,$B18,Movimientos!$D$1:$D$363,$C18,Movimientos!$L$1:$L$363,A$3,Movimientos!$F$1:$F$363,"Egreso")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6">
        <f>SUMIFS(Movimientos!$J$1:$J$363,Movimientos!$C$1:$C$363,$B18,Movimientos!$D$1:$D$363,$C18,Movimientos!$L$1:$L$363,A$4,Movimientos!$F$1:$F$363,"Ingreso")</f>
        <v>0</v>
      </c>
      <c r="P18" s="46">
        <f>SUMIFS(Movimientos!$J$1:$J$363,Movimientos!$C$1:$C$363,$B18,Movimientos!$D$1:$D$363,$C18,Movimientos!$L$1:$L$363,A$4,Movimientos!$F$1:$F$363,"Egreso")</f>
        <v>0</v>
      </c>
      <c r="Q18" s="7">
        <f t="shared" si="1"/>
        <v>0</v>
      </c>
      <c r="R18" s="12">
        <f t="shared" si="6"/>
        <v>51206.89</v>
      </c>
    </row>
    <row r="19" spans="1:18" hidden="1" x14ac:dyDescent="0.3">
      <c r="A19" s="11"/>
      <c r="B19" s="11" t="s">
        <v>22</v>
      </c>
      <c r="C19" s="11" t="s">
        <v>111</v>
      </c>
      <c r="D19" s="18">
        <v>65717.600000000006</v>
      </c>
      <c r="E19" s="46">
        <v>0</v>
      </c>
      <c r="F19" s="46">
        <v>55000</v>
      </c>
      <c r="G19" s="17">
        <v>-55000</v>
      </c>
      <c r="H19" s="12">
        <f t="shared" si="2"/>
        <v>10717.600000000006</v>
      </c>
      <c r="I19" s="54">
        <f t="shared" si="3"/>
        <v>10717.600000000006</v>
      </c>
      <c r="J19" s="46">
        <f>SUMIFS(Movimientos!$J$1:$J$363,Movimientos!$C$1:$C$363,$B19,Movimientos!$D$1:$D$363,$C19,Movimientos!$L$1:$L$363,A$3,Movimientos!$F$1:$F$363,"Ingreso")</f>
        <v>50000</v>
      </c>
      <c r="K19" s="46">
        <f>SUMIFS(Movimientos!$J$1:$J$363,Movimientos!$C$1:$C$363,$B19,Movimientos!$D$1:$D$363,$C19,Movimientos!$L$1:$L$363,A$3,Movimientos!$F$1:$F$363,"Egreso")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6">
        <f>SUMIFS(Movimientos!$J$1:$J$363,Movimientos!$C$1:$C$363,$B19,Movimientos!$D$1:$D$363,$C19,Movimientos!$L$1:$L$363,A$4,Movimientos!$F$1:$F$363,"Ingreso")</f>
        <v>0</v>
      </c>
      <c r="P19" s="46">
        <f>SUMIFS(Movimientos!$J$1:$J$363,Movimientos!$C$1:$C$363,$B19,Movimientos!$D$1:$D$363,$C19,Movimientos!$L$1:$L$363,A$4,Movimientos!$F$1:$F$363,"Egreso")</f>
        <v>0</v>
      </c>
      <c r="Q19" s="7">
        <f t="shared" si="1"/>
        <v>0</v>
      </c>
      <c r="R19" s="12">
        <f t="shared" si="6"/>
        <v>1717.6000000000058</v>
      </c>
    </row>
    <row r="20" spans="1:18" hidden="1" x14ac:dyDescent="0.3">
      <c r="A20" s="11"/>
      <c r="B20" s="11" t="s">
        <v>23</v>
      </c>
      <c r="C20" s="11" t="s">
        <v>112</v>
      </c>
      <c r="D20" s="18">
        <v>13088.589999999997</v>
      </c>
      <c r="E20" s="46">
        <v>1575001.78</v>
      </c>
      <c r="F20" s="46">
        <v>1500000</v>
      </c>
      <c r="G20" s="17">
        <v>75001.780000000028</v>
      </c>
      <c r="H20" s="12">
        <f t="shared" si="2"/>
        <v>88090.370000000112</v>
      </c>
      <c r="I20" s="54">
        <f t="shared" si="3"/>
        <v>88090.370000000112</v>
      </c>
      <c r="J20" s="46">
        <f>SUMIFS(Movimientos!$J$1:$J$363,Movimientos!$C$1:$C$363,$B20,Movimientos!$D$1:$D$363,$C20,Movimientos!$L$1:$L$363,A$3,Movimientos!$F$1:$F$363,"Ingreso")</f>
        <v>0</v>
      </c>
      <c r="K20" s="46">
        <f>SUMIFS(Movimientos!$J$1:$J$363,Movimientos!$C$1:$C$363,$B20,Movimientos!$D$1:$D$363,$C20,Movimientos!$L$1:$L$363,A$3,Movimientos!$F$1:$F$363,"Egreso")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6">
        <f>SUMIFS(Movimientos!$J$1:$J$363,Movimientos!$C$1:$C$363,$B20,Movimientos!$D$1:$D$363,$C20,Movimientos!$L$1:$L$363,A$4,Movimientos!$F$1:$F$363,"Ingreso")</f>
        <v>0</v>
      </c>
      <c r="P20" s="46">
        <f>SUMIFS(Movimientos!$J$1:$J$363,Movimientos!$C$1:$C$363,$B20,Movimientos!$D$1:$D$363,$C20,Movimientos!$L$1:$L$363,A$4,Movimientos!$F$1:$F$363,"Egreso")</f>
        <v>0</v>
      </c>
      <c r="Q20" s="7">
        <f t="shared" si="1"/>
        <v>0</v>
      </c>
      <c r="R20" s="12">
        <f t="shared" si="6"/>
        <v>88090.370000000112</v>
      </c>
    </row>
    <row r="21" spans="1:18" hidden="1" x14ac:dyDescent="0.3">
      <c r="A21" s="11"/>
      <c r="B21" s="11" t="s">
        <v>24</v>
      </c>
      <c r="C21" s="11" t="s">
        <v>113</v>
      </c>
      <c r="D21" s="18">
        <v>808.82999999999993</v>
      </c>
      <c r="E21" s="46">
        <v>3000</v>
      </c>
      <c r="F21" s="46">
        <v>2580.86</v>
      </c>
      <c r="G21" s="17">
        <v>419.13999999999987</v>
      </c>
      <c r="H21" s="12">
        <f t="shared" si="2"/>
        <v>1227.9699999999998</v>
      </c>
      <c r="I21" s="54">
        <f t="shared" si="3"/>
        <v>1227.9699999999998</v>
      </c>
      <c r="J21" s="46">
        <f>SUMIFS(Movimientos!$J$1:$J$363,Movimientos!$C$1:$C$363,$B21,Movimientos!$D$1:$D$363,$C21,Movimientos!$L$1:$L$363,A$3,Movimientos!$F$1:$F$363,"Ingreso")</f>
        <v>0</v>
      </c>
      <c r="K21" s="46">
        <f>SUMIFS(Movimientos!$J$1:$J$363,Movimientos!$C$1:$C$363,$B21,Movimientos!$D$1:$D$363,$C21,Movimientos!$L$1:$L$363,A$3,Movimientos!$F$1:$F$363,"Egreso")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6">
        <f>SUMIFS(Movimientos!$J$1:$J$363,Movimientos!$C$1:$C$363,$B21,Movimientos!$D$1:$D$363,$C21,Movimientos!$L$1:$L$363,A$4,Movimientos!$F$1:$F$363,"Ingreso")</f>
        <v>0</v>
      </c>
      <c r="P21" s="46">
        <f>SUMIFS(Movimientos!$J$1:$J$363,Movimientos!$C$1:$C$363,$B21,Movimientos!$D$1:$D$363,$C21,Movimientos!$L$1:$L$363,A$4,Movimientos!$F$1:$F$363,"Egreso")</f>
        <v>0</v>
      </c>
      <c r="Q21" s="7">
        <f t="shared" si="1"/>
        <v>0</v>
      </c>
      <c r="R21" s="12">
        <f t="shared" si="6"/>
        <v>1227.9699999999998</v>
      </c>
    </row>
    <row r="22" spans="1:18" hidden="1" x14ac:dyDescent="0.3">
      <c r="A22" s="11"/>
      <c r="B22" s="11" t="s">
        <v>25</v>
      </c>
      <c r="C22" s="11" t="s">
        <v>114</v>
      </c>
      <c r="D22" s="18">
        <v>144.25</v>
      </c>
      <c r="E22" s="46">
        <v>0</v>
      </c>
      <c r="F22" s="46">
        <v>29.95</v>
      </c>
      <c r="G22" s="17">
        <v>-29.95</v>
      </c>
      <c r="H22" s="12">
        <f t="shared" si="2"/>
        <v>114.3</v>
      </c>
      <c r="I22" s="54">
        <f t="shared" si="3"/>
        <v>114.3</v>
      </c>
      <c r="J22" s="46">
        <f>SUMIFS(Movimientos!$J$1:$J$363,Movimientos!$C$1:$C$363,$B22,Movimientos!$D$1:$D$363,$C22,Movimientos!$L$1:$L$363,A$3,Movimientos!$F$1:$F$363,"Ingreso")</f>
        <v>0</v>
      </c>
      <c r="K22" s="46">
        <f>SUMIFS(Movimientos!$J$1:$J$363,Movimientos!$C$1:$C$363,$B22,Movimientos!$D$1:$D$363,$C22,Movimientos!$L$1:$L$363,A$3,Movimientos!$F$1:$F$363,"Egreso")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6">
        <f>SUMIFS(Movimientos!$J$1:$J$363,Movimientos!$C$1:$C$363,$B22,Movimientos!$D$1:$D$363,$C22,Movimientos!$L$1:$L$363,A$4,Movimientos!$F$1:$F$363,"Ingreso")</f>
        <v>0</v>
      </c>
      <c r="P22" s="46">
        <f>SUMIFS(Movimientos!$J$1:$J$363,Movimientos!$C$1:$C$363,$B22,Movimientos!$D$1:$D$363,$C22,Movimientos!$L$1:$L$363,A$4,Movimientos!$F$1:$F$363,"Egreso")</f>
        <v>0</v>
      </c>
      <c r="Q22" s="7">
        <f t="shared" si="1"/>
        <v>0</v>
      </c>
      <c r="R22" s="12">
        <f t="shared" si="6"/>
        <v>84.35</v>
      </c>
    </row>
    <row r="23" spans="1:18" hidden="1" x14ac:dyDescent="0.3">
      <c r="A23" s="11"/>
      <c r="B23" s="11" t="s">
        <v>26</v>
      </c>
      <c r="C23" s="11" t="s">
        <v>115</v>
      </c>
      <c r="D23" s="18">
        <v>2297.67</v>
      </c>
      <c r="E23" s="46">
        <v>0</v>
      </c>
      <c r="F23" s="46">
        <v>29.95</v>
      </c>
      <c r="G23" s="17">
        <v>-29.95</v>
      </c>
      <c r="H23" s="12">
        <f t="shared" si="2"/>
        <v>2267.7200000000003</v>
      </c>
      <c r="I23" s="54">
        <f t="shared" si="3"/>
        <v>2267.7200000000003</v>
      </c>
      <c r="J23" s="46">
        <f>SUMIFS(Movimientos!$J$1:$J$363,Movimientos!$C$1:$C$363,$B23,Movimientos!$D$1:$D$363,$C23,Movimientos!$L$1:$L$363,A$3,Movimientos!$F$1:$F$363,"Ingreso")</f>
        <v>0</v>
      </c>
      <c r="K23" s="46">
        <f>SUMIFS(Movimientos!$J$1:$J$363,Movimientos!$C$1:$C$363,$B23,Movimientos!$D$1:$D$363,$C23,Movimientos!$L$1:$L$363,A$3,Movimientos!$F$1:$F$363,"Egreso")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6">
        <f>SUMIFS(Movimientos!$J$1:$J$363,Movimientos!$C$1:$C$363,$B23,Movimientos!$D$1:$D$363,$C23,Movimientos!$L$1:$L$363,A$4,Movimientos!$F$1:$F$363,"Ingreso")</f>
        <v>0</v>
      </c>
      <c r="P23" s="46">
        <f>SUMIFS(Movimientos!$J$1:$J$363,Movimientos!$C$1:$C$363,$B23,Movimientos!$D$1:$D$363,$C23,Movimientos!$L$1:$L$363,A$4,Movimientos!$F$1:$F$363,"Egreso")</f>
        <v>0</v>
      </c>
      <c r="Q23" s="7">
        <f t="shared" si="1"/>
        <v>0</v>
      </c>
      <c r="R23" s="12">
        <f t="shared" si="6"/>
        <v>2237.7700000000004</v>
      </c>
    </row>
    <row r="24" spans="1:18" hidden="1" x14ac:dyDescent="0.3">
      <c r="A24" s="11"/>
      <c r="B24" s="11" t="s">
        <v>27</v>
      </c>
      <c r="C24" s="11" t="s">
        <v>116</v>
      </c>
      <c r="D24" s="18">
        <v>3364.94</v>
      </c>
      <c r="E24" s="46">
        <v>0</v>
      </c>
      <c r="F24" s="46">
        <v>15</v>
      </c>
      <c r="G24" s="17">
        <v>-15</v>
      </c>
      <c r="H24" s="12">
        <f t="shared" si="2"/>
        <v>3349.94</v>
      </c>
      <c r="I24" s="54">
        <f t="shared" si="3"/>
        <v>3349.94</v>
      </c>
      <c r="J24" s="46">
        <f>SUMIFS(Movimientos!$J$1:$J$363,Movimientos!$C$1:$C$363,$B24,Movimientos!$D$1:$D$363,$C24,Movimientos!$L$1:$L$363,A$3,Movimientos!$F$1:$F$363,"Ingreso")</f>
        <v>0</v>
      </c>
      <c r="K24" s="46">
        <f>SUMIFS(Movimientos!$J$1:$J$363,Movimientos!$C$1:$C$363,$B24,Movimientos!$D$1:$D$363,$C24,Movimientos!$L$1:$L$363,A$3,Movimientos!$F$1:$F$363,"Egreso")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6">
        <f>SUMIFS(Movimientos!$J$1:$J$363,Movimientos!$C$1:$C$363,$B24,Movimientos!$D$1:$D$363,$C24,Movimientos!$L$1:$L$363,A$4,Movimientos!$F$1:$F$363,"Ingreso")</f>
        <v>0</v>
      </c>
      <c r="P24" s="46">
        <f>SUMIFS(Movimientos!$J$1:$J$363,Movimientos!$C$1:$C$363,$B24,Movimientos!$D$1:$D$363,$C24,Movimientos!$L$1:$L$363,A$4,Movimientos!$F$1:$F$363,"Egreso")</f>
        <v>0</v>
      </c>
      <c r="Q24" s="7">
        <f t="shared" si="1"/>
        <v>0</v>
      </c>
      <c r="R24" s="12">
        <f t="shared" si="6"/>
        <v>3349.94</v>
      </c>
    </row>
    <row r="25" spans="1:18" hidden="1" x14ac:dyDescent="0.3">
      <c r="A25" s="11"/>
      <c r="B25" s="11" t="s">
        <v>28</v>
      </c>
      <c r="C25" s="11" t="s">
        <v>117</v>
      </c>
      <c r="D25" s="18">
        <v>1968.99</v>
      </c>
      <c r="E25" s="46">
        <v>0</v>
      </c>
      <c r="F25" s="46">
        <v>0</v>
      </c>
      <c r="G25" s="17">
        <v>0</v>
      </c>
      <c r="H25" s="12">
        <f t="shared" si="2"/>
        <v>1968.99</v>
      </c>
      <c r="I25" s="54">
        <f t="shared" si="3"/>
        <v>1968.99</v>
      </c>
      <c r="J25" s="46">
        <f>SUMIFS(Movimientos!$J$1:$J$363,Movimientos!$C$1:$C$363,$B25,Movimientos!$D$1:$D$363,$C25,Movimientos!$L$1:$L$363,A$3,Movimientos!$F$1:$F$363,"Ingreso")</f>
        <v>0</v>
      </c>
      <c r="K25" s="46">
        <f>SUMIFS(Movimientos!$J$1:$J$363,Movimientos!$C$1:$C$363,$B25,Movimientos!$D$1:$D$363,$C25,Movimientos!$L$1:$L$363,A$3,Movimientos!$F$1:$F$363,"Egreso")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6">
        <f>SUMIFS(Movimientos!$J$1:$J$363,Movimientos!$C$1:$C$363,$B25,Movimientos!$D$1:$D$363,$C25,Movimientos!$L$1:$L$363,A$4,Movimientos!$F$1:$F$363,"Ingreso")</f>
        <v>0</v>
      </c>
      <c r="P25" s="46">
        <f>SUMIFS(Movimientos!$J$1:$J$363,Movimientos!$C$1:$C$363,$B25,Movimientos!$D$1:$D$363,$C25,Movimientos!$L$1:$L$363,A$4,Movimientos!$F$1:$F$363,"Egreso")</f>
        <v>0</v>
      </c>
      <c r="Q25" s="7">
        <f t="shared" si="1"/>
        <v>0</v>
      </c>
      <c r="R25" s="12">
        <f t="shared" si="6"/>
        <v>1968.99</v>
      </c>
    </row>
    <row r="26" spans="1:18" hidden="1" x14ac:dyDescent="0.3">
      <c r="A26" s="11"/>
      <c r="B26" s="11" t="s">
        <v>29</v>
      </c>
      <c r="C26" s="11" t="s">
        <v>118</v>
      </c>
      <c r="D26" s="18">
        <v>0</v>
      </c>
      <c r="E26" s="46">
        <v>0</v>
      </c>
      <c r="F26" s="46">
        <v>0</v>
      </c>
      <c r="G26" s="17">
        <v>0</v>
      </c>
      <c r="H26" s="12">
        <f t="shared" si="2"/>
        <v>0</v>
      </c>
      <c r="I26" s="54">
        <f t="shared" si="3"/>
        <v>0</v>
      </c>
      <c r="J26" s="46">
        <f>SUMIFS(Movimientos!$J$1:$J$363,Movimientos!$C$1:$C$363,$B26,Movimientos!$D$1:$D$363,$C26,Movimientos!$L$1:$L$363,A$3,Movimientos!$F$1:$F$363,"Ingreso")</f>
        <v>0</v>
      </c>
      <c r="K26" s="46">
        <f>SUMIFS(Movimientos!$J$1:$J$363,Movimientos!$C$1:$C$363,$B26,Movimientos!$D$1:$D$363,$C26,Movimientos!$L$1:$L$363,A$3,Movimientos!$F$1:$F$363,"Egreso")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6">
        <f>SUMIFS(Movimientos!$J$1:$J$363,Movimientos!$C$1:$C$363,$B26,Movimientos!$D$1:$D$363,$C26,Movimientos!$L$1:$L$363,A$4,Movimientos!$F$1:$F$363,"Ingreso")</f>
        <v>0</v>
      </c>
      <c r="P26" s="46">
        <f>SUMIFS(Movimientos!$J$1:$J$363,Movimientos!$C$1:$C$363,$B26,Movimientos!$D$1:$D$363,$C26,Movimientos!$L$1:$L$363,A$4,Movimientos!$F$1:$F$363,"Egreso")</f>
        <v>0</v>
      </c>
      <c r="Q26" s="7">
        <f t="shared" si="1"/>
        <v>0</v>
      </c>
      <c r="R26" s="12">
        <f t="shared" si="6"/>
        <v>0</v>
      </c>
    </row>
    <row r="27" spans="1:18" hidden="1" x14ac:dyDescent="0.3">
      <c r="A27" s="11"/>
      <c r="B27" s="11" t="s">
        <v>29</v>
      </c>
      <c r="C27" s="11" t="s">
        <v>119</v>
      </c>
      <c r="D27" s="18">
        <v>901.34</v>
      </c>
      <c r="E27" s="46">
        <v>0</v>
      </c>
      <c r="F27" s="46">
        <v>0</v>
      </c>
      <c r="G27" s="17">
        <v>0</v>
      </c>
      <c r="H27" s="12">
        <f t="shared" si="2"/>
        <v>901.34</v>
      </c>
      <c r="I27" s="54">
        <f t="shared" si="3"/>
        <v>901.34</v>
      </c>
      <c r="J27" s="46">
        <f>SUMIFS(Movimientos!$J$1:$J$363,Movimientos!$C$1:$C$363,$B27,Movimientos!$D$1:$D$363,$C27,Movimientos!$L$1:$L$363,A$3,Movimientos!$F$1:$F$363,"Ingreso")</f>
        <v>0</v>
      </c>
      <c r="K27" s="46">
        <f>SUMIFS(Movimientos!$J$1:$J$363,Movimientos!$C$1:$C$363,$B27,Movimientos!$D$1:$D$363,$C27,Movimientos!$L$1:$L$363,A$3,Movimientos!$F$1:$F$363,"Egreso")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6">
        <f>SUMIFS(Movimientos!$J$1:$J$363,Movimientos!$C$1:$C$363,$B27,Movimientos!$D$1:$D$363,$C27,Movimientos!$L$1:$L$363,A$4,Movimientos!$F$1:$F$363,"Ingreso")</f>
        <v>0</v>
      </c>
      <c r="P27" s="46">
        <f>SUMIFS(Movimientos!$J$1:$J$363,Movimientos!$C$1:$C$363,$B27,Movimientos!$D$1:$D$363,$C27,Movimientos!$L$1:$L$363,A$4,Movimientos!$F$1:$F$363,"Egreso")</f>
        <v>0</v>
      </c>
      <c r="Q27" s="7">
        <f t="shared" si="1"/>
        <v>0</v>
      </c>
      <c r="R27" s="12">
        <f t="shared" si="6"/>
        <v>382.69000000000005</v>
      </c>
    </row>
    <row r="28" spans="1:18" hidden="1" x14ac:dyDescent="0.3">
      <c r="A28" s="11"/>
      <c r="B28" s="11" t="s">
        <v>30</v>
      </c>
      <c r="C28" s="11" t="s">
        <v>120</v>
      </c>
      <c r="D28" s="18">
        <v>1460.08</v>
      </c>
      <c r="E28" s="46">
        <v>0</v>
      </c>
      <c r="F28" s="46">
        <v>16</v>
      </c>
      <c r="G28" s="17">
        <v>-16</v>
      </c>
      <c r="H28" s="12">
        <f t="shared" si="2"/>
        <v>1444.08</v>
      </c>
      <c r="I28" s="54">
        <f t="shared" si="3"/>
        <v>1444.08</v>
      </c>
      <c r="J28" s="46">
        <f>SUMIFS(Movimientos!$J$1:$J$363,Movimientos!$C$1:$C$363,$B28,Movimientos!$D$1:$D$363,$C28,Movimientos!$L$1:$L$363,A$3,Movimientos!$F$1:$F$363,"Ingreso")</f>
        <v>0</v>
      </c>
      <c r="K28" s="46">
        <f>SUMIFS(Movimientos!$J$1:$J$363,Movimientos!$C$1:$C$363,$B28,Movimientos!$D$1:$D$363,$C28,Movimientos!$L$1:$L$363,A$3,Movimientos!$F$1:$F$363,"Egreso")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6">
        <f>SUMIFS(Movimientos!$J$1:$J$363,Movimientos!$C$1:$C$363,$B28,Movimientos!$D$1:$D$363,$C28,Movimientos!$L$1:$L$363,A$4,Movimientos!$F$1:$F$363,"Ingreso")</f>
        <v>0</v>
      </c>
      <c r="P28" s="46">
        <f>SUMIFS(Movimientos!$J$1:$J$363,Movimientos!$C$1:$C$363,$B28,Movimientos!$D$1:$D$363,$C28,Movimientos!$L$1:$L$363,A$4,Movimientos!$F$1:$F$363,"Egreso")</f>
        <v>0</v>
      </c>
      <c r="Q28" s="7">
        <f t="shared" si="1"/>
        <v>0</v>
      </c>
      <c r="R28" s="12">
        <f t="shared" si="6"/>
        <v>1428.08</v>
      </c>
    </row>
    <row r="29" spans="1:18" hidden="1" x14ac:dyDescent="0.3">
      <c r="A29" s="11"/>
      <c r="B29" s="11" t="s">
        <v>31</v>
      </c>
      <c r="C29" s="11" t="s">
        <v>121</v>
      </c>
      <c r="D29" s="18">
        <v>26266.509999999962</v>
      </c>
      <c r="E29" s="46">
        <v>25250</v>
      </c>
      <c r="F29" s="46">
        <v>16408.330000000002</v>
      </c>
      <c r="G29" s="17">
        <v>8841.6699999999983</v>
      </c>
      <c r="H29" s="12">
        <f t="shared" si="2"/>
        <v>35108.179999999964</v>
      </c>
      <c r="I29" s="54">
        <f t="shared" si="3"/>
        <v>35108.179999999964</v>
      </c>
      <c r="J29" s="46">
        <f>SUMIFS(Movimientos!$J$1:$J$363,Movimientos!$C$1:$C$363,$B29,Movimientos!$D$1:$D$363,$C29,Movimientos!$L$1:$L$363,A$3,Movimientos!$F$1:$F$363,"Ingreso")</f>
        <v>5250</v>
      </c>
      <c r="K29" s="46">
        <f>SUMIFS(Movimientos!$J$1:$J$363,Movimientos!$C$1:$C$363,$B29,Movimientos!$D$1:$D$363,$C29,Movimientos!$L$1:$L$363,A$3,Movimientos!$F$1:$F$363,"Egreso")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6">
        <f>SUMIFS(Movimientos!$J$1:$J$363,Movimientos!$C$1:$C$363,$B29,Movimientos!$D$1:$D$363,$C29,Movimientos!$L$1:$L$363,A$4,Movimientos!$F$1:$F$363,"Ingreso")</f>
        <v>0</v>
      </c>
      <c r="P29" s="46">
        <f>SUMIFS(Movimientos!$J$1:$J$363,Movimientos!$C$1:$C$363,$B29,Movimientos!$D$1:$D$363,$C29,Movimientos!$L$1:$L$363,A$4,Movimientos!$F$1:$F$363,"Egreso")</f>
        <v>0</v>
      </c>
      <c r="Q29" s="7">
        <f t="shared" si="1"/>
        <v>0</v>
      </c>
      <c r="R29" s="12">
        <f t="shared" si="6"/>
        <v>30709.549999999967</v>
      </c>
    </row>
    <row r="30" spans="1:18" hidden="1" x14ac:dyDescent="0.3">
      <c r="A30" s="11"/>
      <c r="B30" s="11" t="s">
        <v>31</v>
      </c>
      <c r="C30" s="11" t="s">
        <v>122</v>
      </c>
      <c r="D30" s="18">
        <v>350.42</v>
      </c>
      <c r="E30" s="46">
        <v>0</v>
      </c>
      <c r="F30" s="46">
        <v>10</v>
      </c>
      <c r="G30" s="17">
        <v>-10</v>
      </c>
      <c r="H30" s="12">
        <f t="shared" si="2"/>
        <v>340.42</v>
      </c>
      <c r="I30" s="54">
        <f t="shared" si="3"/>
        <v>340.42</v>
      </c>
      <c r="J30" s="46">
        <f>SUMIFS(Movimientos!$J$1:$J$363,Movimientos!$C$1:$C$363,$B30,Movimientos!$D$1:$D$363,$C30,Movimientos!$L$1:$L$363,A$3,Movimientos!$F$1:$F$363,"Ingreso")</f>
        <v>0</v>
      </c>
      <c r="K30" s="46">
        <f>SUMIFS(Movimientos!$J$1:$J$363,Movimientos!$C$1:$C$363,$B30,Movimientos!$D$1:$D$363,$C30,Movimientos!$L$1:$L$363,A$3,Movimientos!$F$1:$F$363,"Egreso")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6">
        <f>SUMIFS(Movimientos!$J$1:$J$363,Movimientos!$C$1:$C$363,$B30,Movimientos!$D$1:$D$363,$C30,Movimientos!$L$1:$L$363,A$4,Movimientos!$F$1:$F$363,"Ingreso")</f>
        <v>0</v>
      </c>
      <c r="P30" s="46">
        <f>SUMIFS(Movimientos!$J$1:$J$363,Movimientos!$C$1:$C$363,$B30,Movimientos!$D$1:$D$363,$C30,Movimientos!$L$1:$L$363,A$4,Movimientos!$F$1:$F$363,"Egreso")</f>
        <v>0</v>
      </c>
      <c r="Q30" s="7">
        <f t="shared" si="1"/>
        <v>0</v>
      </c>
      <c r="R30" s="12">
        <f t="shared" si="6"/>
        <v>330.42</v>
      </c>
    </row>
    <row r="31" spans="1:18" hidden="1" x14ac:dyDescent="0.3">
      <c r="A31" s="11"/>
      <c r="B31" s="11" t="s">
        <v>32</v>
      </c>
      <c r="C31" s="11" t="s">
        <v>123</v>
      </c>
      <c r="D31" s="18">
        <v>9902.5400000000009</v>
      </c>
      <c r="E31" s="46">
        <v>16750</v>
      </c>
      <c r="F31" s="46">
        <v>11532.48</v>
      </c>
      <c r="G31" s="17">
        <v>5217.5200000000004</v>
      </c>
      <c r="H31" s="12">
        <f t="shared" si="2"/>
        <v>15120.060000000001</v>
      </c>
      <c r="I31" s="54">
        <f t="shared" si="3"/>
        <v>15120.060000000001</v>
      </c>
      <c r="J31" s="46">
        <f>SUMIFS(Movimientos!$J$1:$J$363,Movimientos!$C$1:$C$363,$B31,Movimientos!$D$1:$D$363,$C31,Movimientos!$L$1:$L$363,A$3,Movimientos!$F$1:$F$363,"Ingreso")</f>
        <v>15000</v>
      </c>
      <c r="K31" s="46">
        <f>SUMIFS(Movimientos!$J$1:$J$363,Movimientos!$C$1:$C$363,$B31,Movimientos!$D$1:$D$363,$C31,Movimientos!$L$1:$L$363,A$3,Movimientos!$F$1:$F$363,"Egreso")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6">
        <f>SUMIFS(Movimientos!$J$1:$J$363,Movimientos!$C$1:$C$363,$B31,Movimientos!$D$1:$D$363,$C31,Movimientos!$L$1:$L$363,A$4,Movimientos!$F$1:$F$363,"Ingreso")</f>
        <v>0</v>
      </c>
      <c r="P31" s="46">
        <f>SUMIFS(Movimientos!$J$1:$J$363,Movimientos!$C$1:$C$363,$B31,Movimientos!$D$1:$D$363,$C31,Movimientos!$L$1:$L$363,A$4,Movimientos!$F$1:$F$363,"Egreso")</f>
        <v>0</v>
      </c>
      <c r="Q31" s="7">
        <f t="shared" si="1"/>
        <v>0</v>
      </c>
      <c r="R31" s="12">
        <f t="shared" si="6"/>
        <v>20321.43</v>
      </c>
    </row>
    <row r="32" spans="1:18" hidden="1" x14ac:dyDescent="0.3">
      <c r="A32" s="11"/>
      <c r="B32" s="11" t="s">
        <v>33</v>
      </c>
      <c r="C32" s="11" t="s">
        <v>124</v>
      </c>
      <c r="D32" s="18">
        <v>25061.43</v>
      </c>
      <c r="E32" s="46">
        <v>21650</v>
      </c>
      <c r="F32" s="46">
        <v>13105.160000000002</v>
      </c>
      <c r="G32" s="17">
        <v>8544.8399999999983</v>
      </c>
      <c r="H32" s="12">
        <f t="shared" si="2"/>
        <v>33606.269999999997</v>
      </c>
      <c r="I32" s="54">
        <f t="shared" si="3"/>
        <v>33606.269999999997</v>
      </c>
      <c r="J32" s="46">
        <f>SUMIFS(Movimientos!$J$1:$J$363,Movimientos!$C$1:$C$363,$B32,Movimientos!$D$1:$D$363,$C32,Movimientos!$L$1:$L$363,A$3,Movimientos!$F$1:$F$363,"Ingreso")</f>
        <v>0</v>
      </c>
      <c r="K32" s="46">
        <f>SUMIFS(Movimientos!$J$1:$J$363,Movimientos!$C$1:$C$363,$B32,Movimientos!$D$1:$D$363,$C32,Movimientos!$L$1:$L$363,A$3,Movimientos!$F$1:$F$363,"Egreso")</f>
        <v>16924.919999999998</v>
      </c>
      <c r="L32" s="7">
        <f t="shared" si="0"/>
        <v>-16924.919999999998</v>
      </c>
      <c r="M32" s="12">
        <f t="shared" si="4"/>
        <v>16681.349999999999</v>
      </c>
      <c r="N32" s="5">
        <f t="shared" si="5"/>
        <v>16681.349999999999</v>
      </c>
      <c r="O32" s="46">
        <f>SUMIFS(Movimientos!$J$1:$J$363,Movimientos!$C$1:$C$363,$B32,Movimientos!$D$1:$D$363,$C32,Movimientos!$L$1:$L$363,A$4,Movimientos!$F$1:$F$363,"Ingreso")</f>
        <v>0</v>
      </c>
      <c r="P32" s="46">
        <f>SUMIFS(Movimientos!$J$1:$J$363,Movimientos!$C$1:$C$363,$B32,Movimientos!$D$1:$D$363,$C32,Movimientos!$L$1:$L$363,A$4,Movimientos!$F$1:$F$363,"Egreso")</f>
        <v>0</v>
      </c>
      <c r="Q32" s="7">
        <f t="shared" si="1"/>
        <v>0</v>
      </c>
      <c r="R32" s="12">
        <f t="shared" si="6"/>
        <v>16681.349999999999</v>
      </c>
    </row>
    <row r="33" spans="1:18" hidden="1" x14ac:dyDescent="0.3">
      <c r="A33" s="11"/>
      <c r="B33" s="11" t="s">
        <v>34</v>
      </c>
      <c r="C33" s="11" t="s">
        <v>125</v>
      </c>
      <c r="D33" s="18">
        <v>345</v>
      </c>
      <c r="E33" s="46">
        <v>10000</v>
      </c>
      <c r="F33" s="46">
        <v>10000</v>
      </c>
      <c r="G33" s="17">
        <v>0</v>
      </c>
      <c r="H33" s="12">
        <f t="shared" si="2"/>
        <v>345</v>
      </c>
      <c r="I33" s="54">
        <f t="shared" si="3"/>
        <v>345</v>
      </c>
      <c r="J33" s="46">
        <f>SUMIFS(Movimientos!$J$1:$J$363,Movimientos!$C$1:$C$363,$B33,Movimientos!$D$1:$D$363,$C33,Movimientos!$L$1:$L$363,A$3,Movimientos!$F$1:$F$363,"Ingreso")</f>
        <v>59000</v>
      </c>
      <c r="K33" s="46">
        <f>SUMIFS(Movimientos!$J$1:$J$363,Movimientos!$C$1:$C$363,$B33,Movimientos!$D$1:$D$363,$C33,Movimientos!$L$1:$L$363,A$3,Movimientos!$F$1:$F$363,"Egreso")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6">
        <f>SUMIFS(Movimientos!$J$1:$J$363,Movimientos!$C$1:$C$363,$B33,Movimientos!$D$1:$D$363,$C33,Movimientos!$L$1:$L$363,A$4,Movimientos!$F$1:$F$363,"Ingreso")</f>
        <v>0</v>
      </c>
      <c r="P33" s="46">
        <f>SUMIFS(Movimientos!$J$1:$J$363,Movimientos!$C$1:$C$363,$B33,Movimientos!$D$1:$D$363,$C33,Movimientos!$L$1:$L$363,A$4,Movimientos!$F$1:$F$363,"Egreso")</f>
        <v>0</v>
      </c>
      <c r="Q33" s="7">
        <f t="shared" si="1"/>
        <v>0</v>
      </c>
      <c r="R33" s="12">
        <f t="shared" si="6"/>
        <v>345</v>
      </c>
    </row>
    <row r="34" spans="1:18" hidden="1" x14ac:dyDescent="0.3">
      <c r="A34" s="11"/>
      <c r="B34" s="11" t="s">
        <v>35</v>
      </c>
      <c r="C34" s="11" t="s">
        <v>126</v>
      </c>
      <c r="D34" s="18">
        <v>13656.26</v>
      </c>
      <c r="E34" s="46">
        <v>55000</v>
      </c>
      <c r="F34" s="46">
        <v>59580.020000000004</v>
      </c>
      <c r="G34" s="17">
        <v>-4580.0200000000041</v>
      </c>
      <c r="H34" s="12">
        <f t="shared" si="2"/>
        <v>9076.2399999999907</v>
      </c>
      <c r="I34" s="54">
        <f t="shared" si="3"/>
        <v>9076.2399999999907</v>
      </c>
      <c r="J34" s="46">
        <f>SUMIFS(Movimientos!$J$1:$J$363,Movimientos!$C$1:$C$363,$B34,Movimientos!$D$1:$D$363,$C34,Movimientos!$L$1:$L$363,A$3,Movimientos!$F$1:$F$363,"Ingreso")</f>
        <v>59000</v>
      </c>
      <c r="K34" s="46">
        <f>SUMIFS(Movimientos!$J$1:$J$363,Movimientos!$C$1:$C$363,$B34,Movimientos!$D$1:$D$363,$C34,Movimientos!$L$1:$L$363,A$3,Movimientos!$F$1:$F$363,"Egreso")</f>
        <v>23035.23</v>
      </c>
      <c r="L34" s="7">
        <f t="shared" si="0"/>
        <v>35964.770000000004</v>
      </c>
      <c r="M34" s="12">
        <f t="shared" si="4"/>
        <v>45041.009999999995</v>
      </c>
      <c r="N34" s="5">
        <f t="shared" si="5"/>
        <v>45041.009999999995</v>
      </c>
      <c r="O34" s="46">
        <f>SUMIFS(Movimientos!$J$1:$J$363,Movimientos!$C$1:$C$363,$B34,Movimientos!$D$1:$D$363,$C34,Movimientos!$L$1:$L$363,A$4,Movimientos!$F$1:$F$363,"Ingreso")</f>
        <v>0</v>
      </c>
      <c r="P34" s="46">
        <f>SUMIFS(Movimientos!$J$1:$J$363,Movimientos!$C$1:$C$363,$B34,Movimientos!$D$1:$D$363,$C34,Movimientos!$L$1:$L$363,A$4,Movimientos!$F$1:$F$363,"Egreso")</f>
        <v>0</v>
      </c>
      <c r="Q34" s="7">
        <f t="shared" si="1"/>
        <v>0</v>
      </c>
      <c r="R34" s="12">
        <f t="shared" si="6"/>
        <v>45041.009999999995</v>
      </c>
    </row>
    <row r="35" spans="1:18" x14ac:dyDescent="0.3">
      <c r="C35" s="38"/>
    </row>
  </sheetData>
  <autoFilter ref="A1:C34" xr:uid="{00000000-0001-0000-0200-000000000000}">
    <filterColumn colId="2">
      <filters>
        <filter val="Amerant Bank  - SSP Capital - 4706-USD"/>
        <filter val="Amerant Bank DACA - SSP Capital - 9873-USD"/>
        <filter val="Amerant Bank Money Market - SSP Capital - 1006-USD"/>
        <filter val="Bank of America - SSP Capital - 1655-USD"/>
        <filter val="Bank of America - SSP Capital - 2580-USD"/>
        <filter val="EFG  - SSP Capital - 21.0-USD"/>
        <filter val="Northern Trust - SSP Capital - 1452-USD"/>
      </filters>
    </filterColumn>
  </autoFilter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H59" sqref="H59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Group")+SUMIFS(Movimientos!$K$1:$K$363,Movimientos!$C$1:$C$363,"CFT Group",Movimientos!$B$1:$B$363,"&lt;="&amp;$B33)</f>
        <v>983394.14000000013</v>
      </c>
      <c r="D33" s="24">
        <f>SUMIFS('Saldos Iniciales'!$D:$D,'Saldos Iniciales'!$A:$A,"M1B")+SUMIFS(Movimientos!$K$1:$K$363,Movimientos!$C$1:$C$363,"M1B",Movimientos!$B$1:$B$363,"&lt;="&amp;$B33)</f>
        <v>69376.390000000174</v>
      </c>
      <c r="E33" s="24">
        <f>SUMIFS('Saldos Iniciales'!$D:$D,'Saldos Iniciales'!$A:$A,"Durand")+SUMIFS(Movimientos!$K$1:$K$363,Movimientos!$C$1:$C$363,"Durand",Movimientos!$B$1:$B$363,"&lt;="&amp;$B33)</f>
        <v>1669.89</v>
      </c>
      <c r="F33" s="24">
        <f>SUMIFS('Saldos Iniciales'!$D:$D,'Saldos Iniciales'!$A:$A,"A&amp;M Imports")+SUMIFS(Movimientos!$K$1:$K$363,Movimientos!$C$1:$C$363,"A&amp;M Imports",Movimientos!$B$1:$B$363,"&lt;="&amp;$B33)</f>
        <v>804853.11999999988</v>
      </c>
      <c r="G33" s="24">
        <f>SUMIFS('Saldos Iniciales'!$D:$D,'Saldos Iniciales'!$A:$A,"SSP Capital")+SUMIFS(Movimientos!$K$1:$K$363,Movimientos!$C$1:$C$363,"SSP Capital",Movimientos!$B$1:$B$363,"&lt;="&amp;$B33)</f>
        <v>1015901.6699999992</v>
      </c>
      <c r="H33" s="24">
        <f>SUMIFS('Saldos Iniciales'!$D:$D,'Saldos Iniciales'!$A:$A,"Cross Family Trust")+SUMIFS(Movimientos!$K$1:$K$363,Movimientos!$C$1:$C$363,"Cross Family Trust",Movimientos!$B$1:$B$363,"&lt;="&amp;$B33)</f>
        <v>131496.38</v>
      </c>
      <c r="I33" s="24">
        <f>SUMIFS('Saldos Iniciales'!$D:$D,'Saldos Iniciales'!$A:$A,"Cross Security Trust")+SUMIFS(Movimientos!$K$1:$K$363,Movimientos!$C$1:$C$363,"Cross Security Trust",Movimientos!$B$1:$B$363,"&lt;="&amp;$B33)</f>
        <v>88090.37</v>
      </c>
      <c r="J33" s="24">
        <f>SUMIFS('Saldos Iniciales'!$D:$D,'Saldos Iniciales'!$A:$A,"Electrama")+SUMIFS(Movimientos!$K$1:$K$363,Movimientos!$C$1:$C$363,"Electrama",Movimientos!$B$1:$B$363,"&lt;="&amp;$B33)</f>
        <v>1227.9699999999998</v>
      </c>
      <c r="K33" s="24">
        <f>SUMIFS('Saldos Iniciales'!$D:$D,'Saldos Iniciales'!$A:$A,"Sacred Valley Capital")+SUMIFS(Movimientos!$K$1:$K$363,Movimientos!$C$1:$C$363,"Sacred Valley Capital",Movimientos!$B$1:$B$363,"&lt;="&amp;$B33)</f>
        <v>84.35</v>
      </c>
      <c r="L33" s="24">
        <f>SUMIFS('Saldos Iniciales'!$D:$D,'Saldos Iniciales'!$A:$A,"YWC Capital")+SUMIFS(Movimientos!$K$1:$K$363,Movimientos!$C$1:$C$363,"YWC Capital",Movimientos!$B$1:$B$363,"&lt;="&amp;$B33)</f>
        <v>2237.77</v>
      </c>
      <c r="M33" s="24">
        <f>SUMIFS('Saldos Iniciales'!$D:$D,'Saldos Iniciales'!$A:$A,"Soweto")+SUMIFS(Movimientos!$K$1:$K$363,Movimientos!$C$1:$C$363,"Soweto",Movimientos!$B$1:$B$363,"&lt;="&amp;$B33)</f>
        <v>3349.94</v>
      </c>
      <c r="N33" s="24">
        <f>SUMIFS('Saldos Iniciales'!$D:$D,'Saldos Iniciales'!$A:$A,"Green Stone Trust")+SUMIFS(Movimientos!$K$1:$K$363,Movimientos!$C$1:$C$363,"Green Stone Trust",Movimientos!$B$1:$B$363,"&lt;="&amp;$B33)</f>
        <v>1968.99</v>
      </c>
      <c r="O33" s="24">
        <f>SUMIFS('Saldos Iniciales'!$D:$D,'Saldos Iniciales'!$A:$A,"EC Auto")+SUMIFS(Movimientos!$K$1:$K$363,Movimientos!$C$1:$C$363,"EC Auto",Movimientos!$B$1:$B$363,"&lt;="&amp;$B33)</f>
        <v>901.34</v>
      </c>
      <c r="P33" s="24">
        <f>SUMIFS('Saldos Iniciales'!$D:$D,'Saldos Iniciales'!$A:$A,"Arbor Capital Properties")+SUMIFS(Movimientos!$K$1:$K$363,Movimientos!$C$1:$C$363,"Arbor Capital Properties",Movimientos!$B$1:$B$363,"&lt;="&amp;$B33)</f>
        <v>1428.08</v>
      </c>
      <c r="Q33" s="24">
        <f>SUMIFS('Saldos Iniciales'!$D:$D,'Saldos Iniciales'!$A:$A,"2515 Overbrook")+SUMIFS(Movimientos!$K$1:$K$363,Movimientos!$C$1:$C$363,"2515 Overbrook",Movimientos!$B$1:$B$363,"&lt;="&amp;$B33)</f>
        <v>26416.26999999996</v>
      </c>
      <c r="R33" s="24">
        <f>SUMIFS('Saldos Iniciales'!$D:$D,'Saldos Iniciales'!$A:$A,"112 Florida Ave")+SUMIFS(Movimientos!$K$1:$K$363,Movimientos!$C$1:$C$363,"112 Florida Ave",Movimientos!$B$1:$B$363,"&lt;="&amp;$B33)</f>
        <v>5321.4300000000021</v>
      </c>
      <c r="S33" s="24">
        <f>SUMIFS('Saldos Iniciales'!$D:$D,'Saldos Iniciales'!$A:$A,"3628 Thomas Ave")+SUMIFS(Movimientos!$K$1:$K$363,Movimientos!$C$1:$C$363,"3628 Thomas Ave",Movimientos!$B$1:$B$363,"&lt;="&amp;$B33)</f>
        <v>24833.23</v>
      </c>
      <c r="T33" s="24">
        <f>SUMIFS('Saldos Iniciales'!$D:$D,'Saldos Iniciales'!$A:$A,"Green Harbor Trust")+SUMIFS(Movimientos!$K$1:$K$363,Movimientos!$C$1:$C$363,"Green Harbor Trust",Movimientos!$B$1:$B$363,"&lt;="&amp;$B33)</f>
        <v>345</v>
      </c>
      <c r="U33" s="24">
        <f>SUMIFS('Saldos Iniciales'!$D:$D,'Saldos Iniciales'!$A:$A,"Go Blue")+SUMIFS(Movimientos!$K$1:$K$363,Movimientos!$C$1:$C$363,"Go Blue",Movimientos!$B$1:$B$363,"&lt;="&amp;$B33)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Group")+SUMIFS(Movimientos!$K$1:$K$363,Movimientos!$C$1:$C$363,"CFT Group",Movimientos!$B$1:$B$363,"&lt;="&amp;$B34)</f>
        <v>983394.14000000013</v>
      </c>
      <c r="D34" s="24">
        <f>SUMIFS('Saldos Iniciales'!$D:$D,'Saldos Iniciales'!$A:$A,"M1B")+SUMIFS(Movimientos!$K$1:$K$363,Movimientos!$C$1:$C$363,"M1B",Movimientos!$B$1:$B$363,"&lt;="&amp;$B34)</f>
        <v>69376.390000000174</v>
      </c>
      <c r="E34" s="24">
        <f>SUMIFS('Saldos Iniciales'!$D:$D,'Saldos Iniciales'!$A:$A,"Durand")+SUMIFS(Movimientos!$K$1:$K$363,Movimientos!$C$1:$C$363,"Durand",Movimientos!$B$1:$B$363,"&lt;="&amp;$B34)</f>
        <v>1669.89</v>
      </c>
      <c r="F34" s="24">
        <f>SUMIFS('Saldos Iniciales'!$D:$D,'Saldos Iniciales'!$A:$A,"A&amp;M Imports")+SUMIFS(Movimientos!$K$1:$K$363,Movimientos!$C$1:$C$363,"A&amp;M Imports",Movimientos!$B$1:$B$363,"&lt;="&amp;$B34)</f>
        <v>804853.11999999988</v>
      </c>
      <c r="G34" s="24">
        <f>SUMIFS('Saldos Iniciales'!$D:$D,'Saldos Iniciales'!$A:$A,"SSP Capital")+SUMIFS(Movimientos!$K$1:$K$363,Movimientos!$C$1:$C$363,"SSP Capital",Movimientos!$B$1:$B$363,"&lt;="&amp;$B34)</f>
        <v>1015901.6699999992</v>
      </c>
      <c r="H34" s="24">
        <f>SUMIFS('Saldos Iniciales'!$D:$D,'Saldos Iniciales'!$A:$A,"Cross Family Trust")+SUMIFS(Movimientos!$K$1:$K$363,Movimientos!$C$1:$C$363,"Cross Family Trust",Movimientos!$B$1:$B$363,"&lt;="&amp;$B34)</f>
        <v>131496.38</v>
      </c>
      <c r="I34" s="24">
        <f>SUMIFS('Saldos Iniciales'!$D:$D,'Saldos Iniciales'!$A:$A,"Cross Security Trust")+SUMIFS(Movimientos!$K$1:$K$363,Movimientos!$C$1:$C$363,"Cross Security Trust",Movimientos!$B$1:$B$363,"&lt;="&amp;$B34)</f>
        <v>88090.37</v>
      </c>
      <c r="J34" s="24">
        <f>SUMIFS('Saldos Iniciales'!$D:$D,'Saldos Iniciales'!$A:$A,"Electrama")+SUMIFS(Movimientos!$K$1:$K$363,Movimientos!$C$1:$C$363,"Electrama",Movimientos!$B$1:$B$363,"&lt;="&amp;$B34)</f>
        <v>1227.9699999999998</v>
      </c>
      <c r="K34" s="24">
        <f>SUMIFS('Saldos Iniciales'!$D:$D,'Saldos Iniciales'!$A:$A,"Sacred Valley Capital")+SUMIFS(Movimientos!$K$1:$K$363,Movimientos!$C$1:$C$363,"Sacred Valley Capital",Movimientos!$B$1:$B$363,"&lt;="&amp;$B34)</f>
        <v>84.35</v>
      </c>
      <c r="L34" s="24">
        <f>SUMIFS('Saldos Iniciales'!$D:$D,'Saldos Iniciales'!$A:$A,"YWC Capital")+SUMIFS(Movimientos!$K$1:$K$363,Movimientos!$C$1:$C$363,"YWC Capital",Movimientos!$B$1:$B$363,"&lt;="&amp;$B34)</f>
        <v>2237.77</v>
      </c>
      <c r="M34" s="24">
        <f>SUMIFS('Saldos Iniciales'!$D:$D,'Saldos Iniciales'!$A:$A,"Soweto")+SUMIFS(Movimientos!$K$1:$K$363,Movimientos!$C$1:$C$363,"Soweto",Movimientos!$B$1:$B$363,"&lt;="&amp;$B34)</f>
        <v>3349.94</v>
      </c>
      <c r="N34" s="24">
        <f>SUMIFS('Saldos Iniciales'!$D:$D,'Saldos Iniciales'!$A:$A,"Green Stone Trust")+SUMIFS(Movimientos!$K$1:$K$363,Movimientos!$C$1:$C$363,"Green Stone Trust",Movimientos!$B$1:$B$363,"&lt;="&amp;$B34)</f>
        <v>1968.99</v>
      </c>
      <c r="O34" s="24">
        <f>SUMIFS('Saldos Iniciales'!$D:$D,'Saldos Iniciales'!$A:$A,"EC Auto")+SUMIFS(Movimientos!$K$1:$K$363,Movimientos!$C$1:$C$363,"EC Auto",Movimientos!$B$1:$B$363,"&lt;="&amp;$B34)</f>
        <v>901.34</v>
      </c>
      <c r="P34" s="24">
        <f>SUMIFS('Saldos Iniciales'!$D:$D,'Saldos Iniciales'!$A:$A,"Arbor Capital Properties")+SUMIFS(Movimientos!$K$1:$K$363,Movimientos!$C$1:$C$363,"Arbor Capital Properties",Movimientos!$B$1:$B$363,"&lt;="&amp;$B34)</f>
        <v>1428.08</v>
      </c>
      <c r="Q34" s="24">
        <f>SUMIFS('Saldos Iniciales'!$D:$D,'Saldos Iniciales'!$A:$A,"2515 Overbrook")+SUMIFS(Movimientos!$K$1:$K$363,Movimientos!$C$1:$C$363,"2515 Overbrook",Movimientos!$B$1:$B$363,"&lt;="&amp;$B34)</f>
        <v>25789.969999999961</v>
      </c>
      <c r="R34" s="24">
        <f>SUMIFS('Saldos Iniciales'!$D:$D,'Saldos Iniciales'!$A:$A,"112 Florida Ave")+SUMIFS(Movimientos!$K$1:$K$363,Movimientos!$C$1:$C$363,"112 Florida Ave",Movimientos!$B$1:$B$363,"&lt;="&amp;$B34)</f>
        <v>5321.4300000000021</v>
      </c>
      <c r="S34" s="24">
        <f>SUMIFS('Saldos Iniciales'!$D:$D,'Saldos Iniciales'!$A:$A,"3628 Thomas Ave")+SUMIFS(Movimientos!$K$1:$K$363,Movimientos!$C$1:$C$363,"3628 Thomas Ave",Movimientos!$B$1:$B$363,"&lt;="&amp;$B34)</f>
        <v>24833.23</v>
      </c>
      <c r="T34" s="24">
        <f>SUMIFS('Saldos Iniciales'!$D:$D,'Saldos Iniciales'!$A:$A,"Green Harbor Trust")+SUMIFS(Movimientos!$K$1:$K$363,Movimientos!$C$1:$C$363,"Green Harbor Trust",Movimientos!$B$1:$B$363,"&lt;="&amp;$B34)</f>
        <v>345</v>
      </c>
      <c r="U34" s="24">
        <f>SUMIFS('Saldos Iniciales'!$D:$D,'Saldos Iniciales'!$A:$A,"Go Blue")+SUMIFS(Movimientos!$K$1:$K$363,Movimientos!$C$1:$C$363,"Go Blue",Movimientos!$B$1:$B$363,"&lt;="&amp;$B34)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Group")+SUMIFS(Movimientos!$K$1:$K$363,Movimientos!$C$1:$C$363,"CFT Group",Movimientos!$B$1:$B$363,"&lt;="&amp;$B35)</f>
        <v>983394.14000000013</v>
      </c>
      <c r="D35" s="24">
        <f>SUMIFS('Saldos Iniciales'!$D:$D,'Saldos Iniciales'!$A:$A,"M1B")+SUMIFS(Movimientos!$K$1:$K$363,Movimientos!$C$1:$C$363,"M1B",Movimientos!$B$1:$B$363,"&lt;="&amp;$B35)</f>
        <v>69376.390000000174</v>
      </c>
      <c r="E35" s="24">
        <f>SUMIFS('Saldos Iniciales'!$D:$D,'Saldos Iniciales'!$A:$A,"Durand")+SUMIFS(Movimientos!$K$1:$K$363,Movimientos!$C$1:$C$363,"Durand",Movimientos!$B$1:$B$363,"&lt;="&amp;$B35)</f>
        <v>1669.89</v>
      </c>
      <c r="F35" s="24">
        <f>SUMIFS('Saldos Iniciales'!$D:$D,'Saldos Iniciales'!$A:$A,"A&amp;M Imports")+SUMIFS(Movimientos!$K$1:$K$363,Movimientos!$C$1:$C$363,"A&amp;M Imports",Movimientos!$B$1:$B$363,"&lt;="&amp;$B35)</f>
        <v>804853.11999999988</v>
      </c>
      <c r="G35" s="24">
        <f>SUMIFS('Saldos Iniciales'!$D:$D,'Saldos Iniciales'!$A:$A,"SSP Capital")+SUMIFS(Movimientos!$K$1:$K$363,Movimientos!$C$1:$C$363,"SSP Capital",Movimientos!$B$1:$B$363,"&lt;="&amp;$B35)</f>
        <v>1015611.6599999993</v>
      </c>
      <c r="H35" s="24">
        <f>SUMIFS('Saldos Iniciales'!$D:$D,'Saldos Iniciales'!$A:$A,"Cross Family Trust")+SUMIFS(Movimientos!$K$1:$K$363,Movimientos!$C$1:$C$363,"Cross Family Trust",Movimientos!$B$1:$B$363,"&lt;="&amp;$B35)</f>
        <v>125496.38</v>
      </c>
      <c r="I35" s="24">
        <f>SUMIFS('Saldos Iniciales'!$D:$D,'Saldos Iniciales'!$A:$A,"Cross Security Trust")+SUMIFS(Movimientos!$K$1:$K$363,Movimientos!$C$1:$C$363,"Cross Security Trust",Movimientos!$B$1:$B$363,"&lt;="&amp;$B35)</f>
        <v>88090.37</v>
      </c>
      <c r="J35" s="24">
        <f>SUMIFS('Saldos Iniciales'!$D:$D,'Saldos Iniciales'!$A:$A,"Electrama")+SUMIFS(Movimientos!$K$1:$K$363,Movimientos!$C$1:$C$363,"Electrama",Movimientos!$B$1:$B$363,"&lt;="&amp;$B35)</f>
        <v>1227.9699999999998</v>
      </c>
      <c r="K35" s="24">
        <f>SUMIFS('Saldos Iniciales'!$D:$D,'Saldos Iniciales'!$A:$A,"Sacred Valley Capital")+SUMIFS(Movimientos!$K$1:$K$363,Movimientos!$C$1:$C$363,"Sacred Valley Capital",Movimientos!$B$1:$B$363,"&lt;="&amp;$B35)</f>
        <v>84.35</v>
      </c>
      <c r="L35" s="24">
        <f>SUMIFS('Saldos Iniciales'!$D:$D,'Saldos Iniciales'!$A:$A,"YWC Capital")+SUMIFS(Movimientos!$K$1:$K$363,Movimientos!$C$1:$C$363,"YWC Capital",Movimientos!$B$1:$B$363,"&lt;="&amp;$B35)</f>
        <v>2237.77</v>
      </c>
      <c r="M35" s="24">
        <f>SUMIFS('Saldos Iniciales'!$D:$D,'Saldos Iniciales'!$A:$A,"Soweto")+SUMIFS(Movimientos!$K$1:$K$363,Movimientos!$C$1:$C$363,"Soweto",Movimientos!$B$1:$B$363,"&lt;="&amp;$B35)</f>
        <v>3349.94</v>
      </c>
      <c r="N35" s="24">
        <f>SUMIFS('Saldos Iniciales'!$D:$D,'Saldos Iniciales'!$A:$A,"Green Stone Trust")+SUMIFS(Movimientos!$K$1:$K$363,Movimientos!$C$1:$C$363,"Green Stone Trust",Movimientos!$B$1:$B$363,"&lt;="&amp;$B35)</f>
        <v>1968.99</v>
      </c>
      <c r="O35" s="24">
        <f>SUMIFS('Saldos Iniciales'!$D:$D,'Saldos Iniciales'!$A:$A,"EC Auto")+SUMIFS(Movimientos!$K$1:$K$363,Movimientos!$C$1:$C$363,"EC Auto",Movimientos!$B$1:$B$363,"&lt;="&amp;$B35)</f>
        <v>901.34</v>
      </c>
      <c r="P35" s="24">
        <f>SUMIFS('Saldos Iniciales'!$D:$D,'Saldos Iniciales'!$A:$A,"Arbor Capital Properties")+SUMIFS(Movimientos!$K$1:$K$363,Movimientos!$C$1:$C$363,"Arbor Capital Properties",Movimientos!$B$1:$B$363,"&lt;="&amp;$B35)</f>
        <v>1428.08</v>
      </c>
      <c r="Q35" s="24">
        <f>SUMIFS('Saldos Iniciales'!$D:$D,'Saldos Iniciales'!$A:$A,"2515 Overbrook")+SUMIFS(Movimientos!$K$1:$K$363,Movimientos!$C$1:$C$363,"2515 Overbrook",Movimientos!$B$1:$B$363,"&lt;="&amp;$B35)</f>
        <v>25789.969999999961</v>
      </c>
      <c r="R35" s="24">
        <f>SUMIFS('Saldos Iniciales'!$D:$D,'Saldos Iniciales'!$A:$A,"112 Florida Ave")+SUMIFS(Movimientos!$K$1:$K$363,Movimientos!$C$1:$C$363,"112 Florida Ave",Movimientos!$B$1:$B$363,"&lt;="&amp;$B35)</f>
        <v>5321.4300000000021</v>
      </c>
      <c r="S35" s="24">
        <f>SUMIFS('Saldos Iniciales'!$D:$D,'Saldos Iniciales'!$A:$A,"3628 Thomas Ave")+SUMIFS(Movimientos!$K$1:$K$363,Movimientos!$C$1:$C$363,"3628 Thomas Ave",Movimientos!$B$1:$B$363,"&lt;="&amp;$B35)</f>
        <v>24833.23</v>
      </c>
      <c r="T35" s="24">
        <f>SUMIFS('Saldos Iniciales'!$D:$D,'Saldos Iniciales'!$A:$A,"Green Harbor Trust")+SUMIFS(Movimientos!$K$1:$K$363,Movimientos!$C$1:$C$363,"Green Harbor Trust",Movimientos!$B$1:$B$363,"&lt;="&amp;$B35)</f>
        <v>345</v>
      </c>
      <c r="U35" s="24">
        <f>SUMIFS('Saldos Iniciales'!$D:$D,'Saldos Iniciales'!$A:$A,"Go Blue")+SUMIFS(Movimientos!$K$1:$K$363,Movimientos!$C$1:$C$363,"Go Blue",Movimientos!$B$1:$B$363,"&lt;="&amp;$B35)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Group")+SUMIFS(Movimientos!$K$1:$K$363,Movimientos!$C$1:$C$363,"CFT Group",Movimientos!$B$1:$B$363,"&lt;="&amp;$B36)</f>
        <v>733394.14000000013</v>
      </c>
      <c r="D36" s="24">
        <f>SUMIFS('Saldos Iniciales'!$D:$D,'Saldos Iniciales'!$A:$A,"M1B")+SUMIFS(Movimientos!$K$1:$K$363,Movimientos!$C$1:$C$363,"M1B",Movimientos!$B$1:$B$363,"&lt;="&amp;$B36)</f>
        <v>69376.390000000174</v>
      </c>
      <c r="E36" s="24">
        <f>SUMIFS('Saldos Iniciales'!$D:$D,'Saldos Iniciales'!$A:$A,"Durand")+SUMIFS(Movimientos!$K$1:$K$363,Movimientos!$C$1:$C$363,"Durand",Movimientos!$B$1:$B$363,"&lt;="&amp;$B36)</f>
        <v>1669.89</v>
      </c>
      <c r="F36" s="24">
        <f>SUMIFS('Saldos Iniciales'!$D:$D,'Saldos Iniciales'!$A:$A,"A&amp;M Imports")+SUMIFS(Movimientos!$K$1:$K$363,Movimientos!$C$1:$C$363,"A&amp;M Imports",Movimientos!$B$1:$B$363,"&lt;="&amp;$B36)</f>
        <v>729545.23999999987</v>
      </c>
      <c r="G36" s="24">
        <f>SUMIFS('Saldos Iniciales'!$D:$D,'Saldos Iniciales'!$A:$A,"SSP Capital")+SUMIFS(Movimientos!$K$1:$K$363,Movimientos!$C$1:$C$363,"SSP Capital",Movimientos!$B$1:$B$363,"&lt;="&amp;$B36)</f>
        <v>1171714.4499999993</v>
      </c>
      <c r="H36" s="24">
        <f>SUMIFS('Saldos Iniciales'!$D:$D,'Saldos Iniciales'!$A:$A,"Cross Family Trust")+SUMIFS(Movimientos!$K$1:$K$363,Movimientos!$C$1:$C$363,"Cross Family Trust",Movimientos!$B$1:$B$363,"&lt;="&amp;$B36)</f>
        <v>116496.38</v>
      </c>
      <c r="I36" s="24">
        <f>SUMIFS('Saldos Iniciales'!$D:$D,'Saldos Iniciales'!$A:$A,"Cross Security Trust")+SUMIFS(Movimientos!$K$1:$K$363,Movimientos!$C$1:$C$363,"Cross Security Trust",Movimientos!$B$1:$B$363,"&lt;="&amp;$B36)</f>
        <v>88090.37</v>
      </c>
      <c r="J36" s="24">
        <f>SUMIFS('Saldos Iniciales'!$D:$D,'Saldos Iniciales'!$A:$A,"Electrama")+SUMIFS(Movimientos!$K$1:$K$363,Movimientos!$C$1:$C$363,"Electrama",Movimientos!$B$1:$B$363,"&lt;="&amp;$B36)</f>
        <v>1227.9699999999998</v>
      </c>
      <c r="K36" s="24">
        <f>SUMIFS('Saldos Iniciales'!$D:$D,'Saldos Iniciales'!$A:$A,"Sacred Valley Capital")+SUMIFS(Movimientos!$K$1:$K$363,Movimientos!$C$1:$C$363,"Sacred Valley Capital",Movimientos!$B$1:$B$363,"&lt;="&amp;$B36)</f>
        <v>84.35</v>
      </c>
      <c r="L36" s="24">
        <f>SUMIFS('Saldos Iniciales'!$D:$D,'Saldos Iniciales'!$A:$A,"YWC Capital")+SUMIFS(Movimientos!$K$1:$K$363,Movimientos!$C$1:$C$363,"YWC Capital",Movimientos!$B$1:$B$363,"&lt;="&amp;$B36)</f>
        <v>2237.77</v>
      </c>
      <c r="M36" s="24">
        <f>SUMIFS('Saldos Iniciales'!$D:$D,'Saldos Iniciales'!$A:$A,"Soweto")+SUMIFS(Movimientos!$K$1:$K$363,Movimientos!$C$1:$C$363,"Soweto",Movimientos!$B$1:$B$363,"&lt;="&amp;$B36)</f>
        <v>3349.94</v>
      </c>
      <c r="N36" s="24">
        <f>SUMIFS('Saldos Iniciales'!$D:$D,'Saldos Iniciales'!$A:$A,"Green Stone Trust")+SUMIFS(Movimientos!$K$1:$K$363,Movimientos!$C$1:$C$363,"Green Stone Trust",Movimientos!$B$1:$B$363,"&lt;="&amp;$B36)</f>
        <v>1968.99</v>
      </c>
      <c r="O36" s="24">
        <f>SUMIFS('Saldos Iniciales'!$D:$D,'Saldos Iniciales'!$A:$A,"EC Auto")+SUMIFS(Movimientos!$K$1:$K$363,Movimientos!$C$1:$C$363,"EC Auto",Movimientos!$B$1:$B$363,"&lt;="&amp;$B36)</f>
        <v>382.69000000000005</v>
      </c>
      <c r="P36" s="24">
        <f>SUMIFS('Saldos Iniciales'!$D:$D,'Saldos Iniciales'!$A:$A,"Arbor Capital Properties")+SUMIFS(Movimientos!$K$1:$K$363,Movimientos!$C$1:$C$363,"Arbor Capital Properties",Movimientos!$B$1:$B$363,"&lt;="&amp;$B36)</f>
        <v>1428.08</v>
      </c>
      <c r="Q36" s="24">
        <f>SUMIFS('Saldos Iniciales'!$D:$D,'Saldos Iniciales'!$A:$A,"2515 Overbrook")+SUMIFS(Movimientos!$K$1:$K$363,Movimientos!$C$1:$C$363,"2515 Overbrook",Movimientos!$B$1:$B$363,"&lt;="&amp;$B36)</f>
        <v>25789.969999999961</v>
      </c>
      <c r="R36" s="24">
        <f>SUMIFS('Saldos Iniciales'!$D:$D,'Saldos Iniciales'!$A:$A,"112 Florida Ave")+SUMIFS(Movimientos!$K$1:$K$363,Movimientos!$C$1:$C$363,"112 Florida Ave",Movimientos!$B$1:$B$363,"&lt;="&amp;$B36)</f>
        <v>5321.4300000000021</v>
      </c>
      <c r="S36" s="24">
        <f>SUMIFS('Saldos Iniciales'!$D:$D,'Saldos Iniciales'!$A:$A,"3628 Thomas Ave")+SUMIFS(Movimientos!$K$1:$K$363,Movimientos!$C$1:$C$363,"3628 Thomas Ave",Movimientos!$B$1:$B$363,"&lt;="&amp;$B36)</f>
        <v>24833.23</v>
      </c>
      <c r="T36" s="24">
        <f>SUMIFS('Saldos Iniciales'!$D:$D,'Saldos Iniciales'!$A:$A,"Green Harbor Trust")+SUMIFS(Movimientos!$K$1:$K$363,Movimientos!$C$1:$C$363,"Green Harbor Trust",Movimientos!$B$1:$B$363,"&lt;="&amp;$B36)</f>
        <v>345</v>
      </c>
      <c r="U36" s="24">
        <f>SUMIFS('Saldos Iniciales'!$D:$D,'Saldos Iniciales'!$A:$A,"Go Blue")+SUMIFS(Movimientos!$K$1:$K$363,Movimientos!$C$1:$C$363,"Go Blue",Movimientos!$B$1:$B$363,"&lt;="&amp;$B36)</f>
        <v>2422.7399999999998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Group")+SUMIFS(Movimientos!$K$1:$K$363,Movimientos!$C$1:$C$363,"CFT Group",Movimientos!$B$1:$B$363,"&lt;="&amp;$B37)</f>
        <v>733394.14000000013</v>
      </c>
      <c r="D37" s="24">
        <f>SUMIFS('Saldos Iniciales'!$D:$D,'Saldos Iniciales'!$A:$A,"M1B")+SUMIFS(Movimientos!$K$1:$K$363,Movimientos!$C$1:$C$363,"M1B",Movimientos!$B$1:$B$363,"&lt;="&amp;$B37)</f>
        <v>69376.390000000174</v>
      </c>
      <c r="E37" s="24">
        <f>SUMIFS('Saldos Iniciales'!$D:$D,'Saldos Iniciales'!$A:$A,"Durand")+SUMIFS(Movimientos!$K$1:$K$363,Movimientos!$C$1:$C$363,"Durand",Movimientos!$B$1:$B$363,"&lt;="&amp;$B37)</f>
        <v>1669.89</v>
      </c>
      <c r="F37" s="24">
        <f>SUMIFS('Saldos Iniciales'!$D:$D,'Saldos Iniciales'!$A:$A,"A&amp;M Imports")+SUMIFS(Movimientos!$K$1:$K$363,Movimientos!$C$1:$C$363,"A&amp;M Imports",Movimientos!$B$1:$B$363,"&lt;="&amp;$B37)</f>
        <v>729545.23999999987</v>
      </c>
      <c r="G37" s="24">
        <f>SUMIFS('Saldos Iniciales'!$D:$D,'Saldos Iniciales'!$A:$A,"SSP Capital")+SUMIFS(Movimientos!$K$1:$K$363,Movimientos!$C$1:$C$363,"SSP Capital",Movimientos!$B$1:$B$363,"&lt;="&amp;$B37)</f>
        <v>1164028.3199999994</v>
      </c>
      <c r="H37" s="24">
        <f>SUMIFS('Saldos Iniciales'!$D:$D,'Saldos Iniciales'!$A:$A,"Cross Family Trust")+SUMIFS(Movimientos!$K$1:$K$363,Movimientos!$C$1:$C$363,"Cross Family Trust",Movimientos!$B$1:$B$363,"&lt;="&amp;$B37)</f>
        <v>116496.38</v>
      </c>
      <c r="I37" s="24">
        <f>SUMIFS('Saldos Iniciales'!$D:$D,'Saldos Iniciales'!$A:$A,"Cross Security Trust")+SUMIFS(Movimientos!$K$1:$K$363,Movimientos!$C$1:$C$363,"Cross Security Trust",Movimientos!$B$1:$B$363,"&lt;="&amp;$B37)</f>
        <v>88090.37</v>
      </c>
      <c r="J37" s="24">
        <f>SUMIFS('Saldos Iniciales'!$D:$D,'Saldos Iniciales'!$A:$A,"Electrama")+SUMIFS(Movimientos!$K$1:$K$363,Movimientos!$C$1:$C$363,"Electrama",Movimientos!$B$1:$B$363,"&lt;="&amp;$B37)</f>
        <v>1227.9699999999998</v>
      </c>
      <c r="K37" s="24">
        <f>SUMIFS('Saldos Iniciales'!$D:$D,'Saldos Iniciales'!$A:$A,"Sacred Valley Capital")+SUMIFS(Movimientos!$K$1:$K$363,Movimientos!$C$1:$C$363,"Sacred Valley Capital",Movimientos!$B$1:$B$363,"&lt;="&amp;$B37)</f>
        <v>84.35</v>
      </c>
      <c r="L37" s="24">
        <f>SUMIFS('Saldos Iniciales'!$D:$D,'Saldos Iniciales'!$A:$A,"YWC Capital")+SUMIFS(Movimientos!$K$1:$K$363,Movimientos!$C$1:$C$363,"YWC Capital",Movimientos!$B$1:$B$363,"&lt;="&amp;$B37)</f>
        <v>2237.77</v>
      </c>
      <c r="M37" s="24">
        <f>SUMIFS('Saldos Iniciales'!$D:$D,'Saldos Iniciales'!$A:$A,"Soweto")+SUMIFS(Movimientos!$K$1:$K$363,Movimientos!$C$1:$C$363,"Soweto",Movimientos!$B$1:$B$363,"&lt;="&amp;$B37)</f>
        <v>3349.94</v>
      </c>
      <c r="N37" s="24">
        <f>SUMIFS('Saldos Iniciales'!$D:$D,'Saldos Iniciales'!$A:$A,"Green Stone Trust")+SUMIFS(Movimientos!$K$1:$K$363,Movimientos!$C$1:$C$363,"Green Stone Trust",Movimientos!$B$1:$B$363,"&lt;="&amp;$B37)</f>
        <v>1968.99</v>
      </c>
      <c r="O37" s="24">
        <f>SUMIFS('Saldos Iniciales'!$D:$D,'Saldos Iniciales'!$A:$A,"EC Auto")+SUMIFS(Movimientos!$K$1:$K$363,Movimientos!$C$1:$C$363,"EC Auto",Movimientos!$B$1:$B$363,"&lt;="&amp;$B37)</f>
        <v>382.69000000000005</v>
      </c>
      <c r="P37" s="24">
        <f>SUMIFS('Saldos Iniciales'!$D:$D,'Saldos Iniciales'!$A:$A,"Arbor Capital Properties")+SUMIFS(Movimientos!$K$1:$K$363,Movimientos!$C$1:$C$363,"Arbor Capital Properties",Movimientos!$B$1:$B$363,"&lt;="&amp;$B37)</f>
        <v>1428.08</v>
      </c>
      <c r="Q37" s="24">
        <f>SUMIFS('Saldos Iniciales'!$D:$D,'Saldos Iniciales'!$A:$A,"2515 Overbrook")+SUMIFS(Movimientos!$K$1:$K$363,Movimientos!$C$1:$C$363,"2515 Overbrook",Movimientos!$B$1:$B$363,"&lt;="&amp;$B37)</f>
        <v>25789.969999999961</v>
      </c>
      <c r="R37" s="24">
        <f>SUMIFS('Saldos Iniciales'!$D:$D,'Saldos Iniciales'!$A:$A,"112 Florida Ave")+SUMIFS(Movimientos!$K$1:$K$363,Movimientos!$C$1:$C$363,"112 Florida Ave",Movimientos!$B$1:$B$363,"&lt;="&amp;$B37)</f>
        <v>5321.4300000000021</v>
      </c>
      <c r="S37" s="24">
        <f>SUMIFS('Saldos Iniciales'!$D:$D,'Saldos Iniciales'!$A:$A,"3628 Thomas Ave")+SUMIFS(Movimientos!$K$1:$K$363,Movimientos!$C$1:$C$363,"3628 Thomas Ave",Movimientos!$B$1:$B$363,"&lt;="&amp;$B37)</f>
        <v>24833.23</v>
      </c>
      <c r="T37" s="24">
        <f>SUMIFS('Saldos Iniciales'!$D:$D,'Saldos Iniciales'!$A:$A,"Green Harbor Trust")+SUMIFS(Movimientos!$K$1:$K$363,Movimientos!$C$1:$C$363,"Green Harbor Trust",Movimientos!$B$1:$B$363,"&lt;="&amp;$B37)</f>
        <v>345</v>
      </c>
      <c r="U37" s="24">
        <f>SUMIFS('Saldos Iniciales'!$D:$D,'Saldos Iniciales'!$A:$A,"Go Blue")+SUMIFS(Movimientos!$K$1:$K$363,Movimientos!$C$1:$C$363,"Go Blue",Movimientos!$B$1:$B$363,"&lt;="&amp;$B37)</f>
        <v>2422.7399999999998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Group")+SUMIFS(Movimientos!$K$1:$K$363,Movimientos!$C$1:$C$363,"CFT Group",Movimientos!$B$1:$B$363,"&lt;="&amp;$B38)</f>
        <v>733394.14000000013</v>
      </c>
      <c r="D38" s="24">
        <f>SUMIFS('Saldos Iniciales'!$D:$D,'Saldos Iniciales'!$A:$A,"M1B")+SUMIFS(Movimientos!$K$1:$K$363,Movimientos!$C$1:$C$363,"M1B",Movimientos!$B$1:$B$363,"&lt;="&amp;$B38)</f>
        <v>69376.390000000174</v>
      </c>
      <c r="E38" s="24">
        <f>SUMIFS('Saldos Iniciales'!$D:$D,'Saldos Iniciales'!$A:$A,"Durand")+SUMIFS(Movimientos!$K$1:$K$363,Movimientos!$C$1:$C$363,"Durand",Movimientos!$B$1:$B$363,"&lt;="&amp;$B38)</f>
        <v>1669.89</v>
      </c>
      <c r="F38" s="24">
        <f>SUMIFS('Saldos Iniciales'!$D:$D,'Saldos Iniciales'!$A:$A,"A&amp;M Imports")+SUMIFS(Movimientos!$K$1:$K$363,Movimientos!$C$1:$C$363,"A&amp;M Imports",Movimientos!$B$1:$B$363,"&lt;="&amp;$B38)</f>
        <v>729545.23999999987</v>
      </c>
      <c r="G38" s="24">
        <f>SUMIFS('Saldos Iniciales'!$D:$D,'Saldos Iniciales'!$A:$A,"SSP Capital")+SUMIFS(Movimientos!$K$1:$K$363,Movimientos!$C$1:$C$363,"SSP Capital",Movimientos!$B$1:$B$363,"&lt;="&amp;$B38)</f>
        <v>1164028.3199999994</v>
      </c>
      <c r="H38" s="24">
        <f>SUMIFS('Saldos Iniciales'!$D:$D,'Saldos Iniciales'!$A:$A,"Cross Family Trust")+SUMIFS(Movimientos!$K$1:$K$363,Movimientos!$C$1:$C$363,"Cross Family Trust",Movimientos!$B$1:$B$363,"&lt;="&amp;$B38)</f>
        <v>116496.38</v>
      </c>
      <c r="I38" s="24">
        <f>SUMIFS('Saldos Iniciales'!$D:$D,'Saldos Iniciales'!$A:$A,"Cross Security Trust")+SUMIFS(Movimientos!$K$1:$K$363,Movimientos!$C$1:$C$363,"Cross Security Trust",Movimientos!$B$1:$B$363,"&lt;="&amp;$B38)</f>
        <v>88090.37</v>
      </c>
      <c r="J38" s="24">
        <f>SUMIFS('Saldos Iniciales'!$D:$D,'Saldos Iniciales'!$A:$A,"Electrama")+SUMIFS(Movimientos!$K$1:$K$363,Movimientos!$C$1:$C$363,"Electrama",Movimientos!$B$1:$B$363,"&lt;="&amp;$B38)</f>
        <v>1227.9699999999998</v>
      </c>
      <c r="K38" s="24">
        <f>SUMIFS('Saldos Iniciales'!$D:$D,'Saldos Iniciales'!$A:$A,"Sacred Valley Capital")+SUMIFS(Movimientos!$K$1:$K$363,Movimientos!$C$1:$C$363,"Sacred Valley Capital",Movimientos!$B$1:$B$363,"&lt;="&amp;$B38)</f>
        <v>84.35</v>
      </c>
      <c r="L38" s="24">
        <f>SUMIFS('Saldos Iniciales'!$D:$D,'Saldos Iniciales'!$A:$A,"YWC Capital")+SUMIFS(Movimientos!$K$1:$K$363,Movimientos!$C$1:$C$363,"YWC Capital",Movimientos!$B$1:$B$363,"&lt;="&amp;$B38)</f>
        <v>2237.77</v>
      </c>
      <c r="M38" s="24">
        <f>SUMIFS('Saldos Iniciales'!$D:$D,'Saldos Iniciales'!$A:$A,"Soweto")+SUMIFS(Movimientos!$K$1:$K$363,Movimientos!$C$1:$C$363,"Soweto",Movimientos!$B$1:$B$363,"&lt;="&amp;$B38)</f>
        <v>3349.94</v>
      </c>
      <c r="N38" s="24">
        <f>SUMIFS('Saldos Iniciales'!$D:$D,'Saldos Iniciales'!$A:$A,"Green Stone Trust")+SUMIFS(Movimientos!$K$1:$K$363,Movimientos!$C$1:$C$363,"Green Stone Trust",Movimientos!$B$1:$B$363,"&lt;="&amp;$B38)</f>
        <v>1968.99</v>
      </c>
      <c r="O38" s="24">
        <f>SUMIFS('Saldos Iniciales'!$D:$D,'Saldos Iniciales'!$A:$A,"EC Auto")+SUMIFS(Movimientos!$K$1:$K$363,Movimientos!$C$1:$C$363,"EC Auto",Movimientos!$B$1:$B$363,"&lt;="&amp;$B38)</f>
        <v>382.69000000000005</v>
      </c>
      <c r="P38" s="24">
        <f>SUMIFS('Saldos Iniciales'!$D:$D,'Saldos Iniciales'!$A:$A,"Arbor Capital Properties")+SUMIFS(Movimientos!$K$1:$K$363,Movimientos!$C$1:$C$363,"Arbor Capital Properties",Movimientos!$B$1:$B$363,"&lt;="&amp;$B38)</f>
        <v>1428.08</v>
      </c>
      <c r="Q38" s="24">
        <f>SUMIFS('Saldos Iniciales'!$D:$D,'Saldos Iniciales'!$A:$A,"2515 Overbrook")+SUMIFS(Movimientos!$K$1:$K$363,Movimientos!$C$1:$C$363,"2515 Overbrook",Movimientos!$B$1:$B$363,"&lt;="&amp;$B38)</f>
        <v>25789.969999999961</v>
      </c>
      <c r="R38" s="24">
        <f>SUMIFS('Saldos Iniciales'!$D:$D,'Saldos Iniciales'!$A:$A,"112 Florida Ave")+SUMIFS(Movimientos!$K$1:$K$363,Movimientos!$C$1:$C$363,"112 Florida Ave",Movimientos!$B$1:$B$363,"&lt;="&amp;$B38)</f>
        <v>5321.4300000000021</v>
      </c>
      <c r="S38" s="24">
        <f>SUMIFS('Saldos Iniciales'!$D:$D,'Saldos Iniciales'!$A:$A,"3628 Thomas Ave")+SUMIFS(Movimientos!$K$1:$K$363,Movimientos!$C$1:$C$363,"3628 Thomas Ave",Movimientos!$B$1:$B$363,"&lt;="&amp;$B38)</f>
        <v>24833.23</v>
      </c>
      <c r="T38" s="24">
        <f>SUMIFS('Saldos Iniciales'!$D:$D,'Saldos Iniciales'!$A:$A,"Green Harbor Trust")+SUMIFS(Movimientos!$K$1:$K$363,Movimientos!$C$1:$C$363,"Green Harbor Trust",Movimientos!$B$1:$B$363,"&lt;="&amp;$B38)</f>
        <v>345</v>
      </c>
      <c r="U38" s="24">
        <f>SUMIFS('Saldos Iniciales'!$D:$D,'Saldos Iniciales'!$A:$A,"Go Blue")+SUMIFS(Movimientos!$K$1:$K$363,Movimientos!$C$1:$C$363,"Go Blue",Movimientos!$B$1:$B$363,"&lt;="&amp;$B38)</f>
        <v>2422.7399999999998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Group")+SUMIFS(Movimientos!$K$1:$K$363,Movimientos!$C$1:$C$363,"CFT Group",Movimientos!$B$1:$B$363,"&lt;="&amp;$B39)</f>
        <v>733394.14000000013</v>
      </c>
      <c r="D39" s="24">
        <f>SUMIFS('Saldos Iniciales'!$D:$D,'Saldos Iniciales'!$A:$A,"M1B")+SUMIFS(Movimientos!$K$1:$K$363,Movimientos!$C$1:$C$363,"M1B",Movimientos!$B$1:$B$363,"&lt;="&amp;$B39)</f>
        <v>69376.390000000174</v>
      </c>
      <c r="E39" s="24">
        <f>SUMIFS('Saldos Iniciales'!$D:$D,'Saldos Iniciales'!$A:$A,"Durand")+SUMIFS(Movimientos!$K$1:$K$363,Movimientos!$C$1:$C$363,"Durand",Movimientos!$B$1:$B$363,"&lt;="&amp;$B39)</f>
        <v>1669.89</v>
      </c>
      <c r="F39" s="24">
        <f>SUMIFS('Saldos Iniciales'!$D:$D,'Saldos Iniciales'!$A:$A,"A&amp;M Imports")+SUMIFS(Movimientos!$K$1:$K$363,Movimientos!$C$1:$C$363,"A&amp;M Imports",Movimientos!$B$1:$B$363,"&lt;="&amp;$B39)</f>
        <v>729545.23999999987</v>
      </c>
      <c r="G39" s="24">
        <f>SUMIFS('Saldos Iniciales'!$D:$D,'Saldos Iniciales'!$A:$A,"SSP Capital")+SUMIFS(Movimientos!$K$1:$K$363,Movimientos!$C$1:$C$363,"SSP Capital",Movimientos!$B$1:$B$363,"&lt;="&amp;$B39)</f>
        <v>1164028.3199999994</v>
      </c>
      <c r="H39" s="24">
        <f>SUMIFS('Saldos Iniciales'!$D:$D,'Saldos Iniciales'!$A:$A,"Cross Family Trust")+SUMIFS(Movimientos!$K$1:$K$363,Movimientos!$C$1:$C$363,"Cross Family Trust",Movimientos!$B$1:$B$363,"&lt;="&amp;$B39)</f>
        <v>116496.38</v>
      </c>
      <c r="I39" s="24">
        <f>SUMIFS('Saldos Iniciales'!$D:$D,'Saldos Iniciales'!$A:$A,"Cross Security Trust")+SUMIFS(Movimientos!$K$1:$K$363,Movimientos!$C$1:$C$363,"Cross Security Trust",Movimientos!$B$1:$B$363,"&lt;="&amp;$B39)</f>
        <v>88090.37</v>
      </c>
      <c r="J39" s="24">
        <f>SUMIFS('Saldos Iniciales'!$D:$D,'Saldos Iniciales'!$A:$A,"Electrama")+SUMIFS(Movimientos!$K$1:$K$363,Movimientos!$C$1:$C$363,"Electrama",Movimientos!$B$1:$B$363,"&lt;="&amp;$B39)</f>
        <v>1227.9699999999998</v>
      </c>
      <c r="K39" s="24">
        <f>SUMIFS('Saldos Iniciales'!$D:$D,'Saldos Iniciales'!$A:$A,"Sacred Valley Capital")+SUMIFS(Movimientos!$K$1:$K$363,Movimientos!$C$1:$C$363,"Sacred Valley Capital",Movimientos!$B$1:$B$363,"&lt;="&amp;$B39)</f>
        <v>84.35</v>
      </c>
      <c r="L39" s="24">
        <f>SUMIFS('Saldos Iniciales'!$D:$D,'Saldos Iniciales'!$A:$A,"YWC Capital")+SUMIFS(Movimientos!$K$1:$K$363,Movimientos!$C$1:$C$363,"YWC Capital",Movimientos!$B$1:$B$363,"&lt;="&amp;$B39)</f>
        <v>2237.77</v>
      </c>
      <c r="M39" s="24">
        <f>SUMIFS('Saldos Iniciales'!$D:$D,'Saldos Iniciales'!$A:$A,"Soweto")+SUMIFS(Movimientos!$K$1:$K$363,Movimientos!$C$1:$C$363,"Soweto",Movimientos!$B$1:$B$363,"&lt;="&amp;$B39)</f>
        <v>3349.94</v>
      </c>
      <c r="N39" s="24">
        <f>SUMIFS('Saldos Iniciales'!$D:$D,'Saldos Iniciales'!$A:$A,"Green Stone Trust")+SUMIFS(Movimientos!$K$1:$K$363,Movimientos!$C$1:$C$363,"Green Stone Trust",Movimientos!$B$1:$B$363,"&lt;="&amp;$B39)</f>
        <v>1968.99</v>
      </c>
      <c r="O39" s="24">
        <f>SUMIFS('Saldos Iniciales'!$D:$D,'Saldos Iniciales'!$A:$A,"EC Auto")+SUMIFS(Movimientos!$K$1:$K$363,Movimientos!$C$1:$C$363,"EC Auto",Movimientos!$B$1:$B$363,"&lt;="&amp;$B39)</f>
        <v>382.69000000000005</v>
      </c>
      <c r="P39" s="24">
        <f>SUMIFS('Saldos Iniciales'!$D:$D,'Saldos Iniciales'!$A:$A,"Arbor Capital Properties")+SUMIFS(Movimientos!$K$1:$K$363,Movimientos!$C$1:$C$363,"Arbor Capital Properties",Movimientos!$B$1:$B$363,"&lt;="&amp;$B39)</f>
        <v>1428.08</v>
      </c>
      <c r="Q39" s="24">
        <f>SUMIFS('Saldos Iniciales'!$D:$D,'Saldos Iniciales'!$A:$A,"2515 Overbrook")+SUMIFS(Movimientos!$K$1:$K$363,Movimientos!$C$1:$C$363,"2515 Overbrook",Movimientos!$B$1:$B$363,"&lt;="&amp;$B39)</f>
        <v>25789.969999999961</v>
      </c>
      <c r="R39" s="24">
        <f>SUMIFS('Saldos Iniciales'!$D:$D,'Saldos Iniciales'!$A:$A,"112 Florida Ave")+SUMIFS(Movimientos!$K$1:$K$363,Movimientos!$C$1:$C$363,"112 Florida Ave",Movimientos!$B$1:$B$363,"&lt;="&amp;$B39)</f>
        <v>5321.4300000000021</v>
      </c>
      <c r="S39" s="24">
        <f>SUMIFS('Saldos Iniciales'!$D:$D,'Saldos Iniciales'!$A:$A,"3628 Thomas Ave")+SUMIFS(Movimientos!$K$1:$K$363,Movimientos!$C$1:$C$363,"3628 Thomas Ave",Movimientos!$B$1:$B$363,"&lt;="&amp;$B39)</f>
        <v>24833.23</v>
      </c>
      <c r="T39" s="24">
        <f>SUMIFS('Saldos Iniciales'!$D:$D,'Saldos Iniciales'!$A:$A,"Green Harbor Trust")+SUMIFS(Movimientos!$K$1:$K$363,Movimientos!$C$1:$C$363,"Green Harbor Trust",Movimientos!$B$1:$B$363,"&lt;="&amp;$B39)</f>
        <v>345</v>
      </c>
      <c r="U39" s="24">
        <f>SUMIFS('Saldos Iniciales'!$D:$D,'Saldos Iniciales'!$A:$A,"Go Blue")+SUMIFS(Movimientos!$K$1:$K$363,Movimientos!$C$1:$C$363,"Go Blue",Movimientos!$B$1:$B$363,"&lt;="&amp;$B39)</f>
        <v>2422.7399999999998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Group")+SUMIFS(Movimientos!$K$1:$K$363,Movimientos!$C$1:$C$363,"CFT Group",Movimientos!$B$1:$B$363,"&lt;="&amp;$B40)</f>
        <v>733394.14000000013</v>
      </c>
      <c r="D40" s="24">
        <f>SUMIFS('Saldos Iniciales'!$D:$D,'Saldos Iniciales'!$A:$A,"M1B")+SUMIFS(Movimientos!$K$1:$K$363,Movimientos!$C$1:$C$363,"M1B",Movimientos!$B$1:$B$363,"&lt;="&amp;$B40)</f>
        <v>69376.390000000174</v>
      </c>
      <c r="E40" s="24">
        <f>SUMIFS('Saldos Iniciales'!$D:$D,'Saldos Iniciales'!$A:$A,"Durand")+SUMIFS(Movimientos!$K$1:$K$363,Movimientos!$C$1:$C$363,"Durand",Movimientos!$B$1:$B$363,"&lt;="&amp;$B40)</f>
        <v>1669.89</v>
      </c>
      <c r="F40" s="24">
        <f>SUMIFS('Saldos Iniciales'!$D:$D,'Saldos Iniciales'!$A:$A,"A&amp;M Imports")+SUMIFS(Movimientos!$K$1:$K$363,Movimientos!$C$1:$C$363,"A&amp;M Imports",Movimientos!$B$1:$B$363,"&lt;="&amp;$B40)</f>
        <v>729545.23999999987</v>
      </c>
      <c r="G40" s="24">
        <f>SUMIFS('Saldos Iniciales'!$D:$D,'Saldos Iniciales'!$A:$A,"SSP Capital")+SUMIFS(Movimientos!$K$1:$K$363,Movimientos!$C$1:$C$363,"SSP Capital",Movimientos!$B$1:$B$363,"&lt;="&amp;$B40)</f>
        <v>1164028.3199999994</v>
      </c>
      <c r="H40" s="24">
        <f>SUMIFS('Saldos Iniciales'!$D:$D,'Saldos Iniciales'!$A:$A,"Cross Family Trust")+SUMIFS(Movimientos!$K$1:$K$363,Movimientos!$C$1:$C$363,"Cross Family Trust",Movimientos!$B$1:$B$363,"&lt;="&amp;$B40)</f>
        <v>116496.38</v>
      </c>
      <c r="I40" s="24">
        <f>SUMIFS('Saldos Iniciales'!$D:$D,'Saldos Iniciales'!$A:$A,"Cross Security Trust")+SUMIFS(Movimientos!$K$1:$K$363,Movimientos!$C$1:$C$363,"Cross Security Trust",Movimientos!$B$1:$B$363,"&lt;="&amp;$B40)</f>
        <v>88090.37</v>
      </c>
      <c r="J40" s="24">
        <f>SUMIFS('Saldos Iniciales'!$D:$D,'Saldos Iniciales'!$A:$A,"Electrama")+SUMIFS(Movimientos!$K$1:$K$363,Movimientos!$C$1:$C$363,"Electrama",Movimientos!$B$1:$B$363,"&lt;="&amp;$B40)</f>
        <v>1227.9699999999998</v>
      </c>
      <c r="K40" s="24">
        <f>SUMIFS('Saldos Iniciales'!$D:$D,'Saldos Iniciales'!$A:$A,"Sacred Valley Capital")+SUMIFS(Movimientos!$K$1:$K$363,Movimientos!$C$1:$C$363,"Sacred Valley Capital",Movimientos!$B$1:$B$363,"&lt;="&amp;$B40)</f>
        <v>84.35</v>
      </c>
      <c r="L40" s="24">
        <f>SUMIFS('Saldos Iniciales'!$D:$D,'Saldos Iniciales'!$A:$A,"YWC Capital")+SUMIFS(Movimientos!$K$1:$K$363,Movimientos!$C$1:$C$363,"YWC Capital",Movimientos!$B$1:$B$363,"&lt;="&amp;$B40)</f>
        <v>2237.77</v>
      </c>
      <c r="M40" s="24">
        <f>SUMIFS('Saldos Iniciales'!$D:$D,'Saldos Iniciales'!$A:$A,"Soweto")+SUMIFS(Movimientos!$K$1:$K$363,Movimientos!$C$1:$C$363,"Soweto",Movimientos!$B$1:$B$363,"&lt;="&amp;$B40)</f>
        <v>3349.94</v>
      </c>
      <c r="N40" s="24">
        <f>SUMIFS('Saldos Iniciales'!$D:$D,'Saldos Iniciales'!$A:$A,"Green Stone Trust")+SUMIFS(Movimientos!$K$1:$K$363,Movimientos!$C$1:$C$363,"Green Stone Trust",Movimientos!$B$1:$B$363,"&lt;="&amp;$B40)</f>
        <v>1968.99</v>
      </c>
      <c r="O40" s="24">
        <f>SUMIFS('Saldos Iniciales'!$D:$D,'Saldos Iniciales'!$A:$A,"EC Auto")+SUMIFS(Movimientos!$K$1:$K$363,Movimientos!$C$1:$C$363,"EC Auto",Movimientos!$B$1:$B$363,"&lt;="&amp;$B40)</f>
        <v>382.69000000000005</v>
      </c>
      <c r="P40" s="24">
        <f>SUMIFS('Saldos Iniciales'!$D:$D,'Saldos Iniciales'!$A:$A,"Arbor Capital Properties")+SUMIFS(Movimientos!$K$1:$K$363,Movimientos!$C$1:$C$363,"Arbor Capital Properties",Movimientos!$B$1:$B$363,"&lt;="&amp;$B40)</f>
        <v>1428.08</v>
      </c>
      <c r="Q40" s="24">
        <f>SUMIFS('Saldos Iniciales'!$D:$D,'Saldos Iniciales'!$A:$A,"2515 Overbrook")+SUMIFS(Movimientos!$K$1:$K$363,Movimientos!$C$1:$C$363,"2515 Overbrook",Movimientos!$B$1:$B$363,"&lt;="&amp;$B40)</f>
        <v>25789.969999999961</v>
      </c>
      <c r="R40" s="24">
        <f>SUMIFS('Saldos Iniciales'!$D:$D,'Saldos Iniciales'!$A:$A,"112 Florida Ave")+SUMIFS(Movimientos!$K$1:$K$363,Movimientos!$C$1:$C$363,"112 Florida Ave",Movimientos!$B$1:$B$363,"&lt;="&amp;$B40)</f>
        <v>5321.4300000000021</v>
      </c>
      <c r="S40" s="24">
        <f>SUMIFS('Saldos Iniciales'!$D:$D,'Saldos Iniciales'!$A:$A,"3628 Thomas Ave")+SUMIFS(Movimientos!$K$1:$K$363,Movimientos!$C$1:$C$363,"3628 Thomas Ave",Movimientos!$B$1:$B$363,"&lt;="&amp;$B40)</f>
        <v>24833.23</v>
      </c>
      <c r="T40" s="24">
        <f>SUMIFS('Saldos Iniciales'!$D:$D,'Saldos Iniciales'!$A:$A,"Green Harbor Trust")+SUMIFS(Movimientos!$K$1:$K$363,Movimientos!$C$1:$C$363,"Green Harbor Trust",Movimientos!$B$1:$B$363,"&lt;="&amp;$B40)</f>
        <v>345</v>
      </c>
      <c r="U40" s="24">
        <f>SUMIFS('Saldos Iniciales'!$D:$D,'Saldos Iniciales'!$A:$A,"Go Blue")+SUMIFS(Movimientos!$K$1:$K$363,Movimientos!$C$1:$C$363,"Go Blue",Movimientos!$B$1:$B$363,"&lt;="&amp;$B40)</f>
        <v>1451.1499999999996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Group")+SUMIFS(Movimientos!$K$1:$K$363,Movimientos!$C$1:$C$363,"CFT Group",Movimientos!$B$1:$B$363,"&lt;="&amp;$B41)</f>
        <v>847381.29000000015</v>
      </c>
      <c r="D41" s="24">
        <f>SUMIFS('Saldos Iniciales'!$D:$D,'Saldos Iniciales'!$A:$A,"M1B")+SUMIFS(Movimientos!$K$1:$K$363,Movimientos!$C$1:$C$363,"M1B",Movimientos!$B$1:$B$363,"&lt;="&amp;$B41)</f>
        <v>69376.390000000174</v>
      </c>
      <c r="E41" s="24">
        <f>SUMIFS('Saldos Iniciales'!$D:$D,'Saldos Iniciales'!$A:$A,"Durand")+SUMIFS(Movimientos!$K$1:$K$363,Movimientos!$C$1:$C$363,"Durand",Movimientos!$B$1:$B$363,"&lt;="&amp;$B41)</f>
        <v>1669.89</v>
      </c>
      <c r="F41" s="24">
        <f>SUMIFS('Saldos Iniciales'!$D:$D,'Saldos Iniciales'!$A:$A,"A&amp;M Imports")+SUMIFS(Movimientos!$K$1:$K$363,Movimientos!$C$1:$C$363,"A&amp;M Imports",Movimientos!$B$1:$B$363,"&lt;="&amp;$B41)</f>
        <v>729545.23999999987</v>
      </c>
      <c r="G41" s="24">
        <f>SUMIFS('Saldos Iniciales'!$D:$D,'Saldos Iniciales'!$A:$A,"SSP Capital")+SUMIFS(Movimientos!$K$1:$K$363,Movimientos!$C$1:$C$363,"SSP Capital",Movimientos!$B$1:$B$363,"&lt;="&amp;$B41)</f>
        <v>1160274.0499999993</v>
      </c>
      <c r="H41" s="24">
        <f>SUMIFS('Saldos Iniciales'!$D:$D,'Saldos Iniciales'!$A:$A,"Cross Family Trust")+SUMIFS(Movimientos!$K$1:$K$363,Movimientos!$C$1:$C$363,"Cross Family Trust",Movimientos!$B$1:$B$363,"&lt;="&amp;$B41)</f>
        <v>116496.38</v>
      </c>
      <c r="I41" s="24">
        <f>SUMIFS('Saldos Iniciales'!$D:$D,'Saldos Iniciales'!$A:$A,"Cross Security Trust")+SUMIFS(Movimientos!$K$1:$K$363,Movimientos!$C$1:$C$363,"Cross Security Trust",Movimientos!$B$1:$B$363,"&lt;="&amp;$B41)</f>
        <v>88090.37</v>
      </c>
      <c r="J41" s="24">
        <f>SUMIFS('Saldos Iniciales'!$D:$D,'Saldos Iniciales'!$A:$A,"Electrama")+SUMIFS(Movimientos!$K$1:$K$363,Movimientos!$C$1:$C$363,"Electrama",Movimientos!$B$1:$B$363,"&lt;="&amp;$B41)</f>
        <v>1227.9699999999998</v>
      </c>
      <c r="K41" s="24">
        <f>SUMIFS('Saldos Iniciales'!$D:$D,'Saldos Iniciales'!$A:$A,"Sacred Valley Capital")+SUMIFS(Movimientos!$K$1:$K$363,Movimientos!$C$1:$C$363,"Sacred Valley Capital",Movimientos!$B$1:$B$363,"&lt;="&amp;$B41)</f>
        <v>84.35</v>
      </c>
      <c r="L41" s="24">
        <f>SUMIFS('Saldos Iniciales'!$D:$D,'Saldos Iniciales'!$A:$A,"YWC Capital")+SUMIFS(Movimientos!$K$1:$K$363,Movimientos!$C$1:$C$363,"YWC Capital",Movimientos!$B$1:$B$363,"&lt;="&amp;$B41)</f>
        <v>2237.77</v>
      </c>
      <c r="M41" s="24">
        <f>SUMIFS('Saldos Iniciales'!$D:$D,'Saldos Iniciales'!$A:$A,"Soweto")+SUMIFS(Movimientos!$K$1:$K$363,Movimientos!$C$1:$C$363,"Soweto",Movimientos!$B$1:$B$363,"&lt;="&amp;$B41)</f>
        <v>3349.94</v>
      </c>
      <c r="N41" s="24">
        <f>SUMIFS('Saldos Iniciales'!$D:$D,'Saldos Iniciales'!$A:$A,"Green Stone Trust")+SUMIFS(Movimientos!$K$1:$K$363,Movimientos!$C$1:$C$363,"Green Stone Trust",Movimientos!$B$1:$B$363,"&lt;="&amp;$B41)</f>
        <v>1968.99</v>
      </c>
      <c r="O41" s="24">
        <f>SUMIFS('Saldos Iniciales'!$D:$D,'Saldos Iniciales'!$A:$A,"EC Auto")+SUMIFS(Movimientos!$K$1:$K$363,Movimientos!$C$1:$C$363,"EC Auto",Movimientos!$B$1:$B$363,"&lt;="&amp;$B41)</f>
        <v>382.69000000000005</v>
      </c>
      <c r="P41" s="24">
        <f>SUMIFS('Saldos Iniciales'!$D:$D,'Saldos Iniciales'!$A:$A,"Arbor Capital Properties")+SUMIFS(Movimientos!$K$1:$K$363,Movimientos!$C$1:$C$363,"Arbor Capital Properties",Movimientos!$B$1:$B$363,"&lt;="&amp;$B41)</f>
        <v>1428.08</v>
      </c>
      <c r="Q41" s="24">
        <f>SUMIFS('Saldos Iniciales'!$D:$D,'Saldos Iniciales'!$A:$A,"2515 Overbrook")+SUMIFS(Movimientos!$K$1:$K$363,Movimientos!$C$1:$C$363,"2515 Overbrook",Movimientos!$B$1:$B$363,"&lt;="&amp;$B41)</f>
        <v>25789.969999999961</v>
      </c>
      <c r="R41" s="24">
        <f>SUMIFS('Saldos Iniciales'!$D:$D,'Saldos Iniciales'!$A:$A,"112 Florida Ave")+SUMIFS(Movimientos!$K$1:$K$363,Movimientos!$C$1:$C$363,"112 Florida Ave",Movimientos!$B$1:$B$363,"&lt;="&amp;$B41)</f>
        <v>5321.4300000000021</v>
      </c>
      <c r="S41" s="24">
        <f>SUMIFS('Saldos Iniciales'!$D:$D,'Saldos Iniciales'!$A:$A,"3628 Thomas Ave")+SUMIFS(Movimientos!$K$1:$K$363,Movimientos!$C$1:$C$363,"3628 Thomas Ave",Movimientos!$B$1:$B$363,"&lt;="&amp;$B41)</f>
        <v>24833.23</v>
      </c>
      <c r="T41" s="24">
        <f>SUMIFS('Saldos Iniciales'!$D:$D,'Saldos Iniciales'!$A:$A,"Green Harbor Trust")+SUMIFS(Movimientos!$K$1:$K$363,Movimientos!$C$1:$C$363,"Green Harbor Trust",Movimientos!$B$1:$B$363,"&lt;="&amp;$B41)</f>
        <v>345</v>
      </c>
      <c r="U41" s="24">
        <f>SUMIFS('Saldos Iniciales'!$D:$D,'Saldos Iniciales'!$A:$A,"Go Blue")+SUMIFS(Movimientos!$K$1:$K$363,Movimientos!$C$1:$C$363,"Go Blue",Movimientos!$B$1:$B$363,"&lt;="&amp;$B41)</f>
        <v>1289.7300000000014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Group")+SUMIFS(Movimientos!$K$1:$K$363,Movimientos!$C$1:$C$363,"CFT Group",Movimientos!$B$1:$B$363,"&lt;="&amp;$B42)</f>
        <v>2288745.9500000002</v>
      </c>
      <c r="D42" s="24">
        <f>SUMIFS('Saldos Iniciales'!$D:$D,'Saldos Iniciales'!$A:$A,"M1B")+SUMIFS(Movimientos!$K$1:$K$363,Movimientos!$C$1:$C$363,"M1B",Movimientos!$B$1:$B$363,"&lt;="&amp;$B42)</f>
        <v>69376.390000000174</v>
      </c>
      <c r="E42" s="24">
        <f>SUMIFS('Saldos Iniciales'!$D:$D,'Saldos Iniciales'!$A:$A,"Durand")+SUMIFS(Movimientos!$K$1:$K$363,Movimientos!$C$1:$C$363,"Durand",Movimientos!$B$1:$B$363,"&lt;="&amp;$B42)</f>
        <v>1669.89</v>
      </c>
      <c r="F42" s="24">
        <f>SUMIFS('Saldos Iniciales'!$D:$D,'Saldos Iniciales'!$A:$A,"A&amp;M Imports")+SUMIFS(Movimientos!$K$1:$K$363,Movimientos!$C$1:$C$363,"A&amp;M Imports",Movimientos!$B$1:$B$363,"&lt;="&amp;$B42)</f>
        <v>744306.80999999982</v>
      </c>
      <c r="G42" s="24">
        <f>SUMIFS('Saldos Iniciales'!$D:$D,'Saldos Iniciales'!$A:$A,"SSP Capital")+SUMIFS(Movimientos!$K$1:$K$363,Movimientos!$C$1:$C$363,"SSP Capital",Movimientos!$B$1:$B$363,"&lt;="&amp;$B42)</f>
        <v>1160274.0499999993</v>
      </c>
      <c r="H42" s="24">
        <f>SUMIFS('Saldos Iniciales'!$D:$D,'Saldos Iniciales'!$A:$A,"Cross Family Trust")+SUMIFS(Movimientos!$K$1:$K$363,Movimientos!$C$1:$C$363,"Cross Family Trust",Movimientos!$B$1:$B$363,"&lt;="&amp;$B42)</f>
        <v>116496.38</v>
      </c>
      <c r="I42" s="24">
        <f>SUMIFS('Saldos Iniciales'!$D:$D,'Saldos Iniciales'!$A:$A,"Cross Security Trust")+SUMIFS(Movimientos!$K$1:$K$363,Movimientos!$C$1:$C$363,"Cross Security Trust",Movimientos!$B$1:$B$363,"&lt;="&amp;$B42)</f>
        <v>88090.37</v>
      </c>
      <c r="J42" s="24">
        <f>SUMIFS('Saldos Iniciales'!$D:$D,'Saldos Iniciales'!$A:$A,"Electrama")+SUMIFS(Movimientos!$K$1:$K$363,Movimientos!$C$1:$C$363,"Electrama",Movimientos!$B$1:$B$363,"&lt;="&amp;$B42)</f>
        <v>1227.9699999999998</v>
      </c>
      <c r="K42" s="24">
        <f>SUMIFS('Saldos Iniciales'!$D:$D,'Saldos Iniciales'!$A:$A,"Sacred Valley Capital")+SUMIFS(Movimientos!$K$1:$K$363,Movimientos!$C$1:$C$363,"Sacred Valley Capital",Movimientos!$B$1:$B$363,"&lt;="&amp;$B42)</f>
        <v>84.35</v>
      </c>
      <c r="L42" s="24">
        <f>SUMIFS('Saldos Iniciales'!$D:$D,'Saldos Iniciales'!$A:$A,"YWC Capital")+SUMIFS(Movimientos!$K$1:$K$363,Movimientos!$C$1:$C$363,"YWC Capital",Movimientos!$B$1:$B$363,"&lt;="&amp;$B42)</f>
        <v>2237.77</v>
      </c>
      <c r="M42" s="24">
        <f>SUMIFS('Saldos Iniciales'!$D:$D,'Saldos Iniciales'!$A:$A,"Soweto")+SUMIFS(Movimientos!$K$1:$K$363,Movimientos!$C$1:$C$363,"Soweto",Movimientos!$B$1:$B$363,"&lt;="&amp;$B42)</f>
        <v>3349.94</v>
      </c>
      <c r="N42" s="24">
        <f>SUMIFS('Saldos Iniciales'!$D:$D,'Saldos Iniciales'!$A:$A,"Green Stone Trust")+SUMIFS(Movimientos!$K$1:$K$363,Movimientos!$C$1:$C$363,"Green Stone Trust",Movimientos!$B$1:$B$363,"&lt;="&amp;$B42)</f>
        <v>1968.99</v>
      </c>
      <c r="O42" s="24">
        <f>SUMIFS('Saldos Iniciales'!$D:$D,'Saldos Iniciales'!$A:$A,"EC Auto")+SUMIFS(Movimientos!$K$1:$K$363,Movimientos!$C$1:$C$363,"EC Auto",Movimientos!$B$1:$B$363,"&lt;="&amp;$B42)</f>
        <v>382.69000000000005</v>
      </c>
      <c r="P42" s="24">
        <f>SUMIFS('Saldos Iniciales'!$D:$D,'Saldos Iniciales'!$A:$A,"Arbor Capital Properties")+SUMIFS(Movimientos!$K$1:$K$363,Movimientos!$C$1:$C$363,"Arbor Capital Properties",Movimientos!$B$1:$B$363,"&lt;="&amp;$B42)</f>
        <v>1428.08</v>
      </c>
      <c r="Q42" s="24">
        <f>SUMIFS('Saldos Iniciales'!$D:$D,'Saldos Iniciales'!$A:$A,"2515 Overbrook")+SUMIFS(Movimientos!$K$1:$K$363,Movimientos!$C$1:$C$363,"2515 Overbrook",Movimientos!$B$1:$B$363,"&lt;="&amp;$B42)</f>
        <v>25789.969999999961</v>
      </c>
      <c r="R42" s="24">
        <f>SUMIFS('Saldos Iniciales'!$D:$D,'Saldos Iniciales'!$A:$A,"112 Florida Ave")+SUMIFS(Movimientos!$K$1:$K$363,Movimientos!$C$1:$C$363,"112 Florida Ave",Movimientos!$B$1:$B$363,"&lt;="&amp;$B42)</f>
        <v>5321.4300000000021</v>
      </c>
      <c r="S42" s="24">
        <f>SUMIFS('Saldos Iniciales'!$D:$D,'Saldos Iniciales'!$A:$A,"3628 Thomas Ave")+SUMIFS(Movimientos!$K$1:$K$363,Movimientos!$C$1:$C$363,"3628 Thomas Ave",Movimientos!$B$1:$B$363,"&lt;="&amp;$B42)</f>
        <v>24743.98</v>
      </c>
      <c r="T42" s="24">
        <f>SUMIFS('Saldos Iniciales'!$D:$D,'Saldos Iniciales'!$A:$A,"Green Harbor Trust")+SUMIFS(Movimientos!$K$1:$K$363,Movimientos!$C$1:$C$363,"Green Harbor Trust",Movimientos!$B$1:$B$363,"&lt;="&amp;$B42)</f>
        <v>345</v>
      </c>
      <c r="U42" s="24">
        <f>SUMIFS('Saldos Iniciales'!$D:$D,'Saldos Iniciales'!$A:$A,"Go Blue")+SUMIFS(Movimientos!$K$1:$K$363,Movimientos!$C$1:$C$363,"Go Blue",Movimientos!$B$1:$B$363,"&lt;="&amp;$B42)</f>
        <v>1289.7300000000014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Group")+SUMIFS(Movimientos!$K$1:$K$363,Movimientos!$C$1:$C$363,"CFT Group",Movimientos!$B$1:$B$363,"&lt;="&amp;$B43)</f>
        <v>1837784.84</v>
      </c>
      <c r="D43" s="24">
        <f>SUMIFS('Saldos Iniciales'!$D:$D,'Saldos Iniciales'!$A:$A,"M1B")+SUMIFS(Movimientos!$K$1:$K$363,Movimientos!$C$1:$C$363,"M1B",Movimientos!$B$1:$B$363,"&lt;="&amp;$B43)</f>
        <v>69376.390000000174</v>
      </c>
      <c r="E43" s="24">
        <f>SUMIFS('Saldos Iniciales'!$D:$D,'Saldos Iniciales'!$A:$A,"Durand")+SUMIFS(Movimientos!$K$1:$K$363,Movimientos!$C$1:$C$363,"Durand",Movimientos!$B$1:$B$363,"&lt;="&amp;$B43)</f>
        <v>1669.89</v>
      </c>
      <c r="F43" s="24">
        <f>SUMIFS('Saldos Iniciales'!$D:$D,'Saldos Iniciales'!$A:$A,"A&amp;M Imports")+SUMIFS(Movimientos!$K$1:$K$363,Movimientos!$C$1:$C$363,"A&amp;M Imports",Movimientos!$B$1:$B$363,"&lt;="&amp;$B43)</f>
        <v>564626.20999999985</v>
      </c>
      <c r="G43" s="24">
        <f>SUMIFS('Saldos Iniciales'!$D:$D,'Saldos Iniciales'!$A:$A,"SSP Capital")+SUMIFS(Movimientos!$K$1:$K$363,Movimientos!$C$1:$C$363,"SSP Capital",Movimientos!$B$1:$B$363,"&lt;="&amp;$B43)</f>
        <v>794731.82999999926</v>
      </c>
      <c r="H43" s="24">
        <f>SUMIFS('Saldos Iniciales'!$D:$D,'Saldos Iniciales'!$A:$A,"Cross Family Trust")+SUMIFS(Movimientos!$K$1:$K$363,Movimientos!$C$1:$C$363,"Cross Family Trust",Movimientos!$B$1:$B$363,"&lt;="&amp;$B43)</f>
        <v>116496.38</v>
      </c>
      <c r="I43" s="24">
        <f>SUMIFS('Saldos Iniciales'!$D:$D,'Saldos Iniciales'!$A:$A,"Cross Security Trust")+SUMIFS(Movimientos!$K$1:$K$363,Movimientos!$C$1:$C$363,"Cross Security Trust",Movimientos!$B$1:$B$363,"&lt;="&amp;$B43)</f>
        <v>88090.37</v>
      </c>
      <c r="J43" s="24">
        <f>SUMIFS('Saldos Iniciales'!$D:$D,'Saldos Iniciales'!$A:$A,"Electrama")+SUMIFS(Movimientos!$K$1:$K$363,Movimientos!$C$1:$C$363,"Electrama",Movimientos!$B$1:$B$363,"&lt;="&amp;$B43)</f>
        <v>1227.9699999999998</v>
      </c>
      <c r="K43" s="24">
        <f>SUMIFS('Saldos Iniciales'!$D:$D,'Saldos Iniciales'!$A:$A,"Sacred Valley Capital")+SUMIFS(Movimientos!$K$1:$K$363,Movimientos!$C$1:$C$363,"Sacred Valley Capital",Movimientos!$B$1:$B$363,"&lt;="&amp;$B43)</f>
        <v>84.35</v>
      </c>
      <c r="L43" s="24">
        <f>SUMIFS('Saldos Iniciales'!$D:$D,'Saldos Iniciales'!$A:$A,"YWC Capital")+SUMIFS(Movimientos!$K$1:$K$363,Movimientos!$C$1:$C$363,"YWC Capital",Movimientos!$B$1:$B$363,"&lt;="&amp;$B43)</f>
        <v>2237.77</v>
      </c>
      <c r="M43" s="24">
        <f>SUMIFS('Saldos Iniciales'!$D:$D,'Saldos Iniciales'!$A:$A,"Soweto")+SUMIFS(Movimientos!$K$1:$K$363,Movimientos!$C$1:$C$363,"Soweto",Movimientos!$B$1:$B$363,"&lt;="&amp;$B43)</f>
        <v>3349.94</v>
      </c>
      <c r="N43" s="24">
        <f>SUMIFS('Saldos Iniciales'!$D:$D,'Saldos Iniciales'!$A:$A,"Green Stone Trust")+SUMIFS(Movimientos!$K$1:$K$363,Movimientos!$C$1:$C$363,"Green Stone Trust",Movimientos!$B$1:$B$363,"&lt;="&amp;$B43)</f>
        <v>1968.99</v>
      </c>
      <c r="O43" s="24">
        <f>SUMIFS('Saldos Iniciales'!$D:$D,'Saldos Iniciales'!$A:$A,"EC Auto")+SUMIFS(Movimientos!$K$1:$K$363,Movimientos!$C$1:$C$363,"EC Auto",Movimientos!$B$1:$B$363,"&lt;="&amp;$B43)</f>
        <v>382.69000000000005</v>
      </c>
      <c r="P43" s="24">
        <f>SUMIFS('Saldos Iniciales'!$D:$D,'Saldos Iniciales'!$A:$A,"Arbor Capital Properties")+SUMIFS(Movimientos!$K$1:$K$363,Movimientos!$C$1:$C$363,"Arbor Capital Properties",Movimientos!$B$1:$B$363,"&lt;="&amp;$B43)</f>
        <v>1428.08</v>
      </c>
      <c r="Q43" s="24">
        <f>SUMIFS('Saldos Iniciales'!$D:$D,'Saldos Iniciales'!$A:$A,"2515 Overbrook")+SUMIFS(Movimientos!$K$1:$K$363,Movimientos!$C$1:$C$363,"2515 Overbrook",Movimientos!$B$1:$B$363,"&lt;="&amp;$B43)</f>
        <v>25789.969999999961</v>
      </c>
      <c r="R43" s="24">
        <f>SUMIFS('Saldos Iniciales'!$D:$D,'Saldos Iniciales'!$A:$A,"112 Florida Ave")+SUMIFS(Movimientos!$K$1:$K$363,Movimientos!$C$1:$C$363,"112 Florida Ave",Movimientos!$B$1:$B$363,"&lt;="&amp;$B43)</f>
        <v>5321.4300000000021</v>
      </c>
      <c r="S43" s="24">
        <f>SUMIFS('Saldos Iniciales'!$D:$D,'Saldos Iniciales'!$A:$A,"3628 Thomas Ave")+SUMIFS(Movimientos!$K$1:$K$363,Movimientos!$C$1:$C$363,"3628 Thomas Ave",Movimientos!$B$1:$B$363,"&lt;="&amp;$B43)</f>
        <v>24743.98</v>
      </c>
      <c r="T43" s="24">
        <f>SUMIFS('Saldos Iniciales'!$D:$D,'Saldos Iniciales'!$A:$A,"Green Harbor Trust")+SUMIFS(Movimientos!$K$1:$K$363,Movimientos!$C$1:$C$363,"Green Harbor Trust",Movimientos!$B$1:$B$363,"&lt;="&amp;$B43)</f>
        <v>345</v>
      </c>
      <c r="U43" s="24">
        <f>SUMIFS('Saldos Iniciales'!$D:$D,'Saldos Iniciales'!$A:$A,"Go Blue")+SUMIFS(Movimientos!$K$1:$K$363,Movimientos!$C$1:$C$363,"Go Blue",Movimientos!$B$1:$B$363,"&lt;="&amp;$B43)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Group")+SUMIFS(Movimientos!$K$1:$K$363,Movimientos!$C$1:$C$363,"CFT Group",Movimientos!$B$1:$B$363,"&lt;="&amp;$B44)</f>
        <v>1837784.84</v>
      </c>
      <c r="D44" s="24">
        <f>SUMIFS('Saldos Iniciales'!$D:$D,'Saldos Iniciales'!$A:$A,"M1B")+SUMIFS(Movimientos!$K$1:$K$363,Movimientos!$C$1:$C$363,"M1B",Movimientos!$B$1:$B$363,"&lt;="&amp;$B44)</f>
        <v>69376.390000000174</v>
      </c>
      <c r="E44" s="24">
        <f>SUMIFS('Saldos Iniciales'!$D:$D,'Saldos Iniciales'!$A:$A,"Durand")+SUMIFS(Movimientos!$K$1:$K$363,Movimientos!$C$1:$C$363,"Durand",Movimientos!$B$1:$B$363,"&lt;="&amp;$B44)</f>
        <v>1669.89</v>
      </c>
      <c r="F44" s="24">
        <f>SUMIFS('Saldos Iniciales'!$D:$D,'Saldos Iniciales'!$A:$A,"A&amp;M Imports")+SUMIFS(Movimientos!$K$1:$K$363,Movimientos!$C$1:$C$363,"A&amp;M Imports",Movimientos!$B$1:$B$363,"&lt;="&amp;$B44)</f>
        <v>564626.20999999985</v>
      </c>
      <c r="G44" s="24">
        <f>SUMIFS('Saldos Iniciales'!$D:$D,'Saldos Iniciales'!$A:$A,"SSP Capital")+SUMIFS(Movimientos!$K$1:$K$363,Movimientos!$C$1:$C$363,"SSP Capital",Movimientos!$B$1:$B$363,"&lt;="&amp;$B44)</f>
        <v>3763348.8299999996</v>
      </c>
      <c r="H44" s="24">
        <f>SUMIFS('Saldos Iniciales'!$D:$D,'Saldos Iniciales'!$A:$A,"Cross Family Trust")+SUMIFS(Movimientos!$K$1:$K$363,Movimientos!$C$1:$C$363,"Cross Family Trust",Movimientos!$B$1:$B$363,"&lt;="&amp;$B44)</f>
        <v>116496.38</v>
      </c>
      <c r="I44" s="24">
        <f>SUMIFS('Saldos Iniciales'!$D:$D,'Saldos Iniciales'!$A:$A,"Cross Security Trust")+SUMIFS(Movimientos!$K$1:$K$363,Movimientos!$C$1:$C$363,"Cross Security Trust",Movimientos!$B$1:$B$363,"&lt;="&amp;$B44)</f>
        <v>88090.37</v>
      </c>
      <c r="J44" s="24">
        <f>SUMIFS('Saldos Iniciales'!$D:$D,'Saldos Iniciales'!$A:$A,"Electrama")+SUMIFS(Movimientos!$K$1:$K$363,Movimientos!$C$1:$C$363,"Electrama",Movimientos!$B$1:$B$363,"&lt;="&amp;$B44)</f>
        <v>1227.9699999999998</v>
      </c>
      <c r="K44" s="24">
        <f>SUMIFS('Saldos Iniciales'!$D:$D,'Saldos Iniciales'!$A:$A,"Sacred Valley Capital")+SUMIFS(Movimientos!$K$1:$K$363,Movimientos!$C$1:$C$363,"Sacred Valley Capital",Movimientos!$B$1:$B$363,"&lt;="&amp;$B44)</f>
        <v>84.35</v>
      </c>
      <c r="L44" s="24">
        <f>SUMIFS('Saldos Iniciales'!$D:$D,'Saldos Iniciales'!$A:$A,"YWC Capital")+SUMIFS(Movimientos!$K$1:$K$363,Movimientos!$C$1:$C$363,"YWC Capital",Movimientos!$B$1:$B$363,"&lt;="&amp;$B44)</f>
        <v>2237.77</v>
      </c>
      <c r="M44" s="24">
        <f>SUMIFS('Saldos Iniciales'!$D:$D,'Saldos Iniciales'!$A:$A,"Soweto")+SUMIFS(Movimientos!$K$1:$K$363,Movimientos!$C$1:$C$363,"Soweto",Movimientos!$B$1:$B$363,"&lt;="&amp;$B44)</f>
        <v>3349.94</v>
      </c>
      <c r="N44" s="24">
        <f>SUMIFS('Saldos Iniciales'!$D:$D,'Saldos Iniciales'!$A:$A,"Green Stone Trust")+SUMIFS(Movimientos!$K$1:$K$363,Movimientos!$C$1:$C$363,"Green Stone Trust",Movimientos!$B$1:$B$363,"&lt;="&amp;$B44)</f>
        <v>1968.99</v>
      </c>
      <c r="O44" s="24">
        <f>SUMIFS('Saldos Iniciales'!$D:$D,'Saldos Iniciales'!$A:$A,"EC Auto")+SUMIFS(Movimientos!$K$1:$K$363,Movimientos!$C$1:$C$363,"EC Auto",Movimientos!$B$1:$B$363,"&lt;="&amp;$B44)</f>
        <v>382.69000000000005</v>
      </c>
      <c r="P44" s="24">
        <f>SUMIFS('Saldos Iniciales'!$D:$D,'Saldos Iniciales'!$A:$A,"Arbor Capital Properties")+SUMIFS(Movimientos!$K$1:$K$363,Movimientos!$C$1:$C$363,"Arbor Capital Properties",Movimientos!$B$1:$B$363,"&lt;="&amp;$B44)</f>
        <v>1428.08</v>
      </c>
      <c r="Q44" s="24">
        <f>SUMIFS('Saldos Iniciales'!$D:$D,'Saldos Iniciales'!$A:$A,"2515 Overbrook")+SUMIFS(Movimientos!$K$1:$K$363,Movimientos!$C$1:$C$363,"2515 Overbrook",Movimientos!$B$1:$B$363,"&lt;="&amp;$B44)</f>
        <v>27789.969999999961</v>
      </c>
      <c r="R44" s="24">
        <f>SUMIFS('Saldos Iniciales'!$D:$D,'Saldos Iniciales'!$A:$A,"112 Florida Ave")+SUMIFS(Movimientos!$K$1:$K$363,Movimientos!$C$1:$C$363,"112 Florida Ave",Movimientos!$B$1:$B$363,"&lt;="&amp;$B44)</f>
        <v>5321.4300000000021</v>
      </c>
      <c r="S44" s="24">
        <f>SUMIFS('Saldos Iniciales'!$D:$D,'Saldos Iniciales'!$A:$A,"3628 Thomas Ave")+SUMIFS(Movimientos!$K$1:$K$363,Movimientos!$C$1:$C$363,"3628 Thomas Ave",Movimientos!$B$1:$B$363,"&lt;="&amp;$B44)</f>
        <v>24484.85</v>
      </c>
      <c r="T44" s="24">
        <f>SUMIFS('Saldos Iniciales'!$D:$D,'Saldos Iniciales'!$A:$A,"Green Harbor Trust")+SUMIFS(Movimientos!$K$1:$K$363,Movimientos!$C$1:$C$363,"Green Harbor Trust",Movimientos!$B$1:$B$363,"&lt;="&amp;$B44)</f>
        <v>345</v>
      </c>
      <c r="U44" s="24">
        <f>SUMIFS('Saldos Iniciales'!$D:$D,'Saldos Iniciales'!$A:$A,"Go Blue")+SUMIFS(Movimientos!$K$1:$K$363,Movimientos!$C$1:$C$363,"Go Blue",Movimientos!$B$1:$B$363,"&lt;="&amp;$B44)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Group")+SUMIFS(Movimientos!$K$1:$K$363,Movimientos!$C$1:$C$363,"CFT Group",Movimientos!$B$1:$B$363,"&lt;="&amp;$B45)</f>
        <v>1837784.84</v>
      </c>
      <c r="D45" s="24">
        <f>SUMIFS('Saldos Iniciales'!$D:$D,'Saldos Iniciales'!$A:$A,"M1B")+SUMIFS(Movimientos!$K$1:$K$363,Movimientos!$C$1:$C$363,"M1B",Movimientos!$B$1:$B$363,"&lt;="&amp;$B45)</f>
        <v>69376.390000000174</v>
      </c>
      <c r="E45" s="24">
        <f>SUMIFS('Saldos Iniciales'!$D:$D,'Saldos Iniciales'!$A:$A,"Durand")+SUMIFS(Movimientos!$K$1:$K$363,Movimientos!$C$1:$C$363,"Durand",Movimientos!$B$1:$B$363,"&lt;="&amp;$B45)</f>
        <v>1669.89</v>
      </c>
      <c r="F45" s="24">
        <f>SUMIFS('Saldos Iniciales'!$D:$D,'Saldos Iniciales'!$A:$A,"A&amp;M Imports")+SUMIFS(Movimientos!$K$1:$K$363,Movimientos!$C$1:$C$363,"A&amp;M Imports",Movimientos!$B$1:$B$363,"&lt;="&amp;$B45)</f>
        <v>564626.20999999985</v>
      </c>
      <c r="G45" s="24">
        <f>SUMIFS('Saldos Iniciales'!$D:$D,'Saldos Iniciales'!$A:$A,"SSP Capital")+SUMIFS(Movimientos!$K$1:$K$363,Movimientos!$C$1:$C$363,"SSP Capital",Movimientos!$B$1:$B$363,"&lt;="&amp;$B45)</f>
        <v>3763348.8299999996</v>
      </c>
      <c r="H45" s="24">
        <f>SUMIFS('Saldos Iniciales'!$D:$D,'Saldos Iniciales'!$A:$A,"Cross Family Trust")+SUMIFS(Movimientos!$K$1:$K$363,Movimientos!$C$1:$C$363,"Cross Family Trust",Movimientos!$B$1:$B$363,"&lt;="&amp;$B45)</f>
        <v>116496.38</v>
      </c>
      <c r="I45" s="24">
        <f>SUMIFS('Saldos Iniciales'!$D:$D,'Saldos Iniciales'!$A:$A,"Cross Security Trust")+SUMIFS(Movimientos!$K$1:$K$363,Movimientos!$C$1:$C$363,"Cross Security Trust",Movimientos!$B$1:$B$363,"&lt;="&amp;$B45)</f>
        <v>88090.37</v>
      </c>
      <c r="J45" s="24">
        <f>SUMIFS('Saldos Iniciales'!$D:$D,'Saldos Iniciales'!$A:$A,"Electrama")+SUMIFS(Movimientos!$K$1:$K$363,Movimientos!$C$1:$C$363,"Electrama",Movimientos!$B$1:$B$363,"&lt;="&amp;$B45)</f>
        <v>1227.9699999999998</v>
      </c>
      <c r="K45" s="24">
        <f>SUMIFS('Saldos Iniciales'!$D:$D,'Saldos Iniciales'!$A:$A,"Sacred Valley Capital")+SUMIFS(Movimientos!$K$1:$K$363,Movimientos!$C$1:$C$363,"Sacred Valley Capital",Movimientos!$B$1:$B$363,"&lt;="&amp;$B45)</f>
        <v>84.35</v>
      </c>
      <c r="L45" s="24">
        <f>SUMIFS('Saldos Iniciales'!$D:$D,'Saldos Iniciales'!$A:$A,"YWC Capital")+SUMIFS(Movimientos!$K$1:$K$363,Movimientos!$C$1:$C$363,"YWC Capital",Movimientos!$B$1:$B$363,"&lt;="&amp;$B45)</f>
        <v>2237.77</v>
      </c>
      <c r="M45" s="24">
        <f>SUMIFS('Saldos Iniciales'!$D:$D,'Saldos Iniciales'!$A:$A,"Soweto")+SUMIFS(Movimientos!$K$1:$K$363,Movimientos!$C$1:$C$363,"Soweto",Movimientos!$B$1:$B$363,"&lt;="&amp;$B45)</f>
        <v>3349.94</v>
      </c>
      <c r="N45" s="24">
        <f>SUMIFS('Saldos Iniciales'!$D:$D,'Saldos Iniciales'!$A:$A,"Green Stone Trust")+SUMIFS(Movimientos!$K$1:$K$363,Movimientos!$C$1:$C$363,"Green Stone Trust",Movimientos!$B$1:$B$363,"&lt;="&amp;$B45)</f>
        <v>1968.99</v>
      </c>
      <c r="O45" s="24">
        <f>SUMIFS('Saldos Iniciales'!$D:$D,'Saldos Iniciales'!$A:$A,"EC Auto")+SUMIFS(Movimientos!$K$1:$K$363,Movimientos!$C$1:$C$363,"EC Auto",Movimientos!$B$1:$B$363,"&lt;="&amp;$B45)</f>
        <v>382.69000000000005</v>
      </c>
      <c r="P45" s="24">
        <f>SUMIFS('Saldos Iniciales'!$D:$D,'Saldos Iniciales'!$A:$A,"Arbor Capital Properties")+SUMIFS(Movimientos!$K$1:$K$363,Movimientos!$C$1:$C$363,"Arbor Capital Properties",Movimientos!$B$1:$B$363,"&lt;="&amp;$B45)</f>
        <v>1428.08</v>
      </c>
      <c r="Q45" s="24">
        <f>SUMIFS('Saldos Iniciales'!$D:$D,'Saldos Iniciales'!$A:$A,"2515 Overbrook")+SUMIFS(Movimientos!$K$1:$K$363,Movimientos!$C$1:$C$363,"2515 Overbrook",Movimientos!$B$1:$B$363,"&lt;="&amp;$B45)</f>
        <v>27789.969999999961</v>
      </c>
      <c r="R45" s="24">
        <f>SUMIFS('Saldos Iniciales'!$D:$D,'Saldos Iniciales'!$A:$A,"112 Florida Ave")+SUMIFS(Movimientos!$K$1:$K$363,Movimientos!$C$1:$C$363,"112 Florida Ave",Movimientos!$B$1:$B$363,"&lt;="&amp;$B45)</f>
        <v>5321.4300000000021</v>
      </c>
      <c r="S45" s="24">
        <f>SUMIFS('Saldos Iniciales'!$D:$D,'Saldos Iniciales'!$A:$A,"3628 Thomas Ave")+SUMIFS(Movimientos!$K$1:$K$363,Movimientos!$C$1:$C$363,"3628 Thomas Ave",Movimientos!$B$1:$B$363,"&lt;="&amp;$B45)</f>
        <v>24484.85</v>
      </c>
      <c r="T45" s="24">
        <f>SUMIFS('Saldos Iniciales'!$D:$D,'Saldos Iniciales'!$A:$A,"Green Harbor Trust")+SUMIFS(Movimientos!$K$1:$K$363,Movimientos!$C$1:$C$363,"Green Harbor Trust",Movimientos!$B$1:$B$363,"&lt;="&amp;$B45)</f>
        <v>345</v>
      </c>
      <c r="U45" s="24">
        <f>SUMIFS('Saldos Iniciales'!$D:$D,'Saldos Iniciales'!$A:$A,"Go Blue")+SUMIFS(Movimientos!$K$1:$K$363,Movimientos!$C$1:$C$363,"Go Blue",Movimientos!$B$1:$B$363,"&lt;="&amp;$B45)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Group")+SUMIFS(Movimientos!$K$1:$K$363,Movimientos!$C$1:$C$363,"CFT Group",Movimientos!$B$1:$B$363,"&lt;="&amp;$B46)</f>
        <v>1837784.84</v>
      </c>
      <c r="D46" s="24">
        <f>SUMIFS('Saldos Iniciales'!$D:$D,'Saldos Iniciales'!$A:$A,"M1B")+SUMIFS(Movimientos!$K$1:$K$363,Movimientos!$C$1:$C$363,"M1B",Movimientos!$B$1:$B$363,"&lt;="&amp;$B46)</f>
        <v>69376.390000000174</v>
      </c>
      <c r="E46" s="24">
        <f>SUMIFS('Saldos Iniciales'!$D:$D,'Saldos Iniciales'!$A:$A,"Durand")+SUMIFS(Movimientos!$K$1:$K$363,Movimientos!$C$1:$C$363,"Durand",Movimientos!$B$1:$B$363,"&lt;="&amp;$B46)</f>
        <v>1669.89</v>
      </c>
      <c r="F46" s="24">
        <f>SUMIFS('Saldos Iniciales'!$D:$D,'Saldos Iniciales'!$A:$A,"A&amp;M Imports")+SUMIFS(Movimientos!$K$1:$K$363,Movimientos!$C$1:$C$363,"A&amp;M Imports",Movimientos!$B$1:$B$363,"&lt;="&amp;$B46)</f>
        <v>564626.20999999985</v>
      </c>
      <c r="G46" s="24">
        <f>SUMIFS('Saldos Iniciales'!$D:$D,'Saldos Iniciales'!$A:$A,"SSP Capital")+SUMIFS(Movimientos!$K$1:$K$363,Movimientos!$C$1:$C$363,"SSP Capital",Movimientos!$B$1:$B$363,"&lt;="&amp;$B46)</f>
        <v>3763348.8299999996</v>
      </c>
      <c r="H46" s="24">
        <f>SUMIFS('Saldos Iniciales'!$D:$D,'Saldos Iniciales'!$A:$A,"Cross Family Trust")+SUMIFS(Movimientos!$K$1:$K$363,Movimientos!$C$1:$C$363,"Cross Family Trust",Movimientos!$B$1:$B$363,"&lt;="&amp;$B46)</f>
        <v>116496.38</v>
      </c>
      <c r="I46" s="24">
        <f>SUMIFS('Saldos Iniciales'!$D:$D,'Saldos Iniciales'!$A:$A,"Cross Security Trust")+SUMIFS(Movimientos!$K$1:$K$363,Movimientos!$C$1:$C$363,"Cross Security Trust",Movimientos!$B$1:$B$363,"&lt;="&amp;$B46)</f>
        <v>88090.37</v>
      </c>
      <c r="J46" s="24">
        <f>SUMIFS('Saldos Iniciales'!$D:$D,'Saldos Iniciales'!$A:$A,"Electrama")+SUMIFS(Movimientos!$K$1:$K$363,Movimientos!$C$1:$C$363,"Electrama",Movimientos!$B$1:$B$363,"&lt;="&amp;$B46)</f>
        <v>1227.9699999999998</v>
      </c>
      <c r="K46" s="24">
        <f>SUMIFS('Saldos Iniciales'!$D:$D,'Saldos Iniciales'!$A:$A,"Sacred Valley Capital")+SUMIFS(Movimientos!$K$1:$K$363,Movimientos!$C$1:$C$363,"Sacred Valley Capital",Movimientos!$B$1:$B$363,"&lt;="&amp;$B46)</f>
        <v>84.35</v>
      </c>
      <c r="L46" s="24">
        <f>SUMIFS('Saldos Iniciales'!$D:$D,'Saldos Iniciales'!$A:$A,"YWC Capital")+SUMIFS(Movimientos!$K$1:$K$363,Movimientos!$C$1:$C$363,"YWC Capital",Movimientos!$B$1:$B$363,"&lt;="&amp;$B46)</f>
        <v>2237.77</v>
      </c>
      <c r="M46" s="24">
        <f>SUMIFS('Saldos Iniciales'!$D:$D,'Saldos Iniciales'!$A:$A,"Soweto")+SUMIFS(Movimientos!$K$1:$K$363,Movimientos!$C$1:$C$363,"Soweto",Movimientos!$B$1:$B$363,"&lt;="&amp;$B46)</f>
        <v>3349.94</v>
      </c>
      <c r="N46" s="24">
        <f>SUMIFS('Saldos Iniciales'!$D:$D,'Saldos Iniciales'!$A:$A,"Green Stone Trust")+SUMIFS(Movimientos!$K$1:$K$363,Movimientos!$C$1:$C$363,"Green Stone Trust",Movimientos!$B$1:$B$363,"&lt;="&amp;$B46)</f>
        <v>1968.99</v>
      </c>
      <c r="O46" s="24">
        <f>SUMIFS('Saldos Iniciales'!$D:$D,'Saldos Iniciales'!$A:$A,"EC Auto")+SUMIFS(Movimientos!$K$1:$K$363,Movimientos!$C$1:$C$363,"EC Auto",Movimientos!$B$1:$B$363,"&lt;="&amp;$B46)</f>
        <v>382.69000000000005</v>
      </c>
      <c r="P46" s="24">
        <f>SUMIFS('Saldos Iniciales'!$D:$D,'Saldos Iniciales'!$A:$A,"Arbor Capital Properties")+SUMIFS(Movimientos!$K$1:$K$363,Movimientos!$C$1:$C$363,"Arbor Capital Properties",Movimientos!$B$1:$B$363,"&lt;="&amp;$B46)</f>
        <v>1428.08</v>
      </c>
      <c r="Q46" s="24">
        <f>SUMIFS('Saldos Iniciales'!$D:$D,'Saldos Iniciales'!$A:$A,"2515 Overbrook")+SUMIFS(Movimientos!$K$1:$K$363,Movimientos!$C$1:$C$363,"2515 Overbrook",Movimientos!$B$1:$B$363,"&lt;="&amp;$B46)</f>
        <v>27789.969999999961</v>
      </c>
      <c r="R46" s="24">
        <f>SUMIFS('Saldos Iniciales'!$D:$D,'Saldos Iniciales'!$A:$A,"112 Florida Ave")+SUMIFS(Movimientos!$K$1:$K$363,Movimientos!$C$1:$C$363,"112 Florida Ave",Movimientos!$B$1:$B$363,"&lt;="&amp;$B46)</f>
        <v>5321.4300000000021</v>
      </c>
      <c r="S46" s="24">
        <f>SUMIFS('Saldos Iniciales'!$D:$D,'Saldos Iniciales'!$A:$A,"3628 Thomas Ave")+SUMIFS(Movimientos!$K$1:$K$363,Movimientos!$C$1:$C$363,"3628 Thomas Ave",Movimientos!$B$1:$B$363,"&lt;="&amp;$B46)</f>
        <v>24484.85</v>
      </c>
      <c r="T46" s="24">
        <f>SUMIFS('Saldos Iniciales'!$D:$D,'Saldos Iniciales'!$A:$A,"Green Harbor Trust")+SUMIFS(Movimientos!$K$1:$K$363,Movimientos!$C$1:$C$363,"Green Harbor Trust",Movimientos!$B$1:$B$363,"&lt;="&amp;$B46)</f>
        <v>345</v>
      </c>
      <c r="U46" s="24">
        <f>SUMIFS('Saldos Iniciales'!$D:$D,'Saldos Iniciales'!$A:$A,"Go Blue")+SUMIFS(Movimientos!$K$1:$K$363,Movimientos!$C$1:$C$363,"Go Blue",Movimientos!$B$1:$B$363,"&lt;="&amp;$B46)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Group")+SUMIFS(Movimientos!$K$1:$K$363,Movimientos!$C$1:$C$363,"CFT Group",Movimientos!$B$1:$B$363,"&lt;="&amp;$B47)</f>
        <v>985975.94000000029</v>
      </c>
      <c r="D47" s="24">
        <f>SUMIFS('Saldos Iniciales'!$D:$D,'Saldos Iniciales'!$A:$A,"M1B")+SUMIFS(Movimientos!$K$1:$K$363,Movimientos!$C$1:$C$363,"M1B",Movimientos!$B$1:$B$363,"&lt;="&amp;$B47)</f>
        <v>69376.390000000174</v>
      </c>
      <c r="E47" s="24">
        <f>SUMIFS('Saldos Iniciales'!$D:$D,'Saldos Iniciales'!$A:$A,"Durand")+SUMIFS(Movimientos!$K$1:$K$363,Movimientos!$C$1:$C$363,"Durand",Movimientos!$B$1:$B$363,"&lt;="&amp;$B47)</f>
        <v>1669.89</v>
      </c>
      <c r="F47" s="24">
        <f>SUMIFS('Saldos Iniciales'!$D:$D,'Saldos Iniciales'!$A:$A,"A&amp;M Imports")+SUMIFS(Movimientos!$K$1:$K$363,Movimientos!$C$1:$C$363,"A&amp;M Imports",Movimientos!$B$1:$B$363,"&lt;="&amp;$B47)</f>
        <v>503904.80999999982</v>
      </c>
      <c r="G47" s="24">
        <f>SUMIFS('Saldos Iniciales'!$D:$D,'Saldos Iniciales'!$A:$A,"SSP Capital")+SUMIFS(Movimientos!$K$1:$K$363,Movimientos!$C$1:$C$363,"SSP Capital",Movimientos!$B$1:$B$363,"&lt;="&amp;$B47)</f>
        <v>3331737.2399999998</v>
      </c>
      <c r="H47" s="24">
        <f>SUMIFS('Saldos Iniciales'!$D:$D,'Saldos Iniciales'!$A:$A,"Cross Family Trust")+SUMIFS(Movimientos!$K$1:$K$363,Movimientos!$C$1:$C$363,"Cross Family Trust",Movimientos!$B$1:$B$363,"&lt;="&amp;$B47)</f>
        <v>116496.38</v>
      </c>
      <c r="I47" s="24">
        <f>SUMIFS('Saldos Iniciales'!$D:$D,'Saldos Iniciales'!$A:$A,"Cross Security Trust")+SUMIFS(Movimientos!$K$1:$K$363,Movimientos!$C$1:$C$363,"Cross Security Trust",Movimientos!$B$1:$B$363,"&lt;="&amp;$B47)</f>
        <v>88090.37</v>
      </c>
      <c r="J47" s="24">
        <f>SUMIFS('Saldos Iniciales'!$D:$D,'Saldos Iniciales'!$A:$A,"Electrama")+SUMIFS(Movimientos!$K$1:$K$363,Movimientos!$C$1:$C$363,"Electrama",Movimientos!$B$1:$B$363,"&lt;="&amp;$B47)</f>
        <v>1227.9699999999998</v>
      </c>
      <c r="K47" s="24">
        <f>SUMIFS('Saldos Iniciales'!$D:$D,'Saldos Iniciales'!$A:$A,"Sacred Valley Capital")+SUMIFS(Movimientos!$K$1:$K$363,Movimientos!$C$1:$C$363,"Sacred Valley Capital",Movimientos!$B$1:$B$363,"&lt;="&amp;$B47)</f>
        <v>84.35</v>
      </c>
      <c r="L47" s="24">
        <f>SUMIFS('Saldos Iniciales'!$D:$D,'Saldos Iniciales'!$A:$A,"YWC Capital")+SUMIFS(Movimientos!$K$1:$K$363,Movimientos!$C$1:$C$363,"YWC Capital",Movimientos!$B$1:$B$363,"&lt;="&amp;$B47)</f>
        <v>2237.77</v>
      </c>
      <c r="M47" s="24">
        <f>SUMIFS('Saldos Iniciales'!$D:$D,'Saldos Iniciales'!$A:$A,"Soweto")+SUMIFS(Movimientos!$K$1:$K$363,Movimientos!$C$1:$C$363,"Soweto",Movimientos!$B$1:$B$363,"&lt;="&amp;$B47)</f>
        <v>3349.94</v>
      </c>
      <c r="N47" s="24">
        <f>SUMIFS('Saldos Iniciales'!$D:$D,'Saldos Iniciales'!$A:$A,"Green Stone Trust")+SUMIFS(Movimientos!$K$1:$K$363,Movimientos!$C$1:$C$363,"Green Stone Trust",Movimientos!$B$1:$B$363,"&lt;="&amp;$B47)</f>
        <v>1968.99</v>
      </c>
      <c r="O47" s="24">
        <f>SUMIFS('Saldos Iniciales'!$D:$D,'Saldos Iniciales'!$A:$A,"EC Auto")+SUMIFS(Movimientos!$K$1:$K$363,Movimientos!$C$1:$C$363,"EC Auto",Movimientos!$B$1:$B$363,"&lt;="&amp;$B47)</f>
        <v>382.69000000000005</v>
      </c>
      <c r="P47" s="24">
        <f>SUMIFS('Saldos Iniciales'!$D:$D,'Saldos Iniciales'!$A:$A,"Arbor Capital Properties")+SUMIFS(Movimientos!$K$1:$K$363,Movimientos!$C$1:$C$363,"Arbor Capital Properties",Movimientos!$B$1:$B$363,"&lt;="&amp;$B47)</f>
        <v>1428.08</v>
      </c>
      <c r="Q47" s="24">
        <f>SUMIFS('Saldos Iniciales'!$D:$D,'Saldos Iniciales'!$A:$A,"2515 Overbrook")+SUMIFS(Movimientos!$K$1:$K$363,Movimientos!$C$1:$C$363,"2515 Overbrook",Movimientos!$B$1:$B$363,"&lt;="&amp;$B47)</f>
        <v>29789.969999999961</v>
      </c>
      <c r="R47" s="24">
        <f>SUMIFS('Saldos Iniciales'!$D:$D,'Saldos Iniciales'!$A:$A,"112 Florida Ave")+SUMIFS(Movimientos!$K$1:$K$363,Movimientos!$C$1:$C$363,"112 Florida Ave",Movimientos!$B$1:$B$363,"&lt;="&amp;$B47)</f>
        <v>5321.4300000000021</v>
      </c>
      <c r="S47" s="24">
        <f>SUMIFS('Saldos Iniciales'!$D:$D,'Saldos Iniciales'!$A:$A,"3628 Thomas Ave")+SUMIFS(Movimientos!$K$1:$K$363,Movimientos!$C$1:$C$363,"3628 Thomas Ave",Movimientos!$B$1:$B$363,"&lt;="&amp;$B47)</f>
        <v>20484.849999999999</v>
      </c>
      <c r="T47" s="24">
        <f>SUMIFS('Saldos Iniciales'!$D:$D,'Saldos Iniciales'!$A:$A,"Green Harbor Trust")+SUMIFS(Movimientos!$K$1:$K$363,Movimientos!$C$1:$C$363,"Green Harbor Trust",Movimientos!$B$1:$B$363,"&lt;="&amp;$B47)</f>
        <v>345</v>
      </c>
      <c r="U47" s="24">
        <f>SUMIFS('Saldos Iniciales'!$D:$D,'Saldos Iniciales'!$A:$A,"Go Blue")+SUMIFS(Movimientos!$K$1:$K$363,Movimientos!$C$1:$C$363,"Go Blue",Movimientos!$B$1:$B$363,"&lt;="&amp;$B47)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Group")+SUMIFS(Movimientos!$K$1:$K$363,Movimientos!$C$1:$C$363,"CFT Group",Movimientos!$B$1:$B$363,"&lt;="&amp;$B48)</f>
        <v>1086358.7500000002</v>
      </c>
      <c r="D48" s="24">
        <f>SUMIFS('Saldos Iniciales'!$D:$D,'Saldos Iniciales'!$A:$A,"M1B")+SUMIFS(Movimientos!$K$1:$K$363,Movimientos!$C$1:$C$363,"M1B",Movimientos!$B$1:$B$363,"&lt;="&amp;$B48)</f>
        <v>69376.390000000174</v>
      </c>
      <c r="E48" s="24">
        <f>SUMIFS('Saldos Iniciales'!$D:$D,'Saldos Iniciales'!$A:$A,"Durand")+SUMIFS(Movimientos!$K$1:$K$363,Movimientos!$C$1:$C$363,"Durand",Movimientos!$B$1:$B$363,"&lt;="&amp;$B48)</f>
        <v>1669.89</v>
      </c>
      <c r="F48" s="24">
        <f>SUMIFS('Saldos Iniciales'!$D:$D,'Saldos Iniciales'!$A:$A,"A&amp;M Imports")+SUMIFS(Movimientos!$K$1:$K$363,Movimientos!$C$1:$C$363,"A&amp;M Imports",Movimientos!$B$1:$B$363,"&lt;="&amp;$B48)</f>
        <v>503904.80999999982</v>
      </c>
      <c r="G48" s="24">
        <f>SUMIFS('Saldos Iniciales'!$D:$D,'Saldos Iniciales'!$A:$A,"SSP Capital")+SUMIFS(Movimientos!$K$1:$K$363,Movimientos!$C$1:$C$363,"SSP Capital",Movimientos!$B$1:$B$363,"&lt;="&amp;$B48)</f>
        <v>3329246.88</v>
      </c>
      <c r="H48" s="24">
        <f>SUMIFS('Saldos Iniciales'!$D:$D,'Saldos Iniciales'!$A:$A,"Cross Family Trust")+SUMIFS(Movimientos!$K$1:$K$363,Movimientos!$C$1:$C$363,"Cross Family Trust",Movimientos!$B$1:$B$363,"&lt;="&amp;$B48)</f>
        <v>116496.38</v>
      </c>
      <c r="I48" s="24">
        <f>SUMIFS('Saldos Iniciales'!$D:$D,'Saldos Iniciales'!$A:$A,"Cross Security Trust")+SUMIFS(Movimientos!$K$1:$K$363,Movimientos!$C$1:$C$363,"Cross Security Trust",Movimientos!$B$1:$B$363,"&lt;="&amp;$B48)</f>
        <v>88090.37</v>
      </c>
      <c r="J48" s="24">
        <f>SUMIFS('Saldos Iniciales'!$D:$D,'Saldos Iniciales'!$A:$A,"Electrama")+SUMIFS(Movimientos!$K$1:$K$363,Movimientos!$C$1:$C$363,"Electrama",Movimientos!$B$1:$B$363,"&lt;="&amp;$B48)</f>
        <v>1227.9699999999998</v>
      </c>
      <c r="K48" s="24">
        <f>SUMIFS('Saldos Iniciales'!$D:$D,'Saldos Iniciales'!$A:$A,"Sacred Valley Capital")+SUMIFS(Movimientos!$K$1:$K$363,Movimientos!$C$1:$C$363,"Sacred Valley Capital",Movimientos!$B$1:$B$363,"&lt;="&amp;$B48)</f>
        <v>84.35</v>
      </c>
      <c r="L48" s="24">
        <f>SUMIFS('Saldos Iniciales'!$D:$D,'Saldos Iniciales'!$A:$A,"YWC Capital")+SUMIFS(Movimientos!$K$1:$K$363,Movimientos!$C$1:$C$363,"YWC Capital",Movimientos!$B$1:$B$363,"&lt;="&amp;$B48)</f>
        <v>2237.77</v>
      </c>
      <c r="M48" s="24">
        <f>SUMIFS('Saldos Iniciales'!$D:$D,'Saldos Iniciales'!$A:$A,"Soweto")+SUMIFS(Movimientos!$K$1:$K$363,Movimientos!$C$1:$C$363,"Soweto",Movimientos!$B$1:$B$363,"&lt;="&amp;$B48)</f>
        <v>3349.94</v>
      </c>
      <c r="N48" s="24">
        <f>SUMIFS('Saldos Iniciales'!$D:$D,'Saldos Iniciales'!$A:$A,"Green Stone Trust")+SUMIFS(Movimientos!$K$1:$K$363,Movimientos!$C$1:$C$363,"Green Stone Trust",Movimientos!$B$1:$B$363,"&lt;="&amp;$B48)</f>
        <v>1968.99</v>
      </c>
      <c r="O48" s="24">
        <f>SUMIFS('Saldos Iniciales'!$D:$D,'Saldos Iniciales'!$A:$A,"EC Auto")+SUMIFS(Movimientos!$K$1:$K$363,Movimientos!$C$1:$C$363,"EC Auto",Movimientos!$B$1:$B$363,"&lt;="&amp;$B48)</f>
        <v>382.69000000000005</v>
      </c>
      <c r="P48" s="24">
        <f>SUMIFS('Saldos Iniciales'!$D:$D,'Saldos Iniciales'!$A:$A,"Arbor Capital Properties")+SUMIFS(Movimientos!$K$1:$K$363,Movimientos!$C$1:$C$363,"Arbor Capital Properties",Movimientos!$B$1:$B$363,"&lt;="&amp;$B48)</f>
        <v>1428.08</v>
      </c>
      <c r="Q48" s="24">
        <f>SUMIFS('Saldos Iniciales'!$D:$D,'Saldos Iniciales'!$A:$A,"2515 Overbrook")+SUMIFS(Movimientos!$K$1:$K$363,Movimientos!$C$1:$C$363,"2515 Overbrook",Movimientos!$B$1:$B$363,"&lt;="&amp;$B48)</f>
        <v>29789.969999999961</v>
      </c>
      <c r="R48" s="24">
        <f>SUMIFS('Saldos Iniciales'!$D:$D,'Saldos Iniciales'!$A:$A,"112 Florida Ave")+SUMIFS(Movimientos!$K$1:$K$363,Movimientos!$C$1:$C$363,"112 Florida Ave",Movimientos!$B$1:$B$363,"&lt;="&amp;$B48)</f>
        <v>20321.43</v>
      </c>
      <c r="S48" s="24">
        <f>SUMIFS('Saldos Iniciales'!$D:$D,'Saldos Iniciales'!$A:$A,"3628 Thomas Ave")+SUMIFS(Movimientos!$K$1:$K$363,Movimientos!$C$1:$C$363,"3628 Thomas Ave",Movimientos!$B$1:$B$363,"&lt;="&amp;$B48)</f>
        <v>19811.349999999999</v>
      </c>
      <c r="T48" s="24">
        <f>SUMIFS('Saldos Iniciales'!$D:$D,'Saldos Iniciales'!$A:$A,"Green Harbor Trust")+SUMIFS(Movimientos!$K$1:$K$363,Movimientos!$C$1:$C$363,"Green Harbor Trust",Movimientos!$B$1:$B$363,"&lt;="&amp;$B48)</f>
        <v>345</v>
      </c>
      <c r="U48" s="24">
        <f>SUMIFS('Saldos Iniciales'!$D:$D,'Saldos Iniciales'!$A:$A,"Go Blue")+SUMIFS(Movimientos!$K$1:$K$363,Movimientos!$C$1:$C$363,"Go Blue",Movimientos!$B$1:$B$363,"&lt;="&amp;$B48)</f>
        <v>46041.01</v>
      </c>
      <c r="V48" s="25">
        <f t="shared" ref="V48" si="5">SUM(C48:U48)</f>
        <v>5322132.0199999986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Group")+SUMIFS(Movimientos!$K$1:$K$363,Movimientos!$C$1:$C$363,"CFT Group",Movimientos!$B$1:$B$363,"&lt;="&amp;$B49)</f>
        <v>1098358.7500000002</v>
      </c>
      <c r="D49" s="24">
        <f>SUMIFS('Saldos Iniciales'!$D:$D,'Saldos Iniciales'!$A:$A,"M1B")+SUMIFS(Movimientos!$K$1:$K$363,Movimientos!$C$1:$C$363,"M1B",Movimientos!$B$1:$B$363,"&lt;="&amp;$B49)</f>
        <v>69376.390000000174</v>
      </c>
      <c r="E49" s="24">
        <f>SUMIFS('Saldos Iniciales'!$D:$D,'Saldos Iniciales'!$A:$A,"Durand")+SUMIFS(Movimientos!$K$1:$K$363,Movimientos!$C$1:$C$363,"Durand",Movimientos!$B$1:$B$363,"&lt;="&amp;$B49)</f>
        <v>1669.89</v>
      </c>
      <c r="F49" s="24">
        <f>SUMIFS('Saldos Iniciales'!$D:$D,'Saldos Iniciales'!$A:$A,"A&amp;M Imports")+SUMIFS(Movimientos!$K$1:$K$363,Movimientos!$C$1:$C$363,"A&amp;M Imports",Movimientos!$B$1:$B$363,"&lt;="&amp;$B49)</f>
        <v>503904.80999999982</v>
      </c>
      <c r="G49" s="24">
        <f>SUMIFS('Saldos Iniciales'!$D:$D,'Saldos Iniciales'!$A:$A,"SSP Capital")+SUMIFS(Movimientos!$K$1:$K$363,Movimientos!$C$1:$C$363,"SSP Capital",Movimientos!$B$1:$B$363,"&lt;="&amp;$B49)</f>
        <v>3326863.3899999997</v>
      </c>
      <c r="H49" s="24">
        <f>SUMIFS('Saldos Iniciales'!$D:$D,'Saldos Iniciales'!$A:$A,"Cross Family Trust")+SUMIFS(Movimientos!$K$1:$K$363,Movimientos!$C$1:$C$363,"Cross Family Trust",Movimientos!$B$1:$B$363,"&lt;="&amp;$B49)</f>
        <v>116496.38</v>
      </c>
      <c r="I49" s="24">
        <f>SUMIFS('Saldos Iniciales'!$D:$D,'Saldos Iniciales'!$A:$A,"Cross Security Trust")+SUMIFS(Movimientos!$K$1:$K$363,Movimientos!$C$1:$C$363,"Cross Security Trust",Movimientos!$B$1:$B$363,"&lt;="&amp;$B49)</f>
        <v>88090.37</v>
      </c>
      <c r="J49" s="24">
        <f>SUMIFS('Saldos Iniciales'!$D:$D,'Saldos Iniciales'!$A:$A,"Electrama")+SUMIFS(Movimientos!$K$1:$K$363,Movimientos!$C$1:$C$363,"Electrama",Movimientos!$B$1:$B$363,"&lt;="&amp;$B49)</f>
        <v>1227.9699999999998</v>
      </c>
      <c r="K49" s="24">
        <f>SUMIFS('Saldos Iniciales'!$D:$D,'Saldos Iniciales'!$A:$A,"Sacred Valley Capital")+SUMIFS(Movimientos!$K$1:$K$363,Movimientos!$C$1:$C$363,"Sacred Valley Capital",Movimientos!$B$1:$B$363,"&lt;="&amp;$B49)</f>
        <v>84.35</v>
      </c>
      <c r="L49" s="24">
        <f>SUMIFS('Saldos Iniciales'!$D:$D,'Saldos Iniciales'!$A:$A,"YWC Capital")+SUMIFS(Movimientos!$K$1:$K$363,Movimientos!$C$1:$C$363,"YWC Capital",Movimientos!$B$1:$B$363,"&lt;="&amp;$B49)</f>
        <v>2237.77</v>
      </c>
      <c r="M49" s="24">
        <f>SUMIFS('Saldos Iniciales'!$D:$D,'Saldos Iniciales'!$A:$A,"Soweto")+SUMIFS(Movimientos!$K$1:$K$363,Movimientos!$C$1:$C$363,"Soweto",Movimientos!$B$1:$B$363,"&lt;="&amp;$B49)</f>
        <v>3349.94</v>
      </c>
      <c r="N49" s="24">
        <f>SUMIFS('Saldos Iniciales'!$D:$D,'Saldos Iniciales'!$A:$A,"Green Stone Trust")+SUMIFS(Movimientos!$K$1:$K$363,Movimientos!$C$1:$C$363,"Green Stone Trust",Movimientos!$B$1:$B$363,"&lt;="&amp;$B49)</f>
        <v>1968.99</v>
      </c>
      <c r="O49" s="24">
        <f>SUMIFS('Saldos Iniciales'!$D:$D,'Saldos Iniciales'!$A:$A,"EC Auto")+SUMIFS(Movimientos!$K$1:$K$363,Movimientos!$C$1:$C$363,"EC Auto",Movimientos!$B$1:$B$363,"&lt;="&amp;$B49)</f>
        <v>382.69000000000005</v>
      </c>
      <c r="P49" s="24">
        <f>SUMIFS('Saldos Iniciales'!$D:$D,'Saldos Iniciales'!$A:$A,"Arbor Capital Properties")+SUMIFS(Movimientos!$K$1:$K$363,Movimientos!$C$1:$C$363,"Arbor Capital Properties",Movimientos!$B$1:$B$363,"&lt;="&amp;$B49)</f>
        <v>1428.08</v>
      </c>
      <c r="Q49" s="24">
        <f>SUMIFS('Saldos Iniciales'!$D:$D,'Saldos Iniciales'!$A:$A,"2515 Overbrook")+SUMIFS(Movimientos!$K$1:$K$363,Movimientos!$C$1:$C$363,"2515 Overbrook",Movimientos!$B$1:$B$363,"&lt;="&amp;$B49)</f>
        <v>29789.969999999961</v>
      </c>
      <c r="R49" s="24">
        <f>SUMIFS('Saldos Iniciales'!$D:$D,'Saldos Iniciales'!$A:$A,"112 Florida Ave")+SUMIFS(Movimientos!$K$1:$K$363,Movimientos!$C$1:$C$363,"112 Florida Ave",Movimientos!$B$1:$B$363,"&lt;="&amp;$B49)</f>
        <v>20321.43</v>
      </c>
      <c r="S49" s="24">
        <f>SUMIFS('Saldos Iniciales'!$D:$D,'Saldos Iniciales'!$A:$A,"3628 Thomas Ave")+SUMIFS(Movimientos!$K$1:$K$363,Movimientos!$C$1:$C$363,"3628 Thomas Ave",Movimientos!$B$1:$B$363,"&lt;="&amp;$B49)</f>
        <v>16681.349999999999</v>
      </c>
      <c r="T49" s="24">
        <f>SUMIFS('Saldos Iniciales'!$D:$D,'Saldos Iniciales'!$A:$A,"Green Harbor Trust")+SUMIFS(Movimientos!$K$1:$K$363,Movimientos!$C$1:$C$363,"Green Harbor Trust",Movimientos!$B$1:$B$363,"&lt;="&amp;$B49)</f>
        <v>345</v>
      </c>
      <c r="U49" s="24">
        <f>SUMIFS('Saldos Iniciales'!$D:$D,'Saldos Iniciales'!$A:$A,"Go Blue")+SUMIFS(Movimientos!$K$1:$K$363,Movimientos!$C$1:$C$363,"Go Blue",Movimientos!$B$1:$B$363,"&lt;="&amp;$B49)</f>
        <v>45041.01</v>
      </c>
      <c r="V49" s="25">
        <f t="shared" ref="V49" si="6">SUM(C49:U49)</f>
        <v>5327618.5299999984</v>
      </c>
    </row>
    <row r="50" spans="1:22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Group")+SUMIFS(Movimientos!$K$1:$K$363,Movimientos!$C$1:$C$363,"CFT Group",Movimientos!$B$1:$B$363,"&lt;="&amp;$B50)</f>
        <v>1098358.7500000002</v>
      </c>
      <c r="D50" s="24">
        <f>SUMIFS('Saldos Iniciales'!$D:$D,'Saldos Iniciales'!$A:$A,"M1B")+SUMIFS(Movimientos!$K$1:$K$363,Movimientos!$C$1:$C$363,"M1B",Movimientos!$B$1:$B$363,"&lt;="&amp;$B50)</f>
        <v>69376.390000000174</v>
      </c>
      <c r="E50" s="24">
        <f>SUMIFS('Saldos Iniciales'!$D:$D,'Saldos Iniciales'!$A:$A,"Durand")+SUMIFS(Movimientos!$K$1:$K$363,Movimientos!$C$1:$C$363,"Durand",Movimientos!$B$1:$B$363,"&lt;="&amp;$B50)</f>
        <v>1669.89</v>
      </c>
      <c r="F50" s="24">
        <f>SUMIFS('Saldos Iniciales'!$D:$D,'Saldos Iniciales'!$A:$A,"A&amp;M Imports")+SUMIFS(Movimientos!$K$1:$K$363,Movimientos!$C$1:$C$363,"A&amp;M Imports",Movimientos!$B$1:$B$363,"&lt;="&amp;$B50)</f>
        <v>503904.80999999982</v>
      </c>
      <c r="G50" s="24">
        <f>SUMIFS('Saldos Iniciales'!$D:$D,'Saldos Iniciales'!$A:$A,"SSP Capital")+SUMIFS(Movimientos!$K$1:$K$363,Movimientos!$C$1:$C$363,"SSP Capital",Movimientos!$B$1:$B$363,"&lt;="&amp;$B50)</f>
        <v>3326696.7299999995</v>
      </c>
      <c r="H50" s="24">
        <f>SUMIFS('Saldos Iniciales'!$D:$D,'Saldos Iniciales'!$A:$A,"Cross Family Trust")+SUMIFS(Movimientos!$K$1:$K$363,Movimientos!$C$1:$C$363,"Cross Family Trust",Movimientos!$B$1:$B$363,"&lt;="&amp;$B50)</f>
        <v>116496.38</v>
      </c>
      <c r="I50" s="24">
        <f>SUMIFS('Saldos Iniciales'!$D:$D,'Saldos Iniciales'!$A:$A,"Cross Security Trust")+SUMIFS(Movimientos!$K$1:$K$363,Movimientos!$C$1:$C$363,"Cross Security Trust",Movimientos!$B$1:$B$363,"&lt;="&amp;$B50)</f>
        <v>88090.37</v>
      </c>
      <c r="J50" s="24">
        <f>SUMIFS('Saldos Iniciales'!$D:$D,'Saldos Iniciales'!$A:$A,"Electrama")+SUMIFS(Movimientos!$K$1:$K$363,Movimientos!$C$1:$C$363,"Electrama",Movimientos!$B$1:$B$363,"&lt;="&amp;$B50)</f>
        <v>1227.9699999999998</v>
      </c>
      <c r="K50" s="24">
        <f>SUMIFS('Saldos Iniciales'!$D:$D,'Saldos Iniciales'!$A:$A,"Sacred Valley Capital")+SUMIFS(Movimientos!$K$1:$K$363,Movimientos!$C$1:$C$363,"Sacred Valley Capital",Movimientos!$B$1:$B$363,"&lt;="&amp;$B50)</f>
        <v>84.35</v>
      </c>
      <c r="L50" s="24">
        <f>SUMIFS('Saldos Iniciales'!$D:$D,'Saldos Iniciales'!$A:$A,"YWC Capital")+SUMIFS(Movimientos!$K$1:$K$363,Movimientos!$C$1:$C$363,"YWC Capital",Movimientos!$B$1:$B$363,"&lt;="&amp;$B50)</f>
        <v>2237.77</v>
      </c>
      <c r="M50" s="24">
        <f>SUMIFS('Saldos Iniciales'!$D:$D,'Saldos Iniciales'!$A:$A,"Soweto")+SUMIFS(Movimientos!$K$1:$K$363,Movimientos!$C$1:$C$363,"Soweto",Movimientos!$B$1:$B$363,"&lt;="&amp;$B50)</f>
        <v>3349.94</v>
      </c>
      <c r="N50" s="24">
        <f>SUMIFS('Saldos Iniciales'!$D:$D,'Saldos Iniciales'!$A:$A,"Green Stone Trust")+SUMIFS(Movimientos!$K$1:$K$363,Movimientos!$C$1:$C$363,"Green Stone Trust",Movimientos!$B$1:$B$363,"&lt;="&amp;$B50)</f>
        <v>1968.99</v>
      </c>
      <c r="O50" s="24">
        <f>SUMIFS('Saldos Iniciales'!$D:$D,'Saldos Iniciales'!$A:$A,"EC Auto")+SUMIFS(Movimientos!$K$1:$K$363,Movimientos!$C$1:$C$363,"EC Auto",Movimientos!$B$1:$B$363,"&lt;="&amp;$B50)</f>
        <v>382.69000000000005</v>
      </c>
      <c r="P50" s="24">
        <f>SUMIFS('Saldos Iniciales'!$D:$D,'Saldos Iniciales'!$A:$A,"Arbor Capital Properties")+SUMIFS(Movimientos!$K$1:$K$363,Movimientos!$C$1:$C$363,"Arbor Capital Properties",Movimientos!$B$1:$B$363,"&lt;="&amp;$B50)</f>
        <v>1428.08</v>
      </c>
      <c r="Q50" s="24">
        <f>SUMIFS('Saldos Iniciales'!$D:$D,'Saldos Iniciales'!$A:$A,"2515 Overbrook")+SUMIFS(Movimientos!$K$1:$K$363,Movimientos!$C$1:$C$363,"2515 Overbrook",Movimientos!$B$1:$B$363,"&lt;="&amp;$B50)</f>
        <v>29789.969999999961</v>
      </c>
      <c r="R50" s="24">
        <f>SUMIFS('Saldos Iniciales'!$D:$D,'Saldos Iniciales'!$A:$A,"112 Florida Ave")+SUMIFS(Movimientos!$K$1:$K$363,Movimientos!$C$1:$C$363,"112 Florida Ave",Movimientos!$B$1:$B$363,"&lt;="&amp;$B50)</f>
        <v>20321.43</v>
      </c>
      <c r="S50" s="24">
        <f>SUMIFS('Saldos Iniciales'!$D:$D,'Saldos Iniciales'!$A:$A,"3628 Thomas Ave")+SUMIFS(Movimientos!$K$1:$K$363,Movimientos!$C$1:$C$363,"3628 Thomas Ave",Movimientos!$B$1:$B$363,"&lt;="&amp;$B50)</f>
        <v>16681.349999999999</v>
      </c>
      <c r="T50" s="24">
        <f>SUMIFS('Saldos Iniciales'!$D:$D,'Saldos Iniciales'!$A:$A,"Green Harbor Trust")+SUMIFS(Movimientos!$K$1:$K$363,Movimientos!$C$1:$C$363,"Green Harbor Trust",Movimientos!$B$1:$B$363,"&lt;="&amp;$B50)</f>
        <v>345</v>
      </c>
      <c r="U50" s="24">
        <f>SUMIFS('Saldos Iniciales'!$D:$D,'Saldos Iniciales'!$A:$A,"Go Blue")+SUMIFS(Movimientos!$K$1:$K$363,Movimientos!$C$1:$C$363,"Go Blue",Movimientos!$B$1:$B$363,"&lt;="&amp;$B50)</f>
        <v>45041.01</v>
      </c>
      <c r="V50" s="25">
        <f t="shared" ref="V50:V51" si="7">SUM(C50:U50)</f>
        <v>5327451.8699999982</v>
      </c>
    </row>
    <row r="51" spans="1:22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Group")+SUMIFS(Movimientos!$K$1:$K$363,Movimientos!$C$1:$C$363,"CFT Group",Movimientos!$B$1:$B$363,"&lt;="&amp;$B51)</f>
        <v>1098358.7500000002</v>
      </c>
      <c r="D51" s="24">
        <f>SUMIFS('Saldos Iniciales'!$D:$D,'Saldos Iniciales'!$A:$A,"M1B")+SUMIFS(Movimientos!$K$1:$K$363,Movimientos!$C$1:$C$363,"M1B",Movimientos!$B$1:$B$363,"&lt;="&amp;$B51)</f>
        <v>69376.390000000174</v>
      </c>
      <c r="E51" s="24">
        <f>SUMIFS('Saldos Iniciales'!$D:$D,'Saldos Iniciales'!$A:$A,"Durand")+SUMIFS(Movimientos!$K$1:$K$363,Movimientos!$C$1:$C$363,"Durand",Movimientos!$B$1:$B$363,"&lt;="&amp;$B51)</f>
        <v>1669.89</v>
      </c>
      <c r="F51" s="24">
        <f>SUMIFS('Saldos Iniciales'!$D:$D,'Saldos Iniciales'!$A:$A,"A&amp;M Imports")+SUMIFS(Movimientos!$K$1:$K$363,Movimientos!$C$1:$C$363,"A&amp;M Imports",Movimientos!$B$1:$B$363,"&lt;="&amp;$B51)</f>
        <v>503904.80999999982</v>
      </c>
      <c r="G51" s="24">
        <f>SUMIFS('Saldos Iniciales'!$D:$D,'Saldos Iniciales'!$A:$A,"SSP Capital")+SUMIFS(Movimientos!$K$1:$K$363,Movimientos!$C$1:$C$363,"SSP Capital",Movimientos!$B$1:$B$363,"&lt;="&amp;$B51)</f>
        <v>3326696.7299999995</v>
      </c>
      <c r="H51" s="24">
        <f>SUMIFS('Saldos Iniciales'!$D:$D,'Saldos Iniciales'!$A:$A,"Cross Family Trust")+SUMIFS(Movimientos!$K$1:$K$363,Movimientos!$C$1:$C$363,"Cross Family Trust",Movimientos!$B$1:$B$363,"&lt;="&amp;$B51)</f>
        <v>116496.38</v>
      </c>
      <c r="I51" s="24">
        <f>SUMIFS('Saldos Iniciales'!$D:$D,'Saldos Iniciales'!$A:$A,"Cross Security Trust")+SUMIFS(Movimientos!$K$1:$K$363,Movimientos!$C$1:$C$363,"Cross Security Trust",Movimientos!$B$1:$B$363,"&lt;="&amp;$B51)</f>
        <v>88090.37</v>
      </c>
      <c r="J51" s="24">
        <f>SUMIFS('Saldos Iniciales'!$D:$D,'Saldos Iniciales'!$A:$A,"Electrama")+SUMIFS(Movimientos!$K$1:$K$363,Movimientos!$C$1:$C$363,"Electrama",Movimientos!$B$1:$B$363,"&lt;="&amp;$B51)</f>
        <v>1227.9699999999998</v>
      </c>
      <c r="K51" s="24">
        <f>SUMIFS('Saldos Iniciales'!$D:$D,'Saldos Iniciales'!$A:$A,"Sacred Valley Capital")+SUMIFS(Movimientos!$K$1:$K$363,Movimientos!$C$1:$C$363,"Sacred Valley Capital",Movimientos!$B$1:$B$363,"&lt;="&amp;$B51)</f>
        <v>84.35</v>
      </c>
      <c r="L51" s="24">
        <f>SUMIFS('Saldos Iniciales'!$D:$D,'Saldos Iniciales'!$A:$A,"YWC Capital")+SUMIFS(Movimientos!$K$1:$K$363,Movimientos!$C$1:$C$363,"YWC Capital",Movimientos!$B$1:$B$363,"&lt;="&amp;$B51)</f>
        <v>2237.77</v>
      </c>
      <c r="M51" s="24">
        <f>SUMIFS('Saldos Iniciales'!$D:$D,'Saldos Iniciales'!$A:$A,"Soweto")+SUMIFS(Movimientos!$K$1:$K$363,Movimientos!$C$1:$C$363,"Soweto",Movimientos!$B$1:$B$363,"&lt;="&amp;$B51)</f>
        <v>3349.94</v>
      </c>
      <c r="N51" s="24">
        <f>SUMIFS('Saldos Iniciales'!$D:$D,'Saldos Iniciales'!$A:$A,"Green Stone Trust")+SUMIFS(Movimientos!$K$1:$K$363,Movimientos!$C$1:$C$363,"Green Stone Trust",Movimientos!$B$1:$B$363,"&lt;="&amp;$B51)</f>
        <v>1968.99</v>
      </c>
      <c r="O51" s="24">
        <f>SUMIFS('Saldos Iniciales'!$D:$D,'Saldos Iniciales'!$A:$A,"EC Auto")+SUMIFS(Movimientos!$K$1:$K$363,Movimientos!$C$1:$C$363,"EC Auto",Movimientos!$B$1:$B$363,"&lt;="&amp;$B51)</f>
        <v>382.69000000000005</v>
      </c>
      <c r="P51" s="24">
        <f>SUMIFS('Saldos Iniciales'!$D:$D,'Saldos Iniciales'!$A:$A,"Arbor Capital Properties")+SUMIFS(Movimientos!$K$1:$K$363,Movimientos!$C$1:$C$363,"Arbor Capital Properties",Movimientos!$B$1:$B$363,"&lt;="&amp;$B51)</f>
        <v>1428.08</v>
      </c>
      <c r="Q51" s="24">
        <f>SUMIFS('Saldos Iniciales'!$D:$D,'Saldos Iniciales'!$A:$A,"2515 Overbrook")+SUMIFS(Movimientos!$K$1:$K$363,Movimientos!$C$1:$C$363,"2515 Overbrook",Movimientos!$B$1:$B$363,"&lt;="&amp;$B51)</f>
        <v>29789.969999999961</v>
      </c>
      <c r="R51" s="24">
        <f>SUMIFS('Saldos Iniciales'!$D:$D,'Saldos Iniciales'!$A:$A,"112 Florida Ave")+SUMIFS(Movimientos!$K$1:$K$363,Movimientos!$C$1:$C$363,"112 Florida Ave",Movimientos!$B$1:$B$363,"&lt;="&amp;$B51)</f>
        <v>20321.43</v>
      </c>
      <c r="S51" s="24">
        <f>SUMIFS('Saldos Iniciales'!$D:$D,'Saldos Iniciales'!$A:$A,"3628 Thomas Ave")+SUMIFS(Movimientos!$K$1:$K$363,Movimientos!$C$1:$C$363,"3628 Thomas Ave",Movimientos!$B$1:$B$363,"&lt;="&amp;$B51)</f>
        <v>16681.349999999999</v>
      </c>
      <c r="T51" s="24">
        <f>SUMIFS('Saldos Iniciales'!$D:$D,'Saldos Iniciales'!$A:$A,"Green Harbor Trust")+SUMIFS(Movimientos!$K$1:$K$363,Movimientos!$C$1:$C$363,"Green Harbor Trust",Movimientos!$B$1:$B$363,"&lt;="&amp;$B51)</f>
        <v>345</v>
      </c>
      <c r="U51" s="24">
        <f>SUMIFS('Saldos Iniciales'!$D:$D,'Saldos Iniciales'!$A:$A,"Go Blue")+SUMIFS(Movimientos!$K$1:$K$363,Movimientos!$C$1:$C$363,"Go Blue",Movimientos!$B$1:$B$363,"&lt;="&amp;$B51)</f>
        <v>45041.01</v>
      </c>
      <c r="V51" s="25">
        <f t="shared" si="7"/>
        <v>5327451.8699999982</v>
      </c>
    </row>
    <row r="52" spans="1:22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Group")+SUMIFS(Movimientos!$K$1:$K$363,Movimientos!$C$1:$C$363,"CFT Group",Movimientos!$B$1:$B$363,"&lt;="&amp;$B52)</f>
        <v>1098358.7500000002</v>
      </c>
      <c r="D52" s="24">
        <f>SUMIFS('Saldos Iniciales'!$D:$D,'Saldos Iniciales'!$A:$A,"M1B")+SUMIFS(Movimientos!$K$1:$K$363,Movimientos!$C$1:$C$363,"M1B",Movimientos!$B$1:$B$363,"&lt;="&amp;$B52)</f>
        <v>69376.390000000174</v>
      </c>
      <c r="E52" s="24">
        <f>SUMIFS('Saldos Iniciales'!$D:$D,'Saldos Iniciales'!$A:$A,"Durand")+SUMIFS(Movimientos!$K$1:$K$363,Movimientos!$C$1:$C$363,"Durand",Movimientos!$B$1:$B$363,"&lt;="&amp;$B52)</f>
        <v>1669.89</v>
      </c>
      <c r="F52" s="24">
        <f>SUMIFS('Saldos Iniciales'!$D:$D,'Saldos Iniciales'!$A:$A,"A&amp;M Imports")+SUMIFS(Movimientos!$K$1:$K$363,Movimientos!$C$1:$C$363,"A&amp;M Imports",Movimientos!$B$1:$B$363,"&lt;="&amp;$B52)</f>
        <v>503904.80999999982</v>
      </c>
      <c r="G52" s="24">
        <f>SUMIFS('Saldos Iniciales'!$D:$D,'Saldos Iniciales'!$A:$A,"SSP Capital")+SUMIFS(Movimientos!$K$1:$K$363,Movimientos!$C$1:$C$363,"SSP Capital",Movimientos!$B$1:$B$363,"&lt;="&amp;$B52)</f>
        <v>3326696.7299999995</v>
      </c>
      <c r="H52" s="24">
        <f>SUMIFS('Saldos Iniciales'!$D:$D,'Saldos Iniciales'!$A:$A,"Cross Family Trust")+SUMIFS(Movimientos!$K$1:$K$363,Movimientos!$C$1:$C$363,"Cross Family Trust",Movimientos!$B$1:$B$363,"&lt;="&amp;$B52)</f>
        <v>116496.38</v>
      </c>
      <c r="I52" s="24">
        <f>SUMIFS('Saldos Iniciales'!$D:$D,'Saldos Iniciales'!$A:$A,"Cross Security Trust")+SUMIFS(Movimientos!$K$1:$K$363,Movimientos!$C$1:$C$363,"Cross Security Trust",Movimientos!$B$1:$B$363,"&lt;="&amp;$B52)</f>
        <v>88090.37</v>
      </c>
      <c r="J52" s="24">
        <f>SUMIFS('Saldos Iniciales'!$D:$D,'Saldos Iniciales'!$A:$A,"Electrama")+SUMIFS(Movimientos!$K$1:$K$363,Movimientos!$C$1:$C$363,"Electrama",Movimientos!$B$1:$B$363,"&lt;="&amp;$B52)</f>
        <v>1227.9699999999998</v>
      </c>
      <c r="K52" s="24">
        <f>SUMIFS('Saldos Iniciales'!$D:$D,'Saldos Iniciales'!$A:$A,"Sacred Valley Capital")+SUMIFS(Movimientos!$K$1:$K$363,Movimientos!$C$1:$C$363,"Sacred Valley Capital",Movimientos!$B$1:$B$363,"&lt;="&amp;$B52)</f>
        <v>84.35</v>
      </c>
      <c r="L52" s="24">
        <f>SUMIFS('Saldos Iniciales'!$D:$D,'Saldos Iniciales'!$A:$A,"YWC Capital")+SUMIFS(Movimientos!$K$1:$K$363,Movimientos!$C$1:$C$363,"YWC Capital",Movimientos!$B$1:$B$363,"&lt;="&amp;$B52)</f>
        <v>2237.77</v>
      </c>
      <c r="M52" s="24">
        <f>SUMIFS('Saldos Iniciales'!$D:$D,'Saldos Iniciales'!$A:$A,"Soweto")+SUMIFS(Movimientos!$K$1:$K$363,Movimientos!$C$1:$C$363,"Soweto",Movimientos!$B$1:$B$363,"&lt;="&amp;$B52)</f>
        <v>3349.94</v>
      </c>
      <c r="N52" s="24">
        <f>SUMIFS('Saldos Iniciales'!$D:$D,'Saldos Iniciales'!$A:$A,"Green Stone Trust")+SUMIFS(Movimientos!$K$1:$K$363,Movimientos!$C$1:$C$363,"Green Stone Trust",Movimientos!$B$1:$B$363,"&lt;="&amp;$B52)</f>
        <v>1968.99</v>
      </c>
      <c r="O52" s="24">
        <f>SUMIFS('Saldos Iniciales'!$D:$D,'Saldos Iniciales'!$A:$A,"EC Auto")+SUMIFS(Movimientos!$K$1:$K$363,Movimientos!$C$1:$C$363,"EC Auto",Movimientos!$B$1:$B$363,"&lt;="&amp;$B52)</f>
        <v>382.69000000000005</v>
      </c>
      <c r="P52" s="24">
        <f>SUMIFS('Saldos Iniciales'!$D:$D,'Saldos Iniciales'!$A:$A,"Arbor Capital Properties")+SUMIFS(Movimientos!$K$1:$K$363,Movimientos!$C$1:$C$363,"Arbor Capital Properties",Movimientos!$B$1:$B$363,"&lt;="&amp;$B52)</f>
        <v>1428.08</v>
      </c>
      <c r="Q52" s="24">
        <f>SUMIFS('Saldos Iniciales'!$D:$D,'Saldos Iniciales'!$A:$A,"2515 Overbrook")+SUMIFS(Movimientos!$K$1:$K$363,Movimientos!$C$1:$C$363,"2515 Overbrook",Movimientos!$B$1:$B$363,"&lt;="&amp;$B52)</f>
        <v>29789.969999999961</v>
      </c>
      <c r="R52" s="24">
        <f>SUMIFS('Saldos Iniciales'!$D:$D,'Saldos Iniciales'!$A:$A,"112 Florida Ave")+SUMIFS(Movimientos!$K$1:$K$363,Movimientos!$C$1:$C$363,"112 Florida Ave",Movimientos!$B$1:$B$363,"&lt;="&amp;$B52)</f>
        <v>20321.43</v>
      </c>
      <c r="S52" s="24">
        <f>SUMIFS('Saldos Iniciales'!$D:$D,'Saldos Iniciales'!$A:$A,"3628 Thomas Ave")+SUMIFS(Movimientos!$K$1:$K$363,Movimientos!$C$1:$C$363,"3628 Thomas Ave",Movimientos!$B$1:$B$363,"&lt;="&amp;$B52)</f>
        <v>16681.349999999999</v>
      </c>
      <c r="T52" s="24">
        <f>SUMIFS('Saldos Iniciales'!$D:$D,'Saldos Iniciales'!$A:$A,"Green Harbor Trust")+SUMIFS(Movimientos!$K$1:$K$363,Movimientos!$C$1:$C$363,"Green Harbor Trust",Movimientos!$B$1:$B$363,"&lt;="&amp;$B52)</f>
        <v>345</v>
      </c>
      <c r="U52" s="24">
        <f>SUMIFS('Saldos Iniciales'!$D:$D,'Saldos Iniciales'!$A:$A,"Go Blue")+SUMIFS(Movimientos!$K$1:$K$363,Movimientos!$C$1:$C$363,"Go Blue",Movimientos!$B$1:$B$363,"&lt;="&amp;$B52)</f>
        <v>45041.01</v>
      </c>
      <c r="V52" s="25">
        <f t="shared" ref="V52:V53" si="8">SUM(C52:U52)</f>
        <v>5327451.8699999982</v>
      </c>
    </row>
    <row r="53" spans="1:22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Group")+SUMIFS(Movimientos!$K$1:$K$363,Movimientos!$C$1:$C$363,"CFT Group",Movimientos!$B$1:$B$363,"&lt;="&amp;$B53)</f>
        <v>1098358.7500000002</v>
      </c>
      <c r="D53" s="24">
        <f>SUMIFS('Saldos Iniciales'!$D:$D,'Saldos Iniciales'!$A:$A,"M1B")+SUMIFS(Movimientos!$K$1:$K$363,Movimientos!$C$1:$C$363,"M1B",Movimientos!$B$1:$B$363,"&lt;="&amp;$B53)</f>
        <v>69376.390000000174</v>
      </c>
      <c r="E53" s="24">
        <f>SUMIFS('Saldos Iniciales'!$D:$D,'Saldos Iniciales'!$A:$A,"Durand")+SUMIFS(Movimientos!$K$1:$K$363,Movimientos!$C$1:$C$363,"Durand",Movimientos!$B$1:$B$363,"&lt;="&amp;$B53)</f>
        <v>1669.89</v>
      </c>
      <c r="F53" s="24">
        <f>SUMIFS('Saldos Iniciales'!$D:$D,'Saldos Iniciales'!$A:$A,"A&amp;M Imports")+SUMIFS(Movimientos!$K$1:$K$363,Movimientos!$C$1:$C$363,"A&amp;M Imports",Movimientos!$B$1:$B$363,"&lt;="&amp;$B53)</f>
        <v>503904.80999999982</v>
      </c>
      <c r="G53" s="24">
        <f>SUMIFS('Saldos Iniciales'!$D:$D,'Saldos Iniciales'!$A:$A,"SSP Capital")+SUMIFS(Movimientos!$K$1:$K$363,Movimientos!$C$1:$C$363,"SSP Capital",Movimientos!$B$1:$B$363,"&lt;="&amp;$B53)</f>
        <v>3326696.7299999995</v>
      </c>
      <c r="H53" s="24">
        <f>SUMIFS('Saldos Iniciales'!$D:$D,'Saldos Iniciales'!$A:$A,"Cross Family Trust")+SUMIFS(Movimientos!$K$1:$K$363,Movimientos!$C$1:$C$363,"Cross Family Trust",Movimientos!$B$1:$B$363,"&lt;="&amp;$B53)</f>
        <v>116496.38</v>
      </c>
      <c r="I53" s="24">
        <f>SUMIFS('Saldos Iniciales'!$D:$D,'Saldos Iniciales'!$A:$A,"Cross Security Trust")+SUMIFS(Movimientos!$K$1:$K$363,Movimientos!$C$1:$C$363,"Cross Security Trust",Movimientos!$B$1:$B$363,"&lt;="&amp;$B53)</f>
        <v>88090.37</v>
      </c>
      <c r="J53" s="24">
        <f>SUMIFS('Saldos Iniciales'!$D:$D,'Saldos Iniciales'!$A:$A,"Electrama")+SUMIFS(Movimientos!$K$1:$K$363,Movimientos!$C$1:$C$363,"Electrama",Movimientos!$B$1:$B$363,"&lt;="&amp;$B53)</f>
        <v>1227.9699999999998</v>
      </c>
      <c r="K53" s="24">
        <f>SUMIFS('Saldos Iniciales'!$D:$D,'Saldos Iniciales'!$A:$A,"Sacred Valley Capital")+SUMIFS(Movimientos!$K$1:$K$363,Movimientos!$C$1:$C$363,"Sacred Valley Capital",Movimientos!$B$1:$B$363,"&lt;="&amp;$B53)</f>
        <v>84.35</v>
      </c>
      <c r="L53" s="24">
        <f>SUMIFS('Saldos Iniciales'!$D:$D,'Saldos Iniciales'!$A:$A,"YWC Capital")+SUMIFS(Movimientos!$K$1:$K$363,Movimientos!$C$1:$C$363,"YWC Capital",Movimientos!$B$1:$B$363,"&lt;="&amp;$B53)</f>
        <v>2237.77</v>
      </c>
      <c r="M53" s="24">
        <f>SUMIFS('Saldos Iniciales'!$D:$D,'Saldos Iniciales'!$A:$A,"Soweto")+SUMIFS(Movimientos!$K$1:$K$363,Movimientos!$C$1:$C$363,"Soweto",Movimientos!$B$1:$B$363,"&lt;="&amp;$B53)</f>
        <v>3349.94</v>
      </c>
      <c r="N53" s="24">
        <f>SUMIFS('Saldos Iniciales'!$D:$D,'Saldos Iniciales'!$A:$A,"Green Stone Trust")+SUMIFS(Movimientos!$K$1:$K$363,Movimientos!$C$1:$C$363,"Green Stone Trust",Movimientos!$B$1:$B$363,"&lt;="&amp;$B53)</f>
        <v>1968.99</v>
      </c>
      <c r="O53" s="24">
        <f>SUMIFS('Saldos Iniciales'!$D:$D,'Saldos Iniciales'!$A:$A,"EC Auto")+SUMIFS(Movimientos!$K$1:$K$363,Movimientos!$C$1:$C$363,"EC Auto",Movimientos!$B$1:$B$363,"&lt;="&amp;$B53)</f>
        <v>382.69000000000005</v>
      </c>
      <c r="P53" s="24">
        <f>SUMIFS('Saldos Iniciales'!$D:$D,'Saldos Iniciales'!$A:$A,"Arbor Capital Properties")+SUMIFS(Movimientos!$K$1:$K$363,Movimientos!$C$1:$C$363,"Arbor Capital Properties",Movimientos!$B$1:$B$363,"&lt;="&amp;$B53)</f>
        <v>1428.08</v>
      </c>
      <c r="Q53" s="24">
        <f>SUMIFS('Saldos Iniciales'!$D:$D,'Saldos Iniciales'!$A:$A,"2515 Overbrook")+SUMIFS(Movimientos!$K$1:$K$363,Movimientos!$C$1:$C$363,"2515 Overbrook",Movimientos!$B$1:$B$363,"&lt;="&amp;$B53)</f>
        <v>29789.969999999961</v>
      </c>
      <c r="R53" s="24">
        <f>SUMIFS('Saldos Iniciales'!$D:$D,'Saldos Iniciales'!$A:$A,"112 Florida Ave")+SUMIFS(Movimientos!$K$1:$K$363,Movimientos!$C$1:$C$363,"112 Florida Ave",Movimientos!$B$1:$B$363,"&lt;="&amp;$B53)</f>
        <v>20321.43</v>
      </c>
      <c r="S53" s="24">
        <f>SUMIFS('Saldos Iniciales'!$D:$D,'Saldos Iniciales'!$A:$A,"3628 Thomas Ave")+SUMIFS(Movimientos!$K$1:$K$363,Movimientos!$C$1:$C$363,"3628 Thomas Ave",Movimientos!$B$1:$B$363,"&lt;="&amp;$B53)</f>
        <v>16681.349999999999</v>
      </c>
      <c r="T53" s="24">
        <f>SUMIFS('Saldos Iniciales'!$D:$D,'Saldos Iniciales'!$A:$A,"Green Harbor Trust")+SUMIFS(Movimientos!$K$1:$K$363,Movimientos!$C$1:$C$363,"Green Harbor Trust",Movimientos!$B$1:$B$363,"&lt;="&amp;$B53)</f>
        <v>345</v>
      </c>
      <c r="U53" s="24">
        <f>SUMIFS('Saldos Iniciales'!$D:$D,'Saldos Iniciales'!$A:$A,"Go Blue")+SUMIFS(Movimientos!$K$1:$K$363,Movimientos!$C$1:$C$363,"Go Blue",Movimientos!$B$1:$B$363,"&lt;="&amp;$B53)</f>
        <v>45041.01</v>
      </c>
      <c r="V53" s="25">
        <f t="shared" si="8"/>
        <v>5327451.8699999982</v>
      </c>
    </row>
    <row r="54" spans="1:22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Group")+SUMIFS(Movimientos!$K$1:$K$363,Movimientos!$C$1:$C$363,"CFT Group",Movimientos!$B$1:$B$363,"&lt;="&amp;$B54)</f>
        <v>7613332.1400000006</v>
      </c>
      <c r="D54" s="24">
        <f>SUMIFS('Saldos Iniciales'!$D:$D,'Saldos Iniciales'!$A:$A,"M1B")+SUMIFS(Movimientos!$K$1:$K$363,Movimientos!$C$1:$C$363,"M1B",Movimientos!$B$1:$B$363,"&lt;="&amp;$B54)</f>
        <v>69376.390000000174</v>
      </c>
      <c r="E54" s="24">
        <f>SUMIFS('Saldos Iniciales'!$D:$D,'Saldos Iniciales'!$A:$A,"Durand")+SUMIFS(Movimientos!$K$1:$K$363,Movimientos!$C$1:$C$363,"Durand",Movimientos!$B$1:$B$363,"&lt;="&amp;$B54)</f>
        <v>1669.89</v>
      </c>
      <c r="F54" s="24">
        <f>SUMIFS('Saldos Iniciales'!$D:$D,'Saldos Iniciales'!$A:$A,"A&amp;M Imports")+SUMIFS(Movimientos!$K$1:$K$363,Movimientos!$C$1:$C$363,"A&amp;M Imports",Movimientos!$B$1:$B$363,"&lt;="&amp;$B54)</f>
        <v>503904.80999999982</v>
      </c>
      <c r="G54" s="24">
        <f>SUMIFS('Saldos Iniciales'!$D:$D,'Saldos Iniciales'!$A:$A,"SSP Capital")+SUMIFS(Movimientos!$K$1:$K$363,Movimientos!$C$1:$C$363,"SSP Capital",Movimientos!$B$1:$B$363,"&lt;="&amp;$B54)</f>
        <v>3325868.6899999995</v>
      </c>
      <c r="H54" s="24">
        <f>SUMIFS('Saldos Iniciales'!$D:$D,'Saldos Iniciales'!$A:$A,"Cross Family Trust")+SUMIFS(Movimientos!$K$1:$K$363,Movimientos!$C$1:$C$363,"Cross Family Trust",Movimientos!$B$1:$B$363,"&lt;="&amp;$B54)</f>
        <v>116496.38</v>
      </c>
      <c r="I54" s="24">
        <f>SUMIFS('Saldos Iniciales'!$D:$D,'Saldos Iniciales'!$A:$A,"Cross Security Trust")+SUMIFS(Movimientos!$K$1:$K$363,Movimientos!$C$1:$C$363,"Cross Security Trust",Movimientos!$B$1:$B$363,"&lt;="&amp;$B54)</f>
        <v>88090.37</v>
      </c>
      <c r="J54" s="24">
        <f>SUMIFS('Saldos Iniciales'!$D:$D,'Saldos Iniciales'!$A:$A,"Electrama")+SUMIFS(Movimientos!$K$1:$K$363,Movimientos!$C$1:$C$363,"Electrama",Movimientos!$B$1:$B$363,"&lt;="&amp;$B54)</f>
        <v>1227.9699999999998</v>
      </c>
      <c r="K54" s="24">
        <f>SUMIFS('Saldos Iniciales'!$D:$D,'Saldos Iniciales'!$A:$A,"Sacred Valley Capital")+SUMIFS(Movimientos!$K$1:$K$363,Movimientos!$C$1:$C$363,"Sacred Valley Capital",Movimientos!$B$1:$B$363,"&lt;="&amp;$B54)</f>
        <v>84.35</v>
      </c>
      <c r="L54" s="24">
        <f>SUMIFS('Saldos Iniciales'!$D:$D,'Saldos Iniciales'!$A:$A,"YWC Capital")+SUMIFS(Movimientos!$K$1:$K$363,Movimientos!$C$1:$C$363,"YWC Capital",Movimientos!$B$1:$B$363,"&lt;="&amp;$B54)</f>
        <v>2237.77</v>
      </c>
      <c r="M54" s="24">
        <f>SUMIFS('Saldos Iniciales'!$D:$D,'Saldos Iniciales'!$A:$A,"Soweto")+SUMIFS(Movimientos!$K$1:$K$363,Movimientos!$C$1:$C$363,"Soweto",Movimientos!$B$1:$B$363,"&lt;="&amp;$B54)</f>
        <v>3349.94</v>
      </c>
      <c r="N54" s="24">
        <f>SUMIFS('Saldos Iniciales'!$D:$D,'Saldos Iniciales'!$A:$A,"Green Stone Trust")+SUMIFS(Movimientos!$K$1:$K$363,Movimientos!$C$1:$C$363,"Green Stone Trust",Movimientos!$B$1:$B$363,"&lt;="&amp;$B54)</f>
        <v>1968.99</v>
      </c>
      <c r="O54" s="24">
        <f>SUMIFS('Saldos Iniciales'!$D:$D,'Saldos Iniciales'!$A:$A,"EC Auto")+SUMIFS(Movimientos!$K$1:$K$363,Movimientos!$C$1:$C$363,"EC Auto",Movimientos!$B$1:$B$363,"&lt;="&amp;$B54)</f>
        <v>382.69000000000005</v>
      </c>
      <c r="P54" s="24">
        <f>SUMIFS('Saldos Iniciales'!$D:$D,'Saldos Iniciales'!$A:$A,"Arbor Capital Properties")+SUMIFS(Movimientos!$K$1:$K$363,Movimientos!$C$1:$C$363,"Arbor Capital Properties",Movimientos!$B$1:$B$363,"&lt;="&amp;$B54)</f>
        <v>1428.08</v>
      </c>
      <c r="Q54" s="24">
        <f>SUMIFS('Saldos Iniciales'!$D:$D,'Saldos Iniciales'!$A:$A,"2515 Overbrook")+SUMIFS(Movimientos!$K$1:$K$363,Movimientos!$C$1:$C$363,"2515 Overbrook",Movimientos!$B$1:$B$363,"&lt;="&amp;$B54)</f>
        <v>31039.969999999961</v>
      </c>
      <c r="R54" s="24">
        <f>SUMIFS('Saldos Iniciales'!$D:$D,'Saldos Iniciales'!$A:$A,"112 Florida Ave")+SUMIFS(Movimientos!$K$1:$K$363,Movimientos!$C$1:$C$363,"112 Florida Ave",Movimientos!$B$1:$B$363,"&lt;="&amp;$B54)</f>
        <v>20321.43</v>
      </c>
      <c r="S54" s="24">
        <f>SUMIFS('Saldos Iniciales'!$D:$D,'Saldos Iniciales'!$A:$A,"3628 Thomas Ave")+SUMIFS(Movimientos!$K$1:$K$363,Movimientos!$C$1:$C$363,"3628 Thomas Ave",Movimientos!$B$1:$B$363,"&lt;="&amp;$B54)</f>
        <v>16681.349999999999</v>
      </c>
      <c r="T54" s="24">
        <f>SUMIFS('Saldos Iniciales'!$D:$D,'Saldos Iniciales'!$A:$A,"Green Harbor Trust")+SUMIFS(Movimientos!$K$1:$K$363,Movimientos!$C$1:$C$363,"Green Harbor Trust",Movimientos!$B$1:$B$363,"&lt;="&amp;$B54)</f>
        <v>345</v>
      </c>
      <c r="U54" s="24">
        <f>SUMIFS('Saldos Iniciales'!$D:$D,'Saldos Iniciales'!$A:$A,"Go Blue")+SUMIFS(Movimientos!$K$1:$K$363,Movimientos!$C$1:$C$363,"Go Blue",Movimientos!$B$1:$B$363,"&lt;="&amp;$B54)</f>
        <v>45041.01</v>
      </c>
      <c r="V54" s="25">
        <f t="shared" ref="V54" si="9">SUM(C54:U54)</f>
        <v>11842847.219999999</v>
      </c>
    </row>
    <row r="55" spans="1:22" outlineLevel="1" x14ac:dyDescent="0.3">
      <c r="A55" s="22">
        <f t="shared" si="0"/>
        <v>54</v>
      </c>
      <c r="B55" s="23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5"/>
    </row>
    <row r="56" spans="1:22" outlineLevel="1" x14ac:dyDescent="0.3">
      <c r="A56" s="22">
        <f t="shared" si="0"/>
        <v>55</v>
      </c>
      <c r="B56" s="2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5"/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1" priority="1" operator="lessThan">
      <formula>0</formula>
    </cfRule>
  </conditionalFormatting>
  <conditionalFormatting sqref="V2:V62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008"/>
  <sheetViews>
    <sheetView zoomScale="80" zoomScaleNormal="80" workbookViewId="0">
      <pane ySplit="1" topLeftCell="A980" activePane="bottomLeft" state="frozen"/>
      <selection pane="bottomLeft" activeCell="F8" sqref="F8"/>
    </sheetView>
  </sheetViews>
  <sheetFormatPr baseColWidth="10" defaultRowHeight="14.4" x14ac:dyDescent="0.3"/>
  <cols>
    <col min="1" max="1" width="22" bestFit="1" customWidth="1"/>
    <col min="2" max="2" width="13.6640625" bestFit="1" customWidth="1"/>
    <col min="3" max="3" width="11.6640625" style="16" bestFit="1" customWidth="1"/>
    <col min="4" max="4" width="12.21875" bestFit="1" customWidth="1"/>
  </cols>
  <sheetData>
    <row r="1" spans="1:10" x14ac:dyDescent="0.3">
      <c r="A1" t="s">
        <v>2</v>
      </c>
      <c r="B1" t="s">
        <v>130</v>
      </c>
      <c r="C1" s="16" t="s">
        <v>173</v>
      </c>
      <c r="D1" t="s">
        <v>131</v>
      </c>
      <c r="G1" s="47" t="s">
        <v>2</v>
      </c>
      <c r="H1" s="48" t="s">
        <v>130</v>
      </c>
      <c r="I1" s="50" t="s">
        <v>173</v>
      </c>
      <c r="J1" s="49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1227.9699999999998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6824.47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1227.9699999999998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3514.8900000000012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1227.9699999999998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3514.8900000000012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1227.9699999999998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2422.7399999999998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1227.9699999999998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2422.7399999999998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1227.9699999999998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2422.7399999999998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1227.9699999999998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2422.7399999999998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1227.9699999999998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1451.1499999999996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1227.9699999999998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1289.7300000000014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1227.9699999999998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1289.7300000000014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1227.9699999999998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48774.73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1227.9699999999998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48774.73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1227.9699999999998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48774.73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1227.9699999999998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48774.73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3331737.2399999998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1227.9699999999998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48724.73</v>
      </c>
    </row>
    <row r="876" spans="1:4" x14ac:dyDescent="0.3">
      <c r="A876" t="s">
        <v>17</v>
      </c>
      <c r="C876" s="16">
        <v>46189</v>
      </c>
      <c r="D876">
        <v>1086358.7500000002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503904.80999999982</v>
      </c>
    </row>
    <row r="880" spans="1:4" x14ac:dyDescent="0.3">
      <c r="A880" t="s">
        <v>21</v>
      </c>
      <c r="C880" s="16">
        <v>46189</v>
      </c>
      <c r="D880">
        <v>3329246.88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1227.9699999999998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46041.01</v>
      </c>
    </row>
    <row r="895" spans="1:4" x14ac:dyDescent="0.3">
      <c r="A895" t="s">
        <v>17</v>
      </c>
      <c r="C895" s="16">
        <v>46190</v>
      </c>
      <c r="D895">
        <v>1098358.7500000002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503904.80999999982</v>
      </c>
    </row>
    <row r="899" spans="1:4" x14ac:dyDescent="0.3">
      <c r="A899" t="s">
        <v>21</v>
      </c>
      <c r="C899" s="16">
        <v>46190</v>
      </c>
      <c r="D899">
        <v>3326863.3899999997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1227.9699999999998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45041.01</v>
      </c>
    </row>
    <row r="914" spans="1:4" x14ac:dyDescent="0.3">
      <c r="A914" t="s">
        <v>17</v>
      </c>
      <c r="C914" s="16">
        <v>46191</v>
      </c>
      <c r="D914">
        <v>1098358.7500000002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503904.80999999982</v>
      </c>
    </row>
    <row r="918" spans="1:4" x14ac:dyDescent="0.3">
      <c r="A918" t="s">
        <v>21</v>
      </c>
      <c r="C918" s="16">
        <v>46191</v>
      </c>
      <c r="D918">
        <v>3326696.7299999995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1227.9699999999998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45041.01</v>
      </c>
    </row>
    <row r="933" spans="1:4" x14ac:dyDescent="0.3">
      <c r="A933" t="s">
        <v>17</v>
      </c>
      <c r="C933" s="16">
        <v>46192</v>
      </c>
      <c r="D933">
        <v>1098358.7500000002</v>
      </c>
    </row>
    <row r="934" spans="1:4" x14ac:dyDescent="0.3">
      <c r="A934" t="s">
        <v>18</v>
      </c>
      <c r="C934" s="16">
        <v>46192</v>
      </c>
      <c r="D934">
        <v>69376.390000000174</v>
      </c>
    </row>
    <row r="935" spans="1:4" x14ac:dyDescent="0.3">
      <c r="A935" t="s">
        <v>19</v>
      </c>
      <c r="C935" s="16">
        <v>46192</v>
      </c>
      <c r="D935">
        <v>1669.89</v>
      </c>
    </row>
    <row r="936" spans="1:4" x14ac:dyDescent="0.3">
      <c r="A936" t="s">
        <v>20</v>
      </c>
      <c r="C936" s="16">
        <v>46192</v>
      </c>
      <c r="D936">
        <v>503904.80999999982</v>
      </c>
    </row>
    <row r="937" spans="1:4" x14ac:dyDescent="0.3">
      <c r="A937" t="s">
        <v>21</v>
      </c>
      <c r="C937" s="16">
        <v>46192</v>
      </c>
      <c r="D937">
        <v>3326696.7299999995</v>
      </c>
    </row>
    <row r="938" spans="1:4" x14ac:dyDescent="0.3">
      <c r="A938" t="s">
        <v>22</v>
      </c>
      <c r="C938" s="16">
        <v>46192</v>
      </c>
      <c r="D938">
        <v>116496.38</v>
      </c>
    </row>
    <row r="939" spans="1:4" x14ac:dyDescent="0.3">
      <c r="A939" t="s">
        <v>23</v>
      </c>
      <c r="C939" s="16">
        <v>46192</v>
      </c>
      <c r="D939">
        <v>88090.37</v>
      </c>
    </row>
    <row r="940" spans="1:4" x14ac:dyDescent="0.3">
      <c r="A940" t="s">
        <v>24</v>
      </c>
      <c r="C940" s="16">
        <v>46192</v>
      </c>
      <c r="D940">
        <v>1227.9699999999998</v>
      </c>
    </row>
    <row r="941" spans="1:4" x14ac:dyDescent="0.3">
      <c r="A941" t="s">
        <v>25</v>
      </c>
      <c r="C941" s="16">
        <v>46192</v>
      </c>
      <c r="D941">
        <v>84.35</v>
      </c>
    </row>
    <row r="942" spans="1:4" x14ac:dyDescent="0.3">
      <c r="A942" t="s">
        <v>26</v>
      </c>
      <c r="C942" s="16">
        <v>46192</v>
      </c>
      <c r="D942">
        <v>2237.77</v>
      </c>
    </row>
    <row r="943" spans="1:4" x14ac:dyDescent="0.3">
      <c r="A943" t="s">
        <v>27</v>
      </c>
      <c r="C943" s="16">
        <v>46192</v>
      </c>
      <c r="D943">
        <v>3349.94</v>
      </c>
    </row>
    <row r="944" spans="1:4" x14ac:dyDescent="0.3">
      <c r="A944" t="s">
        <v>28</v>
      </c>
      <c r="C944" s="16">
        <v>46192</v>
      </c>
      <c r="D944">
        <v>1968.99</v>
      </c>
    </row>
    <row r="945" spans="1:4" x14ac:dyDescent="0.3">
      <c r="A945" t="s">
        <v>29</v>
      </c>
      <c r="C945" s="16">
        <v>46192</v>
      </c>
      <c r="D945">
        <v>382.69000000000005</v>
      </c>
    </row>
    <row r="946" spans="1:4" x14ac:dyDescent="0.3">
      <c r="A946" t="s">
        <v>30</v>
      </c>
      <c r="C946" s="16">
        <v>46192</v>
      </c>
      <c r="D946">
        <v>1428.08</v>
      </c>
    </row>
    <row r="947" spans="1:4" x14ac:dyDescent="0.3">
      <c r="A947" t="s">
        <v>31</v>
      </c>
      <c r="C947" s="16">
        <v>46192</v>
      </c>
      <c r="D947">
        <v>29789.969999999961</v>
      </c>
    </row>
    <row r="948" spans="1:4" x14ac:dyDescent="0.3">
      <c r="A948" t="s">
        <v>32</v>
      </c>
      <c r="C948" s="16">
        <v>46192</v>
      </c>
      <c r="D948">
        <v>20321.43</v>
      </c>
    </row>
    <row r="949" spans="1:4" x14ac:dyDescent="0.3">
      <c r="A949" t="s">
        <v>33</v>
      </c>
      <c r="C949" s="16">
        <v>46192</v>
      </c>
      <c r="D949">
        <v>16681.349999999999</v>
      </c>
    </row>
    <row r="950" spans="1:4" x14ac:dyDescent="0.3">
      <c r="A950" t="s">
        <v>34</v>
      </c>
      <c r="C950" s="16">
        <v>46192</v>
      </c>
      <c r="D950">
        <v>345</v>
      </c>
    </row>
    <row r="951" spans="1:4" x14ac:dyDescent="0.3">
      <c r="A951" t="s">
        <v>35</v>
      </c>
      <c r="C951" s="16">
        <v>46192</v>
      </c>
      <c r="D951">
        <v>45041.01</v>
      </c>
    </row>
    <row r="952" spans="1:4" x14ac:dyDescent="0.3">
      <c r="A952" t="s">
        <v>17</v>
      </c>
      <c r="C952" s="16">
        <v>46193</v>
      </c>
      <c r="D952">
        <v>1098358.7500000002</v>
      </c>
    </row>
    <row r="953" spans="1:4" x14ac:dyDescent="0.3">
      <c r="A953" t="s">
        <v>18</v>
      </c>
      <c r="C953" s="16">
        <v>46193</v>
      </c>
      <c r="D953">
        <v>69376.390000000174</v>
      </c>
    </row>
    <row r="954" spans="1:4" x14ac:dyDescent="0.3">
      <c r="A954" t="s">
        <v>19</v>
      </c>
      <c r="C954" s="16">
        <v>46193</v>
      </c>
      <c r="D954">
        <v>1669.89</v>
      </c>
    </row>
    <row r="955" spans="1:4" x14ac:dyDescent="0.3">
      <c r="A955" t="s">
        <v>20</v>
      </c>
      <c r="C955" s="16">
        <v>46193</v>
      </c>
      <c r="D955">
        <v>503904.80999999982</v>
      </c>
    </row>
    <row r="956" spans="1:4" x14ac:dyDescent="0.3">
      <c r="A956" t="s">
        <v>21</v>
      </c>
      <c r="C956" s="16">
        <v>46193</v>
      </c>
      <c r="D956">
        <v>3326696.7299999995</v>
      </c>
    </row>
    <row r="957" spans="1:4" x14ac:dyDescent="0.3">
      <c r="A957" t="s">
        <v>22</v>
      </c>
      <c r="C957" s="16">
        <v>46193</v>
      </c>
      <c r="D957">
        <v>116496.38</v>
      </c>
    </row>
    <row r="958" spans="1:4" x14ac:dyDescent="0.3">
      <c r="A958" t="s">
        <v>23</v>
      </c>
      <c r="C958" s="16">
        <v>46193</v>
      </c>
      <c r="D958">
        <v>88090.37</v>
      </c>
    </row>
    <row r="959" spans="1:4" x14ac:dyDescent="0.3">
      <c r="A959" t="s">
        <v>24</v>
      </c>
      <c r="C959" s="16">
        <v>46193</v>
      </c>
      <c r="D959">
        <v>1227.9699999999998</v>
      </c>
    </row>
    <row r="960" spans="1:4" x14ac:dyDescent="0.3">
      <c r="A960" t="s">
        <v>25</v>
      </c>
      <c r="C960" s="16">
        <v>46193</v>
      </c>
      <c r="D960">
        <v>84.35</v>
      </c>
    </row>
    <row r="961" spans="1:4" x14ac:dyDescent="0.3">
      <c r="A961" t="s">
        <v>26</v>
      </c>
      <c r="C961" s="16">
        <v>46193</v>
      </c>
      <c r="D961">
        <v>2237.77</v>
      </c>
    </row>
    <row r="962" spans="1:4" x14ac:dyDescent="0.3">
      <c r="A962" t="s">
        <v>27</v>
      </c>
      <c r="C962" s="16">
        <v>46193</v>
      </c>
      <c r="D962">
        <v>3349.94</v>
      </c>
    </row>
    <row r="963" spans="1:4" x14ac:dyDescent="0.3">
      <c r="A963" t="s">
        <v>28</v>
      </c>
      <c r="C963" s="16">
        <v>46193</v>
      </c>
      <c r="D963">
        <v>1968.99</v>
      </c>
    </row>
    <row r="964" spans="1:4" x14ac:dyDescent="0.3">
      <c r="A964" t="s">
        <v>29</v>
      </c>
      <c r="C964" s="16">
        <v>46193</v>
      </c>
      <c r="D964">
        <v>382.69000000000005</v>
      </c>
    </row>
    <row r="965" spans="1:4" x14ac:dyDescent="0.3">
      <c r="A965" t="s">
        <v>30</v>
      </c>
      <c r="C965" s="16">
        <v>46193</v>
      </c>
      <c r="D965">
        <v>1428.08</v>
      </c>
    </row>
    <row r="966" spans="1:4" x14ac:dyDescent="0.3">
      <c r="A966" t="s">
        <v>31</v>
      </c>
      <c r="C966" s="16">
        <v>46193</v>
      </c>
      <c r="D966">
        <v>29789.969999999961</v>
      </c>
    </row>
    <row r="967" spans="1:4" x14ac:dyDescent="0.3">
      <c r="A967" t="s">
        <v>32</v>
      </c>
      <c r="C967" s="16">
        <v>46193</v>
      </c>
      <c r="D967">
        <v>20321.43</v>
      </c>
    </row>
    <row r="968" spans="1:4" x14ac:dyDescent="0.3">
      <c r="A968" t="s">
        <v>33</v>
      </c>
      <c r="C968" s="16">
        <v>46193</v>
      </c>
      <c r="D968">
        <v>16681.349999999999</v>
      </c>
    </row>
    <row r="969" spans="1:4" x14ac:dyDescent="0.3">
      <c r="A969" t="s">
        <v>34</v>
      </c>
      <c r="C969" s="16">
        <v>46193</v>
      </c>
      <c r="D969">
        <v>345</v>
      </c>
    </row>
    <row r="970" spans="1:4" x14ac:dyDescent="0.3">
      <c r="A970" t="s">
        <v>35</v>
      </c>
      <c r="C970" s="16">
        <v>46193</v>
      </c>
      <c r="D970">
        <v>45041.01</v>
      </c>
    </row>
    <row r="971" spans="1:4" x14ac:dyDescent="0.3">
      <c r="A971" t="s">
        <v>17</v>
      </c>
      <c r="C971" s="16">
        <v>46194</v>
      </c>
      <c r="D971">
        <v>1098358.7500000002</v>
      </c>
    </row>
    <row r="972" spans="1:4" x14ac:dyDescent="0.3">
      <c r="A972" t="s">
        <v>18</v>
      </c>
      <c r="C972" s="16">
        <v>46194</v>
      </c>
      <c r="D972">
        <v>69376.390000000174</v>
      </c>
    </row>
    <row r="973" spans="1:4" x14ac:dyDescent="0.3">
      <c r="A973" t="s">
        <v>19</v>
      </c>
      <c r="C973" s="16">
        <v>46194</v>
      </c>
      <c r="D973">
        <v>1669.89</v>
      </c>
    </row>
    <row r="974" spans="1:4" x14ac:dyDescent="0.3">
      <c r="A974" t="s">
        <v>20</v>
      </c>
      <c r="C974" s="16">
        <v>46194</v>
      </c>
      <c r="D974">
        <v>503904.80999999982</v>
      </c>
    </row>
    <row r="975" spans="1:4" x14ac:dyDescent="0.3">
      <c r="A975" t="s">
        <v>21</v>
      </c>
      <c r="C975" s="16">
        <v>46194</v>
      </c>
      <c r="D975">
        <v>3326696.7299999995</v>
      </c>
    </row>
    <row r="976" spans="1:4" x14ac:dyDescent="0.3">
      <c r="A976" t="s">
        <v>22</v>
      </c>
      <c r="C976" s="16">
        <v>46194</v>
      </c>
      <c r="D976">
        <v>116496.38</v>
      </c>
    </row>
    <row r="977" spans="1:4" x14ac:dyDescent="0.3">
      <c r="A977" t="s">
        <v>23</v>
      </c>
      <c r="C977" s="16">
        <v>46194</v>
      </c>
      <c r="D977">
        <v>88090.37</v>
      </c>
    </row>
    <row r="978" spans="1:4" x14ac:dyDescent="0.3">
      <c r="A978" t="s">
        <v>24</v>
      </c>
      <c r="C978" s="16">
        <v>46194</v>
      </c>
      <c r="D978">
        <v>1227.9699999999998</v>
      </c>
    </row>
    <row r="979" spans="1:4" x14ac:dyDescent="0.3">
      <c r="A979" t="s">
        <v>25</v>
      </c>
      <c r="C979" s="16">
        <v>46194</v>
      </c>
      <c r="D979">
        <v>84.35</v>
      </c>
    </row>
    <row r="980" spans="1:4" x14ac:dyDescent="0.3">
      <c r="A980" t="s">
        <v>26</v>
      </c>
      <c r="C980" s="16">
        <v>46194</v>
      </c>
      <c r="D980">
        <v>2237.77</v>
      </c>
    </row>
    <row r="981" spans="1:4" x14ac:dyDescent="0.3">
      <c r="A981" t="s">
        <v>27</v>
      </c>
      <c r="C981" s="16">
        <v>46194</v>
      </c>
      <c r="D981">
        <v>3349.94</v>
      </c>
    </row>
    <row r="982" spans="1:4" x14ac:dyDescent="0.3">
      <c r="A982" t="s">
        <v>28</v>
      </c>
      <c r="C982" s="16">
        <v>46194</v>
      </c>
      <c r="D982">
        <v>1968.99</v>
      </c>
    </row>
    <row r="983" spans="1:4" x14ac:dyDescent="0.3">
      <c r="A983" t="s">
        <v>29</v>
      </c>
      <c r="C983" s="16">
        <v>46194</v>
      </c>
      <c r="D983">
        <v>382.69000000000005</v>
      </c>
    </row>
    <row r="984" spans="1:4" x14ac:dyDescent="0.3">
      <c r="A984" t="s">
        <v>30</v>
      </c>
      <c r="C984" s="16">
        <v>46194</v>
      </c>
      <c r="D984">
        <v>1428.08</v>
      </c>
    </row>
    <row r="985" spans="1:4" x14ac:dyDescent="0.3">
      <c r="A985" t="s">
        <v>31</v>
      </c>
      <c r="C985" s="16">
        <v>46194</v>
      </c>
      <c r="D985">
        <v>29789.969999999961</v>
      </c>
    </row>
    <row r="986" spans="1:4" x14ac:dyDescent="0.3">
      <c r="A986" t="s">
        <v>32</v>
      </c>
      <c r="C986" s="16">
        <v>46194</v>
      </c>
      <c r="D986">
        <v>20321.43</v>
      </c>
    </row>
    <row r="987" spans="1:4" x14ac:dyDescent="0.3">
      <c r="A987" t="s">
        <v>33</v>
      </c>
      <c r="C987" s="16">
        <v>46194</v>
      </c>
      <c r="D987">
        <v>16681.349999999999</v>
      </c>
    </row>
    <row r="988" spans="1:4" x14ac:dyDescent="0.3">
      <c r="A988" t="s">
        <v>34</v>
      </c>
      <c r="C988" s="16">
        <v>46194</v>
      </c>
      <c r="D988">
        <v>345</v>
      </c>
    </row>
    <row r="989" spans="1:4" x14ac:dyDescent="0.3">
      <c r="A989" t="s">
        <v>35</v>
      </c>
      <c r="C989" s="16">
        <v>46194</v>
      </c>
      <c r="D989">
        <v>45041.01</v>
      </c>
    </row>
    <row r="990" spans="1:4" x14ac:dyDescent="0.3">
      <c r="A990" t="s">
        <v>17</v>
      </c>
      <c r="C990" s="16">
        <v>46195</v>
      </c>
      <c r="D990">
        <v>7613332.1400000006</v>
      </c>
    </row>
    <row r="991" spans="1:4" x14ac:dyDescent="0.3">
      <c r="A991" t="s">
        <v>18</v>
      </c>
      <c r="C991" s="16">
        <v>46195</v>
      </c>
      <c r="D991">
        <v>69376.390000000174</v>
      </c>
    </row>
    <row r="992" spans="1:4" x14ac:dyDescent="0.3">
      <c r="A992" t="s">
        <v>19</v>
      </c>
      <c r="C992" s="16">
        <v>46195</v>
      </c>
      <c r="D992">
        <v>1669.89</v>
      </c>
    </row>
    <row r="993" spans="1:4" x14ac:dyDescent="0.3">
      <c r="A993" t="s">
        <v>20</v>
      </c>
      <c r="C993" s="16">
        <v>46195</v>
      </c>
      <c r="D993">
        <v>503904.80999999982</v>
      </c>
    </row>
    <row r="994" spans="1:4" x14ac:dyDescent="0.3">
      <c r="A994" t="s">
        <v>21</v>
      </c>
      <c r="C994" s="16">
        <v>46195</v>
      </c>
      <c r="D994">
        <v>3325868.6899999995</v>
      </c>
    </row>
    <row r="995" spans="1:4" x14ac:dyDescent="0.3">
      <c r="A995" t="s">
        <v>22</v>
      </c>
      <c r="C995" s="16">
        <v>46195</v>
      </c>
      <c r="D995">
        <v>116496.38</v>
      </c>
    </row>
    <row r="996" spans="1:4" x14ac:dyDescent="0.3">
      <c r="A996" t="s">
        <v>23</v>
      </c>
      <c r="C996" s="16">
        <v>46195</v>
      </c>
      <c r="D996">
        <v>88090.37</v>
      </c>
    </row>
    <row r="997" spans="1:4" x14ac:dyDescent="0.3">
      <c r="A997" t="s">
        <v>24</v>
      </c>
      <c r="C997" s="16">
        <v>46195</v>
      </c>
      <c r="D997">
        <v>1227.9699999999998</v>
      </c>
    </row>
    <row r="998" spans="1:4" x14ac:dyDescent="0.3">
      <c r="A998" t="s">
        <v>25</v>
      </c>
      <c r="C998" s="16">
        <v>46195</v>
      </c>
      <c r="D998">
        <v>84.35</v>
      </c>
    </row>
    <row r="999" spans="1:4" x14ac:dyDescent="0.3">
      <c r="A999" t="s">
        <v>26</v>
      </c>
      <c r="C999" s="16">
        <v>46195</v>
      </c>
      <c r="D999">
        <v>2237.77</v>
      </c>
    </row>
    <row r="1000" spans="1:4" x14ac:dyDescent="0.3">
      <c r="A1000" t="s">
        <v>27</v>
      </c>
      <c r="C1000" s="16">
        <v>46195</v>
      </c>
      <c r="D1000">
        <v>3349.94</v>
      </c>
    </row>
    <row r="1001" spans="1:4" x14ac:dyDescent="0.3">
      <c r="A1001" t="s">
        <v>28</v>
      </c>
      <c r="C1001" s="16">
        <v>46195</v>
      </c>
      <c r="D1001">
        <v>1968.99</v>
      </c>
    </row>
    <row r="1002" spans="1:4" x14ac:dyDescent="0.3">
      <c r="A1002" t="s">
        <v>29</v>
      </c>
      <c r="C1002" s="16">
        <v>46195</v>
      </c>
      <c r="D1002">
        <v>382.69000000000005</v>
      </c>
    </row>
    <row r="1003" spans="1:4" x14ac:dyDescent="0.3">
      <c r="A1003" t="s">
        <v>30</v>
      </c>
      <c r="C1003" s="16">
        <v>46195</v>
      </c>
      <c r="D1003">
        <v>1428.08</v>
      </c>
    </row>
    <row r="1004" spans="1:4" x14ac:dyDescent="0.3">
      <c r="A1004" t="s">
        <v>31</v>
      </c>
      <c r="C1004" s="16">
        <v>46195</v>
      </c>
      <c r="D1004">
        <v>31039.969999999961</v>
      </c>
    </row>
    <row r="1005" spans="1:4" x14ac:dyDescent="0.3">
      <c r="A1005" t="s">
        <v>32</v>
      </c>
      <c r="C1005" s="16">
        <v>46195</v>
      </c>
      <c r="D1005">
        <v>20321.43</v>
      </c>
    </row>
    <row r="1006" spans="1:4" x14ac:dyDescent="0.3">
      <c r="A1006" t="s">
        <v>33</v>
      </c>
      <c r="C1006" s="16">
        <v>46195</v>
      </c>
      <c r="D1006">
        <v>16681.349999999999</v>
      </c>
    </row>
    <row r="1007" spans="1:4" x14ac:dyDescent="0.3">
      <c r="A1007" t="s">
        <v>34</v>
      </c>
      <c r="C1007" s="16">
        <v>46195</v>
      </c>
      <c r="D1007">
        <v>345</v>
      </c>
    </row>
    <row r="1008" spans="1:4" x14ac:dyDescent="0.3">
      <c r="A1008" t="s">
        <v>35</v>
      </c>
      <c r="C1008" s="16">
        <v>46195</v>
      </c>
      <c r="D1008">
        <v>45041.01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2026-06-23T17:00:53Z</dcterms:modified>
  <dc:language>en-US</dc:language>
</cp:coreProperties>
</file>