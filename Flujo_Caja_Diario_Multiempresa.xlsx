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321" documentId="8_{BBC9EA4E-7F3B-475F-B61B-890F681C3A1C}" xr6:coauthVersionLast="47" xr6:coauthVersionMax="47" xr10:uidLastSave="{74E2E5EF-3CC6-4387-87E9-F49C009BFFC4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1" i="6" l="1"/>
  <c r="C111" i="6"/>
  <c r="D111" i="6"/>
  <c r="E111" i="6"/>
  <c r="F111" i="6"/>
  <c r="G111" i="6"/>
  <c r="H111" i="6"/>
  <c r="V111" i="6" s="1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K783" i="1"/>
  <c r="M783" i="1"/>
  <c r="N783" i="1"/>
  <c r="O783" i="1"/>
  <c r="P783" i="1"/>
  <c r="K784" i="1"/>
  <c r="M784" i="1"/>
  <c r="N784" i="1"/>
  <c r="O784" i="1"/>
  <c r="P784" i="1"/>
  <c r="K785" i="1"/>
  <c r="M785" i="1"/>
  <c r="N785" i="1"/>
  <c r="O785" i="1"/>
  <c r="P785" i="1"/>
  <c r="K786" i="1"/>
  <c r="M786" i="1" s="1"/>
  <c r="N786" i="1"/>
  <c r="P786" i="1" s="1"/>
  <c r="O786" i="1"/>
  <c r="K787" i="1"/>
  <c r="M787" i="1"/>
  <c r="N787" i="1"/>
  <c r="O787" i="1"/>
  <c r="P787" i="1" s="1"/>
  <c r="K788" i="1"/>
  <c r="M788" i="1" s="1"/>
  <c r="N788" i="1"/>
  <c r="O788" i="1"/>
  <c r="P788" i="1"/>
  <c r="K789" i="1"/>
  <c r="M789" i="1"/>
  <c r="N789" i="1"/>
  <c r="O789" i="1"/>
  <c r="P789" i="1" s="1"/>
  <c r="K790" i="1"/>
  <c r="M790" i="1"/>
  <c r="N790" i="1"/>
  <c r="O790" i="1"/>
  <c r="P790" i="1"/>
  <c r="I784" i="1"/>
  <c r="I785" i="1"/>
  <c r="I786" i="1"/>
  <c r="I787" i="1"/>
  <c r="I788" i="1"/>
  <c r="I789" i="1"/>
  <c r="I790" i="1"/>
  <c r="C785" i="1"/>
  <c r="C786" i="1"/>
  <c r="C787" i="1"/>
  <c r="C788" i="1"/>
  <c r="C789" i="1"/>
  <c r="C790" i="1"/>
  <c r="U4" i="3"/>
  <c r="P26" i="3"/>
  <c r="T26" i="3"/>
  <c r="P13" i="3"/>
  <c r="O26" i="3"/>
  <c r="U26" i="3"/>
  <c r="J9" i="3"/>
  <c r="J11" i="3"/>
  <c r="J26" i="3"/>
  <c r="E785" i="1"/>
  <c r="E786" i="1"/>
  <c r="E787" i="1"/>
  <c r="E788" i="1"/>
  <c r="E789" i="1"/>
  <c r="E790" i="1"/>
  <c r="H785" i="1"/>
  <c r="H786" i="1"/>
  <c r="H787" i="1"/>
  <c r="H788" i="1"/>
  <c r="H789" i="1"/>
  <c r="H790" i="1"/>
  <c r="A107" i="6"/>
  <c r="A108" i="6"/>
  <c r="A109" i="6"/>
  <c r="A110" i="6"/>
  <c r="K779" i="1"/>
  <c r="N779" i="1"/>
  <c r="O779" i="1"/>
  <c r="P779" i="1" s="1"/>
  <c r="K780" i="1"/>
  <c r="N780" i="1"/>
  <c r="O780" i="1"/>
  <c r="P780" i="1"/>
  <c r="K781" i="1"/>
  <c r="N781" i="1"/>
  <c r="O781" i="1"/>
  <c r="P781" i="1" s="1"/>
  <c r="K782" i="1"/>
  <c r="N782" i="1"/>
  <c r="O782" i="1"/>
  <c r="P782" i="1"/>
  <c r="I779" i="1"/>
  <c r="I780" i="1"/>
  <c r="I781" i="1"/>
  <c r="I782" i="1"/>
  <c r="I783" i="1"/>
  <c r="C778" i="1" l="1"/>
  <c r="C779" i="1"/>
  <c r="C780" i="1"/>
  <c r="C781" i="1"/>
  <c r="C782" i="1"/>
  <c r="C783" i="1"/>
  <c r="C784" i="1"/>
  <c r="E779" i="1"/>
  <c r="E780" i="1"/>
  <c r="E781" i="1"/>
  <c r="E782" i="1"/>
  <c r="E783" i="1"/>
  <c r="E784" i="1"/>
  <c r="H779" i="1"/>
  <c r="H780" i="1"/>
  <c r="H781" i="1"/>
  <c r="H782" i="1"/>
  <c r="H783" i="1"/>
  <c r="H784" i="1"/>
  <c r="A106" i="6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P749" i="1" s="1"/>
  <c r="O749" i="1"/>
  <c r="K750" i="1"/>
  <c r="N750" i="1"/>
  <c r="P750" i="1" s="1"/>
  <c r="O750" i="1"/>
  <c r="K751" i="1"/>
  <c r="N751" i="1"/>
  <c r="O751" i="1"/>
  <c r="P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P772" i="1" s="1"/>
  <c r="O772" i="1"/>
  <c r="K773" i="1"/>
  <c r="N773" i="1"/>
  <c r="O773" i="1"/>
  <c r="P773" i="1" s="1"/>
  <c r="K774" i="1"/>
  <c r="N774" i="1"/>
  <c r="P774" i="1" s="1"/>
  <c r="O774" i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A104" i="6"/>
  <c r="A105" i="6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A100" i="6"/>
  <c r="A101" i="6"/>
  <c r="A102" i="6"/>
  <c r="A103" i="6"/>
  <c r="K723" i="1"/>
  <c r="N723" i="1"/>
  <c r="P723" i="1" s="1"/>
  <c r="O723" i="1"/>
  <c r="K724" i="1"/>
  <c r="N724" i="1"/>
  <c r="P724" i="1" s="1"/>
  <c r="O724" i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P694" i="1" s="1"/>
  <c r="O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U33" i="3" l="1"/>
  <c r="T2" i="3"/>
  <c r="T33" i="3"/>
  <c r="T5" i="3"/>
  <c r="T32" i="3"/>
  <c r="T9" i="3"/>
  <c r="T19" i="3"/>
  <c r="T20" i="3"/>
  <c r="T4" i="3"/>
  <c r="T35" i="3"/>
  <c r="T11" i="3"/>
  <c r="T12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P584" i="1" s="1"/>
  <c r="O585" i="1"/>
  <c r="O586" i="1"/>
  <c r="O587" i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5" i="1"/>
  <c r="P586" i="1"/>
  <c r="P587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M515" i="1" s="1"/>
  <c r="C529" i="1"/>
  <c r="I475" i="1"/>
  <c r="I514" i="1"/>
  <c r="I528" i="1"/>
  <c r="C475" i="1"/>
  <c r="C514" i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T27" i="3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M472" i="1" s="1"/>
  <c r="C473" i="1"/>
  <c r="C474" i="1"/>
  <c r="C478" i="1"/>
  <c r="C479" i="1"/>
  <c r="C480" i="1"/>
  <c r="C481" i="1"/>
  <c r="M481" i="1" s="1"/>
  <c r="C482" i="1"/>
  <c r="M482" i="1" s="1"/>
  <c r="C484" i="1"/>
  <c r="M484" i="1" s="1"/>
  <c r="M474" i="1" l="1"/>
  <c r="T31" i="3"/>
  <c r="M473" i="1"/>
  <c r="M529" i="1"/>
  <c r="M488" i="1"/>
  <c r="J24" i="3"/>
  <c r="M514" i="1"/>
  <c r="U19" i="3"/>
  <c r="U20" i="3"/>
  <c r="U8" i="3"/>
  <c r="U11" i="3"/>
  <c r="U35" i="3"/>
  <c r="U21" i="3"/>
  <c r="U9" i="3"/>
  <c r="U2" i="3"/>
  <c r="M480" i="1"/>
  <c r="M479" i="1"/>
  <c r="M475" i="1"/>
  <c r="T21" i="3"/>
  <c r="U27" i="3"/>
  <c r="M535" i="1"/>
  <c r="M478" i="1"/>
  <c r="U32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688" i="1"/>
  <c r="M639" i="1"/>
  <c r="M650" i="1"/>
  <c r="M620" i="1"/>
  <c r="M647" i="1"/>
  <c r="M573" i="1"/>
  <c r="M625" i="1"/>
  <c r="M658" i="1"/>
  <c r="M587" i="1"/>
  <c r="M519" i="1"/>
  <c r="M551" i="1"/>
  <c r="M616" i="1"/>
  <c r="M619" i="1"/>
  <c r="M530" i="1"/>
  <c r="M532" i="1"/>
  <c r="M622" i="1"/>
  <c r="M533" i="1"/>
  <c r="M624" i="1"/>
  <c r="M581" i="1"/>
  <c r="M586" i="1"/>
  <c r="M627" i="1"/>
  <c r="M621" i="1"/>
  <c r="M614" i="1"/>
  <c r="M649" i="1"/>
  <c r="M618" i="1"/>
  <c r="M613" i="1"/>
  <c r="M572" i="1"/>
  <c r="M615" i="1"/>
  <c r="M640" i="1"/>
  <c r="M657" i="1"/>
  <c r="M626" i="1"/>
  <c r="M580" i="1"/>
  <c r="M660" i="1"/>
  <c r="M571" i="1"/>
  <c r="M550" i="1"/>
  <c r="M623" i="1"/>
  <c r="M534" i="1"/>
  <c r="M648" i="1"/>
  <c r="M588" i="1"/>
  <c r="M531" i="1"/>
  <c r="M549" i="1"/>
  <c r="M552" i="1"/>
  <c r="M582" i="1"/>
  <c r="M65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29" i="3" l="1"/>
  <c r="P23" i="3"/>
  <c r="P3" i="3"/>
  <c r="P9" i="3"/>
  <c r="P12" i="3"/>
  <c r="P20" i="3"/>
  <c r="P8" i="3"/>
  <c r="P24" i="3"/>
  <c r="P5" i="3"/>
  <c r="P31" i="3"/>
  <c r="P21" i="3"/>
  <c r="P11" i="3"/>
  <c r="P2" i="3"/>
  <c r="P34" i="3"/>
  <c r="M462" i="1"/>
  <c r="O33" i="3"/>
  <c r="M715" i="1"/>
  <c r="M716" i="1"/>
  <c r="M772" i="1"/>
  <c r="M773" i="1"/>
  <c r="M629" i="1"/>
  <c r="M630" i="1"/>
  <c r="M510" i="1"/>
  <c r="M509" i="1"/>
  <c r="M441" i="1"/>
  <c r="J30" i="3"/>
  <c r="T30" i="3"/>
  <c r="U30" i="3"/>
  <c r="M672" i="1"/>
  <c r="O9" i="3"/>
  <c r="M439" i="1"/>
  <c r="U28" i="3"/>
  <c r="J28" i="3"/>
  <c r="M670" i="1"/>
  <c r="M438" i="1"/>
  <c r="O23" i="3"/>
  <c r="U23" i="3"/>
  <c r="T23" i="3"/>
  <c r="M669" i="1"/>
  <c r="O19" i="3"/>
  <c r="M437" i="1"/>
  <c r="J22" i="3"/>
  <c r="P22" i="3"/>
  <c r="O22" i="3"/>
  <c r="M668" i="1"/>
  <c r="U22" i="3"/>
  <c r="P32" i="3"/>
  <c r="O35" i="3"/>
  <c r="O34" i="3"/>
  <c r="O12" i="3"/>
  <c r="O20" i="3"/>
  <c r="O2" i="3"/>
  <c r="O31" i="3"/>
  <c r="O11" i="3"/>
  <c r="O24" i="3"/>
  <c r="O28" i="3"/>
  <c r="O4" i="3"/>
  <c r="O13" i="3"/>
  <c r="O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M388" i="1"/>
  <c r="M422" i="1"/>
  <c r="M386" i="1"/>
  <c r="M768" i="1"/>
  <c r="M709" i="1"/>
  <c r="M744" i="1"/>
  <c r="M767" i="1"/>
  <c r="M628" i="1"/>
  <c r="M503" i="1"/>
  <c r="M415" i="1"/>
  <c r="M433" i="1"/>
  <c r="O18" i="3"/>
  <c r="J18" i="3"/>
  <c r="T18" i="3"/>
  <c r="M687" i="1"/>
  <c r="U18" i="3"/>
  <c r="M45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J5" i="3"/>
  <c r="M646" i="1"/>
  <c r="M637" i="1"/>
  <c r="M638" i="1"/>
  <c r="M491" i="1"/>
  <c r="J8" i="3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15" i="3" l="1"/>
  <c r="K15" i="3"/>
  <c r="M235" i="1"/>
  <c r="T15" i="3"/>
  <c r="O15" i="3"/>
  <c r="P15" i="3"/>
  <c r="M238" i="1"/>
  <c r="O7" i="3"/>
  <c r="K7" i="3"/>
  <c r="J7" i="3"/>
  <c r="T7" i="3"/>
  <c r="U7" i="3"/>
  <c r="P7" i="3"/>
  <c r="K22" i="3"/>
  <c r="P33" i="6"/>
  <c r="K4" i="3"/>
  <c r="I40" i="6"/>
  <c r="I41" i="6"/>
  <c r="O40" i="6"/>
  <c r="N40" i="6"/>
  <c r="I39" i="6"/>
  <c r="R33" i="6"/>
  <c r="E34" i="6"/>
  <c r="Q38" i="6"/>
  <c r="F34" i="6"/>
  <c r="J38" i="6"/>
  <c r="Q36" i="6"/>
  <c r="K36" i="6"/>
  <c r="I33" i="6"/>
  <c r="T24" i="3"/>
  <c r="T29" i="3"/>
  <c r="U24" i="3"/>
  <c r="U13" i="3"/>
  <c r="P33" i="3"/>
  <c r="P19" i="3"/>
  <c r="P4" i="3"/>
  <c r="O32" i="3"/>
  <c r="O21" i="3"/>
  <c r="K18" i="3"/>
  <c r="T3" i="3"/>
  <c r="T8" i="3"/>
  <c r="K21" i="3"/>
  <c r="U12" i="3"/>
  <c r="P35" i="3"/>
  <c r="K28" i="3"/>
  <c r="T22" i="3"/>
  <c r="O29" i="3"/>
  <c r="O8" i="3"/>
  <c r="J19" i="3"/>
  <c r="K25" i="3"/>
  <c r="T34" i="3"/>
  <c r="E38" i="6"/>
  <c r="P35" i="6"/>
  <c r="R38" i="6"/>
  <c r="O41" i="6"/>
  <c r="M41" i="6"/>
  <c r="H36" i="6"/>
  <c r="K13" i="3"/>
  <c r="G39" i="6"/>
  <c r="E42" i="6"/>
  <c r="C36" i="6"/>
  <c r="I34" i="6"/>
  <c r="Q37" i="6"/>
  <c r="R39" i="6"/>
  <c r="H38" i="6"/>
  <c r="E39" i="6"/>
  <c r="L40" i="6"/>
  <c r="L35" i="6"/>
  <c r="F38" i="6"/>
  <c r="R40" i="6"/>
  <c r="T34" i="6"/>
  <c r="L37" i="6"/>
  <c r="R34" i="6"/>
  <c r="N38" i="6"/>
  <c r="K6" i="3"/>
  <c r="M40" i="6"/>
  <c r="J34" i="6"/>
  <c r="K16" i="3"/>
  <c r="K19" i="3"/>
  <c r="U37" i="6"/>
  <c r="R42" i="6"/>
  <c r="L39" i="6"/>
  <c r="M234" i="1"/>
  <c r="U40" i="6"/>
  <c r="F39" i="6"/>
  <c r="O37" i="6"/>
  <c r="O42" i="6"/>
  <c r="C33" i="6"/>
  <c r="K39" i="6"/>
  <c r="D42" i="6"/>
  <c r="P40" i="6"/>
  <c r="M42" i="6"/>
  <c r="R41" i="6"/>
  <c r="T33" i="6"/>
  <c r="P36" i="6"/>
  <c r="K42" i="6"/>
  <c r="G36" i="6"/>
  <c r="Q33" i="6"/>
  <c r="E40" i="6"/>
  <c r="P27" i="3"/>
  <c r="U34" i="3"/>
  <c r="K30" i="3"/>
  <c r="C34" i="6"/>
  <c r="K17" i="3"/>
  <c r="K35" i="3"/>
  <c r="C39" i="6"/>
  <c r="F37" i="6"/>
  <c r="P38" i="6"/>
  <c r="S39" i="6"/>
  <c r="U34" i="6"/>
  <c r="I38" i="6"/>
  <c r="K11" i="3"/>
  <c r="H37" i="6"/>
  <c r="G40" i="6"/>
  <c r="Q41" i="6"/>
  <c r="P37" i="6"/>
  <c r="J39" i="6"/>
  <c r="I42" i="6"/>
  <c r="L36" i="6"/>
  <c r="J35" i="6"/>
  <c r="K38" i="6"/>
  <c r="H41" i="6"/>
  <c r="U36" i="6"/>
  <c r="S42" i="6"/>
  <c r="S35" i="6"/>
  <c r="J41" i="6"/>
  <c r="G35" i="6"/>
  <c r="K27" i="3"/>
  <c r="U5" i="3"/>
  <c r="O5" i="3"/>
  <c r="P30" i="3"/>
  <c r="P28" i="3"/>
  <c r="T28" i="3"/>
  <c r="K23" i="3"/>
  <c r="O30" i="3"/>
  <c r="T25" i="3"/>
  <c r="U3" i="3"/>
  <c r="K20" i="3"/>
  <c r="K26" i="3"/>
  <c r="H33" i="6"/>
  <c r="C41" i="6"/>
  <c r="J33" i="6"/>
  <c r="T42" i="6"/>
  <c r="N41" i="6"/>
  <c r="O33" i="6"/>
  <c r="C37" i="6"/>
  <c r="F42" i="6"/>
  <c r="T41" i="6"/>
  <c r="L34" i="6"/>
  <c r="K33" i="3"/>
  <c r="T35" i="6"/>
  <c r="O35" i="6"/>
  <c r="K24" i="3"/>
  <c r="H34" i="6"/>
  <c r="N33" i="6"/>
  <c r="K33" i="6"/>
  <c r="H42" i="6"/>
  <c r="S40" i="6"/>
  <c r="K40" i="6"/>
  <c r="N37" i="6"/>
  <c r="N35" i="6"/>
  <c r="L42" i="6"/>
  <c r="N39" i="6"/>
  <c r="G34" i="6"/>
  <c r="U29" i="3"/>
  <c r="O27" i="3"/>
  <c r="U31" i="3"/>
  <c r="E37" i="6"/>
  <c r="G33" i="6"/>
  <c r="J42" i="6"/>
  <c r="M38" i="6"/>
  <c r="R35" i="6"/>
  <c r="F35" i="6"/>
  <c r="G38" i="6"/>
  <c r="T36" i="6"/>
  <c r="F40" i="6"/>
  <c r="T39" i="6"/>
  <c r="C40" i="6"/>
  <c r="D38" i="6"/>
  <c r="G42" i="6"/>
  <c r="R36" i="6"/>
  <c r="U35" i="6"/>
  <c r="D41" i="6"/>
  <c r="P39" i="6"/>
  <c r="J37" i="6"/>
  <c r="D39" i="6"/>
  <c r="O36" i="6"/>
  <c r="N36" i="6"/>
  <c r="D35" i="6"/>
  <c r="J36" i="6"/>
  <c r="S36" i="6"/>
  <c r="M39" i="6"/>
  <c r="M37" i="6"/>
  <c r="Q40" i="6"/>
  <c r="C42" i="6"/>
  <c r="T40" i="6"/>
  <c r="P41" i="6"/>
  <c r="H35" i="6"/>
  <c r="R37" i="6"/>
  <c r="U39" i="6"/>
  <c r="M33" i="6"/>
  <c r="Q42" i="6"/>
  <c r="U38" i="6"/>
  <c r="K35" i="6"/>
  <c r="S38" i="6"/>
  <c r="E36" i="6"/>
  <c r="T38" i="6"/>
  <c r="N34" i="6"/>
  <c r="O39" i="6"/>
  <c r="K41" i="6"/>
  <c r="S41" i="6"/>
  <c r="P34" i="6"/>
  <c r="F33" i="6"/>
  <c r="U41" i="6"/>
  <c r="N42" i="6"/>
  <c r="C38" i="6"/>
  <c r="S34" i="6"/>
  <c r="I35" i="6"/>
  <c r="S37" i="6"/>
  <c r="U33" i="6"/>
  <c r="Q34" i="6"/>
  <c r="D37" i="6"/>
  <c r="L38" i="6"/>
  <c r="D36" i="6"/>
  <c r="F36" i="6"/>
  <c r="M35" i="6"/>
  <c r="U42" i="6"/>
  <c r="D33" i="6"/>
  <c r="J40" i="6"/>
  <c r="D40" i="6"/>
  <c r="E35" i="6"/>
  <c r="T37" i="6"/>
  <c r="I36" i="6"/>
  <c r="M34" i="6"/>
  <c r="O34" i="6"/>
  <c r="F41" i="6"/>
  <c r="L41" i="6"/>
  <c r="P42" i="6"/>
  <c r="G37" i="6"/>
  <c r="E33" i="6"/>
  <c r="P6" i="3"/>
  <c r="Q35" i="6"/>
  <c r="Q39" i="6"/>
  <c r="L33" i="6"/>
  <c r="C35" i="6"/>
  <c r="E41" i="6"/>
  <c r="K37" i="6"/>
  <c r="O6" i="3"/>
  <c r="K34" i="6"/>
  <c r="O38" i="6"/>
  <c r="U6" i="3"/>
  <c r="D34" i="6"/>
  <c r="I37" i="6"/>
  <c r="H40" i="6"/>
  <c r="H39" i="6"/>
  <c r="G41" i="6"/>
  <c r="J6" i="3"/>
  <c r="S33" i="6"/>
  <c r="M36" i="6"/>
  <c r="T6" i="3"/>
  <c r="M237" i="1"/>
  <c r="T17" i="3"/>
  <c r="U17" i="3"/>
  <c r="J17" i="3"/>
  <c r="O17" i="3"/>
  <c r="P17" i="3"/>
  <c r="M236" i="1"/>
  <c r="O16" i="3"/>
  <c r="U16" i="3"/>
  <c r="J16" i="3"/>
  <c r="T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M321" i="1" s="1"/>
  <c r="C322" i="1"/>
  <c r="C323" i="1"/>
  <c r="C324" i="1"/>
  <c r="C325" i="1"/>
  <c r="C326" i="1"/>
  <c r="C327" i="1"/>
  <c r="C328" i="1"/>
  <c r="C329" i="1"/>
  <c r="M329" i="1" s="1"/>
  <c r="C330" i="1"/>
  <c r="C331" i="1"/>
  <c r="C312" i="1"/>
  <c r="C341" i="1"/>
  <c r="C342" i="1"/>
  <c r="C332" i="1"/>
  <c r="M358" i="1" s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53" i="1" s="1"/>
  <c r="C309" i="1"/>
  <c r="C310" i="1"/>
  <c r="C311" i="1"/>
  <c r="C307" i="1"/>
  <c r="C306" i="1"/>
  <c r="M306" i="1" s="1"/>
  <c r="C283" i="1"/>
  <c r="J3" i="3" l="1"/>
  <c r="M313" i="1"/>
  <c r="M707" i="1"/>
  <c r="M751" i="1"/>
  <c r="M765" i="1"/>
  <c r="M762" i="1"/>
  <c r="M699" i="1"/>
  <c r="M705" i="1"/>
  <c r="M757" i="1"/>
  <c r="M754" i="1"/>
  <c r="M766" i="1"/>
  <c r="M749" i="1"/>
  <c r="M763" i="1"/>
  <c r="M702" i="1"/>
  <c r="M708" i="1"/>
  <c r="M760" i="1"/>
  <c r="M758" i="1"/>
  <c r="M755" i="1"/>
  <c r="M780" i="1"/>
  <c r="M700" i="1"/>
  <c r="M752" i="1"/>
  <c r="M706" i="1"/>
  <c r="M750" i="1"/>
  <c r="M703" i="1"/>
  <c r="M761" i="1"/>
  <c r="M764" i="1"/>
  <c r="M701" i="1"/>
  <c r="M753" i="1"/>
  <c r="M704" i="1"/>
  <c r="M756" i="1"/>
  <c r="M759" i="1"/>
  <c r="M596" i="1"/>
  <c r="M555" i="1"/>
  <c r="M561" i="1"/>
  <c r="M558" i="1"/>
  <c r="M553" i="1"/>
  <c r="M541" i="1"/>
  <c r="M591" i="1"/>
  <c r="M564" i="1"/>
  <c r="M594" i="1"/>
  <c r="M556" i="1"/>
  <c r="M562" i="1"/>
  <c r="M559" i="1"/>
  <c r="M595" i="1"/>
  <c r="M554" i="1"/>
  <c r="M592" i="1"/>
  <c r="M589" i="1"/>
  <c r="M590" i="1"/>
  <c r="M565" i="1"/>
  <c r="M563" i="1"/>
  <c r="M593" i="1"/>
  <c r="M560" i="1"/>
  <c r="M566" i="1"/>
  <c r="M557" i="1"/>
  <c r="M368" i="1"/>
  <c r="M501" i="1"/>
  <c r="M497" i="1"/>
  <c r="M495" i="1"/>
  <c r="M500" i="1"/>
  <c r="M499" i="1"/>
  <c r="M496" i="1"/>
  <c r="M521" i="1"/>
  <c r="M520" i="1"/>
  <c r="M523" i="1"/>
  <c r="M498" i="1"/>
  <c r="M502" i="1"/>
  <c r="M522" i="1"/>
  <c r="M494" i="1"/>
  <c r="M451" i="1"/>
  <c r="M456" i="1"/>
  <c r="M452" i="1"/>
  <c r="M454" i="1"/>
  <c r="M450" i="1"/>
  <c r="M453" i="1"/>
  <c r="M455" i="1"/>
  <c r="M457" i="1"/>
  <c r="M379" i="1"/>
  <c r="M382" i="1"/>
  <c r="M380" i="1"/>
  <c r="M384" i="1"/>
  <c r="M381" i="1"/>
  <c r="M385" i="1"/>
  <c r="M383" i="1"/>
  <c r="M414" i="1"/>
  <c r="M363" i="1"/>
  <c r="M362" i="1"/>
  <c r="M310" i="1"/>
  <c r="K32" i="3"/>
  <c r="M727" i="1"/>
  <c r="M743" i="1"/>
  <c r="M736" i="1"/>
  <c r="M681" i="1"/>
  <c r="M678" i="1"/>
  <c r="M679" i="1"/>
  <c r="M676" i="1"/>
  <c r="M682" i="1"/>
  <c r="M683" i="1"/>
  <c r="M680" i="1"/>
  <c r="M675" i="1"/>
  <c r="M674" i="1"/>
  <c r="M677" i="1"/>
  <c r="M443" i="1"/>
  <c r="M449" i="1"/>
  <c r="M377" i="1"/>
  <c r="M378" i="1"/>
  <c r="M413" i="1"/>
  <c r="M356" i="1"/>
  <c r="M357" i="1"/>
  <c r="M355" i="1"/>
  <c r="J12" i="3"/>
  <c r="M311" i="1"/>
  <c r="M737" i="1"/>
  <c r="M713" i="1"/>
  <c r="M735" i="1"/>
  <c r="M771" i="1"/>
  <c r="M710" i="1"/>
  <c r="M740" i="1"/>
  <c r="M714" i="1"/>
  <c r="M711" i="1"/>
  <c r="M769" i="1"/>
  <c r="M738" i="1"/>
  <c r="M712" i="1"/>
  <c r="M741" i="1"/>
  <c r="M770" i="1"/>
  <c r="M739" i="1"/>
  <c r="M574" i="1"/>
  <c r="M599" i="1"/>
  <c r="M602" i="1"/>
  <c r="M567" i="1"/>
  <c r="M603" i="1"/>
  <c r="M641" i="1"/>
  <c r="M600" i="1"/>
  <c r="M597" i="1"/>
  <c r="M598" i="1"/>
  <c r="M542" i="1"/>
  <c r="M601" i="1"/>
  <c r="M568" i="1"/>
  <c r="M604" i="1"/>
  <c r="M667" i="1"/>
  <c r="M569" i="1"/>
  <c r="M508" i="1"/>
  <c r="M504" i="1"/>
  <c r="M507" i="1"/>
  <c r="M506" i="1"/>
  <c r="M487" i="1"/>
  <c r="M505" i="1"/>
  <c r="M525" i="1"/>
  <c r="M524" i="1"/>
  <c r="M526" i="1"/>
  <c r="M460" i="1"/>
  <c r="M461" i="1"/>
  <c r="M400" i="1"/>
  <c r="M395" i="1"/>
  <c r="M398" i="1"/>
  <c r="M396" i="1"/>
  <c r="M428" i="1"/>
  <c r="M390" i="1"/>
  <c r="M397" i="1"/>
  <c r="M401" i="1"/>
  <c r="M392" i="1"/>
  <c r="M399" i="1"/>
  <c r="M393" i="1"/>
  <c r="M391" i="1"/>
  <c r="M423" i="1"/>
  <c r="M394" i="1"/>
  <c r="K34" i="3"/>
  <c r="M283" i="1"/>
  <c r="M722" i="1"/>
  <c r="M776" i="1"/>
  <c r="M774" i="1"/>
  <c r="M719" i="1"/>
  <c r="M777" i="1"/>
  <c r="M717" i="1"/>
  <c r="M778" i="1"/>
  <c r="M775" i="1"/>
  <c r="M720" i="1"/>
  <c r="M721" i="1"/>
  <c r="M718" i="1"/>
  <c r="M537" i="1"/>
  <c r="M607" i="1"/>
  <c r="M631" i="1"/>
  <c r="M575" i="1"/>
  <c r="M536" i="1"/>
  <c r="M570" i="1"/>
  <c r="M608" i="1"/>
  <c r="M632" i="1"/>
  <c r="M684" i="1"/>
  <c r="M605" i="1"/>
  <c r="M538" i="1"/>
  <c r="M606" i="1"/>
  <c r="M609" i="1"/>
  <c r="M685" i="1"/>
  <c r="M545" i="1"/>
  <c r="M661" i="1"/>
  <c r="M483" i="1"/>
  <c r="M512" i="1"/>
  <c r="M513" i="1"/>
  <c r="M527" i="1"/>
  <c r="M511" i="1"/>
  <c r="M469" i="1"/>
  <c r="M477" i="1"/>
  <c r="M471" i="1"/>
  <c r="M465" i="1"/>
  <c r="M434" i="1"/>
  <c r="M467" i="1"/>
  <c r="M470" i="1"/>
  <c r="M468" i="1"/>
  <c r="M466" i="1"/>
  <c r="M464" i="1"/>
  <c r="M406" i="1"/>
  <c r="M404" i="1"/>
  <c r="M409" i="1"/>
  <c r="M405" i="1"/>
  <c r="M407" i="1"/>
  <c r="M417" i="1"/>
  <c r="M416" i="1"/>
  <c r="M402" i="1"/>
  <c r="M424" i="1"/>
  <c r="M425" i="1"/>
  <c r="M418" i="1"/>
  <c r="M403" i="1"/>
  <c r="M408" i="1"/>
  <c r="M365" i="1"/>
  <c r="M367" i="1"/>
  <c r="M366" i="1"/>
  <c r="M364" i="1"/>
  <c r="S107" i="6"/>
  <c r="D107" i="6"/>
  <c r="K110" i="6"/>
  <c r="G109" i="6"/>
  <c r="N107" i="6"/>
  <c r="U110" i="6"/>
  <c r="F83" i="6"/>
  <c r="F110" i="6"/>
  <c r="P107" i="6"/>
  <c r="N108" i="6"/>
  <c r="R107" i="6"/>
  <c r="T105" i="6"/>
  <c r="K75" i="6"/>
  <c r="C105" i="6"/>
  <c r="P95" i="6"/>
  <c r="M93" i="6"/>
  <c r="O82" i="6"/>
  <c r="M49" i="6"/>
  <c r="U98" i="6"/>
  <c r="F63" i="6"/>
  <c r="T52" i="6"/>
  <c r="P61" i="6"/>
  <c r="M53" i="6"/>
  <c r="K71" i="6"/>
  <c r="C62" i="6"/>
  <c r="O59" i="6"/>
  <c r="H74" i="6"/>
  <c r="P57" i="6"/>
  <c r="T85" i="6"/>
  <c r="K76" i="6"/>
  <c r="E59" i="6"/>
  <c r="C96" i="6"/>
  <c r="R67" i="6"/>
  <c r="K45" i="6"/>
  <c r="H80" i="6"/>
  <c r="R103" i="6"/>
  <c r="G67" i="6"/>
  <c r="I45" i="6"/>
  <c r="E80" i="6"/>
  <c r="G64" i="6"/>
  <c r="N51" i="6"/>
  <c r="M90" i="6"/>
  <c r="S48" i="6"/>
  <c r="L46" i="6"/>
  <c r="I104" i="6"/>
  <c r="J65" i="6"/>
  <c r="D77" i="6"/>
  <c r="R53" i="6"/>
  <c r="F103" i="6"/>
  <c r="R83" i="6"/>
  <c r="O67" i="6"/>
  <c r="P45" i="6"/>
  <c r="I53" i="6"/>
  <c r="F95" i="6"/>
  <c r="C74" i="6"/>
  <c r="D92" i="6"/>
  <c r="T80" i="6"/>
  <c r="L96" i="6"/>
  <c r="G87" i="6"/>
  <c r="F96" i="6"/>
  <c r="N71" i="6"/>
  <c r="D73" i="6"/>
  <c r="K84" i="6"/>
  <c r="F56" i="6"/>
  <c r="D86" i="6"/>
  <c r="M85" i="6"/>
  <c r="I69" i="6"/>
  <c r="N70" i="6"/>
  <c r="F86" i="6"/>
  <c r="E95" i="6"/>
  <c r="F50" i="6"/>
  <c r="G91" i="6"/>
  <c r="N101" i="6"/>
  <c r="C90" i="6"/>
  <c r="T60" i="6"/>
  <c r="C53" i="6"/>
  <c r="K70" i="6"/>
  <c r="U74" i="6"/>
  <c r="G71" i="6"/>
  <c r="L103" i="6"/>
  <c r="S72" i="6"/>
  <c r="D98" i="6"/>
  <c r="J83" i="6"/>
  <c r="H108" i="6"/>
  <c r="L107" i="6"/>
  <c r="S110" i="6"/>
  <c r="O109" i="6"/>
  <c r="C108" i="6"/>
  <c r="I72" i="6"/>
  <c r="G107" i="6"/>
  <c r="N110" i="6"/>
  <c r="E108" i="6"/>
  <c r="C109" i="6"/>
  <c r="G108" i="6"/>
  <c r="F92" i="6"/>
  <c r="U43" i="6"/>
  <c r="E73" i="6"/>
  <c r="N92" i="6"/>
  <c r="M60" i="6"/>
  <c r="J93" i="6"/>
  <c r="L87" i="6"/>
  <c r="M102" i="6"/>
  <c r="C50" i="6"/>
  <c r="E84" i="6"/>
  <c r="S51" i="6"/>
  <c r="M57" i="6"/>
  <c r="R62" i="6"/>
  <c r="J89" i="6"/>
  <c r="C94" i="6"/>
  <c r="P77" i="6"/>
  <c r="O95" i="6"/>
  <c r="H83" i="6"/>
  <c r="P96" i="6"/>
  <c r="M76" i="6"/>
  <c r="S106" i="6"/>
  <c r="P52" i="6"/>
  <c r="I56" i="6"/>
  <c r="P89" i="6"/>
  <c r="K106" i="6"/>
  <c r="S87" i="6"/>
  <c r="F69" i="6"/>
  <c r="E66" i="6"/>
  <c r="S98" i="6"/>
  <c r="P92" i="6"/>
  <c r="Q66" i="6"/>
  <c r="R91" i="6"/>
  <c r="O88" i="6"/>
  <c r="J48" i="6"/>
  <c r="G94" i="6"/>
  <c r="L67" i="6"/>
  <c r="U70" i="6"/>
  <c r="U80" i="6"/>
  <c r="G56" i="6"/>
  <c r="O65" i="6"/>
  <c r="C67" i="6"/>
  <c r="O64" i="6"/>
  <c r="Q106" i="6"/>
  <c r="J58" i="6"/>
  <c r="N86" i="6"/>
  <c r="D96" i="6"/>
  <c r="L73" i="6"/>
  <c r="E93" i="6"/>
  <c r="F88" i="6"/>
  <c r="T68" i="6"/>
  <c r="D101" i="6"/>
  <c r="P86" i="6"/>
  <c r="O80" i="6"/>
  <c r="O90" i="6"/>
  <c r="I81" i="6"/>
  <c r="U71" i="6"/>
  <c r="J63" i="6"/>
  <c r="F93" i="6"/>
  <c r="J64" i="6"/>
  <c r="U83" i="6"/>
  <c r="S88" i="6"/>
  <c r="G43" i="6"/>
  <c r="I55" i="6"/>
  <c r="R81" i="6"/>
  <c r="J71" i="6"/>
  <c r="U51" i="6"/>
  <c r="N91" i="6"/>
  <c r="N90" i="6"/>
  <c r="F75" i="6"/>
  <c r="H68" i="6"/>
  <c r="N65" i="6"/>
  <c r="N99" i="6"/>
  <c r="P108" i="6"/>
  <c r="T107" i="6"/>
  <c r="D110" i="6"/>
  <c r="K108" i="6"/>
  <c r="G82" i="6"/>
  <c r="O107" i="6"/>
  <c r="M108" i="6"/>
  <c r="K109" i="6"/>
  <c r="O108" i="6"/>
  <c r="I68" i="6"/>
  <c r="O101" i="6"/>
  <c r="J85" i="6"/>
  <c r="C91" i="6"/>
  <c r="N53" i="6"/>
  <c r="E67" i="6"/>
  <c r="H71" i="6"/>
  <c r="E78" i="6"/>
  <c r="M97" i="6"/>
  <c r="P65" i="6"/>
  <c r="R78" i="6"/>
  <c r="F97" i="6"/>
  <c r="N46" i="6"/>
  <c r="H89" i="6"/>
  <c r="P102" i="6"/>
  <c r="P85" i="6"/>
  <c r="D102" i="6"/>
  <c r="H100" i="6"/>
  <c r="S105" i="6"/>
  <c r="N83" i="6"/>
  <c r="E54" i="6"/>
  <c r="N61" i="6"/>
  <c r="M70" i="6"/>
  <c r="C61" i="6"/>
  <c r="T45" i="6"/>
  <c r="G69" i="6"/>
  <c r="H72" i="6"/>
  <c r="U67" i="6"/>
  <c r="G47" i="6"/>
  <c r="E85" i="6"/>
  <c r="E50" i="6"/>
  <c r="H106" i="6"/>
  <c r="K102" i="6"/>
  <c r="E87" i="6"/>
  <c r="C99" i="6"/>
  <c r="P90" i="6"/>
  <c r="T92" i="6"/>
  <c r="T84" i="6"/>
  <c r="K81" i="6"/>
  <c r="F45" i="6"/>
  <c r="Q61" i="6"/>
  <c r="P59" i="6"/>
  <c r="G57" i="6"/>
  <c r="E45" i="6"/>
  <c r="C82" i="6"/>
  <c r="S52" i="6"/>
  <c r="U49" i="6"/>
  <c r="J67" i="6"/>
  <c r="Q70" i="6"/>
  <c r="R58" i="6"/>
  <c r="H94" i="6"/>
  <c r="U101" i="6"/>
  <c r="U97" i="6"/>
  <c r="K66" i="6"/>
  <c r="E106" i="6"/>
  <c r="D76" i="6"/>
  <c r="K105" i="6"/>
  <c r="G105" i="6"/>
  <c r="C69" i="6"/>
  <c r="U91" i="6"/>
  <c r="C52" i="6"/>
  <c r="F76" i="6"/>
  <c r="N63" i="6"/>
  <c r="H63" i="6"/>
  <c r="G106" i="6"/>
  <c r="F57" i="6"/>
  <c r="S61" i="6"/>
  <c r="M94" i="6"/>
  <c r="S44" i="6"/>
  <c r="C76" i="6"/>
  <c r="U79" i="6"/>
  <c r="E109" i="6"/>
  <c r="I108" i="6"/>
  <c r="E107" i="6"/>
  <c r="L110" i="6"/>
  <c r="S108" i="6"/>
  <c r="C102" i="6"/>
  <c r="D108" i="6"/>
  <c r="U108" i="6"/>
  <c r="S109" i="6"/>
  <c r="L58" i="6"/>
  <c r="D109" i="6"/>
  <c r="Q65" i="6"/>
  <c r="G54" i="6"/>
  <c r="I86" i="6"/>
  <c r="I88" i="6"/>
  <c r="K97" i="6"/>
  <c r="E81" i="6"/>
  <c r="Q72" i="6"/>
  <c r="D78" i="6"/>
  <c r="U62" i="6"/>
  <c r="F58" i="6"/>
  <c r="M80" i="6"/>
  <c r="P76" i="6"/>
  <c r="G98" i="6"/>
  <c r="D44" i="6"/>
  <c r="D75" i="6"/>
  <c r="T53" i="6"/>
  <c r="D70" i="6"/>
  <c r="I49" i="6"/>
  <c r="Q45" i="6"/>
  <c r="D83" i="6"/>
  <c r="F78" i="6"/>
  <c r="E96" i="6"/>
  <c r="G84" i="6"/>
  <c r="H59" i="6"/>
  <c r="E63" i="6"/>
  <c r="O77" i="6"/>
  <c r="J61" i="6"/>
  <c r="L66" i="6"/>
  <c r="F101" i="6"/>
  <c r="S68" i="6"/>
  <c r="P55" i="6"/>
  <c r="G51" i="6"/>
  <c r="U106" i="6"/>
  <c r="Q95" i="6"/>
  <c r="P46" i="6"/>
  <c r="T72" i="6"/>
  <c r="Q77" i="6"/>
  <c r="K69" i="6"/>
  <c r="P67" i="6"/>
  <c r="S83" i="6"/>
  <c r="C103" i="6"/>
  <c r="C63" i="6"/>
  <c r="F98" i="6"/>
  <c r="G53" i="6"/>
  <c r="C79" i="6"/>
  <c r="I92" i="6"/>
  <c r="O63" i="6"/>
  <c r="K68" i="6"/>
  <c r="H99" i="6"/>
  <c r="R94" i="6"/>
  <c r="H97" i="6"/>
  <c r="E68" i="6"/>
  <c r="Q99" i="6"/>
  <c r="R71" i="6"/>
  <c r="K53" i="6"/>
  <c r="L101" i="6"/>
  <c r="N87" i="6"/>
  <c r="T59" i="6"/>
  <c r="F77" i="6"/>
  <c r="S60" i="6"/>
  <c r="C71" i="6"/>
  <c r="M109" i="6"/>
  <c r="Q108" i="6"/>
  <c r="M107" i="6"/>
  <c r="T110" i="6"/>
  <c r="H109" i="6"/>
  <c r="G79" i="6"/>
  <c r="L108" i="6"/>
  <c r="J109" i="6"/>
  <c r="S76" i="6"/>
  <c r="H110" i="6"/>
  <c r="L98" i="6"/>
  <c r="L109" i="6"/>
  <c r="T88" i="6"/>
  <c r="M81" i="6"/>
  <c r="I50" i="6"/>
  <c r="I106" i="6"/>
  <c r="S65" i="6"/>
  <c r="Q62" i="6"/>
  <c r="F94" i="6"/>
  <c r="K51" i="6"/>
  <c r="I98" i="6"/>
  <c r="O92" i="6"/>
  <c r="N97" i="6"/>
  <c r="U64" i="6"/>
  <c r="N84" i="6"/>
  <c r="G89" i="6"/>
  <c r="E91" i="6"/>
  <c r="O102" i="6"/>
  <c r="G90" i="6"/>
  <c r="O83" i="6"/>
  <c r="K44" i="6"/>
  <c r="Q85" i="6"/>
  <c r="N85" i="6"/>
  <c r="U103" i="6"/>
  <c r="K93" i="6"/>
  <c r="F70" i="6"/>
  <c r="E75" i="6"/>
  <c r="K46" i="6"/>
  <c r="O48" i="6"/>
  <c r="T95" i="6"/>
  <c r="I58" i="6"/>
  <c r="Q93" i="6"/>
  <c r="D106" i="6"/>
  <c r="M52" i="6"/>
  <c r="T86" i="6"/>
  <c r="E62" i="6"/>
  <c r="C60" i="6"/>
  <c r="I46" i="6"/>
  <c r="R90" i="6"/>
  <c r="C86" i="6"/>
  <c r="P71" i="6"/>
  <c r="P54" i="6"/>
  <c r="U48" i="6"/>
  <c r="J52" i="6"/>
  <c r="M105" i="6"/>
  <c r="Q47" i="6"/>
  <c r="E47" i="6"/>
  <c r="F59" i="6"/>
  <c r="L47" i="6"/>
  <c r="K50" i="6"/>
  <c r="J47" i="6"/>
  <c r="R63" i="6"/>
  <c r="H79" i="6"/>
  <c r="M45" i="6"/>
  <c r="H85" i="6"/>
  <c r="R96" i="6"/>
  <c r="P50" i="6"/>
  <c r="J79" i="6"/>
  <c r="T44" i="6"/>
  <c r="P44" i="6"/>
  <c r="U77" i="6"/>
  <c r="L104" i="6"/>
  <c r="T63" i="6"/>
  <c r="K91" i="6"/>
  <c r="T50" i="6"/>
  <c r="D48" i="6"/>
  <c r="D64" i="6"/>
  <c r="S93" i="6"/>
  <c r="N73" i="6"/>
  <c r="Q57" i="6"/>
  <c r="C87" i="6"/>
  <c r="D43" i="6"/>
  <c r="O94" i="6"/>
  <c r="N60" i="6"/>
  <c r="U109" i="6"/>
  <c r="F109" i="6"/>
  <c r="U107" i="6"/>
  <c r="P109" i="6"/>
  <c r="I63" i="6"/>
  <c r="T108" i="6"/>
  <c r="R109" i="6"/>
  <c r="I107" i="6"/>
  <c r="P110" i="6"/>
  <c r="R55" i="6"/>
  <c r="T109" i="6"/>
  <c r="S77" i="6"/>
  <c r="O44" i="6"/>
  <c r="N47" i="6"/>
  <c r="U99" i="6"/>
  <c r="E56" i="6"/>
  <c r="P62" i="6"/>
  <c r="C106" i="6"/>
  <c r="S89" i="6"/>
  <c r="J50" i="6"/>
  <c r="O70" i="6"/>
  <c r="L48" i="6"/>
  <c r="O84" i="6"/>
  <c r="I91" i="6"/>
  <c r="L99" i="6"/>
  <c r="I85" i="6"/>
  <c r="Q60" i="6"/>
  <c r="F52" i="6"/>
  <c r="R48" i="6"/>
  <c r="D74" i="6"/>
  <c r="S46" i="6"/>
  <c r="K90" i="6"/>
  <c r="J86" i="6"/>
  <c r="F90" i="6"/>
  <c r="R86" i="6"/>
  <c r="J54" i="6"/>
  <c r="J44" i="6"/>
  <c r="H62" i="6"/>
  <c r="E69" i="6"/>
  <c r="I96" i="6"/>
  <c r="P43" i="6"/>
  <c r="G102" i="6"/>
  <c r="Q98" i="6"/>
  <c r="R54" i="6"/>
  <c r="O103" i="6"/>
  <c r="L75" i="6"/>
  <c r="O79" i="6"/>
  <c r="N88" i="6"/>
  <c r="C46" i="6"/>
  <c r="T99" i="6"/>
  <c r="G72" i="6"/>
  <c r="O78" i="6"/>
  <c r="H55" i="6"/>
  <c r="K47" i="6"/>
  <c r="O86" i="6"/>
  <c r="U69" i="6"/>
  <c r="S58" i="6"/>
  <c r="U44" i="6"/>
  <c r="O105" i="6"/>
  <c r="L86" i="6"/>
  <c r="M103" i="6"/>
  <c r="D57" i="6"/>
  <c r="Q105" i="6"/>
  <c r="M55" i="6"/>
  <c r="G85" i="6"/>
  <c r="F54" i="6"/>
  <c r="R65" i="6"/>
  <c r="F79" i="6"/>
  <c r="L100" i="6"/>
  <c r="Q44" i="6"/>
  <c r="M106" i="6"/>
  <c r="D100" i="6"/>
  <c r="E77" i="6"/>
  <c r="G86" i="6"/>
  <c r="U105" i="6"/>
  <c r="R50" i="6"/>
  <c r="E83" i="6"/>
  <c r="E101" i="6"/>
  <c r="U75" i="6"/>
  <c r="G88" i="6"/>
  <c r="S47" i="6"/>
  <c r="I101" i="6"/>
  <c r="T103" i="6"/>
  <c r="N76" i="6"/>
  <c r="C107" i="6"/>
  <c r="J110" i="6"/>
  <c r="N109" i="6"/>
  <c r="J108" i="6"/>
  <c r="E110" i="6"/>
  <c r="R60" i="6"/>
  <c r="I109" i="6"/>
  <c r="G110" i="6"/>
  <c r="Q107" i="6"/>
  <c r="K65" i="6"/>
  <c r="I110" i="6"/>
  <c r="F51" i="6"/>
  <c r="R95" i="6"/>
  <c r="F61" i="6"/>
  <c r="R100" i="6"/>
  <c r="R75" i="6"/>
  <c r="R101" i="6"/>
  <c r="O72" i="6"/>
  <c r="H92" i="6"/>
  <c r="N74" i="6"/>
  <c r="L57" i="6"/>
  <c r="K92" i="6"/>
  <c r="M101" i="6"/>
  <c r="H73" i="6"/>
  <c r="I59" i="6"/>
  <c r="E72" i="6"/>
  <c r="O61" i="6"/>
  <c r="F47" i="6"/>
  <c r="N56" i="6"/>
  <c r="M64" i="6"/>
  <c r="K82" i="6"/>
  <c r="M100" i="6"/>
  <c r="S57" i="6"/>
  <c r="N98" i="6"/>
  <c r="R93" i="6"/>
  <c r="P78" i="6"/>
  <c r="R69" i="6"/>
  <c r="F65" i="6"/>
  <c r="T89" i="6"/>
  <c r="Q86" i="6"/>
  <c r="K87" i="6"/>
  <c r="Q103" i="6"/>
  <c r="P98" i="6"/>
  <c r="F53" i="6"/>
  <c r="Q90" i="6"/>
  <c r="F55" i="6"/>
  <c r="S50" i="6"/>
  <c r="J43" i="6"/>
  <c r="D85" i="6"/>
  <c r="N95" i="6"/>
  <c r="J45" i="6"/>
  <c r="T79" i="6"/>
  <c r="M44" i="6"/>
  <c r="E89" i="6"/>
  <c r="T56" i="6"/>
  <c r="P73" i="6"/>
  <c r="L102" i="6"/>
  <c r="O45" i="6"/>
  <c r="D66" i="6"/>
  <c r="R97" i="6"/>
  <c r="O106" i="6"/>
  <c r="M65" i="6"/>
  <c r="M87" i="6"/>
  <c r="L80" i="6"/>
  <c r="K77" i="6"/>
  <c r="U84" i="6"/>
  <c r="M63" i="6"/>
  <c r="P101" i="6"/>
  <c r="P48" i="6"/>
  <c r="T74" i="6"/>
  <c r="K48" i="6"/>
  <c r="N52" i="6"/>
  <c r="U100" i="6"/>
  <c r="I77" i="6"/>
  <c r="U94" i="6"/>
  <c r="N77" i="6"/>
  <c r="Q43" i="6"/>
  <c r="Q76" i="6"/>
  <c r="H47" i="6"/>
  <c r="D84" i="6"/>
  <c r="I90" i="6"/>
  <c r="N106" i="6"/>
  <c r="K107" i="6"/>
  <c r="R110" i="6"/>
  <c r="C110" i="6"/>
  <c r="R108" i="6"/>
  <c r="F107" i="6"/>
  <c r="M110" i="6"/>
  <c r="L105" i="6"/>
  <c r="Q109" i="6"/>
  <c r="H107" i="6"/>
  <c r="O110" i="6"/>
  <c r="F108" i="6"/>
  <c r="J107" i="6"/>
  <c r="Q110" i="6"/>
  <c r="O68" i="6"/>
  <c r="E90" i="6"/>
  <c r="C98" i="6"/>
  <c r="C89" i="6"/>
  <c r="K67" i="6"/>
  <c r="G55" i="6"/>
  <c r="T71" i="6"/>
  <c r="I82" i="6"/>
  <c r="K95" i="6"/>
  <c r="P64" i="6"/>
  <c r="C73" i="6"/>
  <c r="C58" i="6"/>
  <c r="H81" i="6"/>
  <c r="O47" i="6"/>
  <c r="Q67" i="6"/>
  <c r="O99" i="6"/>
  <c r="T106" i="6"/>
  <c r="T93" i="6"/>
  <c r="H66" i="6"/>
  <c r="Q80" i="6"/>
  <c r="N103" i="6"/>
  <c r="Q69" i="6"/>
  <c r="J51" i="6"/>
  <c r="H65" i="6"/>
  <c r="H48" i="6"/>
  <c r="D51" i="6"/>
  <c r="S97" i="6"/>
  <c r="H93" i="6"/>
  <c r="J68" i="6"/>
  <c r="G78" i="6"/>
  <c r="C66" i="6"/>
  <c r="L51" i="6"/>
  <c r="U57" i="6"/>
  <c r="J73" i="6"/>
  <c r="Q89" i="6"/>
  <c r="F64" i="6"/>
  <c r="H102" i="6"/>
  <c r="M67" i="6"/>
  <c r="M77" i="6"/>
  <c r="L97" i="6"/>
  <c r="S91" i="6"/>
  <c r="O49" i="6"/>
  <c r="N96" i="6"/>
  <c r="J56" i="6"/>
  <c r="J72" i="6"/>
  <c r="C92" i="6"/>
  <c r="Q92" i="6"/>
  <c r="H96" i="6"/>
  <c r="Q48" i="6"/>
  <c r="R43" i="6"/>
  <c r="F49" i="6"/>
  <c r="D54" i="6"/>
  <c r="R57" i="6"/>
  <c r="H77" i="6"/>
  <c r="M51" i="6"/>
  <c r="P106" i="6"/>
  <c r="S63" i="6"/>
  <c r="I57" i="6"/>
  <c r="I44" i="6"/>
  <c r="G59" i="6"/>
  <c r="U60" i="6"/>
  <c r="G95" i="6"/>
  <c r="O87" i="6"/>
  <c r="E43" i="6"/>
  <c r="I89" i="6"/>
  <c r="J106" i="6"/>
  <c r="C81" i="6"/>
  <c r="M62" i="6"/>
  <c r="O100" i="6"/>
  <c r="T47" i="6"/>
  <c r="J100" i="6"/>
  <c r="Q71" i="6"/>
  <c r="F60" i="6"/>
  <c r="I54" i="6"/>
  <c r="D45" i="6"/>
  <c r="F80" i="6"/>
  <c r="H87" i="6"/>
  <c r="H91" i="6"/>
  <c r="C95" i="6"/>
  <c r="U90" i="6"/>
  <c r="N49" i="6"/>
  <c r="F85" i="6"/>
  <c r="N55" i="6"/>
  <c r="P99" i="6"/>
  <c r="J66" i="6"/>
  <c r="O60" i="6"/>
  <c r="P81" i="6"/>
  <c r="C97" i="6"/>
  <c r="H64" i="6"/>
  <c r="P56" i="6"/>
  <c r="T64" i="6"/>
  <c r="G58" i="6"/>
  <c r="R102" i="6"/>
  <c r="E86" i="6"/>
  <c r="K94" i="6"/>
  <c r="E79" i="6"/>
  <c r="D65" i="6"/>
  <c r="N62" i="6"/>
  <c r="E55" i="6"/>
  <c r="H49" i="6"/>
  <c r="L71" i="6"/>
  <c r="R47" i="6"/>
  <c r="Q96" i="6"/>
  <c r="P97" i="6"/>
  <c r="S82" i="6"/>
  <c r="R105" i="6"/>
  <c r="N58" i="6"/>
  <c r="J55" i="6"/>
  <c r="J84" i="6"/>
  <c r="U46" i="6"/>
  <c r="T46" i="6"/>
  <c r="O97" i="6"/>
  <c r="D63" i="6"/>
  <c r="N82" i="6"/>
  <c r="D61" i="6"/>
  <c r="J88" i="6"/>
  <c r="U68" i="6"/>
  <c r="U50" i="6"/>
  <c r="E88" i="6"/>
  <c r="E48" i="6"/>
  <c r="U93" i="6"/>
  <c r="S104" i="6"/>
  <c r="H95" i="6"/>
  <c r="C83" i="6"/>
  <c r="G76" i="6"/>
  <c r="Q54" i="6"/>
  <c r="J81" i="6"/>
  <c r="L88" i="6"/>
  <c r="D72" i="6"/>
  <c r="O93" i="6"/>
  <c r="M56" i="6"/>
  <c r="H82" i="6"/>
  <c r="F67" i="6"/>
  <c r="T94" i="6"/>
  <c r="S86" i="6"/>
  <c r="U95" i="6"/>
  <c r="P82" i="6"/>
  <c r="P80" i="6"/>
  <c r="S45" i="6"/>
  <c r="J105" i="6"/>
  <c r="T66" i="6"/>
  <c r="C43" i="6"/>
  <c r="E71" i="6"/>
  <c r="M61" i="6"/>
  <c r="P87" i="6"/>
  <c r="D97" i="6"/>
  <c r="E99" i="6"/>
  <c r="E76" i="6"/>
  <c r="N66" i="6"/>
  <c r="H56" i="6"/>
  <c r="R76" i="6"/>
  <c r="T98" i="6"/>
  <c r="L83" i="6"/>
  <c r="U52" i="6"/>
  <c r="O74" i="6"/>
  <c r="C59" i="6"/>
  <c r="O76" i="6"/>
  <c r="L72" i="6"/>
  <c r="P104" i="6"/>
  <c r="U87" i="6"/>
  <c r="O91" i="6"/>
  <c r="J98" i="6"/>
  <c r="D62" i="6"/>
  <c r="C104" i="6"/>
  <c r="I76" i="6"/>
  <c r="N68" i="6"/>
  <c r="U53" i="6"/>
  <c r="O62" i="6"/>
  <c r="K96" i="6"/>
  <c r="L106" i="6"/>
  <c r="S74" i="6"/>
  <c r="U88" i="6"/>
  <c r="T77" i="6"/>
  <c r="U92" i="6"/>
  <c r="D49" i="6"/>
  <c r="D80" i="6"/>
  <c r="L69" i="6"/>
  <c r="P66" i="6"/>
  <c r="H104" i="6"/>
  <c r="P103" i="6"/>
  <c r="M92" i="6"/>
  <c r="E57" i="6"/>
  <c r="K103" i="6"/>
  <c r="S55" i="6"/>
  <c r="T104" i="6"/>
  <c r="G92" i="6"/>
  <c r="F46" i="6"/>
  <c r="D87" i="6"/>
  <c r="I102" i="6"/>
  <c r="C72" i="6"/>
  <c r="J74" i="6"/>
  <c r="D67" i="6"/>
  <c r="S95" i="6"/>
  <c r="U72" i="6"/>
  <c r="L77" i="6"/>
  <c r="S75" i="6"/>
  <c r="U59" i="6"/>
  <c r="L76" i="6"/>
  <c r="J101" i="6"/>
  <c r="I66" i="6"/>
  <c r="L64" i="6"/>
  <c r="G73" i="6"/>
  <c r="O43" i="6"/>
  <c r="G77" i="6"/>
  <c r="G46" i="6"/>
  <c r="L90" i="6"/>
  <c r="D82" i="6"/>
  <c r="O58" i="6"/>
  <c r="M69" i="6"/>
  <c r="N79" i="6"/>
  <c r="H69" i="6"/>
  <c r="S103" i="6"/>
  <c r="E58" i="6"/>
  <c r="J103" i="6"/>
  <c r="Q81" i="6"/>
  <c r="D93" i="6"/>
  <c r="M66" i="6"/>
  <c r="D105" i="6"/>
  <c r="L81" i="6"/>
  <c r="S71" i="6"/>
  <c r="Q59" i="6"/>
  <c r="Q97" i="6"/>
  <c r="C48" i="6"/>
  <c r="G104" i="6"/>
  <c r="C85" i="6"/>
  <c r="G83" i="6"/>
  <c r="D52" i="6"/>
  <c r="G103" i="6"/>
  <c r="M68" i="6"/>
  <c r="N78" i="6"/>
  <c r="S59" i="6"/>
  <c r="M47" i="6"/>
  <c r="H70" i="6"/>
  <c r="I87" i="6"/>
  <c r="U82" i="6"/>
  <c r="O75" i="6"/>
  <c r="I60" i="6"/>
  <c r="O52" i="6"/>
  <c r="G96" i="6"/>
  <c r="K56" i="6"/>
  <c r="K99" i="6"/>
  <c r="J92" i="6"/>
  <c r="R106" i="6"/>
  <c r="Q55" i="6"/>
  <c r="M59" i="6"/>
  <c r="Q84" i="6"/>
  <c r="C77" i="6"/>
  <c r="T96" i="6"/>
  <c r="K61" i="6"/>
  <c r="U63" i="6"/>
  <c r="E44" i="6"/>
  <c r="R45" i="6"/>
  <c r="U89" i="6"/>
  <c r="L53" i="6"/>
  <c r="P58" i="6"/>
  <c r="Q91" i="6"/>
  <c r="T73" i="6"/>
  <c r="J75" i="6"/>
  <c r="U66" i="6"/>
  <c r="S64" i="6"/>
  <c r="H54" i="6"/>
  <c r="D60" i="6"/>
  <c r="M78" i="6"/>
  <c r="M84" i="6"/>
  <c r="H46" i="6"/>
  <c r="Q68" i="6"/>
  <c r="G63" i="6"/>
  <c r="H88" i="6"/>
  <c r="K43" i="6"/>
  <c r="S67" i="6"/>
  <c r="N102" i="6"/>
  <c r="F71" i="6"/>
  <c r="D81" i="6"/>
  <c r="L91" i="6"/>
  <c r="J49" i="6"/>
  <c r="L49" i="6"/>
  <c r="J99" i="6"/>
  <c r="J59" i="6"/>
  <c r="I93" i="6"/>
  <c r="S56" i="6"/>
  <c r="T67" i="6"/>
  <c r="I74" i="6"/>
  <c r="C64" i="6"/>
  <c r="Q50" i="6"/>
  <c r="J80" i="6"/>
  <c r="P60" i="6"/>
  <c r="D69" i="6"/>
  <c r="M72" i="6"/>
  <c r="R64" i="6"/>
  <c r="D58" i="6"/>
  <c r="Q102" i="6"/>
  <c r="D89" i="6"/>
  <c r="P47" i="6"/>
  <c r="L43" i="6"/>
  <c r="L55" i="6"/>
  <c r="Q46" i="6"/>
  <c r="T55" i="6"/>
  <c r="L59" i="6"/>
  <c r="K62" i="6"/>
  <c r="N69" i="6"/>
  <c r="T61" i="6"/>
  <c r="G48" i="6"/>
  <c r="G44" i="6"/>
  <c r="K100" i="6"/>
  <c r="Q87" i="6"/>
  <c r="K49" i="6"/>
  <c r="G45" i="6"/>
  <c r="U61" i="6"/>
  <c r="C47" i="6"/>
  <c r="Q51" i="6"/>
  <c r="R84" i="6"/>
  <c r="R59" i="6"/>
  <c r="F82" i="6"/>
  <c r="I105" i="6"/>
  <c r="M98" i="6"/>
  <c r="E49" i="6"/>
  <c r="N80" i="6"/>
  <c r="D95" i="6"/>
  <c r="F72" i="6"/>
  <c r="P93" i="6"/>
  <c r="R66" i="6"/>
  <c r="C88" i="6"/>
  <c r="E104" i="6"/>
  <c r="F43" i="6"/>
  <c r="S84" i="6"/>
  <c r="J70" i="6"/>
  <c r="S81" i="6"/>
  <c r="C56" i="6"/>
  <c r="O89" i="6"/>
  <c r="P72" i="6"/>
  <c r="L74" i="6"/>
  <c r="D46" i="6"/>
  <c r="M54" i="6"/>
  <c r="J78" i="6"/>
  <c r="D104" i="6"/>
  <c r="Q82" i="6"/>
  <c r="H98" i="6"/>
  <c r="I95" i="6"/>
  <c r="G97" i="6"/>
  <c r="I99" i="6"/>
  <c r="R87" i="6"/>
  <c r="R52" i="6"/>
  <c r="C57" i="6"/>
  <c r="F62" i="6"/>
  <c r="R61" i="6"/>
  <c r="C75" i="6"/>
  <c r="D99" i="6"/>
  <c r="M71" i="6"/>
  <c r="N54" i="6"/>
  <c r="R73" i="6"/>
  <c r="U85" i="6"/>
  <c r="C84" i="6"/>
  <c r="F44" i="6"/>
  <c r="E61" i="6"/>
  <c r="N104" i="6"/>
  <c r="I64" i="6"/>
  <c r="Q73" i="6"/>
  <c r="P83" i="6"/>
  <c r="H53" i="6"/>
  <c r="S66" i="6"/>
  <c r="K79" i="6"/>
  <c r="G62" i="6"/>
  <c r="O69" i="6"/>
  <c r="T82" i="6"/>
  <c r="U45" i="6"/>
  <c r="R79" i="6"/>
  <c r="E74" i="6"/>
  <c r="L56" i="6"/>
  <c r="L63" i="6"/>
  <c r="P100" i="6"/>
  <c r="T51" i="6"/>
  <c r="R104" i="6"/>
  <c r="I103" i="6"/>
  <c r="P79" i="6"/>
  <c r="R80" i="6"/>
  <c r="M86" i="6"/>
  <c r="D103" i="6"/>
  <c r="R72" i="6"/>
  <c r="P68" i="6"/>
  <c r="F106" i="6"/>
  <c r="F68" i="6"/>
  <c r="K88" i="6"/>
  <c r="N50" i="6"/>
  <c r="S96" i="6"/>
  <c r="Q53" i="6"/>
  <c r="I97" i="6"/>
  <c r="C93" i="6"/>
  <c r="Q100" i="6"/>
  <c r="R68" i="6"/>
  <c r="O71" i="6"/>
  <c r="L44" i="6"/>
  <c r="U76" i="6"/>
  <c r="O54" i="6"/>
  <c r="K98" i="6"/>
  <c r="Q101" i="6"/>
  <c r="Q78" i="6"/>
  <c r="O50" i="6"/>
  <c r="J76" i="6"/>
  <c r="T58" i="6"/>
  <c r="Q64" i="6"/>
  <c r="G52" i="6"/>
  <c r="H105" i="6"/>
  <c r="U96" i="6"/>
  <c r="L85" i="6"/>
  <c r="N100" i="6"/>
  <c r="L62" i="6"/>
  <c r="E102" i="6"/>
  <c r="H86" i="6"/>
  <c r="D88" i="6"/>
  <c r="O81" i="6"/>
  <c r="G80" i="6"/>
  <c r="G49" i="6"/>
  <c r="S79" i="6"/>
  <c r="J104" i="6"/>
  <c r="G65" i="6"/>
  <c r="G74" i="6"/>
  <c r="H58" i="6"/>
  <c r="U65" i="6"/>
  <c r="S70" i="6"/>
  <c r="K72" i="6"/>
  <c r="M89" i="6"/>
  <c r="I94" i="6"/>
  <c r="T69" i="6"/>
  <c r="L50" i="6"/>
  <c r="P105" i="6"/>
  <c r="S53" i="6"/>
  <c r="J96" i="6"/>
  <c r="S99" i="6"/>
  <c r="O57" i="6"/>
  <c r="F100" i="6"/>
  <c r="D55" i="6"/>
  <c r="P63" i="6"/>
  <c r="S78" i="6"/>
  <c r="I75" i="6"/>
  <c r="R46" i="6"/>
  <c r="L89" i="6"/>
  <c r="N105" i="6"/>
  <c r="I43" i="6"/>
  <c r="U73" i="6"/>
  <c r="L60" i="6"/>
  <c r="L61" i="6"/>
  <c r="T57" i="6"/>
  <c r="F91" i="6"/>
  <c r="G99" i="6"/>
  <c r="H60" i="6"/>
  <c r="S69" i="6"/>
  <c r="H61" i="6"/>
  <c r="R88" i="6"/>
  <c r="E70" i="6"/>
  <c r="E97" i="6"/>
  <c r="L54" i="6"/>
  <c r="F89" i="6"/>
  <c r="T76" i="6"/>
  <c r="M88" i="6"/>
  <c r="K60" i="6"/>
  <c r="M46" i="6"/>
  <c r="E82" i="6"/>
  <c r="G61" i="6"/>
  <c r="H43" i="6"/>
  <c r="N94" i="6"/>
  <c r="I78" i="6"/>
  <c r="T49" i="6"/>
  <c r="K58" i="6"/>
  <c r="Q75" i="6"/>
  <c r="M43" i="6"/>
  <c r="G70" i="6"/>
  <c r="R98" i="6"/>
  <c r="I52" i="6"/>
  <c r="F73" i="6"/>
  <c r="N81" i="6"/>
  <c r="C78" i="6"/>
  <c r="U81" i="6"/>
  <c r="H103" i="6"/>
  <c r="P94" i="6"/>
  <c r="F84" i="6"/>
  <c r="D91" i="6"/>
  <c r="D94" i="6"/>
  <c r="Q58" i="6"/>
  <c r="J94" i="6"/>
  <c r="L82" i="6"/>
  <c r="F66" i="6"/>
  <c r="H45" i="6"/>
  <c r="Q63" i="6"/>
  <c r="I79" i="6"/>
  <c r="G93" i="6"/>
  <c r="Q83" i="6"/>
  <c r="T62" i="6"/>
  <c r="T102" i="6"/>
  <c r="K89" i="6"/>
  <c r="T54" i="6"/>
  <c r="H78" i="6"/>
  <c r="P53" i="6"/>
  <c r="K83" i="6"/>
  <c r="N44" i="6"/>
  <c r="N57" i="6"/>
  <c r="E92" i="6"/>
  <c r="K59" i="6"/>
  <c r="H57" i="6"/>
  <c r="T83" i="6"/>
  <c r="J90" i="6"/>
  <c r="M82" i="6"/>
  <c r="K64" i="6"/>
  <c r="S92" i="6"/>
  <c r="M74" i="6"/>
  <c r="O104" i="6"/>
  <c r="M91" i="6"/>
  <c r="S43" i="6"/>
  <c r="T75" i="6"/>
  <c r="R85" i="6"/>
  <c r="T81" i="6"/>
  <c r="E53" i="6"/>
  <c r="J62" i="6"/>
  <c r="F105" i="6"/>
  <c r="P49" i="6"/>
  <c r="D56" i="6"/>
  <c r="I51" i="6"/>
  <c r="R56" i="6"/>
  <c r="J97" i="6"/>
  <c r="T97" i="6"/>
  <c r="P70" i="6"/>
  <c r="U104" i="6"/>
  <c r="H51" i="6"/>
  <c r="L70" i="6"/>
  <c r="U86" i="6"/>
  <c r="I48" i="6"/>
  <c r="N64" i="6"/>
  <c r="F81" i="6"/>
  <c r="T100" i="6"/>
  <c r="S54" i="6"/>
  <c r="R82" i="6"/>
  <c r="C101" i="6"/>
  <c r="D59" i="6"/>
  <c r="S101" i="6"/>
  <c r="M95" i="6"/>
  <c r="G100" i="6"/>
  <c r="R51" i="6"/>
  <c r="L78" i="6"/>
  <c r="M79" i="6"/>
  <c r="U55" i="6"/>
  <c r="I100" i="6"/>
  <c r="E52" i="6"/>
  <c r="F87" i="6"/>
  <c r="C68" i="6"/>
  <c r="I65" i="6"/>
  <c r="N48" i="6"/>
  <c r="G75" i="6"/>
  <c r="L68" i="6"/>
  <c r="K54" i="6"/>
  <c r="D71" i="6"/>
  <c r="E98" i="6"/>
  <c r="J87" i="6"/>
  <c r="M352" i="1"/>
  <c r="K73" i="6"/>
  <c r="D79" i="6"/>
  <c r="P74" i="6"/>
  <c r="G68" i="6"/>
  <c r="J95" i="6"/>
  <c r="K55" i="6"/>
  <c r="P75" i="6"/>
  <c r="K104" i="6"/>
  <c r="O51" i="6"/>
  <c r="E64" i="6"/>
  <c r="I80" i="6"/>
  <c r="S94" i="6"/>
  <c r="R89" i="6"/>
  <c r="P84" i="6"/>
  <c r="K57" i="6"/>
  <c r="D50" i="6"/>
  <c r="S80" i="6"/>
  <c r="H90" i="6"/>
  <c r="G66" i="6"/>
  <c r="T87" i="6"/>
  <c r="Q52" i="6"/>
  <c r="E105" i="6"/>
  <c r="L52" i="6"/>
  <c r="E60" i="6"/>
  <c r="D68" i="6"/>
  <c r="U56" i="6"/>
  <c r="I71" i="6"/>
  <c r="K52" i="6"/>
  <c r="L92" i="6"/>
  <c r="U78" i="6"/>
  <c r="F74" i="6"/>
  <c r="M83" i="6"/>
  <c r="D53" i="6"/>
  <c r="P69" i="6"/>
  <c r="O96" i="6"/>
  <c r="J77" i="6"/>
  <c r="F99" i="6"/>
  <c r="L65" i="6"/>
  <c r="E65" i="6"/>
  <c r="O56" i="6"/>
  <c r="S100" i="6"/>
  <c r="N93" i="6"/>
  <c r="K78" i="6"/>
  <c r="H50" i="6"/>
  <c r="O98" i="6"/>
  <c r="C51" i="6"/>
  <c r="P91" i="6"/>
  <c r="L84" i="6"/>
  <c r="M96" i="6"/>
  <c r="N67" i="6"/>
  <c r="M99" i="6"/>
  <c r="N43" i="6"/>
  <c r="I73" i="6"/>
  <c r="J82" i="6"/>
  <c r="Q88" i="6"/>
  <c r="J69" i="6"/>
  <c r="J46" i="6"/>
  <c r="F102" i="6"/>
  <c r="T78" i="6"/>
  <c r="U47" i="6"/>
  <c r="J60" i="6"/>
  <c r="J102" i="6"/>
  <c r="K63" i="6"/>
  <c r="Q74" i="6"/>
  <c r="P88" i="6"/>
  <c r="T70" i="6"/>
  <c r="H101" i="6"/>
  <c r="E51" i="6"/>
  <c r="M48" i="6"/>
  <c r="T43" i="6"/>
  <c r="U102" i="6"/>
  <c r="M104" i="6"/>
  <c r="R44" i="6"/>
  <c r="U54" i="6"/>
  <c r="H75" i="6"/>
  <c r="E103" i="6"/>
  <c r="J57" i="6"/>
  <c r="C44" i="6"/>
  <c r="M75" i="6"/>
  <c r="O53" i="6"/>
  <c r="R49" i="6"/>
  <c r="I47" i="6"/>
  <c r="F104" i="6"/>
  <c r="P51" i="6"/>
  <c r="C100" i="6"/>
  <c r="K80" i="6"/>
  <c r="N59" i="6"/>
  <c r="C55" i="6"/>
  <c r="K85" i="6"/>
  <c r="Q94" i="6"/>
  <c r="T65" i="6"/>
  <c r="R77" i="6"/>
  <c r="I61" i="6"/>
  <c r="I83" i="6"/>
  <c r="D90" i="6"/>
  <c r="R92" i="6"/>
  <c r="U58" i="6"/>
  <c r="Q79" i="6"/>
  <c r="D47" i="6"/>
  <c r="O73" i="6"/>
  <c r="Q56" i="6"/>
  <c r="K86" i="6"/>
  <c r="I84" i="6"/>
  <c r="I70" i="6"/>
  <c r="C49" i="6"/>
  <c r="O46" i="6"/>
  <c r="L93" i="6"/>
  <c r="H67" i="6"/>
  <c r="O55" i="6"/>
  <c r="L45" i="6"/>
  <c r="H44" i="6"/>
  <c r="N45" i="6"/>
  <c r="T90" i="6"/>
  <c r="L94" i="6"/>
  <c r="S49" i="6"/>
  <c r="M50" i="6"/>
  <c r="G50" i="6"/>
  <c r="I67" i="6"/>
  <c r="M58" i="6"/>
  <c r="K74" i="6"/>
  <c r="H76" i="6"/>
  <c r="R70" i="6"/>
  <c r="C45" i="6"/>
  <c r="N72" i="6"/>
  <c r="O85" i="6"/>
  <c r="L95" i="6"/>
  <c r="T101" i="6"/>
  <c r="S73" i="6"/>
  <c r="R99" i="6"/>
  <c r="N75" i="6"/>
  <c r="T48" i="6"/>
  <c r="O66" i="6"/>
  <c r="G81" i="6"/>
  <c r="C65" i="6"/>
  <c r="N89" i="6"/>
  <c r="C54" i="6"/>
  <c r="I62" i="6"/>
  <c r="S85" i="6"/>
  <c r="E100" i="6"/>
  <c r="F48" i="6"/>
  <c r="M73" i="6"/>
  <c r="T91" i="6"/>
  <c r="C70" i="6"/>
  <c r="S102" i="6"/>
  <c r="H84" i="6"/>
  <c r="S90" i="6"/>
  <c r="G60" i="6"/>
  <c r="J53" i="6"/>
  <c r="G101" i="6"/>
  <c r="J91" i="6"/>
  <c r="K101" i="6"/>
  <c r="Q104" i="6"/>
  <c r="L79" i="6"/>
  <c r="C80" i="6"/>
  <c r="E94" i="6"/>
  <c r="H52" i="6"/>
  <c r="E46" i="6"/>
  <c r="S62" i="6"/>
  <c r="Q49" i="6"/>
  <c r="R74" i="6"/>
  <c r="M337" i="1"/>
  <c r="M312" i="1"/>
  <c r="M324" i="1"/>
  <c r="M316" i="1"/>
  <c r="M347" i="1"/>
  <c r="K31" i="3"/>
  <c r="J31" i="3"/>
  <c r="M673" i="1"/>
  <c r="M548" i="1"/>
  <c r="M612" i="1"/>
  <c r="M486" i="1"/>
  <c r="M442" i="1"/>
  <c r="M331" i="1"/>
  <c r="M315" i="1"/>
  <c r="M346" i="1"/>
  <c r="M323" i="1"/>
  <c r="J35" i="3"/>
  <c r="T13" i="3"/>
  <c r="V13" i="3" s="1"/>
  <c r="J15" i="3"/>
  <c r="J21" i="3"/>
  <c r="J25" i="3"/>
  <c r="J13" i="3"/>
  <c r="J27" i="3"/>
  <c r="J4" i="3"/>
  <c r="J10" i="3"/>
  <c r="J23" i="3"/>
  <c r="J32" i="3"/>
  <c r="J20" i="3"/>
  <c r="J33" i="3"/>
  <c r="M307" i="1"/>
  <c r="J34" i="3"/>
  <c r="K2" i="3"/>
  <c r="M335" i="1"/>
  <c r="M746" i="1"/>
  <c r="M747" i="1"/>
  <c r="M729" i="1"/>
  <c r="M585" i="1"/>
  <c r="M656" i="1"/>
  <c r="M654" i="1"/>
  <c r="M645" i="1"/>
  <c r="M665" i="1"/>
  <c r="M611" i="1"/>
  <c r="M644" i="1"/>
  <c r="M655" i="1"/>
  <c r="M664" i="1"/>
  <c r="M653" i="1"/>
  <c r="M518" i="1"/>
  <c r="M376" i="1"/>
  <c r="M411" i="1"/>
  <c r="M375" i="1"/>
  <c r="M420" i="1"/>
  <c r="M412" i="1"/>
  <c r="M432" i="1"/>
  <c r="M431" i="1"/>
  <c r="M421" i="1"/>
  <c r="M371" i="1"/>
  <c r="M354" i="1"/>
  <c r="M330" i="1"/>
  <c r="M322" i="1"/>
  <c r="K3" i="3"/>
  <c r="M314" i="1"/>
  <c r="U14" i="3"/>
  <c r="O14" i="3"/>
  <c r="T14" i="3"/>
  <c r="P14" i="3"/>
  <c r="K14" i="3"/>
  <c r="J14" i="3"/>
  <c r="M340" i="1"/>
  <c r="M666" i="1"/>
  <c r="M427" i="1"/>
  <c r="M345" i="1"/>
  <c r="M351" i="1"/>
  <c r="J2" i="3"/>
  <c r="M344" i="1"/>
  <c r="M333" i="1"/>
  <c r="K8" i="3"/>
  <c r="M782" i="1"/>
  <c r="M697" i="1"/>
  <c r="M692" i="1"/>
  <c r="M698" i="1"/>
  <c r="M693" i="1"/>
  <c r="M745" i="1"/>
  <c r="M696" i="1"/>
  <c r="M642" i="1"/>
  <c r="M547" i="1"/>
  <c r="M610" i="1"/>
  <c r="M643" i="1"/>
  <c r="M652" i="1"/>
  <c r="M635" i="1"/>
  <c r="M583" i="1"/>
  <c r="M636" i="1"/>
  <c r="M539" i="1"/>
  <c r="M544" i="1"/>
  <c r="M584" i="1"/>
  <c r="M617" i="1"/>
  <c r="M490" i="1"/>
  <c r="M517" i="1"/>
  <c r="M448" i="1"/>
  <c r="M435" i="1"/>
  <c r="M446" i="1"/>
  <c r="M447" i="1"/>
  <c r="M436" i="1"/>
  <c r="M419" i="1"/>
  <c r="M374" i="1"/>
  <c r="M370" i="1"/>
  <c r="M369" i="1"/>
  <c r="M343" i="1"/>
  <c r="M328" i="1"/>
  <c r="M350" i="1"/>
  <c r="J29" i="3"/>
  <c r="M309" i="1"/>
  <c r="M724" i="1"/>
  <c r="M730" i="1"/>
  <c r="M733" i="1"/>
  <c r="M725" i="1"/>
  <c r="M731" i="1"/>
  <c r="M734" i="1"/>
  <c r="M723" i="1"/>
  <c r="M748" i="1"/>
  <c r="M726" i="1"/>
  <c r="M732" i="1"/>
  <c r="M779" i="1"/>
  <c r="M671" i="1"/>
  <c r="M540" i="1"/>
  <c r="M440" i="1"/>
  <c r="M361" i="1"/>
  <c r="K29" i="3"/>
  <c r="U10" i="3"/>
  <c r="T10" i="3"/>
  <c r="M332" i="1"/>
  <c r="K10" i="3"/>
  <c r="M781" i="1"/>
  <c r="M543" i="1"/>
  <c r="M663" i="1"/>
  <c r="M579" i="1"/>
  <c r="P10" i="3"/>
  <c r="O10" i="3"/>
  <c r="M327" i="1"/>
  <c r="M319" i="1"/>
  <c r="M349" i="1"/>
  <c r="M342" i="1"/>
  <c r="M326" i="1"/>
  <c r="K12" i="3"/>
  <c r="M318" i="1"/>
  <c r="M348" i="1"/>
  <c r="M320" i="1"/>
  <c r="M308" i="1"/>
  <c r="M742" i="1"/>
  <c r="M691" i="1"/>
  <c r="M689" i="1"/>
  <c r="M694" i="1"/>
  <c r="M728" i="1"/>
  <c r="M695" i="1"/>
  <c r="M690" i="1"/>
  <c r="M686" i="1"/>
  <c r="M651" i="1"/>
  <c r="M634" i="1"/>
  <c r="M577" i="1"/>
  <c r="M578" i="1"/>
  <c r="M633" i="1"/>
  <c r="M546" i="1"/>
  <c r="M576" i="1"/>
  <c r="M662" i="1"/>
  <c r="M485" i="1"/>
  <c r="M489" i="1"/>
  <c r="M516" i="1"/>
  <c r="M445" i="1"/>
  <c r="M476" i="1"/>
  <c r="M410" i="1"/>
  <c r="M429" i="1"/>
  <c r="M430" i="1"/>
  <c r="M359" i="1"/>
  <c r="M360" i="1"/>
  <c r="K9" i="3"/>
  <c r="M341" i="1"/>
  <c r="M325" i="1"/>
  <c r="M317" i="1"/>
  <c r="M339" i="1"/>
  <c r="V25" i="3"/>
  <c r="V2" i="3"/>
  <c r="V16" i="3"/>
  <c r="V7" i="3"/>
  <c r="V4" i="3"/>
  <c r="V9" i="3"/>
  <c r="V6" i="3"/>
  <c r="V19" i="3"/>
  <c r="V15" i="3"/>
  <c r="V23" i="3"/>
  <c r="V27" i="3"/>
  <c r="V24" i="3"/>
  <c r="V28" i="3"/>
  <c r="V21" i="3"/>
  <c r="V8" i="3"/>
  <c r="V20" i="3"/>
  <c r="V32" i="3"/>
  <c r="V17" i="3"/>
  <c r="V29" i="3"/>
  <c r="V5" i="3"/>
  <c r="V12" i="3"/>
  <c r="V33" i="3"/>
  <c r="V35" i="3"/>
  <c r="V34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0" i="6" l="1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<sst xmlns="http://schemas.openxmlformats.org/spreadsheetml/2006/main" count="6419" uniqueCount="182">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</sst>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90" totalsRowShown="0" headerRowDxfId="42">
  <autoFilter ref="A1:P790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091" tableType="queryTable" totalsRowShown="0" headerRowDxfId="44" headerRowBorderDxfId="43">
  <autoFilter ref="A1:D209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90"/>
  <sheetViews>
    <sheetView topLeftCell="G1" zoomScale="70" zoomScaleNormal="70" workbookViewId="0">
      <pane ySplit="1" topLeftCell="A765" activePane="bottomLeft" state="frozen"/>
      <selection pane="bottomLeft" activeCell="R787" sqref="R787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Iniciales'!$B$2:$B$38,D234)+SUMIFS($K$1:$K$790,$C$1:$C$790,C234,$D$1:$D$790,D234,$B$1:$B$790,"&lt;="&amp;B234)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Iniciales'!$B$2:$B$38,D235)+SUMIFS($K$1:$K$790,$C$1:$C$790,C235,$D$1:$D$790,D235,$B$1:$B$790,"&lt;="&amp;B235)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Iniciales'!$B$2:$B$38,D236)+SUMIFS($K$1:$K$790,$C$1:$C$790,C236,$D$1:$D$790,D236,$B$1:$B$790,"&lt;="&amp;B236)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Iniciales'!$B$2:$B$38,D237)+SUMIFS($K$1:$K$790,$C$1:$C$790,C237,$D$1:$D$790,D237,$B$1:$B$790,"&lt;="&amp;B237)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Iniciales'!$B$2:$B$38,D238)+SUMIFS($K$1:$K$790,$C$1:$C$790,C238,$D$1:$D$790,D238,$B$1:$B$790,"&lt;="&amp;B238)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Iniciales'!$B$2:$B$38,D239)+SUMIFS($K$1:$K$790,$C$1:$C$790,C239,$D$1:$D$790,D239,$B$1:$B$790,"&lt;="&amp;B239)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Iniciales'!$B$2:$B$38,D283)+SUMIFS($K$1:$K$790,$C$1:$C$790,C283,$D$1:$D$790,D283,$B$1:$B$790,"&lt;="&amp;B283)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Iniciales'!$B$2:$B$38,D306)+SUMIFS($K$1:$K$790,$C$1:$C$790,C306,$D$1:$D$790,D306,$B$1:$B$790,"&lt;="&amp;B306)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Iniciales'!$B$2:$B$38,D307)+SUMIFS($K$1:$K$790,$C$1:$C$790,C307,$D$1:$D$790,D307,$B$1:$B$790,"&lt;="&amp;B307)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Iniciales'!$B$2:$B$38,D308)+SUMIFS($K$1:$K$790,$C$1:$C$790,C308,$D$1:$D$790,D308,$B$1:$B$790,"&lt;="&amp;B308)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Iniciales'!$B$2:$B$38,D309)+SUMIFS($K$1:$K$790,$C$1:$C$790,C309,$D$1:$D$790,D309,$B$1:$B$790,"&lt;="&amp;B309)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Iniciales'!$B$2:$B$38,D310)+SUMIFS($K$1:$K$790,$C$1:$C$790,C310,$D$1:$D$790,D310,$B$1:$B$790,"&lt;="&amp;B310)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Iniciales'!$B$2:$B$38,D311)+SUMIFS($K$1:$K$790,$C$1:$C$790,C311,$D$1:$D$790,D311,$B$1:$B$790,"&lt;="&amp;B311)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Iniciales'!$B$2:$B$38,D312)+SUMIFS($K$1:$K$790,$C$1:$C$790,C312,$D$1:$D$790,D312,$B$1:$B$790,"&lt;="&amp;B312)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Iniciales'!$B$2:$B$38,D313)+SUMIFS($K$1:$K$790,$C$1:$C$790,C313,$D$1:$D$790,D313,$B$1:$B$790,"&lt;="&amp;B313)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Iniciales'!$B$2:$B$38,D314)+SUMIFS($K$1:$K$790,$C$1:$C$790,C314,$D$1:$D$790,D314,$B$1:$B$790,"&lt;="&amp;B314)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Iniciales'!$B$2:$B$38,D315)+SUMIFS($K$1:$K$790,$C$1:$C$790,C315,$D$1:$D$790,D315,$B$1:$B$790,"&lt;="&amp;B315)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Iniciales'!$B$2:$B$38,D316)+SUMIFS($K$1:$K$790,$C$1:$C$790,C316,$D$1:$D$790,D316,$B$1:$B$790,"&lt;="&amp;B316)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Iniciales'!$B$2:$B$38,D317)+SUMIFS($K$1:$K$790,$C$1:$C$790,C317,$D$1:$D$790,D317,$B$1:$B$790,"&lt;="&amp;B317)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Iniciales'!$B$2:$B$38,D318)+SUMIFS($K$1:$K$790,$C$1:$C$790,C318,$D$1:$D$790,D318,$B$1:$B$790,"&lt;="&amp;B318)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Iniciales'!$B$2:$B$38,D319)+SUMIFS($K$1:$K$790,$C$1:$C$790,C319,$D$1:$D$790,D319,$B$1:$B$790,"&lt;="&amp;B319)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Iniciales'!$B$2:$B$38,D320)+SUMIFS($K$1:$K$790,$C$1:$C$790,C320,$D$1:$D$790,D320,$B$1:$B$790,"&lt;="&amp;B320)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Iniciales'!$B$2:$B$38,D321)+SUMIFS($K$1:$K$790,$C$1:$C$790,C321,$D$1:$D$790,D321,$B$1:$B$790,"&lt;="&amp;B321)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Iniciales'!$B$2:$B$38,D322)+SUMIFS($K$1:$K$790,$C$1:$C$790,C322,$D$1:$D$790,D322,$B$1:$B$790,"&lt;="&amp;B322)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Iniciales'!$B$2:$B$38,D323)+SUMIFS($K$1:$K$790,$C$1:$C$790,C323,$D$1:$D$790,D323,$B$1:$B$790,"&lt;="&amp;B323)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Iniciales'!$B$2:$B$38,D324)+SUMIFS($K$1:$K$790,$C$1:$C$790,C324,$D$1:$D$790,D324,$B$1:$B$790,"&lt;="&amp;B324)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Iniciales'!$B$2:$B$38,D325)+SUMIFS($K$1:$K$790,$C$1:$C$790,C325,$D$1:$D$790,D325,$B$1:$B$790,"&lt;="&amp;B325)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Iniciales'!$B$2:$B$38,D326)+SUMIFS($K$1:$K$790,$C$1:$C$790,C326,$D$1:$D$790,D326,$B$1:$B$790,"&lt;="&amp;B326)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Iniciales'!$B$2:$B$38,D327)+SUMIFS($K$1:$K$790,$C$1:$C$790,C327,$D$1:$D$790,D327,$B$1:$B$790,"&lt;="&amp;B327)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Iniciales'!$B$2:$B$38,D328)+SUMIFS($K$1:$K$790,$C$1:$C$790,C328,$D$1:$D$790,D328,$B$1:$B$790,"&lt;="&amp;B328)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Iniciales'!$B$2:$B$38,D329)+SUMIFS($K$1:$K$790,$C$1:$C$790,C329,$D$1:$D$790,D329,$B$1:$B$790,"&lt;="&amp;B329)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Iniciales'!$B$2:$B$38,D330)+SUMIFS($K$1:$K$790,$C$1:$C$790,C330,$D$1:$D$790,D330,$B$1:$B$790,"&lt;="&amp;B330)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Iniciales'!$B$2:$B$38,D331)+SUMIFS($K$1:$K$790,$C$1:$C$790,C331,$D$1:$D$790,D331,$B$1:$B$790,"&lt;="&amp;B331)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Iniciales'!$B$2:$B$38,D332)+SUMIFS($K$1:$K$790,$C$1:$C$790,C332,$D$1:$D$790,D332,$B$1:$B$790,"&lt;="&amp;B332)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Iniciales'!$B$2:$B$38,D333)+SUMIFS($K$1:$K$790,$C$1:$C$790,C333,$D$1:$D$790,D333,$B$1:$B$790,"&lt;="&amp;B333)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Iniciales'!$B$2:$B$38,D334)+SUMIFS($K$1:$K$790,$C$1:$C$790,C334,$D$1:$D$790,D334,$B$1:$B$790,"&lt;="&amp;B334)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Iniciales'!$B$2:$B$38,D335)+SUMIFS($K$1:$K$790,$C$1:$C$790,C335,$D$1:$D$790,D335,$B$1:$B$790,"&lt;="&amp;B335)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Iniciales'!$B$2:$B$38,D336)+SUMIFS($K$1:$K$790,$C$1:$C$790,C336,$D$1:$D$790,D336,$B$1:$B$790,"&lt;="&amp;B336)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Iniciales'!$B$2:$B$38,D337)+SUMIFS($K$1:$K$790,$C$1:$C$790,C337,$D$1:$D$790,D337,$B$1:$B$790,"&lt;="&amp;B337)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Iniciales'!$B$2:$B$38,D338)+SUMIFS($K$1:$K$790,$C$1:$C$790,C338,$D$1:$D$790,D338,$B$1:$B$790,"&lt;="&amp;B338)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Iniciales'!$B$2:$B$38,D339)+SUMIFS($K$1:$K$790,$C$1:$C$790,C339,$D$1:$D$790,D339,$B$1:$B$790,"&lt;="&amp;B339)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Iniciales'!$B$2:$B$38,D340)+SUMIFS($K$1:$K$790,$C$1:$C$790,C340,$D$1:$D$790,D340,$B$1:$B$790,"&lt;="&amp;B340)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Iniciales'!$B$2:$B$38,D341)+SUMIFS($K$1:$K$790,$C$1:$C$790,C341,$D$1:$D$790,D341,$B$1:$B$790,"&lt;="&amp;B341)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Iniciales'!$B$2:$B$38,D342)+SUMIFS($K$1:$K$790,$C$1:$C$790,C342,$D$1:$D$790,D342,$B$1:$B$790,"&lt;="&amp;B342)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Iniciales'!$B$2:$B$38,D343)+SUMIFS($K$1:$K$790,$C$1:$C$790,C343,$D$1:$D$790,D343,$B$1:$B$790,"&lt;="&amp;B343)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Iniciales'!$B$2:$B$38,D344)+SUMIFS($K$1:$K$790,$C$1:$C$790,C344,$D$1:$D$790,D344,$B$1:$B$790,"&lt;="&amp;B344)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Iniciales'!$B$2:$B$38,D345)+SUMIFS($K$1:$K$790,$C$1:$C$790,C345,$D$1:$D$790,D345,$B$1:$B$790,"&lt;="&amp;B345)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Iniciales'!$B$2:$B$38,D346)+SUMIFS($K$1:$K$790,$C$1:$C$790,C346,$D$1:$D$790,D346,$B$1:$B$790,"&lt;="&amp;B346)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Iniciales'!$B$2:$B$38,D347)+SUMIFS($K$1:$K$790,$C$1:$C$790,C347,$D$1:$D$790,D347,$B$1:$B$790,"&lt;="&amp;B347)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Iniciales'!$B$2:$B$38,D348)+SUMIFS($K$1:$K$790,$C$1:$C$790,C348,$D$1:$D$790,D348,$B$1:$B$790,"&lt;="&amp;B348)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Iniciales'!$B$2:$B$38,D349)+SUMIFS($K$1:$K$790,$C$1:$C$790,C349,$D$1:$D$790,D349,$B$1:$B$790,"&lt;="&amp;B349)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Iniciales'!$B$2:$B$38,D350)+SUMIFS($K$1:$K$790,$C$1:$C$790,C350,$D$1:$D$790,D350,$B$1:$B$790,"&lt;="&amp;B350)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Iniciales'!$B$2:$B$38,D351)+SUMIFS($K$1:$K$790,$C$1:$C$790,C351,$D$1:$D$790,D351,$B$1:$B$790,"&lt;="&amp;B351)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Iniciales'!$B$2:$B$38,D352)+SUMIFS($K$1:$K$790,$C$1:$C$790,C352,$D$1:$D$790,D352,$B$1:$B$790,"&lt;="&amp;B352)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Iniciales'!$B$2:$B$38,D353)+SUMIFS($K$1:$K$790,$C$1:$C$790,C353,$D$1:$D$790,D353,$B$1:$B$790,"&lt;="&amp;B353)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Iniciales'!$B$2:$B$38,D354)+SUMIFS($K$1:$K$790,$C$1:$C$790,C354,$D$1:$D$790,D354,$B$1:$B$790,"&lt;="&amp;B354)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Iniciales'!$B$2:$B$38,D355)+SUMIFS($K$1:$K$790,$C$1:$C$790,C355,$D$1:$D$790,D355,$B$1:$B$790,"&lt;="&amp;B355)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Iniciales'!$B$2:$B$38,D356)+SUMIFS($K$1:$K$790,$C$1:$C$790,C356,$D$1:$D$790,D356,$B$1:$B$790,"&lt;="&amp;B356)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Iniciales'!$B$2:$B$38,D357)+SUMIFS($K$1:$K$790,$C$1:$C$790,C357,$D$1:$D$790,D357,$B$1:$B$790,"&lt;="&amp;B357)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Iniciales'!$B$2:$B$38,D358)+SUMIFS($K$1:$K$790,$C$1:$C$790,C358,$D$1:$D$790,D358,$B$1:$B$790,"&lt;="&amp;B358)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Iniciales'!$B$2:$B$38,D359)+SUMIFS($K$1:$K$790,$C$1:$C$790,C359,$D$1:$D$790,D359,$B$1:$B$790,"&lt;="&amp;B359)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Iniciales'!$B$2:$B$38,D360)+SUMIFS($K$1:$K$790,$C$1:$C$790,C360,$D$1:$D$790,D360,$B$1:$B$790,"&lt;="&amp;B360)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Iniciales'!$B$2:$B$38,D361)+SUMIFS($K$1:$K$790,$C$1:$C$790,C361,$D$1:$D$790,D361,$B$1:$B$790,"&lt;="&amp;B361)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Iniciales'!$B$2:$B$38,D362)+SUMIFS($K$1:$K$790,$C$1:$C$790,C362,$D$1:$D$790,D362,$B$1:$B$790,"&lt;="&amp;B362)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Iniciales'!$B$2:$B$38,D363)+SUMIFS($K$1:$K$790,$C$1:$C$790,C363,$D$1:$D$790,D363,$B$1:$B$790,"&lt;="&amp;B363)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Iniciales'!$B$2:$B$38,D364)+SUMIFS($K$1:$K$790,$C$1:$C$790,C364,$D$1:$D$790,D364,$B$1:$B$790,"&lt;="&amp;B364)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Iniciales'!$B$2:$B$38,D365)+SUMIFS($K$1:$K$790,$C$1:$C$790,C365,$D$1:$D$790,D365,$B$1:$B$790,"&lt;="&amp;B365)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Iniciales'!$B$2:$B$38,D366)+SUMIFS($K$1:$K$790,$C$1:$C$790,C366,$D$1:$D$790,D366,$B$1:$B$790,"&lt;="&amp;B366)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Iniciales'!$B$2:$B$38,D367)+SUMIFS($K$1:$K$790,$C$1:$C$790,C367,$D$1:$D$790,D367,$B$1:$B$790,"&lt;="&amp;B367)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Iniciales'!$B$2:$B$38,D368)+SUMIFS($K$1:$K$790,$C$1:$C$790,C368,$D$1:$D$790,D368,$B$1:$B$790,"&lt;="&amp;B368)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Iniciales'!$B$2:$B$38,D369)+SUMIFS($K$1:$K$790,$C$1:$C$790,C369,$D$1:$D$790,D369,$B$1:$B$790,"&lt;="&amp;B369)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Iniciales'!$B$2:$B$38,D370)+SUMIFS($K$1:$K$790,$C$1:$C$790,C370,$D$1:$D$790,D370,$B$1:$B$790,"&lt;="&amp;B370)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Iniciales'!$B$2:$B$38,D371)+SUMIFS($K$1:$K$790,$C$1:$C$790,C371,$D$1:$D$790,D371,$B$1:$B$790,"&lt;="&amp;B371)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Iniciales'!$B$2:$B$38,D372)+SUMIFS($K$1:$K$790,$C$1:$C$790,C372,$D$1:$D$790,D372,$B$1:$B$790,"&lt;="&amp;B372)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Iniciales'!$B$2:$B$38,D373)+SUMIFS($K$1:$K$790,$C$1:$C$790,C373,$D$1:$D$790,D373,$B$1:$B$790,"&lt;="&amp;B373)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Iniciales'!$B$2:$B$38,D374)+SUMIFS($K$1:$K$790,$C$1:$C$790,C374,$D$1:$D$790,D374,$B$1:$B$790,"&lt;="&amp;B374)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Iniciales'!$B$2:$B$38,D375)+SUMIFS($K$1:$K$790,$C$1:$C$790,C375,$D$1:$D$790,D375,$B$1:$B$790,"&lt;="&amp;B375)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Iniciales'!$B$2:$B$38,D376)+SUMIFS($K$1:$K$790,$C$1:$C$790,C376,$D$1:$D$790,D376,$B$1:$B$790,"&lt;="&amp;B376)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Iniciales'!$B$2:$B$38,D377)+SUMIFS($K$1:$K$790,$C$1:$C$790,C377,$D$1:$D$790,D377,$B$1:$B$790,"&lt;="&amp;B377)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Iniciales'!$B$2:$B$38,D378)+SUMIFS($K$1:$K$790,$C$1:$C$790,C378,$D$1:$D$790,D378,$B$1:$B$790,"&lt;="&amp;B378)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Iniciales'!$B$2:$B$38,D379)+SUMIFS($K$1:$K$790,$C$1:$C$790,C379,$D$1:$D$790,D379,$B$1:$B$790,"&lt;="&amp;B379)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Iniciales'!$B$2:$B$38,D380)+SUMIFS($K$1:$K$790,$C$1:$C$790,C380,$D$1:$D$790,D380,$B$1:$B$790,"&lt;="&amp;B380)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Iniciales'!$B$2:$B$38,D381)+SUMIFS($K$1:$K$790,$C$1:$C$790,C381,$D$1:$D$790,D381,$B$1:$B$790,"&lt;="&amp;B381)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Iniciales'!$B$2:$B$38,D382)+SUMIFS($K$1:$K$790,$C$1:$C$790,C382,$D$1:$D$790,D382,$B$1:$B$790,"&lt;="&amp;B382)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Iniciales'!$B$2:$B$38,D383)+SUMIFS($K$1:$K$790,$C$1:$C$790,C383,$D$1:$D$790,D383,$B$1:$B$790,"&lt;="&amp;B383)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Iniciales'!$B$2:$B$38,D384)+SUMIFS($K$1:$K$790,$C$1:$C$790,C384,$D$1:$D$790,D384,$B$1:$B$790,"&lt;="&amp;B384)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Iniciales'!$B$2:$B$38,D385)+SUMIFS($K$1:$K$790,$C$1:$C$790,C385,$D$1:$D$790,D385,$B$1:$B$790,"&lt;="&amp;B385)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Iniciales'!$B$2:$B$38,D386)+SUMIFS($K$1:$K$790,$C$1:$C$790,C386,$D$1:$D$790,D386,$B$1:$B$790,"&lt;="&amp;B386)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Iniciales'!$B$2:$B$38,D387)+SUMIFS($K$1:$K$790,$C$1:$C$790,C387,$D$1:$D$790,D387,$B$1:$B$790,"&lt;="&amp;B387)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Iniciales'!$B$2:$B$38,D388)+SUMIFS($K$1:$K$790,$C$1:$C$790,C388,$D$1:$D$790,D388,$B$1:$B$790,"&lt;="&amp;B388)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Iniciales'!$B$2:$B$38,D389)+SUMIFS($K$1:$K$790,$C$1:$C$790,C389,$D$1:$D$790,D389,$B$1:$B$790,"&lt;="&amp;B389)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Iniciales'!$B$2:$B$38,D390)+SUMIFS($K$1:$K$790,$C$1:$C$790,C390,$D$1:$D$790,D390,$B$1:$B$790,"&lt;="&amp;B390)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Iniciales'!$B$2:$B$38,D391)+SUMIFS($K$1:$K$790,$C$1:$C$790,C391,$D$1:$D$790,D391,$B$1:$B$790,"&lt;="&amp;B391)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Iniciales'!$B$2:$B$38,D392)+SUMIFS($K$1:$K$790,$C$1:$C$790,C392,$D$1:$D$790,D392,$B$1:$B$790,"&lt;="&amp;B392)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Iniciales'!$B$2:$B$38,D393)+SUMIFS($K$1:$K$790,$C$1:$C$790,C393,$D$1:$D$790,D393,$B$1:$B$790,"&lt;="&amp;B393)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Iniciales'!$B$2:$B$38,D394)+SUMIFS($K$1:$K$790,$C$1:$C$790,C394,$D$1:$D$790,D394,$B$1:$B$790,"&lt;="&amp;B394)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Iniciales'!$B$2:$B$38,D395)+SUMIFS($K$1:$K$790,$C$1:$C$790,C395,$D$1:$D$790,D395,$B$1:$B$790,"&lt;="&amp;B395)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Iniciales'!$B$2:$B$38,D396)+SUMIFS($K$1:$K$790,$C$1:$C$790,C396,$D$1:$D$790,D396,$B$1:$B$790,"&lt;="&amp;B396)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Iniciales'!$B$2:$B$38,D397)+SUMIFS($K$1:$K$790,$C$1:$C$790,C397,$D$1:$D$790,D397,$B$1:$B$790,"&lt;="&amp;B397)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Iniciales'!$B$2:$B$38,D398)+SUMIFS($K$1:$K$790,$C$1:$C$790,C398,$D$1:$D$790,D398,$B$1:$B$790,"&lt;="&amp;B398)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Iniciales'!$B$2:$B$38,D399)+SUMIFS($K$1:$K$790,$C$1:$C$790,C399,$D$1:$D$790,D399,$B$1:$B$790,"&lt;="&amp;B399)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Iniciales'!$B$2:$B$38,D400)+SUMIFS($K$1:$K$790,$C$1:$C$790,C400,$D$1:$D$790,D400,$B$1:$B$790,"&lt;="&amp;B400)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Iniciales'!$B$2:$B$38,D401)+SUMIFS($K$1:$K$790,$C$1:$C$790,C401,$D$1:$D$790,D401,$B$1:$B$790,"&lt;="&amp;B401)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Iniciales'!$B$2:$B$38,D402)+SUMIFS($K$1:$K$790,$C$1:$C$790,C402,$D$1:$D$790,D402,$B$1:$B$790,"&lt;="&amp;B402)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Iniciales'!$B$2:$B$38,D403)+SUMIFS($K$1:$K$790,$C$1:$C$790,C403,$D$1:$D$790,D403,$B$1:$B$790,"&lt;="&amp;B403)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Iniciales'!$B$2:$B$38,D404)+SUMIFS($K$1:$K$790,$C$1:$C$790,C404,$D$1:$D$790,D404,$B$1:$B$790,"&lt;="&amp;B404)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Iniciales'!$B$2:$B$38,D405)+SUMIFS($K$1:$K$790,$C$1:$C$790,C405,$D$1:$D$790,D405,$B$1:$B$790,"&lt;="&amp;B405)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Iniciales'!$B$2:$B$38,D406)+SUMIFS($K$1:$K$790,$C$1:$C$790,C406,$D$1:$D$790,D406,$B$1:$B$790,"&lt;="&amp;B406)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Iniciales'!$B$2:$B$38,D407)+SUMIFS($K$1:$K$790,$C$1:$C$790,C407,$D$1:$D$790,D407,$B$1:$B$790,"&lt;="&amp;B407)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Iniciales'!$B$2:$B$38,D408)+SUMIFS($K$1:$K$790,$C$1:$C$790,C408,$D$1:$D$790,D408,$B$1:$B$790,"&lt;="&amp;B408)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Iniciales'!$B$2:$B$38,D409)+SUMIFS($K$1:$K$790,$C$1:$C$790,C409,$D$1:$D$790,D409,$B$1:$B$790,"&lt;="&amp;B409)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Iniciales'!$B$2:$B$38,D410)+SUMIFS($K$1:$K$790,$C$1:$C$790,C410,$D$1:$D$790,D410,$B$1:$B$790,"&lt;="&amp;B410)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Iniciales'!$B$2:$B$38,D411)+SUMIFS($K$1:$K$790,$C$1:$C$790,C411,$D$1:$D$790,D411,$B$1:$B$790,"&lt;="&amp;B411)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Iniciales'!$B$2:$B$38,D412)+SUMIFS($K$1:$K$790,$C$1:$C$790,C412,$D$1:$D$790,D412,$B$1:$B$790,"&lt;="&amp;B412)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Iniciales'!$B$2:$B$38,D413)+SUMIFS($K$1:$K$790,$C$1:$C$790,C413,$D$1:$D$790,D413,$B$1:$B$790,"&lt;="&amp;B413)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Iniciales'!$B$2:$B$38,D414)+SUMIFS($K$1:$K$790,$C$1:$C$790,C414,$D$1:$D$790,D414,$B$1:$B$790,"&lt;="&amp;B414)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Iniciales'!$B$2:$B$38,D415)+SUMIFS($K$1:$K$790,$C$1:$C$790,C415,$D$1:$D$790,D415,$B$1:$B$790,"&lt;="&amp;B415)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Iniciales'!$B$2:$B$38,D416)+SUMIFS($K$1:$K$790,$C$1:$C$790,C416,$D$1:$D$790,D416,$B$1:$B$790,"&lt;="&amp;B416)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Iniciales'!$B$2:$B$38,D417)+SUMIFS($K$1:$K$790,$C$1:$C$790,C417,$D$1:$D$790,D417,$B$1:$B$790,"&lt;="&amp;B417)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Iniciales'!$B$2:$B$38,D418)+SUMIFS($K$1:$K$790,$C$1:$C$790,C418,$D$1:$D$790,D418,$B$1:$B$790,"&lt;="&amp;B418)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Iniciales'!$B$2:$B$38,D419)+SUMIFS($K$1:$K$790,$C$1:$C$790,C419,$D$1:$D$790,D419,$B$1:$B$790,"&lt;="&amp;B419)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Iniciales'!$B$2:$B$38,D420)+SUMIFS($K$1:$K$790,$C$1:$C$790,C420,$D$1:$D$790,D420,$B$1:$B$790,"&lt;="&amp;B420)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Iniciales'!$B$2:$B$38,D421)+SUMIFS($K$1:$K$790,$C$1:$C$790,C421,$D$1:$D$790,D421,$B$1:$B$790,"&lt;="&amp;B421)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Iniciales'!$B$2:$B$38,D422)+SUMIFS($K$1:$K$790,$C$1:$C$790,C422,$D$1:$D$790,D422,$B$1:$B$790,"&lt;="&amp;B422)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Iniciales'!$B$2:$B$38,D423)+SUMIFS($K$1:$K$790,$C$1:$C$790,C423,$D$1:$D$790,D423,$B$1:$B$790,"&lt;="&amp;B423)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Iniciales'!$B$2:$B$38,D424)+SUMIFS($K$1:$K$790,$C$1:$C$790,C424,$D$1:$D$790,D424,$B$1:$B$790,"&lt;="&amp;B424)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Iniciales'!$B$2:$B$38,D425)+SUMIFS($K$1:$K$790,$C$1:$C$790,C425,$D$1:$D$790,D425,$B$1:$B$790,"&lt;="&amp;B425)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Iniciales'!$B$2:$B$38,D426)+SUMIFS($K$1:$K$790,$C$1:$C$790,C426,$D$1:$D$790,D426,$B$1:$B$790,"&lt;="&amp;B426)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Iniciales'!$B$2:$B$38,D427)+SUMIFS($K$1:$K$790,$C$1:$C$790,C427,$D$1:$D$790,D427,$B$1:$B$790,"&lt;="&amp;B427)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Iniciales'!$B$2:$B$38,D428)+SUMIFS($K$1:$K$790,$C$1:$C$790,C428,$D$1:$D$790,D428,$B$1:$B$790,"&lt;="&amp;B428)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Iniciales'!$B$2:$B$38,D429)+SUMIFS($K$1:$K$790,$C$1:$C$790,C429,$D$1:$D$790,D429,$B$1:$B$790,"&lt;="&amp;B429)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Iniciales'!$B$2:$B$38,D430)+SUMIFS($K$1:$K$790,$C$1:$C$790,C430,$D$1:$D$790,D430,$B$1:$B$790,"&lt;="&amp;B430)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Iniciales'!$B$2:$B$38,D431)+SUMIFS($K$1:$K$790,$C$1:$C$790,C431,$D$1:$D$790,D431,$B$1:$B$790,"&lt;="&amp;B431)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Iniciales'!$B$2:$B$38,D432)+SUMIFS($K$1:$K$790,$C$1:$C$790,C432,$D$1:$D$790,D432,$B$1:$B$790,"&lt;="&amp;B432)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Iniciales'!$B$2:$B$38,D433)+SUMIFS($K$1:$K$790,$C$1:$C$790,C433,$D$1:$D$790,D433,$B$1:$B$790,"&lt;="&amp;B433)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Iniciales'!$B$2:$B$38,D434)+SUMIFS($K$1:$K$790,$C$1:$C$790,C434,$D$1:$D$790,D434,$B$1:$B$790,"&lt;="&amp;B434)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Iniciales'!$B$2:$B$38,D435)+SUMIFS($K$1:$K$790,$C$1:$C$790,C435,$D$1:$D$790,D435,$B$1:$B$790,"&lt;="&amp;B435)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Iniciales'!$B$2:$B$38,D436)+SUMIFS($K$1:$K$790,$C$1:$C$790,C436,$D$1:$D$790,D436,$B$1:$B$790,"&lt;="&amp;B436)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Iniciales'!$B$2:$B$38,D437)+SUMIFS($K$1:$K$790,$C$1:$C$790,C437,$D$1:$D$790,D437,$B$1:$B$790,"&lt;="&amp;B437)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Iniciales'!$B$2:$B$38,D438)+SUMIFS($K$1:$K$790,$C$1:$C$790,C438,$D$1:$D$790,D438,$B$1:$B$790,"&lt;="&amp;B438)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Iniciales'!$B$2:$B$38,D439)+SUMIFS($K$1:$K$790,$C$1:$C$790,C439,$D$1:$D$790,D439,$B$1:$B$790,"&lt;="&amp;B439)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Iniciales'!$B$2:$B$38,D440)+SUMIFS($K$1:$K$790,$C$1:$C$790,C440,$D$1:$D$790,D440,$B$1:$B$790,"&lt;="&amp;B440)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Iniciales'!$B$2:$B$38,D441)+SUMIFS($K$1:$K$790,$C$1:$C$790,C441,$D$1:$D$790,D441,$B$1:$B$790,"&lt;="&amp;B441)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Iniciales'!$B$2:$B$38,D442)+SUMIFS($K$1:$K$790,$C$1:$C$790,C442,$D$1:$D$790,D442,$B$1:$B$790,"&lt;="&amp;B442)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Iniciales'!$B$2:$B$38,D443)+SUMIFS($K$1:$K$790,$C$1:$C$790,C443,$D$1:$D$790,D443,$B$1:$B$790,"&lt;="&amp;B443)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Iniciales'!$B$2:$B$38,D444)+SUMIFS($K$1:$K$790,$C$1:$C$790,C444,$D$1:$D$790,D444,$B$1:$B$790,"&lt;="&amp;B444)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Iniciales'!$B$2:$B$38,D445)+SUMIFS($K$1:$K$790,$C$1:$C$790,C445,$D$1:$D$790,D445,$B$1:$B$790,"&lt;="&amp;B445)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Iniciales'!$B$2:$B$38,D446)+SUMIFS($K$1:$K$790,$C$1:$C$790,C446,$D$1:$D$790,D446,$B$1:$B$790,"&lt;="&amp;B446)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Iniciales'!$B$2:$B$38,D447)+SUMIFS($K$1:$K$790,$C$1:$C$790,C447,$D$1:$D$790,D447,$B$1:$B$790,"&lt;="&amp;B447)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Iniciales'!$B$2:$B$38,D448)+SUMIFS($K$1:$K$790,$C$1:$C$790,C448,$D$1:$D$790,D448,$B$1:$B$790,"&lt;="&amp;B448)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Iniciales'!$B$2:$B$38,D449)+SUMIFS($K$1:$K$790,$C$1:$C$790,C449,$D$1:$D$790,D449,$B$1:$B$790,"&lt;="&amp;B449)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Iniciales'!$B$2:$B$38,D450)+SUMIFS($K$1:$K$790,$C$1:$C$790,C450,$D$1:$D$790,D450,$B$1:$B$790,"&lt;="&amp;B450)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Iniciales'!$B$2:$B$38,D451)+SUMIFS($K$1:$K$790,$C$1:$C$790,C451,$D$1:$D$790,D451,$B$1:$B$790,"&lt;="&amp;B451)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Iniciales'!$B$2:$B$38,D452)+SUMIFS($K$1:$K$790,$C$1:$C$790,C452,$D$1:$D$790,D452,$B$1:$B$790,"&lt;="&amp;B452)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Iniciales'!$B$2:$B$38,D453)+SUMIFS($K$1:$K$790,$C$1:$C$790,C453,$D$1:$D$790,D453,$B$1:$B$790,"&lt;="&amp;B453)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Iniciales'!$B$2:$B$38,D454)+SUMIFS($K$1:$K$790,$C$1:$C$790,C454,$D$1:$D$790,D454,$B$1:$B$790,"&lt;="&amp;B454)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Iniciales'!$B$2:$B$38,D455)+SUMIFS($K$1:$K$790,$C$1:$C$790,C455,$D$1:$D$790,D455,$B$1:$B$790,"&lt;="&amp;B455)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Iniciales'!$B$2:$B$38,D456)+SUMIFS($K$1:$K$790,$C$1:$C$790,C456,$D$1:$D$790,D456,$B$1:$B$790,"&lt;="&amp;B456)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Iniciales'!$B$2:$B$38,D457)+SUMIFS($K$1:$K$790,$C$1:$C$790,C457,$D$1:$D$790,D457,$B$1:$B$790,"&lt;="&amp;B457)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Iniciales'!$B$2:$B$38,D458)+SUMIFS($K$1:$K$790,$C$1:$C$790,C458,$D$1:$D$790,D458,$B$1:$B$790,"&lt;="&amp;B458)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Iniciales'!$B$2:$B$38,D459)+SUMIFS($K$1:$K$790,$C$1:$C$790,C459,$D$1:$D$790,D459,$B$1:$B$790,"&lt;="&amp;B459)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Iniciales'!$B$2:$B$38,D460)+SUMIFS($K$1:$K$790,$C$1:$C$790,C460,$D$1:$D$790,D460,$B$1:$B$790,"&lt;="&amp;B460)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Iniciales'!$B$2:$B$38,D461)+SUMIFS($K$1:$K$790,$C$1:$C$790,C461,$D$1:$D$790,D461,$B$1:$B$790,"&lt;="&amp;B461)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Iniciales'!$B$2:$B$38,D462)+SUMIFS($K$1:$K$790,$C$1:$C$790,C462,$D$1:$D$790,D462,$B$1:$B$790,"&lt;="&amp;B462)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Iniciales'!$B$2:$B$38,D463)+SUMIFS($K$1:$K$790,$C$1:$C$790,C463,$D$1:$D$790,D463,$B$1:$B$790,"&lt;="&amp;B463)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Iniciales'!$B$2:$B$38,D464)+SUMIFS($K$1:$K$790,$C$1:$C$790,C464,$D$1:$D$790,D464,$B$1:$B$790,"&lt;="&amp;B464)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Iniciales'!$B$2:$B$38,D465)+SUMIFS($K$1:$K$790,$C$1:$C$790,C465,$D$1:$D$790,D465,$B$1:$B$790,"&lt;="&amp;B465)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Iniciales'!$B$2:$B$38,D466)+SUMIFS($K$1:$K$790,$C$1:$C$790,C466,$D$1:$D$790,D466,$B$1:$B$790,"&lt;="&amp;B466)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Iniciales'!$B$2:$B$38,D467)+SUMIFS($K$1:$K$790,$C$1:$C$790,C467,$D$1:$D$790,D467,$B$1:$B$790,"&lt;="&amp;B467)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Iniciales'!$B$2:$B$38,D468)+SUMIFS($K$1:$K$790,$C$1:$C$790,C468,$D$1:$D$790,D468,$B$1:$B$790,"&lt;="&amp;B468)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Iniciales'!$B$2:$B$38,D469)+SUMIFS($K$1:$K$790,$C$1:$C$790,C469,$D$1:$D$790,D469,$B$1:$B$790,"&lt;="&amp;B469)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Iniciales'!$B$2:$B$38,D470)+SUMIFS($K$1:$K$790,$C$1:$C$790,C470,$D$1:$D$790,D470,$B$1:$B$790,"&lt;="&amp;B470)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Iniciales'!$B$2:$B$38,D471)+SUMIFS($K$1:$K$790,$C$1:$C$790,C471,$D$1:$D$790,D471,$B$1:$B$790,"&lt;="&amp;B471)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Iniciales'!$B$2:$B$38,D472)+SUMIFS($K$1:$K$790,$C$1:$C$790,C472,$D$1:$D$790,D472,$B$1:$B$790,"&lt;="&amp;B472)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Iniciales'!$B$2:$B$38,D473)+SUMIFS($K$1:$K$790,$C$1:$C$790,C473,$D$1:$D$790,D473,$B$1:$B$790,"&lt;="&amp;B473)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Iniciales'!$B$2:$B$38,D474)+SUMIFS($K$1:$K$790,$C$1:$C$790,C474,$D$1:$D$790,D474,$B$1:$B$790,"&lt;="&amp;B474)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Iniciales'!$B$2:$B$38,D475)+SUMIFS($K$1:$K$790,$C$1:$C$790,C475,$D$1:$D$790,D475,$B$1:$B$790,"&lt;="&amp;B475)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Iniciales'!$B$2:$B$38,D476)+SUMIFS($K$1:$K$790,$C$1:$C$790,C476,$D$1:$D$790,D476,$B$1:$B$790,"&lt;="&amp;B476)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Iniciales'!$B$2:$B$38,D477)+SUMIFS($K$1:$K$790,$C$1:$C$790,C477,$D$1:$D$790,D477,$B$1:$B$790,"&lt;="&amp;B477)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Iniciales'!$B$2:$B$38,D478)+SUMIFS($K$1:$K$790,$C$1:$C$790,C478,$D$1:$D$790,D478,$B$1:$B$790,"&lt;="&amp;B478)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Iniciales'!$B$2:$B$38,D479)+SUMIFS($K$1:$K$790,$C$1:$C$790,C479,$D$1:$D$790,D479,$B$1:$B$790,"&lt;="&amp;B479)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Iniciales'!$B$2:$B$38,D480)+SUMIFS($K$1:$K$790,$C$1:$C$790,C480,$D$1:$D$790,D480,$B$1:$B$790,"&lt;="&amp;B480)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Iniciales'!$B$2:$B$38,D481)+SUMIFS($K$1:$K$790,$C$1:$C$790,C481,$D$1:$D$790,D481,$B$1:$B$790,"&lt;="&amp;B481)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Iniciales'!$B$2:$B$38,D482)+SUMIFS($K$1:$K$790,$C$1:$C$790,C482,$D$1:$D$790,D482,$B$1:$B$790,"&lt;="&amp;B482)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Iniciales'!$B$2:$B$38,D483)+SUMIFS($K$1:$K$790,$C$1:$C$790,C483,$D$1:$D$790,D483,$B$1:$B$790,"&lt;="&amp;B483)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Iniciales'!$B$2:$B$38,D484)+SUMIFS($K$1:$K$790,$C$1:$C$790,C484,$D$1:$D$790,D484,$B$1:$B$790,"&lt;="&amp;B484)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Iniciales'!$B$2:$B$38,D485)+SUMIFS($K$1:$K$790,$C$1:$C$790,C485,$D$1:$D$790,D485,$B$1:$B$790,"&lt;="&amp;B485)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Iniciales'!$B$2:$B$38,D486)+SUMIFS($K$1:$K$790,$C$1:$C$790,C486,$D$1:$D$790,D486,$B$1:$B$790,"&lt;="&amp;B486)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Iniciales'!$B$2:$B$38,D487)+SUMIFS($K$1:$K$790,$C$1:$C$790,C487,$D$1:$D$790,D487,$B$1:$B$790,"&lt;="&amp;B487)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Iniciales'!$B$2:$B$38,D488)+SUMIFS($K$1:$K$790,$C$1:$C$790,C488,$D$1:$D$790,D488,$B$1:$B$790,"&lt;="&amp;B488)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Iniciales'!$B$2:$B$38,D489)+SUMIFS($K$1:$K$790,$C$1:$C$790,C489,$D$1:$D$790,D489,$B$1:$B$790,"&lt;="&amp;B489)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Iniciales'!$B$2:$B$38,D490)+SUMIFS($K$1:$K$790,$C$1:$C$790,C490,$D$1:$D$790,D490,$B$1:$B$790,"&lt;="&amp;B490)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Iniciales'!$B$2:$B$38,D491)+SUMIFS($K$1:$K$790,$C$1:$C$790,C491,$D$1:$D$790,D491,$B$1:$B$790,"&lt;="&amp;B491)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Iniciales'!$B$2:$B$38,D492)+SUMIFS($K$1:$K$790,$C$1:$C$790,C492,$D$1:$D$790,D492,$B$1:$B$790,"&lt;="&amp;B492)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Iniciales'!$B$2:$B$38,D493)+SUMIFS($K$1:$K$790,$C$1:$C$790,C493,$D$1:$D$790,D493,$B$1:$B$790,"&lt;="&amp;B493)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Iniciales'!$B$2:$B$38,D494)+SUMIFS($K$1:$K$790,$C$1:$C$790,C494,$D$1:$D$790,D494,$B$1:$B$790,"&lt;="&amp;B494)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Iniciales'!$B$2:$B$38,D495)+SUMIFS($K$1:$K$790,$C$1:$C$790,C495,$D$1:$D$790,D495,$B$1:$B$790,"&lt;="&amp;B495)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Iniciales'!$B$2:$B$38,D496)+SUMIFS($K$1:$K$790,$C$1:$C$790,C496,$D$1:$D$790,D496,$B$1:$B$790,"&lt;="&amp;B496)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Iniciales'!$B$2:$B$38,D497)+SUMIFS($K$1:$K$790,$C$1:$C$790,C497,$D$1:$D$790,D497,$B$1:$B$790,"&lt;="&amp;B497)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Iniciales'!$B$2:$B$38,D498)+SUMIFS($K$1:$K$790,$C$1:$C$790,C498,$D$1:$D$790,D498,$B$1:$B$790,"&lt;="&amp;B498)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Iniciales'!$B$2:$B$38,D499)+SUMIFS($K$1:$K$790,$C$1:$C$790,C499,$D$1:$D$790,D499,$B$1:$B$790,"&lt;="&amp;B499)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Iniciales'!$B$2:$B$38,D500)+SUMIFS($K$1:$K$790,$C$1:$C$790,C500,$D$1:$D$790,D500,$B$1:$B$790,"&lt;="&amp;B500)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Iniciales'!$B$2:$B$38,D501)+SUMIFS($K$1:$K$790,$C$1:$C$790,C501,$D$1:$D$790,D501,$B$1:$B$790,"&lt;="&amp;B501)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Iniciales'!$B$2:$B$38,D502)+SUMIFS($K$1:$K$790,$C$1:$C$790,C502,$D$1:$D$790,D502,$B$1:$B$790,"&lt;="&amp;B502)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Iniciales'!$B$2:$B$38,D503)+SUMIFS($K$1:$K$790,$C$1:$C$790,C503,$D$1:$D$790,D503,$B$1:$B$790,"&lt;="&amp;B503)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Iniciales'!$B$2:$B$38,D504)+SUMIFS($K$1:$K$790,$C$1:$C$790,C504,$D$1:$D$790,D504,$B$1:$B$790,"&lt;="&amp;B504)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Iniciales'!$B$2:$B$38,D505)+SUMIFS($K$1:$K$790,$C$1:$C$790,C505,$D$1:$D$790,D505,$B$1:$B$790,"&lt;="&amp;B505)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Iniciales'!$B$2:$B$38,D506)+SUMIFS($K$1:$K$790,$C$1:$C$790,C506,$D$1:$D$790,D506,$B$1:$B$790,"&lt;="&amp;B506)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Iniciales'!$B$2:$B$38,D507)+SUMIFS($K$1:$K$790,$C$1:$C$790,C507,$D$1:$D$790,D507,$B$1:$B$790,"&lt;="&amp;B507)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Iniciales'!$B$2:$B$38,D508)+SUMIFS($K$1:$K$790,$C$1:$C$790,C508,$D$1:$D$790,D508,$B$1:$B$790,"&lt;="&amp;B508)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Iniciales'!$B$2:$B$38,D509)+SUMIFS($K$1:$K$790,$C$1:$C$790,C509,$D$1:$D$790,D509,$B$1:$B$790,"&lt;="&amp;B509)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Iniciales'!$B$2:$B$38,D510)+SUMIFS($K$1:$K$790,$C$1:$C$790,C510,$D$1:$D$790,D510,$B$1:$B$790,"&lt;="&amp;B510)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Iniciales'!$B$2:$B$38,D511)+SUMIFS($K$1:$K$790,$C$1:$C$790,C511,$D$1:$D$790,D511,$B$1:$B$790,"&lt;="&amp;B511)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Iniciales'!$B$2:$B$38,D512)+SUMIFS($K$1:$K$790,$C$1:$C$790,C512,$D$1:$D$790,D512,$B$1:$B$790,"&lt;="&amp;B512)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Iniciales'!$B$2:$B$38,D513)+SUMIFS($K$1:$K$790,$C$1:$C$790,C513,$D$1:$D$790,D513,$B$1:$B$790,"&lt;="&amp;B513)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Iniciales'!$B$2:$B$38,D514)+SUMIFS($K$1:$K$790,$C$1:$C$790,C514,$D$1:$D$790,D514,$B$1:$B$790,"&lt;="&amp;B514)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Iniciales'!$B$2:$B$38,D515)+SUMIFS($K$1:$K$790,$C$1:$C$790,C515,$D$1:$D$790,D515,$B$1:$B$790,"&lt;="&amp;B515)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Iniciales'!$B$2:$B$38,D516)+SUMIFS($K$1:$K$790,$C$1:$C$790,C516,$D$1:$D$790,D516,$B$1:$B$790,"&lt;="&amp;B516)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Iniciales'!$B$2:$B$38,D517)+SUMIFS($K$1:$K$790,$C$1:$C$790,C517,$D$1:$D$790,D517,$B$1:$B$790,"&lt;="&amp;B517)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Iniciales'!$B$2:$B$38,D518)+SUMIFS($K$1:$K$790,$C$1:$C$790,C518,$D$1:$D$790,D518,$B$1:$B$790,"&lt;="&amp;B518)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Iniciales'!$B$2:$B$38,D519)+SUMIFS($K$1:$K$790,$C$1:$C$790,C519,$D$1:$D$790,D519,$B$1:$B$790,"&lt;="&amp;B519)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Iniciales'!$B$2:$B$38,D520)+SUMIFS($K$1:$K$790,$C$1:$C$790,C520,$D$1:$D$790,D520,$B$1:$B$790,"&lt;="&amp;B520)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Iniciales'!$B$2:$B$38,D521)+SUMIFS($K$1:$K$790,$C$1:$C$790,C521,$D$1:$D$790,D521,$B$1:$B$790,"&lt;="&amp;B521)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Iniciales'!$B$2:$B$38,D522)+SUMIFS($K$1:$K$790,$C$1:$C$790,C522,$D$1:$D$790,D522,$B$1:$B$790,"&lt;="&amp;B522)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Iniciales'!$B$2:$B$38,D523)+SUMIFS($K$1:$K$790,$C$1:$C$790,C523,$D$1:$D$790,D523,$B$1:$B$790,"&lt;="&amp;B523)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Iniciales'!$B$2:$B$38,D524)+SUMIFS($K$1:$K$790,$C$1:$C$790,C524,$D$1:$D$790,D524,$B$1:$B$790,"&lt;="&amp;B524)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Iniciales'!$B$2:$B$38,D525)+SUMIFS($K$1:$K$790,$C$1:$C$790,C525,$D$1:$D$790,D525,$B$1:$B$790,"&lt;="&amp;B525)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Iniciales'!$B$2:$B$38,D526)+SUMIFS($K$1:$K$790,$C$1:$C$790,C526,$D$1:$D$790,D526,$B$1:$B$790,"&lt;="&amp;B526)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Iniciales'!$B$2:$B$38,D527)+SUMIFS($K$1:$K$790,$C$1:$C$790,C527,$D$1:$D$790,D527,$B$1:$B$790,"&lt;="&amp;B527)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Iniciales'!$B$2:$B$38,D528)+SUMIFS($K$1:$K$790,$C$1:$C$790,C528,$D$1:$D$790,D528,$B$1:$B$790,"&lt;="&amp;B528)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Iniciales'!$B$2:$B$38,D529)+SUMIFS($K$1:$K$790,$C$1:$C$790,C529,$D$1:$D$790,D529,$B$1:$B$790,"&lt;="&amp;B529)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Iniciales'!$B$2:$B$38,D530)+SUMIFS($K$1:$K$790,$C$1:$C$790,C530,$D$1:$D$790,D530,$B$1:$B$790,"&lt;="&amp;B530)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Iniciales'!$B$2:$B$38,D531)+SUMIFS($K$1:$K$790,$C$1:$C$790,C531,$D$1:$D$790,D531,$B$1:$B$790,"&lt;="&amp;B531)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Iniciales'!$B$2:$B$38,D532)+SUMIFS($K$1:$K$790,$C$1:$C$790,C532,$D$1:$D$790,D532,$B$1:$B$790,"&lt;="&amp;B532)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Iniciales'!$B$2:$B$38,D533)+SUMIFS($K$1:$K$790,$C$1:$C$790,C533,$D$1:$D$790,D533,$B$1:$B$790,"&lt;="&amp;B533)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Iniciales'!$B$2:$B$38,D534)+SUMIFS($K$1:$K$790,$C$1:$C$790,C534,$D$1:$D$790,D534,$B$1:$B$790,"&lt;="&amp;B534)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Iniciales'!$B$2:$B$38,D535)+SUMIFS($K$1:$K$790,$C$1:$C$790,C535,$D$1:$D$790,D535,$B$1:$B$790,"&lt;="&amp;B535)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Iniciales'!$B$2:$B$38,D536)+SUMIFS($K$1:$K$790,$C$1:$C$790,C536,$D$1:$D$790,D536,$B$1:$B$790,"&lt;="&amp;B536)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Iniciales'!$B$2:$B$38,D537)+SUMIFS($K$1:$K$790,$C$1:$C$790,C537,$D$1:$D$790,D537,$B$1:$B$790,"&lt;="&amp;B537)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Iniciales'!$B$2:$B$38,D538)+SUMIFS($K$1:$K$790,$C$1:$C$790,C538,$D$1:$D$790,D538,$B$1:$B$790,"&lt;="&amp;B538)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Iniciales'!$B$2:$B$38,D539)+SUMIFS($K$1:$K$790,$C$1:$C$790,C539,$D$1:$D$790,D539,$B$1:$B$790,"&lt;="&amp;B539)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Iniciales'!$B$2:$B$38,D540)+SUMIFS($K$1:$K$790,$C$1:$C$790,C540,$D$1:$D$790,D540,$B$1:$B$790,"&lt;="&amp;B540)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Iniciales'!$B$2:$B$38,D541)+SUMIFS($K$1:$K$790,$C$1:$C$790,C541,$D$1:$D$790,D541,$B$1:$B$790,"&lt;="&amp;B541)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Iniciales'!$B$2:$B$38,D542)+SUMIFS($K$1:$K$790,$C$1:$C$790,C542,$D$1:$D$790,D542,$B$1:$B$790,"&lt;="&amp;B542)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Iniciales'!$B$2:$B$38,D543)+SUMIFS($K$1:$K$790,$C$1:$C$790,C543,$D$1:$D$790,D543,$B$1:$B$790,"&lt;="&amp;B543)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Iniciales'!$B$2:$B$38,D544)+SUMIFS($K$1:$K$790,$C$1:$C$790,C544,$D$1:$D$790,D544,$B$1:$B$790,"&lt;="&amp;B544)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Iniciales'!$B$2:$B$38,D545)+SUMIFS($K$1:$K$790,$C$1:$C$790,C545,$D$1:$D$790,D545,$B$1:$B$790,"&lt;="&amp;B545)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Iniciales'!$B$2:$B$38,D546)+SUMIFS($K$1:$K$790,$C$1:$C$790,C546,$D$1:$D$790,D546,$B$1:$B$790,"&lt;="&amp;B546)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Iniciales'!$B$2:$B$38,D547)+SUMIFS($K$1:$K$790,$C$1:$C$790,C547,$D$1:$D$790,D547,$B$1:$B$790,"&lt;="&amp;B547)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Iniciales'!$B$2:$B$38,D548)+SUMIFS($K$1:$K$790,$C$1:$C$790,C548,$D$1:$D$790,D548,$B$1:$B$790,"&lt;="&amp;B548)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Iniciales'!$B$2:$B$38,D549)+SUMIFS($K$1:$K$790,$C$1:$C$790,C549,$D$1:$D$790,D549,$B$1:$B$790,"&lt;="&amp;B549)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Iniciales'!$B$2:$B$38,D550)+SUMIFS($K$1:$K$790,$C$1:$C$790,C550,$D$1:$D$790,D550,$B$1:$B$790,"&lt;="&amp;B550)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Iniciales'!$B$2:$B$38,D551)+SUMIFS($K$1:$K$790,$C$1:$C$790,C551,$D$1:$D$790,D551,$B$1:$B$790,"&lt;="&amp;B551)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Iniciales'!$B$2:$B$38,D552)+SUMIFS($K$1:$K$790,$C$1:$C$790,C552,$D$1:$D$790,D552,$B$1:$B$790,"&lt;="&amp;B552)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Iniciales'!$B$2:$B$38,D553)+SUMIFS($K$1:$K$790,$C$1:$C$790,C553,$D$1:$D$790,D553,$B$1:$B$790,"&lt;="&amp;B553)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Iniciales'!$B$2:$B$38,D554)+SUMIFS($K$1:$K$790,$C$1:$C$790,C554,$D$1:$D$790,D554,$B$1:$B$790,"&lt;="&amp;B554)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Iniciales'!$B$2:$B$38,D555)+SUMIFS($K$1:$K$790,$C$1:$C$790,C555,$D$1:$D$790,D555,$B$1:$B$790,"&lt;="&amp;B555)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Iniciales'!$B$2:$B$38,D556)+SUMIFS($K$1:$K$790,$C$1:$C$790,C556,$D$1:$D$790,D556,$B$1:$B$790,"&lt;="&amp;B556)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Iniciales'!$B$2:$B$38,D557)+SUMIFS($K$1:$K$790,$C$1:$C$790,C557,$D$1:$D$790,D557,$B$1:$B$790,"&lt;="&amp;B557)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Iniciales'!$B$2:$B$38,D558)+SUMIFS($K$1:$K$790,$C$1:$C$790,C558,$D$1:$D$790,D558,$B$1:$B$790,"&lt;="&amp;B558)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Iniciales'!$B$2:$B$38,D559)+SUMIFS($K$1:$K$790,$C$1:$C$790,C559,$D$1:$D$790,D559,$B$1:$B$790,"&lt;="&amp;B559)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Iniciales'!$B$2:$B$38,D560)+SUMIFS($K$1:$K$790,$C$1:$C$790,C560,$D$1:$D$790,D560,$B$1:$B$790,"&lt;="&amp;B560)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Iniciales'!$B$2:$B$38,D561)+SUMIFS($K$1:$K$790,$C$1:$C$790,C561,$D$1:$D$790,D561,$B$1:$B$790,"&lt;="&amp;B561)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Iniciales'!$B$2:$B$38,D562)+SUMIFS($K$1:$K$790,$C$1:$C$790,C562,$D$1:$D$790,D562,$B$1:$B$790,"&lt;="&amp;B562)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Iniciales'!$B$2:$B$38,D563)+SUMIFS($K$1:$K$790,$C$1:$C$790,C563,$D$1:$D$790,D563,$B$1:$B$790,"&lt;="&amp;B563)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Iniciales'!$B$2:$B$38,D564)+SUMIFS($K$1:$K$790,$C$1:$C$790,C564,$D$1:$D$790,D564,$B$1:$B$790,"&lt;="&amp;B564)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Iniciales'!$B$2:$B$38,D565)+SUMIFS($K$1:$K$790,$C$1:$C$790,C565,$D$1:$D$790,D565,$B$1:$B$790,"&lt;="&amp;B565)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Iniciales'!$B$2:$B$38,D566)+SUMIFS($K$1:$K$790,$C$1:$C$790,C566,$D$1:$D$790,D566,$B$1:$B$790,"&lt;="&amp;B566)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Iniciales'!$B$2:$B$38,D567)+SUMIFS($K$1:$K$790,$C$1:$C$790,C567,$D$1:$D$790,D567,$B$1:$B$790,"&lt;="&amp;B567)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Iniciales'!$B$2:$B$38,D568)+SUMIFS($K$1:$K$790,$C$1:$C$790,C568,$D$1:$D$790,D568,$B$1:$B$790,"&lt;="&amp;B568)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Iniciales'!$B$2:$B$38,D569)+SUMIFS($K$1:$K$790,$C$1:$C$790,C569,$D$1:$D$790,D569,$B$1:$B$790,"&lt;="&amp;B569)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Iniciales'!$B$2:$B$38,D570)+SUMIFS($K$1:$K$790,$C$1:$C$790,C570,$D$1:$D$790,D570,$B$1:$B$790,"&lt;="&amp;B570)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Iniciales'!$B$2:$B$38,D571)+SUMIFS($K$1:$K$790,$C$1:$C$790,C571,$D$1:$D$790,D571,$B$1:$B$790,"&lt;="&amp;B571)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Iniciales'!$B$2:$B$38,D572)+SUMIFS($K$1:$K$790,$C$1:$C$790,C572,$D$1:$D$790,D572,$B$1:$B$790,"&lt;="&amp;B572)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Iniciales'!$B$2:$B$38,D573)+SUMIFS($K$1:$K$790,$C$1:$C$790,C573,$D$1:$D$790,D573,$B$1:$B$790,"&lt;="&amp;B573)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Iniciales'!$B$2:$B$38,D574)+SUMIFS($K$1:$K$790,$C$1:$C$790,C574,$D$1:$D$790,D574,$B$1:$B$790,"&lt;="&amp;B574)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Iniciales'!$B$2:$B$38,D575)+SUMIFS($K$1:$K$790,$C$1:$C$790,C575,$D$1:$D$790,D575,$B$1:$B$790,"&lt;="&amp;B575)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Iniciales'!$B$2:$B$38,D576)+SUMIFS($K$1:$K$790,$C$1:$C$790,C576,$D$1:$D$790,D576,$B$1:$B$790,"&lt;="&amp;B576)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Iniciales'!$B$2:$B$38,D577)+SUMIFS($K$1:$K$790,$C$1:$C$790,C577,$D$1:$D$790,D577,$B$1:$B$790,"&lt;="&amp;B577)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Iniciales'!$B$2:$B$38,D578)+SUMIFS($K$1:$K$790,$C$1:$C$790,C578,$D$1:$D$790,D578,$B$1:$B$790,"&lt;="&amp;B578)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Iniciales'!$B$2:$B$38,D579)+SUMIFS($K$1:$K$790,$C$1:$C$790,C579,$D$1:$D$790,D579,$B$1:$B$790,"&lt;="&amp;B579)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Iniciales'!$B$2:$B$38,D580)+SUMIFS($K$1:$K$790,$C$1:$C$790,C580,$D$1:$D$790,D580,$B$1:$B$790,"&lt;="&amp;B580)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Iniciales'!$B$2:$B$38,D581)+SUMIFS($K$1:$K$790,$C$1:$C$790,C581,$D$1:$D$790,D581,$B$1:$B$790,"&lt;="&amp;B581)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Iniciales'!$B$2:$B$38,D582)+SUMIFS($K$1:$K$790,$C$1:$C$790,C582,$D$1:$D$790,D582,$B$1:$B$790,"&lt;="&amp;B582)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Iniciales'!$B$2:$B$38,D583)+SUMIFS($K$1:$K$790,$C$1:$C$790,C583,$D$1:$D$790,D583,$B$1:$B$790,"&lt;="&amp;B583)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Iniciales'!$B$2:$B$38,D584)+SUMIFS($K$1:$K$790,$C$1:$C$790,C584,$D$1:$D$790,D584,$B$1:$B$790,"&lt;="&amp;B584)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Iniciales'!$B$2:$B$38,D585)+SUMIFS($K$1:$K$790,$C$1:$C$790,C585,$D$1:$D$790,D585,$B$1:$B$790,"&lt;="&amp;B585)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Iniciales'!$B$2:$B$38,D586)+SUMIFS($K$1:$K$790,$C$1:$C$790,C586,$D$1:$D$790,D586,$B$1:$B$790,"&lt;="&amp;B586)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Iniciales'!$B$2:$B$38,D587)+SUMIFS($K$1:$K$790,$C$1:$C$790,C587,$D$1:$D$790,D587,$B$1:$B$790,"&lt;="&amp;B587)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Iniciales'!$B$2:$B$38,D588)+SUMIFS($K$1:$K$790,$C$1:$C$790,C588,$D$1:$D$790,D588,$B$1:$B$790,"&lt;="&amp;B588)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Iniciales'!$B$2:$B$38,D589)+SUMIFS($K$1:$K$790,$C$1:$C$790,C589,$D$1:$D$790,D589,$B$1:$B$790,"&lt;="&amp;B589)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Iniciales'!$B$2:$B$38,D590)+SUMIFS($K$1:$K$790,$C$1:$C$790,C590,$D$1:$D$790,D590,$B$1:$B$790,"&lt;="&amp;B590)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Iniciales'!$B$2:$B$38,D591)+SUMIFS($K$1:$K$790,$C$1:$C$790,C591,$D$1:$D$790,D591,$B$1:$B$790,"&lt;="&amp;B591)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Iniciales'!$B$2:$B$38,D592)+SUMIFS($K$1:$K$790,$C$1:$C$790,C592,$D$1:$D$790,D592,$B$1:$B$790,"&lt;="&amp;B592)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Iniciales'!$B$2:$B$38,D593)+SUMIFS($K$1:$K$790,$C$1:$C$790,C593,$D$1:$D$790,D593,$B$1:$B$790,"&lt;="&amp;B593)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Iniciales'!$B$2:$B$38,D594)+SUMIFS($K$1:$K$790,$C$1:$C$790,C594,$D$1:$D$790,D594,$B$1:$B$790,"&lt;="&amp;B594)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Iniciales'!$B$2:$B$38,D595)+SUMIFS($K$1:$K$790,$C$1:$C$790,C595,$D$1:$D$790,D595,$B$1:$B$790,"&lt;="&amp;B595)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Iniciales'!$B$2:$B$38,D596)+SUMIFS($K$1:$K$790,$C$1:$C$790,C596,$D$1:$D$790,D596,$B$1:$B$790,"&lt;="&amp;B596)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Iniciales'!$B$2:$B$38,D597)+SUMIFS($K$1:$K$790,$C$1:$C$790,C597,$D$1:$D$790,D597,$B$1:$B$790,"&lt;="&amp;B597)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Iniciales'!$B$2:$B$38,D598)+SUMIFS($K$1:$K$790,$C$1:$C$790,C598,$D$1:$D$790,D598,$B$1:$B$790,"&lt;="&amp;B598)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Iniciales'!$B$2:$B$38,D599)+SUMIFS($K$1:$K$790,$C$1:$C$790,C599,$D$1:$D$790,D599,$B$1:$B$790,"&lt;="&amp;B599)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Iniciales'!$B$2:$B$38,D600)+SUMIFS($K$1:$K$790,$C$1:$C$790,C600,$D$1:$D$790,D600,$B$1:$B$790,"&lt;="&amp;B600)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Iniciales'!$B$2:$B$38,D601)+SUMIFS($K$1:$K$790,$C$1:$C$790,C601,$D$1:$D$790,D601,$B$1:$B$790,"&lt;="&amp;B601)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Iniciales'!$B$2:$B$38,D602)+SUMIFS($K$1:$K$790,$C$1:$C$790,C602,$D$1:$D$790,D602,$B$1:$B$790,"&lt;="&amp;B602)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Iniciales'!$B$2:$B$38,D603)+SUMIFS($K$1:$K$790,$C$1:$C$790,C603,$D$1:$D$790,D603,$B$1:$B$790,"&lt;="&amp;B603)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Iniciales'!$B$2:$B$38,D604)+SUMIFS($K$1:$K$790,$C$1:$C$790,C604,$D$1:$D$790,D604,$B$1:$B$790,"&lt;="&amp;B604)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Iniciales'!$B$2:$B$38,D605)+SUMIFS($K$1:$K$790,$C$1:$C$790,C605,$D$1:$D$790,D605,$B$1:$B$790,"&lt;="&amp;B605)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Iniciales'!$B$2:$B$38,D606)+SUMIFS($K$1:$K$790,$C$1:$C$790,C606,$D$1:$D$790,D606,$B$1:$B$790,"&lt;="&amp;B606)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Iniciales'!$B$2:$B$38,D607)+SUMIFS($K$1:$K$790,$C$1:$C$790,C607,$D$1:$D$790,D607,$B$1:$B$790,"&lt;="&amp;B607)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Iniciales'!$B$2:$B$38,D608)+SUMIFS($K$1:$K$790,$C$1:$C$790,C608,$D$1:$D$790,D608,$B$1:$B$790,"&lt;="&amp;B608)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Iniciales'!$B$2:$B$38,D609)+SUMIFS($K$1:$K$790,$C$1:$C$790,C609,$D$1:$D$790,D609,$B$1:$B$790,"&lt;="&amp;B609)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Iniciales'!$B$2:$B$38,D610)+SUMIFS($K$1:$K$790,$C$1:$C$790,C610,$D$1:$D$790,D610,$B$1:$B$790,"&lt;="&amp;B610)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Iniciales'!$B$2:$B$38,D611)+SUMIFS($K$1:$K$790,$C$1:$C$790,C611,$D$1:$D$790,D611,$B$1:$B$790,"&lt;="&amp;B611)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Iniciales'!$B$2:$B$38,D612)+SUMIFS($K$1:$K$790,$C$1:$C$790,C612,$D$1:$D$790,D612,$B$1:$B$790,"&lt;="&amp;B612)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Iniciales'!$B$2:$B$38,D613)+SUMIFS($K$1:$K$790,$C$1:$C$790,C613,$D$1:$D$790,D613,$B$1:$B$790,"&lt;="&amp;B613)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Iniciales'!$B$2:$B$38,D614)+SUMIFS($K$1:$K$790,$C$1:$C$790,C614,$D$1:$D$790,D614,$B$1:$B$790,"&lt;="&amp;B614)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Iniciales'!$B$2:$B$38,D615)+SUMIFS($K$1:$K$790,$C$1:$C$790,C615,$D$1:$D$790,D615,$B$1:$B$790,"&lt;="&amp;B615)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Iniciales'!$B$2:$B$38,D616)+SUMIFS($K$1:$K$790,$C$1:$C$790,C616,$D$1:$D$790,D616,$B$1:$B$790,"&lt;="&amp;B616)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Iniciales'!$B$2:$B$38,D617)+SUMIFS($K$1:$K$790,$C$1:$C$790,C617,$D$1:$D$790,D617,$B$1:$B$790,"&lt;="&amp;B617)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Iniciales'!$B$2:$B$38,D618)+SUMIFS($K$1:$K$790,$C$1:$C$790,C618,$D$1:$D$790,D618,$B$1:$B$790,"&lt;="&amp;B618)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Iniciales'!$B$2:$B$38,D619)+SUMIFS($K$1:$K$790,$C$1:$C$790,C619,$D$1:$D$790,D619,$B$1:$B$790,"&lt;="&amp;B619)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Iniciales'!$B$2:$B$38,D620)+SUMIFS($K$1:$K$790,$C$1:$C$790,C620,$D$1:$D$790,D620,$B$1:$B$790,"&lt;="&amp;B620)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Iniciales'!$B$2:$B$38,D621)+SUMIFS($K$1:$K$790,$C$1:$C$790,C621,$D$1:$D$790,D621,$B$1:$B$790,"&lt;="&amp;B621)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Iniciales'!$B$2:$B$38,D622)+SUMIFS($K$1:$K$790,$C$1:$C$790,C622,$D$1:$D$790,D622,$B$1:$B$790,"&lt;="&amp;B622)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Iniciales'!$B$2:$B$38,D623)+SUMIFS($K$1:$K$790,$C$1:$C$790,C623,$D$1:$D$790,D623,$B$1:$B$790,"&lt;="&amp;B623)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Iniciales'!$B$2:$B$38,D624)+SUMIFS($K$1:$K$790,$C$1:$C$790,C624,$D$1:$D$790,D624,$B$1:$B$790,"&lt;="&amp;B624)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Iniciales'!$B$2:$B$38,D625)+SUMIFS($K$1:$K$790,$C$1:$C$790,C625,$D$1:$D$790,D625,$B$1:$B$790,"&lt;="&amp;B625)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Iniciales'!$B$2:$B$38,D626)+SUMIFS($K$1:$K$790,$C$1:$C$790,C626,$D$1:$D$790,D626,$B$1:$B$790,"&lt;="&amp;B626)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Iniciales'!$B$2:$B$38,D627)+SUMIFS($K$1:$K$790,$C$1:$C$790,C627,$D$1:$D$790,D627,$B$1:$B$790,"&lt;="&amp;B627)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Iniciales'!$B$2:$B$38,D628)+SUMIFS($K$1:$K$790,$C$1:$C$790,C628,$D$1:$D$790,D628,$B$1:$B$790,"&lt;="&amp;B628)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Iniciales'!$B$2:$B$38,D629)+SUMIFS($K$1:$K$790,$C$1:$C$790,C629,$D$1:$D$790,D629,$B$1:$B$790,"&lt;="&amp;B629)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Iniciales'!$B$2:$B$38,D630)+SUMIFS($K$1:$K$790,$C$1:$C$790,C630,$D$1:$D$790,D630,$B$1:$B$790,"&lt;="&amp;B630)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Iniciales'!$B$2:$B$38,D631)+SUMIFS($K$1:$K$790,$C$1:$C$790,C631,$D$1:$D$790,D631,$B$1:$B$790,"&lt;="&amp;B631)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Iniciales'!$B$2:$B$38,D632)+SUMIFS($K$1:$K$790,$C$1:$C$790,C632,$D$1:$D$790,D632,$B$1:$B$790,"&lt;="&amp;B632)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Iniciales'!$B$2:$B$38,D633)+SUMIFS($K$1:$K$790,$C$1:$C$790,C633,$D$1:$D$790,D633,$B$1:$B$790,"&lt;="&amp;B633)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Iniciales'!$B$2:$B$38,D634)+SUMIFS($K$1:$K$790,$C$1:$C$790,C634,$D$1:$D$790,D634,$B$1:$B$790,"&lt;="&amp;B634)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Iniciales'!$B$2:$B$38,D635)+SUMIFS($K$1:$K$790,$C$1:$C$790,C635,$D$1:$D$790,D635,$B$1:$B$790,"&lt;="&amp;B635)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Iniciales'!$B$2:$B$38,D636)+SUMIFS($K$1:$K$790,$C$1:$C$790,C636,$D$1:$D$790,D636,$B$1:$B$790,"&lt;="&amp;B636)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Iniciales'!$B$2:$B$38,D637)+SUMIFS($K$1:$K$790,$C$1:$C$790,C637,$D$1:$D$790,D637,$B$1:$B$790,"&lt;="&amp;B637)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Iniciales'!$B$2:$B$38,D638)+SUMIFS($K$1:$K$790,$C$1:$C$790,C638,$D$1:$D$790,D638,$B$1:$B$790,"&lt;="&amp;B638)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Iniciales'!$B$2:$B$38,D639)+SUMIFS($K$1:$K$790,$C$1:$C$790,C639,$D$1:$D$790,D639,$B$1:$B$790,"&lt;="&amp;B639)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Iniciales'!$B$2:$B$38,D640)+SUMIFS($K$1:$K$790,$C$1:$C$790,C640,$D$1:$D$790,D640,$B$1:$B$790,"&lt;="&amp;B640)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Iniciales'!$B$2:$B$38,D641)+SUMIFS($K$1:$K$790,$C$1:$C$790,C641,$D$1:$D$790,D641,$B$1:$B$790,"&lt;="&amp;B641)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Iniciales'!$B$2:$B$38,D642)+SUMIFS($K$1:$K$790,$C$1:$C$790,C642,$D$1:$D$790,D642,$B$1:$B$790,"&lt;="&amp;B642)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Iniciales'!$B$2:$B$38,D643)+SUMIFS($K$1:$K$790,$C$1:$C$790,C643,$D$1:$D$790,D643,$B$1:$B$790,"&lt;="&amp;B643)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Iniciales'!$B$2:$B$38,D644)+SUMIFS($K$1:$K$790,$C$1:$C$790,C644,$D$1:$D$790,D644,$B$1:$B$790,"&lt;="&amp;B644)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Iniciales'!$B$2:$B$38,D645)+SUMIFS($K$1:$K$790,$C$1:$C$790,C645,$D$1:$D$790,D645,$B$1:$B$790,"&lt;="&amp;B645)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Iniciales'!$B$2:$B$38,D646)+SUMIFS($K$1:$K$790,$C$1:$C$790,C646,$D$1:$D$790,D646,$B$1:$B$790,"&lt;="&amp;B646)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Iniciales'!$B$2:$B$38,D647)+SUMIFS($K$1:$K$790,$C$1:$C$790,C647,$D$1:$D$790,D647,$B$1:$B$790,"&lt;="&amp;B647)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Iniciales'!$B$2:$B$38,D648)+SUMIFS($K$1:$K$790,$C$1:$C$790,C648,$D$1:$D$790,D648,$B$1:$B$790,"&lt;="&amp;B648)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Iniciales'!$B$2:$B$38,D649)+SUMIFS($K$1:$K$790,$C$1:$C$790,C649,$D$1:$D$790,D649,$B$1:$B$790,"&lt;="&amp;B649)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Iniciales'!$B$2:$B$38,D650)+SUMIFS($K$1:$K$790,$C$1:$C$790,C650,$D$1:$D$790,D650,$B$1:$B$790,"&lt;="&amp;B650)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Iniciales'!$B$2:$B$38,D651)+SUMIFS($K$1:$K$790,$C$1:$C$790,C651,$D$1:$D$790,D651,$B$1:$B$790,"&lt;="&amp;B651)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Iniciales'!$B$2:$B$38,D652)+SUMIFS($K$1:$K$790,$C$1:$C$790,C652,$D$1:$D$790,D652,$B$1:$B$790,"&lt;="&amp;B652)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Iniciales'!$B$2:$B$38,D653)+SUMIFS($K$1:$K$790,$C$1:$C$790,C653,$D$1:$D$790,D653,$B$1:$B$790,"&lt;="&amp;B653)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Iniciales'!$B$2:$B$38,D654)+SUMIFS($K$1:$K$790,$C$1:$C$790,C654,$D$1:$D$790,D654,$B$1:$B$790,"&lt;="&amp;B654)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Iniciales'!$B$2:$B$38,D655)+SUMIFS($K$1:$K$790,$C$1:$C$790,C655,$D$1:$D$790,D655,$B$1:$B$790,"&lt;="&amp;B655)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Iniciales'!$B$2:$B$38,D656)+SUMIFS($K$1:$K$790,$C$1:$C$790,C656,$D$1:$D$790,D656,$B$1:$B$790,"&lt;="&amp;B656)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Iniciales'!$B$2:$B$38,D657)+SUMIFS($K$1:$K$790,$C$1:$C$790,C657,$D$1:$D$790,D657,$B$1:$B$790,"&lt;="&amp;B657)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Iniciales'!$B$2:$B$38,D658)+SUMIFS($K$1:$K$790,$C$1:$C$790,C658,$D$1:$D$790,D658,$B$1:$B$790,"&lt;="&amp;B658)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Iniciales'!$B$2:$B$38,D659)+SUMIFS($K$1:$K$790,$C$1:$C$790,C659,$D$1:$D$790,D659,$B$1:$B$790,"&lt;="&amp;B659)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Iniciales'!$B$2:$B$38,D660)+SUMIFS($K$1:$K$790,$C$1:$C$790,C660,$D$1:$D$790,D660,$B$1:$B$790,"&lt;="&amp;B660)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Iniciales'!$B$2:$B$38,D661)+SUMIFS($K$1:$K$790,$C$1:$C$790,C661,$D$1:$D$790,D661,$B$1:$B$790,"&lt;="&amp;B661)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Iniciales'!$B$2:$B$38,D662)+SUMIFS($K$1:$K$790,$C$1:$C$790,C662,$D$1:$D$790,D662,$B$1:$B$790,"&lt;="&amp;B662)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Iniciales'!$B$2:$B$38,D663)+SUMIFS($K$1:$K$790,$C$1:$C$790,C663,$D$1:$D$790,D663,$B$1:$B$790,"&lt;="&amp;B663)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Iniciales'!$B$2:$B$38,D664)+SUMIFS($K$1:$K$790,$C$1:$C$790,C664,$D$1:$D$790,D664,$B$1:$B$790,"&lt;="&amp;B664)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Iniciales'!$B$2:$B$38,D665)+SUMIFS($K$1:$K$790,$C$1:$C$790,C665,$D$1:$D$790,D665,$B$1:$B$790,"&lt;="&amp;B665)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Iniciales'!$B$2:$B$38,D666)+SUMIFS($K$1:$K$790,$C$1:$C$790,C666,$D$1:$D$790,D666,$B$1:$B$790,"&lt;="&amp;B666)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Iniciales'!$B$2:$B$38,D667)+SUMIFS($K$1:$K$790,$C$1:$C$790,C667,$D$1:$D$790,D667,$B$1:$B$790,"&lt;="&amp;B667)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Iniciales'!$B$2:$B$38,D668)+SUMIFS($K$1:$K$790,$C$1:$C$790,C668,$D$1:$D$790,D668,$B$1:$B$790,"&lt;="&amp;B668)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Iniciales'!$B$2:$B$38,D669)+SUMIFS($K$1:$K$790,$C$1:$C$790,C669,$D$1:$D$790,D669,$B$1:$B$790,"&lt;="&amp;B669)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Iniciales'!$B$2:$B$38,D670)+SUMIFS($K$1:$K$790,$C$1:$C$790,C670,$D$1:$D$790,D670,$B$1:$B$790,"&lt;="&amp;B670)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Iniciales'!$B$2:$B$38,D671)+SUMIFS($K$1:$K$790,$C$1:$C$790,C671,$D$1:$D$790,D671,$B$1:$B$790,"&lt;="&amp;B671)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Iniciales'!$B$2:$B$38,D672)+SUMIFS($K$1:$K$790,$C$1:$C$790,C672,$D$1:$D$790,D672,$B$1:$B$790,"&lt;="&amp;B672)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Iniciales'!$B$2:$B$38,D673)+SUMIFS($K$1:$K$790,$C$1:$C$790,C673,$D$1:$D$790,D673,$B$1:$B$790,"&lt;="&amp;B673)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Iniciales'!$B$2:$B$38,D674)+SUMIFS($K$1:$K$790,$C$1:$C$790,C674,$D$1:$D$790,D674,$B$1:$B$790,"&lt;="&amp;B674)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Iniciales'!$B$2:$B$38,D675)+SUMIFS($K$1:$K$790,$C$1:$C$790,C675,$D$1:$D$790,D675,$B$1:$B$790,"&lt;="&amp;B675)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Iniciales'!$B$2:$B$38,D676)+SUMIFS($K$1:$K$790,$C$1:$C$790,C676,$D$1:$D$790,D676,$B$1:$B$790,"&lt;="&amp;B676)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Iniciales'!$B$2:$B$38,D677)+SUMIFS($K$1:$K$790,$C$1:$C$790,C677,$D$1:$D$790,D677,$B$1:$B$790,"&lt;="&amp;B677)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Iniciales'!$B$2:$B$38,D678)+SUMIFS($K$1:$K$790,$C$1:$C$790,C678,$D$1:$D$790,D678,$B$1:$B$790,"&lt;="&amp;B678)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Iniciales'!$B$2:$B$38,D679)+SUMIFS($K$1:$K$790,$C$1:$C$790,C679,$D$1:$D$790,D679,$B$1:$B$790,"&lt;="&amp;B679)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Iniciales'!$B$2:$B$38,D680)+SUMIFS($K$1:$K$790,$C$1:$C$790,C680,$D$1:$D$790,D680,$B$1:$B$790,"&lt;="&amp;B680)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Iniciales'!$B$2:$B$38,D681)+SUMIFS($K$1:$K$790,$C$1:$C$790,C681,$D$1:$D$790,D681,$B$1:$B$790,"&lt;="&amp;B681)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Iniciales'!$B$2:$B$38,D682)+SUMIFS($K$1:$K$790,$C$1:$C$790,C682,$D$1:$D$790,D682,$B$1:$B$790,"&lt;="&amp;B682)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Iniciales'!$B$2:$B$38,D683)+SUMIFS($K$1:$K$790,$C$1:$C$790,C683,$D$1:$D$790,D683,$B$1:$B$790,"&lt;="&amp;B683)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Iniciales'!$B$2:$B$38,D684)+SUMIFS($K$1:$K$790,$C$1:$C$790,C684,$D$1:$D$790,D684,$B$1:$B$790,"&lt;="&amp;B684)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Iniciales'!$B$2:$B$38,D685)+SUMIFS($K$1:$K$790,$C$1:$C$790,C685,$D$1:$D$790,D685,$B$1:$B$790,"&lt;="&amp;B685)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Iniciales'!$B$2:$B$38,D686)+SUMIFS($K$1:$K$790,$C$1:$C$790,C686,$D$1:$D$790,D686,$B$1:$B$790,"&lt;="&amp;B686)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Iniciales'!$B$2:$B$38,D687)+SUMIFS($K$1:$K$790,$C$1:$C$790,C687,$D$1:$D$790,D687,$B$1:$B$790,"&lt;="&amp;B687)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Iniciales'!$B$2:$B$38,D688)+SUMIFS($K$1:$K$790,$C$1:$C$790,C688,$D$1:$D$790,D688,$B$1:$B$790,"&lt;="&amp;B688)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Iniciales'!$B$2:$B$38,D689)+SUMIFS($K$1:$K$790,$C$1:$C$790,C689,$D$1:$D$790,D689,$B$1:$B$790,"&lt;="&amp;B689)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Iniciales'!$B$2:$B$38,D690)+SUMIFS($K$1:$K$790,$C$1:$C$790,C690,$D$1:$D$790,D690,$B$1:$B$790,"&lt;="&amp;B690)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Iniciales'!$B$2:$B$38,D691)+SUMIFS($K$1:$K$790,$C$1:$C$790,C691,$D$1:$D$790,D691,$B$1:$B$790,"&lt;="&amp;B691)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Iniciales'!$B$2:$B$38,D692)+SUMIFS($K$1:$K$790,$C$1:$C$790,C692,$D$1:$D$790,D692,$B$1:$B$790,"&lt;="&amp;B692)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Iniciales'!$B$2:$B$38,D693)+SUMIFS($K$1:$K$790,$C$1:$C$790,C693,$D$1:$D$790,D693,$B$1:$B$790,"&lt;="&amp;B693)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Iniciales'!$B$2:$B$38,D694)+SUMIFS($K$1:$K$790,$C$1:$C$790,C694,$D$1:$D$790,D694,$B$1:$B$790,"&lt;="&amp;B694)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Iniciales'!$B$2:$B$38,D695)+SUMIFS($K$1:$K$790,$C$1:$C$790,C695,$D$1:$D$790,D695,$B$1:$B$790,"&lt;="&amp;B695)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Iniciales'!$B$2:$B$38,D696)+SUMIFS($K$1:$K$790,$C$1:$C$790,C696,$D$1:$D$790,D696,$B$1:$B$790,"&lt;="&amp;B696)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Iniciales'!$B$2:$B$38,D697)+SUMIFS($K$1:$K$790,$C$1:$C$790,C697,$D$1:$D$790,D697,$B$1:$B$790,"&lt;="&amp;B697)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Iniciales'!$B$2:$B$38,D698)+SUMIFS($K$1:$K$790,$C$1:$C$790,C698,$D$1:$D$790,D698,$B$1:$B$790,"&lt;="&amp;B698)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Iniciales'!$B$2:$B$38,D699)+SUMIFS($K$1:$K$790,$C$1:$C$790,C699,$D$1:$D$790,D699,$B$1:$B$790,"&lt;="&amp;B699)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Iniciales'!$B$2:$B$38,D700)+SUMIFS($K$1:$K$790,$C$1:$C$790,C700,$D$1:$D$790,D700,$B$1:$B$790,"&lt;="&amp;B700)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Iniciales'!$B$2:$B$38,D701)+SUMIFS($K$1:$K$790,$C$1:$C$790,C701,$D$1:$D$790,D701,$B$1:$B$790,"&lt;="&amp;B701)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Iniciales'!$B$2:$B$38,D702)+SUMIFS($K$1:$K$790,$C$1:$C$790,C702,$D$1:$D$790,D702,$B$1:$B$790,"&lt;="&amp;B702)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Iniciales'!$B$2:$B$38,D703)+SUMIFS($K$1:$K$790,$C$1:$C$790,C703,$D$1:$D$790,D703,$B$1:$B$790,"&lt;="&amp;B703)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Iniciales'!$B$2:$B$38,D704)+SUMIFS($K$1:$K$790,$C$1:$C$790,C704,$D$1:$D$790,D704,$B$1:$B$790,"&lt;="&amp;B704)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Iniciales'!$B$2:$B$38,D705)+SUMIFS($K$1:$K$790,$C$1:$C$790,C705,$D$1:$D$790,D705,$B$1:$B$790,"&lt;="&amp;B705)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Iniciales'!$B$2:$B$38,D706)+SUMIFS($K$1:$K$790,$C$1:$C$790,C706,$D$1:$D$790,D706,$B$1:$B$790,"&lt;="&amp;B706)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Iniciales'!$B$2:$B$38,D707)+SUMIFS($K$1:$K$790,$C$1:$C$790,C707,$D$1:$D$790,D707,$B$1:$B$790,"&lt;="&amp;B707)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Iniciales'!$B$2:$B$38,D708)+SUMIFS($K$1:$K$790,$C$1:$C$790,C708,$D$1:$D$790,D708,$B$1:$B$790,"&lt;="&amp;B708)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Iniciales'!$B$2:$B$38,D709)+SUMIFS($K$1:$K$790,$C$1:$C$790,C709,$D$1:$D$790,D709,$B$1:$B$790,"&lt;="&amp;B709)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Iniciales'!$B$2:$B$38,D710)+SUMIFS($K$1:$K$790,$C$1:$C$790,C710,$D$1:$D$790,D710,$B$1:$B$790,"&lt;="&amp;B710)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Iniciales'!$B$2:$B$38,D711)+SUMIFS($K$1:$K$790,$C$1:$C$790,C711,$D$1:$D$790,D711,$B$1:$B$790,"&lt;="&amp;B711)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Iniciales'!$B$2:$B$38,D712)+SUMIFS($K$1:$K$790,$C$1:$C$790,C712,$D$1:$D$790,D712,$B$1:$B$790,"&lt;="&amp;B712)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Iniciales'!$B$2:$B$38,D713)+SUMIFS($K$1:$K$790,$C$1:$C$790,C713,$D$1:$D$790,D713,$B$1:$B$790,"&lt;="&amp;B713)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Iniciales'!$B$2:$B$38,D714)+SUMIFS($K$1:$K$790,$C$1:$C$790,C714,$D$1:$D$790,D714,$B$1:$B$790,"&lt;="&amp;B714)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Iniciales'!$B$2:$B$38,D715)+SUMIFS($K$1:$K$790,$C$1:$C$790,C715,$D$1:$D$790,D715,$B$1:$B$790,"&lt;="&amp;B715)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Iniciales'!$B$2:$B$38,D716)+SUMIFS($K$1:$K$790,$C$1:$C$790,C716,$D$1:$D$790,D716,$B$1:$B$790,"&lt;="&amp;B716)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Iniciales'!$B$2:$B$38,D717)+SUMIFS($K$1:$K$790,$C$1:$C$790,C717,$D$1:$D$790,D717,$B$1:$B$790,"&lt;="&amp;B717)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Iniciales'!$B$2:$B$38,D718)+SUMIFS($K$1:$K$790,$C$1:$C$790,C718,$D$1:$D$790,D718,$B$1:$B$790,"&lt;="&amp;B718)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Iniciales'!$B$2:$B$38,D719)+SUMIFS($K$1:$K$790,$C$1:$C$790,C719,$D$1:$D$790,D719,$B$1:$B$790,"&lt;="&amp;B719)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Iniciales'!$B$2:$B$38,D720)+SUMIFS($K$1:$K$790,$C$1:$C$790,C720,$D$1:$D$790,D720,$B$1:$B$790,"&lt;="&amp;B720)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Iniciales'!$B$2:$B$38,D721)+SUMIFS($K$1:$K$790,$C$1:$C$790,C721,$D$1:$D$790,D721,$B$1:$B$790,"&lt;="&amp;B721)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Iniciales'!$B$2:$B$38,D722)+SUMIFS($K$1:$K$790,$C$1:$C$790,C722,$D$1:$D$790,D722,$B$1:$B$790,"&lt;="&amp;B722)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ref="K723:K735" si="18"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Iniciales'!$B$2:$B$38,D723)+SUMIFS($K$1:$K$790,$C$1:$C$790,C723,$D$1:$D$790,D723,$B$1:$B$790,"&lt;="&amp;B723)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18"/>
        <v>42.5</v>
      </c>
      <c r="L724" s="15" t="s">
        <v>132</v>
      </c>
      <c r="M724" s="44">
        <f>SUMIFS('Saldos Iniciales'!$D$2:$D$38,'Saldos Iniciales'!$A$2:$A$38,C724,'Saldos Iniciales'!$B$2:$B$38,D724)+SUMIFS($K$1:$K$790,$C$1:$C$790,C724,$D$1:$D$790,D724,$B$1:$B$790,"&lt;="&amp;B724)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18"/>
        <v>-205</v>
      </c>
      <c r="L725" s="15" t="s">
        <v>132</v>
      </c>
      <c r="M725" s="44">
        <f>SUMIFS('Saldos Iniciales'!$D$2:$D$38,'Saldos Iniciales'!$A$2:$A$38,C725,'Saldos Iniciales'!$B$2:$B$38,D725)+SUMIFS($K$1:$K$790,$C$1:$C$790,C725,$D$1:$D$790,D725,$B$1:$B$790,"&lt;="&amp;B725)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18"/>
        <v>-2445</v>
      </c>
      <c r="L726" s="15" t="s">
        <v>132</v>
      </c>
      <c r="M726" s="44">
        <f>SUMIFS('Saldos Iniciales'!$D$2:$D$38,'Saldos Iniciales'!$A$2:$A$38,C726,'Saldos Iniciales'!$B$2:$B$38,D726)+SUMIFS($K$1:$K$790,$C$1:$C$790,C726,$D$1:$D$790,D726,$B$1:$B$790,"&lt;="&amp;B726)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18"/>
        <v>5000</v>
      </c>
      <c r="L727" s="15" t="s">
        <v>132</v>
      </c>
      <c r="M727" s="44">
        <f>SUMIFS('Saldos Iniciales'!$D$2:$D$38,'Saldos Iniciales'!$A$2:$A$38,C727,'Saldos Iniciales'!$B$2:$B$38,D727)+SUMIFS($K$1:$K$790,$C$1:$C$790,C727,$D$1:$D$790,D727,$B$1:$B$790,"&lt;="&amp;B727)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18"/>
        <v>-1291.6500000000001</v>
      </c>
      <c r="L728" s="15" t="s">
        <v>132</v>
      </c>
      <c r="M728" s="44">
        <f>SUMIFS('Saldos Iniciales'!$D$2:$D$38,'Saldos Iniciales'!$A$2:$A$38,C728,'Saldos Iniciales'!$B$2:$B$38,D728)+SUMIFS($K$1:$K$790,$C$1:$C$790,C728,$D$1:$D$790,D728,$B$1:$B$790,"&lt;="&amp;B728)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18"/>
        <v>106686.57</v>
      </c>
      <c r="L729" s="15" t="s">
        <v>132</v>
      </c>
      <c r="M729" s="44">
        <f>SUMIFS('Saldos Iniciales'!$D$2:$D$38,'Saldos Iniciales'!$A$2:$A$38,C729,'Saldos Iniciales'!$B$2:$B$38,D729)+SUMIFS($K$1:$K$790,$C$1:$C$790,C729,$D$1:$D$790,D729,$B$1:$B$790,"&lt;="&amp;B729)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18"/>
        <v>-1050</v>
      </c>
      <c r="L730" s="15" t="s">
        <v>132</v>
      </c>
      <c r="M730" s="44">
        <f>SUMIFS('Saldos Iniciales'!$D$2:$D$38,'Saldos Iniciales'!$A$2:$A$38,C730,'Saldos Iniciales'!$B$2:$B$38,D730)+SUMIFS($K$1:$K$790,$C$1:$C$790,C730,$D$1:$D$790,D730,$B$1:$B$790,"&lt;="&amp;B730)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18"/>
        <v>-1971.27</v>
      </c>
      <c r="L731" s="15" t="s">
        <v>132</v>
      </c>
      <c r="M731" s="44">
        <f>SUMIFS('Saldos Iniciales'!$D$2:$D$38,'Saldos Iniciales'!$A$2:$A$38,C731,'Saldos Iniciales'!$B$2:$B$38,D731)+SUMIFS($K$1:$K$790,$C$1:$C$790,C731,$D$1:$D$790,D731,$B$1:$B$790,"&lt;="&amp;B731)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18"/>
        <v>-500</v>
      </c>
      <c r="L732" s="15" t="s">
        <v>132</v>
      </c>
      <c r="M732" s="44">
        <f>SUMIFS('Saldos Iniciales'!$D$2:$D$38,'Saldos Iniciales'!$A$2:$A$38,C732,'Saldos Iniciales'!$B$2:$B$38,D732)+SUMIFS($K$1:$K$790,$C$1:$C$790,C732,$D$1:$D$790,D732,$B$1:$B$790,"&lt;="&amp;B732)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18"/>
        <v>-2625</v>
      </c>
      <c r="L733" s="15" t="s">
        <v>132</v>
      </c>
      <c r="M733" s="44">
        <f>SUMIFS('Saldos Iniciales'!$D$2:$D$38,'Saldos Iniciales'!$A$2:$A$38,C733,'Saldos Iniciales'!$B$2:$B$38,D733)+SUMIFS($K$1:$K$790,$C$1:$C$790,C733,$D$1:$D$790,D733,$B$1:$B$790,"&lt;="&amp;B733)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18"/>
        <v>-1412.66</v>
      </c>
      <c r="L734" s="15" t="s">
        <v>132</v>
      </c>
      <c r="M734" s="44">
        <f>SUMIFS('Saldos Iniciales'!$D$2:$D$38,'Saldos Iniciales'!$A$2:$A$38,C734,'Saldos Iniciales'!$B$2:$B$38,D734)+SUMIFS($K$1:$K$790,$C$1:$C$790,C734,$D$1:$D$790,D734,$B$1:$B$790,"&lt;="&amp;B734)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18"/>
        <v>-1980.24</v>
      </c>
      <c r="L735" s="15" t="s">
        <v>132</v>
      </c>
      <c r="M735" s="44">
        <f>SUMIFS('Saldos Iniciales'!$D$2:$D$38,'Saldos Iniciales'!$A$2:$A$38,C735,'Saldos Iniciales'!$B$2:$B$38,D735)+SUMIFS($K$1:$K$790,$C$1:$C$790,C735,$D$1:$D$790,D735,$B$1:$B$790,"&lt;="&amp;B735)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 t="shared" ref="K736:K744" si="19">IF(F736="Ingreso",J736,-J736)</f>
        <v>-663.66</v>
      </c>
      <c r="L736" s="15" t="s">
        <v>132</v>
      </c>
      <c r="M736" s="44">
        <f>SUMIFS('Saldos Iniciales'!$D$2:$D$38,'Saldos Iniciales'!$A$2:$A$38,C736,'Saldos Iniciales'!$B$2:$B$38,D736)+SUMIFS($K$1:$K$790,$C$1:$C$790,C736,$D$1:$D$790,D736,$B$1:$B$790,"&lt;="&amp;B736)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9"/>
        <v>-25572.5</v>
      </c>
      <c r="L737" s="15" t="s">
        <v>132</v>
      </c>
      <c r="M737" s="44">
        <f>SUMIFS('Saldos Iniciales'!$D$2:$D$38,'Saldos Iniciales'!$A$2:$A$38,C737,'Saldos Iniciales'!$B$2:$B$38,D737)+SUMIFS($K$1:$K$790,$C$1:$C$790,C737,$D$1:$D$790,D737,$B$1:$B$790,"&lt;="&amp;B737)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9"/>
        <v>-29322.5</v>
      </c>
      <c r="L738" s="15" t="s">
        <v>132</v>
      </c>
      <c r="M738" s="44">
        <f>SUMIFS('Saldos Iniciales'!$D$2:$D$38,'Saldos Iniciales'!$A$2:$A$38,C738,'Saldos Iniciales'!$B$2:$B$38,D738)+SUMIFS($K$1:$K$790,$C$1:$C$790,C738,$D$1:$D$790,D738,$B$1:$B$790,"&lt;="&amp;B738)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9"/>
        <v>-92917.72</v>
      </c>
      <c r="L739" s="15" t="s">
        <v>132</v>
      </c>
      <c r="M739" s="44">
        <f>SUMIFS('Saldos Iniciales'!$D$2:$D$38,'Saldos Iniciales'!$A$2:$A$38,C739,'Saldos Iniciales'!$B$2:$B$38,D739)+SUMIFS($K$1:$K$790,$C$1:$C$790,C739,$D$1:$D$790,D739,$B$1:$B$790,"&lt;="&amp;B739)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9"/>
        <v>-97296.25</v>
      </c>
      <c r="L740" s="15" t="s">
        <v>132</v>
      </c>
      <c r="M740" s="44">
        <f>SUMIFS('Saldos Iniciales'!$D$2:$D$38,'Saldos Iniciales'!$A$2:$A$38,C740,'Saldos Iniciales'!$B$2:$B$38,D740)+SUMIFS($K$1:$K$790,$C$1:$C$790,C740,$D$1:$D$790,D740,$B$1:$B$790,"&lt;="&amp;B740)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9"/>
        <v>-230772.11</v>
      </c>
      <c r="L741" s="15" t="s">
        <v>132</v>
      </c>
      <c r="M741" s="44">
        <f>SUMIFS('Saldos Iniciales'!$D$2:$D$38,'Saldos Iniciales'!$A$2:$A$38,C741,'Saldos Iniciales'!$B$2:$B$38,D741)+SUMIFS($K$1:$K$790,$C$1:$C$790,C741,$D$1:$D$790,D741,$B$1:$B$790,"&lt;="&amp;B741)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 t="shared" si="19"/>
        <v>-6</v>
      </c>
      <c r="L742" s="15" t="s">
        <v>132</v>
      </c>
      <c r="M742" s="44">
        <f>SUMIFS('Saldos Iniciales'!$D$2:$D$38,'Saldos Iniciales'!$A$2:$A$38,C742,'Saldos Iniciales'!$B$2:$B$38,D742)+SUMIFS($K$1:$K$790,$C$1:$C$790,C742,$D$1:$D$790,D742,$B$1:$B$790,"&lt;="&amp;B742)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 t="shared" si="19"/>
        <v>-106.4</v>
      </c>
      <c r="L743" s="15" t="s">
        <v>132</v>
      </c>
      <c r="M743" s="44">
        <f>SUMIFS('Saldos Iniciales'!$D$2:$D$38,'Saldos Iniciales'!$A$2:$A$38,C743,'Saldos Iniciales'!$B$2:$B$38,D743)+SUMIFS($K$1:$K$790,$C$1:$C$790,C743,$D$1:$D$790,D743,$B$1:$B$790,"&lt;="&amp;B743)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9"/>
        <v>560000</v>
      </c>
      <c r="L744" s="15" t="s">
        <v>132</v>
      </c>
      <c r="M744" s="44">
        <f>SUMIFS('Saldos Iniciales'!$D$2:$D$38,'Saldos Iniciales'!$A$2:$A$38,C744,'Saldos Iniciales'!$B$2:$B$38,D744)+SUMIFS($K$1:$K$790,$C$1:$C$790,C744,$D$1:$D$790,D744,$B$1:$B$790,"&lt;="&amp;B744)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46247</v>
      </c>
      <c r="C745" s="46" t="str">
        <f>_xlfn.XLOOKUP(tblMovimientos[[#This Row],[Cuenta Bancaria]],Listas!$B:$B,Listas!$A:$A,"")</f>
        <v>A&amp;M Imports</v>
      </c>
      <c r="D745" s="41" t="s">
        <v>100</v>
      </c>
      <c r="E745" s="4" t="str">
        <f>_xlfn.XLOOKUP(tblMovimientos[[#This Row],[Cuenta Bancaria]],Listas!$B:$B,Listas!$C:$C,"")</f>
        <v>Bank of America</v>
      </c>
      <c r="F745" s="41" t="s">
        <v>10</v>
      </c>
      <c r="G745" s="41" t="s">
        <v>61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60000</v>
      </c>
      <c r="K745" s="5">
        <f t="shared" ref="K745:K778" si="20">IF(F745="Ingreso",J745,-J745)</f>
        <v>-60000</v>
      </c>
      <c r="L745" s="15" t="s">
        <v>132</v>
      </c>
      <c r="M745" s="44">
        <f>SUMIFS('Saldos Iniciales'!$D$2:$D$38,'Saldos Iniciales'!$A$2:$A$38,C745,'Saldos Iniciales'!$B$2:$B$38,D745)+SUMIFS($K$1:$K$790,$C$1:$C$790,C745,$D$1:$D$790,D745,$B$1:$B$790,"&lt;="&amp;B745)</f>
        <v>1289451.94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60000</v>
      </c>
      <c r="P745" s="28">
        <f>IF(tblMovimientos[[#This Row],[Tipo de Movimiento]]="Ingreso",tblMovimientos[[#This Row],[Ingreso]],-tblMovimientos[[#This Row],[Egreso]])</f>
        <v>-60000</v>
      </c>
    </row>
    <row r="746" spans="2:16" x14ac:dyDescent="0.3">
      <c r="B746" s="39">
        <v>46247</v>
      </c>
      <c r="C746" s="46" t="str">
        <f>_xlfn.XLOOKUP(tblMovimientos[[#This Row],[Cuenta Bancaria]],Listas!$B:$B,Listas!$A:$A,"")</f>
        <v>CFT Group</v>
      </c>
      <c r="D746" s="41" t="s">
        <v>94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64</v>
      </c>
      <c r="H746" s="4" t="str">
        <f>IFERROR(_xlfn.XLOOKUP(G746,Listas!E:E,Listas!F:F,""),"")</f>
        <v>Operativo</v>
      </c>
      <c r="I746" s="46" t="str">
        <f>IFERROR(_xlfn.XLOOKUP(G746,Listas!E:E,Listas!G:G,""),"")</f>
        <v>Interno</v>
      </c>
      <c r="J746" s="43">
        <v>300000</v>
      </c>
      <c r="K746" s="5">
        <f t="shared" si="20"/>
        <v>-300000</v>
      </c>
      <c r="L746" s="15" t="s">
        <v>132</v>
      </c>
      <c r="M746" s="44">
        <f>SUMIFS('Saldos Iniciales'!$D$2:$D$38,'Saldos Iniciales'!$A$2:$A$38,C746,'Saldos Iniciales'!$B$2:$B$38,D746)+SUMIFS($K$1:$K$790,$C$1:$C$790,C746,$D$1:$D$790,D746,$B$1:$B$790,"&lt;="&amp;B746)</f>
        <v>29551.26999999999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300000</v>
      </c>
      <c r="P746" s="28">
        <f>IF(tblMovimientos[[#This Row],[Tipo de Movimiento]]="Ingreso",tblMovimientos[[#This Row],[Ingreso]],-tblMovimientos[[#This Row],[Egreso]])</f>
        <v>-300000</v>
      </c>
    </row>
    <row r="747" spans="2:16" x14ac:dyDescent="0.3">
      <c r="B747" s="39">
        <v>46247</v>
      </c>
      <c r="C747" s="46" t="str">
        <f>_xlfn.XLOOKUP(tblMovimientos[[#This Row],[Cuenta Bancaria]],Listas!$B:$B,Listas!$A:$A,"")</f>
        <v>CFT Group</v>
      </c>
      <c r="D747" s="41" t="s">
        <v>94</v>
      </c>
      <c r="E747" s="4" t="str">
        <f>_xlfn.XLOOKUP(tblMovimientos[[#This Row],[Cuenta Bancaria]],Listas!$B:$B,Listas!$C:$C,"")</f>
        <v>Bank of America</v>
      </c>
      <c r="F747" s="41" t="s">
        <v>10</v>
      </c>
      <c r="G747" s="41" t="s">
        <v>64</v>
      </c>
      <c r="H747" s="4" t="str">
        <f>IFERROR(_xlfn.XLOOKUP(G747,Listas!E:E,Listas!F:F,""),"")</f>
        <v>Operativo</v>
      </c>
      <c r="I747" s="46" t="str">
        <f>IFERROR(_xlfn.XLOOKUP(G747,Listas!E:E,Listas!G:G,""),"")</f>
        <v>Interno</v>
      </c>
      <c r="J747" s="43">
        <v>10000</v>
      </c>
      <c r="K747" s="5">
        <f t="shared" si="20"/>
        <v>-10000</v>
      </c>
      <c r="L747" s="15" t="s">
        <v>132</v>
      </c>
      <c r="M747" s="44">
        <f>SUMIFS('Saldos Iniciales'!$D$2:$D$38,'Saldos Iniciales'!$A$2:$A$38,C747,'Saldos Iniciales'!$B$2:$B$38,D747)+SUMIFS($K$1:$K$790,$C$1:$C$790,C747,$D$1:$D$790,D747,$B$1:$B$790,"&lt;="&amp;B747)</f>
        <v>29551.26999999999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10000</v>
      </c>
      <c r="P747" s="28">
        <f>IF(tblMovimientos[[#This Row],[Tipo de Movimiento]]="Ingreso",tblMovimientos[[#This Row],[Ingreso]],-tblMovimientos[[#This Row],[Egreso]])</f>
        <v>-10000</v>
      </c>
    </row>
    <row r="748" spans="2:16" x14ac:dyDescent="0.3">
      <c r="B748" s="39">
        <v>46247</v>
      </c>
      <c r="C748" s="46" t="str">
        <f>_xlfn.XLOOKUP(tblMovimientos[[#This Row],[Cuenta Bancaria]],Listas!$B:$B,Listas!$A:$A,"")</f>
        <v>2515 Overbrook</v>
      </c>
      <c r="D748" s="41" t="s">
        <v>121</v>
      </c>
      <c r="E748" s="4" t="str">
        <f>_xlfn.XLOOKUP(tblMovimientos[[#This Row],[Cuenta Bancaria]],Listas!$B:$B,Listas!$C:$C,"")</f>
        <v>Bank of America</v>
      </c>
      <c r="F748" s="41" t="s">
        <v>9</v>
      </c>
      <c r="G748" s="41" t="s">
        <v>85</v>
      </c>
      <c r="H748" s="4" t="str">
        <f>IFERROR(_xlfn.XLOOKUP(G748,Listas!E:E,Listas!F:F,""),"")</f>
        <v>Operativo</v>
      </c>
      <c r="I748" s="46" t="str">
        <f>IFERROR(_xlfn.XLOOKUP(G748,Listas!E:E,Listas!G:G,""),"")</f>
        <v>Interno</v>
      </c>
      <c r="J748" s="43">
        <v>10000</v>
      </c>
      <c r="K748" s="5">
        <f t="shared" si="20"/>
        <v>10000</v>
      </c>
      <c r="L748" s="15" t="s">
        <v>132</v>
      </c>
      <c r="M748" s="44">
        <f>SUMIFS('Saldos Iniciales'!$D$2:$D$38,'Saldos Iniciales'!$A$2:$A$38,C748,'Saldos Iniciales'!$B$2:$B$38,D748)+SUMIFS($K$1:$K$790,$C$1:$C$790,C748,$D$1:$D$790,D748,$B$1:$B$790,"&lt;="&amp;B748)</f>
        <v>13390.289999999964</v>
      </c>
      <c r="N748" s="65">
        <f>IF(tblMovimientos[[#This Row],[Tipo de Movimiento]]="Ingreso",tblMovimientos[[#This Row],[Monto (S/)]],"0")</f>
        <v>10000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10000</v>
      </c>
    </row>
    <row r="749" spans="2:16" x14ac:dyDescent="0.3">
      <c r="B749" s="39">
        <v>46247</v>
      </c>
      <c r="C749" s="46" t="str">
        <f>_xlfn.XLOOKUP(tblMovimientos[[#This Row],[Cuenta Bancaria]],Listas!$B:$B,Listas!$A:$A,"")</f>
        <v>CFT Group</v>
      </c>
      <c r="D749" s="41" t="s">
        <v>95</v>
      </c>
      <c r="E749" s="4" t="str">
        <f>_xlfn.XLOOKUP(tblMovimientos[[#This Row],[Cuenta Bancaria]],Listas!$B:$B,Listas!$C:$C,"")</f>
        <v xml:space="preserve">Amerant Bank </v>
      </c>
      <c r="F749" s="41" t="s">
        <v>9</v>
      </c>
      <c r="G749" s="41" t="s">
        <v>68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18088.189999999999</v>
      </c>
      <c r="K749" s="5">
        <f t="shared" si="20"/>
        <v>18088.189999999999</v>
      </c>
      <c r="L749" s="15" t="s">
        <v>132</v>
      </c>
      <c r="M749" s="44">
        <f>SUMIFS('Saldos Iniciales'!$D$2:$D$38,'Saldos Iniciales'!$A$2:$A$38,C749,'Saldos Iniciales'!$B$2:$B$38,D749)+SUMIFS($K$1:$K$790,$C$1:$C$790,C749,$D$1:$D$790,D749,$B$1:$B$790,"&lt;="&amp;B749)</f>
        <v>1006435.0800000008</v>
      </c>
      <c r="N749" s="65">
        <f>IF(tblMovimientos[[#This Row],[Tipo de Movimiento]]="Ingreso",tblMovimientos[[#This Row],[Monto (S/)]],"0")</f>
        <v>18088.189999999999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18088.189999999999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CFT Group</v>
      </c>
      <c r="D750" s="41" t="s">
        <v>95</v>
      </c>
      <c r="E750" s="4" t="str">
        <f>_xlfn.XLOOKUP(tblMovimientos[[#This Row],[Cuenta Bancaria]],Listas!$B:$B,Listas!$C:$C,"")</f>
        <v xml:space="preserve">Amerant Bank </v>
      </c>
      <c r="F750" s="41" t="s">
        <v>9</v>
      </c>
      <c r="G750" s="41" t="s">
        <v>85</v>
      </c>
      <c r="H750" s="4" t="str">
        <f>IFERROR(_xlfn.XLOOKUP(G750,Listas!E:E,Listas!F:F,""),"")</f>
        <v>Operativo</v>
      </c>
      <c r="I750" s="46" t="str">
        <f>IFERROR(_xlfn.XLOOKUP(G750,Listas!E:E,Listas!G:G,""),"")</f>
        <v>Interno</v>
      </c>
      <c r="J750" s="43">
        <v>300000</v>
      </c>
      <c r="K750" s="5">
        <f t="shared" si="20"/>
        <v>300000</v>
      </c>
      <c r="L750" s="15" t="s">
        <v>132</v>
      </c>
      <c r="M750" s="44">
        <f>SUMIFS('Saldos Iniciales'!$D$2:$D$38,'Saldos Iniciales'!$A$2:$A$38,C750,'Saldos Iniciales'!$B$2:$B$38,D750)+SUMIFS($K$1:$K$790,$C$1:$C$790,C750,$D$1:$D$790,D750,$B$1:$B$790,"&lt;="&amp;B750)</f>
        <v>1006435.0800000008</v>
      </c>
      <c r="N750" s="65">
        <f>IF(tblMovimientos[[#This Row],[Tipo de Movimiento]]="Ingreso",tblMovimientos[[#This Row],[Monto (S/)]],"0")</f>
        <v>300000</v>
      </c>
      <c r="O750" s="65" t="str">
        <f>IF(tblMovimientos[[#This Row],[Tipo de Movimiento]]="Egreso",tblMovimientos[[#This Row],[Monto (S/)]],"0")</f>
        <v>0</v>
      </c>
      <c r="P750" s="28">
        <f>IF(tblMovimientos[[#This Row],[Tipo de Movimiento]]="Ingreso",tblMovimientos[[#This Row],[Ingreso]],-tblMovimientos[[#This Row],[Egreso]])</f>
        <v>300000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95</v>
      </c>
      <c r="E751" s="4" t="str">
        <f>_xlfn.XLOOKUP(tblMovimientos[[#This Row],[Cuenta Bancaria]],Listas!$B:$B,Listas!$C:$C,"")</f>
        <v xml:space="preserve">Amerant Bank </v>
      </c>
      <c r="F751" s="41" t="s">
        <v>9</v>
      </c>
      <c r="G751" s="41" t="s">
        <v>77</v>
      </c>
      <c r="H751" s="4" t="str">
        <f>IFERROR(_xlfn.XLOOKUP(G751,Listas!E:E,Listas!F:F,""),"")</f>
        <v>Inversion</v>
      </c>
      <c r="I751" s="46" t="str">
        <f>IFERROR(_xlfn.XLOOKUP(G751,Listas!E:E,Listas!G:G,""),"")</f>
        <v>Interno</v>
      </c>
      <c r="J751" s="43">
        <v>500000</v>
      </c>
      <c r="K751" s="5">
        <f t="shared" si="20"/>
        <v>500000</v>
      </c>
      <c r="L751" s="15" t="s">
        <v>132</v>
      </c>
      <c r="M751" s="44">
        <f>SUMIFS('Saldos Iniciales'!$D$2:$D$38,'Saldos Iniciales'!$A$2:$A$38,C751,'Saldos Iniciales'!$B$2:$B$38,D751)+SUMIFS($K$1:$K$790,$C$1:$C$790,C751,$D$1:$D$790,D751,$B$1:$B$790,"&lt;="&amp;B751)</f>
        <v>1006435.0800000008</v>
      </c>
      <c r="N751" s="65">
        <f>IF(tblMovimientos[[#This Row],[Tipo de Movimiento]]="Ingreso",tblMovimientos[[#This Row],[Monto (S/)]],"0")</f>
        <v>500000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500000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95</v>
      </c>
      <c r="E752" s="4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2916.67</v>
      </c>
      <c r="K752" s="5">
        <f t="shared" si="20"/>
        <v>-2916.67</v>
      </c>
      <c r="L752" s="15" t="s">
        <v>132</v>
      </c>
      <c r="M752" s="44">
        <f>SUMIFS('Saldos Iniciales'!$D$2:$D$38,'Saldos Iniciales'!$A$2:$A$38,C752,'Saldos Iniciales'!$B$2:$B$38,D752)+SUMIFS($K$1:$K$790,$C$1:$C$790,C752,$D$1:$D$790,D752,$B$1:$B$790,"&lt;="&amp;B752)</f>
        <v>1006435.0800000008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2916.67</v>
      </c>
      <c r="P752" s="28">
        <f>IF(tblMovimientos[[#This Row],[Tipo de Movimiento]]="Ingreso",tblMovimientos[[#This Row],[Ingreso]],-tblMovimientos[[#This Row],[Egreso]])</f>
        <v>-2916.67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CFT Group</v>
      </c>
      <c r="D753" s="41" t="s">
        <v>95</v>
      </c>
      <c r="E753" s="4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3616.67</v>
      </c>
      <c r="K753" s="5">
        <f t="shared" si="20"/>
        <v>-3616.67</v>
      </c>
      <c r="L753" s="15" t="s">
        <v>132</v>
      </c>
      <c r="M753" s="44">
        <f>SUMIFS('Saldos Iniciales'!$D$2:$D$38,'Saldos Iniciales'!$A$2:$A$38,C753,'Saldos Iniciales'!$B$2:$B$38,D753)+SUMIFS($K$1:$K$790,$C$1:$C$790,C753,$D$1:$D$790,D753,$B$1:$B$790,"&lt;="&amp;B753)</f>
        <v>1006435.0800000008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3616.67</v>
      </c>
      <c r="P753" s="28">
        <f>IF(tblMovimientos[[#This Row],[Tipo de Movimiento]]="Ingreso",tblMovimientos[[#This Row],[Ingreso]],-tblMovimientos[[#This Row],[Egreso]])</f>
        <v>-3616.67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5166.67</v>
      </c>
      <c r="K754" s="5">
        <f t="shared" si="20"/>
        <v>-5166.67</v>
      </c>
      <c r="L754" s="15" t="s">
        <v>132</v>
      </c>
      <c r="M754" s="44">
        <f>SUMIFS('Saldos Iniciales'!$D$2:$D$38,'Saldos Iniciales'!$A$2:$A$38,C754,'Saldos Iniciales'!$B$2:$B$38,D754)+SUMIFS($K$1:$K$790,$C$1:$C$790,C754,$D$1:$D$790,D754,$B$1:$B$790,"&lt;="&amp;B754)</f>
        <v>1006435.0800000008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5166.67</v>
      </c>
      <c r="P754" s="28">
        <f>IF(tblMovimientos[[#This Row],[Tipo de Movimiento]]="Ingreso",tblMovimientos[[#This Row],[Ingreso]],-tblMovimientos[[#This Row],[Egreso]])</f>
        <v>-5166.67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10</v>
      </c>
      <c r="G755" s="41" t="s">
        <v>46</v>
      </c>
      <c r="H755" s="4" t="str">
        <f>IFERROR(_xlfn.XLOOKUP(G755,Listas!E:E,Listas!F:F,""),"")</f>
        <v>Financiamiento</v>
      </c>
      <c r="I755" s="46" t="str">
        <f>IFERROR(_xlfn.XLOOKUP(G755,Listas!E:E,Listas!G:G,""),"")</f>
        <v>Externo</v>
      </c>
      <c r="J755" s="43">
        <v>12055.56</v>
      </c>
      <c r="K755" s="5">
        <f t="shared" si="20"/>
        <v>-12055.56</v>
      </c>
      <c r="L755" s="15" t="s">
        <v>132</v>
      </c>
      <c r="M755" s="44">
        <f>SUMIFS('Saldos Iniciales'!$D$2:$D$38,'Saldos Iniciales'!$A$2:$A$38,C755,'Saldos Iniciales'!$B$2:$B$38,D755)+SUMIFS($K$1:$K$790,$C$1:$C$790,C755,$D$1:$D$790,D755,$B$1:$B$790,"&lt;="&amp;B755)</f>
        <v>1006435.0800000008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12055.56</v>
      </c>
      <c r="P755" s="28">
        <f>IF(tblMovimientos[[#This Row],[Tipo de Movimiento]]="Ingreso",tblMovimientos[[#This Row],[Ingreso]],-tblMovimientos[[#This Row],[Egreso]])</f>
        <v>-12055.56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10</v>
      </c>
      <c r="G756" s="41" t="s">
        <v>46</v>
      </c>
      <c r="H756" s="4" t="str">
        <f>IFERROR(_xlfn.XLOOKUP(G756,Listas!E:E,Listas!F:F,""),"")</f>
        <v>Financiamiento</v>
      </c>
      <c r="I756" s="46" t="str">
        <f>IFERROR(_xlfn.XLOOKUP(G756,Listas!E:E,Listas!G:G,""),"")</f>
        <v>Externo</v>
      </c>
      <c r="J756" s="43">
        <v>14011.67</v>
      </c>
      <c r="K756" s="5">
        <f t="shared" si="20"/>
        <v>-14011.67</v>
      </c>
      <c r="L756" s="15" t="s">
        <v>132</v>
      </c>
      <c r="M756" s="44">
        <f>SUMIFS('Saldos Iniciales'!$D$2:$D$38,'Saldos Iniciales'!$A$2:$A$38,C756,'Saldos Iniciales'!$B$2:$B$38,D756)+SUMIFS($K$1:$K$790,$C$1:$C$790,C756,$D$1:$D$790,D756,$B$1:$B$790,"&lt;="&amp;B756)</f>
        <v>1006435.0800000008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14011.67</v>
      </c>
      <c r="P756" s="28">
        <f>IF(tblMovimientos[[#This Row],[Tipo de Movimiento]]="Ingreso",tblMovimientos[[#This Row],[Ingreso]],-tblMovimientos[[#This Row],[Egreso]])</f>
        <v>-14011.67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22166.67</v>
      </c>
      <c r="K757" s="5">
        <f t="shared" si="20"/>
        <v>-22166.67</v>
      </c>
      <c r="L757" s="15" t="s">
        <v>132</v>
      </c>
      <c r="M757" s="44">
        <f>SUMIFS('Saldos Iniciales'!$D$2:$D$38,'Saldos Iniciales'!$A$2:$A$38,C757,'Saldos Iniciales'!$B$2:$B$38,D757)+SUMIFS($K$1:$K$790,$C$1:$C$790,C757,$D$1:$D$790,D757,$B$1:$B$790,"&lt;="&amp;B757)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22166.67</v>
      </c>
      <c r="P757" s="28">
        <f>IF(tblMovimientos[[#This Row],[Tipo de Movimiento]]="Ingreso",tblMovimientos[[#This Row],[Ingreso]],-tblMovimientos[[#This Row],[Egreso]])</f>
        <v>-22166.67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24111.11</v>
      </c>
      <c r="K758" s="5">
        <f t="shared" si="20"/>
        <v>-24111.11</v>
      </c>
      <c r="L758" s="15" t="s">
        <v>132</v>
      </c>
      <c r="M758" s="44">
        <f>SUMIFS('Saldos Iniciales'!$D$2:$D$38,'Saldos Iniciales'!$A$2:$A$38,C758,'Saldos Iniciales'!$B$2:$B$38,D758)+SUMIFS($K$1:$K$790,$C$1:$C$790,C758,$D$1:$D$790,D758,$B$1:$B$790,"&lt;="&amp;B758)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24111.11</v>
      </c>
      <c r="P758" s="28">
        <f>IF(tblMovimientos[[#This Row],[Tipo de Movimiento]]="Ingreso",tblMovimientos[[#This Row],[Ingreso]],-tblMovimientos[[#This Row],[Egreso]])</f>
        <v>-24111.11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27083.33</v>
      </c>
      <c r="K759" s="5">
        <f t="shared" si="20"/>
        <v>-27083.33</v>
      </c>
      <c r="L759" s="15" t="s">
        <v>132</v>
      </c>
      <c r="M759" s="44">
        <f>SUMIFS('Saldos Iniciales'!$D$2:$D$38,'Saldos Iniciales'!$A$2:$A$38,C759,'Saldos Iniciales'!$B$2:$B$38,D759)+SUMIFS($K$1:$K$790,$C$1:$C$790,C759,$D$1:$D$790,D759,$B$1:$B$790,"&lt;="&amp;B759)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27083.33</v>
      </c>
      <c r="P759" s="28">
        <f>IF(tblMovimientos[[#This Row],[Tipo de Movimiento]]="Ingreso",tblMovimientos[[#This Row],[Ingreso]],-tblMovimientos[[#This Row],[Egreso]])</f>
        <v>-27083.33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40000</v>
      </c>
      <c r="K760" s="5">
        <f t="shared" si="20"/>
        <v>-40000</v>
      </c>
      <c r="L760" s="15" t="s">
        <v>132</v>
      </c>
      <c r="M760" s="44">
        <f>SUMIFS('Saldos Iniciales'!$D$2:$D$38,'Saldos Iniciales'!$A$2:$A$38,C760,'Saldos Iniciales'!$B$2:$B$38,D760)+SUMIFS($K$1:$K$790,$C$1:$C$790,C760,$D$1:$D$790,D760,$B$1:$B$790,"&lt;="&amp;B760)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40000</v>
      </c>
      <c r="P760" s="28">
        <f>IF(tblMovimientos[[#This Row],[Tipo de Movimiento]]="Ingreso",tblMovimientos[[#This Row],[Ingreso]],-tblMovimientos[[#This Row],[Egreso]])</f>
        <v>-40000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57866.67</v>
      </c>
      <c r="K761" s="5">
        <f t="shared" si="20"/>
        <v>-57866.67</v>
      </c>
      <c r="L761" s="15" t="s">
        <v>132</v>
      </c>
      <c r="M761" s="44">
        <f>SUMIFS('Saldos Iniciales'!$D$2:$D$38,'Saldos Iniciales'!$A$2:$A$38,C761,'Saldos Iniciales'!$B$2:$B$38,D761)+SUMIFS($K$1:$K$790,$C$1:$C$790,C761,$D$1:$D$790,D761,$B$1:$B$790,"&lt;="&amp;B761)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57866.67</v>
      </c>
      <c r="P761" s="28">
        <f>IF(tblMovimientos[[#This Row],[Tipo de Movimiento]]="Ingreso",tblMovimientos[[#This Row],[Ingreso]],-tblMovimientos[[#This Row],[Egreso]])</f>
        <v>-57866.67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60000</v>
      </c>
      <c r="K762" s="5">
        <f t="shared" si="20"/>
        <v>-60000</v>
      </c>
      <c r="L762" s="15" t="s">
        <v>132</v>
      </c>
      <c r="M762" s="44">
        <f>SUMIFS('Saldos Iniciales'!$D$2:$D$38,'Saldos Iniciales'!$A$2:$A$38,C762,'Saldos Iniciales'!$B$2:$B$38,D762)+SUMIFS($K$1:$K$790,$C$1:$C$790,C762,$D$1:$D$790,D762,$B$1:$B$790,"&lt;="&amp;B762)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60000</v>
      </c>
      <c r="P762" s="28">
        <f>IF(tblMovimientos[[#This Row],[Tipo de Movimiento]]="Ingreso",tblMovimientos[[#This Row],[Ingreso]],-tblMovimientos[[#This Row],[Egreso]])</f>
        <v>-60000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72333.33</v>
      </c>
      <c r="K763" s="5">
        <f t="shared" si="20"/>
        <v>-72333.33</v>
      </c>
      <c r="L763" s="15" t="s">
        <v>132</v>
      </c>
      <c r="M763" s="44">
        <f>SUMIFS('Saldos Iniciales'!$D$2:$D$38,'Saldos Iniciales'!$A$2:$A$38,C763,'Saldos Iniciales'!$B$2:$B$38,D763)+SUMIFS($K$1:$K$790,$C$1:$C$790,C763,$D$1:$D$790,D763,$B$1:$B$790,"&lt;="&amp;B763)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72333.33</v>
      </c>
      <c r="P763" s="28">
        <f>IF(tblMovimientos[[#This Row],[Tipo de Movimiento]]="Ingreso",tblMovimientos[[#This Row],[Ingreso]],-tblMovimientos[[#This Row],[Egreso]])</f>
        <v>-72333.33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85594.44</v>
      </c>
      <c r="K764" s="5">
        <f t="shared" si="20"/>
        <v>-85594.44</v>
      </c>
      <c r="L764" s="15" t="s">
        <v>132</v>
      </c>
      <c r="M764" s="44">
        <f>SUMIFS('Saldos Iniciales'!$D$2:$D$38,'Saldos Iniciales'!$A$2:$A$38,C764,'Saldos Iniciales'!$B$2:$B$38,D764)+SUMIFS($K$1:$K$790,$C$1:$C$790,C764,$D$1:$D$790,D764,$B$1:$B$790,"&lt;="&amp;B764)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85594.44</v>
      </c>
      <c r="P764" s="28">
        <f>IF(tblMovimientos[[#This Row],[Tipo de Movimiento]]="Ingreso",tblMovimientos[[#This Row],[Ingreso]],-tblMovimientos[[#This Row],[Egreso]])</f>
        <v>-85594.44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100000</v>
      </c>
      <c r="K765" s="5">
        <f t="shared" si="20"/>
        <v>-100000</v>
      </c>
      <c r="L765" s="15" t="s">
        <v>132</v>
      </c>
      <c r="M765" s="44">
        <f>SUMIFS('Saldos Iniciales'!$D$2:$D$38,'Saldos Iniciales'!$A$2:$A$38,C765,'Saldos Iniciales'!$B$2:$B$38,D765)+SUMIFS($K$1:$K$790,$C$1:$C$790,C765,$D$1:$D$790,D765,$B$1:$B$790,"&lt;="&amp;B765)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100000</v>
      </c>
      <c r="P765" s="28">
        <f>IF(tblMovimientos[[#This Row],[Tipo de Movimiento]]="Ingreso",tblMovimientos[[#This Row],[Ingreso]],-tblMovimientos[[#This Row],[Egreso]])</f>
        <v>-100000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200000</v>
      </c>
      <c r="K766" s="5">
        <f t="shared" si="20"/>
        <v>-200000</v>
      </c>
      <c r="L766" s="15" t="s">
        <v>132</v>
      </c>
      <c r="M766" s="44">
        <f>SUMIFS('Saldos Iniciales'!$D$2:$D$38,'Saldos Iniciales'!$A$2:$A$38,C766,'Saldos Iniciales'!$B$2:$B$38,D766)+SUMIFS($K$1:$K$790,$C$1:$C$790,C766,$D$1:$D$790,D766,$B$1:$B$790,"&lt;="&amp;B766)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200000</v>
      </c>
      <c r="P766" s="28">
        <f>IF(tblMovimientos[[#This Row],[Tipo de Movimiento]]="Ingreso",tblMovimientos[[#This Row],[Ingreso]],-tblMovimientos[[#This Row],[Egreso]])</f>
        <v>-200000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Cross Family Trust</v>
      </c>
      <c r="D767" s="41" t="s">
        <v>111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10000</v>
      </c>
      <c r="K767" s="5">
        <f t="shared" si="20"/>
        <v>-10000</v>
      </c>
      <c r="L767" s="15" t="s">
        <v>132</v>
      </c>
      <c r="M767" s="44">
        <f>SUMIFS('Saldos Iniciales'!$D$2:$D$38,'Saldos Iniciales'!$A$2:$A$38,C767,'Saldos Iniciales'!$B$2:$B$38,D767)+SUMIFS($K$1:$K$790,$C$1:$C$790,C767,$D$1:$D$790,D767,$B$1:$B$790,"&lt;="&amp;B767)</f>
        <v>118717.6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10000</v>
      </c>
      <c r="P767" s="28">
        <f>IF(tblMovimientos[[#This Row],[Tipo de Movimiento]]="Ingreso",tblMovimientos[[#This Row],[Ingreso]],-tblMovimientos[[#This Row],[Egreso]])</f>
        <v>-10000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Cross Family Trust</v>
      </c>
      <c r="D768" s="41" t="s">
        <v>111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53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500000</v>
      </c>
      <c r="K768" s="5">
        <f t="shared" si="20"/>
        <v>-500000</v>
      </c>
      <c r="L768" s="15" t="s">
        <v>132</v>
      </c>
      <c r="M768" s="44">
        <f>SUMIFS('Saldos Iniciales'!$D$2:$D$38,'Saldos Iniciales'!$A$2:$A$38,C768,'Saldos Iniciales'!$B$2:$B$38,D768)+SUMIFS($K$1:$K$790,$C$1:$C$790,C768,$D$1:$D$790,D768,$B$1:$B$790,"&lt;="&amp;B768)</f>
        <v>118717.6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500000</v>
      </c>
      <c r="P768" s="28">
        <f>IF(tblMovimientos[[#This Row],[Tipo de Movimiento]]="Ingreso",tblMovimientos[[#This Row],[Ingreso]],-tblMovimientos[[#This Row],[Egreso]])</f>
        <v>-500000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SSP Capital</v>
      </c>
      <c r="D769" s="41" t="s">
        <v>104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9902.7800000000007</v>
      </c>
      <c r="K769" s="5">
        <f t="shared" si="20"/>
        <v>-9902.7800000000007</v>
      </c>
      <c r="L769" s="15" t="s">
        <v>132</v>
      </c>
      <c r="M769" s="44">
        <f>SUMIFS('Saldos Iniciales'!$D$2:$D$38,'Saldos Iniciales'!$A$2:$A$38,C769,'Saldos Iniciales'!$B$2:$B$38,D769)+SUMIFS($K$1:$K$790,$C$1:$C$790,C769,$D$1:$D$790,D769,$B$1:$B$790,"&lt;="&amp;B769)</f>
        <v>568040.45999999926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9902.7800000000007</v>
      </c>
      <c r="P769" s="28">
        <f>IF(tblMovimientos[[#This Row],[Tipo de Movimiento]]="Ingreso",tblMovimientos[[#This Row],[Ingreso]],-tblMovimientos[[#This Row],[Egreso]])</f>
        <v>-9902.7800000000007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SSP Capital</v>
      </c>
      <c r="D770" s="41" t="s">
        <v>104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55455.56</v>
      </c>
      <c r="K770" s="5">
        <f t="shared" si="20"/>
        <v>-55455.56</v>
      </c>
      <c r="L770" s="15" t="s">
        <v>132</v>
      </c>
      <c r="M770" s="44">
        <f>SUMIFS('Saldos Iniciales'!$D$2:$D$38,'Saldos Iniciales'!$A$2:$A$38,C770,'Saldos Iniciales'!$B$2:$B$38,D770)+SUMIFS($K$1:$K$790,$C$1:$C$790,C770,$D$1:$D$790,D770,$B$1:$B$790,"&lt;="&amp;B770)</f>
        <v>568040.45999999926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55455.56</v>
      </c>
      <c r="P770" s="28">
        <f>IF(tblMovimientos[[#This Row],[Tipo de Movimiento]]="Ingreso",tblMovimientos[[#This Row],[Ingreso]],-tblMovimientos[[#This Row],[Egreso]])</f>
        <v>-55455.56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SSP Capital</v>
      </c>
      <c r="D771" s="41" t="s">
        <v>104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138638.89000000001</v>
      </c>
      <c r="K771" s="5">
        <f t="shared" si="20"/>
        <v>-138638.89000000001</v>
      </c>
      <c r="L771" s="15" t="s">
        <v>132</v>
      </c>
      <c r="M771" s="44">
        <f>SUMIFS('Saldos Iniciales'!$D$2:$D$38,'Saldos Iniciales'!$A$2:$A$38,C771,'Saldos Iniciales'!$B$2:$B$38,D771)+SUMIFS($K$1:$K$790,$C$1:$C$790,C771,$D$1:$D$790,D771,$B$1:$B$790,"&lt;="&amp;B771)</f>
        <v>568040.45999999926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138638.89000000001</v>
      </c>
      <c r="P771" s="28">
        <f>IF(tblMovimientos[[#This Row],[Tipo de Movimiento]]="Ingreso",tblMovimientos[[#This Row],[Ingreso]],-tblMovimientos[[#This Row],[Egreso]])</f>
        <v>-138638.89000000001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Green Harbor Trust</v>
      </c>
      <c r="D772" s="41" t="s">
        <v>125</v>
      </c>
      <c r="E772" s="4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85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20"/>
        <v>10000</v>
      </c>
      <c r="L772" s="15" t="s">
        <v>132</v>
      </c>
      <c r="M772" s="44">
        <f>SUMIFS('Saldos Iniciales'!$D$2:$D$38,'Saldos Iniciales'!$A$2:$A$38,C772,'Saldos Iniciales'!$B$2:$B$38,D772)+SUMIFS($K$1:$K$790,$C$1:$C$790,C772,$D$1:$D$790,D772,$B$1:$B$790,"&lt;="&amp;B772)</f>
        <v>345</v>
      </c>
      <c r="N772" s="65">
        <f>IF(tblMovimientos[[#This Row],[Tipo de Movimiento]]="Ingreso",tblMovimientos[[#This Row],[Monto (S/)]],"0")</f>
        <v>10000</v>
      </c>
      <c r="O772" s="65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Green Harbor Trust</v>
      </c>
      <c r="D773" s="41" t="s">
        <v>125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64</v>
      </c>
      <c r="H773" s="4" t="str">
        <f>IFERROR(_xlfn.XLOOKUP(G773,Listas!E:E,Listas!F:F,""),"")</f>
        <v>Operativo</v>
      </c>
      <c r="I773" s="46" t="str">
        <f>IFERROR(_xlfn.XLOOKUP(G773,Listas!E:E,Listas!G:G,""),"")</f>
        <v>Interno</v>
      </c>
      <c r="J773" s="43">
        <v>10000</v>
      </c>
      <c r="K773" s="5">
        <f t="shared" si="20"/>
        <v>-10000</v>
      </c>
      <c r="L773" s="15" t="s">
        <v>132</v>
      </c>
      <c r="M773" s="44">
        <f>SUMIFS('Saldos Iniciales'!$D$2:$D$38,'Saldos Iniciales'!$A$2:$A$38,C773,'Saldos Iniciales'!$B$2:$B$38,D773)+SUMIFS($K$1:$K$790,$C$1:$C$790,C773,$D$1:$D$790,D773,$B$1:$B$790,"&lt;="&amp;B773)</f>
        <v>345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10000</v>
      </c>
      <c r="P773" s="28">
        <f>IF(tblMovimientos[[#This Row],[Tipo de Movimiento]]="Ingreso",tblMovimientos[[#This Row],[Ingreso]],-tblMovimientos[[#This Row],[Egreso]])</f>
        <v>-10000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Go Blue</v>
      </c>
      <c r="D774" s="41" t="s">
        <v>126</v>
      </c>
      <c r="E774" s="4" t="str">
        <f>_xlfn.XLOOKUP(tblMovimientos[[#This Row],[Cuenta Bancaria]],Listas!$B:$B,Listas!$C:$C,"")</f>
        <v xml:space="preserve">Amerant Bank </v>
      </c>
      <c r="F774" s="41" t="s">
        <v>9</v>
      </c>
      <c r="G774" s="41" t="s">
        <v>85</v>
      </c>
      <c r="H774" s="4" t="str">
        <f>IFERROR(_xlfn.XLOOKUP(G774,Listas!E:E,Listas!F:F,""),"")</f>
        <v>Operativo</v>
      </c>
      <c r="I774" s="46" t="str">
        <f>IFERROR(_xlfn.XLOOKUP(G774,Listas!E:E,Listas!G:G,""),"")</f>
        <v>Interno</v>
      </c>
      <c r="J774" s="43">
        <v>10000</v>
      </c>
      <c r="K774" s="5">
        <f t="shared" si="20"/>
        <v>10000</v>
      </c>
      <c r="L774" s="15" t="s">
        <v>132</v>
      </c>
      <c r="M774" s="44">
        <f>SUMIFS('Saldos Iniciales'!$D$2:$D$38,'Saldos Iniciales'!$A$2:$A$38,C774,'Saldos Iniciales'!$B$2:$B$38,D774)+SUMIFS($K$1:$K$790,$C$1:$C$790,C774,$D$1:$D$790,D774,$B$1:$B$790,"&lt;="&amp;B774)</f>
        <v>12455.609999999997</v>
      </c>
      <c r="N774" s="65">
        <f>IF(tblMovimientos[[#This Row],[Tipo de Movimiento]]="Ingreso",tblMovimientos[[#This Row],[Monto (S/)]],"0")</f>
        <v>10000</v>
      </c>
      <c r="O774" s="65" t="str">
        <f>IF(tblMovimientos[[#This Row],[Tipo de Movimiento]]="Egreso",tblMovimientos[[#This Row],[Monto (S/)]],"0")</f>
        <v>0</v>
      </c>
      <c r="P774" s="28">
        <f>IF(tblMovimientos[[#This Row],[Tipo de Movimiento]]="Ingreso",tblMovimientos[[#This Row],[Ingreso]],-tblMovimientos[[#This Row],[Egreso]])</f>
        <v>10000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Go Blue</v>
      </c>
      <c r="D775" s="41" t="s">
        <v>126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38</v>
      </c>
      <c r="H775" s="4" t="str">
        <f>IFERROR(_xlfn.XLOOKUP(G775,Listas!E:E,Listas!F:F,""),"")</f>
        <v>Operativo</v>
      </c>
      <c r="I775" s="46" t="str">
        <f>IFERROR(_xlfn.XLOOKUP(G775,Listas!E:E,Listas!G:G,""),"")</f>
        <v>Externo</v>
      </c>
      <c r="J775" s="43">
        <v>2500</v>
      </c>
      <c r="K775" s="5">
        <f t="shared" si="20"/>
        <v>-2500</v>
      </c>
      <c r="L775" s="15" t="s">
        <v>132</v>
      </c>
      <c r="M775" s="44">
        <f>SUMIFS('Saldos Iniciales'!$D$2:$D$38,'Saldos Iniciales'!$A$2:$A$38,C775,'Saldos Iniciales'!$B$2:$B$38,D775)+SUMIFS($K$1:$K$790,$C$1:$C$790,C775,$D$1:$D$790,D775,$B$1:$B$790,"&lt;="&amp;B775)</f>
        <v>12455.609999999997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2500</v>
      </c>
      <c r="P775" s="28">
        <f>IF(tblMovimientos[[#This Row],[Tipo de Movimiento]]="Ingreso",tblMovimientos[[#This Row],[Ingreso]],-tblMovimientos[[#This Row],[Egreso]])</f>
        <v>-2500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Go Blue</v>
      </c>
      <c r="D776" s="41" t="s">
        <v>126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44</v>
      </c>
      <c r="H776" s="4" t="str">
        <f>IFERROR(_xlfn.XLOOKUP(G776,Listas!E:E,Listas!F:F,""),"")</f>
        <v>Operativo</v>
      </c>
      <c r="I776" s="46" t="str">
        <f>IFERROR(_xlfn.XLOOKUP(G776,Listas!E:E,Listas!G:G,""),"")</f>
        <v>Externo</v>
      </c>
      <c r="J776" s="43">
        <v>15</v>
      </c>
      <c r="K776" s="5">
        <f t="shared" si="20"/>
        <v>-15</v>
      </c>
      <c r="L776" s="15" t="s">
        <v>132</v>
      </c>
      <c r="M776" s="44">
        <f>SUMIFS('Saldos Iniciales'!$D$2:$D$38,'Saldos Iniciales'!$A$2:$A$38,C776,'Saldos Iniciales'!$B$2:$B$38,D776)+SUMIFS($K$1:$K$790,$C$1:$C$790,C776,$D$1:$D$790,D776,$B$1:$B$790,"&lt;="&amp;B776)</f>
        <v>12455.609999999997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15</v>
      </c>
      <c r="P776" s="28">
        <f>IF(tblMovimientos[[#This Row],[Tipo de Movimiento]]="Ingreso",tblMovimientos[[#This Row],[Ingreso]],-tblMovimientos[[#This Row],[Egreso]])</f>
        <v>-15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Go Blue</v>
      </c>
      <c r="D777" s="41" t="s">
        <v>126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38</v>
      </c>
      <c r="H777" s="4" t="str">
        <f>IFERROR(_xlfn.XLOOKUP(G777,Listas!E:E,Listas!F:F,""),"")</f>
        <v>Operativo</v>
      </c>
      <c r="I777" s="46" t="str">
        <f>IFERROR(_xlfn.XLOOKUP(G777,Listas!E:E,Listas!G:G,""),"")</f>
        <v>Externo</v>
      </c>
      <c r="J777" s="43">
        <v>5199.1400000000003</v>
      </c>
      <c r="K777" s="5">
        <f t="shared" si="20"/>
        <v>-5199.1400000000003</v>
      </c>
      <c r="L777" s="15" t="s">
        <v>132</v>
      </c>
      <c r="M777" s="44">
        <f>SUMIFS('Saldos Iniciales'!$D$2:$D$38,'Saldos Iniciales'!$A$2:$A$38,C777,'Saldos Iniciales'!$B$2:$B$38,D777)+SUMIFS($K$1:$K$790,$C$1:$C$790,C777,$D$1:$D$790,D777,$B$1:$B$790,"&lt;="&amp;B777)</f>
        <v>12455.609999999997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5199.1400000000003</v>
      </c>
      <c r="P777" s="28">
        <f>IF(tblMovimientos[[#This Row],[Tipo de Movimiento]]="Ingreso",tblMovimientos[[#This Row],[Ingreso]],-tblMovimientos[[#This Row],[Egreso]])</f>
        <v>-5199.1400000000003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Go Blue</v>
      </c>
      <c r="D778" s="41" t="s">
        <v>126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44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15</v>
      </c>
      <c r="K778" s="5">
        <f t="shared" si="20"/>
        <v>-15</v>
      </c>
      <c r="L778" s="15" t="s">
        <v>132</v>
      </c>
      <c r="M778" s="44">
        <f>SUMIFS('Saldos Iniciales'!$D$2:$D$38,'Saldos Iniciales'!$A$2:$A$38,C778,'Saldos Iniciales'!$B$2:$B$38,D778)+SUMIFS($K$1:$K$790,$C$1:$C$790,C778,$D$1:$D$790,D778,$B$1:$B$790,"&lt;="&amp;B778)</f>
        <v>12455.609999999997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15</v>
      </c>
      <c r="P778" s="28">
        <f>IF(tblMovimientos[[#This Row],[Tipo de Movimiento]]="Ingreso",tblMovimientos[[#This Row],[Ingreso]],-tblMovimientos[[#This Row],[Egreso]])</f>
        <v>-15</v>
      </c>
    </row>
    <row r="779" spans="1:16" x14ac:dyDescent="0.3">
      <c r="B779" s="39">
        <v>46248</v>
      </c>
      <c r="C779" s="46" t="str">
        <f>_xlfn.XLOOKUP(tblMovimientos[[#This Row],[Cuenta Bancaria]],Listas!$B:$B,Listas!$A:$A,"")</f>
        <v>2515 Overbrook</v>
      </c>
      <c r="D779" s="41" t="s">
        <v>121</v>
      </c>
      <c r="E779" s="75" t="str">
        <f>_xlfn.XLOOKUP(tblMovimientos[[#This Row],[Cuenta Bancaria]],Listas!$B:$B,Listas!$C:$C,"")</f>
        <v>Bank of America</v>
      </c>
      <c r="F779" s="41" t="s">
        <v>10</v>
      </c>
      <c r="G779" s="41" t="s">
        <v>44</v>
      </c>
      <c r="H779" s="4" t="str">
        <f>IFERROR(_xlfn.XLOOKUP(G779,Listas!E:E,Listas!F:F,""),"")</f>
        <v>Operativo</v>
      </c>
      <c r="I779" s="46" t="str">
        <f>IFERROR(_xlfn.XLOOKUP(G779,Listas!E:E,Listas!G:G,""),"")</f>
        <v>Externo</v>
      </c>
      <c r="J779" s="43">
        <v>15</v>
      </c>
      <c r="K779" s="5">
        <f t="shared" ref="K779:K784" si="21">IF(F779="Ingreso",J779,-J779)</f>
        <v>-15</v>
      </c>
      <c r="L779" s="15" t="s">
        <v>132</v>
      </c>
      <c r="M779" s="44">
        <f>SUMIFS('Saldos Iniciales'!$D$2:$D$38,'Saldos Iniciales'!$A$2:$A$38,C779,'Saldos Iniciales'!$B$2:$B$38,D779)+SUMIFS($K$1:$K$790,$C$1:$C$790,C779,$D$1:$D$790,D779,$B$1:$B$790,"&lt;="&amp;B779)</f>
        <v>13375.289999999964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15</v>
      </c>
      <c r="P779" s="28">
        <f>IF(tblMovimientos[[#This Row],[Tipo de Movimiento]]="Ingreso",tblMovimientos[[#This Row],[Ingreso]],-tblMovimientos[[#This Row],[Egreso]])</f>
        <v>-15</v>
      </c>
    </row>
    <row r="780" spans="1:16" x14ac:dyDescent="0.3">
      <c r="B780" s="39">
        <v>46248</v>
      </c>
      <c r="C780" s="46" t="str">
        <f>_xlfn.XLOOKUP(tblMovimientos[[#This Row],[Cuenta Bancaria]],Listas!$B:$B,Listas!$A:$A,"")</f>
        <v>CFT Group</v>
      </c>
      <c r="D780" s="41" t="s">
        <v>95</v>
      </c>
      <c r="E780" s="7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61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100000</v>
      </c>
      <c r="K780" s="5">
        <f t="shared" si="21"/>
        <v>-100000</v>
      </c>
      <c r="L780" s="15" t="s">
        <v>132</v>
      </c>
      <c r="M780" s="44">
        <f>SUMIFS('Saldos Iniciales'!$D$2:$D$38,'Saldos Iniciales'!$A$2:$A$38,C780,'Saldos Iniciales'!$B$2:$B$38,D780)+SUMIFS($K$1:$K$790,$C$1:$C$790,C780,$D$1:$D$790,D780,$B$1:$B$790,"&lt;="&amp;B780)</f>
        <v>906435.08000000077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100000</v>
      </c>
      <c r="P780" s="28">
        <f>IF(tblMovimientos[[#This Row],[Tipo de Movimiento]]="Ingreso",tblMovimientos[[#This Row],[Ingreso]],-tblMovimientos[[#This Row],[Egreso]])</f>
        <v>-100000</v>
      </c>
    </row>
    <row r="781" spans="1:16" x14ac:dyDescent="0.3">
      <c r="B781" s="39">
        <v>46251</v>
      </c>
      <c r="C781" s="46" t="str">
        <f>_xlfn.XLOOKUP(tblMovimientos[[#This Row],[Cuenta Bancaria]],Listas!$B:$B,Listas!$A:$A,"")</f>
        <v>SSP Capital</v>
      </c>
      <c r="D781" s="41" t="s">
        <v>102</v>
      </c>
      <c r="E781" s="75" t="str">
        <f>_xlfn.XLOOKUP(tblMovimientos[[#This Row],[Cuenta Bancaria]],Listas!$B:$B,Listas!$C:$C,"")</f>
        <v>Bank of America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29.75</v>
      </c>
      <c r="K781" s="5">
        <f t="shared" si="21"/>
        <v>-29.75</v>
      </c>
      <c r="L781" s="15" t="s">
        <v>132</v>
      </c>
      <c r="M781" s="44">
        <f>SUMIFS('Saldos Iniciales'!$D$2:$D$38,'Saldos Iniciales'!$A$2:$A$38,C781,'Saldos Iniciales'!$B$2:$B$38,D781)+SUMIFS($K$1:$K$790,$C$1:$C$790,C781,$D$1:$D$790,D781,$B$1:$B$790,"&lt;="&amp;B781)</f>
        <v>1141.0700000000002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29.75</v>
      </c>
      <c r="P781" s="28">
        <f>IF(tblMovimientos[[#This Row],[Tipo de Movimiento]]="Ingreso",tblMovimientos[[#This Row],[Ingreso]],-tblMovimientos[[#This Row],[Egreso]])</f>
        <v>-29.75</v>
      </c>
    </row>
    <row r="782" spans="1:16" x14ac:dyDescent="0.3">
      <c r="B782" s="39">
        <v>46251</v>
      </c>
      <c r="C782" s="46" t="str">
        <f>_xlfn.XLOOKUP(tblMovimientos[[#This Row],[Cuenta Bancaria]],Listas!$B:$B,Listas!$A:$A,"")</f>
        <v>A&amp;M Imports</v>
      </c>
      <c r="D782" s="41" t="s">
        <v>100</v>
      </c>
      <c r="E782" s="75" t="str">
        <f>_xlfn.XLOOKUP(tblMovimientos[[#This Row],[Cuenta Bancaria]],Listas!$B:$B,Listas!$C:$C,"")</f>
        <v>Bank of America</v>
      </c>
      <c r="F782" s="41" t="s">
        <v>10</v>
      </c>
      <c r="G782" s="41" t="s">
        <v>44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420.6</v>
      </c>
      <c r="K782" s="5">
        <f t="shared" si="21"/>
        <v>-420.6</v>
      </c>
      <c r="L782" s="15" t="s">
        <v>132</v>
      </c>
      <c r="M782" s="44">
        <f>SUMIFS('Saldos Iniciales'!$D$2:$D$38,'Saldos Iniciales'!$A$2:$A$38,C782,'Saldos Iniciales'!$B$2:$B$38,D782)+SUMIFS($K$1:$K$790,$C$1:$C$790,C782,$D$1:$D$790,D782,$B$1:$B$790,"&lt;="&amp;B782)</f>
        <v>1289031.3399999999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420.6</v>
      </c>
      <c r="P782" s="28">
        <f>IF(tblMovimientos[[#This Row],[Tipo de Movimiento]]="Ingreso",tblMovimientos[[#This Row],[Ingreso]],-tblMovimientos[[#This Row],[Egreso]])</f>
        <v>-420.6</v>
      </c>
    </row>
    <row r="783" spans="1:16" x14ac:dyDescent="0.3">
      <c r="B783" s="39">
        <v>46251</v>
      </c>
      <c r="C783" s="46" t="str">
        <f>_xlfn.XLOOKUP(tblMovimientos[[#This Row],[Cuenta Bancaria]],Listas!$B:$B,Listas!$A:$A,"")</f>
        <v>SSP Capital</v>
      </c>
      <c r="D783" s="41" t="s">
        <v>104</v>
      </c>
      <c r="E783" s="7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39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34801.339999999997</v>
      </c>
      <c r="K783" s="5">
        <f t="shared" ref="K783:K790" si="22">IF(F783="Ingreso",J783,-J783)</f>
        <v>-34801.339999999997</v>
      </c>
      <c r="L783" s="15" t="s">
        <v>132</v>
      </c>
      <c r="M783" s="44">
        <f>SUMIFS('Saldos Iniciales'!$D$2:$D$38,'Saldos Iniciales'!$A$2:$A$38,C783,'Saldos Iniciales'!$B$2:$B$38,D783)+SUMIFS($K$1:$K$790,$C$1:$C$790,C783,$D$1:$D$790,D783,$B$1:$B$790,"&lt;="&amp;B783)</f>
        <v>533239.1199999993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34801.339999999997</v>
      </c>
      <c r="P783" s="28">
        <f>IF(tblMovimientos[[#This Row],[Tipo de Movimiento]]="Ingreso",tblMovimientos[[#This Row],[Ingreso]],-tblMovimientos[[#This Row],[Egreso]])</f>
        <v>-34801.339999999997</v>
      </c>
    </row>
    <row r="784" spans="1:16" x14ac:dyDescent="0.3">
      <c r="A784" s="45"/>
      <c r="B784" s="39">
        <v>46251</v>
      </c>
      <c r="C784" s="46" t="str">
        <f>_xlfn.XLOOKUP(tblMovimientos[[#This Row],[Cuenta Bancaria]],Listas!$B:$B,Listas!$A:$A,"")</f>
        <v>Go Blue</v>
      </c>
      <c r="D784" s="41" t="s">
        <v>126</v>
      </c>
      <c r="E784" s="7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38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175</v>
      </c>
      <c r="K784" s="5">
        <f t="shared" si="22"/>
        <v>-175</v>
      </c>
      <c r="L784" s="15" t="s">
        <v>132</v>
      </c>
      <c r="M784" s="44">
        <f>SUMIFS('Saldos Iniciales'!$D$2:$D$38,'Saldos Iniciales'!$A$2:$A$38,C784,'Saldos Iniciales'!$B$2:$B$38,D784)+SUMIFS($K$1:$K$790,$C$1:$C$790,C784,$D$1:$D$790,D784,$B$1:$B$790,"&lt;="&amp;B784)</f>
        <v>12280.609999999997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175</v>
      </c>
      <c r="P784" s="28">
        <f>IF(tblMovimientos[[#This Row],[Tipo de Movimiento]]="Ingreso",tblMovimientos[[#This Row],[Ingreso]],-tblMovimientos[[#This Row],[Egreso]])</f>
        <v>-175</v>
      </c>
    </row>
    <row r="785" spans="1:16" x14ac:dyDescent="0.3">
      <c r="B785" s="39">
        <v>46252</v>
      </c>
      <c r="C785" s="46" t="str">
        <f>_xlfn.XLOOKUP(tblMovimientos[[#This Row],[Cuenta Bancaria]],Listas!$B:$B,Listas!$A:$A,"")</f>
        <v>SSP Capital</v>
      </c>
      <c r="D785" s="41" t="s">
        <v>101</v>
      </c>
      <c r="E785" s="75" t="str">
        <f>_xlfn.XLOOKUP(tblMovimientos[[#This Row],[Cuenta Bancaria]],Listas!$B:$B,Listas!$C:$C,"")</f>
        <v>Bank of America</v>
      </c>
      <c r="F785" s="41" t="s">
        <v>10</v>
      </c>
      <c r="G785" s="41" t="s">
        <v>38</v>
      </c>
      <c r="H785" s="77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2490.36</v>
      </c>
      <c r="K785" s="5">
        <f t="shared" si="22"/>
        <v>-2490.36</v>
      </c>
      <c r="L785" s="15" t="s">
        <v>132</v>
      </c>
      <c r="M785" s="44">
        <f>SUMIFS('Saldos Iniciales'!$D$2:$D$38,'Saldos Iniciales'!$A$2:$A$38,C785,'Saldos Iniciales'!$B$2:$B$38,D785)+SUMIFS($K$1:$K$790,$C$1:$C$790,C785,$D$1:$D$790,D785,$B$1:$B$790,"&lt;="&amp;B785)</f>
        <v>28347.43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2490.36</v>
      </c>
      <c r="P785" s="28">
        <f>IF(tblMovimientos[[#This Row],[Tipo de Movimiento]]="Ingreso",tblMovimientos[[#This Row],[Ingreso]],-tblMovimientos[[#This Row],[Egreso]])</f>
        <v>-2490.36</v>
      </c>
    </row>
    <row r="786" spans="1:16" x14ac:dyDescent="0.3">
      <c r="B786" s="39">
        <v>46252</v>
      </c>
      <c r="C786" s="46" t="str">
        <f>_xlfn.XLOOKUP(tblMovimientos[[#This Row],[Cuenta Bancaria]],Listas!$B:$B,Listas!$A:$A,"")</f>
        <v>CFT Group</v>
      </c>
      <c r="D786" s="41" t="s">
        <v>94</v>
      </c>
      <c r="E786" s="75" t="str">
        <f>_xlfn.XLOOKUP(tblMovimientos[[#This Row],[Cuenta Bancaria]],Listas!$B:$B,Listas!$C:$C,"")</f>
        <v>Bank of America</v>
      </c>
      <c r="F786" s="41" t="s">
        <v>9</v>
      </c>
      <c r="G786" s="41" t="s">
        <v>68</v>
      </c>
      <c r="H786" s="77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105861.78</v>
      </c>
      <c r="K786" s="5">
        <f t="shared" si="22"/>
        <v>105861.78</v>
      </c>
      <c r="L786" s="15" t="s">
        <v>132</v>
      </c>
      <c r="M786" s="44">
        <f>SUMIFS('Saldos Iniciales'!$D$2:$D$38,'Saldos Iniciales'!$A$2:$A$38,C786,'Saldos Iniciales'!$B$2:$B$38,D786)+SUMIFS($K$1:$K$790,$C$1:$C$790,C786,$D$1:$D$790,D786,$B$1:$B$790,"&lt;="&amp;B786)</f>
        <v>135413.04999999999</v>
      </c>
      <c r="N786" s="65">
        <f>IF(tblMovimientos[[#This Row],[Tipo de Movimiento]]="Ingreso",tblMovimientos[[#This Row],[Monto (S/)]],"0")</f>
        <v>105861.78</v>
      </c>
      <c r="O786" s="65" t="str">
        <f>IF(tblMovimientos[[#This Row],[Tipo de Movimiento]]="Egreso",tblMovimientos[[#This Row],[Monto (S/)]],"0")</f>
        <v>0</v>
      </c>
      <c r="P786" s="28">
        <f>IF(tblMovimientos[[#This Row],[Tipo de Movimiento]]="Ingreso",tblMovimientos[[#This Row],[Ingreso]],-tblMovimientos[[#This Row],[Egreso]])</f>
        <v>105861.78</v>
      </c>
    </row>
    <row r="787" spans="1:16" x14ac:dyDescent="0.3">
      <c r="B787" s="39">
        <v>46246</v>
      </c>
      <c r="C787" s="46" t="str">
        <f>_xlfn.XLOOKUP(tblMovimientos[[#This Row],[Cuenta Bancaria]],Listas!$B:$B,Listas!$A:$A,"")</f>
        <v>Soweto</v>
      </c>
      <c r="D787" s="41" t="s">
        <v>116</v>
      </c>
      <c r="E787" s="75" t="str">
        <f>_xlfn.XLOOKUP(tblMovimientos[[#This Row],[Cuenta Bancaria]],Listas!$B:$B,Listas!$C:$C,"")</f>
        <v>Citibank</v>
      </c>
      <c r="F787" s="41" t="s">
        <v>10</v>
      </c>
      <c r="G787" s="41" t="s">
        <v>60</v>
      </c>
      <c r="H787" s="77" t="str">
        <f>IFERROR(_xlfn.XLOOKUP(G787,Listas!E:E,Listas!F:F,""),"")</f>
        <v>Inversion</v>
      </c>
      <c r="I787" s="46" t="str">
        <f>IFERROR(_xlfn.XLOOKUP(G787,Listas!E:E,Listas!G:G,""),"")</f>
        <v>Interno</v>
      </c>
      <c r="J787" s="43">
        <v>560000</v>
      </c>
      <c r="K787" s="5">
        <f t="shared" si="22"/>
        <v>-560000</v>
      </c>
      <c r="L787" s="15" t="s">
        <v>132</v>
      </c>
      <c r="M787" s="44">
        <f>SUMIFS('Saldos Iniciales'!$D$2:$D$38,'Saldos Iniciales'!$A$2:$A$38,C787,'Saldos Iniciales'!$B$2:$B$38,D787)+SUMIFS($K$1:$K$790,$C$1:$C$790,C787,$D$1:$D$790,D787,$B$1:$B$790,"&lt;="&amp;B787)</f>
        <v>754589.72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560000</v>
      </c>
      <c r="P787" s="28">
        <f>IF(tblMovimientos[[#This Row],[Tipo de Movimiento]]="Ingreso",tblMovimientos[[#This Row],[Ingreso]],-tblMovimientos[[#This Row],[Egreso]])</f>
        <v>-560000</v>
      </c>
    </row>
    <row r="788" spans="1:16" x14ac:dyDescent="0.3">
      <c r="B788" s="39">
        <v>46246</v>
      </c>
      <c r="C788" s="46" t="str">
        <f>_xlfn.XLOOKUP(tblMovimientos[[#This Row],[Cuenta Bancaria]],Listas!$B:$B,Listas!$A:$A,"")</f>
        <v>Soweto</v>
      </c>
      <c r="D788" s="41" t="s">
        <v>116</v>
      </c>
      <c r="E788" s="75" t="str">
        <f>_xlfn.XLOOKUP(tblMovimientos[[#This Row],[Cuenta Bancaria]],Listas!$B:$B,Listas!$C:$C,"")</f>
        <v>Citibank</v>
      </c>
      <c r="F788" s="41" t="s">
        <v>10</v>
      </c>
      <c r="G788" s="41" t="s">
        <v>60</v>
      </c>
      <c r="H788" s="77" t="str">
        <f>IFERROR(_xlfn.XLOOKUP(G788,Listas!E:E,Listas!F:F,""),"")</f>
        <v>Inversion</v>
      </c>
      <c r="I788" s="46" t="str">
        <f>IFERROR(_xlfn.XLOOKUP(G788,Listas!E:E,Listas!G:G,""),"")</f>
        <v>Interno</v>
      </c>
      <c r="J788" s="43">
        <v>70000</v>
      </c>
      <c r="K788" s="5">
        <f t="shared" si="22"/>
        <v>-70000</v>
      </c>
      <c r="L788" s="15" t="s">
        <v>132</v>
      </c>
      <c r="M788" s="44">
        <f>SUMIFS('Saldos Iniciales'!$D$2:$D$38,'Saldos Iniciales'!$A$2:$A$38,C788,'Saldos Iniciales'!$B$2:$B$38,D788)+SUMIFS($K$1:$K$790,$C$1:$C$790,C788,$D$1:$D$790,D788,$B$1:$B$790,"&lt;="&amp;B788)</f>
        <v>754589.72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70000</v>
      </c>
      <c r="P788" s="28">
        <f>IF(tblMovimientos[[#This Row],[Tipo de Movimiento]]="Ingreso",tblMovimientos[[#This Row],[Ingreso]],-tblMovimientos[[#This Row],[Egreso]])</f>
        <v>-70000</v>
      </c>
    </row>
    <row r="789" spans="1:16" x14ac:dyDescent="0.3">
      <c r="B789" s="39">
        <v>46246</v>
      </c>
      <c r="C789" s="46" t="str">
        <f>_xlfn.XLOOKUP(tblMovimientos[[#This Row],[Cuenta Bancaria]],Listas!$B:$B,Listas!$A:$A,"")</f>
        <v>Soweto</v>
      </c>
      <c r="D789" s="41" t="s">
        <v>116</v>
      </c>
      <c r="E789" s="75" t="str">
        <f>_xlfn.XLOOKUP(tblMovimientos[[#This Row],[Cuenta Bancaria]],Listas!$B:$B,Listas!$C:$C,"")</f>
        <v>Citibank</v>
      </c>
      <c r="F789" s="41" t="s">
        <v>10</v>
      </c>
      <c r="G789" s="41" t="s">
        <v>60</v>
      </c>
      <c r="H789" s="77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70000</v>
      </c>
      <c r="K789" s="5">
        <f t="shared" si="22"/>
        <v>-70000</v>
      </c>
      <c r="L789" s="15" t="s">
        <v>132</v>
      </c>
      <c r="M789" s="44">
        <f>SUMIFS('Saldos Iniciales'!$D$2:$D$38,'Saldos Iniciales'!$A$2:$A$38,C789,'Saldos Iniciales'!$B$2:$B$38,D789)+SUMIFS($K$1:$K$790,$C$1:$C$790,C789,$D$1:$D$790,D789,$B$1:$B$790,"&lt;="&amp;B789)</f>
        <v>754589.72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70000</v>
      </c>
      <c r="P789" s="28">
        <f>IF(tblMovimientos[[#This Row],[Tipo de Movimiento]]="Ingreso",tblMovimientos[[#This Row],[Ingreso]],-tblMovimientos[[#This Row],[Egreso]])</f>
        <v>-70000</v>
      </c>
    </row>
    <row r="790" spans="1:16" x14ac:dyDescent="0.3">
      <c r="A790" s="45"/>
      <c r="B790" s="78">
        <v>46246</v>
      </c>
      <c r="C790" s="46" t="str">
        <f>_xlfn.XLOOKUP(tblMovimientos[[#This Row],[Cuenta Bancaria]],Listas!$B:$B,Listas!$A:$A,"")</f>
        <v>Cross Security Trust</v>
      </c>
      <c r="D790" s="79" t="s">
        <v>112</v>
      </c>
      <c r="E790" s="76" t="str">
        <f>_xlfn.XLOOKUP(tblMovimientos[[#This Row],[Cuenta Bancaria]],Listas!$B:$B,Listas!$C:$C,"")</f>
        <v>Bank of America</v>
      </c>
      <c r="F790" s="79" t="s">
        <v>9</v>
      </c>
      <c r="G790" s="79" t="s">
        <v>79</v>
      </c>
      <c r="H790" s="80" t="str">
        <f>IFERROR(_xlfn.XLOOKUP(G790,Listas!E:E,Listas!F:F,""),"")</f>
        <v>Inversion</v>
      </c>
      <c r="I790" s="46" t="str">
        <f>IFERROR(_xlfn.XLOOKUP(G790,Listas!E:E,Listas!G:G,""),"")</f>
        <v>Externo</v>
      </c>
      <c r="J790" s="81">
        <v>70000</v>
      </c>
      <c r="K790" s="5">
        <f t="shared" si="22"/>
        <v>70000</v>
      </c>
      <c r="L790" s="15" t="s">
        <v>132</v>
      </c>
      <c r="M790" s="44">
        <f>SUMIFS('Saldos Iniciales'!$D$2:$D$38,'Saldos Iniciales'!$A$2:$A$38,C790,'Saldos Iniciales'!$B$2:$B$38,D790)+SUMIFS($K$1:$K$790,$C$1:$C$790,C790,$D$1:$D$790,D790,$B$1:$B$790,"&lt;="&amp;B790)</f>
        <v>158090.37</v>
      </c>
      <c r="N790" s="65">
        <f>IF(tblMovimientos[[#This Row],[Tipo de Movimiento]]="Ingreso",tblMovimientos[[#This Row],[Monto (S/)]],"0")</f>
        <v>70000</v>
      </c>
      <c r="O790" s="65" t="str">
        <f>IF(tblMovimientos[[#This Row],[Tipo de Movimiento]]="Egreso",tblMovimientos[[#This Row],[Monto (S/)]],"0")</f>
        <v>0</v>
      </c>
      <c r="P790" s="28">
        <f>IF(tblMovimientos[[#This Row],[Tipo de Movimiento]]="Ingreso",tblMovimientos[[#This Row],[Ingreso]],-tblMovimientos[[#This Row],[Egreso]])</f>
        <v>70000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C2:C790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G2:G790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F2:F790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1277465.2000000007</v>
      </c>
      <c r="E2" s="37">
        <f>C2+D2</f>
        <v>1694143.4600000004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1305890.9700000077</v>
      </c>
      <c r="E3" s="37">
        <f t="shared" ref="E3:E9" si="0">C3+D3</f>
        <v>2473192.5000000075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SUMIFS(Movimientos!$J$1:$J$790,Movimientos!$C$1:$C$790,$B2,Movimientos!$D$1:$D$790,$C2,Movimientos!$L$1:$L$790,A$3,Movimientos!$F$1:$F$790,"Ingreso")</f>
        <v>490932.83999999997</v>
      </c>
      <c r="K2" s="44">
        <f>SUMIFS(Movimientos!$J$1:$J$790,Movimientos!$C$1:$C$790,$B2,Movimientos!$D$1:$D$790,$C2,Movimientos!$L$1:$L$790,A$3,Movimientos!$F$1:$F$790,"Egreso")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SUMIFS(Movimientos!$J$1:$J$790,Movimientos!$C$1:$C$790,$B2,Movimientos!$D$1:$D$790,$C2,Movimientos!$L$1:$L$790,A$4,Movimientos!$F$1:$F$790,"Ingreso")</f>
        <v>215870.71999999997</v>
      </c>
      <c r="P2" s="44">
        <f>SUMIFS(Movimientos!$J$1:$J$790,Movimientos!$C$1:$C$790,$B2,Movimientos!$D$1:$D$790,$C2,Movimientos!$L$1:$L$790,A$4,Movimientos!$F$1:$F$790,"Egreso")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SUMIFS(Movimientos!$J$1:$J$790,Movimientos!$C$1:$C$790,$B2,Movimientos!$D$1:$D$790,$C2,Movimientos!$L$1:$L$790,A$5,Movimientos!$F$1:$F$790,"Ingreso")</f>
        <v>212548.35</v>
      </c>
      <c r="U2" s="44">
        <f>SUMIFS(Movimientos!$J$1:$J$790,Movimientos!$C$1:$C$790,$B2,Movimientos!$D$1:$D$790,$C2,Movimientos!$L$1:$L$790,A$5,Movimientos!$F$1:$F$790,"Egreso")</f>
        <v>310000</v>
      </c>
      <c r="V2" s="7">
        <f>+T2-U2</f>
        <v>-97451.65</v>
      </c>
      <c r="W2" s="12">
        <f>S2+T2-U2</f>
        <v>135413.05000000016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SUMIFS(Movimientos!$J$1:$J$790,Movimientos!$C$1:$C$790,$B3,Movimientos!$D$1:$D$790,$C3,Movimientos!$L$1:$L$790,A$3,Movimientos!$F$1:$F$790,"Ingreso")</f>
        <v>8947382.8399999999</v>
      </c>
      <c r="K3" s="44">
        <f>SUMIFS(Movimientos!$J$1:$J$790,Movimientos!$C$1:$C$790,$B3,Movimientos!$D$1:$D$790,$C3,Movimientos!$L$1:$L$790,A$3,Movimientos!$F$1:$F$790,"Egreso")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SUMIFS(Movimientos!$J$1:$J$790,Movimientos!$C$1:$C$790,$B3,Movimientos!$D$1:$D$790,$C3,Movimientos!$L$1:$L$790,A$4,Movimientos!$F$1:$F$790,"Ingreso")</f>
        <v>250000</v>
      </c>
      <c r="P3" s="44">
        <f>SUMIFS(Movimientos!$J$1:$J$790,Movimientos!$C$1:$C$790,$B3,Movimientos!$D$1:$D$790,$C3,Movimientos!$L$1:$L$790,A$4,Movimientos!$F$1:$F$790,"Egreso")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SUMIFS(Movimientos!$J$1:$J$790,Movimientos!$C$1:$C$790,$B3,Movimientos!$D$1:$D$790,$C3,Movimientos!$L$1:$L$790,A$5,Movimientos!$F$1:$F$790,"Ingreso")</f>
        <v>818088.19</v>
      </c>
      <c r="U3" s="44">
        <f>SUMIFS(Movimientos!$J$1:$J$790,Movimientos!$C$1:$C$790,$B3,Movimientos!$D$1:$D$790,$C3,Movimientos!$L$1:$L$790,A$5,Movimientos!$F$1:$F$790,"Egreso")</f>
        <v>2141564.46</v>
      </c>
      <c r="V3" s="7">
        <f t="shared" ref="V3:V35" si="2">+T3-U3</f>
        <v>-1323476.27</v>
      </c>
      <c r="W3" s="12">
        <f>S3+T3-U3</f>
        <v>906435.07999999961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SUMIFS(Movimientos!$J$1:$J$790,Movimientos!$C$1:$C$790,$B4,Movimientos!$D$1:$D$790,$C4,Movimientos!$L$1:$L$790,A$3,Movimientos!$F$1:$F$790,"Ingreso")</f>
        <v>0</v>
      </c>
      <c r="K4" s="44">
        <f>SUMIFS(Movimientos!$J$1:$J$790,Movimientos!$C$1:$C$790,$B4,Movimientos!$D$1:$D$790,$C4,Movimientos!$L$1:$L$790,A$3,Movimientos!$F$1:$F$790,"Egreso")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SUMIFS(Movimientos!$J$1:$J$790,Movimientos!$C$1:$C$790,$B4,Movimientos!$D$1:$D$790,$C4,Movimientos!$L$1:$L$790,A$4,Movimientos!$F$1:$F$790,"Ingreso")</f>
        <v>0</v>
      </c>
      <c r="P4" s="44">
        <f>SUMIFS(Movimientos!$J$1:$J$790,Movimientos!$C$1:$C$790,$B4,Movimientos!$D$1:$D$790,$C4,Movimientos!$L$1:$L$790,A$4,Movimientos!$F$1:$F$790,"Egreso")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SUMIFS(Movimientos!$J$1:$J$790,Movimientos!$C$1:$C$790,$B4,Movimientos!$D$1:$D$790,$C4,Movimientos!$L$1:$L$790,A$5,Movimientos!$F$1:$F$790,"Ingreso")</f>
        <v>0</v>
      </c>
      <c r="U4" s="44">
        <f>SUMIFS(Movimientos!$J$1:$J$790,Movimientos!$C$1:$C$790,$B4,Movimientos!$D$1:$D$790,$C4,Movimientos!$L$1:$L$790,A$5,Movimientos!$F$1:$F$790,"Egreso")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SUMIFS(Movimientos!$J$1:$J$790,Movimientos!$C$1:$C$790,$B5,Movimientos!$D$1:$D$790,$C5,Movimientos!$L$1:$L$790,A$3,Movimientos!$F$1:$F$790,"Ingreso")</f>
        <v>16742.400000000001</v>
      </c>
      <c r="K5" s="44">
        <f>SUMIFS(Movimientos!$J$1:$J$790,Movimientos!$C$1:$C$790,$B5,Movimientos!$D$1:$D$790,$C5,Movimientos!$L$1:$L$790,A$3,Movimientos!$F$1:$F$790,"Egreso")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SUMIFS(Movimientos!$J$1:$J$790,Movimientos!$C$1:$C$790,$B5,Movimientos!$D$1:$D$790,$C5,Movimientos!$L$1:$L$790,A$4,Movimientos!$F$1:$F$790,"Ingreso")</f>
        <v>10053.57</v>
      </c>
      <c r="P5" s="44">
        <f>SUMIFS(Movimientos!$J$1:$J$790,Movimientos!$C$1:$C$790,$B5,Movimientos!$D$1:$D$790,$C5,Movimientos!$L$1:$L$790,A$4,Movimientos!$F$1:$F$790,"Egreso")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SUMIFS(Movimientos!$J$1:$J$790,Movimientos!$C$1:$C$790,$B5,Movimientos!$D$1:$D$790,$C5,Movimientos!$L$1:$L$790,A$5,Movimientos!$F$1:$F$790,"Ingreso")</f>
        <v>0</v>
      </c>
      <c r="U5" s="44">
        <f>SUMIFS(Movimientos!$J$1:$J$790,Movimientos!$C$1:$C$790,$B5,Movimientos!$D$1:$D$790,$C5,Movimientos!$L$1:$L$790,A$5,Movimientos!$F$1:$F$790,"Egreso")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SUMIFS(Movimientos!$J$1:$J$790,Movimientos!$C$1:$C$790,$B6,Movimientos!$D$1:$D$790,$C6,Movimientos!$L$1:$L$790,A$3,Movimientos!$F$1:$F$790,"Ingreso")</f>
        <v>0</v>
      </c>
      <c r="K6" s="44">
        <f>SUMIFS(Movimientos!$J$1:$J$790,Movimientos!$C$1:$C$790,$B6,Movimientos!$D$1:$D$790,$C6,Movimientos!$L$1:$L$790,A$3,Movimientos!$F$1:$F$790,"Egreso")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SUMIFS(Movimientos!$J$1:$J$790,Movimientos!$C$1:$C$790,$B6,Movimientos!$D$1:$D$790,$C6,Movimientos!$L$1:$L$790,A$4,Movimientos!$F$1:$F$790,"Ingreso")</f>
        <v>0</v>
      </c>
      <c r="P6" s="44">
        <f>SUMIFS(Movimientos!$J$1:$J$790,Movimientos!$C$1:$C$790,$B6,Movimientos!$D$1:$D$790,$C6,Movimientos!$L$1:$L$790,A$4,Movimientos!$F$1:$F$790,"Egreso")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SUMIFS(Movimientos!$J$1:$J$790,Movimientos!$C$1:$C$790,$B6,Movimientos!$D$1:$D$790,$C6,Movimientos!$L$1:$L$790,A$5,Movimientos!$F$1:$F$790,"Ingreso")</f>
        <v>0</v>
      </c>
      <c r="U6" s="44">
        <f>SUMIFS(Movimientos!$J$1:$J$790,Movimientos!$C$1:$C$790,$B6,Movimientos!$D$1:$D$790,$C6,Movimientos!$L$1:$L$790,A$5,Movimientos!$F$1:$F$790,"Egreso")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SUMIFS(Movimientos!$J$1:$J$790,Movimientos!$C$1:$C$790,$B7,Movimientos!$D$1:$D$790,$C7,Movimientos!$L$1:$L$790,A$3,Movimientos!$F$1:$F$790,"Ingreso")</f>
        <v>0</v>
      </c>
      <c r="K7" s="44">
        <f>SUMIFS(Movimientos!$J$1:$J$790,Movimientos!$C$1:$C$790,$B7,Movimientos!$D$1:$D$790,$C7,Movimientos!$L$1:$L$790,A$3,Movimientos!$F$1:$F$790,"Egreso")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SUMIFS(Movimientos!$J$1:$J$790,Movimientos!$C$1:$C$790,$B7,Movimientos!$D$1:$D$790,$C7,Movimientos!$L$1:$L$790,A$4,Movimientos!$F$1:$F$790,"Ingreso")</f>
        <v>0</v>
      </c>
      <c r="P7" s="44">
        <f>SUMIFS(Movimientos!$J$1:$J$790,Movimientos!$C$1:$C$790,$B7,Movimientos!$D$1:$D$790,$C7,Movimientos!$L$1:$L$790,A$4,Movimientos!$F$1:$F$790,"Egreso")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SUMIFS(Movimientos!$J$1:$J$790,Movimientos!$C$1:$C$790,$B7,Movimientos!$D$1:$D$790,$C7,Movimientos!$L$1:$L$790,A$5,Movimientos!$F$1:$F$790,"Ingreso")</f>
        <v>0</v>
      </c>
      <c r="U7" s="44">
        <f>SUMIFS(Movimientos!$J$1:$J$790,Movimientos!$C$1:$C$790,$B7,Movimientos!$D$1:$D$790,$C7,Movimientos!$L$1:$L$790,A$5,Movimientos!$F$1:$F$790,"Egreso")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SUMIFS(Movimientos!$J$1:$J$790,Movimientos!$C$1:$C$790,$B8,Movimientos!$D$1:$D$790,$C8,Movimientos!$L$1:$L$790,A$3,Movimientos!$F$1:$F$790,"Ingreso")</f>
        <v>440602.39</v>
      </c>
      <c r="K8" s="44">
        <f>SUMIFS(Movimientos!$J$1:$J$790,Movimientos!$C$1:$C$790,$B8,Movimientos!$D$1:$D$790,$C8,Movimientos!$L$1:$L$790,A$3,Movimientos!$F$1:$F$790,"Egreso")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SUMIFS(Movimientos!$J$1:$J$790,Movimientos!$C$1:$C$790,$B8,Movimientos!$D$1:$D$790,$C8,Movimientos!$L$1:$L$790,A$4,Movimientos!$F$1:$F$790,"Ingreso")</f>
        <v>1306812.04</v>
      </c>
      <c r="P8" s="44">
        <f>SUMIFS(Movimientos!$J$1:$J$790,Movimientos!$C$1:$C$790,$B8,Movimientos!$D$1:$D$790,$C8,Movimientos!$L$1:$L$790,A$4,Movimientos!$F$1:$F$790,"Egreso")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SUMIFS(Movimientos!$J$1:$J$790,Movimientos!$C$1:$C$790,$B8,Movimientos!$D$1:$D$790,$C8,Movimientos!$L$1:$L$790,A$5,Movimientos!$F$1:$F$790,"Ingreso")</f>
        <v>0</v>
      </c>
      <c r="U8" s="44">
        <f>SUMIFS(Movimientos!$J$1:$J$790,Movimientos!$C$1:$C$790,$B8,Movimientos!$D$1:$D$790,$C8,Movimientos!$L$1:$L$790,A$5,Movimientos!$F$1:$F$790,"Egreso")</f>
        <v>169394.69999999998</v>
      </c>
      <c r="V8" s="7">
        <f t="shared" si="2"/>
        <v>-169394.69999999998</v>
      </c>
      <c r="W8" s="12">
        <f t="shared" si="9"/>
        <v>1289031.3399999996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SUMIFS(Movimientos!$J$1:$J$790,Movimientos!$C$1:$C$790,$B9,Movimientos!$D$1:$D$790,$C9,Movimientos!$L$1:$L$790,A$3,Movimientos!$F$1:$F$790,"Ingreso")</f>
        <v>15307.88</v>
      </c>
      <c r="K9" s="44">
        <f>SUMIFS(Movimientos!$J$1:$J$790,Movimientos!$C$1:$C$790,$B9,Movimientos!$D$1:$D$790,$C9,Movimientos!$L$1:$L$790,A$3,Movimientos!$F$1:$F$790,"Egreso")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SUMIFS(Movimientos!$J$1:$J$790,Movimientos!$C$1:$C$790,$B9,Movimientos!$D$1:$D$790,$C9,Movimientos!$L$1:$L$790,A$4,Movimientos!$F$1:$F$790,"Ingreso")</f>
        <v>15280.15</v>
      </c>
      <c r="P9" s="44">
        <f>SUMIFS(Movimientos!$J$1:$J$790,Movimientos!$C$1:$C$790,$B9,Movimientos!$D$1:$D$790,$C9,Movimientos!$L$1:$L$790,A$4,Movimientos!$F$1:$F$790,"Egreso")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SUMIFS(Movimientos!$J$1:$J$790,Movimientos!$C$1:$C$790,$B9,Movimientos!$D$1:$D$790,$C9,Movimientos!$L$1:$L$790,A$5,Movimientos!$F$1:$F$790,"Ingreso")</f>
        <v>35280.15</v>
      </c>
      <c r="U9" s="44">
        <f>SUMIFS(Movimientos!$J$1:$J$790,Movimientos!$C$1:$C$790,$B9,Movimientos!$D$1:$D$790,$C9,Movimientos!$L$1:$L$790,A$5,Movimientos!$F$1:$F$790,"Egreso")</f>
        <v>12077.49</v>
      </c>
      <c r="V9" s="7">
        <f t="shared" si="2"/>
        <v>23202.660000000003</v>
      </c>
      <c r="W9" s="12">
        <f t="shared" si="9"/>
        <v>28347.43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SUMIFS(Movimientos!$J$1:$J$790,Movimientos!$C$1:$C$790,$B10,Movimientos!$D$1:$D$790,$C10,Movimientos!$L$1:$L$790,A$3,Movimientos!$F$1:$F$790,"Ingreso")</f>
        <v>0</v>
      </c>
      <c r="K10" s="44">
        <f>SUMIFS(Movimientos!$J$1:$J$790,Movimientos!$C$1:$C$790,$B10,Movimientos!$D$1:$D$790,$C10,Movimientos!$L$1:$L$790,A$3,Movimientos!$F$1:$F$790,"Egreso")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SUMIFS(Movimientos!$J$1:$J$790,Movimientos!$C$1:$C$790,$B10,Movimientos!$D$1:$D$790,$C10,Movimientos!$L$1:$L$790,A$4,Movimientos!$F$1:$F$790,"Ingreso")</f>
        <v>1000</v>
      </c>
      <c r="P10" s="44">
        <f>SUMIFS(Movimientos!$J$1:$J$790,Movimientos!$C$1:$C$790,$B10,Movimientos!$D$1:$D$790,$C10,Movimientos!$L$1:$L$790,A$4,Movimientos!$F$1:$F$790,"Egreso")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SUMIFS(Movimientos!$J$1:$J$790,Movimientos!$C$1:$C$790,$B10,Movimientos!$D$1:$D$790,$C10,Movimientos!$L$1:$L$790,A$5,Movimientos!$F$1:$F$790,"Ingreso")</f>
        <v>0</v>
      </c>
      <c r="U10" s="44">
        <f>SUMIFS(Movimientos!$J$1:$J$790,Movimientos!$C$1:$C$790,$B10,Movimientos!$D$1:$D$790,$C10,Movimientos!$L$1:$L$790,A$5,Movimientos!$F$1:$F$790,"Egreso")</f>
        <v>29.75</v>
      </c>
      <c r="V10" s="7">
        <f t="shared" si="2"/>
        <v>-29.75</v>
      </c>
      <c r="W10" s="12">
        <f t="shared" si="9"/>
        <v>1141.0700000000002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SUMIFS(Movimientos!$J$1:$J$790,Movimientos!$C$1:$C$790,$B11,Movimientos!$D$1:$D$790,$C11,Movimientos!$L$1:$L$790,A$3,Movimientos!$F$1:$F$790,"Ingreso")</f>
        <v>0</v>
      </c>
      <c r="K11" s="44">
        <f>SUMIFS(Movimientos!$J$1:$J$790,Movimientos!$C$1:$C$790,$B11,Movimientos!$D$1:$D$790,$C11,Movimientos!$L$1:$L$790,A$3,Movimientos!$F$1:$F$790,"Egreso")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SUMIFS(Movimientos!$J$1:$J$790,Movimientos!$C$1:$C$790,$B11,Movimientos!$D$1:$D$790,$C11,Movimientos!$L$1:$L$790,A$4,Movimientos!$F$1:$F$790,"Ingreso")</f>
        <v>0</v>
      </c>
      <c r="P11" s="44">
        <f>SUMIFS(Movimientos!$J$1:$J$790,Movimientos!$C$1:$C$790,$B11,Movimientos!$D$1:$D$790,$C11,Movimientos!$L$1:$L$790,A$4,Movimientos!$F$1:$F$790,"Egreso")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SUMIFS(Movimientos!$J$1:$J$790,Movimientos!$C$1:$C$790,$B11,Movimientos!$D$1:$D$790,$C11,Movimientos!$L$1:$L$790,A$5,Movimientos!$F$1:$F$790,"Ingreso")</f>
        <v>0</v>
      </c>
      <c r="U11" s="44">
        <f>SUMIFS(Movimientos!$J$1:$J$790,Movimientos!$C$1:$C$790,$B11,Movimientos!$D$1:$D$790,$C11,Movimientos!$L$1:$L$790,A$5,Movimientos!$F$1:$F$790,"Egreso")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SUMIFS(Movimientos!$J$1:$J$790,Movimientos!$C$1:$C$790,$B12,Movimientos!$D$1:$D$790,$C12,Movimientos!$L$1:$L$790,A$3,Movimientos!$F$1:$F$790,"Ingreso")</f>
        <v>4970000</v>
      </c>
      <c r="K12" s="44">
        <f>SUMIFS(Movimientos!$J$1:$J$790,Movimientos!$C$1:$C$790,$B12,Movimientos!$D$1:$D$790,$C12,Movimientos!$L$1:$L$790,A$3,Movimientos!$F$1:$F$790,"Egreso")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SUMIFS(Movimientos!$J$1:$J$790,Movimientos!$C$1:$C$790,$B12,Movimientos!$D$1:$D$790,$C12,Movimientos!$L$1:$L$790,A$4,Movimientos!$F$1:$F$790,"Ingreso")</f>
        <v>1320000</v>
      </c>
      <c r="P12" s="44">
        <f>SUMIFS(Movimientos!$J$1:$J$790,Movimientos!$C$1:$C$790,$B12,Movimientos!$D$1:$D$790,$C12,Movimientos!$L$1:$L$790,A$4,Movimientos!$F$1:$F$790,"Egreso")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SUMIFS(Movimientos!$J$1:$J$790,Movimientos!$C$1:$C$790,$B12,Movimientos!$D$1:$D$790,$C12,Movimientos!$L$1:$L$790,A$5,Movimientos!$F$1:$F$790,"Ingreso")</f>
        <v>600000</v>
      </c>
      <c r="U12" s="44">
        <f>SUMIFS(Movimientos!$J$1:$J$790,Movimientos!$C$1:$C$790,$B12,Movimientos!$D$1:$D$790,$C12,Movimientos!$L$1:$L$790,A$5,Movimientos!$F$1:$F$790,"Egreso")</f>
        <v>756053.8899999999</v>
      </c>
      <c r="V12" s="7">
        <f t="shared" si="2"/>
        <v>-156053.8899999999</v>
      </c>
      <c r="W12" s="12">
        <f t="shared" si="9"/>
        <v>533239.11999999918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SUMIFS(Movimientos!$J$1:$J$790,Movimientos!$C$1:$C$790,$B13,Movimientos!$D$1:$D$790,$C13,Movimientos!$L$1:$L$790,A$3,Movimientos!$F$1:$F$790,"Ingreso")</f>
        <v>0</v>
      </c>
      <c r="K13" s="44">
        <f>SUMIFS(Movimientos!$J$1:$J$790,Movimientos!$C$1:$C$790,$B13,Movimientos!$D$1:$D$790,$C13,Movimientos!$L$1:$L$790,A$3,Movimientos!$F$1:$F$790,"Egreso")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SUMIFS(Movimientos!$J$1:$J$790,Movimientos!$C$1:$C$790,$B13,Movimientos!$D$1:$D$790,$C13,Movimientos!$L$1:$L$790,A$4,Movimientos!$F$1:$F$790,"Ingreso")</f>
        <v>0</v>
      </c>
      <c r="P13" s="44">
        <f>SUMIFS(Movimientos!$J$1:$J$790,Movimientos!$C$1:$C$790,$B13,Movimientos!$D$1:$D$790,$C13,Movimientos!$L$1:$L$790,A$4,Movimientos!$F$1:$F$790,"Egreso")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SUMIFS(Movimientos!$J$1:$J$790,Movimientos!$C$1:$C$790,$B13,Movimientos!$D$1:$D$790,$C13,Movimientos!$L$1:$L$790,A$5,Movimientos!$F$1:$F$790,"Ingreso")</f>
        <v>0</v>
      </c>
      <c r="U13" s="44">
        <f>SUMIFS(Movimientos!$J$1:$J$790,Movimientos!$C$1:$C$790,$B13,Movimientos!$D$1:$D$790,$C13,Movimientos!$L$1:$L$790,A$5,Movimientos!$F$1:$F$790,"Egreso")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SUMIFS(Movimientos!$J$1:$J$790,Movimientos!$C$1:$C$790,$B14,Movimientos!$D$1:$D$790,$C14,Movimientos!$L$1:$L$790,A$3,Movimientos!$F$1:$F$790,"Ingreso")</f>
        <v>56867.66</v>
      </c>
      <c r="K14" s="44">
        <f>SUMIFS(Movimientos!$J$1:$J$790,Movimientos!$C$1:$C$790,$B14,Movimientos!$D$1:$D$790,$C14,Movimientos!$L$1:$L$790,A$3,Movimientos!$F$1:$F$790,"Egreso")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SUMIFS(Movimientos!$J$1:$J$790,Movimientos!$C$1:$C$790,$B14,Movimientos!$D$1:$D$790,$C14,Movimientos!$L$1:$L$790,A$4,Movimientos!$F$1:$F$790,"Ingreso")</f>
        <v>2426.71</v>
      </c>
      <c r="P14" s="44">
        <f>SUMIFS(Movimientos!$J$1:$J$790,Movimientos!$C$1:$C$790,$B14,Movimientos!$D$1:$D$790,$C14,Movimientos!$L$1:$L$790,A$4,Movimientos!$F$1:$F$790,"Egreso")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SUMIFS(Movimientos!$J$1:$J$790,Movimientos!$C$1:$C$790,$B14,Movimientos!$D$1:$D$790,$C14,Movimientos!$L$1:$L$790,A$5,Movimientos!$F$1:$F$790,"Ingreso")</f>
        <v>0</v>
      </c>
      <c r="U14" s="44">
        <f>SUMIFS(Movimientos!$J$1:$J$790,Movimientos!$C$1:$C$790,$B14,Movimientos!$D$1:$D$790,$C14,Movimientos!$L$1:$L$790,A$5,Movimientos!$F$1:$F$790,"Egreso")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SUMIFS(Movimientos!$J$1:$J$790,Movimientos!$C$1:$C$790,$B15,Movimientos!$D$1:$D$790,$C15,Movimientos!$L$1:$L$790,A$3,Movimientos!$F$1:$F$790,"Ingreso")</f>
        <v>0</v>
      </c>
      <c r="K15" s="44">
        <f>SUMIFS(Movimientos!$J$1:$J$790,Movimientos!$C$1:$C$790,$B15,Movimientos!$D$1:$D$790,$C15,Movimientos!$L$1:$L$790,A$3,Movimientos!$F$1:$F$790,"Egreso")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SUMIFS(Movimientos!$J$1:$J$790,Movimientos!$C$1:$C$790,$B15,Movimientos!$D$1:$D$790,$C15,Movimientos!$L$1:$L$790,A$4,Movimientos!$F$1:$F$790,"Ingreso")</f>
        <v>0</v>
      </c>
      <c r="P15" s="44">
        <f>SUMIFS(Movimientos!$J$1:$J$790,Movimientos!$C$1:$C$790,$B15,Movimientos!$D$1:$D$790,$C15,Movimientos!$L$1:$L$790,A$4,Movimientos!$F$1:$F$790,"Egreso")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SUMIFS(Movimientos!$J$1:$J$790,Movimientos!$C$1:$C$790,$B15,Movimientos!$D$1:$D$790,$C15,Movimientos!$L$1:$L$790,A$5,Movimientos!$F$1:$F$790,"Ingreso")</f>
        <v>0</v>
      </c>
      <c r="U15" s="44">
        <f>SUMIFS(Movimientos!$J$1:$J$790,Movimientos!$C$1:$C$790,$B15,Movimientos!$D$1:$D$790,$C15,Movimientos!$L$1:$L$790,A$5,Movimientos!$F$1:$F$790,"Egreso")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SUMIFS(Movimientos!$J$1:$J$790,Movimientos!$C$1:$C$790,$B16,Movimientos!$D$1:$D$790,$C16,Movimientos!$L$1:$L$790,A$3,Movimientos!$F$1:$F$790,"Ingreso")</f>
        <v>0</v>
      </c>
      <c r="K16" s="44">
        <f>SUMIFS(Movimientos!$J$1:$J$790,Movimientos!$C$1:$C$790,$B16,Movimientos!$D$1:$D$790,$C16,Movimientos!$L$1:$L$790,A$3,Movimientos!$F$1:$F$790,"Egreso")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SUMIFS(Movimientos!$J$1:$J$790,Movimientos!$C$1:$C$790,$B16,Movimientos!$D$1:$D$790,$C16,Movimientos!$L$1:$L$790,A$4,Movimientos!$F$1:$F$790,"Ingreso")</f>
        <v>0</v>
      </c>
      <c r="P16" s="44">
        <f>SUMIFS(Movimientos!$J$1:$J$790,Movimientos!$C$1:$C$790,$B16,Movimientos!$D$1:$D$790,$C16,Movimientos!$L$1:$L$790,A$4,Movimientos!$F$1:$F$790,"Egreso")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SUMIFS(Movimientos!$J$1:$J$790,Movimientos!$C$1:$C$790,$B16,Movimientos!$D$1:$D$790,$C16,Movimientos!$L$1:$L$790,A$5,Movimientos!$F$1:$F$790,"Ingreso")</f>
        <v>0</v>
      </c>
      <c r="U16" s="44">
        <f>SUMIFS(Movimientos!$J$1:$J$790,Movimientos!$C$1:$C$790,$B16,Movimientos!$D$1:$D$790,$C16,Movimientos!$L$1:$L$790,A$5,Movimientos!$F$1:$F$790,"Egreso")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SUMIFS(Movimientos!$J$1:$J$790,Movimientos!$C$1:$C$790,$B17,Movimientos!$D$1:$D$790,$C17,Movimientos!$L$1:$L$790,A$3,Movimientos!$F$1:$F$790,"Ingreso")</f>
        <v>0</v>
      </c>
      <c r="K17" s="44">
        <f>SUMIFS(Movimientos!$J$1:$J$790,Movimientos!$C$1:$C$790,$B17,Movimientos!$D$1:$D$790,$C17,Movimientos!$L$1:$L$790,A$3,Movimientos!$F$1:$F$790,"Egreso")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SUMIFS(Movimientos!$J$1:$J$790,Movimientos!$C$1:$C$790,$B17,Movimientos!$D$1:$D$790,$C17,Movimientos!$L$1:$L$790,A$4,Movimientos!$F$1:$F$790,"Ingreso")</f>
        <v>0</v>
      </c>
      <c r="P17" s="44">
        <f>SUMIFS(Movimientos!$J$1:$J$790,Movimientos!$C$1:$C$790,$B17,Movimientos!$D$1:$D$790,$C17,Movimientos!$L$1:$L$790,A$4,Movimientos!$F$1:$F$790,"Egreso")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SUMIFS(Movimientos!$J$1:$J$790,Movimientos!$C$1:$C$790,$B17,Movimientos!$D$1:$D$790,$C17,Movimientos!$L$1:$L$790,A$5,Movimientos!$F$1:$F$790,"Ingreso")</f>
        <v>0</v>
      </c>
      <c r="U17" s="44">
        <f>SUMIFS(Movimientos!$J$1:$J$790,Movimientos!$C$1:$C$790,$B17,Movimientos!$D$1:$D$790,$C17,Movimientos!$L$1:$L$790,A$5,Movimientos!$F$1:$F$790,"Egreso")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SUMIFS(Movimientos!$J$1:$J$790,Movimientos!$C$1:$C$790,$B18,Movimientos!$D$1:$D$790,$C18,Movimientos!$L$1:$L$790,A$3,Movimientos!$F$1:$F$790,"Ingreso")</f>
        <v>0</v>
      </c>
      <c r="K18" s="44">
        <f>SUMIFS(Movimientos!$J$1:$J$790,Movimientos!$C$1:$C$790,$B18,Movimientos!$D$1:$D$790,$C18,Movimientos!$L$1:$L$790,A$3,Movimientos!$F$1:$F$790,"Egreso")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SUMIFS(Movimientos!$J$1:$J$790,Movimientos!$C$1:$C$790,$B18,Movimientos!$D$1:$D$790,$C18,Movimientos!$L$1:$L$790,A$4,Movimientos!$F$1:$F$790,"Ingreso")</f>
        <v>0</v>
      </c>
      <c r="P18" s="44">
        <f>SUMIFS(Movimientos!$J$1:$J$790,Movimientos!$C$1:$C$790,$B18,Movimientos!$D$1:$D$790,$C18,Movimientos!$L$1:$L$790,A$4,Movimientos!$F$1:$F$790,"Egreso")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SUMIFS(Movimientos!$J$1:$J$790,Movimientos!$C$1:$C$790,$B18,Movimientos!$D$1:$D$790,$C18,Movimientos!$L$1:$L$790,A$5,Movimientos!$F$1:$F$790,"Ingreso")</f>
        <v>0</v>
      </c>
      <c r="U18" s="44">
        <f>SUMIFS(Movimientos!$J$1:$J$790,Movimientos!$C$1:$C$790,$B18,Movimientos!$D$1:$D$790,$C18,Movimientos!$L$1:$L$790,A$5,Movimientos!$F$1:$F$790,"Egreso")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SUMIFS(Movimientos!$J$1:$J$790,Movimientos!$C$1:$C$790,$B19,Movimientos!$D$1:$D$790,$C19,Movimientos!$L$1:$L$790,A$3,Movimientos!$F$1:$F$790,"Ingreso")</f>
        <v>2580000</v>
      </c>
      <c r="K19" s="44">
        <f>SUMIFS(Movimientos!$J$1:$J$790,Movimientos!$C$1:$C$790,$B19,Movimientos!$D$1:$D$790,$C19,Movimientos!$L$1:$L$790,A$3,Movimientos!$F$1:$F$790,"Egreso")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SUMIFS(Movimientos!$J$1:$J$790,Movimientos!$C$1:$C$790,$B19,Movimientos!$D$1:$D$790,$C19,Movimientos!$L$1:$L$790,A$4,Movimientos!$F$1:$F$790,"Ingreso")</f>
        <v>0</v>
      </c>
      <c r="P19" s="44">
        <f>SUMIFS(Movimientos!$J$1:$J$790,Movimientos!$C$1:$C$790,$B19,Movimientos!$D$1:$D$790,$C19,Movimientos!$L$1:$L$790,A$4,Movimientos!$F$1:$F$790,"Egreso")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SUMIFS(Movimientos!$J$1:$J$790,Movimientos!$C$1:$C$790,$B19,Movimientos!$D$1:$D$790,$C19,Movimientos!$L$1:$L$790,A$5,Movimientos!$F$1:$F$790,"Ingreso")</f>
        <v>560000</v>
      </c>
      <c r="U19" s="44">
        <f>SUMIFS(Movimientos!$J$1:$J$790,Movimientos!$C$1:$C$790,$B19,Movimientos!$D$1:$D$790,$C19,Movimientos!$L$1:$L$790,A$5,Movimientos!$F$1:$F$790,"Egreso")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SUMIFS(Movimientos!$J$1:$J$790,Movimientos!$C$1:$C$790,$B20,Movimientos!$D$1:$D$790,$C20,Movimientos!$L$1:$L$790,A$3,Movimientos!$F$1:$F$790,"Ingreso")</f>
        <v>0</v>
      </c>
      <c r="K20" s="44">
        <f>SUMIFS(Movimientos!$J$1:$J$790,Movimientos!$C$1:$C$790,$B20,Movimientos!$D$1:$D$790,$C20,Movimientos!$L$1:$L$790,A$3,Movimientos!$F$1:$F$790,"Egreso")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SUMIFS(Movimientos!$J$1:$J$790,Movimientos!$C$1:$C$790,$B20,Movimientos!$D$1:$D$790,$C20,Movimientos!$L$1:$L$790,A$4,Movimientos!$F$1:$F$790,"Ingreso")</f>
        <v>0</v>
      </c>
      <c r="P20" s="44">
        <f>SUMIFS(Movimientos!$J$1:$J$790,Movimientos!$C$1:$C$790,$B20,Movimientos!$D$1:$D$790,$C20,Movimientos!$L$1:$L$790,A$4,Movimientos!$F$1:$F$790,"Egreso")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SUMIFS(Movimientos!$J$1:$J$790,Movimientos!$C$1:$C$790,$B20,Movimientos!$D$1:$D$790,$C20,Movimientos!$L$1:$L$790,A$5,Movimientos!$F$1:$F$790,"Ingreso")</f>
        <v>70000</v>
      </c>
      <c r="U20" s="44">
        <f>SUMIFS(Movimientos!$J$1:$J$790,Movimientos!$C$1:$C$790,$B20,Movimientos!$D$1:$D$790,$C20,Movimientos!$L$1:$L$790,A$5,Movimientos!$F$1:$F$790,"Egreso")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SUMIFS(Movimientos!$J$1:$J$790,Movimientos!$C$1:$C$790,$B21,Movimientos!$D$1:$D$790,$C21,Movimientos!$L$1:$L$790,A$3,Movimientos!$F$1:$F$790,"Ingreso")</f>
        <v>0</v>
      </c>
      <c r="K21" s="44">
        <f>SUMIFS(Movimientos!$J$1:$J$790,Movimientos!$C$1:$C$790,$B21,Movimientos!$D$1:$D$790,$C21,Movimientos!$L$1:$L$790,A$3,Movimientos!$F$1:$F$790,"Egreso")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SUMIFS(Movimientos!$J$1:$J$790,Movimientos!$C$1:$C$790,$B21,Movimientos!$D$1:$D$790,$C21,Movimientos!$L$1:$L$790,A$4,Movimientos!$F$1:$F$790,"Ingreso")</f>
        <v>14659.29</v>
      </c>
      <c r="P21" s="44">
        <f>SUMIFS(Movimientos!$J$1:$J$790,Movimientos!$C$1:$C$790,$B21,Movimientos!$D$1:$D$790,$C21,Movimientos!$L$1:$L$790,A$4,Movimientos!$F$1:$F$790,"Egreso")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SUMIFS(Movimientos!$J$1:$J$790,Movimientos!$C$1:$C$790,$B21,Movimientos!$D$1:$D$790,$C21,Movimientos!$L$1:$L$790,A$5,Movimientos!$F$1:$F$790,"Ingreso")</f>
        <v>0</v>
      </c>
      <c r="U21" s="44">
        <f>SUMIFS(Movimientos!$J$1:$J$790,Movimientos!$C$1:$C$790,$B21,Movimientos!$D$1:$D$790,$C21,Movimientos!$L$1:$L$790,A$5,Movimientos!$F$1:$F$790,"Egreso")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SUMIFS(Movimientos!$J$1:$J$790,Movimientos!$C$1:$C$790,$B22,Movimientos!$D$1:$D$790,$C22,Movimientos!$L$1:$L$790,A$3,Movimientos!$F$1:$F$790,"Ingreso")</f>
        <v>0</v>
      </c>
      <c r="K22" s="44">
        <f>SUMIFS(Movimientos!$J$1:$J$790,Movimientos!$C$1:$C$790,$B22,Movimientos!$D$1:$D$790,$C22,Movimientos!$L$1:$L$790,A$3,Movimientos!$F$1:$F$790,"Egreso")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SUMIFS(Movimientos!$J$1:$J$790,Movimientos!$C$1:$C$790,$B22,Movimientos!$D$1:$D$790,$C22,Movimientos!$L$1:$L$790,A$4,Movimientos!$F$1:$F$790,"Ingreso")</f>
        <v>0</v>
      </c>
      <c r="P22" s="44">
        <f>SUMIFS(Movimientos!$J$1:$J$790,Movimientos!$C$1:$C$790,$B22,Movimientos!$D$1:$D$790,$C22,Movimientos!$L$1:$L$790,A$4,Movimientos!$F$1:$F$790,"Egreso")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SUMIFS(Movimientos!$J$1:$J$790,Movimientos!$C$1:$C$790,$B22,Movimientos!$D$1:$D$790,$C22,Movimientos!$L$1:$L$790,A$5,Movimientos!$F$1:$F$790,"Ingreso")</f>
        <v>0</v>
      </c>
      <c r="U22" s="44">
        <f>SUMIFS(Movimientos!$J$1:$J$790,Movimientos!$C$1:$C$790,$B22,Movimientos!$D$1:$D$790,$C22,Movimientos!$L$1:$L$790,A$5,Movimientos!$F$1:$F$790,"Egreso")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SUMIFS(Movimientos!$J$1:$J$790,Movimientos!$C$1:$C$790,$B23,Movimientos!$D$1:$D$790,$C23,Movimientos!$L$1:$L$790,A$3,Movimientos!$F$1:$F$790,"Ingreso")</f>
        <v>0</v>
      </c>
      <c r="K23" s="44">
        <f>SUMIFS(Movimientos!$J$1:$J$790,Movimientos!$C$1:$C$790,$B23,Movimientos!$D$1:$D$790,$C23,Movimientos!$L$1:$L$790,A$3,Movimientos!$F$1:$F$790,"Egreso")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SUMIFS(Movimientos!$J$1:$J$790,Movimientos!$C$1:$C$790,$B23,Movimientos!$D$1:$D$790,$C23,Movimientos!$L$1:$L$790,A$4,Movimientos!$F$1:$F$790,"Ingreso")</f>
        <v>0</v>
      </c>
      <c r="P23" s="44">
        <f>SUMIFS(Movimientos!$J$1:$J$790,Movimientos!$C$1:$C$790,$B23,Movimientos!$D$1:$D$790,$C23,Movimientos!$L$1:$L$790,A$4,Movimientos!$F$1:$F$790,"Egreso")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SUMIFS(Movimientos!$J$1:$J$790,Movimientos!$C$1:$C$790,$B23,Movimientos!$D$1:$D$790,$C23,Movimientos!$L$1:$L$790,A$5,Movimientos!$F$1:$F$790,"Ingreso")</f>
        <v>0</v>
      </c>
      <c r="U23" s="44">
        <f>SUMIFS(Movimientos!$J$1:$J$790,Movimientos!$C$1:$C$790,$B23,Movimientos!$D$1:$D$790,$C23,Movimientos!$L$1:$L$790,A$5,Movimientos!$F$1:$F$790,"Egreso")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SUMIFS(Movimientos!$J$1:$J$790,Movimientos!$C$1:$C$790,$B24,Movimientos!$D$1:$D$790,$C24,Movimientos!$L$1:$L$790,A$3,Movimientos!$F$1:$F$790,"Ingreso")</f>
        <v>0</v>
      </c>
      <c r="K24" s="44">
        <f>SUMIFS(Movimientos!$J$1:$J$790,Movimientos!$C$1:$C$790,$B24,Movimientos!$D$1:$D$790,$C24,Movimientos!$L$1:$L$790,A$3,Movimientos!$F$1:$F$790,"Egreso")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SUMIFS(Movimientos!$J$1:$J$790,Movimientos!$C$1:$C$790,$B24,Movimientos!$D$1:$D$790,$C24,Movimientos!$L$1:$L$790,A$4,Movimientos!$F$1:$F$790,"Ingreso")</f>
        <v>1451269.78</v>
      </c>
      <c r="P24" s="44">
        <f>SUMIFS(Movimientos!$J$1:$J$790,Movimientos!$C$1:$C$790,$B24,Movimientos!$D$1:$D$790,$C24,Movimientos!$L$1:$L$790,A$4,Movimientos!$F$1:$F$790,"Egreso")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SUMIFS(Movimientos!$J$1:$J$790,Movimientos!$C$1:$C$790,$B24,Movimientos!$D$1:$D$790,$C24,Movimientos!$L$1:$L$790,A$5,Movimientos!$F$1:$F$790,"Ingreso")</f>
        <v>0</v>
      </c>
      <c r="U24" s="44">
        <f>SUMIFS(Movimientos!$J$1:$J$790,Movimientos!$C$1:$C$790,$B24,Movimientos!$D$1:$D$790,$C24,Movimientos!$L$1:$L$790,A$5,Movimientos!$F$1:$F$790,"Egreso")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SUMIFS(Movimientos!$J$1:$J$790,Movimientos!$C$1:$C$790,$B25,Movimientos!$D$1:$D$790,$C25,Movimientos!$L$1:$L$790,A$3,Movimientos!$F$1:$F$790,"Ingreso")</f>
        <v>0</v>
      </c>
      <c r="K25" s="44">
        <f>SUMIFS(Movimientos!$J$1:$J$790,Movimientos!$C$1:$C$790,$B25,Movimientos!$D$1:$D$790,$C25,Movimientos!$L$1:$L$790,A$3,Movimientos!$F$1:$F$790,"Egreso")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SUMIFS(Movimientos!$J$1:$J$790,Movimientos!$C$1:$C$790,$B25,Movimientos!$D$1:$D$790,$C25,Movimientos!$L$1:$L$790,A$4,Movimientos!$F$1:$F$790,"Ingreso")</f>
        <v>0</v>
      </c>
      <c r="P25" s="44">
        <f>SUMIFS(Movimientos!$J$1:$J$790,Movimientos!$C$1:$C$790,$B25,Movimientos!$D$1:$D$790,$C25,Movimientos!$L$1:$L$790,A$4,Movimientos!$F$1:$F$790,"Egreso")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SUMIFS(Movimientos!$J$1:$J$790,Movimientos!$C$1:$C$790,$B25,Movimientos!$D$1:$D$790,$C25,Movimientos!$L$1:$L$790,A$5,Movimientos!$F$1:$F$790,"Ingreso")</f>
        <v>0</v>
      </c>
      <c r="U25" s="44">
        <f>SUMIFS(Movimientos!$J$1:$J$790,Movimientos!$C$1:$C$790,$B25,Movimientos!$D$1:$D$790,$C25,Movimientos!$L$1:$L$790,A$5,Movimientos!$F$1:$F$790,"Egreso")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SUMIFS(Movimientos!$J$1:$J$790,Movimientos!$C$1:$C$790,$B26,Movimientos!$D$1:$D$790,$C26,Movimientos!$L$1:$L$790,A$3,Movimientos!$F$1:$F$790,"Ingreso")</f>
        <v>0</v>
      </c>
      <c r="K26" s="44">
        <f>SUMIFS(Movimientos!$J$1:$J$790,Movimientos!$C$1:$C$790,$B26,Movimientos!$D$1:$D$790,$C26,Movimientos!$L$1:$L$790,A$3,Movimientos!$F$1:$F$790,"Egreso")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SUMIFS(Movimientos!$J$1:$J$790,Movimientos!$C$1:$C$790,$B26,Movimientos!$D$1:$D$790,$C26,Movimientos!$L$1:$L$790,A$4,Movimientos!$F$1:$F$790,"Ingreso")</f>
        <v>0</v>
      </c>
      <c r="P26" s="44">
        <f>SUMIFS(Movimientos!$J$1:$J$790,Movimientos!$C$1:$C$790,$B26,Movimientos!$D$1:$D$790,$C26,Movimientos!$L$1:$L$790,A$4,Movimientos!$F$1:$F$790,"Egreso")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SUMIFS(Movimientos!$J$1:$J$790,Movimientos!$C$1:$C$790,$B26,Movimientos!$D$1:$D$790,$C26,Movimientos!$L$1:$L$790,A$5,Movimientos!$F$1:$F$790,"Ingreso")</f>
        <v>0</v>
      </c>
      <c r="U26" s="44">
        <f>SUMIFS(Movimientos!$J$1:$J$790,Movimientos!$C$1:$C$790,$B26,Movimientos!$D$1:$D$790,$C26,Movimientos!$L$1:$L$790,A$5,Movimientos!$F$1:$F$790,"Egreso")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SUMIFS(Movimientos!$J$1:$J$790,Movimientos!$C$1:$C$790,$B27,Movimientos!$D$1:$D$790,$C27,Movimientos!$L$1:$L$790,A$3,Movimientos!$F$1:$F$790,"Ingreso")</f>
        <v>0</v>
      </c>
      <c r="K27" s="44">
        <f>SUMIFS(Movimientos!$J$1:$J$790,Movimientos!$C$1:$C$790,$B27,Movimientos!$D$1:$D$790,$C27,Movimientos!$L$1:$L$790,A$3,Movimientos!$F$1:$F$790,"Egreso")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SUMIFS(Movimientos!$J$1:$J$790,Movimientos!$C$1:$C$790,$B27,Movimientos!$D$1:$D$790,$C27,Movimientos!$L$1:$L$790,A$4,Movimientos!$F$1:$F$790,"Ingreso")</f>
        <v>518.65</v>
      </c>
      <c r="P27" s="44">
        <f>SUMIFS(Movimientos!$J$1:$J$790,Movimientos!$C$1:$C$790,$B27,Movimientos!$D$1:$D$790,$C27,Movimientos!$L$1:$L$790,A$4,Movimientos!$F$1:$F$790,"Egreso")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SUMIFS(Movimientos!$J$1:$J$790,Movimientos!$C$1:$C$790,$B27,Movimientos!$D$1:$D$790,$C27,Movimientos!$L$1:$L$790,A$5,Movimientos!$F$1:$F$790,"Ingreso")</f>
        <v>0</v>
      </c>
      <c r="U27" s="44">
        <f>SUMIFS(Movimientos!$J$1:$J$790,Movimientos!$C$1:$C$790,$B27,Movimientos!$D$1:$D$790,$C27,Movimientos!$L$1:$L$790,A$5,Movimientos!$F$1:$F$790,"Egreso")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SUMIFS(Movimientos!$J$1:$J$790,Movimientos!$C$1:$C$790,$B28,Movimientos!$D$1:$D$790,$C28,Movimientos!$L$1:$L$790,A$3,Movimientos!$F$1:$F$790,"Ingreso")</f>
        <v>0</v>
      </c>
      <c r="K28" s="44">
        <f>SUMIFS(Movimientos!$J$1:$J$790,Movimientos!$C$1:$C$790,$B28,Movimientos!$D$1:$D$790,$C28,Movimientos!$L$1:$L$790,A$3,Movimientos!$F$1:$F$790,"Egreso")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SUMIFS(Movimientos!$J$1:$J$790,Movimientos!$C$1:$C$790,$B28,Movimientos!$D$1:$D$790,$C28,Movimientos!$L$1:$L$790,A$4,Movimientos!$F$1:$F$790,"Ingreso")</f>
        <v>0</v>
      </c>
      <c r="P28" s="44">
        <f>SUMIFS(Movimientos!$J$1:$J$790,Movimientos!$C$1:$C$790,$B28,Movimientos!$D$1:$D$790,$C28,Movimientos!$L$1:$L$790,A$4,Movimientos!$F$1:$F$790,"Egreso")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SUMIFS(Movimientos!$J$1:$J$790,Movimientos!$C$1:$C$790,$B28,Movimientos!$D$1:$D$790,$C28,Movimientos!$L$1:$L$790,A$5,Movimientos!$F$1:$F$790,"Ingreso")</f>
        <v>0</v>
      </c>
      <c r="U28" s="44">
        <f>SUMIFS(Movimientos!$J$1:$J$790,Movimientos!$C$1:$C$790,$B28,Movimientos!$D$1:$D$790,$C28,Movimientos!$L$1:$L$790,A$5,Movimientos!$F$1:$F$790,"Egreso")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SUMIFS(Movimientos!$J$1:$J$790,Movimientos!$C$1:$C$790,$B29,Movimientos!$D$1:$D$790,$C29,Movimientos!$L$1:$L$790,A$3,Movimientos!$F$1:$F$790,"Ingreso")</f>
        <v>5250</v>
      </c>
      <c r="K29" s="44">
        <f>SUMIFS(Movimientos!$J$1:$J$790,Movimientos!$C$1:$C$790,$B29,Movimientos!$D$1:$D$790,$C29,Movimientos!$L$1:$L$790,A$3,Movimientos!$F$1:$F$790,"Egreso")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SUMIFS(Movimientos!$J$1:$J$790,Movimientos!$C$1:$C$790,$B29,Movimientos!$D$1:$D$790,$C29,Movimientos!$L$1:$L$790,A$4,Movimientos!$F$1:$F$790,"Ingreso")</f>
        <v>0</v>
      </c>
      <c r="P29" s="44">
        <f>SUMIFS(Movimientos!$J$1:$J$790,Movimientos!$C$1:$C$790,$B29,Movimientos!$D$1:$D$790,$C29,Movimientos!$L$1:$L$790,A$4,Movimientos!$F$1:$F$790,"Egreso")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SUMIFS(Movimientos!$J$1:$J$790,Movimientos!$C$1:$C$790,$B29,Movimientos!$D$1:$D$790,$C29,Movimientos!$L$1:$L$790,A$5,Movimientos!$F$1:$F$790,"Ingreso")</f>
        <v>10105.4</v>
      </c>
      <c r="U29" s="44">
        <f>SUMIFS(Movimientos!$J$1:$J$790,Movimientos!$C$1:$C$790,$B29,Movimientos!$D$1:$D$790,$C29,Movimientos!$L$1:$L$790,A$5,Movimientos!$F$1:$F$790,"Egreso")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SUMIFS(Movimientos!$J$1:$J$790,Movimientos!$C$1:$C$790,$B30,Movimientos!$D$1:$D$790,$C30,Movimientos!$L$1:$L$790,A$3,Movimientos!$F$1:$F$790,"Ingreso")</f>
        <v>0</v>
      </c>
      <c r="K30" s="44">
        <f>SUMIFS(Movimientos!$J$1:$J$790,Movimientos!$C$1:$C$790,$B30,Movimientos!$D$1:$D$790,$C30,Movimientos!$L$1:$L$790,A$3,Movimientos!$F$1:$F$790,"Egreso")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SUMIFS(Movimientos!$J$1:$J$790,Movimientos!$C$1:$C$790,$B30,Movimientos!$D$1:$D$790,$C30,Movimientos!$L$1:$L$790,A$4,Movimientos!$F$1:$F$790,"Ingreso")</f>
        <v>0</v>
      </c>
      <c r="P30" s="44">
        <f>SUMIFS(Movimientos!$J$1:$J$790,Movimientos!$C$1:$C$790,$B30,Movimientos!$D$1:$D$790,$C30,Movimientos!$L$1:$L$790,A$4,Movimientos!$F$1:$F$790,"Egreso")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SUMIFS(Movimientos!$J$1:$J$790,Movimientos!$C$1:$C$790,$B30,Movimientos!$D$1:$D$790,$C30,Movimientos!$L$1:$L$790,A$5,Movimientos!$F$1:$F$790,"Ingreso")</f>
        <v>0</v>
      </c>
      <c r="U30" s="44">
        <f>SUMIFS(Movimientos!$J$1:$J$790,Movimientos!$C$1:$C$790,$B30,Movimientos!$D$1:$D$790,$C30,Movimientos!$L$1:$L$790,A$5,Movimientos!$F$1:$F$790,"Egreso")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SUMIFS(Movimientos!$J$1:$J$790,Movimientos!$C$1:$C$790,$B31,Movimientos!$D$1:$D$790,$C31,Movimientos!$L$1:$L$790,A$3,Movimientos!$F$1:$F$790,"Ingreso")</f>
        <v>15000</v>
      </c>
      <c r="K31" s="44">
        <f>SUMIFS(Movimientos!$J$1:$J$790,Movimientos!$C$1:$C$790,$B31,Movimientos!$D$1:$D$790,$C31,Movimientos!$L$1:$L$790,A$3,Movimientos!$F$1:$F$790,"Egreso")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SUMIFS(Movimientos!$J$1:$J$790,Movimientos!$C$1:$C$790,$B31,Movimientos!$D$1:$D$790,$C31,Movimientos!$L$1:$L$790,A$4,Movimientos!$F$1:$F$790,"Ingreso")</f>
        <v>15000</v>
      </c>
      <c r="P31" s="44">
        <f>SUMIFS(Movimientos!$J$1:$J$790,Movimientos!$C$1:$C$790,$B31,Movimientos!$D$1:$D$790,$C31,Movimientos!$L$1:$L$790,A$4,Movimientos!$F$1:$F$790,"Egreso")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SUMIFS(Movimientos!$J$1:$J$790,Movimientos!$C$1:$C$790,$B31,Movimientos!$D$1:$D$790,$C31,Movimientos!$L$1:$L$790,A$5,Movimientos!$F$1:$F$790,"Ingreso")</f>
        <v>0</v>
      </c>
      <c r="U31" s="44">
        <f>SUMIFS(Movimientos!$J$1:$J$790,Movimientos!$C$1:$C$790,$B31,Movimientos!$D$1:$D$790,$C31,Movimientos!$L$1:$L$790,A$5,Movimientos!$F$1:$F$790,"Egreso")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SUMIFS(Movimientos!$J$1:$J$790,Movimientos!$C$1:$C$790,$B32,Movimientos!$D$1:$D$790,$C32,Movimientos!$L$1:$L$790,A$3,Movimientos!$F$1:$F$790,"Ingreso")</f>
        <v>12000</v>
      </c>
      <c r="K32" s="44">
        <f>SUMIFS(Movimientos!$J$1:$J$790,Movimientos!$C$1:$C$790,$B32,Movimientos!$D$1:$D$790,$C32,Movimientos!$L$1:$L$790,A$3,Movimientos!$F$1:$F$790,"Egreso")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SUMIFS(Movimientos!$J$1:$J$790,Movimientos!$C$1:$C$790,$B32,Movimientos!$D$1:$D$790,$C32,Movimientos!$L$1:$L$790,A$4,Movimientos!$F$1:$F$790,"Ingreso")</f>
        <v>4400</v>
      </c>
      <c r="P32" s="44">
        <f>SUMIFS(Movimientos!$J$1:$J$790,Movimientos!$C$1:$C$790,$B32,Movimientos!$D$1:$D$790,$C32,Movimientos!$L$1:$L$790,A$4,Movimientos!$F$1:$F$790,"Egreso")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SUMIFS(Movimientos!$J$1:$J$790,Movimientos!$C$1:$C$790,$B32,Movimientos!$D$1:$D$790,$C32,Movimientos!$L$1:$L$790,A$5,Movimientos!$F$1:$F$790,"Ingreso")</f>
        <v>5000</v>
      </c>
      <c r="U32" s="44">
        <f>SUMIFS(Movimientos!$J$1:$J$790,Movimientos!$C$1:$C$790,$B32,Movimientos!$D$1:$D$790,$C32,Movimientos!$L$1:$L$790,A$5,Movimientos!$F$1:$F$790,"Egreso")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SUMIFS(Movimientos!$J$1:$J$790,Movimientos!$C$1:$C$790,$B33,Movimientos!$D$1:$D$790,$C33,Movimientos!$L$1:$L$790,A$3,Movimientos!$F$1:$F$790,"Ingreso")</f>
        <v>59000</v>
      </c>
      <c r="K33" s="44">
        <f>SUMIFS(Movimientos!$J$1:$J$790,Movimientos!$C$1:$C$790,$B33,Movimientos!$D$1:$D$790,$C33,Movimientos!$L$1:$L$790,A$3,Movimientos!$F$1:$F$790,"Egreso")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SUMIFS(Movimientos!$J$1:$J$790,Movimientos!$C$1:$C$790,$B33,Movimientos!$D$1:$D$790,$C33,Movimientos!$L$1:$L$790,A$4,Movimientos!$F$1:$F$790,"Ingreso")</f>
        <v>50000</v>
      </c>
      <c r="P33" s="44">
        <f>SUMIFS(Movimientos!$J$1:$J$790,Movimientos!$C$1:$C$790,$B33,Movimientos!$D$1:$D$790,$C33,Movimientos!$L$1:$L$790,A$4,Movimientos!$F$1:$F$790,"Egreso")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SUMIFS(Movimientos!$J$1:$J$790,Movimientos!$C$1:$C$790,$B33,Movimientos!$D$1:$D$790,$C33,Movimientos!$L$1:$L$790,A$5,Movimientos!$F$1:$F$790,"Ingreso")</f>
        <v>23000</v>
      </c>
      <c r="U33" s="44">
        <f>SUMIFS(Movimientos!$J$1:$J$790,Movimientos!$C$1:$C$790,$B33,Movimientos!$D$1:$D$790,$C33,Movimientos!$L$1:$L$790,A$5,Movimientos!$F$1:$F$790,"Egreso")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SUMIFS(Movimientos!$J$1:$J$790,Movimientos!$C$1:$C$790,$B34,Movimientos!$D$1:$D$790,$C34,Movimientos!$L$1:$L$790,A$3,Movimientos!$F$1:$F$790,"Ingreso")</f>
        <v>59000</v>
      </c>
      <c r="K34" s="44">
        <f>SUMIFS(Movimientos!$J$1:$J$790,Movimientos!$C$1:$C$790,$B34,Movimientos!$D$1:$D$790,$C34,Movimientos!$L$1:$L$790,A$3,Movimientos!$F$1:$F$790,"Egreso")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SUMIFS(Movimientos!$J$1:$J$790,Movimientos!$C$1:$C$790,$B34,Movimientos!$D$1:$D$790,$C34,Movimientos!$L$1:$L$790,A$4,Movimientos!$F$1:$F$790,"Ingreso")</f>
        <v>50000</v>
      </c>
      <c r="P34" s="44">
        <f>SUMIFS(Movimientos!$J$1:$J$790,Movimientos!$C$1:$C$790,$B34,Movimientos!$D$1:$D$790,$C34,Movimientos!$L$1:$L$790,A$4,Movimientos!$F$1:$F$790,"Egreso")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SUMIFS(Movimientos!$J$1:$J$790,Movimientos!$C$1:$C$790,$B34,Movimientos!$D$1:$D$790,$C34,Movimientos!$L$1:$L$790,A$5,Movimientos!$F$1:$F$790,"Ingreso")</f>
        <v>23000</v>
      </c>
      <c r="U34" s="44">
        <f>SUMIFS(Movimientos!$J$1:$J$790,Movimientos!$C$1:$C$790,$B34,Movimientos!$D$1:$D$790,$C34,Movimientos!$L$1:$L$790,A$5,Movimientos!$F$1:$F$790,"Egreso")</f>
        <v>19678.099999999999</v>
      </c>
      <c r="V34" s="7">
        <f t="shared" si="2"/>
        <v>3321.9000000000015</v>
      </c>
      <c r="W34" s="12">
        <f t="shared" si="9"/>
        <v>12280.61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SUMIFS(Movimientos!$J$1:$J$790,Movimientos!$C$1:$C$790,$B35,Movimientos!$D$1:$D$790,$C35,Movimientos!$L$1:$L$790,A$3,Movimientos!$F$1:$F$790,"Ingreso")</f>
        <v>0</v>
      </c>
      <c r="K35" s="44">
        <f>SUMIFS(Movimientos!$J$1:$J$790,Movimientos!$C$1:$C$790,$B35,Movimientos!$D$1:$D$790,$C35,Movimientos!$L$1:$L$790,A$3,Movimientos!$F$1:$F$790,"Egreso")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SUMIFS(Movimientos!$J$1:$J$790,Movimientos!$C$1:$C$790,$B35,Movimientos!$D$1:$D$790,$C35,Movimientos!$L$1:$L$790,A$4,Movimientos!$F$1:$F$790,"Ingreso")</f>
        <v>15000</v>
      </c>
      <c r="P35" s="44">
        <f>SUMIFS(Movimientos!$J$1:$J$790,Movimientos!$C$1:$C$790,$B35,Movimientos!$D$1:$D$790,$C35,Movimientos!$L$1:$L$790,A$4,Movimientos!$F$1:$F$790,"Egreso")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SUMIFS(Movimientos!$J$1:$J$790,Movimientos!$C$1:$C$790,$B35,Movimientos!$D$1:$D$790,$C35,Movimientos!$L$1:$L$790,A$5,Movimientos!$F$1:$F$790,"Ingreso")</f>
        <v>0</v>
      </c>
      <c r="U35" s="44">
        <f>SUMIFS(Movimientos!$J$1:$J$790,Movimientos!$C$1:$C$790,$B35,Movimientos!$D$1:$D$790,$C35,Movimientos!$L$1:$L$790,A$5,Movimientos!$F$1:$F$790,"Egreso")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1"/>
  <sheetViews>
    <sheetView showGridLines="0" zoomScale="80" zoomScaleNormal="80" workbookViewId="0">
      <pane xSplit="2" ySplit="1" topLeftCell="G85" activePane="bottomRight" state="frozen"/>
      <selection pane="topRight" activeCell="C1" sqref="C1"/>
      <selection pane="bottomLeft" activeCell="A2" sqref="A2"/>
      <selection pane="bottomRight" activeCell="A105" sqref="A105:XFD11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Group")+SUMIFS(Movimientos!$K$1:$K$790,Movimientos!$C$1:$C$790,"CFT Group",Movimientos!$B$1:$B$790,"&lt;="&amp;$B33)</f>
        <v>983394.14000000013</v>
      </c>
      <c r="D33" s="24">
        <f>SUMIFS('Saldos Iniciales'!$D:$D,'Saldos Iniciales'!$A:$A,"M1B")+SUMIFS(Movimientos!$K$1:$K$790,Movimientos!$C$1:$C$790,"M1B",Movimientos!$B$1:$B$790,"&lt;="&amp;$B33)</f>
        <v>69376.390000000174</v>
      </c>
      <c r="E33" s="24">
        <f>SUMIFS('Saldos Iniciales'!$D:$D,'Saldos Iniciales'!$A:$A,"Durand")+SUMIFS(Movimientos!$K$1:$K$790,Movimientos!$C$1:$C$790,"Durand",Movimientos!$B$1:$B$790,"&lt;="&amp;$B33)</f>
        <v>1669.89</v>
      </c>
      <c r="F33" s="24">
        <f>SUMIFS('Saldos Iniciales'!$D:$D,'Saldos Iniciales'!$A:$A,"A&amp;M Imports")+SUMIFS(Movimientos!$K$1:$K$790,Movimientos!$C$1:$C$790,"A&amp;M Imports",Movimientos!$B$1:$B$790,"&lt;="&amp;$B33)</f>
        <v>804853.11999999988</v>
      </c>
      <c r="G33" s="24">
        <f>SUMIFS('Saldos Iniciales'!$D:$D,'Saldos Iniciales'!$A:$A,"SSP Capital")+SUMIFS(Movimientos!$K$1:$K$790,Movimientos!$C$1:$C$790,"SSP Capital",Movimientos!$B$1:$B$790,"&lt;="&amp;$B33)</f>
        <v>1015901.6699999992</v>
      </c>
      <c r="H33" s="24">
        <f>SUMIFS('Saldos Iniciales'!$D:$D,'Saldos Iniciales'!$A:$A,"Cross Family Trust")+SUMIFS(Movimientos!$K$1:$K$790,Movimientos!$C$1:$C$790,"Cross Family Trust",Movimientos!$B$1:$B$790,"&lt;="&amp;$B33)</f>
        <v>131496.38</v>
      </c>
      <c r="I33" s="24">
        <f>SUMIFS('Saldos Iniciales'!$D:$D,'Saldos Iniciales'!$A:$A,"Cross Security Trust")+SUMIFS(Movimientos!$K$1:$K$790,Movimientos!$C$1:$C$790,"Cross Security Trust",Movimientos!$B$1:$B$790,"&lt;="&amp;$B33)</f>
        <v>88090.37</v>
      </c>
      <c r="J33" s="24">
        <f>SUMIFS('Saldos Iniciales'!$D:$D,'Saldos Iniciales'!$A:$A,"Electrama")+SUMIFS(Movimientos!$K$1:$K$790,Movimientos!$C$1:$C$790,"Electrama",Movimientos!$B$1:$B$790,"&lt;="&amp;$B33)</f>
        <v>511.15999999999985</v>
      </c>
      <c r="K33" s="24">
        <f>SUMIFS('Saldos Iniciales'!$D:$D,'Saldos Iniciales'!$A:$A,"Sacred Valley Capital")+SUMIFS(Movimientos!$K$1:$K$790,Movimientos!$C$1:$C$790,"Sacred Valley Capital",Movimientos!$B$1:$B$790,"&lt;="&amp;$B33)</f>
        <v>84.35</v>
      </c>
      <c r="L33" s="24">
        <f>SUMIFS('Saldos Iniciales'!$D:$D,'Saldos Iniciales'!$A:$A,"YWC Capital")+SUMIFS(Movimientos!$K$1:$K$790,Movimientos!$C$1:$C$790,"YWC Capital",Movimientos!$B$1:$B$790,"&lt;="&amp;$B33)</f>
        <v>2237.77</v>
      </c>
      <c r="M33" s="24">
        <f>SUMIFS('Saldos Iniciales'!$D:$D,'Saldos Iniciales'!$A:$A,"Soweto")+SUMIFS(Movimientos!$K$1:$K$790,Movimientos!$C$1:$C$790,"Soweto",Movimientos!$B$1:$B$790,"&lt;="&amp;$B33)</f>
        <v>3349.94</v>
      </c>
      <c r="N33" s="24">
        <f>SUMIFS('Saldos Iniciales'!$D:$D,'Saldos Iniciales'!$A:$A,"Green Stone Trust")+SUMIFS(Movimientos!$K$1:$K$790,Movimientos!$C$1:$C$790,"Green Stone Trust",Movimientos!$B$1:$B$790,"&lt;="&amp;$B33)</f>
        <v>1968.99</v>
      </c>
      <c r="O33" s="24">
        <f>SUMIFS('Saldos Iniciales'!$D:$D,'Saldos Iniciales'!$A:$A,"EC Auto")+SUMIFS(Movimientos!$K$1:$K$790,Movimientos!$C$1:$C$790,"EC Auto",Movimientos!$B$1:$B$790,"&lt;="&amp;$B33)</f>
        <v>901.34</v>
      </c>
      <c r="P33" s="24">
        <f>SUMIFS('Saldos Iniciales'!$D:$D,'Saldos Iniciales'!$A:$A,"Arbor Capital Properties")+SUMIFS(Movimientos!$K$1:$K$790,Movimientos!$C$1:$C$790,"Arbor Capital Properties",Movimientos!$B$1:$B$790,"&lt;="&amp;$B33)</f>
        <v>1428.08</v>
      </c>
      <c r="Q33" s="24">
        <f>SUMIFS('Saldos Iniciales'!$D:$D,'Saldos Iniciales'!$A:$A,"2515 Overbrook")+SUMIFS(Movimientos!$K$1:$K$790,Movimientos!$C$1:$C$790,"2515 Overbrook",Movimientos!$B$1:$B$790,"&lt;="&amp;$B33)</f>
        <v>26416.26999999996</v>
      </c>
      <c r="R33" s="24">
        <f>SUMIFS('Saldos Iniciales'!$D:$D,'Saldos Iniciales'!$A:$A,"112 Florida Ave")+SUMIFS(Movimientos!$K$1:$K$790,Movimientos!$C$1:$C$790,"112 Florida Ave",Movimientos!$B$1:$B$790,"&lt;="&amp;$B33)</f>
        <v>5321.4300000000021</v>
      </c>
      <c r="S33" s="24">
        <f>SUMIFS('Saldos Iniciales'!$D:$D,'Saldos Iniciales'!$A:$A,"3628 Thomas Ave")+SUMIFS(Movimientos!$K$1:$K$790,Movimientos!$C$1:$C$790,"3628 Thomas Ave",Movimientos!$B$1:$B$790,"&lt;="&amp;$B33)</f>
        <v>24833.23</v>
      </c>
      <c r="T33" s="24">
        <f>SUMIFS('Saldos Iniciales'!$D:$D,'Saldos Iniciales'!$A:$A,"Green Harbor Trust")+SUMIFS(Movimientos!$K$1:$K$790,Movimientos!$C$1:$C$790,"Green Harbor Trust",Movimientos!$B$1:$B$790,"&lt;="&amp;$B33)</f>
        <v>345</v>
      </c>
      <c r="U33" s="24">
        <f>SUMIFS('Saldos Iniciales'!$D:$D,'Saldos Iniciales'!$A:$A,"Go Blue")+SUMIFS(Movimientos!$K$1:$K$790,Movimientos!$C$1:$C$790,"Go Blue",Movimientos!$B$1:$B$790,"&lt;="&amp;$B33)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Group")+SUMIFS(Movimientos!$K$1:$K$790,Movimientos!$C$1:$C$790,"CFT Group",Movimientos!$B$1:$B$790,"&lt;="&amp;$B34)</f>
        <v>983394.14000000013</v>
      </c>
      <c r="D34" s="24">
        <f>SUMIFS('Saldos Iniciales'!$D:$D,'Saldos Iniciales'!$A:$A,"M1B")+SUMIFS(Movimientos!$K$1:$K$790,Movimientos!$C$1:$C$790,"M1B",Movimientos!$B$1:$B$790,"&lt;="&amp;$B34)</f>
        <v>69376.390000000174</v>
      </c>
      <c r="E34" s="24">
        <f>SUMIFS('Saldos Iniciales'!$D:$D,'Saldos Iniciales'!$A:$A,"Durand")+SUMIFS(Movimientos!$K$1:$K$790,Movimientos!$C$1:$C$790,"Durand",Movimientos!$B$1:$B$790,"&lt;="&amp;$B34)</f>
        <v>1669.89</v>
      </c>
      <c r="F34" s="24">
        <f>SUMIFS('Saldos Iniciales'!$D:$D,'Saldos Iniciales'!$A:$A,"A&amp;M Imports")+SUMIFS(Movimientos!$K$1:$K$790,Movimientos!$C$1:$C$790,"A&amp;M Imports",Movimientos!$B$1:$B$790,"&lt;="&amp;$B34)</f>
        <v>804853.11999999988</v>
      </c>
      <c r="G34" s="24">
        <f>SUMIFS('Saldos Iniciales'!$D:$D,'Saldos Iniciales'!$A:$A,"SSP Capital")+SUMIFS(Movimientos!$K$1:$K$790,Movimientos!$C$1:$C$790,"SSP Capital",Movimientos!$B$1:$B$790,"&lt;="&amp;$B34)</f>
        <v>1015901.6699999992</v>
      </c>
      <c r="H34" s="24">
        <f>SUMIFS('Saldos Iniciales'!$D:$D,'Saldos Iniciales'!$A:$A,"Cross Family Trust")+SUMIFS(Movimientos!$K$1:$K$790,Movimientos!$C$1:$C$790,"Cross Family Trust",Movimientos!$B$1:$B$790,"&lt;="&amp;$B34)</f>
        <v>131496.38</v>
      </c>
      <c r="I34" s="24">
        <f>SUMIFS('Saldos Iniciales'!$D:$D,'Saldos Iniciales'!$A:$A,"Cross Security Trust")+SUMIFS(Movimientos!$K$1:$K$790,Movimientos!$C$1:$C$790,"Cross Security Trust",Movimientos!$B$1:$B$790,"&lt;="&amp;$B34)</f>
        <v>88090.37</v>
      </c>
      <c r="J34" s="24">
        <f>SUMIFS('Saldos Iniciales'!$D:$D,'Saldos Iniciales'!$A:$A,"Electrama")+SUMIFS(Movimientos!$K$1:$K$790,Movimientos!$C$1:$C$790,"Electrama",Movimientos!$B$1:$B$790,"&lt;="&amp;$B34)</f>
        <v>511.15999999999985</v>
      </c>
      <c r="K34" s="24">
        <f>SUMIFS('Saldos Iniciales'!$D:$D,'Saldos Iniciales'!$A:$A,"Sacred Valley Capital")+SUMIFS(Movimientos!$K$1:$K$790,Movimientos!$C$1:$C$790,"Sacred Valley Capital",Movimientos!$B$1:$B$790,"&lt;="&amp;$B34)</f>
        <v>84.35</v>
      </c>
      <c r="L34" s="24">
        <f>SUMIFS('Saldos Iniciales'!$D:$D,'Saldos Iniciales'!$A:$A,"YWC Capital")+SUMIFS(Movimientos!$K$1:$K$790,Movimientos!$C$1:$C$790,"YWC Capital",Movimientos!$B$1:$B$790,"&lt;="&amp;$B34)</f>
        <v>2237.77</v>
      </c>
      <c r="M34" s="24">
        <f>SUMIFS('Saldos Iniciales'!$D:$D,'Saldos Iniciales'!$A:$A,"Soweto")+SUMIFS(Movimientos!$K$1:$K$790,Movimientos!$C$1:$C$790,"Soweto",Movimientos!$B$1:$B$790,"&lt;="&amp;$B34)</f>
        <v>3349.94</v>
      </c>
      <c r="N34" s="24">
        <f>SUMIFS('Saldos Iniciales'!$D:$D,'Saldos Iniciales'!$A:$A,"Green Stone Trust")+SUMIFS(Movimientos!$K$1:$K$790,Movimientos!$C$1:$C$790,"Green Stone Trust",Movimientos!$B$1:$B$790,"&lt;="&amp;$B34)</f>
        <v>1968.99</v>
      </c>
      <c r="O34" s="24">
        <f>SUMIFS('Saldos Iniciales'!$D:$D,'Saldos Iniciales'!$A:$A,"EC Auto")+SUMIFS(Movimientos!$K$1:$K$790,Movimientos!$C$1:$C$790,"EC Auto",Movimientos!$B$1:$B$790,"&lt;="&amp;$B34)</f>
        <v>901.34</v>
      </c>
      <c r="P34" s="24">
        <f>SUMIFS('Saldos Iniciales'!$D:$D,'Saldos Iniciales'!$A:$A,"Arbor Capital Properties")+SUMIFS(Movimientos!$K$1:$K$790,Movimientos!$C$1:$C$790,"Arbor Capital Properties",Movimientos!$B$1:$B$790,"&lt;="&amp;$B34)</f>
        <v>1428.08</v>
      </c>
      <c r="Q34" s="24">
        <f>SUMIFS('Saldos Iniciales'!$D:$D,'Saldos Iniciales'!$A:$A,"2515 Overbrook")+SUMIFS(Movimientos!$K$1:$K$790,Movimientos!$C$1:$C$790,"2515 Overbrook",Movimientos!$B$1:$B$790,"&lt;="&amp;$B34)</f>
        <v>25789.969999999961</v>
      </c>
      <c r="R34" s="24">
        <f>SUMIFS('Saldos Iniciales'!$D:$D,'Saldos Iniciales'!$A:$A,"112 Florida Ave")+SUMIFS(Movimientos!$K$1:$K$790,Movimientos!$C$1:$C$790,"112 Florida Ave",Movimientos!$B$1:$B$790,"&lt;="&amp;$B34)</f>
        <v>5321.4300000000021</v>
      </c>
      <c r="S34" s="24">
        <f>SUMIFS('Saldos Iniciales'!$D:$D,'Saldos Iniciales'!$A:$A,"3628 Thomas Ave")+SUMIFS(Movimientos!$K$1:$K$790,Movimientos!$C$1:$C$790,"3628 Thomas Ave",Movimientos!$B$1:$B$790,"&lt;="&amp;$B34)</f>
        <v>24833.23</v>
      </c>
      <c r="T34" s="24">
        <f>SUMIFS('Saldos Iniciales'!$D:$D,'Saldos Iniciales'!$A:$A,"Green Harbor Trust")+SUMIFS(Movimientos!$K$1:$K$790,Movimientos!$C$1:$C$790,"Green Harbor Trust",Movimientos!$B$1:$B$790,"&lt;="&amp;$B34)</f>
        <v>345</v>
      </c>
      <c r="U34" s="24">
        <f>SUMIFS('Saldos Iniciales'!$D:$D,'Saldos Iniciales'!$A:$A,"Go Blue")+SUMIFS(Movimientos!$K$1:$K$790,Movimientos!$C$1:$C$790,"Go Blue",Movimientos!$B$1:$B$790,"&lt;="&amp;$B34)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Group")+SUMIFS(Movimientos!$K$1:$K$790,Movimientos!$C$1:$C$790,"CFT Group",Movimientos!$B$1:$B$790,"&lt;="&amp;$B35)</f>
        <v>983394.14000000013</v>
      </c>
      <c r="D35" s="24">
        <f>SUMIFS('Saldos Iniciales'!$D:$D,'Saldos Iniciales'!$A:$A,"M1B")+SUMIFS(Movimientos!$K$1:$K$790,Movimientos!$C$1:$C$790,"M1B",Movimientos!$B$1:$B$790,"&lt;="&amp;$B35)</f>
        <v>69376.390000000174</v>
      </c>
      <c r="E35" s="24">
        <f>SUMIFS('Saldos Iniciales'!$D:$D,'Saldos Iniciales'!$A:$A,"Durand")+SUMIFS(Movimientos!$K$1:$K$790,Movimientos!$C$1:$C$790,"Durand",Movimientos!$B$1:$B$790,"&lt;="&amp;$B35)</f>
        <v>1669.89</v>
      </c>
      <c r="F35" s="24">
        <f>SUMIFS('Saldos Iniciales'!$D:$D,'Saldos Iniciales'!$A:$A,"A&amp;M Imports")+SUMIFS(Movimientos!$K$1:$K$790,Movimientos!$C$1:$C$790,"A&amp;M Imports",Movimientos!$B$1:$B$790,"&lt;="&amp;$B35)</f>
        <v>804853.11999999988</v>
      </c>
      <c r="G35" s="24">
        <f>SUMIFS('Saldos Iniciales'!$D:$D,'Saldos Iniciales'!$A:$A,"SSP Capital")+SUMIFS(Movimientos!$K$1:$K$790,Movimientos!$C$1:$C$790,"SSP Capital",Movimientos!$B$1:$B$790,"&lt;="&amp;$B35)</f>
        <v>1015611.6599999993</v>
      </c>
      <c r="H35" s="24">
        <f>SUMIFS('Saldos Iniciales'!$D:$D,'Saldos Iniciales'!$A:$A,"Cross Family Trust")+SUMIFS(Movimientos!$K$1:$K$790,Movimientos!$C$1:$C$790,"Cross Family Trust",Movimientos!$B$1:$B$790,"&lt;="&amp;$B35)</f>
        <v>125496.38</v>
      </c>
      <c r="I35" s="24">
        <f>SUMIFS('Saldos Iniciales'!$D:$D,'Saldos Iniciales'!$A:$A,"Cross Security Trust")+SUMIFS(Movimientos!$K$1:$K$790,Movimientos!$C$1:$C$790,"Cross Security Trust",Movimientos!$B$1:$B$790,"&lt;="&amp;$B35)</f>
        <v>88090.37</v>
      </c>
      <c r="J35" s="24">
        <f>SUMIFS('Saldos Iniciales'!$D:$D,'Saldos Iniciales'!$A:$A,"Electrama")+SUMIFS(Movimientos!$K$1:$K$790,Movimientos!$C$1:$C$790,"Electrama",Movimientos!$B$1:$B$790,"&lt;="&amp;$B35)</f>
        <v>511.15999999999985</v>
      </c>
      <c r="K35" s="24">
        <f>SUMIFS('Saldos Iniciales'!$D:$D,'Saldos Iniciales'!$A:$A,"Sacred Valley Capital")+SUMIFS(Movimientos!$K$1:$K$790,Movimientos!$C$1:$C$790,"Sacred Valley Capital",Movimientos!$B$1:$B$790,"&lt;="&amp;$B35)</f>
        <v>84.35</v>
      </c>
      <c r="L35" s="24">
        <f>SUMIFS('Saldos Iniciales'!$D:$D,'Saldos Iniciales'!$A:$A,"YWC Capital")+SUMIFS(Movimientos!$K$1:$K$790,Movimientos!$C$1:$C$790,"YWC Capital",Movimientos!$B$1:$B$790,"&lt;="&amp;$B35)</f>
        <v>2237.77</v>
      </c>
      <c r="M35" s="24">
        <f>SUMIFS('Saldos Iniciales'!$D:$D,'Saldos Iniciales'!$A:$A,"Soweto")+SUMIFS(Movimientos!$K$1:$K$790,Movimientos!$C$1:$C$790,"Soweto",Movimientos!$B$1:$B$790,"&lt;="&amp;$B35)</f>
        <v>3349.94</v>
      </c>
      <c r="N35" s="24">
        <f>SUMIFS('Saldos Iniciales'!$D:$D,'Saldos Iniciales'!$A:$A,"Green Stone Trust")+SUMIFS(Movimientos!$K$1:$K$790,Movimientos!$C$1:$C$790,"Green Stone Trust",Movimientos!$B$1:$B$790,"&lt;="&amp;$B35)</f>
        <v>1968.99</v>
      </c>
      <c r="O35" s="24">
        <f>SUMIFS('Saldos Iniciales'!$D:$D,'Saldos Iniciales'!$A:$A,"EC Auto")+SUMIFS(Movimientos!$K$1:$K$790,Movimientos!$C$1:$C$790,"EC Auto",Movimientos!$B$1:$B$790,"&lt;="&amp;$B35)</f>
        <v>901.34</v>
      </c>
      <c r="P35" s="24">
        <f>SUMIFS('Saldos Iniciales'!$D:$D,'Saldos Iniciales'!$A:$A,"Arbor Capital Properties")+SUMIFS(Movimientos!$K$1:$K$790,Movimientos!$C$1:$C$790,"Arbor Capital Properties",Movimientos!$B$1:$B$790,"&lt;="&amp;$B35)</f>
        <v>1428.08</v>
      </c>
      <c r="Q35" s="24">
        <f>SUMIFS('Saldos Iniciales'!$D:$D,'Saldos Iniciales'!$A:$A,"2515 Overbrook")+SUMIFS(Movimientos!$K$1:$K$790,Movimientos!$C$1:$C$790,"2515 Overbrook",Movimientos!$B$1:$B$790,"&lt;="&amp;$B35)</f>
        <v>25789.969999999961</v>
      </c>
      <c r="R35" s="24">
        <f>SUMIFS('Saldos Iniciales'!$D:$D,'Saldos Iniciales'!$A:$A,"112 Florida Ave")+SUMIFS(Movimientos!$K$1:$K$790,Movimientos!$C$1:$C$790,"112 Florida Ave",Movimientos!$B$1:$B$790,"&lt;="&amp;$B35)</f>
        <v>5321.4300000000021</v>
      </c>
      <c r="S35" s="24">
        <f>SUMIFS('Saldos Iniciales'!$D:$D,'Saldos Iniciales'!$A:$A,"3628 Thomas Ave")+SUMIFS(Movimientos!$K$1:$K$790,Movimientos!$C$1:$C$790,"3628 Thomas Ave",Movimientos!$B$1:$B$790,"&lt;="&amp;$B35)</f>
        <v>24833.23</v>
      </c>
      <c r="T35" s="24">
        <f>SUMIFS('Saldos Iniciales'!$D:$D,'Saldos Iniciales'!$A:$A,"Green Harbor Trust")+SUMIFS(Movimientos!$K$1:$K$790,Movimientos!$C$1:$C$790,"Green Harbor Trust",Movimientos!$B$1:$B$790,"&lt;="&amp;$B35)</f>
        <v>345</v>
      </c>
      <c r="U35" s="24">
        <f>SUMIFS('Saldos Iniciales'!$D:$D,'Saldos Iniciales'!$A:$A,"Go Blue")+SUMIFS(Movimientos!$K$1:$K$790,Movimientos!$C$1:$C$790,"Go Blue",Movimientos!$B$1:$B$790,"&lt;="&amp;$B35)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Group")+SUMIFS(Movimientos!$K$1:$K$790,Movimientos!$C$1:$C$790,"CFT Group",Movimientos!$B$1:$B$790,"&lt;="&amp;$B36)</f>
        <v>733394.14000000013</v>
      </c>
      <c r="D36" s="24">
        <f>SUMIFS('Saldos Iniciales'!$D:$D,'Saldos Iniciales'!$A:$A,"M1B")+SUMIFS(Movimientos!$K$1:$K$790,Movimientos!$C$1:$C$790,"M1B",Movimientos!$B$1:$B$790,"&lt;="&amp;$B36)</f>
        <v>69376.390000000174</v>
      </c>
      <c r="E36" s="24">
        <f>SUMIFS('Saldos Iniciales'!$D:$D,'Saldos Iniciales'!$A:$A,"Durand")+SUMIFS(Movimientos!$K$1:$K$790,Movimientos!$C$1:$C$790,"Durand",Movimientos!$B$1:$B$790,"&lt;="&amp;$B36)</f>
        <v>1669.89</v>
      </c>
      <c r="F36" s="24">
        <f>SUMIFS('Saldos Iniciales'!$D:$D,'Saldos Iniciales'!$A:$A,"A&amp;M Imports")+SUMIFS(Movimientos!$K$1:$K$790,Movimientos!$C$1:$C$790,"A&amp;M Imports",Movimientos!$B$1:$B$790,"&lt;="&amp;$B36)</f>
        <v>729545.23999999987</v>
      </c>
      <c r="G36" s="24">
        <f>SUMIFS('Saldos Iniciales'!$D:$D,'Saldos Iniciales'!$A:$A,"SSP Capital")+SUMIFS(Movimientos!$K$1:$K$790,Movimientos!$C$1:$C$790,"SSP Capital",Movimientos!$B$1:$B$790,"&lt;="&amp;$B36)</f>
        <v>1171714.4499999993</v>
      </c>
      <c r="H36" s="24">
        <f>SUMIFS('Saldos Iniciales'!$D:$D,'Saldos Iniciales'!$A:$A,"Cross Family Trust")+SUMIFS(Movimientos!$K$1:$K$790,Movimientos!$C$1:$C$790,"Cross Family Trust",Movimientos!$B$1:$B$790,"&lt;="&amp;$B36)</f>
        <v>116496.38</v>
      </c>
      <c r="I36" s="24">
        <f>SUMIFS('Saldos Iniciales'!$D:$D,'Saldos Iniciales'!$A:$A,"Cross Security Trust")+SUMIFS(Movimientos!$K$1:$K$790,Movimientos!$C$1:$C$790,"Cross Security Trust",Movimientos!$B$1:$B$790,"&lt;="&amp;$B36)</f>
        <v>88090.37</v>
      </c>
      <c r="J36" s="24">
        <f>SUMIFS('Saldos Iniciales'!$D:$D,'Saldos Iniciales'!$A:$A,"Electrama")+SUMIFS(Movimientos!$K$1:$K$790,Movimientos!$C$1:$C$790,"Electrama",Movimientos!$B$1:$B$790,"&lt;="&amp;$B36)</f>
        <v>511.15999999999985</v>
      </c>
      <c r="K36" s="24">
        <f>SUMIFS('Saldos Iniciales'!$D:$D,'Saldos Iniciales'!$A:$A,"Sacred Valley Capital")+SUMIFS(Movimientos!$K$1:$K$790,Movimientos!$C$1:$C$790,"Sacred Valley Capital",Movimientos!$B$1:$B$790,"&lt;="&amp;$B36)</f>
        <v>84.35</v>
      </c>
      <c r="L36" s="24">
        <f>SUMIFS('Saldos Iniciales'!$D:$D,'Saldos Iniciales'!$A:$A,"YWC Capital")+SUMIFS(Movimientos!$K$1:$K$790,Movimientos!$C$1:$C$790,"YWC Capital",Movimientos!$B$1:$B$790,"&lt;="&amp;$B36)</f>
        <v>2237.77</v>
      </c>
      <c r="M36" s="24">
        <f>SUMIFS('Saldos Iniciales'!$D:$D,'Saldos Iniciales'!$A:$A,"Soweto")+SUMIFS(Movimientos!$K$1:$K$790,Movimientos!$C$1:$C$790,"Soweto",Movimientos!$B$1:$B$790,"&lt;="&amp;$B36)</f>
        <v>3349.94</v>
      </c>
      <c r="N36" s="24">
        <f>SUMIFS('Saldos Iniciales'!$D:$D,'Saldos Iniciales'!$A:$A,"Green Stone Trust")+SUMIFS(Movimientos!$K$1:$K$790,Movimientos!$C$1:$C$790,"Green Stone Trust",Movimientos!$B$1:$B$790,"&lt;="&amp;$B36)</f>
        <v>1968.99</v>
      </c>
      <c r="O36" s="24">
        <f>SUMIFS('Saldos Iniciales'!$D:$D,'Saldos Iniciales'!$A:$A,"EC Auto")+SUMIFS(Movimientos!$K$1:$K$790,Movimientos!$C$1:$C$790,"EC Auto",Movimientos!$B$1:$B$790,"&lt;="&amp;$B36)</f>
        <v>382.69000000000005</v>
      </c>
      <c r="P36" s="24">
        <f>SUMIFS('Saldos Iniciales'!$D:$D,'Saldos Iniciales'!$A:$A,"Arbor Capital Properties")+SUMIFS(Movimientos!$K$1:$K$790,Movimientos!$C$1:$C$790,"Arbor Capital Properties",Movimientos!$B$1:$B$790,"&lt;="&amp;$B36)</f>
        <v>1428.08</v>
      </c>
      <c r="Q36" s="24">
        <f>SUMIFS('Saldos Iniciales'!$D:$D,'Saldos Iniciales'!$A:$A,"2515 Overbrook")+SUMIFS(Movimientos!$K$1:$K$790,Movimientos!$C$1:$C$790,"2515 Overbrook",Movimientos!$B$1:$B$790,"&lt;="&amp;$B36)</f>
        <v>25789.969999999961</v>
      </c>
      <c r="R36" s="24">
        <f>SUMIFS('Saldos Iniciales'!$D:$D,'Saldos Iniciales'!$A:$A,"112 Florida Ave")+SUMIFS(Movimientos!$K$1:$K$790,Movimientos!$C$1:$C$790,"112 Florida Ave",Movimientos!$B$1:$B$790,"&lt;="&amp;$B36)</f>
        <v>5321.4300000000021</v>
      </c>
      <c r="S36" s="24">
        <f>SUMIFS('Saldos Iniciales'!$D:$D,'Saldos Iniciales'!$A:$A,"3628 Thomas Ave")+SUMIFS(Movimientos!$K$1:$K$790,Movimientos!$C$1:$C$790,"3628 Thomas Ave",Movimientos!$B$1:$B$790,"&lt;="&amp;$B36)</f>
        <v>24833.23</v>
      </c>
      <c r="T36" s="24">
        <f>SUMIFS('Saldos Iniciales'!$D:$D,'Saldos Iniciales'!$A:$A,"Green Harbor Trust")+SUMIFS(Movimientos!$K$1:$K$790,Movimientos!$C$1:$C$790,"Green Harbor Trust",Movimientos!$B$1:$B$790,"&lt;="&amp;$B36)</f>
        <v>345</v>
      </c>
      <c r="U36" s="24">
        <f>SUMIFS('Saldos Iniciales'!$D:$D,'Saldos Iniciales'!$A:$A,"Go Blue")+SUMIFS(Movimientos!$K$1:$K$790,Movimientos!$C$1:$C$790,"Go Blue",Movimientos!$B$1:$B$790,"&lt;="&amp;$B36)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Group")+SUMIFS(Movimientos!$K$1:$K$790,Movimientos!$C$1:$C$790,"CFT Group",Movimientos!$B$1:$B$790,"&lt;="&amp;$B37)</f>
        <v>733394.14000000013</v>
      </c>
      <c r="D37" s="24">
        <f>SUMIFS('Saldos Iniciales'!$D:$D,'Saldos Iniciales'!$A:$A,"M1B")+SUMIFS(Movimientos!$K$1:$K$790,Movimientos!$C$1:$C$790,"M1B",Movimientos!$B$1:$B$790,"&lt;="&amp;$B37)</f>
        <v>69376.390000000174</v>
      </c>
      <c r="E37" s="24">
        <f>SUMIFS('Saldos Iniciales'!$D:$D,'Saldos Iniciales'!$A:$A,"Durand")+SUMIFS(Movimientos!$K$1:$K$790,Movimientos!$C$1:$C$790,"Durand",Movimientos!$B$1:$B$790,"&lt;="&amp;$B37)</f>
        <v>1669.89</v>
      </c>
      <c r="F37" s="24">
        <f>SUMIFS('Saldos Iniciales'!$D:$D,'Saldos Iniciales'!$A:$A,"A&amp;M Imports")+SUMIFS(Movimientos!$K$1:$K$790,Movimientos!$C$1:$C$790,"A&amp;M Imports",Movimientos!$B$1:$B$790,"&lt;="&amp;$B37)</f>
        <v>729545.23999999987</v>
      </c>
      <c r="G37" s="24">
        <f>SUMIFS('Saldos Iniciales'!$D:$D,'Saldos Iniciales'!$A:$A,"SSP Capital")+SUMIFS(Movimientos!$K$1:$K$790,Movimientos!$C$1:$C$790,"SSP Capital",Movimientos!$B$1:$B$790,"&lt;="&amp;$B37)</f>
        <v>1164028.3199999994</v>
      </c>
      <c r="H37" s="24">
        <f>SUMIFS('Saldos Iniciales'!$D:$D,'Saldos Iniciales'!$A:$A,"Cross Family Trust")+SUMIFS(Movimientos!$K$1:$K$790,Movimientos!$C$1:$C$790,"Cross Family Trust",Movimientos!$B$1:$B$790,"&lt;="&amp;$B37)</f>
        <v>116496.38</v>
      </c>
      <c r="I37" s="24">
        <f>SUMIFS('Saldos Iniciales'!$D:$D,'Saldos Iniciales'!$A:$A,"Cross Security Trust")+SUMIFS(Movimientos!$K$1:$K$790,Movimientos!$C$1:$C$790,"Cross Security Trust",Movimientos!$B$1:$B$790,"&lt;="&amp;$B37)</f>
        <v>88090.37</v>
      </c>
      <c r="J37" s="24">
        <f>SUMIFS('Saldos Iniciales'!$D:$D,'Saldos Iniciales'!$A:$A,"Electrama")+SUMIFS(Movimientos!$K$1:$K$790,Movimientos!$C$1:$C$790,"Electrama",Movimientos!$B$1:$B$790,"&lt;="&amp;$B37)</f>
        <v>511.15999999999985</v>
      </c>
      <c r="K37" s="24">
        <f>SUMIFS('Saldos Iniciales'!$D:$D,'Saldos Iniciales'!$A:$A,"Sacred Valley Capital")+SUMIFS(Movimientos!$K$1:$K$790,Movimientos!$C$1:$C$790,"Sacred Valley Capital",Movimientos!$B$1:$B$790,"&lt;="&amp;$B37)</f>
        <v>84.35</v>
      </c>
      <c r="L37" s="24">
        <f>SUMIFS('Saldos Iniciales'!$D:$D,'Saldos Iniciales'!$A:$A,"YWC Capital")+SUMIFS(Movimientos!$K$1:$K$790,Movimientos!$C$1:$C$790,"YWC Capital",Movimientos!$B$1:$B$790,"&lt;="&amp;$B37)</f>
        <v>2237.77</v>
      </c>
      <c r="M37" s="24">
        <f>SUMIFS('Saldos Iniciales'!$D:$D,'Saldos Iniciales'!$A:$A,"Soweto")+SUMIFS(Movimientos!$K$1:$K$790,Movimientos!$C$1:$C$790,"Soweto",Movimientos!$B$1:$B$790,"&lt;="&amp;$B37)</f>
        <v>3349.94</v>
      </c>
      <c r="N37" s="24">
        <f>SUMIFS('Saldos Iniciales'!$D:$D,'Saldos Iniciales'!$A:$A,"Green Stone Trust")+SUMIFS(Movimientos!$K$1:$K$790,Movimientos!$C$1:$C$790,"Green Stone Trust",Movimientos!$B$1:$B$790,"&lt;="&amp;$B37)</f>
        <v>1968.99</v>
      </c>
      <c r="O37" s="24">
        <f>SUMIFS('Saldos Iniciales'!$D:$D,'Saldos Iniciales'!$A:$A,"EC Auto")+SUMIFS(Movimientos!$K$1:$K$790,Movimientos!$C$1:$C$790,"EC Auto",Movimientos!$B$1:$B$790,"&lt;="&amp;$B37)</f>
        <v>382.69000000000005</v>
      </c>
      <c r="P37" s="24">
        <f>SUMIFS('Saldos Iniciales'!$D:$D,'Saldos Iniciales'!$A:$A,"Arbor Capital Properties")+SUMIFS(Movimientos!$K$1:$K$790,Movimientos!$C$1:$C$790,"Arbor Capital Properties",Movimientos!$B$1:$B$790,"&lt;="&amp;$B37)</f>
        <v>1428.08</v>
      </c>
      <c r="Q37" s="24">
        <f>SUMIFS('Saldos Iniciales'!$D:$D,'Saldos Iniciales'!$A:$A,"2515 Overbrook")+SUMIFS(Movimientos!$K$1:$K$790,Movimientos!$C$1:$C$790,"2515 Overbrook",Movimientos!$B$1:$B$790,"&lt;="&amp;$B37)</f>
        <v>25789.969999999961</v>
      </c>
      <c r="R37" s="24">
        <f>SUMIFS('Saldos Iniciales'!$D:$D,'Saldos Iniciales'!$A:$A,"112 Florida Ave")+SUMIFS(Movimientos!$K$1:$K$790,Movimientos!$C$1:$C$790,"112 Florida Ave",Movimientos!$B$1:$B$790,"&lt;="&amp;$B37)</f>
        <v>5321.4300000000021</v>
      </c>
      <c r="S37" s="24">
        <f>SUMIFS('Saldos Iniciales'!$D:$D,'Saldos Iniciales'!$A:$A,"3628 Thomas Ave")+SUMIFS(Movimientos!$K$1:$K$790,Movimientos!$C$1:$C$790,"3628 Thomas Ave",Movimientos!$B$1:$B$790,"&lt;="&amp;$B37)</f>
        <v>24833.23</v>
      </c>
      <c r="T37" s="24">
        <f>SUMIFS('Saldos Iniciales'!$D:$D,'Saldos Iniciales'!$A:$A,"Green Harbor Trust")+SUMIFS(Movimientos!$K$1:$K$790,Movimientos!$C$1:$C$790,"Green Harbor Trust",Movimientos!$B$1:$B$790,"&lt;="&amp;$B37)</f>
        <v>345</v>
      </c>
      <c r="U37" s="24">
        <f>SUMIFS('Saldos Iniciales'!$D:$D,'Saldos Iniciales'!$A:$A,"Go Blue")+SUMIFS(Movimientos!$K$1:$K$790,Movimientos!$C$1:$C$790,"Go Blue",Movimientos!$B$1:$B$790,"&lt;="&amp;$B37)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Group")+SUMIFS(Movimientos!$K$1:$K$790,Movimientos!$C$1:$C$790,"CFT Group",Movimientos!$B$1:$B$790,"&lt;="&amp;$B38)</f>
        <v>733394.14000000013</v>
      </c>
      <c r="D38" s="24">
        <f>SUMIFS('Saldos Iniciales'!$D:$D,'Saldos Iniciales'!$A:$A,"M1B")+SUMIFS(Movimientos!$K$1:$K$790,Movimientos!$C$1:$C$790,"M1B",Movimientos!$B$1:$B$790,"&lt;="&amp;$B38)</f>
        <v>69376.390000000174</v>
      </c>
      <c r="E38" s="24">
        <f>SUMIFS('Saldos Iniciales'!$D:$D,'Saldos Iniciales'!$A:$A,"Durand")+SUMIFS(Movimientos!$K$1:$K$790,Movimientos!$C$1:$C$790,"Durand",Movimientos!$B$1:$B$790,"&lt;="&amp;$B38)</f>
        <v>1669.89</v>
      </c>
      <c r="F38" s="24">
        <f>SUMIFS('Saldos Iniciales'!$D:$D,'Saldos Iniciales'!$A:$A,"A&amp;M Imports")+SUMIFS(Movimientos!$K$1:$K$790,Movimientos!$C$1:$C$790,"A&amp;M Imports",Movimientos!$B$1:$B$790,"&lt;="&amp;$B38)</f>
        <v>729545.23999999987</v>
      </c>
      <c r="G38" s="24">
        <f>SUMIFS('Saldos Iniciales'!$D:$D,'Saldos Iniciales'!$A:$A,"SSP Capital")+SUMIFS(Movimientos!$K$1:$K$790,Movimientos!$C$1:$C$790,"SSP Capital",Movimientos!$B$1:$B$790,"&lt;="&amp;$B38)</f>
        <v>1164028.3199999994</v>
      </c>
      <c r="H38" s="24">
        <f>SUMIFS('Saldos Iniciales'!$D:$D,'Saldos Iniciales'!$A:$A,"Cross Family Trust")+SUMIFS(Movimientos!$K$1:$K$790,Movimientos!$C$1:$C$790,"Cross Family Trust",Movimientos!$B$1:$B$790,"&lt;="&amp;$B38)</f>
        <v>116496.38</v>
      </c>
      <c r="I38" s="24">
        <f>SUMIFS('Saldos Iniciales'!$D:$D,'Saldos Iniciales'!$A:$A,"Cross Security Trust")+SUMIFS(Movimientos!$K$1:$K$790,Movimientos!$C$1:$C$790,"Cross Security Trust",Movimientos!$B$1:$B$790,"&lt;="&amp;$B38)</f>
        <v>88090.37</v>
      </c>
      <c r="J38" s="24">
        <f>SUMIFS('Saldos Iniciales'!$D:$D,'Saldos Iniciales'!$A:$A,"Electrama")+SUMIFS(Movimientos!$K$1:$K$790,Movimientos!$C$1:$C$790,"Electrama",Movimientos!$B$1:$B$790,"&lt;="&amp;$B38)</f>
        <v>511.15999999999985</v>
      </c>
      <c r="K38" s="24">
        <f>SUMIFS('Saldos Iniciales'!$D:$D,'Saldos Iniciales'!$A:$A,"Sacred Valley Capital")+SUMIFS(Movimientos!$K$1:$K$790,Movimientos!$C$1:$C$790,"Sacred Valley Capital",Movimientos!$B$1:$B$790,"&lt;="&amp;$B38)</f>
        <v>84.35</v>
      </c>
      <c r="L38" s="24">
        <f>SUMIFS('Saldos Iniciales'!$D:$D,'Saldos Iniciales'!$A:$A,"YWC Capital")+SUMIFS(Movimientos!$K$1:$K$790,Movimientos!$C$1:$C$790,"YWC Capital",Movimientos!$B$1:$B$790,"&lt;="&amp;$B38)</f>
        <v>2237.77</v>
      </c>
      <c r="M38" s="24">
        <f>SUMIFS('Saldos Iniciales'!$D:$D,'Saldos Iniciales'!$A:$A,"Soweto")+SUMIFS(Movimientos!$K$1:$K$790,Movimientos!$C$1:$C$790,"Soweto",Movimientos!$B$1:$B$790,"&lt;="&amp;$B38)</f>
        <v>3349.94</v>
      </c>
      <c r="N38" s="24">
        <f>SUMIFS('Saldos Iniciales'!$D:$D,'Saldos Iniciales'!$A:$A,"Green Stone Trust")+SUMIFS(Movimientos!$K$1:$K$790,Movimientos!$C$1:$C$790,"Green Stone Trust",Movimientos!$B$1:$B$790,"&lt;="&amp;$B38)</f>
        <v>1968.99</v>
      </c>
      <c r="O38" s="24">
        <f>SUMIFS('Saldos Iniciales'!$D:$D,'Saldos Iniciales'!$A:$A,"EC Auto")+SUMIFS(Movimientos!$K$1:$K$790,Movimientos!$C$1:$C$790,"EC Auto",Movimientos!$B$1:$B$790,"&lt;="&amp;$B38)</f>
        <v>382.69000000000005</v>
      </c>
      <c r="P38" s="24">
        <f>SUMIFS('Saldos Iniciales'!$D:$D,'Saldos Iniciales'!$A:$A,"Arbor Capital Properties")+SUMIFS(Movimientos!$K$1:$K$790,Movimientos!$C$1:$C$790,"Arbor Capital Properties",Movimientos!$B$1:$B$790,"&lt;="&amp;$B38)</f>
        <v>1428.08</v>
      </c>
      <c r="Q38" s="24">
        <f>SUMIFS('Saldos Iniciales'!$D:$D,'Saldos Iniciales'!$A:$A,"2515 Overbrook")+SUMIFS(Movimientos!$K$1:$K$790,Movimientos!$C$1:$C$790,"2515 Overbrook",Movimientos!$B$1:$B$790,"&lt;="&amp;$B38)</f>
        <v>25789.969999999961</v>
      </c>
      <c r="R38" s="24">
        <f>SUMIFS('Saldos Iniciales'!$D:$D,'Saldos Iniciales'!$A:$A,"112 Florida Ave")+SUMIFS(Movimientos!$K$1:$K$790,Movimientos!$C$1:$C$790,"112 Florida Ave",Movimientos!$B$1:$B$790,"&lt;="&amp;$B38)</f>
        <v>5321.4300000000021</v>
      </c>
      <c r="S38" s="24">
        <f>SUMIFS('Saldos Iniciales'!$D:$D,'Saldos Iniciales'!$A:$A,"3628 Thomas Ave")+SUMIFS(Movimientos!$K$1:$K$790,Movimientos!$C$1:$C$790,"3628 Thomas Ave",Movimientos!$B$1:$B$790,"&lt;="&amp;$B38)</f>
        <v>24833.23</v>
      </c>
      <c r="T38" s="24">
        <f>SUMIFS('Saldos Iniciales'!$D:$D,'Saldos Iniciales'!$A:$A,"Green Harbor Trust")+SUMIFS(Movimientos!$K$1:$K$790,Movimientos!$C$1:$C$790,"Green Harbor Trust",Movimientos!$B$1:$B$790,"&lt;="&amp;$B38)</f>
        <v>345</v>
      </c>
      <c r="U38" s="24">
        <f>SUMIFS('Saldos Iniciales'!$D:$D,'Saldos Iniciales'!$A:$A,"Go Blue")+SUMIFS(Movimientos!$K$1:$K$790,Movimientos!$C$1:$C$790,"Go Blue",Movimientos!$B$1:$B$790,"&lt;="&amp;$B38)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Group")+SUMIFS(Movimientos!$K$1:$K$790,Movimientos!$C$1:$C$790,"CFT Group",Movimientos!$B$1:$B$790,"&lt;="&amp;$B39)</f>
        <v>733394.14000000013</v>
      </c>
      <c r="D39" s="24">
        <f>SUMIFS('Saldos Iniciales'!$D:$D,'Saldos Iniciales'!$A:$A,"M1B")+SUMIFS(Movimientos!$K$1:$K$790,Movimientos!$C$1:$C$790,"M1B",Movimientos!$B$1:$B$790,"&lt;="&amp;$B39)</f>
        <v>69376.390000000174</v>
      </c>
      <c r="E39" s="24">
        <f>SUMIFS('Saldos Iniciales'!$D:$D,'Saldos Iniciales'!$A:$A,"Durand")+SUMIFS(Movimientos!$K$1:$K$790,Movimientos!$C$1:$C$790,"Durand",Movimientos!$B$1:$B$790,"&lt;="&amp;$B39)</f>
        <v>1669.89</v>
      </c>
      <c r="F39" s="24">
        <f>SUMIFS('Saldos Iniciales'!$D:$D,'Saldos Iniciales'!$A:$A,"A&amp;M Imports")+SUMIFS(Movimientos!$K$1:$K$790,Movimientos!$C$1:$C$790,"A&amp;M Imports",Movimientos!$B$1:$B$790,"&lt;="&amp;$B39)</f>
        <v>729545.23999999987</v>
      </c>
      <c r="G39" s="24">
        <f>SUMIFS('Saldos Iniciales'!$D:$D,'Saldos Iniciales'!$A:$A,"SSP Capital")+SUMIFS(Movimientos!$K$1:$K$790,Movimientos!$C$1:$C$790,"SSP Capital",Movimientos!$B$1:$B$790,"&lt;="&amp;$B39)</f>
        <v>1164028.3199999994</v>
      </c>
      <c r="H39" s="24">
        <f>SUMIFS('Saldos Iniciales'!$D:$D,'Saldos Iniciales'!$A:$A,"Cross Family Trust")+SUMIFS(Movimientos!$K$1:$K$790,Movimientos!$C$1:$C$790,"Cross Family Trust",Movimientos!$B$1:$B$790,"&lt;="&amp;$B39)</f>
        <v>116496.38</v>
      </c>
      <c r="I39" s="24">
        <f>SUMIFS('Saldos Iniciales'!$D:$D,'Saldos Iniciales'!$A:$A,"Cross Security Trust")+SUMIFS(Movimientos!$K$1:$K$790,Movimientos!$C$1:$C$790,"Cross Security Trust",Movimientos!$B$1:$B$790,"&lt;="&amp;$B39)</f>
        <v>88090.37</v>
      </c>
      <c r="J39" s="24">
        <f>SUMIFS('Saldos Iniciales'!$D:$D,'Saldos Iniciales'!$A:$A,"Electrama")+SUMIFS(Movimientos!$K$1:$K$790,Movimientos!$C$1:$C$790,"Electrama",Movimientos!$B$1:$B$790,"&lt;="&amp;$B39)</f>
        <v>511.15999999999985</v>
      </c>
      <c r="K39" s="24">
        <f>SUMIFS('Saldos Iniciales'!$D:$D,'Saldos Iniciales'!$A:$A,"Sacred Valley Capital")+SUMIFS(Movimientos!$K$1:$K$790,Movimientos!$C$1:$C$790,"Sacred Valley Capital",Movimientos!$B$1:$B$790,"&lt;="&amp;$B39)</f>
        <v>84.35</v>
      </c>
      <c r="L39" s="24">
        <f>SUMIFS('Saldos Iniciales'!$D:$D,'Saldos Iniciales'!$A:$A,"YWC Capital")+SUMIFS(Movimientos!$K$1:$K$790,Movimientos!$C$1:$C$790,"YWC Capital",Movimientos!$B$1:$B$790,"&lt;="&amp;$B39)</f>
        <v>2237.77</v>
      </c>
      <c r="M39" s="24">
        <f>SUMIFS('Saldos Iniciales'!$D:$D,'Saldos Iniciales'!$A:$A,"Soweto")+SUMIFS(Movimientos!$K$1:$K$790,Movimientos!$C$1:$C$790,"Soweto",Movimientos!$B$1:$B$790,"&lt;="&amp;$B39)</f>
        <v>3349.94</v>
      </c>
      <c r="N39" s="24">
        <f>SUMIFS('Saldos Iniciales'!$D:$D,'Saldos Iniciales'!$A:$A,"Green Stone Trust")+SUMIFS(Movimientos!$K$1:$K$790,Movimientos!$C$1:$C$790,"Green Stone Trust",Movimientos!$B$1:$B$790,"&lt;="&amp;$B39)</f>
        <v>1968.99</v>
      </c>
      <c r="O39" s="24">
        <f>SUMIFS('Saldos Iniciales'!$D:$D,'Saldos Iniciales'!$A:$A,"EC Auto")+SUMIFS(Movimientos!$K$1:$K$790,Movimientos!$C$1:$C$790,"EC Auto",Movimientos!$B$1:$B$790,"&lt;="&amp;$B39)</f>
        <v>382.69000000000005</v>
      </c>
      <c r="P39" s="24">
        <f>SUMIFS('Saldos Iniciales'!$D:$D,'Saldos Iniciales'!$A:$A,"Arbor Capital Properties")+SUMIFS(Movimientos!$K$1:$K$790,Movimientos!$C$1:$C$790,"Arbor Capital Properties",Movimientos!$B$1:$B$790,"&lt;="&amp;$B39)</f>
        <v>1428.08</v>
      </c>
      <c r="Q39" s="24">
        <f>SUMIFS('Saldos Iniciales'!$D:$D,'Saldos Iniciales'!$A:$A,"2515 Overbrook")+SUMIFS(Movimientos!$K$1:$K$790,Movimientos!$C$1:$C$790,"2515 Overbrook",Movimientos!$B$1:$B$790,"&lt;="&amp;$B39)</f>
        <v>25789.969999999961</v>
      </c>
      <c r="R39" s="24">
        <f>SUMIFS('Saldos Iniciales'!$D:$D,'Saldos Iniciales'!$A:$A,"112 Florida Ave")+SUMIFS(Movimientos!$K$1:$K$790,Movimientos!$C$1:$C$790,"112 Florida Ave",Movimientos!$B$1:$B$790,"&lt;="&amp;$B39)</f>
        <v>5321.4300000000021</v>
      </c>
      <c r="S39" s="24">
        <f>SUMIFS('Saldos Iniciales'!$D:$D,'Saldos Iniciales'!$A:$A,"3628 Thomas Ave")+SUMIFS(Movimientos!$K$1:$K$790,Movimientos!$C$1:$C$790,"3628 Thomas Ave",Movimientos!$B$1:$B$790,"&lt;="&amp;$B39)</f>
        <v>24833.23</v>
      </c>
      <c r="T39" s="24">
        <f>SUMIFS('Saldos Iniciales'!$D:$D,'Saldos Iniciales'!$A:$A,"Green Harbor Trust")+SUMIFS(Movimientos!$K$1:$K$790,Movimientos!$C$1:$C$790,"Green Harbor Trust",Movimientos!$B$1:$B$790,"&lt;="&amp;$B39)</f>
        <v>345</v>
      </c>
      <c r="U39" s="24">
        <f>SUMIFS('Saldos Iniciales'!$D:$D,'Saldos Iniciales'!$A:$A,"Go Blue")+SUMIFS(Movimientos!$K$1:$K$790,Movimientos!$C$1:$C$790,"Go Blue",Movimientos!$B$1:$B$790,"&lt;="&amp;$B39)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Group")+SUMIFS(Movimientos!$K$1:$K$790,Movimientos!$C$1:$C$790,"CFT Group",Movimientos!$B$1:$B$790,"&lt;="&amp;$B40)</f>
        <v>733394.14000000013</v>
      </c>
      <c r="D40" s="24">
        <f>SUMIFS('Saldos Iniciales'!$D:$D,'Saldos Iniciales'!$A:$A,"M1B")+SUMIFS(Movimientos!$K$1:$K$790,Movimientos!$C$1:$C$790,"M1B",Movimientos!$B$1:$B$790,"&lt;="&amp;$B40)</f>
        <v>69376.390000000174</v>
      </c>
      <c r="E40" s="24">
        <f>SUMIFS('Saldos Iniciales'!$D:$D,'Saldos Iniciales'!$A:$A,"Durand")+SUMIFS(Movimientos!$K$1:$K$790,Movimientos!$C$1:$C$790,"Durand",Movimientos!$B$1:$B$790,"&lt;="&amp;$B40)</f>
        <v>1669.89</v>
      </c>
      <c r="F40" s="24">
        <f>SUMIFS('Saldos Iniciales'!$D:$D,'Saldos Iniciales'!$A:$A,"A&amp;M Imports")+SUMIFS(Movimientos!$K$1:$K$790,Movimientos!$C$1:$C$790,"A&amp;M Imports",Movimientos!$B$1:$B$790,"&lt;="&amp;$B40)</f>
        <v>729545.23999999987</v>
      </c>
      <c r="G40" s="24">
        <f>SUMIFS('Saldos Iniciales'!$D:$D,'Saldos Iniciales'!$A:$A,"SSP Capital")+SUMIFS(Movimientos!$K$1:$K$790,Movimientos!$C$1:$C$790,"SSP Capital",Movimientos!$B$1:$B$790,"&lt;="&amp;$B40)</f>
        <v>1164028.3199999994</v>
      </c>
      <c r="H40" s="24">
        <f>SUMIFS('Saldos Iniciales'!$D:$D,'Saldos Iniciales'!$A:$A,"Cross Family Trust")+SUMIFS(Movimientos!$K$1:$K$790,Movimientos!$C$1:$C$790,"Cross Family Trust",Movimientos!$B$1:$B$790,"&lt;="&amp;$B40)</f>
        <v>116496.38</v>
      </c>
      <c r="I40" s="24">
        <f>SUMIFS('Saldos Iniciales'!$D:$D,'Saldos Iniciales'!$A:$A,"Cross Security Trust")+SUMIFS(Movimientos!$K$1:$K$790,Movimientos!$C$1:$C$790,"Cross Security Trust",Movimientos!$B$1:$B$790,"&lt;="&amp;$B40)</f>
        <v>88090.37</v>
      </c>
      <c r="J40" s="24">
        <f>SUMIFS('Saldos Iniciales'!$D:$D,'Saldos Iniciales'!$A:$A,"Electrama")+SUMIFS(Movimientos!$K$1:$K$790,Movimientos!$C$1:$C$790,"Electrama",Movimientos!$B$1:$B$790,"&lt;="&amp;$B40)</f>
        <v>511.15999999999985</v>
      </c>
      <c r="K40" s="24">
        <f>SUMIFS('Saldos Iniciales'!$D:$D,'Saldos Iniciales'!$A:$A,"Sacred Valley Capital")+SUMIFS(Movimientos!$K$1:$K$790,Movimientos!$C$1:$C$790,"Sacred Valley Capital",Movimientos!$B$1:$B$790,"&lt;="&amp;$B40)</f>
        <v>84.35</v>
      </c>
      <c r="L40" s="24">
        <f>SUMIFS('Saldos Iniciales'!$D:$D,'Saldos Iniciales'!$A:$A,"YWC Capital")+SUMIFS(Movimientos!$K$1:$K$790,Movimientos!$C$1:$C$790,"YWC Capital",Movimientos!$B$1:$B$790,"&lt;="&amp;$B40)</f>
        <v>2237.77</v>
      </c>
      <c r="M40" s="24">
        <f>SUMIFS('Saldos Iniciales'!$D:$D,'Saldos Iniciales'!$A:$A,"Soweto")+SUMIFS(Movimientos!$K$1:$K$790,Movimientos!$C$1:$C$790,"Soweto",Movimientos!$B$1:$B$790,"&lt;="&amp;$B40)</f>
        <v>3349.94</v>
      </c>
      <c r="N40" s="24">
        <f>SUMIFS('Saldos Iniciales'!$D:$D,'Saldos Iniciales'!$A:$A,"Green Stone Trust")+SUMIFS(Movimientos!$K$1:$K$790,Movimientos!$C$1:$C$790,"Green Stone Trust",Movimientos!$B$1:$B$790,"&lt;="&amp;$B40)</f>
        <v>1968.99</v>
      </c>
      <c r="O40" s="24">
        <f>SUMIFS('Saldos Iniciales'!$D:$D,'Saldos Iniciales'!$A:$A,"EC Auto")+SUMIFS(Movimientos!$K$1:$K$790,Movimientos!$C$1:$C$790,"EC Auto",Movimientos!$B$1:$B$790,"&lt;="&amp;$B40)</f>
        <v>382.69000000000005</v>
      </c>
      <c r="P40" s="24">
        <f>SUMIFS('Saldos Iniciales'!$D:$D,'Saldos Iniciales'!$A:$A,"Arbor Capital Properties")+SUMIFS(Movimientos!$K$1:$K$790,Movimientos!$C$1:$C$790,"Arbor Capital Properties",Movimientos!$B$1:$B$790,"&lt;="&amp;$B40)</f>
        <v>1428.08</v>
      </c>
      <c r="Q40" s="24">
        <f>SUMIFS('Saldos Iniciales'!$D:$D,'Saldos Iniciales'!$A:$A,"2515 Overbrook")+SUMIFS(Movimientos!$K$1:$K$790,Movimientos!$C$1:$C$790,"2515 Overbrook",Movimientos!$B$1:$B$790,"&lt;="&amp;$B40)</f>
        <v>25789.969999999961</v>
      </c>
      <c r="R40" s="24">
        <f>SUMIFS('Saldos Iniciales'!$D:$D,'Saldos Iniciales'!$A:$A,"112 Florida Ave")+SUMIFS(Movimientos!$K$1:$K$790,Movimientos!$C$1:$C$790,"112 Florida Ave",Movimientos!$B$1:$B$790,"&lt;="&amp;$B40)</f>
        <v>5321.4300000000021</v>
      </c>
      <c r="S40" s="24">
        <f>SUMIFS('Saldos Iniciales'!$D:$D,'Saldos Iniciales'!$A:$A,"3628 Thomas Ave")+SUMIFS(Movimientos!$K$1:$K$790,Movimientos!$C$1:$C$790,"3628 Thomas Ave",Movimientos!$B$1:$B$790,"&lt;="&amp;$B40)</f>
        <v>24833.23</v>
      </c>
      <c r="T40" s="24">
        <f>SUMIFS('Saldos Iniciales'!$D:$D,'Saldos Iniciales'!$A:$A,"Green Harbor Trust")+SUMIFS(Movimientos!$K$1:$K$790,Movimientos!$C$1:$C$790,"Green Harbor Trust",Movimientos!$B$1:$B$790,"&lt;="&amp;$B40)</f>
        <v>345</v>
      </c>
      <c r="U40" s="24">
        <f>SUMIFS('Saldos Iniciales'!$D:$D,'Saldos Iniciales'!$A:$A,"Go Blue")+SUMIFS(Movimientos!$K$1:$K$790,Movimientos!$C$1:$C$790,"Go Blue",Movimientos!$B$1:$B$790,"&lt;="&amp;$B40)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Group")+SUMIFS(Movimientos!$K$1:$K$790,Movimientos!$C$1:$C$790,"CFT Group",Movimientos!$B$1:$B$790,"&lt;="&amp;$B41)</f>
        <v>847381.29000000015</v>
      </c>
      <c r="D41" s="24">
        <f>SUMIFS('Saldos Iniciales'!$D:$D,'Saldos Iniciales'!$A:$A,"M1B")+SUMIFS(Movimientos!$K$1:$K$790,Movimientos!$C$1:$C$790,"M1B",Movimientos!$B$1:$B$790,"&lt;="&amp;$B41)</f>
        <v>69376.390000000174</v>
      </c>
      <c r="E41" s="24">
        <f>SUMIFS('Saldos Iniciales'!$D:$D,'Saldos Iniciales'!$A:$A,"Durand")+SUMIFS(Movimientos!$K$1:$K$790,Movimientos!$C$1:$C$790,"Durand",Movimientos!$B$1:$B$790,"&lt;="&amp;$B41)</f>
        <v>1669.89</v>
      </c>
      <c r="F41" s="24">
        <f>SUMIFS('Saldos Iniciales'!$D:$D,'Saldos Iniciales'!$A:$A,"A&amp;M Imports")+SUMIFS(Movimientos!$K$1:$K$790,Movimientos!$C$1:$C$790,"A&amp;M Imports",Movimientos!$B$1:$B$790,"&lt;="&amp;$B41)</f>
        <v>729545.23999999987</v>
      </c>
      <c r="G41" s="24">
        <f>SUMIFS('Saldos Iniciales'!$D:$D,'Saldos Iniciales'!$A:$A,"SSP Capital")+SUMIFS(Movimientos!$K$1:$K$790,Movimientos!$C$1:$C$790,"SSP Capital",Movimientos!$B$1:$B$790,"&lt;="&amp;$B41)</f>
        <v>1160274.0499999993</v>
      </c>
      <c r="H41" s="24">
        <f>SUMIFS('Saldos Iniciales'!$D:$D,'Saldos Iniciales'!$A:$A,"Cross Family Trust")+SUMIFS(Movimientos!$K$1:$K$790,Movimientos!$C$1:$C$790,"Cross Family Trust",Movimientos!$B$1:$B$790,"&lt;="&amp;$B41)</f>
        <v>116496.38</v>
      </c>
      <c r="I41" s="24">
        <f>SUMIFS('Saldos Iniciales'!$D:$D,'Saldos Iniciales'!$A:$A,"Cross Security Trust")+SUMIFS(Movimientos!$K$1:$K$790,Movimientos!$C$1:$C$790,"Cross Security Trust",Movimientos!$B$1:$B$790,"&lt;="&amp;$B41)</f>
        <v>88090.37</v>
      </c>
      <c r="J41" s="24">
        <f>SUMIFS('Saldos Iniciales'!$D:$D,'Saldos Iniciales'!$A:$A,"Electrama")+SUMIFS(Movimientos!$K$1:$K$790,Movimientos!$C$1:$C$790,"Electrama",Movimientos!$B$1:$B$790,"&lt;="&amp;$B41)</f>
        <v>511.15999999999985</v>
      </c>
      <c r="K41" s="24">
        <f>SUMIFS('Saldos Iniciales'!$D:$D,'Saldos Iniciales'!$A:$A,"Sacred Valley Capital")+SUMIFS(Movimientos!$K$1:$K$790,Movimientos!$C$1:$C$790,"Sacred Valley Capital",Movimientos!$B$1:$B$790,"&lt;="&amp;$B41)</f>
        <v>84.35</v>
      </c>
      <c r="L41" s="24">
        <f>SUMIFS('Saldos Iniciales'!$D:$D,'Saldos Iniciales'!$A:$A,"YWC Capital")+SUMIFS(Movimientos!$K$1:$K$790,Movimientos!$C$1:$C$790,"YWC Capital",Movimientos!$B$1:$B$790,"&lt;="&amp;$B41)</f>
        <v>2237.77</v>
      </c>
      <c r="M41" s="24">
        <f>SUMIFS('Saldos Iniciales'!$D:$D,'Saldos Iniciales'!$A:$A,"Soweto")+SUMIFS(Movimientos!$K$1:$K$790,Movimientos!$C$1:$C$790,"Soweto",Movimientos!$B$1:$B$790,"&lt;="&amp;$B41)</f>
        <v>3349.94</v>
      </c>
      <c r="N41" s="24">
        <f>SUMIFS('Saldos Iniciales'!$D:$D,'Saldos Iniciales'!$A:$A,"Green Stone Trust")+SUMIFS(Movimientos!$K$1:$K$790,Movimientos!$C$1:$C$790,"Green Stone Trust",Movimientos!$B$1:$B$790,"&lt;="&amp;$B41)</f>
        <v>1968.99</v>
      </c>
      <c r="O41" s="24">
        <f>SUMIFS('Saldos Iniciales'!$D:$D,'Saldos Iniciales'!$A:$A,"EC Auto")+SUMIFS(Movimientos!$K$1:$K$790,Movimientos!$C$1:$C$790,"EC Auto",Movimientos!$B$1:$B$790,"&lt;="&amp;$B41)</f>
        <v>382.69000000000005</v>
      </c>
      <c r="P41" s="24">
        <f>SUMIFS('Saldos Iniciales'!$D:$D,'Saldos Iniciales'!$A:$A,"Arbor Capital Properties")+SUMIFS(Movimientos!$K$1:$K$790,Movimientos!$C$1:$C$790,"Arbor Capital Properties",Movimientos!$B$1:$B$790,"&lt;="&amp;$B41)</f>
        <v>1428.08</v>
      </c>
      <c r="Q41" s="24">
        <f>SUMIFS('Saldos Iniciales'!$D:$D,'Saldos Iniciales'!$A:$A,"2515 Overbrook")+SUMIFS(Movimientos!$K$1:$K$790,Movimientos!$C$1:$C$790,"2515 Overbrook",Movimientos!$B$1:$B$790,"&lt;="&amp;$B41)</f>
        <v>25789.969999999961</v>
      </c>
      <c r="R41" s="24">
        <f>SUMIFS('Saldos Iniciales'!$D:$D,'Saldos Iniciales'!$A:$A,"112 Florida Ave")+SUMIFS(Movimientos!$K$1:$K$790,Movimientos!$C$1:$C$790,"112 Florida Ave",Movimientos!$B$1:$B$790,"&lt;="&amp;$B41)</f>
        <v>5321.4300000000021</v>
      </c>
      <c r="S41" s="24">
        <f>SUMIFS('Saldos Iniciales'!$D:$D,'Saldos Iniciales'!$A:$A,"3628 Thomas Ave")+SUMIFS(Movimientos!$K$1:$K$790,Movimientos!$C$1:$C$790,"3628 Thomas Ave",Movimientos!$B$1:$B$790,"&lt;="&amp;$B41)</f>
        <v>24833.23</v>
      </c>
      <c r="T41" s="24">
        <f>SUMIFS('Saldos Iniciales'!$D:$D,'Saldos Iniciales'!$A:$A,"Green Harbor Trust")+SUMIFS(Movimientos!$K$1:$K$790,Movimientos!$C$1:$C$790,"Green Harbor Trust",Movimientos!$B$1:$B$790,"&lt;="&amp;$B41)</f>
        <v>345</v>
      </c>
      <c r="U41" s="24">
        <f>SUMIFS('Saldos Iniciales'!$D:$D,'Saldos Iniciales'!$A:$A,"Go Blue")+SUMIFS(Movimientos!$K$1:$K$790,Movimientos!$C$1:$C$790,"Go Blue",Movimientos!$B$1:$B$790,"&lt;="&amp;$B41)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Group")+SUMIFS(Movimientos!$K$1:$K$790,Movimientos!$C$1:$C$790,"CFT Group",Movimientos!$B$1:$B$790,"&lt;="&amp;$B42)</f>
        <v>2288745.9500000002</v>
      </c>
      <c r="D42" s="24">
        <f>SUMIFS('Saldos Iniciales'!$D:$D,'Saldos Iniciales'!$A:$A,"M1B")+SUMIFS(Movimientos!$K$1:$K$790,Movimientos!$C$1:$C$790,"M1B",Movimientos!$B$1:$B$790,"&lt;="&amp;$B42)</f>
        <v>69376.390000000174</v>
      </c>
      <c r="E42" s="24">
        <f>SUMIFS('Saldos Iniciales'!$D:$D,'Saldos Iniciales'!$A:$A,"Durand")+SUMIFS(Movimientos!$K$1:$K$790,Movimientos!$C$1:$C$790,"Durand",Movimientos!$B$1:$B$790,"&lt;="&amp;$B42)</f>
        <v>1669.89</v>
      </c>
      <c r="F42" s="24">
        <f>SUMIFS('Saldos Iniciales'!$D:$D,'Saldos Iniciales'!$A:$A,"A&amp;M Imports")+SUMIFS(Movimientos!$K$1:$K$790,Movimientos!$C$1:$C$790,"A&amp;M Imports",Movimientos!$B$1:$B$790,"&lt;="&amp;$B42)</f>
        <v>744306.80999999982</v>
      </c>
      <c r="G42" s="24">
        <f>SUMIFS('Saldos Iniciales'!$D:$D,'Saldos Iniciales'!$A:$A,"SSP Capital")+SUMIFS(Movimientos!$K$1:$K$790,Movimientos!$C$1:$C$790,"SSP Capital",Movimientos!$B$1:$B$790,"&lt;="&amp;$B42)</f>
        <v>1160274.0499999993</v>
      </c>
      <c r="H42" s="24">
        <f>SUMIFS('Saldos Iniciales'!$D:$D,'Saldos Iniciales'!$A:$A,"Cross Family Trust")+SUMIFS(Movimientos!$K$1:$K$790,Movimientos!$C$1:$C$790,"Cross Family Trust",Movimientos!$B$1:$B$790,"&lt;="&amp;$B42)</f>
        <v>116496.38</v>
      </c>
      <c r="I42" s="24">
        <f>SUMIFS('Saldos Iniciales'!$D:$D,'Saldos Iniciales'!$A:$A,"Cross Security Trust")+SUMIFS(Movimientos!$K$1:$K$790,Movimientos!$C$1:$C$790,"Cross Security Trust",Movimientos!$B$1:$B$790,"&lt;="&amp;$B42)</f>
        <v>88090.37</v>
      </c>
      <c r="J42" s="24">
        <f>SUMIFS('Saldos Iniciales'!$D:$D,'Saldos Iniciales'!$A:$A,"Electrama")+SUMIFS(Movimientos!$K$1:$K$790,Movimientos!$C$1:$C$790,"Electrama",Movimientos!$B$1:$B$790,"&lt;="&amp;$B42)</f>
        <v>511.15999999999985</v>
      </c>
      <c r="K42" s="24">
        <f>SUMIFS('Saldos Iniciales'!$D:$D,'Saldos Iniciales'!$A:$A,"Sacred Valley Capital")+SUMIFS(Movimientos!$K$1:$K$790,Movimientos!$C$1:$C$790,"Sacred Valley Capital",Movimientos!$B$1:$B$790,"&lt;="&amp;$B42)</f>
        <v>84.35</v>
      </c>
      <c r="L42" s="24">
        <f>SUMIFS('Saldos Iniciales'!$D:$D,'Saldos Iniciales'!$A:$A,"YWC Capital")+SUMIFS(Movimientos!$K$1:$K$790,Movimientos!$C$1:$C$790,"YWC Capital",Movimientos!$B$1:$B$790,"&lt;="&amp;$B42)</f>
        <v>2237.77</v>
      </c>
      <c r="M42" s="24">
        <f>SUMIFS('Saldos Iniciales'!$D:$D,'Saldos Iniciales'!$A:$A,"Soweto")+SUMIFS(Movimientos!$K$1:$K$790,Movimientos!$C$1:$C$790,"Soweto",Movimientos!$B$1:$B$790,"&lt;="&amp;$B42)</f>
        <v>3349.94</v>
      </c>
      <c r="N42" s="24">
        <f>SUMIFS('Saldos Iniciales'!$D:$D,'Saldos Iniciales'!$A:$A,"Green Stone Trust")+SUMIFS(Movimientos!$K$1:$K$790,Movimientos!$C$1:$C$790,"Green Stone Trust",Movimientos!$B$1:$B$790,"&lt;="&amp;$B42)</f>
        <v>1968.99</v>
      </c>
      <c r="O42" s="24">
        <f>SUMIFS('Saldos Iniciales'!$D:$D,'Saldos Iniciales'!$A:$A,"EC Auto")+SUMIFS(Movimientos!$K$1:$K$790,Movimientos!$C$1:$C$790,"EC Auto",Movimientos!$B$1:$B$790,"&lt;="&amp;$B42)</f>
        <v>382.69000000000005</v>
      </c>
      <c r="P42" s="24">
        <f>SUMIFS('Saldos Iniciales'!$D:$D,'Saldos Iniciales'!$A:$A,"Arbor Capital Properties")+SUMIFS(Movimientos!$K$1:$K$790,Movimientos!$C$1:$C$790,"Arbor Capital Properties",Movimientos!$B$1:$B$790,"&lt;="&amp;$B42)</f>
        <v>1428.08</v>
      </c>
      <c r="Q42" s="24">
        <f>SUMIFS('Saldos Iniciales'!$D:$D,'Saldos Iniciales'!$A:$A,"2515 Overbrook")+SUMIFS(Movimientos!$K$1:$K$790,Movimientos!$C$1:$C$790,"2515 Overbrook",Movimientos!$B$1:$B$790,"&lt;="&amp;$B42)</f>
        <v>25789.969999999961</v>
      </c>
      <c r="R42" s="24">
        <f>SUMIFS('Saldos Iniciales'!$D:$D,'Saldos Iniciales'!$A:$A,"112 Florida Ave")+SUMIFS(Movimientos!$K$1:$K$790,Movimientos!$C$1:$C$790,"112 Florida Ave",Movimientos!$B$1:$B$790,"&lt;="&amp;$B42)</f>
        <v>5321.4300000000021</v>
      </c>
      <c r="S42" s="24">
        <f>SUMIFS('Saldos Iniciales'!$D:$D,'Saldos Iniciales'!$A:$A,"3628 Thomas Ave")+SUMIFS(Movimientos!$K$1:$K$790,Movimientos!$C$1:$C$790,"3628 Thomas Ave",Movimientos!$B$1:$B$790,"&lt;="&amp;$B42)</f>
        <v>24743.98</v>
      </c>
      <c r="T42" s="24">
        <f>SUMIFS('Saldos Iniciales'!$D:$D,'Saldos Iniciales'!$A:$A,"Green Harbor Trust")+SUMIFS(Movimientos!$K$1:$K$790,Movimientos!$C$1:$C$790,"Green Harbor Trust",Movimientos!$B$1:$B$790,"&lt;="&amp;$B42)</f>
        <v>345</v>
      </c>
      <c r="U42" s="24">
        <f>SUMIFS('Saldos Iniciales'!$D:$D,'Saldos Iniciales'!$A:$A,"Go Blue")+SUMIFS(Movimientos!$K$1:$K$790,Movimientos!$C$1:$C$790,"Go Blue",Movimientos!$B$1:$B$790,"&lt;="&amp;$B42)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Group")+SUMIFS(Movimientos!$K$1:$K$790,Movimientos!$C$1:$C$790,"CFT Group",Movimientos!$B$1:$B$790,"&lt;="&amp;$B43)</f>
        <v>1837784.84</v>
      </c>
      <c r="D43" s="24">
        <f>SUMIFS('Saldos Iniciales'!$D:$D,'Saldos Iniciales'!$A:$A,"M1B")+SUMIFS(Movimientos!$K$1:$K$790,Movimientos!$C$1:$C$790,"M1B",Movimientos!$B$1:$B$790,"&lt;="&amp;$B43)</f>
        <v>69376.390000000174</v>
      </c>
      <c r="E43" s="24">
        <f>SUMIFS('Saldos Iniciales'!$D:$D,'Saldos Iniciales'!$A:$A,"Durand")+SUMIFS(Movimientos!$K$1:$K$790,Movimientos!$C$1:$C$790,"Durand",Movimientos!$B$1:$B$790,"&lt;="&amp;$B43)</f>
        <v>1669.89</v>
      </c>
      <c r="F43" s="24">
        <f>SUMIFS('Saldos Iniciales'!$D:$D,'Saldos Iniciales'!$A:$A,"A&amp;M Imports")+SUMIFS(Movimientos!$K$1:$K$790,Movimientos!$C$1:$C$790,"A&amp;M Imports",Movimientos!$B$1:$B$790,"&lt;="&amp;$B43)</f>
        <v>564626.20999999985</v>
      </c>
      <c r="G43" s="24">
        <f>SUMIFS('Saldos Iniciales'!$D:$D,'Saldos Iniciales'!$A:$A,"SSP Capital")+SUMIFS(Movimientos!$K$1:$K$790,Movimientos!$C$1:$C$790,"SSP Capital",Movimientos!$B$1:$B$790,"&lt;="&amp;$B43)</f>
        <v>794731.82999999926</v>
      </c>
      <c r="H43" s="24">
        <f>SUMIFS('Saldos Iniciales'!$D:$D,'Saldos Iniciales'!$A:$A,"Cross Family Trust")+SUMIFS(Movimientos!$K$1:$K$790,Movimientos!$C$1:$C$790,"Cross Family Trust",Movimientos!$B$1:$B$790,"&lt;="&amp;$B43)</f>
        <v>116496.38</v>
      </c>
      <c r="I43" s="24">
        <f>SUMIFS('Saldos Iniciales'!$D:$D,'Saldos Iniciales'!$A:$A,"Cross Security Trust")+SUMIFS(Movimientos!$K$1:$K$790,Movimientos!$C$1:$C$790,"Cross Security Trust",Movimientos!$B$1:$B$790,"&lt;="&amp;$B43)</f>
        <v>88090.37</v>
      </c>
      <c r="J43" s="24">
        <f>SUMIFS('Saldos Iniciales'!$D:$D,'Saldos Iniciales'!$A:$A,"Electrama")+SUMIFS(Movimientos!$K$1:$K$790,Movimientos!$C$1:$C$790,"Electrama",Movimientos!$B$1:$B$790,"&lt;="&amp;$B43)</f>
        <v>511.15999999999985</v>
      </c>
      <c r="K43" s="24">
        <f>SUMIFS('Saldos Iniciales'!$D:$D,'Saldos Iniciales'!$A:$A,"Sacred Valley Capital")+SUMIFS(Movimientos!$K$1:$K$790,Movimientos!$C$1:$C$790,"Sacred Valley Capital",Movimientos!$B$1:$B$790,"&lt;="&amp;$B43)</f>
        <v>84.35</v>
      </c>
      <c r="L43" s="24">
        <f>SUMIFS('Saldos Iniciales'!$D:$D,'Saldos Iniciales'!$A:$A,"YWC Capital")+SUMIFS(Movimientos!$K$1:$K$790,Movimientos!$C$1:$C$790,"YWC Capital",Movimientos!$B$1:$B$790,"&lt;="&amp;$B43)</f>
        <v>2237.77</v>
      </c>
      <c r="M43" s="24">
        <f>SUMIFS('Saldos Iniciales'!$D:$D,'Saldos Iniciales'!$A:$A,"Soweto")+SUMIFS(Movimientos!$K$1:$K$790,Movimientos!$C$1:$C$790,"Soweto",Movimientos!$B$1:$B$790,"&lt;="&amp;$B43)</f>
        <v>3349.94</v>
      </c>
      <c r="N43" s="24">
        <f>SUMIFS('Saldos Iniciales'!$D:$D,'Saldos Iniciales'!$A:$A,"Green Stone Trust")+SUMIFS(Movimientos!$K$1:$K$790,Movimientos!$C$1:$C$790,"Green Stone Trust",Movimientos!$B$1:$B$790,"&lt;="&amp;$B43)</f>
        <v>1968.99</v>
      </c>
      <c r="O43" s="24">
        <f>SUMIFS('Saldos Iniciales'!$D:$D,'Saldos Iniciales'!$A:$A,"EC Auto")+SUMIFS(Movimientos!$K$1:$K$790,Movimientos!$C$1:$C$790,"EC Auto",Movimientos!$B$1:$B$790,"&lt;="&amp;$B43)</f>
        <v>382.69000000000005</v>
      </c>
      <c r="P43" s="24">
        <f>SUMIFS('Saldos Iniciales'!$D:$D,'Saldos Iniciales'!$A:$A,"Arbor Capital Properties")+SUMIFS(Movimientos!$K$1:$K$790,Movimientos!$C$1:$C$790,"Arbor Capital Properties",Movimientos!$B$1:$B$790,"&lt;="&amp;$B43)</f>
        <v>1428.08</v>
      </c>
      <c r="Q43" s="24">
        <f>SUMIFS('Saldos Iniciales'!$D:$D,'Saldos Iniciales'!$A:$A,"2515 Overbrook")+SUMIFS(Movimientos!$K$1:$K$790,Movimientos!$C$1:$C$790,"2515 Overbrook",Movimientos!$B$1:$B$790,"&lt;="&amp;$B43)</f>
        <v>25789.969999999961</v>
      </c>
      <c r="R43" s="24">
        <f>SUMIFS('Saldos Iniciales'!$D:$D,'Saldos Iniciales'!$A:$A,"112 Florida Ave")+SUMIFS(Movimientos!$K$1:$K$790,Movimientos!$C$1:$C$790,"112 Florida Ave",Movimientos!$B$1:$B$790,"&lt;="&amp;$B43)</f>
        <v>5321.4300000000021</v>
      </c>
      <c r="S43" s="24">
        <f>SUMIFS('Saldos Iniciales'!$D:$D,'Saldos Iniciales'!$A:$A,"3628 Thomas Ave")+SUMIFS(Movimientos!$K$1:$K$790,Movimientos!$C$1:$C$790,"3628 Thomas Ave",Movimientos!$B$1:$B$790,"&lt;="&amp;$B43)</f>
        <v>24743.98</v>
      </c>
      <c r="T43" s="24">
        <f>SUMIFS('Saldos Iniciales'!$D:$D,'Saldos Iniciales'!$A:$A,"Green Harbor Trust")+SUMIFS(Movimientos!$K$1:$K$790,Movimientos!$C$1:$C$790,"Green Harbor Trust",Movimientos!$B$1:$B$790,"&lt;="&amp;$B43)</f>
        <v>345</v>
      </c>
      <c r="U43" s="24">
        <f>SUMIFS('Saldos Iniciales'!$D:$D,'Saldos Iniciales'!$A:$A,"Go Blue")+SUMIFS(Movimientos!$K$1:$K$790,Movimientos!$C$1:$C$790,"Go Blue",Movimientos!$B$1:$B$790,"&lt;="&amp;$B43)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Group")+SUMIFS(Movimientos!$K$1:$K$790,Movimientos!$C$1:$C$790,"CFT Group",Movimientos!$B$1:$B$790,"&lt;="&amp;$B44)</f>
        <v>1837784.84</v>
      </c>
      <c r="D44" s="24">
        <f>SUMIFS('Saldos Iniciales'!$D:$D,'Saldos Iniciales'!$A:$A,"M1B")+SUMIFS(Movimientos!$K$1:$K$790,Movimientos!$C$1:$C$790,"M1B",Movimientos!$B$1:$B$790,"&lt;="&amp;$B44)</f>
        <v>69376.390000000174</v>
      </c>
      <c r="E44" s="24">
        <f>SUMIFS('Saldos Iniciales'!$D:$D,'Saldos Iniciales'!$A:$A,"Durand")+SUMIFS(Movimientos!$K$1:$K$790,Movimientos!$C$1:$C$790,"Durand",Movimientos!$B$1:$B$790,"&lt;="&amp;$B44)</f>
        <v>1669.89</v>
      </c>
      <c r="F44" s="24">
        <f>SUMIFS('Saldos Iniciales'!$D:$D,'Saldos Iniciales'!$A:$A,"A&amp;M Imports")+SUMIFS(Movimientos!$K$1:$K$790,Movimientos!$C$1:$C$790,"A&amp;M Imports",Movimientos!$B$1:$B$790,"&lt;="&amp;$B44)</f>
        <v>564626.20999999985</v>
      </c>
      <c r="G44" s="24">
        <f>SUMIFS('Saldos Iniciales'!$D:$D,'Saldos Iniciales'!$A:$A,"SSP Capital")+SUMIFS(Movimientos!$K$1:$K$790,Movimientos!$C$1:$C$790,"SSP Capital",Movimientos!$B$1:$B$790,"&lt;="&amp;$B44)</f>
        <v>3763348.8299999996</v>
      </c>
      <c r="H44" s="24">
        <f>SUMIFS('Saldos Iniciales'!$D:$D,'Saldos Iniciales'!$A:$A,"Cross Family Trust")+SUMIFS(Movimientos!$K$1:$K$790,Movimientos!$C$1:$C$790,"Cross Family Trust",Movimientos!$B$1:$B$790,"&lt;="&amp;$B44)</f>
        <v>116496.38</v>
      </c>
      <c r="I44" s="24">
        <f>SUMIFS('Saldos Iniciales'!$D:$D,'Saldos Iniciales'!$A:$A,"Cross Security Trust")+SUMIFS(Movimientos!$K$1:$K$790,Movimientos!$C$1:$C$790,"Cross Security Trust",Movimientos!$B$1:$B$790,"&lt;="&amp;$B44)</f>
        <v>88090.37</v>
      </c>
      <c r="J44" s="24">
        <f>SUMIFS('Saldos Iniciales'!$D:$D,'Saldos Iniciales'!$A:$A,"Electrama")+SUMIFS(Movimientos!$K$1:$K$790,Movimientos!$C$1:$C$790,"Electrama",Movimientos!$B$1:$B$790,"&lt;="&amp;$B44)</f>
        <v>511.15999999999985</v>
      </c>
      <c r="K44" s="24">
        <f>SUMIFS('Saldos Iniciales'!$D:$D,'Saldos Iniciales'!$A:$A,"Sacred Valley Capital")+SUMIFS(Movimientos!$K$1:$K$790,Movimientos!$C$1:$C$790,"Sacred Valley Capital",Movimientos!$B$1:$B$790,"&lt;="&amp;$B44)</f>
        <v>84.35</v>
      </c>
      <c r="L44" s="24">
        <f>SUMIFS('Saldos Iniciales'!$D:$D,'Saldos Iniciales'!$A:$A,"YWC Capital")+SUMIFS(Movimientos!$K$1:$K$790,Movimientos!$C$1:$C$790,"YWC Capital",Movimientos!$B$1:$B$790,"&lt;="&amp;$B44)</f>
        <v>2237.77</v>
      </c>
      <c r="M44" s="24">
        <f>SUMIFS('Saldos Iniciales'!$D:$D,'Saldos Iniciales'!$A:$A,"Soweto")+SUMIFS(Movimientos!$K$1:$K$790,Movimientos!$C$1:$C$790,"Soweto",Movimientos!$B$1:$B$790,"&lt;="&amp;$B44)</f>
        <v>3349.94</v>
      </c>
      <c r="N44" s="24">
        <f>SUMIFS('Saldos Iniciales'!$D:$D,'Saldos Iniciales'!$A:$A,"Green Stone Trust")+SUMIFS(Movimientos!$K$1:$K$790,Movimientos!$C$1:$C$790,"Green Stone Trust",Movimientos!$B$1:$B$790,"&lt;="&amp;$B44)</f>
        <v>1968.99</v>
      </c>
      <c r="O44" s="24">
        <f>SUMIFS('Saldos Iniciales'!$D:$D,'Saldos Iniciales'!$A:$A,"EC Auto")+SUMIFS(Movimientos!$K$1:$K$790,Movimientos!$C$1:$C$790,"EC Auto",Movimientos!$B$1:$B$790,"&lt;="&amp;$B44)</f>
        <v>382.69000000000005</v>
      </c>
      <c r="P44" s="24">
        <f>SUMIFS('Saldos Iniciales'!$D:$D,'Saldos Iniciales'!$A:$A,"Arbor Capital Properties")+SUMIFS(Movimientos!$K$1:$K$790,Movimientos!$C$1:$C$790,"Arbor Capital Properties",Movimientos!$B$1:$B$790,"&lt;="&amp;$B44)</f>
        <v>1428.08</v>
      </c>
      <c r="Q44" s="24">
        <f>SUMIFS('Saldos Iniciales'!$D:$D,'Saldos Iniciales'!$A:$A,"2515 Overbrook")+SUMIFS(Movimientos!$K$1:$K$790,Movimientos!$C$1:$C$790,"2515 Overbrook",Movimientos!$B$1:$B$790,"&lt;="&amp;$B44)</f>
        <v>27789.969999999961</v>
      </c>
      <c r="R44" s="24">
        <f>SUMIFS('Saldos Iniciales'!$D:$D,'Saldos Iniciales'!$A:$A,"112 Florida Ave")+SUMIFS(Movimientos!$K$1:$K$790,Movimientos!$C$1:$C$790,"112 Florida Ave",Movimientos!$B$1:$B$790,"&lt;="&amp;$B44)</f>
        <v>5321.4300000000021</v>
      </c>
      <c r="S44" s="24">
        <f>SUMIFS('Saldos Iniciales'!$D:$D,'Saldos Iniciales'!$A:$A,"3628 Thomas Ave")+SUMIFS(Movimientos!$K$1:$K$790,Movimientos!$C$1:$C$790,"3628 Thomas Ave",Movimientos!$B$1:$B$790,"&lt;="&amp;$B44)</f>
        <v>24484.85</v>
      </c>
      <c r="T44" s="24">
        <f>SUMIFS('Saldos Iniciales'!$D:$D,'Saldos Iniciales'!$A:$A,"Green Harbor Trust")+SUMIFS(Movimientos!$K$1:$K$790,Movimientos!$C$1:$C$790,"Green Harbor Trust",Movimientos!$B$1:$B$790,"&lt;="&amp;$B44)</f>
        <v>345</v>
      </c>
      <c r="U44" s="24">
        <f>SUMIFS('Saldos Iniciales'!$D:$D,'Saldos Iniciales'!$A:$A,"Go Blue")+SUMIFS(Movimientos!$K$1:$K$790,Movimientos!$C$1:$C$790,"Go Blue",Movimientos!$B$1:$B$790,"&lt;="&amp;$B44)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Group")+SUMIFS(Movimientos!$K$1:$K$790,Movimientos!$C$1:$C$790,"CFT Group",Movimientos!$B$1:$B$790,"&lt;="&amp;$B45)</f>
        <v>1837784.84</v>
      </c>
      <c r="D45" s="24">
        <f>SUMIFS('Saldos Iniciales'!$D:$D,'Saldos Iniciales'!$A:$A,"M1B")+SUMIFS(Movimientos!$K$1:$K$790,Movimientos!$C$1:$C$790,"M1B",Movimientos!$B$1:$B$790,"&lt;="&amp;$B45)</f>
        <v>69376.390000000174</v>
      </c>
      <c r="E45" s="24">
        <f>SUMIFS('Saldos Iniciales'!$D:$D,'Saldos Iniciales'!$A:$A,"Durand")+SUMIFS(Movimientos!$K$1:$K$790,Movimientos!$C$1:$C$790,"Durand",Movimientos!$B$1:$B$790,"&lt;="&amp;$B45)</f>
        <v>1669.89</v>
      </c>
      <c r="F45" s="24">
        <f>SUMIFS('Saldos Iniciales'!$D:$D,'Saldos Iniciales'!$A:$A,"A&amp;M Imports")+SUMIFS(Movimientos!$K$1:$K$790,Movimientos!$C$1:$C$790,"A&amp;M Imports",Movimientos!$B$1:$B$790,"&lt;="&amp;$B45)</f>
        <v>564626.20999999985</v>
      </c>
      <c r="G45" s="24">
        <f>SUMIFS('Saldos Iniciales'!$D:$D,'Saldos Iniciales'!$A:$A,"SSP Capital")+SUMIFS(Movimientos!$K$1:$K$790,Movimientos!$C$1:$C$790,"SSP Capital",Movimientos!$B$1:$B$790,"&lt;="&amp;$B45)</f>
        <v>3763348.8299999996</v>
      </c>
      <c r="H45" s="24">
        <f>SUMIFS('Saldos Iniciales'!$D:$D,'Saldos Iniciales'!$A:$A,"Cross Family Trust")+SUMIFS(Movimientos!$K$1:$K$790,Movimientos!$C$1:$C$790,"Cross Family Trust",Movimientos!$B$1:$B$790,"&lt;="&amp;$B45)</f>
        <v>116496.38</v>
      </c>
      <c r="I45" s="24">
        <f>SUMIFS('Saldos Iniciales'!$D:$D,'Saldos Iniciales'!$A:$A,"Cross Security Trust")+SUMIFS(Movimientos!$K$1:$K$790,Movimientos!$C$1:$C$790,"Cross Security Trust",Movimientos!$B$1:$B$790,"&lt;="&amp;$B45)</f>
        <v>88090.37</v>
      </c>
      <c r="J45" s="24">
        <f>SUMIFS('Saldos Iniciales'!$D:$D,'Saldos Iniciales'!$A:$A,"Electrama")+SUMIFS(Movimientos!$K$1:$K$790,Movimientos!$C$1:$C$790,"Electrama",Movimientos!$B$1:$B$790,"&lt;="&amp;$B45)</f>
        <v>511.15999999999985</v>
      </c>
      <c r="K45" s="24">
        <f>SUMIFS('Saldos Iniciales'!$D:$D,'Saldos Iniciales'!$A:$A,"Sacred Valley Capital")+SUMIFS(Movimientos!$K$1:$K$790,Movimientos!$C$1:$C$790,"Sacred Valley Capital",Movimientos!$B$1:$B$790,"&lt;="&amp;$B45)</f>
        <v>84.35</v>
      </c>
      <c r="L45" s="24">
        <f>SUMIFS('Saldos Iniciales'!$D:$D,'Saldos Iniciales'!$A:$A,"YWC Capital")+SUMIFS(Movimientos!$K$1:$K$790,Movimientos!$C$1:$C$790,"YWC Capital",Movimientos!$B$1:$B$790,"&lt;="&amp;$B45)</f>
        <v>2237.77</v>
      </c>
      <c r="M45" s="24">
        <f>SUMIFS('Saldos Iniciales'!$D:$D,'Saldos Iniciales'!$A:$A,"Soweto")+SUMIFS(Movimientos!$K$1:$K$790,Movimientos!$C$1:$C$790,"Soweto",Movimientos!$B$1:$B$790,"&lt;="&amp;$B45)</f>
        <v>3349.94</v>
      </c>
      <c r="N45" s="24">
        <f>SUMIFS('Saldos Iniciales'!$D:$D,'Saldos Iniciales'!$A:$A,"Green Stone Trust")+SUMIFS(Movimientos!$K$1:$K$790,Movimientos!$C$1:$C$790,"Green Stone Trust",Movimientos!$B$1:$B$790,"&lt;="&amp;$B45)</f>
        <v>1968.99</v>
      </c>
      <c r="O45" s="24">
        <f>SUMIFS('Saldos Iniciales'!$D:$D,'Saldos Iniciales'!$A:$A,"EC Auto")+SUMIFS(Movimientos!$K$1:$K$790,Movimientos!$C$1:$C$790,"EC Auto",Movimientos!$B$1:$B$790,"&lt;="&amp;$B45)</f>
        <v>382.69000000000005</v>
      </c>
      <c r="P45" s="24">
        <f>SUMIFS('Saldos Iniciales'!$D:$D,'Saldos Iniciales'!$A:$A,"Arbor Capital Properties")+SUMIFS(Movimientos!$K$1:$K$790,Movimientos!$C$1:$C$790,"Arbor Capital Properties",Movimientos!$B$1:$B$790,"&lt;="&amp;$B45)</f>
        <v>1428.08</v>
      </c>
      <c r="Q45" s="24">
        <f>SUMIFS('Saldos Iniciales'!$D:$D,'Saldos Iniciales'!$A:$A,"2515 Overbrook")+SUMIFS(Movimientos!$K$1:$K$790,Movimientos!$C$1:$C$790,"2515 Overbrook",Movimientos!$B$1:$B$790,"&lt;="&amp;$B45)</f>
        <v>27789.969999999961</v>
      </c>
      <c r="R45" s="24">
        <f>SUMIFS('Saldos Iniciales'!$D:$D,'Saldos Iniciales'!$A:$A,"112 Florida Ave")+SUMIFS(Movimientos!$K$1:$K$790,Movimientos!$C$1:$C$790,"112 Florida Ave",Movimientos!$B$1:$B$790,"&lt;="&amp;$B45)</f>
        <v>5321.4300000000021</v>
      </c>
      <c r="S45" s="24">
        <f>SUMIFS('Saldos Iniciales'!$D:$D,'Saldos Iniciales'!$A:$A,"3628 Thomas Ave")+SUMIFS(Movimientos!$K$1:$K$790,Movimientos!$C$1:$C$790,"3628 Thomas Ave",Movimientos!$B$1:$B$790,"&lt;="&amp;$B45)</f>
        <v>24484.85</v>
      </c>
      <c r="T45" s="24">
        <f>SUMIFS('Saldos Iniciales'!$D:$D,'Saldos Iniciales'!$A:$A,"Green Harbor Trust")+SUMIFS(Movimientos!$K$1:$K$790,Movimientos!$C$1:$C$790,"Green Harbor Trust",Movimientos!$B$1:$B$790,"&lt;="&amp;$B45)</f>
        <v>345</v>
      </c>
      <c r="U45" s="24">
        <f>SUMIFS('Saldos Iniciales'!$D:$D,'Saldos Iniciales'!$A:$A,"Go Blue")+SUMIFS(Movimientos!$K$1:$K$790,Movimientos!$C$1:$C$790,"Go Blue",Movimientos!$B$1:$B$790,"&lt;="&amp;$B45)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Group")+SUMIFS(Movimientos!$K$1:$K$790,Movimientos!$C$1:$C$790,"CFT Group",Movimientos!$B$1:$B$790,"&lt;="&amp;$B46)</f>
        <v>1837784.84</v>
      </c>
      <c r="D46" s="24">
        <f>SUMIFS('Saldos Iniciales'!$D:$D,'Saldos Iniciales'!$A:$A,"M1B")+SUMIFS(Movimientos!$K$1:$K$790,Movimientos!$C$1:$C$790,"M1B",Movimientos!$B$1:$B$790,"&lt;="&amp;$B46)</f>
        <v>69376.390000000174</v>
      </c>
      <c r="E46" s="24">
        <f>SUMIFS('Saldos Iniciales'!$D:$D,'Saldos Iniciales'!$A:$A,"Durand")+SUMIFS(Movimientos!$K$1:$K$790,Movimientos!$C$1:$C$790,"Durand",Movimientos!$B$1:$B$790,"&lt;="&amp;$B46)</f>
        <v>1669.89</v>
      </c>
      <c r="F46" s="24">
        <f>SUMIFS('Saldos Iniciales'!$D:$D,'Saldos Iniciales'!$A:$A,"A&amp;M Imports")+SUMIFS(Movimientos!$K$1:$K$790,Movimientos!$C$1:$C$790,"A&amp;M Imports",Movimientos!$B$1:$B$790,"&lt;="&amp;$B46)</f>
        <v>564626.20999999985</v>
      </c>
      <c r="G46" s="24">
        <f>SUMIFS('Saldos Iniciales'!$D:$D,'Saldos Iniciales'!$A:$A,"SSP Capital")+SUMIFS(Movimientos!$K$1:$K$790,Movimientos!$C$1:$C$790,"SSP Capital",Movimientos!$B$1:$B$790,"&lt;="&amp;$B46)</f>
        <v>3763348.8299999996</v>
      </c>
      <c r="H46" s="24">
        <f>SUMIFS('Saldos Iniciales'!$D:$D,'Saldos Iniciales'!$A:$A,"Cross Family Trust")+SUMIFS(Movimientos!$K$1:$K$790,Movimientos!$C$1:$C$790,"Cross Family Trust",Movimientos!$B$1:$B$790,"&lt;="&amp;$B46)</f>
        <v>116496.38</v>
      </c>
      <c r="I46" s="24">
        <f>SUMIFS('Saldos Iniciales'!$D:$D,'Saldos Iniciales'!$A:$A,"Cross Security Trust")+SUMIFS(Movimientos!$K$1:$K$790,Movimientos!$C$1:$C$790,"Cross Security Trust",Movimientos!$B$1:$B$790,"&lt;="&amp;$B46)</f>
        <v>88090.37</v>
      </c>
      <c r="J46" s="24">
        <f>SUMIFS('Saldos Iniciales'!$D:$D,'Saldos Iniciales'!$A:$A,"Electrama")+SUMIFS(Movimientos!$K$1:$K$790,Movimientos!$C$1:$C$790,"Electrama",Movimientos!$B$1:$B$790,"&lt;="&amp;$B46)</f>
        <v>511.15999999999985</v>
      </c>
      <c r="K46" s="24">
        <f>SUMIFS('Saldos Iniciales'!$D:$D,'Saldos Iniciales'!$A:$A,"Sacred Valley Capital")+SUMIFS(Movimientos!$K$1:$K$790,Movimientos!$C$1:$C$790,"Sacred Valley Capital",Movimientos!$B$1:$B$790,"&lt;="&amp;$B46)</f>
        <v>84.35</v>
      </c>
      <c r="L46" s="24">
        <f>SUMIFS('Saldos Iniciales'!$D:$D,'Saldos Iniciales'!$A:$A,"YWC Capital")+SUMIFS(Movimientos!$K$1:$K$790,Movimientos!$C$1:$C$790,"YWC Capital",Movimientos!$B$1:$B$790,"&lt;="&amp;$B46)</f>
        <v>2237.77</v>
      </c>
      <c r="M46" s="24">
        <f>SUMIFS('Saldos Iniciales'!$D:$D,'Saldos Iniciales'!$A:$A,"Soweto")+SUMIFS(Movimientos!$K$1:$K$790,Movimientos!$C$1:$C$790,"Soweto",Movimientos!$B$1:$B$790,"&lt;="&amp;$B46)</f>
        <v>3349.94</v>
      </c>
      <c r="N46" s="24">
        <f>SUMIFS('Saldos Iniciales'!$D:$D,'Saldos Iniciales'!$A:$A,"Green Stone Trust")+SUMIFS(Movimientos!$K$1:$K$790,Movimientos!$C$1:$C$790,"Green Stone Trust",Movimientos!$B$1:$B$790,"&lt;="&amp;$B46)</f>
        <v>1968.99</v>
      </c>
      <c r="O46" s="24">
        <f>SUMIFS('Saldos Iniciales'!$D:$D,'Saldos Iniciales'!$A:$A,"EC Auto")+SUMIFS(Movimientos!$K$1:$K$790,Movimientos!$C$1:$C$790,"EC Auto",Movimientos!$B$1:$B$790,"&lt;="&amp;$B46)</f>
        <v>382.69000000000005</v>
      </c>
      <c r="P46" s="24">
        <f>SUMIFS('Saldos Iniciales'!$D:$D,'Saldos Iniciales'!$A:$A,"Arbor Capital Properties")+SUMIFS(Movimientos!$K$1:$K$790,Movimientos!$C$1:$C$790,"Arbor Capital Properties",Movimientos!$B$1:$B$790,"&lt;="&amp;$B46)</f>
        <v>1428.08</v>
      </c>
      <c r="Q46" s="24">
        <f>SUMIFS('Saldos Iniciales'!$D:$D,'Saldos Iniciales'!$A:$A,"2515 Overbrook")+SUMIFS(Movimientos!$K$1:$K$790,Movimientos!$C$1:$C$790,"2515 Overbrook",Movimientos!$B$1:$B$790,"&lt;="&amp;$B46)</f>
        <v>27789.969999999961</v>
      </c>
      <c r="R46" s="24">
        <f>SUMIFS('Saldos Iniciales'!$D:$D,'Saldos Iniciales'!$A:$A,"112 Florida Ave")+SUMIFS(Movimientos!$K$1:$K$790,Movimientos!$C$1:$C$790,"112 Florida Ave",Movimientos!$B$1:$B$790,"&lt;="&amp;$B46)</f>
        <v>5321.4300000000021</v>
      </c>
      <c r="S46" s="24">
        <f>SUMIFS('Saldos Iniciales'!$D:$D,'Saldos Iniciales'!$A:$A,"3628 Thomas Ave")+SUMIFS(Movimientos!$K$1:$K$790,Movimientos!$C$1:$C$790,"3628 Thomas Ave",Movimientos!$B$1:$B$790,"&lt;="&amp;$B46)</f>
        <v>24484.85</v>
      </c>
      <c r="T46" s="24">
        <f>SUMIFS('Saldos Iniciales'!$D:$D,'Saldos Iniciales'!$A:$A,"Green Harbor Trust")+SUMIFS(Movimientos!$K$1:$K$790,Movimientos!$C$1:$C$790,"Green Harbor Trust",Movimientos!$B$1:$B$790,"&lt;="&amp;$B46)</f>
        <v>345</v>
      </c>
      <c r="U46" s="24">
        <f>SUMIFS('Saldos Iniciales'!$D:$D,'Saldos Iniciales'!$A:$A,"Go Blue")+SUMIFS(Movimientos!$K$1:$K$790,Movimientos!$C$1:$C$790,"Go Blue",Movimientos!$B$1:$B$790,"&lt;="&amp;$B46)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Group")+SUMIFS(Movimientos!$K$1:$K$790,Movimientos!$C$1:$C$790,"CFT Group",Movimientos!$B$1:$B$790,"&lt;="&amp;$B47)</f>
        <v>985975.94000000029</v>
      </c>
      <c r="D47" s="24">
        <f>SUMIFS('Saldos Iniciales'!$D:$D,'Saldos Iniciales'!$A:$A,"M1B")+SUMIFS(Movimientos!$K$1:$K$790,Movimientos!$C$1:$C$790,"M1B",Movimientos!$B$1:$B$790,"&lt;="&amp;$B47)</f>
        <v>69376.390000000174</v>
      </c>
      <c r="E47" s="24">
        <f>SUMIFS('Saldos Iniciales'!$D:$D,'Saldos Iniciales'!$A:$A,"Durand")+SUMIFS(Movimientos!$K$1:$K$790,Movimientos!$C$1:$C$790,"Durand",Movimientos!$B$1:$B$790,"&lt;="&amp;$B47)</f>
        <v>1669.89</v>
      </c>
      <c r="F47" s="24">
        <f>SUMIFS('Saldos Iniciales'!$D:$D,'Saldos Iniciales'!$A:$A,"A&amp;M Imports")+SUMIFS(Movimientos!$K$1:$K$790,Movimientos!$C$1:$C$790,"A&amp;M Imports",Movimientos!$B$1:$B$790,"&lt;="&amp;$B47)</f>
        <v>503904.80999999982</v>
      </c>
      <c r="G47" s="24">
        <f>SUMIFS('Saldos Iniciales'!$D:$D,'Saldos Iniciales'!$A:$A,"SSP Capital")+SUMIFS(Movimientos!$K$1:$K$790,Movimientos!$C$1:$C$790,"SSP Capital",Movimientos!$B$1:$B$790,"&lt;="&amp;$B47)</f>
        <v>3331737.2399999998</v>
      </c>
      <c r="H47" s="24">
        <f>SUMIFS('Saldos Iniciales'!$D:$D,'Saldos Iniciales'!$A:$A,"Cross Family Trust")+SUMIFS(Movimientos!$K$1:$K$790,Movimientos!$C$1:$C$790,"Cross Family Trust",Movimientos!$B$1:$B$790,"&lt;="&amp;$B47)</f>
        <v>116496.38</v>
      </c>
      <c r="I47" s="24">
        <f>SUMIFS('Saldos Iniciales'!$D:$D,'Saldos Iniciales'!$A:$A,"Cross Security Trust")+SUMIFS(Movimientos!$K$1:$K$790,Movimientos!$C$1:$C$790,"Cross Security Trust",Movimientos!$B$1:$B$790,"&lt;="&amp;$B47)</f>
        <v>88090.37</v>
      </c>
      <c r="J47" s="24">
        <f>SUMIFS('Saldos Iniciales'!$D:$D,'Saldos Iniciales'!$A:$A,"Electrama")+SUMIFS(Movimientos!$K$1:$K$790,Movimientos!$C$1:$C$790,"Electrama",Movimientos!$B$1:$B$790,"&lt;="&amp;$B47)</f>
        <v>511.15999999999985</v>
      </c>
      <c r="K47" s="24">
        <f>SUMIFS('Saldos Iniciales'!$D:$D,'Saldos Iniciales'!$A:$A,"Sacred Valley Capital")+SUMIFS(Movimientos!$K$1:$K$790,Movimientos!$C$1:$C$790,"Sacred Valley Capital",Movimientos!$B$1:$B$790,"&lt;="&amp;$B47)</f>
        <v>84.35</v>
      </c>
      <c r="L47" s="24">
        <f>SUMIFS('Saldos Iniciales'!$D:$D,'Saldos Iniciales'!$A:$A,"YWC Capital")+SUMIFS(Movimientos!$K$1:$K$790,Movimientos!$C$1:$C$790,"YWC Capital",Movimientos!$B$1:$B$790,"&lt;="&amp;$B47)</f>
        <v>2237.77</v>
      </c>
      <c r="M47" s="24">
        <f>SUMIFS('Saldos Iniciales'!$D:$D,'Saldos Iniciales'!$A:$A,"Soweto")+SUMIFS(Movimientos!$K$1:$K$790,Movimientos!$C$1:$C$790,"Soweto",Movimientos!$B$1:$B$790,"&lt;="&amp;$B47)</f>
        <v>3349.94</v>
      </c>
      <c r="N47" s="24">
        <f>SUMIFS('Saldos Iniciales'!$D:$D,'Saldos Iniciales'!$A:$A,"Green Stone Trust")+SUMIFS(Movimientos!$K$1:$K$790,Movimientos!$C$1:$C$790,"Green Stone Trust",Movimientos!$B$1:$B$790,"&lt;="&amp;$B47)</f>
        <v>1968.99</v>
      </c>
      <c r="O47" s="24">
        <f>SUMIFS('Saldos Iniciales'!$D:$D,'Saldos Iniciales'!$A:$A,"EC Auto")+SUMIFS(Movimientos!$K$1:$K$790,Movimientos!$C$1:$C$790,"EC Auto",Movimientos!$B$1:$B$790,"&lt;="&amp;$B47)</f>
        <v>382.69000000000005</v>
      </c>
      <c r="P47" s="24">
        <f>SUMIFS('Saldos Iniciales'!$D:$D,'Saldos Iniciales'!$A:$A,"Arbor Capital Properties")+SUMIFS(Movimientos!$K$1:$K$790,Movimientos!$C$1:$C$790,"Arbor Capital Properties",Movimientos!$B$1:$B$790,"&lt;="&amp;$B47)</f>
        <v>1428.08</v>
      </c>
      <c r="Q47" s="24">
        <f>SUMIFS('Saldos Iniciales'!$D:$D,'Saldos Iniciales'!$A:$A,"2515 Overbrook")+SUMIFS(Movimientos!$K$1:$K$790,Movimientos!$C$1:$C$790,"2515 Overbrook",Movimientos!$B$1:$B$790,"&lt;="&amp;$B47)</f>
        <v>29789.969999999961</v>
      </c>
      <c r="R47" s="24">
        <f>SUMIFS('Saldos Iniciales'!$D:$D,'Saldos Iniciales'!$A:$A,"112 Florida Ave")+SUMIFS(Movimientos!$K$1:$K$790,Movimientos!$C$1:$C$790,"112 Florida Ave",Movimientos!$B$1:$B$790,"&lt;="&amp;$B47)</f>
        <v>5321.4300000000021</v>
      </c>
      <c r="S47" s="24">
        <f>SUMIFS('Saldos Iniciales'!$D:$D,'Saldos Iniciales'!$A:$A,"3628 Thomas Ave")+SUMIFS(Movimientos!$K$1:$K$790,Movimientos!$C$1:$C$790,"3628 Thomas Ave",Movimientos!$B$1:$B$790,"&lt;="&amp;$B47)</f>
        <v>20484.849999999999</v>
      </c>
      <c r="T47" s="24">
        <f>SUMIFS('Saldos Iniciales'!$D:$D,'Saldos Iniciales'!$A:$A,"Green Harbor Trust")+SUMIFS(Movimientos!$K$1:$K$790,Movimientos!$C$1:$C$790,"Green Harbor Trust",Movimientos!$B$1:$B$790,"&lt;="&amp;$B47)</f>
        <v>345</v>
      </c>
      <c r="U47" s="24">
        <f>SUMIFS('Saldos Iniciales'!$D:$D,'Saldos Iniciales'!$A:$A,"Go Blue")+SUMIFS(Movimientos!$K$1:$K$790,Movimientos!$C$1:$C$790,"Go Blue",Movimientos!$B$1:$B$790,"&lt;="&amp;$B47)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Group")+SUMIFS(Movimientos!$K$1:$K$790,Movimientos!$C$1:$C$790,"CFT Group",Movimientos!$B$1:$B$790,"&lt;="&amp;$B48)</f>
        <v>1086358.7500000002</v>
      </c>
      <c r="D48" s="24">
        <f>SUMIFS('Saldos Iniciales'!$D:$D,'Saldos Iniciales'!$A:$A,"M1B")+SUMIFS(Movimientos!$K$1:$K$790,Movimientos!$C$1:$C$790,"M1B",Movimientos!$B$1:$B$790,"&lt;="&amp;$B48)</f>
        <v>69376.390000000174</v>
      </c>
      <c r="E48" s="24">
        <f>SUMIFS('Saldos Iniciales'!$D:$D,'Saldos Iniciales'!$A:$A,"Durand")+SUMIFS(Movimientos!$K$1:$K$790,Movimientos!$C$1:$C$790,"Durand",Movimientos!$B$1:$B$790,"&lt;="&amp;$B48)</f>
        <v>1669.89</v>
      </c>
      <c r="F48" s="24">
        <f>SUMIFS('Saldos Iniciales'!$D:$D,'Saldos Iniciales'!$A:$A,"A&amp;M Imports")+SUMIFS(Movimientos!$K$1:$K$790,Movimientos!$C$1:$C$790,"A&amp;M Imports",Movimientos!$B$1:$B$790,"&lt;="&amp;$B48)</f>
        <v>503904.80999999982</v>
      </c>
      <c r="G48" s="24">
        <f>SUMIFS('Saldos Iniciales'!$D:$D,'Saldos Iniciales'!$A:$A,"SSP Capital")+SUMIFS(Movimientos!$K$1:$K$790,Movimientos!$C$1:$C$790,"SSP Capital",Movimientos!$B$1:$B$790,"&lt;="&amp;$B48)</f>
        <v>3329246.88</v>
      </c>
      <c r="H48" s="24">
        <f>SUMIFS('Saldos Iniciales'!$D:$D,'Saldos Iniciales'!$A:$A,"Cross Family Trust")+SUMIFS(Movimientos!$K$1:$K$790,Movimientos!$C$1:$C$790,"Cross Family Trust",Movimientos!$B$1:$B$790,"&lt;="&amp;$B48)</f>
        <v>116496.38</v>
      </c>
      <c r="I48" s="24">
        <f>SUMIFS('Saldos Iniciales'!$D:$D,'Saldos Iniciales'!$A:$A,"Cross Security Trust")+SUMIFS(Movimientos!$K$1:$K$790,Movimientos!$C$1:$C$790,"Cross Security Trust",Movimientos!$B$1:$B$790,"&lt;="&amp;$B48)</f>
        <v>88090.37</v>
      </c>
      <c r="J48" s="24">
        <f>SUMIFS('Saldos Iniciales'!$D:$D,'Saldos Iniciales'!$A:$A,"Electrama")+SUMIFS(Movimientos!$K$1:$K$790,Movimientos!$C$1:$C$790,"Electrama",Movimientos!$B$1:$B$790,"&lt;="&amp;$B48)</f>
        <v>511.15999999999985</v>
      </c>
      <c r="K48" s="24">
        <f>SUMIFS('Saldos Iniciales'!$D:$D,'Saldos Iniciales'!$A:$A,"Sacred Valley Capital")+SUMIFS(Movimientos!$K$1:$K$790,Movimientos!$C$1:$C$790,"Sacred Valley Capital",Movimientos!$B$1:$B$790,"&lt;="&amp;$B48)</f>
        <v>84.35</v>
      </c>
      <c r="L48" s="24">
        <f>SUMIFS('Saldos Iniciales'!$D:$D,'Saldos Iniciales'!$A:$A,"YWC Capital")+SUMIFS(Movimientos!$K$1:$K$790,Movimientos!$C$1:$C$790,"YWC Capital",Movimientos!$B$1:$B$790,"&lt;="&amp;$B48)</f>
        <v>2237.77</v>
      </c>
      <c r="M48" s="24">
        <f>SUMIFS('Saldos Iniciales'!$D:$D,'Saldos Iniciales'!$A:$A,"Soweto")+SUMIFS(Movimientos!$K$1:$K$790,Movimientos!$C$1:$C$790,"Soweto",Movimientos!$B$1:$B$790,"&lt;="&amp;$B48)</f>
        <v>3349.94</v>
      </c>
      <c r="N48" s="24">
        <f>SUMIFS('Saldos Iniciales'!$D:$D,'Saldos Iniciales'!$A:$A,"Green Stone Trust")+SUMIFS(Movimientos!$K$1:$K$790,Movimientos!$C$1:$C$790,"Green Stone Trust",Movimientos!$B$1:$B$790,"&lt;="&amp;$B48)</f>
        <v>1968.99</v>
      </c>
      <c r="O48" s="24">
        <f>SUMIFS('Saldos Iniciales'!$D:$D,'Saldos Iniciales'!$A:$A,"EC Auto")+SUMIFS(Movimientos!$K$1:$K$790,Movimientos!$C$1:$C$790,"EC Auto",Movimientos!$B$1:$B$790,"&lt;="&amp;$B48)</f>
        <v>382.69000000000005</v>
      </c>
      <c r="P48" s="24">
        <f>SUMIFS('Saldos Iniciales'!$D:$D,'Saldos Iniciales'!$A:$A,"Arbor Capital Properties")+SUMIFS(Movimientos!$K$1:$K$790,Movimientos!$C$1:$C$790,"Arbor Capital Properties",Movimientos!$B$1:$B$790,"&lt;="&amp;$B48)</f>
        <v>1428.08</v>
      </c>
      <c r="Q48" s="24">
        <f>SUMIFS('Saldos Iniciales'!$D:$D,'Saldos Iniciales'!$A:$A,"2515 Overbrook")+SUMIFS(Movimientos!$K$1:$K$790,Movimientos!$C$1:$C$790,"2515 Overbrook",Movimientos!$B$1:$B$790,"&lt;="&amp;$B48)</f>
        <v>29789.969999999961</v>
      </c>
      <c r="R48" s="24">
        <f>SUMIFS('Saldos Iniciales'!$D:$D,'Saldos Iniciales'!$A:$A,"112 Florida Ave")+SUMIFS(Movimientos!$K$1:$K$790,Movimientos!$C$1:$C$790,"112 Florida Ave",Movimientos!$B$1:$B$790,"&lt;="&amp;$B48)</f>
        <v>20321.43</v>
      </c>
      <c r="S48" s="24">
        <f>SUMIFS('Saldos Iniciales'!$D:$D,'Saldos Iniciales'!$A:$A,"3628 Thomas Ave")+SUMIFS(Movimientos!$K$1:$K$790,Movimientos!$C$1:$C$790,"3628 Thomas Ave",Movimientos!$B$1:$B$790,"&lt;="&amp;$B48)</f>
        <v>19811.349999999999</v>
      </c>
      <c r="T48" s="24">
        <f>SUMIFS('Saldos Iniciales'!$D:$D,'Saldos Iniciales'!$A:$A,"Green Harbor Trust")+SUMIFS(Movimientos!$K$1:$K$790,Movimientos!$C$1:$C$790,"Green Harbor Trust",Movimientos!$B$1:$B$790,"&lt;="&amp;$B48)</f>
        <v>345</v>
      </c>
      <c r="U48" s="24">
        <f>SUMIFS('Saldos Iniciales'!$D:$D,'Saldos Iniciales'!$A:$A,"Go Blue")+SUMIFS(Movimientos!$K$1:$K$790,Movimientos!$C$1:$C$790,"Go Blue",Movimientos!$B$1:$B$790,"&lt;="&amp;$B48)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Group")+SUMIFS(Movimientos!$K$1:$K$790,Movimientos!$C$1:$C$790,"CFT Group",Movimientos!$B$1:$B$790,"&lt;="&amp;$B49)</f>
        <v>1098358.7500000002</v>
      </c>
      <c r="D49" s="24">
        <f>SUMIFS('Saldos Iniciales'!$D:$D,'Saldos Iniciales'!$A:$A,"M1B")+SUMIFS(Movimientos!$K$1:$K$790,Movimientos!$C$1:$C$790,"M1B",Movimientos!$B$1:$B$790,"&lt;="&amp;$B49)</f>
        <v>69376.390000000174</v>
      </c>
      <c r="E49" s="24">
        <f>SUMIFS('Saldos Iniciales'!$D:$D,'Saldos Iniciales'!$A:$A,"Durand")+SUMIFS(Movimientos!$K$1:$K$790,Movimientos!$C$1:$C$790,"Durand",Movimientos!$B$1:$B$790,"&lt;="&amp;$B49)</f>
        <v>1669.89</v>
      </c>
      <c r="F49" s="24">
        <f>SUMIFS('Saldos Iniciales'!$D:$D,'Saldos Iniciales'!$A:$A,"A&amp;M Imports")+SUMIFS(Movimientos!$K$1:$K$790,Movimientos!$C$1:$C$790,"A&amp;M Imports",Movimientos!$B$1:$B$790,"&lt;="&amp;$B49)</f>
        <v>503904.80999999982</v>
      </c>
      <c r="G49" s="24">
        <f>SUMIFS('Saldos Iniciales'!$D:$D,'Saldos Iniciales'!$A:$A,"SSP Capital")+SUMIFS(Movimientos!$K$1:$K$790,Movimientos!$C$1:$C$790,"SSP Capital",Movimientos!$B$1:$B$790,"&lt;="&amp;$B49)</f>
        <v>3326863.3899999997</v>
      </c>
      <c r="H49" s="24">
        <f>SUMIFS('Saldos Iniciales'!$D:$D,'Saldos Iniciales'!$A:$A,"Cross Family Trust")+SUMIFS(Movimientos!$K$1:$K$790,Movimientos!$C$1:$C$790,"Cross Family Trust",Movimientos!$B$1:$B$790,"&lt;="&amp;$B49)</f>
        <v>116496.38</v>
      </c>
      <c r="I49" s="24">
        <f>SUMIFS('Saldos Iniciales'!$D:$D,'Saldos Iniciales'!$A:$A,"Cross Security Trust")+SUMIFS(Movimientos!$K$1:$K$790,Movimientos!$C$1:$C$790,"Cross Security Trust",Movimientos!$B$1:$B$790,"&lt;="&amp;$B49)</f>
        <v>88090.37</v>
      </c>
      <c r="J49" s="24">
        <f>SUMIFS('Saldos Iniciales'!$D:$D,'Saldos Iniciales'!$A:$A,"Electrama")+SUMIFS(Movimientos!$K$1:$K$790,Movimientos!$C$1:$C$790,"Electrama",Movimientos!$B$1:$B$790,"&lt;="&amp;$B49)</f>
        <v>511.15999999999985</v>
      </c>
      <c r="K49" s="24">
        <f>SUMIFS('Saldos Iniciales'!$D:$D,'Saldos Iniciales'!$A:$A,"Sacred Valley Capital")+SUMIFS(Movimientos!$K$1:$K$790,Movimientos!$C$1:$C$790,"Sacred Valley Capital",Movimientos!$B$1:$B$790,"&lt;="&amp;$B49)</f>
        <v>84.35</v>
      </c>
      <c r="L49" s="24">
        <f>SUMIFS('Saldos Iniciales'!$D:$D,'Saldos Iniciales'!$A:$A,"YWC Capital")+SUMIFS(Movimientos!$K$1:$K$790,Movimientos!$C$1:$C$790,"YWC Capital",Movimientos!$B$1:$B$790,"&lt;="&amp;$B49)</f>
        <v>2237.77</v>
      </c>
      <c r="M49" s="24">
        <f>SUMIFS('Saldos Iniciales'!$D:$D,'Saldos Iniciales'!$A:$A,"Soweto")+SUMIFS(Movimientos!$K$1:$K$790,Movimientos!$C$1:$C$790,"Soweto",Movimientos!$B$1:$B$790,"&lt;="&amp;$B49)</f>
        <v>3349.94</v>
      </c>
      <c r="N49" s="24">
        <f>SUMIFS('Saldos Iniciales'!$D:$D,'Saldos Iniciales'!$A:$A,"Green Stone Trust")+SUMIFS(Movimientos!$K$1:$K$790,Movimientos!$C$1:$C$790,"Green Stone Trust",Movimientos!$B$1:$B$790,"&lt;="&amp;$B49)</f>
        <v>1968.99</v>
      </c>
      <c r="O49" s="24">
        <f>SUMIFS('Saldos Iniciales'!$D:$D,'Saldos Iniciales'!$A:$A,"EC Auto")+SUMIFS(Movimientos!$K$1:$K$790,Movimientos!$C$1:$C$790,"EC Auto",Movimientos!$B$1:$B$790,"&lt;="&amp;$B49)</f>
        <v>382.69000000000005</v>
      </c>
      <c r="P49" s="24">
        <f>SUMIFS('Saldos Iniciales'!$D:$D,'Saldos Iniciales'!$A:$A,"Arbor Capital Properties")+SUMIFS(Movimientos!$K$1:$K$790,Movimientos!$C$1:$C$790,"Arbor Capital Properties",Movimientos!$B$1:$B$790,"&lt;="&amp;$B49)</f>
        <v>1428.08</v>
      </c>
      <c r="Q49" s="24">
        <f>SUMIFS('Saldos Iniciales'!$D:$D,'Saldos Iniciales'!$A:$A,"2515 Overbrook")+SUMIFS(Movimientos!$K$1:$K$790,Movimientos!$C$1:$C$790,"2515 Overbrook",Movimientos!$B$1:$B$790,"&lt;="&amp;$B49)</f>
        <v>29789.969999999961</v>
      </c>
      <c r="R49" s="24">
        <f>SUMIFS('Saldos Iniciales'!$D:$D,'Saldos Iniciales'!$A:$A,"112 Florida Ave")+SUMIFS(Movimientos!$K$1:$K$790,Movimientos!$C$1:$C$790,"112 Florida Ave",Movimientos!$B$1:$B$790,"&lt;="&amp;$B49)</f>
        <v>20321.43</v>
      </c>
      <c r="S49" s="24">
        <f>SUMIFS('Saldos Iniciales'!$D:$D,'Saldos Iniciales'!$A:$A,"3628 Thomas Ave")+SUMIFS(Movimientos!$K$1:$K$790,Movimientos!$C$1:$C$790,"3628 Thomas Ave",Movimientos!$B$1:$B$790,"&lt;="&amp;$B49)</f>
        <v>16681.349999999999</v>
      </c>
      <c r="T49" s="24">
        <f>SUMIFS('Saldos Iniciales'!$D:$D,'Saldos Iniciales'!$A:$A,"Green Harbor Trust")+SUMIFS(Movimientos!$K$1:$K$790,Movimientos!$C$1:$C$790,"Green Harbor Trust",Movimientos!$B$1:$B$790,"&lt;="&amp;$B49)</f>
        <v>345</v>
      </c>
      <c r="U49" s="24">
        <f>SUMIFS('Saldos Iniciales'!$D:$D,'Saldos Iniciales'!$A:$A,"Go Blue")+SUMIFS(Movimientos!$K$1:$K$790,Movimientos!$C$1:$C$790,"Go Blue",Movimientos!$B$1:$B$790,"&lt;="&amp;$B49)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Group")+SUMIFS(Movimientos!$K$1:$K$790,Movimientos!$C$1:$C$790,"CFT Group",Movimientos!$B$1:$B$790,"&lt;="&amp;$B50)</f>
        <v>1098358.7500000002</v>
      </c>
      <c r="D50" s="24">
        <f>SUMIFS('Saldos Iniciales'!$D:$D,'Saldos Iniciales'!$A:$A,"M1B")+SUMIFS(Movimientos!$K$1:$K$790,Movimientos!$C$1:$C$790,"M1B",Movimientos!$B$1:$B$790,"&lt;="&amp;$B50)</f>
        <v>69376.390000000174</v>
      </c>
      <c r="E50" s="24">
        <f>SUMIFS('Saldos Iniciales'!$D:$D,'Saldos Iniciales'!$A:$A,"Durand")+SUMIFS(Movimientos!$K$1:$K$790,Movimientos!$C$1:$C$790,"Durand",Movimientos!$B$1:$B$790,"&lt;="&amp;$B50)</f>
        <v>1669.89</v>
      </c>
      <c r="F50" s="24">
        <f>SUMIFS('Saldos Iniciales'!$D:$D,'Saldos Iniciales'!$A:$A,"A&amp;M Imports")+SUMIFS(Movimientos!$K$1:$K$790,Movimientos!$C$1:$C$790,"A&amp;M Imports",Movimientos!$B$1:$B$790,"&lt;="&amp;$B50)</f>
        <v>503904.80999999982</v>
      </c>
      <c r="G50" s="24">
        <f>SUMIFS('Saldos Iniciales'!$D:$D,'Saldos Iniciales'!$A:$A,"SSP Capital")+SUMIFS(Movimientos!$K$1:$K$790,Movimientos!$C$1:$C$790,"SSP Capital",Movimientos!$B$1:$B$790,"&lt;="&amp;$B50)</f>
        <v>3326696.7299999995</v>
      </c>
      <c r="H50" s="24">
        <f>SUMIFS('Saldos Iniciales'!$D:$D,'Saldos Iniciales'!$A:$A,"Cross Family Trust")+SUMIFS(Movimientos!$K$1:$K$790,Movimientos!$C$1:$C$790,"Cross Family Trust",Movimientos!$B$1:$B$790,"&lt;="&amp;$B50)</f>
        <v>116496.38</v>
      </c>
      <c r="I50" s="24">
        <f>SUMIFS('Saldos Iniciales'!$D:$D,'Saldos Iniciales'!$A:$A,"Cross Security Trust")+SUMIFS(Movimientos!$K$1:$K$790,Movimientos!$C$1:$C$790,"Cross Security Trust",Movimientos!$B$1:$B$790,"&lt;="&amp;$B50)</f>
        <v>88090.37</v>
      </c>
      <c r="J50" s="24">
        <f>SUMIFS('Saldos Iniciales'!$D:$D,'Saldos Iniciales'!$A:$A,"Electrama")+SUMIFS(Movimientos!$K$1:$K$790,Movimientos!$C$1:$C$790,"Electrama",Movimientos!$B$1:$B$790,"&lt;="&amp;$B50)</f>
        <v>511.15999999999985</v>
      </c>
      <c r="K50" s="24">
        <f>SUMIFS('Saldos Iniciales'!$D:$D,'Saldos Iniciales'!$A:$A,"Sacred Valley Capital")+SUMIFS(Movimientos!$K$1:$K$790,Movimientos!$C$1:$C$790,"Sacred Valley Capital",Movimientos!$B$1:$B$790,"&lt;="&amp;$B50)</f>
        <v>84.35</v>
      </c>
      <c r="L50" s="24">
        <f>SUMIFS('Saldos Iniciales'!$D:$D,'Saldos Iniciales'!$A:$A,"YWC Capital")+SUMIFS(Movimientos!$K$1:$K$790,Movimientos!$C$1:$C$790,"YWC Capital",Movimientos!$B$1:$B$790,"&lt;="&amp;$B50)</f>
        <v>2237.77</v>
      </c>
      <c r="M50" s="24">
        <f>SUMIFS('Saldos Iniciales'!$D:$D,'Saldos Iniciales'!$A:$A,"Soweto")+SUMIFS(Movimientos!$K$1:$K$790,Movimientos!$C$1:$C$790,"Soweto",Movimientos!$B$1:$B$790,"&lt;="&amp;$B50)</f>
        <v>3349.94</v>
      </c>
      <c r="N50" s="24">
        <f>SUMIFS('Saldos Iniciales'!$D:$D,'Saldos Iniciales'!$A:$A,"Green Stone Trust")+SUMIFS(Movimientos!$K$1:$K$790,Movimientos!$C$1:$C$790,"Green Stone Trust",Movimientos!$B$1:$B$790,"&lt;="&amp;$B50)</f>
        <v>1968.99</v>
      </c>
      <c r="O50" s="24">
        <f>SUMIFS('Saldos Iniciales'!$D:$D,'Saldos Iniciales'!$A:$A,"EC Auto")+SUMIFS(Movimientos!$K$1:$K$790,Movimientos!$C$1:$C$790,"EC Auto",Movimientos!$B$1:$B$790,"&lt;="&amp;$B50)</f>
        <v>382.69000000000005</v>
      </c>
      <c r="P50" s="24">
        <f>SUMIFS('Saldos Iniciales'!$D:$D,'Saldos Iniciales'!$A:$A,"Arbor Capital Properties")+SUMIFS(Movimientos!$K$1:$K$790,Movimientos!$C$1:$C$790,"Arbor Capital Properties",Movimientos!$B$1:$B$790,"&lt;="&amp;$B50)</f>
        <v>1428.08</v>
      </c>
      <c r="Q50" s="24">
        <f>SUMIFS('Saldos Iniciales'!$D:$D,'Saldos Iniciales'!$A:$A,"2515 Overbrook")+SUMIFS(Movimientos!$K$1:$K$790,Movimientos!$C$1:$C$790,"2515 Overbrook",Movimientos!$B$1:$B$790,"&lt;="&amp;$B50)</f>
        <v>29789.969999999961</v>
      </c>
      <c r="R50" s="24">
        <f>SUMIFS('Saldos Iniciales'!$D:$D,'Saldos Iniciales'!$A:$A,"112 Florida Ave")+SUMIFS(Movimientos!$K$1:$K$790,Movimientos!$C$1:$C$790,"112 Florida Ave",Movimientos!$B$1:$B$790,"&lt;="&amp;$B50)</f>
        <v>20321.43</v>
      </c>
      <c r="S50" s="24">
        <f>SUMIFS('Saldos Iniciales'!$D:$D,'Saldos Iniciales'!$A:$A,"3628 Thomas Ave")+SUMIFS(Movimientos!$K$1:$K$790,Movimientos!$C$1:$C$790,"3628 Thomas Ave",Movimientos!$B$1:$B$790,"&lt;="&amp;$B50)</f>
        <v>16681.349999999999</v>
      </c>
      <c r="T50" s="24">
        <f>SUMIFS('Saldos Iniciales'!$D:$D,'Saldos Iniciales'!$A:$A,"Green Harbor Trust")+SUMIFS(Movimientos!$K$1:$K$790,Movimientos!$C$1:$C$790,"Green Harbor Trust",Movimientos!$B$1:$B$790,"&lt;="&amp;$B50)</f>
        <v>345</v>
      </c>
      <c r="U50" s="24">
        <f>SUMIFS('Saldos Iniciales'!$D:$D,'Saldos Iniciales'!$A:$A,"Go Blue")+SUMIFS(Movimientos!$K$1:$K$790,Movimientos!$C$1:$C$790,"Go Blue",Movimientos!$B$1:$B$790,"&lt;="&amp;$B50)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Group")+SUMIFS(Movimientos!$K$1:$K$790,Movimientos!$C$1:$C$790,"CFT Group",Movimientos!$B$1:$B$790,"&lt;="&amp;$B51)</f>
        <v>1098358.7500000002</v>
      </c>
      <c r="D51" s="24">
        <f>SUMIFS('Saldos Iniciales'!$D:$D,'Saldos Iniciales'!$A:$A,"M1B")+SUMIFS(Movimientos!$K$1:$K$790,Movimientos!$C$1:$C$790,"M1B",Movimientos!$B$1:$B$790,"&lt;="&amp;$B51)</f>
        <v>69376.390000000174</v>
      </c>
      <c r="E51" s="24">
        <f>SUMIFS('Saldos Iniciales'!$D:$D,'Saldos Iniciales'!$A:$A,"Durand")+SUMIFS(Movimientos!$K$1:$K$790,Movimientos!$C$1:$C$790,"Durand",Movimientos!$B$1:$B$790,"&lt;="&amp;$B51)</f>
        <v>1669.89</v>
      </c>
      <c r="F51" s="24">
        <f>SUMIFS('Saldos Iniciales'!$D:$D,'Saldos Iniciales'!$A:$A,"A&amp;M Imports")+SUMIFS(Movimientos!$K$1:$K$790,Movimientos!$C$1:$C$790,"A&amp;M Imports",Movimientos!$B$1:$B$790,"&lt;="&amp;$B51)</f>
        <v>503904.80999999982</v>
      </c>
      <c r="G51" s="24">
        <f>SUMIFS('Saldos Iniciales'!$D:$D,'Saldos Iniciales'!$A:$A,"SSP Capital")+SUMIFS(Movimientos!$K$1:$K$790,Movimientos!$C$1:$C$790,"SSP Capital",Movimientos!$B$1:$B$790,"&lt;="&amp;$B51)</f>
        <v>3326696.7299999995</v>
      </c>
      <c r="H51" s="24">
        <f>SUMIFS('Saldos Iniciales'!$D:$D,'Saldos Iniciales'!$A:$A,"Cross Family Trust")+SUMIFS(Movimientos!$K$1:$K$790,Movimientos!$C$1:$C$790,"Cross Family Trust",Movimientos!$B$1:$B$790,"&lt;="&amp;$B51)</f>
        <v>116496.38</v>
      </c>
      <c r="I51" s="24">
        <f>SUMIFS('Saldos Iniciales'!$D:$D,'Saldos Iniciales'!$A:$A,"Cross Security Trust")+SUMIFS(Movimientos!$K$1:$K$790,Movimientos!$C$1:$C$790,"Cross Security Trust",Movimientos!$B$1:$B$790,"&lt;="&amp;$B51)</f>
        <v>88090.37</v>
      </c>
      <c r="J51" s="24">
        <f>SUMIFS('Saldos Iniciales'!$D:$D,'Saldos Iniciales'!$A:$A,"Electrama")+SUMIFS(Movimientos!$K$1:$K$790,Movimientos!$C$1:$C$790,"Electrama",Movimientos!$B$1:$B$790,"&lt;="&amp;$B51)</f>
        <v>511.15999999999985</v>
      </c>
      <c r="K51" s="24">
        <f>SUMIFS('Saldos Iniciales'!$D:$D,'Saldos Iniciales'!$A:$A,"Sacred Valley Capital")+SUMIFS(Movimientos!$K$1:$K$790,Movimientos!$C$1:$C$790,"Sacred Valley Capital",Movimientos!$B$1:$B$790,"&lt;="&amp;$B51)</f>
        <v>84.35</v>
      </c>
      <c r="L51" s="24">
        <f>SUMIFS('Saldos Iniciales'!$D:$D,'Saldos Iniciales'!$A:$A,"YWC Capital")+SUMIFS(Movimientos!$K$1:$K$790,Movimientos!$C$1:$C$790,"YWC Capital",Movimientos!$B$1:$B$790,"&lt;="&amp;$B51)</f>
        <v>2237.77</v>
      </c>
      <c r="M51" s="24">
        <f>SUMIFS('Saldos Iniciales'!$D:$D,'Saldos Iniciales'!$A:$A,"Soweto")+SUMIFS(Movimientos!$K$1:$K$790,Movimientos!$C$1:$C$790,"Soweto",Movimientos!$B$1:$B$790,"&lt;="&amp;$B51)</f>
        <v>3349.94</v>
      </c>
      <c r="N51" s="24">
        <f>SUMIFS('Saldos Iniciales'!$D:$D,'Saldos Iniciales'!$A:$A,"Green Stone Trust")+SUMIFS(Movimientos!$K$1:$K$790,Movimientos!$C$1:$C$790,"Green Stone Trust",Movimientos!$B$1:$B$790,"&lt;="&amp;$B51)</f>
        <v>1968.99</v>
      </c>
      <c r="O51" s="24">
        <f>SUMIFS('Saldos Iniciales'!$D:$D,'Saldos Iniciales'!$A:$A,"EC Auto")+SUMIFS(Movimientos!$K$1:$K$790,Movimientos!$C$1:$C$790,"EC Auto",Movimientos!$B$1:$B$790,"&lt;="&amp;$B51)</f>
        <v>382.69000000000005</v>
      </c>
      <c r="P51" s="24">
        <f>SUMIFS('Saldos Iniciales'!$D:$D,'Saldos Iniciales'!$A:$A,"Arbor Capital Properties")+SUMIFS(Movimientos!$K$1:$K$790,Movimientos!$C$1:$C$790,"Arbor Capital Properties",Movimientos!$B$1:$B$790,"&lt;="&amp;$B51)</f>
        <v>1428.08</v>
      </c>
      <c r="Q51" s="24">
        <f>SUMIFS('Saldos Iniciales'!$D:$D,'Saldos Iniciales'!$A:$A,"2515 Overbrook")+SUMIFS(Movimientos!$K$1:$K$790,Movimientos!$C$1:$C$790,"2515 Overbrook",Movimientos!$B$1:$B$790,"&lt;="&amp;$B51)</f>
        <v>29789.969999999961</v>
      </c>
      <c r="R51" s="24">
        <f>SUMIFS('Saldos Iniciales'!$D:$D,'Saldos Iniciales'!$A:$A,"112 Florida Ave")+SUMIFS(Movimientos!$K$1:$K$790,Movimientos!$C$1:$C$790,"112 Florida Ave",Movimientos!$B$1:$B$790,"&lt;="&amp;$B51)</f>
        <v>20321.43</v>
      </c>
      <c r="S51" s="24">
        <f>SUMIFS('Saldos Iniciales'!$D:$D,'Saldos Iniciales'!$A:$A,"3628 Thomas Ave")+SUMIFS(Movimientos!$K$1:$K$790,Movimientos!$C$1:$C$790,"3628 Thomas Ave",Movimientos!$B$1:$B$790,"&lt;="&amp;$B51)</f>
        <v>16681.349999999999</v>
      </c>
      <c r="T51" s="24">
        <f>SUMIFS('Saldos Iniciales'!$D:$D,'Saldos Iniciales'!$A:$A,"Green Harbor Trust")+SUMIFS(Movimientos!$K$1:$K$790,Movimientos!$C$1:$C$790,"Green Harbor Trust",Movimientos!$B$1:$B$790,"&lt;="&amp;$B51)</f>
        <v>345</v>
      </c>
      <c r="U51" s="24">
        <f>SUMIFS('Saldos Iniciales'!$D:$D,'Saldos Iniciales'!$A:$A,"Go Blue")+SUMIFS(Movimientos!$K$1:$K$790,Movimientos!$C$1:$C$790,"Go Blue",Movimientos!$B$1:$B$790,"&lt;="&amp;$B51)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Group")+SUMIFS(Movimientos!$K$1:$K$790,Movimientos!$C$1:$C$790,"CFT Group",Movimientos!$B$1:$B$790,"&lt;="&amp;$B52)</f>
        <v>1098358.7500000002</v>
      </c>
      <c r="D52" s="24">
        <f>SUMIFS('Saldos Iniciales'!$D:$D,'Saldos Iniciales'!$A:$A,"M1B")+SUMIFS(Movimientos!$K$1:$K$790,Movimientos!$C$1:$C$790,"M1B",Movimientos!$B$1:$B$790,"&lt;="&amp;$B52)</f>
        <v>69376.390000000174</v>
      </c>
      <c r="E52" s="24">
        <f>SUMIFS('Saldos Iniciales'!$D:$D,'Saldos Iniciales'!$A:$A,"Durand")+SUMIFS(Movimientos!$K$1:$K$790,Movimientos!$C$1:$C$790,"Durand",Movimientos!$B$1:$B$790,"&lt;="&amp;$B52)</f>
        <v>1669.89</v>
      </c>
      <c r="F52" s="24">
        <f>SUMIFS('Saldos Iniciales'!$D:$D,'Saldos Iniciales'!$A:$A,"A&amp;M Imports")+SUMIFS(Movimientos!$K$1:$K$790,Movimientos!$C$1:$C$790,"A&amp;M Imports",Movimientos!$B$1:$B$790,"&lt;="&amp;$B52)</f>
        <v>503904.80999999982</v>
      </c>
      <c r="G52" s="24">
        <f>SUMIFS('Saldos Iniciales'!$D:$D,'Saldos Iniciales'!$A:$A,"SSP Capital")+SUMIFS(Movimientos!$K$1:$K$790,Movimientos!$C$1:$C$790,"SSP Capital",Movimientos!$B$1:$B$790,"&lt;="&amp;$B52)</f>
        <v>3326696.7299999995</v>
      </c>
      <c r="H52" s="24">
        <f>SUMIFS('Saldos Iniciales'!$D:$D,'Saldos Iniciales'!$A:$A,"Cross Family Trust")+SUMIFS(Movimientos!$K$1:$K$790,Movimientos!$C$1:$C$790,"Cross Family Trust",Movimientos!$B$1:$B$790,"&lt;="&amp;$B52)</f>
        <v>116496.38</v>
      </c>
      <c r="I52" s="24">
        <f>SUMIFS('Saldos Iniciales'!$D:$D,'Saldos Iniciales'!$A:$A,"Cross Security Trust")+SUMIFS(Movimientos!$K$1:$K$790,Movimientos!$C$1:$C$790,"Cross Security Trust",Movimientos!$B$1:$B$790,"&lt;="&amp;$B52)</f>
        <v>88090.37</v>
      </c>
      <c r="J52" s="24">
        <f>SUMIFS('Saldos Iniciales'!$D:$D,'Saldos Iniciales'!$A:$A,"Electrama")+SUMIFS(Movimientos!$K$1:$K$790,Movimientos!$C$1:$C$790,"Electrama",Movimientos!$B$1:$B$790,"&lt;="&amp;$B52)</f>
        <v>511.15999999999985</v>
      </c>
      <c r="K52" s="24">
        <f>SUMIFS('Saldos Iniciales'!$D:$D,'Saldos Iniciales'!$A:$A,"Sacred Valley Capital")+SUMIFS(Movimientos!$K$1:$K$790,Movimientos!$C$1:$C$790,"Sacred Valley Capital",Movimientos!$B$1:$B$790,"&lt;="&amp;$B52)</f>
        <v>84.35</v>
      </c>
      <c r="L52" s="24">
        <f>SUMIFS('Saldos Iniciales'!$D:$D,'Saldos Iniciales'!$A:$A,"YWC Capital")+SUMIFS(Movimientos!$K$1:$K$790,Movimientos!$C$1:$C$790,"YWC Capital",Movimientos!$B$1:$B$790,"&lt;="&amp;$B52)</f>
        <v>2237.77</v>
      </c>
      <c r="M52" s="24">
        <f>SUMIFS('Saldos Iniciales'!$D:$D,'Saldos Iniciales'!$A:$A,"Soweto")+SUMIFS(Movimientos!$K$1:$K$790,Movimientos!$C$1:$C$790,"Soweto",Movimientos!$B$1:$B$790,"&lt;="&amp;$B52)</f>
        <v>3349.94</v>
      </c>
      <c r="N52" s="24">
        <f>SUMIFS('Saldos Iniciales'!$D:$D,'Saldos Iniciales'!$A:$A,"Green Stone Trust")+SUMIFS(Movimientos!$K$1:$K$790,Movimientos!$C$1:$C$790,"Green Stone Trust",Movimientos!$B$1:$B$790,"&lt;="&amp;$B52)</f>
        <v>1968.99</v>
      </c>
      <c r="O52" s="24">
        <f>SUMIFS('Saldos Iniciales'!$D:$D,'Saldos Iniciales'!$A:$A,"EC Auto")+SUMIFS(Movimientos!$K$1:$K$790,Movimientos!$C$1:$C$790,"EC Auto",Movimientos!$B$1:$B$790,"&lt;="&amp;$B52)</f>
        <v>382.69000000000005</v>
      </c>
      <c r="P52" s="24">
        <f>SUMIFS('Saldos Iniciales'!$D:$D,'Saldos Iniciales'!$A:$A,"Arbor Capital Properties")+SUMIFS(Movimientos!$K$1:$K$790,Movimientos!$C$1:$C$790,"Arbor Capital Properties",Movimientos!$B$1:$B$790,"&lt;="&amp;$B52)</f>
        <v>1428.08</v>
      </c>
      <c r="Q52" s="24">
        <f>SUMIFS('Saldos Iniciales'!$D:$D,'Saldos Iniciales'!$A:$A,"2515 Overbrook")+SUMIFS(Movimientos!$K$1:$K$790,Movimientos!$C$1:$C$790,"2515 Overbrook",Movimientos!$B$1:$B$790,"&lt;="&amp;$B52)</f>
        <v>29789.969999999961</v>
      </c>
      <c r="R52" s="24">
        <f>SUMIFS('Saldos Iniciales'!$D:$D,'Saldos Iniciales'!$A:$A,"112 Florida Ave")+SUMIFS(Movimientos!$K$1:$K$790,Movimientos!$C$1:$C$790,"112 Florida Ave",Movimientos!$B$1:$B$790,"&lt;="&amp;$B52)</f>
        <v>20321.43</v>
      </c>
      <c r="S52" s="24">
        <f>SUMIFS('Saldos Iniciales'!$D:$D,'Saldos Iniciales'!$A:$A,"3628 Thomas Ave")+SUMIFS(Movimientos!$K$1:$K$790,Movimientos!$C$1:$C$790,"3628 Thomas Ave",Movimientos!$B$1:$B$790,"&lt;="&amp;$B52)</f>
        <v>16681.349999999999</v>
      </c>
      <c r="T52" s="24">
        <f>SUMIFS('Saldos Iniciales'!$D:$D,'Saldos Iniciales'!$A:$A,"Green Harbor Trust")+SUMIFS(Movimientos!$K$1:$K$790,Movimientos!$C$1:$C$790,"Green Harbor Trust",Movimientos!$B$1:$B$790,"&lt;="&amp;$B52)</f>
        <v>345</v>
      </c>
      <c r="U52" s="24">
        <f>SUMIFS('Saldos Iniciales'!$D:$D,'Saldos Iniciales'!$A:$A,"Go Blue")+SUMIFS(Movimientos!$K$1:$K$790,Movimientos!$C$1:$C$790,"Go Blue",Movimientos!$B$1:$B$790,"&lt;="&amp;$B52)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Group")+SUMIFS(Movimientos!$K$1:$K$790,Movimientos!$C$1:$C$790,"CFT Group",Movimientos!$B$1:$B$790,"&lt;="&amp;$B53)</f>
        <v>1098358.7500000002</v>
      </c>
      <c r="D53" s="24">
        <f>SUMIFS('Saldos Iniciales'!$D:$D,'Saldos Iniciales'!$A:$A,"M1B")+SUMIFS(Movimientos!$K$1:$K$790,Movimientos!$C$1:$C$790,"M1B",Movimientos!$B$1:$B$790,"&lt;="&amp;$B53)</f>
        <v>69376.390000000174</v>
      </c>
      <c r="E53" s="24">
        <f>SUMIFS('Saldos Iniciales'!$D:$D,'Saldos Iniciales'!$A:$A,"Durand")+SUMIFS(Movimientos!$K$1:$K$790,Movimientos!$C$1:$C$790,"Durand",Movimientos!$B$1:$B$790,"&lt;="&amp;$B53)</f>
        <v>1669.89</v>
      </c>
      <c r="F53" s="24">
        <f>SUMIFS('Saldos Iniciales'!$D:$D,'Saldos Iniciales'!$A:$A,"A&amp;M Imports")+SUMIFS(Movimientos!$K$1:$K$790,Movimientos!$C$1:$C$790,"A&amp;M Imports",Movimientos!$B$1:$B$790,"&lt;="&amp;$B53)</f>
        <v>503904.80999999982</v>
      </c>
      <c r="G53" s="24">
        <f>SUMIFS('Saldos Iniciales'!$D:$D,'Saldos Iniciales'!$A:$A,"SSP Capital")+SUMIFS(Movimientos!$K$1:$K$790,Movimientos!$C$1:$C$790,"SSP Capital",Movimientos!$B$1:$B$790,"&lt;="&amp;$B53)</f>
        <v>3326696.7299999995</v>
      </c>
      <c r="H53" s="24">
        <f>SUMIFS('Saldos Iniciales'!$D:$D,'Saldos Iniciales'!$A:$A,"Cross Family Trust")+SUMIFS(Movimientos!$K$1:$K$790,Movimientos!$C$1:$C$790,"Cross Family Trust",Movimientos!$B$1:$B$790,"&lt;="&amp;$B53)</f>
        <v>116496.38</v>
      </c>
      <c r="I53" s="24">
        <f>SUMIFS('Saldos Iniciales'!$D:$D,'Saldos Iniciales'!$A:$A,"Cross Security Trust")+SUMIFS(Movimientos!$K$1:$K$790,Movimientos!$C$1:$C$790,"Cross Security Trust",Movimientos!$B$1:$B$790,"&lt;="&amp;$B53)</f>
        <v>88090.37</v>
      </c>
      <c r="J53" s="24">
        <f>SUMIFS('Saldos Iniciales'!$D:$D,'Saldos Iniciales'!$A:$A,"Electrama")+SUMIFS(Movimientos!$K$1:$K$790,Movimientos!$C$1:$C$790,"Electrama",Movimientos!$B$1:$B$790,"&lt;="&amp;$B53)</f>
        <v>511.15999999999985</v>
      </c>
      <c r="K53" s="24">
        <f>SUMIFS('Saldos Iniciales'!$D:$D,'Saldos Iniciales'!$A:$A,"Sacred Valley Capital")+SUMIFS(Movimientos!$K$1:$K$790,Movimientos!$C$1:$C$790,"Sacred Valley Capital",Movimientos!$B$1:$B$790,"&lt;="&amp;$B53)</f>
        <v>84.35</v>
      </c>
      <c r="L53" s="24">
        <f>SUMIFS('Saldos Iniciales'!$D:$D,'Saldos Iniciales'!$A:$A,"YWC Capital")+SUMIFS(Movimientos!$K$1:$K$790,Movimientos!$C$1:$C$790,"YWC Capital",Movimientos!$B$1:$B$790,"&lt;="&amp;$B53)</f>
        <v>2237.77</v>
      </c>
      <c r="M53" s="24">
        <f>SUMIFS('Saldos Iniciales'!$D:$D,'Saldos Iniciales'!$A:$A,"Soweto")+SUMIFS(Movimientos!$K$1:$K$790,Movimientos!$C$1:$C$790,"Soweto",Movimientos!$B$1:$B$790,"&lt;="&amp;$B53)</f>
        <v>3349.94</v>
      </c>
      <c r="N53" s="24">
        <f>SUMIFS('Saldos Iniciales'!$D:$D,'Saldos Iniciales'!$A:$A,"Green Stone Trust")+SUMIFS(Movimientos!$K$1:$K$790,Movimientos!$C$1:$C$790,"Green Stone Trust",Movimientos!$B$1:$B$790,"&lt;="&amp;$B53)</f>
        <v>1968.99</v>
      </c>
      <c r="O53" s="24">
        <f>SUMIFS('Saldos Iniciales'!$D:$D,'Saldos Iniciales'!$A:$A,"EC Auto")+SUMIFS(Movimientos!$K$1:$K$790,Movimientos!$C$1:$C$790,"EC Auto",Movimientos!$B$1:$B$790,"&lt;="&amp;$B53)</f>
        <v>382.69000000000005</v>
      </c>
      <c r="P53" s="24">
        <f>SUMIFS('Saldos Iniciales'!$D:$D,'Saldos Iniciales'!$A:$A,"Arbor Capital Properties")+SUMIFS(Movimientos!$K$1:$K$790,Movimientos!$C$1:$C$790,"Arbor Capital Properties",Movimientos!$B$1:$B$790,"&lt;="&amp;$B53)</f>
        <v>1428.08</v>
      </c>
      <c r="Q53" s="24">
        <f>SUMIFS('Saldos Iniciales'!$D:$D,'Saldos Iniciales'!$A:$A,"2515 Overbrook")+SUMIFS(Movimientos!$K$1:$K$790,Movimientos!$C$1:$C$790,"2515 Overbrook",Movimientos!$B$1:$B$790,"&lt;="&amp;$B53)</f>
        <v>29789.969999999961</v>
      </c>
      <c r="R53" s="24">
        <f>SUMIFS('Saldos Iniciales'!$D:$D,'Saldos Iniciales'!$A:$A,"112 Florida Ave")+SUMIFS(Movimientos!$K$1:$K$790,Movimientos!$C$1:$C$790,"112 Florida Ave",Movimientos!$B$1:$B$790,"&lt;="&amp;$B53)</f>
        <v>20321.43</v>
      </c>
      <c r="S53" s="24">
        <f>SUMIFS('Saldos Iniciales'!$D:$D,'Saldos Iniciales'!$A:$A,"3628 Thomas Ave")+SUMIFS(Movimientos!$K$1:$K$790,Movimientos!$C$1:$C$790,"3628 Thomas Ave",Movimientos!$B$1:$B$790,"&lt;="&amp;$B53)</f>
        <v>16681.349999999999</v>
      </c>
      <c r="T53" s="24">
        <f>SUMIFS('Saldos Iniciales'!$D:$D,'Saldos Iniciales'!$A:$A,"Green Harbor Trust")+SUMIFS(Movimientos!$K$1:$K$790,Movimientos!$C$1:$C$790,"Green Harbor Trust",Movimientos!$B$1:$B$790,"&lt;="&amp;$B53)</f>
        <v>345</v>
      </c>
      <c r="U53" s="24">
        <f>SUMIFS('Saldos Iniciales'!$D:$D,'Saldos Iniciales'!$A:$A,"Go Blue")+SUMIFS(Movimientos!$K$1:$K$790,Movimientos!$C$1:$C$790,"Go Blue",Movimientos!$B$1:$B$790,"&lt;="&amp;$B53)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Group")+SUMIFS(Movimientos!$K$1:$K$790,Movimientos!$C$1:$C$790,"CFT Group",Movimientos!$B$1:$B$790,"&lt;="&amp;$B54)</f>
        <v>7613332.1400000006</v>
      </c>
      <c r="D54" s="24">
        <f>SUMIFS('Saldos Iniciales'!$D:$D,'Saldos Iniciales'!$A:$A,"M1B")+SUMIFS(Movimientos!$K$1:$K$790,Movimientos!$C$1:$C$790,"M1B",Movimientos!$B$1:$B$790,"&lt;="&amp;$B54)</f>
        <v>69376.390000000174</v>
      </c>
      <c r="E54" s="24">
        <f>SUMIFS('Saldos Iniciales'!$D:$D,'Saldos Iniciales'!$A:$A,"Durand")+SUMIFS(Movimientos!$K$1:$K$790,Movimientos!$C$1:$C$790,"Durand",Movimientos!$B$1:$B$790,"&lt;="&amp;$B54)</f>
        <v>1669.89</v>
      </c>
      <c r="F54" s="24">
        <f>SUMIFS('Saldos Iniciales'!$D:$D,'Saldos Iniciales'!$A:$A,"A&amp;M Imports")+SUMIFS(Movimientos!$K$1:$K$790,Movimientos!$C$1:$C$790,"A&amp;M Imports",Movimientos!$B$1:$B$790,"&lt;="&amp;$B54)</f>
        <v>503904.80999999982</v>
      </c>
      <c r="G54" s="24">
        <f>SUMIFS('Saldos Iniciales'!$D:$D,'Saldos Iniciales'!$A:$A,"SSP Capital")+SUMIFS(Movimientos!$K$1:$K$790,Movimientos!$C$1:$C$790,"SSP Capital",Movimientos!$B$1:$B$790,"&lt;="&amp;$B54)</f>
        <v>3325868.6899999995</v>
      </c>
      <c r="H54" s="24">
        <f>SUMIFS('Saldos Iniciales'!$D:$D,'Saldos Iniciales'!$A:$A,"Cross Family Trust")+SUMIFS(Movimientos!$K$1:$K$790,Movimientos!$C$1:$C$790,"Cross Family Trust",Movimientos!$B$1:$B$790,"&lt;="&amp;$B54)</f>
        <v>116496.38</v>
      </c>
      <c r="I54" s="24">
        <f>SUMIFS('Saldos Iniciales'!$D:$D,'Saldos Iniciales'!$A:$A,"Cross Security Trust")+SUMIFS(Movimientos!$K$1:$K$790,Movimientos!$C$1:$C$790,"Cross Security Trust",Movimientos!$B$1:$B$790,"&lt;="&amp;$B54)</f>
        <v>88090.37</v>
      </c>
      <c r="J54" s="24">
        <f>SUMIFS('Saldos Iniciales'!$D:$D,'Saldos Iniciales'!$A:$A,"Electrama")+SUMIFS(Movimientos!$K$1:$K$790,Movimientos!$C$1:$C$790,"Electrama",Movimientos!$B$1:$B$790,"&lt;="&amp;$B54)</f>
        <v>511.15999999999985</v>
      </c>
      <c r="K54" s="24">
        <f>SUMIFS('Saldos Iniciales'!$D:$D,'Saldos Iniciales'!$A:$A,"Sacred Valley Capital")+SUMIFS(Movimientos!$K$1:$K$790,Movimientos!$C$1:$C$790,"Sacred Valley Capital",Movimientos!$B$1:$B$790,"&lt;="&amp;$B54)</f>
        <v>84.35</v>
      </c>
      <c r="L54" s="24">
        <f>SUMIFS('Saldos Iniciales'!$D:$D,'Saldos Iniciales'!$A:$A,"YWC Capital")+SUMIFS(Movimientos!$K$1:$K$790,Movimientos!$C$1:$C$790,"YWC Capital",Movimientos!$B$1:$B$790,"&lt;="&amp;$B54)</f>
        <v>2237.77</v>
      </c>
      <c r="M54" s="24">
        <f>SUMIFS('Saldos Iniciales'!$D:$D,'Saldos Iniciales'!$A:$A,"Soweto")+SUMIFS(Movimientos!$K$1:$K$790,Movimientos!$C$1:$C$790,"Soweto",Movimientos!$B$1:$B$790,"&lt;="&amp;$B54)</f>
        <v>3349.94</v>
      </c>
      <c r="N54" s="24">
        <f>SUMIFS('Saldos Iniciales'!$D:$D,'Saldos Iniciales'!$A:$A,"Green Stone Trust")+SUMIFS(Movimientos!$K$1:$K$790,Movimientos!$C$1:$C$790,"Green Stone Trust",Movimientos!$B$1:$B$790,"&lt;="&amp;$B54)</f>
        <v>1968.99</v>
      </c>
      <c r="O54" s="24">
        <f>SUMIFS('Saldos Iniciales'!$D:$D,'Saldos Iniciales'!$A:$A,"EC Auto")+SUMIFS(Movimientos!$K$1:$K$790,Movimientos!$C$1:$C$790,"EC Auto",Movimientos!$B$1:$B$790,"&lt;="&amp;$B54)</f>
        <v>382.69000000000005</v>
      </c>
      <c r="P54" s="24">
        <f>SUMIFS('Saldos Iniciales'!$D:$D,'Saldos Iniciales'!$A:$A,"Arbor Capital Properties")+SUMIFS(Movimientos!$K$1:$K$790,Movimientos!$C$1:$C$790,"Arbor Capital Properties",Movimientos!$B$1:$B$790,"&lt;="&amp;$B54)</f>
        <v>1428.08</v>
      </c>
      <c r="Q54" s="24">
        <f>SUMIFS('Saldos Iniciales'!$D:$D,'Saldos Iniciales'!$A:$A,"2515 Overbrook")+SUMIFS(Movimientos!$K$1:$K$790,Movimientos!$C$1:$C$790,"2515 Overbrook",Movimientos!$B$1:$B$790,"&lt;="&amp;$B54)</f>
        <v>31039.969999999961</v>
      </c>
      <c r="R54" s="24">
        <f>SUMIFS('Saldos Iniciales'!$D:$D,'Saldos Iniciales'!$A:$A,"112 Florida Ave")+SUMIFS(Movimientos!$K$1:$K$790,Movimientos!$C$1:$C$790,"112 Florida Ave",Movimientos!$B$1:$B$790,"&lt;="&amp;$B54)</f>
        <v>20321.43</v>
      </c>
      <c r="S54" s="24">
        <f>SUMIFS('Saldos Iniciales'!$D:$D,'Saldos Iniciales'!$A:$A,"3628 Thomas Ave")+SUMIFS(Movimientos!$K$1:$K$790,Movimientos!$C$1:$C$790,"3628 Thomas Ave",Movimientos!$B$1:$B$790,"&lt;="&amp;$B54)</f>
        <v>16681.349999999999</v>
      </c>
      <c r="T54" s="24">
        <f>SUMIFS('Saldos Iniciales'!$D:$D,'Saldos Iniciales'!$A:$A,"Green Harbor Trust")+SUMIFS(Movimientos!$K$1:$K$790,Movimientos!$C$1:$C$790,"Green Harbor Trust",Movimientos!$B$1:$B$790,"&lt;="&amp;$B54)</f>
        <v>345</v>
      </c>
      <c r="U54" s="24">
        <f>SUMIFS('Saldos Iniciales'!$D:$D,'Saldos Iniciales'!$A:$A,"Go Blue")+SUMIFS(Movimientos!$K$1:$K$790,Movimientos!$C$1:$C$790,"Go Blue",Movimientos!$B$1:$B$790,"&lt;="&amp;$B54)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Group")+SUMIFS(Movimientos!$K$1:$K$790,Movimientos!$C$1:$C$790,"CFT Group",Movimientos!$B$1:$B$790,"&lt;="&amp;$B55)</f>
        <v>7675741.5900000008</v>
      </c>
      <c r="D55" s="24">
        <f>SUMIFS('Saldos Iniciales'!$D:$D,'Saldos Iniciales'!$A:$A,"M1B")+SUMIFS(Movimientos!$K$1:$K$790,Movimientos!$C$1:$C$790,"M1B",Movimientos!$B$1:$B$790,"&lt;="&amp;$B55)</f>
        <v>69376.390000000174</v>
      </c>
      <c r="E55" s="24">
        <f>SUMIFS('Saldos Iniciales'!$D:$D,'Saldos Iniciales'!$A:$A,"Durand")+SUMIFS(Movimientos!$K$1:$K$790,Movimientos!$C$1:$C$790,"Durand",Movimientos!$B$1:$B$790,"&lt;="&amp;$B55)</f>
        <v>1669.89</v>
      </c>
      <c r="F55" s="24">
        <f>SUMIFS('Saldos Iniciales'!$D:$D,'Saldos Iniciales'!$A:$A,"A&amp;M Imports")+SUMIFS(Movimientos!$K$1:$K$790,Movimientos!$C$1:$C$790,"A&amp;M Imports",Movimientos!$B$1:$B$790,"&lt;="&amp;$B55)</f>
        <v>503904.80999999982</v>
      </c>
      <c r="G55" s="24">
        <f>SUMIFS('Saldos Iniciales'!$D:$D,'Saldos Iniciales'!$A:$A,"SSP Capital")+SUMIFS(Movimientos!$K$1:$K$790,Movimientos!$C$1:$C$790,"SSP Capital",Movimientos!$B$1:$B$790,"&lt;="&amp;$B55)</f>
        <v>3325868.6899999995</v>
      </c>
      <c r="H55" s="24">
        <f>SUMIFS('Saldos Iniciales'!$D:$D,'Saldos Iniciales'!$A:$A,"Cross Family Trust")+SUMIFS(Movimientos!$K$1:$K$790,Movimientos!$C$1:$C$790,"Cross Family Trust",Movimientos!$B$1:$B$790,"&lt;="&amp;$B55)</f>
        <v>116496.38</v>
      </c>
      <c r="I55" s="24">
        <f>SUMIFS('Saldos Iniciales'!$D:$D,'Saldos Iniciales'!$A:$A,"Cross Security Trust")+SUMIFS(Movimientos!$K$1:$K$790,Movimientos!$C$1:$C$790,"Cross Security Trust",Movimientos!$B$1:$B$790,"&lt;="&amp;$B55)</f>
        <v>88090.37</v>
      </c>
      <c r="J55" s="24">
        <f>SUMIFS('Saldos Iniciales'!$D:$D,'Saldos Iniciales'!$A:$A,"Electrama")+SUMIFS(Movimientos!$K$1:$K$790,Movimientos!$C$1:$C$790,"Electrama",Movimientos!$B$1:$B$790,"&lt;="&amp;$B55)</f>
        <v>511.15999999999985</v>
      </c>
      <c r="K55" s="24">
        <f>SUMIFS('Saldos Iniciales'!$D:$D,'Saldos Iniciales'!$A:$A,"Sacred Valley Capital")+SUMIFS(Movimientos!$K$1:$K$790,Movimientos!$C$1:$C$790,"Sacred Valley Capital",Movimientos!$B$1:$B$790,"&lt;="&amp;$B55)</f>
        <v>84.35</v>
      </c>
      <c r="L55" s="24">
        <f>SUMIFS('Saldos Iniciales'!$D:$D,'Saldos Iniciales'!$A:$A,"YWC Capital")+SUMIFS(Movimientos!$K$1:$K$790,Movimientos!$C$1:$C$790,"YWC Capital",Movimientos!$B$1:$B$790,"&lt;="&amp;$B55)</f>
        <v>2237.77</v>
      </c>
      <c r="M55" s="24">
        <f>SUMIFS('Saldos Iniciales'!$D:$D,'Saldos Iniciales'!$A:$A,"Soweto")+SUMIFS(Movimientos!$K$1:$K$790,Movimientos!$C$1:$C$790,"Soweto",Movimientos!$B$1:$B$790,"&lt;="&amp;$B55)</f>
        <v>3349.94</v>
      </c>
      <c r="N55" s="24">
        <f>SUMIFS('Saldos Iniciales'!$D:$D,'Saldos Iniciales'!$A:$A,"Green Stone Trust")+SUMIFS(Movimientos!$K$1:$K$790,Movimientos!$C$1:$C$790,"Green Stone Trust",Movimientos!$B$1:$B$790,"&lt;="&amp;$B55)</f>
        <v>1968.99</v>
      </c>
      <c r="O55" s="24">
        <f>SUMIFS('Saldos Iniciales'!$D:$D,'Saldos Iniciales'!$A:$A,"EC Auto")+SUMIFS(Movimientos!$K$1:$K$790,Movimientos!$C$1:$C$790,"EC Auto",Movimientos!$B$1:$B$790,"&lt;="&amp;$B55)</f>
        <v>382.69000000000005</v>
      </c>
      <c r="P55" s="24">
        <f>SUMIFS('Saldos Iniciales'!$D:$D,'Saldos Iniciales'!$A:$A,"Arbor Capital Properties")+SUMIFS(Movimientos!$K$1:$K$790,Movimientos!$C$1:$C$790,"Arbor Capital Properties",Movimientos!$B$1:$B$790,"&lt;="&amp;$B55)</f>
        <v>1428.08</v>
      </c>
      <c r="Q55" s="24">
        <f>SUMIFS('Saldos Iniciales'!$D:$D,'Saldos Iniciales'!$A:$A,"2515 Overbrook")+SUMIFS(Movimientos!$K$1:$K$790,Movimientos!$C$1:$C$790,"2515 Overbrook",Movimientos!$B$1:$B$790,"&lt;="&amp;$B55)</f>
        <v>31039.969999999961</v>
      </c>
      <c r="R55" s="24">
        <f>SUMIFS('Saldos Iniciales'!$D:$D,'Saldos Iniciales'!$A:$A,"112 Florida Ave")+SUMIFS(Movimientos!$K$1:$K$790,Movimientos!$C$1:$C$790,"112 Florida Ave",Movimientos!$B$1:$B$790,"&lt;="&amp;$B55)</f>
        <v>20321.43</v>
      </c>
      <c r="S55" s="24">
        <f>SUMIFS('Saldos Iniciales'!$D:$D,'Saldos Iniciales'!$A:$A,"3628 Thomas Ave")+SUMIFS(Movimientos!$K$1:$K$790,Movimientos!$C$1:$C$790,"3628 Thomas Ave",Movimientos!$B$1:$B$790,"&lt;="&amp;$B55)</f>
        <v>16681.349999999999</v>
      </c>
      <c r="T55" s="24">
        <f>SUMIFS('Saldos Iniciales'!$D:$D,'Saldos Iniciales'!$A:$A,"Green Harbor Trust")+SUMIFS(Movimientos!$K$1:$K$790,Movimientos!$C$1:$C$790,"Green Harbor Trust",Movimientos!$B$1:$B$790,"&lt;="&amp;$B55)</f>
        <v>345</v>
      </c>
      <c r="U55" s="24">
        <f>SUMIFS('Saldos Iniciales'!$D:$D,'Saldos Iniciales'!$A:$A,"Go Blue")+SUMIFS(Movimientos!$K$1:$K$790,Movimientos!$C$1:$C$790,"Go Blue",Movimientos!$B$1:$B$790,"&lt;="&amp;$B55)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Group")+SUMIFS(Movimientos!$K$1:$K$790,Movimientos!$C$1:$C$790,"CFT Group",Movimientos!$B$1:$B$790,"&lt;="&amp;$B56)</f>
        <v>7742810.7100000009</v>
      </c>
      <c r="D56" s="24">
        <f>SUMIFS('Saldos Iniciales'!$D:$D,'Saldos Iniciales'!$A:$A,"M1B")+SUMIFS(Movimientos!$K$1:$K$790,Movimientos!$C$1:$C$790,"M1B",Movimientos!$B$1:$B$790,"&lt;="&amp;$B56)</f>
        <v>72386.190000000177</v>
      </c>
      <c r="E56" s="24">
        <f>SUMIFS('Saldos Iniciales'!$D:$D,'Saldos Iniciales'!$A:$A,"Durand")+SUMIFS(Movimientos!$K$1:$K$790,Movimientos!$C$1:$C$790,"Durand",Movimientos!$B$1:$B$790,"&lt;="&amp;$B56)</f>
        <v>1669.89</v>
      </c>
      <c r="F56" s="24">
        <f>SUMIFS('Saldos Iniciales'!$D:$D,'Saldos Iniciales'!$A:$A,"A&amp;M Imports")+SUMIFS(Movimientos!$K$1:$K$790,Movimientos!$C$1:$C$790,"A&amp;M Imports",Movimientos!$B$1:$B$790,"&lt;="&amp;$B56)</f>
        <v>532766.72999999986</v>
      </c>
      <c r="G56" s="24">
        <f>SUMIFS('Saldos Iniciales'!$D:$D,'Saldos Iniciales'!$A:$A,"SSP Capital")+SUMIFS(Movimientos!$K$1:$K$790,Movimientos!$C$1:$C$790,"SSP Capital",Movimientos!$B$1:$B$790,"&lt;="&amp;$B56)</f>
        <v>3325868.6899999995</v>
      </c>
      <c r="H56" s="24">
        <f>SUMIFS('Saldos Iniciales'!$D:$D,'Saldos Iniciales'!$A:$A,"Cross Family Trust")+SUMIFS(Movimientos!$K$1:$K$790,Movimientos!$C$1:$C$790,"Cross Family Trust",Movimientos!$B$1:$B$790,"&lt;="&amp;$B56)</f>
        <v>116496.38</v>
      </c>
      <c r="I56" s="24">
        <f>SUMIFS('Saldos Iniciales'!$D:$D,'Saldos Iniciales'!$A:$A,"Cross Security Trust")+SUMIFS(Movimientos!$K$1:$K$790,Movimientos!$C$1:$C$790,"Cross Security Trust",Movimientos!$B$1:$B$790,"&lt;="&amp;$B56)</f>
        <v>88090.37</v>
      </c>
      <c r="J56" s="24">
        <f>SUMIFS('Saldos Iniciales'!$D:$D,'Saldos Iniciales'!$A:$A,"Electrama")+SUMIFS(Movimientos!$K$1:$K$790,Movimientos!$C$1:$C$790,"Electrama",Movimientos!$B$1:$B$790,"&lt;="&amp;$B56)</f>
        <v>511.15999999999985</v>
      </c>
      <c r="K56" s="24">
        <f>SUMIFS('Saldos Iniciales'!$D:$D,'Saldos Iniciales'!$A:$A,"Sacred Valley Capital")+SUMIFS(Movimientos!$K$1:$K$790,Movimientos!$C$1:$C$790,"Sacred Valley Capital",Movimientos!$B$1:$B$790,"&lt;="&amp;$B56)</f>
        <v>84.35</v>
      </c>
      <c r="L56" s="24">
        <f>SUMIFS('Saldos Iniciales'!$D:$D,'Saldos Iniciales'!$A:$A,"YWC Capital")+SUMIFS(Movimientos!$K$1:$K$790,Movimientos!$C$1:$C$790,"YWC Capital",Movimientos!$B$1:$B$790,"&lt;="&amp;$B56)</f>
        <v>2237.77</v>
      </c>
      <c r="M56" s="24">
        <f>SUMIFS('Saldos Iniciales'!$D:$D,'Saldos Iniciales'!$A:$A,"Soweto")+SUMIFS(Movimientos!$K$1:$K$790,Movimientos!$C$1:$C$790,"Soweto",Movimientos!$B$1:$B$790,"&lt;="&amp;$B56)</f>
        <v>3349.94</v>
      </c>
      <c r="N56" s="24">
        <f>SUMIFS('Saldos Iniciales'!$D:$D,'Saldos Iniciales'!$A:$A,"Green Stone Trust")+SUMIFS(Movimientos!$K$1:$K$790,Movimientos!$C$1:$C$790,"Green Stone Trust",Movimientos!$B$1:$B$790,"&lt;="&amp;$B56)</f>
        <v>1968.99</v>
      </c>
      <c r="O56" s="24">
        <f>SUMIFS('Saldos Iniciales'!$D:$D,'Saldos Iniciales'!$A:$A,"EC Auto")+SUMIFS(Movimientos!$K$1:$K$790,Movimientos!$C$1:$C$790,"EC Auto",Movimientos!$B$1:$B$790,"&lt;="&amp;$B56)</f>
        <v>382.69000000000005</v>
      </c>
      <c r="P56" s="24">
        <f>SUMIFS('Saldos Iniciales'!$D:$D,'Saldos Iniciales'!$A:$A,"Arbor Capital Properties")+SUMIFS(Movimientos!$K$1:$K$790,Movimientos!$C$1:$C$790,"Arbor Capital Properties",Movimientos!$B$1:$B$790,"&lt;="&amp;$B56)</f>
        <v>1428.08</v>
      </c>
      <c r="Q56" s="24">
        <f>SUMIFS('Saldos Iniciales'!$D:$D,'Saldos Iniciales'!$A:$A,"2515 Overbrook")+SUMIFS(Movimientos!$K$1:$K$790,Movimientos!$C$1:$C$790,"2515 Overbrook",Movimientos!$B$1:$B$790,"&lt;="&amp;$B56)</f>
        <v>31039.969999999961</v>
      </c>
      <c r="R56" s="24">
        <f>SUMIFS('Saldos Iniciales'!$D:$D,'Saldos Iniciales'!$A:$A,"112 Florida Ave")+SUMIFS(Movimientos!$K$1:$K$790,Movimientos!$C$1:$C$790,"112 Florida Ave",Movimientos!$B$1:$B$790,"&lt;="&amp;$B56)</f>
        <v>20321.43</v>
      </c>
      <c r="S56" s="24">
        <f>SUMIFS('Saldos Iniciales'!$D:$D,'Saldos Iniciales'!$A:$A,"3628 Thomas Ave")+SUMIFS(Movimientos!$K$1:$K$790,Movimientos!$C$1:$C$790,"3628 Thomas Ave",Movimientos!$B$1:$B$790,"&lt;="&amp;$B56)</f>
        <v>16681.349999999999</v>
      </c>
      <c r="T56" s="24">
        <f>SUMIFS('Saldos Iniciales'!$D:$D,'Saldos Iniciales'!$A:$A,"Green Harbor Trust")+SUMIFS(Movimientos!$K$1:$K$790,Movimientos!$C$1:$C$790,"Green Harbor Trust",Movimientos!$B$1:$B$790,"&lt;="&amp;$B56)</f>
        <v>345</v>
      </c>
      <c r="U56" s="24">
        <f>SUMIFS('Saldos Iniciales'!$D:$D,'Saldos Iniciales'!$A:$A,"Go Blue")+SUMIFS(Movimientos!$K$1:$K$790,Movimientos!$C$1:$C$790,"Go Blue",Movimientos!$B$1:$B$790,"&lt;="&amp;$B56)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Group")+SUMIFS(Movimientos!$K$1:$K$790,Movimientos!$C$1:$C$790,"CFT Group",Movimientos!$B$1:$B$790,"&lt;="&amp;$B57)</f>
        <v>6298935.7100000009</v>
      </c>
      <c r="D57" s="24">
        <f>SUMIFS('Saldos Iniciales'!$D:$D,'Saldos Iniciales'!$A:$A,"M1B")+SUMIFS(Movimientos!$K$1:$K$790,Movimientos!$C$1:$C$790,"M1B",Movimientos!$B$1:$B$790,"&lt;="&amp;$B57)</f>
        <v>72386.190000000177</v>
      </c>
      <c r="E57" s="24">
        <f>SUMIFS('Saldos Iniciales'!$D:$D,'Saldos Iniciales'!$A:$A,"Durand")+SUMIFS(Movimientos!$K$1:$K$790,Movimientos!$C$1:$C$790,"Durand",Movimientos!$B$1:$B$790,"&lt;="&amp;$B57)</f>
        <v>1669.89</v>
      </c>
      <c r="F57" s="24">
        <f>SUMIFS('Saldos Iniciales'!$D:$D,'Saldos Iniciales'!$A:$A,"A&amp;M Imports")+SUMIFS(Movimientos!$K$1:$K$790,Movimientos!$C$1:$C$790,"A&amp;M Imports",Movimientos!$B$1:$B$790,"&lt;="&amp;$B57)</f>
        <v>472766.72999999986</v>
      </c>
      <c r="G57" s="24">
        <f>SUMIFS('Saldos Iniciales'!$D:$D,'Saldos Iniciales'!$A:$A,"SSP Capital")+SUMIFS(Movimientos!$K$1:$K$790,Movimientos!$C$1:$C$790,"SSP Capital",Movimientos!$B$1:$B$790,"&lt;="&amp;$B57)</f>
        <v>1933152.7099999995</v>
      </c>
      <c r="H57" s="24">
        <f>SUMIFS('Saldos Iniciales'!$D:$D,'Saldos Iniciales'!$A:$A,"Cross Family Trust")+SUMIFS(Movimientos!$K$1:$K$790,Movimientos!$C$1:$C$790,"Cross Family Trust",Movimientos!$B$1:$B$790,"&lt;="&amp;$B57)</f>
        <v>1996496.38</v>
      </c>
      <c r="I57" s="24">
        <f>SUMIFS('Saldos Iniciales'!$D:$D,'Saldos Iniciales'!$A:$A,"Cross Security Trust")+SUMIFS(Movimientos!$K$1:$K$790,Movimientos!$C$1:$C$790,"Cross Security Trust",Movimientos!$B$1:$B$790,"&lt;="&amp;$B57)</f>
        <v>88090.37</v>
      </c>
      <c r="J57" s="24">
        <f>SUMIFS('Saldos Iniciales'!$D:$D,'Saldos Iniciales'!$A:$A,"Electrama")+SUMIFS(Movimientos!$K$1:$K$790,Movimientos!$C$1:$C$790,"Electrama",Movimientos!$B$1:$B$790,"&lt;="&amp;$B57)</f>
        <v>511.15999999999985</v>
      </c>
      <c r="K57" s="24">
        <f>SUMIFS('Saldos Iniciales'!$D:$D,'Saldos Iniciales'!$A:$A,"Sacred Valley Capital")+SUMIFS(Movimientos!$K$1:$K$790,Movimientos!$C$1:$C$790,"Sacred Valley Capital",Movimientos!$B$1:$B$790,"&lt;="&amp;$B57)</f>
        <v>84.35</v>
      </c>
      <c r="L57" s="24">
        <f>SUMIFS('Saldos Iniciales'!$D:$D,'Saldos Iniciales'!$A:$A,"YWC Capital")+SUMIFS(Movimientos!$K$1:$K$790,Movimientos!$C$1:$C$790,"YWC Capital",Movimientos!$B$1:$B$790,"&lt;="&amp;$B57)</f>
        <v>2237.77</v>
      </c>
      <c r="M57" s="24">
        <f>SUMIFS('Saldos Iniciales'!$D:$D,'Saldos Iniciales'!$A:$A,"Soweto")+SUMIFS(Movimientos!$K$1:$K$790,Movimientos!$C$1:$C$790,"Soweto",Movimientos!$B$1:$B$790,"&lt;="&amp;$B57)</f>
        <v>3349.94</v>
      </c>
      <c r="N57" s="24">
        <f>SUMIFS('Saldos Iniciales'!$D:$D,'Saldos Iniciales'!$A:$A,"Green Stone Trust")+SUMIFS(Movimientos!$K$1:$K$790,Movimientos!$C$1:$C$790,"Green Stone Trust",Movimientos!$B$1:$B$790,"&lt;="&amp;$B57)</f>
        <v>1968.99</v>
      </c>
      <c r="O57" s="24">
        <f>SUMIFS('Saldos Iniciales'!$D:$D,'Saldos Iniciales'!$A:$A,"EC Auto")+SUMIFS(Movimientos!$K$1:$K$790,Movimientos!$C$1:$C$790,"EC Auto",Movimientos!$B$1:$B$790,"&lt;="&amp;$B57)</f>
        <v>382.69000000000005</v>
      </c>
      <c r="P57" s="24">
        <f>SUMIFS('Saldos Iniciales'!$D:$D,'Saldos Iniciales'!$A:$A,"Arbor Capital Properties")+SUMIFS(Movimientos!$K$1:$K$790,Movimientos!$C$1:$C$790,"Arbor Capital Properties",Movimientos!$B$1:$B$790,"&lt;="&amp;$B57)</f>
        <v>1428.08</v>
      </c>
      <c r="Q57" s="24">
        <f>SUMIFS('Saldos Iniciales'!$D:$D,'Saldos Iniciales'!$A:$A,"2515 Overbrook")+SUMIFS(Movimientos!$K$1:$K$790,Movimientos!$C$1:$C$790,"2515 Overbrook",Movimientos!$B$1:$B$790,"&lt;="&amp;$B57)</f>
        <v>31039.969999999961</v>
      </c>
      <c r="R57" s="24">
        <f>SUMIFS('Saldos Iniciales'!$D:$D,'Saldos Iniciales'!$A:$A,"112 Florida Ave")+SUMIFS(Movimientos!$K$1:$K$790,Movimientos!$C$1:$C$790,"112 Florida Ave",Movimientos!$B$1:$B$790,"&lt;="&amp;$B57)</f>
        <v>20321.43</v>
      </c>
      <c r="S57" s="24">
        <f>SUMIFS('Saldos Iniciales'!$D:$D,'Saldos Iniciales'!$A:$A,"3628 Thomas Ave")+SUMIFS(Movimientos!$K$1:$K$790,Movimientos!$C$1:$C$790,"3628 Thomas Ave",Movimientos!$B$1:$B$790,"&lt;="&amp;$B57)</f>
        <v>28473.599999999999</v>
      </c>
      <c r="T57" s="24">
        <f>SUMIFS('Saldos Iniciales'!$D:$D,'Saldos Iniciales'!$A:$A,"Green Harbor Trust")+SUMIFS(Movimientos!$K$1:$K$790,Movimientos!$C$1:$C$790,"Green Harbor Trust",Movimientos!$B$1:$B$790,"&lt;="&amp;$B57)</f>
        <v>345</v>
      </c>
      <c r="U57" s="24">
        <f>SUMIFS('Saldos Iniciales'!$D:$D,'Saldos Iniciales'!$A:$A,"Go Blue")+SUMIFS(Movimientos!$K$1:$K$790,Movimientos!$C$1:$C$790,"Go Blue",Movimientos!$B$1:$B$790,"&lt;="&amp;$B57)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Group")+SUMIFS(Movimientos!$K$1:$K$790,Movimientos!$C$1:$C$790,"CFT Group",Movimientos!$B$1:$B$790,"&lt;="&amp;$B58)</f>
        <v>6288055.7100000009</v>
      </c>
      <c r="D58" s="24">
        <f>SUMIFS('Saldos Iniciales'!$D:$D,'Saldos Iniciales'!$A:$A,"M1B")+SUMIFS(Movimientos!$K$1:$K$790,Movimientos!$C$1:$C$790,"M1B",Movimientos!$B$1:$B$790,"&lt;="&amp;$B58)</f>
        <v>72386.190000000177</v>
      </c>
      <c r="E58" s="24">
        <f>SUMIFS('Saldos Iniciales'!$D:$D,'Saldos Iniciales'!$A:$A,"Durand")+SUMIFS(Movimientos!$K$1:$K$790,Movimientos!$C$1:$C$790,"Durand",Movimientos!$B$1:$B$790,"&lt;="&amp;$B58)</f>
        <v>1669.89</v>
      </c>
      <c r="F58" s="24">
        <f>SUMIFS('Saldos Iniciales'!$D:$D,'Saldos Iniciales'!$A:$A,"A&amp;M Imports")+SUMIFS(Movimientos!$K$1:$K$790,Movimientos!$C$1:$C$790,"A&amp;M Imports",Movimientos!$B$1:$B$790,"&lt;="&amp;$B58)</f>
        <v>472766.72999999986</v>
      </c>
      <c r="G58" s="24">
        <f>SUMIFS('Saldos Iniciales'!$D:$D,'Saldos Iniciales'!$A:$A,"SSP Capital")+SUMIFS(Movimientos!$K$1:$K$790,Movimientos!$C$1:$C$790,"SSP Capital",Movimientos!$B$1:$B$790,"&lt;="&amp;$B58)</f>
        <v>1932389.7199999993</v>
      </c>
      <c r="H58" s="24">
        <f>SUMIFS('Saldos Iniciales'!$D:$D,'Saldos Iniciales'!$A:$A,"Cross Family Trust")+SUMIFS(Movimientos!$K$1:$K$790,Movimientos!$C$1:$C$790,"Cross Family Trust",Movimientos!$B$1:$B$790,"&lt;="&amp;$B58)</f>
        <v>1396496.38</v>
      </c>
      <c r="I58" s="24">
        <f>SUMIFS('Saldos Iniciales'!$D:$D,'Saldos Iniciales'!$A:$A,"Cross Security Trust")+SUMIFS(Movimientos!$K$1:$K$790,Movimientos!$C$1:$C$790,"Cross Security Trust",Movimientos!$B$1:$B$790,"&lt;="&amp;$B58)</f>
        <v>88090.37</v>
      </c>
      <c r="J58" s="24">
        <f>SUMIFS('Saldos Iniciales'!$D:$D,'Saldos Iniciales'!$A:$A,"Electrama")+SUMIFS(Movimientos!$K$1:$K$790,Movimientos!$C$1:$C$790,"Electrama",Movimientos!$B$1:$B$790,"&lt;="&amp;$B58)</f>
        <v>511.15999999999985</v>
      </c>
      <c r="K58" s="24">
        <f>SUMIFS('Saldos Iniciales'!$D:$D,'Saldos Iniciales'!$A:$A,"Sacred Valley Capital")+SUMIFS(Movimientos!$K$1:$K$790,Movimientos!$C$1:$C$790,"Sacred Valley Capital",Movimientos!$B$1:$B$790,"&lt;="&amp;$B58)</f>
        <v>84.35</v>
      </c>
      <c r="L58" s="24">
        <f>SUMIFS('Saldos Iniciales'!$D:$D,'Saldos Iniciales'!$A:$A,"YWC Capital")+SUMIFS(Movimientos!$K$1:$K$790,Movimientos!$C$1:$C$790,"YWC Capital",Movimientos!$B$1:$B$790,"&lt;="&amp;$B58)</f>
        <v>2237.77</v>
      </c>
      <c r="M58" s="24">
        <f>SUMIFS('Saldos Iniciales'!$D:$D,'Saldos Iniciales'!$A:$A,"Soweto")+SUMIFS(Movimientos!$K$1:$K$790,Movimientos!$C$1:$C$790,"Soweto",Movimientos!$B$1:$B$790,"&lt;="&amp;$B58)</f>
        <v>3349.94</v>
      </c>
      <c r="N58" s="24">
        <f>SUMIFS('Saldos Iniciales'!$D:$D,'Saldos Iniciales'!$A:$A,"Green Stone Trust")+SUMIFS(Movimientos!$K$1:$K$790,Movimientos!$C$1:$C$790,"Green Stone Trust",Movimientos!$B$1:$B$790,"&lt;="&amp;$B58)</f>
        <v>1968.99</v>
      </c>
      <c r="O58" s="24">
        <f>SUMIFS('Saldos Iniciales'!$D:$D,'Saldos Iniciales'!$A:$A,"EC Auto")+SUMIFS(Movimientos!$K$1:$K$790,Movimientos!$C$1:$C$790,"EC Auto",Movimientos!$B$1:$B$790,"&lt;="&amp;$B58)</f>
        <v>382.69000000000005</v>
      </c>
      <c r="P58" s="24">
        <f>SUMIFS('Saldos Iniciales'!$D:$D,'Saldos Iniciales'!$A:$A,"Arbor Capital Properties")+SUMIFS(Movimientos!$K$1:$K$790,Movimientos!$C$1:$C$790,"Arbor Capital Properties",Movimientos!$B$1:$B$790,"&lt;="&amp;$B58)</f>
        <v>1428.08</v>
      </c>
      <c r="Q58" s="24">
        <f>SUMIFS('Saldos Iniciales'!$D:$D,'Saldos Iniciales'!$A:$A,"2515 Overbrook")+SUMIFS(Movimientos!$K$1:$K$790,Movimientos!$C$1:$C$790,"2515 Overbrook",Movimientos!$B$1:$B$790,"&lt;="&amp;$B58)</f>
        <v>31039.969999999961</v>
      </c>
      <c r="R58" s="24">
        <f>SUMIFS('Saldos Iniciales'!$D:$D,'Saldos Iniciales'!$A:$A,"112 Florida Ave")+SUMIFS(Movimientos!$K$1:$K$790,Movimientos!$C$1:$C$790,"112 Florida Ave",Movimientos!$B$1:$B$790,"&lt;="&amp;$B58)</f>
        <v>20321.43</v>
      </c>
      <c r="S58" s="24">
        <f>SUMIFS('Saldos Iniciales'!$D:$D,'Saldos Iniciales'!$A:$A,"3628 Thomas Ave")+SUMIFS(Movimientos!$K$1:$K$790,Movimientos!$C$1:$C$790,"3628 Thomas Ave",Movimientos!$B$1:$B$790,"&lt;="&amp;$B58)</f>
        <v>28458.6</v>
      </c>
      <c r="T58" s="24">
        <f>SUMIFS('Saldos Iniciales'!$D:$D,'Saldos Iniciales'!$A:$A,"Green Harbor Trust")+SUMIFS(Movimientos!$K$1:$K$790,Movimientos!$C$1:$C$790,"Green Harbor Trust",Movimientos!$B$1:$B$790,"&lt;="&amp;$B58)</f>
        <v>345</v>
      </c>
      <c r="U58" s="24">
        <f>SUMIFS('Saldos Iniciales'!$D:$D,'Saldos Iniciales'!$A:$A,"Go Blue")+SUMIFS(Movimientos!$K$1:$K$790,Movimientos!$C$1:$C$790,"Go Blue",Movimientos!$B$1:$B$790,"&lt;="&amp;$B58)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Group")+SUMIFS(Movimientos!$K$1:$K$790,Movimientos!$C$1:$C$790,"CFT Group",Movimientos!$B$1:$B$790,"&lt;="&amp;$B59)</f>
        <v>6288055.7100000009</v>
      </c>
      <c r="D59" s="24">
        <f>SUMIFS('Saldos Iniciales'!$D:$D,'Saldos Iniciales'!$A:$A,"M1B")+SUMIFS(Movimientos!$K$1:$K$790,Movimientos!$C$1:$C$790,"M1B",Movimientos!$B$1:$B$790,"&lt;="&amp;$B59)</f>
        <v>72386.190000000177</v>
      </c>
      <c r="E59" s="24">
        <f>SUMIFS('Saldos Iniciales'!$D:$D,'Saldos Iniciales'!$A:$A,"Durand")+SUMIFS(Movimientos!$K$1:$K$790,Movimientos!$C$1:$C$790,"Durand",Movimientos!$B$1:$B$790,"&lt;="&amp;$B59)</f>
        <v>1669.89</v>
      </c>
      <c r="F59" s="24">
        <f>SUMIFS('Saldos Iniciales'!$D:$D,'Saldos Iniciales'!$A:$A,"A&amp;M Imports")+SUMIFS(Movimientos!$K$1:$K$790,Movimientos!$C$1:$C$790,"A&amp;M Imports",Movimientos!$B$1:$B$790,"&lt;="&amp;$B59)</f>
        <v>472766.72999999986</v>
      </c>
      <c r="G59" s="24">
        <f>SUMIFS('Saldos Iniciales'!$D:$D,'Saldos Iniciales'!$A:$A,"SSP Capital")+SUMIFS(Movimientos!$K$1:$K$790,Movimientos!$C$1:$C$790,"SSP Capital",Movimientos!$B$1:$B$790,"&lt;="&amp;$B59)</f>
        <v>1932389.7199999993</v>
      </c>
      <c r="H59" s="24">
        <f>SUMIFS('Saldos Iniciales'!$D:$D,'Saldos Iniciales'!$A:$A,"Cross Family Trust")+SUMIFS(Movimientos!$K$1:$K$790,Movimientos!$C$1:$C$790,"Cross Family Trust",Movimientos!$B$1:$B$790,"&lt;="&amp;$B59)</f>
        <v>1396496.38</v>
      </c>
      <c r="I59" s="24">
        <f>SUMIFS('Saldos Iniciales'!$D:$D,'Saldos Iniciales'!$A:$A,"Cross Security Trust")+SUMIFS(Movimientos!$K$1:$K$790,Movimientos!$C$1:$C$790,"Cross Security Trust",Movimientos!$B$1:$B$790,"&lt;="&amp;$B59)</f>
        <v>88090.37</v>
      </c>
      <c r="J59" s="24">
        <f>SUMIFS('Saldos Iniciales'!$D:$D,'Saldos Iniciales'!$A:$A,"Electrama")+SUMIFS(Movimientos!$K$1:$K$790,Movimientos!$C$1:$C$790,"Electrama",Movimientos!$B$1:$B$790,"&lt;="&amp;$B59)</f>
        <v>511.15999999999985</v>
      </c>
      <c r="K59" s="24">
        <f>SUMIFS('Saldos Iniciales'!$D:$D,'Saldos Iniciales'!$A:$A,"Sacred Valley Capital")+SUMIFS(Movimientos!$K$1:$K$790,Movimientos!$C$1:$C$790,"Sacred Valley Capital",Movimientos!$B$1:$B$790,"&lt;="&amp;$B59)</f>
        <v>84.35</v>
      </c>
      <c r="L59" s="24">
        <f>SUMIFS('Saldos Iniciales'!$D:$D,'Saldos Iniciales'!$A:$A,"YWC Capital")+SUMIFS(Movimientos!$K$1:$K$790,Movimientos!$C$1:$C$790,"YWC Capital",Movimientos!$B$1:$B$790,"&lt;="&amp;$B59)</f>
        <v>2237.77</v>
      </c>
      <c r="M59" s="24">
        <f>SUMIFS('Saldos Iniciales'!$D:$D,'Saldos Iniciales'!$A:$A,"Soweto")+SUMIFS(Movimientos!$K$1:$K$790,Movimientos!$C$1:$C$790,"Soweto",Movimientos!$B$1:$B$790,"&lt;="&amp;$B59)</f>
        <v>3349.94</v>
      </c>
      <c r="N59" s="24">
        <f>SUMIFS('Saldos Iniciales'!$D:$D,'Saldos Iniciales'!$A:$A,"Green Stone Trust")+SUMIFS(Movimientos!$K$1:$K$790,Movimientos!$C$1:$C$790,"Green Stone Trust",Movimientos!$B$1:$B$790,"&lt;="&amp;$B59)</f>
        <v>1968.99</v>
      </c>
      <c r="O59" s="24">
        <f>SUMIFS('Saldos Iniciales'!$D:$D,'Saldos Iniciales'!$A:$A,"EC Auto")+SUMIFS(Movimientos!$K$1:$K$790,Movimientos!$C$1:$C$790,"EC Auto",Movimientos!$B$1:$B$790,"&lt;="&amp;$B59)</f>
        <v>382.69000000000005</v>
      </c>
      <c r="P59" s="24">
        <f>SUMIFS('Saldos Iniciales'!$D:$D,'Saldos Iniciales'!$A:$A,"Arbor Capital Properties")+SUMIFS(Movimientos!$K$1:$K$790,Movimientos!$C$1:$C$790,"Arbor Capital Properties",Movimientos!$B$1:$B$790,"&lt;="&amp;$B59)</f>
        <v>1428.08</v>
      </c>
      <c r="Q59" s="24">
        <f>SUMIFS('Saldos Iniciales'!$D:$D,'Saldos Iniciales'!$A:$A,"2515 Overbrook")+SUMIFS(Movimientos!$K$1:$K$790,Movimientos!$C$1:$C$790,"2515 Overbrook",Movimientos!$B$1:$B$790,"&lt;="&amp;$B59)</f>
        <v>31039.969999999961</v>
      </c>
      <c r="R59" s="24">
        <f>SUMIFS('Saldos Iniciales'!$D:$D,'Saldos Iniciales'!$A:$A,"112 Florida Ave")+SUMIFS(Movimientos!$K$1:$K$790,Movimientos!$C$1:$C$790,"112 Florida Ave",Movimientos!$B$1:$B$790,"&lt;="&amp;$B59)</f>
        <v>20321.43</v>
      </c>
      <c r="S59" s="24">
        <f>SUMIFS('Saldos Iniciales'!$D:$D,'Saldos Iniciales'!$A:$A,"3628 Thomas Ave")+SUMIFS(Movimientos!$K$1:$K$790,Movimientos!$C$1:$C$790,"3628 Thomas Ave",Movimientos!$B$1:$B$790,"&lt;="&amp;$B59)</f>
        <v>28458.6</v>
      </c>
      <c r="T59" s="24">
        <f>SUMIFS('Saldos Iniciales'!$D:$D,'Saldos Iniciales'!$A:$A,"Green Harbor Trust")+SUMIFS(Movimientos!$K$1:$K$790,Movimientos!$C$1:$C$790,"Green Harbor Trust",Movimientos!$B$1:$B$790,"&lt;="&amp;$B59)</f>
        <v>345</v>
      </c>
      <c r="U59" s="24">
        <f>SUMIFS('Saldos Iniciales'!$D:$D,'Saldos Iniciales'!$A:$A,"Go Blue")+SUMIFS(Movimientos!$K$1:$K$790,Movimientos!$C$1:$C$790,"Go Blue",Movimientos!$B$1:$B$790,"&lt;="&amp;$B59)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1" si="12">+A59+1</f>
        <v>59</v>
      </c>
      <c r="B60" s="23">
        <v>46201</v>
      </c>
      <c r="C60" s="24">
        <f>SUMIFS('Saldos Iniciales'!$D:$D,'Saldos Iniciales'!$A:$A,"CFT Group")+SUMIFS(Movimientos!$K$1:$K$790,Movimientos!$C$1:$C$790,"CFT Group",Movimientos!$B$1:$B$790,"&lt;="&amp;$B60)</f>
        <v>6288055.7100000009</v>
      </c>
      <c r="D60" s="24">
        <f>SUMIFS('Saldos Iniciales'!$D:$D,'Saldos Iniciales'!$A:$A,"M1B")+SUMIFS(Movimientos!$K$1:$K$790,Movimientos!$C$1:$C$790,"M1B",Movimientos!$B$1:$B$790,"&lt;="&amp;$B60)</f>
        <v>72386.190000000177</v>
      </c>
      <c r="E60" s="24">
        <f>SUMIFS('Saldos Iniciales'!$D:$D,'Saldos Iniciales'!$A:$A,"Durand")+SUMIFS(Movimientos!$K$1:$K$790,Movimientos!$C$1:$C$790,"Durand",Movimientos!$B$1:$B$790,"&lt;="&amp;$B60)</f>
        <v>1669.89</v>
      </c>
      <c r="F60" s="24">
        <f>SUMIFS('Saldos Iniciales'!$D:$D,'Saldos Iniciales'!$A:$A,"A&amp;M Imports")+SUMIFS(Movimientos!$K$1:$K$790,Movimientos!$C$1:$C$790,"A&amp;M Imports",Movimientos!$B$1:$B$790,"&lt;="&amp;$B60)</f>
        <v>472766.72999999986</v>
      </c>
      <c r="G60" s="24">
        <f>SUMIFS('Saldos Iniciales'!$D:$D,'Saldos Iniciales'!$A:$A,"SSP Capital")+SUMIFS(Movimientos!$K$1:$K$790,Movimientos!$C$1:$C$790,"SSP Capital",Movimientos!$B$1:$B$790,"&lt;="&amp;$B60)</f>
        <v>1932389.7199999993</v>
      </c>
      <c r="H60" s="24">
        <f>SUMIFS('Saldos Iniciales'!$D:$D,'Saldos Iniciales'!$A:$A,"Cross Family Trust")+SUMIFS(Movimientos!$K$1:$K$790,Movimientos!$C$1:$C$790,"Cross Family Trust",Movimientos!$B$1:$B$790,"&lt;="&amp;$B60)</f>
        <v>1396496.38</v>
      </c>
      <c r="I60" s="24">
        <f>SUMIFS('Saldos Iniciales'!$D:$D,'Saldos Iniciales'!$A:$A,"Cross Security Trust")+SUMIFS(Movimientos!$K$1:$K$790,Movimientos!$C$1:$C$790,"Cross Security Trust",Movimientos!$B$1:$B$790,"&lt;="&amp;$B60)</f>
        <v>88090.37</v>
      </c>
      <c r="J60" s="24">
        <f>SUMIFS('Saldos Iniciales'!$D:$D,'Saldos Iniciales'!$A:$A,"Electrama")+SUMIFS(Movimientos!$K$1:$K$790,Movimientos!$C$1:$C$790,"Electrama",Movimientos!$B$1:$B$790,"&lt;="&amp;$B60)</f>
        <v>511.15999999999985</v>
      </c>
      <c r="K60" s="24">
        <f>SUMIFS('Saldos Iniciales'!$D:$D,'Saldos Iniciales'!$A:$A,"Sacred Valley Capital")+SUMIFS(Movimientos!$K$1:$K$790,Movimientos!$C$1:$C$790,"Sacred Valley Capital",Movimientos!$B$1:$B$790,"&lt;="&amp;$B60)</f>
        <v>84.35</v>
      </c>
      <c r="L60" s="24">
        <f>SUMIFS('Saldos Iniciales'!$D:$D,'Saldos Iniciales'!$A:$A,"YWC Capital")+SUMIFS(Movimientos!$K$1:$K$790,Movimientos!$C$1:$C$790,"YWC Capital",Movimientos!$B$1:$B$790,"&lt;="&amp;$B60)</f>
        <v>2237.77</v>
      </c>
      <c r="M60" s="24">
        <f>SUMIFS('Saldos Iniciales'!$D:$D,'Saldos Iniciales'!$A:$A,"Soweto")+SUMIFS(Movimientos!$K$1:$K$790,Movimientos!$C$1:$C$790,"Soweto",Movimientos!$B$1:$B$790,"&lt;="&amp;$B60)</f>
        <v>3349.94</v>
      </c>
      <c r="N60" s="24">
        <f>SUMIFS('Saldos Iniciales'!$D:$D,'Saldos Iniciales'!$A:$A,"Green Stone Trust")+SUMIFS(Movimientos!$K$1:$K$790,Movimientos!$C$1:$C$790,"Green Stone Trust",Movimientos!$B$1:$B$790,"&lt;="&amp;$B60)</f>
        <v>1968.99</v>
      </c>
      <c r="O60" s="24">
        <f>SUMIFS('Saldos Iniciales'!$D:$D,'Saldos Iniciales'!$A:$A,"EC Auto")+SUMIFS(Movimientos!$K$1:$K$790,Movimientos!$C$1:$C$790,"EC Auto",Movimientos!$B$1:$B$790,"&lt;="&amp;$B60)</f>
        <v>382.69000000000005</v>
      </c>
      <c r="P60" s="24">
        <f>SUMIFS('Saldos Iniciales'!$D:$D,'Saldos Iniciales'!$A:$A,"Arbor Capital Properties")+SUMIFS(Movimientos!$K$1:$K$790,Movimientos!$C$1:$C$790,"Arbor Capital Properties",Movimientos!$B$1:$B$790,"&lt;="&amp;$B60)</f>
        <v>1428.08</v>
      </c>
      <c r="Q60" s="24">
        <f>SUMIFS('Saldos Iniciales'!$D:$D,'Saldos Iniciales'!$A:$A,"2515 Overbrook")+SUMIFS(Movimientos!$K$1:$K$790,Movimientos!$C$1:$C$790,"2515 Overbrook",Movimientos!$B$1:$B$790,"&lt;="&amp;$B60)</f>
        <v>31039.969999999961</v>
      </c>
      <c r="R60" s="24">
        <f>SUMIFS('Saldos Iniciales'!$D:$D,'Saldos Iniciales'!$A:$A,"112 Florida Ave")+SUMIFS(Movimientos!$K$1:$K$790,Movimientos!$C$1:$C$790,"112 Florida Ave",Movimientos!$B$1:$B$790,"&lt;="&amp;$B60)</f>
        <v>20321.43</v>
      </c>
      <c r="S60" s="24">
        <f>SUMIFS('Saldos Iniciales'!$D:$D,'Saldos Iniciales'!$A:$A,"3628 Thomas Ave")+SUMIFS(Movimientos!$K$1:$K$790,Movimientos!$C$1:$C$790,"3628 Thomas Ave",Movimientos!$B$1:$B$790,"&lt;="&amp;$B60)</f>
        <v>28458.6</v>
      </c>
      <c r="T60" s="24">
        <f>SUMIFS('Saldos Iniciales'!$D:$D,'Saldos Iniciales'!$A:$A,"Green Harbor Trust")+SUMIFS(Movimientos!$K$1:$K$790,Movimientos!$C$1:$C$790,"Green Harbor Trust",Movimientos!$B$1:$B$790,"&lt;="&amp;$B60)</f>
        <v>345</v>
      </c>
      <c r="U60" s="24">
        <f>SUMIFS('Saldos Iniciales'!$D:$D,'Saldos Iniciales'!$A:$A,"Go Blue")+SUMIFS(Movimientos!$K$1:$K$790,Movimientos!$C$1:$C$790,"Go Blue",Movimientos!$B$1:$B$790,"&lt;="&amp;$B60)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Group")+SUMIFS(Movimientos!$K$1:$K$790,Movimientos!$C$1:$C$790,"CFT Group",Movimientos!$B$1:$B$790,"&lt;="&amp;$B61)</f>
        <v>6299174.8100000015</v>
      </c>
      <c r="D61" s="24">
        <f>SUMIFS('Saldos Iniciales'!$D:$D,'Saldos Iniciales'!$A:$A,"M1B")+SUMIFS(Movimientos!$K$1:$K$790,Movimientos!$C$1:$C$790,"M1B",Movimientos!$B$1:$B$790,"&lt;="&amp;$B61)</f>
        <v>72386.190000000177</v>
      </c>
      <c r="E61" s="24">
        <f>SUMIFS('Saldos Iniciales'!$D:$D,'Saldos Iniciales'!$A:$A,"Durand")+SUMIFS(Movimientos!$K$1:$K$790,Movimientos!$C$1:$C$790,"Durand",Movimientos!$B$1:$B$790,"&lt;="&amp;$B61)</f>
        <v>1669.89</v>
      </c>
      <c r="F61" s="24">
        <f>SUMIFS('Saldos Iniciales'!$D:$D,'Saldos Iniciales'!$A:$A,"A&amp;M Imports")+SUMIFS(Movimientos!$K$1:$K$790,Movimientos!$C$1:$C$790,"A&amp;M Imports",Movimientos!$B$1:$B$790,"&lt;="&amp;$B61)</f>
        <v>489745.62999999989</v>
      </c>
      <c r="G61" s="24">
        <f>SUMIFS('Saldos Iniciales'!$D:$D,'Saldos Iniciales'!$A:$A,"SSP Capital")+SUMIFS(Movimientos!$K$1:$K$790,Movimientos!$C$1:$C$790,"SSP Capital",Movimientos!$B$1:$B$790,"&lt;="&amp;$B61)</f>
        <v>1768167.9199999995</v>
      </c>
      <c r="H61" s="24">
        <f>SUMIFS('Saldos Iniciales'!$D:$D,'Saldos Iniciales'!$A:$A,"Cross Family Trust")+SUMIFS(Movimientos!$K$1:$K$790,Movimientos!$C$1:$C$790,"Cross Family Trust",Movimientos!$B$1:$B$790,"&lt;="&amp;$B61)</f>
        <v>396496.38</v>
      </c>
      <c r="I61" s="24">
        <f>SUMIFS('Saldos Iniciales'!$D:$D,'Saldos Iniciales'!$A:$A,"Cross Security Trust")+SUMIFS(Movimientos!$K$1:$K$790,Movimientos!$C$1:$C$790,"Cross Security Trust",Movimientos!$B$1:$B$790,"&lt;="&amp;$B61)</f>
        <v>88090.37</v>
      </c>
      <c r="J61" s="24">
        <f>SUMIFS('Saldos Iniciales'!$D:$D,'Saldos Iniciales'!$A:$A,"Electrama")+SUMIFS(Movimientos!$K$1:$K$790,Movimientos!$C$1:$C$790,"Electrama",Movimientos!$B$1:$B$790,"&lt;="&amp;$B61)</f>
        <v>511.15999999999985</v>
      </c>
      <c r="K61" s="24">
        <f>SUMIFS('Saldos Iniciales'!$D:$D,'Saldos Iniciales'!$A:$A,"Sacred Valley Capital")+SUMIFS(Movimientos!$K$1:$K$790,Movimientos!$C$1:$C$790,"Sacred Valley Capital",Movimientos!$B$1:$B$790,"&lt;="&amp;$B61)</f>
        <v>84.35</v>
      </c>
      <c r="L61" s="24">
        <f>SUMIFS('Saldos Iniciales'!$D:$D,'Saldos Iniciales'!$A:$A,"YWC Capital")+SUMIFS(Movimientos!$K$1:$K$790,Movimientos!$C$1:$C$790,"YWC Capital",Movimientos!$B$1:$B$790,"&lt;="&amp;$B61)</f>
        <v>2237.77</v>
      </c>
      <c r="M61" s="24">
        <f>SUMIFS('Saldos Iniciales'!$D:$D,'Saldos Iniciales'!$A:$A,"Soweto")+SUMIFS(Movimientos!$K$1:$K$790,Movimientos!$C$1:$C$790,"Soweto",Movimientos!$B$1:$B$790,"&lt;="&amp;$B61)</f>
        <v>3349.94</v>
      </c>
      <c r="N61" s="24">
        <f>SUMIFS('Saldos Iniciales'!$D:$D,'Saldos Iniciales'!$A:$A,"Green Stone Trust")+SUMIFS(Movimientos!$K$1:$K$790,Movimientos!$C$1:$C$790,"Green Stone Trust",Movimientos!$B$1:$B$790,"&lt;="&amp;$B61)</f>
        <v>1968.99</v>
      </c>
      <c r="O61" s="24">
        <f>SUMIFS('Saldos Iniciales'!$D:$D,'Saldos Iniciales'!$A:$A,"EC Auto")+SUMIFS(Movimientos!$K$1:$K$790,Movimientos!$C$1:$C$790,"EC Auto",Movimientos!$B$1:$B$790,"&lt;="&amp;$B61)</f>
        <v>382.69000000000005</v>
      </c>
      <c r="P61" s="24">
        <f>SUMIFS('Saldos Iniciales'!$D:$D,'Saldos Iniciales'!$A:$A,"Arbor Capital Properties")+SUMIFS(Movimientos!$K$1:$K$790,Movimientos!$C$1:$C$790,"Arbor Capital Properties",Movimientos!$B$1:$B$790,"&lt;="&amp;$B61)</f>
        <v>1428.08</v>
      </c>
      <c r="Q61" s="24">
        <f>SUMIFS('Saldos Iniciales'!$D:$D,'Saldos Iniciales'!$A:$A,"2515 Overbrook")+SUMIFS(Movimientos!$K$1:$K$790,Movimientos!$C$1:$C$790,"2515 Overbrook",Movimientos!$B$1:$B$790,"&lt;="&amp;$B61)</f>
        <v>31039.969999999961</v>
      </c>
      <c r="R61" s="24">
        <f>SUMIFS('Saldos Iniciales'!$D:$D,'Saldos Iniciales'!$A:$A,"112 Florida Ave")+SUMIFS(Movimientos!$K$1:$K$790,Movimientos!$C$1:$C$790,"112 Florida Ave",Movimientos!$B$1:$B$790,"&lt;="&amp;$B61)</f>
        <v>20321.43</v>
      </c>
      <c r="S61" s="24">
        <f>SUMIFS('Saldos Iniciales'!$D:$D,'Saldos Iniciales'!$A:$A,"3628 Thomas Ave")+SUMIFS(Movimientos!$K$1:$K$790,Movimientos!$C$1:$C$790,"3628 Thomas Ave",Movimientos!$B$1:$B$790,"&lt;="&amp;$B61)</f>
        <v>28458.6</v>
      </c>
      <c r="T61" s="24">
        <f>SUMIFS('Saldos Iniciales'!$D:$D,'Saldos Iniciales'!$A:$A,"Green Harbor Trust")+SUMIFS(Movimientos!$K$1:$K$790,Movimientos!$C$1:$C$790,"Green Harbor Trust",Movimientos!$B$1:$B$790,"&lt;="&amp;$B61)</f>
        <v>345</v>
      </c>
      <c r="U61" s="24">
        <f>SUMIFS('Saldos Iniciales'!$D:$D,'Saldos Iniciales'!$A:$A,"Go Blue")+SUMIFS(Movimientos!$K$1:$K$790,Movimientos!$C$1:$C$790,"Go Blue",Movimientos!$B$1:$B$790,"&lt;="&amp;$B61)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Group")+SUMIFS(Movimientos!$K$1:$K$790,Movimientos!$C$1:$C$790,"CFT Group",Movimientos!$B$1:$B$790,"&lt;="&amp;$B62)</f>
        <v>6295585.7500000009</v>
      </c>
      <c r="D62" s="24">
        <f>SUMIFS('Saldos Iniciales'!$D:$D,'Saldos Iniciales'!$A:$A,"M1B")+SUMIFS(Movimientos!$K$1:$K$790,Movimientos!$C$1:$C$790,"M1B",Movimientos!$B$1:$B$790,"&lt;="&amp;$B62)</f>
        <v>79139.680000000168</v>
      </c>
      <c r="E62" s="24">
        <f>SUMIFS('Saldos Iniciales'!$D:$D,'Saldos Iniciales'!$A:$A,"Durand")+SUMIFS(Movimientos!$K$1:$K$790,Movimientos!$C$1:$C$790,"Durand",Movimientos!$B$1:$B$790,"&lt;="&amp;$B62)</f>
        <v>1669.89</v>
      </c>
      <c r="F62" s="24">
        <f>SUMIFS('Saldos Iniciales'!$D:$D,'Saldos Iniciales'!$A:$A,"A&amp;M Imports")+SUMIFS(Movimientos!$K$1:$K$790,Movimientos!$C$1:$C$790,"A&amp;M Imports",Movimientos!$B$1:$B$790,"&lt;="&amp;$B62)</f>
        <v>489745.62999999989</v>
      </c>
      <c r="G62" s="24">
        <f>SUMIFS('Saldos Iniciales'!$D:$D,'Saldos Iniciales'!$A:$A,"SSP Capital")+SUMIFS(Movimientos!$K$1:$K$790,Movimientos!$C$1:$C$790,"SSP Capital",Movimientos!$B$1:$B$790,"&lt;="&amp;$B62)</f>
        <v>1696284.7299999995</v>
      </c>
      <c r="H62" s="24">
        <f>SUMIFS('Saldos Iniciales'!$D:$D,'Saldos Iniciales'!$A:$A,"Cross Family Trust")+SUMIFS(Movimientos!$K$1:$K$790,Movimientos!$C$1:$C$790,"Cross Family Trust",Movimientos!$B$1:$B$790,"&lt;="&amp;$B62)</f>
        <v>390496.38</v>
      </c>
      <c r="I62" s="24">
        <f>SUMIFS('Saldos Iniciales'!$D:$D,'Saldos Iniciales'!$A:$A,"Cross Security Trust")+SUMIFS(Movimientos!$K$1:$K$790,Movimientos!$C$1:$C$790,"Cross Security Trust",Movimientos!$B$1:$B$790,"&lt;="&amp;$B62)</f>
        <v>88090.37</v>
      </c>
      <c r="J62" s="24">
        <f>SUMIFS('Saldos Iniciales'!$D:$D,'Saldos Iniciales'!$A:$A,"Electrama")+SUMIFS(Movimientos!$K$1:$K$790,Movimientos!$C$1:$C$790,"Electrama",Movimientos!$B$1:$B$790,"&lt;="&amp;$B62)</f>
        <v>511.15999999999985</v>
      </c>
      <c r="K62" s="24">
        <f>SUMIFS('Saldos Iniciales'!$D:$D,'Saldos Iniciales'!$A:$A,"Sacred Valley Capital")+SUMIFS(Movimientos!$K$1:$K$790,Movimientos!$C$1:$C$790,"Sacred Valley Capital",Movimientos!$B$1:$B$790,"&lt;="&amp;$B62)</f>
        <v>84.35</v>
      </c>
      <c r="L62" s="24">
        <f>SUMIFS('Saldos Iniciales'!$D:$D,'Saldos Iniciales'!$A:$A,"YWC Capital")+SUMIFS(Movimientos!$K$1:$K$790,Movimientos!$C$1:$C$790,"YWC Capital",Movimientos!$B$1:$B$790,"&lt;="&amp;$B62)</f>
        <v>2237.77</v>
      </c>
      <c r="M62" s="24">
        <f>SUMIFS('Saldos Iniciales'!$D:$D,'Saldos Iniciales'!$A:$A,"Soweto")+SUMIFS(Movimientos!$K$1:$K$790,Movimientos!$C$1:$C$790,"Soweto",Movimientos!$B$1:$B$790,"&lt;="&amp;$B62)</f>
        <v>3349.94</v>
      </c>
      <c r="N62" s="24">
        <f>SUMIFS('Saldos Iniciales'!$D:$D,'Saldos Iniciales'!$A:$A,"Green Stone Trust")+SUMIFS(Movimientos!$K$1:$K$790,Movimientos!$C$1:$C$790,"Green Stone Trust",Movimientos!$B$1:$B$790,"&lt;="&amp;$B62)</f>
        <v>1968.99</v>
      </c>
      <c r="O62" s="24">
        <f>SUMIFS('Saldos Iniciales'!$D:$D,'Saldos Iniciales'!$A:$A,"EC Auto")+SUMIFS(Movimientos!$K$1:$K$790,Movimientos!$C$1:$C$790,"EC Auto",Movimientos!$B$1:$B$790,"&lt;="&amp;$B62)</f>
        <v>382.69000000000005</v>
      </c>
      <c r="P62" s="24">
        <f>SUMIFS('Saldos Iniciales'!$D:$D,'Saldos Iniciales'!$A:$A,"Arbor Capital Properties")+SUMIFS(Movimientos!$K$1:$K$790,Movimientos!$C$1:$C$790,"Arbor Capital Properties",Movimientos!$B$1:$B$790,"&lt;="&amp;$B62)</f>
        <v>1428.08</v>
      </c>
      <c r="Q62" s="24">
        <f>SUMIFS('Saldos Iniciales'!$D:$D,'Saldos Iniciales'!$A:$A,"2515 Overbrook")+SUMIFS(Movimientos!$K$1:$K$790,Movimientos!$C$1:$C$790,"2515 Overbrook",Movimientos!$B$1:$B$790,"&lt;="&amp;$B62)</f>
        <v>31039.969999999961</v>
      </c>
      <c r="R62" s="24">
        <f>SUMIFS('Saldos Iniciales'!$D:$D,'Saldos Iniciales'!$A:$A,"112 Florida Ave")+SUMIFS(Movimientos!$K$1:$K$790,Movimientos!$C$1:$C$790,"112 Florida Ave",Movimientos!$B$1:$B$790,"&lt;="&amp;$B62)</f>
        <v>20321.43</v>
      </c>
      <c r="S62" s="24">
        <f>SUMIFS('Saldos Iniciales'!$D:$D,'Saldos Iniciales'!$A:$A,"3628 Thomas Ave")+SUMIFS(Movimientos!$K$1:$K$790,Movimientos!$C$1:$C$790,"3628 Thomas Ave",Movimientos!$B$1:$B$790,"&lt;="&amp;$B62)</f>
        <v>28458.6</v>
      </c>
      <c r="T62" s="24">
        <f>SUMIFS('Saldos Iniciales'!$D:$D,'Saldos Iniciales'!$A:$A,"Green Harbor Trust")+SUMIFS(Movimientos!$K$1:$K$790,Movimientos!$C$1:$C$790,"Green Harbor Trust",Movimientos!$B$1:$B$790,"&lt;="&amp;$B62)</f>
        <v>345</v>
      </c>
      <c r="U62" s="24">
        <f>SUMIFS('Saldos Iniciales'!$D:$D,'Saldos Iniciales'!$A:$A,"Go Blue")+SUMIFS(Movimientos!$K$1:$K$790,Movimientos!$C$1:$C$790,"Go Blue",Movimientos!$B$1:$B$790,"&lt;="&amp;$B62)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Group")+SUMIFS(Movimientos!$K$1:$K$790,Movimientos!$C$1:$C$790,"CFT Group",Movimientos!$B$1:$B$790,"&lt;="&amp;$B63)</f>
        <v>6295585.7500000009</v>
      </c>
      <c r="D63" s="24">
        <f>SUMIFS('Saldos Iniciales'!$D:$D,'Saldos Iniciales'!$A:$A,"M1B")+SUMIFS(Movimientos!$K$1:$K$790,Movimientos!$C$1:$C$790,"M1B",Movimientos!$B$1:$B$790,"&lt;="&amp;$B63)</f>
        <v>79139.680000000168</v>
      </c>
      <c r="E63" s="24">
        <f>SUMIFS('Saldos Iniciales'!$D:$D,'Saldos Iniciales'!$A:$A,"Durand")+SUMIFS(Movimientos!$K$1:$K$790,Movimientos!$C$1:$C$790,"Durand",Movimientos!$B$1:$B$790,"&lt;="&amp;$B63)</f>
        <v>1669.89</v>
      </c>
      <c r="F63" s="24">
        <f>SUMIFS('Saldos Iniciales'!$D:$D,'Saldos Iniciales'!$A:$A,"A&amp;M Imports")+SUMIFS(Movimientos!$K$1:$K$790,Movimientos!$C$1:$C$790,"A&amp;M Imports",Movimientos!$B$1:$B$790,"&lt;="&amp;$B63)</f>
        <v>507936.37999999989</v>
      </c>
      <c r="G63" s="24">
        <f>SUMIFS('Saldos Iniciales'!$D:$D,'Saldos Iniciales'!$A:$A,"SSP Capital")+SUMIFS(Movimientos!$K$1:$K$790,Movimientos!$C$1:$C$790,"SSP Capital",Movimientos!$B$1:$B$790,"&lt;="&amp;$B63)</f>
        <v>1696284.7299999995</v>
      </c>
      <c r="H63" s="24">
        <f>SUMIFS('Saldos Iniciales'!$D:$D,'Saldos Iniciales'!$A:$A,"Cross Family Trust")+SUMIFS(Movimientos!$K$1:$K$790,Movimientos!$C$1:$C$790,"Cross Family Trust",Movimientos!$B$1:$B$790,"&lt;="&amp;$B63)</f>
        <v>390496.38</v>
      </c>
      <c r="I63" s="24">
        <f>SUMIFS('Saldos Iniciales'!$D:$D,'Saldos Iniciales'!$A:$A,"Cross Security Trust")+SUMIFS(Movimientos!$K$1:$K$790,Movimientos!$C$1:$C$790,"Cross Security Trust",Movimientos!$B$1:$B$790,"&lt;="&amp;$B63)</f>
        <v>88090.37</v>
      </c>
      <c r="J63" s="24">
        <f>SUMIFS('Saldos Iniciales'!$D:$D,'Saldos Iniciales'!$A:$A,"Electrama")+SUMIFS(Movimientos!$K$1:$K$790,Movimientos!$C$1:$C$790,"Electrama",Movimientos!$B$1:$B$790,"&lt;="&amp;$B63)</f>
        <v>511.15999999999985</v>
      </c>
      <c r="K63" s="24">
        <f>SUMIFS('Saldos Iniciales'!$D:$D,'Saldos Iniciales'!$A:$A,"Sacred Valley Capital")+SUMIFS(Movimientos!$K$1:$K$790,Movimientos!$C$1:$C$790,"Sacred Valley Capital",Movimientos!$B$1:$B$790,"&lt;="&amp;$B63)</f>
        <v>54.400000000000006</v>
      </c>
      <c r="L63" s="24">
        <f>SUMIFS('Saldos Iniciales'!$D:$D,'Saldos Iniciales'!$A:$A,"YWC Capital")+SUMIFS(Movimientos!$K$1:$K$790,Movimientos!$C$1:$C$790,"YWC Capital",Movimientos!$B$1:$B$790,"&lt;="&amp;$B63)</f>
        <v>2207.8200000000002</v>
      </c>
      <c r="M63" s="24">
        <f>SUMIFS('Saldos Iniciales'!$D:$D,'Saldos Iniciales'!$A:$A,"Soweto")+SUMIFS(Movimientos!$K$1:$K$790,Movimientos!$C$1:$C$790,"Soweto",Movimientos!$B$1:$B$790,"&lt;="&amp;$B63)</f>
        <v>3349.94</v>
      </c>
      <c r="N63" s="24">
        <f>SUMIFS('Saldos Iniciales'!$D:$D,'Saldos Iniciales'!$A:$A,"Green Stone Trust")+SUMIFS(Movimientos!$K$1:$K$790,Movimientos!$C$1:$C$790,"Green Stone Trust",Movimientos!$B$1:$B$790,"&lt;="&amp;$B63)</f>
        <v>1968.99</v>
      </c>
      <c r="O63" s="24">
        <f>SUMIFS('Saldos Iniciales'!$D:$D,'Saldos Iniciales'!$A:$A,"EC Auto")+SUMIFS(Movimientos!$K$1:$K$790,Movimientos!$C$1:$C$790,"EC Auto",Movimientos!$B$1:$B$790,"&lt;="&amp;$B63)</f>
        <v>382.69000000000005</v>
      </c>
      <c r="P63" s="24">
        <f>SUMIFS('Saldos Iniciales'!$D:$D,'Saldos Iniciales'!$A:$A,"Arbor Capital Properties")+SUMIFS(Movimientos!$K$1:$K$790,Movimientos!$C$1:$C$790,"Arbor Capital Properties",Movimientos!$B$1:$B$790,"&lt;="&amp;$B63)</f>
        <v>1412.08</v>
      </c>
      <c r="Q63" s="24">
        <f>SUMIFS('Saldos Iniciales'!$D:$D,'Saldos Iniciales'!$A:$A,"2515 Overbrook")+SUMIFS(Movimientos!$K$1:$K$790,Movimientos!$C$1:$C$790,"2515 Overbrook",Movimientos!$B$1:$B$790,"&lt;="&amp;$B63)</f>
        <v>22496.639999999959</v>
      </c>
      <c r="R63" s="24">
        <f>SUMIFS('Saldos Iniciales'!$D:$D,'Saldos Iniciales'!$A:$A,"112 Florida Ave")+SUMIFS(Movimientos!$K$1:$K$790,Movimientos!$C$1:$C$790,"112 Florida Ave",Movimientos!$B$1:$B$790,"&lt;="&amp;$B63)</f>
        <v>10522.800000000003</v>
      </c>
      <c r="S63" s="24">
        <f>SUMIFS('Saldos Iniciales'!$D:$D,'Saldos Iniciales'!$A:$A,"3628 Thomas Ave")+SUMIFS(Movimientos!$K$1:$K$790,Movimientos!$C$1:$C$790,"3628 Thomas Ave",Movimientos!$B$1:$B$790,"&lt;="&amp;$B63)</f>
        <v>19685.559999999998</v>
      </c>
      <c r="T63" s="24">
        <f>SUMIFS('Saldos Iniciales'!$D:$D,'Saldos Iniciales'!$A:$A,"Green Harbor Trust")+SUMIFS(Movimientos!$K$1:$K$790,Movimientos!$C$1:$C$790,"Green Harbor Trust",Movimientos!$B$1:$B$790,"&lt;="&amp;$B63)</f>
        <v>345</v>
      </c>
      <c r="U63" s="24">
        <f>SUMIFS('Saldos Iniciales'!$D:$D,'Saldos Iniciales'!$A:$A,"Go Blue")+SUMIFS(Movimientos!$K$1:$K$790,Movimientos!$C$1:$C$790,"Go Blue",Movimientos!$B$1:$B$790,"&lt;="&amp;$B63)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Group")+SUMIFS(Movimientos!$K$1:$K$790,Movimientos!$C$1:$C$790,"CFT Group",Movimientos!$B$1:$B$790,"&lt;="&amp;$B64)</f>
        <v>5592585.7500000009</v>
      </c>
      <c r="D64" s="24">
        <f>SUMIFS('Saldos Iniciales'!$D:$D,'Saldos Iniciales'!$A:$A,"M1B")+SUMIFS(Movimientos!$K$1:$K$790,Movimientos!$C$1:$C$790,"M1B",Movimientos!$B$1:$B$790,"&lt;="&amp;$B64)</f>
        <v>79139.680000000168</v>
      </c>
      <c r="E64" s="24">
        <f>SUMIFS('Saldos Iniciales'!$D:$D,'Saldos Iniciales'!$A:$A,"Durand")+SUMIFS(Movimientos!$K$1:$K$790,Movimientos!$C$1:$C$790,"Durand",Movimientos!$B$1:$B$790,"&lt;="&amp;$B64)</f>
        <v>1669.89</v>
      </c>
      <c r="F64" s="24">
        <f>SUMIFS('Saldos Iniciales'!$D:$D,'Saldos Iniciales'!$A:$A,"A&amp;M Imports")+SUMIFS(Movimientos!$K$1:$K$790,Movimientos!$C$1:$C$790,"A&amp;M Imports",Movimientos!$B$1:$B$790,"&lt;="&amp;$B64)</f>
        <v>350475.62999999989</v>
      </c>
      <c r="G64" s="24">
        <f>SUMIFS('Saldos Iniciales'!$D:$D,'Saldos Iniciales'!$A:$A,"SSP Capital")+SUMIFS(Movimientos!$K$1:$K$790,Movimientos!$C$1:$C$790,"SSP Capital",Movimientos!$B$1:$B$790,"&lt;="&amp;$B64)</f>
        <v>1761564.8799999994</v>
      </c>
      <c r="H64" s="24">
        <f>SUMIFS('Saldos Iniciales'!$D:$D,'Saldos Iniciales'!$A:$A,"Cross Family Trust")+SUMIFS(Movimientos!$K$1:$K$790,Movimientos!$C$1:$C$790,"Cross Family Trust",Movimientos!$B$1:$B$790,"&lt;="&amp;$B64)</f>
        <v>220496.38</v>
      </c>
      <c r="I64" s="24">
        <f>SUMIFS('Saldos Iniciales'!$D:$D,'Saldos Iniciales'!$A:$A,"Cross Security Trust")+SUMIFS(Movimientos!$K$1:$K$790,Movimientos!$C$1:$C$790,"Cross Security Trust",Movimientos!$B$1:$B$790,"&lt;="&amp;$B64)</f>
        <v>88090.37</v>
      </c>
      <c r="J64" s="24">
        <f>SUMIFS('Saldos Iniciales'!$D:$D,'Saldos Iniciales'!$A:$A,"Electrama")+SUMIFS(Movimientos!$K$1:$K$790,Movimientos!$C$1:$C$790,"Electrama",Movimientos!$B$1:$B$790,"&lt;="&amp;$B64)</f>
        <v>511.15999999999985</v>
      </c>
      <c r="K64" s="24">
        <f>SUMIFS('Saldos Iniciales'!$D:$D,'Saldos Iniciales'!$A:$A,"Sacred Valley Capital")+SUMIFS(Movimientos!$K$1:$K$790,Movimientos!$C$1:$C$790,"Sacred Valley Capital",Movimientos!$B$1:$B$790,"&lt;="&amp;$B64)</f>
        <v>54.400000000000006</v>
      </c>
      <c r="L64" s="24">
        <f>SUMIFS('Saldos Iniciales'!$D:$D,'Saldos Iniciales'!$A:$A,"YWC Capital")+SUMIFS(Movimientos!$K$1:$K$790,Movimientos!$C$1:$C$790,"YWC Capital",Movimientos!$B$1:$B$790,"&lt;="&amp;$B64)</f>
        <v>2207.8200000000002</v>
      </c>
      <c r="M64" s="24">
        <f>SUMIFS('Saldos Iniciales'!$D:$D,'Saldos Iniciales'!$A:$A,"Soweto")+SUMIFS(Movimientos!$K$1:$K$790,Movimientos!$C$1:$C$790,"Soweto",Movimientos!$B$1:$B$790,"&lt;="&amp;$B64)</f>
        <v>3349.94</v>
      </c>
      <c r="N64" s="24">
        <f>SUMIFS('Saldos Iniciales'!$D:$D,'Saldos Iniciales'!$A:$A,"Green Stone Trust")+SUMIFS(Movimientos!$K$1:$K$790,Movimientos!$C$1:$C$790,"Green Stone Trust",Movimientos!$B$1:$B$790,"&lt;="&amp;$B64)</f>
        <v>1968.99</v>
      </c>
      <c r="O64" s="24">
        <f>SUMIFS('Saldos Iniciales'!$D:$D,'Saldos Iniciales'!$A:$A,"EC Auto")+SUMIFS(Movimientos!$K$1:$K$790,Movimientos!$C$1:$C$790,"EC Auto",Movimientos!$B$1:$B$790,"&lt;="&amp;$B64)</f>
        <v>382.69000000000005</v>
      </c>
      <c r="P64" s="24">
        <f>SUMIFS('Saldos Iniciales'!$D:$D,'Saldos Iniciales'!$A:$A,"Arbor Capital Properties")+SUMIFS(Movimientos!$K$1:$K$790,Movimientos!$C$1:$C$790,"Arbor Capital Properties",Movimientos!$B$1:$B$790,"&lt;="&amp;$B64)</f>
        <v>1412.08</v>
      </c>
      <c r="Q64" s="24">
        <f>SUMIFS('Saldos Iniciales'!$D:$D,'Saldos Iniciales'!$A:$A,"2515 Overbrook")+SUMIFS(Movimientos!$K$1:$K$790,Movimientos!$C$1:$C$790,"2515 Overbrook",Movimientos!$B$1:$B$790,"&lt;="&amp;$B64)</f>
        <v>22496.639999999959</v>
      </c>
      <c r="R64" s="24">
        <f>SUMIFS('Saldos Iniciales'!$D:$D,'Saldos Iniciales'!$A:$A,"112 Florida Ave")+SUMIFS(Movimientos!$K$1:$K$790,Movimientos!$C$1:$C$790,"112 Florida Ave",Movimientos!$B$1:$B$790,"&lt;="&amp;$B64)</f>
        <v>10522.800000000003</v>
      </c>
      <c r="S64" s="24">
        <f>SUMIFS('Saldos Iniciales'!$D:$D,'Saldos Iniciales'!$A:$A,"3628 Thomas Ave")+SUMIFS(Movimientos!$K$1:$K$790,Movimientos!$C$1:$C$790,"3628 Thomas Ave",Movimientos!$B$1:$B$790,"&lt;="&amp;$B64)</f>
        <v>24085.559999999998</v>
      </c>
      <c r="T64" s="24">
        <f>SUMIFS('Saldos Iniciales'!$D:$D,'Saldos Iniciales'!$A:$A,"Green Harbor Trust")+SUMIFS(Movimientos!$K$1:$K$790,Movimientos!$C$1:$C$790,"Green Harbor Trust",Movimientos!$B$1:$B$790,"&lt;="&amp;$B64)</f>
        <v>345</v>
      </c>
      <c r="U64" s="24">
        <f>SUMIFS('Saldos Iniciales'!$D:$D,'Saldos Iniciales'!$A:$A,"Go Blue")+SUMIFS(Movimientos!$K$1:$K$790,Movimientos!$C$1:$C$790,"Go Blue",Movimientos!$B$1:$B$790,"&lt;="&amp;$B64)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Group")+SUMIFS(Movimientos!$K$1:$K$790,Movimientos!$C$1:$C$790,"CFT Group",Movimientos!$B$1:$B$790,"&lt;="&amp;$B65)</f>
        <v>5592585.7500000009</v>
      </c>
      <c r="D65" s="24">
        <f>SUMIFS('Saldos Iniciales'!$D:$D,'Saldos Iniciales'!$A:$A,"M1B")+SUMIFS(Movimientos!$K$1:$K$790,Movimientos!$C$1:$C$790,"M1B",Movimientos!$B$1:$B$790,"&lt;="&amp;$B65)</f>
        <v>79139.680000000168</v>
      </c>
      <c r="E65" s="24">
        <f>SUMIFS('Saldos Iniciales'!$D:$D,'Saldos Iniciales'!$A:$A,"Durand")+SUMIFS(Movimientos!$K$1:$K$790,Movimientos!$C$1:$C$790,"Durand",Movimientos!$B$1:$B$790,"&lt;="&amp;$B65)</f>
        <v>1669.89</v>
      </c>
      <c r="F65" s="24">
        <f>SUMIFS('Saldos Iniciales'!$D:$D,'Saldos Iniciales'!$A:$A,"A&amp;M Imports")+SUMIFS(Movimientos!$K$1:$K$790,Movimientos!$C$1:$C$790,"A&amp;M Imports",Movimientos!$B$1:$B$790,"&lt;="&amp;$B65)</f>
        <v>350475.62999999989</v>
      </c>
      <c r="G65" s="24">
        <f>SUMIFS('Saldos Iniciales'!$D:$D,'Saldos Iniciales'!$A:$A,"SSP Capital")+SUMIFS(Movimientos!$K$1:$K$790,Movimientos!$C$1:$C$790,"SSP Capital",Movimientos!$B$1:$B$790,"&lt;="&amp;$B65)</f>
        <v>1761564.8799999994</v>
      </c>
      <c r="H65" s="24">
        <f>SUMIFS('Saldos Iniciales'!$D:$D,'Saldos Iniciales'!$A:$A,"Cross Family Trust")+SUMIFS(Movimientos!$K$1:$K$790,Movimientos!$C$1:$C$790,"Cross Family Trust",Movimientos!$B$1:$B$790,"&lt;="&amp;$B65)</f>
        <v>220496.38</v>
      </c>
      <c r="I65" s="24">
        <f>SUMIFS('Saldos Iniciales'!$D:$D,'Saldos Iniciales'!$A:$A,"Cross Security Trust")+SUMIFS(Movimientos!$K$1:$K$790,Movimientos!$C$1:$C$790,"Cross Security Trust",Movimientos!$B$1:$B$790,"&lt;="&amp;$B65)</f>
        <v>88090.37</v>
      </c>
      <c r="J65" s="24">
        <f>SUMIFS('Saldos Iniciales'!$D:$D,'Saldos Iniciales'!$A:$A,"Electrama")+SUMIFS(Movimientos!$K$1:$K$790,Movimientos!$C$1:$C$790,"Electrama",Movimientos!$B$1:$B$790,"&lt;="&amp;$B65)</f>
        <v>471.15999999999985</v>
      </c>
      <c r="K65" s="24">
        <f>SUMIFS('Saldos Iniciales'!$D:$D,'Saldos Iniciales'!$A:$A,"Sacred Valley Capital")+SUMIFS(Movimientos!$K$1:$K$790,Movimientos!$C$1:$C$790,"Sacred Valley Capital",Movimientos!$B$1:$B$790,"&lt;="&amp;$B65)</f>
        <v>54.400000000000006</v>
      </c>
      <c r="L65" s="24">
        <f>SUMIFS('Saldos Iniciales'!$D:$D,'Saldos Iniciales'!$A:$A,"YWC Capital")+SUMIFS(Movimientos!$K$1:$K$790,Movimientos!$C$1:$C$790,"YWC Capital",Movimientos!$B$1:$B$790,"&lt;="&amp;$B65)</f>
        <v>2207.8200000000002</v>
      </c>
      <c r="M65" s="24">
        <f>SUMIFS('Saldos Iniciales'!$D:$D,'Saldos Iniciales'!$A:$A,"Soweto")+SUMIFS(Movimientos!$K$1:$K$790,Movimientos!$C$1:$C$790,"Soweto",Movimientos!$B$1:$B$790,"&lt;="&amp;$B65)</f>
        <v>3349.94</v>
      </c>
      <c r="N65" s="24">
        <f>SUMIFS('Saldos Iniciales'!$D:$D,'Saldos Iniciales'!$A:$A,"Green Stone Trust")+SUMIFS(Movimientos!$K$1:$K$790,Movimientos!$C$1:$C$790,"Green Stone Trust",Movimientos!$B$1:$B$790,"&lt;="&amp;$B65)</f>
        <v>1968.99</v>
      </c>
      <c r="O65" s="24">
        <f>SUMIFS('Saldos Iniciales'!$D:$D,'Saldos Iniciales'!$A:$A,"EC Auto")+SUMIFS(Movimientos!$K$1:$K$790,Movimientos!$C$1:$C$790,"EC Auto",Movimientos!$B$1:$B$790,"&lt;="&amp;$B65)</f>
        <v>382.69000000000005</v>
      </c>
      <c r="P65" s="24">
        <f>SUMIFS('Saldos Iniciales'!$D:$D,'Saldos Iniciales'!$A:$A,"Arbor Capital Properties")+SUMIFS(Movimientos!$K$1:$K$790,Movimientos!$C$1:$C$790,"Arbor Capital Properties",Movimientos!$B$1:$B$790,"&lt;="&amp;$B65)</f>
        <v>1412.08</v>
      </c>
      <c r="Q65" s="24">
        <f>SUMIFS('Saldos Iniciales'!$D:$D,'Saldos Iniciales'!$A:$A,"2515 Overbrook")+SUMIFS(Movimientos!$K$1:$K$790,Movimientos!$C$1:$C$790,"2515 Overbrook",Movimientos!$B$1:$B$790,"&lt;="&amp;$B65)</f>
        <v>22496.639999999959</v>
      </c>
      <c r="R65" s="24">
        <f>SUMIFS('Saldos Iniciales'!$D:$D,'Saldos Iniciales'!$A:$A,"112 Florida Ave")+SUMIFS(Movimientos!$K$1:$K$790,Movimientos!$C$1:$C$790,"112 Florida Ave",Movimientos!$B$1:$B$790,"&lt;="&amp;$B65)</f>
        <v>10522.800000000003</v>
      </c>
      <c r="S65" s="24">
        <f>SUMIFS('Saldos Iniciales'!$D:$D,'Saldos Iniciales'!$A:$A,"3628 Thomas Ave")+SUMIFS(Movimientos!$K$1:$K$790,Movimientos!$C$1:$C$790,"3628 Thomas Ave",Movimientos!$B$1:$B$790,"&lt;="&amp;$B65)</f>
        <v>24085.559999999998</v>
      </c>
      <c r="T65" s="24">
        <f>SUMIFS('Saldos Iniciales'!$D:$D,'Saldos Iniciales'!$A:$A,"Green Harbor Trust")+SUMIFS(Movimientos!$K$1:$K$790,Movimientos!$C$1:$C$790,"Green Harbor Trust",Movimientos!$B$1:$B$790,"&lt;="&amp;$B65)</f>
        <v>345</v>
      </c>
      <c r="U65" s="24">
        <f>SUMIFS('Saldos Iniciales'!$D:$D,'Saldos Iniciales'!$A:$A,"Go Blue")+SUMIFS(Movimientos!$K$1:$K$790,Movimientos!$C$1:$C$790,"Go Blue",Movimientos!$B$1:$B$790,"&lt;="&amp;$B65)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Group")+SUMIFS(Movimientos!$K$1:$K$790,Movimientos!$C$1:$C$790,"CFT Group",Movimientos!$B$1:$B$790,"&lt;="&amp;$B66)</f>
        <v>5592585.7500000009</v>
      </c>
      <c r="D66" s="24">
        <f>SUMIFS('Saldos Iniciales'!$D:$D,'Saldos Iniciales'!$A:$A,"M1B")+SUMIFS(Movimientos!$K$1:$K$790,Movimientos!$C$1:$C$790,"M1B",Movimientos!$B$1:$B$790,"&lt;="&amp;$B66)</f>
        <v>79139.680000000168</v>
      </c>
      <c r="E66" s="24">
        <f>SUMIFS('Saldos Iniciales'!$D:$D,'Saldos Iniciales'!$A:$A,"Durand")+SUMIFS(Movimientos!$K$1:$K$790,Movimientos!$C$1:$C$790,"Durand",Movimientos!$B$1:$B$790,"&lt;="&amp;$B66)</f>
        <v>1669.89</v>
      </c>
      <c r="F66" s="24">
        <f>SUMIFS('Saldos Iniciales'!$D:$D,'Saldos Iniciales'!$A:$A,"A&amp;M Imports")+SUMIFS(Movimientos!$K$1:$K$790,Movimientos!$C$1:$C$790,"A&amp;M Imports",Movimientos!$B$1:$B$790,"&lt;="&amp;$B66)</f>
        <v>350475.62999999989</v>
      </c>
      <c r="G66" s="24">
        <f>SUMIFS('Saldos Iniciales'!$D:$D,'Saldos Iniciales'!$A:$A,"SSP Capital")+SUMIFS(Movimientos!$K$1:$K$790,Movimientos!$C$1:$C$790,"SSP Capital",Movimientos!$B$1:$B$790,"&lt;="&amp;$B66)</f>
        <v>1761564.8799999994</v>
      </c>
      <c r="H66" s="24">
        <f>SUMIFS('Saldos Iniciales'!$D:$D,'Saldos Iniciales'!$A:$A,"Cross Family Trust")+SUMIFS(Movimientos!$K$1:$K$790,Movimientos!$C$1:$C$790,"Cross Family Trust",Movimientos!$B$1:$B$790,"&lt;="&amp;$B66)</f>
        <v>220496.38</v>
      </c>
      <c r="I66" s="24">
        <f>SUMIFS('Saldos Iniciales'!$D:$D,'Saldos Iniciales'!$A:$A,"Cross Security Trust")+SUMIFS(Movimientos!$K$1:$K$790,Movimientos!$C$1:$C$790,"Cross Security Trust",Movimientos!$B$1:$B$790,"&lt;="&amp;$B66)</f>
        <v>88090.37</v>
      </c>
      <c r="J66" s="24">
        <f>SUMIFS('Saldos Iniciales'!$D:$D,'Saldos Iniciales'!$A:$A,"Electrama")+SUMIFS(Movimientos!$K$1:$K$790,Movimientos!$C$1:$C$790,"Electrama",Movimientos!$B$1:$B$790,"&lt;="&amp;$B66)</f>
        <v>471.15999999999985</v>
      </c>
      <c r="K66" s="24">
        <f>SUMIFS('Saldos Iniciales'!$D:$D,'Saldos Iniciales'!$A:$A,"Sacred Valley Capital")+SUMIFS(Movimientos!$K$1:$K$790,Movimientos!$C$1:$C$790,"Sacred Valley Capital",Movimientos!$B$1:$B$790,"&lt;="&amp;$B66)</f>
        <v>54.400000000000006</v>
      </c>
      <c r="L66" s="24">
        <f>SUMIFS('Saldos Iniciales'!$D:$D,'Saldos Iniciales'!$A:$A,"YWC Capital")+SUMIFS(Movimientos!$K$1:$K$790,Movimientos!$C$1:$C$790,"YWC Capital",Movimientos!$B$1:$B$790,"&lt;="&amp;$B66)</f>
        <v>2207.8200000000002</v>
      </c>
      <c r="M66" s="24">
        <f>SUMIFS('Saldos Iniciales'!$D:$D,'Saldos Iniciales'!$A:$A,"Soweto")+SUMIFS(Movimientos!$K$1:$K$790,Movimientos!$C$1:$C$790,"Soweto",Movimientos!$B$1:$B$790,"&lt;="&amp;$B66)</f>
        <v>3349.94</v>
      </c>
      <c r="N66" s="24">
        <f>SUMIFS('Saldos Iniciales'!$D:$D,'Saldos Iniciales'!$A:$A,"Green Stone Trust")+SUMIFS(Movimientos!$K$1:$K$790,Movimientos!$C$1:$C$790,"Green Stone Trust",Movimientos!$B$1:$B$790,"&lt;="&amp;$B66)</f>
        <v>1968.99</v>
      </c>
      <c r="O66" s="24">
        <f>SUMIFS('Saldos Iniciales'!$D:$D,'Saldos Iniciales'!$A:$A,"EC Auto")+SUMIFS(Movimientos!$K$1:$K$790,Movimientos!$C$1:$C$790,"EC Auto",Movimientos!$B$1:$B$790,"&lt;="&amp;$B66)</f>
        <v>382.69000000000005</v>
      </c>
      <c r="P66" s="24">
        <f>SUMIFS('Saldos Iniciales'!$D:$D,'Saldos Iniciales'!$A:$A,"Arbor Capital Properties")+SUMIFS(Movimientos!$K$1:$K$790,Movimientos!$C$1:$C$790,"Arbor Capital Properties",Movimientos!$B$1:$B$790,"&lt;="&amp;$B66)</f>
        <v>1412.08</v>
      </c>
      <c r="Q66" s="24">
        <f>SUMIFS('Saldos Iniciales'!$D:$D,'Saldos Iniciales'!$A:$A,"2515 Overbrook")+SUMIFS(Movimientos!$K$1:$K$790,Movimientos!$C$1:$C$790,"2515 Overbrook",Movimientos!$B$1:$B$790,"&lt;="&amp;$B66)</f>
        <v>22496.639999999959</v>
      </c>
      <c r="R66" s="24">
        <f>SUMIFS('Saldos Iniciales'!$D:$D,'Saldos Iniciales'!$A:$A,"112 Florida Ave")+SUMIFS(Movimientos!$K$1:$K$790,Movimientos!$C$1:$C$790,"112 Florida Ave",Movimientos!$B$1:$B$790,"&lt;="&amp;$B66)</f>
        <v>10522.800000000003</v>
      </c>
      <c r="S66" s="24">
        <f>SUMIFS('Saldos Iniciales'!$D:$D,'Saldos Iniciales'!$A:$A,"3628 Thomas Ave")+SUMIFS(Movimientos!$K$1:$K$790,Movimientos!$C$1:$C$790,"3628 Thomas Ave",Movimientos!$B$1:$B$790,"&lt;="&amp;$B66)</f>
        <v>24085.559999999998</v>
      </c>
      <c r="T66" s="24">
        <f>SUMIFS('Saldos Iniciales'!$D:$D,'Saldos Iniciales'!$A:$A,"Green Harbor Trust")+SUMIFS(Movimientos!$K$1:$K$790,Movimientos!$C$1:$C$790,"Green Harbor Trust",Movimientos!$B$1:$B$790,"&lt;="&amp;$B66)</f>
        <v>345</v>
      </c>
      <c r="U66" s="24">
        <f>SUMIFS('Saldos Iniciales'!$D:$D,'Saldos Iniciales'!$A:$A,"Go Blue")+SUMIFS(Movimientos!$K$1:$K$790,Movimientos!$C$1:$C$790,"Go Blue",Movimientos!$B$1:$B$790,"&lt;="&amp;$B66)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Group")+SUMIFS(Movimientos!$K$1:$K$790,Movimientos!$C$1:$C$790,"CFT Group",Movimientos!$B$1:$B$790,"&lt;="&amp;$B67)</f>
        <v>5592585.7500000009</v>
      </c>
      <c r="D67" s="24">
        <f>SUMIFS('Saldos Iniciales'!$D:$D,'Saldos Iniciales'!$A:$A,"M1B")+SUMIFS(Movimientos!$K$1:$K$790,Movimientos!$C$1:$C$790,"M1B",Movimientos!$B$1:$B$790,"&lt;="&amp;$B67)</f>
        <v>79139.680000000168</v>
      </c>
      <c r="E67" s="24">
        <f>SUMIFS('Saldos Iniciales'!$D:$D,'Saldos Iniciales'!$A:$A,"Durand")+SUMIFS(Movimientos!$K$1:$K$790,Movimientos!$C$1:$C$790,"Durand",Movimientos!$B$1:$B$790,"&lt;="&amp;$B67)</f>
        <v>1669.89</v>
      </c>
      <c r="F67" s="24">
        <f>SUMIFS('Saldos Iniciales'!$D:$D,'Saldos Iniciales'!$A:$A,"A&amp;M Imports")+SUMIFS(Movimientos!$K$1:$K$790,Movimientos!$C$1:$C$790,"A&amp;M Imports",Movimientos!$B$1:$B$790,"&lt;="&amp;$B67)</f>
        <v>350475.62999999989</v>
      </c>
      <c r="G67" s="24">
        <f>SUMIFS('Saldos Iniciales'!$D:$D,'Saldos Iniciales'!$A:$A,"SSP Capital")+SUMIFS(Movimientos!$K$1:$K$790,Movimientos!$C$1:$C$790,"SSP Capital",Movimientos!$B$1:$B$790,"&lt;="&amp;$B67)</f>
        <v>1761564.8799999994</v>
      </c>
      <c r="H67" s="24">
        <f>SUMIFS('Saldos Iniciales'!$D:$D,'Saldos Iniciales'!$A:$A,"Cross Family Trust")+SUMIFS(Movimientos!$K$1:$K$790,Movimientos!$C$1:$C$790,"Cross Family Trust",Movimientos!$B$1:$B$790,"&lt;="&amp;$B67)</f>
        <v>220496.38</v>
      </c>
      <c r="I67" s="24">
        <f>SUMIFS('Saldos Iniciales'!$D:$D,'Saldos Iniciales'!$A:$A,"Cross Security Trust")+SUMIFS(Movimientos!$K$1:$K$790,Movimientos!$C$1:$C$790,"Cross Security Trust",Movimientos!$B$1:$B$790,"&lt;="&amp;$B67)</f>
        <v>88090.37</v>
      </c>
      <c r="J67" s="24">
        <f>SUMIFS('Saldos Iniciales'!$D:$D,'Saldos Iniciales'!$A:$A,"Electrama")+SUMIFS(Movimientos!$K$1:$K$790,Movimientos!$C$1:$C$790,"Electrama",Movimientos!$B$1:$B$790,"&lt;="&amp;$B67)</f>
        <v>471.15999999999985</v>
      </c>
      <c r="K67" s="24">
        <f>SUMIFS('Saldos Iniciales'!$D:$D,'Saldos Iniciales'!$A:$A,"Sacred Valley Capital")+SUMIFS(Movimientos!$K$1:$K$790,Movimientos!$C$1:$C$790,"Sacred Valley Capital",Movimientos!$B$1:$B$790,"&lt;="&amp;$B67)</f>
        <v>54.400000000000006</v>
      </c>
      <c r="L67" s="24">
        <f>SUMIFS('Saldos Iniciales'!$D:$D,'Saldos Iniciales'!$A:$A,"YWC Capital")+SUMIFS(Movimientos!$K$1:$K$790,Movimientos!$C$1:$C$790,"YWC Capital",Movimientos!$B$1:$B$790,"&lt;="&amp;$B67)</f>
        <v>2207.8200000000002</v>
      </c>
      <c r="M67" s="24">
        <f>SUMIFS('Saldos Iniciales'!$D:$D,'Saldos Iniciales'!$A:$A,"Soweto")+SUMIFS(Movimientos!$K$1:$K$790,Movimientos!$C$1:$C$790,"Soweto",Movimientos!$B$1:$B$790,"&lt;="&amp;$B67)</f>
        <v>3349.94</v>
      </c>
      <c r="N67" s="24">
        <f>SUMIFS('Saldos Iniciales'!$D:$D,'Saldos Iniciales'!$A:$A,"Green Stone Trust")+SUMIFS(Movimientos!$K$1:$K$790,Movimientos!$C$1:$C$790,"Green Stone Trust",Movimientos!$B$1:$B$790,"&lt;="&amp;$B67)</f>
        <v>1968.99</v>
      </c>
      <c r="O67" s="24">
        <f>SUMIFS('Saldos Iniciales'!$D:$D,'Saldos Iniciales'!$A:$A,"EC Auto")+SUMIFS(Movimientos!$K$1:$K$790,Movimientos!$C$1:$C$790,"EC Auto",Movimientos!$B$1:$B$790,"&lt;="&amp;$B67)</f>
        <v>382.69000000000005</v>
      </c>
      <c r="P67" s="24">
        <f>SUMIFS('Saldos Iniciales'!$D:$D,'Saldos Iniciales'!$A:$A,"Arbor Capital Properties")+SUMIFS(Movimientos!$K$1:$K$790,Movimientos!$C$1:$C$790,"Arbor Capital Properties",Movimientos!$B$1:$B$790,"&lt;="&amp;$B67)</f>
        <v>1412.08</v>
      </c>
      <c r="Q67" s="24">
        <f>SUMIFS('Saldos Iniciales'!$D:$D,'Saldos Iniciales'!$A:$A,"2515 Overbrook")+SUMIFS(Movimientos!$K$1:$K$790,Movimientos!$C$1:$C$790,"2515 Overbrook",Movimientos!$B$1:$B$790,"&lt;="&amp;$B67)</f>
        <v>22496.639999999959</v>
      </c>
      <c r="R67" s="24">
        <f>SUMIFS('Saldos Iniciales'!$D:$D,'Saldos Iniciales'!$A:$A,"112 Florida Ave")+SUMIFS(Movimientos!$K$1:$K$790,Movimientos!$C$1:$C$790,"112 Florida Ave",Movimientos!$B$1:$B$790,"&lt;="&amp;$B67)</f>
        <v>10522.800000000003</v>
      </c>
      <c r="S67" s="24">
        <f>SUMIFS('Saldos Iniciales'!$D:$D,'Saldos Iniciales'!$A:$A,"3628 Thomas Ave")+SUMIFS(Movimientos!$K$1:$K$790,Movimientos!$C$1:$C$790,"3628 Thomas Ave",Movimientos!$B$1:$B$790,"&lt;="&amp;$B67)</f>
        <v>24085.559999999998</v>
      </c>
      <c r="T67" s="24">
        <f>SUMIFS('Saldos Iniciales'!$D:$D,'Saldos Iniciales'!$A:$A,"Green Harbor Trust")+SUMIFS(Movimientos!$K$1:$K$790,Movimientos!$C$1:$C$790,"Green Harbor Trust",Movimientos!$B$1:$B$790,"&lt;="&amp;$B67)</f>
        <v>345</v>
      </c>
      <c r="U67" s="24">
        <f>SUMIFS('Saldos Iniciales'!$D:$D,'Saldos Iniciales'!$A:$A,"Go Blue")+SUMIFS(Movimientos!$K$1:$K$790,Movimientos!$C$1:$C$790,"Go Blue",Movimientos!$B$1:$B$790,"&lt;="&amp;$B67)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Group")+SUMIFS(Movimientos!$K$1:$K$790,Movimientos!$C$1:$C$790,"CFT Group",Movimientos!$B$1:$B$790,"&lt;="&amp;$B68)</f>
        <v>5592585.7500000009</v>
      </c>
      <c r="D68" s="24">
        <f>SUMIFS('Saldos Iniciales'!$D:$D,'Saldos Iniciales'!$A:$A,"M1B")+SUMIFS(Movimientos!$K$1:$K$790,Movimientos!$C$1:$C$790,"M1B",Movimientos!$B$1:$B$790,"&lt;="&amp;$B68)</f>
        <v>79139.680000000168</v>
      </c>
      <c r="E68" s="24">
        <f>SUMIFS('Saldos Iniciales'!$D:$D,'Saldos Iniciales'!$A:$A,"Durand")+SUMIFS(Movimientos!$K$1:$K$790,Movimientos!$C$1:$C$790,"Durand",Movimientos!$B$1:$B$790,"&lt;="&amp;$B68)</f>
        <v>1669.89</v>
      </c>
      <c r="F68" s="24">
        <f>SUMIFS('Saldos Iniciales'!$D:$D,'Saldos Iniciales'!$A:$A,"A&amp;M Imports")+SUMIFS(Movimientos!$K$1:$K$790,Movimientos!$C$1:$C$790,"A&amp;M Imports",Movimientos!$B$1:$B$790,"&lt;="&amp;$B68)</f>
        <v>350475.62999999989</v>
      </c>
      <c r="G68" s="24">
        <f>SUMIFS('Saldos Iniciales'!$D:$D,'Saldos Iniciales'!$A:$A,"SSP Capital")+SUMIFS(Movimientos!$K$1:$K$790,Movimientos!$C$1:$C$790,"SSP Capital",Movimientos!$B$1:$B$790,"&lt;="&amp;$B68)</f>
        <v>1761026.4599999995</v>
      </c>
      <c r="H68" s="24">
        <f>SUMIFS('Saldos Iniciales'!$D:$D,'Saldos Iniciales'!$A:$A,"Cross Family Trust")+SUMIFS(Movimientos!$K$1:$K$790,Movimientos!$C$1:$C$790,"Cross Family Trust",Movimientos!$B$1:$B$790,"&lt;="&amp;$B68)</f>
        <v>220496.38</v>
      </c>
      <c r="I68" s="24">
        <f>SUMIFS('Saldos Iniciales'!$D:$D,'Saldos Iniciales'!$A:$A,"Cross Security Trust")+SUMIFS(Movimientos!$K$1:$K$790,Movimientos!$C$1:$C$790,"Cross Security Trust",Movimientos!$B$1:$B$790,"&lt;="&amp;$B68)</f>
        <v>88090.37</v>
      </c>
      <c r="J68" s="24">
        <f>SUMIFS('Saldos Iniciales'!$D:$D,'Saldos Iniciales'!$A:$A,"Electrama")+SUMIFS(Movimientos!$K$1:$K$790,Movimientos!$C$1:$C$790,"Electrama",Movimientos!$B$1:$B$790,"&lt;="&amp;$B68)</f>
        <v>471.15999999999985</v>
      </c>
      <c r="K68" s="24">
        <f>SUMIFS('Saldos Iniciales'!$D:$D,'Saldos Iniciales'!$A:$A,"Sacred Valley Capital")+SUMIFS(Movimientos!$K$1:$K$790,Movimientos!$C$1:$C$790,"Sacred Valley Capital",Movimientos!$B$1:$B$790,"&lt;="&amp;$B68)</f>
        <v>54.400000000000006</v>
      </c>
      <c r="L68" s="24">
        <f>SUMIFS('Saldos Iniciales'!$D:$D,'Saldos Iniciales'!$A:$A,"YWC Capital")+SUMIFS(Movimientos!$K$1:$K$790,Movimientos!$C$1:$C$790,"YWC Capital",Movimientos!$B$1:$B$790,"&lt;="&amp;$B68)</f>
        <v>2207.8200000000002</v>
      </c>
      <c r="M68" s="24">
        <f>SUMIFS('Saldos Iniciales'!$D:$D,'Saldos Iniciales'!$A:$A,"Soweto")+SUMIFS(Movimientos!$K$1:$K$790,Movimientos!$C$1:$C$790,"Soweto",Movimientos!$B$1:$B$790,"&lt;="&amp;$B68)</f>
        <v>3349.94</v>
      </c>
      <c r="N68" s="24">
        <f>SUMIFS('Saldos Iniciales'!$D:$D,'Saldos Iniciales'!$A:$A,"Green Stone Trust")+SUMIFS(Movimientos!$K$1:$K$790,Movimientos!$C$1:$C$790,"Green Stone Trust",Movimientos!$B$1:$B$790,"&lt;="&amp;$B68)</f>
        <v>1968.99</v>
      </c>
      <c r="O68" s="24">
        <f>SUMIFS('Saldos Iniciales'!$D:$D,'Saldos Iniciales'!$A:$A,"EC Auto")+SUMIFS(Movimientos!$K$1:$K$790,Movimientos!$C$1:$C$790,"EC Auto",Movimientos!$B$1:$B$790,"&lt;="&amp;$B68)</f>
        <v>382.69000000000005</v>
      </c>
      <c r="P68" s="24">
        <f>SUMIFS('Saldos Iniciales'!$D:$D,'Saldos Iniciales'!$A:$A,"Arbor Capital Properties")+SUMIFS(Movimientos!$K$1:$K$790,Movimientos!$C$1:$C$790,"Arbor Capital Properties",Movimientos!$B$1:$B$790,"&lt;="&amp;$B68)</f>
        <v>1412.08</v>
      </c>
      <c r="Q68" s="24">
        <f>SUMIFS('Saldos Iniciales'!$D:$D,'Saldos Iniciales'!$A:$A,"2515 Overbrook")+SUMIFS(Movimientos!$K$1:$K$790,Movimientos!$C$1:$C$790,"2515 Overbrook",Movimientos!$B$1:$B$790,"&lt;="&amp;$B68)</f>
        <v>22496.639999999959</v>
      </c>
      <c r="R68" s="24">
        <f>SUMIFS('Saldos Iniciales'!$D:$D,'Saldos Iniciales'!$A:$A,"112 Florida Ave")+SUMIFS(Movimientos!$K$1:$K$790,Movimientos!$C$1:$C$790,"112 Florida Ave",Movimientos!$B$1:$B$790,"&lt;="&amp;$B68)</f>
        <v>10522.800000000003</v>
      </c>
      <c r="S68" s="24">
        <f>SUMIFS('Saldos Iniciales'!$D:$D,'Saldos Iniciales'!$A:$A,"3628 Thomas Ave")+SUMIFS(Movimientos!$K$1:$K$790,Movimientos!$C$1:$C$790,"3628 Thomas Ave",Movimientos!$B$1:$B$790,"&lt;="&amp;$B68)</f>
        <v>24085.559999999998</v>
      </c>
      <c r="T68" s="24">
        <f>SUMIFS('Saldos Iniciales'!$D:$D,'Saldos Iniciales'!$A:$A,"Green Harbor Trust")+SUMIFS(Movimientos!$K$1:$K$790,Movimientos!$C$1:$C$790,"Green Harbor Trust",Movimientos!$B$1:$B$790,"&lt;="&amp;$B68)</f>
        <v>345</v>
      </c>
      <c r="U68" s="24">
        <f>SUMIFS('Saldos Iniciales'!$D:$D,'Saldos Iniciales'!$A:$A,"Go Blue")+SUMIFS(Movimientos!$K$1:$K$790,Movimientos!$C$1:$C$790,"Go Blue",Movimientos!$B$1:$B$790,"&lt;="&amp;$B68)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Group")+SUMIFS(Movimientos!$K$1:$K$790,Movimientos!$C$1:$C$790,"CFT Group",Movimientos!$B$1:$B$790,"&lt;="&amp;$B69)</f>
        <v>5592585.7500000009</v>
      </c>
      <c r="D69" s="24">
        <f>SUMIFS('Saldos Iniciales'!$D:$D,'Saldos Iniciales'!$A:$A,"M1B")+SUMIFS(Movimientos!$K$1:$K$790,Movimientos!$C$1:$C$790,"M1B",Movimientos!$B$1:$B$790,"&lt;="&amp;$B69)</f>
        <v>79139.680000000168</v>
      </c>
      <c r="E69" s="24">
        <f>SUMIFS('Saldos Iniciales'!$D:$D,'Saldos Iniciales'!$A:$A,"Durand")+SUMIFS(Movimientos!$K$1:$K$790,Movimientos!$C$1:$C$790,"Durand",Movimientos!$B$1:$B$790,"&lt;="&amp;$B69)</f>
        <v>1669.89</v>
      </c>
      <c r="F69" s="24">
        <f>SUMIFS('Saldos Iniciales'!$D:$D,'Saldos Iniciales'!$A:$A,"A&amp;M Imports")+SUMIFS(Movimientos!$K$1:$K$790,Movimientos!$C$1:$C$790,"A&amp;M Imports",Movimientos!$B$1:$B$790,"&lt;="&amp;$B69)</f>
        <v>350475.62999999989</v>
      </c>
      <c r="G69" s="24">
        <f>SUMIFS('Saldos Iniciales'!$D:$D,'Saldos Iniciales'!$A:$A,"SSP Capital")+SUMIFS(Movimientos!$K$1:$K$790,Movimientos!$C$1:$C$790,"SSP Capital",Movimientos!$B$1:$B$790,"&lt;="&amp;$B69)</f>
        <v>1761026.4599999995</v>
      </c>
      <c r="H69" s="24">
        <f>SUMIFS('Saldos Iniciales'!$D:$D,'Saldos Iniciales'!$A:$A,"Cross Family Trust")+SUMIFS(Movimientos!$K$1:$K$790,Movimientos!$C$1:$C$790,"Cross Family Trust",Movimientos!$B$1:$B$790,"&lt;="&amp;$B69)</f>
        <v>220496.38</v>
      </c>
      <c r="I69" s="24">
        <f>SUMIFS('Saldos Iniciales'!$D:$D,'Saldos Iniciales'!$A:$A,"Cross Security Trust")+SUMIFS(Movimientos!$K$1:$K$790,Movimientos!$C$1:$C$790,"Cross Security Trust",Movimientos!$B$1:$B$790,"&lt;="&amp;$B69)</f>
        <v>88090.37</v>
      </c>
      <c r="J69" s="24">
        <f>SUMIFS('Saldos Iniciales'!$D:$D,'Saldos Iniciales'!$A:$A,"Electrama")+SUMIFS(Movimientos!$K$1:$K$790,Movimientos!$C$1:$C$790,"Electrama",Movimientos!$B$1:$B$790,"&lt;="&amp;$B69)</f>
        <v>471.15999999999985</v>
      </c>
      <c r="K69" s="24">
        <f>SUMIFS('Saldos Iniciales'!$D:$D,'Saldos Iniciales'!$A:$A,"Sacred Valley Capital")+SUMIFS(Movimientos!$K$1:$K$790,Movimientos!$C$1:$C$790,"Sacred Valley Capital",Movimientos!$B$1:$B$790,"&lt;="&amp;$B69)</f>
        <v>54.400000000000006</v>
      </c>
      <c r="L69" s="24">
        <f>SUMIFS('Saldos Iniciales'!$D:$D,'Saldos Iniciales'!$A:$A,"YWC Capital")+SUMIFS(Movimientos!$K$1:$K$790,Movimientos!$C$1:$C$790,"YWC Capital",Movimientos!$B$1:$B$790,"&lt;="&amp;$B69)</f>
        <v>2207.8200000000002</v>
      </c>
      <c r="M69" s="24">
        <f>SUMIFS('Saldos Iniciales'!$D:$D,'Saldos Iniciales'!$A:$A,"Soweto")+SUMIFS(Movimientos!$K$1:$K$790,Movimientos!$C$1:$C$790,"Soweto",Movimientos!$B$1:$B$790,"&lt;="&amp;$B69)</f>
        <v>3349.94</v>
      </c>
      <c r="N69" s="24">
        <f>SUMIFS('Saldos Iniciales'!$D:$D,'Saldos Iniciales'!$A:$A,"Green Stone Trust")+SUMIFS(Movimientos!$K$1:$K$790,Movimientos!$C$1:$C$790,"Green Stone Trust",Movimientos!$B$1:$B$790,"&lt;="&amp;$B69)</f>
        <v>1968.99</v>
      </c>
      <c r="O69" s="24">
        <f>SUMIFS('Saldos Iniciales'!$D:$D,'Saldos Iniciales'!$A:$A,"EC Auto")+SUMIFS(Movimientos!$K$1:$K$790,Movimientos!$C$1:$C$790,"EC Auto",Movimientos!$B$1:$B$790,"&lt;="&amp;$B69)</f>
        <v>382.69000000000005</v>
      </c>
      <c r="P69" s="24">
        <f>SUMIFS('Saldos Iniciales'!$D:$D,'Saldos Iniciales'!$A:$A,"Arbor Capital Properties")+SUMIFS(Movimientos!$K$1:$K$790,Movimientos!$C$1:$C$790,"Arbor Capital Properties",Movimientos!$B$1:$B$790,"&lt;="&amp;$B69)</f>
        <v>1412.08</v>
      </c>
      <c r="Q69" s="24">
        <f>SUMIFS('Saldos Iniciales'!$D:$D,'Saldos Iniciales'!$A:$A,"2515 Overbrook")+SUMIFS(Movimientos!$K$1:$K$790,Movimientos!$C$1:$C$790,"2515 Overbrook",Movimientos!$B$1:$B$790,"&lt;="&amp;$B69)</f>
        <v>22496.639999999959</v>
      </c>
      <c r="R69" s="24">
        <f>SUMIFS('Saldos Iniciales'!$D:$D,'Saldos Iniciales'!$A:$A,"112 Florida Ave")+SUMIFS(Movimientos!$K$1:$K$790,Movimientos!$C$1:$C$790,"112 Florida Ave",Movimientos!$B$1:$B$790,"&lt;="&amp;$B69)</f>
        <v>10522.800000000003</v>
      </c>
      <c r="S69" s="24">
        <f>SUMIFS('Saldos Iniciales'!$D:$D,'Saldos Iniciales'!$A:$A,"3628 Thomas Ave")+SUMIFS(Movimientos!$K$1:$K$790,Movimientos!$C$1:$C$790,"3628 Thomas Ave",Movimientos!$B$1:$B$790,"&lt;="&amp;$B69)</f>
        <v>24085.559999999998</v>
      </c>
      <c r="T69" s="24">
        <f>SUMIFS('Saldos Iniciales'!$D:$D,'Saldos Iniciales'!$A:$A,"Green Harbor Trust")+SUMIFS(Movimientos!$K$1:$K$790,Movimientos!$C$1:$C$790,"Green Harbor Trust",Movimientos!$B$1:$B$790,"&lt;="&amp;$B69)</f>
        <v>345</v>
      </c>
      <c r="U69" s="24">
        <f>SUMIFS('Saldos Iniciales'!$D:$D,'Saldos Iniciales'!$A:$A,"Go Blue")+SUMIFS(Movimientos!$K$1:$K$790,Movimientos!$C$1:$C$790,"Go Blue",Movimientos!$B$1:$B$790,"&lt;="&amp;$B69)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Group")+SUMIFS(Movimientos!$K$1:$K$790,Movimientos!$C$1:$C$790,"CFT Group",Movimientos!$B$1:$B$790,"&lt;="&amp;$B70)</f>
        <v>5592585.7500000009</v>
      </c>
      <c r="D70" s="24">
        <f>SUMIFS('Saldos Iniciales'!$D:$D,'Saldos Iniciales'!$A:$A,"M1B")+SUMIFS(Movimientos!$K$1:$K$790,Movimientos!$C$1:$C$790,"M1B",Movimientos!$B$1:$B$790,"&lt;="&amp;$B70)</f>
        <v>79139.680000000168</v>
      </c>
      <c r="E70" s="24">
        <f>SUMIFS('Saldos Iniciales'!$D:$D,'Saldos Iniciales'!$A:$A,"Durand")+SUMIFS(Movimientos!$K$1:$K$790,Movimientos!$C$1:$C$790,"Durand",Movimientos!$B$1:$B$790,"&lt;="&amp;$B70)</f>
        <v>1669.89</v>
      </c>
      <c r="F70" s="24">
        <f>SUMIFS('Saldos Iniciales'!$D:$D,'Saldos Iniciales'!$A:$A,"A&amp;M Imports")+SUMIFS(Movimientos!$K$1:$K$790,Movimientos!$C$1:$C$790,"A&amp;M Imports",Movimientos!$B$1:$B$790,"&lt;="&amp;$B70)</f>
        <v>350475.62999999989</v>
      </c>
      <c r="G70" s="24">
        <f>SUMIFS('Saldos Iniciales'!$D:$D,'Saldos Iniciales'!$A:$A,"SSP Capital")+SUMIFS(Movimientos!$K$1:$K$790,Movimientos!$C$1:$C$790,"SSP Capital",Movimientos!$B$1:$B$790,"&lt;="&amp;$B70)</f>
        <v>1751695.8399999994</v>
      </c>
      <c r="H70" s="24">
        <f>SUMIFS('Saldos Iniciales'!$D:$D,'Saldos Iniciales'!$A:$A,"Cross Family Trust")+SUMIFS(Movimientos!$K$1:$K$790,Movimientos!$C$1:$C$790,"Cross Family Trust",Movimientos!$B$1:$B$790,"&lt;="&amp;$B70)</f>
        <v>220496.38</v>
      </c>
      <c r="I70" s="24">
        <f>SUMIFS('Saldos Iniciales'!$D:$D,'Saldos Iniciales'!$A:$A,"Cross Security Trust")+SUMIFS(Movimientos!$K$1:$K$790,Movimientos!$C$1:$C$790,"Cross Security Trust",Movimientos!$B$1:$B$790,"&lt;="&amp;$B70)</f>
        <v>88090.37</v>
      </c>
      <c r="J70" s="24">
        <f>SUMIFS('Saldos Iniciales'!$D:$D,'Saldos Iniciales'!$A:$A,"Electrama")+SUMIFS(Movimientos!$K$1:$K$790,Movimientos!$C$1:$C$790,"Electrama",Movimientos!$B$1:$B$790,"&lt;="&amp;$B70)</f>
        <v>471.15999999999985</v>
      </c>
      <c r="K70" s="24">
        <f>SUMIFS('Saldos Iniciales'!$D:$D,'Saldos Iniciales'!$A:$A,"Sacred Valley Capital")+SUMIFS(Movimientos!$K$1:$K$790,Movimientos!$C$1:$C$790,"Sacred Valley Capital",Movimientos!$B$1:$B$790,"&lt;="&amp;$B70)</f>
        <v>54.400000000000006</v>
      </c>
      <c r="L70" s="24">
        <f>SUMIFS('Saldos Iniciales'!$D:$D,'Saldos Iniciales'!$A:$A,"YWC Capital")+SUMIFS(Movimientos!$K$1:$K$790,Movimientos!$C$1:$C$790,"YWC Capital",Movimientos!$B$1:$B$790,"&lt;="&amp;$B70)</f>
        <v>2207.8200000000002</v>
      </c>
      <c r="M70" s="24">
        <f>SUMIFS('Saldos Iniciales'!$D:$D,'Saldos Iniciales'!$A:$A,"Soweto")+SUMIFS(Movimientos!$K$1:$K$790,Movimientos!$C$1:$C$790,"Soweto",Movimientos!$B$1:$B$790,"&lt;="&amp;$B70)</f>
        <v>3334.94</v>
      </c>
      <c r="N70" s="24">
        <f>SUMIFS('Saldos Iniciales'!$D:$D,'Saldos Iniciales'!$A:$A,"Green Stone Trust")+SUMIFS(Movimientos!$K$1:$K$790,Movimientos!$C$1:$C$790,"Green Stone Trust",Movimientos!$B$1:$B$790,"&lt;="&amp;$B70)</f>
        <v>1968.99</v>
      </c>
      <c r="O70" s="24">
        <f>SUMIFS('Saldos Iniciales'!$D:$D,'Saldos Iniciales'!$A:$A,"EC Auto")+SUMIFS(Movimientos!$K$1:$K$790,Movimientos!$C$1:$C$790,"EC Auto",Movimientos!$B$1:$B$790,"&lt;="&amp;$B70)</f>
        <v>382.69000000000005</v>
      </c>
      <c r="P70" s="24">
        <f>SUMIFS('Saldos Iniciales'!$D:$D,'Saldos Iniciales'!$A:$A,"Arbor Capital Properties")+SUMIFS(Movimientos!$K$1:$K$790,Movimientos!$C$1:$C$790,"Arbor Capital Properties",Movimientos!$B$1:$B$790,"&lt;="&amp;$B70)</f>
        <v>1412.08</v>
      </c>
      <c r="Q70" s="24">
        <f>SUMIFS('Saldos Iniciales'!$D:$D,'Saldos Iniciales'!$A:$A,"2515 Overbrook")+SUMIFS(Movimientos!$K$1:$K$790,Movimientos!$C$1:$C$790,"2515 Overbrook",Movimientos!$B$1:$B$790,"&lt;="&amp;$B70)</f>
        <v>22496.639999999959</v>
      </c>
      <c r="R70" s="24">
        <f>SUMIFS('Saldos Iniciales'!$D:$D,'Saldos Iniciales'!$A:$A,"112 Florida Ave")+SUMIFS(Movimientos!$K$1:$K$790,Movimientos!$C$1:$C$790,"112 Florida Ave",Movimientos!$B$1:$B$790,"&lt;="&amp;$B70)</f>
        <v>6522.8000000000029</v>
      </c>
      <c r="S70" s="24">
        <f>SUMIFS('Saldos Iniciales'!$D:$D,'Saldos Iniciales'!$A:$A,"3628 Thomas Ave")+SUMIFS(Movimientos!$K$1:$K$790,Movimientos!$C$1:$C$790,"3628 Thomas Ave",Movimientos!$B$1:$B$790,"&lt;="&amp;$B70)</f>
        <v>24085.559999999998</v>
      </c>
      <c r="T70" s="24">
        <f>SUMIFS('Saldos Iniciales'!$D:$D,'Saldos Iniciales'!$A:$A,"Green Harbor Trust")+SUMIFS(Movimientos!$K$1:$K$790,Movimientos!$C$1:$C$790,"Green Harbor Trust",Movimientos!$B$1:$B$790,"&lt;="&amp;$B70)</f>
        <v>345</v>
      </c>
      <c r="U70" s="24">
        <f>SUMIFS('Saldos Iniciales'!$D:$D,'Saldos Iniciales'!$A:$A,"Go Blue")+SUMIFS(Movimientos!$K$1:$K$790,Movimientos!$C$1:$C$790,"Go Blue",Movimientos!$B$1:$B$790,"&lt;="&amp;$B70)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Group")+SUMIFS(Movimientos!$K$1:$K$790,Movimientos!$C$1:$C$790,"CFT Group",Movimientos!$B$1:$B$790,"&lt;="&amp;$B71)</f>
        <v>4377944.080000001</v>
      </c>
      <c r="D71" s="24">
        <f>SUMIFS('Saldos Iniciales'!$D:$D,'Saldos Iniciales'!$A:$A,"M1B")+SUMIFS(Movimientos!$K$1:$K$790,Movimientos!$C$1:$C$790,"M1B",Movimientos!$B$1:$B$790,"&lt;="&amp;$B71)</f>
        <v>73157.680000000168</v>
      </c>
      <c r="E71" s="24">
        <f>SUMIFS('Saldos Iniciales'!$D:$D,'Saldos Iniciales'!$A:$A,"Durand")+SUMIFS(Movimientos!$K$1:$K$790,Movimientos!$C$1:$C$790,"Durand",Movimientos!$B$1:$B$790,"&lt;="&amp;$B71)</f>
        <v>1669.89</v>
      </c>
      <c r="F71" s="24">
        <f>SUMIFS('Saldos Iniciales'!$D:$D,'Saldos Iniciales'!$A:$A,"A&amp;M Imports")+SUMIFS(Movimientos!$K$1:$K$790,Movimientos!$C$1:$C$790,"A&amp;M Imports",Movimientos!$B$1:$B$790,"&lt;="&amp;$B71)</f>
        <v>290475.62999999989</v>
      </c>
      <c r="G71" s="24">
        <f>SUMIFS('Saldos Iniciales'!$D:$D,'Saldos Iniciales'!$A:$A,"SSP Capital")+SUMIFS(Movimientos!$K$1:$K$790,Movimientos!$C$1:$C$790,"SSP Capital",Movimientos!$B$1:$B$790,"&lt;="&amp;$B71)</f>
        <v>2119592.9399999995</v>
      </c>
      <c r="H71" s="24">
        <f>SUMIFS('Saldos Iniciales'!$D:$D,'Saldos Iniciales'!$A:$A,"Cross Family Trust")+SUMIFS(Movimientos!$K$1:$K$790,Movimientos!$C$1:$C$790,"Cross Family Trust",Movimientos!$B$1:$B$790,"&lt;="&amp;$B71)</f>
        <v>200496.38</v>
      </c>
      <c r="I71" s="24">
        <f>SUMIFS('Saldos Iniciales'!$D:$D,'Saldos Iniciales'!$A:$A,"Cross Security Trust")+SUMIFS(Movimientos!$K$1:$K$790,Movimientos!$C$1:$C$790,"Cross Security Trust",Movimientos!$B$1:$B$790,"&lt;="&amp;$B71)</f>
        <v>88090.37</v>
      </c>
      <c r="J71" s="24">
        <f>SUMIFS('Saldos Iniciales'!$D:$D,'Saldos Iniciales'!$A:$A,"Electrama")+SUMIFS(Movimientos!$K$1:$K$790,Movimientos!$C$1:$C$790,"Electrama",Movimientos!$B$1:$B$790,"&lt;="&amp;$B71)</f>
        <v>15130.45</v>
      </c>
      <c r="K71" s="24">
        <f>SUMIFS('Saldos Iniciales'!$D:$D,'Saldos Iniciales'!$A:$A,"Sacred Valley Capital")+SUMIFS(Movimientos!$K$1:$K$790,Movimientos!$C$1:$C$790,"Sacred Valley Capital",Movimientos!$B$1:$B$790,"&lt;="&amp;$B71)</f>
        <v>54.400000000000006</v>
      </c>
      <c r="L71" s="24">
        <f>SUMIFS('Saldos Iniciales'!$D:$D,'Saldos Iniciales'!$A:$A,"YWC Capital")+SUMIFS(Movimientos!$K$1:$K$790,Movimientos!$C$1:$C$790,"YWC Capital",Movimientos!$B$1:$B$790,"&lt;="&amp;$B71)</f>
        <v>2207.8200000000002</v>
      </c>
      <c r="M71" s="24">
        <f>SUMIFS('Saldos Iniciales'!$D:$D,'Saldos Iniciales'!$A:$A,"Soweto")+SUMIFS(Movimientos!$K$1:$K$790,Movimientos!$C$1:$C$790,"Soweto",Movimientos!$B$1:$B$790,"&lt;="&amp;$B71)</f>
        <v>1454604.72</v>
      </c>
      <c r="N71" s="24">
        <f>SUMIFS('Saldos Iniciales'!$D:$D,'Saldos Iniciales'!$A:$A,"Green Stone Trust")+SUMIFS(Movimientos!$K$1:$K$790,Movimientos!$C$1:$C$790,"Green Stone Trust",Movimientos!$B$1:$B$790,"&lt;="&amp;$B71)</f>
        <v>1968.99</v>
      </c>
      <c r="O71" s="24">
        <f>SUMIFS('Saldos Iniciales'!$D:$D,'Saldos Iniciales'!$A:$A,"EC Auto")+SUMIFS(Movimientos!$K$1:$K$790,Movimientos!$C$1:$C$790,"EC Auto",Movimientos!$B$1:$B$790,"&lt;="&amp;$B71)</f>
        <v>382.69000000000005</v>
      </c>
      <c r="P71" s="24">
        <f>SUMIFS('Saldos Iniciales'!$D:$D,'Saldos Iniciales'!$A:$A,"Arbor Capital Properties")+SUMIFS(Movimientos!$K$1:$K$790,Movimientos!$C$1:$C$790,"Arbor Capital Properties",Movimientos!$B$1:$B$790,"&lt;="&amp;$B71)</f>
        <v>1412.08</v>
      </c>
      <c r="Q71" s="24">
        <f>SUMIFS('Saldos Iniciales'!$D:$D,'Saldos Iniciales'!$A:$A,"2515 Overbrook")+SUMIFS(Movimientos!$K$1:$K$790,Movimientos!$C$1:$C$790,"2515 Overbrook",Movimientos!$B$1:$B$790,"&lt;="&amp;$B71)</f>
        <v>22496.639999999959</v>
      </c>
      <c r="R71" s="24">
        <f>SUMIFS('Saldos Iniciales'!$D:$D,'Saldos Iniciales'!$A:$A,"112 Florida Ave")+SUMIFS(Movimientos!$K$1:$K$790,Movimientos!$C$1:$C$790,"112 Florida Ave",Movimientos!$B$1:$B$790,"&lt;="&amp;$B71)</f>
        <v>6522.8000000000029</v>
      </c>
      <c r="S71" s="24">
        <f>SUMIFS('Saldos Iniciales'!$D:$D,'Saldos Iniciales'!$A:$A,"3628 Thomas Ave")+SUMIFS(Movimientos!$K$1:$K$790,Movimientos!$C$1:$C$790,"3628 Thomas Ave",Movimientos!$B$1:$B$790,"&lt;="&amp;$B71)</f>
        <v>24085.559999999998</v>
      </c>
      <c r="T71" s="24">
        <f>SUMIFS('Saldos Iniciales'!$D:$D,'Saldos Iniciales'!$A:$A,"Green Harbor Trust")+SUMIFS(Movimientos!$K$1:$K$790,Movimientos!$C$1:$C$790,"Green Harbor Trust",Movimientos!$B$1:$B$790,"&lt;="&amp;$B71)</f>
        <v>345</v>
      </c>
      <c r="U71" s="24">
        <f>SUMIFS('Saldos Iniciales'!$D:$D,'Saldos Iniciales'!$A:$A,"Go Blue")+SUMIFS(Movimientos!$K$1:$K$790,Movimientos!$C$1:$C$790,"Go Blue",Movimientos!$B$1:$B$790,"&lt;="&amp;$B71)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Group")+SUMIFS(Movimientos!$K$1:$K$790,Movimientos!$C$1:$C$790,"CFT Group",Movimientos!$B$1:$B$790,"&lt;="&amp;$B72)</f>
        <v>4163755.7500000005</v>
      </c>
      <c r="D72" s="24">
        <f>SUMIFS('Saldos Iniciales'!$D:$D,'Saldos Iniciales'!$A:$A,"M1B")+SUMIFS(Movimientos!$K$1:$K$790,Movimientos!$C$1:$C$790,"M1B",Movimientos!$B$1:$B$790,"&lt;="&amp;$B72)</f>
        <v>73157.680000000168</v>
      </c>
      <c r="E72" s="24">
        <f>SUMIFS('Saldos Iniciales'!$D:$D,'Saldos Iniciales'!$A:$A,"Durand")+SUMIFS(Movimientos!$K$1:$K$790,Movimientos!$C$1:$C$790,"Durand",Movimientos!$B$1:$B$790,"&lt;="&amp;$B72)</f>
        <v>1669.89</v>
      </c>
      <c r="F72" s="24">
        <f>SUMIFS('Saldos Iniciales'!$D:$D,'Saldos Iniciales'!$A:$A,"A&amp;M Imports")+SUMIFS(Movimientos!$K$1:$K$790,Movimientos!$C$1:$C$790,"A&amp;M Imports",Movimientos!$B$1:$B$790,"&lt;="&amp;$B72)</f>
        <v>290141.62999999989</v>
      </c>
      <c r="G72" s="24">
        <f>SUMIFS('Saldos Iniciales'!$D:$D,'Saldos Iniciales'!$A:$A,"SSP Capital")+SUMIFS(Movimientos!$K$1:$K$790,Movimientos!$C$1:$C$790,"SSP Capital",Movimientos!$B$1:$B$790,"&lt;="&amp;$B72)</f>
        <v>1921752.2699999993</v>
      </c>
      <c r="H72" s="24">
        <f>SUMIFS('Saldos Iniciales'!$D:$D,'Saldos Iniciales'!$A:$A,"Cross Family Trust")+SUMIFS(Movimientos!$K$1:$K$790,Movimientos!$C$1:$C$790,"Cross Family Trust",Movimientos!$B$1:$B$790,"&lt;="&amp;$B72)</f>
        <v>200496.38</v>
      </c>
      <c r="I72" s="24">
        <f>SUMIFS('Saldos Iniciales'!$D:$D,'Saldos Iniciales'!$A:$A,"Cross Security Trust")+SUMIFS(Movimientos!$K$1:$K$790,Movimientos!$C$1:$C$790,"Cross Security Trust",Movimientos!$B$1:$B$790,"&lt;="&amp;$B72)</f>
        <v>88090.37</v>
      </c>
      <c r="J72" s="24">
        <f>SUMIFS('Saldos Iniciales'!$D:$D,'Saldos Iniciales'!$A:$A,"Electrama")+SUMIFS(Movimientos!$K$1:$K$790,Movimientos!$C$1:$C$790,"Electrama",Movimientos!$B$1:$B$790,"&lt;="&amp;$B72)</f>
        <v>14580.45</v>
      </c>
      <c r="K72" s="24">
        <f>SUMIFS('Saldos Iniciales'!$D:$D,'Saldos Iniciales'!$A:$A,"Sacred Valley Capital")+SUMIFS(Movimientos!$K$1:$K$790,Movimientos!$C$1:$C$790,"Sacred Valley Capital",Movimientos!$B$1:$B$790,"&lt;="&amp;$B72)</f>
        <v>54.400000000000006</v>
      </c>
      <c r="L72" s="24">
        <f>SUMIFS('Saldos Iniciales'!$D:$D,'Saldos Iniciales'!$A:$A,"YWC Capital")+SUMIFS(Movimientos!$K$1:$K$790,Movimientos!$C$1:$C$790,"YWC Capital",Movimientos!$B$1:$B$790,"&lt;="&amp;$B72)</f>
        <v>2207.8200000000002</v>
      </c>
      <c r="M72" s="24">
        <f>SUMIFS('Saldos Iniciales'!$D:$D,'Saldos Iniciales'!$A:$A,"Soweto")+SUMIFS(Movimientos!$K$1:$K$790,Movimientos!$C$1:$C$790,"Soweto",Movimientos!$B$1:$B$790,"&lt;="&amp;$B72)</f>
        <v>1454589.72</v>
      </c>
      <c r="N72" s="24">
        <f>SUMIFS('Saldos Iniciales'!$D:$D,'Saldos Iniciales'!$A:$A,"Green Stone Trust")+SUMIFS(Movimientos!$K$1:$K$790,Movimientos!$C$1:$C$790,"Green Stone Trust",Movimientos!$B$1:$B$790,"&lt;="&amp;$B72)</f>
        <v>1968.99</v>
      </c>
      <c r="O72" s="24">
        <f>SUMIFS('Saldos Iniciales'!$D:$D,'Saldos Iniciales'!$A:$A,"EC Auto")+SUMIFS(Movimientos!$K$1:$K$790,Movimientos!$C$1:$C$790,"EC Auto",Movimientos!$B$1:$B$790,"&lt;="&amp;$B72)</f>
        <v>382.69000000000005</v>
      </c>
      <c r="P72" s="24">
        <f>SUMIFS('Saldos Iniciales'!$D:$D,'Saldos Iniciales'!$A:$A,"Arbor Capital Properties")+SUMIFS(Movimientos!$K$1:$K$790,Movimientos!$C$1:$C$790,"Arbor Capital Properties",Movimientos!$B$1:$B$790,"&lt;="&amp;$B72)</f>
        <v>1412.08</v>
      </c>
      <c r="Q72" s="24">
        <f>SUMIFS('Saldos Iniciales'!$D:$D,'Saldos Iniciales'!$A:$A,"2515 Overbrook")+SUMIFS(Movimientos!$K$1:$K$790,Movimientos!$C$1:$C$790,"2515 Overbrook",Movimientos!$B$1:$B$790,"&lt;="&amp;$B72)</f>
        <v>22496.639999999959</v>
      </c>
      <c r="R72" s="24">
        <f>SUMIFS('Saldos Iniciales'!$D:$D,'Saldos Iniciales'!$A:$A,"112 Florida Ave")+SUMIFS(Movimientos!$K$1:$K$790,Movimientos!$C$1:$C$790,"112 Florida Ave",Movimientos!$B$1:$B$790,"&lt;="&amp;$B72)</f>
        <v>6522.8000000000029</v>
      </c>
      <c r="S72" s="24">
        <f>SUMIFS('Saldos Iniciales'!$D:$D,'Saldos Iniciales'!$A:$A,"3628 Thomas Ave")+SUMIFS(Movimientos!$K$1:$K$790,Movimientos!$C$1:$C$790,"3628 Thomas Ave",Movimientos!$B$1:$B$790,"&lt;="&amp;$B72)</f>
        <v>24085.559999999998</v>
      </c>
      <c r="T72" s="24">
        <f>SUMIFS('Saldos Iniciales'!$D:$D,'Saldos Iniciales'!$A:$A,"Green Harbor Trust")+SUMIFS(Movimientos!$K$1:$K$790,Movimientos!$C$1:$C$790,"Green Harbor Trust",Movimientos!$B$1:$B$790,"&lt;="&amp;$B72)</f>
        <v>345</v>
      </c>
      <c r="U72" s="24">
        <f>SUMIFS('Saldos Iniciales'!$D:$D,'Saldos Iniciales'!$A:$A,"Go Blue")+SUMIFS(Movimientos!$K$1:$K$790,Movimientos!$C$1:$C$790,"Go Blue",Movimientos!$B$1:$B$790,"&lt;="&amp;$B72)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Group")+SUMIFS(Movimientos!$K$1:$K$790,Movimientos!$C$1:$C$790,"CFT Group",Movimientos!$B$1:$B$790,"&lt;="&amp;$B73)</f>
        <v>4163755.7500000005</v>
      </c>
      <c r="D73" s="24">
        <f>SUMIFS('Saldos Iniciales'!$D:$D,'Saldos Iniciales'!$A:$A,"M1B")+SUMIFS(Movimientos!$K$1:$K$790,Movimientos!$C$1:$C$790,"M1B",Movimientos!$B$1:$B$790,"&lt;="&amp;$B73)</f>
        <v>73157.680000000168</v>
      </c>
      <c r="E73" s="24">
        <f>SUMIFS('Saldos Iniciales'!$D:$D,'Saldos Iniciales'!$A:$A,"Durand")+SUMIFS(Movimientos!$K$1:$K$790,Movimientos!$C$1:$C$790,"Durand",Movimientos!$B$1:$B$790,"&lt;="&amp;$B73)</f>
        <v>1669.89</v>
      </c>
      <c r="F73" s="24">
        <f>SUMIFS('Saldos Iniciales'!$D:$D,'Saldos Iniciales'!$A:$A,"A&amp;M Imports")+SUMIFS(Movimientos!$K$1:$K$790,Movimientos!$C$1:$C$790,"A&amp;M Imports",Movimientos!$B$1:$B$790,"&lt;="&amp;$B73)</f>
        <v>290141.62999999989</v>
      </c>
      <c r="G73" s="24">
        <f>SUMIFS('Saldos Iniciales'!$D:$D,'Saldos Iniciales'!$A:$A,"SSP Capital")+SUMIFS(Movimientos!$K$1:$K$790,Movimientos!$C$1:$C$790,"SSP Capital",Movimientos!$B$1:$B$790,"&lt;="&amp;$B73)</f>
        <v>1921752.2699999993</v>
      </c>
      <c r="H73" s="24">
        <f>SUMIFS('Saldos Iniciales'!$D:$D,'Saldos Iniciales'!$A:$A,"Cross Family Trust")+SUMIFS(Movimientos!$K$1:$K$790,Movimientos!$C$1:$C$790,"Cross Family Trust",Movimientos!$B$1:$B$790,"&lt;="&amp;$B73)</f>
        <v>200496.38</v>
      </c>
      <c r="I73" s="24">
        <f>SUMIFS('Saldos Iniciales'!$D:$D,'Saldos Iniciales'!$A:$A,"Cross Security Trust")+SUMIFS(Movimientos!$K$1:$K$790,Movimientos!$C$1:$C$790,"Cross Security Trust",Movimientos!$B$1:$B$790,"&lt;="&amp;$B73)</f>
        <v>88090.37</v>
      </c>
      <c r="J73" s="24">
        <f>SUMIFS('Saldos Iniciales'!$D:$D,'Saldos Iniciales'!$A:$A,"Electrama")+SUMIFS(Movimientos!$K$1:$K$790,Movimientos!$C$1:$C$790,"Electrama",Movimientos!$B$1:$B$790,"&lt;="&amp;$B73)</f>
        <v>14580.45</v>
      </c>
      <c r="K73" s="24">
        <f>SUMIFS('Saldos Iniciales'!$D:$D,'Saldos Iniciales'!$A:$A,"Sacred Valley Capital")+SUMIFS(Movimientos!$K$1:$K$790,Movimientos!$C$1:$C$790,"Sacred Valley Capital",Movimientos!$B$1:$B$790,"&lt;="&amp;$B73)</f>
        <v>54.400000000000006</v>
      </c>
      <c r="L73" s="24">
        <f>SUMIFS('Saldos Iniciales'!$D:$D,'Saldos Iniciales'!$A:$A,"YWC Capital")+SUMIFS(Movimientos!$K$1:$K$790,Movimientos!$C$1:$C$790,"YWC Capital",Movimientos!$B$1:$B$790,"&lt;="&amp;$B73)</f>
        <v>2207.8200000000002</v>
      </c>
      <c r="M73" s="24">
        <f>SUMIFS('Saldos Iniciales'!$D:$D,'Saldos Iniciales'!$A:$A,"Soweto")+SUMIFS(Movimientos!$K$1:$K$790,Movimientos!$C$1:$C$790,"Soweto",Movimientos!$B$1:$B$790,"&lt;="&amp;$B73)</f>
        <v>1454589.72</v>
      </c>
      <c r="N73" s="24">
        <f>SUMIFS('Saldos Iniciales'!$D:$D,'Saldos Iniciales'!$A:$A,"Green Stone Trust")+SUMIFS(Movimientos!$K$1:$K$790,Movimientos!$C$1:$C$790,"Green Stone Trust",Movimientos!$B$1:$B$790,"&lt;="&amp;$B73)</f>
        <v>1968.99</v>
      </c>
      <c r="O73" s="24">
        <f>SUMIFS('Saldos Iniciales'!$D:$D,'Saldos Iniciales'!$A:$A,"EC Auto")+SUMIFS(Movimientos!$K$1:$K$790,Movimientos!$C$1:$C$790,"EC Auto",Movimientos!$B$1:$B$790,"&lt;="&amp;$B73)</f>
        <v>382.69000000000005</v>
      </c>
      <c r="P73" s="24">
        <f>SUMIFS('Saldos Iniciales'!$D:$D,'Saldos Iniciales'!$A:$A,"Arbor Capital Properties")+SUMIFS(Movimientos!$K$1:$K$790,Movimientos!$C$1:$C$790,"Arbor Capital Properties",Movimientos!$B$1:$B$790,"&lt;="&amp;$B73)</f>
        <v>1412.08</v>
      </c>
      <c r="Q73" s="24">
        <f>SUMIFS('Saldos Iniciales'!$D:$D,'Saldos Iniciales'!$A:$A,"2515 Overbrook")+SUMIFS(Movimientos!$K$1:$K$790,Movimientos!$C$1:$C$790,"2515 Overbrook",Movimientos!$B$1:$B$790,"&lt;="&amp;$B73)</f>
        <v>22496.639999999959</v>
      </c>
      <c r="R73" s="24">
        <f>SUMIFS('Saldos Iniciales'!$D:$D,'Saldos Iniciales'!$A:$A,"112 Florida Ave")+SUMIFS(Movimientos!$K$1:$K$790,Movimientos!$C$1:$C$790,"112 Florida Ave",Movimientos!$B$1:$B$790,"&lt;="&amp;$B73)</f>
        <v>6522.8000000000029</v>
      </c>
      <c r="S73" s="24">
        <f>SUMIFS('Saldos Iniciales'!$D:$D,'Saldos Iniciales'!$A:$A,"3628 Thomas Ave")+SUMIFS(Movimientos!$K$1:$K$790,Movimientos!$C$1:$C$790,"3628 Thomas Ave",Movimientos!$B$1:$B$790,"&lt;="&amp;$B73)</f>
        <v>24085.559999999998</v>
      </c>
      <c r="T73" s="24">
        <f>SUMIFS('Saldos Iniciales'!$D:$D,'Saldos Iniciales'!$A:$A,"Green Harbor Trust")+SUMIFS(Movimientos!$K$1:$K$790,Movimientos!$C$1:$C$790,"Green Harbor Trust",Movimientos!$B$1:$B$790,"&lt;="&amp;$B73)</f>
        <v>345</v>
      </c>
      <c r="U73" s="24">
        <f>SUMIFS('Saldos Iniciales'!$D:$D,'Saldos Iniciales'!$A:$A,"Go Blue")+SUMIFS(Movimientos!$K$1:$K$790,Movimientos!$C$1:$C$790,"Go Blue",Movimientos!$B$1:$B$790,"&lt;="&amp;$B73)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Group")+SUMIFS(Movimientos!$K$1:$K$790,Movimientos!$C$1:$C$790,"CFT Group",Movimientos!$B$1:$B$790,"&lt;="&amp;$B74)</f>
        <v>4163755.7500000005</v>
      </c>
      <c r="D74" s="24">
        <f>SUMIFS('Saldos Iniciales'!$D:$D,'Saldos Iniciales'!$A:$A,"M1B")+SUMIFS(Movimientos!$K$1:$K$790,Movimientos!$C$1:$C$790,"M1B",Movimientos!$B$1:$B$790,"&lt;="&amp;$B74)</f>
        <v>73157.680000000168</v>
      </c>
      <c r="E74" s="24">
        <f>SUMIFS('Saldos Iniciales'!$D:$D,'Saldos Iniciales'!$A:$A,"Durand")+SUMIFS(Movimientos!$K$1:$K$790,Movimientos!$C$1:$C$790,"Durand",Movimientos!$B$1:$B$790,"&lt;="&amp;$B74)</f>
        <v>1669.89</v>
      </c>
      <c r="F74" s="24">
        <f>SUMIFS('Saldos Iniciales'!$D:$D,'Saldos Iniciales'!$A:$A,"A&amp;M Imports")+SUMIFS(Movimientos!$K$1:$K$790,Movimientos!$C$1:$C$790,"A&amp;M Imports",Movimientos!$B$1:$B$790,"&lt;="&amp;$B74)</f>
        <v>290141.62999999989</v>
      </c>
      <c r="G74" s="24">
        <f>SUMIFS('Saldos Iniciales'!$D:$D,'Saldos Iniciales'!$A:$A,"SSP Capital")+SUMIFS(Movimientos!$K$1:$K$790,Movimientos!$C$1:$C$790,"SSP Capital",Movimientos!$B$1:$B$790,"&lt;="&amp;$B74)</f>
        <v>1921752.2699999993</v>
      </c>
      <c r="H74" s="24">
        <f>SUMIFS('Saldos Iniciales'!$D:$D,'Saldos Iniciales'!$A:$A,"Cross Family Trust")+SUMIFS(Movimientos!$K$1:$K$790,Movimientos!$C$1:$C$790,"Cross Family Trust",Movimientos!$B$1:$B$790,"&lt;="&amp;$B74)</f>
        <v>200496.38</v>
      </c>
      <c r="I74" s="24">
        <f>SUMIFS('Saldos Iniciales'!$D:$D,'Saldos Iniciales'!$A:$A,"Cross Security Trust")+SUMIFS(Movimientos!$K$1:$K$790,Movimientos!$C$1:$C$790,"Cross Security Trust",Movimientos!$B$1:$B$790,"&lt;="&amp;$B74)</f>
        <v>88090.37</v>
      </c>
      <c r="J74" s="24">
        <f>SUMIFS('Saldos Iniciales'!$D:$D,'Saldos Iniciales'!$A:$A,"Electrama")+SUMIFS(Movimientos!$K$1:$K$790,Movimientos!$C$1:$C$790,"Electrama",Movimientos!$B$1:$B$790,"&lt;="&amp;$B74)</f>
        <v>14580.45</v>
      </c>
      <c r="K74" s="24">
        <f>SUMIFS('Saldos Iniciales'!$D:$D,'Saldos Iniciales'!$A:$A,"Sacred Valley Capital")+SUMIFS(Movimientos!$K$1:$K$790,Movimientos!$C$1:$C$790,"Sacred Valley Capital",Movimientos!$B$1:$B$790,"&lt;="&amp;$B74)</f>
        <v>54.400000000000006</v>
      </c>
      <c r="L74" s="24">
        <f>SUMIFS('Saldos Iniciales'!$D:$D,'Saldos Iniciales'!$A:$A,"YWC Capital")+SUMIFS(Movimientos!$K$1:$K$790,Movimientos!$C$1:$C$790,"YWC Capital",Movimientos!$B$1:$B$790,"&lt;="&amp;$B74)</f>
        <v>2207.8200000000002</v>
      </c>
      <c r="M74" s="24">
        <f>SUMIFS('Saldos Iniciales'!$D:$D,'Saldos Iniciales'!$A:$A,"Soweto")+SUMIFS(Movimientos!$K$1:$K$790,Movimientos!$C$1:$C$790,"Soweto",Movimientos!$B$1:$B$790,"&lt;="&amp;$B74)</f>
        <v>1454589.72</v>
      </c>
      <c r="N74" s="24">
        <f>SUMIFS('Saldos Iniciales'!$D:$D,'Saldos Iniciales'!$A:$A,"Green Stone Trust")+SUMIFS(Movimientos!$K$1:$K$790,Movimientos!$C$1:$C$790,"Green Stone Trust",Movimientos!$B$1:$B$790,"&lt;="&amp;$B74)</f>
        <v>1968.99</v>
      </c>
      <c r="O74" s="24">
        <f>SUMIFS('Saldos Iniciales'!$D:$D,'Saldos Iniciales'!$A:$A,"EC Auto")+SUMIFS(Movimientos!$K$1:$K$790,Movimientos!$C$1:$C$790,"EC Auto",Movimientos!$B$1:$B$790,"&lt;="&amp;$B74)</f>
        <v>382.69000000000005</v>
      </c>
      <c r="P74" s="24">
        <f>SUMIFS('Saldos Iniciales'!$D:$D,'Saldos Iniciales'!$A:$A,"Arbor Capital Properties")+SUMIFS(Movimientos!$K$1:$K$790,Movimientos!$C$1:$C$790,"Arbor Capital Properties",Movimientos!$B$1:$B$790,"&lt;="&amp;$B74)</f>
        <v>1412.08</v>
      </c>
      <c r="Q74" s="24">
        <f>SUMIFS('Saldos Iniciales'!$D:$D,'Saldos Iniciales'!$A:$A,"2515 Overbrook")+SUMIFS(Movimientos!$K$1:$K$790,Movimientos!$C$1:$C$790,"2515 Overbrook",Movimientos!$B$1:$B$790,"&lt;="&amp;$B74)</f>
        <v>22496.639999999959</v>
      </c>
      <c r="R74" s="24">
        <f>SUMIFS('Saldos Iniciales'!$D:$D,'Saldos Iniciales'!$A:$A,"112 Florida Ave")+SUMIFS(Movimientos!$K$1:$K$790,Movimientos!$C$1:$C$790,"112 Florida Ave",Movimientos!$B$1:$B$790,"&lt;="&amp;$B74)</f>
        <v>6522.8000000000029</v>
      </c>
      <c r="S74" s="24">
        <f>SUMIFS('Saldos Iniciales'!$D:$D,'Saldos Iniciales'!$A:$A,"3628 Thomas Ave")+SUMIFS(Movimientos!$K$1:$K$790,Movimientos!$C$1:$C$790,"3628 Thomas Ave",Movimientos!$B$1:$B$790,"&lt;="&amp;$B74)</f>
        <v>24085.559999999998</v>
      </c>
      <c r="T74" s="24">
        <f>SUMIFS('Saldos Iniciales'!$D:$D,'Saldos Iniciales'!$A:$A,"Green Harbor Trust")+SUMIFS(Movimientos!$K$1:$K$790,Movimientos!$C$1:$C$790,"Green Harbor Trust",Movimientos!$B$1:$B$790,"&lt;="&amp;$B74)</f>
        <v>345</v>
      </c>
      <c r="U74" s="24">
        <f>SUMIFS('Saldos Iniciales'!$D:$D,'Saldos Iniciales'!$A:$A,"Go Blue")+SUMIFS(Movimientos!$K$1:$K$790,Movimientos!$C$1:$C$790,"Go Blue",Movimientos!$B$1:$B$790,"&lt;="&amp;$B74)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Group")+SUMIFS(Movimientos!$K$1:$K$790,Movimientos!$C$1:$C$790,"CFT Group",Movimientos!$B$1:$B$790,"&lt;="&amp;$B75)</f>
        <v>4163755.7500000005</v>
      </c>
      <c r="D75" s="24">
        <f>SUMIFS('Saldos Iniciales'!$D:$D,'Saldos Iniciales'!$A:$A,"M1B")+SUMIFS(Movimientos!$K$1:$K$790,Movimientos!$C$1:$C$790,"M1B",Movimientos!$B$1:$B$790,"&lt;="&amp;$B75)</f>
        <v>73157.680000000168</v>
      </c>
      <c r="E75" s="24">
        <f>SUMIFS('Saldos Iniciales'!$D:$D,'Saldos Iniciales'!$A:$A,"Durand")+SUMIFS(Movimientos!$K$1:$K$790,Movimientos!$C$1:$C$790,"Durand",Movimientos!$B$1:$B$790,"&lt;="&amp;$B75)</f>
        <v>1669.89</v>
      </c>
      <c r="F75" s="24">
        <f>SUMIFS('Saldos Iniciales'!$D:$D,'Saldos Iniciales'!$A:$A,"A&amp;M Imports")+SUMIFS(Movimientos!$K$1:$K$790,Movimientos!$C$1:$C$790,"A&amp;M Imports",Movimientos!$B$1:$B$790,"&lt;="&amp;$B75)</f>
        <v>290141.62999999989</v>
      </c>
      <c r="G75" s="24">
        <f>SUMIFS('Saldos Iniciales'!$D:$D,'Saldos Iniciales'!$A:$A,"SSP Capital")+SUMIFS(Movimientos!$K$1:$K$790,Movimientos!$C$1:$C$790,"SSP Capital",Movimientos!$B$1:$B$790,"&lt;="&amp;$B75)</f>
        <v>1921752.2699999993</v>
      </c>
      <c r="H75" s="24">
        <f>SUMIFS('Saldos Iniciales'!$D:$D,'Saldos Iniciales'!$A:$A,"Cross Family Trust")+SUMIFS(Movimientos!$K$1:$K$790,Movimientos!$C$1:$C$790,"Cross Family Trust",Movimientos!$B$1:$B$790,"&lt;="&amp;$B75)</f>
        <v>200496.38</v>
      </c>
      <c r="I75" s="24">
        <f>SUMIFS('Saldos Iniciales'!$D:$D,'Saldos Iniciales'!$A:$A,"Cross Security Trust")+SUMIFS(Movimientos!$K$1:$K$790,Movimientos!$C$1:$C$790,"Cross Security Trust",Movimientos!$B$1:$B$790,"&lt;="&amp;$B75)</f>
        <v>88090.37</v>
      </c>
      <c r="J75" s="24">
        <f>SUMIFS('Saldos Iniciales'!$D:$D,'Saldos Iniciales'!$A:$A,"Electrama")+SUMIFS(Movimientos!$K$1:$K$790,Movimientos!$C$1:$C$790,"Electrama",Movimientos!$B$1:$B$790,"&lt;="&amp;$B75)</f>
        <v>14580.45</v>
      </c>
      <c r="K75" s="24">
        <f>SUMIFS('Saldos Iniciales'!$D:$D,'Saldos Iniciales'!$A:$A,"Sacred Valley Capital")+SUMIFS(Movimientos!$K$1:$K$790,Movimientos!$C$1:$C$790,"Sacred Valley Capital",Movimientos!$B$1:$B$790,"&lt;="&amp;$B75)</f>
        <v>54.400000000000006</v>
      </c>
      <c r="L75" s="24">
        <f>SUMIFS('Saldos Iniciales'!$D:$D,'Saldos Iniciales'!$A:$A,"YWC Capital")+SUMIFS(Movimientos!$K$1:$K$790,Movimientos!$C$1:$C$790,"YWC Capital",Movimientos!$B$1:$B$790,"&lt;="&amp;$B75)</f>
        <v>2207.8200000000002</v>
      </c>
      <c r="M75" s="24">
        <f>SUMIFS('Saldos Iniciales'!$D:$D,'Saldos Iniciales'!$A:$A,"Soweto")+SUMIFS(Movimientos!$K$1:$K$790,Movimientos!$C$1:$C$790,"Soweto",Movimientos!$B$1:$B$790,"&lt;="&amp;$B75)</f>
        <v>1454589.72</v>
      </c>
      <c r="N75" s="24">
        <f>SUMIFS('Saldos Iniciales'!$D:$D,'Saldos Iniciales'!$A:$A,"Green Stone Trust")+SUMIFS(Movimientos!$K$1:$K$790,Movimientos!$C$1:$C$790,"Green Stone Trust",Movimientos!$B$1:$B$790,"&lt;="&amp;$B75)</f>
        <v>1968.99</v>
      </c>
      <c r="O75" s="24">
        <f>SUMIFS('Saldos Iniciales'!$D:$D,'Saldos Iniciales'!$A:$A,"EC Auto")+SUMIFS(Movimientos!$K$1:$K$790,Movimientos!$C$1:$C$790,"EC Auto",Movimientos!$B$1:$B$790,"&lt;="&amp;$B75)</f>
        <v>901.34</v>
      </c>
      <c r="P75" s="24">
        <f>SUMIFS('Saldos Iniciales'!$D:$D,'Saldos Iniciales'!$A:$A,"Arbor Capital Properties")+SUMIFS(Movimientos!$K$1:$K$790,Movimientos!$C$1:$C$790,"Arbor Capital Properties",Movimientos!$B$1:$B$790,"&lt;="&amp;$B75)</f>
        <v>1412.08</v>
      </c>
      <c r="Q75" s="24">
        <f>SUMIFS('Saldos Iniciales'!$D:$D,'Saldos Iniciales'!$A:$A,"2515 Overbrook")+SUMIFS(Movimientos!$K$1:$K$790,Movimientos!$C$1:$C$790,"2515 Overbrook",Movimientos!$B$1:$B$790,"&lt;="&amp;$B75)</f>
        <v>22496.639999999959</v>
      </c>
      <c r="R75" s="24">
        <f>SUMIFS('Saldos Iniciales'!$D:$D,'Saldos Iniciales'!$A:$A,"112 Florida Ave")+SUMIFS(Movimientos!$K$1:$K$790,Movimientos!$C$1:$C$790,"112 Florida Ave",Movimientos!$B$1:$B$790,"&lt;="&amp;$B75)</f>
        <v>6522.8000000000029</v>
      </c>
      <c r="S75" s="24">
        <f>SUMIFS('Saldos Iniciales'!$D:$D,'Saldos Iniciales'!$A:$A,"3628 Thomas Ave")+SUMIFS(Movimientos!$K$1:$K$790,Movimientos!$C$1:$C$790,"3628 Thomas Ave",Movimientos!$B$1:$B$790,"&lt;="&amp;$B75)</f>
        <v>24085.559999999998</v>
      </c>
      <c r="T75" s="24">
        <f>SUMIFS('Saldos Iniciales'!$D:$D,'Saldos Iniciales'!$A:$A,"Green Harbor Trust")+SUMIFS(Movimientos!$K$1:$K$790,Movimientos!$C$1:$C$790,"Green Harbor Trust",Movimientos!$B$1:$B$790,"&lt;="&amp;$B75)</f>
        <v>345</v>
      </c>
      <c r="U75" s="24">
        <f>SUMIFS('Saldos Iniciales'!$D:$D,'Saldos Iniciales'!$A:$A,"Go Blue")+SUMIFS(Movimientos!$K$1:$K$790,Movimientos!$C$1:$C$790,"Go Blue",Movimientos!$B$1:$B$790,"&lt;="&amp;$B75)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Group")+SUMIFS(Movimientos!$K$1:$K$790,Movimientos!$C$1:$C$790,"CFT Group",Movimientos!$B$1:$B$790,"&lt;="&amp;$B76)</f>
        <v>3363755.7500000005</v>
      </c>
      <c r="D76" s="24">
        <f>SUMIFS('Saldos Iniciales'!$D:$D,'Saldos Iniciales'!$A:$A,"M1B")+SUMIFS(Movimientos!$K$1:$K$790,Movimientos!$C$1:$C$790,"M1B",Movimientos!$B$1:$B$790,"&lt;="&amp;$B76)</f>
        <v>73157.680000000168</v>
      </c>
      <c r="E76" s="24">
        <f>SUMIFS('Saldos Iniciales'!$D:$D,'Saldos Iniciales'!$A:$A,"Durand")+SUMIFS(Movimientos!$K$1:$K$790,Movimientos!$C$1:$C$790,"Durand",Movimientos!$B$1:$B$790,"&lt;="&amp;$B76)</f>
        <v>1669.89</v>
      </c>
      <c r="F76" s="24">
        <f>SUMIFS('Saldos Iniciales'!$D:$D,'Saldos Iniciales'!$A:$A,"A&amp;M Imports")+SUMIFS(Movimientos!$K$1:$K$790,Movimientos!$C$1:$C$790,"A&amp;M Imports",Movimientos!$B$1:$B$790,"&lt;="&amp;$B76)</f>
        <v>1090141.6299999999</v>
      </c>
      <c r="G76" s="24">
        <f>SUMIFS('Saldos Iniciales'!$D:$D,'Saldos Iniciales'!$A:$A,"SSP Capital")+SUMIFS(Movimientos!$K$1:$K$790,Movimientos!$C$1:$C$790,"SSP Capital",Movimientos!$B$1:$B$790,"&lt;="&amp;$B76)</f>
        <v>1856542.8899999992</v>
      </c>
      <c r="H76" s="24">
        <f>SUMIFS('Saldos Iniciales'!$D:$D,'Saldos Iniciales'!$A:$A,"Cross Family Trust")+SUMIFS(Movimientos!$K$1:$K$790,Movimientos!$C$1:$C$790,"Cross Family Trust",Movimientos!$B$1:$B$790,"&lt;="&amp;$B76)</f>
        <v>200496.38</v>
      </c>
      <c r="I76" s="24">
        <f>SUMIFS('Saldos Iniciales'!$D:$D,'Saldos Iniciales'!$A:$A,"Cross Security Trust")+SUMIFS(Movimientos!$K$1:$K$790,Movimientos!$C$1:$C$790,"Cross Security Trust",Movimientos!$B$1:$B$790,"&lt;="&amp;$B76)</f>
        <v>88090.37</v>
      </c>
      <c r="J76" s="24">
        <f>SUMIFS('Saldos Iniciales'!$D:$D,'Saldos Iniciales'!$A:$A,"Electrama")+SUMIFS(Movimientos!$K$1:$K$790,Movimientos!$C$1:$C$790,"Electrama",Movimientos!$B$1:$B$790,"&lt;="&amp;$B76)</f>
        <v>14580.45</v>
      </c>
      <c r="K76" s="24">
        <f>SUMIFS('Saldos Iniciales'!$D:$D,'Saldos Iniciales'!$A:$A,"Sacred Valley Capital")+SUMIFS(Movimientos!$K$1:$K$790,Movimientos!$C$1:$C$790,"Sacred Valley Capital",Movimientos!$B$1:$B$790,"&lt;="&amp;$B76)</f>
        <v>54.400000000000006</v>
      </c>
      <c r="L76" s="24">
        <f>SUMIFS('Saldos Iniciales'!$D:$D,'Saldos Iniciales'!$A:$A,"YWC Capital")+SUMIFS(Movimientos!$K$1:$K$790,Movimientos!$C$1:$C$790,"YWC Capital",Movimientos!$B$1:$B$790,"&lt;="&amp;$B76)</f>
        <v>2207.8200000000002</v>
      </c>
      <c r="M76" s="24">
        <f>SUMIFS('Saldos Iniciales'!$D:$D,'Saldos Iniciales'!$A:$A,"Soweto")+SUMIFS(Movimientos!$K$1:$K$790,Movimientos!$C$1:$C$790,"Soweto",Movimientos!$B$1:$B$790,"&lt;="&amp;$B76)</f>
        <v>1454589.72</v>
      </c>
      <c r="N76" s="24">
        <f>SUMIFS('Saldos Iniciales'!$D:$D,'Saldos Iniciales'!$A:$A,"Green Stone Trust")+SUMIFS(Movimientos!$K$1:$K$790,Movimientos!$C$1:$C$790,"Green Stone Trust",Movimientos!$B$1:$B$790,"&lt;="&amp;$B76)</f>
        <v>1968.99</v>
      </c>
      <c r="O76" s="24">
        <f>SUMIFS('Saldos Iniciales'!$D:$D,'Saldos Iniciales'!$A:$A,"EC Auto")+SUMIFS(Movimientos!$K$1:$K$790,Movimientos!$C$1:$C$790,"EC Auto",Movimientos!$B$1:$B$790,"&lt;="&amp;$B76)</f>
        <v>901.34</v>
      </c>
      <c r="P76" s="24">
        <f>SUMIFS('Saldos Iniciales'!$D:$D,'Saldos Iniciales'!$A:$A,"Arbor Capital Properties")+SUMIFS(Movimientos!$K$1:$K$790,Movimientos!$C$1:$C$790,"Arbor Capital Properties",Movimientos!$B$1:$B$790,"&lt;="&amp;$B76)</f>
        <v>1412.08</v>
      </c>
      <c r="Q76" s="24">
        <f>SUMIFS('Saldos Iniciales'!$D:$D,'Saldos Iniciales'!$A:$A,"2515 Overbrook")+SUMIFS(Movimientos!$K$1:$K$790,Movimientos!$C$1:$C$790,"2515 Overbrook",Movimientos!$B$1:$B$790,"&lt;="&amp;$B76)</f>
        <v>22347.56999999996</v>
      </c>
      <c r="R76" s="24">
        <f>SUMIFS('Saldos Iniciales'!$D:$D,'Saldos Iniciales'!$A:$A,"112 Florida Ave")+SUMIFS(Movimientos!$K$1:$K$790,Movimientos!$C$1:$C$790,"112 Florida Ave",Movimientos!$B$1:$B$790,"&lt;="&amp;$B76)</f>
        <v>6522.8000000000029</v>
      </c>
      <c r="S76" s="24">
        <f>SUMIFS('Saldos Iniciales'!$D:$D,'Saldos Iniciales'!$A:$A,"3628 Thomas Ave")+SUMIFS(Movimientos!$K$1:$K$790,Movimientos!$C$1:$C$790,"3628 Thomas Ave",Movimientos!$B$1:$B$790,"&lt;="&amp;$B76)</f>
        <v>24085.559999999998</v>
      </c>
      <c r="T76" s="24">
        <f>SUMIFS('Saldos Iniciales'!$D:$D,'Saldos Iniciales'!$A:$A,"Green Harbor Trust")+SUMIFS(Movimientos!$K$1:$K$790,Movimientos!$C$1:$C$790,"Green Harbor Trust",Movimientos!$B$1:$B$790,"&lt;="&amp;$B76)</f>
        <v>345</v>
      </c>
      <c r="U76" s="24">
        <f>SUMIFS('Saldos Iniciales'!$D:$D,'Saldos Iniciales'!$A:$A,"Go Blue")+SUMIFS(Movimientos!$K$1:$K$790,Movimientos!$C$1:$C$790,"Go Blue",Movimientos!$B$1:$B$790,"&lt;="&amp;$B76)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Group")+SUMIFS(Movimientos!$K$1:$K$790,Movimientos!$C$1:$C$790,"CFT Group",Movimientos!$B$1:$B$790,"&lt;="&amp;$B77)</f>
        <v>3363755.7500000005</v>
      </c>
      <c r="D77" s="24">
        <f>SUMIFS('Saldos Iniciales'!$D:$D,'Saldos Iniciales'!$A:$A,"M1B")+SUMIFS(Movimientos!$K$1:$K$790,Movimientos!$C$1:$C$790,"M1B",Movimientos!$B$1:$B$790,"&lt;="&amp;$B77)</f>
        <v>73157.680000000168</v>
      </c>
      <c r="E77" s="24">
        <f>SUMIFS('Saldos Iniciales'!$D:$D,'Saldos Iniciales'!$A:$A,"Durand")+SUMIFS(Movimientos!$K$1:$K$790,Movimientos!$C$1:$C$790,"Durand",Movimientos!$B$1:$B$790,"&lt;="&amp;$B77)</f>
        <v>1669.89</v>
      </c>
      <c r="F77" s="24">
        <f>SUMIFS('Saldos Iniciales'!$D:$D,'Saldos Iniciales'!$A:$A,"A&amp;M Imports")+SUMIFS(Movimientos!$K$1:$K$790,Movimientos!$C$1:$C$790,"A&amp;M Imports",Movimientos!$B$1:$B$790,"&lt;="&amp;$B77)</f>
        <v>1089804.7499999998</v>
      </c>
      <c r="G77" s="24">
        <f>SUMIFS('Saldos Iniciales'!$D:$D,'Saldos Iniciales'!$A:$A,"SSP Capital")+SUMIFS(Movimientos!$K$1:$K$790,Movimientos!$C$1:$C$790,"SSP Capital",Movimientos!$B$1:$B$790,"&lt;="&amp;$B77)</f>
        <v>1856513.4499999993</v>
      </c>
      <c r="H77" s="24">
        <f>SUMIFS('Saldos Iniciales'!$D:$D,'Saldos Iniciales'!$A:$A,"Cross Family Trust")+SUMIFS(Movimientos!$K$1:$K$790,Movimientos!$C$1:$C$790,"Cross Family Trust",Movimientos!$B$1:$B$790,"&lt;="&amp;$B77)</f>
        <v>200496.38</v>
      </c>
      <c r="I77" s="24">
        <f>SUMIFS('Saldos Iniciales'!$D:$D,'Saldos Iniciales'!$A:$A,"Cross Security Trust")+SUMIFS(Movimientos!$K$1:$K$790,Movimientos!$C$1:$C$790,"Cross Security Trust",Movimientos!$B$1:$B$790,"&lt;="&amp;$B77)</f>
        <v>88090.37</v>
      </c>
      <c r="J77" s="24">
        <f>SUMIFS('Saldos Iniciales'!$D:$D,'Saldos Iniciales'!$A:$A,"Electrama")+SUMIFS(Movimientos!$K$1:$K$790,Movimientos!$C$1:$C$790,"Electrama",Movimientos!$B$1:$B$790,"&lt;="&amp;$B77)</f>
        <v>14580.45</v>
      </c>
      <c r="K77" s="24">
        <f>SUMIFS('Saldos Iniciales'!$D:$D,'Saldos Iniciales'!$A:$A,"Sacred Valley Capital")+SUMIFS(Movimientos!$K$1:$K$790,Movimientos!$C$1:$C$790,"Sacred Valley Capital",Movimientos!$B$1:$B$790,"&lt;="&amp;$B77)</f>
        <v>54.400000000000006</v>
      </c>
      <c r="L77" s="24">
        <f>SUMIFS('Saldos Iniciales'!$D:$D,'Saldos Iniciales'!$A:$A,"YWC Capital")+SUMIFS(Movimientos!$K$1:$K$790,Movimientos!$C$1:$C$790,"YWC Capital",Movimientos!$B$1:$B$790,"&lt;="&amp;$B77)</f>
        <v>2207.8200000000002</v>
      </c>
      <c r="M77" s="24">
        <f>SUMIFS('Saldos Iniciales'!$D:$D,'Saldos Iniciales'!$A:$A,"Soweto")+SUMIFS(Movimientos!$K$1:$K$790,Movimientos!$C$1:$C$790,"Soweto",Movimientos!$B$1:$B$790,"&lt;="&amp;$B77)</f>
        <v>1454589.72</v>
      </c>
      <c r="N77" s="24">
        <f>SUMIFS('Saldos Iniciales'!$D:$D,'Saldos Iniciales'!$A:$A,"Green Stone Trust")+SUMIFS(Movimientos!$K$1:$K$790,Movimientos!$C$1:$C$790,"Green Stone Trust",Movimientos!$B$1:$B$790,"&lt;="&amp;$B77)</f>
        <v>1968.99</v>
      </c>
      <c r="O77" s="24">
        <f>SUMIFS('Saldos Iniciales'!$D:$D,'Saldos Iniciales'!$A:$A,"EC Auto")+SUMIFS(Movimientos!$K$1:$K$790,Movimientos!$C$1:$C$790,"EC Auto",Movimientos!$B$1:$B$790,"&lt;="&amp;$B77)</f>
        <v>901.34</v>
      </c>
      <c r="P77" s="24">
        <f>SUMIFS('Saldos Iniciales'!$D:$D,'Saldos Iniciales'!$A:$A,"Arbor Capital Properties")+SUMIFS(Movimientos!$K$1:$K$790,Movimientos!$C$1:$C$790,"Arbor Capital Properties",Movimientos!$B$1:$B$790,"&lt;="&amp;$B77)</f>
        <v>1412.08</v>
      </c>
      <c r="Q77" s="24">
        <f>SUMIFS('Saldos Iniciales'!$D:$D,'Saldos Iniciales'!$A:$A,"2515 Overbrook")+SUMIFS(Movimientos!$K$1:$K$790,Movimientos!$C$1:$C$790,"2515 Overbrook",Movimientos!$B$1:$B$790,"&lt;="&amp;$B77)</f>
        <v>22347.56999999996</v>
      </c>
      <c r="R77" s="24">
        <f>SUMIFS('Saldos Iniciales'!$D:$D,'Saldos Iniciales'!$A:$A,"112 Florida Ave")+SUMIFS(Movimientos!$K$1:$K$790,Movimientos!$C$1:$C$790,"112 Florida Ave",Movimientos!$B$1:$B$790,"&lt;="&amp;$B77)</f>
        <v>6522.8000000000029</v>
      </c>
      <c r="S77" s="24">
        <f>SUMIFS('Saldos Iniciales'!$D:$D,'Saldos Iniciales'!$A:$A,"3628 Thomas Ave")+SUMIFS(Movimientos!$K$1:$K$790,Movimientos!$C$1:$C$790,"3628 Thomas Ave",Movimientos!$B$1:$B$790,"&lt;="&amp;$B77)</f>
        <v>24085.559999999998</v>
      </c>
      <c r="T77" s="24">
        <f>SUMIFS('Saldos Iniciales'!$D:$D,'Saldos Iniciales'!$A:$A,"Green Harbor Trust")+SUMIFS(Movimientos!$K$1:$K$790,Movimientos!$C$1:$C$790,"Green Harbor Trust",Movimientos!$B$1:$B$790,"&lt;="&amp;$B77)</f>
        <v>345</v>
      </c>
      <c r="U77" s="24">
        <f>SUMIFS('Saldos Iniciales'!$D:$D,'Saldos Iniciales'!$A:$A,"Go Blue")+SUMIFS(Movimientos!$K$1:$K$790,Movimientos!$C$1:$C$790,"Go Blue",Movimientos!$B$1:$B$790,"&lt;="&amp;$B77)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Group")+SUMIFS(Movimientos!$K$1:$K$790,Movimientos!$C$1:$C$790,"CFT Group",Movimientos!$B$1:$B$790,"&lt;="&amp;$B78)</f>
        <v>3110339.0700000008</v>
      </c>
      <c r="D78" s="24">
        <f>SUMIFS('Saldos Iniciales'!$D:$D,'Saldos Iniciales'!$A:$A,"M1B")+SUMIFS(Movimientos!$K$1:$K$790,Movimientos!$C$1:$C$790,"M1B",Movimientos!$B$1:$B$790,"&lt;="&amp;$B78)</f>
        <v>73157.680000000168</v>
      </c>
      <c r="E78" s="24">
        <f>SUMIFS('Saldos Iniciales'!$D:$D,'Saldos Iniciales'!$A:$A,"Durand")+SUMIFS(Movimientos!$K$1:$K$790,Movimientos!$C$1:$C$790,"Durand",Movimientos!$B$1:$B$790,"&lt;="&amp;$B78)</f>
        <v>1669.89</v>
      </c>
      <c r="F78" s="24">
        <f>SUMIFS('Saldos Iniciales'!$D:$D,'Saldos Iniciales'!$A:$A,"A&amp;M Imports")+SUMIFS(Movimientos!$K$1:$K$790,Movimientos!$C$1:$C$790,"A&amp;M Imports",Movimientos!$B$1:$B$790,"&lt;="&amp;$B78)</f>
        <v>1029804.7499999998</v>
      </c>
      <c r="G78" s="24">
        <f>SUMIFS('Saldos Iniciales'!$D:$D,'Saldos Iniciales'!$A:$A,"SSP Capital")+SUMIFS(Movimientos!$K$1:$K$790,Movimientos!$C$1:$C$790,"SSP Capital",Movimientos!$B$1:$B$790,"&lt;="&amp;$B78)</f>
        <v>1678189.7499999995</v>
      </c>
      <c r="H78" s="24">
        <f>SUMIFS('Saldos Iniciales'!$D:$D,'Saldos Iniciales'!$A:$A,"Cross Family Trust")+SUMIFS(Movimientos!$K$1:$K$790,Movimientos!$C$1:$C$790,"Cross Family Trust",Movimientos!$B$1:$B$790,"&lt;="&amp;$B78)</f>
        <v>200496.38</v>
      </c>
      <c r="I78" s="24">
        <f>SUMIFS('Saldos Iniciales'!$D:$D,'Saldos Iniciales'!$A:$A,"Cross Security Trust")+SUMIFS(Movimientos!$K$1:$K$790,Movimientos!$C$1:$C$790,"Cross Security Trust",Movimientos!$B$1:$B$790,"&lt;="&amp;$B78)</f>
        <v>88090.37</v>
      </c>
      <c r="J78" s="24">
        <f>SUMIFS('Saldos Iniciales'!$D:$D,'Saldos Iniciales'!$A:$A,"Electrama")+SUMIFS(Movimientos!$K$1:$K$790,Movimientos!$C$1:$C$790,"Electrama",Movimientos!$B$1:$B$790,"&lt;="&amp;$B78)</f>
        <v>14580.45</v>
      </c>
      <c r="K78" s="24">
        <f>SUMIFS('Saldos Iniciales'!$D:$D,'Saldos Iniciales'!$A:$A,"Sacred Valley Capital")+SUMIFS(Movimientos!$K$1:$K$790,Movimientos!$C$1:$C$790,"Sacred Valley Capital",Movimientos!$B$1:$B$790,"&lt;="&amp;$B78)</f>
        <v>54.400000000000006</v>
      </c>
      <c r="L78" s="24">
        <f>SUMIFS('Saldos Iniciales'!$D:$D,'Saldos Iniciales'!$A:$A,"YWC Capital")+SUMIFS(Movimientos!$K$1:$K$790,Movimientos!$C$1:$C$790,"YWC Capital",Movimientos!$B$1:$B$790,"&lt;="&amp;$B78)</f>
        <v>2207.8200000000002</v>
      </c>
      <c r="M78" s="24">
        <f>SUMIFS('Saldos Iniciales'!$D:$D,'Saldos Iniciales'!$A:$A,"Soweto")+SUMIFS(Movimientos!$K$1:$K$790,Movimientos!$C$1:$C$790,"Soweto",Movimientos!$B$1:$B$790,"&lt;="&amp;$B78)</f>
        <v>1454589.72</v>
      </c>
      <c r="N78" s="24">
        <f>SUMIFS('Saldos Iniciales'!$D:$D,'Saldos Iniciales'!$A:$A,"Green Stone Trust")+SUMIFS(Movimientos!$K$1:$K$790,Movimientos!$C$1:$C$790,"Green Stone Trust",Movimientos!$B$1:$B$790,"&lt;="&amp;$B78)</f>
        <v>1968.99</v>
      </c>
      <c r="O78" s="24">
        <f>SUMIFS('Saldos Iniciales'!$D:$D,'Saldos Iniciales'!$A:$A,"EC Auto")+SUMIFS(Movimientos!$K$1:$K$790,Movimientos!$C$1:$C$790,"EC Auto",Movimientos!$B$1:$B$790,"&lt;="&amp;$B78)</f>
        <v>901.34</v>
      </c>
      <c r="P78" s="24">
        <f>SUMIFS('Saldos Iniciales'!$D:$D,'Saldos Iniciales'!$A:$A,"Arbor Capital Properties")+SUMIFS(Movimientos!$K$1:$K$790,Movimientos!$C$1:$C$790,"Arbor Capital Properties",Movimientos!$B$1:$B$790,"&lt;="&amp;$B78)</f>
        <v>1412.08</v>
      </c>
      <c r="Q78" s="24">
        <f>SUMIFS('Saldos Iniciales'!$D:$D,'Saldos Iniciales'!$A:$A,"2515 Overbrook")+SUMIFS(Movimientos!$K$1:$K$790,Movimientos!$C$1:$C$790,"2515 Overbrook",Movimientos!$B$1:$B$790,"&lt;="&amp;$B78)</f>
        <v>22347.56999999996</v>
      </c>
      <c r="R78" s="24">
        <f>SUMIFS('Saldos Iniciales'!$D:$D,'Saldos Iniciales'!$A:$A,"112 Florida Ave")+SUMIFS(Movimientos!$K$1:$K$790,Movimientos!$C$1:$C$790,"112 Florida Ave",Movimientos!$B$1:$B$790,"&lt;="&amp;$B78)</f>
        <v>3522.8000000000029</v>
      </c>
      <c r="S78" s="24">
        <f>SUMIFS('Saldos Iniciales'!$D:$D,'Saldos Iniciales'!$A:$A,"3628 Thomas Ave")+SUMIFS(Movimientos!$K$1:$K$790,Movimientos!$C$1:$C$790,"3628 Thomas Ave",Movimientos!$B$1:$B$790,"&lt;="&amp;$B78)</f>
        <v>24085.559999999998</v>
      </c>
      <c r="T78" s="24">
        <f>SUMIFS('Saldos Iniciales'!$D:$D,'Saldos Iniciales'!$A:$A,"Green Harbor Trust")+SUMIFS(Movimientos!$K$1:$K$790,Movimientos!$C$1:$C$790,"Green Harbor Trust",Movimientos!$B$1:$B$790,"&lt;="&amp;$B78)</f>
        <v>345</v>
      </c>
      <c r="U78" s="24">
        <f>SUMIFS('Saldos Iniciales'!$D:$D,'Saldos Iniciales'!$A:$A,"Go Blue")+SUMIFS(Movimientos!$K$1:$K$790,Movimientos!$C$1:$C$790,"Go Blue",Movimientos!$B$1:$B$790,"&lt;="&amp;$B78)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Group")+SUMIFS(Movimientos!$K$1:$K$790,Movimientos!$C$1:$C$790,"CFT Group",Movimientos!$B$1:$B$790,"&lt;="&amp;$B79)</f>
        <v>3110339.0700000008</v>
      </c>
      <c r="D79" s="24">
        <f>SUMIFS('Saldos Iniciales'!$D:$D,'Saldos Iniciales'!$A:$A,"M1B")+SUMIFS(Movimientos!$K$1:$K$790,Movimientos!$C$1:$C$790,"M1B",Movimientos!$B$1:$B$790,"&lt;="&amp;$B79)</f>
        <v>73157.680000000168</v>
      </c>
      <c r="E79" s="24">
        <f>SUMIFS('Saldos Iniciales'!$D:$D,'Saldos Iniciales'!$A:$A,"Durand")+SUMIFS(Movimientos!$K$1:$K$790,Movimientos!$C$1:$C$790,"Durand",Movimientos!$B$1:$B$790,"&lt;="&amp;$B79)</f>
        <v>1669.89</v>
      </c>
      <c r="F79" s="24">
        <f>SUMIFS('Saldos Iniciales'!$D:$D,'Saldos Iniciales'!$A:$A,"A&amp;M Imports")+SUMIFS(Movimientos!$K$1:$K$790,Movimientos!$C$1:$C$790,"A&amp;M Imports",Movimientos!$B$1:$B$790,"&lt;="&amp;$B79)</f>
        <v>1029804.7499999998</v>
      </c>
      <c r="G79" s="24">
        <f>SUMIFS('Saldos Iniciales'!$D:$D,'Saldos Iniciales'!$A:$A,"SSP Capital")+SUMIFS(Movimientos!$K$1:$K$790,Movimientos!$C$1:$C$790,"SSP Capital",Movimientos!$B$1:$B$790,"&lt;="&amp;$B79)</f>
        <v>1748189.7499999995</v>
      </c>
      <c r="H79" s="24">
        <f>SUMIFS('Saldos Iniciales'!$D:$D,'Saldos Iniciales'!$A:$A,"Cross Family Trust")+SUMIFS(Movimientos!$K$1:$K$790,Movimientos!$C$1:$C$790,"Cross Family Trust",Movimientos!$B$1:$B$790,"&lt;="&amp;$B79)</f>
        <v>200496.38</v>
      </c>
      <c r="I79" s="24">
        <f>SUMIFS('Saldos Iniciales'!$D:$D,'Saldos Iniciales'!$A:$A,"Cross Security Trust")+SUMIFS(Movimientos!$K$1:$K$790,Movimientos!$C$1:$C$790,"Cross Security Trust",Movimientos!$B$1:$B$790,"&lt;="&amp;$B79)</f>
        <v>88090.37</v>
      </c>
      <c r="J79" s="24">
        <f>SUMIFS('Saldos Iniciales'!$D:$D,'Saldos Iniciales'!$A:$A,"Electrama")+SUMIFS(Movimientos!$K$1:$K$790,Movimientos!$C$1:$C$790,"Electrama",Movimientos!$B$1:$B$790,"&lt;="&amp;$B79)</f>
        <v>14580.45</v>
      </c>
      <c r="K79" s="24">
        <f>SUMIFS('Saldos Iniciales'!$D:$D,'Saldos Iniciales'!$A:$A,"Sacred Valley Capital")+SUMIFS(Movimientos!$K$1:$K$790,Movimientos!$C$1:$C$790,"Sacred Valley Capital",Movimientos!$B$1:$B$790,"&lt;="&amp;$B79)</f>
        <v>54.400000000000006</v>
      </c>
      <c r="L79" s="24">
        <f>SUMIFS('Saldos Iniciales'!$D:$D,'Saldos Iniciales'!$A:$A,"YWC Capital")+SUMIFS(Movimientos!$K$1:$K$790,Movimientos!$C$1:$C$790,"YWC Capital",Movimientos!$B$1:$B$790,"&lt;="&amp;$B79)</f>
        <v>2207.8200000000002</v>
      </c>
      <c r="M79" s="24">
        <f>SUMIFS('Saldos Iniciales'!$D:$D,'Saldos Iniciales'!$A:$A,"Soweto")+SUMIFS(Movimientos!$K$1:$K$790,Movimientos!$C$1:$C$790,"Soweto",Movimientos!$B$1:$B$790,"&lt;="&amp;$B79)</f>
        <v>1454589.72</v>
      </c>
      <c r="N79" s="24">
        <f>SUMIFS('Saldos Iniciales'!$D:$D,'Saldos Iniciales'!$A:$A,"Green Stone Trust")+SUMIFS(Movimientos!$K$1:$K$790,Movimientos!$C$1:$C$790,"Green Stone Trust",Movimientos!$B$1:$B$790,"&lt;="&amp;$B79)</f>
        <v>1968.99</v>
      </c>
      <c r="O79" s="24">
        <f>SUMIFS('Saldos Iniciales'!$D:$D,'Saldos Iniciales'!$A:$A,"EC Auto")+SUMIFS(Movimientos!$K$1:$K$790,Movimientos!$C$1:$C$790,"EC Auto",Movimientos!$B$1:$B$790,"&lt;="&amp;$B79)</f>
        <v>901.34</v>
      </c>
      <c r="P79" s="24">
        <f>SUMIFS('Saldos Iniciales'!$D:$D,'Saldos Iniciales'!$A:$A,"Arbor Capital Properties")+SUMIFS(Movimientos!$K$1:$K$790,Movimientos!$C$1:$C$790,"Arbor Capital Properties",Movimientos!$B$1:$B$790,"&lt;="&amp;$B79)</f>
        <v>1412.08</v>
      </c>
      <c r="Q79" s="24">
        <f>SUMIFS('Saldos Iniciales'!$D:$D,'Saldos Iniciales'!$A:$A,"2515 Overbrook")+SUMIFS(Movimientos!$K$1:$K$790,Movimientos!$C$1:$C$790,"2515 Overbrook",Movimientos!$B$1:$B$790,"&lt;="&amp;$B79)</f>
        <v>22347.56999999996</v>
      </c>
      <c r="R79" s="24">
        <f>SUMIFS('Saldos Iniciales'!$D:$D,'Saldos Iniciales'!$A:$A,"112 Florida Ave")+SUMIFS(Movimientos!$K$1:$K$790,Movimientos!$C$1:$C$790,"112 Florida Ave",Movimientos!$B$1:$B$790,"&lt;="&amp;$B79)</f>
        <v>3522.8000000000029</v>
      </c>
      <c r="S79" s="24">
        <f>SUMIFS('Saldos Iniciales'!$D:$D,'Saldos Iniciales'!$A:$A,"3628 Thomas Ave")+SUMIFS(Movimientos!$K$1:$K$790,Movimientos!$C$1:$C$790,"3628 Thomas Ave",Movimientos!$B$1:$B$790,"&lt;="&amp;$B79)</f>
        <v>24085.559999999998</v>
      </c>
      <c r="T79" s="24">
        <f>SUMIFS('Saldos Iniciales'!$D:$D,'Saldos Iniciales'!$A:$A,"Green Harbor Trust")+SUMIFS(Movimientos!$K$1:$K$790,Movimientos!$C$1:$C$790,"Green Harbor Trust",Movimientos!$B$1:$B$790,"&lt;="&amp;$B79)</f>
        <v>345</v>
      </c>
      <c r="U79" s="24">
        <f>SUMIFS('Saldos Iniciales'!$D:$D,'Saldos Iniciales'!$A:$A,"Go Blue")+SUMIFS(Movimientos!$K$1:$K$790,Movimientos!$C$1:$C$790,"Go Blue",Movimientos!$B$1:$B$790,"&lt;="&amp;$B79)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Group")+SUMIFS(Movimientos!$K$1:$K$790,Movimientos!$C$1:$C$790,"CFT Group",Movimientos!$B$1:$B$790,"&lt;="&amp;$B80)</f>
        <v>3110339.0700000008</v>
      </c>
      <c r="D80" s="24">
        <f>SUMIFS('Saldos Iniciales'!$D:$D,'Saldos Iniciales'!$A:$A,"M1B")+SUMIFS(Movimientos!$K$1:$K$790,Movimientos!$C$1:$C$790,"M1B",Movimientos!$B$1:$B$790,"&lt;="&amp;$B80)</f>
        <v>73157.680000000168</v>
      </c>
      <c r="E80" s="24">
        <f>SUMIFS('Saldos Iniciales'!$D:$D,'Saldos Iniciales'!$A:$A,"Durand")+SUMIFS(Movimientos!$K$1:$K$790,Movimientos!$C$1:$C$790,"Durand",Movimientos!$B$1:$B$790,"&lt;="&amp;$B80)</f>
        <v>1669.89</v>
      </c>
      <c r="F80" s="24">
        <f>SUMIFS('Saldos Iniciales'!$D:$D,'Saldos Iniciales'!$A:$A,"A&amp;M Imports")+SUMIFS(Movimientos!$K$1:$K$790,Movimientos!$C$1:$C$790,"A&amp;M Imports",Movimientos!$B$1:$B$790,"&lt;="&amp;$B80)</f>
        <v>1029804.7499999998</v>
      </c>
      <c r="G80" s="24">
        <f>SUMIFS('Saldos Iniciales'!$D:$D,'Saldos Iniciales'!$A:$A,"SSP Capital")+SUMIFS(Movimientos!$K$1:$K$790,Movimientos!$C$1:$C$790,"SSP Capital",Movimientos!$B$1:$B$790,"&lt;="&amp;$B80)</f>
        <v>1748189.7499999995</v>
      </c>
      <c r="H80" s="24">
        <f>SUMIFS('Saldos Iniciales'!$D:$D,'Saldos Iniciales'!$A:$A,"Cross Family Trust")+SUMIFS(Movimientos!$K$1:$K$790,Movimientos!$C$1:$C$790,"Cross Family Trust",Movimientos!$B$1:$B$790,"&lt;="&amp;$B80)</f>
        <v>200496.38</v>
      </c>
      <c r="I80" s="24">
        <f>SUMIFS('Saldos Iniciales'!$D:$D,'Saldos Iniciales'!$A:$A,"Cross Security Trust")+SUMIFS(Movimientos!$K$1:$K$790,Movimientos!$C$1:$C$790,"Cross Security Trust",Movimientos!$B$1:$B$790,"&lt;="&amp;$B80)</f>
        <v>88090.37</v>
      </c>
      <c r="J80" s="24">
        <f>SUMIFS('Saldos Iniciales'!$D:$D,'Saldos Iniciales'!$A:$A,"Electrama")+SUMIFS(Movimientos!$K$1:$K$790,Movimientos!$C$1:$C$790,"Electrama",Movimientos!$B$1:$B$790,"&lt;="&amp;$B80)</f>
        <v>14580.45</v>
      </c>
      <c r="K80" s="24">
        <f>SUMIFS('Saldos Iniciales'!$D:$D,'Saldos Iniciales'!$A:$A,"Sacred Valley Capital")+SUMIFS(Movimientos!$K$1:$K$790,Movimientos!$C$1:$C$790,"Sacred Valley Capital",Movimientos!$B$1:$B$790,"&lt;="&amp;$B80)</f>
        <v>54.400000000000006</v>
      </c>
      <c r="L80" s="24">
        <f>SUMIFS('Saldos Iniciales'!$D:$D,'Saldos Iniciales'!$A:$A,"YWC Capital")+SUMIFS(Movimientos!$K$1:$K$790,Movimientos!$C$1:$C$790,"YWC Capital",Movimientos!$B$1:$B$790,"&lt;="&amp;$B80)</f>
        <v>2207.8200000000002</v>
      </c>
      <c r="M80" s="24">
        <f>SUMIFS('Saldos Iniciales'!$D:$D,'Saldos Iniciales'!$A:$A,"Soweto")+SUMIFS(Movimientos!$K$1:$K$790,Movimientos!$C$1:$C$790,"Soweto",Movimientos!$B$1:$B$790,"&lt;="&amp;$B80)</f>
        <v>1454589.72</v>
      </c>
      <c r="N80" s="24">
        <f>SUMIFS('Saldos Iniciales'!$D:$D,'Saldos Iniciales'!$A:$A,"Green Stone Trust")+SUMIFS(Movimientos!$K$1:$K$790,Movimientos!$C$1:$C$790,"Green Stone Trust",Movimientos!$B$1:$B$790,"&lt;="&amp;$B80)</f>
        <v>1968.99</v>
      </c>
      <c r="O80" s="24">
        <f>SUMIFS('Saldos Iniciales'!$D:$D,'Saldos Iniciales'!$A:$A,"EC Auto")+SUMIFS(Movimientos!$K$1:$K$790,Movimientos!$C$1:$C$790,"EC Auto",Movimientos!$B$1:$B$790,"&lt;="&amp;$B80)</f>
        <v>901.34</v>
      </c>
      <c r="P80" s="24">
        <f>SUMIFS('Saldos Iniciales'!$D:$D,'Saldos Iniciales'!$A:$A,"Arbor Capital Properties")+SUMIFS(Movimientos!$K$1:$K$790,Movimientos!$C$1:$C$790,"Arbor Capital Properties",Movimientos!$B$1:$B$790,"&lt;="&amp;$B80)</f>
        <v>1412.08</v>
      </c>
      <c r="Q80" s="24">
        <f>SUMIFS('Saldos Iniciales'!$D:$D,'Saldos Iniciales'!$A:$A,"2515 Overbrook")+SUMIFS(Movimientos!$K$1:$K$790,Movimientos!$C$1:$C$790,"2515 Overbrook",Movimientos!$B$1:$B$790,"&lt;="&amp;$B80)</f>
        <v>22347.56999999996</v>
      </c>
      <c r="R80" s="24">
        <f>SUMIFS('Saldos Iniciales'!$D:$D,'Saldos Iniciales'!$A:$A,"112 Florida Ave")+SUMIFS(Movimientos!$K$1:$K$790,Movimientos!$C$1:$C$790,"112 Florida Ave",Movimientos!$B$1:$B$790,"&lt;="&amp;$B80)</f>
        <v>3522.8000000000029</v>
      </c>
      <c r="S80" s="24">
        <f>SUMIFS('Saldos Iniciales'!$D:$D,'Saldos Iniciales'!$A:$A,"3628 Thomas Ave")+SUMIFS(Movimientos!$K$1:$K$790,Movimientos!$C$1:$C$790,"3628 Thomas Ave",Movimientos!$B$1:$B$790,"&lt;="&amp;$B80)</f>
        <v>24085.559999999998</v>
      </c>
      <c r="T80" s="24">
        <f>SUMIFS('Saldos Iniciales'!$D:$D,'Saldos Iniciales'!$A:$A,"Green Harbor Trust")+SUMIFS(Movimientos!$K$1:$K$790,Movimientos!$C$1:$C$790,"Green Harbor Trust",Movimientos!$B$1:$B$790,"&lt;="&amp;$B80)</f>
        <v>345</v>
      </c>
      <c r="U80" s="24">
        <f>SUMIFS('Saldos Iniciales'!$D:$D,'Saldos Iniciales'!$A:$A,"Go Blue")+SUMIFS(Movimientos!$K$1:$K$790,Movimientos!$C$1:$C$790,"Go Blue",Movimientos!$B$1:$B$790,"&lt;="&amp;$B80)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Group")+SUMIFS(Movimientos!$K$1:$K$790,Movimientos!$C$1:$C$790,"CFT Group",Movimientos!$B$1:$B$790,"&lt;="&amp;$B81)</f>
        <v>3110339.0700000008</v>
      </c>
      <c r="D81" s="24">
        <f>SUMIFS('Saldos Iniciales'!$D:$D,'Saldos Iniciales'!$A:$A,"M1B")+SUMIFS(Movimientos!$K$1:$K$790,Movimientos!$C$1:$C$790,"M1B",Movimientos!$B$1:$B$790,"&lt;="&amp;$B81)</f>
        <v>73157.680000000168</v>
      </c>
      <c r="E81" s="24">
        <f>SUMIFS('Saldos Iniciales'!$D:$D,'Saldos Iniciales'!$A:$A,"Durand")+SUMIFS(Movimientos!$K$1:$K$790,Movimientos!$C$1:$C$790,"Durand",Movimientos!$B$1:$B$790,"&lt;="&amp;$B81)</f>
        <v>1669.89</v>
      </c>
      <c r="F81" s="24">
        <f>SUMIFS('Saldos Iniciales'!$D:$D,'Saldos Iniciales'!$A:$A,"A&amp;M Imports")+SUMIFS(Movimientos!$K$1:$K$790,Movimientos!$C$1:$C$790,"A&amp;M Imports",Movimientos!$B$1:$B$790,"&lt;="&amp;$B81)</f>
        <v>1029804.7499999998</v>
      </c>
      <c r="G81" s="24">
        <f>SUMIFS('Saldos Iniciales'!$D:$D,'Saldos Iniciales'!$A:$A,"SSP Capital")+SUMIFS(Movimientos!$K$1:$K$790,Movimientos!$C$1:$C$790,"SSP Capital",Movimientos!$B$1:$B$790,"&lt;="&amp;$B81)</f>
        <v>1748189.7499999995</v>
      </c>
      <c r="H81" s="24">
        <f>SUMIFS('Saldos Iniciales'!$D:$D,'Saldos Iniciales'!$A:$A,"Cross Family Trust")+SUMIFS(Movimientos!$K$1:$K$790,Movimientos!$C$1:$C$790,"Cross Family Trust",Movimientos!$B$1:$B$790,"&lt;="&amp;$B81)</f>
        <v>200496.38</v>
      </c>
      <c r="I81" s="24">
        <f>SUMIFS('Saldos Iniciales'!$D:$D,'Saldos Iniciales'!$A:$A,"Cross Security Trust")+SUMIFS(Movimientos!$K$1:$K$790,Movimientos!$C$1:$C$790,"Cross Security Trust",Movimientos!$B$1:$B$790,"&lt;="&amp;$B81)</f>
        <v>88090.37</v>
      </c>
      <c r="J81" s="24">
        <f>SUMIFS('Saldos Iniciales'!$D:$D,'Saldos Iniciales'!$A:$A,"Electrama")+SUMIFS(Movimientos!$K$1:$K$790,Movimientos!$C$1:$C$790,"Electrama",Movimientos!$B$1:$B$790,"&lt;="&amp;$B81)</f>
        <v>14580.45</v>
      </c>
      <c r="K81" s="24">
        <f>SUMIFS('Saldos Iniciales'!$D:$D,'Saldos Iniciales'!$A:$A,"Sacred Valley Capital")+SUMIFS(Movimientos!$K$1:$K$790,Movimientos!$C$1:$C$790,"Sacred Valley Capital",Movimientos!$B$1:$B$790,"&lt;="&amp;$B81)</f>
        <v>54.400000000000006</v>
      </c>
      <c r="L81" s="24">
        <f>SUMIFS('Saldos Iniciales'!$D:$D,'Saldos Iniciales'!$A:$A,"YWC Capital")+SUMIFS(Movimientos!$K$1:$K$790,Movimientos!$C$1:$C$790,"YWC Capital",Movimientos!$B$1:$B$790,"&lt;="&amp;$B81)</f>
        <v>2207.8200000000002</v>
      </c>
      <c r="M81" s="24">
        <f>SUMIFS('Saldos Iniciales'!$D:$D,'Saldos Iniciales'!$A:$A,"Soweto")+SUMIFS(Movimientos!$K$1:$K$790,Movimientos!$C$1:$C$790,"Soweto",Movimientos!$B$1:$B$790,"&lt;="&amp;$B81)</f>
        <v>1454589.72</v>
      </c>
      <c r="N81" s="24">
        <f>SUMIFS('Saldos Iniciales'!$D:$D,'Saldos Iniciales'!$A:$A,"Green Stone Trust")+SUMIFS(Movimientos!$K$1:$K$790,Movimientos!$C$1:$C$790,"Green Stone Trust",Movimientos!$B$1:$B$790,"&lt;="&amp;$B81)</f>
        <v>1968.99</v>
      </c>
      <c r="O81" s="24">
        <f>SUMIFS('Saldos Iniciales'!$D:$D,'Saldos Iniciales'!$A:$A,"EC Auto")+SUMIFS(Movimientos!$K$1:$K$790,Movimientos!$C$1:$C$790,"EC Auto",Movimientos!$B$1:$B$790,"&lt;="&amp;$B81)</f>
        <v>901.34</v>
      </c>
      <c r="P81" s="24">
        <f>SUMIFS('Saldos Iniciales'!$D:$D,'Saldos Iniciales'!$A:$A,"Arbor Capital Properties")+SUMIFS(Movimientos!$K$1:$K$790,Movimientos!$C$1:$C$790,"Arbor Capital Properties",Movimientos!$B$1:$B$790,"&lt;="&amp;$B81)</f>
        <v>1412.08</v>
      </c>
      <c r="Q81" s="24">
        <f>SUMIFS('Saldos Iniciales'!$D:$D,'Saldos Iniciales'!$A:$A,"2515 Overbrook")+SUMIFS(Movimientos!$K$1:$K$790,Movimientos!$C$1:$C$790,"2515 Overbrook",Movimientos!$B$1:$B$790,"&lt;="&amp;$B81)</f>
        <v>22347.56999999996</v>
      </c>
      <c r="R81" s="24">
        <f>SUMIFS('Saldos Iniciales'!$D:$D,'Saldos Iniciales'!$A:$A,"112 Florida Ave")+SUMIFS(Movimientos!$K$1:$K$790,Movimientos!$C$1:$C$790,"112 Florida Ave",Movimientos!$B$1:$B$790,"&lt;="&amp;$B81)</f>
        <v>3522.8000000000029</v>
      </c>
      <c r="S81" s="24">
        <f>SUMIFS('Saldos Iniciales'!$D:$D,'Saldos Iniciales'!$A:$A,"3628 Thomas Ave")+SUMIFS(Movimientos!$K$1:$K$790,Movimientos!$C$1:$C$790,"3628 Thomas Ave",Movimientos!$B$1:$B$790,"&lt;="&amp;$B81)</f>
        <v>24085.559999999998</v>
      </c>
      <c r="T81" s="24">
        <f>SUMIFS('Saldos Iniciales'!$D:$D,'Saldos Iniciales'!$A:$A,"Green Harbor Trust")+SUMIFS(Movimientos!$K$1:$K$790,Movimientos!$C$1:$C$790,"Green Harbor Trust",Movimientos!$B$1:$B$790,"&lt;="&amp;$B81)</f>
        <v>345</v>
      </c>
      <c r="U81" s="24">
        <f>SUMIFS('Saldos Iniciales'!$D:$D,'Saldos Iniciales'!$A:$A,"Go Blue")+SUMIFS(Movimientos!$K$1:$K$790,Movimientos!$C$1:$C$790,"Go Blue",Movimientos!$B$1:$B$790,"&lt;="&amp;$B81)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Group")+SUMIFS(Movimientos!$K$1:$K$790,Movimientos!$C$1:$C$790,"CFT Group",Movimientos!$B$1:$B$790,"&lt;="&amp;$B82)</f>
        <v>3110339.0700000008</v>
      </c>
      <c r="D82" s="24">
        <f>SUMIFS('Saldos Iniciales'!$D:$D,'Saldos Iniciales'!$A:$A,"M1B")+SUMIFS(Movimientos!$K$1:$K$790,Movimientos!$C$1:$C$790,"M1B",Movimientos!$B$1:$B$790,"&lt;="&amp;$B82)</f>
        <v>73157.680000000168</v>
      </c>
      <c r="E82" s="24">
        <f>SUMIFS('Saldos Iniciales'!$D:$D,'Saldos Iniciales'!$A:$A,"Durand")+SUMIFS(Movimientos!$K$1:$K$790,Movimientos!$C$1:$C$790,"Durand",Movimientos!$B$1:$B$790,"&lt;="&amp;$B82)</f>
        <v>1669.89</v>
      </c>
      <c r="F82" s="24">
        <f>SUMIFS('Saldos Iniciales'!$D:$D,'Saldos Iniciales'!$A:$A,"A&amp;M Imports")+SUMIFS(Movimientos!$K$1:$K$790,Movimientos!$C$1:$C$790,"A&amp;M Imports",Movimientos!$B$1:$B$790,"&lt;="&amp;$B82)</f>
        <v>1029804.7499999998</v>
      </c>
      <c r="G82" s="24">
        <f>SUMIFS('Saldos Iniciales'!$D:$D,'Saldos Iniciales'!$A:$A,"SSP Capital")+SUMIFS(Movimientos!$K$1:$K$790,Movimientos!$C$1:$C$790,"SSP Capital",Movimientos!$B$1:$B$790,"&lt;="&amp;$B82)</f>
        <v>1744257.8699999994</v>
      </c>
      <c r="H82" s="24">
        <f>SUMIFS('Saldos Iniciales'!$D:$D,'Saldos Iniciales'!$A:$A,"Cross Family Trust")+SUMIFS(Movimientos!$K$1:$K$790,Movimientos!$C$1:$C$790,"Cross Family Trust",Movimientos!$B$1:$B$790,"&lt;="&amp;$B82)</f>
        <v>200496.38</v>
      </c>
      <c r="I82" s="24">
        <f>SUMIFS('Saldos Iniciales'!$D:$D,'Saldos Iniciales'!$A:$A,"Cross Security Trust")+SUMIFS(Movimientos!$K$1:$K$790,Movimientos!$C$1:$C$790,"Cross Security Trust",Movimientos!$B$1:$B$790,"&lt;="&amp;$B82)</f>
        <v>88090.37</v>
      </c>
      <c r="J82" s="24">
        <f>SUMIFS('Saldos Iniciales'!$D:$D,'Saldos Iniciales'!$A:$A,"Electrama")+SUMIFS(Movimientos!$K$1:$K$790,Movimientos!$C$1:$C$790,"Electrama",Movimientos!$B$1:$B$790,"&lt;="&amp;$B82)</f>
        <v>14580.45</v>
      </c>
      <c r="K82" s="24">
        <f>SUMIFS('Saldos Iniciales'!$D:$D,'Saldos Iniciales'!$A:$A,"Sacred Valley Capital")+SUMIFS(Movimientos!$K$1:$K$790,Movimientos!$C$1:$C$790,"Sacred Valley Capital",Movimientos!$B$1:$B$790,"&lt;="&amp;$B82)</f>
        <v>54.400000000000006</v>
      </c>
      <c r="L82" s="24">
        <f>SUMIFS('Saldos Iniciales'!$D:$D,'Saldos Iniciales'!$A:$A,"YWC Capital")+SUMIFS(Movimientos!$K$1:$K$790,Movimientos!$C$1:$C$790,"YWC Capital",Movimientos!$B$1:$B$790,"&lt;="&amp;$B82)</f>
        <v>2207.8200000000002</v>
      </c>
      <c r="M82" s="24">
        <f>SUMIFS('Saldos Iniciales'!$D:$D,'Saldos Iniciales'!$A:$A,"Soweto")+SUMIFS(Movimientos!$K$1:$K$790,Movimientos!$C$1:$C$790,"Soweto",Movimientos!$B$1:$B$790,"&lt;="&amp;$B82)</f>
        <v>1454589.72</v>
      </c>
      <c r="N82" s="24">
        <f>SUMIFS('Saldos Iniciales'!$D:$D,'Saldos Iniciales'!$A:$A,"Green Stone Trust")+SUMIFS(Movimientos!$K$1:$K$790,Movimientos!$C$1:$C$790,"Green Stone Trust",Movimientos!$B$1:$B$790,"&lt;="&amp;$B82)</f>
        <v>1968.99</v>
      </c>
      <c r="O82" s="24">
        <f>SUMIFS('Saldos Iniciales'!$D:$D,'Saldos Iniciales'!$A:$A,"EC Auto")+SUMIFS(Movimientos!$K$1:$K$790,Movimientos!$C$1:$C$790,"EC Auto",Movimientos!$B$1:$B$790,"&lt;="&amp;$B82)</f>
        <v>901.34</v>
      </c>
      <c r="P82" s="24">
        <f>SUMIFS('Saldos Iniciales'!$D:$D,'Saldos Iniciales'!$A:$A,"Arbor Capital Properties")+SUMIFS(Movimientos!$K$1:$K$790,Movimientos!$C$1:$C$790,"Arbor Capital Properties",Movimientos!$B$1:$B$790,"&lt;="&amp;$B82)</f>
        <v>1412.08</v>
      </c>
      <c r="Q82" s="24">
        <f>SUMIFS('Saldos Iniciales'!$D:$D,'Saldos Iniciales'!$A:$A,"2515 Overbrook")+SUMIFS(Movimientos!$K$1:$K$790,Movimientos!$C$1:$C$790,"2515 Overbrook",Movimientos!$B$1:$B$790,"&lt;="&amp;$B82)</f>
        <v>22347.56999999996</v>
      </c>
      <c r="R82" s="24">
        <f>SUMIFS('Saldos Iniciales'!$D:$D,'Saldos Iniciales'!$A:$A,"112 Florida Ave")+SUMIFS(Movimientos!$K$1:$K$790,Movimientos!$C$1:$C$790,"112 Florida Ave",Movimientos!$B$1:$B$790,"&lt;="&amp;$B82)</f>
        <v>3522.8000000000029</v>
      </c>
      <c r="S82" s="24">
        <f>SUMIFS('Saldos Iniciales'!$D:$D,'Saldos Iniciales'!$A:$A,"3628 Thomas Ave")+SUMIFS(Movimientos!$K$1:$K$790,Movimientos!$C$1:$C$790,"3628 Thomas Ave",Movimientos!$B$1:$B$790,"&lt;="&amp;$B82)</f>
        <v>24085.559999999998</v>
      </c>
      <c r="T82" s="24">
        <f>SUMIFS('Saldos Iniciales'!$D:$D,'Saldos Iniciales'!$A:$A,"Green Harbor Trust")+SUMIFS(Movimientos!$K$1:$K$790,Movimientos!$C$1:$C$790,"Green Harbor Trust",Movimientos!$B$1:$B$790,"&lt;="&amp;$B82)</f>
        <v>345</v>
      </c>
      <c r="U82" s="24">
        <f>SUMIFS('Saldos Iniciales'!$D:$D,'Saldos Iniciales'!$A:$A,"Go Blue")+SUMIFS(Movimientos!$K$1:$K$790,Movimientos!$C$1:$C$790,"Go Blue",Movimientos!$B$1:$B$790,"&lt;="&amp;$B82)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Group")+SUMIFS(Movimientos!$K$1:$K$790,Movimientos!$C$1:$C$790,"CFT Group",Movimientos!$B$1:$B$790,"&lt;="&amp;$B83)</f>
        <v>3110339.0700000008</v>
      </c>
      <c r="D83" s="24">
        <f>SUMIFS('Saldos Iniciales'!$D:$D,'Saldos Iniciales'!$A:$A,"M1B")+SUMIFS(Movimientos!$K$1:$K$790,Movimientos!$C$1:$C$790,"M1B",Movimientos!$B$1:$B$790,"&lt;="&amp;$B83)</f>
        <v>73157.680000000168</v>
      </c>
      <c r="E83" s="24">
        <f>SUMIFS('Saldos Iniciales'!$D:$D,'Saldos Iniciales'!$A:$A,"Durand")+SUMIFS(Movimientos!$K$1:$K$790,Movimientos!$C$1:$C$790,"Durand",Movimientos!$B$1:$B$790,"&lt;="&amp;$B83)</f>
        <v>1669.89</v>
      </c>
      <c r="F83" s="24">
        <f>SUMIFS('Saldos Iniciales'!$D:$D,'Saldos Iniciales'!$A:$A,"A&amp;M Imports")+SUMIFS(Movimientos!$K$1:$K$790,Movimientos!$C$1:$C$790,"A&amp;M Imports",Movimientos!$B$1:$B$790,"&lt;="&amp;$B83)</f>
        <v>1029804.7499999998</v>
      </c>
      <c r="G83" s="24">
        <f>SUMIFS('Saldos Iniciales'!$D:$D,'Saldos Iniciales'!$A:$A,"SSP Capital")+SUMIFS(Movimientos!$K$1:$K$790,Movimientos!$C$1:$C$790,"SSP Capital",Movimientos!$B$1:$B$790,"&lt;="&amp;$B83)</f>
        <v>1744257.8699999994</v>
      </c>
      <c r="H83" s="24">
        <f>SUMIFS('Saldos Iniciales'!$D:$D,'Saldos Iniciales'!$A:$A,"Cross Family Trust")+SUMIFS(Movimientos!$K$1:$K$790,Movimientos!$C$1:$C$790,"Cross Family Trust",Movimientos!$B$1:$B$790,"&lt;="&amp;$B83)</f>
        <v>200496.38</v>
      </c>
      <c r="I83" s="24">
        <f>SUMIFS('Saldos Iniciales'!$D:$D,'Saldos Iniciales'!$A:$A,"Cross Security Trust")+SUMIFS(Movimientos!$K$1:$K$790,Movimientos!$C$1:$C$790,"Cross Security Trust",Movimientos!$B$1:$B$790,"&lt;="&amp;$B83)</f>
        <v>88090.37</v>
      </c>
      <c r="J83" s="24">
        <f>SUMIFS('Saldos Iniciales'!$D:$D,'Saldos Iniciales'!$A:$A,"Electrama")+SUMIFS(Movimientos!$K$1:$K$790,Movimientos!$C$1:$C$790,"Electrama",Movimientos!$B$1:$B$790,"&lt;="&amp;$B83)</f>
        <v>14580.45</v>
      </c>
      <c r="K83" s="24">
        <f>SUMIFS('Saldos Iniciales'!$D:$D,'Saldos Iniciales'!$A:$A,"Sacred Valley Capital")+SUMIFS(Movimientos!$K$1:$K$790,Movimientos!$C$1:$C$790,"Sacred Valley Capital",Movimientos!$B$1:$B$790,"&lt;="&amp;$B83)</f>
        <v>54.400000000000006</v>
      </c>
      <c r="L83" s="24">
        <f>SUMIFS('Saldos Iniciales'!$D:$D,'Saldos Iniciales'!$A:$A,"YWC Capital")+SUMIFS(Movimientos!$K$1:$K$790,Movimientos!$C$1:$C$790,"YWC Capital",Movimientos!$B$1:$B$790,"&lt;="&amp;$B83)</f>
        <v>2207.8200000000002</v>
      </c>
      <c r="M83" s="24">
        <f>SUMIFS('Saldos Iniciales'!$D:$D,'Saldos Iniciales'!$A:$A,"Soweto")+SUMIFS(Movimientos!$K$1:$K$790,Movimientos!$C$1:$C$790,"Soweto",Movimientos!$B$1:$B$790,"&lt;="&amp;$B83)</f>
        <v>1454589.72</v>
      </c>
      <c r="N83" s="24">
        <f>SUMIFS('Saldos Iniciales'!$D:$D,'Saldos Iniciales'!$A:$A,"Green Stone Trust")+SUMIFS(Movimientos!$K$1:$K$790,Movimientos!$C$1:$C$790,"Green Stone Trust",Movimientos!$B$1:$B$790,"&lt;="&amp;$B83)</f>
        <v>1968.99</v>
      </c>
      <c r="O83" s="24">
        <f>SUMIFS('Saldos Iniciales'!$D:$D,'Saldos Iniciales'!$A:$A,"EC Auto")+SUMIFS(Movimientos!$K$1:$K$790,Movimientos!$C$1:$C$790,"EC Auto",Movimientos!$B$1:$B$790,"&lt;="&amp;$B83)</f>
        <v>901.34</v>
      </c>
      <c r="P83" s="24">
        <f>SUMIFS('Saldos Iniciales'!$D:$D,'Saldos Iniciales'!$A:$A,"Arbor Capital Properties")+SUMIFS(Movimientos!$K$1:$K$790,Movimientos!$C$1:$C$790,"Arbor Capital Properties",Movimientos!$B$1:$B$790,"&lt;="&amp;$B83)</f>
        <v>1412.08</v>
      </c>
      <c r="Q83" s="24">
        <f>SUMIFS('Saldos Iniciales'!$D:$D,'Saldos Iniciales'!$A:$A,"2515 Overbrook")+SUMIFS(Movimientos!$K$1:$K$790,Movimientos!$C$1:$C$790,"2515 Overbrook",Movimientos!$B$1:$B$790,"&lt;="&amp;$B83)</f>
        <v>22347.56999999996</v>
      </c>
      <c r="R83" s="24">
        <f>SUMIFS('Saldos Iniciales'!$D:$D,'Saldos Iniciales'!$A:$A,"112 Florida Ave")+SUMIFS(Movimientos!$K$1:$K$790,Movimientos!$C$1:$C$790,"112 Florida Ave",Movimientos!$B$1:$B$790,"&lt;="&amp;$B83)</f>
        <v>3522.8000000000029</v>
      </c>
      <c r="S83" s="24">
        <f>SUMIFS('Saldos Iniciales'!$D:$D,'Saldos Iniciales'!$A:$A,"3628 Thomas Ave")+SUMIFS(Movimientos!$K$1:$K$790,Movimientos!$C$1:$C$790,"3628 Thomas Ave",Movimientos!$B$1:$B$790,"&lt;="&amp;$B83)</f>
        <v>24085.559999999998</v>
      </c>
      <c r="T83" s="24">
        <f>SUMIFS('Saldos Iniciales'!$D:$D,'Saldos Iniciales'!$A:$A,"Green Harbor Trust")+SUMIFS(Movimientos!$K$1:$K$790,Movimientos!$C$1:$C$790,"Green Harbor Trust",Movimientos!$B$1:$B$790,"&lt;="&amp;$B83)</f>
        <v>345</v>
      </c>
      <c r="U83" s="24">
        <f>SUMIFS('Saldos Iniciales'!$D:$D,'Saldos Iniciales'!$A:$A,"Go Blue")+SUMIFS(Movimientos!$K$1:$K$790,Movimientos!$C$1:$C$790,"Go Blue",Movimientos!$B$1:$B$790,"&lt;="&amp;$B83)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Group")+SUMIFS(Movimientos!$K$1:$K$790,Movimientos!$C$1:$C$790,"CFT Group",Movimientos!$B$1:$B$790,"&lt;="&amp;$B84)</f>
        <v>2255755.7400000007</v>
      </c>
      <c r="D84" s="24">
        <f>SUMIFS('Saldos Iniciales'!$D:$D,'Saldos Iniciales'!$A:$A,"M1B")+SUMIFS(Movimientos!$K$1:$K$790,Movimientos!$C$1:$C$790,"M1B",Movimientos!$B$1:$B$790,"&lt;="&amp;$B84)</f>
        <v>73157.680000000168</v>
      </c>
      <c r="E84" s="24">
        <f>SUMIFS('Saldos Iniciales'!$D:$D,'Saldos Iniciales'!$A:$A,"Durand")+SUMIFS(Movimientos!$K$1:$K$790,Movimientos!$C$1:$C$790,"Durand",Movimientos!$B$1:$B$790,"&lt;="&amp;$B84)</f>
        <v>1669.89</v>
      </c>
      <c r="F84" s="24">
        <f>SUMIFS('Saldos Iniciales'!$D:$D,'Saldos Iniciales'!$A:$A,"A&amp;M Imports")+SUMIFS(Movimientos!$K$1:$K$790,Movimientos!$C$1:$C$790,"A&amp;M Imports",Movimientos!$B$1:$B$790,"&lt;="&amp;$B84)</f>
        <v>1002754.9899999998</v>
      </c>
      <c r="G84" s="24">
        <f>SUMIFS('Saldos Iniciales'!$D:$D,'Saldos Iniciales'!$A:$A,"SSP Capital")+SUMIFS(Movimientos!$K$1:$K$790,Movimientos!$C$1:$C$790,"SSP Capital",Movimientos!$B$1:$B$790,"&lt;="&amp;$B84)</f>
        <v>2022877.8699999996</v>
      </c>
      <c r="H84" s="24">
        <f>SUMIFS('Saldos Iniciales'!$D:$D,'Saldos Iniciales'!$A:$A,"Cross Family Trust")+SUMIFS(Movimientos!$K$1:$K$790,Movimientos!$C$1:$C$790,"Cross Family Trust",Movimientos!$B$1:$B$790,"&lt;="&amp;$B84)</f>
        <v>200496.38</v>
      </c>
      <c r="I84" s="24">
        <f>SUMIFS('Saldos Iniciales'!$D:$D,'Saldos Iniciales'!$A:$A,"Cross Security Trust")+SUMIFS(Movimientos!$K$1:$K$790,Movimientos!$C$1:$C$790,"Cross Security Trust",Movimientos!$B$1:$B$790,"&lt;="&amp;$B84)</f>
        <v>88090.37</v>
      </c>
      <c r="J84" s="24">
        <f>SUMIFS('Saldos Iniciales'!$D:$D,'Saldos Iniciales'!$A:$A,"Electrama")+SUMIFS(Movimientos!$K$1:$K$790,Movimientos!$C$1:$C$790,"Electrama",Movimientos!$B$1:$B$790,"&lt;="&amp;$B84)</f>
        <v>14580.45</v>
      </c>
      <c r="K84" s="24">
        <f>SUMIFS('Saldos Iniciales'!$D:$D,'Saldos Iniciales'!$A:$A,"Sacred Valley Capital")+SUMIFS(Movimientos!$K$1:$K$790,Movimientos!$C$1:$C$790,"Sacred Valley Capital",Movimientos!$B$1:$B$790,"&lt;="&amp;$B84)</f>
        <v>54.400000000000006</v>
      </c>
      <c r="L84" s="24">
        <f>SUMIFS('Saldos Iniciales'!$D:$D,'Saldos Iniciales'!$A:$A,"YWC Capital")+SUMIFS(Movimientos!$K$1:$K$790,Movimientos!$C$1:$C$790,"YWC Capital",Movimientos!$B$1:$B$790,"&lt;="&amp;$B84)</f>
        <v>2207.8200000000002</v>
      </c>
      <c r="M84" s="24">
        <f>SUMIFS('Saldos Iniciales'!$D:$D,'Saldos Iniciales'!$A:$A,"Soweto")+SUMIFS(Movimientos!$K$1:$K$790,Movimientos!$C$1:$C$790,"Soweto",Movimientos!$B$1:$B$790,"&lt;="&amp;$B84)</f>
        <v>1454589.72</v>
      </c>
      <c r="N84" s="24">
        <f>SUMIFS('Saldos Iniciales'!$D:$D,'Saldos Iniciales'!$A:$A,"Green Stone Trust")+SUMIFS(Movimientos!$K$1:$K$790,Movimientos!$C$1:$C$790,"Green Stone Trust",Movimientos!$B$1:$B$790,"&lt;="&amp;$B84)</f>
        <v>1968.99</v>
      </c>
      <c r="O84" s="24">
        <f>SUMIFS('Saldos Iniciales'!$D:$D,'Saldos Iniciales'!$A:$A,"EC Auto")+SUMIFS(Movimientos!$K$1:$K$790,Movimientos!$C$1:$C$790,"EC Auto",Movimientos!$B$1:$B$790,"&lt;="&amp;$B84)</f>
        <v>901.34</v>
      </c>
      <c r="P84" s="24">
        <f>SUMIFS('Saldos Iniciales'!$D:$D,'Saldos Iniciales'!$A:$A,"Arbor Capital Properties")+SUMIFS(Movimientos!$K$1:$K$790,Movimientos!$C$1:$C$790,"Arbor Capital Properties",Movimientos!$B$1:$B$790,"&lt;="&amp;$B84)</f>
        <v>1412.08</v>
      </c>
      <c r="Q84" s="24">
        <f>SUMIFS('Saldos Iniciales'!$D:$D,'Saldos Iniciales'!$A:$A,"2515 Overbrook")+SUMIFS(Movimientos!$K$1:$K$790,Movimientos!$C$1:$C$790,"2515 Overbrook",Movimientos!$B$1:$B$790,"&lt;="&amp;$B84)</f>
        <v>22347.56999999996</v>
      </c>
      <c r="R84" s="24">
        <f>SUMIFS('Saldos Iniciales'!$D:$D,'Saldos Iniciales'!$A:$A,"112 Florida Ave")+SUMIFS(Movimientos!$K$1:$K$790,Movimientos!$C$1:$C$790,"112 Florida Ave",Movimientos!$B$1:$B$790,"&lt;="&amp;$B84)</f>
        <v>3522.8000000000029</v>
      </c>
      <c r="S84" s="24">
        <f>SUMIFS('Saldos Iniciales'!$D:$D,'Saldos Iniciales'!$A:$A,"3628 Thomas Ave")+SUMIFS(Movimientos!$K$1:$K$790,Movimientos!$C$1:$C$790,"3628 Thomas Ave",Movimientos!$B$1:$B$790,"&lt;="&amp;$B84)</f>
        <v>24085.559999999998</v>
      </c>
      <c r="T84" s="24">
        <f>SUMIFS('Saldos Iniciales'!$D:$D,'Saldos Iniciales'!$A:$A,"Green Harbor Trust")+SUMIFS(Movimientos!$K$1:$K$790,Movimientos!$C$1:$C$790,"Green Harbor Trust",Movimientos!$B$1:$B$790,"&lt;="&amp;$B84)</f>
        <v>345</v>
      </c>
      <c r="U84" s="24">
        <f>SUMIFS('Saldos Iniciales'!$D:$D,'Saldos Iniciales'!$A:$A,"Go Blue")+SUMIFS(Movimientos!$K$1:$K$790,Movimientos!$C$1:$C$790,"Go Blue",Movimientos!$B$1:$B$790,"&lt;="&amp;$B84)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Group")+SUMIFS(Movimientos!$K$1:$K$790,Movimientos!$C$1:$C$790,"CFT Group",Movimientos!$B$1:$B$790,"&lt;="&amp;$B85)</f>
        <v>2255750.7400000007</v>
      </c>
      <c r="D85" s="24">
        <f>SUMIFS('Saldos Iniciales'!$D:$D,'Saldos Iniciales'!$A:$A,"M1B")+SUMIFS(Movimientos!$K$1:$K$790,Movimientos!$C$1:$C$790,"M1B",Movimientos!$B$1:$B$790,"&lt;="&amp;$B85)</f>
        <v>73157.680000000168</v>
      </c>
      <c r="E85" s="24">
        <f>SUMIFS('Saldos Iniciales'!$D:$D,'Saldos Iniciales'!$A:$A,"Durand")+SUMIFS(Movimientos!$K$1:$K$790,Movimientos!$C$1:$C$790,"Durand",Movimientos!$B$1:$B$790,"&lt;="&amp;$B85)</f>
        <v>1669.89</v>
      </c>
      <c r="F85" s="24">
        <f>SUMIFS('Saldos Iniciales'!$D:$D,'Saldos Iniciales'!$A:$A,"A&amp;M Imports")+SUMIFS(Movimientos!$K$1:$K$790,Movimientos!$C$1:$C$790,"A&amp;M Imports",Movimientos!$B$1:$B$790,"&lt;="&amp;$B85)</f>
        <v>1042744.6899999997</v>
      </c>
      <c r="G85" s="24">
        <f>SUMIFS('Saldos Iniciales'!$D:$D,'Saldos Iniciales'!$A:$A,"SSP Capital")+SUMIFS(Movimientos!$K$1:$K$790,Movimientos!$C$1:$C$790,"SSP Capital",Movimientos!$B$1:$B$790,"&lt;="&amp;$B85)</f>
        <v>2022877.8699999996</v>
      </c>
      <c r="H85" s="24">
        <f>SUMIFS('Saldos Iniciales'!$D:$D,'Saldos Iniciales'!$A:$A,"Cross Family Trust")+SUMIFS(Movimientos!$K$1:$K$790,Movimientos!$C$1:$C$790,"Cross Family Trust",Movimientos!$B$1:$B$790,"&lt;="&amp;$B85)</f>
        <v>200496.38</v>
      </c>
      <c r="I85" s="24">
        <f>SUMIFS('Saldos Iniciales'!$D:$D,'Saldos Iniciales'!$A:$A,"Cross Security Trust")+SUMIFS(Movimientos!$K$1:$K$790,Movimientos!$C$1:$C$790,"Cross Security Trust",Movimientos!$B$1:$B$790,"&lt;="&amp;$B85)</f>
        <v>88090.37</v>
      </c>
      <c r="J85" s="24">
        <f>SUMIFS('Saldos Iniciales'!$D:$D,'Saldos Iniciales'!$A:$A,"Electrama")+SUMIFS(Movimientos!$K$1:$K$790,Movimientos!$C$1:$C$790,"Electrama",Movimientos!$B$1:$B$790,"&lt;="&amp;$B85)</f>
        <v>14580.45</v>
      </c>
      <c r="K85" s="24">
        <f>SUMIFS('Saldos Iniciales'!$D:$D,'Saldos Iniciales'!$A:$A,"Sacred Valley Capital")+SUMIFS(Movimientos!$K$1:$K$790,Movimientos!$C$1:$C$790,"Sacred Valley Capital",Movimientos!$B$1:$B$790,"&lt;="&amp;$B85)</f>
        <v>54.400000000000006</v>
      </c>
      <c r="L85" s="24">
        <f>SUMIFS('Saldos Iniciales'!$D:$D,'Saldos Iniciales'!$A:$A,"YWC Capital")+SUMIFS(Movimientos!$K$1:$K$790,Movimientos!$C$1:$C$790,"YWC Capital",Movimientos!$B$1:$B$790,"&lt;="&amp;$B85)</f>
        <v>2207.8200000000002</v>
      </c>
      <c r="M85" s="24">
        <f>SUMIFS('Saldos Iniciales'!$D:$D,'Saldos Iniciales'!$A:$A,"Soweto")+SUMIFS(Movimientos!$K$1:$K$790,Movimientos!$C$1:$C$790,"Soweto",Movimientos!$B$1:$B$790,"&lt;="&amp;$B85)</f>
        <v>1454589.72</v>
      </c>
      <c r="N85" s="24">
        <f>SUMIFS('Saldos Iniciales'!$D:$D,'Saldos Iniciales'!$A:$A,"Green Stone Trust")+SUMIFS(Movimientos!$K$1:$K$790,Movimientos!$C$1:$C$790,"Green Stone Trust",Movimientos!$B$1:$B$790,"&lt;="&amp;$B85)</f>
        <v>1968.99</v>
      </c>
      <c r="O85" s="24">
        <f>SUMIFS('Saldos Iniciales'!$D:$D,'Saldos Iniciales'!$A:$A,"EC Auto")+SUMIFS(Movimientos!$K$1:$K$790,Movimientos!$C$1:$C$790,"EC Auto",Movimientos!$B$1:$B$790,"&lt;="&amp;$B85)</f>
        <v>901.34</v>
      </c>
      <c r="P85" s="24">
        <f>SUMIFS('Saldos Iniciales'!$D:$D,'Saldos Iniciales'!$A:$A,"Arbor Capital Properties")+SUMIFS(Movimientos!$K$1:$K$790,Movimientos!$C$1:$C$790,"Arbor Capital Properties",Movimientos!$B$1:$B$790,"&lt;="&amp;$B85)</f>
        <v>1412.08</v>
      </c>
      <c r="Q85" s="24">
        <f>SUMIFS('Saldos Iniciales'!$D:$D,'Saldos Iniciales'!$A:$A,"2515 Overbrook")+SUMIFS(Movimientos!$K$1:$K$790,Movimientos!$C$1:$C$790,"2515 Overbrook",Movimientos!$B$1:$B$790,"&lt;="&amp;$B85)</f>
        <v>22347.56999999996</v>
      </c>
      <c r="R85" s="24">
        <f>SUMIFS('Saldos Iniciales'!$D:$D,'Saldos Iniciales'!$A:$A,"112 Florida Ave")+SUMIFS(Movimientos!$K$1:$K$790,Movimientos!$C$1:$C$790,"112 Florida Ave",Movimientos!$B$1:$B$790,"&lt;="&amp;$B85)</f>
        <v>18522.800000000003</v>
      </c>
      <c r="S85" s="24">
        <f>SUMIFS('Saldos Iniciales'!$D:$D,'Saldos Iniciales'!$A:$A,"3628 Thomas Ave")+SUMIFS(Movimientos!$K$1:$K$790,Movimientos!$C$1:$C$790,"3628 Thomas Ave",Movimientos!$B$1:$B$790,"&lt;="&amp;$B85)</f>
        <v>24085.559999999998</v>
      </c>
      <c r="T85" s="24">
        <f>SUMIFS('Saldos Iniciales'!$D:$D,'Saldos Iniciales'!$A:$A,"Green Harbor Trust")+SUMIFS(Movimientos!$K$1:$K$790,Movimientos!$C$1:$C$790,"Green Harbor Trust",Movimientos!$B$1:$B$790,"&lt;="&amp;$B85)</f>
        <v>345</v>
      </c>
      <c r="U85" s="24">
        <f>SUMIFS('Saldos Iniciales'!$D:$D,'Saldos Iniciales'!$A:$A,"Go Blue")+SUMIFS(Movimientos!$K$1:$K$790,Movimientos!$C$1:$C$790,"Go Blue",Movimientos!$B$1:$B$790,"&lt;="&amp;$B85)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Group")+SUMIFS(Movimientos!$K$1:$K$790,Movimientos!$C$1:$C$790,"CFT Group",Movimientos!$B$1:$B$790,"&lt;="&amp;$B86)</f>
        <v>2255750.7400000007</v>
      </c>
      <c r="D86" s="24">
        <f>SUMIFS('Saldos Iniciales'!$D:$D,'Saldos Iniciales'!$A:$A,"M1B")+SUMIFS(Movimientos!$K$1:$K$790,Movimientos!$C$1:$C$790,"M1B",Movimientos!$B$1:$B$790,"&lt;="&amp;$B86)</f>
        <v>73157.680000000168</v>
      </c>
      <c r="E86" s="24">
        <f>SUMIFS('Saldos Iniciales'!$D:$D,'Saldos Iniciales'!$A:$A,"Durand")+SUMIFS(Movimientos!$K$1:$K$790,Movimientos!$C$1:$C$790,"Durand",Movimientos!$B$1:$B$790,"&lt;="&amp;$B86)</f>
        <v>1669.89</v>
      </c>
      <c r="F86" s="24">
        <f>SUMIFS('Saldos Iniciales'!$D:$D,'Saldos Iniciales'!$A:$A,"A&amp;M Imports")+SUMIFS(Movimientos!$K$1:$K$790,Movimientos!$C$1:$C$790,"A&amp;M Imports",Movimientos!$B$1:$B$790,"&lt;="&amp;$B86)</f>
        <v>1042744.6899999997</v>
      </c>
      <c r="G86" s="24">
        <f>SUMIFS('Saldos Iniciales'!$D:$D,'Saldos Iniciales'!$A:$A,"SSP Capital")+SUMIFS(Movimientos!$K$1:$K$790,Movimientos!$C$1:$C$790,"SSP Capital",Movimientos!$B$1:$B$790,"&lt;="&amp;$B86)</f>
        <v>2022877.8699999996</v>
      </c>
      <c r="H86" s="24">
        <f>SUMIFS('Saldos Iniciales'!$D:$D,'Saldos Iniciales'!$A:$A,"Cross Family Trust")+SUMIFS(Movimientos!$K$1:$K$790,Movimientos!$C$1:$C$790,"Cross Family Trust",Movimientos!$B$1:$B$790,"&lt;="&amp;$B86)</f>
        <v>200496.38</v>
      </c>
      <c r="I86" s="24">
        <f>SUMIFS('Saldos Iniciales'!$D:$D,'Saldos Iniciales'!$A:$A,"Cross Security Trust")+SUMIFS(Movimientos!$K$1:$K$790,Movimientos!$C$1:$C$790,"Cross Security Trust",Movimientos!$B$1:$B$790,"&lt;="&amp;$B86)</f>
        <v>88090.37</v>
      </c>
      <c r="J86" s="24">
        <f>SUMIFS('Saldos Iniciales'!$D:$D,'Saldos Iniciales'!$A:$A,"Electrama")+SUMIFS(Movimientos!$K$1:$K$790,Movimientos!$C$1:$C$790,"Electrama",Movimientos!$B$1:$B$790,"&lt;="&amp;$B86)</f>
        <v>14580.45</v>
      </c>
      <c r="K86" s="24">
        <f>SUMIFS('Saldos Iniciales'!$D:$D,'Saldos Iniciales'!$A:$A,"Sacred Valley Capital")+SUMIFS(Movimientos!$K$1:$K$790,Movimientos!$C$1:$C$790,"Sacred Valley Capital",Movimientos!$B$1:$B$790,"&lt;="&amp;$B86)</f>
        <v>54.400000000000006</v>
      </c>
      <c r="L86" s="24">
        <f>SUMIFS('Saldos Iniciales'!$D:$D,'Saldos Iniciales'!$A:$A,"YWC Capital")+SUMIFS(Movimientos!$K$1:$K$790,Movimientos!$C$1:$C$790,"YWC Capital",Movimientos!$B$1:$B$790,"&lt;="&amp;$B86)</f>
        <v>2207.8200000000002</v>
      </c>
      <c r="M86" s="24">
        <f>SUMIFS('Saldos Iniciales'!$D:$D,'Saldos Iniciales'!$A:$A,"Soweto")+SUMIFS(Movimientos!$K$1:$K$790,Movimientos!$C$1:$C$790,"Soweto",Movimientos!$B$1:$B$790,"&lt;="&amp;$B86)</f>
        <v>1454589.72</v>
      </c>
      <c r="N86" s="24">
        <f>SUMIFS('Saldos Iniciales'!$D:$D,'Saldos Iniciales'!$A:$A,"Green Stone Trust")+SUMIFS(Movimientos!$K$1:$K$790,Movimientos!$C$1:$C$790,"Green Stone Trust",Movimientos!$B$1:$B$790,"&lt;="&amp;$B86)</f>
        <v>1968.99</v>
      </c>
      <c r="O86" s="24">
        <f>SUMIFS('Saldos Iniciales'!$D:$D,'Saldos Iniciales'!$A:$A,"EC Auto")+SUMIFS(Movimientos!$K$1:$K$790,Movimientos!$C$1:$C$790,"EC Auto",Movimientos!$B$1:$B$790,"&lt;="&amp;$B86)</f>
        <v>901.34</v>
      </c>
      <c r="P86" s="24">
        <f>SUMIFS('Saldos Iniciales'!$D:$D,'Saldos Iniciales'!$A:$A,"Arbor Capital Properties")+SUMIFS(Movimientos!$K$1:$K$790,Movimientos!$C$1:$C$790,"Arbor Capital Properties",Movimientos!$B$1:$B$790,"&lt;="&amp;$B86)</f>
        <v>1412.08</v>
      </c>
      <c r="Q86" s="24">
        <f>SUMIFS('Saldos Iniciales'!$D:$D,'Saldos Iniciales'!$A:$A,"2515 Overbrook")+SUMIFS(Movimientos!$K$1:$K$790,Movimientos!$C$1:$C$790,"2515 Overbrook",Movimientos!$B$1:$B$790,"&lt;="&amp;$B86)</f>
        <v>22347.56999999996</v>
      </c>
      <c r="R86" s="24">
        <f>SUMIFS('Saldos Iniciales'!$D:$D,'Saldos Iniciales'!$A:$A,"112 Florida Ave")+SUMIFS(Movimientos!$K$1:$K$790,Movimientos!$C$1:$C$790,"112 Florida Ave",Movimientos!$B$1:$B$790,"&lt;="&amp;$B86)</f>
        <v>18522.800000000003</v>
      </c>
      <c r="S86" s="24">
        <f>SUMIFS('Saldos Iniciales'!$D:$D,'Saldos Iniciales'!$A:$A,"3628 Thomas Ave")+SUMIFS(Movimientos!$K$1:$K$790,Movimientos!$C$1:$C$790,"3628 Thomas Ave",Movimientos!$B$1:$B$790,"&lt;="&amp;$B86)</f>
        <v>24085.559999999998</v>
      </c>
      <c r="T86" s="24">
        <f>SUMIFS('Saldos Iniciales'!$D:$D,'Saldos Iniciales'!$A:$A,"Green Harbor Trust")+SUMIFS(Movimientos!$K$1:$K$790,Movimientos!$C$1:$C$790,"Green Harbor Trust",Movimientos!$B$1:$B$790,"&lt;="&amp;$B86)</f>
        <v>345</v>
      </c>
      <c r="U86" s="24">
        <f>SUMIFS('Saldos Iniciales'!$D:$D,'Saldos Iniciales'!$A:$A,"Go Blue")+SUMIFS(Movimientos!$K$1:$K$790,Movimientos!$C$1:$C$790,"Go Blue",Movimientos!$B$1:$B$790,"&lt;="&amp;$B86)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Group")+SUMIFS(Movimientos!$K$1:$K$790,Movimientos!$C$1:$C$790,"CFT Group",Movimientos!$B$1:$B$790,"&lt;="&amp;$B87)</f>
        <v>2255750.7400000007</v>
      </c>
      <c r="D87" s="24">
        <f>SUMIFS('Saldos Iniciales'!$D:$D,'Saldos Iniciales'!$A:$A,"M1B")+SUMIFS(Movimientos!$K$1:$K$790,Movimientos!$C$1:$C$790,"M1B",Movimientos!$B$1:$B$790,"&lt;="&amp;$B87)</f>
        <v>73157.680000000168</v>
      </c>
      <c r="E87" s="24">
        <f>SUMIFS('Saldos Iniciales'!$D:$D,'Saldos Iniciales'!$A:$A,"Durand")+SUMIFS(Movimientos!$K$1:$K$790,Movimientos!$C$1:$C$790,"Durand",Movimientos!$B$1:$B$790,"&lt;="&amp;$B87)</f>
        <v>1669.89</v>
      </c>
      <c r="F87" s="24">
        <f>SUMIFS('Saldos Iniciales'!$D:$D,'Saldos Iniciales'!$A:$A,"A&amp;M Imports")+SUMIFS(Movimientos!$K$1:$K$790,Movimientos!$C$1:$C$790,"A&amp;M Imports",Movimientos!$B$1:$B$790,"&lt;="&amp;$B87)</f>
        <v>1042744.6899999997</v>
      </c>
      <c r="G87" s="24">
        <f>SUMIFS('Saldos Iniciales'!$D:$D,'Saldos Iniciales'!$A:$A,"SSP Capital")+SUMIFS(Movimientos!$K$1:$K$790,Movimientos!$C$1:$C$790,"SSP Capital",Movimientos!$B$1:$B$790,"&lt;="&amp;$B87)</f>
        <v>2022877.8699999996</v>
      </c>
      <c r="H87" s="24">
        <f>SUMIFS('Saldos Iniciales'!$D:$D,'Saldos Iniciales'!$A:$A,"Cross Family Trust")+SUMIFS(Movimientos!$K$1:$K$790,Movimientos!$C$1:$C$790,"Cross Family Trust",Movimientos!$B$1:$B$790,"&lt;="&amp;$B87)</f>
        <v>200496.38</v>
      </c>
      <c r="I87" s="24">
        <f>SUMIFS('Saldos Iniciales'!$D:$D,'Saldos Iniciales'!$A:$A,"Cross Security Trust")+SUMIFS(Movimientos!$K$1:$K$790,Movimientos!$C$1:$C$790,"Cross Security Trust",Movimientos!$B$1:$B$790,"&lt;="&amp;$B87)</f>
        <v>88090.37</v>
      </c>
      <c r="J87" s="24">
        <f>SUMIFS('Saldos Iniciales'!$D:$D,'Saldos Iniciales'!$A:$A,"Electrama")+SUMIFS(Movimientos!$K$1:$K$790,Movimientos!$C$1:$C$790,"Electrama",Movimientos!$B$1:$B$790,"&lt;="&amp;$B87)</f>
        <v>14580.45</v>
      </c>
      <c r="K87" s="24">
        <f>SUMIFS('Saldos Iniciales'!$D:$D,'Saldos Iniciales'!$A:$A,"Sacred Valley Capital")+SUMIFS(Movimientos!$K$1:$K$790,Movimientos!$C$1:$C$790,"Sacred Valley Capital",Movimientos!$B$1:$B$790,"&lt;="&amp;$B87)</f>
        <v>54.400000000000006</v>
      </c>
      <c r="L87" s="24">
        <f>SUMIFS('Saldos Iniciales'!$D:$D,'Saldos Iniciales'!$A:$A,"YWC Capital")+SUMIFS(Movimientos!$K$1:$K$790,Movimientos!$C$1:$C$790,"YWC Capital",Movimientos!$B$1:$B$790,"&lt;="&amp;$B87)</f>
        <v>2207.8200000000002</v>
      </c>
      <c r="M87" s="24">
        <f>SUMIFS('Saldos Iniciales'!$D:$D,'Saldos Iniciales'!$A:$A,"Soweto")+SUMIFS(Movimientos!$K$1:$K$790,Movimientos!$C$1:$C$790,"Soweto",Movimientos!$B$1:$B$790,"&lt;="&amp;$B87)</f>
        <v>1454589.72</v>
      </c>
      <c r="N87" s="24">
        <f>SUMIFS('Saldos Iniciales'!$D:$D,'Saldos Iniciales'!$A:$A,"Green Stone Trust")+SUMIFS(Movimientos!$K$1:$K$790,Movimientos!$C$1:$C$790,"Green Stone Trust",Movimientos!$B$1:$B$790,"&lt;="&amp;$B87)</f>
        <v>1968.99</v>
      </c>
      <c r="O87" s="24">
        <f>SUMIFS('Saldos Iniciales'!$D:$D,'Saldos Iniciales'!$A:$A,"EC Auto")+SUMIFS(Movimientos!$K$1:$K$790,Movimientos!$C$1:$C$790,"EC Auto",Movimientos!$B$1:$B$790,"&lt;="&amp;$B87)</f>
        <v>901.34</v>
      </c>
      <c r="P87" s="24">
        <f>SUMIFS('Saldos Iniciales'!$D:$D,'Saldos Iniciales'!$A:$A,"Arbor Capital Properties")+SUMIFS(Movimientos!$K$1:$K$790,Movimientos!$C$1:$C$790,"Arbor Capital Properties",Movimientos!$B$1:$B$790,"&lt;="&amp;$B87)</f>
        <v>1412.08</v>
      </c>
      <c r="Q87" s="24">
        <f>SUMIFS('Saldos Iniciales'!$D:$D,'Saldos Iniciales'!$A:$A,"2515 Overbrook")+SUMIFS(Movimientos!$K$1:$K$790,Movimientos!$C$1:$C$790,"2515 Overbrook",Movimientos!$B$1:$B$790,"&lt;="&amp;$B87)</f>
        <v>22347.56999999996</v>
      </c>
      <c r="R87" s="24">
        <f>SUMIFS('Saldos Iniciales'!$D:$D,'Saldos Iniciales'!$A:$A,"112 Florida Ave")+SUMIFS(Movimientos!$K$1:$K$790,Movimientos!$C$1:$C$790,"112 Florida Ave",Movimientos!$B$1:$B$790,"&lt;="&amp;$B87)</f>
        <v>18522.800000000003</v>
      </c>
      <c r="S87" s="24">
        <f>SUMIFS('Saldos Iniciales'!$D:$D,'Saldos Iniciales'!$A:$A,"3628 Thomas Ave")+SUMIFS(Movimientos!$K$1:$K$790,Movimientos!$C$1:$C$790,"3628 Thomas Ave",Movimientos!$B$1:$B$790,"&lt;="&amp;$B87)</f>
        <v>24085.559999999998</v>
      </c>
      <c r="T87" s="24">
        <f>SUMIFS('Saldos Iniciales'!$D:$D,'Saldos Iniciales'!$A:$A,"Green Harbor Trust")+SUMIFS(Movimientos!$K$1:$K$790,Movimientos!$C$1:$C$790,"Green Harbor Trust",Movimientos!$B$1:$B$790,"&lt;="&amp;$B87)</f>
        <v>345</v>
      </c>
      <c r="U87" s="24">
        <f>SUMIFS('Saldos Iniciales'!$D:$D,'Saldos Iniciales'!$A:$A,"Go Blue")+SUMIFS(Movimientos!$K$1:$K$790,Movimientos!$C$1:$C$790,"Go Blue",Movimientos!$B$1:$B$790,"&lt;="&amp;$B87)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Group")+SUMIFS(Movimientos!$K$1:$K$790,Movimientos!$C$1:$C$790,"CFT Group",Movimientos!$B$1:$B$790,"&lt;="&amp;$B88)</f>
        <v>2255750.7400000007</v>
      </c>
      <c r="D88" s="24">
        <f>SUMIFS('Saldos Iniciales'!$D:$D,'Saldos Iniciales'!$A:$A,"M1B")+SUMIFS(Movimientos!$K$1:$K$790,Movimientos!$C$1:$C$790,"M1B",Movimientos!$B$1:$B$790,"&lt;="&amp;$B88)</f>
        <v>73157.680000000168</v>
      </c>
      <c r="E88" s="24">
        <f>SUMIFS('Saldos Iniciales'!$D:$D,'Saldos Iniciales'!$A:$A,"Durand")+SUMIFS(Movimientos!$K$1:$K$790,Movimientos!$C$1:$C$790,"Durand",Movimientos!$B$1:$B$790,"&lt;="&amp;$B88)</f>
        <v>1669.89</v>
      </c>
      <c r="F88" s="24">
        <f>SUMIFS('Saldos Iniciales'!$D:$D,'Saldos Iniciales'!$A:$A,"A&amp;M Imports")+SUMIFS(Movimientos!$K$1:$K$790,Movimientos!$C$1:$C$790,"A&amp;M Imports",Movimientos!$B$1:$B$790,"&lt;="&amp;$B88)</f>
        <v>1042744.6899999997</v>
      </c>
      <c r="G88" s="24">
        <f>SUMIFS('Saldos Iniciales'!$D:$D,'Saldos Iniciales'!$A:$A,"SSP Capital")+SUMIFS(Movimientos!$K$1:$K$790,Movimientos!$C$1:$C$790,"SSP Capital",Movimientos!$B$1:$B$790,"&lt;="&amp;$B88)</f>
        <v>2022877.8699999996</v>
      </c>
      <c r="H88" s="24">
        <f>SUMIFS('Saldos Iniciales'!$D:$D,'Saldos Iniciales'!$A:$A,"Cross Family Trust")+SUMIFS(Movimientos!$K$1:$K$790,Movimientos!$C$1:$C$790,"Cross Family Trust",Movimientos!$B$1:$B$790,"&lt;="&amp;$B88)</f>
        <v>200496.38</v>
      </c>
      <c r="I88" s="24">
        <f>SUMIFS('Saldos Iniciales'!$D:$D,'Saldos Iniciales'!$A:$A,"Cross Security Trust")+SUMIFS(Movimientos!$K$1:$K$790,Movimientos!$C$1:$C$790,"Cross Security Trust",Movimientos!$B$1:$B$790,"&lt;="&amp;$B88)</f>
        <v>88090.37</v>
      </c>
      <c r="J88" s="24">
        <f>SUMIFS('Saldos Iniciales'!$D:$D,'Saldos Iniciales'!$A:$A,"Electrama")+SUMIFS(Movimientos!$K$1:$K$790,Movimientos!$C$1:$C$790,"Electrama",Movimientos!$B$1:$B$790,"&lt;="&amp;$B88)</f>
        <v>14580.45</v>
      </c>
      <c r="K88" s="24">
        <f>SUMIFS('Saldos Iniciales'!$D:$D,'Saldos Iniciales'!$A:$A,"Sacred Valley Capital")+SUMIFS(Movimientos!$K$1:$K$790,Movimientos!$C$1:$C$790,"Sacred Valley Capital",Movimientos!$B$1:$B$790,"&lt;="&amp;$B88)</f>
        <v>54.400000000000006</v>
      </c>
      <c r="L88" s="24">
        <f>SUMIFS('Saldos Iniciales'!$D:$D,'Saldos Iniciales'!$A:$A,"YWC Capital")+SUMIFS(Movimientos!$K$1:$K$790,Movimientos!$C$1:$C$790,"YWC Capital",Movimientos!$B$1:$B$790,"&lt;="&amp;$B88)</f>
        <v>2207.8200000000002</v>
      </c>
      <c r="M88" s="24">
        <f>SUMIFS('Saldos Iniciales'!$D:$D,'Saldos Iniciales'!$A:$A,"Soweto")+SUMIFS(Movimientos!$K$1:$K$790,Movimientos!$C$1:$C$790,"Soweto",Movimientos!$B$1:$B$790,"&lt;="&amp;$B88)</f>
        <v>1454589.72</v>
      </c>
      <c r="N88" s="24">
        <f>SUMIFS('Saldos Iniciales'!$D:$D,'Saldos Iniciales'!$A:$A,"Green Stone Trust")+SUMIFS(Movimientos!$K$1:$K$790,Movimientos!$C$1:$C$790,"Green Stone Trust",Movimientos!$B$1:$B$790,"&lt;="&amp;$B88)</f>
        <v>1968.99</v>
      </c>
      <c r="O88" s="24">
        <f>SUMIFS('Saldos Iniciales'!$D:$D,'Saldos Iniciales'!$A:$A,"EC Auto")+SUMIFS(Movimientos!$K$1:$K$790,Movimientos!$C$1:$C$790,"EC Auto",Movimientos!$B$1:$B$790,"&lt;="&amp;$B88)</f>
        <v>901.34</v>
      </c>
      <c r="P88" s="24">
        <f>SUMIFS('Saldos Iniciales'!$D:$D,'Saldos Iniciales'!$A:$A,"Arbor Capital Properties")+SUMIFS(Movimientos!$K$1:$K$790,Movimientos!$C$1:$C$790,"Arbor Capital Properties",Movimientos!$B$1:$B$790,"&lt;="&amp;$B88)</f>
        <v>1412.08</v>
      </c>
      <c r="Q88" s="24">
        <f>SUMIFS('Saldos Iniciales'!$D:$D,'Saldos Iniciales'!$A:$A,"2515 Overbrook")+SUMIFS(Movimientos!$K$1:$K$790,Movimientos!$C$1:$C$790,"2515 Overbrook",Movimientos!$B$1:$B$790,"&lt;="&amp;$B88)</f>
        <v>22347.56999999996</v>
      </c>
      <c r="R88" s="24">
        <f>SUMIFS('Saldos Iniciales'!$D:$D,'Saldos Iniciales'!$A:$A,"112 Florida Ave")+SUMIFS(Movimientos!$K$1:$K$790,Movimientos!$C$1:$C$790,"112 Florida Ave",Movimientos!$B$1:$B$790,"&lt;="&amp;$B88)</f>
        <v>18522.800000000003</v>
      </c>
      <c r="S88" s="24">
        <f>SUMIFS('Saldos Iniciales'!$D:$D,'Saldos Iniciales'!$A:$A,"3628 Thomas Ave")+SUMIFS(Movimientos!$K$1:$K$790,Movimientos!$C$1:$C$790,"3628 Thomas Ave",Movimientos!$B$1:$B$790,"&lt;="&amp;$B88)</f>
        <v>24085.559999999998</v>
      </c>
      <c r="T88" s="24">
        <f>SUMIFS('Saldos Iniciales'!$D:$D,'Saldos Iniciales'!$A:$A,"Green Harbor Trust")+SUMIFS(Movimientos!$K$1:$K$790,Movimientos!$C$1:$C$790,"Green Harbor Trust",Movimientos!$B$1:$B$790,"&lt;="&amp;$B88)</f>
        <v>345</v>
      </c>
      <c r="U88" s="24">
        <f>SUMIFS('Saldos Iniciales'!$D:$D,'Saldos Iniciales'!$A:$A,"Go Blue")+SUMIFS(Movimientos!$K$1:$K$790,Movimientos!$C$1:$C$790,"Go Blue",Movimientos!$B$1:$B$790,"&lt;="&amp;$B88)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Group")+SUMIFS(Movimientos!$K$1:$K$790,Movimientos!$C$1:$C$790,"CFT Group",Movimientos!$B$1:$B$790,"&lt;="&amp;$B89)</f>
        <v>2255750.7400000007</v>
      </c>
      <c r="D89" s="24">
        <f>SUMIFS('Saldos Iniciales'!$D:$D,'Saldos Iniciales'!$A:$A,"M1B")+SUMIFS(Movimientos!$K$1:$K$790,Movimientos!$C$1:$C$790,"M1B",Movimientos!$B$1:$B$790,"&lt;="&amp;$B89)</f>
        <v>73157.680000000168</v>
      </c>
      <c r="E89" s="24">
        <f>SUMIFS('Saldos Iniciales'!$D:$D,'Saldos Iniciales'!$A:$A,"Durand")+SUMIFS(Movimientos!$K$1:$K$790,Movimientos!$C$1:$C$790,"Durand",Movimientos!$B$1:$B$790,"&lt;="&amp;$B89)</f>
        <v>1669.89</v>
      </c>
      <c r="F89" s="24">
        <f>SUMIFS('Saldos Iniciales'!$D:$D,'Saldos Iniciales'!$A:$A,"A&amp;M Imports")+SUMIFS(Movimientos!$K$1:$K$790,Movimientos!$C$1:$C$790,"A&amp;M Imports",Movimientos!$B$1:$B$790,"&lt;="&amp;$B89)</f>
        <v>1392744.6899999997</v>
      </c>
      <c r="G89" s="24">
        <f>SUMIFS('Saldos Iniciales'!$D:$D,'Saldos Iniciales'!$A:$A,"SSP Capital")+SUMIFS(Movimientos!$K$1:$K$790,Movimientos!$C$1:$C$790,"SSP Capital",Movimientos!$B$1:$B$790,"&lt;="&amp;$B89)</f>
        <v>2022877.8699999996</v>
      </c>
      <c r="H89" s="24">
        <f>SUMIFS('Saldos Iniciales'!$D:$D,'Saldos Iniciales'!$A:$A,"Cross Family Trust")+SUMIFS(Movimientos!$K$1:$K$790,Movimientos!$C$1:$C$790,"Cross Family Trust",Movimientos!$B$1:$B$790,"&lt;="&amp;$B89)</f>
        <v>190496.38</v>
      </c>
      <c r="I89" s="24">
        <f>SUMIFS('Saldos Iniciales'!$D:$D,'Saldos Iniciales'!$A:$A,"Cross Security Trust")+SUMIFS(Movimientos!$K$1:$K$790,Movimientos!$C$1:$C$790,"Cross Security Trust",Movimientos!$B$1:$B$790,"&lt;="&amp;$B89)</f>
        <v>88090.37</v>
      </c>
      <c r="J89" s="24">
        <f>SUMIFS('Saldos Iniciales'!$D:$D,'Saldos Iniciales'!$A:$A,"Electrama")+SUMIFS(Movimientos!$K$1:$K$790,Movimientos!$C$1:$C$790,"Electrama",Movimientos!$B$1:$B$790,"&lt;="&amp;$B89)</f>
        <v>14580.45</v>
      </c>
      <c r="K89" s="24">
        <f>SUMIFS('Saldos Iniciales'!$D:$D,'Saldos Iniciales'!$A:$A,"Sacred Valley Capital")+SUMIFS(Movimientos!$K$1:$K$790,Movimientos!$C$1:$C$790,"Sacred Valley Capital",Movimientos!$B$1:$B$790,"&lt;="&amp;$B89)</f>
        <v>54.400000000000006</v>
      </c>
      <c r="L89" s="24">
        <f>SUMIFS('Saldos Iniciales'!$D:$D,'Saldos Iniciales'!$A:$A,"YWC Capital")+SUMIFS(Movimientos!$K$1:$K$790,Movimientos!$C$1:$C$790,"YWC Capital",Movimientos!$B$1:$B$790,"&lt;="&amp;$B89)</f>
        <v>2207.8200000000002</v>
      </c>
      <c r="M89" s="24">
        <f>SUMIFS('Saldos Iniciales'!$D:$D,'Saldos Iniciales'!$A:$A,"Soweto")+SUMIFS(Movimientos!$K$1:$K$790,Movimientos!$C$1:$C$790,"Soweto",Movimientos!$B$1:$B$790,"&lt;="&amp;$B89)</f>
        <v>1454589.72</v>
      </c>
      <c r="N89" s="24">
        <f>SUMIFS('Saldos Iniciales'!$D:$D,'Saldos Iniciales'!$A:$A,"Green Stone Trust")+SUMIFS(Movimientos!$K$1:$K$790,Movimientos!$C$1:$C$790,"Green Stone Trust",Movimientos!$B$1:$B$790,"&lt;="&amp;$B89)</f>
        <v>1968.99</v>
      </c>
      <c r="O89" s="24">
        <f>SUMIFS('Saldos Iniciales'!$D:$D,'Saldos Iniciales'!$A:$A,"EC Auto")+SUMIFS(Movimientos!$K$1:$K$790,Movimientos!$C$1:$C$790,"EC Auto",Movimientos!$B$1:$B$790,"&lt;="&amp;$B89)</f>
        <v>901.34</v>
      </c>
      <c r="P89" s="24">
        <f>SUMIFS('Saldos Iniciales'!$D:$D,'Saldos Iniciales'!$A:$A,"Arbor Capital Properties")+SUMIFS(Movimientos!$K$1:$K$790,Movimientos!$C$1:$C$790,"Arbor Capital Properties",Movimientos!$B$1:$B$790,"&lt;="&amp;$B89)</f>
        <v>1412.08</v>
      </c>
      <c r="Q89" s="24">
        <f>SUMIFS('Saldos Iniciales'!$D:$D,'Saldos Iniciales'!$A:$A,"2515 Overbrook")+SUMIFS(Movimientos!$K$1:$K$790,Movimientos!$C$1:$C$790,"2515 Overbrook",Movimientos!$B$1:$B$790,"&lt;="&amp;$B89)</f>
        <v>22347.56999999996</v>
      </c>
      <c r="R89" s="24">
        <f>SUMIFS('Saldos Iniciales'!$D:$D,'Saldos Iniciales'!$A:$A,"112 Florida Ave")+SUMIFS(Movimientos!$K$1:$K$790,Movimientos!$C$1:$C$790,"112 Florida Ave",Movimientos!$B$1:$B$790,"&lt;="&amp;$B89)</f>
        <v>18522.800000000003</v>
      </c>
      <c r="S89" s="24">
        <f>SUMIFS('Saldos Iniciales'!$D:$D,'Saldos Iniciales'!$A:$A,"3628 Thomas Ave")+SUMIFS(Movimientos!$K$1:$K$790,Movimientos!$C$1:$C$790,"3628 Thomas Ave",Movimientos!$B$1:$B$790,"&lt;="&amp;$B89)</f>
        <v>24085.559999999998</v>
      </c>
      <c r="T89" s="24">
        <f>SUMIFS('Saldos Iniciales'!$D:$D,'Saldos Iniciales'!$A:$A,"Green Harbor Trust")+SUMIFS(Movimientos!$K$1:$K$790,Movimientos!$C$1:$C$790,"Green Harbor Trust",Movimientos!$B$1:$B$790,"&lt;="&amp;$B89)</f>
        <v>345</v>
      </c>
      <c r="U89" s="24">
        <f>SUMIFS('Saldos Iniciales'!$D:$D,'Saldos Iniciales'!$A:$A,"Go Blue")+SUMIFS(Movimientos!$K$1:$K$790,Movimientos!$C$1:$C$790,"Go Blue",Movimientos!$B$1:$B$790,"&lt;="&amp;$B89)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Group")+SUMIFS(Movimientos!$K$1:$K$790,Movimientos!$C$1:$C$790,"CFT Group",Movimientos!$B$1:$B$790,"&lt;="&amp;$B90)</f>
        <v>2255750.7400000007</v>
      </c>
      <c r="D90" s="24">
        <f>SUMIFS('Saldos Iniciales'!$D:$D,'Saldos Iniciales'!$A:$A,"M1B")+SUMIFS(Movimientos!$K$1:$K$790,Movimientos!$C$1:$C$790,"M1B",Movimientos!$B$1:$B$790,"&lt;="&amp;$B90)</f>
        <v>80574.12000000017</v>
      </c>
      <c r="E90" s="24">
        <f>SUMIFS('Saldos Iniciales'!$D:$D,'Saldos Iniciales'!$A:$A,"Durand")+SUMIFS(Movimientos!$K$1:$K$790,Movimientos!$C$1:$C$790,"Durand",Movimientos!$B$1:$B$790,"&lt;="&amp;$B90)</f>
        <v>1669.89</v>
      </c>
      <c r="F90" s="24">
        <f>SUMIFS('Saldos Iniciales'!$D:$D,'Saldos Iniciales'!$A:$A,"A&amp;M Imports")+SUMIFS(Movimientos!$K$1:$K$790,Movimientos!$C$1:$C$790,"A&amp;M Imports",Movimientos!$B$1:$B$790,"&lt;="&amp;$B90)</f>
        <v>1415636.7399999998</v>
      </c>
      <c r="G90" s="24">
        <f>SUMIFS('Saldos Iniciales'!$D:$D,'Saldos Iniciales'!$A:$A,"SSP Capital")+SUMIFS(Movimientos!$K$1:$K$790,Movimientos!$C$1:$C$790,"SSP Capital",Movimientos!$B$1:$B$790,"&lt;="&amp;$B90)</f>
        <v>1857997.0999999996</v>
      </c>
      <c r="H90" s="24">
        <f>SUMIFS('Saldos Iniciales'!$D:$D,'Saldos Iniciales'!$A:$A,"Cross Family Trust")+SUMIFS(Movimientos!$K$1:$K$790,Movimientos!$C$1:$C$790,"Cross Family Trust",Movimientos!$B$1:$B$790,"&lt;="&amp;$B90)</f>
        <v>190496.38</v>
      </c>
      <c r="I90" s="24">
        <f>SUMIFS('Saldos Iniciales'!$D:$D,'Saldos Iniciales'!$A:$A,"Cross Security Trust")+SUMIFS(Movimientos!$K$1:$K$790,Movimientos!$C$1:$C$790,"Cross Security Trust",Movimientos!$B$1:$B$790,"&lt;="&amp;$B90)</f>
        <v>88090.37</v>
      </c>
      <c r="J90" s="24">
        <f>SUMIFS('Saldos Iniciales'!$D:$D,'Saldos Iniciales'!$A:$A,"Electrama")+SUMIFS(Movimientos!$K$1:$K$790,Movimientos!$C$1:$C$790,"Electrama",Movimientos!$B$1:$B$790,"&lt;="&amp;$B90)</f>
        <v>14580.45</v>
      </c>
      <c r="K90" s="24">
        <f>SUMIFS('Saldos Iniciales'!$D:$D,'Saldos Iniciales'!$A:$A,"Sacred Valley Capital")+SUMIFS(Movimientos!$K$1:$K$790,Movimientos!$C$1:$C$790,"Sacred Valley Capital",Movimientos!$B$1:$B$790,"&lt;="&amp;$B90)</f>
        <v>54.400000000000006</v>
      </c>
      <c r="L90" s="24">
        <f>SUMIFS('Saldos Iniciales'!$D:$D,'Saldos Iniciales'!$A:$A,"YWC Capital")+SUMIFS(Movimientos!$K$1:$K$790,Movimientos!$C$1:$C$790,"YWC Capital",Movimientos!$B$1:$B$790,"&lt;="&amp;$B90)</f>
        <v>2207.8200000000002</v>
      </c>
      <c r="M90" s="24">
        <f>SUMIFS('Saldos Iniciales'!$D:$D,'Saldos Iniciales'!$A:$A,"Soweto")+SUMIFS(Movimientos!$K$1:$K$790,Movimientos!$C$1:$C$790,"Soweto",Movimientos!$B$1:$B$790,"&lt;="&amp;$B90)</f>
        <v>1454589.72</v>
      </c>
      <c r="N90" s="24">
        <f>SUMIFS('Saldos Iniciales'!$D:$D,'Saldos Iniciales'!$A:$A,"Green Stone Trust")+SUMIFS(Movimientos!$K$1:$K$790,Movimientos!$C$1:$C$790,"Green Stone Trust",Movimientos!$B$1:$B$790,"&lt;="&amp;$B90)</f>
        <v>1968.99</v>
      </c>
      <c r="O90" s="24">
        <f>SUMIFS('Saldos Iniciales'!$D:$D,'Saldos Iniciales'!$A:$A,"EC Auto")+SUMIFS(Movimientos!$K$1:$K$790,Movimientos!$C$1:$C$790,"EC Auto",Movimientos!$B$1:$B$790,"&lt;="&amp;$B90)</f>
        <v>901.34</v>
      </c>
      <c r="P90" s="24">
        <f>SUMIFS('Saldos Iniciales'!$D:$D,'Saldos Iniciales'!$A:$A,"Arbor Capital Properties")+SUMIFS(Movimientos!$K$1:$K$790,Movimientos!$C$1:$C$790,"Arbor Capital Properties",Movimientos!$B$1:$B$790,"&lt;="&amp;$B90)</f>
        <v>1412.08</v>
      </c>
      <c r="Q90" s="24">
        <f>SUMIFS('Saldos Iniciales'!$D:$D,'Saldos Iniciales'!$A:$A,"2515 Overbrook")+SUMIFS(Movimientos!$K$1:$K$790,Movimientos!$C$1:$C$790,"2515 Overbrook",Movimientos!$B$1:$B$790,"&lt;="&amp;$B90)</f>
        <v>22347.56999999996</v>
      </c>
      <c r="R90" s="24">
        <f>SUMIFS('Saldos Iniciales'!$D:$D,'Saldos Iniciales'!$A:$A,"112 Florida Ave")+SUMIFS(Movimientos!$K$1:$K$790,Movimientos!$C$1:$C$790,"112 Florida Ave",Movimientos!$B$1:$B$790,"&lt;="&amp;$B90)</f>
        <v>18522.800000000003</v>
      </c>
      <c r="S90" s="24">
        <f>SUMIFS('Saldos Iniciales'!$D:$D,'Saldos Iniciales'!$A:$A,"3628 Thomas Ave")+SUMIFS(Movimientos!$K$1:$K$790,Movimientos!$C$1:$C$790,"3628 Thomas Ave",Movimientos!$B$1:$B$790,"&lt;="&amp;$B90)</f>
        <v>24085.559999999998</v>
      </c>
      <c r="T90" s="24">
        <f>SUMIFS('Saldos Iniciales'!$D:$D,'Saldos Iniciales'!$A:$A,"Green Harbor Trust")+SUMIFS(Movimientos!$K$1:$K$790,Movimientos!$C$1:$C$790,"Green Harbor Trust",Movimientos!$B$1:$B$790,"&lt;="&amp;$B90)</f>
        <v>345</v>
      </c>
      <c r="U90" s="24">
        <f>SUMIFS('Saldos Iniciales'!$D:$D,'Saldos Iniciales'!$A:$A,"Go Blue")+SUMIFS(Movimientos!$K$1:$K$790,Movimientos!$C$1:$C$790,"Go Blue",Movimientos!$B$1:$B$790,"&lt;="&amp;$B90)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Group")+SUMIFS(Movimientos!$K$1:$K$790,Movimientos!$C$1:$C$790,"CFT Group",Movimientos!$B$1:$B$790,"&lt;="&amp;$B91)</f>
        <v>2270539.1300000008</v>
      </c>
      <c r="D91" s="24">
        <f>SUMIFS('Saldos Iniciales'!$D:$D,'Saldos Iniciales'!$A:$A,"M1B")+SUMIFS(Movimientos!$K$1:$K$790,Movimientos!$C$1:$C$790,"M1B",Movimientos!$B$1:$B$790,"&lt;="&amp;$B91)</f>
        <v>83211.250000000175</v>
      </c>
      <c r="E91" s="24">
        <f>SUMIFS('Saldos Iniciales'!$D:$D,'Saldos Iniciales'!$A:$A,"Durand")+SUMIFS(Movimientos!$K$1:$K$790,Movimientos!$C$1:$C$790,"Durand",Movimientos!$B$1:$B$790,"&lt;="&amp;$B91)</f>
        <v>1669.89</v>
      </c>
      <c r="F91" s="24">
        <f>SUMIFS('Saldos Iniciales'!$D:$D,'Saldos Iniciales'!$A:$A,"A&amp;M Imports")+SUMIFS(Movimientos!$K$1:$K$790,Movimientos!$C$1:$C$790,"A&amp;M Imports",Movimientos!$B$1:$B$790,"&lt;="&amp;$B91)</f>
        <v>1434634.5999999999</v>
      </c>
      <c r="G91" s="24">
        <f>SUMIFS('Saldos Iniciales'!$D:$D,'Saldos Iniciales'!$A:$A,"SSP Capital")+SUMIFS(Movimientos!$K$1:$K$790,Movimientos!$C$1:$C$790,"SSP Capital",Movimientos!$B$1:$B$790,"&lt;="&amp;$B91)</f>
        <v>1857997.0999999996</v>
      </c>
      <c r="H91" s="24">
        <f>SUMIFS('Saldos Iniciales'!$D:$D,'Saldos Iniciales'!$A:$A,"Cross Family Trust")+SUMIFS(Movimientos!$K$1:$K$790,Movimientos!$C$1:$C$790,"Cross Family Trust",Movimientos!$B$1:$B$790,"&lt;="&amp;$B91)</f>
        <v>190496.38</v>
      </c>
      <c r="I91" s="24">
        <f>SUMIFS('Saldos Iniciales'!$D:$D,'Saldos Iniciales'!$A:$A,"Cross Security Trust")+SUMIFS(Movimientos!$K$1:$K$790,Movimientos!$C$1:$C$790,"Cross Security Trust",Movimientos!$B$1:$B$790,"&lt;="&amp;$B91)</f>
        <v>88090.37</v>
      </c>
      <c r="J91" s="24">
        <f>SUMIFS('Saldos Iniciales'!$D:$D,'Saldos Iniciales'!$A:$A,"Electrama")+SUMIFS(Movimientos!$K$1:$K$790,Movimientos!$C$1:$C$790,"Electrama",Movimientos!$B$1:$B$790,"&lt;="&amp;$B91)</f>
        <v>14580.45</v>
      </c>
      <c r="K91" s="24">
        <f>SUMIFS('Saldos Iniciales'!$D:$D,'Saldos Iniciales'!$A:$A,"Sacred Valley Capital")+SUMIFS(Movimientos!$K$1:$K$790,Movimientos!$C$1:$C$790,"Sacred Valley Capital",Movimientos!$B$1:$B$790,"&lt;="&amp;$B91)</f>
        <v>54.400000000000006</v>
      </c>
      <c r="L91" s="24">
        <f>SUMIFS('Saldos Iniciales'!$D:$D,'Saldos Iniciales'!$A:$A,"YWC Capital")+SUMIFS(Movimientos!$K$1:$K$790,Movimientos!$C$1:$C$790,"YWC Capital",Movimientos!$B$1:$B$790,"&lt;="&amp;$B91)</f>
        <v>2207.8200000000002</v>
      </c>
      <c r="M91" s="24">
        <f>SUMIFS('Saldos Iniciales'!$D:$D,'Saldos Iniciales'!$A:$A,"Soweto")+SUMIFS(Movimientos!$K$1:$K$790,Movimientos!$C$1:$C$790,"Soweto",Movimientos!$B$1:$B$790,"&lt;="&amp;$B91)</f>
        <v>1454589.72</v>
      </c>
      <c r="N91" s="24">
        <f>SUMIFS('Saldos Iniciales'!$D:$D,'Saldos Iniciales'!$A:$A,"Green Stone Trust")+SUMIFS(Movimientos!$K$1:$K$790,Movimientos!$C$1:$C$790,"Green Stone Trust",Movimientos!$B$1:$B$790,"&lt;="&amp;$B91)</f>
        <v>1968.99</v>
      </c>
      <c r="O91" s="24">
        <f>SUMIFS('Saldos Iniciales'!$D:$D,'Saldos Iniciales'!$A:$A,"EC Auto")+SUMIFS(Movimientos!$K$1:$K$790,Movimientos!$C$1:$C$790,"EC Auto",Movimientos!$B$1:$B$790,"&lt;="&amp;$B91)</f>
        <v>901.34</v>
      </c>
      <c r="P91" s="24">
        <f>SUMIFS('Saldos Iniciales'!$D:$D,'Saldos Iniciales'!$A:$A,"Arbor Capital Properties")+SUMIFS(Movimientos!$K$1:$K$790,Movimientos!$C$1:$C$790,"Arbor Capital Properties",Movimientos!$B$1:$B$790,"&lt;="&amp;$B91)</f>
        <v>1412.08</v>
      </c>
      <c r="Q91" s="24">
        <f>SUMIFS('Saldos Iniciales'!$D:$D,'Saldos Iniciales'!$A:$A,"2515 Overbrook")+SUMIFS(Movimientos!$K$1:$K$790,Movimientos!$C$1:$C$790,"2515 Overbrook",Movimientos!$B$1:$B$790,"&lt;="&amp;$B91)</f>
        <v>22347.56999999996</v>
      </c>
      <c r="R91" s="24">
        <f>SUMIFS('Saldos Iniciales'!$D:$D,'Saldos Iniciales'!$A:$A,"112 Florida Ave")+SUMIFS(Movimientos!$K$1:$K$790,Movimientos!$C$1:$C$790,"112 Florida Ave",Movimientos!$B$1:$B$790,"&lt;="&amp;$B91)</f>
        <v>18522.800000000003</v>
      </c>
      <c r="S91" s="24">
        <f>SUMIFS('Saldos Iniciales'!$D:$D,'Saldos Iniciales'!$A:$A,"3628 Thomas Ave")+SUMIFS(Movimientos!$K$1:$K$790,Movimientos!$C$1:$C$790,"3628 Thomas Ave",Movimientos!$B$1:$B$790,"&lt;="&amp;$B91)</f>
        <v>24085.559999999998</v>
      </c>
      <c r="T91" s="24">
        <f>SUMIFS('Saldos Iniciales'!$D:$D,'Saldos Iniciales'!$A:$A,"Green Harbor Trust")+SUMIFS(Movimientos!$K$1:$K$790,Movimientos!$C$1:$C$790,"Green Harbor Trust",Movimientos!$B$1:$B$790,"&lt;="&amp;$B91)</f>
        <v>345</v>
      </c>
      <c r="U91" s="24">
        <f>SUMIFS('Saldos Iniciales'!$D:$D,'Saldos Iniciales'!$A:$A,"Go Blue")+SUMIFS(Movimientos!$K$1:$K$790,Movimientos!$C$1:$C$790,"Go Blue",Movimientos!$B$1:$B$790,"&lt;="&amp;$B91)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Group")+SUMIFS(Movimientos!$K$1:$K$790,Movimientos!$C$1:$C$790,"CFT Group",Movimientos!$B$1:$B$790,"&lt;="&amp;$B92)</f>
        <v>2470350.7000000002</v>
      </c>
      <c r="D92" s="24">
        <f>SUMIFS('Saldos Iniciales'!$D:$D,'Saldos Iniciales'!$A:$A,"M1B")+SUMIFS(Movimientos!$K$1:$K$790,Movimientos!$C$1:$C$790,"M1B",Movimientos!$B$1:$B$790,"&lt;="&amp;$B92)</f>
        <v>83211.250000000175</v>
      </c>
      <c r="E92" s="24">
        <f>SUMIFS('Saldos Iniciales'!$D:$D,'Saldos Iniciales'!$A:$A,"Durand")+SUMIFS(Movimientos!$K$1:$K$790,Movimientos!$C$1:$C$790,"Durand",Movimientos!$B$1:$B$790,"&lt;="&amp;$B92)</f>
        <v>1669.89</v>
      </c>
      <c r="F92" s="24">
        <f>SUMIFS('Saldos Iniciales'!$D:$D,'Saldos Iniciales'!$A:$A,"A&amp;M Imports")+SUMIFS(Movimientos!$K$1:$K$790,Movimientos!$C$1:$C$790,"A&amp;M Imports",Movimientos!$B$1:$B$790,"&lt;="&amp;$B92)</f>
        <v>1458426.0399999998</v>
      </c>
      <c r="G92" s="24">
        <f>SUMIFS('Saldos Iniciales'!$D:$D,'Saldos Iniciales'!$A:$A,"SSP Capital")+SUMIFS(Movimientos!$K$1:$K$790,Movimientos!$C$1:$C$790,"SSP Capital",Movimientos!$B$1:$B$790,"&lt;="&amp;$B92)</f>
        <v>1857993.8499999996</v>
      </c>
      <c r="H92" s="24">
        <f>SUMIFS('Saldos Iniciales'!$D:$D,'Saldos Iniciales'!$A:$A,"Cross Family Trust")+SUMIFS(Movimientos!$K$1:$K$790,Movimientos!$C$1:$C$790,"Cross Family Trust",Movimientos!$B$1:$B$790,"&lt;="&amp;$B92)</f>
        <v>190496.38</v>
      </c>
      <c r="I92" s="24">
        <f>SUMIFS('Saldos Iniciales'!$D:$D,'Saldos Iniciales'!$A:$A,"Cross Security Trust")+SUMIFS(Movimientos!$K$1:$K$790,Movimientos!$C$1:$C$790,"Cross Security Trust",Movimientos!$B$1:$B$790,"&lt;="&amp;$B92)</f>
        <v>88090.37</v>
      </c>
      <c r="J92" s="24">
        <f>SUMIFS('Saldos Iniciales'!$D:$D,'Saldos Iniciales'!$A:$A,"Electrama")+SUMIFS(Movimientos!$K$1:$K$790,Movimientos!$C$1:$C$790,"Electrama",Movimientos!$B$1:$B$790,"&lt;="&amp;$B92)</f>
        <v>14580.45</v>
      </c>
      <c r="K92" s="24">
        <f>SUMIFS('Saldos Iniciales'!$D:$D,'Saldos Iniciales'!$A:$A,"Sacred Valley Capital")+SUMIFS(Movimientos!$K$1:$K$790,Movimientos!$C$1:$C$790,"Sacred Valley Capital",Movimientos!$B$1:$B$790,"&lt;="&amp;$B92)</f>
        <v>54.400000000000006</v>
      </c>
      <c r="L92" s="24">
        <f>SUMIFS('Saldos Iniciales'!$D:$D,'Saldos Iniciales'!$A:$A,"YWC Capital")+SUMIFS(Movimientos!$K$1:$K$790,Movimientos!$C$1:$C$790,"YWC Capital",Movimientos!$B$1:$B$790,"&lt;="&amp;$B92)</f>
        <v>2207.8200000000002</v>
      </c>
      <c r="M92" s="24">
        <f>SUMIFS('Saldos Iniciales'!$D:$D,'Saldos Iniciales'!$A:$A,"Soweto")+SUMIFS(Movimientos!$K$1:$K$790,Movimientos!$C$1:$C$790,"Soweto",Movimientos!$B$1:$B$790,"&lt;="&amp;$B92)</f>
        <v>1454589.72</v>
      </c>
      <c r="N92" s="24">
        <f>SUMIFS('Saldos Iniciales'!$D:$D,'Saldos Iniciales'!$A:$A,"Green Stone Trust")+SUMIFS(Movimientos!$K$1:$K$790,Movimientos!$C$1:$C$790,"Green Stone Trust",Movimientos!$B$1:$B$790,"&lt;="&amp;$B92)</f>
        <v>1968.99</v>
      </c>
      <c r="O92" s="24">
        <f>SUMIFS('Saldos Iniciales'!$D:$D,'Saldos Iniciales'!$A:$A,"EC Auto")+SUMIFS(Movimientos!$K$1:$K$790,Movimientos!$C$1:$C$790,"EC Auto",Movimientos!$B$1:$B$790,"&lt;="&amp;$B92)</f>
        <v>901.34</v>
      </c>
      <c r="P92" s="24">
        <f>SUMIFS('Saldos Iniciales'!$D:$D,'Saldos Iniciales'!$A:$A,"Arbor Capital Properties")+SUMIFS(Movimientos!$K$1:$K$790,Movimientos!$C$1:$C$790,"Arbor Capital Properties",Movimientos!$B$1:$B$790,"&lt;="&amp;$B92)</f>
        <v>1412.08</v>
      </c>
      <c r="Q92" s="24">
        <f>SUMIFS('Saldos Iniciales'!$D:$D,'Saldos Iniciales'!$A:$A,"2515 Overbrook")+SUMIFS(Movimientos!$K$1:$K$790,Movimientos!$C$1:$C$790,"2515 Overbrook",Movimientos!$B$1:$B$790,"&lt;="&amp;$B92)</f>
        <v>22347.56999999996</v>
      </c>
      <c r="R92" s="24">
        <f>SUMIFS('Saldos Iniciales'!$D:$D,'Saldos Iniciales'!$A:$A,"112 Florida Ave")+SUMIFS(Movimientos!$K$1:$K$790,Movimientos!$C$1:$C$790,"112 Florida Ave",Movimientos!$B$1:$B$790,"&lt;="&amp;$B92)</f>
        <v>18522.800000000003</v>
      </c>
      <c r="S92" s="24">
        <f>SUMIFS('Saldos Iniciales'!$D:$D,'Saldos Iniciales'!$A:$A,"3628 Thomas Ave")+SUMIFS(Movimientos!$K$1:$K$790,Movimientos!$C$1:$C$790,"3628 Thomas Ave",Movimientos!$B$1:$B$790,"&lt;="&amp;$B92)</f>
        <v>24085.559999999998</v>
      </c>
      <c r="T92" s="24">
        <f>SUMIFS('Saldos Iniciales'!$D:$D,'Saldos Iniciales'!$A:$A,"Green Harbor Trust")+SUMIFS(Movimientos!$K$1:$K$790,Movimientos!$C$1:$C$790,"Green Harbor Trust",Movimientos!$B$1:$B$790,"&lt;="&amp;$B92)</f>
        <v>345</v>
      </c>
      <c r="U92" s="24">
        <f>SUMIFS('Saldos Iniciales'!$D:$D,'Saldos Iniciales'!$A:$A,"Go Blue")+SUMIFS(Movimientos!$K$1:$K$790,Movimientos!$C$1:$C$790,"Go Blue",Movimientos!$B$1:$B$790,"&lt;="&amp;$B92)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Group")+SUMIFS(Movimientos!$K$1:$K$790,Movimientos!$C$1:$C$790,"CFT Group",Movimientos!$B$1:$B$790,"&lt;="&amp;$B93)</f>
        <v>2468032.08</v>
      </c>
      <c r="D93" s="24">
        <f>SUMIFS('Saldos Iniciales'!$D:$D,'Saldos Iniciales'!$A:$A,"M1B")+SUMIFS(Movimientos!$K$1:$K$790,Movimientos!$C$1:$C$790,"M1B",Movimientos!$B$1:$B$790,"&lt;="&amp;$B93)</f>
        <v>83211.250000000175</v>
      </c>
      <c r="E93" s="24">
        <f>SUMIFS('Saldos Iniciales'!$D:$D,'Saldos Iniciales'!$A:$A,"Durand")+SUMIFS(Movimientos!$K$1:$K$790,Movimientos!$C$1:$C$790,"Durand",Movimientos!$B$1:$B$790,"&lt;="&amp;$B93)</f>
        <v>1669.89</v>
      </c>
      <c r="F93" s="24">
        <f>SUMIFS('Saldos Iniciales'!$D:$D,'Saldos Iniciales'!$A:$A,"A&amp;M Imports")+SUMIFS(Movimientos!$K$1:$K$790,Movimientos!$C$1:$C$790,"A&amp;M Imports",Movimientos!$B$1:$B$790,"&lt;="&amp;$B93)</f>
        <v>1458426.0399999998</v>
      </c>
      <c r="G93" s="24">
        <f>SUMIFS('Saldos Iniciales'!$D:$D,'Saldos Iniciales'!$A:$A,"SSP Capital")+SUMIFS(Movimientos!$K$1:$K$790,Movimientos!$C$1:$C$790,"SSP Capital",Movimientos!$B$1:$B$790,"&lt;="&amp;$B93)</f>
        <v>1514477.1199999996</v>
      </c>
      <c r="H93" s="24">
        <f>SUMIFS('Saldos Iniciales'!$D:$D,'Saldos Iniciales'!$A:$A,"Cross Family Trust")+SUMIFS(Movimientos!$K$1:$K$790,Movimientos!$C$1:$C$790,"Cross Family Trust",Movimientos!$B$1:$B$790,"&lt;="&amp;$B93)</f>
        <v>190496.38</v>
      </c>
      <c r="I93" s="24">
        <f>SUMIFS('Saldos Iniciales'!$D:$D,'Saldos Iniciales'!$A:$A,"Cross Security Trust")+SUMIFS(Movimientos!$K$1:$K$790,Movimientos!$C$1:$C$790,"Cross Security Trust",Movimientos!$B$1:$B$790,"&lt;="&amp;$B93)</f>
        <v>88090.37</v>
      </c>
      <c r="J93" s="24">
        <f>SUMIFS('Saldos Iniciales'!$D:$D,'Saldos Iniciales'!$A:$A,"Electrama")+SUMIFS(Movimientos!$K$1:$K$790,Movimientos!$C$1:$C$790,"Electrama",Movimientos!$B$1:$B$790,"&lt;="&amp;$B93)</f>
        <v>14580.45</v>
      </c>
      <c r="K93" s="24">
        <f>SUMIFS('Saldos Iniciales'!$D:$D,'Saldos Iniciales'!$A:$A,"Sacred Valley Capital")+SUMIFS(Movimientos!$K$1:$K$790,Movimientos!$C$1:$C$790,"Sacred Valley Capital",Movimientos!$B$1:$B$790,"&lt;="&amp;$B93)</f>
        <v>54.400000000000006</v>
      </c>
      <c r="L93" s="24">
        <f>SUMIFS('Saldos Iniciales'!$D:$D,'Saldos Iniciales'!$A:$A,"YWC Capital")+SUMIFS(Movimientos!$K$1:$K$790,Movimientos!$C$1:$C$790,"YWC Capital",Movimientos!$B$1:$B$790,"&lt;="&amp;$B93)</f>
        <v>2207.8200000000002</v>
      </c>
      <c r="M93" s="24">
        <f>SUMIFS('Saldos Iniciales'!$D:$D,'Saldos Iniciales'!$A:$A,"Soweto")+SUMIFS(Movimientos!$K$1:$K$790,Movimientos!$C$1:$C$790,"Soweto",Movimientos!$B$1:$B$790,"&lt;="&amp;$B93)</f>
        <v>1454589.72</v>
      </c>
      <c r="N93" s="24">
        <f>SUMIFS('Saldos Iniciales'!$D:$D,'Saldos Iniciales'!$A:$A,"Green Stone Trust")+SUMIFS(Movimientos!$K$1:$K$790,Movimientos!$C$1:$C$790,"Green Stone Trust",Movimientos!$B$1:$B$790,"&lt;="&amp;$B93)</f>
        <v>1968.99</v>
      </c>
      <c r="O93" s="24">
        <f>SUMIFS('Saldos Iniciales'!$D:$D,'Saldos Iniciales'!$A:$A,"EC Auto")+SUMIFS(Movimientos!$K$1:$K$790,Movimientos!$C$1:$C$790,"EC Auto",Movimientos!$B$1:$B$790,"&lt;="&amp;$B93)</f>
        <v>901.34</v>
      </c>
      <c r="P93" s="24">
        <f>SUMIFS('Saldos Iniciales'!$D:$D,'Saldos Iniciales'!$A:$A,"Arbor Capital Properties")+SUMIFS(Movimientos!$K$1:$K$790,Movimientos!$C$1:$C$790,"Arbor Capital Properties",Movimientos!$B$1:$B$790,"&lt;="&amp;$B93)</f>
        <v>1412.08</v>
      </c>
      <c r="Q93" s="24">
        <f>SUMIFS('Saldos Iniciales'!$D:$D,'Saldos Iniciales'!$A:$A,"2515 Overbrook")+SUMIFS(Movimientos!$K$1:$K$790,Movimientos!$C$1:$C$790,"2515 Overbrook",Movimientos!$B$1:$B$790,"&lt;="&amp;$B93)</f>
        <v>22347.56999999996</v>
      </c>
      <c r="R93" s="24">
        <f>SUMIFS('Saldos Iniciales'!$D:$D,'Saldos Iniciales'!$A:$A,"112 Florida Ave")+SUMIFS(Movimientos!$K$1:$K$790,Movimientos!$C$1:$C$790,"112 Florida Ave",Movimientos!$B$1:$B$790,"&lt;="&amp;$B93)</f>
        <v>18522.800000000003</v>
      </c>
      <c r="S93" s="24">
        <f>SUMIFS('Saldos Iniciales'!$D:$D,'Saldos Iniciales'!$A:$A,"3628 Thomas Ave")+SUMIFS(Movimientos!$K$1:$K$790,Movimientos!$C$1:$C$790,"3628 Thomas Ave",Movimientos!$B$1:$B$790,"&lt;="&amp;$B93)</f>
        <v>24085.559999999998</v>
      </c>
      <c r="T93" s="24">
        <f>SUMIFS('Saldos Iniciales'!$D:$D,'Saldos Iniciales'!$A:$A,"Green Harbor Trust")+SUMIFS(Movimientos!$K$1:$K$790,Movimientos!$C$1:$C$790,"Green Harbor Trust",Movimientos!$B$1:$B$790,"&lt;="&amp;$B93)</f>
        <v>345</v>
      </c>
      <c r="U93" s="24">
        <f>SUMIFS('Saldos Iniciales'!$D:$D,'Saldos Iniciales'!$A:$A,"Go Blue")+SUMIFS(Movimientos!$K$1:$K$790,Movimientos!$C$1:$C$790,"Go Blue",Movimientos!$B$1:$B$790,"&lt;="&amp;$B93)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Group")+SUMIFS(Movimientos!$K$1:$K$790,Movimientos!$C$1:$C$790,"CFT Group",Movimientos!$B$1:$B$790,"&lt;="&amp;$B94)</f>
        <v>2468032.08</v>
      </c>
      <c r="D94" s="24">
        <f>SUMIFS('Saldos Iniciales'!$D:$D,'Saldos Iniciales'!$A:$A,"M1B")+SUMIFS(Movimientos!$K$1:$K$790,Movimientos!$C$1:$C$790,"M1B",Movimientos!$B$1:$B$790,"&lt;="&amp;$B94)</f>
        <v>83211.250000000175</v>
      </c>
      <c r="E94" s="24">
        <f>SUMIFS('Saldos Iniciales'!$D:$D,'Saldos Iniciales'!$A:$A,"Durand")+SUMIFS(Movimientos!$K$1:$K$790,Movimientos!$C$1:$C$790,"Durand",Movimientos!$B$1:$B$790,"&lt;="&amp;$B94)</f>
        <v>1669.89</v>
      </c>
      <c r="F94" s="24">
        <f>SUMIFS('Saldos Iniciales'!$D:$D,'Saldos Iniciales'!$A:$A,"A&amp;M Imports")+SUMIFS(Movimientos!$K$1:$K$790,Movimientos!$C$1:$C$790,"A&amp;M Imports",Movimientos!$B$1:$B$790,"&lt;="&amp;$B94)</f>
        <v>1458426.0399999998</v>
      </c>
      <c r="G94" s="24">
        <f>SUMIFS('Saldos Iniciales'!$D:$D,'Saldos Iniciales'!$A:$A,"SSP Capital")+SUMIFS(Movimientos!$K$1:$K$790,Movimientos!$C$1:$C$790,"SSP Capital",Movimientos!$B$1:$B$790,"&lt;="&amp;$B94)</f>
        <v>1514477.1199999996</v>
      </c>
      <c r="H94" s="24">
        <f>SUMIFS('Saldos Iniciales'!$D:$D,'Saldos Iniciales'!$A:$A,"Cross Family Trust")+SUMIFS(Movimientos!$K$1:$K$790,Movimientos!$C$1:$C$790,"Cross Family Trust",Movimientos!$B$1:$B$790,"&lt;="&amp;$B94)</f>
        <v>190496.38</v>
      </c>
      <c r="I94" s="24">
        <f>SUMIFS('Saldos Iniciales'!$D:$D,'Saldos Iniciales'!$A:$A,"Cross Security Trust")+SUMIFS(Movimientos!$K$1:$K$790,Movimientos!$C$1:$C$790,"Cross Security Trust",Movimientos!$B$1:$B$790,"&lt;="&amp;$B94)</f>
        <v>88090.37</v>
      </c>
      <c r="J94" s="24">
        <f>SUMIFS('Saldos Iniciales'!$D:$D,'Saldos Iniciales'!$A:$A,"Electrama")+SUMIFS(Movimientos!$K$1:$K$790,Movimientos!$C$1:$C$790,"Electrama",Movimientos!$B$1:$B$790,"&lt;="&amp;$B94)</f>
        <v>14580.45</v>
      </c>
      <c r="K94" s="24">
        <f>SUMIFS('Saldos Iniciales'!$D:$D,'Saldos Iniciales'!$A:$A,"Sacred Valley Capital")+SUMIFS(Movimientos!$K$1:$K$790,Movimientos!$C$1:$C$790,"Sacred Valley Capital",Movimientos!$B$1:$B$790,"&lt;="&amp;$B94)</f>
        <v>54.400000000000006</v>
      </c>
      <c r="L94" s="24">
        <f>SUMIFS('Saldos Iniciales'!$D:$D,'Saldos Iniciales'!$A:$A,"YWC Capital")+SUMIFS(Movimientos!$K$1:$K$790,Movimientos!$C$1:$C$790,"YWC Capital",Movimientos!$B$1:$B$790,"&lt;="&amp;$B94)</f>
        <v>2207.8200000000002</v>
      </c>
      <c r="M94" s="24">
        <f>SUMIFS('Saldos Iniciales'!$D:$D,'Saldos Iniciales'!$A:$A,"Soweto")+SUMIFS(Movimientos!$K$1:$K$790,Movimientos!$C$1:$C$790,"Soweto",Movimientos!$B$1:$B$790,"&lt;="&amp;$B94)</f>
        <v>1454589.72</v>
      </c>
      <c r="N94" s="24">
        <f>SUMIFS('Saldos Iniciales'!$D:$D,'Saldos Iniciales'!$A:$A,"Green Stone Trust")+SUMIFS(Movimientos!$K$1:$K$790,Movimientos!$C$1:$C$790,"Green Stone Trust",Movimientos!$B$1:$B$790,"&lt;="&amp;$B94)</f>
        <v>1968.99</v>
      </c>
      <c r="O94" s="24">
        <f>SUMIFS('Saldos Iniciales'!$D:$D,'Saldos Iniciales'!$A:$A,"EC Auto")+SUMIFS(Movimientos!$K$1:$K$790,Movimientos!$C$1:$C$790,"EC Auto",Movimientos!$B$1:$B$790,"&lt;="&amp;$B94)</f>
        <v>901.34</v>
      </c>
      <c r="P94" s="24">
        <f>SUMIFS('Saldos Iniciales'!$D:$D,'Saldos Iniciales'!$A:$A,"Arbor Capital Properties")+SUMIFS(Movimientos!$K$1:$K$790,Movimientos!$C$1:$C$790,"Arbor Capital Properties",Movimientos!$B$1:$B$790,"&lt;="&amp;$B94)</f>
        <v>1412.08</v>
      </c>
      <c r="Q94" s="24">
        <f>SUMIFS('Saldos Iniciales'!$D:$D,'Saldos Iniciales'!$A:$A,"2515 Overbrook")+SUMIFS(Movimientos!$K$1:$K$790,Movimientos!$C$1:$C$790,"2515 Overbrook",Movimientos!$B$1:$B$790,"&lt;="&amp;$B94)</f>
        <v>22347.56999999996</v>
      </c>
      <c r="R94" s="24">
        <f>SUMIFS('Saldos Iniciales'!$D:$D,'Saldos Iniciales'!$A:$A,"112 Florida Ave")+SUMIFS(Movimientos!$K$1:$K$790,Movimientos!$C$1:$C$790,"112 Florida Ave",Movimientos!$B$1:$B$790,"&lt;="&amp;$B94)</f>
        <v>18522.800000000003</v>
      </c>
      <c r="S94" s="24">
        <f>SUMIFS('Saldos Iniciales'!$D:$D,'Saldos Iniciales'!$A:$A,"3628 Thomas Ave")+SUMIFS(Movimientos!$K$1:$K$790,Movimientos!$C$1:$C$790,"3628 Thomas Ave",Movimientos!$B$1:$B$790,"&lt;="&amp;$B94)</f>
        <v>24085.559999999998</v>
      </c>
      <c r="T94" s="24">
        <f>SUMIFS('Saldos Iniciales'!$D:$D,'Saldos Iniciales'!$A:$A,"Green Harbor Trust")+SUMIFS(Movimientos!$K$1:$K$790,Movimientos!$C$1:$C$790,"Green Harbor Trust",Movimientos!$B$1:$B$790,"&lt;="&amp;$B94)</f>
        <v>345</v>
      </c>
      <c r="U94" s="24">
        <f>SUMIFS('Saldos Iniciales'!$D:$D,'Saldos Iniciales'!$A:$A,"Go Blue")+SUMIFS(Movimientos!$K$1:$K$790,Movimientos!$C$1:$C$790,"Go Blue",Movimientos!$B$1:$B$790,"&lt;="&amp;$B94)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Group")+SUMIFS(Movimientos!$K$1:$K$790,Movimientos!$C$1:$C$790,"CFT Group",Movimientos!$B$1:$B$790,"&lt;="&amp;$B95)</f>
        <v>2468032.08</v>
      </c>
      <c r="D95" s="24">
        <f>SUMIFS('Saldos Iniciales'!$D:$D,'Saldos Iniciales'!$A:$A,"M1B")+SUMIFS(Movimientos!$K$1:$K$790,Movimientos!$C$1:$C$790,"M1B",Movimientos!$B$1:$B$790,"&lt;="&amp;$B95)</f>
        <v>83211.250000000175</v>
      </c>
      <c r="E95" s="24">
        <f>SUMIFS('Saldos Iniciales'!$D:$D,'Saldos Iniciales'!$A:$A,"Durand")+SUMIFS(Movimientos!$K$1:$K$790,Movimientos!$C$1:$C$790,"Durand",Movimientos!$B$1:$B$790,"&lt;="&amp;$B95)</f>
        <v>1669.89</v>
      </c>
      <c r="F95" s="24">
        <f>SUMIFS('Saldos Iniciales'!$D:$D,'Saldos Iniciales'!$A:$A,"A&amp;M Imports")+SUMIFS(Movimientos!$K$1:$K$790,Movimientos!$C$1:$C$790,"A&amp;M Imports",Movimientos!$B$1:$B$790,"&lt;="&amp;$B95)</f>
        <v>1458426.0399999998</v>
      </c>
      <c r="G95" s="24">
        <f>SUMIFS('Saldos Iniciales'!$D:$D,'Saldos Iniciales'!$A:$A,"SSP Capital")+SUMIFS(Movimientos!$K$1:$K$790,Movimientos!$C$1:$C$790,"SSP Capital",Movimientos!$B$1:$B$790,"&lt;="&amp;$B95)</f>
        <v>1514477.1199999996</v>
      </c>
      <c r="H95" s="24">
        <f>SUMIFS('Saldos Iniciales'!$D:$D,'Saldos Iniciales'!$A:$A,"Cross Family Trust")+SUMIFS(Movimientos!$K$1:$K$790,Movimientos!$C$1:$C$790,"Cross Family Trust",Movimientos!$B$1:$B$790,"&lt;="&amp;$B95)</f>
        <v>190496.38</v>
      </c>
      <c r="I95" s="24">
        <f>SUMIFS('Saldos Iniciales'!$D:$D,'Saldos Iniciales'!$A:$A,"Cross Security Trust")+SUMIFS(Movimientos!$K$1:$K$790,Movimientos!$C$1:$C$790,"Cross Security Trust",Movimientos!$B$1:$B$790,"&lt;="&amp;$B95)</f>
        <v>88090.37</v>
      </c>
      <c r="J95" s="24">
        <f>SUMIFS('Saldos Iniciales'!$D:$D,'Saldos Iniciales'!$A:$A,"Electrama")+SUMIFS(Movimientos!$K$1:$K$790,Movimientos!$C$1:$C$790,"Electrama",Movimientos!$B$1:$B$790,"&lt;="&amp;$B95)</f>
        <v>14580.45</v>
      </c>
      <c r="K95" s="24">
        <f>SUMIFS('Saldos Iniciales'!$D:$D,'Saldos Iniciales'!$A:$A,"Sacred Valley Capital")+SUMIFS(Movimientos!$K$1:$K$790,Movimientos!$C$1:$C$790,"Sacred Valley Capital",Movimientos!$B$1:$B$790,"&lt;="&amp;$B95)</f>
        <v>54.400000000000006</v>
      </c>
      <c r="L95" s="24">
        <f>SUMIFS('Saldos Iniciales'!$D:$D,'Saldos Iniciales'!$A:$A,"YWC Capital")+SUMIFS(Movimientos!$K$1:$K$790,Movimientos!$C$1:$C$790,"YWC Capital",Movimientos!$B$1:$B$790,"&lt;="&amp;$B95)</f>
        <v>2207.8200000000002</v>
      </c>
      <c r="M95" s="24">
        <f>SUMIFS('Saldos Iniciales'!$D:$D,'Saldos Iniciales'!$A:$A,"Soweto")+SUMIFS(Movimientos!$K$1:$K$790,Movimientos!$C$1:$C$790,"Soweto",Movimientos!$B$1:$B$790,"&lt;="&amp;$B95)</f>
        <v>1454589.72</v>
      </c>
      <c r="N95" s="24">
        <f>SUMIFS('Saldos Iniciales'!$D:$D,'Saldos Iniciales'!$A:$A,"Green Stone Trust")+SUMIFS(Movimientos!$K$1:$K$790,Movimientos!$C$1:$C$790,"Green Stone Trust",Movimientos!$B$1:$B$790,"&lt;="&amp;$B95)</f>
        <v>1968.99</v>
      </c>
      <c r="O95" s="24">
        <f>SUMIFS('Saldos Iniciales'!$D:$D,'Saldos Iniciales'!$A:$A,"EC Auto")+SUMIFS(Movimientos!$K$1:$K$790,Movimientos!$C$1:$C$790,"EC Auto",Movimientos!$B$1:$B$790,"&lt;="&amp;$B95)</f>
        <v>901.34</v>
      </c>
      <c r="P95" s="24">
        <f>SUMIFS('Saldos Iniciales'!$D:$D,'Saldos Iniciales'!$A:$A,"Arbor Capital Properties")+SUMIFS(Movimientos!$K$1:$K$790,Movimientos!$C$1:$C$790,"Arbor Capital Properties",Movimientos!$B$1:$B$790,"&lt;="&amp;$B95)</f>
        <v>1412.08</v>
      </c>
      <c r="Q95" s="24">
        <f>SUMIFS('Saldos Iniciales'!$D:$D,'Saldos Iniciales'!$A:$A,"2515 Overbrook")+SUMIFS(Movimientos!$K$1:$K$790,Movimientos!$C$1:$C$790,"2515 Overbrook",Movimientos!$B$1:$B$790,"&lt;="&amp;$B95)</f>
        <v>22347.56999999996</v>
      </c>
      <c r="R95" s="24">
        <f>SUMIFS('Saldos Iniciales'!$D:$D,'Saldos Iniciales'!$A:$A,"112 Florida Ave")+SUMIFS(Movimientos!$K$1:$K$790,Movimientos!$C$1:$C$790,"112 Florida Ave",Movimientos!$B$1:$B$790,"&lt;="&amp;$B95)</f>
        <v>18522.800000000003</v>
      </c>
      <c r="S95" s="24">
        <f>SUMIFS('Saldos Iniciales'!$D:$D,'Saldos Iniciales'!$A:$A,"3628 Thomas Ave")+SUMIFS(Movimientos!$K$1:$K$790,Movimientos!$C$1:$C$790,"3628 Thomas Ave",Movimientos!$B$1:$B$790,"&lt;="&amp;$B95)</f>
        <v>24085.559999999998</v>
      </c>
      <c r="T95" s="24">
        <f>SUMIFS('Saldos Iniciales'!$D:$D,'Saldos Iniciales'!$A:$A,"Green Harbor Trust")+SUMIFS(Movimientos!$K$1:$K$790,Movimientos!$C$1:$C$790,"Green Harbor Trust",Movimientos!$B$1:$B$790,"&lt;="&amp;$B95)</f>
        <v>345</v>
      </c>
      <c r="U95" s="24">
        <f>SUMIFS('Saldos Iniciales'!$D:$D,'Saldos Iniciales'!$A:$A,"Go Blue")+SUMIFS(Movimientos!$K$1:$K$790,Movimientos!$C$1:$C$790,"Go Blue",Movimientos!$B$1:$B$790,"&lt;="&amp;$B95)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Group")+SUMIFS(Movimientos!$K$1:$K$790,Movimientos!$C$1:$C$790,"CFT Group",Movimientos!$B$1:$B$790,"&lt;="&amp;$B96)</f>
        <v>2468032.08</v>
      </c>
      <c r="D96" s="24">
        <f>SUMIFS('Saldos Iniciales'!$D:$D,'Saldos Iniciales'!$A:$A,"M1B")+SUMIFS(Movimientos!$K$1:$K$790,Movimientos!$C$1:$C$790,"M1B",Movimientos!$B$1:$B$790,"&lt;="&amp;$B96)</f>
        <v>83211.250000000175</v>
      </c>
      <c r="E96" s="24">
        <f>SUMIFS('Saldos Iniciales'!$D:$D,'Saldos Iniciales'!$A:$A,"Durand")+SUMIFS(Movimientos!$K$1:$K$790,Movimientos!$C$1:$C$790,"Durand",Movimientos!$B$1:$B$790,"&lt;="&amp;$B96)</f>
        <v>1669.89</v>
      </c>
      <c r="F96" s="24">
        <f>SUMIFS('Saldos Iniciales'!$D:$D,'Saldos Iniciales'!$A:$A,"A&amp;M Imports")+SUMIFS(Movimientos!$K$1:$K$790,Movimientos!$C$1:$C$790,"A&amp;M Imports",Movimientos!$B$1:$B$790,"&lt;="&amp;$B96)</f>
        <v>1458426.0399999998</v>
      </c>
      <c r="G96" s="24">
        <f>SUMIFS('Saldos Iniciales'!$D:$D,'Saldos Iniciales'!$A:$A,"SSP Capital")+SUMIFS(Movimientos!$K$1:$K$790,Movimientos!$C$1:$C$790,"SSP Capital",Movimientos!$B$1:$B$790,"&lt;="&amp;$B96)</f>
        <v>1514477.1199999996</v>
      </c>
      <c r="H96" s="24">
        <f>SUMIFS('Saldos Iniciales'!$D:$D,'Saldos Iniciales'!$A:$A,"Cross Family Trust")+SUMIFS(Movimientos!$K$1:$K$790,Movimientos!$C$1:$C$790,"Cross Family Trust",Movimientos!$B$1:$B$790,"&lt;="&amp;$B96)</f>
        <v>190496.38</v>
      </c>
      <c r="I96" s="24">
        <f>SUMIFS('Saldos Iniciales'!$D:$D,'Saldos Iniciales'!$A:$A,"Cross Security Trust")+SUMIFS(Movimientos!$K$1:$K$790,Movimientos!$C$1:$C$790,"Cross Security Trust",Movimientos!$B$1:$B$790,"&lt;="&amp;$B96)</f>
        <v>88090.37</v>
      </c>
      <c r="J96" s="24">
        <f>SUMIFS('Saldos Iniciales'!$D:$D,'Saldos Iniciales'!$A:$A,"Electrama")+SUMIFS(Movimientos!$K$1:$K$790,Movimientos!$C$1:$C$790,"Electrama",Movimientos!$B$1:$B$790,"&lt;="&amp;$B96)</f>
        <v>14580.45</v>
      </c>
      <c r="K96" s="24">
        <f>SUMIFS('Saldos Iniciales'!$D:$D,'Saldos Iniciales'!$A:$A,"Sacred Valley Capital")+SUMIFS(Movimientos!$K$1:$K$790,Movimientos!$C$1:$C$790,"Sacred Valley Capital",Movimientos!$B$1:$B$790,"&lt;="&amp;$B96)</f>
        <v>24.450000000000003</v>
      </c>
      <c r="L96" s="24">
        <f>SUMIFS('Saldos Iniciales'!$D:$D,'Saldos Iniciales'!$A:$A,"YWC Capital")+SUMIFS(Movimientos!$K$1:$K$790,Movimientos!$C$1:$C$790,"YWC Capital",Movimientos!$B$1:$B$790,"&lt;="&amp;$B96)</f>
        <v>2177.87</v>
      </c>
      <c r="M96" s="24">
        <f>SUMIFS('Saldos Iniciales'!$D:$D,'Saldos Iniciales'!$A:$A,"Soweto")+SUMIFS(Movimientos!$K$1:$K$790,Movimientos!$C$1:$C$790,"Soweto",Movimientos!$B$1:$B$790,"&lt;="&amp;$B96)</f>
        <v>1454589.72</v>
      </c>
      <c r="N96" s="24">
        <f>SUMIFS('Saldos Iniciales'!$D:$D,'Saldos Iniciales'!$A:$A,"Green Stone Trust")+SUMIFS(Movimientos!$K$1:$K$790,Movimientos!$C$1:$C$790,"Green Stone Trust",Movimientos!$B$1:$B$790,"&lt;="&amp;$B96)</f>
        <v>1968.99</v>
      </c>
      <c r="O96" s="24">
        <f>SUMIFS('Saldos Iniciales'!$D:$D,'Saldos Iniciales'!$A:$A,"EC Auto")+SUMIFS(Movimientos!$K$1:$K$790,Movimientos!$C$1:$C$790,"EC Auto",Movimientos!$B$1:$B$790,"&lt;="&amp;$B96)</f>
        <v>901.34</v>
      </c>
      <c r="P96" s="24">
        <f>SUMIFS('Saldos Iniciales'!$D:$D,'Saldos Iniciales'!$A:$A,"Arbor Capital Properties")+SUMIFS(Movimientos!$K$1:$K$790,Movimientos!$C$1:$C$790,"Arbor Capital Properties",Movimientos!$B$1:$B$790,"&lt;="&amp;$B96)</f>
        <v>1396.08</v>
      </c>
      <c r="Q96" s="24">
        <f>SUMIFS('Saldos Iniciales'!$D:$D,'Saldos Iniciales'!$A:$A,"2515 Overbrook")+SUMIFS(Movimientos!$K$1:$K$790,Movimientos!$C$1:$C$790,"2515 Overbrook",Movimientos!$B$1:$B$790,"&lt;="&amp;$B96)</f>
        <v>13804.239999999962</v>
      </c>
      <c r="R96" s="24">
        <f>SUMIFS('Saldos Iniciales'!$D:$D,'Saldos Iniciales'!$A:$A,"112 Florida Ave")+SUMIFS(Movimientos!$K$1:$K$790,Movimientos!$C$1:$C$790,"112 Florida Ave",Movimientos!$B$1:$B$790,"&lt;="&amp;$B96)</f>
        <v>8724.1700000000037</v>
      </c>
      <c r="S96" s="24">
        <f>SUMIFS('Saldos Iniciales'!$D:$D,'Saldos Iniciales'!$A:$A,"3628 Thomas Ave")+SUMIFS(Movimientos!$K$1:$K$790,Movimientos!$C$1:$C$790,"3628 Thomas Ave",Movimientos!$B$1:$B$790,"&lt;="&amp;$B96)</f>
        <v>10706.099999999997</v>
      </c>
      <c r="T96" s="24">
        <f>SUMIFS('Saldos Iniciales'!$D:$D,'Saldos Iniciales'!$A:$A,"Green Harbor Trust")+SUMIFS(Movimientos!$K$1:$K$790,Movimientos!$C$1:$C$790,"Green Harbor Trust",Movimientos!$B$1:$B$790,"&lt;="&amp;$B96)</f>
        <v>345</v>
      </c>
      <c r="U96" s="24">
        <f>SUMIFS('Saldos Iniciales'!$D:$D,'Saldos Iniciales'!$A:$A,"Go Blue")+SUMIFS(Movimientos!$K$1:$K$790,Movimientos!$C$1:$C$790,"Go Blue",Movimientos!$B$1:$B$790,"&lt;="&amp;$B96)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Group")+SUMIFS(Movimientos!$K$1:$K$790,Movimientos!$C$1:$C$790,"CFT Group",Movimientos!$B$1:$B$790,"&lt;="&amp;$B97)</f>
        <v>2468032.08</v>
      </c>
      <c r="D97" s="24">
        <f>SUMIFS('Saldos Iniciales'!$D:$D,'Saldos Iniciales'!$A:$A,"M1B")+SUMIFS(Movimientos!$K$1:$K$790,Movimientos!$C$1:$C$790,"M1B",Movimientos!$B$1:$B$790,"&lt;="&amp;$B97)</f>
        <v>83211.250000000175</v>
      </c>
      <c r="E97" s="24">
        <f>SUMIFS('Saldos Iniciales'!$D:$D,'Saldos Iniciales'!$A:$A,"Durand")+SUMIFS(Movimientos!$K$1:$K$790,Movimientos!$C$1:$C$790,"Durand",Movimientos!$B$1:$B$790,"&lt;="&amp;$B97)</f>
        <v>1669.89</v>
      </c>
      <c r="F97" s="24">
        <f>SUMIFS('Saldos Iniciales'!$D:$D,'Saldos Iniciales'!$A:$A,"A&amp;M Imports")+SUMIFS(Movimientos!$K$1:$K$790,Movimientos!$C$1:$C$790,"A&amp;M Imports",Movimientos!$B$1:$B$790,"&lt;="&amp;$B97)</f>
        <v>1458426.0399999998</v>
      </c>
      <c r="G97" s="24">
        <f>SUMIFS('Saldos Iniciales'!$D:$D,'Saldos Iniciales'!$A:$A,"SSP Capital")+SUMIFS(Movimientos!$K$1:$K$790,Movimientos!$C$1:$C$790,"SSP Capital",Movimientos!$B$1:$B$790,"&lt;="&amp;$B97)</f>
        <v>1513867.4199999995</v>
      </c>
      <c r="H97" s="24">
        <f>SUMIFS('Saldos Iniciales'!$D:$D,'Saldos Iniciales'!$A:$A,"Cross Family Trust")+SUMIFS(Movimientos!$K$1:$K$790,Movimientos!$C$1:$C$790,"Cross Family Trust",Movimientos!$B$1:$B$790,"&lt;="&amp;$B97)</f>
        <v>184496.38</v>
      </c>
      <c r="I97" s="24">
        <f>SUMIFS('Saldos Iniciales'!$D:$D,'Saldos Iniciales'!$A:$A,"Cross Security Trust")+SUMIFS(Movimientos!$K$1:$K$790,Movimientos!$C$1:$C$790,"Cross Security Trust",Movimientos!$B$1:$B$790,"&lt;="&amp;$B97)</f>
        <v>88090.37</v>
      </c>
      <c r="J97" s="24">
        <f>SUMIFS('Saldos Iniciales'!$D:$D,'Saldos Iniciales'!$A:$A,"Electrama")+SUMIFS(Movimientos!$K$1:$K$790,Movimientos!$C$1:$C$790,"Electrama",Movimientos!$B$1:$B$790,"&lt;="&amp;$B97)</f>
        <v>14580.45</v>
      </c>
      <c r="K97" s="24">
        <f>SUMIFS('Saldos Iniciales'!$D:$D,'Saldos Iniciales'!$A:$A,"Sacred Valley Capital")+SUMIFS(Movimientos!$K$1:$K$790,Movimientos!$C$1:$C$790,"Sacred Valley Capital",Movimientos!$B$1:$B$790,"&lt;="&amp;$B97)</f>
        <v>24.450000000000003</v>
      </c>
      <c r="L97" s="24">
        <f>SUMIFS('Saldos Iniciales'!$D:$D,'Saldos Iniciales'!$A:$A,"YWC Capital")+SUMIFS(Movimientos!$K$1:$K$790,Movimientos!$C$1:$C$790,"YWC Capital",Movimientos!$B$1:$B$790,"&lt;="&amp;$B97)</f>
        <v>2177.87</v>
      </c>
      <c r="M97" s="24">
        <f>SUMIFS('Saldos Iniciales'!$D:$D,'Saldos Iniciales'!$A:$A,"Soweto")+SUMIFS(Movimientos!$K$1:$K$790,Movimientos!$C$1:$C$790,"Soweto",Movimientos!$B$1:$B$790,"&lt;="&amp;$B97)</f>
        <v>1454589.72</v>
      </c>
      <c r="N97" s="24">
        <f>SUMIFS('Saldos Iniciales'!$D:$D,'Saldos Iniciales'!$A:$A,"Green Stone Trust")+SUMIFS(Movimientos!$K$1:$K$790,Movimientos!$C$1:$C$790,"Green Stone Trust",Movimientos!$B$1:$B$790,"&lt;="&amp;$B97)</f>
        <v>1968.99</v>
      </c>
      <c r="O97" s="24">
        <f>SUMIFS('Saldos Iniciales'!$D:$D,'Saldos Iniciales'!$A:$A,"EC Auto")+SUMIFS(Movimientos!$K$1:$K$790,Movimientos!$C$1:$C$790,"EC Auto",Movimientos!$B$1:$B$790,"&lt;="&amp;$B97)</f>
        <v>901.34</v>
      </c>
      <c r="P97" s="24">
        <f>SUMIFS('Saldos Iniciales'!$D:$D,'Saldos Iniciales'!$A:$A,"Arbor Capital Properties")+SUMIFS(Movimientos!$K$1:$K$790,Movimientos!$C$1:$C$790,"Arbor Capital Properties",Movimientos!$B$1:$B$790,"&lt;="&amp;$B97)</f>
        <v>1396.08</v>
      </c>
      <c r="Q97" s="24">
        <f>SUMIFS('Saldos Iniciales'!$D:$D,'Saldos Iniciales'!$A:$A,"2515 Overbrook")+SUMIFS(Movimientos!$K$1:$K$790,Movimientos!$C$1:$C$790,"2515 Overbrook",Movimientos!$B$1:$B$790,"&lt;="&amp;$B97)</f>
        <v>13804.239999999962</v>
      </c>
      <c r="R97" s="24">
        <f>SUMIFS('Saldos Iniciales'!$D:$D,'Saldos Iniciales'!$A:$A,"112 Florida Ave")+SUMIFS(Movimientos!$K$1:$K$790,Movimientos!$C$1:$C$790,"112 Florida Ave",Movimientos!$B$1:$B$790,"&lt;="&amp;$B97)</f>
        <v>8724.1700000000037</v>
      </c>
      <c r="S97" s="24">
        <f>SUMIFS('Saldos Iniciales'!$D:$D,'Saldos Iniciales'!$A:$A,"3628 Thomas Ave")+SUMIFS(Movimientos!$K$1:$K$790,Movimientos!$C$1:$C$790,"3628 Thomas Ave",Movimientos!$B$1:$B$790,"&lt;="&amp;$B97)</f>
        <v>10706.099999999997</v>
      </c>
      <c r="T97" s="24">
        <f>SUMIFS('Saldos Iniciales'!$D:$D,'Saldos Iniciales'!$A:$A,"Green Harbor Trust")+SUMIFS(Movimientos!$K$1:$K$790,Movimientos!$C$1:$C$790,"Green Harbor Trust",Movimientos!$B$1:$B$790,"&lt;="&amp;$B97)</f>
        <v>345</v>
      </c>
      <c r="U97" s="24">
        <f>SUMIFS('Saldos Iniciales'!$D:$D,'Saldos Iniciales'!$A:$A,"Go Blue")+SUMIFS(Movimientos!$K$1:$K$790,Movimientos!$C$1:$C$790,"Go Blue",Movimientos!$B$1:$B$790,"&lt;="&amp;$B97)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Group")+SUMIFS(Movimientos!$K$1:$K$790,Movimientos!$C$1:$C$790,"CFT Group",Movimientos!$B$1:$B$790,"&lt;="&amp;$B98)</f>
        <v>2468032.08</v>
      </c>
      <c r="D98" s="24">
        <f>SUMIFS('Saldos Iniciales'!$D:$D,'Saldos Iniciales'!$A:$A,"M1B")+SUMIFS(Movimientos!$K$1:$K$790,Movimientos!$C$1:$C$790,"M1B",Movimientos!$B$1:$B$790,"&lt;="&amp;$B98)</f>
        <v>83211.250000000175</v>
      </c>
      <c r="E98" s="24">
        <f>SUMIFS('Saldos Iniciales'!$D:$D,'Saldos Iniciales'!$A:$A,"Durand")+SUMIFS(Movimientos!$K$1:$K$790,Movimientos!$C$1:$C$790,"Durand",Movimientos!$B$1:$B$790,"&lt;="&amp;$B98)</f>
        <v>1669.89</v>
      </c>
      <c r="F98" s="24">
        <f>SUMIFS('Saldos Iniciales'!$D:$D,'Saldos Iniciales'!$A:$A,"A&amp;M Imports")+SUMIFS(Movimientos!$K$1:$K$790,Movimientos!$C$1:$C$790,"A&amp;M Imports",Movimientos!$B$1:$B$790,"&lt;="&amp;$B98)</f>
        <v>1452426.0399999998</v>
      </c>
      <c r="G98" s="24">
        <f>SUMIFS('Saldos Iniciales'!$D:$D,'Saldos Iniciales'!$A:$A,"SSP Capital")+SUMIFS(Movimientos!$K$1:$K$790,Movimientos!$C$1:$C$790,"SSP Capital",Movimientos!$B$1:$B$790,"&lt;="&amp;$B98)</f>
        <v>1512187.6399999997</v>
      </c>
      <c r="H98" s="24">
        <f>SUMIFS('Saldos Iniciales'!$D:$D,'Saldos Iniciales'!$A:$A,"Cross Family Trust")+SUMIFS(Movimientos!$K$1:$K$790,Movimientos!$C$1:$C$790,"Cross Family Trust",Movimientos!$B$1:$B$790,"&lt;="&amp;$B98)</f>
        <v>184496.38</v>
      </c>
      <c r="I98" s="24">
        <f>SUMIFS('Saldos Iniciales'!$D:$D,'Saldos Iniciales'!$A:$A,"Cross Security Trust")+SUMIFS(Movimientos!$K$1:$K$790,Movimientos!$C$1:$C$790,"Cross Security Trust",Movimientos!$B$1:$B$790,"&lt;="&amp;$B98)</f>
        <v>88090.37</v>
      </c>
      <c r="J98" s="24">
        <f>SUMIFS('Saldos Iniciales'!$D:$D,'Saldos Iniciales'!$A:$A,"Electrama")+SUMIFS(Movimientos!$K$1:$K$790,Movimientos!$C$1:$C$790,"Electrama",Movimientos!$B$1:$B$790,"&lt;="&amp;$B98)</f>
        <v>14580.45</v>
      </c>
      <c r="K98" s="24">
        <f>SUMIFS('Saldos Iniciales'!$D:$D,'Saldos Iniciales'!$A:$A,"Sacred Valley Capital")+SUMIFS(Movimientos!$K$1:$K$790,Movimientos!$C$1:$C$790,"Sacred Valley Capital",Movimientos!$B$1:$B$790,"&lt;="&amp;$B98)</f>
        <v>24.450000000000003</v>
      </c>
      <c r="L98" s="24">
        <f>SUMIFS('Saldos Iniciales'!$D:$D,'Saldos Iniciales'!$A:$A,"YWC Capital")+SUMIFS(Movimientos!$K$1:$K$790,Movimientos!$C$1:$C$790,"YWC Capital",Movimientos!$B$1:$B$790,"&lt;="&amp;$B98)</f>
        <v>2177.87</v>
      </c>
      <c r="M98" s="24">
        <f>SUMIFS('Saldos Iniciales'!$D:$D,'Saldos Iniciales'!$A:$A,"Soweto")+SUMIFS(Movimientos!$K$1:$K$790,Movimientos!$C$1:$C$790,"Soweto",Movimientos!$B$1:$B$790,"&lt;="&amp;$B98)</f>
        <v>1454589.72</v>
      </c>
      <c r="N98" s="24">
        <f>SUMIFS('Saldos Iniciales'!$D:$D,'Saldos Iniciales'!$A:$A,"Green Stone Trust")+SUMIFS(Movimientos!$K$1:$K$790,Movimientos!$C$1:$C$790,"Green Stone Trust",Movimientos!$B$1:$B$790,"&lt;="&amp;$B98)</f>
        <v>1968.99</v>
      </c>
      <c r="O98" s="24">
        <f>SUMIFS('Saldos Iniciales'!$D:$D,'Saldos Iniciales'!$A:$A,"EC Auto")+SUMIFS(Movimientos!$K$1:$K$790,Movimientos!$C$1:$C$790,"EC Auto",Movimientos!$B$1:$B$790,"&lt;="&amp;$B98)</f>
        <v>901.34</v>
      </c>
      <c r="P98" s="24">
        <f>SUMIFS('Saldos Iniciales'!$D:$D,'Saldos Iniciales'!$A:$A,"Arbor Capital Properties")+SUMIFS(Movimientos!$K$1:$K$790,Movimientos!$C$1:$C$790,"Arbor Capital Properties",Movimientos!$B$1:$B$790,"&lt;="&amp;$B98)</f>
        <v>1396.08</v>
      </c>
      <c r="Q98" s="24">
        <f>SUMIFS('Saldos Iniciales'!$D:$D,'Saldos Iniciales'!$A:$A,"2515 Overbrook")+SUMIFS(Movimientos!$K$1:$K$790,Movimientos!$C$1:$C$790,"2515 Overbrook",Movimientos!$B$1:$B$790,"&lt;="&amp;$B98)</f>
        <v>13804.239999999962</v>
      </c>
      <c r="R98" s="24">
        <f>SUMIFS('Saldos Iniciales'!$D:$D,'Saldos Iniciales'!$A:$A,"112 Florida Ave")+SUMIFS(Movimientos!$K$1:$K$790,Movimientos!$C$1:$C$790,"112 Florida Ave",Movimientos!$B$1:$B$790,"&lt;="&amp;$B98)</f>
        <v>8724.1700000000037</v>
      </c>
      <c r="S98" s="24">
        <f>SUMIFS('Saldos Iniciales'!$D:$D,'Saldos Iniciales'!$A:$A,"3628 Thomas Ave")+SUMIFS(Movimientos!$K$1:$K$790,Movimientos!$C$1:$C$790,"3628 Thomas Ave",Movimientos!$B$1:$B$790,"&lt;="&amp;$B98)</f>
        <v>10706.099999999997</v>
      </c>
      <c r="T98" s="24">
        <f>SUMIFS('Saldos Iniciales'!$D:$D,'Saldos Iniciales'!$A:$A,"Green Harbor Trust")+SUMIFS(Movimientos!$K$1:$K$790,Movimientos!$C$1:$C$790,"Green Harbor Trust",Movimientos!$B$1:$B$790,"&lt;="&amp;$B98)</f>
        <v>345</v>
      </c>
      <c r="U98" s="24">
        <f>SUMIFS('Saldos Iniciales'!$D:$D,'Saldos Iniciales'!$A:$A,"Go Blue")+SUMIFS(Movimientos!$K$1:$K$790,Movimientos!$C$1:$C$790,"Go Blue",Movimientos!$B$1:$B$790,"&lt;="&amp;$B98)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Group")+SUMIFS(Movimientos!$K$1:$K$790,Movimientos!$C$1:$C$790,"CFT Group",Movimientos!$B$1:$B$790,"&lt;="&amp;$B99)</f>
        <v>1153390.4100000001</v>
      </c>
      <c r="D99" s="24">
        <f>SUMIFS('Saldos Iniciales'!$D:$D,'Saldos Iniciales'!$A:$A,"M1B")+SUMIFS(Movimientos!$K$1:$K$790,Movimientos!$C$1:$C$790,"M1B",Movimientos!$B$1:$B$790,"&lt;="&amp;$B99)</f>
        <v>83211.250000000175</v>
      </c>
      <c r="E99" s="24">
        <f>SUMIFS('Saldos Iniciales'!$D:$D,'Saldos Iniciales'!$A:$A,"Durand")+SUMIFS(Movimientos!$K$1:$K$790,Movimientos!$C$1:$C$790,"Durand",Movimientos!$B$1:$B$790,"&lt;="&amp;$B99)</f>
        <v>1669.89</v>
      </c>
      <c r="F99" s="24">
        <f>SUMIFS('Saldos Iniciales'!$D:$D,'Saldos Iniciales'!$A:$A,"A&amp;M Imports")+SUMIFS(Movimientos!$K$1:$K$790,Movimientos!$C$1:$C$790,"A&amp;M Imports",Movimientos!$B$1:$B$790,"&lt;="&amp;$B99)</f>
        <v>1349451.94</v>
      </c>
      <c r="G99" s="24">
        <f>SUMIFS('Saldos Iniciales'!$D:$D,'Saldos Iniciales'!$A:$A,"SSP Capital")+SUMIFS(Movimientos!$K$1:$K$790,Movimientos!$C$1:$C$790,"SSP Capital",Movimientos!$B$1:$B$790,"&lt;="&amp;$B99)</f>
        <v>2102073.7899999996</v>
      </c>
      <c r="H99" s="24">
        <f>SUMIFS('Saldos Iniciales'!$D:$D,'Saldos Iniciales'!$A:$A,"Cross Family Trust")+SUMIFS(Movimientos!$K$1:$K$790,Movimientos!$C$1:$C$790,"Cross Family Trust",Movimientos!$B$1:$B$790,"&lt;="&amp;$B99)</f>
        <v>171496.38</v>
      </c>
      <c r="I99" s="24">
        <f>SUMIFS('Saldos Iniciales'!$D:$D,'Saldos Iniciales'!$A:$A,"Cross Security Trust")+SUMIFS(Movimientos!$K$1:$K$790,Movimientos!$C$1:$C$790,"Cross Security Trust",Movimientos!$B$1:$B$790,"&lt;="&amp;$B99)</f>
        <v>88090.37</v>
      </c>
      <c r="J99" s="24">
        <f>SUMIFS('Saldos Iniciales'!$D:$D,'Saldos Iniciales'!$A:$A,"Electrama")+SUMIFS(Movimientos!$K$1:$K$790,Movimientos!$C$1:$C$790,"Electrama",Movimientos!$B$1:$B$790,"&lt;="&amp;$B99)</f>
        <v>14580.45</v>
      </c>
      <c r="K99" s="24">
        <f>SUMIFS('Saldos Iniciales'!$D:$D,'Saldos Iniciales'!$A:$A,"Sacred Valley Capital")+SUMIFS(Movimientos!$K$1:$K$790,Movimientos!$C$1:$C$790,"Sacred Valley Capital",Movimientos!$B$1:$B$790,"&lt;="&amp;$B99)</f>
        <v>24.450000000000003</v>
      </c>
      <c r="L99" s="24">
        <f>SUMIFS('Saldos Iniciales'!$D:$D,'Saldos Iniciales'!$A:$A,"YWC Capital")+SUMIFS(Movimientos!$K$1:$K$790,Movimientos!$C$1:$C$790,"YWC Capital",Movimientos!$B$1:$B$790,"&lt;="&amp;$B99)</f>
        <v>2177.87</v>
      </c>
      <c r="M99" s="24">
        <f>SUMIFS('Saldos Iniciales'!$D:$D,'Saldos Iniciales'!$A:$A,"Soweto")+SUMIFS(Movimientos!$K$1:$K$790,Movimientos!$C$1:$C$790,"Soweto",Movimientos!$B$1:$B$790,"&lt;="&amp;$B99)</f>
        <v>1454589.72</v>
      </c>
      <c r="N99" s="24">
        <f>SUMIFS('Saldos Iniciales'!$D:$D,'Saldos Iniciales'!$A:$A,"Green Stone Trust")+SUMIFS(Movimientos!$K$1:$K$790,Movimientos!$C$1:$C$790,"Green Stone Trust",Movimientos!$B$1:$B$790,"&lt;="&amp;$B99)</f>
        <v>1968.99</v>
      </c>
      <c r="O99" s="24">
        <f>SUMIFS('Saldos Iniciales'!$D:$D,'Saldos Iniciales'!$A:$A,"EC Auto")+SUMIFS(Movimientos!$K$1:$K$790,Movimientos!$C$1:$C$790,"EC Auto",Movimientos!$B$1:$B$790,"&lt;="&amp;$B99)</f>
        <v>901.34</v>
      </c>
      <c r="P99" s="24">
        <f>SUMIFS('Saldos Iniciales'!$D:$D,'Saldos Iniciales'!$A:$A,"Arbor Capital Properties")+SUMIFS(Movimientos!$K$1:$K$790,Movimientos!$C$1:$C$790,"Arbor Capital Properties",Movimientos!$B$1:$B$790,"&lt;="&amp;$B99)</f>
        <v>1396.08</v>
      </c>
      <c r="Q99" s="24">
        <f>SUMIFS('Saldos Iniciales'!$D:$D,'Saldos Iniciales'!$A:$A,"2515 Overbrook")+SUMIFS(Movimientos!$K$1:$K$790,Movimientos!$C$1:$C$790,"2515 Overbrook",Movimientos!$B$1:$B$790,"&lt;="&amp;$B99)</f>
        <v>13804.239999999962</v>
      </c>
      <c r="R99" s="24">
        <f>SUMIFS('Saldos Iniciales'!$D:$D,'Saldos Iniciales'!$A:$A,"112 Florida Ave")+SUMIFS(Movimientos!$K$1:$K$790,Movimientos!$C$1:$C$790,"112 Florida Ave",Movimientos!$B$1:$B$790,"&lt;="&amp;$B99)</f>
        <v>8724.1700000000037</v>
      </c>
      <c r="S99" s="24">
        <f>SUMIFS('Saldos Iniciales'!$D:$D,'Saldos Iniciales'!$A:$A,"3628 Thomas Ave")+SUMIFS(Movimientos!$K$1:$K$790,Movimientos!$C$1:$C$790,"3628 Thomas Ave",Movimientos!$B$1:$B$790,"&lt;="&amp;$B99)</f>
        <v>10706.099999999997</v>
      </c>
      <c r="T99" s="24">
        <f>SUMIFS('Saldos Iniciales'!$D:$D,'Saldos Iniciales'!$A:$A,"Green Harbor Trust")+SUMIFS(Movimientos!$K$1:$K$790,Movimientos!$C$1:$C$790,"Green Harbor Trust",Movimientos!$B$1:$B$790,"&lt;="&amp;$B99)</f>
        <v>345</v>
      </c>
      <c r="U99" s="24">
        <f>SUMIFS('Saldos Iniciales'!$D:$D,'Saldos Iniciales'!$A:$A,"Go Blue")+SUMIFS(Movimientos!$K$1:$K$790,Movimientos!$C$1:$C$790,"Go Blue",Movimientos!$B$1:$B$790,"&lt;="&amp;$B99)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Group")+SUMIFS(Movimientos!$K$1:$K$790,Movimientos!$C$1:$C$790,"CFT Group",Movimientos!$B$1:$B$790,"&lt;="&amp;$B100)</f>
        <v>1153390.4100000001</v>
      </c>
      <c r="D100" s="24">
        <f>SUMIFS('Saldos Iniciales'!$D:$D,'Saldos Iniciales'!$A:$A,"M1B")+SUMIFS(Movimientos!$K$1:$K$790,Movimientos!$C$1:$C$790,"M1B",Movimientos!$B$1:$B$790,"&lt;="&amp;$B100)</f>
        <v>83211.250000000175</v>
      </c>
      <c r="E100" s="24">
        <f>SUMIFS('Saldos Iniciales'!$D:$D,'Saldos Iniciales'!$A:$A,"Durand")+SUMIFS(Movimientos!$K$1:$K$790,Movimientos!$C$1:$C$790,"Durand",Movimientos!$B$1:$B$790,"&lt;="&amp;$B100)</f>
        <v>1669.89</v>
      </c>
      <c r="F100" s="24">
        <f>SUMIFS('Saldos Iniciales'!$D:$D,'Saldos Iniciales'!$A:$A,"A&amp;M Imports")+SUMIFS(Movimientos!$K$1:$K$790,Movimientos!$C$1:$C$790,"A&amp;M Imports",Movimientos!$B$1:$B$790,"&lt;="&amp;$B100)</f>
        <v>1349451.94</v>
      </c>
      <c r="G100" s="24">
        <f>SUMIFS('Saldos Iniciales'!$D:$D,'Saldos Iniciales'!$A:$A,"SSP Capital")+SUMIFS(Movimientos!$K$1:$K$790,Movimientos!$C$1:$C$790,"SSP Capital",Movimientos!$B$1:$B$790,"&lt;="&amp;$B100)</f>
        <v>2102073.7899999996</v>
      </c>
      <c r="H100" s="24">
        <f>SUMIFS('Saldos Iniciales'!$D:$D,'Saldos Iniciales'!$A:$A,"Cross Family Trust")+SUMIFS(Movimientos!$K$1:$K$790,Movimientos!$C$1:$C$790,"Cross Family Trust",Movimientos!$B$1:$B$790,"&lt;="&amp;$B100)</f>
        <v>171496.38</v>
      </c>
      <c r="I100" s="24">
        <f>SUMIFS('Saldos Iniciales'!$D:$D,'Saldos Iniciales'!$A:$A,"Cross Security Trust")+SUMIFS(Movimientos!$K$1:$K$790,Movimientos!$C$1:$C$790,"Cross Security Trust",Movimientos!$B$1:$B$790,"&lt;="&amp;$B100)</f>
        <v>88090.37</v>
      </c>
      <c r="J100" s="24">
        <f>SUMIFS('Saldos Iniciales'!$D:$D,'Saldos Iniciales'!$A:$A,"Electrama")+SUMIFS(Movimientos!$K$1:$K$790,Movimientos!$C$1:$C$790,"Electrama",Movimientos!$B$1:$B$790,"&lt;="&amp;$B100)</f>
        <v>14580.45</v>
      </c>
      <c r="K100" s="24">
        <f>SUMIFS('Saldos Iniciales'!$D:$D,'Saldos Iniciales'!$A:$A,"Sacred Valley Capital")+SUMIFS(Movimientos!$K$1:$K$790,Movimientos!$C$1:$C$790,"Sacred Valley Capital",Movimientos!$B$1:$B$790,"&lt;="&amp;$B100)</f>
        <v>24.450000000000003</v>
      </c>
      <c r="L100" s="24">
        <f>SUMIFS('Saldos Iniciales'!$D:$D,'Saldos Iniciales'!$A:$A,"YWC Capital")+SUMIFS(Movimientos!$K$1:$K$790,Movimientos!$C$1:$C$790,"YWC Capital",Movimientos!$B$1:$B$790,"&lt;="&amp;$B100)</f>
        <v>2177.87</v>
      </c>
      <c r="M100" s="24">
        <f>SUMIFS('Saldos Iniciales'!$D:$D,'Saldos Iniciales'!$A:$A,"Soweto")+SUMIFS(Movimientos!$K$1:$K$790,Movimientos!$C$1:$C$790,"Soweto",Movimientos!$B$1:$B$790,"&lt;="&amp;$B100)</f>
        <v>1454589.72</v>
      </c>
      <c r="N100" s="24">
        <f>SUMIFS('Saldos Iniciales'!$D:$D,'Saldos Iniciales'!$A:$A,"Green Stone Trust")+SUMIFS(Movimientos!$K$1:$K$790,Movimientos!$C$1:$C$790,"Green Stone Trust",Movimientos!$B$1:$B$790,"&lt;="&amp;$B100)</f>
        <v>1968.99</v>
      </c>
      <c r="O100" s="24">
        <f>SUMIFS('Saldos Iniciales'!$D:$D,'Saldos Iniciales'!$A:$A,"EC Auto")+SUMIFS(Movimientos!$K$1:$K$790,Movimientos!$C$1:$C$790,"EC Auto",Movimientos!$B$1:$B$790,"&lt;="&amp;$B100)</f>
        <v>901.34</v>
      </c>
      <c r="P100" s="24">
        <f>SUMIFS('Saldos Iniciales'!$D:$D,'Saldos Iniciales'!$A:$A,"Arbor Capital Properties")+SUMIFS(Movimientos!$K$1:$K$790,Movimientos!$C$1:$C$790,"Arbor Capital Properties",Movimientos!$B$1:$B$790,"&lt;="&amp;$B100)</f>
        <v>1396.08</v>
      </c>
      <c r="Q100" s="24">
        <f>SUMIFS('Saldos Iniciales'!$D:$D,'Saldos Iniciales'!$A:$A,"2515 Overbrook")+SUMIFS(Movimientos!$K$1:$K$790,Movimientos!$C$1:$C$790,"2515 Overbrook",Movimientos!$B$1:$B$790,"&lt;="&amp;$B100)</f>
        <v>11259.639999999961</v>
      </c>
      <c r="R100" s="24">
        <f>SUMIFS('Saldos Iniciales'!$D:$D,'Saldos Iniciales'!$A:$A,"112 Florida Ave")+SUMIFS(Movimientos!$K$1:$K$790,Movimientos!$C$1:$C$790,"112 Florida Ave",Movimientos!$B$1:$B$790,"&lt;="&amp;$B100)</f>
        <v>8724.1700000000037</v>
      </c>
      <c r="S100" s="24">
        <f>SUMIFS('Saldos Iniciales'!$D:$D,'Saldos Iniciales'!$A:$A,"3628 Thomas Ave")+SUMIFS(Movimientos!$K$1:$K$790,Movimientos!$C$1:$C$790,"3628 Thomas Ave",Movimientos!$B$1:$B$790,"&lt;="&amp;$B100)</f>
        <v>15706.099999999997</v>
      </c>
      <c r="T100" s="24">
        <f>SUMIFS('Saldos Iniciales'!$D:$D,'Saldos Iniciales'!$A:$A,"Green Harbor Trust")+SUMIFS(Movimientos!$K$1:$K$790,Movimientos!$C$1:$C$790,"Green Harbor Trust",Movimientos!$B$1:$B$790,"&lt;="&amp;$B100)</f>
        <v>345</v>
      </c>
      <c r="U100" s="24">
        <f>SUMIFS('Saldos Iniciales'!$D:$D,'Saldos Iniciales'!$A:$A,"Go Blue")+SUMIFS(Movimientos!$K$1:$K$790,Movimientos!$C$1:$C$790,"Go Blue",Movimientos!$B$1:$B$790,"&lt;="&amp;$B100)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Group")+SUMIFS(Movimientos!$K$1:$K$790,Movimientos!$C$1:$C$790,"CFT Group",Movimientos!$B$1:$B$790,"&lt;="&amp;$B101)</f>
        <v>1153390.4100000001</v>
      </c>
      <c r="D101" s="24">
        <f>SUMIFS('Saldos Iniciales'!$D:$D,'Saldos Iniciales'!$A:$A,"M1B")+SUMIFS(Movimientos!$K$1:$K$790,Movimientos!$C$1:$C$790,"M1B",Movimientos!$B$1:$B$790,"&lt;="&amp;$B101)</f>
        <v>83211.250000000175</v>
      </c>
      <c r="E101" s="24">
        <f>SUMIFS('Saldos Iniciales'!$D:$D,'Saldos Iniciales'!$A:$A,"Durand")+SUMIFS(Movimientos!$K$1:$K$790,Movimientos!$C$1:$C$790,"Durand",Movimientos!$B$1:$B$790,"&lt;="&amp;$B101)</f>
        <v>1669.89</v>
      </c>
      <c r="F101" s="24">
        <f>SUMIFS('Saldos Iniciales'!$D:$D,'Saldos Iniciales'!$A:$A,"A&amp;M Imports")+SUMIFS(Movimientos!$K$1:$K$790,Movimientos!$C$1:$C$790,"A&amp;M Imports",Movimientos!$B$1:$B$790,"&lt;="&amp;$B101)</f>
        <v>1349451.94</v>
      </c>
      <c r="G101" s="24">
        <f>SUMIFS('Saldos Iniciales'!$D:$D,'Saldos Iniciales'!$A:$A,"SSP Capital")+SUMIFS(Movimientos!$K$1:$K$790,Movimientos!$C$1:$C$790,"SSP Capital",Movimientos!$B$1:$B$790,"&lt;="&amp;$B101)</f>
        <v>2102073.7899999996</v>
      </c>
      <c r="H101" s="24">
        <f>SUMIFS('Saldos Iniciales'!$D:$D,'Saldos Iniciales'!$A:$A,"Cross Family Trust")+SUMIFS(Movimientos!$K$1:$K$790,Movimientos!$C$1:$C$790,"Cross Family Trust",Movimientos!$B$1:$B$790,"&lt;="&amp;$B101)</f>
        <v>171496.38</v>
      </c>
      <c r="I101" s="24">
        <f>SUMIFS('Saldos Iniciales'!$D:$D,'Saldos Iniciales'!$A:$A,"Cross Security Trust")+SUMIFS(Movimientos!$K$1:$K$790,Movimientos!$C$1:$C$790,"Cross Security Trust",Movimientos!$B$1:$B$790,"&lt;="&amp;$B101)</f>
        <v>88090.37</v>
      </c>
      <c r="J101" s="24">
        <f>SUMIFS('Saldos Iniciales'!$D:$D,'Saldos Iniciales'!$A:$A,"Electrama")+SUMIFS(Movimientos!$K$1:$K$790,Movimientos!$C$1:$C$790,"Electrama",Movimientos!$B$1:$B$790,"&lt;="&amp;$B101)</f>
        <v>14580.45</v>
      </c>
      <c r="K101" s="24">
        <f>SUMIFS('Saldos Iniciales'!$D:$D,'Saldos Iniciales'!$A:$A,"Sacred Valley Capital")+SUMIFS(Movimientos!$K$1:$K$790,Movimientos!$C$1:$C$790,"Sacred Valley Capital",Movimientos!$B$1:$B$790,"&lt;="&amp;$B101)</f>
        <v>24.450000000000003</v>
      </c>
      <c r="L101" s="24">
        <f>SUMIFS('Saldos Iniciales'!$D:$D,'Saldos Iniciales'!$A:$A,"YWC Capital")+SUMIFS(Movimientos!$K$1:$K$790,Movimientos!$C$1:$C$790,"YWC Capital",Movimientos!$B$1:$B$790,"&lt;="&amp;$B101)</f>
        <v>2177.87</v>
      </c>
      <c r="M101" s="24">
        <f>SUMIFS('Saldos Iniciales'!$D:$D,'Saldos Iniciales'!$A:$A,"Soweto")+SUMIFS(Movimientos!$K$1:$K$790,Movimientos!$C$1:$C$790,"Soweto",Movimientos!$B$1:$B$790,"&lt;="&amp;$B101)</f>
        <v>1454589.72</v>
      </c>
      <c r="N101" s="24">
        <f>SUMIFS('Saldos Iniciales'!$D:$D,'Saldos Iniciales'!$A:$A,"Green Stone Trust")+SUMIFS(Movimientos!$K$1:$K$790,Movimientos!$C$1:$C$790,"Green Stone Trust",Movimientos!$B$1:$B$790,"&lt;="&amp;$B101)</f>
        <v>1968.99</v>
      </c>
      <c r="O101" s="24">
        <f>SUMIFS('Saldos Iniciales'!$D:$D,'Saldos Iniciales'!$A:$A,"EC Auto")+SUMIFS(Movimientos!$K$1:$K$790,Movimientos!$C$1:$C$790,"EC Auto",Movimientos!$B$1:$B$790,"&lt;="&amp;$B101)</f>
        <v>901.34</v>
      </c>
      <c r="P101" s="24">
        <f>SUMIFS('Saldos Iniciales'!$D:$D,'Saldos Iniciales'!$A:$A,"Arbor Capital Properties")+SUMIFS(Movimientos!$K$1:$K$790,Movimientos!$C$1:$C$790,"Arbor Capital Properties",Movimientos!$B$1:$B$790,"&lt;="&amp;$B101)</f>
        <v>1396.08</v>
      </c>
      <c r="Q101" s="24">
        <f>SUMIFS('Saldos Iniciales'!$D:$D,'Saldos Iniciales'!$A:$A,"2515 Overbrook")+SUMIFS(Movimientos!$K$1:$K$790,Movimientos!$C$1:$C$790,"2515 Overbrook",Movimientos!$B$1:$B$790,"&lt;="&amp;$B101)</f>
        <v>11259.639999999961</v>
      </c>
      <c r="R101" s="24">
        <f>SUMIFS('Saldos Iniciales'!$D:$D,'Saldos Iniciales'!$A:$A,"112 Florida Ave")+SUMIFS(Movimientos!$K$1:$K$790,Movimientos!$C$1:$C$790,"112 Florida Ave",Movimientos!$B$1:$B$790,"&lt;="&amp;$B101)</f>
        <v>8724.1700000000037</v>
      </c>
      <c r="S101" s="24">
        <f>SUMIFS('Saldos Iniciales'!$D:$D,'Saldos Iniciales'!$A:$A,"3628 Thomas Ave")+SUMIFS(Movimientos!$K$1:$K$790,Movimientos!$C$1:$C$790,"3628 Thomas Ave",Movimientos!$B$1:$B$790,"&lt;="&amp;$B101)</f>
        <v>15706.099999999997</v>
      </c>
      <c r="T101" s="24">
        <f>SUMIFS('Saldos Iniciales'!$D:$D,'Saldos Iniciales'!$A:$A,"Green Harbor Trust")+SUMIFS(Movimientos!$K$1:$K$790,Movimientos!$C$1:$C$790,"Green Harbor Trust",Movimientos!$B$1:$B$790,"&lt;="&amp;$B101)</f>
        <v>345</v>
      </c>
      <c r="U101" s="24">
        <f>SUMIFS('Saldos Iniciales'!$D:$D,'Saldos Iniciales'!$A:$A,"Go Blue")+SUMIFS(Movimientos!$K$1:$K$790,Movimientos!$C$1:$C$790,"Go Blue",Movimientos!$B$1:$B$790,"&lt;="&amp;$B101)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Group")+SUMIFS(Movimientos!$K$1:$K$790,Movimientos!$C$1:$C$790,"CFT Group",Movimientos!$B$1:$B$790,"&lt;="&amp;$B102)</f>
        <v>1153390.4100000001</v>
      </c>
      <c r="D102" s="24">
        <f>SUMIFS('Saldos Iniciales'!$D:$D,'Saldos Iniciales'!$A:$A,"M1B")+SUMIFS(Movimientos!$K$1:$K$790,Movimientos!$C$1:$C$790,"M1B",Movimientos!$B$1:$B$790,"&lt;="&amp;$B102)</f>
        <v>83211.250000000175</v>
      </c>
      <c r="E102" s="24">
        <f>SUMIFS('Saldos Iniciales'!$D:$D,'Saldos Iniciales'!$A:$A,"Durand")+SUMIFS(Movimientos!$K$1:$K$790,Movimientos!$C$1:$C$790,"Durand",Movimientos!$B$1:$B$790,"&lt;="&amp;$B102)</f>
        <v>1669.89</v>
      </c>
      <c r="F102" s="24">
        <f>SUMIFS('Saldos Iniciales'!$D:$D,'Saldos Iniciales'!$A:$A,"A&amp;M Imports")+SUMIFS(Movimientos!$K$1:$K$790,Movimientos!$C$1:$C$790,"A&amp;M Imports",Movimientos!$B$1:$B$790,"&lt;="&amp;$B102)</f>
        <v>1349451.94</v>
      </c>
      <c r="G102" s="24">
        <f>SUMIFS('Saldos Iniciales'!$D:$D,'Saldos Iniciales'!$A:$A,"SSP Capital")+SUMIFS(Movimientos!$K$1:$K$790,Movimientos!$C$1:$C$790,"SSP Capital",Movimientos!$B$1:$B$790,"&lt;="&amp;$B102)</f>
        <v>2102073.7899999996</v>
      </c>
      <c r="H102" s="24">
        <f>SUMIFS('Saldos Iniciales'!$D:$D,'Saldos Iniciales'!$A:$A,"Cross Family Trust")+SUMIFS(Movimientos!$K$1:$K$790,Movimientos!$C$1:$C$790,"Cross Family Trust",Movimientos!$B$1:$B$790,"&lt;="&amp;$B102)</f>
        <v>171496.38</v>
      </c>
      <c r="I102" s="24">
        <f>SUMIFS('Saldos Iniciales'!$D:$D,'Saldos Iniciales'!$A:$A,"Cross Security Trust")+SUMIFS(Movimientos!$K$1:$K$790,Movimientos!$C$1:$C$790,"Cross Security Trust",Movimientos!$B$1:$B$790,"&lt;="&amp;$B102)</f>
        <v>88090.37</v>
      </c>
      <c r="J102" s="24">
        <f>SUMIFS('Saldos Iniciales'!$D:$D,'Saldos Iniciales'!$A:$A,"Electrama")+SUMIFS(Movimientos!$K$1:$K$790,Movimientos!$C$1:$C$790,"Electrama",Movimientos!$B$1:$B$790,"&lt;="&amp;$B102)</f>
        <v>14580.45</v>
      </c>
      <c r="K102" s="24">
        <f>SUMIFS('Saldos Iniciales'!$D:$D,'Saldos Iniciales'!$A:$A,"Sacred Valley Capital")+SUMIFS(Movimientos!$K$1:$K$790,Movimientos!$C$1:$C$790,"Sacred Valley Capital",Movimientos!$B$1:$B$790,"&lt;="&amp;$B102)</f>
        <v>24.450000000000003</v>
      </c>
      <c r="L102" s="24">
        <f>SUMIFS('Saldos Iniciales'!$D:$D,'Saldos Iniciales'!$A:$A,"YWC Capital")+SUMIFS(Movimientos!$K$1:$K$790,Movimientos!$C$1:$C$790,"YWC Capital",Movimientos!$B$1:$B$790,"&lt;="&amp;$B102)</f>
        <v>2177.87</v>
      </c>
      <c r="M102" s="24">
        <f>SUMIFS('Saldos Iniciales'!$D:$D,'Saldos Iniciales'!$A:$A,"Soweto")+SUMIFS(Movimientos!$K$1:$K$790,Movimientos!$C$1:$C$790,"Soweto",Movimientos!$B$1:$B$790,"&lt;="&amp;$B102)</f>
        <v>1454589.72</v>
      </c>
      <c r="N102" s="24">
        <f>SUMIFS('Saldos Iniciales'!$D:$D,'Saldos Iniciales'!$A:$A,"Green Stone Trust")+SUMIFS(Movimientos!$K$1:$K$790,Movimientos!$C$1:$C$790,"Green Stone Trust",Movimientos!$B$1:$B$790,"&lt;="&amp;$B102)</f>
        <v>1968.99</v>
      </c>
      <c r="O102" s="24">
        <f>SUMIFS('Saldos Iniciales'!$D:$D,'Saldos Iniciales'!$A:$A,"EC Auto")+SUMIFS(Movimientos!$K$1:$K$790,Movimientos!$C$1:$C$790,"EC Auto",Movimientos!$B$1:$B$790,"&lt;="&amp;$B102)</f>
        <v>901.34</v>
      </c>
      <c r="P102" s="24">
        <f>SUMIFS('Saldos Iniciales'!$D:$D,'Saldos Iniciales'!$A:$A,"Arbor Capital Properties")+SUMIFS(Movimientos!$K$1:$K$790,Movimientos!$C$1:$C$790,"Arbor Capital Properties",Movimientos!$B$1:$B$790,"&lt;="&amp;$B102)</f>
        <v>1396.08</v>
      </c>
      <c r="Q102" s="24">
        <f>SUMIFS('Saldos Iniciales'!$D:$D,'Saldos Iniciales'!$A:$A,"2515 Overbrook")+SUMIFS(Movimientos!$K$1:$K$790,Movimientos!$C$1:$C$790,"2515 Overbrook",Movimientos!$B$1:$B$790,"&lt;="&amp;$B102)</f>
        <v>11259.639999999961</v>
      </c>
      <c r="R102" s="24">
        <f>SUMIFS('Saldos Iniciales'!$D:$D,'Saldos Iniciales'!$A:$A,"112 Florida Ave")+SUMIFS(Movimientos!$K$1:$K$790,Movimientos!$C$1:$C$790,"112 Florida Ave",Movimientos!$B$1:$B$790,"&lt;="&amp;$B102)</f>
        <v>8724.1700000000037</v>
      </c>
      <c r="S102" s="24">
        <f>SUMIFS('Saldos Iniciales'!$D:$D,'Saldos Iniciales'!$A:$A,"3628 Thomas Ave")+SUMIFS(Movimientos!$K$1:$K$790,Movimientos!$C$1:$C$790,"3628 Thomas Ave",Movimientos!$B$1:$B$790,"&lt;="&amp;$B102)</f>
        <v>15706.099999999997</v>
      </c>
      <c r="T102" s="24">
        <f>SUMIFS('Saldos Iniciales'!$D:$D,'Saldos Iniciales'!$A:$A,"Green Harbor Trust")+SUMIFS(Movimientos!$K$1:$K$790,Movimientos!$C$1:$C$790,"Green Harbor Trust",Movimientos!$B$1:$B$790,"&lt;="&amp;$B102)</f>
        <v>345</v>
      </c>
      <c r="U102" s="24">
        <f>SUMIFS('Saldos Iniciales'!$D:$D,'Saldos Iniciales'!$A:$A,"Go Blue")+SUMIFS(Movimientos!$K$1:$K$790,Movimientos!$C$1:$C$790,"Go Blue",Movimientos!$B$1:$B$790,"&lt;="&amp;$B102)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Group")+SUMIFS(Movimientos!$K$1:$K$790,Movimientos!$C$1:$C$790,"CFT Group",Movimientos!$B$1:$B$790,"&lt;="&amp;$B103)</f>
        <v>1260076.9800000002</v>
      </c>
      <c r="D103" s="24">
        <f>SUMIFS('Saldos Iniciales'!$D:$D,'Saldos Iniciales'!$A:$A,"M1B")+SUMIFS(Movimientos!$K$1:$K$790,Movimientos!$C$1:$C$790,"M1B",Movimientos!$B$1:$B$790,"&lt;="&amp;$B103)</f>
        <v>83211.250000000175</v>
      </c>
      <c r="E103" s="24">
        <f>SUMIFS('Saldos Iniciales'!$D:$D,'Saldos Iniciales'!$A:$A,"Durand")+SUMIFS(Movimientos!$K$1:$K$790,Movimientos!$C$1:$C$790,"Durand",Movimientos!$B$1:$B$790,"&lt;="&amp;$B103)</f>
        <v>1669.89</v>
      </c>
      <c r="F103" s="24">
        <f>SUMIFS('Saldos Iniciales'!$D:$D,'Saldos Iniciales'!$A:$A,"A&amp;M Imports")+SUMIFS(Movimientos!$K$1:$K$790,Movimientos!$C$1:$C$790,"A&amp;M Imports",Movimientos!$B$1:$B$790,"&lt;="&amp;$B103)</f>
        <v>1349451.94</v>
      </c>
      <c r="G103" s="24">
        <f>SUMIFS('Saldos Iniciales'!$D:$D,'Saldos Iniciales'!$A:$A,"SSP Capital")+SUMIFS(Movimientos!$K$1:$K$790,Movimientos!$C$1:$C$790,"SSP Capital",Movimientos!$B$1:$B$790,"&lt;="&amp;$B103)</f>
        <v>2098801.8999999994</v>
      </c>
      <c r="H103" s="24">
        <f>SUMIFS('Saldos Iniciales'!$D:$D,'Saldos Iniciales'!$A:$A,"Cross Family Trust")+SUMIFS(Movimientos!$K$1:$K$790,Movimientos!$C$1:$C$790,"Cross Family Trust",Movimientos!$B$1:$B$790,"&lt;="&amp;$B103)</f>
        <v>171496.38</v>
      </c>
      <c r="I103" s="24">
        <f>SUMIFS('Saldos Iniciales'!$D:$D,'Saldos Iniciales'!$A:$A,"Cross Security Trust")+SUMIFS(Movimientos!$K$1:$K$790,Movimientos!$C$1:$C$790,"Cross Security Trust",Movimientos!$B$1:$B$790,"&lt;="&amp;$B103)</f>
        <v>88090.37</v>
      </c>
      <c r="J103" s="24">
        <f>SUMIFS('Saldos Iniciales'!$D:$D,'Saldos Iniciales'!$A:$A,"Electrama")+SUMIFS(Movimientos!$K$1:$K$790,Movimientos!$C$1:$C$790,"Electrama",Movimientos!$B$1:$B$790,"&lt;="&amp;$B103)</f>
        <v>14580.45</v>
      </c>
      <c r="K103" s="24">
        <f>SUMIFS('Saldos Iniciales'!$D:$D,'Saldos Iniciales'!$A:$A,"Sacred Valley Capital")+SUMIFS(Movimientos!$K$1:$K$790,Movimientos!$C$1:$C$790,"Sacred Valley Capital",Movimientos!$B$1:$B$790,"&lt;="&amp;$B103)</f>
        <v>24.450000000000003</v>
      </c>
      <c r="L103" s="24">
        <f>SUMIFS('Saldos Iniciales'!$D:$D,'Saldos Iniciales'!$A:$A,"YWC Capital")+SUMIFS(Movimientos!$K$1:$K$790,Movimientos!$C$1:$C$790,"YWC Capital",Movimientos!$B$1:$B$790,"&lt;="&amp;$B103)</f>
        <v>2177.87</v>
      </c>
      <c r="M103" s="24">
        <f>SUMIFS('Saldos Iniciales'!$D:$D,'Saldos Iniciales'!$A:$A,"Soweto")+SUMIFS(Movimientos!$K$1:$K$790,Movimientos!$C$1:$C$790,"Soweto",Movimientos!$B$1:$B$790,"&lt;="&amp;$B103)</f>
        <v>1454589.72</v>
      </c>
      <c r="N103" s="24">
        <f>SUMIFS('Saldos Iniciales'!$D:$D,'Saldos Iniciales'!$A:$A,"Green Stone Trust")+SUMIFS(Movimientos!$K$1:$K$790,Movimientos!$C$1:$C$790,"Green Stone Trust",Movimientos!$B$1:$B$790,"&lt;="&amp;$B103)</f>
        <v>1968.99</v>
      </c>
      <c r="O103" s="24">
        <f>SUMIFS('Saldos Iniciales'!$D:$D,'Saldos Iniciales'!$A:$A,"EC Auto")+SUMIFS(Movimientos!$K$1:$K$790,Movimientos!$C$1:$C$790,"EC Auto",Movimientos!$B$1:$B$790,"&lt;="&amp;$B103)</f>
        <v>901.34</v>
      </c>
      <c r="P103" s="24">
        <f>SUMIFS('Saldos Iniciales'!$D:$D,'Saldos Iniciales'!$A:$A,"Arbor Capital Properties")+SUMIFS(Movimientos!$K$1:$K$790,Movimientos!$C$1:$C$790,"Arbor Capital Properties",Movimientos!$B$1:$B$790,"&lt;="&amp;$B103)</f>
        <v>1396.08</v>
      </c>
      <c r="Q103" s="24">
        <f>SUMIFS('Saldos Iniciales'!$D:$D,'Saldos Iniciales'!$A:$A,"2515 Overbrook")+SUMIFS(Movimientos!$K$1:$K$790,Movimientos!$C$1:$C$790,"2515 Overbrook",Movimientos!$B$1:$B$790,"&lt;="&amp;$B103)</f>
        <v>3700.7099999999591</v>
      </c>
      <c r="R103" s="24">
        <f>SUMIFS('Saldos Iniciales'!$D:$D,'Saldos Iniciales'!$A:$A,"112 Florida Ave")+SUMIFS(Movimientos!$K$1:$K$790,Movimientos!$C$1:$C$790,"112 Florida Ave",Movimientos!$B$1:$B$790,"&lt;="&amp;$B103)</f>
        <v>8724.1700000000037</v>
      </c>
      <c r="S103" s="24">
        <f>SUMIFS('Saldos Iniciales'!$D:$D,'Saldos Iniciales'!$A:$A,"3628 Thomas Ave")+SUMIFS(Movimientos!$K$1:$K$790,Movimientos!$C$1:$C$790,"3628 Thomas Ave",Movimientos!$B$1:$B$790,"&lt;="&amp;$B103)</f>
        <v>15706.099999999997</v>
      </c>
      <c r="T103" s="24">
        <f>SUMIFS('Saldos Iniciales'!$D:$D,'Saldos Iniciales'!$A:$A,"Green Harbor Trust")+SUMIFS(Movimientos!$K$1:$K$790,Movimientos!$C$1:$C$790,"Green Harbor Trust",Movimientos!$B$1:$B$790,"&lt;="&amp;$B103)</f>
        <v>345</v>
      </c>
      <c r="U103" s="24">
        <f>SUMIFS('Saldos Iniciales'!$D:$D,'Saldos Iniciales'!$A:$A,"Go Blue")+SUMIFS(Movimientos!$K$1:$K$790,Movimientos!$C$1:$C$790,"Go Blue",Movimientos!$B$1:$B$790,"&lt;="&amp;$B103)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Group")+SUMIFS(Movimientos!$K$1:$K$790,Movimientos!$C$1:$C$790,"CFT Group",Movimientos!$B$1:$B$790,"&lt;="&amp;$B104)</f>
        <v>1260076.9800000002</v>
      </c>
      <c r="D104" s="24">
        <f>SUMIFS('Saldos Iniciales'!$D:$D,'Saldos Iniciales'!$A:$A,"M1B")+SUMIFS(Movimientos!$K$1:$K$790,Movimientos!$C$1:$C$790,"M1B",Movimientos!$B$1:$B$790,"&lt;="&amp;$B104)</f>
        <v>83211.250000000175</v>
      </c>
      <c r="E104" s="24">
        <f>SUMIFS('Saldos Iniciales'!$D:$D,'Saldos Iniciales'!$A:$A,"Durand")+SUMIFS(Movimientos!$K$1:$K$790,Movimientos!$C$1:$C$790,"Durand",Movimientos!$B$1:$B$790,"&lt;="&amp;$B104)</f>
        <v>1669.89</v>
      </c>
      <c r="F104" s="24">
        <f>SUMIFS('Saldos Iniciales'!$D:$D,'Saldos Iniciales'!$A:$A,"A&amp;M Imports")+SUMIFS(Movimientos!$K$1:$K$790,Movimientos!$C$1:$C$790,"A&amp;M Imports",Movimientos!$B$1:$B$790,"&lt;="&amp;$B104)</f>
        <v>1349451.94</v>
      </c>
      <c r="G104" s="24">
        <f>SUMIFS('Saldos Iniciales'!$D:$D,'Saldos Iniciales'!$A:$A,"SSP Capital")+SUMIFS(Movimientos!$K$1:$K$790,Movimientos!$C$1:$C$790,"SSP Capital",Movimientos!$B$1:$B$790,"&lt;="&amp;$B104)</f>
        <v>1622920.8199999996</v>
      </c>
      <c r="H104" s="24">
        <f>SUMIFS('Saldos Iniciales'!$D:$D,'Saldos Iniciales'!$A:$A,"Cross Family Trust")+SUMIFS(Movimientos!$K$1:$K$790,Movimientos!$C$1:$C$790,"Cross Family Trust",Movimientos!$B$1:$B$790,"&lt;="&amp;$B104)</f>
        <v>171496.38</v>
      </c>
      <c r="I104" s="24">
        <f>SUMIFS('Saldos Iniciales'!$D:$D,'Saldos Iniciales'!$A:$A,"Cross Security Trust")+SUMIFS(Movimientos!$K$1:$K$790,Movimientos!$C$1:$C$790,"Cross Security Trust",Movimientos!$B$1:$B$790,"&lt;="&amp;$B104)</f>
        <v>88090.37</v>
      </c>
      <c r="J104" s="24">
        <f>SUMIFS('Saldos Iniciales'!$D:$D,'Saldos Iniciales'!$A:$A,"Electrama")+SUMIFS(Movimientos!$K$1:$K$790,Movimientos!$C$1:$C$790,"Electrama",Movimientos!$B$1:$B$790,"&lt;="&amp;$B104)</f>
        <v>14580.45</v>
      </c>
      <c r="K104" s="24">
        <f>SUMIFS('Saldos Iniciales'!$D:$D,'Saldos Iniciales'!$A:$A,"Sacred Valley Capital")+SUMIFS(Movimientos!$K$1:$K$790,Movimientos!$C$1:$C$790,"Sacred Valley Capital",Movimientos!$B$1:$B$790,"&lt;="&amp;$B104)</f>
        <v>24.450000000000003</v>
      </c>
      <c r="L104" s="24">
        <f>SUMIFS('Saldos Iniciales'!$D:$D,'Saldos Iniciales'!$A:$A,"YWC Capital")+SUMIFS(Movimientos!$K$1:$K$790,Movimientos!$C$1:$C$790,"YWC Capital",Movimientos!$B$1:$B$790,"&lt;="&amp;$B104)</f>
        <v>2177.87</v>
      </c>
      <c r="M104" s="24">
        <f>SUMIFS('Saldos Iniciales'!$D:$D,'Saldos Iniciales'!$A:$A,"Soweto")+SUMIFS(Movimientos!$K$1:$K$790,Movimientos!$C$1:$C$790,"Soweto",Movimientos!$B$1:$B$790,"&lt;="&amp;$B104)</f>
        <v>1454589.72</v>
      </c>
      <c r="N104" s="24">
        <f>SUMIFS('Saldos Iniciales'!$D:$D,'Saldos Iniciales'!$A:$A,"Green Stone Trust")+SUMIFS(Movimientos!$K$1:$K$790,Movimientos!$C$1:$C$790,"Green Stone Trust",Movimientos!$B$1:$B$790,"&lt;="&amp;$B104)</f>
        <v>1968.99</v>
      </c>
      <c r="O104" s="24">
        <f>SUMIFS('Saldos Iniciales'!$D:$D,'Saldos Iniciales'!$A:$A,"EC Auto")+SUMIFS(Movimientos!$K$1:$K$790,Movimientos!$C$1:$C$790,"EC Auto",Movimientos!$B$1:$B$790,"&lt;="&amp;$B104)</f>
        <v>901.34</v>
      </c>
      <c r="P104" s="24">
        <f>SUMIFS('Saldos Iniciales'!$D:$D,'Saldos Iniciales'!$A:$A,"Arbor Capital Properties")+SUMIFS(Movimientos!$K$1:$K$790,Movimientos!$C$1:$C$790,"Arbor Capital Properties",Movimientos!$B$1:$B$790,"&lt;="&amp;$B104)</f>
        <v>1396.08</v>
      </c>
      <c r="Q104" s="24">
        <f>SUMIFS('Saldos Iniciales'!$D:$D,'Saldos Iniciales'!$A:$A,"2515 Overbrook")+SUMIFS(Movimientos!$K$1:$K$790,Movimientos!$C$1:$C$790,"2515 Overbrook",Movimientos!$B$1:$B$790,"&lt;="&amp;$B104)</f>
        <v>3700.7099999999591</v>
      </c>
      <c r="R104" s="24">
        <f>SUMIFS('Saldos Iniciales'!$D:$D,'Saldos Iniciales'!$A:$A,"112 Florida Ave")+SUMIFS(Movimientos!$K$1:$K$790,Movimientos!$C$1:$C$790,"112 Florida Ave",Movimientos!$B$1:$B$790,"&lt;="&amp;$B104)</f>
        <v>8724.1700000000037</v>
      </c>
      <c r="S104" s="24">
        <f>SUMIFS('Saldos Iniciales'!$D:$D,'Saldos Iniciales'!$A:$A,"3628 Thomas Ave")+SUMIFS(Movimientos!$K$1:$K$790,Movimientos!$C$1:$C$790,"3628 Thomas Ave",Movimientos!$B$1:$B$790,"&lt;="&amp;$B104)</f>
        <v>15042.439999999997</v>
      </c>
      <c r="T104" s="24">
        <f>SUMIFS('Saldos Iniciales'!$D:$D,'Saldos Iniciales'!$A:$A,"Green Harbor Trust")+SUMIFS(Movimientos!$K$1:$K$790,Movimientos!$C$1:$C$790,"Green Harbor Trust",Movimientos!$B$1:$B$790,"&lt;="&amp;$B104)</f>
        <v>345</v>
      </c>
      <c r="U104" s="24">
        <f>SUMIFS('Saldos Iniciales'!$D:$D,'Saldos Iniciales'!$A:$A,"Go Blue")+SUMIFS(Movimientos!$K$1:$K$790,Movimientos!$C$1:$C$790,"Go Blue",Movimientos!$B$1:$B$790,"&lt;="&amp;$B104)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Group")+SUMIFS(Movimientos!$K$1:$K$790,Movimientos!$C$1:$C$790,"CFT Group",Movimientos!$B$1:$B$790,"&lt;="&amp;$B105)</f>
        <v>1260076.9800000002</v>
      </c>
      <c r="D105" s="24">
        <f>SUMIFS('Saldos Iniciales'!$D:$D,'Saldos Iniciales'!$A:$A,"M1B")+SUMIFS(Movimientos!$K$1:$K$790,Movimientos!$C$1:$C$790,"M1B",Movimientos!$B$1:$B$790,"&lt;="&amp;$B105)</f>
        <v>83211.250000000175</v>
      </c>
      <c r="E105" s="24">
        <f>SUMIFS('Saldos Iniciales'!$D:$D,'Saldos Iniciales'!$A:$A,"Durand")+SUMIFS(Movimientos!$K$1:$K$790,Movimientos!$C$1:$C$790,"Durand",Movimientos!$B$1:$B$790,"&lt;="&amp;$B105)</f>
        <v>1669.89</v>
      </c>
      <c r="F105" s="24">
        <f>SUMIFS('Saldos Iniciales'!$D:$D,'Saldos Iniciales'!$A:$A,"A&amp;M Imports")+SUMIFS(Movimientos!$K$1:$K$790,Movimientos!$C$1:$C$790,"A&amp;M Imports",Movimientos!$B$1:$B$790,"&lt;="&amp;$B105)</f>
        <v>1349451.94</v>
      </c>
      <c r="G105" s="24">
        <f>SUMIFS('Saldos Iniciales'!$D:$D,'Saldos Iniciales'!$A:$A,"SSP Capital")+SUMIFS(Movimientos!$K$1:$K$790,Movimientos!$C$1:$C$790,"SSP Capital",Movimientos!$B$1:$B$790,"&lt;="&amp;$B105)</f>
        <v>1622914.8199999996</v>
      </c>
      <c r="H105" s="24">
        <f>SUMIFS('Saldos Iniciales'!$D:$D,'Saldos Iniciales'!$A:$A,"Cross Family Trust")+SUMIFS(Movimientos!$K$1:$K$790,Movimientos!$C$1:$C$790,"Cross Family Trust",Movimientos!$B$1:$B$790,"&lt;="&amp;$B105)</f>
        <v>731496.38</v>
      </c>
      <c r="I105" s="24">
        <f>SUMIFS('Saldos Iniciales'!$D:$D,'Saldos Iniciales'!$A:$A,"Cross Security Trust")+SUMIFS(Movimientos!$K$1:$K$790,Movimientos!$C$1:$C$790,"Cross Security Trust",Movimientos!$B$1:$B$790,"&lt;="&amp;$B105)</f>
        <v>158090.37</v>
      </c>
      <c r="J105" s="24">
        <f>SUMIFS('Saldos Iniciales'!$D:$D,'Saldos Iniciales'!$A:$A,"Electrama")+SUMIFS(Movimientos!$K$1:$K$790,Movimientos!$C$1:$C$790,"Electrama",Movimientos!$B$1:$B$790,"&lt;="&amp;$B105)</f>
        <v>14580.45</v>
      </c>
      <c r="K105" s="24">
        <f>SUMIFS('Saldos Iniciales'!$D:$D,'Saldos Iniciales'!$A:$A,"Sacred Valley Capital")+SUMIFS(Movimientos!$K$1:$K$790,Movimientos!$C$1:$C$790,"Sacred Valley Capital",Movimientos!$B$1:$B$790,"&lt;="&amp;$B105)</f>
        <v>24.450000000000003</v>
      </c>
      <c r="L105" s="24">
        <f>SUMIFS('Saldos Iniciales'!$D:$D,'Saldos Iniciales'!$A:$A,"YWC Capital")+SUMIFS(Movimientos!$K$1:$K$790,Movimientos!$C$1:$C$790,"YWC Capital",Movimientos!$B$1:$B$790,"&lt;="&amp;$B105)</f>
        <v>2177.87</v>
      </c>
      <c r="M105" s="24">
        <f>SUMIFS('Saldos Iniciales'!$D:$D,'Saldos Iniciales'!$A:$A,"Soweto")+SUMIFS(Movimientos!$K$1:$K$790,Movimientos!$C$1:$C$790,"Soweto",Movimientos!$B$1:$B$790,"&lt;="&amp;$B105)</f>
        <v>754589.72</v>
      </c>
      <c r="N105" s="24">
        <f>SUMIFS('Saldos Iniciales'!$D:$D,'Saldos Iniciales'!$A:$A,"Green Stone Trust")+SUMIFS(Movimientos!$K$1:$K$790,Movimientos!$C$1:$C$790,"Green Stone Trust",Movimientos!$B$1:$B$790,"&lt;="&amp;$B105)</f>
        <v>1968.99</v>
      </c>
      <c r="O105" s="24">
        <f>SUMIFS('Saldos Iniciales'!$D:$D,'Saldos Iniciales'!$A:$A,"EC Auto")+SUMIFS(Movimientos!$K$1:$K$790,Movimientos!$C$1:$C$790,"EC Auto",Movimientos!$B$1:$B$790,"&lt;="&amp;$B105)</f>
        <v>901.34</v>
      </c>
      <c r="P105" s="24">
        <f>SUMIFS('Saldos Iniciales'!$D:$D,'Saldos Iniciales'!$A:$A,"Arbor Capital Properties")+SUMIFS(Movimientos!$K$1:$K$790,Movimientos!$C$1:$C$790,"Arbor Capital Properties",Movimientos!$B$1:$B$790,"&lt;="&amp;$B105)</f>
        <v>1396.08</v>
      </c>
      <c r="Q105" s="24">
        <f>SUMIFS('Saldos Iniciales'!$D:$D,'Saldos Iniciales'!$A:$A,"2515 Overbrook")+SUMIFS(Movimientos!$K$1:$K$790,Movimientos!$C$1:$C$790,"2515 Overbrook",Movimientos!$B$1:$B$790,"&lt;="&amp;$B105)</f>
        <v>3700.7099999999591</v>
      </c>
      <c r="R105" s="24">
        <f>SUMIFS('Saldos Iniciales'!$D:$D,'Saldos Iniciales'!$A:$A,"112 Florida Ave")+SUMIFS(Movimientos!$K$1:$K$790,Movimientos!$C$1:$C$790,"112 Florida Ave",Movimientos!$B$1:$B$790,"&lt;="&amp;$B105)</f>
        <v>8724.1700000000037</v>
      </c>
      <c r="S105" s="24">
        <f>SUMIFS('Saldos Iniciales'!$D:$D,'Saldos Iniciales'!$A:$A,"3628 Thomas Ave")+SUMIFS(Movimientos!$K$1:$K$790,Movimientos!$C$1:$C$790,"3628 Thomas Ave",Movimientos!$B$1:$B$790,"&lt;="&amp;$B105)</f>
        <v>14936.039999999997</v>
      </c>
      <c r="T105" s="24">
        <f>SUMIFS('Saldos Iniciales'!$D:$D,'Saldos Iniciales'!$A:$A,"Green Harbor Trust")+SUMIFS(Movimientos!$K$1:$K$790,Movimientos!$C$1:$C$790,"Green Harbor Trust",Movimientos!$B$1:$B$790,"&lt;="&amp;$B105)</f>
        <v>345</v>
      </c>
      <c r="U105" s="24">
        <f>SUMIFS('Saldos Iniciales'!$D:$D,'Saldos Iniciales'!$A:$A,"Go Blue")+SUMIFS(Movimientos!$K$1:$K$790,Movimientos!$C$1:$C$790,"Go Blue",Movimientos!$B$1:$B$790,"&lt;="&amp;$B105)</f>
        <v>12470.040000000003</v>
      </c>
      <c r="V105" s="25">
        <f t="shared" si="24"/>
        <v>6022726.4900000002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Group")+SUMIFS(Movimientos!$K$1:$K$790,Movimientos!$C$1:$C$790,"CFT Group",Movimientos!$B$1:$B$790,"&lt;="&amp;$B106)</f>
        <v>1041242.3800000005</v>
      </c>
      <c r="D106" s="24">
        <f>SUMIFS('Saldos Iniciales'!$D:$D,'Saldos Iniciales'!$A:$A,"M1B")+SUMIFS(Movimientos!$K$1:$K$790,Movimientos!$C$1:$C$790,"M1B",Movimientos!$B$1:$B$790,"&lt;="&amp;$B106)</f>
        <v>83211.250000000175</v>
      </c>
      <c r="E106" s="24">
        <f>SUMIFS('Saldos Iniciales'!$D:$D,'Saldos Iniciales'!$A:$A,"Durand")+SUMIFS(Movimientos!$K$1:$K$790,Movimientos!$C$1:$C$790,"Durand",Movimientos!$B$1:$B$790,"&lt;="&amp;$B106)</f>
        <v>1669.89</v>
      </c>
      <c r="F106" s="24">
        <f>SUMIFS('Saldos Iniciales'!$D:$D,'Saldos Iniciales'!$A:$A,"A&amp;M Imports")+SUMIFS(Movimientos!$K$1:$K$790,Movimientos!$C$1:$C$790,"A&amp;M Imports",Movimientos!$B$1:$B$790,"&lt;="&amp;$B106)</f>
        <v>1289451.94</v>
      </c>
      <c r="G106" s="24">
        <f>SUMIFS('Saldos Iniciales'!$D:$D,'Saldos Iniciales'!$A:$A,"SSP Capital")+SUMIFS(Movimientos!$K$1:$K$790,Movimientos!$C$1:$C$790,"SSP Capital",Movimientos!$B$1:$B$790,"&lt;="&amp;$B106)</f>
        <v>1418917.5899999996</v>
      </c>
      <c r="H106" s="24">
        <f>SUMIFS('Saldos Iniciales'!$D:$D,'Saldos Iniciales'!$A:$A,"Cross Family Trust")+SUMIFS(Movimientos!$K$1:$K$790,Movimientos!$C$1:$C$790,"Cross Family Trust",Movimientos!$B$1:$B$790,"&lt;="&amp;$B106)</f>
        <v>221496.38</v>
      </c>
      <c r="I106" s="24">
        <f>SUMIFS('Saldos Iniciales'!$D:$D,'Saldos Iniciales'!$A:$A,"Cross Security Trust")+SUMIFS(Movimientos!$K$1:$K$790,Movimientos!$C$1:$C$790,"Cross Security Trust",Movimientos!$B$1:$B$790,"&lt;="&amp;$B106)</f>
        <v>158090.37</v>
      </c>
      <c r="J106" s="24">
        <f>SUMIFS('Saldos Iniciales'!$D:$D,'Saldos Iniciales'!$A:$A,"Electrama")+SUMIFS(Movimientos!$K$1:$K$790,Movimientos!$C$1:$C$790,"Electrama",Movimientos!$B$1:$B$790,"&lt;="&amp;$B106)</f>
        <v>14580.45</v>
      </c>
      <c r="K106" s="24">
        <f>SUMIFS('Saldos Iniciales'!$D:$D,'Saldos Iniciales'!$A:$A,"Sacred Valley Capital")+SUMIFS(Movimientos!$K$1:$K$790,Movimientos!$C$1:$C$790,"Sacred Valley Capital",Movimientos!$B$1:$B$790,"&lt;="&amp;$B106)</f>
        <v>24.450000000000003</v>
      </c>
      <c r="L106" s="24">
        <f>SUMIFS('Saldos Iniciales'!$D:$D,'Saldos Iniciales'!$A:$A,"YWC Capital")+SUMIFS(Movimientos!$K$1:$K$790,Movimientos!$C$1:$C$790,"YWC Capital",Movimientos!$B$1:$B$790,"&lt;="&amp;$B106)</f>
        <v>2177.87</v>
      </c>
      <c r="M106" s="24">
        <f>SUMIFS('Saldos Iniciales'!$D:$D,'Saldos Iniciales'!$A:$A,"Soweto")+SUMIFS(Movimientos!$K$1:$K$790,Movimientos!$C$1:$C$790,"Soweto",Movimientos!$B$1:$B$790,"&lt;="&amp;$B106)</f>
        <v>754589.72</v>
      </c>
      <c r="N106" s="24">
        <f>SUMIFS('Saldos Iniciales'!$D:$D,'Saldos Iniciales'!$A:$A,"Green Stone Trust")+SUMIFS(Movimientos!$K$1:$K$790,Movimientos!$C$1:$C$790,"Green Stone Trust",Movimientos!$B$1:$B$790,"&lt;="&amp;$B106)</f>
        <v>1968.99</v>
      </c>
      <c r="O106" s="24">
        <f>SUMIFS('Saldos Iniciales'!$D:$D,'Saldos Iniciales'!$A:$A,"EC Auto")+SUMIFS(Movimientos!$K$1:$K$790,Movimientos!$C$1:$C$790,"EC Auto",Movimientos!$B$1:$B$790,"&lt;="&amp;$B106)</f>
        <v>901.34</v>
      </c>
      <c r="P106" s="24">
        <f>SUMIFS('Saldos Iniciales'!$D:$D,'Saldos Iniciales'!$A:$A,"Arbor Capital Properties")+SUMIFS(Movimientos!$K$1:$K$790,Movimientos!$C$1:$C$790,"Arbor Capital Properties",Movimientos!$B$1:$B$790,"&lt;="&amp;$B106)</f>
        <v>1396.08</v>
      </c>
      <c r="Q106" s="24">
        <f>SUMIFS('Saldos Iniciales'!$D:$D,'Saldos Iniciales'!$A:$A,"2515 Overbrook")+SUMIFS(Movimientos!$K$1:$K$790,Movimientos!$C$1:$C$790,"2515 Overbrook",Movimientos!$B$1:$B$790,"&lt;="&amp;$B106)</f>
        <v>13700.709999999959</v>
      </c>
      <c r="R106" s="24">
        <f>SUMIFS('Saldos Iniciales'!$D:$D,'Saldos Iniciales'!$A:$A,"112 Florida Ave")+SUMIFS(Movimientos!$K$1:$K$790,Movimientos!$C$1:$C$790,"112 Florida Ave",Movimientos!$B$1:$B$790,"&lt;="&amp;$B106)</f>
        <v>8724.1700000000037</v>
      </c>
      <c r="S106" s="24">
        <f>SUMIFS('Saldos Iniciales'!$D:$D,'Saldos Iniciales'!$A:$A,"3628 Thomas Ave")+SUMIFS(Movimientos!$K$1:$K$790,Movimientos!$C$1:$C$790,"3628 Thomas Ave",Movimientos!$B$1:$B$790,"&lt;="&amp;$B106)</f>
        <v>14936.039999999997</v>
      </c>
      <c r="T106" s="24">
        <f>SUMIFS('Saldos Iniciales'!$D:$D,'Saldos Iniciales'!$A:$A,"Green Harbor Trust")+SUMIFS(Movimientos!$K$1:$K$790,Movimientos!$C$1:$C$790,"Green Harbor Trust",Movimientos!$B$1:$B$790,"&lt;="&amp;$B106)</f>
        <v>345</v>
      </c>
      <c r="U106" s="24">
        <f>SUMIFS('Saldos Iniciales'!$D:$D,'Saldos Iniciales'!$A:$A,"Go Blue")+SUMIFS(Movimientos!$K$1:$K$790,Movimientos!$C$1:$C$790,"Go Blue",Movimientos!$B$1:$B$790,"&lt;="&amp;$B106)</f>
        <v>14740.900000000001</v>
      </c>
      <c r="V106" s="25">
        <f t="shared" ref="V106:V107" si="25">SUM(C106:U106)</f>
        <v>5042165.5200000005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Group")+SUMIFS(Movimientos!$K$1:$K$790,Movimientos!$C$1:$C$790,"CFT Group",Movimientos!$B$1:$B$790,"&lt;="&amp;$B107)</f>
        <v>941242.38000000047</v>
      </c>
      <c r="D107" s="24">
        <f>SUMIFS('Saldos Iniciales'!$D:$D,'Saldos Iniciales'!$A:$A,"M1B")+SUMIFS(Movimientos!$K$1:$K$790,Movimientos!$C$1:$C$790,"M1B",Movimientos!$B$1:$B$790,"&lt;="&amp;$B107)</f>
        <v>83211.250000000175</v>
      </c>
      <c r="E107" s="24">
        <f>SUMIFS('Saldos Iniciales'!$D:$D,'Saldos Iniciales'!$A:$A,"Durand")+SUMIFS(Movimientos!$K$1:$K$790,Movimientos!$C$1:$C$790,"Durand",Movimientos!$B$1:$B$790,"&lt;="&amp;$B107)</f>
        <v>1669.89</v>
      </c>
      <c r="F107" s="24">
        <f>SUMIFS('Saldos Iniciales'!$D:$D,'Saldos Iniciales'!$A:$A,"A&amp;M Imports")+SUMIFS(Movimientos!$K$1:$K$790,Movimientos!$C$1:$C$790,"A&amp;M Imports",Movimientos!$B$1:$B$790,"&lt;="&amp;$B107)</f>
        <v>1289451.94</v>
      </c>
      <c r="G107" s="24">
        <f>SUMIFS('Saldos Iniciales'!$D:$D,'Saldos Iniciales'!$A:$A,"SSP Capital")+SUMIFS(Movimientos!$K$1:$K$790,Movimientos!$C$1:$C$790,"SSP Capital",Movimientos!$B$1:$B$790,"&lt;="&amp;$B107)</f>
        <v>1418917.5899999996</v>
      </c>
      <c r="H107" s="24">
        <f>SUMIFS('Saldos Iniciales'!$D:$D,'Saldos Iniciales'!$A:$A,"Cross Family Trust")+SUMIFS(Movimientos!$K$1:$K$790,Movimientos!$C$1:$C$790,"Cross Family Trust",Movimientos!$B$1:$B$790,"&lt;="&amp;$B107)</f>
        <v>221496.38</v>
      </c>
      <c r="I107" s="24">
        <f>SUMIFS('Saldos Iniciales'!$D:$D,'Saldos Iniciales'!$A:$A,"Cross Security Trust")+SUMIFS(Movimientos!$K$1:$K$790,Movimientos!$C$1:$C$790,"Cross Security Trust",Movimientos!$B$1:$B$790,"&lt;="&amp;$B107)</f>
        <v>158090.37</v>
      </c>
      <c r="J107" s="24">
        <f>SUMIFS('Saldos Iniciales'!$D:$D,'Saldos Iniciales'!$A:$A,"Electrama")+SUMIFS(Movimientos!$K$1:$K$790,Movimientos!$C$1:$C$790,"Electrama",Movimientos!$B$1:$B$790,"&lt;="&amp;$B107)</f>
        <v>14580.45</v>
      </c>
      <c r="K107" s="24">
        <f>SUMIFS('Saldos Iniciales'!$D:$D,'Saldos Iniciales'!$A:$A,"Sacred Valley Capital")+SUMIFS(Movimientos!$K$1:$K$790,Movimientos!$C$1:$C$790,"Sacred Valley Capital",Movimientos!$B$1:$B$790,"&lt;="&amp;$B107)</f>
        <v>24.450000000000003</v>
      </c>
      <c r="L107" s="24">
        <f>SUMIFS('Saldos Iniciales'!$D:$D,'Saldos Iniciales'!$A:$A,"YWC Capital")+SUMIFS(Movimientos!$K$1:$K$790,Movimientos!$C$1:$C$790,"YWC Capital",Movimientos!$B$1:$B$790,"&lt;="&amp;$B107)</f>
        <v>2177.87</v>
      </c>
      <c r="M107" s="24">
        <f>SUMIFS('Saldos Iniciales'!$D:$D,'Saldos Iniciales'!$A:$A,"Soweto")+SUMIFS(Movimientos!$K$1:$K$790,Movimientos!$C$1:$C$790,"Soweto",Movimientos!$B$1:$B$790,"&lt;="&amp;$B107)</f>
        <v>754589.72</v>
      </c>
      <c r="N107" s="24">
        <f>SUMIFS('Saldos Iniciales'!$D:$D,'Saldos Iniciales'!$A:$A,"Green Stone Trust")+SUMIFS(Movimientos!$K$1:$K$790,Movimientos!$C$1:$C$790,"Green Stone Trust",Movimientos!$B$1:$B$790,"&lt;="&amp;$B107)</f>
        <v>1968.99</v>
      </c>
      <c r="O107" s="24">
        <f>SUMIFS('Saldos Iniciales'!$D:$D,'Saldos Iniciales'!$A:$A,"EC Auto")+SUMIFS(Movimientos!$K$1:$K$790,Movimientos!$C$1:$C$790,"EC Auto",Movimientos!$B$1:$B$790,"&lt;="&amp;$B107)</f>
        <v>901.34</v>
      </c>
      <c r="P107" s="24">
        <f>SUMIFS('Saldos Iniciales'!$D:$D,'Saldos Iniciales'!$A:$A,"Arbor Capital Properties")+SUMIFS(Movimientos!$K$1:$K$790,Movimientos!$C$1:$C$790,"Arbor Capital Properties",Movimientos!$B$1:$B$790,"&lt;="&amp;$B107)</f>
        <v>1396.08</v>
      </c>
      <c r="Q107" s="24">
        <f>SUMIFS('Saldos Iniciales'!$D:$D,'Saldos Iniciales'!$A:$A,"2515 Overbrook")+SUMIFS(Movimientos!$K$1:$K$790,Movimientos!$C$1:$C$790,"2515 Overbrook",Movimientos!$B$1:$B$790,"&lt;="&amp;$B107)</f>
        <v>13685.709999999959</v>
      </c>
      <c r="R107" s="24">
        <f>SUMIFS('Saldos Iniciales'!$D:$D,'Saldos Iniciales'!$A:$A,"112 Florida Ave")+SUMIFS(Movimientos!$K$1:$K$790,Movimientos!$C$1:$C$790,"112 Florida Ave",Movimientos!$B$1:$B$790,"&lt;="&amp;$B107)</f>
        <v>8724.1700000000037</v>
      </c>
      <c r="S107" s="24">
        <f>SUMIFS('Saldos Iniciales'!$D:$D,'Saldos Iniciales'!$A:$A,"3628 Thomas Ave")+SUMIFS(Movimientos!$K$1:$K$790,Movimientos!$C$1:$C$790,"3628 Thomas Ave",Movimientos!$B$1:$B$790,"&lt;="&amp;$B107)</f>
        <v>14936.039999999997</v>
      </c>
      <c r="T107" s="24">
        <f>SUMIFS('Saldos Iniciales'!$D:$D,'Saldos Iniciales'!$A:$A,"Green Harbor Trust")+SUMIFS(Movimientos!$K$1:$K$790,Movimientos!$C$1:$C$790,"Green Harbor Trust",Movimientos!$B$1:$B$790,"&lt;="&amp;$B107)</f>
        <v>345</v>
      </c>
      <c r="U107" s="24">
        <f>SUMIFS('Saldos Iniciales'!$D:$D,'Saldos Iniciales'!$A:$A,"Go Blue")+SUMIFS(Movimientos!$K$1:$K$790,Movimientos!$C$1:$C$790,"Go Blue",Movimientos!$B$1:$B$790,"&lt;="&amp;$B107)</f>
        <v>14740.900000000001</v>
      </c>
      <c r="V107" s="25">
        <f t="shared" si="25"/>
        <v>4942150.5200000005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Group")+SUMIFS(Movimientos!$K$1:$K$790,Movimientos!$C$1:$C$790,"CFT Group",Movimientos!$B$1:$B$790,"&lt;="&amp;$B108)</f>
        <v>941242.38000000047</v>
      </c>
      <c r="D108" s="24">
        <f>SUMIFS('Saldos Iniciales'!$D:$D,'Saldos Iniciales'!$A:$A,"M1B")+SUMIFS(Movimientos!$K$1:$K$790,Movimientos!$C$1:$C$790,"M1B",Movimientos!$B$1:$B$790,"&lt;="&amp;$B108)</f>
        <v>83211.250000000175</v>
      </c>
      <c r="E108" s="24">
        <f>SUMIFS('Saldos Iniciales'!$D:$D,'Saldos Iniciales'!$A:$A,"Durand")+SUMIFS(Movimientos!$K$1:$K$790,Movimientos!$C$1:$C$790,"Durand",Movimientos!$B$1:$B$790,"&lt;="&amp;$B108)</f>
        <v>1669.89</v>
      </c>
      <c r="F108" s="24">
        <f>SUMIFS('Saldos Iniciales'!$D:$D,'Saldos Iniciales'!$A:$A,"A&amp;M Imports")+SUMIFS(Movimientos!$K$1:$K$790,Movimientos!$C$1:$C$790,"A&amp;M Imports",Movimientos!$B$1:$B$790,"&lt;="&amp;$B108)</f>
        <v>1289451.94</v>
      </c>
      <c r="G108" s="24">
        <f>SUMIFS('Saldos Iniciales'!$D:$D,'Saldos Iniciales'!$A:$A,"SSP Capital")+SUMIFS(Movimientos!$K$1:$K$790,Movimientos!$C$1:$C$790,"SSP Capital",Movimientos!$B$1:$B$790,"&lt;="&amp;$B108)</f>
        <v>1418917.5899999996</v>
      </c>
      <c r="H108" s="24">
        <f>SUMIFS('Saldos Iniciales'!$D:$D,'Saldos Iniciales'!$A:$A,"Cross Family Trust")+SUMIFS(Movimientos!$K$1:$K$790,Movimientos!$C$1:$C$790,"Cross Family Trust",Movimientos!$B$1:$B$790,"&lt;="&amp;$B108)</f>
        <v>221496.38</v>
      </c>
      <c r="I108" s="24">
        <f>SUMIFS('Saldos Iniciales'!$D:$D,'Saldos Iniciales'!$A:$A,"Cross Security Trust")+SUMIFS(Movimientos!$K$1:$K$790,Movimientos!$C$1:$C$790,"Cross Security Trust",Movimientos!$B$1:$B$790,"&lt;="&amp;$B108)</f>
        <v>158090.37</v>
      </c>
      <c r="J108" s="24">
        <f>SUMIFS('Saldos Iniciales'!$D:$D,'Saldos Iniciales'!$A:$A,"Electrama")+SUMIFS(Movimientos!$K$1:$K$790,Movimientos!$C$1:$C$790,"Electrama",Movimientos!$B$1:$B$790,"&lt;="&amp;$B108)</f>
        <v>14580.45</v>
      </c>
      <c r="K108" s="24">
        <f>SUMIFS('Saldos Iniciales'!$D:$D,'Saldos Iniciales'!$A:$A,"Sacred Valley Capital")+SUMIFS(Movimientos!$K$1:$K$790,Movimientos!$C$1:$C$790,"Sacred Valley Capital",Movimientos!$B$1:$B$790,"&lt;="&amp;$B108)</f>
        <v>24.450000000000003</v>
      </c>
      <c r="L108" s="24">
        <f>SUMIFS('Saldos Iniciales'!$D:$D,'Saldos Iniciales'!$A:$A,"YWC Capital")+SUMIFS(Movimientos!$K$1:$K$790,Movimientos!$C$1:$C$790,"YWC Capital",Movimientos!$B$1:$B$790,"&lt;="&amp;$B108)</f>
        <v>2177.87</v>
      </c>
      <c r="M108" s="24">
        <f>SUMIFS('Saldos Iniciales'!$D:$D,'Saldos Iniciales'!$A:$A,"Soweto")+SUMIFS(Movimientos!$K$1:$K$790,Movimientos!$C$1:$C$790,"Soweto",Movimientos!$B$1:$B$790,"&lt;="&amp;$B108)</f>
        <v>754589.72</v>
      </c>
      <c r="N108" s="24">
        <f>SUMIFS('Saldos Iniciales'!$D:$D,'Saldos Iniciales'!$A:$A,"Green Stone Trust")+SUMIFS(Movimientos!$K$1:$K$790,Movimientos!$C$1:$C$790,"Green Stone Trust",Movimientos!$B$1:$B$790,"&lt;="&amp;$B108)</f>
        <v>1968.99</v>
      </c>
      <c r="O108" s="24">
        <f>SUMIFS('Saldos Iniciales'!$D:$D,'Saldos Iniciales'!$A:$A,"EC Auto")+SUMIFS(Movimientos!$K$1:$K$790,Movimientos!$C$1:$C$790,"EC Auto",Movimientos!$B$1:$B$790,"&lt;="&amp;$B108)</f>
        <v>901.34</v>
      </c>
      <c r="P108" s="24">
        <f>SUMIFS('Saldos Iniciales'!$D:$D,'Saldos Iniciales'!$A:$A,"Arbor Capital Properties")+SUMIFS(Movimientos!$K$1:$K$790,Movimientos!$C$1:$C$790,"Arbor Capital Properties",Movimientos!$B$1:$B$790,"&lt;="&amp;$B108)</f>
        <v>1396.08</v>
      </c>
      <c r="Q108" s="24">
        <f>SUMIFS('Saldos Iniciales'!$D:$D,'Saldos Iniciales'!$A:$A,"2515 Overbrook")+SUMIFS(Movimientos!$K$1:$K$790,Movimientos!$C$1:$C$790,"2515 Overbrook",Movimientos!$B$1:$B$790,"&lt;="&amp;$B108)</f>
        <v>13685.709999999959</v>
      </c>
      <c r="R108" s="24">
        <f>SUMIFS('Saldos Iniciales'!$D:$D,'Saldos Iniciales'!$A:$A,"112 Florida Ave")+SUMIFS(Movimientos!$K$1:$K$790,Movimientos!$C$1:$C$790,"112 Florida Ave",Movimientos!$B$1:$B$790,"&lt;="&amp;$B108)</f>
        <v>8724.1700000000037</v>
      </c>
      <c r="S108" s="24">
        <f>SUMIFS('Saldos Iniciales'!$D:$D,'Saldos Iniciales'!$A:$A,"3628 Thomas Ave")+SUMIFS(Movimientos!$K$1:$K$790,Movimientos!$C$1:$C$790,"3628 Thomas Ave",Movimientos!$B$1:$B$790,"&lt;="&amp;$B108)</f>
        <v>14936.039999999997</v>
      </c>
      <c r="T108" s="24">
        <f>SUMIFS('Saldos Iniciales'!$D:$D,'Saldos Iniciales'!$A:$A,"Green Harbor Trust")+SUMIFS(Movimientos!$K$1:$K$790,Movimientos!$C$1:$C$790,"Green Harbor Trust",Movimientos!$B$1:$B$790,"&lt;="&amp;$B108)</f>
        <v>345</v>
      </c>
      <c r="U108" s="24">
        <f>SUMIFS('Saldos Iniciales'!$D:$D,'Saldos Iniciales'!$A:$A,"Go Blue")+SUMIFS(Movimientos!$K$1:$K$790,Movimientos!$C$1:$C$790,"Go Blue",Movimientos!$B$1:$B$790,"&lt;="&amp;$B108)</f>
        <v>14740.900000000001</v>
      </c>
      <c r="V108" s="25">
        <f t="shared" ref="V108:V111" si="26">SUM(C108:U108)</f>
        <v>4942150.5200000005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Group")+SUMIFS(Movimientos!$K$1:$K$790,Movimientos!$C$1:$C$790,"CFT Group",Movimientos!$B$1:$B$790,"&lt;="&amp;$B109)</f>
        <v>941242.38000000047</v>
      </c>
      <c r="D109" s="24">
        <f>SUMIFS('Saldos Iniciales'!$D:$D,'Saldos Iniciales'!$A:$A,"M1B")+SUMIFS(Movimientos!$K$1:$K$790,Movimientos!$C$1:$C$790,"M1B",Movimientos!$B$1:$B$790,"&lt;="&amp;$B109)</f>
        <v>83211.250000000175</v>
      </c>
      <c r="E109" s="24">
        <f>SUMIFS('Saldos Iniciales'!$D:$D,'Saldos Iniciales'!$A:$A,"Durand")+SUMIFS(Movimientos!$K$1:$K$790,Movimientos!$C$1:$C$790,"Durand",Movimientos!$B$1:$B$790,"&lt;="&amp;$B109)</f>
        <v>1669.89</v>
      </c>
      <c r="F109" s="24">
        <f>SUMIFS('Saldos Iniciales'!$D:$D,'Saldos Iniciales'!$A:$A,"A&amp;M Imports")+SUMIFS(Movimientos!$K$1:$K$790,Movimientos!$C$1:$C$790,"A&amp;M Imports",Movimientos!$B$1:$B$790,"&lt;="&amp;$B109)</f>
        <v>1289451.94</v>
      </c>
      <c r="G109" s="24">
        <f>SUMIFS('Saldos Iniciales'!$D:$D,'Saldos Iniciales'!$A:$A,"SSP Capital")+SUMIFS(Movimientos!$K$1:$K$790,Movimientos!$C$1:$C$790,"SSP Capital",Movimientos!$B$1:$B$790,"&lt;="&amp;$B109)</f>
        <v>1418917.5899999996</v>
      </c>
      <c r="H109" s="24">
        <f>SUMIFS('Saldos Iniciales'!$D:$D,'Saldos Iniciales'!$A:$A,"Cross Family Trust")+SUMIFS(Movimientos!$K$1:$K$790,Movimientos!$C$1:$C$790,"Cross Family Trust",Movimientos!$B$1:$B$790,"&lt;="&amp;$B109)</f>
        <v>221496.38</v>
      </c>
      <c r="I109" s="24">
        <f>SUMIFS('Saldos Iniciales'!$D:$D,'Saldos Iniciales'!$A:$A,"Cross Security Trust")+SUMIFS(Movimientos!$K$1:$K$790,Movimientos!$C$1:$C$790,"Cross Security Trust",Movimientos!$B$1:$B$790,"&lt;="&amp;$B109)</f>
        <v>158090.37</v>
      </c>
      <c r="J109" s="24">
        <f>SUMIFS('Saldos Iniciales'!$D:$D,'Saldos Iniciales'!$A:$A,"Electrama")+SUMIFS(Movimientos!$K$1:$K$790,Movimientos!$C$1:$C$790,"Electrama",Movimientos!$B$1:$B$790,"&lt;="&amp;$B109)</f>
        <v>14580.45</v>
      </c>
      <c r="K109" s="24">
        <f>SUMIFS('Saldos Iniciales'!$D:$D,'Saldos Iniciales'!$A:$A,"Sacred Valley Capital")+SUMIFS(Movimientos!$K$1:$K$790,Movimientos!$C$1:$C$790,"Sacred Valley Capital",Movimientos!$B$1:$B$790,"&lt;="&amp;$B109)</f>
        <v>24.450000000000003</v>
      </c>
      <c r="L109" s="24">
        <f>SUMIFS('Saldos Iniciales'!$D:$D,'Saldos Iniciales'!$A:$A,"YWC Capital")+SUMIFS(Movimientos!$K$1:$K$790,Movimientos!$C$1:$C$790,"YWC Capital",Movimientos!$B$1:$B$790,"&lt;="&amp;$B109)</f>
        <v>2177.87</v>
      </c>
      <c r="M109" s="24">
        <f>SUMIFS('Saldos Iniciales'!$D:$D,'Saldos Iniciales'!$A:$A,"Soweto")+SUMIFS(Movimientos!$K$1:$K$790,Movimientos!$C$1:$C$790,"Soweto",Movimientos!$B$1:$B$790,"&lt;="&amp;$B109)</f>
        <v>754589.72</v>
      </c>
      <c r="N109" s="24">
        <f>SUMIFS('Saldos Iniciales'!$D:$D,'Saldos Iniciales'!$A:$A,"Green Stone Trust")+SUMIFS(Movimientos!$K$1:$K$790,Movimientos!$C$1:$C$790,"Green Stone Trust",Movimientos!$B$1:$B$790,"&lt;="&amp;$B109)</f>
        <v>1968.99</v>
      </c>
      <c r="O109" s="24">
        <f>SUMIFS('Saldos Iniciales'!$D:$D,'Saldos Iniciales'!$A:$A,"EC Auto")+SUMIFS(Movimientos!$K$1:$K$790,Movimientos!$C$1:$C$790,"EC Auto",Movimientos!$B$1:$B$790,"&lt;="&amp;$B109)</f>
        <v>901.34</v>
      </c>
      <c r="P109" s="24">
        <f>SUMIFS('Saldos Iniciales'!$D:$D,'Saldos Iniciales'!$A:$A,"Arbor Capital Properties")+SUMIFS(Movimientos!$K$1:$K$790,Movimientos!$C$1:$C$790,"Arbor Capital Properties",Movimientos!$B$1:$B$790,"&lt;="&amp;$B109)</f>
        <v>1396.08</v>
      </c>
      <c r="Q109" s="24">
        <f>SUMIFS('Saldos Iniciales'!$D:$D,'Saldos Iniciales'!$A:$A,"2515 Overbrook")+SUMIFS(Movimientos!$K$1:$K$790,Movimientos!$C$1:$C$790,"2515 Overbrook",Movimientos!$B$1:$B$790,"&lt;="&amp;$B109)</f>
        <v>13685.709999999959</v>
      </c>
      <c r="R109" s="24">
        <f>SUMIFS('Saldos Iniciales'!$D:$D,'Saldos Iniciales'!$A:$A,"112 Florida Ave")+SUMIFS(Movimientos!$K$1:$K$790,Movimientos!$C$1:$C$790,"112 Florida Ave",Movimientos!$B$1:$B$790,"&lt;="&amp;$B109)</f>
        <v>8724.1700000000037</v>
      </c>
      <c r="S109" s="24">
        <f>SUMIFS('Saldos Iniciales'!$D:$D,'Saldos Iniciales'!$A:$A,"3628 Thomas Ave")+SUMIFS(Movimientos!$K$1:$K$790,Movimientos!$C$1:$C$790,"3628 Thomas Ave",Movimientos!$B$1:$B$790,"&lt;="&amp;$B109)</f>
        <v>14936.039999999997</v>
      </c>
      <c r="T109" s="24">
        <f>SUMIFS('Saldos Iniciales'!$D:$D,'Saldos Iniciales'!$A:$A,"Green Harbor Trust")+SUMIFS(Movimientos!$K$1:$K$790,Movimientos!$C$1:$C$790,"Green Harbor Trust",Movimientos!$B$1:$B$790,"&lt;="&amp;$B109)</f>
        <v>345</v>
      </c>
      <c r="U109" s="24">
        <f>SUMIFS('Saldos Iniciales'!$D:$D,'Saldos Iniciales'!$A:$A,"Go Blue")+SUMIFS(Movimientos!$K$1:$K$790,Movimientos!$C$1:$C$790,"Go Blue",Movimientos!$B$1:$B$790,"&lt;="&amp;$B109)</f>
        <v>14740.900000000001</v>
      </c>
      <c r="V109" s="25">
        <f t="shared" si="26"/>
        <v>4942150.5200000005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Group")+SUMIFS(Movimientos!$K$1:$K$790,Movimientos!$C$1:$C$790,"CFT Group",Movimientos!$B$1:$B$790,"&lt;="&amp;$B110)</f>
        <v>941242.38000000047</v>
      </c>
      <c r="D110" s="24">
        <f>SUMIFS('Saldos Iniciales'!$D:$D,'Saldos Iniciales'!$A:$A,"M1B")+SUMIFS(Movimientos!$K$1:$K$790,Movimientos!$C$1:$C$790,"M1B",Movimientos!$B$1:$B$790,"&lt;="&amp;$B110)</f>
        <v>83211.250000000175</v>
      </c>
      <c r="E110" s="24">
        <f>SUMIFS('Saldos Iniciales'!$D:$D,'Saldos Iniciales'!$A:$A,"Durand")+SUMIFS(Movimientos!$K$1:$K$790,Movimientos!$C$1:$C$790,"Durand",Movimientos!$B$1:$B$790,"&lt;="&amp;$B110)</f>
        <v>1669.89</v>
      </c>
      <c r="F110" s="24">
        <f>SUMIFS('Saldos Iniciales'!$D:$D,'Saldos Iniciales'!$A:$A,"A&amp;M Imports")+SUMIFS(Movimientos!$K$1:$K$790,Movimientos!$C$1:$C$790,"A&amp;M Imports",Movimientos!$B$1:$B$790,"&lt;="&amp;$B110)</f>
        <v>1289031.3399999999</v>
      </c>
      <c r="G110" s="24">
        <f>SUMIFS('Saldos Iniciales'!$D:$D,'Saldos Iniciales'!$A:$A,"SSP Capital")+SUMIFS(Movimientos!$K$1:$K$790,Movimientos!$C$1:$C$790,"SSP Capital",Movimientos!$B$1:$B$790,"&lt;="&amp;$B110)</f>
        <v>1384086.4999999995</v>
      </c>
      <c r="H110" s="24">
        <f>SUMIFS('Saldos Iniciales'!$D:$D,'Saldos Iniciales'!$A:$A,"Cross Family Trust")+SUMIFS(Movimientos!$K$1:$K$790,Movimientos!$C$1:$C$790,"Cross Family Trust",Movimientos!$B$1:$B$790,"&lt;="&amp;$B110)</f>
        <v>221496.38</v>
      </c>
      <c r="I110" s="24">
        <f>SUMIFS('Saldos Iniciales'!$D:$D,'Saldos Iniciales'!$A:$A,"Cross Security Trust")+SUMIFS(Movimientos!$K$1:$K$790,Movimientos!$C$1:$C$790,"Cross Security Trust",Movimientos!$B$1:$B$790,"&lt;="&amp;$B110)</f>
        <v>158090.37</v>
      </c>
      <c r="J110" s="24">
        <f>SUMIFS('Saldos Iniciales'!$D:$D,'Saldos Iniciales'!$A:$A,"Electrama")+SUMIFS(Movimientos!$K$1:$K$790,Movimientos!$C$1:$C$790,"Electrama",Movimientos!$B$1:$B$790,"&lt;="&amp;$B110)</f>
        <v>14580.45</v>
      </c>
      <c r="K110" s="24">
        <f>SUMIFS('Saldos Iniciales'!$D:$D,'Saldos Iniciales'!$A:$A,"Sacred Valley Capital")+SUMIFS(Movimientos!$K$1:$K$790,Movimientos!$C$1:$C$790,"Sacred Valley Capital",Movimientos!$B$1:$B$790,"&lt;="&amp;$B110)</f>
        <v>24.450000000000003</v>
      </c>
      <c r="L110" s="24">
        <f>SUMIFS('Saldos Iniciales'!$D:$D,'Saldos Iniciales'!$A:$A,"YWC Capital")+SUMIFS(Movimientos!$K$1:$K$790,Movimientos!$C$1:$C$790,"YWC Capital",Movimientos!$B$1:$B$790,"&lt;="&amp;$B110)</f>
        <v>2177.87</v>
      </c>
      <c r="M110" s="24">
        <f>SUMIFS('Saldos Iniciales'!$D:$D,'Saldos Iniciales'!$A:$A,"Soweto")+SUMIFS(Movimientos!$K$1:$K$790,Movimientos!$C$1:$C$790,"Soweto",Movimientos!$B$1:$B$790,"&lt;="&amp;$B110)</f>
        <v>754589.72</v>
      </c>
      <c r="N110" s="24">
        <f>SUMIFS('Saldos Iniciales'!$D:$D,'Saldos Iniciales'!$A:$A,"Green Stone Trust")+SUMIFS(Movimientos!$K$1:$K$790,Movimientos!$C$1:$C$790,"Green Stone Trust",Movimientos!$B$1:$B$790,"&lt;="&amp;$B110)</f>
        <v>1968.99</v>
      </c>
      <c r="O110" s="24">
        <f>SUMIFS('Saldos Iniciales'!$D:$D,'Saldos Iniciales'!$A:$A,"EC Auto")+SUMIFS(Movimientos!$K$1:$K$790,Movimientos!$C$1:$C$790,"EC Auto",Movimientos!$B$1:$B$790,"&lt;="&amp;$B110)</f>
        <v>901.34</v>
      </c>
      <c r="P110" s="24">
        <f>SUMIFS('Saldos Iniciales'!$D:$D,'Saldos Iniciales'!$A:$A,"Arbor Capital Properties")+SUMIFS(Movimientos!$K$1:$K$790,Movimientos!$C$1:$C$790,"Arbor Capital Properties",Movimientos!$B$1:$B$790,"&lt;="&amp;$B110)</f>
        <v>1396.08</v>
      </c>
      <c r="Q110" s="24">
        <f>SUMIFS('Saldos Iniciales'!$D:$D,'Saldos Iniciales'!$A:$A,"2515 Overbrook")+SUMIFS(Movimientos!$K$1:$K$790,Movimientos!$C$1:$C$790,"2515 Overbrook",Movimientos!$B$1:$B$790,"&lt;="&amp;$B110)</f>
        <v>13685.709999999959</v>
      </c>
      <c r="R110" s="24">
        <f>SUMIFS('Saldos Iniciales'!$D:$D,'Saldos Iniciales'!$A:$A,"112 Florida Ave")+SUMIFS(Movimientos!$K$1:$K$790,Movimientos!$C$1:$C$790,"112 Florida Ave",Movimientos!$B$1:$B$790,"&lt;="&amp;$B110)</f>
        <v>8724.1700000000037</v>
      </c>
      <c r="S110" s="24">
        <f>SUMIFS('Saldos Iniciales'!$D:$D,'Saldos Iniciales'!$A:$A,"3628 Thomas Ave")+SUMIFS(Movimientos!$K$1:$K$790,Movimientos!$C$1:$C$790,"3628 Thomas Ave",Movimientos!$B$1:$B$790,"&lt;="&amp;$B110)</f>
        <v>14936.039999999997</v>
      </c>
      <c r="T110" s="24">
        <f>SUMIFS('Saldos Iniciales'!$D:$D,'Saldos Iniciales'!$A:$A,"Green Harbor Trust")+SUMIFS(Movimientos!$K$1:$K$790,Movimientos!$C$1:$C$790,"Green Harbor Trust",Movimientos!$B$1:$B$790,"&lt;="&amp;$B110)</f>
        <v>345</v>
      </c>
      <c r="U110" s="24">
        <f>SUMIFS('Saldos Iniciales'!$D:$D,'Saldos Iniciales'!$A:$A,"Go Blue")+SUMIFS(Movimientos!$K$1:$K$790,Movimientos!$C$1:$C$790,"Go Blue",Movimientos!$B$1:$B$790,"&lt;="&amp;$B110)</f>
        <v>14565.900000000001</v>
      </c>
      <c r="V110" s="25">
        <f t="shared" si="26"/>
        <v>4906723.830000001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Group")+SUMIFS(Movimientos!$K$1:$K$790,Movimientos!$C$1:$C$790,"CFT Group",Movimientos!$B$1:$B$790,"&lt;="&amp;$B111)</f>
        <v>1047104.1600000005</v>
      </c>
      <c r="D111" s="24">
        <f>SUMIFS('Saldos Iniciales'!$D:$D,'Saldos Iniciales'!$A:$A,"M1B")+SUMIFS(Movimientos!$K$1:$K$790,Movimientos!$C$1:$C$790,"M1B",Movimientos!$B$1:$B$790,"&lt;="&amp;$B111)</f>
        <v>83211.250000000175</v>
      </c>
      <c r="E111" s="24">
        <f>SUMIFS('Saldos Iniciales'!$D:$D,'Saldos Iniciales'!$A:$A,"Durand")+SUMIFS(Movimientos!$K$1:$K$790,Movimientos!$C$1:$C$790,"Durand",Movimientos!$B$1:$B$790,"&lt;="&amp;$B111)</f>
        <v>1669.89</v>
      </c>
      <c r="F111" s="24">
        <f>SUMIFS('Saldos Iniciales'!$D:$D,'Saldos Iniciales'!$A:$A,"A&amp;M Imports")+SUMIFS(Movimientos!$K$1:$K$790,Movimientos!$C$1:$C$790,"A&amp;M Imports",Movimientos!$B$1:$B$790,"&lt;="&amp;$B111)</f>
        <v>1289031.3399999999</v>
      </c>
      <c r="G111" s="24">
        <f>SUMIFS('Saldos Iniciales'!$D:$D,'Saldos Iniciales'!$A:$A,"SSP Capital")+SUMIFS(Movimientos!$K$1:$K$790,Movimientos!$C$1:$C$790,"SSP Capital",Movimientos!$B$1:$B$790,"&lt;="&amp;$B111)</f>
        <v>1381596.1399999997</v>
      </c>
      <c r="H111" s="24">
        <f>SUMIFS('Saldos Iniciales'!$D:$D,'Saldos Iniciales'!$A:$A,"Cross Family Trust")+SUMIFS(Movimientos!$K$1:$K$790,Movimientos!$C$1:$C$790,"Cross Family Trust",Movimientos!$B$1:$B$790,"&lt;="&amp;$B111)</f>
        <v>221496.38</v>
      </c>
      <c r="I111" s="24">
        <f>SUMIFS('Saldos Iniciales'!$D:$D,'Saldos Iniciales'!$A:$A,"Cross Security Trust")+SUMIFS(Movimientos!$K$1:$K$790,Movimientos!$C$1:$C$790,"Cross Security Trust",Movimientos!$B$1:$B$790,"&lt;="&amp;$B111)</f>
        <v>158090.37</v>
      </c>
      <c r="J111" s="24">
        <f>SUMIFS('Saldos Iniciales'!$D:$D,'Saldos Iniciales'!$A:$A,"Electrama")+SUMIFS(Movimientos!$K$1:$K$790,Movimientos!$C$1:$C$790,"Electrama",Movimientos!$B$1:$B$790,"&lt;="&amp;$B111)</f>
        <v>14580.45</v>
      </c>
      <c r="K111" s="24">
        <f>SUMIFS('Saldos Iniciales'!$D:$D,'Saldos Iniciales'!$A:$A,"Sacred Valley Capital")+SUMIFS(Movimientos!$K$1:$K$790,Movimientos!$C$1:$C$790,"Sacred Valley Capital",Movimientos!$B$1:$B$790,"&lt;="&amp;$B111)</f>
        <v>24.450000000000003</v>
      </c>
      <c r="L111" s="24">
        <f>SUMIFS('Saldos Iniciales'!$D:$D,'Saldos Iniciales'!$A:$A,"YWC Capital")+SUMIFS(Movimientos!$K$1:$K$790,Movimientos!$C$1:$C$790,"YWC Capital",Movimientos!$B$1:$B$790,"&lt;="&amp;$B111)</f>
        <v>2177.87</v>
      </c>
      <c r="M111" s="24">
        <f>SUMIFS('Saldos Iniciales'!$D:$D,'Saldos Iniciales'!$A:$A,"Soweto")+SUMIFS(Movimientos!$K$1:$K$790,Movimientos!$C$1:$C$790,"Soweto",Movimientos!$B$1:$B$790,"&lt;="&amp;$B111)</f>
        <v>754589.72</v>
      </c>
      <c r="N111" s="24">
        <f>SUMIFS('Saldos Iniciales'!$D:$D,'Saldos Iniciales'!$A:$A,"Green Stone Trust")+SUMIFS(Movimientos!$K$1:$K$790,Movimientos!$C$1:$C$790,"Green Stone Trust",Movimientos!$B$1:$B$790,"&lt;="&amp;$B111)</f>
        <v>1968.99</v>
      </c>
      <c r="O111" s="24">
        <f>SUMIFS('Saldos Iniciales'!$D:$D,'Saldos Iniciales'!$A:$A,"EC Auto")+SUMIFS(Movimientos!$K$1:$K$790,Movimientos!$C$1:$C$790,"EC Auto",Movimientos!$B$1:$B$790,"&lt;="&amp;$B111)</f>
        <v>901.34</v>
      </c>
      <c r="P111" s="24">
        <f>SUMIFS('Saldos Iniciales'!$D:$D,'Saldos Iniciales'!$A:$A,"Arbor Capital Properties")+SUMIFS(Movimientos!$K$1:$K$790,Movimientos!$C$1:$C$790,"Arbor Capital Properties",Movimientos!$B$1:$B$790,"&lt;="&amp;$B111)</f>
        <v>1396.08</v>
      </c>
      <c r="Q111" s="24">
        <f>SUMIFS('Saldos Iniciales'!$D:$D,'Saldos Iniciales'!$A:$A,"2515 Overbrook")+SUMIFS(Movimientos!$K$1:$K$790,Movimientos!$C$1:$C$790,"2515 Overbrook",Movimientos!$B$1:$B$790,"&lt;="&amp;$B111)</f>
        <v>13685.709999999959</v>
      </c>
      <c r="R111" s="24">
        <f>SUMIFS('Saldos Iniciales'!$D:$D,'Saldos Iniciales'!$A:$A,"112 Florida Ave")+SUMIFS(Movimientos!$K$1:$K$790,Movimientos!$C$1:$C$790,"112 Florida Ave",Movimientos!$B$1:$B$790,"&lt;="&amp;$B111)</f>
        <v>8724.1700000000037</v>
      </c>
      <c r="S111" s="24">
        <f>SUMIFS('Saldos Iniciales'!$D:$D,'Saldos Iniciales'!$A:$A,"3628 Thomas Ave")+SUMIFS(Movimientos!$K$1:$K$790,Movimientos!$C$1:$C$790,"3628 Thomas Ave",Movimientos!$B$1:$B$790,"&lt;="&amp;$B111)</f>
        <v>14936.039999999997</v>
      </c>
      <c r="T111" s="24">
        <f>SUMIFS('Saldos Iniciales'!$D:$D,'Saldos Iniciales'!$A:$A,"Green Harbor Trust")+SUMIFS(Movimientos!$K$1:$K$790,Movimientos!$C$1:$C$790,"Green Harbor Trust",Movimientos!$B$1:$B$790,"&lt;="&amp;$B111)</f>
        <v>345</v>
      </c>
      <c r="U111" s="24">
        <f>SUMIFS('Saldos Iniciales'!$D:$D,'Saldos Iniciales'!$A:$A,"Go Blue")+SUMIFS(Movimientos!$K$1:$K$790,Movimientos!$C$1:$C$790,"Go Blue",Movimientos!$B$1:$B$790,"&lt;="&amp;$B111)</f>
        <v>14565.900000000001</v>
      </c>
      <c r="V111" s="25">
        <f t="shared" si="26"/>
        <v>5010095.2500000009</v>
      </c>
    </row>
  </sheetData>
  <conditionalFormatting sqref="C2:V111">
    <cfRule type="cellIs" dxfId="4" priority="1" operator="lessThan">
      <formula>0</formula>
    </cfRule>
  </conditionalFormatting>
  <conditionalFormatting sqref="V2:V11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091"/>
  <sheetViews>
    <sheetView tabSelected="1" zoomScale="80" zoomScaleNormal="80" workbookViewId="0">
      <pane ySplit="1" topLeftCell="A2063" activePane="bottomLeft" state="frozen"/>
      <selection pane="bottomLeft" activeCell="F2066" sqref="F206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983394.14000000013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804853.11999999988</v>
      </c>
    </row>
    <row r="595" spans="1:4" x14ac:dyDescent="0.3">
      <c r="A595" s="82" t="s">
        <v>21</v>
      </c>
      <c r="B595" s="82"/>
      <c r="C595" s="16">
        <v>46174</v>
      </c>
      <c r="D595">
        <v>1015901.6699999992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983394.14000000013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804853.11999999988</v>
      </c>
    </row>
    <row r="614" spans="1:4" x14ac:dyDescent="0.3">
      <c r="A614" s="82" t="s">
        <v>21</v>
      </c>
      <c r="B614" s="82"/>
      <c r="C614" s="16">
        <v>46175</v>
      </c>
      <c r="D614">
        <v>1015901.6699999992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983394.14000000013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804853.11999999988</v>
      </c>
    </row>
    <row r="633" spans="1:4" x14ac:dyDescent="0.3">
      <c r="A633" s="82" t="s">
        <v>21</v>
      </c>
      <c r="B633" s="82"/>
      <c r="C633" s="16">
        <v>46176</v>
      </c>
      <c r="D633">
        <v>1015611.6599999993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733394.14000000013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729545.23999999987</v>
      </c>
    </row>
    <row r="652" spans="1:4" x14ac:dyDescent="0.3">
      <c r="A652" s="82" t="s">
        <v>21</v>
      </c>
      <c r="B652" s="82"/>
      <c r="C652" s="16">
        <v>46177</v>
      </c>
      <c r="D652">
        <v>1171714.4499999993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733394.14000000013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729545.23999999987</v>
      </c>
    </row>
    <row r="671" spans="1:4" x14ac:dyDescent="0.3">
      <c r="A671" s="82" t="s">
        <v>21</v>
      </c>
      <c r="B671" s="82"/>
      <c r="C671" s="16">
        <v>46178</v>
      </c>
      <c r="D671">
        <v>1164028.3199999994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733394.14000000013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729545.23999999987</v>
      </c>
    </row>
    <row r="690" spans="1:4" x14ac:dyDescent="0.3">
      <c r="A690" s="82" t="s">
        <v>21</v>
      </c>
      <c r="B690" s="82"/>
      <c r="C690" s="16">
        <v>46179</v>
      </c>
      <c r="D690">
        <v>1164028.3199999994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733394.14000000013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729545.23999999987</v>
      </c>
    </row>
    <row r="709" spans="1:4" x14ac:dyDescent="0.3">
      <c r="A709" s="82" t="s">
        <v>21</v>
      </c>
      <c r="B709" s="82"/>
      <c r="C709" s="16">
        <v>46180</v>
      </c>
      <c r="D709">
        <v>1164028.3199999994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733394.14000000013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729545.23999999987</v>
      </c>
    </row>
    <row r="728" spans="1:4" x14ac:dyDescent="0.3">
      <c r="A728" s="82" t="s">
        <v>21</v>
      </c>
      <c r="B728" s="82"/>
      <c r="C728" s="16">
        <v>46181</v>
      </c>
      <c r="D728">
        <v>1164028.3199999994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847381.29000000015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729545.23999999987</v>
      </c>
    </row>
    <row r="747" spans="1:4" x14ac:dyDescent="0.3">
      <c r="A747" s="82" t="s">
        <v>21</v>
      </c>
      <c r="B747" s="82"/>
      <c r="C747" s="16">
        <v>46182</v>
      </c>
      <c r="D747">
        <v>1160274.0499999993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2288745.9500000002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744306.80999999982</v>
      </c>
    </row>
    <row r="766" spans="1:4" x14ac:dyDescent="0.3">
      <c r="A766" s="82" t="s">
        <v>21</v>
      </c>
      <c r="B766" s="82"/>
      <c r="C766" s="16">
        <v>46183</v>
      </c>
      <c r="D766">
        <v>1160274.0499999993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1837784.84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564626.20999999985</v>
      </c>
    </row>
    <row r="785" spans="1:4" x14ac:dyDescent="0.3">
      <c r="A785" s="82" t="s">
        <v>21</v>
      </c>
      <c r="B785" s="82"/>
      <c r="C785" s="16">
        <v>46184</v>
      </c>
      <c r="D785">
        <v>794731.82999999926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1837784.84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564626.20999999985</v>
      </c>
    </row>
    <row r="804" spans="1:4" x14ac:dyDescent="0.3">
      <c r="A804" s="82" t="s">
        <v>21</v>
      </c>
      <c r="B804" s="82"/>
      <c r="C804" s="16">
        <v>46185</v>
      </c>
      <c r="D804">
        <v>3763348.8299999996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1837784.84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564626.20999999985</v>
      </c>
    </row>
    <row r="823" spans="1:4" x14ac:dyDescent="0.3">
      <c r="A823" s="82" t="s">
        <v>21</v>
      </c>
      <c r="B823" s="82"/>
      <c r="C823" s="16">
        <v>46186</v>
      </c>
      <c r="D823">
        <v>3763348.8299999996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1837784.84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564626.20999999985</v>
      </c>
    </row>
    <row r="842" spans="1:4" x14ac:dyDescent="0.3">
      <c r="A842" s="82" t="s">
        <v>21</v>
      </c>
      <c r="B842" s="82"/>
      <c r="C842" s="16">
        <v>46187</v>
      </c>
      <c r="D842">
        <v>3763348.8299999996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985975.94000000029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503904.80999999982</v>
      </c>
    </row>
    <row r="861" spans="1:4" x14ac:dyDescent="0.3">
      <c r="A861" s="82" t="s">
        <v>21</v>
      </c>
      <c r="B861" s="82"/>
      <c r="C861" s="16">
        <v>46188</v>
      </c>
      <c r="D861">
        <v>3331737.2399999998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1086358.7500000002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503904.80999999982</v>
      </c>
    </row>
    <row r="880" spans="1:4" x14ac:dyDescent="0.3">
      <c r="A880" s="82" t="s">
        <v>21</v>
      </c>
      <c r="B880" s="82"/>
      <c r="C880" s="16">
        <v>46189</v>
      </c>
      <c r="D880">
        <v>3329246.88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1098358.7500000002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503904.80999999982</v>
      </c>
    </row>
    <row r="899" spans="1:4" x14ac:dyDescent="0.3">
      <c r="A899" s="82" t="s">
        <v>21</v>
      </c>
      <c r="B899" s="82"/>
      <c r="C899" s="16">
        <v>46190</v>
      </c>
      <c r="D899">
        <v>3326863.3899999997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1098358.7500000002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503904.80999999982</v>
      </c>
    </row>
    <row r="918" spans="1:4" x14ac:dyDescent="0.3">
      <c r="A918" s="82" t="s">
        <v>21</v>
      </c>
      <c r="B918" s="82"/>
      <c r="C918" s="16">
        <v>46191</v>
      </c>
      <c r="D918">
        <v>3326696.7299999995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1098358.7500000002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503904.80999999982</v>
      </c>
    </row>
    <row r="937" spans="1:4" x14ac:dyDescent="0.3">
      <c r="A937" s="82" t="s">
        <v>21</v>
      </c>
      <c r="B937" s="82"/>
      <c r="C937" s="16">
        <v>46192</v>
      </c>
      <c r="D937">
        <v>3326696.7299999995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1098358.7500000002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503904.80999999982</v>
      </c>
    </row>
    <row r="956" spans="1:4" x14ac:dyDescent="0.3">
      <c r="A956" s="82" t="s">
        <v>21</v>
      </c>
      <c r="B956" s="82"/>
      <c r="C956" s="16">
        <v>46193</v>
      </c>
      <c r="D956">
        <v>3326696.7299999995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1098358.7500000002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503904.80999999982</v>
      </c>
    </row>
    <row r="975" spans="1:4" x14ac:dyDescent="0.3">
      <c r="A975" s="82" t="s">
        <v>21</v>
      </c>
      <c r="B975" s="82"/>
      <c r="C975" s="16">
        <v>46194</v>
      </c>
      <c r="D975">
        <v>3326696.7299999995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7613332.1400000006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503904.80999999982</v>
      </c>
    </row>
    <row r="994" spans="1:4" x14ac:dyDescent="0.3">
      <c r="A994" s="82" t="s">
        <v>21</v>
      </c>
      <c r="B994" s="82"/>
      <c r="C994" s="16">
        <v>46195</v>
      </c>
      <c r="D994">
        <v>3325868.6899999995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7675741.5900000008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503904.80999999982</v>
      </c>
    </row>
    <row r="1013" spans="1:4" x14ac:dyDescent="0.3">
      <c r="A1013" s="82" t="s">
        <v>21</v>
      </c>
      <c r="B1013" s="82"/>
      <c r="C1013" s="16">
        <v>46196</v>
      </c>
      <c r="D1013">
        <v>3325868.6899999995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7742810.7100000009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532766.72999999986</v>
      </c>
    </row>
    <row r="1032" spans="1:4" x14ac:dyDescent="0.3">
      <c r="A1032" s="82" t="s">
        <v>21</v>
      </c>
      <c r="B1032" s="82"/>
      <c r="C1032" s="16">
        <v>46197</v>
      </c>
      <c r="D1032">
        <v>3325868.6899999995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6298935.7100000009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472766.72999999986</v>
      </c>
    </row>
    <row r="1051" spans="1:4" x14ac:dyDescent="0.3">
      <c r="A1051" s="82" t="s">
        <v>21</v>
      </c>
      <c r="B1051" s="82"/>
      <c r="C1051" s="16">
        <v>46198</v>
      </c>
      <c r="D1051">
        <v>1933152.7099999995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6288055.7100000009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472766.72999999986</v>
      </c>
    </row>
    <row r="1070" spans="1:4" x14ac:dyDescent="0.3">
      <c r="A1070" s="82" t="s">
        <v>21</v>
      </c>
      <c r="B1070" s="82"/>
      <c r="C1070" s="16">
        <v>46199</v>
      </c>
      <c r="D1070">
        <v>1932389.7199999993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6288055.7100000009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472766.72999999986</v>
      </c>
    </row>
    <row r="1089" spans="1:4" x14ac:dyDescent="0.3">
      <c r="A1089" s="82" t="s">
        <v>21</v>
      </c>
      <c r="B1089" s="82"/>
      <c r="C1089" s="16">
        <v>46200</v>
      </c>
      <c r="D1089">
        <v>1932389.7199999993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6288055.7100000009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472766.72999999986</v>
      </c>
    </row>
    <row r="1108" spans="1:4" x14ac:dyDescent="0.3">
      <c r="A1108" s="82" t="s">
        <v>21</v>
      </c>
      <c r="B1108" s="82"/>
      <c r="C1108" s="16">
        <v>46201</v>
      </c>
      <c r="D1108">
        <v>1932389.7199999993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6299174.8100000015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489745.62999999989</v>
      </c>
    </row>
    <row r="1127" spans="1:4" x14ac:dyDescent="0.3">
      <c r="A1127" s="82" t="s">
        <v>21</v>
      </c>
      <c r="B1127" s="82"/>
      <c r="C1127" s="16">
        <v>46202</v>
      </c>
      <c r="D1127">
        <v>1768167.9199999995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6295585.7500000009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489745.62999999989</v>
      </c>
    </row>
    <row r="1146" spans="1:4" x14ac:dyDescent="0.3">
      <c r="A1146" s="82" t="s">
        <v>21</v>
      </c>
      <c r="B1146" s="82"/>
      <c r="C1146" s="16">
        <v>46203</v>
      </c>
      <c r="D1146">
        <v>1696284.7299999995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6295585.7500000009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507936.37999999989</v>
      </c>
    </row>
    <row r="1165" spans="1:4" x14ac:dyDescent="0.3">
      <c r="A1165" s="82" t="s">
        <v>21</v>
      </c>
      <c r="B1165" s="82"/>
      <c r="C1165" s="16">
        <v>46204</v>
      </c>
      <c r="D1165">
        <v>1696284.7299999995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5592585.7500000009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350475.62999999989</v>
      </c>
    </row>
    <row r="1184" spans="1:4" x14ac:dyDescent="0.3">
      <c r="A1184" s="82" t="s">
        <v>21</v>
      </c>
      <c r="B1184" s="82"/>
      <c r="C1184" s="16">
        <v>46205</v>
      </c>
      <c r="D1184">
        <v>1761564.8799999994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24085.559999999998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5592585.7500000009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350475.62999999989</v>
      </c>
    </row>
    <row r="1203" spans="1:4" x14ac:dyDescent="0.3">
      <c r="A1203" s="82" t="s">
        <v>21</v>
      </c>
      <c r="B1203" s="82"/>
      <c r="C1203" s="16">
        <v>46206</v>
      </c>
      <c r="D1203">
        <v>1761564.8799999994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24085.559999999998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5592585.7500000009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350475.62999999989</v>
      </c>
    </row>
    <row r="1222" spans="1:4" x14ac:dyDescent="0.3">
      <c r="A1222" s="82" t="s">
        <v>21</v>
      </c>
      <c r="B1222" s="82"/>
      <c r="C1222" s="16">
        <v>46207</v>
      </c>
      <c r="D1222">
        <v>1761564.8799999994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24085.559999999998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5592585.7500000009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350475.62999999989</v>
      </c>
    </row>
    <row r="1241" spans="1:4" x14ac:dyDescent="0.3">
      <c r="A1241" s="82" t="s">
        <v>21</v>
      </c>
      <c r="B1241" s="82"/>
      <c r="C1241" s="16">
        <v>46208</v>
      </c>
      <c r="D1241">
        <v>1761564.8799999994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24085.559999999998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5592585.7500000009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350475.62999999989</v>
      </c>
    </row>
    <row r="1260" spans="1:4" x14ac:dyDescent="0.3">
      <c r="A1260" s="82" t="s">
        <v>21</v>
      </c>
      <c r="B1260" s="82"/>
      <c r="C1260" s="16">
        <v>46209</v>
      </c>
      <c r="D1260">
        <v>1761026.4599999995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24085.559999999998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5592585.7500000009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350475.62999999989</v>
      </c>
    </row>
    <row r="1279" spans="1:4" x14ac:dyDescent="0.3">
      <c r="A1279" s="82" t="s">
        <v>21</v>
      </c>
      <c r="B1279" s="82"/>
      <c r="C1279" s="16">
        <v>46210</v>
      </c>
      <c r="D1279">
        <v>1761026.4599999995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24085.559999999998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5592585.7500000009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350475.62999999989</v>
      </c>
    </row>
    <row r="1298" spans="1:4" x14ac:dyDescent="0.3">
      <c r="A1298" s="82" t="s">
        <v>21</v>
      </c>
      <c r="B1298" s="82"/>
      <c r="C1298" s="16">
        <v>46211</v>
      </c>
      <c r="D1298">
        <v>1751695.8399999994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24085.559999999998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4377944.080000001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290475.62999999989</v>
      </c>
    </row>
    <row r="1317" spans="1:4" x14ac:dyDescent="0.3">
      <c r="A1317" s="82" t="s">
        <v>21</v>
      </c>
      <c r="B1317" s="82"/>
      <c r="C1317" s="16">
        <v>46212</v>
      </c>
      <c r="D1317">
        <v>2119592.9399999995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24085.559999999998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4163755.7500000005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290141.62999999989</v>
      </c>
    </row>
    <row r="1336" spans="1:4" x14ac:dyDescent="0.3">
      <c r="A1336" s="82" t="s">
        <v>21</v>
      </c>
      <c r="B1336" s="82"/>
      <c r="C1336" s="16">
        <v>46213</v>
      </c>
      <c r="D1336">
        <v>1921752.2699999993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24085.559999999998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4163755.7500000005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290141.62999999989</v>
      </c>
    </row>
    <row r="1355" spans="1:4" x14ac:dyDescent="0.3">
      <c r="A1355" s="82" t="s">
        <v>21</v>
      </c>
      <c r="B1355" s="82"/>
      <c r="C1355" s="16">
        <v>46214</v>
      </c>
      <c r="D1355">
        <v>1921752.2699999993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24085.559999999998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4163755.7500000005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290141.62999999989</v>
      </c>
    </row>
    <row r="1374" spans="1:4" x14ac:dyDescent="0.3">
      <c r="A1374" s="82" t="s">
        <v>21</v>
      </c>
      <c r="B1374" s="82"/>
      <c r="C1374" s="16">
        <v>46215</v>
      </c>
      <c r="D1374">
        <v>1921752.2699999993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24085.559999999998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4163755.7500000005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290141.62999999989</v>
      </c>
    </row>
    <row r="1393" spans="1:4" x14ac:dyDescent="0.3">
      <c r="A1393" s="82" t="s">
        <v>21</v>
      </c>
      <c r="B1393" s="82"/>
      <c r="C1393" s="16">
        <v>46216</v>
      </c>
      <c r="D1393">
        <v>1921752.2699999993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24085.559999999998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3363755.7500000005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1090141.6299999999</v>
      </c>
    </row>
    <row r="1412" spans="1:4" x14ac:dyDescent="0.3">
      <c r="A1412" s="82" t="s">
        <v>21</v>
      </c>
      <c r="B1412" s="82"/>
      <c r="C1412" s="16">
        <v>46217</v>
      </c>
      <c r="D1412">
        <v>1856542.8899999992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24085.559999999998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3363755.7500000005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1089804.7499999998</v>
      </c>
    </row>
    <row r="1431" spans="1:4" x14ac:dyDescent="0.3">
      <c r="A1431" s="82" t="s">
        <v>21</v>
      </c>
      <c r="B1431" s="82"/>
      <c r="C1431" s="16">
        <v>46218</v>
      </c>
      <c r="D1431">
        <v>1856513.4499999993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24085.559999999998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3110339.0700000008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1029804.7499999998</v>
      </c>
    </row>
    <row r="1450" spans="1:4" x14ac:dyDescent="0.3">
      <c r="A1450" s="82" t="s">
        <v>21</v>
      </c>
      <c r="B1450" s="82"/>
      <c r="C1450" s="16">
        <v>46219</v>
      </c>
      <c r="D1450">
        <v>1678189.7499999995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24085.559999999998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3110339.0700000008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1029804.7499999998</v>
      </c>
    </row>
    <row r="1469" spans="1:4" x14ac:dyDescent="0.3">
      <c r="A1469" s="82" t="s">
        <v>21</v>
      </c>
      <c r="B1469" s="82"/>
      <c r="C1469" s="16">
        <v>46220</v>
      </c>
      <c r="D1469">
        <v>1748189.7499999995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24085.559999999998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3110339.0700000008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1029804.7499999998</v>
      </c>
    </row>
    <row r="1488" spans="1:4" x14ac:dyDescent="0.3">
      <c r="A1488" s="82" t="s">
        <v>21</v>
      </c>
      <c r="B1488" s="82"/>
      <c r="C1488" s="16">
        <v>46221</v>
      </c>
      <c r="D1488">
        <v>1748189.7499999995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24085.559999999998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3110339.0700000008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1029804.7499999998</v>
      </c>
    </row>
    <row r="1507" spans="1:4" x14ac:dyDescent="0.3">
      <c r="A1507" s="82" t="s">
        <v>21</v>
      </c>
      <c r="B1507" s="82"/>
      <c r="C1507" s="16">
        <v>46222</v>
      </c>
      <c r="D1507">
        <v>1748189.7499999995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24085.559999999998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3110339.0700000008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1029804.7499999998</v>
      </c>
    </row>
    <row r="1526" spans="1:4" x14ac:dyDescent="0.3">
      <c r="A1526" s="82" t="s">
        <v>21</v>
      </c>
      <c r="B1526" s="82"/>
      <c r="C1526" s="16">
        <v>46223</v>
      </c>
      <c r="D1526">
        <v>1744257.8699999994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24085.559999999998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3110339.0700000008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1029804.7499999998</v>
      </c>
    </row>
    <row r="1545" spans="1:4" x14ac:dyDescent="0.3">
      <c r="A1545" s="82" t="s">
        <v>21</v>
      </c>
      <c r="B1545" s="82"/>
      <c r="C1545" s="16">
        <v>46224</v>
      </c>
      <c r="D1545">
        <v>1744257.8699999994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24085.559999999998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2255755.7400000007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1002754.9899999998</v>
      </c>
    </row>
    <row r="1564" spans="1:4" x14ac:dyDescent="0.3">
      <c r="A1564" s="82" t="s">
        <v>21</v>
      </c>
      <c r="B1564" s="82"/>
      <c r="C1564" s="16">
        <v>46225</v>
      </c>
      <c r="D1564">
        <v>2022877.8699999996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24085.559999999998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2255750.7400000007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1042744.6899999997</v>
      </c>
    </row>
    <row r="1583" spans="1:4" x14ac:dyDescent="0.3">
      <c r="A1583" s="82" t="s">
        <v>21</v>
      </c>
      <c r="B1583" s="82"/>
      <c r="C1583" s="16">
        <v>46226</v>
      </c>
      <c r="D1583">
        <v>2022877.8699999996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24085.559999999998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2255750.7400000007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1042744.6899999997</v>
      </c>
    </row>
    <row r="1602" spans="1:4" x14ac:dyDescent="0.3">
      <c r="A1602" s="82" t="s">
        <v>21</v>
      </c>
      <c r="B1602" s="82"/>
      <c r="C1602" s="16">
        <v>46227</v>
      </c>
      <c r="D1602">
        <v>2022877.8699999996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24085.559999999998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2255750.7400000007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1042744.6899999997</v>
      </c>
    </row>
    <row r="1621" spans="1:4" x14ac:dyDescent="0.3">
      <c r="A1621" s="82" t="s">
        <v>21</v>
      </c>
      <c r="B1621" s="82"/>
      <c r="C1621" s="16">
        <v>46228</v>
      </c>
      <c r="D1621">
        <v>2022877.8699999996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24085.559999999998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2255750.7400000007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1042744.6899999997</v>
      </c>
    </row>
    <row r="1640" spans="1:4" x14ac:dyDescent="0.3">
      <c r="A1640" s="82" t="s">
        <v>21</v>
      </c>
      <c r="B1640" s="82"/>
      <c r="C1640" s="16">
        <v>46229</v>
      </c>
      <c r="D1640">
        <v>2022877.8699999996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24085.559999999998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2255750.7400000007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1392744.6899999997</v>
      </c>
    </row>
    <row r="1659" spans="1:4" x14ac:dyDescent="0.3">
      <c r="A1659" s="82" t="s">
        <v>21</v>
      </c>
      <c r="B1659" s="82"/>
      <c r="C1659" s="16">
        <v>46230</v>
      </c>
      <c r="D1659">
        <v>2022877.8699999996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24085.559999999998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2255750.7400000007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1415636.7399999998</v>
      </c>
    </row>
    <row r="1678" spans="1:4" x14ac:dyDescent="0.3">
      <c r="A1678" s="82" t="s">
        <v>21</v>
      </c>
      <c r="B1678" s="82"/>
      <c r="C1678" s="16">
        <v>46231</v>
      </c>
      <c r="D1678">
        <v>1857997.0999999996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24085.559999999998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2270539.1300000008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1434634.5999999999</v>
      </c>
    </row>
    <row r="1697" spans="1:4" x14ac:dyDescent="0.3">
      <c r="A1697" s="82" t="s">
        <v>21</v>
      </c>
      <c r="B1697" s="82"/>
      <c r="C1697" s="16">
        <v>46232</v>
      </c>
      <c r="D1697">
        <v>1857997.0999999996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24085.559999999998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2470350.7000000002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1458426.0399999998</v>
      </c>
    </row>
    <row r="1716" spans="1:4" x14ac:dyDescent="0.3">
      <c r="A1716" s="82" t="s">
        <v>21</v>
      </c>
      <c r="B1716" s="82"/>
      <c r="C1716" s="16">
        <v>46233</v>
      </c>
      <c r="D1716">
        <v>1857993.8499999996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24085.559999999998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2468032.08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1458426.0399999998</v>
      </c>
    </row>
    <row r="1735" spans="1:4" x14ac:dyDescent="0.3">
      <c r="A1735" s="82" t="s">
        <v>21</v>
      </c>
      <c r="B1735" s="82"/>
      <c r="C1735" s="16">
        <v>46234</v>
      </c>
      <c r="D1735">
        <v>1514477.1199999996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24085.559999999998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2468032.08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1458426.0399999998</v>
      </c>
    </row>
    <row r="1754" spans="1:4" x14ac:dyDescent="0.3">
      <c r="A1754" s="82" t="s">
        <v>21</v>
      </c>
      <c r="B1754" s="82"/>
      <c r="C1754" s="16">
        <v>46235</v>
      </c>
      <c r="D1754">
        <v>1514477.1199999996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24085.559999999998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2468032.08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1458426.0399999998</v>
      </c>
    </row>
    <row r="1773" spans="1:4" x14ac:dyDescent="0.3">
      <c r="A1773" s="82" t="s">
        <v>21</v>
      </c>
      <c r="B1773" s="82"/>
      <c r="C1773" s="16">
        <v>46236</v>
      </c>
      <c r="D1773">
        <v>1514477.1199999996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24085.559999999998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2468032.08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1458426.0399999998</v>
      </c>
    </row>
    <row r="1792" spans="1:4" x14ac:dyDescent="0.3">
      <c r="A1792" s="82" t="s">
        <v>21</v>
      </c>
      <c r="B1792" s="82"/>
      <c r="C1792" s="16">
        <v>46237</v>
      </c>
      <c r="D1792">
        <v>1514477.1199999996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10706.099999999997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2468032.08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1458426.0399999998</v>
      </c>
    </row>
    <row r="1811" spans="1:4" x14ac:dyDescent="0.3">
      <c r="A1811" s="82" t="s">
        <v>21</v>
      </c>
      <c r="B1811" s="82"/>
      <c r="C1811" s="16">
        <v>46238</v>
      </c>
      <c r="D1811">
        <v>1513867.4199999995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10706.099999999997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2468032.08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1452426.0399999998</v>
      </c>
    </row>
    <row r="1830" spans="1:4" x14ac:dyDescent="0.3">
      <c r="A1830" s="82" t="s">
        <v>21</v>
      </c>
      <c r="B1830" s="82"/>
      <c r="C1830" s="16">
        <v>46239</v>
      </c>
      <c r="D1830">
        <v>1512187.6399999997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14580.45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10706.099999999997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1153390.4100000001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1349451.94</v>
      </c>
    </row>
    <row r="1849" spans="1:4" x14ac:dyDescent="0.3">
      <c r="A1849" s="82" t="s">
        <v>21</v>
      </c>
      <c r="B1849" s="82"/>
      <c r="C1849" s="16">
        <v>46240</v>
      </c>
      <c r="D1849">
        <v>2102073.7899999996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88090.37</v>
      </c>
    </row>
    <row r="1852" spans="1:4" x14ac:dyDescent="0.3">
      <c r="A1852" s="82" t="s">
        <v>24</v>
      </c>
      <c r="B1852" s="82"/>
      <c r="C1852" s="16">
        <v>46240</v>
      </c>
      <c r="D1852">
        <v>14580.45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10706.099999999997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1153390.4100000001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1349451.94</v>
      </c>
    </row>
    <row r="1868" spans="1:4" x14ac:dyDescent="0.3">
      <c r="A1868" s="82" t="s">
        <v>21</v>
      </c>
      <c r="B1868" s="82"/>
      <c r="C1868" s="16">
        <v>46241</v>
      </c>
      <c r="D1868">
        <v>2102073.7899999996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88090.37</v>
      </c>
    </row>
    <row r="1871" spans="1:4" x14ac:dyDescent="0.3">
      <c r="A1871" s="82" t="s">
        <v>24</v>
      </c>
      <c r="B1871" s="82"/>
      <c r="C1871" s="16">
        <v>46241</v>
      </c>
      <c r="D1871">
        <v>14580.45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15706.099999999997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1153390.4100000001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1349451.94</v>
      </c>
    </row>
    <row r="1887" spans="1:4" x14ac:dyDescent="0.3">
      <c r="A1887" s="82" t="s">
        <v>21</v>
      </c>
      <c r="B1887" s="82"/>
      <c r="C1887" s="16">
        <v>46242</v>
      </c>
      <c r="D1887">
        <v>2102073.7899999996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88090.37</v>
      </c>
    </row>
    <row r="1890" spans="1:4" x14ac:dyDescent="0.3">
      <c r="A1890" s="82" t="s">
        <v>24</v>
      </c>
      <c r="B1890" s="82"/>
      <c r="C1890" s="16">
        <v>46242</v>
      </c>
      <c r="D1890">
        <v>14580.45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15706.099999999997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1153390.4100000001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1349451.94</v>
      </c>
    </row>
    <row r="1906" spans="1:4" x14ac:dyDescent="0.3">
      <c r="A1906" s="82" t="s">
        <v>21</v>
      </c>
      <c r="B1906" s="82"/>
      <c r="C1906" s="16">
        <v>46243</v>
      </c>
      <c r="D1906">
        <v>2102073.7899999996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88090.37</v>
      </c>
    </row>
    <row r="1909" spans="1:4" x14ac:dyDescent="0.3">
      <c r="A1909" s="82" t="s">
        <v>24</v>
      </c>
      <c r="B1909" s="82"/>
      <c r="C1909" s="16">
        <v>46243</v>
      </c>
      <c r="D1909">
        <v>14580.45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15706.099999999997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1260076.9800000002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1349451.94</v>
      </c>
    </row>
    <row r="1925" spans="1:4" x14ac:dyDescent="0.3">
      <c r="A1925" s="82" t="s">
        <v>21</v>
      </c>
      <c r="B1925" s="82"/>
      <c r="C1925" s="16">
        <v>46244</v>
      </c>
      <c r="D1925">
        <v>2098801.8999999994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88090.37</v>
      </c>
    </row>
    <row r="1928" spans="1:4" x14ac:dyDescent="0.3">
      <c r="A1928" s="82" t="s">
        <v>24</v>
      </c>
      <c r="B1928" s="82"/>
      <c r="C1928" s="16">
        <v>46244</v>
      </c>
      <c r="D1928">
        <v>14580.45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15706.099999999997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1260076.9800000002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1349451.94</v>
      </c>
    </row>
    <row r="1944" spans="1:4" x14ac:dyDescent="0.3">
      <c r="A1944" s="82" t="s">
        <v>21</v>
      </c>
      <c r="B1944" s="82"/>
      <c r="C1944" s="16">
        <v>46245</v>
      </c>
      <c r="D1944">
        <v>1622920.8199999996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88090.37</v>
      </c>
    </row>
    <row r="1947" spans="1:4" x14ac:dyDescent="0.3">
      <c r="A1947" s="82" t="s">
        <v>24</v>
      </c>
      <c r="B1947" s="82"/>
      <c r="C1947" s="16">
        <v>46245</v>
      </c>
      <c r="D1947">
        <v>14580.45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15042.439999999997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1260076.9800000002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1349451.94</v>
      </c>
    </row>
    <row r="1963" spans="1:4" x14ac:dyDescent="0.3">
      <c r="A1963" s="82" t="s">
        <v>21</v>
      </c>
      <c r="B1963" s="82"/>
      <c r="C1963" s="16">
        <v>46246</v>
      </c>
      <c r="D1963">
        <v>1622914.8199999996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158090.37</v>
      </c>
    </row>
    <row r="1966" spans="1:4" x14ac:dyDescent="0.3">
      <c r="A1966" s="82" t="s">
        <v>24</v>
      </c>
      <c r="B1966" s="82"/>
      <c r="C1966" s="16">
        <v>46246</v>
      </c>
      <c r="D1966">
        <v>14580.45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754589.72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14936.039999999997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1041242.3800000005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1289451.94</v>
      </c>
    </row>
    <row r="1982" spans="1:4" x14ac:dyDescent="0.3">
      <c r="A1982" s="82" t="s">
        <v>21</v>
      </c>
      <c r="B1982" s="82"/>
      <c r="C1982" s="16">
        <v>46247</v>
      </c>
      <c r="D1982">
        <v>1418917.5899999996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158090.37</v>
      </c>
    </row>
    <row r="1985" spans="1:4" x14ac:dyDescent="0.3">
      <c r="A1985" s="82" t="s">
        <v>24</v>
      </c>
      <c r="B1985" s="82"/>
      <c r="C1985" s="16">
        <v>46247</v>
      </c>
      <c r="D1985">
        <v>14580.45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754589.72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14936.039999999997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941242.38000000047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1289451.94</v>
      </c>
    </row>
    <row r="2001" spans="1:4" x14ac:dyDescent="0.3">
      <c r="A2001" s="82" t="s">
        <v>21</v>
      </c>
      <c r="B2001" s="82"/>
      <c r="C2001" s="16">
        <v>46248</v>
      </c>
      <c r="D2001">
        <v>1418917.5899999996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158090.37</v>
      </c>
    </row>
    <row r="2004" spans="1:4" x14ac:dyDescent="0.3">
      <c r="A2004" s="82" t="s">
        <v>24</v>
      </c>
      <c r="B2004" s="82"/>
      <c r="C2004" s="16">
        <v>46248</v>
      </c>
      <c r="D2004">
        <v>14580.45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754589.72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14936.039999999997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941242.38000000047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1289451.94</v>
      </c>
    </row>
    <row r="2020" spans="1:4" x14ac:dyDescent="0.3">
      <c r="A2020" s="82" t="s">
        <v>21</v>
      </c>
      <c r="B2020" s="82"/>
      <c r="C2020" s="16">
        <v>46249</v>
      </c>
      <c r="D2020">
        <v>1418917.5899999996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158090.37</v>
      </c>
    </row>
    <row r="2023" spans="1:4" x14ac:dyDescent="0.3">
      <c r="A2023" s="82" t="s">
        <v>24</v>
      </c>
      <c r="B2023" s="82"/>
      <c r="C2023" s="16">
        <v>46249</v>
      </c>
      <c r="D2023">
        <v>14580.45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754589.72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14936.039999999997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941242.38000000047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1289451.94</v>
      </c>
    </row>
    <row r="2039" spans="1:4" x14ac:dyDescent="0.3">
      <c r="A2039" s="82" t="s">
        <v>21</v>
      </c>
      <c r="B2039" s="82"/>
      <c r="C2039" s="16">
        <v>46250</v>
      </c>
      <c r="D2039">
        <v>1418917.5899999996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158090.37</v>
      </c>
    </row>
    <row r="2042" spans="1:4" x14ac:dyDescent="0.3">
      <c r="A2042" s="82" t="s">
        <v>24</v>
      </c>
      <c r="B2042" s="82"/>
      <c r="C2042" s="16">
        <v>46250</v>
      </c>
      <c r="D2042">
        <v>14580.45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754589.72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14936.039999999997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941242.38000000047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1289031.3399999999</v>
      </c>
    </row>
    <row r="2058" spans="1:4" x14ac:dyDescent="0.3">
      <c r="A2058" s="82" t="s">
        <v>21</v>
      </c>
      <c r="B2058" s="82"/>
      <c r="C2058" s="16">
        <v>46251</v>
      </c>
      <c r="D2058">
        <v>1384086.4999999995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158090.37</v>
      </c>
    </row>
    <row r="2061" spans="1:4" x14ac:dyDescent="0.3">
      <c r="A2061" s="82" t="s">
        <v>24</v>
      </c>
      <c r="B2061" s="82"/>
      <c r="C2061" s="16">
        <v>46251</v>
      </c>
      <c r="D2061">
        <v>14580.45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754589.72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14936.039999999997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  <row r="2073" spans="1:4" x14ac:dyDescent="0.3">
      <c r="A2073" s="82" t="s">
        <v>17</v>
      </c>
      <c r="B2073" s="82"/>
      <c r="C2073" s="16">
        <v>46252</v>
      </c>
      <c r="D2073">
        <v>1047104.1600000005</v>
      </c>
    </row>
    <row r="2074" spans="1:4" x14ac:dyDescent="0.3">
      <c r="A2074" s="82" t="s">
        <v>18</v>
      </c>
      <c r="B2074" s="82"/>
      <c r="C2074" s="16">
        <v>46252</v>
      </c>
      <c r="D2074">
        <v>83211.250000000175</v>
      </c>
    </row>
    <row r="2075" spans="1:4" x14ac:dyDescent="0.3">
      <c r="A2075" s="82" t="s">
        <v>19</v>
      </c>
      <c r="B2075" s="82"/>
      <c r="C2075" s="16">
        <v>46252</v>
      </c>
      <c r="D2075">
        <v>1669.89</v>
      </c>
    </row>
    <row r="2076" spans="1:4" x14ac:dyDescent="0.3">
      <c r="A2076" s="82" t="s">
        <v>20</v>
      </c>
      <c r="B2076" s="82"/>
      <c r="C2076" s="16">
        <v>46252</v>
      </c>
      <c r="D2076">
        <v>1289031.3399999999</v>
      </c>
    </row>
    <row r="2077" spans="1:4" x14ac:dyDescent="0.3">
      <c r="A2077" s="82" t="s">
        <v>21</v>
      </c>
      <c r="B2077" s="82"/>
      <c r="C2077" s="16">
        <v>46252</v>
      </c>
      <c r="D2077">
        <v>1381596.1399999997</v>
      </c>
    </row>
    <row r="2078" spans="1:4" x14ac:dyDescent="0.3">
      <c r="A2078" s="82" t="s">
        <v>22</v>
      </c>
      <c r="B2078" s="82"/>
      <c r="C2078" s="16">
        <v>46252</v>
      </c>
      <c r="D2078">
        <v>221496.38</v>
      </c>
    </row>
    <row r="2079" spans="1:4" x14ac:dyDescent="0.3">
      <c r="A2079" s="82" t="s">
        <v>23</v>
      </c>
      <c r="B2079" s="82"/>
      <c r="C2079" s="16">
        <v>46252</v>
      </c>
      <c r="D2079">
        <v>158090.37</v>
      </c>
    </row>
    <row r="2080" spans="1:4" x14ac:dyDescent="0.3">
      <c r="A2080" s="82" t="s">
        <v>24</v>
      </c>
      <c r="B2080" s="82"/>
      <c r="C2080" s="16">
        <v>46252</v>
      </c>
      <c r="D2080">
        <v>14580.45</v>
      </c>
    </row>
    <row r="2081" spans="1:4" x14ac:dyDescent="0.3">
      <c r="A2081" s="82" t="s">
        <v>25</v>
      </c>
      <c r="B2081" s="82"/>
      <c r="C2081" s="16">
        <v>46252</v>
      </c>
      <c r="D2081">
        <v>24.450000000000003</v>
      </c>
    </row>
    <row r="2082" spans="1:4" x14ac:dyDescent="0.3">
      <c r="A2082" s="82" t="s">
        <v>26</v>
      </c>
      <c r="B2082" s="82"/>
      <c r="C2082" s="16">
        <v>46252</v>
      </c>
      <c r="D2082">
        <v>2177.87</v>
      </c>
    </row>
    <row r="2083" spans="1:4" x14ac:dyDescent="0.3">
      <c r="A2083" s="82" t="s">
        <v>27</v>
      </c>
      <c r="B2083" s="82"/>
      <c r="C2083" s="16">
        <v>46252</v>
      </c>
      <c r="D2083">
        <v>754589.72</v>
      </c>
    </row>
    <row r="2084" spans="1:4" x14ac:dyDescent="0.3">
      <c r="A2084" s="82" t="s">
        <v>28</v>
      </c>
      <c r="B2084" s="82"/>
      <c r="C2084" s="16">
        <v>46252</v>
      </c>
      <c r="D2084">
        <v>1968.99</v>
      </c>
    </row>
    <row r="2085" spans="1:4" x14ac:dyDescent="0.3">
      <c r="A2085" s="82" t="s">
        <v>29</v>
      </c>
      <c r="B2085" s="82"/>
      <c r="C2085" s="16">
        <v>46252</v>
      </c>
      <c r="D2085">
        <v>901.34</v>
      </c>
    </row>
    <row r="2086" spans="1:4" x14ac:dyDescent="0.3">
      <c r="A2086" s="82" t="s">
        <v>30</v>
      </c>
      <c r="B2086" s="82"/>
      <c r="C2086" s="16">
        <v>46252</v>
      </c>
      <c r="D2086">
        <v>1396.08</v>
      </c>
    </row>
    <row r="2087" spans="1:4" x14ac:dyDescent="0.3">
      <c r="A2087" s="82" t="s">
        <v>31</v>
      </c>
      <c r="B2087" s="82"/>
      <c r="C2087" s="16">
        <v>46252</v>
      </c>
      <c r="D2087">
        <v>13685.709999999959</v>
      </c>
    </row>
    <row r="2088" spans="1:4" x14ac:dyDescent="0.3">
      <c r="A2088" s="82" t="s">
        <v>32</v>
      </c>
      <c r="B2088" s="82"/>
      <c r="C2088" s="16">
        <v>46252</v>
      </c>
      <c r="D2088">
        <v>8724.1700000000037</v>
      </c>
    </row>
    <row r="2089" spans="1:4" x14ac:dyDescent="0.3">
      <c r="A2089" s="82" t="s">
        <v>33</v>
      </c>
      <c r="B2089" s="82"/>
      <c r="C2089" s="16">
        <v>46252</v>
      </c>
      <c r="D2089">
        <v>14936.039999999997</v>
      </c>
    </row>
    <row r="2090" spans="1:4" x14ac:dyDescent="0.3">
      <c r="A2090" s="82" t="s">
        <v>34</v>
      </c>
      <c r="B2090" s="82"/>
      <c r="C2090" s="16">
        <v>46252</v>
      </c>
      <c r="D2090">
        <v>345</v>
      </c>
    </row>
    <row r="2091" spans="1:4" x14ac:dyDescent="0.3">
      <c r="A2091" s="82" t="s">
        <v>35</v>
      </c>
      <c r="B2091" s="82"/>
      <c r="C2091" s="16">
        <v>46252</v>
      </c>
      <c r="D2091">
        <v>14565.900000000001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2026-08-19T15:10:06Z</dcterms:modified>
  <dc:language>en-US</dc:language>
</cp:coreProperties>
</file>