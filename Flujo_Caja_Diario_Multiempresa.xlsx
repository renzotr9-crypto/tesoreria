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00" documentId="8_{BBC9EA4E-7F3B-475F-B61B-890F681C3A1C}" xr6:coauthVersionLast="47" xr6:coauthVersionMax="47" xr10:uidLastSave="{96494EC3-EE51-43BD-A5E1-34A2E98D7986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diaria'!$A$1:$D$2338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4" i="6" l="1"/>
  <c r="C124" i="6"/>
  <c r="D124" i="6"/>
  <c r="E124" i="6"/>
  <c r="F124" i="6"/>
  <c r="G124" i="6"/>
  <c r="H124" i="6"/>
  <c r="V124" i="6" s="1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N849" i="1"/>
  <c r="O849" i="1"/>
  <c r="P849" i="1"/>
  <c r="N850" i="1"/>
  <c r="P850" i="1" s="1"/>
  <c r="O850" i="1"/>
  <c r="N851" i="1"/>
  <c r="P851" i="1" s="1"/>
  <c r="O851" i="1"/>
  <c r="N852" i="1"/>
  <c r="O852" i="1"/>
  <c r="P852" i="1" s="1"/>
  <c r="N853" i="1"/>
  <c r="O853" i="1"/>
  <c r="P853" i="1" s="1"/>
  <c r="N854" i="1"/>
  <c r="O854" i="1"/>
  <c r="P854" i="1" s="1"/>
  <c r="N855" i="1"/>
  <c r="O855" i="1"/>
  <c r="P855" i="1" s="1"/>
  <c r="N856" i="1"/>
  <c r="P856" i="1" s="1"/>
  <c r="O856" i="1"/>
  <c r="N857" i="1"/>
  <c r="O857" i="1"/>
  <c r="P857" i="1"/>
  <c r="K850" i="1"/>
  <c r="K851" i="1"/>
  <c r="K852" i="1"/>
  <c r="K853" i="1"/>
  <c r="K854" i="1"/>
  <c r="K855" i="1"/>
  <c r="K856" i="1"/>
  <c r="K857" i="1"/>
  <c r="E858" i="1"/>
  <c r="H858" i="1"/>
  <c r="N858" i="1"/>
  <c r="O858" i="1"/>
  <c r="P858" i="1" s="1"/>
  <c r="I851" i="1"/>
  <c r="I852" i="1"/>
  <c r="I853" i="1"/>
  <c r="I854" i="1"/>
  <c r="I855" i="1"/>
  <c r="I856" i="1"/>
  <c r="I857" i="1"/>
  <c r="I858" i="1"/>
  <c r="E857" i="1"/>
  <c r="C851" i="1"/>
  <c r="C852" i="1"/>
  <c r="C853" i="1"/>
  <c r="C854" i="1"/>
  <c r="C855" i="1"/>
  <c r="C856" i="1"/>
  <c r="C857" i="1"/>
  <c r="E851" i="1"/>
  <c r="E852" i="1"/>
  <c r="E853" i="1"/>
  <c r="E854" i="1"/>
  <c r="E855" i="1"/>
  <c r="E856" i="1"/>
  <c r="H851" i="1"/>
  <c r="H852" i="1"/>
  <c r="H853" i="1"/>
  <c r="H854" i="1"/>
  <c r="H855" i="1"/>
  <c r="H856" i="1"/>
  <c r="H857" i="1"/>
  <c r="N827" i="1"/>
  <c r="O827" i="1"/>
  <c r="P827" i="1" s="1"/>
  <c r="N828" i="1"/>
  <c r="P828" i="1" s="1"/>
  <c r="O828" i="1"/>
  <c r="N829" i="1"/>
  <c r="P829" i="1" s="1"/>
  <c r="O829" i="1"/>
  <c r="N830" i="1"/>
  <c r="P830" i="1" s="1"/>
  <c r="O830" i="1"/>
  <c r="N831" i="1"/>
  <c r="O831" i="1"/>
  <c r="P831" i="1" s="1"/>
  <c r="N832" i="1"/>
  <c r="O832" i="1"/>
  <c r="P832" i="1" s="1"/>
  <c r="N833" i="1"/>
  <c r="O833" i="1"/>
  <c r="P833" i="1" s="1"/>
  <c r="N834" i="1"/>
  <c r="O834" i="1"/>
  <c r="P834" i="1" s="1"/>
  <c r="N835" i="1"/>
  <c r="O835" i="1"/>
  <c r="P835" i="1" s="1"/>
  <c r="N836" i="1"/>
  <c r="O836" i="1"/>
  <c r="P836" i="1" s="1"/>
  <c r="N837" i="1"/>
  <c r="O837" i="1"/>
  <c r="P837" i="1" s="1"/>
  <c r="N838" i="1"/>
  <c r="O838" i="1"/>
  <c r="P838" i="1" s="1"/>
  <c r="N839" i="1"/>
  <c r="O839" i="1"/>
  <c r="P839" i="1" s="1"/>
  <c r="N840" i="1"/>
  <c r="O840" i="1"/>
  <c r="P840" i="1" s="1"/>
  <c r="N841" i="1"/>
  <c r="O841" i="1"/>
  <c r="P841" i="1" s="1"/>
  <c r="N842" i="1"/>
  <c r="O842" i="1"/>
  <c r="P842" i="1" s="1"/>
  <c r="N843" i="1"/>
  <c r="P843" i="1" s="1"/>
  <c r="O843" i="1"/>
  <c r="N844" i="1"/>
  <c r="P844" i="1" s="1"/>
  <c r="O844" i="1"/>
  <c r="N845" i="1"/>
  <c r="O845" i="1"/>
  <c r="P845" i="1" s="1"/>
  <c r="N846" i="1"/>
  <c r="O846" i="1"/>
  <c r="P846" i="1"/>
  <c r="N847" i="1"/>
  <c r="O847" i="1"/>
  <c r="P847" i="1" s="1"/>
  <c r="N848" i="1"/>
  <c r="P848" i="1" s="1"/>
  <c r="O848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A121" i="6"/>
  <c r="A122" i="6"/>
  <c r="A123" i="6"/>
  <c r="I840" i="1"/>
  <c r="I841" i="1"/>
  <c r="I842" i="1"/>
  <c r="I843" i="1"/>
  <c r="I844" i="1"/>
  <c r="I845" i="1"/>
  <c r="I846" i="1"/>
  <c r="I847" i="1"/>
  <c r="I848" i="1"/>
  <c r="I849" i="1"/>
  <c r="I850" i="1"/>
  <c r="C841" i="1"/>
  <c r="C842" i="1"/>
  <c r="C843" i="1"/>
  <c r="C844" i="1"/>
  <c r="C845" i="1"/>
  <c r="C846" i="1"/>
  <c r="C847" i="1"/>
  <c r="C848" i="1"/>
  <c r="C849" i="1"/>
  <c r="C850" i="1"/>
  <c r="E841" i="1"/>
  <c r="E842" i="1"/>
  <c r="E843" i="1"/>
  <c r="E844" i="1"/>
  <c r="E845" i="1"/>
  <c r="E846" i="1"/>
  <c r="E847" i="1"/>
  <c r="E848" i="1"/>
  <c r="E849" i="1"/>
  <c r="E850" i="1"/>
  <c r="H841" i="1"/>
  <c r="H842" i="1"/>
  <c r="H843" i="1"/>
  <c r="H844" i="1"/>
  <c r="H845" i="1"/>
  <c r="H846" i="1"/>
  <c r="H847" i="1"/>
  <c r="H848" i="1"/>
  <c r="H849" i="1"/>
  <c r="H850" i="1"/>
  <c r="A120" i="6"/>
  <c r="I821" i="1"/>
  <c r="K821" i="1"/>
  <c r="N821" i="1"/>
  <c r="O821" i="1"/>
  <c r="P821" i="1" s="1"/>
  <c r="I822" i="1"/>
  <c r="K822" i="1"/>
  <c r="N822" i="1"/>
  <c r="O822" i="1"/>
  <c r="P822" i="1" s="1"/>
  <c r="I823" i="1"/>
  <c r="K823" i="1"/>
  <c r="N823" i="1"/>
  <c r="P823" i="1" s="1"/>
  <c r="O823" i="1"/>
  <c r="I824" i="1"/>
  <c r="K824" i="1"/>
  <c r="N824" i="1"/>
  <c r="O824" i="1"/>
  <c r="P824" i="1" s="1"/>
  <c r="I825" i="1"/>
  <c r="K825" i="1"/>
  <c r="N825" i="1"/>
  <c r="P825" i="1" s="1"/>
  <c r="O825" i="1"/>
  <c r="I826" i="1"/>
  <c r="K826" i="1"/>
  <c r="N826" i="1"/>
  <c r="O826" i="1"/>
  <c r="P826" i="1" s="1"/>
  <c r="I827" i="1"/>
  <c r="K827" i="1"/>
  <c r="I828" i="1"/>
  <c r="K828" i="1"/>
  <c r="I829" i="1"/>
  <c r="K829" i="1"/>
  <c r="I830" i="1"/>
  <c r="I831" i="1"/>
  <c r="I832" i="1"/>
  <c r="I833" i="1"/>
  <c r="I834" i="1"/>
  <c r="I835" i="1"/>
  <c r="I836" i="1"/>
  <c r="I837" i="1"/>
  <c r="I838" i="1"/>
  <c r="I839" i="1"/>
  <c r="E833" i="1"/>
  <c r="E834" i="1"/>
  <c r="E835" i="1"/>
  <c r="E836" i="1"/>
  <c r="E837" i="1"/>
  <c r="E838" i="1"/>
  <c r="E839" i="1"/>
  <c r="E84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A119" i="6"/>
  <c r="K819" i="1"/>
  <c r="N819" i="1"/>
  <c r="P819" i="1" s="1"/>
  <c r="O819" i="1"/>
  <c r="K820" i="1"/>
  <c r="N820" i="1"/>
  <c r="P820" i="1" s="1"/>
  <c r="O820" i="1"/>
  <c r="I820" i="1"/>
  <c r="C820" i="1"/>
  <c r="E820" i="1"/>
  <c r="H820" i="1"/>
  <c r="A118" i="6"/>
  <c r="N816" i="1"/>
  <c r="P816" i="1" s="1"/>
  <c r="O816" i="1"/>
  <c r="N817" i="1"/>
  <c r="P817" i="1" s="1"/>
  <c r="O817" i="1"/>
  <c r="N818" i="1"/>
  <c r="P818" i="1" s="1"/>
  <c r="O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C783" i="1" l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A96" i="6" l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T24" i="3" l="1"/>
  <c r="T2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M493" i="1"/>
  <c r="M615" i="1"/>
  <c r="M587" i="1"/>
  <c r="M624" i="1"/>
  <c r="M659" i="1"/>
  <c r="M552" i="1"/>
  <c r="M572" i="1"/>
  <c r="M533" i="1"/>
  <c r="M641" i="1"/>
  <c r="M583" i="1"/>
  <c r="M626" i="1"/>
  <c r="M551" i="1"/>
  <c r="M623" i="1"/>
  <c r="M616" i="1"/>
  <c r="M649" i="1"/>
  <c r="M619" i="1"/>
  <c r="M660" i="1"/>
  <c r="M661" i="1"/>
  <c r="M531" i="1"/>
  <c r="M534" i="1"/>
  <c r="M650" i="1"/>
  <c r="M627" i="1"/>
  <c r="M589" i="1"/>
  <c r="M573" i="1"/>
  <c r="M640" i="1"/>
  <c r="M582" i="1"/>
  <c r="M658" i="1"/>
  <c r="M588" i="1"/>
  <c r="M648" i="1"/>
  <c r="M617" i="1"/>
  <c r="M535" i="1"/>
  <c r="P5" i="3"/>
  <c r="M520" i="1"/>
  <c r="M581" i="1"/>
  <c r="M812" i="1"/>
  <c r="M620" i="1"/>
  <c r="M621" i="1"/>
  <c r="M553" i="1"/>
  <c r="M622" i="1"/>
  <c r="M574" i="1"/>
  <c r="M625" i="1"/>
  <c r="P2" i="3"/>
  <c r="M651" i="1"/>
  <c r="M550" i="1"/>
  <c r="M808" i="1"/>
  <c r="M628" i="1"/>
  <c r="M614" i="1"/>
  <c r="M68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3" i="1" l="1"/>
  <c r="P8" i="3"/>
  <c r="P32" i="3"/>
  <c r="P35" i="3"/>
  <c r="P26" i="3"/>
  <c r="P24" i="3"/>
  <c r="P31" i="3"/>
  <c r="P19" i="3"/>
  <c r="P13" i="3"/>
  <c r="P4" i="3"/>
  <c r="M462" i="1"/>
  <c r="M716" i="1"/>
  <c r="M777" i="1"/>
  <c r="M778" i="1"/>
  <c r="M717" i="1"/>
  <c r="M630" i="1"/>
  <c r="M631" i="1"/>
  <c r="M510" i="1"/>
  <c r="M511" i="1"/>
  <c r="M439" i="1"/>
  <c r="K28" i="3"/>
  <c r="O28" i="3"/>
  <c r="J28" i="3"/>
  <c r="M671" i="1"/>
  <c r="U28" i="3"/>
  <c r="O19" i="3"/>
  <c r="P3" i="3"/>
  <c r="M441" i="1"/>
  <c r="J30" i="3"/>
  <c r="P30" i="3"/>
  <c r="U30" i="3"/>
  <c r="T30" i="3"/>
  <c r="M673" i="1"/>
  <c r="M438" i="1"/>
  <c r="J23" i="3"/>
  <c r="P23" i="3"/>
  <c r="K23" i="3"/>
  <c r="M670" i="1"/>
  <c r="U23" i="3"/>
  <c r="M437" i="1"/>
  <c r="K22" i="3"/>
  <c r="U22" i="3"/>
  <c r="T22" i="3"/>
  <c r="M828" i="1"/>
  <c r="M669" i="1"/>
  <c r="O32" i="3"/>
  <c r="O3" i="3"/>
  <c r="O22" i="3"/>
  <c r="O20" i="3"/>
  <c r="O35" i="3"/>
  <c r="O33" i="3"/>
  <c r="O2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U19" i="3"/>
  <c r="T19" i="3"/>
  <c r="M422" i="1"/>
  <c r="M386" i="1"/>
  <c r="J19" i="3"/>
  <c r="M710" i="1"/>
  <c r="M773" i="1"/>
  <c r="M744" i="1"/>
  <c r="M772" i="1"/>
  <c r="M629" i="1"/>
  <c r="M504" i="1"/>
  <c r="M415" i="1"/>
  <c r="J32" i="3"/>
  <c r="M433" i="1"/>
  <c r="U18" i="3"/>
  <c r="O18" i="3"/>
  <c r="T18" i="3"/>
  <c r="M688" i="1"/>
  <c r="M458" i="1"/>
  <c r="M389" i="1"/>
  <c r="M459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M819" i="1"/>
  <c r="M811" i="1"/>
  <c r="M848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M239" i="1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748" i="1" l="1"/>
  <c r="J20" i="3"/>
  <c r="U3" i="3"/>
  <c r="T35" i="3"/>
  <c r="M532" i="1"/>
  <c r="T27" i="3"/>
  <c r="M536" i="1"/>
  <c r="M475" i="1"/>
  <c r="M529" i="1"/>
  <c r="K27" i="3"/>
  <c r="M474" i="1"/>
  <c r="M489" i="1"/>
  <c r="M483" i="1"/>
  <c r="M480" i="1"/>
  <c r="M747" i="1"/>
  <c r="M482" i="1"/>
  <c r="O27" i="3"/>
  <c r="U24" i="3"/>
  <c r="J24" i="3"/>
  <c r="M444" i="1"/>
  <c r="U12" i="3"/>
  <c r="M516" i="1"/>
  <c r="M481" i="1"/>
  <c r="M473" i="1"/>
  <c r="M476" i="1"/>
  <c r="U5" i="3"/>
  <c r="M746" i="1"/>
  <c r="U21" i="3"/>
  <c r="M745" i="1"/>
  <c r="M479" i="1"/>
  <c r="K21" i="3"/>
  <c r="M515" i="1"/>
  <c r="P21" i="3"/>
  <c r="U35" i="3"/>
  <c r="M485" i="1"/>
  <c r="O21" i="3"/>
  <c r="U20" i="3"/>
  <c r="M530" i="1"/>
  <c r="U26" i="3"/>
  <c r="O4" i="3"/>
  <c r="J26" i="3"/>
  <c r="K26" i="3"/>
  <c r="J11" i="3"/>
  <c r="K11" i="3"/>
  <c r="T26" i="3"/>
  <c r="J33" i="3"/>
  <c r="U4" i="3"/>
  <c r="M238" i="1"/>
  <c r="J7" i="3"/>
  <c r="T7" i="3"/>
  <c r="O7" i="3"/>
  <c r="P7" i="3"/>
  <c r="U7" i="3"/>
  <c r="T15" i="3"/>
  <c r="M235" i="1"/>
  <c r="P15" i="3"/>
  <c r="J15" i="3"/>
  <c r="U15" i="3"/>
  <c r="O15" i="3"/>
  <c r="K4" i="3"/>
  <c r="J4" i="3"/>
  <c r="J9" i="3"/>
  <c r="J13" i="3"/>
  <c r="T3" i="3"/>
  <c r="K25" i="3"/>
  <c r="Q42" i="6"/>
  <c r="P36" i="6"/>
  <c r="P37" i="6"/>
  <c r="K15" i="3"/>
  <c r="N39" i="6"/>
  <c r="D33" i="6"/>
  <c r="L42" i="6"/>
  <c r="H40" i="6"/>
  <c r="S41" i="6"/>
  <c r="D40" i="6"/>
  <c r="L39" i="6"/>
  <c r="I33" i="6"/>
  <c r="O37" i="6"/>
  <c r="K20" i="3"/>
  <c r="I35" i="6"/>
  <c r="L37" i="6"/>
  <c r="E37" i="6"/>
  <c r="M41" i="6"/>
  <c r="M234" i="1"/>
  <c r="Q37" i="6"/>
  <c r="Q34" i="6"/>
  <c r="K39" i="6"/>
  <c r="G39" i="6"/>
  <c r="O36" i="6"/>
  <c r="C33" i="6"/>
  <c r="K13" i="3"/>
  <c r="T33" i="3"/>
  <c r="O2" i="3"/>
  <c r="U13" i="3"/>
  <c r="P20" i="3"/>
  <c r="O29" i="3"/>
  <c r="P18" i="3"/>
  <c r="L36" i="6"/>
  <c r="K18" i="3"/>
  <c r="H34" i="6"/>
  <c r="K7" i="3"/>
  <c r="M36" i="6"/>
  <c r="N36" i="6"/>
  <c r="G37" i="6"/>
  <c r="P39" i="6"/>
  <c r="I41" i="6"/>
  <c r="J38" i="6"/>
  <c r="N38" i="6"/>
  <c r="R37" i="6"/>
  <c r="Q40" i="6"/>
  <c r="H35" i="6"/>
  <c r="K17" i="3"/>
  <c r="T40" i="6"/>
  <c r="F39" i="6"/>
  <c r="K40" i="6"/>
  <c r="S38" i="6"/>
  <c r="U40" i="6"/>
  <c r="Q33" i="6"/>
  <c r="M38" i="6"/>
  <c r="Q36" i="6"/>
  <c r="J41" i="6"/>
  <c r="H38" i="6"/>
  <c r="J35" i="6"/>
  <c r="K38" i="6"/>
  <c r="J35" i="3"/>
  <c r="T5" i="3"/>
  <c r="T2" i="3"/>
  <c r="J21" i="3"/>
  <c r="U32" i="3"/>
  <c r="U8" i="3"/>
  <c r="P27" i="3"/>
  <c r="P29" i="3"/>
  <c r="P28" i="3"/>
  <c r="C41" i="6"/>
  <c r="T38" i="6"/>
  <c r="L41" i="6"/>
  <c r="F37" i="6"/>
  <c r="N40" i="6"/>
  <c r="T35" i="6"/>
  <c r="M34" i="6"/>
  <c r="K33" i="6"/>
  <c r="S37" i="6"/>
  <c r="O41" i="6"/>
  <c r="J34" i="6"/>
  <c r="I40" i="6"/>
  <c r="T39" i="6"/>
  <c r="C36" i="6"/>
  <c r="K24" i="3"/>
  <c r="N42" i="6"/>
  <c r="O40" i="6"/>
  <c r="P34" i="6"/>
  <c r="S36" i="6"/>
  <c r="U41" i="6"/>
  <c r="H41" i="6"/>
  <c r="D35" i="6"/>
  <c r="U37" i="6"/>
  <c r="M35" i="6"/>
  <c r="G36" i="6"/>
  <c r="T13" i="3"/>
  <c r="T8" i="3"/>
  <c r="T31" i="3"/>
  <c r="O24" i="3"/>
  <c r="U33" i="3"/>
  <c r="U31" i="3"/>
  <c r="O5" i="3"/>
  <c r="P12" i="3"/>
  <c r="P33" i="3"/>
  <c r="U27" i="3"/>
  <c r="E42" i="6"/>
  <c r="F35" i="6"/>
  <c r="T42" i="6"/>
  <c r="O39" i="6"/>
  <c r="N41" i="6"/>
  <c r="S40" i="6"/>
  <c r="M37" i="6"/>
  <c r="H39" i="6"/>
  <c r="H33" i="6"/>
  <c r="S39" i="6"/>
  <c r="U35" i="6"/>
  <c r="J40" i="6"/>
  <c r="E35" i="6"/>
  <c r="T37" i="6"/>
  <c r="L38" i="6"/>
  <c r="O38" i="6"/>
  <c r="C38" i="6"/>
  <c r="K42" i="6"/>
  <c r="D34" i="6"/>
  <c r="H42" i="6"/>
  <c r="G42" i="6"/>
  <c r="K41" i="6"/>
  <c r="I42" i="6"/>
  <c r="T41" i="6"/>
  <c r="R36" i="6"/>
  <c r="F36" i="6"/>
  <c r="S42" i="6"/>
  <c r="T4" i="3"/>
  <c r="T11" i="3"/>
  <c r="U29" i="3"/>
  <c r="U34" i="3"/>
  <c r="P11" i="3"/>
  <c r="P22" i="3"/>
  <c r="I38" i="6"/>
  <c r="U39" i="6"/>
  <c r="L35" i="6"/>
  <c r="T34" i="6"/>
  <c r="P9" i="3"/>
  <c r="R38" i="6"/>
  <c r="K34" i="6"/>
  <c r="E38" i="6"/>
  <c r="K19" i="3"/>
  <c r="D38" i="6"/>
  <c r="K35" i="6"/>
  <c r="R35" i="6"/>
  <c r="S34" i="6"/>
  <c r="U33" i="6"/>
  <c r="K35" i="3"/>
  <c r="F41" i="6"/>
  <c r="J36" i="6"/>
  <c r="K30" i="3"/>
  <c r="T33" i="6"/>
  <c r="K33" i="3"/>
  <c r="P42" i="6"/>
  <c r="L33" i="6"/>
  <c r="U42" i="6"/>
  <c r="M39" i="6"/>
  <c r="R34" i="6"/>
  <c r="M42" i="6"/>
  <c r="U38" i="6"/>
  <c r="N33" i="6"/>
  <c r="U11" i="3"/>
  <c r="O13" i="3"/>
  <c r="T32" i="3"/>
  <c r="U2" i="3"/>
  <c r="U9" i="3"/>
  <c r="P34" i="3"/>
  <c r="C40" i="6"/>
  <c r="C35" i="6"/>
  <c r="E33" i="6"/>
  <c r="N37" i="6"/>
  <c r="D41" i="6"/>
  <c r="J33" i="6"/>
  <c r="T36" i="6"/>
  <c r="K36" i="6"/>
  <c r="S33" i="6"/>
  <c r="G38" i="6"/>
  <c r="L34" i="6"/>
  <c r="L40" i="6"/>
  <c r="E41" i="6"/>
  <c r="F33" i="6"/>
  <c r="K37" i="6"/>
  <c r="G40" i="6"/>
  <c r="G41" i="6"/>
  <c r="K5" i="3"/>
  <c r="P38" i="6"/>
  <c r="K6" i="3"/>
  <c r="C39" i="6"/>
  <c r="C42" i="6"/>
  <c r="N35" i="6"/>
  <c r="Q38" i="6"/>
  <c r="P33" i="6"/>
  <c r="P35" i="6"/>
  <c r="G35" i="6"/>
  <c r="J37" i="6"/>
  <c r="P6" i="3"/>
  <c r="E40" i="6"/>
  <c r="R40" i="6"/>
  <c r="R33" i="6"/>
  <c r="I39" i="6"/>
  <c r="D37" i="6"/>
  <c r="E36" i="6"/>
  <c r="R42" i="6"/>
  <c r="D39" i="6"/>
  <c r="U36" i="6"/>
  <c r="P40" i="6"/>
  <c r="J42" i="6"/>
  <c r="F40" i="6"/>
  <c r="R41" i="6"/>
  <c r="Q39" i="6"/>
  <c r="C34" i="6"/>
  <c r="O42" i="6"/>
  <c r="H37" i="6"/>
  <c r="F34" i="6"/>
  <c r="U34" i="6"/>
  <c r="F38" i="6"/>
  <c r="E34" i="6"/>
  <c r="J39" i="6"/>
  <c r="Q41" i="6"/>
  <c r="S35" i="6"/>
  <c r="O35" i="6"/>
  <c r="I34" i="6"/>
  <c r="R39" i="6"/>
  <c r="H36" i="6"/>
  <c r="O34" i="6"/>
  <c r="N34" i="6"/>
  <c r="G33" i="6"/>
  <c r="E39" i="6"/>
  <c r="D36" i="6"/>
  <c r="J6" i="3"/>
  <c r="I36" i="6"/>
  <c r="I37" i="6"/>
  <c r="F42" i="6"/>
  <c r="Q35" i="6"/>
  <c r="M33" i="6"/>
  <c r="O33" i="6"/>
  <c r="D42" i="6"/>
  <c r="T6" i="3"/>
  <c r="C37" i="6"/>
  <c r="U6" i="3"/>
  <c r="P41" i="6"/>
  <c r="G34" i="6"/>
  <c r="M40" i="6"/>
  <c r="O6" i="3"/>
  <c r="M237" i="1"/>
  <c r="U17" i="3"/>
  <c r="O17" i="3"/>
  <c r="T17" i="3"/>
  <c r="P17" i="3"/>
  <c r="M236" i="1"/>
  <c r="K16" i="3"/>
  <c r="O16" i="3"/>
  <c r="T16" i="3"/>
  <c r="U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M857" i="1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M320" i="1" s="1"/>
  <c r="C321" i="1"/>
  <c r="C322" i="1"/>
  <c r="C323" i="1"/>
  <c r="C324" i="1"/>
  <c r="C325" i="1"/>
  <c r="C326" i="1"/>
  <c r="C327" i="1"/>
  <c r="C328" i="1"/>
  <c r="M328" i="1" s="1"/>
  <c r="C329" i="1"/>
  <c r="C330" i="1"/>
  <c r="C331" i="1"/>
  <c r="C312" i="1"/>
  <c r="C341" i="1"/>
  <c r="C342" i="1"/>
  <c r="C332" i="1"/>
  <c r="C333" i="1"/>
  <c r="M851" i="1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T9" i="3" s="1"/>
  <c r="C309" i="1"/>
  <c r="C310" i="1"/>
  <c r="M856" i="1" s="1"/>
  <c r="C311" i="1"/>
  <c r="T12" i="3" s="1"/>
  <c r="C307" i="1"/>
  <c r="C306" i="1"/>
  <c r="M306" i="1" s="1"/>
  <c r="C283" i="1"/>
  <c r="M852" i="1" l="1"/>
  <c r="M338" i="1"/>
  <c r="I112" i="6"/>
  <c r="M849" i="1"/>
  <c r="M854" i="1"/>
  <c r="M855" i="1"/>
  <c r="M336" i="1"/>
  <c r="M850" i="1"/>
  <c r="M350" i="1"/>
  <c r="M343" i="1"/>
  <c r="M853" i="1"/>
  <c r="T29" i="3"/>
  <c r="M327" i="1"/>
  <c r="M319" i="1"/>
  <c r="M349" i="1"/>
  <c r="L52" i="6"/>
  <c r="H86" i="6"/>
  <c r="E51" i="6"/>
  <c r="C75" i="6"/>
  <c r="I79" i="6"/>
  <c r="F47" i="6"/>
  <c r="E57" i="6"/>
  <c r="D80" i="6"/>
  <c r="H99" i="6"/>
  <c r="K48" i="6"/>
  <c r="D108" i="6"/>
  <c r="K118" i="6"/>
  <c r="E59" i="6"/>
  <c r="P114" i="6"/>
  <c r="U48" i="6"/>
  <c r="D44" i="6"/>
  <c r="H90" i="6"/>
  <c r="P104" i="6"/>
  <c r="C44" i="6"/>
  <c r="K82" i="6"/>
  <c r="K113" i="6"/>
  <c r="J48" i="6"/>
  <c r="L106" i="6"/>
  <c r="E43" i="6"/>
  <c r="J87" i="6"/>
  <c r="S103" i="6"/>
  <c r="P108" i="6"/>
  <c r="E117" i="6"/>
  <c r="J57" i="6"/>
  <c r="I103" i="6"/>
  <c r="T91" i="6"/>
  <c r="M310" i="1"/>
  <c r="M471" i="1"/>
  <c r="K32" i="3"/>
  <c r="M749" i="1"/>
  <c r="M728" i="1"/>
  <c r="M742" i="1"/>
  <c r="M682" i="1"/>
  <c r="M686" i="1"/>
  <c r="M681" i="1"/>
  <c r="M678" i="1"/>
  <c r="M677" i="1"/>
  <c r="M676" i="1"/>
  <c r="M675" i="1"/>
  <c r="M680" i="1"/>
  <c r="M679" i="1"/>
  <c r="M683" i="1"/>
  <c r="M443" i="1"/>
  <c r="M449" i="1"/>
  <c r="M378" i="1"/>
  <c r="M377" i="1"/>
  <c r="M413" i="1"/>
  <c r="M356" i="1"/>
  <c r="M357" i="1"/>
  <c r="M355" i="1"/>
  <c r="K8" i="3"/>
  <c r="M333" i="1"/>
  <c r="M807" i="1"/>
  <c r="M823" i="1"/>
  <c r="M816" i="1"/>
  <c r="M810" i="1"/>
  <c r="M820" i="1"/>
  <c r="M824" i="1"/>
  <c r="M843" i="1"/>
  <c r="M787" i="1"/>
  <c r="M694" i="1"/>
  <c r="M698" i="1"/>
  <c r="M697" i="1"/>
  <c r="M750" i="1"/>
  <c r="M693" i="1"/>
  <c r="M699" i="1"/>
  <c r="M545" i="1"/>
  <c r="M643" i="1"/>
  <c r="M611" i="1"/>
  <c r="M653" i="1"/>
  <c r="M585" i="1"/>
  <c r="M540" i="1"/>
  <c r="M548" i="1"/>
  <c r="M644" i="1"/>
  <c r="M584" i="1"/>
  <c r="M637" i="1"/>
  <c r="M636" i="1"/>
  <c r="M618" i="1"/>
  <c r="M491" i="1"/>
  <c r="M518" i="1"/>
  <c r="M446" i="1"/>
  <c r="M448" i="1"/>
  <c r="M436" i="1"/>
  <c r="M435" i="1"/>
  <c r="M447" i="1"/>
  <c r="M419" i="1"/>
  <c r="M374" i="1"/>
  <c r="M370" i="1"/>
  <c r="M369" i="1"/>
  <c r="M342" i="1"/>
  <c r="M326" i="1"/>
  <c r="K12" i="3"/>
  <c r="M318" i="1"/>
  <c r="M348" i="1"/>
  <c r="U62" i="6"/>
  <c r="L87" i="6"/>
  <c r="H108" i="6"/>
  <c r="K120" i="6"/>
  <c r="M113" i="6"/>
  <c r="F51" i="6"/>
  <c r="L114" i="6"/>
  <c r="J114" i="6"/>
  <c r="T58" i="6"/>
  <c r="J62" i="6"/>
  <c r="F86" i="6"/>
  <c r="G117" i="6"/>
  <c r="O92" i="6"/>
  <c r="O110" i="6"/>
  <c r="N114" i="6"/>
  <c r="Q46" i="6"/>
  <c r="O67" i="6"/>
  <c r="N82" i="6"/>
  <c r="P54" i="6"/>
  <c r="C73" i="6"/>
  <c r="H48" i="6"/>
  <c r="Q90" i="6"/>
  <c r="C111" i="6"/>
  <c r="T90" i="6"/>
  <c r="R63" i="6"/>
  <c r="F106" i="6"/>
  <c r="I108" i="6"/>
  <c r="J45" i="6"/>
  <c r="R62" i="6"/>
  <c r="D88" i="6"/>
  <c r="P106" i="6"/>
  <c r="M63" i="6"/>
  <c r="M325" i="1"/>
  <c r="M317" i="1"/>
  <c r="M339" i="1"/>
  <c r="L64" i="6"/>
  <c r="F44" i="6"/>
  <c r="E83" i="6"/>
  <c r="R83" i="6"/>
  <c r="K116" i="6"/>
  <c r="Q97" i="6"/>
  <c r="Q109" i="6"/>
  <c r="D66" i="6"/>
  <c r="M119" i="6"/>
  <c r="J58" i="6"/>
  <c r="U89" i="6"/>
  <c r="H101" i="6"/>
  <c r="O49" i="6"/>
  <c r="J113" i="6"/>
  <c r="K54" i="6"/>
  <c r="I47" i="6"/>
  <c r="J91" i="6"/>
  <c r="M47" i="6"/>
  <c r="L75" i="6"/>
  <c r="G90" i="6"/>
  <c r="G84" i="6"/>
  <c r="H73" i="6"/>
  <c r="E75" i="6"/>
  <c r="G105" i="6"/>
  <c r="P101" i="6"/>
  <c r="Q118" i="6"/>
  <c r="N103" i="6"/>
  <c r="P53" i="6"/>
  <c r="L85" i="6"/>
  <c r="P83" i="6"/>
  <c r="M309" i="1"/>
  <c r="K29" i="3"/>
  <c r="J29" i="3"/>
  <c r="M845" i="1"/>
  <c r="M829" i="1"/>
  <c r="M732" i="1"/>
  <c r="M727" i="1"/>
  <c r="M731" i="1"/>
  <c r="M733" i="1"/>
  <c r="M724" i="1"/>
  <c r="M725" i="1"/>
  <c r="M753" i="1"/>
  <c r="M734" i="1"/>
  <c r="M784" i="1"/>
  <c r="M726" i="1"/>
  <c r="M735" i="1"/>
  <c r="M672" i="1"/>
  <c r="M541" i="1"/>
  <c r="M440" i="1"/>
  <c r="M361" i="1"/>
  <c r="J10" i="3"/>
  <c r="M332" i="1"/>
  <c r="O10" i="3"/>
  <c r="T10" i="3"/>
  <c r="P10" i="3"/>
  <c r="K10" i="3"/>
  <c r="U10" i="3"/>
  <c r="M793" i="1"/>
  <c r="M786" i="1"/>
  <c r="M664" i="1"/>
  <c r="M544" i="1"/>
  <c r="M580" i="1"/>
  <c r="M358" i="1"/>
  <c r="M308" i="1"/>
  <c r="K9" i="3"/>
  <c r="M806" i="1"/>
  <c r="M821" i="1"/>
  <c r="M842" i="1"/>
  <c r="M822" i="1"/>
  <c r="M841" i="1"/>
  <c r="M809" i="1"/>
  <c r="M790" i="1"/>
  <c r="M792" i="1"/>
  <c r="M743" i="1"/>
  <c r="M691" i="1"/>
  <c r="M696" i="1"/>
  <c r="M692" i="1"/>
  <c r="M729" i="1"/>
  <c r="M687" i="1"/>
  <c r="M690" i="1"/>
  <c r="M695" i="1"/>
  <c r="M547" i="1"/>
  <c r="M663" i="1"/>
  <c r="M652" i="1"/>
  <c r="M578" i="1"/>
  <c r="M635" i="1"/>
  <c r="M577" i="1"/>
  <c r="M579" i="1"/>
  <c r="M634" i="1"/>
  <c r="M517" i="1"/>
  <c r="M486" i="1"/>
  <c r="M490" i="1"/>
  <c r="M477" i="1"/>
  <c r="M445" i="1"/>
  <c r="M410" i="1"/>
  <c r="M429" i="1"/>
  <c r="M430" i="1"/>
  <c r="M359" i="1"/>
  <c r="M360" i="1"/>
  <c r="M353" i="1"/>
  <c r="M341" i="1"/>
  <c r="M283" i="1"/>
  <c r="K34" i="3"/>
  <c r="M837" i="1"/>
  <c r="M840" i="1"/>
  <c r="M839" i="1"/>
  <c r="M838" i="1"/>
  <c r="M804" i="1"/>
  <c r="M805" i="1"/>
  <c r="M718" i="1"/>
  <c r="M721" i="1"/>
  <c r="M781" i="1"/>
  <c r="M722" i="1"/>
  <c r="M782" i="1"/>
  <c r="M720" i="1"/>
  <c r="M783" i="1"/>
  <c r="M719" i="1"/>
  <c r="M779" i="1"/>
  <c r="M723" i="1"/>
  <c r="M780" i="1"/>
  <c r="M789" i="1"/>
  <c r="M609" i="1"/>
  <c r="M633" i="1"/>
  <c r="M546" i="1"/>
  <c r="M576" i="1"/>
  <c r="M606" i="1"/>
  <c r="M538" i="1"/>
  <c r="M685" i="1"/>
  <c r="M684" i="1"/>
  <c r="M537" i="1"/>
  <c r="M539" i="1"/>
  <c r="M608" i="1"/>
  <c r="M632" i="1"/>
  <c r="M571" i="1"/>
  <c r="M662" i="1"/>
  <c r="M610" i="1"/>
  <c r="M607" i="1"/>
  <c r="M513" i="1"/>
  <c r="M484" i="1"/>
  <c r="M528" i="1"/>
  <c r="M512" i="1"/>
  <c r="M514" i="1"/>
  <c r="M478" i="1"/>
  <c r="M466" i="1"/>
  <c r="M465" i="1"/>
  <c r="M434" i="1"/>
  <c r="M468" i="1"/>
  <c r="M470" i="1"/>
  <c r="M469" i="1"/>
  <c r="M467" i="1"/>
  <c r="M472" i="1"/>
  <c r="M464" i="1"/>
  <c r="M403" i="1"/>
  <c r="M425" i="1"/>
  <c r="M424" i="1"/>
  <c r="M406" i="1"/>
  <c r="M404" i="1"/>
  <c r="M418" i="1"/>
  <c r="M405" i="1"/>
  <c r="M409" i="1"/>
  <c r="M408" i="1"/>
  <c r="M417" i="1"/>
  <c r="M407" i="1"/>
  <c r="M402" i="1"/>
  <c r="M416" i="1"/>
  <c r="M365" i="1"/>
  <c r="M364" i="1"/>
  <c r="M367" i="1"/>
  <c r="M366" i="1"/>
  <c r="K49" i="6"/>
  <c r="C116" i="6"/>
  <c r="D54" i="6"/>
  <c r="R122" i="6"/>
  <c r="L57" i="6"/>
  <c r="R90" i="6"/>
  <c r="F70" i="6"/>
  <c r="K110" i="6"/>
  <c r="Q61" i="6"/>
  <c r="C120" i="6"/>
  <c r="H104" i="6"/>
  <c r="K114" i="6"/>
  <c r="L101" i="6"/>
  <c r="L73" i="6"/>
  <c r="L111" i="6"/>
  <c r="Q121" i="6"/>
  <c r="L92" i="6"/>
  <c r="L88" i="6"/>
  <c r="C89" i="6"/>
  <c r="P121" i="6"/>
  <c r="Q82" i="6"/>
  <c r="M93" i="6"/>
  <c r="P92" i="6"/>
  <c r="J77" i="6"/>
  <c r="R46" i="6"/>
  <c r="F79" i="6"/>
  <c r="J52" i="6"/>
  <c r="Q112" i="6"/>
  <c r="J60" i="6"/>
  <c r="C72" i="6"/>
  <c r="T73" i="6"/>
  <c r="J121" i="6"/>
  <c r="Q44" i="6"/>
  <c r="C57" i="6"/>
  <c r="U86" i="6"/>
  <c r="U119" i="6"/>
  <c r="G81" i="6"/>
  <c r="O105" i="6"/>
  <c r="O68" i="6"/>
  <c r="K55" i="6"/>
  <c r="M122" i="6"/>
  <c r="P84" i="6"/>
  <c r="U53" i="6"/>
  <c r="O81" i="6"/>
  <c r="G109" i="6"/>
  <c r="C85" i="6"/>
  <c r="L102" i="6"/>
  <c r="L112" i="6"/>
  <c r="U54" i="6"/>
  <c r="P119" i="6"/>
  <c r="E120" i="6"/>
  <c r="S122" i="6"/>
  <c r="P100" i="6"/>
  <c r="J76" i="6"/>
  <c r="I110" i="6"/>
  <c r="D48" i="6"/>
  <c r="T57" i="6"/>
  <c r="M88" i="6"/>
  <c r="O119" i="6"/>
  <c r="C114" i="6"/>
  <c r="Q88" i="6"/>
  <c r="R82" i="6"/>
  <c r="R43" i="6"/>
  <c r="P105" i="6"/>
  <c r="P102" i="6"/>
  <c r="H50" i="6"/>
  <c r="K71" i="6"/>
  <c r="G110" i="6"/>
  <c r="N111" i="6"/>
  <c r="Q64" i="6"/>
  <c r="L81" i="6"/>
  <c r="E66" i="6"/>
  <c r="D68" i="6"/>
  <c r="R50" i="6"/>
  <c r="N102" i="6"/>
  <c r="C96" i="6"/>
  <c r="G46" i="6"/>
  <c r="T59" i="6"/>
  <c r="N51" i="6"/>
  <c r="C109" i="6"/>
  <c r="N45" i="6"/>
  <c r="F46" i="6"/>
  <c r="I98" i="6"/>
  <c r="T81" i="6"/>
  <c r="O75" i="6"/>
  <c r="S121" i="6"/>
  <c r="C82" i="6"/>
  <c r="I120" i="6"/>
  <c r="M114" i="6"/>
  <c r="G65" i="6"/>
  <c r="M86" i="6"/>
  <c r="F57" i="6"/>
  <c r="N99" i="6"/>
  <c r="D112" i="6"/>
  <c r="I84" i="6"/>
  <c r="Q105" i="6"/>
  <c r="P68" i="6"/>
  <c r="S114" i="6"/>
  <c r="M112" i="6"/>
  <c r="G86" i="6"/>
  <c r="J103" i="6"/>
  <c r="R48" i="6"/>
  <c r="G70" i="6"/>
  <c r="N119" i="6"/>
  <c r="G83" i="6"/>
  <c r="I43" i="6"/>
  <c r="J68" i="6"/>
  <c r="O121" i="6"/>
  <c r="O72" i="6"/>
  <c r="D85" i="6"/>
  <c r="P60" i="6"/>
  <c r="O122" i="6"/>
  <c r="P90" i="6"/>
  <c r="T43" i="6"/>
  <c r="I76" i="6"/>
  <c r="E122" i="6"/>
  <c r="L80" i="6"/>
  <c r="Q58" i="6"/>
  <c r="L83" i="6"/>
  <c r="C69" i="6"/>
  <c r="H88" i="6"/>
  <c r="I88" i="6"/>
  <c r="J82" i="6"/>
  <c r="L56" i="6"/>
  <c r="H117" i="6"/>
  <c r="G66" i="6"/>
  <c r="I115" i="6"/>
  <c r="N101" i="6"/>
  <c r="U115" i="6"/>
  <c r="P118" i="6"/>
  <c r="R65" i="6"/>
  <c r="R113" i="6"/>
  <c r="O112" i="6"/>
  <c r="G62" i="6"/>
  <c r="N121" i="6"/>
  <c r="N60" i="6"/>
  <c r="F74" i="6"/>
  <c r="J120" i="6"/>
  <c r="H60" i="6"/>
  <c r="G69" i="6"/>
  <c r="N57" i="6"/>
  <c r="H91" i="6"/>
  <c r="R92" i="6"/>
  <c r="P74" i="6"/>
  <c r="G89" i="6"/>
  <c r="G59" i="6"/>
  <c r="G55" i="6"/>
  <c r="I74" i="6"/>
  <c r="F87" i="6"/>
  <c r="P91" i="6"/>
  <c r="M102" i="6"/>
  <c r="Q92" i="6"/>
  <c r="H45" i="6"/>
  <c r="O87" i="6"/>
  <c r="J71" i="6"/>
  <c r="J44" i="6"/>
  <c r="L116" i="6"/>
  <c r="K81" i="6"/>
  <c r="U90" i="6"/>
  <c r="P80" i="6"/>
  <c r="F49" i="6"/>
  <c r="T84" i="6"/>
  <c r="E81" i="6"/>
  <c r="D97" i="6"/>
  <c r="T101" i="6"/>
  <c r="R99" i="6"/>
  <c r="G67" i="6"/>
  <c r="H120" i="6"/>
  <c r="F85" i="6"/>
  <c r="N120" i="6"/>
  <c r="O123" i="6"/>
  <c r="L86" i="6"/>
  <c r="J111" i="6"/>
  <c r="F60" i="6"/>
  <c r="K112" i="6"/>
  <c r="K58" i="6"/>
  <c r="J107" i="6"/>
  <c r="T122" i="6"/>
  <c r="O69" i="6"/>
  <c r="O54" i="6"/>
  <c r="T44" i="6"/>
  <c r="S104" i="6"/>
  <c r="U46" i="6"/>
  <c r="T79" i="6"/>
  <c r="G68" i="6"/>
  <c r="M89" i="6"/>
  <c r="S64" i="6"/>
  <c r="M108" i="6"/>
  <c r="M85" i="6"/>
  <c r="F117" i="6"/>
  <c r="D81" i="6"/>
  <c r="J98" i="6"/>
  <c r="O88" i="6"/>
  <c r="U58" i="6"/>
  <c r="M50" i="6"/>
  <c r="S49" i="6"/>
  <c r="U98" i="6"/>
  <c r="C53" i="6"/>
  <c r="N63" i="6"/>
  <c r="L121" i="6"/>
  <c r="L122" i="6"/>
  <c r="H121" i="6"/>
  <c r="S94" i="6"/>
  <c r="C118" i="6"/>
  <c r="J72" i="6"/>
  <c r="E90" i="6"/>
  <c r="I123" i="6"/>
  <c r="C68" i="6"/>
  <c r="F115" i="6"/>
  <c r="J73" i="6"/>
  <c r="T108" i="6"/>
  <c r="K79" i="6"/>
  <c r="O70" i="6"/>
  <c r="J115" i="6"/>
  <c r="C123" i="6"/>
  <c r="O52" i="6"/>
  <c r="J43" i="6"/>
  <c r="I114" i="6"/>
  <c r="Q43" i="6"/>
  <c r="C100" i="6"/>
  <c r="L115" i="6"/>
  <c r="O76" i="6"/>
  <c r="Q102" i="6"/>
  <c r="I53" i="6"/>
  <c r="J67" i="6"/>
  <c r="R72" i="6"/>
  <c r="N79" i="6"/>
  <c r="P99" i="6"/>
  <c r="E110" i="6"/>
  <c r="R98" i="6"/>
  <c r="L118" i="6"/>
  <c r="L60" i="6"/>
  <c r="N95" i="6"/>
  <c r="N80" i="6"/>
  <c r="Q101" i="6"/>
  <c r="J101" i="6"/>
  <c r="K99" i="6"/>
  <c r="K68" i="6"/>
  <c r="Q74" i="6"/>
  <c r="S105" i="6"/>
  <c r="T88" i="6"/>
  <c r="L109" i="6"/>
  <c r="J53" i="6"/>
  <c r="R51" i="6"/>
  <c r="T51" i="6"/>
  <c r="D49" i="6"/>
  <c r="F119" i="6"/>
  <c r="F120" i="6"/>
  <c r="L76" i="6"/>
  <c r="Q60" i="6"/>
  <c r="G91" i="6"/>
  <c r="C90" i="6"/>
  <c r="H111" i="6"/>
  <c r="K123" i="6"/>
  <c r="L113" i="6"/>
  <c r="K65" i="6"/>
  <c r="L119" i="6"/>
  <c r="T82" i="6"/>
  <c r="R45" i="6"/>
  <c r="C104" i="6"/>
  <c r="R80" i="6"/>
  <c r="I101" i="6"/>
  <c r="M66" i="6"/>
  <c r="E105" i="6"/>
  <c r="N92" i="6"/>
  <c r="G82" i="6"/>
  <c r="S88" i="6"/>
  <c r="H75" i="6"/>
  <c r="Q79" i="6"/>
  <c r="S95" i="6"/>
  <c r="Q48" i="6"/>
  <c r="S108" i="6"/>
  <c r="E70" i="6"/>
  <c r="R116" i="6"/>
  <c r="F61" i="6"/>
  <c r="S118" i="6"/>
  <c r="D43" i="6"/>
  <c r="D122" i="6"/>
  <c r="U120" i="6"/>
  <c r="E44" i="6"/>
  <c r="P79" i="6"/>
  <c r="H78" i="6"/>
  <c r="Q119" i="6"/>
  <c r="E63" i="6"/>
  <c r="F103" i="6"/>
  <c r="C83" i="6"/>
  <c r="O90" i="6"/>
  <c r="U55" i="6"/>
  <c r="H71" i="6"/>
  <c r="C115" i="6"/>
  <c r="E91" i="6"/>
  <c r="J109" i="6"/>
  <c r="H61" i="6"/>
  <c r="K62" i="6"/>
  <c r="U74" i="6"/>
  <c r="S102" i="6"/>
  <c r="F105" i="6"/>
  <c r="U63" i="6"/>
  <c r="E96" i="6"/>
  <c r="K63" i="6"/>
  <c r="H109" i="6"/>
  <c r="R89" i="6"/>
  <c r="I52" i="6"/>
  <c r="M62" i="6"/>
  <c r="G97" i="6"/>
  <c r="O104" i="6"/>
  <c r="U93" i="6"/>
  <c r="I60" i="6"/>
  <c r="H69" i="6"/>
  <c r="M43" i="6"/>
  <c r="Q93" i="6"/>
  <c r="E116" i="6"/>
  <c r="Q107" i="6"/>
  <c r="P94" i="6"/>
  <c r="K93" i="6"/>
  <c r="O71" i="6"/>
  <c r="T64" i="6"/>
  <c r="O65" i="6"/>
  <c r="S51" i="6"/>
  <c r="N73" i="6"/>
  <c r="K61" i="6"/>
  <c r="T107" i="6"/>
  <c r="Q103" i="6"/>
  <c r="Q52" i="6"/>
  <c r="U83" i="6"/>
  <c r="E87" i="6"/>
  <c r="D120" i="6"/>
  <c r="L120" i="6"/>
  <c r="E74" i="6"/>
  <c r="I45" i="6"/>
  <c r="G119" i="6"/>
  <c r="U108" i="6"/>
  <c r="N58" i="6"/>
  <c r="I94" i="6"/>
  <c r="F113" i="6"/>
  <c r="L84" i="6"/>
  <c r="N72" i="6"/>
  <c r="H79" i="6"/>
  <c r="S57" i="6"/>
  <c r="T120" i="6"/>
  <c r="O56" i="6"/>
  <c r="P98" i="6"/>
  <c r="L65" i="6"/>
  <c r="O89" i="6"/>
  <c r="Q89" i="6"/>
  <c r="R102" i="6"/>
  <c r="P93" i="6"/>
  <c r="U105" i="6"/>
  <c r="M64" i="6"/>
  <c r="S62" i="6"/>
  <c r="N115" i="6"/>
  <c r="H115" i="6"/>
  <c r="C88" i="6"/>
  <c r="G113" i="6"/>
  <c r="R66" i="6"/>
  <c r="C117" i="6"/>
  <c r="S65" i="6"/>
  <c r="N88" i="6"/>
  <c r="E78" i="6"/>
  <c r="Q62" i="6"/>
  <c r="H81" i="6"/>
  <c r="D62" i="6"/>
  <c r="Q45" i="6"/>
  <c r="U79" i="6"/>
  <c r="N91" i="6"/>
  <c r="E61" i="6"/>
  <c r="I106" i="6"/>
  <c r="M44" i="6"/>
  <c r="H55" i="6"/>
  <c r="E114" i="6"/>
  <c r="C70" i="6"/>
  <c r="J83" i="6"/>
  <c r="G50" i="6"/>
  <c r="S54" i="6"/>
  <c r="I92" i="6"/>
  <c r="K73" i="6"/>
  <c r="J92" i="6"/>
  <c r="F45" i="6"/>
  <c r="U44" i="6"/>
  <c r="G92" i="6"/>
  <c r="L68" i="6"/>
  <c r="N69" i="6"/>
  <c r="N98" i="6"/>
  <c r="F97" i="6"/>
  <c r="U109" i="6"/>
  <c r="U122" i="6"/>
  <c r="F92" i="6"/>
  <c r="M123" i="6"/>
  <c r="O66" i="6"/>
  <c r="K78" i="6"/>
  <c r="I118" i="6"/>
  <c r="O83" i="6"/>
  <c r="P63" i="6"/>
  <c r="R104" i="6"/>
  <c r="R105" i="6"/>
  <c r="R81" i="6"/>
  <c r="J94" i="6"/>
  <c r="C50" i="6"/>
  <c r="D46" i="6"/>
  <c r="L79" i="6"/>
  <c r="L89" i="6"/>
  <c r="P52" i="6"/>
  <c r="T69" i="6"/>
  <c r="J66" i="6"/>
  <c r="L95" i="6"/>
  <c r="F54" i="6"/>
  <c r="E86" i="6"/>
  <c r="O120" i="6"/>
  <c r="R117" i="6"/>
  <c r="Q106" i="6"/>
  <c r="I122" i="6"/>
  <c r="L53" i="6"/>
  <c r="T118" i="6"/>
  <c r="F88" i="6"/>
  <c r="K103" i="6"/>
  <c r="C103" i="6"/>
  <c r="K75" i="6"/>
  <c r="N94" i="6"/>
  <c r="M97" i="6"/>
  <c r="F67" i="6"/>
  <c r="M121" i="6"/>
  <c r="L46" i="6"/>
  <c r="C60" i="6"/>
  <c r="M91" i="6"/>
  <c r="T104" i="6"/>
  <c r="T123" i="6"/>
  <c r="Q123" i="6"/>
  <c r="N123" i="6"/>
  <c r="J69" i="6"/>
  <c r="G75" i="6"/>
  <c r="F99" i="6"/>
  <c r="N86" i="6"/>
  <c r="K66" i="6"/>
  <c r="K108" i="6"/>
  <c r="F90" i="6"/>
  <c r="R119" i="6"/>
  <c r="D84" i="6"/>
  <c r="I67" i="6"/>
  <c r="C48" i="6"/>
  <c r="R67" i="6"/>
  <c r="L91" i="6"/>
  <c r="M73" i="6"/>
  <c r="G123" i="6"/>
  <c r="U121" i="6"/>
  <c r="H67" i="6"/>
  <c r="T78" i="6"/>
  <c r="J54" i="6"/>
  <c r="N116" i="6"/>
  <c r="S85" i="6"/>
  <c r="D71" i="6"/>
  <c r="T56" i="6"/>
  <c r="D98" i="6"/>
  <c r="J97" i="6"/>
  <c r="F107" i="6"/>
  <c r="L54" i="6"/>
  <c r="N104" i="6"/>
  <c r="G60" i="6"/>
  <c r="D63" i="6"/>
  <c r="S73" i="6"/>
  <c r="S53" i="6"/>
  <c r="E123" i="6"/>
  <c r="L63" i="6"/>
  <c r="K69" i="6"/>
  <c r="D105" i="6"/>
  <c r="T71" i="6"/>
  <c r="T60" i="6"/>
  <c r="N89" i="6"/>
  <c r="G44" i="6"/>
  <c r="F121" i="6"/>
  <c r="R109" i="6"/>
  <c r="O103" i="6"/>
  <c r="P97" i="6"/>
  <c r="P111" i="6"/>
  <c r="E102" i="6"/>
  <c r="R103" i="6"/>
  <c r="P87" i="6"/>
  <c r="J117" i="6"/>
  <c r="U103" i="6"/>
  <c r="H110" i="6"/>
  <c r="T116" i="6"/>
  <c r="R123" i="6"/>
  <c r="R70" i="6"/>
  <c r="P49" i="6"/>
  <c r="L51" i="6"/>
  <c r="K109" i="6"/>
  <c r="J81" i="6"/>
  <c r="Q57" i="6"/>
  <c r="K101" i="6"/>
  <c r="N85" i="6"/>
  <c r="P85" i="6"/>
  <c r="N49" i="6"/>
  <c r="C98" i="6"/>
  <c r="Q113" i="6"/>
  <c r="S123" i="6"/>
  <c r="O95" i="6"/>
  <c r="I119" i="6"/>
  <c r="U82" i="6"/>
  <c r="E76" i="6"/>
  <c r="K76" i="6"/>
  <c r="G94" i="6"/>
  <c r="F122" i="6"/>
  <c r="D121" i="6"/>
  <c r="M107" i="6"/>
  <c r="T67" i="6"/>
  <c r="O77" i="6"/>
  <c r="R88" i="6"/>
  <c r="G88" i="6"/>
  <c r="G61" i="6"/>
  <c r="M48" i="6"/>
  <c r="J122" i="6"/>
  <c r="S82" i="6"/>
  <c r="U75" i="6"/>
  <c r="M99" i="6"/>
  <c r="E111" i="6"/>
  <c r="S86" i="6"/>
  <c r="C71" i="6"/>
  <c r="I89" i="6"/>
  <c r="K67" i="6"/>
  <c r="L82" i="6"/>
  <c r="P115" i="6"/>
  <c r="F104" i="6"/>
  <c r="L70" i="6"/>
  <c r="I57" i="6"/>
  <c r="U107" i="6"/>
  <c r="C122" i="6"/>
  <c r="F123" i="6"/>
  <c r="E47" i="6"/>
  <c r="T49" i="6"/>
  <c r="M80" i="6"/>
  <c r="L48" i="6"/>
  <c r="I73" i="6"/>
  <c r="P57" i="6"/>
  <c r="H70" i="6"/>
  <c r="N46" i="6"/>
  <c r="D89" i="6"/>
  <c r="E103" i="6"/>
  <c r="O82" i="6"/>
  <c r="J86" i="6"/>
  <c r="L50" i="6"/>
  <c r="I55" i="6"/>
  <c r="U66" i="6"/>
  <c r="L93" i="6"/>
  <c r="G122" i="6"/>
  <c r="D123" i="6"/>
  <c r="P50" i="6"/>
  <c r="L58" i="6"/>
  <c r="E94" i="6"/>
  <c r="U91" i="6"/>
  <c r="G73" i="6"/>
  <c r="N65" i="6"/>
  <c r="F63" i="6"/>
  <c r="H62" i="6"/>
  <c r="S74" i="6"/>
  <c r="E56" i="6"/>
  <c r="D73" i="6"/>
  <c r="M74" i="6"/>
  <c r="T110" i="6"/>
  <c r="H44" i="6"/>
  <c r="G47" i="6"/>
  <c r="D78" i="6"/>
  <c r="I81" i="6"/>
  <c r="O80" i="6"/>
  <c r="O115" i="6"/>
  <c r="M118" i="6"/>
  <c r="S89" i="6"/>
  <c r="C121" i="6"/>
  <c r="Q122" i="6"/>
  <c r="F66" i="6"/>
  <c r="P89" i="6"/>
  <c r="U96" i="6"/>
  <c r="N97" i="6"/>
  <c r="F68" i="6"/>
  <c r="H89" i="6"/>
  <c r="F118" i="6"/>
  <c r="P116" i="6"/>
  <c r="E108" i="6"/>
  <c r="S106" i="6"/>
  <c r="M76" i="6"/>
  <c r="G104" i="6"/>
  <c r="I69" i="6"/>
  <c r="N64" i="6"/>
  <c r="H52" i="6"/>
  <c r="R84" i="6"/>
  <c r="F102" i="6"/>
  <c r="H76" i="6"/>
  <c r="L78" i="6"/>
  <c r="S66" i="6"/>
  <c r="K56" i="6"/>
  <c r="C59" i="6"/>
  <c r="S119" i="6"/>
  <c r="S93" i="6"/>
  <c r="P45" i="6"/>
  <c r="H123" i="6"/>
  <c r="T75" i="6"/>
  <c r="S97" i="6"/>
  <c r="J74" i="6"/>
  <c r="F116" i="6"/>
  <c r="J123" i="6"/>
  <c r="M100" i="6"/>
  <c r="G74" i="6"/>
  <c r="L97" i="6"/>
  <c r="Q83" i="6"/>
  <c r="L105" i="6"/>
  <c r="M98" i="6"/>
  <c r="R121" i="6"/>
  <c r="N48" i="6"/>
  <c r="D113" i="6"/>
  <c r="T54" i="6"/>
  <c r="I100" i="6"/>
  <c r="U71" i="6"/>
  <c r="Q96" i="6"/>
  <c r="J75" i="6"/>
  <c r="D75" i="6"/>
  <c r="L104" i="6"/>
  <c r="T68" i="6"/>
  <c r="K122" i="6"/>
  <c r="G96" i="6"/>
  <c r="E55" i="6"/>
  <c r="O73" i="6"/>
  <c r="S90" i="6"/>
  <c r="C49" i="6"/>
  <c r="S72" i="6"/>
  <c r="O94" i="6"/>
  <c r="H119" i="6"/>
  <c r="H72" i="6"/>
  <c r="U47" i="6"/>
  <c r="C46" i="6"/>
  <c r="O62" i="6"/>
  <c r="D90" i="6"/>
  <c r="S101" i="6"/>
  <c r="I75" i="6"/>
  <c r="K117" i="6"/>
  <c r="G45" i="6"/>
  <c r="S83" i="6"/>
  <c r="R78" i="6"/>
  <c r="U102" i="6"/>
  <c r="G99" i="6"/>
  <c r="L45" i="6"/>
  <c r="E106" i="6"/>
  <c r="H118" i="6"/>
  <c r="P71" i="6"/>
  <c r="I62" i="6"/>
  <c r="N83" i="6"/>
  <c r="T121" i="6"/>
  <c r="G56" i="6"/>
  <c r="D52" i="6"/>
  <c r="L90" i="6"/>
  <c r="N44" i="6"/>
  <c r="C79" i="6"/>
  <c r="D59" i="6"/>
  <c r="N122" i="6"/>
  <c r="J89" i="6"/>
  <c r="T105" i="6"/>
  <c r="I91" i="6"/>
  <c r="O47" i="6"/>
  <c r="J84" i="6"/>
  <c r="Q104" i="6"/>
  <c r="C108" i="6"/>
  <c r="R107" i="6"/>
  <c r="L94" i="6"/>
  <c r="D82" i="6"/>
  <c r="Q68" i="6"/>
  <c r="T52" i="6"/>
  <c r="P48" i="6"/>
  <c r="M60" i="6"/>
  <c r="D119" i="6"/>
  <c r="R96" i="6"/>
  <c r="C91" i="6"/>
  <c r="I121" i="6"/>
  <c r="T113" i="6"/>
  <c r="H77" i="6"/>
  <c r="H106" i="6"/>
  <c r="D101" i="6"/>
  <c r="O91" i="6"/>
  <c r="M101" i="6"/>
  <c r="K74" i="6"/>
  <c r="K119" i="6"/>
  <c r="C119" i="6"/>
  <c r="R54" i="6"/>
  <c r="M45" i="6"/>
  <c r="K107" i="6"/>
  <c r="T97" i="6"/>
  <c r="K104" i="6"/>
  <c r="R97" i="6"/>
  <c r="G53" i="6"/>
  <c r="E48" i="6"/>
  <c r="P58" i="6"/>
  <c r="M103" i="6"/>
  <c r="R118" i="6"/>
  <c r="R87" i="6"/>
  <c r="K47" i="6"/>
  <c r="Q76" i="6"/>
  <c r="Q63" i="6"/>
  <c r="C93" i="6"/>
  <c r="P78" i="6"/>
  <c r="M106" i="6"/>
  <c r="D64" i="6"/>
  <c r="P103" i="6"/>
  <c r="Q53" i="6"/>
  <c r="K72" i="6"/>
  <c r="I93" i="6"/>
  <c r="N105" i="6"/>
  <c r="U70" i="6"/>
  <c r="G95" i="6"/>
  <c r="E99" i="6"/>
  <c r="I50" i="6"/>
  <c r="T99" i="6"/>
  <c r="H65" i="6"/>
  <c r="H53" i="6"/>
  <c r="I71" i="6"/>
  <c r="E113" i="6"/>
  <c r="K94" i="6"/>
  <c r="O97" i="6"/>
  <c r="P120" i="6"/>
  <c r="N75" i="6"/>
  <c r="U68" i="6"/>
  <c r="E104" i="6"/>
  <c r="R79" i="6"/>
  <c r="G107" i="6"/>
  <c r="U106" i="6"/>
  <c r="I86" i="6"/>
  <c r="P88" i="6"/>
  <c r="C56" i="6"/>
  <c r="N56" i="6"/>
  <c r="L96" i="6"/>
  <c r="S113" i="6"/>
  <c r="G79" i="6"/>
  <c r="G93" i="6"/>
  <c r="U113" i="6"/>
  <c r="H112" i="6"/>
  <c r="F112" i="6"/>
  <c r="M83" i="6"/>
  <c r="N68" i="6"/>
  <c r="G78" i="6"/>
  <c r="T66" i="6"/>
  <c r="D103" i="6"/>
  <c r="K95" i="6"/>
  <c r="U51" i="6"/>
  <c r="Q114" i="6"/>
  <c r="K53" i="6"/>
  <c r="K105" i="6"/>
  <c r="E49" i="6"/>
  <c r="E84" i="6"/>
  <c r="U84" i="6"/>
  <c r="P75" i="6"/>
  <c r="O64" i="6"/>
  <c r="O101" i="6"/>
  <c r="S50" i="6"/>
  <c r="D58" i="6"/>
  <c r="H80" i="6"/>
  <c r="S56" i="6"/>
  <c r="C95" i="6"/>
  <c r="D51" i="6"/>
  <c r="N87" i="6"/>
  <c r="C92" i="6"/>
  <c r="E119" i="6"/>
  <c r="F80" i="6"/>
  <c r="P96" i="6"/>
  <c r="G57" i="6"/>
  <c r="I96" i="6"/>
  <c r="U95" i="6"/>
  <c r="Q108" i="6"/>
  <c r="T86" i="6"/>
  <c r="U72" i="6"/>
  <c r="T76" i="6"/>
  <c r="R47" i="6"/>
  <c r="H64" i="6"/>
  <c r="O117" i="6"/>
  <c r="Q99" i="6"/>
  <c r="E58" i="6"/>
  <c r="C77" i="6"/>
  <c r="K86" i="6"/>
  <c r="U52" i="6"/>
  <c r="H59" i="6"/>
  <c r="H116" i="6"/>
  <c r="I113" i="6"/>
  <c r="M104" i="6"/>
  <c r="R57" i="6"/>
  <c r="S75" i="6"/>
  <c r="S120" i="6"/>
  <c r="K44" i="6"/>
  <c r="D57" i="6"/>
  <c r="D115" i="6"/>
  <c r="E118" i="6"/>
  <c r="C54" i="6"/>
  <c r="U45" i="6"/>
  <c r="Q51" i="6"/>
  <c r="N74" i="6"/>
  <c r="T106" i="6"/>
  <c r="I51" i="6"/>
  <c r="R101" i="6"/>
  <c r="D45" i="6"/>
  <c r="E54" i="6"/>
  <c r="I90" i="6"/>
  <c r="L72" i="6"/>
  <c r="T93" i="6"/>
  <c r="P65" i="6"/>
  <c r="R55" i="6"/>
  <c r="I83" i="6"/>
  <c r="U56" i="6"/>
  <c r="D70" i="6"/>
  <c r="P59" i="6"/>
  <c r="L123" i="6"/>
  <c r="U99" i="6"/>
  <c r="D65" i="6"/>
  <c r="C84" i="6"/>
  <c r="N66" i="6"/>
  <c r="K87" i="6"/>
  <c r="D69" i="6"/>
  <c r="M69" i="6"/>
  <c r="C80" i="6"/>
  <c r="F65" i="6"/>
  <c r="I68" i="6"/>
  <c r="K102" i="6"/>
  <c r="M116" i="6"/>
  <c r="H49" i="6"/>
  <c r="Q66" i="6"/>
  <c r="D102" i="6"/>
  <c r="Q120" i="6"/>
  <c r="O118" i="6"/>
  <c r="E88" i="6"/>
  <c r="K115" i="6"/>
  <c r="L107" i="6"/>
  <c r="G101" i="6"/>
  <c r="P77" i="6"/>
  <c r="K121" i="6"/>
  <c r="Q71" i="6"/>
  <c r="R77" i="6"/>
  <c r="G51" i="6"/>
  <c r="R69" i="6"/>
  <c r="D111" i="6"/>
  <c r="N106" i="6"/>
  <c r="P117" i="6"/>
  <c r="Q87" i="6"/>
  <c r="Q73" i="6"/>
  <c r="E45" i="6"/>
  <c r="F94" i="6"/>
  <c r="T100" i="6"/>
  <c r="T72" i="6"/>
  <c r="K106" i="6"/>
  <c r="O59" i="6"/>
  <c r="M78" i="6"/>
  <c r="N62" i="6"/>
  <c r="R112" i="6"/>
  <c r="F81" i="6"/>
  <c r="R120" i="6"/>
  <c r="I63" i="6"/>
  <c r="M115" i="6"/>
  <c r="K83" i="6"/>
  <c r="T61" i="6"/>
  <c r="H82" i="6"/>
  <c r="U117" i="6"/>
  <c r="C61" i="6"/>
  <c r="P109" i="6"/>
  <c r="T114" i="6"/>
  <c r="E98" i="6"/>
  <c r="R58" i="6"/>
  <c r="N47" i="6"/>
  <c r="O84" i="6"/>
  <c r="E89" i="6"/>
  <c r="P82" i="6"/>
  <c r="I58" i="6"/>
  <c r="E100" i="6"/>
  <c r="G76" i="6"/>
  <c r="Q47" i="6"/>
  <c r="P43" i="6"/>
  <c r="M61" i="6"/>
  <c r="G52" i="6"/>
  <c r="M68" i="6"/>
  <c r="G43" i="6"/>
  <c r="L67" i="6"/>
  <c r="P112" i="6"/>
  <c r="U112" i="6"/>
  <c r="J49" i="6"/>
  <c r="R74" i="6"/>
  <c r="M117" i="6"/>
  <c r="T112" i="6"/>
  <c r="O74" i="6"/>
  <c r="P95" i="6"/>
  <c r="K90" i="6"/>
  <c r="I77" i="6"/>
  <c r="I78" i="6"/>
  <c r="C76" i="6"/>
  <c r="F59" i="6"/>
  <c r="F77" i="6"/>
  <c r="E101" i="6"/>
  <c r="R94" i="6"/>
  <c r="P62" i="6"/>
  <c r="E67" i="6"/>
  <c r="C67" i="6"/>
  <c r="U80" i="6"/>
  <c r="J110" i="6"/>
  <c r="C78" i="6"/>
  <c r="U81" i="6"/>
  <c r="H122" i="6"/>
  <c r="N90" i="6"/>
  <c r="P55" i="6"/>
  <c r="S46" i="6"/>
  <c r="Q115" i="6"/>
  <c r="S43" i="6"/>
  <c r="T115" i="6"/>
  <c r="G72" i="6"/>
  <c r="S68" i="6"/>
  <c r="K51" i="6"/>
  <c r="F114" i="6"/>
  <c r="K57" i="6"/>
  <c r="Q94" i="6"/>
  <c r="H46" i="6"/>
  <c r="E65" i="6"/>
  <c r="U61" i="6"/>
  <c r="N59" i="6"/>
  <c r="S115" i="6"/>
  <c r="P123" i="6"/>
  <c r="R85" i="6"/>
  <c r="E46" i="6"/>
  <c r="J79" i="6"/>
  <c r="R52" i="6"/>
  <c r="Q54" i="6"/>
  <c r="U59" i="6"/>
  <c r="C65" i="6"/>
  <c r="U92" i="6"/>
  <c r="J47" i="6"/>
  <c r="S92" i="6"/>
  <c r="T87" i="6"/>
  <c r="S110" i="6"/>
  <c r="C58" i="6"/>
  <c r="U85" i="6"/>
  <c r="N50" i="6"/>
  <c r="D117" i="6"/>
  <c r="U88" i="6"/>
  <c r="D55" i="6"/>
  <c r="C110" i="6"/>
  <c r="U73" i="6"/>
  <c r="Q84" i="6"/>
  <c r="F53" i="6"/>
  <c r="N78" i="6"/>
  <c r="S98" i="6"/>
  <c r="R93" i="6"/>
  <c r="C87" i="6"/>
  <c r="M58" i="6"/>
  <c r="G120" i="6"/>
  <c r="S87" i="6"/>
  <c r="S80" i="6"/>
  <c r="F69" i="6"/>
  <c r="D74" i="6"/>
  <c r="K96" i="6"/>
  <c r="F78" i="6"/>
  <c r="T45" i="6"/>
  <c r="E53" i="6"/>
  <c r="F50" i="6"/>
  <c r="G48" i="6"/>
  <c r="S44" i="6"/>
  <c r="O53" i="6"/>
  <c r="H47" i="6"/>
  <c r="T80" i="6"/>
  <c r="F100" i="6"/>
  <c r="O63" i="6"/>
  <c r="H107" i="6"/>
  <c r="I105" i="6"/>
  <c r="J100" i="6"/>
  <c r="G63" i="6"/>
  <c r="H57" i="6"/>
  <c r="O43" i="6"/>
  <c r="Q100" i="6"/>
  <c r="G114" i="6"/>
  <c r="P61" i="6"/>
  <c r="S45" i="6"/>
  <c r="U94" i="6"/>
  <c r="R91" i="6"/>
  <c r="D93" i="6"/>
  <c r="D106" i="6"/>
  <c r="Q116" i="6"/>
  <c r="T65" i="6"/>
  <c r="N118" i="6"/>
  <c r="Q70" i="6"/>
  <c r="D92" i="6"/>
  <c r="R108" i="6"/>
  <c r="Q95" i="6"/>
  <c r="I48" i="6"/>
  <c r="N100" i="6"/>
  <c r="L100" i="6"/>
  <c r="F108" i="6"/>
  <c r="F58" i="6"/>
  <c r="Q117" i="6"/>
  <c r="S84" i="6"/>
  <c r="M46" i="6"/>
  <c r="S117" i="6"/>
  <c r="I111" i="6"/>
  <c r="M79" i="6"/>
  <c r="T50" i="6"/>
  <c r="E95" i="6"/>
  <c r="D86" i="6"/>
  <c r="O50" i="6"/>
  <c r="D96" i="6"/>
  <c r="I72" i="6"/>
  <c r="D72" i="6"/>
  <c r="C64" i="6"/>
  <c r="D107" i="6"/>
  <c r="O48" i="6"/>
  <c r="J78" i="6"/>
  <c r="P67" i="6"/>
  <c r="I116" i="6"/>
  <c r="Q67" i="6"/>
  <c r="R64" i="6"/>
  <c r="N93" i="6"/>
  <c r="U76" i="6"/>
  <c r="T111" i="6"/>
  <c r="M82" i="6"/>
  <c r="J46" i="6"/>
  <c r="O111" i="6"/>
  <c r="H54" i="6"/>
  <c r="L59" i="6"/>
  <c r="G103" i="6"/>
  <c r="K84" i="6"/>
  <c r="F89" i="6"/>
  <c r="R73" i="6"/>
  <c r="J95" i="6"/>
  <c r="K100" i="6"/>
  <c r="P56" i="6"/>
  <c r="O60" i="6"/>
  <c r="S59" i="6"/>
  <c r="H66" i="6"/>
  <c r="I82" i="6"/>
  <c r="M53" i="6"/>
  <c r="H113" i="6"/>
  <c r="T55" i="6"/>
  <c r="Q77" i="6"/>
  <c r="M72" i="6"/>
  <c r="E82" i="6"/>
  <c r="L71" i="6"/>
  <c r="F43" i="6"/>
  <c r="C101" i="6"/>
  <c r="D77" i="6"/>
  <c r="N81" i="6"/>
  <c r="S76" i="6"/>
  <c r="N52" i="6"/>
  <c r="S81" i="6"/>
  <c r="E73" i="6"/>
  <c r="M51" i="6"/>
  <c r="C86" i="6"/>
  <c r="O109" i="6"/>
  <c r="G121" i="6"/>
  <c r="F82" i="6"/>
  <c r="D91" i="6"/>
  <c r="N61" i="6"/>
  <c r="T47" i="6"/>
  <c r="M71" i="6"/>
  <c r="R110" i="6"/>
  <c r="E112" i="6"/>
  <c r="F96" i="6"/>
  <c r="K85" i="6"/>
  <c r="U43" i="6"/>
  <c r="U110" i="6"/>
  <c r="K98" i="6"/>
  <c r="L66" i="6"/>
  <c r="S52" i="6"/>
  <c r="F56" i="6"/>
  <c r="H87" i="6"/>
  <c r="M54" i="6"/>
  <c r="J93" i="6"/>
  <c r="D47" i="6"/>
  <c r="Q86" i="6"/>
  <c r="J64" i="6"/>
  <c r="R100" i="6"/>
  <c r="N55" i="6"/>
  <c r="R106" i="6"/>
  <c r="H92" i="6"/>
  <c r="M75" i="6"/>
  <c r="O45" i="6"/>
  <c r="S47" i="6"/>
  <c r="N108" i="6"/>
  <c r="R44" i="6"/>
  <c r="F72" i="6"/>
  <c r="U64" i="6"/>
  <c r="E93" i="6"/>
  <c r="Q56" i="6"/>
  <c r="S67" i="6"/>
  <c r="T92" i="6"/>
  <c r="K88" i="6"/>
  <c r="S58" i="6"/>
  <c r="F93" i="6"/>
  <c r="S78" i="6"/>
  <c r="G102" i="6"/>
  <c r="O98" i="6"/>
  <c r="H85" i="6"/>
  <c r="T117" i="6"/>
  <c r="Q49" i="6"/>
  <c r="L98" i="6"/>
  <c r="L62" i="6"/>
  <c r="M57" i="6"/>
  <c r="G85" i="6"/>
  <c r="E64" i="6"/>
  <c r="N67" i="6"/>
  <c r="Q50" i="6"/>
  <c r="G77" i="6"/>
  <c r="I99" i="6"/>
  <c r="H68" i="6"/>
  <c r="K59" i="6"/>
  <c r="T70" i="6"/>
  <c r="G71" i="6"/>
  <c r="D60" i="6"/>
  <c r="U118" i="6"/>
  <c r="L44" i="6"/>
  <c r="R76" i="6"/>
  <c r="P122" i="6"/>
  <c r="H103" i="6"/>
  <c r="J119" i="6"/>
  <c r="E80" i="6"/>
  <c r="K77" i="6"/>
  <c r="E60" i="6"/>
  <c r="F64" i="6"/>
  <c r="O114" i="6"/>
  <c r="O61" i="6"/>
  <c r="D100" i="6"/>
  <c r="C94" i="6"/>
  <c r="T46" i="6"/>
  <c r="E68" i="6"/>
  <c r="O85" i="6"/>
  <c r="R71" i="6"/>
  <c r="K111" i="6"/>
  <c r="C43" i="6"/>
  <c r="K70" i="6"/>
  <c r="K80" i="6"/>
  <c r="E52" i="6"/>
  <c r="F109" i="6"/>
  <c r="J50" i="6"/>
  <c r="M49" i="6"/>
  <c r="G54" i="6"/>
  <c r="D110" i="6"/>
  <c r="O78" i="6"/>
  <c r="C45" i="6"/>
  <c r="Q55" i="6"/>
  <c r="R95" i="6"/>
  <c r="T62" i="6"/>
  <c r="M94" i="6"/>
  <c r="N84" i="6"/>
  <c r="C102" i="6"/>
  <c r="G116" i="6"/>
  <c r="Q91" i="6"/>
  <c r="J61" i="6"/>
  <c r="P69" i="6"/>
  <c r="D83" i="6"/>
  <c r="O102" i="6"/>
  <c r="Q65" i="6"/>
  <c r="M87" i="6"/>
  <c r="O113" i="6"/>
  <c r="H97" i="6"/>
  <c r="I104" i="6"/>
  <c r="K43" i="6"/>
  <c r="C106" i="6"/>
  <c r="U50" i="6"/>
  <c r="S79" i="6"/>
  <c r="D67" i="6"/>
  <c r="J105" i="6"/>
  <c r="E97" i="6"/>
  <c r="I117" i="6"/>
  <c r="R61" i="6"/>
  <c r="R53" i="6"/>
  <c r="C81" i="6"/>
  <c r="H105" i="6"/>
  <c r="C113" i="6"/>
  <c r="T63" i="6"/>
  <c r="J56" i="6"/>
  <c r="M111" i="6"/>
  <c r="J104" i="6"/>
  <c r="E109" i="6"/>
  <c r="O107" i="6"/>
  <c r="D53" i="6"/>
  <c r="O93" i="6"/>
  <c r="I54" i="6"/>
  <c r="J85" i="6"/>
  <c r="O116" i="6"/>
  <c r="J106" i="6"/>
  <c r="H96" i="6"/>
  <c r="L43" i="6"/>
  <c r="F95" i="6"/>
  <c r="G87" i="6"/>
  <c r="D79" i="6"/>
  <c r="S107" i="6"/>
  <c r="I85" i="6"/>
  <c r="C105" i="6"/>
  <c r="E107" i="6"/>
  <c r="Q75" i="6"/>
  <c r="K64" i="6"/>
  <c r="I70" i="6"/>
  <c r="J99" i="6"/>
  <c r="K92" i="6"/>
  <c r="H84" i="6"/>
  <c r="G111" i="6"/>
  <c r="F48" i="6"/>
  <c r="S100" i="6"/>
  <c r="P81" i="6"/>
  <c r="E50" i="6"/>
  <c r="M109" i="6"/>
  <c r="Q80" i="6"/>
  <c r="L47" i="6"/>
  <c r="D56" i="6"/>
  <c r="O108" i="6"/>
  <c r="O55" i="6"/>
  <c r="T48" i="6"/>
  <c r="J65" i="6"/>
  <c r="D61" i="6"/>
  <c r="C66" i="6"/>
  <c r="C97" i="6"/>
  <c r="D76" i="6"/>
  <c r="Q59" i="6"/>
  <c r="D104" i="6"/>
  <c r="J108" i="6"/>
  <c r="H83" i="6"/>
  <c r="M120" i="6"/>
  <c r="O46" i="6"/>
  <c r="H74" i="6"/>
  <c r="F73" i="6"/>
  <c r="C74" i="6"/>
  <c r="R59" i="6"/>
  <c r="H93" i="6"/>
  <c r="O99" i="6"/>
  <c r="J102" i="6"/>
  <c r="N53" i="6"/>
  <c r="G58" i="6"/>
  <c r="M96" i="6"/>
  <c r="O79" i="6"/>
  <c r="T85" i="6"/>
  <c r="I44" i="6"/>
  <c r="H114" i="6"/>
  <c r="L99" i="6"/>
  <c r="J70" i="6"/>
  <c r="N117" i="6"/>
  <c r="O58" i="6"/>
  <c r="I56" i="6"/>
  <c r="T98" i="6"/>
  <c r="P86" i="6"/>
  <c r="H102" i="6"/>
  <c r="O44" i="6"/>
  <c r="M56" i="6"/>
  <c r="J116" i="6"/>
  <c r="R86" i="6"/>
  <c r="P46" i="6"/>
  <c r="G64" i="6"/>
  <c r="G49" i="6"/>
  <c r="T119" i="6"/>
  <c r="E71" i="6"/>
  <c r="O96" i="6"/>
  <c r="F52" i="6"/>
  <c r="M95" i="6"/>
  <c r="F98" i="6"/>
  <c r="N109" i="6"/>
  <c r="G80" i="6"/>
  <c r="R75" i="6"/>
  <c r="I49" i="6"/>
  <c r="U97" i="6"/>
  <c r="J88" i="6"/>
  <c r="U104" i="6"/>
  <c r="S77" i="6"/>
  <c r="T74" i="6"/>
  <c r="J112" i="6"/>
  <c r="L77" i="6"/>
  <c r="I66" i="6"/>
  <c r="U114" i="6"/>
  <c r="M105" i="6"/>
  <c r="F62" i="6"/>
  <c r="I64" i="6"/>
  <c r="E121" i="6"/>
  <c r="T103" i="6"/>
  <c r="Q72" i="6"/>
  <c r="R114" i="6"/>
  <c r="T102" i="6"/>
  <c r="I61" i="6"/>
  <c r="G115" i="6"/>
  <c r="Q69" i="6"/>
  <c r="U111" i="6"/>
  <c r="L108" i="6"/>
  <c r="E85" i="6"/>
  <c r="C112" i="6"/>
  <c r="G98" i="6"/>
  <c r="I65" i="6"/>
  <c r="I97" i="6"/>
  <c r="F84" i="6"/>
  <c r="S70" i="6"/>
  <c r="L117" i="6"/>
  <c r="N70" i="6"/>
  <c r="H56" i="6"/>
  <c r="L61" i="6"/>
  <c r="P44" i="6"/>
  <c r="S55" i="6"/>
  <c r="Q81" i="6"/>
  <c r="U77" i="6"/>
  <c r="U101" i="6"/>
  <c r="N77" i="6"/>
  <c r="P70" i="6"/>
  <c r="C99" i="6"/>
  <c r="D50" i="6"/>
  <c r="M337" i="1"/>
  <c r="M312" i="1"/>
  <c r="M324" i="1"/>
  <c r="M316" i="1"/>
  <c r="M347" i="1"/>
  <c r="J31" i="3"/>
  <c r="K31" i="3"/>
  <c r="M830" i="1"/>
  <c r="M846" i="1"/>
  <c r="M613" i="1"/>
  <c r="M674" i="1"/>
  <c r="M549" i="1"/>
  <c r="M487" i="1"/>
  <c r="M442" i="1"/>
  <c r="K60" i="6"/>
  <c r="M55" i="6"/>
  <c r="O106" i="6"/>
  <c r="M92" i="6"/>
  <c r="E92" i="6"/>
  <c r="E72" i="6"/>
  <c r="I46" i="6"/>
  <c r="Q98" i="6"/>
  <c r="U49" i="6"/>
  <c r="S69" i="6"/>
  <c r="J80" i="6"/>
  <c r="J118" i="6"/>
  <c r="P110" i="6"/>
  <c r="G118" i="6"/>
  <c r="N43" i="6"/>
  <c r="F91" i="6"/>
  <c r="I107" i="6"/>
  <c r="K97" i="6"/>
  <c r="D116" i="6"/>
  <c r="R111" i="6"/>
  <c r="S111" i="6"/>
  <c r="L55" i="6"/>
  <c r="P107" i="6"/>
  <c r="S112" i="6"/>
  <c r="H43" i="6"/>
  <c r="N107" i="6"/>
  <c r="N96" i="6"/>
  <c r="J51" i="6"/>
  <c r="D114" i="6"/>
  <c r="U65" i="6"/>
  <c r="M323" i="1"/>
  <c r="M315" i="1"/>
  <c r="M346" i="1"/>
  <c r="M352" i="1"/>
  <c r="R115" i="6"/>
  <c r="R60" i="6"/>
  <c r="R68" i="6"/>
  <c r="T77" i="6"/>
  <c r="D109" i="6"/>
  <c r="O86" i="6"/>
  <c r="H51" i="6"/>
  <c r="N110" i="6"/>
  <c r="U87" i="6"/>
  <c r="M84" i="6"/>
  <c r="L110" i="6"/>
  <c r="F76" i="6"/>
  <c r="K45" i="6"/>
  <c r="M67" i="6"/>
  <c r="F71" i="6"/>
  <c r="I95" i="6"/>
  <c r="C107" i="6"/>
  <c r="H63" i="6"/>
  <c r="D95" i="6"/>
  <c r="E115" i="6"/>
  <c r="H95" i="6"/>
  <c r="U60" i="6"/>
  <c r="S63" i="6"/>
  <c r="M65" i="6"/>
  <c r="M77" i="6"/>
  <c r="N76" i="6"/>
  <c r="C55" i="6"/>
  <c r="F101" i="6"/>
  <c r="D99" i="6"/>
  <c r="S48" i="6"/>
  <c r="L69" i="6"/>
  <c r="M331" i="1"/>
  <c r="J8" i="3"/>
  <c r="T25" i="3"/>
  <c r="V25" i="3" s="1"/>
  <c r="T20" i="3"/>
  <c r="O31" i="3"/>
  <c r="O25" i="3"/>
  <c r="O11" i="3"/>
  <c r="J25" i="3"/>
  <c r="J16" i="3"/>
  <c r="O12" i="3"/>
  <c r="T28" i="3"/>
  <c r="V28" i="3" s="1"/>
  <c r="O30" i="3"/>
  <c r="J27" i="3"/>
  <c r="J17" i="3"/>
  <c r="T34" i="3"/>
  <c r="O9" i="3"/>
  <c r="O26" i="3"/>
  <c r="O8" i="3"/>
  <c r="J22" i="3"/>
  <c r="O34" i="3"/>
  <c r="J18" i="3"/>
  <c r="J5" i="3"/>
  <c r="T23" i="3"/>
  <c r="V23" i="3" s="1"/>
  <c r="J34" i="3"/>
  <c r="M307" i="1"/>
  <c r="M335" i="1"/>
  <c r="K2" i="3"/>
  <c r="M844" i="1"/>
  <c r="M827" i="1"/>
  <c r="M791" i="1"/>
  <c r="M818" i="1"/>
  <c r="M817" i="1"/>
  <c r="M826" i="1"/>
  <c r="M825" i="1"/>
  <c r="M730" i="1"/>
  <c r="M751" i="1"/>
  <c r="M752" i="1"/>
  <c r="M586" i="1"/>
  <c r="M654" i="1"/>
  <c r="M656" i="1"/>
  <c r="M666" i="1"/>
  <c r="M655" i="1"/>
  <c r="M665" i="1"/>
  <c r="M657" i="1"/>
  <c r="M646" i="1"/>
  <c r="M645" i="1"/>
  <c r="M612" i="1"/>
  <c r="M519" i="1"/>
  <c r="M376" i="1"/>
  <c r="M432" i="1"/>
  <c r="M431" i="1"/>
  <c r="M375" i="1"/>
  <c r="M421" i="1"/>
  <c r="M411" i="1"/>
  <c r="M420" i="1"/>
  <c r="M412" i="1"/>
  <c r="M371" i="1"/>
  <c r="M354" i="1"/>
  <c r="M330" i="1"/>
  <c r="M322" i="1"/>
  <c r="K3" i="3"/>
  <c r="M314" i="1"/>
  <c r="O14" i="3"/>
  <c r="J14" i="3"/>
  <c r="M340" i="1"/>
  <c r="K14" i="3"/>
  <c r="P14" i="3"/>
  <c r="U14" i="3"/>
  <c r="T14" i="3"/>
  <c r="M667" i="1"/>
  <c r="M427" i="1"/>
  <c r="M345" i="1"/>
  <c r="J55" i="6"/>
  <c r="G100" i="6"/>
  <c r="I87" i="6"/>
  <c r="S91" i="6"/>
  <c r="M90" i="6"/>
  <c r="Q110" i="6"/>
  <c r="M81" i="6"/>
  <c r="K89" i="6"/>
  <c r="R49" i="6"/>
  <c r="M59" i="6"/>
  <c r="S96" i="6"/>
  <c r="E62" i="6"/>
  <c r="L49" i="6"/>
  <c r="U116" i="6"/>
  <c r="K91" i="6"/>
  <c r="F110" i="6"/>
  <c r="P72" i="6"/>
  <c r="U67" i="6"/>
  <c r="I80" i="6"/>
  <c r="U123" i="6"/>
  <c r="P47" i="6"/>
  <c r="G108" i="6"/>
  <c r="M110" i="6"/>
  <c r="I59" i="6"/>
  <c r="P51" i="6"/>
  <c r="P64" i="6"/>
  <c r="J96" i="6"/>
  <c r="K52" i="6"/>
  <c r="T95" i="6"/>
  <c r="I109" i="6"/>
  <c r="M311" i="1"/>
  <c r="J12" i="3"/>
  <c r="M847" i="1"/>
  <c r="M801" i="1"/>
  <c r="M794" i="1"/>
  <c r="M800" i="1"/>
  <c r="M835" i="1"/>
  <c r="M803" i="1"/>
  <c r="M802" i="1"/>
  <c r="M834" i="1"/>
  <c r="M836" i="1"/>
  <c r="M738" i="1"/>
  <c r="M736" i="1"/>
  <c r="M714" i="1"/>
  <c r="M713" i="1"/>
  <c r="M739" i="1"/>
  <c r="M740" i="1"/>
  <c r="M774" i="1"/>
  <c r="M741" i="1"/>
  <c r="M788" i="1"/>
  <c r="M711" i="1"/>
  <c r="M715" i="1"/>
  <c r="M775" i="1"/>
  <c r="M737" i="1"/>
  <c r="M712" i="1"/>
  <c r="M776" i="1"/>
  <c r="M570" i="1"/>
  <c r="M602" i="1"/>
  <c r="M569" i="1"/>
  <c r="M604" i="1"/>
  <c r="M601" i="1"/>
  <c r="M605" i="1"/>
  <c r="M598" i="1"/>
  <c r="M543" i="1"/>
  <c r="M668" i="1"/>
  <c r="M603" i="1"/>
  <c r="M568" i="1"/>
  <c r="M642" i="1"/>
  <c r="M600" i="1"/>
  <c r="M575" i="1"/>
  <c r="M599" i="1"/>
  <c r="M505" i="1"/>
  <c r="M525" i="1"/>
  <c r="M526" i="1"/>
  <c r="M527" i="1"/>
  <c r="M509" i="1"/>
  <c r="M488" i="1"/>
  <c r="M508" i="1"/>
  <c r="M507" i="1"/>
  <c r="M506" i="1"/>
  <c r="M461" i="1"/>
  <c r="M460" i="1"/>
  <c r="M395" i="1"/>
  <c r="M392" i="1"/>
  <c r="M398" i="1"/>
  <c r="M396" i="1"/>
  <c r="M428" i="1"/>
  <c r="M390" i="1"/>
  <c r="M397" i="1"/>
  <c r="M399" i="1"/>
  <c r="M401" i="1"/>
  <c r="M423" i="1"/>
  <c r="M393" i="1"/>
  <c r="M400" i="1"/>
  <c r="M394" i="1"/>
  <c r="M391" i="1"/>
  <c r="M334" i="1"/>
  <c r="M329" i="1"/>
  <c r="M321" i="1"/>
  <c r="J3" i="3"/>
  <c r="M313" i="1"/>
  <c r="M797" i="1"/>
  <c r="M799" i="1"/>
  <c r="M814" i="1"/>
  <c r="M813" i="1"/>
  <c r="M798" i="1"/>
  <c r="M832" i="1"/>
  <c r="M833" i="1"/>
  <c r="M796" i="1"/>
  <c r="M795" i="1"/>
  <c r="M815" i="1"/>
  <c r="M831" i="1"/>
  <c r="M704" i="1"/>
  <c r="M756" i="1"/>
  <c r="M768" i="1"/>
  <c r="M708" i="1"/>
  <c r="M760" i="1"/>
  <c r="M706" i="1"/>
  <c r="M705" i="1"/>
  <c r="M765" i="1"/>
  <c r="M769" i="1"/>
  <c r="M700" i="1"/>
  <c r="M757" i="1"/>
  <c r="M770" i="1"/>
  <c r="M761" i="1"/>
  <c r="M766" i="1"/>
  <c r="M771" i="1"/>
  <c r="M762" i="1"/>
  <c r="M709" i="1"/>
  <c r="M758" i="1"/>
  <c r="M703" i="1"/>
  <c r="M763" i="1"/>
  <c r="M754" i="1"/>
  <c r="M701" i="1"/>
  <c r="M707" i="1"/>
  <c r="M767" i="1"/>
  <c r="M764" i="1"/>
  <c r="M755" i="1"/>
  <c r="M785" i="1"/>
  <c r="M702" i="1"/>
  <c r="M759" i="1"/>
  <c r="M591" i="1"/>
  <c r="M562" i="1"/>
  <c r="M596" i="1"/>
  <c r="M593" i="1"/>
  <c r="M554" i="1"/>
  <c r="M594" i="1"/>
  <c r="M597" i="1"/>
  <c r="M556" i="1"/>
  <c r="M590" i="1"/>
  <c r="M555" i="1"/>
  <c r="M559" i="1"/>
  <c r="M567" i="1"/>
  <c r="M557" i="1"/>
  <c r="M542" i="1"/>
  <c r="M595" i="1"/>
  <c r="M564" i="1"/>
  <c r="M592" i="1"/>
  <c r="M561" i="1"/>
  <c r="M560" i="1"/>
  <c r="M566" i="1"/>
  <c r="M563" i="1"/>
  <c r="M558" i="1"/>
  <c r="M565" i="1"/>
  <c r="M521" i="1"/>
  <c r="M500" i="1"/>
  <c r="M499" i="1"/>
  <c r="M503" i="1"/>
  <c r="M495" i="1"/>
  <c r="M498" i="1"/>
  <c r="M523" i="1"/>
  <c r="M502" i="1"/>
  <c r="M522" i="1"/>
  <c r="M368" i="1"/>
  <c r="M497" i="1"/>
  <c r="M496" i="1"/>
  <c r="M524" i="1"/>
  <c r="M501" i="1"/>
  <c r="M456" i="1"/>
  <c r="M453" i="1"/>
  <c r="M451" i="1"/>
  <c r="M457" i="1"/>
  <c r="M452" i="1"/>
  <c r="M450" i="1"/>
  <c r="M455" i="1"/>
  <c r="M454" i="1"/>
  <c r="M383" i="1"/>
  <c r="M379" i="1"/>
  <c r="M414" i="1"/>
  <c r="M380" i="1"/>
  <c r="M382" i="1"/>
  <c r="M381" i="1"/>
  <c r="M385" i="1"/>
  <c r="M384" i="1"/>
  <c r="M362" i="1"/>
  <c r="M363" i="1"/>
  <c r="M351" i="1"/>
  <c r="J2" i="3"/>
  <c r="M344" i="1"/>
  <c r="T53" i="6"/>
  <c r="T96" i="6"/>
  <c r="P113" i="6"/>
  <c r="C47" i="6"/>
  <c r="Q85" i="6"/>
  <c r="P73" i="6"/>
  <c r="P66" i="6"/>
  <c r="S116" i="6"/>
  <c r="N54" i="6"/>
  <c r="H98" i="6"/>
  <c r="H100" i="6"/>
  <c r="E79" i="6"/>
  <c r="P76" i="6"/>
  <c r="J59" i="6"/>
  <c r="G106" i="6"/>
  <c r="D94" i="6"/>
  <c r="J90" i="6"/>
  <c r="G112" i="6"/>
  <c r="F55" i="6"/>
  <c r="D118" i="6"/>
  <c r="F75" i="6"/>
  <c r="E77" i="6"/>
  <c r="O100" i="6"/>
  <c r="T83" i="6"/>
  <c r="C51" i="6"/>
  <c r="J63" i="6"/>
  <c r="T94" i="6"/>
  <c r="F111" i="6"/>
  <c r="T109" i="6"/>
  <c r="H94" i="6"/>
  <c r="M52" i="6"/>
  <c r="Q111" i="6"/>
  <c r="F83" i="6"/>
  <c r="H58" i="6"/>
  <c r="S61" i="6"/>
  <c r="Q78" i="6"/>
  <c r="L74" i="6"/>
  <c r="S60" i="6"/>
  <c r="U69" i="6"/>
  <c r="U100" i="6"/>
  <c r="S71" i="6"/>
  <c r="M70" i="6"/>
  <c r="E69" i="6"/>
  <c r="N71" i="6"/>
  <c r="O57" i="6"/>
  <c r="O51" i="6"/>
  <c r="U78" i="6"/>
  <c r="N113" i="6"/>
  <c r="S99" i="6"/>
  <c r="T89" i="6"/>
  <c r="C62" i="6"/>
  <c r="D87" i="6"/>
  <c r="I102" i="6"/>
  <c r="L103" i="6"/>
  <c r="K46" i="6"/>
  <c r="K50" i="6"/>
  <c r="C52" i="6"/>
  <c r="S109" i="6"/>
  <c r="R56" i="6"/>
  <c r="U57" i="6"/>
  <c r="C63" i="6"/>
  <c r="N112" i="6"/>
  <c r="V13" i="3"/>
  <c r="V32" i="3"/>
  <c r="V26" i="3"/>
  <c r="V19" i="3"/>
  <c r="V3" i="3"/>
  <c r="V27" i="3"/>
  <c r="V18" i="3"/>
  <c r="V5" i="3"/>
  <c r="V16" i="3"/>
  <c r="V7" i="3"/>
  <c r="V4" i="3"/>
  <c r="V6" i="3"/>
  <c r="V15" i="3"/>
  <c r="V24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29" i="3" l="1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<sst xmlns="http://schemas.openxmlformats.org/spreadsheetml/2006/main" count="6938" uniqueCount="182">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</sst>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58" totalsRowShown="0" headerRowDxfId="42">
  <autoFilter ref="A1:P858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338" tableType="queryTable" totalsRowShown="0" headerRowDxfId="44" headerRowBorderDxfId="43">
  <autoFilter ref="A1:D233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58"/>
  <sheetViews>
    <sheetView topLeftCell="I1" zoomScale="70" zoomScaleNormal="70" workbookViewId="0">
      <pane ySplit="1" topLeftCell="A839" activePane="bottomLeft" state="frozen"/>
      <selection pane="bottomLeft" activeCell="J851" sqref="J851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Iniciales'!$B$2:$B$38,D234)+SUMIFS($K$1:$K$858,$C$1:$C$858,C234,$D$1:$D$858,D234,$B$1:$B$858,"&lt;="&amp;B234)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Iniciales'!$B$2:$B$38,D235)+SUMIFS($K$1:$K$858,$C$1:$C$858,C235,$D$1:$D$858,D235,$B$1:$B$858,"&lt;="&amp;B235)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Iniciales'!$B$2:$B$38,D236)+SUMIFS($K$1:$K$858,$C$1:$C$858,C236,$D$1:$D$858,D236,$B$1:$B$858,"&lt;="&amp;B236)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Iniciales'!$B$2:$B$38,D237)+SUMIFS($K$1:$K$858,$C$1:$C$858,C237,$D$1:$D$858,D237,$B$1:$B$858,"&lt;="&amp;B237)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Iniciales'!$B$2:$B$38,D238)+SUMIFS($K$1:$K$858,$C$1:$C$858,C238,$D$1:$D$858,D238,$B$1:$B$858,"&lt;="&amp;B238)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Iniciales'!$B$2:$B$38,D239)+SUMIFS($K$1:$K$858,$C$1:$C$858,C239,$D$1:$D$858,D239,$B$1:$B$858,"&lt;="&amp;B239)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Iniciales'!$B$2:$B$38,D283)+SUMIFS($K$1:$K$858,$C$1:$C$858,C283,$D$1:$D$858,D283,$B$1:$B$858,"&lt;="&amp;B283)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Iniciales'!$B$2:$B$38,D306)+SUMIFS($K$1:$K$858,$C$1:$C$858,C306,$D$1:$D$858,D306,$B$1:$B$858,"&lt;="&amp;B306)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Iniciales'!$B$2:$B$38,D307)+SUMIFS($K$1:$K$858,$C$1:$C$858,C307,$D$1:$D$858,D307,$B$1:$B$858,"&lt;="&amp;B307)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Iniciales'!$B$2:$B$38,D308)+SUMIFS($K$1:$K$858,$C$1:$C$858,C308,$D$1:$D$858,D308,$B$1:$B$858,"&lt;="&amp;B308)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Iniciales'!$B$2:$B$38,D309)+SUMIFS($K$1:$K$858,$C$1:$C$858,C309,$D$1:$D$858,D309,$B$1:$B$858,"&lt;="&amp;B309)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Iniciales'!$B$2:$B$38,D310)+SUMIFS($K$1:$K$858,$C$1:$C$858,C310,$D$1:$D$858,D310,$B$1:$B$858,"&lt;="&amp;B310)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Iniciales'!$B$2:$B$38,D311)+SUMIFS($K$1:$K$858,$C$1:$C$858,C311,$D$1:$D$858,D311,$B$1:$B$858,"&lt;="&amp;B311)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Iniciales'!$B$2:$B$38,D312)+SUMIFS($K$1:$K$858,$C$1:$C$858,C312,$D$1:$D$858,D312,$B$1:$B$858,"&lt;="&amp;B312)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Iniciales'!$B$2:$B$38,D313)+SUMIFS($K$1:$K$858,$C$1:$C$858,C313,$D$1:$D$858,D313,$B$1:$B$858,"&lt;="&amp;B313)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Iniciales'!$B$2:$B$38,D314)+SUMIFS($K$1:$K$858,$C$1:$C$858,C314,$D$1:$D$858,D314,$B$1:$B$858,"&lt;="&amp;B314)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Iniciales'!$B$2:$B$38,D315)+SUMIFS($K$1:$K$858,$C$1:$C$858,C315,$D$1:$D$858,D315,$B$1:$B$858,"&lt;="&amp;B315)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Iniciales'!$B$2:$B$38,D316)+SUMIFS($K$1:$K$858,$C$1:$C$858,C316,$D$1:$D$858,D316,$B$1:$B$858,"&lt;="&amp;B316)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Iniciales'!$B$2:$B$38,D317)+SUMIFS($K$1:$K$858,$C$1:$C$858,C317,$D$1:$D$858,D317,$B$1:$B$858,"&lt;="&amp;B317)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Iniciales'!$B$2:$B$38,D318)+SUMIFS($K$1:$K$858,$C$1:$C$858,C318,$D$1:$D$858,D318,$B$1:$B$858,"&lt;="&amp;B318)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Iniciales'!$B$2:$B$38,D319)+SUMIFS($K$1:$K$858,$C$1:$C$858,C319,$D$1:$D$858,D319,$B$1:$B$858,"&lt;="&amp;B319)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Iniciales'!$B$2:$B$38,D320)+SUMIFS($K$1:$K$858,$C$1:$C$858,C320,$D$1:$D$858,D320,$B$1:$B$858,"&lt;="&amp;B320)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Iniciales'!$B$2:$B$38,D321)+SUMIFS($K$1:$K$858,$C$1:$C$858,C321,$D$1:$D$858,D321,$B$1:$B$858,"&lt;="&amp;B321)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Iniciales'!$B$2:$B$38,D322)+SUMIFS($K$1:$K$858,$C$1:$C$858,C322,$D$1:$D$858,D322,$B$1:$B$858,"&lt;="&amp;B322)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Iniciales'!$B$2:$B$38,D323)+SUMIFS($K$1:$K$858,$C$1:$C$858,C323,$D$1:$D$858,D323,$B$1:$B$858,"&lt;="&amp;B323)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Iniciales'!$B$2:$B$38,D324)+SUMIFS($K$1:$K$858,$C$1:$C$858,C324,$D$1:$D$858,D324,$B$1:$B$858,"&lt;="&amp;B324)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Iniciales'!$B$2:$B$38,D325)+SUMIFS($K$1:$K$858,$C$1:$C$858,C325,$D$1:$D$858,D325,$B$1:$B$858,"&lt;="&amp;B325)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Iniciales'!$B$2:$B$38,D326)+SUMIFS($K$1:$K$858,$C$1:$C$858,C326,$D$1:$D$858,D326,$B$1:$B$858,"&lt;="&amp;B326)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Iniciales'!$B$2:$B$38,D327)+SUMIFS($K$1:$K$858,$C$1:$C$858,C327,$D$1:$D$858,D327,$B$1:$B$858,"&lt;="&amp;B327)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Iniciales'!$B$2:$B$38,D328)+SUMIFS($K$1:$K$858,$C$1:$C$858,C328,$D$1:$D$858,D328,$B$1:$B$858,"&lt;="&amp;B328)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Iniciales'!$B$2:$B$38,D329)+SUMIFS($K$1:$K$858,$C$1:$C$858,C329,$D$1:$D$858,D329,$B$1:$B$858,"&lt;="&amp;B329)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Iniciales'!$B$2:$B$38,D330)+SUMIFS($K$1:$K$858,$C$1:$C$858,C330,$D$1:$D$858,D330,$B$1:$B$858,"&lt;="&amp;B330)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Iniciales'!$B$2:$B$38,D331)+SUMIFS($K$1:$K$858,$C$1:$C$858,C331,$D$1:$D$858,D331,$B$1:$B$858,"&lt;="&amp;B331)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Iniciales'!$B$2:$B$38,D332)+SUMIFS($K$1:$K$858,$C$1:$C$858,C332,$D$1:$D$858,D332,$B$1:$B$858,"&lt;="&amp;B332)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Iniciales'!$B$2:$B$38,D333)+SUMIFS($K$1:$K$858,$C$1:$C$858,C333,$D$1:$D$858,D333,$B$1:$B$858,"&lt;="&amp;B333)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Iniciales'!$B$2:$B$38,D334)+SUMIFS($K$1:$K$858,$C$1:$C$858,C334,$D$1:$D$858,D334,$B$1:$B$858,"&lt;="&amp;B334)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Iniciales'!$B$2:$B$38,D335)+SUMIFS($K$1:$K$858,$C$1:$C$858,C335,$D$1:$D$858,D335,$B$1:$B$858,"&lt;="&amp;B335)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Iniciales'!$B$2:$B$38,D336)+SUMIFS($K$1:$K$858,$C$1:$C$858,C336,$D$1:$D$858,D336,$B$1:$B$858,"&lt;="&amp;B336)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Iniciales'!$B$2:$B$38,D337)+SUMIFS($K$1:$K$858,$C$1:$C$858,C337,$D$1:$D$858,D337,$B$1:$B$858,"&lt;="&amp;B337)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Iniciales'!$B$2:$B$38,D338)+SUMIFS($K$1:$K$858,$C$1:$C$858,C338,$D$1:$D$858,D338,$B$1:$B$858,"&lt;="&amp;B338)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Iniciales'!$B$2:$B$38,D339)+SUMIFS($K$1:$K$858,$C$1:$C$858,C339,$D$1:$D$858,D339,$B$1:$B$858,"&lt;="&amp;B339)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Iniciales'!$B$2:$B$38,D340)+SUMIFS($K$1:$K$858,$C$1:$C$858,C340,$D$1:$D$858,D340,$B$1:$B$858,"&lt;="&amp;B340)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Iniciales'!$B$2:$B$38,D341)+SUMIFS($K$1:$K$858,$C$1:$C$858,C341,$D$1:$D$858,D341,$B$1:$B$858,"&lt;="&amp;B341)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Iniciales'!$B$2:$B$38,D342)+SUMIFS($K$1:$K$858,$C$1:$C$858,C342,$D$1:$D$858,D342,$B$1:$B$858,"&lt;="&amp;B342)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Iniciales'!$B$2:$B$38,D343)+SUMIFS($K$1:$K$858,$C$1:$C$858,C343,$D$1:$D$858,D343,$B$1:$B$858,"&lt;="&amp;B343)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Iniciales'!$B$2:$B$38,D344)+SUMIFS($K$1:$K$858,$C$1:$C$858,C344,$D$1:$D$858,D344,$B$1:$B$858,"&lt;="&amp;B344)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Iniciales'!$B$2:$B$38,D345)+SUMIFS($K$1:$K$858,$C$1:$C$858,C345,$D$1:$D$858,D345,$B$1:$B$858,"&lt;="&amp;B345)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Iniciales'!$B$2:$B$38,D346)+SUMIFS($K$1:$K$858,$C$1:$C$858,C346,$D$1:$D$858,D346,$B$1:$B$858,"&lt;="&amp;B346)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Iniciales'!$B$2:$B$38,D347)+SUMIFS($K$1:$K$858,$C$1:$C$858,C347,$D$1:$D$858,D347,$B$1:$B$858,"&lt;="&amp;B347)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Iniciales'!$B$2:$B$38,D348)+SUMIFS($K$1:$K$858,$C$1:$C$858,C348,$D$1:$D$858,D348,$B$1:$B$858,"&lt;="&amp;B348)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Iniciales'!$B$2:$B$38,D349)+SUMIFS($K$1:$K$858,$C$1:$C$858,C349,$D$1:$D$858,D349,$B$1:$B$858,"&lt;="&amp;B349)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Iniciales'!$B$2:$B$38,D350)+SUMIFS($K$1:$K$858,$C$1:$C$858,C350,$D$1:$D$858,D350,$B$1:$B$858,"&lt;="&amp;B350)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Iniciales'!$B$2:$B$38,D351)+SUMIFS($K$1:$K$858,$C$1:$C$858,C351,$D$1:$D$858,D351,$B$1:$B$858,"&lt;="&amp;B351)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Iniciales'!$B$2:$B$38,D352)+SUMIFS($K$1:$K$858,$C$1:$C$858,C352,$D$1:$D$858,D352,$B$1:$B$858,"&lt;="&amp;B352)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Iniciales'!$B$2:$B$38,D353)+SUMIFS($K$1:$K$858,$C$1:$C$858,C353,$D$1:$D$858,D353,$B$1:$B$858,"&lt;="&amp;B353)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Iniciales'!$B$2:$B$38,D354)+SUMIFS($K$1:$K$858,$C$1:$C$858,C354,$D$1:$D$858,D354,$B$1:$B$858,"&lt;="&amp;B354)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Iniciales'!$B$2:$B$38,D355)+SUMIFS($K$1:$K$858,$C$1:$C$858,C355,$D$1:$D$858,D355,$B$1:$B$858,"&lt;="&amp;B355)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Iniciales'!$B$2:$B$38,D356)+SUMIFS($K$1:$K$858,$C$1:$C$858,C356,$D$1:$D$858,D356,$B$1:$B$858,"&lt;="&amp;B356)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Iniciales'!$B$2:$B$38,D357)+SUMIFS($K$1:$K$858,$C$1:$C$858,C357,$D$1:$D$858,D357,$B$1:$B$858,"&lt;="&amp;B357)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Iniciales'!$B$2:$B$38,D358)+SUMIFS($K$1:$K$858,$C$1:$C$858,C358,$D$1:$D$858,D358,$B$1:$B$858,"&lt;="&amp;B358)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Iniciales'!$B$2:$B$38,D359)+SUMIFS($K$1:$K$858,$C$1:$C$858,C359,$D$1:$D$858,D359,$B$1:$B$858,"&lt;="&amp;B359)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Iniciales'!$B$2:$B$38,D360)+SUMIFS($K$1:$K$858,$C$1:$C$858,C360,$D$1:$D$858,D360,$B$1:$B$858,"&lt;="&amp;B360)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Iniciales'!$B$2:$B$38,D361)+SUMIFS($K$1:$K$858,$C$1:$C$858,C361,$D$1:$D$858,D361,$B$1:$B$858,"&lt;="&amp;B361)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Iniciales'!$B$2:$B$38,D362)+SUMIFS($K$1:$K$858,$C$1:$C$858,C362,$D$1:$D$858,D362,$B$1:$B$858,"&lt;="&amp;B362)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Iniciales'!$B$2:$B$38,D363)+SUMIFS($K$1:$K$858,$C$1:$C$858,C363,$D$1:$D$858,D363,$B$1:$B$858,"&lt;="&amp;B363)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Iniciales'!$B$2:$B$38,D364)+SUMIFS($K$1:$K$858,$C$1:$C$858,C364,$D$1:$D$858,D364,$B$1:$B$858,"&lt;="&amp;B364)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Iniciales'!$B$2:$B$38,D365)+SUMIFS($K$1:$K$858,$C$1:$C$858,C365,$D$1:$D$858,D365,$B$1:$B$858,"&lt;="&amp;B365)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Iniciales'!$B$2:$B$38,D366)+SUMIFS($K$1:$K$858,$C$1:$C$858,C366,$D$1:$D$858,D366,$B$1:$B$858,"&lt;="&amp;B366)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Iniciales'!$B$2:$B$38,D367)+SUMIFS($K$1:$K$858,$C$1:$C$858,C367,$D$1:$D$858,D367,$B$1:$B$858,"&lt;="&amp;B367)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Iniciales'!$B$2:$B$38,D368)+SUMIFS($K$1:$K$858,$C$1:$C$858,C368,$D$1:$D$858,D368,$B$1:$B$858,"&lt;="&amp;B368)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Iniciales'!$B$2:$B$38,D369)+SUMIFS($K$1:$K$858,$C$1:$C$858,C369,$D$1:$D$858,D369,$B$1:$B$858,"&lt;="&amp;B369)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Iniciales'!$B$2:$B$38,D370)+SUMIFS($K$1:$K$858,$C$1:$C$858,C370,$D$1:$D$858,D370,$B$1:$B$858,"&lt;="&amp;B370)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Iniciales'!$B$2:$B$38,D371)+SUMIFS($K$1:$K$858,$C$1:$C$858,C371,$D$1:$D$858,D371,$B$1:$B$858,"&lt;="&amp;B371)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Iniciales'!$B$2:$B$38,D372)+SUMIFS($K$1:$K$858,$C$1:$C$858,C372,$D$1:$D$858,D372,$B$1:$B$858,"&lt;="&amp;B372)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Iniciales'!$B$2:$B$38,D373)+SUMIFS($K$1:$K$858,$C$1:$C$858,C373,$D$1:$D$858,D373,$B$1:$B$858,"&lt;="&amp;B373)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Iniciales'!$B$2:$B$38,D374)+SUMIFS($K$1:$K$858,$C$1:$C$858,C374,$D$1:$D$858,D374,$B$1:$B$858,"&lt;="&amp;B374)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Iniciales'!$B$2:$B$38,D375)+SUMIFS($K$1:$K$858,$C$1:$C$858,C375,$D$1:$D$858,D375,$B$1:$B$858,"&lt;="&amp;B375)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Iniciales'!$B$2:$B$38,D376)+SUMIFS($K$1:$K$858,$C$1:$C$858,C376,$D$1:$D$858,D376,$B$1:$B$858,"&lt;="&amp;B376)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Iniciales'!$B$2:$B$38,D377)+SUMIFS($K$1:$K$858,$C$1:$C$858,C377,$D$1:$D$858,D377,$B$1:$B$858,"&lt;="&amp;B377)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Iniciales'!$B$2:$B$38,D378)+SUMIFS($K$1:$K$858,$C$1:$C$858,C378,$D$1:$D$858,D378,$B$1:$B$858,"&lt;="&amp;B378)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Iniciales'!$B$2:$B$38,D379)+SUMIFS($K$1:$K$858,$C$1:$C$858,C379,$D$1:$D$858,D379,$B$1:$B$858,"&lt;="&amp;B379)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Iniciales'!$B$2:$B$38,D380)+SUMIFS($K$1:$K$858,$C$1:$C$858,C380,$D$1:$D$858,D380,$B$1:$B$858,"&lt;="&amp;B380)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Iniciales'!$B$2:$B$38,D381)+SUMIFS($K$1:$K$858,$C$1:$C$858,C381,$D$1:$D$858,D381,$B$1:$B$858,"&lt;="&amp;B381)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Iniciales'!$B$2:$B$38,D382)+SUMIFS($K$1:$K$858,$C$1:$C$858,C382,$D$1:$D$858,D382,$B$1:$B$858,"&lt;="&amp;B382)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Iniciales'!$B$2:$B$38,D383)+SUMIFS($K$1:$K$858,$C$1:$C$858,C383,$D$1:$D$858,D383,$B$1:$B$858,"&lt;="&amp;B383)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Iniciales'!$B$2:$B$38,D384)+SUMIFS($K$1:$K$858,$C$1:$C$858,C384,$D$1:$D$858,D384,$B$1:$B$858,"&lt;="&amp;B384)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Iniciales'!$B$2:$B$38,D385)+SUMIFS($K$1:$K$858,$C$1:$C$858,C385,$D$1:$D$858,D385,$B$1:$B$858,"&lt;="&amp;B385)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Iniciales'!$B$2:$B$38,D386)+SUMIFS($K$1:$K$858,$C$1:$C$858,C386,$D$1:$D$858,D386,$B$1:$B$858,"&lt;="&amp;B386)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Iniciales'!$B$2:$B$38,D387)+SUMIFS($K$1:$K$858,$C$1:$C$858,C387,$D$1:$D$858,D387,$B$1:$B$858,"&lt;="&amp;B387)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Iniciales'!$B$2:$B$38,D388)+SUMIFS($K$1:$K$858,$C$1:$C$858,C388,$D$1:$D$858,D388,$B$1:$B$858,"&lt;="&amp;B388)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Iniciales'!$B$2:$B$38,D389)+SUMIFS($K$1:$K$858,$C$1:$C$858,C389,$D$1:$D$858,D389,$B$1:$B$858,"&lt;="&amp;B389)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Iniciales'!$B$2:$B$38,D390)+SUMIFS($K$1:$K$858,$C$1:$C$858,C390,$D$1:$D$858,D390,$B$1:$B$858,"&lt;="&amp;B390)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Iniciales'!$B$2:$B$38,D391)+SUMIFS($K$1:$K$858,$C$1:$C$858,C391,$D$1:$D$858,D391,$B$1:$B$858,"&lt;="&amp;B391)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Iniciales'!$B$2:$B$38,D392)+SUMIFS($K$1:$K$858,$C$1:$C$858,C392,$D$1:$D$858,D392,$B$1:$B$858,"&lt;="&amp;B392)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Iniciales'!$B$2:$B$38,D393)+SUMIFS($K$1:$K$858,$C$1:$C$858,C393,$D$1:$D$858,D393,$B$1:$B$858,"&lt;="&amp;B393)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Iniciales'!$B$2:$B$38,D394)+SUMIFS($K$1:$K$858,$C$1:$C$858,C394,$D$1:$D$858,D394,$B$1:$B$858,"&lt;="&amp;B394)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Iniciales'!$B$2:$B$38,D395)+SUMIFS($K$1:$K$858,$C$1:$C$858,C395,$D$1:$D$858,D395,$B$1:$B$858,"&lt;="&amp;B395)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Iniciales'!$B$2:$B$38,D396)+SUMIFS($K$1:$K$858,$C$1:$C$858,C396,$D$1:$D$858,D396,$B$1:$B$858,"&lt;="&amp;B396)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Iniciales'!$B$2:$B$38,D397)+SUMIFS($K$1:$K$858,$C$1:$C$858,C397,$D$1:$D$858,D397,$B$1:$B$858,"&lt;="&amp;B397)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Iniciales'!$B$2:$B$38,D398)+SUMIFS($K$1:$K$858,$C$1:$C$858,C398,$D$1:$D$858,D398,$B$1:$B$858,"&lt;="&amp;B398)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Iniciales'!$B$2:$B$38,D399)+SUMIFS($K$1:$K$858,$C$1:$C$858,C399,$D$1:$D$858,D399,$B$1:$B$858,"&lt;="&amp;B399)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Iniciales'!$B$2:$B$38,D400)+SUMIFS($K$1:$K$858,$C$1:$C$858,C400,$D$1:$D$858,D400,$B$1:$B$858,"&lt;="&amp;B400)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Iniciales'!$B$2:$B$38,D401)+SUMIFS($K$1:$K$858,$C$1:$C$858,C401,$D$1:$D$858,D401,$B$1:$B$858,"&lt;="&amp;B401)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Iniciales'!$B$2:$B$38,D402)+SUMIFS($K$1:$K$858,$C$1:$C$858,C402,$D$1:$D$858,D402,$B$1:$B$858,"&lt;="&amp;B402)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Iniciales'!$B$2:$B$38,D403)+SUMIFS($K$1:$K$858,$C$1:$C$858,C403,$D$1:$D$858,D403,$B$1:$B$858,"&lt;="&amp;B403)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Iniciales'!$B$2:$B$38,D404)+SUMIFS($K$1:$K$858,$C$1:$C$858,C404,$D$1:$D$858,D404,$B$1:$B$858,"&lt;="&amp;B404)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Iniciales'!$B$2:$B$38,D405)+SUMIFS($K$1:$K$858,$C$1:$C$858,C405,$D$1:$D$858,D405,$B$1:$B$858,"&lt;="&amp;B405)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Iniciales'!$B$2:$B$38,D406)+SUMIFS($K$1:$K$858,$C$1:$C$858,C406,$D$1:$D$858,D406,$B$1:$B$858,"&lt;="&amp;B406)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Iniciales'!$B$2:$B$38,D407)+SUMIFS($K$1:$K$858,$C$1:$C$858,C407,$D$1:$D$858,D407,$B$1:$B$858,"&lt;="&amp;B407)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Iniciales'!$B$2:$B$38,D408)+SUMIFS($K$1:$K$858,$C$1:$C$858,C408,$D$1:$D$858,D408,$B$1:$B$858,"&lt;="&amp;B408)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Iniciales'!$B$2:$B$38,D409)+SUMIFS($K$1:$K$858,$C$1:$C$858,C409,$D$1:$D$858,D409,$B$1:$B$858,"&lt;="&amp;B409)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Iniciales'!$B$2:$B$38,D410)+SUMIFS($K$1:$K$858,$C$1:$C$858,C410,$D$1:$D$858,D410,$B$1:$B$858,"&lt;="&amp;B410)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Iniciales'!$B$2:$B$38,D411)+SUMIFS($K$1:$K$858,$C$1:$C$858,C411,$D$1:$D$858,D411,$B$1:$B$858,"&lt;="&amp;B411)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Iniciales'!$B$2:$B$38,D412)+SUMIFS($K$1:$K$858,$C$1:$C$858,C412,$D$1:$D$858,D412,$B$1:$B$858,"&lt;="&amp;B412)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Iniciales'!$B$2:$B$38,D413)+SUMIFS($K$1:$K$858,$C$1:$C$858,C413,$D$1:$D$858,D413,$B$1:$B$858,"&lt;="&amp;B413)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Iniciales'!$B$2:$B$38,D414)+SUMIFS($K$1:$K$858,$C$1:$C$858,C414,$D$1:$D$858,D414,$B$1:$B$858,"&lt;="&amp;B414)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Iniciales'!$B$2:$B$38,D415)+SUMIFS($K$1:$K$858,$C$1:$C$858,C415,$D$1:$D$858,D415,$B$1:$B$858,"&lt;="&amp;B415)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Iniciales'!$B$2:$B$38,D416)+SUMIFS($K$1:$K$858,$C$1:$C$858,C416,$D$1:$D$858,D416,$B$1:$B$858,"&lt;="&amp;B416)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Iniciales'!$B$2:$B$38,D417)+SUMIFS($K$1:$K$858,$C$1:$C$858,C417,$D$1:$D$858,D417,$B$1:$B$858,"&lt;="&amp;B417)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Iniciales'!$B$2:$B$38,D418)+SUMIFS($K$1:$K$858,$C$1:$C$858,C418,$D$1:$D$858,D418,$B$1:$B$858,"&lt;="&amp;B418)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Iniciales'!$B$2:$B$38,D419)+SUMIFS($K$1:$K$858,$C$1:$C$858,C419,$D$1:$D$858,D419,$B$1:$B$858,"&lt;="&amp;B419)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Iniciales'!$B$2:$B$38,D420)+SUMIFS($K$1:$K$858,$C$1:$C$858,C420,$D$1:$D$858,D420,$B$1:$B$858,"&lt;="&amp;B420)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Iniciales'!$B$2:$B$38,D421)+SUMIFS($K$1:$K$858,$C$1:$C$858,C421,$D$1:$D$858,D421,$B$1:$B$858,"&lt;="&amp;B421)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Iniciales'!$B$2:$B$38,D422)+SUMIFS($K$1:$K$858,$C$1:$C$858,C422,$D$1:$D$858,D422,$B$1:$B$858,"&lt;="&amp;B422)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Iniciales'!$B$2:$B$38,D423)+SUMIFS($K$1:$K$858,$C$1:$C$858,C423,$D$1:$D$858,D423,$B$1:$B$858,"&lt;="&amp;B423)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Iniciales'!$B$2:$B$38,D424)+SUMIFS($K$1:$K$858,$C$1:$C$858,C424,$D$1:$D$858,D424,$B$1:$B$858,"&lt;="&amp;B424)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Iniciales'!$B$2:$B$38,D425)+SUMIFS($K$1:$K$858,$C$1:$C$858,C425,$D$1:$D$858,D425,$B$1:$B$858,"&lt;="&amp;B425)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Iniciales'!$B$2:$B$38,D426)+SUMIFS($K$1:$K$858,$C$1:$C$858,C426,$D$1:$D$858,D426,$B$1:$B$858,"&lt;="&amp;B426)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Iniciales'!$B$2:$B$38,D427)+SUMIFS($K$1:$K$858,$C$1:$C$858,C427,$D$1:$D$858,D427,$B$1:$B$858,"&lt;="&amp;B427)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Iniciales'!$B$2:$B$38,D428)+SUMIFS($K$1:$K$858,$C$1:$C$858,C428,$D$1:$D$858,D428,$B$1:$B$858,"&lt;="&amp;B428)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Iniciales'!$B$2:$B$38,D429)+SUMIFS($K$1:$K$858,$C$1:$C$858,C429,$D$1:$D$858,D429,$B$1:$B$858,"&lt;="&amp;B429)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Iniciales'!$B$2:$B$38,D430)+SUMIFS($K$1:$K$858,$C$1:$C$858,C430,$D$1:$D$858,D430,$B$1:$B$858,"&lt;="&amp;B430)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Iniciales'!$B$2:$B$38,D431)+SUMIFS($K$1:$K$858,$C$1:$C$858,C431,$D$1:$D$858,D431,$B$1:$B$858,"&lt;="&amp;B431)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Iniciales'!$B$2:$B$38,D432)+SUMIFS($K$1:$K$858,$C$1:$C$858,C432,$D$1:$D$858,D432,$B$1:$B$858,"&lt;="&amp;B432)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Iniciales'!$B$2:$B$38,D433)+SUMIFS($K$1:$K$858,$C$1:$C$858,C433,$D$1:$D$858,D433,$B$1:$B$858,"&lt;="&amp;B433)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Iniciales'!$B$2:$B$38,D434)+SUMIFS($K$1:$K$858,$C$1:$C$858,C434,$D$1:$D$858,D434,$B$1:$B$858,"&lt;="&amp;B434)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Iniciales'!$B$2:$B$38,D435)+SUMIFS($K$1:$K$858,$C$1:$C$858,C435,$D$1:$D$858,D435,$B$1:$B$858,"&lt;="&amp;B435)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Iniciales'!$B$2:$B$38,D436)+SUMIFS($K$1:$K$858,$C$1:$C$858,C436,$D$1:$D$858,D436,$B$1:$B$858,"&lt;="&amp;B436)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Iniciales'!$B$2:$B$38,D437)+SUMIFS($K$1:$K$858,$C$1:$C$858,C437,$D$1:$D$858,D437,$B$1:$B$858,"&lt;="&amp;B437)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Iniciales'!$B$2:$B$38,D438)+SUMIFS($K$1:$K$858,$C$1:$C$858,C438,$D$1:$D$858,D438,$B$1:$B$858,"&lt;="&amp;B438)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Iniciales'!$B$2:$B$38,D439)+SUMIFS($K$1:$K$858,$C$1:$C$858,C439,$D$1:$D$858,D439,$B$1:$B$858,"&lt;="&amp;B439)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Iniciales'!$B$2:$B$38,D440)+SUMIFS($K$1:$K$858,$C$1:$C$858,C440,$D$1:$D$858,D440,$B$1:$B$858,"&lt;="&amp;B440)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Iniciales'!$B$2:$B$38,D441)+SUMIFS($K$1:$K$858,$C$1:$C$858,C441,$D$1:$D$858,D441,$B$1:$B$858,"&lt;="&amp;B441)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Iniciales'!$B$2:$B$38,D442)+SUMIFS($K$1:$K$858,$C$1:$C$858,C442,$D$1:$D$858,D442,$B$1:$B$858,"&lt;="&amp;B442)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Iniciales'!$B$2:$B$38,D443)+SUMIFS($K$1:$K$858,$C$1:$C$858,C443,$D$1:$D$858,D443,$B$1:$B$858,"&lt;="&amp;B443)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Iniciales'!$B$2:$B$38,D444)+SUMIFS($K$1:$K$858,$C$1:$C$858,C444,$D$1:$D$858,D444,$B$1:$B$858,"&lt;="&amp;B444)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Iniciales'!$B$2:$B$38,D445)+SUMIFS($K$1:$K$858,$C$1:$C$858,C445,$D$1:$D$858,D445,$B$1:$B$858,"&lt;="&amp;B445)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Iniciales'!$B$2:$B$38,D446)+SUMIFS($K$1:$K$858,$C$1:$C$858,C446,$D$1:$D$858,D446,$B$1:$B$858,"&lt;="&amp;B446)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Iniciales'!$B$2:$B$38,D447)+SUMIFS($K$1:$K$858,$C$1:$C$858,C447,$D$1:$D$858,D447,$B$1:$B$858,"&lt;="&amp;B447)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Iniciales'!$B$2:$B$38,D448)+SUMIFS($K$1:$K$858,$C$1:$C$858,C448,$D$1:$D$858,D448,$B$1:$B$858,"&lt;="&amp;B448)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Iniciales'!$B$2:$B$38,D449)+SUMIFS($K$1:$K$858,$C$1:$C$858,C449,$D$1:$D$858,D449,$B$1:$B$858,"&lt;="&amp;B449)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Iniciales'!$B$2:$B$38,D450)+SUMIFS($K$1:$K$858,$C$1:$C$858,C450,$D$1:$D$858,D450,$B$1:$B$858,"&lt;="&amp;B450)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Iniciales'!$B$2:$B$38,D451)+SUMIFS($K$1:$K$858,$C$1:$C$858,C451,$D$1:$D$858,D451,$B$1:$B$858,"&lt;="&amp;B451)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Iniciales'!$B$2:$B$38,D452)+SUMIFS($K$1:$K$858,$C$1:$C$858,C452,$D$1:$D$858,D452,$B$1:$B$858,"&lt;="&amp;B452)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Iniciales'!$B$2:$B$38,D453)+SUMIFS($K$1:$K$858,$C$1:$C$858,C453,$D$1:$D$858,D453,$B$1:$B$858,"&lt;="&amp;B453)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Iniciales'!$B$2:$B$38,D454)+SUMIFS($K$1:$K$858,$C$1:$C$858,C454,$D$1:$D$858,D454,$B$1:$B$858,"&lt;="&amp;B454)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Iniciales'!$B$2:$B$38,D455)+SUMIFS($K$1:$K$858,$C$1:$C$858,C455,$D$1:$D$858,D455,$B$1:$B$858,"&lt;="&amp;B455)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Iniciales'!$B$2:$B$38,D456)+SUMIFS($K$1:$K$858,$C$1:$C$858,C456,$D$1:$D$858,D456,$B$1:$B$858,"&lt;="&amp;B456)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Iniciales'!$B$2:$B$38,D457)+SUMIFS($K$1:$K$858,$C$1:$C$858,C457,$D$1:$D$858,D457,$B$1:$B$858,"&lt;="&amp;B457)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Iniciales'!$B$2:$B$38,D458)+SUMIFS($K$1:$K$858,$C$1:$C$858,C458,$D$1:$D$858,D458,$B$1:$B$858,"&lt;="&amp;B458)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Iniciales'!$B$2:$B$38,D459)+SUMIFS($K$1:$K$858,$C$1:$C$858,C459,$D$1:$D$858,D459,$B$1:$B$858,"&lt;="&amp;B459)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Iniciales'!$B$2:$B$38,D460)+SUMIFS($K$1:$K$858,$C$1:$C$858,C460,$D$1:$D$858,D460,$B$1:$B$858,"&lt;="&amp;B460)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Iniciales'!$B$2:$B$38,D461)+SUMIFS($K$1:$K$858,$C$1:$C$858,C461,$D$1:$D$858,D461,$B$1:$B$858,"&lt;="&amp;B461)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Iniciales'!$B$2:$B$38,D462)+SUMIFS($K$1:$K$858,$C$1:$C$858,C462,$D$1:$D$858,D462,$B$1:$B$858,"&lt;="&amp;B462)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Iniciales'!$B$2:$B$38,D463)+SUMIFS($K$1:$K$858,$C$1:$C$858,C463,$D$1:$D$858,D463,$B$1:$B$858,"&lt;="&amp;B463)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Iniciales'!$B$2:$B$38,D464)+SUMIFS($K$1:$K$858,$C$1:$C$858,C464,$D$1:$D$858,D464,$B$1:$B$858,"&lt;="&amp;B464)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Iniciales'!$B$2:$B$38,D465)+SUMIFS($K$1:$K$858,$C$1:$C$858,C465,$D$1:$D$858,D465,$B$1:$B$858,"&lt;="&amp;B465)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Iniciales'!$B$2:$B$38,D466)+SUMIFS($K$1:$K$858,$C$1:$C$858,C466,$D$1:$D$858,D466,$B$1:$B$858,"&lt;="&amp;B466)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Iniciales'!$B$2:$B$38,D467)+SUMIFS($K$1:$K$858,$C$1:$C$858,C467,$D$1:$D$858,D467,$B$1:$B$858,"&lt;="&amp;B467)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Iniciales'!$B$2:$B$38,D468)+SUMIFS($K$1:$K$858,$C$1:$C$858,C468,$D$1:$D$858,D468,$B$1:$B$858,"&lt;="&amp;B468)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Iniciales'!$B$2:$B$38,D469)+SUMIFS($K$1:$K$858,$C$1:$C$858,C469,$D$1:$D$858,D469,$B$1:$B$858,"&lt;="&amp;B469)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Iniciales'!$B$2:$B$38,D470)+SUMIFS($K$1:$K$858,$C$1:$C$858,C470,$D$1:$D$858,D470,$B$1:$B$858,"&lt;="&amp;B470)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Iniciales'!$B$2:$B$38,D471)+SUMIFS($K$1:$K$858,$C$1:$C$858,C471,$D$1:$D$858,D471,$B$1:$B$858,"&lt;="&amp;B471)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Iniciales'!$B$2:$B$38,D472)+SUMIFS($K$1:$K$858,$C$1:$C$858,C472,$D$1:$D$858,D472,$B$1:$B$858,"&lt;="&amp;B472)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Iniciales'!$B$2:$B$38,D473)+SUMIFS($K$1:$K$858,$C$1:$C$858,C473,$D$1:$D$858,D473,$B$1:$B$858,"&lt;="&amp;B473)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Iniciales'!$B$2:$B$38,D474)+SUMIFS($K$1:$K$858,$C$1:$C$858,C474,$D$1:$D$858,D474,$B$1:$B$858,"&lt;="&amp;B474)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Iniciales'!$B$2:$B$38,D475)+SUMIFS($K$1:$K$858,$C$1:$C$858,C475,$D$1:$D$858,D475,$B$1:$B$858,"&lt;="&amp;B475)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Iniciales'!$B$2:$B$38,D476)+SUMIFS($K$1:$K$858,$C$1:$C$858,C476,$D$1:$D$858,D476,$B$1:$B$858,"&lt;="&amp;B476)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Iniciales'!$B$2:$B$38,D477)+SUMIFS($K$1:$K$858,$C$1:$C$858,C477,$D$1:$D$858,D477,$B$1:$B$858,"&lt;="&amp;B477)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Iniciales'!$B$2:$B$38,D478)+SUMIFS($K$1:$K$858,$C$1:$C$858,C478,$D$1:$D$858,D478,$B$1:$B$858,"&lt;="&amp;B478)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Iniciales'!$B$2:$B$38,D479)+SUMIFS($K$1:$K$858,$C$1:$C$858,C479,$D$1:$D$858,D479,$B$1:$B$858,"&lt;="&amp;B479)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Iniciales'!$B$2:$B$38,D480)+SUMIFS($K$1:$K$858,$C$1:$C$858,C480,$D$1:$D$858,D480,$B$1:$B$858,"&lt;="&amp;B480)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Iniciales'!$B$2:$B$38,D481)+SUMIFS($K$1:$K$858,$C$1:$C$858,C481,$D$1:$D$858,D481,$B$1:$B$858,"&lt;="&amp;B481)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Iniciales'!$B$2:$B$38,D482)+SUMIFS($K$1:$K$858,$C$1:$C$858,C482,$D$1:$D$858,D482,$B$1:$B$858,"&lt;="&amp;B482)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Iniciales'!$B$2:$B$38,D483)+SUMIFS($K$1:$K$858,$C$1:$C$858,C483,$D$1:$D$858,D483,$B$1:$B$858,"&lt;="&amp;B483)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Iniciales'!$B$2:$B$38,D484)+SUMIFS($K$1:$K$858,$C$1:$C$858,C484,$D$1:$D$858,D484,$B$1:$B$858,"&lt;="&amp;B484)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Iniciales'!$B$2:$B$38,D485)+SUMIFS($K$1:$K$858,$C$1:$C$858,C485,$D$1:$D$858,D485,$B$1:$B$858,"&lt;="&amp;B485)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Iniciales'!$B$2:$B$38,D486)+SUMIFS($K$1:$K$858,$C$1:$C$858,C486,$D$1:$D$858,D486,$B$1:$B$858,"&lt;="&amp;B486)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Iniciales'!$B$2:$B$38,D487)+SUMIFS($K$1:$K$858,$C$1:$C$858,C487,$D$1:$D$858,D487,$B$1:$B$858,"&lt;="&amp;B487)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Iniciales'!$B$2:$B$38,D488)+SUMIFS($K$1:$K$858,$C$1:$C$858,C488,$D$1:$D$858,D488,$B$1:$B$858,"&lt;="&amp;B488)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Iniciales'!$B$2:$B$38,D489)+SUMIFS($K$1:$K$858,$C$1:$C$858,C489,$D$1:$D$858,D489,$B$1:$B$858,"&lt;="&amp;B489)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Iniciales'!$B$2:$B$38,D490)+SUMIFS($K$1:$K$858,$C$1:$C$858,C490,$D$1:$D$858,D490,$B$1:$B$858,"&lt;="&amp;B490)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Iniciales'!$B$2:$B$38,D491)+SUMIFS($K$1:$K$858,$C$1:$C$858,C491,$D$1:$D$858,D491,$B$1:$B$858,"&lt;="&amp;B491)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Iniciales'!$B$2:$B$38,D492)+SUMIFS($K$1:$K$858,$C$1:$C$858,C492,$D$1:$D$858,D492,$B$1:$B$858,"&lt;="&amp;B492)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Iniciales'!$B$2:$B$38,D493)+SUMIFS($K$1:$K$858,$C$1:$C$858,C493,$D$1:$D$858,D493,$B$1:$B$858,"&lt;="&amp;B493)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Iniciales'!$B$2:$B$38,D494)+SUMIFS($K$1:$K$858,$C$1:$C$858,C494,$D$1:$D$858,D494,$B$1:$B$858,"&lt;="&amp;B494)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Iniciales'!$B$2:$B$38,D495)+SUMIFS($K$1:$K$858,$C$1:$C$858,C495,$D$1:$D$858,D495,$B$1:$B$858,"&lt;="&amp;B495)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Iniciales'!$B$2:$B$38,D496)+SUMIFS($K$1:$K$858,$C$1:$C$858,C496,$D$1:$D$858,D496,$B$1:$B$858,"&lt;="&amp;B496)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Iniciales'!$B$2:$B$38,D497)+SUMIFS($K$1:$K$858,$C$1:$C$858,C497,$D$1:$D$858,D497,$B$1:$B$858,"&lt;="&amp;B497)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Iniciales'!$B$2:$B$38,D498)+SUMIFS($K$1:$K$858,$C$1:$C$858,C498,$D$1:$D$858,D498,$B$1:$B$858,"&lt;="&amp;B498)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Iniciales'!$B$2:$B$38,D499)+SUMIFS($K$1:$K$858,$C$1:$C$858,C499,$D$1:$D$858,D499,$B$1:$B$858,"&lt;="&amp;B499)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Iniciales'!$B$2:$B$38,D500)+SUMIFS($K$1:$K$858,$C$1:$C$858,C500,$D$1:$D$858,D500,$B$1:$B$858,"&lt;="&amp;B500)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Iniciales'!$B$2:$B$38,D501)+SUMIFS($K$1:$K$858,$C$1:$C$858,C501,$D$1:$D$858,D501,$B$1:$B$858,"&lt;="&amp;B501)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Iniciales'!$B$2:$B$38,D502)+SUMIFS($K$1:$K$858,$C$1:$C$858,C502,$D$1:$D$858,D502,$B$1:$B$858,"&lt;="&amp;B502)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Iniciales'!$B$2:$B$38,D503)+SUMIFS($K$1:$K$858,$C$1:$C$858,C503,$D$1:$D$858,D503,$B$1:$B$858,"&lt;="&amp;B503)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Iniciales'!$B$2:$B$38,D504)+SUMIFS($K$1:$K$858,$C$1:$C$858,C504,$D$1:$D$858,D504,$B$1:$B$858,"&lt;="&amp;B504)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Iniciales'!$B$2:$B$38,D505)+SUMIFS($K$1:$K$858,$C$1:$C$858,C505,$D$1:$D$858,D505,$B$1:$B$858,"&lt;="&amp;B505)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Iniciales'!$B$2:$B$38,D506)+SUMIFS($K$1:$K$858,$C$1:$C$858,C506,$D$1:$D$858,D506,$B$1:$B$858,"&lt;="&amp;B506)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Iniciales'!$B$2:$B$38,D507)+SUMIFS($K$1:$K$858,$C$1:$C$858,C507,$D$1:$D$858,D507,$B$1:$B$858,"&lt;="&amp;B507)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Iniciales'!$B$2:$B$38,D508)+SUMIFS($K$1:$K$858,$C$1:$C$858,C508,$D$1:$D$858,D508,$B$1:$B$858,"&lt;="&amp;B508)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Iniciales'!$B$2:$B$38,D509)+SUMIFS($K$1:$K$858,$C$1:$C$858,C509,$D$1:$D$858,D509,$B$1:$B$858,"&lt;="&amp;B509)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Iniciales'!$B$2:$B$38,D510)+SUMIFS($K$1:$K$858,$C$1:$C$858,C510,$D$1:$D$858,D510,$B$1:$B$858,"&lt;="&amp;B510)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Iniciales'!$B$2:$B$38,D511)+SUMIFS($K$1:$K$858,$C$1:$C$858,C511,$D$1:$D$858,D511,$B$1:$B$858,"&lt;="&amp;B511)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Iniciales'!$B$2:$B$38,D512)+SUMIFS($K$1:$K$858,$C$1:$C$858,C512,$D$1:$D$858,D512,$B$1:$B$858,"&lt;="&amp;B512)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Iniciales'!$B$2:$B$38,D513)+SUMIFS($K$1:$K$858,$C$1:$C$858,C513,$D$1:$D$858,D513,$B$1:$B$858,"&lt;="&amp;B513)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Iniciales'!$B$2:$B$38,D514)+SUMIFS($K$1:$K$858,$C$1:$C$858,C514,$D$1:$D$858,D514,$B$1:$B$858,"&lt;="&amp;B514)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Iniciales'!$B$2:$B$38,D515)+SUMIFS($K$1:$K$858,$C$1:$C$858,C515,$D$1:$D$858,D515,$B$1:$B$858,"&lt;="&amp;B515)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Iniciales'!$B$2:$B$38,D516)+SUMIFS($K$1:$K$858,$C$1:$C$858,C516,$D$1:$D$858,D516,$B$1:$B$858,"&lt;="&amp;B516)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Iniciales'!$B$2:$B$38,D517)+SUMIFS($K$1:$K$858,$C$1:$C$858,C517,$D$1:$D$858,D517,$B$1:$B$858,"&lt;="&amp;B517)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Iniciales'!$B$2:$B$38,D518)+SUMIFS($K$1:$K$858,$C$1:$C$858,C518,$D$1:$D$858,D518,$B$1:$B$858,"&lt;="&amp;B518)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Iniciales'!$B$2:$B$38,D519)+SUMIFS($K$1:$K$858,$C$1:$C$858,C519,$D$1:$D$858,D519,$B$1:$B$858,"&lt;="&amp;B519)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Iniciales'!$B$2:$B$38,D520)+SUMIFS($K$1:$K$858,$C$1:$C$858,C520,$D$1:$D$858,D520,$B$1:$B$858,"&lt;="&amp;B520)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Iniciales'!$B$2:$B$38,D521)+SUMIFS($K$1:$K$858,$C$1:$C$858,C521,$D$1:$D$858,D521,$B$1:$B$858,"&lt;="&amp;B521)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Iniciales'!$B$2:$B$38,D522)+SUMIFS($K$1:$K$858,$C$1:$C$858,C522,$D$1:$D$858,D522,$B$1:$B$858,"&lt;="&amp;B522)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Iniciales'!$B$2:$B$38,D523)+SUMIFS($K$1:$K$858,$C$1:$C$858,C523,$D$1:$D$858,D523,$B$1:$B$858,"&lt;="&amp;B523)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Iniciales'!$B$2:$B$38,D524)+SUMIFS($K$1:$K$858,$C$1:$C$858,C524,$D$1:$D$858,D524,$B$1:$B$858,"&lt;="&amp;B524)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Iniciales'!$B$2:$B$38,D525)+SUMIFS($K$1:$K$858,$C$1:$C$858,C525,$D$1:$D$858,D525,$B$1:$B$858,"&lt;="&amp;B525)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Iniciales'!$B$2:$B$38,D526)+SUMIFS($K$1:$K$858,$C$1:$C$858,C526,$D$1:$D$858,D526,$B$1:$B$858,"&lt;="&amp;B526)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Iniciales'!$B$2:$B$38,D527)+SUMIFS($K$1:$K$858,$C$1:$C$858,C527,$D$1:$D$858,D527,$B$1:$B$858,"&lt;="&amp;B527)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Iniciales'!$B$2:$B$38,D528)+SUMIFS($K$1:$K$858,$C$1:$C$858,C528,$D$1:$D$858,D528,$B$1:$B$858,"&lt;="&amp;B528)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Iniciales'!$B$2:$B$38,D529)+SUMIFS($K$1:$K$858,$C$1:$C$858,C529,$D$1:$D$858,D529,$B$1:$B$858,"&lt;="&amp;B529)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Iniciales'!$B$2:$B$38,D530)+SUMIFS($K$1:$K$858,$C$1:$C$858,C530,$D$1:$D$858,D530,$B$1:$B$858,"&lt;="&amp;B530)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Iniciales'!$B$2:$B$38,D531)+SUMIFS($K$1:$K$858,$C$1:$C$858,C531,$D$1:$D$858,D531,$B$1:$B$858,"&lt;="&amp;B531)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Iniciales'!$B$2:$B$38,D532)+SUMIFS($K$1:$K$858,$C$1:$C$858,C532,$D$1:$D$858,D532,$B$1:$B$858,"&lt;="&amp;B532)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Iniciales'!$B$2:$B$38,D533)+SUMIFS($K$1:$K$858,$C$1:$C$858,C533,$D$1:$D$858,D533,$B$1:$B$858,"&lt;="&amp;B533)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Iniciales'!$B$2:$B$38,D534)+SUMIFS($K$1:$K$858,$C$1:$C$858,C534,$D$1:$D$858,D534,$B$1:$B$858,"&lt;="&amp;B534)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Iniciales'!$B$2:$B$38,D535)+SUMIFS($K$1:$K$858,$C$1:$C$858,C535,$D$1:$D$858,D535,$B$1:$B$858,"&lt;="&amp;B535)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Iniciales'!$B$2:$B$38,D536)+SUMIFS($K$1:$K$858,$C$1:$C$858,C536,$D$1:$D$858,D536,$B$1:$B$858,"&lt;="&amp;B536)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Iniciales'!$B$2:$B$38,D537)+SUMIFS($K$1:$K$858,$C$1:$C$858,C537,$D$1:$D$858,D537,$B$1:$B$858,"&lt;="&amp;B537)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Iniciales'!$B$2:$B$38,D538)+SUMIFS($K$1:$K$858,$C$1:$C$858,C538,$D$1:$D$858,D538,$B$1:$B$858,"&lt;="&amp;B538)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Iniciales'!$B$2:$B$38,D539)+SUMIFS($K$1:$K$858,$C$1:$C$858,C539,$D$1:$D$858,D539,$B$1:$B$858,"&lt;="&amp;B539)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Iniciales'!$B$2:$B$38,D540)+SUMIFS($K$1:$K$858,$C$1:$C$858,C540,$D$1:$D$858,D540,$B$1:$B$858,"&lt;="&amp;B540)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Iniciales'!$B$2:$B$38,D541)+SUMIFS($K$1:$K$858,$C$1:$C$858,C541,$D$1:$D$858,D541,$B$1:$B$858,"&lt;="&amp;B541)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Iniciales'!$B$2:$B$38,D542)+SUMIFS($K$1:$K$858,$C$1:$C$858,C542,$D$1:$D$858,D542,$B$1:$B$858,"&lt;="&amp;B542)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Iniciales'!$B$2:$B$38,D543)+SUMIFS($K$1:$K$858,$C$1:$C$858,C543,$D$1:$D$858,D543,$B$1:$B$858,"&lt;="&amp;B543)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Iniciales'!$B$2:$B$38,D544)+SUMIFS($K$1:$K$858,$C$1:$C$858,C544,$D$1:$D$858,D544,$B$1:$B$858,"&lt;="&amp;B544)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Iniciales'!$B$2:$B$38,D545)+SUMIFS($K$1:$K$858,$C$1:$C$858,C545,$D$1:$D$858,D545,$B$1:$B$858,"&lt;="&amp;B545)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Iniciales'!$B$2:$B$38,D546)+SUMIFS($K$1:$K$858,$C$1:$C$858,C546,$D$1:$D$858,D546,$B$1:$B$858,"&lt;="&amp;B546)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Iniciales'!$B$2:$B$38,D547)+SUMIFS($K$1:$K$858,$C$1:$C$858,C547,$D$1:$D$858,D547,$B$1:$B$858,"&lt;="&amp;B547)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Iniciales'!$B$2:$B$38,D548)+SUMIFS($K$1:$K$858,$C$1:$C$858,C548,$D$1:$D$858,D548,$B$1:$B$858,"&lt;="&amp;B548)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Iniciales'!$B$2:$B$38,D549)+SUMIFS($K$1:$K$858,$C$1:$C$858,C549,$D$1:$D$858,D549,$B$1:$B$858,"&lt;="&amp;B549)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Iniciales'!$B$2:$B$38,D550)+SUMIFS($K$1:$K$858,$C$1:$C$858,C550,$D$1:$D$858,D550,$B$1:$B$858,"&lt;="&amp;B550)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Iniciales'!$B$2:$B$38,D551)+SUMIFS($K$1:$K$858,$C$1:$C$858,C551,$D$1:$D$858,D551,$B$1:$B$858,"&lt;="&amp;B551)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Iniciales'!$B$2:$B$38,D552)+SUMIFS($K$1:$K$858,$C$1:$C$858,C552,$D$1:$D$858,D552,$B$1:$B$858,"&lt;="&amp;B552)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Iniciales'!$B$2:$B$38,D553)+SUMIFS($K$1:$K$858,$C$1:$C$858,C553,$D$1:$D$858,D553,$B$1:$B$858,"&lt;="&amp;B553)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Iniciales'!$B$2:$B$38,D554)+SUMIFS($K$1:$K$858,$C$1:$C$858,C554,$D$1:$D$858,D554,$B$1:$B$858,"&lt;="&amp;B554)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Iniciales'!$B$2:$B$38,D555)+SUMIFS($K$1:$K$858,$C$1:$C$858,C555,$D$1:$D$858,D555,$B$1:$B$858,"&lt;="&amp;B555)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Iniciales'!$B$2:$B$38,D556)+SUMIFS($K$1:$K$858,$C$1:$C$858,C556,$D$1:$D$858,D556,$B$1:$B$858,"&lt;="&amp;B556)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Iniciales'!$B$2:$B$38,D557)+SUMIFS($K$1:$K$858,$C$1:$C$858,C557,$D$1:$D$858,D557,$B$1:$B$858,"&lt;="&amp;B557)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Iniciales'!$B$2:$B$38,D558)+SUMIFS($K$1:$K$858,$C$1:$C$858,C558,$D$1:$D$858,D558,$B$1:$B$858,"&lt;="&amp;B558)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Iniciales'!$B$2:$B$38,D559)+SUMIFS($K$1:$K$858,$C$1:$C$858,C559,$D$1:$D$858,D559,$B$1:$B$858,"&lt;="&amp;B559)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Iniciales'!$B$2:$B$38,D560)+SUMIFS($K$1:$K$858,$C$1:$C$858,C560,$D$1:$D$858,D560,$B$1:$B$858,"&lt;="&amp;B560)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Iniciales'!$B$2:$B$38,D561)+SUMIFS($K$1:$K$858,$C$1:$C$858,C561,$D$1:$D$858,D561,$B$1:$B$858,"&lt;="&amp;B561)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Iniciales'!$B$2:$B$38,D562)+SUMIFS($K$1:$K$858,$C$1:$C$858,C562,$D$1:$D$858,D562,$B$1:$B$858,"&lt;="&amp;B562)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Iniciales'!$B$2:$B$38,D563)+SUMIFS($K$1:$K$858,$C$1:$C$858,C563,$D$1:$D$858,D563,$B$1:$B$858,"&lt;="&amp;B563)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Iniciales'!$B$2:$B$38,D564)+SUMIFS($K$1:$K$858,$C$1:$C$858,C564,$D$1:$D$858,D564,$B$1:$B$858,"&lt;="&amp;B564)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Iniciales'!$B$2:$B$38,D565)+SUMIFS($K$1:$K$858,$C$1:$C$858,C565,$D$1:$D$858,D565,$B$1:$B$858,"&lt;="&amp;B565)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Iniciales'!$B$2:$B$38,D566)+SUMIFS($K$1:$K$858,$C$1:$C$858,C566,$D$1:$D$858,D566,$B$1:$B$858,"&lt;="&amp;B566)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Iniciales'!$B$2:$B$38,D567)+SUMIFS($K$1:$K$858,$C$1:$C$858,C567,$D$1:$D$858,D567,$B$1:$B$858,"&lt;="&amp;B567)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Iniciales'!$B$2:$B$38,D568)+SUMIFS($K$1:$K$858,$C$1:$C$858,C568,$D$1:$D$858,D568,$B$1:$B$858,"&lt;="&amp;B568)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Iniciales'!$B$2:$B$38,D569)+SUMIFS($K$1:$K$858,$C$1:$C$858,C569,$D$1:$D$858,D569,$B$1:$B$858,"&lt;="&amp;B569)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Iniciales'!$B$2:$B$38,D570)+SUMIFS($K$1:$K$858,$C$1:$C$858,C570,$D$1:$D$858,D570,$B$1:$B$858,"&lt;="&amp;B570)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Iniciales'!$B$2:$B$38,D571)+SUMIFS($K$1:$K$858,$C$1:$C$858,C571,$D$1:$D$858,D571,$B$1:$B$858,"&lt;="&amp;B571)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Iniciales'!$B$2:$B$38,D572)+SUMIFS($K$1:$K$858,$C$1:$C$858,C572,$D$1:$D$858,D572,$B$1:$B$858,"&lt;="&amp;B572)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Iniciales'!$B$2:$B$38,D573)+SUMIFS($K$1:$K$858,$C$1:$C$858,C573,$D$1:$D$858,D573,$B$1:$B$858,"&lt;="&amp;B573)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Iniciales'!$B$2:$B$38,D574)+SUMIFS($K$1:$K$858,$C$1:$C$858,C574,$D$1:$D$858,D574,$B$1:$B$858,"&lt;="&amp;B574)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Iniciales'!$B$2:$B$38,D575)+SUMIFS($K$1:$K$858,$C$1:$C$858,C575,$D$1:$D$858,D575,$B$1:$B$858,"&lt;="&amp;B575)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Iniciales'!$B$2:$B$38,D576)+SUMIFS($K$1:$K$858,$C$1:$C$858,C576,$D$1:$D$858,D576,$B$1:$B$858,"&lt;="&amp;B576)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Iniciales'!$B$2:$B$38,D577)+SUMIFS($K$1:$K$858,$C$1:$C$858,C577,$D$1:$D$858,D577,$B$1:$B$858,"&lt;="&amp;B577)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Iniciales'!$B$2:$B$38,D578)+SUMIFS($K$1:$K$858,$C$1:$C$858,C578,$D$1:$D$858,D578,$B$1:$B$858,"&lt;="&amp;B578)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Iniciales'!$B$2:$B$38,D579)+SUMIFS($K$1:$K$858,$C$1:$C$858,C579,$D$1:$D$858,D579,$B$1:$B$858,"&lt;="&amp;B579)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Iniciales'!$B$2:$B$38,D580)+SUMIFS($K$1:$K$858,$C$1:$C$858,C580,$D$1:$D$858,D580,$B$1:$B$858,"&lt;="&amp;B580)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Iniciales'!$B$2:$B$38,D581)+SUMIFS($K$1:$K$858,$C$1:$C$858,C581,$D$1:$D$858,D581,$B$1:$B$858,"&lt;="&amp;B581)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Iniciales'!$B$2:$B$38,D582)+SUMIFS($K$1:$K$858,$C$1:$C$858,C582,$D$1:$D$858,D582,$B$1:$B$858,"&lt;="&amp;B582)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Iniciales'!$B$2:$B$38,D583)+SUMIFS($K$1:$K$858,$C$1:$C$858,C583,$D$1:$D$858,D583,$B$1:$B$858,"&lt;="&amp;B583)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Iniciales'!$B$2:$B$38,D584)+SUMIFS($K$1:$K$858,$C$1:$C$858,C584,$D$1:$D$858,D584,$B$1:$B$858,"&lt;="&amp;B584)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Iniciales'!$B$2:$B$38,D585)+SUMIFS($K$1:$K$858,$C$1:$C$858,C585,$D$1:$D$858,D585,$B$1:$B$858,"&lt;="&amp;B585)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Iniciales'!$B$2:$B$38,D586)+SUMIFS($K$1:$K$858,$C$1:$C$858,C586,$D$1:$D$858,D586,$B$1:$B$858,"&lt;="&amp;B586)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Iniciales'!$B$2:$B$38,D587)+SUMIFS($K$1:$K$858,$C$1:$C$858,C587,$D$1:$D$858,D587,$B$1:$B$858,"&lt;="&amp;B587)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Iniciales'!$B$2:$B$38,D588)+SUMIFS($K$1:$K$858,$C$1:$C$858,C588,$D$1:$D$858,D588,$B$1:$B$858,"&lt;="&amp;B588)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Iniciales'!$B$2:$B$38,D589)+SUMIFS($K$1:$K$858,$C$1:$C$858,C589,$D$1:$D$858,D589,$B$1:$B$858,"&lt;="&amp;B589)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Iniciales'!$B$2:$B$38,D590)+SUMIFS($K$1:$K$858,$C$1:$C$858,C590,$D$1:$D$858,D590,$B$1:$B$858,"&lt;="&amp;B590)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Iniciales'!$B$2:$B$38,D591)+SUMIFS($K$1:$K$858,$C$1:$C$858,C591,$D$1:$D$858,D591,$B$1:$B$858,"&lt;="&amp;B591)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Iniciales'!$B$2:$B$38,D592)+SUMIFS($K$1:$K$858,$C$1:$C$858,C592,$D$1:$D$858,D592,$B$1:$B$858,"&lt;="&amp;B592)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Iniciales'!$B$2:$B$38,D593)+SUMIFS($K$1:$K$858,$C$1:$C$858,C593,$D$1:$D$858,D593,$B$1:$B$858,"&lt;="&amp;B593)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Iniciales'!$B$2:$B$38,D594)+SUMIFS($K$1:$K$858,$C$1:$C$858,C594,$D$1:$D$858,D594,$B$1:$B$858,"&lt;="&amp;B594)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Iniciales'!$B$2:$B$38,D595)+SUMIFS($K$1:$K$858,$C$1:$C$858,C595,$D$1:$D$858,D595,$B$1:$B$858,"&lt;="&amp;B595)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Iniciales'!$B$2:$B$38,D596)+SUMIFS($K$1:$K$858,$C$1:$C$858,C596,$D$1:$D$858,D596,$B$1:$B$858,"&lt;="&amp;B596)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Iniciales'!$B$2:$B$38,D597)+SUMIFS($K$1:$K$858,$C$1:$C$858,C597,$D$1:$D$858,D597,$B$1:$B$858,"&lt;="&amp;B597)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Iniciales'!$B$2:$B$38,D598)+SUMIFS($K$1:$K$858,$C$1:$C$858,C598,$D$1:$D$858,D598,$B$1:$B$858,"&lt;="&amp;B598)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Iniciales'!$B$2:$B$38,D599)+SUMIFS($K$1:$K$858,$C$1:$C$858,C599,$D$1:$D$858,D599,$B$1:$B$858,"&lt;="&amp;B599)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Iniciales'!$B$2:$B$38,D600)+SUMIFS($K$1:$K$858,$C$1:$C$858,C600,$D$1:$D$858,D600,$B$1:$B$858,"&lt;="&amp;B600)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Iniciales'!$B$2:$B$38,D601)+SUMIFS($K$1:$K$858,$C$1:$C$858,C601,$D$1:$D$858,D601,$B$1:$B$858,"&lt;="&amp;B601)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Iniciales'!$B$2:$B$38,D602)+SUMIFS($K$1:$K$858,$C$1:$C$858,C602,$D$1:$D$858,D602,$B$1:$B$858,"&lt;="&amp;B602)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Iniciales'!$B$2:$B$38,D603)+SUMIFS($K$1:$K$858,$C$1:$C$858,C603,$D$1:$D$858,D603,$B$1:$B$858,"&lt;="&amp;B603)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Iniciales'!$B$2:$B$38,D604)+SUMIFS($K$1:$K$858,$C$1:$C$858,C604,$D$1:$D$858,D604,$B$1:$B$858,"&lt;="&amp;B604)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Iniciales'!$B$2:$B$38,D605)+SUMIFS($K$1:$K$858,$C$1:$C$858,C605,$D$1:$D$858,D605,$B$1:$B$858,"&lt;="&amp;B605)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Iniciales'!$B$2:$B$38,D606)+SUMIFS($K$1:$K$858,$C$1:$C$858,C606,$D$1:$D$858,D606,$B$1:$B$858,"&lt;="&amp;B606)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Iniciales'!$B$2:$B$38,D607)+SUMIFS($K$1:$K$858,$C$1:$C$858,C607,$D$1:$D$858,D607,$B$1:$B$858,"&lt;="&amp;B607)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Iniciales'!$B$2:$B$38,D608)+SUMIFS($K$1:$K$858,$C$1:$C$858,C608,$D$1:$D$858,D608,$B$1:$B$858,"&lt;="&amp;B608)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Iniciales'!$B$2:$B$38,D609)+SUMIFS($K$1:$K$858,$C$1:$C$858,C609,$D$1:$D$858,D609,$B$1:$B$858,"&lt;="&amp;B609)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Iniciales'!$B$2:$B$38,D610)+SUMIFS($K$1:$K$858,$C$1:$C$858,C610,$D$1:$D$858,D610,$B$1:$B$858,"&lt;="&amp;B610)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Iniciales'!$B$2:$B$38,D611)+SUMIFS($K$1:$K$858,$C$1:$C$858,C611,$D$1:$D$858,D611,$B$1:$B$858,"&lt;="&amp;B611)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Iniciales'!$B$2:$B$38,D612)+SUMIFS($K$1:$K$858,$C$1:$C$858,C612,$D$1:$D$858,D612,$B$1:$B$858,"&lt;="&amp;B612)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Iniciales'!$B$2:$B$38,D613)+SUMIFS($K$1:$K$858,$C$1:$C$858,C613,$D$1:$D$858,D613,$B$1:$B$858,"&lt;="&amp;B613)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Iniciales'!$B$2:$B$38,D614)+SUMIFS($K$1:$K$858,$C$1:$C$858,C614,$D$1:$D$858,D614,$B$1:$B$858,"&lt;="&amp;B614)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Iniciales'!$B$2:$B$38,D615)+SUMIFS($K$1:$K$858,$C$1:$C$858,C615,$D$1:$D$858,D615,$B$1:$B$858,"&lt;="&amp;B615)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Iniciales'!$B$2:$B$38,D616)+SUMIFS($K$1:$K$858,$C$1:$C$858,C616,$D$1:$D$858,D616,$B$1:$B$858,"&lt;="&amp;B616)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Iniciales'!$B$2:$B$38,D617)+SUMIFS($K$1:$K$858,$C$1:$C$858,C617,$D$1:$D$858,D617,$B$1:$B$858,"&lt;="&amp;B617)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Iniciales'!$B$2:$B$38,D618)+SUMIFS($K$1:$K$858,$C$1:$C$858,C618,$D$1:$D$858,D618,$B$1:$B$858,"&lt;="&amp;B618)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Iniciales'!$B$2:$B$38,D619)+SUMIFS($K$1:$K$858,$C$1:$C$858,C619,$D$1:$D$858,D619,$B$1:$B$858,"&lt;="&amp;B619)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Iniciales'!$B$2:$B$38,D620)+SUMIFS($K$1:$K$858,$C$1:$C$858,C620,$D$1:$D$858,D620,$B$1:$B$858,"&lt;="&amp;B620)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Iniciales'!$B$2:$B$38,D621)+SUMIFS($K$1:$K$858,$C$1:$C$858,C621,$D$1:$D$858,D621,$B$1:$B$858,"&lt;="&amp;B621)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Iniciales'!$B$2:$B$38,D622)+SUMIFS($K$1:$K$858,$C$1:$C$858,C622,$D$1:$D$858,D622,$B$1:$B$858,"&lt;="&amp;B622)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Iniciales'!$B$2:$B$38,D623)+SUMIFS($K$1:$K$858,$C$1:$C$858,C623,$D$1:$D$858,D623,$B$1:$B$858,"&lt;="&amp;B623)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Iniciales'!$B$2:$B$38,D624)+SUMIFS($K$1:$K$858,$C$1:$C$858,C624,$D$1:$D$858,D624,$B$1:$B$858,"&lt;="&amp;B624)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Iniciales'!$B$2:$B$38,D625)+SUMIFS($K$1:$K$858,$C$1:$C$858,C625,$D$1:$D$858,D625,$B$1:$B$858,"&lt;="&amp;B625)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Iniciales'!$B$2:$B$38,D626)+SUMIFS($K$1:$K$858,$C$1:$C$858,C626,$D$1:$D$858,D626,$B$1:$B$858,"&lt;="&amp;B626)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Iniciales'!$B$2:$B$38,D627)+SUMIFS($K$1:$K$858,$C$1:$C$858,C627,$D$1:$D$858,D627,$B$1:$B$858,"&lt;="&amp;B627)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Iniciales'!$B$2:$B$38,D628)+SUMIFS($K$1:$K$858,$C$1:$C$858,C628,$D$1:$D$858,D628,$B$1:$B$858,"&lt;="&amp;B628)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Iniciales'!$B$2:$B$38,D629)+SUMIFS($K$1:$K$858,$C$1:$C$858,C629,$D$1:$D$858,D629,$B$1:$B$858,"&lt;="&amp;B629)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Iniciales'!$B$2:$B$38,D630)+SUMIFS($K$1:$K$858,$C$1:$C$858,C630,$D$1:$D$858,D630,$B$1:$B$858,"&lt;="&amp;B630)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Iniciales'!$B$2:$B$38,D631)+SUMIFS($K$1:$K$858,$C$1:$C$858,C631,$D$1:$D$858,D631,$B$1:$B$858,"&lt;="&amp;B631)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Iniciales'!$B$2:$B$38,D632)+SUMIFS($K$1:$K$858,$C$1:$C$858,C632,$D$1:$D$858,D632,$B$1:$B$858,"&lt;="&amp;B632)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Iniciales'!$B$2:$B$38,D633)+SUMIFS($K$1:$K$858,$C$1:$C$858,C633,$D$1:$D$858,D633,$B$1:$B$858,"&lt;="&amp;B633)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Iniciales'!$B$2:$B$38,D634)+SUMIFS($K$1:$K$858,$C$1:$C$858,C634,$D$1:$D$858,D634,$B$1:$B$858,"&lt;="&amp;B634)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Iniciales'!$B$2:$B$38,D635)+SUMIFS($K$1:$K$858,$C$1:$C$858,C635,$D$1:$D$858,D635,$B$1:$B$858,"&lt;="&amp;B635)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Iniciales'!$B$2:$B$38,D636)+SUMIFS($K$1:$K$858,$C$1:$C$858,C636,$D$1:$D$858,D636,$B$1:$B$858,"&lt;="&amp;B636)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Iniciales'!$B$2:$B$38,D637)+SUMIFS($K$1:$K$858,$C$1:$C$858,C637,$D$1:$D$858,D637,$B$1:$B$858,"&lt;="&amp;B637)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Iniciales'!$B$2:$B$38,D638)+SUMIFS($K$1:$K$858,$C$1:$C$858,C638,$D$1:$D$858,D638,$B$1:$B$858,"&lt;="&amp;B638)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Iniciales'!$B$2:$B$38,D639)+SUMIFS($K$1:$K$858,$C$1:$C$858,C639,$D$1:$D$858,D639,$B$1:$B$858,"&lt;="&amp;B639)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Iniciales'!$B$2:$B$38,D640)+SUMIFS($K$1:$K$858,$C$1:$C$858,C640,$D$1:$D$858,D640,$B$1:$B$858,"&lt;="&amp;B640)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Iniciales'!$B$2:$B$38,D641)+SUMIFS($K$1:$K$858,$C$1:$C$858,C641,$D$1:$D$858,D641,$B$1:$B$858,"&lt;="&amp;B641)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Iniciales'!$B$2:$B$38,D642)+SUMIFS($K$1:$K$858,$C$1:$C$858,C642,$D$1:$D$858,D642,$B$1:$B$858,"&lt;="&amp;B642)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Iniciales'!$B$2:$B$38,D643)+SUMIFS($K$1:$K$858,$C$1:$C$858,C643,$D$1:$D$858,D643,$B$1:$B$858,"&lt;="&amp;B643)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Iniciales'!$B$2:$B$38,D644)+SUMIFS($K$1:$K$858,$C$1:$C$858,C644,$D$1:$D$858,D644,$B$1:$B$858,"&lt;="&amp;B644)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Iniciales'!$B$2:$B$38,D645)+SUMIFS($K$1:$K$858,$C$1:$C$858,C645,$D$1:$D$858,D645,$B$1:$B$858,"&lt;="&amp;B645)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Iniciales'!$B$2:$B$38,D646)+SUMIFS($K$1:$K$858,$C$1:$C$858,C646,$D$1:$D$858,D646,$B$1:$B$858,"&lt;="&amp;B646)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Iniciales'!$B$2:$B$38,D647)+SUMIFS($K$1:$K$858,$C$1:$C$858,C647,$D$1:$D$858,D647,$B$1:$B$858,"&lt;="&amp;B647)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Iniciales'!$B$2:$B$38,D648)+SUMIFS($K$1:$K$858,$C$1:$C$858,C648,$D$1:$D$858,D648,$B$1:$B$858,"&lt;="&amp;B648)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Iniciales'!$B$2:$B$38,D649)+SUMIFS($K$1:$K$858,$C$1:$C$858,C649,$D$1:$D$858,D649,$B$1:$B$858,"&lt;="&amp;B649)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Iniciales'!$B$2:$B$38,D650)+SUMIFS($K$1:$K$858,$C$1:$C$858,C650,$D$1:$D$858,D650,$B$1:$B$858,"&lt;="&amp;B650)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Iniciales'!$B$2:$B$38,D651)+SUMIFS($K$1:$K$858,$C$1:$C$858,C651,$D$1:$D$858,D651,$B$1:$B$858,"&lt;="&amp;B651)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Iniciales'!$B$2:$B$38,D652)+SUMIFS($K$1:$K$858,$C$1:$C$858,C652,$D$1:$D$858,D652,$B$1:$B$858,"&lt;="&amp;B652)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Iniciales'!$B$2:$B$38,D653)+SUMIFS($K$1:$K$858,$C$1:$C$858,C653,$D$1:$D$858,D653,$B$1:$B$858,"&lt;="&amp;B653)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Iniciales'!$B$2:$B$38,D654)+SUMIFS($K$1:$K$858,$C$1:$C$858,C654,$D$1:$D$858,D654,$B$1:$B$858,"&lt;="&amp;B654)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Iniciales'!$B$2:$B$38,D655)+SUMIFS($K$1:$K$858,$C$1:$C$858,C655,$D$1:$D$858,D655,$B$1:$B$858,"&lt;="&amp;B655)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Iniciales'!$B$2:$B$38,D656)+SUMIFS($K$1:$K$858,$C$1:$C$858,C656,$D$1:$D$858,D656,$B$1:$B$858,"&lt;="&amp;B656)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Iniciales'!$B$2:$B$38,D657)+SUMIFS($K$1:$K$858,$C$1:$C$858,C657,$D$1:$D$858,D657,$B$1:$B$858,"&lt;="&amp;B657)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Iniciales'!$B$2:$B$38,D658)+SUMIFS($K$1:$K$858,$C$1:$C$858,C658,$D$1:$D$858,D658,$B$1:$B$858,"&lt;="&amp;B658)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Iniciales'!$B$2:$B$38,D659)+SUMIFS($K$1:$K$858,$C$1:$C$858,C659,$D$1:$D$858,D659,$B$1:$B$858,"&lt;="&amp;B659)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Iniciales'!$B$2:$B$38,D660)+SUMIFS($K$1:$K$858,$C$1:$C$858,C660,$D$1:$D$858,D660,$B$1:$B$858,"&lt;="&amp;B660)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Iniciales'!$B$2:$B$38,D661)+SUMIFS($K$1:$K$858,$C$1:$C$858,C661,$D$1:$D$858,D661,$B$1:$B$858,"&lt;="&amp;B661)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Iniciales'!$B$2:$B$38,D662)+SUMIFS($K$1:$K$858,$C$1:$C$858,C662,$D$1:$D$858,D662,$B$1:$B$858,"&lt;="&amp;B662)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Iniciales'!$B$2:$B$38,D663)+SUMIFS($K$1:$K$858,$C$1:$C$858,C663,$D$1:$D$858,D663,$B$1:$B$858,"&lt;="&amp;B663)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Iniciales'!$B$2:$B$38,D664)+SUMIFS($K$1:$K$858,$C$1:$C$858,C664,$D$1:$D$858,D664,$B$1:$B$858,"&lt;="&amp;B664)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Iniciales'!$B$2:$B$38,D665)+SUMIFS($K$1:$K$858,$C$1:$C$858,C665,$D$1:$D$858,D665,$B$1:$B$858,"&lt;="&amp;B665)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Iniciales'!$B$2:$B$38,D666)+SUMIFS($K$1:$K$858,$C$1:$C$858,C666,$D$1:$D$858,D666,$B$1:$B$858,"&lt;="&amp;B666)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Iniciales'!$B$2:$B$38,D667)+SUMIFS($K$1:$K$858,$C$1:$C$858,C667,$D$1:$D$858,D667,$B$1:$B$858,"&lt;="&amp;B667)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Iniciales'!$B$2:$B$38,D668)+SUMIFS($K$1:$K$858,$C$1:$C$858,C668,$D$1:$D$858,D668,$B$1:$B$858,"&lt;="&amp;B668)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Iniciales'!$B$2:$B$38,D669)+SUMIFS($K$1:$K$858,$C$1:$C$858,C669,$D$1:$D$858,D669,$B$1:$B$858,"&lt;="&amp;B669)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Iniciales'!$B$2:$B$38,D670)+SUMIFS($K$1:$K$858,$C$1:$C$858,C670,$D$1:$D$858,D670,$B$1:$B$858,"&lt;="&amp;B670)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Iniciales'!$B$2:$B$38,D671)+SUMIFS($K$1:$K$858,$C$1:$C$858,C671,$D$1:$D$858,D671,$B$1:$B$858,"&lt;="&amp;B671)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Iniciales'!$B$2:$B$38,D672)+SUMIFS($K$1:$K$858,$C$1:$C$858,C672,$D$1:$D$858,D672,$B$1:$B$858,"&lt;="&amp;B672)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Iniciales'!$B$2:$B$38,D673)+SUMIFS($K$1:$K$858,$C$1:$C$858,C673,$D$1:$D$858,D673,$B$1:$B$858,"&lt;="&amp;B673)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Iniciales'!$B$2:$B$38,D674)+SUMIFS($K$1:$K$858,$C$1:$C$858,C674,$D$1:$D$858,D674,$B$1:$B$858,"&lt;="&amp;B674)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Iniciales'!$B$2:$B$38,D675)+SUMIFS($K$1:$K$858,$C$1:$C$858,C675,$D$1:$D$858,D675,$B$1:$B$858,"&lt;="&amp;B675)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Iniciales'!$B$2:$B$38,D676)+SUMIFS($K$1:$K$858,$C$1:$C$858,C676,$D$1:$D$858,D676,$B$1:$B$858,"&lt;="&amp;B676)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Iniciales'!$B$2:$B$38,D677)+SUMIFS($K$1:$K$858,$C$1:$C$858,C677,$D$1:$D$858,D677,$B$1:$B$858,"&lt;="&amp;B677)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Iniciales'!$B$2:$B$38,D678)+SUMIFS($K$1:$K$858,$C$1:$C$858,C678,$D$1:$D$858,D678,$B$1:$B$858,"&lt;="&amp;B678)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Iniciales'!$B$2:$B$38,D679)+SUMIFS($K$1:$K$858,$C$1:$C$858,C679,$D$1:$D$858,D679,$B$1:$B$858,"&lt;="&amp;B679)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Iniciales'!$B$2:$B$38,D680)+SUMIFS($K$1:$K$858,$C$1:$C$858,C680,$D$1:$D$858,D680,$B$1:$B$858,"&lt;="&amp;B680)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Iniciales'!$B$2:$B$38,D681)+SUMIFS($K$1:$K$858,$C$1:$C$858,C681,$D$1:$D$858,D681,$B$1:$B$858,"&lt;="&amp;B681)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Iniciales'!$B$2:$B$38,D682)+SUMIFS($K$1:$K$858,$C$1:$C$858,C682,$D$1:$D$858,D682,$B$1:$B$858,"&lt;="&amp;B682)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Iniciales'!$B$2:$B$38,D683)+SUMIFS($K$1:$K$858,$C$1:$C$858,C683,$D$1:$D$858,D683,$B$1:$B$858,"&lt;="&amp;B683)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Iniciales'!$B$2:$B$38,D684)+SUMIFS($K$1:$K$858,$C$1:$C$858,C684,$D$1:$D$858,D684,$B$1:$B$858,"&lt;="&amp;B684)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Iniciales'!$B$2:$B$38,D685)+SUMIFS($K$1:$K$858,$C$1:$C$858,C685,$D$1:$D$858,D685,$B$1:$B$858,"&lt;="&amp;B685)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Iniciales'!$B$2:$B$38,D686)+SUMIFS($K$1:$K$858,$C$1:$C$858,C686,$D$1:$D$858,D686,$B$1:$B$858,"&lt;="&amp;B686)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Iniciales'!$B$2:$B$38,D687)+SUMIFS($K$1:$K$858,$C$1:$C$858,C687,$D$1:$D$858,D687,$B$1:$B$858,"&lt;="&amp;B687)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Iniciales'!$B$2:$B$38,D688)+SUMIFS($K$1:$K$858,$C$1:$C$858,C688,$D$1:$D$858,D688,$B$1:$B$858,"&lt;="&amp;B688)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Iniciales'!$B$2:$B$38,D689)+SUMIFS($K$1:$K$858,$C$1:$C$858,C689,$D$1:$D$858,D689,$B$1:$B$858,"&lt;="&amp;B689)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Iniciales'!$B$2:$B$38,D690)+SUMIFS($K$1:$K$858,$C$1:$C$858,C690,$D$1:$D$858,D690,$B$1:$B$858,"&lt;="&amp;B690)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Iniciales'!$B$2:$B$38,D691)+SUMIFS($K$1:$K$858,$C$1:$C$858,C691,$D$1:$D$858,D691,$B$1:$B$858,"&lt;="&amp;B691)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Iniciales'!$B$2:$B$38,D692)+SUMIFS($K$1:$K$858,$C$1:$C$858,C692,$D$1:$D$858,D692,$B$1:$B$858,"&lt;="&amp;B692)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Iniciales'!$B$2:$B$38,D693)+SUMIFS($K$1:$K$858,$C$1:$C$858,C693,$D$1:$D$858,D693,$B$1:$B$858,"&lt;="&amp;B693)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Iniciales'!$B$2:$B$38,D694)+SUMIFS($K$1:$K$858,$C$1:$C$858,C694,$D$1:$D$858,D694,$B$1:$B$858,"&lt;="&amp;B694)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Iniciales'!$B$2:$B$38,D695)+SUMIFS($K$1:$K$858,$C$1:$C$858,C695,$D$1:$D$858,D695,$B$1:$B$858,"&lt;="&amp;B695)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Iniciales'!$B$2:$B$38,D696)+SUMIFS($K$1:$K$858,$C$1:$C$858,C696,$D$1:$D$858,D696,$B$1:$B$858,"&lt;="&amp;B696)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Iniciales'!$B$2:$B$38,D697)+SUMIFS($K$1:$K$858,$C$1:$C$858,C697,$D$1:$D$858,D697,$B$1:$B$858,"&lt;="&amp;B697)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Iniciales'!$B$2:$B$38,D698)+SUMIFS($K$1:$K$858,$C$1:$C$858,C698,$D$1:$D$858,D698,$B$1:$B$858,"&lt;="&amp;B698)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Iniciales'!$B$2:$B$38,D699)+SUMIFS($K$1:$K$858,$C$1:$C$858,C699,$D$1:$D$858,D699,$B$1:$B$858,"&lt;="&amp;B699)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Iniciales'!$B$2:$B$38,D700)+SUMIFS($K$1:$K$858,$C$1:$C$858,C700,$D$1:$D$858,D700,$B$1:$B$858,"&lt;="&amp;B700)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Iniciales'!$B$2:$B$38,D701)+SUMIFS($K$1:$K$858,$C$1:$C$858,C701,$D$1:$D$858,D701,$B$1:$B$858,"&lt;="&amp;B701)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Iniciales'!$B$2:$B$38,D702)+SUMIFS($K$1:$K$858,$C$1:$C$858,C702,$D$1:$D$858,D702,$B$1:$B$858,"&lt;="&amp;B702)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Iniciales'!$B$2:$B$38,D703)+SUMIFS($K$1:$K$858,$C$1:$C$858,C703,$D$1:$D$858,D703,$B$1:$B$858,"&lt;="&amp;B703)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Iniciales'!$B$2:$B$38,D704)+SUMIFS($K$1:$K$858,$C$1:$C$858,C704,$D$1:$D$858,D704,$B$1:$B$858,"&lt;="&amp;B704)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Iniciales'!$B$2:$B$38,D705)+SUMIFS($K$1:$K$858,$C$1:$C$858,C705,$D$1:$D$858,D705,$B$1:$B$858,"&lt;="&amp;B705)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Iniciales'!$B$2:$B$38,D706)+SUMIFS($K$1:$K$858,$C$1:$C$858,C706,$D$1:$D$858,D706,$B$1:$B$858,"&lt;="&amp;B706)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Iniciales'!$B$2:$B$38,D707)+SUMIFS($K$1:$K$858,$C$1:$C$858,C707,$D$1:$D$858,D707,$B$1:$B$858,"&lt;="&amp;B707)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Iniciales'!$B$2:$B$38,D708)+SUMIFS($K$1:$K$858,$C$1:$C$858,C708,$D$1:$D$858,D708,$B$1:$B$858,"&lt;="&amp;B708)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Iniciales'!$B$2:$B$38,D709)+SUMIFS($K$1:$K$858,$C$1:$C$858,C709,$D$1:$D$858,D709,$B$1:$B$858,"&lt;="&amp;B709)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Iniciales'!$B$2:$B$38,D710)+SUMIFS($K$1:$K$858,$C$1:$C$858,C710,$D$1:$D$858,D710,$B$1:$B$858,"&lt;="&amp;B710)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Iniciales'!$B$2:$B$38,D711)+SUMIFS($K$1:$K$858,$C$1:$C$858,C711,$D$1:$D$858,D711,$B$1:$B$858,"&lt;="&amp;B711)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Iniciales'!$B$2:$B$38,D712)+SUMIFS($K$1:$K$858,$C$1:$C$858,C712,$D$1:$D$858,D712,$B$1:$B$858,"&lt;="&amp;B712)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Iniciales'!$B$2:$B$38,D713)+SUMIFS($K$1:$K$858,$C$1:$C$858,C713,$D$1:$D$858,D713,$B$1:$B$858,"&lt;="&amp;B713)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Iniciales'!$B$2:$B$38,D714)+SUMIFS($K$1:$K$858,$C$1:$C$858,C714,$D$1:$D$858,D714,$B$1:$B$858,"&lt;="&amp;B714)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Iniciales'!$B$2:$B$38,D715)+SUMIFS($K$1:$K$858,$C$1:$C$858,C715,$D$1:$D$858,D715,$B$1:$B$858,"&lt;="&amp;B715)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Iniciales'!$B$2:$B$38,D716)+SUMIFS($K$1:$K$858,$C$1:$C$858,C716,$D$1:$D$858,D716,$B$1:$B$858,"&lt;="&amp;B716)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Iniciales'!$B$2:$B$38,D717)+SUMIFS($K$1:$K$858,$C$1:$C$858,C717,$D$1:$D$858,D717,$B$1:$B$858,"&lt;="&amp;B717)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Iniciales'!$B$2:$B$38,D718)+SUMIFS($K$1:$K$858,$C$1:$C$858,C718,$D$1:$D$858,D718,$B$1:$B$858,"&lt;="&amp;B718)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Iniciales'!$B$2:$B$38,D719)+SUMIFS($K$1:$K$858,$C$1:$C$858,C719,$D$1:$D$858,D719,$B$1:$B$858,"&lt;="&amp;B719)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Iniciales'!$B$2:$B$38,D720)+SUMIFS($K$1:$K$858,$C$1:$C$858,C720,$D$1:$D$858,D720,$B$1:$B$858,"&lt;="&amp;B720)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Iniciales'!$B$2:$B$38,D721)+SUMIFS($K$1:$K$858,$C$1:$C$858,C721,$D$1:$D$858,D721,$B$1:$B$858,"&lt;="&amp;B721)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Iniciales'!$B$2:$B$38,D722)+SUMIFS($K$1:$K$858,$C$1:$C$858,C722,$D$1:$D$858,D722,$B$1:$B$858,"&lt;="&amp;B722)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Iniciales'!$B$2:$B$38,D723)+SUMIFS($K$1:$K$858,$C$1:$C$858,C723,$D$1:$D$858,D723,$B$1:$B$858,"&lt;="&amp;B723)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Iniciales'!$B$2:$B$38,D724)+SUMIFS($K$1:$K$858,$C$1:$C$858,C724,$D$1:$D$858,D724,$B$1:$B$858,"&lt;="&amp;B724)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Iniciales'!$B$2:$B$38,D725)+SUMIFS($K$1:$K$858,$C$1:$C$858,C725,$D$1:$D$858,D725,$B$1:$B$858,"&lt;="&amp;B725)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Iniciales'!$B$2:$B$38,D726)+SUMIFS($K$1:$K$858,$C$1:$C$858,C726,$D$1:$D$858,D726,$B$1:$B$858,"&lt;="&amp;B726)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Iniciales'!$B$2:$B$38,D727)+SUMIFS($K$1:$K$858,$C$1:$C$858,C727,$D$1:$D$858,D727,$B$1:$B$858,"&lt;="&amp;B727)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Iniciales'!$B$2:$B$38,D728)+SUMIFS($K$1:$K$858,$C$1:$C$858,C728,$D$1:$D$858,D728,$B$1:$B$858,"&lt;="&amp;B728)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Iniciales'!$B$2:$B$38,D729)+SUMIFS($K$1:$K$858,$C$1:$C$858,C729,$D$1:$D$858,D729,$B$1:$B$858,"&lt;="&amp;B729)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Iniciales'!$B$2:$B$38,D730)+SUMIFS($K$1:$K$858,$C$1:$C$858,C730,$D$1:$D$858,D730,$B$1:$B$858,"&lt;="&amp;B730)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Iniciales'!$B$2:$B$38,D731)+SUMIFS($K$1:$K$858,$C$1:$C$858,C731,$D$1:$D$858,D731,$B$1:$B$858,"&lt;="&amp;B731)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Iniciales'!$B$2:$B$38,D732)+SUMIFS($K$1:$K$858,$C$1:$C$858,C732,$D$1:$D$858,D732,$B$1:$B$858,"&lt;="&amp;B732)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Iniciales'!$B$2:$B$38,D733)+SUMIFS($K$1:$K$858,$C$1:$C$858,C733,$D$1:$D$858,D733,$B$1:$B$858,"&lt;="&amp;B733)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Iniciales'!$B$2:$B$38,D734)+SUMIFS($K$1:$K$858,$C$1:$C$858,C734,$D$1:$D$858,D734,$B$1:$B$858,"&lt;="&amp;B734)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Iniciales'!$B$2:$B$38,D735)+SUMIFS($K$1:$K$858,$C$1:$C$858,C735,$D$1:$D$858,D735,$B$1:$B$858,"&lt;="&amp;B735)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Iniciales'!$B$2:$B$38,D736)+SUMIFS($K$1:$K$858,$C$1:$C$858,C736,$D$1:$D$858,D736,$B$1:$B$858,"&lt;="&amp;B736)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Iniciales'!$B$2:$B$38,D737)+SUMIFS($K$1:$K$858,$C$1:$C$858,C737,$D$1:$D$858,D737,$B$1:$B$858,"&lt;="&amp;B737)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Iniciales'!$B$2:$B$38,D738)+SUMIFS($K$1:$K$858,$C$1:$C$858,C738,$D$1:$D$858,D738,$B$1:$B$858,"&lt;="&amp;B738)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Iniciales'!$B$2:$B$38,D739)+SUMIFS($K$1:$K$858,$C$1:$C$858,C739,$D$1:$D$858,D739,$B$1:$B$858,"&lt;="&amp;B739)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Iniciales'!$B$2:$B$38,D740)+SUMIFS($K$1:$K$858,$C$1:$C$858,C740,$D$1:$D$858,D740,$B$1:$B$858,"&lt;="&amp;B740)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Iniciales'!$B$2:$B$38,D741)+SUMIFS($K$1:$K$858,$C$1:$C$858,C741,$D$1:$D$858,D741,$B$1:$B$858,"&lt;="&amp;B741)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Iniciales'!$B$2:$B$38,D742)+SUMIFS($K$1:$K$858,$C$1:$C$858,C742,$D$1:$D$858,D742,$B$1:$B$858,"&lt;="&amp;B742)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Iniciales'!$B$2:$B$38,D743)+SUMIFS($K$1:$K$858,$C$1:$C$858,C743,$D$1:$D$858,D743,$B$1:$B$858,"&lt;="&amp;B743)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Iniciales'!$B$2:$B$38,D744)+SUMIFS($K$1:$K$858,$C$1:$C$858,C744,$D$1:$D$858,D744,$B$1:$B$858,"&lt;="&amp;B744)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Iniciales'!$B$2:$B$38,D745)+SUMIFS($K$1:$K$858,$C$1:$C$858,C745,$D$1:$D$858,D745,$B$1:$B$858,"&lt;="&amp;B745)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Iniciales'!$B$2:$B$38,D746)+SUMIFS($K$1:$K$858,$C$1:$C$858,C746,$D$1:$D$858,D746,$B$1:$B$858,"&lt;="&amp;B746)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Iniciales'!$B$2:$B$38,D747)+SUMIFS($K$1:$K$858,$C$1:$C$858,C747,$D$1:$D$858,D747,$B$1:$B$858,"&lt;="&amp;B747)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Iniciales'!$B$2:$B$38,D748)+SUMIFS($K$1:$K$858,$C$1:$C$858,C748,$D$1:$D$858,D748,$B$1:$B$858,"&lt;="&amp;B748)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Iniciales'!$B$2:$B$38,D749)+SUMIFS($K$1:$K$858,$C$1:$C$858,C749,$D$1:$D$858,D749,$B$1:$B$858,"&lt;="&amp;B749)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Iniciales'!$B$2:$B$38,D750)+SUMIFS($K$1:$K$858,$C$1:$C$858,C750,$D$1:$D$858,D750,$B$1:$B$858,"&lt;="&amp;B750)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Iniciales'!$B$2:$B$38,D751)+SUMIFS($K$1:$K$858,$C$1:$C$858,C751,$D$1:$D$858,D751,$B$1:$B$858,"&lt;="&amp;B751)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Iniciales'!$B$2:$B$38,D752)+SUMIFS($K$1:$K$858,$C$1:$C$858,C752,$D$1:$D$858,D752,$B$1:$B$858,"&lt;="&amp;B752)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Iniciales'!$B$2:$B$38,D753)+SUMIFS($K$1:$K$858,$C$1:$C$858,C753,$D$1:$D$858,D753,$B$1:$B$858,"&lt;="&amp;B753)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Iniciales'!$B$2:$B$38,D754)+SUMIFS($K$1:$K$858,$C$1:$C$858,C754,$D$1:$D$858,D754,$B$1:$B$858,"&lt;="&amp;B754)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Iniciales'!$B$2:$B$38,D755)+SUMIFS($K$1:$K$858,$C$1:$C$858,C755,$D$1:$D$858,D755,$B$1:$B$858,"&lt;="&amp;B755)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Iniciales'!$B$2:$B$38,D756)+SUMIFS($K$1:$K$858,$C$1:$C$858,C756,$D$1:$D$858,D756,$B$1:$B$858,"&lt;="&amp;B756)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Iniciales'!$B$2:$B$38,D757)+SUMIFS($K$1:$K$858,$C$1:$C$858,C757,$D$1:$D$858,D757,$B$1:$B$858,"&lt;="&amp;B757)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Iniciales'!$B$2:$B$38,D758)+SUMIFS($K$1:$K$858,$C$1:$C$858,C758,$D$1:$D$858,D758,$B$1:$B$858,"&lt;="&amp;B758)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Iniciales'!$B$2:$B$38,D759)+SUMIFS($K$1:$K$858,$C$1:$C$858,C759,$D$1:$D$858,D759,$B$1:$B$858,"&lt;="&amp;B759)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Iniciales'!$B$2:$B$38,D760)+SUMIFS($K$1:$K$858,$C$1:$C$858,C760,$D$1:$D$858,D760,$B$1:$B$858,"&lt;="&amp;B760)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Iniciales'!$B$2:$B$38,D761)+SUMIFS($K$1:$K$858,$C$1:$C$858,C761,$D$1:$D$858,D761,$B$1:$B$858,"&lt;="&amp;B761)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Iniciales'!$B$2:$B$38,D762)+SUMIFS($K$1:$K$858,$C$1:$C$858,C762,$D$1:$D$858,D762,$B$1:$B$858,"&lt;="&amp;B762)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Iniciales'!$B$2:$B$38,D763)+SUMIFS($K$1:$K$858,$C$1:$C$858,C763,$D$1:$D$858,D763,$B$1:$B$858,"&lt;="&amp;B763)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Iniciales'!$B$2:$B$38,D764)+SUMIFS($K$1:$K$858,$C$1:$C$858,C764,$D$1:$D$858,D764,$B$1:$B$858,"&lt;="&amp;B764)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Iniciales'!$B$2:$B$38,D765)+SUMIFS($K$1:$K$858,$C$1:$C$858,C765,$D$1:$D$858,D765,$B$1:$B$858,"&lt;="&amp;B765)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Iniciales'!$B$2:$B$38,D766)+SUMIFS($K$1:$K$858,$C$1:$C$858,C766,$D$1:$D$858,D766,$B$1:$B$858,"&lt;="&amp;B766)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Iniciales'!$B$2:$B$38,D767)+SUMIFS($K$1:$K$858,$C$1:$C$858,C767,$D$1:$D$858,D767,$B$1:$B$858,"&lt;="&amp;B767)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Iniciales'!$B$2:$B$38,D768)+SUMIFS($K$1:$K$858,$C$1:$C$858,C768,$D$1:$D$858,D768,$B$1:$B$858,"&lt;="&amp;B768)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Iniciales'!$B$2:$B$38,D769)+SUMIFS($K$1:$K$858,$C$1:$C$858,C769,$D$1:$D$858,D769,$B$1:$B$858,"&lt;="&amp;B769)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Iniciales'!$B$2:$B$38,D770)+SUMIFS($K$1:$K$858,$C$1:$C$858,C770,$D$1:$D$858,D770,$B$1:$B$858,"&lt;="&amp;B770)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Iniciales'!$B$2:$B$38,D771)+SUMIFS($K$1:$K$858,$C$1:$C$858,C771,$D$1:$D$858,D771,$B$1:$B$858,"&lt;="&amp;B771)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Iniciales'!$B$2:$B$38,D772)+SUMIFS($K$1:$K$858,$C$1:$C$858,C772,$D$1:$D$858,D772,$B$1:$B$858,"&lt;="&amp;B772)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Iniciales'!$B$2:$B$38,D773)+SUMIFS($K$1:$K$858,$C$1:$C$858,C773,$D$1:$D$858,D773,$B$1:$B$858,"&lt;="&amp;B773)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Iniciales'!$B$2:$B$38,D774)+SUMIFS($K$1:$K$858,$C$1:$C$858,C774,$D$1:$D$858,D774,$B$1:$B$858,"&lt;="&amp;B774)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Iniciales'!$B$2:$B$38,D775)+SUMIFS($K$1:$K$858,$C$1:$C$858,C775,$D$1:$D$858,D775,$B$1:$B$858,"&lt;="&amp;B775)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Iniciales'!$B$2:$B$38,D776)+SUMIFS($K$1:$K$858,$C$1:$C$858,C776,$D$1:$D$858,D776,$B$1:$B$858,"&lt;="&amp;B776)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Iniciales'!$B$2:$B$38,D777)+SUMIFS($K$1:$K$858,$C$1:$C$858,C777,$D$1:$D$858,D777,$B$1:$B$858,"&lt;="&amp;B777)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Iniciales'!$B$2:$B$38,D778)+SUMIFS($K$1:$K$858,$C$1:$C$858,C778,$D$1:$D$858,D778,$B$1:$B$858,"&lt;="&amp;B778)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Iniciales'!$B$2:$B$38,D779)+SUMIFS($K$1:$K$858,$C$1:$C$858,C779,$D$1:$D$858,D779,$B$1:$B$858,"&lt;="&amp;B779)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Iniciales'!$B$2:$B$38,D780)+SUMIFS($K$1:$K$858,$C$1:$C$858,C780,$D$1:$D$858,D780,$B$1:$B$858,"&lt;="&amp;B780)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Iniciales'!$B$2:$B$38,D781)+SUMIFS($K$1:$K$858,$C$1:$C$858,C781,$D$1:$D$858,D781,$B$1:$B$858,"&lt;="&amp;B781)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Iniciales'!$B$2:$B$38,D782)+SUMIFS($K$1:$K$858,$C$1:$C$858,C782,$D$1:$D$858,D782,$B$1:$B$858,"&lt;="&amp;B782)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Iniciales'!$B$2:$B$38,D783)+SUMIFS($K$1:$K$858,$C$1:$C$858,C783,$D$1:$D$858,D783,$B$1:$B$858,"&lt;="&amp;B783)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Iniciales'!$B$2:$B$38,D784)+SUMIFS($K$1:$K$858,$C$1:$C$858,C784,$D$1:$D$858,D784,$B$1:$B$858,"&lt;="&amp;B784)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Iniciales'!$B$2:$B$38,D785)+SUMIFS($K$1:$K$858,$C$1:$C$858,C785,$D$1:$D$858,D785,$B$1:$B$858,"&lt;="&amp;B785)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Iniciales'!$B$2:$B$38,D786)+SUMIFS($K$1:$K$858,$C$1:$C$858,C786,$D$1:$D$858,D786,$B$1:$B$858,"&lt;="&amp;B786)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Iniciales'!$B$2:$B$38,D787)+SUMIFS($K$1:$K$858,$C$1:$C$858,C787,$D$1:$D$858,D787,$B$1:$B$858,"&lt;="&amp;B787)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Iniciales'!$B$2:$B$38,D788)+SUMIFS($K$1:$K$858,$C$1:$C$858,C788,$D$1:$D$858,D788,$B$1:$B$858,"&lt;="&amp;B788)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Iniciales'!$B$2:$B$38,D789)+SUMIFS($K$1:$K$858,$C$1:$C$858,C789,$D$1:$D$858,D789,$B$1:$B$858,"&lt;="&amp;B789)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Iniciales'!$B$2:$B$38,D790)+SUMIFS($K$1:$K$858,$C$1:$C$858,C790,$D$1:$D$858,D790,$B$1:$B$858,"&lt;="&amp;B790)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Iniciales'!$B$2:$B$38,D791)+SUMIFS($K$1:$K$858,$C$1:$C$858,C791,$D$1:$D$858,D791,$B$1:$B$858,"&lt;="&amp;B791)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Iniciales'!$B$2:$B$38,D792)+SUMIFS($K$1:$K$858,$C$1:$C$858,C792,$D$1:$D$858,D792,$B$1:$B$858,"&lt;="&amp;B792)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Iniciales'!$B$2:$B$38,D793)+SUMIFS($K$1:$K$858,$C$1:$C$858,C793,$D$1:$D$858,D793,$B$1:$B$858,"&lt;="&amp;B793)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Iniciales'!$B$2:$B$38,D794)+SUMIFS($K$1:$K$858,$C$1:$C$858,C794,$D$1:$D$858,D794,$B$1:$B$858,"&lt;="&amp;B794)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Iniciales'!$B$2:$B$38,D795)+SUMIFS($K$1:$K$858,$C$1:$C$858,C795,$D$1:$D$858,D795,$B$1:$B$858,"&lt;="&amp;B795)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Iniciales'!$B$2:$B$38,D796)+SUMIFS($K$1:$K$858,$C$1:$C$858,C796,$D$1:$D$858,D796,$B$1:$B$858,"&lt;="&amp;B796)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8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Iniciales'!$B$2:$B$38,D797)+SUMIFS($K$1:$K$858,$C$1:$C$858,C797,$D$1:$D$858,D797,$B$1:$B$858,"&lt;="&amp;B797)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Iniciales'!$B$2:$B$38,D798)+SUMIFS($K$1:$K$858,$C$1:$C$858,C798,$D$1:$D$858,D798,$B$1:$B$858,"&lt;="&amp;B798)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Iniciales'!$B$2:$B$38,D799)+SUMIFS($K$1:$K$858,$C$1:$C$858,C799,$D$1:$D$858,D799,$B$1:$B$858,"&lt;="&amp;B799)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Iniciales'!$B$2:$B$38,D800)+SUMIFS($K$1:$K$858,$C$1:$C$858,C800,$D$1:$D$858,D800,$B$1:$B$858,"&lt;="&amp;B800)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Iniciales'!$B$2:$B$38,D801)+SUMIFS($K$1:$K$858,$C$1:$C$858,C801,$D$1:$D$858,D801,$B$1:$B$858,"&lt;="&amp;B801)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Iniciales'!$B$2:$B$38,D802)+SUMIFS($K$1:$K$858,$C$1:$C$858,C802,$D$1:$D$858,D802,$B$1:$B$858,"&lt;="&amp;B802)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Iniciales'!$B$2:$B$38,D803)+SUMIFS($K$1:$K$858,$C$1:$C$858,C803,$D$1:$D$858,D803,$B$1:$B$858,"&lt;="&amp;B803)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Iniciales'!$B$2:$B$38,D804)+SUMIFS($K$1:$K$858,$C$1:$C$858,C804,$D$1:$D$858,D804,$B$1:$B$858,"&lt;="&amp;B804)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Iniciales'!$B$2:$B$38,D805)+SUMIFS($K$1:$K$858,$C$1:$C$858,C805,$D$1:$D$858,D805,$B$1:$B$858,"&lt;="&amp;B805)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Iniciales'!$B$2:$B$38,D806)+SUMIFS($K$1:$K$858,$C$1:$C$858,C806,$D$1:$D$858,D806,$B$1:$B$858,"&lt;="&amp;B806)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Iniciales'!$B$2:$B$38,D807)+SUMIFS($K$1:$K$858,$C$1:$C$858,C807,$D$1:$D$858,D807,$B$1:$B$858,"&lt;="&amp;B807)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Iniciales'!$B$2:$B$38,D808)+SUMIFS($K$1:$K$858,$C$1:$C$858,C808,$D$1:$D$858,D808,$B$1:$B$858,"&lt;="&amp;B808)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Iniciales'!$B$2:$B$38,D809)+SUMIFS($K$1:$K$858,$C$1:$C$858,C809,$D$1:$D$858,D809,$B$1:$B$858,"&lt;="&amp;B809)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Iniciales'!$B$2:$B$38,D810)+SUMIFS($K$1:$K$858,$C$1:$C$858,C810,$D$1:$D$858,D810,$B$1:$B$858,"&lt;="&amp;B810)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Iniciales'!$B$2:$B$38,D811)+SUMIFS($K$1:$K$858,$C$1:$C$858,C811,$D$1:$D$858,D811,$B$1:$B$858,"&lt;="&amp;B811)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Iniciales'!$B$2:$B$38,D812)+SUMIFS($K$1:$K$858,$C$1:$C$858,C812,$D$1:$D$858,D812,$B$1:$B$858,"&lt;="&amp;B812)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Iniciales'!$B$2:$B$38,D813)+SUMIFS($K$1:$K$858,$C$1:$C$858,C813,$D$1:$D$858,D813,$B$1:$B$858,"&lt;="&amp;B813)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Iniciales'!$B$2:$B$38,D814)+SUMIFS($K$1:$K$858,$C$1:$C$858,C814,$D$1:$D$858,D814,$B$1:$B$858,"&lt;="&amp;B814)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Iniciales'!$B$2:$B$38,D815)+SUMIFS($K$1:$K$858,$C$1:$C$858,C815,$D$1:$D$858,D815,$B$1:$B$858,"&lt;="&amp;B815)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Iniciales'!$B$2:$B$38,D816)+SUMIFS($K$1:$K$858,$C$1:$C$858,C816,$D$1:$D$858,D816,$B$1:$B$858,"&lt;="&amp;B816)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Iniciales'!$B$2:$B$38,D817)+SUMIFS($K$1:$K$858,$C$1:$C$858,C817,$D$1:$D$858,D817,$B$1:$B$858,"&lt;="&amp;B817)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Iniciales'!$B$2:$B$38,D818)+SUMIFS($K$1:$K$858,$C$1:$C$858,C818,$D$1:$D$858,D818,$B$1:$B$858,"&lt;="&amp;B818)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 t="shared" ref="K819:K823" si="15">IF(F819="Ingreso",J819,-J819)</f>
        <v>6974.11</v>
      </c>
      <c r="L819" s="15" t="s">
        <v>132</v>
      </c>
      <c r="M819" s="44">
        <f>SUMIFS('Saldos Iniciales'!$D$2:$D$38,'Saldos Iniciales'!$A$2:$A$38,C819,'Saldos Iniciales'!$B$2:$B$38,D819)+SUMIFS($K$1:$K$858,$C$1:$C$858,C819,$D$1:$D$858,D819,$B$1:$B$858,"&lt;="&amp;B819)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39">
        <v>46260</v>
      </c>
      <c r="C820" s="46" t="str">
        <f>_xlfn.XLOOKUP(tblMovimientos[[#This Row],[Cuenta Bancaria]],Listas!$B:$B,Listas!$A:$A,"")</f>
        <v>A&amp;M Imports</v>
      </c>
      <c r="D820" s="41" t="s">
        <v>100</v>
      </c>
      <c r="E820" s="46" t="str">
        <f>_xlfn.XLOOKUP(tblMovimientos[[#This Row],[Cuenta Bancaria]],Listas!$B:$B,Listas!$C:$C,"")</f>
        <v>Bank of America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17545.53</v>
      </c>
      <c r="K820" s="5">
        <f t="shared" si="15"/>
        <v>17545.53</v>
      </c>
      <c r="L820" s="15" t="s">
        <v>132</v>
      </c>
      <c r="M820" s="44">
        <f>SUMIFS('Saldos Iniciales'!$D$2:$D$38,'Saldos Iniciales'!$A$2:$A$38,C820,'Saldos Iniciales'!$B$2:$B$38,D820)+SUMIFS($K$1:$K$858,$C$1:$C$858,C820,$D$1:$D$858,D820,$B$1:$B$858,"&lt;="&amp;B820)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  <row r="821" spans="1:16" x14ac:dyDescent="0.3">
      <c r="B821" s="39">
        <v>46261</v>
      </c>
      <c r="C821" s="46" t="str">
        <f>_xlfn.XLOOKUP(tblMovimientos[[#This Row],[Cuenta Bancaria]],Listas!$B:$B,Listas!$A:$A,"")</f>
        <v>SSP Capital</v>
      </c>
      <c r="D821" s="41" t="s">
        <v>101</v>
      </c>
      <c r="E821" s="4" t="str">
        <f>_xlfn.XLOOKUP(tblMovimientos[[#This Row],[Cuenta Bancaria]],Listas!$B:$B,Listas!$C:$C,"")</f>
        <v>Bank of America</v>
      </c>
      <c r="F821" s="41" t="s">
        <v>10</v>
      </c>
      <c r="G821" s="41" t="s">
        <v>64</v>
      </c>
      <c r="H821" s="4" t="str">
        <f>IFERROR(_xlfn.XLOOKUP(G821,Listas!E:E,Listas!F:F,""),"")</f>
        <v>Operativo</v>
      </c>
      <c r="I821" s="46" t="str">
        <f>IFERROR(_xlfn.XLOOKUP(G821,Listas!E:E,Listas!G:G,""),"")</f>
        <v>Interno</v>
      </c>
      <c r="J821" s="43">
        <v>100</v>
      </c>
      <c r="K821" s="5">
        <f t="shared" si="15"/>
        <v>-100</v>
      </c>
      <c r="L821" s="15" t="s">
        <v>132</v>
      </c>
      <c r="M821" s="44">
        <f>SUMIFS('Saldos Iniciales'!$D$2:$D$38,'Saldos Iniciales'!$A$2:$A$38,C821,'Saldos Iniciales'!$B$2:$B$38,D821)+SUMIFS($K$1:$K$858,$C$1:$C$858,C821,$D$1:$D$858,D821,$B$1:$B$858,"&lt;="&amp;B821)</f>
        <v>25936.5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100</v>
      </c>
      <c r="P821" s="28">
        <f>IF(tblMovimientos[[#This Row],[Tipo de Movimiento]]="Ingreso",tblMovimientos[[#This Row],[Ingreso]],-tblMovimientos[[#This Row],[Egreso]])</f>
        <v>-100</v>
      </c>
    </row>
    <row r="822" spans="1:16" x14ac:dyDescent="0.3">
      <c r="B822" s="39">
        <v>46261</v>
      </c>
      <c r="C822" s="46" t="str">
        <f>_xlfn.XLOOKUP(tblMovimientos[[#This Row],[Cuenta Bancaria]],Listas!$B:$B,Listas!$A:$A,"")</f>
        <v>SSP Capital</v>
      </c>
      <c r="D822" s="41" t="s">
        <v>101</v>
      </c>
      <c r="E822" s="4" t="str">
        <f>_xlfn.XLOOKUP(tblMovimientos[[#This Row],[Cuenta Bancaria]],Listas!$B:$B,Listas!$C:$C,"")</f>
        <v>Bank of America</v>
      </c>
      <c r="F822" s="41" t="s">
        <v>10</v>
      </c>
      <c r="G822" s="41" t="s">
        <v>44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</v>
      </c>
      <c r="K822" s="5">
        <f t="shared" si="15"/>
        <v>-30</v>
      </c>
      <c r="L822" s="15" t="s">
        <v>132</v>
      </c>
      <c r="M822" s="44">
        <f>SUMIFS('Saldos Iniciales'!$D$2:$D$38,'Saldos Iniciales'!$A$2:$A$38,C822,'Saldos Iniciales'!$B$2:$B$38,D822)+SUMIFS($K$1:$K$858,$C$1:$C$858,C822,$D$1:$D$858,D822,$B$1:$B$858,"&lt;="&amp;B822)</f>
        <v>25936.5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</v>
      </c>
      <c r="P822" s="28">
        <f>IF(tblMovimientos[[#This Row],[Tipo de Movimiento]]="Ingreso",tblMovimientos[[#This Row],[Ingreso]],-tblMovimientos[[#This Row],[Egreso]])</f>
        <v>-30</v>
      </c>
    </row>
    <row r="823" spans="1:16" x14ac:dyDescent="0.3">
      <c r="B823" s="39">
        <v>46261</v>
      </c>
      <c r="C823" s="46" t="str">
        <f>_xlfn.XLOOKUP(tblMovimientos[[#This Row],[Cuenta Bancaria]],Listas!$B:$B,Listas!$A:$A,"")</f>
        <v>A&amp;M Imports</v>
      </c>
      <c r="D823" s="41" t="s">
        <v>100</v>
      </c>
      <c r="E823" s="4" t="str">
        <f>_xlfn.XLOOKUP(tblMovimientos[[#This Row],[Cuenta Bancaria]],Listas!$B:$B,Listas!$C:$C,"")</f>
        <v>Bank of America</v>
      </c>
      <c r="F823" s="41" t="s">
        <v>9</v>
      </c>
      <c r="G823" s="41" t="s">
        <v>80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185000</v>
      </c>
      <c r="K823" s="5">
        <f t="shared" si="15"/>
        <v>185000</v>
      </c>
      <c r="L823" s="15" t="s">
        <v>132</v>
      </c>
      <c r="M823" s="44">
        <f>SUMIFS('Saldos Iniciales'!$D$2:$D$38,'Saldos Iniciales'!$A$2:$A$38,C823,'Saldos Iniciales'!$B$2:$B$38,D823)+SUMIFS($K$1:$K$858,$C$1:$C$858,C823,$D$1:$D$858,D823,$B$1:$B$858,"&lt;="&amp;B823)</f>
        <v>1394654.47</v>
      </c>
      <c r="N823" s="65">
        <f>IF(tblMovimientos[[#This Row],[Tipo de Movimiento]]="Ingreso",tblMovimientos[[#This Row],[Monto (S/)]],"0")</f>
        <v>185000</v>
      </c>
      <c r="O823" s="65" t="str">
        <f>IF(tblMovimientos[[#This Row],[Tipo de Movimiento]]="Egreso",tblMovimientos[[#This Row],[Monto (S/)]],"0")</f>
        <v>0</v>
      </c>
      <c r="P823" s="28">
        <f>IF(tblMovimientos[[#This Row],[Tipo de Movimiento]]="Ingreso",tblMovimientos[[#This Row],[Ingreso]],-tblMovimientos[[#This Row],[Egreso]])</f>
        <v>185000</v>
      </c>
    </row>
    <row r="824" spans="1:16" x14ac:dyDescent="0.3">
      <c r="B824" s="39">
        <v>46261</v>
      </c>
      <c r="C824" s="46" t="str">
        <f>_xlfn.XLOOKUP(tblMovimientos[[#This Row],[Cuenta Bancaria]],Listas!$B:$B,Listas!$A:$A,"")</f>
        <v>A&amp;M Imports</v>
      </c>
      <c r="D824" s="41" t="s">
        <v>100</v>
      </c>
      <c r="E824" s="4" t="str">
        <f>_xlfn.XLOOKUP(tblMovimientos[[#This Row],[Cuenta Bancaria]],Listas!$B:$B,Listas!$C:$C,"")</f>
        <v>Bank of America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60000</v>
      </c>
      <c r="K824" s="5">
        <f t="shared" ref="K824:K857" si="16">IF(F824="Ingreso",J824,-J824)</f>
        <v>-60000</v>
      </c>
      <c r="L824" s="15" t="s">
        <v>132</v>
      </c>
      <c r="M824" s="44">
        <f>SUMIFS('Saldos Iniciales'!$D$2:$D$38,'Saldos Iniciales'!$A$2:$A$38,C824,'Saldos Iniciales'!$B$2:$B$38,D824)+SUMIFS($K$1:$K$858,$C$1:$C$858,C824,$D$1:$D$858,D824,$B$1:$B$858,"&lt;="&amp;B824)</f>
        <v>1394654.47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60000</v>
      </c>
      <c r="P824" s="28">
        <f>IF(tblMovimientos[[#This Row],[Tipo de Movimiento]]="Ingreso",tblMovimientos[[#This Row],[Ingreso]],-tblMovimientos[[#This Row],[Egreso]])</f>
        <v>-60000</v>
      </c>
    </row>
    <row r="825" spans="1:16" x14ac:dyDescent="0.3">
      <c r="B825" s="39">
        <v>46261</v>
      </c>
      <c r="C825" s="46" t="str">
        <f>_xlfn.XLOOKUP(tblMovimientos[[#This Row],[Cuenta Bancaria]],Listas!$B:$B,Listas!$A:$A,"")</f>
        <v>CFT Group</v>
      </c>
      <c r="D825" s="41" t="s">
        <v>94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116197.06</v>
      </c>
      <c r="K825" s="5">
        <f t="shared" si="16"/>
        <v>116197.06</v>
      </c>
      <c r="L825" s="15" t="s">
        <v>132</v>
      </c>
      <c r="M825" s="44">
        <f>SUMIFS('Saldos Iniciales'!$D$2:$D$38,'Saldos Iniciales'!$A$2:$A$38,C825,'Saldos Iniciales'!$B$2:$B$38,D825)+SUMIFS($K$1:$K$858,$C$1:$C$858,C825,$D$1:$D$858,D825,$B$1:$B$858,"&lt;="&amp;B825)</f>
        <v>364496.27999999997</v>
      </c>
      <c r="N825" s="65">
        <f>IF(tblMovimientos[[#This Row],[Tipo de Movimiento]]="Ingreso",tblMovimientos[[#This Row],[Monto (S/)]],"0")</f>
        <v>116197.06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116197.06</v>
      </c>
    </row>
    <row r="826" spans="1:16" x14ac:dyDescent="0.3">
      <c r="B826" s="39">
        <v>46261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10</v>
      </c>
      <c r="G826" s="41" t="s">
        <v>50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21000</v>
      </c>
      <c r="K826" s="5">
        <f t="shared" si="16"/>
        <v>-21000</v>
      </c>
      <c r="L826" s="15" t="s">
        <v>132</v>
      </c>
      <c r="M826" s="44">
        <f>SUMIFS('Saldos Iniciales'!$D$2:$D$38,'Saldos Iniciales'!$A$2:$A$38,C826,'Saldos Iniciales'!$B$2:$B$38,D826)+SUMIFS($K$1:$K$858,$C$1:$C$858,C826,$D$1:$D$858,D826,$B$1:$B$858,"&lt;="&amp;B826)</f>
        <v>364496.27999999997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21000</v>
      </c>
      <c r="P826" s="28">
        <f>IF(tblMovimientos[[#This Row],[Tipo de Movimiento]]="Ingreso",tblMovimientos[[#This Row],[Ingreso]],-tblMovimientos[[#This Row],[Egreso]])</f>
        <v>-21000</v>
      </c>
    </row>
    <row r="827" spans="1:16" x14ac:dyDescent="0.3">
      <c r="B827" s="39">
        <v>46261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10</v>
      </c>
      <c r="G827" s="41" t="s">
        <v>50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20000</v>
      </c>
      <c r="K827" s="5">
        <f t="shared" si="16"/>
        <v>-20000</v>
      </c>
      <c r="L827" s="15" t="s">
        <v>132</v>
      </c>
      <c r="M827" s="44">
        <f>SUMIFS('Saldos Iniciales'!$D$2:$D$38,'Saldos Iniciales'!$A$2:$A$38,C827,'Saldos Iniciales'!$B$2:$B$38,D827)+SUMIFS($K$1:$K$858,$C$1:$C$858,C827,$D$1:$D$858,D827,$B$1:$B$858,"&lt;="&amp;B827)</f>
        <v>364496.27999999997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20000</v>
      </c>
      <c r="P827" s="28">
        <f>IF(tblMovimientos[[#This Row],[Tipo de Movimiento]]="Ingreso",tblMovimientos[[#This Row],[Ingreso]],-tblMovimientos[[#This Row],[Egreso]])</f>
        <v>-20000</v>
      </c>
    </row>
    <row r="828" spans="1:16" x14ac:dyDescent="0.3">
      <c r="B828" s="39">
        <v>46261</v>
      </c>
      <c r="C828" s="46" t="str">
        <f>_xlfn.XLOOKUP(tblMovimientos[[#This Row],[Cuenta Bancaria]],Listas!$B:$B,Listas!$A:$A,"")</f>
        <v>Sacred Valley Capital</v>
      </c>
      <c r="D828" s="41" t="s">
        <v>114</v>
      </c>
      <c r="E828" s="4" t="str">
        <f>_xlfn.XLOOKUP(tblMovimientos[[#This Row],[Cuenta Bancaria]],Listas!$B:$B,Listas!$C:$C,"")</f>
        <v>Bank of America</v>
      </c>
      <c r="F828" s="41" t="s">
        <v>9</v>
      </c>
      <c r="G828" s="41" t="s">
        <v>85</v>
      </c>
      <c r="H828" s="4" t="str">
        <f>IFERROR(_xlfn.XLOOKUP(G828,Listas!E:E,Listas!F:F,""),"")</f>
        <v>Operativo</v>
      </c>
      <c r="I828" s="46" t="str">
        <f>IFERROR(_xlfn.XLOOKUP(G828,Listas!E:E,Listas!G:G,""),"")</f>
        <v>Interno</v>
      </c>
      <c r="J828" s="43">
        <v>100</v>
      </c>
      <c r="K828" s="5">
        <f t="shared" si="16"/>
        <v>100</v>
      </c>
      <c r="L828" s="15" t="s">
        <v>132</v>
      </c>
      <c r="M828" s="44">
        <f>SUMIFS('Saldos Iniciales'!$D$2:$D$38,'Saldos Iniciales'!$A$2:$A$38,C828,'Saldos Iniciales'!$B$2:$B$38,D828)+SUMIFS($K$1:$K$858,$C$1:$C$858,C828,$D$1:$D$858,D828,$B$1:$B$858,"&lt;="&amp;B828)</f>
        <v>124.45</v>
      </c>
      <c r="N828" s="65">
        <f>IF(tblMovimientos[[#This Row],[Tipo de Movimiento]]="Ingreso",tblMovimientos[[#This Row],[Monto (S/)]],"0")</f>
        <v>100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100</v>
      </c>
    </row>
    <row r="829" spans="1:16" x14ac:dyDescent="0.3">
      <c r="B829" s="39">
        <v>46261</v>
      </c>
      <c r="C829" s="46" t="str">
        <f>_xlfn.XLOOKUP(tblMovimientos[[#This Row],[Cuenta Bancaria]],Listas!$B:$B,Listas!$A:$A,"")</f>
        <v>2515 Overbrook</v>
      </c>
      <c r="D829" s="41" t="s">
        <v>121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71</v>
      </c>
      <c r="H829" s="4" t="str">
        <f>IFERROR(_xlfn.XLOOKUP(G829,Listas!E:E,Listas!F:F,""),"")</f>
        <v>Operativo</v>
      </c>
      <c r="I829" s="46" t="str">
        <f>IFERROR(_xlfn.XLOOKUP(G829,Listas!E:E,Listas!G:G,""),"")</f>
        <v>Interno</v>
      </c>
      <c r="J829" s="43">
        <v>20000</v>
      </c>
      <c r="K829" s="5">
        <f t="shared" si="16"/>
        <v>20000</v>
      </c>
      <c r="L829" s="15" t="s">
        <v>132</v>
      </c>
      <c r="M829" s="44">
        <f>SUMIFS('Saldos Iniciales'!$D$2:$D$38,'Saldos Iniciales'!$A$2:$A$38,C829,'Saldos Iniciales'!$B$2:$B$38,D829)+SUMIFS($K$1:$K$858,$C$1:$C$858,C829,$D$1:$D$858,D829,$B$1:$B$858,"&lt;="&amp;B829)</f>
        <v>33375.289999999964</v>
      </c>
      <c r="N829" s="65">
        <f>IF(tblMovimientos[[#This Row],[Tipo de Movimiento]]="Ingreso",tblMovimientos[[#This Row],[Monto (S/)]],"0")</f>
        <v>20000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20000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112 Florida Ave</v>
      </c>
      <c r="D830" s="41" t="s">
        <v>123</v>
      </c>
      <c r="E830" s="4" t="str">
        <f>_xlfn.XLOOKUP(tblMovimientos[[#This Row],[Cuenta Bancaria]],Listas!$B:$B,Listas!$C:$C,"")</f>
        <v>Bank of America</v>
      </c>
      <c r="F830" s="41" t="s">
        <v>9</v>
      </c>
      <c r="G830" s="41" t="s">
        <v>71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21000</v>
      </c>
      <c r="K830" s="5">
        <f t="shared" si="16"/>
        <v>21000</v>
      </c>
      <c r="L830" s="15" t="s">
        <v>132</v>
      </c>
      <c r="M830" s="44">
        <f>SUMIFS('Saldos Iniciales'!$D$2:$D$38,'Saldos Iniciales'!$A$2:$A$38,C830,'Saldos Iniciales'!$B$2:$B$38,D830)+SUMIFS($K$1:$K$858,$C$1:$C$858,C830,$D$1:$D$858,D830,$B$1:$B$858,"&lt;="&amp;B830)</f>
        <v>29724.170000000006</v>
      </c>
      <c r="N830" s="65">
        <f>IF(tblMovimientos[[#This Row],[Tipo de Movimiento]]="Ingreso",tblMovimientos[[#This Row],[Monto (S/)]],"0")</f>
        <v>21000</v>
      </c>
      <c r="O830" s="65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21000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CFT Group</v>
      </c>
      <c r="D831" s="41" t="s">
        <v>95</v>
      </c>
      <c r="E831" s="4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46</v>
      </c>
      <c r="H831" s="4" t="str">
        <f>IFERROR(_xlfn.XLOOKUP(G831,Listas!E:E,Listas!F:F,""),"")</f>
        <v>Financiamiento</v>
      </c>
      <c r="I831" s="46" t="str">
        <f>IFERROR(_xlfn.XLOOKUP(G831,Listas!E:E,Listas!G:G,""),"")</f>
        <v>Externo</v>
      </c>
      <c r="J831" s="43">
        <v>2366.67</v>
      </c>
      <c r="K831" s="5">
        <f t="shared" si="16"/>
        <v>-2366.67</v>
      </c>
      <c r="L831" s="15" t="s">
        <v>132</v>
      </c>
      <c r="M831" s="44">
        <f>SUMIFS('Saldos Iniciales'!$D$2:$D$38,'Saldos Iniciales'!$A$2:$A$38,C831,'Saldos Iniciales'!$B$2:$B$38,D831)+SUMIFS($K$1:$K$858,$C$1:$C$858,C831,$D$1:$D$858,D831,$B$1:$B$858,"&lt;="&amp;B831)</f>
        <v>208360.08000000077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2366.67</v>
      </c>
      <c r="P831" s="28">
        <f>IF(tblMovimientos[[#This Row],[Tipo de Movimiento]]="Ingreso",tblMovimientos[[#This Row],[Ingreso]],-tblMovimientos[[#This Row],[Egreso]])</f>
        <v>-2366.67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CFT Group</v>
      </c>
      <c r="D832" s="41" t="s">
        <v>95</v>
      </c>
      <c r="E832" s="4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46</v>
      </c>
      <c r="H832" s="4" t="str">
        <f>IFERROR(_xlfn.XLOOKUP(G832,Listas!E:E,Listas!F:F,""),"")</f>
        <v>Financiamiento</v>
      </c>
      <c r="I832" s="46" t="str">
        <f>IFERROR(_xlfn.XLOOKUP(G832,Listas!E:E,Listas!G:G,""),"")</f>
        <v>Externo</v>
      </c>
      <c r="J832" s="43">
        <v>10000</v>
      </c>
      <c r="K832" s="5">
        <f t="shared" si="16"/>
        <v>-10000</v>
      </c>
      <c r="L832" s="15" t="s">
        <v>132</v>
      </c>
      <c r="M832" s="44">
        <f>SUMIFS('Saldos Iniciales'!$D$2:$D$38,'Saldos Iniciales'!$A$2:$A$38,C832,'Saldos Iniciales'!$B$2:$B$38,D832)+SUMIFS($K$1:$K$858,$C$1:$C$858,C832,$D$1:$D$858,D832,$B$1:$B$858,"&lt;="&amp;B832)</f>
        <v>208360.08000000077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10000</v>
      </c>
      <c r="P832" s="28">
        <f>IF(tblMovimientos[[#This Row],[Tipo de Movimiento]]="Ingreso",tblMovimientos[[#This Row],[Ingreso]],-tblMovimientos[[#This Row],[Egreso]])</f>
        <v>-10000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CFT Group</v>
      </c>
      <c r="D833" s="41" t="s">
        <v>95</v>
      </c>
      <c r="E833" s="4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46</v>
      </c>
      <c r="H833" s="4" t="str">
        <f>IFERROR(_xlfn.XLOOKUP(G833,Listas!E:E,Listas!F:F,""),"")</f>
        <v>Financiamiento</v>
      </c>
      <c r="I833" s="46" t="str">
        <f>IFERROR(_xlfn.XLOOKUP(G833,Listas!E:E,Listas!G:G,""),"")</f>
        <v>Externo</v>
      </c>
      <c r="J833" s="43">
        <v>10833.33</v>
      </c>
      <c r="K833" s="5">
        <f t="shared" si="16"/>
        <v>-10833.33</v>
      </c>
      <c r="L833" s="15" t="s">
        <v>132</v>
      </c>
      <c r="M833" s="44">
        <f>SUMIFS('Saldos Iniciales'!$D$2:$D$38,'Saldos Iniciales'!$A$2:$A$38,C833,'Saldos Iniciales'!$B$2:$B$38,D833)+SUMIFS($K$1:$K$858,$C$1:$C$858,C833,$D$1:$D$858,D833,$B$1:$B$858,"&lt;="&amp;B833)</f>
        <v>208360.08000000077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10833.33</v>
      </c>
      <c r="P833" s="28">
        <f>IF(tblMovimientos[[#This Row],[Tipo de Movimiento]]="Ingreso",tblMovimientos[[#This Row],[Ingreso]],-tblMovimientos[[#This Row],[Egreso]])</f>
        <v>-10833.33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SSP Capital</v>
      </c>
      <c r="D834" s="41" t="s">
        <v>104</v>
      </c>
      <c r="E834" s="4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56</v>
      </c>
      <c r="H834" s="4" t="str">
        <f>IFERROR(_xlfn.XLOOKUP(G834,Listas!E:E,Listas!F:F,""),"")</f>
        <v>Inversion</v>
      </c>
      <c r="I834" s="46" t="str">
        <f>IFERROR(_xlfn.XLOOKUP(G834,Listas!E:E,Listas!G:G,""),"")</f>
        <v>Externo</v>
      </c>
      <c r="J834" s="43">
        <v>4375</v>
      </c>
      <c r="K834" s="5">
        <f t="shared" si="16"/>
        <v>-4375</v>
      </c>
      <c r="L834" s="15" t="s">
        <v>132</v>
      </c>
      <c r="M834" s="44">
        <f>SUMIFS('Saldos Iniciales'!$D$2:$D$38,'Saldos Iniciales'!$A$2:$A$38,C834,'Saldos Iniciales'!$B$2:$B$38,D834)+SUMIFS($K$1:$K$858,$C$1:$C$858,C834,$D$1:$D$858,D834,$B$1:$B$858,"&lt;="&amp;B834)</f>
        <v>873694.23999999929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4375</v>
      </c>
      <c r="P834" s="28">
        <f>IF(tblMovimientos[[#This Row],[Tipo de Movimiento]]="Ingreso",tblMovimientos[[#This Row],[Ingreso]],-tblMovimientos[[#This Row],[Egreso]])</f>
        <v>-4375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SSP Capital</v>
      </c>
      <c r="D835" s="41" t="s">
        <v>104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46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8666.67</v>
      </c>
      <c r="K835" s="5">
        <f t="shared" si="16"/>
        <v>-8666.67</v>
      </c>
      <c r="L835" s="15" t="s">
        <v>132</v>
      </c>
      <c r="M835" s="44">
        <f>SUMIFS('Saldos Iniciales'!$D$2:$D$38,'Saldos Iniciales'!$A$2:$A$38,C835,'Saldos Iniciales'!$B$2:$B$38,D835)+SUMIFS($K$1:$K$858,$C$1:$C$858,C835,$D$1:$D$858,D835,$B$1:$B$858,"&lt;="&amp;B835)</f>
        <v>873694.23999999929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8666.67</v>
      </c>
      <c r="P835" s="28">
        <f>IF(tblMovimientos[[#This Row],[Tipo de Movimiento]]="Ingreso",tblMovimientos[[#This Row],[Ingreso]],-tblMovimientos[[#This Row],[Egreso]])</f>
        <v>-8666.67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SSP Capital</v>
      </c>
      <c r="D836" s="41" t="s">
        <v>104</v>
      </c>
      <c r="E836" s="4" t="str">
        <f>_xlfn.XLOOKUP(tblMovimientos[[#This Row],[Cuenta Bancaria]],Listas!$B:$B,Listas!$C:$C,"")</f>
        <v xml:space="preserve">Amerant Bank 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10753.2</v>
      </c>
      <c r="K836" s="5">
        <f t="shared" si="16"/>
        <v>-10753.2</v>
      </c>
      <c r="L836" s="15" t="s">
        <v>132</v>
      </c>
      <c r="M836" s="44">
        <f>SUMIFS('Saldos Iniciales'!$D$2:$D$38,'Saldos Iniciales'!$A$2:$A$38,C836,'Saldos Iniciales'!$B$2:$B$38,D836)+SUMIFS($K$1:$K$858,$C$1:$C$858,C836,$D$1:$D$858,D836,$B$1:$B$858,"&lt;="&amp;B836)</f>
        <v>873694.23999999929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10753.2</v>
      </c>
      <c r="P836" s="28">
        <f>IF(tblMovimientos[[#This Row],[Tipo de Movimiento]]="Ingreso",tblMovimientos[[#This Row],[Ingreso]],-tblMovimientos[[#This Row],[Egreso]])</f>
        <v>-10753.2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Go Blue</v>
      </c>
      <c r="D837" s="41" t="s">
        <v>126</v>
      </c>
      <c r="E837" s="4" t="str">
        <f>_xlfn.XLOOKUP(tblMovimientos[[#This Row],[Cuenta Bancaria]],Listas!$B:$B,Listas!$C:$C,"")</f>
        <v xml:space="preserve">Amerant Bank </v>
      </c>
      <c r="F837" s="41" t="s">
        <v>10</v>
      </c>
      <c r="G837" s="41" t="s">
        <v>38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381.14</v>
      </c>
      <c r="K837" s="5">
        <f t="shared" si="16"/>
        <v>-381.14</v>
      </c>
      <c r="L837" s="15" t="s">
        <v>132</v>
      </c>
      <c r="M837" s="44">
        <f>SUMIFS('Saldos Iniciales'!$D$2:$D$38,'Saldos Iniciales'!$A$2:$A$38,C837,'Saldos Iniciales'!$B$2:$B$38,D837)+SUMIFS($K$1:$K$858,$C$1:$C$858,C837,$D$1:$D$858,D837,$B$1:$B$858,"&lt;="&amp;B837)</f>
        <v>7545.3499999999985</v>
      </c>
      <c r="N837" s="65" t="str">
        <f>IF(tblMovimientos[[#This Row],[Tipo de Movimiento]]="Ingreso",tblMovimientos[[#This Row],[Monto (S/)]],"0")</f>
        <v>0</v>
      </c>
      <c r="O837" s="65">
        <f>IF(tblMovimientos[[#This Row],[Tipo de Movimiento]]="Egreso",tblMovimientos[[#This Row],[Monto (S/)]],"0")</f>
        <v>381.14</v>
      </c>
      <c r="P837" s="28">
        <f>IF(tblMovimientos[[#This Row],[Tipo de Movimiento]]="Ingreso",tblMovimientos[[#This Row],[Ingreso]],-tblMovimientos[[#This Row],[Egreso]])</f>
        <v>-381.14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Go Blue</v>
      </c>
      <c r="D838" s="41" t="s">
        <v>126</v>
      </c>
      <c r="E838" s="4" t="str">
        <f>_xlfn.XLOOKUP(tblMovimientos[[#This Row],[Cuenta Bancaria]],Listas!$B:$B,Listas!$C:$C,"")</f>
        <v xml:space="preserve">Amerant Bank </v>
      </c>
      <c r="F838" s="41" t="s">
        <v>10</v>
      </c>
      <c r="G838" s="41" t="s">
        <v>44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15</v>
      </c>
      <c r="K838" s="5">
        <f t="shared" si="16"/>
        <v>-15</v>
      </c>
      <c r="L838" s="15" t="s">
        <v>132</v>
      </c>
      <c r="M838" s="44">
        <f>SUMIFS('Saldos Iniciales'!$D$2:$D$38,'Saldos Iniciales'!$A$2:$A$38,C838,'Saldos Iniciales'!$B$2:$B$38,D838)+SUMIFS($K$1:$K$858,$C$1:$C$858,C838,$D$1:$D$858,D838,$B$1:$B$858,"&lt;="&amp;B838)</f>
        <v>7545.3499999999985</v>
      </c>
      <c r="N838" s="65" t="str">
        <f>IF(tblMovimientos[[#This Row],[Tipo de Movimiento]]="Ingreso",tblMovimientos[[#This Row],[Monto (S/)]],"0")</f>
        <v>0</v>
      </c>
      <c r="O838" s="65">
        <f>IF(tblMovimientos[[#This Row],[Tipo de Movimiento]]="Egreso",tblMovimientos[[#This Row],[Monto (S/)]],"0")</f>
        <v>15</v>
      </c>
      <c r="P838" s="28">
        <f>IF(tblMovimientos[[#This Row],[Tipo de Movimiento]]="Ingreso",tblMovimientos[[#This Row],[Ingreso]],-tblMovimientos[[#This Row],[Egreso]])</f>
        <v>-15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Go Blue</v>
      </c>
      <c r="D839" s="41" t="s">
        <v>126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2500</v>
      </c>
      <c r="K839" s="5">
        <f t="shared" si="16"/>
        <v>-2500</v>
      </c>
      <c r="L839" s="15" t="s">
        <v>132</v>
      </c>
      <c r="M839" s="44">
        <f>SUMIFS('Saldos Iniciales'!$D$2:$D$38,'Saldos Iniciales'!$A$2:$A$38,C839,'Saldos Iniciales'!$B$2:$B$38,D839)+SUMIFS($K$1:$K$858,$C$1:$C$858,C839,$D$1:$D$858,D839,$B$1:$B$858,"&lt;="&amp;B839)</f>
        <v>7545.3499999999985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2500</v>
      </c>
      <c r="P839" s="28">
        <f>IF(tblMovimientos[[#This Row],[Tipo de Movimiento]]="Ingreso",tblMovimientos[[#This Row],[Ingreso]],-tblMovimientos[[#This Row],[Egreso]])</f>
        <v>-2500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Go Blue</v>
      </c>
      <c r="D840" s="41" t="s">
        <v>126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44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15</v>
      </c>
      <c r="K840" s="5">
        <f t="shared" si="16"/>
        <v>-15</v>
      </c>
      <c r="L840" s="15" t="s">
        <v>132</v>
      </c>
      <c r="M840" s="44">
        <f>SUMIFS('Saldos Iniciales'!$D$2:$D$38,'Saldos Iniciales'!$A$2:$A$38,C840,'Saldos Iniciales'!$B$2:$B$38,D840)+SUMIFS($K$1:$K$858,$C$1:$C$858,C840,$D$1:$D$858,D840,$B$1:$B$858,"&lt;="&amp;B840)</f>
        <v>7545.3499999999985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15</v>
      </c>
      <c r="P840" s="28">
        <f>IF(tblMovimientos[[#This Row],[Tipo de Movimiento]]="Ingreso",tblMovimientos[[#This Row],[Ingreso]],-tblMovimientos[[#This Row],[Egreso]])</f>
        <v>-15</v>
      </c>
    </row>
    <row r="841" spans="1:16" x14ac:dyDescent="0.3">
      <c r="B841" s="39">
        <v>46262</v>
      </c>
      <c r="C841" s="46" t="str">
        <f>_xlfn.XLOOKUP(tblMovimientos[[#This Row],[Cuenta Bancaria]],Listas!$B:$B,Listas!$A:$A,"")</f>
        <v>SSP Capital</v>
      </c>
      <c r="D841" s="41" t="s">
        <v>101</v>
      </c>
      <c r="E841" s="4" t="str">
        <f>_xlfn.XLOOKUP(tblMovimientos[[#This Row],[Cuenta Bancaria]],Listas!$B:$B,Listas!$C:$C,"")</f>
        <v>Bank of America</v>
      </c>
      <c r="F841" s="41" t="s">
        <v>10</v>
      </c>
      <c r="G841" s="41" t="s">
        <v>38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526.75</v>
      </c>
      <c r="K841" s="5">
        <f t="shared" si="16"/>
        <v>-526.75</v>
      </c>
      <c r="L841" s="15" t="s">
        <v>132</v>
      </c>
      <c r="M841" s="44">
        <f>SUMIFS('Saldos Iniciales'!$D$2:$D$38,'Saldos Iniciales'!$A$2:$A$38,C841,'Saldos Iniciales'!$B$2:$B$38,D841)+SUMIFS($K$1:$K$858,$C$1:$C$858,C841,$D$1:$D$858,D841,$B$1:$B$858,"&lt;="&amp;B841)</f>
        <v>25214.89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526.75</v>
      </c>
      <c r="P841" s="28">
        <f>IF(tblMovimientos[[#This Row],[Tipo de Movimiento]]="Ingreso",tblMovimientos[[#This Row],[Ingreso]],-tblMovimientos[[#This Row],[Egreso]])</f>
        <v>-526.75</v>
      </c>
    </row>
    <row r="842" spans="1:16" x14ac:dyDescent="0.3">
      <c r="B842" s="39">
        <v>46262</v>
      </c>
      <c r="C842" s="46" t="str">
        <f>_xlfn.XLOOKUP(tblMovimientos[[#This Row],[Cuenta Bancaria]],Listas!$B:$B,Listas!$A:$A,"")</f>
        <v>SSP Capital</v>
      </c>
      <c r="D842" s="41" t="s">
        <v>101</v>
      </c>
      <c r="E842" s="4" t="str">
        <f>_xlfn.XLOOKUP(tblMovimientos[[#This Row],[Cuenta Bancaria]],Listas!$B:$B,Listas!$C:$C,"")</f>
        <v>Bank of America</v>
      </c>
      <c r="F842" s="41" t="s">
        <v>10</v>
      </c>
      <c r="G842" s="41" t="s">
        <v>38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194.86</v>
      </c>
      <c r="K842" s="5">
        <f t="shared" si="16"/>
        <v>-194.86</v>
      </c>
      <c r="L842" s="15" t="s">
        <v>132</v>
      </c>
      <c r="M842" s="44">
        <f>SUMIFS('Saldos Iniciales'!$D$2:$D$38,'Saldos Iniciales'!$A$2:$A$38,C842,'Saldos Iniciales'!$B$2:$B$38,D842)+SUMIFS($K$1:$K$858,$C$1:$C$858,C842,$D$1:$D$858,D842,$B$1:$B$858,"&lt;="&amp;B842)</f>
        <v>25214.89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194.86</v>
      </c>
      <c r="P842" s="28">
        <f>IF(tblMovimientos[[#This Row],[Tipo de Movimiento]]="Ingreso",tblMovimientos[[#This Row],[Ingreso]],-tblMovimientos[[#This Row],[Egreso]])</f>
        <v>-194.86</v>
      </c>
    </row>
    <row r="843" spans="1:16" x14ac:dyDescent="0.3">
      <c r="B843" s="39">
        <v>46262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23791.439999999999</v>
      </c>
      <c r="K843" s="5">
        <f t="shared" si="16"/>
        <v>23791.439999999999</v>
      </c>
      <c r="L843" s="15" t="s">
        <v>132</v>
      </c>
      <c r="M843" s="44">
        <f>SUMIFS('Saldos Iniciales'!$D$2:$D$38,'Saldos Iniciales'!$A$2:$A$38,C843,'Saldos Iniciales'!$B$2:$B$38,D843)+SUMIFS($K$1:$K$858,$C$1:$C$858,C843,$D$1:$D$858,D843,$B$1:$B$858,"&lt;="&amp;B843)</f>
        <v>1418445.91</v>
      </c>
      <c r="N843" s="65">
        <f>IF(tblMovimientos[[#This Row],[Tipo de Movimiento]]="Ingreso",tblMovimientos[[#This Row],[Monto (S/)]],"0")</f>
        <v>23791.439999999999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23791.439999999999</v>
      </c>
    </row>
    <row r="844" spans="1:16" x14ac:dyDescent="0.3">
      <c r="B844" s="39">
        <v>46262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73364</v>
      </c>
      <c r="K844" s="5">
        <f t="shared" si="16"/>
        <v>73364</v>
      </c>
      <c r="L844" s="15" t="s">
        <v>132</v>
      </c>
      <c r="M844" s="44">
        <f>SUMIFS('Saldos Iniciales'!$D$2:$D$38,'Saldos Iniciales'!$A$2:$A$38,C844,'Saldos Iniciales'!$B$2:$B$38,D844)+SUMIFS($K$1:$K$858,$C$1:$C$858,C844,$D$1:$D$858,D844,$B$1:$B$858,"&lt;="&amp;B844)</f>
        <v>437860.27999999997</v>
      </c>
      <c r="N844" s="65">
        <f>IF(tblMovimientos[[#This Row],[Tipo de Movimiento]]="Ingreso",tblMovimientos[[#This Row],[Monto (S/)]],"0")</f>
        <v>73364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73364</v>
      </c>
    </row>
    <row r="845" spans="1:16" x14ac:dyDescent="0.3">
      <c r="B845" s="39">
        <v>46262</v>
      </c>
      <c r="C845" s="46" t="str">
        <f>_xlfn.XLOOKUP(tblMovimientos[[#This Row],[Cuenta Bancaria]],Listas!$B:$B,Listas!$A:$A,"")</f>
        <v>2515 Overbrook</v>
      </c>
      <c r="D845" s="41" t="s">
        <v>121</v>
      </c>
      <c r="E845" s="4" t="str">
        <f>_xlfn.XLOOKUP(tblMovimientos[[#This Row],[Cuenta Bancaria]],Listas!$B:$B,Listas!$C:$C,"")</f>
        <v>Bank of America</v>
      </c>
      <c r="F845" s="41" t="s">
        <v>10</v>
      </c>
      <c r="G845" s="41" t="s">
        <v>44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15</v>
      </c>
      <c r="K845" s="5">
        <f t="shared" si="16"/>
        <v>-15</v>
      </c>
      <c r="L845" s="15" t="s">
        <v>132</v>
      </c>
      <c r="M845" s="44">
        <f>SUMIFS('Saldos Iniciales'!$D$2:$D$38,'Saldos Iniciales'!$A$2:$A$38,C845,'Saldos Iniciales'!$B$2:$B$38,D845)+SUMIFS($K$1:$K$858,$C$1:$C$858,C845,$D$1:$D$858,D845,$B$1:$B$858,"&lt;="&amp;B845)</f>
        <v>33360.289999999964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15</v>
      </c>
      <c r="P845" s="28">
        <f>IF(tblMovimientos[[#This Row],[Tipo de Movimiento]]="Ingreso",tblMovimientos[[#This Row],[Ingreso]],-tblMovimientos[[#This Row],[Egreso]])</f>
        <v>-15</v>
      </c>
    </row>
    <row r="846" spans="1:16" x14ac:dyDescent="0.3">
      <c r="B846" s="39">
        <v>46262</v>
      </c>
      <c r="C846" s="46" t="str">
        <f>_xlfn.XLOOKUP(tblMovimientos[[#This Row],[Cuenta Bancaria]],Listas!$B:$B,Listas!$A:$A,"")</f>
        <v>112 Florida Ave</v>
      </c>
      <c r="D846" s="41" t="s">
        <v>123</v>
      </c>
      <c r="E846" s="4" t="str">
        <f>_xlfn.XLOOKUP(tblMovimientos[[#This Row],[Cuenta Bancaria]],Listas!$B:$B,Listas!$C:$C,"")</f>
        <v>Bank of America</v>
      </c>
      <c r="F846" s="41" t="s">
        <v>10</v>
      </c>
      <c r="G846" s="41" t="s">
        <v>44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15</v>
      </c>
      <c r="K846" s="5">
        <f t="shared" si="16"/>
        <v>-15</v>
      </c>
      <c r="L846" s="15" t="s">
        <v>132</v>
      </c>
      <c r="M846" s="44">
        <f>SUMIFS('Saldos Iniciales'!$D$2:$D$38,'Saldos Iniciales'!$A$2:$A$38,C846,'Saldos Iniciales'!$B$2:$B$38,D846)+SUMIFS($K$1:$K$858,$C$1:$C$858,C846,$D$1:$D$858,D846,$B$1:$B$858,"&lt;="&amp;B846)</f>
        <v>29709.170000000006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15</v>
      </c>
      <c r="P846" s="28">
        <f>IF(tblMovimientos[[#This Row],[Tipo de Movimiento]]="Ingreso",tblMovimientos[[#This Row],[Ingreso]],-tblMovimientos[[#This Row],[Egreso]])</f>
        <v>-15</v>
      </c>
    </row>
    <row r="847" spans="1:16" x14ac:dyDescent="0.3">
      <c r="B847" s="39">
        <v>46262</v>
      </c>
      <c r="C847" s="46" t="str">
        <f>_xlfn.XLOOKUP(tblMovimientos[[#This Row],[Cuenta Bancaria]],Listas!$B:$B,Listas!$A:$A,"")</f>
        <v>SSP Capital</v>
      </c>
      <c r="D847" s="41" t="s">
        <v>104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40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165475.92000000001</v>
      </c>
      <c r="K847" s="5">
        <f t="shared" si="16"/>
        <v>-165475.92000000001</v>
      </c>
      <c r="L847" s="15" t="s">
        <v>132</v>
      </c>
      <c r="M847" s="44">
        <f>SUMIFS('Saldos Iniciales'!$D$2:$D$38,'Saldos Iniciales'!$A$2:$A$38,C847,'Saldos Iniciales'!$B$2:$B$38,D847)+SUMIFS($K$1:$K$858,$C$1:$C$858,C847,$D$1:$D$858,D847,$B$1:$B$858,"&lt;="&amp;B847)</f>
        <v>708218.31999999925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165475.92000000001</v>
      </c>
      <c r="P847" s="28">
        <f>IF(tblMovimientos[[#This Row],[Tipo de Movimiento]]="Ingreso",tblMovimientos[[#This Row],[Ingreso]],-tblMovimientos[[#This Row],[Egreso]])</f>
        <v>-165475.92000000001</v>
      </c>
    </row>
    <row r="848" spans="1:16" x14ac:dyDescent="0.3">
      <c r="B848" s="39">
        <v>46262</v>
      </c>
      <c r="C848" s="46" t="str">
        <f>_xlfn.XLOOKUP(tblMovimientos[[#This Row],[Cuenta Bancaria]],Listas!$B:$B,Listas!$A:$A,"")</f>
        <v>M1B</v>
      </c>
      <c r="D848" s="41" t="s">
        <v>97</v>
      </c>
      <c r="E848" s="4" t="str">
        <f>_xlfn.XLOOKUP(tblMovimientos[[#This Row],[Cuenta Bancaria]],Listas!$B:$B,Listas!$C:$C,"")</f>
        <v xml:space="preserve">Amerant Bank </v>
      </c>
      <c r="F848" s="41" t="s">
        <v>9</v>
      </c>
      <c r="G848" s="41" t="s">
        <v>68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2637.13</v>
      </c>
      <c r="K848" s="5">
        <f t="shared" si="16"/>
        <v>2637.13</v>
      </c>
      <c r="L848" s="15" t="s">
        <v>132</v>
      </c>
      <c r="M848" s="44">
        <f>SUMIFS('Saldos Iniciales'!$D$2:$D$38,'Saldos Iniciales'!$A$2:$A$38,C848,'Saldos Iniciales'!$B$2:$B$38,D848)+SUMIFS($K$1:$K$858,$C$1:$C$858,C848,$D$1:$D$858,D848,$B$1:$B$858,"&lt;="&amp;B848)</f>
        <v>88280.230000000171</v>
      </c>
      <c r="N848" s="65">
        <f>IF(tblMovimientos[[#This Row],[Tipo de Movimiento]]="Ingreso",tblMovimientos[[#This Row],[Monto (S/)]],"0")</f>
        <v>2637.13</v>
      </c>
      <c r="O848" s="65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2637.13</v>
      </c>
    </row>
    <row r="849" spans="1:16" x14ac:dyDescent="0.3">
      <c r="B849" s="39">
        <v>46262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38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48.7</v>
      </c>
      <c r="K849" s="5">
        <f t="shared" si="16"/>
        <v>-48.7</v>
      </c>
      <c r="L849" s="15" t="s">
        <v>132</v>
      </c>
      <c r="M849" s="44">
        <f>SUMIFS('Saldos Iniciales'!$D$2:$D$38,'Saldos Iniciales'!$A$2:$A$38,C849,'Saldos Iniciales'!$B$2:$B$38,D849)+SUMIFS($K$1:$K$858,$C$1:$C$858,C849,$D$1:$D$858,D849,$B$1:$B$858,"&lt;="&amp;B849)</f>
        <v>7496.6499999999987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48.7</v>
      </c>
      <c r="P849" s="28">
        <f>IF(tblMovimientos[[#This Row],[Tipo de Movimiento]]="Ingreso",tblMovimientos[[#This Row],[Ingreso]],-tblMovimientos[[#This Row],[Egreso]])</f>
        <v>-48.7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CFT Group</v>
      </c>
      <c r="D850" s="41" t="s">
        <v>95</v>
      </c>
      <c r="E850" s="46" t="str">
        <f>_xlfn.XLOOKUP(tblMovimientos[[#This Row],[Cuenta Bancaria]],Listas!$B:$B,Listas!$C:$C,"")</f>
        <v xml:space="preserve">Amerant Bank </v>
      </c>
      <c r="F850" s="41" t="s">
        <v>9</v>
      </c>
      <c r="G850" s="41" t="s">
        <v>76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91973.24</v>
      </c>
      <c r="K850" s="5">
        <f t="shared" si="16"/>
        <v>91973.24</v>
      </c>
      <c r="L850" s="15" t="s">
        <v>132</v>
      </c>
      <c r="M850" s="44">
        <f>SUMIFS('Saldos Iniciales'!$D$2:$D$38,'Saldos Iniciales'!$A$2:$A$38,C850,'Saldos Iniciales'!$B$2:$B$38,D850)+SUMIFS($K$1:$K$858,$C$1:$C$858,C850,$D$1:$D$858,D850,$B$1:$B$858,"&lt;="&amp;B850)</f>
        <v>300333.32000000076</v>
      </c>
      <c r="N850" s="65">
        <f>IF(tblMovimientos[[#This Row],[Tipo de Movimiento]]="Ingreso",tblMovimientos[[#This Row],[Monto (S/)]],"0")</f>
        <v>91973.24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91973.24</v>
      </c>
    </row>
    <row r="851" spans="1:16" x14ac:dyDescent="0.3">
      <c r="B851" s="39">
        <v>46265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9</v>
      </c>
      <c r="G851" s="41" t="s">
        <v>68</v>
      </c>
      <c r="H851" s="76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1452.33</v>
      </c>
      <c r="K851" s="5">
        <f t="shared" si="16"/>
        <v>1452.33</v>
      </c>
      <c r="L851" s="15" t="s">
        <v>132</v>
      </c>
      <c r="M851" s="44">
        <f>SUMIFS('Saldos Iniciales'!$D$2:$D$38,'Saldos Iniciales'!$A$2:$A$38,C851,'Saldos Iniciales'!$B$2:$B$38,D851)+SUMIFS($K$1:$K$858,$C$1:$C$858,C851,$D$1:$D$858,D851,$B$1:$B$858,"&lt;="&amp;B851)</f>
        <v>1419898.24</v>
      </c>
      <c r="N851" s="65">
        <f>IF(tblMovimientos[[#This Row],[Tipo de Movimiento]]="Ingreso",tblMovimientos[[#This Row],[Monto (S/)]],"0")</f>
        <v>1452.33</v>
      </c>
      <c r="O851" s="65" t="str">
        <f>IF(tblMovimientos[[#This Row],[Tipo de Movimiento]]="Egreso",tblMovimientos[[#This Row],[Monto (S/)]],"0")</f>
        <v>0</v>
      </c>
      <c r="P851" s="28">
        <f>IF(tblMovimientos[[#This Row],[Tipo de Movimiento]]="Ingreso",tblMovimientos[[#This Row],[Ingreso]],-tblMovimientos[[#This Row],[Egreso]])</f>
        <v>1452.33</v>
      </c>
    </row>
    <row r="852" spans="1:16" x14ac:dyDescent="0.3">
      <c r="B852" s="39">
        <v>46265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10</v>
      </c>
      <c r="G852" s="41" t="s">
        <v>64</v>
      </c>
      <c r="H852" s="76" t="str">
        <f>IFERROR(_xlfn.XLOOKUP(G852,Listas!E:E,Listas!F:F,""),"")</f>
        <v>Operativo</v>
      </c>
      <c r="I852" s="46" t="str">
        <f>IFERROR(_xlfn.XLOOKUP(G852,Listas!E:E,Listas!G:G,""),"")</f>
        <v>Interno</v>
      </c>
      <c r="J852" s="43">
        <v>2977.95</v>
      </c>
      <c r="K852" s="5">
        <f t="shared" si="16"/>
        <v>-2977.95</v>
      </c>
      <c r="L852" s="15" t="s">
        <v>132</v>
      </c>
      <c r="M852" s="44">
        <f>SUMIFS('Saldos Iniciales'!$D$2:$D$38,'Saldos Iniciales'!$A$2:$A$38,C852,'Saldos Iniciales'!$B$2:$B$38,D852)+SUMIFS($K$1:$K$858,$C$1:$C$858,C852,$D$1:$D$858,D852,$B$1:$B$858,"&lt;="&amp;B852)</f>
        <v>434882.32999999996</v>
      </c>
      <c r="N852" s="65" t="str">
        <f>IF(tblMovimientos[[#This Row],[Tipo de Movimiento]]="Ingreso",tblMovimientos[[#This Row],[Monto (S/)]],"0")</f>
        <v>0</v>
      </c>
      <c r="O852" s="65">
        <f>IF(tblMovimientos[[#This Row],[Tipo de Movimiento]]="Egreso",tblMovimientos[[#This Row],[Monto (S/)]],"0")</f>
        <v>2977.95</v>
      </c>
      <c r="P852" s="28">
        <f>IF(tblMovimientos[[#This Row],[Tipo de Movimiento]]="Ingreso",tblMovimientos[[#This Row],[Ingreso]],-tblMovimientos[[#This Row],[Egreso]])</f>
        <v>-2977.95</v>
      </c>
    </row>
    <row r="853" spans="1:16" x14ac:dyDescent="0.3">
      <c r="B853" s="39">
        <v>46265</v>
      </c>
      <c r="C853" s="46" t="str">
        <f>_xlfn.XLOOKUP(tblMovimientos[[#This Row],[Cuenta Bancaria]],Listas!$B:$B,Listas!$A:$A,"")</f>
        <v>2515 Overbrook</v>
      </c>
      <c r="D853" s="41" t="s">
        <v>121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38</v>
      </c>
      <c r="H853" s="76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100</v>
      </c>
      <c r="K853" s="5">
        <f t="shared" si="16"/>
        <v>-100</v>
      </c>
      <c r="L853" s="15" t="s">
        <v>132</v>
      </c>
      <c r="M853" s="44">
        <f>SUMIFS('Saldos Iniciales'!$D$2:$D$38,'Saldos Iniciales'!$A$2:$A$38,C853,'Saldos Iniciales'!$B$2:$B$38,D853)+SUMIFS($K$1:$K$858,$C$1:$C$858,C853,$D$1:$D$858,D853,$B$1:$B$858,"&lt;="&amp;B853)</f>
        <v>33260.289999999964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100</v>
      </c>
      <c r="P853" s="28">
        <f>IF(tblMovimientos[[#This Row],[Tipo de Movimiento]]="Ingreso",tblMovimientos[[#This Row],[Ingreso]],-tblMovimientos[[#This Row],[Egreso]])</f>
        <v>-100</v>
      </c>
    </row>
    <row r="854" spans="1:16" x14ac:dyDescent="0.3">
      <c r="B854" s="39">
        <v>46265</v>
      </c>
      <c r="C854" s="46" t="str">
        <f>_xlfn.XLOOKUP(tblMovimientos[[#This Row],[Cuenta Bancaria]],Listas!$B:$B,Listas!$A:$A,"")</f>
        <v>112 Florida Ave</v>
      </c>
      <c r="D854" s="41" t="s">
        <v>123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38</v>
      </c>
      <c r="H854" s="76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150</v>
      </c>
      <c r="K854" s="5">
        <f t="shared" si="16"/>
        <v>-150</v>
      </c>
      <c r="L854" s="15" t="s">
        <v>132</v>
      </c>
      <c r="M854" s="44">
        <f>SUMIFS('Saldos Iniciales'!$D$2:$D$38,'Saldos Iniciales'!$A$2:$A$38,C854,'Saldos Iniciales'!$B$2:$B$38,D854)+SUMIFS($K$1:$K$858,$C$1:$C$858,C854,$D$1:$D$858,D854,$B$1:$B$858,"&lt;="&amp;B854)</f>
        <v>26559.170000000006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150</v>
      </c>
      <c r="P854" s="28">
        <f>IF(tblMovimientos[[#This Row],[Tipo de Movimiento]]="Ingreso",tblMovimientos[[#This Row],[Ingreso]],-tblMovimientos[[#This Row],[Egreso]])</f>
        <v>-150</v>
      </c>
    </row>
    <row r="855" spans="1:16" x14ac:dyDescent="0.3">
      <c r="B855" s="39">
        <v>46265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38</v>
      </c>
      <c r="H855" s="76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3000</v>
      </c>
      <c r="K855" s="5">
        <f t="shared" si="16"/>
        <v>-3000</v>
      </c>
      <c r="L855" s="15" t="s">
        <v>132</v>
      </c>
      <c r="M855" s="44">
        <f>SUMIFS('Saldos Iniciales'!$D$2:$D$38,'Saldos Iniciales'!$A$2:$A$38,C855,'Saldos Iniciales'!$B$2:$B$38,D855)+SUMIFS($K$1:$K$858,$C$1:$C$858,C855,$D$1:$D$858,D855,$B$1:$B$858,"&lt;="&amp;B855)</f>
        <v>26559.170000000006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3000</v>
      </c>
      <c r="P855" s="28">
        <f>IF(tblMovimientos[[#This Row],[Tipo de Movimiento]]="Ingreso",tblMovimientos[[#This Row],[Ingreso]],-tblMovimientos[[#This Row],[Egreso]])</f>
        <v>-3000</v>
      </c>
    </row>
    <row r="856" spans="1:16" x14ac:dyDescent="0.3">
      <c r="B856" s="39">
        <v>46265</v>
      </c>
      <c r="C856" s="46" t="str">
        <f>_xlfn.XLOOKUP(tblMovimientos[[#This Row],[Cuenta Bancaria]],Listas!$B:$B,Listas!$A:$A,"")</f>
        <v>3628 Thomas Ave</v>
      </c>
      <c r="D856" s="41" t="s">
        <v>124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81</v>
      </c>
      <c r="H856" s="76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4400</v>
      </c>
      <c r="K856" s="5">
        <f t="shared" si="16"/>
        <v>4400</v>
      </c>
      <c r="L856" s="15" t="s">
        <v>132</v>
      </c>
      <c r="M856" s="44">
        <f>SUMIFS('Saldos Iniciales'!$D$2:$D$38,'Saldos Iniciales'!$A$2:$A$38,C856,'Saldos Iniciales'!$B$2:$B$38,D856)+SUMIFS($K$1:$K$858,$C$1:$C$858,C856,$D$1:$D$858,D856,$B$1:$B$858,"&lt;="&amp;B856)</f>
        <v>23736.039999999997</v>
      </c>
      <c r="N856" s="65">
        <f>IF(tblMovimientos[[#This Row],[Tipo de Movimiento]]="Ingreso",tblMovimientos[[#This Row],[Monto (S/)]],"0")</f>
        <v>4400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4400</v>
      </c>
    </row>
    <row r="857" spans="1:16" x14ac:dyDescent="0.3">
      <c r="B857" s="39">
        <v>46265</v>
      </c>
      <c r="C857" s="46" t="str">
        <f>_xlfn.XLOOKUP(tblMovimientos[[#This Row],[Cuenta Bancaria]],Listas!$B:$B,Listas!$A:$A,"")</f>
        <v>SSP Capital</v>
      </c>
      <c r="D857" s="41" t="s">
        <v>106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84</v>
      </c>
      <c r="H857" s="76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2434.02</v>
      </c>
      <c r="K857" s="5">
        <f t="shared" si="16"/>
        <v>2434.02</v>
      </c>
      <c r="L857" s="15" t="s">
        <v>132</v>
      </c>
      <c r="M857" s="44">
        <f>SUMIFS('Saldos Iniciales'!$D$2:$D$38,'Saldos Iniciales'!$A$2:$A$38,C857,'Saldos Iniciales'!$B$2:$B$38,D857)+SUMIFS($K$1:$K$858,$C$1:$C$858,C857,$D$1:$D$858,D857,$B$1:$B$858,"&lt;="&amp;B857)</f>
        <v>811541.34</v>
      </c>
      <c r="N857" s="65">
        <f>IF(tblMovimientos[[#This Row],[Tipo de Movimiento]]="Ingreso",tblMovimientos[[#This Row],[Monto (S/)]],"0")</f>
        <v>2434.02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2434.02</v>
      </c>
    </row>
    <row r="858" spans="1:16" x14ac:dyDescent="0.3">
      <c r="E858" s="4">
        <f>_xlfn.XLOOKUP(tblMovimientos[[#This Row],[Cuenta Bancaria]],Listas!$B:$B,Listas!$C:$C,"")</f>
        <v>0</v>
      </c>
      <c r="H858" s="76">
        <f>IFERROR(_xlfn.XLOOKUP(G858,Listas!E:E,Listas!F:F,""),"")</f>
        <v>0</v>
      </c>
      <c r="I858" s="46">
        <f>IFERROR(_xlfn.XLOOKUP(G858,Listas!E:E,Listas!G:G,""),"")</f>
        <v>0</v>
      </c>
      <c r="N858" s="77" t="str">
        <f>IF(tblMovimientos[[#This Row],[Tipo de Movimiento]]="Ingreso",tblMovimientos[[#This Row],[Monto (S/)]],"0")</f>
        <v>0</v>
      </c>
      <c r="O858" s="77" t="str">
        <f>IF(tblMovimientos[[#This Row],[Tipo de Movimiento]]="Egreso",tblMovimientos[[#This Row],[Monto (S/)]],"0")</f>
        <v>0</v>
      </c>
      <c r="P858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C2:C858</xm:sqref>
        </x14:dataValidation>
        <x14:dataValidation type="list" allowBlank="1" xr:uid="{DC8BA3D2-F104-4639-8653-545CA2BBE131}">
          <x14:formula1>
            <xm:f>Listas!$E$2:$E$52</xm:f>
          </x14:formula1>
          <xm:sqref>G2:G858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1751122.1800000009</v>
      </c>
      <c r="E2" s="37">
        <f>C2+D2</f>
        <v>2167800.4400000009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882265.51000000734</v>
      </c>
      <c r="E3" s="37">
        <f t="shared" ref="E3:E9" si="0">C3+D3</f>
        <v>2049567.040000007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Q4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SUMIFS(Movimientos!$J$1:$J$858,Movimientos!$C$1:$C$858,$B2,Movimientos!$D$1:$D$858,$C2,Movimientos!$L$1:$L$858,A$3,Movimientos!$F$1:$F$858,"Ingreso")</f>
        <v>490932.83999999997</v>
      </c>
      <c r="K2" s="44">
        <f>SUMIFS(Movimientos!$J$1:$J$858,Movimientos!$C$1:$C$858,$B2,Movimientos!$D$1:$D$858,$C2,Movimientos!$L$1:$L$858,A$3,Movimientos!$F$1:$F$858,"Egreso")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SUMIFS(Movimientos!$J$1:$J$858,Movimientos!$C$1:$C$858,$B2,Movimientos!$D$1:$D$858,$C2,Movimientos!$L$1:$L$858,A$4,Movimientos!$F$1:$F$858,"Ingreso")</f>
        <v>215870.71999999997</v>
      </c>
      <c r="P2" s="44">
        <f>SUMIFS(Movimientos!$J$1:$J$858,Movimientos!$C$1:$C$858,$B2,Movimientos!$D$1:$D$858,$C2,Movimientos!$L$1:$L$858,A$4,Movimientos!$F$1:$F$858,"Egreso")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SUMIFS(Movimientos!$J$1:$J$858,Movimientos!$C$1:$C$858,$B2,Movimientos!$D$1:$D$858,$C2,Movimientos!$L$1:$L$858,A$5,Movimientos!$F$1:$F$858,"Ingreso")</f>
        <v>555995.58000000007</v>
      </c>
      <c r="U2" s="44">
        <f>SUMIFS(Movimientos!$J$1:$J$858,Movimientos!$C$1:$C$858,$B2,Movimientos!$D$1:$D$858,$C2,Movimientos!$L$1:$L$858,A$5,Movimientos!$F$1:$F$858,"Egreso")</f>
        <v>353977.95</v>
      </c>
      <c r="V2" s="7">
        <f>+T2-U2</f>
        <v>202017.63000000006</v>
      </c>
      <c r="W2" s="12">
        <f>S2+T2-U2</f>
        <v>434882.33000000025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SUMIFS(Movimientos!$J$1:$J$858,Movimientos!$C$1:$C$858,$B3,Movimientos!$D$1:$D$858,$C3,Movimientos!$L$1:$L$858,A$3,Movimientos!$F$1:$F$858,"Ingreso")</f>
        <v>8947382.8399999999</v>
      </c>
      <c r="K3" s="44">
        <f>SUMIFS(Movimientos!$J$1:$J$858,Movimientos!$C$1:$C$858,$B3,Movimientos!$D$1:$D$858,$C3,Movimientos!$L$1:$L$858,A$3,Movimientos!$F$1:$F$858,"Egreso")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SUMIFS(Movimientos!$J$1:$J$858,Movimientos!$C$1:$C$858,$B3,Movimientos!$D$1:$D$858,$C3,Movimientos!$L$1:$L$858,A$4,Movimientos!$F$1:$F$858,"Ingreso")</f>
        <v>250000</v>
      </c>
      <c r="P3" s="44">
        <f>SUMIFS(Movimientos!$J$1:$J$858,Movimientos!$C$1:$C$858,$B3,Movimientos!$D$1:$D$858,$C3,Movimientos!$L$1:$L$858,A$4,Movimientos!$F$1:$F$858,"Egreso")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SUMIFS(Movimientos!$J$1:$J$858,Movimientos!$C$1:$C$858,$B3,Movimientos!$D$1:$D$858,$C3,Movimientos!$L$1:$L$858,A$5,Movimientos!$F$1:$F$858,"Ingreso")</f>
        <v>910061.42999999993</v>
      </c>
      <c r="U3" s="44">
        <f>SUMIFS(Movimientos!$J$1:$J$858,Movimientos!$C$1:$C$858,$B3,Movimientos!$D$1:$D$858,$C3,Movimientos!$L$1:$L$858,A$5,Movimientos!$F$1:$F$858,"Egreso")</f>
        <v>2839639.46</v>
      </c>
      <c r="V3" s="7">
        <f t="shared" ref="V3:V35" si="2">+T3-U3</f>
        <v>-1929578.03</v>
      </c>
      <c r="W3" s="12">
        <f>S3+T3-U3</f>
        <v>300333.31999999937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SUMIFS(Movimientos!$J$1:$J$858,Movimientos!$C$1:$C$858,$B4,Movimientos!$D$1:$D$858,$C4,Movimientos!$L$1:$L$858,A$3,Movimientos!$F$1:$F$858,"Ingreso")</f>
        <v>0</v>
      </c>
      <c r="K4" s="44">
        <f>SUMIFS(Movimientos!$J$1:$J$858,Movimientos!$C$1:$C$858,$B4,Movimientos!$D$1:$D$858,$C4,Movimientos!$L$1:$L$858,A$3,Movimientos!$F$1:$F$858,"Egreso")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SUMIFS(Movimientos!$J$1:$J$858,Movimientos!$C$1:$C$858,$B4,Movimientos!$D$1:$D$858,$C4,Movimientos!$L$1:$L$858,A$4,Movimientos!$F$1:$F$858,"Ingreso")</f>
        <v>0</v>
      </c>
      <c r="P4" s="44">
        <f>SUMIFS(Movimientos!$J$1:$J$858,Movimientos!$C$1:$C$858,$B4,Movimientos!$D$1:$D$858,$C4,Movimientos!$L$1:$L$858,A$4,Movimientos!$F$1:$F$858,"Egreso")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SUMIFS(Movimientos!$J$1:$J$858,Movimientos!$C$1:$C$858,$B4,Movimientos!$D$1:$D$858,$C4,Movimientos!$L$1:$L$858,A$5,Movimientos!$F$1:$F$858,"Ingreso")</f>
        <v>0</v>
      </c>
      <c r="U4" s="44">
        <f>SUMIFS(Movimientos!$J$1:$J$858,Movimientos!$C$1:$C$858,$B4,Movimientos!$D$1:$D$858,$C4,Movimientos!$L$1:$L$858,A$5,Movimientos!$F$1:$F$858,"Egreso")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SUMIFS(Movimientos!$J$1:$J$858,Movimientos!$C$1:$C$858,$B5,Movimientos!$D$1:$D$858,$C5,Movimientos!$L$1:$L$858,A$3,Movimientos!$F$1:$F$858,"Ingreso")</f>
        <v>16742.400000000001</v>
      </c>
      <c r="K5" s="44">
        <f>SUMIFS(Movimientos!$J$1:$J$858,Movimientos!$C$1:$C$858,$B5,Movimientos!$D$1:$D$858,$C5,Movimientos!$L$1:$L$858,A$3,Movimientos!$F$1:$F$858,"Egreso")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SUMIFS(Movimientos!$J$1:$J$858,Movimientos!$C$1:$C$858,$B5,Movimientos!$D$1:$D$858,$C5,Movimientos!$L$1:$L$858,A$4,Movimientos!$F$1:$F$858,"Ingreso")</f>
        <v>10053.57</v>
      </c>
      <c r="P5" s="44">
        <f>SUMIFS(Movimientos!$J$1:$J$858,Movimientos!$C$1:$C$858,$B5,Movimientos!$D$1:$D$858,$C5,Movimientos!$L$1:$L$858,A$4,Movimientos!$F$1:$F$858,"Egreso")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SUMIFS(Movimientos!$J$1:$J$858,Movimientos!$C$1:$C$858,$B5,Movimientos!$D$1:$D$858,$C5,Movimientos!$L$1:$L$858,A$5,Movimientos!$F$1:$F$858,"Ingreso")</f>
        <v>10068.98</v>
      </c>
      <c r="U5" s="44">
        <f>SUMIFS(Movimientos!$J$1:$J$858,Movimientos!$C$1:$C$858,$B5,Movimientos!$D$1:$D$858,$C5,Movimientos!$L$1:$L$858,A$5,Movimientos!$F$1:$F$858,"Egreso")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SUMIFS(Movimientos!$J$1:$J$858,Movimientos!$C$1:$C$858,$B6,Movimientos!$D$1:$D$858,$C6,Movimientos!$L$1:$L$858,A$3,Movimientos!$F$1:$F$858,"Ingreso")</f>
        <v>0</v>
      </c>
      <c r="K6" s="44">
        <f>SUMIFS(Movimientos!$J$1:$J$858,Movimientos!$C$1:$C$858,$B6,Movimientos!$D$1:$D$858,$C6,Movimientos!$L$1:$L$858,A$3,Movimientos!$F$1:$F$858,"Egreso")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SUMIFS(Movimientos!$J$1:$J$858,Movimientos!$C$1:$C$858,$B6,Movimientos!$D$1:$D$858,$C6,Movimientos!$L$1:$L$858,A$4,Movimientos!$F$1:$F$858,"Ingreso")</f>
        <v>0</v>
      </c>
      <c r="P6" s="44">
        <f>SUMIFS(Movimientos!$J$1:$J$858,Movimientos!$C$1:$C$858,$B6,Movimientos!$D$1:$D$858,$C6,Movimientos!$L$1:$L$858,A$4,Movimientos!$F$1:$F$858,"Egreso")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SUMIFS(Movimientos!$J$1:$J$858,Movimientos!$C$1:$C$858,$B6,Movimientos!$D$1:$D$858,$C6,Movimientos!$L$1:$L$858,A$5,Movimientos!$F$1:$F$858,"Ingreso")</f>
        <v>0</v>
      </c>
      <c r="U6" s="44">
        <f>SUMIFS(Movimientos!$J$1:$J$858,Movimientos!$C$1:$C$858,$B6,Movimientos!$D$1:$D$858,$C6,Movimientos!$L$1:$L$858,A$5,Movimientos!$F$1:$F$858,"Egreso")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SUMIFS(Movimientos!$J$1:$J$858,Movimientos!$C$1:$C$858,$B7,Movimientos!$D$1:$D$858,$C7,Movimientos!$L$1:$L$858,A$3,Movimientos!$F$1:$F$858,"Ingreso")</f>
        <v>0</v>
      </c>
      <c r="K7" s="44">
        <f>SUMIFS(Movimientos!$J$1:$J$858,Movimientos!$C$1:$C$858,$B7,Movimientos!$D$1:$D$858,$C7,Movimientos!$L$1:$L$858,A$3,Movimientos!$F$1:$F$858,"Egreso")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SUMIFS(Movimientos!$J$1:$J$858,Movimientos!$C$1:$C$858,$B7,Movimientos!$D$1:$D$858,$C7,Movimientos!$L$1:$L$858,A$4,Movimientos!$F$1:$F$858,"Ingreso")</f>
        <v>0</v>
      </c>
      <c r="P7" s="44">
        <f>SUMIFS(Movimientos!$J$1:$J$858,Movimientos!$C$1:$C$858,$B7,Movimientos!$D$1:$D$858,$C7,Movimientos!$L$1:$L$858,A$4,Movimientos!$F$1:$F$858,"Egreso")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SUMIFS(Movimientos!$J$1:$J$858,Movimientos!$C$1:$C$858,$B7,Movimientos!$D$1:$D$858,$C7,Movimientos!$L$1:$L$858,A$5,Movimientos!$F$1:$F$858,"Ingreso")</f>
        <v>0</v>
      </c>
      <c r="U7" s="44">
        <f>SUMIFS(Movimientos!$J$1:$J$858,Movimientos!$C$1:$C$858,$B7,Movimientos!$D$1:$D$858,$C7,Movimientos!$L$1:$L$858,A$5,Movimientos!$F$1:$F$858,"Egreso")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SUMIFS(Movimientos!$J$1:$J$858,Movimientos!$C$1:$C$858,$B8,Movimientos!$D$1:$D$858,$C8,Movimientos!$L$1:$L$858,A$3,Movimientos!$F$1:$F$858,"Ingreso")</f>
        <v>440602.39</v>
      </c>
      <c r="K8" s="44">
        <f>SUMIFS(Movimientos!$J$1:$J$858,Movimientos!$C$1:$C$858,$B8,Movimientos!$D$1:$D$858,$C8,Movimientos!$L$1:$L$858,A$3,Movimientos!$F$1:$F$858,"Egreso")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SUMIFS(Movimientos!$J$1:$J$858,Movimientos!$C$1:$C$858,$B8,Movimientos!$D$1:$D$858,$C8,Movimientos!$L$1:$L$858,A$4,Movimientos!$F$1:$F$858,"Ingreso")</f>
        <v>1306812.04</v>
      </c>
      <c r="P8" s="44">
        <f>SUMIFS(Movimientos!$J$1:$J$858,Movimientos!$C$1:$C$858,$B8,Movimientos!$D$1:$D$858,$C8,Movimientos!$L$1:$L$858,A$4,Movimientos!$F$1:$F$858,"Egreso")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SUMIFS(Movimientos!$J$1:$J$858,Movimientos!$C$1:$C$858,$B8,Movimientos!$D$1:$D$858,$C8,Movimientos!$L$1:$L$858,A$5,Movimientos!$F$1:$F$858,"Ingreso")</f>
        <v>250866.9</v>
      </c>
      <c r="U8" s="44">
        <f>SUMIFS(Movimientos!$J$1:$J$858,Movimientos!$C$1:$C$858,$B8,Movimientos!$D$1:$D$858,$C8,Movimientos!$L$1:$L$858,A$5,Movimientos!$F$1:$F$858,"Egreso")</f>
        <v>289394.69999999995</v>
      </c>
      <c r="V8" s="7">
        <f t="shared" si="2"/>
        <v>-38527.799999999959</v>
      </c>
      <c r="W8" s="12">
        <f t="shared" si="9"/>
        <v>1419898.2399999995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SUMIFS(Movimientos!$J$1:$J$858,Movimientos!$C$1:$C$858,$B9,Movimientos!$D$1:$D$858,$C9,Movimientos!$L$1:$L$858,A$3,Movimientos!$F$1:$F$858,"Ingreso")</f>
        <v>15307.88</v>
      </c>
      <c r="K9" s="44">
        <f>SUMIFS(Movimientos!$J$1:$J$858,Movimientos!$C$1:$C$858,$B9,Movimientos!$D$1:$D$858,$C9,Movimientos!$L$1:$L$858,A$3,Movimientos!$F$1:$F$858,"Egreso")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SUMIFS(Movimientos!$J$1:$J$858,Movimientos!$C$1:$C$858,$B9,Movimientos!$D$1:$D$858,$C9,Movimientos!$L$1:$L$858,A$4,Movimientos!$F$1:$F$858,"Ingreso")</f>
        <v>15280.15</v>
      </c>
      <c r="P9" s="44">
        <f>SUMIFS(Movimientos!$J$1:$J$858,Movimientos!$C$1:$C$858,$B9,Movimientos!$D$1:$D$858,$C9,Movimientos!$L$1:$L$858,A$4,Movimientos!$F$1:$F$858,"Egreso")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SUMIFS(Movimientos!$J$1:$J$858,Movimientos!$C$1:$C$858,$B9,Movimientos!$D$1:$D$858,$C9,Movimientos!$L$1:$L$858,A$5,Movimientos!$F$1:$F$858,"Ingreso")</f>
        <v>35280.15</v>
      </c>
      <c r="U9" s="44">
        <f>SUMIFS(Movimientos!$J$1:$J$858,Movimientos!$C$1:$C$858,$B9,Movimientos!$D$1:$D$858,$C9,Movimientos!$L$1:$L$858,A$5,Movimientos!$F$1:$F$858,"Egreso")</f>
        <v>15210.029999999999</v>
      </c>
      <c r="V9" s="7">
        <f t="shared" si="2"/>
        <v>20070.120000000003</v>
      </c>
      <c r="W9" s="12">
        <f t="shared" si="9"/>
        <v>25214.89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SUMIFS(Movimientos!$J$1:$J$858,Movimientos!$C$1:$C$858,$B10,Movimientos!$D$1:$D$858,$C10,Movimientos!$L$1:$L$858,A$3,Movimientos!$F$1:$F$858,"Ingreso")</f>
        <v>0</v>
      </c>
      <c r="K10" s="44">
        <f>SUMIFS(Movimientos!$J$1:$J$858,Movimientos!$C$1:$C$858,$B10,Movimientos!$D$1:$D$858,$C10,Movimientos!$L$1:$L$858,A$3,Movimientos!$F$1:$F$858,"Egreso")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SUMIFS(Movimientos!$J$1:$J$858,Movimientos!$C$1:$C$858,$B10,Movimientos!$D$1:$D$858,$C10,Movimientos!$L$1:$L$858,A$4,Movimientos!$F$1:$F$858,"Ingreso")</f>
        <v>1000</v>
      </c>
      <c r="P10" s="44">
        <f>SUMIFS(Movimientos!$J$1:$J$858,Movimientos!$C$1:$C$858,$B10,Movimientos!$D$1:$D$858,$C10,Movimientos!$L$1:$L$858,A$4,Movimientos!$F$1:$F$858,"Egreso")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SUMIFS(Movimientos!$J$1:$J$858,Movimientos!$C$1:$C$858,$B10,Movimientos!$D$1:$D$858,$C10,Movimientos!$L$1:$L$858,A$5,Movimientos!$F$1:$F$858,"Ingreso")</f>
        <v>0</v>
      </c>
      <c r="U10" s="44">
        <f>SUMIFS(Movimientos!$J$1:$J$858,Movimientos!$C$1:$C$858,$B10,Movimientos!$D$1:$D$858,$C10,Movimientos!$L$1:$L$858,A$5,Movimientos!$F$1:$F$858,"Egreso")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SUMIFS(Movimientos!$J$1:$J$858,Movimientos!$C$1:$C$858,$B11,Movimientos!$D$1:$D$858,$C11,Movimientos!$L$1:$L$858,A$3,Movimientos!$F$1:$F$858,"Ingreso")</f>
        <v>0</v>
      </c>
      <c r="K11" s="44">
        <f>SUMIFS(Movimientos!$J$1:$J$858,Movimientos!$C$1:$C$858,$B11,Movimientos!$D$1:$D$858,$C11,Movimientos!$L$1:$L$858,A$3,Movimientos!$F$1:$F$858,"Egreso")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SUMIFS(Movimientos!$J$1:$J$858,Movimientos!$C$1:$C$858,$B11,Movimientos!$D$1:$D$858,$C11,Movimientos!$L$1:$L$858,A$4,Movimientos!$F$1:$F$858,"Ingreso")</f>
        <v>0</v>
      </c>
      <c r="P11" s="44">
        <f>SUMIFS(Movimientos!$J$1:$J$858,Movimientos!$C$1:$C$858,$B11,Movimientos!$D$1:$D$858,$C11,Movimientos!$L$1:$L$858,A$4,Movimientos!$F$1:$F$858,"Egreso")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SUMIFS(Movimientos!$J$1:$J$858,Movimientos!$C$1:$C$858,$B11,Movimientos!$D$1:$D$858,$C11,Movimientos!$L$1:$L$858,A$5,Movimientos!$F$1:$F$858,"Ingreso")</f>
        <v>0</v>
      </c>
      <c r="U11" s="44">
        <f>SUMIFS(Movimientos!$J$1:$J$858,Movimientos!$C$1:$C$858,$B11,Movimientos!$D$1:$D$858,$C11,Movimientos!$L$1:$L$858,A$5,Movimientos!$F$1:$F$858,"Egreso")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SUMIFS(Movimientos!$J$1:$J$858,Movimientos!$C$1:$C$858,$B12,Movimientos!$D$1:$D$858,$C12,Movimientos!$L$1:$L$858,A$3,Movimientos!$F$1:$F$858,"Ingreso")</f>
        <v>4970000</v>
      </c>
      <c r="K12" s="44">
        <f>SUMIFS(Movimientos!$J$1:$J$858,Movimientos!$C$1:$C$858,$B12,Movimientos!$D$1:$D$858,$C12,Movimientos!$L$1:$L$858,A$3,Movimientos!$F$1:$F$858,"Egreso")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SUMIFS(Movimientos!$J$1:$J$858,Movimientos!$C$1:$C$858,$B12,Movimientos!$D$1:$D$858,$C12,Movimientos!$L$1:$L$858,A$4,Movimientos!$F$1:$F$858,"Ingreso")</f>
        <v>1320000</v>
      </c>
      <c r="P12" s="44">
        <f>SUMIFS(Movimientos!$J$1:$J$858,Movimientos!$C$1:$C$858,$B12,Movimientos!$D$1:$D$858,$C12,Movimientos!$L$1:$L$858,A$4,Movimientos!$F$1:$F$858,"Egreso")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SUMIFS(Movimientos!$J$1:$J$858,Movimientos!$C$1:$C$858,$B12,Movimientos!$D$1:$D$858,$C12,Movimientos!$L$1:$L$858,A$5,Movimientos!$F$1:$F$858,"Ingreso")</f>
        <v>1100000</v>
      </c>
      <c r="U12" s="44">
        <f>SUMIFS(Movimientos!$J$1:$J$858,Movimientos!$C$1:$C$858,$B12,Movimientos!$D$1:$D$858,$C12,Movimientos!$L$1:$L$858,A$5,Movimientos!$F$1:$F$858,"Egreso")</f>
        <v>1081074.69</v>
      </c>
      <c r="V12" s="7">
        <f t="shared" si="2"/>
        <v>18925.310000000056</v>
      </c>
      <c r="W12" s="12">
        <f t="shared" si="9"/>
        <v>708218.31999999913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SUMIFS(Movimientos!$J$1:$J$858,Movimientos!$C$1:$C$858,$B13,Movimientos!$D$1:$D$858,$C13,Movimientos!$L$1:$L$858,A$3,Movimientos!$F$1:$F$858,"Ingreso")</f>
        <v>0</v>
      </c>
      <c r="K13" s="44">
        <f>SUMIFS(Movimientos!$J$1:$J$858,Movimientos!$C$1:$C$858,$B13,Movimientos!$D$1:$D$858,$C13,Movimientos!$L$1:$L$858,A$3,Movimientos!$F$1:$F$858,"Egreso")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SUMIFS(Movimientos!$J$1:$J$858,Movimientos!$C$1:$C$858,$B13,Movimientos!$D$1:$D$858,$C13,Movimientos!$L$1:$L$858,A$4,Movimientos!$F$1:$F$858,"Ingreso")</f>
        <v>0</v>
      </c>
      <c r="P13" s="44">
        <f>SUMIFS(Movimientos!$J$1:$J$858,Movimientos!$C$1:$C$858,$B13,Movimientos!$D$1:$D$858,$C13,Movimientos!$L$1:$L$858,A$4,Movimientos!$F$1:$F$858,"Egreso")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SUMIFS(Movimientos!$J$1:$J$858,Movimientos!$C$1:$C$858,$B13,Movimientos!$D$1:$D$858,$C13,Movimientos!$L$1:$L$858,A$5,Movimientos!$F$1:$F$858,"Ingreso")</f>
        <v>0</v>
      </c>
      <c r="U13" s="44">
        <f>SUMIFS(Movimientos!$J$1:$J$858,Movimientos!$C$1:$C$858,$B13,Movimientos!$D$1:$D$858,$C13,Movimientos!$L$1:$L$858,A$5,Movimientos!$F$1:$F$858,"Egreso")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SUMIFS(Movimientos!$J$1:$J$858,Movimientos!$C$1:$C$858,$B14,Movimientos!$D$1:$D$858,$C14,Movimientos!$L$1:$L$858,A$3,Movimientos!$F$1:$F$858,"Ingreso")</f>
        <v>56867.66</v>
      </c>
      <c r="K14" s="44">
        <f>SUMIFS(Movimientos!$J$1:$J$858,Movimientos!$C$1:$C$858,$B14,Movimientos!$D$1:$D$858,$C14,Movimientos!$L$1:$L$858,A$3,Movimientos!$F$1:$F$858,"Egreso")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SUMIFS(Movimientos!$J$1:$J$858,Movimientos!$C$1:$C$858,$B14,Movimientos!$D$1:$D$858,$C14,Movimientos!$L$1:$L$858,A$4,Movimientos!$F$1:$F$858,"Ingreso")</f>
        <v>2426.71</v>
      </c>
      <c r="P14" s="44">
        <f>SUMIFS(Movimientos!$J$1:$J$858,Movimientos!$C$1:$C$858,$B14,Movimientos!$D$1:$D$858,$C14,Movimientos!$L$1:$L$858,A$4,Movimientos!$F$1:$F$858,"Egreso")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SUMIFS(Movimientos!$J$1:$J$858,Movimientos!$C$1:$C$858,$B14,Movimientos!$D$1:$D$858,$C14,Movimientos!$L$1:$L$858,A$5,Movimientos!$F$1:$F$858,"Ingreso")</f>
        <v>2434.02</v>
      </c>
      <c r="U14" s="44">
        <f>SUMIFS(Movimientos!$J$1:$J$858,Movimientos!$C$1:$C$858,$B14,Movimientos!$D$1:$D$858,$C14,Movimientos!$L$1:$L$858,A$5,Movimientos!$F$1:$F$858,"Egreso")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SUMIFS(Movimientos!$J$1:$J$858,Movimientos!$C$1:$C$858,$B15,Movimientos!$D$1:$D$858,$C15,Movimientos!$L$1:$L$858,A$3,Movimientos!$F$1:$F$858,"Ingreso")</f>
        <v>0</v>
      </c>
      <c r="K15" s="44">
        <f>SUMIFS(Movimientos!$J$1:$J$858,Movimientos!$C$1:$C$858,$B15,Movimientos!$D$1:$D$858,$C15,Movimientos!$L$1:$L$858,A$3,Movimientos!$F$1:$F$858,"Egreso")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SUMIFS(Movimientos!$J$1:$J$858,Movimientos!$C$1:$C$858,$B15,Movimientos!$D$1:$D$858,$C15,Movimientos!$L$1:$L$858,A$4,Movimientos!$F$1:$F$858,"Ingreso")</f>
        <v>0</v>
      </c>
      <c r="P15" s="44">
        <f>SUMIFS(Movimientos!$J$1:$J$858,Movimientos!$C$1:$C$858,$B15,Movimientos!$D$1:$D$858,$C15,Movimientos!$L$1:$L$858,A$4,Movimientos!$F$1:$F$858,"Egreso")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SUMIFS(Movimientos!$J$1:$J$858,Movimientos!$C$1:$C$858,$B15,Movimientos!$D$1:$D$858,$C15,Movimientos!$L$1:$L$858,A$5,Movimientos!$F$1:$F$858,"Ingreso")</f>
        <v>0</v>
      </c>
      <c r="U15" s="44">
        <f>SUMIFS(Movimientos!$J$1:$J$858,Movimientos!$C$1:$C$858,$B15,Movimientos!$D$1:$D$858,$C15,Movimientos!$L$1:$L$858,A$5,Movimientos!$F$1:$F$858,"Egreso")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SUMIFS(Movimientos!$J$1:$J$858,Movimientos!$C$1:$C$858,$B16,Movimientos!$D$1:$D$858,$C16,Movimientos!$L$1:$L$858,A$3,Movimientos!$F$1:$F$858,"Ingreso")</f>
        <v>0</v>
      </c>
      <c r="K16" s="44">
        <f>SUMIFS(Movimientos!$J$1:$J$858,Movimientos!$C$1:$C$858,$B16,Movimientos!$D$1:$D$858,$C16,Movimientos!$L$1:$L$858,A$3,Movimientos!$F$1:$F$858,"Egreso")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SUMIFS(Movimientos!$J$1:$J$858,Movimientos!$C$1:$C$858,$B16,Movimientos!$D$1:$D$858,$C16,Movimientos!$L$1:$L$858,A$4,Movimientos!$F$1:$F$858,"Ingreso")</f>
        <v>0</v>
      </c>
      <c r="P16" s="44">
        <f>SUMIFS(Movimientos!$J$1:$J$858,Movimientos!$C$1:$C$858,$B16,Movimientos!$D$1:$D$858,$C16,Movimientos!$L$1:$L$858,A$4,Movimientos!$F$1:$F$858,"Egreso")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SUMIFS(Movimientos!$J$1:$J$858,Movimientos!$C$1:$C$858,$B16,Movimientos!$D$1:$D$858,$C16,Movimientos!$L$1:$L$858,A$5,Movimientos!$F$1:$F$858,"Ingreso")</f>
        <v>0</v>
      </c>
      <c r="U16" s="44">
        <f>SUMIFS(Movimientos!$J$1:$J$858,Movimientos!$C$1:$C$858,$B16,Movimientos!$D$1:$D$858,$C16,Movimientos!$L$1:$L$858,A$5,Movimientos!$F$1:$F$858,"Egreso")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SUMIFS(Movimientos!$J$1:$J$858,Movimientos!$C$1:$C$858,$B17,Movimientos!$D$1:$D$858,$C17,Movimientos!$L$1:$L$858,A$3,Movimientos!$F$1:$F$858,"Ingreso")</f>
        <v>0</v>
      </c>
      <c r="K17" s="44">
        <f>SUMIFS(Movimientos!$J$1:$J$858,Movimientos!$C$1:$C$858,$B17,Movimientos!$D$1:$D$858,$C17,Movimientos!$L$1:$L$858,A$3,Movimientos!$F$1:$F$858,"Egreso")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SUMIFS(Movimientos!$J$1:$J$858,Movimientos!$C$1:$C$858,$B17,Movimientos!$D$1:$D$858,$C17,Movimientos!$L$1:$L$858,A$4,Movimientos!$F$1:$F$858,"Ingreso")</f>
        <v>0</v>
      </c>
      <c r="P17" s="44">
        <f>SUMIFS(Movimientos!$J$1:$J$858,Movimientos!$C$1:$C$858,$B17,Movimientos!$D$1:$D$858,$C17,Movimientos!$L$1:$L$858,A$4,Movimientos!$F$1:$F$858,"Egreso")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SUMIFS(Movimientos!$J$1:$J$858,Movimientos!$C$1:$C$858,$B17,Movimientos!$D$1:$D$858,$C17,Movimientos!$L$1:$L$858,A$5,Movimientos!$F$1:$F$858,"Ingreso")</f>
        <v>0</v>
      </c>
      <c r="U17" s="44">
        <f>SUMIFS(Movimientos!$J$1:$J$858,Movimientos!$C$1:$C$858,$B17,Movimientos!$D$1:$D$858,$C17,Movimientos!$L$1:$L$858,A$5,Movimientos!$F$1:$F$858,"Egreso")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SUMIFS(Movimientos!$J$1:$J$858,Movimientos!$C$1:$C$858,$B18,Movimientos!$D$1:$D$858,$C18,Movimientos!$L$1:$L$858,A$3,Movimientos!$F$1:$F$858,"Ingreso")</f>
        <v>0</v>
      </c>
      <c r="K18" s="44">
        <f>SUMIFS(Movimientos!$J$1:$J$858,Movimientos!$C$1:$C$858,$B18,Movimientos!$D$1:$D$858,$C18,Movimientos!$L$1:$L$858,A$3,Movimientos!$F$1:$F$858,"Egreso")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SUMIFS(Movimientos!$J$1:$J$858,Movimientos!$C$1:$C$858,$B18,Movimientos!$D$1:$D$858,$C18,Movimientos!$L$1:$L$858,A$4,Movimientos!$F$1:$F$858,"Ingreso")</f>
        <v>0</v>
      </c>
      <c r="P18" s="44">
        <f>SUMIFS(Movimientos!$J$1:$J$858,Movimientos!$C$1:$C$858,$B18,Movimientos!$D$1:$D$858,$C18,Movimientos!$L$1:$L$858,A$4,Movimientos!$F$1:$F$858,"Egreso")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SUMIFS(Movimientos!$J$1:$J$858,Movimientos!$C$1:$C$858,$B18,Movimientos!$D$1:$D$858,$C18,Movimientos!$L$1:$L$858,A$5,Movimientos!$F$1:$F$858,"Ingreso")</f>
        <v>0</v>
      </c>
      <c r="U18" s="44">
        <f>SUMIFS(Movimientos!$J$1:$J$858,Movimientos!$C$1:$C$858,$B18,Movimientos!$D$1:$D$858,$C18,Movimientos!$L$1:$L$858,A$5,Movimientos!$F$1:$F$858,"Egreso")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SUMIFS(Movimientos!$J$1:$J$858,Movimientos!$C$1:$C$858,$B19,Movimientos!$D$1:$D$858,$C19,Movimientos!$L$1:$L$858,A$3,Movimientos!$F$1:$F$858,"Ingreso")</f>
        <v>2580000</v>
      </c>
      <c r="K19" s="44">
        <f>SUMIFS(Movimientos!$J$1:$J$858,Movimientos!$C$1:$C$858,$B19,Movimientos!$D$1:$D$858,$C19,Movimientos!$L$1:$L$858,A$3,Movimientos!$F$1:$F$858,"Egreso")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SUMIFS(Movimientos!$J$1:$J$858,Movimientos!$C$1:$C$858,$B19,Movimientos!$D$1:$D$858,$C19,Movimientos!$L$1:$L$858,A$4,Movimientos!$F$1:$F$858,"Ingreso")</f>
        <v>0</v>
      </c>
      <c r="P19" s="44">
        <f>SUMIFS(Movimientos!$J$1:$J$858,Movimientos!$C$1:$C$858,$B19,Movimientos!$D$1:$D$858,$C19,Movimientos!$L$1:$L$858,A$4,Movimientos!$F$1:$F$858,"Egreso")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SUMIFS(Movimientos!$J$1:$J$858,Movimientos!$C$1:$C$858,$B19,Movimientos!$D$1:$D$858,$C19,Movimientos!$L$1:$L$858,A$5,Movimientos!$F$1:$F$858,"Ingreso")</f>
        <v>560000</v>
      </c>
      <c r="U19" s="44">
        <f>SUMIFS(Movimientos!$J$1:$J$858,Movimientos!$C$1:$C$858,$B19,Movimientos!$D$1:$D$858,$C19,Movimientos!$L$1:$L$858,A$5,Movimientos!$F$1:$F$858,"Egreso")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SUMIFS(Movimientos!$J$1:$J$858,Movimientos!$C$1:$C$858,$B20,Movimientos!$D$1:$D$858,$C20,Movimientos!$L$1:$L$858,A$3,Movimientos!$F$1:$F$858,"Ingreso")</f>
        <v>0</v>
      </c>
      <c r="K20" s="44">
        <f>SUMIFS(Movimientos!$J$1:$J$858,Movimientos!$C$1:$C$858,$B20,Movimientos!$D$1:$D$858,$C20,Movimientos!$L$1:$L$858,A$3,Movimientos!$F$1:$F$858,"Egreso")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SUMIFS(Movimientos!$J$1:$J$858,Movimientos!$C$1:$C$858,$B20,Movimientos!$D$1:$D$858,$C20,Movimientos!$L$1:$L$858,A$4,Movimientos!$F$1:$F$858,"Ingreso")</f>
        <v>0</v>
      </c>
      <c r="P20" s="44">
        <f>SUMIFS(Movimientos!$J$1:$J$858,Movimientos!$C$1:$C$858,$B20,Movimientos!$D$1:$D$858,$C20,Movimientos!$L$1:$L$858,A$4,Movimientos!$F$1:$F$858,"Egreso")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SUMIFS(Movimientos!$J$1:$J$858,Movimientos!$C$1:$C$858,$B20,Movimientos!$D$1:$D$858,$C20,Movimientos!$L$1:$L$858,A$5,Movimientos!$F$1:$F$858,"Ingreso")</f>
        <v>70000</v>
      </c>
      <c r="U20" s="44">
        <f>SUMIFS(Movimientos!$J$1:$J$858,Movimientos!$C$1:$C$858,$B20,Movimientos!$D$1:$D$858,$C20,Movimientos!$L$1:$L$858,A$5,Movimientos!$F$1:$F$858,"Egreso")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SUMIFS(Movimientos!$J$1:$J$858,Movimientos!$C$1:$C$858,$B21,Movimientos!$D$1:$D$858,$C21,Movimientos!$L$1:$L$858,A$3,Movimientos!$F$1:$F$858,"Ingreso")</f>
        <v>0</v>
      </c>
      <c r="K21" s="44">
        <f>SUMIFS(Movimientos!$J$1:$J$858,Movimientos!$C$1:$C$858,$B21,Movimientos!$D$1:$D$858,$C21,Movimientos!$L$1:$L$858,A$3,Movimientos!$F$1:$F$858,"Egreso")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SUMIFS(Movimientos!$J$1:$J$858,Movimientos!$C$1:$C$858,$B21,Movimientos!$D$1:$D$858,$C21,Movimientos!$L$1:$L$858,A$4,Movimientos!$F$1:$F$858,"Ingreso")</f>
        <v>14659.29</v>
      </c>
      <c r="P21" s="44">
        <f>SUMIFS(Movimientos!$J$1:$J$858,Movimientos!$C$1:$C$858,$B21,Movimientos!$D$1:$D$858,$C21,Movimientos!$L$1:$L$858,A$4,Movimientos!$F$1:$F$858,"Egreso")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SUMIFS(Movimientos!$J$1:$J$858,Movimientos!$C$1:$C$858,$B21,Movimientos!$D$1:$D$858,$C21,Movimientos!$L$1:$L$858,A$5,Movimientos!$F$1:$F$858,"Ingreso")</f>
        <v>0</v>
      </c>
      <c r="U21" s="44">
        <f>SUMIFS(Movimientos!$J$1:$J$858,Movimientos!$C$1:$C$858,$B21,Movimientos!$D$1:$D$858,$C21,Movimientos!$L$1:$L$858,A$5,Movimientos!$F$1:$F$858,"Egreso")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SUMIFS(Movimientos!$J$1:$J$858,Movimientos!$C$1:$C$858,$B22,Movimientos!$D$1:$D$858,$C22,Movimientos!$L$1:$L$858,A$3,Movimientos!$F$1:$F$858,"Ingreso")</f>
        <v>0</v>
      </c>
      <c r="K22" s="44">
        <f>SUMIFS(Movimientos!$J$1:$J$858,Movimientos!$C$1:$C$858,$B22,Movimientos!$D$1:$D$858,$C22,Movimientos!$L$1:$L$858,A$3,Movimientos!$F$1:$F$858,"Egreso")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SUMIFS(Movimientos!$J$1:$J$858,Movimientos!$C$1:$C$858,$B22,Movimientos!$D$1:$D$858,$C22,Movimientos!$L$1:$L$858,A$4,Movimientos!$F$1:$F$858,"Ingreso")</f>
        <v>0</v>
      </c>
      <c r="P22" s="44">
        <f>SUMIFS(Movimientos!$J$1:$J$858,Movimientos!$C$1:$C$858,$B22,Movimientos!$D$1:$D$858,$C22,Movimientos!$L$1:$L$858,A$4,Movimientos!$F$1:$F$858,"Egreso")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SUMIFS(Movimientos!$J$1:$J$858,Movimientos!$C$1:$C$858,$B22,Movimientos!$D$1:$D$858,$C22,Movimientos!$L$1:$L$858,A$5,Movimientos!$F$1:$F$858,"Ingreso")</f>
        <v>100</v>
      </c>
      <c r="U22" s="44">
        <f>SUMIFS(Movimientos!$J$1:$J$858,Movimientos!$C$1:$C$858,$B22,Movimientos!$D$1:$D$858,$C22,Movimientos!$L$1:$L$858,A$5,Movimientos!$F$1:$F$858,"Egreso")</f>
        <v>29.95</v>
      </c>
      <c r="V22" s="7">
        <f t="shared" si="2"/>
        <v>70.05</v>
      </c>
      <c r="W22" s="12">
        <f t="shared" si="9"/>
        <v>124.44999999999997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SUMIFS(Movimientos!$J$1:$J$858,Movimientos!$C$1:$C$858,$B23,Movimientos!$D$1:$D$858,$C23,Movimientos!$L$1:$L$858,A$3,Movimientos!$F$1:$F$858,"Ingreso")</f>
        <v>0</v>
      </c>
      <c r="K23" s="44">
        <f>SUMIFS(Movimientos!$J$1:$J$858,Movimientos!$C$1:$C$858,$B23,Movimientos!$D$1:$D$858,$C23,Movimientos!$L$1:$L$858,A$3,Movimientos!$F$1:$F$858,"Egreso")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SUMIFS(Movimientos!$J$1:$J$858,Movimientos!$C$1:$C$858,$B23,Movimientos!$D$1:$D$858,$C23,Movimientos!$L$1:$L$858,A$4,Movimientos!$F$1:$F$858,"Ingreso")</f>
        <v>0</v>
      </c>
      <c r="P23" s="44">
        <f>SUMIFS(Movimientos!$J$1:$J$858,Movimientos!$C$1:$C$858,$B23,Movimientos!$D$1:$D$858,$C23,Movimientos!$L$1:$L$858,A$4,Movimientos!$F$1:$F$858,"Egreso")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SUMIFS(Movimientos!$J$1:$J$858,Movimientos!$C$1:$C$858,$B23,Movimientos!$D$1:$D$858,$C23,Movimientos!$L$1:$L$858,A$5,Movimientos!$F$1:$F$858,"Ingreso")</f>
        <v>0</v>
      </c>
      <c r="U23" s="44">
        <f>SUMIFS(Movimientos!$J$1:$J$858,Movimientos!$C$1:$C$858,$B23,Movimientos!$D$1:$D$858,$C23,Movimientos!$L$1:$L$858,A$5,Movimientos!$F$1:$F$858,"Egreso")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SUMIFS(Movimientos!$J$1:$J$858,Movimientos!$C$1:$C$858,$B24,Movimientos!$D$1:$D$858,$C24,Movimientos!$L$1:$L$858,A$3,Movimientos!$F$1:$F$858,"Ingreso")</f>
        <v>0</v>
      </c>
      <c r="K24" s="44">
        <f>SUMIFS(Movimientos!$J$1:$J$858,Movimientos!$C$1:$C$858,$B24,Movimientos!$D$1:$D$858,$C24,Movimientos!$L$1:$L$858,A$3,Movimientos!$F$1:$F$858,"Egreso")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SUMIFS(Movimientos!$J$1:$J$858,Movimientos!$C$1:$C$858,$B24,Movimientos!$D$1:$D$858,$C24,Movimientos!$L$1:$L$858,A$4,Movimientos!$F$1:$F$858,"Ingreso")</f>
        <v>1451269.78</v>
      </c>
      <c r="P24" s="44">
        <f>SUMIFS(Movimientos!$J$1:$J$858,Movimientos!$C$1:$C$858,$B24,Movimientos!$D$1:$D$858,$C24,Movimientos!$L$1:$L$858,A$4,Movimientos!$F$1:$F$858,"Egreso")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SUMIFS(Movimientos!$J$1:$J$858,Movimientos!$C$1:$C$858,$B24,Movimientos!$D$1:$D$858,$C24,Movimientos!$L$1:$L$858,A$5,Movimientos!$F$1:$F$858,"Ingreso")</f>
        <v>0</v>
      </c>
      <c r="U24" s="44">
        <f>SUMIFS(Movimientos!$J$1:$J$858,Movimientos!$C$1:$C$858,$B24,Movimientos!$D$1:$D$858,$C24,Movimientos!$L$1:$L$858,A$5,Movimientos!$F$1:$F$858,"Egreso")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SUMIFS(Movimientos!$J$1:$J$858,Movimientos!$C$1:$C$858,$B25,Movimientos!$D$1:$D$858,$C25,Movimientos!$L$1:$L$858,A$3,Movimientos!$F$1:$F$858,"Ingreso")</f>
        <v>0</v>
      </c>
      <c r="K25" s="44">
        <f>SUMIFS(Movimientos!$J$1:$J$858,Movimientos!$C$1:$C$858,$B25,Movimientos!$D$1:$D$858,$C25,Movimientos!$L$1:$L$858,A$3,Movimientos!$F$1:$F$858,"Egreso")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SUMIFS(Movimientos!$J$1:$J$858,Movimientos!$C$1:$C$858,$B25,Movimientos!$D$1:$D$858,$C25,Movimientos!$L$1:$L$858,A$4,Movimientos!$F$1:$F$858,"Ingreso")</f>
        <v>0</v>
      </c>
      <c r="P25" s="44">
        <f>SUMIFS(Movimientos!$J$1:$J$858,Movimientos!$C$1:$C$858,$B25,Movimientos!$D$1:$D$858,$C25,Movimientos!$L$1:$L$858,A$4,Movimientos!$F$1:$F$858,"Egreso")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SUMIFS(Movimientos!$J$1:$J$858,Movimientos!$C$1:$C$858,$B25,Movimientos!$D$1:$D$858,$C25,Movimientos!$L$1:$L$858,A$5,Movimientos!$F$1:$F$858,"Ingreso")</f>
        <v>0</v>
      </c>
      <c r="U25" s="44">
        <f>SUMIFS(Movimientos!$J$1:$J$858,Movimientos!$C$1:$C$858,$B25,Movimientos!$D$1:$D$858,$C25,Movimientos!$L$1:$L$858,A$5,Movimientos!$F$1:$F$858,"Egreso")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SUMIFS(Movimientos!$J$1:$J$858,Movimientos!$C$1:$C$858,$B26,Movimientos!$D$1:$D$858,$C26,Movimientos!$L$1:$L$858,A$3,Movimientos!$F$1:$F$858,"Ingreso")</f>
        <v>0</v>
      </c>
      <c r="K26" s="44">
        <f>SUMIFS(Movimientos!$J$1:$J$858,Movimientos!$C$1:$C$858,$B26,Movimientos!$D$1:$D$858,$C26,Movimientos!$L$1:$L$858,A$3,Movimientos!$F$1:$F$858,"Egreso")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SUMIFS(Movimientos!$J$1:$J$858,Movimientos!$C$1:$C$858,$B26,Movimientos!$D$1:$D$858,$C26,Movimientos!$L$1:$L$858,A$4,Movimientos!$F$1:$F$858,"Ingreso")</f>
        <v>0</v>
      </c>
      <c r="P26" s="44">
        <f>SUMIFS(Movimientos!$J$1:$J$858,Movimientos!$C$1:$C$858,$B26,Movimientos!$D$1:$D$858,$C26,Movimientos!$L$1:$L$858,A$4,Movimientos!$F$1:$F$858,"Egreso")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SUMIFS(Movimientos!$J$1:$J$858,Movimientos!$C$1:$C$858,$B26,Movimientos!$D$1:$D$858,$C26,Movimientos!$L$1:$L$858,A$5,Movimientos!$F$1:$F$858,"Ingreso")</f>
        <v>0</v>
      </c>
      <c r="U26" s="44">
        <f>SUMIFS(Movimientos!$J$1:$J$858,Movimientos!$C$1:$C$858,$B26,Movimientos!$D$1:$D$858,$C26,Movimientos!$L$1:$L$858,A$5,Movimientos!$F$1:$F$858,"Egreso")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SUMIFS(Movimientos!$J$1:$J$858,Movimientos!$C$1:$C$858,$B27,Movimientos!$D$1:$D$858,$C27,Movimientos!$L$1:$L$858,A$3,Movimientos!$F$1:$F$858,"Ingreso")</f>
        <v>0</v>
      </c>
      <c r="K27" s="44">
        <f>SUMIFS(Movimientos!$J$1:$J$858,Movimientos!$C$1:$C$858,$B27,Movimientos!$D$1:$D$858,$C27,Movimientos!$L$1:$L$858,A$3,Movimientos!$F$1:$F$858,"Egreso")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SUMIFS(Movimientos!$J$1:$J$858,Movimientos!$C$1:$C$858,$B27,Movimientos!$D$1:$D$858,$C27,Movimientos!$L$1:$L$858,A$4,Movimientos!$F$1:$F$858,"Ingreso")</f>
        <v>518.65</v>
      </c>
      <c r="P27" s="44">
        <f>SUMIFS(Movimientos!$J$1:$J$858,Movimientos!$C$1:$C$858,$B27,Movimientos!$D$1:$D$858,$C27,Movimientos!$L$1:$L$858,A$4,Movimientos!$F$1:$F$858,"Egreso")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SUMIFS(Movimientos!$J$1:$J$858,Movimientos!$C$1:$C$858,$B27,Movimientos!$D$1:$D$858,$C27,Movimientos!$L$1:$L$858,A$5,Movimientos!$F$1:$F$858,"Ingreso")</f>
        <v>0</v>
      </c>
      <c r="U27" s="44">
        <f>SUMIFS(Movimientos!$J$1:$J$858,Movimientos!$C$1:$C$858,$B27,Movimientos!$D$1:$D$858,$C27,Movimientos!$L$1:$L$858,A$5,Movimientos!$F$1:$F$858,"Egreso")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SUMIFS(Movimientos!$J$1:$J$858,Movimientos!$C$1:$C$858,$B28,Movimientos!$D$1:$D$858,$C28,Movimientos!$L$1:$L$858,A$3,Movimientos!$F$1:$F$858,"Ingreso")</f>
        <v>0</v>
      </c>
      <c r="K28" s="44">
        <f>SUMIFS(Movimientos!$J$1:$J$858,Movimientos!$C$1:$C$858,$B28,Movimientos!$D$1:$D$858,$C28,Movimientos!$L$1:$L$858,A$3,Movimientos!$F$1:$F$858,"Egreso")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SUMIFS(Movimientos!$J$1:$J$858,Movimientos!$C$1:$C$858,$B28,Movimientos!$D$1:$D$858,$C28,Movimientos!$L$1:$L$858,A$4,Movimientos!$F$1:$F$858,"Ingreso")</f>
        <v>0</v>
      </c>
      <c r="P28" s="44">
        <f>SUMIFS(Movimientos!$J$1:$J$858,Movimientos!$C$1:$C$858,$B28,Movimientos!$D$1:$D$858,$C28,Movimientos!$L$1:$L$858,A$4,Movimientos!$F$1:$F$858,"Egreso")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SUMIFS(Movimientos!$J$1:$J$858,Movimientos!$C$1:$C$858,$B28,Movimientos!$D$1:$D$858,$C28,Movimientos!$L$1:$L$858,A$5,Movimientos!$F$1:$F$858,"Ingreso")</f>
        <v>0</v>
      </c>
      <c r="U28" s="44">
        <f>SUMIFS(Movimientos!$J$1:$J$858,Movimientos!$C$1:$C$858,$B28,Movimientos!$D$1:$D$858,$C28,Movimientos!$L$1:$L$858,A$5,Movimientos!$F$1:$F$858,"Egreso")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SUMIFS(Movimientos!$J$1:$J$858,Movimientos!$C$1:$C$858,$B29,Movimientos!$D$1:$D$858,$C29,Movimientos!$L$1:$L$858,A$3,Movimientos!$F$1:$F$858,"Ingreso")</f>
        <v>5250</v>
      </c>
      <c r="K29" s="44">
        <f>SUMIFS(Movimientos!$J$1:$J$858,Movimientos!$C$1:$C$858,$B29,Movimientos!$D$1:$D$858,$C29,Movimientos!$L$1:$L$858,A$3,Movimientos!$F$1:$F$858,"Egreso")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SUMIFS(Movimientos!$J$1:$J$858,Movimientos!$C$1:$C$858,$B29,Movimientos!$D$1:$D$858,$C29,Movimientos!$L$1:$L$858,A$4,Movimientos!$F$1:$F$858,"Ingreso")</f>
        <v>0</v>
      </c>
      <c r="P29" s="44">
        <f>SUMIFS(Movimientos!$J$1:$J$858,Movimientos!$C$1:$C$858,$B29,Movimientos!$D$1:$D$858,$C29,Movimientos!$L$1:$L$858,A$4,Movimientos!$F$1:$F$858,"Egreso")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SUMIFS(Movimientos!$J$1:$J$858,Movimientos!$C$1:$C$858,$B29,Movimientos!$D$1:$D$858,$C29,Movimientos!$L$1:$L$858,A$5,Movimientos!$F$1:$F$858,"Ingreso")</f>
        <v>30105.4</v>
      </c>
      <c r="U29" s="44">
        <f>SUMIFS(Movimientos!$J$1:$J$858,Movimientos!$C$1:$C$858,$B29,Movimientos!$D$1:$D$858,$C29,Movimientos!$L$1:$L$858,A$5,Movimientos!$F$1:$F$858,"Egreso")</f>
        <v>18872.259999999998</v>
      </c>
      <c r="V29" s="7">
        <f t="shared" si="2"/>
        <v>11233.140000000003</v>
      </c>
      <c r="W29" s="12">
        <f t="shared" si="9"/>
        <v>33260.289999999964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SUMIFS(Movimientos!$J$1:$J$858,Movimientos!$C$1:$C$858,$B30,Movimientos!$D$1:$D$858,$C30,Movimientos!$L$1:$L$858,A$3,Movimientos!$F$1:$F$858,"Ingreso")</f>
        <v>0</v>
      </c>
      <c r="K30" s="44">
        <f>SUMIFS(Movimientos!$J$1:$J$858,Movimientos!$C$1:$C$858,$B30,Movimientos!$D$1:$D$858,$C30,Movimientos!$L$1:$L$858,A$3,Movimientos!$F$1:$F$858,"Egreso")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SUMIFS(Movimientos!$J$1:$J$858,Movimientos!$C$1:$C$858,$B30,Movimientos!$D$1:$D$858,$C30,Movimientos!$L$1:$L$858,A$4,Movimientos!$F$1:$F$858,"Ingreso")</f>
        <v>0</v>
      </c>
      <c r="P30" s="44">
        <f>SUMIFS(Movimientos!$J$1:$J$858,Movimientos!$C$1:$C$858,$B30,Movimientos!$D$1:$D$858,$C30,Movimientos!$L$1:$L$858,A$4,Movimientos!$F$1:$F$858,"Egreso")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SUMIFS(Movimientos!$J$1:$J$858,Movimientos!$C$1:$C$858,$B30,Movimientos!$D$1:$D$858,$C30,Movimientos!$L$1:$L$858,A$5,Movimientos!$F$1:$F$858,"Ingreso")</f>
        <v>0</v>
      </c>
      <c r="U30" s="44">
        <f>SUMIFS(Movimientos!$J$1:$J$858,Movimientos!$C$1:$C$858,$B30,Movimientos!$D$1:$D$858,$C30,Movimientos!$L$1:$L$858,A$5,Movimientos!$F$1:$F$858,"Egreso")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SUMIFS(Movimientos!$J$1:$J$858,Movimientos!$C$1:$C$858,$B31,Movimientos!$D$1:$D$858,$C31,Movimientos!$L$1:$L$858,A$3,Movimientos!$F$1:$F$858,"Ingreso")</f>
        <v>15000</v>
      </c>
      <c r="K31" s="44">
        <f>SUMIFS(Movimientos!$J$1:$J$858,Movimientos!$C$1:$C$858,$B31,Movimientos!$D$1:$D$858,$C31,Movimientos!$L$1:$L$858,A$3,Movimientos!$F$1:$F$858,"Egreso")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SUMIFS(Movimientos!$J$1:$J$858,Movimientos!$C$1:$C$858,$B31,Movimientos!$D$1:$D$858,$C31,Movimientos!$L$1:$L$858,A$4,Movimientos!$F$1:$F$858,"Ingreso")</f>
        <v>15000</v>
      </c>
      <c r="P31" s="44">
        <f>SUMIFS(Movimientos!$J$1:$J$858,Movimientos!$C$1:$C$858,$B31,Movimientos!$D$1:$D$858,$C31,Movimientos!$L$1:$L$858,A$4,Movimientos!$F$1:$F$858,"Egreso")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SUMIFS(Movimientos!$J$1:$J$858,Movimientos!$C$1:$C$858,$B31,Movimientos!$D$1:$D$858,$C31,Movimientos!$L$1:$L$858,A$5,Movimientos!$F$1:$F$858,"Ingreso")</f>
        <v>21000</v>
      </c>
      <c r="U31" s="44">
        <f>SUMIFS(Movimientos!$J$1:$J$858,Movimientos!$C$1:$C$858,$B31,Movimientos!$D$1:$D$858,$C31,Movimientos!$L$1:$L$858,A$5,Movimientos!$F$1:$F$858,"Egreso")</f>
        <v>12963.63</v>
      </c>
      <c r="V31" s="7">
        <f t="shared" si="2"/>
        <v>8036.3700000000008</v>
      </c>
      <c r="W31" s="12">
        <f t="shared" si="9"/>
        <v>26559.170000000006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SUMIFS(Movimientos!$J$1:$J$858,Movimientos!$C$1:$C$858,$B32,Movimientos!$D$1:$D$858,$C32,Movimientos!$L$1:$L$858,A$3,Movimientos!$F$1:$F$858,"Ingreso")</f>
        <v>12000</v>
      </c>
      <c r="K32" s="44">
        <f>SUMIFS(Movimientos!$J$1:$J$858,Movimientos!$C$1:$C$858,$B32,Movimientos!$D$1:$D$858,$C32,Movimientos!$L$1:$L$858,A$3,Movimientos!$F$1:$F$858,"Egreso")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SUMIFS(Movimientos!$J$1:$J$858,Movimientos!$C$1:$C$858,$B32,Movimientos!$D$1:$D$858,$C32,Movimientos!$L$1:$L$858,A$4,Movimientos!$F$1:$F$858,"Ingreso")</f>
        <v>8800</v>
      </c>
      <c r="P32" s="44">
        <f>SUMIFS(Movimientos!$J$1:$J$858,Movimientos!$C$1:$C$858,$B32,Movimientos!$D$1:$D$858,$C32,Movimientos!$L$1:$L$858,A$4,Movimientos!$F$1:$F$858,"Egreso")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SUMIFS(Movimientos!$J$1:$J$858,Movimientos!$C$1:$C$858,$B32,Movimientos!$D$1:$D$858,$C32,Movimientos!$L$1:$L$858,A$5,Movimientos!$F$1:$F$858,"Ingreso")</f>
        <v>9400</v>
      </c>
      <c r="U32" s="44">
        <f>SUMIFS(Movimientos!$J$1:$J$858,Movimientos!$C$1:$C$858,$B32,Movimientos!$D$1:$D$858,$C32,Movimientos!$L$1:$L$858,A$5,Movimientos!$F$1:$F$858,"Egreso")</f>
        <v>14149.52</v>
      </c>
      <c r="V32" s="7">
        <f t="shared" si="2"/>
        <v>-4749.5200000000004</v>
      </c>
      <c r="W32" s="12">
        <f t="shared" si="9"/>
        <v>23736.039999999997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SUMIFS(Movimientos!$J$1:$J$858,Movimientos!$C$1:$C$858,$B33,Movimientos!$D$1:$D$858,$C33,Movimientos!$L$1:$L$858,A$3,Movimientos!$F$1:$F$858,"Ingreso")</f>
        <v>59000</v>
      </c>
      <c r="K33" s="44">
        <f>SUMIFS(Movimientos!$J$1:$J$858,Movimientos!$C$1:$C$858,$B33,Movimientos!$D$1:$D$858,$C33,Movimientos!$L$1:$L$858,A$3,Movimientos!$F$1:$F$858,"Egreso")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SUMIFS(Movimientos!$J$1:$J$858,Movimientos!$C$1:$C$858,$B33,Movimientos!$D$1:$D$858,$C33,Movimientos!$L$1:$L$858,A$4,Movimientos!$F$1:$F$858,"Ingreso")</f>
        <v>50000</v>
      </c>
      <c r="P33" s="44">
        <f>SUMIFS(Movimientos!$J$1:$J$858,Movimientos!$C$1:$C$858,$B33,Movimientos!$D$1:$D$858,$C33,Movimientos!$L$1:$L$858,A$4,Movimientos!$F$1:$F$858,"Egreso")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SUMIFS(Movimientos!$J$1:$J$858,Movimientos!$C$1:$C$858,$B33,Movimientos!$D$1:$D$858,$C33,Movimientos!$L$1:$L$858,A$5,Movimientos!$F$1:$F$858,"Ingreso")</f>
        <v>23000</v>
      </c>
      <c r="U33" s="44">
        <f>SUMIFS(Movimientos!$J$1:$J$858,Movimientos!$C$1:$C$858,$B33,Movimientos!$D$1:$D$858,$C33,Movimientos!$L$1:$L$858,A$5,Movimientos!$F$1:$F$858,"Egreso")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SUMIFS(Movimientos!$J$1:$J$858,Movimientos!$C$1:$C$858,$B34,Movimientos!$D$1:$D$858,$C34,Movimientos!$L$1:$L$858,A$3,Movimientos!$F$1:$F$858,"Ingreso")</f>
        <v>59000</v>
      </c>
      <c r="K34" s="44">
        <f>SUMIFS(Movimientos!$J$1:$J$858,Movimientos!$C$1:$C$858,$B34,Movimientos!$D$1:$D$858,$C34,Movimientos!$L$1:$L$858,A$3,Movimientos!$F$1:$F$858,"Egreso")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SUMIFS(Movimientos!$J$1:$J$858,Movimientos!$C$1:$C$858,$B34,Movimientos!$D$1:$D$858,$C34,Movimientos!$L$1:$L$858,A$4,Movimientos!$F$1:$F$858,"Ingreso")</f>
        <v>50000</v>
      </c>
      <c r="P34" s="44">
        <f>SUMIFS(Movimientos!$J$1:$J$858,Movimientos!$C$1:$C$858,$B34,Movimientos!$D$1:$D$858,$C34,Movimientos!$L$1:$L$858,A$4,Movimientos!$F$1:$F$858,"Egreso")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SUMIFS(Movimientos!$J$1:$J$858,Movimientos!$C$1:$C$858,$B34,Movimientos!$D$1:$D$858,$C34,Movimientos!$L$1:$L$858,A$5,Movimientos!$F$1:$F$858,"Ingreso")</f>
        <v>23000</v>
      </c>
      <c r="U34" s="44">
        <f>SUMIFS(Movimientos!$J$1:$J$858,Movimientos!$C$1:$C$858,$B34,Movimientos!$D$1:$D$858,$C34,Movimientos!$L$1:$L$858,A$5,Movimientos!$F$1:$F$858,"Egreso")</f>
        <v>24462.059999999998</v>
      </c>
      <c r="V34" s="7">
        <f t="shared" si="2"/>
        <v>-1462.0599999999977</v>
      </c>
      <c r="W34" s="12">
        <f t="shared" si="9"/>
        <v>7496.6500000000015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SUMIFS(Movimientos!$J$1:$J$858,Movimientos!$C$1:$C$858,$B35,Movimientos!$D$1:$D$858,$C35,Movimientos!$L$1:$L$858,A$3,Movimientos!$F$1:$F$858,"Ingreso")</f>
        <v>0</v>
      </c>
      <c r="K35" s="44">
        <f>SUMIFS(Movimientos!$J$1:$J$858,Movimientos!$C$1:$C$858,$B35,Movimientos!$D$1:$D$858,$C35,Movimientos!$L$1:$L$858,A$3,Movimientos!$F$1:$F$858,"Egreso")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SUMIFS(Movimientos!$J$1:$J$858,Movimientos!$C$1:$C$858,$B35,Movimientos!$D$1:$D$858,$C35,Movimientos!$L$1:$L$858,A$4,Movimientos!$F$1:$F$858,"Ingreso")</f>
        <v>15000</v>
      </c>
      <c r="P35" s="44">
        <f>SUMIFS(Movimientos!$J$1:$J$858,Movimientos!$C$1:$C$858,$B35,Movimientos!$D$1:$D$858,$C35,Movimientos!$L$1:$L$858,A$4,Movimientos!$F$1:$F$858,"Egreso")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SUMIFS(Movimientos!$J$1:$J$858,Movimientos!$C$1:$C$858,$B35,Movimientos!$D$1:$D$858,$C35,Movimientos!$L$1:$L$858,A$5,Movimientos!$F$1:$F$858,"Ingreso")</f>
        <v>0</v>
      </c>
      <c r="U35" s="44">
        <f>SUMIFS(Movimientos!$J$1:$J$858,Movimientos!$C$1:$C$858,$B35,Movimientos!$D$1:$D$858,$C35,Movimientos!$L$1:$L$858,A$5,Movimientos!$F$1:$F$858,"Egreso")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24"/>
  <sheetViews>
    <sheetView showGridLines="0" zoomScale="80" zoomScaleNormal="80" workbookViewId="0">
      <pane xSplit="2" ySplit="1" topLeftCell="O105" activePane="bottomRight" state="frozen"/>
      <selection pane="topRight" activeCell="C1" sqref="C1"/>
      <selection pane="bottomLeft" activeCell="A2" sqref="A2"/>
      <selection pane="bottomRight" activeCell="A123" sqref="A123:XFD12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Group")+SUMIFS(Movimientos!$K$1:$K$858,Movimientos!$C$1:$C$858,"CFT Group",Movimientos!$B$1:$B$858,"&lt;="&amp;$B33)</f>
        <v>983394.14000000013</v>
      </c>
      <c r="D33" s="24">
        <f>SUMIFS('Saldos Iniciales'!$D:$D,'Saldos Iniciales'!$A:$A,"M1B")+SUMIFS(Movimientos!$K$1:$K$858,Movimientos!$C$1:$C$858,"M1B",Movimientos!$B$1:$B$858,"&lt;="&amp;$B33)</f>
        <v>69376.390000000174</v>
      </c>
      <c r="E33" s="24">
        <f>SUMIFS('Saldos Iniciales'!$D:$D,'Saldos Iniciales'!$A:$A,"Durand")+SUMIFS(Movimientos!$K$1:$K$858,Movimientos!$C$1:$C$858,"Durand",Movimientos!$B$1:$B$858,"&lt;="&amp;$B33)</f>
        <v>1669.89</v>
      </c>
      <c r="F33" s="24">
        <f>SUMIFS('Saldos Iniciales'!$D:$D,'Saldos Iniciales'!$A:$A,"A&amp;M Imports")+SUMIFS(Movimientos!$K$1:$K$858,Movimientos!$C$1:$C$858,"A&amp;M Imports",Movimientos!$B$1:$B$858,"&lt;="&amp;$B33)</f>
        <v>804853.11999999988</v>
      </c>
      <c r="G33" s="24">
        <f>SUMIFS('Saldos Iniciales'!$D:$D,'Saldos Iniciales'!$A:$A,"SSP Capital")+SUMIFS(Movimientos!$K$1:$K$858,Movimientos!$C$1:$C$858,"SSP Capital",Movimientos!$B$1:$B$858,"&lt;="&amp;$B33)</f>
        <v>1015901.6699999992</v>
      </c>
      <c r="H33" s="24">
        <f>SUMIFS('Saldos Iniciales'!$D:$D,'Saldos Iniciales'!$A:$A,"Cross Family Trust")+SUMIFS(Movimientos!$K$1:$K$858,Movimientos!$C$1:$C$858,"Cross Family Trust",Movimientos!$B$1:$B$858,"&lt;="&amp;$B33)</f>
        <v>131496.38</v>
      </c>
      <c r="I33" s="24">
        <f>SUMIFS('Saldos Iniciales'!$D:$D,'Saldos Iniciales'!$A:$A,"Cross Security Trust")+SUMIFS(Movimientos!$K$1:$K$858,Movimientos!$C$1:$C$858,"Cross Security Trust",Movimientos!$B$1:$B$858,"&lt;="&amp;$B33)</f>
        <v>88090.37</v>
      </c>
      <c r="J33" s="24">
        <f>SUMIFS('Saldos Iniciales'!$D:$D,'Saldos Iniciales'!$A:$A,"Electrama")+SUMIFS(Movimientos!$K$1:$K$858,Movimientos!$C$1:$C$858,"Electrama",Movimientos!$B$1:$B$858,"&lt;="&amp;$B33)</f>
        <v>511.15999999999985</v>
      </c>
      <c r="K33" s="24">
        <f>SUMIFS('Saldos Iniciales'!$D:$D,'Saldos Iniciales'!$A:$A,"Sacred Valley Capital")+SUMIFS(Movimientos!$K$1:$K$858,Movimientos!$C$1:$C$858,"Sacred Valley Capital",Movimientos!$B$1:$B$858,"&lt;="&amp;$B33)</f>
        <v>84.35</v>
      </c>
      <c r="L33" s="24">
        <f>SUMIFS('Saldos Iniciales'!$D:$D,'Saldos Iniciales'!$A:$A,"YWC Capital")+SUMIFS(Movimientos!$K$1:$K$858,Movimientos!$C$1:$C$858,"YWC Capital",Movimientos!$B$1:$B$858,"&lt;="&amp;$B33)</f>
        <v>2237.77</v>
      </c>
      <c r="M33" s="24">
        <f>SUMIFS('Saldos Iniciales'!$D:$D,'Saldos Iniciales'!$A:$A,"Soweto")+SUMIFS(Movimientos!$K$1:$K$858,Movimientos!$C$1:$C$858,"Soweto",Movimientos!$B$1:$B$858,"&lt;="&amp;$B33)</f>
        <v>3349.94</v>
      </c>
      <c r="N33" s="24">
        <f>SUMIFS('Saldos Iniciales'!$D:$D,'Saldos Iniciales'!$A:$A,"Green Stone Trust")+SUMIFS(Movimientos!$K$1:$K$858,Movimientos!$C$1:$C$858,"Green Stone Trust",Movimientos!$B$1:$B$858,"&lt;="&amp;$B33)</f>
        <v>1968.99</v>
      </c>
      <c r="O33" s="24">
        <f>SUMIFS('Saldos Iniciales'!$D:$D,'Saldos Iniciales'!$A:$A,"EC Auto")+SUMIFS(Movimientos!$K$1:$K$858,Movimientos!$C$1:$C$858,"EC Auto",Movimientos!$B$1:$B$858,"&lt;="&amp;$B33)</f>
        <v>901.34</v>
      </c>
      <c r="P33" s="24">
        <f>SUMIFS('Saldos Iniciales'!$D:$D,'Saldos Iniciales'!$A:$A,"Arbor Capital Properties")+SUMIFS(Movimientos!$K$1:$K$858,Movimientos!$C$1:$C$858,"Arbor Capital Properties",Movimientos!$B$1:$B$858,"&lt;="&amp;$B33)</f>
        <v>1428.08</v>
      </c>
      <c r="Q33" s="24">
        <f>SUMIFS('Saldos Iniciales'!$D:$D,'Saldos Iniciales'!$A:$A,"2515 Overbrook")+SUMIFS(Movimientos!$K$1:$K$858,Movimientos!$C$1:$C$858,"2515 Overbrook",Movimientos!$B$1:$B$858,"&lt;="&amp;$B33)</f>
        <v>26416.26999999996</v>
      </c>
      <c r="R33" s="24">
        <f>SUMIFS('Saldos Iniciales'!$D:$D,'Saldos Iniciales'!$A:$A,"112 Florida Ave")+SUMIFS(Movimientos!$K$1:$K$858,Movimientos!$C$1:$C$858,"112 Florida Ave",Movimientos!$B$1:$B$858,"&lt;="&amp;$B33)</f>
        <v>5321.4300000000021</v>
      </c>
      <c r="S33" s="24">
        <f>SUMIFS('Saldos Iniciales'!$D:$D,'Saldos Iniciales'!$A:$A,"3628 Thomas Ave")+SUMIFS(Movimientos!$K$1:$K$858,Movimientos!$C$1:$C$858,"3628 Thomas Ave",Movimientos!$B$1:$B$858,"&lt;="&amp;$B33)</f>
        <v>24833.23</v>
      </c>
      <c r="T33" s="24">
        <f>SUMIFS('Saldos Iniciales'!$D:$D,'Saldos Iniciales'!$A:$A,"Green Harbor Trust")+SUMIFS(Movimientos!$K$1:$K$858,Movimientos!$C$1:$C$858,"Green Harbor Trust",Movimientos!$B$1:$B$858,"&lt;="&amp;$B33)</f>
        <v>345</v>
      </c>
      <c r="U33" s="24">
        <f>SUMIFS('Saldos Iniciales'!$D:$D,'Saldos Iniciales'!$A:$A,"Go Blue")+SUMIFS(Movimientos!$K$1:$K$858,Movimientos!$C$1:$C$858,"Go Blue",Movimientos!$B$1:$B$858,"&lt;="&amp;$B33)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Group")+SUMIFS(Movimientos!$K$1:$K$858,Movimientos!$C$1:$C$858,"CFT Group",Movimientos!$B$1:$B$858,"&lt;="&amp;$B34)</f>
        <v>983394.14000000013</v>
      </c>
      <c r="D34" s="24">
        <f>SUMIFS('Saldos Iniciales'!$D:$D,'Saldos Iniciales'!$A:$A,"M1B")+SUMIFS(Movimientos!$K$1:$K$858,Movimientos!$C$1:$C$858,"M1B",Movimientos!$B$1:$B$858,"&lt;="&amp;$B34)</f>
        <v>69376.390000000174</v>
      </c>
      <c r="E34" s="24">
        <f>SUMIFS('Saldos Iniciales'!$D:$D,'Saldos Iniciales'!$A:$A,"Durand")+SUMIFS(Movimientos!$K$1:$K$858,Movimientos!$C$1:$C$858,"Durand",Movimientos!$B$1:$B$858,"&lt;="&amp;$B34)</f>
        <v>1669.89</v>
      </c>
      <c r="F34" s="24">
        <f>SUMIFS('Saldos Iniciales'!$D:$D,'Saldos Iniciales'!$A:$A,"A&amp;M Imports")+SUMIFS(Movimientos!$K$1:$K$858,Movimientos!$C$1:$C$858,"A&amp;M Imports",Movimientos!$B$1:$B$858,"&lt;="&amp;$B34)</f>
        <v>804853.11999999988</v>
      </c>
      <c r="G34" s="24">
        <f>SUMIFS('Saldos Iniciales'!$D:$D,'Saldos Iniciales'!$A:$A,"SSP Capital")+SUMIFS(Movimientos!$K$1:$K$858,Movimientos!$C$1:$C$858,"SSP Capital",Movimientos!$B$1:$B$858,"&lt;="&amp;$B34)</f>
        <v>1015901.6699999992</v>
      </c>
      <c r="H34" s="24">
        <f>SUMIFS('Saldos Iniciales'!$D:$D,'Saldos Iniciales'!$A:$A,"Cross Family Trust")+SUMIFS(Movimientos!$K$1:$K$858,Movimientos!$C$1:$C$858,"Cross Family Trust",Movimientos!$B$1:$B$858,"&lt;="&amp;$B34)</f>
        <v>131496.38</v>
      </c>
      <c r="I34" s="24">
        <f>SUMIFS('Saldos Iniciales'!$D:$D,'Saldos Iniciales'!$A:$A,"Cross Security Trust")+SUMIFS(Movimientos!$K$1:$K$858,Movimientos!$C$1:$C$858,"Cross Security Trust",Movimientos!$B$1:$B$858,"&lt;="&amp;$B34)</f>
        <v>88090.37</v>
      </c>
      <c r="J34" s="24">
        <f>SUMIFS('Saldos Iniciales'!$D:$D,'Saldos Iniciales'!$A:$A,"Electrama")+SUMIFS(Movimientos!$K$1:$K$858,Movimientos!$C$1:$C$858,"Electrama",Movimientos!$B$1:$B$858,"&lt;="&amp;$B34)</f>
        <v>511.15999999999985</v>
      </c>
      <c r="K34" s="24">
        <f>SUMIFS('Saldos Iniciales'!$D:$D,'Saldos Iniciales'!$A:$A,"Sacred Valley Capital")+SUMIFS(Movimientos!$K$1:$K$858,Movimientos!$C$1:$C$858,"Sacred Valley Capital",Movimientos!$B$1:$B$858,"&lt;="&amp;$B34)</f>
        <v>84.35</v>
      </c>
      <c r="L34" s="24">
        <f>SUMIFS('Saldos Iniciales'!$D:$D,'Saldos Iniciales'!$A:$A,"YWC Capital")+SUMIFS(Movimientos!$K$1:$K$858,Movimientos!$C$1:$C$858,"YWC Capital",Movimientos!$B$1:$B$858,"&lt;="&amp;$B34)</f>
        <v>2237.77</v>
      </c>
      <c r="M34" s="24">
        <f>SUMIFS('Saldos Iniciales'!$D:$D,'Saldos Iniciales'!$A:$A,"Soweto")+SUMIFS(Movimientos!$K$1:$K$858,Movimientos!$C$1:$C$858,"Soweto",Movimientos!$B$1:$B$858,"&lt;="&amp;$B34)</f>
        <v>3349.94</v>
      </c>
      <c r="N34" s="24">
        <f>SUMIFS('Saldos Iniciales'!$D:$D,'Saldos Iniciales'!$A:$A,"Green Stone Trust")+SUMIFS(Movimientos!$K$1:$K$858,Movimientos!$C$1:$C$858,"Green Stone Trust",Movimientos!$B$1:$B$858,"&lt;="&amp;$B34)</f>
        <v>1968.99</v>
      </c>
      <c r="O34" s="24">
        <f>SUMIFS('Saldos Iniciales'!$D:$D,'Saldos Iniciales'!$A:$A,"EC Auto")+SUMIFS(Movimientos!$K$1:$K$858,Movimientos!$C$1:$C$858,"EC Auto",Movimientos!$B$1:$B$858,"&lt;="&amp;$B34)</f>
        <v>901.34</v>
      </c>
      <c r="P34" s="24">
        <f>SUMIFS('Saldos Iniciales'!$D:$D,'Saldos Iniciales'!$A:$A,"Arbor Capital Properties")+SUMIFS(Movimientos!$K$1:$K$858,Movimientos!$C$1:$C$858,"Arbor Capital Properties",Movimientos!$B$1:$B$858,"&lt;="&amp;$B34)</f>
        <v>1428.08</v>
      </c>
      <c r="Q34" s="24">
        <f>SUMIFS('Saldos Iniciales'!$D:$D,'Saldos Iniciales'!$A:$A,"2515 Overbrook")+SUMIFS(Movimientos!$K$1:$K$858,Movimientos!$C$1:$C$858,"2515 Overbrook",Movimientos!$B$1:$B$858,"&lt;="&amp;$B34)</f>
        <v>25789.969999999961</v>
      </c>
      <c r="R34" s="24">
        <f>SUMIFS('Saldos Iniciales'!$D:$D,'Saldos Iniciales'!$A:$A,"112 Florida Ave")+SUMIFS(Movimientos!$K$1:$K$858,Movimientos!$C$1:$C$858,"112 Florida Ave",Movimientos!$B$1:$B$858,"&lt;="&amp;$B34)</f>
        <v>5321.4300000000021</v>
      </c>
      <c r="S34" s="24">
        <f>SUMIFS('Saldos Iniciales'!$D:$D,'Saldos Iniciales'!$A:$A,"3628 Thomas Ave")+SUMIFS(Movimientos!$K$1:$K$858,Movimientos!$C$1:$C$858,"3628 Thomas Ave",Movimientos!$B$1:$B$858,"&lt;="&amp;$B34)</f>
        <v>24833.23</v>
      </c>
      <c r="T34" s="24">
        <f>SUMIFS('Saldos Iniciales'!$D:$D,'Saldos Iniciales'!$A:$A,"Green Harbor Trust")+SUMIFS(Movimientos!$K$1:$K$858,Movimientos!$C$1:$C$858,"Green Harbor Trust",Movimientos!$B$1:$B$858,"&lt;="&amp;$B34)</f>
        <v>345</v>
      </c>
      <c r="U34" s="24">
        <f>SUMIFS('Saldos Iniciales'!$D:$D,'Saldos Iniciales'!$A:$A,"Go Blue")+SUMIFS(Movimientos!$K$1:$K$858,Movimientos!$C$1:$C$858,"Go Blue",Movimientos!$B$1:$B$858,"&lt;="&amp;$B34)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Group")+SUMIFS(Movimientos!$K$1:$K$858,Movimientos!$C$1:$C$858,"CFT Group",Movimientos!$B$1:$B$858,"&lt;="&amp;$B35)</f>
        <v>983394.14000000013</v>
      </c>
      <c r="D35" s="24">
        <f>SUMIFS('Saldos Iniciales'!$D:$D,'Saldos Iniciales'!$A:$A,"M1B")+SUMIFS(Movimientos!$K$1:$K$858,Movimientos!$C$1:$C$858,"M1B",Movimientos!$B$1:$B$858,"&lt;="&amp;$B35)</f>
        <v>69376.390000000174</v>
      </c>
      <c r="E35" s="24">
        <f>SUMIFS('Saldos Iniciales'!$D:$D,'Saldos Iniciales'!$A:$A,"Durand")+SUMIFS(Movimientos!$K$1:$K$858,Movimientos!$C$1:$C$858,"Durand",Movimientos!$B$1:$B$858,"&lt;="&amp;$B35)</f>
        <v>1669.89</v>
      </c>
      <c r="F35" s="24">
        <f>SUMIFS('Saldos Iniciales'!$D:$D,'Saldos Iniciales'!$A:$A,"A&amp;M Imports")+SUMIFS(Movimientos!$K$1:$K$858,Movimientos!$C$1:$C$858,"A&amp;M Imports",Movimientos!$B$1:$B$858,"&lt;="&amp;$B35)</f>
        <v>804853.11999999988</v>
      </c>
      <c r="G35" s="24">
        <f>SUMIFS('Saldos Iniciales'!$D:$D,'Saldos Iniciales'!$A:$A,"SSP Capital")+SUMIFS(Movimientos!$K$1:$K$858,Movimientos!$C$1:$C$858,"SSP Capital",Movimientos!$B$1:$B$858,"&lt;="&amp;$B35)</f>
        <v>1015611.6599999993</v>
      </c>
      <c r="H35" s="24">
        <f>SUMIFS('Saldos Iniciales'!$D:$D,'Saldos Iniciales'!$A:$A,"Cross Family Trust")+SUMIFS(Movimientos!$K$1:$K$858,Movimientos!$C$1:$C$858,"Cross Family Trust",Movimientos!$B$1:$B$858,"&lt;="&amp;$B35)</f>
        <v>125496.38</v>
      </c>
      <c r="I35" s="24">
        <f>SUMIFS('Saldos Iniciales'!$D:$D,'Saldos Iniciales'!$A:$A,"Cross Security Trust")+SUMIFS(Movimientos!$K$1:$K$858,Movimientos!$C$1:$C$858,"Cross Security Trust",Movimientos!$B$1:$B$858,"&lt;="&amp;$B35)</f>
        <v>88090.37</v>
      </c>
      <c r="J35" s="24">
        <f>SUMIFS('Saldos Iniciales'!$D:$D,'Saldos Iniciales'!$A:$A,"Electrama")+SUMIFS(Movimientos!$K$1:$K$858,Movimientos!$C$1:$C$858,"Electrama",Movimientos!$B$1:$B$858,"&lt;="&amp;$B35)</f>
        <v>511.15999999999985</v>
      </c>
      <c r="K35" s="24">
        <f>SUMIFS('Saldos Iniciales'!$D:$D,'Saldos Iniciales'!$A:$A,"Sacred Valley Capital")+SUMIFS(Movimientos!$K$1:$K$858,Movimientos!$C$1:$C$858,"Sacred Valley Capital",Movimientos!$B$1:$B$858,"&lt;="&amp;$B35)</f>
        <v>84.35</v>
      </c>
      <c r="L35" s="24">
        <f>SUMIFS('Saldos Iniciales'!$D:$D,'Saldos Iniciales'!$A:$A,"YWC Capital")+SUMIFS(Movimientos!$K$1:$K$858,Movimientos!$C$1:$C$858,"YWC Capital",Movimientos!$B$1:$B$858,"&lt;="&amp;$B35)</f>
        <v>2237.77</v>
      </c>
      <c r="M35" s="24">
        <f>SUMIFS('Saldos Iniciales'!$D:$D,'Saldos Iniciales'!$A:$A,"Soweto")+SUMIFS(Movimientos!$K$1:$K$858,Movimientos!$C$1:$C$858,"Soweto",Movimientos!$B$1:$B$858,"&lt;="&amp;$B35)</f>
        <v>3349.94</v>
      </c>
      <c r="N35" s="24">
        <f>SUMIFS('Saldos Iniciales'!$D:$D,'Saldos Iniciales'!$A:$A,"Green Stone Trust")+SUMIFS(Movimientos!$K$1:$K$858,Movimientos!$C$1:$C$858,"Green Stone Trust",Movimientos!$B$1:$B$858,"&lt;="&amp;$B35)</f>
        <v>1968.99</v>
      </c>
      <c r="O35" s="24">
        <f>SUMIFS('Saldos Iniciales'!$D:$D,'Saldos Iniciales'!$A:$A,"EC Auto")+SUMIFS(Movimientos!$K$1:$K$858,Movimientos!$C$1:$C$858,"EC Auto",Movimientos!$B$1:$B$858,"&lt;="&amp;$B35)</f>
        <v>901.34</v>
      </c>
      <c r="P35" s="24">
        <f>SUMIFS('Saldos Iniciales'!$D:$D,'Saldos Iniciales'!$A:$A,"Arbor Capital Properties")+SUMIFS(Movimientos!$K$1:$K$858,Movimientos!$C$1:$C$858,"Arbor Capital Properties",Movimientos!$B$1:$B$858,"&lt;="&amp;$B35)</f>
        <v>1428.08</v>
      </c>
      <c r="Q35" s="24">
        <f>SUMIFS('Saldos Iniciales'!$D:$D,'Saldos Iniciales'!$A:$A,"2515 Overbrook")+SUMIFS(Movimientos!$K$1:$K$858,Movimientos!$C$1:$C$858,"2515 Overbrook",Movimientos!$B$1:$B$858,"&lt;="&amp;$B35)</f>
        <v>25789.969999999961</v>
      </c>
      <c r="R35" s="24">
        <f>SUMIFS('Saldos Iniciales'!$D:$D,'Saldos Iniciales'!$A:$A,"112 Florida Ave")+SUMIFS(Movimientos!$K$1:$K$858,Movimientos!$C$1:$C$858,"112 Florida Ave",Movimientos!$B$1:$B$858,"&lt;="&amp;$B35)</f>
        <v>5321.4300000000021</v>
      </c>
      <c r="S35" s="24">
        <f>SUMIFS('Saldos Iniciales'!$D:$D,'Saldos Iniciales'!$A:$A,"3628 Thomas Ave")+SUMIFS(Movimientos!$K$1:$K$858,Movimientos!$C$1:$C$858,"3628 Thomas Ave",Movimientos!$B$1:$B$858,"&lt;="&amp;$B35)</f>
        <v>24833.23</v>
      </c>
      <c r="T35" s="24">
        <f>SUMIFS('Saldos Iniciales'!$D:$D,'Saldos Iniciales'!$A:$A,"Green Harbor Trust")+SUMIFS(Movimientos!$K$1:$K$858,Movimientos!$C$1:$C$858,"Green Harbor Trust",Movimientos!$B$1:$B$858,"&lt;="&amp;$B35)</f>
        <v>345</v>
      </c>
      <c r="U35" s="24">
        <f>SUMIFS('Saldos Iniciales'!$D:$D,'Saldos Iniciales'!$A:$A,"Go Blue")+SUMIFS(Movimientos!$K$1:$K$858,Movimientos!$C$1:$C$858,"Go Blue",Movimientos!$B$1:$B$858,"&lt;="&amp;$B35)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Group")+SUMIFS(Movimientos!$K$1:$K$858,Movimientos!$C$1:$C$858,"CFT Group",Movimientos!$B$1:$B$858,"&lt;="&amp;$B36)</f>
        <v>733394.14000000013</v>
      </c>
      <c r="D36" s="24">
        <f>SUMIFS('Saldos Iniciales'!$D:$D,'Saldos Iniciales'!$A:$A,"M1B")+SUMIFS(Movimientos!$K$1:$K$858,Movimientos!$C$1:$C$858,"M1B",Movimientos!$B$1:$B$858,"&lt;="&amp;$B36)</f>
        <v>69376.390000000174</v>
      </c>
      <c r="E36" s="24">
        <f>SUMIFS('Saldos Iniciales'!$D:$D,'Saldos Iniciales'!$A:$A,"Durand")+SUMIFS(Movimientos!$K$1:$K$858,Movimientos!$C$1:$C$858,"Durand",Movimientos!$B$1:$B$858,"&lt;="&amp;$B36)</f>
        <v>1669.89</v>
      </c>
      <c r="F36" s="24">
        <f>SUMIFS('Saldos Iniciales'!$D:$D,'Saldos Iniciales'!$A:$A,"A&amp;M Imports")+SUMIFS(Movimientos!$K$1:$K$858,Movimientos!$C$1:$C$858,"A&amp;M Imports",Movimientos!$B$1:$B$858,"&lt;="&amp;$B36)</f>
        <v>729545.23999999987</v>
      </c>
      <c r="G36" s="24">
        <f>SUMIFS('Saldos Iniciales'!$D:$D,'Saldos Iniciales'!$A:$A,"SSP Capital")+SUMIFS(Movimientos!$K$1:$K$858,Movimientos!$C$1:$C$858,"SSP Capital",Movimientos!$B$1:$B$858,"&lt;="&amp;$B36)</f>
        <v>1171714.4499999993</v>
      </c>
      <c r="H36" s="24">
        <f>SUMIFS('Saldos Iniciales'!$D:$D,'Saldos Iniciales'!$A:$A,"Cross Family Trust")+SUMIFS(Movimientos!$K$1:$K$858,Movimientos!$C$1:$C$858,"Cross Family Trust",Movimientos!$B$1:$B$858,"&lt;="&amp;$B36)</f>
        <v>116496.38</v>
      </c>
      <c r="I36" s="24">
        <f>SUMIFS('Saldos Iniciales'!$D:$D,'Saldos Iniciales'!$A:$A,"Cross Security Trust")+SUMIFS(Movimientos!$K$1:$K$858,Movimientos!$C$1:$C$858,"Cross Security Trust",Movimientos!$B$1:$B$858,"&lt;="&amp;$B36)</f>
        <v>88090.37</v>
      </c>
      <c r="J36" s="24">
        <f>SUMIFS('Saldos Iniciales'!$D:$D,'Saldos Iniciales'!$A:$A,"Electrama")+SUMIFS(Movimientos!$K$1:$K$858,Movimientos!$C$1:$C$858,"Electrama",Movimientos!$B$1:$B$858,"&lt;="&amp;$B36)</f>
        <v>511.15999999999985</v>
      </c>
      <c r="K36" s="24">
        <f>SUMIFS('Saldos Iniciales'!$D:$D,'Saldos Iniciales'!$A:$A,"Sacred Valley Capital")+SUMIFS(Movimientos!$K$1:$K$858,Movimientos!$C$1:$C$858,"Sacred Valley Capital",Movimientos!$B$1:$B$858,"&lt;="&amp;$B36)</f>
        <v>84.35</v>
      </c>
      <c r="L36" s="24">
        <f>SUMIFS('Saldos Iniciales'!$D:$D,'Saldos Iniciales'!$A:$A,"YWC Capital")+SUMIFS(Movimientos!$K$1:$K$858,Movimientos!$C$1:$C$858,"YWC Capital",Movimientos!$B$1:$B$858,"&lt;="&amp;$B36)</f>
        <v>2237.77</v>
      </c>
      <c r="M36" s="24">
        <f>SUMIFS('Saldos Iniciales'!$D:$D,'Saldos Iniciales'!$A:$A,"Soweto")+SUMIFS(Movimientos!$K$1:$K$858,Movimientos!$C$1:$C$858,"Soweto",Movimientos!$B$1:$B$858,"&lt;="&amp;$B36)</f>
        <v>3349.94</v>
      </c>
      <c r="N36" s="24">
        <f>SUMIFS('Saldos Iniciales'!$D:$D,'Saldos Iniciales'!$A:$A,"Green Stone Trust")+SUMIFS(Movimientos!$K$1:$K$858,Movimientos!$C$1:$C$858,"Green Stone Trust",Movimientos!$B$1:$B$858,"&lt;="&amp;$B36)</f>
        <v>1968.99</v>
      </c>
      <c r="O36" s="24">
        <f>SUMIFS('Saldos Iniciales'!$D:$D,'Saldos Iniciales'!$A:$A,"EC Auto")+SUMIFS(Movimientos!$K$1:$K$858,Movimientos!$C$1:$C$858,"EC Auto",Movimientos!$B$1:$B$858,"&lt;="&amp;$B36)</f>
        <v>382.69000000000005</v>
      </c>
      <c r="P36" s="24">
        <f>SUMIFS('Saldos Iniciales'!$D:$D,'Saldos Iniciales'!$A:$A,"Arbor Capital Properties")+SUMIFS(Movimientos!$K$1:$K$858,Movimientos!$C$1:$C$858,"Arbor Capital Properties",Movimientos!$B$1:$B$858,"&lt;="&amp;$B36)</f>
        <v>1428.08</v>
      </c>
      <c r="Q36" s="24">
        <f>SUMIFS('Saldos Iniciales'!$D:$D,'Saldos Iniciales'!$A:$A,"2515 Overbrook")+SUMIFS(Movimientos!$K$1:$K$858,Movimientos!$C$1:$C$858,"2515 Overbrook",Movimientos!$B$1:$B$858,"&lt;="&amp;$B36)</f>
        <v>25789.969999999961</v>
      </c>
      <c r="R36" s="24">
        <f>SUMIFS('Saldos Iniciales'!$D:$D,'Saldos Iniciales'!$A:$A,"112 Florida Ave")+SUMIFS(Movimientos!$K$1:$K$858,Movimientos!$C$1:$C$858,"112 Florida Ave",Movimientos!$B$1:$B$858,"&lt;="&amp;$B36)</f>
        <v>5321.4300000000021</v>
      </c>
      <c r="S36" s="24">
        <f>SUMIFS('Saldos Iniciales'!$D:$D,'Saldos Iniciales'!$A:$A,"3628 Thomas Ave")+SUMIFS(Movimientos!$K$1:$K$858,Movimientos!$C$1:$C$858,"3628 Thomas Ave",Movimientos!$B$1:$B$858,"&lt;="&amp;$B36)</f>
        <v>24833.23</v>
      </c>
      <c r="T36" s="24">
        <f>SUMIFS('Saldos Iniciales'!$D:$D,'Saldos Iniciales'!$A:$A,"Green Harbor Trust")+SUMIFS(Movimientos!$K$1:$K$858,Movimientos!$C$1:$C$858,"Green Harbor Trust",Movimientos!$B$1:$B$858,"&lt;="&amp;$B36)</f>
        <v>345</v>
      </c>
      <c r="U36" s="24">
        <f>SUMIFS('Saldos Iniciales'!$D:$D,'Saldos Iniciales'!$A:$A,"Go Blue")+SUMIFS(Movimientos!$K$1:$K$858,Movimientos!$C$1:$C$858,"Go Blue",Movimientos!$B$1:$B$858,"&lt;="&amp;$B36)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Group")+SUMIFS(Movimientos!$K$1:$K$858,Movimientos!$C$1:$C$858,"CFT Group",Movimientos!$B$1:$B$858,"&lt;="&amp;$B37)</f>
        <v>733394.14000000013</v>
      </c>
      <c r="D37" s="24">
        <f>SUMIFS('Saldos Iniciales'!$D:$D,'Saldos Iniciales'!$A:$A,"M1B")+SUMIFS(Movimientos!$K$1:$K$858,Movimientos!$C$1:$C$858,"M1B",Movimientos!$B$1:$B$858,"&lt;="&amp;$B37)</f>
        <v>69376.390000000174</v>
      </c>
      <c r="E37" s="24">
        <f>SUMIFS('Saldos Iniciales'!$D:$D,'Saldos Iniciales'!$A:$A,"Durand")+SUMIFS(Movimientos!$K$1:$K$858,Movimientos!$C$1:$C$858,"Durand",Movimientos!$B$1:$B$858,"&lt;="&amp;$B37)</f>
        <v>1669.89</v>
      </c>
      <c r="F37" s="24">
        <f>SUMIFS('Saldos Iniciales'!$D:$D,'Saldos Iniciales'!$A:$A,"A&amp;M Imports")+SUMIFS(Movimientos!$K$1:$K$858,Movimientos!$C$1:$C$858,"A&amp;M Imports",Movimientos!$B$1:$B$858,"&lt;="&amp;$B37)</f>
        <v>729545.23999999987</v>
      </c>
      <c r="G37" s="24">
        <f>SUMIFS('Saldos Iniciales'!$D:$D,'Saldos Iniciales'!$A:$A,"SSP Capital")+SUMIFS(Movimientos!$K$1:$K$858,Movimientos!$C$1:$C$858,"SSP Capital",Movimientos!$B$1:$B$858,"&lt;="&amp;$B37)</f>
        <v>1164028.3199999994</v>
      </c>
      <c r="H37" s="24">
        <f>SUMIFS('Saldos Iniciales'!$D:$D,'Saldos Iniciales'!$A:$A,"Cross Family Trust")+SUMIFS(Movimientos!$K$1:$K$858,Movimientos!$C$1:$C$858,"Cross Family Trust",Movimientos!$B$1:$B$858,"&lt;="&amp;$B37)</f>
        <v>116496.38</v>
      </c>
      <c r="I37" s="24">
        <f>SUMIFS('Saldos Iniciales'!$D:$D,'Saldos Iniciales'!$A:$A,"Cross Security Trust")+SUMIFS(Movimientos!$K$1:$K$858,Movimientos!$C$1:$C$858,"Cross Security Trust",Movimientos!$B$1:$B$858,"&lt;="&amp;$B37)</f>
        <v>88090.37</v>
      </c>
      <c r="J37" s="24">
        <f>SUMIFS('Saldos Iniciales'!$D:$D,'Saldos Iniciales'!$A:$A,"Electrama")+SUMIFS(Movimientos!$K$1:$K$858,Movimientos!$C$1:$C$858,"Electrama",Movimientos!$B$1:$B$858,"&lt;="&amp;$B37)</f>
        <v>511.15999999999985</v>
      </c>
      <c r="K37" s="24">
        <f>SUMIFS('Saldos Iniciales'!$D:$D,'Saldos Iniciales'!$A:$A,"Sacred Valley Capital")+SUMIFS(Movimientos!$K$1:$K$858,Movimientos!$C$1:$C$858,"Sacred Valley Capital",Movimientos!$B$1:$B$858,"&lt;="&amp;$B37)</f>
        <v>84.35</v>
      </c>
      <c r="L37" s="24">
        <f>SUMIFS('Saldos Iniciales'!$D:$D,'Saldos Iniciales'!$A:$A,"YWC Capital")+SUMIFS(Movimientos!$K$1:$K$858,Movimientos!$C$1:$C$858,"YWC Capital",Movimientos!$B$1:$B$858,"&lt;="&amp;$B37)</f>
        <v>2237.77</v>
      </c>
      <c r="M37" s="24">
        <f>SUMIFS('Saldos Iniciales'!$D:$D,'Saldos Iniciales'!$A:$A,"Soweto")+SUMIFS(Movimientos!$K$1:$K$858,Movimientos!$C$1:$C$858,"Soweto",Movimientos!$B$1:$B$858,"&lt;="&amp;$B37)</f>
        <v>3349.94</v>
      </c>
      <c r="N37" s="24">
        <f>SUMIFS('Saldos Iniciales'!$D:$D,'Saldos Iniciales'!$A:$A,"Green Stone Trust")+SUMIFS(Movimientos!$K$1:$K$858,Movimientos!$C$1:$C$858,"Green Stone Trust",Movimientos!$B$1:$B$858,"&lt;="&amp;$B37)</f>
        <v>1968.99</v>
      </c>
      <c r="O37" s="24">
        <f>SUMIFS('Saldos Iniciales'!$D:$D,'Saldos Iniciales'!$A:$A,"EC Auto")+SUMIFS(Movimientos!$K$1:$K$858,Movimientos!$C$1:$C$858,"EC Auto",Movimientos!$B$1:$B$858,"&lt;="&amp;$B37)</f>
        <v>382.69000000000005</v>
      </c>
      <c r="P37" s="24">
        <f>SUMIFS('Saldos Iniciales'!$D:$D,'Saldos Iniciales'!$A:$A,"Arbor Capital Properties")+SUMIFS(Movimientos!$K$1:$K$858,Movimientos!$C$1:$C$858,"Arbor Capital Properties",Movimientos!$B$1:$B$858,"&lt;="&amp;$B37)</f>
        <v>1428.08</v>
      </c>
      <c r="Q37" s="24">
        <f>SUMIFS('Saldos Iniciales'!$D:$D,'Saldos Iniciales'!$A:$A,"2515 Overbrook")+SUMIFS(Movimientos!$K$1:$K$858,Movimientos!$C$1:$C$858,"2515 Overbrook",Movimientos!$B$1:$B$858,"&lt;="&amp;$B37)</f>
        <v>25789.969999999961</v>
      </c>
      <c r="R37" s="24">
        <f>SUMIFS('Saldos Iniciales'!$D:$D,'Saldos Iniciales'!$A:$A,"112 Florida Ave")+SUMIFS(Movimientos!$K$1:$K$858,Movimientos!$C$1:$C$858,"112 Florida Ave",Movimientos!$B$1:$B$858,"&lt;="&amp;$B37)</f>
        <v>5321.4300000000021</v>
      </c>
      <c r="S37" s="24">
        <f>SUMIFS('Saldos Iniciales'!$D:$D,'Saldos Iniciales'!$A:$A,"3628 Thomas Ave")+SUMIFS(Movimientos!$K$1:$K$858,Movimientos!$C$1:$C$858,"3628 Thomas Ave",Movimientos!$B$1:$B$858,"&lt;="&amp;$B37)</f>
        <v>24833.23</v>
      </c>
      <c r="T37" s="24">
        <f>SUMIFS('Saldos Iniciales'!$D:$D,'Saldos Iniciales'!$A:$A,"Green Harbor Trust")+SUMIFS(Movimientos!$K$1:$K$858,Movimientos!$C$1:$C$858,"Green Harbor Trust",Movimientos!$B$1:$B$858,"&lt;="&amp;$B37)</f>
        <v>345</v>
      </c>
      <c r="U37" s="24">
        <f>SUMIFS('Saldos Iniciales'!$D:$D,'Saldos Iniciales'!$A:$A,"Go Blue")+SUMIFS(Movimientos!$K$1:$K$858,Movimientos!$C$1:$C$858,"Go Blue",Movimientos!$B$1:$B$858,"&lt;="&amp;$B37)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Group")+SUMIFS(Movimientos!$K$1:$K$858,Movimientos!$C$1:$C$858,"CFT Group",Movimientos!$B$1:$B$858,"&lt;="&amp;$B38)</f>
        <v>733394.14000000013</v>
      </c>
      <c r="D38" s="24">
        <f>SUMIFS('Saldos Iniciales'!$D:$D,'Saldos Iniciales'!$A:$A,"M1B")+SUMIFS(Movimientos!$K$1:$K$858,Movimientos!$C$1:$C$858,"M1B",Movimientos!$B$1:$B$858,"&lt;="&amp;$B38)</f>
        <v>69376.390000000174</v>
      </c>
      <c r="E38" s="24">
        <f>SUMIFS('Saldos Iniciales'!$D:$D,'Saldos Iniciales'!$A:$A,"Durand")+SUMIFS(Movimientos!$K$1:$K$858,Movimientos!$C$1:$C$858,"Durand",Movimientos!$B$1:$B$858,"&lt;="&amp;$B38)</f>
        <v>1669.89</v>
      </c>
      <c r="F38" s="24">
        <f>SUMIFS('Saldos Iniciales'!$D:$D,'Saldos Iniciales'!$A:$A,"A&amp;M Imports")+SUMIFS(Movimientos!$K$1:$K$858,Movimientos!$C$1:$C$858,"A&amp;M Imports",Movimientos!$B$1:$B$858,"&lt;="&amp;$B38)</f>
        <v>729545.23999999987</v>
      </c>
      <c r="G38" s="24">
        <f>SUMIFS('Saldos Iniciales'!$D:$D,'Saldos Iniciales'!$A:$A,"SSP Capital")+SUMIFS(Movimientos!$K$1:$K$858,Movimientos!$C$1:$C$858,"SSP Capital",Movimientos!$B$1:$B$858,"&lt;="&amp;$B38)</f>
        <v>1164028.3199999994</v>
      </c>
      <c r="H38" s="24">
        <f>SUMIFS('Saldos Iniciales'!$D:$D,'Saldos Iniciales'!$A:$A,"Cross Family Trust")+SUMIFS(Movimientos!$K$1:$K$858,Movimientos!$C$1:$C$858,"Cross Family Trust",Movimientos!$B$1:$B$858,"&lt;="&amp;$B38)</f>
        <v>116496.38</v>
      </c>
      <c r="I38" s="24">
        <f>SUMIFS('Saldos Iniciales'!$D:$D,'Saldos Iniciales'!$A:$A,"Cross Security Trust")+SUMIFS(Movimientos!$K$1:$K$858,Movimientos!$C$1:$C$858,"Cross Security Trust",Movimientos!$B$1:$B$858,"&lt;="&amp;$B38)</f>
        <v>88090.37</v>
      </c>
      <c r="J38" s="24">
        <f>SUMIFS('Saldos Iniciales'!$D:$D,'Saldos Iniciales'!$A:$A,"Electrama")+SUMIFS(Movimientos!$K$1:$K$858,Movimientos!$C$1:$C$858,"Electrama",Movimientos!$B$1:$B$858,"&lt;="&amp;$B38)</f>
        <v>511.15999999999985</v>
      </c>
      <c r="K38" s="24">
        <f>SUMIFS('Saldos Iniciales'!$D:$D,'Saldos Iniciales'!$A:$A,"Sacred Valley Capital")+SUMIFS(Movimientos!$K$1:$K$858,Movimientos!$C$1:$C$858,"Sacred Valley Capital",Movimientos!$B$1:$B$858,"&lt;="&amp;$B38)</f>
        <v>84.35</v>
      </c>
      <c r="L38" s="24">
        <f>SUMIFS('Saldos Iniciales'!$D:$D,'Saldos Iniciales'!$A:$A,"YWC Capital")+SUMIFS(Movimientos!$K$1:$K$858,Movimientos!$C$1:$C$858,"YWC Capital",Movimientos!$B$1:$B$858,"&lt;="&amp;$B38)</f>
        <v>2237.77</v>
      </c>
      <c r="M38" s="24">
        <f>SUMIFS('Saldos Iniciales'!$D:$D,'Saldos Iniciales'!$A:$A,"Soweto")+SUMIFS(Movimientos!$K$1:$K$858,Movimientos!$C$1:$C$858,"Soweto",Movimientos!$B$1:$B$858,"&lt;="&amp;$B38)</f>
        <v>3349.94</v>
      </c>
      <c r="N38" s="24">
        <f>SUMIFS('Saldos Iniciales'!$D:$D,'Saldos Iniciales'!$A:$A,"Green Stone Trust")+SUMIFS(Movimientos!$K$1:$K$858,Movimientos!$C$1:$C$858,"Green Stone Trust",Movimientos!$B$1:$B$858,"&lt;="&amp;$B38)</f>
        <v>1968.99</v>
      </c>
      <c r="O38" s="24">
        <f>SUMIFS('Saldos Iniciales'!$D:$D,'Saldos Iniciales'!$A:$A,"EC Auto")+SUMIFS(Movimientos!$K$1:$K$858,Movimientos!$C$1:$C$858,"EC Auto",Movimientos!$B$1:$B$858,"&lt;="&amp;$B38)</f>
        <v>382.69000000000005</v>
      </c>
      <c r="P38" s="24">
        <f>SUMIFS('Saldos Iniciales'!$D:$D,'Saldos Iniciales'!$A:$A,"Arbor Capital Properties")+SUMIFS(Movimientos!$K$1:$K$858,Movimientos!$C$1:$C$858,"Arbor Capital Properties",Movimientos!$B$1:$B$858,"&lt;="&amp;$B38)</f>
        <v>1428.08</v>
      </c>
      <c r="Q38" s="24">
        <f>SUMIFS('Saldos Iniciales'!$D:$D,'Saldos Iniciales'!$A:$A,"2515 Overbrook")+SUMIFS(Movimientos!$K$1:$K$858,Movimientos!$C$1:$C$858,"2515 Overbrook",Movimientos!$B$1:$B$858,"&lt;="&amp;$B38)</f>
        <v>25789.969999999961</v>
      </c>
      <c r="R38" s="24">
        <f>SUMIFS('Saldos Iniciales'!$D:$D,'Saldos Iniciales'!$A:$A,"112 Florida Ave")+SUMIFS(Movimientos!$K$1:$K$858,Movimientos!$C$1:$C$858,"112 Florida Ave",Movimientos!$B$1:$B$858,"&lt;="&amp;$B38)</f>
        <v>5321.4300000000021</v>
      </c>
      <c r="S38" s="24">
        <f>SUMIFS('Saldos Iniciales'!$D:$D,'Saldos Iniciales'!$A:$A,"3628 Thomas Ave")+SUMIFS(Movimientos!$K$1:$K$858,Movimientos!$C$1:$C$858,"3628 Thomas Ave",Movimientos!$B$1:$B$858,"&lt;="&amp;$B38)</f>
        <v>24833.23</v>
      </c>
      <c r="T38" s="24">
        <f>SUMIFS('Saldos Iniciales'!$D:$D,'Saldos Iniciales'!$A:$A,"Green Harbor Trust")+SUMIFS(Movimientos!$K$1:$K$858,Movimientos!$C$1:$C$858,"Green Harbor Trust",Movimientos!$B$1:$B$858,"&lt;="&amp;$B38)</f>
        <v>345</v>
      </c>
      <c r="U38" s="24">
        <f>SUMIFS('Saldos Iniciales'!$D:$D,'Saldos Iniciales'!$A:$A,"Go Blue")+SUMIFS(Movimientos!$K$1:$K$858,Movimientos!$C$1:$C$858,"Go Blue",Movimientos!$B$1:$B$858,"&lt;="&amp;$B38)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Group")+SUMIFS(Movimientos!$K$1:$K$858,Movimientos!$C$1:$C$858,"CFT Group",Movimientos!$B$1:$B$858,"&lt;="&amp;$B39)</f>
        <v>733394.14000000013</v>
      </c>
      <c r="D39" s="24">
        <f>SUMIFS('Saldos Iniciales'!$D:$D,'Saldos Iniciales'!$A:$A,"M1B")+SUMIFS(Movimientos!$K$1:$K$858,Movimientos!$C$1:$C$858,"M1B",Movimientos!$B$1:$B$858,"&lt;="&amp;$B39)</f>
        <v>69376.390000000174</v>
      </c>
      <c r="E39" s="24">
        <f>SUMIFS('Saldos Iniciales'!$D:$D,'Saldos Iniciales'!$A:$A,"Durand")+SUMIFS(Movimientos!$K$1:$K$858,Movimientos!$C$1:$C$858,"Durand",Movimientos!$B$1:$B$858,"&lt;="&amp;$B39)</f>
        <v>1669.89</v>
      </c>
      <c r="F39" s="24">
        <f>SUMIFS('Saldos Iniciales'!$D:$D,'Saldos Iniciales'!$A:$A,"A&amp;M Imports")+SUMIFS(Movimientos!$K$1:$K$858,Movimientos!$C$1:$C$858,"A&amp;M Imports",Movimientos!$B$1:$B$858,"&lt;="&amp;$B39)</f>
        <v>729545.23999999987</v>
      </c>
      <c r="G39" s="24">
        <f>SUMIFS('Saldos Iniciales'!$D:$D,'Saldos Iniciales'!$A:$A,"SSP Capital")+SUMIFS(Movimientos!$K$1:$K$858,Movimientos!$C$1:$C$858,"SSP Capital",Movimientos!$B$1:$B$858,"&lt;="&amp;$B39)</f>
        <v>1164028.3199999994</v>
      </c>
      <c r="H39" s="24">
        <f>SUMIFS('Saldos Iniciales'!$D:$D,'Saldos Iniciales'!$A:$A,"Cross Family Trust")+SUMIFS(Movimientos!$K$1:$K$858,Movimientos!$C$1:$C$858,"Cross Family Trust",Movimientos!$B$1:$B$858,"&lt;="&amp;$B39)</f>
        <v>116496.38</v>
      </c>
      <c r="I39" s="24">
        <f>SUMIFS('Saldos Iniciales'!$D:$D,'Saldos Iniciales'!$A:$A,"Cross Security Trust")+SUMIFS(Movimientos!$K$1:$K$858,Movimientos!$C$1:$C$858,"Cross Security Trust",Movimientos!$B$1:$B$858,"&lt;="&amp;$B39)</f>
        <v>88090.37</v>
      </c>
      <c r="J39" s="24">
        <f>SUMIFS('Saldos Iniciales'!$D:$D,'Saldos Iniciales'!$A:$A,"Electrama")+SUMIFS(Movimientos!$K$1:$K$858,Movimientos!$C$1:$C$858,"Electrama",Movimientos!$B$1:$B$858,"&lt;="&amp;$B39)</f>
        <v>511.15999999999985</v>
      </c>
      <c r="K39" s="24">
        <f>SUMIFS('Saldos Iniciales'!$D:$D,'Saldos Iniciales'!$A:$A,"Sacred Valley Capital")+SUMIFS(Movimientos!$K$1:$K$858,Movimientos!$C$1:$C$858,"Sacred Valley Capital",Movimientos!$B$1:$B$858,"&lt;="&amp;$B39)</f>
        <v>84.35</v>
      </c>
      <c r="L39" s="24">
        <f>SUMIFS('Saldos Iniciales'!$D:$D,'Saldos Iniciales'!$A:$A,"YWC Capital")+SUMIFS(Movimientos!$K$1:$K$858,Movimientos!$C$1:$C$858,"YWC Capital",Movimientos!$B$1:$B$858,"&lt;="&amp;$B39)</f>
        <v>2237.77</v>
      </c>
      <c r="M39" s="24">
        <f>SUMIFS('Saldos Iniciales'!$D:$D,'Saldos Iniciales'!$A:$A,"Soweto")+SUMIFS(Movimientos!$K$1:$K$858,Movimientos!$C$1:$C$858,"Soweto",Movimientos!$B$1:$B$858,"&lt;="&amp;$B39)</f>
        <v>3349.94</v>
      </c>
      <c r="N39" s="24">
        <f>SUMIFS('Saldos Iniciales'!$D:$D,'Saldos Iniciales'!$A:$A,"Green Stone Trust")+SUMIFS(Movimientos!$K$1:$K$858,Movimientos!$C$1:$C$858,"Green Stone Trust",Movimientos!$B$1:$B$858,"&lt;="&amp;$B39)</f>
        <v>1968.99</v>
      </c>
      <c r="O39" s="24">
        <f>SUMIFS('Saldos Iniciales'!$D:$D,'Saldos Iniciales'!$A:$A,"EC Auto")+SUMIFS(Movimientos!$K$1:$K$858,Movimientos!$C$1:$C$858,"EC Auto",Movimientos!$B$1:$B$858,"&lt;="&amp;$B39)</f>
        <v>382.69000000000005</v>
      </c>
      <c r="P39" s="24">
        <f>SUMIFS('Saldos Iniciales'!$D:$D,'Saldos Iniciales'!$A:$A,"Arbor Capital Properties")+SUMIFS(Movimientos!$K$1:$K$858,Movimientos!$C$1:$C$858,"Arbor Capital Properties",Movimientos!$B$1:$B$858,"&lt;="&amp;$B39)</f>
        <v>1428.08</v>
      </c>
      <c r="Q39" s="24">
        <f>SUMIFS('Saldos Iniciales'!$D:$D,'Saldos Iniciales'!$A:$A,"2515 Overbrook")+SUMIFS(Movimientos!$K$1:$K$858,Movimientos!$C$1:$C$858,"2515 Overbrook",Movimientos!$B$1:$B$858,"&lt;="&amp;$B39)</f>
        <v>25789.969999999961</v>
      </c>
      <c r="R39" s="24">
        <f>SUMIFS('Saldos Iniciales'!$D:$D,'Saldos Iniciales'!$A:$A,"112 Florida Ave")+SUMIFS(Movimientos!$K$1:$K$858,Movimientos!$C$1:$C$858,"112 Florida Ave",Movimientos!$B$1:$B$858,"&lt;="&amp;$B39)</f>
        <v>5321.4300000000021</v>
      </c>
      <c r="S39" s="24">
        <f>SUMIFS('Saldos Iniciales'!$D:$D,'Saldos Iniciales'!$A:$A,"3628 Thomas Ave")+SUMIFS(Movimientos!$K$1:$K$858,Movimientos!$C$1:$C$858,"3628 Thomas Ave",Movimientos!$B$1:$B$858,"&lt;="&amp;$B39)</f>
        <v>24833.23</v>
      </c>
      <c r="T39" s="24">
        <f>SUMIFS('Saldos Iniciales'!$D:$D,'Saldos Iniciales'!$A:$A,"Green Harbor Trust")+SUMIFS(Movimientos!$K$1:$K$858,Movimientos!$C$1:$C$858,"Green Harbor Trust",Movimientos!$B$1:$B$858,"&lt;="&amp;$B39)</f>
        <v>345</v>
      </c>
      <c r="U39" s="24">
        <f>SUMIFS('Saldos Iniciales'!$D:$D,'Saldos Iniciales'!$A:$A,"Go Blue")+SUMIFS(Movimientos!$K$1:$K$858,Movimientos!$C$1:$C$858,"Go Blue",Movimientos!$B$1:$B$858,"&lt;="&amp;$B39)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Group")+SUMIFS(Movimientos!$K$1:$K$858,Movimientos!$C$1:$C$858,"CFT Group",Movimientos!$B$1:$B$858,"&lt;="&amp;$B40)</f>
        <v>733394.14000000013</v>
      </c>
      <c r="D40" s="24">
        <f>SUMIFS('Saldos Iniciales'!$D:$D,'Saldos Iniciales'!$A:$A,"M1B")+SUMIFS(Movimientos!$K$1:$K$858,Movimientos!$C$1:$C$858,"M1B",Movimientos!$B$1:$B$858,"&lt;="&amp;$B40)</f>
        <v>69376.390000000174</v>
      </c>
      <c r="E40" s="24">
        <f>SUMIFS('Saldos Iniciales'!$D:$D,'Saldos Iniciales'!$A:$A,"Durand")+SUMIFS(Movimientos!$K$1:$K$858,Movimientos!$C$1:$C$858,"Durand",Movimientos!$B$1:$B$858,"&lt;="&amp;$B40)</f>
        <v>1669.89</v>
      </c>
      <c r="F40" s="24">
        <f>SUMIFS('Saldos Iniciales'!$D:$D,'Saldos Iniciales'!$A:$A,"A&amp;M Imports")+SUMIFS(Movimientos!$K$1:$K$858,Movimientos!$C$1:$C$858,"A&amp;M Imports",Movimientos!$B$1:$B$858,"&lt;="&amp;$B40)</f>
        <v>729545.23999999987</v>
      </c>
      <c r="G40" s="24">
        <f>SUMIFS('Saldos Iniciales'!$D:$D,'Saldos Iniciales'!$A:$A,"SSP Capital")+SUMIFS(Movimientos!$K$1:$K$858,Movimientos!$C$1:$C$858,"SSP Capital",Movimientos!$B$1:$B$858,"&lt;="&amp;$B40)</f>
        <v>1164028.3199999994</v>
      </c>
      <c r="H40" s="24">
        <f>SUMIFS('Saldos Iniciales'!$D:$D,'Saldos Iniciales'!$A:$A,"Cross Family Trust")+SUMIFS(Movimientos!$K$1:$K$858,Movimientos!$C$1:$C$858,"Cross Family Trust",Movimientos!$B$1:$B$858,"&lt;="&amp;$B40)</f>
        <v>116496.38</v>
      </c>
      <c r="I40" s="24">
        <f>SUMIFS('Saldos Iniciales'!$D:$D,'Saldos Iniciales'!$A:$A,"Cross Security Trust")+SUMIFS(Movimientos!$K$1:$K$858,Movimientos!$C$1:$C$858,"Cross Security Trust",Movimientos!$B$1:$B$858,"&lt;="&amp;$B40)</f>
        <v>88090.37</v>
      </c>
      <c r="J40" s="24">
        <f>SUMIFS('Saldos Iniciales'!$D:$D,'Saldos Iniciales'!$A:$A,"Electrama")+SUMIFS(Movimientos!$K$1:$K$858,Movimientos!$C$1:$C$858,"Electrama",Movimientos!$B$1:$B$858,"&lt;="&amp;$B40)</f>
        <v>511.15999999999985</v>
      </c>
      <c r="K40" s="24">
        <f>SUMIFS('Saldos Iniciales'!$D:$D,'Saldos Iniciales'!$A:$A,"Sacred Valley Capital")+SUMIFS(Movimientos!$K$1:$K$858,Movimientos!$C$1:$C$858,"Sacred Valley Capital",Movimientos!$B$1:$B$858,"&lt;="&amp;$B40)</f>
        <v>84.35</v>
      </c>
      <c r="L40" s="24">
        <f>SUMIFS('Saldos Iniciales'!$D:$D,'Saldos Iniciales'!$A:$A,"YWC Capital")+SUMIFS(Movimientos!$K$1:$K$858,Movimientos!$C$1:$C$858,"YWC Capital",Movimientos!$B$1:$B$858,"&lt;="&amp;$B40)</f>
        <v>2237.77</v>
      </c>
      <c r="M40" s="24">
        <f>SUMIFS('Saldos Iniciales'!$D:$D,'Saldos Iniciales'!$A:$A,"Soweto")+SUMIFS(Movimientos!$K$1:$K$858,Movimientos!$C$1:$C$858,"Soweto",Movimientos!$B$1:$B$858,"&lt;="&amp;$B40)</f>
        <v>3349.94</v>
      </c>
      <c r="N40" s="24">
        <f>SUMIFS('Saldos Iniciales'!$D:$D,'Saldos Iniciales'!$A:$A,"Green Stone Trust")+SUMIFS(Movimientos!$K$1:$K$858,Movimientos!$C$1:$C$858,"Green Stone Trust",Movimientos!$B$1:$B$858,"&lt;="&amp;$B40)</f>
        <v>1968.99</v>
      </c>
      <c r="O40" s="24">
        <f>SUMIFS('Saldos Iniciales'!$D:$D,'Saldos Iniciales'!$A:$A,"EC Auto")+SUMIFS(Movimientos!$K$1:$K$858,Movimientos!$C$1:$C$858,"EC Auto",Movimientos!$B$1:$B$858,"&lt;="&amp;$B40)</f>
        <v>382.69000000000005</v>
      </c>
      <c r="P40" s="24">
        <f>SUMIFS('Saldos Iniciales'!$D:$D,'Saldos Iniciales'!$A:$A,"Arbor Capital Properties")+SUMIFS(Movimientos!$K$1:$K$858,Movimientos!$C$1:$C$858,"Arbor Capital Properties",Movimientos!$B$1:$B$858,"&lt;="&amp;$B40)</f>
        <v>1428.08</v>
      </c>
      <c r="Q40" s="24">
        <f>SUMIFS('Saldos Iniciales'!$D:$D,'Saldos Iniciales'!$A:$A,"2515 Overbrook")+SUMIFS(Movimientos!$K$1:$K$858,Movimientos!$C$1:$C$858,"2515 Overbrook",Movimientos!$B$1:$B$858,"&lt;="&amp;$B40)</f>
        <v>25789.969999999961</v>
      </c>
      <c r="R40" s="24">
        <f>SUMIFS('Saldos Iniciales'!$D:$D,'Saldos Iniciales'!$A:$A,"112 Florida Ave")+SUMIFS(Movimientos!$K$1:$K$858,Movimientos!$C$1:$C$858,"112 Florida Ave",Movimientos!$B$1:$B$858,"&lt;="&amp;$B40)</f>
        <v>5321.4300000000021</v>
      </c>
      <c r="S40" s="24">
        <f>SUMIFS('Saldos Iniciales'!$D:$D,'Saldos Iniciales'!$A:$A,"3628 Thomas Ave")+SUMIFS(Movimientos!$K$1:$K$858,Movimientos!$C$1:$C$858,"3628 Thomas Ave",Movimientos!$B$1:$B$858,"&lt;="&amp;$B40)</f>
        <v>24833.23</v>
      </c>
      <c r="T40" s="24">
        <f>SUMIFS('Saldos Iniciales'!$D:$D,'Saldos Iniciales'!$A:$A,"Green Harbor Trust")+SUMIFS(Movimientos!$K$1:$K$858,Movimientos!$C$1:$C$858,"Green Harbor Trust",Movimientos!$B$1:$B$858,"&lt;="&amp;$B40)</f>
        <v>345</v>
      </c>
      <c r="U40" s="24">
        <f>SUMIFS('Saldos Iniciales'!$D:$D,'Saldos Iniciales'!$A:$A,"Go Blue")+SUMIFS(Movimientos!$K$1:$K$858,Movimientos!$C$1:$C$858,"Go Blue",Movimientos!$B$1:$B$858,"&lt;="&amp;$B40)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Group")+SUMIFS(Movimientos!$K$1:$K$858,Movimientos!$C$1:$C$858,"CFT Group",Movimientos!$B$1:$B$858,"&lt;="&amp;$B41)</f>
        <v>847381.29000000015</v>
      </c>
      <c r="D41" s="24">
        <f>SUMIFS('Saldos Iniciales'!$D:$D,'Saldos Iniciales'!$A:$A,"M1B")+SUMIFS(Movimientos!$K$1:$K$858,Movimientos!$C$1:$C$858,"M1B",Movimientos!$B$1:$B$858,"&lt;="&amp;$B41)</f>
        <v>69376.390000000174</v>
      </c>
      <c r="E41" s="24">
        <f>SUMIFS('Saldos Iniciales'!$D:$D,'Saldos Iniciales'!$A:$A,"Durand")+SUMIFS(Movimientos!$K$1:$K$858,Movimientos!$C$1:$C$858,"Durand",Movimientos!$B$1:$B$858,"&lt;="&amp;$B41)</f>
        <v>1669.89</v>
      </c>
      <c r="F41" s="24">
        <f>SUMIFS('Saldos Iniciales'!$D:$D,'Saldos Iniciales'!$A:$A,"A&amp;M Imports")+SUMIFS(Movimientos!$K$1:$K$858,Movimientos!$C$1:$C$858,"A&amp;M Imports",Movimientos!$B$1:$B$858,"&lt;="&amp;$B41)</f>
        <v>729545.23999999987</v>
      </c>
      <c r="G41" s="24">
        <f>SUMIFS('Saldos Iniciales'!$D:$D,'Saldos Iniciales'!$A:$A,"SSP Capital")+SUMIFS(Movimientos!$K$1:$K$858,Movimientos!$C$1:$C$858,"SSP Capital",Movimientos!$B$1:$B$858,"&lt;="&amp;$B41)</f>
        <v>1160274.0499999993</v>
      </c>
      <c r="H41" s="24">
        <f>SUMIFS('Saldos Iniciales'!$D:$D,'Saldos Iniciales'!$A:$A,"Cross Family Trust")+SUMIFS(Movimientos!$K$1:$K$858,Movimientos!$C$1:$C$858,"Cross Family Trust",Movimientos!$B$1:$B$858,"&lt;="&amp;$B41)</f>
        <v>116496.38</v>
      </c>
      <c r="I41" s="24">
        <f>SUMIFS('Saldos Iniciales'!$D:$D,'Saldos Iniciales'!$A:$A,"Cross Security Trust")+SUMIFS(Movimientos!$K$1:$K$858,Movimientos!$C$1:$C$858,"Cross Security Trust",Movimientos!$B$1:$B$858,"&lt;="&amp;$B41)</f>
        <v>88090.37</v>
      </c>
      <c r="J41" s="24">
        <f>SUMIFS('Saldos Iniciales'!$D:$D,'Saldos Iniciales'!$A:$A,"Electrama")+SUMIFS(Movimientos!$K$1:$K$858,Movimientos!$C$1:$C$858,"Electrama",Movimientos!$B$1:$B$858,"&lt;="&amp;$B41)</f>
        <v>511.15999999999985</v>
      </c>
      <c r="K41" s="24">
        <f>SUMIFS('Saldos Iniciales'!$D:$D,'Saldos Iniciales'!$A:$A,"Sacred Valley Capital")+SUMIFS(Movimientos!$K$1:$K$858,Movimientos!$C$1:$C$858,"Sacred Valley Capital",Movimientos!$B$1:$B$858,"&lt;="&amp;$B41)</f>
        <v>84.35</v>
      </c>
      <c r="L41" s="24">
        <f>SUMIFS('Saldos Iniciales'!$D:$D,'Saldos Iniciales'!$A:$A,"YWC Capital")+SUMIFS(Movimientos!$K$1:$K$858,Movimientos!$C$1:$C$858,"YWC Capital",Movimientos!$B$1:$B$858,"&lt;="&amp;$B41)</f>
        <v>2237.77</v>
      </c>
      <c r="M41" s="24">
        <f>SUMIFS('Saldos Iniciales'!$D:$D,'Saldos Iniciales'!$A:$A,"Soweto")+SUMIFS(Movimientos!$K$1:$K$858,Movimientos!$C$1:$C$858,"Soweto",Movimientos!$B$1:$B$858,"&lt;="&amp;$B41)</f>
        <v>3349.94</v>
      </c>
      <c r="N41" s="24">
        <f>SUMIFS('Saldos Iniciales'!$D:$D,'Saldos Iniciales'!$A:$A,"Green Stone Trust")+SUMIFS(Movimientos!$K$1:$K$858,Movimientos!$C$1:$C$858,"Green Stone Trust",Movimientos!$B$1:$B$858,"&lt;="&amp;$B41)</f>
        <v>1968.99</v>
      </c>
      <c r="O41" s="24">
        <f>SUMIFS('Saldos Iniciales'!$D:$D,'Saldos Iniciales'!$A:$A,"EC Auto")+SUMIFS(Movimientos!$K$1:$K$858,Movimientos!$C$1:$C$858,"EC Auto",Movimientos!$B$1:$B$858,"&lt;="&amp;$B41)</f>
        <v>382.69000000000005</v>
      </c>
      <c r="P41" s="24">
        <f>SUMIFS('Saldos Iniciales'!$D:$D,'Saldos Iniciales'!$A:$A,"Arbor Capital Properties")+SUMIFS(Movimientos!$K$1:$K$858,Movimientos!$C$1:$C$858,"Arbor Capital Properties",Movimientos!$B$1:$B$858,"&lt;="&amp;$B41)</f>
        <v>1428.08</v>
      </c>
      <c r="Q41" s="24">
        <f>SUMIFS('Saldos Iniciales'!$D:$D,'Saldos Iniciales'!$A:$A,"2515 Overbrook")+SUMIFS(Movimientos!$K$1:$K$858,Movimientos!$C$1:$C$858,"2515 Overbrook",Movimientos!$B$1:$B$858,"&lt;="&amp;$B41)</f>
        <v>25789.969999999961</v>
      </c>
      <c r="R41" s="24">
        <f>SUMIFS('Saldos Iniciales'!$D:$D,'Saldos Iniciales'!$A:$A,"112 Florida Ave")+SUMIFS(Movimientos!$K$1:$K$858,Movimientos!$C$1:$C$858,"112 Florida Ave",Movimientos!$B$1:$B$858,"&lt;="&amp;$B41)</f>
        <v>5321.4300000000021</v>
      </c>
      <c r="S41" s="24">
        <f>SUMIFS('Saldos Iniciales'!$D:$D,'Saldos Iniciales'!$A:$A,"3628 Thomas Ave")+SUMIFS(Movimientos!$K$1:$K$858,Movimientos!$C$1:$C$858,"3628 Thomas Ave",Movimientos!$B$1:$B$858,"&lt;="&amp;$B41)</f>
        <v>24833.23</v>
      </c>
      <c r="T41" s="24">
        <f>SUMIFS('Saldos Iniciales'!$D:$D,'Saldos Iniciales'!$A:$A,"Green Harbor Trust")+SUMIFS(Movimientos!$K$1:$K$858,Movimientos!$C$1:$C$858,"Green Harbor Trust",Movimientos!$B$1:$B$858,"&lt;="&amp;$B41)</f>
        <v>345</v>
      </c>
      <c r="U41" s="24">
        <f>SUMIFS('Saldos Iniciales'!$D:$D,'Saldos Iniciales'!$A:$A,"Go Blue")+SUMIFS(Movimientos!$K$1:$K$858,Movimientos!$C$1:$C$858,"Go Blue",Movimientos!$B$1:$B$858,"&lt;="&amp;$B41)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Group")+SUMIFS(Movimientos!$K$1:$K$858,Movimientos!$C$1:$C$858,"CFT Group",Movimientos!$B$1:$B$858,"&lt;="&amp;$B42)</f>
        <v>2288745.9500000002</v>
      </c>
      <c r="D42" s="24">
        <f>SUMIFS('Saldos Iniciales'!$D:$D,'Saldos Iniciales'!$A:$A,"M1B")+SUMIFS(Movimientos!$K$1:$K$858,Movimientos!$C$1:$C$858,"M1B",Movimientos!$B$1:$B$858,"&lt;="&amp;$B42)</f>
        <v>69376.390000000174</v>
      </c>
      <c r="E42" s="24">
        <f>SUMIFS('Saldos Iniciales'!$D:$D,'Saldos Iniciales'!$A:$A,"Durand")+SUMIFS(Movimientos!$K$1:$K$858,Movimientos!$C$1:$C$858,"Durand",Movimientos!$B$1:$B$858,"&lt;="&amp;$B42)</f>
        <v>1669.89</v>
      </c>
      <c r="F42" s="24">
        <f>SUMIFS('Saldos Iniciales'!$D:$D,'Saldos Iniciales'!$A:$A,"A&amp;M Imports")+SUMIFS(Movimientos!$K$1:$K$858,Movimientos!$C$1:$C$858,"A&amp;M Imports",Movimientos!$B$1:$B$858,"&lt;="&amp;$B42)</f>
        <v>744306.80999999982</v>
      </c>
      <c r="G42" s="24">
        <f>SUMIFS('Saldos Iniciales'!$D:$D,'Saldos Iniciales'!$A:$A,"SSP Capital")+SUMIFS(Movimientos!$K$1:$K$858,Movimientos!$C$1:$C$858,"SSP Capital",Movimientos!$B$1:$B$858,"&lt;="&amp;$B42)</f>
        <v>1160274.0499999993</v>
      </c>
      <c r="H42" s="24">
        <f>SUMIFS('Saldos Iniciales'!$D:$D,'Saldos Iniciales'!$A:$A,"Cross Family Trust")+SUMIFS(Movimientos!$K$1:$K$858,Movimientos!$C$1:$C$858,"Cross Family Trust",Movimientos!$B$1:$B$858,"&lt;="&amp;$B42)</f>
        <v>116496.38</v>
      </c>
      <c r="I42" s="24">
        <f>SUMIFS('Saldos Iniciales'!$D:$D,'Saldos Iniciales'!$A:$A,"Cross Security Trust")+SUMIFS(Movimientos!$K$1:$K$858,Movimientos!$C$1:$C$858,"Cross Security Trust",Movimientos!$B$1:$B$858,"&lt;="&amp;$B42)</f>
        <v>88090.37</v>
      </c>
      <c r="J42" s="24">
        <f>SUMIFS('Saldos Iniciales'!$D:$D,'Saldos Iniciales'!$A:$A,"Electrama")+SUMIFS(Movimientos!$K$1:$K$858,Movimientos!$C$1:$C$858,"Electrama",Movimientos!$B$1:$B$858,"&lt;="&amp;$B42)</f>
        <v>511.15999999999985</v>
      </c>
      <c r="K42" s="24">
        <f>SUMIFS('Saldos Iniciales'!$D:$D,'Saldos Iniciales'!$A:$A,"Sacred Valley Capital")+SUMIFS(Movimientos!$K$1:$K$858,Movimientos!$C$1:$C$858,"Sacred Valley Capital",Movimientos!$B$1:$B$858,"&lt;="&amp;$B42)</f>
        <v>84.35</v>
      </c>
      <c r="L42" s="24">
        <f>SUMIFS('Saldos Iniciales'!$D:$D,'Saldos Iniciales'!$A:$A,"YWC Capital")+SUMIFS(Movimientos!$K$1:$K$858,Movimientos!$C$1:$C$858,"YWC Capital",Movimientos!$B$1:$B$858,"&lt;="&amp;$B42)</f>
        <v>2237.77</v>
      </c>
      <c r="M42" s="24">
        <f>SUMIFS('Saldos Iniciales'!$D:$D,'Saldos Iniciales'!$A:$A,"Soweto")+SUMIFS(Movimientos!$K$1:$K$858,Movimientos!$C$1:$C$858,"Soweto",Movimientos!$B$1:$B$858,"&lt;="&amp;$B42)</f>
        <v>3349.94</v>
      </c>
      <c r="N42" s="24">
        <f>SUMIFS('Saldos Iniciales'!$D:$D,'Saldos Iniciales'!$A:$A,"Green Stone Trust")+SUMIFS(Movimientos!$K$1:$K$858,Movimientos!$C$1:$C$858,"Green Stone Trust",Movimientos!$B$1:$B$858,"&lt;="&amp;$B42)</f>
        <v>1968.99</v>
      </c>
      <c r="O42" s="24">
        <f>SUMIFS('Saldos Iniciales'!$D:$D,'Saldos Iniciales'!$A:$A,"EC Auto")+SUMIFS(Movimientos!$K$1:$K$858,Movimientos!$C$1:$C$858,"EC Auto",Movimientos!$B$1:$B$858,"&lt;="&amp;$B42)</f>
        <v>382.69000000000005</v>
      </c>
      <c r="P42" s="24">
        <f>SUMIFS('Saldos Iniciales'!$D:$D,'Saldos Iniciales'!$A:$A,"Arbor Capital Properties")+SUMIFS(Movimientos!$K$1:$K$858,Movimientos!$C$1:$C$858,"Arbor Capital Properties",Movimientos!$B$1:$B$858,"&lt;="&amp;$B42)</f>
        <v>1428.08</v>
      </c>
      <c r="Q42" s="24">
        <f>SUMIFS('Saldos Iniciales'!$D:$D,'Saldos Iniciales'!$A:$A,"2515 Overbrook")+SUMIFS(Movimientos!$K$1:$K$858,Movimientos!$C$1:$C$858,"2515 Overbrook",Movimientos!$B$1:$B$858,"&lt;="&amp;$B42)</f>
        <v>25789.969999999961</v>
      </c>
      <c r="R42" s="24">
        <f>SUMIFS('Saldos Iniciales'!$D:$D,'Saldos Iniciales'!$A:$A,"112 Florida Ave")+SUMIFS(Movimientos!$K$1:$K$858,Movimientos!$C$1:$C$858,"112 Florida Ave",Movimientos!$B$1:$B$858,"&lt;="&amp;$B42)</f>
        <v>5321.4300000000021</v>
      </c>
      <c r="S42" s="24">
        <f>SUMIFS('Saldos Iniciales'!$D:$D,'Saldos Iniciales'!$A:$A,"3628 Thomas Ave")+SUMIFS(Movimientos!$K$1:$K$858,Movimientos!$C$1:$C$858,"3628 Thomas Ave",Movimientos!$B$1:$B$858,"&lt;="&amp;$B42)</f>
        <v>24743.98</v>
      </c>
      <c r="T42" s="24">
        <f>SUMIFS('Saldos Iniciales'!$D:$D,'Saldos Iniciales'!$A:$A,"Green Harbor Trust")+SUMIFS(Movimientos!$K$1:$K$858,Movimientos!$C$1:$C$858,"Green Harbor Trust",Movimientos!$B$1:$B$858,"&lt;="&amp;$B42)</f>
        <v>345</v>
      </c>
      <c r="U42" s="24">
        <f>SUMIFS('Saldos Iniciales'!$D:$D,'Saldos Iniciales'!$A:$A,"Go Blue")+SUMIFS(Movimientos!$K$1:$K$858,Movimientos!$C$1:$C$858,"Go Blue",Movimientos!$B$1:$B$858,"&lt;="&amp;$B42)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Group")+SUMIFS(Movimientos!$K$1:$K$858,Movimientos!$C$1:$C$858,"CFT Group",Movimientos!$B$1:$B$858,"&lt;="&amp;$B43)</f>
        <v>1837784.84</v>
      </c>
      <c r="D43" s="24">
        <f>SUMIFS('Saldos Iniciales'!$D:$D,'Saldos Iniciales'!$A:$A,"M1B")+SUMIFS(Movimientos!$K$1:$K$858,Movimientos!$C$1:$C$858,"M1B",Movimientos!$B$1:$B$858,"&lt;="&amp;$B43)</f>
        <v>69376.390000000174</v>
      </c>
      <c r="E43" s="24">
        <f>SUMIFS('Saldos Iniciales'!$D:$D,'Saldos Iniciales'!$A:$A,"Durand")+SUMIFS(Movimientos!$K$1:$K$858,Movimientos!$C$1:$C$858,"Durand",Movimientos!$B$1:$B$858,"&lt;="&amp;$B43)</f>
        <v>1669.89</v>
      </c>
      <c r="F43" s="24">
        <f>SUMIFS('Saldos Iniciales'!$D:$D,'Saldos Iniciales'!$A:$A,"A&amp;M Imports")+SUMIFS(Movimientos!$K$1:$K$858,Movimientos!$C$1:$C$858,"A&amp;M Imports",Movimientos!$B$1:$B$858,"&lt;="&amp;$B43)</f>
        <v>564626.20999999985</v>
      </c>
      <c r="G43" s="24">
        <f>SUMIFS('Saldos Iniciales'!$D:$D,'Saldos Iniciales'!$A:$A,"SSP Capital")+SUMIFS(Movimientos!$K$1:$K$858,Movimientos!$C$1:$C$858,"SSP Capital",Movimientos!$B$1:$B$858,"&lt;="&amp;$B43)</f>
        <v>794731.82999999926</v>
      </c>
      <c r="H43" s="24">
        <f>SUMIFS('Saldos Iniciales'!$D:$D,'Saldos Iniciales'!$A:$A,"Cross Family Trust")+SUMIFS(Movimientos!$K$1:$K$858,Movimientos!$C$1:$C$858,"Cross Family Trust",Movimientos!$B$1:$B$858,"&lt;="&amp;$B43)</f>
        <v>116496.38</v>
      </c>
      <c r="I43" s="24">
        <f>SUMIFS('Saldos Iniciales'!$D:$D,'Saldos Iniciales'!$A:$A,"Cross Security Trust")+SUMIFS(Movimientos!$K$1:$K$858,Movimientos!$C$1:$C$858,"Cross Security Trust",Movimientos!$B$1:$B$858,"&lt;="&amp;$B43)</f>
        <v>88090.37</v>
      </c>
      <c r="J43" s="24">
        <f>SUMIFS('Saldos Iniciales'!$D:$D,'Saldos Iniciales'!$A:$A,"Electrama")+SUMIFS(Movimientos!$K$1:$K$858,Movimientos!$C$1:$C$858,"Electrama",Movimientos!$B$1:$B$858,"&lt;="&amp;$B43)</f>
        <v>511.15999999999985</v>
      </c>
      <c r="K43" s="24">
        <f>SUMIFS('Saldos Iniciales'!$D:$D,'Saldos Iniciales'!$A:$A,"Sacred Valley Capital")+SUMIFS(Movimientos!$K$1:$K$858,Movimientos!$C$1:$C$858,"Sacred Valley Capital",Movimientos!$B$1:$B$858,"&lt;="&amp;$B43)</f>
        <v>84.35</v>
      </c>
      <c r="L43" s="24">
        <f>SUMIFS('Saldos Iniciales'!$D:$D,'Saldos Iniciales'!$A:$A,"YWC Capital")+SUMIFS(Movimientos!$K$1:$K$858,Movimientos!$C$1:$C$858,"YWC Capital",Movimientos!$B$1:$B$858,"&lt;="&amp;$B43)</f>
        <v>2237.77</v>
      </c>
      <c r="M43" s="24">
        <f>SUMIFS('Saldos Iniciales'!$D:$D,'Saldos Iniciales'!$A:$A,"Soweto")+SUMIFS(Movimientos!$K$1:$K$858,Movimientos!$C$1:$C$858,"Soweto",Movimientos!$B$1:$B$858,"&lt;="&amp;$B43)</f>
        <v>3349.94</v>
      </c>
      <c r="N43" s="24">
        <f>SUMIFS('Saldos Iniciales'!$D:$D,'Saldos Iniciales'!$A:$A,"Green Stone Trust")+SUMIFS(Movimientos!$K$1:$K$858,Movimientos!$C$1:$C$858,"Green Stone Trust",Movimientos!$B$1:$B$858,"&lt;="&amp;$B43)</f>
        <v>1968.99</v>
      </c>
      <c r="O43" s="24">
        <f>SUMIFS('Saldos Iniciales'!$D:$D,'Saldos Iniciales'!$A:$A,"EC Auto")+SUMIFS(Movimientos!$K$1:$K$858,Movimientos!$C$1:$C$858,"EC Auto",Movimientos!$B$1:$B$858,"&lt;="&amp;$B43)</f>
        <v>382.69000000000005</v>
      </c>
      <c r="P43" s="24">
        <f>SUMIFS('Saldos Iniciales'!$D:$D,'Saldos Iniciales'!$A:$A,"Arbor Capital Properties")+SUMIFS(Movimientos!$K$1:$K$858,Movimientos!$C$1:$C$858,"Arbor Capital Properties",Movimientos!$B$1:$B$858,"&lt;="&amp;$B43)</f>
        <v>1428.08</v>
      </c>
      <c r="Q43" s="24">
        <f>SUMIFS('Saldos Iniciales'!$D:$D,'Saldos Iniciales'!$A:$A,"2515 Overbrook")+SUMIFS(Movimientos!$K$1:$K$858,Movimientos!$C$1:$C$858,"2515 Overbrook",Movimientos!$B$1:$B$858,"&lt;="&amp;$B43)</f>
        <v>25789.969999999961</v>
      </c>
      <c r="R43" s="24">
        <f>SUMIFS('Saldos Iniciales'!$D:$D,'Saldos Iniciales'!$A:$A,"112 Florida Ave")+SUMIFS(Movimientos!$K$1:$K$858,Movimientos!$C$1:$C$858,"112 Florida Ave",Movimientos!$B$1:$B$858,"&lt;="&amp;$B43)</f>
        <v>5321.4300000000021</v>
      </c>
      <c r="S43" s="24">
        <f>SUMIFS('Saldos Iniciales'!$D:$D,'Saldos Iniciales'!$A:$A,"3628 Thomas Ave")+SUMIFS(Movimientos!$K$1:$K$858,Movimientos!$C$1:$C$858,"3628 Thomas Ave",Movimientos!$B$1:$B$858,"&lt;="&amp;$B43)</f>
        <v>24743.98</v>
      </c>
      <c r="T43" s="24">
        <f>SUMIFS('Saldos Iniciales'!$D:$D,'Saldos Iniciales'!$A:$A,"Green Harbor Trust")+SUMIFS(Movimientos!$K$1:$K$858,Movimientos!$C$1:$C$858,"Green Harbor Trust",Movimientos!$B$1:$B$858,"&lt;="&amp;$B43)</f>
        <v>345</v>
      </c>
      <c r="U43" s="24">
        <f>SUMIFS('Saldos Iniciales'!$D:$D,'Saldos Iniciales'!$A:$A,"Go Blue")+SUMIFS(Movimientos!$K$1:$K$858,Movimientos!$C$1:$C$858,"Go Blue",Movimientos!$B$1:$B$858,"&lt;="&amp;$B43)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Group")+SUMIFS(Movimientos!$K$1:$K$858,Movimientos!$C$1:$C$858,"CFT Group",Movimientos!$B$1:$B$858,"&lt;="&amp;$B44)</f>
        <v>1837784.84</v>
      </c>
      <c r="D44" s="24">
        <f>SUMIFS('Saldos Iniciales'!$D:$D,'Saldos Iniciales'!$A:$A,"M1B")+SUMIFS(Movimientos!$K$1:$K$858,Movimientos!$C$1:$C$858,"M1B",Movimientos!$B$1:$B$858,"&lt;="&amp;$B44)</f>
        <v>69376.390000000174</v>
      </c>
      <c r="E44" s="24">
        <f>SUMIFS('Saldos Iniciales'!$D:$D,'Saldos Iniciales'!$A:$A,"Durand")+SUMIFS(Movimientos!$K$1:$K$858,Movimientos!$C$1:$C$858,"Durand",Movimientos!$B$1:$B$858,"&lt;="&amp;$B44)</f>
        <v>1669.89</v>
      </c>
      <c r="F44" s="24">
        <f>SUMIFS('Saldos Iniciales'!$D:$D,'Saldos Iniciales'!$A:$A,"A&amp;M Imports")+SUMIFS(Movimientos!$K$1:$K$858,Movimientos!$C$1:$C$858,"A&amp;M Imports",Movimientos!$B$1:$B$858,"&lt;="&amp;$B44)</f>
        <v>564626.20999999985</v>
      </c>
      <c r="G44" s="24">
        <f>SUMIFS('Saldos Iniciales'!$D:$D,'Saldos Iniciales'!$A:$A,"SSP Capital")+SUMIFS(Movimientos!$K$1:$K$858,Movimientos!$C$1:$C$858,"SSP Capital",Movimientos!$B$1:$B$858,"&lt;="&amp;$B44)</f>
        <v>3763348.8299999996</v>
      </c>
      <c r="H44" s="24">
        <f>SUMIFS('Saldos Iniciales'!$D:$D,'Saldos Iniciales'!$A:$A,"Cross Family Trust")+SUMIFS(Movimientos!$K$1:$K$858,Movimientos!$C$1:$C$858,"Cross Family Trust",Movimientos!$B$1:$B$858,"&lt;="&amp;$B44)</f>
        <v>116496.38</v>
      </c>
      <c r="I44" s="24">
        <f>SUMIFS('Saldos Iniciales'!$D:$D,'Saldos Iniciales'!$A:$A,"Cross Security Trust")+SUMIFS(Movimientos!$K$1:$K$858,Movimientos!$C$1:$C$858,"Cross Security Trust",Movimientos!$B$1:$B$858,"&lt;="&amp;$B44)</f>
        <v>88090.37</v>
      </c>
      <c r="J44" s="24">
        <f>SUMIFS('Saldos Iniciales'!$D:$D,'Saldos Iniciales'!$A:$A,"Electrama")+SUMIFS(Movimientos!$K$1:$K$858,Movimientos!$C$1:$C$858,"Electrama",Movimientos!$B$1:$B$858,"&lt;="&amp;$B44)</f>
        <v>511.15999999999985</v>
      </c>
      <c r="K44" s="24">
        <f>SUMIFS('Saldos Iniciales'!$D:$D,'Saldos Iniciales'!$A:$A,"Sacred Valley Capital")+SUMIFS(Movimientos!$K$1:$K$858,Movimientos!$C$1:$C$858,"Sacred Valley Capital",Movimientos!$B$1:$B$858,"&lt;="&amp;$B44)</f>
        <v>84.35</v>
      </c>
      <c r="L44" s="24">
        <f>SUMIFS('Saldos Iniciales'!$D:$D,'Saldos Iniciales'!$A:$A,"YWC Capital")+SUMIFS(Movimientos!$K$1:$K$858,Movimientos!$C$1:$C$858,"YWC Capital",Movimientos!$B$1:$B$858,"&lt;="&amp;$B44)</f>
        <v>2237.77</v>
      </c>
      <c r="M44" s="24">
        <f>SUMIFS('Saldos Iniciales'!$D:$D,'Saldos Iniciales'!$A:$A,"Soweto")+SUMIFS(Movimientos!$K$1:$K$858,Movimientos!$C$1:$C$858,"Soweto",Movimientos!$B$1:$B$858,"&lt;="&amp;$B44)</f>
        <v>3349.94</v>
      </c>
      <c r="N44" s="24">
        <f>SUMIFS('Saldos Iniciales'!$D:$D,'Saldos Iniciales'!$A:$A,"Green Stone Trust")+SUMIFS(Movimientos!$K$1:$K$858,Movimientos!$C$1:$C$858,"Green Stone Trust",Movimientos!$B$1:$B$858,"&lt;="&amp;$B44)</f>
        <v>1968.99</v>
      </c>
      <c r="O44" s="24">
        <f>SUMIFS('Saldos Iniciales'!$D:$D,'Saldos Iniciales'!$A:$A,"EC Auto")+SUMIFS(Movimientos!$K$1:$K$858,Movimientos!$C$1:$C$858,"EC Auto",Movimientos!$B$1:$B$858,"&lt;="&amp;$B44)</f>
        <v>382.69000000000005</v>
      </c>
      <c r="P44" s="24">
        <f>SUMIFS('Saldos Iniciales'!$D:$D,'Saldos Iniciales'!$A:$A,"Arbor Capital Properties")+SUMIFS(Movimientos!$K$1:$K$858,Movimientos!$C$1:$C$858,"Arbor Capital Properties",Movimientos!$B$1:$B$858,"&lt;="&amp;$B44)</f>
        <v>1428.08</v>
      </c>
      <c r="Q44" s="24">
        <f>SUMIFS('Saldos Iniciales'!$D:$D,'Saldos Iniciales'!$A:$A,"2515 Overbrook")+SUMIFS(Movimientos!$K$1:$K$858,Movimientos!$C$1:$C$858,"2515 Overbrook",Movimientos!$B$1:$B$858,"&lt;="&amp;$B44)</f>
        <v>27789.969999999961</v>
      </c>
      <c r="R44" s="24">
        <f>SUMIFS('Saldos Iniciales'!$D:$D,'Saldos Iniciales'!$A:$A,"112 Florida Ave")+SUMIFS(Movimientos!$K$1:$K$858,Movimientos!$C$1:$C$858,"112 Florida Ave",Movimientos!$B$1:$B$858,"&lt;="&amp;$B44)</f>
        <v>5321.4300000000021</v>
      </c>
      <c r="S44" s="24">
        <f>SUMIFS('Saldos Iniciales'!$D:$D,'Saldos Iniciales'!$A:$A,"3628 Thomas Ave")+SUMIFS(Movimientos!$K$1:$K$858,Movimientos!$C$1:$C$858,"3628 Thomas Ave",Movimientos!$B$1:$B$858,"&lt;="&amp;$B44)</f>
        <v>24484.85</v>
      </c>
      <c r="T44" s="24">
        <f>SUMIFS('Saldos Iniciales'!$D:$D,'Saldos Iniciales'!$A:$A,"Green Harbor Trust")+SUMIFS(Movimientos!$K$1:$K$858,Movimientos!$C$1:$C$858,"Green Harbor Trust",Movimientos!$B$1:$B$858,"&lt;="&amp;$B44)</f>
        <v>345</v>
      </c>
      <c r="U44" s="24">
        <f>SUMIFS('Saldos Iniciales'!$D:$D,'Saldos Iniciales'!$A:$A,"Go Blue")+SUMIFS(Movimientos!$K$1:$K$858,Movimientos!$C$1:$C$858,"Go Blue",Movimientos!$B$1:$B$858,"&lt;="&amp;$B44)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Group")+SUMIFS(Movimientos!$K$1:$K$858,Movimientos!$C$1:$C$858,"CFT Group",Movimientos!$B$1:$B$858,"&lt;="&amp;$B45)</f>
        <v>1837784.84</v>
      </c>
      <c r="D45" s="24">
        <f>SUMIFS('Saldos Iniciales'!$D:$D,'Saldos Iniciales'!$A:$A,"M1B")+SUMIFS(Movimientos!$K$1:$K$858,Movimientos!$C$1:$C$858,"M1B",Movimientos!$B$1:$B$858,"&lt;="&amp;$B45)</f>
        <v>69376.390000000174</v>
      </c>
      <c r="E45" s="24">
        <f>SUMIFS('Saldos Iniciales'!$D:$D,'Saldos Iniciales'!$A:$A,"Durand")+SUMIFS(Movimientos!$K$1:$K$858,Movimientos!$C$1:$C$858,"Durand",Movimientos!$B$1:$B$858,"&lt;="&amp;$B45)</f>
        <v>1669.89</v>
      </c>
      <c r="F45" s="24">
        <f>SUMIFS('Saldos Iniciales'!$D:$D,'Saldos Iniciales'!$A:$A,"A&amp;M Imports")+SUMIFS(Movimientos!$K$1:$K$858,Movimientos!$C$1:$C$858,"A&amp;M Imports",Movimientos!$B$1:$B$858,"&lt;="&amp;$B45)</f>
        <v>564626.20999999985</v>
      </c>
      <c r="G45" s="24">
        <f>SUMIFS('Saldos Iniciales'!$D:$D,'Saldos Iniciales'!$A:$A,"SSP Capital")+SUMIFS(Movimientos!$K$1:$K$858,Movimientos!$C$1:$C$858,"SSP Capital",Movimientos!$B$1:$B$858,"&lt;="&amp;$B45)</f>
        <v>3763348.8299999996</v>
      </c>
      <c r="H45" s="24">
        <f>SUMIFS('Saldos Iniciales'!$D:$D,'Saldos Iniciales'!$A:$A,"Cross Family Trust")+SUMIFS(Movimientos!$K$1:$K$858,Movimientos!$C$1:$C$858,"Cross Family Trust",Movimientos!$B$1:$B$858,"&lt;="&amp;$B45)</f>
        <v>116496.38</v>
      </c>
      <c r="I45" s="24">
        <f>SUMIFS('Saldos Iniciales'!$D:$D,'Saldos Iniciales'!$A:$A,"Cross Security Trust")+SUMIFS(Movimientos!$K$1:$K$858,Movimientos!$C$1:$C$858,"Cross Security Trust",Movimientos!$B$1:$B$858,"&lt;="&amp;$B45)</f>
        <v>88090.37</v>
      </c>
      <c r="J45" s="24">
        <f>SUMIFS('Saldos Iniciales'!$D:$D,'Saldos Iniciales'!$A:$A,"Electrama")+SUMIFS(Movimientos!$K$1:$K$858,Movimientos!$C$1:$C$858,"Electrama",Movimientos!$B$1:$B$858,"&lt;="&amp;$B45)</f>
        <v>511.15999999999985</v>
      </c>
      <c r="K45" s="24">
        <f>SUMIFS('Saldos Iniciales'!$D:$D,'Saldos Iniciales'!$A:$A,"Sacred Valley Capital")+SUMIFS(Movimientos!$K$1:$K$858,Movimientos!$C$1:$C$858,"Sacred Valley Capital",Movimientos!$B$1:$B$858,"&lt;="&amp;$B45)</f>
        <v>84.35</v>
      </c>
      <c r="L45" s="24">
        <f>SUMIFS('Saldos Iniciales'!$D:$D,'Saldos Iniciales'!$A:$A,"YWC Capital")+SUMIFS(Movimientos!$K$1:$K$858,Movimientos!$C$1:$C$858,"YWC Capital",Movimientos!$B$1:$B$858,"&lt;="&amp;$B45)</f>
        <v>2237.77</v>
      </c>
      <c r="M45" s="24">
        <f>SUMIFS('Saldos Iniciales'!$D:$D,'Saldos Iniciales'!$A:$A,"Soweto")+SUMIFS(Movimientos!$K$1:$K$858,Movimientos!$C$1:$C$858,"Soweto",Movimientos!$B$1:$B$858,"&lt;="&amp;$B45)</f>
        <v>3349.94</v>
      </c>
      <c r="N45" s="24">
        <f>SUMIFS('Saldos Iniciales'!$D:$D,'Saldos Iniciales'!$A:$A,"Green Stone Trust")+SUMIFS(Movimientos!$K$1:$K$858,Movimientos!$C$1:$C$858,"Green Stone Trust",Movimientos!$B$1:$B$858,"&lt;="&amp;$B45)</f>
        <v>1968.99</v>
      </c>
      <c r="O45" s="24">
        <f>SUMIFS('Saldos Iniciales'!$D:$D,'Saldos Iniciales'!$A:$A,"EC Auto")+SUMIFS(Movimientos!$K$1:$K$858,Movimientos!$C$1:$C$858,"EC Auto",Movimientos!$B$1:$B$858,"&lt;="&amp;$B45)</f>
        <v>382.69000000000005</v>
      </c>
      <c r="P45" s="24">
        <f>SUMIFS('Saldos Iniciales'!$D:$D,'Saldos Iniciales'!$A:$A,"Arbor Capital Properties")+SUMIFS(Movimientos!$K$1:$K$858,Movimientos!$C$1:$C$858,"Arbor Capital Properties",Movimientos!$B$1:$B$858,"&lt;="&amp;$B45)</f>
        <v>1428.08</v>
      </c>
      <c r="Q45" s="24">
        <f>SUMIFS('Saldos Iniciales'!$D:$D,'Saldos Iniciales'!$A:$A,"2515 Overbrook")+SUMIFS(Movimientos!$K$1:$K$858,Movimientos!$C$1:$C$858,"2515 Overbrook",Movimientos!$B$1:$B$858,"&lt;="&amp;$B45)</f>
        <v>27789.969999999961</v>
      </c>
      <c r="R45" s="24">
        <f>SUMIFS('Saldos Iniciales'!$D:$D,'Saldos Iniciales'!$A:$A,"112 Florida Ave")+SUMIFS(Movimientos!$K$1:$K$858,Movimientos!$C$1:$C$858,"112 Florida Ave",Movimientos!$B$1:$B$858,"&lt;="&amp;$B45)</f>
        <v>5321.4300000000021</v>
      </c>
      <c r="S45" s="24">
        <f>SUMIFS('Saldos Iniciales'!$D:$D,'Saldos Iniciales'!$A:$A,"3628 Thomas Ave")+SUMIFS(Movimientos!$K$1:$K$858,Movimientos!$C$1:$C$858,"3628 Thomas Ave",Movimientos!$B$1:$B$858,"&lt;="&amp;$B45)</f>
        <v>24484.85</v>
      </c>
      <c r="T45" s="24">
        <f>SUMIFS('Saldos Iniciales'!$D:$D,'Saldos Iniciales'!$A:$A,"Green Harbor Trust")+SUMIFS(Movimientos!$K$1:$K$858,Movimientos!$C$1:$C$858,"Green Harbor Trust",Movimientos!$B$1:$B$858,"&lt;="&amp;$B45)</f>
        <v>345</v>
      </c>
      <c r="U45" s="24">
        <f>SUMIFS('Saldos Iniciales'!$D:$D,'Saldos Iniciales'!$A:$A,"Go Blue")+SUMIFS(Movimientos!$K$1:$K$858,Movimientos!$C$1:$C$858,"Go Blue",Movimientos!$B$1:$B$858,"&lt;="&amp;$B45)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Group")+SUMIFS(Movimientos!$K$1:$K$858,Movimientos!$C$1:$C$858,"CFT Group",Movimientos!$B$1:$B$858,"&lt;="&amp;$B46)</f>
        <v>1837784.84</v>
      </c>
      <c r="D46" s="24">
        <f>SUMIFS('Saldos Iniciales'!$D:$D,'Saldos Iniciales'!$A:$A,"M1B")+SUMIFS(Movimientos!$K$1:$K$858,Movimientos!$C$1:$C$858,"M1B",Movimientos!$B$1:$B$858,"&lt;="&amp;$B46)</f>
        <v>69376.390000000174</v>
      </c>
      <c r="E46" s="24">
        <f>SUMIFS('Saldos Iniciales'!$D:$D,'Saldos Iniciales'!$A:$A,"Durand")+SUMIFS(Movimientos!$K$1:$K$858,Movimientos!$C$1:$C$858,"Durand",Movimientos!$B$1:$B$858,"&lt;="&amp;$B46)</f>
        <v>1669.89</v>
      </c>
      <c r="F46" s="24">
        <f>SUMIFS('Saldos Iniciales'!$D:$D,'Saldos Iniciales'!$A:$A,"A&amp;M Imports")+SUMIFS(Movimientos!$K$1:$K$858,Movimientos!$C$1:$C$858,"A&amp;M Imports",Movimientos!$B$1:$B$858,"&lt;="&amp;$B46)</f>
        <v>564626.20999999985</v>
      </c>
      <c r="G46" s="24">
        <f>SUMIFS('Saldos Iniciales'!$D:$D,'Saldos Iniciales'!$A:$A,"SSP Capital")+SUMIFS(Movimientos!$K$1:$K$858,Movimientos!$C$1:$C$858,"SSP Capital",Movimientos!$B$1:$B$858,"&lt;="&amp;$B46)</f>
        <v>3763348.8299999996</v>
      </c>
      <c r="H46" s="24">
        <f>SUMIFS('Saldos Iniciales'!$D:$D,'Saldos Iniciales'!$A:$A,"Cross Family Trust")+SUMIFS(Movimientos!$K$1:$K$858,Movimientos!$C$1:$C$858,"Cross Family Trust",Movimientos!$B$1:$B$858,"&lt;="&amp;$B46)</f>
        <v>116496.38</v>
      </c>
      <c r="I46" s="24">
        <f>SUMIFS('Saldos Iniciales'!$D:$D,'Saldos Iniciales'!$A:$A,"Cross Security Trust")+SUMIFS(Movimientos!$K$1:$K$858,Movimientos!$C$1:$C$858,"Cross Security Trust",Movimientos!$B$1:$B$858,"&lt;="&amp;$B46)</f>
        <v>88090.37</v>
      </c>
      <c r="J46" s="24">
        <f>SUMIFS('Saldos Iniciales'!$D:$D,'Saldos Iniciales'!$A:$A,"Electrama")+SUMIFS(Movimientos!$K$1:$K$858,Movimientos!$C$1:$C$858,"Electrama",Movimientos!$B$1:$B$858,"&lt;="&amp;$B46)</f>
        <v>511.15999999999985</v>
      </c>
      <c r="K46" s="24">
        <f>SUMIFS('Saldos Iniciales'!$D:$D,'Saldos Iniciales'!$A:$A,"Sacred Valley Capital")+SUMIFS(Movimientos!$K$1:$K$858,Movimientos!$C$1:$C$858,"Sacred Valley Capital",Movimientos!$B$1:$B$858,"&lt;="&amp;$B46)</f>
        <v>84.35</v>
      </c>
      <c r="L46" s="24">
        <f>SUMIFS('Saldos Iniciales'!$D:$D,'Saldos Iniciales'!$A:$A,"YWC Capital")+SUMIFS(Movimientos!$K$1:$K$858,Movimientos!$C$1:$C$858,"YWC Capital",Movimientos!$B$1:$B$858,"&lt;="&amp;$B46)</f>
        <v>2237.77</v>
      </c>
      <c r="M46" s="24">
        <f>SUMIFS('Saldos Iniciales'!$D:$D,'Saldos Iniciales'!$A:$A,"Soweto")+SUMIFS(Movimientos!$K$1:$K$858,Movimientos!$C$1:$C$858,"Soweto",Movimientos!$B$1:$B$858,"&lt;="&amp;$B46)</f>
        <v>3349.94</v>
      </c>
      <c r="N46" s="24">
        <f>SUMIFS('Saldos Iniciales'!$D:$D,'Saldos Iniciales'!$A:$A,"Green Stone Trust")+SUMIFS(Movimientos!$K$1:$K$858,Movimientos!$C$1:$C$858,"Green Stone Trust",Movimientos!$B$1:$B$858,"&lt;="&amp;$B46)</f>
        <v>1968.99</v>
      </c>
      <c r="O46" s="24">
        <f>SUMIFS('Saldos Iniciales'!$D:$D,'Saldos Iniciales'!$A:$A,"EC Auto")+SUMIFS(Movimientos!$K$1:$K$858,Movimientos!$C$1:$C$858,"EC Auto",Movimientos!$B$1:$B$858,"&lt;="&amp;$B46)</f>
        <v>382.69000000000005</v>
      </c>
      <c r="P46" s="24">
        <f>SUMIFS('Saldos Iniciales'!$D:$D,'Saldos Iniciales'!$A:$A,"Arbor Capital Properties")+SUMIFS(Movimientos!$K$1:$K$858,Movimientos!$C$1:$C$858,"Arbor Capital Properties",Movimientos!$B$1:$B$858,"&lt;="&amp;$B46)</f>
        <v>1428.08</v>
      </c>
      <c r="Q46" s="24">
        <f>SUMIFS('Saldos Iniciales'!$D:$D,'Saldos Iniciales'!$A:$A,"2515 Overbrook")+SUMIFS(Movimientos!$K$1:$K$858,Movimientos!$C$1:$C$858,"2515 Overbrook",Movimientos!$B$1:$B$858,"&lt;="&amp;$B46)</f>
        <v>27789.969999999961</v>
      </c>
      <c r="R46" s="24">
        <f>SUMIFS('Saldos Iniciales'!$D:$D,'Saldos Iniciales'!$A:$A,"112 Florida Ave")+SUMIFS(Movimientos!$K$1:$K$858,Movimientos!$C$1:$C$858,"112 Florida Ave",Movimientos!$B$1:$B$858,"&lt;="&amp;$B46)</f>
        <v>5321.4300000000021</v>
      </c>
      <c r="S46" s="24">
        <f>SUMIFS('Saldos Iniciales'!$D:$D,'Saldos Iniciales'!$A:$A,"3628 Thomas Ave")+SUMIFS(Movimientos!$K$1:$K$858,Movimientos!$C$1:$C$858,"3628 Thomas Ave",Movimientos!$B$1:$B$858,"&lt;="&amp;$B46)</f>
        <v>24484.85</v>
      </c>
      <c r="T46" s="24">
        <f>SUMIFS('Saldos Iniciales'!$D:$D,'Saldos Iniciales'!$A:$A,"Green Harbor Trust")+SUMIFS(Movimientos!$K$1:$K$858,Movimientos!$C$1:$C$858,"Green Harbor Trust",Movimientos!$B$1:$B$858,"&lt;="&amp;$B46)</f>
        <v>345</v>
      </c>
      <c r="U46" s="24">
        <f>SUMIFS('Saldos Iniciales'!$D:$D,'Saldos Iniciales'!$A:$A,"Go Blue")+SUMIFS(Movimientos!$K$1:$K$858,Movimientos!$C$1:$C$858,"Go Blue",Movimientos!$B$1:$B$858,"&lt;="&amp;$B46)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Group")+SUMIFS(Movimientos!$K$1:$K$858,Movimientos!$C$1:$C$858,"CFT Group",Movimientos!$B$1:$B$858,"&lt;="&amp;$B47)</f>
        <v>985975.94000000029</v>
      </c>
      <c r="D47" s="24">
        <f>SUMIFS('Saldos Iniciales'!$D:$D,'Saldos Iniciales'!$A:$A,"M1B")+SUMIFS(Movimientos!$K$1:$K$858,Movimientos!$C$1:$C$858,"M1B",Movimientos!$B$1:$B$858,"&lt;="&amp;$B47)</f>
        <v>69376.390000000174</v>
      </c>
      <c r="E47" s="24">
        <f>SUMIFS('Saldos Iniciales'!$D:$D,'Saldos Iniciales'!$A:$A,"Durand")+SUMIFS(Movimientos!$K$1:$K$858,Movimientos!$C$1:$C$858,"Durand",Movimientos!$B$1:$B$858,"&lt;="&amp;$B47)</f>
        <v>1669.89</v>
      </c>
      <c r="F47" s="24">
        <f>SUMIFS('Saldos Iniciales'!$D:$D,'Saldos Iniciales'!$A:$A,"A&amp;M Imports")+SUMIFS(Movimientos!$K$1:$K$858,Movimientos!$C$1:$C$858,"A&amp;M Imports",Movimientos!$B$1:$B$858,"&lt;="&amp;$B47)</f>
        <v>503904.80999999982</v>
      </c>
      <c r="G47" s="24">
        <f>SUMIFS('Saldos Iniciales'!$D:$D,'Saldos Iniciales'!$A:$A,"SSP Capital")+SUMIFS(Movimientos!$K$1:$K$858,Movimientos!$C$1:$C$858,"SSP Capital",Movimientos!$B$1:$B$858,"&lt;="&amp;$B47)</f>
        <v>3331737.2399999998</v>
      </c>
      <c r="H47" s="24">
        <f>SUMIFS('Saldos Iniciales'!$D:$D,'Saldos Iniciales'!$A:$A,"Cross Family Trust")+SUMIFS(Movimientos!$K$1:$K$858,Movimientos!$C$1:$C$858,"Cross Family Trust",Movimientos!$B$1:$B$858,"&lt;="&amp;$B47)</f>
        <v>116496.38</v>
      </c>
      <c r="I47" s="24">
        <f>SUMIFS('Saldos Iniciales'!$D:$D,'Saldos Iniciales'!$A:$A,"Cross Security Trust")+SUMIFS(Movimientos!$K$1:$K$858,Movimientos!$C$1:$C$858,"Cross Security Trust",Movimientos!$B$1:$B$858,"&lt;="&amp;$B47)</f>
        <v>88090.37</v>
      </c>
      <c r="J47" s="24">
        <f>SUMIFS('Saldos Iniciales'!$D:$D,'Saldos Iniciales'!$A:$A,"Electrama")+SUMIFS(Movimientos!$K$1:$K$858,Movimientos!$C$1:$C$858,"Electrama",Movimientos!$B$1:$B$858,"&lt;="&amp;$B47)</f>
        <v>511.15999999999985</v>
      </c>
      <c r="K47" s="24">
        <f>SUMIFS('Saldos Iniciales'!$D:$D,'Saldos Iniciales'!$A:$A,"Sacred Valley Capital")+SUMIFS(Movimientos!$K$1:$K$858,Movimientos!$C$1:$C$858,"Sacred Valley Capital",Movimientos!$B$1:$B$858,"&lt;="&amp;$B47)</f>
        <v>84.35</v>
      </c>
      <c r="L47" s="24">
        <f>SUMIFS('Saldos Iniciales'!$D:$D,'Saldos Iniciales'!$A:$A,"YWC Capital")+SUMIFS(Movimientos!$K$1:$K$858,Movimientos!$C$1:$C$858,"YWC Capital",Movimientos!$B$1:$B$858,"&lt;="&amp;$B47)</f>
        <v>2237.77</v>
      </c>
      <c r="M47" s="24">
        <f>SUMIFS('Saldos Iniciales'!$D:$D,'Saldos Iniciales'!$A:$A,"Soweto")+SUMIFS(Movimientos!$K$1:$K$858,Movimientos!$C$1:$C$858,"Soweto",Movimientos!$B$1:$B$858,"&lt;="&amp;$B47)</f>
        <v>3349.94</v>
      </c>
      <c r="N47" s="24">
        <f>SUMIFS('Saldos Iniciales'!$D:$D,'Saldos Iniciales'!$A:$A,"Green Stone Trust")+SUMIFS(Movimientos!$K$1:$K$858,Movimientos!$C$1:$C$858,"Green Stone Trust",Movimientos!$B$1:$B$858,"&lt;="&amp;$B47)</f>
        <v>1968.99</v>
      </c>
      <c r="O47" s="24">
        <f>SUMIFS('Saldos Iniciales'!$D:$D,'Saldos Iniciales'!$A:$A,"EC Auto")+SUMIFS(Movimientos!$K$1:$K$858,Movimientos!$C$1:$C$858,"EC Auto",Movimientos!$B$1:$B$858,"&lt;="&amp;$B47)</f>
        <v>382.69000000000005</v>
      </c>
      <c r="P47" s="24">
        <f>SUMIFS('Saldos Iniciales'!$D:$D,'Saldos Iniciales'!$A:$A,"Arbor Capital Properties")+SUMIFS(Movimientos!$K$1:$K$858,Movimientos!$C$1:$C$858,"Arbor Capital Properties",Movimientos!$B$1:$B$858,"&lt;="&amp;$B47)</f>
        <v>1428.08</v>
      </c>
      <c r="Q47" s="24">
        <f>SUMIFS('Saldos Iniciales'!$D:$D,'Saldos Iniciales'!$A:$A,"2515 Overbrook")+SUMIFS(Movimientos!$K$1:$K$858,Movimientos!$C$1:$C$858,"2515 Overbrook",Movimientos!$B$1:$B$858,"&lt;="&amp;$B47)</f>
        <v>29789.969999999961</v>
      </c>
      <c r="R47" s="24">
        <f>SUMIFS('Saldos Iniciales'!$D:$D,'Saldos Iniciales'!$A:$A,"112 Florida Ave")+SUMIFS(Movimientos!$K$1:$K$858,Movimientos!$C$1:$C$858,"112 Florida Ave",Movimientos!$B$1:$B$858,"&lt;="&amp;$B47)</f>
        <v>5321.4300000000021</v>
      </c>
      <c r="S47" s="24">
        <f>SUMIFS('Saldos Iniciales'!$D:$D,'Saldos Iniciales'!$A:$A,"3628 Thomas Ave")+SUMIFS(Movimientos!$K$1:$K$858,Movimientos!$C$1:$C$858,"3628 Thomas Ave",Movimientos!$B$1:$B$858,"&lt;="&amp;$B47)</f>
        <v>20484.849999999999</v>
      </c>
      <c r="T47" s="24">
        <f>SUMIFS('Saldos Iniciales'!$D:$D,'Saldos Iniciales'!$A:$A,"Green Harbor Trust")+SUMIFS(Movimientos!$K$1:$K$858,Movimientos!$C$1:$C$858,"Green Harbor Trust",Movimientos!$B$1:$B$858,"&lt;="&amp;$B47)</f>
        <v>345</v>
      </c>
      <c r="U47" s="24">
        <f>SUMIFS('Saldos Iniciales'!$D:$D,'Saldos Iniciales'!$A:$A,"Go Blue")+SUMIFS(Movimientos!$K$1:$K$858,Movimientos!$C$1:$C$858,"Go Blue",Movimientos!$B$1:$B$858,"&lt;="&amp;$B47)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Group")+SUMIFS(Movimientos!$K$1:$K$858,Movimientos!$C$1:$C$858,"CFT Group",Movimientos!$B$1:$B$858,"&lt;="&amp;$B48)</f>
        <v>1086358.7500000002</v>
      </c>
      <c r="D48" s="24">
        <f>SUMIFS('Saldos Iniciales'!$D:$D,'Saldos Iniciales'!$A:$A,"M1B")+SUMIFS(Movimientos!$K$1:$K$858,Movimientos!$C$1:$C$858,"M1B",Movimientos!$B$1:$B$858,"&lt;="&amp;$B48)</f>
        <v>69376.390000000174</v>
      </c>
      <c r="E48" s="24">
        <f>SUMIFS('Saldos Iniciales'!$D:$D,'Saldos Iniciales'!$A:$A,"Durand")+SUMIFS(Movimientos!$K$1:$K$858,Movimientos!$C$1:$C$858,"Durand",Movimientos!$B$1:$B$858,"&lt;="&amp;$B48)</f>
        <v>1669.89</v>
      </c>
      <c r="F48" s="24">
        <f>SUMIFS('Saldos Iniciales'!$D:$D,'Saldos Iniciales'!$A:$A,"A&amp;M Imports")+SUMIFS(Movimientos!$K$1:$K$858,Movimientos!$C$1:$C$858,"A&amp;M Imports",Movimientos!$B$1:$B$858,"&lt;="&amp;$B48)</f>
        <v>503904.80999999982</v>
      </c>
      <c r="G48" s="24">
        <f>SUMIFS('Saldos Iniciales'!$D:$D,'Saldos Iniciales'!$A:$A,"SSP Capital")+SUMIFS(Movimientos!$K$1:$K$858,Movimientos!$C$1:$C$858,"SSP Capital",Movimientos!$B$1:$B$858,"&lt;="&amp;$B48)</f>
        <v>3329246.88</v>
      </c>
      <c r="H48" s="24">
        <f>SUMIFS('Saldos Iniciales'!$D:$D,'Saldos Iniciales'!$A:$A,"Cross Family Trust")+SUMIFS(Movimientos!$K$1:$K$858,Movimientos!$C$1:$C$858,"Cross Family Trust",Movimientos!$B$1:$B$858,"&lt;="&amp;$B48)</f>
        <v>116496.38</v>
      </c>
      <c r="I48" s="24">
        <f>SUMIFS('Saldos Iniciales'!$D:$D,'Saldos Iniciales'!$A:$A,"Cross Security Trust")+SUMIFS(Movimientos!$K$1:$K$858,Movimientos!$C$1:$C$858,"Cross Security Trust",Movimientos!$B$1:$B$858,"&lt;="&amp;$B48)</f>
        <v>88090.37</v>
      </c>
      <c r="J48" s="24">
        <f>SUMIFS('Saldos Iniciales'!$D:$D,'Saldos Iniciales'!$A:$A,"Electrama")+SUMIFS(Movimientos!$K$1:$K$858,Movimientos!$C$1:$C$858,"Electrama",Movimientos!$B$1:$B$858,"&lt;="&amp;$B48)</f>
        <v>511.15999999999985</v>
      </c>
      <c r="K48" s="24">
        <f>SUMIFS('Saldos Iniciales'!$D:$D,'Saldos Iniciales'!$A:$A,"Sacred Valley Capital")+SUMIFS(Movimientos!$K$1:$K$858,Movimientos!$C$1:$C$858,"Sacred Valley Capital",Movimientos!$B$1:$B$858,"&lt;="&amp;$B48)</f>
        <v>84.35</v>
      </c>
      <c r="L48" s="24">
        <f>SUMIFS('Saldos Iniciales'!$D:$D,'Saldos Iniciales'!$A:$A,"YWC Capital")+SUMIFS(Movimientos!$K$1:$K$858,Movimientos!$C$1:$C$858,"YWC Capital",Movimientos!$B$1:$B$858,"&lt;="&amp;$B48)</f>
        <v>2237.77</v>
      </c>
      <c r="M48" s="24">
        <f>SUMIFS('Saldos Iniciales'!$D:$D,'Saldos Iniciales'!$A:$A,"Soweto")+SUMIFS(Movimientos!$K$1:$K$858,Movimientos!$C$1:$C$858,"Soweto",Movimientos!$B$1:$B$858,"&lt;="&amp;$B48)</f>
        <v>3349.94</v>
      </c>
      <c r="N48" s="24">
        <f>SUMIFS('Saldos Iniciales'!$D:$D,'Saldos Iniciales'!$A:$A,"Green Stone Trust")+SUMIFS(Movimientos!$K$1:$K$858,Movimientos!$C$1:$C$858,"Green Stone Trust",Movimientos!$B$1:$B$858,"&lt;="&amp;$B48)</f>
        <v>1968.99</v>
      </c>
      <c r="O48" s="24">
        <f>SUMIFS('Saldos Iniciales'!$D:$D,'Saldos Iniciales'!$A:$A,"EC Auto")+SUMIFS(Movimientos!$K$1:$K$858,Movimientos!$C$1:$C$858,"EC Auto",Movimientos!$B$1:$B$858,"&lt;="&amp;$B48)</f>
        <v>382.69000000000005</v>
      </c>
      <c r="P48" s="24">
        <f>SUMIFS('Saldos Iniciales'!$D:$D,'Saldos Iniciales'!$A:$A,"Arbor Capital Properties")+SUMIFS(Movimientos!$K$1:$K$858,Movimientos!$C$1:$C$858,"Arbor Capital Properties",Movimientos!$B$1:$B$858,"&lt;="&amp;$B48)</f>
        <v>1428.08</v>
      </c>
      <c r="Q48" s="24">
        <f>SUMIFS('Saldos Iniciales'!$D:$D,'Saldos Iniciales'!$A:$A,"2515 Overbrook")+SUMIFS(Movimientos!$K$1:$K$858,Movimientos!$C$1:$C$858,"2515 Overbrook",Movimientos!$B$1:$B$858,"&lt;="&amp;$B48)</f>
        <v>29789.969999999961</v>
      </c>
      <c r="R48" s="24">
        <f>SUMIFS('Saldos Iniciales'!$D:$D,'Saldos Iniciales'!$A:$A,"112 Florida Ave")+SUMIFS(Movimientos!$K$1:$K$858,Movimientos!$C$1:$C$858,"112 Florida Ave",Movimientos!$B$1:$B$858,"&lt;="&amp;$B48)</f>
        <v>20321.43</v>
      </c>
      <c r="S48" s="24">
        <f>SUMIFS('Saldos Iniciales'!$D:$D,'Saldos Iniciales'!$A:$A,"3628 Thomas Ave")+SUMIFS(Movimientos!$K$1:$K$858,Movimientos!$C$1:$C$858,"3628 Thomas Ave",Movimientos!$B$1:$B$858,"&lt;="&amp;$B48)</f>
        <v>19811.349999999999</v>
      </c>
      <c r="T48" s="24">
        <f>SUMIFS('Saldos Iniciales'!$D:$D,'Saldos Iniciales'!$A:$A,"Green Harbor Trust")+SUMIFS(Movimientos!$K$1:$K$858,Movimientos!$C$1:$C$858,"Green Harbor Trust",Movimientos!$B$1:$B$858,"&lt;="&amp;$B48)</f>
        <v>345</v>
      </c>
      <c r="U48" s="24">
        <f>SUMIFS('Saldos Iniciales'!$D:$D,'Saldos Iniciales'!$A:$A,"Go Blue")+SUMIFS(Movimientos!$K$1:$K$858,Movimientos!$C$1:$C$858,"Go Blue",Movimientos!$B$1:$B$858,"&lt;="&amp;$B48)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Group")+SUMIFS(Movimientos!$K$1:$K$858,Movimientos!$C$1:$C$858,"CFT Group",Movimientos!$B$1:$B$858,"&lt;="&amp;$B49)</f>
        <v>1098358.7500000002</v>
      </c>
      <c r="D49" s="24">
        <f>SUMIFS('Saldos Iniciales'!$D:$D,'Saldos Iniciales'!$A:$A,"M1B")+SUMIFS(Movimientos!$K$1:$K$858,Movimientos!$C$1:$C$858,"M1B",Movimientos!$B$1:$B$858,"&lt;="&amp;$B49)</f>
        <v>69376.390000000174</v>
      </c>
      <c r="E49" s="24">
        <f>SUMIFS('Saldos Iniciales'!$D:$D,'Saldos Iniciales'!$A:$A,"Durand")+SUMIFS(Movimientos!$K$1:$K$858,Movimientos!$C$1:$C$858,"Durand",Movimientos!$B$1:$B$858,"&lt;="&amp;$B49)</f>
        <v>1669.89</v>
      </c>
      <c r="F49" s="24">
        <f>SUMIFS('Saldos Iniciales'!$D:$D,'Saldos Iniciales'!$A:$A,"A&amp;M Imports")+SUMIFS(Movimientos!$K$1:$K$858,Movimientos!$C$1:$C$858,"A&amp;M Imports",Movimientos!$B$1:$B$858,"&lt;="&amp;$B49)</f>
        <v>503904.80999999982</v>
      </c>
      <c r="G49" s="24">
        <f>SUMIFS('Saldos Iniciales'!$D:$D,'Saldos Iniciales'!$A:$A,"SSP Capital")+SUMIFS(Movimientos!$K$1:$K$858,Movimientos!$C$1:$C$858,"SSP Capital",Movimientos!$B$1:$B$858,"&lt;="&amp;$B49)</f>
        <v>3326863.3899999997</v>
      </c>
      <c r="H49" s="24">
        <f>SUMIFS('Saldos Iniciales'!$D:$D,'Saldos Iniciales'!$A:$A,"Cross Family Trust")+SUMIFS(Movimientos!$K$1:$K$858,Movimientos!$C$1:$C$858,"Cross Family Trust",Movimientos!$B$1:$B$858,"&lt;="&amp;$B49)</f>
        <v>116496.38</v>
      </c>
      <c r="I49" s="24">
        <f>SUMIFS('Saldos Iniciales'!$D:$D,'Saldos Iniciales'!$A:$A,"Cross Security Trust")+SUMIFS(Movimientos!$K$1:$K$858,Movimientos!$C$1:$C$858,"Cross Security Trust",Movimientos!$B$1:$B$858,"&lt;="&amp;$B49)</f>
        <v>88090.37</v>
      </c>
      <c r="J49" s="24">
        <f>SUMIFS('Saldos Iniciales'!$D:$D,'Saldos Iniciales'!$A:$A,"Electrama")+SUMIFS(Movimientos!$K$1:$K$858,Movimientos!$C$1:$C$858,"Electrama",Movimientos!$B$1:$B$858,"&lt;="&amp;$B49)</f>
        <v>511.15999999999985</v>
      </c>
      <c r="K49" s="24">
        <f>SUMIFS('Saldos Iniciales'!$D:$D,'Saldos Iniciales'!$A:$A,"Sacred Valley Capital")+SUMIFS(Movimientos!$K$1:$K$858,Movimientos!$C$1:$C$858,"Sacred Valley Capital",Movimientos!$B$1:$B$858,"&lt;="&amp;$B49)</f>
        <v>84.35</v>
      </c>
      <c r="L49" s="24">
        <f>SUMIFS('Saldos Iniciales'!$D:$D,'Saldos Iniciales'!$A:$A,"YWC Capital")+SUMIFS(Movimientos!$K$1:$K$858,Movimientos!$C$1:$C$858,"YWC Capital",Movimientos!$B$1:$B$858,"&lt;="&amp;$B49)</f>
        <v>2237.77</v>
      </c>
      <c r="M49" s="24">
        <f>SUMIFS('Saldos Iniciales'!$D:$D,'Saldos Iniciales'!$A:$A,"Soweto")+SUMIFS(Movimientos!$K$1:$K$858,Movimientos!$C$1:$C$858,"Soweto",Movimientos!$B$1:$B$858,"&lt;="&amp;$B49)</f>
        <v>3349.94</v>
      </c>
      <c r="N49" s="24">
        <f>SUMIFS('Saldos Iniciales'!$D:$D,'Saldos Iniciales'!$A:$A,"Green Stone Trust")+SUMIFS(Movimientos!$K$1:$K$858,Movimientos!$C$1:$C$858,"Green Stone Trust",Movimientos!$B$1:$B$858,"&lt;="&amp;$B49)</f>
        <v>1968.99</v>
      </c>
      <c r="O49" s="24">
        <f>SUMIFS('Saldos Iniciales'!$D:$D,'Saldos Iniciales'!$A:$A,"EC Auto")+SUMIFS(Movimientos!$K$1:$K$858,Movimientos!$C$1:$C$858,"EC Auto",Movimientos!$B$1:$B$858,"&lt;="&amp;$B49)</f>
        <v>382.69000000000005</v>
      </c>
      <c r="P49" s="24">
        <f>SUMIFS('Saldos Iniciales'!$D:$D,'Saldos Iniciales'!$A:$A,"Arbor Capital Properties")+SUMIFS(Movimientos!$K$1:$K$858,Movimientos!$C$1:$C$858,"Arbor Capital Properties",Movimientos!$B$1:$B$858,"&lt;="&amp;$B49)</f>
        <v>1428.08</v>
      </c>
      <c r="Q49" s="24">
        <f>SUMIFS('Saldos Iniciales'!$D:$D,'Saldos Iniciales'!$A:$A,"2515 Overbrook")+SUMIFS(Movimientos!$K$1:$K$858,Movimientos!$C$1:$C$858,"2515 Overbrook",Movimientos!$B$1:$B$858,"&lt;="&amp;$B49)</f>
        <v>29789.969999999961</v>
      </c>
      <c r="R49" s="24">
        <f>SUMIFS('Saldos Iniciales'!$D:$D,'Saldos Iniciales'!$A:$A,"112 Florida Ave")+SUMIFS(Movimientos!$K$1:$K$858,Movimientos!$C$1:$C$858,"112 Florida Ave",Movimientos!$B$1:$B$858,"&lt;="&amp;$B49)</f>
        <v>20321.43</v>
      </c>
      <c r="S49" s="24">
        <f>SUMIFS('Saldos Iniciales'!$D:$D,'Saldos Iniciales'!$A:$A,"3628 Thomas Ave")+SUMIFS(Movimientos!$K$1:$K$858,Movimientos!$C$1:$C$858,"3628 Thomas Ave",Movimientos!$B$1:$B$858,"&lt;="&amp;$B49)</f>
        <v>16681.349999999999</v>
      </c>
      <c r="T49" s="24">
        <f>SUMIFS('Saldos Iniciales'!$D:$D,'Saldos Iniciales'!$A:$A,"Green Harbor Trust")+SUMIFS(Movimientos!$K$1:$K$858,Movimientos!$C$1:$C$858,"Green Harbor Trust",Movimientos!$B$1:$B$858,"&lt;="&amp;$B49)</f>
        <v>345</v>
      </c>
      <c r="U49" s="24">
        <f>SUMIFS('Saldos Iniciales'!$D:$D,'Saldos Iniciales'!$A:$A,"Go Blue")+SUMIFS(Movimientos!$K$1:$K$858,Movimientos!$C$1:$C$858,"Go Blue",Movimientos!$B$1:$B$858,"&lt;="&amp;$B49)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Group")+SUMIFS(Movimientos!$K$1:$K$858,Movimientos!$C$1:$C$858,"CFT Group",Movimientos!$B$1:$B$858,"&lt;="&amp;$B50)</f>
        <v>1098358.7500000002</v>
      </c>
      <c r="D50" s="24">
        <f>SUMIFS('Saldos Iniciales'!$D:$D,'Saldos Iniciales'!$A:$A,"M1B")+SUMIFS(Movimientos!$K$1:$K$858,Movimientos!$C$1:$C$858,"M1B",Movimientos!$B$1:$B$858,"&lt;="&amp;$B50)</f>
        <v>69376.390000000174</v>
      </c>
      <c r="E50" s="24">
        <f>SUMIFS('Saldos Iniciales'!$D:$D,'Saldos Iniciales'!$A:$A,"Durand")+SUMIFS(Movimientos!$K$1:$K$858,Movimientos!$C$1:$C$858,"Durand",Movimientos!$B$1:$B$858,"&lt;="&amp;$B50)</f>
        <v>1669.89</v>
      </c>
      <c r="F50" s="24">
        <f>SUMIFS('Saldos Iniciales'!$D:$D,'Saldos Iniciales'!$A:$A,"A&amp;M Imports")+SUMIFS(Movimientos!$K$1:$K$858,Movimientos!$C$1:$C$858,"A&amp;M Imports",Movimientos!$B$1:$B$858,"&lt;="&amp;$B50)</f>
        <v>503904.80999999982</v>
      </c>
      <c r="G50" s="24">
        <f>SUMIFS('Saldos Iniciales'!$D:$D,'Saldos Iniciales'!$A:$A,"SSP Capital")+SUMIFS(Movimientos!$K$1:$K$858,Movimientos!$C$1:$C$858,"SSP Capital",Movimientos!$B$1:$B$858,"&lt;="&amp;$B50)</f>
        <v>3326696.7299999995</v>
      </c>
      <c r="H50" s="24">
        <f>SUMIFS('Saldos Iniciales'!$D:$D,'Saldos Iniciales'!$A:$A,"Cross Family Trust")+SUMIFS(Movimientos!$K$1:$K$858,Movimientos!$C$1:$C$858,"Cross Family Trust",Movimientos!$B$1:$B$858,"&lt;="&amp;$B50)</f>
        <v>116496.38</v>
      </c>
      <c r="I50" s="24">
        <f>SUMIFS('Saldos Iniciales'!$D:$D,'Saldos Iniciales'!$A:$A,"Cross Security Trust")+SUMIFS(Movimientos!$K$1:$K$858,Movimientos!$C$1:$C$858,"Cross Security Trust",Movimientos!$B$1:$B$858,"&lt;="&amp;$B50)</f>
        <v>88090.37</v>
      </c>
      <c r="J50" s="24">
        <f>SUMIFS('Saldos Iniciales'!$D:$D,'Saldos Iniciales'!$A:$A,"Electrama")+SUMIFS(Movimientos!$K$1:$K$858,Movimientos!$C$1:$C$858,"Electrama",Movimientos!$B$1:$B$858,"&lt;="&amp;$B50)</f>
        <v>511.15999999999985</v>
      </c>
      <c r="K50" s="24">
        <f>SUMIFS('Saldos Iniciales'!$D:$D,'Saldos Iniciales'!$A:$A,"Sacred Valley Capital")+SUMIFS(Movimientos!$K$1:$K$858,Movimientos!$C$1:$C$858,"Sacred Valley Capital",Movimientos!$B$1:$B$858,"&lt;="&amp;$B50)</f>
        <v>84.35</v>
      </c>
      <c r="L50" s="24">
        <f>SUMIFS('Saldos Iniciales'!$D:$D,'Saldos Iniciales'!$A:$A,"YWC Capital")+SUMIFS(Movimientos!$K$1:$K$858,Movimientos!$C$1:$C$858,"YWC Capital",Movimientos!$B$1:$B$858,"&lt;="&amp;$B50)</f>
        <v>2237.77</v>
      </c>
      <c r="M50" s="24">
        <f>SUMIFS('Saldos Iniciales'!$D:$D,'Saldos Iniciales'!$A:$A,"Soweto")+SUMIFS(Movimientos!$K$1:$K$858,Movimientos!$C$1:$C$858,"Soweto",Movimientos!$B$1:$B$858,"&lt;="&amp;$B50)</f>
        <v>3349.94</v>
      </c>
      <c r="N50" s="24">
        <f>SUMIFS('Saldos Iniciales'!$D:$D,'Saldos Iniciales'!$A:$A,"Green Stone Trust")+SUMIFS(Movimientos!$K$1:$K$858,Movimientos!$C$1:$C$858,"Green Stone Trust",Movimientos!$B$1:$B$858,"&lt;="&amp;$B50)</f>
        <v>1968.99</v>
      </c>
      <c r="O50" s="24">
        <f>SUMIFS('Saldos Iniciales'!$D:$D,'Saldos Iniciales'!$A:$A,"EC Auto")+SUMIFS(Movimientos!$K$1:$K$858,Movimientos!$C$1:$C$858,"EC Auto",Movimientos!$B$1:$B$858,"&lt;="&amp;$B50)</f>
        <v>382.69000000000005</v>
      </c>
      <c r="P50" s="24">
        <f>SUMIFS('Saldos Iniciales'!$D:$D,'Saldos Iniciales'!$A:$A,"Arbor Capital Properties")+SUMIFS(Movimientos!$K$1:$K$858,Movimientos!$C$1:$C$858,"Arbor Capital Properties",Movimientos!$B$1:$B$858,"&lt;="&amp;$B50)</f>
        <v>1428.08</v>
      </c>
      <c r="Q50" s="24">
        <f>SUMIFS('Saldos Iniciales'!$D:$D,'Saldos Iniciales'!$A:$A,"2515 Overbrook")+SUMIFS(Movimientos!$K$1:$K$858,Movimientos!$C$1:$C$858,"2515 Overbrook",Movimientos!$B$1:$B$858,"&lt;="&amp;$B50)</f>
        <v>29789.969999999961</v>
      </c>
      <c r="R50" s="24">
        <f>SUMIFS('Saldos Iniciales'!$D:$D,'Saldos Iniciales'!$A:$A,"112 Florida Ave")+SUMIFS(Movimientos!$K$1:$K$858,Movimientos!$C$1:$C$858,"112 Florida Ave",Movimientos!$B$1:$B$858,"&lt;="&amp;$B50)</f>
        <v>20321.43</v>
      </c>
      <c r="S50" s="24">
        <f>SUMIFS('Saldos Iniciales'!$D:$D,'Saldos Iniciales'!$A:$A,"3628 Thomas Ave")+SUMIFS(Movimientos!$K$1:$K$858,Movimientos!$C$1:$C$858,"3628 Thomas Ave",Movimientos!$B$1:$B$858,"&lt;="&amp;$B50)</f>
        <v>16681.349999999999</v>
      </c>
      <c r="T50" s="24">
        <f>SUMIFS('Saldos Iniciales'!$D:$D,'Saldos Iniciales'!$A:$A,"Green Harbor Trust")+SUMIFS(Movimientos!$K$1:$K$858,Movimientos!$C$1:$C$858,"Green Harbor Trust",Movimientos!$B$1:$B$858,"&lt;="&amp;$B50)</f>
        <v>345</v>
      </c>
      <c r="U50" s="24">
        <f>SUMIFS('Saldos Iniciales'!$D:$D,'Saldos Iniciales'!$A:$A,"Go Blue")+SUMIFS(Movimientos!$K$1:$K$858,Movimientos!$C$1:$C$858,"Go Blue",Movimientos!$B$1:$B$858,"&lt;="&amp;$B50)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Group")+SUMIFS(Movimientos!$K$1:$K$858,Movimientos!$C$1:$C$858,"CFT Group",Movimientos!$B$1:$B$858,"&lt;="&amp;$B51)</f>
        <v>1098358.7500000002</v>
      </c>
      <c r="D51" s="24">
        <f>SUMIFS('Saldos Iniciales'!$D:$D,'Saldos Iniciales'!$A:$A,"M1B")+SUMIFS(Movimientos!$K$1:$K$858,Movimientos!$C$1:$C$858,"M1B",Movimientos!$B$1:$B$858,"&lt;="&amp;$B51)</f>
        <v>69376.390000000174</v>
      </c>
      <c r="E51" s="24">
        <f>SUMIFS('Saldos Iniciales'!$D:$D,'Saldos Iniciales'!$A:$A,"Durand")+SUMIFS(Movimientos!$K$1:$K$858,Movimientos!$C$1:$C$858,"Durand",Movimientos!$B$1:$B$858,"&lt;="&amp;$B51)</f>
        <v>1669.89</v>
      </c>
      <c r="F51" s="24">
        <f>SUMIFS('Saldos Iniciales'!$D:$D,'Saldos Iniciales'!$A:$A,"A&amp;M Imports")+SUMIFS(Movimientos!$K$1:$K$858,Movimientos!$C$1:$C$858,"A&amp;M Imports",Movimientos!$B$1:$B$858,"&lt;="&amp;$B51)</f>
        <v>503904.80999999982</v>
      </c>
      <c r="G51" s="24">
        <f>SUMIFS('Saldos Iniciales'!$D:$D,'Saldos Iniciales'!$A:$A,"SSP Capital")+SUMIFS(Movimientos!$K$1:$K$858,Movimientos!$C$1:$C$858,"SSP Capital",Movimientos!$B$1:$B$858,"&lt;="&amp;$B51)</f>
        <v>3326696.7299999995</v>
      </c>
      <c r="H51" s="24">
        <f>SUMIFS('Saldos Iniciales'!$D:$D,'Saldos Iniciales'!$A:$A,"Cross Family Trust")+SUMIFS(Movimientos!$K$1:$K$858,Movimientos!$C$1:$C$858,"Cross Family Trust",Movimientos!$B$1:$B$858,"&lt;="&amp;$B51)</f>
        <v>116496.38</v>
      </c>
      <c r="I51" s="24">
        <f>SUMIFS('Saldos Iniciales'!$D:$D,'Saldos Iniciales'!$A:$A,"Cross Security Trust")+SUMIFS(Movimientos!$K$1:$K$858,Movimientos!$C$1:$C$858,"Cross Security Trust",Movimientos!$B$1:$B$858,"&lt;="&amp;$B51)</f>
        <v>88090.37</v>
      </c>
      <c r="J51" s="24">
        <f>SUMIFS('Saldos Iniciales'!$D:$D,'Saldos Iniciales'!$A:$A,"Electrama")+SUMIFS(Movimientos!$K$1:$K$858,Movimientos!$C$1:$C$858,"Electrama",Movimientos!$B$1:$B$858,"&lt;="&amp;$B51)</f>
        <v>511.15999999999985</v>
      </c>
      <c r="K51" s="24">
        <f>SUMIFS('Saldos Iniciales'!$D:$D,'Saldos Iniciales'!$A:$A,"Sacred Valley Capital")+SUMIFS(Movimientos!$K$1:$K$858,Movimientos!$C$1:$C$858,"Sacred Valley Capital",Movimientos!$B$1:$B$858,"&lt;="&amp;$B51)</f>
        <v>84.35</v>
      </c>
      <c r="L51" s="24">
        <f>SUMIFS('Saldos Iniciales'!$D:$D,'Saldos Iniciales'!$A:$A,"YWC Capital")+SUMIFS(Movimientos!$K$1:$K$858,Movimientos!$C$1:$C$858,"YWC Capital",Movimientos!$B$1:$B$858,"&lt;="&amp;$B51)</f>
        <v>2237.77</v>
      </c>
      <c r="M51" s="24">
        <f>SUMIFS('Saldos Iniciales'!$D:$D,'Saldos Iniciales'!$A:$A,"Soweto")+SUMIFS(Movimientos!$K$1:$K$858,Movimientos!$C$1:$C$858,"Soweto",Movimientos!$B$1:$B$858,"&lt;="&amp;$B51)</f>
        <v>3349.94</v>
      </c>
      <c r="N51" s="24">
        <f>SUMIFS('Saldos Iniciales'!$D:$D,'Saldos Iniciales'!$A:$A,"Green Stone Trust")+SUMIFS(Movimientos!$K$1:$K$858,Movimientos!$C$1:$C$858,"Green Stone Trust",Movimientos!$B$1:$B$858,"&lt;="&amp;$B51)</f>
        <v>1968.99</v>
      </c>
      <c r="O51" s="24">
        <f>SUMIFS('Saldos Iniciales'!$D:$D,'Saldos Iniciales'!$A:$A,"EC Auto")+SUMIFS(Movimientos!$K$1:$K$858,Movimientos!$C$1:$C$858,"EC Auto",Movimientos!$B$1:$B$858,"&lt;="&amp;$B51)</f>
        <v>382.69000000000005</v>
      </c>
      <c r="P51" s="24">
        <f>SUMIFS('Saldos Iniciales'!$D:$D,'Saldos Iniciales'!$A:$A,"Arbor Capital Properties")+SUMIFS(Movimientos!$K$1:$K$858,Movimientos!$C$1:$C$858,"Arbor Capital Properties",Movimientos!$B$1:$B$858,"&lt;="&amp;$B51)</f>
        <v>1428.08</v>
      </c>
      <c r="Q51" s="24">
        <f>SUMIFS('Saldos Iniciales'!$D:$D,'Saldos Iniciales'!$A:$A,"2515 Overbrook")+SUMIFS(Movimientos!$K$1:$K$858,Movimientos!$C$1:$C$858,"2515 Overbrook",Movimientos!$B$1:$B$858,"&lt;="&amp;$B51)</f>
        <v>29789.969999999961</v>
      </c>
      <c r="R51" s="24">
        <f>SUMIFS('Saldos Iniciales'!$D:$D,'Saldos Iniciales'!$A:$A,"112 Florida Ave")+SUMIFS(Movimientos!$K$1:$K$858,Movimientos!$C$1:$C$858,"112 Florida Ave",Movimientos!$B$1:$B$858,"&lt;="&amp;$B51)</f>
        <v>20321.43</v>
      </c>
      <c r="S51" s="24">
        <f>SUMIFS('Saldos Iniciales'!$D:$D,'Saldos Iniciales'!$A:$A,"3628 Thomas Ave")+SUMIFS(Movimientos!$K$1:$K$858,Movimientos!$C$1:$C$858,"3628 Thomas Ave",Movimientos!$B$1:$B$858,"&lt;="&amp;$B51)</f>
        <v>16681.349999999999</v>
      </c>
      <c r="T51" s="24">
        <f>SUMIFS('Saldos Iniciales'!$D:$D,'Saldos Iniciales'!$A:$A,"Green Harbor Trust")+SUMIFS(Movimientos!$K$1:$K$858,Movimientos!$C$1:$C$858,"Green Harbor Trust",Movimientos!$B$1:$B$858,"&lt;="&amp;$B51)</f>
        <v>345</v>
      </c>
      <c r="U51" s="24">
        <f>SUMIFS('Saldos Iniciales'!$D:$D,'Saldos Iniciales'!$A:$A,"Go Blue")+SUMIFS(Movimientos!$K$1:$K$858,Movimientos!$C$1:$C$858,"Go Blue",Movimientos!$B$1:$B$858,"&lt;="&amp;$B51)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Group")+SUMIFS(Movimientos!$K$1:$K$858,Movimientos!$C$1:$C$858,"CFT Group",Movimientos!$B$1:$B$858,"&lt;="&amp;$B52)</f>
        <v>1098358.7500000002</v>
      </c>
      <c r="D52" s="24">
        <f>SUMIFS('Saldos Iniciales'!$D:$D,'Saldos Iniciales'!$A:$A,"M1B")+SUMIFS(Movimientos!$K$1:$K$858,Movimientos!$C$1:$C$858,"M1B",Movimientos!$B$1:$B$858,"&lt;="&amp;$B52)</f>
        <v>69376.390000000174</v>
      </c>
      <c r="E52" s="24">
        <f>SUMIFS('Saldos Iniciales'!$D:$D,'Saldos Iniciales'!$A:$A,"Durand")+SUMIFS(Movimientos!$K$1:$K$858,Movimientos!$C$1:$C$858,"Durand",Movimientos!$B$1:$B$858,"&lt;="&amp;$B52)</f>
        <v>1669.89</v>
      </c>
      <c r="F52" s="24">
        <f>SUMIFS('Saldos Iniciales'!$D:$D,'Saldos Iniciales'!$A:$A,"A&amp;M Imports")+SUMIFS(Movimientos!$K$1:$K$858,Movimientos!$C$1:$C$858,"A&amp;M Imports",Movimientos!$B$1:$B$858,"&lt;="&amp;$B52)</f>
        <v>503904.80999999982</v>
      </c>
      <c r="G52" s="24">
        <f>SUMIFS('Saldos Iniciales'!$D:$D,'Saldos Iniciales'!$A:$A,"SSP Capital")+SUMIFS(Movimientos!$K$1:$K$858,Movimientos!$C$1:$C$858,"SSP Capital",Movimientos!$B$1:$B$858,"&lt;="&amp;$B52)</f>
        <v>3326696.7299999995</v>
      </c>
      <c r="H52" s="24">
        <f>SUMIFS('Saldos Iniciales'!$D:$D,'Saldos Iniciales'!$A:$A,"Cross Family Trust")+SUMIFS(Movimientos!$K$1:$K$858,Movimientos!$C$1:$C$858,"Cross Family Trust",Movimientos!$B$1:$B$858,"&lt;="&amp;$B52)</f>
        <v>116496.38</v>
      </c>
      <c r="I52" s="24">
        <f>SUMIFS('Saldos Iniciales'!$D:$D,'Saldos Iniciales'!$A:$A,"Cross Security Trust")+SUMIFS(Movimientos!$K$1:$K$858,Movimientos!$C$1:$C$858,"Cross Security Trust",Movimientos!$B$1:$B$858,"&lt;="&amp;$B52)</f>
        <v>88090.37</v>
      </c>
      <c r="J52" s="24">
        <f>SUMIFS('Saldos Iniciales'!$D:$D,'Saldos Iniciales'!$A:$A,"Electrama")+SUMIFS(Movimientos!$K$1:$K$858,Movimientos!$C$1:$C$858,"Electrama",Movimientos!$B$1:$B$858,"&lt;="&amp;$B52)</f>
        <v>511.15999999999985</v>
      </c>
      <c r="K52" s="24">
        <f>SUMIFS('Saldos Iniciales'!$D:$D,'Saldos Iniciales'!$A:$A,"Sacred Valley Capital")+SUMIFS(Movimientos!$K$1:$K$858,Movimientos!$C$1:$C$858,"Sacred Valley Capital",Movimientos!$B$1:$B$858,"&lt;="&amp;$B52)</f>
        <v>84.35</v>
      </c>
      <c r="L52" s="24">
        <f>SUMIFS('Saldos Iniciales'!$D:$D,'Saldos Iniciales'!$A:$A,"YWC Capital")+SUMIFS(Movimientos!$K$1:$K$858,Movimientos!$C$1:$C$858,"YWC Capital",Movimientos!$B$1:$B$858,"&lt;="&amp;$B52)</f>
        <v>2237.77</v>
      </c>
      <c r="M52" s="24">
        <f>SUMIFS('Saldos Iniciales'!$D:$D,'Saldos Iniciales'!$A:$A,"Soweto")+SUMIFS(Movimientos!$K$1:$K$858,Movimientos!$C$1:$C$858,"Soweto",Movimientos!$B$1:$B$858,"&lt;="&amp;$B52)</f>
        <v>3349.94</v>
      </c>
      <c r="N52" s="24">
        <f>SUMIFS('Saldos Iniciales'!$D:$D,'Saldos Iniciales'!$A:$A,"Green Stone Trust")+SUMIFS(Movimientos!$K$1:$K$858,Movimientos!$C$1:$C$858,"Green Stone Trust",Movimientos!$B$1:$B$858,"&lt;="&amp;$B52)</f>
        <v>1968.99</v>
      </c>
      <c r="O52" s="24">
        <f>SUMIFS('Saldos Iniciales'!$D:$D,'Saldos Iniciales'!$A:$A,"EC Auto")+SUMIFS(Movimientos!$K$1:$K$858,Movimientos!$C$1:$C$858,"EC Auto",Movimientos!$B$1:$B$858,"&lt;="&amp;$B52)</f>
        <v>382.69000000000005</v>
      </c>
      <c r="P52" s="24">
        <f>SUMIFS('Saldos Iniciales'!$D:$D,'Saldos Iniciales'!$A:$A,"Arbor Capital Properties")+SUMIFS(Movimientos!$K$1:$K$858,Movimientos!$C$1:$C$858,"Arbor Capital Properties",Movimientos!$B$1:$B$858,"&lt;="&amp;$B52)</f>
        <v>1428.08</v>
      </c>
      <c r="Q52" s="24">
        <f>SUMIFS('Saldos Iniciales'!$D:$D,'Saldos Iniciales'!$A:$A,"2515 Overbrook")+SUMIFS(Movimientos!$K$1:$K$858,Movimientos!$C$1:$C$858,"2515 Overbrook",Movimientos!$B$1:$B$858,"&lt;="&amp;$B52)</f>
        <v>29789.969999999961</v>
      </c>
      <c r="R52" s="24">
        <f>SUMIFS('Saldos Iniciales'!$D:$D,'Saldos Iniciales'!$A:$A,"112 Florida Ave")+SUMIFS(Movimientos!$K$1:$K$858,Movimientos!$C$1:$C$858,"112 Florida Ave",Movimientos!$B$1:$B$858,"&lt;="&amp;$B52)</f>
        <v>20321.43</v>
      </c>
      <c r="S52" s="24">
        <f>SUMIFS('Saldos Iniciales'!$D:$D,'Saldos Iniciales'!$A:$A,"3628 Thomas Ave")+SUMIFS(Movimientos!$K$1:$K$858,Movimientos!$C$1:$C$858,"3628 Thomas Ave",Movimientos!$B$1:$B$858,"&lt;="&amp;$B52)</f>
        <v>16681.349999999999</v>
      </c>
      <c r="T52" s="24">
        <f>SUMIFS('Saldos Iniciales'!$D:$D,'Saldos Iniciales'!$A:$A,"Green Harbor Trust")+SUMIFS(Movimientos!$K$1:$K$858,Movimientos!$C$1:$C$858,"Green Harbor Trust",Movimientos!$B$1:$B$858,"&lt;="&amp;$B52)</f>
        <v>345</v>
      </c>
      <c r="U52" s="24">
        <f>SUMIFS('Saldos Iniciales'!$D:$D,'Saldos Iniciales'!$A:$A,"Go Blue")+SUMIFS(Movimientos!$K$1:$K$858,Movimientos!$C$1:$C$858,"Go Blue",Movimientos!$B$1:$B$858,"&lt;="&amp;$B52)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Group")+SUMIFS(Movimientos!$K$1:$K$858,Movimientos!$C$1:$C$858,"CFT Group",Movimientos!$B$1:$B$858,"&lt;="&amp;$B53)</f>
        <v>1098358.7500000002</v>
      </c>
      <c r="D53" s="24">
        <f>SUMIFS('Saldos Iniciales'!$D:$D,'Saldos Iniciales'!$A:$A,"M1B")+SUMIFS(Movimientos!$K$1:$K$858,Movimientos!$C$1:$C$858,"M1B",Movimientos!$B$1:$B$858,"&lt;="&amp;$B53)</f>
        <v>69376.390000000174</v>
      </c>
      <c r="E53" s="24">
        <f>SUMIFS('Saldos Iniciales'!$D:$D,'Saldos Iniciales'!$A:$A,"Durand")+SUMIFS(Movimientos!$K$1:$K$858,Movimientos!$C$1:$C$858,"Durand",Movimientos!$B$1:$B$858,"&lt;="&amp;$B53)</f>
        <v>1669.89</v>
      </c>
      <c r="F53" s="24">
        <f>SUMIFS('Saldos Iniciales'!$D:$D,'Saldos Iniciales'!$A:$A,"A&amp;M Imports")+SUMIFS(Movimientos!$K$1:$K$858,Movimientos!$C$1:$C$858,"A&amp;M Imports",Movimientos!$B$1:$B$858,"&lt;="&amp;$B53)</f>
        <v>503904.80999999982</v>
      </c>
      <c r="G53" s="24">
        <f>SUMIFS('Saldos Iniciales'!$D:$D,'Saldos Iniciales'!$A:$A,"SSP Capital")+SUMIFS(Movimientos!$K$1:$K$858,Movimientos!$C$1:$C$858,"SSP Capital",Movimientos!$B$1:$B$858,"&lt;="&amp;$B53)</f>
        <v>3326696.7299999995</v>
      </c>
      <c r="H53" s="24">
        <f>SUMIFS('Saldos Iniciales'!$D:$D,'Saldos Iniciales'!$A:$A,"Cross Family Trust")+SUMIFS(Movimientos!$K$1:$K$858,Movimientos!$C$1:$C$858,"Cross Family Trust",Movimientos!$B$1:$B$858,"&lt;="&amp;$B53)</f>
        <v>116496.38</v>
      </c>
      <c r="I53" s="24">
        <f>SUMIFS('Saldos Iniciales'!$D:$D,'Saldos Iniciales'!$A:$A,"Cross Security Trust")+SUMIFS(Movimientos!$K$1:$K$858,Movimientos!$C$1:$C$858,"Cross Security Trust",Movimientos!$B$1:$B$858,"&lt;="&amp;$B53)</f>
        <v>88090.37</v>
      </c>
      <c r="J53" s="24">
        <f>SUMIFS('Saldos Iniciales'!$D:$D,'Saldos Iniciales'!$A:$A,"Electrama")+SUMIFS(Movimientos!$K$1:$K$858,Movimientos!$C$1:$C$858,"Electrama",Movimientos!$B$1:$B$858,"&lt;="&amp;$B53)</f>
        <v>511.15999999999985</v>
      </c>
      <c r="K53" s="24">
        <f>SUMIFS('Saldos Iniciales'!$D:$D,'Saldos Iniciales'!$A:$A,"Sacred Valley Capital")+SUMIFS(Movimientos!$K$1:$K$858,Movimientos!$C$1:$C$858,"Sacred Valley Capital",Movimientos!$B$1:$B$858,"&lt;="&amp;$B53)</f>
        <v>84.35</v>
      </c>
      <c r="L53" s="24">
        <f>SUMIFS('Saldos Iniciales'!$D:$D,'Saldos Iniciales'!$A:$A,"YWC Capital")+SUMIFS(Movimientos!$K$1:$K$858,Movimientos!$C$1:$C$858,"YWC Capital",Movimientos!$B$1:$B$858,"&lt;="&amp;$B53)</f>
        <v>2237.77</v>
      </c>
      <c r="M53" s="24">
        <f>SUMIFS('Saldos Iniciales'!$D:$D,'Saldos Iniciales'!$A:$A,"Soweto")+SUMIFS(Movimientos!$K$1:$K$858,Movimientos!$C$1:$C$858,"Soweto",Movimientos!$B$1:$B$858,"&lt;="&amp;$B53)</f>
        <v>3349.94</v>
      </c>
      <c r="N53" s="24">
        <f>SUMIFS('Saldos Iniciales'!$D:$D,'Saldos Iniciales'!$A:$A,"Green Stone Trust")+SUMIFS(Movimientos!$K$1:$K$858,Movimientos!$C$1:$C$858,"Green Stone Trust",Movimientos!$B$1:$B$858,"&lt;="&amp;$B53)</f>
        <v>1968.99</v>
      </c>
      <c r="O53" s="24">
        <f>SUMIFS('Saldos Iniciales'!$D:$D,'Saldos Iniciales'!$A:$A,"EC Auto")+SUMIFS(Movimientos!$K$1:$K$858,Movimientos!$C$1:$C$858,"EC Auto",Movimientos!$B$1:$B$858,"&lt;="&amp;$B53)</f>
        <v>382.69000000000005</v>
      </c>
      <c r="P53" s="24">
        <f>SUMIFS('Saldos Iniciales'!$D:$D,'Saldos Iniciales'!$A:$A,"Arbor Capital Properties")+SUMIFS(Movimientos!$K$1:$K$858,Movimientos!$C$1:$C$858,"Arbor Capital Properties",Movimientos!$B$1:$B$858,"&lt;="&amp;$B53)</f>
        <v>1428.08</v>
      </c>
      <c r="Q53" s="24">
        <f>SUMIFS('Saldos Iniciales'!$D:$D,'Saldos Iniciales'!$A:$A,"2515 Overbrook")+SUMIFS(Movimientos!$K$1:$K$858,Movimientos!$C$1:$C$858,"2515 Overbrook",Movimientos!$B$1:$B$858,"&lt;="&amp;$B53)</f>
        <v>29789.969999999961</v>
      </c>
      <c r="R53" s="24">
        <f>SUMIFS('Saldos Iniciales'!$D:$D,'Saldos Iniciales'!$A:$A,"112 Florida Ave")+SUMIFS(Movimientos!$K$1:$K$858,Movimientos!$C$1:$C$858,"112 Florida Ave",Movimientos!$B$1:$B$858,"&lt;="&amp;$B53)</f>
        <v>20321.43</v>
      </c>
      <c r="S53" s="24">
        <f>SUMIFS('Saldos Iniciales'!$D:$D,'Saldos Iniciales'!$A:$A,"3628 Thomas Ave")+SUMIFS(Movimientos!$K$1:$K$858,Movimientos!$C$1:$C$858,"3628 Thomas Ave",Movimientos!$B$1:$B$858,"&lt;="&amp;$B53)</f>
        <v>16681.349999999999</v>
      </c>
      <c r="T53" s="24">
        <f>SUMIFS('Saldos Iniciales'!$D:$D,'Saldos Iniciales'!$A:$A,"Green Harbor Trust")+SUMIFS(Movimientos!$K$1:$K$858,Movimientos!$C$1:$C$858,"Green Harbor Trust",Movimientos!$B$1:$B$858,"&lt;="&amp;$B53)</f>
        <v>345</v>
      </c>
      <c r="U53" s="24">
        <f>SUMIFS('Saldos Iniciales'!$D:$D,'Saldos Iniciales'!$A:$A,"Go Blue")+SUMIFS(Movimientos!$K$1:$K$858,Movimientos!$C$1:$C$858,"Go Blue",Movimientos!$B$1:$B$858,"&lt;="&amp;$B53)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Group")+SUMIFS(Movimientos!$K$1:$K$858,Movimientos!$C$1:$C$858,"CFT Group",Movimientos!$B$1:$B$858,"&lt;="&amp;$B54)</f>
        <v>7613332.1400000006</v>
      </c>
      <c r="D54" s="24">
        <f>SUMIFS('Saldos Iniciales'!$D:$D,'Saldos Iniciales'!$A:$A,"M1B")+SUMIFS(Movimientos!$K$1:$K$858,Movimientos!$C$1:$C$858,"M1B",Movimientos!$B$1:$B$858,"&lt;="&amp;$B54)</f>
        <v>69376.390000000174</v>
      </c>
      <c r="E54" s="24">
        <f>SUMIFS('Saldos Iniciales'!$D:$D,'Saldos Iniciales'!$A:$A,"Durand")+SUMIFS(Movimientos!$K$1:$K$858,Movimientos!$C$1:$C$858,"Durand",Movimientos!$B$1:$B$858,"&lt;="&amp;$B54)</f>
        <v>1669.89</v>
      </c>
      <c r="F54" s="24">
        <f>SUMIFS('Saldos Iniciales'!$D:$D,'Saldos Iniciales'!$A:$A,"A&amp;M Imports")+SUMIFS(Movimientos!$K$1:$K$858,Movimientos!$C$1:$C$858,"A&amp;M Imports",Movimientos!$B$1:$B$858,"&lt;="&amp;$B54)</f>
        <v>503904.80999999982</v>
      </c>
      <c r="G54" s="24">
        <f>SUMIFS('Saldos Iniciales'!$D:$D,'Saldos Iniciales'!$A:$A,"SSP Capital")+SUMIFS(Movimientos!$K$1:$K$858,Movimientos!$C$1:$C$858,"SSP Capital",Movimientos!$B$1:$B$858,"&lt;="&amp;$B54)</f>
        <v>3325868.6899999995</v>
      </c>
      <c r="H54" s="24">
        <f>SUMIFS('Saldos Iniciales'!$D:$D,'Saldos Iniciales'!$A:$A,"Cross Family Trust")+SUMIFS(Movimientos!$K$1:$K$858,Movimientos!$C$1:$C$858,"Cross Family Trust",Movimientos!$B$1:$B$858,"&lt;="&amp;$B54)</f>
        <v>116496.38</v>
      </c>
      <c r="I54" s="24">
        <f>SUMIFS('Saldos Iniciales'!$D:$D,'Saldos Iniciales'!$A:$A,"Cross Security Trust")+SUMIFS(Movimientos!$K$1:$K$858,Movimientos!$C$1:$C$858,"Cross Security Trust",Movimientos!$B$1:$B$858,"&lt;="&amp;$B54)</f>
        <v>88090.37</v>
      </c>
      <c r="J54" s="24">
        <f>SUMIFS('Saldos Iniciales'!$D:$D,'Saldos Iniciales'!$A:$A,"Electrama")+SUMIFS(Movimientos!$K$1:$K$858,Movimientos!$C$1:$C$858,"Electrama",Movimientos!$B$1:$B$858,"&lt;="&amp;$B54)</f>
        <v>511.15999999999985</v>
      </c>
      <c r="K54" s="24">
        <f>SUMIFS('Saldos Iniciales'!$D:$D,'Saldos Iniciales'!$A:$A,"Sacred Valley Capital")+SUMIFS(Movimientos!$K$1:$K$858,Movimientos!$C$1:$C$858,"Sacred Valley Capital",Movimientos!$B$1:$B$858,"&lt;="&amp;$B54)</f>
        <v>84.35</v>
      </c>
      <c r="L54" s="24">
        <f>SUMIFS('Saldos Iniciales'!$D:$D,'Saldos Iniciales'!$A:$A,"YWC Capital")+SUMIFS(Movimientos!$K$1:$K$858,Movimientos!$C$1:$C$858,"YWC Capital",Movimientos!$B$1:$B$858,"&lt;="&amp;$B54)</f>
        <v>2237.77</v>
      </c>
      <c r="M54" s="24">
        <f>SUMIFS('Saldos Iniciales'!$D:$D,'Saldos Iniciales'!$A:$A,"Soweto")+SUMIFS(Movimientos!$K$1:$K$858,Movimientos!$C$1:$C$858,"Soweto",Movimientos!$B$1:$B$858,"&lt;="&amp;$B54)</f>
        <v>3349.94</v>
      </c>
      <c r="N54" s="24">
        <f>SUMIFS('Saldos Iniciales'!$D:$D,'Saldos Iniciales'!$A:$A,"Green Stone Trust")+SUMIFS(Movimientos!$K$1:$K$858,Movimientos!$C$1:$C$858,"Green Stone Trust",Movimientos!$B$1:$B$858,"&lt;="&amp;$B54)</f>
        <v>1968.99</v>
      </c>
      <c r="O54" s="24">
        <f>SUMIFS('Saldos Iniciales'!$D:$D,'Saldos Iniciales'!$A:$A,"EC Auto")+SUMIFS(Movimientos!$K$1:$K$858,Movimientos!$C$1:$C$858,"EC Auto",Movimientos!$B$1:$B$858,"&lt;="&amp;$B54)</f>
        <v>382.69000000000005</v>
      </c>
      <c r="P54" s="24">
        <f>SUMIFS('Saldos Iniciales'!$D:$D,'Saldos Iniciales'!$A:$A,"Arbor Capital Properties")+SUMIFS(Movimientos!$K$1:$K$858,Movimientos!$C$1:$C$858,"Arbor Capital Properties",Movimientos!$B$1:$B$858,"&lt;="&amp;$B54)</f>
        <v>1428.08</v>
      </c>
      <c r="Q54" s="24">
        <f>SUMIFS('Saldos Iniciales'!$D:$D,'Saldos Iniciales'!$A:$A,"2515 Overbrook")+SUMIFS(Movimientos!$K$1:$K$858,Movimientos!$C$1:$C$858,"2515 Overbrook",Movimientos!$B$1:$B$858,"&lt;="&amp;$B54)</f>
        <v>31039.969999999961</v>
      </c>
      <c r="R54" s="24">
        <f>SUMIFS('Saldos Iniciales'!$D:$D,'Saldos Iniciales'!$A:$A,"112 Florida Ave")+SUMIFS(Movimientos!$K$1:$K$858,Movimientos!$C$1:$C$858,"112 Florida Ave",Movimientos!$B$1:$B$858,"&lt;="&amp;$B54)</f>
        <v>20321.43</v>
      </c>
      <c r="S54" s="24">
        <f>SUMIFS('Saldos Iniciales'!$D:$D,'Saldos Iniciales'!$A:$A,"3628 Thomas Ave")+SUMIFS(Movimientos!$K$1:$K$858,Movimientos!$C$1:$C$858,"3628 Thomas Ave",Movimientos!$B$1:$B$858,"&lt;="&amp;$B54)</f>
        <v>16681.349999999999</v>
      </c>
      <c r="T54" s="24">
        <f>SUMIFS('Saldos Iniciales'!$D:$D,'Saldos Iniciales'!$A:$A,"Green Harbor Trust")+SUMIFS(Movimientos!$K$1:$K$858,Movimientos!$C$1:$C$858,"Green Harbor Trust",Movimientos!$B$1:$B$858,"&lt;="&amp;$B54)</f>
        <v>345</v>
      </c>
      <c r="U54" s="24">
        <f>SUMIFS('Saldos Iniciales'!$D:$D,'Saldos Iniciales'!$A:$A,"Go Blue")+SUMIFS(Movimientos!$K$1:$K$858,Movimientos!$C$1:$C$858,"Go Blue",Movimientos!$B$1:$B$858,"&lt;="&amp;$B54)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Group")+SUMIFS(Movimientos!$K$1:$K$858,Movimientos!$C$1:$C$858,"CFT Group",Movimientos!$B$1:$B$858,"&lt;="&amp;$B55)</f>
        <v>7675741.5900000008</v>
      </c>
      <c r="D55" s="24">
        <f>SUMIFS('Saldos Iniciales'!$D:$D,'Saldos Iniciales'!$A:$A,"M1B")+SUMIFS(Movimientos!$K$1:$K$858,Movimientos!$C$1:$C$858,"M1B",Movimientos!$B$1:$B$858,"&lt;="&amp;$B55)</f>
        <v>69376.390000000174</v>
      </c>
      <c r="E55" s="24">
        <f>SUMIFS('Saldos Iniciales'!$D:$D,'Saldos Iniciales'!$A:$A,"Durand")+SUMIFS(Movimientos!$K$1:$K$858,Movimientos!$C$1:$C$858,"Durand",Movimientos!$B$1:$B$858,"&lt;="&amp;$B55)</f>
        <v>1669.89</v>
      </c>
      <c r="F55" s="24">
        <f>SUMIFS('Saldos Iniciales'!$D:$D,'Saldos Iniciales'!$A:$A,"A&amp;M Imports")+SUMIFS(Movimientos!$K$1:$K$858,Movimientos!$C$1:$C$858,"A&amp;M Imports",Movimientos!$B$1:$B$858,"&lt;="&amp;$B55)</f>
        <v>503904.80999999982</v>
      </c>
      <c r="G55" s="24">
        <f>SUMIFS('Saldos Iniciales'!$D:$D,'Saldos Iniciales'!$A:$A,"SSP Capital")+SUMIFS(Movimientos!$K$1:$K$858,Movimientos!$C$1:$C$858,"SSP Capital",Movimientos!$B$1:$B$858,"&lt;="&amp;$B55)</f>
        <v>3325868.6899999995</v>
      </c>
      <c r="H55" s="24">
        <f>SUMIFS('Saldos Iniciales'!$D:$D,'Saldos Iniciales'!$A:$A,"Cross Family Trust")+SUMIFS(Movimientos!$K$1:$K$858,Movimientos!$C$1:$C$858,"Cross Family Trust",Movimientos!$B$1:$B$858,"&lt;="&amp;$B55)</f>
        <v>116496.38</v>
      </c>
      <c r="I55" s="24">
        <f>SUMIFS('Saldos Iniciales'!$D:$D,'Saldos Iniciales'!$A:$A,"Cross Security Trust")+SUMIFS(Movimientos!$K$1:$K$858,Movimientos!$C$1:$C$858,"Cross Security Trust",Movimientos!$B$1:$B$858,"&lt;="&amp;$B55)</f>
        <v>88090.37</v>
      </c>
      <c r="J55" s="24">
        <f>SUMIFS('Saldos Iniciales'!$D:$D,'Saldos Iniciales'!$A:$A,"Electrama")+SUMIFS(Movimientos!$K$1:$K$858,Movimientos!$C$1:$C$858,"Electrama",Movimientos!$B$1:$B$858,"&lt;="&amp;$B55)</f>
        <v>511.15999999999985</v>
      </c>
      <c r="K55" s="24">
        <f>SUMIFS('Saldos Iniciales'!$D:$D,'Saldos Iniciales'!$A:$A,"Sacred Valley Capital")+SUMIFS(Movimientos!$K$1:$K$858,Movimientos!$C$1:$C$858,"Sacred Valley Capital",Movimientos!$B$1:$B$858,"&lt;="&amp;$B55)</f>
        <v>84.35</v>
      </c>
      <c r="L55" s="24">
        <f>SUMIFS('Saldos Iniciales'!$D:$D,'Saldos Iniciales'!$A:$A,"YWC Capital")+SUMIFS(Movimientos!$K$1:$K$858,Movimientos!$C$1:$C$858,"YWC Capital",Movimientos!$B$1:$B$858,"&lt;="&amp;$B55)</f>
        <v>2237.77</v>
      </c>
      <c r="M55" s="24">
        <f>SUMIFS('Saldos Iniciales'!$D:$D,'Saldos Iniciales'!$A:$A,"Soweto")+SUMIFS(Movimientos!$K$1:$K$858,Movimientos!$C$1:$C$858,"Soweto",Movimientos!$B$1:$B$858,"&lt;="&amp;$B55)</f>
        <v>3349.94</v>
      </c>
      <c r="N55" s="24">
        <f>SUMIFS('Saldos Iniciales'!$D:$D,'Saldos Iniciales'!$A:$A,"Green Stone Trust")+SUMIFS(Movimientos!$K$1:$K$858,Movimientos!$C$1:$C$858,"Green Stone Trust",Movimientos!$B$1:$B$858,"&lt;="&amp;$B55)</f>
        <v>1968.99</v>
      </c>
      <c r="O55" s="24">
        <f>SUMIFS('Saldos Iniciales'!$D:$D,'Saldos Iniciales'!$A:$A,"EC Auto")+SUMIFS(Movimientos!$K$1:$K$858,Movimientos!$C$1:$C$858,"EC Auto",Movimientos!$B$1:$B$858,"&lt;="&amp;$B55)</f>
        <v>382.69000000000005</v>
      </c>
      <c r="P55" s="24">
        <f>SUMIFS('Saldos Iniciales'!$D:$D,'Saldos Iniciales'!$A:$A,"Arbor Capital Properties")+SUMIFS(Movimientos!$K$1:$K$858,Movimientos!$C$1:$C$858,"Arbor Capital Properties",Movimientos!$B$1:$B$858,"&lt;="&amp;$B55)</f>
        <v>1428.08</v>
      </c>
      <c r="Q55" s="24">
        <f>SUMIFS('Saldos Iniciales'!$D:$D,'Saldos Iniciales'!$A:$A,"2515 Overbrook")+SUMIFS(Movimientos!$K$1:$K$858,Movimientos!$C$1:$C$858,"2515 Overbrook",Movimientos!$B$1:$B$858,"&lt;="&amp;$B55)</f>
        <v>31039.969999999961</v>
      </c>
      <c r="R55" s="24">
        <f>SUMIFS('Saldos Iniciales'!$D:$D,'Saldos Iniciales'!$A:$A,"112 Florida Ave")+SUMIFS(Movimientos!$K$1:$K$858,Movimientos!$C$1:$C$858,"112 Florida Ave",Movimientos!$B$1:$B$858,"&lt;="&amp;$B55)</f>
        <v>20321.43</v>
      </c>
      <c r="S55" s="24">
        <f>SUMIFS('Saldos Iniciales'!$D:$D,'Saldos Iniciales'!$A:$A,"3628 Thomas Ave")+SUMIFS(Movimientos!$K$1:$K$858,Movimientos!$C$1:$C$858,"3628 Thomas Ave",Movimientos!$B$1:$B$858,"&lt;="&amp;$B55)</f>
        <v>16681.349999999999</v>
      </c>
      <c r="T55" s="24">
        <f>SUMIFS('Saldos Iniciales'!$D:$D,'Saldos Iniciales'!$A:$A,"Green Harbor Trust")+SUMIFS(Movimientos!$K$1:$K$858,Movimientos!$C$1:$C$858,"Green Harbor Trust",Movimientos!$B$1:$B$858,"&lt;="&amp;$B55)</f>
        <v>345</v>
      </c>
      <c r="U55" s="24">
        <f>SUMIFS('Saldos Iniciales'!$D:$D,'Saldos Iniciales'!$A:$A,"Go Blue")+SUMIFS(Movimientos!$K$1:$K$858,Movimientos!$C$1:$C$858,"Go Blue",Movimientos!$B$1:$B$858,"&lt;="&amp;$B55)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Group")+SUMIFS(Movimientos!$K$1:$K$858,Movimientos!$C$1:$C$858,"CFT Group",Movimientos!$B$1:$B$858,"&lt;="&amp;$B56)</f>
        <v>7742810.7100000009</v>
      </c>
      <c r="D56" s="24">
        <f>SUMIFS('Saldos Iniciales'!$D:$D,'Saldos Iniciales'!$A:$A,"M1B")+SUMIFS(Movimientos!$K$1:$K$858,Movimientos!$C$1:$C$858,"M1B",Movimientos!$B$1:$B$858,"&lt;="&amp;$B56)</f>
        <v>72386.190000000177</v>
      </c>
      <c r="E56" s="24">
        <f>SUMIFS('Saldos Iniciales'!$D:$D,'Saldos Iniciales'!$A:$A,"Durand")+SUMIFS(Movimientos!$K$1:$K$858,Movimientos!$C$1:$C$858,"Durand",Movimientos!$B$1:$B$858,"&lt;="&amp;$B56)</f>
        <v>1669.89</v>
      </c>
      <c r="F56" s="24">
        <f>SUMIFS('Saldos Iniciales'!$D:$D,'Saldos Iniciales'!$A:$A,"A&amp;M Imports")+SUMIFS(Movimientos!$K$1:$K$858,Movimientos!$C$1:$C$858,"A&amp;M Imports",Movimientos!$B$1:$B$858,"&lt;="&amp;$B56)</f>
        <v>532766.72999999986</v>
      </c>
      <c r="G56" s="24">
        <f>SUMIFS('Saldos Iniciales'!$D:$D,'Saldos Iniciales'!$A:$A,"SSP Capital")+SUMIFS(Movimientos!$K$1:$K$858,Movimientos!$C$1:$C$858,"SSP Capital",Movimientos!$B$1:$B$858,"&lt;="&amp;$B56)</f>
        <v>3325868.6899999995</v>
      </c>
      <c r="H56" s="24">
        <f>SUMIFS('Saldos Iniciales'!$D:$D,'Saldos Iniciales'!$A:$A,"Cross Family Trust")+SUMIFS(Movimientos!$K$1:$K$858,Movimientos!$C$1:$C$858,"Cross Family Trust",Movimientos!$B$1:$B$858,"&lt;="&amp;$B56)</f>
        <v>116496.38</v>
      </c>
      <c r="I56" s="24">
        <f>SUMIFS('Saldos Iniciales'!$D:$D,'Saldos Iniciales'!$A:$A,"Cross Security Trust")+SUMIFS(Movimientos!$K$1:$K$858,Movimientos!$C$1:$C$858,"Cross Security Trust",Movimientos!$B$1:$B$858,"&lt;="&amp;$B56)</f>
        <v>88090.37</v>
      </c>
      <c r="J56" s="24">
        <f>SUMIFS('Saldos Iniciales'!$D:$D,'Saldos Iniciales'!$A:$A,"Electrama")+SUMIFS(Movimientos!$K$1:$K$858,Movimientos!$C$1:$C$858,"Electrama",Movimientos!$B$1:$B$858,"&lt;="&amp;$B56)</f>
        <v>511.15999999999985</v>
      </c>
      <c r="K56" s="24">
        <f>SUMIFS('Saldos Iniciales'!$D:$D,'Saldos Iniciales'!$A:$A,"Sacred Valley Capital")+SUMIFS(Movimientos!$K$1:$K$858,Movimientos!$C$1:$C$858,"Sacred Valley Capital",Movimientos!$B$1:$B$858,"&lt;="&amp;$B56)</f>
        <v>84.35</v>
      </c>
      <c r="L56" s="24">
        <f>SUMIFS('Saldos Iniciales'!$D:$D,'Saldos Iniciales'!$A:$A,"YWC Capital")+SUMIFS(Movimientos!$K$1:$K$858,Movimientos!$C$1:$C$858,"YWC Capital",Movimientos!$B$1:$B$858,"&lt;="&amp;$B56)</f>
        <v>2237.77</v>
      </c>
      <c r="M56" s="24">
        <f>SUMIFS('Saldos Iniciales'!$D:$D,'Saldos Iniciales'!$A:$A,"Soweto")+SUMIFS(Movimientos!$K$1:$K$858,Movimientos!$C$1:$C$858,"Soweto",Movimientos!$B$1:$B$858,"&lt;="&amp;$B56)</f>
        <v>3349.94</v>
      </c>
      <c r="N56" s="24">
        <f>SUMIFS('Saldos Iniciales'!$D:$D,'Saldos Iniciales'!$A:$A,"Green Stone Trust")+SUMIFS(Movimientos!$K$1:$K$858,Movimientos!$C$1:$C$858,"Green Stone Trust",Movimientos!$B$1:$B$858,"&lt;="&amp;$B56)</f>
        <v>1968.99</v>
      </c>
      <c r="O56" s="24">
        <f>SUMIFS('Saldos Iniciales'!$D:$D,'Saldos Iniciales'!$A:$A,"EC Auto")+SUMIFS(Movimientos!$K$1:$K$858,Movimientos!$C$1:$C$858,"EC Auto",Movimientos!$B$1:$B$858,"&lt;="&amp;$B56)</f>
        <v>382.69000000000005</v>
      </c>
      <c r="P56" s="24">
        <f>SUMIFS('Saldos Iniciales'!$D:$D,'Saldos Iniciales'!$A:$A,"Arbor Capital Properties")+SUMIFS(Movimientos!$K$1:$K$858,Movimientos!$C$1:$C$858,"Arbor Capital Properties",Movimientos!$B$1:$B$858,"&lt;="&amp;$B56)</f>
        <v>1428.08</v>
      </c>
      <c r="Q56" s="24">
        <f>SUMIFS('Saldos Iniciales'!$D:$D,'Saldos Iniciales'!$A:$A,"2515 Overbrook")+SUMIFS(Movimientos!$K$1:$K$858,Movimientos!$C$1:$C$858,"2515 Overbrook",Movimientos!$B$1:$B$858,"&lt;="&amp;$B56)</f>
        <v>31039.969999999961</v>
      </c>
      <c r="R56" s="24">
        <f>SUMIFS('Saldos Iniciales'!$D:$D,'Saldos Iniciales'!$A:$A,"112 Florida Ave")+SUMIFS(Movimientos!$K$1:$K$858,Movimientos!$C$1:$C$858,"112 Florida Ave",Movimientos!$B$1:$B$858,"&lt;="&amp;$B56)</f>
        <v>20321.43</v>
      </c>
      <c r="S56" s="24">
        <f>SUMIFS('Saldos Iniciales'!$D:$D,'Saldos Iniciales'!$A:$A,"3628 Thomas Ave")+SUMIFS(Movimientos!$K$1:$K$858,Movimientos!$C$1:$C$858,"3628 Thomas Ave",Movimientos!$B$1:$B$858,"&lt;="&amp;$B56)</f>
        <v>16681.349999999999</v>
      </c>
      <c r="T56" s="24">
        <f>SUMIFS('Saldos Iniciales'!$D:$D,'Saldos Iniciales'!$A:$A,"Green Harbor Trust")+SUMIFS(Movimientos!$K$1:$K$858,Movimientos!$C$1:$C$858,"Green Harbor Trust",Movimientos!$B$1:$B$858,"&lt;="&amp;$B56)</f>
        <v>345</v>
      </c>
      <c r="U56" s="24">
        <f>SUMIFS('Saldos Iniciales'!$D:$D,'Saldos Iniciales'!$A:$A,"Go Blue")+SUMIFS(Movimientos!$K$1:$K$858,Movimientos!$C$1:$C$858,"Go Blue",Movimientos!$B$1:$B$858,"&lt;="&amp;$B56)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Group")+SUMIFS(Movimientos!$K$1:$K$858,Movimientos!$C$1:$C$858,"CFT Group",Movimientos!$B$1:$B$858,"&lt;="&amp;$B57)</f>
        <v>6298935.7100000009</v>
      </c>
      <c r="D57" s="24">
        <f>SUMIFS('Saldos Iniciales'!$D:$D,'Saldos Iniciales'!$A:$A,"M1B")+SUMIFS(Movimientos!$K$1:$K$858,Movimientos!$C$1:$C$858,"M1B",Movimientos!$B$1:$B$858,"&lt;="&amp;$B57)</f>
        <v>72386.190000000177</v>
      </c>
      <c r="E57" s="24">
        <f>SUMIFS('Saldos Iniciales'!$D:$D,'Saldos Iniciales'!$A:$A,"Durand")+SUMIFS(Movimientos!$K$1:$K$858,Movimientos!$C$1:$C$858,"Durand",Movimientos!$B$1:$B$858,"&lt;="&amp;$B57)</f>
        <v>1669.89</v>
      </c>
      <c r="F57" s="24">
        <f>SUMIFS('Saldos Iniciales'!$D:$D,'Saldos Iniciales'!$A:$A,"A&amp;M Imports")+SUMIFS(Movimientos!$K$1:$K$858,Movimientos!$C$1:$C$858,"A&amp;M Imports",Movimientos!$B$1:$B$858,"&lt;="&amp;$B57)</f>
        <v>472766.72999999986</v>
      </c>
      <c r="G57" s="24">
        <f>SUMIFS('Saldos Iniciales'!$D:$D,'Saldos Iniciales'!$A:$A,"SSP Capital")+SUMIFS(Movimientos!$K$1:$K$858,Movimientos!$C$1:$C$858,"SSP Capital",Movimientos!$B$1:$B$858,"&lt;="&amp;$B57)</f>
        <v>1933152.7099999995</v>
      </c>
      <c r="H57" s="24">
        <f>SUMIFS('Saldos Iniciales'!$D:$D,'Saldos Iniciales'!$A:$A,"Cross Family Trust")+SUMIFS(Movimientos!$K$1:$K$858,Movimientos!$C$1:$C$858,"Cross Family Trust",Movimientos!$B$1:$B$858,"&lt;="&amp;$B57)</f>
        <v>1996496.38</v>
      </c>
      <c r="I57" s="24">
        <f>SUMIFS('Saldos Iniciales'!$D:$D,'Saldos Iniciales'!$A:$A,"Cross Security Trust")+SUMIFS(Movimientos!$K$1:$K$858,Movimientos!$C$1:$C$858,"Cross Security Trust",Movimientos!$B$1:$B$858,"&lt;="&amp;$B57)</f>
        <v>88090.37</v>
      </c>
      <c r="J57" s="24">
        <f>SUMIFS('Saldos Iniciales'!$D:$D,'Saldos Iniciales'!$A:$A,"Electrama")+SUMIFS(Movimientos!$K$1:$K$858,Movimientos!$C$1:$C$858,"Electrama",Movimientos!$B$1:$B$858,"&lt;="&amp;$B57)</f>
        <v>511.15999999999985</v>
      </c>
      <c r="K57" s="24">
        <f>SUMIFS('Saldos Iniciales'!$D:$D,'Saldos Iniciales'!$A:$A,"Sacred Valley Capital")+SUMIFS(Movimientos!$K$1:$K$858,Movimientos!$C$1:$C$858,"Sacred Valley Capital",Movimientos!$B$1:$B$858,"&lt;="&amp;$B57)</f>
        <v>84.35</v>
      </c>
      <c r="L57" s="24">
        <f>SUMIFS('Saldos Iniciales'!$D:$D,'Saldos Iniciales'!$A:$A,"YWC Capital")+SUMIFS(Movimientos!$K$1:$K$858,Movimientos!$C$1:$C$858,"YWC Capital",Movimientos!$B$1:$B$858,"&lt;="&amp;$B57)</f>
        <v>2237.77</v>
      </c>
      <c r="M57" s="24">
        <f>SUMIFS('Saldos Iniciales'!$D:$D,'Saldos Iniciales'!$A:$A,"Soweto")+SUMIFS(Movimientos!$K$1:$K$858,Movimientos!$C$1:$C$858,"Soweto",Movimientos!$B$1:$B$858,"&lt;="&amp;$B57)</f>
        <v>3349.94</v>
      </c>
      <c r="N57" s="24">
        <f>SUMIFS('Saldos Iniciales'!$D:$D,'Saldos Iniciales'!$A:$A,"Green Stone Trust")+SUMIFS(Movimientos!$K$1:$K$858,Movimientos!$C$1:$C$858,"Green Stone Trust",Movimientos!$B$1:$B$858,"&lt;="&amp;$B57)</f>
        <v>1968.99</v>
      </c>
      <c r="O57" s="24">
        <f>SUMIFS('Saldos Iniciales'!$D:$D,'Saldos Iniciales'!$A:$A,"EC Auto")+SUMIFS(Movimientos!$K$1:$K$858,Movimientos!$C$1:$C$858,"EC Auto",Movimientos!$B$1:$B$858,"&lt;="&amp;$B57)</f>
        <v>382.69000000000005</v>
      </c>
      <c r="P57" s="24">
        <f>SUMIFS('Saldos Iniciales'!$D:$D,'Saldos Iniciales'!$A:$A,"Arbor Capital Properties")+SUMIFS(Movimientos!$K$1:$K$858,Movimientos!$C$1:$C$858,"Arbor Capital Properties",Movimientos!$B$1:$B$858,"&lt;="&amp;$B57)</f>
        <v>1428.08</v>
      </c>
      <c r="Q57" s="24">
        <f>SUMIFS('Saldos Iniciales'!$D:$D,'Saldos Iniciales'!$A:$A,"2515 Overbrook")+SUMIFS(Movimientos!$K$1:$K$858,Movimientos!$C$1:$C$858,"2515 Overbrook",Movimientos!$B$1:$B$858,"&lt;="&amp;$B57)</f>
        <v>31039.969999999961</v>
      </c>
      <c r="R57" s="24">
        <f>SUMIFS('Saldos Iniciales'!$D:$D,'Saldos Iniciales'!$A:$A,"112 Florida Ave")+SUMIFS(Movimientos!$K$1:$K$858,Movimientos!$C$1:$C$858,"112 Florida Ave",Movimientos!$B$1:$B$858,"&lt;="&amp;$B57)</f>
        <v>20321.43</v>
      </c>
      <c r="S57" s="24">
        <f>SUMIFS('Saldos Iniciales'!$D:$D,'Saldos Iniciales'!$A:$A,"3628 Thomas Ave")+SUMIFS(Movimientos!$K$1:$K$858,Movimientos!$C$1:$C$858,"3628 Thomas Ave",Movimientos!$B$1:$B$858,"&lt;="&amp;$B57)</f>
        <v>28473.599999999999</v>
      </c>
      <c r="T57" s="24">
        <f>SUMIFS('Saldos Iniciales'!$D:$D,'Saldos Iniciales'!$A:$A,"Green Harbor Trust")+SUMIFS(Movimientos!$K$1:$K$858,Movimientos!$C$1:$C$858,"Green Harbor Trust",Movimientos!$B$1:$B$858,"&lt;="&amp;$B57)</f>
        <v>345</v>
      </c>
      <c r="U57" s="24">
        <f>SUMIFS('Saldos Iniciales'!$D:$D,'Saldos Iniciales'!$A:$A,"Go Blue")+SUMIFS(Movimientos!$K$1:$K$858,Movimientos!$C$1:$C$858,"Go Blue",Movimientos!$B$1:$B$858,"&lt;="&amp;$B57)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Group")+SUMIFS(Movimientos!$K$1:$K$858,Movimientos!$C$1:$C$858,"CFT Group",Movimientos!$B$1:$B$858,"&lt;="&amp;$B58)</f>
        <v>6288055.7100000009</v>
      </c>
      <c r="D58" s="24">
        <f>SUMIFS('Saldos Iniciales'!$D:$D,'Saldos Iniciales'!$A:$A,"M1B")+SUMIFS(Movimientos!$K$1:$K$858,Movimientos!$C$1:$C$858,"M1B",Movimientos!$B$1:$B$858,"&lt;="&amp;$B58)</f>
        <v>72386.190000000177</v>
      </c>
      <c r="E58" s="24">
        <f>SUMIFS('Saldos Iniciales'!$D:$D,'Saldos Iniciales'!$A:$A,"Durand")+SUMIFS(Movimientos!$K$1:$K$858,Movimientos!$C$1:$C$858,"Durand",Movimientos!$B$1:$B$858,"&lt;="&amp;$B58)</f>
        <v>1669.89</v>
      </c>
      <c r="F58" s="24">
        <f>SUMIFS('Saldos Iniciales'!$D:$D,'Saldos Iniciales'!$A:$A,"A&amp;M Imports")+SUMIFS(Movimientos!$K$1:$K$858,Movimientos!$C$1:$C$858,"A&amp;M Imports",Movimientos!$B$1:$B$858,"&lt;="&amp;$B58)</f>
        <v>472766.72999999986</v>
      </c>
      <c r="G58" s="24">
        <f>SUMIFS('Saldos Iniciales'!$D:$D,'Saldos Iniciales'!$A:$A,"SSP Capital")+SUMIFS(Movimientos!$K$1:$K$858,Movimientos!$C$1:$C$858,"SSP Capital",Movimientos!$B$1:$B$858,"&lt;="&amp;$B58)</f>
        <v>1932389.7199999993</v>
      </c>
      <c r="H58" s="24">
        <f>SUMIFS('Saldos Iniciales'!$D:$D,'Saldos Iniciales'!$A:$A,"Cross Family Trust")+SUMIFS(Movimientos!$K$1:$K$858,Movimientos!$C$1:$C$858,"Cross Family Trust",Movimientos!$B$1:$B$858,"&lt;="&amp;$B58)</f>
        <v>1396496.38</v>
      </c>
      <c r="I58" s="24">
        <f>SUMIFS('Saldos Iniciales'!$D:$D,'Saldos Iniciales'!$A:$A,"Cross Security Trust")+SUMIFS(Movimientos!$K$1:$K$858,Movimientos!$C$1:$C$858,"Cross Security Trust",Movimientos!$B$1:$B$858,"&lt;="&amp;$B58)</f>
        <v>88090.37</v>
      </c>
      <c r="J58" s="24">
        <f>SUMIFS('Saldos Iniciales'!$D:$D,'Saldos Iniciales'!$A:$A,"Electrama")+SUMIFS(Movimientos!$K$1:$K$858,Movimientos!$C$1:$C$858,"Electrama",Movimientos!$B$1:$B$858,"&lt;="&amp;$B58)</f>
        <v>511.15999999999985</v>
      </c>
      <c r="K58" s="24">
        <f>SUMIFS('Saldos Iniciales'!$D:$D,'Saldos Iniciales'!$A:$A,"Sacred Valley Capital")+SUMIFS(Movimientos!$K$1:$K$858,Movimientos!$C$1:$C$858,"Sacred Valley Capital",Movimientos!$B$1:$B$858,"&lt;="&amp;$B58)</f>
        <v>84.35</v>
      </c>
      <c r="L58" s="24">
        <f>SUMIFS('Saldos Iniciales'!$D:$D,'Saldos Iniciales'!$A:$A,"YWC Capital")+SUMIFS(Movimientos!$K$1:$K$858,Movimientos!$C$1:$C$858,"YWC Capital",Movimientos!$B$1:$B$858,"&lt;="&amp;$B58)</f>
        <v>2237.77</v>
      </c>
      <c r="M58" s="24">
        <f>SUMIFS('Saldos Iniciales'!$D:$D,'Saldos Iniciales'!$A:$A,"Soweto")+SUMIFS(Movimientos!$K$1:$K$858,Movimientos!$C$1:$C$858,"Soweto",Movimientos!$B$1:$B$858,"&lt;="&amp;$B58)</f>
        <v>3349.94</v>
      </c>
      <c r="N58" s="24">
        <f>SUMIFS('Saldos Iniciales'!$D:$D,'Saldos Iniciales'!$A:$A,"Green Stone Trust")+SUMIFS(Movimientos!$K$1:$K$858,Movimientos!$C$1:$C$858,"Green Stone Trust",Movimientos!$B$1:$B$858,"&lt;="&amp;$B58)</f>
        <v>1968.99</v>
      </c>
      <c r="O58" s="24">
        <f>SUMIFS('Saldos Iniciales'!$D:$D,'Saldos Iniciales'!$A:$A,"EC Auto")+SUMIFS(Movimientos!$K$1:$K$858,Movimientos!$C$1:$C$858,"EC Auto",Movimientos!$B$1:$B$858,"&lt;="&amp;$B58)</f>
        <v>382.69000000000005</v>
      </c>
      <c r="P58" s="24">
        <f>SUMIFS('Saldos Iniciales'!$D:$D,'Saldos Iniciales'!$A:$A,"Arbor Capital Properties")+SUMIFS(Movimientos!$K$1:$K$858,Movimientos!$C$1:$C$858,"Arbor Capital Properties",Movimientos!$B$1:$B$858,"&lt;="&amp;$B58)</f>
        <v>1428.08</v>
      </c>
      <c r="Q58" s="24">
        <f>SUMIFS('Saldos Iniciales'!$D:$D,'Saldos Iniciales'!$A:$A,"2515 Overbrook")+SUMIFS(Movimientos!$K$1:$K$858,Movimientos!$C$1:$C$858,"2515 Overbrook",Movimientos!$B$1:$B$858,"&lt;="&amp;$B58)</f>
        <v>31039.969999999961</v>
      </c>
      <c r="R58" s="24">
        <f>SUMIFS('Saldos Iniciales'!$D:$D,'Saldos Iniciales'!$A:$A,"112 Florida Ave")+SUMIFS(Movimientos!$K$1:$K$858,Movimientos!$C$1:$C$858,"112 Florida Ave",Movimientos!$B$1:$B$858,"&lt;="&amp;$B58)</f>
        <v>20321.43</v>
      </c>
      <c r="S58" s="24">
        <f>SUMIFS('Saldos Iniciales'!$D:$D,'Saldos Iniciales'!$A:$A,"3628 Thomas Ave")+SUMIFS(Movimientos!$K$1:$K$858,Movimientos!$C$1:$C$858,"3628 Thomas Ave",Movimientos!$B$1:$B$858,"&lt;="&amp;$B58)</f>
        <v>28458.6</v>
      </c>
      <c r="T58" s="24">
        <f>SUMIFS('Saldos Iniciales'!$D:$D,'Saldos Iniciales'!$A:$A,"Green Harbor Trust")+SUMIFS(Movimientos!$K$1:$K$858,Movimientos!$C$1:$C$858,"Green Harbor Trust",Movimientos!$B$1:$B$858,"&lt;="&amp;$B58)</f>
        <v>345</v>
      </c>
      <c r="U58" s="24">
        <f>SUMIFS('Saldos Iniciales'!$D:$D,'Saldos Iniciales'!$A:$A,"Go Blue")+SUMIFS(Movimientos!$K$1:$K$858,Movimientos!$C$1:$C$858,"Go Blue",Movimientos!$B$1:$B$858,"&lt;="&amp;$B58)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Group")+SUMIFS(Movimientos!$K$1:$K$858,Movimientos!$C$1:$C$858,"CFT Group",Movimientos!$B$1:$B$858,"&lt;="&amp;$B59)</f>
        <v>6288055.7100000009</v>
      </c>
      <c r="D59" s="24">
        <f>SUMIFS('Saldos Iniciales'!$D:$D,'Saldos Iniciales'!$A:$A,"M1B")+SUMIFS(Movimientos!$K$1:$K$858,Movimientos!$C$1:$C$858,"M1B",Movimientos!$B$1:$B$858,"&lt;="&amp;$B59)</f>
        <v>72386.190000000177</v>
      </c>
      <c r="E59" s="24">
        <f>SUMIFS('Saldos Iniciales'!$D:$D,'Saldos Iniciales'!$A:$A,"Durand")+SUMIFS(Movimientos!$K$1:$K$858,Movimientos!$C$1:$C$858,"Durand",Movimientos!$B$1:$B$858,"&lt;="&amp;$B59)</f>
        <v>1669.89</v>
      </c>
      <c r="F59" s="24">
        <f>SUMIFS('Saldos Iniciales'!$D:$D,'Saldos Iniciales'!$A:$A,"A&amp;M Imports")+SUMIFS(Movimientos!$K$1:$K$858,Movimientos!$C$1:$C$858,"A&amp;M Imports",Movimientos!$B$1:$B$858,"&lt;="&amp;$B59)</f>
        <v>472766.72999999986</v>
      </c>
      <c r="G59" s="24">
        <f>SUMIFS('Saldos Iniciales'!$D:$D,'Saldos Iniciales'!$A:$A,"SSP Capital")+SUMIFS(Movimientos!$K$1:$K$858,Movimientos!$C$1:$C$858,"SSP Capital",Movimientos!$B$1:$B$858,"&lt;="&amp;$B59)</f>
        <v>1932389.7199999993</v>
      </c>
      <c r="H59" s="24">
        <f>SUMIFS('Saldos Iniciales'!$D:$D,'Saldos Iniciales'!$A:$A,"Cross Family Trust")+SUMIFS(Movimientos!$K$1:$K$858,Movimientos!$C$1:$C$858,"Cross Family Trust",Movimientos!$B$1:$B$858,"&lt;="&amp;$B59)</f>
        <v>1396496.38</v>
      </c>
      <c r="I59" s="24">
        <f>SUMIFS('Saldos Iniciales'!$D:$D,'Saldos Iniciales'!$A:$A,"Cross Security Trust")+SUMIFS(Movimientos!$K$1:$K$858,Movimientos!$C$1:$C$858,"Cross Security Trust",Movimientos!$B$1:$B$858,"&lt;="&amp;$B59)</f>
        <v>88090.37</v>
      </c>
      <c r="J59" s="24">
        <f>SUMIFS('Saldos Iniciales'!$D:$D,'Saldos Iniciales'!$A:$A,"Electrama")+SUMIFS(Movimientos!$K$1:$K$858,Movimientos!$C$1:$C$858,"Electrama",Movimientos!$B$1:$B$858,"&lt;="&amp;$B59)</f>
        <v>511.15999999999985</v>
      </c>
      <c r="K59" s="24">
        <f>SUMIFS('Saldos Iniciales'!$D:$D,'Saldos Iniciales'!$A:$A,"Sacred Valley Capital")+SUMIFS(Movimientos!$K$1:$K$858,Movimientos!$C$1:$C$858,"Sacred Valley Capital",Movimientos!$B$1:$B$858,"&lt;="&amp;$B59)</f>
        <v>84.35</v>
      </c>
      <c r="L59" s="24">
        <f>SUMIFS('Saldos Iniciales'!$D:$D,'Saldos Iniciales'!$A:$A,"YWC Capital")+SUMIFS(Movimientos!$K$1:$K$858,Movimientos!$C$1:$C$858,"YWC Capital",Movimientos!$B$1:$B$858,"&lt;="&amp;$B59)</f>
        <v>2237.77</v>
      </c>
      <c r="M59" s="24">
        <f>SUMIFS('Saldos Iniciales'!$D:$D,'Saldos Iniciales'!$A:$A,"Soweto")+SUMIFS(Movimientos!$K$1:$K$858,Movimientos!$C$1:$C$858,"Soweto",Movimientos!$B$1:$B$858,"&lt;="&amp;$B59)</f>
        <v>3349.94</v>
      </c>
      <c r="N59" s="24">
        <f>SUMIFS('Saldos Iniciales'!$D:$D,'Saldos Iniciales'!$A:$A,"Green Stone Trust")+SUMIFS(Movimientos!$K$1:$K$858,Movimientos!$C$1:$C$858,"Green Stone Trust",Movimientos!$B$1:$B$858,"&lt;="&amp;$B59)</f>
        <v>1968.99</v>
      </c>
      <c r="O59" s="24">
        <f>SUMIFS('Saldos Iniciales'!$D:$D,'Saldos Iniciales'!$A:$A,"EC Auto")+SUMIFS(Movimientos!$K$1:$K$858,Movimientos!$C$1:$C$858,"EC Auto",Movimientos!$B$1:$B$858,"&lt;="&amp;$B59)</f>
        <v>382.69000000000005</v>
      </c>
      <c r="P59" s="24">
        <f>SUMIFS('Saldos Iniciales'!$D:$D,'Saldos Iniciales'!$A:$A,"Arbor Capital Properties")+SUMIFS(Movimientos!$K$1:$K$858,Movimientos!$C$1:$C$858,"Arbor Capital Properties",Movimientos!$B$1:$B$858,"&lt;="&amp;$B59)</f>
        <v>1428.08</v>
      </c>
      <c r="Q59" s="24">
        <f>SUMIFS('Saldos Iniciales'!$D:$D,'Saldos Iniciales'!$A:$A,"2515 Overbrook")+SUMIFS(Movimientos!$K$1:$K$858,Movimientos!$C$1:$C$858,"2515 Overbrook",Movimientos!$B$1:$B$858,"&lt;="&amp;$B59)</f>
        <v>31039.969999999961</v>
      </c>
      <c r="R59" s="24">
        <f>SUMIFS('Saldos Iniciales'!$D:$D,'Saldos Iniciales'!$A:$A,"112 Florida Ave")+SUMIFS(Movimientos!$K$1:$K$858,Movimientos!$C$1:$C$858,"112 Florida Ave",Movimientos!$B$1:$B$858,"&lt;="&amp;$B59)</f>
        <v>20321.43</v>
      </c>
      <c r="S59" s="24">
        <f>SUMIFS('Saldos Iniciales'!$D:$D,'Saldos Iniciales'!$A:$A,"3628 Thomas Ave")+SUMIFS(Movimientos!$K$1:$K$858,Movimientos!$C$1:$C$858,"3628 Thomas Ave",Movimientos!$B$1:$B$858,"&lt;="&amp;$B59)</f>
        <v>28458.6</v>
      </c>
      <c r="T59" s="24">
        <f>SUMIFS('Saldos Iniciales'!$D:$D,'Saldos Iniciales'!$A:$A,"Green Harbor Trust")+SUMIFS(Movimientos!$K$1:$K$858,Movimientos!$C$1:$C$858,"Green Harbor Trust",Movimientos!$B$1:$B$858,"&lt;="&amp;$B59)</f>
        <v>345</v>
      </c>
      <c r="U59" s="24">
        <f>SUMIFS('Saldos Iniciales'!$D:$D,'Saldos Iniciales'!$A:$A,"Go Blue")+SUMIFS(Movimientos!$K$1:$K$858,Movimientos!$C$1:$C$858,"Go Blue",Movimientos!$B$1:$B$858,"&lt;="&amp;$B59)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24" si="12">+A59+1</f>
        <v>59</v>
      </c>
      <c r="B60" s="23">
        <v>46201</v>
      </c>
      <c r="C60" s="24">
        <f>SUMIFS('Saldos Iniciales'!$D:$D,'Saldos Iniciales'!$A:$A,"CFT Group")+SUMIFS(Movimientos!$K$1:$K$858,Movimientos!$C$1:$C$858,"CFT Group",Movimientos!$B$1:$B$858,"&lt;="&amp;$B60)</f>
        <v>6288055.7100000009</v>
      </c>
      <c r="D60" s="24">
        <f>SUMIFS('Saldos Iniciales'!$D:$D,'Saldos Iniciales'!$A:$A,"M1B")+SUMIFS(Movimientos!$K$1:$K$858,Movimientos!$C$1:$C$858,"M1B",Movimientos!$B$1:$B$858,"&lt;="&amp;$B60)</f>
        <v>72386.190000000177</v>
      </c>
      <c r="E60" s="24">
        <f>SUMIFS('Saldos Iniciales'!$D:$D,'Saldos Iniciales'!$A:$A,"Durand")+SUMIFS(Movimientos!$K$1:$K$858,Movimientos!$C$1:$C$858,"Durand",Movimientos!$B$1:$B$858,"&lt;="&amp;$B60)</f>
        <v>1669.89</v>
      </c>
      <c r="F60" s="24">
        <f>SUMIFS('Saldos Iniciales'!$D:$D,'Saldos Iniciales'!$A:$A,"A&amp;M Imports")+SUMIFS(Movimientos!$K$1:$K$858,Movimientos!$C$1:$C$858,"A&amp;M Imports",Movimientos!$B$1:$B$858,"&lt;="&amp;$B60)</f>
        <v>472766.72999999986</v>
      </c>
      <c r="G60" s="24">
        <f>SUMIFS('Saldos Iniciales'!$D:$D,'Saldos Iniciales'!$A:$A,"SSP Capital")+SUMIFS(Movimientos!$K$1:$K$858,Movimientos!$C$1:$C$858,"SSP Capital",Movimientos!$B$1:$B$858,"&lt;="&amp;$B60)</f>
        <v>1932389.7199999993</v>
      </c>
      <c r="H60" s="24">
        <f>SUMIFS('Saldos Iniciales'!$D:$D,'Saldos Iniciales'!$A:$A,"Cross Family Trust")+SUMIFS(Movimientos!$K$1:$K$858,Movimientos!$C$1:$C$858,"Cross Family Trust",Movimientos!$B$1:$B$858,"&lt;="&amp;$B60)</f>
        <v>1396496.38</v>
      </c>
      <c r="I60" s="24">
        <f>SUMIFS('Saldos Iniciales'!$D:$D,'Saldos Iniciales'!$A:$A,"Cross Security Trust")+SUMIFS(Movimientos!$K$1:$K$858,Movimientos!$C$1:$C$858,"Cross Security Trust",Movimientos!$B$1:$B$858,"&lt;="&amp;$B60)</f>
        <v>88090.37</v>
      </c>
      <c r="J60" s="24">
        <f>SUMIFS('Saldos Iniciales'!$D:$D,'Saldos Iniciales'!$A:$A,"Electrama")+SUMIFS(Movimientos!$K$1:$K$858,Movimientos!$C$1:$C$858,"Electrama",Movimientos!$B$1:$B$858,"&lt;="&amp;$B60)</f>
        <v>511.15999999999985</v>
      </c>
      <c r="K60" s="24">
        <f>SUMIFS('Saldos Iniciales'!$D:$D,'Saldos Iniciales'!$A:$A,"Sacred Valley Capital")+SUMIFS(Movimientos!$K$1:$K$858,Movimientos!$C$1:$C$858,"Sacred Valley Capital",Movimientos!$B$1:$B$858,"&lt;="&amp;$B60)</f>
        <v>84.35</v>
      </c>
      <c r="L60" s="24">
        <f>SUMIFS('Saldos Iniciales'!$D:$D,'Saldos Iniciales'!$A:$A,"YWC Capital")+SUMIFS(Movimientos!$K$1:$K$858,Movimientos!$C$1:$C$858,"YWC Capital",Movimientos!$B$1:$B$858,"&lt;="&amp;$B60)</f>
        <v>2237.77</v>
      </c>
      <c r="M60" s="24">
        <f>SUMIFS('Saldos Iniciales'!$D:$D,'Saldos Iniciales'!$A:$A,"Soweto")+SUMIFS(Movimientos!$K$1:$K$858,Movimientos!$C$1:$C$858,"Soweto",Movimientos!$B$1:$B$858,"&lt;="&amp;$B60)</f>
        <v>3349.94</v>
      </c>
      <c r="N60" s="24">
        <f>SUMIFS('Saldos Iniciales'!$D:$D,'Saldos Iniciales'!$A:$A,"Green Stone Trust")+SUMIFS(Movimientos!$K$1:$K$858,Movimientos!$C$1:$C$858,"Green Stone Trust",Movimientos!$B$1:$B$858,"&lt;="&amp;$B60)</f>
        <v>1968.99</v>
      </c>
      <c r="O60" s="24">
        <f>SUMIFS('Saldos Iniciales'!$D:$D,'Saldos Iniciales'!$A:$A,"EC Auto")+SUMIFS(Movimientos!$K$1:$K$858,Movimientos!$C$1:$C$858,"EC Auto",Movimientos!$B$1:$B$858,"&lt;="&amp;$B60)</f>
        <v>382.69000000000005</v>
      </c>
      <c r="P60" s="24">
        <f>SUMIFS('Saldos Iniciales'!$D:$D,'Saldos Iniciales'!$A:$A,"Arbor Capital Properties")+SUMIFS(Movimientos!$K$1:$K$858,Movimientos!$C$1:$C$858,"Arbor Capital Properties",Movimientos!$B$1:$B$858,"&lt;="&amp;$B60)</f>
        <v>1428.08</v>
      </c>
      <c r="Q60" s="24">
        <f>SUMIFS('Saldos Iniciales'!$D:$D,'Saldos Iniciales'!$A:$A,"2515 Overbrook")+SUMIFS(Movimientos!$K$1:$K$858,Movimientos!$C$1:$C$858,"2515 Overbrook",Movimientos!$B$1:$B$858,"&lt;="&amp;$B60)</f>
        <v>31039.969999999961</v>
      </c>
      <c r="R60" s="24">
        <f>SUMIFS('Saldos Iniciales'!$D:$D,'Saldos Iniciales'!$A:$A,"112 Florida Ave")+SUMIFS(Movimientos!$K$1:$K$858,Movimientos!$C$1:$C$858,"112 Florida Ave",Movimientos!$B$1:$B$858,"&lt;="&amp;$B60)</f>
        <v>20321.43</v>
      </c>
      <c r="S60" s="24">
        <f>SUMIFS('Saldos Iniciales'!$D:$D,'Saldos Iniciales'!$A:$A,"3628 Thomas Ave")+SUMIFS(Movimientos!$K$1:$K$858,Movimientos!$C$1:$C$858,"3628 Thomas Ave",Movimientos!$B$1:$B$858,"&lt;="&amp;$B60)</f>
        <v>28458.6</v>
      </c>
      <c r="T60" s="24">
        <f>SUMIFS('Saldos Iniciales'!$D:$D,'Saldos Iniciales'!$A:$A,"Green Harbor Trust")+SUMIFS(Movimientos!$K$1:$K$858,Movimientos!$C$1:$C$858,"Green Harbor Trust",Movimientos!$B$1:$B$858,"&lt;="&amp;$B60)</f>
        <v>345</v>
      </c>
      <c r="U60" s="24">
        <f>SUMIFS('Saldos Iniciales'!$D:$D,'Saldos Iniciales'!$A:$A,"Go Blue")+SUMIFS(Movimientos!$K$1:$K$858,Movimientos!$C$1:$C$858,"Go Blue",Movimientos!$B$1:$B$858,"&lt;="&amp;$B60)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Group")+SUMIFS(Movimientos!$K$1:$K$858,Movimientos!$C$1:$C$858,"CFT Group",Movimientos!$B$1:$B$858,"&lt;="&amp;$B61)</f>
        <v>6299174.8100000015</v>
      </c>
      <c r="D61" s="24">
        <f>SUMIFS('Saldos Iniciales'!$D:$D,'Saldos Iniciales'!$A:$A,"M1B")+SUMIFS(Movimientos!$K$1:$K$858,Movimientos!$C$1:$C$858,"M1B",Movimientos!$B$1:$B$858,"&lt;="&amp;$B61)</f>
        <v>72386.190000000177</v>
      </c>
      <c r="E61" s="24">
        <f>SUMIFS('Saldos Iniciales'!$D:$D,'Saldos Iniciales'!$A:$A,"Durand")+SUMIFS(Movimientos!$K$1:$K$858,Movimientos!$C$1:$C$858,"Durand",Movimientos!$B$1:$B$858,"&lt;="&amp;$B61)</f>
        <v>1669.89</v>
      </c>
      <c r="F61" s="24">
        <f>SUMIFS('Saldos Iniciales'!$D:$D,'Saldos Iniciales'!$A:$A,"A&amp;M Imports")+SUMIFS(Movimientos!$K$1:$K$858,Movimientos!$C$1:$C$858,"A&amp;M Imports",Movimientos!$B$1:$B$858,"&lt;="&amp;$B61)</f>
        <v>489745.62999999989</v>
      </c>
      <c r="G61" s="24">
        <f>SUMIFS('Saldos Iniciales'!$D:$D,'Saldos Iniciales'!$A:$A,"SSP Capital")+SUMIFS(Movimientos!$K$1:$K$858,Movimientos!$C$1:$C$858,"SSP Capital",Movimientos!$B$1:$B$858,"&lt;="&amp;$B61)</f>
        <v>1768167.9199999995</v>
      </c>
      <c r="H61" s="24">
        <f>SUMIFS('Saldos Iniciales'!$D:$D,'Saldos Iniciales'!$A:$A,"Cross Family Trust")+SUMIFS(Movimientos!$K$1:$K$858,Movimientos!$C$1:$C$858,"Cross Family Trust",Movimientos!$B$1:$B$858,"&lt;="&amp;$B61)</f>
        <v>396496.38</v>
      </c>
      <c r="I61" s="24">
        <f>SUMIFS('Saldos Iniciales'!$D:$D,'Saldos Iniciales'!$A:$A,"Cross Security Trust")+SUMIFS(Movimientos!$K$1:$K$858,Movimientos!$C$1:$C$858,"Cross Security Trust",Movimientos!$B$1:$B$858,"&lt;="&amp;$B61)</f>
        <v>88090.37</v>
      </c>
      <c r="J61" s="24">
        <f>SUMIFS('Saldos Iniciales'!$D:$D,'Saldos Iniciales'!$A:$A,"Electrama")+SUMIFS(Movimientos!$K$1:$K$858,Movimientos!$C$1:$C$858,"Electrama",Movimientos!$B$1:$B$858,"&lt;="&amp;$B61)</f>
        <v>511.15999999999985</v>
      </c>
      <c r="K61" s="24">
        <f>SUMIFS('Saldos Iniciales'!$D:$D,'Saldos Iniciales'!$A:$A,"Sacred Valley Capital")+SUMIFS(Movimientos!$K$1:$K$858,Movimientos!$C$1:$C$858,"Sacred Valley Capital",Movimientos!$B$1:$B$858,"&lt;="&amp;$B61)</f>
        <v>84.35</v>
      </c>
      <c r="L61" s="24">
        <f>SUMIFS('Saldos Iniciales'!$D:$D,'Saldos Iniciales'!$A:$A,"YWC Capital")+SUMIFS(Movimientos!$K$1:$K$858,Movimientos!$C$1:$C$858,"YWC Capital",Movimientos!$B$1:$B$858,"&lt;="&amp;$B61)</f>
        <v>2237.77</v>
      </c>
      <c r="M61" s="24">
        <f>SUMIFS('Saldos Iniciales'!$D:$D,'Saldos Iniciales'!$A:$A,"Soweto")+SUMIFS(Movimientos!$K$1:$K$858,Movimientos!$C$1:$C$858,"Soweto",Movimientos!$B$1:$B$858,"&lt;="&amp;$B61)</f>
        <v>3349.94</v>
      </c>
      <c r="N61" s="24">
        <f>SUMIFS('Saldos Iniciales'!$D:$D,'Saldos Iniciales'!$A:$A,"Green Stone Trust")+SUMIFS(Movimientos!$K$1:$K$858,Movimientos!$C$1:$C$858,"Green Stone Trust",Movimientos!$B$1:$B$858,"&lt;="&amp;$B61)</f>
        <v>1968.99</v>
      </c>
      <c r="O61" s="24">
        <f>SUMIFS('Saldos Iniciales'!$D:$D,'Saldos Iniciales'!$A:$A,"EC Auto")+SUMIFS(Movimientos!$K$1:$K$858,Movimientos!$C$1:$C$858,"EC Auto",Movimientos!$B$1:$B$858,"&lt;="&amp;$B61)</f>
        <v>382.69000000000005</v>
      </c>
      <c r="P61" s="24">
        <f>SUMIFS('Saldos Iniciales'!$D:$D,'Saldos Iniciales'!$A:$A,"Arbor Capital Properties")+SUMIFS(Movimientos!$K$1:$K$858,Movimientos!$C$1:$C$858,"Arbor Capital Properties",Movimientos!$B$1:$B$858,"&lt;="&amp;$B61)</f>
        <v>1428.08</v>
      </c>
      <c r="Q61" s="24">
        <f>SUMIFS('Saldos Iniciales'!$D:$D,'Saldos Iniciales'!$A:$A,"2515 Overbrook")+SUMIFS(Movimientos!$K$1:$K$858,Movimientos!$C$1:$C$858,"2515 Overbrook",Movimientos!$B$1:$B$858,"&lt;="&amp;$B61)</f>
        <v>31039.969999999961</v>
      </c>
      <c r="R61" s="24">
        <f>SUMIFS('Saldos Iniciales'!$D:$D,'Saldos Iniciales'!$A:$A,"112 Florida Ave")+SUMIFS(Movimientos!$K$1:$K$858,Movimientos!$C$1:$C$858,"112 Florida Ave",Movimientos!$B$1:$B$858,"&lt;="&amp;$B61)</f>
        <v>20321.43</v>
      </c>
      <c r="S61" s="24">
        <f>SUMIFS('Saldos Iniciales'!$D:$D,'Saldos Iniciales'!$A:$A,"3628 Thomas Ave")+SUMIFS(Movimientos!$K$1:$K$858,Movimientos!$C$1:$C$858,"3628 Thomas Ave",Movimientos!$B$1:$B$858,"&lt;="&amp;$B61)</f>
        <v>28458.6</v>
      </c>
      <c r="T61" s="24">
        <f>SUMIFS('Saldos Iniciales'!$D:$D,'Saldos Iniciales'!$A:$A,"Green Harbor Trust")+SUMIFS(Movimientos!$K$1:$K$858,Movimientos!$C$1:$C$858,"Green Harbor Trust",Movimientos!$B$1:$B$858,"&lt;="&amp;$B61)</f>
        <v>345</v>
      </c>
      <c r="U61" s="24">
        <f>SUMIFS('Saldos Iniciales'!$D:$D,'Saldos Iniciales'!$A:$A,"Go Blue")+SUMIFS(Movimientos!$K$1:$K$858,Movimientos!$C$1:$C$858,"Go Blue",Movimientos!$B$1:$B$858,"&lt;="&amp;$B61)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Group")+SUMIFS(Movimientos!$K$1:$K$858,Movimientos!$C$1:$C$858,"CFT Group",Movimientos!$B$1:$B$858,"&lt;="&amp;$B62)</f>
        <v>6295585.7500000009</v>
      </c>
      <c r="D62" s="24">
        <f>SUMIFS('Saldos Iniciales'!$D:$D,'Saldos Iniciales'!$A:$A,"M1B")+SUMIFS(Movimientos!$K$1:$K$858,Movimientos!$C$1:$C$858,"M1B",Movimientos!$B$1:$B$858,"&lt;="&amp;$B62)</f>
        <v>79139.680000000168</v>
      </c>
      <c r="E62" s="24">
        <f>SUMIFS('Saldos Iniciales'!$D:$D,'Saldos Iniciales'!$A:$A,"Durand")+SUMIFS(Movimientos!$K$1:$K$858,Movimientos!$C$1:$C$858,"Durand",Movimientos!$B$1:$B$858,"&lt;="&amp;$B62)</f>
        <v>1669.89</v>
      </c>
      <c r="F62" s="24">
        <f>SUMIFS('Saldos Iniciales'!$D:$D,'Saldos Iniciales'!$A:$A,"A&amp;M Imports")+SUMIFS(Movimientos!$K$1:$K$858,Movimientos!$C$1:$C$858,"A&amp;M Imports",Movimientos!$B$1:$B$858,"&lt;="&amp;$B62)</f>
        <v>489745.62999999989</v>
      </c>
      <c r="G62" s="24">
        <f>SUMIFS('Saldos Iniciales'!$D:$D,'Saldos Iniciales'!$A:$A,"SSP Capital")+SUMIFS(Movimientos!$K$1:$K$858,Movimientos!$C$1:$C$858,"SSP Capital",Movimientos!$B$1:$B$858,"&lt;="&amp;$B62)</f>
        <v>1696284.7299999995</v>
      </c>
      <c r="H62" s="24">
        <f>SUMIFS('Saldos Iniciales'!$D:$D,'Saldos Iniciales'!$A:$A,"Cross Family Trust")+SUMIFS(Movimientos!$K$1:$K$858,Movimientos!$C$1:$C$858,"Cross Family Trust",Movimientos!$B$1:$B$858,"&lt;="&amp;$B62)</f>
        <v>390496.38</v>
      </c>
      <c r="I62" s="24">
        <f>SUMIFS('Saldos Iniciales'!$D:$D,'Saldos Iniciales'!$A:$A,"Cross Security Trust")+SUMIFS(Movimientos!$K$1:$K$858,Movimientos!$C$1:$C$858,"Cross Security Trust",Movimientos!$B$1:$B$858,"&lt;="&amp;$B62)</f>
        <v>88090.37</v>
      </c>
      <c r="J62" s="24">
        <f>SUMIFS('Saldos Iniciales'!$D:$D,'Saldos Iniciales'!$A:$A,"Electrama")+SUMIFS(Movimientos!$K$1:$K$858,Movimientos!$C$1:$C$858,"Electrama",Movimientos!$B$1:$B$858,"&lt;="&amp;$B62)</f>
        <v>511.15999999999985</v>
      </c>
      <c r="K62" s="24">
        <f>SUMIFS('Saldos Iniciales'!$D:$D,'Saldos Iniciales'!$A:$A,"Sacred Valley Capital")+SUMIFS(Movimientos!$K$1:$K$858,Movimientos!$C$1:$C$858,"Sacred Valley Capital",Movimientos!$B$1:$B$858,"&lt;="&amp;$B62)</f>
        <v>84.35</v>
      </c>
      <c r="L62" s="24">
        <f>SUMIFS('Saldos Iniciales'!$D:$D,'Saldos Iniciales'!$A:$A,"YWC Capital")+SUMIFS(Movimientos!$K$1:$K$858,Movimientos!$C$1:$C$858,"YWC Capital",Movimientos!$B$1:$B$858,"&lt;="&amp;$B62)</f>
        <v>2237.77</v>
      </c>
      <c r="M62" s="24">
        <f>SUMIFS('Saldos Iniciales'!$D:$D,'Saldos Iniciales'!$A:$A,"Soweto")+SUMIFS(Movimientos!$K$1:$K$858,Movimientos!$C$1:$C$858,"Soweto",Movimientos!$B$1:$B$858,"&lt;="&amp;$B62)</f>
        <v>3349.94</v>
      </c>
      <c r="N62" s="24">
        <f>SUMIFS('Saldos Iniciales'!$D:$D,'Saldos Iniciales'!$A:$A,"Green Stone Trust")+SUMIFS(Movimientos!$K$1:$K$858,Movimientos!$C$1:$C$858,"Green Stone Trust",Movimientos!$B$1:$B$858,"&lt;="&amp;$B62)</f>
        <v>1968.99</v>
      </c>
      <c r="O62" s="24">
        <f>SUMIFS('Saldos Iniciales'!$D:$D,'Saldos Iniciales'!$A:$A,"EC Auto")+SUMIFS(Movimientos!$K$1:$K$858,Movimientos!$C$1:$C$858,"EC Auto",Movimientos!$B$1:$B$858,"&lt;="&amp;$B62)</f>
        <v>382.69000000000005</v>
      </c>
      <c r="P62" s="24">
        <f>SUMIFS('Saldos Iniciales'!$D:$D,'Saldos Iniciales'!$A:$A,"Arbor Capital Properties")+SUMIFS(Movimientos!$K$1:$K$858,Movimientos!$C$1:$C$858,"Arbor Capital Properties",Movimientos!$B$1:$B$858,"&lt;="&amp;$B62)</f>
        <v>1428.08</v>
      </c>
      <c r="Q62" s="24">
        <f>SUMIFS('Saldos Iniciales'!$D:$D,'Saldos Iniciales'!$A:$A,"2515 Overbrook")+SUMIFS(Movimientos!$K$1:$K$858,Movimientos!$C$1:$C$858,"2515 Overbrook",Movimientos!$B$1:$B$858,"&lt;="&amp;$B62)</f>
        <v>31039.969999999961</v>
      </c>
      <c r="R62" s="24">
        <f>SUMIFS('Saldos Iniciales'!$D:$D,'Saldos Iniciales'!$A:$A,"112 Florida Ave")+SUMIFS(Movimientos!$K$1:$K$858,Movimientos!$C$1:$C$858,"112 Florida Ave",Movimientos!$B$1:$B$858,"&lt;="&amp;$B62)</f>
        <v>20321.43</v>
      </c>
      <c r="S62" s="24">
        <f>SUMIFS('Saldos Iniciales'!$D:$D,'Saldos Iniciales'!$A:$A,"3628 Thomas Ave")+SUMIFS(Movimientos!$K$1:$K$858,Movimientos!$C$1:$C$858,"3628 Thomas Ave",Movimientos!$B$1:$B$858,"&lt;="&amp;$B62)</f>
        <v>28458.6</v>
      </c>
      <c r="T62" s="24">
        <f>SUMIFS('Saldos Iniciales'!$D:$D,'Saldos Iniciales'!$A:$A,"Green Harbor Trust")+SUMIFS(Movimientos!$K$1:$K$858,Movimientos!$C$1:$C$858,"Green Harbor Trust",Movimientos!$B$1:$B$858,"&lt;="&amp;$B62)</f>
        <v>345</v>
      </c>
      <c r="U62" s="24">
        <f>SUMIFS('Saldos Iniciales'!$D:$D,'Saldos Iniciales'!$A:$A,"Go Blue")+SUMIFS(Movimientos!$K$1:$K$858,Movimientos!$C$1:$C$858,"Go Blue",Movimientos!$B$1:$B$858,"&lt;="&amp;$B62)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Group")+SUMIFS(Movimientos!$K$1:$K$858,Movimientos!$C$1:$C$858,"CFT Group",Movimientos!$B$1:$B$858,"&lt;="&amp;$B63)</f>
        <v>6295585.7500000009</v>
      </c>
      <c r="D63" s="24">
        <f>SUMIFS('Saldos Iniciales'!$D:$D,'Saldos Iniciales'!$A:$A,"M1B")+SUMIFS(Movimientos!$K$1:$K$858,Movimientos!$C$1:$C$858,"M1B",Movimientos!$B$1:$B$858,"&lt;="&amp;$B63)</f>
        <v>79139.680000000168</v>
      </c>
      <c r="E63" s="24">
        <f>SUMIFS('Saldos Iniciales'!$D:$D,'Saldos Iniciales'!$A:$A,"Durand")+SUMIFS(Movimientos!$K$1:$K$858,Movimientos!$C$1:$C$858,"Durand",Movimientos!$B$1:$B$858,"&lt;="&amp;$B63)</f>
        <v>1669.89</v>
      </c>
      <c r="F63" s="24">
        <f>SUMIFS('Saldos Iniciales'!$D:$D,'Saldos Iniciales'!$A:$A,"A&amp;M Imports")+SUMIFS(Movimientos!$K$1:$K$858,Movimientos!$C$1:$C$858,"A&amp;M Imports",Movimientos!$B$1:$B$858,"&lt;="&amp;$B63)</f>
        <v>507936.37999999989</v>
      </c>
      <c r="G63" s="24">
        <f>SUMIFS('Saldos Iniciales'!$D:$D,'Saldos Iniciales'!$A:$A,"SSP Capital")+SUMIFS(Movimientos!$K$1:$K$858,Movimientos!$C$1:$C$858,"SSP Capital",Movimientos!$B$1:$B$858,"&lt;="&amp;$B63)</f>
        <v>1696284.7299999995</v>
      </c>
      <c r="H63" s="24">
        <f>SUMIFS('Saldos Iniciales'!$D:$D,'Saldos Iniciales'!$A:$A,"Cross Family Trust")+SUMIFS(Movimientos!$K$1:$K$858,Movimientos!$C$1:$C$858,"Cross Family Trust",Movimientos!$B$1:$B$858,"&lt;="&amp;$B63)</f>
        <v>390496.38</v>
      </c>
      <c r="I63" s="24">
        <f>SUMIFS('Saldos Iniciales'!$D:$D,'Saldos Iniciales'!$A:$A,"Cross Security Trust")+SUMIFS(Movimientos!$K$1:$K$858,Movimientos!$C$1:$C$858,"Cross Security Trust",Movimientos!$B$1:$B$858,"&lt;="&amp;$B63)</f>
        <v>88090.37</v>
      </c>
      <c r="J63" s="24">
        <f>SUMIFS('Saldos Iniciales'!$D:$D,'Saldos Iniciales'!$A:$A,"Electrama")+SUMIFS(Movimientos!$K$1:$K$858,Movimientos!$C$1:$C$858,"Electrama",Movimientos!$B$1:$B$858,"&lt;="&amp;$B63)</f>
        <v>511.15999999999985</v>
      </c>
      <c r="K63" s="24">
        <f>SUMIFS('Saldos Iniciales'!$D:$D,'Saldos Iniciales'!$A:$A,"Sacred Valley Capital")+SUMIFS(Movimientos!$K$1:$K$858,Movimientos!$C$1:$C$858,"Sacred Valley Capital",Movimientos!$B$1:$B$858,"&lt;="&amp;$B63)</f>
        <v>54.400000000000006</v>
      </c>
      <c r="L63" s="24">
        <f>SUMIFS('Saldos Iniciales'!$D:$D,'Saldos Iniciales'!$A:$A,"YWC Capital")+SUMIFS(Movimientos!$K$1:$K$858,Movimientos!$C$1:$C$858,"YWC Capital",Movimientos!$B$1:$B$858,"&lt;="&amp;$B63)</f>
        <v>2207.8200000000002</v>
      </c>
      <c r="M63" s="24">
        <f>SUMIFS('Saldos Iniciales'!$D:$D,'Saldos Iniciales'!$A:$A,"Soweto")+SUMIFS(Movimientos!$K$1:$K$858,Movimientos!$C$1:$C$858,"Soweto",Movimientos!$B$1:$B$858,"&lt;="&amp;$B63)</f>
        <v>3349.94</v>
      </c>
      <c r="N63" s="24">
        <f>SUMIFS('Saldos Iniciales'!$D:$D,'Saldos Iniciales'!$A:$A,"Green Stone Trust")+SUMIFS(Movimientos!$K$1:$K$858,Movimientos!$C$1:$C$858,"Green Stone Trust",Movimientos!$B$1:$B$858,"&lt;="&amp;$B63)</f>
        <v>1968.99</v>
      </c>
      <c r="O63" s="24">
        <f>SUMIFS('Saldos Iniciales'!$D:$D,'Saldos Iniciales'!$A:$A,"EC Auto")+SUMIFS(Movimientos!$K$1:$K$858,Movimientos!$C$1:$C$858,"EC Auto",Movimientos!$B$1:$B$858,"&lt;="&amp;$B63)</f>
        <v>382.69000000000005</v>
      </c>
      <c r="P63" s="24">
        <f>SUMIFS('Saldos Iniciales'!$D:$D,'Saldos Iniciales'!$A:$A,"Arbor Capital Properties")+SUMIFS(Movimientos!$K$1:$K$858,Movimientos!$C$1:$C$858,"Arbor Capital Properties",Movimientos!$B$1:$B$858,"&lt;="&amp;$B63)</f>
        <v>1412.08</v>
      </c>
      <c r="Q63" s="24">
        <f>SUMIFS('Saldos Iniciales'!$D:$D,'Saldos Iniciales'!$A:$A,"2515 Overbrook")+SUMIFS(Movimientos!$K$1:$K$858,Movimientos!$C$1:$C$858,"2515 Overbrook",Movimientos!$B$1:$B$858,"&lt;="&amp;$B63)</f>
        <v>22496.639999999959</v>
      </c>
      <c r="R63" s="24">
        <f>SUMIFS('Saldos Iniciales'!$D:$D,'Saldos Iniciales'!$A:$A,"112 Florida Ave")+SUMIFS(Movimientos!$K$1:$K$858,Movimientos!$C$1:$C$858,"112 Florida Ave",Movimientos!$B$1:$B$858,"&lt;="&amp;$B63)</f>
        <v>10522.800000000003</v>
      </c>
      <c r="S63" s="24">
        <f>SUMIFS('Saldos Iniciales'!$D:$D,'Saldos Iniciales'!$A:$A,"3628 Thomas Ave")+SUMIFS(Movimientos!$K$1:$K$858,Movimientos!$C$1:$C$858,"3628 Thomas Ave",Movimientos!$B$1:$B$858,"&lt;="&amp;$B63)</f>
        <v>19685.559999999998</v>
      </c>
      <c r="T63" s="24">
        <f>SUMIFS('Saldos Iniciales'!$D:$D,'Saldos Iniciales'!$A:$A,"Green Harbor Trust")+SUMIFS(Movimientos!$K$1:$K$858,Movimientos!$C$1:$C$858,"Green Harbor Trust",Movimientos!$B$1:$B$858,"&lt;="&amp;$B63)</f>
        <v>345</v>
      </c>
      <c r="U63" s="24">
        <f>SUMIFS('Saldos Iniciales'!$D:$D,'Saldos Iniciales'!$A:$A,"Go Blue")+SUMIFS(Movimientos!$K$1:$K$858,Movimientos!$C$1:$C$858,"Go Blue",Movimientos!$B$1:$B$858,"&lt;="&amp;$B63)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Group")+SUMIFS(Movimientos!$K$1:$K$858,Movimientos!$C$1:$C$858,"CFT Group",Movimientos!$B$1:$B$858,"&lt;="&amp;$B64)</f>
        <v>5592585.7500000009</v>
      </c>
      <c r="D64" s="24">
        <f>SUMIFS('Saldos Iniciales'!$D:$D,'Saldos Iniciales'!$A:$A,"M1B")+SUMIFS(Movimientos!$K$1:$K$858,Movimientos!$C$1:$C$858,"M1B",Movimientos!$B$1:$B$858,"&lt;="&amp;$B64)</f>
        <v>79139.680000000168</v>
      </c>
      <c r="E64" s="24">
        <f>SUMIFS('Saldos Iniciales'!$D:$D,'Saldos Iniciales'!$A:$A,"Durand")+SUMIFS(Movimientos!$K$1:$K$858,Movimientos!$C$1:$C$858,"Durand",Movimientos!$B$1:$B$858,"&lt;="&amp;$B64)</f>
        <v>1669.89</v>
      </c>
      <c r="F64" s="24">
        <f>SUMIFS('Saldos Iniciales'!$D:$D,'Saldos Iniciales'!$A:$A,"A&amp;M Imports")+SUMIFS(Movimientos!$K$1:$K$858,Movimientos!$C$1:$C$858,"A&amp;M Imports",Movimientos!$B$1:$B$858,"&lt;="&amp;$B64)</f>
        <v>350475.62999999989</v>
      </c>
      <c r="G64" s="24">
        <f>SUMIFS('Saldos Iniciales'!$D:$D,'Saldos Iniciales'!$A:$A,"SSP Capital")+SUMIFS(Movimientos!$K$1:$K$858,Movimientos!$C$1:$C$858,"SSP Capital",Movimientos!$B$1:$B$858,"&lt;="&amp;$B64)</f>
        <v>1761564.8799999994</v>
      </c>
      <c r="H64" s="24">
        <f>SUMIFS('Saldos Iniciales'!$D:$D,'Saldos Iniciales'!$A:$A,"Cross Family Trust")+SUMIFS(Movimientos!$K$1:$K$858,Movimientos!$C$1:$C$858,"Cross Family Trust",Movimientos!$B$1:$B$858,"&lt;="&amp;$B64)</f>
        <v>220496.38</v>
      </c>
      <c r="I64" s="24">
        <f>SUMIFS('Saldos Iniciales'!$D:$D,'Saldos Iniciales'!$A:$A,"Cross Security Trust")+SUMIFS(Movimientos!$K$1:$K$858,Movimientos!$C$1:$C$858,"Cross Security Trust",Movimientos!$B$1:$B$858,"&lt;="&amp;$B64)</f>
        <v>88090.37</v>
      </c>
      <c r="J64" s="24">
        <f>SUMIFS('Saldos Iniciales'!$D:$D,'Saldos Iniciales'!$A:$A,"Electrama")+SUMIFS(Movimientos!$K$1:$K$858,Movimientos!$C$1:$C$858,"Electrama",Movimientos!$B$1:$B$858,"&lt;="&amp;$B64)</f>
        <v>511.15999999999985</v>
      </c>
      <c r="K64" s="24">
        <f>SUMIFS('Saldos Iniciales'!$D:$D,'Saldos Iniciales'!$A:$A,"Sacred Valley Capital")+SUMIFS(Movimientos!$K$1:$K$858,Movimientos!$C$1:$C$858,"Sacred Valley Capital",Movimientos!$B$1:$B$858,"&lt;="&amp;$B64)</f>
        <v>54.400000000000006</v>
      </c>
      <c r="L64" s="24">
        <f>SUMIFS('Saldos Iniciales'!$D:$D,'Saldos Iniciales'!$A:$A,"YWC Capital")+SUMIFS(Movimientos!$K$1:$K$858,Movimientos!$C$1:$C$858,"YWC Capital",Movimientos!$B$1:$B$858,"&lt;="&amp;$B64)</f>
        <v>2207.8200000000002</v>
      </c>
      <c r="M64" s="24">
        <f>SUMIFS('Saldos Iniciales'!$D:$D,'Saldos Iniciales'!$A:$A,"Soweto")+SUMIFS(Movimientos!$K$1:$K$858,Movimientos!$C$1:$C$858,"Soweto",Movimientos!$B$1:$B$858,"&lt;="&amp;$B64)</f>
        <v>3349.94</v>
      </c>
      <c r="N64" s="24">
        <f>SUMIFS('Saldos Iniciales'!$D:$D,'Saldos Iniciales'!$A:$A,"Green Stone Trust")+SUMIFS(Movimientos!$K$1:$K$858,Movimientos!$C$1:$C$858,"Green Stone Trust",Movimientos!$B$1:$B$858,"&lt;="&amp;$B64)</f>
        <v>1968.99</v>
      </c>
      <c r="O64" s="24">
        <f>SUMIFS('Saldos Iniciales'!$D:$D,'Saldos Iniciales'!$A:$A,"EC Auto")+SUMIFS(Movimientos!$K$1:$K$858,Movimientos!$C$1:$C$858,"EC Auto",Movimientos!$B$1:$B$858,"&lt;="&amp;$B64)</f>
        <v>382.69000000000005</v>
      </c>
      <c r="P64" s="24">
        <f>SUMIFS('Saldos Iniciales'!$D:$D,'Saldos Iniciales'!$A:$A,"Arbor Capital Properties")+SUMIFS(Movimientos!$K$1:$K$858,Movimientos!$C$1:$C$858,"Arbor Capital Properties",Movimientos!$B$1:$B$858,"&lt;="&amp;$B64)</f>
        <v>1412.08</v>
      </c>
      <c r="Q64" s="24">
        <f>SUMIFS('Saldos Iniciales'!$D:$D,'Saldos Iniciales'!$A:$A,"2515 Overbrook")+SUMIFS(Movimientos!$K$1:$K$858,Movimientos!$C$1:$C$858,"2515 Overbrook",Movimientos!$B$1:$B$858,"&lt;="&amp;$B64)</f>
        <v>22496.639999999959</v>
      </c>
      <c r="R64" s="24">
        <f>SUMIFS('Saldos Iniciales'!$D:$D,'Saldos Iniciales'!$A:$A,"112 Florida Ave")+SUMIFS(Movimientos!$K$1:$K$858,Movimientos!$C$1:$C$858,"112 Florida Ave",Movimientos!$B$1:$B$858,"&lt;="&amp;$B64)</f>
        <v>10522.800000000003</v>
      </c>
      <c r="S64" s="24">
        <f>SUMIFS('Saldos Iniciales'!$D:$D,'Saldos Iniciales'!$A:$A,"3628 Thomas Ave")+SUMIFS(Movimientos!$K$1:$K$858,Movimientos!$C$1:$C$858,"3628 Thomas Ave",Movimientos!$B$1:$B$858,"&lt;="&amp;$B64)</f>
        <v>28485.559999999998</v>
      </c>
      <c r="T64" s="24">
        <f>SUMIFS('Saldos Iniciales'!$D:$D,'Saldos Iniciales'!$A:$A,"Green Harbor Trust")+SUMIFS(Movimientos!$K$1:$K$858,Movimientos!$C$1:$C$858,"Green Harbor Trust",Movimientos!$B$1:$B$858,"&lt;="&amp;$B64)</f>
        <v>345</v>
      </c>
      <c r="U64" s="24">
        <f>SUMIFS('Saldos Iniciales'!$D:$D,'Saldos Iniciales'!$A:$A,"Go Blue")+SUMIFS(Movimientos!$K$1:$K$858,Movimientos!$C$1:$C$858,"Go Blue",Movimientos!$B$1:$B$858,"&lt;="&amp;$B64)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Group")+SUMIFS(Movimientos!$K$1:$K$858,Movimientos!$C$1:$C$858,"CFT Group",Movimientos!$B$1:$B$858,"&lt;="&amp;$B65)</f>
        <v>5592585.7500000009</v>
      </c>
      <c r="D65" s="24">
        <f>SUMIFS('Saldos Iniciales'!$D:$D,'Saldos Iniciales'!$A:$A,"M1B")+SUMIFS(Movimientos!$K$1:$K$858,Movimientos!$C$1:$C$858,"M1B",Movimientos!$B$1:$B$858,"&lt;="&amp;$B65)</f>
        <v>79139.680000000168</v>
      </c>
      <c r="E65" s="24">
        <f>SUMIFS('Saldos Iniciales'!$D:$D,'Saldos Iniciales'!$A:$A,"Durand")+SUMIFS(Movimientos!$K$1:$K$858,Movimientos!$C$1:$C$858,"Durand",Movimientos!$B$1:$B$858,"&lt;="&amp;$B65)</f>
        <v>1669.89</v>
      </c>
      <c r="F65" s="24">
        <f>SUMIFS('Saldos Iniciales'!$D:$D,'Saldos Iniciales'!$A:$A,"A&amp;M Imports")+SUMIFS(Movimientos!$K$1:$K$858,Movimientos!$C$1:$C$858,"A&amp;M Imports",Movimientos!$B$1:$B$858,"&lt;="&amp;$B65)</f>
        <v>350475.62999999989</v>
      </c>
      <c r="G65" s="24">
        <f>SUMIFS('Saldos Iniciales'!$D:$D,'Saldos Iniciales'!$A:$A,"SSP Capital")+SUMIFS(Movimientos!$K$1:$K$858,Movimientos!$C$1:$C$858,"SSP Capital",Movimientos!$B$1:$B$858,"&lt;="&amp;$B65)</f>
        <v>1761564.8799999994</v>
      </c>
      <c r="H65" s="24">
        <f>SUMIFS('Saldos Iniciales'!$D:$D,'Saldos Iniciales'!$A:$A,"Cross Family Trust")+SUMIFS(Movimientos!$K$1:$K$858,Movimientos!$C$1:$C$858,"Cross Family Trust",Movimientos!$B$1:$B$858,"&lt;="&amp;$B65)</f>
        <v>220496.38</v>
      </c>
      <c r="I65" s="24">
        <f>SUMIFS('Saldos Iniciales'!$D:$D,'Saldos Iniciales'!$A:$A,"Cross Security Trust")+SUMIFS(Movimientos!$K$1:$K$858,Movimientos!$C$1:$C$858,"Cross Security Trust",Movimientos!$B$1:$B$858,"&lt;="&amp;$B65)</f>
        <v>88090.37</v>
      </c>
      <c r="J65" s="24">
        <f>SUMIFS('Saldos Iniciales'!$D:$D,'Saldos Iniciales'!$A:$A,"Electrama")+SUMIFS(Movimientos!$K$1:$K$858,Movimientos!$C$1:$C$858,"Electrama",Movimientos!$B$1:$B$858,"&lt;="&amp;$B65)</f>
        <v>471.15999999999985</v>
      </c>
      <c r="K65" s="24">
        <f>SUMIFS('Saldos Iniciales'!$D:$D,'Saldos Iniciales'!$A:$A,"Sacred Valley Capital")+SUMIFS(Movimientos!$K$1:$K$858,Movimientos!$C$1:$C$858,"Sacred Valley Capital",Movimientos!$B$1:$B$858,"&lt;="&amp;$B65)</f>
        <v>54.400000000000006</v>
      </c>
      <c r="L65" s="24">
        <f>SUMIFS('Saldos Iniciales'!$D:$D,'Saldos Iniciales'!$A:$A,"YWC Capital")+SUMIFS(Movimientos!$K$1:$K$858,Movimientos!$C$1:$C$858,"YWC Capital",Movimientos!$B$1:$B$858,"&lt;="&amp;$B65)</f>
        <v>2207.8200000000002</v>
      </c>
      <c r="M65" s="24">
        <f>SUMIFS('Saldos Iniciales'!$D:$D,'Saldos Iniciales'!$A:$A,"Soweto")+SUMIFS(Movimientos!$K$1:$K$858,Movimientos!$C$1:$C$858,"Soweto",Movimientos!$B$1:$B$858,"&lt;="&amp;$B65)</f>
        <v>3349.94</v>
      </c>
      <c r="N65" s="24">
        <f>SUMIFS('Saldos Iniciales'!$D:$D,'Saldos Iniciales'!$A:$A,"Green Stone Trust")+SUMIFS(Movimientos!$K$1:$K$858,Movimientos!$C$1:$C$858,"Green Stone Trust",Movimientos!$B$1:$B$858,"&lt;="&amp;$B65)</f>
        <v>1968.99</v>
      </c>
      <c r="O65" s="24">
        <f>SUMIFS('Saldos Iniciales'!$D:$D,'Saldos Iniciales'!$A:$A,"EC Auto")+SUMIFS(Movimientos!$K$1:$K$858,Movimientos!$C$1:$C$858,"EC Auto",Movimientos!$B$1:$B$858,"&lt;="&amp;$B65)</f>
        <v>382.69000000000005</v>
      </c>
      <c r="P65" s="24">
        <f>SUMIFS('Saldos Iniciales'!$D:$D,'Saldos Iniciales'!$A:$A,"Arbor Capital Properties")+SUMIFS(Movimientos!$K$1:$K$858,Movimientos!$C$1:$C$858,"Arbor Capital Properties",Movimientos!$B$1:$B$858,"&lt;="&amp;$B65)</f>
        <v>1412.08</v>
      </c>
      <c r="Q65" s="24">
        <f>SUMIFS('Saldos Iniciales'!$D:$D,'Saldos Iniciales'!$A:$A,"2515 Overbrook")+SUMIFS(Movimientos!$K$1:$K$858,Movimientos!$C$1:$C$858,"2515 Overbrook",Movimientos!$B$1:$B$858,"&lt;="&amp;$B65)</f>
        <v>22496.639999999959</v>
      </c>
      <c r="R65" s="24">
        <f>SUMIFS('Saldos Iniciales'!$D:$D,'Saldos Iniciales'!$A:$A,"112 Florida Ave")+SUMIFS(Movimientos!$K$1:$K$858,Movimientos!$C$1:$C$858,"112 Florida Ave",Movimientos!$B$1:$B$858,"&lt;="&amp;$B65)</f>
        <v>10522.800000000003</v>
      </c>
      <c r="S65" s="24">
        <f>SUMIFS('Saldos Iniciales'!$D:$D,'Saldos Iniciales'!$A:$A,"3628 Thomas Ave")+SUMIFS(Movimientos!$K$1:$K$858,Movimientos!$C$1:$C$858,"3628 Thomas Ave",Movimientos!$B$1:$B$858,"&lt;="&amp;$B65)</f>
        <v>28485.559999999998</v>
      </c>
      <c r="T65" s="24">
        <f>SUMIFS('Saldos Iniciales'!$D:$D,'Saldos Iniciales'!$A:$A,"Green Harbor Trust")+SUMIFS(Movimientos!$K$1:$K$858,Movimientos!$C$1:$C$858,"Green Harbor Trust",Movimientos!$B$1:$B$858,"&lt;="&amp;$B65)</f>
        <v>345</v>
      </c>
      <c r="U65" s="24">
        <f>SUMIFS('Saldos Iniciales'!$D:$D,'Saldos Iniciales'!$A:$A,"Go Blue")+SUMIFS(Movimientos!$K$1:$K$858,Movimientos!$C$1:$C$858,"Go Blue",Movimientos!$B$1:$B$858,"&lt;="&amp;$B65)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Group")+SUMIFS(Movimientos!$K$1:$K$858,Movimientos!$C$1:$C$858,"CFT Group",Movimientos!$B$1:$B$858,"&lt;="&amp;$B66)</f>
        <v>5592585.7500000009</v>
      </c>
      <c r="D66" s="24">
        <f>SUMIFS('Saldos Iniciales'!$D:$D,'Saldos Iniciales'!$A:$A,"M1B")+SUMIFS(Movimientos!$K$1:$K$858,Movimientos!$C$1:$C$858,"M1B",Movimientos!$B$1:$B$858,"&lt;="&amp;$B66)</f>
        <v>79139.680000000168</v>
      </c>
      <c r="E66" s="24">
        <f>SUMIFS('Saldos Iniciales'!$D:$D,'Saldos Iniciales'!$A:$A,"Durand")+SUMIFS(Movimientos!$K$1:$K$858,Movimientos!$C$1:$C$858,"Durand",Movimientos!$B$1:$B$858,"&lt;="&amp;$B66)</f>
        <v>1669.89</v>
      </c>
      <c r="F66" s="24">
        <f>SUMIFS('Saldos Iniciales'!$D:$D,'Saldos Iniciales'!$A:$A,"A&amp;M Imports")+SUMIFS(Movimientos!$K$1:$K$858,Movimientos!$C$1:$C$858,"A&amp;M Imports",Movimientos!$B$1:$B$858,"&lt;="&amp;$B66)</f>
        <v>350475.62999999989</v>
      </c>
      <c r="G66" s="24">
        <f>SUMIFS('Saldos Iniciales'!$D:$D,'Saldos Iniciales'!$A:$A,"SSP Capital")+SUMIFS(Movimientos!$K$1:$K$858,Movimientos!$C$1:$C$858,"SSP Capital",Movimientos!$B$1:$B$858,"&lt;="&amp;$B66)</f>
        <v>1761564.8799999994</v>
      </c>
      <c r="H66" s="24">
        <f>SUMIFS('Saldos Iniciales'!$D:$D,'Saldos Iniciales'!$A:$A,"Cross Family Trust")+SUMIFS(Movimientos!$K$1:$K$858,Movimientos!$C$1:$C$858,"Cross Family Trust",Movimientos!$B$1:$B$858,"&lt;="&amp;$B66)</f>
        <v>220496.38</v>
      </c>
      <c r="I66" s="24">
        <f>SUMIFS('Saldos Iniciales'!$D:$D,'Saldos Iniciales'!$A:$A,"Cross Security Trust")+SUMIFS(Movimientos!$K$1:$K$858,Movimientos!$C$1:$C$858,"Cross Security Trust",Movimientos!$B$1:$B$858,"&lt;="&amp;$B66)</f>
        <v>88090.37</v>
      </c>
      <c r="J66" s="24">
        <f>SUMIFS('Saldos Iniciales'!$D:$D,'Saldos Iniciales'!$A:$A,"Electrama")+SUMIFS(Movimientos!$K$1:$K$858,Movimientos!$C$1:$C$858,"Electrama",Movimientos!$B$1:$B$858,"&lt;="&amp;$B66)</f>
        <v>471.15999999999985</v>
      </c>
      <c r="K66" s="24">
        <f>SUMIFS('Saldos Iniciales'!$D:$D,'Saldos Iniciales'!$A:$A,"Sacred Valley Capital")+SUMIFS(Movimientos!$K$1:$K$858,Movimientos!$C$1:$C$858,"Sacred Valley Capital",Movimientos!$B$1:$B$858,"&lt;="&amp;$B66)</f>
        <v>54.400000000000006</v>
      </c>
      <c r="L66" s="24">
        <f>SUMIFS('Saldos Iniciales'!$D:$D,'Saldos Iniciales'!$A:$A,"YWC Capital")+SUMIFS(Movimientos!$K$1:$K$858,Movimientos!$C$1:$C$858,"YWC Capital",Movimientos!$B$1:$B$858,"&lt;="&amp;$B66)</f>
        <v>2207.8200000000002</v>
      </c>
      <c r="M66" s="24">
        <f>SUMIFS('Saldos Iniciales'!$D:$D,'Saldos Iniciales'!$A:$A,"Soweto")+SUMIFS(Movimientos!$K$1:$K$858,Movimientos!$C$1:$C$858,"Soweto",Movimientos!$B$1:$B$858,"&lt;="&amp;$B66)</f>
        <v>3349.94</v>
      </c>
      <c r="N66" s="24">
        <f>SUMIFS('Saldos Iniciales'!$D:$D,'Saldos Iniciales'!$A:$A,"Green Stone Trust")+SUMIFS(Movimientos!$K$1:$K$858,Movimientos!$C$1:$C$858,"Green Stone Trust",Movimientos!$B$1:$B$858,"&lt;="&amp;$B66)</f>
        <v>1968.99</v>
      </c>
      <c r="O66" s="24">
        <f>SUMIFS('Saldos Iniciales'!$D:$D,'Saldos Iniciales'!$A:$A,"EC Auto")+SUMIFS(Movimientos!$K$1:$K$858,Movimientos!$C$1:$C$858,"EC Auto",Movimientos!$B$1:$B$858,"&lt;="&amp;$B66)</f>
        <v>382.69000000000005</v>
      </c>
      <c r="P66" s="24">
        <f>SUMIFS('Saldos Iniciales'!$D:$D,'Saldos Iniciales'!$A:$A,"Arbor Capital Properties")+SUMIFS(Movimientos!$K$1:$K$858,Movimientos!$C$1:$C$858,"Arbor Capital Properties",Movimientos!$B$1:$B$858,"&lt;="&amp;$B66)</f>
        <v>1412.08</v>
      </c>
      <c r="Q66" s="24">
        <f>SUMIFS('Saldos Iniciales'!$D:$D,'Saldos Iniciales'!$A:$A,"2515 Overbrook")+SUMIFS(Movimientos!$K$1:$K$858,Movimientos!$C$1:$C$858,"2515 Overbrook",Movimientos!$B$1:$B$858,"&lt;="&amp;$B66)</f>
        <v>22496.639999999959</v>
      </c>
      <c r="R66" s="24">
        <f>SUMIFS('Saldos Iniciales'!$D:$D,'Saldos Iniciales'!$A:$A,"112 Florida Ave")+SUMIFS(Movimientos!$K$1:$K$858,Movimientos!$C$1:$C$858,"112 Florida Ave",Movimientos!$B$1:$B$858,"&lt;="&amp;$B66)</f>
        <v>10522.800000000003</v>
      </c>
      <c r="S66" s="24">
        <f>SUMIFS('Saldos Iniciales'!$D:$D,'Saldos Iniciales'!$A:$A,"3628 Thomas Ave")+SUMIFS(Movimientos!$K$1:$K$858,Movimientos!$C$1:$C$858,"3628 Thomas Ave",Movimientos!$B$1:$B$858,"&lt;="&amp;$B66)</f>
        <v>28485.559999999998</v>
      </c>
      <c r="T66" s="24">
        <f>SUMIFS('Saldos Iniciales'!$D:$D,'Saldos Iniciales'!$A:$A,"Green Harbor Trust")+SUMIFS(Movimientos!$K$1:$K$858,Movimientos!$C$1:$C$858,"Green Harbor Trust",Movimientos!$B$1:$B$858,"&lt;="&amp;$B66)</f>
        <v>345</v>
      </c>
      <c r="U66" s="24">
        <f>SUMIFS('Saldos Iniciales'!$D:$D,'Saldos Iniciales'!$A:$A,"Go Blue")+SUMIFS(Movimientos!$K$1:$K$858,Movimientos!$C$1:$C$858,"Go Blue",Movimientos!$B$1:$B$858,"&lt;="&amp;$B66)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Group")+SUMIFS(Movimientos!$K$1:$K$858,Movimientos!$C$1:$C$858,"CFT Group",Movimientos!$B$1:$B$858,"&lt;="&amp;$B67)</f>
        <v>5592585.7500000009</v>
      </c>
      <c r="D67" s="24">
        <f>SUMIFS('Saldos Iniciales'!$D:$D,'Saldos Iniciales'!$A:$A,"M1B")+SUMIFS(Movimientos!$K$1:$K$858,Movimientos!$C$1:$C$858,"M1B",Movimientos!$B$1:$B$858,"&lt;="&amp;$B67)</f>
        <v>79139.680000000168</v>
      </c>
      <c r="E67" s="24">
        <f>SUMIFS('Saldos Iniciales'!$D:$D,'Saldos Iniciales'!$A:$A,"Durand")+SUMIFS(Movimientos!$K$1:$K$858,Movimientos!$C$1:$C$858,"Durand",Movimientos!$B$1:$B$858,"&lt;="&amp;$B67)</f>
        <v>1669.89</v>
      </c>
      <c r="F67" s="24">
        <f>SUMIFS('Saldos Iniciales'!$D:$D,'Saldos Iniciales'!$A:$A,"A&amp;M Imports")+SUMIFS(Movimientos!$K$1:$K$858,Movimientos!$C$1:$C$858,"A&amp;M Imports",Movimientos!$B$1:$B$858,"&lt;="&amp;$B67)</f>
        <v>350475.62999999989</v>
      </c>
      <c r="G67" s="24">
        <f>SUMIFS('Saldos Iniciales'!$D:$D,'Saldos Iniciales'!$A:$A,"SSP Capital")+SUMIFS(Movimientos!$K$1:$K$858,Movimientos!$C$1:$C$858,"SSP Capital",Movimientos!$B$1:$B$858,"&lt;="&amp;$B67)</f>
        <v>1761564.8799999994</v>
      </c>
      <c r="H67" s="24">
        <f>SUMIFS('Saldos Iniciales'!$D:$D,'Saldos Iniciales'!$A:$A,"Cross Family Trust")+SUMIFS(Movimientos!$K$1:$K$858,Movimientos!$C$1:$C$858,"Cross Family Trust",Movimientos!$B$1:$B$858,"&lt;="&amp;$B67)</f>
        <v>220496.38</v>
      </c>
      <c r="I67" s="24">
        <f>SUMIFS('Saldos Iniciales'!$D:$D,'Saldos Iniciales'!$A:$A,"Cross Security Trust")+SUMIFS(Movimientos!$K$1:$K$858,Movimientos!$C$1:$C$858,"Cross Security Trust",Movimientos!$B$1:$B$858,"&lt;="&amp;$B67)</f>
        <v>88090.37</v>
      </c>
      <c r="J67" s="24">
        <f>SUMIFS('Saldos Iniciales'!$D:$D,'Saldos Iniciales'!$A:$A,"Electrama")+SUMIFS(Movimientos!$K$1:$K$858,Movimientos!$C$1:$C$858,"Electrama",Movimientos!$B$1:$B$858,"&lt;="&amp;$B67)</f>
        <v>471.15999999999985</v>
      </c>
      <c r="K67" s="24">
        <f>SUMIFS('Saldos Iniciales'!$D:$D,'Saldos Iniciales'!$A:$A,"Sacred Valley Capital")+SUMIFS(Movimientos!$K$1:$K$858,Movimientos!$C$1:$C$858,"Sacred Valley Capital",Movimientos!$B$1:$B$858,"&lt;="&amp;$B67)</f>
        <v>54.400000000000006</v>
      </c>
      <c r="L67" s="24">
        <f>SUMIFS('Saldos Iniciales'!$D:$D,'Saldos Iniciales'!$A:$A,"YWC Capital")+SUMIFS(Movimientos!$K$1:$K$858,Movimientos!$C$1:$C$858,"YWC Capital",Movimientos!$B$1:$B$858,"&lt;="&amp;$B67)</f>
        <v>2207.8200000000002</v>
      </c>
      <c r="M67" s="24">
        <f>SUMIFS('Saldos Iniciales'!$D:$D,'Saldos Iniciales'!$A:$A,"Soweto")+SUMIFS(Movimientos!$K$1:$K$858,Movimientos!$C$1:$C$858,"Soweto",Movimientos!$B$1:$B$858,"&lt;="&amp;$B67)</f>
        <v>3349.94</v>
      </c>
      <c r="N67" s="24">
        <f>SUMIFS('Saldos Iniciales'!$D:$D,'Saldos Iniciales'!$A:$A,"Green Stone Trust")+SUMIFS(Movimientos!$K$1:$K$858,Movimientos!$C$1:$C$858,"Green Stone Trust",Movimientos!$B$1:$B$858,"&lt;="&amp;$B67)</f>
        <v>1968.99</v>
      </c>
      <c r="O67" s="24">
        <f>SUMIFS('Saldos Iniciales'!$D:$D,'Saldos Iniciales'!$A:$A,"EC Auto")+SUMIFS(Movimientos!$K$1:$K$858,Movimientos!$C$1:$C$858,"EC Auto",Movimientos!$B$1:$B$858,"&lt;="&amp;$B67)</f>
        <v>382.69000000000005</v>
      </c>
      <c r="P67" s="24">
        <f>SUMIFS('Saldos Iniciales'!$D:$D,'Saldos Iniciales'!$A:$A,"Arbor Capital Properties")+SUMIFS(Movimientos!$K$1:$K$858,Movimientos!$C$1:$C$858,"Arbor Capital Properties",Movimientos!$B$1:$B$858,"&lt;="&amp;$B67)</f>
        <v>1412.08</v>
      </c>
      <c r="Q67" s="24">
        <f>SUMIFS('Saldos Iniciales'!$D:$D,'Saldos Iniciales'!$A:$A,"2515 Overbrook")+SUMIFS(Movimientos!$K$1:$K$858,Movimientos!$C$1:$C$858,"2515 Overbrook",Movimientos!$B$1:$B$858,"&lt;="&amp;$B67)</f>
        <v>22496.639999999959</v>
      </c>
      <c r="R67" s="24">
        <f>SUMIFS('Saldos Iniciales'!$D:$D,'Saldos Iniciales'!$A:$A,"112 Florida Ave")+SUMIFS(Movimientos!$K$1:$K$858,Movimientos!$C$1:$C$858,"112 Florida Ave",Movimientos!$B$1:$B$858,"&lt;="&amp;$B67)</f>
        <v>10522.800000000003</v>
      </c>
      <c r="S67" s="24">
        <f>SUMIFS('Saldos Iniciales'!$D:$D,'Saldos Iniciales'!$A:$A,"3628 Thomas Ave")+SUMIFS(Movimientos!$K$1:$K$858,Movimientos!$C$1:$C$858,"3628 Thomas Ave",Movimientos!$B$1:$B$858,"&lt;="&amp;$B67)</f>
        <v>28485.559999999998</v>
      </c>
      <c r="T67" s="24">
        <f>SUMIFS('Saldos Iniciales'!$D:$D,'Saldos Iniciales'!$A:$A,"Green Harbor Trust")+SUMIFS(Movimientos!$K$1:$K$858,Movimientos!$C$1:$C$858,"Green Harbor Trust",Movimientos!$B$1:$B$858,"&lt;="&amp;$B67)</f>
        <v>345</v>
      </c>
      <c r="U67" s="24">
        <f>SUMIFS('Saldos Iniciales'!$D:$D,'Saldos Iniciales'!$A:$A,"Go Blue")+SUMIFS(Movimientos!$K$1:$K$858,Movimientos!$C$1:$C$858,"Go Blue",Movimientos!$B$1:$B$858,"&lt;="&amp;$B67)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Group")+SUMIFS(Movimientos!$K$1:$K$858,Movimientos!$C$1:$C$858,"CFT Group",Movimientos!$B$1:$B$858,"&lt;="&amp;$B68)</f>
        <v>5592585.7500000009</v>
      </c>
      <c r="D68" s="24">
        <f>SUMIFS('Saldos Iniciales'!$D:$D,'Saldos Iniciales'!$A:$A,"M1B")+SUMIFS(Movimientos!$K$1:$K$858,Movimientos!$C$1:$C$858,"M1B",Movimientos!$B$1:$B$858,"&lt;="&amp;$B68)</f>
        <v>79139.680000000168</v>
      </c>
      <c r="E68" s="24">
        <f>SUMIFS('Saldos Iniciales'!$D:$D,'Saldos Iniciales'!$A:$A,"Durand")+SUMIFS(Movimientos!$K$1:$K$858,Movimientos!$C$1:$C$858,"Durand",Movimientos!$B$1:$B$858,"&lt;="&amp;$B68)</f>
        <v>1669.89</v>
      </c>
      <c r="F68" s="24">
        <f>SUMIFS('Saldos Iniciales'!$D:$D,'Saldos Iniciales'!$A:$A,"A&amp;M Imports")+SUMIFS(Movimientos!$K$1:$K$858,Movimientos!$C$1:$C$858,"A&amp;M Imports",Movimientos!$B$1:$B$858,"&lt;="&amp;$B68)</f>
        <v>350475.62999999989</v>
      </c>
      <c r="G68" s="24">
        <f>SUMIFS('Saldos Iniciales'!$D:$D,'Saldos Iniciales'!$A:$A,"SSP Capital")+SUMIFS(Movimientos!$K$1:$K$858,Movimientos!$C$1:$C$858,"SSP Capital",Movimientos!$B$1:$B$858,"&lt;="&amp;$B68)</f>
        <v>1761026.4599999995</v>
      </c>
      <c r="H68" s="24">
        <f>SUMIFS('Saldos Iniciales'!$D:$D,'Saldos Iniciales'!$A:$A,"Cross Family Trust")+SUMIFS(Movimientos!$K$1:$K$858,Movimientos!$C$1:$C$858,"Cross Family Trust",Movimientos!$B$1:$B$858,"&lt;="&amp;$B68)</f>
        <v>220496.38</v>
      </c>
      <c r="I68" s="24">
        <f>SUMIFS('Saldos Iniciales'!$D:$D,'Saldos Iniciales'!$A:$A,"Cross Security Trust")+SUMIFS(Movimientos!$K$1:$K$858,Movimientos!$C$1:$C$858,"Cross Security Trust",Movimientos!$B$1:$B$858,"&lt;="&amp;$B68)</f>
        <v>88090.37</v>
      </c>
      <c r="J68" s="24">
        <f>SUMIFS('Saldos Iniciales'!$D:$D,'Saldos Iniciales'!$A:$A,"Electrama")+SUMIFS(Movimientos!$K$1:$K$858,Movimientos!$C$1:$C$858,"Electrama",Movimientos!$B$1:$B$858,"&lt;="&amp;$B68)</f>
        <v>471.15999999999985</v>
      </c>
      <c r="K68" s="24">
        <f>SUMIFS('Saldos Iniciales'!$D:$D,'Saldos Iniciales'!$A:$A,"Sacred Valley Capital")+SUMIFS(Movimientos!$K$1:$K$858,Movimientos!$C$1:$C$858,"Sacred Valley Capital",Movimientos!$B$1:$B$858,"&lt;="&amp;$B68)</f>
        <v>54.400000000000006</v>
      </c>
      <c r="L68" s="24">
        <f>SUMIFS('Saldos Iniciales'!$D:$D,'Saldos Iniciales'!$A:$A,"YWC Capital")+SUMIFS(Movimientos!$K$1:$K$858,Movimientos!$C$1:$C$858,"YWC Capital",Movimientos!$B$1:$B$858,"&lt;="&amp;$B68)</f>
        <v>2207.8200000000002</v>
      </c>
      <c r="M68" s="24">
        <f>SUMIFS('Saldos Iniciales'!$D:$D,'Saldos Iniciales'!$A:$A,"Soweto")+SUMIFS(Movimientos!$K$1:$K$858,Movimientos!$C$1:$C$858,"Soweto",Movimientos!$B$1:$B$858,"&lt;="&amp;$B68)</f>
        <v>3349.94</v>
      </c>
      <c r="N68" s="24">
        <f>SUMIFS('Saldos Iniciales'!$D:$D,'Saldos Iniciales'!$A:$A,"Green Stone Trust")+SUMIFS(Movimientos!$K$1:$K$858,Movimientos!$C$1:$C$858,"Green Stone Trust",Movimientos!$B$1:$B$858,"&lt;="&amp;$B68)</f>
        <v>1968.99</v>
      </c>
      <c r="O68" s="24">
        <f>SUMIFS('Saldos Iniciales'!$D:$D,'Saldos Iniciales'!$A:$A,"EC Auto")+SUMIFS(Movimientos!$K$1:$K$858,Movimientos!$C$1:$C$858,"EC Auto",Movimientos!$B$1:$B$858,"&lt;="&amp;$B68)</f>
        <v>382.69000000000005</v>
      </c>
      <c r="P68" s="24">
        <f>SUMIFS('Saldos Iniciales'!$D:$D,'Saldos Iniciales'!$A:$A,"Arbor Capital Properties")+SUMIFS(Movimientos!$K$1:$K$858,Movimientos!$C$1:$C$858,"Arbor Capital Properties",Movimientos!$B$1:$B$858,"&lt;="&amp;$B68)</f>
        <v>1412.08</v>
      </c>
      <c r="Q68" s="24">
        <f>SUMIFS('Saldos Iniciales'!$D:$D,'Saldos Iniciales'!$A:$A,"2515 Overbrook")+SUMIFS(Movimientos!$K$1:$K$858,Movimientos!$C$1:$C$858,"2515 Overbrook",Movimientos!$B$1:$B$858,"&lt;="&amp;$B68)</f>
        <v>22496.639999999959</v>
      </c>
      <c r="R68" s="24">
        <f>SUMIFS('Saldos Iniciales'!$D:$D,'Saldos Iniciales'!$A:$A,"112 Florida Ave")+SUMIFS(Movimientos!$K$1:$K$858,Movimientos!$C$1:$C$858,"112 Florida Ave",Movimientos!$B$1:$B$858,"&lt;="&amp;$B68)</f>
        <v>10522.800000000003</v>
      </c>
      <c r="S68" s="24">
        <f>SUMIFS('Saldos Iniciales'!$D:$D,'Saldos Iniciales'!$A:$A,"3628 Thomas Ave")+SUMIFS(Movimientos!$K$1:$K$858,Movimientos!$C$1:$C$858,"3628 Thomas Ave",Movimientos!$B$1:$B$858,"&lt;="&amp;$B68)</f>
        <v>28485.559999999998</v>
      </c>
      <c r="T68" s="24">
        <f>SUMIFS('Saldos Iniciales'!$D:$D,'Saldos Iniciales'!$A:$A,"Green Harbor Trust")+SUMIFS(Movimientos!$K$1:$K$858,Movimientos!$C$1:$C$858,"Green Harbor Trust",Movimientos!$B$1:$B$858,"&lt;="&amp;$B68)</f>
        <v>345</v>
      </c>
      <c r="U68" s="24">
        <f>SUMIFS('Saldos Iniciales'!$D:$D,'Saldos Iniciales'!$A:$A,"Go Blue")+SUMIFS(Movimientos!$K$1:$K$858,Movimientos!$C$1:$C$858,"Go Blue",Movimientos!$B$1:$B$858,"&lt;="&amp;$B68)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Group")+SUMIFS(Movimientos!$K$1:$K$858,Movimientos!$C$1:$C$858,"CFT Group",Movimientos!$B$1:$B$858,"&lt;="&amp;$B69)</f>
        <v>5592585.7500000009</v>
      </c>
      <c r="D69" s="24">
        <f>SUMIFS('Saldos Iniciales'!$D:$D,'Saldos Iniciales'!$A:$A,"M1B")+SUMIFS(Movimientos!$K$1:$K$858,Movimientos!$C$1:$C$858,"M1B",Movimientos!$B$1:$B$858,"&lt;="&amp;$B69)</f>
        <v>79139.680000000168</v>
      </c>
      <c r="E69" s="24">
        <f>SUMIFS('Saldos Iniciales'!$D:$D,'Saldos Iniciales'!$A:$A,"Durand")+SUMIFS(Movimientos!$K$1:$K$858,Movimientos!$C$1:$C$858,"Durand",Movimientos!$B$1:$B$858,"&lt;="&amp;$B69)</f>
        <v>1669.89</v>
      </c>
      <c r="F69" s="24">
        <f>SUMIFS('Saldos Iniciales'!$D:$D,'Saldos Iniciales'!$A:$A,"A&amp;M Imports")+SUMIFS(Movimientos!$K$1:$K$858,Movimientos!$C$1:$C$858,"A&amp;M Imports",Movimientos!$B$1:$B$858,"&lt;="&amp;$B69)</f>
        <v>350475.62999999989</v>
      </c>
      <c r="G69" s="24">
        <f>SUMIFS('Saldos Iniciales'!$D:$D,'Saldos Iniciales'!$A:$A,"SSP Capital")+SUMIFS(Movimientos!$K$1:$K$858,Movimientos!$C$1:$C$858,"SSP Capital",Movimientos!$B$1:$B$858,"&lt;="&amp;$B69)</f>
        <v>1761026.4599999995</v>
      </c>
      <c r="H69" s="24">
        <f>SUMIFS('Saldos Iniciales'!$D:$D,'Saldos Iniciales'!$A:$A,"Cross Family Trust")+SUMIFS(Movimientos!$K$1:$K$858,Movimientos!$C$1:$C$858,"Cross Family Trust",Movimientos!$B$1:$B$858,"&lt;="&amp;$B69)</f>
        <v>220496.38</v>
      </c>
      <c r="I69" s="24">
        <f>SUMIFS('Saldos Iniciales'!$D:$D,'Saldos Iniciales'!$A:$A,"Cross Security Trust")+SUMIFS(Movimientos!$K$1:$K$858,Movimientos!$C$1:$C$858,"Cross Security Trust",Movimientos!$B$1:$B$858,"&lt;="&amp;$B69)</f>
        <v>88090.37</v>
      </c>
      <c r="J69" s="24">
        <f>SUMIFS('Saldos Iniciales'!$D:$D,'Saldos Iniciales'!$A:$A,"Electrama")+SUMIFS(Movimientos!$K$1:$K$858,Movimientos!$C$1:$C$858,"Electrama",Movimientos!$B$1:$B$858,"&lt;="&amp;$B69)</f>
        <v>471.15999999999985</v>
      </c>
      <c r="K69" s="24">
        <f>SUMIFS('Saldos Iniciales'!$D:$D,'Saldos Iniciales'!$A:$A,"Sacred Valley Capital")+SUMIFS(Movimientos!$K$1:$K$858,Movimientos!$C$1:$C$858,"Sacred Valley Capital",Movimientos!$B$1:$B$858,"&lt;="&amp;$B69)</f>
        <v>54.400000000000006</v>
      </c>
      <c r="L69" s="24">
        <f>SUMIFS('Saldos Iniciales'!$D:$D,'Saldos Iniciales'!$A:$A,"YWC Capital")+SUMIFS(Movimientos!$K$1:$K$858,Movimientos!$C$1:$C$858,"YWC Capital",Movimientos!$B$1:$B$858,"&lt;="&amp;$B69)</f>
        <v>2207.8200000000002</v>
      </c>
      <c r="M69" s="24">
        <f>SUMIFS('Saldos Iniciales'!$D:$D,'Saldos Iniciales'!$A:$A,"Soweto")+SUMIFS(Movimientos!$K$1:$K$858,Movimientos!$C$1:$C$858,"Soweto",Movimientos!$B$1:$B$858,"&lt;="&amp;$B69)</f>
        <v>3349.94</v>
      </c>
      <c r="N69" s="24">
        <f>SUMIFS('Saldos Iniciales'!$D:$D,'Saldos Iniciales'!$A:$A,"Green Stone Trust")+SUMIFS(Movimientos!$K$1:$K$858,Movimientos!$C$1:$C$858,"Green Stone Trust",Movimientos!$B$1:$B$858,"&lt;="&amp;$B69)</f>
        <v>1968.99</v>
      </c>
      <c r="O69" s="24">
        <f>SUMIFS('Saldos Iniciales'!$D:$D,'Saldos Iniciales'!$A:$A,"EC Auto")+SUMIFS(Movimientos!$K$1:$K$858,Movimientos!$C$1:$C$858,"EC Auto",Movimientos!$B$1:$B$858,"&lt;="&amp;$B69)</f>
        <v>382.69000000000005</v>
      </c>
      <c r="P69" s="24">
        <f>SUMIFS('Saldos Iniciales'!$D:$D,'Saldos Iniciales'!$A:$A,"Arbor Capital Properties")+SUMIFS(Movimientos!$K$1:$K$858,Movimientos!$C$1:$C$858,"Arbor Capital Properties",Movimientos!$B$1:$B$858,"&lt;="&amp;$B69)</f>
        <v>1412.08</v>
      </c>
      <c r="Q69" s="24">
        <f>SUMIFS('Saldos Iniciales'!$D:$D,'Saldos Iniciales'!$A:$A,"2515 Overbrook")+SUMIFS(Movimientos!$K$1:$K$858,Movimientos!$C$1:$C$858,"2515 Overbrook",Movimientos!$B$1:$B$858,"&lt;="&amp;$B69)</f>
        <v>22496.639999999959</v>
      </c>
      <c r="R69" s="24">
        <f>SUMIFS('Saldos Iniciales'!$D:$D,'Saldos Iniciales'!$A:$A,"112 Florida Ave")+SUMIFS(Movimientos!$K$1:$K$858,Movimientos!$C$1:$C$858,"112 Florida Ave",Movimientos!$B$1:$B$858,"&lt;="&amp;$B69)</f>
        <v>10522.800000000003</v>
      </c>
      <c r="S69" s="24">
        <f>SUMIFS('Saldos Iniciales'!$D:$D,'Saldos Iniciales'!$A:$A,"3628 Thomas Ave")+SUMIFS(Movimientos!$K$1:$K$858,Movimientos!$C$1:$C$858,"3628 Thomas Ave",Movimientos!$B$1:$B$858,"&lt;="&amp;$B69)</f>
        <v>28485.559999999998</v>
      </c>
      <c r="T69" s="24">
        <f>SUMIFS('Saldos Iniciales'!$D:$D,'Saldos Iniciales'!$A:$A,"Green Harbor Trust")+SUMIFS(Movimientos!$K$1:$K$858,Movimientos!$C$1:$C$858,"Green Harbor Trust",Movimientos!$B$1:$B$858,"&lt;="&amp;$B69)</f>
        <v>345</v>
      </c>
      <c r="U69" s="24">
        <f>SUMIFS('Saldos Iniciales'!$D:$D,'Saldos Iniciales'!$A:$A,"Go Blue")+SUMIFS(Movimientos!$K$1:$K$858,Movimientos!$C$1:$C$858,"Go Blue",Movimientos!$B$1:$B$858,"&lt;="&amp;$B69)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Group")+SUMIFS(Movimientos!$K$1:$K$858,Movimientos!$C$1:$C$858,"CFT Group",Movimientos!$B$1:$B$858,"&lt;="&amp;$B70)</f>
        <v>5592585.7500000009</v>
      </c>
      <c r="D70" s="24">
        <f>SUMIFS('Saldos Iniciales'!$D:$D,'Saldos Iniciales'!$A:$A,"M1B")+SUMIFS(Movimientos!$K$1:$K$858,Movimientos!$C$1:$C$858,"M1B",Movimientos!$B$1:$B$858,"&lt;="&amp;$B70)</f>
        <v>79139.680000000168</v>
      </c>
      <c r="E70" s="24">
        <f>SUMIFS('Saldos Iniciales'!$D:$D,'Saldos Iniciales'!$A:$A,"Durand")+SUMIFS(Movimientos!$K$1:$K$858,Movimientos!$C$1:$C$858,"Durand",Movimientos!$B$1:$B$858,"&lt;="&amp;$B70)</f>
        <v>1669.89</v>
      </c>
      <c r="F70" s="24">
        <f>SUMIFS('Saldos Iniciales'!$D:$D,'Saldos Iniciales'!$A:$A,"A&amp;M Imports")+SUMIFS(Movimientos!$K$1:$K$858,Movimientos!$C$1:$C$858,"A&amp;M Imports",Movimientos!$B$1:$B$858,"&lt;="&amp;$B70)</f>
        <v>350475.62999999989</v>
      </c>
      <c r="G70" s="24">
        <f>SUMIFS('Saldos Iniciales'!$D:$D,'Saldos Iniciales'!$A:$A,"SSP Capital")+SUMIFS(Movimientos!$K$1:$K$858,Movimientos!$C$1:$C$858,"SSP Capital",Movimientos!$B$1:$B$858,"&lt;="&amp;$B70)</f>
        <v>1751695.8399999994</v>
      </c>
      <c r="H70" s="24">
        <f>SUMIFS('Saldos Iniciales'!$D:$D,'Saldos Iniciales'!$A:$A,"Cross Family Trust")+SUMIFS(Movimientos!$K$1:$K$858,Movimientos!$C$1:$C$858,"Cross Family Trust",Movimientos!$B$1:$B$858,"&lt;="&amp;$B70)</f>
        <v>220496.38</v>
      </c>
      <c r="I70" s="24">
        <f>SUMIFS('Saldos Iniciales'!$D:$D,'Saldos Iniciales'!$A:$A,"Cross Security Trust")+SUMIFS(Movimientos!$K$1:$K$858,Movimientos!$C$1:$C$858,"Cross Security Trust",Movimientos!$B$1:$B$858,"&lt;="&amp;$B70)</f>
        <v>88090.37</v>
      </c>
      <c r="J70" s="24">
        <f>SUMIFS('Saldos Iniciales'!$D:$D,'Saldos Iniciales'!$A:$A,"Electrama")+SUMIFS(Movimientos!$K$1:$K$858,Movimientos!$C$1:$C$858,"Electrama",Movimientos!$B$1:$B$858,"&lt;="&amp;$B70)</f>
        <v>471.15999999999985</v>
      </c>
      <c r="K70" s="24">
        <f>SUMIFS('Saldos Iniciales'!$D:$D,'Saldos Iniciales'!$A:$A,"Sacred Valley Capital")+SUMIFS(Movimientos!$K$1:$K$858,Movimientos!$C$1:$C$858,"Sacred Valley Capital",Movimientos!$B$1:$B$858,"&lt;="&amp;$B70)</f>
        <v>54.400000000000006</v>
      </c>
      <c r="L70" s="24">
        <f>SUMIFS('Saldos Iniciales'!$D:$D,'Saldos Iniciales'!$A:$A,"YWC Capital")+SUMIFS(Movimientos!$K$1:$K$858,Movimientos!$C$1:$C$858,"YWC Capital",Movimientos!$B$1:$B$858,"&lt;="&amp;$B70)</f>
        <v>2207.8200000000002</v>
      </c>
      <c r="M70" s="24">
        <f>SUMIFS('Saldos Iniciales'!$D:$D,'Saldos Iniciales'!$A:$A,"Soweto")+SUMIFS(Movimientos!$K$1:$K$858,Movimientos!$C$1:$C$858,"Soweto",Movimientos!$B$1:$B$858,"&lt;="&amp;$B70)</f>
        <v>3334.94</v>
      </c>
      <c r="N70" s="24">
        <f>SUMIFS('Saldos Iniciales'!$D:$D,'Saldos Iniciales'!$A:$A,"Green Stone Trust")+SUMIFS(Movimientos!$K$1:$K$858,Movimientos!$C$1:$C$858,"Green Stone Trust",Movimientos!$B$1:$B$858,"&lt;="&amp;$B70)</f>
        <v>1968.99</v>
      </c>
      <c r="O70" s="24">
        <f>SUMIFS('Saldos Iniciales'!$D:$D,'Saldos Iniciales'!$A:$A,"EC Auto")+SUMIFS(Movimientos!$K$1:$K$858,Movimientos!$C$1:$C$858,"EC Auto",Movimientos!$B$1:$B$858,"&lt;="&amp;$B70)</f>
        <v>382.69000000000005</v>
      </c>
      <c r="P70" s="24">
        <f>SUMIFS('Saldos Iniciales'!$D:$D,'Saldos Iniciales'!$A:$A,"Arbor Capital Properties")+SUMIFS(Movimientos!$K$1:$K$858,Movimientos!$C$1:$C$858,"Arbor Capital Properties",Movimientos!$B$1:$B$858,"&lt;="&amp;$B70)</f>
        <v>1412.08</v>
      </c>
      <c r="Q70" s="24">
        <f>SUMIFS('Saldos Iniciales'!$D:$D,'Saldos Iniciales'!$A:$A,"2515 Overbrook")+SUMIFS(Movimientos!$K$1:$K$858,Movimientos!$C$1:$C$858,"2515 Overbrook",Movimientos!$B$1:$B$858,"&lt;="&amp;$B70)</f>
        <v>22496.639999999959</v>
      </c>
      <c r="R70" s="24">
        <f>SUMIFS('Saldos Iniciales'!$D:$D,'Saldos Iniciales'!$A:$A,"112 Florida Ave")+SUMIFS(Movimientos!$K$1:$K$858,Movimientos!$C$1:$C$858,"112 Florida Ave",Movimientos!$B$1:$B$858,"&lt;="&amp;$B70)</f>
        <v>6522.8000000000029</v>
      </c>
      <c r="S70" s="24">
        <f>SUMIFS('Saldos Iniciales'!$D:$D,'Saldos Iniciales'!$A:$A,"3628 Thomas Ave")+SUMIFS(Movimientos!$K$1:$K$858,Movimientos!$C$1:$C$858,"3628 Thomas Ave",Movimientos!$B$1:$B$858,"&lt;="&amp;$B70)</f>
        <v>28485.559999999998</v>
      </c>
      <c r="T70" s="24">
        <f>SUMIFS('Saldos Iniciales'!$D:$D,'Saldos Iniciales'!$A:$A,"Green Harbor Trust")+SUMIFS(Movimientos!$K$1:$K$858,Movimientos!$C$1:$C$858,"Green Harbor Trust",Movimientos!$B$1:$B$858,"&lt;="&amp;$B70)</f>
        <v>345</v>
      </c>
      <c r="U70" s="24">
        <f>SUMIFS('Saldos Iniciales'!$D:$D,'Saldos Iniciales'!$A:$A,"Go Blue")+SUMIFS(Movimientos!$K$1:$K$858,Movimientos!$C$1:$C$858,"Go Blue",Movimientos!$B$1:$B$858,"&lt;="&amp;$B70)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Group")+SUMIFS(Movimientos!$K$1:$K$858,Movimientos!$C$1:$C$858,"CFT Group",Movimientos!$B$1:$B$858,"&lt;="&amp;$B71)</f>
        <v>4377944.080000001</v>
      </c>
      <c r="D71" s="24">
        <f>SUMIFS('Saldos Iniciales'!$D:$D,'Saldos Iniciales'!$A:$A,"M1B")+SUMIFS(Movimientos!$K$1:$K$858,Movimientos!$C$1:$C$858,"M1B",Movimientos!$B$1:$B$858,"&lt;="&amp;$B71)</f>
        <v>73157.680000000168</v>
      </c>
      <c r="E71" s="24">
        <f>SUMIFS('Saldos Iniciales'!$D:$D,'Saldos Iniciales'!$A:$A,"Durand")+SUMIFS(Movimientos!$K$1:$K$858,Movimientos!$C$1:$C$858,"Durand",Movimientos!$B$1:$B$858,"&lt;="&amp;$B71)</f>
        <v>1669.89</v>
      </c>
      <c r="F71" s="24">
        <f>SUMIFS('Saldos Iniciales'!$D:$D,'Saldos Iniciales'!$A:$A,"A&amp;M Imports")+SUMIFS(Movimientos!$K$1:$K$858,Movimientos!$C$1:$C$858,"A&amp;M Imports",Movimientos!$B$1:$B$858,"&lt;="&amp;$B71)</f>
        <v>290475.62999999989</v>
      </c>
      <c r="G71" s="24">
        <f>SUMIFS('Saldos Iniciales'!$D:$D,'Saldos Iniciales'!$A:$A,"SSP Capital")+SUMIFS(Movimientos!$K$1:$K$858,Movimientos!$C$1:$C$858,"SSP Capital",Movimientos!$B$1:$B$858,"&lt;="&amp;$B71)</f>
        <v>2119592.9399999995</v>
      </c>
      <c r="H71" s="24">
        <f>SUMIFS('Saldos Iniciales'!$D:$D,'Saldos Iniciales'!$A:$A,"Cross Family Trust")+SUMIFS(Movimientos!$K$1:$K$858,Movimientos!$C$1:$C$858,"Cross Family Trust",Movimientos!$B$1:$B$858,"&lt;="&amp;$B71)</f>
        <v>200496.38</v>
      </c>
      <c r="I71" s="24">
        <f>SUMIFS('Saldos Iniciales'!$D:$D,'Saldos Iniciales'!$A:$A,"Cross Security Trust")+SUMIFS(Movimientos!$K$1:$K$858,Movimientos!$C$1:$C$858,"Cross Security Trust",Movimientos!$B$1:$B$858,"&lt;="&amp;$B71)</f>
        <v>88090.37</v>
      </c>
      <c r="J71" s="24">
        <f>SUMIFS('Saldos Iniciales'!$D:$D,'Saldos Iniciales'!$A:$A,"Electrama")+SUMIFS(Movimientos!$K$1:$K$858,Movimientos!$C$1:$C$858,"Electrama",Movimientos!$B$1:$B$858,"&lt;="&amp;$B71)</f>
        <v>15130.45</v>
      </c>
      <c r="K71" s="24">
        <f>SUMIFS('Saldos Iniciales'!$D:$D,'Saldos Iniciales'!$A:$A,"Sacred Valley Capital")+SUMIFS(Movimientos!$K$1:$K$858,Movimientos!$C$1:$C$858,"Sacred Valley Capital",Movimientos!$B$1:$B$858,"&lt;="&amp;$B71)</f>
        <v>54.400000000000006</v>
      </c>
      <c r="L71" s="24">
        <f>SUMIFS('Saldos Iniciales'!$D:$D,'Saldos Iniciales'!$A:$A,"YWC Capital")+SUMIFS(Movimientos!$K$1:$K$858,Movimientos!$C$1:$C$858,"YWC Capital",Movimientos!$B$1:$B$858,"&lt;="&amp;$B71)</f>
        <v>2207.8200000000002</v>
      </c>
      <c r="M71" s="24">
        <f>SUMIFS('Saldos Iniciales'!$D:$D,'Saldos Iniciales'!$A:$A,"Soweto")+SUMIFS(Movimientos!$K$1:$K$858,Movimientos!$C$1:$C$858,"Soweto",Movimientos!$B$1:$B$858,"&lt;="&amp;$B71)</f>
        <v>1454604.72</v>
      </c>
      <c r="N71" s="24">
        <f>SUMIFS('Saldos Iniciales'!$D:$D,'Saldos Iniciales'!$A:$A,"Green Stone Trust")+SUMIFS(Movimientos!$K$1:$K$858,Movimientos!$C$1:$C$858,"Green Stone Trust",Movimientos!$B$1:$B$858,"&lt;="&amp;$B71)</f>
        <v>1968.99</v>
      </c>
      <c r="O71" s="24">
        <f>SUMIFS('Saldos Iniciales'!$D:$D,'Saldos Iniciales'!$A:$A,"EC Auto")+SUMIFS(Movimientos!$K$1:$K$858,Movimientos!$C$1:$C$858,"EC Auto",Movimientos!$B$1:$B$858,"&lt;="&amp;$B71)</f>
        <v>382.69000000000005</v>
      </c>
      <c r="P71" s="24">
        <f>SUMIFS('Saldos Iniciales'!$D:$D,'Saldos Iniciales'!$A:$A,"Arbor Capital Properties")+SUMIFS(Movimientos!$K$1:$K$858,Movimientos!$C$1:$C$858,"Arbor Capital Properties",Movimientos!$B$1:$B$858,"&lt;="&amp;$B71)</f>
        <v>1412.08</v>
      </c>
      <c r="Q71" s="24">
        <f>SUMIFS('Saldos Iniciales'!$D:$D,'Saldos Iniciales'!$A:$A,"2515 Overbrook")+SUMIFS(Movimientos!$K$1:$K$858,Movimientos!$C$1:$C$858,"2515 Overbrook",Movimientos!$B$1:$B$858,"&lt;="&amp;$B71)</f>
        <v>22496.639999999959</v>
      </c>
      <c r="R71" s="24">
        <f>SUMIFS('Saldos Iniciales'!$D:$D,'Saldos Iniciales'!$A:$A,"112 Florida Ave")+SUMIFS(Movimientos!$K$1:$K$858,Movimientos!$C$1:$C$858,"112 Florida Ave",Movimientos!$B$1:$B$858,"&lt;="&amp;$B71)</f>
        <v>6522.8000000000029</v>
      </c>
      <c r="S71" s="24">
        <f>SUMIFS('Saldos Iniciales'!$D:$D,'Saldos Iniciales'!$A:$A,"3628 Thomas Ave")+SUMIFS(Movimientos!$K$1:$K$858,Movimientos!$C$1:$C$858,"3628 Thomas Ave",Movimientos!$B$1:$B$858,"&lt;="&amp;$B71)</f>
        <v>28485.559999999998</v>
      </c>
      <c r="T71" s="24">
        <f>SUMIFS('Saldos Iniciales'!$D:$D,'Saldos Iniciales'!$A:$A,"Green Harbor Trust")+SUMIFS(Movimientos!$K$1:$K$858,Movimientos!$C$1:$C$858,"Green Harbor Trust",Movimientos!$B$1:$B$858,"&lt;="&amp;$B71)</f>
        <v>345</v>
      </c>
      <c r="U71" s="24">
        <f>SUMIFS('Saldos Iniciales'!$D:$D,'Saldos Iniciales'!$A:$A,"Go Blue")+SUMIFS(Movimientos!$K$1:$K$858,Movimientos!$C$1:$C$858,"Go Blue",Movimientos!$B$1:$B$858,"&lt;="&amp;$B71)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Group")+SUMIFS(Movimientos!$K$1:$K$858,Movimientos!$C$1:$C$858,"CFT Group",Movimientos!$B$1:$B$858,"&lt;="&amp;$B72)</f>
        <v>4163755.7500000005</v>
      </c>
      <c r="D72" s="24">
        <f>SUMIFS('Saldos Iniciales'!$D:$D,'Saldos Iniciales'!$A:$A,"M1B")+SUMIFS(Movimientos!$K$1:$K$858,Movimientos!$C$1:$C$858,"M1B",Movimientos!$B$1:$B$858,"&lt;="&amp;$B72)</f>
        <v>73157.680000000168</v>
      </c>
      <c r="E72" s="24">
        <f>SUMIFS('Saldos Iniciales'!$D:$D,'Saldos Iniciales'!$A:$A,"Durand")+SUMIFS(Movimientos!$K$1:$K$858,Movimientos!$C$1:$C$858,"Durand",Movimientos!$B$1:$B$858,"&lt;="&amp;$B72)</f>
        <v>1669.89</v>
      </c>
      <c r="F72" s="24">
        <f>SUMIFS('Saldos Iniciales'!$D:$D,'Saldos Iniciales'!$A:$A,"A&amp;M Imports")+SUMIFS(Movimientos!$K$1:$K$858,Movimientos!$C$1:$C$858,"A&amp;M Imports",Movimientos!$B$1:$B$858,"&lt;="&amp;$B72)</f>
        <v>290141.62999999989</v>
      </c>
      <c r="G72" s="24">
        <f>SUMIFS('Saldos Iniciales'!$D:$D,'Saldos Iniciales'!$A:$A,"SSP Capital")+SUMIFS(Movimientos!$K$1:$K$858,Movimientos!$C$1:$C$858,"SSP Capital",Movimientos!$B$1:$B$858,"&lt;="&amp;$B72)</f>
        <v>1921752.2699999993</v>
      </c>
      <c r="H72" s="24">
        <f>SUMIFS('Saldos Iniciales'!$D:$D,'Saldos Iniciales'!$A:$A,"Cross Family Trust")+SUMIFS(Movimientos!$K$1:$K$858,Movimientos!$C$1:$C$858,"Cross Family Trust",Movimientos!$B$1:$B$858,"&lt;="&amp;$B72)</f>
        <v>200496.38</v>
      </c>
      <c r="I72" s="24">
        <f>SUMIFS('Saldos Iniciales'!$D:$D,'Saldos Iniciales'!$A:$A,"Cross Security Trust")+SUMIFS(Movimientos!$K$1:$K$858,Movimientos!$C$1:$C$858,"Cross Security Trust",Movimientos!$B$1:$B$858,"&lt;="&amp;$B72)</f>
        <v>88090.37</v>
      </c>
      <c r="J72" s="24">
        <f>SUMIFS('Saldos Iniciales'!$D:$D,'Saldos Iniciales'!$A:$A,"Electrama")+SUMIFS(Movimientos!$K$1:$K$858,Movimientos!$C$1:$C$858,"Electrama",Movimientos!$B$1:$B$858,"&lt;="&amp;$B72)</f>
        <v>14580.45</v>
      </c>
      <c r="K72" s="24">
        <f>SUMIFS('Saldos Iniciales'!$D:$D,'Saldos Iniciales'!$A:$A,"Sacred Valley Capital")+SUMIFS(Movimientos!$K$1:$K$858,Movimientos!$C$1:$C$858,"Sacred Valley Capital",Movimientos!$B$1:$B$858,"&lt;="&amp;$B72)</f>
        <v>54.400000000000006</v>
      </c>
      <c r="L72" s="24">
        <f>SUMIFS('Saldos Iniciales'!$D:$D,'Saldos Iniciales'!$A:$A,"YWC Capital")+SUMIFS(Movimientos!$K$1:$K$858,Movimientos!$C$1:$C$858,"YWC Capital",Movimientos!$B$1:$B$858,"&lt;="&amp;$B72)</f>
        <v>2207.8200000000002</v>
      </c>
      <c r="M72" s="24">
        <f>SUMIFS('Saldos Iniciales'!$D:$D,'Saldos Iniciales'!$A:$A,"Soweto")+SUMIFS(Movimientos!$K$1:$K$858,Movimientos!$C$1:$C$858,"Soweto",Movimientos!$B$1:$B$858,"&lt;="&amp;$B72)</f>
        <v>1454589.72</v>
      </c>
      <c r="N72" s="24">
        <f>SUMIFS('Saldos Iniciales'!$D:$D,'Saldos Iniciales'!$A:$A,"Green Stone Trust")+SUMIFS(Movimientos!$K$1:$K$858,Movimientos!$C$1:$C$858,"Green Stone Trust",Movimientos!$B$1:$B$858,"&lt;="&amp;$B72)</f>
        <v>1968.99</v>
      </c>
      <c r="O72" s="24">
        <f>SUMIFS('Saldos Iniciales'!$D:$D,'Saldos Iniciales'!$A:$A,"EC Auto")+SUMIFS(Movimientos!$K$1:$K$858,Movimientos!$C$1:$C$858,"EC Auto",Movimientos!$B$1:$B$858,"&lt;="&amp;$B72)</f>
        <v>382.69000000000005</v>
      </c>
      <c r="P72" s="24">
        <f>SUMIFS('Saldos Iniciales'!$D:$D,'Saldos Iniciales'!$A:$A,"Arbor Capital Properties")+SUMIFS(Movimientos!$K$1:$K$858,Movimientos!$C$1:$C$858,"Arbor Capital Properties",Movimientos!$B$1:$B$858,"&lt;="&amp;$B72)</f>
        <v>1412.08</v>
      </c>
      <c r="Q72" s="24">
        <f>SUMIFS('Saldos Iniciales'!$D:$D,'Saldos Iniciales'!$A:$A,"2515 Overbrook")+SUMIFS(Movimientos!$K$1:$K$858,Movimientos!$C$1:$C$858,"2515 Overbrook",Movimientos!$B$1:$B$858,"&lt;="&amp;$B72)</f>
        <v>22496.639999999959</v>
      </c>
      <c r="R72" s="24">
        <f>SUMIFS('Saldos Iniciales'!$D:$D,'Saldos Iniciales'!$A:$A,"112 Florida Ave")+SUMIFS(Movimientos!$K$1:$K$858,Movimientos!$C$1:$C$858,"112 Florida Ave",Movimientos!$B$1:$B$858,"&lt;="&amp;$B72)</f>
        <v>6522.8000000000029</v>
      </c>
      <c r="S72" s="24">
        <f>SUMIFS('Saldos Iniciales'!$D:$D,'Saldos Iniciales'!$A:$A,"3628 Thomas Ave")+SUMIFS(Movimientos!$K$1:$K$858,Movimientos!$C$1:$C$858,"3628 Thomas Ave",Movimientos!$B$1:$B$858,"&lt;="&amp;$B72)</f>
        <v>28485.559999999998</v>
      </c>
      <c r="T72" s="24">
        <f>SUMIFS('Saldos Iniciales'!$D:$D,'Saldos Iniciales'!$A:$A,"Green Harbor Trust")+SUMIFS(Movimientos!$K$1:$K$858,Movimientos!$C$1:$C$858,"Green Harbor Trust",Movimientos!$B$1:$B$858,"&lt;="&amp;$B72)</f>
        <v>345</v>
      </c>
      <c r="U72" s="24">
        <f>SUMIFS('Saldos Iniciales'!$D:$D,'Saldos Iniciales'!$A:$A,"Go Blue")+SUMIFS(Movimientos!$K$1:$K$858,Movimientos!$C$1:$C$858,"Go Blue",Movimientos!$B$1:$B$858,"&lt;="&amp;$B72)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Group")+SUMIFS(Movimientos!$K$1:$K$858,Movimientos!$C$1:$C$858,"CFT Group",Movimientos!$B$1:$B$858,"&lt;="&amp;$B73)</f>
        <v>4163755.7500000005</v>
      </c>
      <c r="D73" s="24">
        <f>SUMIFS('Saldos Iniciales'!$D:$D,'Saldos Iniciales'!$A:$A,"M1B")+SUMIFS(Movimientos!$K$1:$K$858,Movimientos!$C$1:$C$858,"M1B",Movimientos!$B$1:$B$858,"&lt;="&amp;$B73)</f>
        <v>73157.680000000168</v>
      </c>
      <c r="E73" s="24">
        <f>SUMIFS('Saldos Iniciales'!$D:$D,'Saldos Iniciales'!$A:$A,"Durand")+SUMIFS(Movimientos!$K$1:$K$858,Movimientos!$C$1:$C$858,"Durand",Movimientos!$B$1:$B$858,"&lt;="&amp;$B73)</f>
        <v>1669.89</v>
      </c>
      <c r="F73" s="24">
        <f>SUMIFS('Saldos Iniciales'!$D:$D,'Saldos Iniciales'!$A:$A,"A&amp;M Imports")+SUMIFS(Movimientos!$K$1:$K$858,Movimientos!$C$1:$C$858,"A&amp;M Imports",Movimientos!$B$1:$B$858,"&lt;="&amp;$B73)</f>
        <v>290141.62999999989</v>
      </c>
      <c r="G73" s="24">
        <f>SUMIFS('Saldos Iniciales'!$D:$D,'Saldos Iniciales'!$A:$A,"SSP Capital")+SUMIFS(Movimientos!$K$1:$K$858,Movimientos!$C$1:$C$858,"SSP Capital",Movimientos!$B$1:$B$858,"&lt;="&amp;$B73)</f>
        <v>1921752.2699999993</v>
      </c>
      <c r="H73" s="24">
        <f>SUMIFS('Saldos Iniciales'!$D:$D,'Saldos Iniciales'!$A:$A,"Cross Family Trust")+SUMIFS(Movimientos!$K$1:$K$858,Movimientos!$C$1:$C$858,"Cross Family Trust",Movimientos!$B$1:$B$858,"&lt;="&amp;$B73)</f>
        <v>200496.38</v>
      </c>
      <c r="I73" s="24">
        <f>SUMIFS('Saldos Iniciales'!$D:$D,'Saldos Iniciales'!$A:$A,"Cross Security Trust")+SUMIFS(Movimientos!$K$1:$K$858,Movimientos!$C$1:$C$858,"Cross Security Trust",Movimientos!$B$1:$B$858,"&lt;="&amp;$B73)</f>
        <v>88090.37</v>
      </c>
      <c r="J73" s="24">
        <f>SUMIFS('Saldos Iniciales'!$D:$D,'Saldos Iniciales'!$A:$A,"Electrama")+SUMIFS(Movimientos!$K$1:$K$858,Movimientos!$C$1:$C$858,"Electrama",Movimientos!$B$1:$B$858,"&lt;="&amp;$B73)</f>
        <v>14580.45</v>
      </c>
      <c r="K73" s="24">
        <f>SUMIFS('Saldos Iniciales'!$D:$D,'Saldos Iniciales'!$A:$A,"Sacred Valley Capital")+SUMIFS(Movimientos!$K$1:$K$858,Movimientos!$C$1:$C$858,"Sacred Valley Capital",Movimientos!$B$1:$B$858,"&lt;="&amp;$B73)</f>
        <v>54.400000000000006</v>
      </c>
      <c r="L73" s="24">
        <f>SUMIFS('Saldos Iniciales'!$D:$D,'Saldos Iniciales'!$A:$A,"YWC Capital")+SUMIFS(Movimientos!$K$1:$K$858,Movimientos!$C$1:$C$858,"YWC Capital",Movimientos!$B$1:$B$858,"&lt;="&amp;$B73)</f>
        <v>2207.8200000000002</v>
      </c>
      <c r="M73" s="24">
        <f>SUMIFS('Saldos Iniciales'!$D:$D,'Saldos Iniciales'!$A:$A,"Soweto")+SUMIFS(Movimientos!$K$1:$K$858,Movimientos!$C$1:$C$858,"Soweto",Movimientos!$B$1:$B$858,"&lt;="&amp;$B73)</f>
        <v>1454589.72</v>
      </c>
      <c r="N73" s="24">
        <f>SUMIFS('Saldos Iniciales'!$D:$D,'Saldos Iniciales'!$A:$A,"Green Stone Trust")+SUMIFS(Movimientos!$K$1:$K$858,Movimientos!$C$1:$C$858,"Green Stone Trust",Movimientos!$B$1:$B$858,"&lt;="&amp;$B73)</f>
        <v>1968.99</v>
      </c>
      <c r="O73" s="24">
        <f>SUMIFS('Saldos Iniciales'!$D:$D,'Saldos Iniciales'!$A:$A,"EC Auto")+SUMIFS(Movimientos!$K$1:$K$858,Movimientos!$C$1:$C$858,"EC Auto",Movimientos!$B$1:$B$858,"&lt;="&amp;$B73)</f>
        <v>382.69000000000005</v>
      </c>
      <c r="P73" s="24">
        <f>SUMIFS('Saldos Iniciales'!$D:$D,'Saldos Iniciales'!$A:$A,"Arbor Capital Properties")+SUMIFS(Movimientos!$K$1:$K$858,Movimientos!$C$1:$C$858,"Arbor Capital Properties",Movimientos!$B$1:$B$858,"&lt;="&amp;$B73)</f>
        <v>1412.08</v>
      </c>
      <c r="Q73" s="24">
        <f>SUMIFS('Saldos Iniciales'!$D:$D,'Saldos Iniciales'!$A:$A,"2515 Overbrook")+SUMIFS(Movimientos!$K$1:$K$858,Movimientos!$C$1:$C$858,"2515 Overbrook",Movimientos!$B$1:$B$858,"&lt;="&amp;$B73)</f>
        <v>22496.639999999959</v>
      </c>
      <c r="R73" s="24">
        <f>SUMIFS('Saldos Iniciales'!$D:$D,'Saldos Iniciales'!$A:$A,"112 Florida Ave")+SUMIFS(Movimientos!$K$1:$K$858,Movimientos!$C$1:$C$858,"112 Florida Ave",Movimientos!$B$1:$B$858,"&lt;="&amp;$B73)</f>
        <v>6522.8000000000029</v>
      </c>
      <c r="S73" s="24">
        <f>SUMIFS('Saldos Iniciales'!$D:$D,'Saldos Iniciales'!$A:$A,"3628 Thomas Ave")+SUMIFS(Movimientos!$K$1:$K$858,Movimientos!$C$1:$C$858,"3628 Thomas Ave",Movimientos!$B$1:$B$858,"&lt;="&amp;$B73)</f>
        <v>28485.559999999998</v>
      </c>
      <c r="T73" s="24">
        <f>SUMIFS('Saldos Iniciales'!$D:$D,'Saldos Iniciales'!$A:$A,"Green Harbor Trust")+SUMIFS(Movimientos!$K$1:$K$858,Movimientos!$C$1:$C$858,"Green Harbor Trust",Movimientos!$B$1:$B$858,"&lt;="&amp;$B73)</f>
        <v>345</v>
      </c>
      <c r="U73" s="24">
        <f>SUMIFS('Saldos Iniciales'!$D:$D,'Saldos Iniciales'!$A:$A,"Go Blue")+SUMIFS(Movimientos!$K$1:$K$858,Movimientos!$C$1:$C$858,"Go Blue",Movimientos!$B$1:$B$858,"&lt;="&amp;$B73)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Group")+SUMIFS(Movimientos!$K$1:$K$858,Movimientos!$C$1:$C$858,"CFT Group",Movimientos!$B$1:$B$858,"&lt;="&amp;$B74)</f>
        <v>4163755.7500000005</v>
      </c>
      <c r="D74" s="24">
        <f>SUMIFS('Saldos Iniciales'!$D:$D,'Saldos Iniciales'!$A:$A,"M1B")+SUMIFS(Movimientos!$K$1:$K$858,Movimientos!$C$1:$C$858,"M1B",Movimientos!$B$1:$B$858,"&lt;="&amp;$B74)</f>
        <v>73157.680000000168</v>
      </c>
      <c r="E74" s="24">
        <f>SUMIFS('Saldos Iniciales'!$D:$D,'Saldos Iniciales'!$A:$A,"Durand")+SUMIFS(Movimientos!$K$1:$K$858,Movimientos!$C$1:$C$858,"Durand",Movimientos!$B$1:$B$858,"&lt;="&amp;$B74)</f>
        <v>1669.89</v>
      </c>
      <c r="F74" s="24">
        <f>SUMIFS('Saldos Iniciales'!$D:$D,'Saldos Iniciales'!$A:$A,"A&amp;M Imports")+SUMIFS(Movimientos!$K$1:$K$858,Movimientos!$C$1:$C$858,"A&amp;M Imports",Movimientos!$B$1:$B$858,"&lt;="&amp;$B74)</f>
        <v>290141.62999999989</v>
      </c>
      <c r="G74" s="24">
        <f>SUMIFS('Saldos Iniciales'!$D:$D,'Saldos Iniciales'!$A:$A,"SSP Capital")+SUMIFS(Movimientos!$K$1:$K$858,Movimientos!$C$1:$C$858,"SSP Capital",Movimientos!$B$1:$B$858,"&lt;="&amp;$B74)</f>
        <v>1921752.2699999993</v>
      </c>
      <c r="H74" s="24">
        <f>SUMIFS('Saldos Iniciales'!$D:$D,'Saldos Iniciales'!$A:$A,"Cross Family Trust")+SUMIFS(Movimientos!$K$1:$K$858,Movimientos!$C$1:$C$858,"Cross Family Trust",Movimientos!$B$1:$B$858,"&lt;="&amp;$B74)</f>
        <v>200496.38</v>
      </c>
      <c r="I74" s="24">
        <f>SUMIFS('Saldos Iniciales'!$D:$D,'Saldos Iniciales'!$A:$A,"Cross Security Trust")+SUMIFS(Movimientos!$K$1:$K$858,Movimientos!$C$1:$C$858,"Cross Security Trust",Movimientos!$B$1:$B$858,"&lt;="&amp;$B74)</f>
        <v>88090.37</v>
      </c>
      <c r="J74" s="24">
        <f>SUMIFS('Saldos Iniciales'!$D:$D,'Saldos Iniciales'!$A:$A,"Electrama")+SUMIFS(Movimientos!$K$1:$K$858,Movimientos!$C$1:$C$858,"Electrama",Movimientos!$B$1:$B$858,"&lt;="&amp;$B74)</f>
        <v>14580.45</v>
      </c>
      <c r="K74" s="24">
        <f>SUMIFS('Saldos Iniciales'!$D:$D,'Saldos Iniciales'!$A:$A,"Sacred Valley Capital")+SUMIFS(Movimientos!$K$1:$K$858,Movimientos!$C$1:$C$858,"Sacred Valley Capital",Movimientos!$B$1:$B$858,"&lt;="&amp;$B74)</f>
        <v>54.400000000000006</v>
      </c>
      <c r="L74" s="24">
        <f>SUMIFS('Saldos Iniciales'!$D:$D,'Saldos Iniciales'!$A:$A,"YWC Capital")+SUMIFS(Movimientos!$K$1:$K$858,Movimientos!$C$1:$C$858,"YWC Capital",Movimientos!$B$1:$B$858,"&lt;="&amp;$B74)</f>
        <v>2207.8200000000002</v>
      </c>
      <c r="M74" s="24">
        <f>SUMIFS('Saldos Iniciales'!$D:$D,'Saldos Iniciales'!$A:$A,"Soweto")+SUMIFS(Movimientos!$K$1:$K$858,Movimientos!$C$1:$C$858,"Soweto",Movimientos!$B$1:$B$858,"&lt;="&amp;$B74)</f>
        <v>1454589.72</v>
      </c>
      <c r="N74" s="24">
        <f>SUMIFS('Saldos Iniciales'!$D:$D,'Saldos Iniciales'!$A:$A,"Green Stone Trust")+SUMIFS(Movimientos!$K$1:$K$858,Movimientos!$C$1:$C$858,"Green Stone Trust",Movimientos!$B$1:$B$858,"&lt;="&amp;$B74)</f>
        <v>1968.99</v>
      </c>
      <c r="O74" s="24">
        <f>SUMIFS('Saldos Iniciales'!$D:$D,'Saldos Iniciales'!$A:$A,"EC Auto")+SUMIFS(Movimientos!$K$1:$K$858,Movimientos!$C$1:$C$858,"EC Auto",Movimientos!$B$1:$B$858,"&lt;="&amp;$B74)</f>
        <v>382.69000000000005</v>
      </c>
      <c r="P74" s="24">
        <f>SUMIFS('Saldos Iniciales'!$D:$D,'Saldos Iniciales'!$A:$A,"Arbor Capital Properties")+SUMIFS(Movimientos!$K$1:$K$858,Movimientos!$C$1:$C$858,"Arbor Capital Properties",Movimientos!$B$1:$B$858,"&lt;="&amp;$B74)</f>
        <v>1412.08</v>
      </c>
      <c r="Q74" s="24">
        <f>SUMIFS('Saldos Iniciales'!$D:$D,'Saldos Iniciales'!$A:$A,"2515 Overbrook")+SUMIFS(Movimientos!$K$1:$K$858,Movimientos!$C$1:$C$858,"2515 Overbrook",Movimientos!$B$1:$B$858,"&lt;="&amp;$B74)</f>
        <v>22496.639999999959</v>
      </c>
      <c r="R74" s="24">
        <f>SUMIFS('Saldos Iniciales'!$D:$D,'Saldos Iniciales'!$A:$A,"112 Florida Ave")+SUMIFS(Movimientos!$K$1:$K$858,Movimientos!$C$1:$C$858,"112 Florida Ave",Movimientos!$B$1:$B$858,"&lt;="&amp;$B74)</f>
        <v>6522.8000000000029</v>
      </c>
      <c r="S74" s="24">
        <f>SUMIFS('Saldos Iniciales'!$D:$D,'Saldos Iniciales'!$A:$A,"3628 Thomas Ave")+SUMIFS(Movimientos!$K$1:$K$858,Movimientos!$C$1:$C$858,"3628 Thomas Ave",Movimientos!$B$1:$B$858,"&lt;="&amp;$B74)</f>
        <v>28485.559999999998</v>
      </c>
      <c r="T74" s="24">
        <f>SUMIFS('Saldos Iniciales'!$D:$D,'Saldos Iniciales'!$A:$A,"Green Harbor Trust")+SUMIFS(Movimientos!$K$1:$K$858,Movimientos!$C$1:$C$858,"Green Harbor Trust",Movimientos!$B$1:$B$858,"&lt;="&amp;$B74)</f>
        <v>345</v>
      </c>
      <c r="U74" s="24">
        <f>SUMIFS('Saldos Iniciales'!$D:$D,'Saldos Iniciales'!$A:$A,"Go Blue")+SUMIFS(Movimientos!$K$1:$K$858,Movimientos!$C$1:$C$858,"Go Blue",Movimientos!$B$1:$B$858,"&lt;="&amp;$B74)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Group")+SUMIFS(Movimientos!$K$1:$K$858,Movimientos!$C$1:$C$858,"CFT Group",Movimientos!$B$1:$B$858,"&lt;="&amp;$B75)</f>
        <v>4163755.7500000005</v>
      </c>
      <c r="D75" s="24">
        <f>SUMIFS('Saldos Iniciales'!$D:$D,'Saldos Iniciales'!$A:$A,"M1B")+SUMIFS(Movimientos!$K$1:$K$858,Movimientos!$C$1:$C$858,"M1B",Movimientos!$B$1:$B$858,"&lt;="&amp;$B75)</f>
        <v>73157.680000000168</v>
      </c>
      <c r="E75" s="24">
        <f>SUMIFS('Saldos Iniciales'!$D:$D,'Saldos Iniciales'!$A:$A,"Durand")+SUMIFS(Movimientos!$K$1:$K$858,Movimientos!$C$1:$C$858,"Durand",Movimientos!$B$1:$B$858,"&lt;="&amp;$B75)</f>
        <v>1669.89</v>
      </c>
      <c r="F75" s="24">
        <f>SUMIFS('Saldos Iniciales'!$D:$D,'Saldos Iniciales'!$A:$A,"A&amp;M Imports")+SUMIFS(Movimientos!$K$1:$K$858,Movimientos!$C$1:$C$858,"A&amp;M Imports",Movimientos!$B$1:$B$858,"&lt;="&amp;$B75)</f>
        <v>290141.62999999989</v>
      </c>
      <c r="G75" s="24">
        <f>SUMIFS('Saldos Iniciales'!$D:$D,'Saldos Iniciales'!$A:$A,"SSP Capital")+SUMIFS(Movimientos!$K$1:$K$858,Movimientos!$C$1:$C$858,"SSP Capital",Movimientos!$B$1:$B$858,"&lt;="&amp;$B75)</f>
        <v>1921752.2699999993</v>
      </c>
      <c r="H75" s="24">
        <f>SUMIFS('Saldos Iniciales'!$D:$D,'Saldos Iniciales'!$A:$A,"Cross Family Trust")+SUMIFS(Movimientos!$K$1:$K$858,Movimientos!$C$1:$C$858,"Cross Family Trust",Movimientos!$B$1:$B$858,"&lt;="&amp;$B75)</f>
        <v>200496.38</v>
      </c>
      <c r="I75" s="24">
        <f>SUMIFS('Saldos Iniciales'!$D:$D,'Saldos Iniciales'!$A:$A,"Cross Security Trust")+SUMIFS(Movimientos!$K$1:$K$858,Movimientos!$C$1:$C$858,"Cross Security Trust",Movimientos!$B$1:$B$858,"&lt;="&amp;$B75)</f>
        <v>88090.37</v>
      </c>
      <c r="J75" s="24">
        <f>SUMIFS('Saldos Iniciales'!$D:$D,'Saldos Iniciales'!$A:$A,"Electrama")+SUMIFS(Movimientos!$K$1:$K$858,Movimientos!$C$1:$C$858,"Electrama",Movimientos!$B$1:$B$858,"&lt;="&amp;$B75)</f>
        <v>14580.45</v>
      </c>
      <c r="K75" s="24">
        <f>SUMIFS('Saldos Iniciales'!$D:$D,'Saldos Iniciales'!$A:$A,"Sacred Valley Capital")+SUMIFS(Movimientos!$K$1:$K$858,Movimientos!$C$1:$C$858,"Sacred Valley Capital",Movimientos!$B$1:$B$858,"&lt;="&amp;$B75)</f>
        <v>54.400000000000006</v>
      </c>
      <c r="L75" s="24">
        <f>SUMIFS('Saldos Iniciales'!$D:$D,'Saldos Iniciales'!$A:$A,"YWC Capital")+SUMIFS(Movimientos!$K$1:$K$858,Movimientos!$C$1:$C$858,"YWC Capital",Movimientos!$B$1:$B$858,"&lt;="&amp;$B75)</f>
        <v>2207.8200000000002</v>
      </c>
      <c r="M75" s="24">
        <f>SUMIFS('Saldos Iniciales'!$D:$D,'Saldos Iniciales'!$A:$A,"Soweto")+SUMIFS(Movimientos!$K$1:$K$858,Movimientos!$C$1:$C$858,"Soweto",Movimientos!$B$1:$B$858,"&lt;="&amp;$B75)</f>
        <v>1454589.72</v>
      </c>
      <c r="N75" s="24">
        <f>SUMIFS('Saldos Iniciales'!$D:$D,'Saldos Iniciales'!$A:$A,"Green Stone Trust")+SUMIFS(Movimientos!$K$1:$K$858,Movimientos!$C$1:$C$858,"Green Stone Trust",Movimientos!$B$1:$B$858,"&lt;="&amp;$B75)</f>
        <v>1968.99</v>
      </c>
      <c r="O75" s="24">
        <f>SUMIFS('Saldos Iniciales'!$D:$D,'Saldos Iniciales'!$A:$A,"EC Auto")+SUMIFS(Movimientos!$K$1:$K$858,Movimientos!$C$1:$C$858,"EC Auto",Movimientos!$B$1:$B$858,"&lt;="&amp;$B75)</f>
        <v>901.34</v>
      </c>
      <c r="P75" s="24">
        <f>SUMIFS('Saldos Iniciales'!$D:$D,'Saldos Iniciales'!$A:$A,"Arbor Capital Properties")+SUMIFS(Movimientos!$K$1:$K$858,Movimientos!$C$1:$C$858,"Arbor Capital Properties",Movimientos!$B$1:$B$858,"&lt;="&amp;$B75)</f>
        <v>1412.08</v>
      </c>
      <c r="Q75" s="24">
        <f>SUMIFS('Saldos Iniciales'!$D:$D,'Saldos Iniciales'!$A:$A,"2515 Overbrook")+SUMIFS(Movimientos!$K$1:$K$858,Movimientos!$C$1:$C$858,"2515 Overbrook",Movimientos!$B$1:$B$858,"&lt;="&amp;$B75)</f>
        <v>22496.639999999959</v>
      </c>
      <c r="R75" s="24">
        <f>SUMIFS('Saldos Iniciales'!$D:$D,'Saldos Iniciales'!$A:$A,"112 Florida Ave")+SUMIFS(Movimientos!$K$1:$K$858,Movimientos!$C$1:$C$858,"112 Florida Ave",Movimientos!$B$1:$B$858,"&lt;="&amp;$B75)</f>
        <v>6522.8000000000029</v>
      </c>
      <c r="S75" s="24">
        <f>SUMIFS('Saldos Iniciales'!$D:$D,'Saldos Iniciales'!$A:$A,"3628 Thomas Ave")+SUMIFS(Movimientos!$K$1:$K$858,Movimientos!$C$1:$C$858,"3628 Thomas Ave",Movimientos!$B$1:$B$858,"&lt;="&amp;$B75)</f>
        <v>28485.559999999998</v>
      </c>
      <c r="T75" s="24">
        <f>SUMIFS('Saldos Iniciales'!$D:$D,'Saldos Iniciales'!$A:$A,"Green Harbor Trust")+SUMIFS(Movimientos!$K$1:$K$858,Movimientos!$C$1:$C$858,"Green Harbor Trust",Movimientos!$B$1:$B$858,"&lt;="&amp;$B75)</f>
        <v>345</v>
      </c>
      <c r="U75" s="24">
        <f>SUMIFS('Saldos Iniciales'!$D:$D,'Saldos Iniciales'!$A:$A,"Go Blue")+SUMIFS(Movimientos!$K$1:$K$858,Movimientos!$C$1:$C$858,"Go Blue",Movimientos!$B$1:$B$858,"&lt;="&amp;$B75)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Group")+SUMIFS(Movimientos!$K$1:$K$858,Movimientos!$C$1:$C$858,"CFT Group",Movimientos!$B$1:$B$858,"&lt;="&amp;$B76)</f>
        <v>3363755.7500000005</v>
      </c>
      <c r="D76" s="24">
        <f>SUMIFS('Saldos Iniciales'!$D:$D,'Saldos Iniciales'!$A:$A,"M1B")+SUMIFS(Movimientos!$K$1:$K$858,Movimientos!$C$1:$C$858,"M1B",Movimientos!$B$1:$B$858,"&lt;="&amp;$B76)</f>
        <v>73157.680000000168</v>
      </c>
      <c r="E76" s="24">
        <f>SUMIFS('Saldos Iniciales'!$D:$D,'Saldos Iniciales'!$A:$A,"Durand")+SUMIFS(Movimientos!$K$1:$K$858,Movimientos!$C$1:$C$858,"Durand",Movimientos!$B$1:$B$858,"&lt;="&amp;$B76)</f>
        <v>1669.89</v>
      </c>
      <c r="F76" s="24">
        <f>SUMIFS('Saldos Iniciales'!$D:$D,'Saldos Iniciales'!$A:$A,"A&amp;M Imports")+SUMIFS(Movimientos!$K$1:$K$858,Movimientos!$C$1:$C$858,"A&amp;M Imports",Movimientos!$B$1:$B$858,"&lt;="&amp;$B76)</f>
        <v>1090141.6299999999</v>
      </c>
      <c r="G76" s="24">
        <f>SUMIFS('Saldos Iniciales'!$D:$D,'Saldos Iniciales'!$A:$A,"SSP Capital")+SUMIFS(Movimientos!$K$1:$K$858,Movimientos!$C$1:$C$858,"SSP Capital",Movimientos!$B$1:$B$858,"&lt;="&amp;$B76)</f>
        <v>1856542.8899999992</v>
      </c>
      <c r="H76" s="24">
        <f>SUMIFS('Saldos Iniciales'!$D:$D,'Saldos Iniciales'!$A:$A,"Cross Family Trust")+SUMIFS(Movimientos!$K$1:$K$858,Movimientos!$C$1:$C$858,"Cross Family Trust",Movimientos!$B$1:$B$858,"&lt;="&amp;$B76)</f>
        <v>200496.38</v>
      </c>
      <c r="I76" s="24">
        <f>SUMIFS('Saldos Iniciales'!$D:$D,'Saldos Iniciales'!$A:$A,"Cross Security Trust")+SUMIFS(Movimientos!$K$1:$K$858,Movimientos!$C$1:$C$858,"Cross Security Trust",Movimientos!$B$1:$B$858,"&lt;="&amp;$B76)</f>
        <v>88090.37</v>
      </c>
      <c r="J76" s="24">
        <f>SUMIFS('Saldos Iniciales'!$D:$D,'Saldos Iniciales'!$A:$A,"Electrama")+SUMIFS(Movimientos!$K$1:$K$858,Movimientos!$C$1:$C$858,"Electrama",Movimientos!$B$1:$B$858,"&lt;="&amp;$B76)</f>
        <v>14580.45</v>
      </c>
      <c r="K76" s="24">
        <f>SUMIFS('Saldos Iniciales'!$D:$D,'Saldos Iniciales'!$A:$A,"Sacred Valley Capital")+SUMIFS(Movimientos!$K$1:$K$858,Movimientos!$C$1:$C$858,"Sacred Valley Capital",Movimientos!$B$1:$B$858,"&lt;="&amp;$B76)</f>
        <v>54.400000000000006</v>
      </c>
      <c r="L76" s="24">
        <f>SUMIFS('Saldos Iniciales'!$D:$D,'Saldos Iniciales'!$A:$A,"YWC Capital")+SUMIFS(Movimientos!$K$1:$K$858,Movimientos!$C$1:$C$858,"YWC Capital",Movimientos!$B$1:$B$858,"&lt;="&amp;$B76)</f>
        <v>2207.8200000000002</v>
      </c>
      <c r="M76" s="24">
        <f>SUMIFS('Saldos Iniciales'!$D:$D,'Saldos Iniciales'!$A:$A,"Soweto")+SUMIFS(Movimientos!$K$1:$K$858,Movimientos!$C$1:$C$858,"Soweto",Movimientos!$B$1:$B$858,"&lt;="&amp;$B76)</f>
        <v>1454589.72</v>
      </c>
      <c r="N76" s="24">
        <f>SUMIFS('Saldos Iniciales'!$D:$D,'Saldos Iniciales'!$A:$A,"Green Stone Trust")+SUMIFS(Movimientos!$K$1:$K$858,Movimientos!$C$1:$C$858,"Green Stone Trust",Movimientos!$B$1:$B$858,"&lt;="&amp;$B76)</f>
        <v>1968.99</v>
      </c>
      <c r="O76" s="24">
        <f>SUMIFS('Saldos Iniciales'!$D:$D,'Saldos Iniciales'!$A:$A,"EC Auto")+SUMIFS(Movimientos!$K$1:$K$858,Movimientos!$C$1:$C$858,"EC Auto",Movimientos!$B$1:$B$858,"&lt;="&amp;$B76)</f>
        <v>901.34</v>
      </c>
      <c r="P76" s="24">
        <f>SUMIFS('Saldos Iniciales'!$D:$D,'Saldos Iniciales'!$A:$A,"Arbor Capital Properties")+SUMIFS(Movimientos!$K$1:$K$858,Movimientos!$C$1:$C$858,"Arbor Capital Properties",Movimientos!$B$1:$B$858,"&lt;="&amp;$B76)</f>
        <v>1412.08</v>
      </c>
      <c r="Q76" s="24">
        <f>SUMIFS('Saldos Iniciales'!$D:$D,'Saldos Iniciales'!$A:$A,"2515 Overbrook")+SUMIFS(Movimientos!$K$1:$K$858,Movimientos!$C$1:$C$858,"2515 Overbrook",Movimientos!$B$1:$B$858,"&lt;="&amp;$B76)</f>
        <v>22347.56999999996</v>
      </c>
      <c r="R76" s="24">
        <f>SUMIFS('Saldos Iniciales'!$D:$D,'Saldos Iniciales'!$A:$A,"112 Florida Ave")+SUMIFS(Movimientos!$K$1:$K$858,Movimientos!$C$1:$C$858,"112 Florida Ave",Movimientos!$B$1:$B$858,"&lt;="&amp;$B76)</f>
        <v>6522.8000000000029</v>
      </c>
      <c r="S76" s="24">
        <f>SUMIFS('Saldos Iniciales'!$D:$D,'Saldos Iniciales'!$A:$A,"3628 Thomas Ave")+SUMIFS(Movimientos!$K$1:$K$858,Movimientos!$C$1:$C$858,"3628 Thomas Ave",Movimientos!$B$1:$B$858,"&lt;="&amp;$B76)</f>
        <v>28485.559999999998</v>
      </c>
      <c r="T76" s="24">
        <f>SUMIFS('Saldos Iniciales'!$D:$D,'Saldos Iniciales'!$A:$A,"Green Harbor Trust")+SUMIFS(Movimientos!$K$1:$K$858,Movimientos!$C$1:$C$858,"Green Harbor Trust",Movimientos!$B$1:$B$858,"&lt;="&amp;$B76)</f>
        <v>345</v>
      </c>
      <c r="U76" s="24">
        <f>SUMIFS('Saldos Iniciales'!$D:$D,'Saldos Iniciales'!$A:$A,"Go Blue")+SUMIFS(Movimientos!$K$1:$K$858,Movimientos!$C$1:$C$858,"Go Blue",Movimientos!$B$1:$B$858,"&lt;="&amp;$B76)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Group")+SUMIFS(Movimientos!$K$1:$K$858,Movimientos!$C$1:$C$858,"CFT Group",Movimientos!$B$1:$B$858,"&lt;="&amp;$B77)</f>
        <v>3363755.7500000005</v>
      </c>
      <c r="D77" s="24">
        <f>SUMIFS('Saldos Iniciales'!$D:$D,'Saldos Iniciales'!$A:$A,"M1B")+SUMIFS(Movimientos!$K$1:$K$858,Movimientos!$C$1:$C$858,"M1B",Movimientos!$B$1:$B$858,"&lt;="&amp;$B77)</f>
        <v>73157.680000000168</v>
      </c>
      <c r="E77" s="24">
        <f>SUMIFS('Saldos Iniciales'!$D:$D,'Saldos Iniciales'!$A:$A,"Durand")+SUMIFS(Movimientos!$K$1:$K$858,Movimientos!$C$1:$C$858,"Durand",Movimientos!$B$1:$B$858,"&lt;="&amp;$B77)</f>
        <v>1669.89</v>
      </c>
      <c r="F77" s="24">
        <f>SUMIFS('Saldos Iniciales'!$D:$D,'Saldos Iniciales'!$A:$A,"A&amp;M Imports")+SUMIFS(Movimientos!$K$1:$K$858,Movimientos!$C$1:$C$858,"A&amp;M Imports",Movimientos!$B$1:$B$858,"&lt;="&amp;$B77)</f>
        <v>1089804.7499999998</v>
      </c>
      <c r="G77" s="24">
        <f>SUMIFS('Saldos Iniciales'!$D:$D,'Saldos Iniciales'!$A:$A,"SSP Capital")+SUMIFS(Movimientos!$K$1:$K$858,Movimientos!$C$1:$C$858,"SSP Capital",Movimientos!$B$1:$B$858,"&lt;="&amp;$B77)</f>
        <v>1856513.4499999993</v>
      </c>
      <c r="H77" s="24">
        <f>SUMIFS('Saldos Iniciales'!$D:$D,'Saldos Iniciales'!$A:$A,"Cross Family Trust")+SUMIFS(Movimientos!$K$1:$K$858,Movimientos!$C$1:$C$858,"Cross Family Trust",Movimientos!$B$1:$B$858,"&lt;="&amp;$B77)</f>
        <v>200496.38</v>
      </c>
      <c r="I77" s="24">
        <f>SUMIFS('Saldos Iniciales'!$D:$D,'Saldos Iniciales'!$A:$A,"Cross Security Trust")+SUMIFS(Movimientos!$K$1:$K$858,Movimientos!$C$1:$C$858,"Cross Security Trust",Movimientos!$B$1:$B$858,"&lt;="&amp;$B77)</f>
        <v>88090.37</v>
      </c>
      <c r="J77" s="24">
        <f>SUMIFS('Saldos Iniciales'!$D:$D,'Saldos Iniciales'!$A:$A,"Electrama")+SUMIFS(Movimientos!$K$1:$K$858,Movimientos!$C$1:$C$858,"Electrama",Movimientos!$B$1:$B$858,"&lt;="&amp;$B77)</f>
        <v>14580.45</v>
      </c>
      <c r="K77" s="24">
        <f>SUMIFS('Saldos Iniciales'!$D:$D,'Saldos Iniciales'!$A:$A,"Sacred Valley Capital")+SUMIFS(Movimientos!$K$1:$K$858,Movimientos!$C$1:$C$858,"Sacred Valley Capital",Movimientos!$B$1:$B$858,"&lt;="&amp;$B77)</f>
        <v>54.400000000000006</v>
      </c>
      <c r="L77" s="24">
        <f>SUMIFS('Saldos Iniciales'!$D:$D,'Saldos Iniciales'!$A:$A,"YWC Capital")+SUMIFS(Movimientos!$K$1:$K$858,Movimientos!$C$1:$C$858,"YWC Capital",Movimientos!$B$1:$B$858,"&lt;="&amp;$B77)</f>
        <v>2207.8200000000002</v>
      </c>
      <c r="M77" s="24">
        <f>SUMIFS('Saldos Iniciales'!$D:$D,'Saldos Iniciales'!$A:$A,"Soweto")+SUMIFS(Movimientos!$K$1:$K$858,Movimientos!$C$1:$C$858,"Soweto",Movimientos!$B$1:$B$858,"&lt;="&amp;$B77)</f>
        <v>1454589.72</v>
      </c>
      <c r="N77" s="24">
        <f>SUMIFS('Saldos Iniciales'!$D:$D,'Saldos Iniciales'!$A:$A,"Green Stone Trust")+SUMIFS(Movimientos!$K$1:$K$858,Movimientos!$C$1:$C$858,"Green Stone Trust",Movimientos!$B$1:$B$858,"&lt;="&amp;$B77)</f>
        <v>1968.99</v>
      </c>
      <c r="O77" s="24">
        <f>SUMIFS('Saldos Iniciales'!$D:$D,'Saldos Iniciales'!$A:$A,"EC Auto")+SUMIFS(Movimientos!$K$1:$K$858,Movimientos!$C$1:$C$858,"EC Auto",Movimientos!$B$1:$B$858,"&lt;="&amp;$B77)</f>
        <v>901.34</v>
      </c>
      <c r="P77" s="24">
        <f>SUMIFS('Saldos Iniciales'!$D:$D,'Saldos Iniciales'!$A:$A,"Arbor Capital Properties")+SUMIFS(Movimientos!$K$1:$K$858,Movimientos!$C$1:$C$858,"Arbor Capital Properties",Movimientos!$B$1:$B$858,"&lt;="&amp;$B77)</f>
        <v>1412.08</v>
      </c>
      <c r="Q77" s="24">
        <f>SUMIFS('Saldos Iniciales'!$D:$D,'Saldos Iniciales'!$A:$A,"2515 Overbrook")+SUMIFS(Movimientos!$K$1:$K$858,Movimientos!$C$1:$C$858,"2515 Overbrook",Movimientos!$B$1:$B$858,"&lt;="&amp;$B77)</f>
        <v>22347.56999999996</v>
      </c>
      <c r="R77" s="24">
        <f>SUMIFS('Saldos Iniciales'!$D:$D,'Saldos Iniciales'!$A:$A,"112 Florida Ave")+SUMIFS(Movimientos!$K$1:$K$858,Movimientos!$C$1:$C$858,"112 Florida Ave",Movimientos!$B$1:$B$858,"&lt;="&amp;$B77)</f>
        <v>6522.8000000000029</v>
      </c>
      <c r="S77" s="24">
        <f>SUMIFS('Saldos Iniciales'!$D:$D,'Saldos Iniciales'!$A:$A,"3628 Thomas Ave")+SUMIFS(Movimientos!$K$1:$K$858,Movimientos!$C$1:$C$858,"3628 Thomas Ave",Movimientos!$B$1:$B$858,"&lt;="&amp;$B77)</f>
        <v>28485.559999999998</v>
      </c>
      <c r="T77" s="24">
        <f>SUMIFS('Saldos Iniciales'!$D:$D,'Saldos Iniciales'!$A:$A,"Green Harbor Trust")+SUMIFS(Movimientos!$K$1:$K$858,Movimientos!$C$1:$C$858,"Green Harbor Trust",Movimientos!$B$1:$B$858,"&lt;="&amp;$B77)</f>
        <v>345</v>
      </c>
      <c r="U77" s="24">
        <f>SUMIFS('Saldos Iniciales'!$D:$D,'Saldos Iniciales'!$A:$A,"Go Blue")+SUMIFS(Movimientos!$K$1:$K$858,Movimientos!$C$1:$C$858,"Go Blue",Movimientos!$B$1:$B$858,"&lt;="&amp;$B77)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Group")+SUMIFS(Movimientos!$K$1:$K$858,Movimientos!$C$1:$C$858,"CFT Group",Movimientos!$B$1:$B$858,"&lt;="&amp;$B78)</f>
        <v>3110339.0700000008</v>
      </c>
      <c r="D78" s="24">
        <f>SUMIFS('Saldos Iniciales'!$D:$D,'Saldos Iniciales'!$A:$A,"M1B")+SUMIFS(Movimientos!$K$1:$K$858,Movimientos!$C$1:$C$858,"M1B",Movimientos!$B$1:$B$858,"&lt;="&amp;$B78)</f>
        <v>73157.680000000168</v>
      </c>
      <c r="E78" s="24">
        <f>SUMIFS('Saldos Iniciales'!$D:$D,'Saldos Iniciales'!$A:$A,"Durand")+SUMIFS(Movimientos!$K$1:$K$858,Movimientos!$C$1:$C$858,"Durand",Movimientos!$B$1:$B$858,"&lt;="&amp;$B78)</f>
        <v>1669.89</v>
      </c>
      <c r="F78" s="24">
        <f>SUMIFS('Saldos Iniciales'!$D:$D,'Saldos Iniciales'!$A:$A,"A&amp;M Imports")+SUMIFS(Movimientos!$K$1:$K$858,Movimientos!$C$1:$C$858,"A&amp;M Imports",Movimientos!$B$1:$B$858,"&lt;="&amp;$B78)</f>
        <v>1029804.7499999998</v>
      </c>
      <c r="G78" s="24">
        <f>SUMIFS('Saldos Iniciales'!$D:$D,'Saldos Iniciales'!$A:$A,"SSP Capital")+SUMIFS(Movimientos!$K$1:$K$858,Movimientos!$C$1:$C$858,"SSP Capital",Movimientos!$B$1:$B$858,"&lt;="&amp;$B78)</f>
        <v>1678189.7499999995</v>
      </c>
      <c r="H78" s="24">
        <f>SUMIFS('Saldos Iniciales'!$D:$D,'Saldos Iniciales'!$A:$A,"Cross Family Trust")+SUMIFS(Movimientos!$K$1:$K$858,Movimientos!$C$1:$C$858,"Cross Family Trust",Movimientos!$B$1:$B$858,"&lt;="&amp;$B78)</f>
        <v>200496.38</v>
      </c>
      <c r="I78" s="24">
        <f>SUMIFS('Saldos Iniciales'!$D:$D,'Saldos Iniciales'!$A:$A,"Cross Security Trust")+SUMIFS(Movimientos!$K$1:$K$858,Movimientos!$C$1:$C$858,"Cross Security Trust",Movimientos!$B$1:$B$858,"&lt;="&amp;$B78)</f>
        <v>88090.37</v>
      </c>
      <c r="J78" s="24">
        <f>SUMIFS('Saldos Iniciales'!$D:$D,'Saldos Iniciales'!$A:$A,"Electrama")+SUMIFS(Movimientos!$K$1:$K$858,Movimientos!$C$1:$C$858,"Electrama",Movimientos!$B$1:$B$858,"&lt;="&amp;$B78)</f>
        <v>14580.45</v>
      </c>
      <c r="K78" s="24">
        <f>SUMIFS('Saldos Iniciales'!$D:$D,'Saldos Iniciales'!$A:$A,"Sacred Valley Capital")+SUMIFS(Movimientos!$K$1:$K$858,Movimientos!$C$1:$C$858,"Sacred Valley Capital",Movimientos!$B$1:$B$858,"&lt;="&amp;$B78)</f>
        <v>54.400000000000006</v>
      </c>
      <c r="L78" s="24">
        <f>SUMIFS('Saldos Iniciales'!$D:$D,'Saldos Iniciales'!$A:$A,"YWC Capital")+SUMIFS(Movimientos!$K$1:$K$858,Movimientos!$C$1:$C$858,"YWC Capital",Movimientos!$B$1:$B$858,"&lt;="&amp;$B78)</f>
        <v>2207.8200000000002</v>
      </c>
      <c r="M78" s="24">
        <f>SUMIFS('Saldos Iniciales'!$D:$D,'Saldos Iniciales'!$A:$A,"Soweto")+SUMIFS(Movimientos!$K$1:$K$858,Movimientos!$C$1:$C$858,"Soweto",Movimientos!$B$1:$B$858,"&lt;="&amp;$B78)</f>
        <v>1454589.72</v>
      </c>
      <c r="N78" s="24">
        <f>SUMIFS('Saldos Iniciales'!$D:$D,'Saldos Iniciales'!$A:$A,"Green Stone Trust")+SUMIFS(Movimientos!$K$1:$K$858,Movimientos!$C$1:$C$858,"Green Stone Trust",Movimientos!$B$1:$B$858,"&lt;="&amp;$B78)</f>
        <v>1968.99</v>
      </c>
      <c r="O78" s="24">
        <f>SUMIFS('Saldos Iniciales'!$D:$D,'Saldos Iniciales'!$A:$A,"EC Auto")+SUMIFS(Movimientos!$K$1:$K$858,Movimientos!$C$1:$C$858,"EC Auto",Movimientos!$B$1:$B$858,"&lt;="&amp;$B78)</f>
        <v>901.34</v>
      </c>
      <c r="P78" s="24">
        <f>SUMIFS('Saldos Iniciales'!$D:$D,'Saldos Iniciales'!$A:$A,"Arbor Capital Properties")+SUMIFS(Movimientos!$K$1:$K$858,Movimientos!$C$1:$C$858,"Arbor Capital Properties",Movimientos!$B$1:$B$858,"&lt;="&amp;$B78)</f>
        <v>1412.08</v>
      </c>
      <c r="Q78" s="24">
        <f>SUMIFS('Saldos Iniciales'!$D:$D,'Saldos Iniciales'!$A:$A,"2515 Overbrook")+SUMIFS(Movimientos!$K$1:$K$858,Movimientos!$C$1:$C$858,"2515 Overbrook",Movimientos!$B$1:$B$858,"&lt;="&amp;$B78)</f>
        <v>22347.56999999996</v>
      </c>
      <c r="R78" s="24">
        <f>SUMIFS('Saldos Iniciales'!$D:$D,'Saldos Iniciales'!$A:$A,"112 Florida Ave")+SUMIFS(Movimientos!$K$1:$K$858,Movimientos!$C$1:$C$858,"112 Florida Ave",Movimientos!$B$1:$B$858,"&lt;="&amp;$B78)</f>
        <v>3522.8000000000029</v>
      </c>
      <c r="S78" s="24">
        <f>SUMIFS('Saldos Iniciales'!$D:$D,'Saldos Iniciales'!$A:$A,"3628 Thomas Ave")+SUMIFS(Movimientos!$K$1:$K$858,Movimientos!$C$1:$C$858,"3628 Thomas Ave",Movimientos!$B$1:$B$858,"&lt;="&amp;$B78)</f>
        <v>28485.559999999998</v>
      </c>
      <c r="T78" s="24">
        <f>SUMIFS('Saldos Iniciales'!$D:$D,'Saldos Iniciales'!$A:$A,"Green Harbor Trust")+SUMIFS(Movimientos!$K$1:$K$858,Movimientos!$C$1:$C$858,"Green Harbor Trust",Movimientos!$B$1:$B$858,"&lt;="&amp;$B78)</f>
        <v>345</v>
      </c>
      <c r="U78" s="24">
        <f>SUMIFS('Saldos Iniciales'!$D:$D,'Saldos Iniciales'!$A:$A,"Go Blue")+SUMIFS(Movimientos!$K$1:$K$858,Movimientos!$C$1:$C$858,"Go Blue",Movimientos!$B$1:$B$858,"&lt;="&amp;$B78)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Group")+SUMIFS(Movimientos!$K$1:$K$858,Movimientos!$C$1:$C$858,"CFT Group",Movimientos!$B$1:$B$858,"&lt;="&amp;$B79)</f>
        <v>3110339.0700000008</v>
      </c>
      <c r="D79" s="24">
        <f>SUMIFS('Saldos Iniciales'!$D:$D,'Saldos Iniciales'!$A:$A,"M1B")+SUMIFS(Movimientos!$K$1:$K$858,Movimientos!$C$1:$C$858,"M1B",Movimientos!$B$1:$B$858,"&lt;="&amp;$B79)</f>
        <v>73157.680000000168</v>
      </c>
      <c r="E79" s="24">
        <f>SUMIFS('Saldos Iniciales'!$D:$D,'Saldos Iniciales'!$A:$A,"Durand")+SUMIFS(Movimientos!$K$1:$K$858,Movimientos!$C$1:$C$858,"Durand",Movimientos!$B$1:$B$858,"&lt;="&amp;$B79)</f>
        <v>1669.89</v>
      </c>
      <c r="F79" s="24">
        <f>SUMIFS('Saldos Iniciales'!$D:$D,'Saldos Iniciales'!$A:$A,"A&amp;M Imports")+SUMIFS(Movimientos!$K$1:$K$858,Movimientos!$C$1:$C$858,"A&amp;M Imports",Movimientos!$B$1:$B$858,"&lt;="&amp;$B79)</f>
        <v>1029804.7499999998</v>
      </c>
      <c r="G79" s="24">
        <f>SUMIFS('Saldos Iniciales'!$D:$D,'Saldos Iniciales'!$A:$A,"SSP Capital")+SUMIFS(Movimientos!$K$1:$K$858,Movimientos!$C$1:$C$858,"SSP Capital",Movimientos!$B$1:$B$858,"&lt;="&amp;$B79)</f>
        <v>1748189.7499999995</v>
      </c>
      <c r="H79" s="24">
        <f>SUMIFS('Saldos Iniciales'!$D:$D,'Saldos Iniciales'!$A:$A,"Cross Family Trust")+SUMIFS(Movimientos!$K$1:$K$858,Movimientos!$C$1:$C$858,"Cross Family Trust",Movimientos!$B$1:$B$858,"&lt;="&amp;$B79)</f>
        <v>200496.38</v>
      </c>
      <c r="I79" s="24">
        <f>SUMIFS('Saldos Iniciales'!$D:$D,'Saldos Iniciales'!$A:$A,"Cross Security Trust")+SUMIFS(Movimientos!$K$1:$K$858,Movimientos!$C$1:$C$858,"Cross Security Trust",Movimientos!$B$1:$B$858,"&lt;="&amp;$B79)</f>
        <v>88090.37</v>
      </c>
      <c r="J79" s="24">
        <f>SUMIFS('Saldos Iniciales'!$D:$D,'Saldos Iniciales'!$A:$A,"Electrama")+SUMIFS(Movimientos!$K$1:$K$858,Movimientos!$C$1:$C$858,"Electrama",Movimientos!$B$1:$B$858,"&lt;="&amp;$B79)</f>
        <v>14580.45</v>
      </c>
      <c r="K79" s="24">
        <f>SUMIFS('Saldos Iniciales'!$D:$D,'Saldos Iniciales'!$A:$A,"Sacred Valley Capital")+SUMIFS(Movimientos!$K$1:$K$858,Movimientos!$C$1:$C$858,"Sacred Valley Capital",Movimientos!$B$1:$B$858,"&lt;="&amp;$B79)</f>
        <v>54.400000000000006</v>
      </c>
      <c r="L79" s="24">
        <f>SUMIFS('Saldos Iniciales'!$D:$D,'Saldos Iniciales'!$A:$A,"YWC Capital")+SUMIFS(Movimientos!$K$1:$K$858,Movimientos!$C$1:$C$858,"YWC Capital",Movimientos!$B$1:$B$858,"&lt;="&amp;$B79)</f>
        <v>2207.8200000000002</v>
      </c>
      <c r="M79" s="24">
        <f>SUMIFS('Saldos Iniciales'!$D:$D,'Saldos Iniciales'!$A:$A,"Soweto")+SUMIFS(Movimientos!$K$1:$K$858,Movimientos!$C$1:$C$858,"Soweto",Movimientos!$B$1:$B$858,"&lt;="&amp;$B79)</f>
        <v>1454589.72</v>
      </c>
      <c r="N79" s="24">
        <f>SUMIFS('Saldos Iniciales'!$D:$D,'Saldos Iniciales'!$A:$A,"Green Stone Trust")+SUMIFS(Movimientos!$K$1:$K$858,Movimientos!$C$1:$C$858,"Green Stone Trust",Movimientos!$B$1:$B$858,"&lt;="&amp;$B79)</f>
        <v>1968.99</v>
      </c>
      <c r="O79" s="24">
        <f>SUMIFS('Saldos Iniciales'!$D:$D,'Saldos Iniciales'!$A:$A,"EC Auto")+SUMIFS(Movimientos!$K$1:$K$858,Movimientos!$C$1:$C$858,"EC Auto",Movimientos!$B$1:$B$858,"&lt;="&amp;$B79)</f>
        <v>901.34</v>
      </c>
      <c r="P79" s="24">
        <f>SUMIFS('Saldos Iniciales'!$D:$D,'Saldos Iniciales'!$A:$A,"Arbor Capital Properties")+SUMIFS(Movimientos!$K$1:$K$858,Movimientos!$C$1:$C$858,"Arbor Capital Properties",Movimientos!$B$1:$B$858,"&lt;="&amp;$B79)</f>
        <v>1412.08</v>
      </c>
      <c r="Q79" s="24">
        <f>SUMIFS('Saldos Iniciales'!$D:$D,'Saldos Iniciales'!$A:$A,"2515 Overbrook")+SUMIFS(Movimientos!$K$1:$K$858,Movimientos!$C$1:$C$858,"2515 Overbrook",Movimientos!$B$1:$B$858,"&lt;="&amp;$B79)</f>
        <v>22347.56999999996</v>
      </c>
      <c r="R79" s="24">
        <f>SUMIFS('Saldos Iniciales'!$D:$D,'Saldos Iniciales'!$A:$A,"112 Florida Ave")+SUMIFS(Movimientos!$K$1:$K$858,Movimientos!$C$1:$C$858,"112 Florida Ave",Movimientos!$B$1:$B$858,"&lt;="&amp;$B79)</f>
        <v>3522.8000000000029</v>
      </c>
      <c r="S79" s="24">
        <f>SUMIFS('Saldos Iniciales'!$D:$D,'Saldos Iniciales'!$A:$A,"3628 Thomas Ave")+SUMIFS(Movimientos!$K$1:$K$858,Movimientos!$C$1:$C$858,"3628 Thomas Ave",Movimientos!$B$1:$B$858,"&lt;="&amp;$B79)</f>
        <v>28485.559999999998</v>
      </c>
      <c r="T79" s="24">
        <f>SUMIFS('Saldos Iniciales'!$D:$D,'Saldos Iniciales'!$A:$A,"Green Harbor Trust")+SUMIFS(Movimientos!$K$1:$K$858,Movimientos!$C$1:$C$858,"Green Harbor Trust",Movimientos!$B$1:$B$858,"&lt;="&amp;$B79)</f>
        <v>345</v>
      </c>
      <c r="U79" s="24">
        <f>SUMIFS('Saldos Iniciales'!$D:$D,'Saldos Iniciales'!$A:$A,"Go Blue")+SUMIFS(Movimientos!$K$1:$K$858,Movimientos!$C$1:$C$858,"Go Blue",Movimientos!$B$1:$B$858,"&lt;="&amp;$B79)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Group")+SUMIFS(Movimientos!$K$1:$K$858,Movimientos!$C$1:$C$858,"CFT Group",Movimientos!$B$1:$B$858,"&lt;="&amp;$B80)</f>
        <v>3110339.0700000008</v>
      </c>
      <c r="D80" s="24">
        <f>SUMIFS('Saldos Iniciales'!$D:$D,'Saldos Iniciales'!$A:$A,"M1B")+SUMIFS(Movimientos!$K$1:$K$858,Movimientos!$C$1:$C$858,"M1B",Movimientos!$B$1:$B$858,"&lt;="&amp;$B80)</f>
        <v>73157.680000000168</v>
      </c>
      <c r="E80" s="24">
        <f>SUMIFS('Saldos Iniciales'!$D:$D,'Saldos Iniciales'!$A:$A,"Durand")+SUMIFS(Movimientos!$K$1:$K$858,Movimientos!$C$1:$C$858,"Durand",Movimientos!$B$1:$B$858,"&lt;="&amp;$B80)</f>
        <v>1669.89</v>
      </c>
      <c r="F80" s="24">
        <f>SUMIFS('Saldos Iniciales'!$D:$D,'Saldos Iniciales'!$A:$A,"A&amp;M Imports")+SUMIFS(Movimientos!$K$1:$K$858,Movimientos!$C$1:$C$858,"A&amp;M Imports",Movimientos!$B$1:$B$858,"&lt;="&amp;$B80)</f>
        <v>1029804.7499999998</v>
      </c>
      <c r="G80" s="24">
        <f>SUMIFS('Saldos Iniciales'!$D:$D,'Saldos Iniciales'!$A:$A,"SSP Capital")+SUMIFS(Movimientos!$K$1:$K$858,Movimientos!$C$1:$C$858,"SSP Capital",Movimientos!$B$1:$B$858,"&lt;="&amp;$B80)</f>
        <v>1748189.7499999995</v>
      </c>
      <c r="H80" s="24">
        <f>SUMIFS('Saldos Iniciales'!$D:$D,'Saldos Iniciales'!$A:$A,"Cross Family Trust")+SUMIFS(Movimientos!$K$1:$K$858,Movimientos!$C$1:$C$858,"Cross Family Trust",Movimientos!$B$1:$B$858,"&lt;="&amp;$B80)</f>
        <v>200496.38</v>
      </c>
      <c r="I80" s="24">
        <f>SUMIFS('Saldos Iniciales'!$D:$D,'Saldos Iniciales'!$A:$A,"Cross Security Trust")+SUMIFS(Movimientos!$K$1:$K$858,Movimientos!$C$1:$C$858,"Cross Security Trust",Movimientos!$B$1:$B$858,"&lt;="&amp;$B80)</f>
        <v>88090.37</v>
      </c>
      <c r="J80" s="24">
        <f>SUMIFS('Saldos Iniciales'!$D:$D,'Saldos Iniciales'!$A:$A,"Electrama")+SUMIFS(Movimientos!$K$1:$K$858,Movimientos!$C$1:$C$858,"Electrama",Movimientos!$B$1:$B$858,"&lt;="&amp;$B80)</f>
        <v>14580.45</v>
      </c>
      <c r="K80" s="24">
        <f>SUMIFS('Saldos Iniciales'!$D:$D,'Saldos Iniciales'!$A:$A,"Sacred Valley Capital")+SUMIFS(Movimientos!$K$1:$K$858,Movimientos!$C$1:$C$858,"Sacred Valley Capital",Movimientos!$B$1:$B$858,"&lt;="&amp;$B80)</f>
        <v>54.400000000000006</v>
      </c>
      <c r="L80" s="24">
        <f>SUMIFS('Saldos Iniciales'!$D:$D,'Saldos Iniciales'!$A:$A,"YWC Capital")+SUMIFS(Movimientos!$K$1:$K$858,Movimientos!$C$1:$C$858,"YWC Capital",Movimientos!$B$1:$B$858,"&lt;="&amp;$B80)</f>
        <v>2207.8200000000002</v>
      </c>
      <c r="M80" s="24">
        <f>SUMIFS('Saldos Iniciales'!$D:$D,'Saldos Iniciales'!$A:$A,"Soweto")+SUMIFS(Movimientos!$K$1:$K$858,Movimientos!$C$1:$C$858,"Soweto",Movimientos!$B$1:$B$858,"&lt;="&amp;$B80)</f>
        <v>1454589.72</v>
      </c>
      <c r="N80" s="24">
        <f>SUMIFS('Saldos Iniciales'!$D:$D,'Saldos Iniciales'!$A:$A,"Green Stone Trust")+SUMIFS(Movimientos!$K$1:$K$858,Movimientos!$C$1:$C$858,"Green Stone Trust",Movimientos!$B$1:$B$858,"&lt;="&amp;$B80)</f>
        <v>1968.99</v>
      </c>
      <c r="O80" s="24">
        <f>SUMIFS('Saldos Iniciales'!$D:$D,'Saldos Iniciales'!$A:$A,"EC Auto")+SUMIFS(Movimientos!$K$1:$K$858,Movimientos!$C$1:$C$858,"EC Auto",Movimientos!$B$1:$B$858,"&lt;="&amp;$B80)</f>
        <v>901.34</v>
      </c>
      <c r="P80" s="24">
        <f>SUMIFS('Saldos Iniciales'!$D:$D,'Saldos Iniciales'!$A:$A,"Arbor Capital Properties")+SUMIFS(Movimientos!$K$1:$K$858,Movimientos!$C$1:$C$858,"Arbor Capital Properties",Movimientos!$B$1:$B$858,"&lt;="&amp;$B80)</f>
        <v>1412.08</v>
      </c>
      <c r="Q80" s="24">
        <f>SUMIFS('Saldos Iniciales'!$D:$D,'Saldos Iniciales'!$A:$A,"2515 Overbrook")+SUMIFS(Movimientos!$K$1:$K$858,Movimientos!$C$1:$C$858,"2515 Overbrook",Movimientos!$B$1:$B$858,"&lt;="&amp;$B80)</f>
        <v>22347.56999999996</v>
      </c>
      <c r="R80" s="24">
        <f>SUMIFS('Saldos Iniciales'!$D:$D,'Saldos Iniciales'!$A:$A,"112 Florida Ave")+SUMIFS(Movimientos!$K$1:$K$858,Movimientos!$C$1:$C$858,"112 Florida Ave",Movimientos!$B$1:$B$858,"&lt;="&amp;$B80)</f>
        <v>3522.8000000000029</v>
      </c>
      <c r="S80" s="24">
        <f>SUMIFS('Saldos Iniciales'!$D:$D,'Saldos Iniciales'!$A:$A,"3628 Thomas Ave")+SUMIFS(Movimientos!$K$1:$K$858,Movimientos!$C$1:$C$858,"3628 Thomas Ave",Movimientos!$B$1:$B$858,"&lt;="&amp;$B80)</f>
        <v>28485.559999999998</v>
      </c>
      <c r="T80" s="24">
        <f>SUMIFS('Saldos Iniciales'!$D:$D,'Saldos Iniciales'!$A:$A,"Green Harbor Trust")+SUMIFS(Movimientos!$K$1:$K$858,Movimientos!$C$1:$C$858,"Green Harbor Trust",Movimientos!$B$1:$B$858,"&lt;="&amp;$B80)</f>
        <v>345</v>
      </c>
      <c r="U80" s="24">
        <f>SUMIFS('Saldos Iniciales'!$D:$D,'Saldos Iniciales'!$A:$A,"Go Blue")+SUMIFS(Movimientos!$K$1:$K$858,Movimientos!$C$1:$C$858,"Go Blue",Movimientos!$B$1:$B$858,"&lt;="&amp;$B80)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Group")+SUMIFS(Movimientos!$K$1:$K$858,Movimientos!$C$1:$C$858,"CFT Group",Movimientos!$B$1:$B$858,"&lt;="&amp;$B81)</f>
        <v>3110339.0700000008</v>
      </c>
      <c r="D81" s="24">
        <f>SUMIFS('Saldos Iniciales'!$D:$D,'Saldos Iniciales'!$A:$A,"M1B")+SUMIFS(Movimientos!$K$1:$K$858,Movimientos!$C$1:$C$858,"M1B",Movimientos!$B$1:$B$858,"&lt;="&amp;$B81)</f>
        <v>73157.680000000168</v>
      </c>
      <c r="E81" s="24">
        <f>SUMIFS('Saldos Iniciales'!$D:$D,'Saldos Iniciales'!$A:$A,"Durand")+SUMIFS(Movimientos!$K$1:$K$858,Movimientos!$C$1:$C$858,"Durand",Movimientos!$B$1:$B$858,"&lt;="&amp;$B81)</f>
        <v>1669.89</v>
      </c>
      <c r="F81" s="24">
        <f>SUMIFS('Saldos Iniciales'!$D:$D,'Saldos Iniciales'!$A:$A,"A&amp;M Imports")+SUMIFS(Movimientos!$K$1:$K$858,Movimientos!$C$1:$C$858,"A&amp;M Imports",Movimientos!$B$1:$B$858,"&lt;="&amp;$B81)</f>
        <v>1029804.7499999998</v>
      </c>
      <c r="G81" s="24">
        <f>SUMIFS('Saldos Iniciales'!$D:$D,'Saldos Iniciales'!$A:$A,"SSP Capital")+SUMIFS(Movimientos!$K$1:$K$858,Movimientos!$C$1:$C$858,"SSP Capital",Movimientos!$B$1:$B$858,"&lt;="&amp;$B81)</f>
        <v>1748189.7499999995</v>
      </c>
      <c r="H81" s="24">
        <f>SUMIFS('Saldos Iniciales'!$D:$D,'Saldos Iniciales'!$A:$A,"Cross Family Trust")+SUMIFS(Movimientos!$K$1:$K$858,Movimientos!$C$1:$C$858,"Cross Family Trust",Movimientos!$B$1:$B$858,"&lt;="&amp;$B81)</f>
        <v>200496.38</v>
      </c>
      <c r="I81" s="24">
        <f>SUMIFS('Saldos Iniciales'!$D:$D,'Saldos Iniciales'!$A:$A,"Cross Security Trust")+SUMIFS(Movimientos!$K$1:$K$858,Movimientos!$C$1:$C$858,"Cross Security Trust",Movimientos!$B$1:$B$858,"&lt;="&amp;$B81)</f>
        <v>88090.37</v>
      </c>
      <c r="J81" s="24">
        <f>SUMIFS('Saldos Iniciales'!$D:$D,'Saldos Iniciales'!$A:$A,"Electrama")+SUMIFS(Movimientos!$K$1:$K$858,Movimientos!$C$1:$C$858,"Electrama",Movimientos!$B$1:$B$858,"&lt;="&amp;$B81)</f>
        <v>14580.45</v>
      </c>
      <c r="K81" s="24">
        <f>SUMIFS('Saldos Iniciales'!$D:$D,'Saldos Iniciales'!$A:$A,"Sacred Valley Capital")+SUMIFS(Movimientos!$K$1:$K$858,Movimientos!$C$1:$C$858,"Sacred Valley Capital",Movimientos!$B$1:$B$858,"&lt;="&amp;$B81)</f>
        <v>54.400000000000006</v>
      </c>
      <c r="L81" s="24">
        <f>SUMIFS('Saldos Iniciales'!$D:$D,'Saldos Iniciales'!$A:$A,"YWC Capital")+SUMIFS(Movimientos!$K$1:$K$858,Movimientos!$C$1:$C$858,"YWC Capital",Movimientos!$B$1:$B$858,"&lt;="&amp;$B81)</f>
        <v>2207.8200000000002</v>
      </c>
      <c r="M81" s="24">
        <f>SUMIFS('Saldos Iniciales'!$D:$D,'Saldos Iniciales'!$A:$A,"Soweto")+SUMIFS(Movimientos!$K$1:$K$858,Movimientos!$C$1:$C$858,"Soweto",Movimientos!$B$1:$B$858,"&lt;="&amp;$B81)</f>
        <v>1454589.72</v>
      </c>
      <c r="N81" s="24">
        <f>SUMIFS('Saldos Iniciales'!$D:$D,'Saldos Iniciales'!$A:$A,"Green Stone Trust")+SUMIFS(Movimientos!$K$1:$K$858,Movimientos!$C$1:$C$858,"Green Stone Trust",Movimientos!$B$1:$B$858,"&lt;="&amp;$B81)</f>
        <v>1968.99</v>
      </c>
      <c r="O81" s="24">
        <f>SUMIFS('Saldos Iniciales'!$D:$D,'Saldos Iniciales'!$A:$A,"EC Auto")+SUMIFS(Movimientos!$K$1:$K$858,Movimientos!$C$1:$C$858,"EC Auto",Movimientos!$B$1:$B$858,"&lt;="&amp;$B81)</f>
        <v>901.34</v>
      </c>
      <c r="P81" s="24">
        <f>SUMIFS('Saldos Iniciales'!$D:$D,'Saldos Iniciales'!$A:$A,"Arbor Capital Properties")+SUMIFS(Movimientos!$K$1:$K$858,Movimientos!$C$1:$C$858,"Arbor Capital Properties",Movimientos!$B$1:$B$858,"&lt;="&amp;$B81)</f>
        <v>1412.08</v>
      </c>
      <c r="Q81" s="24">
        <f>SUMIFS('Saldos Iniciales'!$D:$D,'Saldos Iniciales'!$A:$A,"2515 Overbrook")+SUMIFS(Movimientos!$K$1:$K$858,Movimientos!$C$1:$C$858,"2515 Overbrook",Movimientos!$B$1:$B$858,"&lt;="&amp;$B81)</f>
        <v>22347.56999999996</v>
      </c>
      <c r="R81" s="24">
        <f>SUMIFS('Saldos Iniciales'!$D:$D,'Saldos Iniciales'!$A:$A,"112 Florida Ave")+SUMIFS(Movimientos!$K$1:$K$858,Movimientos!$C$1:$C$858,"112 Florida Ave",Movimientos!$B$1:$B$858,"&lt;="&amp;$B81)</f>
        <v>3522.8000000000029</v>
      </c>
      <c r="S81" s="24">
        <f>SUMIFS('Saldos Iniciales'!$D:$D,'Saldos Iniciales'!$A:$A,"3628 Thomas Ave")+SUMIFS(Movimientos!$K$1:$K$858,Movimientos!$C$1:$C$858,"3628 Thomas Ave",Movimientos!$B$1:$B$858,"&lt;="&amp;$B81)</f>
        <v>28485.559999999998</v>
      </c>
      <c r="T81" s="24">
        <f>SUMIFS('Saldos Iniciales'!$D:$D,'Saldos Iniciales'!$A:$A,"Green Harbor Trust")+SUMIFS(Movimientos!$K$1:$K$858,Movimientos!$C$1:$C$858,"Green Harbor Trust",Movimientos!$B$1:$B$858,"&lt;="&amp;$B81)</f>
        <v>345</v>
      </c>
      <c r="U81" s="24">
        <f>SUMIFS('Saldos Iniciales'!$D:$D,'Saldos Iniciales'!$A:$A,"Go Blue")+SUMIFS(Movimientos!$K$1:$K$858,Movimientos!$C$1:$C$858,"Go Blue",Movimientos!$B$1:$B$858,"&lt;="&amp;$B81)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Group")+SUMIFS(Movimientos!$K$1:$K$858,Movimientos!$C$1:$C$858,"CFT Group",Movimientos!$B$1:$B$858,"&lt;="&amp;$B82)</f>
        <v>3110339.0700000008</v>
      </c>
      <c r="D82" s="24">
        <f>SUMIFS('Saldos Iniciales'!$D:$D,'Saldos Iniciales'!$A:$A,"M1B")+SUMIFS(Movimientos!$K$1:$K$858,Movimientos!$C$1:$C$858,"M1B",Movimientos!$B$1:$B$858,"&lt;="&amp;$B82)</f>
        <v>73157.680000000168</v>
      </c>
      <c r="E82" s="24">
        <f>SUMIFS('Saldos Iniciales'!$D:$D,'Saldos Iniciales'!$A:$A,"Durand")+SUMIFS(Movimientos!$K$1:$K$858,Movimientos!$C$1:$C$858,"Durand",Movimientos!$B$1:$B$858,"&lt;="&amp;$B82)</f>
        <v>1669.89</v>
      </c>
      <c r="F82" s="24">
        <f>SUMIFS('Saldos Iniciales'!$D:$D,'Saldos Iniciales'!$A:$A,"A&amp;M Imports")+SUMIFS(Movimientos!$K$1:$K$858,Movimientos!$C$1:$C$858,"A&amp;M Imports",Movimientos!$B$1:$B$858,"&lt;="&amp;$B82)</f>
        <v>1029804.7499999998</v>
      </c>
      <c r="G82" s="24">
        <f>SUMIFS('Saldos Iniciales'!$D:$D,'Saldos Iniciales'!$A:$A,"SSP Capital")+SUMIFS(Movimientos!$K$1:$K$858,Movimientos!$C$1:$C$858,"SSP Capital",Movimientos!$B$1:$B$858,"&lt;="&amp;$B82)</f>
        <v>1744257.8699999994</v>
      </c>
      <c r="H82" s="24">
        <f>SUMIFS('Saldos Iniciales'!$D:$D,'Saldos Iniciales'!$A:$A,"Cross Family Trust")+SUMIFS(Movimientos!$K$1:$K$858,Movimientos!$C$1:$C$858,"Cross Family Trust",Movimientos!$B$1:$B$858,"&lt;="&amp;$B82)</f>
        <v>200496.38</v>
      </c>
      <c r="I82" s="24">
        <f>SUMIFS('Saldos Iniciales'!$D:$D,'Saldos Iniciales'!$A:$A,"Cross Security Trust")+SUMIFS(Movimientos!$K$1:$K$858,Movimientos!$C$1:$C$858,"Cross Security Trust",Movimientos!$B$1:$B$858,"&lt;="&amp;$B82)</f>
        <v>88090.37</v>
      </c>
      <c r="J82" s="24">
        <f>SUMIFS('Saldos Iniciales'!$D:$D,'Saldos Iniciales'!$A:$A,"Electrama")+SUMIFS(Movimientos!$K$1:$K$858,Movimientos!$C$1:$C$858,"Electrama",Movimientos!$B$1:$B$858,"&lt;="&amp;$B82)</f>
        <v>14580.45</v>
      </c>
      <c r="K82" s="24">
        <f>SUMIFS('Saldos Iniciales'!$D:$D,'Saldos Iniciales'!$A:$A,"Sacred Valley Capital")+SUMIFS(Movimientos!$K$1:$K$858,Movimientos!$C$1:$C$858,"Sacred Valley Capital",Movimientos!$B$1:$B$858,"&lt;="&amp;$B82)</f>
        <v>54.400000000000006</v>
      </c>
      <c r="L82" s="24">
        <f>SUMIFS('Saldos Iniciales'!$D:$D,'Saldos Iniciales'!$A:$A,"YWC Capital")+SUMIFS(Movimientos!$K$1:$K$858,Movimientos!$C$1:$C$858,"YWC Capital",Movimientos!$B$1:$B$858,"&lt;="&amp;$B82)</f>
        <v>2207.8200000000002</v>
      </c>
      <c r="M82" s="24">
        <f>SUMIFS('Saldos Iniciales'!$D:$D,'Saldos Iniciales'!$A:$A,"Soweto")+SUMIFS(Movimientos!$K$1:$K$858,Movimientos!$C$1:$C$858,"Soweto",Movimientos!$B$1:$B$858,"&lt;="&amp;$B82)</f>
        <v>1454589.72</v>
      </c>
      <c r="N82" s="24">
        <f>SUMIFS('Saldos Iniciales'!$D:$D,'Saldos Iniciales'!$A:$A,"Green Stone Trust")+SUMIFS(Movimientos!$K$1:$K$858,Movimientos!$C$1:$C$858,"Green Stone Trust",Movimientos!$B$1:$B$858,"&lt;="&amp;$B82)</f>
        <v>1968.99</v>
      </c>
      <c r="O82" s="24">
        <f>SUMIFS('Saldos Iniciales'!$D:$D,'Saldos Iniciales'!$A:$A,"EC Auto")+SUMIFS(Movimientos!$K$1:$K$858,Movimientos!$C$1:$C$858,"EC Auto",Movimientos!$B$1:$B$858,"&lt;="&amp;$B82)</f>
        <v>901.34</v>
      </c>
      <c r="P82" s="24">
        <f>SUMIFS('Saldos Iniciales'!$D:$D,'Saldos Iniciales'!$A:$A,"Arbor Capital Properties")+SUMIFS(Movimientos!$K$1:$K$858,Movimientos!$C$1:$C$858,"Arbor Capital Properties",Movimientos!$B$1:$B$858,"&lt;="&amp;$B82)</f>
        <v>1412.08</v>
      </c>
      <c r="Q82" s="24">
        <f>SUMIFS('Saldos Iniciales'!$D:$D,'Saldos Iniciales'!$A:$A,"2515 Overbrook")+SUMIFS(Movimientos!$K$1:$K$858,Movimientos!$C$1:$C$858,"2515 Overbrook",Movimientos!$B$1:$B$858,"&lt;="&amp;$B82)</f>
        <v>22347.56999999996</v>
      </c>
      <c r="R82" s="24">
        <f>SUMIFS('Saldos Iniciales'!$D:$D,'Saldos Iniciales'!$A:$A,"112 Florida Ave")+SUMIFS(Movimientos!$K$1:$K$858,Movimientos!$C$1:$C$858,"112 Florida Ave",Movimientos!$B$1:$B$858,"&lt;="&amp;$B82)</f>
        <v>3522.8000000000029</v>
      </c>
      <c r="S82" s="24">
        <f>SUMIFS('Saldos Iniciales'!$D:$D,'Saldos Iniciales'!$A:$A,"3628 Thomas Ave")+SUMIFS(Movimientos!$K$1:$K$858,Movimientos!$C$1:$C$858,"3628 Thomas Ave",Movimientos!$B$1:$B$858,"&lt;="&amp;$B82)</f>
        <v>28485.559999999998</v>
      </c>
      <c r="T82" s="24">
        <f>SUMIFS('Saldos Iniciales'!$D:$D,'Saldos Iniciales'!$A:$A,"Green Harbor Trust")+SUMIFS(Movimientos!$K$1:$K$858,Movimientos!$C$1:$C$858,"Green Harbor Trust",Movimientos!$B$1:$B$858,"&lt;="&amp;$B82)</f>
        <v>345</v>
      </c>
      <c r="U82" s="24">
        <f>SUMIFS('Saldos Iniciales'!$D:$D,'Saldos Iniciales'!$A:$A,"Go Blue")+SUMIFS(Movimientos!$K$1:$K$858,Movimientos!$C$1:$C$858,"Go Blue",Movimientos!$B$1:$B$858,"&lt;="&amp;$B82)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Group")+SUMIFS(Movimientos!$K$1:$K$858,Movimientos!$C$1:$C$858,"CFT Group",Movimientos!$B$1:$B$858,"&lt;="&amp;$B83)</f>
        <v>3110339.0700000008</v>
      </c>
      <c r="D83" s="24">
        <f>SUMIFS('Saldos Iniciales'!$D:$D,'Saldos Iniciales'!$A:$A,"M1B")+SUMIFS(Movimientos!$K$1:$K$858,Movimientos!$C$1:$C$858,"M1B",Movimientos!$B$1:$B$858,"&lt;="&amp;$B83)</f>
        <v>73157.680000000168</v>
      </c>
      <c r="E83" s="24">
        <f>SUMIFS('Saldos Iniciales'!$D:$D,'Saldos Iniciales'!$A:$A,"Durand")+SUMIFS(Movimientos!$K$1:$K$858,Movimientos!$C$1:$C$858,"Durand",Movimientos!$B$1:$B$858,"&lt;="&amp;$B83)</f>
        <v>1669.89</v>
      </c>
      <c r="F83" s="24">
        <f>SUMIFS('Saldos Iniciales'!$D:$D,'Saldos Iniciales'!$A:$A,"A&amp;M Imports")+SUMIFS(Movimientos!$K$1:$K$858,Movimientos!$C$1:$C$858,"A&amp;M Imports",Movimientos!$B$1:$B$858,"&lt;="&amp;$B83)</f>
        <v>1029804.7499999998</v>
      </c>
      <c r="G83" s="24">
        <f>SUMIFS('Saldos Iniciales'!$D:$D,'Saldos Iniciales'!$A:$A,"SSP Capital")+SUMIFS(Movimientos!$K$1:$K$858,Movimientos!$C$1:$C$858,"SSP Capital",Movimientos!$B$1:$B$858,"&lt;="&amp;$B83)</f>
        <v>1744257.8699999994</v>
      </c>
      <c r="H83" s="24">
        <f>SUMIFS('Saldos Iniciales'!$D:$D,'Saldos Iniciales'!$A:$A,"Cross Family Trust")+SUMIFS(Movimientos!$K$1:$K$858,Movimientos!$C$1:$C$858,"Cross Family Trust",Movimientos!$B$1:$B$858,"&lt;="&amp;$B83)</f>
        <v>200496.38</v>
      </c>
      <c r="I83" s="24">
        <f>SUMIFS('Saldos Iniciales'!$D:$D,'Saldos Iniciales'!$A:$A,"Cross Security Trust")+SUMIFS(Movimientos!$K$1:$K$858,Movimientos!$C$1:$C$858,"Cross Security Trust",Movimientos!$B$1:$B$858,"&lt;="&amp;$B83)</f>
        <v>88090.37</v>
      </c>
      <c r="J83" s="24">
        <f>SUMIFS('Saldos Iniciales'!$D:$D,'Saldos Iniciales'!$A:$A,"Electrama")+SUMIFS(Movimientos!$K$1:$K$858,Movimientos!$C$1:$C$858,"Electrama",Movimientos!$B$1:$B$858,"&lt;="&amp;$B83)</f>
        <v>14580.45</v>
      </c>
      <c r="K83" s="24">
        <f>SUMIFS('Saldos Iniciales'!$D:$D,'Saldos Iniciales'!$A:$A,"Sacred Valley Capital")+SUMIFS(Movimientos!$K$1:$K$858,Movimientos!$C$1:$C$858,"Sacred Valley Capital",Movimientos!$B$1:$B$858,"&lt;="&amp;$B83)</f>
        <v>54.400000000000006</v>
      </c>
      <c r="L83" s="24">
        <f>SUMIFS('Saldos Iniciales'!$D:$D,'Saldos Iniciales'!$A:$A,"YWC Capital")+SUMIFS(Movimientos!$K$1:$K$858,Movimientos!$C$1:$C$858,"YWC Capital",Movimientos!$B$1:$B$858,"&lt;="&amp;$B83)</f>
        <v>2207.8200000000002</v>
      </c>
      <c r="M83" s="24">
        <f>SUMIFS('Saldos Iniciales'!$D:$D,'Saldos Iniciales'!$A:$A,"Soweto")+SUMIFS(Movimientos!$K$1:$K$858,Movimientos!$C$1:$C$858,"Soweto",Movimientos!$B$1:$B$858,"&lt;="&amp;$B83)</f>
        <v>1454589.72</v>
      </c>
      <c r="N83" s="24">
        <f>SUMIFS('Saldos Iniciales'!$D:$D,'Saldos Iniciales'!$A:$A,"Green Stone Trust")+SUMIFS(Movimientos!$K$1:$K$858,Movimientos!$C$1:$C$858,"Green Stone Trust",Movimientos!$B$1:$B$858,"&lt;="&amp;$B83)</f>
        <v>1968.99</v>
      </c>
      <c r="O83" s="24">
        <f>SUMIFS('Saldos Iniciales'!$D:$D,'Saldos Iniciales'!$A:$A,"EC Auto")+SUMIFS(Movimientos!$K$1:$K$858,Movimientos!$C$1:$C$858,"EC Auto",Movimientos!$B$1:$B$858,"&lt;="&amp;$B83)</f>
        <v>901.34</v>
      </c>
      <c r="P83" s="24">
        <f>SUMIFS('Saldos Iniciales'!$D:$D,'Saldos Iniciales'!$A:$A,"Arbor Capital Properties")+SUMIFS(Movimientos!$K$1:$K$858,Movimientos!$C$1:$C$858,"Arbor Capital Properties",Movimientos!$B$1:$B$858,"&lt;="&amp;$B83)</f>
        <v>1412.08</v>
      </c>
      <c r="Q83" s="24">
        <f>SUMIFS('Saldos Iniciales'!$D:$D,'Saldos Iniciales'!$A:$A,"2515 Overbrook")+SUMIFS(Movimientos!$K$1:$K$858,Movimientos!$C$1:$C$858,"2515 Overbrook",Movimientos!$B$1:$B$858,"&lt;="&amp;$B83)</f>
        <v>22347.56999999996</v>
      </c>
      <c r="R83" s="24">
        <f>SUMIFS('Saldos Iniciales'!$D:$D,'Saldos Iniciales'!$A:$A,"112 Florida Ave")+SUMIFS(Movimientos!$K$1:$K$858,Movimientos!$C$1:$C$858,"112 Florida Ave",Movimientos!$B$1:$B$858,"&lt;="&amp;$B83)</f>
        <v>3522.8000000000029</v>
      </c>
      <c r="S83" s="24">
        <f>SUMIFS('Saldos Iniciales'!$D:$D,'Saldos Iniciales'!$A:$A,"3628 Thomas Ave")+SUMIFS(Movimientos!$K$1:$K$858,Movimientos!$C$1:$C$858,"3628 Thomas Ave",Movimientos!$B$1:$B$858,"&lt;="&amp;$B83)</f>
        <v>28485.559999999998</v>
      </c>
      <c r="T83" s="24">
        <f>SUMIFS('Saldos Iniciales'!$D:$D,'Saldos Iniciales'!$A:$A,"Green Harbor Trust")+SUMIFS(Movimientos!$K$1:$K$858,Movimientos!$C$1:$C$858,"Green Harbor Trust",Movimientos!$B$1:$B$858,"&lt;="&amp;$B83)</f>
        <v>345</v>
      </c>
      <c r="U83" s="24">
        <f>SUMIFS('Saldos Iniciales'!$D:$D,'Saldos Iniciales'!$A:$A,"Go Blue")+SUMIFS(Movimientos!$K$1:$K$858,Movimientos!$C$1:$C$858,"Go Blue",Movimientos!$B$1:$B$858,"&lt;="&amp;$B83)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Group")+SUMIFS(Movimientos!$K$1:$K$858,Movimientos!$C$1:$C$858,"CFT Group",Movimientos!$B$1:$B$858,"&lt;="&amp;$B84)</f>
        <v>2255755.7400000007</v>
      </c>
      <c r="D84" s="24">
        <f>SUMIFS('Saldos Iniciales'!$D:$D,'Saldos Iniciales'!$A:$A,"M1B")+SUMIFS(Movimientos!$K$1:$K$858,Movimientos!$C$1:$C$858,"M1B",Movimientos!$B$1:$B$858,"&lt;="&amp;$B84)</f>
        <v>73157.680000000168</v>
      </c>
      <c r="E84" s="24">
        <f>SUMIFS('Saldos Iniciales'!$D:$D,'Saldos Iniciales'!$A:$A,"Durand")+SUMIFS(Movimientos!$K$1:$K$858,Movimientos!$C$1:$C$858,"Durand",Movimientos!$B$1:$B$858,"&lt;="&amp;$B84)</f>
        <v>1669.89</v>
      </c>
      <c r="F84" s="24">
        <f>SUMIFS('Saldos Iniciales'!$D:$D,'Saldos Iniciales'!$A:$A,"A&amp;M Imports")+SUMIFS(Movimientos!$K$1:$K$858,Movimientos!$C$1:$C$858,"A&amp;M Imports",Movimientos!$B$1:$B$858,"&lt;="&amp;$B84)</f>
        <v>1002754.9899999998</v>
      </c>
      <c r="G84" s="24">
        <f>SUMIFS('Saldos Iniciales'!$D:$D,'Saldos Iniciales'!$A:$A,"SSP Capital")+SUMIFS(Movimientos!$K$1:$K$858,Movimientos!$C$1:$C$858,"SSP Capital",Movimientos!$B$1:$B$858,"&lt;="&amp;$B84)</f>
        <v>2022877.8699999996</v>
      </c>
      <c r="H84" s="24">
        <f>SUMIFS('Saldos Iniciales'!$D:$D,'Saldos Iniciales'!$A:$A,"Cross Family Trust")+SUMIFS(Movimientos!$K$1:$K$858,Movimientos!$C$1:$C$858,"Cross Family Trust",Movimientos!$B$1:$B$858,"&lt;="&amp;$B84)</f>
        <v>200496.38</v>
      </c>
      <c r="I84" s="24">
        <f>SUMIFS('Saldos Iniciales'!$D:$D,'Saldos Iniciales'!$A:$A,"Cross Security Trust")+SUMIFS(Movimientos!$K$1:$K$858,Movimientos!$C$1:$C$858,"Cross Security Trust",Movimientos!$B$1:$B$858,"&lt;="&amp;$B84)</f>
        <v>88090.37</v>
      </c>
      <c r="J84" s="24">
        <f>SUMIFS('Saldos Iniciales'!$D:$D,'Saldos Iniciales'!$A:$A,"Electrama")+SUMIFS(Movimientos!$K$1:$K$858,Movimientos!$C$1:$C$858,"Electrama",Movimientos!$B$1:$B$858,"&lt;="&amp;$B84)</f>
        <v>14580.45</v>
      </c>
      <c r="K84" s="24">
        <f>SUMIFS('Saldos Iniciales'!$D:$D,'Saldos Iniciales'!$A:$A,"Sacred Valley Capital")+SUMIFS(Movimientos!$K$1:$K$858,Movimientos!$C$1:$C$858,"Sacred Valley Capital",Movimientos!$B$1:$B$858,"&lt;="&amp;$B84)</f>
        <v>54.400000000000006</v>
      </c>
      <c r="L84" s="24">
        <f>SUMIFS('Saldos Iniciales'!$D:$D,'Saldos Iniciales'!$A:$A,"YWC Capital")+SUMIFS(Movimientos!$K$1:$K$858,Movimientos!$C$1:$C$858,"YWC Capital",Movimientos!$B$1:$B$858,"&lt;="&amp;$B84)</f>
        <v>2207.8200000000002</v>
      </c>
      <c r="M84" s="24">
        <f>SUMIFS('Saldos Iniciales'!$D:$D,'Saldos Iniciales'!$A:$A,"Soweto")+SUMIFS(Movimientos!$K$1:$K$858,Movimientos!$C$1:$C$858,"Soweto",Movimientos!$B$1:$B$858,"&lt;="&amp;$B84)</f>
        <v>1454589.72</v>
      </c>
      <c r="N84" s="24">
        <f>SUMIFS('Saldos Iniciales'!$D:$D,'Saldos Iniciales'!$A:$A,"Green Stone Trust")+SUMIFS(Movimientos!$K$1:$K$858,Movimientos!$C$1:$C$858,"Green Stone Trust",Movimientos!$B$1:$B$858,"&lt;="&amp;$B84)</f>
        <v>1968.99</v>
      </c>
      <c r="O84" s="24">
        <f>SUMIFS('Saldos Iniciales'!$D:$D,'Saldos Iniciales'!$A:$A,"EC Auto")+SUMIFS(Movimientos!$K$1:$K$858,Movimientos!$C$1:$C$858,"EC Auto",Movimientos!$B$1:$B$858,"&lt;="&amp;$B84)</f>
        <v>901.34</v>
      </c>
      <c r="P84" s="24">
        <f>SUMIFS('Saldos Iniciales'!$D:$D,'Saldos Iniciales'!$A:$A,"Arbor Capital Properties")+SUMIFS(Movimientos!$K$1:$K$858,Movimientos!$C$1:$C$858,"Arbor Capital Properties",Movimientos!$B$1:$B$858,"&lt;="&amp;$B84)</f>
        <v>1412.08</v>
      </c>
      <c r="Q84" s="24">
        <f>SUMIFS('Saldos Iniciales'!$D:$D,'Saldos Iniciales'!$A:$A,"2515 Overbrook")+SUMIFS(Movimientos!$K$1:$K$858,Movimientos!$C$1:$C$858,"2515 Overbrook",Movimientos!$B$1:$B$858,"&lt;="&amp;$B84)</f>
        <v>22347.56999999996</v>
      </c>
      <c r="R84" s="24">
        <f>SUMIFS('Saldos Iniciales'!$D:$D,'Saldos Iniciales'!$A:$A,"112 Florida Ave")+SUMIFS(Movimientos!$K$1:$K$858,Movimientos!$C$1:$C$858,"112 Florida Ave",Movimientos!$B$1:$B$858,"&lt;="&amp;$B84)</f>
        <v>3522.8000000000029</v>
      </c>
      <c r="S84" s="24">
        <f>SUMIFS('Saldos Iniciales'!$D:$D,'Saldos Iniciales'!$A:$A,"3628 Thomas Ave")+SUMIFS(Movimientos!$K$1:$K$858,Movimientos!$C$1:$C$858,"3628 Thomas Ave",Movimientos!$B$1:$B$858,"&lt;="&amp;$B84)</f>
        <v>28485.559999999998</v>
      </c>
      <c r="T84" s="24">
        <f>SUMIFS('Saldos Iniciales'!$D:$D,'Saldos Iniciales'!$A:$A,"Green Harbor Trust")+SUMIFS(Movimientos!$K$1:$K$858,Movimientos!$C$1:$C$858,"Green Harbor Trust",Movimientos!$B$1:$B$858,"&lt;="&amp;$B84)</f>
        <v>345</v>
      </c>
      <c r="U84" s="24">
        <f>SUMIFS('Saldos Iniciales'!$D:$D,'Saldos Iniciales'!$A:$A,"Go Blue")+SUMIFS(Movimientos!$K$1:$K$858,Movimientos!$C$1:$C$858,"Go Blue",Movimientos!$B$1:$B$858,"&lt;="&amp;$B84)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Group")+SUMIFS(Movimientos!$K$1:$K$858,Movimientos!$C$1:$C$858,"CFT Group",Movimientos!$B$1:$B$858,"&lt;="&amp;$B85)</f>
        <v>2255750.7400000007</v>
      </c>
      <c r="D85" s="24">
        <f>SUMIFS('Saldos Iniciales'!$D:$D,'Saldos Iniciales'!$A:$A,"M1B")+SUMIFS(Movimientos!$K$1:$K$858,Movimientos!$C$1:$C$858,"M1B",Movimientos!$B$1:$B$858,"&lt;="&amp;$B85)</f>
        <v>73157.680000000168</v>
      </c>
      <c r="E85" s="24">
        <f>SUMIFS('Saldos Iniciales'!$D:$D,'Saldos Iniciales'!$A:$A,"Durand")+SUMIFS(Movimientos!$K$1:$K$858,Movimientos!$C$1:$C$858,"Durand",Movimientos!$B$1:$B$858,"&lt;="&amp;$B85)</f>
        <v>1669.89</v>
      </c>
      <c r="F85" s="24">
        <f>SUMIFS('Saldos Iniciales'!$D:$D,'Saldos Iniciales'!$A:$A,"A&amp;M Imports")+SUMIFS(Movimientos!$K$1:$K$858,Movimientos!$C$1:$C$858,"A&amp;M Imports",Movimientos!$B$1:$B$858,"&lt;="&amp;$B85)</f>
        <v>1042744.6899999997</v>
      </c>
      <c r="G85" s="24">
        <f>SUMIFS('Saldos Iniciales'!$D:$D,'Saldos Iniciales'!$A:$A,"SSP Capital")+SUMIFS(Movimientos!$K$1:$K$858,Movimientos!$C$1:$C$858,"SSP Capital",Movimientos!$B$1:$B$858,"&lt;="&amp;$B85)</f>
        <v>2022877.8699999996</v>
      </c>
      <c r="H85" s="24">
        <f>SUMIFS('Saldos Iniciales'!$D:$D,'Saldos Iniciales'!$A:$A,"Cross Family Trust")+SUMIFS(Movimientos!$K$1:$K$858,Movimientos!$C$1:$C$858,"Cross Family Trust",Movimientos!$B$1:$B$858,"&lt;="&amp;$B85)</f>
        <v>200496.38</v>
      </c>
      <c r="I85" s="24">
        <f>SUMIFS('Saldos Iniciales'!$D:$D,'Saldos Iniciales'!$A:$A,"Cross Security Trust")+SUMIFS(Movimientos!$K$1:$K$858,Movimientos!$C$1:$C$858,"Cross Security Trust",Movimientos!$B$1:$B$858,"&lt;="&amp;$B85)</f>
        <v>88090.37</v>
      </c>
      <c r="J85" s="24">
        <f>SUMIFS('Saldos Iniciales'!$D:$D,'Saldos Iniciales'!$A:$A,"Electrama")+SUMIFS(Movimientos!$K$1:$K$858,Movimientos!$C$1:$C$858,"Electrama",Movimientos!$B$1:$B$858,"&lt;="&amp;$B85)</f>
        <v>14580.45</v>
      </c>
      <c r="K85" s="24">
        <f>SUMIFS('Saldos Iniciales'!$D:$D,'Saldos Iniciales'!$A:$A,"Sacred Valley Capital")+SUMIFS(Movimientos!$K$1:$K$858,Movimientos!$C$1:$C$858,"Sacred Valley Capital",Movimientos!$B$1:$B$858,"&lt;="&amp;$B85)</f>
        <v>54.400000000000006</v>
      </c>
      <c r="L85" s="24">
        <f>SUMIFS('Saldos Iniciales'!$D:$D,'Saldos Iniciales'!$A:$A,"YWC Capital")+SUMIFS(Movimientos!$K$1:$K$858,Movimientos!$C$1:$C$858,"YWC Capital",Movimientos!$B$1:$B$858,"&lt;="&amp;$B85)</f>
        <v>2207.8200000000002</v>
      </c>
      <c r="M85" s="24">
        <f>SUMIFS('Saldos Iniciales'!$D:$D,'Saldos Iniciales'!$A:$A,"Soweto")+SUMIFS(Movimientos!$K$1:$K$858,Movimientos!$C$1:$C$858,"Soweto",Movimientos!$B$1:$B$858,"&lt;="&amp;$B85)</f>
        <v>1454589.72</v>
      </c>
      <c r="N85" s="24">
        <f>SUMIFS('Saldos Iniciales'!$D:$D,'Saldos Iniciales'!$A:$A,"Green Stone Trust")+SUMIFS(Movimientos!$K$1:$K$858,Movimientos!$C$1:$C$858,"Green Stone Trust",Movimientos!$B$1:$B$858,"&lt;="&amp;$B85)</f>
        <v>1968.99</v>
      </c>
      <c r="O85" s="24">
        <f>SUMIFS('Saldos Iniciales'!$D:$D,'Saldos Iniciales'!$A:$A,"EC Auto")+SUMIFS(Movimientos!$K$1:$K$858,Movimientos!$C$1:$C$858,"EC Auto",Movimientos!$B$1:$B$858,"&lt;="&amp;$B85)</f>
        <v>901.34</v>
      </c>
      <c r="P85" s="24">
        <f>SUMIFS('Saldos Iniciales'!$D:$D,'Saldos Iniciales'!$A:$A,"Arbor Capital Properties")+SUMIFS(Movimientos!$K$1:$K$858,Movimientos!$C$1:$C$858,"Arbor Capital Properties",Movimientos!$B$1:$B$858,"&lt;="&amp;$B85)</f>
        <v>1412.08</v>
      </c>
      <c r="Q85" s="24">
        <f>SUMIFS('Saldos Iniciales'!$D:$D,'Saldos Iniciales'!$A:$A,"2515 Overbrook")+SUMIFS(Movimientos!$K$1:$K$858,Movimientos!$C$1:$C$858,"2515 Overbrook",Movimientos!$B$1:$B$858,"&lt;="&amp;$B85)</f>
        <v>22347.56999999996</v>
      </c>
      <c r="R85" s="24">
        <f>SUMIFS('Saldos Iniciales'!$D:$D,'Saldos Iniciales'!$A:$A,"112 Florida Ave")+SUMIFS(Movimientos!$K$1:$K$858,Movimientos!$C$1:$C$858,"112 Florida Ave",Movimientos!$B$1:$B$858,"&lt;="&amp;$B85)</f>
        <v>18522.800000000003</v>
      </c>
      <c r="S85" s="24">
        <f>SUMIFS('Saldos Iniciales'!$D:$D,'Saldos Iniciales'!$A:$A,"3628 Thomas Ave")+SUMIFS(Movimientos!$K$1:$K$858,Movimientos!$C$1:$C$858,"3628 Thomas Ave",Movimientos!$B$1:$B$858,"&lt;="&amp;$B85)</f>
        <v>28485.559999999998</v>
      </c>
      <c r="T85" s="24">
        <f>SUMIFS('Saldos Iniciales'!$D:$D,'Saldos Iniciales'!$A:$A,"Green Harbor Trust")+SUMIFS(Movimientos!$K$1:$K$858,Movimientos!$C$1:$C$858,"Green Harbor Trust",Movimientos!$B$1:$B$858,"&lt;="&amp;$B85)</f>
        <v>345</v>
      </c>
      <c r="U85" s="24">
        <f>SUMIFS('Saldos Iniciales'!$D:$D,'Saldos Iniciales'!$A:$A,"Go Blue")+SUMIFS(Movimientos!$K$1:$K$858,Movimientos!$C$1:$C$858,"Go Blue",Movimientos!$B$1:$B$858,"&lt;="&amp;$B85)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Group")+SUMIFS(Movimientos!$K$1:$K$858,Movimientos!$C$1:$C$858,"CFT Group",Movimientos!$B$1:$B$858,"&lt;="&amp;$B86)</f>
        <v>2255750.7400000007</v>
      </c>
      <c r="D86" s="24">
        <f>SUMIFS('Saldos Iniciales'!$D:$D,'Saldos Iniciales'!$A:$A,"M1B")+SUMIFS(Movimientos!$K$1:$K$858,Movimientos!$C$1:$C$858,"M1B",Movimientos!$B$1:$B$858,"&lt;="&amp;$B86)</f>
        <v>73157.680000000168</v>
      </c>
      <c r="E86" s="24">
        <f>SUMIFS('Saldos Iniciales'!$D:$D,'Saldos Iniciales'!$A:$A,"Durand")+SUMIFS(Movimientos!$K$1:$K$858,Movimientos!$C$1:$C$858,"Durand",Movimientos!$B$1:$B$858,"&lt;="&amp;$B86)</f>
        <v>1669.89</v>
      </c>
      <c r="F86" s="24">
        <f>SUMIFS('Saldos Iniciales'!$D:$D,'Saldos Iniciales'!$A:$A,"A&amp;M Imports")+SUMIFS(Movimientos!$K$1:$K$858,Movimientos!$C$1:$C$858,"A&amp;M Imports",Movimientos!$B$1:$B$858,"&lt;="&amp;$B86)</f>
        <v>1042744.6899999997</v>
      </c>
      <c r="G86" s="24">
        <f>SUMIFS('Saldos Iniciales'!$D:$D,'Saldos Iniciales'!$A:$A,"SSP Capital")+SUMIFS(Movimientos!$K$1:$K$858,Movimientos!$C$1:$C$858,"SSP Capital",Movimientos!$B$1:$B$858,"&lt;="&amp;$B86)</f>
        <v>2022877.8699999996</v>
      </c>
      <c r="H86" s="24">
        <f>SUMIFS('Saldos Iniciales'!$D:$D,'Saldos Iniciales'!$A:$A,"Cross Family Trust")+SUMIFS(Movimientos!$K$1:$K$858,Movimientos!$C$1:$C$858,"Cross Family Trust",Movimientos!$B$1:$B$858,"&lt;="&amp;$B86)</f>
        <v>200496.38</v>
      </c>
      <c r="I86" s="24">
        <f>SUMIFS('Saldos Iniciales'!$D:$D,'Saldos Iniciales'!$A:$A,"Cross Security Trust")+SUMIFS(Movimientos!$K$1:$K$858,Movimientos!$C$1:$C$858,"Cross Security Trust",Movimientos!$B$1:$B$858,"&lt;="&amp;$B86)</f>
        <v>88090.37</v>
      </c>
      <c r="J86" s="24">
        <f>SUMIFS('Saldos Iniciales'!$D:$D,'Saldos Iniciales'!$A:$A,"Electrama")+SUMIFS(Movimientos!$K$1:$K$858,Movimientos!$C$1:$C$858,"Electrama",Movimientos!$B$1:$B$858,"&lt;="&amp;$B86)</f>
        <v>14580.45</v>
      </c>
      <c r="K86" s="24">
        <f>SUMIFS('Saldos Iniciales'!$D:$D,'Saldos Iniciales'!$A:$A,"Sacred Valley Capital")+SUMIFS(Movimientos!$K$1:$K$858,Movimientos!$C$1:$C$858,"Sacred Valley Capital",Movimientos!$B$1:$B$858,"&lt;="&amp;$B86)</f>
        <v>54.400000000000006</v>
      </c>
      <c r="L86" s="24">
        <f>SUMIFS('Saldos Iniciales'!$D:$D,'Saldos Iniciales'!$A:$A,"YWC Capital")+SUMIFS(Movimientos!$K$1:$K$858,Movimientos!$C$1:$C$858,"YWC Capital",Movimientos!$B$1:$B$858,"&lt;="&amp;$B86)</f>
        <v>2207.8200000000002</v>
      </c>
      <c r="M86" s="24">
        <f>SUMIFS('Saldos Iniciales'!$D:$D,'Saldos Iniciales'!$A:$A,"Soweto")+SUMIFS(Movimientos!$K$1:$K$858,Movimientos!$C$1:$C$858,"Soweto",Movimientos!$B$1:$B$858,"&lt;="&amp;$B86)</f>
        <v>1454589.72</v>
      </c>
      <c r="N86" s="24">
        <f>SUMIFS('Saldos Iniciales'!$D:$D,'Saldos Iniciales'!$A:$A,"Green Stone Trust")+SUMIFS(Movimientos!$K$1:$K$858,Movimientos!$C$1:$C$858,"Green Stone Trust",Movimientos!$B$1:$B$858,"&lt;="&amp;$B86)</f>
        <v>1968.99</v>
      </c>
      <c r="O86" s="24">
        <f>SUMIFS('Saldos Iniciales'!$D:$D,'Saldos Iniciales'!$A:$A,"EC Auto")+SUMIFS(Movimientos!$K$1:$K$858,Movimientos!$C$1:$C$858,"EC Auto",Movimientos!$B$1:$B$858,"&lt;="&amp;$B86)</f>
        <v>901.34</v>
      </c>
      <c r="P86" s="24">
        <f>SUMIFS('Saldos Iniciales'!$D:$D,'Saldos Iniciales'!$A:$A,"Arbor Capital Properties")+SUMIFS(Movimientos!$K$1:$K$858,Movimientos!$C$1:$C$858,"Arbor Capital Properties",Movimientos!$B$1:$B$858,"&lt;="&amp;$B86)</f>
        <v>1412.08</v>
      </c>
      <c r="Q86" s="24">
        <f>SUMIFS('Saldos Iniciales'!$D:$D,'Saldos Iniciales'!$A:$A,"2515 Overbrook")+SUMIFS(Movimientos!$K$1:$K$858,Movimientos!$C$1:$C$858,"2515 Overbrook",Movimientos!$B$1:$B$858,"&lt;="&amp;$B86)</f>
        <v>22347.56999999996</v>
      </c>
      <c r="R86" s="24">
        <f>SUMIFS('Saldos Iniciales'!$D:$D,'Saldos Iniciales'!$A:$A,"112 Florida Ave")+SUMIFS(Movimientos!$K$1:$K$858,Movimientos!$C$1:$C$858,"112 Florida Ave",Movimientos!$B$1:$B$858,"&lt;="&amp;$B86)</f>
        <v>18522.800000000003</v>
      </c>
      <c r="S86" s="24">
        <f>SUMIFS('Saldos Iniciales'!$D:$D,'Saldos Iniciales'!$A:$A,"3628 Thomas Ave")+SUMIFS(Movimientos!$K$1:$K$858,Movimientos!$C$1:$C$858,"3628 Thomas Ave",Movimientos!$B$1:$B$858,"&lt;="&amp;$B86)</f>
        <v>28485.559999999998</v>
      </c>
      <c r="T86" s="24">
        <f>SUMIFS('Saldos Iniciales'!$D:$D,'Saldos Iniciales'!$A:$A,"Green Harbor Trust")+SUMIFS(Movimientos!$K$1:$K$858,Movimientos!$C$1:$C$858,"Green Harbor Trust",Movimientos!$B$1:$B$858,"&lt;="&amp;$B86)</f>
        <v>345</v>
      </c>
      <c r="U86" s="24">
        <f>SUMIFS('Saldos Iniciales'!$D:$D,'Saldos Iniciales'!$A:$A,"Go Blue")+SUMIFS(Movimientos!$K$1:$K$858,Movimientos!$C$1:$C$858,"Go Blue",Movimientos!$B$1:$B$858,"&lt;="&amp;$B86)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Group")+SUMIFS(Movimientos!$K$1:$K$858,Movimientos!$C$1:$C$858,"CFT Group",Movimientos!$B$1:$B$858,"&lt;="&amp;$B87)</f>
        <v>2255750.7400000007</v>
      </c>
      <c r="D87" s="24">
        <f>SUMIFS('Saldos Iniciales'!$D:$D,'Saldos Iniciales'!$A:$A,"M1B")+SUMIFS(Movimientos!$K$1:$K$858,Movimientos!$C$1:$C$858,"M1B",Movimientos!$B$1:$B$858,"&lt;="&amp;$B87)</f>
        <v>73157.680000000168</v>
      </c>
      <c r="E87" s="24">
        <f>SUMIFS('Saldos Iniciales'!$D:$D,'Saldos Iniciales'!$A:$A,"Durand")+SUMIFS(Movimientos!$K$1:$K$858,Movimientos!$C$1:$C$858,"Durand",Movimientos!$B$1:$B$858,"&lt;="&amp;$B87)</f>
        <v>1669.89</v>
      </c>
      <c r="F87" s="24">
        <f>SUMIFS('Saldos Iniciales'!$D:$D,'Saldos Iniciales'!$A:$A,"A&amp;M Imports")+SUMIFS(Movimientos!$K$1:$K$858,Movimientos!$C$1:$C$858,"A&amp;M Imports",Movimientos!$B$1:$B$858,"&lt;="&amp;$B87)</f>
        <v>1042744.6899999997</v>
      </c>
      <c r="G87" s="24">
        <f>SUMIFS('Saldos Iniciales'!$D:$D,'Saldos Iniciales'!$A:$A,"SSP Capital")+SUMIFS(Movimientos!$K$1:$K$858,Movimientos!$C$1:$C$858,"SSP Capital",Movimientos!$B$1:$B$858,"&lt;="&amp;$B87)</f>
        <v>2022877.8699999996</v>
      </c>
      <c r="H87" s="24">
        <f>SUMIFS('Saldos Iniciales'!$D:$D,'Saldos Iniciales'!$A:$A,"Cross Family Trust")+SUMIFS(Movimientos!$K$1:$K$858,Movimientos!$C$1:$C$858,"Cross Family Trust",Movimientos!$B$1:$B$858,"&lt;="&amp;$B87)</f>
        <v>200496.38</v>
      </c>
      <c r="I87" s="24">
        <f>SUMIFS('Saldos Iniciales'!$D:$D,'Saldos Iniciales'!$A:$A,"Cross Security Trust")+SUMIFS(Movimientos!$K$1:$K$858,Movimientos!$C$1:$C$858,"Cross Security Trust",Movimientos!$B$1:$B$858,"&lt;="&amp;$B87)</f>
        <v>88090.37</v>
      </c>
      <c r="J87" s="24">
        <f>SUMIFS('Saldos Iniciales'!$D:$D,'Saldos Iniciales'!$A:$A,"Electrama")+SUMIFS(Movimientos!$K$1:$K$858,Movimientos!$C$1:$C$858,"Electrama",Movimientos!$B$1:$B$858,"&lt;="&amp;$B87)</f>
        <v>14580.45</v>
      </c>
      <c r="K87" s="24">
        <f>SUMIFS('Saldos Iniciales'!$D:$D,'Saldos Iniciales'!$A:$A,"Sacred Valley Capital")+SUMIFS(Movimientos!$K$1:$K$858,Movimientos!$C$1:$C$858,"Sacred Valley Capital",Movimientos!$B$1:$B$858,"&lt;="&amp;$B87)</f>
        <v>54.400000000000006</v>
      </c>
      <c r="L87" s="24">
        <f>SUMIFS('Saldos Iniciales'!$D:$D,'Saldos Iniciales'!$A:$A,"YWC Capital")+SUMIFS(Movimientos!$K$1:$K$858,Movimientos!$C$1:$C$858,"YWC Capital",Movimientos!$B$1:$B$858,"&lt;="&amp;$B87)</f>
        <v>2207.8200000000002</v>
      </c>
      <c r="M87" s="24">
        <f>SUMIFS('Saldos Iniciales'!$D:$D,'Saldos Iniciales'!$A:$A,"Soweto")+SUMIFS(Movimientos!$K$1:$K$858,Movimientos!$C$1:$C$858,"Soweto",Movimientos!$B$1:$B$858,"&lt;="&amp;$B87)</f>
        <v>1454589.72</v>
      </c>
      <c r="N87" s="24">
        <f>SUMIFS('Saldos Iniciales'!$D:$D,'Saldos Iniciales'!$A:$A,"Green Stone Trust")+SUMIFS(Movimientos!$K$1:$K$858,Movimientos!$C$1:$C$858,"Green Stone Trust",Movimientos!$B$1:$B$858,"&lt;="&amp;$B87)</f>
        <v>1968.99</v>
      </c>
      <c r="O87" s="24">
        <f>SUMIFS('Saldos Iniciales'!$D:$D,'Saldos Iniciales'!$A:$A,"EC Auto")+SUMIFS(Movimientos!$K$1:$K$858,Movimientos!$C$1:$C$858,"EC Auto",Movimientos!$B$1:$B$858,"&lt;="&amp;$B87)</f>
        <v>901.34</v>
      </c>
      <c r="P87" s="24">
        <f>SUMIFS('Saldos Iniciales'!$D:$D,'Saldos Iniciales'!$A:$A,"Arbor Capital Properties")+SUMIFS(Movimientos!$K$1:$K$858,Movimientos!$C$1:$C$858,"Arbor Capital Properties",Movimientos!$B$1:$B$858,"&lt;="&amp;$B87)</f>
        <v>1412.08</v>
      </c>
      <c r="Q87" s="24">
        <f>SUMIFS('Saldos Iniciales'!$D:$D,'Saldos Iniciales'!$A:$A,"2515 Overbrook")+SUMIFS(Movimientos!$K$1:$K$858,Movimientos!$C$1:$C$858,"2515 Overbrook",Movimientos!$B$1:$B$858,"&lt;="&amp;$B87)</f>
        <v>22347.56999999996</v>
      </c>
      <c r="R87" s="24">
        <f>SUMIFS('Saldos Iniciales'!$D:$D,'Saldos Iniciales'!$A:$A,"112 Florida Ave")+SUMIFS(Movimientos!$K$1:$K$858,Movimientos!$C$1:$C$858,"112 Florida Ave",Movimientos!$B$1:$B$858,"&lt;="&amp;$B87)</f>
        <v>18522.800000000003</v>
      </c>
      <c r="S87" s="24">
        <f>SUMIFS('Saldos Iniciales'!$D:$D,'Saldos Iniciales'!$A:$A,"3628 Thomas Ave")+SUMIFS(Movimientos!$K$1:$K$858,Movimientos!$C$1:$C$858,"3628 Thomas Ave",Movimientos!$B$1:$B$858,"&lt;="&amp;$B87)</f>
        <v>28485.559999999998</v>
      </c>
      <c r="T87" s="24">
        <f>SUMIFS('Saldos Iniciales'!$D:$D,'Saldos Iniciales'!$A:$A,"Green Harbor Trust")+SUMIFS(Movimientos!$K$1:$K$858,Movimientos!$C$1:$C$858,"Green Harbor Trust",Movimientos!$B$1:$B$858,"&lt;="&amp;$B87)</f>
        <v>345</v>
      </c>
      <c r="U87" s="24">
        <f>SUMIFS('Saldos Iniciales'!$D:$D,'Saldos Iniciales'!$A:$A,"Go Blue")+SUMIFS(Movimientos!$K$1:$K$858,Movimientos!$C$1:$C$858,"Go Blue",Movimientos!$B$1:$B$858,"&lt;="&amp;$B87)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Group")+SUMIFS(Movimientos!$K$1:$K$858,Movimientos!$C$1:$C$858,"CFT Group",Movimientos!$B$1:$B$858,"&lt;="&amp;$B88)</f>
        <v>2255750.7400000007</v>
      </c>
      <c r="D88" s="24">
        <f>SUMIFS('Saldos Iniciales'!$D:$D,'Saldos Iniciales'!$A:$A,"M1B")+SUMIFS(Movimientos!$K$1:$K$858,Movimientos!$C$1:$C$858,"M1B",Movimientos!$B$1:$B$858,"&lt;="&amp;$B88)</f>
        <v>73157.680000000168</v>
      </c>
      <c r="E88" s="24">
        <f>SUMIFS('Saldos Iniciales'!$D:$D,'Saldos Iniciales'!$A:$A,"Durand")+SUMIFS(Movimientos!$K$1:$K$858,Movimientos!$C$1:$C$858,"Durand",Movimientos!$B$1:$B$858,"&lt;="&amp;$B88)</f>
        <v>1669.89</v>
      </c>
      <c r="F88" s="24">
        <f>SUMIFS('Saldos Iniciales'!$D:$D,'Saldos Iniciales'!$A:$A,"A&amp;M Imports")+SUMIFS(Movimientos!$K$1:$K$858,Movimientos!$C$1:$C$858,"A&amp;M Imports",Movimientos!$B$1:$B$858,"&lt;="&amp;$B88)</f>
        <v>1042744.6899999997</v>
      </c>
      <c r="G88" s="24">
        <f>SUMIFS('Saldos Iniciales'!$D:$D,'Saldos Iniciales'!$A:$A,"SSP Capital")+SUMIFS(Movimientos!$K$1:$K$858,Movimientos!$C$1:$C$858,"SSP Capital",Movimientos!$B$1:$B$858,"&lt;="&amp;$B88)</f>
        <v>2022877.8699999996</v>
      </c>
      <c r="H88" s="24">
        <f>SUMIFS('Saldos Iniciales'!$D:$D,'Saldos Iniciales'!$A:$A,"Cross Family Trust")+SUMIFS(Movimientos!$K$1:$K$858,Movimientos!$C$1:$C$858,"Cross Family Trust",Movimientos!$B$1:$B$858,"&lt;="&amp;$B88)</f>
        <v>200496.38</v>
      </c>
      <c r="I88" s="24">
        <f>SUMIFS('Saldos Iniciales'!$D:$D,'Saldos Iniciales'!$A:$A,"Cross Security Trust")+SUMIFS(Movimientos!$K$1:$K$858,Movimientos!$C$1:$C$858,"Cross Security Trust",Movimientos!$B$1:$B$858,"&lt;="&amp;$B88)</f>
        <v>88090.37</v>
      </c>
      <c r="J88" s="24">
        <f>SUMIFS('Saldos Iniciales'!$D:$D,'Saldos Iniciales'!$A:$A,"Electrama")+SUMIFS(Movimientos!$K$1:$K$858,Movimientos!$C$1:$C$858,"Electrama",Movimientos!$B$1:$B$858,"&lt;="&amp;$B88)</f>
        <v>14580.45</v>
      </c>
      <c r="K88" s="24">
        <f>SUMIFS('Saldos Iniciales'!$D:$D,'Saldos Iniciales'!$A:$A,"Sacred Valley Capital")+SUMIFS(Movimientos!$K$1:$K$858,Movimientos!$C$1:$C$858,"Sacred Valley Capital",Movimientos!$B$1:$B$858,"&lt;="&amp;$B88)</f>
        <v>54.400000000000006</v>
      </c>
      <c r="L88" s="24">
        <f>SUMIFS('Saldos Iniciales'!$D:$D,'Saldos Iniciales'!$A:$A,"YWC Capital")+SUMIFS(Movimientos!$K$1:$K$858,Movimientos!$C$1:$C$858,"YWC Capital",Movimientos!$B$1:$B$858,"&lt;="&amp;$B88)</f>
        <v>2207.8200000000002</v>
      </c>
      <c r="M88" s="24">
        <f>SUMIFS('Saldos Iniciales'!$D:$D,'Saldos Iniciales'!$A:$A,"Soweto")+SUMIFS(Movimientos!$K$1:$K$858,Movimientos!$C$1:$C$858,"Soweto",Movimientos!$B$1:$B$858,"&lt;="&amp;$B88)</f>
        <v>1454589.72</v>
      </c>
      <c r="N88" s="24">
        <f>SUMIFS('Saldos Iniciales'!$D:$D,'Saldos Iniciales'!$A:$A,"Green Stone Trust")+SUMIFS(Movimientos!$K$1:$K$858,Movimientos!$C$1:$C$858,"Green Stone Trust",Movimientos!$B$1:$B$858,"&lt;="&amp;$B88)</f>
        <v>1968.99</v>
      </c>
      <c r="O88" s="24">
        <f>SUMIFS('Saldos Iniciales'!$D:$D,'Saldos Iniciales'!$A:$A,"EC Auto")+SUMIFS(Movimientos!$K$1:$K$858,Movimientos!$C$1:$C$858,"EC Auto",Movimientos!$B$1:$B$858,"&lt;="&amp;$B88)</f>
        <v>901.34</v>
      </c>
      <c r="P88" s="24">
        <f>SUMIFS('Saldos Iniciales'!$D:$D,'Saldos Iniciales'!$A:$A,"Arbor Capital Properties")+SUMIFS(Movimientos!$K$1:$K$858,Movimientos!$C$1:$C$858,"Arbor Capital Properties",Movimientos!$B$1:$B$858,"&lt;="&amp;$B88)</f>
        <v>1412.08</v>
      </c>
      <c r="Q88" s="24">
        <f>SUMIFS('Saldos Iniciales'!$D:$D,'Saldos Iniciales'!$A:$A,"2515 Overbrook")+SUMIFS(Movimientos!$K$1:$K$858,Movimientos!$C$1:$C$858,"2515 Overbrook",Movimientos!$B$1:$B$858,"&lt;="&amp;$B88)</f>
        <v>22347.56999999996</v>
      </c>
      <c r="R88" s="24">
        <f>SUMIFS('Saldos Iniciales'!$D:$D,'Saldos Iniciales'!$A:$A,"112 Florida Ave")+SUMIFS(Movimientos!$K$1:$K$858,Movimientos!$C$1:$C$858,"112 Florida Ave",Movimientos!$B$1:$B$858,"&lt;="&amp;$B88)</f>
        <v>18522.800000000003</v>
      </c>
      <c r="S88" s="24">
        <f>SUMIFS('Saldos Iniciales'!$D:$D,'Saldos Iniciales'!$A:$A,"3628 Thomas Ave")+SUMIFS(Movimientos!$K$1:$K$858,Movimientos!$C$1:$C$858,"3628 Thomas Ave",Movimientos!$B$1:$B$858,"&lt;="&amp;$B88)</f>
        <v>28485.559999999998</v>
      </c>
      <c r="T88" s="24">
        <f>SUMIFS('Saldos Iniciales'!$D:$D,'Saldos Iniciales'!$A:$A,"Green Harbor Trust")+SUMIFS(Movimientos!$K$1:$K$858,Movimientos!$C$1:$C$858,"Green Harbor Trust",Movimientos!$B$1:$B$858,"&lt;="&amp;$B88)</f>
        <v>345</v>
      </c>
      <c r="U88" s="24">
        <f>SUMIFS('Saldos Iniciales'!$D:$D,'Saldos Iniciales'!$A:$A,"Go Blue")+SUMIFS(Movimientos!$K$1:$K$858,Movimientos!$C$1:$C$858,"Go Blue",Movimientos!$B$1:$B$858,"&lt;="&amp;$B88)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Group")+SUMIFS(Movimientos!$K$1:$K$858,Movimientos!$C$1:$C$858,"CFT Group",Movimientos!$B$1:$B$858,"&lt;="&amp;$B89)</f>
        <v>2255750.7400000007</v>
      </c>
      <c r="D89" s="24">
        <f>SUMIFS('Saldos Iniciales'!$D:$D,'Saldos Iniciales'!$A:$A,"M1B")+SUMIFS(Movimientos!$K$1:$K$858,Movimientos!$C$1:$C$858,"M1B",Movimientos!$B$1:$B$858,"&lt;="&amp;$B89)</f>
        <v>73157.680000000168</v>
      </c>
      <c r="E89" s="24">
        <f>SUMIFS('Saldos Iniciales'!$D:$D,'Saldos Iniciales'!$A:$A,"Durand")+SUMIFS(Movimientos!$K$1:$K$858,Movimientos!$C$1:$C$858,"Durand",Movimientos!$B$1:$B$858,"&lt;="&amp;$B89)</f>
        <v>1669.89</v>
      </c>
      <c r="F89" s="24">
        <f>SUMIFS('Saldos Iniciales'!$D:$D,'Saldos Iniciales'!$A:$A,"A&amp;M Imports")+SUMIFS(Movimientos!$K$1:$K$858,Movimientos!$C$1:$C$858,"A&amp;M Imports",Movimientos!$B$1:$B$858,"&lt;="&amp;$B89)</f>
        <v>1392744.6899999997</v>
      </c>
      <c r="G89" s="24">
        <f>SUMIFS('Saldos Iniciales'!$D:$D,'Saldos Iniciales'!$A:$A,"SSP Capital")+SUMIFS(Movimientos!$K$1:$K$858,Movimientos!$C$1:$C$858,"SSP Capital",Movimientos!$B$1:$B$858,"&lt;="&amp;$B89)</f>
        <v>2022877.8699999996</v>
      </c>
      <c r="H89" s="24">
        <f>SUMIFS('Saldos Iniciales'!$D:$D,'Saldos Iniciales'!$A:$A,"Cross Family Trust")+SUMIFS(Movimientos!$K$1:$K$858,Movimientos!$C$1:$C$858,"Cross Family Trust",Movimientos!$B$1:$B$858,"&lt;="&amp;$B89)</f>
        <v>190496.38</v>
      </c>
      <c r="I89" s="24">
        <f>SUMIFS('Saldos Iniciales'!$D:$D,'Saldos Iniciales'!$A:$A,"Cross Security Trust")+SUMIFS(Movimientos!$K$1:$K$858,Movimientos!$C$1:$C$858,"Cross Security Trust",Movimientos!$B$1:$B$858,"&lt;="&amp;$B89)</f>
        <v>88090.37</v>
      </c>
      <c r="J89" s="24">
        <f>SUMIFS('Saldos Iniciales'!$D:$D,'Saldos Iniciales'!$A:$A,"Electrama")+SUMIFS(Movimientos!$K$1:$K$858,Movimientos!$C$1:$C$858,"Electrama",Movimientos!$B$1:$B$858,"&lt;="&amp;$B89)</f>
        <v>14580.45</v>
      </c>
      <c r="K89" s="24">
        <f>SUMIFS('Saldos Iniciales'!$D:$D,'Saldos Iniciales'!$A:$A,"Sacred Valley Capital")+SUMIFS(Movimientos!$K$1:$K$858,Movimientos!$C$1:$C$858,"Sacred Valley Capital",Movimientos!$B$1:$B$858,"&lt;="&amp;$B89)</f>
        <v>54.400000000000006</v>
      </c>
      <c r="L89" s="24">
        <f>SUMIFS('Saldos Iniciales'!$D:$D,'Saldos Iniciales'!$A:$A,"YWC Capital")+SUMIFS(Movimientos!$K$1:$K$858,Movimientos!$C$1:$C$858,"YWC Capital",Movimientos!$B$1:$B$858,"&lt;="&amp;$B89)</f>
        <v>2207.8200000000002</v>
      </c>
      <c r="M89" s="24">
        <f>SUMIFS('Saldos Iniciales'!$D:$D,'Saldos Iniciales'!$A:$A,"Soweto")+SUMIFS(Movimientos!$K$1:$K$858,Movimientos!$C$1:$C$858,"Soweto",Movimientos!$B$1:$B$858,"&lt;="&amp;$B89)</f>
        <v>1454589.72</v>
      </c>
      <c r="N89" s="24">
        <f>SUMIFS('Saldos Iniciales'!$D:$D,'Saldos Iniciales'!$A:$A,"Green Stone Trust")+SUMIFS(Movimientos!$K$1:$K$858,Movimientos!$C$1:$C$858,"Green Stone Trust",Movimientos!$B$1:$B$858,"&lt;="&amp;$B89)</f>
        <v>1968.99</v>
      </c>
      <c r="O89" s="24">
        <f>SUMIFS('Saldos Iniciales'!$D:$D,'Saldos Iniciales'!$A:$A,"EC Auto")+SUMIFS(Movimientos!$K$1:$K$858,Movimientos!$C$1:$C$858,"EC Auto",Movimientos!$B$1:$B$858,"&lt;="&amp;$B89)</f>
        <v>901.34</v>
      </c>
      <c r="P89" s="24">
        <f>SUMIFS('Saldos Iniciales'!$D:$D,'Saldos Iniciales'!$A:$A,"Arbor Capital Properties")+SUMIFS(Movimientos!$K$1:$K$858,Movimientos!$C$1:$C$858,"Arbor Capital Properties",Movimientos!$B$1:$B$858,"&lt;="&amp;$B89)</f>
        <v>1412.08</v>
      </c>
      <c r="Q89" s="24">
        <f>SUMIFS('Saldos Iniciales'!$D:$D,'Saldos Iniciales'!$A:$A,"2515 Overbrook")+SUMIFS(Movimientos!$K$1:$K$858,Movimientos!$C$1:$C$858,"2515 Overbrook",Movimientos!$B$1:$B$858,"&lt;="&amp;$B89)</f>
        <v>22347.56999999996</v>
      </c>
      <c r="R89" s="24">
        <f>SUMIFS('Saldos Iniciales'!$D:$D,'Saldos Iniciales'!$A:$A,"112 Florida Ave")+SUMIFS(Movimientos!$K$1:$K$858,Movimientos!$C$1:$C$858,"112 Florida Ave",Movimientos!$B$1:$B$858,"&lt;="&amp;$B89)</f>
        <v>18522.800000000003</v>
      </c>
      <c r="S89" s="24">
        <f>SUMIFS('Saldos Iniciales'!$D:$D,'Saldos Iniciales'!$A:$A,"3628 Thomas Ave")+SUMIFS(Movimientos!$K$1:$K$858,Movimientos!$C$1:$C$858,"3628 Thomas Ave",Movimientos!$B$1:$B$858,"&lt;="&amp;$B89)</f>
        <v>28485.559999999998</v>
      </c>
      <c r="T89" s="24">
        <f>SUMIFS('Saldos Iniciales'!$D:$D,'Saldos Iniciales'!$A:$A,"Green Harbor Trust")+SUMIFS(Movimientos!$K$1:$K$858,Movimientos!$C$1:$C$858,"Green Harbor Trust",Movimientos!$B$1:$B$858,"&lt;="&amp;$B89)</f>
        <v>345</v>
      </c>
      <c r="U89" s="24">
        <f>SUMIFS('Saldos Iniciales'!$D:$D,'Saldos Iniciales'!$A:$A,"Go Blue")+SUMIFS(Movimientos!$K$1:$K$858,Movimientos!$C$1:$C$858,"Go Blue",Movimientos!$B$1:$B$858,"&lt;="&amp;$B89)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Group")+SUMIFS(Movimientos!$K$1:$K$858,Movimientos!$C$1:$C$858,"CFT Group",Movimientos!$B$1:$B$858,"&lt;="&amp;$B90)</f>
        <v>2255750.7400000007</v>
      </c>
      <c r="D90" s="24">
        <f>SUMIFS('Saldos Iniciales'!$D:$D,'Saldos Iniciales'!$A:$A,"M1B")+SUMIFS(Movimientos!$K$1:$K$858,Movimientos!$C$1:$C$858,"M1B",Movimientos!$B$1:$B$858,"&lt;="&amp;$B90)</f>
        <v>80574.12000000017</v>
      </c>
      <c r="E90" s="24">
        <f>SUMIFS('Saldos Iniciales'!$D:$D,'Saldos Iniciales'!$A:$A,"Durand")+SUMIFS(Movimientos!$K$1:$K$858,Movimientos!$C$1:$C$858,"Durand",Movimientos!$B$1:$B$858,"&lt;="&amp;$B90)</f>
        <v>1669.89</v>
      </c>
      <c r="F90" s="24">
        <f>SUMIFS('Saldos Iniciales'!$D:$D,'Saldos Iniciales'!$A:$A,"A&amp;M Imports")+SUMIFS(Movimientos!$K$1:$K$858,Movimientos!$C$1:$C$858,"A&amp;M Imports",Movimientos!$B$1:$B$858,"&lt;="&amp;$B90)</f>
        <v>1415636.7399999998</v>
      </c>
      <c r="G90" s="24">
        <f>SUMIFS('Saldos Iniciales'!$D:$D,'Saldos Iniciales'!$A:$A,"SSP Capital")+SUMIFS(Movimientos!$K$1:$K$858,Movimientos!$C$1:$C$858,"SSP Capital",Movimientos!$B$1:$B$858,"&lt;="&amp;$B90)</f>
        <v>1857997.0999999996</v>
      </c>
      <c r="H90" s="24">
        <f>SUMIFS('Saldos Iniciales'!$D:$D,'Saldos Iniciales'!$A:$A,"Cross Family Trust")+SUMIFS(Movimientos!$K$1:$K$858,Movimientos!$C$1:$C$858,"Cross Family Trust",Movimientos!$B$1:$B$858,"&lt;="&amp;$B90)</f>
        <v>190496.38</v>
      </c>
      <c r="I90" s="24">
        <f>SUMIFS('Saldos Iniciales'!$D:$D,'Saldos Iniciales'!$A:$A,"Cross Security Trust")+SUMIFS(Movimientos!$K$1:$K$858,Movimientos!$C$1:$C$858,"Cross Security Trust",Movimientos!$B$1:$B$858,"&lt;="&amp;$B90)</f>
        <v>88090.37</v>
      </c>
      <c r="J90" s="24">
        <f>SUMIFS('Saldos Iniciales'!$D:$D,'Saldos Iniciales'!$A:$A,"Electrama")+SUMIFS(Movimientos!$K$1:$K$858,Movimientos!$C$1:$C$858,"Electrama",Movimientos!$B$1:$B$858,"&lt;="&amp;$B90)</f>
        <v>14580.45</v>
      </c>
      <c r="K90" s="24">
        <f>SUMIFS('Saldos Iniciales'!$D:$D,'Saldos Iniciales'!$A:$A,"Sacred Valley Capital")+SUMIFS(Movimientos!$K$1:$K$858,Movimientos!$C$1:$C$858,"Sacred Valley Capital",Movimientos!$B$1:$B$858,"&lt;="&amp;$B90)</f>
        <v>54.400000000000006</v>
      </c>
      <c r="L90" s="24">
        <f>SUMIFS('Saldos Iniciales'!$D:$D,'Saldos Iniciales'!$A:$A,"YWC Capital")+SUMIFS(Movimientos!$K$1:$K$858,Movimientos!$C$1:$C$858,"YWC Capital",Movimientos!$B$1:$B$858,"&lt;="&amp;$B90)</f>
        <v>2207.8200000000002</v>
      </c>
      <c r="M90" s="24">
        <f>SUMIFS('Saldos Iniciales'!$D:$D,'Saldos Iniciales'!$A:$A,"Soweto")+SUMIFS(Movimientos!$K$1:$K$858,Movimientos!$C$1:$C$858,"Soweto",Movimientos!$B$1:$B$858,"&lt;="&amp;$B90)</f>
        <v>1454589.72</v>
      </c>
      <c r="N90" s="24">
        <f>SUMIFS('Saldos Iniciales'!$D:$D,'Saldos Iniciales'!$A:$A,"Green Stone Trust")+SUMIFS(Movimientos!$K$1:$K$858,Movimientos!$C$1:$C$858,"Green Stone Trust",Movimientos!$B$1:$B$858,"&lt;="&amp;$B90)</f>
        <v>1968.99</v>
      </c>
      <c r="O90" s="24">
        <f>SUMIFS('Saldos Iniciales'!$D:$D,'Saldos Iniciales'!$A:$A,"EC Auto")+SUMIFS(Movimientos!$K$1:$K$858,Movimientos!$C$1:$C$858,"EC Auto",Movimientos!$B$1:$B$858,"&lt;="&amp;$B90)</f>
        <v>901.34</v>
      </c>
      <c r="P90" s="24">
        <f>SUMIFS('Saldos Iniciales'!$D:$D,'Saldos Iniciales'!$A:$A,"Arbor Capital Properties")+SUMIFS(Movimientos!$K$1:$K$858,Movimientos!$C$1:$C$858,"Arbor Capital Properties",Movimientos!$B$1:$B$858,"&lt;="&amp;$B90)</f>
        <v>1412.08</v>
      </c>
      <c r="Q90" s="24">
        <f>SUMIFS('Saldos Iniciales'!$D:$D,'Saldos Iniciales'!$A:$A,"2515 Overbrook")+SUMIFS(Movimientos!$K$1:$K$858,Movimientos!$C$1:$C$858,"2515 Overbrook",Movimientos!$B$1:$B$858,"&lt;="&amp;$B90)</f>
        <v>22347.56999999996</v>
      </c>
      <c r="R90" s="24">
        <f>SUMIFS('Saldos Iniciales'!$D:$D,'Saldos Iniciales'!$A:$A,"112 Florida Ave")+SUMIFS(Movimientos!$K$1:$K$858,Movimientos!$C$1:$C$858,"112 Florida Ave",Movimientos!$B$1:$B$858,"&lt;="&amp;$B90)</f>
        <v>18522.800000000003</v>
      </c>
      <c r="S90" s="24">
        <f>SUMIFS('Saldos Iniciales'!$D:$D,'Saldos Iniciales'!$A:$A,"3628 Thomas Ave")+SUMIFS(Movimientos!$K$1:$K$858,Movimientos!$C$1:$C$858,"3628 Thomas Ave",Movimientos!$B$1:$B$858,"&lt;="&amp;$B90)</f>
        <v>28485.559999999998</v>
      </c>
      <c r="T90" s="24">
        <f>SUMIFS('Saldos Iniciales'!$D:$D,'Saldos Iniciales'!$A:$A,"Green Harbor Trust")+SUMIFS(Movimientos!$K$1:$K$858,Movimientos!$C$1:$C$858,"Green Harbor Trust",Movimientos!$B$1:$B$858,"&lt;="&amp;$B90)</f>
        <v>345</v>
      </c>
      <c r="U90" s="24">
        <f>SUMIFS('Saldos Iniciales'!$D:$D,'Saldos Iniciales'!$A:$A,"Go Blue")+SUMIFS(Movimientos!$K$1:$K$858,Movimientos!$C$1:$C$858,"Go Blue",Movimientos!$B$1:$B$858,"&lt;="&amp;$B90)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Group")+SUMIFS(Movimientos!$K$1:$K$858,Movimientos!$C$1:$C$858,"CFT Group",Movimientos!$B$1:$B$858,"&lt;="&amp;$B91)</f>
        <v>2270539.1300000008</v>
      </c>
      <c r="D91" s="24">
        <f>SUMIFS('Saldos Iniciales'!$D:$D,'Saldos Iniciales'!$A:$A,"M1B")+SUMIFS(Movimientos!$K$1:$K$858,Movimientos!$C$1:$C$858,"M1B",Movimientos!$B$1:$B$858,"&lt;="&amp;$B91)</f>
        <v>83211.250000000175</v>
      </c>
      <c r="E91" s="24">
        <f>SUMIFS('Saldos Iniciales'!$D:$D,'Saldos Iniciales'!$A:$A,"Durand")+SUMIFS(Movimientos!$K$1:$K$858,Movimientos!$C$1:$C$858,"Durand",Movimientos!$B$1:$B$858,"&lt;="&amp;$B91)</f>
        <v>1669.89</v>
      </c>
      <c r="F91" s="24">
        <f>SUMIFS('Saldos Iniciales'!$D:$D,'Saldos Iniciales'!$A:$A,"A&amp;M Imports")+SUMIFS(Movimientos!$K$1:$K$858,Movimientos!$C$1:$C$858,"A&amp;M Imports",Movimientos!$B$1:$B$858,"&lt;="&amp;$B91)</f>
        <v>1434634.5999999999</v>
      </c>
      <c r="G91" s="24">
        <f>SUMIFS('Saldos Iniciales'!$D:$D,'Saldos Iniciales'!$A:$A,"SSP Capital")+SUMIFS(Movimientos!$K$1:$K$858,Movimientos!$C$1:$C$858,"SSP Capital",Movimientos!$B$1:$B$858,"&lt;="&amp;$B91)</f>
        <v>1857997.0999999996</v>
      </c>
      <c r="H91" s="24">
        <f>SUMIFS('Saldos Iniciales'!$D:$D,'Saldos Iniciales'!$A:$A,"Cross Family Trust")+SUMIFS(Movimientos!$K$1:$K$858,Movimientos!$C$1:$C$858,"Cross Family Trust",Movimientos!$B$1:$B$858,"&lt;="&amp;$B91)</f>
        <v>190496.38</v>
      </c>
      <c r="I91" s="24">
        <f>SUMIFS('Saldos Iniciales'!$D:$D,'Saldos Iniciales'!$A:$A,"Cross Security Trust")+SUMIFS(Movimientos!$K$1:$K$858,Movimientos!$C$1:$C$858,"Cross Security Trust",Movimientos!$B$1:$B$858,"&lt;="&amp;$B91)</f>
        <v>88090.37</v>
      </c>
      <c r="J91" s="24">
        <f>SUMIFS('Saldos Iniciales'!$D:$D,'Saldos Iniciales'!$A:$A,"Electrama")+SUMIFS(Movimientos!$K$1:$K$858,Movimientos!$C$1:$C$858,"Electrama",Movimientos!$B$1:$B$858,"&lt;="&amp;$B91)</f>
        <v>14580.45</v>
      </c>
      <c r="K91" s="24">
        <f>SUMIFS('Saldos Iniciales'!$D:$D,'Saldos Iniciales'!$A:$A,"Sacred Valley Capital")+SUMIFS(Movimientos!$K$1:$K$858,Movimientos!$C$1:$C$858,"Sacred Valley Capital",Movimientos!$B$1:$B$858,"&lt;="&amp;$B91)</f>
        <v>54.400000000000006</v>
      </c>
      <c r="L91" s="24">
        <f>SUMIFS('Saldos Iniciales'!$D:$D,'Saldos Iniciales'!$A:$A,"YWC Capital")+SUMIFS(Movimientos!$K$1:$K$858,Movimientos!$C$1:$C$858,"YWC Capital",Movimientos!$B$1:$B$858,"&lt;="&amp;$B91)</f>
        <v>2207.8200000000002</v>
      </c>
      <c r="M91" s="24">
        <f>SUMIFS('Saldos Iniciales'!$D:$D,'Saldos Iniciales'!$A:$A,"Soweto")+SUMIFS(Movimientos!$K$1:$K$858,Movimientos!$C$1:$C$858,"Soweto",Movimientos!$B$1:$B$858,"&lt;="&amp;$B91)</f>
        <v>1454589.72</v>
      </c>
      <c r="N91" s="24">
        <f>SUMIFS('Saldos Iniciales'!$D:$D,'Saldos Iniciales'!$A:$A,"Green Stone Trust")+SUMIFS(Movimientos!$K$1:$K$858,Movimientos!$C$1:$C$858,"Green Stone Trust",Movimientos!$B$1:$B$858,"&lt;="&amp;$B91)</f>
        <v>1968.99</v>
      </c>
      <c r="O91" s="24">
        <f>SUMIFS('Saldos Iniciales'!$D:$D,'Saldos Iniciales'!$A:$A,"EC Auto")+SUMIFS(Movimientos!$K$1:$K$858,Movimientos!$C$1:$C$858,"EC Auto",Movimientos!$B$1:$B$858,"&lt;="&amp;$B91)</f>
        <v>901.34</v>
      </c>
      <c r="P91" s="24">
        <f>SUMIFS('Saldos Iniciales'!$D:$D,'Saldos Iniciales'!$A:$A,"Arbor Capital Properties")+SUMIFS(Movimientos!$K$1:$K$858,Movimientos!$C$1:$C$858,"Arbor Capital Properties",Movimientos!$B$1:$B$858,"&lt;="&amp;$B91)</f>
        <v>1412.08</v>
      </c>
      <c r="Q91" s="24">
        <f>SUMIFS('Saldos Iniciales'!$D:$D,'Saldos Iniciales'!$A:$A,"2515 Overbrook")+SUMIFS(Movimientos!$K$1:$K$858,Movimientos!$C$1:$C$858,"2515 Overbrook",Movimientos!$B$1:$B$858,"&lt;="&amp;$B91)</f>
        <v>22347.56999999996</v>
      </c>
      <c r="R91" s="24">
        <f>SUMIFS('Saldos Iniciales'!$D:$D,'Saldos Iniciales'!$A:$A,"112 Florida Ave")+SUMIFS(Movimientos!$K$1:$K$858,Movimientos!$C$1:$C$858,"112 Florida Ave",Movimientos!$B$1:$B$858,"&lt;="&amp;$B91)</f>
        <v>18522.800000000003</v>
      </c>
      <c r="S91" s="24">
        <f>SUMIFS('Saldos Iniciales'!$D:$D,'Saldos Iniciales'!$A:$A,"3628 Thomas Ave")+SUMIFS(Movimientos!$K$1:$K$858,Movimientos!$C$1:$C$858,"3628 Thomas Ave",Movimientos!$B$1:$B$858,"&lt;="&amp;$B91)</f>
        <v>28485.559999999998</v>
      </c>
      <c r="T91" s="24">
        <f>SUMIFS('Saldos Iniciales'!$D:$D,'Saldos Iniciales'!$A:$A,"Green Harbor Trust")+SUMIFS(Movimientos!$K$1:$K$858,Movimientos!$C$1:$C$858,"Green Harbor Trust",Movimientos!$B$1:$B$858,"&lt;="&amp;$B91)</f>
        <v>345</v>
      </c>
      <c r="U91" s="24">
        <f>SUMIFS('Saldos Iniciales'!$D:$D,'Saldos Iniciales'!$A:$A,"Go Blue")+SUMIFS(Movimientos!$K$1:$K$858,Movimientos!$C$1:$C$858,"Go Blue",Movimientos!$B$1:$B$858,"&lt;="&amp;$B91)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Group")+SUMIFS(Movimientos!$K$1:$K$858,Movimientos!$C$1:$C$858,"CFT Group",Movimientos!$B$1:$B$858,"&lt;="&amp;$B92)</f>
        <v>2470350.7000000002</v>
      </c>
      <c r="D92" s="24">
        <f>SUMIFS('Saldos Iniciales'!$D:$D,'Saldos Iniciales'!$A:$A,"M1B")+SUMIFS(Movimientos!$K$1:$K$858,Movimientos!$C$1:$C$858,"M1B",Movimientos!$B$1:$B$858,"&lt;="&amp;$B92)</f>
        <v>83211.250000000175</v>
      </c>
      <c r="E92" s="24">
        <f>SUMIFS('Saldos Iniciales'!$D:$D,'Saldos Iniciales'!$A:$A,"Durand")+SUMIFS(Movimientos!$K$1:$K$858,Movimientos!$C$1:$C$858,"Durand",Movimientos!$B$1:$B$858,"&lt;="&amp;$B92)</f>
        <v>1669.89</v>
      </c>
      <c r="F92" s="24">
        <f>SUMIFS('Saldos Iniciales'!$D:$D,'Saldos Iniciales'!$A:$A,"A&amp;M Imports")+SUMIFS(Movimientos!$K$1:$K$858,Movimientos!$C$1:$C$858,"A&amp;M Imports",Movimientos!$B$1:$B$858,"&lt;="&amp;$B92)</f>
        <v>1458426.0399999998</v>
      </c>
      <c r="G92" s="24">
        <f>SUMIFS('Saldos Iniciales'!$D:$D,'Saldos Iniciales'!$A:$A,"SSP Capital")+SUMIFS(Movimientos!$K$1:$K$858,Movimientos!$C$1:$C$858,"SSP Capital",Movimientos!$B$1:$B$858,"&lt;="&amp;$B92)</f>
        <v>1857993.8499999996</v>
      </c>
      <c r="H92" s="24">
        <f>SUMIFS('Saldos Iniciales'!$D:$D,'Saldos Iniciales'!$A:$A,"Cross Family Trust")+SUMIFS(Movimientos!$K$1:$K$858,Movimientos!$C$1:$C$858,"Cross Family Trust",Movimientos!$B$1:$B$858,"&lt;="&amp;$B92)</f>
        <v>190496.38</v>
      </c>
      <c r="I92" s="24">
        <f>SUMIFS('Saldos Iniciales'!$D:$D,'Saldos Iniciales'!$A:$A,"Cross Security Trust")+SUMIFS(Movimientos!$K$1:$K$858,Movimientos!$C$1:$C$858,"Cross Security Trust",Movimientos!$B$1:$B$858,"&lt;="&amp;$B92)</f>
        <v>88090.37</v>
      </c>
      <c r="J92" s="24">
        <f>SUMIFS('Saldos Iniciales'!$D:$D,'Saldos Iniciales'!$A:$A,"Electrama")+SUMIFS(Movimientos!$K$1:$K$858,Movimientos!$C$1:$C$858,"Electrama",Movimientos!$B$1:$B$858,"&lt;="&amp;$B92)</f>
        <v>14580.45</v>
      </c>
      <c r="K92" s="24">
        <f>SUMIFS('Saldos Iniciales'!$D:$D,'Saldos Iniciales'!$A:$A,"Sacred Valley Capital")+SUMIFS(Movimientos!$K$1:$K$858,Movimientos!$C$1:$C$858,"Sacred Valley Capital",Movimientos!$B$1:$B$858,"&lt;="&amp;$B92)</f>
        <v>54.400000000000006</v>
      </c>
      <c r="L92" s="24">
        <f>SUMIFS('Saldos Iniciales'!$D:$D,'Saldos Iniciales'!$A:$A,"YWC Capital")+SUMIFS(Movimientos!$K$1:$K$858,Movimientos!$C$1:$C$858,"YWC Capital",Movimientos!$B$1:$B$858,"&lt;="&amp;$B92)</f>
        <v>2207.8200000000002</v>
      </c>
      <c r="M92" s="24">
        <f>SUMIFS('Saldos Iniciales'!$D:$D,'Saldos Iniciales'!$A:$A,"Soweto")+SUMIFS(Movimientos!$K$1:$K$858,Movimientos!$C$1:$C$858,"Soweto",Movimientos!$B$1:$B$858,"&lt;="&amp;$B92)</f>
        <v>1454589.72</v>
      </c>
      <c r="N92" s="24">
        <f>SUMIFS('Saldos Iniciales'!$D:$D,'Saldos Iniciales'!$A:$A,"Green Stone Trust")+SUMIFS(Movimientos!$K$1:$K$858,Movimientos!$C$1:$C$858,"Green Stone Trust",Movimientos!$B$1:$B$858,"&lt;="&amp;$B92)</f>
        <v>1968.99</v>
      </c>
      <c r="O92" s="24">
        <f>SUMIFS('Saldos Iniciales'!$D:$D,'Saldos Iniciales'!$A:$A,"EC Auto")+SUMIFS(Movimientos!$K$1:$K$858,Movimientos!$C$1:$C$858,"EC Auto",Movimientos!$B$1:$B$858,"&lt;="&amp;$B92)</f>
        <v>901.34</v>
      </c>
      <c r="P92" s="24">
        <f>SUMIFS('Saldos Iniciales'!$D:$D,'Saldos Iniciales'!$A:$A,"Arbor Capital Properties")+SUMIFS(Movimientos!$K$1:$K$858,Movimientos!$C$1:$C$858,"Arbor Capital Properties",Movimientos!$B$1:$B$858,"&lt;="&amp;$B92)</f>
        <v>1412.08</v>
      </c>
      <c r="Q92" s="24">
        <f>SUMIFS('Saldos Iniciales'!$D:$D,'Saldos Iniciales'!$A:$A,"2515 Overbrook")+SUMIFS(Movimientos!$K$1:$K$858,Movimientos!$C$1:$C$858,"2515 Overbrook",Movimientos!$B$1:$B$858,"&lt;="&amp;$B92)</f>
        <v>22347.56999999996</v>
      </c>
      <c r="R92" s="24">
        <f>SUMIFS('Saldos Iniciales'!$D:$D,'Saldos Iniciales'!$A:$A,"112 Florida Ave")+SUMIFS(Movimientos!$K$1:$K$858,Movimientos!$C$1:$C$858,"112 Florida Ave",Movimientos!$B$1:$B$858,"&lt;="&amp;$B92)</f>
        <v>18522.800000000003</v>
      </c>
      <c r="S92" s="24">
        <f>SUMIFS('Saldos Iniciales'!$D:$D,'Saldos Iniciales'!$A:$A,"3628 Thomas Ave")+SUMIFS(Movimientos!$K$1:$K$858,Movimientos!$C$1:$C$858,"3628 Thomas Ave",Movimientos!$B$1:$B$858,"&lt;="&amp;$B92)</f>
        <v>28485.559999999998</v>
      </c>
      <c r="T92" s="24">
        <f>SUMIFS('Saldos Iniciales'!$D:$D,'Saldos Iniciales'!$A:$A,"Green Harbor Trust")+SUMIFS(Movimientos!$K$1:$K$858,Movimientos!$C$1:$C$858,"Green Harbor Trust",Movimientos!$B$1:$B$858,"&lt;="&amp;$B92)</f>
        <v>345</v>
      </c>
      <c r="U92" s="24">
        <f>SUMIFS('Saldos Iniciales'!$D:$D,'Saldos Iniciales'!$A:$A,"Go Blue")+SUMIFS(Movimientos!$K$1:$K$858,Movimientos!$C$1:$C$858,"Go Blue",Movimientos!$B$1:$B$858,"&lt;="&amp;$B92)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Group")+SUMIFS(Movimientos!$K$1:$K$858,Movimientos!$C$1:$C$858,"CFT Group",Movimientos!$B$1:$B$858,"&lt;="&amp;$B93)</f>
        <v>2468032.08</v>
      </c>
      <c r="D93" s="24">
        <f>SUMIFS('Saldos Iniciales'!$D:$D,'Saldos Iniciales'!$A:$A,"M1B")+SUMIFS(Movimientos!$K$1:$K$858,Movimientos!$C$1:$C$858,"M1B",Movimientos!$B$1:$B$858,"&lt;="&amp;$B93)</f>
        <v>83211.250000000175</v>
      </c>
      <c r="E93" s="24">
        <f>SUMIFS('Saldos Iniciales'!$D:$D,'Saldos Iniciales'!$A:$A,"Durand")+SUMIFS(Movimientos!$K$1:$K$858,Movimientos!$C$1:$C$858,"Durand",Movimientos!$B$1:$B$858,"&lt;="&amp;$B93)</f>
        <v>1669.89</v>
      </c>
      <c r="F93" s="24">
        <f>SUMIFS('Saldos Iniciales'!$D:$D,'Saldos Iniciales'!$A:$A,"A&amp;M Imports")+SUMIFS(Movimientos!$K$1:$K$858,Movimientos!$C$1:$C$858,"A&amp;M Imports",Movimientos!$B$1:$B$858,"&lt;="&amp;$B93)</f>
        <v>1458426.0399999998</v>
      </c>
      <c r="G93" s="24">
        <f>SUMIFS('Saldos Iniciales'!$D:$D,'Saldos Iniciales'!$A:$A,"SSP Capital")+SUMIFS(Movimientos!$K$1:$K$858,Movimientos!$C$1:$C$858,"SSP Capital",Movimientos!$B$1:$B$858,"&lt;="&amp;$B93)</f>
        <v>1514477.1199999996</v>
      </c>
      <c r="H93" s="24">
        <f>SUMIFS('Saldos Iniciales'!$D:$D,'Saldos Iniciales'!$A:$A,"Cross Family Trust")+SUMIFS(Movimientos!$K$1:$K$858,Movimientos!$C$1:$C$858,"Cross Family Trust",Movimientos!$B$1:$B$858,"&lt;="&amp;$B93)</f>
        <v>190496.38</v>
      </c>
      <c r="I93" s="24">
        <f>SUMIFS('Saldos Iniciales'!$D:$D,'Saldos Iniciales'!$A:$A,"Cross Security Trust")+SUMIFS(Movimientos!$K$1:$K$858,Movimientos!$C$1:$C$858,"Cross Security Trust",Movimientos!$B$1:$B$858,"&lt;="&amp;$B93)</f>
        <v>88090.37</v>
      </c>
      <c r="J93" s="24">
        <f>SUMIFS('Saldos Iniciales'!$D:$D,'Saldos Iniciales'!$A:$A,"Electrama")+SUMIFS(Movimientos!$K$1:$K$858,Movimientos!$C$1:$C$858,"Electrama",Movimientos!$B$1:$B$858,"&lt;="&amp;$B93)</f>
        <v>14580.45</v>
      </c>
      <c r="K93" s="24">
        <f>SUMIFS('Saldos Iniciales'!$D:$D,'Saldos Iniciales'!$A:$A,"Sacred Valley Capital")+SUMIFS(Movimientos!$K$1:$K$858,Movimientos!$C$1:$C$858,"Sacred Valley Capital",Movimientos!$B$1:$B$858,"&lt;="&amp;$B93)</f>
        <v>54.400000000000006</v>
      </c>
      <c r="L93" s="24">
        <f>SUMIFS('Saldos Iniciales'!$D:$D,'Saldos Iniciales'!$A:$A,"YWC Capital")+SUMIFS(Movimientos!$K$1:$K$858,Movimientos!$C$1:$C$858,"YWC Capital",Movimientos!$B$1:$B$858,"&lt;="&amp;$B93)</f>
        <v>2207.8200000000002</v>
      </c>
      <c r="M93" s="24">
        <f>SUMIFS('Saldos Iniciales'!$D:$D,'Saldos Iniciales'!$A:$A,"Soweto")+SUMIFS(Movimientos!$K$1:$K$858,Movimientos!$C$1:$C$858,"Soweto",Movimientos!$B$1:$B$858,"&lt;="&amp;$B93)</f>
        <v>1454589.72</v>
      </c>
      <c r="N93" s="24">
        <f>SUMIFS('Saldos Iniciales'!$D:$D,'Saldos Iniciales'!$A:$A,"Green Stone Trust")+SUMIFS(Movimientos!$K$1:$K$858,Movimientos!$C$1:$C$858,"Green Stone Trust",Movimientos!$B$1:$B$858,"&lt;="&amp;$B93)</f>
        <v>1968.99</v>
      </c>
      <c r="O93" s="24">
        <f>SUMIFS('Saldos Iniciales'!$D:$D,'Saldos Iniciales'!$A:$A,"EC Auto")+SUMIFS(Movimientos!$K$1:$K$858,Movimientos!$C$1:$C$858,"EC Auto",Movimientos!$B$1:$B$858,"&lt;="&amp;$B93)</f>
        <v>901.34</v>
      </c>
      <c r="P93" s="24">
        <f>SUMIFS('Saldos Iniciales'!$D:$D,'Saldos Iniciales'!$A:$A,"Arbor Capital Properties")+SUMIFS(Movimientos!$K$1:$K$858,Movimientos!$C$1:$C$858,"Arbor Capital Properties",Movimientos!$B$1:$B$858,"&lt;="&amp;$B93)</f>
        <v>1412.08</v>
      </c>
      <c r="Q93" s="24">
        <f>SUMIFS('Saldos Iniciales'!$D:$D,'Saldos Iniciales'!$A:$A,"2515 Overbrook")+SUMIFS(Movimientos!$K$1:$K$858,Movimientos!$C$1:$C$858,"2515 Overbrook",Movimientos!$B$1:$B$858,"&lt;="&amp;$B93)</f>
        <v>22347.56999999996</v>
      </c>
      <c r="R93" s="24">
        <f>SUMIFS('Saldos Iniciales'!$D:$D,'Saldos Iniciales'!$A:$A,"112 Florida Ave")+SUMIFS(Movimientos!$K$1:$K$858,Movimientos!$C$1:$C$858,"112 Florida Ave",Movimientos!$B$1:$B$858,"&lt;="&amp;$B93)</f>
        <v>18522.800000000003</v>
      </c>
      <c r="S93" s="24">
        <f>SUMIFS('Saldos Iniciales'!$D:$D,'Saldos Iniciales'!$A:$A,"3628 Thomas Ave")+SUMIFS(Movimientos!$K$1:$K$858,Movimientos!$C$1:$C$858,"3628 Thomas Ave",Movimientos!$B$1:$B$858,"&lt;="&amp;$B93)</f>
        <v>28485.559999999998</v>
      </c>
      <c r="T93" s="24">
        <f>SUMIFS('Saldos Iniciales'!$D:$D,'Saldos Iniciales'!$A:$A,"Green Harbor Trust")+SUMIFS(Movimientos!$K$1:$K$858,Movimientos!$C$1:$C$858,"Green Harbor Trust",Movimientos!$B$1:$B$858,"&lt;="&amp;$B93)</f>
        <v>345</v>
      </c>
      <c r="U93" s="24">
        <f>SUMIFS('Saldos Iniciales'!$D:$D,'Saldos Iniciales'!$A:$A,"Go Blue")+SUMIFS(Movimientos!$K$1:$K$858,Movimientos!$C$1:$C$858,"Go Blue",Movimientos!$B$1:$B$858,"&lt;="&amp;$B93)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Group")+SUMIFS(Movimientos!$K$1:$K$858,Movimientos!$C$1:$C$858,"CFT Group",Movimientos!$B$1:$B$858,"&lt;="&amp;$B94)</f>
        <v>2468032.08</v>
      </c>
      <c r="D94" s="24">
        <f>SUMIFS('Saldos Iniciales'!$D:$D,'Saldos Iniciales'!$A:$A,"M1B")+SUMIFS(Movimientos!$K$1:$K$858,Movimientos!$C$1:$C$858,"M1B",Movimientos!$B$1:$B$858,"&lt;="&amp;$B94)</f>
        <v>83211.250000000175</v>
      </c>
      <c r="E94" s="24">
        <f>SUMIFS('Saldos Iniciales'!$D:$D,'Saldos Iniciales'!$A:$A,"Durand")+SUMIFS(Movimientos!$K$1:$K$858,Movimientos!$C$1:$C$858,"Durand",Movimientos!$B$1:$B$858,"&lt;="&amp;$B94)</f>
        <v>1669.89</v>
      </c>
      <c r="F94" s="24">
        <f>SUMIFS('Saldos Iniciales'!$D:$D,'Saldos Iniciales'!$A:$A,"A&amp;M Imports")+SUMIFS(Movimientos!$K$1:$K$858,Movimientos!$C$1:$C$858,"A&amp;M Imports",Movimientos!$B$1:$B$858,"&lt;="&amp;$B94)</f>
        <v>1458426.0399999998</v>
      </c>
      <c r="G94" s="24">
        <f>SUMIFS('Saldos Iniciales'!$D:$D,'Saldos Iniciales'!$A:$A,"SSP Capital")+SUMIFS(Movimientos!$K$1:$K$858,Movimientos!$C$1:$C$858,"SSP Capital",Movimientos!$B$1:$B$858,"&lt;="&amp;$B94)</f>
        <v>1514477.1199999996</v>
      </c>
      <c r="H94" s="24">
        <f>SUMIFS('Saldos Iniciales'!$D:$D,'Saldos Iniciales'!$A:$A,"Cross Family Trust")+SUMIFS(Movimientos!$K$1:$K$858,Movimientos!$C$1:$C$858,"Cross Family Trust",Movimientos!$B$1:$B$858,"&lt;="&amp;$B94)</f>
        <v>190496.38</v>
      </c>
      <c r="I94" s="24">
        <f>SUMIFS('Saldos Iniciales'!$D:$D,'Saldos Iniciales'!$A:$A,"Cross Security Trust")+SUMIFS(Movimientos!$K$1:$K$858,Movimientos!$C$1:$C$858,"Cross Security Trust",Movimientos!$B$1:$B$858,"&lt;="&amp;$B94)</f>
        <v>88090.37</v>
      </c>
      <c r="J94" s="24">
        <f>SUMIFS('Saldos Iniciales'!$D:$D,'Saldos Iniciales'!$A:$A,"Electrama")+SUMIFS(Movimientos!$K$1:$K$858,Movimientos!$C$1:$C$858,"Electrama",Movimientos!$B$1:$B$858,"&lt;="&amp;$B94)</f>
        <v>14580.45</v>
      </c>
      <c r="K94" s="24">
        <f>SUMIFS('Saldos Iniciales'!$D:$D,'Saldos Iniciales'!$A:$A,"Sacred Valley Capital")+SUMIFS(Movimientos!$K$1:$K$858,Movimientos!$C$1:$C$858,"Sacred Valley Capital",Movimientos!$B$1:$B$858,"&lt;="&amp;$B94)</f>
        <v>54.400000000000006</v>
      </c>
      <c r="L94" s="24">
        <f>SUMIFS('Saldos Iniciales'!$D:$D,'Saldos Iniciales'!$A:$A,"YWC Capital")+SUMIFS(Movimientos!$K$1:$K$858,Movimientos!$C$1:$C$858,"YWC Capital",Movimientos!$B$1:$B$858,"&lt;="&amp;$B94)</f>
        <v>2207.8200000000002</v>
      </c>
      <c r="M94" s="24">
        <f>SUMIFS('Saldos Iniciales'!$D:$D,'Saldos Iniciales'!$A:$A,"Soweto")+SUMIFS(Movimientos!$K$1:$K$858,Movimientos!$C$1:$C$858,"Soweto",Movimientos!$B$1:$B$858,"&lt;="&amp;$B94)</f>
        <v>1454589.72</v>
      </c>
      <c r="N94" s="24">
        <f>SUMIFS('Saldos Iniciales'!$D:$D,'Saldos Iniciales'!$A:$A,"Green Stone Trust")+SUMIFS(Movimientos!$K$1:$K$858,Movimientos!$C$1:$C$858,"Green Stone Trust",Movimientos!$B$1:$B$858,"&lt;="&amp;$B94)</f>
        <v>1968.99</v>
      </c>
      <c r="O94" s="24">
        <f>SUMIFS('Saldos Iniciales'!$D:$D,'Saldos Iniciales'!$A:$A,"EC Auto")+SUMIFS(Movimientos!$K$1:$K$858,Movimientos!$C$1:$C$858,"EC Auto",Movimientos!$B$1:$B$858,"&lt;="&amp;$B94)</f>
        <v>901.34</v>
      </c>
      <c r="P94" s="24">
        <f>SUMIFS('Saldos Iniciales'!$D:$D,'Saldos Iniciales'!$A:$A,"Arbor Capital Properties")+SUMIFS(Movimientos!$K$1:$K$858,Movimientos!$C$1:$C$858,"Arbor Capital Properties",Movimientos!$B$1:$B$858,"&lt;="&amp;$B94)</f>
        <v>1412.08</v>
      </c>
      <c r="Q94" s="24">
        <f>SUMIFS('Saldos Iniciales'!$D:$D,'Saldos Iniciales'!$A:$A,"2515 Overbrook")+SUMIFS(Movimientos!$K$1:$K$858,Movimientos!$C$1:$C$858,"2515 Overbrook",Movimientos!$B$1:$B$858,"&lt;="&amp;$B94)</f>
        <v>22347.56999999996</v>
      </c>
      <c r="R94" s="24">
        <f>SUMIFS('Saldos Iniciales'!$D:$D,'Saldos Iniciales'!$A:$A,"112 Florida Ave")+SUMIFS(Movimientos!$K$1:$K$858,Movimientos!$C$1:$C$858,"112 Florida Ave",Movimientos!$B$1:$B$858,"&lt;="&amp;$B94)</f>
        <v>18522.800000000003</v>
      </c>
      <c r="S94" s="24">
        <f>SUMIFS('Saldos Iniciales'!$D:$D,'Saldos Iniciales'!$A:$A,"3628 Thomas Ave")+SUMIFS(Movimientos!$K$1:$K$858,Movimientos!$C$1:$C$858,"3628 Thomas Ave",Movimientos!$B$1:$B$858,"&lt;="&amp;$B94)</f>
        <v>28485.559999999998</v>
      </c>
      <c r="T94" s="24">
        <f>SUMIFS('Saldos Iniciales'!$D:$D,'Saldos Iniciales'!$A:$A,"Green Harbor Trust")+SUMIFS(Movimientos!$K$1:$K$858,Movimientos!$C$1:$C$858,"Green Harbor Trust",Movimientos!$B$1:$B$858,"&lt;="&amp;$B94)</f>
        <v>345</v>
      </c>
      <c r="U94" s="24">
        <f>SUMIFS('Saldos Iniciales'!$D:$D,'Saldos Iniciales'!$A:$A,"Go Blue")+SUMIFS(Movimientos!$K$1:$K$858,Movimientos!$C$1:$C$858,"Go Blue",Movimientos!$B$1:$B$858,"&lt;="&amp;$B94)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Group")+SUMIFS(Movimientos!$K$1:$K$858,Movimientos!$C$1:$C$858,"CFT Group",Movimientos!$B$1:$B$858,"&lt;="&amp;$B95)</f>
        <v>2468032.08</v>
      </c>
      <c r="D95" s="24">
        <f>SUMIFS('Saldos Iniciales'!$D:$D,'Saldos Iniciales'!$A:$A,"M1B")+SUMIFS(Movimientos!$K$1:$K$858,Movimientos!$C$1:$C$858,"M1B",Movimientos!$B$1:$B$858,"&lt;="&amp;$B95)</f>
        <v>83211.250000000175</v>
      </c>
      <c r="E95" s="24">
        <f>SUMIFS('Saldos Iniciales'!$D:$D,'Saldos Iniciales'!$A:$A,"Durand")+SUMIFS(Movimientos!$K$1:$K$858,Movimientos!$C$1:$C$858,"Durand",Movimientos!$B$1:$B$858,"&lt;="&amp;$B95)</f>
        <v>1669.89</v>
      </c>
      <c r="F95" s="24">
        <f>SUMIFS('Saldos Iniciales'!$D:$D,'Saldos Iniciales'!$A:$A,"A&amp;M Imports")+SUMIFS(Movimientos!$K$1:$K$858,Movimientos!$C$1:$C$858,"A&amp;M Imports",Movimientos!$B$1:$B$858,"&lt;="&amp;$B95)</f>
        <v>1458426.0399999998</v>
      </c>
      <c r="G95" s="24">
        <f>SUMIFS('Saldos Iniciales'!$D:$D,'Saldos Iniciales'!$A:$A,"SSP Capital")+SUMIFS(Movimientos!$K$1:$K$858,Movimientos!$C$1:$C$858,"SSP Capital",Movimientos!$B$1:$B$858,"&lt;="&amp;$B95)</f>
        <v>1514477.1199999996</v>
      </c>
      <c r="H95" s="24">
        <f>SUMIFS('Saldos Iniciales'!$D:$D,'Saldos Iniciales'!$A:$A,"Cross Family Trust")+SUMIFS(Movimientos!$K$1:$K$858,Movimientos!$C$1:$C$858,"Cross Family Trust",Movimientos!$B$1:$B$858,"&lt;="&amp;$B95)</f>
        <v>190496.38</v>
      </c>
      <c r="I95" s="24">
        <f>SUMIFS('Saldos Iniciales'!$D:$D,'Saldos Iniciales'!$A:$A,"Cross Security Trust")+SUMIFS(Movimientos!$K$1:$K$858,Movimientos!$C$1:$C$858,"Cross Security Trust",Movimientos!$B$1:$B$858,"&lt;="&amp;$B95)</f>
        <v>88090.37</v>
      </c>
      <c r="J95" s="24">
        <f>SUMIFS('Saldos Iniciales'!$D:$D,'Saldos Iniciales'!$A:$A,"Electrama")+SUMIFS(Movimientos!$K$1:$K$858,Movimientos!$C$1:$C$858,"Electrama",Movimientos!$B$1:$B$858,"&lt;="&amp;$B95)</f>
        <v>14580.45</v>
      </c>
      <c r="K95" s="24">
        <f>SUMIFS('Saldos Iniciales'!$D:$D,'Saldos Iniciales'!$A:$A,"Sacred Valley Capital")+SUMIFS(Movimientos!$K$1:$K$858,Movimientos!$C$1:$C$858,"Sacred Valley Capital",Movimientos!$B$1:$B$858,"&lt;="&amp;$B95)</f>
        <v>54.400000000000006</v>
      </c>
      <c r="L95" s="24">
        <f>SUMIFS('Saldos Iniciales'!$D:$D,'Saldos Iniciales'!$A:$A,"YWC Capital")+SUMIFS(Movimientos!$K$1:$K$858,Movimientos!$C$1:$C$858,"YWC Capital",Movimientos!$B$1:$B$858,"&lt;="&amp;$B95)</f>
        <v>2207.8200000000002</v>
      </c>
      <c r="M95" s="24">
        <f>SUMIFS('Saldos Iniciales'!$D:$D,'Saldos Iniciales'!$A:$A,"Soweto")+SUMIFS(Movimientos!$K$1:$K$858,Movimientos!$C$1:$C$858,"Soweto",Movimientos!$B$1:$B$858,"&lt;="&amp;$B95)</f>
        <v>1454589.72</v>
      </c>
      <c r="N95" s="24">
        <f>SUMIFS('Saldos Iniciales'!$D:$D,'Saldos Iniciales'!$A:$A,"Green Stone Trust")+SUMIFS(Movimientos!$K$1:$K$858,Movimientos!$C$1:$C$858,"Green Stone Trust",Movimientos!$B$1:$B$858,"&lt;="&amp;$B95)</f>
        <v>1968.99</v>
      </c>
      <c r="O95" s="24">
        <f>SUMIFS('Saldos Iniciales'!$D:$D,'Saldos Iniciales'!$A:$A,"EC Auto")+SUMIFS(Movimientos!$K$1:$K$858,Movimientos!$C$1:$C$858,"EC Auto",Movimientos!$B$1:$B$858,"&lt;="&amp;$B95)</f>
        <v>901.34</v>
      </c>
      <c r="P95" s="24">
        <f>SUMIFS('Saldos Iniciales'!$D:$D,'Saldos Iniciales'!$A:$A,"Arbor Capital Properties")+SUMIFS(Movimientos!$K$1:$K$858,Movimientos!$C$1:$C$858,"Arbor Capital Properties",Movimientos!$B$1:$B$858,"&lt;="&amp;$B95)</f>
        <v>1412.08</v>
      </c>
      <c r="Q95" s="24">
        <f>SUMIFS('Saldos Iniciales'!$D:$D,'Saldos Iniciales'!$A:$A,"2515 Overbrook")+SUMIFS(Movimientos!$K$1:$K$858,Movimientos!$C$1:$C$858,"2515 Overbrook",Movimientos!$B$1:$B$858,"&lt;="&amp;$B95)</f>
        <v>22347.56999999996</v>
      </c>
      <c r="R95" s="24">
        <f>SUMIFS('Saldos Iniciales'!$D:$D,'Saldos Iniciales'!$A:$A,"112 Florida Ave")+SUMIFS(Movimientos!$K$1:$K$858,Movimientos!$C$1:$C$858,"112 Florida Ave",Movimientos!$B$1:$B$858,"&lt;="&amp;$B95)</f>
        <v>18522.800000000003</v>
      </c>
      <c r="S95" s="24">
        <f>SUMIFS('Saldos Iniciales'!$D:$D,'Saldos Iniciales'!$A:$A,"3628 Thomas Ave")+SUMIFS(Movimientos!$K$1:$K$858,Movimientos!$C$1:$C$858,"3628 Thomas Ave",Movimientos!$B$1:$B$858,"&lt;="&amp;$B95)</f>
        <v>28485.559999999998</v>
      </c>
      <c r="T95" s="24">
        <f>SUMIFS('Saldos Iniciales'!$D:$D,'Saldos Iniciales'!$A:$A,"Green Harbor Trust")+SUMIFS(Movimientos!$K$1:$K$858,Movimientos!$C$1:$C$858,"Green Harbor Trust",Movimientos!$B$1:$B$858,"&lt;="&amp;$B95)</f>
        <v>345</v>
      </c>
      <c r="U95" s="24">
        <f>SUMIFS('Saldos Iniciales'!$D:$D,'Saldos Iniciales'!$A:$A,"Go Blue")+SUMIFS(Movimientos!$K$1:$K$858,Movimientos!$C$1:$C$858,"Go Blue",Movimientos!$B$1:$B$858,"&lt;="&amp;$B95)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Group")+SUMIFS(Movimientos!$K$1:$K$858,Movimientos!$C$1:$C$858,"CFT Group",Movimientos!$B$1:$B$858,"&lt;="&amp;$B96)</f>
        <v>2468032.08</v>
      </c>
      <c r="D96" s="24">
        <f>SUMIFS('Saldos Iniciales'!$D:$D,'Saldos Iniciales'!$A:$A,"M1B")+SUMIFS(Movimientos!$K$1:$K$858,Movimientos!$C$1:$C$858,"M1B",Movimientos!$B$1:$B$858,"&lt;="&amp;$B96)</f>
        <v>83211.250000000175</v>
      </c>
      <c r="E96" s="24">
        <f>SUMIFS('Saldos Iniciales'!$D:$D,'Saldos Iniciales'!$A:$A,"Durand")+SUMIFS(Movimientos!$K$1:$K$858,Movimientos!$C$1:$C$858,"Durand",Movimientos!$B$1:$B$858,"&lt;="&amp;$B96)</f>
        <v>1669.89</v>
      </c>
      <c r="F96" s="24">
        <f>SUMIFS('Saldos Iniciales'!$D:$D,'Saldos Iniciales'!$A:$A,"A&amp;M Imports")+SUMIFS(Movimientos!$K$1:$K$858,Movimientos!$C$1:$C$858,"A&amp;M Imports",Movimientos!$B$1:$B$858,"&lt;="&amp;$B96)</f>
        <v>1458426.0399999998</v>
      </c>
      <c r="G96" s="24">
        <f>SUMIFS('Saldos Iniciales'!$D:$D,'Saldos Iniciales'!$A:$A,"SSP Capital")+SUMIFS(Movimientos!$K$1:$K$858,Movimientos!$C$1:$C$858,"SSP Capital",Movimientos!$B$1:$B$858,"&lt;="&amp;$B96)</f>
        <v>1514477.1199999996</v>
      </c>
      <c r="H96" s="24">
        <f>SUMIFS('Saldos Iniciales'!$D:$D,'Saldos Iniciales'!$A:$A,"Cross Family Trust")+SUMIFS(Movimientos!$K$1:$K$858,Movimientos!$C$1:$C$858,"Cross Family Trust",Movimientos!$B$1:$B$858,"&lt;="&amp;$B96)</f>
        <v>190496.38</v>
      </c>
      <c r="I96" s="24">
        <f>SUMIFS('Saldos Iniciales'!$D:$D,'Saldos Iniciales'!$A:$A,"Cross Security Trust")+SUMIFS(Movimientos!$K$1:$K$858,Movimientos!$C$1:$C$858,"Cross Security Trust",Movimientos!$B$1:$B$858,"&lt;="&amp;$B96)</f>
        <v>88090.37</v>
      </c>
      <c r="J96" s="24">
        <f>SUMIFS('Saldos Iniciales'!$D:$D,'Saldos Iniciales'!$A:$A,"Electrama")+SUMIFS(Movimientos!$K$1:$K$858,Movimientos!$C$1:$C$858,"Electrama",Movimientos!$B$1:$B$858,"&lt;="&amp;$B96)</f>
        <v>14580.45</v>
      </c>
      <c r="K96" s="24">
        <f>SUMIFS('Saldos Iniciales'!$D:$D,'Saldos Iniciales'!$A:$A,"Sacred Valley Capital")+SUMIFS(Movimientos!$K$1:$K$858,Movimientos!$C$1:$C$858,"Sacred Valley Capital",Movimientos!$B$1:$B$858,"&lt;="&amp;$B96)</f>
        <v>24.450000000000003</v>
      </c>
      <c r="L96" s="24">
        <f>SUMIFS('Saldos Iniciales'!$D:$D,'Saldos Iniciales'!$A:$A,"YWC Capital")+SUMIFS(Movimientos!$K$1:$K$858,Movimientos!$C$1:$C$858,"YWC Capital",Movimientos!$B$1:$B$858,"&lt;="&amp;$B96)</f>
        <v>2177.87</v>
      </c>
      <c r="M96" s="24">
        <f>SUMIFS('Saldos Iniciales'!$D:$D,'Saldos Iniciales'!$A:$A,"Soweto")+SUMIFS(Movimientos!$K$1:$K$858,Movimientos!$C$1:$C$858,"Soweto",Movimientos!$B$1:$B$858,"&lt;="&amp;$B96)</f>
        <v>1454589.72</v>
      </c>
      <c r="N96" s="24">
        <f>SUMIFS('Saldos Iniciales'!$D:$D,'Saldos Iniciales'!$A:$A,"Green Stone Trust")+SUMIFS(Movimientos!$K$1:$K$858,Movimientos!$C$1:$C$858,"Green Stone Trust",Movimientos!$B$1:$B$858,"&lt;="&amp;$B96)</f>
        <v>1968.99</v>
      </c>
      <c r="O96" s="24">
        <f>SUMIFS('Saldos Iniciales'!$D:$D,'Saldos Iniciales'!$A:$A,"EC Auto")+SUMIFS(Movimientos!$K$1:$K$858,Movimientos!$C$1:$C$858,"EC Auto",Movimientos!$B$1:$B$858,"&lt;="&amp;$B96)</f>
        <v>901.34</v>
      </c>
      <c r="P96" s="24">
        <f>SUMIFS('Saldos Iniciales'!$D:$D,'Saldos Iniciales'!$A:$A,"Arbor Capital Properties")+SUMIFS(Movimientos!$K$1:$K$858,Movimientos!$C$1:$C$858,"Arbor Capital Properties",Movimientos!$B$1:$B$858,"&lt;="&amp;$B96)</f>
        <v>1396.08</v>
      </c>
      <c r="Q96" s="24">
        <f>SUMIFS('Saldos Iniciales'!$D:$D,'Saldos Iniciales'!$A:$A,"2515 Overbrook")+SUMIFS(Movimientos!$K$1:$K$858,Movimientos!$C$1:$C$858,"2515 Overbrook",Movimientos!$B$1:$B$858,"&lt;="&amp;$B96)</f>
        <v>13804.239999999962</v>
      </c>
      <c r="R96" s="24">
        <f>SUMIFS('Saldos Iniciales'!$D:$D,'Saldos Iniciales'!$A:$A,"112 Florida Ave")+SUMIFS(Movimientos!$K$1:$K$858,Movimientos!$C$1:$C$858,"112 Florida Ave",Movimientos!$B$1:$B$858,"&lt;="&amp;$B96)</f>
        <v>8724.1700000000037</v>
      </c>
      <c r="S96" s="24">
        <f>SUMIFS('Saldos Iniciales'!$D:$D,'Saldos Iniciales'!$A:$A,"3628 Thomas Ave")+SUMIFS(Movimientos!$K$1:$K$858,Movimientos!$C$1:$C$858,"3628 Thomas Ave",Movimientos!$B$1:$B$858,"&lt;="&amp;$B96)</f>
        <v>15106.099999999997</v>
      </c>
      <c r="T96" s="24">
        <f>SUMIFS('Saldos Iniciales'!$D:$D,'Saldos Iniciales'!$A:$A,"Green Harbor Trust")+SUMIFS(Movimientos!$K$1:$K$858,Movimientos!$C$1:$C$858,"Green Harbor Trust",Movimientos!$B$1:$B$858,"&lt;="&amp;$B96)</f>
        <v>345</v>
      </c>
      <c r="U96" s="24">
        <f>SUMIFS('Saldos Iniciales'!$D:$D,'Saldos Iniciales'!$A:$A,"Go Blue")+SUMIFS(Movimientos!$K$1:$K$858,Movimientos!$C$1:$C$858,"Go Blue",Movimientos!$B$1:$B$858,"&lt;="&amp;$B96)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Group")+SUMIFS(Movimientos!$K$1:$K$858,Movimientos!$C$1:$C$858,"CFT Group",Movimientos!$B$1:$B$858,"&lt;="&amp;$B97)</f>
        <v>2468032.08</v>
      </c>
      <c r="D97" s="24">
        <f>SUMIFS('Saldos Iniciales'!$D:$D,'Saldos Iniciales'!$A:$A,"M1B")+SUMIFS(Movimientos!$K$1:$K$858,Movimientos!$C$1:$C$858,"M1B",Movimientos!$B$1:$B$858,"&lt;="&amp;$B97)</f>
        <v>83211.250000000175</v>
      </c>
      <c r="E97" s="24">
        <f>SUMIFS('Saldos Iniciales'!$D:$D,'Saldos Iniciales'!$A:$A,"Durand")+SUMIFS(Movimientos!$K$1:$K$858,Movimientos!$C$1:$C$858,"Durand",Movimientos!$B$1:$B$858,"&lt;="&amp;$B97)</f>
        <v>1669.89</v>
      </c>
      <c r="F97" s="24">
        <f>SUMIFS('Saldos Iniciales'!$D:$D,'Saldos Iniciales'!$A:$A,"A&amp;M Imports")+SUMIFS(Movimientos!$K$1:$K$858,Movimientos!$C$1:$C$858,"A&amp;M Imports",Movimientos!$B$1:$B$858,"&lt;="&amp;$B97)</f>
        <v>1458426.0399999998</v>
      </c>
      <c r="G97" s="24">
        <f>SUMIFS('Saldos Iniciales'!$D:$D,'Saldos Iniciales'!$A:$A,"SSP Capital")+SUMIFS(Movimientos!$K$1:$K$858,Movimientos!$C$1:$C$858,"SSP Capital",Movimientos!$B$1:$B$858,"&lt;="&amp;$B97)</f>
        <v>1513867.4199999995</v>
      </c>
      <c r="H97" s="24">
        <f>SUMIFS('Saldos Iniciales'!$D:$D,'Saldos Iniciales'!$A:$A,"Cross Family Trust")+SUMIFS(Movimientos!$K$1:$K$858,Movimientos!$C$1:$C$858,"Cross Family Trust",Movimientos!$B$1:$B$858,"&lt;="&amp;$B97)</f>
        <v>184496.38</v>
      </c>
      <c r="I97" s="24">
        <f>SUMIFS('Saldos Iniciales'!$D:$D,'Saldos Iniciales'!$A:$A,"Cross Security Trust")+SUMIFS(Movimientos!$K$1:$K$858,Movimientos!$C$1:$C$858,"Cross Security Trust",Movimientos!$B$1:$B$858,"&lt;="&amp;$B97)</f>
        <v>88090.37</v>
      </c>
      <c r="J97" s="24">
        <f>SUMIFS('Saldos Iniciales'!$D:$D,'Saldos Iniciales'!$A:$A,"Electrama")+SUMIFS(Movimientos!$K$1:$K$858,Movimientos!$C$1:$C$858,"Electrama",Movimientos!$B$1:$B$858,"&lt;="&amp;$B97)</f>
        <v>14580.45</v>
      </c>
      <c r="K97" s="24">
        <f>SUMIFS('Saldos Iniciales'!$D:$D,'Saldos Iniciales'!$A:$A,"Sacred Valley Capital")+SUMIFS(Movimientos!$K$1:$K$858,Movimientos!$C$1:$C$858,"Sacred Valley Capital",Movimientos!$B$1:$B$858,"&lt;="&amp;$B97)</f>
        <v>24.450000000000003</v>
      </c>
      <c r="L97" s="24">
        <f>SUMIFS('Saldos Iniciales'!$D:$D,'Saldos Iniciales'!$A:$A,"YWC Capital")+SUMIFS(Movimientos!$K$1:$K$858,Movimientos!$C$1:$C$858,"YWC Capital",Movimientos!$B$1:$B$858,"&lt;="&amp;$B97)</f>
        <v>2177.87</v>
      </c>
      <c r="M97" s="24">
        <f>SUMIFS('Saldos Iniciales'!$D:$D,'Saldos Iniciales'!$A:$A,"Soweto")+SUMIFS(Movimientos!$K$1:$K$858,Movimientos!$C$1:$C$858,"Soweto",Movimientos!$B$1:$B$858,"&lt;="&amp;$B97)</f>
        <v>1454589.72</v>
      </c>
      <c r="N97" s="24">
        <f>SUMIFS('Saldos Iniciales'!$D:$D,'Saldos Iniciales'!$A:$A,"Green Stone Trust")+SUMIFS(Movimientos!$K$1:$K$858,Movimientos!$C$1:$C$858,"Green Stone Trust",Movimientos!$B$1:$B$858,"&lt;="&amp;$B97)</f>
        <v>1968.99</v>
      </c>
      <c r="O97" s="24">
        <f>SUMIFS('Saldos Iniciales'!$D:$D,'Saldos Iniciales'!$A:$A,"EC Auto")+SUMIFS(Movimientos!$K$1:$K$858,Movimientos!$C$1:$C$858,"EC Auto",Movimientos!$B$1:$B$858,"&lt;="&amp;$B97)</f>
        <v>901.34</v>
      </c>
      <c r="P97" s="24">
        <f>SUMIFS('Saldos Iniciales'!$D:$D,'Saldos Iniciales'!$A:$A,"Arbor Capital Properties")+SUMIFS(Movimientos!$K$1:$K$858,Movimientos!$C$1:$C$858,"Arbor Capital Properties",Movimientos!$B$1:$B$858,"&lt;="&amp;$B97)</f>
        <v>1396.08</v>
      </c>
      <c r="Q97" s="24">
        <f>SUMIFS('Saldos Iniciales'!$D:$D,'Saldos Iniciales'!$A:$A,"2515 Overbrook")+SUMIFS(Movimientos!$K$1:$K$858,Movimientos!$C$1:$C$858,"2515 Overbrook",Movimientos!$B$1:$B$858,"&lt;="&amp;$B97)</f>
        <v>13804.239999999962</v>
      </c>
      <c r="R97" s="24">
        <f>SUMIFS('Saldos Iniciales'!$D:$D,'Saldos Iniciales'!$A:$A,"112 Florida Ave")+SUMIFS(Movimientos!$K$1:$K$858,Movimientos!$C$1:$C$858,"112 Florida Ave",Movimientos!$B$1:$B$858,"&lt;="&amp;$B97)</f>
        <v>8724.1700000000037</v>
      </c>
      <c r="S97" s="24">
        <f>SUMIFS('Saldos Iniciales'!$D:$D,'Saldos Iniciales'!$A:$A,"3628 Thomas Ave")+SUMIFS(Movimientos!$K$1:$K$858,Movimientos!$C$1:$C$858,"3628 Thomas Ave",Movimientos!$B$1:$B$858,"&lt;="&amp;$B97)</f>
        <v>15106.099999999997</v>
      </c>
      <c r="T97" s="24">
        <f>SUMIFS('Saldos Iniciales'!$D:$D,'Saldos Iniciales'!$A:$A,"Green Harbor Trust")+SUMIFS(Movimientos!$K$1:$K$858,Movimientos!$C$1:$C$858,"Green Harbor Trust",Movimientos!$B$1:$B$858,"&lt;="&amp;$B97)</f>
        <v>345</v>
      </c>
      <c r="U97" s="24">
        <f>SUMIFS('Saldos Iniciales'!$D:$D,'Saldos Iniciales'!$A:$A,"Go Blue")+SUMIFS(Movimientos!$K$1:$K$858,Movimientos!$C$1:$C$858,"Go Blue",Movimientos!$B$1:$B$858,"&lt;="&amp;$B97)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Group")+SUMIFS(Movimientos!$K$1:$K$858,Movimientos!$C$1:$C$858,"CFT Group",Movimientos!$B$1:$B$858,"&lt;="&amp;$B98)</f>
        <v>2468032.08</v>
      </c>
      <c r="D98" s="24">
        <f>SUMIFS('Saldos Iniciales'!$D:$D,'Saldos Iniciales'!$A:$A,"M1B")+SUMIFS(Movimientos!$K$1:$K$858,Movimientos!$C$1:$C$858,"M1B",Movimientos!$B$1:$B$858,"&lt;="&amp;$B98)</f>
        <v>83211.250000000175</v>
      </c>
      <c r="E98" s="24">
        <f>SUMIFS('Saldos Iniciales'!$D:$D,'Saldos Iniciales'!$A:$A,"Durand")+SUMIFS(Movimientos!$K$1:$K$858,Movimientos!$C$1:$C$858,"Durand",Movimientos!$B$1:$B$858,"&lt;="&amp;$B98)</f>
        <v>1669.89</v>
      </c>
      <c r="F98" s="24">
        <f>SUMIFS('Saldos Iniciales'!$D:$D,'Saldos Iniciales'!$A:$A,"A&amp;M Imports")+SUMIFS(Movimientos!$K$1:$K$858,Movimientos!$C$1:$C$858,"A&amp;M Imports",Movimientos!$B$1:$B$858,"&lt;="&amp;$B98)</f>
        <v>1452426.0399999998</v>
      </c>
      <c r="G98" s="24">
        <f>SUMIFS('Saldos Iniciales'!$D:$D,'Saldos Iniciales'!$A:$A,"SSP Capital")+SUMIFS(Movimientos!$K$1:$K$858,Movimientos!$C$1:$C$858,"SSP Capital",Movimientos!$B$1:$B$858,"&lt;="&amp;$B98)</f>
        <v>1512187.6399999997</v>
      </c>
      <c r="H98" s="24">
        <f>SUMIFS('Saldos Iniciales'!$D:$D,'Saldos Iniciales'!$A:$A,"Cross Family Trust")+SUMIFS(Movimientos!$K$1:$K$858,Movimientos!$C$1:$C$858,"Cross Family Trust",Movimientos!$B$1:$B$858,"&lt;="&amp;$B98)</f>
        <v>184496.38</v>
      </c>
      <c r="I98" s="24">
        <f>SUMIFS('Saldos Iniciales'!$D:$D,'Saldos Iniciales'!$A:$A,"Cross Security Trust")+SUMIFS(Movimientos!$K$1:$K$858,Movimientos!$C$1:$C$858,"Cross Security Trust",Movimientos!$B$1:$B$858,"&lt;="&amp;$B98)</f>
        <v>88090.37</v>
      </c>
      <c r="J98" s="24">
        <f>SUMIFS('Saldos Iniciales'!$D:$D,'Saldos Iniciales'!$A:$A,"Electrama")+SUMIFS(Movimientos!$K$1:$K$858,Movimientos!$C$1:$C$858,"Electrama",Movimientos!$B$1:$B$858,"&lt;="&amp;$B98)</f>
        <v>14580.45</v>
      </c>
      <c r="K98" s="24">
        <f>SUMIFS('Saldos Iniciales'!$D:$D,'Saldos Iniciales'!$A:$A,"Sacred Valley Capital")+SUMIFS(Movimientos!$K$1:$K$858,Movimientos!$C$1:$C$858,"Sacred Valley Capital",Movimientos!$B$1:$B$858,"&lt;="&amp;$B98)</f>
        <v>24.450000000000003</v>
      </c>
      <c r="L98" s="24">
        <f>SUMIFS('Saldos Iniciales'!$D:$D,'Saldos Iniciales'!$A:$A,"YWC Capital")+SUMIFS(Movimientos!$K$1:$K$858,Movimientos!$C$1:$C$858,"YWC Capital",Movimientos!$B$1:$B$858,"&lt;="&amp;$B98)</f>
        <v>2177.87</v>
      </c>
      <c r="M98" s="24">
        <f>SUMIFS('Saldos Iniciales'!$D:$D,'Saldos Iniciales'!$A:$A,"Soweto")+SUMIFS(Movimientos!$K$1:$K$858,Movimientos!$C$1:$C$858,"Soweto",Movimientos!$B$1:$B$858,"&lt;="&amp;$B98)</f>
        <v>1454589.72</v>
      </c>
      <c r="N98" s="24">
        <f>SUMIFS('Saldos Iniciales'!$D:$D,'Saldos Iniciales'!$A:$A,"Green Stone Trust")+SUMIFS(Movimientos!$K$1:$K$858,Movimientos!$C$1:$C$858,"Green Stone Trust",Movimientos!$B$1:$B$858,"&lt;="&amp;$B98)</f>
        <v>1968.99</v>
      </c>
      <c r="O98" s="24">
        <f>SUMIFS('Saldos Iniciales'!$D:$D,'Saldos Iniciales'!$A:$A,"EC Auto")+SUMIFS(Movimientos!$K$1:$K$858,Movimientos!$C$1:$C$858,"EC Auto",Movimientos!$B$1:$B$858,"&lt;="&amp;$B98)</f>
        <v>901.34</v>
      </c>
      <c r="P98" s="24">
        <f>SUMIFS('Saldos Iniciales'!$D:$D,'Saldos Iniciales'!$A:$A,"Arbor Capital Properties")+SUMIFS(Movimientos!$K$1:$K$858,Movimientos!$C$1:$C$858,"Arbor Capital Properties",Movimientos!$B$1:$B$858,"&lt;="&amp;$B98)</f>
        <v>1396.08</v>
      </c>
      <c r="Q98" s="24">
        <f>SUMIFS('Saldos Iniciales'!$D:$D,'Saldos Iniciales'!$A:$A,"2515 Overbrook")+SUMIFS(Movimientos!$K$1:$K$858,Movimientos!$C$1:$C$858,"2515 Overbrook",Movimientos!$B$1:$B$858,"&lt;="&amp;$B98)</f>
        <v>13804.239999999962</v>
      </c>
      <c r="R98" s="24">
        <f>SUMIFS('Saldos Iniciales'!$D:$D,'Saldos Iniciales'!$A:$A,"112 Florida Ave")+SUMIFS(Movimientos!$K$1:$K$858,Movimientos!$C$1:$C$858,"112 Florida Ave",Movimientos!$B$1:$B$858,"&lt;="&amp;$B98)</f>
        <v>8724.1700000000037</v>
      </c>
      <c r="S98" s="24">
        <f>SUMIFS('Saldos Iniciales'!$D:$D,'Saldos Iniciales'!$A:$A,"3628 Thomas Ave")+SUMIFS(Movimientos!$K$1:$K$858,Movimientos!$C$1:$C$858,"3628 Thomas Ave",Movimientos!$B$1:$B$858,"&lt;="&amp;$B98)</f>
        <v>15106.099999999997</v>
      </c>
      <c r="T98" s="24">
        <f>SUMIFS('Saldos Iniciales'!$D:$D,'Saldos Iniciales'!$A:$A,"Green Harbor Trust")+SUMIFS(Movimientos!$K$1:$K$858,Movimientos!$C$1:$C$858,"Green Harbor Trust",Movimientos!$B$1:$B$858,"&lt;="&amp;$B98)</f>
        <v>345</v>
      </c>
      <c r="U98" s="24">
        <f>SUMIFS('Saldos Iniciales'!$D:$D,'Saldos Iniciales'!$A:$A,"Go Blue")+SUMIFS(Movimientos!$K$1:$K$858,Movimientos!$C$1:$C$858,"Go Blue",Movimientos!$B$1:$B$858,"&lt;="&amp;$B98)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Group")+SUMIFS(Movimientos!$K$1:$K$858,Movimientos!$C$1:$C$858,"CFT Group",Movimientos!$B$1:$B$858,"&lt;="&amp;$B99)</f>
        <v>1153390.4100000001</v>
      </c>
      <c r="D99" s="24">
        <f>SUMIFS('Saldos Iniciales'!$D:$D,'Saldos Iniciales'!$A:$A,"M1B")+SUMIFS(Movimientos!$K$1:$K$858,Movimientos!$C$1:$C$858,"M1B",Movimientos!$B$1:$B$858,"&lt;="&amp;$B99)</f>
        <v>83211.250000000175</v>
      </c>
      <c r="E99" s="24">
        <f>SUMIFS('Saldos Iniciales'!$D:$D,'Saldos Iniciales'!$A:$A,"Durand")+SUMIFS(Movimientos!$K$1:$K$858,Movimientos!$C$1:$C$858,"Durand",Movimientos!$B$1:$B$858,"&lt;="&amp;$B99)</f>
        <v>1669.89</v>
      </c>
      <c r="F99" s="24">
        <f>SUMIFS('Saldos Iniciales'!$D:$D,'Saldos Iniciales'!$A:$A,"A&amp;M Imports")+SUMIFS(Movimientos!$K$1:$K$858,Movimientos!$C$1:$C$858,"A&amp;M Imports",Movimientos!$B$1:$B$858,"&lt;="&amp;$B99)</f>
        <v>1349451.94</v>
      </c>
      <c r="G99" s="24">
        <f>SUMIFS('Saldos Iniciales'!$D:$D,'Saldos Iniciales'!$A:$A,"SSP Capital")+SUMIFS(Movimientos!$K$1:$K$858,Movimientos!$C$1:$C$858,"SSP Capital",Movimientos!$B$1:$B$858,"&lt;="&amp;$B99)</f>
        <v>2102073.7899999996</v>
      </c>
      <c r="H99" s="24">
        <f>SUMIFS('Saldos Iniciales'!$D:$D,'Saldos Iniciales'!$A:$A,"Cross Family Trust")+SUMIFS(Movimientos!$K$1:$K$858,Movimientos!$C$1:$C$858,"Cross Family Trust",Movimientos!$B$1:$B$858,"&lt;="&amp;$B99)</f>
        <v>171496.38</v>
      </c>
      <c r="I99" s="24">
        <f>SUMIFS('Saldos Iniciales'!$D:$D,'Saldos Iniciales'!$A:$A,"Cross Security Trust")+SUMIFS(Movimientos!$K$1:$K$858,Movimientos!$C$1:$C$858,"Cross Security Trust",Movimientos!$B$1:$B$858,"&lt;="&amp;$B99)</f>
        <v>88090.37</v>
      </c>
      <c r="J99" s="24">
        <f>SUMIFS('Saldos Iniciales'!$D:$D,'Saldos Iniciales'!$A:$A,"Electrama")+SUMIFS(Movimientos!$K$1:$K$858,Movimientos!$C$1:$C$858,"Electrama",Movimientos!$B$1:$B$858,"&lt;="&amp;$B99)</f>
        <v>14580.45</v>
      </c>
      <c r="K99" s="24">
        <f>SUMIFS('Saldos Iniciales'!$D:$D,'Saldos Iniciales'!$A:$A,"Sacred Valley Capital")+SUMIFS(Movimientos!$K$1:$K$858,Movimientos!$C$1:$C$858,"Sacred Valley Capital",Movimientos!$B$1:$B$858,"&lt;="&amp;$B99)</f>
        <v>24.450000000000003</v>
      </c>
      <c r="L99" s="24">
        <f>SUMIFS('Saldos Iniciales'!$D:$D,'Saldos Iniciales'!$A:$A,"YWC Capital")+SUMIFS(Movimientos!$K$1:$K$858,Movimientos!$C$1:$C$858,"YWC Capital",Movimientos!$B$1:$B$858,"&lt;="&amp;$B99)</f>
        <v>2177.87</v>
      </c>
      <c r="M99" s="24">
        <f>SUMIFS('Saldos Iniciales'!$D:$D,'Saldos Iniciales'!$A:$A,"Soweto")+SUMIFS(Movimientos!$K$1:$K$858,Movimientos!$C$1:$C$858,"Soweto",Movimientos!$B$1:$B$858,"&lt;="&amp;$B99)</f>
        <v>1454589.72</v>
      </c>
      <c r="N99" s="24">
        <f>SUMIFS('Saldos Iniciales'!$D:$D,'Saldos Iniciales'!$A:$A,"Green Stone Trust")+SUMIFS(Movimientos!$K$1:$K$858,Movimientos!$C$1:$C$858,"Green Stone Trust",Movimientos!$B$1:$B$858,"&lt;="&amp;$B99)</f>
        <v>1968.99</v>
      </c>
      <c r="O99" s="24">
        <f>SUMIFS('Saldos Iniciales'!$D:$D,'Saldos Iniciales'!$A:$A,"EC Auto")+SUMIFS(Movimientos!$K$1:$K$858,Movimientos!$C$1:$C$858,"EC Auto",Movimientos!$B$1:$B$858,"&lt;="&amp;$B99)</f>
        <v>901.34</v>
      </c>
      <c r="P99" s="24">
        <f>SUMIFS('Saldos Iniciales'!$D:$D,'Saldos Iniciales'!$A:$A,"Arbor Capital Properties")+SUMIFS(Movimientos!$K$1:$K$858,Movimientos!$C$1:$C$858,"Arbor Capital Properties",Movimientos!$B$1:$B$858,"&lt;="&amp;$B99)</f>
        <v>1396.08</v>
      </c>
      <c r="Q99" s="24">
        <f>SUMIFS('Saldos Iniciales'!$D:$D,'Saldos Iniciales'!$A:$A,"2515 Overbrook")+SUMIFS(Movimientos!$K$1:$K$858,Movimientos!$C$1:$C$858,"2515 Overbrook",Movimientos!$B$1:$B$858,"&lt;="&amp;$B99)</f>
        <v>13804.239999999962</v>
      </c>
      <c r="R99" s="24">
        <f>SUMIFS('Saldos Iniciales'!$D:$D,'Saldos Iniciales'!$A:$A,"112 Florida Ave")+SUMIFS(Movimientos!$K$1:$K$858,Movimientos!$C$1:$C$858,"112 Florida Ave",Movimientos!$B$1:$B$858,"&lt;="&amp;$B99)</f>
        <v>8724.1700000000037</v>
      </c>
      <c r="S99" s="24">
        <f>SUMIFS('Saldos Iniciales'!$D:$D,'Saldos Iniciales'!$A:$A,"3628 Thomas Ave")+SUMIFS(Movimientos!$K$1:$K$858,Movimientos!$C$1:$C$858,"3628 Thomas Ave",Movimientos!$B$1:$B$858,"&lt;="&amp;$B99)</f>
        <v>15106.099999999997</v>
      </c>
      <c r="T99" s="24">
        <f>SUMIFS('Saldos Iniciales'!$D:$D,'Saldos Iniciales'!$A:$A,"Green Harbor Trust")+SUMIFS(Movimientos!$K$1:$K$858,Movimientos!$C$1:$C$858,"Green Harbor Trust",Movimientos!$B$1:$B$858,"&lt;="&amp;$B99)</f>
        <v>345</v>
      </c>
      <c r="U99" s="24">
        <f>SUMIFS('Saldos Iniciales'!$D:$D,'Saldos Iniciales'!$A:$A,"Go Blue")+SUMIFS(Movimientos!$K$1:$K$858,Movimientos!$C$1:$C$858,"Go Blue",Movimientos!$B$1:$B$858,"&lt;="&amp;$B99)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Group")+SUMIFS(Movimientos!$K$1:$K$858,Movimientos!$C$1:$C$858,"CFT Group",Movimientos!$B$1:$B$858,"&lt;="&amp;$B100)</f>
        <v>1153390.4100000001</v>
      </c>
      <c r="D100" s="24">
        <f>SUMIFS('Saldos Iniciales'!$D:$D,'Saldos Iniciales'!$A:$A,"M1B")+SUMIFS(Movimientos!$K$1:$K$858,Movimientos!$C$1:$C$858,"M1B",Movimientos!$B$1:$B$858,"&lt;="&amp;$B100)</f>
        <v>83211.250000000175</v>
      </c>
      <c r="E100" s="24">
        <f>SUMIFS('Saldos Iniciales'!$D:$D,'Saldos Iniciales'!$A:$A,"Durand")+SUMIFS(Movimientos!$K$1:$K$858,Movimientos!$C$1:$C$858,"Durand",Movimientos!$B$1:$B$858,"&lt;="&amp;$B100)</f>
        <v>1669.89</v>
      </c>
      <c r="F100" s="24">
        <f>SUMIFS('Saldos Iniciales'!$D:$D,'Saldos Iniciales'!$A:$A,"A&amp;M Imports")+SUMIFS(Movimientos!$K$1:$K$858,Movimientos!$C$1:$C$858,"A&amp;M Imports",Movimientos!$B$1:$B$858,"&lt;="&amp;$B100)</f>
        <v>1349451.94</v>
      </c>
      <c r="G100" s="24">
        <f>SUMIFS('Saldos Iniciales'!$D:$D,'Saldos Iniciales'!$A:$A,"SSP Capital")+SUMIFS(Movimientos!$K$1:$K$858,Movimientos!$C$1:$C$858,"SSP Capital",Movimientos!$B$1:$B$858,"&lt;="&amp;$B100)</f>
        <v>2102073.7899999996</v>
      </c>
      <c r="H100" s="24">
        <f>SUMIFS('Saldos Iniciales'!$D:$D,'Saldos Iniciales'!$A:$A,"Cross Family Trust")+SUMIFS(Movimientos!$K$1:$K$858,Movimientos!$C$1:$C$858,"Cross Family Trust",Movimientos!$B$1:$B$858,"&lt;="&amp;$B100)</f>
        <v>171496.38</v>
      </c>
      <c r="I100" s="24">
        <f>SUMIFS('Saldos Iniciales'!$D:$D,'Saldos Iniciales'!$A:$A,"Cross Security Trust")+SUMIFS(Movimientos!$K$1:$K$858,Movimientos!$C$1:$C$858,"Cross Security Trust",Movimientos!$B$1:$B$858,"&lt;="&amp;$B100)</f>
        <v>88090.37</v>
      </c>
      <c r="J100" s="24">
        <f>SUMIFS('Saldos Iniciales'!$D:$D,'Saldos Iniciales'!$A:$A,"Electrama")+SUMIFS(Movimientos!$K$1:$K$858,Movimientos!$C$1:$C$858,"Electrama",Movimientos!$B$1:$B$858,"&lt;="&amp;$B100)</f>
        <v>14580.45</v>
      </c>
      <c r="K100" s="24">
        <f>SUMIFS('Saldos Iniciales'!$D:$D,'Saldos Iniciales'!$A:$A,"Sacred Valley Capital")+SUMIFS(Movimientos!$K$1:$K$858,Movimientos!$C$1:$C$858,"Sacred Valley Capital",Movimientos!$B$1:$B$858,"&lt;="&amp;$B100)</f>
        <v>24.450000000000003</v>
      </c>
      <c r="L100" s="24">
        <f>SUMIFS('Saldos Iniciales'!$D:$D,'Saldos Iniciales'!$A:$A,"YWC Capital")+SUMIFS(Movimientos!$K$1:$K$858,Movimientos!$C$1:$C$858,"YWC Capital",Movimientos!$B$1:$B$858,"&lt;="&amp;$B100)</f>
        <v>2177.87</v>
      </c>
      <c r="M100" s="24">
        <f>SUMIFS('Saldos Iniciales'!$D:$D,'Saldos Iniciales'!$A:$A,"Soweto")+SUMIFS(Movimientos!$K$1:$K$858,Movimientos!$C$1:$C$858,"Soweto",Movimientos!$B$1:$B$858,"&lt;="&amp;$B100)</f>
        <v>1454589.72</v>
      </c>
      <c r="N100" s="24">
        <f>SUMIFS('Saldos Iniciales'!$D:$D,'Saldos Iniciales'!$A:$A,"Green Stone Trust")+SUMIFS(Movimientos!$K$1:$K$858,Movimientos!$C$1:$C$858,"Green Stone Trust",Movimientos!$B$1:$B$858,"&lt;="&amp;$B100)</f>
        <v>1968.99</v>
      </c>
      <c r="O100" s="24">
        <f>SUMIFS('Saldos Iniciales'!$D:$D,'Saldos Iniciales'!$A:$A,"EC Auto")+SUMIFS(Movimientos!$K$1:$K$858,Movimientos!$C$1:$C$858,"EC Auto",Movimientos!$B$1:$B$858,"&lt;="&amp;$B100)</f>
        <v>901.34</v>
      </c>
      <c r="P100" s="24">
        <f>SUMIFS('Saldos Iniciales'!$D:$D,'Saldos Iniciales'!$A:$A,"Arbor Capital Properties")+SUMIFS(Movimientos!$K$1:$K$858,Movimientos!$C$1:$C$858,"Arbor Capital Properties",Movimientos!$B$1:$B$858,"&lt;="&amp;$B100)</f>
        <v>1396.08</v>
      </c>
      <c r="Q100" s="24">
        <f>SUMIFS('Saldos Iniciales'!$D:$D,'Saldos Iniciales'!$A:$A,"2515 Overbrook")+SUMIFS(Movimientos!$K$1:$K$858,Movimientos!$C$1:$C$858,"2515 Overbrook",Movimientos!$B$1:$B$858,"&lt;="&amp;$B100)</f>
        <v>11259.639999999961</v>
      </c>
      <c r="R100" s="24">
        <f>SUMIFS('Saldos Iniciales'!$D:$D,'Saldos Iniciales'!$A:$A,"112 Florida Ave")+SUMIFS(Movimientos!$K$1:$K$858,Movimientos!$C$1:$C$858,"112 Florida Ave",Movimientos!$B$1:$B$858,"&lt;="&amp;$B100)</f>
        <v>8724.1700000000037</v>
      </c>
      <c r="S100" s="24">
        <f>SUMIFS('Saldos Iniciales'!$D:$D,'Saldos Iniciales'!$A:$A,"3628 Thomas Ave")+SUMIFS(Movimientos!$K$1:$K$858,Movimientos!$C$1:$C$858,"3628 Thomas Ave",Movimientos!$B$1:$B$858,"&lt;="&amp;$B100)</f>
        <v>20106.099999999999</v>
      </c>
      <c r="T100" s="24">
        <f>SUMIFS('Saldos Iniciales'!$D:$D,'Saldos Iniciales'!$A:$A,"Green Harbor Trust")+SUMIFS(Movimientos!$K$1:$K$858,Movimientos!$C$1:$C$858,"Green Harbor Trust",Movimientos!$B$1:$B$858,"&lt;="&amp;$B100)</f>
        <v>345</v>
      </c>
      <c r="U100" s="24">
        <f>SUMIFS('Saldos Iniciales'!$D:$D,'Saldos Iniciales'!$A:$A,"Go Blue")+SUMIFS(Movimientos!$K$1:$K$858,Movimientos!$C$1:$C$858,"Go Blue",Movimientos!$B$1:$B$858,"&lt;="&amp;$B100)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Group")+SUMIFS(Movimientos!$K$1:$K$858,Movimientos!$C$1:$C$858,"CFT Group",Movimientos!$B$1:$B$858,"&lt;="&amp;$B101)</f>
        <v>1153390.4100000001</v>
      </c>
      <c r="D101" s="24">
        <f>SUMIFS('Saldos Iniciales'!$D:$D,'Saldos Iniciales'!$A:$A,"M1B")+SUMIFS(Movimientos!$K$1:$K$858,Movimientos!$C$1:$C$858,"M1B",Movimientos!$B$1:$B$858,"&lt;="&amp;$B101)</f>
        <v>83211.250000000175</v>
      </c>
      <c r="E101" s="24">
        <f>SUMIFS('Saldos Iniciales'!$D:$D,'Saldos Iniciales'!$A:$A,"Durand")+SUMIFS(Movimientos!$K$1:$K$858,Movimientos!$C$1:$C$858,"Durand",Movimientos!$B$1:$B$858,"&lt;="&amp;$B101)</f>
        <v>1669.89</v>
      </c>
      <c r="F101" s="24">
        <f>SUMIFS('Saldos Iniciales'!$D:$D,'Saldos Iniciales'!$A:$A,"A&amp;M Imports")+SUMIFS(Movimientos!$K$1:$K$858,Movimientos!$C$1:$C$858,"A&amp;M Imports",Movimientos!$B$1:$B$858,"&lt;="&amp;$B101)</f>
        <v>1349451.94</v>
      </c>
      <c r="G101" s="24">
        <f>SUMIFS('Saldos Iniciales'!$D:$D,'Saldos Iniciales'!$A:$A,"SSP Capital")+SUMIFS(Movimientos!$K$1:$K$858,Movimientos!$C$1:$C$858,"SSP Capital",Movimientos!$B$1:$B$858,"&lt;="&amp;$B101)</f>
        <v>2102073.7899999996</v>
      </c>
      <c r="H101" s="24">
        <f>SUMIFS('Saldos Iniciales'!$D:$D,'Saldos Iniciales'!$A:$A,"Cross Family Trust")+SUMIFS(Movimientos!$K$1:$K$858,Movimientos!$C$1:$C$858,"Cross Family Trust",Movimientos!$B$1:$B$858,"&lt;="&amp;$B101)</f>
        <v>171496.38</v>
      </c>
      <c r="I101" s="24">
        <f>SUMIFS('Saldos Iniciales'!$D:$D,'Saldos Iniciales'!$A:$A,"Cross Security Trust")+SUMIFS(Movimientos!$K$1:$K$858,Movimientos!$C$1:$C$858,"Cross Security Trust",Movimientos!$B$1:$B$858,"&lt;="&amp;$B101)</f>
        <v>88090.37</v>
      </c>
      <c r="J101" s="24">
        <f>SUMIFS('Saldos Iniciales'!$D:$D,'Saldos Iniciales'!$A:$A,"Electrama")+SUMIFS(Movimientos!$K$1:$K$858,Movimientos!$C$1:$C$858,"Electrama",Movimientos!$B$1:$B$858,"&lt;="&amp;$B101)</f>
        <v>14580.45</v>
      </c>
      <c r="K101" s="24">
        <f>SUMIFS('Saldos Iniciales'!$D:$D,'Saldos Iniciales'!$A:$A,"Sacred Valley Capital")+SUMIFS(Movimientos!$K$1:$K$858,Movimientos!$C$1:$C$858,"Sacred Valley Capital",Movimientos!$B$1:$B$858,"&lt;="&amp;$B101)</f>
        <v>24.450000000000003</v>
      </c>
      <c r="L101" s="24">
        <f>SUMIFS('Saldos Iniciales'!$D:$D,'Saldos Iniciales'!$A:$A,"YWC Capital")+SUMIFS(Movimientos!$K$1:$K$858,Movimientos!$C$1:$C$858,"YWC Capital",Movimientos!$B$1:$B$858,"&lt;="&amp;$B101)</f>
        <v>2177.87</v>
      </c>
      <c r="M101" s="24">
        <f>SUMIFS('Saldos Iniciales'!$D:$D,'Saldos Iniciales'!$A:$A,"Soweto")+SUMIFS(Movimientos!$K$1:$K$858,Movimientos!$C$1:$C$858,"Soweto",Movimientos!$B$1:$B$858,"&lt;="&amp;$B101)</f>
        <v>1454589.72</v>
      </c>
      <c r="N101" s="24">
        <f>SUMIFS('Saldos Iniciales'!$D:$D,'Saldos Iniciales'!$A:$A,"Green Stone Trust")+SUMIFS(Movimientos!$K$1:$K$858,Movimientos!$C$1:$C$858,"Green Stone Trust",Movimientos!$B$1:$B$858,"&lt;="&amp;$B101)</f>
        <v>1968.99</v>
      </c>
      <c r="O101" s="24">
        <f>SUMIFS('Saldos Iniciales'!$D:$D,'Saldos Iniciales'!$A:$A,"EC Auto")+SUMIFS(Movimientos!$K$1:$K$858,Movimientos!$C$1:$C$858,"EC Auto",Movimientos!$B$1:$B$858,"&lt;="&amp;$B101)</f>
        <v>901.34</v>
      </c>
      <c r="P101" s="24">
        <f>SUMIFS('Saldos Iniciales'!$D:$D,'Saldos Iniciales'!$A:$A,"Arbor Capital Properties")+SUMIFS(Movimientos!$K$1:$K$858,Movimientos!$C$1:$C$858,"Arbor Capital Properties",Movimientos!$B$1:$B$858,"&lt;="&amp;$B101)</f>
        <v>1396.08</v>
      </c>
      <c r="Q101" s="24">
        <f>SUMIFS('Saldos Iniciales'!$D:$D,'Saldos Iniciales'!$A:$A,"2515 Overbrook")+SUMIFS(Movimientos!$K$1:$K$858,Movimientos!$C$1:$C$858,"2515 Overbrook",Movimientos!$B$1:$B$858,"&lt;="&amp;$B101)</f>
        <v>11259.639999999961</v>
      </c>
      <c r="R101" s="24">
        <f>SUMIFS('Saldos Iniciales'!$D:$D,'Saldos Iniciales'!$A:$A,"112 Florida Ave")+SUMIFS(Movimientos!$K$1:$K$858,Movimientos!$C$1:$C$858,"112 Florida Ave",Movimientos!$B$1:$B$858,"&lt;="&amp;$B101)</f>
        <v>8724.1700000000037</v>
      </c>
      <c r="S101" s="24">
        <f>SUMIFS('Saldos Iniciales'!$D:$D,'Saldos Iniciales'!$A:$A,"3628 Thomas Ave")+SUMIFS(Movimientos!$K$1:$K$858,Movimientos!$C$1:$C$858,"3628 Thomas Ave",Movimientos!$B$1:$B$858,"&lt;="&amp;$B101)</f>
        <v>20106.099999999999</v>
      </c>
      <c r="T101" s="24">
        <f>SUMIFS('Saldos Iniciales'!$D:$D,'Saldos Iniciales'!$A:$A,"Green Harbor Trust")+SUMIFS(Movimientos!$K$1:$K$858,Movimientos!$C$1:$C$858,"Green Harbor Trust",Movimientos!$B$1:$B$858,"&lt;="&amp;$B101)</f>
        <v>345</v>
      </c>
      <c r="U101" s="24">
        <f>SUMIFS('Saldos Iniciales'!$D:$D,'Saldos Iniciales'!$A:$A,"Go Blue")+SUMIFS(Movimientos!$K$1:$K$858,Movimientos!$C$1:$C$858,"Go Blue",Movimientos!$B$1:$B$858,"&lt;="&amp;$B101)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Group")+SUMIFS(Movimientos!$K$1:$K$858,Movimientos!$C$1:$C$858,"CFT Group",Movimientos!$B$1:$B$858,"&lt;="&amp;$B102)</f>
        <v>1153390.4100000001</v>
      </c>
      <c r="D102" s="24">
        <f>SUMIFS('Saldos Iniciales'!$D:$D,'Saldos Iniciales'!$A:$A,"M1B")+SUMIFS(Movimientos!$K$1:$K$858,Movimientos!$C$1:$C$858,"M1B",Movimientos!$B$1:$B$858,"&lt;="&amp;$B102)</f>
        <v>83211.250000000175</v>
      </c>
      <c r="E102" s="24">
        <f>SUMIFS('Saldos Iniciales'!$D:$D,'Saldos Iniciales'!$A:$A,"Durand")+SUMIFS(Movimientos!$K$1:$K$858,Movimientos!$C$1:$C$858,"Durand",Movimientos!$B$1:$B$858,"&lt;="&amp;$B102)</f>
        <v>1669.89</v>
      </c>
      <c r="F102" s="24">
        <f>SUMIFS('Saldos Iniciales'!$D:$D,'Saldos Iniciales'!$A:$A,"A&amp;M Imports")+SUMIFS(Movimientos!$K$1:$K$858,Movimientos!$C$1:$C$858,"A&amp;M Imports",Movimientos!$B$1:$B$858,"&lt;="&amp;$B102)</f>
        <v>1349451.94</v>
      </c>
      <c r="G102" s="24">
        <f>SUMIFS('Saldos Iniciales'!$D:$D,'Saldos Iniciales'!$A:$A,"SSP Capital")+SUMIFS(Movimientos!$K$1:$K$858,Movimientos!$C$1:$C$858,"SSP Capital",Movimientos!$B$1:$B$858,"&lt;="&amp;$B102)</f>
        <v>2102073.7899999996</v>
      </c>
      <c r="H102" s="24">
        <f>SUMIFS('Saldos Iniciales'!$D:$D,'Saldos Iniciales'!$A:$A,"Cross Family Trust")+SUMIFS(Movimientos!$K$1:$K$858,Movimientos!$C$1:$C$858,"Cross Family Trust",Movimientos!$B$1:$B$858,"&lt;="&amp;$B102)</f>
        <v>171496.38</v>
      </c>
      <c r="I102" s="24">
        <f>SUMIFS('Saldos Iniciales'!$D:$D,'Saldos Iniciales'!$A:$A,"Cross Security Trust")+SUMIFS(Movimientos!$K$1:$K$858,Movimientos!$C$1:$C$858,"Cross Security Trust",Movimientos!$B$1:$B$858,"&lt;="&amp;$B102)</f>
        <v>88090.37</v>
      </c>
      <c r="J102" s="24">
        <f>SUMIFS('Saldos Iniciales'!$D:$D,'Saldos Iniciales'!$A:$A,"Electrama")+SUMIFS(Movimientos!$K$1:$K$858,Movimientos!$C$1:$C$858,"Electrama",Movimientos!$B$1:$B$858,"&lt;="&amp;$B102)</f>
        <v>14580.45</v>
      </c>
      <c r="K102" s="24">
        <f>SUMIFS('Saldos Iniciales'!$D:$D,'Saldos Iniciales'!$A:$A,"Sacred Valley Capital")+SUMIFS(Movimientos!$K$1:$K$858,Movimientos!$C$1:$C$858,"Sacred Valley Capital",Movimientos!$B$1:$B$858,"&lt;="&amp;$B102)</f>
        <v>24.450000000000003</v>
      </c>
      <c r="L102" s="24">
        <f>SUMIFS('Saldos Iniciales'!$D:$D,'Saldos Iniciales'!$A:$A,"YWC Capital")+SUMIFS(Movimientos!$K$1:$K$858,Movimientos!$C$1:$C$858,"YWC Capital",Movimientos!$B$1:$B$858,"&lt;="&amp;$B102)</f>
        <v>2177.87</v>
      </c>
      <c r="M102" s="24">
        <f>SUMIFS('Saldos Iniciales'!$D:$D,'Saldos Iniciales'!$A:$A,"Soweto")+SUMIFS(Movimientos!$K$1:$K$858,Movimientos!$C$1:$C$858,"Soweto",Movimientos!$B$1:$B$858,"&lt;="&amp;$B102)</f>
        <v>1454589.72</v>
      </c>
      <c r="N102" s="24">
        <f>SUMIFS('Saldos Iniciales'!$D:$D,'Saldos Iniciales'!$A:$A,"Green Stone Trust")+SUMIFS(Movimientos!$K$1:$K$858,Movimientos!$C$1:$C$858,"Green Stone Trust",Movimientos!$B$1:$B$858,"&lt;="&amp;$B102)</f>
        <v>1968.99</v>
      </c>
      <c r="O102" s="24">
        <f>SUMIFS('Saldos Iniciales'!$D:$D,'Saldos Iniciales'!$A:$A,"EC Auto")+SUMIFS(Movimientos!$K$1:$K$858,Movimientos!$C$1:$C$858,"EC Auto",Movimientos!$B$1:$B$858,"&lt;="&amp;$B102)</f>
        <v>901.34</v>
      </c>
      <c r="P102" s="24">
        <f>SUMIFS('Saldos Iniciales'!$D:$D,'Saldos Iniciales'!$A:$A,"Arbor Capital Properties")+SUMIFS(Movimientos!$K$1:$K$858,Movimientos!$C$1:$C$858,"Arbor Capital Properties",Movimientos!$B$1:$B$858,"&lt;="&amp;$B102)</f>
        <v>1396.08</v>
      </c>
      <c r="Q102" s="24">
        <f>SUMIFS('Saldos Iniciales'!$D:$D,'Saldos Iniciales'!$A:$A,"2515 Overbrook")+SUMIFS(Movimientos!$K$1:$K$858,Movimientos!$C$1:$C$858,"2515 Overbrook",Movimientos!$B$1:$B$858,"&lt;="&amp;$B102)</f>
        <v>11259.639999999961</v>
      </c>
      <c r="R102" s="24">
        <f>SUMIFS('Saldos Iniciales'!$D:$D,'Saldos Iniciales'!$A:$A,"112 Florida Ave")+SUMIFS(Movimientos!$K$1:$K$858,Movimientos!$C$1:$C$858,"112 Florida Ave",Movimientos!$B$1:$B$858,"&lt;="&amp;$B102)</f>
        <v>8724.1700000000037</v>
      </c>
      <c r="S102" s="24">
        <f>SUMIFS('Saldos Iniciales'!$D:$D,'Saldos Iniciales'!$A:$A,"3628 Thomas Ave")+SUMIFS(Movimientos!$K$1:$K$858,Movimientos!$C$1:$C$858,"3628 Thomas Ave",Movimientos!$B$1:$B$858,"&lt;="&amp;$B102)</f>
        <v>20106.099999999999</v>
      </c>
      <c r="T102" s="24">
        <f>SUMIFS('Saldos Iniciales'!$D:$D,'Saldos Iniciales'!$A:$A,"Green Harbor Trust")+SUMIFS(Movimientos!$K$1:$K$858,Movimientos!$C$1:$C$858,"Green Harbor Trust",Movimientos!$B$1:$B$858,"&lt;="&amp;$B102)</f>
        <v>345</v>
      </c>
      <c r="U102" s="24">
        <f>SUMIFS('Saldos Iniciales'!$D:$D,'Saldos Iniciales'!$A:$A,"Go Blue")+SUMIFS(Movimientos!$K$1:$K$858,Movimientos!$C$1:$C$858,"Go Blue",Movimientos!$B$1:$B$858,"&lt;="&amp;$B102)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Group")+SUMIFS(Movimientos!$K$1:$K$858,Movimientos!$C$1:$C$858,"CFT Group",Movimientos!$B$1:$B$858,"&lt;="&amp;$B103)</f>
        <v>1260076.9800000002</v>
      </c>
      <c r="D103" s="24">
        <f>SUMIFS('Saldos Iniciales'!$D:$D,'Saldos Iniciales'!$A:$A,"M1B")+SUMIFS(Movimientos!$K$1:$K$858,Movimientos!$C$1:$C$858,"M1B",Movimientos!$B$1:$B$858,"&lt;="&amp;$B103)</f>
        <v>83211.250000000175</v>
      </c>
      <c r="E103" s="24">
        <f>SUMIFS('Saldos Iniciales'!$D:$D,'Saldos Iniciales'!$A:$A,"Durand")+SUMIFS(Movimientos!$K$1:$K$858,Movimientos!$C$1:$C$858,"Durand",Movimientos!$B$1:$B$858,"&lt;="&amp;$B103)</f>
        <v>1669.89</v>
      </c>
      <c r="F103" s="24">
        <f>SUMIFS('Saldos Iniciales'!$D:$D,'Saldos Iniciales'!$A:$A,"A&amp;M Imports")+SUMIFS(Movimientos!$K$1:$K$858,Movimientos!$C$1:$C$858,"A&amp;M Imports",Movimientos!$B$1:$B$858,"&lt;="&amp;$B103)</f>
        <v>1349451.94</v>
      </c>
      <c r="G103" s="24">
        <f>SUMIFS('Saldos Iniciales'!$D:$D,'Saldos Iniciales'!$A:$A,"SSP Capital")+SUMIFS(Movimientos!$K$1:$K$858,Movimientos!$C$1:$C$858,"SSP Capital",Movimientos!$B$1:$B$858,"&lt;="&amp;$B103)</f>
        <v>2098801.8999999994</v>
      </c>
      <c r="H103" s="24">
        <f>SUMIFS('Saldos Iniciales'!$D:$D,'Saldos Iniciales'!$A:$A,"Cross Family Trust")+SUMIFS(Movimientos!$K$1:$K$858,Movimientos!$C$1:$C$858,"Cross Family Trust",Movimientos!$B$1:$B$858,"&lt;="&amp;$B103)</f>
        <v>171496.38</v>
      </c>
      <c r="I103" s="24">
        <f>SUMIFS('Saldos Iniciales'!$D:$D,'Saldos Iniciales'!$A:$A,"Cross Security Trust")+SUMIFS(Movimientos!$K$1:$K$858,Movimientos!$C$1:$C$858,"Cross Security Trust",Movimientos!$B$1:$B$858,"&lt;="&amp;$B103)</f>
        <v>88090.37</v>
      </c>
      <c r="J103" s="24">
        <f>SUMIFS('Saldos Iniciales'!$D:$D,'Saldos Iniciales'!$A:$A,"Electrama")+SUMIFS(Movimientos!$K$1:$K$858,Movimientos!$C$1:$C$858,"Electrama",Movimientos!$B$1:$B$858,"&lt;="&amp;$B103)</f>
        <v>14580.45</v>
      </c>
      <c r="K103" s="24">
        <f>SUMIFS('Saldos Iniciales'!$D:$D,'Saldos Iniciales'!$A:$A,"Sacred Valley Capital")+SUMIFS(Movimientos!$K$1:$K$858,Movimientos!$C$1:$C$858,"Sacred Valley Capital",Movimientos!$B$1:$B$858,"&lt;="&amp;$B103)</f>
        <v>24.450000000000003</v>
      </c>
      <c r="L103" s="24">
        <f>SUMIFS('Saldos Iniciales'!$D:$D,'Saldos Iniciales'!$A:$A,"YWC Capital")+SUMIFS(Movimientos!$K$1:$K$858,Movimientos!$C$1:$C$858,"YWC Capital",Movimientos!$B$1:$B$858,"&lt;="&amp;$B103)</f>
        <v>2177.87</v>
      </c>
      <c r="M103" s="24">
        <f>SUMIFS('Saldos Iniciales'!$D:$D,'Saldos Iniciales'!$A:$A,"Soweto")+SUMIFS(Movimientos!$K$1:$K$858,Movimientos!$C$1:$C$858,"Soweto",Movimientos!$B$1:$B$858,"&lt;="&amp;$B103)</f>
        <v>1454589.72</v>
      </c>
      <c r="N103" s="24">
        <f>SUMIFS('Saldos Iniciales'!$D:$D,'Saldos Iniciales'!$A:$A,"Green Stone Trust")+SUMIFS(Movimientos!$K$1:$K$858,Movimientos!$C$1:$C$858,"Green Stone Trust",Movimientos!$B$1:$B$858,"&lt;="&amp;$B103)</f>
        <v>1968.99</v>
      </c>
      <c r="O103" s="24">
        <f>SUMIFS('Saldos Iniciales'!$D:$D,'Saldos Iniciales'!$A:$A,"EC Auto")+SUMIFS(Movimientos!$K$1:$K$858,Movimientos!$C$1:$C$858,"EC Auto",Movimientos!$B$1:$B$858,"&lt;="&amp;$B103)</f>
        <v>901.34</v>
      </c>
      <c r="P103" s="24">
        <f>SUMIFS('Saldos Iniciales'!$D:$D,'Saldos Iniciales'!$A:$A,"Arbor Capital Properties")+SUMIFS(Movimientos!$K$1:$K$858,Movimientos!$C$1:$C$858,"Arbor Capital Properties",Movimientos!$B$1:$B$858,"&lt;="&amp;$B103)</f>
        <v>1396.08</v>
      </c>
      <c r="Q103" s="24">
        <f>SUMIFS('Saldos Iniciales'!$D:$D,'Saldos Iniciales'!$A:$A,"2515 Overbrook")+SUMIFS(Movimientos!$K$1:$K$858,Movimientos!$C$1:$C$858,"2515 Overbrook",Movimientos!$B$1:$B$858,"&lt;="&amp;$B103)</f>
        <v>3700.7099999999591</v>
      </c>
      <c r="R103" s="24">
        <f>SUMIFS('Saldos Iniciales'!$D:$D,'Saldos Iniciales'!$A:$A,"112 Florida Ave")+SUMIFS(Movimientos!$K$1:$K$858,Movimientos!$C$1:$C$858,"112 Florida Ave",Movimientos!$B$1:$B$858,"&lt;="&amp;$B103)</f>
        <v>8724.1700000000037</v>
      </c>
      <c r="S103" s="24">
        <f>SUMIFS('Saldos Iniciales'!$D:$D,'Saldos Iniciales'!$A:$A,"3628 Thomas Ave")+SUMIFS(Movimientos!$K$1:$K$858,Movimientos!$C$1:$C$858,"3628 Thomas Ave",Movimientos!$B$1:$B$858,"&lt;="&amp;$B103)</f>
        <v>20106.099999999999</v>
      </c>
      <c r="T103" s="24">
        <f>SUMIFS('Saldos Iniciales'!$D:$D,'Saldos Iniciales'!$A:$A,"Green Harbor Trust")+SUMIFS(Movimientos!$K$1:$K$858,Movimientos!$C$1:$C$858,"Green Harbor Trust",Movimientos!$B$1:$B$858,"&lt;="&amp;$B103)</f>
        <v>345</v>
      </c>
      <c r="U103" s="24">
        <f>SUMIFS('Saldos Iniciales'!$D:$D,'Saldos Iniciales'!$A:$A,"Go Blue")+SUMIFS(Movimientos!$K$1:$K$858,Movimientos!$C$1:$C$858,"Go Blue",Movimientos!$B$1:$B$858,"&lt;="&amp;$B103)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Group")+SUMIFS(Movimientos!$K$1:$K$858,Movimientos!$C$1:$C$858,"CFT Group",Movimientos!$B$1:$B$858,"&lt;="&amp;$B104)</f>
        <v>1260076.9800000002</v>
      </c>
      <c r="D104" s="24">
        <f>SUMIFS('Saldos Iniciales'!$D:$D,'Saldos Iniciales'!$A:$A,"M1B")+SUMIFS(Movimientos!$K$1:$K$858,Movimientos!$C$1:$C$858,"M1B",Movimientos!$B$1:$B$858,"&lt;="&amp;$B104)</f>
        <v>83211.250000000175</v>
      </c>
      <c r="E104" s="24">
        <f>SUMIFS('Saldos Iniciales'!$D:$D,'Saldos Iniciales'!$A:$A,"Durand")+SUMIFS(Movimientos!$K$1:$K$858,Movimientos!$C$1:$C$858,"Durand",Movimientos!$B$1:$B$858,"&lt;="&amp;$B104)</f>
        <v>1669.89</v>
      </c>
      <c r="F104" s="24">
        <f>SUMIFS('Saldos Iniciales'!$D:$D,'Saldos Iniciales'!$A:$A,"A&amp;M Imports")+SUMIFS(Movimientos!$K$1:$K$858,Movimientos!$C$1:$C$858,"A&amp;M Imports",Movimientos!$B$1:$B$858,"&lt;="&amp;$B104)</f>
        <v>1349451.94</v>
      </c>
      <c r="G104" s="24">
        <f>SUMIFS('Saldos Iniciales'!$D:$D,'Saldos Iniciales'!$A:$A,"SSP Capital")+SUMIFS(Movimientos!$K$1:$K$858,Movimientos!$C$1:$C$858,"SSP Capital",Movimientos!$B$1:$B$858,"&lt;="&amp;$B104)</f>
        <v>1622920.8199999996</v>
      </c>
      <c r="H104" s="24">
        <f>SUMIFS('Saldos Iniciales'!$D:$D,'Saldos Iniciales'!$A:$A,"Cross Family Trust")+SUMIFS(Movimientos!$K$1:$K$858,Movimientos!$C$1:$C$858,"Cross Family Trust",Movimientos!$B$1:$B$858,"&lt;="&amp;$B104)</f>
        <v>171496.38</v>
      </c>
      <c r="I104" s="24">
        <f>SUMIFS('Saldos Iniciales'!$D:$D,'Saldos Iniciales'!$A:$A,"Cross Security Trust")+SUMIFS(Movimientos!$K$1:$K$858,Movimientos!$C$1:$C$858,"Cross Security Trust",Movimientos!$B$1:$B$858,"&lt;="&amp;$B104)</f>
        <v>88090.37</v>
      </c>
      <c r="J104" s="24">
        <f>SUMIFS('Saldos Iniciales'!$D:$D,'Saldos Iniciales'!$A:$A,"Electrama")+SUMIFS(Movimientos!$K$1:$K$858,Movimientos!$C$1:$C$858,"Electrama",Movimientos!$B$1:$B$858,"&lt;="&amp;$B104)</f>
        <v>14580.45</v>
      </c>
      <c r="K104" s="24">
        <f>SUMIFS('Saldos Iniciales'!$D:$D,'Saldos Iniciales'!$A:$A,"Sacred Valley Capital")+SUMIFS(Movimientos!$K$1:$K$858,Movimientos!$C$1:$C$858,"Sacred Valley Capital",Movimientos!$B$1:$B$858,"&lt;="&amp;$B104)</f>
        <v>24.450000000000003</v>
      </c>
      <c r="L104" s="24">
        <f>SUMIFS('Saldos Iniciales'!$D:$D,'Saldos Iniciales'!$A:$A,"YWC Capital")+SUMIFS(Movimientos!$K$1:$K$858,Movimientos!$C$1:$C$858,"YWC Capital",Movimientos!$B$1:$B$858,"&lt;="&amp;$B104)</f>
        <v>2177.87</v>
      </c>
      <c r="M104" s="24">
        <f>SUMIFS('Saldos Iniciales'!$D:$D,'Saldos Iniciales'!$A:$A,"Soweto")+SUMIFS(Movimientos!$K$1:$K$858,Movimientos!$C$1:$C$858,"Soweto",Movimientos!$B$1:$B$858,"&lt;="&amp;$B104)</f>
        <v>1454589.72</v>
      </c>
      <c r="N104" s="24">
        <f>SUMIFS('Saldos Iniciales'!$D:$D,'Saldos Iniciales'!$A:$A,"Green Stone Trust")+SUMIFS(Movimientos!$K$1:$K$858,Movimientos!$C$1:$C$858,"Green Stone Trust",Movimientos!$B$1:$B$858,"&lt;="&amp;$B104)</f>
        <v>1968.99</v>
      </c>
      <c r="O104" s="24">
        <f>SUMIFS('Saldos Iniciales'!$D:$D,'Saldos Iniciales'!$A:$A,"EC Auto")+SUMIFS(Movimientos!$K$1:$K$858,Movimientos!$C$1:$C$858,"EC Auto",Movimientos!$B$1:$B$858,"&lt;="&amp;$B104)</f>
        <v>901.34</v>
      </c>
      <c r="P104" s="24">
        <f>SUMIFS('Saldos Iniciales'!$D:$D,'Saldos Iniciales'!$A:$A,"Arbor Capital Properties")+SUMIFS(Movimientos!$K$1:$K$858,Movimientos!$C$1:$C$858,"Arbor Capital Properties",Movimientos!$B$1:$B$858,"&lt;="&amp;$B104)</f>
        <v>1396.08</v>
      </c>
      <c r="Q104" s="24">
        <f>SUMIFS('Saldos Iniciales'!$D:$D,'Saldos Iniciales'!$A:$A,"2515 Overbrook")+SUMIFS(Movimientos!$K$1:$K$858,Movimientos!$C$1:$C$858,"2515 Overbrook",Movimientos!$B$1:$B$858,"&lt;="&amp;$B104)</f>
        <v>3700.7099999999591</v>
      </c>
      <c r="R104" s="24">
        <f>SUMIFS('Saldos Iniciales'!$D:$D,'Saldos Iniciales'!$A:$A,"112 Florida Ave")+SUMIFS(Movimientos!$K$1:$K$858,Movimientos!$C$1:$C$858,"112 Florida Ave",Movimientos!$B$1:$B$858,"&lt;="&amp;$B104)</f>
        <v>8724.1700000000037</v>
      </c>
      <c r="S104" s="24">
        <f>SUMIFS('Saldos Iniciales'!$D:$D,'Saldos Iniciales'!$A:$A,"3628 Thomas Ave")+SUMIFS(Movimientos!$K$1:$K$858,Movimientos!$C$1:$C$858,"3628 Thomas Ave",Movimientos!$B$1:$B$858,"&lt;="&amp;$B104)</f>
        <v>19442.439999999995</v>
      </c>
      <c r="T104" s="24">
        <f>SUMIFS('Saldos Iniciales'!$D:$D,'Saldos Iniciales'!$A:$A,"Green Harbor Trust")+SUMIFS(Movimientos!$K$1:$K$858,Movimientos!$C$1:$C$858,"Green Harbor Trust",Movimientos!$B$1:$B$858,"&lt;="&amp;$B104)</f>
        <v>345</v>
      </c>
      <c r="U104" s="24">
        <f>SUMIFS('Saldos Iniciales'!$D:$D,'Saldos Iniciales'!$A:$A,"Go Blue")+SUMIFS(Movimientos!$K$1:$K$858,Movimientos!$C$1:$C$858,"Go Blue",Movimientos!$B$1:$B$858,"&lt;="&amp;$B104)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Group")+SUMIFS(Movimientos!$K$1:$K$858,Movimientos!$C$1:$C$858,"CFT Group",Movimientos!$B$1:$B$858,"&lt;="&amp;$B105)</f>
        <v>1260076.9800000002</v>
      </c>
      <c r="D105" s="24">
        <f>SUMIFS('Saldos Iniciales'!$D:$D,'Saldos Iniciales'!$A:$A,"M1B")+SUMIFS(Movimientos!$K$1:$K$858,Movimientos!$C$1:$C$858,"M1B",Movimientos!$B$1:$B$858,"&lt;="&amp;$B105)</f>
        <v>83211.250000000175</v>
      </c>
      <c r="E105" s="24">
        <f>SUMIFS('Saldos Iniciales'!$D:$D,'Saldos Iniciales'!$A:$A,"Durand")+SUMIFS(Movimientos!$K$1:$K$858,Movimientos!$C$1:$C$858,"Durand",Movimientos!$B$1:$B$858,"&lt;="&amp;$B105)</f>
        <v>1669.89</v>
      </c>
      <c r="F105" s="24">
        <f>SUMIFS('Saldos Iniciales'!$D:$D,'Saldos Iniciales'!$A:$A,"A&amp;M Imports")+SUMIFS(Movimientos!$K$1:$K$858,Movimientos!$C$1:$C$858,"A&amp;M Imports",Movimientos!$B$1:$B$858,"&lt;="&amp;$B105)</f>
        <v>1349451.94</v>
      </c>
      <c r="G105" s="24">
        <f>SUMIFS('Saldos Iniciales'!$D:$D,'Saldos Iniciales'!$A:$A,"SSP Capital")+SUMIFS(Movimientos!$K$1:$K$858,Movimientos!$C$1:$C$858,"SSP Capital",Movimientos!$B$1:$B$858,"&lt;="&amp;$B105)</f>
        <v>1622914.8199999996</v>
      </c>
      <c r="H105" s="24">
        <f>SUMIFS('Saldos Iniciales'!$D:$D,'Saldos Iniciales'!$A:$A,"Cross Family Trust")+SUMIFS(Movimientos!$K$1:$K$858,Movimientos!$C$1:$C$858,"Cross Family Trust",Movimientos!$B$1:$B$858,"&lt;="&amp;$B105)</f>
        <v>731496.38</v>
      </c>
      <c r="I105" s="24">
        <f>SUMIFS('Saldos Iniciales'!$D:$D,'Saldos Iniciales'!$A:$A,"Cross Security Trust")+SUMIFS(Movimientos!$K$1:$K$858,Movimientos!$C$1:$C$858,"Cross Security Trust",Movimientos!$B$1:$B$858,"&lt;="&amp;$B105)</f>
        <v>158090.37</v>
      </c>
      <c r="J105" s="24">
        <f>SUMIFS('Saldos Iniciales'!$D:$D,'Saldos Iniciales'!$A:$A,"Electrama")+SUMIFS(Movimientos!$K$1:$K$858,Movimientos!$C$1:$C$858,"Electrama",Movimientos!$B$1:$B$858,"&lt;="&amp;$B105)</f>
        <v>14580.45</v>
      </c>
      <c r="K105" s="24">
        <f>SUMIFS('Saldos Iniciales'!$D:$D,'Saldos Iniciales'!$A:$A,"Sacred Valley Capital")+SUMIFS(Movimientos!$K$1:$K$858,Movimientos!$C$1:$C$858,"Sacred Valley Capital",Movimientos!$B$1:$B$858,"&lt;="&amp;$B105)</f>
        <v>24.450000000000003</v>
      </c>
      <c r="L105" s="24">
        <f>SUMIFS('Saldos Iniciales'!$D:$D,'Saldos Iniciales'!$A:$A,"YWC Capital")+SUMIFS(Movimientos!$K$1:$K$858,Movimientos!$C$1:$C$858,"YWC Capital",Movimientos!$B$1:$B$858,"&lt;="&amp;$B105)</f>
        <v>2177.87</v>
      </c>
      <c r="M105" s="24">
        <f>SUMIFS('Saldos Iniciales'!$D:$D,'Saldos Iniciales'!$A:$A,"Soweto")+SUMIFS(Movimientos!$K$1:$K$858,Movimientos!$C$1:$C$858,"Soweto",Movimientos!$B$1:$B$858,"&lt;="&amp;$B105)</f>
        <v>754589.72</v>
      </c>
      <c r="N105" s="24">
        <f>SUMIFS('Saldos Iniciales'!$D:$D,'Saldos Iniciales'!$A:$A,"Green Stone Trust")+SUMIFS(Movimientos!$K$1:$K$858,Movimientos!$C$1:$C$858,"Green Stone Trust",Movimientos!$B$1:$B$858,"&lt;="&amp;$B105)</f>
        <v>1968.99</v>
      </c>
      <c r="O105" s="24">
        <f>SUMIFS('Saldos Iniciales'!$D:$D,'Saldos Iniciales'!$A:$A,"EC Auto")+SUMIFS(Movimientos!$K$1:$K$858,Movimientos!$C$1:$C$858,"EC Auto",Movimientos!$B$1:$B$858,"&lt;="&amp;$B105)</f>
        <v>901.34</v>
      </c>
      <c r="P105" s="24">
        <f>SUMIFS('Saldos Iniciales'!$D:$D,'Saldos Iniciales'!$A:$A,"Arbor Capital Properties")+SUMIFS(Movimientos!$K$1:$K$858,Movimientos!$C$1:$C$858,"Arbor Capital Properties",Movimientos!$B$1:$B$858,"&lt;="&amp;$B105)</f>
        <v>1396.08</v>
      </c>
      <c r="Q105" s="24">
        <f>SUMIFS('Saldos Iniciales'!$D:$D,'Saldos Iniciales'!$A:$A,"2515 Overbrook")+SUMIFS(Movimientos!$K$1:$K$858,Movimientos!$C$1:$C$858,"2515 Overbrook",Movimientos!$B$1:$B$858,"&lt;="&amp;$B105)</f>
        <v>3700.7099999999591</v>
      </c>
      <c r="R105" s="24">
        <f>SUMIFS('Saldos Iniciales'!$D:$D,'Saldos Iniciales'!$A:$A,"112 Florida Ave")+SUMIFS(Movimientos!$K$1:$K$858,Movimientos!$C$1:$C$858,"112 Florida Ave",Movimientos!$B$1:$B$858,"&lt;="&amp;$B105)</f>
        <v>8724.1700000000037</v>
      </c>
      <c r="S105" s="24">
        <f>SUMIFS('Saldos Iniciales'!$D:$D,'Saldos Iniciales'!$A:$A,"3628 Thomas Ave")+SUMIFS(Movimientos!$K$1:$K$858,Movimientos!$C$1:$C$858,"3628 Thomas Ave",Movimientos!$B$1:$B$858,"&lt;="&amp;$B105)</f>
        <v>19336.039999999997</v>
      </c>
      <c r="T105" s="24">
        <f>SUMIFS('Saldos Iniciales'!$D:$D,'Saldos Iniciales'!$A:$A,"Green Harbor Trust")+SUMIFS(Movimientos!$K$1:$K$858,Movimientos!$C$1:$C$858,"Green Harbor Trust",Movimientos!$B$1:$B$858,"&lt;="&amp;$B105)</f>
        <v>345</v>
      </c>
      <c r="U105" s="24">
        <f>SUMIFS('Saldos Iniciales'!$D:$D,'Saldos Iniciales'!$A:$A,"Go Blue")+SUMIFS(Movimientos!$K$1:$K$858,Movimientos!$C$1:$C$858,"Go Blue",Movimientos!$B$1:$B$858,"&lt;="&amp;$B105)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Group")+SUMIFS(Movimientos!$K$1:$K$858,Movimientos!$C$1:$C$858,"CFT Group",Movimientos!$B$1:$B$858,"&lt;="&amp;$B106)</f>
        <v>1041242.3800000005</v>
      </c>
      <c r="D106" s="24">
        <f>SUMIFS('Saldos Iniciales'!$D:$D,'Saldos Iniciales'!$A:$A,"M1B")+SUMIFS(Movimientos!$K$1:$K$858,Movimientos!$C$1:$C$858,"M1B",Movimientos!$B$1:$B$858,"&lt;="&amp;$B106)</f>
        <v>83211.250000000175</v>
      </c>
      <c r="E106" s="24">
        <f>SUMIFS('Saldos Iniciales'!$D:$D,'Saldos Iniciales'!$A:$A,"Durand")+SUMIFS(Movimientos!$K$1:$K$858,Movimientos!$C$1:$C$858,"Durand",Movimientos!$B$1:$B$858,"&lt;="&amp;$B106)</f>
        <v>1669.89</v>
      </c>
      <c r="F106" s="24">
        <f>SUMIFS('Saldos Iniciales'!$D:$D,'Saldos Iniciales'!$A:$A,"A&amp;M Imports")+SUMIFS(Movimientos!$K$1:$K$858,Movimientos!$C$1:$C$858,"A&amp;M Imports",Movimientos!$B$1:$B$858,"&lt;="&amp;$B106)</f>
        <v>1289451.94</v>
      </c>
      <c r="G106" s="24">
        <f>SUMIFS('Saldos Iniciales'!$D:$D,'Saldos Iniciales'!$A:$A,"SSP Capital")+SUMIFS(Movimientos!$K$1:$K$858,Movimientos!$C$1:$C$858,"SSP Capital",Movimientos!$B$1:$B$858,"&lt;="&amp;$B106)</f>
        <v>1418917.5899999996</v>
      </c>
      <c r="H106" s="24">
        <f>SUMIFS('Saldos Iniciales'!$D:$D,'Saldos Iniciales'!$A:$A,"Cross Family Trust")+SUMIFS(Movimientos!$K$1:$K$858,Movimientos!$C$1:$C$858,"Cross Family Trust",Movimientos!$B$1:$B$858,"&lt;="&amp;$B106)</f>
        <v>221496.38</v>
      </c>
      <c r="I106" s="24">
        <f>SUMIFS('Saldos Iniciales'!$D:$D,'Saldos Iniciales'!$A:$A,"Cross Security Trust")+SUMIFS(Movimientos!$K$1:$K$858,Movimientos!$C$1:$C$858,"Cross Security Trust",Movimientos!$B$1:$B$858,"&lt;="&amp;$B106)</f>
        <v>158090.37</v>
      </c>
      <c r="J106" s="24">
        <f>SUMIFS('Saldos Iniciales'!$D:$D,'Saldos Iniciales'!$A:$A,"Electrama")+SUMIFS(Movimientos!$K$1:$K$858,Movimientos!$C$1:$C$858,"Electrama",Movimientos!$B$1:$B$858,"&lt;="&amp;$B106)</f>
        <v>14580.45</v>
      </c>
      <c r="K106" s="24">
        <f>SUMIFS('Saldos Iniciales'!$D:$D,'Saldos Iniciales'!$A:$A,"Sacred Valley Capital")+SUMIFS(Movimientos!$K$1:$K$858,Movimientos!$C$1:$C$858,"Sacred Valley Capital",Movimientos!$B$1:$B$858,"&lt;="&amp;$B106)</f>
        <v>24.450000000000003</v>
      </c>
      <c r="L106" s="24">
        <f>SUMIFS('Saldos Iniciales'!$D:$D,'Saldos Iniciales'!$A:$A,"YWC Capital")+SUMIFS(Movimientos!$K$1:$K$858,Movimientos!$C$1:$C$858,"YWC Capital",Movimientos!$B$1:$B$858,"&lt;="&amp;$B106)</f>
        <v>2177.87</v>
      </c>
      <c r="M106" s="24">
        <f>SUMIFS('Saldos Iniciales'!$D:$D,'Saldos Iniciales'!$A:$A,"Soweto")+SUMIFS(Movimientos!$K$1:$K$858,Movimientos!$C$1:$C$858,"Soweto",Movimientos!$B$1:$B$858,"&lt;="&amp;$B106)</f>
        <v>754589.72</v>
      </c>
      <c r="N106" s="24">
        <f>SUMIFS('Saldos Iniciales'!$D:$D,'Saldos Iniciales'!$A:$A,"Green Stone Trust")+SUMIFS(Movimientos!$K$1:$K$858,Movimientos!$C$1:$C$858,"Green Stone Trust",Movimientos!$B$1:$B$858,"&lt;="&amp;$B106)</f>
        <v>1968.99</v>
      </c>
      <c r="O106" s="24">
        <f>SUMIFS('Saldos Iniciales'!$D:$D,'Saldos Iniciales'!$A:$A,"EC Auto")+SUMIFS(Movimientos!$K$1:$K$858,Movimientos!$C$1:$C$858,"EC Auto",Movimientos!$B$1:$B$858,"&lt;="&amp;$B106)</f>
        <v>901.34</v>
      </c>
      <c r="P106" s="24">
        <f>SUMIFS('Saldos Iniciales'!$D:$D,'Saldos Iniciales'!$A:$A,"Arbor Capital Properties")+SUMIFS(Movimientos!$K$1:$K$858,Movimientos!$C$1:$C$858,"Arbor Capital Properties",Movimientos!$B$1:$B$858,"&lt;="&amp;$B106)</f>
        <v>1396.08</v>
      </c>
      <c r="Q106" s="24">
        <f>SUMIFS('Saldos Iniciales'!$D:$D,'Saldos Iniciales'!$A:$A,"2515 Overbrook")+SUMIFS(Movimientos!$K$1:$K$858,Movimientos!$C$1:$C$858,"2515 Overbrook",Movimientos!$B$1:$B$858,"&lt;="&amp;$B106)</f>
        <v>13700.709999999959</v>
      </c>
      <c r="R106" s="24">
        <f>SUMIFS('Saldos Iniciales'!$D:$D,'Saldos Iniciales'!$A:$A,"112 Florida Ave")+SUMIFS(Movimientos!$K$1:$K$858,Movimientos!$C$1:$C$858,"112 Florida Ave",Movimientos!$B$1:$B$858,"&lt;="&amp;$B106)</f>
        <v>8724.1700000000037</v>
      </c>
      <c r="S106" s="24">
        <f>SUMIFS('Saldos Iniciales'!$D:$D,'Saldos Iniciales'!$A:$A,"3628 Thomas Ave")+SUMIFS(Movimientos!$K$1:$K$858,Movimientos!$C$1:$C$858,"3628 Thomas Ave",Movimientos!$B$1:$B$858,"&lt;="&amp;$B106)</f>
        <v>19336.039999999997</v>
      </c>
      <c r="T106" s="24">
        <f>SUMIFS('Saldos Iniciales'!$D:$D,'Saldos Iniciales'!$A:$A,"Green Harbor Trust")+SUMIFS(Movimientos!$K$1:$K$858,Movimientos!$C$1:$C$858,"Green Harbor Trust",Movimientos!$B$1:$B$858,"&lt;="&amp;$B106)</f>
        <v>345</v>
      </c>
      <c r="U106" s="24">
        <f>SUMIFS('Saldos Iniciales'!$D:$D,'Saldos Iniciales'!$A:$A,"Go Blue")+SUMIFS(Movimientos!$K$1:$K$858,Movimientos!$C$1:$C$858,"Go Blue",Movimientos!$B$1:$B$858,"&lt;="&amp;$B106)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Group")+SUMIFS(Movimientos!$K$1:$K$858,Movimientos!$C$1:$C$858,"CFT Group",Movimientos!$B$1:$B$858,"&lt;="&amp;$B107)</f>
        <v>941242.38000000047</v>
      </c>
      <c r="D107" s="24">
        <f>SUMIFS('Saldos Iniciales'!$D:$D,'Saldos Iniciales'!$A:$A,"M1B")+SUMIFS(Movimientos!$K$1:$K$858,Movimientos!$C$1:$C$858,"M1B",Movimientos!$B$1:$B$858,"&lt;="&amp;$B107)</f>
        <v>83211.250000000175</v>
      </c>
      <c r="E107" s="24">
        <f>SUMIFS('Saldos Iniciales'!$D:$D,'Saldos Iniciales'!$A:$A,"Durand")+SUMIFS(Movimientos!$K$1:$K$858,Movimientos!$C$1:$C$858,"Durand",Movimientos!$B$1:$B$858,"&lt;="&amp;$B107)</f>
        <v>1669.89</v>
      </c>
      <c r="F107" s="24">
        <f>SUMIFS('Saldos Iniciales'!$D:$D,'Saldos Iniciales'!$A:$A,"A&amp;M Imports")+SUMIFS(Movimientos!$K$1:$K$858,Movimientos!$C$1:$C$858,"A&amp;M Imports",Movimientos!$B$1:$B$858,"&lt;="&amp;$B107)</f>
        <v>1289451.94</v>
      </c>
      <c r="G107" s="24">
        <f>SUMIFS('Saldos Iniciales'!$D:$D,'Saldos Iniciales'!$A:$A,"SSP Capital")+SUMIFS(Movimientos!$K$1:$K$858,Movimientos!$C$1:$C$858,"SSP Capital",Movimientos!$B$1:$B$858,"&lt;="&amp;$B107)</f>
        <v>1418917.5899999996</v>
      </c>
      <c r="H107" s="24">
        <f>SUMIFS('Saldos Iniciales'!$D:$D,'Saldos Iniciales'!$A:$A,"Cross Family Trust")+SUMIFS(Movimientos!$K$1:$K$858,Movimientos!$C$1:$C$858,"Cross Family Trust",Movimientos!$B$1:$B$858,"&lt;="&amp;$B107)</f>
        <v>221496.38</v>
      </c>
      <c r="I107" s="24">
        <f>SUMIFS('Saldos Iniciales'!$D:$D,'Saldos Iniciales'!$A:$A,"Cross Security Trust")+SUMIFS(Movimientos!$K$1:$K$858,Movimientos!$C$1:$C$858,"Cross Security Trust",Movimientos!$B$1:$B$858,"&lt;="&amp;$B107)</f>
        <v>158090.37</v>
      </c>
      <c r="J107" s="24">
        <f>SUMIFS('Saldos Iniciales'!$D:$D,'Saldos Iniciales'!$A:$A,"Electrama")+SUMIFS(Movimientos!$K$1:$K$858,Movimientos!$C$1:$C$858,"Electrama",Movimientos!$B$1:$B$858,"&lt;="&amp;$B107)</f>
        <v>14580.45</v>
      </c>
      <c r="K107" s="24">
        <f>SUMIFS('Saldos Iniciales'!$D:$D,'Saldos Iniciales'!$A:$A,"Sacred Valley Capital")+SUMIFS(Movimientos!$K$1:$K$858,Movimientos!$C$1:$C$858,"Sacred Valley Capital",Movimientos!$B$1:$B$858,"&lt;="&amp;$B107)</f>
        <v>24.450000000000003</v>
      </c>
      <c r="L107" s="24">
        <f>SUMIFS('Saldos Iniciales'!$D:$D,'Saldos Iniciales'!$A:$A,"YWC Capital")+SUMIFS(Movimientos!$K$1:$K$858,Movimientos!$C$1:$C$858,"YWC Capital",Movimientos!$B$1:$B$858,"&lt;="&amp;$B107)</f>
        <v>2177.87</v>
      </c>
      <c r="M107" s="24">
        <f>SUMIFS('Saldos Iniciales'!$D:$D,'Saldos Iniciales'!$A:$A,"Soweto")+SUMIFS(Movimientos!$K$1:$K$858,Movimientos!$C$1:$C$858,"Soweto",Movimientos!$B$1:$B$858,"&lt;="&amp;$B107)</f>
        <v>754589.72</v>
      </c>
      <c r="N107" s="24">
        <f>SUMIFS('Saldos Iniciales'!$D:$D,'Saldos Iniciales'!$A:$A,"Green Stone Trust")+SUMIFS(Movimientos!$K$1:$K$858,Movimientos!$C$1:$C$858,"Green Stone Trust",Movimientos!$B$1:$B$858,"&lt;="&amp;$B107)</f>
        <v>1968.99</v>
      </c>
      <c r="O107" s="24">
        <f>SUMIFS('Saldos Iniciales'!$D:$D,'Saldos Iniciales'!$A:$A,"EC Auto")+SUMIFS(Movimientos!$K$1:$K$858,Movimientos!$C$1:$C$858,"EC Auto",Movimientos!$B$1:$B$858,"&lt;="&amp;$B107)</f>
        <v>901.34</v>
      </c>
      <c r="P107" s="24">
        <f>SUMIFS('Saldos Iniciales'!$D:$D,'Saldos Iniciales'!$A:$A,"Arbor Capital Properties")+SUMIFS(Movimientos!$K$1:$K$858,Movimientos!$C$1:$C$858,"Arbor Capital Properties",Movimientos!$B$1:$B$858,"&lt;="&amp;$B107)</f>
        <v>1396.08</v>
      </c>
      <c r="Q107" s="24">
        <f>SUMIFS('Saldos Iniciales'!$D:$D,'Saldos Iniciales'!$A:$A,"2515 Overbrook")+SUMIFS(Movimientos!$K$1:$K$858,Movimientos!$C$1:$C$858,"2515 Overbrook",Movimientos!$B$1:$B$858,"&lt;="&amp;$B107)</f>
        <v>13685.709999999959</v>
      </c>
      <c r="R107" s="24">
        <f>SUMIFS('Saldos Iniciales'!$D:$D,'Saldos Iniciales'!$A:$A,"112 Florida Ave")+SUMIFS(Movimientos!$K$1:$K$858,Movimientos!$C$1:$C$858,"112 Florida Ave",Movimientos!$B$1:$B$858,"&lt;="&amp;$B107)</f>
        <v>8724.1700000000037</v>
      </c>
      <c r="S107" s="24">
        <f>SUMIFS('Saldos Iniciales'!$D:$D,'Saldos Iniciales'!$A:$A,"3628 Thomas Ave")+SUMIFS(Movimientos!$K$1:$K$858,Movimientos!$C$1:$C$858,"3628 Thomas Ave",Movimientos!$B$1:$B$858,"&lt;="&amp;$B107)</f>
        <v>19336.039999999997</v>
      </c>
      <c r="T107" s="24">
        <f>SUMIFS('Saldos Iniciales'!$D:$D,'Saldos Iniciales'!$A:$A,"Green Harbor Trust")+SUMIFS(Movimientos!$K$1:$K$858,Movimientos!$C$1:$C$858,"Green Harbor Trust",Movimientos!$B$1:$B$858,"&lt;="&amp;$B107)</f>
        <v>345</v>
      </c>
      <c r="U107" s="24">
        <f>SUMIFS('Saldos Iniciales'!$D:$D,'Saldos Iniciales'!$A:$A,"Go Blue")+SUMIFS(Movimientos!$K$1:$K$858,Movimientos!$C$1:$C$858,"Go Blue",Movimientos!$B$1:$B$858,"&lt;="&amp;$B107)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Group")+SUMIFS(Movimientos!$K$1:$K$858,Movimientos!$C$1:$C$858,"CFT Group",Movimientos!$B$1:$B$858,"&lt;="&amp;$B108)</f>
        <v>941242.38000000047</v>
      </c>
      <c r="D108" s="24">
        <f>SUMIFS('Saldos Iniciales'!$D:$D,'Saldos Iniciales'!$A:$A,"M1B")+SUMIFS(Movimientos!$K$1:$K$858,Movimientos!$C$1:$C$858,"M1B",Movimientos!$B$1:$B$858,"&lt;="&amp;$B108)</f>
        <v>83211.250000000175</v>
      </c>
      <c r="E108" s="24">
        <f>SUMIFS('Saldos Iniciales'!$D:$D,'Saldos Iniciales'!$A:$A,"Durand")+SUMIFS(Movimientos!$K$1:$K$858,Movimientos!$C$1:$C$858,"Durand",Movimientos!$B$1:$B$858,"&lt;="&amp;$B108)</f>
        <v>1669.89</v>
      </c>
      <c r="F108" s="24">
        <f>SUMIFS('Saldos Iniciales'!$D:$D,'Saldos Iniciales'!$A:$A,"A&amp;M Imports")+SUMIFS(Movimientos!$K$1:$K$858,Movimientos!$C$1:$C$858,"A&amp;M Imports",Movimientos!$B$1:$B$858,"&lt;="&amp;$B108)</f>
        <v>1289451.94</v>
      </c>
      <c r="G108" s="24">
        <f>SUMIFS('Saldos Iniciales'!$D:$D,'Saldos Iniciales'!$A:$A,"SSP Capital")+SUMIFS(Movimientos!$K$1:$K$858,Movimientos!$C$1:$C$858,"SSP Capital",Movimientos!$B$1:$B$858,"&lt;="&amp;$B108)</f>
        <v>1418917.5899999996</v>
      </c>
      <c r="H108" s="24">
        <f>SUMIFS('Saldos Iniciales'!$D:$D,'Saldos Iniciales'!$A:$A,"Cross Family Trust")+SUMIFS(Movimientos!$K$1:$K$858,Movimientos!$C$1:$C$858,"Cross Family Trust",Movimientos!$B$1:$B$858,"&lt;="&amp;$B108)</f>
        <v>221496.38</v>
      </c>
      <c r="I108" s="24">
        <f>SUMIFS('Saldos Iniciales'!$D:$D,'Saldos Iniciales'!$A:$A,"Cross Security Trust")+SUMIFS(Movimientos!$K$1:$K$858,Movimientos!$C$1:$C$858,"Cross Security Trust",Movimientos!$B$1:$B$858,"&lt;="&amp;$B108)</f>
        <v>158090.37</v>
      </c>
      <c r="J108" s="24">
        <f>SUMIFS('Saldos Iniciales'!$D:$D,'Saldos Iniciales'!$A:$A,"Electrama")+SUMIFS(Movimientos!$K$1:$K$858,Movimientos!$C$1:$C$858,"Electrama",Movimientos!$B$1:$B$858,"&lt;="&amp;$B108)</f>
        <v>14580.45</v>
      </c>
      <c r="K108" s="24">
        <f>SUMIFS('Saldos Iniciales'!$D:$D,'Saldos Iniciales'!$A:$A,"Sacred Valley Capital")+SUMIFS(Movimientos!$K$1:$K$858,Movimientos!$C$1:$C$858,"Sacred Valley Capital",Movimientos!$B$1:$B$858,"&lt;="&amp;$B108)</f>
        <v>24.450000000000003</v>
      </c>
      <c r="L108" s="24">
        <f>SUMIFS('Saldos Iniciales'!$D:$D,'Saldos Iniciales'!$A:$A,"YWC Capital")+SUMIFS(Movimientos!$K$1:$K$858,Movimientos!$C$1:$C$858,"YWC Capital",Movimientos!$B$1:$B$858,"&lt;="&amp;$B108)</f>
        <v>2177.87</v>
      </c>
      <c r="M108" s="24">
        <f>SUMIFS('Saldos Iniciales'!$D:$D,'Saldos Iniciales'!$A:$A,"Soweto")+SUMIFS(Movimientos!$K$1:$K$858,Movimientos!$C$1:$C$858,"Soweto",Movimientos!$B$1:$B$858,"&lt;="&amp;$B108)</f>
        <v>754589.72</v>
      </c>
      <c r="N108" s="24">
        <f>SUMIFS('Saldos Iniciales'!$D:$D,'Saldos Iniciales'!$A:$A,"Green Stone Trust")+SUMIFS(Movimientos!$K$1:$K$858,Movimientos!$C$1:$C$858,"Green Stone Trust",Movimientos!$B$1:$B$858,"&lt;="&amp;$B108)</f>
        <v>1968.99</v>
      </c>
      <c r="O108" s="24">
        <f>SUMIFS('Saldos Iniciales'!$D:$D,'Saldos Iniciales'!$A:$A,"EC Auto")+SUMIFS(Movimientos!$K$1:$K$858,Movimientos!$C$1:$C$858,"EC Auto",Movimientos!$B$1:$B$858,"&lt;="&amp;$B108)</f>
        <v>901.34</v>
      </c>
      <c r="P108" s="24">
        <f>SUMIFS('Saldos Iniciales'!$D:$D,'Saldos Iniciales'!$A:$A,"Arbor Capital Properties")+SUMIFS(Movimientos!$K$1:$K$858,Movimientos!$C$1:$C$858,"Arbor Capital Properties",Movimientos!$B$1:$B$858,"&lt;="&amp;$B108)</f>
        <v>1396.08</v>
      </c>
      <c r="Q108" s="24">
        <f>SUMIFS('Saldos Iniciales'!$D:$D,'Saldos Iniciales'!$A:$A,"2515 Overbrook")+SUMIFS(Movimientos!$K$1:$K$858,Movimientos!$C$1:$C$858,"2515 Overbrook",Movimientos!$B$1:$B$858,"&lt;="&amp;$B108)</f>
        <v>13685.709999999959</v>
      </c>
      <c r="R108" s="24">
        <f>SUMIFS('Saldos Iniciales'!$D:$D,'Saldos Iniciales'!$A:$A,"112 Florida Ave")+SUMIFS(Movimientos!$K$1:$K$858,Movimientos!$C$1:$C$858,"112 Florida Ave",Movimientos!$B$1:$B$858,"&lt;="&amp;$B108)</f>
        <v>8724.1700000000037</v>
      </c>
      <c r="S108" s="24">
        <f>SUMIFS('Saldos Iniciales'!$D:$D,'Saldos Iniciales'!$A:$A,"3628 Thomas Ave")+SUMIFS(Movimientos!$K$1:$K$858,Movimientos!$C$1:$C$858,"3628 Thomas Ave",Movimientos!$B$1:$B$858,"&lt;="&amp;$B108)</f>
        <v>19336.039999999997</v>
      </c>
      <c r="T108" s="24">
        <f>SUMIFS('Saldos Iniciales'!$D:$D,'Saldos Iniciales'!$A:$A,"Green Harbor Trust")+SUMIFS(Movimientos!$K$1:$K$858,Movimientos!$C$1:$C$858,"Green Harbor Trust",Movimientos!$B$1:$B$858,"&lt;="&amp;$B108)</f>
        <v>345</v>
      </c>
      <c r="U108" s="24">
        <f>SUMIFS('Saldos Iniciales'!$D:$D,'Saldos Iniciales'!$A:$A,"Go Blue")+SUMIFS(Movimientos!$K$1:$K$858,Movimientos!$C$1:$C$858,"Go Blue",Movimientos!$B$1:$B$858,"&lt;="&amp;$B108)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Group")+SUMIFS(Movimientos!$K$1:$K$858,Movimientos!$C$1:$C$858,"CFT Group",Movimientos!$B$1:$B$858,"&lt;="&amp;$B109)</f>
        <v>941242.38000000047</v>
      </c>
      <c r="D109" s="24">
        <f>SUMIFS('Saldos Iniciales'!$D:$D,'Saldos Iniciales'!$A:$A,"M1B")+SUMIFS(Movimientos!$K$1:$K$858,Movimientos!$C$1:$C$858,"M1B",Movimientos!$B$1:$B$858,"&lt;="&amp;$B109)</f>
        <v>83211.250000000175</v>
      </c>
      <c r="E109" s="24">
        <f>SUMIFS('Saldos Iniciales'!$D:$D,'Saldos Iniciales'!$A:$A,"Durand")+SUMIFS(Movimientos!$K$1:$K$858,Movimientos!$C$1:$C$858,"Durand",Movimientos!$B$1:$B$858,"&lt;="&amp;$B109)</f>
        <v>1669.89</v>
      </c>
      <c r="F109" s="24">
        <f>SUMIFS('Saldos Iniciales'!$D:$D,'Saldos Iniciales'!$A:$A,"A&amp;M Imports")+SUMIFS(Movimientos!$K$1:$K$858,Movimientos!$C$1:$C$858,"A&amp;M Imports",Movimientos!$B$1:$B$858,"&lt;="&amp;$B109)</f>
        <v>1289451.94</v>
      </c>
      <c r="G109" s="24">
        <f>SUMIFS('Saldos Iniciales'!$D:$D,'Saldos Iniciales'!$A:$A,"SSP Capital")+SUMIFS(Movimientos!$K$1:$K$858,Movimientos!$C$1:$C$858,"SSP Capital",Movimientos!$B$1:$B$858,"&lt;="&amp;$B109)</f>
        <v>1418917.5899999996</v>
      </c>
      <c r="H109" s="24">
        <f>SUMIFS('Saldos Iniciales'!$D:$D,'Saldos Iniciales'!$A:$A,"Cross Family Trust")+SUMIFS(Movimientos!$K$1:$K$858,Movimientos!$C$1:$C$858,"Cross Family Trust",Movimientos!$B$1:$B$858,"&lt;="&amp;$B109)</f>
        <v>221496.38</v>
      </c>
      <c r="I109" s="24">
        <f>SUMIFS('Saldos Iniciales'!$D:$D,'Saldos Iniciales'!$A:$A,"Cross Security Trust")+SUMIFS(Movimientos!$K$1:$K$858,Movimientos!$C$1:$C$858,"Cross Security Trust",Movimientos!$B$1:$B$858,"&lt;="&amp;$B109)</f>
        <v>158090.37</v>
      </c>
      <c r="J109" s="24">
        <f>SUMIFS('Saldos Iniciales'!$D:$D,'Saldos Iniciales'!$A:$A,"Electrama")+SUMIFS(Movimientos!$K$1:$K$858,Movimientos!$C$1:$C$858,"Electrama",Movimientos!$B$1:$B$858,"&lt;="&amp;$B109)</f>
        <v>14580.45</v>
      </c>
      <c r="K109" s="24">
        <f>SUMIFS('Saldos Iniciales'!$D:$D,'Saldos Iniciales'!$A:$A,"Sacred Valley Capital")+SUMIFS(Movimientos!$K$1:$K$858,Movimientos!$C$1:$C$858,"Sacred Valley Capital",Movimientos!$B$1:$B$858,"&lt;="&amp;$B109)</f>
        <v>24.450000000000003</v>
      </c>
      <c r="L109" s="24">
        <f>SUMIFS('Saldos Iniciales'!$D:$D,'Saldos Iniciales'!$A:$A,"YWC Capital")+SUMIFS(Movimientos!$K$1:$K$858,Movimientos!$C$1:$C$858,"YWC Capital",Movimientos!$B$1:$B$858,"&lt;="&amp;$B109)</f>
        <v>2177.87</v>
      </c>
      <c r="M109" s="24">
        <f>SUMIFS('Saldos Iniciales'!$D:$D,'Saldos Iniciales'!$A:$A,"Soweto")+SUMIFS(Movimientos!$K$1:$K$858,Movimientos!$C$1:$C$858,"Soweto",Movimientos!$B$1:$B$858,"&lt;="&amp;$B109)</f>
        <v>754589.72</v>
      </c>
      <c r="N109" s="24">
        <f>SUMIFS('Saldos Iniciales'!$D:$D,'Saldos Iniciales'!$A:$A,"Green Stone Trust")+SUMIFS(Movimientos!$K$1:$K$858,Movimientos!$C$1:$C$858,"Green Stone Trust",Movimientos!$B$1:$B$858,"&lt;="&amp;$B109)</f>
        <v>1968.99</v>
      </c>
      <c r="O109" s="24">
        <f>SUMIFS('Saldos Iniciales'!$D:$D,'Saldos Iniciales'!$A:$A,"EC Auto")+SUMIFS(Movimientos!$K$1:$K$858,Movimientos!$C$1:$C$858,"EC Auto",Movimientos!$B$1:$B$858,"&lt;="&amp;$B109)</f>
        <v>901.34</v>
      </c>
      <c r="P109" s="24">
        <f>SUMIFS('Saldos Iniciales'!$D:$D,'Saldos Iniciales'!$A:$A,"Arbor Capital Properties")+SUMIFS(Movimientos!$K$1:$K$858,Movimientos!$C$1:$C$858,"Arbor Capital Properties",Movimientos!$B$1:$B$858,"&lt;="&amp;$B109)</f>
        <v>1396.08</v>
      </c>
      <c r="Q109" s="24">
        <f>SUMIFS('Saldos Iniciales'!$D:$D,'Saldos Iniciales'!$A:$A,"2515 Overbrook")+SUMIFS(Movimientos!$K$1:$K$858,Movimientos!$C$1:$C$858,"2515 Overbrook",Movimientos!$B$1:$B$858,"&lt;="&amp;$B109)</f>
        <v>13685.709999999959</v>
      </c>
      <c r="R109" s="24">
        <f>SUMIFS('Saldos Iniciales'!$D:$D,'Saldos Iniciales'!$A:$A,"112 Florida Ave")+SUMIFS(Movimientos!$K$1:$K$858,Movimientos!$C$1:$C$858,"112 Florida Ave",Movimientos!$B$1:$B$858,"&lt;="&amp;$B109)</f>
        <v>8724.1700000000037</v>
      </c>
      <c r="S109" s="24">
        <f>SUMIFS('Saldos Iniciales'!$D:$D,'Saldos Iniciales'!$A:$A,"3628 Thomas Ave")+SUMIFS(Movimientos!$K$1:$K$858,Movimientos!$C$1:$C$858,"3628 Thomas Ave",Movimientos!$B$1:$B$858,"&lt;="&amp;$B109)</f>
        <v>19336.039999999997</v>
      </c>
      <c r="T109" s="24">
        <f>SUMIFS('Saldos Iniciales'!$D:$D,'Saldos Iniciales'!$A:$A,"Green Harbor Trust")+SUMIFS(Movimientos!$K$1:$K$858,Movimientos!$C$1:$C$858,"Green Harbor Trust",Movimientos!$B$1:$B$858,"&lt;="&amp;$B109)</f>
        <v>345</v>
      </c>
      <c r="U109" s="24">
        <f>SUMIFS('Saldos Iniciales'!$D:$D,'Saldos Iniciales'!$A:$A,"Go Blue")+SUMIFS(Movimientos!$K$1:$K$858,Movimientos!$C$1:$C$858,"Go Blue",Movimientos!$B$1:$B$858,"&lt;="&amp;$B109)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Group")+SUMIFS(Movimientos!$K$1:$K$858,Movimientos!$C$1:$C$858,"CFT Group",Movimientos!$B$1:$B$858,"&lt;="&amp;$B110)</f>
        <v>941242.38000000047</v>
      </c>
      <c r="D110" s="24">
        <f>SUMIFS('Saldos Iniciales'!$D:$D,'Saldos Iniciales'!$A:$A,"M1B")+SUMIFS(Movimientos!$K$1:$K$858,Movimientos!$C$1:$C$858,"M1B",Movimientos!$B$1:$B$858,"&lt;="&amp;$B110)</f>
        <v>83211.250000000175</v>
      </c>
      <c r="E110" s="24">
        <f>SUMIFS('Saldos Iniciales'!$D:$D,'Saldos Iniciales'!$A:$A,"Durand")+SUMIFS(Movimientos!$K$1:$K$858,Movimientos!$C$1:$C$858,"Durand",Movimientos!$B$1:$B$858,"&lt;="&amp;$B110)</f>
        <v>1669.89</v>
      </c>
      <c r="F110" s="24">
        <f>SUMIFS('Saldos Iniciales'!$D:$D,'Saldos Iniciales'!$A:$A,"A&amp;M Imports")+SUMIFS(Movimientos!$K$1:$K$858,Movimientos!$C$1:$C$858,"A&amp;M Imports",Movimientos!$B$1:$B$858,"&lt;="&amp;$B110)</f>
        <v>1289031.3399999999</v>
      </c>
      <c r="G110" s="24">
        <f>SUMIFS('Saldos Iniciales'!$D:$D,'Saldos Iniciales'!$A:$A,"SSP Capital")+SUMIFS(Movimientos!$K$1:$K$858,Movimientos!$C$1:$C$858,"SSP Capital",Movimientos!$B$1:$B$858,"&lt;="&amp;$B110)</f>
        <v>1384086.4999999995</v>
      </c>
      <c r="H110" s="24">
        <f>SUMIFS('Saldos Iniciales'!$D:$D,'Saldos Iniciales'!$A:$A,"Cross Family Trust")+SUMIFS(Movimientos!$K$1:$K$858,Movimientos!$C$1:$C$858,"Cross Family Trust",Movimientos!$B$1:$B$858,"&lt;="&amp;$B110)</f>
        <v>221496.38</v>
      </c>
      <c r="I110" s="24">
        <f>SUMIFS('Saldos Iniciales'!$D:$D,'Saldos Iniciales'!$A:$A,"Cross Security Trust")+SUMIFS(Movimientos!$K$1:$K$858,Movimientos!$C$1:$C$858,"Cross Security Trust",Movimientos!$B$1:$B$858,"&lt;="&amp;$B110)</f>
        <v>158090.37</v>
      </c>
      <c r="J110" s="24">
        <f>SUMIFS('Saldos Iniciales'!$D:$D,'Saldos Iniciales'!$A:$A,"Electrama")+SUMIFS(Movimientos!$K$1:$K$858,Movimientos!$C$1:$C$858,"Electrama",Movimientos!$B$1:$B$858,"&lt;="&amp;$B110)</f>
        <v>14580.45</v>
      </c>
      <c r="K110" s="24">
        <f>SUMIFS('Saldos Iniciales'!$D:$D,'Saldos Iniciales'!$A:$A,"Sacred Valley Capital")+SUMIFS(Movimientos!$K$1:$K$858,Movimientos!$C$1:$C$858,"Sacred Valley Capital",Movimientos!$B$1:$B$858,"&lt;="&amp;$B110)</f>
        <v>24.450000000000003</v>
      </c>
      <c r="L110" s="24">
        <f>SUMIFS('Saldos Iniciales'!$D:$D,'Saldos Iniciales'!$A:$A,"YWC Capital")+SUMIFS(Movimientos!$K$1:$K$858,Movimientos!$C$1:$C$858,"YWC Capital",Movimientos!$B$1:$B$858,"&lt;="&amp;$B110)</f>
        <v>2177.87</v>
      </c>
      <c r="M110" s="24">
        <f>SUMIFS('Saldos Iniciales'!$D:$D,'Saldos Iniciales'!$A:$A,"Soweto")+SUMIFS(Movimientos!$K$1:$K$858,Movimientos!$C$1:$C$858,"Soweto",Movimientos!$B$1:$B$858,"&lt;="&amp;$B110)</f>
        <v>754589.72</v>
      </c>
      <c r="N110" s="24">
        <f>SUMIFS('Saldos Iniciales'!$D:$D,'Saldos Iniciales'!$A:$A,"Green Stone Trust")+SUMIFS(Movimientos!$K$1:$K$858,Movimientos!$C$1:$C$858,"Green Stone Trust",Movimientos!$B$1:$B$858,"&lt;="&amp;$B110)</f>
        <v>1968.99</v>
      </c>
      <c r="O110" s="24">
        <f>SUMIFS('Saldos Iniciales'!$D:$D,'Saldos Iniciales'!$A:$A,"EC Auto")+SUMIFS(Movimientos!$K$1:$K$858,Movimientos!$C$1:$C$858,"EC Auto",Movimientos!$B$1:$B$858,"&lt;="&amp;$B110)</f>
        <v>901.34</v>
      </c>
      <c r="P110" s="24">
        <f>SUMIFS('Saldos Iniciales'!$D:$D,'Saldos Iniciales'!$A:$A,"Arbor Capital Properties")+SUMIFS(Movimientos!$K$1:$K$858,Movimientos!$C$1:$C$858,"Arbor Capital Properties",Movimientos!$B$1:$B$858,"&lt;="&amp;$B110)</f>
        <v>1396.08</v>
      </c>
      <c r="Q110" s="24">
        <f>SUMIFS('Saldos Iniciales'!$D:$D,'Saldos Iniciales'!$A:$A,"2515 Overbrook")+SUMIFS(Movimientos!$K$1:$K$858,Movimientos!$C$1:$C$858,"2515 Overbrook",Movimientos!$B$1:$B$858,"&lt;="&amp;$B110)</f>
        <v>13685.709999999959</v>
      </c>
      <c r="R110" s="24">
        <f>SUMIFS('Saldos Iniciales'!$D:$D,'Saldos Iniciales'!$A:$A,"112 Florida Ave")+SUMIFS(Movimientos!$K$1:$K$858,Movimientos!$C$1:$C$858,"112 Florida Ave",Movimientos!$B$1:$B$858,"&lt;="&amp;$B110)</f>
        <v>8724.1700000000037</v>
      </c>
      <c r="S110" s="24">
        <f>SUMIFS('Saldos Iniciales'!$D:$D,'Saldos Iniciales'!$A:$A,"3628 Thomas Ave")+SUMIFS(Movimientos!$K$1:$K$858,Movimientos!$C$1:$C$858,"3628 Thomas Ave",Movimientos!$B$1:$B$858,"&lt;="&amp;$B110)</f>
        <v>19336.039999999997</v>
      </c>
      <c r="T110" s="24">
        <f>SUMIFS('Saldos Iniciales'!$D:$D,'Saldos Iniciales'!$A:$A,"Green Harbor Trust")+SUMIFS(Movimientos!$K$1:$K$858,Movimientos!$C$1:$C$858,"Green Harbor Trust",Movimientos!$B$1:$B$858,"&lt;="&amp;$B110)</f>
        <v>345</v>
      </c>
      <c r="U110" s="24">
        <f>SUMIFS('Saldos Iniciales'!$D:$D,'Saldos Iniciales'!$A:$A,"Go Blue")+SUMIFS(Movimientos!$K$1:$K$858,Movimientos!$C$1:$C$858,"Go Blue",Movimientos!$B$1:$B$858,"&lt;="&amp;$B110)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Group")+SUMIFS(Movimientos!$K$1:$K$858,Movimientos!$C$1:$C$858,"CFT Group",Movimientos!$B$1:$B$858,"&lt;="&amp;$B111)</f>
        <v>1047104.1600000005</v>
      </c>
      <c r="D111" s="24">
        <f>SUMIFS('Saldos Iniciales'!$D:$D,'Saldos Iniciales'!$A:$A,"M1B")+SUMIFS(Movimientos!$K$1:$K$858,Movimientos!$C$1:$C$858,"M1B",Movimientos!$B$1:$B$858,"&lt;="&amp;$B111)</f>
        <v>83211.250000000175</v>
      </c>
      <c r="E111" s="24">
        <f>SUMIFS('Saldos Iniciales'!$D:$D,'Saldos Iniciales'!$A:$A,"Durand")+SUMIFS(Movimientos!$K$1:$K$858,Movimientos!$C$1:$C$858,"Durand",Movimientos!$B$1:$B$858,"&lt;="&amp;$B111)</f>
        <v>1669.89</v>
      </c>
      <c r="F111" s="24">
        <f>SUMIFS('Saldos Iniciales'!$D:$D,'Saldos Iniciales'!$A:$A,"A&amp;M Imports")+SUMIFS(Movimientos!$K$1:$K$858,Movimientos!$C$1:$C$858,"A&amp;M Imports",Movimientos!$B$1:$B$858,"&lt;="&amp;$B111)</f>
        <v>1289031.3399999999</v>
      </c>
      <c r="G111" s="24">
        <f>SUMIFS('Saldos Iniciales'!$D:$D,'Saldos Iniciales'!$A:$A,"SSP Capital")+SUMIFS(Movimientos!$K$1:$K$858,Movimientos!$C$1:$C$858,"SSP Capital",Movimientos!$B$1:$B$858,"&lt;="&amp;$B111)</f>
        <v>1381596.1399999997</v>
      </c>
      <c r="H111" s="24">
        <f>SUMIFS('Saldos Iniciales'!$D:$D,'Saldos Iniciales'!$A:$A,"Cross Family Trust")+SUMIFS(Movimientos!$K$1:$K$858,Movimientos!$C$1:$C$858,"Cross Family Trust",Movimientos!$B$1:$B$858,"&lt;="&amp;$B111)</f>
        <v>221496.38</v>
      </c>
      <c r="I111" s="24">
        <f>SUMIFS('Saldos Iniciales'!$D:$D,'Saldos Iniciales'!$A:$A,"Cross Security Trust")+SUMIFS(Movimientos!$K$1:$K$858,Movimientos!$C$1:$C$858,"Cross Security Trust",Movimientos!$B$1:$B$858,"&lt;="&amp;$B111)</f>
        <v>158090.37</v>
      </c>
      <c r="J111" s="24">
        <f>SUMIFS('Saldos Iniciales'!$D:$D,'Saldos Iniciales'!$A:$A,"Electrama")+SUMIFS(Movimientos!$K$1:$K$858,Movimientos!$C$1:$C$858,"Electrama",Movimientos!$B$1:$B$858,"&lt;="&amp;$B111)</f>
        <v>14580.45</v>
      </c>
      <c r="K111" s="24">
        <f>SUMIFS('Saldos Iniciales'!$D:$D,'Saldos Iniciales'!$A:$A,"Sacred Valley Capital")+SUMIFS(Movimientos!$K$1:$K$858,Movimientos!$C$1:$C$858,"Sacred Valley Capital",Movimientos!$B$1:$B$858,"&lt;="&amp;$B111)</f>
        <v>24.450000000000003</v>
      </c>
      <c r="L111" s="24">
        <f>SUMIFS('Saldos Iniciales'!$D:$D,'Saldos Iniciales'!$A:$A,"YWC Capital")+SUMIFS(Movimientos!$K$1:$K$858,Movimientos!$C$1:$C$858,"YWC Capital",Movimientos!$B$1:$B$858,"&lt;="&amp;$B111)</f>
        <v>2177.87</v>
      </c>
      <c r="M111" s="24">
        <f>SUMIFS('Saldos Iniciales'!$D:$D,'Saldos Iniciales'!$A:$A,"Soweto")+SUMIFS(Movimientos!$K$1:$K$858,Movimientos!$C$1:$C$858,"Soweto",Movimientos!$B$1:$B$858,"&lt;="&amp;$B111)</f>
        <v>754589.72</v>
      </c>
      <c r="N111" s="24">
        <f>SUMIFS('Saldos Iniciales'!$D:$D,'Saldos Iniciales'!$A:$A,"Green Stone Trust")+SUMIFS(Movimientos!$K$1:$K$858,Movimientos!$C$1:$C$858,"Green Stone Trust",Movimientos!$B$1:$B$858,"&lt;="&amp;$B111)</f>
        <v>1968.99</v>
      </c>
      <c r="O111" s="24">
        <f>SUMIFS('Saldos Iniciales'!$D:$D,'Saldos Iniciales'!$A:$A,"EC Auto")+SUMIFS(Movimientos!$K$1:$K$858,Movimientos!$C$1:$C$858,"EC Auto",Movimientos!$B$1:$B$858,"&lt;="&amp;$B111)</f>
        <v>901.34</v>
      </c>
      <c r="P111" s="24">
        <f>SUMIFS('Saldos Iniciales'!$D:$D,'Saldos Iniciales'!$A:$A,"Arbor Capital Properties")+SUMIFS(Movimientos!$K$1:$K$858,Movimientos!$C$1:$C$858,"Arbor Capital Properties",Movimientos!$B$1:$B$858,"&lt;="&amp;$B111)</f>
        <v>1396.08</v>
      </c>
      <c r="Q111" s="24">
        <f>SUMIFS('Saldos Iniciales'!$D:$D,'Saldos Iniciales'!$A:$A,"2515 Overbrook")+SUMIFS(Movimientos!$K$1:$K$858,Movimientos!$C$1:$C$858,"2515 Overbrook",Movimientos!$B$1:$B$858,"&lt;="&amp;$B111)</f>
        <v>13685.709999999959</v>
      </c>
      <c r="R111" s="24">
        <f>SUMIFS('Saldos Iniciales'!$D:$D,'Saldos Iniciales'!$A:$A,"112 Florida Ave")+SUMIFS(Movimientos!$K$1:$K$858,Movimientos!$C$1:$C$858,"112 Florida Ave",Movimientos!$B$1:$B$858,"&lt;="&amp;$B111)</f>
        <v>8724.1700000000037</v>
      </c>
      <c r="S111" s="24">
        <f>SUMIFS('Saldos Iniciales'!$D:$D,'Saldos Iniciales'!$A:$A,"3628 Thomas Ave")+SUMIFS(Movimientos!$K$1:$K$858,Movimientos!$C$1:$C$858,"3628 Thomas Ave",Movimientos!$B$1:$B$858,"&lt;="&amp;$B111)</f>
        <v>19336.039999999997</v>
      </c>
      <c r="T111" s="24">
        <f>SUMIFS('Saldos Iniciales'!$D:$D,'Saldos Iniciales'!$A:$A,"Green Harbor Trust")+SUMIFS(Movimientos!$K$1:$K$858,Movimientos!$C$1:$C$858,"Green Harbor Trust",Movimientos!$B$1:$B$858,"&lt;="&amp;$B111)</f>
        <v>345</v>
      </c>
      <c r="U111" s="24">
        <f>SUMIFS('Saldos Iniciales'!$D:$D,'Saldos Iniciales'!$A:$A,"Go Blue")+SUMIFS(Movimientos!$K$1:$K$858,Movimientos!$C$1:$C$858,"Go Blue",Movimientos!$B$1:$B$858,"&lt;="&amp;$B111)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Group")+SUMIFS(Movimientos!$K$1:$K$858,Movimientos!$C$1:$C$858,"CFT Group",Movimientos!$B$1:$B$858,"&lt;="&amp;$B112)</f>
        <v>1047104.1600000005</v>
      </c>
      <c r="D112" s="24">
        <f>SUMIFS('Saldos Iniciales'!$D:$D,'Saldos Iniciales'!$A:$A,"M1B")+SUMIFS(Movimientos!$K$1:$K$858,Movimientos!$C$1:$C$858,"M1B",Movimientos!$B$1:$B$858,"&lt;="&amp;$B112)</f>
        <v>83211.250000000175</v>
      </c>
      <c r="E112" s="24">
        <f>SUMIFS('Saldos Iniciales'!$D:$D,'Saldos Iniciales'!$A:$A,"Durand")+SUMIFS(Movimientos!$K$1:$K$858,Movimientos!$C$1:$C$858,"Durand",Movimientos!$B$1:$B$858,"&lt;="&amp;$B112)</f>
        <v>1669.89</v>
      </c>
      <c r="F112" s="24">
        <f>SUMIFS('Saldos Iniciales'!$D:$D,'Saldos Iniciales'!$A:$A,"A&amp;M Imports")+SUMIFS(Movimientos!$K$1:$K$858,Movimientos!$C$1:$C$858,"A&amp;M Imports",Movimientos!$B$1:$B$858,"&lt;="&amp;$B112)</f>
        <v>1289031.3399999999</v>
      </c>
      <c r="G112" s="24">
        <f>SUMIFS('Saldos Iniciales'!$D:$D,'Saldos Iniciales'!$A:$A,"SSP Capital")+SUMIFS(Movimientos!$K$1:$K$858,Movimientos!$C$1:$C$858,"SSP Capital",Movimientos!$B$1:$B$858,"&lt;="&amp;$B112)</f>
        <v>1880692.4399999997</v>
      </c>
      <c r="H112" s="24">
        <f>SUMIFS('Saldos Iniciales'!$D:$D,'Saldos Iniciales'!$A:$A,"Cross Family Trust")+SUMIFS(Movimientos!$K$1:$K$858,Movimientos!$C$1:$C$858,"Cross Family Trust",Movimientos!$B$1:$B$858,"&lt;="&amp;$B112)</f>
        <v>221496.38</v>
      </c>
      <c r="I112" s="24">
        <f>SUMIFS('Saldos Iniciales'!$D:$D,'Saldos Iniciales'!$A:$A,"Cross Security Trust")+SUMIFS(Movimientos!$K$1:$K$858,Movimientos!$C$1:$C$858,"Cross Security Trust",Movimientos!$B$1:$B$858,"&lt;="&amp;$B112)</f>
        <v>158090.37</v>
      </c>
      <c r="J112" s="24">
        <f>SUMIFS('Saldos Iniciales'!$D:$D,'Saldos Iniciales'!$A:$A,"Electrama")+SUMIFS(Movimientos!$K$1:$K$858,Movimientos!$C$1:$C$858,"Electrama",Movimientos!$B$1:$B$858,"&lt;="&amp;$B112)</f>
        <v>14580.45</v>
      </c>
      <c r="K112" s="24">
        <f>SUMIFS('Saldos Iniciales'!$D:$D,'Saldos Iniciales'!$A:$A,"Sacred Valley Capital")+SUMIFS(Movimientos!$K$1:$K$858,Movimientos!$C$1:$C$858,"Sacred Valley Capital",Movimientos!$B$1:$B$858,"&lt;="&amp;$B112)</f>
        <v>24.450000000000003</v>
      </c>
      <c r="L112" s="24">
        <f>SUMIFS('Saldos Iniciales'!$D:$D,'Saldos Iniciales'!$A:$A,"YWC Capital")+SUMIFS(Movimientos!$K$1:$K$858,Movimientos!$C$1:$C$858,"YWC Capital",Movimientos!$B$1:$B$858,"&lt;="&amp;$B112)</f>
        <v>2177.87</v>
      </c>
      <c r="M112" s="24">
        <f>SUMIFS('Saldos Iniciales'!$D:$D,'Saldos Iniciales'!$A:$A,"Soweto")+SUMIFS(Movimientos!$K$1:$K$858,Movimientos!$C$1:$C$858,"Soweto",Movimientos!$B$1:$B$858,"&lt;="&amp;$B112)</f>
        <v>754589.72</v>
      </c>
      <c r="N112" s="24">
        <f>SUMIFS('Saldos Iniciales'!$D:$D,'Saldos Iniciales'!$A:$A,"Green Stone Trust")+SUMIFS(Movimientos!$K$1:$K$858,Movimientos!$C$1:$C$858,"Green Stone Trust",Movimientos!$B$1:$B$858,"&lt;="&amp;$B112)</f>
        <v>1968.99</v>
      </c>
      <c r="O112" s="24">
        <f>SUMIFS('Saldos Iniciales'!$D:$D,'Saldos Iniciales'!$A:$A,"EC Auto")+SUMIFS(Movimientos!$K$1:$K$858,Movimientos!$C$1:$C$858,"EC Auto",Movimientos!$B$1:$B$858,"&lt;="&amp;$B112)</f>
        <v>901.34</v>
      </c>
      <c r="P112" s="24">
        <f>SUMIFS('Saldos Iniciales'!$D:$D,'Saldos Iniciales'!$A:$A,"Arbor Capital Properties")+SUMIFS(Movimientos!$K$1:$K$858,Movimientos!$C$1:$C$858,"Arbor Capital Properties",Movimientos!$B$1:$B$858,"&lt;="&amp;$B112)</f>
        <v>1396.08</v>
      </c>
      <c r="Q112" s="24">
        <f>SUMIFS('Saldos Iniciales'!$D:$D,'Saldos Iniciales'!$A:$A,"2515 Overbrook")+SUMIFS(Movimientos!$K$1:$K$858,Movimientos!$C$1:$C$858,"2515 Overbrook",Movimientos!$B$1:$B$858,"&lt;="&amp;$B112)</f>
        <v>13685.709999999959</v>
      </c>
      <c r="R112" s="24">
        <f>SUMIFS('Saldos Iniciales'!$D:$D,'Saldos Iniciales'!$A:$A,"112 Florida Ave")+SUMIFS(Movimientos!$K$1:$K$858,Movimientos!$C$1:$C$858,"112 Florida Ave",Movimientos!$B$1:$B$858,"&lt;="&amp;$B112)</f>
        <v>8724.1700000000037</v>
      </c>
      <c r="S112" s="24">
        <f>SUMIFS('Saldos Iniciales'!$D:$D,'Saldos Iniciales'!$A:$A,"3628 Thomas Ave")+SUMIFS(Movimientos!$K$1:$K$858,Movimientos!$C$1:$C$858,"3628 Thomas Ave",Movimientos!$B$1:$B$858,"&lt;="&amp;$B112)</f>
        <v>19336.039999999997</v>
      </c>
      <c r="T112" s="24">
        <f>SUMIFS('Saldos Iniciales'!$D:$D,'Saldos Iniciales'!$A:$A,"Green Harbor Trust")+SUMIFS(Movimientos!$K$1:$K$858,Movimientos!$C$1:$C$858,"Green Harbor Trust",Movimientos!$B$1:$B$858,"&lt;="&amp;$B112)</f>
        <v>345</v>
      </c>
      <c r="U112" s="24">
        <f>SUMIFS('Saldos Iniciales'!$D:$D,'Saldos Iniciales'!$A:$A,"Go Blue")+SUMIFS(Movimientos!$K$1:$K$858,Movimientos!$C$1:$C$858,"Go Blue",Movimientos!$B$1:$B$858,"&lt;="&amp;$B112)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Group")+SUMIFS(Movimientos!$K$1:$K$858,Movimientos!$C$1:$C$858,"CFT Group",Movimientos!$B$1:$B$858,"&lt;="&amp;$B113)</f>
        <v>702229.1600000005</v>
      </c>
      <c r="D113" s="24">
        <f>SUMIFS('Saldos Iniciales'!$D:$D,'Saldos Iniciales'!$A:$A,"M1B")+SUMIFS(Movimientos!$K$1:$K$858,Movimientos!$C$1:$C$858,"M1B",Movimientos!$B$1:$B$858,"&lt;="&amp;$B113)</f>
        <v>83211.250000000175</v>
      </c>
      <c r="E113" s="24">
        <f>SUMIFS('Saldos Iniciales'!$D:$D,'Saldos Iniciales'!$A:$A,"Durand")+SUMIFS(Movimientos!$K$1:$K$858,Movimientos!$C$1:$C$858,"Durand",Movimientos!$B$1:$B$858,"&lt;="&amp;$B113)</f>
        <v>1669.89</v>
      </c>
      <c r="F113" s="24">
        <f>SUMIFS('Saldos Iniciales'!$D:$D,'Saldos Iniciales'!$A:$A,"A&amp;M Imports")+SUMIFS(Movimientos!$K$1:$K$858,Movimientos!$C$1:$C$858,"A&amp;M Imports",Movimientos!$B$1:$B$858,"&lt;="&amp;$B113)</f>
        <v>1229031.3399999999</v>
      </c>
      <c r="G113" s="24">
        <f>SUMIFS('Saldos Iniciales'!$D:$D,'Saldos Iniciales'!$A:$A,"SSP Capital")+SUMIFS(Movimientos!$K$1:$K$858,Movimientos!$C$1:$C$858,"SSP Capital",Movimientos!$B$1:$B$858,"&lt;="&amp;$B113)</f>
        <v>1744161.5299999998</v>
      </c>
      <c r="H113" s="24">
        <f>SUMIFS('Saldos Iniciales'!$D:$D,'Saldos Iniciales'!$A:$A,"Cross Family Trust")+SUMIFS(Movimientos!$K$1:$K$858,Movimientos!$C$1:$C$858,"Cross Family Trust",Movimientos!$B$1:$B$858,"&lt;="&amp;$B113)</f>
        <v>221496.38</v>
      </c>
      <c r="I113" s="24">
        <f>SUMIFS('Saldos Iniciales'!$D:$D,'Saldos Iniciales'!$A:$A,"Cross Security Trust")+SUMIFS(Movimientos!$K$1:$K$858,Movimientos!$C$1:$C$858,"Cross Security Trust",Movimientos!$B$1:$B$858,"&lt;="&amp;$B113)</f>
        <v>158090.37</v>
      </c>
      <c r="J113" s="24">
        <f>SUMIFS('Saldos Iniciales'!$D:$D,'Saldos Iniciales'!$A:$A,"Electrama")+SUMIFS(Movimientos!$K$1:$K$858,Movimientos!$C$1:$C$858,"Electrama",Movimientos!$B$1:$B$858,"&lt;="&amp;$B113)</f>
        <v>14580.45</v>
      </c>
      <c r="K113" s="24">
        <f>SUMIFS('Saldos Iniciales'!$D:$D,'Saldos Iniciales'!$A:$A,"Sacred Valley Capital")+SUMIFS(Movimientos!$K$1:$K$858,Movimientos!$C$1:$C$858,"Sacred Valley Capital",Movimientos!$B$1:$B$858,"&lt;="&amp;$B113)</f>
        <v>24.450000000000003</v>
      </c>
      <c r="L113" s="24">
        <f>SUMIFS('Saldos Iniciales'!$D:$D,'Saldos Iniciales'!$A:$A,"YWC Capital")+SUMIFS(Movimientos!$K$1:$K$858,Movimientos!$C$1:$C$858,"YWC Capital",Movimientos!$B$1:$B$858,"&lt;="&amp;$B113)</f>
        <v>2177.87</v>
      </c>
      <c r="M113" s="24">
        <f>SUMIFS('Saldos Iniciales'!$D:$D,'Saldos Iniciales'!$A:$A,"Soweto")+SUMIFS(Movimientos!$K$1:$K$858,Movimientos!$C$1:$C$858,"Soweto",Movimientos!$B$1:$B$858,"&lt;="&amp;$B113)</f>
        <v>754589.72</v>
      </c>
      <c r="N113" s="24">
        <f>SUMIFS('Saldos Iniciales'!$D:$D,'Saldos Iniciales'!$A:$A,"Green Stone Trust")+SUMIFS(Movimientos!$K$1:$K$858,Movimientos!$C$1:$C$858,"Green Stone Trust",Movimientos!$B$1:$B$858,"&lt;="&amp;$B113)</f>
        <v>1968.99</v>
      </c>
      <c r="O113" s="24">
        <f>SUMIFS('Saldos Iniciales'!$D:$D,'Saldos Iniciales'!$A:$A,"EC Auto")+SUMIFS(Movimientos!$K$1:$K$858,Movimientos!$C$1:$C$858,"EC Auto",Movimientos!$B$1:$B$858,"&lt;="&amp;$B113)</f>
        <v>901.34</v>
      </c>
      <c r="P113" s="24">
        <f>SUMIFS('Saldos Iniciales'!$D:$D,'Saldos Iniciales'!$A:$A,"Arbor Capital Properties")+SUMIFS(Movimientos!$K$1:$K$858,Movimientos!$C$1:$C$858,"Arbor Capital Properties",Movimientos!$B$1:$B$858,"&lt;="&amp;$B113)</f>
        <v>1396.08</v>
      </c>
      <c r="Q113" s="24">
        <f>SUMIFS('Saldos Iniciales'!$D:$D,'Saldos Iniciales'!$A:$A,"2515 Overbrook")+SUMIFS(Movimientos!$K$1:$K$858,Movimientos!$C$1:$C$858,"2515 Overbrook",Movimientos!$B$1:$B$858,"&lt;="&amp;$B113)</f>
        <v>13685.709999999959</v>
      </c>
      <c r="R113" s="24">
        <f>SUMIFS('Saldos Iniciales'!$D:$D,'Saldos Iniciales'!$A:$A,"112 Florida Ave")+SUMIFS(Movimientos!$K$1:$K$858,Movimientos!$C$1:$C$858,"112 Florida Ave",Movimientos!$B$1:$B$858,"&lt;="&amp;$B113)</f>
        <v>8724.1700000000037</v>
      </c>
      <c r="S113" s="24">
        <f>SUMIFS('Saldos Iniciales'!$D:$D,'Saldos Iniciales'!$A:$A,"3628 Thomas Ave")+SUMIFS(Movimientos!$K$1:$K$858,Movimientos!$C$1:$C$858,"3628 Thomas Ave",Movimientos!$B$1:$B$858,"&lt;="&amp;$B113)</f>
        <v>19336.039999999997</v>
      </c>
      <c r="T113" s="24">
        <f>SUMIFS('Saldos Iniciales'!$D:$D,'Saldos Iniciales'!$A:$A,"Green Harbor Trust")+SUMIFS(Movimientos!$K$1:$K$858,Movimientos!$C$1:$C$858,"Green Harbor Trust",Movimientos!$B$1:$B$858,"&lt;="&amp;$B113)</f>
        <v>345</v>
      </c>
      <c r="U113" s="24">
        <f>SUMIFS('Saldos Iniciales'!$D:$D,'Saldos Iniciales'!$A:$A,"Go Blue")+SUMIFS(Movimientos!$K$1:$K$858,Movimientos!$C$1:$C$858,"Go Blue",Movimientos!$B$1:$B$858,"&lt;="&amp;$B113)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Group")+SUMIFS(Movimientos!$K$1:$K$858,Movimientos!$C$1:$C$858,"CFT Group",Movimientos!$B$1:$B$858,"&lt;="&amp;$B114)</f>
        <v>702229.1600000005</v>
      </c>
      <c r="D114" s="24">
        <f>SUMIFS('Saldos Iniciales'!$D:$D,'Saldos Iniciales'!$A:$A,"M1B")+SUMIFS(Movimientos!$K$1:$K$858,Movimientos!$C$1:$C$858,"M1B",Movimientos!$B$1:$B$858,"&lt;="&amp;$B114)</f>
        <v>83211.250000000175</v>
      </c>
      <c r="E114" s="24">
        <f>SUMIFS('Saldos Iniciales'!$D:$D,'Saldos Iniciales'!$A:$A,"Durand")+SUMIFS(Movimientos!$K$1:$K$858,Movimientos!$C$1:$C$858,"Durand",Movimientos!$B$1:$B$858,"&lt;="&amp;$B114)</f>
        <v>1669.89</v>
      </c>
      <c r="F114" s="24">
        <f>SUMIFS('Saldos Iniciales'!$D:$D,'Saldos Iniciales'!$A:$A,"A&amp;M Imports")+SUMIFS(Movimientos!$K$1:$K$858,Movimientos!$C$1:$C$858,"A&amp;M Imports",Movimientos!$B$1:$B$858,"&lt;="&amp;$B114)</f>
        <v>1229031.3399999999</v>
      </c>
      <c r="G114" s="24">
        <f>SUMIFS('Saldos Iniciales'!$D:$D,'Saldos Iniciales'!$A:$A,"SSP Capital")+SUMIFS(Movimientos!$K$1:$K$858,Movimientos!$C$1:$C$858,"SSP Capital",Movimientos!$B$1:$B$858,"&lt;="&amp;$B114)</f>
        <v>1744161.5299999998</v>
      </c>
      <c r="H114" s="24">
        <f>SUMIFS('Saldos Iniciales'!$D:$D,'Saldos Iniciales'!$A:$A,"Cross Family Trust")+SUMIFS(Movimientos!$K$1:$K$858,Movimientos!$C$1:$C$858,"Cross Family Trust",Movimientos!$B$1:$B$858,"&lt;="&amp;$B114)</f>
        <v>221496.38</v>
      </c>
      <c r="I114" s="24">
        <f>SUMIFS('Saldos Iniciales'!$D:$D,'Saldos Iniciales'!$A:$A,"Cross Security Trust")+SUMIFS(Movimientos!$K$1:$K$858,Movimientos!$C$1:$C$858,"Cross Security Trust",Movimientos!$B$1:$B$858,"&lt;="&amp;$B114)</f>
        <v>158090.37</v>
      </c>
      <c r="J114" s="24">
        <f>SUMIFS('Saldos Iniciales'!$D:$D,'Saldos Iniciales'!$A:$A,"Electrama")+SUMIFS(Movimientos!$K$1:$K$858,Movimientos!$C$1:$C$858,"Electrama",Movimientos!$B$1:$B$858,"&lt;="&amp;$B114)</f>
        <v>14580.45</v>
      </c>
      <c r="K114" s="24">
        <f>SUMIFS('Saldos Iniciales'!$D:$D,'Saldos Iniciales'!$A:$A,"Sacred Valley Capital")+SUMIFS(Movimientos!$K$1:$K$858,Movimientos!$C$1:$C$858,"Sacred Valley Capital",Movimientos!$B$1:$B$858,"&lt;="&amp;$B114)</f>
        <v>24.450000000000003</v>
      </c>
      <c r="L114" s="24">
        <f>SUMIFS('Saldos Iniciales'!$D:$D,'Saldos Iniciales'!$A:$A,"YWC Capital")+SUMIFS(Movimientos!$K$1:$K$858,Movimientos!$C$1:$C$858,"YWC Capital",Movimientos!$B$1:$B$858,"&lt;="&amp;$B114)</f>
        <v>2177.87</v>
      </c>
      <c r="M114" s="24">
        <f>SUMIFS('Saldos Iniciales'!$D:$D,'Saldos Iniciales'!$A:$A,"Soweto")+SUMIFS(Movimientos!$K$1:$K$858,Movimientos!$C$1:$C$858,"Soweto",Movimientos!$B$1:$B$858,"&lt;="&amp;$B114)</f>
        <v>754589.72</v>
      </c>
      <c r="N114" s="24">
        <f>SUMIFS('Saldos Iniciales'!$D:$D,'Saldos Iniciales'!$A:$A,"Green Stone Trust")+SUMIFS(Movimientos!$K$1:$K$858,Movimientos!$C$1:$C$858,"Green Stone Trust",Movimientos!$B$1:$B$858,"&lt;="&amp;$B114)</f>
        <v>1968.99</v>
      </c>
      <c r="O114" s="24">
        <f>SUMIFS('Saldos Iniciales'!$D:$D,'Saldos Iniciales'!$A:$A,"EC Auto")+SUMIFS(Movimientos!$K$1:$K$858,Movimientos!$C$1:$C$858,"EC Auto",Movimientos!$B$1:$B$858,"&lt;="&amp;$B114)</f>
        <v>901.34</v>
      </c>
      <c r="P114" s="24">
        <f>SUMIFS('Saldos Iniciales'!$D:$D,'Saldos Iniciales'!$A:$A,"Arbor Capital Properties")+SUMIFS(Movimientos!$K$1:$K$858,Movimientos!$C$1:$C$858,"Arbor Capital Properties",Movimientos!$B$1:$B$858,"&lt;="&amp;$B114)</f>
        <v>1396.08</v>
      </c>
      <c r="Q114" s="24">
        <f>SUMIFS('Saldos Iniciales'!$D:$D,'Saldos Iniciales'!$A:$A,"2515 Overbrook")+SUMIFS(Movimientos!$K$1:$K$858,Movimientos!$C$1:$C$858,"2515 Overbrook",Movimientos!$B$1:$B$858,"&lt;="&amp;$B114)</f>
        <v>13685.709999999959</v>
      </c>
      <c r="R114" s="24">
        <f>SUMIFS('Saldos Iniciales'!$D:$D,'Saldos Iniciales'!$A:$A,"112 Florida Ave")+SUMIFS(Movimientos!$K$1:$K$858,Movimientos!$C$1:$C$858,"112 Florida Ave",Movimientos!$B$1:$B$858,"&lt;="&amp;$B114)</f>
        <v>8724.1700000000037</v>
      </c>
      <c r="S114" s="24">
        <f>SUMIFS('Saldos Iniciales'!$D:$D,'Saldos Iniciales'!$A:$A,"3628 Thomas Ave")+SUMIFS(Movimientos!$K$1:$K$858,Movimientos!$C$1:$C$858,"3628 Thomas Ave",Movimientos!$B$1:$B$858,"&lt;="&amp;$B114)</f>
        <v>19336.039999999997</v>
      </c>
      <c r="T114" s="24">
        <f>SUMIFS('Saldos Iniciales'!$D:$D,'Saldos Iniciales'!$A:$A,"Green Harbor Trust")+SUMIFS(Movimientos!$K$1:$K$858,Movimientos!$C$1:$C$858,"Green Harbor Trust",Movimientos!$B$1:$B$858,"&lt;="&amp;$B114)</f>
        <v>345</v>
      </c>
      <c r="U114" s="24">
        <f>SUMIFS('Saldos Iniciales'!$D:$D,'Saldos Iniciales'!$A:$A,"Go Blue")+SUMIFS(Movimientos!$K$1:$K$858,Movimientos!$C$1:$C$858,"Go Blue",Movimientos!$B$1:$B$858,"&lt;="&amp;$B114)</f>
        <v>12541.790000000003</v>
      </c>
      <c r="V114" s="25">
        <f t="shared" ref="V114:V121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Group")+SUMIFS(Movimientos!$K$1:$K$858,Movimientos!$C$1:$C$858,"CFT Group",Movimientos!$B$1:$B$858,"&lt;="&amp;$B115)</f>
        <v>702229.1600000005</v>
      </c>
      <c r="D115" s="24">
        <f>SUMIFS('Saldos Iniciales'!$D:$D,'Saldos Iniciales'!$A:$A,"M1B")+SUMIFS(Movimientos!$K$1:$K$858,Movimientos!$C$1:$C$858,"M1B",Movimientos!$B$1:$B$858,"&lt;="&amp;$B115)</f>
        <v>83211.250000000175</v>
      </c>
      <c r="E115" s="24">
        <f>SUMIFS('Saldos Iniciales'!$D:$D,'Saldos Iniciales'!$A:$A,"Durand")+SUMIFS(Movimientos!$K$1:$K$858,Movimientos!$C$1:$C$858,"Durand",Movimientos!$B$1:$B$858,"&lt;="&amp;$B115)</f>
        <v>1669.89</v>
      </c>
      <c r="F115" s="24">
        <f>SUMIFS('Saldos Iniciales'!$D:$D,'Saldos Iniciales'!$A:$A,"A&amp;M Imports")+SUMIFS(Movimientos!$K$1:$K$858,Movimientos!$C$1:$C$858,"A&amp;M Imports",Movimientos!$B$1:$B$858,"&lt;="&amp;$B115)</f>
        <v>1229031.3399999999</v>
      </c>
      <c r="G115" s="24">
        <f>SUMIFS('Saldos Iniciales'!$D:$D,'Saldos Iniciales'!$A:$A,"SSP Capital")+SUMIFS(Movimientos!$K$1:$K$858,Movimientos!$C$1:$C$858,"SSP Capital",Movimientos!$B$1:$B$858,"&lt;="&amp;$B115)</f>
        <v>1744161.5299999998</v>
      </c>
      <c r="H115" s="24">
        <f>SUMIFS('Saldos Iniciales'!$D:$D,'Saldos Iniciales'!$A:$A,"Cross Family Trust")+SUMIFS(Movimientos!$K$1:$K$858,Movimientos!$C$1:$C$858,"Cross Family Trust",Movimientos!$B$1:$B$858,"&lt;="&amp;$B115)</f>
        <v>221496.38</v>
      </c>
      <c r="I115" s="24">
        <f>SUMIFS('Saldos Iniciales'!$D:$D,'Saldos Iniciales'!$A:$A,"Cross Security Trust")+SUMIFS(Movimientos!$K$1:$K$858,Movimientos!$C$1:$C$858,"Cross Security Trust",Movimientos!$B$1:$B$858,"&lt;="&amp;$B115)</f>
        <v>158090.37</v>
      </c>
      <c r="J115" s="24">
        <f>SUMIFS('Saldos Iniciales'!$D:$D,'Saldos Iniciales'!$A:$A,"Electrama")+SUMIFS(Movimientos!$K$1:$K$858,Movimientos!$C$1:$C$858,"Electrama",Movimientos!$B$1:$B$858,"&lt;="&amp;$B115)</f>
        <v>14580.45</v>
      </c>
      <c r="K115" s="24">
        <f>SUMIFS('Saldos Iniciales'!$D:$D,'Saldos Iniciales'!$A:$A,"Sacred Valley Capital")+SUMIFS(Movimientos!$K$1:$K$858,Movimientos!$C$1:$C$858,"Sacred Valley Capital",Movimientos!$B$1:$B$858,"&lt;="&amp;$B115)</f>
        <v>24.450000000000003</v>
      </c>
      <c r="L115" s="24">
        <f>SUMIFS('Saldos Iniciales'!$D:$D,'Saldos Iniciales'!$A:$A,"YWC Capital")+SUMIFS(Movimientos!$K$1:$K$858,Movimientos!$C$1:$C$858,"YWC Capital",Movimientos!$B$1:$B$858,"&lt;="&amp;$B115)</f>
        <v>2177.87</v>
      </c>
      <c r="M115" s="24">
        <f>SUMIFS('Saldos Iniciales'!$D:$D,'Saldos Iniciales'!$A:$A,"Soweto")+SUMIFS(Movimientos!$K$1:$K$858,Movimientos!$C$1:$C$858,"Soweto",Movimientos!$B$1:$B$858,"&lt;="&amp;$B115)</f>
        <v>754589.72</v>
      </c>
      <c r="N115" s="24">
        <f>SUMIFS('Saldos Iniciales'!$D:$D,'Saldos Iniciales'!$A:$A,"Green Stone Trust")+SUMIFS(Movimientos!$K$1:$K$858,Movimientos!$C$1:$C$858,"Green Stone Trust",Movimientos!$B$1:$B$858,"&lt;="&amp;$B115)</f>
        <v>1968.99</v>
      </c>
      <c r="O115" s="24">
        <f>SUMIFS('Saldos Iniciales'!$D:$D,'Saldos Iniciales'!$A:$A,"EC Auto")+SUMIFS(Movimientos!$K$1:$K$858,Movimientos!$C$1:$C$858,"EC Auto",Movimientos!$B$1:$B$858,"&lt;="&amp;$B115)</f>
        <v>901.34</v>
      </c>
      <c r="P115" s="24">
        <f>SUMIFS('Saldos Iniciales'!$D:$D,'Saldos Iniciales'!$A:$A,"Arbor Capital Properties")+SUMIFS(Movimientos!$K$1:$K$858,Movimientos!$C$1:$C$858,"Arbor Capital Properties",Movimientos!$B$1:$B$858,"&lt;="&amp;$B115)</f>
        <v>1396.08</v>
      </c>
      <c r="Q115" s="24">
        <f>SUMIFS('Saldos Iniciales'!$D:$D,'Saldos Iniciales'!$A:$A,"2515 Overbrook")+SUMIFS(Movimientos!$K$1:$K$858,Movimientos!$C$1:$C$858,"2515 Overbrook",Movimientos!$B$1:$B$858,"&lt;="&amp;$B115)</f>
        <v>13685.709999999959</v>
      </c>
      <c r="R115" s="24">
        <f>SUMIFS('Saldos Iniciales'!$D:$D,'Saldos Iniciales'!$A:$A,"112 Florida Ave")+SUMIFS(Movimientos!$K$1:$K$858,Movimientos!$C$1:$C$858,"112 Florida Ave",Movimientos!$B$1:$B$858,"&lt;="&amp;$B115)</f>
        <v>8724.1700000000037</v>
      </c>
      <c r="S115" s="24">
        <f>SUMIFS('Saldos Iniciales'!$D:$D,'Saldos Iniciales'!$A:$A,"3628 Thomas Ave")+SUMIFS(Movimientos!$K$1:$K$858,Movimientos!$C$1:$C$858,"3628 Thomas Ave",Movimientos!$B$1:$B$858,"&lt;="&amp;$B115)</f>
        <v>19336.039999999997</v>
      </c>
      <c r="T115" s="24">
        <f>SUMIFS('Saldos Iniciales'!$D:$D,'Saldos Iniciales'!$A:$A,"Green Harbor Trust")+SUMIFS(Movimientos!$K$1:$K$858,Movimientos!$C$1:$C$858,"Green Harbor Trust",Movimientos!$B$1:$B$858,"&lt;="&amp;$B115)</f>
        <v>345</v>
      </c>
      <c r="U115" s="24">
        <f>SUMIFS('Saldos Iniciales'!$D:$D,'Saldos Iniciales'!$A:$A,"Go Blue")+SUMIFS(Movimientos!$K$1:$K$858,Movimientos!$C$1:$C$858,"Go Blue",Movimientos!$B$1:$B$858,"&lt;="&amp;$B115)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Group")+SUMIFS(Movimientos!$K$1:$K$858,Movimientos!$C$1:$C$858,"CFT Group",Movimientos!$B$1:$B$858,"&lt;="&amp;$B116)</f>
        <v>702229.1600000005</v>
      </c>
      <c r="D116" s="24">
        <f>SUMIFS('Saldos Iniciales'!$D:$D,'Saldos Iniciales'!$A:$A,"M1B")+SUMIFS(Movimientos!$K$1:$K$858,Movimientos!$C$1:$C$858,"M1B",Movimientos!$B$1:$B$858,"&lt;="&amp;$B116)</f>
        <v>83211.250000000175</v>
      </c>
      <c r="E116" s="24">
        <f>SUMIFS('Saldos Iniciales'!$D:$D,'Saldos Iniciales'!$A:$A,"Durand")+SUMIFS(Movimientos!$K$1:$K$858,Movimientos!$C$1:$C$858,"Durand",Movimientos!$B$1:$B$858,"&lt;="&amp;$B116)</f>
        <v>1669.89</v>
      </c>
      <c r="F116" s="24">
        <f>SUMIFS('Saldos Iniciales'!$D:$D,'Saldos Iniciales'!$A:$A,"A&amp;M Imports")+SUMIFS(Movimientos!$K$1:$K$858,Movimientos!$C$1:$C$858,"A&amp;M Imports",Movimientos!$B$1:$B$858,"&lt;="&amp;$B116)</f>
        <v>1229031.3399999999</v>
      </c>
      <c r="G116" s="24">
        <f>SUMIFS('Saldos Iniciales'!$D:$D,'Saldos Iniciales'!$A:$A,"SSP Capital")+SUMIFS(Movimientos!$K$1:$K$858,Movimientos!$C$1:$C$858,"SSP Capital",Movimientos!$B$1:$B$858,"&lt;="&amp;$B116)</f>
        <v>1744161.5299999998</v>
      </c>
      <c r="H116" s="24">
        <f>SUMIFS('Saldos Iniciales'!$D:$D,'Saldos Iniciales'!$A:$A,"Cross Family Trust")+SUMIFS(Movimientos!$K$1:$K$858,Movimientos!$C$1:$C$858,"Cross Family Trust",Movimientos!$B$1:$B$858,"&lt;="&amp;$B116)</f>
        <v>221496.38</v>
      </c>
      <c r="I116" s="24">
        <f>SUMIFS('Saldos Iniciales'!$D:$D,'Saldos Iniciales'!$A:$A,"Cross Security Trust")+SUMIFS(Movimientos!$K$1:$K$858,Movimientos!$C$1:$C$858,"Cross Security Trust",Movimientos!$B$1:$B$858,"&lt;="&amp;$B116)</f>
        <v>158090.37</v>
      </c>
      <c r="J116" s="24">
        <f>SUMIFS('Saldos Iniciales'!$D:$D,'Saldos Iniciales'!$A:$A,"Electrama")+SUMIFS(Movimientos!$K$1:$K$858,Movimientos!$C$1:$C$858,"Electrama",Movimientos!$B$1:$B$858,"&lt;="&amp;$B116)</f>
        <v>14580.45</v>
      </c>
      <c r="K116" s="24">
        <f>SUMIFS('Saldos Iniciales'!$D:$D,'Saldos Iniciales'!$A:$A,"Sacred Valley Capital")+SUMIFS(Movimientos!$K$1:$K$858,Movimientos!$C$1:$C$858,"Sacred Valley Capital",Movimientos!$B$1:$B$858,"&lt;="&amp;$B116)</f>
        <v>24.450000000000003</v>
      </c>
      <c r="L116" s="24">
        <f>SUMIFS('Saldos Iniciales'!$D:$D,'Saldos Iniciales'!$A:$A,"YWC Capital")+SUMIFS(Movimientos!$K$1:$K$858,Movimientos!$C$1:$C$858,"YWC Capital",Movimientos!$B$1:$B$858,"&lt;="&amp;$B116)</f>
        <v>2177.87</v>
      </c>
      <c r="M116" s="24">
        <f>SUMIFS('Saldos Iniciales'!$D:$D,'Saldos Iniciales'!$A:$A,"Soweto")+SUMIFS(Movimientos!$K$1:$K$858,Movimientos!$C$1:$C$858,"Soweto",Movimientos!$B$1:$B$858,"&lt;="&amp;$B116)</f>
        <v>754589.72</v>
      </c>
      <c r="N116" s="24">
        <f>SUMIFS('Saldos Iniciales'!$D:$D,'Saldos Iniciales'!$A:$A,"Green Stone Trust")+SUMIFS(Movimientos!$K$1:$K$858,Movimientos!$C$1:$C$858,"Green Stone Trust",Movimientos!$B$1:$B$858,"&lt;="&amp;$B116)</f>
        <v>1968.99</v>
      </c>
      <c r="O116" s="24">
        <f>SUMIFS('Saldos Iniciales'!$D:$D,'Saldos Iniciales'!$A:$A,"EC Auto")+SUMIFS(Movimientos!$K$1:$K$858,Movimientos!$C$1:$C$858,"EC Auto",Movimientos!$B$1:$B$858,"&lt;="&amp;$B116)</f>
        <v>901.34</v>
      </c>
      <c r="P116" s="24">
        <f>SUMIFS('Saldos Iniciales'!$D:$D,'Saldos Iniciales'!$A:$A,"Arbor Capital Properties")+SUMIFS(Movimientos!$K$1:$K$858,Movimientos!$C$1:$C$858,"Arbor Capital Properties",Movimientos!$B$1:$B$858,"&lt;="&amp;$B116)</f>
        <v>1396.08</v>
      </c>
      <c r="Q116" s="24">
        <f>SUMIFS('Saldos Iniciales'!$D:$D,'Saldos Iniciales'!$A:$A,"2515 Overbrook")+SUMIFS(Movimientos!$K$1:$K$858,Movimientos!$C$1:$C$858,"2515 Overbrook",Movimientos!$B$1:$B$858,"&lt;="&amp;$B116)</f>
        <v>13685.709999999959</v>
      </c>
      <c r="R116" s="24">
        <f>SUMIFS('Saldos Iniciales'!$D:$D,'Saldos Iniciales'!$A:$A,"112 Florida Ave")+SUMIFS(Movimientos!$K$1:$K$858,Movimientos!$C$1:$C$858,"112 Florida Ave",Movimientos!$B$1:$B$858,"&lt;="&amp;$B116)</f>
        <v>8724.1700000000037</v>
      </c>
      <c r="S116" s="24">
        <f>SUMIFS('Saldos Iniciales'!$D:$D,'Saldos Iniciales'!$A:$A,"3628 Thomas Ave")+SUMIFS(Movimientos!$K$1:$K$858,Movimientos!$C$1:$C$858,"3628 Thomas Ave",Movimientos!$B$1:$B$858,"&lt;="&amp;$B116)</f>
        <v>19336.039999999997</v>
      </c>
      <c r="T116" s="24">
        <f>SUMIFS('Saldos Iniciales'!$D:$D,'Saldos Iniciales'!$A:$A,"Green Harbor Trust")+SUMIFS(Movimientos!$K$1:$K$858,Movimientos!$C$1:$C$858,"Green Harbor Trust",Movimientos!$B$1:$B$858,"&lt;="&amp;$B116)</f>
        <v>345</v>
      </c>
      <c r="U116" s="24">
        <f>SUMIFS('Saldos Iniciales'!$D:$D,'Saldos Iniciales'!$A:$A,"Go Blue")+SUMIFS(Movimientos!$K$1:$K$858,Movimientos!$C$1:$C$858,"Go Blue",Movimientos!$B$1:$B$858,"&lt;="&amp;$B116)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Group")+SUMIFS(Movimientos!$K$1:$K$858,Movimientos!$C$1:$C$858,"CFT Group",Movimientos!$B$1:$B$858,"&lt;="&amp;$B117)</f>
        <v>372229.1600000005</v>
      </c>
      <c r="D117" s="24">
        <f>SUMIFS('Saldos Iniciales'!$D:$D,'Saldos Iniciales'!$A:$A,"M1B")+SUMIFS(Movimientos!$K$1:$K$858,Movimientos!$C$1:$C$858,"M1B",Movimientos!$B$1:$B$858,"&lt;="&amp;$B117)</f>
        <v>83668.990000000165</v>
      </c>
      <c r="E117" s="24">
        <f>SUMIFS('Saldos Iniciales'!$D:$D,'Saldos Iniciales'!$A:$A,"Durand")+SUMIFS(Movimientos!$K$1:$K$858,Movimientos!$C$1:$C$858,"Durand",Movimientos!$B$1:$B$858,"&lt;="&amp;$B117)</f>
        <v>1669.89</v>
      </c>
      <c r="F117" s="24">
        <f>SUMIFS('Saldos Iniciales'!$D:$D,'Saldos Iniciales'!$A:$A,"A&amp;M Imports")+SUMIFS(Movimientos!$K$1:$K$858,Movimientos!$C$1:$C$858,"A&amp;M Imports",Movimientos!$B$1:$B$858,"&lt;="&amp;$B117)</f>
        <v>1234763.3299999998</v>
      </c>
      <c r="G117" s="24">
        <f>SUMIFS('Saldos Iniciales'!$D:$D,'Saldos Iniciales'!$A:$A,"SSP Capital")+SUMIFS(Movimientos!$K$1:$K$858,Movimientos!$C$1:$C$858,"SSP Capital",Movimientos!$B$1:$B$858,"&lt;="&amp;$B117)</f>
        <v>1743398.5399999996</v>
      </c>
      <c r="H117" s="24">
        <f>SUMIFS('Saldos Iniciales'!$D:$D,'Saldos Iniciales'!$A:$A,"Cross Family Trust")+SUMIFS(Movimientos!$K$1:$K$858,Movimientos!$C$1:$C$858,"Cross Family Trust",Movimientos!$B$1:$B$858,"&lt;="&amp;$B117)</f>
        <v>221496.38</v>
      </c>
      <c r="I117" s="24">
        <f>SUMIFS('Saldos Iniciales'!$D:$D,'Saldos Iniciales'!$A:$A,"Cross Security Trust")+SUMIFS(Movimientos!$K$1:$K$858,Movimientos!$C$1:$C$858,"Cross Security Trust",Movimientos!$B$1:$B$858,"&lt;="&amp;$B117)</f>
        <v>158090.37</v>
      </c>
      <c r="J117" s="24">
        <f>SUMIFS('Saldos Iniciales'!$D:$D,'Saldos Iniciales'!$A:$A,"Electrama")+SUMIFS(Movimientos!$K$1:$K$858,Movimientos!$C$1:$C$858,"Electrama",Movimientos!$B$1:$B$858,"&lt;="&amp;$B117)</f>
        <v>14580.45</v>
      </c>
      <c r="K117" s="24">
        <f>SUMIFS('Saldos Iniciales'!$D:$D,'Saldos Iniciales'!$A:$A,"Sacred Valley Capital")+SUMIFS(Movimientos!$K$1:$K$858,Movimientos!$C$1:$C$858,"Sacred Valley Capital",Movimientos!$B$1:$B$858,"&lt;="&amp;$B117)</f>
        <v>24.450000000000003</v>
      </c>
      <c r="L117" s="24">
        <f>SUMIFS('Saldos Iniciales'!$D:$D,'Saldos Iniciales'!$A:$A,"YWC Capital")+SUMIFS(Movimientos!$K$1:$K$858,Movimientos!$C$1:$C$858,"YWC Capital",Movimientos!$B$1:$B$858,"&lt;="&amp;$B117)</f>
        <v>2177.87</v>
      </c>
      <c r="M117" s="24">
        <f>SUMIFS('Saldos Iniciales'!$D:$D,'Saldos Iniciales'!$A:$A,"Soweto")+SUMIFS(Movimientos!$K$1:$K$858,Movimientos!$C$1:$C$858,"Soweto",Movimientos!$B$1:$B$858,"&lt;="&amp;$B117)</f>
        <v>754589.72</v>
      </c>
      <c r="N117" s="24">
        <f>SUMIFS('Saldos Iniciales'!$D:$D,'Saldos Iniciales'!$A:$A,"Green Stone Trust")+SUMIFS(Movimientos!$K$1:$K$858,Movimientos!$C$1:$C$858,"Green Stone Trust",Movimientos!$B$1:$B$858,"&lt;="&amp;$B117)</f>
        <v>1968.99</v>
      </c>
      <c r="O117" s="24">
        <f>SUMIFS('Saldos Iniciales'!$D:$D,'Saldos Iniciales'!$A:$A,"EC Auto")+SUMIFS(Movimientos!$K$1:$K$858,Movimientos!$C$1:$C$858,"EC Auto",Movimientos!$B$1:$B$858,"&lt;="&amp;$B117)</f>
        <v>901.34</v>
      </c>
      <c r="P117" s="24">
        <f>SUMIFS('Saldos Iniciales'!$D:$D,'Saldos Iniciales'!$A:$A,"Arbor Capital Properties")+SUMIFS(Movimientos!$K$1:$K$858,Movimientos!$C$1:$C$858,"Arbor Capital Properties",Movimientos!$B$1:$B$858,"&lt;="&amp;$B117)</f>
        <v>1396.08</v>
      </c>
      <c r="Q117" s="24">
        <f>SUMIFS('Saldos Iniciales'!$D:$D,'Saldos Iniciales'!$A:$A,"2515 Overbrook")+SUMIFS(Movimientos!$K$1:$K$858,Movimientos!$C$1:$C$858,"2515 Overbrook",Movimientos!$B$1:$B$858,"&lt;="&amp;$B117)</f>
        <v>13685.709999999959</v>
      </c>
      <c r="R117" s="24">
        <f>SUMIFS('Saldos Iniciales'!$D:$D,'Saldos Iniciales'!$A:$A,"112 Florida Ave")+SUMIFS(Movimientos!$K$1:$K$858,Movimientos!$C$1:$C$858,"112 Florida Ave",Movimientos!$B$1:$B$858,"&lt;="&amp;$B117)</f>
        <v>8724.1700000000037</v>
      </c>
      <c r="S117" s="24">
        <f>SUMIFS('Saldos Iniciales'!$D:$D,'Saldos Iniciales'!$A:$A,"3628 Thomas Ave")+SUMIFS(Movimientos!$K$1:$K$858,Movimientos!$C$1:$C$858,"3628 Thomas Ave",Movimientos!$B$1:$B$858,"&lt;="&amp;$B117)</f>
        <v>19336.039999999997</v>
      </c>
      <c r="T117" s="24">
        <f>SUMIFS('Saldos Iniciales'!$D:$D,'Saldos Iniciales'!$A:$A,"Green Harbor Trust")+SUMIFS(Movimientos!$K$1:$K$858,Movimientos!$C$1:$C$858,"Green Harbor Trust",Movimientos!$B$1:$B$858,"&lt;="&amp;$B117)</f>
        <v>345</v>
      </c>
      <c r="U117" s="24">
        <f>SUMIFS('Saldos Iniciales'!$D:$D,'Saldos Iniciales'!$A:$A,"Go Blue")+SUMIFS(Movimientos!$K$1:$K$858,Movimientos!$C$1:$C$858,"Go Blue",Movimientos!$B$1:$B$858,"&lt;="&amp;$B117)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Group")+SUMIFS(Movimientos!$K$1:$K$858,Movimientos!$C$1:$C$858,"CFT Group",Movimientos!$B$1:$B$858,"&lt;="&amp;$B118)</f>
        <v>526115.33000000054</v>
      </c>
      <c r="D118" s="24">
        <f>SUMIFS('Saldos Iniciales'!$D:$D,'Saldos Iniciales'!$A:$A,"M1B")+SUMIFS(Movimientos!$K$1:$K$858,Movimientos!$C$1:$C$858,"M1B",Movimientos!$B$1:$B$858,"&lt;="&amp;$B118)</f>
        <v>90643.10000000018</v>
      </c>
      <c r="E118" s="24">
        <f>SUMIFS('Saldos Iniciales'!$D:$D,'Saldos Iniciales'!$A:$A,"Durand")+SUMIFS(Movimientos!$K$1:$K$858,Movimientos!$C$1:$C$858,"Durand",Movimientos!$B$1:$B$858,"&lt;="&amp;$B118)</f>
        <v>1669.89</v>
      </c>
      <c r="F118" s="24">
        <f>SUMIFS('Saldos Iniciales'!$D:$D,'Saldos Iniciales'!$A:$A,"A&amp;M Imports")+SUMIFS(Movimientos!$K$1:$K$858,Movimientos!$C$1:$C$858,"A&amp;M Imports",Movimientos!$B$1:$B$858,"&lt;="&amp;$B118)</f>
        <v>1252108.94</v>
      </c>
      <c r="G118" s="24">
        <f>SUMIFS('Saldos Iniciales'!$D:$D,'Saldos Iniciales'!$A:$A,"SSP Capital")+SUMIFS(Movimientos!$K$1:$K$858,Movimientos!$C$1:$C$858,"SSP Capital",Movimientos!$B$1:$B$858,"&lt;="&amp;$B118)</f>
        <v>1743398.5399999996</v>
      </c>
      <c r="H118" s="24">
        <f>SUMIFS('Saldos Iniciales'!$D:$D,'Saldos Iniciales'!$A:$A,"Cross Family Trust")+SUMIFS(Movimientos!$K$1:$K$858,Movimientos!$C$1:$C$858,"Cross Family Trust",Movimientos!$B$1:$B$858,"&lt;="&amp;$B118)</f>
        <v>221496.38</v>
      </c>
      <c r="I118" s="24">
        <f>SUMIFS('Saldos Iniciales'!$D:$D,'Saldos Iniciales'!$A:$A,"Cross Security Trust")+SUMIFS(Movimientos!$K$1:$K$858,Movimientos!$C$1:$C$858,"Cross Security Trust",Movimientos!$B$1:$B$858,"&lt;="&amp;$B118)</f>
        <v>158090.37</v>
      </c>
      <c r="J118" s="24">
        <f>SUMIFS('Saldos Iniciales'!$D:$D,'Saldos Iniciales'!$A:$A,"Electrama")+SUMIFS(Movimientos!$K$1:$K$858,Movimientos!$C$1:$C$858,"Electrama",Movimientos!$B$1:$B$858,"&lt;="&amp;$B118)</f>
        <v>14580.45</v>
      </c>
      <c r="K118" s="24">
        <f>SUMIFS('Saldos Iniciales'!$D:$D,'Saldos Iniciales'!$A:$A,"Sacred Valley Capital")+SUMIFS(Movimientos!$K$1:$K$858,Movimientos!$C$1:$C$858,"Sacred Valley Capital",Movimientos!$B$1:$B$858,"&lt;="&amp;$B118)</f>
        <v>24.450000000000003</v>
      </c>
      <c r="L118" s="24">
        <f>SUMIFS('Saldos Iniciales'!$D:$D,'Saldos Iniciales'!$A:$A,"YWC Capital")+SUMIFS(Movimientos!$K$1:$K$858,Movimientos!$C$1:$C$858,"YWC Capital",Movimientos!$B$1:$B$858,"&lt;="&amp;$B118)</f>
        <v>2177.87</v>
      </c>
      <c r="M118" s="24">
        <f>SUMIFS('Saldos Iniciales'!$D:$D,'Saldos Iniciales'!$A:$A,"Soweto")+SUMIFS(Movimientos!$K$1:$K$858,Movimientos!$C$1:$C$858,"Soweto",Movimientos!$B$1:$B$858,"&lt;="&amp;$B118)</f>
        <v>754589.72</v>
      </c>
      <c r="N118" s="24">
        <f>SUMIFS('Saldos Iniciales'!$D:$D,'Saldos Iniciales'!$A:$A,"Green Stone Trust")+SUMIFS(Movimientos!$K$1:$K$858,Movimientos!$C$1:$C$858,"Green Stone Trust",Movimientos!$B$1:$B$858,"&lt;="&amp;$B118)</f>
        <v>1968.99</v>
      </c>
      <c r="O118" s="24">
        <f>SUMIFS('Saldos Iniciales'!$D:$D,'Saldos Iniciales'!$A:$A,"EC Auto")+SUMIFS(Movimientos!$K$1:$K$858,Movimientos!$C$1:$C$858,"EC Auto",Movimientos!$B$1:$B$858,"&lt;="&amp;$B118)</f>
        <v>901.34</v>
      </c>
      <c r="P118" s="24">
        <f>SUMIFS('Saldos Iniciales'!$D:$D,'Saldos Iniciales'!$A:$A,"Arbor Capital Properties")+SUMIFS(Movimientos!$K$1:$K$858,Movimientos!$C$1:$C$858,"Arbor Capital Properties",Movimientos!$B$1:$B$858,"&lt;="&amp;$B118)</f>
        <v>1396.08</v>
      </c>
      <c r="Q118" s="24">
        <f>SUMIFS('Saldos Iniciales'!$D:$D,'Saldos Iniciales'!$A:$A,"2515 Overbrook")+SUMIFS(Movimientos!$K$1:$K$858,Movimientos!$C$1:$C$858,"2515 Overbrook",Movimientos!$B$1:$B$858,"&lt;="&amp;$B118)</f>
        <v>13685.709999999959</v>
      </c>
      <c r="R118" s="24">
        <f>SUMIFS('Saldos Iniciales'!$D:$D,'Saldos Iniciales'!$A:$A,"112 Florida Ave")+SUMIFS(Movimientos!$K$1:$K$858,Movimientos!$C$1:$C$858,"112 Florida Ave",Movimientos!$B$1:$B$858,"&lt;="&amp;$B118)</f>
        <v>8724.1700000000037</v>
      </c>
      <c r="S118" s="24">
        <f>SUMIFS('Saldos Iniciales'!$D:$D,'Saldos Iniciales'!$A:$A,"3628 Thomas Ave")+SUMIFS(Movimientos!$K$1:$K$858,Movimientos!$C$1:$C$858,"3628 Thomas Ave",Movimientos!$B$1:$B$858,"&lt;="&amp;$B118)</f>
        <v>19336.039999999997</v>
      </c>
      <c r="T118" s="24">
        <f>SUMIFS('Saldos Iniciales'!$D:$D,'Saldos Iniciales'!$A:$A,"Green Harbor Trust")+SUMIFS(Movimientos!$K$1:$K$858,Movimientos!$C$1:$C$858,"Green Harbor Trust",Movimientos!$B$1:$B$858,"&lt;="&amp;$B118)</f>
        <v>345</v>
      </c>
      <c r="U118" s="24">
        <f>SUMIFS('Saldos Iniciales'!$D:$D,'Saldos Iniciales'!$A:$A,"Go Blue")+SUMIFS(Movimientos!$K$1:$K$858,Movimientos!$C$1:$C$858,"Go Blue",Movimientos!$B$1:$B$858,"&lt;="&amp;$B118)</f>
        <v>12519.840000000004</v>
      </c>
      <c r="V118" s="25">
        <f t="shared" si="27"/>
        <v>4823772.2100000009</v>
      </c>
    </row>
    <row r="119" spans="1:22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Group")+SUMIFS(Movimientos!$K$1:$K$858,Movimientos!$C$1:$C$858,"CFT Group",Movimientos!$B$1:$B$858,"&lt;="&amp;$B119)</f>
        <v>526115.33000000054</v>
      </c>
      <c r="D119" s="24">
        <f>SUMIFS('Saldos Iniciales'!$D:$D,'Saldos Iniciales'!$A:$A,"M1B")+SUMIFS(Movimientos!$K$1:$K$858,Movimientos!$C$1:$C$858,"M1B",Movimientos!$B$1:$B$858,"&lt;="&amp;$B119)</f>
        <v>90643.10000000018</v>
      </c>
      <c r="E119" s="24">
        <f>SUMIFS('Saldos Iniciales'!$D:$D,'Saldos Iniciales'!$A:$A,"Durand")+SUMIFS(Movimientos!$K$1:$K$858,Movimientos!$C$1:$C$858,"Durand",Movimientos!$B$1:$B$858,"&lt;="&amp;$B119)</f>
        <v>1669.89</v>
      </c>
      <c r="F119" s="24">
        <f>SUMIFS('Saldos Iniciales'!$D:$D,'Saldos Iniciales'!$A:$A,"A&amp;M Imports")+SUMIFS(Movimientos!$K$1:$K$858,Movimientos!$C$1:$C$858,"A&amp;M Imports",Movimientos!$B$1:$B$858,"&lt;="&amp;$B119)</f>
        <v>1269654.47</v>
      </c>
      <c r="G119" s="24">
        <f>SUMIFS('Saldos Iniciales'!$D:$D,'Saldos Iniciales'!$A:$A,"SSP Capital")+SUMIFS(Movimientos!$K$1:$K$858,Movimientos!$C$1:$C$858,"SSP Capital",Movimientos!$B$1:$B$858,"&lt;="&amp;$B119)</f>
        <v>1743398.5399999996</v>
      </c>
      <c r="H119" s="24">
        <f>SUMIFS('Saldos Iniciales'!$D:$D,'Saldos Iniciales'!$A:$A,"Cross Family Trust")+SUMIFS(Movimientos!$K$1:$K$858,Movimientos!$C$1:$C$858,"Cross Family Trust",Movimientos!$B$1:$B$858,"&lt;="&amp;$B119)</f>
        <v>221496.38</v>
      </c>
      <c r="I119" s="24">
        <f>SUMIFS('Saldos Iniciales'!$D:$D,'Saldos Iniciales'!$A:$A,"Cross Security Trust")+SUMIFS(Movimientos!$K$1:$K$858,Movimientos!$C$1:$C$858,"Cross Security Trust",Movimientos!$B$1:$B$858,"&lt;="&amp;$B119)</f>
        <v>158090.37</v>
      </c>
      <c r="J119" s="24">
        <f>SUMIFS('Saldos Iniciales'!$D:$D,'Saldos Iniciales'!$A:$A,"Electrama")+SUMIFS(Movimientos!$K$1:$K$858,Movimientos!$C$1:$C$858,"Electrama",Movimientos!$B$1:$B$858,"&lt;="&amp;$B119)</f>
        <v>14580.45</v>
      </c>
      <c r="K119" s="24">
        <f>SUMIFS('Saldos Iniciales'!$D:$D,'Saldos Iniciales'!$A:$A,"Sacred Valley Capital")+SUMIFS(Movimientos!$K$1:$K$858,Movimientos!$C$1:$C$858,"Sacred Valley Capital",Movimientos!$B$1:$B$858,"&lt;="&amp;$B119)</f>
        <v>24.450000000000003</v>
      </c>
      <c r="L119" s="24">
        <f>SUMIFS('Saldos Iniciales'!$D:$D,'Saldos Iniciales'!$A:$A,"YWC Capital")+SUMIFS(Movimientos!$K$1:$K$858,Movimientos!$C$1:$C$858,"YWC Capital",Movimientos!$B$1:$B$858,"&lt;="&amp;$B119)</f>
        <v>2177.87</v>
      </c>
      <c r="M119" s="24">
        <f>SUMIFS('Saldos Iniciales'!$D:$D,'Saldos Iniciales'!$A:$A,"Soweto")+SUMIFS(Movimientos!$K$1:$K$858,Movimientos!$C$1:$C$858,"Soweto",Movimientos!$B$1:$B$858,"&lt;="&amp;$B119)</f>
        <v>754589.72</v>
      </c>
      <c r="N119" s="24">
        <f>SUMIFS('Saldos Iniciales'!$D:$D,'Saldos Iniciales'!$A:$A,"Green Stone Trust")+SUMIFS(Movimientos!$K$1:$K$858,Movimientos!$C$1:$C$858,"Green Stone Trust",Movimientos!$B$1:$B$858,"&lt;="&amp;$B119)</f>
        <v>1968.99</v>
      </c>
      <c r="O119" s="24">
        <f>SUMIFS('Saldos Iniciales'!$D:$D,'Saldos Iniciales'!$A:$A,"EC Auto")+SUMIFS(Movimientos!$K$1:$K$858,Movimientos!$C$1:$C$858,"EC Auto",Movimientos!$B$1:$B$858,"&lt;="&amp;$B119)</f>
        <v>901.34</v>
      </c>
      <c r="P119" s="24">
        <f>SUMIFS('Saldos Iniciales'!$D:$D,'Saldos Iniciales'!$A:$A,"Arbor Capital Properties")+SUMIFS(Movimientos!$K$1:$K$858,Movimientos!$C$1:$C$858,"Arbor Capital Properties",Movimientos!$B$1:$B$858,"&lt;="&amp;$B119)</f>
        <v>1396.08</v>
      </c>
      <c r="Q119" s="24">
        <f>SUMIFS('Saldos Iniciales'!$D:$D,'Saldos Iniciales'!$A:$A,"2515 Overbrook")+SUMIFS(Movimientos!$K$1:$K$858,Movimientos!$C$1:$C$858,"2515 Overbrook",Movimientos!$B$1:$B$858,"&lt;="&amp;$B119)</f>
        <v>13685.709999999959</v>
      </c>
      <c r="R119" s="24">
        <f>SUMIFS('Saldos Iniciales'!$D:$D,'Saldos Iniciales'!$A:$A,"112 Florida Ave")+SUMIFS(Movimientos!$K$1:$K$858,Movimientos!$C$1:$C$858,"112 Florida Ave",Movimientos!$B$1:$B$858,"&lt;="&amp;$B119)</f>
        <v>8724.1700000000037</v>
      </c>
      <c r="S119" s="24">
        <f>SUMIFS('Saldos Iniciales'!$D:$D,'Saldos Iniciales'!$A:$A,"3628 Thomas Ave")+SUMIFS(Movimientos!$K$1:$K$858,Movimientos!$C$1:$C$858,"3628 Thomas Ave",Movimientos!$B$1:$B$858,"&lt;="&amp;$B119)</f>
        <v>19336.039999999997</v>
      </c>
      <c r="T119" s="24">
        <f>SUMIFS('Saldos Iniciales'!$D:$D,'Saldos Iniciales'!$A:$A,"Green Harbor Trust")+SUMIFS(Movimientos!$K$1:$K$858,Movimientos!$C$1:$C$858,"Green Harbor Trust",Movimientos!$B$1:$B$858,"&lt;="&amp;$B119)</f>
        <v>345</v>
      </c>
      <c r="U119" s="24">
        <f>SUMIFS('Saldos Iniciales'!$D:$D,'Saldos Iniciales'!$A:$A,"Go Blue")+SUMIFS(Movimientos!$K$1:$K$858,Movimientos!$C$1:$C$858,"Go Blue",Movimientos!$B$1:$B$858,"&lt;="&amp;$B119)</f>
        <v>12519.840000000004</v>
      </c>
      <c r="V119" s="25">
        <f t="shared" si="27"/>
        <v>4841317.74</v>
      </c>
    </row>
    <row r="120" spans="1:22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Group")+SUMIFS(Movimientos!$K$1:$K$858,Movimientos!$C$1:$C$858,"CFT Group",Movimientos!$B$1:$B$858,"&lt;="&amp;$B120)</f>
        <v>578112.39000000048</v>
      </c>
      <c r="D120" s="24">
        <f>SUMIFS('Saldos Iniciales'!$D:$D,'Saldos Iniciales'!$A:$A,"M1B")+SUMIFS(Movimientos!$K$1:$K$858,Movimientos!$C$1:$C$858,"M1B",Movimientos!$B$1:$B$858,"&lt;="&amp;$B120)</f>
        <v>90643.10000000018</v>
      </c>
      <c r="E120" s="24">
        <f>SUMIFS('Saldos Iniciales'!$D:$D,'Saldos Iniciales'!$A:$A,"Durand")+SUMIFS(Movimientos!$K$1:$K$858,Movimientos!$C$1:$C$858,"Durand",Movimientos!$B$1:$B$858,"&lt;="&amp;$B120)</f>
        <v>1669.89</v>
      </c>
      <c r="F120" s="24">
        <f>SUMIFS('Saldos Iniciales'!$D:$D,'Saldos Iniciales'!$A:$A,"A&amp;M Imports")+SUMIFS(Movimientos!$K$1:$K$858,Movimientos!$C$1:$C$858,"A&amp;M Imports",Movimientos!$B$1:$B$858,"&lt;="&amp;$B120)</f>
        <v>1394654.47</v>
      </c>
      <c r="G120" s="24">
        <f>SUMIFS('Saldos Iniciales'!$D:$D,'Saldos Iniciales'!$A:$A,"SSP Capital")+SUMIFS(Movimientos!$K$1:$K$858,Movimientos!$C$1:$C$858,"SSP Capital",Movimientos!$B$1:$B$858,"&lt;="&amp;$B120)</f>
        <v>1719473.6699999997</v>
      </c>
      <c r="H120" s="24">
        <f>SUMIFS('Saldos Iniciales'!$D:$D,'Saldos Iniciales'!$A:$A,"Cross Family Trust")+SUMIFS(Movimientos!$K$1:$K$858,Movimientos!$C$1:$C$858,"Cross Family Trust",Movimientos!$B$1:$B$858,"&lt;="&amp;$B120)</f>
        <v>221496.38</v>
      </c>
      <c r="I120" s="24">
        <f>SUMIFS('Saldos Iniciales'!$D:$D,'Saldos Iniciales'!$A:$A,"Cross Security Trust")+SUMIFS(Movimientos!$K$1:$K$858,Movimientos!$C$1:$C$858,"Cross Security Trust",Movimientos!$B$1:$B$858,"&lt;="&amp;$B120)</f>
        <v>158090.37</v>
      </c>
      <c r="J120" s="24">
        <f>SUMIFS('Saldos Iniciales'!$D:$D,'Saldos Iniciales'!$A:$A,"Electrama")+SUMIFS(Movimientos!$K$1:$K$858,Movimientos!$C$1:$C$858,"Electrama",Movimientos!$B$1:$B$858,"&lt;="&amp;$B120)</f>
        <v>14580.45</v>
      </c>
      <c r="K120" s="24">
        <f>SUMIFS('Saldos Iniciales'!$D:$D,'Saldos Iniciales'!$A:$A,"Sacred Valley Capital")+SUMIFS(Movimientos!$K$1:$K$858,Movimientos!$C$1:$C$858,"Sacred Valley Capital",Movimientos!$B$1:$B$858,"&lt;="&amp;$B120)</f>
        <v>124.45</v>
      </c>
      <c r="L120" s="24">
        <f>SUMIFS('Saldos Iniciales'!$D:$D,'Saldos Iniciales'!$A:$A,"YWC Capital")+SUMIFS(Movimientos!$K$1:$K$858,Movimientos!$C$1:$C$858,"YWC Capital",Movimientos!$B$1:$B$858,"&lt;="&amp;$B120)</f>
        <v>2177.87</v>
      </c>
      <c r="M120" s="24">
        <f>SUMIFS('Saldos Iniciales'!$D:$D,'Saldos Iniciales'!$A:$A,"Soweto")+SUMIFS(Movimientos!$K$1:$K$858,Movimientos!$C$1:$C$858,"Soweto",Movimientos!$B$1:$B$858,"&lt;="&amp;$B120)</f>
        <v>754589.72</v>
      </c>
      <c r="N120" s="24">
        <f>SUMIFS('Saldos Iniciales'!$D:$D,'Saldos Iniciales'!$A:$A,"Green Stone Trust")+SUMIFS(Movimientos!$K$1:$K$858,Movimientos!$C$1:$C$858,"Green Stone Trust",Movimientos!$B$1:$B$858,"&lt;="&amp;$B120)</f>
        <v>1968.99</v>
      </c>
      <c r="O120" s="24">
        <f>SUMIFS('Saldos Iniciales'!$D:$D,'Saldos Iniciales'!$A:$A,"EC Auto")+SUMIFS(Movimientos!$K$1:$K$858,Movimientos!$C$1:$C$858,"EC Auto",Movimientos!$B$1:$B$858,"&lt;="&amp;$B120)</f>
        <v>901.34</v>
      </c>
      <c r="P120" s="24">
        <f>SUMIFS('Saldos Iniciales'!$D:$D,'Saldos Iniciales'!$A:$A,"Arbor Capital Properties")+SUMIFS(Movimientos!$K$1:$K$858,Movimientos!$C$1:$C$858,"Arbor Capital Properties",Movimientos!$B$1:$B$858,"&lt;="&amp;$B120)</f>
        <v>1396.08</v>
      </c>
      <c r="Q120" s="24">
        <f>SUMIFS('Saldos Iniciales'!$D:$D,'Saldos Iniciales'!$A:$A,"2515 Overbrook")+SUMIFS(Movimientos!$K$1:$K$858,Movimientos!$C$1:$C$858,"2515 Overbrook",Movimientos!$B$1:$B$858,"&lt;="&amp;$B120)</f>
        <v>33685.709999999963</v>
      </c>
      <c r="R120" s="24">
        <f>SUMIFS('Saldos Iniciales'!$D:$D,'Saldos Iniciales'!$A:$A,"112 Florida Ave")+SUMIFS(Movimientos!$K$1:$K$858,Movimientos!$C$1:$C$858,"112 Florida Ave",Movimientos!$B$1:$B$858,"&lt;="&amp;$B120)</f>
        <v>29724.170000000006</v>
      </c>
      <c r="S120" s="24">
        <f>SUMIFS('Saldos Iniciales'!$D:$D,'Saldos Iniciales'!$A:$A,"3628 Thomas Ave")+SUMIFS(Movimientos!$K$1:$K$858,Movimientos!$C$1:$C$858,"3628 Thomas Ave",Movimientos!$B$1:$B$858,"&lt;="&amp;$B120)</f>
        <v>19336.039999999997</v>
      </c>
      <c r="T120" s="24">
        <f>SUMIFS('Saldos Iniciales'!$D:$D,'Saldos Iniciales'!$A:$A,"Green Harbor Trust")+SUMIFS(Movimientos!$K$1:$K$858,Movimientos!$C$1:$C$858,"Green Harbor Trust",Movimientos!$B$1:$B$858,"&lt;="&amp;$B120)</f>
        <v>345</v>
      </c>
      <c r="U120" s="24">
        <f>SUMIFS('Saldos Iniciales'!$D:$D,'Saldos Iniciales'!$A:$A,"Go Blue")+SUMIFS(Movimientos!$K$1:$K$858,Movimientos!$C$1:$C$858,"Go Blue",Movimientos!$B$1:$B$858,"&lt;="&amp;$B120)</f>
        <v>9608.7000000000025</v>
      </c>
      <c r="V120" s="25">
        <f t="shared" si="27"/>
        <v>5032578.790000001</v>
      </c>
    </row>
    <row r="121" spans="1:22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Group")+SUMIFS(Movimientos!$K$1:$K$858,Movimientos!$C$1:$C$858,"CFT Group",Movimientos!$B$1:$B$858,"&lt;="&amp;$B121)</f>
        <v>743449.63000000059</v>
      </c>
      <c r="D121" s="24">
        <f>SUMIFS('Saldos Iniciales'!$D:$D,'Saldos Iniciales'!$A:$A,"M1B")+SUMIFS(Movimientos!$K$1:$K$858,Movimientos!$C$1:$C$858,"M1B",Movimientos!$B$1:$B$858,"&lt;="&amp;$B121)</f>
        <v>93280.230000000171</v>
      </c>
      <c r="E121" s="24">
        <f>SUMIFS('Saldos Iniciales'!$D:$D,'Saldos Iniciales'!$A:$A,"Durand")+SUMIFS(Movimientos!$K$1:$K$858,Movimientos!$C$1:$C$858,"Durand",Movimientos!$B$1:$B$858,"&lt;="&amp;$B121)</f>
        <v>1669.89</v>
      </c>
      <c r="F121" s="24">
        <f>SUMIFS('Saldos Iniciales'!$D:$D,'Saldos Iniciales'!$A:$A,"A&amp;M Imports")+SUMIFS(Movimientos!$K$1:$K$858,Movimientos!$C$1:$C$858,"A&amp;M Imports",Movimientos!$B$1:$B$858,"&lt;="&amp;$B121)</f>
        <v>1418445.91</v>
      </c>
      <c r="G121" s="24">
        <f>SUMIFS('Saldos Iniciales'!$D:$D,'Saldos Iniciales'!$A:$A,"SSP Capital")+SUMIFS(Movimientos!$K$1:$K$858,Movimientos!$C$1:$C$858,"SSP Capital",Movimientos!$B$1:$B$858,"&lt;="&amp;$B121)</f>
        <v>1553276.1399999997</v>
      </c>
      <c r="H121" s="24">
        <f>SUMIFS('Saldos Iniciales'!$D:$D,'Saldos Iniciales'!$A:$A,"Cross Family Trust")+SUMIFS(Movimientos!$K$1:$K$858,Movimientos!$C$1:$C$858,"Cross Family Trust",Movimientos!$B$1:$B$858,"&lt;="&amp;$B121)</f>
        <v>221496.38</v>
      </c>
      <c r="I121" s="24">
        <f>SUMIFS('Saldos Iniciales'!$D:$D,'Saldos Iniciales'!$A:$A,"Cross Security Trust")+SUMIFS(Movimientos!$K$1:$K$858,Movimientos!$C$1:$C$858,"Cross Security Trust",Movimientos!$B$1:$B$858,"&lt;="&amp;$B121)</f>
        <v>158090.37</v>
      </c>
      <c r="J121" s="24">
        <f>SUMIFS('Saldos Iniciales'!$D:$D,'Saldos Iniciales'!$A:$A,"Electrama")+SUMIFS(Movimientos!$K$1:$K$858,Movimientos!$C$1:$C$858,"Electrama",Movimientos!$B$1:$B$858,"&lt;="&amp;$B121)</f>
        <v>14580.45</v>
      </c>
      <c r="K121" s="24">
        <f>SUMIFS('Saldos Iniciales'!$D:$D,'Saldos Iniciales'!$A:$A,"Sacred Valley Capital")+SUMIFS(Movimientos!$K$1:$K$858,Movimientos!$C$1:$C$858,"Sacred Valley Capital",Movimientos!$B$1:$B$858,"&lt;="&amp;$B121)</f>
        <v>124.45</v>
      </c>
      <c r="L121" s="24">
        <f>SUMIFS('Saldos Iniciales'!$D:$D,'Saldos Iniciales'!$A:$A,"YWC Capital")+SUMIFS(Movimientos!$K$1:$K$858,Movimientos!$C$1:$C$858,"YWC Capital",Movimientos!$B$1:$B$858,"&lt;="&amp;$B121)</f>
        <v>2177.87</v>
      </c>
      <c r="M121" s="24">
        <f>SUMIFS('Saldos Iniciales'!$D:$D,'Saldos Iniciales'!$A:$A,"Soweto")+SUMIFS(Movimientos!$K$1:$K$858,Movimientos!$C$1:$C$858,"Soweto",Movimientos!$B$1:$B$858,"&lt;="&amp;$B121)</f>
        <v>754589.72</v>
      </c>
      <c r="N121" s="24">
        <f>SUMIFS('Saldos Iniciales'!$D:$D,'Saldos Iniciales'!$A:$A,"Green Stone Trust")+SUMIFS(Movimientos!$K$1:$K$858,Movimientos!$C$1:$C$858,"Green Stone Trust",Movimientos!$B$1:$B$858,"&lt;="&amp;$B121)</f>
        <v>1968.99</v>
      </c>
      <c r="O121" s="24">
        <f>SUMIFS('Saldos Iniciales'!$D:$D,'Saldos Iniciales'!$A:$A,"EC Auto")+SUMIFS(Movimientos!$K$1:$K$858,Movimientos!$C$1:$C$858,"EC Auto",Movimientos!$B$1:$B$858,"&lt;="&amp;$B121)</f>
        <v>901.34</v>
      </c>
      <c r="P121" s="24">
        <f>SUMIFS('Saldos Iniciales'!$D:$D,'Saldos Iniciales'!$A:$A,"Arbor Capital Properties")+SUMIFS(Movimientos!$K$1:$K$858,Movimientos!$C$1:$C$858,"Arbor Capital Properties",Movimientos!$B$1:$B$858,"&lt;="&amp;$B121)</f>
        <v>1396.08</v>
      </c>
      <c r="Q121" s="24">
        <f>SUMIFS('Saldos Iniciales'!$D:$D,'Saldos Iniciales'!$A:$A,"2515 Overbrook")+SUMIFS(Movimientos!$K$1:$K$858,Movimientos!$C$1:$C$858,"2515 Overbrook",Movimientos!$B$1:$B$858,"&lt;="&amp;$B121)</f>
        <v>33670.709999999963</v>
      </c>
      <c r="R121" s="24">
        <f>SUMIFS('Saldos Iniciales'!$D:$D,'Saldos Iniciales'!$A:$A,"112 Florida Ave")+SUMIFS(Movimientos!$K$1:$K$858,Movimientos!$C$1:$C$858,"112 Florida Ave",Movimientos!$B$1:$B$858,"&lt;="&amp;$B121)</f>
        <v>29709.170000000006</v>
      </c>
      <c r="S121" s="24">
        <f>SUMIFS('Saldos Iniciales'!$D:$D,'Saldos Iniciales'!$A:$A,"3628 Thomas Ave")+SUMIFS(Movimientos!$K$1:$K$858,Movimientos!$C$1:$C$858,"3628 Thomas Ave",Movimientos!$B$1:$B$858,"&lt;="&amp;$B121)</f>
        <v>19336.039999999997</v>
      </c>
      <c r="T121" s="24">
        <f>SUMIFS('Saldos Iniciales'!$D:$D,'Saldos Iniciales'!$A:$A,"Green Harbor Trust")+SUMIFS(Movimientos!$K$1:$K$858,Movimientos!$C$1:$C$858,"Green Harbor Trust",Movimientos!$B$1:$B$858,"&lt;="&amp;$B121)</f>
        <v>345</v>
      </c>
      <c r="U121" s="24">
        <f>SUMIFS('Saldos Iniciales'!$D:$D,'Saldos Iniciales'!$A:$A,"Go Blue")+SUMIFS(Movimientos!$K$1:$K$858,Movimientos!$C$1:$C$858,"Go Blue",Movimientos!$B$1:$B$858,"&lt;="&amp;$B121)</f>
        <v>9560.0000000000018</v>
      </c>
      <c r="V121" s="25">
        <f t="shared" si="27"/>
        <v>5058068.37</v>
      </c>
    </row>
    <row r="122" spans="1:22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Group")+SUMIFS(Movimientos!$K$1:$K$858,Movimientos!$C$1:$C$858,"CFT Group",Movimientos!$B$1:$B$858,"&lt;="&amp;$B122)</f>
        <v>743449.63000000059</v>
      </c>
      <c r="D122" s="24">
        <f>SUMIFS('Saldos Iniciales'!$D:$D,'Saldos Iniciales'!$A:$A,"M1B")+SUMIFS(Movimientos!$K$1:$K$858,Movimientos!$C$1:$C$858,"M1B",Movimientos!$B$1:$B$858,"&lt;="&amp;$B122)</f>
        <v>93280.230000000171</v>
      </c>
      <c r="E122" s="24">
        <f>SUMIFS('Saldos Iniciales'!$D:$D,'Saldos Iniciales'!$A:$A,"Durand")+SUMIFS(Movimientos!$K$1:$K$858,Movimientos!$C$1:$C$858,"Durand",Movimientos!$B$1:$B$858,"&lt;="&amp;$B122)</f>
        <v>1669.89</v>
      </c>
      <c r="F122" s="24">
        <f>SUMIFS('Saldos Iniciales'!$D:$D,'Saldos Iniciales'!$A:$A,"A&amp;M Imports")+SUMIFS(Movimientos!$K$1:$K$858,Movimientos!$C$1:$C$858,"A&amp;M Imports",Movimientos!$B$1:$B$858,"&lt;="&amp;$B122)</f>
        <v>1418445.91</v>
      </c>
      <c r="G122" s="24">
        <f>SUMIFS('Saldos Iniciales'!$D:$D,'Saldos Iniciales'!$A:$A,"SSP Capital")+SUMIFS(Movimientos!$K$1:$K$858,Movimientos!$C$1:$C$858,"SSP Capital",Movimientos!$B$1:$B$858,"&lt;="&amp;$B122)</f>
        <v>1553276.1399999997</v>
      </c>
      <c r="H122" s="24">
        <f>SUMIFS('Saldos Iniciales'!$D:$D,'Saldos Iniciales'!$A:$A,"Cross Family Trust")+SUMIFS(Movimientos!$K$1:$K$858,Movimientos!$C$1:$C$858,"Cross Family Trust",Movimientos!$B$1:$B$858,"&lt;="&amp;$B122)</f>
        <v>221496.38</v>
      </c>
      <c r="I122" s="24">
        <f>SUMIFS('Saldos Iniciales'!$D:$D,'Saldos Iniciales'!$A:$A,"Cross Security Trust")+SUMIFS(Movimientos!$K$1:$K$858,Movimientos!$C$1:$C$858,"Cross Security Trust",Movimientos!$B$1:$B$858,"&lt;="&amp;$B122)</f>
        <v>158090.37</v>
      </c>
      <c r="J122" s="24">
        <f>SUMIFS('Saldos Iniciales'!$D:$D,'Saldos Iniciales'!$A:$A,"Electrama")+SUMIFS(Movimientos!$K$1:$K$858,Movimientos!$C$1:$C$858,"Electrama",Movimientos!$B$1:$B$858,"&lt;="&amp;$B122)</f>
        <v>14580.45</v>
      </c>
      <c r="K122" s="24">
        <f>SUMIFS('Saldos Iniciales'!$D:$D,'Saldos Iniciales'!$A:$A,"Sacred Valley Capital")+SUMIFS(Movimientos!$K$1:$K$858,Movimientos!$C$1:$C$858,"Sacred Valley Capital",Movimientos!$B$1:$B$858,"&lt;="&amp;$B122)</f>
        <v>124.45</v>
      </c>
      <c r="L122" s="24">
        <f>SUMIFS('Saldos Iniciales'!$D:$D,'Saldos Iniciales'!$A:$A,"YWC Capital")+SUMIFS(Movimientos!$K$1:$K$858,Movimientos!$C$1:$C$858,"YWC Capital",Movimientos!$B$1:$B$858,"&lt;="&amp;$B122)</f>
        <v>2177.87</v>
      </c>
      <c r="M122" s="24">
        <f>SUMIFS('Saldos Iniciales'!$D:$D,'Saldos Iniciales'!$A:$A,"Soweto")+SUMIFS(Movimientos!$K$1:$K$858,Movimientos!$C$1:$C$858,"Soweto",Movimientos!$B$1:$B$858,"&lt;="&amp;$B122)</f>
        <v>754589.72</v>
      </c>
      <c r="N122" s="24">
        <f>SUMIFS('Saldos Iniciales'!$D:$D,'Saldos Iniciales'!$A:$A,"Green Stone Trust")+SUMIFS(Movimientos!$K$1:$K$858,Movimientos!$C$1:$C$858,"Green Stone Trust",Movimientos!$B$1:$B$858,"&lt;="&amp;$B122)</f>
        <v>1968.99</v>
      </c>
      <c r="O122" s="24">
        <f>SUMIFS('Saldos Iniciales'!$D:$D,'Saldos Iniciales'!$A:$A,"EC Auto")+SUMIFS(Movimientos!$K$1:$K$858,Movimientos!$C$1:$C$858,"EC Auto",Movimientos!$B$1:$B$858,"&lt;="&amp;$B122)</f>
        <v>901.34</v>
      </c>
      <c r="P122" s="24">
        <f>SUMIFS('Saldos Iniciales'!$D:$D,'Saldos Iniciales'!$A:$A,"Arbor Capital Properties")+SUMIFS(Movimientos!$K$1:$K$858,Movimientos!$C$1:$C$858,"Arbor Capital Properties",Movimientos!$B$1:$B$858,"&lt;="&amp;$B122)</f>
        <v>1396.08</v>
      </c>
      <c r="Q122" s="24">
        <f>SUMIFS('Saldos Iniciales'!$D:$D,'Saldos Iniciales'!$A:$A,"2515 Overbrook")+SUMIFS(Movimientos!$K$1:$K$858,Movimientos!$C$1:$C$858,"2515 Overbrook",Movimientos!$B$1:$B$858,"&lt;="&amp;$B122)</f>
        <v>33670.709999999963</v>
      </c>
      <c r="R122" s="24">
        <f>SUMIFS('Saldos Iniciales'!$D:$D,'Saldos Iniciales'!$A:$A,"112 Florida Ave")+SUMIFS(Movimientos!$K$1:$K$858,Movimientos!$C$1:$C$858,"112 Florida Ave",Movimientos!$B$1:$B$858,"&lt;="&amp;$B122)</f>
        <v>29709.170000000006</v>
      </c>
      <c r="S122" s="24">
        <f>SUMIFS('Saldos Iniciales'!$D:$D,'Saldos Iniciales'!$A:$A,"3628 Thomas Ave")+SUMIFS(Movimientos!$K$1:$K$858,Movimientos!$C$1:$C$858,"3628 Thomas Ave",Movimientos!$B$1:$B$858,"&lt;="&amp;$B122)</f>
        <v>19336.039999999997</v>
      </c>
      <c r="T122" s="24">
        <f>SUMIFS('Saldos Iniciales'!$D:$D,'Saldos Iniciales'!$A:$A,"Green Harbor Trust")+SUMIFS(Movimientos!$K$1:$K$858,Movimientos!$C$1:$C$858,"Green Harbor Trust",Movimientos!$B$1:$B$858,"&lt;="&amp;$B122)</f>
        <v>345</v>
      </c>
      <c r="U122" s="24">
        <f>SUMIFS('Saldos Iniciales'!$D:$D,'Saldos Iniciales'!$A:$A,"Go Blue")+SUMIFS(Movimientos!$K$1:$K$858,Movimientos!$C$1:$C$858,"Go Blue",Movimientos!$B$1:$B$858,"&lt;="&amp;$B122)</f>
        <v>9560.0000000000018</v>
      </c>
      <c r="V122" s="25">
        <f t="shared" ref="V122:V123" si="28">SUM(C122:U122)</f>
        <v>5058068.37</v>
      </c>
    </row>
    <row r="123" spans="1:22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Group")+SUMIFS(Movimientos!$K$1:$K$858,Movimientos!$C$1:$C$858,"CFT Group",Movimientos!$B$1:$B$858,"&lt;="&amp;$B123)</f>
        <v>743449.63000000059</v>
      </c>
      <c r="D123" s="24">
        <f>SUMIFS('Saldos Iniciales'!$D:$D,'Saldos Iniciales'!$A:$A,"M1B")+SUMIFS(Movimientos!$K$1:$K$858,Movimientos!$C$1:$C$858,"M1B",Movimientos!$B$1:$B$858,"&lt;="&amp;$B123)</f>
        <v>93280.230000000171</v>
      </c>
      <c r="E123" s="24">
        <f>SUMIFS('Saldos Iniciales'!$D:$D,'Saldos Iniciales'!$A:$A,"Durand")+SUMIFS(Movimientos!$K$1:$K$858,Movimientos!$C$1:$C$858,"Durand",Movimientos!$B$1:$B$858,"&lt;="&amp;$B123)</f>
        <v>1669.89</v>
      </c>
      <c r="F123" s="24">
        <f>SUMIFS('Saldos Iniciales'!$D:$D,'Saldos Iniciales'!$A:$A,"A&amp;M Imports")+SUMIFS(Movimientos!$K$1:$K$858,Movimientos!$C$1:$C$858,"A&amp;M Imports",Movimientos!$B$1:$B$858,"&lt;="&amp;$B123)</f>
        <v>1418445.91</v>
      </c>
      <c r="G123" s="24">
        <f>SUMIFS('Saldos Iniciales'!$D:$D,'Saldos Iniciales'!$A:$A,"SSP Capital")+SUMIFS(Movimientos!$K$1:$K$858,Movimientos!$C$1:$C$858,"SSP Capital",Movimientos!$B$1:$B$858,"&lt;="&amp;$B123)</f>
        <v>1553276.1399999997</v>
      </c>
      <c r="H123" s="24">
        <f>SUMIFS('Saldos Iniciales'!$D:$D,'Saldos Iniciales'!$A:$A,"Cross Family Trust")+SUMIFS(Movimientos!$K$1:$K$858,Movimientos!$C$1:$C$858,"Cross Family Trust",Movimientos!$B$1:$B$858,"&lt;="&amp;$B123)</f>
        <v>221496.38</v>
      </c>
      <c r="I123" s="24">
        <f>SUMIFS('Saldos Iniciales'!$D:$D,'Saldos Iniciales'!$A:$A,"Cross Security Trust")+SUMIFS(Movimientos!$K$1:$K$858,Movimientos!$C$1:$C$858,"Cross Security Trust",Movimientos!$B$1:$B$858,"&lt;="&amp;$B123)</f>
        <v>158090.37</v>
      </c>
      <c r="J123" s="24">
        <f>SUMIFS('Saldos Iniciales'!$D:$D,'Saldos Iniciales'!$A:$A,"Electrama")+SUMIFS(Movimientos!$K$1:$K$858,Movimientos!$C$1:$C$858,"Electrama",Movimientos!$B$1:$B$858,"&lt;="&amp;$B123)</f>
        <v>14580.45</v>
      </c>
      <c r="K123" s="24">
        <f>SUMIFS('Saldos Iniciales'!$D:$D,'Saldos Iniciales'!$A:$A,"Sacred Valley Capital")+SUMIFS(Movimientos!$K$1:$K$858,Movimientos!$C$1:$C$858,"Sacred Valley Capital",Movimientos!$B$1:$B$858,"&lt;="&amp;$B123)</f>
        <v>124.45</v>
      </c>
      <c r="L123" s="24">
        <f>SUMIFS('Saldos Iniciales'!$D:$D,'Saldos Iniciales'!$A:$A,"YWC Capital")+SUMIFS(Movimientos!$K$1:$K$858,Movimientos!$C$1:$C$858,"YWC Capital",Movimientos!$B$1:$B$858,"&lt;="&amp;$B123)</f>
        <v>2177.87</v>
      </c>
      <c r="M123" s="24">
        <f>SUMIFS('Saldos Iniciales'!$D:$D,'Saldos Iniciales'!$A:$A,"Soweto")+SUMIFS(Movimientos!$K$1:$K$858,Movimientos!$C$1:$C$858,"Soweto",Movimientos!$B$1:$B$858,"&lt;="&amp;$B123)</f>
        <v>754589.72</v>
      </c>
      <c r="N123" s="24">
        <f>SUMIFS('Saldos Iniciales'!$D:$D,'Saldos Iniciales'!$A:$A,"Green Stone Trust")+SUMIFS(Movimientos!$K$1:$K$858,Movimientos!$C$1:$C$858,"Green Stone Trust",Movimientos!$B$1:$B$858,"&lt;="&amp;$B123)</f>
        <v>1968.99</v>
      </c>
      <c r="O123" s="24">
        <f>SUMIFS('Saldos Iniciales'!$D:$D,'Saldos Iniciales'!$A:$A,"EC Auto")+SUMIFS(Movimientos!$K$1:$K$858,Movimientos!$C$1:$C$858,"EC Auto",Movimientos!$B$1:$B$858,"&lt;="&amp;$B123)</f>
        <v>901.34</v>
      </c>
      <c r="P123" s="24">
        <f>SUMIFS('Saldos Iniciales'!$D:$D,'Saldos Iniciales'!$A:$A,"Arbor Capital Properties")+SUMIFS(Movimientos!$K$1:$K$858,Movimientos!$C$1:$C$858,"Arbor Capital Properties",Movimientos!$B$1:$B$858,"&lt;="&amp;$B123)</f>
        <v>1396.08</v>
      </c>
      <c r="Q123" s="24">
        <f>SUMIFS('Saldos Iniciales'!$D:$D,'Saldos Iniciales'!$A:$A,"2515 Overbrook")+SUMIFS(Movimientos!$K$1:$K$858,Movimientos!$C$1:$C$858,"2515 Overbrook",Movimientos!$B$1:$B$858,"&lt;="&amp;$B123)</f>
        <v>33670.709999999963</v>
      </c>
      <c r="R123" s="24">
        <f>SUMIFS('Saldos Iniciales'!$D:$D,'Saldos Iniciales'!$A:$A,"112 Florida Ave")+SUMIFS(Movimientos!$K$1:$K$858,Movimientos!$C$1:$C$858,"112 Florida Ave",Movimientos!$B$1:$B$858,"&lt;="&amp;$B123)</f>
        <v>29709.170000000006</v>
      </c>
      <c r="S123" s="24">
        <f>SUMIFS('Saldos Iniciales'!$D:$D,'Saldos Iniciales'!$A:$A,"3628 Thomas Ave")+SUMIFS(Movimientos!$K$1:$K$858,Movimientos!$C$1:$C$858,"3628 Thomas Ave",Movimientos!$B$1:$B$858,"&lt;="&amp;$B123)</f>
        <v>19336.039999999997</v>
      </c>
      <c r="T123" s="24">
        <f>SUMIFS('Saldos Iniciales'!$D:$D,'Saldos Iniciales'!$A:$A,"Green Harbor Trust")+SUMIFS(Movimientos!$K$1:$K$858,Movimientos!$C$1:$C$858,"Green Harbor Trust",Movimientos!$B$1:$B$858,"&lt;="&amp;$B123)</f>
        <v>345</v>
      </c>
      <c r="U123" s="24">
        <f>SUMIFS('Saldos Iniciales'!$D:$D,'Saldos Iniciales'!$A:$A,"Go Blue")+SUMIFS(Movimientos!$K$1:$K$858,Movimientos!$C$1:$C$858,"Go Blue",Movimientos!$B$1:$B$858,"&lt;="&amp;$B123)</f>
        <v>9560.0000000000018</v>
      </c>
      <c r="V123" s="25">
        <f t="shared" si="28"/>
        <v>5058068.37</v>
      </c>
    </row>
    <row r="124" spans="1:22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Group")+SUMIFS(Movimientos!$K$1:$K$858,Movimientos!$C$1:$C$858,"CFT Group",Movimientos!$B$1:$B$858,"&lt;="&amp;$B124)</f>
        <v>740471.68000000063</v>
      </c>
      <c r="D124" s="24">
        <f>SUMIFS('Saldos Iniciales'!$D:$D,'Saldos Iniciales'!$A:$A,"M1B")+SUMIFS(Movimientos!$K$1:$K$858,Movimientos!$C$1:$C$858,"M1B",Movimientos!$B$1:$B$858,"&lt;="&amp;$B124)</f>
        <v>93280.230000000171</v>
      </c>
      <c r="E124" s="24">
        <f>SUMIFS('Saldos Iniciales'!$D:$D,'Saldos Iniciales'!$A:$A,"Durand")+SUMIFS(Movimientos!$K$1:$K$858,Movimientos!$C$1:$C$858,"Durand",Movimientos!$B$1:$B$858,"&lt;="&amp;$B124)</f>
        <v>1669.89</v>
      </c>
      <c r="F124" s="24">
        <f>SUMIFS('Saldos Iniciales'!$D:$D,'Saldos Iniciales'!$A:$A,"A&amp;M Imports")+SUMIFS(Movimientos!$K$1:$K$858,Movimientos!$C$1:$C$858,"A&amp;M Imports",Movimientos!$B$1:$B$858,"&lt;="&amp;$B124)</f>
        <v>1419898.24</v>
      </c>
      <c r="G124" s="24">
        <f>SUMIFS('Saldos Iniciales'!$D:$D,'Saldos Iniciales'!$A:$A,"SSP Capital")+SUMIFS(Movimientos!$K$1:$K$858,Movimientos!$C$1:$C$858,"SSP Capital",Movimientos!$B$1:$B$858,"&lt;="&amp;$B124)</f>
        <v>1555710.1599999997</v>
      </c>
      <c r="H124" s="24">
        <f>SUMIFS('Saldos Iniciales'!$D:$D,'Saldos Iniciales'!$A:$A,"Cross Family Trust")+SUMIFS(Movimientos!$K$1:$K$858,Movimientos!$C$1:$C$858,"Cross Family Trust",Movimientos!$B$1:$B$858,"&lt;="&amp;$B124)</f>
        <v>221496.38</v>
      </c>
      <c r="I124" s="24">
        <f>SUMIFS('Saldos Iniciales'!$D:$D,'Saldos Iniciales'!$A:$A,"Cross Security Trust")+SUMIFS(Movimientos!$K$1:$K$858,Movimientos!$C$1:$C$858,"Cross Security Trust",Movimientos!$B$1:$B$858,"&lt;="&amp;$B124)</f>
        <v>158090.37</v>
      </c>
      <c r="J124" s="24">
        <f>SUMIFS('Saldos Iniciales'!$D:$D,'Saldos Iniciales'!$A:$A,"Electrama")+SUMIFS(Movimientos!$K$1:$K$858,Movimientos!$C$1:$C$858,"Electrama",Movimientos!$B$1:$B$858,"&lt;="&amp;$B124)</f>
        <v>14580.45</v>
      </c>
      <c r="K124" s="24">
        <f>SUMIFS('Saldos Iniciales'!$D:$D,'Saldos Iniciales'!$A:$A,"Sacred Valley Capital")+SUMIFS(Movimientos!$K$1:$K$858,Movimientos!$C$1:$C$858,"Sacred Valley Capital",Movimientos!$B$1:$B$858,"&lt;="&amp;$B124)</f>
        <v>124.45</v>
      </c>
      <c r="L124" s="24">
        <f>SUMIFS('Saldos Iniciales'!$D:$D,'Saldos Iniciales'!$A:$A,"YWC Capital")+SUMIFS(Movimientos!$K$1:$K$858,Movimientos!$C$1:$C$858,"YWC Capital",Movimientos!$B$1:$B$858,"&lt;="&amp;$B124)</f>
        <v>2177.87</v>
      </c>
      <c r="M124" s="24">
        <f>SUMIFS('Saldos Iniciales'!$D:$D,'Saldos Iniciales'!$A:$A,"Soweto")+SUMIFS(Movimientos!$K$1:$K$858,Movimientos!$C$1:$C$858,"Soweto",Movimientos!$B$1:$B$858,"&lt;="&amp;$B124)</f>
        <v>754589.72</v>
      </c>
      <c r="N124" s="24">
        <f>SUMIFS('Saldos Iniciales'!$D:$D,'Saldos Iniciales'!$A:$A,"Green Stone Trust")+SUMIFS(Movimientos!$K$1:$K$858,Movimientos!$C$1:$C$858,"Green Stone Trust",Movimientos!$B$1:$B$858,"&lt;="&amp;$B124)</f>
        <v>1968.99</v>
      </c>
      <c r="O124" s="24">
        <f>SUMIFS('Saldos Iniciales'!$D:$D,'Saldos Iniciales'!$A:$A,"EC Auto")+SUMIFS(Movimientos!$K$1:$K$858,Movimientos!$C$1:$C$858,"EC Auto",Movimientos!$B$1:$B$858,"&lt;="&amp;$B124)</f>
        <v>901.34</v>
      </c>
      <c r="P124" s="24">
        <f>SUMIFS('Saldos Iniciales'!$D:$D,'Saldos Iniciales'!$A:$A,"Arbor Capital Properties")+SUMIFS(Movimientos!$K$1:$K$858,Movimientos!$C$1:$C$858,"Arbor Capital Properties",Movimientos!$B$1:$B$858,"&lt;="&amp;$B124)</f>
        <v>1396.08</v>
      </c>
      <c r="Q124" s="24">
        <f>SUMIFS('Saldos Iniciales'!$D:$D,'Saldos Iniciales'!$A:$A,"2515 Overbrook")+SUMIFS(Movimientos!$K$1:$K$858,Movimientos!$C$1:$C$858,"2515 Overbrook",Movimientos!$B$1:$B$858,"&lt;="&amp;$B124)</f>
        <v>33570.709999999963</v>
      </c>
      <c r="R124" s="24">
        <f>SUMIFS('Saldos Iniciales'!$D:$D,'Saldos Iniciales'!$A:$A,"112 Florida Ave")+SUMIFS(Movimientos!$K$1:$K$858,Movimientos!$C$1:$C$858,"112 Florida Ave",Movimientos!$B$1:$B$858,"&lt;="&amp;$B124)</f>
        <v>26559.170000000006</v>
      </c>
      <c r="S124" s="24">
        <f>SUMIFS('Saldos Iniciales'!$D:$D,'Saldos Iniciales'!$A:$A,"3628 Thomas Ave")+SUMIFS(Movimientos!$K$1:$K$858,Movimientos!$C$1:$C$858,"3628 Thomas Ave",Movimientos!$B$1:$B$858,"&lt;="&amp;$B124)</f>
        <v>23736.039999999997</v>
      </c>
      <c r="T124" s="24">
        <f>SUMIFS('Saldos Iniciales'!$D:$D,'Saldos Iniciales'!$A:$A,"Green Harbor Trust")+SUMIFS(Movimientos!$K$1:$K$858,Movimientos!$C$1:$C$858,"Green Harbor Trust",Movimientos!$B$1:$B$858,"&lt;="&amp;$B124)</f>
        <v>345</v>
      </c>
      <c r="U124" s="24">
        <f>SUMIFS('Saldos Iniciales'!$D:$D,'Saldos Iniciales'!$A:$A,"Go Blue")+SUMIFS(Movimientos!$K$1:$K$858,Movimientos!$C$1:$C$858,"Go Blue",Movimientos!$B$1:$B$858,"&lt;="&amp;$B124)</f>
        <v>9560.0000000000018</v>
      </c>
      <c r="V124" s="25">
        <f t="shared" ref="V124" si="29">SUM(C124:U124)</f>
        <v>5060126.7700000005</v>
      </c>
    </row>
  </sheetData>
  <conditionalFormatting sqref="C2:V124">
    <cfRule type="cellIs" dxfId="4" priority="1" operator="lessThan">
      <formula>0</formula>
    </cfRule>
  </conditionalFormatting>
  <conditionalFormatting sqref="V2:V12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338"/>
  <sheetViews>
    <sheetView tabSelected="1" zoomScale="80" zoomScaleNormal="80" workbookViewId="0">
      <pane ySplit="1" topLeftCell="A2305" activePane="bottomLeft" state="frozen"/>
      <selection pane="bottomLeft" activeCell="E2" sqref="E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983394.14000000013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804853.11999999988</v>
      </c>
    </row>
    <row r="595" spans="1:4" x14ac:dyDescent="0.3">
      <c r="A595" s="78" t="s">
        <v>21</v>
      </c>
      <c r="B595" s="78"/>
      <c r="C595" s="16">
        <v>46174</v>
      </c>
      <c r="D595">
        <v>1015901.6699999992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983394.14000000013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804853.11999999988</v>
      </c>
    </row>
    <row r="614" spans="1:4" x14ac:dyDescent="0.3">
      <c r="A614" s="78" t="s">
        <v>21</v>
      </c>
      <c r="B614" s="78"/>
      <c r="C614" s="16">
        <v>46175</v>
      </c>
      <c r="D614">
        <v>1015901.6699999992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983394.14000000013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804853.11999999988</v>
      </c>
    </row>
    <row r="633" spans="1:4" x14ac:dyDescent="0.3">
      <c r="A633" s="78" t="s">
        <v>21</v>
      </c>
      <c r="B633" s="78"/>
      <c r="C633" s="16">
        <v>46176</v>
      </c>
      <c r="D633">
        <v>1015611.6599999993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733394.14000000013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729545.23999999987</v>
      </c>
    </row>
    <row r="652" spans="1:4" x14ac:dyDescent="0.3">
      <c r="A652" s="78" t="s">
        <v>21</v>
      </c>
      <c r="B652" s="78"/>
      <c r="C652" s="16">
        <v>46177</v>
      </c>
      <c r="D652">
        <v>1171714.4499999993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733394.14000000013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729545.23999999987</v>
      </c>
    </row>
    <row r="671" spans="1:4" x14ac:dyDescent="0.3">
      <c r="A671" s="78" t="s">
        <v>21</v>
      </c>
      <c r="B671" s="78"/>
      <c r="C671" s="16">
        <v>46178</v>
      </c>
      <c r="D671">
        <v>1164028.3199999994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733394.14000000013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729545.23999999987</v>
      </c>
    </row>
    <row r="690" spans="1:4" x14ac:dyDescent="0.3">
      <c r="A690" s="78" t="s">
        <v>21</v>
      </c>
      <c r="B690" s="78"/>
      <c r="C690" s="16">
        <v>46179</v>
      </c>
      <c r="D690">
        <v>1164028.3199999994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733394.14000000013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729545.23999999987</v>
      </c>
    </row>
    <row r="709" spans="1:4" x14ac:dyDescent="0.3">
      <c r="A709" s="78" t="s">
        <v>21</v>
      </c>
      <c r="B709" s="78"/>
      <c r="C709" s="16">
        <v>46180</v>
      </c>
      <c r="D709">
        <v>1164028.3199999994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733394.14000000013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729545.23999999987</v>
      </c>
    </row>
    <row r="728" spans="1:4" x14ac:dyDescent="0.3">
      <c r="A728" s="78" t="s">
        <v>21</v>
      </c>
      <c r="B728" s="78"/>
      <c r="C728" s="16">
        <v>46181</v>
      </c>
      <c r="D728">
        <v>1164028.3199999994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847381.29000000015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729545.23999999987</v>
      </c>
    </row>
    <row r="747" spans="1:4" x14ac:dyDescent="0.3">
      <c r="A747" s="78" t="s">
        <v>21</v>
      </c>
      <c r="B747" s="78"/>
      <c r="C747" s="16">
        <v>46182</v>
      </c>
      <c r="D747">
        <v>1160274.0499999993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2288745.9500000002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744306.80999999982</v>
      </c>
    </row>
    <row r="766" spans="1:4" x14ac:dyDescent="0.3">
      <c r="A766" s="78" t="s">
        <v>21</v>
      </c>
      <c r="B766" s="78"/>
      <c r="C766" s="16">
        <v>46183</v>
      </c>
      <c r="D766">
        <v>1160274.0499999993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1837784.84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564626.20999999985</v>
      </c>
    </row>
    <row r="785" spans="1:4" x14ac:dyDescent="0.3">
      <c r="A785" s="78" t="s">
        <v>21</v>
      </c>
      <c r="B785" s="78"/>
      <c r="C785" s="16">
        <v>46184</v>
      </c>
      <c r="D785">
        <v>794731.82999999926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1837784.84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564626.20999999985</v>
      </c>
    </row>
    <row r="804" spans="1:4" x14ac:dyDescent="0.3">
      <c r="A804" s="78" t="s">
        <v>21</v>
      </c>
      <c r="B804" s="78"/>
      <c r="C804" s="16">
        <v>46185</v>
      </c>
      <c r="D804">
        <v>3763348.8299999996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1837784.84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564626.20999999985</v>
      </c>
    </row>
    <row r="823" spans="1:4" x14ac:dyDescent="0.3">
      <c r="A823" s="78" t="s">
        <v>21</v>
      </c>
      <c r="B823" s="78"/>
      <c r="C823" s="16">
        <v>46186</v>
      </c>
      <c r="D823">
        <v>3763348.8299999996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1837784.84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564626.20999999985</v>
      </c>
    </row>
    <row r="842" spans="1:4" x14ac:dyDescent="0.3">
      <c r="A842" s="78" t="s">
        <v>21</v>
      </c>
      <c r="B842" s="78"/>
      <c r="C842" s="16">
        <v>46187</v>
      </c>
      <c r="D842">
        <v>3763348.8299999996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985975.94000000029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503904.80999999982</v>
      </c>
    </row>
    <row r="861" spans="1:4" x14ac:dyDescent="0.3">
      <c r="A861" s="78" t="s">
        <v>21</v>
      </c>
      <c r="B861" s="78"/>
      <c r="C861" s="16">
        <v>46188</v>
      </c>
      <c r="D861">
        <v>3331737.2399999998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1086358.7500000002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503904.80999999982</v>
      </c>
    </row>
    <row r="880" spans="1:4" x14ac:dyDescent="0.3">
      <c r="A880" s="78" t="s">
        <v>21</v>
      </c>
      <c r="B880" s="78"/>
      <c r="C880" s="16">
        <v>46189</v>
      </c>
      <c r="D880">
        <v>3329246.88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1098358.7500000002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503904.80999999982</v>
      </c>
    </row>
    <row r="899" spans="1:4" x14ac:dyDescent="0.3">
      <c r="A899" s="78" t="s">
        <v>21</v>
      </c>
      <c r="B899" s="78"/>
      <c r="C899" s="16">
        <v>46190</v>
      </c>
      <c r="D899">
        <v>3326863.3899999997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1098358.7500000002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503904.80999999982</v>
      </c>
    </row>
    <row r="918" spans="1:4" x14ac:dyDescent="0.3">
      <c r="A918" s="78" t="s">
        <v>21</v>
      </c>
      <c r="B918" s="78"/>
      <c r="C918" s="16">
        <v>46191</v>
      </c>
      <c r="D918">
        <v>3326696.7299999995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1098358.7500000002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503904.80999999982</v>
      </c>
    </row>
    <row r="937" spans="1:4" x14ac:dyDescent="0.3">
      <c r="A937" s="78" t="s">
        <v>21</v>
      </c>
      <c r="B937" s="78"/>
      <c r="C937" s="16">
        <v>46192</v>
      </c>
      <c r="D937">
        <v>3326696.7299999995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1098358.7500000002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503904.80999999982</v>
      </c>
    </row>
    <row r="956" spans="1:4" x14ac:dyDescent="0.3">
      <c r="A956" s="78" t="s">
        <v>21</v>
      </c>
      <c r="B956" s="78"/>
      <c r="C956" s="16">
        <v>46193</v>
      </c>
      <c r="D956">
        <v>3326696.7299999995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1098358.7500000002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503904.80999999982</v>
      </c>
    </row>
    <row r="975" spans="1:4" x14ac:dyDescent="0.3">
      <c r="A975" s="78" t="s">
        <v>21</v>
      </c>
      <c r="B975" s="78"/>
      <c r="C975" s="16">
        <v>46194</v>
      </c>
      <c r="D975">
        <v>3326696.7299999995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7613332.1400000006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503904.80999999982</v>
      </c>
    </row>
    <row r="994" spans="1:4" x14ac:dyDescent="0.3">
      <c r="A994" s="78" t="s">
        <v>21</v>
      </c>
      <c r="B994" s="78"/>
      <c r="C994" s="16">
        <v>46195</v>
      </c>
      <c r="D994">
        <v>3325868.6899999995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7675741.5900000008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503904.80999999982</v>
      </c>
    </row>
    <row r="1013" spans="1:4" x14ac:dyDescent="0.3">
      <c r="A1013" s="78" t="s">
        <v>21</v>
      </c>
      <c r="B1013" s="78"/>
      <c r="C1013" s="16">
        <v>46196</v>
      </c>
      <c r="D1013">
        <v>3325868.6899999995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7742810.7100000009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532766.72999999986</v>
      </c>
    </row>
    <row r="1032" spans="1:4" x14ac:dyDescent="0.3">
      <c r="A1032" s="78" t="s">
        <v>21</v>
      </c>
      <c r="B1032" s="78"/>
      <c r="C1032" s="16">
        <v>46197</v>
      </c>
      <c r="D1032">
        <v>3325868.6899999995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6298935.7100000009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472766.72999999986</v>
      </c>
    </row>
    <row r="1051" spans="1:4" x14ac:dyDescent="0.3">
      <c r="A1051" s="78" t="s">
        <v>21</v>
      </c>
      <c r="B1051" s="78"/>
      <c r="C1051" s="16">
        <v>46198</v>
      </c>
      <c r="D1051">
        <v>1933152.7099999995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6288055.7100000009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472766.72999999986</v>
      </c>
    </row>
    <row r="1070" spans="1:4" x14ac:dyDescent="0.3">
      <c r="A1070" s="78" t="s">
        <v>21</v>
      </c>
      <c r="B1070" s="78"/>
      <c r="C1070" s="16">
        <v>46199</v>
      </c>
      <c r="D1070">
        <v>1932389.7199999993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6288055.7100000009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472766.72999999986</v>
      </c>
    </row>
    <row r="1089" spans="1:4" x14ac:dyDescent="0.3">
      <c r="A1089" s="78" t="s">
        <v>21</v>
      </c>
      <c r="B1089" s="78"/>
      <c r="C1089" s="16">
        <v>46200</v>
      </c>
      <c r="D1089">
        <v>1932389.7199999993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6288055.7100000009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472766.72999999986</v>
      </c>
    </row>
    <row r="1108" spans="1:4" x14ac:dyDescent="0.3">
      <c r="A1108" s="78" t="s">
        <v>21</v>
      </c>
      <c r="B1108" s="78"/>
      <c r="C1108" s="16">
        <v>46201</v>
      </c>
      <c r="D1108">
        <v>1932389.7199999993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6299174.8100000015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489745.62999999989</v>
      </c>
    </row>
    <row r="1127" spans="1:4" x14ac:dyDescent="0.3">
      <c r="A1127" s="78" t="s">
        <v>21</v>
      </c>
      <c r="B1127" s="78"/>
      <c r="C1127" s="16">
        <v>46202</v>
      </c>
      <c r="D1127">
        <v>1768167.9199999995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6295585.7500000009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489745.62999999989</v>
      </c>
    </row>
    <row r="1146" spans="1:4" x14ac:dyDescent="0.3">
      <c r="A1146" s="78" t="s">
        <v>21</v>
      </c>
      <c r="B1146" s="78"/>
      <c r="C1146" s="16">
        <v>46203</v>
      </c>
      <c r="D1146">
        <v>1696284.7299999995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6295585.7500000009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507936.37999999989</v>
      </c>
    </row>
    <row r="1165" spans="1:4" x14ac:dyDescent="0.3">
      <c r="A1165" s="78" t="s">
        <v>21</v>
      </c>
      <c r="B1165" s="78"/>
      <c r="C1165" s="16">
        <v>46204</v>
      </c>
      <c r="D1165">
        <v>1696284.7299999995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5592585.7500000009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350475.62999999989</v>
      </c>
    </row>
    <row r="1184" spans="1:4" x14ac:dyDescent="0.3">
      <c r="A1184" s="78" t="s">
        <v>21</v>
      </c>
      <c r="B1184" s="78"/>
      <c r="C1184" s="16">
        <v>46205</v>
      </c>
      <c r="D1184">
        <v>1761564.8799999994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28485.559999999998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5592585.7500000009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350475.62999999989</v>
      </c>
    </row>
    <row r="1203" spans="1:4" x14ac:dyDescent="0.3">
      <c r="A1203" s="78" t="s">
        <v>21</v>
      </c>
      <c r="B1203" s="78"/>
      <c r="C1203" s="16">
        <v>46206</v>
      </c>
      <c r="D1203">
        <v>1761564.8799999994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28485.559999999998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5592585.7500000009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350475.62999999989</v>
      </c>
    </row>
    <row r="1222" spans="1:4" x14ac:dyDescent="0.3">
      <c r="A1222" s="78" t="s">
        <v>21</v>
      </c>
      <c r="B1222" s="78"/>
      <c r="C1222" s="16">
        <v>46207</v>
      </c>
      <c r="D1222">
        <v>1761564.8799999994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28485.559999999998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5592585.7500000009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350475.62999999989</v>
      </c>
    </row>
    <row r="1241" spans="1:4" x14ac:dyDescent="0.3">
      <c r="A1241" s="78" t="s">
        <v>21</v>
      </c>
      <c r="B1241" s="78"/>
      <c r="C1241" s="16">
        <v>46208</v>
      </c>
      <c r="D1241">
        <v>1761564.8799999994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28485.559999999998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5592585.7500000009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350475.62999999989</v>
      </c>
    </row>
    <row r="1260" spans="1:4" x14ac:dyDescent="0.3">
      <c r="A1260" s="78" t="s">
        <v>21</v>
      </c>
      <c r="B1260" s="78"/>
      <c r="C1260" s="16">
        <v>46209</v>
      </c>
      <c r="D1260">
        <v>1761026.4599999995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28485.559999999998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5592585.7500000009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350475.62999999989</v>
      </c>
    </row>
    <row r="1279" spans="1:4" x14ac:dyDescent="0.3">
      <c r="A1279" s="78" t="s">
        <v>21</v>
      </c>
      <c r="B1279" s="78"/>
      <c r="C1279" s="16">
        <v>46210</v>
      </c>
      <c r="D1279">
        <v>1761026.4599999995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28485.559999999998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5592585.7500000009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350475.62999999989</v>
      </c>
    </row>
    <row r="1298" spans="1:4" x14ac:dyDescent="0.3">
      <c r="A1298" s="78" t="s">
        <v>21</v>
      </c>
      <c r="B1298" s="78"/>
      <c r="C1298" s="16">
        <v>46211</v>
      </c>
      <c r="D1298">
        <v>1751695.8399999994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28485.559999999998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4377944.080000001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290475.62999999989</v>
      </c>
    </row>
    <row r="1317" spans="1:4" x14ac:dyDescent="0.3">
      <c r="A1317" s="78" t="s">
        <v>21</v>
      </c>
      <c r="B1317" s="78"/>
      <c r="C1317" s="16">
        <v>46212</v>
      </c>
      <c r="D1317">
        <v>2119592.9399999995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28485.559999999998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4163755.7500000005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290141.62999999989</v>
      </c>
    </row>
    <row r="1336" spans="1:4" x14ac:dyDescent="0.3">
      <c r="A1336" s="78" t="s">
        <v>21</v>
      </c>
      <c r="B1336" s="78"/>
      <c r="C1336" s="16">
        <v>46213</v>
      </c>
      <c r="D1336">
        <v>1921752.2699999993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28485.559999999998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4163755.7500000005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290141.62999999989</v>
      </c>
    </row>
    <row r="1355" spans="1:4" x14ac:dyDescent="0.3">
      <c r="A1355" s="78" t="s">
        <v>21</v>
      </c>
      <c r="B1355" s="78"/>
      <c r="C1355" s="16">
        <v>46214</v>
      </c>
      <c r="D1355">
        <v>1921752.2699999993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28485.559999999998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4163755.7500000005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290141.62999999989</v>
      </c>
    </row>
    <row r="1374" spans="1:4" x14ac:dyDescent="0.3">
      <c r="A1374" s="78" t="s">
        <v>21</v>
      </c>
      <c r="B1374" s="78"/>
      <c r="C1374" s="16">
        <v>46215</v>
      </c>
      <c r="D1374">
        <v>1921752.2699999993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28485.559999999998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4163755.7500000005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290141.62999999989</v>
      </c>
    </row>
    <row r="1393" spans="1:4" x14ac:dyDescent="0.3">
      <c r="A1393" s="78" t="s">
        <v>21</v>
      </c>
      <c r="B1393" s="78"/>
      <c r="C1393" s="16">
        <v>46216</v>
      </c>
      <c r="D1393">
        <v>1921752.2699999993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28485.559999999998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3363755.7500000005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1090141.6299999999</v>
      </c>
    </row>
    <row r="1412" spans="1:4" x14ac:dyDescent="0.3">
      <c r="A1412" s="78" t="s">
        <v>21</v>
      </c>
      <c r="B1412" s="78"/>
      <c r="C1412" s="16">
        <v>46217</v>
      </c>
      <c r="D1412">
        <v>1856542.8899999992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28485.559999999998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3363755.7500000005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1089804.7499999998</v>
      </c>
    </row>
    <row r="1431" spans="1:4" x14ac:dyDescent="0.3">
      <c r="A1431" s="78" t="s">
        <v>21</v>
      </c>
      <c r="B1431" s="78"/>
      <c r="C1431" s="16">
        <v>46218</v>
      </c>
      <c r="D1431">
        <v>1856513.4499999993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28485.559999999998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3110339.0700000008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1029804.7499999998</v>
      </c>
    </row>
    <row r="1450" spans="1:4" x14ac:dyDescent="0.3">
      <c r="A1450" s="78" t="s">
        <v>21</v>
      </c>
      <c r="B1450" s="78"/>
      <c r="C1450" s="16">
        <v>46219</v>
      </c>
      <c r="D1450">
        <v>1678189.7499999995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28485.559999999998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3110339.0700000008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1029804.7499999998</v>
      </c>
    </row>
    <row r="1469" spans="1:4" x14ac:dyDescent="0.3">
      <c r="A1469" s="78" t="s">
        <v>21</v>
      </c>
      <c r="B1469" s="78"/>
      <c r="C1469" s="16">
        <v>46220</v>
      </c>
      <c r="D1469">
        <v>1748189.7499999995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28485.559999999998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3110339.0700000008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1029804.7499999998</v>
      </c>
    </row>
    <row r="1488" spans="1:4" x14ac:dyDescent="0.3">
      <c r="A1488" s="78" t="s">
        <v>21</v>
      </c>
      <c r="B1488" s="78"/>
      <c r="C1488" s="16">
        <v>46221</v>
      </c>
      <c r="D1488">
        <v>1748189.7499999995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28485.559999999998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3110339.0700000008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1029804.7499999998</v>
      </c>
    </row>
    <row r="1507" spans="1:4" x14ac:dyDescent="0.3">
      <c r="A1507" s="78" t="s">
        <v>21</v>
      </c>
      <c r="B1507" s="78"/>
      <c r="C1507" s="16">
        <v>46222</v>
      </c>
      <c r="D1507">
        <v>1748189.7499999995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28485.559999999998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  <row r="1522" spans="1:4" x14ac:dyDescent="0.3">
      <c r="A1522" s="78" t="s">
        <v>17</v>
      </c>
      <c r="B1522" s="78"/>
      <c r="C1522" s="16">
        <v>46223</v>
      </c>
      <c r="D1522">
        <v>3110339.0700000008</v>
      </c>
    </row>
    <row r="1523" spans="1:4" x14ac:dyDescent="0.3">
      <c r="A1523" s="78" t="s">
        <v>18</v>
      </c>
      <c r="B1523" s="78"/>
      <c r="C1523" s="16">
        <v>46223</v>
      </c>
      <c r="D1523">
        <v>73157.680000000168</v>
      </c>
    </row>
    <row r="1524" spans="1:4" x14ac:dyDescent="0.3">
      <c r="A1524" s="78" t="s">
        <v>19</v>
      </c>
      <c r="B1524" s="78"/>
      <c r="C1524" s="16">
        <v>46223</v>
      </c>
      <c r="D1524">
        <v>1669.89</v>
      </c>
    </row>
    <row r="1525" spans="1:4" x14ac:dyDescent="0.3">
      <c r="A1525" s="78" t="s">
        <v>20</v>
      </c>
      <c r="B1525" s="78"/>
      <c r="C1525" s="16">
        <v>46223</v>
      </c>
      <c r="D1525">
        <v>1029804.7499999998</v>
      </c>
    </row>
    <row r="1526" spans="1:4" x14ac:dyDescent="0.3">
      <c r="A1526" s="78" t="s">
        <v>21</v>
      </c>
      <c r="B1526" s="78"/>
      <c r="C1526" s="16">
        <v>46223</v>
      </c>
      <c r="D1526">
        <v>1744257.8699999994</v>
      </c>
    </row>
    <row r="1527" spans="1:4" x14ac:dyDescent="0.3">
      <c r="A1527" s="78" t="s">
        <v>22</v>
      </c>
      <c r="B1527" s="78"/>
      <c r="C1527" s="16">
        <v>46223</v>
      </c>
      <c r="D1527">
        <v>200496.38</v>
      </c>
    </row>
    <row r="1528" spans="1:4" x14ac:dyDescent="0.3">
      <c r="A1528" s="78" t="s">
        <v>23</v>
      </c>
      <c r="B1528" s="78"/>
      <c r="C1528" s="16">
        <v>46223</v>
      </c>
      <c r="D1528">
        <v>88090.37</v>
      </c>
    </row>
    <row r="1529" spans="1:4" x14ac:dyDescent="0.3">
      <c r="A1529" s="78" t="s">
        <v>24</v>
      </c>
      <c r="B1529" s="78"/>
      <c r="C1529" s="16">
        <v>46223</v>
      </c>
      <c r="D1529">
        <v>14580.45</v>
      </c>
    </row>
    <row r="1530" spans="1:4" x14ac:dyDescent="0.3">
      <c r="A1530" s="78" t="s">
        <v>25</v>
      </c>
      <c r="B1530" s="78"/>
      <c r="C1530" s="16">
        <v>46223</v>
      </c>
      <c r="D1530">
        <v>54.400000000000006</v>
      </c>
    </row>
    <row r="1531" spans="1:4" x14ac:dyDescent="0.3">
      <c r="A1531" s="78" t="s">
        <v>26</v>
      </c>
      <c r="B1531" s="78"/>
      <c r="C1531" s="16">
        <v>46223</v>
      </c>
      <c r="D1531">
        <v>2207.8200000000002</v>
      </c>
    </row>
    <row r="1532" spans="1:4" x14ac:dyDescent="0.3">
      <c r="A1532" s="78" t="s">
        <v>27</v>
      </c>
      <c r="B1532" s="78"/>
      <c r="C1532" s="16">
        <v>46223</v>
      </c>
      <c r="D1532">
        <v>1454589.72</v>
      </c>
    </row>
    <row r="1533" spans="1:4" x14ac:dyDescent="0.3">
      <c r="A1533" s="78" t="s">
        <v>28</v>
      </c>
      <c r="B1533" s="78"/>
      <c r="C1533" s="16">
        <v>46223</v>
      </c>
      <c r="D1533">
        <v>1968.99</v>
      </c>
    </row>
    <row r="1534" spans="1:4" x14ac:dyDescent="0.3">
      <c r="A1534" s="78" t="s">
        <v>29</v>
      </c>
      <c r="B1534" s="78"/>
      <c r="C1534" s="16">
        <v>46223</v>
      </c>
      <c r="D1534">
        <v>901.34</v>
      </c>
    </row>
    <row r="1535" spans="1:4" x14ac:dyDescent="0.3">
      <c r="A1535" s="78" t="s">
        <v>30</v>
      </c>
      <c r="B1535" s="78"/>
      <c r="C1535" s="16">
        <v>46223</v>
      </c>
      <c r="D1535">
        <v>1412.08</v>
      </c>
    </row>
    <row r="1536" spans="1:4" x14ac:dyDescent="0.3">
      <c r="A1536" s="78" t="s">
        <v>31</v>
      </c>
      <c r="B1536" s="78"/>
      <c r="C1536" s="16">
        <v>46223</v>
      </c>
      <c r="D1536">
        <v>22347.56999999996</v>
      </c>
    </row>
    <row r="1537" spans="1:4" x14ac:dyDescent="0.3">
      <c r="A1537" s="78" t="s">
        <v>32</v>
      </c>
      <c r="B1537" s="78"/>
      <c r="C1537" s="16">
        <v>46223</v>
      </c>
      <c r="D1537">
        <v>3522.8000000000029</v>
      </c>
    </row>
    <row r="1538" spans="1:4" x14ac:dyDescent="0.3">
      <c r="A1538" s="78" t="s">
        <v>33</v>
      </c>
      <c r="B1538" s="78"/>
      <c r="C1538" s="16">
        <v>46223</v>
      </c>
      <c r="D1538">
        <v>28485.559999999998</v>
      </c>
    </row>
    <row r="1539" spans="1:4" x14ac:dyDescent="0.3">
      <c r="A1539" s="78" t="s">
        <v>34</v>
      </c>
      <c r="B1539" s="78"/>
      <c r="C1539" s="16">
        <v>46223</v>
      </c>
      <c r="D1539">
        <v>345</v>
      </c>
    </row>
    <row r="1540" spans="1:4" x14ac:dyDescent="0.3">
      <c r="A1540" s="78" t="s">
        <v>35</v>
      </c>
      <c r="B1540" s="78"/>
      <c r="C1540" s="16">
        <v>46223</v>
      </c>
      <c r="D1540">
        <v>14097.480000000003</v>
      </c>
    </row>
    <row r="1541" spans="1:4" x14ac:dyDescent="0.3">
      <c r="A1541" s="78" t="s">
        <v>17</v>
      </c>
      <c r="B1541" s="78"/>
      <c r="C1541" s="16">
        <v>46224</v>
      </c>
      <c r="D1541">
        <v>3110339.0700000008</v>
      </c>
    </row>
    <row r="1542" spans="1:4" x14ac:dyDescent="0.3">
      <c r="A1542" s="78" t="s">
        <v>18</v>
      </c>
      <c r="B1542" s="78"/>
      <c r="C1542" s="16">
        <v>46224</v>
      </c>
      <c r="D1542">
        <v>73157.680000000168</v>
      </c>
    </row>
    <row r="1543" spans="1:4" x14ac:dyDescent="0.3">
      <c r="A1543" s="78" t="s">
        <v>19</v>
      </c>
      <c r="B1543" s="78"/>
      <c r="C1543" s="16">
        <v>46224</v>
      </c>
      <c r="D1543">
        <v>1669.89</v>
      </c>
    </row>
    <row r="1544" spans="1:4" x14ac:dyDescent="0.3">
      <c r="A1544" s="78" t="s">
        <v>20</v>
      </c>
      <c r="B1544" s="78"/>
      <c r="C1544" s="16">
        <v>46224</v>
      </c>
      <c r="D1544">
        <v>1029804.7499999998</v>
      </c>
    </row>
    <row r="1545" spans="1:4" x14ac:dyDescent="0.3">
      <c r="A1545" s="78" t="s">
        <v>21</v>
      </c>
      <c r="B1545" s="78"/>
      <c r="C1545" s="16">
        <v>46224</v>
      </c>
      <c r="D1545">
        <v>1744257.8699999994</v>
      </c>
    </row>
    <row r="1546" spans="1:4" x14ac:dyDescent="0.3">
      <c r="A1546" s="78" t="s">
        <v>22</v>
      </c>
      <c r="B1546" s="78"/>
      <c r="C1546" s="16">
        <v>46224</v>
      </c>
      <c r="D1546">
        <v>200496.38</v>
      </c>
    </row>
    <row r="1547" spans="1:4" x14ac:dyDescent="0.3">
      <c r="A1547" s="78" t="s">
        <v>23</v>
      </c>
      <c r="B1547" s="78"/>
      <c r="C1547" s="16">
        <v>46224</v>
      </c>
      <c r="D1547">
        <v>88090.37</v>
      </c>
    </row>
    <row r="1548" spans="1:4" x14ac:dyDescent="0.3">
      <c r="A1548" s="78" t="s">
        <v>24</v>
      </c>
      <c r="B1548" s="78"/>
      <c r="C1548" s="16">
        <v>46224</v>
      </c>
      <c r="D1548">
        <v>14580.45</v>
      </c>
    </row>
    <row r="1549" spans="1:4" x14ac:dyDescent="0.3">
      <c r="A1549" s="78" t="s">
        <v>25</v>
      </c>
      <c r="B1549" s="78"/>
      <c r="C1549" s="16">
        <v>46224</v>
      </c>
      <c r="D1549">
        <v>54.400000000000006</v>
      </c>
    </row>
    <row r="1550" spans="1:4" x14ac:dyDescent="0.3">
      <c r="A1550" s="78" t="s">
        <v>26</v>
      </c>
      <c r="B1550" s="78"/>
      <c r="C1550" s="16">
        <v>46224</v>
      </c>
      <c r="D1550">
        <v>2207.8200000000002</v>
      </c>
    </row>
    <row r="1551" spans="1:4" x14ac:dyDescent="0.3">
      <c r="A1551" s="78" t="s">
        <v>27</v>
      </c>
      <c r="B1551" s="78"/>
      <c r="C1551" s="16">
        <v>46224</v>
      </c>
      <c r="D1551">
        <v>1454589.72</v>
      </c>
    </row>
    <row r="1552" spans="1:4" x14ac:dyDescent="0.3">
      <c r="A1552" s="78" t="s">
        <v>28</v>
      </c>
      <c r="B1552" s="78"/>
      <c r="C1552" s="16">
        <v>46224</v>
      </c>
      <c r="D1552">
        <v>1968.99</v>
      </c>
    </row>
    <row r="1553" spans="1:4" x14ac:dyDescent="0.3">
      <c r="A1553" s="78" t="s">
        <v>29</v>
      </c>
      <c r="B1553" s="78"/>
      <c r="C1553" s="16">
        <v>46224</v>
      </c>
      <c r="D1553">
        <v>901.34</v>
      </c>
    </row>
    <row r="1554" spans="1:4" x14ac:dyDescent="0.3">
      <c r="A1554" s="78" t="s">
        <v>30</v>
      </c>
      <c r="B1554" s="78"/>
      <c r="C1554" s="16">
        <v>46224</v>
      </c>
      <c r="D1554">
        <v>1412.08</v>
      </c>
    </row>
    <row r="1555" spans="1:4" x14ac:dyDescent="0.3">
      <c r="A1555" s="78" t="s">
        <v>31</v>
      </c>
      <c r="B1555" s="78"/>
      <c r="C1555" s="16">
        <v>46224</v>
      </c>
      <c r="D1555">
        <v>22347.56999999996</v>
      </c>
    </row>
    <row r="1556" spans="1:4" x14ac:dyDescent="0.3">
      <c r="A1556" s="78" t="s">
        <v>32</v>
      </c>
      <c r="B1556" s="78"/>
      <c r="C1556" s="16">
        <v>46224</v>
      </c>
      <c r="D1556">
        <v>3522.8000000000029</v>
      </c>
    </row>
    <row r="1557" spans="1:4" x14ac:dyDescent="0.3">
      <c r="A1557" s="78" t="s">
        <v>33</v>
      </c>
      <c r="B1557" s="78"/>
      <c r="C1557" s="16">
        <v>46224</v>
      </c>
      <c r="D1557">
        <v>28485.559999999998</v>
      </c>
    </row>
    <row r="1558" spans="1:4" x14ac:dyDescent="0.3">
      <c r="A1558" s="78" t="s">
        <v>34</v>
      </c>
      <c r="B1558" s="78"/>
      <c r="C1558" s="16">
        <v>46224</v>
      </c>
      <c r="D1558">
        <v>345</v>
      </c>
    </row>
    <row r="1559" spans="1:4" x14ac:dyDescent="0.3">
      <c r="A1559" s="78" t="s">
        <v>35</v>
      </c>
      <c r="B1559" s="78"/>
      <c r="C1559" s="16">
        <v>46224</v>
      </c>
      <c r="D1559">
        <v>13745.850000000002</v>
      </c>
    </row>
    <row r="1560" spans="1:4" x14ac:dyDescent="0.3">
      <c r="A1560" s="78" t="s">
        <v>17</v>
      </c>
      <c r="B1560" s="78"/>
      <c r="C1560" s="16">
        <v>46225</v>
      </c>
      <c r="D1560">
        <v>2255755.7400000007</v>
      </c>
    </row>
    <row r="1561" spans="1:4" x14ac:dyDescent="0.3">
      <c r="A1561" s="78" t="s">
        <v>18</v>
      </c>
      <c r="B1561" s="78"/>
      <c r="C1561" s="16">
        <v>46225</v>
      </c>
      <c r="D1561">
        <v>73157.680000000168</v>
      </c>
    </row>
    <row r="1562" spans="1:4" x14ac:dyDescent="0.3">
      <c r="A1562" s="78" t="s">
        <v>19</v>
      </c>
      <c r="B1562" s="78"/>
      <c r="C1562" s="16">
        <v>46225</v>
      </c>
      <c r="D1562">
        <v>1669.89</v>
      </c>
    </row>
    <row r="1563" spans="1:4" x14ac:dyDescent="0.3">
      <c r="A1563" s="78" t="s">
        <v>20</v>
      </c>
      <c r="B1563" s="78"/>
      <c r="C1563" s="16">
        <v>46225</v>
      </c>
      <c r="D1563">
        <v>1002754.9899999998</v>
      </c>
    </row>
    <row r="1564" spans="1:4" x14ac:dyDescent="0.3">
      <c r="A1564" s="78" t="s">
        <v>21</v>
      </c>
      <c r="B1564" s="78"/>
      <c r="C1564" s="16">
        <v>46225</v>
      </c>
      <c r="D1564">
        <v>2022877.8699999996</v>
      </c>
    </row>
    <row r="1565" spans="1:4" x14ac:dyDescent="0.3">
      <c r="A1565" s="78" t="s">
        <v>22</v>
      </c>
      <c r="B1565" s="78"/>
      <c r="C1565" s="16">
        <v>46225</v>
      </c>
      <c r="D1565">
        <v>200496.38</v>
      </c>
    </row>
    <row r="1566" spans="1:4" x14ac:dyDescent="0.3">
      <c r="A1566" s="78" t="s">
        <v>23</v>
      </c>
      <c r="B1566" s="78"/>
      <c r="C1566" s="16">
        <v>46225</v>
      </c>
      <c r="D1566">
        <v>88090.37</v>
      </c>
    </row>
    <row r="1567" spans="1:4" x14ac:dyDescent="0.3">
      <c r="A1567" s="78" t="s">
        <v>24</v>
      </c>
      <c r="B1567" s="78"/>
      <c r="C1567" s="16">
        <v>46225</v>
      </c>
      <c r="D1567">
        <v>14580.45</v>
      </c>
    </row>
    <row r="1568" spans="1:4" x14ac:dyDescent="0.3">
      <c r="A1568" s="78" t="s">
        <v>25</v>
      </c>
      <c r="B1568" s="78"/>
      <c r="C1568" s="16">
        <v>46225</v>
      </c>
      <c r="D1568">
        <v>54.400000000000006</v>
      </c>
    </row>
    <row r="1569" spans="1:4" x14ac:dyDescent="0.3">
      <c r="A1569" s="78" t="s">
        <v>26</v>
      </c>
      <c r="B1569" s="78"/>
      <c r="C1569" s="16">
        <v>46225</v>
      </c>
      <c r="D1569">
        <v>2207.8200000000002</v>
      </c>
    </row>
    <row r="1570" spans="1:4" x14ac:dyDescent="0.3">
      <c r="A1570" s="78" t="s">
        <v>27</v>
      </c>
      <c r="B1570" s="78"/>
      <c r="C1570" s="16">
        <v>46225</v>
      </c>
      <c r="D1570">
        <v>1454589.72</v>
      </c>
    </row>
    <row r="1571" spans="1:4" x14ac:dyDescent="0.3">
      <c r="A1571" s="78" t="s">
        <v>28</v>
      </c>
      <c r="B1571" s="78"/>
      <c r="C1571" s="16">
        <v>46225</v>
      </c>
      <c r="D1571">
        <v>1968.99</v>
      </c>
    </row>
    <row r="1572" spans="1:4" x14ac:dyDescent="0.3">
      <c r="A1572" s="78" t="s">
        <v>29</v>
      </c>
      <c r="B1572" s="78"/>
      <c r="C1572" s="16">
        <v>46225</v>
      </c>
      <c r="D1572">
        <v>901.34</v>
      </c>
    </row>
    <row r="1573" spans="1:4" x14ac:dyDescent="0.3">
      <c r="A1573" s="78" t="s">
        <v>30</v>
      </c>
      <c r="B1573" s="78"/>
      <c r="C1573" s="16">
        <v>46225</v>
      </c>
      <c r="D1573">
        <v>1412.08</v>
      </c>
    </row>
    <row r="1574" spans="1:4" x14ac:dyDescent="0.3">
      <c r="A1574" s="78" t="s">
        <v>31</v>
      </c>
      <c r="B1574" s="78"/>
      <c r="C1574" s="16">
        <v>46225</v>
      </c>
      <c r="D1574">
        <v>22347.56999999996</v>
      </c>
    </row>
    <row r="1575" spans="1:4" x14ac:dyDescent="0.3">
      <c r="A1575" s="78" t="s">
        <v>32</v>
      </c>
      <c r="B1575" s="78"/>
      <c r="C1575" s="16">
        <v>46225</v>
      </c>
      <c r="D1575">
        <v>3522.8000000000029</v>
      </c>
    </row>
    <row r="1576" spans="1:4" x14ac:dyDescent="0.3">
      <c r="A1576" s="78" t="s">
        <v>33</v>
      </c>
      <c r="B1576" s="78"/>
      <c r="C1576" s="16">
        <v>46225</v>
      </c>
      <c r="D1576">
        <v>28485.559999999998</v>
      </c>
    </row>
    <row r="1577" spans="1:4" x14ac:dyDescent="0.3">
      <c r="A1577" s="78" t="s">
        <v>34</v>
      </c>
      <c r="B1577" s="78"/>
      <c r="C1577" s="16">
        <v>46225</v>
      </c>
      <c r="D1577">
        <v>345</v>
      </c>
    </row>
    <row r="1578" spans="1:4" x14ac:dyDescent="0.3">
      <c r="A1578" s="78" t="s">
        <v>35</v>
      </c>
      <c r="B1578" s="78"/>
      <c r="C1578" s="16">
        <v>46225</v>
      </c>
      <c r="D1578">
        <v>10252.290000000003</v>
      </c>
    </row>
    <row r="1579" spans="1:4" x14ac:dyDescent="0.3">
      <c r="A1579" s="78" t="s">
        <v>17</v>
      </c>
      <c r="B1579" s="78"/>
      <c r="C1579" s="16">
        <v>46226</v>
      </c>
      <c r="D1579">
        <v>2255750.7400000007</v>
      </c>
    </row>
    <row r="1580" spans="1:4" x14ac:dyDescent="0.3">
      <c r="A1580" s="78" t="s">
        <v>18</v>
      </c>
      <c r="B1580" s="78"/>
      <c r="C1580" s="16">
        <v>46226</v>
      </c>
      <c r="D1580">
        <v>73157.680000000168</v>
      </c>
    </row>
    <row r="1581" spans="1:4" x14ac:dyDescent="0.3">
      <c r="A1581" s="78" t="s">
        <v>19</v>
      </c>
      <c r="B1581" s="78"/>
      <c r="C1581" s="16">
        <v>46226</v>
      </c>
      <c r="D1581">
        <v>1669.89</v>
      </c>
    </row>
    <row r="1582" spans="1:4" x14ac:dyDescent="0.3">
      <c r="A1582" s="78" t="s">
        <v>20</v>
      </c>
      <c r="B1582" s="78"/>
      <c r="C1582" s="16">
        <v>46226</v>
      </c>
      <c r="D1582">
        <v>1042744.6899999997</v>
      </c>
    </row>
    <row r="1583" spans="1:4" x14ac:dyDescent="0.3">
      <c r="A1583" s="78" t="s">
        <v>21</v>
      </c>
      <c r="B1583" s="78"/>
      <c r="C1583" s="16">
        <v>46226</v>
      </c>
      <c r="D1583">
        <v>2022877.8699999996</v>
      </c>
    </row>
    <row r="1584" spans="1:4" x14ac:dyDescent="0.3">
      <c r="A1584" s="78" t="s">
        <v>22</v>
      </c>
      <c r="B1584" s="78"/>
      <c r="C1584" s="16">
        <v>46226</v>
      </c>
      <c r="D1584">
        <v>200496.38</v>
      </c>
    </row>
    <row r="1585" spans="1:4" x14ac:dyDescent="0.3">
      <c r="A1585" s="78" t="s">
        <v>23</v>
      </c>
      <c r="B1585" s="78"/>
      <c r="C1585" s="16">
        <v>46226</v>
      </c>
      <c r="D1585">
        <v>88090.37</v>
      </c>
    </row>
    <row r="1586" spans="1:4" x14ac:dyDescent="0.3">
      <c r="A1586" s="78" t="s">
        <v>24</v>
      </c>
      <c r="B1586" s="78"/>
      <c r="C1586" s="16">
        <v>46226</v>
      </c>
      <c r="D1586">
        <v>14580.45</v>
      </c>
    </row>
    <row r="1587" spans="1:4" x14ac:dyDescent="0.3">
      <c r="A1587" s="78" t="s">
        <v>25</v>
      </c>
      <c r="B1587" s="78"/>
      <c r="C1587" s="16">
        <v>46226</v>
      </c>
      <c r="D1587">
        <v>54.400000000000006</v>
      </c>
    </row>
    <row r="1588" spans="1:4" x14ac:dyDescent="0.3">
      <c r="A1588" s="78" t="s">
        <v>26</v>
      </c>
      <c r="B1588" s="78"/>
      <c r="C1588" s="16">
        <v>46226</v>
      </c>
      <c r="D1588">
        <v>2207.8200000000002</v>
      </c>
    </row>
    <row r="1589" spans="1:4" x14ac:dyDescent="0.3">
      <c r="A1589" s="78" t="s">
        <v>27</v>
      </c>
      <c r="B1589" s="78"/>
      <c r="C1589" s="16">
        <v>46226</v>
      </c>
      <c r="D1589">
        <v>1454589.72</v>
      </c>
    </row>
    <row r="1590" spans="1:4" x14ac:dyDescent="0.3">
      <c r="A1590" s="78" t="s">
        <v>28</v>
      </c>
      <c r="B1590" s="78"/>
      <c r="C1590" s="16">
        <v>46226</v>
      </c>
      <c r="D1590">
        <v>1968.99</v>
      </c>
    </row>
    <row r="1591" spans="1:4" x14ac:dyDescent="0.3">
      <c r="A1591" s="78" t="s">
        <v>29</v>
      </c>
      <c r="B1591" s="78"/>
      <c r="C1591" s="16">
        <v>46226</v>
      </c>
      <c r="D1591">
        <v>901.34</v>
      </c>
    </row>
    <row r="1592" spans="1:4" x14ac:dyDescent="0.3">
      <c r="A1592" s="78" t="s">
        <v>30</v>
      </c>
      <c r="B1592" s="78"/>
      <c r="C1592" s="16">
        <v>46226</v>
      </c>
      <c r="D1592">
        <v>1412.08</v>
      </c>
    </row>
    <row r="1593" spans="1:4" x14ac:dyDescent="0.3">
      <c r="A1593" s="78" t="s">
        <v>31</v>
      </c>
      <c r="B1593" s="78"/>
      <c r="C1593" s="16">
        <v>46226</v>
      </c>
      <c r="D1593">
        <v>22347.56999999996</v>
      </c>
    </row>
    <row r="1594" spans="1:4" x14ac:dyDescent="0.3">
      <c r="A1594" s="78" t="s">
        <v>32</v>
      </c>
      <c r="B1594" s="78"/>
      <c r="C1594" s="16">
        <v>46226</v>
      </c>
      <c r="D1594">
        <v>18522.800000000003</v>
      </c>
    </row>
    <row r="1595" spans="1:4" x14ac:dyDescent="0.3">
      <c r="A1595" s="78" t="s">
        <v>33</v>
      </c>
      <c r="B1595" s="78"/>
      <c r="C1595" s="16">
        <v>46226</v>
      </c>
      <c r="D1595">
        <v>28485.559999999998</v>
      </c>
    </row>
    <row r="1596" spans="1:4" x14ac:dyDescent="0.3">
      <c r="A1596" s="78" t="s">
        <v>34</v>
      </c>
      <c r="B1596" s="78"/>
      <c r="C1596" s="16">
        <v>46226</v>
      </c>
      <c r="D1596">
        <v>345</v>
      </c>
    </row>
    <row r="1597" spans="1:4" x14ac:dyDescent="0.3">
      <c r="A1597" s="78" t="s">
        <v>35</v>
      </c>
      <c r="B1597" s="78"/>
      <c r="C1597" s="16">
        <v>46226</v>
      </c>
      <c r="D1597">
        <v>9958.7100000000028</v>
      </c>
    </row>
    <row r="1598" spans="1:4" x14ac:dyDescent="0.3">
      <c r="A1598" s="78" t="s">
        <v>17</v>
      </c>
      <c r="B1598" s="78"/>
      <c r="C1598" s="16">
        <v>46227</v>
      </c>
      <c r="D1598">
        <v>2255750.7400000007</v>
      </c>
    </row>
    <row r="1599" spans="1:4" x14ac:dyDescent="0.3">
      <c r="A1599" s="78" t="s">
        <v>18</v>
      </c>
      <c r="B1599" s="78"/>
      <c r="C1599" s="16">
        <v>46227</v>
      </c>
      <c r="D1599">
        <v>73157.680000000168</v>
      </c>
    </row>
    <row r="1600" spans="1:4" x14ac:dyDescent="0.3">
      <c r="A1600" s="78" t="s">
        <v>19</v>
      </c>
      <c r="B1600" s="78"/>
      <c r="C1600" s="16">
        <v>46227</v>
      </c>
      <c r="D1600">
        <v>1669.89</v>
      </c>
    </row>
    <row r="1601" spans="1:4" x14ac:dyDescent="0.3">
      <c r="A1601" s="78" t="s">
        <v>20</v>
      </c>
      <c r="B1601" s="78"/>
      <c r="C1601" s="16">
        <v>46227</v>
      </c>
      <c r="D1601">
        <v>1042744.6899999997</v>
      </c>
    </row>
    <row r="1602" spans="1:4" x14ac:dyDescent="0.3">
      <c r="A1602" s="78" t="s">
        <v>21</v>
      </c>
      <c r="B1602" s="78"/>
      <c r="C1602" s="16">
        <v>46227</v>
      </c>
      <c r="D1602">
        <v>2022877.8699999996</v>
      </c>
    </row>
    <row r="1603" spans="1:4" x14ac:dyDescent="0.3">
      <c r="A1603" s="78" t="s">
        <v>22</v>
      </c>
      <c r="B1603" s="78"/>
      <c r="C1603" s="16">
        <v>46227</v>
      </c>
      <c r="D1603">
        <v>200496.38</v>
      </c>
    </row>
    <row r="1604" spans="1:4" x14ac:dyDescent="0.3">
      <c r="A1604" s="78" t="s">
        <v>23</v>
      </c>
      <c r="B1604" s="78"/>
      <c r="C1604" s="16">
        <v>46227</v>
      </c>
      <c r="D1604">
        <v>88090.37</v>
      </c>
    </row>
    <row r="1605" spans="1:4" x14ac:dyDescent="0.3">
      <c r="A1605" s="78" t="s">
        <v>24</v>
      </c>
      <c r="B1605" s="78"/>
      <c r="C1605" s="16">
        <v>46227</v>
      </c>
      <c r="D1605">
        <v>14580.45</v>
      </c>
    </row>
    <row r="1606" spans="1:4" x14ac:dyDescent="0.3">
      <c r="A1606" s="78" t="s">
        <v>25</v>
      </c>
      <c r="B1606" s="78"/>
      <c r="C1606" s="16">
        <v>46227</v>
      </c>
      <c r="D1606">
        <v>54.400000000000006</v>
      </c>
    </row>
    <row r="1607" spans="1:4" x14ac:dyDescent="0.3">
      <c r="A1607" s="78" t="s">
        <v>26</v>
      </c>
      <c r="B1607" s="78"/>
      <c r="C1607" s="16">
        <v>46227</v>
      </c>
      <c r="D1607">
        <v>2207.8200000000002</v>
      </c>
    </row>
    <row r="1608" spans="1:4" x14ac:dyDescent="0.3">
      <c r="A1608" s="78" t="s">
        <v>27</v>
      </c>
      <c r="B1608" s="78"/>
      <c r="C1608" s="16">
        <v>46227</v>
      </c>
      <c r="D1608">
        <v>1454589.72</v>
      </c>
    </row>
    <row r="1609" spans="1:4" x14ac:dyDescent="0.3">
      <c r="A1609" s="78" t="s">
        <v>28</v>
      </c>
      <c r="B1609" s="78"/>
      <c r="C1609" s="16">
        <v>46227</v>
      </c>
      <c r="D1609">
        <v>1968.99</v>
      </c>
    </row>
    <row r="1610" spans="1:4" x14ac:dyDescent="0.3">
      <c r="A1610" s="78" t="s">
        <v>29</v>
      </c>
      <c r="B1610" s="78"/>
      <c r="C1610" s="16">
        <v>46227</v>
      </c>
      <c r="D1610">
        <v>901.34</v>
      </c>
    </row>
    <row r="1611" spans="1:4" x14ac:dyDescent="0.3">
      <c r="A1611" s="78" t="s">
        <v>30</v>
      </c>
      <c r="B1611" s="78"/>
      <c r="C1611" s="16">
        <v>46227</v>
      </c>
      <c r="D1611">
        <v>1412.08</v>
      </c>
    </row>
    <row r="1612" spans="1:4" x14ac:dyDescent="0.3">
      <c r="A1612" s="78" t="s">
        <v>31</v>
      </c>
      <c r="B1612" s="78"/>
      <c r="C1612" s="16">
        <v>46227</v>
      </c>
      <c r="D1612">
        <v>22347.56999999996</v>
      </c>
    </row>
    <row r="1613" spans="1:4" x14ac:dyDescent="0.3">
      <c r="A1613" s="78" t="s">
        <v>32</v>
      </c>
      <c r="B1613" s="78"/>
      <c r="C1613" s="16">
        <v>46227</v>
      </c>
      <c r="D1613">
        <v>18522.800000000003</v>
      </c>
    </row>
    <row r="1614" spans="1:4" x14ac:dyDescent="0.3">
      <c r="A1614" s="78" t="s">
        <v>33</v>
      </c>
      <c r="B1614" s="78"/>
      <c r="C1614" s="16">
        <v>46227</v>
      </c>
      <c r="D1614">
        <v>28485.559999999998</v>
      </c>
    </row>
    <row r="1615" spans="1:4" x14ac:dyDescent="0.3">
      <c r="A1615" s="78" t="s">
        <v>34</v>
      </c>
      <c r="B1615" s="78"/>
      <c r="C1615" s="16">
        <v>46227</v>
      </c>
      <c r="D1615">
        <v>345</v>
      </c>
    </row>
    <row r="1616" spans="1:4" x14ac:dyDescent="0.3">
      <c r="A1616" s="78" t="s">
        <v>35</v>
      </c>
      <c r="B1616" s="78"/>
      <c r="C1616" s="16">
        <v>46227</v>
      </c>
      <c r="D1616">
        <v>9557.6300000000028</v>
      </c>
    </row>
    <row r="1617" spans="1:4" x14ac:dyDescent="0.3">
      <c r="A1617" s="78" t="s">
        <v>17</v>
      </c>
      <c r="B1617" s="78"/>
      <c r="C1617" s="16">
        <v>46228</v>
      </c>
      <c r="D1617">
        <v>2255750.7400000007</v>
      </c>
    </row>
    <row r="1618" spans="1:4" x14ac:dyDescent="0.3">
      <c r="A1618" s="78" t="s">
        <v>18</v>
      </c>
      <c r="B1618" s="78"/>
      <c r="C1618" s="16">
        <v>46228</v>
      </c>
      <c r="D1618">
        <v>73157.680000000168</v>
      </c>
    </row>
    <row r="1619" spans="1:4" x14ac:dyDescent="0.3">
      <c r="A1619" s="78" t="s">
        <v>19</v>
      </c>
      <c r="B1619" s="78"/>
      <c r="C1619" s="16">
        <v>46228</v>
      </c>
      <c r="D1619">
        <v>1669.89</v>
      </c>
    </row>
    <row r="1620" spans="1:4" x14ac:dyDescent="0.3">
      <c r="A1620" s="78" t="s">
        <v>20</v>
      </c>
      <c r="B1620" s="78"/>
      <c r="C1620" s="16">
        <v>46228</v>
      </c>
      <c r="D1620">
        <v>1042744.6899999997</v>
      </c>
    </row>
    <row r="1621" spans="1:4" x14ac:dyDescent="0.3">
      <c r="A1621" s="78" t="s">
        <v>21</v>
      </c>
      <c r="B1621" s="78"/>
      <c r="C1621" s="16">
        <v>46228</v>
      </c>
      <c r="D1621">
        <v>2022877.8699999996</v>
      </c>
    </row>
    <row r="1622" spans="1:4" x14ac:dyDescent="0.3">
      <c r="A1622" s="78" t="s">
        <v>22</v>
      </c>
      <c r="B1622" s="78"/>
      <c r="C1622" s="16">
        <v>46228</v>
      </c>
      <c r="D1622">
        <v>200496.38</v>
      </c>
    </row>
    <row r="1623" spans="1:4" x14ac:dyDescent="0.3">
      <c r="A1623" s="78" t="s">
        <v>23</v>
      </c>
      <c r="B1623" s="78"/>
      <c r="C1623" s="16">
        <v>46228</v>
      </c>
      <c r="D1623">
        <v>88090.37</v>
      </c>
    </row>
    <row r="1624" spans="1:4" x14ac:dyDescent="0.3">
      <c r="A1624" s="78" t="s">
        <v>24</v>
      </c>
      <c r="B1624" s="78"/>
      <c r="C1624" s="16">
        <v>46228</v>
      </c>
      <c r="D1624">
        <v>14580.45</v>
      </c>
    </row>
    <row r="1625" spans="1:4" x14ac:dyDescent="0.3">
      <c r="A1625" s="78" t="s">
        <v>25</v>
      </c>
      <c r="B1625" s="78"/>
      <c r="C1625" s="16">
        <v>46228</v>
      </c>
      <c r="D1625">
        <v>54.400000000000006</v>
      </c>
    </row>
    <row r="1626" spans="1:4" x14ac:dyDescent="0.3">
      <c r="A1626" s="78" t="s">
        <v>26</v>
      </c>
      <c r="B1626" s="78"/>
      <c r="C1626" s="16">
        <v>46228</v>
      </c>
      <c r="D1626">
        <v>2207.8200000000002</v>
      </c>
    </row>
    <row r="1627" spans="1:4" x14ac:dyDescent="0.3">
      <c r="A1627" s="78" t="s">
        <v>27</v>
      </c>
      <c r="B1627" s="78"/>
      <c r="C1627" s="16">
        <v>46228</v>
      </c>
      <c r="D1627">
        <v>1454589.72</v>
      </c>
    </row>
    <row r="1628" spans="1:4" x14ac:dyDescent="0.3">
      <c r="A1628" s="78" t="s">
        <v>28</v>
      </c>
      <c r="B1628" s="78"/>
      <c r="C1628" s="16">
        <v>46228</v>
      </c>
      <c r="D1628">
        <v>1968.99</v>
      </c>
    </row>
    <row r="1629" spans="1:4" x14ac:dyDescent="0.3">
      <c r="A1629" s="78" t="s">
        <v>29</v>
      </c>
      <c r="B1629" s="78"/>
      <c r="C1629" s="16">
        <v>46228</v>
      </c>
      <c r="D1629">
        <v>901.34</v>
      </c>
    </row>
    <row r="1630" spans="1:4" x14ac:dyDescent="0.3">
      <c r="A1630" s="78" t="s">
        <v>30</v>
      </c>
      <c r="B1630" s="78"/>
      <c r="C1630" s="16">
        <v>46228</v>
      </c>
      <c r="D1630">
        <v>1412.08</v>
      </c>
    </row>
    <row r="1631" spans="1:4" x14ac:dyDescent="0.3">
      <c r="A1631" s="78" t="s">
        <v>31</v>
      </c>
      <c r="B1631" s="78"/>
      <c r="C1631" s="16">
        <v>46228</v>
      </c>
      <c r="D1631">
        <v>22347.56999999996</v>
      </c>
    </row>
    <row r="1632" spans="1:4" x14ac:dyDescent="0.3">
      <c r="A1632" s="78" t="s">
        <v>32</v>
      </c>
      <c r="B1632" s="78"/>
      <c r="C1632" s="16">
        <v>46228</v>
      </c>
      <c r="D1632">
        <v>18522.800000000003</v>
      </c>
    </row>
    <row r="1633" spans="1:4" x14ac:dyDescent="0.3">
      <c r="A1633" s="78" t="s">
        <v>33</v>
      </c>
      <c r="B1633" s="78"/>
      <c r="C1633" s="16">
        <v>46228</v>
      </c>
      <c r="D1633">
        <v>28485.559999999998</v>
      </c>
    </row>
    <row r="1634" spans="1:4" x14ac:dyDescent="0.3">
      <c r="A1634" s="78" t="s">
        <v>34</v>
      </c>
      <c r="B1634" s="78"/>
      <c r="C1634" s="16">
        <v>46228</v>
      </c>
      <c r="D1634">
        <v>345</v>
      </c>
    </row>
    <row r="1635" spans="1:4" x14ac:dyDescent="0.3">
      <c r="A1635" s="78" t="s">
        <v>35</v>
      </c>
      <c r="B1635" s="78"/>
      <c r="C1635" s="16">
        <v>46228</v>
      </c>
      <c r="D1635">
        <v>9557.6300000000028</v>
      </c>
    </row>
    <row r="1636" spans="1:4" x14ac:dyDescent="0.3">
      <c r="A1636" s="78" t="s">
        <v>17</v>
      </c>
      <c r="B1636" s="78"/>
      <c r="C1636" s="16">
        <v>46229</v>
      </c>
      <c r="D1636">
        <v>2255750.7400000007</v>
      </c>
    </row>
    <row r="1637" spans="1:4" x14ac:dyDescent="0.3">
      <c r="A1637" s="78" t="s">
        <v>18</v>
      </c>
      <c r="B1637" s="78"/>
      <c r="C1637" s="16">
        <v>46229</v>
      </c>
      <c r="D1637">
        <v>73157.680000000168</v>
      </c>
    </row>
    <row r="1638" spans="1:4" x14ac:dyDescent="0.3">
      <c r="A1638" s="78" t="s">
        <v>19</v>
      </c>
      <c r="B1638" s="78"/>
      <c r="C1638" s="16">
        <v>46229</v>
      </c>
      <c r="D1638">
        <v>1669.89</v>
      </c>
    </row>
    <row r="1639" spans="1:4" x14ac:dyDescent="0.3">
      <c r="A1639" s="78" t="s">
        <v>20</v>
      </c>
      <c r="B1639" s="78"/>
      <c r="C1639" s="16">
        <v>46229</v>
      </c>
      <c r="D1639">
        <v>1042744.6899999997</v>
      </c>
    </row>
    <row r="1640" spans="1:4" x14ac:dyDescent="0.3">
      <c r="A1640" s="78" t="s">
        <v>21</v>
      </c>
      <c r="B1640" s="78"/>
      <c r="C1640" s="16">
        <v>46229</v>
      </c>
      <c r="D1640">
        <v>2022877.8699999996</v>
      </c>
    </row>
    <row r="1641" spans="1:4" x14ac:dyDescent="0.3">
      <c r="A1641" s="78" t="s">
        <v>22</v>
      </c>
      <c r="B1641" s="78"/>
      <c r="C1641" s="16">
        <v>46229</v>
      </c>
      <c r="D1641">
        <v>200496.38</v>
      </c>
    </row>
    <row r="1642" spans="1:4" x14ac:dyDescent="0.3">
      <c r="A1642" s="78" t="s">
        <v>23</v>
      </c>
      <c r="B1642" s="78"/>
      <c r="C1642" s="16">
        <v>46229</v>
      </c>
      <c r="D1642">
        <v>88090.37</v>
      </c>
    </row>
    <row r="1643" spans="1:4" x14ac:dyDescent="0.3">
      <c r="A1643" s="78" t="s">
        <v>24</v>
      </c>
      <c r="B1643" s="78"/>
      <c r="C1643" s="16">
        <v>46229</v>
      </c>
      <c r="D1643">
        <v>14580.45</v>
      </c>
    </row>
    <row r="1644" spans="1:4" x14ac:dyDescent="0.3">
      <c r="A1644" s="78" t="s">
        <v>25</v>
      </c>
      <c r="B1644" s="78"/>
      <c r="C1644" s="16">
        <v>46229</v>
      </c>
      <c r="D1644">
        <v>54.400000000000006</v>
      </c>
    </row>
    <row r="1645" spans="1:4" x14ac:dyDescent="0.3">
      <c r="A1645" s="78" t="s">
        <v>26</v>
      </c>
      <c r="B1645" s="78"/>
      <c r="C1645" s="16">
        <v>46229</v>
      </c>
      <c r="D1645">
        <v>2207.8200000000002</v>
      </c>
    </row>
    <row r="1646" spans="1:4" x14ac:dyDescent="0.3">
      <c r="A1646" s="78" t="s">
        <v>27</v>
      </c>
      <c r="B1646" s="78"/>
      <c r="C1646" s="16">
        <v>46229</v>
      </c>
      <c r="D1646">
        <v>1454589.72</v>
      </c>
    </row>
    <row r="1647" spans="1:4" x14ac:dyDescent="0.3">
      <c r="A1647" s="78" t="s">
        <v>28</v>
      </c>
      <c r="B1647" s="78"/>
      <c r="C1647" s="16">
        <v>46229</v>
      </c>
      <c r="D1647">
        <v>1968.99</v>
      </c>
    </row>
    <row r="1648" spans="1:4" x14ac:dyDescent="0.3">
      <c r="A1648" s="78" t="s">
        <v>29</v>
      </c>
      <c r="B1648" s="78"/>
      <c r="C1648" s="16">
        <v>46229</v>
      </c>
      <c r="D1648">
        <v>901.34</v>
      </c>
    </row>
    <row r="1649" spans="1:4" x14ac:dyDescent="0.3">
      <c r="A1649" s="78" t="s">
        <v>30</v>
      </c>
      <c r="B1649" s="78"/>
      <c r="C1649" s="16">
        <v>46229</v>
      </c>
      <c r="D1649">
        <v>1412.08</v>
      </c>
    </row>
    <row r="1650" spans="1:4" x14ac:dyDescent="0.3">
      <c r="A1650" s="78" t="s">
        <v>31</v>
      </c>
      <c r="B1650" s="78"/>
      <c r="C1650" s="16">
        <v>46229</v>
      </c>
      <c r="D1650">
        <v>22347.56999999996</v>
      </c>
    </row>
    <row r="1651" spans="1:4" x14ac:dyDescent="0.3">
      <c r="A1651" s="78" t="s">
        <v>32</v>
      </c>
      <c r="B1651" s="78"/>
      <c r="C1651" s="16">
        <v>46229</v>
      </c>
      <c r="D1651">
        <v>18522.800000000003</v>
      </c>
    </row>
    <row r="1652" spans="1:4" x14ac:dyDescent="0.3">
      <c r="A1652" s="78" t="s">
        <v>33</v>
      </c>
      <c r="B1652" s="78"/>
      <c r="C1652" s="16">
        <v>46229</v>
      </c>
      <c r="D1652">
        <v>28485.559999999998</v>
      </c>
    </row>
    <row r="1653" spans="1:4" x14ac:dyDescent="0.3">
      <c r="A1653" s="78" t="s">
        <v>34</v>
      </c>
      <c r="B1653" s="78"/>
      <c r="C1653" s="16">
        <v>46229</v>
      </c>
      <c r="D1653">
        <v>345</v>
      </c>
    </row>
    <row r="1654" spans="1:4" x14ac:dyDescent="0.3">
      <c r="A1654" s="78" t="s">
        <v>35</v>
      </c>
      <c r="B1654" s="78"/>
      <c r="C1654" s="16">
        <v>46229</v>
      </c>
      <c r="D1654">
        <v>9557.6300000000028</v>
      </c>
    </row>
    <row r="1655" spans="1:4" x14ac:dyDescent="0.3">
      <c r="A1655" s="78" t="s">
        <v>17</v>
      </c>
      <c r="B1655" s="78"/>
      <c r="C1655" s="16">
        <v>46230</v>
      </c>
      <c r="D1655">
        <v>2255750.7400000007</v>
      </c>
    </row>
    <row r="1656" spans="1:4" x14ac:dyDescent="0.3">
      <c r="A1656" s="78" t="s">
        <v>18</v>
      </c>
      <c r="B1656" s="78"/>
      <c r="C1656" s="16">
        <v>46230</v>
      </c>
      <c r="D1656">
        <v>73157.680000000168</v>
      </c>
    </row>
    <row r="1657" spans="1:4" x14ac:dyDescent="0.3">
      <c r="A1657" s="78" t="s">
        <v>19</v>
      </c>
      <c r="B1657" s="78"/>
      <c r="C1657" s="16">
        <v>46230</v>
      </c>
      <c r="D1657">
        <v>1669.89</v>
      </c>
    </row>
    <row r="1658" spans="1:4" x14ac:dyDescent="0.3">
      <c r="A1658" s="78" t="s">
        <v>20</v>
      </c>
      <c r="B1658" s="78"/>
      <c r="C1658" s="16">
        <v>46230</v>
      </c>
      <c r="D1658">
        <v>1392744.6899999997</v>
      </c>
    </row>
    <row r="1659" spans="1:4" x14ac:dyDescent="0.3">
      <c r="A1659" s="78" t="s">
        <v>21</v>
      </c>
      <c r="B1659" s="78"/>
      <c r="C1659" s="16">
        <v>46230</v>
      </c>
      <c r="D1659">
        <v>2022877.8699999996</v>
      </c>
    </row>
    <row r="1660" spans="1:4" x14ac:dyDescent="0.3">
      <c r="A1660" s="78" t="s">
        <v>22</v>
      </c>
      <c r="B1660" s="78"/>
      <c r="C1660" s="16">
        <v>46230</v>
      </c>
      <c r="D1660">
        <v>190496.38</v>
      </c>
    </row>
    <row r="1661" spans="1:4" x14ac:dyDescent="0.3">
      <c r="A1661" s="78" t="s">
        <v>23</v>
      </c>
      <c r="B1661" s="78"/>
      <c r="C1661" s="16">
        <v>46230</v>
      </c>
      <c r="D1661">
        <v>88090.37</v>
      </c>
    </row>
    <row r="1662" spans="1:4" x14ac:dyDescent="0.3">
      <c r="A1662" s="78" t="s">
        <v>24</v>
      </c>
      <c r="B1662" s="78"/>
      <c r="C1662" s="16">
        <v>46230</v>
      </c>
      <c r="D1662">
        <v>14580.45</v>
      </c>
    </row>
    <row r="1663" spans="1:4" x14ac:dyDescent="0.3">
      <c r="A1663" s="78" t="s">
        <v>25</v>
      </c>
      <c r="B1663" s="78"/>
      <c r="C1663" s="16">
        <v>46230</v>
      </c>
      <c r="D1663">
        <v>54.400000000000006</v>
      </c>
    </row>
    <row r="1664" spans="1:4" x14ac:dyDescent="0.3">
      <c r="A1664" s="78" t="s">
        <v>26</v>
      </c>
      <c r="B1664" s="78"/>
      <c r="C1664" s="16">
        <v>46230</v>
      </c>
      <c r="D1664">
        <v>2207.8200000000002</v>
      </c>
    </row>
    <row r="1665" spans="1:4" x14ac:dyDescent="0.3">
      <c r="A1665" s="78" t="s">
        <v>27</v>
      </c>
      <c r="B1665" s="78"/>
      <c r="C1665" s="16">
        <v>46230</v>
      </c>
      <c r="D1665">
        <v>1454589.72</v>
      </c>
    </row>
    <row r="1666" spans="1:4" x14ac:dyDescent="0.3">
      <c r="A1666" s="78" t="s">
        <v>28</v>
      </c>
      <c r="B1666" s="78"/>
      <c r="C1666" s="16">
        <v>46230</v>
      </c>
      <c r="D1666">
        <v>1968.99</v>
      </c>
    </row>
    <row r="1667" spans="1:4" x14ac:dyDescent="0.3">
      <c r="A1667" s="78" t="s">
        <v>29</v>
      </c>
      <c r="B1667" s="78"/>
      <c r="C1667" s="16">
        <v>46230</v>
      </c>
      <c r="D1667">
        <v>901.34</v>
      </c>
    </row>
    <row r="1668" spans="1:4" x14ac:dyDescent="0.3">
      <c r="A1668" s="78" t="s">
        <v>30</v>
      </c>
      <c r="B1668" s="78"/>
      <c r="C1668" s="16">
        <v>46230</v>
      </c>
      <c r="D1668">
        <v>1412.08</v>
      </c>
    </row>
    <row r="1669" spans="1:4" x14ac:dyDescent="0.3">
      <c r="A1669" s="78" t="s">
        <v>31</v>
      </c>
      <c r="B1669" s="78"/>
      <c r="C1669" s="16">
        <v>46230</v>
      </c>
      <c r="D1669">
        <v>22347.56999999996</v>
      </c>
    </row>
    <row r="1670" spans="1:4" x14ac:dyDescent="0.3">
      <c r="A1670" s="78" t="s">
        <v>32</v>
      </c>
      <c r="B1670" s="78"/>
      <c r="C1670" s="16">
        <v>46230</v>
      </c>
      <c r="D1670">
        <v>18522.800000000003</v>
      </c>
    </row>
    <row r="1671" spans="1:4" x14ac:dyDescent="0.3">
      <c r="A1671" s="78" t="s">
        <v>33</v>
      </c>
      <c r="B1671" s="78"/>
      <c r="C1671" s="16">
        <v>46230</v>
      </c>
      <c r="D1671">
        <v>28485.559999999998</v>
      </c>
    </row>
    <row r="1672" spans="1:4" x14ac:dyDescent="0.3">
      <c r="A1672" s="78" t="s">
        <v>34</v>
      </c>
      <c r="B1672" s="78"/>
      <c r="C1672" s="16">
        <v>46230</v>
      </c>
      <c r="D1672">
        <v>345</v>
      </c>
    </row>
    <row r="1673" spans="1:4" x14ac:dyDescent="0.3">
      <c r="A1673" s="78" t="s">
        <v>35</v>
      </c>
      <c r="B1673" s="78"/>
      <c r="C1673" s="16">
        <v>46230</v>
      </c>
      <c r="D1673">
        <v>15418.180000000004</v>
      </c>
    </row>
    <row r="1674" spans="1:4" x14ac:dyDescent="0.3">
      <c r="A1674" s="78" t="s">
        <v>17</v>
      </c>
      <c r="B1674" s="78"/>
      <c r="C1674" s="16">
        <v>46231</v>
      </c>
      <c r="D1674">
        <v>2255750.7400000007</v>
      </c>
    </row>
    <row r="1675" spans="1:4" x14ac:dyDescent="0.3">
      <c r="A1675" s="78" t="s">
        <v>18</v>
      </c>
      <c r="B1675" s="78"/>
      <c r="C1675" s="16">
        <v>46231</v>
      </c>
      <c r="D1675">
        <v>80574.12000000017</v>
      </c>
    </row>
    <row r="1676" spans="1:4" x14ac:dyDescent="0.3">
      <c r="A1676" s="78" t="s">
        <v>19</v>
      </c>
      <c r="B1676" s="78"/>
      <c r="C1676" s="16">
        <v>46231</v>
      </c>
      <c r="D1676">
        <v>1669.89</v>
      </c>
    </row>
    <row r="1677" spans="1:4" x14ac:dyDescent="0.3">
      <c r="A1677" s="78" t="s">
        <v>20</v>
      </c>
      <c r="B1677" s="78"/>
      <c r="C1677" s="16">
        <v>46231</v>
      </c>
      <c r="D1677">
        <v>1415636.7399999998</v>
      </c>
    </row>
    <row r="1678" spans="1:4" x14ac:dyDescent="0.3">
      <c r="A1678" s="78" t="s">
        <v>21</v>
      </c>
      <c r="B1678" s="78"/>
      <c r="C1678" s="16">
        <v>46231</v>
      </c>
      <c r="D1678">
        <v>1857997.0999999996</v>
      </c>
    </row>
    <row r="1679" spans="1:4" x14ac:dyDescent="0.3">
      <c r="A1679" s="78" t="s">
        <v>22</v>
      </c>
      <c r="B1679" s="78"/>
      <c r="C1679" s="16">
        <v>46231</v>
      </c>
      <c r="D1679">
        <v>190496.38</v>
      </c>
    </row>
    <row r="1680" spans="1:4" x14ac:dyDescent="0.3">
      <c r="A1680" s="78" t="s">
        <v>23</v>
      </c>
      <c r="B1680" s="78"/>
      <c r="C1680" s="16">
        <v>46231</v>
      </c>
      <c r="D1680">
        <v>88090.37</v>
      </c>
    </row>
    <row r="1681" spans="1:4" x14ac:dyDescent="0.3">
      <c r="A1681" s="78" t="s">
        <v>24</v>
      </c>
      <c r="B1681" s="78"/>
      <c r="C1681" s="16">
        <v>46231</v>
      </c>
      <c r="D1681">
        <v>14580.45</v>
      </c>
    </row>
    <row r="1682" spans="1:4" x14ac:dyDescent="0.3">
      <c r="A1682" s="78" t="s">
        <v>25</v>
      </c>
      <c r="B1682" s="78"/>
      <c r="C1682" s="16">
        <v>46231</v>
      </c>
      <c r="D1682">
        <v>54.400000000000006</v>
      </c>
    </row>
    <row r="1683" spans="1:4" x14ac:dyDescent="0.3">
      <c r="A1683" s="78" t="s">
        <v>26</v>
      </c>
      <c r="B1683" s="78"/>
      <c r="C1683" s="16">
        <v>46231</v>
      </c>
      <c r="D1683">
        <v>2207.8200000000002</v>
      </c>
    </row>
    <row r="1684" spans="1:4" x14ac:dyDescent="0.3">
      <c r="A1684" s="78" t="s">
        <v>27</v>
      </c>
      <c r="B1684" s="78"/>
      <c r="C1684" s="16">
        <v>46231</v>
      </c>
      <c r="D1684">
        <v>1454589.72</v>
      </c>
    </row>
    <row r="1685" spans="1:4" x14ac:dyDescent="0.3">
      <c r="A1685" s="78" t="s">
        <v>28</v>
      </c>
      <c r="B1685" s="78"/>
      <c r="C1685" s="16">
        <v>46231</v>
      </c>
      <c r="D1685">
        <v>1968.99</v>
      </c>
    </row>
    <row r="1686" spans="1:4" x14ac:dyDescent="0.3">
      <c r="A1686" s="78" t="s">
        <v>29</v>
      </c>
      <c r="B1686" s="78"/>
      <c r="C1686" s="16">
        <v>46231</v>
      </c>
      <c r="D1686">
        <v>901.34</v>
      </c>
    </row>
    <row r="1687" spans="1:4" x14ac:dyDescent="0.3">
      <c r="A1687" s="78" t="s">
        <v>30</v>
      </c>
      <c r="B1687" s="78"/>
      <c r="C1687" s="16">
        <v>46231</v>
      </c>
      <c r="D1687">
        <v>1412.08</v>
      </c>
    </row>
    <row r="1688" spans="1:4" x14ac:dyDescent="0.3">
      <c r="A1688" s="78" t="s">
        <v>31</v>
      </c>
      <c r="B1688" s="78"/>
      <c r="C1688" s="16">
        <v>46231</v>
      </c>
      <c r="D1688">
        <v>22347.56999999996</v>
      </c>
    </row>
    <row r="1689" spans="1:4" x14ac:dyDescent="0.3">
      <c r="A1689" s="78" t="s">
        <v>32</v>
      </c>
      <c r="B1689" s="78"/>
      <c r="C1689" s="16">
        <v>46231</v>
      </c>
      <c r="D1689">
        <v>18522.800000000003</v>
      </c>
    </row>
    <row r="1690" spans="1:4" x14ac:dyDescent="0.3">
      <c r="A1690" s="78" t="s">
        <v>33</v>
      </c>
      <c r="B1690" s="78"/>
      <c r="C1690" s="16">
        <v>46231</v>
      </c>
      <c r="D1690">
        <v>28485.559999999998</v>
      </c>
    </row>
    <row r="1691" spans="1:4" x14ac:dyDescent="0.3">
      <c r="A1691" s="78" t="s">
        <v>34</v>
      </c>
      <c r="B1691" s="78"/>
      <c r="C1691" s="16">
        <v>46231</v>
      </c>
      <c r="D1691">
        <v>345</v>
      </c>
    </row>
    <row r="1692" spans="1:4" x14ac:dyDescent="0.3">
      <c r="A1692" s="78" t="s">
        <v>35</v>
      </c>
      <c r="B1692" s="78"/>
      <c r="C1692" s="16">
        <v>46231</v>
      </c>
      <c r="D1692">
        <v>15094.090000000004</v>
      </c>
    </row>
    <row r="1693" spans="1:4" x14ac:dyDescent="0.3">
      <c r="A1693" s="78" t="s">
        <v>17</v>
      </c>
      <c r="B1693" s="78"/>
      <c r="C1693" s="16">
        <v>46232</v>
      </c>
      <c r="D1693">
        <v>2270539.1300000008</v>
      </c>
    </row>
    <row r="1694" spans="1:4" x14ac:dyDescent="0.3">
      <c r="A1694" s="78" t="s">
        <v>18</v>
      </c>
      <c r="B1694" s="78"/>
      <c r="C1694" s="16">
        <v>46232</v>
      </c>
      <c r="D1694">
        <v>83211.250000000175</v>
      </c>
    </row>
    <row r="1695" spans="1:4" x14ac:dyDescent="0.3">
      <c r="A1695" s="78" t="s">
        <v>19</v>
      </c>
      <c r="B1695" s="78"/>
      <c r="C1695" s="16">
        <v>46232</v>
      </c>
      <c r="D1695">
        <v>1669.89</v>
      </c>
    </row>
    <row r="1696" spans="1:4" x14ac:dyDescent="0.3">
      <c r="A1696" s="78" t="s">
        <v>20</v>
      </c>
      <c r="B1696" s="78"/>
      <c r="C1696" s="16">
        <v>46232</v>
      </c>
      <c r="D1696">
        <v>1434634.5999999999</v>
      </c>
    </row>
    <row r="1697" spans="1:4" x14ac:dyDescent="0.3">
      <c r="A1697" s="78" t="s">
        <v>21</v>
      </c>
      <c r="B1697" s="78"/>
      <c r="C1697" s="16">
        <v>46232</v>
      </c>
      <c r="D1697">
        <v>1857997.0999999996</v>
      </c>
    </row>
    <row r="1698" spans="1:4" x14ac:dyDescent="0.3">
      <c r="A1698" s="78" t="s">
        <v>22</v>
      </c>
      <c r="B1698" s="78"/>
      <c r="C1698" s="16">
        <v>46232</v>
      </c>
      <c r="D1698">
        <v>190496.38</v>
      </c>
    </row>
    <row r="1699" spans="1:4" x14ac:dyDescent="0.3">
      <c r="A1699" s="78" t="s">
        <v>23</v>
      </c>
      <c r="B1699" s="78"/>
      <c r="C1699" s="16">
        <v>46232</v>
      </c>
      <c r="D1699">
        <v>88090.37</v>
      </c>
    </row>
    <row r="1700" spans="1:4" x14ac:dyDescent="0.3">
      <c r="A1700" s="78" t="s">
        <v>24</v>
      </c>
      <c r="B1700" s="78"/>
      <c r="C1700" s="16">
        <v>46232</v>
      </c>
      <c r="D1700">
        <v>14580.45</v>
      </c>
    </row>
    <row r="1701" spans="1:4" x14ac:dyDescent="0.3">
      <c r="A1701" s="78" t="s">
        <v>25</v>
      </c>
      <c r="B1701" s="78"/>
      <c r="C1701" s="16">
        <v>46232</v>
      </c>
      <c r="D1701">
        <v>54.400000000000006</v>
      </c>
    </row>
    <row r="1702" spans="1:4" x14ac:dyDescent="0.3">
      <c r="A1702" s="78" t="s">
        <v>26</v>
      </c>
      <c r="B1702" s="78"/>
      <c r="C1702" s="16">
        <v>46232</v>
      </c>
      <c r="D1702">
        <v>2207.8200000000002</v>
      </c>
    </row>
    <row r="1703" spans="1:4" x14ac:dyDescent="0.3">
      <c r="A1703" s="78" t="s">
        <v>27</v>
      </c>
      <c r="B1703" s="78"/>
      <c r="C1703" s="16">
        <v>46232</v>
      </c>
      <c r="D1703">
        <v>1454589.72</v>
      </c>
    </row>
    <row r="1704" spans="1:4" x14ac:dyDescent="0.3">
      <c r="A1704" s="78" t="s">
        <v>28</v>
      </c>
      <c r="B1704" s="78"/>
      <c r="C1704" s="16">
        <v>46232</v>
      </c>
      <c r="D1704">
        <v>1968.99</v>
      </c>
    </row>
    <row r="1705" spans="1:4" x14ac:dyDescent="0.3">
      <c r="A1705" s="78" t="s">
        <v>29</v>
      </c>
      <c r="B1705" s="78"/>
      <c r="C1705" s="16">
        <v>46232</v>
      </c>
      <c r="D1705">
        <v>901.34</v>
      </c>
    </row>
    <row r="1706" spans="1:4" x14ac:dyDescent="0.3">
      <c r="A1706" s="78" t="s">
        <v>30</v>
      </c>
      <c r="B1706" s="78"/>
      <c r="C1706" s="16">
        <v>46232</v>
      </c>
      <c r="D1706">
        <v>1412.08</v>
      </c>
    </row>
    <row r="1707" spans="1:4" x14ac:dyDescent="0.3">
      <c r="A1707" s="78" t="s">
        <v>31</v>
      </c>
      <c r="B1707" s="78"/>
      <c r="C1707" s="16">
        <v>46232</v>
      </c>
      <c r="D1707">
        <v>22347.56999999996</v>
      </c>
    </row>
    <row r="1708" spans="1:4" x14ac:dyDescent="0.3">
      <c r="A1708" s="78" t="s">
        <v>32</v>
      </c>
      <c r="B1708" s="78"/>
      <c r="C1708" s="16">
        <v>46232</v>
      </c>
      <c r="D1708">
        <v>18522.800000000003</v>
      </c>
    </row>
    <row r="1709" spans="1:4" x14ac:dyDescent="0.3">
      <c r="A1709" s="78" t="s">
        <v>33</v>
      </c>
      <c r="B1709" s="78"/>
      <c r="C1709" s="16">
        <v>46232</v>
      </c>
      <c r="D1709">
        <v>28485.559999999998</v>
      </c>
    </row>
    <row r="1710" spans="1:4" x14ac:dyDescent="0.3">
      <c r="A1710" s="78" t="s">
        <v>34</v>
      </c>
      <c r="B1710" s="78"/>
      <c r="C1710" s="16">
        <v>46232</v>
      </c>
      <c r="D1710">
        <v>345</v>
      </c>
    </row>
    <row r="1711" spans="1:4" x14ac:dyDescent="0.3">
      <c r="A1711" s="78" t="s">
        <v>35</v>
      </c>
      <c r="B1711" s="78"/>
      <c r="C1711" s="16">
        <v>46232</v>
      </c>
      <c r="D1711">
        <v>13469.780000000002</v>
      </c>
    </row>
    <row r="1712" spans="1:4" x14ac:dyDescent="0.3">
      <c r="A1712" s="78" t="s">
        <v>17</v>
      </c>
      <c r="B1712" s="78"/>
      <c r="C1712" s="16">
        <v>46233</v>
      </c>
      <c r="D1712">
        <v>2470350.7000000002</v>
      </c>
    </row>
    <row r="1713" spans="1:4" x14ac:dyDescent="0.3">
      <c r="A1713" s="78" t="s">
        <v>18</v>
      </c>
      <c r="B1713" s="78"/>
      <c r="C1713" s="16">
        <v>46233</v>
      </c>
      <c r="D1713">
        <v>83211.250000000175</v>
      </c>
    </row>
    <row r="1714" spans="1:4" x14ac:dyDescent="0.3">
      <c r="A1714" s="78" t="s">
        <v>19</v>
      </c>
      <c r="B1714" s="78"/>
      <c r="C1714" s="16">
        <v>46233</v>
      </c>
      <c r="D1714">
        <v>1669.89</v>
      </c>
    </row>
    <row r="1715" spans="1:4" x14ac:dyDescent="0.3">
      <c r="A1715" s="78" t="s">
        <v>20</v>
      </c>
      <c r="B1715" s="78"/>
      <c r="C1715" s="16">
        <v>46233</v>
      </c>
      <c r="D1715">
        <v>1458426.0399999998</v>
      </c>
    </row>
    <row r="1716" spans="1:4" x14ac:dyDescent="0.3">
      <c r="A1716" s="78" t="s">
        <v>21</v>
      </c>
      <c r="B1716" s="78"/>
      <c r="C1716" s="16">
        <v>46233</v>
      </c>
      <c r="D1716">
        <v>1857993.8499999996</v>
      </c>
    </row>
    <row r="1717" spans="1:4" x14ac:dyDescent="0.3">
      <c r="A1717" s="78" t="s">
        <v>22</v>
      </c>
      <c r="B1717" s="78"/>
      <c r="C1717" s="16">
        <v>46233</v>
      </c>
      <c r="D1717">
        <v>190496.38</v>
      </c>
    </row>
    <row r="1718" spans="1:4" x14ac:dyDescent="0.3">
      <c r="A1718" s="78" t="s">
        <v>23</v>
      </c>
      <c r="B1718" s="78"/>
      <c r="C1718" s="16">
        <v>46233</v>
      </c>
      <c r="D1718">
        <v>88090.37</v>
      </c>
    </row>
    <row r="1719" spans="1:4" x14ac:dyDescent="0.3">
      <c r="A1719" s="78" t="s">
        <v>24</v>
      </c>
      <c r="B1719" s="78"/>
      <c r="C1719" s="16">
        <v>46233</v>
      </c>
      <c r="D1719">
        <v>14580.45</v>
      </c>
    </row>
    <row r="1720" spans="1:4" x14ac:dyDescent="0.3">
      <c r="A1720" s="78" t="s">
        <v>25</v>
      </c>
      <c r="B1720" s="78"/>
      <c r="C1720" s="16">
        <v>46233</v>
      </c>
      <c r="D1720">
        <v>54.400000000000006</v>
      </c>
    </row>
    <row r="1721" spans="1:4" x14ac:dyDescent="0.3">
      <c r="A1721" s="78" t="s">
        <v>26</v>
      </c>
      <c r="B1721" s="78"/>
      <c r="C1721" s="16">
        <v>46233</v>
      </c>
      <c r="D1721">
        <v>2207.8200000000002</v>
      </c>
    </row>
    <row r="1722" spans="1:4" x14ac:dyDescent="0.3">
      <c r="A1722" s="78" t="s">
        <v>27</v>
      </c>
      <c r="B1722" s="78"/>
      <c r="C1722" s="16">
        <v>46233</v>
      </c>
      <c r="D1722">
        <v>1454589.72</v>
      </c>
    </row>
    <row r="1723" spans="1:4" x14ac:dyDescent="0.3">
      <c r="A1723" s="78" t="s">
        <v>28</v>
      </c>
      <c r="B1723" s="78"/>
      <c r="C1723" s="16">
        <v>46233</v>
      </c>
      <c r="D1723">
        <v>1968.99</v>
      </c>
    </row>
    <row r="1724" spans="1:4" x14ac:dyDescent="0.3">
      <c r="A1724" s="78" t="s">
        <v>29</v>
      </c>
      <c r="B1724" s="78"/>
      <c r="C1724" s="16">
        <v>46233</v>
      </c>
      <c r="D1724">
        <v>901.34</v>
      </c>
    </row>
    <row r="1725" spans="1:4" x14ac:dyDescent="0.3">
      <c r="A1725" s="78" t="s">
        <v>30</v>
      </c>
      <c r="B1725" s="78"/>
      <c r="C1725" s="16">
        <v>46233</v>
      </c>
      <c r="D1725">
        <v>1412.08</v>
      </c>
    </row>
    <row r="1726" spans="1:4" x14ac:dyDescent="0.3">
      <c r="A1726" s="78" t="s">
        <v>31</v>
      </c>
      <c r="B1726" s="78"/>
      <c r="C1726" s="16">
        <v>46233</v>
      </c>
      <c r="D1726">
        <v>22347.56999999996</v>
      </c>
    </row>
    <row r="1727" spans="1:4" x14ac:dyDescent="0.3">
      <c r="A1727" s="78" t="s">
        <v>32</v>
      </c>
      <c r="B1727" s="78"/>
      <c r="C1727" s="16">
        <v>46233</v>
      </c>
      <c r="D1727">
        <v>18522.800000000003</v>
      </c>
    </row>
    <row r="1728" spans="1:4" x14ac:dyDescent="0.3">
      <c r="A1728" s="78" t="s">
        <v>33</v>
      </c>
      <c r="B1728" s="78"/>
      <c r="C1728" s="16">
        <v>46233</v>
      </c>
      <c r="D1728">
        <v>28485.559999999998</v>
      </c>
    </row>
    <row r="1729" spans="1:4" x14ac:dyDescent="0.3">
      <c r="A1729" s="78" t="s">
        <v>34</v>
      </c>
      <c r="B1729" s="78"/>
      <c r="C1729" s="16">
        <v>46233</v>
      </c>
      <c r="D1729">
        <v>345</v>
      </c>
    </row>
    <row r="1730" spans="1:4" x14ac:dyDescent="0.3">
      <c r="A1730" s="78" t="s">
        <v>35</v>
      </c>
      <c r="B1730" s="78"/>
      <c r="C1730" s="16">
        <v>46233</v>
      </c>
      <c r="D1730">
        <v>11634.930000000004</v>
      </c>
    </row>
    <row r="1731" spans="1:4" x14ac:dyDescent="0.3">
      <c r="A1731" s="78" t="s">
        <v>17</v>
      </c>
      <c r="B1731" s="78"/>
      <c r="C1731" s="16">
        <v>46234</v>
      </c>
      <c r="D1731">
        <v>2468032.08</v>
      </c>
    </row>
    <row r="1732" spans="1:4" x14ac:dyDescent="0.3">
      <c r="A1732" s="78" t="s">
        <v>18</v>
      </c>
      <c r="B1732" s="78"/>
      <c r="C1732" s="16">
        <v>46234</v>
      </c>
      <c r="D1732">
        <v>83211.250000000175</v>
      </c>
    </row>
    <row r="1733" spans="1:4" x14ac:dyDescent="0.3">
      <c r="A1733" s="78" t="s">
        <v>19</v>
      </c>
      <c r="B1733" s="78"/>
      <c r="C1733" s="16">
        <v>46234</v>
      </c>
      <c r="D1733">
        <v>1669.89</v>
      </c>
    </row>
    <row r="1734" spans="1:4" x14ac:dyDescent="0.3">
      <c r="A1734" s="78" t="s">
        <v>20</v>
      </c>
      <c r="B1734" s="78"/>
      <c r="C1734" s="16">
        <v>46234</v>
      </c>
      <c r="D1734">
        <v>1458426.0399999998</v>
      </c>
    </row>
    <row r="1735" spans="1:4" x14ac:dyDescent="0.3">
      <c r="A1735" s="78" t="s">
        <v>21</v>
      </c>
      <c r="B1735" s="78"/>
      <c r="C1735" s="16">
        <v>46234</v>
      </c>
      <c r="D1735">
        <v>1514477.1199999996</v>
      </c>
    </row>
    <row r="1736" spans="1:4" x14ac:dyDescent="0.3">
      <c r="A1736" s="78" t="s">
        <v>22</v>
      </c>
      <c r="B1736" s="78"/>
      <c r="C1736" s="16">
        <v>46234</v>
      </c>
      <c r="D1736">
        <v>190496.38</v>
      </c>
    </row>
    <row r="1737" spans="1:4" x14ac:dyDescent="0.3">
      <c r="A1737" s="78" t="s">
        <v>23</v>
      </c>
      <c r="B1737" s="78"/>
      <c r="C1737" s="16">
        <v>46234</v>
      </c>
      <c r="D1737">
        <v>88090.37</v>
      </c>
    </row>
    <row r="1738" spans="1:4" x14ac:dyDescent="0.3">
      <c r="A1738" s="78" t="s">
        <v>24</v>
      </c>
      <c r="B1738" s="78"/>
      <c r="C1738" s="16">
        <v>46234</v>
      </c>
      <c r="D1738">
        <v>14580.45</v>
      </c>
    </row>
    <row r="1739" spans="1:4" x14ac:dyDescent="0.3">
      <c r="A1739" s="78" t="s">
        <v>25</v>
      </c>
      <c r="B1739" s="78"/>
      <c r="C1739" s="16">
        <v>46234</v>
      </c>
      <c r="D1739">
        <v>54.400000000000006</v>
      </c>
    </row>
    <row r="1740" spans="1:4" x14ac:dyDescent="0.3">
      <c r="A1740" s="78" t="s">
        <v>26</v>
      </c>
      <c r="B1740" s="78"/>
      <c r="C1740" s="16">
        <v>46234</v>
      </c>
      <c r="D1740">
        <v>2207.8200000000002</v>
      </c>
    </row>
    <row r="1741" spans="1:4" x14ac:dyDescent="0.3">
      <c r="A1741" s="78" t="s">
        <v>27</v>
      </c>
      <c r="B1741" s="78"/>
      <c r="C1741" s="16">
        <v>46234</v>
      </c>
      <c r="D1741">
        <v>1454589.72</v>
      </c>
    </row>
    <row r="1742" spans="1:4" x14ac:dyDescent="0.3">
      <c r="A1742" s="78" t="s">
        <v>28</v>
      </c>
      <c r="B1742" s="78"/>
      <c r="C1742" s="16">
        <v>46234</v>
      </c>
      <c r="D1742">
        <v>1968.99</v>
      </c>
    </row>
    <row r="1743" spans="1:4" x14ac:dyDescent="0.3">
      <c r="A1743" s="78" t="s">
        <v>29</v>
      </c>
      <c r="B1743" s="78"/>
      <c r="C1743" s="16">
        <v>46234</v>
      </c>
      <c r="D1743">
        <v>901.34</v>
      </c>
    </row>
    <row r="1744" spans="1:4" x14ac:dyDescent="0.3">
      <c r="A1744" s="78" t="s">
        <v>30</v>
      </c>
      <c r="B1744" s="78"/>
      <c r="C1744" s="16">
        <v>46234</v>
      </c>
      <c r="D1744">
        <v>1412.08</v>
      </c>
    </row>
    <row r="1745" spans="1:4" x14ac:dyDescent="0.3">
      <c r="A1745" s="78" t="s">
        <v>31</v>
      </c>
      <c r="B1745" s="78"/>
      <c r="C1745" s="16">
        <v>46234</v>
      </c>
      <c r="D1745">
        <v>22347.56999999996</v>
      </c>
    </row>
    <row r="1746" spans="1:4" x14ac:dyDescent="0.3">
      <c r="A1746" s="78" t="s">
        <v>32</v>
      </c>
      <c r="B1746" s="78"/>
      <c r="C1746" s="16">
        <v>46234</v>
      </c>
      <c r="D1746">
        <v>18522.800000000003</v>
      </c>
    </row>
    <row r="1747" spans="1:4" x14ac:dyDescent="0.3">
      <c r="A1747" s="78" t="s">
        <v>33</v>
      </c>
      <c r="B1747" s="78"/>
      <c r="C1747" s="16">
        <v>46234</v>
      </c>
      <c r="D1747">
        <v>28485.559999999998</v>
      </c>
    </row>
    <row r="1748" spans="1:4" x14ac:dyDescent="0.3">
      <c r="A1748" s="78" t="s">
        <v>34</v>
      </c>
      <c r="B1748" s="78"/>
      <c r="C1748" s="16">
        <v>46234</v>
      </c>
      <c r="D1748">
        <v>345</v>
      </c>
    </row>
    <row r="1749" spans="1:4" x14ac:dyDescent="0.3">
      <c r="A1749" s="78" t="s">
        <v>35</v>
      </c>
      <c r="B1749" s="78"/>
      <c r="C1749" s="16">
        <v>46234</v>
      </c>
      <c r="D1749">
        <v>11634.930000000004</v>
      </c>
    </row>
    <row r="1750" spans="1:4" x14ac:dyDescent="0.3">
      <c r="A1750" s="78" t="s">
        <v>17</v>
      </c>
      <c r="B1750" s="78"/>
      <c r="C1750" s="16">
        <v>46235</v>
      </c>
      <c r="D1750">
        <v>2468032.08</v>
      </c>
    </row>
    <row r="1751" spans="1:4" x14ac:dyDescent="0.3">
      <c r="A1751" s="78" t="s">
        <v>18</v>
      </c>
      <c r="B1751" s="78"/>
      <c r="C1751" s="16">
        <v>46235</v>
      </c>
      <c r="D1751">
        <v>83211.250000000175</v>
      </c>
    </row>
    <row r="1752" spans="1:4" x14ac:dyDescent="0.3">
      <c r="A1752" s="78" t="s">
        <v>19</v>
      </c>
      <c r="B1752" s="78"/>
      <c r="C1752" s="16">
        <v>46235</v>
      </c>
      <c r="D1752">
        <v>1669.89</v>
      </c>
    </row>
    <row r="1753" spans="1:4" x14ac:dyDescent="0.3">
      <c r="A1753" s="78" t="s">
        <v>20</v>
      </c>
      <c r="B1753" s="78"/>
      <c r="C1753" s="16">
        <v>46235</v>
      </c>
      <c r="D1753">
        <v>1458426.0399999998</v>
      </c>
    </row>
    <row r="1754" spans="1:4" x14ac:dyDescent="0.3">
      <c r="A1754" s="78" t="s">
        <v>21</v>
      </c>
      <c r="B1754" s="78"/>
      <c r="C1754" s="16">
        <v>46235</v>
      </c>
      <c r="D1754">
        <v>1514477.1199999996</v>
      </c>
    </row>
    <row r="1755" spans="1:4" x14ac:dyDescent="0.3">
      <c r="A1755" s="78" t="s">
        <v>22</v>
      </c>
      <c r="B1755" s="78"/>
      <c r="C1755" s="16">
        <v>46235</v>
      </c>
      <c r="D1755">
        <v>190496.38</v>
      </c>
    </row>
    <row r="1756" spans="1:4" x14ac:dyDescent="0.3">
      <c r="A1756" s="78" t="s">
        <v>23</v>
      </c>
      <c r="B1756" s="78"/>
      <c r="C1756" s="16">
        <v>46235</v>
      </c>
      <c r="D1756">
        <v>88090.37</v>
      </c>
    </row>
    <row r="1757" spans="1:4" x14ac:dyDescent="0.3">
      <c r="A1757" s="78" t="s">
        <v>24</v>
      </c>
      <c r="B1757" s="78"/>
      <c r="C1757" s="16">
        <v>46235</v>
      </c>
      <c r="D1757">
        <v>14580.45</v>
      </c>
    </row>
    <row r="1758" spans="1:4" x14ac:dyDescent="0.3">
      <c r="A1758" s="78" t="s">
        <v>25</v>
      </c>
      <c r="B1758" s="78"/>
      <c r="C1758" s="16">
        <v>46235</v>
      </c>
      <c r="D1758">
        <v>54.400000000000006</v>
      </c>
    </row>
    <row r="1759" spans="1:4" x14ac:dyDescent="0.3">
      <c r="A1759" s="78" t="s">
        <v>26</v>
      </c>
      <c r="B1759" s="78"/>
      <c r="C1759" s="16">
        <v>46235</v>
      </c>
      <c r="D1759">
        <v>2207.8200000000002</v>
      </c>
    </row>
    <row r="1760" spans="1:4" x14ac:dyDescent="0.3">
      <c r="A1760" s="78" t="s">
        <v>27</v>
      </c>
      <c r="B1760" s="78"/>
      <c r="C1760" s="16">
        <v>46235</v>
      </c>
      <c r="D1760">
        <v>1454589.72</v>
      </c>
    </row>
    <row r="1761" spans="1:4" x14ac:dyDescent="0.3">
      <c r="A1761" s="78" t="s">
        <v>28</v>
      </c>
      <c r="B1761" s="78"/>
      <c r="C1761" s="16">
        <v>46235</v>
      </c>
      <c r="D1761">
        <v>1968.99</v>
      </c>
    </row>
    <row r="1762" spans="1:4" x14ac:dyDescent="0.3">
      <c r="A1762" s="78" t="s">
        <v>29</v>
      </c>
      <c r="B1762" s="78"/>
      <c r="C1762" s="16">
        <v>46235</v>
      </c>
      <c r="D1762">
        <v>901.34</v>
      </c>
    </row>
    <row r="1763" spans="1:4" x14ac:dyDescent="0.3">
      <c r="A1763" s="78" t="s">
        <v>30</v>
      </c>
      <c r="B1763" s="78"/>
      <c r="C1763" s="16">
        <v>46235</v>
      </c>
      <c r="D1763">
        <v>1412.08</v>
      </c>
    </row>
    <row r="1764" spans="1:4" x14ac:dyDescent="0.3">
      <c r="A1764" s="78" t="s">
        <v>31</v>
      </c>
      <c r="B1764" s="78"/>
      <c r="C1764" s="16">
        <v>46235</v>
      </c>
      <c r="D1764">
        <v>22347.56999999996</v>
      </c>
    </row>
    <row r="1765" spans="1:4" x14ac:dyDescent="0.3">
      <c r="A1765" s="78" t="s">
        <v>32</v>
      </c>
      <c r="B1765" s="78"/>
      <c r="C1765" s="16">
        <v>46235</v>
      </c>
      <c r="D1765">
        <v>18522.800000000003</v>
      </c>
    </row>
    <row r="1766" spans="1:4" x14ac:dyDescent="0.3">
      <c r="A1766" s="78" t="s">
        <v>33</v>
      </c>
      <c r="B1766" s="78"/>
      <c r="C1766" s="16">
        <v>46235</v>
      </c>
      <c r="D1766">
        <v>28485.559999999998</v>
      </c>
    </row>
    <row r="1767" spans="1:4" x14ac:dyDescent="0.3">
      <c r="A1767" s="78" t="s">
        <v>34</v>
      </c>
      <c r="B1767" s="78"/>
      <c r="C1767" s="16">
        <v>46235</v>
      </c>
      <c r="D1767">
        <v>345</v>
      </c>
    </row>
    <row r="1768" spans="1:4" x14ac:dyDescent="0.3">
      <c r="A1768" s="78" t="s">
        <v>35</v>
      </c>
      <c r="B1768" s="78"/>
      <c r="C1768" s="16">
        <v>46235</v>
      </c>
      <c r="D1768">
        <v>11634.930000000004</v>
      </c>
    </row>
    <row r="1769" spans="1:4" x14ac:dyDescent="0.3">
      <c r="A1769" s="78" t="s">
        <v>17</v>
      </c>
      <c r="B1769" s="78"/>
      <c r="C1769" s="16">
        <v>46236</v>
      </c>
      <c r="D1769">
        <v>2468032.08</v>
      </c>
    </row>
    <row r="1770" spans="1:4" x14ac:dyDescent="0.3">
      <c r="A1770" s="78" t="s">
        <v>18</v>
      </c>
      <c r="B1770" s="78"/>
      <c r="C1770" s="16">
        <v>46236</v>
      </c>
      <c r="D1770">
        <v>83211.250000000175</v>
      </c>
    </row>
    <row r="1771" spans="1:4" x14ac:dyDescent="0.3">
      <c r="A1771" s="78" t="s">
        <v>19</v>
      </c>
      <c r="B1771" s="78"/>
      <c r="C1771" s="16">
        <v>46236</v>
      </c>
      <c r="D1771">
        <v>1669.89</v>
      </c>
    </row>
    <row r="1772" spans="1:4" x14ac:dyDescent="0.3">
      <c r="A1772" s="78" t="s">
        <v>20</v>
      </c>
      <c r="B1772" s="78"/>
      <c r="C1772" s="16">
        <v>46236</v>
      </c>
      <c r="D1772">
        <v>1458426.0399999998</v>
      </c>
    </row>
    <row r="1773" spans="1:4" x14ac:dyDescent="0.3">
      <c r="A1773" s="78" t="s">
        <v>21</v>
      </c>
      <c r="B1773" s="78"/>
      <c r="C1773" s="16">
        <v>46236</v>
      </c>
      <c r="D1773">
        <v>1514477.1199999996</v>
      </c>
    </row>
    <row r="1774" spans="1:4" x14ac:dyDescent="0.3">
      <c r="A1774" s="78" t="s">
        <v>22</v>
      </c>
      <c r="B1774" s="78"/>
      <c r="C1774" s="16">
        <v>46236</v>
      </c>
      <c r="D1774">
        <v>190496.38</v>
      </c>
    </row>
    <row r="1775" spans="1:4" x14ac:dyDescent="0.3">
      <c r="A1775" s="78" t="s">
        <v>23</v>
      </c>
      <c r="B1775" s="78"/>
      <c r="C1775" s="16">
        <v>46236</v>
      </c>
      <c r="D1775">
        <v>88090.37</v>
      </c>
    </row>
    <row r="1776" spans="1:4" x14ac:dyDescent="0.3">
      <c r="A1776" s="78" t="s">
        <v>24</v>
      </c>
      <c r="B1776" s="78"/>
      <c r="C1776" s="16">
        <v>46236</v>
      </c>
      <c r="D1776">
        <v>14580.45</v>
      </c>
    </row>
    <row r="1777" spans="1:4" x14ac:dyDescent="0.3">
      <c r="A1777" s="78" t="s">
        <v>25</v>
      </c>
      <c r="B1777" s="78"/>
      <c r="C1777" s="16">
        <v>46236</v>
      </c>
      <c r="D1777">
        <v>54.400000000000006</v>
      </c>
    </row>
    <row r="1778" spans="1:4" x14ac:dyDescent="0.3">
      <c r="A1778" s="78" t="s">
        <v>26</v>
      </c>
      <c r="B1778" s="78"/>
      <c r="C1778" s="16">
        <v>46236</v>
      </c>
      <c r="D1778">
        <v>2207.8200000000002</v>
      </c>
    </row>
    <row r="1779" spans="1:4" x14ac:dyDescent="0.3">
      <c r="A1779" s="78" t="s">
        <v>27</v>
      </c>
      <c r="B1779" s="78"/>
      <c r="C1779" s="16">
        <v>46236</v>
      </c>
      <c r="D1779">
        <v>1454589.72</v>
      </c>
    </row>
    <row r="1780" spans="1:4" x14ac:dyDescent="0.3">
      <c r="A1780" s="78" t="s">
        <v>28</v>
      </c>
      <c r="B1780" s="78"/>
      <c r="C1780" s="16">
        <v>46236</v>
      </c>
      <c r="D1780">
        <v>1968.99</v>
      </c>
    </row>
    <row r="1781" spans="1:4" x14ac:dyDescent="0.3">
      <c r="A1781" s="78" t="s">
        <v>29</v>
      </c>
      <c r="B1781" s="78"/>
      <c r="C1781" s="16">
        <v>46236</v>
      </c>
      <c r="D1781">
        <v>901.34</v>
      </c>
    </row>
    <row r="1782" spans="1:4" x14ac:dyDescent="0.3">
      <c r="A1782" s="78" t="s">
        <v>30</v>
      </c>
      <c r="B1782" s="78"/>
      <c r="C1782" s="16">
        <v>46236</v>
      </c>
      <c r="D1782">
        <v>1412.08</v>
      </c>
    </row>
    <row r="1783" spans="1:4" x14ac:dyDescent="0.3">
      <c r="A1783" s="78" t="s">
        <v>31</v>
      </c>
      <c r="B1783" s="78"/>
      <c r="C1783" s="16">
        <v>46236</v>
      </c>
      <c r="D1783">
        <v>22347.56999999996</v>
      </c>
    </row>
    <row r="1784" spans="1:4" x14ac:dyDescent="0.3">
      <c r="A1784" s="78" t="s">
        <v>32</v>
      </c>
      <c r="B1784" s="78"/>
      <c r="C1784" s="16">
        <v>46236</v>
      </c>
      <c r="D1784">
        <v>18522.800000000003</v>
      </c>
    </row>
    <row r="1785" spans="1:4" x14ac:dyDescent="0.3">
      <c r="A1785" s="78" t="s">
        <v>33</v>
      </c>
      <c r="B1785" s="78"/>
      <c r="C1785" s="16">
        <v>46236</v>
      </c>
      <c r="D1785">
        <v>28485.559999999998</v>
      </c>
    </row>
    <row r="1786" spans="1:4" x14ac:dyDescent="0.3">
      <c r="A1786" s="78" t="s">
        <v>34</v>
      </c>
      <c r="B1786" s="78"/>
      <c r="C1786" s="16">
        <v>46236</v>
      </c>
      <c r="D1786">
        <v>345</v>
      </c>
    </row>
    <row r="1787" spans="1:4" x14ac:dyDescent="0.3">
      <c r="A1787" s="78" t="s">
        <v>35</v>
      </c>
      <c r="B1787" s="78"/>
      <c r="C1787" s="16">
        <v>46236</v>
      </c>
      <c r="D1787">
        <v>11634.930000000004</v>
      </c>
    </row>
    <row r="1788" spans="1:4" x14ac:dyDescent="0.3">
      <c r="A1788" s="78" t="s">
        <v>17</v>
      </c>
      <c r="B1788" s="78"/>
      <c r="C1788" s="16">
        <v>46237</v>
      </c>
      <c r="D1788">
        <v>2468032.08</v>
      </c>
    </row>
    <row r="1789" spans="1:4" x14ac:dyDescent="0.3">
      <c r="A1789" s="78" t="s">
        <v>18</v>
      </c>
      <c r="B1789" s="78"/>
      <c r="C1789" s="16">
        <v>46237</v>
      </c>
      <c r="D1789">
        <v>83211.250000000175</v>
      </c>
    </row>
    <row r="1790" spans="1:4" x14ac:dyDescent="0.3">
      <c r="A1790" s="78" t="s">
        <v>19</v>
      </c>
      <c r="B1790" s="78"/>
      <c r="C1790" s="16">
        <v>46237</v>
      </c>
      <c r="D1790">
        <v>1669.89</v>
      </c>
    </row>
    <row r="1791" spans="1:4" x14ac:dyDescent="0.3">
      <c r="A1791" s="78" t="s">
        <v>20</v>
      </c>
      <c r="B1791" s="78"/>
      <c r="C1791" s="16">
        <v>46237</v>
      </c>
      <c r="D1791">
        <v>1458426.0399999998</v>
      </c>
    </row>
    <row r="1792" spans="1:4" x14ac:dyDescent="0.3">
      <c r="A1792" s="78" t="s">
        <v>21</v>
      </c>
      <c r="B1792" s="78"/>
      <c r="C1792" s="16">
        <v>46237</v>
      </c>
      <c r="D1792">
        <v>1514477.1199999996</v>
      </c>
    </row>
    <row r="1793" spans="1:4" x14ac:dyDescent="0.3">
      <c r="A1793" s="78" t="s">
        <v>22</v>
      </c>
      <c r="B1793" s="78"/>
      <c r="C1793" s="16">
        <v>46237</v>
      </c>
      <c r="D1793">
        <v>190496.38</v>
      </c>
    </row>
    <row r="1794" spans="1:4" x14ac:dyDescent="0.3">
      <c r="A1794" s="78" t="s">
        <v>23</v>
      </c>
      <c r="B1794" s="78"/>
      <c r="C1794" s="16">
        <v>46237</v>
      </c>
      <c r="D1794">
        <v>88090.37</v>
      </c>
    </row>
    <row r="1795" spans="1:4" x14ac:dyDescent="0.3">
      <c r="A1795" s="78" t="s">
        <v>24</v>
      </c>
      <c r="B1795" s="78"/>
      <c r="C1795" s="16">
        <v>46237</v>
      </c>
      <c r="D1795">
        <v>14580.45</v>
      </c>
    </row>
    <row r="1796" spans="1:4" x14ac:dyDescent="0.3">
      <c r="A1796" s="78" t="s">
        <v>25</v>
      </c>
      <c r="B1796" s="78"/>
      <c r="C1796" s="16">
        <v>46237</v>
      </c>
      <c r="D1796">
        <v>24.450000000000003</v>
      </c>
    </row>
    <row r="1797" spans="1:4" x14ac:dyDescent="0.3">
      <c r="A1797" s="78" t="s">
        <v>26</v>
      </c>
      <c r="B1797" s="78"/>
      <c r="C1797" s="16">
        <v>46237</v>
      </c>
      <c r="D1797">
        <v>2177.87</v>
      </c>
    </row>
    <row r="1798" spans="1:4" x14ac:dyDescent="0.3">
      <c r="A1798" s="78" t="s">
        <v>27</v>
      </c>
      <c r="B1798" s="78"/>
      <c r="C1798" s="16">
        <v>46237</v>
      </c>
      <c r="D1798">
        <v>1454589.72</v>
      </c>
    </row>
    <row r="1799" spans="1:4" x14ac:dyDescent="0.3">
      <c r="A1799" s="78" t="s">
        <v>28</v>
      </c>
      <c r="B1799" s="78"/>
      <c r="C1799" s="16">
        <v>46237</v>
      </c>
      <c r="D1799">
        <v>1968.99</v>
      </c>
    </row>
    <row r="1800" spans="1:4" x14ac:dyDescent="0.3">
      <c r="A1800" s="78" t="s">
        <v>29</v>
      </c>
      <c r="B1800" s="78"/>
      <c r="C1800" s="16">
        <v>46237</v>
      </c>
      <c r="D1800">
        <v>901.34</v>
      </c>
    </row>
    <row r="1801" spans="1:4" x14ac:dyDescent="0.3">
      <c r="A1801" s="78" t="s">
        <v>30</v>
      </c>
      <c r="B1801" s="78"/>
      <c r="C1801" s="16">
        <v>46237</v>
      </c>
      <c r="D1801">
        <v>1396.08</v>
      </c>
    </row>
    <row r="1802" spans="1:4" x14ac:dyDescent="0.3">
      <c r="A1802" s="78" t="s">
        <v>31</v>
      </c>
      <c r="B1802" s="78"/>
      <c r="C1802" s="16">
        <v>46237</v>
      </c>
      <c r="D1802">
        <v>13804.239999999962</v>
      </c>
    </row>
    <row r="1803" spans="1:4" x14ac:dyDescent="0.3">
      <c r="A1803" s="78" t="s">
        <v>32</v>
      </c>
      <c r="B1803" s="78"/>
      <c r="C1803" s="16">
        <v>46237</v>
      </c>
      <c r="D1803">
        <v>8724.1700000000037</v>
      </c>
    </row>
    <row r="1804" spans="1:4" x14ac:dyDescent="0.3">
      <c r="A1804" s="78" t="s">
        <v>33</v>
      </c>
      <c r="B1804" s="78"/>
      <c r="C1804" s="16">
        <v>46237</v>
      </c>
      <c r="D1804">
        <v>15106.099999999997</v>
      </c>
    </row>
    <row r="1805" spans="1:4" x14ac:dyDescent="0.3">
      <c r="A1805" s="78" t="s">
        <v>34</v>
      </c>
      <c r="B1805" s="78"/>
      <c r="C1805" s="16">
        <v>46237</v>
      </c>
      <c r="D1805">
        <v>345</v>
      </c>
    </row>
    <row r="1806" spans="1:4" x14ac:dyDescent="0.3">
      <c r="A1806" s="78" t="s">
        <v>35</v>
      </c>
      <c r="B1806" s="78"/>
      <c r="C1806" s="16">
        <v>46237</v>
      </c>
      <c r="D1806">
        <v>8270.3500000000022</v>
      </c>
    </row>
    <row r="1807" spans="1:4" x14ac:dyDescent="0.3">
      <c r="A1807" s="78" t="s">
        <v>17</v>
      </c>
      <c r="B1807" s="78"/>
      <c r="C1807" s="16">
        <v>46238</v>
      </c>
      <c r="D1807">
        <v>2468032.08</v>
      </c>
    </row>
    <row r="1808" spans="1:4" x14ac:dyDescent="0.3">
      <c r="A1808" s="78" t="s">
        <v>18</v>
      </c>
      <c r="B1808" s="78"/>
      <c r="C1808" s="16">
        <v>46238</v>
      </c>
      <c r="D1808">
        <v>83211.250000000175</v>
      </c>
    </row>
    <row r="1809" spans="1:4" x14ac:dyDescent="0.3">
      <c r="A1809" s="78" t="s">
        <v>19</v>
      </c>
      <c r="B1809" s="78"/>
      <c r="C1809" s="16">
        <v>46238</v>
      </c>
      <c r="D1809">
        <v>1669.89</v>
      </c>
    </row>
    <row r="1810" spans="1:4" x14ac:dyDescent="0.3">
      <c r="A1810" s="78" t="s">
        <v>20</v>
      </c>
      <c r="B1810" s="78"/>
      <c r="C1810" s="16">
        <v>46238</v>
      </c>
      <c r="D1810">
        <v>1458426.0399999998</v>
      </c>
    </row>
    <row r="1811" spans="1:4" x14ac:dyDescent="0.3">
      <c r="A1811" s="78" t="s">
        <v>21</v>
      </c>
      <c r="B1811" s="78"/>
      <c r="C1811" s="16">
        <v>46238</v>
      </c>
      <c r="D1811">
        <v>1513867.4199999995</v>
      </c>
    </row>
    <row r="1812" spans="1:4" x14ac:dyDescent="0.3">
      <c r="A1812" s="78" t="s">
        <v>22</v>
      </c>
      <c r="B1812" s="78"/>
      <c r="C1812" s="16">
        <v>46238</v>
      </c>
      <c r="D1812">
        <v>184496.38</v>
      </c>
    </row>
    <row r="1813" spans="1:4" x14ac:dyDescent="0.3">
      <c r="A1813" s="78" t="s">
        <v>23</v>
      </c>
      <c r="B1813" s="78"/>
      <c r="C1813" s="16">
        <v>46238</v>
      </c>
      <c r="D1813">
        <v>88090.37</v>
      </c>
    </row>
    <row r="1814" spans="1:4" x14ac:dyDescent="0.3">
      <c r="A1814" s="78" t="s">
        <v>24</v>
      </c>
      <c r="B1814" s="78"/>
      <c r="C1814" s="16">
        <v>46238</v>
      </c>
      <c r="D1814">
        <v>14580.45</v>
      </c>
    </row>
    <row r="1815" spans="1:4" x14ac:dyDescent="0.3">
      <c r="A1815" s="78" t="s">
        <v>25</v>
      </c>
      <c r="B1815" s="78"/>
      <c r="C1815" s="16">
        <v>46238</v>
      </c>
      <c r="D1815">
        <v>24.450000000000003</v>
      </c>
    </row>
    <row r="1816" spans="1:4" x14ac:dyDescent="0.3">
      <c r="A1816" s="78" t="s">
        <v>26</v>
      </c>
      <c r="B1816" s="78"/>
      <c r="C1816" s="16">
        <v>46238</v>
      </c>
      <c r="D1816">
        <v>2177.87</v>
      </c>
    </row>
    <row r="1817" spans="1:4" x14ac:dyDescent="0.3">
      <c r="A1817" s="78" t="s">
        <v>27</v>
      </c>
      <c r="B1817" s="78"/>
      <c r="C1817" s="16">
        <v>46238</v>
      </c>
      <c r="D1817">
        <v>1454589.72</v>
      </c>
    </row>
    <row r="1818" spans="1:4" x14ac:dyDescent="0.3">
      <c r="A1818" s="78" t="s">
        <v>28</v>
      </c>
      <c r="B1818" s="78"/>
      <c r="C1818" s="16">
        <v>46238</v>
      </c>
      <c r="D1818">
        <v>1968.99</v>
      </c>
    </row>
    <row r="1819" spans="1:4" x14ac:dyDescent="0.3">
      <c r="A1819" s="78" t="s">
        <v>29</v>
      </c>
      <c r="B1819" s="78"/>
      <c r="C1819" s="16">
        <v>46238</v>
      </c>
      <c r="D1819">
        <v>901.34</v>
      </c>
    </row>
    <row r="1820" spans="1:4" x14ac:dyDescent="0.3">
      <c r="A1820" s="78" t="s">
        <v>30</v>
      </c>
      <c r="B1820" s="78"/>
      <c r="C1820" s="16">
        <v>46238</v>
      </c>
      <c r="D1820">
        <v>1396.08</v>
      </c>
    </row>
    <row r="1821" spans="1:4" x14ac:dyDescent="0.3">
      <c r="A1821" s="78" t="s">
        <v>31</v>
      </c>
      <c r="B1821" s="78"/>
      <c r="C1821" s="16">
        <v>46238</v>
      </c>
      <c r="D1821">
        <v>13804.239999999962</v>
      </c>
    </row>
    <row r="1822" spans="1:4" x14ac:dyDescent="0.3">
      <c r="A1822" s="78" t="s">
        <v>32</v>
      </c>
      <c r="B1822" s="78"/>
      <c r="C1822" s="16">
        <v>46238</v>
      </c>
      <c r="D1822">
        <v>8724.1700000000037</v>
      </c>
    </row>
    <row r="1823" spans="1:4" x14ac:dyDescent="0.3">
      <c r="A1823" s="78" t="s">
        <v>33</v>
      </c>
      <c r="B1823" s="78"/>
      <c r="C1823" s="16">
        <v>46238</v>
      </c>
      <c r="D1823">
        <v>15106.099999999997</v>
      </c>
    </row>
    <row r="1824" spans="1:4" x14ac:dyDescent="0.3">
      <c r="A1824" s="78" t="s">
        <v>34</v>
      </c>
      <c r="B1824" s="78"/>
      <c r="C1824" s="16">
        <v>46238</v>
      </c>
      <c r="D1824">
        <v>345</v>
      </c>
    </row>
    <row r="1825" spans="1:4" x14ac:dyDescent="0.3">
      <c r="A1825" s="78" t="s">
        <v>35</v>
      </c>
      <c r="B1825" s="78"/>
      <c r="C1825" s="16">
        <v>46238</v>
      </c>
      <c r="D1825">
        <v>7879.4200000000019</v>
      </c>
    </row>
    <row r="1826" spans="1:4" x14ac:dyDescent="0.3">
      <c r="A1826" s="78" t="s">
        <v>17</v>
      </c>
      <c r="B1826" s="78"/>
      <c r="C1826" s="16">
        <v>46239</v>
      </c>
      <c r="D1826">
        <v>2468032.08</v>
      </c>
    </row>
    <row r="1827" spans="1:4" x14ac:dyDescent="0.3">
      <c r="A1827" s="78" t="s">
        <v>18</v>
      </c>
      <c r="B1827" s="78"/>
      <c r="C1827" s="16">
        <v>46239</v>
      </c>
      <c r="D1827">
        <v>83211.250000000175</v>
      </c>
    </row>
    <row r="1828" spans="1:4" x14ac:dyDescent="0.3">
      <c r="A1828" s="78" t="s">
        <v>19</v>
      </c>
      <c r="B1828" s="78"/>
      <c r="C1828" s="16">
        <v>46239</v>
      </c>
      <c r="D1828">
        <v>1669.89</v>
      </c>
    </row>
    <row r="1829" spans="1:4" x14ac:dyDescent="0.3">
      <c r="A1829" s="78" t="s">
        <v>20</v>
      </c>
      <c r="B1829" s="78"/>
      <c r="C1829" s="16">
        <v>46239</v>
      </c>
      <c r="D1829">
        <v>1452426.0399999998</v>
      </c>
    </row>
    <row r="1830" spans="1:4" x14ac:dyDescent="0.3">
      <c r="A1830" s="78" t="s">
        <v>21</v>
      </c>
      <c r="B1830" s="78"/>
      <c r="C1830" s="16">
        <v>46239</v>
      </c>
      <c r="D1830">
        <v>1512187.6399999997</v>
      </c>
    </row>
    <row r="1831" spans="1:4" x14ac:dyDescent="0.3">
      <c r="A1831" s="78" t="s">
        <v>22</v>
      </c>
      <c r="B1831" s="78"/>
      <c r="C1831" s="16">
        <v>46239</v>
      </c>
      <c r="D1831">
        <v>184496.38</v>
      </c>
    </row>
    <row r="1832" spans="1:4" x14ac:dyDescent="0.3">
      <c r="A1832" s="78" t="s">
        <v>23</v>
      </c>
      <c r="B1832" s="78"/>
      <c r="C1832" s="16">
        <v>46239</v>
      </c>
      <c r="D1832">
        <v>88090.37</v>
      </c>
    </row>
    <row r="1833" spans="1:4" x14ac:dyDescent="0.3">
      <c r="A1833" s="78" t="s">
        <v>24</v>
      </c>
      <c r="B1833" s="78"/>
      <c r="C1833" s="16">
        <v>46239</v>
      </c>
      <c r="D1833">
        <v>14580.45</v>
      </c>
    </row>
    <row r="1834" spans="1:4" x14ac:dyDescent="0.3">
      <c r="A1834" s="78" t="s">
        <v>25</v>
      </c>
      <c r="B1834" s="78"/>
      <c r="C1834" s="16">
        <v>46239</v>
      </c>
      <c r="D1834">
        <v>24.450000000000003</v>
      </c>
    </row>
    <row r="1835" spans="1:4" x14ac:dyDescent="0.3">
      <c r="A1835" s="78" t="s">
        <v>26</v>
      </c>
      <c r="B1835" s="78"/>
      <c r="C1835" s="16">
        <v>46239</v>
      </c>
      <c r="D1835">
        <v>2177.87</v>
      </c>
    </row>
    <row r="1836" spans="1:4" x14ac:dyDescent="0.3">
      <c r="A1836" s="78" t="s">
        <v>27</v>
      </c>
      <c r="B1836" s="78"/>
      <c r="C1836" s="16">
        <v>46239</v>
      </c>
      <c r="D1836">
        <v>1454589.72</v>
      </c>
    </row>
    <row r="1837" spans="1:4" x14ac:dyDescent="0.3">
      <c r="A1837" s="78" t="s">
        <v>28</v>
      </c>
      <c r="B1837" s="78"/>
      <c r="C1837" s="16">
        <v>46239</v>
      </c>
      <c r="D1837">
        <v>1968.99</v>
      </c>
    </row>
    <row r="1838" spans="1:4" x14ac:dyDescent="0.3">
      <c r="A1838" s="78" t="s">
        <v>29</v>
      </c>
      <c r="B1838" s="78"/>
      <c r="C1838" s="16">
        <v>46239</v>
      </c>
      <c r="D1838">
        <v>901.34</v>
      </c>
    </row>
    <row r="1839" spans="1:4" x14ac:dyDescent="0.3">
      <c r="A1839" s="78" t="s">
        <v>30</v>
      </c>
      <c r="B1839" s="78"/>
      <c r="C1839" s="16">
        <v>46239</v>
      </c>
      <c r="D1839">
        <v>1396.08</v>
      </c>
    </row>
    <row r="1840" spans="1:4" x14ac:dyDescent="0.3">
      <c r="A1840" s="78" t="s">
        <v>31</v>
      </c>
      <c r="B1840" s="78"/>
      <c r="C1840" s="16">
        <v>46239</v>
      </c>
      <c r="D1840">
        <v>13804.239999999962</v>
      </c>
    </row>
    <row r="1841" spans="1:4" x14ac:dyDescent="0.3">
      <c r="A1841" s="78" t="s">
        <v>32</v>
      </c>
      <c r="B1841" s="78"/>
      <c r="C1841" s="16">
        <v>46239</v>
      </c>
      <c r="D1841">
        <v>8724.1700000000037</v>
      </c>
    </row>
    <row r="1842" spans="1:4" x14ac:dyDescent="0.3">
      <c r="A1842" s="78" t="s">
        <v>33</v>
      </c>
      <c r="B1842" s="78"/>
      <c r="C1842" s="16">
        <v>46239</v>
      </c>
      <c r="D1842">
        <v>15106.099999999997</v>
      </c>
    </row>
    <row r="1843" spans="1:4" x14ac:dyDescent="0.3">
      <c r="A1843" s="78" t="s">
        <v>34</v>
      </c>
      <c r="B1843" s="78"/>
      <c r="C1843" s="16">
        <v>46239</v>
      </c>
      <c r="D1843">
        <v>345</v>
      </c>
    </row>
    <row r="1844" spans="1:4" x14ac:dyDescent="0.3">
      <c r="A1844" s="78" t="s">
        <v>35</v>
      </c>
      <c r="B1844" s="78"/>
      <c r="C1844" s="16">
        <v>46239</v>
      </c>
      <c r="D1844">
        <v>7879.4200000000019</v>
      </c>
    </row>
    <row r="1845" spans="1:4" x14ac:dyDescent="0.3">
      <c r="A1845" s="78" t="s">
        <v>17</v>
      </c>
      <c r="B1845" s="78"/>
      <c r="C1845" s="16">
        <v>46240</v>
      </c>
      <c r="D1845">
        <v>1153390.4100000001</v>
      </c>
    </row>
    <row r="1846" spans="1:4" x14ac:dyDescent="0.3">
      <c r="A1846" s="78" t="s">
        <v>18</v>
      </c>
      <c r="B1846" s="78"/>
      <c r="C1846" s="16">
        <v>46240</v>
      </c>
      <c r="D1846">
        <v>83211.250000000175</v>
      </c>
    </row>
    <row r="1847" spans="1:4" x14ac:dyDescent="0.3">
      <c r="A1847" s="78" t="s">
        <v>19</v>
      </c>
      <c r="B1847" s="78"/>
      <c r="C1847" s="16">
        <v>46240</v>
      </c>
      <c r="D1847">
        <v>1669.89</v>
      </c>
    </row>
    <row r="1848" spans="1:4" x14ac:dyDescent="0.3">
      <c r="A1848" s="78" t="s">
        <v>20</v>
      </c>
      <c r="B1848" s="78"/>
      <c r="C1848" s="16">
        <v>46240</v>
      </c>
      <c r="D1848">
        <v>1349451.94</v>
      </c>
    </row>
    <row r="1849" spans="1:4" x14ac:dyDescent="0.3">
      <c r="A1849" s="78" t="s">
        <v>21</v>
      </c>
      <c r="B1849" s="78"/>
      <c r="C1849" s="16">
        <v>46240</v>
      </c>
      <c r="D1849">
        <v>2102073.7899999996</v>
      </c>
    </row>
    <row r="1850" spans="1:4" x14ac:dyDescent="0.3">
      <c r="A1850" s="78" t="s">
        <v>22</v>
      </c>
      <c r="B1850" s="78"/>
      <c r="C1850" s="16">
        <v>46240</v>
      </c>
      <c r="D1850">
        <v>171496.38</v>
      </c>
    </row>
    <row r="1851" spans="1:4" x14ac:dyDescent="0.3">
      <c r="A1851" s="78" t="s">
        <v>23</v>
      </c>
      <c r="B1851" s="78"/>
      <c r="C1851" s="16">
        <v>46240</v>
      </c>
      <c r="D1851">
        <v>88090.37</v>
      </c>
    </row>
    <row r="1852" spans="1:4" x14ac:dyDescent="0.3">
      <c r="A1852" s="78" t="s">
        <v>24</v>
      </c>
      <c r="B1852" s="78"/>
      <c r="C1852" s="16">
        <v>46240</v>
      </c>
      <c r="D1852">
        <v>14580.45</v>
      </c>
    </row>
    <row r="1853" spans="1:4" x14ac:dyDescent="0.3">
      <c r="A1853" s="78" t="s">
        <v>25</v>
      </c>
      <c r="B1853" s="78"/>
      <c r="C1853" s="16">
        <v>46240</v>
      </c>
      <c r="D1853">
        <v>24.450000000000003</v>
      </c>
    </row>
    <row r="1854" spans="1:4" x14ac:dyDescent="0.3">
      <c r="A1854" s="78" t="s">
        <v>26</v>
      </c>
      <c r="B1854" s="78"/>
      <c r="C1854" s="16">
        <v>46240</v>
      </c>
      <c r="D1854">
        <v>2177.87</v>
      </c>
    </row>
    <row r="1855" spans="1:4" x14ac:dyDescent="0.3">
      <c r="A1855" s="78" t="s">
        <v>27</v>
      </c>
      <c r="B1855" s="78"/>
      <c r="C1855" s="16">
        <v>46240</v>
      </c>
      <c r="D1855">
        <v>1454589.72</v>
      </c>
    </row>
    <row r="1856" spans="1:4" x14ac:dyDescent="0.3">
      <c r="A1856" s="78" t="s">
        <v>28</v>
      </c>
      <c r="B1856" s="78"/>
      <c r="C1856" s="16">
        <v>46240</v>
      </c>
      <c r="D1856">
        <v>1968.99</v>
      </c>
    </row>
    <row r="1857" spans="1:4" x14ac:dyDescent="0.3">
      <c r="A1857" s="78" t="s">
        <v>29</v>
      </c>
      <c r="B1857" s="78"/>
      <c r="C1857" s="16">
        <v>46240</v>
      </c>
      <c r="D1857">
        <v>901.34</v>
      </c>
    </row>
    <row r="1858" spans="1:4" x14ac:dyDescent="0.3">
      <c r="A1858" s="78" t="s">
        <v>30</v>
      </c>
      <c r="B1858" s="78"/>
      <c r="C1858" s="16">
        <v>46240</v>
      </c>
      <c r="D1858">
        <v>1396.08</v>
      </c>
    </row>
    <row r="1859" spans="1:4" x14ac:dyDescent="0.3">
      <c r="A1859" s="78" t="s">
        <v>31</v>
      </c>
      <c r="B1859" s="78"/>
      <c r="C1859" s="16">
        <v>46240</v>
      </c>
      <c r="D1859">
        <v>13804.239999999962</v>
      </c>
    </row>
    <row r="1860" spans="1:4" x14ac:dyDescent="0.3">
      <c r="A1860" s="78" t="s">
        <v>32</v>
      </c>
      <c r="B1860" s="78"/>
      <c r="C1860" s="16">
        <v>46240</v>
      </c>
      <c r="D1860">
        <v>8724.1700000000037</v>
      </c>
    </row>
    <row r="1861" spans="1:4" x14ac:dyDescent="0.3">
      <c r="A1861" s="78" t="s">
        <v>33</v>
      </c>
      <c r="B1861" s="78"/>
      <c r="C1861" s="16">
        <v>46240</v>
      </c>
      <c r="D1861">
        <v>15106.099999999997</v>
      </c>
    </row>
    <row r="1862" spans="1:4" x14ac:dyDescent="0.3">
      <c r="A1862" s="78" t="s">
        <v>34</v>
      </c>
      <c r="B1862" s="78"/>
      <c r="C1862" s="16">
        <v>46240</v>
      </c>
      <c r="D1862">
        <v>345</v>
      </c>
    </row>
    <row r="1863" spans="1:4" x14ac:dyDescent="0.3">
      <c r="A1863" s="78" t="s">
        <v>35</v>
      </c>
      <c r="B1863" s="78"/>
      <c r="C1863" s="16">
        <v>46240</v>
      </c>
      <c r="D1863">
        <v>12470.040000000003</v>
      </c>
    </row>
    <row r="1864" spans="1:4" x14ac:dyDescent="0.3">
      <c r="A1864" s="78" t="s">
        <v>17</v>
      </c>
      <c r="B1864" s="78"/>
      <c r="C1864" s="16">
        <v>46241</v>
      </c>
      <c r="D1864">
        <v>1153390.4100000001</v>
      </c>
    </row>
    <row r="1865" spans="1:4" x14ac:dyDescent="0.3">
      <c r="A1865" s="78" t="s">
        <v>18</v>
      </c>
      <c r="B1865" s="78"/>
      <c r="C1865" s="16">
        <v>46241</v>
      </c>
      <c r="D1865">
        <v>83211.250000000175</v>
      </c>
    </row>
    <row r="1866" spans="1:4" x14ac:dyDescent="0.3">
      <c r="A1866" s="78" t="s">
        <v>19</v>
      </c>
      <c r="B1866" s="78"/>
      <c r="C1866" s="16">
        <v>46241</v>
      </c>
      <c r="D1866">
        <v>1669.89</v>
      </c>
    </row>
    <row r="1867" spans="1:4" x14ac:dyDescent="0.3">
      <c r="A1867" s="78" t="s">
        <v>20</v>
      </c>
      <c r="B1867" s="78"/>
      <c r="C1867" s="16">
        <v>46241</v>
      </c>
      <c r="D1867">
        <v>1349451.94</v>
      </c>
    </row>
    <row r="1868" spans="1:4" x14ac:dyDescent="0.3">
      <c r="A1868" s="78" t="s">
        <v>21</v>
      </c>
      <c r="B1868" s="78"/>
      <c r="C1868" s="16">
        <v>46241</v>
      </c>
      <c r="D1868">
        <v>2102073.7899999996</v>
      </c>
    </row>
    <row r="1869" spans="1:4" x14ac:dyDescent="0.3">
      <c r="A1869" s="78" t="s">
        <v>22</v>
      </c>
      <c r="B1869" s="78"/>
      <c r="C1869" s="16">
        <v>46241</v>
      </c>
      <c r="D1869">
        <v>171496.38</v>
      </c>
    </row>
    <row r="1870" spans="1:4" x14ac:dyDescent="0.3">
      <c r="A1870" s="78" t="s">
        <v>23</v>
      </c>
      <c r="B1870" s="78"/>
      <c r="C1870" s="16">
        <v>46241</v>
      </c>
      <c r="D1870">
        <v>88090.37</v>
      </c>
    </row>
    <row r="1871" spans="1:4" x14ac:dyDescent="0.3">
      <c r="A1871" s="78" t="s">
        <v>24</v>
      </c>
      <c r="B1871" s="78"/>
      <c r="C1871" s="16">
        <v>46241</v>
      </c>
      <c r="D1871">
        <v>14580.45</v>
      </c>
    </row>
    <row r="1872" spans="1:4" x14ac:dyDescent="0.3">
      <c r="A1872" s="78" t="s">
        <v>25</v>
      </c>
      <c r="B1872" s="78"/>
      <c r="C1872" s="16">
        <v>46241</v>
      </c>
      <c r="D1872">
        <v>24.450000000000003</v>
      </c>
    </row>
    <row r="1873" spans="1:4" x14ac:dyDescent="0.3">
      <c r="A1873" s="78" t="s">
        <v>26</v>
      </c>
      <c r="B1873" s="78"/>
      <c r="C1873" s="16">
        <v>46241</v>
      </c>
      <c r="D1873">
        <v>2177.87</v>
      </c>
    </row>
    <row r="1874" spans="1:4" x14ac:dyDescent="0.3">
      <c r="A1874" s="78" t="s">
        <v>27</v>
      </c>
      <c r="B1874" s="78"/>
      <c r="C1874" s="16">
        <v>46241</v>
      </c>
      <c r="D1874">
        <v>1454589.72</v>
      </c>
    </row>
    <row r="1875" spans="1:4" x14ac:dyDescent="0.3">
      <c r="A1875" s="78" t="s">
        <v>28</v>
      </c>
      <c r="B1875" s="78"/>
      <c r="C1875" s="16">
        <v>46241</v>
      </c>
      <c r="D1875">
        <v>1968.99</v>
      </c>
    </row>
    <row r="1876" spans="1:4" x14ac:dyDescent="0.3">
      <c r="A1876" s="78" t="s">
        <v>29</v>
      </c>
      <c r="B1876" s="78"/>
      <c r="C1876" s="16">
        <v>46241</v>
      </c>
      <c r="D1876">
        <v>901.34</v>
      </c>
    </row>
    <row r="1877" spans="1:4" x14ac:dyDescent="0.3">
      <c r="A1877" s="78" t="s">
        <v>30</v>
      </c>
      <c r="B1877" s="78"/>
      <c r="C1877" s="16">
        <v>46241</v>
      </c>
      <c r="D1877">
        <v>1396.08</v>
      </c>
    </row>
    <row r="1878" spans="1:4" x14ac:dyDescent="0.3">
      <c r="A1878" s="78" t="s">
        <v>31</v>
      </c>
      <c r="B1878" s="78"/>
      <c r="C1878" s="16">
        <v>46241</v>
      </c>
      <c r="D1878">
        <v>11259.639999999961</v>
      </c>
    </row>
    <row r="1879" spans="1:4" x14ac:dyDescent="0.3">
      <c r="A1879" s="78" t="s">
        <v>32</v>
      </c>
      <c r="B1879" s="78"/>
      <c r="C1879" s="16">
        <v>46241</v>
      </c>
      <c r="D1879">
        <v>8724.1700000000037</v>
      </c>
    </row>
    <row r="1880" spans="1:4" x14ac:dyDescent="0.3">
      <c r="A1880" s="78" t="s">
        <v>33</v>
      </c>
      <c r="B1880" s="78"/>
      <c r="C1880" s="16">
        <v>46241</v>
      </c>
      <c r="D1880">
        <v>20106.099999999999</v>
      </c>
    </row>
    <row r="1881" spans="1:4" x14ac:dyDescent="0.3">
      <c r="A1881" s="78" t="s">
        <v>34</v>
      </c>
      <c r="B1881" s="78"/>
      <c r="C1881" s="16">
        <v>46241</v>
      </c>
      <c r="D1881">
        <v>345</v>
      </c>
    </row>
    <row r="1882" spans="1:4" x14ac:dyDescent="0.3">
      <c r="A1882" s="78" t="s">
        <v>35</v>
      </c>
      <c r="B1882" s="78"/>
      <c r="C1882" s="16">
        <v>46241</v>
      </c>
      <c r="D1882">
        <v>12470.040000000003</v>
      </c>
    </row>
    <row r="1883" spans="1:4" x14ac:dyDescent="0.3">
      <c r="A1883" s="78" t="s">
        <v>17</v>
      </c>
      <c r="B1883" s="78"/>
      <c r="C1883" s="16">
        <v>46242</v>
      </c>
      <c r="D1883">
        <v>1153390.4100000001</v>
      </c>
    </row>
    <row r="1884" spans="1:4" x14ac:dyDescent="0.3">
      <c r="A1884" s="78" t="s">
        <v>18</v>
      </c>
      <c r="B1884" s="78"/>
      <c r="C1884" s="16">
        <v>46242</v>
      </c>
      <c r="D1884">
        <v>83211.250000000175</v>
      </c>
    </row>
    <row r="1885" spans="1:4" x14ac:dyDescent="0.3">
      <c r="A1885" s="78" t="s">
        <v>19</v>
      </c>
      <c r="B1885" s="78"/>
      <c r="C1885" s="16">
        <v>46242</v>
      </c>
      <c r="D1885">
        <v>1669.89</v>
      </c>
    </row>
    <row r="1886" spans="1:4" x14ac:dyDescent="0.3">
      <c r="A1886" s="78" t="s">
        <v>20</v>
      </c>
      <c r="B1886" s="78"/>
      <c r="C1886" s="16">
        <v>46242</v>
      </c>
      <c r="D1886">
        <v>1349451.94</v>
      </c>
    </row>
    <row r="1887" spans="1:4" x14ac:dyDescent="0.3">
      <c r="A1887" s="78" t="s">
        <v>21</v>
      </c>
      <c r="B1887" s="78"/>
      <c r="C1887" s="16">
        <v>46242</v>
      </c>
      <c r="D1887">
        <v>2102073.7899999996</v>
      </c>
    </row>
    <row r="1888" spans="1:4" x14ac:dyDescent="0.3">
      <c r="A1888" s="78" t="s">
        <v>22</v>
      </c>
      <c r="B1888" s="78"/>
      <c r="C1888" s="16">
        <v>46242</v>
      </c>
      <c r="D1888">
        <v>171496.38</v>
      </c>
    </row>
    <row r="1889" spans="1:4" x14ac:dyDescent="0.3">
      <c r="A1889" s="78" t="s">
        <v>23</v>
      </c>
      <c r="B1889" s="78"/>
      <c r="C1889" s="16">
        <v>46242</v>
      </c>
      <c r="D1889">
        <v>88090.37</v>
      </c>
    </row>
    <row r="1890" spans="1:4" x14ac:dyDescent="0.3">
      <c r="A1890" s="78" t="s">
        <v>24</v>
      </c>
      <c r="B1890" s="78"/>
      <c r="C1890" s="16">
        <v>46242</v>
      </c>
      <c r="D1890">
        <v>14580.45</v>
      </c>
    </row>
    <row r="1891" spans="1:4" x14ac:dyDescent="0.3">
      <c r="A1891" s="78" t="s">
        <v>25</v>
      </c>
      <c r="B1891" s="78"/>
      <c r="C1891" s="16">
        <v>46242</v>
      </c>
      <c r="D1891">
        <v>24.450000000000003</v>
      </c>
    </row>
    <row r="1892" spans="1:4" x14ac:dyDescent="0.3">
      <c r="A1892" s="78" t="s">
        <v>26</v>
      </c>
      <c r="B1892" s="78"/>
      <c r="C1892" s="16">
        <v>46242</v>
      </c>
      <c r="D1892">
        <v>2177.87</v>
      </c>
    </row>
    <row r="1893" spans="1:4" x14ac:dyDescent="0.3">
      <c r="A1893" s="78" t="s">
        <v>27</v>
      </c>
      <c r="B1893" s="78"/>
      <c r="C1893" s="16">
        <v>46242</v>
      </c>
      <c r="D1893">
        <v>1454589.72</v>
      </c>
    </row>
    <row r="1894" spans="1:4" x14ac:dyDescent="0.3">
      <c r="A1894" s="78" t="s">
        <v>28</v>
      </c>
      <c r="B1894" s="78"/>
      <c r="C1894" s="16">
        <v>46242</v>
      </c>
      <c r="D1894">
        <v>1968.99</v>
      </c>
    </row>
    <row r="1895" spans="1:4" x14ac:dyDescent="0.3">
      <c r="A1895" s="78" t="s">
        <v>29</v>
      </c>
      <c r="B1895" s="78"/>
      <c r="C1895" s="16">
        <v>46242</v>
      </c>
      <c r="D1895">
        <v>901.34</v>
      </c>
    </row>
    <row r="1896" spans="1:4" x14ac:dyDescent="0.3">
      <c r="A1896" s="78" t="s">
        <v>30</v>
      </c>
      <c r="B1896" s="78"/>
      <c r="C1896" s="16">
        <v>46242</v>
      </c>
      <c r="D1896">
        <v>1396.08</v>
      </c>
    </row>
    <row r="1897" spans="1:4" x14ac:dyDescent="0.3">
      <c r="A1897" s="78" t="s">
        <v>31</v>
      </c>
      <c r="B1897" s="78"/>
      <c r="C1897" s="16">
        <v>46242</v>
      </c>
      <c r="D1897">
        <v>11259.639999999961</v>
      </c>
    </row>
    <row r="1898" spans="1:4" x14ac:dyDescent="0.3">
      <c r="A1898" s="78" t="s">
        <v>32</v>
      </c>
      <c r="B1898" s="78"/>
      <c r="C1898" s="16">
        <v>46242</v>
      </c>
      <c r="D1898">
        <v>8724.1700000000037</v>
      </c>
    </row>
    <row r="1899" spans="1:4" x14ac:dyDescent="0.3">
      <c r="A1899" s="78" t="s">
        <v>33</v>
      </c>
      <c r="B1899" s="78"/>
      <c r="C1899" s="16">
        <v>46242</v>
      </c>
      <c r="D1899">
        <v>20106.099999999999</v>
      </c>
    </row>
    <row r="1900" spans="1:4" x14ac:dyDescent="0.3">
      <c r="A1900" s="78" t="s">
        <v>34</v>
      </c>
      <c r="B1900" s="78"/>
      <c r="C1900" s="16">
        <v>46242</v>
      </c>
      <c r="D1900">
        <v>345</v>
      </c>
    </row>
    <row r="1901" spans="1:4" x14ac:dyDescent="0.3">
      <c r="A1901" s="78" t="s">
        <v>35</v>
      </c>
      <c r="B1901" s="78"/>
      <c r="C1901" s="16">
        <v>46242</v>
      </c>
      <c r="D1901">
        <v>12470.040000000003</v>
      </c>
    </row>
    <row r="1902" spans="1:4" x14ac:dyDescent="0.3">
      <c r="A1902" s="78" t="s">
        <v>17</v>
      </c>
      <c r="B1902" s="78"/>
      <c r="C1902" s="16">
        <v>46243</v>
      </c>
      <c r="D1902">
        <v>1153390.4100000001</v>
      </c>
    </row>
    <row r="1903" spans="1:4" x14ac:dyDescent="0.3">
      <c r="A1903" s="78" t="s">
        <v>18</v>
      </c>
      <c r="B1903" s="78"/>
      <c r="C1903" s="16">
        <v>46243</v>
      </c>
      <c r="D1903">
        <v>83211.250000000175</v>
      </c>
    </row>
    <row r="1904" spans="1:4" x14ac:dyDescent="0.3">
      <c r="A1904" s="78" t="s">
        <v>19</v>
      </c>
      <c r="B1904" s="78"/>
      <c r="C1904" s="16">
        <v>46243</v>
      </c>
      <c r="D1904">
        <v>1669.89</v>
      </c>
    </row>
    <row r="1905" spans="1:4" x14ac:dyDescent="0.3">
      <c r="A1905" s="78" t="s">
        <v>20</v>
      </c>
      <c r="B1905" s="78"/>
      <c r="C1905" s="16">
        <v>46243</v>
      </c>
      <c r="D1905">
        <v>1349451.94</v>
      </c>
    </row>
    <row r="1906" spans="1:4" x14ac:dyDescent="0.3">
      <c r="A1906" s="78" t="s">
        <v>21</v>
      </c>
      <c r="B1906" s="78"/>
      <c r="C1906" s="16">
        <v>46243</v>
      </c>
      <c r="D1906">
        <v>2102073.7899999996</v>
      </c>
    </row>
    <row r="1907" spans="1:4" x14ac:dyDescent="0.3">
      <c r="A1907" s="78" t="s">
        <v>22</v>
      </c>
      <c r="B1907" s="78"/>
      <c r="C1907" s="16">
        <v>46243</v>
      </c>
      <c r="D1907">
        <v>171496.38</v>
      </c>
    </row>
    <row r="1908" spans="1:4" x14ac:dyDescent="0.3">
      <c r="A1908" s="78" t="s">
        <v>23</v>
      </c>
      <c r="B1908" s="78"/>
      <c r="C1908" s="16">
        <v>46243</v>
      </c>
      <c r="D1908">
        <v>88090.37</v>
      </c>
    </row>
    <row r="1909" spans="1:4" x14ac:dyDescent="0.3">
      <c r="A1909" s="78" t="s">
        <v>24</v>
      </c>
      <c r="B1909" s="78"/>
      <c r="C1909" s="16">
        <v>46243</v>
      </c>
      <c r="D1909">
        <v>14580.45</v>
      </c>
    </row>
    <row r="1910" spans="1:4" x14ac:dyDescent="0.3">
      <c r="A1910" s="78" t="s">
        <v>25</v>
      </c>
      <c r="B1910" s="78"/>
      <c r="C1910" s="16">
        <v>46243</v>
      </c>
      <c r="D1910">
        <v>24.450000000000003</v>
      </c>
    </row>
    <row r="1911" spans="1:4" x14ac:dyDescent="0.3">
      <c r="A1911" s="78" t="s">
        <v>26</v>
      </c>
      <c r="B1911" s="78"/>
      <c r="C1911" s="16">
        <v>46243</v>
      </c>
      <c r="D1911">
        <v>2177.87</v>
      </c>
    </row>
    <row r="1912" spans="1:4" x14ac:dyDescent="0.3">
      <c r="A1912" s="78" t="s">
        <v>27</v>
      </c>
      <c r="B1912" s="78"/>
      <c r="C1912" s="16">
        <v>46243</v>
      </c>
      <c r="D1912">
        <v>1454589.72</v>
      </c>
    </row>
    <row r="1913" spans="1:4" x14ac:dyDescent="0.3">
      <c r="A1913" s="78" t="s">
        <v>28</v>
      </c>
      <c r="B1913" s="78"/>
      <c r="C1913" s="16">
        <v>46243</v>
      </c>
      <c r="D1913">
        <v>1968.99</v>
      </c>
    </row>
    <row r="1914" spans="1:4" x14ac:dyDescent="0.3">
      <c r="A1914" s="78" t="s">
        <v>29</v>
      </c>
      <c r="B1914" s="78"/>
      <c r="C1914" s="16">
        <v>46243</v>
      </c>
      <c r="D1914">
        <v>901.34</v>
      </c>
    </row>
    <row r="1915" spans="1:4" x14ac:dyDescent="0.3">
      <c r="A1915" s="78" t="s">
        <v>30</v>
      </c>
      <c r="B1915" s="78"/>
      <c r="C1915" s="16">
        <v>46243</v>
      </c>
      <c r="D1915">
        <v>1396.08</v>
      </c>
    </row>
    <row r="1916" spans="1:4" x14ac:dyDescent="0.3">
      <c r="A1916" s="78" t="s">
        <v>31</v>
      </c>
      <c r="B1916" s="78"/>
      <c r="C1916" s="16">
        <v>46243</v>
      </c>
      <c r="D1916">
        <v>11259.639999999961</v>
      </c>
    </row>
    <row r="1917" spans="1:4" x14ac:dyDescent="0.3">
      <c r="A1917" s="78" t="s">
        <v>32</v>
      </c>
      <c r="B1917" s="78"/>
      <c r="C1917" s="16">
        <v>46243</v>
      </c>
      <c r="D1917">
        <v>8724.1700000000037</v>
      </c>
    </row>
    <row r="1918" spans="1:4" x14ac:dyDescent="0.3">
      <c r="A1918" s="78" t="s">
        <v>33</v>
      </c>
      <c r="B1918" s="78"/>
      <c r="C1918" s="16">
        <v>46243</v>
      </c>
      <c r="D1918">
        <v>20106.099999999999</v>
      </c>
    </row>
    <row r="1919" spans="1:4" x14ac:dyDescent="0.3">
      <c r="A1919" s="78" t="s">
        <v>34</v>
      </c>
      <c r="B1919" s="78"/>
      <c r="C1919" s="16">
        <v>46243</v>
      </c>
      <c r="D1919">
        <v>345</v>
      </c>
    </row>
    <row r="1920" spans="1:4" x14ac:dyDescent="0.3">
      <c r="A1920" s="78" t="s">
        <v>35</v>
      </c>
      <c r="B1920" s="78"/>
      <c r="C1920" s="16">
        <v>46243</v>
      </c>
      <c r="D1920">
        <v>12470.040000000003</v>
      </c>
    </row>
    <row r="1921" spans="1:4" x14ac:dyDescent="0.3">
      <c r="A1921" s="78" t="s">
        <v>17</v>
      </c>
      <c r="B1921" s="78"/>
      <c r="C1921" s="16">
        <v>46244</v>
      </c>
      <c r="D1921">
        <v>1260076.9800000002</v>
      </c>
    </row>
    <row r="1922" spans="1:4" x14ac:dyDescent="0.3">
      <c r="A1922" s="78" t="s">
        <v>18</v>
      </c>
      <c r="B1922" s="78"/>
      <c r="C1922" s="16">
        <v>46244</v>
      </c>
      <c r="D1922">
        <v>83211.250000000175</v>
      </c>
    </row>
    <row r="1923" spans="1:4" x14ac:dyDescent="0.3">
      <c r="A1923" s="78" t="s">
        <v>19</v>
      </c>
      <c r="B1923" s="78"/>
      <c r="C1923" s="16">
        <v>46244</v>
      </c>
      <c r="D1923">
        <v>1669.89</v>
      </c>
    </row>
    <row r="1924" spans="1:4" x14ac:dyDescent="0.3">
      <c r="A1924" s="78" t="s">
        <v>20</v>
      </c>
      <c r="B1924" s="78"/>
      <c r="C1924" s="16">
        <v>46244</v>
      </c>
      <c r="D1924">
        <v>1349451.94</v>
      </c>
    </row>
    <row r="1925" spans="1:4" x14ac:dyDescent="0.3">
      <c r="A1925" s="78" t="s">
        <v>21</v>
      </c>
      <c r="B1925" s="78"/>
      <c r="C1925" s="16">
        <v>46244</v>
      </c>
      <c r="D1925">
        <v>2098801.8999999994</v>
      </c>
    </row>
    <row r="1926" spans="1:4" x14ac:dyDescent="0.3">
      <c r="A1926" s="78" t="s">
        <v>22</v>
      </c>
      <c r="B1926" s="78"/>
      <c r="C1926" s="16">
        <v>46244</v>
      </c>
      <c r="D1926">
        <v>171496.38</v>
      </c>
    </row>
    <row r="1927" spans="1:4" x14ac:dyDescent="0.3">
      <c r="A1927" s="78" t="s">
        <v>23</v>
      </c>
      <c r="B1927" s="78"/>
      <c r="C1927" s="16">
        <v>46244</v>
      </c>
      <c r="D1927">
        <v>88090.37</v>
      </c>
    </row>
    <row r="1928" spans="1:4" x14ac:dyDescent="0.3">
      <c r="A1928" s="78" t="s">
        <v>24</v>
      </c>
      <c r="B1928" s="78"/>
      <c r="C1928" s="16">
        <v>46244</v>
      </c>
      <c r="D1928">
        <v>14580.45</v>
      </c>
    </row>
    <row r="1929" spans="1:4" x14ac:dyDescent="0.3">
      <c r="A1929" s="78" t="s">
        <v>25</v>
      </c>
      <c r="B1929" s="78"/>
      <c r="C1929" s="16">
        <v>46244</v>
      </c>
      <c r="D1929">
        <v>24.450000000000003</v>
      </c>
    </row>
    <row r="1930" spans="1:4" x14ac:dyDescent="0.3">
      <c r="A1930" s="78" t="s">
        <v>26</v>
      </c>
      <c r="B1930" s="78"/>
      <c r="C1930" s="16">
        <v>46244</v>
      </c>
      <c r="D1930">
        <v>2177.87</v>
      </c>
    </row>
    <row r="1931" spans="1:4" x14ac:dyDescent="0.3">
      <c r="A1931" s="78" t="s">
        <v>27</v>
      </c>
      <c r="B1931" s="78"/>
      <c r="C1931" s="16">
        <v>46244</v>
      </c>
      <c r="D1931">
        <v>1454589.72</v>
      </c>
    </row>
    <row r="1932" spans="1:4" x14ac:dyDescent="0.3">
      <c r="A1932" s="78" t="s">
        <v>28</v>
      </c>
      <c r="B1932" s="78"/>
      <c r="C1932" s="16">
        <v>46244</v>
      </c>
      <c r="D1932">
        <v>1968.99</v>
      </c>
    </row>
    <row r="1933" spans="1:4" x14ac:dyDescent="0.3">
      <c r="A1933" s="78" t="s">
        <v>29</v>
      </c>
      <c r="B1933" s="78"/>
      <c r="C1933" s="16">
        <v>46244</v>
      </c>
      <c r="D1933">
        <v>901.34</v>
      </c>
    </row>
    <row r="1934" spans="1:4" x14ac:dyDescent="0.3">
      <c r="A1934" s="78" t="s">
        <v>30</v>
      </c>
      <c r="B1934" s="78"/>
      <c r="C1934" s="16">
        <v>46244</v>
      </c>
      <c r="D1934">
        <v>1396.08</v>
      </c>
    </row>
    <row r="1935" spans="1:4" x14ac:dyDescent="0.3">
      <c r="A1935" s="78" t="s">
        <v>31</v>
      </c>
      <c r="B1935" s="78"/>
      <c r="C1935" s="16">
        <v>46244</v>
      </c>
      <c r="D1935">
        <v>3700.7099999999591</v>
      </c>
    </row>
    <row r="1936" spans="1:4" x14ac:dyDescent="0.3">
      <c r="A1936" s="78" t="s">
        <v>32</v>
      </c>
      <c r="B1936" s="78"/>
      <c r="C1936" s="16">
        <v>46244</v>
      </c>
      <c r="D1936">
        <v>8724.1700000000037</v>
      </c>
    </row>
    <row r="1937" spans="1:4" x14ac:dyDescent="0.3">
      <c r="A1937" s="78" t="s">
        <v>33</v>
      </c>
      <c r="B1937" s="78"/>
      <c r="C1937" s="16">
        <v>46244</v>
      </c>
      <c r="D1937">
        <v>20106.099999999999</v>
      </c>
    </row>
    <row r="1938" spans="1:4" x14ac:dyDescent="0.3">
      <c r="A1938" s="78" t="s">
        <v>34</v>
      </c>
      <c r="B1938" s="78"/>
      <c r="C1938" s="16">
        <v>46244</v>
      </c>
      <c r="D1938">
        <v>345</v>
      </c>
    </row>
    <row r="1939" spans="1:4" x14ac:dyDescent="0.3">
      <c r="A1939" s="78" t="s">
        <v>35</v>
      </c>
      <c r="B1939" s="78"/>
      <c r="C1939" s="16">
        <v>46244</v>
      </c>
      <c r="D1939">
        <v>12470.040000000003</v>
      </c>
    </row>
    <row r="1940" spans="1:4" x14ac:dyDescent="0.3">
      <c r="A1940" s="78" t="s">
        <v>17</v>
      </c>
      <c r="B1940" s="78"/>
      <c r="C1940" s="16">
        <v>46245</v>
      </c>
      <c r="D1940">
        <v>1260076.9800000002</v>
      </c>
    </row>
    <row r="1941" spans="1:4" x14ac:dyDescent="0.3">
      <c r="A1941" s="78" t="s">
        <v>18</v>
      </c>
      <c r="B1941" s="78"/>
      <c r="C1941" s="16">
        <v>46245</v>
      </c>
      <c r="D1941">
        <v>83211.250000000175</v>
      </c>
    </row>
    <row r="1942" spans="1:4" x14ac:dyDescent="0.3">
      <c r="A1942" s="78" t="s">
        <v>19</v>
      </c>
      <c r="B1942" s="78"/>
      <c r="C1942" s="16">
        <v>46245</v>
      </c>
      <c r="D1942">
        <v>1669.89</v>
      </c>
    </row>
    <row r="1943" spans="1:4" x14ac:dyDescent="0.3">
      <c r="A1943" s="78" t="s">
        <v>20</v>
      </c>
      <c r="B1943" s="78"/>
      <c r="C1943" s="16">
        <v>46245</v>
      </c>
      <c r="D1943">
        <v>1349451.94</v>
      </c>
    </row>
    <row r="1944" spans="1:4" x14ac:dyDescent="0.3">
      <c r="A1944" s="78" t="s">
        <v>21</v>
      </c>
      <c r="B1944" s="78"/>
      <c r="C1944" s="16">
        <v>46245</v>
      </c>
      <c r="D1944">
        <v>1622920.8199999996</v>
      </c>
    </row>
    <row r="1945" spans="1:4" x14ac:dyDescent="0.3">
      <c r="A1945" s="78" t="s">
        <v>22</v>
      </c>
      <c r="B1945" s="78"/>
      <c r="C1945" s="16">
        <v>46245</v>
      </c>
      <c r="D1945">
        <v>171496.38</v>
      </c>
    </row>
    <row r="1946" spans="1:4" x14ac:dyDescent="0.3">
      <c r="A1946" s="78" t="s">
        <v>23</v>
      </c>
      <c r="B1946" s="78"/>
      <c r="C1946" s="16">
        <v>46245</v>
      </c>
      <c r="D1946">
        <v>88090.37</v>
      </c>
    </row>
    <row r="1947" spans="1:4" x14ac:dyDescent="0.3">
      <c r="A1947" s="78" t="s">
        <v>24</v>
      </c>
      <c r="B1947" s="78"/>
      <c r="C1947" s="16">
        <v>46245</v>
      </c>
      <c r="D1947">
        <v>14580.45</v>
      </c>
    </row>
    <row r="1948" spans="1:4" x14ac:dyDescent="0.3">
      <c r="A1948" s="78" t="s">
        <v>25</v>
      </c>
      <c r="B1948" s="78"/>
      <c r="C1948" s="16">
        <v>46245</v>
      </c>
      <c r="D1948">
        <v>24.450000000000003</v>
      </c>
    </row>
    <row r="1949" spans="1:4" x14ac:dyDescent="0.3">
      <c r="A1949" s="78" t="s">
        <v>26</v>
      </c>
      <c r="B1949" s="78"/>
      <c r="C1949" s="16">
        <v>46245</v>
      </c>
      <c r="D1949">
        <v>2177.87</v>
      </c>
    </row>
    <row r="1950" spans="1:4" x14ac:dyDescent="0.3">
      <c r="A1950" s="78" t="s">
        <v>27</v>
      </c>
      <c r="B1950" s="78"/>
      <c r="C1950" s="16">
        <v>46245</v>
      </c>
      <c r="D1950">
        <v>1454589.72</v>
      </c>
    </row>
    <row r="1951" spans="1:4" x14ac:dyDescent="0.3">
      <c r="A1951" s="78" t="s">
        <v>28</v>
      </c>
      <c r="B1951" s="78"/>
      <c r="C1951" s="16">
        <v>46245</v>
      </c>
      <c r="D1951">
        <v>1968.99</v>
      </c>
    </row>
    <row r="1952" spans="1:4" x14ac:dyDescent="0.3">
      <c r="A1952" s="78" t="s">
        <v>29</v>
      </c>
      <c r="B1952" s="78"/>
      <c r="C1952" s="16">
        <v>46245</v>
      </c>
      <c r="D1952">
        <v>901.34</v>
      </c>
    </row>
    <row r="1953" spans="1:4" x14ac:dyDescent="0.3">
      <c r="A1953" s="78" t="s">
        <v>30</v>
      </c>
      <c r="B1953" s="78"/>
      <c r="C1953" s="16">
        <v>46245</v>
      </c>
      <c r="D1953">
        <v>1396.08</v>
      </c>
    </row>
    <row r="1954" spans="1:4" x14ac:dyDescent="0.3">
      <c r="A1954" s="78" t="s">
        <v>31</v>
      </c>
      <c r="B1954" s="78"/>
      <c r="C1954" s="16">
        <v>46245</v>
      </c>
      <c r="D1954">
        <v>3700.7099999999591</v>
      </c>
    </row>
    <row r="1955" spans="1:4" x14ac:dyDescent="0.3">
      <c r="A1955" s="78" t="s">
        <v>32</v>
      </c>
      <c r="B1955" s="78"/>
      <c r="C1955" s="16">
        <v>46245</v>
      </c>
      <c r="D1955">
        <v>8724.1700000000037</v>
      </c>
    </row>
    <row r="1956" spans="1:4" x14ac:dyDescent="0.3">
      <c r="A1956" s="78" t="s">
        <v>33</v>
      </c>
      <c r="B1956" s="78"/>
      <c r="C1956" s="16">
        <v>46245</v>
      </c>
      <c r="D1956">
        <v>19442.439999999995</v>
      </c>
    </row>
    <row r="1957" spans="1:4" x14ac:dyDescent="0.3">
      <c r="A1957" s="78" t="s">
        <v>34</v>
      </c>
      <c r="B1957" s="78"/>
      <c r="C1957" s="16">
        <v>46245</v>
      </c>
      <c r="D1957">
        <v>345</v>
      </c>
    </row>
    <row r="1958" spans="1:4" x14ac:dyDescent="0.3">
      <c r="A1958" s="78" t="s">
        <v>35</v>
      </c>
      <c r="B1958" s="78"/>
      <c r="C1958" s="16">
        <v>46245</v>
      </c>
      <c r="D1958">
        <v>12470.040000000003</v>
      </c>
    </row>
    <row r="1959" spans="1:4" x14ac:dyDescent="0.3">
      <c r="A1959" s="78" t="s">
        <v>17</v>
      </c>
      <c r="B1959" s="78"/>
      <c r="C1959" s="16">
        <v>46246</v>
      </c>
      <c r="D1959">
        <v>1260076.9800000002</v>
      </c>
    </row>
    <row r="1960" spans="1:4" x14ac:dyDescent="0.3">
      <c r="A1960" s="78" t="s">
        <v>18</v>
      </c>
      <c r="B1960" s="78"/>
      <c r="C1960" s="16">
        <v>46246</v>
      </c>
      <c r="D1960">
        <v>83211.250000000175</v>
      </c>
    </row>
    <row r="1961" spans="1:4" x14ac:dyDescent="0.3">
      <c r="A1961" s="78" t="s">
        <v>19</v>
      </c>
      <c r="B1961" s="78"/>
      <c r="C1961" s="16">
        <v>46246</v>
      </c>
      <c r="D1961">
        <v>1669.89</v>
      </c>
    </row>
    <row r="1962" spans="1:4" x14ac:dyDescent="0.3">
      <c r="A1962" s="78" t="s">
        <v>20</v>
      </c>
      <c r="B1962" s="78"/>
      <c r="C1962" s="16">
        <v>46246</v>
      </c>
      <c r="D1962">
        <v>1349451.94</v>
      </c>
    </row>
    <row r="1963" spans="1:4" x14ac:dyDescent="0.3">
      <c r="A1963" s="78" t="s">
        <v>21</v>
      </c>
      <c r="B1963" s="78"/>
      <c r="C1963" s="16">
        <v>46246</v>
      </c>
      <c r="D1963">
        <v>1622914.8199999996</v>
      </c>
    </row>
    <row r="1964" spans="1:4" x14ac:dyDescent="0.3">
      <c r="A1964" s="78" t="s">
        <v>22</v>
      </c>
      <c r="B1964" s="78"/>
      <c r="C1964" s="16">
        <v>46246</v>
      </c>
      <c r="D1964">
        <v>731496.38</v>
      </c>
    </row>
    <row r="1965" spans="1:4" x14ac:dyDescent="0.3">
      <c r="A1965" s="78" t="s">
        <v>23</v>
      </c>
      <c r="B1965" s="78"/>
      <c r="C1965" s="16">
        <v>46246</v>
      </c>
      <c r="D1965">
        <v>158090.37</v>
      </c>
    </row>
    <row r="1966" spans="1:4" x14ac:dyDescent="0.3">
      <c r="A1966" s="78" t="s">
        <v>24</v>
      </c>
      <c r="B1966" s="78"/>
      <c r="C1966" s="16">
        <v>46246</v>
      </c>
      <c r="D1966">
        <v>14580.45</v>
      </c>
    </row>
    <row r="1967" spans="1:4" x14ac:dyDescent="0.3">
      <c r="A1967" s="78" t="s">
        <v>25</v>
      </c>
      <c r="B1967" s="78"/>
      <c r="C1967" s="16">
        <v>46246</v>
      </c>
      <c r="D1967">
        <v>24.450000000000003</v>
      </c>
    </row>
    <row r="1968" spans="1:4" x14ac:dyDescent="0.3">
      <c r="A1968" s="78" t="s">
        <v>26</v>
      </c>
      <c r="B1968" s="78"/>
      <c r="C1968" s="16">
        <v>46246</v>
      </c>
      <c r="D1968">
        <v>2177.87</v>
      </c>
    </row>
    <row r="1969" spans="1:4" x14ac:dyDescent="0.3">
      <c r="A1969" s="78" t="s">
        <v>27</v>
      </c>
      <c r="B1969" s="78"/>
      <c r="C1969" s="16">
        <v>46246</v>
      </c>
      <c r="D1969">
        <v>754589.72</v>
      </c>
    </row>
    <row r="1970" spans="1:4" x14ac:dyDescent="0.3">
      <c r="A1970" s="78" t="s">
        <v>28</v>
      </c>
      <c r="B1970" s="78"/>
      <c r="C1970" s="16">
        <v>46246</v>
      </c>
      <c r="D1970">
        <v>1968.99</v>
      </c>
    </row>
    <row r="1971" spans="1:4" x14ac:dyDescent="0.3">
      <c r="A1971" s="78" t="s">
        <v>29</v>
      </c>
      <c r="B1971" s="78"/>
      <c r="C1971" s="16">
        <v>46246</v>
      </c>
      <c r="D1971">
        <v>901.34</v>
      </c>
    </row>
    <row r="1972" spans="1:4" x14ac:dyDescent="0.3">
      <c r="A1972" s="78" t="s">
        <v>30</v>
      </c>
      <c r="B1972" s="78"/>
      <c r="C1972" s="16">
        <v>46246</v>
      </c>
      <c r="D1972">
        <v>1396.08</v>
      </c>
    </row>
    <row r="1973" spans="1:4" x14ac:dyDescent="0.3">
      <c r="A1973" s="78" t="s">
        <v>31</v>
      </c>
      <c r="B1973" s="78"/>
      <c r="C1973" s="16">
        <v>46246</v>
      </c>
      <c r="D1973">
        <v>3700.7099999999591</v>
      </c>
    </row>
    <row r="1974" spans="1:4" x14ac:dyDescent="0.3">
      <c r="A1974" s="78" t="s">
        <v>32</v>
      </c>
      <c r="B1974" s="78"/>
      <c r="C1974" s="16">
        <v>46246</v>
      </c>
      <c r="D1974">
        <v>8724.1700000000037</v>
      </c>
    </row>
    <row r="1975" spans="1:4" x14ac:dyDescent="0.3">
      <c r="A1975" s="78" t="s">
        <v>33</v>
      </c>
      <c r="B1975" s="78"/>
      <c r="C1975" s="16">
        <v>46246</v>
      </c>
      <c r="D1975">
        <v>19336.039999999997</v>
      </c>
    </row>
    <row r="1976" spans="1:4" x14ac:dyDescent="0.3">
      <c r="A1976" s="78" t="s">
        <v>34</v>
      </c>
      <c r="B1976" s="78"/>
      <c r="C1976" s="16">
        <v>46246</v>
      </c>
      <c r="D1976">
        <v>345</v>
      </c>
    </row>
    <row r="1977" spans="1:4" x14ac:dyDescent="0.3">
      <c r="A1977" s="78" t="s">
        <v>35</v>
      </c>
      <c r="B1977" s="78"/>
      <c r="C1977" s="16">
        <v>46246</v>
      </c>
      <c r="D1977">
        <v>12470.040000000003</v>
      </c>
    </row>
    <row r="1978" spans="1:4" x14ac:dyDescent="0.3">
      <c r="A1978" s="78" t="s">
        <v>17</v>
      </c>
      <c r="B1978" s="78"/>
      <c r="C1978" s="16">
        <v>46247</v>
      </c>
      <c r="D1978">
        <v>1041242.3800000005</v>
      </c>
    </row>
    <row r="1979" spans="1:4" x14ac:dyDescent="0.3">
      <c r="A1979" s="78" t="s">
        <v>18</v>
      </c>
      <c r="B1979" s="78"/>
      <c r="C1979" s="16">
        <v>46247</v>
      </c>
      <c r="D1979">
        <v>83211.250000000175</v>
      </c>
    </row>
    <row r="1980" spans="1:4" x14ac:dyDescent="0.3">
      <c r="A1980" s="78" t="s">
        <v>19</v>
      </c>
      <c r="B1980" s="78"/>
      <c r="C1980" s="16">
        <v>46247</v>
      </c>
      <c r="D1980">
        <v>1669.89</v>
      </c>
    </row>
    <row r="1981" spans="1:4" x14ac:dyDescent="0.3">
      <c r="A1981" s="78" t="s">
        <v>20</v>
      </c>
      <c r="B1981" s="78"/>
      <c r="C1981" s="16">
        <v>46247</v>
      </c>
      <c r="D1981">
        <v>1289451.94</v>
      </c>
    </row>
    <row r="1982" spans="1:4" x14ac:dyDescent="0.3">
      <c r="A1982" s="78" t="s">
        <v>21</v>
      </c>
      <c r="B1982" s="78"/>
      <c r="C1982" s="16">
        <v>46247</v>
      </c>
      <c r="D1982">
        <v>1418917.5899999996</v>
      </c>
    </row>
    <row r="1983" spans="1:4" x14ac:dyDescent="0.3">
      <c r="A1983" s="78" t="s">
        <v>22</v>
      </c>
      <c r="B1983" s="78"/>
      <c r="C1983" s="16">
        <v>46247</v>
      </c>
      <c r="D1983">
        <v>221496.38</v>
      </c>
    </row>
    <row r="1984" spans="1:4" x14ac:dyDescent="0.3">
      <c r="A1984" s="78" t="s">
        <v>23</v>
      </c>
      <c r="B1984" s="78"/>
      <c r="C1984" s="16">
        <v>46247</v>
      </c>
      <c r="D1984">
        <v>158090.37</v>
      </c>
    </row>
    <row r="1985" spans="1:4" x14ac:dyDescent="0.3">
      <c r="A1985" s="78" t="s">
        <v>24</v>
      </c>
      <c r="B1985" s="78"/>
      <c r="C1985" s="16">
        <v>46247</v>
      </c>
      <c r="D1985">
        <v>14580.45</v>
      </c>
    </row>
    <row r="1986" spans="1:4" x14ac:dyDescent="0.3">
      <c r="A1986" s="78" t="s">
        <v>25</v>
      </c>
      <c r="B1986" s="78"/>
      <c r="C1986" s="16">
        <v>46247</v>
      </c>
      <c r="D1986">
        <v>24.450000000000003</v>
      </c>
    </row>
    <row r="1987" spans="1:4" x14ac:dyDescent="0.3">
      <c r="A1987" s="78" t="s">
        <v>26</v>
      </c>
      <c r="B1987" s="78"/>
      <c r="C1987" s="16">
        <v>46247</v>
      </c>
      <c r="D1987">
        <v>2177.87</v>
      </c>
    </row>
    <row r="1988" spans="1:4" x14ac:dyDescent="0.3">
      <c r="A1988" s="78" t="s">
        <v>27</v>
      </c>
      <c r="B1988" s="78"/>
      <c r="C1988" s="16">
        <v>46247</v>
      </c>
      <c r="D1988">
        <v>754589.72</v>
      </c>
    </row>
    <row r="1989" spans="1:4" x14ac:dyDescent="0.3">
      <c r="A1989" s="78" t="s">
        <v>28</v>
      </c>
      <c r="B1989" s="78"/>
      <c r="C1989" s="16">
        <v>46247</v>
      </c>
      <c r="D1989">
        <v>1968.99</v>
      </c>
    </row>
    <row r="1990" spans="1:4" x14ac:dyDescent="0.3">
      <c r="A1990" s="78" t="s">
        <v>29</v>
      </c>
      <c r="B1990" s="78"/>
      <c r="C1990" s="16">
        <v>46247</v>
      </c>
      <c r="D1990">
        <v>901.34</v>
      </c>
    </row>
    <row r="1991" spans="1:4" x14ac:dyDescent="0.3">
      <c r="A1991" s="78" t="s">
        <v>30</v>
      </c>
      <c r="B1991" s="78"/>
      <c r="C1991" s="16">
        <v>46247</v>
      </c>
      <c r="D1991">
        <v>1396.08</v>
      </c>
    </row>
    <row r="1992" spans="1:4" x14ac:dyDescent="0.3">
      <c r="A1992" s="78" t="s">
        <v>31</v>
      </c>
      <c r="B1992" s="78"/>
      <c r="C1992" s="16">
        <v>46247</v>
      </c>
      <c r="D1992">
        <v>13700.709999999959</v>
      </c>
    </row>
    <row r="1993" spans="1:4" x14ac:dyDescent="0.3">
      <c r="A1993" s="78" t="s">
        <v>32</v>
      </c>
      <c r="B1993" s="78"/>
      <c r="C1993" s="16">
        <v>46247</v>
      </c>
      <c r="D1993">
        <v>8724.1700000000037</v>
      </c>
    </row>
    <row r="1994" spans="1:4" x14ac:dyDescent="0.3">
      <c r="A1994" s="78" t="s">
        <v>33</v>
      </c>
      <c r="B1994" s="78"/>
      <c r="C1994" s="16">
        <v>46247</v>
      </c>
      <c r="D1994">
        <v>19336.039999999997</v>
      </c>
    </row>
    <row r="1995" spans="1:4" x14ac:dyDescent="0.3">
      <c r="A1995" s="78" t="s">
        <v>34</v>
      </c>
      <c r="B1995" s="78"/>
      <c r="C1995" s="16">
        <v>46247</v>
      </c>
      <c r="D1995">
        <v>345</v>
      </c>
    </row>
    <row r="1996" spans="1:4" x14ac:dyDescent="0.3">
      <c r="A1996" s="78" t="s">
        <v>35</v>
      </c>
      <c r="B1996" s="78"/>
      <c r="C1996" s="16">
        <v>46247</v>
      </c>
      <c r="D1996">
        <v>14740.900000000001</v>
      </c>
    </row>
    <row r="1997" spans="1:4" x14ac:dyDescent="0.3">
      <c r="A1997" s="78" t="s">
        <v>17</v>
      </c>
      <c r="B1997" s="78"/>
      <c r="C1997" s="16">
        <v>46248</v>
      </c>
      <c r="D1997">
        <v>941242.38000000047</v>
      </c>
    </row>
    <row r="1998" spans="1:4" x14ac:dyDescent="0.3">
      <c r="A1998" s="78" t="s">
        <v>18</v>
      </c>
      <c r="B1998" s="78"/>
      <c r="C1998" s="16">
        <v>46248</v>
      </c>
      <c r="D1998">
        <v>83211.250000000175</v>
      </c>
    </row>
    <row r="1999" spans="1:4" x14ac:dyDescent="0.3">
      <c r="A1999" s="78" t="s">
        <v>19</v>
      </c>
      <c r="B1999" s="78"/>
      <c r="C1999" s="16">
        <v>46248</v>
      </c>
      <c r="D1999">
        <v>1669.89</v>
      </c>
    </row>
    <row r="2000" spans="1:4" x14ac:dyDescent="0.3">
      <c r="A2000" s="78" t="s">
        <v>20</v>
      </c>
      <c r="B2000" s="78"/>
      <c r="C2000" s="16">
        <v>46248</v>
      </c>
      <c r="D2000">
        <v>1289451.94</v>
      </c>
    </row>
    <row r="2001" spans="1:4" x14ac:dyDescent="0.3">
      <c r="A2001" s="78" t="s">
        <v>21</v>
      </c>
      <c r="B2001" s="78"/>
      <c r="C2001" s="16">
        <v>46248</v>
      </c>
      <c r="D2001">
        <v>1418917.5899999996</v>
      </c>
    </row>
    <row r="2002" spans="1:4" x14ac:dyDescent="0.3">
      <c r="A2002" s="78" t="s">
        <v>22</v>
      </c>
      <c r="B2002" s="78"/>
      <c r="C2002" s="16">
        <v>46248</v>
      </c>
      <c r="D2002">
        <v>221496.38</v>
      </c>
    </row>
    <row r="2003" spans="1:4" x14ac:dyDescent="0.3">
      <c r="A2003" s="78" t="s">
        <v>23</v>
      </c>
      <c r="B2003" s="78"/>
      <c r="C2003" s="16">
        <v>46248</v>
      </c>
      <c r="D2003">
        <v>158090.37</v>
      </c>
    </row>
    <row r="2004" spans="1:4" x14ac:dyDescent="0.3">
      <c r="A2004" s="78" t="s">
        <v>24</v>
      </c>
      <c r="B2004" s="78"/>
      <c r="C2004" s="16">
        <v>46248</v>
      </c>
      <c r="D2004">
        <v>14580.45</v>
      </c>
    </row>
    <row r="2005" spans="1:4" x14ac:dyDescent="0.3">
      <c r="A2005" s="78" t="s">
        <v>25</v>
      </c>
      <c r="B2005" s="78"/>
      <c r="C2005" s="16">
        <v>46248</v>
      </c>
      <c r="D2005">
        <v>24.450000000000003</v>
      </c>
    </row>
    <row r="2006" spans="1:4" x14ac:dyDescent="0.3">
      <c r="A2006" s="78" t="s">
        <v>26</v>
      </c>
      <c r="B2006" s="78"/>
      <c r="C2006" s="16">
        <v>46248</v>
      </c>
      <c r="D2006">
        <v>2177.87</v>
      </c>
    </row>
    <row r="2007" spans="1:4" x14ac:dyDescent="0.3">
      <c r="A2007" s="78" t="s">
        <v>27</v>
      </c>
      <c r="B2007" s="78"/>
      <c r="C2007" s="16">
        <v>46248</v>
      </c>
      <c r="D2007">
        <v>754589.72</v>
      </c>
    </row>
    <row r="2008" spans="1:4" x14ac:dyDescent="0.3">
      <c r="A2008" s="78" t="s">
        <v>28</v>
      </c>
      <c r="B2008" s="78"/>
      <c r="C2008" s="16">
        <v>46248</v>
      </c>
      <c r="D2008">
        <v>1968.99</v>
      </c>
    </row>
    <row r="2009" spans="1:4" x14ac:dyDescent="0.3">
      <c r="A2009" s="78" t="s">
        <v>29</v>
      </c>
      <c r="B2009" s="78"/>
      <c r="C2009" s="16">
        <v>46248</v>
      </c>
      <c r="D2009">
        <v>901.34</v>
      </c>
    </row>
    <row r="2010" spans="1:4" x14ac:dyDescent="0.3">
      <c r="A2010" s="78" t="s">
        <v>30</v>
      </c>
      <c r="B2010" s="78"/>
      <c r="C2010" s="16">
        <v>46248</v>
      </c>
      <c r="D2010">
        <v>1396.08</v>
      </c>
    </row>
    <row r="2011" spans="1:4" x14ac:dyDescent="0.3">
      <c r="A2011" s="78" t="s">
        <v>31</v>
      </c>
      <c r="B2011" s="78"/>
      <c r="C2011" s="16">
        <v>46248</v>
      </c>
      <c r="D2011">
        <v>13685.709999999959</v>
      </c>
    </row>
    <row r="2012" spans="1:4" x14ac:dyDescent="0.3">
      <c r="A2012" s="78" t="s">
        <v>32</v>
      </c>
      <c r="B2012" s="78"/>
      <c r="C2012" s="16">
        <v>46248</v>
      </c>
      <c r="D2012">
        <v>8724.1700000000037</v>
      </c>
    </row>
    <row r="2013" spans="1:4" x14ac:dyDescent="0.3">
      <c r="A2013" s="78" t="s">
        <v>33</v>
      </c>
      <c r="B2013" s="78"/>
      <c r="C2013" s="16">
        <v>46248</v>
      </c>
      <c r="D2013">
        <v>19336.039999999997</v>
      </c>
    </row>
    <row r="2014" spans="1:4" x14ac:dyDescent="0.3">
      <c r="A2014" s="78" t="s">
        <v>34</v>
      </c>
      <c r="B2014" s="78"/>
      <c r="C2014" s="16">
        <v>46248</v>
      </c>
      <c r="D2014">
        <v>345</v>
      </c>
    </row>
    <row r="2015" spans="1:4" x14ac:dyDescent="0.3">
      <c r="A2015" s="78" t="s">
        <v>35</v>
      </c>
      <c r="B2015" s="78"/>
      <c r="C2015" s="16">
        <v>46248</v>
      </c>
      <c r="D2015">
        <v>14740.900000000001</v>
      </c>
    </row>
    <row r="2016" spans="1:4" x14ac:dyDescent="0.3">
      <c r="A2016" s="78" t="s">
        <v>17</v>
      </c>
      <c r="B2016" s="78"/>
      <c r="C2016" s="16">
        <v>46249</v>
      </c>
      <c r="D2016">
        <v>941242.38000000047</v>
      </c>
    </row>
    <row r="2017" spans="1:4" x14ac:dyDescent="0.3">
      <c r="A2017" s="78" t="s">
        <v>18</v>
      </c>
      <c r="B2017" s="78"/>
      <c r="C2017" s="16">
        <v>46249</v>
      </c>
      <c r="D2017">
        <v>83211.250000000175</v>
      </c>
    </row>
    <row r="2018" spans="1:4" x14ac:dyDescent="0.3">
      <c r="A2018" s="78" t="s">
        <v>19</v>
      </c>
      <c r="B2018" s="78"/>
      <c r="C2018" s="16">
        <v>46249</v>
      </c>
      <c r="D2018">
        <v>1669.89</v>
      </c>
    </row>
    <row r="2019" spans="1:4" x14ac:dyDescent="0.3">
      <c r="A2019" s="78" t="s">
        <v>20</v>
      </c>
      <c r="B2019" s="78"/>
      <c r="C2019" s="16">
        <v>46249</v>
      </c>
      <c r="D2019">
        <v>1289451.94</v>
      </c>
    </row>
    <row r="2020" spans="1:4" x14ac:dyDescent="0.3">
      <c r="A2020" s="78" t="s">
        <v>21</v>
      </c>
      <c r="B2020" s="78"/>
      <c r="C2020" s="16">
        <v>46249</v>
      </c>
      <c r="D2020">
        <v>1418917.5899999996</v>
      </c>
    </row>
    <row r="2021" spans="1:4" x14ac:dyDescent="0.3">
      <c r="A2021" s="78" t="s">
        <v>22</v>
      </c>
      <c r="B2021" s="78"/>
      <c r="C2021" s="16">
        <v>46249</v>
      </c>
      <c r="D2021">
        <v>221496.38</v>
      </c>
    </row>
    <row r="2022" spans="1:4" x14ac:dyDescent="0.3">
      <c r="A2022" s="78" t="s">
        <v>23</v>
      </c>
      <c r="B2022" s="78"/>
      <c r="C2022" s="16">
        <v>46249</v>
      </c>
      <c r="D2022">
        <v>158090.37</v>
      </c>
    </row>
    <row r="2023" spans="1:4" x14ac:dyDescent="0.3">
      <c r="A2023" s="78" t="s">
        <v>24</v>
      </c>
      <c r="B2023" s="78"/>
      <c r="C2023" s="16">
        <v>46249</v>
      </c>
      <c r="D2023">
        <v>14580.45</v>
      </c>
    </row>
    <row r="2024" spans="1:4" x14ac:dyDescent="0.3">
      <c r="A2024" s="78" t="s">
        <v>25</v>
      </c>
      <c r="B2024" s="78"/>
      <c r="C2024" s="16">
        <v>46249</v>
      </c>
      <c r="D2024">
        <v>24.450000000000003</v>
      </c>
    </row>
    <row r="2025" spans="1:4" x14ac:dyDescent="0.3">
      <c r="A2025" s="78" t="s">
        <v>26</v>
      </c>
      <c r="B2025" s="78"/>
      <c r="C2025" s="16">
        <v>46249</v>
      </c>
      <c r="D2025">
        <v>2177.87</v>
      </c>
    </row>
    <row r="2026" spans="1:4" x14ac:dyDescent="0.3">
      <c r="A2026" s="78" t="s">
        <v>27</v>
      </c>
      <c r="B2026" s="78"/>
      <c r="C2026" s="16">
        <v>46249</v>
      </c>
      <c r="D2026">
        <v>754589.72</v>
      </c>
    </row>
    <row r="2027" spans="1:4" x14ac:dyDescent="0.3">
      <c r="A2027" s="78" t="s">
        <v>28</v>
      </c>
      <c r="B2027" s="78"/>
      <c r="C2027" s="16">
        <v>46249</v>
      </c>
      <c r="D2027">
        <v>1968.99</v>
      </c>
    </row>
    <row r="2028" spans="1:4" x14ac:dyDescent="0.3">
      <c r="A2028" s="78" t="s">
        <v>29</v>
      </c>
      <c r="B2028" s="78"/>
      <c r="C2028" s="16">
        <v>46249</v>
      </c>
      <c r="D2028">
        <v>901.34</v>
      </c>
    </row>
    <row r="2029" spans="1:4" x14ac:dyDescent="0.3">
      <c r="A2029" s="78" t="s">
        <v>30</v>
      </c>
      <c r="B2029" s="78"/>
      <c r="C2029" s="16">
        <v>46249</v>
      </c>
      <c r="D2029">
        <v>1396.08</v>
      </c>
    </row>
    <row r="2030" spans="1:4" x14ac:dyDescent="0.3">
      <c r="A2030" s="78" t="s">
        <v>31</v>
      </c>
      <c r="B2030" s="78"/>
      <c r="C2030" s="16">
        <v>46249</v>
      </c>
      <c r="D2030">
        <v>13685.709999999959</v>
      </c>
    </row>
    <row r="2031" spans="1:4" x14ac:dyDescent="0.3">
      <c r="A2031" s="78" t="s">
        <v>32</v>
      </c>
      <c r="B2031" s="78"/>
      <c r="C2031" s="16">
        <v>46249</v>
      </c>
      <c r="D2031">
        <v>8724.1700000000037</v>
      </c>
    </row>
    <row r="2032" spans="1:4" x14ac:dyDescent="0.3">
      <c r="A2032" s="78" t="s">
        <v>33</v>
      </c>
      <c r="B2032" s="78"/>
      <c r="C2032" s="16">
        <v>46249</v>
      </c>
      <c r="D2032">
        <v>19336.039999999997</v>
      </c>
    </row>
    <row r="2033" spans="1:4" x14ac:dyDescent="0.3">
      <c r="A2033" s="78" t="s">
        <v>34</v>
      </c>
      <c r="B2033" s="78"/>
      <c r="C2033" s="16">
        <v>46249</v>
      </c>
      <c r="D2033">
        <v>345</v>
      </c>
    </row>
    <row r="2034" spans="1:4" x14ac:dyDescent="0.3">
      <c r="A2034" s="78" t="s">
        <v>35</v>
      </c>
      <c r="B2034" s="78"/>
      <c r="C2034" s="16">
        <v>46249</v>
      </c>
      <c r="D2034">
        <v>14740.900000000001</v>
      </c>
    </row>
    <row r="2035" spans="1:4" x14ac:dyDescent="0.3">
      <c r="A2035" s="78" t="s">
        <v>17</v>
      </c>
      <c r="B2035" s="78"/>
      <c r="C2035" s="16">
        <v>46250</v>
      </c>
      <c r="D2035">
        <v>941242.38000000047</v>
      </c>
    </row>
    <row r="2036" spans="1:4" x14ac:dyDescent="0.3">
      <c r="A2036" s="78" t="s">
        <v>18</v>
      </c>
      <c r="B2036" s="78"/>
      <c r="C2036" s="16">
        <v>46250</v>
      </c>
      <c r="D2036">
        <v>83211.250000000175</v>
      </c>
    </row>
    <row r="2037" spans="1:4" x14ac:dyDescent="0.3">
      <c r="A2037" s="78" t="s">
        <v>19</v>
      </c>
      <c r="B2037" s="78"/>
      <c r="C2037" s="16">
        <v>46250</v>
      </c>
      <c r="D2037">
        <v>1669.89</v>
      </c>
    </row>
    <row r="2038" spans="1:4" x14ac:dyDescent="0.3">
      <c r="A2038" s="78" t="s">
        <v>20</v>
      </c>
      <c r="B2038" s="78"/>
      <c r="C2038" s="16">
        <v>46250</v>
      </c>
      <c r="D2038">
        <v>1289451.94</v>
      </c>
    </row>
    <row r="2039" spans="1:4" x14ac:dyDescent="0.3">
      <c r="A2039" s="78" t="s">
        <v>21</v>
      </c>
      <c r="B2039" s="78"/>
      <c r="C2039" s="16">
        <v>46250</v>
      </c>
      <c r="D2039">
        <v>1418917.5899999996</v>
      </c>
    </row>
    <row r="2040" spans="1:4" x14ac:dyDescent="0.3">
      <c r="A2040" s="78" t="s">
        <v>22</v>
      </c>
      <c r="B2040" s="78"/>
      <c r="C2040" s="16">
        <v>46250</v>
      </c>
      <c r="D2040">
        <v>221496.38</v>
      </c>
    </row>
    <row r="2041" spans="1:4" x14ac:dyDescent="0.3">
      <c r="A2041" s="78" t="s">
        <v>23</v>
      </c>
      <c r="B2041" s="78"/>
      <c r="C2041" s="16">
        <v>46250</v>
      </c>
      <c r="D2041">
        <v>158090.37</v>
      </c>
    </row>
    <row r="2042" spans="1:4" x14ac:dyDescent="0.3">
      <c r="A2042" s="78" t="s">
        <v>24</v>
      </c>
      <c r="B2042" s="78"/>
      <c r="C2042" s="16">
        <v>46250</v>
      </c>
      <c r="D2042">
        <v>14580.45</v>
      </c>
    </row>
    <row r="2043" spans="1:4" x14ac:dyDescent="0.3">
      <c r="A2043" s="78" t="s">
        <v>25</v>
      </c>
      <c r="B2043" s="78"/>
      <c r="C2043" s="16">
        <v>46250</v>
      </c>
      <c r="D2043">
        <v>24.450000000000003</v>
      </c>
    </row>
    <row r="2044" spans="1:4" x14ac:dyDescent="0.3">
      <c r="A2044" s="78" t="s">
        <v>26</v>
      </c>
      <c r="B2044" s="78"/>
      <c r="C2044" s="16">
        <v>46250</v>
      </c>
      <c r="D2044">
        <v>2177.87</v>
      </c>
    </row>
    <row r="2045" spans="1:4" x14ac:dyDescent="0.3">
      <c r="A2045" s="78" t="s">
        <v>27</v>
      </c>
      <c r="B2045" s="78"/>
      <c r="C2045" s="16">
        <v>46250</v>
      </c>
      <c r="D2045">
        <v>754589.72</v>
      </c>
    </row>
    <row r="2046" spans="1:4" x14ac:dyDescent="0.3">
      <c r="A2046" s="78" t="s">
        <v>28</v>
      </c>
      <c r="B2046" s="78"/>
      <c r="C2046" s="16">
        <v>46250</v>
      </c>
      <c r="D2046">
        <v>1968.99</v>
      </c>
    </row>
    <row r="2047" spans="1:4" x14ac:dyDescent="0.3">
      <c r="A2047" s="78" t="s">
        <v>29</v>
      </c>
      <c r="B2047" s="78"/>
      <c r="C2047" s="16">
        <v>46250</v>
      </c>
      <c r="D2047">
        <v>901.34</v>
      </c>
    </row>
    <row r="2048" spans="1:4" x14ac:dyDescent="0.3">
      <c r="A2048" s="78" t="s">
        <v>30</v>
      </c>
      <c r="B2048" s="78"/>
      <c r="C2048" s="16">
        <v>46250</v>
      </c>
      <c r="D2048">
        <v>1396.08</v>
      </c>
    </row>
    <row r="2049" spans="1:4" x14ac:dyDescent="0.3">
      <c r="A2049" s="78" t="s">
        <v>31</v>
      </c>
      <c r="B2049" s="78"/>
      <c r="C2049" s="16">
        <v>46250</v>
      </c>
      <c r="D2049">
        <v>13685.709999999959</v>
      </c>
    </row>
    <row r="2050" spans="1:4" x14ac:dyDescent="0.3">
      <c r="A2050" s="78" t="s">
        <v>32</v>
      </c>
      <c r="B2050" s="78"/>
      <c r="C2050" s="16">
        <v>46250</v>
      </c>
      <c r="D2050">
        <v>8724.1700000000037</v>
      </c>
    </row>
    <row r="2051" spans="1:4" x14ac:dyDescent="0.3">
      <c r="A2051" s="78" t="s">
        <v>33</v>
      </c>
      <c r="B2051" s="78"/>
      <c r="C2051" s="16">
        <v>46250</v>
      </c>
      <c r="D2051">
        <v>19336.039999999997</v>
      </c>
    </row>
    <row r="2052" spans="1:4" x14ac:dyDescent="0.3">
      <c r="A2052" s="78" t="s">
        <v>34</v>
      </c>
      <c r="B2052" s="78"/>
      <c r="C2052" s="16">
        <v>46250</v>
      </c>
      <c r="D2052">
        <v>345</v>
      </c>
    </row>
    <row r="2053" spans="1:4" x14ac:dyDescent="0.3">
      <c r="A2053" s="78" t="s">
        <v>35</v>
      </c>
      <c r="B2053" s="78"/>
      <c r="C2053" s="16">
        <v>46250</v>
      </c>
      <c r="D2053">
        <v>14740.900000000001</v>
      </c>
    </row>
    <row r="2054" spans="1:4" x14ac:dyDescent="0.3">
      <c r="A2054" s="78" t="s">
        <v>17</v>
      </c>
      <c r="B2054" s="78"/>
      <c r="C2054" s="16">
        <v>46251</v>
      </c>
      <c r="D2054">
        <v>941242.38000000047</v>
      </c>
    </row>
    <row r="2055" spans="1:4" x14ac:dyDescent="0.3">
      <c r="A2055" s="78" t="s">
        <v>18</v>
      </c>
      <c r="B2055" s="78"/>
      <c r="C2055" s="16">
        <v>46251</v>
      </c>
      <c r="D2055">
        <v>83211.250000000175</v>
      </c>
    </row>
    <row r="2056" spans="1:4" x14ac:dyDescent="0.3">
      <c r="A2056" s="78" t="s">
        <v>19</v>
      </c>
      <c r="B2056" s="78"/>
      <c r="C2056" s="16">
        <v>46251</v>
      </c>
      <c r="D2056">
        <v>1669.89</v>
      </c>
    </row>
    <row r="2057" spans="1:4" x14ac:dyDescent="0.3">
      <c r="A2057" s="78" t="s">
        <v>20</v>
      </c>
      <c r="B2057" s="78"/>
      <c r="C2057" s="16">
        <v>46251</v>
      </c>
      <c r="D2057">
        <v>1289031.3399999999</v>
      </c>
    </row>
    <row r="2058" spans="1:4" x14ac:dyDescent="0.3">
      <c r="A2058" s="78" t="s">
        <v>21</v>
      </c>
      <c r="B2058" s="78"/>
      <c r="C2058" s="16">
        <v>46251</v>
      </c>
      <c r="D2058">
        <v>1384086.4999999995</v>
      </c>
    </row>
    <row r="2059" spans="1:4" x14ac:dyDescent="0.3">
      <c r="A2059" s="78" t="s">
        <v>22</v>
      </c>
      <c r="B2059" s="78"/>
      <c r="C2059" s="16">
        <v>46251</v>
      </c>
      <c r="D2059">
        <v>221496.38</v>
      </c>
    </row>
    <row r="2060" spans="1:4" x14ac:dyDescent="0.3">
      <c r="A2060" s="78" t="s">
        <v>23</v>
      </c>
      <c r="B2060" s="78"/>
      <c r="C2060" s="16">
        <v>46251</v>
      </c>
      <c r="D2060">
        <v>158090.37</v>
      </c>
    </row>
    <row r="2061" spans="1:4" x14ac:dyDescent="0.3">
      <c r="A2061" s="78" t="s">
        <v>24</v>
      </c>
      <c r="B2061" s="78"/>
      <c r="C2061" s="16">
        <v>46251</v>
      </c>
      <c r="D2061">
        <v>14580.45</v>
      </c>
    </row>
    <row r="2062" spans="1:4" x14ac:dyDescent="0.3">
      <c r="A2062" s="78" t="s">
        <v>25</v>
      </c>
      <c r="B2062" s="78"/>
      <c r="C2062" s="16">
        <v>46251</v>
      </c>
      <c r="D2062">
        <v>24.450000000000003</v>
      </c>
    </row>
    <row r="2063" spans="1:4" x14ac:dyDescent="0.3">
      <c r="A2063" s="78" t="s">
        <v>26</v>
      </c>
      <c r="B2063" s="78"/>
      <c r="C2063" s="16">
        <v>46251</v>
      </c>
      <c r="D2063">
        <v>2177.87</v>
      </c>
    </row>
    <row r="2064" spans="1:4" x14ac:dyDescent="0.3">
      <c r="A2064" s="78" t="s">
        <v>27</v>
      </c>
      <c r="B2064" s="78"/>
      <c r="C2064" s="16">
        <v>46251</v>
      </c>
      <c r="D2064">
        <v>754589.72</v>
      </c>
    </row>
    <row r="2065" spans="1:4" x14ac:dyDescent="0.3">
      <c r="A2065" s="78" t="s">
        <v>28</v>
      </c>
      <c r="B2065" s="78"/>
      <c r="C2065" s="16">
        <v>46251</v>
      </c>
      <c r="D2065">
        <v>1968.99</v>
      </c>
    </row>
    <row r="2066" spans="1:4" x14ac:dyDescent="0.3">
      <c r="A2066" s="78" t="s">
        <v>29</v>
      </c>
      <c r="B2066" s="78"/>
      <c r="C2066" s="16">
        <v>46251</v>
      </c>
      <c r="D2066">
        <v>901.34</v>
      </c>
    </row>
    <row r="2067" spans="1:4" x14ac:dyDescent="0.3">
      <c r="A2067" s="78" t="s">
        <v>30</v>
      </c>
      <c r="B2067" s="78"/>
      <c r="C2067" s="16">
        <v>46251</v>
      </c>
      <c r="D2067">
        <v>1396.08</v>
      </c>
    </row>
    <row r="2068" spans="1:4" x14ac:dyDescent="0.3">
      <c r="A2068" s="78" t="s">
        <v>31</v>
      </c>
      <c r="B2068" s="78"/>
      <c r="C2068" s="16">
        <v>46251</v>
      </c>
      <c r="D2068">
        <v>13685.709999999959</v>
      </c>
    </row>
    <row r="2069" spans="1:4" x14ac:dyDescent="0.3">
      <c r="A2069" s="78" t="s">
        <v>32</v>
      </c>
      <c r="B2069" s="78"/>
      <c r="C2069" s="16">
        <v>46251</v>
      </c>
      <c r="D2069">
        <v>8724.1700000000037</v>
      </c>
    </row>
    <row r="2070" spans="1:4" x14ac:dyDescent="0.3">
      <c r="A2070" s="78" t="s">
        <v>33</v>
      </c>
      <c r="B2070" s="78"/>
      <c r="C2070" s="16">
        <v>46251</v>
      </c>
      <c r="D2070">
        <v>19336.039999999997</v>
      </c>
    </row>
    <row r="2071" spans="1:4" x14ac:dyDescent="0.3">
      <c r="A2071" s="78" t="s">
        <v>34</v>
      </c>
      <c r="B2071" s="78"/>
      <c r="C2071" s="16">
        <v>46251</v>
      </c>
      <c r="D2071">
        <v>345</v>
      </c>
    </row>
    <row r="2072" spans="1:4" x14ac:dyDescent="0.3">
      <c r="A2072" s="78" t="s">
        <v>35</v>
      </c>
      <c r="B2072" s="78"/>
      <c r="C2072" s="16">
        <v>46251</v>
      </c>
      <c r="D2072">
        <v>14565.900000000001</v>
      </c>
    </row>
    <row r="2073" spans="1:4" x14ac:dyDescent="0.3">
      <c r="A2073" s="78" t="s">
        <v>17</v>
      </c>
      <c r="B2073" s="78"/>
      <c r="C2073" s="16">
        <v>46252</v>
      </c>
      <c r="D2073">
        <v>1047104.1600000005</v>
      </c>
    </row>
    <row r="2074" spans="1:4" x14ac:dyDescent="0.3">
      <c r="A2074" s="78" t="s">
        <v>18</v>
      </c>
      <c r="B2074" s="78"/>
      <c r="C2074" s="16">
        <v>46252</v>
      </c>
      <c r="D2074">
        <v>83211.250000000175</v>
      </c>
    </row>
    <row r="2075" spans="1:4" x14ac:dyDescent="0.3">
      <c r="A2075" s="78" t="s">
        <v>19</v>
      </c>
      <c r="B2075" s="78"/>
      <c r="C2075" s="16">
        <v>46252</v>
      </c>
      <c r="D2075">
        <v>1669.89</v>
      </c>
    </row>
    <row r="2076" spans="1:4" x14ac:dyDescent="0.3">
      <c r="A2076" s="78" t="s">
        <v>20</v>
      </c>
      <c r="B2076" s="78"/>
      <c r="C2076" s="16">
        <v>46252</v>
      </c>
      <c r="D2076">
        <v>1289031.3399999999</v>
      </c>
    </row>
    <row r="2077" spans="1:4" x14ac:dyDescent="0.3">
      <c r="A2077" s="78" t="s">
        <v>21</v>
      </c>
      <c r="B2077" s="78"/>
      <c r="C2077" s="16">
        <v>46252</v>
      </c>
      <c r="D2077">
        <v>1381596.1399999997</v>
      </c>
    </row>
    <row r="2078" spans="1:4" x14ac:dyDescent="0.3">
      <c r="A2078" s="78" t="s">
        <v>22</v>
      </c>
      <c r="B2078" s="78"/>
      <c r="C2078" s="16">
        <v>46252</v>
      </c>
      <c r="D2078">
        <v>221496.38</v>
      </c>
    </row>
    <row r="2079" spans="1:4" x14ac:dyDescent="0.3">
      <c r="A2079" s="78" t="s">
        <v>23</v>
      </c>
      <c r="B2079" s="78"/>
      <c r="C2079" s="16">
        <v>46252</v>
      </c>
      <c r="D2079">
        <v>158090.37</v>
      </c>
    </row>
    <row r="2080" spans="1:4" x14ac:dyDescent="0.3">
      <c r="A2080" s="78" t="s">
        <v>24</v>
      </c>
      <c r="B2080" s="78"/>
      <c r="C2080" s="16">
        <v>46252</v>
      </c>
      <c r="D2080">
        <v>14580.45</v>
      </c>
    </row>
    <row r="2081" spans="1:4" x14ac:dyDescent="0.3">
      <c r="A2081" s="78" t="s">
        <v>25</v>
      </c>
      <c r="B2081" s="78"/>
      <c r="C2081" s="16">
        <v>46252</v>
      </c>
      <c r="D2081">
        <v>24.450000000000003</v>
      </c>
    </row>
    <row r="2082" spans="1:4" x14ac:dyDescent="0.3">
      <c r="A2082" s="78" t="s">
        <v>26</v>
      </c>
      <c r="B2082" s="78"/>
      <c r="C2082" s="16">
        <v>46252</v>
      </c>
      <c r="D2082">
        <v>2177.87</v>
      </c>
    </row>
    <row r="2083" spans="1:4" x14ac:dyDescent="0.3">
      <c r="A2083" s="78" t="s">
        <v>27</v>
      </c>
      <c r="B2083" s="78"/>
      <c r="C2083" s="16">
        <v>46252</v>
      </c>
      <c r="D2083">
        <v>754589.72</v>
      </c>
    </row>
    <row r="2084" spans="1:4" x14ac:dyDescent="0.3">
      <c r="A2084" s="78" t="s">
        <v>28</v>
      </c>
      <c r="B2084" s="78"/>
      <c r="C2084" s="16">
        <v>46252</v>
      </c>
      <c r="D2084">
        <v>1968.99</v>
      </c>
    </row>
    <row r="2085" spans="1:4" x14ac:dyDescent="0.3">
      <c r="A2085" s="78" t="s">
        <v>29</v>
      </c>
      <c r="B2085" s="78"/>
      <c r="C2085" s="16">
        <v>46252</v>
      </c>
      <c r="D2085">
        <v>901.34</v>
      </c>
    </row>
    <row r="2086" spans="1:4" x14ac:dyDescent="0.3">
      <c r="A2086" s="78" t="s">
        <v>30</v>
      </c>
      <c r="B2086" s="78"/>
      <c r="C2086" s="16">
        <v>46252</v>
      </c>
      <c r="D2086">
        <v>1396.08</v>
      </c>
    </row>
    <row r="2087" spans="1:4" x14ac:dyDescent="0.3">
      <c r="A2087" s="78" t="s">
        <v>31</v>
      </c>
      <c r="B2087" s="78"/>
      <c r="C2087" s="16">
        <v>46252</v>
      </c>
      <c r="D2087">
        <v>13685.709999999959</v>
      </c>
    </row>
    <row r="2088" spans="1:4" x14ac:dyDescent="0.3">
      <c r="A2088" s="78" t="s">
        <v>32</v>
      </c>
      <c r="B2088" s="78"/>
      <c r="C2088" s="16">
        <v>46252</v>
      </c>
      <c r="D2088">
        <v>8724.1700000000037</v>
      </c>
    </row>
    <row r="2089" spans="1:4" x14ac:dyDescent="0.3">
      <c r="A2089" s="78" t="s">
        <v>33</v>
      </c>
      <c r="B2089" s="78"/>
      <c r="C2089" s="16">
        <v>46252</v>
      </c>
      <c r="D2089">
        <v>19336.039999999997</v>
      </c>
    </row>
    <row r="2090" spans="1:4" x14ac:dyDescent="0.3">
      <c r="A2090" s="78" t="s">
        <v>34</v>
      </c>
      <c r="B2090" s="78"/>
      <c r="C2090" s="16">
        <v>46252</v>
      </c>
      <c r="D2090">
        <v>345</v>
      </c>
    </row>
    <row r="2091" spans="1:4" x14ac:dyDescent="0.3">
      <c r="A2091" s="78" t="s">
        <v>35</v>
      </c>
      <c r="B2091" s="78"/>
      <c r="C2091" s="16">
        <v>46252</v>
      </c>
      <c r="D2091">
        <v>14565.900000000001</v>
      </c>
    </row>
    <row r="2092" spans="1:4" x14ac:dyDescent="0.3">
      <c r="A2092" s="78" t="s">
        <v>17</v>
      </c>
      <c r="B2092" s="78"/>
      <c r="C2092" s="16">
        <v>46253</v>
      </c>
      <c r="D2092">
        <v>1047104.1600000005</v>
      </c>
    </row>
    <row r="2093" spans="1:4" x14ac:dyDescent="0.3">
      <c r="A2093" s="78" t="s">
        <v>18</v>
      </c>
      <c r="B2093" s="78"/>
      <c r="C2093" s="16">
        <v>46253</v>
      </c>
      <c r="D2093">
        <v>83211.250000000175</v>
      </c>
    </row>
    <row r="2094" spans="1:4" x14ac:dyDescent="0.3">
      <c r="A2094" s="78" t="s">
        <v>19</v>
      </c>
      <c r="B2094" s="78"/>
      <c r="C2094" s="16">
        <v>46253</v>
      </c>
      <c r="D2094">
        <v>1669.89</v>
      </c>
    </row>
    <row r="2095" spans="1:4" x14ac:dyDescent="0.3">
      <c r="A2095" s="78" t="s">
        <v>20</v>
      </c>
      <c r="B2095" s="78"/>
      <c r="C2095" s="16">
        <v>46253</v>
      </c>
      <c r="D2095">
        <v>1289031.3399999999</v>
      </c>
    </row>
    <row r="2096" spans="1:4" x14ac:dyDescent="0.3">
      <c r="A2096" s="78" t="s">
        <v>21</v>
      </c>
      <c r="B2096" s="78"/>
      <c r="C2096" s="16">
        <v>46253</v>
      </c>
      <c r="D2096">
        <v>1880692.4399999997</v>
      </c>
    </row>
    <row r="2097" spans="1:4" x14ac:dyDescent="0.3">
      <c r="A2097" s="78" t="s">
        <v>22</v>
      </c>
      <c r="B2097" s="78"/>
      <c r="C2097" s="16">
        <v>46253</v>
      </c>
      <c r="D2097">
        <v>221496.38</v>
      </c>
    </row>
    <row r="2098" spans="1:4" x14ac:dyDescent="0.3">
      <c r="A2098" s="78" t="s">
        <v>23</v>
      </c>
      <c r="B2098" s="78"/>
      <c r="C2098" s="16">
        <v>46253</v>
      </c>
      <c r="D2098">
        <v>158090.37</v>
      </c>
    </row>
    <row r="2099" spans="1:4" x14ac:dyDescent="0.3">
      <c r="A2099" s="78" t="s">
        <v>24</v>
      </c>
      <c r="B2099" s="78"/>
      <c r="C2099" s="16">
        <v>46253</v>
      </c>
      <c r="D2099">
        <v>14580.45</v>
      </c>
    </row>
    <row r="2100" spans="1:4" x14ac:dyDescent="0.3">
      <c r="A2100" s="78" t="s">
        <v>25</v>
      </c>
      <c r="B2100" s="78"/>
      <c r="C2100" s="16">
        <v>46253</v>
      </c>
      <c r="D2100">
        <v>24.450000000000003</v>
      </c>
    </row>
    <row r="2101" spans="1:4" x14ac:dyDescent="0.3">
      <c r="A2101" s="78" t="s">
        <v>26</v>
      </c>
      <c r="B2101" s="78"/>
      <c r="C2101" s="16">
        <v>46253</v>
      </c>
      <c r="D2101">
        <v>2177.87</v>
      </c>
    </row>
    <row r="2102" spans="1:4" x14ac:dyDescent="0.3">
      <c r="A2102" s="78" t="s">
        <v>27</v>
      </c>
      <c r="B2102" s="78"/>
      <c r="C2102" s="16">
        <v>46253</v>
      </c>
      <c r="D2102">
        <v>754589.72</v>
      </c>
    </row>
    <row r="2103" spans="1:4" x14ac:dyDescent="0.3">
      <c r="A2103" s="78" t="s">
        <v>28</v>
      </c>
      <c r="B2103" s="78"/>
      <c r="C2103" s="16">
        <v>46253</v>
      </c>
      <c r="D2103">
        <v>1968.99</v>
      </c>
    </row>
    <row r="2104" spans="1:4" x14ac:dyDescent="0.3">
      <c r="A2104" s="78" t="s">
        <v>29</v>
      </c>
      <c r="B2104" s="78"/>
      <c r="C2104" s="16">
        <v>46253</v>
      </c>
      <c r="D2104">
        <v>901.34</v>
      </c>
    </row>
    <row r="2105" spans="1:4" x14ac:dyDescent="0.3">
      <c r="A2105" s="78" t="s">
        <v>30</v>
      </c>
      <c r="B2105" s="78"/>
      <c r="C2105" s="16">
        <v>46253</v>
      </c>
      <c r="D2105">
        <v>1396.08</v>
      </c>
    </row>
    <row r="2106" spans="1:4" x14ac:dyDescent="0.3">
      <c r="A2106" s="78" t="s">
        <v>31</v>
      </c>
      <c r="B2106" s="78"/>
      <c r="C2106" s="16">
        <v>46253</v>
      </c>
      <c r="D2106">
        <v>13685.709999999959</v>
      </c>
    </row>
    <row r="2107" spans="1:4" x14ac:dyDescent="0.3">
      <c r="A2107" s="78" t="s">
        <v>32</v>
      </c>
      <c r="B2107" s="78"/>
      <c r="C2107" s="16">
        <v>46253</v>
      </c>
      <c r="D2107">
        <v>8724.1700000000037</v>
      </c>
    </row>
    <row r="2108" spans="1:4" x14ac:dyDescent="0.3">
      <c r="A2108" s="78" t="s">
        <v>33</v>
      </c>
      <c r="B2108" s="78"/>
      <c r="C2108" s="16">
        <v>46253</v>
      </c>
      <c r="D2108">
        <v>19336.039999999997</v>
      </c>
    </row>
    <row r="2109" spans="1:4" x14ac:dyDescent="0.3">
      <c r="A2109" s="78" t="s">
        <v>34</v>
      </c>
      <c r="B2109" s="78"/>
      <c r="C2109" s="16">
        <v>46253</v>
      </c>
      <c r="D2109">
        <v>345</v>
      </c>
    </row>
    <row r="2110" spans="1:4" x14ac:dyDescent="0.3">
      <c r="A2110" s="78" t="s">
        <v>35</v>
      </c>
      <c r="B2110" s="78"/>
      <c r="C2110" s="16">
        <v>46253</v>
      </c>
      <c r="D2110">
        <v>14565.900000000001</v>
      </c>
    </row>
    <row r="2111" spans="1:4" x14ac:dyDescent="0.3">
      <c r="A2111" s="78" t="s">
        <v>17</v>
      </c>
      <c r="B2111" s="78"/>
      <c r="C2111" s="16">
        <v>46254</v>
      </c>
      <c r="D2111">
        <v>702229.1600000005</v>
      </c>
    </row>
    <row r="2112" spans="1:4" x14ac:dyDescent="0.3">
      <c r="A2112" s="78" t="s">
        <v>18</v>
      </c>
      <c r="B2112" s="78"/>
      <c r="C2112" s="16">
        <v>46254</v>
      </c>
      <c r="D2112">
        <v>83211.250000000175</v>
      </c>
    </row>
    <row r="2113" spans="1:4" x14ac:dyDescent="0.3">
      <c r="A2113" s="78" t="s">
        <v>19</v>
      </c>
      <c r="B2113" s="78"/>
      <c r="C2113" s="16">
        <v>46254</v>
      </c>
      <c r="D2113">
        <v>1669.89</v>
      </c>
    </row>
    <row r="2114" spans="1:4" x14ac:dyDescent="0.3">
      <c r="A2114" s="78" t="s">
        <v>20</v>
      </c>
      <c r="B2114" s="78"/>
      <c r="C2114" s="16">
        <v>46254</v>
      </c>
      <c r="D2114">
        <v>1229031.3399999999</v>
      </c>
    </row>
    <row r="2115" spans="1:4" x14ac:dyDescent="0.3">
      <c r="A2115" s="78" t="s">
        <v>21</v>
      </c>
      <c r="B2115" s="78"/>
      <c r="C2115" s="16">
        <v>46254</v>
      </c>
      <c r="D2115">
        <v>1744161.5299999998</v>
      </c>
    </row>
    <row r="2116" spans="1:4" x14ac:dyDescent="0.3">
      <c r="A2116" s="78" t="s">
        <v>22</v>
      </c>
      <c r="B2116" s="78"/>
      <c r="C2116" s="16">
        <v>46254</v>
      </c>
      <c r="D2116">
        <v>221496.38</v>
      </c>
    </row>
    <row r="2117" spans="1:4" x14ac:dyDescent="0.3">
      <c r="A2117" s="78" t="s">
        <v>23</v>
      </c>
      <c r="B2117" s="78"/>
      <c r="C2117" s="16">
        <v>46254</v>
      </c>
      <c r="D2117">
        <v>158090.37</v>
      </c>
    </row>
    <row r="2118" spans="1:4" x14ac:dyDescent="0.3">
      <c r="A2118" s="78" t="s">
        <v>24</v>
      </c>
      <c r="B2118" s="78"/>
      <c r="C2118" s="16">
        <v>46254</v>
      </c>
      <c r="D2118">
        <v>14580.45</v>
      </c>
    </row>
    <row r="2119" spans="1:4" x14ac:dyDescent="0.3">
      <c r="A2119" s="78" t="s">
        <v>25</v>
      </c>
      <c r="B2119" s="78"/>
      <c r="C2119" s="16">
        <v>46254</v>
      </c>
      <c r="D2119">
        <v>24.450000000000003</v>
      </c>
    </row>
    <row r="2120" spans="1:4" x14ac:dyDescent="0.3">
      <c r="A2120" s="78" t="s">
        <v>26</v>
      </c>
      <c r="B2120" s="78"/>
      <c r="C2120" s="16">
        <v>46254</v>
      </c>
      <c r="D2120">
        <v>2177.87</v>
      </c>
    </row>
    <row r="2121" spans="1:4" x14ac:dyDescent="0.3">
      <c r="A2121" s="78" t="s">
        <v>27</v>
      </c>
      <c r="B2121" s="78"/>
      <c r="C2121" s="16">
        <v>46254</v>
      </c>
      <c r="D2121">
        <v>754589.72</v>
      </c>
    </row>
    <row r="2122" spans="1:4" x14ac:dyDescent="0.3">
      <c r="A2122" s="78" t="s">
        <v>28</v>
      </c>
      <c r="B2122" s="78"/>
      <c r="C2122" s="16">
        <v>46254</v>
      </c>
      <c r="D2122">
        <v>1968.99</v>
      </c>
    </row>
    <row r="2123" spans="1:4" x14ac:dyDescent="0.3">
      <c r="A2123" s="78" t="s">
        <v>29</v>
      </c>
      <c r="B2123" s="78"/>
      <c r="C2123" s="16">
        <v>46254</v>
      </c>
      <c r="D2123">
        <v>901.34</v>
      </c>
    </row>
    <row r="2124" spans="1:4" x14ac:dyDescent="0.3">
      <c r="A2124" s="78" t="s">
        <v>30</v>
      </c>
      <c r="B2124" s="78"/>
      <c r="C2124" s="16">
        <v>46254</v>
      </c>
      <c r="D2124">
        <v>1396.08</v>
      </c>
    </row>
    <row r="2125" spans="1:4" x14ac:dyDescent="0.3">
      <c r="A2125" s="78" t="s">
        <v>31</v>
      </c>
      <c r="B2125" s="78"/>
      <c r="C2125" s="16">
        <v>46254</v>
      </c>
      <c r="D2125">
        <v>13685.709999999959</v>
      </c>
    </row>
    <row r="2126" spans="1:4" x14ac:dyDescent="0.3">
      <c r="A2126" s="78" t="s">
        <v>32</v>
      </c>
      <c r="B2126" s="78"/>
      <c r="C2126" s="16">
        <v>46254</v>
      </c>
      <c r="D2126">
        <v>8724.1700000000037</v>
      </c>
    </row>
    <row r="2127" spans="1:4" x14ac:dyDescent="0.3">
      <c r="A2127" s="78" t="s">
        <v>33</v>
      </c>
      <c r="B2127" s="78"/>
      <c r="C2127" s="16">
        <v>46254</v>
      </c>
      <c r="D2127">
        <v>19336.039999999997</v>
      </c>
    </row>
    <row r="2128" spans="1:4" x14ac:dyDescent="0.3">
      <c r="A2128" s="78" t="s">
        <v>34</v>
      </c>
      <c r="B2128" s="78"/>
      <c r="C2128" s="16">
        <v>46254</v>
      </c>
      <c r="D2128">
        <v>345</v>
      </c>
    </row>
    <row r="2129" spans="1:4" x14ac:dyDescent="0.3">
      <c r="A2129" s="78" t="s">
        <v>35</v>
      </c>
      <c r="B2129" s="78"/>
      <c r="C2129" s="16">
        <v>46254</v>
      </c>
      <c r="D2129">
        <v>12741.780000000002</v>
      </c>
    </row>
    <row r="2130" spans="1:4" x14ac:dyDescent="0.3">
      <c r="A2130" s="78" t="s">
        <v>17</v>
      </c>
      <c r="B2130" s="78"/>
      <c r="C2130" s="16">
        <v>46255</v>
      </c>
      <c r="D2130">
        <v>702229.1600000005</v>
      </c>
    </row>
    <row r="2131" spans="1:4" x14ac:dyDescent="0.3">
      <c r="A2131" s="78" t="s">
        <v>18</v>
      </c>
      <c r="B2131" s="78"/>
      <c r="C2131" s="16">
        <v>46255</v>
      </c>
      <c r="D2131">
        <v>83211.250000000175</v>
      </c>
    </row>
    <row r="2132" spans="1:4" x14ac:dyDescent="0.3">
      <c r="A2132" s="78" t="s">
        <v>19</v>
      </c>
      <c r="B2132" s="78"/>
      <c r="C2132" s="16">
        <v>46255</v>
      </c>
      <c r="D2132">
        <v>1669.89</v>
      </c>
    </row>
    <row r="2133" spans="1:4" x14ac:dyDescent="0.3">
      <c r="A2133" s="78" t="s">
        <v>20</v>
      </c>
      <c r="B2133" s="78"/>
      <c r="C2133" s="16">
        <v>46255</v>
      </c>
      <c r="D2133">
        <v>1229031.3399999999</v>
      </c>
    </row>
    <row r="2134" spans="1:4" x14ac:dyDescent="0.3">
      <c r="A2134" s="78" t="s">
        <v>21</v>
      </c>
      <c r="B2134" s="78"/>
      <c r="C2134" s="16">
        <v>46255</v>
      </c>
      <c r="D2134">
        <v>1744161.5299999998</v>
      </c>
    </row>
    <row r="2135" spans="1:4" x14ac:dyDescent="0.3">
      <c r="A2135" s="78" t="s">
        <v>22</v>
      </c>
      <c r="B2135" s="78"/>
      <c r="C2135" s="16">
        <v>46255</v>
      </c>
      <c r="D2135">
        <v>221496.38</v>
      </c>
    </row>
    <row r="2136" spans="1:4" x14ac:dyDescent="0.3">
      <c r="A2136" s="78" t="s">
        <v>23</v>
      </c>
      <c r="B2136" s="78"/>
      <c r="C2136" s="16">
        <v>46255</v>
      </c>
      <c r="D2136">
        <v>158090.37</v>
      </c>
    </row>
    <row r="2137" spans="1:4" x14ac:dyDescent="0.3">
      <c r="A2137" s="78" t="s">
        <v>24</v>
      </c>
      <c r="B2137" s="78"/>
      <c r="C2137" s="16">
        <v>46255</v>
      </c>
      <c r="D2137">
        <v>14580.45</v>
      </c>
    </row>
    <row r="2138" spans="1:4" x14ac:dyDescent="0.3">
      <c r="A2138" s="78" t="s">
        <v>25</v>
      </c>
      <c r="B2138" s="78"/>
      <c r="C2138" s="16">
        <v>46255</v>
      </c>
      <c r="D2138">
        <v>24.450000000000003</v>
      </c>
    </row>
    <row r="2139" spans="1:4" x14ac:dyDescent="0.3">
      <c r="A2139" s="78" t="s">
        <v>26</v>
      </c>
      <c r="B2139" s="78"/>
      <c r="C2139" s="16">
        <v>46255</v>
      </c>
      <c r="D2139">
        <v>2177.87</v>
      </c>
    </row>
    <row r="2140" spans="1:4" x14ac:dyDescent="0.3">
      <c r="A2140" s="78" t="s">
        <v>27</v>
      </c>
      <c r="B2140" s="78"/>
      <c r="C2140" s="16">
        <v>46255</v>
      </c>
      <c r="D2140">
        <v>754589.72</v>
      </c>
    </row>
    <row r="2141" spans="1:4" x14ac:dyDescent="0.3">
      <c r="A2141" s="78" t="s">
        <v>28</v>
      </c>
      <c r="B2141" s="78"/>
      <c r="C2141" s="16">
        <v>46255</v>
      </c>
      <c r="D2141">
        <v>1968.99</v>
      </c>
    </row>
    <row r="2142" spans="1:4" x14ac:dyDescent="0.3">
      <c r="A2142" s="78" t="s">
        <v>29</v>
      </c>
      <c r="B2142" s="78"/>
      <c r="C2142" s="16">
        <v>46255</v>
      </c>
      <c r="D2142">
        <v>901.34</v>
      </c>
    </row>
    <row r="2143" spans="1:4" x14ac:dyDescent="0.3">
      <c r="A2143" s="78" t="s">
        <v>30</v>
      </c>
      <c r="B2143" s="78"/>
      <c r="C2143" s="16">
        <v>46255</v>
      </c>
      <c r="D2143">
        <v>1396.08</v>
      </c>
    </row>
    <row r="2144" spans="1:4" x14ac:dyDescent="0.3">
      <c r="A2144" s="78" t="s">
        <v>31</v>
      </c>
      <c r="B2144" s="78"/>
      <c r="C2144" s="16">
        <v>46255</v>
      </c>
      <c r="D2144">
        <v>13685.709999999959</v>
      </c>
    </row>
    <row r="2145" spans="1:4" x14ac:dyDescent="0.3">
      <c r="A2145" s="78" t="s">
        <v>32</v>
      </c>
      <c r="B2145" s="78"/>
      <c r="C2145" s="16">
        <v>46255</v>
      </c>
      <c r="D2145">
        <v>8724.1700000000037</v>
      </c>
    </row>
    <row r="2146" spans="1:4" x14ac:dyDescent="0.3">
      <c r="A2146" s="78" t="s">
        <v>33</v>
      </c>
      <c r="B2146" s="78"/>
      <c r="C2146" s="16">
        <v>46255</v>
      </c>
      <c r="D2146">
        <v>19336.039999999997</v>
      </c>
    </row>
    <row r="2147" spans="1:4" x14ac:dyDescent="0.3">
      <c r="A2147" s="78" t="s">
        <v>34</v>
      </c>
      <c r="B2147" s="78"/>
      <c r="C2147" s="16">
        <v>46255</v>
      </c>
      <c r="D2147">
        <v>345</v>
      </c>
    </row>
    <row r="2148" spans="1:4" x14ac:dyDescent="0.3">
      <c r="A2148" s="78" t="s">
        <v>35</v>
      </c>
      <c r="B2148" s="78"/>
      <c r="C2148" s="16">
        <v>46255</v>
      </c>
      <c r="D2148">
        <v>12541.790000000003</v>
      </c>
    </row>
    <row r="2149" spans="1:4" x14ac:dyDescent="0.3">
      <c r="A2149" s="78" t="s">
        <v>17</v>
      </c>
      <c r="B2149" s="78"/>
      <c r="C2149" s="16">
        <v>46256</v>
      </c>
      <c r="D2149">
        <v>702229.1600000005</v>
      </c>
    </row>
    <row r="2150" spans="1:4" x14ac:dyDescent="0.3">
      <c r="A2150" s="78" t="s">
        <v>18</v>
      </c>
      <c r="B2150" s="78"/>
      <c r="C2150" s="16">
        <v>46256</v>
      </c>
      <c r="D2150">
        <v>83211.250000000175</v>
      </c>
    </row>
    <row r="2151" spans="1:4" x14ac:dyDescent="0.3">
      <c r="A2151" s="78" t="s">
        <v>19</v>
      </c>
      <c r="B2151" s="78"/>
      <c r="C2151" s="16">
        <v>46256</v>
      </c>
      <c r="D2151">
        <v>1669.89</v>
      </c>
    </row>
    <row r="2152" spans="1:4" x14ac:dyDescent="0.3">
      <c r="A2152" s="78" t="s">
        <v>20</v>
      </c>
      <c r="B2152" s="78"/>
      <c r="C2152" s="16">
        <v>46256</v>
      </c>
      <c r="D2152">
        <v>1229031.3399999999</v>
      </c>
    </row>
    <row r="2153" spans="1:4" x14ac:dyDescent="0.3">
      <c r="A2153" s="78" t="s">
        <v>21</v>
      </c>
      <c r="B2153" s="78"/>
      <c r="C2153" s="16">
        <v>46256</v>
      </c>
      <c r="D2153">
        <v>1744161.5299999998</v>
      </c>
    </row>
    <row r="2154" spans="1:4" x14ac:dyDescent="0.3">
      <c r="A2154" s="78" t="s">
        <v>22</v>
      </c>
      <c r="B2154" s="78"/>
      <c r="C2154" s="16">
        <v>46256</v>
      </c>
      <c r="D2154">
        <v>221496.38</v>
      </c>
    </row>
    <row r="2155" spans="1:4" x14ac:dyDescent="0.3">
      <c r="A2155" s="78" t="s">
        <v>23</v>
      </c>
      <c r="B2155" s="78"/>
      <c r="C2155" s="16">
        <v>46256</v>
      </c>
      <c r="D2155">
        <v>158090.37</v>
      </c>
    </row>
    <row r="2156" spans="1:4" x14ac:dyDescent="0.3">
      <c r="A2156" s="78" t="s">
        <v>24</v>
      </c>
      <c r="B2156" s="78"/>
      <c r="C2156" s="16">
        <v>46256</v>
      </c>
      <c r="D2156">
        <v>14580.45</v>
      </c>
    </row>
    <row r="2157" spans="1:4" x14ac:dyDescent="0.3">
      <c r="A2157" s="78" t="s">
        <v>25</v>
      </c>
      <c r="B2157" s="78"/>
      <c r="C2157" s="16">
        <v>46256</v>
      </c>
      <c r="D2157">
        <v>24.450000000000003</v>
      </c>
    </row>
    <row r="2158" spans="1:4" x14ac:dyDescent="0.3">
      <c r="A2158" s="78" t="s">
        <v>26</v>
      </c>
      <c r="B2158" s="78"/>
      <c r="C2158" s="16">
        <v>46256</v>
      </c>
      <c r="D2158">
        <v>2177.87</v>
      </c>
    </row>
    <row r="2159" spans="1:4" x14ac:dyDescent="0.3">
      <c r="A2159" s="78" t="s">
        <v>27</v>
      </c>
      <c r="B2159" s="78"/>
      <c r="C2159" s="16">
        <v>46256</v>
      </c>
      <c r="D2159">
        <v>754589.72</v>
      </c>
    </row>
    <row r="2160" spans="1:4" x14ac:dyDescent="0.3">
      <c r="A2160" s="78" t="s">
        <v>28</v>
      </c>
      <c r="B2160" s="78"/>
      <c r="C2160" s="16">
        <v>46256</v>
      </c>
      <c r="D2160">
        <v>1968.99</v>
      </c>
    </row>
    <row r="2161" spans="1:4" x14ac:dyDescent="0.3">
      <c r="A2161" s="78" t="s">
        <v>29</v>
      </c>
      <c r="B2161" s="78"/>
      <c r="C2161" s="16">
        <v>46256</v>
      </c>
      <c r="D2161">
        <v>901.34</v>
      </c>
    </row>
    <row r="2162" spans="1:4" x14ac:dyDescent="0.3">
      <c r="A2162" s="78" t="s">
        <v>30</v>
      </c>
      <c r="B2162" s="78"/>
      <c r="C2162" s="16">
        <v>46256</v>
      </c>
      <c r="D2162">
        <v>1396.08</v>
      </c>
    </row>
    <row r="2163" spans="1:4" x14ac:dyDescent="0.3">
      <c r="A2163" s="78" t="s">
        <v>31</v>
      </c>
      <c r="B2163" s="78"/>
      <c r="C2163" s="16">
        <v>46256</v>
      </c>
      <c r="D2163">
        <v>13685.709999999959</v>
      </c>
    </row>
    <row r="2164" spans="1:4" x14ac:dyDescent="0.3">
      <c r="A2164" s="78" t="s">
        <v>32</v>
      </c>
      <c r="B2164" s="78"/>
      <c r="C2164" s="16">
        <v>46256</v>
      </c>
      <c r="D2164">
        <v>8724.1700000000037</v>
      </c>
    </row>
    <row r="2165" spans="1:4" x14ac:dyDescent="0.3">
      <c r="A2165" s="78" t="s">
        <v>33</v>
      </c>
      <c r="B2165" s="78"/>
      <c r="C2165" s="16">
        <v>46256</v>
      </c>
      <c r="D2165">
        <v>19336.039999999997</v>
      </c>
    </row>
    <row r="2166" spans="1:4" x14ac:dyDescent="0.3">
      <c r="A2166" s="78" t="s">
        <v>34</v>
      </c>
      <c r="B2166" s="78"/>
      <c r="C2166" s="16">
        <v>46256</v>
      </c>
      <c r="D2166">
        <v>345</v>
      </c>
    </row>
    <row r="2167" spans="1:4" x14ac:dyDescent="0.3">
      <c r="A2167" s="78" t="s">
        <v>35</v>
      </c>
      <c r="B2167" s="78"/>
      <c r="C2167" s="16">
        <v>46256</v>
      </c>
      <c r="D2167">
        <v>12541.790000000003</v>
      </c>
    </row>
    <row r="2168" spans="1:4" x14ac:dyDescent="0.3">
      <c r="A2168" s="78" t="s">
        <v>17</v>
      </c>
      <c r="B2168" s="78"/>
      <c r="C2168" s="16">
        <v>46257</v>
      </c>
      <c r="D2168">
        <v>702229.1600000005</v>
      </c>
    </row>
    <row r="2169" spans="1:4" x14ac:dyDescent="0.3">
      <c r="A2169" s="78" t="s">
        <v>18</v>
      </c>
      <c r="B2169" s="78"/>
      <c r="C2169" s="16">
        <v>46257</v>
      </c>
      <c r="D2169">
        <v>83211.250000000175</v>
      </c>
    </row>
    <row r="2170" spans="1:4" x14ac:dyDescent="0.3">
      <c r="A2170" s="78" t="s">
        <v>19</v>
      </c>
      <c r="B2170" s="78"/>
      <c r="C2170" s="16">
        <v>46257</v>
      </c>
      <c r="D2170">
        <v>1669.89</v>
      </c>
    </row>
    <row r="2171" spans="1:4" x14ac:dyDescent="0.3">
      <c r="A2171" s="78" t="s">
        <v>20</v>
      </c>
      <c r="B2171" s="78"/>
      <c r="C2171" s="16">
        <v>46257</v>
      </c>
      <c r="D2171">
        <v>1229031.3399999999</v>
      </c>
    </row>
    <row r="2172" spans="1:4" x14ac:dyDescent="0.3">
      <c r="A2172" s="78" t="s">
        <v>21</v>
      </c>
      <c r="B2172" s="78"/>
      <c r="C2172" s="16">
        <v>46257</v>
      </c>
      <c r="D2172">
        <v>1744161.5299999998</v>
      </c>
    </row>
    <row r="2173" spans="1:4" x14ac:dyDescent="0.3">
      <c r="A2173" s="78" t="s">
        <v>22</v>
      </c>
      <c r="B2173" s="78"/>
      <c r="C2173" s="16">
        <v>46257</v>
      </c>
      <c r="D2173">
        <v>221496.38</v>
      </c>
    </row>
    <row r="2174" spans="1:4" x14ac:dyDescent="0.3">
      <c r="A2174" s="78" t="s">
        <v>23</v>
      </c>
      <c r="B2174" s="78"/>
      <c r="C2174" s="16">
        <v>46257</v>
      </c>
      <c r="D2174">
        <v>158090.37</v>
      </c>
    </row>
    <row r="2175" spans="1:4" x14ac:dyDescent="0.3">
      <c r="A2175" s="78" t="s">
        <v>24</v>
      </c>
      <c r="B2175" s="78"/>
      <c r="C2175" s="16">
        <v>46257</v>
      </c>
      <c r="D2175">
        <v>14580.45</v>
      </c>
    </row>
    <row r="2176" spans="1:4" x14ac:dyDescent="0.3">
      <c r="A2176" s="78" t="s">
        <v>25</v>
      </c>
      <c r="B2176" s="78"/>
      <c r="C2176" s="16">
        <v>46257</v>
      </c>
      <c r="D2176">
        <v>24.450000000000003</v>
      </c>
    </row>
    <row r="2177" spans="1:4" x14ac:dyDescent="0.3">
      <c r="A2177" s="78" t="s">
        <v>26</v>
      </c>
      <c r="B2177" s="78"/>
      <c r="C2177" s="16">
        <v>46257</v>
      </c>
      <c r="D2177">
        <v>2177.87</v>
      </c>
    </row>
    <row r="2178" spans="1:4" x14ac:dyDescent="0.3">
      <c r="A2178" s="78" t="s">
        <v>27</v>
      </c>
      <c r="B2178" s="78"/>
      <c r="C2178" s="16">
        <v>46257</v>
      </c>
      <c r="D2178">
        <v>754589.72</v>
      </c>
    </row>
    <row r="2179" spans="1:4" x14ac:dyDescent="0.3">
      <c r="A2179" s="78" t="s">
        <v>28</v>
      </c>
      <c r="B2179" s="78"/>
      <c r="C2179" s="16">
        <v>46257</v>
      </c>
      <c r="D2179">
        <v>1968.99</v>
      </c>
    </row>
    <row r="2180" spans="1:4" x14ac:dyDescent="0.3">
      <c r="A2180" s="78" t="s">
        <v>29</v>
      </c>
      <c r="B2180" s="78"/>
      <c r="C2180" s="16">
        <v>46257</v>
      </c>
      <c r="D2180">
        <v>901.34</v>
      </c>
    </row>
    <row r="2181" spans="1:4" x14ac:dyDescent="0.3">
      <c r="A2181" s="78" t="s">
        <v>30</v>
      </c>
      <c r="B2181" s="78"/>
      <c r="C2181" s="16">
        <v>46257</v>
      </c>
      <c r="D2181">
        <v>1396.08</v>
      </c>
    </row>
    <row r="2182" spans="1:4" x14ac:dyDescent="0.3">
      <c r="A2182" s="78" t="s">
        <v>31</v>
      </c>
      <c r="B2182" s="78"/>
      <c r="C2182" s="16">
        <v>46257</v>
      </c>
      <c r="D2182">
        <v>13685.709999999959</v>
      </c>
    </row>
    <row r="2183" spans="1:4" x14ac:dyDescent="0.3">
      <c r="A2183" s="78" t="s">
        <v>32</v>
      </c>
      <c r="B2183" s="78"/>
      <c r="C2183" s="16">
        <v>46257</v>
      </c>
      <c r="D2183">
        <v>8724.1700000000037</v>
      </c>
    </row>
    <row r="2184" spans="1:4" x14ac:dyDescent="0.3">
      <c r="A2184" s="78" t="s">
        <v>33</v>
      </c>
      <c r="B2184" s="78"/>
      <c r="C2184" s="16">
        <v>46257</v>
      </c>
      <c r="D2184">
        <v>19336.039999999997</v>
      </c>
    </row>
    <row r="2185" spans="1:4" x14ac:dyDescent="0.3">
      <c r="A2185" s="78" t="s">
        <v>34</v>
      </c>
      <c r="B2185" s="78"/>
      <c r="C2185" s="16">
        <v>46257</v>
      </c>
      <c r="D2185">
        <v>345</v>
      </c>
    </row>
    <row r="2186" spans="1:4" x14ac:dyDescent="0.3">
      <c r="A2186" s="78" t="s">
        <v>35</v>
      </c>
      <c r="B2186" s="78"/>
      <c r="C2186" s="16">
        <v>46257</v>
      </c>
      <c r="D2186">
        <v>12541.790000000003</v>
      </c>
    </row>
    <row r="2187" spans="1:4" x14ac:dyDescent="0.3">
      <c r="A2187" s="78" t="s">
        <v>17</v>
      </c>
      <c r="B2187" s="78"/>
      <c r="C2187" s="16">
        <v>46258</v>
      </c>
      <c r="D2187">
        <v>372229.1600000005</v>
      </c>
    </row>
    <row r="2188" spans="1:4" x14ac:dyDescent="0.3">
      <c r="A2188" s="78" t="s">
        <v>18</v>
      </c>
      <c r="B2188" s="78"/>
      <c r="C2188" s="16">
        <v>46258</v>
      </c>
      <c r="D2188">
        <v>83668.990000000165</v>
      </c>
    </row>
    <row r="2189" spans="1:4" x14ac:dyDescent="0.3">
      <c r="A2189" s="78" t="s">
        <v>19</v>
      </c>
      <c r="B2189" s="78"/>
      <c r="C2189" s="16">
        <v>46258</v>
      </c>
      <c r="D2189">
        <v>1669.89</v>
      </c>
    </row>
    <row r="2190" spans="1:4" x14ac:dyDescent="0.3">
      <c r="A2190" s="78" t="s">
        <v>20</v>
      </c>
      <c r="B2190" s="78"/>
      <c r="C2190" s="16">
        <v>46258</v>
      </c>
      <c r="D2190">
        <v>1234763.3299999998</v>
      </c>
    </row>
    <row r="2191" spans="1:4" x14ac:dyDescent="0.3">
      <c r="A2191" s="78" t="s">
        <v>21</v>
      </c>
      <c r="B2191" s="78"/>
      <c r="C2191" s="16">
        <v>46258</v>
      </c>
      <c r="D2191">
        <v>1743398.5399999996</v>
      </c>
    </row>
    <row r="2192" spans="1:4" x14ac:dyDescent="0.3">
      <c r="A2192" s="78" t="s">
        <v>22</v>
      </c>
      <c r="B2192" s="78"/>
      <c r="C2192" s="16">
        <v>46258</v>
      </c>
      <c r="D2192">
        <v>221496.38</v>
      </c>
    </row>
    <row r="2193" spans="1:4" x14ac:dyDescent="0.3">
      <c r="A2193" s="78" t="s">
        <v>23</v>
      </c>
      <c r="B2193" s="78"/>
      <c r="C2193" s="16">
        <v>46258</v>
      </c>
      <c r="D2193">
        <v>158090.37</v>
      </c>
    </row>
    <row r="2194" spans="1:4" x14ac:dyDescent="0.3">
      <c r="A2194" s="78" t="s">
        <v>24</v>
      </c>
      <c r="B2194" s="78"/>
      <c r="C2194" s="16">
        <v>46258</v>
      </c>
      <c r="D2194">
        <v>14580.45</v>
      </c>
    </row>
    <row r="2195" spans="1:4" x14ac:dyDescent="0.3">
      <c r="A2195" s="78" t="s">
        <v>25</v>
      </c>
      <c r="B2195" s="78"/>
      <c r="C2195" s="16">
        <v>46258</v>
      </c>
      <c r="D2195">
        <v>24.450000000000003</v>
      </c>
    </row>
    <row r="2196" spans="1:4" x14ac:dyDescent="0.3">
      <c r="A2196" s="78" t="s">
        <v>26</v>
      </c>
      <c r="B2196" s="78"/>
      <c r="C2196" s="16">
        <v>46258</v>
      </c>
      <c r="D2196">
        <v>2177.87</v>
      </c>
    </row>
    <row r="2197" spans="1:4" x14ac:dyDescent="0.3">
      <c r="A2197" s="78" t="s">
        <v>27</v>
      </c>
      <c r="B2197" s="78"/>
      <c r="C2197" s="16">
        <v>46258</v>
      </c>
      <c r="D2197">
        <v>754589.72</v>
      </c>
    </row>
    <row r="2198" spans="1:4" x14ac:dyDescent="0.3">
      <c r="A2198" s="78" t="s">
        <v>28</v>
      </c>
      <c r="B2198" s="78"/>
      <c r="C2198" s="16">
        <v>46258</v>
      </c>
      <c r="D2198">
        <v>1968.99</v>
      </c>
    </row>
    <row r="2199" spans="1:4" x14ac:dyDescent="0.3">
      <c r="A2199" s="78" t="s">
        <v>29</v>
      </c>
      <c r="B2199" s="78"/>
      <c r="C2199" s="16">
        <v>46258</v>
      </c>
      <c r="D2199">
        <v>901.34</v>
      </c>
    </row>
    <row r="2200" spans="1:4" x14ac:dyDescent="0.3">
      <c r="A2200" s="78" t="s">
        <v>30</v>
      </c>
      <c r="B2200" s="78"/>
      <c r="C2200" s="16">
        <v>46258</v>
      </c>
      <c r="D2200">
        <v>1396.08</v>
      </c>
    </row>
    <row r="2201" spans="1:4" x14ac:dyDescent="0.3">
      <c r="A2201" s="78" t="s">
        <v>31</v>
      </c>
      <c r="B2201" s="78"/>
      <c r="C2201" s="16">
        <v>46258</v>
      </c>
      <c r="D2201">
        <v>13685.709999999959</v>
      </c>
    </row>
    <row r="2202" spans="1:4" x14ac:dyDescent="0.3">
      <c r="A2202" s="78" t="s">
        <v>32</v>
      </c>
      <c r="B2202" s="78"/>
      <c r="C2202" s="16">
        <v>46258</v>
      </c>
      <c r="D2202">
        <v>8724.1700000000037</v>
      </c>
    </row>
    <row r="2203" spans="1:4" x14ac:dyDescent="0.3">
      <c r="A2203" s="78" t="s">
        <v>33</v>
      </c>
      <c r="B2203" s="78"/>
      <c r="C2203" s="16">
        <v>46258</v>
      </c>
      <c r="D2203">
        <v>19336.039999999997</v>
      </c>
    </row>
    <row r="2204" spans="1:4" x14ac:dyDescent="0.3">
      <c r="A2204" s="78" t="s">
        <v>34</v>
      </c>
      <c r="B2204" s="78"/>
      <c r="C2204" s="16">
        <v>46258</v>
      </c>
      <c r="D2204">
        <v>345</v>
      </c>
    </row>
    <row r="2205" spans="1:4" x14ac:dyDescent="0.3">
      <c r="A2205" s="78" t="s">
        <v>35</v>
      </c>
      <c r="B2205" s="78"/>
      <c r="C2205" s="16">
        <v>46258</v>
      </c>
      <c r="D2205">
        <v>12519.840000000004</v>
      </c>
    </row>
    <row r="2206" spans="1:4" x14ac:dyDescent="0.3">
      <c r="A2206" s="78" t="s">
        <v>17</v>
      </c>
      <c r="B2206" s="78"/>
      <c r="C2206" s="16">
        <v>46259</v>
      </c>
      <c r="D2206">
        <v>526115.33000000054</v>
      </c>
    </row>
    <row r="2207" spans="1:4" x14ac:dyDescent="0.3">
      <c r="A2207" s="78" t="s">
        <v>18</v>
      </c>
      <c r="B2207" s="78"/>
      <c r="C2207" s="16">
        <v>46259</v>
      </c>
      <c r="D2207">
        <v>90643.10000000018</v>
      </c>
    </row>
    <row r="2208" spans="1:4" x14ac:dyDescent="0.3">
      <c r="A2208" s="78" t="s">
        <v>19</v>
      </c>
      <c r="B2208" s="78"/>
      <c r="C2208" s="16">
        <v>46259</v>
      </c>
      <c r="D2208">
        <v>1669.89</v>
      </c>
    </row>
    <row r="2209" spans="1:4" x14ac:dyDescent="0.3">
      <c r="A2209" s="78" t="s">
        <v>20</v>
      </c>
      <c r="B2209" s="78"/>
      <c r="C2209" s="16">
        <v>46259</v>
      </c>
      <c r="D2209">
        <v>1252108.94</v>
      </c>
    </row>
    <row r="2210" spans="1:4" x14ac:dyDescent="0.3">
      <c r="A2210" s="78" t="s">
        <v>21</v>
      </c>
      <c r="B2210" s="78"/>
      <c r="C2210" s="16">
        <v>46259</v>
      </c>
      <c r="D2210">
        <v>1743398.5399999996</v>
      </c>
    </row>
    <row r="2211" spans="1:4" x14ac:dyDescent="0.3">
      <c r="A2211" s="78" t="s">
        <v>22</v>
      </c>
      <c r="B2211" s="78"/>
      <c r="C2211" s="16">
        <v>46259</v>
      </c>
      <c r="D2211">
        <v>221496.38</v>
      </c>
    </row>
    <row r="2212" spans="1:4" x14ac:dyDescent="0.3">
      <c r="A2212" s="78" t="s">
        <v>23</v>
      </c>
      <c r="B2212" s="78"/>
      <c r="C2212" s="16">
        <v>46259</v>
      </c>
      <c r="D2212">
        <v>158090.37</v>
      </c>
    </row>
    <row r="2213" spans="1:4" x14ac:dyDescent="0.3">
      <c r="A2213" s="78" t="s">
        <v>24</v>
      </c>
      <c r="B2213" s="78"/>
      <c r="C2213" s="16">
        <v>46259</v>
      </c>
      <c r="D2213">
        <v>14580.45</v>
      </c>
    </row>
    <row r="2214" spans="1:4" x14ac:dyDescent="0.3">
      <c r="A2214" s="78" t="s">
        <v>25</v>
      </c>
      <c r="B2214" s="78"/>
      <c r="C2214" s="16">
        <v>46259</v>
      </c>
      <c r="D2214">
        <v>24.450000000000003</v>
      </c>
    </row>
    <row r="2215" spans="1:4" x14ac:dyDescent="0.3">
      <c r="A2215" s="78" t="s">
        <v>26</v>
      </c>
      <c r="B2215" s="78"/>
      <c r="C2215" s="16">
        <v>46259</v>
      </c>
      <c r="D2215">
        <v>2177.87</v>
      </c>
    </row>
    <row r="2216" spans="1:4" x14ac:dyDescent="0.3">
      <c r="A2216" s="78" t="s">
        <v>27</v>
      </c>
      <c r="B2216" s="78"/>
      <c r="C2216" s="16">
        <v>46259</v>
      </c>
      <c r="D2216">
        <v>754589.72</v>
      </c>
    </row>
    <row r="2217" spans="1:4" x14ac:dyDescent="0.3">
      <c r="A2217" s="78" t="s">
        <v>28</v>
      </c>
      <c r="B2217" s="78"/>
      <c r="C2217" s="16">
        <v>46259</v>
      </c>
      <c r="D2217">
        <v>1968.99</v>
      </c>
    </row>
    <row r="2218" spans="1:4" x14ac:dyDescent="0.3">
      <c r="A2218" s="78" t="s">
        <v>29</v>
      </c>
      <c r="B2218" s="78"/>
      <c r="C2218" s="16">
        <v>46259</v>
      </c>
      <c r="D2218">
        <v>901.34</v>
      </c>
    </row>
    <row r="2219" spans="1:4" x14ac:dyDescent="0.3">
      <c r="A2219" s="78" t="s">
        <v>30</v>
      </c>
      <c r="B2219" s="78"/>
      <c r="C2219" s="16">
        <v>46259</v>
      </c>
      <c r="D2219">
        <v>1396.08</v>
      </c>
    </row>
    <row r="2220" spans="1:4" x14ac:dyDescent="0.3">
      <c r="A2220" s="78" t="s">
        <v>31</v>
      </c>
      <c r="B2220" s="78"/>
      <c r="C2220" s="16">
        <v>46259</v>
      </c>
      <c r="D2220">
        <v>13685.709999999959</v>
      </c>
    </row>
    <row r="2221" spans="1:4" x14ac:dyDescent="0.3">
      <c r="A2221" s="78" t="s">
        <v>32</v>
      </c>
      <c r="B2221" s="78"/>
      <c r="C2221" s="16">
        <v>46259</v>
      </c>
      <c r="D2221">
        <v>8724.1700000000037</v>
      </c>
    </row>
    <row r="2222" spans="1:4" x14ac:dyDescent="0.3">
      <c r="A2222" s="78" t="s">
        <v>33</v>
      </c>
      <c r="B2222" s="78"/>
      <c r="C2222" s="16">
        <v>46259</v>
      </c>
      <c r="D2222">
        <v>19336.039999999997</v>
      </c>
    </row>
    <row r="2223" spans="1:4" x14ac:dyDescent="0.3">
      <c r="A2223" s="78" t="s">
        <v>34</v>
      </c>
      <c r="B2223" s="78"/>
      <c r="C2223" s="16">
        <v>46259</v>
      </c>
      <c r="D2223">
        <v>345</v>
      </c>
    </row>
    <row r="2224" spans="1:4" x14ac:dyDescent="0.3">
      <c r="A2224" s="78" t="s">
        <v>35</v>
      </c>
      <c r="B2224" s="78"/>
      <c r="C2224" s="16">
        <v>46259</v>
      </c>
      <c r="D2224">
        <v>12519.840000000004</v>
      </c>
    </row>
    <row r="2225" spans="1:4" x14ac:dyDescent="0.3">
      <c r="A2225" s="78" t="s">
        <v>17</v>
      </c>
      <c r="B2225" s="78"/>
      <c r="C2225" s="16">
        <v>46260</v>
      </c>
      <c r="D2225">
        <v>526115.33000000054</v>
      </c>
    </row>
    <row r="2226" spans="1:4" x14ac:dyDescent="0.3">
      <c r="A2226" s="78" t="s">
        <v>18</v>
      </c>
      <c r="B2226" s="78"/>
      <c r="C2226" s="16">
        <v>46260</v>
      </c>
      <c r="D2226">
        <v>90643.10000000018</v>
      </c>
    </row>
    <row r="2227" spans="1:4" x14ac:dyDescent="0.3">
      <c r="A2227" s="78" t="s">
        <v>19</v>
      </c>
      <c r="B2227" s="78"/>
      <c r="C2227" s="16">
        <v>46260</v>
      </c>
      <c r="D2227">
        <v>1669.89</v>
      </c>
    </row>
    <row r="2228" spans="1:4" x14ac:dyDescent="0.3">
      <c r="A2228" s="78" t="s">
        <v>20</v>
      </c>
      <c r="B2228" s="78"/>
      <c r="C2228" s="16">
        <v>46260</v>
      </c>
      <c r="D2228">
        <v>1269654.47</v>
      </c>
    </row>
    <row r="2229" spans="1:4" x14ac:dyDescent="0.3">
      <c r="A2229" s="78" t="s">
        <v>21</v>
      </c>
      <c r="B2229" s="78"/>
      <c r="C2229" s="16">
        <v>46260</v>
      </c>
      <c r="D2229">
        <v>1743398.5399999996</v>
      </c>
    </row>
    <row r="2230" spans="1:4" x14ac:dyDescent="0.3">
      <c r="A2230" s="78" t="s">
        <v>22</v>
      </c>
      <c r="B2230" s="78"/>
      <c r="C2230" s="16">
        <v>46260</v>
      </c>
      <c r="D2230">
        <v>221496.38</v>
      </c>
    </row>
    <row r="2231" spans="1:4" x14ac:dyDescent="0.3">
      <c r="A2231" s="78" t="s">
        <v>23</v>
      </c>
      <c r="B2231" s="78"/>
      <c r="C2231" s="16">
        <v>46260</v>
      </c>
      <c r="D2231">
        <v>158090.37</v>
      </c>
    </row>
    <row r="2232" spans="1:4" x14ac:dyDescent="0.3">
      <c r="A2232" s="78" t="s">
        <v>24</v>
      </c>
      <c r="B2232" s="78"/>
      <c r="C2232" s="16">
        <v>46260</v>
      </c>
      <c r="D2232">
        <v>14580.45</v>
      </c>
    </row>
    <row r="2233" spans="1:4" x14ac:dyDescent="0.3">
      <c r="A2233" s="78" t="s">
        <v>25</v>
      </c>
      <c r="B2233" s="78"/>
      <c r="C2233" s="16">
        <v>46260</v>
      </c>
      <c r="D2233">
        <v>24.450000000000003</v>
      </c>
    </row>
    <row r="2234" spans="1:4" x14ac:dyDescent="0.3">
      <c r="A2234" s="78" t="s">
        <v>26</v>
      </c>
      <c r="B2234" s="78"/>
      <c r="C2234" s="16">
        <v>46260</v>
      </c>
      <c r="D2234">
        <v>2177.87</v>
      </c>
    </row>
    <row r="2235" spans="1:4" x14ac:dyDescent="0.3">
      <c r="A2235" s="78" t="s">
        <v>27</v>
      </c>
      <c r="B2235" s="78"/>
      <c r="C2235" s="16">
        <v>46260</v>
      </c>
      <c r="D2235">
        <v>754589.72</v>
      </c>
    </row>
    <row r="2236" spans="1:4" x14ac:dyDescent="0.3">
      <c r="A2236" s="78" t="s">
        <v>28</v>
      </c>
      <c r="B2236" s="78"/>
      <c r="C2236" s="16">
        <v>46260</v>
      </c>
      <c r="D2236">
        <v>1968.99</v>
      </c>
    </row>
    <row r="2237" spans="1:4" x14ac:dyDescent="0.3">
      <c r="A2237" s="78" t="s">
        <v>29</v>
      </c>
      <c r="B2237" s="78"/>
      <c r="C2237" s="16">
        <v>46260</v>
      </c>
      <c r="D2237">
        <v>901.34</v>
      </c>
    </row>
    <row r="2238" spans="1:4" x14ac:dyDescent="0.3">
      <c r="A2238" s="78" t="s">
        <v>30</v>
      </c>
      <c r="B2238" s="78"/>
      <c r="C2238" s="16">
        <v>46260</v>
      </c>
      <c r="D2238">
        <v>1396.08</v>
      </c>
    </row>
    <row r="2239" spans="1:4" x14ac:dyDescent="0.3">
      <c r="A2239" s="78" t="s">
        <v>31</v>
      </c>
      <c r="B2239" s="78"/>
      <c r="C2239" s="16">
        <v>46260</v>
      </c>
      <c r="D2239">
        <v>13685.709999999959</v>
      </c>
    </row>
    <row r="2240" spans="1:4" x14ac:dyDescent="0.3">
      <c r="A2240" s="78" t="s">
        <v>32</v>
      </c>
      <c r="B2240" s="78"/>
      <c r="C2240" s="16">
        <v>46260</v>
      </c>
      <c r="D2240">
        <v>8724.1700000000037</v>
      </c>
    </row>
    <row r="2241" spans="1:4" x14ac:dyDescent="0.3">
      <c r="A2241" s="78" t="s">
        <v>33</v>
      </c>
      <c r="B2241" s="78"/>
      <c r="C2241" s="16">
        <v>46260</v>
      </c>
      <c r="D2241">
        <v>19336.039999999997</v>
      </c>
    </row>
    <row r="2242" spans="1:4" x14ac:dyDescent="0.3">
      <c r="A2242" s="78" t="s">
        <v>34</v>
      </c>
      <c r="B2242" s="78"/>
      <c r="C2242" s="16">
        <v>46260</v>
      </c>
      <c r="D2242">
        <v>345</v>
      </c>
    </row>
    <row r="2243" spans="1:4" x14ac:dyDescent="0.3">
      <c r="A2243" s="78" t="s">
        <v>35</v>
      </c>
      <c r="B2243" s="78"/>
      <c r="C2243" s="16">
        <v>46260</v>
      </c>
      <c r="D2243">
        <v>12519.840000000004</v>
      </c>
    </row>
    <row r="2244" spans="1:4" x14ac:dyDescent="0.3">
      <c r="A2244" s="78" t="s">
        <v>17</v>
      </c>
      <c r="B2244" s="78"/>
      <c r="C2244" s="16">
        <v>46261</v>
      </c>
      <c r="D2244">
        <v>578112.39000000048</v>
      </c>
    </row>
    <row r="2245" spans="1:4" x14ac:dyDescent="0.3">
      <c r="A2245" s="78" t="s">
        <v>18</v>
      </c>
      <c r="B2245" s="78"/>
      <c r="C2245" s="16">
        <v>46261</v>
      </c>
      <c r="D2245">
        <v>90643.10000000018</v>
      </c>
    </row>
    <row r="2246" spans="1:4" x14ac:dyDescent="0.3">
      <c r="A2246" s="78" t="s">
        <v>19</v>
      </c>
      <c r="B2246" s="78"/>
      <c r="C2246" s="16">
        <v>46261</v>
      </c>
      <c r="D2246">
        <v>1669.89</v>
      </c>
    </row>
    <row r="2247" spans="1:4" x14ac:dyDescent="0.3">
      <c r="A2247" s="78" t="s">
        <v>20</v>
      </c>
      <c r="B2247" s="78"/>
      <c r="C2247" s="16">
        <v>46261</v>
      </c>
      <c r="D2247">
        <v>1394654.47</v>
      </c>
    </row>
    <row r="2248" spans="1:4" x14ac:dyDescent="0.3">
      <c r="A2248" s="78" t="s">
        <v>21</v>
      </c>
      <c r="B2248" s="78"/>
      <c r="C2248" s="16">
        <v>46261</v>
      </c>
      <c r="D2248">
        <v>1719473.6699999997</v>
      </c>
    </row>
    <row r="2249" spans="1:4" x14ac:dyDescent="0.3">
      <c r="A2249" s="78" t="s">
        <v>22</v>
      </c>
      <c r="B2249" s="78"/>
      <c r="C2249" s="16">
        <v>46261</v>
      </c>
      <c r="D2249">
        <v>221496.38</v>
      </c>
    </row>
    <row r="2250" spans="1:4" x14ac:dyDescent="0.3">
      <c r="A2250" s="78" t="s">
        <v>23</v>
      </c>
      <c r="B2250" s="78"/>
      <c r="C2250" s="16">
        <v>46261</v>
      </c>
      <c r="D2250">
        <v>158090.37</v>
      </c>
    </row>
    <row r="2251" spans="1:4" x14ac:dyDescent="0.3">
      <c r="A2251" s="78" t="s">
        <v>24</v>
      </c>
      <c r="B2251" s="78"/>
      <c r="C2251" s="16">
        <v>46261</v>
      </c>
      <c r="D2251">
        <v>14580.45</v>
      </c>
    </row>
    <row r="2252" spans="1:4" x14ac:dyDescent="0.3">
      <c r="A2252" s="78" t="s">
        <v>25</v>
      </c>
      <c r="B2252" s="78"/>
      <c r="C2252" s="16">
        <v>46261</v>
      </c>
      <c r="D2252">
        <v>124.45</v>
      </c>
    </row>
    <row r="2253" spans="1:4" x14ac:dyDescent="0.3">
      <c r="A2253" s="78" t="s">
        <v>26</v>
      </c>
      <c r="B2253" s="78"/>
      <c r="C2253" s="16">
        <v>46261</v>
      </c>
      <c r="D2253">
        <v>2177.87</v>
      </c>
    </row>
    <row r="2254" spans="1:4" x14ac:dyDescent="0.3">
      <c r="A2254" s="78" t="s">
        <v>27</v>
      </c>
      <c r="B2254" s="78"/>
      <c r="C2254" s="16">
        <v>46261</v>
      </c>
      <c r="D2254">
        <v>754589.72</v>
      </c>
    </row>
    <row r="2255" spans="1:4" x14ac:dyDescent="0.3">
      <c r="A2255" s="78" t="s">
        <v>28</v>
      </c>
      <c r="B2255" s="78"/>
      <c r="C2255" s="16">
        <v>46261</v>
      </c>
      <c r="D2255">
        <v>1968.99</v>
      </c>
    </row>
    <row r="2256" spans="1:4" x14ac:dyDescent="0.3">
      <c r="A2256" s="78" t="s">
        <v>29</v>
      </c>
      <c r="B2256" s="78"/>
      <c r="C2256" s="16">
        <v>46261</v>
      </c>
      <c r="D2256">
        <v>901.34</v>
      </c>
    </row>
    <row r="2257" spans="1:4" x14ac:dyDescent="0.3">
      <c r="A2257" s="78" t="s">
        <v>30</v>
      </c>
      <c r="B2257" s="78"/>
      <c r="C2257" s="16">
        <v>46261</v>
      </c>
      <c r="D2257">
        <v>1396.08</v>
      </c>
    </row>
    <row r="2258" spans="1:4" x14ac:dyDescent="0.3">
      <c r="A2258" s="78" t="s">
        <v>31</v>
      </c>
      <c r="B2258" s="78"/>
      <c r="C2258" s="16">
        <v>46261</v>
      </c>
      <c r="D2258">
        <v>33685.709999999963</v>
      </c>
    </row>
    <row r="2259" spans="1:4" x14ac:dyDescent="0.3">
      <c r="A2259" s="78" t="s">
        <v>32</v>
      </c>
      <c r="B2259" s="78"/>
      <c r="C2259" s="16">
        <v>46261</v>
      </c>
      <c r="D2259">
        <v>29724.170000000006</v>
      </c>
    </row>
    <row r="2260" spans="1:4" x14ac:dyDescent="0.3">
      <c r="A2260" s="78" t="s">
        <v>33</v>
      </c>
      <c r="B2260" s="78"/>
      <c r="C2260" s="16">
        <v>46261</v>
      </c>
      <c r="D2260">
        <v>19336.039999999997</v>
      </c>
    </row>
    <row r="2261" spans="1:4" x14ac:dyDescent="0.3">
      <c r="A2261" s="78" t="s">
        <v>34</v>
      </c>
      <c r="B2261" s="78"/>
      <c r="C2261" s="16">
        <v>46261</v>
      </c>
      <c r="D2261">
        <v>345</v>
      </c>
    </row>
    <row r="2262" spans="1:4" x14ac:dyDescent="0.3">
      <c r="A2262" s="78" t="s">
        <v>35</v>
      </c>
      <c r="B2262" s="78"/>
      <c r="C2262" s="16">
        <v>46261</v>
      </c>
      <c r="D2262">
        <v>9608.7000000000025</v>
      </c>
    </row>
    <row r="2263" spans="1:4" x14ac:dyDescent="0.3">
      <c r="A2263" s="78" t="s">
        <v>17</v>
      </c>
      <c r="B2263" s="78"/>
      <c r="C2263" s="16">
        <v>46262</v>
      </c>
      <c r="D2263">
        <v>743449.63000000059</v>
      </c>
    </row>
    <row r="2264" spans="1:4" x14ac:dyDescent="0.3">
      <c r="A2264" s="78" t="s">
        <v>18</v>
      </c>
      <c r="B2264" s="78"/>
      <c r="C2264" s="16">
        <v>46262</v>
      </c>
      <c r="D2264">
        <v>93280.230000000171</v>
      </c>
    </row>
    <row r="2265" spans="1:4" x14ac:dyDescent="0.3">
      <c r="A2265" s="78" t="s">
        <v>19</v>
      </c>
      <c r="B2265" s="78"/>
      <c r="C2265" s="16">
        <v>46262</v>
      </c>
      <c r="D2265">
        <v>1669.89</v>
      </c>
    </row>
    <row r="2266" spans="1:4" x14ac:dyDescent="0.3">
      <c r="A2266" s="78" t="s">
        <v>20</v>
      </c>
      <c r="B2266" s="78"/>
      <c r="C2266" s="16">
        <v>46262</v>
      </c>
      <c r="D2266">
        <v>1418445.91</v>
      </c>
    </row>
    <row r="2267" spans="1:4" x14ac:dyDescent="0.3">
      <c r="A2267" s="78" t="s">
        <v>21</v>
      </c>
      <c r="B2267" s="78"/>
      <c r="C2267" s="16">
        <v>46262</v>
      </c>
      <c r="D2267">
        <v>1553276.1399999997</v>
      </c>
    </row>
    <row r="2268" spans="1:4" x14ac:dyDescent="0.3">
      <c r="A2268" s="78" t="s">
        <v>22</v>
      </c>
      <c r="B2268" s="78"/>
      <c r="C2268" s="16">
        <v>46262</v>
      </c>
      <c r="D2268">
        <v>221496.38</v>
      </c>
    </row>
    <row r="2269" spans="1:4" x14ac:dyDescent="0.3">
      <c r="A2269" s="78" t="s">
        <v>23</v>
      </c>
      <c r="B2269" s="78"/>
      <c r="C2269" s="16">
        <v>46262</v>
      </c>
      <c r="D2269">
        <v>158090.37</v>
      </c>
    </row>
    <row r="2270" spans="1:4" x14ac:dyDescent="0.3">
      <c r="A2270" s="78" t="s">
        <v>24</v>
      </c>
      <c r="B2270" s="78"/>
      <c r="C2270" s="16">
        <v>46262</v>
      </c>
      <c r="D2270">
        <v>14580.45</v>
      </c>
    </row>
    <row r="2271" spans="1:4" x14ac:dyDescent="0.3">
      <c r="A2271" s="78" t="s">
        <v>25</v>
      </c>
      <c r="B2271" s="78"/>
      <c r="C2271" s="16">
        <v>46262</v>
      </c>
      <c r="D2271">
        <v>124.45</v>
      </c>
    </row>
    <row r="2272" spans="1:4" x14ac:dyDescent="0.3">
      <c r="A2272" s="78" t="s">
        <v>26</v>
      </c>
      <c r="B2272" s="78"/>
      <c r="C2272" s="16">
        <v>46262</v>
      </c>
      <c r="D2272">
        <v>2177.87</v>
      </c>
    </row>
    <row r="2273" spans="1:4" x14ac:dyDescent="0.3">
      <c r="A2273" s="78" t="s">
        <v>27</v>
      </c>
      <c r="B2273" s="78"/>
      <c r="C2273" s="16">
        <v>46262</v>
      </c>
      <c r="D2273">
        <v>754589.72</v>
      </c>
    </row>
    <row r="2274" spans="1:4" x14ac:dyDescent="0.3">
      <c r="A2274" s="78" t="s">
        <v>28</v>
      </c>
      <c r="B2274" s="78"/>
      <c r="C2274" s="16">
        <v>46262</v>
      </c>
      <c r="D2274">
        <v>1968.99</v>
      </c>
    </row>
    <row r="2275" spans="1:4" x14ac:dyDescent="0.3">
      <c r="A2275" s="78" t="s">
        <v>29</v>
      </c>
      <c r="B2275" s="78"/>
      <c r="C2275" s="16">
        <v>46262</v>
      </c>
      <c r="D2275">
        <v>901.34</v>
      </c>
    </row>
    <row r="2276" spans="1:4" x14ac:dyDescent="0.3">
      <c r="A2276" s="78" t="s">
        <v>30</v>
      </c>
      <c r="B2276" s="78"/>
      <c r="C2276" s="16">
        <v>46262</v>
      </c>
      <c r="D2276">
        <v>1396.08</v>
      </c>
    </row>
    <row r="2277" spans="1:4" x14ac:dyDescent="0.3">
      <c r="A2277" s="78" t="s">
        <v>31</v>
      </c>
      <c r="B2277" s="78"/>
      <c r="C2277" s="16">
        <v>46262</v>
      </c>
      <c r="D2277">
        <v>33670.709999999963</v>
      </c>
    </row>
    <row r="2278" spans="1:4" x14ac:dyDescent="0.3">
      <c r="A2278" s="78" t="s">
        <v>32</v>
      </c>
      <c r="B2278" s="78"/>
      <c r="C2278" s="16">
        <v>46262</v>
      </c>
      <c r="D2278">
        <v>29709.170000000006</v>
      </c>
    </row>
    <row r="2279" spans="1:4" x14ac:dyDescent="0.3">
      <c r="A2279" s="78" t="s">
        <v>33</v>
      </c>
      <c r="B2279" s="78"/>
      <c r="C2279" s="16">
        <v>46262</v>
      </c>
      <c r="D2279">
        <v>19336.039999999997</v>
      </c>
    </row>
    <row r="2280" spans="1:4" x14ac:dyDescent="0.3">
      <c r="A2280" s="78" t="s">
        <v>34</v>
      </c>
      <c r="B2280" s="78"/>
      <c r="C2280" s="16">
        <v>46262</v>
      </c>
      <c r="D2280">
        <v>345</v>
      </c>
    </row>
    <row r="2281" spans="1:4" x14ac:dyDescent="0.3">
      <c r="A2281" s="78" t="s">
        <v>35</v>
      </c>
      <c r="B2281" s="78"/>
      <c r="C2281" s="16">
        <v>46262</v>
      </c>
      <c r="D2281">
        <v>9560.0000000000018</v>
      </c>
    </row>
    <row r="2282" spans="1:4" x14ac:dyDescent="0.3">
      <c r="A2282" s="78" t="s">
        <v>17</v>
      </c>
      <c r="B2282" s="78"/>
      <c r="C2282" s="16">
        <v>46263</v>
      </c>
      <c r="D2282">
        <v>743449.63000000059</v>
      </c>
    </row>
    <row r="2283" spans="1:4" x14ac:dyDescent="0.3">
      <c r="A2283" s="78" t="s">
        <v>18</v>
      </c>
      <c r="B2283" s="78"/>
      <c r="C2283" s="16">
        <v>46263</v>
      </c>
      <c r="D2283">
        <v>93280.230000000171</v>
      </c>
    </row>
    <row r="2284" spans="1:4" x14ac:dyDescent="0.3">
      <c r="A2284" s="78" t="s">
        <v>19</v>
      </c>
      <c r="B2284" s="78"/>
      <c r="C2284" s="16">
        <v>46263</v>
      </c>
      <c r="D2284">
        <v>1669.89</v>
      </c>
    </row>
    <row r="2285" spans="1:4" x14ac:dyDescent="0.3">
      <c r="A2285" s="78" t="s">
        <v>20</v>
      </c>
      <c r="B2285" s="78"/>
      <c r="C2285" s="16">
        <v>46263</v>
      </c>
      <c r="D2285">
        <v>1418445.91</v>
      </c>
    </row>
    <row r="2286" spans="1:4" x14ac:dyDescent="0.3">
      <c r="A2286" s="78" t="s">
        <v>21</v>
      </c>
      <c r="B2286" s="78"/>
      <c r="C2286" s="16">
        <v>46263</v>
      </c>
      <c r="D2286">
        <v>1553276.1399999997</v>
      </c>
    </row>
    <row r="2287" spans="1:4" x14ac:dyDescent="0.3">
      <c r="A2287" s="78" t="s">
        <v>22</v>
      </c>
      <c r="B2287" s="78"/>
      <c r="C2287" s="16">
        <v>46263</v>
      </c>
      <c r="D2287">
        <v>221496.38</v>
      </c>
    </row>
    <row r="2288" spans="1:4" x14ac:dyDescent="0.3">
      <c r="A2288" s="78" t="s">
        <v>23</v>
      </c>
      <c r="B2288" s="78"/>
      <c r="C2288" s="16">
        <v>46263</v>
      </c>
      <c r="D2288">
        <v>158090.37</v>
      </c>
    </row>
    <row r="2289" spans="1:4" x14ac:dyDescent="0.3">
      <c r="A2289" s="78" t="s">
        <v>24</v>
      </c>
      <c r="B2289" s="78"/>
      <c r="C2289" s="16">
        <v>46263</v>
      </c>
      <c r="D2289">
        <v>14580.45</v>
      </c>
    </row>
    <row r="2290" spans="1:4" x14ac:dyDescent="0.3">
      <c r="A2290" s="78" t="s">
        <v>25</v>
      </c>
      <c r="B2290" s="78"/>
      <c r="C2290" s="16">
        <v>46263</v>
      </c>
      <c r="D2290">
        <v>124.45</v>
      </c>
    </row>
    <row r="2291" spans="1:4" x14ac:dyDescent="0.3">
      <c r="A2291" s="78" t="s">
        <v>26</v>
      </c>
      <c r="B2291" s="78"/>
      <c r="C2291" s="16">
        <v>46263</v>
      </c>
      <c r="D2291">
        <v>2177.87</v>
      </c>
    </row>
    <row r="2292" spans="1:4" x14ac:dyDescent="0.3">
      <c r="A2292" s="78" t="s">
        <v>27</v>
      </c>
      <c r="B2292" s="78"/>
      <c r="C2292" s="16">
        <v>46263</v>
      </c>
      <c r="D2292">
        <v>754589.72</v>
      </c>
    </row>
    <row r="2293" spans="1:4" x14ac:dyDescent="0.3">
      <c r="A2293" s="78" t="s">
        <v>28</v>
      </c>
      <c r="B2293" s="78"/>
      <c r="C2293" s="16">
        <v>46263</v>
      </c>
      <c r="D2293">
        <v>1968.99</v>
      </c>
    </row>
    <row r="2294" spans="1:4" x14ac:dyDescent="0.3">
      <c r="A2294" s="78" t="s">
        <v>29</v>
      </c>
      <c r="B2294" s="78"/>
      <c r="C2294" s="16">
        <v>46263</v>
      </c>
      <c r="D2294">
        <v>901.34</v>
      </c>
    </row>
    <row r="2295" spans="1:4" x14ac:dyDescent="0.3">
      <c r="A2295" s="78" t="s">
        <v>30</v>
      </c>
      <c r="B2295" s="78"/>
      <c r="C2295" s="16">
        <v>46263</v>
      </c>
      <c r="D2295">
        <v>1396.08</v>
      </c>
    </row>
    <row r="2296" spans="1:4" x14ac:dyDescent="0.3">
      <c r="A2296" s="78" t="s">
        <v>31</v>
      </c>
      <c r="B2296" s="78"/>
      <c r="C2296" s="16">
        <v>46263</v>
      </c>
      <c r="D2296">
        <v>33670.709999999963</v>
      </c>
    </row>
    <row r="2297" spans="1:4" x14ac:dyDescent="0.3">
      <c r="A2297" s="78" t="s">
        <v>32</v>
      </c>
      <c r="B2297" s="78"/>
      <c r="C2297" s="16">
        <v>46263</v>
      </c>
      <c r="D2297">
        <v>29709.170000000006</v>
      </c>
    </row>
    <row r="2298" spans="1:4" x14ac:dyDescent="0.3">
      <c r="A2298" s="78" t="s">
        <v>33</v>
      </c>
      <c r="B2298" s="78"/>
      <c r="C2298" s="16">
        <v>46263</v>
      </c>
      <c r="D2298">
        <v>19336.039999999997</v>
      </c>
    </row>
    <row r="2299" spans="1:4" x14ac:dyDescent="0.3">
      <c r="A2299" s="78" t="s">
        <v>34</v>
      </c>
      <c r="B2299" s="78"/>
      <c r="C2299" s="16">
        <v>46263</v>
      </c>
      <c r="D2299">
        <v>345</v>
      </c>
    </row>
    <row r="2300" spans="1:4" x14ac:dyDescent="0.3">
      <c r="A2300" s="78" t="s">
        <v>35</v>
      </c>
      <c r="B2300" s="78"/>
      <c r="C2300" s="16">
        <v>46263</v>
      </c>
      <c r="D2300">
        <v>9560.0000000000018</v>
      </c>
    </row>
    <row r="2301" spans="1:4" x14ac:dyDescent="0.3">
      <c r="A2301" s="78" t="s">
        <v>17</v>
      </c>
      <c r="B2301" s="78"/>
      <c r="C2301" s="16">
        <v>46264</v>
      </c>
      <c r="D2301">
        <v>743449.63000000059</v>
      </c>
    </row>
    <row r="2302" spans="1:4" x14ac:dyDescent="0.3">
      <c r="A2302" s="78" t="s">
        <v>18</v>
      </c>
      <c r="B2302" s="78"/>
      <c r="C2302" s="16">
        <v>46264</v>
      </c>
      <c r="D2302">
        <v>93280.230000000171</v>
      </c>
    </row>
    <row r="2303" spans="1:4" x14ac:dyDescent="0.3">
      <c r="A2303" s="78" t="s">
        <v>19</v>
      </c>
      <c r="B2303" s="78"/>
      <c r="C2303" s="16">
        <v>46264</v>
      </c>
      <c r="D2303">
        <v>1669.89</v>
      </c>
    </row>
    <row r="2304" spans="1:4" x14ac:dyDescent="0.3">
      <c r="A2304" s="78" t="s">
        <v>20</v>
      </c>
      <c r="B2304" s="78"/>
      <c r="C2304" s="16">
        <v>46264</v>
      </c>
      <c r="D2304">
        <v>1418445.91</v>
      </c>
    </row>
    <row r="2305" spans="1:4" x14ac:dyDescent="0.3">
      <c r="A2305" s="78" t="s">
        <v>21</v>
      </c>
      <c r="B2305" s="78"/>
      <c r="C2305" s="16">
        <v>46264</v>
      </c>
      <c r="D2305">
        <v>1553276.1399999997</v>
      </c>
    </row>
    <row r="2306" spans="1:4" x14ac:dyDescent="0.3">
      <c r="A2306" s="78" t="s">
        <v>22</v>
      </c>
      <c r="B2306" s="78"/>
      <c r="C2306" s="16">
        <v>46264</v>
      </c>
      <c r="D2306">
        <v>221496.38</v>
      </c>
    </row>
    <row r="2307" spans="1:4" x14ac:dyDescent="0.3">
      <c r="A2307" s="78" t="s">
        <v>23</v>
      </c>
      <c r="B2307" s="78"/>
      <c r="C2307" s="16">
        <v>46264</v>
      </c>
      <c r="D2307">
        <v>158090.37</v>
      </c>
    </row>
    <row r="2308" spans="1:4" x14ac:dyDescent="0.3">
      <c r="A2308" s="78" t="s">
        <v>24</v>
      </c>
      <c r="B2308" s="78"/>
      <c r="C2308" s="16">
        <v>46264</v>
      </c>
      <c r="D2308">
        <v>14580.45</v>
      </c>
    </row>
    <row r="2309" spans="1:4" x14ac:dyDescent="0.3">
      <c r="A2309" s="78" t="s">
        <v>25</v>
      </c>
      <c r="B2309" s="78"/>
      <c r="C2309" s="16">
        <v>46264</v>
      </c>
      <c r="D2309">
        <v>124.45</v>
      </c>
    </row>
    <row r="2310" spans="1:4" x14ac:dyDescent="0.3">
      <c r="A2310" s="78" t="s">
        <v>26</v>
      </c>
      <c r="B2310" s="78"/>
      <c r="C2310" s="16">
        <v>46264</v>
      </c>
      <c r="D2310">
        <v>2177.87</v>
      </c>
    </row>
    <row r="2311" spans="1:4" x14ac:dyDescent="0.3">
      <c r="A2311" s="78" t="s">
        <v>27</v>
      </c>
      <c r="B2311" s="78"/>
      <c r="C2311" s="16">
        <v>46264</v>
      </c>
      <c r="D2311">
        <v>754589.72</v>
      </c>
    </row>
    <row r="2312" spans="1:4" x14ac:dyDescent="0.3">
      <c r="A2312" s="78" t="s">
        <v>28</v>
      </c>
      <c r="B2312" s="78"/>
      <c r="C2312" s="16">
        <v>46264</v>
      </c>
      <c r="D2312">
        <v>1968.99</v>
      </c>
    </row>
    <row r="2313" spans="1:4" x14ac:dyDescent="0.3">
      <c r="A2313" s="78" t="s">
        <v>29</v>
      </c>
      <c r="B2313" s="78"/>
      <c r="C2313" s="16">
        <v>46264</v>
      </c>
      <c r="D2313">
        <v>901.34</v>
      </c>
    </row>
    <row r="2314" spans="1:4" x14ac:dyDescent="0.3">
      <c r="A2314" s="78" t="s">
        <v>30</v>
      </c>
      <c r="B2314" s="78"/>
      <c r="C2314" s="16">
        <v>46264</v>
      </c>
      <c r="D2314">
        <v>1396.08</v>
      </c>
    </row>
    <row r="2315" spans="1:4" x14ac:dyDescent="0.3">
      <c r="A2315" s="78" t="s">
        <v>31</v>
      </c>
      <c r="B2315" s="78"/>
      <c r="C2315" s="16">
        <v>46264</v>
      </c>
      <c r="D2315">
        <v>33670.709999999963</v>
      </c>
    </row>
    <row r="2316" spans="1:4" x14ac:dyDescent="0.3">
      <c r="A2316" s="78" t="s">
        <v>32</v>
      </c>
      <c r="B2316" s="78"/>
      <c r="C2316" s="16">
        <v>46264</v>
      </c>
      <c r="D2316">
        <v>29709.170000000006</v>
      </c>
    </row>
    <row r="2317" spans="1:4" x14ac:dyDescent="0.3">
      <c r="A2317" s="78" t="s">
        <v>33</v>
      </c>
      <c r="B2317" s="78"/>
      <c r="C2317" s="16">
        <v>46264</v>
      </c>
      <c r="D2317">
        <v>19336.039999999997</v>
      </c>
    </row>
    <row r="2318" spans="1:4" x14ac:dyDescent="0.3">
      <c r="A2318" s="78" t="s">
        <v>34</v>
      </c>
      <c r="B2318" s="78"/>
      <c r="C2318" s="16">
        <v>46264</v>
      </c>
      <c r="D2318">
        <v>345</v>
      </c>
    </row>
    <row r="2319" spans="1:4" x14ac:dyDescent="0.3">
      <c r="A2319" s="78" t="s">
        <v>35</v>
      </c>
      <c r="B2319" s="78"/>
      <c r="C2319" s="16">
        <v>46264</v>
      </c>
      <c r="D2319">
        <v>9560.0000000000018</v>
      </c>
    </row>
    <row r="2320" spans="1:4" x14ac:dyDescent="0.3">
      <c r="A2320" s="78" t="s">
        <v>17</v>
      </c>
      <c r="B2320" s="78"/>
      <c r="C2320" s="16">
        <v>46265</v>
      </c>
      <c r="D2320">
        <v>740471.68000000063</v>
      </c>
    </row>
    <row r="2321" spans="1:4" x14ac:dyDescent="0.3">
      <c r="A2321" s="78" t="s">
        <v>18</v>
      </c>
      <c r="B2321" s="78"/>
      <c r="C2321" s="16">
        <v>46265</v>
      </c>
      <c r="D2321">
        <v>93280.230000000171</v>
      </c>
    </row>
    <row r="2322" spans="1:4" x14ac:dyDescent="0.3">
      <c r="A2322" s="78" t="s">
        <v>19</v>
      </c>
      <c r="B2322" s="78"/>
      <c r="C2322" s="16">
        <v>46265</v>
      </c>
      <c r="D2322">
        <v>1669.89</v>
      </c>
    </row>
    <row r="2323" spans="1:4" x14ac:dyDescent="0.3">
      <c r="A2323" s="78" t="s">
        <v>20</v>
      </c>
      <c r="B2323" s="78"/>
      <c r="C2323" s="16">
        <v>46265</v>
      </c>
      <c r="D2323">
        <v>1419898.24</v>
      </c>
    </row>
    <row r="2324" spans="1:4" x14ac:dyDescent="0.3">
      <c r="A2324" s="78" t="s">
        <v>21</v>
      </c>
      <c r="B2324" s="78"/>
      <c r="C2324" s="16">
        <v>46265</v>
      </c>
      <c r="D2324">
        <v>1555710.1599999997</v>
      </c>
    </row>
    <row r="2325" spans="1:4" x14ac:dyDescent="0.3">
      <c r="A2325" s="78" t="s">
        <v>22</v>
      </c>
      <c r="B2325" s="78"/>
      <c r="C2325" s="16">
        <v>46265</v>
      </c>
      <c r="D2325">
        <v>221496.38</v>
      </c>
    </row>
    <row r="2326" spans="1:4" x14ac:dyDescent="0.3">
      <c r="A2326" s="78" t="s">
        <v>23</v>
      </c>
      <c r="B2326" s="78"/>
      <c r="C2326" s="16">
        <v>46265</v>
      </c>
      <c r="D2326">
        <v>158090.37</v>
      </c>
    </row>
    <row r="2327" spans="1:4" x14ac:dyDescent="0.3">
      <c r="A2327" s="78" t="s">
        <v>24</v>
      </c>
      <c r="B2327" s="78"/>
      <c r="C2327" s="16">
        <v>46265</v>
      </c>
      <c r="D2327">
        <v>14580.45</v>
      </c>
    </row>
    <row r="2328" spans="1:4" x14ac:dyDescent="0.3">
      <c r="A2328" s="78" t="s">
        <v>25</v>
      </c>
      <c r="B2328" s="78"/>
      <c r="C2328" s="16">
        <v>46265</v>
      </c>
      <c r="D2328">
        <v>124.45</v>
      </c>
    </row>
    <row r="2329" spans="1:4" x14ac:dyDescent="0.3">
      <c r="A2329" s="78" t="s">
        <v>26</v>
      </c>
      <c r="B2329" s="78"/>
      <c r="C2329" s="16">
        <v>46265</v>
      </c>
      <c r="D2329">
        <v>2177.87</v>
      </c>
    </row>
    <row r="2330" spans="1:4" x14ac:dyDescent="0.3">
      <c r="A2330" s="78" t="s">
        <v>27</v>
      </c>
      <c r="B2330" s="78"/>
      <c r="C2330" s="16">
        <v>46265</v>
      </c>
      <c r="D2330">
        <v>754589.72</v>
      </c>
    </row>
    <row r="2331" spans="1:4" x14ac:dyDescent="0.3">
      <c r="A2331" s="78" t="s">
        <v>28</v>
      </c>
      <c r="B2331" s="78"/>
      <c r="C2331" s="16">
        <v>46265</v>
      </c>
      <c r="D2331">
        <v>1968.99</v>
      </c>
    </row>
    <row r="2332" spans="1:4" x14ac:dyDescent="0.3">
      <c r="A2332" s="78" t="s">
        <v>29</v>
      </c>
      <c r="B2332" s="78"/>
      <c r="C2332" s="16">
        <v>46265</v>
      </c>
      <c r="D2332">
        <v>901.34</v>
      </c>
    </row>
    <row r="2333" spans="1:4" x14ac:dyDescent="0.3">
      <c r="A2333" s="78" t="s">
        <v>30</v>
      </c>
      <c r="B2333" s="78"/>
      <c r="C2333" s="16">
        <v>46265</v>
      </c>
      <c r="D2333">
        <v>1396.08</v>
      </c>
    </row>
    <row r="2334" spans="1:4" x14ac:dyDescent="0.3">
      <c r="A2334" s="78" t="s">
        <v>31</v>
      </c>
      <c r="B2334" s="78"/>
      <c r="C2334" s="16">
        <v>46265</v>
      </c>
      <c r="D2334">
        <v>33570.709999999963</v>
      </c>
    </row>
    <row r="2335" spans="1:4" x14ac:dyDescent="0.3">
      <c r="A2335" s="78" t="s">
        <v>32</v>
      </c>
      <c r="B2335" s="78"/>
      <c r="C2335" s="16">
        <v>46265</v>
      </c>
      <c r="D2335">
        <v>26559.170000000006</v>
      </c>
    </row>
    <row r="2336" spans="1:4" x14ac:dyDescent="0.3">
      <c r="A2336" s="78" t="s">
        <v>33</v>
      </c>
      <c r="B2336" s="78"/>
      <c r="C2336" s="16">
        <v>46265</v>
      </c>
      <c r="D2336">
        <v>23736.039999999997</v>
      </c>
    </row>
    <row r="2337" spans="1:4" x14ac:dyDescent="0.3">
      <c r="A2337" s="78" t="s">
        <v>34</v>
      </c>
      <c r="B2337" s="78"/>
      <c r="C2337" s="16">
        <v>46265</v>
      </c>
      <c r="D2337">
        <v>345</v>
      </c>
    </row>
    <row r="2338" spans="1:4" x14ac:dyDescent="0.3">
      <c r="A2338" s="78" t="s">
        <v>35</v>
      </c>
      <c r="B2338" s="78"/>
      <c r="C2338" s="16">
        <v>46265</v>
      </c>
      <c r="D2338">
        <v>9560.0000000000018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2026-09-01T14:55:29Z</dcterms:modified>
  <dc:language>en-US</dc:language>
</cp:coreProperties>
</file>