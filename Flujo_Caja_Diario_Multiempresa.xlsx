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526" documentId="8_{BBC9EA4E-7F3B-475F-B61B-890F681C3A1C}" xr6:coauthVersionLast="47" xr6:coauthVersionMax="47" xr10:uidLastSave="{92CAEB40-B196-4489-A026-C5AFB5F84F5E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9" i="6" l="1"/>
  <c r="C49" i="6"/>
  <c r="V49" i="6" s="1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P347" i="1"/>
  <c r="P348" i="1"/>
  <c r="P349" i="1"/>
  <c r="P350" i="1"/>
  <c r="P351" i="1"/>
  <c r="P352" i="1"/>
  <c r="O347" i="1"/>
  <c r="O348" i="1"/>
  <c r="O349" i="1"/>
  <c r="O350" i="1"/>
  <c r="O351" i="1"/>
  <c r="O352" i="1"/>
  <c r="N347" i="1"/>
  <c r="N348" i="1"/>
  <c r="N349" i="1"/>
  <c r="N350" i="1"/>
  <c r="N351" i="1"/>
  <c r="N352" i="1"/>
  <c r="M347" i="1"/>
  <c r="M348" i="1"/>
  <c r="M349" i="1"/>
  <c r="M350" i="1"/>
  <c r="M351" i="1"/>
  <c r="M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M337" i="1" s="1"/>
  <c r="C338" i="1"/>
  <c r="C339" i="1"/>
  <c r="C340" i="1"/>
  <c r="C341" i="1"/>
  <c r="C342" i="1"/>
  <c r="C343" i="1"/>
  <c r="C344" i="1"/>
  <c r="C345" i="1"/>
  <c r="M345" i="1" s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M307" i="1" s="1"/>
  <c r="C308" i="1"/>
  <c r="C309" i="1"/>
  <c r="C310" i="1"/>
  <c r="C311" i="1"/>
  <c r="C312" i="1"/>
  <c r="C313" i="1"/>
  <c r="C314" i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32" i="1"/>
  <c r="C333" i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C303" i="1"/>
  <c r="C304" i="1"/>
  <c r="M304" i="1" s="1"/>
  <c r="C305" i="1"/>
  <c r="C299" i="1"/>
  <c r="C300" i="1"/>
  <c r="C301" i="1"/>
  <c r="M303" i="1" l="1"/>
  <c r="M302" i="1"/>
  <c r="M332" i="1"/>
  <c r="M324" i="1"/>
  <c r="M316" i="1"/>
  <c r="M308" i="1"/>
  <c r="M346" i="1"/>
  <c r="M338" i="1"/>
  <c r="M301" i="1"/>
  <c r="M322" i="1"/>
  <c r="M314" i="1"/>
  <c r="M306" i="1"/>
  <c r="M344" i="1"/>
  <c r="M336" i="1"/>
  <c r="M300" i="1"/>
  <c r="M329" i="1"/>
  <c r="M321" i="1"/>
  <c r="M313" i="1"/>
  <c r="M343" i="1"/>
  <c r="M330" i="1"/>
  <c r="S48" i="6"/>
  <c r="J39" i="6"/>
  <c r="J34" i="6"/>
  <c r="I36" i="6"/>
  <c r="G37" i="6"/>
  <c r="J48" i="6"/>
  <c r="T48" i="6"/>
  <c r="E38" i="6"/>
  <c r="E34" i="6"/>
  <c r="P45" i="6"/>
  <c r="F40" i="6"/>
  <c r="N39" i="6"/>
  <c r="M45" i="6"/>
  <c r="U36" i="6"/>
  <c r="M39" i="6"/>
  <c r="S41" i="6"/>
  <c r="F46" i="6"/>
  <c r="P46" i="6"/>
  <c r="R38" i="6"/>
  <c r="O36" i="6"/>
  <c r="D43" i="6"/>
  <c r="D45" i="6"/>
  <c r="J41" i="6"/>
  <c r="Q35" i="6"/>
  <c r="G48" i="6"/>
  <c r="F34" i="6"/>
  <c r="G41" i="6"/>
  <c r="O39" i="6"/>
  <c r="H44" i="6"/>
  <c r="N37" i="6"/>
  <c r="N33" i="6"/>
  <c r="O41" i="6"/>
  <c r="T38" i="6"/>
  <c r="P47" i="6"/>
  <c r="K47" i="6"/>
  <c r="J45" i="6"/>
  <c r="L45" i="6"/>
  <c r="R48" i="6"/>
  <c r="J4" i="3"/>
  <c r="J21" i="3"/>
  <c r="P24" i="3"/>
  <c r="O23" i="3"/>
  <c r="P19" i="3"/>
  <c r="P18" i="3"/>
  <c r="K2" i="3"/>
  <c r="J16" i="3"/>
  <c r="O7" i="3"/>
  <c r="O18" i="3"/>
  <c r="O21" i="3"/>
  <c r="K18" i="3"/>
  <c r="K32" i="3"/>
  <c r="P16" i="3"/>
  <c r="P2" i="3"/>
  <c r="J27" i="3"/>
  <c r="J23" i="3"/>
  <c r="E45" i="6"/>
  <c r="E47" i="6"/>
  <c r="C43" i="6"/>
  <c r="R33" i="6"/>
  <c r="C38" i="6"/>
  <c r="O15" i="3"/>
  <c r="J2" i="3"/>
  <c r="J11" i="3"/>
  <c r="O26" i="3"/>
  <c r="K23" i="3"/>
  <c r="K9" i="3"/>
  <c r="P25" i="3"/>
  <c r="O6" i="3"/>
  <c r="J30" i="3"/>
  <c r="K28" i="3"/>
  <c r="P23" i="3"/>
  <c r="P20" i="3"/>
  <c r="J26" i="3"/>
  <c r="P28" i="3"/>
  <c r="H33" i="6"/>
  <c r="U38" i="6"/>
  <c r="G39" i="6"/>
  <c r="L36" i="6"/>
  <c r="U46" i="6"/>
  <c r="Q37" i="6"/>
  <c r="K38" i="6"/>
  <c r="C45" i="6"/>
  <c r="Q38" i="6"/>
  <c r="G38" i="6"/>
  <c r="H45" i="6"/>
  <c r="G42" i="6"/>
  <c r="M43" i="6"/>
  <c r="O46" i="6"/>
  <c r="H41" i="6"/>
  <c r="U39" i="6"/>
  <c r="D41" i="6"/>
  <c r="H35" i="6"/>
  <c r="F48" i="6"/>
  <c r="U42" i="6"/>
  <c r="Q44" i="6"/>
  <c r="R36" i="6"/>
  <c r="N41" i="6"/>
  <c r="N35" i="6"/>
  <c r="O48" i="6"/>
  <c r="R44" i="6"/>
  <c r="E44" i="6"/>
  <c r="G45" i="6"/>
  <c r="I40" i="6"/>
  <c r="K35" i="6"/>
  <c r="L46" i="6"/>
  <c r="D46" i="6"/>
  <c r="D40" i="6"/>
  <c r="J8" i="3"/>
  <c r="O12" i="3"/>
  <c r="J31" i="3"/>
  <c r="P5" i="3"/>
  <c r="K26" i="3"/>
  <c r="O17" i="3"/>
  <c r="O11" i="3"/>
  <c r="F36" i="6"/>
  <c r="F41" i="6"/>
  <c r="K43" i="6"/>
  <c r="O47" i="6"/>
  <c r="E40" i="6"/>
  <c r="J47" i="6"/>
  <c r="T36" i="6"/>
  <c r="F33" i="6"/>
  <c r="S47" i="6"/>
  <c r="J43" i="6"/>
  <c r="K37" i="6"/>
  <c r="P39" i="6"/>
  <c r="Q46" i="6"/>
  <c r="U35" i="6"/>
  <c r="J33" i="6"/>
  <c r="C37" i="6"/>
  <c r="P35" i="6"/>
  <c r="O44" i="6"/>
  <c r="N48" i="6"/>
  <c r="M37" i="6"/>
  <c r="E39" i="6"/>
  <c r="N43" i="6"/>
  <c r="T39" i="6"/>
  <c r="R41" i="6"/>
  <c r="T42" i="6"/>
  <c r="K44" i="6"/>
  <c r="D44" i="6"/>
  <c r="C39" i="6"/>
  <c r="R46" i="6"/>
  <c r="O34" i="6"/>
  <c r="D34" i="6"/>
  <c r="C41" i="6"/>
  <c r="C47" i="6"/>
  <c r="I45" i="6"/>
  <c r="T34" i="6"/>
  <c r="P42" i="6"/>
  <c r="Q40" i="6"/>
  <c r="J38" i="6"/>
  <c r="K6" i="3"/>
  <c r="K16" i="3"/>
  <c r="O14" i="3"/>
  <c r="K11" i="3"/>
  <c r="O5" i="3"/>
  <c r="P21" i="3"/>
  <c r="O28" i="3"/>
  <c r="O29" i="3"/>
  <c r="O10" i="3"/>
  <c r="P3" i="3"/>
  <c r="J25" i="3"/>
  <c r="P27" i="3"/>
  <c r="P6" i="3"/>
  <c r="J13" i="3"/>
  <c r="M299" i="1"/>
  <c r="P9" i="3"/>
  <c r="O37" i="6"/>
  <c r="C40" i="6"/>
  <c r="T45" i="6"/>
  <c r="G46" i="6"/>
  <c r="F39" i="6"/>
  <c r="G47" i="6"/>
  <c r="S40" i="6"/>
  <c r="F42" i="6"/>
  <c r="C42" i="6"/>
  <c r="L38" i="6"/>
  <c r="H43" i="6"/>
  <c r="O43" i="6"/>
  <c r="E48" i="6"/>
  <c r="O35" i="6"/>
  <c r="M38" i="6"/>
  <c r="I34" i="6"/>
  <c r="N46" i="6"/>
  <c r="I33" i="6"/>
  <c r="U37" i="6"/>
  <c r="S39" i="6"/>
  <c r="D35" i="6"/>
  <c r="D47" i="6"/>
  <c r="L35" i="6"/>
  <c r="L37" i="6"/>
  <c r="E36" i="6"/>
  <c r="M35" i="6"/>
  <c r="D42" i="6"/>
  <c r="T40" i="6"/>
  <c r="E41" i="6"/>
  <c r="J36" i="6"/>
  <c r="K33" i="6"/>
  <c r="P44" i="6"/>
  <c r="D33" i="6"/>
  <c r="R35" i="6"/>
  <c r="D38" i="6"/>
  <c r="J40" i="6"/>
  <c r="L47" i="6"/>
  <c r="M41" i="6"/>
  <c r="K15" i="3"/>
  <c r="J18" i="3"/>
  <c r="P14" i="3"/>
  <c r="J7" i="3"/>
  <c r="K5" i="3"/>
  <c r="P11" i="3"/>
  <c r="P34" i="3"/>
  <c r="J24" i="3"/>
  <c r="O13" i="3"/>
  <c r="K25" i="3"/>
  <c r="P4" i="3"/>
  <c r="J32" i="3"/>
  <c r="T44" i="6"/>
  <c r="O38" i="6"/>
  <c r="Q33" i="6"/>
  <c r="E43" i="6"/>
  <c r="H38" i="6"/>
  <c r="N45" i="6"/>
  <c r="C46" i="6"/>
  <c r="G44" i="6"/>
  <c r="N42" i="6"/>
  <c r="G35" i="6"/>
  <c r="L41" i="6"/>
  <c r="C44" i="6"/>
  <c r="M48" i="6"/>
  <c r="S36" i="6"/>
  <c r="E42" i="6"/>
  <c r="M44" i="6"/>
  <c r="J35" i="6"/>
  <c r="U43" i="6"/>
  <c r="Q36" i="6"/>
  <c r="M33" i="6"/>
  <c r="J44" i="6"/>
  <c r="P38" i="6"/>
  <c r="I35" i="6"/>
  <c r="R34" i="6"/>
  <c r="M42" i="6"/>
  <c r="E33" i="6"/>
  <c r="G36" i="6"/>
  <c r="H48" i="6"/>
  <c r="K45" i="6"/>
  <c r="H42" i="6"/>
  <c r="K46" i="6"/>
  <c r="K39" i="6"/>
  <c r="T46" i="6"/>
  <c r="S33" i="6"/>
  <c r="L34" i="6"/>
  <c r="E46" i="6"/>
  <c r="P41" i="6"/>
  <c r="Q47" i="6"/>
  <c r="P10" i="3"/>
  <c r="P12" i="3"/>
  <c r="O8" i="3"/>
  <c r="J29" i="3"/>
  <c r="J20" i="3"/>
  <c r="P32" i="3"/>
  <c r="O30" i="3"/>
  <c r="J17" i="3"/>
  <c r="O20" i="3"/>
  <c r="J6" i="3"/>
  <c r="K24" i="3"/>
  <c r="J28" i="3"/>
  <c r="J42" i="6"/>
  <c r="P43" i="6"/>
  <c r="I47" i="6"/>
  <c r="C36" i="6"/>
  <c r="J37" i="6"/>
  <c r="D37" i="6"/>
  <c r="T37" i="6"/>
  <c r="S45" i="6"/>
  <c r="P37" i="6"/>
  <c r="S35" i="6"/>
  <c r="P40" i="6"/>
  <c r="S38" i="6"/>
  <c r="U48" i="6"/>
  <c r="H37" i="6"/>
  <c r="S37" i="6"/>
  <c r="D36" i="6"/>
  <c r="S44" i="6"/>
  <c r="J46" i="6"/>
  <c r="M46" i="6"/>
  <c r="I46" i="6"/>
  <c r="U44" i="6"/>
  <c r="G34" i="6"/>
  <c r="T33" i="6"/>
  <c r="Q39" i="6"/>
  <c r="R37" i="6"/>
  <c r="F47" i="6"/>
  <c r="N44" i="6"/>
  <c r="P48" i="6"/>
  <c r="I42" i="6"/>
  <c r="Q43" i="6"/>
  <c r="U47" i="6"/>
  <c r="L42" i="6"/>
  <c r="I48" i="6"/>
  <c r="U41" i="6"/>
  <c r="G40" i="6"/>
  <c r="M47" i="6"/>
  <c r="L44" i="6"/>
  <c r="K34" i="6"/>
  <c r="J12" i="3"/>
  <c r="O24" i="3"/>
  <c r="K8" i="3"/>
  <c r="C48" i="6"/>
  <c r="F38" i="6"/>
  <c r="F43" i="6"/>
  <c r="F35" i="6"/>
  <c r="S34" i="6"/>
  <c r="N34" i="6"/>
  <c r="D48" i="6"/>
  <c r="O45" i="6"/>
  <c r="U40" i="6"/>
  <c r="L40" i="6"/>
  <c r="T43" i="6"/>
  <c r="U45" i="6"/>
  <c r="H40" i="6"/>
  <c r="O33" i="6"/>
  <c r="Q41" i="6"/>
  <c r="R47" i="6"/>
  <c r="I44" i="6"/>
  <c r="I41" i="6"/>
  <c r="T41" i="6"/>
  <c r="Q34" i="6"/>
  <c r="E35" i="6"/>
  <c r="N40" i="6"/>
  <c r="K40" i="6"/>
  <c r="E37" i="6"/>
  <c r="F45" i="6"/>
  <c r="T47" i="6"/>
  <c r="N38" i="6"/>
  <c r="H39" i="6"/>
  <c r="P33" i="6"/>
  <c r="L33" i="6"/>
  <c r="K41" i="6"/>
  <c r="S42" i="6"/>
  <c r="I37" i="6"/>
  <c r="Q48" i="6"/>
  <c r="H47" i="6"/>
  <c r="R39" i="6"/>
  <c r="K42" i="6"/>
  <c r="F37" i="6"/>
  <c r="O3" i="3"/>
  <c r="K31" i="3"/>
  <c r="P7" i="3"/>
  <c r="O27" i="3"/>
  <c r="K19" i="3"/>
  <c r="K17" i="3"/>
  <c r="K34" i="3"/>
  <c r="J34" i="3"/>
  <c r="O34" i="3"/>
  <c r="O32" i="3"/>
  <c r="O9" i="3"/>
  <c r="O31" i="3"/>
  <c r="J14" i="3"/>
  <c r="L48" i="6"/>
  <c r="U34" i="6"/>
  <c r="S46" i="6"/>
  <c r="N36" i="6"/>
  <c r="K13" i="3"/>
  <c r="K7" i="3"/>
  <c r="P22" i="3"/>
  <c r="P31" i="3"/>
  <c r="J19" i="3"/>
  <c r="K22" i="3"/>
  <c r="K33" i="3"/>
  <c r="K29" i="3"/>
  <c r="U33" i="6"/>
  <c r="J33" i="3"/>
  <c r="H36" i="6"/>
  <c r="I39" i="6"/>
  <c r="L43" i="6"/>
  <c r="H34" i="6"/>
  <c r="J3" i="3"/>
  <c r="O19" i="3"/>
  <c r="P26" i="3"/>
  <c r="P30" i="3"/>
  <c r="J5" i="3"/>
  <c r="K4" i="3"/>
  <c r="I43" i="6"/>
  <c r="K20" i="3"/>
  <c r="K48" i="6"/>
  <c r="F44" i="6"/>
  <c r="L39" i="6"/>
  <c r="C33" i="6"/>
  <c r="M36" i="6"/>
  <c r="K14" i="3"/>
  <c r="P13" i="3"/>
  <c r="P15" i="3"/>
  <c r="J9" i="3"/>
  <c r="C34" i="6"/>
  <c r="J10" i="3"/>
  <c r="O42" i="6"/>
  <c r="P33" i="3"/>
  <c r="M34" i="6"/>
  <c r="Q45" i="6"/>
  <c r="O40" i="6"/>
  <c r="R40" i="6"/>
  <c r="I38" i="6"/>
  <c r="P17" i="3"/>
  <c r="K30" i="3"/>
  <c r="O25" i="3"/>
  <c r="O33" i="3"/>
  <c r="N47" i="6"/>
  <c r="S43" i="6"/>
  <c r="R42" i="6"/>
  <c r="K36" i="6"/>
  <c r="Q42" i="6"/>
  <c r="K21" i="3"/>
  <c r="J22" i="3"/>
  <c r="K10" i="3"/>
  <c r="J15" i="3"/>
  <c r="K3" i="3"/>
  <c r="P29" i="3"/>
  <c r="T35" i="6"/>
  <c r="D39" i="6"/>
  <c r="P8" i="3"/>
  <c r="H46" i="6"/>
  <c r="O22" i="3"/>
  <c r="G33" i="6"/>
  <c r="P36" i="6"/>
  <c r="G43" i="6"/>
  <c r="R45" i="6"/>
  <c r="R43" i="6"/>
  <c r="O16" i="3"/>
  <c r="K27" i="3"/>
  <c r="K12" i="3"/>
  <c r="M40" i="6"/>
  <c r="P34" i="6"/>
  <c r="C35" i="6"/>
  <c r="O2" i="3"/>
  <c r="O4" i="3"/>
  <c r="M328" i="1"/>
  <c r="M320" i="1"/>
  <c r="M312" i="1"/>
  <c r="M342" i="1"/>
  <c r="M305" i="1"/>
  <c r="M335" i="1"/>
  <c r="M327" i="1"/>
  <c r="M319" i="1"/>
  <c r="M311" i="1"/>
  <c r="M341" i="1"/>
  <c r="M334" i="1"/>
  <c r="M326" i="1"/>
  <c r="M318" i="1"/>
  <c r="M310" i="1"/>
  <c r="M340" i="1"/>
  <c r="M333" i="1"/>
  <c r="M325" i="1"/>
  <c r="M317" i="1"/>
  <c r="M309" i="1"/>
  <c r="M339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8" i="6" l="1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<sst xmlns="http://schemas.openxmlformats.org/spreadsheetml/2006/main" count="3741" uniqueCount="175">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</sst>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2" totalsRowShown="0">
  <autoFilter ref="A1:P352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13" tableType="queryTable" totalsRowShown="0">
  <autoFilter ref="A1:D913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2"/>
  <sheetViews>
    <sheetView zoomScale="70" zoomScaleNormal="70" workbookViewId="0">
      <pane ySplit="1" topLeftCell="A326" activePane="bottomLeft" state="frozen"/>
      <selection pane="bottomLeft" activeCell="G356" sqref="G356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2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Iniciales'!$B$2:$B$38,D299)+SUMIFS($K$1:$K$352,$C$1:$C$352,C299,$D$1:$D$352,D299,$B$1:$B$352,"&lt;="&amp;B299)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Iniciales'!$B$2:$B$38,D300)+SUMIFS($K$1:$K$352,$C$1:$C$352,C300,$D$1:$D$352,D300,$B$1:$B$352,"&lt;="&amp;B300)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Iniciales'!$B$2:$B$38,D301)+SUMIFS($K$1:$K$352,$C$1:$C$352,C301,$D$1:$D$352,D301,$B$1:$B$352,"&lt;="&amp;B301)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Iniciales'!$B$2:$B$38,D302)+SUMIFS($K$1:$K$352,$C$1:$C$352,C302,$D$1:$D$352,D302,$B$1:$B$352,"&lt;="&amp;B302)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Iniciales'!$B$2:$B$38,D303)+SUMIFS($K$1:$K$352,$C$1:$C$352,C303,$D$1:$D$352,D303,$B$1:$B$352,"&lt;="&amp;B303)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Iniciales'!$B$2:$B$38,D304)+SUMIFS($K$1:$K$352,$C$1:$C$352,C304,$D$1:$D$352,D304,$B$1:$B$352,"&lt;="&amp;B304)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Iniciales'!$B$2:$B$38,D305)+SUMIFS($K$1:$K$352,$C$1:$C$352,C305,$D$1:$D$352,D305,$B$1:$B$352,"&lt;="&amp;B305)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Iniciales'!$B$2:$B$38,D306)+SUMIFS($K$1:$K$352,$C$1:$C$352,C306,$D$1:$D$352,D306,$B$1:$B$352,"&lt;="&amp;B306)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Iniciales'!$B$2:$B$38,D307)+SUMIFS($K$1:$K$352,$C$1:$C$352,C307,$D$1:$D$352,D307,$B$1:$B$352,"&lt;="&amp;B307)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Iniciales'!$B$2:$B$38,D308)+SUMIFS($K$1:$K$352,$C$1:$C$352,C308,$D$1:$D$352,D308,$B$1:$B$352,"&lt;="&amp;B308)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Iniciales'!$B$2:$B$38,D309)+SUMIFS($K$1:$K$352,$C$1:$C$352,C309,$D$1:$D$352,D309,$B$1:$B$352,"&lt;="&amp;B309)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Iniciales'!$B$2:$B$38,D310)+SUMIFS($K$1:$K$352,$C$1:$C$352,C310,$D$1:$D$352,D310,$B$1:$B$352,"&lt;="&amp;B310)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Iniciales'!$B$2:$B$38,D311)+SUMIFS($K$1:$K$352,$C$1:$C$352,C311,$D$1:$D$352,D311,$B$1:$B$352,"&lt;="&amp;B311)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Iniciales'!$B$2:$B$38,D312)+SUMIFS($K$1:$K$352,$C$1:$C$352,C312,$D$1:$D$352,D312,$B$1:$B$352,"&lt;="&amp;B312)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Iniciales'!$B$2:$B$38,D313)+SUMIFS($K$1:$K$352,$C$1:$C$352,C313,$D$1:$D$352,D313,$B$1:$B$352,"&lt;="&amp;B313)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Iniciales'!$B$2:$B$38,D314)+SUMIFS($K$1:$K$352,$C$1:$C$352,C314,$D$1:$D$352,D314,$B$1:$B$352,"&lt;="&amp;B314)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Iniciales'!$B$2:$B$38,D315)+SUMIFS($K$1:$K$352,$C$1:$C$352,C315,$D$1:$D$352,D315,$B$1:$B$352,"&lt;="&amp;B315)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Iniciales'!$B$2:$B$38,D316)+SUMIFS($K$1:$K$352,$C$1:$C$352,C316,$D$1:$D$352,D316,$B$1:$B$352,"&lt;="&amp;B316)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Iniciales'!$B$2:$B$38,D317)+SUMIFS($K$1:$K$352,$C$1:$C$352,C317,$D$1:$D$352,D317,$B$1:$B$352,"&lt;="&amp;B317)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Iniciales'!$B$2:$B$38,D318)+SUMIFS($K$1:$K$352,$C$1:$C$352,C318,$D$1:$D$352,D318,$B$1:$B$352,"&lt;="&amp;B318)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Iniciales'!$B$2:$B$38,D319)+SUMIFS($K$1:$K$352,$C$1:$C$352,C319,$D$1:$D$352,D319,$B$1:$B$352,"&lt;="&amp;B319)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Iniciales'!$B$2:$B$38,D320)+SUMIFS($K$1:$K$352,$C$1:$C$352,C320,$D$1:$D$352,D320,$B$1:$B$352,"&lt;="&amp;B320)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Iniciales'!$B$2:$B$38,D321)+SUMIFS($K$1:$K$352,$C$1:$C$352,C321,$D$1:$D$352,D321,$B$1:$B$352,"&lt;="&amp;B321)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Iniciales'!$B$2:$B$38,D322)+SUMIFS($K$1:$K$352,$C$1:$C$352,C322,$D$1:$D$352,D322,$B$1:$B$352,"&lt;="&amp;B322)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Iniciales'!$B$2:$B$38,D323)+SUMIFS($K$1:$K$352,$C$1:$C$352,C323,$D$1:$D$352,D323,$B$1:$B$352,"&lt;="&amp;B323)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Iniciales'!$B$2:$B$38,D324)+SUMIFS($K$1:$K$352,$C$1:$C$352,C324,$D$1:$D$352,D324,$B$1:$B$352,"&lt;="&amp;B324)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Iniciales'!$B$2:$B$38,D325)+SUMIFS($K$1:$K$352,$C$1:$C$352,C325,$D$1:$D$352,D325,$B$1:$B$352,"&lt;="&amp;B325)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Iniciales'!$B$2:$B$38,D326)+SUMIFS($K$1:$K$352,$C$1:$C$352,C326,$D$1:$D$352,D326,$B$1:$B$352,"&lt;="&amp;B326)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Iniciales'!$B$2:$B$38,D327)+SUMIFS($K$1:$K$352,$C$1:$C$352,C327,$D$1:$D$352,D327,$B$1:$B$352,"&lt;="&amp;B327)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Iniciales'!$B$2:$B$38,D328)+SUMIFS($K$1:$K$352,$C$1:$C$352,C328,$D$1:$D$352,D328,$B$1:$B$352,"&lt;="&amp;B328)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Iniciales'!$B$2:$B$38,D329)+SUMIFS($K$1:$K$352,$C$1:$C$352,C329,$D$1:$D$352,D329,$B$1:$B$352,"&lt;="&amp;B329)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Iniciales'!$B$2:$B$38,D330)+SUMIFS($K$1:$K$352,$C$1:$C$352,C330,$D$1:$D$352,D330,$B$1:$B$352,"&lt;="&amp;B330)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Iniciales'!$B$2:$B$38,D331)+SUMIFS($K$1:$K$352,$C$1:$C$352,C331,$D$1:$D$352,D331,$B$1:$B$352,"&lt;="&amp;B331)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Iniciales'!$B$2:$B$38,D332)+SUMIFS($K$1:$K$352,$C$1:$C$352,C332,$D$1:$D$352,D332,$B$1:$B$352,"&lt;="&amp;B332)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Iniciales'!$B$2:$B$38,D333)+SUMIFS($K$1:$K$352,$C$1:$C$352,C333,$D$1:$D$352,D333,$B$1:$B$352,"&lt;="&amp;B333)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Iniciales'!$B$2:$B$38,D334)+SUMIFS($K$1:$K$352,$C$1:$C$352,C334,$D$1:$D$352,D334,$B$1:$B$352,"&lt;="&amp;B334)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Iniciales'!$B$2:$B$38,D335)+SUMIFS($K$1:$K$352,$C$1:$C$352,C335,$D$1:$D$352,D335,$B$1:$B$352,"&lt;="&amp;B335)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Iniciales'!$B$2:$B$38,D336)+SUMIFS($K$1:$K$352,$C$1:$C$352,C336,$D$1:$D$352,D336,$B$1:$B$352,"&lt;="&amp;B336)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Iniciales'!$B$2:$B$38,D337)+SUMIFS($K$1:$K$352,$C$1:$C$352,C337,$D$1:$D$352,D337,$B$1:$B$352,"&lt;="&amp;B337)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Iniciales'!$B$2:$B$38,D338)+SUMIFS($K$1:$K$352,$C$1:$C$352,C338,$D$1:$D$352,D338,$B$1:$B$352,"&lt;="&amp;B338)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Iniciales'!$B$2:$B$38,D339)+SUMIFS($K$1:$K$352,$C$1:$C$352,C339,$D$1:$D$352,D339,$B$1:$B$352,"&lt;="&amp;B339)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Iniciales'!$B$2:$B$38,D340)+SUMIFS($K$1:$K$352,$C$1:$C$352,C340,$D$1:$D$352,D340,$B$1:$B$352,"&lt;="&amp;B340)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Iniciales'!$B$2:$B$38,D341)+SUMIFS($K$1:$K$352,$C$1:$C$352,C341,$D$1:$D$352,D341,$B$1:$B$352,"&lt;="&amp;B341)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Iniciales'!$B$2:$B$38,D342)+SUMIFS($K$1:$K$352,$C$1:$C$352,C342,$D$1:$D$352,D342,$B$1:$B$352,"&lt;="&amp;B342)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Iniciales'!$B$2:$B$38,D343)+SUMIFS($K$1:$K$352,$C$1:$C$352,C343,$D$1:$D$352,D343,$B$1:$B$352,"&lt;="&amp;B343)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Iniciales'!$B$2:$B$38,D344)+SUMIFS($K$1:$K$352,$C$1:$C$352,C344,$D$1:$D$352,D344,$B$1:$B$352,"&lt;="&amp;B344)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Iniciales'!$B$2:$B$38,D345)+SUMIFS($K$1:$K$352,$C$1:$C$352,C345,$D$1:$D$352,D345,$B$1:$B$352,"&lt;="&amp;B345)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Iniciales'!$B$2:$B$38,D346)+SUMIFS($K$1:$K$352,$C$1:$C$352,C346,$D$1:$D$352,D346,$B$1:$B$352,"&lt;="&amp;B346)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57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Iniciales'!$B$2:$B$38,D347)+SUMIFS($K$1:$K$352,$C$1:$C$352,C347,$D$1:$D$352,D347,$B$1:$B$352,"&lt;="&amp;B347)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57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Iniciales'!$B$2:$B$38,D348)+SUMIFS($K$1:$K$352,$C$1:$C$352,C348,$D$1:$D$352,D348,$B$1:$B$352,"&lt;="&amp;B348)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57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Iniciales'!$B$2:$B$38,D349)+SUMIFS($K$1:$K$352,$C$1:$C$352,C349,$D$1:$D$352,D349,$B$1:$B$352,"&lt;="&amp;B349)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57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Iniciales'!$B$2:$B$38,D350)+SUMIFS($K$1:$K$352,$C$1:$C$352,C350,$D$1:$D$352,D350,$B$1:$B$352,"&lt;="&amp;B350)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57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Iniciales'!$B$2:$B$38,D351)+SUMIFS($K$1:$K$352,$C$1:$C$352,C351,$D$1:$D$352,D351,$B$1:$B$352,"&lt;="&amp;B351)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58">
        <v>46190</v>
      </c>
      <c r="C352" s="4" t="str">
        <f>_xlfn.XLOOKUP(tblMovimientos[[#This Row],[Cuenta Bancaria]],Listas!$B:$B,Listas!$A:$A,"")</f>
        <v>Go Blue</v>
      </c>
      <c r="D352" s="59" t="s">
        <v>126</v>
      </c>
      <c r="E352" s="54" t="str">
        <f>_xlfn.XLOOKUP(tblMovimientos[[#This Row],[Cuenta Bancaria]],Listas!$B:$B,Listas!$C:$C,"")</f>
        <v xml:space="preserve">Amerant Bank </v>
      </c>
      <c r="F352" s="59" t="s">
        <v>10</v>
      </c>
      <c r="G352" s="59" t="s">
        <v>38</v>
      </c>
      <c r="H352" s="60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61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Iniciales'!$B$2:$B$38,D352)+SUMIFS($K$1:$K$352,$C$1:$C$352,C352,$D$1:$D$352,D352,$B$1:$B$352,"&lt;="&amp;B352)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C2:C352</xm:sqref>
        </x14:dataValidation>
        <x14:dataValidation type="list" allowBlank="1" xr:uid="{AAA2F2FB-5D82-4852-BA68-E541EA956BD2}">
          <x14:formula1>
            <xm:f>Listas!$B$2:$B$34</xm:f>
          </x14:formula1>
          <xm:sqref>D2:D352</xm:sqref>
        </x14:dataValidation>
        <x14:dataValidation type="list" allowBlank="1" xr:uid="{DC8BA3D2-F104-4639-8653-545CA2BBE131}">
          <x14:formula1>
            <xm:f>Listas!$E$2:$E$52</xm:f>
          </x14:formula1>
          <xm:sqref>G2:G352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433881.56000000011</v>
      </c>
      <c r="E2" s="41">
        <f>C2+D2</f>
        <v>850559.82000000007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3236361.5000000005</v>
      </c>
      <c r="E3" s="41">
        <f t="shared" ref="E3:E9" si="0">C3+D3</f>
        <v>4398369.68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8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" sqref="M2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5.6640625" bestFit="1" customWidth="1" collapsed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SUMIFS(Movimientos!$J$1:$J$352,Movimientos!$C$1:$C$352,$B2,Movimientos!$D$1:$D$352,$C2,Movimientos!$L$1:$L$352,A$3,Movimientos!$F$1:$F$352,"Ingreso")</f>
        <v>412744.62</v>
      </c>
      <c r="K2" s="48">
        <f>SUMIFS(Movimientos!$J$1:$J$352,Movimientos!$C$1:$C$352,$B2,Movimientos!$D$1:$D$352,$C2,Movimientos!$L$1:$L$352,A$3,Movimientos!$F$1:$F$352,"Egreso")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SUMIFS(Movimientos!$J$1:$J$352,Movimientos!$C$1:$C$352,$B2,Movimientos!$D$1:$D$352,$C2,Movimientos!$L$1:$L$352,A$4,Movimientos!$F$1:$F$352,"Ingreso")</f>
        <v>0</v>
      </c>
      <c r="P2" s="48">
        <f>SUMIFS(Movimientos!$J$1:$J$352,Movimientos!$C$1:$C$352,$B2,Movimientos!$D$1:$D$352,$C2,Movimientos!$L$1:$L$352,A$4,Movimientos!$F$1:$F$352,"Egreso")</f>
        <v>0</v>
      </c>
      <c r="Q2" s="7">
        <f>+O2-P2</f>
        <v>0</v>
      </c>
      <c r="R2" s="12">
        <f>N2+O2-P2</f>
        <v>124224.20000000019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SUMIFS(Movimientos!$J$1:$J$352,Movimientos!$C$1:$C$352,$B3,Movimientos!$D$1:$D$352,$C3,Movimientos!$L$1:$L$352,A$3,Movimientos!$F$1:$F$352,"Ingreso")</f>
        <v>1710000</v>
      </c>
      <c r="K3" s="48">
        <f>SUMIFS(Movimientos!$J$1:$J$352,Movimientos!$C$1:$C$352,$B3,Movimientos!$D$1:$D$352,$C3,Movimientos!$L$1:$L$352,A$3,Movimientos!$F$1:$F$352,"Egreso")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SUMIFS(Movimientos!$J$1:$J$352,Movimientos!$C$1:$C$352,$B3,Movimientos!$D$1:$D$352,$C3,Movimientos!$L$1:$L$352,A$4,Movimientos!$F$1:$F$352,"Ingreso")</f>
        <v>0</v>
      </c>
      <c r="P3" s="48">
        <f>SUMIFS(Movimientos!$J$1:$J$352,Movimientos!$C$1:$C$352,$B3,Movimientos!$D$1:$D$352,$C3,Movimientos!$L$1:$L$352,A$4,Movimientos!$F$1:$F$352,"Egreso")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SUMIFS(Movimientos!$J$1:$J$352,Movimientos!$C$1:$C$352,$B4,Movimientos!$D$1:$D$352,$C4,Movimientos!$L$1:$L$352,A$3,Movimientos!$F$1:$F$352,"Ingreso")</f>
        <v>0</v>
      </c>
      <c r="K4" s="48">
        <f>SUMIFS(Movimientos!$J$1:$J$352,Movimientos!$C$1:$C$352,$B4,Movimientos!$D$1:$D$352,$C4,Movimientos!$L$1:$L$352,A$3,Movimientos!$F$1:$F$352,"Egreso")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SUMIFS(Movimientos!$J$1:$J$352,Movimientos!$C$1:$C$352,$B4,Movimientos!$D$1:$D$352,$C4,Movimientos!$L$1:$L$352,A$4,Movimientos!$F$1:$F$352,"Ingreso")</f>
        <v>0</v>
      </c>
      <c r="P4" s="48">
        <f>SUMIFS(Movimientos!$J$1:$J$352,Movimientos!$C$1:$C$352,$B4,Movimientos!$D$1:$D$352,$C4,Movimientos!$L$1:$L$352,A$4,Movimientos!$F$1:$F$352,"Egreso")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SUMIFS(Movimientos!$J$1:$J$352,Movimientos!$C$1:$C$352,$B5,Movimientos!$D$1:$D$352,$C5,Movimientos!$L$1:$L$352,A$3,Movimientos!$F$1:$F$352,"Ingreso")</f>
        <v>6979.11</v>
      </c>
      <c r="K5" s="48">
        <f>SUMIFS(Movimientos!$J$1:$J$352,Movimientos!$C$1:$C$352,$B5,Movimientos!$D$1:$D$352,$C5,Movimientos!$L$1:$L$352,A$3,Movimientos!$F$1:$F$352,"Egreso")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SUMIFS(Movimientos!$J$1:$J$352,Movimientos!$C$1:$C$352,$B5,Movimientos!$D$1:$D$352,$C5,Movimientos!$L$1:$L$352,A$4,Movimientos!$F$1:$F$352,"Ingreso")</f>
        <v>0</v>
      </c>
      <c r="P5" s="48">
        <f>SUMIFS(Movimientos!$J$1:$J$352,Movimientos!$C$1:$C$352,$B5,Movimientos!$D$1:$D$352,$C5,Movimientos!$L$1:$L$352,A$4,Movimientos!$F$1:$F$352,"Egreso")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SUMIFS(Movimientos!$J$1:$J$352,Movimientos!$C$1:$C$352,$B6,Movimientos!$D$1:$D$352,$C6,Movimientos!$L$1:$L$352,A$3,Movimientos!$F$1:$F$352,"Ingreso")</f>
        <v>0</v>
      </c>
      <c r="K6" s="48">
        <f>SUMIFS(Movimientos!$J$1:$J$352,Movimientos!$C$1:$C$352,$B6,Movimientos!$D$1:$D$352,$C6,Movimientos!$L$1:$L$352,A$3,Movimientos!$F$1:$F$352,"Egreso")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SUMIFS(Movimientos!$J$1:$J$352,Movimientos!$C$1:$C$352,$B6,Movimientos!$D$1:$D$352,$C6,Movimientos!$L$1:$L$352,A$4,Movimientos!$F$1:$F$352,"Ingreso")</f>
        <v>0</v>
      </c>
      <c r="P6" s="48">
        <f>SUMIFS(Movimientos!$J$1:$J$352,Movimientos!$C$1:$C$352,$B6,Movimientos!$D$1:$D$352,$C6,Movimientos!$L$1:$L$352,A$4,Movimientos!$F$1:$F$352,"Egreso")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SUMIFS(Movimientos!$J$1:$J$352,Movimientos!$C$1:$C$352,$B7,Movimientos!$D$1:$D$352,$C7,Movimientos!$L$1:$L$352,A$3,Movimientos!$F$1:$F$352,"Ingreso")</f>
        <v>0</v>
      </c>
      <c r="K7" s="48">
        <f>SUMIFS(Movimientos!$J$1:$J$352,Movimientos!$C$1:$C$352,$B7,Movimientos!$D$1:$D$352,$C7,Movimientos!$L$1:$L$352,A$3,Movimientos!$F$1:$F$352,"Egreso")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SUMIFS(Movimientos!$J$1:$J$352,Movimientos!$C$1:$C$352,$B7,Movimientos!$D$1:$D$352,$C7,Movimientos!$L$1:$L$352,A$4,Movimientos!$F$1:$F$352,"Ingreso")</f>
        <v>0</v>
      </c>
      <c r="P7" s="48">
        <f>SUMIFS(Movimientos!$J$1:$J$352,Movimientos!$C$1:$C$352,$B7,Movimientos!$D$1:$D$352,$C7,Movimientos!$L$1:$L$352,A$4,Movimientos!$F$1:$F$352,"Egreso")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SUMIFS(Movimientos!$J$1:$J$352,Movimientos!$C$1:$C$352,$B8,Movimientos!$D$1:$D$352,$C8,Movimientos!$L$1:$L$352,A$3,Movimientos!$F$1:$F$352,"Ingreso")</f>
        <v>394761.57</v>
      </c>
      <c r="K8" s="48">
        <f>SUMIFS(Movimientos!$J$1:$J$352,Movimientos!$C$1:$C$352,$B8,Movimientos!$D$1:$D$352,$C8,Movimientos!$L$1:$L$352,A$3,Movimientos!$F$1:$F$352,"Egreso")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SUMIFS(Movimientos!$J$1:$J$352,Movimientos!$C$1:$C$352,$B8,Movimientos!$D$1:$D$352,$C8,Movimientos!$L$1:$L$352,A$4,Movimientos!$F$1:$F$352,"Ingreso")</f>
        <v>0</v>
      </c>
      <c r="P8" s="48">
        <f>SUMIFS(Movimientos!$J$1:$J$352,Movimientos!$C$1:$C$352,$B8,Movimientos!$D$1:$D$352,$C8,Movimientos!$L$1:$L$352,A$4,Movimientos!$F$1:$F$352,"Egreso")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SUMIFS(Movimientos!$J$1:$J$352,Movimientos!$C$1:$C$352,$B9,Movimientos!$D$1:$D$352,$C9,Movimientos!$L$1:$L$352,A$3,Movimientos!$F$1:$F$352,"Ingreso")</f>
        <v>15307.88</v>
      </c>
      <c r="K9" s="48">
        <f>SUMIFS(Movimientos!$J$1:$J$352,Movimientos!$C$1:$C$352,$B9,Movimientos!$D$1:$D$352,$C9,Movimientos!$L$1:$L$352,A$3,Movimientos!$F$1:$F$352,"Egreso")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SUMIFS(Movimientos!$J$1:$J$352,Movimientos!$C$1:$C$352,$B9,Movimientos!$D$1:$D$352,$C9,Movimientos!$L$1:$L$352,A$4,Movimientos!$F$1:$F$352,"Ingreso")</f>
        <v>0</v>
      </c>
      <c r="P9" s="48">
        <f>SUMIFS(Movimientos!$J$1:$J$352,Movimientos!$C$1:$C$352,$B9,Movimientos!$D$1:$D$352,$C9,Movimientos!$L$1:$L$352,A$4,Movimientos!$F$1:$F$352,"Egreso")</f>
        <v>0</v>
      </c>
      <c r="Q9" s="7">
        <f t="shared" si="1"/>
        <v>0</v>
      </c>
      <c r="R9" s="12">
        <f t="shared" si="6"/>
        <v>10088.029999999997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SUMIFS(Movimientos!$J$1:$J$352,Movimientos!$C$1:$C$352,$B10,Movimientos!$D$1:$D$352,$C10,Movimientos!$L$1:$L$352,A$3,Movimientos!$F$1:$F$352,"Ingreso")</f>
        <v>0</v>
      </c>
      <c r="K10" s="48">
        <f>SUMIFS(Movimientos!$J$1:$J$352,Movimientos!$C$1:$C$352,$B10,Movimientos!$D$1:$D$352,$C10,Movimientos!$L$1:$L$352,A$3,Movimientos!$F$1:$F$352,"Egreso")</f>
        <v>29.42</v>
      </c>
      <c r="L10" s="7">
        <f t="shared" si="0"/>
        <v>-29.42</v>
      </c>
      <c r="M10" s="12">
        <f t="shared" si="4"/>
        <v>533.58000000000004</v>
      </c>
      <c r="N10" s="5">
        <f t="shared" si="5"/>
        <v>533.58000000000004</v>
      </c>
      <c r="O10" s="48">
        <f>SUMIFS(Movimientos!$J$1:$J$352,Movimientos!$C$1:$C$352,$B10,Movimientos!$D$1:$D$352,$C10,Movimientos!$L$1:$L$352,A$4,Movimientos!$F$1:$F$352,"Ingreso")</f>
        <v>0</v>
      </c>
      <c r="P10" s="48">
        <f>SUMIFS(Movimientos!$J$1:$J$352,Movimientos!$C$1:$C$352,$B10,Movimientos!$D$1:$D$352,$C10,Movimientos!$L$1:$L$352,A$4,Movimientos!$F$1:$F$352,"Egreso")</f>
        <v>0</v>
      </c>
      <c r="Q10" s="7">
        <f t="shared" si="1"/>
        <v>0</v>
      </c>
      <c r="R10" s="12">
        <f t="shared" si="6"/>
        <v>533.58000000000004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SUMIFS(Movimientos!$J$1:$J$352,Movimientos!$C$1:$C$352,$B11,Movimientos!$D$1:$D$352,$C11,Movimientos!$L$1:$L$352,A$3,Movimientos!$F$1:$F$352,"Ingreso")</f>
        <v>0</v>
      </c>
      <c r="K11" s="48">
        <f>SUMIFS(Movimientos!$J$1:$J$352,Movimientos!$C$1:$C$352,$B11,Movimientos!$D$1:$D$352,$C11,Movimientos!$L$1:$L$352,A$3,Movimientos!$F$1:$F$352,"Egreso")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SUMIFS(Movimientos!$J$1:$J$352,Movimientos!$C$1:$C$352,$B11,Movimientos!$D$1:$D$352,$C11,Movimientos!$L$1:$L$352,A$4,Movimientos!$F$1:$F$352,"Ingreso")</f>
        <v>0</v>
      </c>
      <c r="P11" s="48">
        <f>SUMIFS(Movimientos!$J$1:$J$352,Movimientos!$C$1:$C$352,$B11,Movimientos!$D$1:$D$352,$C11,Movimientos!$L$1:$L$352,A$4,Movimientos!$F$1:$F$352,"Egreso")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SUMIFS(Movimientos!$J$1:$J$352,Movimientos!$C$1:$C$352,$B12,Movimientos!$D$1:$D$352,$C12,Movimientos!$L$1:$L$352,A$3,Movimientos!$F$1:$F$352,"Ingreso")</f>
        <v>3120000</v>
      </c>
      <c r="K12" s="48">
        <f>SUMIFS(Movimientos!$J$1:$J$352,Movimientos!$C$1:$C$352,$B12,Movimientos!$D$1:$D$352,$C12,Movimientos!$L$1:$L$352,A$3,Movimientos!$F$1:$F$352,"Egreso")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SUMIFS(Movimientos!$J$1:$J$352,Movimientos!$C$1:$C$352,$B12,Movimientos!$D$1:$D$352,$C12,Movimientos!$L$1:$L$352,A$4,Movimientos!$F$1:$F$352,"Ingreso")</f>
        <v>0</v>
      </c>
      <c r="P12" s="48">
        <f>SUMIFS(Movimientos!$J$1:$J$352,Movimientos!$C$1:$C$352,$B12,Movimientos!$D$1:$D$352,$C12,Movimientos!$L$1:$L$352,A$4,Movimientos!$F$1:$F$352,"Egreso")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SUMIFS(Movimientos!$J$1:$J$352,Movimientos!$C$1:$C$352,$B13,Movimientos!$D$1:$D$352,$C13,Movimientos!$L$1:$L$352,A$3,Movimientos!$F$1:$F$352,"Ingreso")</f>
        <v>0</v>
      </c>
      <c r="K13" s="48">
        <f>SUMIFS(Movimientos!$J$1:$J$352,Movimientos!$C$1:$C$352,$B13,Movimientos!$D$1:$D$352,$C13,Movimientos!$L$1:$L$352,A$3,Movimientos!$F$1:$F$352,"Egreso")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SUMIFS(Movimientos!$J$1:$J$352,Movimientos!$C$1:$C$352,$B13,Movimientos!$D$1:$D$352,$C13,Movimientos!$L$1:$L$352,A$4,Movimientos!$F$1:$F$352,"Ingreso")</f>
        <v>0</v>
      </c>
      <c r="P13" s="48">
        <f>SUMIFS(Movimientos!$J$1:$J$352,Movimientos!$C$1:$C$352,$B13,Movimientos!$D$1:$D$352,$C13,Movimientos!$L$1:$L$352,A$4,Movimientos!$F$1:$F$352,"Egreso")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SUMIFS(Movimientos!$J$1:$J$352,Movimientos!$C$1:$C$352,$B14,Movimientos!$D$1:$D$352,$C14,Movimientos!$L$1:$L$352,A$3,Movimientos!$F$1:$F$352,"Ingreso")</f>
        <v>54600</v>
      </c>
      <c r="K14" s="48">
        <f>SUMIFS(Movimientos!$J$1:$J$352,Movimientos!$C$1:$C$352,$B14,Movimientos!$D$1:$D$352,$C14,Movimientos!$L$1:$L$352,A$3,Movimientos!$F$1:$F$352,"Egreso")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SUMIFS(Movimientos!$J$1:$J$352,Movimientos!$C$1:$C$352,$B14,Movimientos!$D$1:$D$352,$C14,Movimientos!$L$1:$L$352,A$4,Movimientos!$F$1:$F$352,"Ingreso")</f>
        <v>0</v>
      </c>
      <c r="P14" s="48">
        <f>SUMIFS(Movimientos!$J$1:$J$352,Movimientos!$C$1:$C$352,$B14,Movimientos!$D$1:$D$352,$C14,Movimientos!$L$1:$L$352,A$4,Movimientos!$F$1:$F$352,"Egreso")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SUMIFS(Movimientos!$J$1:$J$352,Movimientos!$C$1:$C$352,$B15,Movimientos!$D$1:$D$352,$C15,Movimientos!$L$1:$L$352,A$3,Movimientos!$F$1:$F$352,"Ingreso")</f>
        <v>0</v>
      </c>
      <c r="K15" s="48">
        <f>SUMIFS(Movimientos!$J$1:$J$352,Movimientos!$C$1:$C$352,$B15,Movimientos!$D$1:$D$352,$C15,Movimientos!$L$1:$L$352,A$3,Movimientos!$F$1:$F$352,"Egreso")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SUMIFS(Movimientos!$J$1:$J$352,Movimientos!$C$1:$C$352,$B15,Movimientos!$D$1:$D$352,$C15,Movimientos!$L$1:$L$352,A$4,Movimientos!$F$1:$F$352,"Ingreso")</f>
        <v>0</v>
      </c>
      <c r="P15" s="48">
        <f>SUMIFS(Movimientos!$J$1:$J$352,Movimientos!$C$1:$C$352,$B15,Movimientos!$D$1:$D$352,$C15,Movimientos!$L$1:$L$352,A$4,Movimientos!$F$1:$F$352,"Egreso")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SUMIFS(Movimientos!$J$1:$J$352,Movimientos!$C$1:$C$352,$B16,Movimientos!$D$1:$D$352,$C16,Movimientos!$L$1:$L$352,A$3,Movimientos!$F$1:$F$352,"Ingreso")</f>
        <v>0</v>
      </c>
      <c r="K16" s="48">
        <f>SUMIFS(Movimientos!$J$1:$J$352,Movimientos!$C$1:$C$352,$B16,Movimientos!$D$1:$D$352,$C16,Movimientos!$L$1:$L$352,A$3,Movimientos!$F$1:$F$352,"Egreso")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SUMIFS(Movimientos!$J$1:$J$352,Movimientos!$C$1:$C$352,$B16,Movimientos!$D$1:$D$352,$C16,Movimientos!$L$1:$L$352,A$4,Movimientos!$F$1:$F$352,"Ingreso")</f>
        <v>0</v>
      </c>
      <c r="P16" s="48">
        <f>SUMIFS(Movimientos!$J$1:$J$352,Movimientos!$C$1:$C$352,$B16,Movimientos!$D$1:$D$352,$C16,Movimientos!$L$1:$L$352,A$4,Movimientos!$F$1:$F$352,"Egreso")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SUMIFS(Movimientos!$J$1:$J$352,Movimientos!$C$1:$C$352,$B17,Movimientos!$D$1:$D$352,$C17,Movimientos!$L$1:$L$352,A$3,Movimientos!$F$1:$F$352,"Ingreso")</f>
        <v>0</v>
      </c>
      <c r="K17" s="48">
        <f>SUMIFS(Movimientos!$J$1:$J$352,Movimientos!$C$1:$C$352,$B17,Movimientos!$D$1:$D$352,$C17,Movimientos!$L$1:$L$352,A$3,Movimientos!$F$1:$F$352,"Egreso")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SUMIFS(Movimientos!$J$1:$J$352,Movimientos!$C$1:$C$352,$B17,Movimientos!$D$1:$D$352,$C17,Movimientos!$L$1:$L$352,A$4,Movimientos!$F$1:$F$352,"Ingreso")</f>
        <v>0</v>
      </c>
      <c r="P17" s="48">
        <f>SUMIFS(Movimientos!$J$1:$J$352,Movimientos!$C$1:$C$352,$B17,Movimientos!$D$1:$D$352,$C17,Movimientos!$L$1:$L$352,A$4,Movimientos!$F$1:$F$352,"Egreso")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SUMIFS(Movimientos!$J$1:$J$352,Movimientos!$C$1:$C$352,$B18,Movimientos!$D$1:$D$352,$C18,Movimientos!$L$1:$L$352,A$3,Movimientos!$F$1:$F$352,"Ingreso")</f>
        <v>0</v>
      </c>
      <c r="K18" s="48">
        <f>SUMIFS(Movimientos!$J$1:$J$352,Movimientos!$C$1:$C$352,$B18,Movimientos!$D$1:$D$352,$C18,Movimientos!$L$1:$L$352,A$3,Movimientos!$F$1:$F$352,"Egreso")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SUMIFS(Movimientos!$J$1:$J$352,Movimientos!$C$1:$C$352,$B18,Movimientos!$D$1:$D$352,$C18,Movimientos!$L$1:$L$352,A$4,Movimientos!$F$1:$F$352,"Ingreso")</f>
        <v>0</v>
      </c>
      <c r="P18" s="48">
        <f>SUMIFS(Movimientos!$J$1:$J$352,Movimientos!$C$1:$C$352,$B18,Movimientos!$D$1:$D$352,$C18,Movimientos!$L$1:$L$352,A$4,Movimientos!$F$1:$F$352,"Egreso")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SUMIFS(Movimientos!$J$1:$J$352,Movimientos!$C$1:$C$352,$B19,Movimientos!$D$1:$D$352,$C19,Movimientos!$L$1:$L$352,A$3,Movimientos!$F$1:$F$352,"Ingreso")</f>
        <v>50000</v>
      </c>
      <c r="K19" s="48">
        <f>SUMIFS(Movimientos!$J$1:$J$352,Movimientos!$C$1:$C$352,$B19,Movimientos!$D$1:$D$352,$C19,Movimientos!$L$1:$L$352,A$3,Movimientos!$F$1:$F$352,"Egreso")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SUMIFS(Movimientos!$J$1:$J$352,Movimientos!$C$1:$C$352,$B19,Movimientos!$D$1:$D$352,$C19,Movimientos!$L$1:$L$352,A$4,Movimientos!$F$1:$F$352,"Ingreso")</f>
        <v>0</v>
      </c>
      <c r="P19" s="48">
        <f>SUMIFS(Movimientos!$J$1:$J$352,Movimientos!$C$1:$C$352,$B19,Movimientos!$D$1:$D$352,$C19,Movimientos!$L$1:$L$352,A$4,Movimientos!$F$1:$F$352,"Egreso")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SUMIFS(Movimientos!$J$1:$J$352,Movimientos!$C$1:$C$352,$B20,Movimientos!$D$1:$D$352,$C20,Movimientos!$L$1:$L$352,A$3,Movimientos!$F$1:$F$352,"Ingreso")</f>
        <v>0</v>
      </c>
      <c r="K20" s="48">
        <f>SUMIFS(Movimientos!$J$1:$J$352,Movimientos!$C$1:$C$352,$B20,Movimientos!$D$1:$D$352,$C20,Movimientos!$L$1:$L$352,A$3,Movimientos!$F$1:$F$352,"Egreso")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SUMIFS(Movimientos!$J$1:$J$352,Movimientos!$C$1:$C$352,$B20,Movimientos!$D$1:$D$352,$C20,Movimientos!$L$1:$L$352,A$4,Movimientos!$F$1:$F$352,"Ingreso")</f>
        <v>0</v>
      </c>
      <c r="P20" s="48">
        <f>SUMIFS(Movimientos!$J$1:$J$352,Movimientos!$C$1:$C$352,$B20,Movimientos!$D$1:$D$352,$C20,Movimientos!$L$1:$L$352,A$4,Movimientos!$F$1:$F$352,"Egreso")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SUMIFS(Movimientos!$J$1:$J$352,Movimientos!$C$1:$C$352,$B21,Movimientos!$D$1:$D$352,$C21,Movimientos!$L$1:$L$352,A$3,Movimientos!$F$1:$F$352,"Ingreso")</f>
        <v>0</v>
      </c>
      <c r="K21" s="48">
        <f>SUMIFS(Movimientos!$J$1:$J$352,Movimientos!$C$1:$C$352,$B21,Movimientos!$D$1:$D$352,$C21,Movimientos!$L$1:$L$352,A$3,Movimientos!$F$1:$F$352,"Egreso")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SUMIFS(Movimientos!$J$1:$J$352,Movimientos!$C$1:$C$352,$B21,Movimientos!$D$1:$D$352,$C21,Movimientos!$L$1:$L$352,A$4,Movimientos!$F$1:$F$352,"Ingreso")</f>
        <v>0</v>
      </c>
      <c r="P21" s="48">
        <f>SUMIFS(Movimientos!$J$1:$J$352,Movimientos!$C$1:$C$352,$B21,Movimientos!$D$1:$D$352,$C21,Movimientos!$L$1:$L$352,A$4,Movimientos!$F$1:$F$352,"Egreso")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SUMIFS(Movimientos!$J$1:$J$352,Movimientos!$C$1:$C$352,$B22,Movimientos!$D$1:$D$352,$C22,Movimientos!$L$1:$L$352,A$3,Movimientos!$F$1:$F$352,"Ingreso")</f>
        <v>0</v>
      </c>
      <c r="K22" s="48">
        <f>SUMIFS(Movimientos!$J$1:$J$352,Movimientos!$C$1:$C$352,$B22,Movimientos!$D$1:$D$352,$C22,Movimientos!$L$1:$L$352,A$3,Movimientos!$F$1:$F$352,"Egreso")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SUMIFS(Movimientos!$J$1:$J$352,Movimientos!$C$1:$C$352,$B22,Movimientos!$D$1:$D$352,$C22,Movimientos!$L$1:$L$352,A$4,Movimientos!$F$1:$F$352,"Ingreso")</f>
        <v>0</v>
      </c>
      <c r="P22" s="48">
        <f>SUMIFS(Movimientos!$J$1:$J$352,Movimientos!$C$1:$C$352,$B22,Movimientos!$D$1:$D$352,$C22,Movimientos!$L$1:$L$352,A$4,Movimientos!$F$1:$F$352,"Egreso")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SUMIFS(Movimientos!$J$1:$J$352,Movimientos!$C$1:$C$352,$B23,Movimientos!$D$1:$D$352,$C23,Movimientos!$L$1:$L$352,A$3,Movimientos!$F$1:$F$352,"Ingreso")</f>
        <v>0</v>
      </c>
      <c r="K23" s="48">
        <f>SUMIFS(Movimientos!$J$1:$J$352,Movimientos!$C$1:$C$352,$B23,Movimientos!$D$1:$D$352,$C23,Movimientos!$L$1:$L$352,A$3,Movimientos!$F$1:$F$352,"Egreso")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SUMIFS(Movimientos!$J$1:$J$352,Movimientos!$C$1:$C$352,$B23,Movimientos!$D$1:$D$352,$C23,Movimientos!$L$1:$L$352,A$4,Movimientos!$F$1:$F$352,"Ingreso")</f>
        <v>0</v>
      </c>
      <c r="P23" s="48">
        <f>SUMIFS(Movimientos!$J$1:$J$352,Movimientos!$C$1:$C$352,$B23,Movimientos!$D$1:$D$352,$C23,Movimientos!$L$1:$L$352,A$4,Movimientos!$F$1:$F$352,"Egreso")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SUMIFS(Movimientos!$J$1:$J$352,Movimientos!$C$1:$C$352,$B24,Movimientos!$D$1:$D$352,$C24,Movimientos!$L$1:$L$352,A$3,Movimientos!$F$1:$F$352,"Ingreso")</f>
        <v>0</v>
      </c>
      <c r="K24" s="48">
        <f>SUMIFS(Movimientos!$J$1:$J$352,Movimientos!$C$1:$C$352,$B24,Movimientos!$D$1:$D$352,$C24,Movimientos!$L$1:$L$352,A$3,Movimientos!$F$1:$F$352,"Egreso")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SUMIFS(Movimientos!$J$1:$J$352,Movimientos!$C$1:$C$352,$B24,Movimientos!$D$1:$D$352,$C24,Movimientos!$L$1:$L$352,A$4,Movimientos!$F$1:$F$352,"Ingreso")</f>
        <v>0</v>
      </c>
      <c r="P24" s="48">
        <f>SUMIFS(Movimientos!$J$1:$J$352,Movimientos!$C$1:$C$352,$B24,Movimientos!$D$1:$D$352,$C24,Movimientos!$L$1:$L$352,A$4,Movimientos!$F$1:$F$352,"Egreso")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SUMIFS(Movimientos!$J$1:$J$352,Movimientos!$C$1:$C$352,$B25,Movimientos!$D$1:$D$352,$C25,Movimientos!$L$1:$L$352,A$3,Movimientos!$F$1:$F$352,"Ingreso")</f>
        <v>0</v>
      </c>
      <c r="K25" s="48">
        <f>SUMIFS(Movimientos!$J$1:$J$352,Movimientos!$C$1:$C$352,$B25,Movimientos!$D$1:$D$352,$C25,Movimientos!$L$1:$L$352,A$3,Movimientos!$F$1:$F$352,"Egreso")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SUMIFS(Movimientos!$J$1:$J$352,Movimientos!$C$1:$C$352,$B25,Movimientos!$D$1:$D$352,$C25,Movimientos!$L$1:$L$352,A$4,Movimientos!$F$1:$F$352,"Ingreso")</f>
        <v>0</v>
      </c>
      <c r="P25" s="48">
        <f>SUMIFS(Movimientos!$J$1:$J$352,Movimientos!$C$1:$C$352,$B25,Movimientos!$D$1:$D$352,$C25,Movimientos!$L$1:$L$352,A$4,Movimientos!$F$1:$F$352,"Egreso")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SUMIFS(Movimientos!$J$1:$J$352,Movimientos!$C$1:$C$352,$B26,Movimientos!$D$1:$D$352,$C26,Movimientos!$L$1:$L$352,A$3,Movimientos!$F$1:$F$352,"Ingreso")</f>
        <v>0</v>
      </c>
      <c r="K26" s="48">
        <f>SUMIFS(Movimientos!$J$1:$J$352,Movimientos!$C$1:$C$352,$B26,Movimientos!$D$1:$D$352,$C26,Movimientos!$L$1:$L$352,A$3,Movimientos!$F$1:$F$352,"Egreso")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SUMIFS(Movimientos!$J$1:$J$352,Movimientos!$C$1:$C$352,$B26,Movimientos!$D$1:$D$352,$C26,Movimientos!$L$1:$L$352,A$4,Movimientos!$F$1:$F$352,"Ingreso")</f>
        <v>0</v>
      </c>
      <c r="P26" s="48">
        <f>SUMIFS(Movimientos!$J$1:$J$352,Movimientos!$C$1:$C$352,$B26,Movimientos!$D$1:$D$352,$C26,Movimientos!$L$1:$L$352,A$4,Movimientos!$F$1:$F$352,"Egreso")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SUMIFS(Movimientos!$J$1:$J$352,Movimientos!$C$1:$C$352,$B27,Movimientos!$D$1:$D$352,$C27,Movimientos!$L$1:$L$352,A$3,Movimientos!$F$1:$F$352,"Ingreso")</f>
        <v>0</v>
      </c>
      <c r="K27" s="48">
        <f>SUMIFS(Movimientos!$J$1:$J$352,Movimientos!$C$1:$C$352,$B27,Movimientos!$D$1:$D$352,$C27,Movimientos!$L$1:$L$352,A$3,Movimientos!$F$1:$F$352,"Egreso")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SUMIFS(Movimientos!$J$1:$J$352,Movimientos!$C$1:$C$352,$B27,Movimientos!$D$1:$D$352,$C27,Movimientos!$L$1:$L$352,A$4,Movimientos!$F$1:$F$352,"Ingreso")</f>
        <v>0</v>
      </c>
      <c r="P27" s="48">
        <f>SUMIFS(Movimientos!$J$1:$J$352,Movimientos!$C$1:$C$352,$B27,Movimientos!$D$1:$D$352,$C27,Movimientos!$L$1:$L$352,A$4,Movimientos!$F$1:$F$352,"Egreso")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SUMIFS(Movimientos!$J$1:$J$352,Movimientos!$C$1:$C$352,$B28,Movimientos!$D$1:$D$352,$C28,Movimientos!$L$1:$L$352,A$3,Movimientos!$F$1:$F$352,"Ingreso")</f>
        <v>0</v>
      </c>
      <c r="K28" s="48">
        <f>SUMIFS(Movimientos!$J$1:$J$352,Movimientos!$C$1:$C$352,$B28,Movimientos!$D$1:$D$352,$C28,Movimientos!$L$1:$L$352,A$3,Movimientos!$F$1:$F$352,"Egreso")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SUMIFS(Movimientos!$J$1:$J$352,Movimientos!$C$1:$C$352,$B28,Movimientos!$D$1:$D$352,$C28,Movimientos!$L$1:$L$352,A$4,Movimientos!$F$1:$F$352,"Ingreso")</f>
        <v>0</v>
      </c>
      <c r="P28" s="48">
        <f>SUMIFS(Movimientos!$J$1:$J$352,Movimientos!$C$1:$C$352,$B28,Movimientos!$D$1:$D$352,$C28,Movimientos!$L$1:$L$352,A$4,Movimientos!$F$1:$F$352,"Egreso")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SUMIFS(Movimientos!$J$1:$J$352,Movimientos!$C$1:$C$352,$B29,Movimientos!$D$1:$D$352,$C29,Movimientos!$L$1:$L$352,A$3,Movimientos!$F$1:$F$352,"Ingreso")</f>
        <v>4000</v>
      </c>
      <c r="K29" s="48">
        <f>SUMIFS(Movimientos!$J$1:$J$352,Movimientos!$C$1:$C$352,$B29,Movimientos!$D$1:$D$352,$C29,Movimientos!$L$1:$L$352,A$3,Movimientos!$F$1:$F$352,"Egreso")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SUMIFS(Movimientos!$J$1:$J$352,Movimientos!$C$1:$C$352,$B29,Movimientos!$D$1:$D$352,$C29,Movimientos!$L$1:$L$352,A$4,Movimientos!$F$1:$F$352,"Ingreso")</f>
        <v>0</v>
      </c>
      <c r="P29" s="48">
        <f>SUMIFS(Movimientos!$J$1:$J$352,Movimientos!$C$1:$C$352,$B29,Movimientos!$D$1:$D$352,$C29,Movimientos!$L$1:$L$352,A$4,Movimientos!$F$1:$F$352,"Egreso")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SUMIFS(Movimientos!$J$1:$J$352,Movimientos!$C$1:$C$352,$B30,Movimientos!$D$1:$D$352,$C30,Movimientos!$L$1:$L$352,A$3,Movimientos!$F$1:$F$352,"Ingreso")</f>
        <v>0</v>
      </c>
      <c r="K30" s="48">
        <f>SUMIFS(Movimientos!$J$1:$J$352,Movimientos!$C$1:$C$352,$B30,Movimientos!$D$1:$D$352,$C30,Movimientos!$L$1:$L$352,A$3,Movimientos!$F$1:$F$352,"Egreso")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SUMIFS(Movimientos!$J$1:$J$352,Movimientos!$C$1:$C$352,$B30,Movimientos!$D$1:$D$352,$C30,Movimientos!$L$1:$L$352,A$4,Movimientos!$F$1:$F$352,"Ingreso")</f>
        <v>0</v>
      </c>
      <c r="P30" s="48">
        <f>SUMIFS(Movimientos!$J$1:$J$352,Movimientos!$C$1:$C$352,$B30,Movimientos!$D$1:$D$352,$C30,Movimientos!$L$1:$L$352,A$4,Movimientos!$F$1:$F$352,"Egreso")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SUMIFS(Movimientos!$J$1:$J$352,Movimientos!$C$1:$C$352,$B31,Movimientos!$D$1:$D$352,$C31,Movimientos!$L$1:$L$352,A$3,Movimientos!$F$1:$F$352,"Ingreso")</f>
        <v>15000</v>
      </c>
      <c r="K31" s="48">
        <f>SUMIFS(Movimientos!$J$1:$J$352,Movimientos!$C$1:$C$352,$B31,Movimientos!$D$1:$D$352,$C31,Movimientos!$L$1:$L$352,A$3,Movimientos!$F$1:$F$352,"Egreso")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SUMIFS(Movimientos!$J$1:$J$352,Movimientos!$C$1:$C$352,$B31,Movimientos!$D$1:$D$352,$C31,Movimientos!$L$1:$L$352,A$4,Movimientos!$F$1:$F$352,"Ingreso")</f>
        <v>0</v>
      </c>
      <c r="P31" s="48">
        <f>SUMIFS(Movimientos!$J$1:$J$352,Movimientos!$C$1:$C$352,$B31,Movimientos!$D$1:$D$352,$C31,Movimientos!$L$1:$L$352,A$4,Movimientos!$F$1:$F$352,"Egreso")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SUMIFS(Movimientos!$J$1:$J$352,Movimientos!$C$1:$C$352,$B32,Movimientos!$D$1:$D$352,$C32,Movimientos!$L$1:$L$352,A$3,Movimientos!$F$1:$F$352,"Ingreso")</f>
        <v>0</v>
      </c>
      <c r="K32" s="48">
        <f>SUMIFS(Movimientos!$J$1:$J$352,Movimientos!$C$1:$C$352,$B32,Movimientos!$D$1:$D$352,$C32,Movimientos!$L$1:$L$352,A$3,Movimientos!$F$1:$F$352,"Egreso")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SUMIFS(Movimientos!$J$1:$J$352,Movimientos!$C$1:$C$352,$B32,Movimientos!$D$1:$D$352,$C32,Movimientos!$L$1:$L$352,A$4,Movimientos!$F$1:$F$352,"Ingreso")</f>
        <v>0</v>
      </c>
      <c r="P32" s="48">
        <f>SUMIFS(Movimientos!$J$1:$J$352,Movimientos!$C$1:$C$352,$B32,Movimientos!$D$1:$D$352,$C32,Movimientos!$L$1:$L$352,A$4,Movimientos!$F$1:$F$352,"Egreso")</f>
        <v>0</v>
      </c>
      <c r="Q32" s="7">
        <f t="shared" si="1"/>
        <v>0</v>
      </c>
      <c r="R32" s="12">
        <f t="shared" si="6"/>
        <v>16681.349999999999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SUMIFS(Movimientos!$J$1:$J$352,Movimientos!$C$1:$C$352,$B33,Movimientos!$D$1:$D$352,$C33,Movimientos!$L$1:$L$352,A$3,Movimientos!$F$1:$F$352,"Ingreso")</f>
        <v>59000</v>
      </c>
      <c r="K33" s="48">
        <f>SUMIFS(Movimientos!$J$1:$J$352,Movimientos!$C$1:$C$352,$B33,Movimientos!$D$1:$D$352,$C33,Movimientos!$L$1:$L$352,A$3,Movimientos!$F$1:$F$352,"Egreso")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SUMIFS(Movimientos!$J$1:$J$352,Movimientos!$C$1:$C$352,$B33,Movimientos!$D$1:$D$352,$C33,Movimientos!$L$1:$L$352,A$4,Movimientos!$F$1:$F$352,"Ingreso")</f>
        <v>0</v>
      </c>
      <c r="P33" s="48">
        <f>SUMIFS(Movimientos!$J$1:$J$352,Movimientos!$C$1:$C$352,$B33,Movimientos!$D$1:$D$352,$C33,Movimientos!$L$1:$L$352,A$4,Movimientos!$F$1:$F$352,"Egreso")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SUMIFS(Movimientos!$J$1:$J$352,Movimientos!$C$1:$C$352,$B34,Movimientos!$D$1:$D$352,$C34,Movimientos!$L$1:$L$352,A$3,Movimientos!$F$1:$F$352,"Ingreso")</f>
        <v>59000</v>
      </c>
      <c r="K34" s="48">
        <f>SUMIFS(Movimientos!$J$1:$J$352,Movimientos!$C$1:$C$352,$B34,Movimientos!$D$1:$D$352,$C34,Movimientos!$L$1:$L$352,A$3,Movimientos!$F$1:$F$352,"Egreso")</f>
        <v>23557.23</v>
      </c>
      <c r="L34" s="7">
        <f t="shared" si="0"/>
        <v>35442.770000000004</v>
      </c>
      <c r="M34" s="12">
        <f t="shared" si="4"/>
        <v>44519.009999999995</v>
      </c>
      <c r="N34" s="5">
        <f t="shared" si="5"/>
        <v>44519.009999999995</v>
      </c>
      <c r="O34" s="48">
        <f>SUMIFS(Movimientos!$J$1:$J$352,Movimientos!$C$1:$C$352,$B34,Movimientos!$D$1:$D$352,$C34,Movimientos!$L$1:$L$352,A$4,Movimientos!$F$1:$F$352,"Ingreso")</f>
        <v>0</v>
      </c>
      <c r="P34" s="48">
        <f>SUMIFS(Movimientos!$J$1:$J$352,Movimientos!$C$1:$C$352,$B34,Movimientos!$D$1:$D$352,$C34,Movimientos!$L$1:$L$352,A$4,Movimientos!$F$1:$F$352,"Egreso")</f>
        <v>0</v>
      </c>
      <c r="Q34" s="7">
        <f t="shared" si="1"/>
        <v>0</v>
      </c>
      <c r="R34" s="12">
        <f t="shared" si="6"/>
        <v>44519.009999999995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I25" activePane="bottomRight" state="frozen"/>
      <selection pane="topRight" activeCell="C1" sqref="C1"/>
      <selection pane="bottomLeft" activeCell="A2" sqref="A2"/>
      <selection pane="bottomRight" activeCell="A49" sqref="A4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Group")+SUMIFS(Movimientos!$K$1:$K$352,Movimientos!$C$1:$C$352,"CFT Group",Movimientos!$B$1:$B$352,"&lt;="&amp;$B33)</f>
        <v>983394.14000000013</v>
      </c>
      <c r="D33" s="24">
        <f>SUMIFS('Saldos Iniciales'!$D:$D,'Saldos Iniciales'!$A:$A,"M1B")+SUMIFS(Movimientos!$K$1:$K$352,Movimientos!$C$1:$C$352,"M1B",Movimientos!$B$1:$B$352,"&lt;="&amp;$B33)</f>
        <v>69376.390000000174</v>
      </c>
      <c r="E33" s="24">
        <f>SUMIFS('Saldos Iniciales'!$D:$D,'Saldos Iniciales'!$A:$A,"Durand")+SUMIFS(Movimientos!$K$1:$K$352,Movimientos!$C$1:$C$352,"Durand",Movimientos!$B$1:$B$352,"&lt;="&amp;$B33)</f>
        <v>1669.89</v>
      </c>
      <c r="F33" s="24">
        <f>SUMIFS('Saldos Iniciales'!$D:$D,'Saldos Iniciales'!$A:$A,"A&amp;M Imports")+SUMIFS(Movimientos!$K$1:$K$352,Movimientos!$C$1:$C$352,"A&amp;M Imports",Movimientos!$B$1:$B$352,"&lt;="&amp;$B33)</f>
        <v>804853.11999999988</v>
      </c>
      <c r="G33" s="24">
        <f>SUMIFS('Saldos Iniciales'!$D:$D,'Saldos Iniciales'!$A:$A,"SSP Capital")+SUMIFS(Movimientos!$K$1:$K$352,Movimientos!$C$1:$C$352,"SSP Capital",Movimientos!$B$1:$B$352,"&lt;="&amp;$B33)</f>
        <v>1015901.6699999992</v>
      </c>
      <c r="H33" s="24">
        <f>SUMIFS('Saldos Iniciales'!$D:$D,'Saldos Iniciales'!$A:$A,"Cross Family Trust")+SUMIFS(Movimientos!$K$1:$K$352,Movimientos!$C$1:$C$352,"Cross Family Trust",Movimientos!$B$1:$B$352,"&lt;="&amp;$B33)</f>
        <v>131496.38</v>
      </c>
      <c r="I33" s="24">
        <f>SUMIFS('Saldos Iniciales'!$D:$D,'Saldos Iniciales'!$A:$A,"Cross Security Trust")+SUMIFS(Movimientos!$K$1:$K$352,Movimientos!$C$1:$C$352,"Cross Security Trust",Movimientos!$B$1:$B$352,"&lt;="&amp;$B33)</f>
        <v>88090.37</v>
      </c>
      <c r="J33" s="24">
        <f>SUMIFS('Saldos Iniciales'!$D:$D,'Saldos Iniciales'!$A:$A,"Electrama")+SUMIFS(Movimientos!$K$1:$K$352,Movimientos!$C$1:$C$352,"Electrama",Movimientos!$B$1:$B$352,"&lt;="&amp;$B33)</f>
        <v>1227.9699999999998</v>
      </c>
      <c r="K33" s="24">
        <f>SUMIFS('Saldos Iniciales'!$D:$D,'Saldos Iniciales'!$A:$A,"Sacred Valley Capital")+SUMIFS(Movimientos!$K$1:$K$352,Movimientos!$C$1:$C$352,"Sacred Valley Capital",Movimientos!$B$1:$B$352,"&lt;="&amp;$B33)</f>
        <v>84.35</v>
      </c>
      <c r="L33" s="24">
        <f>SUMIFS('Saldos Iniciales'!$D:$D,'Saldos Iniciales'!$A:$A,"YWC Capital")+SUMIFS(Movimientos!$K$1:$K$352,Movimientos!$C$1:$C$352,"YWC Capital",Movimientos!$B$1:$B$352,"&lt;="&amp;$B33)</f>
        <v>2237.77</v>
      </c>
      <c r="M33" s="24">
        <f>SUMIFS('Saldos Iniciales'!$D:$D,'Saldos Iniciales'!$A:$A,"Soweto")+SUMIFS(Movimientos!$K$1:$K$352,Movimientos!$C$1:$C$352,"Soweto",Movimientos!$B$1:$B$352,"&lt;="&amp;$B33)</f>
        <v>3349.94</v>
      </c>
      <c r="N33" s="24">
        <f>SUMIFS('Saldos Iniciales'!$D:$D,'Saldos Iniciales'!$A:$A,"Green Stone Trust")+SUMIFS(Movimientos!$K$1:$K$352,Movimientos!$C$1:$C$352,"Green Stone Trust",Movimientos!$B$1:$B$352,"&lt;="&amp;$B33)</f>
        <v>1968.99</v>
      </c>
      <c r="O33" s="24">
        <f>SUMIFS('Saldos Iniciales'!$D:$D,'Saldos Iniciales'!$A:$A,"EC Auto")+SUMIFS(Movimientos!$K$1:$K$352,Movimientos!$C$1:$C$352,"EC Auto",Movimientos!$B$1:$B$352,"&lt;="&amp;$B33)</f>
        <v>901.34</v>
      </c>
      <c r="P33" s="24">
        <f>SUMIFS('Saldos Iniciales'!$D:$D,'Saldos Iniciales'!$A:$A,"Arbor Capital Properties")+SUMIFS(Movimientos!$K$1:$K$352,Movimientos!$C$1:$C$352,"Arbor Capital Properties",Movimientos!$B$1:$B$352,"&lt;="&amp;$B33)</f>
        <v>1428.08</v>
      </c>
      <c r="Q33" s="24">
        <f>SUMIFS('Saldos Iniciales'!$D:$D,'Saldos Iniciales'!$A:$A,"2515 Overbrook")+SUMIFS(Movimientos!$K$1:$K$352,Movimientos!$C$1:$C$352,"2515 Overbrook",Movimientos!$B$1:$B$352,"&lt;="&amp;$B33)</f>
        <v>26416.26999999996</v>
      </c>
      <c r="R33" s="24">
        <f>SUMIFS('Saldos Iniciales'!$D:$D,'Saldos Iniciales'!$A:$A,"112 Florida Ave")+SUMIFS(Movimientos!$K$1:$K$352,Movimientos!$C$1:$C$352,"112 Florida Ave",Movimientos!$B$1:$B$352,"&lt;="&amp;$B33)</f>
        <v>5321.4300000000021</v>
      </c>
      <c r="S33" s="24">
        <f>SUMIFS('Saldos Iniciales'!$D:$D,'Saldos Iniciales'!$A:$A,"3628 Thomas Ave")+SUMIFS(Movimientos!$K$1:$K$352,Movimientos!$C$1:$C$352,"3628 Thomas Ave",Movimientos!$B$1:$B$352,"&lt;="&amp;$B33)</f>
        <v>24833.23</v>
      </c>
      <c r="T33" s="24">
        <f>SUMIFS('Saldos Iniciales'!$D:$D,'Saldos Iniciales'!$A:$A,"Green Harbor Trust")+SUMIFS(Movimientos!$K$1:$K$352,Movimientos!$C$1:$C$352,"Green Harbor Trust",Movimientos!$B$1:$B$352,"&lt;="&amp;$B33)</f>
        <v>345</v>
      </c>
      <c r="U33" s="24">
        <f>SUMIFS('Saldos Iniciales'!$D:$D,'Saldos Iniciales'!$A:$A,"Go Blue")+SUMIFS(Movimientos!$K$1:$K$352,Movimientos!$C$1:$C$352,"Go Blue",Movimientos!$B$1:$B$352,"&lt;="&amp;$B33)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Group")+SUMIFS(Movimientos!$K$1:$K$352,Movimientos!$C$1:$C$352,"CFT Group",Movimientos!$B$1:$B$352,"&lt;="&amp;$B34)</f>
        <v>983394.14000000013</v>
      </c>
      <c r="D34" s="24">
        <f>SUMIFS('Saldos Iniciales'!$D:$D,'Saldos Iniciales'!$A:$A,"M1B")+SUMIFS(Movimientos!$K$1:$K$352,Movimientos!$C$1:$C$352,"M1B",Movimientos!$B$1:$B$352,"&lt;="&amp;$B34)</f>
        <v>69376.390000000174</v>
      </c>
      <c r="E34" s="24">
        <f>SUMIFS('Saldos Iniciales'!$D:$D,'Saldos Iniciales'!$A:$A,"Durand")+SUMIFS(Movimientos!$K$1:$K$352,Movimientos!$C$1:$C$352,"Durand",Movimientos!$B$1:$B$352,"&lt;="&amp;$B34)</f>
        <v>1669.89</v>
      </c>
      <c r="F34" s="24">
        <f>SUMIFS('Saldos Iniciales'!$D:$D,'Saldos Iniciales'!$A:$A,"A&amp;M Imports")+SUMIFS(Movimientos!$K$1:$K$352,Movimientos!$C$1:$C$352,"A&amp;M Imports",Movimientos!$B$1:$B$352,"&lt;="&amp;$B34)</f>
        <v>804853.11999999988</v>
      </c>
      <c r="G34" s="24">
        <f>SUMIFS('Saldos Iniciales'!$D:$D,'Saldos Iniciales'!$A:$A,"SSP Capital")+SUMIFS(Movimientos!$K$1:$K$352,Movimientos!$C$1:$C$352,"SSP Capital",Movimientos!$B$1:$B$352,"&lt;="&amp;$B34)</f>
        <v>1015901.6699999992</v>
      </c>
      <c r="H34" s="24">
        <f>SUMIFS('Saldos Iniciales'!$D:$D,'Saldos Iniciales'!$A:$A,"Cross Family Trust")+SUMIFS(Movimientos!$K$1:$K$352,Movimientos!$C$1:$C$352,"Cross Family Trust",Movimientos!$B$1:$B$352,"&lt;="&amp;$B34)</f>
        <v>131496.38</v>
      </c>
      <c r="I34" s="24">
        <f>SUMIFS('Saldos Iniciales'!$D:$D,'Saldos Iniciales'!$A:$A,"Cross Security Trust")+SUMIFS(Movimientos!$K$1:$K$352,Movimientos!$C$1:$C$352,"Cross Security Trust",Movimientos!$B$1:$B$352,"&lt;="&amp;$B34)</f>
        <v>88090.37</v>
      </c>
      <c r="J34" s="24">
        <f>SUMIFS('Saldos Iniciales'!$D:$D,'Saldos Iniciales'!$A:$A,"Electrama")+SUMIFS(Movimientos!$K$1:$K$352,Movimientos!$C$1:$C$352,"Electrama",Movimientos!$B$1:$B$352,"&lt;="&amp;$B34)</f>
        <v>1227.9699999999998</v>
      </c>
      <c r="K34" s="24">
        <f>SUMIFS('Saldos Iniciales'!$D:$D,'Saldos Iniciales'!$A:$A,"Sacred Valley Capital")+SUMIFS(Movimientos!$K$1:$K$352,Movimientos!$C$1:$C$352,"Sacred Valley Capital",Movimientos!$B$1:$B$352,"&lt;="&amp;$B34)</f>
        <v>84.35</v>
      </c>
      <c r="L34" s="24">
        <f>SUMIFS('Saldos Iniciales'!$D:$D,'Saldos Iniciales'!$A:$A,"YWC Capital")+SUMIFS(Movimientos!$K$1:$K$352,Movimientos!$C$1:$C$352,"YWC Capital",Movimientos!$B$1:$B$352,"&lt;="&amp;$B34)</f>
        <v>2237.77</v>
      </c>
      <c r="M34" s="24">
        <f>SUMIFS('Saldos Iniciales'!$D:$D,'Saldos Iniciales'!$A:$A,"Soweto")+SUMIFS(Movimientos!$K$1:$K$352,Movimientos!$C$1:$C$352,"Soweto",Movimientos!$B$1:$B$352,"&lt;="&amp;$B34)</f>
        <v>3349.94</v>
      </c>
      <c r="N34" s="24">
        <f>SUMIFS('Saldos Iniciales'!$D:$D,'Saldos Iniciales'!$A:$A,"Green Stone Trust")+SUMIFS(Movimientos!$K$1:$K$352,Movimientos!$C$1:$C$352,"Green Stone Trust",Movimientos!$B$1:$B$352,"&lt;="&amp;$B34)</f>
        <v>1968.99</v>
      </c>
      <c r="O34" s="24">
        <f>SUMIFS('Saldos Iniciales'!$D:$D,'Saldos Iniciales'!$A:$A,"EC Auto")+SUMIFS(Movimientos!$K$1:$K$352,Movimientos!$C$1:$C$352,"EC Auto",Movimientos!$B$1:$B$352,"&lt;="&amp;$B34)</f>
        <v>901.34</v>
      </c>
      <c r="P34" s="24">
        <f>SUMIFS('Saldos Iniciales'!$D:$D,'Saldos Iniciales'!$A:$A,"Arbor Capital Properties")+SUMIFS(Movimientos!$K$1:$K$352,Movimientos!$C$1:$C$352,"Arbor Capital Properties",Movimientos!$B$1:$B$352,"&lt;="&amp;$B34)</f>
        <v>1428.08</v>
      </c>
      <c r="Q34" s="24">
        <f>SUMIFS('Saldos Iniciales'!$D:$D,'Saldos Iniciales'!$A:$A,"2515 Overbrook")+SUMIFS(Movimientos!$K$1:$K$352,Movimientos!$C$1:$C$352,"2515 Overbrook",Movimientos!$B$1:$B$352,"&lt;="&amp;$B34)</f>
        <v>25789.969999999961</v>
      </c>
      <c r="R34" s="24">
        <f>SUMIFS('Saldos Iniciales'!$D:$D,'Saldos Iniciales'!$A:$A,"112 Florida Ave")+SUMIFS(Movimientos!$K$1:$K$352,Movimientos!$C$1:$C$352,"112 Florida Ave",Movimientos!$B$1:$B$352,"&lt;="&amp;$B34)</f>
        <v>5321.4300000000021</v>
      </c>
      <c r="S34" s="24">
        <f>SUMIFS('Saldos Iniciales'!$D:$D,'Saldos Iniciales'!$A:$A,"3628 Thomas Ave")+SUMIFS(Movimientos!$K$1:$K$352,Movimientos!$C$1:$C$352,"3628 Thomas Ave",Movimientos!$B$1:$B$352,"&lt;="&amp;$B34)</f>
        <v>24833.23</v>
      </c>
      <c r="T34" s="24">
        <f>SUMIFS('Saldos Iniciales'!$D:$D,'Saldos Iniciales'!$A:$A,"Green Harbor Trust")+SUMIFS(Movimientos!$K$1:$K$352,Movimientos!$C$1:$C$352,"Green Harbor Trust",Movimientos!$B$1:$B$352,"&lt;="&amp;$B34)</f>
        <v>345</v>
      </c>
      <c r="U34" s="24">
        <f>SUMIFS('Saldos Iniciales'!$D:$D,'Saldos Iniciales'!$A:$A,"Go Blue")+SUMIFS(Movimientos!$K$1:$K$352,Movimientos!$C$1:$C$352,"Go Blue",Movimientos!$B$1:$B$352,"&lt;="&amp;$B34)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Group")+SUMIFS(Movimientos!$K$1:$K$352,Movimientos!$C$1:$C$352,"CFT Group",Movimientos!$B$1:$B$352,"&lt;="&amp;$B35)</f>
        <v>983394.14000000013</v>
      </c>
      <c r="D35" s="24">
        <f>SUMIFS('Saldos Iniciales'!$D:$D,'Saldos Iniciales'!$A:$A,"M1B")+SUMIFS(Movimientos!$K$1:$K$352,Movimientos!$C$1:$C$352,"M1B",Movimientos!$B$1:$B$352,"&lt;="&amp;$B35)</f>
        <v>69376.390000000174</v>
      </c>
      <c r="E35" s="24">
        <f>SUMIFS('Saldos Iniciales'!$D:$D,'Saldos Iniciales'!$A:$A,"Durand")+SUMIFS(Movimientos!$K$1:$K$352,Movimientos!$C$1:$C$352,"Durand",Movimientos!$B$1:$B$352,"&lt;="&amp;$B35)</f>
        <v>1669.89</v>
      </c>
      <c r="F35" s="24">
        <f>SUMIFS('Saldos Iniciales'!$D:$D,'Saldos Iniciales'!$A:$A,"A&amp;M Imports")+SUMIFS(Movimientos!$K$1:$K$352,Movimientos!$C$1:$C$352,"A&amp;M Imports",Movimientos!$B$1:$B$352,"&lt;="&amp;$B35)</f>
        <v>804853.11999999988</v>
      </c>
      <c r="G35" s="24">
        <f>SUMIFS('Saldos Iniciales'!$D:$D,'Saldos Iniciales'!$A:$A,"SSP Capital")+SUMIFS(Movimientos!$K$1:$K$352,Movimientos!$C$1:$C$352,"SSP Capital",Movimientos!$B$1:$B$352,"&lt;="&amp;$B35)</f>
        <v>1015611.6599999993</v>
      </c>
      <c r="H35" s="24">
        <f>SUMIFS('Saldos Iniciales'!$D:$D,'Saldos Iniciales'!$A:$A,"Cross Family Trust")+SUMIFS(Movimientos!$K$1:$K$352,Movimientos!$C$1:$C$352,"Cross Family Trust",Movimientos!$B$1:$B$352,"&lt;="&amp;$B35)</f>
        <v>125496.38</v>
      </c>
      <c r="I35" s="24">
        <f>SUMIFS('Saldos Iniciales'!$D:$D,'Saldos Iniciales'!$A:$A,"Cross Security Trust")+SUMIFS(Movimientos!$K$1:$K$352,Movimientos!$C$1:$C$352,"Cross Security Trust",Movimientos!$B$1:$B$352,"&lt;="&amp;$B35)</f>
        <v>88090.37</v>
      </c>
      <c r="J35" s="24">
        <f>SUMIFS('Saldos Iniciales'!$D:$D,'Saldos Iniciales'!$A:$A,"Electrama")+SUMIFS(Movimientos!$K$1:$K$352,Movimientos!$C$1:$C$352,"Electrama",Movimientos!$B$1:$B$352,"&lt;="&amp;$B35)</f>
        <v>1227.9699999999998</v>
      </c>
      <c r="K35" s="24">
        <f>SUMIFS('Saldos Iniciales'!$D:$D,'Saldos Iniciales'!$A:$A,"Sacred Valley Capital")+SUMIFS(Movimientos!$K$1:$K$352,Movimientos!$C$1:$C$352,"Sacred Valley Capital",Movimientos!$B$1:$B$352,"&lt;="&amp;$B35)</f>
        <v>84.35</v>
      </c>
      <c r="L35" s="24">
        <f>SUMIFS('Saldos Iniciales'!$D:$D,'Saldos Iniciales'!$A:$A,"YWC Capital")+SUMIFS(Movimientos!$K$1:$K$352,Movimientos!$C$1:$C$352,"YWC Capital",Movimientos!$B$1:$B$352,"&lt;="&amp;$B35)</f>
        <v>2237.77</v>
      </c>
      <c r="M35" s="24">
        <f>SUMIFS('Saldos Iniciales'!$D:$D,'Saldos Iniciales'!$A:$A,"Soweto")+SUMIFS(Movimientos!$K$1:$K$352,Movimientos!$C$1:$C$352,"Soweto",Movimientos!$B$1:$B$352,"&lt;="&amp;$B35)</f>
        <v>3349.94</v>
      </c>
      <c r="N35" s="24">
        <f>SUMIFS('Saldos Iniciales'!$D:$D,'Saldos Iniciales'!$A:$A,"Green Stone Trust")+SUMIFS(Movimientos!$K$1:$K$352,Movimientos!$C$1:$C$352,"Green Stone Trust",Movimientos!$B$1:$B$352,"&lt;="&amp;$B35)</f>
        <v>1968.99</v>
      </c>
      <c r="O35" s="24">
        <f>SUMIFS('Saldos Iniciales'!$D:$D,'Saldos Iniciales'!$A:$A,"EC Auto")+SUMIFS(Movimientos!$K$1:$K$352,Movimientos!$C$1:$C$352,"EC Auto",Movimientos!$B$1:$B$352,"&lt;="&amp;$B35)</f>
        <v>901.34</v>
      </c>
      <c r="P35" s="24">
        <f>SUMIFS('Saldos Iniciales'!$D:$D,'Saldos Iniciales'!$A:$A,"Arbor Capital Properties")+SUMIFS(Movimientos!$K$1:$K$352,Movimientos!$C$1:$C$352,"Arbor Capital Properties",Movimientos!$B$1:$B$352,"&lt;="&amp;$B35)</f>
        <v>1428.08</v>
      </c>
      <c r="Q35" s="24">
        <f>SUMIFS('Saldos Iniciales'!$D:$D,'Saldos Iniciales'!$A:$A,"2515 Overbrook")+SUMIFS(Movimientos!$K$1:$K$352,Movimientos!$C$1:$C$352,"2515 Overbrook",Movimientos!$B$1:$B$352,"&lt;="&amp;$B35)</f>
        <v>25789.969999999961</v>
      </c>
      <c r="R35" s="24">
        <f>SUMIFS('Saldos Iniciales'!$D:$D,'Saldos Iniciales'!$A:$A,"112 Florida Ave")+SUMIFS(Movimientos!$K$1:$K$352,Movimientos!$C$1:$C$352,"112 Florida Ave",Movimientos!$B$1:$B$352,"&lt;="&amp;$B35)</f>
        <v>5321.4300000000021</v>
      </c>
      <c r="S35" s="24">
        <f>SUMIFS('Saldos Iniciales'!$D:$D,'Saldos Iniciales'!$A:$A,"3628 Thomas Ave")+SUMIFS(Movimientos!$K$1:$K$352,Movimientos!$C$1:$C$352,"3628 Thomas Ave",Movimientos!$B$1:$B$352,"&lt;="&amp;$B35)</f>
        <v>24833.23</v>
      </c>
      <c r="T35" s="24">
        <f>SUMIFS('Saldos Iniciales'!$D:$D,'Saldos Iniciales'!$A:$A,"Green Harbor Trust")+SUMIFS(Movimientos!$K$1:$K$352,Movimientos!$C$1:$C$352,"Green Harbor Trust",Movimientos!$B$1:$B$352,"&lt;="&amp;$B35)</f>
        <v>345</v>
      </c>
      <c r="U35" s="24">
        <f>SUMIFS('Saldos Iniciales'!$D:$D,'Saldos Iniciales'!$A:$A,"Go Blue")+SUMIFS(Movimientos!$K$1:$K$352,Movimientos!$C$1:$C$352,"Go Blue",Movimientos!$B$1:$B$352,"&lt;="&amp;$B35)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Group")+SUMIFS(Movimientos!$K$1:$K$352,Movimientos!$C$1:$C$352,"CFT Group",Movimientos!$B$1:$B$352,"&lt;="&amp;$B36)</f>
        <v>733394.14000000013</v>
      </c>
      <c r="D36" s="24">
        <f>SUMIFS('Saldos Iniciales'!$D:$D,'Saldos Iniciales'!$A:$A,"M1B")+SUMIFS(Movimientos!$K$1:$K$352,Movimientos!$C$1:$C$352,"M1B",Movimientos!$B$1:$B$352,"&lt;="&amp;$B36)</f>
        <v>69376.390000000174</v>
      </c>
      <c r="E36" s="24">
        <f>SUMIFS('Saldos Iniciales'!$D:$D,'Saldos Iniciales'!$A:$A,"Durand")+SUMIFS(Movimientos!$K$1:$K$352,Movimientos!$C$1:$C$352,"Durand",Movimientos!$B$1:$B$352,"&lt;="&amp;$B36)</f>
        <v>1669.89</v>
      </c>
      <c r="F36" s="24">
        <f>SUMIFS('Saldos Iniciales'!$D:$D,'Saldos Iniciales'!$A:$A,"A&amp;M Imports")+SUMIFS(Movimientos!$K$1:$K$352,Movimientos!$C$1:$C$352,"A&amp;M Imports",Movimientos!$B$1:$B$352,"&lt;="&amp;$B36)</f>
        <v>729545.23999999987</v>
      </c>
      <c r="G36" s="24">
        <f>SUMIFS('Saldos Iniciales'!$D:$D,'Saldos Iniciales'!$A:$A,"SSP Capital")+SUMIFS(Movimientos!$K$1:$K$352,Movimientos!$C$1:$C$352,"SSP Capital",Movimientos!$B$1:$B$352,"&lt;="&amp;$B36)</f>
        <v>1171714.4499999993</v>
      </c>
      <c r="H36" s="24">
        <f>SUMIFS('Saldos Iniciales'!$D:$D,'Saldos Iniciales'!$A:$A,"Cross Family Trust")+SUMIFS(Movimientos!$K$1:$K$352,Movimientos!$C$1:$C$352,"Cross Family Trust",Movimientos!$B$1:$B$352,"&lt;="&amp;$B36)</f>
        <v>116496.38</v>
      </c>
      <c r="I36" s="24">
        <f>SUMIFS('Saldos Iniciales'!$D:$D,'Saldos Iniciales'!$A:$A,"Cross Security Trust")+SUMIFS(Movimientos!$K$1:$K$352,Movimientos!$C$1:$C$352,"Cross Security Trust",Movimientos!$B$1:$B$352,"&lt;="&amp;$B36)</f>
        <v>88090.37</v>
      </c>
      <c r="J36" s="24">
        <f>SUMIFS('Saldos Iniciales'!$D:$D,'Saldos Iniciales'!$A:$A,"Electrama")+SUMIFS(Movimientos!$K$1:$K$352,Movimientos!$C$1:$C$352,"Electrama",Movimientos!$B$1:$B$352,"&lt;="&amp;$B36)</f>
        <v>1227.9699999999998</v>
      </c>
      <c r="K36" s="24">
        <f>SUMIFS('Saldos Iniciales'!$D:$D,'Saldos Iniciales'!$A:$A,"Sacred Valley Capital")+SUMIFS(Movimientos!$K$1:$K$352,Movimientos!$C$1:$C$352,"Sacred Valley Capital",Movimientos!$B$1:$B$352,"&lt;="&amp;$B36)</f>
        <v>84.35</v>
      </c>
      <c r="L36" s="24">
        <f>SUMIFS('Saldos Iniciales'!$D:$D,'Saldos Iniciales'!$A:$A,"YWC Capital")+SUMIFS(Movimientos!$K$1:$K$352,Movimientos!$C$1:$C$352,"YWC Capital",Movimientos!$B$1:$B$352,"&lt;="&amp;$B36)</f>
        <v>2237.77</v>
      </c>
      <c r="M36" s="24">
        <f>SUMIFS('Saldos Iniciales'!$D:$D,'Saldos Iniciales'!$A:$A,"Soweto")+SUMIFS(Movimientos!$K$1:$K$352,Movimientos!$C$1:$C$352,"Soweto",Movimientos!$B$1:$B$352,"&lt;="&amp;$B36)</f>
        <v>3349.94</v>
      </c>
      <c r="N36" s="24">
        <f>SUMIFS('Saldos Iniciales'!$D:$D,'Saldos Iniciales'!$A:$A,"Green Stone Trust")+SUMIFS(Movimientos!$K$1:$K$352,Movimientos!$C$1:$C$352,"Green Stone Trust",Movimientos!$B$1:$B$352,"&lt;="&amp;$B36)</f>
        <v>1968.99</v>
      </c>
      <c r="O36" s="24">
        <f>SUMIFS('Saldos Iniciales'!$D:$D,'Saldos Iniciales'!$A:$A,"EC Auto")+SUMIFS(Movimientos!$K$1:$K$352,Movimientos!$C$1:$C$352,"EC Auto",Movimientos!$B$1:$B$352,"&lt;="&amp;$B36)</f>
        <v>382.69000000000005</v>
      </c>
      <c r="P36" s="24">
        <f>SUMIFS('Saldos Iniciales'!$D:$D,'Saldos Iniciales'!$A:$A,"Arbor Capital Properties")+SUMIFS(Movimientos!$K$1:$K$352,Movimientos!$C$1:$C$352,"Arbor Capital Properties",Movimientos!$B$1:$B$352,"&lt;="&amp;$B36)</f>
        <v>1428.08</v>
      </c>
      <c r="Q36" s="24">
        <f>SUMIFS('Saldos Iniciales'!$D:$D,'Saldos Iniciales'!$A:$A,"2515 Overbrook")+SUMIFS(Movimientos!$K$1:$K$352,Movimientos!$C$1:$C$352,"2515 Overbrook",Movimientos!$B$1:$B$352,"&lt;="&amp;$B36)</f>
        <v>25789.969999999961</v>
      </c>
      <c r="R36" s="24">
        <f>SUMIFS('Saldos Iniciales'!$D:$D,'Saldos Iniciales'!$A:$A,"112 Florida Ave")+SUMIFS(Movimientos!$K$1:$K$352,Movimientos!$C$1:$C$352,"112 Florida Ave",Movimientos!$B$1:$B$352,"&lt;="&amp;$B36)</f>
        <v>5321.4300000000021</v>
      </c>
      <c r="S36" s="24">
        <f>SUMIFS('Saldos Iniciales'!$D:$D,'Saldos Iniciales'!$A:$A,"3628 Thomas Ave")+SUMIFS(Movimientos!$K$1:$K$352,Movimientos!$C$1:$C$352,"3628 Thomas Ave",Movimientos!$B$1:$B$352,"&lt;="&amp;$B36)</f>
        <v>24833.23</v>
      </c>
      <c r="T36" s="24">
        <f>SUMIFS('Saldos Iniciales'!$D:$D,'Saldos Iniciales'!$A:$A,"Green Harbor Trust")+SUMIFS(Movimientos!$K$1:$K$352,Movimientos!$C$1:$C$352,"Green Harbor Trust",Movimientos!$B$1:$B$352,"&lt;="&amp;$B36)</f>
        <v>345</v>
      </c>
      <c r="U36" s="24">
        <f>SUMIFS('Saldos Iniciales'!$D:$D,'Saldos Iniciales'!$A:$A,"Go Blue")+SUMIFS(Movimientos!$K$1:$K$352,Movimientos!$C$1:$C$352,"Go Blue",Movimientos!$B$1:$B$352,"&lt;="&amp;$B36)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Group")+SUMIFS(Movimientos!$K$1:$K$352,Movimientos!$C$1:$C$352,"CFT Group",Movimientos!$B$1:$B$352,"&lt;="&amp;$B37)</f>
        <v>733394.14000000013</v>
      </c>
      <c r="D37" s="24">
        <f>SUMIFS('Saldos Iniciales'!$D:$D,'Saldos Iniciales'!$A:$A,"M1B")+SUMIFS(Movimientos!$K$1:$K$352,Movimientos!$C$1:$C$352,"M1B",Movimientos!$B$1:$B$352,"&lt;="&amp;$B37)</f>
        <v>69376.390000000174</v>
      </c>
      <c r="E37" s="24">
        <f>SUMIFS('Saldos Iniciales'!$D:$D,'Saldos Iniciales'!$A:$A,"Durand")+SUMIFS(Movimientos!$K$1:$K$352,Movimientos!$C$1:$C$352,"Durand",Movimientos!$B$1:$B$352,"&lt;="&amp;$B37)</f>
        <v>1669.89</v>
      </c>
      <c r="F37" s="24">
        <f>SUMIFS('Saldos Iniciales'!$D:$D,'Saldos Iniciales'!$A:$A,"A&amp;M Imports")+SUMIFS(Movimientos!$K$1:$K$352,Movimientos!$C$1:$C$352,"A&amp;M Imports",Movimientos!$B$1:$B$352,"&lt;="&amp;$B37)</f>
        <v>729545.23999999987</v>
      </c>
      <c r="G37" s="24">
        <f>SUMIFS('Saldos Iniciales'!$D:$D,'Saldos Iniciales'!$A:$A,"SSP Capital")+SUMIFS(Movimientos!$K$1:$K$352,Movimientos!$C$1:$C$352,"SSP Capital",Movimientos!$B$1:$B$352,"&lt;="&amp;$B37)</f>
        <v>1164028.3199999994</v>
      </c>
      <c r="H37" s="24">
        <f>SUMIFS('Saldos Iniciales'!$D:$D,'Saldos Iniciales'!$A:$A,"Cross Family Trust")+SUMIFS(Movimientos!$K$1:$K$352,Movimientos!$C$1:$C$352,"Cross Family Trust",Movimientos!$B$1:$B$352,"&lt;="&amp;$B37)</f>
        <v>116496.38</v>
      </c>
      <c r="I37" s="24">
        <f>SUMIFS('Saldos Iniciales'!$D:$D,'Saldos Iniciales'!$A:$A,"Cross Security Trust")+SUMIFS(Movimientos!$K$1:$K$352,Movimientos!$C$1:$C$352,"Cross Security Trust",Movimientos!$B$1:$B$352,"&lt;="&amp;$B37)</f>
        <v>88090.37</v>
      </c>
      <c r="J37" s="24">
        <f>SUMIFS('Saldos Iniciales'!$D:$D,'Saldos Iniciales'!$A:$A,"Electrama")+SUMIFS(Movimientos!$K$1:$K$352,Movimientos!$C$1:$C$352,"Electrama",Movimientos!$B$1:$B$352,"&lt;="&amp;$B37)</f>
        <v>1227.9699999999998</v>
      </c>
      <c r="K37" s="24">
        <f>SUMIFS('Saldos Iniciales'!$D:$D,'Saldos Iniciales'!$A:$A,"Sacred Valley Capital")+SUMIFS(Movimientos!$K$1:$K$352,Movimientos!$C$1:$C$352,"Sacred Valley Capital",Movimientos!$B$1:$B$352,"&lt;="&amp;$B37)</f>
        <v>84.35</v>
      </c>
      <c r="L37" s="24">
        <f>SUMIFS('Saldos Iniciales'!$D:$D,'Saldos Iniciales'!$A:$A,"YWC Capital")+SUMIFS(Movimientos!$K$1:$K$352,Movimientos!$C$1:$C$352,"YWC Capital",Movimientos!$B$1:$B$352,"&lt;="&amp;$B37)</f>
        <v>2237.77</v>
      </c>
      <c r="M37" s="24">
        <f>SUMIFS('Saldos Iniciales'!$D:$D,'Saldos Iniciales'!$A:$A,"Soweto")+SUMIFS(Movimientos!$K$1:$K$352,Movimientos!$C$1:$C$352,"Soweto",Movimientos!$B$1:$B$352,"&lt;="&amp;$B37)</f>
        <v>3349.94</v>
      </c>
      <c r="N37" s="24">
        <f>SUMIFS('Saldos Iniciales'!$D:$D,'Saldos Iniciales'!$A:$A,"Green Stone Trust")+SUMIFS(Movimientos!$K$1:$K$352,Movimientos!$C$1:$C$352,"Green Stone Trust",Movimientos!$B$1:$B$352,"&lt;="&amp;$B37)</f>
        <v>1968.99</v>
      </c>
      <c r="O37" s="24">
        <f>SUMIFS('Saldos Iniciales'!$D:$D,'Saldos Iniciales'!$A:$A,"EC Auto")+SUMIFS(Movimientos!$K$1:$K$352,Movimientos!$C$1:$C$352,"EC Auto",Movimientos!$B$1:$B$352,"&lt;="&amp;$B37)</f>
        <v>382.69000000000005</v>
      </c>
      <c r="P37" s="24">
        <f>SUMIFS('Saldos Iniciales'!$D:$D,'Saldos Iniciales'!$A:$A,"Arbor Capital Properties")+SUMIFS(Movimientos!$K$1:$K$352,Movimientos!$C$1:$C$352,"Arbor Capital Properties",Movimientos!$B$1:$B$352,"&lt;="&amp;$B37)</f>
        <v>1428.08</v>
      </c>
      <c r="Q37" s="24">
        <f>SUMIFS('Saldos Iniciales'!$D:$D,'Saldos Iniciales'!$A:$A,"2515 Overbrook")+SUMIFS(Movimientos!$K$1:$K$352,Movimientos!$C$1:$C$352,"2515 Overbrook",Movimientos!$B$1:$B$352,"&lt;="&amp;$B37)</f>
        <v>25789.969999999961</v>
      </c>
      <c r="R37" s="24">
        <f>SUMIFS('Saldos Iniciales'!$D:$D,'Saldos Iniciales'!$A:$A,"112 Florida Ave")+SUMIFS(Movimientos!$K$1:$K$352,Movimientos!$C$1:$C$352,"112 Florida Ave",Movimientos!$B$1:$B$352,"&lt;="&amp;$B37)</f>
        <v>5321.4300000000021</v>
      </c>
      <c r="S37" s="24">
        <f>SUMIFS('Saldos Iniciales'!$D:$D,'Saldos Iniciales'!$A:$A,"3628 Thomas Ave")+SUMIFS(Movimientos!$K$1:$K$352,Movimientos!$C$1:$C$352,"3628 Thomas Ave",Movimientos!$B$1:$B$352,"&lt;="&amp;$B37)</f>
        <v>24833.23</v>
      </c>
      <c r="T37" s="24">
        <f>SUMIFS('Saldos Iniciales'!$D:$D,'Saldos Iniciales'!$A:$A,"Green Harbor Trust")+SUMIFS(Movimientos!$K$1:$K$352,Movimientos!$C$1:$C$352,"Green Harbor Trust",Movimientos!$B$1:$B$352,"&lt;="&amp;$B37)</f>
        <v>345</v>
      </c>
      <c r="U37" s="24">
        <f>SUMIFS('Saldos Iniciales'!$D:$D,'Saldos Iniciales'!$A:$A,"Go Blue")+SUMIFS(Movimientos!$K$1:$K$352,Movimientos!$C$1:$C$352,"Go Blue",Movimientos!$B$1:$B$352,"&lt;="&amp;$B37)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Group")+SUMIFS(Movimientos!$K$1:$K$352,Movimientos!$C$1:$C$352,"CFT Group",Movimientos!$B$1:$B$352,"&lt;="&amp;$B38)</f>
        <v>733394.14000000013</v>
      </c>
      <c r="D38" s="24">
        <f>SUMIFS('Saldos Iniciales'!$D:$D,'Saldos Iniciales'!$A:$A,"M1B")+SUMIFS(Movimientos!$K$1:$K$352,Movimientos!$C$1:$C$352,"M1B",Movimientos!$B$1:$B$352,"&lt;="&amp;$B38)</f>
        <v>69376.390000000174</v>
      </c>
      <c r="E38" s="24">
        <f>SUMIFS('Saldos Iniciales'!$D:$D,'Saldos Iniciales'!$A:$A,"Durand")+SUMIFS(Movimientos!$K$1:$K$352,Movimientos!$C$1:$C$352,"Durand",Movimientos!$B$1:$B$352,"&lt;="&amp;$B38)</f>
        <v>1669.89</v>
      </c>
      <c r="F38" s="24">
        <f>SUMIFS('Saldos Iniciales'!$D:$D,'Saldos Iniciales'!$A:$A,"A&amp;M Imports")+SUMIFS(Movimientos!$K$1:$K$352,Movimientos!$C$1:$C$352,"A&amp;M Imports",Movimientos!$B$1:$B$352,"&lt;="&amp;$B38)</f>
        <v>729545.23999999987</v>
      </c>
      <c r="G38" s="24">
        <f>SUMIFS('Saldos Iniciales'!$D:$D,'Saldos Iniciales'!$A:$A,"SSP Capital")+SUMIFS(Movimientos!$K$1:$K$352,Movimientos!$C$1:$C$352,"SSP Capital",Movimientos!$B$1:$B$352,"&lt;="&amp;$B38)</f>
        <v>1164028.3199999994</v>
      </c>
      <c r="H38" s="24">
        <f>SUMIFS('Saldos Iniciales'!$D:$D,'Saldos Iniciales'!$A:$A,"Cross Family Trust")+SUMIFS(Movimientos!$K$1:$K$352,Movimientos!$C$1:$C$352,"Cross Family Trust",Movimientos!$B$1:$B$352,"&lt;="&amp;$B38)</f>
        <v>116496.38</v>
      </c>
      <c r="I38" s="24">
        <f>SUMIFS('Saldos Iniciales'!$D:$D,'Saldos Iniciales'!$A:$A,"Cross Security Trust")+SUMIFS(Movimientos!$K$1:$K$352,Movimientos!$C$1:$C$352,"Cross Security Trust",Movimientos!$B$1:$B$352,"&lt;="&amp;$B38)</f>
        <v>88090.37</v>
      </c>
      <c r="J38" s="24">
        <f>SUMIFS('Saldos Iniciales'!$D:$D,'Saldos Iniciales'!$A:$A,"Electrama")+SUMIFS(Movimientos!$K$1:$K$352,Movimientos!$C$1:$C$352,"Electrama",Movimientos!$B$1:$B$352,"&lt;="&amp;$B38)</f>
        <v>1227.9699999999998</v>
      </c>
      <c r="K38" s="24">
        <f>SUMIFS('Saldos Iniciales'!$D:$D,'Saldos Iniciales'!$A:$A,"Sacred Valley Capital")+SUMIFS(Movimientos!$K$1:$K$352,Movimientos!$C$1:$C$352,"Sacred Valley Capital",Movimientos!$B$1:$B$352,"&lt;="&amp;$B38)</f>
        <v>84.35</v>
      </c>
      <c r="L38" s="24">
        <f>SUMIFS('Saldos Iniciales'!$D:$D,'Saldos Iniciales'!$A:$A,"YWC Capital")+SUMIFS(Movimientos!$K$1:$K$352,Movimientos!$C$1:$C$352,"YWC Capital",Movimientos!$B$1:$B$352,"&lt;="&amp;$B38)</f>
        <v>2237.77</v>
      </c>
      <c r="M38" s="24">
        <f>SUMIFS('Saldos Iniciales'!$D:$D,'Saldos Iniciales'!$A:$A,"Soweto")+SUMIFS(Movimientos!$K$1:$K$352,Movimientos!$C$1:$C$352,"Soweto",Movimientos!$B$1:$B$352,"&lt;="&amp;$B38)</f>
        <v>3349.94</v>
      </c>
      <c r="N38" s="24">
        <f>SUMIFS('Saldos Iniciales'!$D:$D,'Saldos Iniciales'!$A:$A,"Green Stone Trust")+SUMIFS(Movimientos!$K$1:$K$352,Movimientos!$C$1:$C$352,"Green Stone Trust",Movimientos!$B$1:$B$352,"&lt;="&amp;$B38)</f>
        <v>1968.99</v>
      </c>
      <c r="O38" s="24">
        <f>SUMIFS('Saldos Iniciales'!$D:$D,'Saldos Iniciales'!$A:$A,"EC Auto")+SUMIFS(Movimientos!$K$1:$K$352,Movimientos!$C$1:$C$352,"EC Auto",Movimientos!$B$1:$B$352,"&lt;="&amp;$B38)</f>
        <v>382.69000000000005</v>
      </c>
      <c r="P38" s="24">
        <f>SUMIFS('Saldos Iniciales'!$D:$D,'Saldos Iniciales'!$A:$A,"Arbor Capital Properties")+SUMIFS(Movimientos!$K$1:$K$352,Movimientos!$C$1:$C$352,"Arbor Capital Properties",Movimientos!$B$1:$B$352,"&lt;="&amp;$B38)</f>
        <v>1428.08</v>
      </c>
      <c r="Q38" s="24">
        <f>SUMIFS('Saldos Iniciales'!$D:$D,'Saldos Iniciales'!$A:$A,"2515 Overbrook")+SUMIFS(Movimientos!$K$1:$K$352,Movimientos!$C$1:$C$352,"2515 Overbrook",Movimientos!$B$1:$B$352,"&lt;="&amp;$B38)</f>
        <v>25789.969999999961</v>
      </c>
      <c r="R38" s="24">
        <f>SUMIFS('Saldos Iniciales'!$D:$D,'Saldos Iniciales'!$A:$A,"112 Florida Ave")+SUMIFS(Movimientos!$K$1:$K$352,Movimientos!$C$1:$C$352,"112 Florida Ave",Movimientos!$B$1:$B$352,"&lt;="&amp;$B38)</f>
        <v>5321.4300000000021</v>
      </c>
      <c r="S38" s="24">
        <f>SUMIFS('Saldos Iniciales'!$D:$D,'Saldos Iniciales'!$A:$A,"3628 Thomas Ave")+SUMIFS(Movimientos!$K$1:$K$352,Movimientos!$C$1:$C$352,"3628 Thomas Ave",Movimientos!$B$1:$B$352,"&lt;="&amp;$B38)</f>
        <v>24833.23</v>
      </c>
      <c r="T38" s="24">
        <f>SUMIFS('Saldos Iniciales'!$D:$D,'Saldos Iniciales'!$A:$A,"Green Harbor Trust")+SUMIFS(Movimientos!$K$1:$K$352,Movimientos!$C$1:$C$352,"Green Harbor Trust",Movimientos!$B$1:$B$352,"&lt;="&amp;$B38)</f>
        <v>345</v>
      </c>
      <c r="U38" s="24">
        <f>SUMIFS('Saldos Iniciales'!$D:$D,'Saldos Iniciales'!$A:$A,"Go Blue")+SUMIFS(Movimientos!$K$1:$K$352,Movimientos!$C$1:$C$352,"Go Blue",Movimientos!$B$1:$B$352,"&lt;="&amp;$B38)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Group")+SUMIFS(Movimientos!$K$1:$K$352,Movimientos!$C$1:$C$352,"CFT Group",Movimientos!$B$1:$B$352,"&lt;="&amp;$B39)</f>
        <v>733394.14000000013</v>
      </c>
      <c r="D39" s="24">
        <f>SUMIFS('Saldos Iniciales'!$D:$D,'Saldos Iniciales'!$A:$A,"M1B")+SUMIFS(Movimientos!$K$1:$K$352,Movimientos!$C$1:$C$352,"M1B",Movimientos!$B$1:$B$352,"&lt;="&amp;$B39)</f>
        <v>69376.390000000174</v>
      </c>
      <c r="E39" s="24">
        <f>SUMIFS('Saldos Iniciales'!$D:$D,'Saldos Iniciales'!$A:$A,"Durand")+SUMIFS(Movimientos!$K$1:$K$352,Movimientos!$C$1:$C$352,"Durand",Movimientos!$B$1:$B$352,"&lt;="&amp;$B39)</f>
        <v>1669.89</v>
      </c>
      <c r="F39" s="24">
        <f>SUMIFS('Saldos Iniciales'!$D:$D,'Saldos Iniciales'!$A:$A,"A&amp;M Imports")+SUMIFS(Movimientos!$K$1:$K$352,Movimientos!$C$1:$C$352,"A&amp;M Imports",Movimientos!$B$1:$B$352,"&lt;="&amp;$B39)</f>
        <v>729545.23999999987</v>
      </c>
      <c r="G39" s="24">
        <f>SUMIFS('Saldos Iniciales'!$D:$D,'Saldos Iniciales'!$A:$A,"SSP Capital")+SUMIFS(Movimientos!$K$1:$K$352,Movimientos!$C$1:$C$352,"SSP Capital",Movimientos!$B$1:$B$352,"&lt;="&amp;$B39)</f>
        <v>1164028.3199999994</v>
      </c>
      <c r="H39" s="24">
        <f>SUMIFS('Saldos Iniciales'!$D:$D,'Saldos Iniciales'!$A:$A,"Cross Family Trust")+SUMIFS(Movimientos!$K$1:$K$352,Movimientos!$C$1:$C$352,"Cross Family Trust",Movimientos!$B$1:$B$352,"&lt;="&amp;$B39)</f>
        <v>116496.38</v>
      </c>
      <c r="I39" s="24">
        <f>SUMIFS('Saldos Iniciales'!$D:$D,'Saldos Iniciales'!$A:$A,"Cross Security Trust")+SUMIFS(Movimientos!$K$1:$K$352,Movimientos!$C$1:$C$352,"Cross Security Trust",Movimientos!$B$1:$B$352,"&lt;="&amp;$B39)</f>
        <v>88090.37</v>
      </c>
      <c r="J39" s="24">
        <f>SUMIFS('Saldos Iniciales'!$D:$D,'Saldos Iniciales'!$A:$A,"Electrama")+SUMIFS(Movimientos!$K$1:$K$352,Movimientos!$C$1:$C$352,"Electrama",Movimientos!$B$1:$B$352,"&lt;="&amp;$B39)</f>
        <v>1227.9699999999998</v>
      </c>
      <c r="K39" s="24">
        <f>SUMIFS('Saldos Iniciales'!$D:$D,'Saldos Iniciales'!$A:$A,"Sacred Valley Capital")+SUMIFS(Movimientos!$K$1:$K$352,Movimientos!$C$1:$C$352,"Sacred Valley Capital",Movimientos!$B$1:$B$352,"&lt;="&amp;$B39)</f>
        <v>84.35</v>
      </c>
      <c r="L39" s="24">
        <f>SUMIFS('Saldos Iniciales'!$D:$D,'Saldos Iniciales'!$A:$A,"YWC Capital")+SUMIFS(Movimientos!$K$1:$K$352,Movimientos!$C$1:$C$352,"YWC Capital",Movimientos!$B$1:$B$352,"&lt;="&amp;$B39)</f>
        <v>2237.77</v>
      </c>
      <c r="M39" s="24">
        <f>SUMIFS('Saldos Iniciales'!$D:$D,'Saldos Iniciales'!$A:$A,"Soweto")+SUMIFS(Movimientos!$K$1:$K$352,Movimientos!$C$1:$C$352,"Soweto",Movimientos!$B$1:$B$352,"&lt;="&amp;$B39)</f>
        <v>3349.94</v>
      </c>
      <c r="N39" s="24">
        <f>SUMIFS('Saldos Iniciales'!$D:$D,'Saldos Iniciales'!$A:$A,"Green Stone Trust")+SUMIFS(Movimientos!$K$1:$K$352,Movimientos!$C$1:$C$352,"Green Stone Trust",Movimientos!$B$1:$B$352,"&lt;="&amp;$B39)</f>
        <v>1968.99</v>
      </c>
      <c r="O39" s="24">
        <f>SUMIFS('Saldos Iniciales'!$D:$D,'Saldos Iniciales'!$A:$A,"EC Auto")+SUMIFS(Movimientos!$K$1:$K$352,Movimientos!$C$1:$C$352,"EC Auto",Movimientos!$B$1:$B$352,"&lt;="&amp;$B39)</f>
        <v>382.69000000000005</v>
      </c>
      <c r="P39" s="24">
        <f>SUMIFS('Saldos Iniciales'!$D:$D,'Saldos Iniciales'!$A:$A,"Arbor Capital Properties")+SUMIFS(Movimientos!$K$1:$K$352,Movimientos!$C$1:$C$352,"Arbor Capital Properties",Movimientos!$B$1:$B$352,"&lt;="&amp;$B39)</f>
        <v>1428.08</v>
      </c>
      <c r="Q39" s="24">
        <f>SUMIFS('Saldos Iniciales'!$D:$D,'Saldos Iniciales'!$A:$A,"2515 Overbrook")+SUMIFS(Movimientos!$K$1:$K$352,Movimientos!$C$1:$C$352,"2515 Overbrook",Movimientos!$B$1:$B$352,"&lt;="&amp;$B39)</f>
        <v>25789.969999999961</v>
      </c>
      <c r="R39" s="24">
        <f>SUMIFS('Saldos Iniciales'!$D:$D,'Saldos Iniciales'!$A:$A,"112 Florida Ave")+SUMIFS(Movimientos!$K$1:$K$352,Movimientos!$C$1:$C$352,"112 Florida Ave",Movimientos!$B$1:$B$352,"&lt;="&amp;$B39)</f>
        <v>5321.4300000000021</v>
      </c>
      <c r="S39" s="24">
        <f>SUMIFS('Saldos Iniciales'!$D:$D,'Saldos Iniciales'!$A:$A,"3628 Thomas Ave")+SUMIFS(Movimientos!$K$1:$K$352,Movimientos!$C$1:$C$352,"3628 Thomas Ave",Movimientos!$B$1:$B$352,"&lt;="&amp;$B39)</f>
        <v>24833.23</v>
      </c>
      <c r="T39" s="24">
        <f>SUMIFS('Saldos Iniciales'!$D:$D,'Saldos Iniciales'!$A:$A,"Green Harbor Trust")+SUMIFS(Movimientos!$K$1:$K$352,Movimientos!$C$1:$C$352,"Green Harbor Trust",Movimientos!$B$1:$B$352,"&lt;="&amp;$B39)</f>
        <v>345</v>
      </c>
      <c r="U39" s="24">
        <f>SUMIFS('Saldos Iniciales'!$D:$D,'Saldos Iniciales'!$A:$A,"Go Blue")+SUMIFS(Movimientos!$K$1:$K$352,Movimientos!$C$1:$C$352,"Go Blue",Movimientos!$B$1:$B$352,"&lt;="&amp;$B39)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Group")+SUMIFS(Movimientos!$K$1:$K$352,Movimientos!$C$1:$C$352,"CFT Group",Movimientos!$B$1:$B$352,"&lt;="&amp;$B40)</f>
        <v>733394.14000000013</v>
      </c>
      <c r="D40" s="24">
        <f>SUMIFS('Saldos Iniciales'!$D:$D,'Saldos Iniciales'!$A:$A,"M1B")+SUMIFS(Movimientos!$K$1:$K$352,Movimientos!$C$1:$C$352,"M1B",Movimientos!$B$1:$B$352,"&lt;="&amp;$B40)</f>
        <v>69376.390000000174</v>
      </c>
      <c r="E40" s="24">
        <f>SUMIFS('Saldos Iniciales'!$D:$D,'Saldos Iniciales'!$A:$A,"Durand")+SUMIFS(Movimientos!$K$1:$K$352,Movimientos!$C$1:$C$352,"Durand",Movimientos!$B$1:$B$352,"&lt;="&amp;$B40)</f>
        <v>1669.89</v>
      </c>
      <c r="F40" s="24">
        <f>SUMIFS('Saldos Iniciales'!$D:$D,'Saldos Iniciales'!$A:$A,"A&amp;M Imports")+SUMIFS(Movimientos!$K$1:$K$352,Movimientos!$C$1:$C$352,"A&amp;M Imports",Movimientos!$B$1:$B$352,"&lt;="&amp;$B40)</f>
        <v>729545.23999999987</v>
      </c>
      <c r="G40" s="24">
        <f>SUMIFS('Saldos Iniciales'!$D:$D,'Saldos Iniciales'!$A:$A,"SSP Capital")+SUMIFS(Movimientos!$K$1:$K$352,Movimientos!$C$1:$C$352,"SSP Capital",Movimientos!$B$1:$B$352,"&lt;="&amp;$B40)</f>
        <v>1164028.3199999994</v>
      </c>
      <c r="H40" s="24">
        <f>SUMIFS('Saldos Iniciales'!$D:$D,'Saldos Iniciales'!$A:$A,"Cross Family Trust")+SUMIFS(Movimientos!$K$1:$K$352,Movimientos!$C$1:$C$352,"Cross Family Trust",Movimientos!$B$1:$B$352,"&lt;="&amp;$B40)</f>
        <v>116496.38</v>
      </c>
      <c r="I40" s="24">
        <f>SUMIFS('Saldos Iniciales'!$D:$D,'Saldos Iniciales'!$A:$A,"Cross Security Trust")+SUMIFS(Movimientos!$K$1:$K$352,Movimientos!$C$1:$C$352,"Cross Security Trust",Movimientos!$B$1:$B$352,"&lt;="&amp;$B40)</f>
        <v>88090.37</v>
      </c>
      <c r="J40" s="24">
        <f>SUMIFS('Saldos Iniciales'!$D:$D,'Saldos Iniciales'!$A:$A,"Electrama")+SUMIFS(Movimientos!$K$1:$K$352,Movimientos!$C$1:$C$352,"Electrama",Movimientos!$B$1:$B$352,"&lt;="&amp;$B40)</f>
        <v>1227.9699999999998</v>
      </c>
      <c r="K40" s="24">
        <f>SUMIFS('Saldos Iniciales'!$D:$D,'Saldos Iniciales'!$A:$A,"Sacred Valley Capital")+SUMIFS(Movimientos!$K$1:$K$352,Movimientos!$C$1:$C$352,"Sacred Valley Capital",Movimientos!$B$1:$B$352,"&lt;="&amp;$B40)</f>
        <v>84.35</v>
      </c>
      <c r="L40" s="24">
        <f>SUMIFS('Saldos Iniciales'!$D:$D,'Saldos Iniciales'!$A:$A,"YWC Capital")+SUMIFS(Movimientos!$K$1:$K$352,Movimientos!$C$1:$C$352,"YWC Capital",Movimientos!$B$1:$B$352,"&lt;="&amp;$B40)</f>
        <v>2237.77</v>
      </c>
      <c r="M40" s="24">
        <f>SUMIFS('Saldos Iniciales'!$D:$D,'Saldos Iniciales'!$A:$A,"Soweto")+SUMIFS(Movimientos!$K$1:$K$352,Movimientos!$C$1:$C$352,"Soweto",Movimientos!$B$1:$B$352,"&lt;="&amp;$B40)</f>
        <v>3349.94</v>
      </c>
      <c r="N40" s="24">
        <f>SUMIFS('Saldos Iniciales'!$D:$D,'Saldos Iniciales'!$A:$A,"Green Stone Trust")+SUMIFS(Movimientos!$K$1:$K$352,Movimientos!$C$1:$C$352,"Green Stone Trust",Movimientos!$B$1:$B$352,"&lt;="&amp;$B40)</f>
        <v>1968.99</v>
      </c>
      <c r="O40" s="24">
        <f>SUMIFS('Saldos Iniciales'!$D:$D,'Saldos Iniciales'!$A:$A,"EC Auto")+SUMIFS(Movimientos!$K$1:$K$352,Movimientos!$C$1:$C$352,"EC Auto",Movimientos!$B$1:$B$352,"&lt;="&amp;$B40)</f>
        <v>382.69000000000005</v>
      </c>
      <c r="P40" s="24">
        <f>SUMIFS('Saldos Iniciales'!$D:$D,'Saldos Iniciales'!$A:$A,"Arbor Capital Properties")+SUMIFS(Movimientos!$K$1:$K$352,Movimientos!$C$1:$C$352,"Arbor Capital Properties",Movimientos!$B$1:$B$352,"&lt;="&amp;$B40)</f>
        <v>1428.08</v>
      </c>
      <c r="Q40" s="24">
        <f>SUMIFS('Saldos Iniciales'!$D:$D,'Saldos Iniciales'!$A:$A,"2515 Overbrook")+SUMIFS(Movimientos!$K$1:$K$352,Movimientos!$C$1:$C$352,"2515 Overbrook",Movimientos!$B$1:$B$352,"&lt;="&amp;$B40)</f>
        <v>25789.969999999961</v>
      </c>
      <c r="R40" s="24">
        <f>SUMIFS('Saldos Iniciales'!$D:$D,'Saldos Iniciales'!$A:$A,"112 Florida Ave")+SUMIFS(Movimientos!$K$1:$K$352,Movimientos!$C$1:$C$352,"112 Florida Ave",Movimientos!$B$1:$B$352,"&lt;="&amp;$B40)</f>
        <v>5321.4300000000021</v>
      </c>
      <c r="S40" s="24">
        <f>SUMIFS('Saldos Iniciales'!$D:$D,'Saldos Iniciales'!$A:$A,"3628 Thomas Ave")+SUMIFS(Movimientos!$K$1:$K$352,Movimientos!$C$1:$C$352,"3628 Thomas Ave",Movimientos!$B$1:$B$352,"&lt;="&amp;$B40)</f>
        <v>24833.23</v>
      </c>
      <c r="T40" s="24">
        <f>SUMIFS('Saldos Iniciales'!$D:$D,'Saldos Iniciales'!$A:$A,"Green Harbor Trust")+SUMIFS(Movimientos!$K$1:$K$352,Movimientos!$C$1:$C$352,"Green Harbor Trust",Movimientos!$B$1:$B$352,"&lt;="&amp;$B40)</f>
        <v>345</v>
      </c>
      <c r="U40" s="24">
        <f>SUMIFS('Saldos Iniciales'!$D:$D,'Saldos Iniciales'!$A:$A,"Go Blue")+SUMIFS(Movimientos!$K$1:$K$352,Movimientos!$C$1:$C$352,"Go Blue",Movimientos!$B$1:$B$352,"&lt;="&amp;$B40)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Group")+SUMIFS(Movimientos!$K$1:$K$352,Movimientos!$C$1:$C$352,"CFT Group",Movimientos!$B$1:$B$352,"&lt;="&amp;$B41)</f>
        <v>847381.29000000015</v>
      </c>
      <c r="D41" s="24">
        <f>SUMIFS('Saldos Iniciales'!$D:$D,'Saldos Iniciales'!$A:$A,"M1B")+SUMIFS(Movimientos!$K$1:$K$352,Movimientos!$C$1:$C$352,"M1B",Movimientos!$B$1:$B$352,"&lt;="&amp;$B41)</f>
        <v>69376.390000000174</v>
      </c>
      <c r="E41" s="24">
        <f>SUMIFS('Saldos Iniciales'!$D:$D,'Saldos Iniciales'!$A:$A,"Durand")+SUMIFS(Movimientos!$K$1:$K$352,Movimientos!$C$1:$C$352,"Durand",Movimientos!$B$1:$B$352,"&lt;="&amp;$B41)</f>
        <v>1669.89</v>
      </c>
      <c r="F41" s="24">
        <f>SUMIFS('Saldos Iniciales'!$D:$D,'Saldos Iniciales'!$A:$A,"A&amp;M Imports")+SUMIFS(Movimientos!$K$1:$K$352,Movimientos!$C$1:$C$352,"A&amp;M Imports",Movimientos!$B$1:$B$352,"&lt;="&amp;$B41)</f>
        <v>729545.23999999987</v>
      </c>
      <c r="G41" s="24">
        <f>SUMIFS('Saldos Iniciales'!$D:$D,'Saldos Iniciales'!$A:$A,"SSP Capital")+SUMIFS(Movimientos!$K$1:$K$352,Movimientos!$C$1:$C$352,"SSP Capital",Movimientos!$B$1:$B$352,"&lt;="&amp;$B41)</f>
        <v>1160274.0499999993</v>
      </c>
      <c r="H41" s="24">
        <f>SUMIFS('Saldos Iniciales'!$D:$D,'Saldos Iniciales'!$A:$A,"Cross Family Trust")+SUMIFS(Movimientos!$K$1:$K$352,Movimientos!$C$1:$C$352,"Cross Family Trust",Movimientos!$B$1:$B$352,"&lt;="&amp;$B41)</f>
        <v>116496.38</v>
      </c>
      <c r="I41" s="24">
        <f>SUMIFS('Saldos Iniciales'!$D:$D,'Saldos Iniciales'!$A:$A,"Cross Security Trust")+SUMIFS(Movimientos!$K$1:$K$352,Movimientos!$C$1:$C$352,"Cross Security Trust",Movimientos!$B$1:$B$352,"&lt;="&amp;$B41)</f>
        <v>88090.37</v>
      </c>
      <c r="J41" s="24">
        <f>SUMIFS('Saldos Iniciales'!$D:$D,'Saldos Iniciales'!$A:$A,"Electrama")+SUMIFS(Movimientos!$K$1:$K$352,Movimientos!$C$1:$C$352,"Electrama",Movimientos!$B$1:$B$352,"&lt;="&amp;$B41)</f>
        <v>1227.9699999999998</v>
      </c>
      <c r="K41" s="24">
        <f>SUMIFS('Saldos Iniciales'!$D:$D,'Saldos Iniciales'!$A:$A,"Sacred Valley Capital")+SUMIFS(Movimientos!$K$1:$K$352,Movimientos!$C$1:$C$352,"Sacred Valley Capital",Movimientos!$B$1:$B$352,"&lt;="&amp;$B41)</f>
        <v>84.35</v>
      </c>
      <c r="L41" s="24">
        <f>SUMIFS('Saldos Iniciales'!$D:$D,'Saldos Iniciales'!$A:$A,"YWC Capital")+SUMIFS(Movimientos!$K$1:$K$352,Movimientos!$C$1:$C$352,"YWC Capital",Movimientos!$B$1:$B$352,"&lt;="&amp;$B41)</f>
        <v>2237.77</v>
      </c>
      <c r="M41" s="24">
        <f>SUMIFS('Saldos Iniciales'!$D:$D,'Saldos Iniciales'!$A:$A,"Soweto")+SUMIFS(Movimientos!$K$1:$K$352,Movimientos!$C$1:$C$352,"Soweto",Movimientos!$B$1:$B$352,"&lt;="&amp;$B41)</f>
        <v>3349.94</v>
      </c>
      <c r="N41" s="24">
        <f>SUMIFS('Saldos Iniciales'!$D:$D,'Saldos Iniciales'!$A:$A,"Green Stone Trust")+SUMIFS(Movimientos!$K$1:$K$352,Movimientos!$C$1:$C$352,"Green Stone Trust",Movimientos!$B$1:$B$352,"&lt;="&amp;$B41)</f>
        <v>1968.99</v>
      </c>
      <c r="O41" s="24">
        <f>SUMIFS('Saldos Iniciales'!$D:$D,'Saldos Iniciales'!$A:$A,"EC Auto")+SUMIFS(Movimientos!$K$1:$K$352,Movimientos!$C$1:$C$352,"EC Auto",Movimientos!$B$1:$B$352,"&lt;="&amp;$B41)</f>
        <v>382.69000000000005</v>
      </c>
      <c r="P41" s="24">
        <f>SUMIFS('Saldos Iniciales'!$D:$D,'Saldos Iniciales'!$A:$A,"Arbor Capital Properties")+SUMIFS(Movimientos!$K$1:$K$352,Movimientos!$C$1:$C$352,"Arbor Capital Properties",Movimientos!$B$1:$B$352,"&lt;="&amp;$B41)</f>
        <v>1428.08</v>
      </c>
      <c r="Q41" s="24">
        <f>SUMIFS('Saldos Iniciales'!$D:$D,'Saldos Iniciales'!$A:$A,"2515 Overbrook")+SUMIFS(Movimientos!$K$1:$K$352,Movimientos!$C$1:$C$352,"2515 Overbrook",Movimientos!$B$1:$B$352,"&lt;="&amp;$B41)</f>
        <v>25789.969999999961</v>
      </c>
      <c r="R41" s="24">
        <f>SUMIFS('Saldos Iniciales'!$D:$D,'Saldos Iniciales'!$A:$A,"112 Florida Ave")+SUMIFS(Movimientos!$K$1:$K$352,Movimientos!$C$1:$C$352,"112 Florida Ave",Movimientos!$B$1:$B$352,"&lt;="&amp;$B41)</f>
        <v>5321.4300000000021</v>
      </c>
      <c r="S41" s="24">
        <f>SUMIFS('Saldos Iniciales'!$D:$D,'Saldos Iniciales'!$A:$A,"3628 Thomas Ave")+SUMIFS(Movimientos!$K$1:$K$352,Movimientos!$C$1:$C$352,"3628 Thomas Ave",Movimientos!$B$1:$B$352,"&lt;="&amp;$B41)</f>
        <v>24833.23</v>
      </c>
      <c r="T41" s="24">
        <f>SUMIFS('Saldos Iniciales'!$D:$D,'Saldos Iniciales'!$A:$A,"Green Harbor Trust")+SUMIFS(Movimientos!$K$1:$K$352,Movimientos!$C$1:$C$352,"Green Harbor Trust",Movimientos!$B$1:$B$352,"&lt;="&amp;$B41)</f>
        <v>345</v>
      </c>
      <c r="U41" s="24">
        <f>SUMIFS('Saldos Iniciales'!$D:$D,'Saldos Iniciales'!$A:$A,"Go Blue")+SUMIFS(Movimientos!$K$1:$K$352,Movimientos!$C$1:$C$352,"Go Blue",Movimientos!$B$1:$B$352,"&lt;="&amp;$B41)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Group")+SUMIFS(Movimientos!$K$1:$K$352,Movimientos!$C$1:$C$352,"CFT Group",Movimientos!$B$1:$B$352,"&lt;="&amp;$B42)</f>
        <v>2288745.9500000002</v>
      </c>
      <c r="D42" s="24">
        <f>SUMIFS('Saldos Iniciales'!$D:$D,'Saldos Iniciales'!$A:$A,"M1B")+SUMIFS(Movimientos!$K$1:$K$352,Movimientos!$C$1:$C$352,"M1B",Movimientos!$B$1:$B$352,"&lt;="&amp;$B42)</f>
        <v>69376.390000000174</v>
      </c>
      <c r="E42" s="24">
        <f>SUMIFS('Saldos Iniciales'!$D:$D,'Saldos Iniciales'!$A:$A,"Durand")+SUMIFS(Movimientos!$K$1:$K$352,Movimientos!$C$1:$C$352,"Durand",Movimientos!$B$1:$B$352,"&lt;="&amp;$B42)</f>
        <v>1669.89</v>
      </c>
      <c r="F42" s="24">
        <f>SUMIFS('Saldos Iniciales'!$D:$D,'Saldos Iniciales'!$A:$A,"A&amp;M Imports")+SUMIFS(Movimientos!$K$1:$K$352,Movimientos!$C$1:$C$352,"A&amp;M Imports",Movimientos!$B$1:$B$352,"&lt;="&amp;$B42)</f>
        <v>744306.80999999982</v>
      </c>
      <c r="G42" s="24">
        <f>SUMIFS('Saldos Iniciales'!$D:$D,'Saldos Iniciales'!$A:$A,"SSP Capital")+SUMIFS(Movimientos!$K$1:$K$352,Movimientos!$C$1:$C$352,"SSP Capital",Movimientos!$B$1:$B$352,"&lt;="&amp;$B42)</f>
        <v>1160274.0499999993</v>
      </c>
      <c r="H42" s="24">
        <f>SUMIFS('Saldos Iniciales'!$D:$D,'Saldos Iniciales'!$A:$A,"Cross Family Trust")+SUMIFS(Movimientos!$K$1:$K$352,Movimientos!$C$1:$C$352,"Cross Family Trust",Movimientos!$B$1:$B$352,"&lt;="&amp;$B42)</f>
        <v>116496.38</v>
      </c>
      <c r="I42" s="24">
        <f>SUMIFS('Saldos Iniciales'!$D:$D,'Saldos Iniciales'!$A:$A,"Cross Security Trust")+SUMIFS(Movimientos!$K$1:$K$352,Movimientos!$C$1:$C$352,"Cross Security Trust",Movimientos!$B$1:$B$352,"&lt;="&amp;$B42)</f>
        <v>88090.37</v>
      </c>
      <c r="J42" s="24">
        <f>SUMIFS('Saldos Iniciales'!$D:$D,'Saldos Iniciales'!$A:$A,"Electrama")+SUMIFS(Movimientos!$K$1:$K$352,Movimientos!$C$1:$C$352,"Electrama",Movimientos!$B$1:$B$352,"&lt;="&amp;$B42)</f>
        <v>1227.9699999999998</v>
      </c>
      <c r="K42" s="24">
        <f>SUMIFS('Saldos Iniciales'!$D:$D,'Saldos Iniciales'!$A:$A,"Sacred Valley Capital")+SUMIFS(Movimientos!$K$1:$K$352,Movimientos!$C$1:$C$352,"Sacred Valley Capital",Movimientos!$B$1:$B$352,"&lt;="&amp;$B42)</f>
        <v>84.35</v>
      </c>
      <c r="L42" s="24">
        <f>SUMIFS('Saldos Iniciales'!$D:$D,'Saldos Iniciales'!$A:$A,"YWC Capital")+SUMIFS(Movimientos!$K$1:$K$352,Movimientos!$C$1:$C$352,"YWC Capital",Movimientos!$B$1:$B$352,"&lt;="&amp;$B42)</f>
        <v>2237.77</v>
      </c>
      <c r="M42" s="24">
        <f>SUMIFS('Saldos Iniciales'!$D:$D,'Saldos Iniciales'!$A:$A,"Soweto")+SUMIFS(Movimientos!$K$1:$K$352,Movimientos!$C$1:$C$352,"Soweto",Movimientos!$B$1:$B$352,"&lt;="&amp;$B42)</f>
        <v>3349.94</v>
      </c>
      <c r="N42" s="24">
        <f>SUMIFS('Saldos Iniciales'!$D:$D,'Saldos Iniciales'!$A:$A,"Green Stone Trust")+SUMIFS(Movimientos!$K$1:$K$352,Movimientos!$C$1:$C$352,"Green Stone Trust",Movimientos!$B$1:$B$352,"&lt;="&amp;$B42)</f>
        <v>1968.99</v>
      </c>
      <c r="O42" s="24">
        <f>SUMIFS('Saldos Iniciales'!$D:$D,'Saldos Iniciales'!$A:$A,"EC Auto")+SUMIFS(Movimientos!$K$1:$K$352,Movimientos!$C$1:$C$352,"EC Auto",Movimientos!$B$1:$B$352,"&lt;="&amp;$B42)</f>
        <v>382.69000000000005</v>
      </c>
      <c r="P42" s="24">
        <f>SUMIFS('Saldos Iniciales'!$D:$D,'Saldos Iniciales'!$A:$A,"Arbor Capital Properties")+SUMIFS(Movimientos!$K$1:$K$352,Movimientos!$C$1:$C$352,"Arbor Capital Properties",Movimientos!$B$1:$B$352,"&lt;="&amp;$B42)</f>
        <v>1428.08</v>
      </c>
      <c r="Q42" s="24">
        <f>SUMIFS('Saldos Iniciales'!$D:$D,'Saldos Iniciales'!$A:$A,"2515 Overbrook")+SUMIFS(Movimientos!$K$1:$K$352,Movimientos!$C$1:$C$352,"2515 Overbrook",Movimientos!$B$1:$B$352,"&lt;="&amp;$B42)</f>
        <v>25789.969999999961</v>
      </c>
      <c r="R42" s="24">
        <f>SUMIFS('Saldos Iniciales'!$D:$D,'Saldos Iniciales'!$A:$A,"112 Florida Ave")+SUMIFS(Movimientos!$K$1:$K$352,Movimientos!$C$1:$C$352,"112 Florida Ave",Movimientos!$B$1:$B$352,"&lt;="&amp;$B42)</f>
        <v>5321.4300000000021</v>
      </c>
      <c r="S42" s="24">
        <f>SUMIFS('Saldos Iniciales'!$D:$D,'Saldos Iniciales'!$A:$A,"3628 Thomas Ave")+SUMIFS(Movimientos!$K$1:$K$352,Movimientos!$C$1:$C$352,"3628 Thomas Ave",Movimientos!$B$1:$B$352,"&lt;="&amp;$B42)</f>
        <v>24743.98</v>
      </c>
      <c r="T42" s="24">
        <f>SUMIFS('Saldos Iniciales'!$D:$D,'Saldos Iniciales'!$A:$A,"Green Harbor Trust")+SUMIFS(Movimientos!$K$1:$K$352,Movimientos!$C$1:$C$352,"Green Harbor Trust",Movimientos!$B$1:$B$352,"&lt;="&amp;$B42)</f>
        <v>345</v>
      </c>
      <c r="U42" s="24">
        <f>SUMIFS('Saldos Iniciales'!$D:$D,'Saldos Iniciales'!$A:$A,"Go Blue")+SUMIFS(Movimientos!$K$1:$K$352,Movimientos!$C$1:$C$352,"Go Blue",Movimientos!$B$1:$B$352,"&lt;="&amp;$B42)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Group")+SUMIFS(Movimientos!$K$1:$K$352,Movimientos!$C$1:$C$352,"CFT Group",Movimientos!$B$1:$B$352,"&lt;="&amp;$B43)</f>
        <v>1837784.84</v>
      </c>
      <c r="D43" s="24">
        <f>SUMIFS('Saldos Iniciales'!$D:$D,'Saldos Iniciales'!$A:$A,"M1B")+SUMIFS(Movimientos!$K$1:$K$352,Movimientos!$C$1:$C$352,"M1B",Movimientos!$B$1:$B$352,"&lt;="&amp;$B43)</f>
        <v>69376.390000000174</v>
      </c>
      <c r="E43" s="24">
        <f>SUMIFS('Saldos Iniciales'!$D:$D,'Saldos Iniciales'!$A:$A,"Durand")+SUMIFS(Movimientos!$K$1:$K$352,Movimientos!$C$1:$C$352,"Durand",Movimientos!$B$1:$B$352,"&lt;="&amp;$B43)</f>
        <v>1669.89</v>
      </c>
      <c r="F43" s="24">
        <f>SUMIFS('Saldos Iniciales'!$D:$D,'Saldos Iniciales'!$A:$A,"A&amp;M Imports")+SUMIFS(Movimientos!$K$1:$K$352,Movimientos!$C$1:$C$352,"A&amp;M Imports",Movimientos!$B$1:$B$352,"&lt;="&amp;$B43)</f>
        <v>564626.20999999985</v>
      </c>
      <c r="G43" s="24">
        <f>SUMIFS('Saldos Iniciales'!$D:$D,'Saldos Iniciales'!$A:$A,"SSP Capital")+SUMIFS(Movimientos!$K$1:$K$352,Movimientos!$C$1:$C$352,"SSP Capital",Movimientos!$B$1:$B$352,"&lt;="&amp;$B43)</f>
        <v>794731.82999999926</v>
      </c>
      <c r="H43" s="24">
        <f>SUMIFS('Saldos Iniciales'!$D:$D,'Saldos Iniciales'!$A:$A,"Cross Family Trust")+SUMIFS(Movimientos!$K$1:$K$352,Movimientos!$C$1:$C$352,"Cross Family Trust",Movimientos!$B$1:$B$352,"&lt;="&amp;$B43)</f>
        <v>116496.38</v>
      </c>
      <c r="I43" s="24">
        <f>SUMIFS('Saldos Iniciales'!$D:$D,'Saldos Iniciales'!$A:$A,"Cross Security Trust")+SUMIFS(Movimientos!$K$1:$K$352,Movimientos!$C$1:$C$352,"Cross Security Trust",Movimientos!$B$1:$B$352,"&lt;="&amp;$B43)</f>
        <v>88090.37</v>
      </c>
      <c r="J43" s="24">
        <f>SUMIFS('Saldos Iniciales'!$D:$D,'Saldos Iniciales'!$A:$A,"Electrama")+SUMIFS(Movimientos!$K$1:$K$352,Movimientos!$C$1:$C$352,"Electrama",Movimientos!$B$1:$B$352,"&lt;="&amp;$B43)</f>
        <v>1227.9699999999998</v>
      </c>
      <c r="K43" s="24">
        <f>SUMIFS('Saldos Iniciales'!$D:$D,'Saldos Iniciales'!$A:$A,"Sacred Valley Capital")+SUMIFS(Movimientos!$K$1:$K$352,Movimientos!$C$1:$C$352,"Sacred Valley Capital",Movimientos!$B$1:$B$352,"&lt;="&amp;$B43)</f>
        <v>84.35</v>
      </c>
      <c r="L43" s="24">
        <f>SUMIFS('Saldos Iniciales'!$D:$D,'Saldos Iniciales'!$A:$A,"YWC Capital")+SUMIFS(Movimientos!$K$1:$K$352,Movimientos!$C$1:$C$352,"YWC Capital",Movimientos!$B$1:$B$352,"&lt;="&amp;$B43)</f>
        <v>2237.77</v>
      </c>
      <c r="M43" s="24">
        <f>SUMIFS('Saldos Iniciales'!$D:$D,'Saldos Iniciales'!$A:$A,"Soweto")+SUMIFS(Movimientos!$K$1:$K$352,Movimientos!$C$1:$C$352,"Soweto",Movimientos!$B$1:$B$352,"&lt;="&amp;$B43)</f>
        <v>3349.94</v>
      </c>
      <c r="N43" s="24">
        <f>SUMIFS('Saldos Iniciales'!$D:$D,'Saldos Iniciales'!$A:$A,"Green Stone Trust")+SUMIFS(Movimientos!$K$1:$K$352,Movimientos!$C$1:$C$352,"Green Stone Trust",Movimientos!$B$1:$B$352,"&lt;="&amp;$B43)</f>
        <v>1968.99</v>
      </c>
      <c r="O43" s="24">
        <f>SUMIFS('Saldos Iniciales'!$D:$D,'Saldos Iniciales'!$A:$A,"EC Auto")+SUMIFS(Movimientos!$K$1:$K$352,Movimientos!$C$1:$C$352,"EC Auto",Movimientos!$B$1:$B$352,"&lt;="&amp;$B43)</f>
        <v>382.69000000000005</v>
      </c>
      <c r="P43" s="24">
        <f>SUMIFS('Saldos Iniciales'!$D:$D,'Saldos Iniciales'!$A:$A,"Arbor Capital Properties")+SUMIFS(Movimientos!$K$1:$K$352,Movimientos!$C$1:$C$352,"Arbor Capital Properties",Movimientos!$B$1:$B$352,"&lt;="&amp;$B43)</f>
        <v>1428.08</v>
      </c>
      <c r="Q43" s="24">
        <f>SUMIFS('Saldos Iniciales'!$D:$D,'Saldos Iniciales'!$A:$A,"2515 Overbrook")+SUMIFS(Movimientos!$K$1:$K$352,Movimientos!$C$1:$C$352,"2515 Overbrook",Movimientos!$B$1:$B$352,"&lt;="&amp;$B43)</f>
        <v>25789.969999999961</v>
      </c>
      <c r="R43" s="24">
        <f>SUMIFS('Saldos Iniciales'!$D:$D,'Saldos Iniciales'!$A:$A,"112 Florida Ave")+SUMIFS(Movimientos!$K$1:$K$352,Movimientos!$C$1:$C$352,"112 Florida Ave",Movimientos!$B$1:$B$352,"&lt;="&amp;$B43)</f>
        <v>5321.4300000000021</v>
      </c>
      <c r="S43" s="24">
        <f>SUMIFS('Saldos Iniciales'!$D:$D,'Saldos Iniciales'!$A:$A,"3628 Thomas Ave")+SUMIFS(Movimientos!$K$1:$K$352,Movimientos!$C$1:$C$352,"3628 Thomas Ave",Movimientos!$B$1:$B$352,"&lt;="&amp;$B43)</f>
        <v>24743.98</v>
      </c>
      <c r="T43" s="24">
        <f>SUMIFS('Saldos Iniciales'!$D:$D,'Saldos Iniciales'!$A:$A,"Green Harbor Trust")+SUMIFS(Movimientos!$K$1:$K$352,Movimientos!$C$1:$C$352,"Green Harbor Trust",Movimientos!$B$1:$B$352,"&lt;="&amp;$B43)</f>
        <v>345</v>
      </c>
      <c r="U43" s="24">
        <f>SUMIFS('Saldos Iniciales'!$D:$D,'Saldos Iniciales'!$A:$A,"Go Blue")+SUMIFS(Movimientos!$K$1:$K$352,Movimientos!$C$1:$C$352,"Go Blue",Movimientos!$B$1:$B$352,"&lt;="&amp;$B43)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Group")+SUMIFS(Movimientos!$K$1:$K$352,Movimientos!$C$1:$C$352,"CFT Group",Movimientos!$B$1:$B$352,"&lt;="&amp;$B44)</f>
        <v>1837784.84</v>
      </c>
      <c r="D44" s="24">
        <f>SUMIFS('Saldos Iniciales'!$D:$D,'Saldos Iniciales'!$A:$A,"M1B")+SUMIFS(Movimientos!$K$1:$K$352,Movimientos!$C$1:$C$352,"M1B",Movimientos!$B$1:$B$352,"&lt;="&amp;$B44)</f>
        <v>69376.390000000174</v>
      </c>
      <c r="E44" s="24">
        <f>SUMIFS('Saldos Iniciales'!$D:$D,'Saldos Iniciales'!$A:$A,"Durand")+SUMIFS(Movimientos!$K$1:$K$352,Movimientos!$C$1:$C$352,"Durand",Movimientos!$B$1:$B$352,"&lt;="&amp;$B44)</f>
        <v>1669.89</v>
      </c>
      <c r="F44" s="24">
        <f>SUMIFS('Saldos Iniciales'!$D:$D,'Saldos Iniciales'!$A:$A,"A&amp;M Imports")+SUMIFS(Movimientos!$K$1:$K$352,Movimientos!$C$1:$C$352,"A&amp;M Imports",Movimientos!$B$1:$B$352,"&lt;="&amp;$B44)</f>
        <v>564626.20999999985</v>
      </c>
      <c r="G44" s="24">
        <f>SUMIFS('Saldos Iniciales'!$D:$D,'Saldos Iniciales'!$A:$A,"SSP Capital")+SUMIFS(Movimientos!$K$1:$K$352,Movimientos!$C$1:$C$352,"SSP Capital",Movimientos!$B$1:$B$352,"&lt;="&amp;$B44)</f>
        <v>3763348.8299999996</v>
      </c>
      <c r="H44" s="24">
        <f>SUMIFS('Saldos Iniciales'!$D:$D,'Saldos Iniciales'!$A:$A,"Cross Family Trust")+SUMIFS(Movimientos!$K$1:$K$352,Movimientos!$C$1:$C$352,"Cross Family Trust",Movimientos!$B$1:$B$352,"&lt;="&amp;$B44)</f>
        <v>116496.38</v>
      </c>
      <c r="I44" s="24">
        <f>SUMIFS('Saldos Iniciales'!$D:$D,'Saldos Iniciales'!$A:$A,"Cross Security Trust")+SUMIFS(Movimientos!$K$1:$K$352,Movimientos!$C$1:$C$352,"Cross Security Trust",Movimientos!$B$1:$B$352,"&lt;="&amp;$B44)</f>
        <v>88090.37</v>
      </c>
      <c r="J44" s="24">
        <f>SUMIFS('Saldos Iniciales'!$D:$D,'Saldos Iniciales'!$A:$A,"Electrama")+SUMIFS(Movimientos!$K$1:$K$352,Movimientos!$C$1:$C$352,"Electrama",Movimientos!$B$1:$B$352,"&lt;="&amp;$B44)</f>
        <v>1227.9699999999998</v>
      </c>
      <c r="K44" s="24">
        <f>SUMIFS('Saldos Iniciales'!$D:$D,'Saldos Iniciales'!$A:$A,"Sacred Valley Capital")+SUMIFS(Movimientos!$K$1:$K$352,Movimientos!$C$1:$C$352,"Sacred Valley Capital",Movimientos!$B$1:$B$352,"&lt;="&amp;$B44)</f>
        <v>84.35</v>
      </c>
      <c r="L44" s="24">
        <f>SUMIFS('Saldos Iniciales'!$D:$D,'Saldos Iniciales'!$A:$A,"YWC Capital")+SUMIFS(Movimientos!$K$1:$K$352,Movimientos!$C$1:$C$352,"YWC Capital",Movimientos!$B$1:$B$352,"&lt;="&amp;$B44)</f>
        <v>2237.77</v>
      </c>
      <c r="M44" s="24">
        <f>SUMIFS('Saldos Iniciales'!$D:$D,'Saldos Iniciales'!$A:$A,"Soweto")+SUMIFS(Movimientos!$K$1:$K$352,Movimientos!$C$1:$C$352,"Soweto",Movimientos!$B$1:$B$352,"&lt;="&amp;$B44)</f>
        <v>3349.94</v>
      </c>
      <c r="N44" s="24">
        <f>SUMIFS('Saldos Iniciales'!$D:$D,'Saldos Iniciales'!$A:$A,"Green Stone Trust")+SUMIFS(Movimientos!$K$1:$K$352,Movimientos!$C$1:$C$352,"Green Stone Trust",Movimientos!$B$1:$B$352,"&lt;="&amp;$B44)</f>
        <v>1968.99</v>
      </c>
      <c r="O44" s="24">
        <f>SUMIFS('Saldos Iniciales'!$D:$D,'Saldos Iniciales'!$A:$A,"EC Auto")+SUMIFS(Movimientos!$K$1:$K$352,Movimientos!$C$1:$C$352,"EC Auto",Movimientos!$B$1:$B$352,"&lt;="&amp;$B44)</f>
        <v>382.69000000000005</v>
      </c>
      <c r="P44" s="24">
        <f>SUMIFS('Saldos Iniciales'!$D:$D,'Saldos Iniciales'!$A:$A,"Arbor Capital Properties")+SUMIFS(Movimientos!$K$1:$K$352,Movimientos!$C$1:$C$352,"Arbor Capital Properties",Movimientos!$B$1:$B$352,"&lt;="&amp;$B44)</f>
        <v>1428.08</v>
      </c>
      <c r="Q44" s="24">
        <f>SUMIFS('Saldos Iniciales'!$D:$D,'Saldos Iniciales'!$A:$A,"2515 Overbrook")+SUMIFS(Movimientos!$K$1:$K$352,Movimientos!$C$1:$C$352,"2515 Overbrook",Movimientos!$B$1:$B$352,"&lt;="&amp;$B44)</f>
        <v>27789.969999999961</v>
      </c>
      <c r="R44" s="24">
        <f>SUMIFS('Saldos Iniciales'!$D:$D,'Saldos Iniciales'!$A:$A,"112 Florida Ave")+SUMIFS(Movimientos!$K$1:$K$352,Movimientos!$C$1:$C$352,"112 Florida Ave",Movimientos!$B$1:$B$352,"&lt;="&amp;$B44)</f>
        <v>5321.4300000000021</v>
      </c>
      <c r="S44" s="24">
        <f>SUMIFS('Saldos Iniciales'!$D:$D,'Saldos Iniciales'!$A:$A,"3628 Thomas Ave")+SUMIFS(Movimientos!$K$1:$K$352,Movimientos!$C$1:$C$352,"3628 Thomas Ave",Movimientos!$B$1:$B$352,"&lt;="&amp;$B44)</f>
        <v>24484.85</v>
      </c>
      <c r="T44" s="24">
        <f>SUMIFS('Saldos Iniciales'!$D:$D,'Saldos Iniciales'!$A:$A,"Green Harbor Trust")+SUMIFS(Movimientos!$K$1:$K$352,Movimientos!$C$1:$C$352,"Green Harbor Trust",Movimientos!$B$1:$B$352,"&lt;="&amp;$B44)</f>
        <v>345</v>
      </c>
      <c r="U44" s="24">
        <f>SUMIFS('Saldos Iniciales'!$D:$D,'Saldos Iniciales'!$A:$A,"Go Blue")+SUMIFS(Movimientos!$K$1:$K$352,Movimientos!$C$1:$C$352,"Go Blue",Movimientos!$B$1:$B$352,"&lt;="&amp;$B44)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Group")+SUMIFS(Movimientos!$K$1:$K$352,Movimientos!$C$1:$C$352,"CFT Group",Movimientos!$B$1:$B$352,"&lt;="&amp;$B45)</f>
        <v>1837784.84</v>
      </c>
      <c r="D45" s="24">
        <f>SUMIFS('Saldos Iniciales'!$D:$D,'Saldos Iniciales'!$A:$A,"M1B")+SUMIFS(Movimientos!$K$1:$K$352,Movimientos!$C$1:$C$352,"M1B",Movimientos!$B$1:$B$352,"&lt;="&amp;$B45)</f>
        <v>69376.390000000174</v>
      </c>
      <c r="E45" s="24">
        <f>SUMIFS('Saldos Iniciales'!$D:$D,'Saldos Iniciales'!$A:$A,"Durand")+SUMIFS(Movimientos!$K$1:$K$352,Movimientos!$C$1:$C$352,"Durand",Movimientos!$B$1:$B$352,"&lt;="&amp;$B45)</f>
        <v>1669.89</v>
      </c>
      <c r="F45" s="24">
        <f>SUMIFS('Saldos Iniciales'!$D:$D,'Saldos Iniciales'!$A:$A,"A&amp;M Imports")+SUMIFS(Movimientos!$K$1:$K$352,Movimientos!$C$1:$C$352,"A&amp;M Imports",Movimientos!$B$1:$B$352,"&lt;="&amp;$B45)</f>
        <v>564626.20999999985</v>
      </c>
      <c r="G45" s="24">
        <f>SUMIFS('Saldos Iniciales'!$D:$D,'Saldos Iniciales'!$A:$A,"SSP Capital")+SUMIFS(Movimientos!$K$1:$K$352,Movimientos!$C$1:$C$352,"SSP Capital",Movimientos!$B$1:$B$352,"&lt;="&amp;$B45)</f>
        <v>3763348.8299999996</v>
      </c>
      <c r="H45" s="24">
        <f>SUMIFS('Saldos Iniciales'!$D:$D,'Saldos Iniciales'!$A:$A,"Cross Family Trust")+SUMIFS(Movimientos!$K$1:$K$352,Movimientos!$C$1:$C$352,"Cross Family Trust",Movimientos!$B$1:$B$352,"&lt;="&amp;$B45)</f>
        <v>116496.38</v>
      </c>
      <c r="I45" s="24">
        <f>SUMIFS('Saldos Iniciales'!$D:$D,'Saldos Iniciales'!$A:$A,"Cross Security Trust")+SUMIFS(Movimientos!$K$1:$K$352,Movimientos!$C$1:$C$352,"Cross Security Trust",Movimientos!$B$1:$B$352,"&lt;="&amp;$B45)</f>
        <v>88090.37</v>
      </c>
      <c r="J45" s="24">
        <f>SUMIFS('Saldos Iniciales'!$D:$D,'Saldos Iniciales'!$A:$A,"Electrama")+SUMIFS(Movimientos!$K$1:$K$352,Movimientos!$C$1:$C$352,"Electrama",Movimientos!$B$1:$B$352,"&lt;="&amp;$B45)</f>
        <v>1227.9699999999998</v>
      </c>
      <c r="K45" s="24">
        <f>SUMIFS('Saldos Iniciales'!$D:$D,'Saldos Iniciales'!$A:$A,"Sacred Valley Capital")+SUMIFS(Movimientos!$K$1:$K$352,Movimientos!$C$1:$C$352,"Sacred Valley Capital",Movimientos!$B$1:$B$352,"&lt;="&amp;$B45)</f>
        <v>84.35</v>
      </c>
      <c r="L45" s="24">
        <f>SUMIFS('Saldos Iniciales'!$D:$D,'Saldos Iniciales'!$A:$A,"YWC Capital")+SUMIFS(Movimientos!$K$1:$K$352,Movimientos!$C$1:$C$352,"YWC Capital",Movimientos!$B$1:$B$352,"&lt;="&amp;$B45)</f>
        <v>2237.77</v>
      </c>
      <c r="M45" s="24">
        <f>SUMIFS('Saldos Iniciales'!$D:$D,'Saldos Iniciales'!$A:$A,"Soweto")+SUMIFS(Movimientos!$K$1:$K$352,Movimientos!$C$1:$C$352,"Soweto",Movimientos!$B$1:$B$352,"&lt;="&amp;$B45)</f>
        <v>3349.94</v>
      </c>
      <c r="N45" s="24">
        <f>SUMIFS('Saldos Iniciales'!$D:$D,'Saldos Iniciales'!$A:$A,"Green Stone Trust")+SUMIFS(Movimientos!$K$1:$K$352,Movimientos!$C$1:$C$352,"Green Stone Trust",Movimientos!$B$1:$B$352,"&lt;="&amp;$B45)</f>
        <v>1968.99</v>
      </c>
      <c r="O45" s="24">
        <f>SUMIFS('Saldos Iniciales'!$D:$D,'Saldos Iniciales'!$A:$A,"EC Auto")+SUMIFS(Movimientos!$K$1:$K$352,Movimientos!$C$1:$C$352,"EC Auto",Movimientos!$B$1:$B$352,"&lt;="&amp;$B45)</f>
        <v>382.69000000000005</v>
      </c>
      <c r="P45" s="24">
        <f>SUMIFS('Saldos Iniciales'!$D:$D,'Saldos Iniciales'!$A:$A,"Arbor Capital Properties")+SUMIFS(Movimientos!$K$1:$K$352,Movimientos!$C$1:$C$352,"Arbor Capital Properties",Movimientos!$B$1:$B$352,"&lt;="&amp;$B45)</f>
        <v>1428.08</v>
      </c>
      <c r="Q45" s="24">
        <f>SUMIFS('Saldos Iniciales'!$D:$D,'Saldos Iniciales'!$A:$A,"2515 Overbrook")+SUMIFS(Movimientos!$K$1:$K$352,Movimientos!$C$1:$C$352,"2515 Overbrook",Movimientos!$B$1:$B$352,"&lt;="&amp;$B45)</f>
        <v>27789.969999999961</v>
      </c>
      <c r="R45" s="24">
        <f>SUMIFS('Saldos Iniciales'!$D:$D,'Saldos Iniciales'!$A:$A,"112 Florida Ave")+SUMIFS(Movimientos!$K$1:$K$352,Movimientos!$C$1:$C$352,"112 Florida Ave",Movimientos!$B$1:$B$352,"&lt;="&amp;$B45)</f>
        <v>5321.4300000000021</v>
      </c>
      <c r="S45" s="24">
        <f>SUMIFS('Saldos Iniciales'!$D:$D,'Saldos Iniciales'!$A:$A,"3628 Thomas Ave")+SUMIFS(Movimientos!$K$1:$K$352,Movimientos!$C$1:$C$352,"3628 Thomas Ave",Movimientos!$B$1:$B$352,"&lt;="&amp;$B45)</f>
        <v>24484.85</v>
      </c>
      <c r="T45" s="24">
        <f>SUMIFS('Saldos Iniciales'!$D:$D,'Saldos Iniciales'!$A:$A,"Green Harbor Trust")+SUMIFS(Movimientos!$K$1:$K$352,Movimientos!$C$1:$C$352,"Green Harbor Trust",Movimientos!$B$1:$B$352,"&lt;="&amp;$B45)</f>
        <v>345</v>
      </c>
      <c r="U45" s="24">
        <f>SUMIFS('Saldos Iniciales'!$D:$D,'Saldos Iniciales'!$A:$A,"Go Blue")+SUMIFS(Movimientos!$K$1:$K$352,Movimientos!$C$1:$C$352,"Go Blue",Movimientos!$B$1:$B$352,"&lt;="&amp;$B45)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Group")+SUMIFS(Movimientos!$K$1:$K$352,Movimientos!$C$1:$C$352,"CFT Group",Movimientos!$B$1:$B$352,"&lt;="&amp;$B46)</f>
        <v>1837784.84</v>
      </c>
      <c r="D46" s="24">
        <f>SUMIFS('Saldos Iniciales'!$D:$D,'Saldos Iniciales'!$A:$A,"M1B")+SUMIFS(Movimientos!$K$1:$K$352,Movimientos!$C$1:$C$352,"M1B",Movimientos!$B$1:$B$352,"&lt;="&amp;$B46)</f>
        <v>69376.390000000174</v>
      </c>
      <c r="E46" s="24">
        <f>SUMIFS('Saldos Iniciales'!$D:$D,'Saldos Iniciales'!$A:$A,"Durand")+SUMIFS(Movimientos!$K$1:$K$352,Movimientos!$C$1:$C$352,"Durand",Movimientos!$B$1:$B$352,"&lt;="&amp;$B46)</f>
        <v>1669.89</v>
      </c>
      <c r="F46" s="24">
        <f>SUMIFS('Saldos Iniciales'!$D:$D,'Saldos Iniciales'!$A:$A,"A&amp;M Imports")+SUMIFS(Movimientos!$K$1:$K$352,Movimientos!$C$1:$C$352,"A&amp;M Imports",Movimientos!$B$1:$B$352,"&lt;="&amp;$B46)</f>
        <v>564626.20999999985</v>
      </c>
      <c r="G46" s="24">
        <f>SUMIFS('Saldos Iniciales'!$D:$D,'Saldos Iniciales'!$A:$A,"SSP Capital")+SUMIFS(Movimientos!$K$1:$K$352,Movimientos!$C$1:$C$352,"SSP Capital",Movimientos!$B$1:$B$352,"&lt;="&amp;$B46)</f>
        <v>3763348.8299999996</v>
      </c>
      <c r="H46" s="24">
        <f>SUMIFS('Saldos Iniciales'!$D:$D,'Saldos Iniciales'!$A:$A,"Cross Family Trust")+SUMIFS(Movimientos!$K$1:$K$352,Movimientos!$C$1:$C$352,"Cross Family Trust",Movimientos!$B$1:$B$352,"&lt;="&amp;$B46)</f>
        <v>116496.38</v>
      </c>
      <c r="I46" s="24">
        <f>SUMIFS('Saldos Iniciales'!$D:$D,'Saldos Iniciales'!$A:$A,"Cross Security Trust")+SUMIFS(Movimientos!$K$1:$K$352,Movimientos!$C$1:$C$352,"Cross Security Trust",Movimientos!$B$1:$B$352,"&lt;="&amp;$B46)</f>
        <v>88090.37</v>
      </c>
      <c r="J46" s="24">
        <f>SUMIFS('Saldos Iniciales'!$D:$D,'Saldos Iniciales'!$A:$A,"Electrama")+SUMIFS(Movimientos!$K$1:$K$352,Movimientos!$C$1:$C$352,"Electrama",Movimientos!$B$1:$B$352,"&lt;="&amp;$B46)</f>
        <v>1227.9699999999998</v>
      </c>
      <c r="K46" s="24">
        <f>SUMIFS('Saldos Iniciales'!$D:$D,'Saldos Iniciales'!$A:$A,"Sacred Valley Capital")+SUMIFS(Movimientos!$K$1:$K$352,Movimientos!$C$1:$C$352,"Sacred Valley Capital",Movimientos!$B$1:$B$352,"&lt;="&amp;$B46)</f>
        <v>84.35</v>
      </c>
      <c r="L46" s="24">
        <f>SUMIFS('Saldos Iniciales'!$D:$D,'Saldos Iniciales'!$A:$A,"YWC Capital")+SUMIFS(Movimientos!$K$1:$K$352,Movimientos!$C$1:$C$352,"YWC Capital",Movimientos!$B$1:$B$352,"&lt;="&amp;$B46)</f>
        <v>2237.77</v>
      </c>
      <c r="M46" s="24">
        <f>SUMIFS('Saldos Iniciales'!$D:$D,'Saldos Iniciales'!$A:$A,"Soweto")+SUMIFS(Movimientos!$K$1:$K$352,Movimientos!$C$1:$C$352,"Soweto",Movimientos!$B$1:$B$352,"&lt;="&amp;$B46)</f>
        <v>3349.94</v>
      </c>
      <c r="N46" s="24">
        <f>SUMIFS('Saldos Iniciales'!$D:$D,'Saldos Iniciales'!$A:$A,"Green Stone Trust")+SUMIFS(Movimientos!$K$1:$K$352,Movimientos!$C$1:$C$352,"Green Stone Trust",Movimientos!$B$1:$B$352,"&lt;="&amp;$B46)</f>
        <v>1968.99</v>
      </c>
      <c r="O46" s="24">
        <f>SUMIFS('Saldos Iniciales'!$D:$D,'Saldos Iniciales'!$A:$A,"EC Auto")+SUMIFS(Movimientos!$K$1:$K$352,Movimientos!$C$1:$C$352,"EC Auto",Movimientos!$B$1:$B$352,"&lt;="&amp;$B46)</f>
        <v>382.69000000000005</v>
      </c>
      <c r="P46" s="24">
        <f>SUMIFS('Saldos Iniciales'!$D:$D,'Saldos Iniciales'!$A:$A,"Arbor Capital Properties")+SUMIFS(Movimientos!$K$1:$K$352,Movimientos!$C$1:$C$352,"Arbor Capital Properties",Movimientos!$B$1:$B$352,"&lt;="&amp;$B46)</f>
        <v>1428.08</v>
      </c>
      <c r="Q46" s="24">
        <f>SUMIFS('Saldos Iniciales'!$D:$D,'Saldos Iniciales'!$A:$A,"2515 Overbrook")+SUMIFS(Movimientos!$K$1:$K$352,Movimientos!$C$1:$C$352,"2515 Overbrook",Movimientos!$B$1:$B$352,"&lt;="&amp;$B46)</f>
        <v>27789.969999999961</v>
      </c>
      <c r="R46" s="24">
        <f>SUMIFS('Saldos Iniciales'!$D:$D,'Saldos Iniciales'!$A:$A,"112 Florida Ave")+SUMIFS(Movimientos!$K$1:$K$352,Movimientos!$C$1:$C$352,"112 Florida Ave",Movimientos!$B$1:$B$352,"&lt;="&amp;$B46)</f>
        <v>5321.4300000000021</v>
      </c>
      <c r="S46" s="24">
        <f>SUMIFS('Saldos Iniciales'!$D:$D,'Saldos Iniciales'!$A:$A,"3628 Thomas Ave")+SUMIFS(Movimientos!$K$1:$K$352,Movimientos!$C$1:$C$352,"3628 Thomas Ave",Movimientos!$B$1:$B$352,"&lt;="&amp;$B46)</f>
        <v>24484.85</v>
      </c>
      <c r="T46" s="24">
        <f>SUMIFS('Saldos Iniciales'!$D:$D,'Saldos Iniciales'!$A:$A,"Green Harbor Trust")+SUMIFS(Movimientos!$K$1:$K$352,Movimientos!$C$1:$C$352,"Green Harbor Trust",Movimientos!$B$1:$B$352,"&lt;="&amp;$B46)</f>
        <v>345</v>
      </c>
      <c r="U46" s="24">
        <f>SUMIFS('Saldos Iniciales'!$D:$D,'Saldos Iniciales'!$A:$A,"Go Blue")+SUMIFS(Movimientos!$K$1:$K$352,Movimientos!$C$1:$C$352,"Go Blue",Movimientos!$B$1:$B$352,"&lt;="&amp;$B46)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Group")+SUMIFS(Movimientos!$K$1:$K$352,Movimientos!$C$1:$C$352,"CFT Group",Movimientos!$B$1:$B$352,"&lt;="&amp;$B47)</f>
        <v>985975.94000000029</v>
      </c>
      <c r="D47" s="24">
        <f>SUMIFS('Saldos Iniciales'!$D:$D,'Saldos Iniciales'!$A:$A,"M1B")+SUMIFS(Movimientos!$K$1:$K$352,Movimientos!$C$1:$C$352,"M1B",Movimientos!$B$1:$B$352,"&lt;="&amp;$B47)</f>
        <v>69376.390000000174</v>
      </c>
      <c r="E47" s="24">
        <f>SUMIFS('Saldos Iniciales'!$D:$D,'Saldos Iniciales'!$A:$A,"Durand")+SUMIFS(Movimientos!$K$1:$K$352,Movimientos!$C$1:$C$352,"Durand",Movimientos!$B$1:$B$352,"&lt;="&amp;$B47)</f>
        <v>1669.89</v>
      </c>
      <c r="F47" s="24">
        <f>SUMIFS('Saldos Iniciales'!$D:$D,'Saldos Iniciales'!$A:$A,"A&amp;M Imports")+SUMIFS(Movimientos!$K$1:$K$352,Movimientos!$C$1:$C$352,"A&amp;M Imports",Movimientos!$B$1:$B$352,"&lt;="&amp;$B47)</f>
        <v>503904.80999999982</v>
      </c>
      <c r="G47" s="24">
        <f>SUMIFS('Saldos Iniciales'!$D:$D,'Saldos Iniciales'!$A:$A,"SSP Capital")+SUMIFS(Movimientos!$K$1:$K$352,Movimientos!$C$1:$C$352,"SSP Capital",Movimientos!$B$1:$B$352,"&lt;="&amp;$B47)</f>
        <v>3331737.2399999998</v>
      </c>
      <c r="H47" s="24">
        <f>SUMIFS('Saldos Iniciales'!$D:$D,'Saldos Iniciales'!$A:$A,"Cross Family Trust")+SUMIFS(Movimientos!$K$1:$K$352,Movimientos!$C$1:$C$352,"Cross Family Trust",Movimientos!$B$1:$B$352,"&lt;="&amp;$B47)</f>
        <v>116496.38</v>
      </c>
      <c r="I47" s="24">
        <f>SUMIFS('Saldos Iniciales'!$D:$D,'Saldos Iniciales'!$A:$A,"Cross Security Trust")+SUMIFS(Movimientos!$K$1:$K$352,Movimientos!$C$1:$C$352,"Cross Security Trust",Movimientos!$B$1:$B$352,"&lt;="&amp;$B47)</f>
        <v>88090.37</v>
      </c>
      <c r="J47" s="24">
        <f>SUMIFS('Saldos Iniciales'!$D:$D,'Saldos Iniciales'!$A:$A,"Electrama")+SUMIFS(Movimientos!$K$1:$K$352,Movimientos!$C$1:$C$352,"Electrama",Movimientos!$B$1:$B$352,"&lt;="&amp;$B47)</f>
        <v>1227.9699999999998</v>
      </c>
      <c r="K47" s="24">
        <f>SUMIFS('Saldos Iniciales'!$D:$D,'Saldos Iniciales'!$A:$A,"Sacred Valley Capital")+SUMIFS(Movimientos!$K$1:$K$352,Movimientos!$C$1:$C$352,"Sacred Valley Capital",Movimientos!$B$1:$B$352,"&lt;="&amp;$B47)</f>
        <v>84.35</v>
      </c>
      <c r="L47" s="24">
        <f>SUMIFS('Saldos Iniciales'!$D:$D,'Saldos Iniciales'!$A:$A,"YWC Capital")+SUMIFS(Movimientos!$K$1:$K$352,Movimientos!$C$1:$C$352,"YWC Capital",Movimientos!$B$1:$B$352,"&lt;="&amp;$B47)</f>
        <v>2237.77</v>
      </c>
      <c r="M47" s="24">
        <f>SUMIFS('Saldos Iniciales'!$D:$D,'Saldos Iniciales'!$A:$A,"Soweto")+SUMIFS(Movimientos!$K$1:$K$352,Movimientos!$C$1:$C$352,"Soweto",Movimientos!$B$1:$B$352,"&lt;="&amp;$B47)</f>
        <v>3349.94</v>
      </c>
      <c r="N47" s="24">
        <f>SUMIFS('Saldos Iniciales'!$D:$D,'Saldos Iniciales'!$A:$A,"Green Stone Trust")+SUMIFS(Movimientos!$K$1:$K$352,Movimientos!$C$1:$C$352,"Green Stone Trust",Movimientos!$B$1:$B$352,"&lt;="&amp;$B47)</f>
        <v>1968.99</v>
      </c>
      <c r="O47" s="24">
        <f>SUMIFS('Saldos Iniciales'!$D:$D,'Saldos Iniciales'!$A:$A,"EC Auto")+SUMIFS(Movimientos!$K$1:$K$352,Movimientos!$C$1:$C$352,"EC Auto",Movimientos!$B$1:$B$352,"&lt;="&amp;$B47)</f>
        <v>382.69000000000005</v>
      </c>
      <c r="P47" s="24">
        <f>SUMIFS('Saldos Iniciales'!$D:$D,'Saldos Iniciales'!$A:$A,"Arbor Capital Properties")+SUMIFS(Movimientos!$K$1:$K$352,Movimientos!$C$1:$C$352,"Arbor Capital Properties",Movimientos!$B$1:$B$352,"&lt;="&amp;$B47)</f>
        <v>1428.08</v>
      </c>
      <c r="Q47" s="24">
        <f>SUMIFS('Saldos Iniciales'!$D:$D,'Saldos Iniciales'!$A:$A,"2515 Overbrook")+SUMIFS(Movimientos!$K$1:$K$352,Movimientos!$C$1:$C$352,"2515 Overbrook",Movimientos!$B$1:$B$352,"&lt;="&amp;$B47)</f>
        <v>29789.969999999961</v>
      </c>
      <c r="R47" s="24">
        <f>SUMIFS('Saldos Iniciales'!$D:$D,'Saldos Iniciales'!$A:$A,"112 Florida Ave")+SUMIFS(Movimientos!$K$1:$K$352,Movimientos!$C$1:$C$352,"112 Florida Ave",Movimientos!$B$1:$B$352,"&lt;="&amp;$B47)</f>
        <v>5321.4300000000021</v>
      </c>
      <c r="S47" s="24">
        <f>SUMIFS('Saldos Iniciales'!$D:$D,'Saldos Iniciales'!$A:$A,"3628 Thomas Ave")+SUMIFS(Movimientos!$K$1:$K$352,Movimientos!$C$1:$C$352,"3628 Thomas Ave",Movimientos!$B$1:$B$352,"&lt;="&amp;$B47)</f>
        <v>20484.849999999999</v>
      </c>
      <c r="T47" s="24">
        <f>SUMIFS('Saldos Iniciales'!$D:$D,'Saldos Iniciales'!$A:$A,"Green Harbor Trust")+SUMIFS(Movimientos!$K$1:$K$352,Movimientos!$C$1:$C$352,"Green Harbor Trust",Movimientos!$B$1:$B$352,"&lt;="&amp;$B47)</f>
        <v>345</v>
      </c>
      <c r="U47" s="24">
        <f>SUMIFS('Saldos Iniciales'!$D:$D,'Saldos Iniciales'!$A:$A,"Go Blue")+SUMIFS(Movimientos!$K$1:$K$352,Movimientos!$C$1:$C$352,"Go Blue",Movimientos!$B$1:$B$352,"&lt;="&amp;$B47)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Group")+SUMIFS(Movimientos!$K$1:$K$352,Movimientos!$C$1:$C$352,"CFT Group",Movimientos!$B$1:$B$352,"&lt;="&amp;$B48)</f>
        <v>1086358.7500000002</v>
      </c>
      <c r="D48" s="24">
        <f>SUMIFS('Saldos Iniciales'!$D:$D,'Saldos Iniciales'!$A:$A,"M1B")+SUMIFS(Movimientos!$K$1:$K$352,Movimientos!$C$1:$C$352,"M1B",Movimientos!$B$1:$B$352,"&lt;="&amp;$B48)</f>
        <v>69376.390000000174</v>
      </c>
      <c r="E48" s="24">
        <f>SUMIFS('Saldos Iniciales'!$D:$D,'Saldos Iniciales'!$A:$A,"Durand")+SUMIFS(Movimientos!$K$1:$K$352,Movimientos!$C$1:$C$352,"Durand",Movimientos!$B$1:$B$352,"&lt;="&amp;$B48)</f>
        <v>1669.89</v>
      </c>
      <c r="F48" s="24">
        <f>SUMIFS('Saldos Iniciales'!$D:$D,'Saldos Iniciales'!$A:$A,"A&amp;M Imports")+SUMIFS(Movimientos!$K$1:$K$352,Movimientos!$C$1:$C$352,"A&amp;M Imports",Movimientos!$B$1:$B$352,"&lt;="&amp;$B48)</f>
        <v>503904.80999999982</v>
      </c>
      <c r="G48" s="24">
        <f>SUMIFS('Saldos Iniciales'!$D:$D,'Saldos Iniciales'!$A:$A,"SSP Capital")+SUMIFS(Movimientos!$K$1:$K$352,Movimientos!$C$1:$C$352,"SSP Capital",Movimientos!$B$1:$B$352,"&lt;="&amp;$B48)</f>
        <v>3329246.88</v>
      </c>
      <c r="H48" s="24">
        <f>SUMIFS('Saldos Iniciales'!$D:$D,'Saldos Iniciales'!$A:$A,"Cross Family Trust")+SUMIFS(Movimientos!$K$1:$K$352,Movimientos!$C$1:$C$352,"Cross Family Trust",Movimientos!$B$1:$B$352,"&lt;="&amp;$B48)</f>
        <v>116496.38</v>
      </c>
      <c r="I48" s="24">
        <f>SUMIFS('Saldos Iniciales'!$D:$D,'Saldos Iniciales'!$A:$A,"Cross Security Trust")+SUMIFS(Movimientos!$K$1:$K$352,Movimientos!$C$1:$C$352,"Cross Security Trust",Movimientos!$B$1:$B$352,"&lt;="&amp;$B48)</f>
        <v>88090.37</v>
      </c>
      <c r="J48" s="24">
        <f>SUMIFS('Saldos Iniciales'!$D:$D,'Saldos Iniciales'!$A:$A,"Electrama")+SUMIFS(Movimientos!$K$1:$K$352,Movimientos!$C$1:$C$352,"Electrama",Movimientos!$B$1:$B$352,"&lt;="&amp;$B48)</f>
        <v>1227.9699999999998</v>
      </c>
      <c r="K48" s="24">
        <f>SUMIFS('Saldos Iniciales'!$D:$D,'Saldos Iniciales'!$A:$A,"Sacred Valley Capital")+SUMIFS(Movimientos!$K$1:$K$352,Movimientos!$C$1:$C$352,"Sacred Valley Capital",Movimientos!$B$1:$B$352,"&lt;="&amp;$B48)</f>
        <v>84.35</v>
      </c>
      <c r="L48" s="24">
        <f>SUMIFS('Saldos Iniciales'!$D:$D,'Saldos Iniciales'!$A:$A,"YWC Capital")+SUMIFS(Movimientos!$K$1:$K$352,Movimientos!$C$1:$C$352,"YWC Capital",Movimientos!$B$1:$B$352,"&lt;="&amp;$B48)</f>
        <v>2237.77</v>
      </c>
      <c r="M48" s="24">
        <f>SUMIFS('Saldos Iniciales'!$D:$D,'Saldos Iniciales'!$A:$A,"Soweto")+SUMIFS(Movimientos!$K$1:$K$352,Movimientos!$C$1:$C$352,"Soweto",Movimientos!$B$1:$B$352,"&lt;="&amp;$B48)</f>
        <v>3349.94</v>
      </c>
      <c r="N48" s="24">
        <f>SUMIFS('Saldos Iniciales'!$D:$D,'Saldos Iniciales'!$A:$A,"Green Stone Trust")+SUMIFS(Movimientos!$K$1:$K$352,Movimientos!$C$1:$C$352,"Green Stone Trust",Movimientos!$B$1:$B$352,"&lt;="&amp;$B48)</f>
        <v>1968.99</v>
      </c>
      <c r="O48" s="24">
        <f>SUMIFS('Saldos Iniciales'!$D:$D,'Saldos Iniciales'!$A:$A,"EC Auto")+SUMIFS(Movimientos!$K$1:$K$352,Movimientos!$C$1:$C$352,"EC Auto",Movimientos!$B$1:$B$352,"&lt;="&amp;$B48)</f>
        <v>382.69000000000005</v>
      </c>
      <c r="P48" s="24">
        <f>SUMIFS('Saldos Iniciales'!$D:$D,'Saldos Iniciales'!$A:$A,"Arbor Capital Properties")+SUMIFS(Movimientos!$K$1:$K$352,Movimientos!$C$1:$C$352,"Arbor Capital Properties",Movimientos!$B$1:$B$352,"&lt;="&amp;$B48)</f>
        <v>1428.08</v>
      </c>
      <c r="Q48" s="24">
        <f>SUMIFS('Saldos Iniciales'!$D:$D,'Saldos Iniciales'!$A:$A,"2515 Overbrook")+SUMIFS(Movimientos!$K$1:$K$352,Movimientos!$C$1:$C$352,"2515 Overbrook",Movimientos!$B$1:$B$352,"&lt;="&amp;$B48)</f>
        <v>29789.969999999961</v>
      </c>
      <c r="R48" s="24">
        <f>SUMIFS('Saldos Iniciales'!$D:$D,'Saldos Iniciales'!$A:$A,"112 Florida Ave")+SUMIFS(Movimientos!$K$1:$K$352,Movimientos!$C$1:$C$352,"112 Florida Ave",Movimientos!$B$1:$B$352,"&lt;="&amp;$B48)</f>
        <v>20321.43</v>
      </c>
      <c r="S48" s="24">
        <f>SUMIFS('Saldos Iniciales'!$D:$D,'Saldos Iniciales'!$A:$A,"3628 Thomas Ave")+SUMIFS(Movimientos!$K$1:$K$352,Movimientos!$C$1:$C$352,"3628 Thomas Ave",Movimientos!$B$1:$B$352,"&lt;="&amp;$B48)</f>
        <v>19811.349999999999</v>
      </c>
      <c r="T48" s="24">
        <f>SUMIFS('Saldos Iniciales'!$D:$D,'Saldos Iniciales'!$A:$A,"Green Harbor Trust")+SUMIFS(Movimientos!$K$1:$K$352,Movimientos!$C$1:$C$352,"Green Harbor Trust",Movimientos!$B$1:$B$352,"&lt;="&amp;$B48)</f>
        <v>345</v>
      </c>
      <c r="U48" s="24">
        <f>SUMIFS('Saldos Iniciales'!$D:$D,'Saldos Iniciales'!$A:$A,"Go Blue")+SUMIFS(Movimientos!$K$1:$K$352,Movimientos!$C$1:$C$352,"Go Blue",Movimientos!$B$1:$B$352,"&lt;="&amp;$B48)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Group")+SUMIFS(Movimientos!$K$1:$K$352,Movimientos!$C$1:$C$352,"CFT Group",Movimientos!$B$1:$B$352,"&lt;="&amp;$B49)</f>
        <v>1098358.7500000002</v>
      </c>
      <c r="D49" s="24">
        <f>SUMIFS('Saldos Iniciales'!$D:$D,'Saldos Iniciales'!$A:$A,"M1B")+SUMIFS(Movimientos!$K$1:$K$352,Movimientos!$C$1:$C$352,"M1B",Movimientos!$B$1:$B$352,"&lt;="&amp;$B49)</f>
        <v>69376.390000000174</v>
      </c>
      <c r="E49" s="24">
        <f>SUMIFS('Saldos Iniciales'!$D:$D,'Saldos Iniciales'!$A:$A,"Durand")+SUMIFS(Movimientos!$K$1:$K$352,Movimientos!$C$1:$C$352,"Durand",Movimientos!$B$1:$B$352,"&lt;="&amp;$B49)</f>
        <v>1669.89</v>
      </c>
      <c r="F49" s="24">
        <f>SUMIFS('Saldos Iniciales'!$D:$D,'Saldos Iniciales'!$A:$A,"A&amp;M Imports")+SUMIFS(Movimientos!$K$1:$K$352,Movimientos!$C$1:$C$352,"A&amp;M Imports",Movimientos!$B$1:$B$352,"&lt;="&amp;$B49)</f>
        <v>503904.80999999982</v>
      </c>
      <c r="G49" s="24">
        <f>SUMIFS('Saldos Iniciales'!$D:$D,'Saldos Iniciales'!$A:$A,"SSP Capital")+SUMIFS(Movimientos!$K$1:$K$352,Movimientos!$C$1:$C$352,"SSP Capital",Movimientos!$B$1:$B$352,"&lt;="&amp;$B49)</f>
        <v>3326863.3899999997</v>
      </c>
      <c r="H49" s="24">
        <f>SUMIFS('Saldos Iniciales'!$D:$D,'Saldos Iniciales'!$A:$A,"Cross Family Trust")+SUMIFS(Movimientos!$K$1:$K$352,Movimientos!$C$1:$C$352,"Cross Family Trust",Movimientos!$B$1:$B$352,"&lt;="&amp;$B49)</f>
        <v>116496.38</v>
      </c>
      <c r="I49" s="24">
        <f>SUMIFS('Saldos Iniciales'!$D:$D,'Saldos Iniciales'!$A:$A,"Cross Security Trust")+SUMIFS(Movimientos!$K$1:$K$352,Movimientos!$C$1:$C$352,"Cross Security Trust",Movimientos!$B$1:$B$352,"&lt;="&amp;$B49)</f>
        <v>88090.37</v>
      </c>
      <c r="J49" s="24">
        <f>SUMIFS('Saldos Iniciales'!$D:$D,'Saldos Iniciales'!$A:$A,"Electrama")+SUMIFS(Movimientos!$K$1:$K$352,Movimientos!$C$1:$C$352,"Electrama",Movimientos!$B$1:$B$352,"&lt;="&amp;$B49)</f>
        <v>1227.9699999999998</v>
      </c>
      <c r="K49" s="24">
        <f>SUMIFS('Saldos Iniciales'!$D:$D,'Saldos Iniciales'!$A:$A,"Sacred Valley Capital")+SUMIFS(Movimientos!$K$1:$K$352,Movimientos!$C$1:$C$352,"Sacred Valley Capital",Movimientos!$B$1:$B$352,"&lt;="&amp;$B49)</f>
        <v>84.35</v>
      </c>
      <c r="L49" s="24">
        <f>SUMIFS('Saldos Iniciales'!$D:$D,'Saldos Iniciales'!$A:$A,"YWC Capital")+SUMIFS(Movimientos!$K$1:$K$352,Movimientos!$C$1:$C$352,"YWC Capital",Movimientos!$B$1:$B$352,"&lt;="&amp;$B49)</f>
        <v>2237.77</v>
      </c>
      <c r="M49" s="24">
        <f>SUMIFS('Saldos Iniciales'!$D:$D,'Saldos Iniciales'!$A:$A,"Soweto")+SUMIFS(Movimientos!$K$1:$K$352,Movimientos!$C$1:$C$352,"Soweto",Movimientos!$B$1:$B$352,"&lt;="&amp;$B49)</f>
        <v>3349.94</v>
      </c>
      <c r="N49" s="24">
        <f>SUMIFS('Saldos Iniciales'!$D:$D,'Saldos Iniciales'!$A:$A,"Green Stone Trust")+SUMIFS(Movimientos!$K$1:$K$352,Movimientos!$C$1:$C$352,"Green Stone Trust",Movimientos!$B$1:$B$352,"&lt;="&amp;$B49)</f>
        <v>1968.99</v>
      </c>
      <c r="O49" s="24">
        <f>SUMIFS('Saldos Iniciales'!$D:$D,'Saldos Iniciales'!$A:$A,"EC Auto")+SUMIFS(Movimientos!$K$1:$K$352,Movimientos!$C$1:$C$352,"EC Auto",Movimientos!$B$1:$B$352,"&lt;="&amp;$B49)</f>
        <v>382.69000000000005</v>
      </c>
      <c r="P49" s="24">
        <f>SUMIFS('Saldos Iniciales'!$D:$D,'Saldos Iniciales'!$A:$A,"Arbor Capital Properties")+SUMIFS(Movimientos!$K$1:$K$352,Movimientos!$C$1:$C$352,"Arbor Capital Properties",Movimientos!$B$1:$B$352,"&lt;="&amp;$B49)</f>
        <v>1428.08</v>
      </c>
      <c r="Q49" s="24">
        <f>SUMIFS('Saldos Iniciales'!$D:$D,'Saldos Iniciales'!$A:$A,"2515 Overbrook")+SUMIFS(Movimientos!$K$1:$K$352,Movimientos!$C$1:$C$352,"2515 Overbrook",Movimientos!$B$1:$B$352,"&lt;="&amp;$B49)</f>
        <v>29789.969999999961</v>
      </c>
      <c r="R49" s="24">
        <f>SUMIFS('Saldos Iniciales'!$D:$D,'Saldos Iniciales'!$A:$A,"112 Florida Ave")+SUMIFS(Movimientos!$K$1:$K$352,Movimientos!$C$1:$C$352,"112 Florida Ave",Movimientos!$B$1:$B$352,"&lt;="&amp;$B49)</f>
        <v>20321.43</v>
      </c>
      <c r="S49" s="24">
        <f>SUMIFS('Saldos Iniciales'!$D:$D,'Saldos Iniciales'!$A:$A,"3628 Thomas Ave")+SUMIFS(Movimientos!$K$1:$K$352,Movimientos!$C$1:$C$352,"3628 Thomas Ave",Movimientos!$B$1:$B$352,"&lt;="&amp;$B49)</f>
        <v>16681.349999999999</v>
      </c>
      <c r="T49" s="24">
        <f>SUMIFS('Saldos Iniciales'!$D:$D,'Saldos Iniciales'!$A:$A,"Green Harbor Trust")+SUMIFS(Movimientos!$K$1:$K$352,Movimientos!$C$1:$C$352,"Green Harbor Trust",Movimientos!$B$1:$B$352,"&lt;="&amp;$B49)</f>
        <v>345</v>
      </c>
      <c r="U49" s="24">
        <f>SUMIFS('Saldos Iniciales'!$D:$D,'Saldos Iniciales'!$A:$A,"Go Blue")+SUMIFS(Movimientos!$K$1:$K$352,Movimientos!$C$1:$C$352,"Go Blue",Movimientos!$B$1:$B$352,"&lt;="&amp;$B49)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13"/>
  <sheetViews>
    <sheetView tabSelected="1" workbookViewId="0">
      <pane ySplit="1" topLeftCell="A893" activePane="bottomLeft" state="frozen"/>
      <selection pane="bottomLeft" activeCell="P897" sqref="P897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s="62" t="s">
        <v>17</v>
      </c>
      <c r="B2" s="62"/>
      <c r="C2" s="16">
        <v>46143</v>
      </c>
      <c r="D2">
        <v>200763.43000000025</v>
      </c>
    </row>
    <row r="3" spans="1:10" x14ac:dyDescent="0.3">
      <c r="A3" s="62" t="s">
        <v>18</v>
      </c>
      <c r="B3" s="62"/>
      <c r="C3" s="16">
        <v>46143</v>
      </c>
      <c r="D3">
        <v>51288.029999999948</v>
      </c>
    </row>
    <row r="4" spans="1:10" x14ac:dyDescent="0.3">
      <c r="A4" s="62" t="s">
        <v>19</v>
      </c>
      <c r="B4" s="62"/>
      <c r="C4" s="16">
        <v>46143</v>
      </c>
      <c r="D4">
        <v>1669.89</v>
      </c>
    </row>
    <row r="5" spans="1:10" x14ac:dyDescent="0.3">
      <c r="A5" s="62" t="s">
        <v>20</v>
      </c>
      <c r="B5" s="62"/>
      <c r="C5" s="16">
        <v>46143</v>
      </c>
      <c r="D5">
        <v>589990.30000000005</v>
      </c>
    </row>
    <row r="6" spans="1:10" x14ac:dyDescent="0.3">
      <c r="A6" s="62" t="s">
        <v>21</v>
      </c>
      <c r="B6" s="62"/>
      <c r="C6" s="16">
        <v>46143</v>
      </c>
      <c r="D6">
        <v>990387.37999999931</v>
      </c>
    </row>
    <row r="7" spans="1:10" x14ac:dyDescent="0.3">
      <c r="A7" s="62" t="s">
        <v>22</v>
      </c>
      <c r="B7" s="62"/>
      <c r="C7" s="16">
        <v>46143</v>
      </c>
      <c r="D7">
        <v>142511.38</v>
      </c>
    </row>
    <row r="8" spans="1:10" x14ac:dyDescent="0.3">
      <c r="A8" s="62" t="s">
        <v>23</v>
      </c>
      <c r="B8" s="62"/>
      <c r="C8" s="16">
        <v>46143</v>
      </c>
      <c r="D8">
        <v>13088.589999999997</v>
      </c>
    </row>
    <row r="9" spans="1:10" x14ac:dyDescent="0.3">
      <c r="A9" s="62" t="s">
        <v>24</v>
      </c>
      <c r="B9" s="62"/>
      <c r="C9" s="16">
        <v>46143</v>
      </c>
      <c r="D9">
        <v>808.82999999999993</v>
      </c>
    </row>
    <row r="10" spans="1:10" x14ac:dyDescent="0.3">
      <c r="A10" s="62" t="s">
        <v>25</v>
      </c>
      <c r="B10" s="62"/>
      <c r="C10" s="16">
        <v>46143</v>
      </c>
      <c r="D10">
        <v>114.3</v>
      </c>
    </row>
    <row r="11" spans="1:10" x14ac:dyDescent="0.3">
      <c r="A11" s="62" t="s">
        <v>26</v>
      </c>
      <c r="B11" s="62"/>
      <c r="C11" s="16">
        <v>46143</v>
      </c>
      <c r="D11">
        <v>2267.7200000000003</v>
      </c>
    </row>
    <row r="12" spans="1:10" x14ac:dyDescent="0.3">
      <c r="A12" s="62" t="s">
        <v>27</v>
      </c>
      <c r="B12" s="62"/>
      <c r="C12" s="16">
        <v>46143</v>
      </c>
      <c r="D12">
        <v>3364.94</v>
      </c>
    </row>
    <row r="13" spans="1:10" x14ac:dyDescent="0.3">
      <c r="A13" s="62" t="s">
        <v>28</v>
      </c>
      <c r="B13" s="62"/>
      <c r="C13" s="16">
        <v>46143</v>
      </c>
      <c r="D13">
        <v>1968.99</v>
      </c>
    </row>
    <row r="14" spans="1:10" x14ac:dyDescent="0.3">
      <c r="A14" s="62" t="s">
        <v>29</v>
      </c>
      <c r="B14" s="62"/>
      <c r="C14" s="16">
        <v>46143</v>
      </c>
      <c r="D14">
        <v>901.34</v>
      </c>
    </row>
    <row r="15" spans="1:10" x14ac:dyDescent="0.3">
      <c r="A15" s="62" t="s">
        <v>30</v>
      </c>
      <c r="B15" s="62"/>
      <c r="C15" s="16">
        <v>46143</v>
      </c>
      <c r="D15">
        <v>1444.08</v>
      </c>
    </row>
    <row r="16" spans="1:10" x14ac:dyDescent="0.3">
      <c r="A16" s="62" t="s">
        <v>31</v>
      </c>
      <c r="B16" s="62"/>
      <c r="C16" s="16">
        <v>46143</v>
      </c>
      <c r="D16">
        <v>23262.599999999962</v>
      </c>
    </row>
    <row r="17" spans="1:4" x14ac:dyDescent="0.3">
      <c r="A17" s="62" t="s">
        <v>32</v>
      </c>
      <c r="B17" s="62"/>
      <c r="C17" s="16">
        <v>46143</v>
      </c>
      <c r="D17">
        <v>6853.9100000000017</v>
      </c>
    </row>
    <row r="18" spans="1:4" x14ac:dyDescent="0.3">
      <c r="A18" s="62" t="s">
        <v>33</v>
      </c>
      <c r="B18" s="62"/>
      <c r="C18" s="16">
        <v>46143</v>
      </c>
      <c r="D18">
        <v>21338.39</v>
      </c>
    </row>
    <row r="19" spans="1:4" x14ac:dyDescent="0.3">
      <c r="A19" s="62" t="s">
        <v>34</v>
      </c>
      <c r="B19" s="62"/>
      <c r="C19" s="16">
        <v>46143</v>
      </c>
      <c r="D19">
        <v>345</v>
      </c>
    </row>
    <row r="20" spans="1:4" x14ac:dyDescent="0.3">
      <c r="A20" s="62" t="s">
        <v>35</v>
      </c>
      <c r="B20" s="62"/>
      <c r="C20" s="16">
        <v>46143</v>
      </c>
      <c r="D20">
        <v>13491.26</v>
      </c>
    </row>
    <row r="21" spans="1:4" x14ac:dyDescent="0.3">
      <c r="A21" s="62" t="s">
        <v>17</v>
      </c>
      <c r="B21" s="62"/>
      <c r="C21" s="16">
        <v>46144</v>
      </c>
      <c r="D21">
        <v>200763.43000000025</v>
      </c>
    </row>
    <row r="22" spans="1:4" x14ac:dyDescent="0.3">
      <c r="A22" s="62" t="s">
        <v>18</v>
      </c>
      <c r="B22" s="62"/>
      <c r="C22" s="16">
        <v>46144</v>
      </c>
      <c r="D22">
        <v>51288.029999999948</v>
      </c>
    </row>
    <row r="23" spans="1:4" x14ac:dyDescent="0.3">
      <c r="A23" s="62" t="s">
        <v>19</v>
      </c>
      <c r="B23" s="62"/>
      <c r="C23" s="16">
        <v>46144</v>
      </c>
      <c r="D23">
        <v>1669.89</v>
      </c>
    </row>
    <row r="24" spans="1:4" x14ac:dyDescent="0.3">
      <c r="A24" s="62" t="s">
        <v>20</v>
      </c>
      <c r="B24" s="62"/>
      <c r="C24" s="16">
        <v>46144</v>
      </c>
      <c r="D24">
        <v>589990.30000000005</v>
      </c>
    </row>
    <row r="25" spans="1:4" x14ac:dyDescent="0.3">
      <c r="A25" s="62" t="s">
        <v>21</v>
      </c>
      <c r="B25" s="62"/>
      <c r="C25" s="16">
        <v>46144</v>
      </c>
      <c r="D25">
        <v>990387.37999999931</v>
      </c>
    </row>
    <row r="26" spans="1:4" x14ac:dyDescent="0.3">
      <c r="A26" s="62" t="s">
        <v>22</v>
      </c>
      <c r="B26" s="62"/>
      <c r="C26" s="16">
        <v>46144</v>
      </c>
      <c r="D26">
        <v>142511.38</v>
      </c>
    </row>
    <row r="27" spans="1:4" x14ac:dyDescent="0.3">
      <c r="A27" s="62" t="s">
        <v>23</v>
      </c>
      <c r="B27" s="62"/>
      <c r="C27" s="16">
        <v>46144</v>
      </c>
      <c r="D27">
        <v>13088.589999999997</v>
      </c>
    </row>
    <row r="28" spans="1:4" x14ac:dyDescent="0.3">
      <c r="A28" s="62" t="s">
        <v>24</v>
      </c>
      <c r="B28" s="62"/>
      <c r="C28" s="16">
        <v>46144</v>
      </c>
      <c r="D28">
        <v>808.82999999999993</v>
      </c>
    </row>
    <row r="29" spans="1:4" x14ac:dyDescent="0.3">
      <c r="A29" s="62" t="s">
        <v>25</v>
      </c>
      <c r="B29" s="62"/>
      <c r="C29" s="16">
        <v>46144</v>
      </c>
      <c r="D29">
        <v>114.3</v>
      </c>
    </row>
    <row r="30" spans="1:4" x14ac:dyDescent="0.3">
      <c r="A30" s="62" t="s">
        <v>26</v>
      </c>
      <c r="B30" s="62"/>
      <c r="C30" s="16">
        <v>46144</v>
      </c>
      <c r="D30">
        <v>2267.7200000000003</v>
      </c>
    </row>
    <row r="31" spans="1:4" x14ac:dyDescent="0.3">
      <c r="A31" s="62" t="s">
        <v>27</v>
      </c>
      <c r="B31" s="62"/>
      <c r="C31" s="16">
        <v>46144</v>
      </c>
      <c r="D31">
        <v>3364.94</v>
      </c>
    </row>
    <row r="32" spans="1:4" x14ac:dyDescent="0.3">
      <c r="A32" s="62" t="s">
        <v>28</v>
      </c>
      <c r="B32" s="62"/>
      <c r="C32" s="16">
        <v>46144</v>
      </c>
      <c r="D32">
        <v>1968.99</v>
      </c>
    </row>
    <row r="33" spans="1:4" x14ac:dyDescent="0.3">
      <c r="A33" s="62" t="s">
        <v>29</v>
      </c>
      <c r="B33" s="62"/>
      <c r="C33" s="16">
        <v>46144</v>
      </c>
      <c r="D33">
        <v>901.34</v>
      </c>
    </row>
    <row r="34" spans="1:4" x14ac:dyDescent="0.3">
      <c r="A34" s="62" t="s">
        <v>30</v>
      </c>
      <c r="B34" s="62"/>
      <c r="C34" s="16">
        <v>46144</v>
      </c>
      <c r="D34">
        <v>1444.08</v>
      </c>
    </row>
    <row r="35" spans="1:4" x14ac:dyDescent="0.3">
      <c r="A35" s="62" t="s">
        <v>31</v>
      </c>
      <c r="B35" s="62"/>
      <c r="C35" s="16">
        <v>46144</v>
      </c>
      <c r="D35">
        <v>23262.599999999962</v>
      </c>
    </row>
    <row r="36" spans="1:4" x14ac:dyDescent="0.3">
      <c r="A36" s="62" t="s">
        <v>32</v>
      </c>
      <c r="B36" s="62"/>
      <c r="C36" s="16">
        <v>46144</v>
      </c>
      <c r="D36">
        <v>6853.9100000000017</v>
      </c>
    </row>
    <row r="37" spans="1:4" x14ac:dyDescent="0.3">
      <c r="A37" s="62" t="s">
        <v>33</v>
      </c>
      <c r="B37" s="62"/>
      <c r="C37" s="16">
        <v>46144</v>
      </c>
      <c r="D37">
        <v>21338.39</v>
      </c>
    </row>
    <row r="38" spans="1:4" x14ac:dyDescent="0.3">
      <c r="A38" s="62" t="s">
        <v>34</v>
      </c>
      <c r="B38" s="62"/>
      <c r="C38" s="16">
        <v>46144</v>
      </c>
      <c r="D38">
        <v>345</v>
      </c>
    </row>
    <row r="39" spans="1:4" x14ac:dyDescent="0.3">
      <c r="A39" s="62" t="s">
        <v>35</v>
      </c>
      <c r="B39" s="62"/>
      <c r="C39" s="16">
        <v>46144</v>
      </c>
      <c r="D39">
        <v>13491.26</v>
      </c>
    </row>
    <row r="40" spans="1:4" x14ac:dyDescent="0.3">
      <c r="A40" s="62" t="s">
        <v>17</v>
      </c>
      <c r="B40" s="62"/>
      <c r="C40" s="16">
        <v>46145</v>
      </c>
      <c r="D40">
        <v>200763.43000000025</v>
      </c>
    </row>
    <row r="41" spans="1:4" x14ac:dyDescent="0.3">
      <c r="A41" s="62" t="s">
        <v>18</v>
      </c>
      <c r="B41" s="62"/>
      <c r="C41" s="16">
        <v>46145</v>
      </c>
      <c r="D41">
        <v>51288.029999999948</v>
      </c>
    </row>
    <row r="42" spans="1:4" x14ac:dyDescent="0.3">
      <c r="A42" s="62" t="s">
        <v>19</v>
      </c>
      <c r="B42" s="62"/>
      <c r="C42" s="16">
        <v>46145</v>
      </c>
      <c r="D42">
        <v>1669.89</v>
      </c>
    </row>
    <row r="43" spans="1:4" x14ac:dyDescent="0.3">
      <c r="A43" s="62" t="s">
        <v>20</v>
      </c>
      <c r="B43" s="62"/>
      <c r="C43" s="16">
        <v>46145</v>
      </c>
      <c r="D43">
        <v>589990.30000000005</v>
      </c>
    </row>
    <row r="44" spans="1:4" x14ac:dyDescent="0.3">
      <c r="A44" s="62" t="s">
        <v>21</v>
      </c>
      <c r="B44" s="62"/>
      <c r="C44" s="16">
        <v>46145</v>
      </c>
      <c r="D44">
        <v>990387.37999999931</v>
      </c>
    </row>
    <row r="45" spans="1:4" x14ac:dyDescent="0.3">
      <c r="A45" s="62" t="s">
        <v>22</v>
      </c>
      <c r="B45" s="62"/>
      <c r="C45" s="16">
        <v>46145</v>
      </c>
      <c r="D45">
        <v>142511.38</v>
      </c>
    </row>
    <row r="46" spans="1:4" x14ac:dyDescent="0.3">
      <c r="A46" s="62" t="s">
        <v>23</v>
      </c>
      <c r="B46" s="62"/>
      <c r="C46" s="16">
        <v>46145</v>
      </c>
      <c r="D46">
        <v>13088.589999999997</v>
      </c>
    </row>
    <row r="47" spans="1:4" x14ac:dyDescent="0.3">
      <c r="A47" s="62" t="s">
        <v>24</v>
      </c>
      <c r="B47" s="62"/>
      <c r="C47" s="16">
        <v>46145</v>
      </c>
      <c r="D47">
        <v>808.82999999999993</v>
      </c>
    </row>
    <row r="48" spans="1:4" x14ac:dyDescent="0.3">
      <c r="A48" s="62" t="s">
        <v>25</v>
      </c>
      <c r="B48" s="62"/>
      <c r="C48" s="16">
        <v>46145</v>
      </c>
      <c r="D48">
        <v>114.3</v>
      </c>
    </row>
    <row r="49" spans="1:4" x14ac:dyDescent="0.3">
      <c r="A49" s="62" t="s">
        <v>26</v>
      </c>
      <c r="B49" s="62"/>
      <c r="C49" s="16">
        <v>46145</v>
      </c>
      <c r="D49">
        <v>2267.7200000000003</v>
      </c>
    </row>
    <row r="50" spans="1:4" x14ac:dyDescent="0.3">
      <c r="A50" s="62" t="s">
        <v>27</v>
      </c>
      <c r="B50" s="62"/>
      <c r="C50" s="16">
        <v>46145</v>
      </c>
      <c r="D50">
        <v>3364.94</v>
      </c>
    </row>
    <row r="51" spans="1:4" x14ac:dyDescent="0.3">
      <c r="A51" s="62" t="s">
        <v>28</v>
      </c>
      <c r="B51" s="62"/>
      <c r="C51" s="16">
        <v>46145</v>
      </c>
      <c r="D51">
        <v>1968.99</v>
      </c>
    </row>
    <row r="52" spans="1:4" x14ac:dyDescent="0.3">
      <c r="A52" s="62" t="s">
        <v>29</v>
      </c>
      <c r="B52" s="62"/>
      <c r="C52" s="16">
        <v>46145</v>
      </c>
      <c r="D52">
        <v>901.34</v>
      </c>
    </row>
    <row r="53" spans="1:4" x14ac:dyDescent="0.3">
      <c r="A53" s="62" t="s">
        <v>30</v>
      </c>
      <c r="B53" s="62"/>
      <c r="C53" s="16">
        <v>46145</v>
      </c>
      <c r="D53">
        <v>1444.08</v>
      </c>
    </row>
    <row r="54" spans="1:4" x14ac:dyDescent="0.3">
      <c r="A54" s="62" t="s">
        <v>31</v>
      </c>
      <c r="B54" s="62"/>
      <c r="C54" s="16">
        <v>46145</v>
      </c>
      <c r="D54">
        <v>23262.599999999962</v>
      </c>
    </row>
    <row r="55" spans="1:4" x14ac:dyDescent="0.3">
      <c r="A55" s="62" t="s">
        <v>32</v>
      </c>
      <c r="B55" s="62"/>
      <c r="C55" s="16">
        <v>46145</v>
      </c>
      <c r="D55">
        <v>6853.9100000000017</v>
      </c>
    </row>
    <row r="56" spans="1:4" x14ac:dyDescent="0.3">
      <c r="A56" s="62" t="s">
        <v>33</v>
      </c>
      <c r="B56" s="62"/>
      <c r="C56" s="16">
        <v>46145</v>
      </c>
      <c r="D56">
        <v>21338.39</v>
      </c>
    </row>
    <row r="57" spans="1:4" x14ac:dyDescent="0.3">
      <c r="A57" s="62" t="s">
        <v>34</v>
      </c>
      <c r="B57" s="62"/>
      <c r="C57" s="16">
        <v>46145</v>
      </c>
      <c r="D57">
        <v>345</v>
      </c>
    </row>
    <row r="58" spans="1:4" x14ac:dyDescent="0.3">
      <c r="A58" s="62" t="s">
        <v>35</v>
      </c>
      <c r="B58" s="62"/>
      <c r="C58" s="16">
        <v>46145</v>
      </c>
      <c r="D58">
        <v>13491.26</v>
      </c>
    </row>
    <row r="59" spans="1:4" x14ac:dyDescent="0.3">
      <c r="A59" s="62" t="s">
        <v>17</v>
      </c>
      <c r="B59" s="62"/>
      <c r="C59" s="16">
        <v>46146</v>
      </c>
      <c r="D59">
        <v>200763.43000000025</v>
      </c>
    </row>
    <row r="60" spans="1:4" x14ac:dyDescent="0.3">
      <c r="A60" s="62" t="s">
        <v>18</v>
      </c>
      <c r="B60" s="62"/>
      <c r="C60" s="16">
        <v>46146</v>
      </c>
      <c r="D60">
        <v>51288.029999999948</v>
      </c>
    </row>
    <row r="61" spans="1:4" x14ac:dyDescent="0.3">
      <c r="A61" s="62" t="s">
        <v>19</v>
      </c>
      <c r="B61" s="62"/>
      <c r="C61" s="16">
        <v>46146</v>
      </c>
      <c r="D61">
        <v>1669.89</v>
      </c>
    </row>
    <row r="62" spans="1:4" x14ac:dyDescent="0.3">
      <c r="A62" s="62" t="s">
        <v>20</v>
      </c>
      <c r="B62" s="62"/>
      <c r="C62" s="16">
        <v>46146</v>
      </c>
      <c r="D62">
        <v>589990.30000000005</v>
      </c>
    </row>
    <row r="63" spans="1:4" x14ac:dyDescent="0.3">
      <c r="A63" s="62" t="s">
        <v>21</v>
      </c>
      <c r="B63" s="62"/>
      <c r="C63" s="16">
        <v>46146</v>
      </c>
      <c r="D63">
        <v>1790387.3799999994</v>
      </c>
    </row>
    <row r="64" spans="1:4" x14ac:dyDescent="0.3">
      <c r="A64" s="62" t="s">
        <v>22</v>
      </c>
      <c r="B64" s="62"/>
      <c r="C64" s="16">
        <v>46146</v>
      </c>
      <c r="D64">
        <v>136511.38</v>
      </c>
    </row>
    <row r="65" spans="1:4" x14ac:dyDescent="0.3">
      <c r="A65" s="62" t="s">
        <v>23</v>
      </c>
      <c r="B65" s="62"/>
      <c r="C65" s="16">
        <v>46146</v>
      </c>
      <c r="D65">
        <v>13088.589999999997</v>
      </c>
    </row>
    <row r="66" spans="1:4" x14ac:dyDescent="0.3">
      <c r="A66" s="62" t="s">
        <v>24</v>
      </c>
      <c r="B66" s="62"/>
      <c r="C66" s="16">
        <v>46146</v>
      </c>
      <c r="D66">
        <v>808.82999999999993</v>
      </c>
    </row>
    <row r="67" spans="1:4" x14ac:dyDescent="0.3">
      <c r="A67" s="62" t="s">
        <v>25</v>
      </c>
      <c r="B67" s="62"/>
      <c r="C67" s="16">
        <v>46146</v>
      </c>
      <c r="D67">
        <v>114.3</v>
      </c>
    </row>
    <row r="68" spans="1:4" x14ac:dyDescent="0.3">
      <c r="A68" s="62" t="s">
        <v>26</v>
      </c>
      <c r="B68" s="62"/>
      <c r="C68" s="16">
        <v>46146</v>
      </c>
      <c r="D68">
        <v>2267.7200000000003</v>
      </c>
    </row>
    <row r="69" spans="1:4" x14ac:dyDescent="0.3">
      <c r="A69" s="62" t="s">
        <v>27</v>
      </c>
      <c r="B69" s="62"/>
      <c r="C69" s="16">
        <v>46146</v>
      </c>
      <c r="D69">
        <v>3364.94</v>
      </c>
    </row>
    <row r="70" spans="1:4" x14ac:dyDescent="0.3">
      <c r="A70" s="62" t="s">
        <v>28</v>
      </c>
      <c r="B70" s="62"/>
      <c r="C70" s="16">
        <v>46146</v>
      </c>
      <c r="D70">
        <v>1968.99</v>
      </c>
    </row>
    <row r="71" spans="1:4" x14ac:dyDescent="0.3">
      <c r="A71" s="62" t="s">
        <v>29</v>
      </c>
      <c r="B71" s="62"/>
      <c r="C71" s="16">
        <v>46146</v>
      </c>
      <c r="D71">
        <v>901.34</v>
      </c>
    </row>
    <row r="72" spans="1:4" x14ac:dyDescent="0.3">
      <c r="A72" s="62" t="s">
        <v>30</v>
      </c>
      <c r="B72" s="62"/>
      <c r="C72" s="16">
        <v>46146</v>
      </c>
      <c r="D72">
        <v>1444.08</v>
      </c>
    </row>
    <row r="73" spans="1:4" x14ac:dyDescent="0.3">
      <c r="A73" s="62" t="s">
        <v>31</v>
      </c>
      <c r="B73" s="62"/>
      <c r="C73" s="16">
        <v>46146</v>
      </c>
      <c r="D73">
        <v>23247.599999999962</v>
      </c>
    </row>
    <row r="74" spans="1:4" x14ac:dyDescent="0.3">
      <c r="A74" s="62" t="s">
        <v>32</v>
      </c>
      <c r="B74" s="62"/>
      <c r="C74" s="16">
        <v>46146</v>
      </c>
      <c r="D74">
        <v>6853.9100000000017</v>
      </c>
    </row>
    <row r="75" spans="1:4" x14ac:dyDescent="0.3">
      <c r="A75" s="62" t="s">
        <v>33</v>
      </c>
      <c r="B75" s="62"/>
      <c r="C75" s="16">
        <v>46146</v>
      </c>
      <c r="D75">
        <v>21338.39</v>
      </c>
    </row>
    <row r="76" spans="1:4" x14ac:dyDescent="0.3">
      <c r="A76" s="62" t="s">
        <v>34</v>
      </c>
      <c r="B76" s="62"/>
      <c r="C76" s="16">
        <v>46146</v>
      </c>
      <c r="D76">
        <v>345</v>
      </c>
    </row>
    <row r="77" spans="1:4" x14ac:dyDescent="0.3">
      <c r="A77" s="62" t="s">
        <v>35</v>
      </c>
      <c r="B77" s="62"/>
      <c r="C77" s="16">
        <v>46146</v>
      </c>
      <c r="D77">
        <v>8782.25</v>
      </c>
    </row>
    <row r="78" spans="1:4" x14ac:dyDescent="0.3">
      <c r="A78" s="62" t="s">
        <v>17</v>
      </c>
      <c r="B78" s="62"/>
      <c r="C78" s="16">
        <v>46147</v>
      </c>
      <c r="D78">
        <v>197763.43000000025</v>
      </c>
    </row>
    <row r="79" spans="1:4" x14ac:dyDescent="0.3">
      <c r="A79" s="62" t="s">
        <v>18</v>
      </c>
      <c r="B79" s="62"/>
      <c r="C79" s="16">
        <v>46147</v>
      </c>
      <c r="D79">
        <v>51288.029999999948</v>
      </c>
    </row>
    <row r="80" spans="1:4" x14ac:dyDescent="0.3">
      <c r="A80" s="62" t="s">
        <v>19</v>
      </c>
      <c r="B80" s="62"/>
      <c r="C80" s="16">
        <v>46147</v>
      </c>
      <c r="D80">
        <v>1669.89</v>
      </c>
    </row>
    <row r="81" spans="1:4" x14ac:dyDescent="0.3">
      <c r="A81" s="62" t="s">
        <v>20</v>
      </c>
      <c r="B81" s="62"/>
      <c r="C81" s="16">
        <v>46147</v>
      </c>
      <c r="D81">
        <v>989990.29999999993</v>
      </c>
    </row>
    <row r="82" spans="1:4" x14ac:dyDescent="0.3">
      <c r="A82" s="62" t="s">
        <v>21</v>
      </c>
      <c r="B82" s="62"/>
      <c r="C82" s="16">
        <v>46147</v>
      </c>
      <c r="D82">
        <v>1088892.0899999994</v>
      </c>
    </row>
    <row r="83" spans="1:4" x14ac:dyDescent="0.3">
      <c r="A83" s="62" t="s">
        <v>22</v>
      </c>
      <c r="B83" s="62"/>
      <c r="C83" s="16">
        <v>46147</v>
      </c>
      <c r="D83">
        <v>121511.38</v>
      </c>
    </row>
    <row r="84" spans="1:4" x14ac:dyDescent="0.3">
      <c r="A84" s="62" t="s">
        <v>23</v>
      </c>
      <c r="B84" s="62"/>
      <c r="C84" s="16">
        <v>46147</v>
      </c>
      <c r="D84">
        <v>813088.59</v>
      </c>
    </row>
    <row r="85" spans="1:4" x14ac:dyDescent="0.3">
      <c r="A85" s="62" t="s">
        <v>24</v>
      </c>
      <c r="B85" s="62"/>
      <c r="C85" s="16">
        <v>46147</v>
      </c>
      <c r="D85">
        <v>3768.83</v>
      </c>
    </row>
    <row r="86" spans="1:4" x14ac:dyDescent="0.3">
      <c r="A86" s="62" t="s">
        <v>25</v>
      </c>
      <c r="B86" s="62"/>
      <c r="C86" s="16">
        <v>46147</v>
      </c>
      <c r="D86">
        <v>114.3</v>
      </c>
    </row>
    <row r="87" spans="1:4" x14ac:dyDescent="0.3">
      <c r="A87" s="62" t="s">
        <v>26</v>
      </c>
      <c r="B87" s="62"/>
      <c r="C87" s="16">
        <v>46147</v>
      </c>
      <c r="D87">
        <v>2267.7200000000003</v>
      </c>
    </row>
    <row r="88" spans="1:4" x14ac:dyDescent="0.3">
      <c r="A88" s="62" t="s">
        <v>27</v>
      </c>
      <c r="B88" s="62"/>
      <c r="C88" s="16">
        <v>46147</v>
      </c>
      <c r="D88">
        <v>3364.94</v>
      </c>
    </row>
    <row r="89" spans="1:4" x14ac:dyDescent="0.3">
      <c r="A89" s="62" t="s">
        <v>28</v>
      </c>
      <c r="B89" s="62"/>
      <c r="C89" s="16">
        <v>46147</v>
      </c>
      <c r="D89">
        <v>1968.99</v>
      </c>
    </row>
    <row r="90" spans="1:4" x14ac:dyDescent="0.3">
      <c r="A90" s="62" t="s">
        <v>29</v>
      </c>
      <c r="B90" s="62"/>
      <c r="C90" s="16">
        <v>46147</v>
      </c>
      <c r="D90">
        <v>901.34</v>
      </c>
    </row>
    <row r="91" spans="1:4" x14ac:dyDescent="0.3">
      <c r="A91" s="62" t="s">
        <v>30</v>
      </c>
      <c r="B91" s="62"/>
      <c r="C91" s="16">
        <v>46147</v>
      </c>
      <c r="D91">
        <v>1444.08</v>
      </c>
    </row>
    <row r="92" spans="1:4" x14ac:dyDescent="0.3">
      <c r="A92" s="62" t="s">
        <v>31</v>
      </c>
      <c r="B92" s="62"/>
      <c r="C92" s="16">
        <v>46147</v>
      </c>
      <c r="D92">
        <v>23247.599999999962</v>
      </c>
    </row>
    <row r="93" spans="1:4" x14ac:dyDescent="0.3">
      <c r="A93" s="62" t="s">
        <v>32</v>
      </c>
      <c r="B93" s="62"/>
      <c r="C93" s="16">
        <v>46147</v>
      </c>
      <c r="D93">
        <v>6853.9100000000017</v>
      </c>
    </row>
    <row r="94" spans="1:4" x14ac:dyDescent="0.3">
      <c r="A94" s="62" t="s">
        <v>33</v>
      </c>
      <c r="B94" s="62"/>
      <c r="C94" s="16">
        <v>46147</v>
      </c>
      <c r="D94">
        <v>21338.39</v>
      </c>
    </row>
    <row r="95" spans="1:4" x14ac:dyDescent="0.3">
      <c r="A95" s="62" t="s">
        <v>34</v>
      </c>
      <c r="B95" s="62"/>
      <c r="C95" s="16">
        <v>46147</v>
      </c>
      <c r="D95">
        <v>345</v>
      </c>
    </row>
    <row r="96" spans="1:4" x14ac:dyDescent="0.3">
      <c r="A96" s="62" t="s">
        <v>35</v>
      </c>
      <c r="B96" s="62"/>
      <c r="C96" s="16">
        <v>46147</v>
      </c>
      <c r="D96">
        <v>8782.25</v>
      </c>
    </row>
    <row r="97" spans="1:4" x14ac:dyDescent="0.3">
      <c r="A97" s="62" t="s">
        <v>17</v>
      </c>
      <c r="B97" s="62"/>
      <c r="C97" s="16">
        <v>46148</v>
      </c>
      <c r="D97">
        <v>197763.43000000025</v>
      </c>
    </row>
    <row r="98" spans="1:4" x14ac:dyDescent="0.3">
      <c r="A98" s="62" t="s">
        <v>18</v>
      </c>
      <c r="B98" s="62"/>
      <c r="C98" s="16">
        <v>46148</v>
      </c>
      <c r="D98">
        <v>626288.02999999991</v>
      </c>
    </row>
    <row r="99" spans="1:4" x14ac:dyDescent="0.3">
      <c r="A99" s="62" t="s">
        <v>19</v>
      </c>
      <c r="B99" s="62"/>
      <c r="C99" s="16">
        <v>46148</v>
      </c>
      <c r="D99">
        <v>1669.89</v>
      </c>
    </row>
    <row r="100" spans="1:4" x14ac:dyDescent="0.3">
      <c r="A100" s="62" t="s">
        <v>20</v>
      </c>
      <c r="B100" s="62"/>
      <c r="C100" s="16">
        <v>46148</v>
      </c>
      <c r="D100">
        <v>989990.29999999993</v>
      </c>
    </row>
    <row r="101" spans="1:4" x14ac:dyDescent="0.3">
      <c r="A101" s="62" t="s">
        <v>21</v>
      </c>
      <c r="B101" s="62"/>
      <c r="C101" s="16">
        <v>46148</v>
      </c>
      <c r="D101">
        <v>961212.30999999924</v>
      </c>
    </row>
    <row r="102" spans="1:4" x14ac:dyDescent="0.3">
      <c r="A102" s="62" t="s">
        <v>22</v>
      </c>
      <c r="B102" s="62"/>
      <c r="C102" s="16">
        <v>46148</v>
      </c>
      <c r="D102">
        <v>121511.38</v>
      </c>
    </row>
    <row r="103" spans="1:4" x14ac:dyDescent="0.3">
      <c r="A103" s="62" t="s">
        <v>23</v>
      </c>
      <c r="B103" s="62"/>
      <c r="C103" s="16">
        <v>46148</v>
      </c>
      <c r="D103">
        <v>813088.59</v>
      </c>
    </row>
    <row r="104" spans="1:4" x14ac:dyDescent="0.3">
      <c r="A104" s="62" t="s">
        <v>24</v>
      </c>
      <c r="B104" s="62"/>
      <c r="C104" s="16">
        <v>46148</v>
      </c>
      <c r="D104">
        <v>3768.83</v>
      </c>
    </row>
    <row r="105" spans="1:4" x14ac:dyDescent="0.3">
      <c r="A105" s="62" t="s">
        <v>25</v>
      </c>
      <c r="B105" s="62"/>
      <c r="C105" s="16">
        <v>46148</v>
      </c>
      <c r="D105">
        <v>114.3</v>
      </c>
    </row>
    <row r="106" spans="1:4" x14ac:dyDescent="0.3">
      <c r="A106" s="62" t="s">
        <v>26</v>
      </c>
      <c r="B106" s="62"/>
      <c r="C106" s="16">
        <v>46148</v>
      </c>
      <c r="D106">
        <v>2267.7200000000003</v>
      </c>
    </row>
    <row r="107" spans="1:4" x14ac:dyDescent="0.3">
      <c r="A107" s="62" t="s">
        <v>27</v>
      </c>
      <c r="B107" s="62"/>
      <c r="C107" s="16">
        <v>46148</v>
      </c>
      <c r="D107">
        <v>3364.94</v>
      </c>
    </row>
    <row r="108" spans="1:4" x14ac:dyDescent="0.3">
      <c r="A108" s="62" t="s">
        <v>28</v>
      </c>
      <c r="B108" s="62"/>
      <c r="C108" s="16">
        <v>46148</v>
      </c>
      <c r="D108">
        <v>1968.99</v>
      </c>
    </row>
    <row r="109" spans="1:4" x14ac:dyDescent="0.3">
      <c r="A109" s="62" t="s">
        <v>29</v>
      </c>
      <c r="B109" s="62"/>
      <c r="C109" s="16">
        <v>46148</v>
      </c>
      <c r="D109">
        <v>901.34</v>
      </c>
    </row>
    <row r="110" spans="1:4" x14ac:dyDescent="0.3">
      <c r="A110" s="62" t="s">
        <v>30</v>
      </c>
      <c r="B110" s="62"/>
      <c r="C110" s="16">
        <v>46148</v>
      </c>
      <c r="D110">
        <v>1444.08</v>
      </c>
    </row>
    <row r="111" spans="1:4" x14ac:dyDescent="0.3">
      <c r="A111" s="62" t="s">
        <v>31</v>
      </c>
      <c r="B111" s="62"/>
      <c r="C111" s="16">
        <v>46148</v>
      </c>
      <c r="D111">
        <v>23247.599999999962</v>
      </c>
    </row>
    <row r="112" spans="1:4" x14ac:dyDescent="0.3">
      <c r="A112" s="62" t="s">
        <v>32</v>
      </c>
      <c r="B112" s="62"/>
      <c r="C112" s="16">
        <v>46148</v>
      </c>
      <c r="D112">
        <v>5135.0600000000013</v>
      </c>
    </row>
    <row r="113" spans="1:4" x14ac:dyDescent="0.3">
      <c r="A113" s="62" t="s">
        <v>33</v>
      </c>
      <c r="B113" s="62"/>
      <c r="C113" s="16">
        <v>46148</v>
      </c>
      <c r="D113">
        <v>21338.39</v>
      </c>
    </row>
    <row r="114" spans="1:4" x14ac:dyDescent="0.3">
      <c r="A114" s="62" t="s">
        <v>34</v>
      </c>
      <c r="B114" s="62"/>
      <c r="C114" s="16">
        <v>46148</v>
      </c>
      <c r="D114">
        <v>345</v>
      </c>
    </row>
    <row r="115" spans="1:4" x14ac:dyDescent="0.3">
      <c r="A115" s="62" t="s">
        <v>35</v>
      </c>
      <c r="B115" s="62"/>
      <c r="C115" s="16">
        <v>46148</v>
      </c>
      <c r="D115">
        <v>8782.25</v>
      </c>
    </row>
    <row r="116" spans="1:4" x14ac:dyDescent="0.3">
      <c r="A116" s="62" t="s">
        <v>17</v>
      </c>
      <c r="B116" s="62"/>
      <c r="C116" s="16">
        <v>46149</v>
      </c>
      <c r="D116">
        <v>447763.43000000028</v>
      </c>
    </row>
    <row r="117" spans="1:4" x14ac:dyDescent="0.3">
      <c r="A117" s="62" t="s">
        <v>18</v>
      </c>
      <c r="B117" s="62"/>
      <c r="C117" s="16">
        <v>46149</v>
      </c>
      <c r="D117">
        <v>56288.029999999941</v>
      </c>
    </row>
    <row r="118" spans="1:4" x14ac:dyDescent="0.3">
      <c r="A118" s="62" t="s">
        <v>19</v>
      </c>
      <c r="B118" s="62"/>
      <c r="C118" s="16">
        <v>46149</v>
      </c>
      <c r="D118">
        <v>1669.89</v>
      </c>
    </row>
    <row r="119" spans="1:4" x14ac:dyDescent="0.3">
      <c r="A119" s="62" t="s">
        <v>20</v>
      </c>
      <c r="B119" s="62"/>
      <c r="C119" s="16">
        <v>46149</v>
      </c>
      <c r="D119">
        <v>274668.55999999994</v>
      </c>
    </row>
    <row r="120" spans="1:4" x14ac:dyDescent="0.3">
      <c r="A120" s="62" t="s">
        <v>21</v>
      </c>
      <c r="B120" s="62"/>
      <c r="C120" s="16">
        <v>46149</v>
      </c>
      <c r="D120">
        <v>926213.13999999932</v>
      </c>
    </row>
    <row r="121" spans="1:4" x14ac:dyDescent="0.3">
      <c r="A121" s="62" t="s">
        <v>22</v>
      </c>
      <c r="B121" s="62"/>
      <c r="C121" s="16">
        <v>46149</v>
      </c>
      <c r="D121">
        <v>121511.38</v>
      </c>
    </row>
    <row r="122" spans="1:4" x14ac:dyDescent="0.3">
      <c r="A122" s="62" t="s">
        <v>23</v>
      </c>
      <c r="B122" s="62"/>
      <c r="C122" s="16">
        <v>46149</v>
      </c>
      <c r="D122">
        <v>1513088.59</v>
      </c>
    </row>
    <row r="123" spans="1:4" x14ac:dyDescent="0.3">
      <c r="A123" s="62" t="s">
        <v>24</v>
      </c>
      <c r="B123" s="62"/>
      <c r="C123" s="16">
        <v>46149</v>
      </c>
      <c r="D123">
        <v>3768.83</v>
      </c>
    </row>
    <row r="124" spans="1:4" x14ac:dyDescent="0.3">
      <c r="A124" s="62" t="s">
        <v>25</v>
      </c>
      <c r="B124" s="62"/>
      <c r="C124" s="16">
        <v>46149</v>
      </c>
      <c r="D124">
        <v>114.3</v>
      </c>
    </row>
    <row r="125" spans="1:4" x14ac:dyDescent="0.3">
      <c r="A125" s="62" t="s">
        <v>26</v>
      </c>
      <c r="B125" s="62"/>
      <c r="C125" s="16">
        <v>46149</v>
      </c>
      <c r="D125">
        <v>2267.7200000000003</v>
      </c>
    </row>
    <row r="126" spans="1:4" x14ac:dyDescent="0.3">
      <c r="A126" s="62" t="s">
        <v>27</v>
      </c>
      <c r="B126" s="62"/>
      <c r="C126" s="16">
        <v>46149</v>
      </c>
      <c r="D126">
        <v>3364.94</v>
      </c>
    </row>
    <row r="127" spans="1:4" x14ac:dyDescent="0.3">
      <c r="A127" s="62" t="s">
        <v>28</v>
      </c>
      <c r="B127" s="62"/>
      <c r="C127" s="16">
        <v>46149</v>
      </c>
      <c r="D127">
        <v>1968.99</v>
      </c>
    </row>
    <row r="128" spans="1:4" x14ac:dyDescent="0.3">
      <c r="A128" s="62" t="s">
        <v>29</v>
      </c>
      <c r="B128" s="62"/>
      <c r="C128" s="16">
        <v>46149</v>
      </c>
      <c r="D128">
        <v>901.34</v>
      </c>
    </row>
    <row r="129" spans="1:4" x14ac:dyDescent="0.3">
      <c r="A129" s="62" t="s">
        <v>30</v>
      </c>
      <c r="B129" s="62"/>
      <c r="C129" s="16">
        <v>46149</v>
      </c>
      <c r="D129">
        <v>1444.08</v>
      </c>
    </row>
    <row r="130" spans="1:4" x14ac:dyDescent="0.3">
      <c r="A130" s="62" t="s">
        <v>31</v>
      </c>
      <c r="B130" s="62"/>
      <c r="C130" s="16">
        <v>46149</v>
      </c>
      <c r="D130">
        <v>23247.599999999962</v>
      </c>
    </row>
    <row r="131" spans="1:4" x14ac:dyDescent="0.3">
      <c r="A131" s="62" t="s">
        <v>32</v>
      </c>
      <c r="B131" s="62"/>
      <c r="C131" s="16">
        <v>46149</v>
      </c>
      <c r="D131">
        <v>15135.060000000001</v>
      </c>
    </row>
    <row r="132" spans="1:4" x14ac:dyDescent="0.3">
      <c r="A132" s="62" t="s">
        <v>33</v>
      </c>
      <c r="B132" s="62"/>
      <c r="C132" s="16">
        <v>46149</v>
      </c>
      <c r="D132">
        <v>31338.39</v>
      </c>
    </row>
    <row r="133" spans="1:4" x14ac:dyDescent="0.3">
      <c r="A133" s="62" t="s">
        <v>34</v>
      </c>
      <c r="B133" s="62"/>
      <c r="C133" s="16">
        <v>46149</v>
      </c>
      <c r="D133">
        <v>345</v>
      </c>
    </row>
    <row r="134" spans="1:4" x14ac:dyDescent="0.3">
      <c r="A134" s="62" t="s">
        <v>35</v>
      </c>
      <c r="B134" s="62"/>
      <c r="C134" s="16">
        <v>46149</v>
      </c>
      <c r="D134">
        <v>8782.25</v>
      </c>
    </row>
    <row r="135" spans="1:4" x14ac:dyDescent="0.3">
      <c r="A135" s="62" t="s">
        <v>17</v>
      </c>
      <c r="B135" s="62"/>
      <c r="C135" s="16">
        <v>46150</v>
      </c>
      <c r="D135">
        <v>512927.75000000023</v>
      </c>
    </row>
    <row r="136" spans="1:4" x14ac:dyDescent="0.3">
      <c r="A136" s="62" t="s">
        <v>18</v>
      </c>
      <c r="B136" s="62"/>
      <c r="C136" s="16">
        <v>46150</v>
      </c>
      <c r="D136">
        <v>58840.089999999938</v>
      </c>
    </row>
    <row r="137" spans="1:4" x14ac:dyDescent="0.3">
      <c r="A137" s="62" t="s">
        <v>19</v>
      </c>
      <c r="B137" s="62"/>
      <c r="C137" s="16">
        <v>46150</v>
      </c>
      <c r="D137">
        <v>1669.89</v>
      </c>
    </row>
    <row r="138" spans="1:4" x14ac:dyDescent="0.3">
      <c r="A138" s="62" t="s">
        <v>20</v>
      </c>
      <c r="B138" s="62"/>
      <c r="C138" s="16">
        <v>46150</v>
      </c>
      <c r="D138">
        <v>792366.49999999988</v>
      </c>
    </row>
    <row r="139" spans="1:4" x14ac:dyDescent="0.3">
      <c r="A139" s="62" t="s">
        <v>21</v>
      </c>
      <c r="B139" s="62"/>
      <c r="C139" s="16">
        <v>46150</v>
      </c>
      <c r="D139">
        <v>923830.41999999923</v>
      </c>
    </row>
    <row r="140" spans="1:4" x14ac:dyDescent="0.3">
      <c r="A140" s="62" t="s">
        <v>22</v>
      </c>
      <c r="B140" s="62"/>
      <c r="C140" s="16">
        <v>46150</v>
      </c>
      <c r="D140">
        <v>121511.38</v>
      </c>
    </row>
    <row r="141" spans="1:4" x14ac:dyDescent="0.3">
      <c r="A141" s="62" t="s">
        <v>23</v>
      </c>
      <c r="B141" s="62"/>
      <c r="C141" s="16">
        <v>46150</v>
      </c>
      <c r="D141">
        <v>13088.589999999997</v>
      </c>
    </row>
    <row r="142" spans="1:4" x14ac:dyDescent="0.3">
      <c r="A142" s="62" t="s">
        <v>24</v>
      </c>
      <c r="B142" s="62"/>
      <c r="C142" s="16">
        <v>46150</v>
      </c>
      <c r="D142">
        <v>3768.83</v>
      </c>
    </row>
    <row r="143" spans="1:4" x14ac:dyDescent="0.3">
      <c r="A143" s="62" t="s">
        <v>25</v>
      </c>
      <c r="B143" s="62"/>
      <c r="C143" s="16">
        <v>46150</v>
      </c>
      <c r="D143">
        <v>114.3</v>
      </c>
    </row>
    <row r="144" spans="1:4" x14ac:dyDescent="0.3">
      <c r="A144" s="62" t="s">
        <v>26</v>
      </c>
      <c r="B144" s="62"/>
      <c r="C144" s="16">
        <v>46150</v>
      </c>
      <c r="D144">
        <v>2267.7200000000003</v>
      </c>
    </row>
    <row r="145" spans="1:4" x14ac:dyDescent="0.3">
      <c r="A145" s="62" t="s">
        <v>27</v>
      </c>
      <c r="B145" s="62"/>
      <c r="C145" s="16">
        <v>46150</v>
      </c>
      <c r="D145">
        <v>3349.94</v>
      </c>
    </row>
    <row r="146" spans="1:4" x14ac:dyDescent="0.3">
      <c r="A146" s="62" t="s">
        <v>28</v>
      </c>
      <c r="B146" s="62"/>
      <c r="C146" s="16">
        <v>46150</v>
      </c>
      <c r="D146">
        <v>1968.99</v>
      </c>
    </row>
    <row r="147" spans="1:4" x14ac:dyDescent="0.3">
      <c r="A147" s="62" t="s">
        <v>29</v>
      </c>
      <c r="B147" s="62"/>
      <c r="C147" s="16">
        <v>46150</v>
      </c>
      <c r="D147">
        <v>901.34</v>
      </c>
    </row>
    <row r="148" spans="1:4" x14ac:dyDescent="0.3">
      <c r="A148" s="62" t="s">
        <v>30</v>
      </c>
      <c r="B148" s="62"/>
      <c r="C148" s="16">
        <v>46150</v>
      </c>
      <c r="D148">
        <v>1444.08</v>
      </c>
    </row>
    <row r="149" spans="1:4" x14ac:dyDescent="0.3">
      <c r="A149" s="62" t="s">
        <v>31</v>
      </c>
      <c r="B149" s="62"/>
      <c r="C149" s="16">
        <v>46150</v>
      </c>
      <c r="D149">
        <v>20592.599999999962</v>
      </c>
    </row>
    <row r="150" spans="1:4" x14ac:dyDescent="0.3">
      <c r="A150" s="62" t="s">
        <v>32</v>
      </c>
      <c r="B150" s="62"/>
      <c r="C150" s="16">
        <v>46150</v>
      </c>
      <c r="D150">
        <v>15120.060000000001</v>
      </c>
    </row>
    <row r="151" spans="1:4" x14ac:dyDescent="0.3">
      <c r="A151" s="62" t="s">
        <v>33</v>
      </c>
      <c r="B151" s="62"/>
      <c r="C151" s="16">
        <v>46150</v>
      </c>
      <c r="D151">
        <v>31323.39</v>
      </c>
    </row>
    <row r="152" spans="1:4" x14ac:dyDescent="0.3">
      <c r="A152" s="62" t="s">
        <v>34</v>
      </c>
      <c r="B152" s="62"/>
      <c r="C152" s="16">
        <v>46150</v>
      </c>
      <c r="D152">
        <v>345</v>
      </c>
    </row>
    <row r="153" spans="1:4" x14ac:dyDescent="0.3">
      <c r="A153" s="62" t="s">
        <v>35</v>
      </c>
      <c r="B153" s="62"/>
      <c r="C153" s="16">
        <v>46150</v>
      </c>
      <c r="D153">
        <v>23782.25</v>
      </c>
    </row>
    <row r="154" spans="1:4" x14ac:dyDescent="0.3">
      <c r="A154" s="62" t="s">
        <v>17</v>
      </c>
      <c r="B154" s="62"/>
      <c r="C154" s="16">
        <v>46151</v>
      </c>
      <c r="D154">
        <v>512927.75000000023</v>
      </c>
    </row>
    <row r="155" spans="1:4" x14ac:dyDescent="0.3">
      <c r="A155" s="62" t="s">
        <v>18</v>
      </c>
      <c r="B155" s="62"/>
      <c r="C155" s="16">
        <v>46151</v>
      </c>
      <c r="D155">
        <v>58840.089999999938</v>
      </c>
    </row>
    <row r="156" spans="1:4" x14ac:dyDescent="0.3">
      <c r="A156" s="62" t="s">
        <v>19</v>
      </c>
      <c r="B156" s="62"/>
      <c r="C156" s="16">
        <v>46151</v>
      </c>
      <c r="D156">
        <v>1669.89</v>
      </c>
    </row>
    <row r="157" spans="1:4" x14ac:dyDescent="0.3">
      <c r="A157" s="62" t="s">
        <v>20</v>
      </c>
      <c r="B157" s="62"/>
      <c r="C157" s="16">
        <v>46151</v>
      </c>
      <c r="D157">
        <v>792366.49999999988</v>
      </c>
    </row>
    <row r="158" spans="1:4" x14ac:dyDescent="0.3">
      <c r="A158" s="62" t="s">
        <v>21</v>
      </c>
      <c r="B158" s="62"/>
      <c r="C158" s="16">
        <v>46151</v>
      </c>
      <c r="D158">
        <v>923830.41999999923</v>
      </c>
    </row>
    <row r="159" spans="1:4" x14ac:dyDescent="0.3">
      <c r="A159" s="62" t="s">
        <v>22</v>
      </c>
      <c r="B159" s="62"/>
      <c r="C159" s="16">
        <v>46151</v>
      </c>
      <c r="D159">
        <v>121511.38</v>
      </c>
    </row>
    <row r="160" spans="1:4" x14ac:dyDescent="0.3">
      <c r="A160" s="62" t="s">
        <v>23</v>
      </c>
      <c r="B160" s="62"/>
      <c r="C160" s="16">
        <v>46151</v>
      </c>
      <c r="D160">
        <v>13088.589999999997</v>
      </c>
    </row>
    <row r="161" spans="1:4" x14ac:dyDescent="0.3">
      <c r="A161" s="62" t="s">
        <v>24</v>
      </c>
      <c r="B161" s="62"/>
      <c r="C161" s="16">
        <v>46151</v>
      </c>
      <c r="D161">
        <v>3768.83</v>
      </c>
    </row>
    <row r="162" spans="1:4" x14ac:dyDescent="0.3">
      <c r="A162" s="62" t="s">
        <v>25</v>
      </c>
      <c r="B162" s="62"/>
      <c r="C162" s="16">
        <v>46151</v>
      </c>
      <c r="D162">
        <v>114.3</v>
      </c>
    </row>
    <row r="163" spans="1:4" x14ac:dyDescent="0.3">
      <c r="A163" s="62" t="s">
        <v>26</v>
      </c>
      <c r="B163" s="62"/>
      <c r="C163" s="16">
        <v>46151</v>
      </c>
      <c r="D163">
        <v>2267.7200000000003</v>
      </c>
    </row>
    <row r="164" spans="1:4" x14ac:dyDescent="0.3">
      <c r="A164" s="62" t="s">
        <v>27</v>
      </c>
      <c r="B164" s="62"/>
      <c r="C164" s="16">
        <v>46151</v>
      </c>
      <c r="D164">
        <v>3349.94</v>
      </c>
    </row>
    <row r="165" spans="1:4" x14ac:dyDescent="0.3">
      <c r="A165" s="62" t="s">
        <v>28</v>
      </c>
      <c r="B165" s="62"/>
      <c r="C165" s="16">
        <v>46151</v>
      </c>
      <c r="D165">
        <v>1968.99</v>
      </c>
    </row>
    <row r="166" spans="1:4" x14ac:dyDescent="0.3">
      <c r="A166" s="62" t="s">
        <v>29</v>
      </c>
      <c r="B166" s="62"/>
      <c r="C166" s="16">
        <v>46151</v>
      </c>
      <c r="D166">
        <v>901.34</v>
      </c>
    </row>
    <row r="167" spans="1:4" x14ac:dyDescent="0.3">
      <c r="A167" s="62" t="s">
        <v>30</v>
      </c>
      <c r="B167" s="62"/>
      <c r="C167" s="16">
        <v>46151</v>
      </c>
      <c r="D167">
        <v>1444.08</v>
      </c>
    </row>
    <row r="168" spans="1:4" x14ac:dyDescent="0.3">
      <c r="A168" s="62" t="s">
        <v>31</v>
      </c>
      <c r="B168" s="62"/>
      <c r="C168" s="16">
        <v>46151</v>
      </c>
      <c r="D168">
        <v>20592.599999999962</v>
      </c>
    </row>
    <row r="169" spans="1:4" x14ac:dyDescent="0.3">
      <c r="A169" s="62" t="s">
        <v>32</v>
      </c>
      <c r="B169" s="62"/>
      <c r="C169" s="16">
        <v>46151</v>
      </c>
      <c r="D169">
        <v>15120.060000000001</v>
      </c>
    </row>
    <row r="170" spans="1:4" x14ac:dyDescent="0.3">
      <c r="A170" s="62" t="s">
        <v>33</v>
      </c>
      <c r="B170" s="62"/>
      <c r="C170" s="16">
        <v>46151</v>
      </c>
      <c r="D170">
        <v>31323.39</v>
      </c>
    </row>
    <row r="171" spans="1:4" x14ac:dyDescent="0.3">
      <c r="A171" s="62" t="s">
        <v>34</v>
      </c>
      <c r="B171" s="62"/>
      <c r="C171" s="16">
        <v>46151</v>
      </c>
      <c r="D171">
        <v>345</v>
      </c>
    </row>
    <row r="172" spans="1:4" x14ac:dyDescent="0.3">
      <c r="A172" s="62" t="s">
        <v>35</v>
      </c>
      <c r="B172" s="62"/>
      <c r="C172" s="16">
        <v>46151</v>
      </c>
      <c r="D172">
        <v>23782.25</v>
      </c>
    </row>
    <row r="173" spans="1:4" x14ac:dyDescent="0.3">
      <c r="A173" s="62" t="s">
        <v>17</v>
      </c>
      <c r="B173" s="62"/>
      <c r="C173" s="16">
        <v>46152</v>
      </c>
      <c r="D173">
        <v>512927.75000000023</v>
      </c>
    </row>
    <row r="174" spans="1:4" x14ac:dyDescent="0.3">
      <c r="A174" s="62" t="s">
        <v>18</v>
      </c>
      <c r="B174" s="62"/>
      <c r="C174" s="16">
        <v>46152</v>
      </c>
      <c r="D174">
        <v>58840.089999999938</v>
      </c>
    </row>
    <row r="175" spans="1:4" x14ac:dyDescent="0.3">
      <c r="A175" s="62" t="s">
        <v>19</v>
      </c>
      <c r="B175" s="62"/>
      <c r="C175" s="16">
        <v>46152</v>
      </c>
      <c r="D175">
        <v>1669.89</v>
      </c>
    </row>
    <row r="176" spans="1:4" x14ac:dyDescent="0.3">
      <c r="A176" s="62" t="s">
        <v>20</v>
      </c>
      <c r="B176" s="62"/>
      <c r="C176" s="16">
        <v>46152</v>
      </c>
      <c r="D176">
        <v>792366.49999999988</v>
      </c>
    </row>
    <row r="177" spans="1:4" x14ac:dyDescent="0.3">
      <c r="A177" s="62" t="s">
        <v>21</v>
      </c>
      <c r="B177" s="62"/>
      <c r="C177" s="16">
        <v>46152</v>
      </c>
      <c r="D177">
        <v>923830.41999999923</v>
      </c>
    </row>
    <row r="178" spans="1:4" x14ac:dyDescent="0.3">
      <c r="A178" s="62" t="s">
        <v>22</v>
      </c>
      <c r="B178" s="62"/>
      <c r="C178" s="16">
        <v>46152</v>
      </c>
      <c r="D178">
        <v>121511.38</v>
      </c>
    </row>
    <row r="179" spans="1:4" x14ac:dyDescent="0.3">
      <c r="A179" s="62" t="s">
        <v>23</v>
      </c>
      <c r="B179" s="62"/>
      <c r="C179" s="16">
        <v>46152</v>
      </c>
      <c r="D179">
        <v>13088.589999999997</v>
      </c>
    </row>
    <row r="180" spans="1:4" x14ac:dyDescent="0.3">
      <c r="A180" s="62" t="s">
        <v>24</v>
      </c>
      <c r="B180" s="62"/>
      <c r="C180" s="16">
        <v>46152</v>
      </c>
      <c r="D180">
        <v>3768.83</v>
      </c>
    </row>
    <row r="181" spans="1:4" x14ac:dyDescent="0.3">
      <c r="A181" s="62" t="s">
        <v>25</v>
      </c>
      <c r="B181" s="62"/>
      <c r="C181" s="16">
        <v>46152</v>
      </c>
      <c r="D181">
        <v>114.3</v>
      </c>
    </row>
    <row r="182" spans="1:4" x14ac:dyDescent="0.3">
      <c r="A182" s="62" t="s">
        <v>26</v>
      </c>
      <c r="B182" s="62"/>
      <c r="C182" s="16">
        <v>46152</v>
      </c>
      <c r="D182">
        <v>2267.7200000000003</v>
      </c>
    </row>
    <row r="183" spans="1:4" x14ac:dyDescent="0.3">
      <c r="A183" s="62" t="s">
        <v>27</v>
      </c>
      <c r="B183" s="62"/>
      <c r="C183" s="16">
        <v>46152</v>
      </c>
      <c r="D183">
        <v>3349.94</v>
      </c>
    </row>
    <row r="184" spans="1:4" x14ac:dyDescent="0.3">
      <c r="A184" s="62" t="s">
        <v>28</v>
      </c>
      <c r="B184" s="62"/>
      <c r="C184" s="16">
        <v>46152</v>
      </c>
      <c r="D184">
        <v>1968.99</v>
      </c>
    </row>
    <row r="185" spans="1:4" x14ac:dyDescent="0.3">
      <c r="A185" s="62" t="s">
        <v>29</v>
      </c>
      <c r="B185" s="62"/>
      <c r="C185" s="16">
        <v>46152</v>
      </c>
      <c r="D185">
        <v>901.34</v>
      </c>
    </row>
    <row r="186" spans="1:4" x14ac:dyDescent="0.3">
      <c r="A186" s="62" t="s">
        <v>30</v>
      </c>
      <c r="B186" s="62"/>
      <c r="C186" s="16">
        <v>46152</v>
      </c>
      <c r="D186">
        <v>1444.08</v>
      </c>
    </row>
    <row r="187" spans="1:4" x14ac:dyDescent="0.3">
      <c r="A187" s="62" t="s">
        <v>31</v>
      </c>
      <c r="B187" s="62"/>
      <c r="C187" s="16">
        <v>46152</v>
      </c>
      <c r="D187">
        <v>20592.599999999962</v>
      </c>
    </row>
    <row r="188" spans="1:4" x14ac:dyDescent="0.3">
      <c r="A188" s="62" t="s">
        <v>32</v>
      </c>
      <c r="B188" s="62"/>
      <c r="C188" s="16">
        <v>46152</v>
      </c>
      <c r="D188">
        <v>15120.060000000001</v>
      </c>
    </row>
    <row r="189" spans="1:4" x14ac:dyDescent="0.3">
      <c r="A189" s="62" t="s">
        <v>33</v>
      </c>
      <c r="B189" s="62"/>
      <c r="C189" s="16">
        <v>46152</v>
      </c>
      <c r="D189">
        <v>31323.39</v>
      </c>
    </row>
    <row r="190" spans="1:4" x14ac:dyDescent="0.3">
      <c r="A190" s="62" t="s">
        <v>34</v>
      </c>
      <c r="B190" s="62"/>
      <c r="C190" s="16">
        <v>46152</v>
      </c>
      <c r="D190">
        <v>345</v>
      </c>
    </row>
    <row r="191" spans="1:4" x14ac:dyDescent="0.3">
      <c r="A191" s="62" t="s">
        <v>35</v>
      </c>
      <c r="B191" s="62"/>
      <c r="C191" s="16">
        <v>46152</v>
      </c>
      <c r="D191">
        <v>23782.25</v>
      </c>
    </row>
    <row r="192" spans="1:4" x14ac:dyDescent="0.3">
      <c r="A192" s="62" t="s">
        <v>17</v>
      </c>
      <c r="B192" s="62"/>
      <c r="C192" s="16">
        <v>46153</v>
      </c>
      <c r="D192">
        <v>512927.75000000023</v>
      </c>
    </row>
    <row r="193" spans="1:4" x14ac:dyDescent="0.3">
      <c r="A193" s="62" t="s">
        <v>18</v>
      </c>
      <c r="B193" s="62"/>
      <c r="C193" s="16">
        <v>46153</v>
      </c>
      <c r="D193">
        <v>58840.089999999938</v>
      </c>
    </row>
    <row r="194" spans="1:4" x14ac:dyDescent="0.3">
      <c r="A194" s="62" t="s">
        <v>19</v>
      </c>
      <c r="B194" s="62"/>
      <c r="C194" s="16">
        <v>46153</v>
      </c>
      <c r="D194">
        <v>1669.89</v>
      </c>
    </row>
    <row r="195" spans="1:4" x14ac:dyDescent="0.3">
      <c r="A195" s="62" t="s">
        <v>20</v>
      </c>
      <c r="B195" s="62"/>
      <c r="C195" s="16">
        <v>46153</v>
      </c>
      <c r="D195">
        <v>1368366.5</v>
      </c>
    </row>
    <row r="196" spans="1:4" x14ac:dyDescent="0.3">
      <c r="A196" s="62" t="s">
        <v>21</v>
      </c>
      <c r="B196" s="62"/>
      <c r="C196" s="16">
        <v>46153</v>
      </c>
      <c r="D196">
        <v>1162513.7699999993</v>
      </c>
    </row>
    <row r="197" spans="1:4" x14ac:dyDescent="0.3">
      <c r="A197" s="62" t="s">
        <v>22</v>
      </c>
      <c r="B197" s="62"/>
      <c r="C197" s="16">
        <v>46153</v>
      </c>
      <c r="D197">
        <v>121511.38</v>
      </c>
    </row>
    <row r="198" spans="1:4" x14ac:dyDescent="0.3">
      <c r="A198" s="62" t="s">
        <v>23</v>
      </c>
      <c r="B198" s="62"/>
      <c r="C198" s="16">
        <v>46153</v>
      </c>
      <c r="D198">
        <v>13088.589999999997</v>
      </c>
    </row>
    <row r="199" spans="1:4" x14ac:dyDescent="0.3">
      <c r="A199" s="62" t="s">
        <v>24</v>
      </c>
      <c r="B199" s="62"/>
      <c r="C199" s="16">
        <v>46153</v>
      </c>
      <c r="D199">
        <v>3768.83</v>
      </c>
    </row>
    <row r="200" spans="1:4" x14ac:dyDescent="0.3">
      <c r="A200" s="62" t="s">
        <v>25</v>
      </c>
      <c r="B200" s="62"/>
      <c r="C200" s="16">
        <v>46153</v>
      </c>
      <c r="D200">
        <v>114.3</v>
      </c>
    </row>
    <row r="201" spans="1:4" x14ac:dyDescent="0.3">
      <c r="A201" s="62" t="s">
        <v>26</v>
      </c>
      <c r="B201" s="62"/>
      <c r="C201" s="16">
        <v>46153</v>
      </c>
      <c r="D201">
        <v>2267.7200000000003</v>
      </c>
    </row>
    <row r="202" spans="1:4" x14ac:dyDescent="0.3">
      <c r="A202" s="62" t="s">
        <v>27</v>
      </c>
      <c r="B202" s="62"/>
      <c r="C202" s="16">
        <v>46153</v>
      </c>
      <c r="D202">
        <v>3349.94</v>
      </c>
    </row>
    <row r="203" spans="1:4" x14ac:dyDescent="0.3">
      <c r="A203" s="62" t="s">
        <v>28</v>
      </c>
      <c r="B203" s="62"/>
      <c r="C203" s="16">
        <v>46153</v>
      </c>
      <c r="D203">
        <v>1968.99</v>
      </c>
    </row>
    <row r="204" spans="1:4" x14ac:dyDescent="0.3">
      <c r="A204" s="62" t="s">
        <v>29</v>
      </c>
      <c r="B204" s="62"/>
      <c r="C204" s="16">
        <v>46153</v>
      </c>
      <c r="D204">
        <v>901.34</v>
      </c>
    </row>
    <row r="205" spans="1:4" x14ac:dyDescent="0.3">
      <c r="A205" s="62" t="s">
        <v>30</v>
      </c>
      <c r="B205" s="62"/>
      <c r="C205" s="16">
        <v>46153</v>
      </c>
      <c r="D205">
        <v>1444.08</v>
      </c>
    </row>
    <row r="206" spans="1:4" x14ac:dyDescent="0.3">
      <c r="A206" s="62" t="s">
        <v>31</v>
      </c>
      <c r="B206" s="62"/>
      <c r="C206" s="16">
        <v>46153</v>
      </c>
      <c r="D206">
        <v>19092.599999999962</v>
      </c>
    </row>
    <row r="207" spans="1:4" x14ac:dyDescent="0.3">
      <c r="A207" s="62" t="s">
        <v>32</v>
      </c>
      <c r="B207" s="62"/>
      <c r="C207" s="16">
        <v>46153</v>
      </c>
      <c r="D207">
        <v>15120.060000000001</v>
      </c>
    </row>
    <row r="208" spans="1:4" x14ac:dyDescent="0.3">
      <c r="A208" s="62" t="s">
        <v>33</v>
      </c>
      <c r="B208" s="62"/>
      <c r="C208" s="16">
        <v>46153</v>
      </c>
      <c r="D208">
        <v>31323.39</v>
      </c>
    </row>
    <row r="209" spans="1:4" x14ac:dyDescent="0.3">
      <c r="A209" s="62" t="s">
        <v>34</v>
      </c>
      <c r="B209" s="62"/>
      <c r="C209" s="16">
        <v>46153</v>
      </c>
      <c r="D209">
        <v>345</v>
      </c>
    </row>
    <row r="210" spans="1:4" x14ac:dyDescent="0.3">
      <c r="A210" s="62" t="s">
        <v>35</v>
      </c>
      <c r="B210" s="62"/>
      <c r="C210" s="16">
        <v>46153</v>
      </c>
      <c r="D210">
        <v>16956.59</v>
      </c>
    </row>
    <row r="211" spans="1:4" x14ac:dyDescent="0.3">
      <c r="A211" s="62" t="s">
        <v>17</v>
      </c>
      <c r="B211" s="62"/>
      <c r="C211" s="16">
        <v>46154</v>
      </c>
      <c r="D211">
        <v>606714.4700000002</v>
      </c>
    </row>
    <row r="212" spans="1:4" x14ac:dyDescent="0.3">
      <c r="A212" s="62" t="s">
        <v>18</v>
      </c>
      <c r="B212" s="62"/>
      <c r="C212" s="16">
        <v>46154</v>
      </c>
      <c r="D212">
        <v>58840.089999999938</v>
      </c>
    </row>
    <row r="213" spans="1:4" x14ac:dyDescent="0.3">
      <c r="A213" s="62" t="s">
        <v>19</v>
      </c>
      <c r="B213" s="62"/>
      <c r="C213" s="16">
        <v>46154</v>
      </c>
      <c r="D213">
        <v>1669.89</v>
      </c>
    </row>
    <row r="214" spans="1:4" x14ac:dyDescent="0.3">
      <c r="A214" s="62" t="s">
        <v>20</v>
      </c>
      <c r="B214" s="62"/>
      <c r="C214" s="16">
        <v>46154</v>
      </c>
      <c r="D214">
        <v>1226185.8999999999</v>
      </c>
    </row>
    <row r="215" spans="1:4" x14ac:dyDescent="0.3">
      <c r="A215" s="62" t="s">
        <v>21</v>
      </c>
      <c r="B215" s="62"/>
      <c r="C215" s="16">
        <v>46154</v>
      </c>
      <c r="D215">
        <v>1162404.8599999992</v>
      </c>
    </row>
    <row r="216" spans="1:4" x14ac:dyDescent="0.3">
      <c r="A216" s="62" t="s">
        <v>22</v>
      </c>
      <c r="B216" s="62"/>
      <c r="C216" s="16">
        <v>46154</v>
      </c>
      <c r="D216">
        <v>121511.38</v>
      </c>
    </row>
    <row r="217" spans="1:4" x14ac:dyDescent="0.3">
      <c r="A217" s="62" t="s">
        <v>23</v>
      </c>
      <c r="B217" s="62"/>
      <c r="C217" s="16">
        <v>46154</v>
      </c>
      <c r="D217">
        <v>13088.589999999997</v>
      </c>
    </row>
    <row r="218" spans="1:4" x14ac:dyDescent="0.3">
      <c r="A218" s="62" t="s">
        <v>24</v>
      </c>
      <c r="B218" s="62"/>
      <c r="C218" s="16">
        <v>46154</v>
      </c>
      <c r="D218">
        <v>3768.83</v>
      </c>
    </row>
    <row r="219" spans="1:4" x14ac:dyDescent="0.3">
      <c r="A219" s="62" t="s">
        <v>25</v>
      </c>
      <c r="B219" s="62"/>
      <c r="C219" s="16">
        <v>46154</v>
      </c>
      <c r="D219">
        <v>114.3</v>
      </c>
    </row>
    <row r="220" spans="1:4" x14ac:dyDescent="0.3">
      <c r="A220" s="62" t="s">
        <v>26</v>
      </c>
      <c r="B220" s="62"/>
      <c r="C220" s="16">
        <v>46154</v>
      </c>
      <c r="D220">
        <v>2267.7200000000003</v>
      </c>
    </row>
    <row r="221" spans="1:4" x14ac:dyDescent="0.3">
      <c r="A221" s="62" t="s">
        <v>27</v>
      </c>
      <c r="B221" s="62"/>
      <c r="C221" s="16">
        <v>46154</v>
      </c>
      <c r="D221">
        <v>3349.94</v>
      </c>
    </row>
    <row r="222" spans="1:4" x14ac:dyDescent="0.3">
      <c r="A222" s="62" t="s">
        <v>28</v>
      </c>
      <c r="B222" s="62"/>
      <c r="C222" s="16">
        <v>46154</v>
      </c>
      <c r="D222">
        <v>1968.99</v>
      </c>
    </row>
    <row r="223" spans="1:4" x14ac:dyDescent="0.3">
      <c r="A223" s="62" t="s">
        <v>29</v>
      </c>
      <c r="B223" s="62"/>
      <c r="C223" s="16">
        <v>46154</v>
      </c>
      <c r="D223">
        <v>901.34</v>
      </c>
    </row>
    <row r="224" spans="1:4" x14ac:dyDescent="0.3">
      <c r="A224" s="62" t="s">
        <v>30</v>
      </c>
      <c r="B224" s="62"/>
      <c r="C224" s="16">
        <v>46154</v>
      </c>
      <c r="D224">
        <v>1444.08</v>
      </c>
    </row>
    <row r="225" spans="1:4" x14ac:dyDescent="0.3">
      <c r="A225" s="62" t="s">
        <v>31</v>
      </c>
      <c r="B225" s="62"/>
      <c r="C225" s="16">
        <v>46154</v>
      </c>
      <c r="D225">
        <v>19092.599999999962</v>
      </c>
    </row>
    <row r="226" spans="1:4" x14ac:dyDescent="0.3">
      <c r="A226" s="62" t="s">
        <v>32</v>
      </c>
      <c r="B226" s="62"/>
      <c r="C226" s="16">
        <v>46154</v>
      </c>
      <c r="D226">
        <v>15120.060000000001</v>
      </c>
    </row>
    <row r="227" spans="1:4" x14ac:dyDescent="0.3">
      <c r="A227" s="62" t="s">
        <v>33</v>
      </c>
      <c r="B227" s="62"/>
      <c r="C227" s="16">
        <v>46154</v>
      </c>
      <c r="D227">
        <v>31323.39</v>
      </c>
    </row>
    <row r="228" spans="1:4" x14ac:dyDescent="0.3">
      <c r="A228" s="62" t="s">
        <v>34</v>
      </c>
      <c r="B228" s="62"/>
      <c r="C228" s="16">
        <v>46154</v>
      </c>
      <c r="D228">
        <v>345</v>
      </c>
    </row>
    <row r="229" spans="1:4" x14ac:dyDescent="0.3">
      <c r="A229" s="62" t="s">
        <v>35</v>
      </c>
      <c r="B229" s="62"/>
      <c r="C229" s="16">
        <v>46154</v>
      </c>
      <c r="D229">
        <v>16741.59</v>
      </c>
    </row>
    <row r="230" spans="1:4" x14ac:dyDescent="0.3">
      <c r="A230" s="62" t="s">
        <v>17</v>
      </c>
      <c r="B230" s="62"/>
      <c r="C230" s="16">
        <v>46155</v>
      </c>
      <c r="D230">
        <v>606714.4700000002</v>
      </c>
    </row>
    <row r="231" spans="1:4" x14ac:dyDescent="0.3">
      <c r="A231" s="62" t="s">
        <v>18</v>
      </c>
      <c r="B231" s="62"/>
      <c r="C231" s="16">
        <v>46155</v>
      </c>
      <c r="D231">
        <v>58840.089999999938</v>
      </c>
    </row>
    <row r="232" spans="1:4" x14ac:dyDescent="0.3">
      <c r="A232" s="62" t="s">
        <v>19</v>
      </c>
      <c r="B232" s="62"/>
      <c r="C232" s="16">
        <v>46155</v>
      </c>
      <c r="D232">
        <v>1669.89</v>
      </c>
    </row>
    <row r="233" spans="1:4" x14ac:dyDescent="0.3">
      <c r="A233" s="62" t="s">
        <v>20</v>
      </c>
      <c r="B233" s="62"/>
      <c r="C233" s="16">
        <v>46155</v>
      </c>
      <c r="D233">
        <v>1242679.67</v>
      </c>
    </row>
    <row r="234" spans="1:4" x14ac:dyDescent="0.3">
      <c r="A234" s="62" t="s">
        <v>21</v>
      </c>
      <c r="B234" s="62"/>
      <c r="C234" s="16">
        <v>46155</v>
      </c>
      <c r="D234">
        <v>1162404.8599999992</v>
      </c>
    </row>
    <row r="235" spans="1:4" x14ac:dyDescent="0.3">
      <c r="A235" s="62" t="s">
        <v>22</v>
      </c>
      <c r="B235" s="62"/>
      <c r="C235" s="16">
        <v>46155</v>
      </c>
      <c r="D235">
        <v>121511.38</v>
      </c>
    </row>
    <row r="236" spans="1:4" x14ac:dyDescent="0.3">
      <c r="A236" s="62" t="s">
        <v>23</v>
      </c>
      <c r="B236" s="62"/>
      <c r="C236" s="16">
        <v>46155</v>
      </c>
      <c r="D236">
        <v>13090.369999999997</v>
      </c>
    </row>
    <row r="237" spans="1:4" x14ac:dyDescent="0.3">
      <c r="A237" s="62" t="s">
        <v>24</v>
      </c>
      <c r="B237" s="62"/>
      <c r="C237" s="16">
        <v>46155</v>
      </c>
      <c r="D237">
        <v>2498.3999999999996</v>
      </c>
    </row>
    <row r="238" spans="1:4" x14ac:dyDescent="0.3">
      <c r="A238" s="62" t="s">
        <v>25</v>
      </c>
      <c r="B238" s="62"/>
      <c r="C238" s="16">
        <v>46155</v>
      </c>
      <c r="D238">
        <v>114.3</v>
      </c>
    </row>
    <row r="239" spans="1:4" x14ac:dyDescent="0.3">
      <c r="A239" s="62" t="s">
        <v>26</v>
      </c>
      <c r="B239" s="62"/>
      <c r="C239" s="16">
        <v>46155</v>
      </c>
      <c r="D239">
        <v>2267.7200000000003</v>
      </c>
    </row>
    <row r="240" spans="1:4" x14ac:dyDescent="0.3">
      <c r="A240" s="62" t="s">
        <v>27</v>
      </c>
      <c r="B240" s="62"/>
      <c r="C240" s="16">
        <v>46155</v>
      </c>
      <c r="D240">
        <v>3349.94</v>
      </c>
    </row>
    <row r="241" spans="1:4" x14ac:dyDescent="0.3">
      <c r="A241" s="62" t="s">
        <v>28</v>
      </c>
      <c r="B241" s="62"/>
      <c r="C241" s="16">
        <v>46155</v>
      </c>
      <c r="D241">
        <v>1968.99</v>
      </c>
    </row>
    <row r="242" spans="1:4" x14ac:dyDescent="0.3">
      <c r="A242" s="62" t="s">
        <v>29</v>
      </c>
      <c r="B242" s="62"/>
      <c r="C242" s="16">
        <v>46155</v>
      </c>
      <c r="D242">
        <v>901.34</v>
      </c>
    </row>
    <row r="243" spans="1:4" x14ac:dyDescent="0.3">
      <c r="A243" s="62" t="s">
        <v>30</v>
      </c>
      <c r="B243" s="62"/>
      <c r="C243" s="16">
        <v>46155</v>
      </c>
      <c r="D243">
        <v>1444.08</v>
      </c>
    </row>
    <row r="244" spans="1:4" x14ac:dyDescent="0.3">
      <c r="A244" s="62" t="s">
        <v>31</v>
      </c>
      <c r="B244" s="62"/>
      <c r="C244" s="16">
        <v>46155</v>
      </c>
      <c r="D244">
        <v>18242.599999999962</v>
      </c>
    </row>
    <row r="245" spans="1:4" x14ac:dyDescent="0.3">
      <c r="A245" s="62" t="s">
        <v>32</v>
      </c>
      <c r="B245" s="62"/>
      <c r="C245" s="16">
        <v>46155</v>
      </c>
      <c r="D245">
        <v>15120.060000000001</v>
      </c>
    </row>
    <row r="246" spans="1:4" x14ac:dyDescent="0.3">
      <c r="A246" s="62" t="s">
        <v>33</v>
      </c>
      <c r="B246" s="62"/>
      <c r="C246" s="16">
        <v>46155</v>
      </c>
      <c r="D246">
        <v>31323.39</v>
      </c>
    </row>
    <row r="247" spans="1:4" x14ac:dyDescent="0.3">
      <c r="A247" s="62" t="s">
        <v>34</v>
      </c>
      <c r="B247" s="62"/>
      <c r="C247" s="16">
        <v>46155</v>
      </c>
      <c r="D247">
        <v>345</v>
      </c>
    </row>
    <row r="248" spans="1:4" x14ac:dyDescent="0.3">
      <c r="A248" s="62" t="s">
        <v>35</v>
      </c>
      <c r="B248" s="62"/>
      <c r="C248" s="16">
        <v>46155</v>
      </c>
      <c r="D248">
        <v>16741.59</v>
      </c>
    </row>
    <row r="249" spans="1:4" x14ac:dyDescent="0.3">
      <c r="A249" s="62" t="s">
        <v>17</v>
      </c>
      <c r="B249" s="62"/>
      <c r="C249" s="16">
        <v>46156</v>
      </c>
      <c r="D249">
        <v>165752.81000000023</v>
      </c>
    </row>
    <row r="250" spans="1:4" x14ac:dyDescent="0.3">
      <c r="A250" s="62" t="s">
        <v>18</v>
      </c>
      <c r="B250" s="62"/>
      <c r="C250" s="16">
        <v>46156</v>
      </c>
      <c r="D250">
        <v>59760.159999999938</v>
      </c>
    </row>
    <row r="251" spans="1:4" x14ac:dyDescent="0.3">
      <c r="A251" s="62" t="s">
        <v>19</v>
      </c>
      <c r="B251" s="62"/>
      <c r="C251" s="16">
        <v>46156</v>
      </c>
      <c r="D251">
        <v>1669.89</v>
      </c>
    </row>
    <row r="252" spans="1:4" x14ac:dyDescent="0.3">
      <c r="A252" s="62" t="s">
        <v>20</v>
      </c>
      <c r="B252" s="62"/>
      <c r="C252" s="16">
        <v>46156</v>
      </c>
      <c r="D252">
        <v>832679.66999999981</v>
      </c>
    </row>
    <row r="253" spans="1:4" x14ac:dyDescent="0.3">
      <c r="A253" s="62" t="s">
        <v>21</v>
      </c>
      <c r="B253" s="62"/>
      <c r="C253" s="16">
        <v>46156</v>
      </c>
      <c r="D253">
        <v>952193.18999999925</v>
      </c>
    </row>
    <row r="254" spans="1:4" x14ac:dyDescent="0.3">
      <c r="A254" s="62" t="s">
        <v>22</v>
      </c>
      <c r="B254" s="62"/>
      <c r="C254" s="16">
        <v>46156</v>
      </c>
      <c r="D254">
        <v>121511.38</v>
      </c>
    </row>
    <row r="255" spans="1:4" x14ac:dyDescent="0.3">
      <c r="A255" s="62" t="s">
        <v>23</v>
      </c>
      <c r="B255" s="62"/>
      <c r="C255" s="16">
        <v>46156</v>
      </c>
      <c r="D255">
        <v>13090.369999999997</v>
      </c>
    </row>
    <row r="256" spans="1:4" x14ac:dyDescent="0.3">
      <c r="A256" s="62" t="s">
        <v>24</v>
      </c>
      <c r="B256" s="62"/>
      <c r="C256" s="16">
        <v>46156</v>
      </c>
      <c r="D256">
        <v>2498.3999999999996</v>
      </c>
    </row>
    <row r="257" spans="1:4" x14ac:dyDescent="0.3">
      <c r="A257" s="62" t="s">
        <v>25</v>
      </c>
      <c r="B257" s="62"/>
      <c r="C257" s="16">
        <v>46156</v>
      </c>
      <c r="D257">
        <v>114.3</v>
      </c>
    </row>
    <row r="258" spans="1:4" x14ac:dyDescent="0.3">
      <c r="A258" s="62" t="s">
        <v>26</v>
      </c>
      <c r="B258" s="62"/>
      <c r="C258" s="16">
        <v>46156</v>
      </c>
      <c r="D258">
        <v>2267.7200000000003</v>
      </c>
    </row>
    <row r="259" spans="1:4" x14ac:dyDescent="0.3">
      <c r="A259" s="62" t="s">
        <v>27</v>
      </c>
      <c r="B259" s="62"/>
      <c r="C259" s="16">
        <v>46156</v>
      </c>
      <c r="D259">
        <v>3349.94</v>
      </c>
    </row>
    <row r="260" spans="1:4" x14ac:dyDescent="0.3">
      <c r="A260" s="62" t="s">
        <v>28</v>
      </c>
      <c r="B260" s="62"/>
      <c r="C260" s="16">
        <v>46156</v>
      </c>
      <c r="D260">
        <v>1968.99</v>
      </c>
    </row>
    <row r="261" spans="1:4" x14ac:dyDescent="0.3">
      <c r="A261" s="62" t="s">
        <v>29</v>
      </c>
      <c r="B261" s="62"/>
      <c r="C261" s="16">
        <v>46156</v>
      </c>
      <c r="D261">
        <v>901.34</v>
      </c>
    </row>
    <row r="262" spans="1:4" x14ac:dyDescent="0.3">
      <c r="A262" s="62" t="s">
        <v>30</v>
      </c>
      <c r="B262" s="62"/>
      <c r="C262" s="16">
        <v>46156</v>
      </c>
      <c r="D262">
        <v>1444.08</v>
      </c>
    </row>
    <row r="263" spans="1:4" x14ac:dyDescent="0.3">
      <c r="A263" s="62" t="s">
        <v>31</v>
      </c>
      <c r="B263" s="62"/>
      <c r="C263" s="16">
        <v>46156</v>
      </c>
      <c r="D263">
        <v>18242.599999999962</v>
      </c>
    </row>
    <row r="264" spans="1:4" x14ac:dyDescent="0.3">
      <c r="A264" s="62" t="s">
        <v>32</v>
      </c>
      <c r="B264" s="62"/>
      <c r="C264" s="16">
        <v>46156</v>
      </c>
      <c r="D264">
        <v>15120.060000000001</v>
      </c>
    </row>
    <row r="265" spans="1:4" x14ac:dyDescent="0.3">
      <c r="A265" s="62" t="s">
        <v>33</v>
      </c>
      <c r="B265" s="62"/>
      <c r="C265" s="16">
        <v>46156</v>
      </c>
      <c r="D265">
        <v>31323.39</v>
      </c>
    </row>
    <row r="266" spans="1:4" x14ac:dyDescent="0.3">
      <c r="A266" s="62" t="s">
        <v>34</v>
      </c>
      <c r="B266" s="62"/>
      <c r="C266" s="16">
        <v>46156</v>
      </c>
      <c r="D266">
        <v>345</v>
      </c>
    </row>
    <row r="267" spans="1:4" x14ac:dyDescent="0.3">
      <c r="A267" s="62" t="s">
        <v>35</v>
      </c>
      <c r="B267" s="62"/>
      <c r="C267" s="16">
        <v>46156</v>
      </c>
      <c r="D267">
        <v>14226.59</v>
      </c>
    </row>
    <row r="268" spans="1:4" x14ac:dyDescent="0.3">
      <c r="A268" s="62" t="s">
        <v>17</v>
      </c>
      <c r="B268" s="62"/>
      <c r="C268" s="16">
        <v>46157</v>
      </c>
      <c r="D268">
        <v>165752.81000000023</v>
      </c>
    </row>
    <row r="269" spans="1:4" x14ac:dyDescent="0.3">
      <c r="A269" s="62" t="s">
        <v>18</v>
      </c>
      <c r="B269" s="62"/>
      <c r="C269" s="16">
        <v>46157</v>
      </c>
      <c r="D269">
        <v>59760.159999999938</v>
      </c>
    </row>
    <row r="270" spans="1:4" x14ac:dyDescent="0.3">
      <c r="A270" s="62" t="s">
        <v>19</v>
      </c>
      <c r="B270" s="62"/>
      <c r="C270" s="16">
        <v>46157</v>
      </c>
      <c r="D270">
        <v>1669.89</v>
      </c>
    </row>
    <row r="271" spans="1:4" x14ac:dyDescent="0.3">
      <c r="A271" s="62" t="s">
        <v>20</v>
      </c>
      <c r="B271" s="62"/>
      <c r="C271" s="16">
        <v>46157</v>
      </c>
      <c r="D271">
        <v>832076.20999999985</v>
      </c>
    </row>
    <row r="272" spans="1:4" x14ac:dyDescent="0.3">
      <c r="A272" s="62" t="s">
        <v>21</v>
      </c>
      <c r="B272" s="62"/>
      <c r="C272" s="16">
        <v>46157</v>
      </c>
      <c r="D272">
        <v>952163.77999999933</v>
      </c>
    </row>
    <row r="273" spans="1:4" x14ac:dyDescent="0.3">
      <c r="A273" s="62" t="s">
        <v>22</v>
      </c>
      <c r="B273" s="62"/>
      <c r="C273" s="16">
        <v>46157</v>
      </c>
      <c r="D273">
        <v>121511.38</v>
      </c>
    </row>
    <row r="274" spans="1:4" x14ac:dyDescent="0.3">
      <c r="A274" s="62" t="s">
        <v>23</v>
      </c>
      <c r="B274" s="62"/>
      <c r="C274" s="16">
        <v>46157</v>
      </c>
      <c r="D274">
        <v>13090.369999999997</v>
      </c>
    </row>
    <row r="275" spans="1:4" x14ac:dyDescent="0.3">
      <c r="A275" s="62" t="s">
        <v>24</v>
      </c>
      <c r="B275" s="62"/>
      <c r="C275" s="16">
        <v>46157</v>
      </c>
      <c r="D275">
        <v>2498.3999999999996</v>
      </c>
    </row>
    <row r="276" spans="1:4" x14ac:dyDescent="0.3">
      <c r="A276" s="62" t="s">
        <v>25</v>
      </c>
      <c r="B276" s="62"/>
      <c r="C276" s="16">
        <v>46157</v>
      </c>
      <c r="D276">
        <v>114.3</v>
      </c>
    </row>
    <row r="277" spans="1:4" x14ac:dyDescent="0.3">
      <c r="A277" s="62" t="s">
        <v>26</v>
      </c>
      <c r="B277" s="62"/>
      <c r="C277" s="16">
        <v>46157</v>
      </c>
      <c r="D277">
        <v>2267.7200000000003</v>
      </c>
    </row>
    <row r="278" spans="1:4" x14ac:dyDescent="0.3">
      <c r="A278" s="62" t="s">
        <v>27</v>
      </c>
      <c r="B278" s="62"/>
      <c r="C278" s="16">
        <v>46157</v>
      </c>
      <c r="D278">
        <v>3349.94</v>
      </c>
    </row>
    <row r="279" spans="1:4" x14ac:dyDescent="0.3">
      <c r="A279" s="62" t="s">
        <v>28</v>
      </c>
      <c r="B279" s="62"/>
      <c r="C279" s="16">
        <v>46157</v>
      </c>
      <c r="D279">
        <v>1968.99</v>
      </c>
    </row>
    <row r="280" spans="1:4" x14ac:dyDescent="0.3">
      <c r="A280" s="62" t="s">
        <v>29</v>
      </c>
      <c r="B280" s="62"/>
      <c r="C280" s="16">
        <v>46157</v>
      </c>
      <c r="D280">
        <v>901.34</v>
      </c>
    </row>
    <row r="281" spans="1:4" x14ac:dyDescent="0.3">
      <c r="A281" s="62" t="s">
        <v>30</v>
      </c>
      <c r="B281" s="62"/>
      <c r="C281" s="16">
        <v>46157</v>
      </c>
      <c r="D281">
        <v>1444.08</v>
      </c>
    </row>
    <row r="282" spans="1:4" x14ac:dyDescent="0.3">
      <c r="A282" s="62" t="s">
        <v>31</v>
      </c>
      <c r="B282" s="62"/>
      <c r="C282" s="16">
        <v>46157</v>
      </c>
      <c r="D282">
        <v>18242.599999999962</v>
      </c>
    </row>
    <row r="283" spans="1:4" x14ac:dyDescent="0.3">
      <c r="A283" s="62" t="s">
        <v>32</v>
      </c>
      <c r="B283" s="62"/>
      <c r="C283" s="16">
        <v>46157</v>
      </c>
      <c r="D283">
        <v>15120.060000000001</v>
      </c>
    </row>
    <row r="284" spans="1:4" x14ac:dyDescent="0.3">
      <c r="A284" s="62" t="s">
        <v>33</v>
      </c>
      <c r="B284" s="62"/>
      <c r="C284" s="16">
        <v>46157</v>
      </c>
      <c r="D284">
        <v>27011.27</v>
      </c>
    </row>
    <row r="285" spans="1:4" x14ac:dyDescent="0.3">
      <c r="A285" s="62" t="s">
        <v>34</v>
      </c>
      <c r="B285" s="62"/>
      <c r="C285" s="16">
        <v>46157</v>
      </c>
      <c r="D285">
        <v>345</v>
      </c>
    </row>
    <row r="286" spans="1:4" x14ac:dyDescent="0.3">
      <c r="A286" s="62" t="s">
        <v>35</v>
      </c>
      <c r="B286" s="62"/>
      <c r="C286" s="16">
        <v>46157</v>
      </c>
      <c r="D286">
        <v>14176.59</v>
      </c>
    </row>
    <row r="287" spans="1:4" x14ac:dyDescent="0.3">
      <c r="A287" s="62" t="s">
        <v>17</v>
      </c>
      <c r="B287" s="62"/>
      <c r="C287" s="16">
        <v>46158</v>
      </c>
      <c r="D287">
        <v>165752.81000000023</v>
      </c>
    </row>
    <row r="288" spans="1:4" x14ac:dyDescent="0.3">
      <c r="A288" s="62" t="s">
        <v>18</v>
      </c>
      <c r="B288" s="62"/>
      <c r="C288" s="16">
        <v>46158</v>
      </c>
      <c r="D288">
        <v>59760.159999999938</v>
      </c>
    </row>
    <row r="289" spans="1:4" x14ac:dyDescent="0.3">
      <c r="A289" s="62" t="s">
        <v>19</v>
      </c>
      <c r="B289" s="62"/>
      <c r="C289" s="16">
        <v>46158</v>
      </c>
      <c r="D289">
        <v>1669.89</v>
      </c>
    </row>
    <row r="290" spans="1:4" x14ac:dyDescent="0.3">
      <c r="A290" s="62" t="s">
        <v>20</v>
      </c>
      <c r="B290" s="62"/>
      <c r="C290" s="16">
        <v>46158</v>
      </c>
      <c r="D290">
        <v>832076.20999999985</v>
      </c>
    </row>
    <row r="291" spans="1:4" x14ac:dyDescent="0.3">
      <c r="A291" s="62" t="s">
        <v>21</v>
      </c>
      <c r="B291" s="62"/>
      <c r="C291" s="16">
        <v>46158</v>
      </c>
      <c r="D291">
        <v>952163.77999999933</v>
      </c>
    </row>
    <row r="292" spans="1:4" x14ac:dyDescent="0.3">
      <c r="A292" s="62" t="s">
        <v>22</v>
      </c>
      <c r="B292" s="62"/>
      <c r="C292" s="16">
        <v>46158</v>
      </c>
      <c r="D292">
        <v>121511.38</v>
      </c>
    </row>
    <row r="293" spans="1:4" x14ac:dyDescent="0.3">
      <c r="A293" s="62" t="s">
        <v>23</v>
      </c>
      <c r="B293" s="62"/>
      <c r="C293" s="16">
        <v>46158</v>
      </c>
      <c r="D293">
        <v>13090.369999999997</v>
      </c>
    </row>
    <row r="294" spans="1:4" x14ac:dyDescent="0.3">
      <c r="A294" s="62" t="s">
        <v>24</v>
      </c>
      <c r="B294" s="62"/>
      <c r="C294" s="16">
        <v>46158</v>
      </c>
      <c r="D294">
        <v>2498.3999999999996</v>
      </c>
    </row>
    <row r="295" spans="1:4" x14ac:dyDescent="0.3">
      <c r="A295" s="62" t="s">
        <v>25</v>
      </c>
      <c r="B295" s="62"/>
      <c r="C295" s="16">
        <v>46158</v>
      </c>
      <c r="D295">
        <v>114.3</v>
      </c>
    </row>
    <row r="296" spans="1:4" x14ac:dyDescent="0.3">
      <c r="A296" s="62" t="s">
        <v>26</v>
      </c>
      <c r="B296" s="62"/>
      <c r="C296" s="16">
        <v>46158</v>
      </c>
      <c r="D296">
        <v>2267.7200000000003</v>
      </c>
    </row>
    <row r="297" spans="1:4" x14ac:dyDescent="0.3">
      <c r="A297" s="62" t="s">
        <v>27</v>
      </c>
      <c r="B297" s="62"/>
      <c r="C297" s="16">
        <v>46158</v>
      </c>
      <c r="D297">
        <v>3349.94</v>
      </c>
    </row>
    <row r="298" spans="1:4" x14ac:dyDescent="0.3">
      <c r="A298" s="62" t="s">
        <v>28</v>
      </c>
      <c r="B298" s="62"/>
      <c r="C298" s="16">
        <v>46158</v>
      </c>
      <c r="D298">
        <v>1968.99</v>
      </c>
    </row>
    <row r="299" spans="1:4" x14ac:dyDescent="0.3">
      <c r="A299" s="62" t="s">
        <v>29</v>
      </c>
      <c r="B299" s="62"/>
      <c r="C299" s="16">
        <v>46158</v>
      </c>
      <c r="D299">
        <v>901.34</v>
      </c>
    </row>
    <row r="300" spans="1:4" x14ac:dyDescent="0.3">
      <c r="A300" s="62" t="s">
        <v>30</v>
      </c>
      <c r="B300" s="62"/>
      <c r="C300" s="16">
        <v>46158</v>
      </c>
      <c r="D300">
        <v>1444.08</v>
      </c>
    </row>
    <row r="301" spans="1:4" x14ac:dyDescent="0.3">
      <c r="A301" s="62" t="s">
        <v>31</v>
      </c>
      <c r="B301" s="62"/>
      <c r="C301" s="16">
        <v>46158</v>
      </c>
      <c r="D301">
        <v>18242.599999999962</v>
      </c>
    </row>
    <row r="302" spans="1:4" x14ac:dyDescent="0.3">
      <c r="A302" s="62" t="s">
        <v>32</v>
      </c>
      <c r="B302" s="62"/>
      <c r="C302" s="16">
        <v>46158</v>
      </c>
      <c r="D302">
        <v>15120.060000000001</v>
      </c>
    </row>
    <row r="303" spans="1:4" x14ac:dyDescent="0.3">
      <c r="A303" s="62" t="s">
        <v>33</v>
      </c>
      <c r="B303" s="62"/>
      <c r="C303" s="16">
        <v>46158</v>
      </c>
      <c r="D303">
        <v>27011.27</v>
      </c>
    </row>
    <row r="304" spans="1:4" x14ac:dyDescent="0.3">
      <c r="A304" s="62" t="s">
        <v>34</v>
      </c>
      <c r="B304" s="62"/>
      <c r="C304" s="16">
        <v>46158</v>
      </c>
      <c r="D304">
        <v>345</v>
      </c>
    </row>
    <row r="305" spans="1:4" x14ac:dyDescent="0.3">
      <c r="A305" s="62" t="s">
        <v>35</v>
      </c>
      <c r="B305" s="62"/>
      <c r="C305" s="16">
        <v>46158</v>
      </c>
      <c r="D305">
        <v>14176.59</v>
      </c>
    </row>
    <row r="306" spans="1:4" x14ac:dyDescent="0.3">
      <c r="A306" s="62" t="s">
        <v>17</v>
      </c>
      <c r="B306" s="62"/>
      <c r="C306" s="16">
        <v>46159</v>
      </c>
      <c r="D306">
        <v>165752.81000000023</v>
      </c>
    </row>
    <row r="307" spans="1:4" x14ac:dyDescent="0.3">
      <c r="A307" s="62" t="s">
        <v>18</v>
      </c>
      <c r="B307" s="62"/>
      <c r="C307" s="16">
        <v>46159</v>
      </c>
      <c r="D307">
        <v>59760.159999999938</v>
      </c>
    </row>
    <row r="308" spans="1:4" x14ac:dyDescent="0.3">
      <c r="A308" s="62" t="s">
        <v>19</v>
      </c>
      <c r="B308" s="62"/>
      <c r="C308" s="16">
        <v>46159</v>
      </c>
      <c r="D308">
        <v>1669.89</v>
      </c>
    </row>
    <row r="309" spans="1:4" x14ac:dyDescent="0.3">
      <c r="A309" s="62" t="s">
        <v>20</v>
      </c>
      <c r="B309" s="62"/>
      <c r="C309" s="16">
        <v>46159</v>
      </c>
      <c r="D309">
        <v>832076.20999999985</v>
      </c>
    </row>
    <row r="310" spans="1:4" x14ac:dyDescent="0.3">
      <c r="A310" s="62" t="s">
        <v>21</v>
      </c>
      <c r="B310" s="62"/>
      <c r="C310" s="16">
        <v>46159</v>
      </c>
      <c r="D310">
        <v>952163.77999999933</v>
      </c>
    </row>
    <row r="311" spans="1:4" x14ac:dyDescent="0.3">
      <c r="A311" s="62" t="s">
        <v>22</v>
      </c>
      <c r="B311" s="62"/>
      <c r="C311" s="16">
        <v>46159</v>
      </c>
      <c r="D311">
        <v>121511.38</v>
      </c>
    </row>
    <row r="312" spans="1:4" x14ac:dyDescent="0.3">
      <c r="A312" s="62" t="s">
        <v>23</v>
      </c>
      <c r="B312" s="62"/>
      <c r="C312" s="16">
        <v>46159</v>
      </c>
      <c r="D312">
        <v>13090.369999999997</v>
      </c>
    </row>
    <row r="313" spans="1:4" x14ac:dyDescent="0.3">
      <c r="A313" s="62" t="s">
        <v>24</v>
      </c>
      <c r="B313" s="62"/>
      <c r="C313" s="16">
        <v>46159</v>
      </c>
      <c r="D313">
        <v>2498.3999999999996</v>
      </c>
    </row>
    <row r="314" spans="1:4" x14ac:dyDescent="0.3">
      <c r="A314" s="62" t="s">
        <v>25</v>
      </c>
      <c r="B314" s="62"/>
      <c r="C314" s="16">
        <v>46159</v>
      </c>
      <c r="D314">
        <v>114.3</v>
      </c>
    </row>
    <row r="315" spans="1:4" x14ac:dyDescent="0.3">
      <c r="A315" s="62" t="s">
        <v>26</v>
      </c>
      <c r="B315" s="62"/>
      <c r="C315" s="16">
        <v>46159</v>
      </c>
      <c r="D315">
        <v>2267.7200000000003</v>
      </c>
    </row>
    <row r="316" spans="1:4" x14ac:dyDescent="0.3">
      <c r="A316" s="62" t="s">
        <v>27</v>
      </c>
      <c r="B316" s="62"/>
      <c r="C316" s="16">
        <v>46159</v>
      </c>
      <c r="D316">
        <v>3349.94</v>
      </c>
    </row>
    <row r="317" spans="1:4" x14ac:dyDescent="0.3">
      <c r="A317" s="62" t="s">
        <v>28</v>
      </c>
      <c r="B317" s="62"/>
      <c r="C317" s="16">
        <v>46159</v>
      </c>
      <c r="D317">
        <v>1968.99</v>
      </c>
    </row>
    <row r="318" spans="1:4" x14ac:dyDescent="0.3">
      <c r="A318" s="62" t="s">
        <v>29</v>
      </c>
      <c r="B318" s="62"/>
      <c r="C318" s="16">
        <v>46159</v>
      </c>
      <c r="D318">
        <v>901.34</v>
      </c>
    </row>
    <row r="319" spans="1:4" x14ac:dyDescent="0.3">
      <c r="A319" s="62" t="s">
        <v>30</v>
      </c>
      <c r="B319" s="62"/>
      <c r="C319" s="16">
        <v>46159</v>
      </c>
      <c r="D319">
        <v>1444.08</v>
      </c>
    </row>
    <row r="320" spans="1:4" x14ac:dyDescent="0.3">
      <c r="A320" s="62" t="s">
        <v>31</v>
      </c>
      <c r="B320" s="62"/>
      <c r="C320" s="16">
        <v>46159</v>
      </c>
      <c r="D320">
        <v>18242.599999999962</v>
      </c>
    </row>
    <row r="321" spans="1:4" x14ac:dyDescent="0.3">
      <c r="A321" s="62" t="s">
        <v>32</v>
      </c>
      <c r="B321" s="62"/>
      <c r="C321" s="16">
        <v>46159</v>
      </c>
      <c r="D321">
        <v>15120.060000000001</v>
      </c>
    </row>
    <row r="322" spans="1:4" x14ac:dyDescent="0.3">
      <c r="A322" s="62" t="s">
        <v>33</v>
      </c>
      <c r="B322" s="62"/>
      <c r="C322" s="16">
        <v>46159</v>
      </c>
      <c r="D322">
        <v>27011.27</v>
      </c>
    </row>
    <row r="323" spans="1:4" x14ac:dyDescent="0.3">
      <c r="A323" s="62" t="s">
        <v>34</v>
      </c>
      <c r="B323" s="62"/>
      <c r="C323" s="16">
        <v>46159</v>
      </c>
      <c r="D323">
        <v>345</v>
      </c>
    </row>
    <row r="324" spans="1:4" x14ac:dyDescent="0.3">
      <c r="A324" s="62" t="s">
        <v>35</v>
      </c>
      <c r="B324" s="62"/>
      <c r="C324" s="16">
        <v>46159</v>
      </c>
      <c r="D324">
        <v>14176.59</v>
      </c>
    </row>
    <row r="325" spans="1:4" x14ac:dyDescent="0.3">
      <c r="A325" s="62" t="s">
        <v>17</v>
      </c>
      <c r="B325" s="62"/>
      <c r="C325" s="16">
        <v>46160</v>
      </c>
      <c r="D325">
        <v>165752.81000000023</v>
      </c>
    </row>
    <row r="326" spans="1:4" x14ac:dyDescent="0.3">
      <c r="A326" s="62" t="s">
        <v>18</v>
      </c>
      <c r="B326" s="62"/>
      <c r="C326" s="16">
        <v>46160</v>
      </c>
      <c r="D326">
        <v>59760.159999999938</v>
      </c>
    </row>
    <row r="327" spans="1:4" x14ac:dyDescent="0.3">
      <c r="A327" s="62" t="s">
        <v>19</v>
      </c>
      <c r="B327" s="62"/>
      <c r="C327" s="16">
        <v>46160</v>
      </c>
      <c r="D327">
        <v>1669.89</v>
      </c>
    </row>
    <row r="328" spans="1:4" x14ac:dyDescent="0.3">
      <c r="A328" s="62" t="s">
        <v>20</v>
      </c>
      <c r="B328" s="62"/>
      <c r="C328" s="16">
        <v>46160</v>
      </c>
      <c r="D328">
        <v>832076.20999999985</v>
      </c>
    </row>
    <row r="329" spans="1:4" x14ac:dyDescent="0.3">
      <c r="A329" s="62" t="s">
        <v>21</v>
      </c>
      <c r="B329" s="62"/>
      <c r="C329" s="16">
        <v>46160</v>
      </c>
      <c r="D329">
        <v>928713.30999999924</v>
      </c>
    </row>
    <row r="330" spans="1:4" x14ac:dyDescent="0.3">
      <c r="A330" s="62" t="s">
        <v>22</v>
      </c>
      <c r="B330" s="62"/>
      <c r="C330" s="16">
        <v>46160</v>
      </c>
      <c r="D330">
        <v>121511.38</v>
      </c>
    </row>
    <row r="331" spans="1:4" x14ac:dyDescent="0.3">
      <c r="A331" s="62" t="s">
        <v>23</v>
      </c>
      <c r="B331" s="62"/>
      <c r="C331" s="16">
        <v>46160</v>
      </c>
      <c r="D331">
        <v>13090.369999999997</v>
      </c>
    </row>
    <row r="332" spans="1:4" x14ac:dyDescent="0.3">
      <c r="A332" s="62" t="s">
        <v>24</v>
      </c>
      <c r="B332" s="62"/>
      <c r="C332" s="16">
        <v>46160</v>
      </c>
      <c r="D332">
        <v>2498.3999999999996</v>
      </c>
    </row>
    <row r="333" spans="1:4" x14ac:dyDescent="0.3">
      <c r="A333" s="62" t="s">
        <v>25</v>
      </c>
      <c r="B333" s="62"/>
      <c r="C333" s="16">
        <v>46160</v>
      </c>
      <c r="D333">
        <v>114.3</v>
      </c>
    </row>
    <row r="334" spans="1:4" x14ac:dyDescent="0.3">
      <c r="A334" s="62" t="s">
        <v>26</v>
      </c>
      <c r="B334" s="62"/>
      <c r="C334" s="16">
        <v>46160</v>
      </c>
      <c r="D334">
        <v>2267.7200000000003</v>
      </c>
    </row>
    <row r="335" spans="1:4" x14ac:dyDescent="0.3">
      <c r="A335" s="62" t="s">
        <v>27</v>
      </c>
      <c r="B335" s="62"/>
      <c r="C335" s="16">
        <v>46160</v>
      </c>
      <c r="D335">
        <v>3349.94</v>
      </c>
    </row>
    <row r="336" spans="1:4" x14ac:dyDescent="0.3">
      <c r="A336" s="62" t="s">
        <v>28</v>
      </c>
      <c r="B336" s="62"/>
      <c r="C336" s="16">
        <v>46160</v>
      </c>
      <c r="D336">
        <v>1968.99</v>
      </c>
    </row>
    <row r="337" spans="1:4" x14ac:dyDescent="0.3">
      <c r="A337" s="62" t="s">
        <v>29</v>
      </c>
      <c r="B337" s="62"/>
      <c r="C337" s="16">
        <v>46160</v>
      </c>
      <c r="D337">
        <v>901.34</v>
      </c>
    </row>
    <row r="338" spans="1:4" x14ac:dyDescent="0.3">
      <c r="A338" s="62" t="s">
        <v>30</v>
      </c>
      <c r="B338" s="62"/>
      <c r="C338" s="16">
        <v>46160</v>
      </c>
      <c r="D338">
        <v>1444.08</v>
      </c>
    </row>
    <row r="339" spans="1:4" x14ac:dyDescent="0.3">
      <c r="A339" s="62" t="s">
        <v>31</v>
      </c>
      <c r="B339" s="62"/>
      <c r="C339" s="16">
        <v>46160</v>
      </c>
      <c r="D339">
        <v>15463.59999999996</v>
      </c>
    </row>
    <row r="340" spans="1:4" x14ac:dyDescent="0.3">
      <c r="A340" s="62" t="s">
        <v>32</v>
      </c>
      <c r="B340" s="62"/>
      <c r="C340" s="16">
        <v>46160</v>
      </c>
      <c r="D340">
        <v>15120.060000000001</v>
      </c>
    </row>
    <row r="341" spans="1:4" x14ac:dyDescent="0.3">
      <c r="A341" s="62" t="s">
        <v>33</v>
      </c>
      <c r="B341" s="62"/>
      <c r="C341" s="16">
        <v>46160</v>
      </c>
      <c r="D341">
        <v>27006.27</v>
      </c>
    </row>
    <row r="342" spans="1:4" x14ac:dyDescent="0.3">
      <c r="A342" s="62" t="s">
        <v>34</v>
      </c>
      <c r="B342" s="62"/>
      <c r="C342" s="16">
        <v>46160</v>
      </c>
      <c r="D342">
        <v>345</v>
      </c>
    </row>
    <row r="343" spans="1:4" x14ac:dyDescent="0.3">
      <c r="A343" s="62" t="s">
        <v>35</v>
      </c>
      <c r="B343" s="62"/>
      <c r="C343" s="16">
        <v>46160</v>
      </c>
      <c r="D343">
        <v>13941.210000000001</v>
      </c>
    </row>
    <row r="344" spans="1:4" x14ac:dyDescent="0.3">
      <c r="A344" s="62" t="s">
        <v>17</v>
      </c>
      <c r="B344" s="62"/>
      <c r="C344" s="16">
        <v>46161</v>
      </c>
      <c r="D344">
        <v>815752.81000000029</v>
      </c>
    </row>
    <row r="345" spans="1:4" x14ac:dyDescent="0.3">
      <c r="A345" s="62" t="s">
        <v>18</v>
      </c>
      <c r="B345" s="62"/>
      <c r="C345" s="16">
        <v>46161</v>
      </c>
      <c r="D345">
        <v>59760.159999999938</v>
      </c>
    </row>
    <row r="346" spans="1:4" x14ac:dyDescent="0.3">
      <c r="A346" s="62" t="s">
        <v>19</v>
      </c>
      <c r="B346" s="62"/>
      <c r="C346" s="16">
        <v>46161</v>
      </c>
      <c r="D346">
        <v>1669.89</v>
      </c>
    </row>
    <row r="347" spans="1:4" x14ac:dyDescent="0.3">
      <c r="A347" s="62" t="s">
        <v>20</v>
      </c>
      <c r="B347" s="62"/>
      <c r="C347" s="16">
        <v>46161</v>
      </c>
      <c r="D347">
        <v>832076.20999999985</v>
      </c>
    </row>
    <row r="348" spans="1:4" x14ac:dyDescent="0.3">
      <c r="A348" s="62" t="s">
        <v>21</v>
      </c>
      <c r="B348" s="62"/>
      <c r="C348" s="16">
        <v>46161</v>
      </c>
      <c r="D348">
        <v>925592.77999999933</v>
      </c>
    </row>
    <row r="349" spans="1:4" x14ac:dyDescent="0.3">
      <c r="A349" s="62" t="s">
        <v>22</v>
      </c>
      <c r="B349" s="62"/>
      <c r="C349" s="16">
        <v>46161</v>
      </c>
      <c r="D349">
        <v>91511.38</v>
      </c>
    </row>
    <row r="350" spans="1:4" x14ac:dyDescent="0.3">
      <c r="A350" s="62" t="s">
        <v>23</v>
      </c>
      <c r="B350" s="62"/>
      <c r="C350" s="16">
        <v>46161</v>
      </c>
      <c r="D350">
        <v>13090.369999999997</v>
      </c>
    </row>
    <row r="351" spans="1:4" x14ac:dyDescent="0.3">
      <c r="A351" s="62" t="s">
        <v>24</v>
      </c>
      <c r="B351" s="62"/>
      <c r="C351" s="16">
        <v>46161</v>
      </c>
      <c r="D351">
        <v>2498.3999999999996</v>
      </c>
    </row>
    <row r="352" spans="1:4" x14ac:dyDescent="0.3">
      <c r="A352" s="62" t="s">
        <v>25</v>
      </c>
      <c r="B352" s="62"/>
      <c r="C352" s="16">
        <v>46161</v>
      </c>
      <c r="D352">
        <v>114.3</v>
      </c>
    </row>
    <row r="353" spans="1:4" x14ac:dyDescent="0.3">
      <c r="A353" s="62" t="s">
        <v>26</v>
      </c>
      <c r="B353" s="62"/>
      <c r="C353" s="16">
        <v>46161</v>
      </c>
      <c r="D353">
        <v>2267.7200000000003</v>
      </c>
    </row>
    <row r="354" spans="1:4" x14ac:dyDescent="0.3">
      <c r="A354" s="62" t="s">
        <v>27</v>
      </c>
      <c r="B354" s="62"/>
      <c r="C354" s="16">
        <v>46161</v>
      </c>
      <c r="D354">
        <v>3349.94</v>
      </c>
    </row>
    <row r="355" spans="1:4" x14ac:dyDescent="0.3">
      <c r="A355" s="62" t="s">
        <v>28</v>
      </c>
      <c r="B355" s="62"/>
      <c r="C355" s="16">
        <v>46161</v>
      </c>
      <c r="D355">
        <v>1968.99</v>
      </c>
    </row>
    <row r="356" spans="1:4" x14ac:dyDescent="0.3">
      <c r="A356" s="62" t="s">
        <v>29</v>
      </c>
      <c r="B356" s="62"/>
      <c r="C356" s="16">
        <v>46161</v>
      </c>
      <c r="D356">
        <v>901.34</v>
      </c>
    </row>
    <row r="357" spans="1:4" x14ac:dyDescent="0.3">
      <c r="A357" s="62" t="s">
        <v>30</v>
      </c>
      <c r="B357" s="62"/>
      <c r="C357" s="16">
        <v>46161</v>
      </c>
      <c r="D357">
        <v>1444.08</v>
      </c>
    </row>
    <row r="358" spans="1:4" x14ac:dyDescent="0.3">
      <c r="A358" s="62" t="s">
        <v>31</v>
      </c>
      <c r="B358" s="62"/>
      <c r="C358" s="16">
        <v>46161</v>
      </c>
      <c r="D358">
        <v>15463.59999999996</v>
      </c>
    </row>
    <row r="359" spans="1:4" x14ac:dyDescent="0.3">
      <c r="A359" s="62" t="s">
        <v>32</v>
      </c>
      <c r="B359" s="62"/>
      <c r="C359" s="16">
        <v>46161</v>
      </c>
      <c r="D359">
        <v>15120.060000000001</v>
      </c>
    </row>
    <row r="360" spans="1:4" x14ac:dyDescent="0.3">
      <c r="A360" s="62" t="s">
        <v>33</v>
      </c>
      <c r="B360" s="62"/>
      <c r="C360" s="16">
        <v>46161</v>
      </c>
      <c r="D360">
        <v>27006.27</v>
      </c>
    </row>
    <row r="361" spans="1:4" x14ac:dyDescent="0.3">
      <c r="A361" s="62" t="s">
        <v>34</v>
      </c>
      <c r="B361" s="62"/>
      <c r="C361" s="16">
        <v>46161</v>
      </c>
      <c r="D361">
        <v>345</v>
      </c>
    </row>
    <row r="362" spans="1:4" x14ac:dyDescent="0.3">
      <c r="A362" s="62" t="s">
        <v>35</v>
      </c>
      <c r="B362" s="62"/>
      <c r="C362" s="16">
        <v>46161</v>
      </c>
      <c r="D362">
        <v>18941.21</v>
      </c>
    </row>
    <row r="363" spans="1:4" x14ac:dyDescent="0.3">
      <c r="A363" s="62" t="s">
        <v>17</v>
      </c>
      <c r="B363" s="62"/>
      <c r="C363" s="16">
        <v>46162</v>
      </c>
      <c r="D363">
        <v>142321.80000000013</v>
      </c>
    </row>
    <row r="364" spans="1:4" x14ac:dyDescent="0.3">
      <c r="A364" s="62" t="s">
        <v>18</v>
      </c>
      <c r="B364" s="62"/>
      <c r="C364" s="16">
        <v>46162</v>
      </c>
      <c r="D364">
        <v>59760.159999999938</v>
      </c>
    </row>
    <row r="365" spans="1:4" x14ac:dyDescent="0.3">
      <c r="A365" s="62" t="s">
        <v>19</v>
      </c>
      <c r="B365" s="62"/>
      <c r="C365" s="16">
        <v>46162</v>
      </c>
      <c r="D365">
        <v>1669.89</v>
      </c>
    </row>
    <row r="366" spans="1:4" x14ac:dyDescent="0.3">
      <c r="A366" s="62" t="s">
        <v>20</v>
      </c>
      <c r="B366" s="62"/>
      <c r="C366" s="16">
        <v>46162</v>
      </c>
      <c r="D366">
        <v>832076.20999999985</v>
      </c>
    </row>
    <row r="367" spans="1:4" x14ac:dyDescent="0.3">
      <c r="A367" s="62" t="s">
        <v>21</v>
      </c>
      <c r="B367" s="62"/>
      <c r="C367" s="16">
        <v>46162</v>
      </c>
      <c r="D367">
        <v>981189.87999999931</v>
      </c>
    </row>
    <row r="368" spans="1:4" x14ac:dyDescent="0.3">
      <c r="A368" s="62" t="s">
        <v>22</v>
      </c>
      <c r="B368" s="62"/>
      <c r="C368" s="16">
        <v>46162</v>
      </c>
      <c r="D368">
        <v>141496.38</v>
      </c>
    </row>
    <row r="369" spans="1:4" x14ac:dyDescent="0.3">
      <c r="A369" s="62" t="s">
        <v>23</v>
      </c>
      <c r="B369" s="62"/>
      <c r="C369" s="16">
        <v>46162</v>
      </c>
      <c r="D369">
        <v>13090.369999999997</v>
      </c>
    </row>
    <row r="370" spans="1:4" x14ac:dyDescent="0.3">
      <c r="A370" s="62" t="s">
        <v>24</v>
      </c>
      <c r="B370" s="62"/>
      <c r="C370" s="16">
        <v>46162</v>
      </c>
      <c r="D370">
        <v>2498.3999999999996</v>
      </c>
    </row>
    <row r="371" spans="1:4" x14ac:dyDescent="0.3">
      <c r="A371" s="62" t="s">
        <v>25</v>
      </c>
      <c r="B371" s="62"/>
      <c r="C371" s="16">
        <v>46162</v>
      </c>
      <c r="D371">
        <v>114.3</v>
      </c>
    </row>
    <row r="372" spans="1:4" x14ac:dyDescent="0.3">
      <c r="A372" s="62" t="s">
        <v>26</v>
      </c>
      <c r="B372" s="62"/>
      <c r="C372" s="16">
        <v>46162</v>
      </c>
      <c r="D372">
        <v>2267.7200000000003</v>
      </c>
    </row>
    <row r="373" spans="1:4" x14ac:dyDescent="0.3">
      <c r="A373" s="62" t="s">
        <v>27</v>
      </c>
      <c r="B373" s="62"/>
      <c r="C373" s="16">
        <v>46162</v>
      </c>
      <c r="D373">
        <v>3349.94</v>
      </c>
    </row>
    <row r="374" spans="1:4" x14ac:dyDescent="0.3">
      <c r="A374" s="62" t="s">
        <v>28</v>
      </c>
      <c r="B374" s="62"/>
      <c r="C374" s="16">
        <v>46162</v>
      </c>
      <c r="D374">
        <v>1968.99</v>
      </c>
    </row>
    <row r="375" spans="1:4" x14ac:dyDescent="0.3">
      <c r="A375" s="62" t="s">
        <v>29</v>
      </c>
      <c r="B375" s="62"/>
      <c r="C375" s="16">
        <v>46162</v>
      </c>
      <c r="D375">
        <v>901.34</v>
      </c>
    </row>
    <row r="376" spans="1:4" x14ac:dyDescent="0.3">
      <c r="A376" s="62" t="s">
        <v>30</v>
      </c>
      <c r="B376" s="62"/>
      <c r="C376" s="16">
        <v>46162</v>
      </c>
      <c r="D376">
        <v>1444.08</v>
      </c>
    </row>
    <row r="377" spans="1:4" x14ac:dyDescent="0.3">
      <c r="A377" s="62" t="s">
        <v>31</v>
      </c>
      <c r="B377" s="62"/>
      <c r="C377" s="16">
        <v>46162</v>
      </c>
      <c r="D377">
        <v>15463.59999999996</v>
      </c>
    </row>
    <row r="378" spans="1:4" x14ac:dyDescent="0.3">
      <c r="A378" s="62" t="s">
        <v>32</v>
      </c>
      <c r="B378" s="62"/>
      <c r="C378" s="16">
        <v>46162</v>
      </c>
      <c r="D378">
        <v>15120.060000000001</v>
      </c>
    </row>
    <row r="379" spans="1:4" x14ac:dyDescent="0.3">
      <c r="A379" s="62" t="s">
        <v>33</v>
      </c>
      <c r="B379" s="62"/>
      <c r="C379" s="16">
        <v>46162</v>
      </c>
      <c r="D379">
        <v>29206.27</v>
      </c>
    </row>
    <row r="380" spans="1:4" x14ac:dyDescent="0.3">
      <c r="A380" s="62" t="s">
        <v>34</v>
      </c>
      <c r="B380" s="62"/>
      <c r="C380" s="16">
        <v>46162</v>
      </c>
      <c r="D380">
        <v>345</v>
      </c>
    </row>
    <row r="381" spans="1:4" x14ac:dyDescent="0.3">
      <c r="A381" s="62" t="s">
        <v>35</v>
      </c>
      <c r="B381" s="62"/>
      <c r="C381" s="16">
        <v>46162</v>
      </c>
      <c r="D381">
        <v>8168.0700000000006</v>
      </c>
    </row>
    <row r="382" spans="1:4" x14ac:dyDescent="0.3">
      <c r="A382" s="62" t="s">
        <v>17</v>
      </c>
      <c r="B382" s="62"/>
      <c r="C382" s="16">
        <v>46163</v>
      </c>
      <c r="D382">
        <v>142321.80000000013</v>
      </c>
    </row>
    <row r="383" spans="1:4" x14ac:dyDescent="0.3">
      <c r="A383" s="62" t="s">
        <v>18</v>
      </c>
      <c r="B383" s="62"/>
      <c r="C383" s="16">
        <v>46163</v>
      </c>
      <c r="D383">
        <v>659760.15999999992</v>
      </c>
    </row>
    <row r="384" spans="1:4" x14ac:dyDescent="0.3">
      <c r="A384" s="62" t="s">
        <v>19</v>
      </c>
      <c r="B384" s="62"/>
      <c r="C384" s="16">
        <v>46163</v>
      </c>
      <c r="D384">
        <v>1669.89</v>
      </c>
    </row>
    <row r="385" spans="1:4" x14ac:dyDescent="0.3">
      <c r="A385" s="62" t="s">
        <v>20</v>
      </c>
      <c r="B385" s="62"/>
      <c r="C385" s="16">
        <v>46163</v>
      </c>
      <c r="D385">
        <v>497076.20999999985</v>
      </c>
    </row>
    <row r="386" spans="1:4" x14ac:dyDescent="0.3">
      <c r="A386" s="62" t="s">
        <v>21</v>
      </c>
      <c r="B386" s="62"/>
      <c r="C386" s="16">
        <v>46163</v>
      </c>
      <c r="D386">
        <v>981189.87999999931</v>
      </c>
    </row>
    <row r="387" spans="1:4" x14ac:dyDescent="0.3">
      <c r="A387" s="62" t="s">
        <v>22</v>
      </c>
      <c r="B387" s="62"/>
      <c r="C387" s="16">
        <v>46163</v>
      </c>
      <c r="D387">
        <v>141496.38</v>
      </c>
    </row>
    <row r="388" spans="1:4" x14ac:dyDescent="0.3">
      <c r="A388" s="62" t="s">
        <v>23</v>
      </c>
      <c r="B388" s="62"/>
      <c r="C388" s="16">
        <v>46163</v>
      </c>
      <c r="D388">
        <v>88090.37</v>
      </c>
    </row>
    <row r="389" spans="1:4" x14ac:dyDescent="0.3">
      <c r="A389" s="62" t="s">
        <v>24</v>
      </c>
      <c r="B389" s="62"/>
      <c r="C389" s="16">
        <v>46163</v>
      </c>
      <c r="D389">
        <v>2498.3999999999996</v>
      </c>
    </row>
    <row r="390" spans="1:4" x14ac:dyDescent="0.3">
      <c r="A390" s="62" t="s">
        <v>25</v>
      </c>
      <c r="B390" s="62"/>
      <c r="C390" s="16">
        <v>46163</v>
      </c>
      <c r="D390">
        <v>114.3</v>
      </c>
    </row>
    <row r="391" spans="1:4" x14ac:dyDescent="0.3">
      <c r="A391" s="62" t="s">
        <v>26</v>
      </c>
      <c r="B391" s="62"/>
      <c r="C391" s="16">
        <v>46163</v>
      </c>
      <c r="D391">
        <v>2267.7200000000003</v>
      </c>
    </row>
    <row r="392" spans="1:4" x14ac:dyDescent="0.3">
      <c r="A392" s="62" t="s">
        <v>27</v>
      </c>
      <c r="B392" s="62"/>
      <c r="C392" s="16">
        <v>46163</v>
      </c>
      <c r="D392">
        <v>3349.94</v>
      </c>
    </row>
    <row r="393" spans="1:4" x14ac:dyDescent="0.3">
      <c r="A393" s="62" t="s">
        <v>28</v>
      </c>
      <c r="B393" s="62"/>
      <c r="C393" s="16">
        <v>46163</v>
      </c>
      <c r="D393">
        <v>1968.99</v>
      </c>
    </row>
    <row r="394" spans="1:4" x14ac:dyDescent="0.3">
      <c r="A394" s="62" t="s">
        <v>29</v>
      </c>
      <c r="B394" s="62"/>
      <c r="C394" s="16">
        <v>46163</v>
      </c>
      <c r="D394">
        <v>901.34</v>
      </c>
    </row>
    <row r="395" spans="1:4" x14ac:dyDescent="0.3">
      <c r="A395" s="62" t="s">
        <v>30</v>
      </c>
      <c r="B395" s="62"/>
      <c r="C395" s="16">
        <v>46163</v>
      </c>
      <c r="D395">
        <v>1444.08</v>
      </c>
    </row>
    <row r="396" spans="1:4" x14ac:dyDescent="0.3">
      <c r="A396" s="62" t="s">
        <v>31</v>
      </c>
      <c r="B396" s="62"/>
      <c r="C396" s="16">
        <v>46163</v>
      </c>
      <c r="D396">
        <v>15463.59999999996</v>
      </c>
    </row>
    <row r="397" spans="1:4" x14ac:dyDescent="0.3">
      <c r="A397" s="62" t="s">
        <v>32</v>
      </c>
      <c r="B397" s="62"/>
      <c r="C397" s="16">
        <v>46163</v>
      </c>
      <c r="D397">
        <v>15120.060000000001</v>
      </c>
    </row>
    <row r="398" spans="1:4" x14ac:dyDescent="0.3">
      <c r="A398" s="62" t="s">
        <v>33</v>
      </c>
      <c r="B398" s="62"/>
      <c r="C398" s="16">
        <v>46163</v>
      </c>
      <c r="D398">
        <v>29206.27</v>
      </c>
    </row>
    <row r="399" spans="1:4" x14ac:dyDescent="0.3">
      <c r="A399" s="62" t="s">
        <v>34</v>
      </c>
      <c r="B399" s="62"/>
      <c r="C399" s="16">
        <v>46163</v>
      </c>
      <c r="D399">
        <v>345</v>
      </c>
    </row>
    <row r="400" spans="1:4" x14ac:dyDescent="0.3">
      <c r="A400" s="62" t="s">
        <v>35</v>
      </c>
      <c r="B400" s="62"/>
      <c r="C400" s="16">
        <v>46163</v>
      </c>
      <c r="D400">
        <v>8168.0700000000006</v>
      </c>
    </row>
    <row r="401" spans="1:4" x14ac:dyDescent="0.3">
      <c r="A401" s="62" t="s">
        <v>17</v>
      </c>
      <c r="B401" s="62"/>
      <c r="C401" s="16">
        <v>46164</v>
      </c>
      <c r="D401">
        <v>142321.80000000013</v>
      </c>
    </row>
    <row r="402" spans="1:4" x14ac:dyDescent="0.3">
      <c r="A402" s="62" t="s">
        <v>18</v>
      </c>
      <c r="B402" s="62"/>
      <c r="C402" s="16">
        <v>46164</v>
      </c>
      <c r="D402">
        <v>659760.15999999992</v>
      </c>
    </row>
    <row r="403" spans="1:4" x14ac:dyDescent="0.3">
      <c r="A403" s="62" t="s">
        <v>19</v>
      </c>
      <c r="B403" s="62"/>
      <c r="C403" s="16">
        <v>46164</v>
      </c>
      <c r="D403">
        <v>1669.89</v>
      </c>
    </row>
    <row r="404" spans="1:4" x14ac:dyDescent="0.3">
      <c r="A404" s="62" t="s">
        <v>20</v>
      </c>
      <c r="B404" s="62"/>
      <c r="C404" s="16">
        <v>46164</v>
      </c>
      <c r="D404">
        <v>497076.20999999985</v>
      </c>
    </row>
    <row r="405" spans="1:4" x14ac:dyDescent="0.3">
      <c r="A405" s="62" t="s">
        <v>21</v>
      </c>
      <c r="B405" s="62"/>
      <c r="C405" s="16">
        <v>46164</v>
      </c>
      <c r="D405">
        <v>980426.88999999932</v>
      </c>
    </row>
    <row r="406" spans="1:4" x14ac:dyDescent="0.3">
      <c r="A406" s="62" t="s">
        <v>22</v>
      </c>
      <c r="B406" s="62"/>
      <c r="C406" s="16">
        <v>46164</v>
      </c>
      <c r="D406">
        <v>141496.38</v>
      </c>
    </row>
    <row r="407" spans="1:4" x14ac:dyDescent="0.3">
      <c r="A407" s="62" t="s">
        <v>23</v>
      </c>
      <c r="B407" s="62"/>
      <c r="C407" s="16">
        <v>46164</v>
      </c>
      <c r="D407">
        <v>88090.37</v>
      </c>
    </row>
    <row r="408" spans="1:4" x14ac:dyDescent="0.3">
      <c r="A408" s="62" t="s">
        <v>24</v>
      </c>
      <c r="B408" s="62"/>
      <c r="C408" s="16">
        <v>46164</v>
      </c>
      <c r="D408">
        <v>2498.3999999999996</v>
      </c>
    </row>
    <row r="409" spans="1:4" x14ac:dyDescent="0.3">
      <c r="A409" s="62" t="s">
        <v>25</v>
      </c>
      <c r="B409" s="62"/>
      <c r="C409" s="16">
        <v>46164</v>
      </c>
      <c r="D409">
        <v>114.3</v>
      </c>
    </row>
    <row r="410" spans="1:4" x14ac:dyDescent="0.3">
      <c r="A410" s="62" t="s">
        <v>26</v>
      </c>
      <c r="B410" s="62"/>
      <c r="C410" s="16">
        <v>46164</v>
      </c>
      <c r="D410">
        <v>2267.7200000000003</v>
      </c>
    </row>
    <row r="411" spans="1:4" x14ac:dyDescent="0.3">
      <c r="A411" s="62" t="s">
        <v>27</v>
      </c>
      <c r="B411" s="62"/>
      <c r="C411" s="16">
        <v>46164</v>
      </c>
      <c r="D411">
        <v>3349.94</v>
      </c>
    </row>
    <row r="412" spans="1:4" x14ac:dyDescent="0.3">
      <c r="A412" s="62" t="s">
        <v>28</v>
      </c>
      <c r="B412" s="62"/>
      <c r="C412" s="16">
        <v>46164</v>
      </c>
      <c r="D412">
        <v>1968.99</v>
      </c>
    </row>
    <row r="413" spans="1:4" x14ac:dyDescent="0.3">
      <c r="A413" s="62" t="s">
        <v>29</v>
      </c>
      <c r="B413" s="62"/>
      <c r="C413" s="16">
        <v>46164</v>
      </c>
      <c r="D413">
        <v>901.34</v>
      </c>
    </row>
    <row r="414" spans="1:4" x14ac:dyDescent="0.3">
      <c r="A414" s="62" t="s">
        <v>30</v>
      </c>
      <c r="B414" s="62"/>
      <c r="C414" s="16">
        <v>46164</v>
      </c>
      <c r="D414">
        <v>1444.08</v>
      </c>
    </row>
    <row r="415" spans="1:4" x14ac:dyDescent="0.3">
      <c r="A415" s="62" t="s">
        <v>31</v>
      </c>
      <c r="B415" s="62"/>
      <c r="C415" s="16">
        <v>46164</v>
      </c>
      <c r="D415">
        <v>15463.59999999996</v>
      </c>
    </row>
    <row r="416" spans="1:4" x14ac:dyDescent="0.3">
      <c r="A416" s="62" t="s">
        <v>32</v>
      </c>
      <c r="B416" s="62"/>
      <c r="C416" s="16">
        <v>46164</v>
      </c>
      <c r="D416">
        <v>15120.060000000001</v>
      </c>
    </row>
    <row r="417" spans="1:4" x14ac:dyDescent="0.3">
      <c r="A417" s="62" t="s">
        <v>33</v>
      </c>
      <c r="B417" s="62"/>
      <c r="C417" s="16">
        <v>46164</v>
      </c>
      <c r="D417">
        <v>29206.27</v>
      </c>
    </row>
    <row r="418" spans="1:4" x14ac:dyDescent="0.3">
      <c r="A418" s="62" t="s">
        <v>34</v>
      </c>
      <c r="B418" s="62"/>
      <c r="C418" s="16">
        <v>46164</v>
      </c>
      <c r="D418">
        <v>345</v>
      </c>
    </row>
    <row r="419" spans="1:4" x14ac:dyDescent="0.3">
      <c r="A419" s="62" t="s">
        <v>35</v>
      </c>
      <c r="B419" s="62"/>
      <c r="C419" s="16">
        <v>46164</v>
      </c>
      <c r="D419">
        <v>8168.0700000000006</v>
      </c>
    </row>
    <row r="420" spans="1:4" x14ac:dyDescent="0.3">
      <c r="A420" s="62" t="s">
        <v>17</v>
      </c>
      <c r="B420" s="62"/>
      <c r="C420" s="16">
        <v>46165</v>
      </c>
      <c r="D420">
        <v>142321.80000000013</v>
      </c>
    </row>
    <row r="421" spans="1:4" x14ac:dyDescent="0.3">
      <c r="A421" s="62" t="s">
        <v>18</v>
      </c>
      <c r="B421" s="62"/>
      <c r="C421" s="16">
        <v>46165</v>
      </c>
      <c r="D421">
        <v>659760.15999999992</v>
      </c>
    </row>
    <row r="422" spans="1:4" x14ac:dyDescent="0.3">
      <c r="A422" s="62" t="s">
        <v>19</v>
      </c>
      <c r="B422" s="62"/>
      <c r="C422" s="16">
        <v>46165</v>
      </c>
      <c r="D422">
        <v>1669.89</v>
      </c>
    </row>
    <row r="423" spans="1:4" x14ac:dyDescent="0.3">
      <c r="A423" s="62" t="s">
        <v>20</v>
      </c>
      <c r="B423" s="62"/>
      <c r="C423" s="16">
        <v>46165</v>
      </c>
      <c r="D423">
        <v>497076.20999999985</v>
      </c>
    </row>
    <row r="424" spans="1:4" x14ac:dyDescent="0.3">
      <c r="A424" s="62" t="s">
        <v>21</v>
      </c>
      <c r="B424" s="62"/>
      <c r="C424" s="16">
        <v>46165</v>
      </c>
      <c r="D424">
        <v>980426.88999999932</v>
      </c>
    </row>
    <row r="425" spans="1:4" x14ac:dyDescent="0.3">
      <c r="A425" s="62" t="s">
        <v>22</v>
      </c>
      <c r="B425" s="62"/>
      <c r="C425" s="16">
        <v>46165</v>
      </c>
      <c r="D425">
        <v>141496.38</v>
      </c>
    </row>
    <row r="426" spans="1:4" x14ac:dyDescent="0.3">
      <c r="A426" s="62" t="s">
        <v>23</v>
      </c>
      <c r="B426" s="62"/>
      <c r="C426" s="16">
        <v>46165</v>
      </c>
      <c r="D426">
        <v>88090.37</v>
      </c>
    </row>
    <row r="427" spans="1:4" x14ac:dyDescent="0.3">
      <c r="A427" s="62" t="s">
        <v>24</v>
      </c>
      <c r="B427" s="62"/>
      <c r="C427" s="16">
        <v>46165</v>
      </c>
      <c r="D427">
        <v>2498.3999999999996</v>
      </c>
    </row>
    <row r="428" spans="1:4" x14ac:dyDescent="0.3">
      <c r="A428" s="62" t="s">
        <v>25</v>
      </c>
      <c r="B428" s="62"/>
      <c r="C428" s="16">
        <v>46165</v>
      </c>
      <c r="D428">
        <v>114.3</v>
      </c>
    </row>
    <row r="429" spans="1:4" x14ac:dyDescent="0.3">
      <c r="A429" s="62" t="s">
        <v>26</v>
      </c>
      <c r="B429" s="62"/>
      <c r="C429" s="16">
        <v>46165</v>
      </c>
      <c r="D429">
        <v>2267.7200000000003</v>
      </c>
    </row>
    <row r="430" spans="1:4" x14ac:dyDescent="0.3">
      <c r="A430" s="62" t="s">
        <v>27</v>
      </c>
      <c r="B430" s="62"/>
      <c r="C430" s="16">
        <v>46165</v>
      </c>
      <c r="D430">
        <v>3349.94</v>
      </c>
    </row>
    <row r="431" spans="1:4" x14ac:dyDescent="0.3">
      <c r="A431" s="62" t="s">
        <v>28</v>
      </c>
      <c r="B431" s="62"/>
      <c r="C431" s="16">
        <v>46165</v>
      </c>
      <c r="D431">
        <v>1968.99</v>
      </c>
    </row>
    <row r="432" spans="1:4" x14ac:dyDescent="0.3">
      <c r="A432" s="62" t="s">
        <v>29</v>
      </c>
      <c r="B432" s="62"/>
      <c r="C432" s="16">
        <v>46165</v>
      </c>
      <c r="D432">
        <v>901.34</v>
      </c>
    </row>
    <row r="433" spans="1:4" x14ac:dyDescent="0.3">
      <c r="A433" s="62" t="s">
        <v>30</v>
      </c>
      <c r="B433" s="62"/>
      <c r="C433" s="16">
        <v>46165</v>
      </c>
      <c r="D433">
        <v>1444.08</v>
      </c>
    </row>
    <row r="434" spans="1:4" x14ac:dyDescent="0.3">
      <c r="A434" s="62" t="s">
        <v>31</v>
      </c>
      <c r="B434" s="62"/>
      <c r="C434" s="16">
        <v>46165</v>
      </c>
      <c r="D434">
        <v>15463.59999999996</v>
      </c>
    </row>
    <row r="435" spans="1:4" x14ac:dyDescent="0.3">
      <c r="A435" s="62" t="s">
        <v>32</v>
      </c>
      <c r="B435" s="62"/>
      <c r="C435" s="16">
        <v>46165</v>
      </c>
      <c r="D435">
        <v>15120.060000000001</v>
      </c>
    </row>
    <row r="436" spans="1:4" x14ac:dyDescent="0.3">
      <c r="A436" s="62" t="s">
        <v>33</v>
      </c>
      <c r="B436" s="62"/>
      <c r="C436" s="16">
        <v>46165</v>
      </c>
      <c r="D436">
        <v>29206.27</v>
      </c>
    </row>
    <row r="437" spans="1:4" x14ac:dyDescent="0.3">
      <c r="A437" s="62" t="s">
        <v>34</v>
      </c>
      <c r="B437" s="62"/>
      <c r="C437" s="16">
        <v>46165</v>
      </c>
      <c r="D437">
        <v>345</v>
      </c>
    </row>
    <row r="438" spans="1:4" x14ac:dyDescent="0.3">
      <c r="A438" s="62" t="s">
        <v>35</v>
      </c>
      <c r="B438" s="62"/>
      <c r="C438" s="16">
        <v>46165</v>
      </c>
      <c r="D438">
        <v>8168.0700000000006</v>
      </c>
    </row>
    <row r="439" spans="1:4" x14ac:dyDescent="0.3">
      <c r="A439" s="62" t="s">
        <v>17</v>
      </c>
      <c r="B439" s="62"/>
      <c r="C439" s="16">
        <v>46166</v>
      </c>
      <c r="D439">
        <v>142321.80000000013</v>
      </c>
    </row>
    <row r="440" spans="1:4" x14ac:dyDescent="0.3">
      <c r="A440" s="62" t="s">
        <v>18</v>
      </c>
      <c r="B440" s="62"/>
      <c r="C440" s="16">
        <v>46166</v>
      </c>
      <c r="D440">
        <v>659760.15999999992</v>
      </c>
    </row>
    <row r="441" spans="1:4" x14ac:dyDescent="0.3">
      <c r="A441" s="62" t="s">
        <v>19</v>
      </c>
      <c r="B441" s="62"/>
      <c r="C441" s="16">
        <v>46166</v>
      </c>
      <c r="D441">
        <v>1669.89</v>
      </c>
    </row>
    <row r="442" spans="1:4" x14ac:dyDescent="0.3">
      <c r="A442" s="62" t="s">
        <v>20</v>
      </c>
      <c r="B442" s="62"/>
      <c r="C442" s="16">
        <v>46166</v>
      </c>
      <c r="D442">
        <v>497076.20999999985</v>
      </c>
    </row>
    <row r="443" spans="1:4" x14ac:dyDescent="0.3">
      <c r="A443" s="62" t="s">
        <v>21</v>
      </c>
      <c r="B443" s="62"/>
      <c r="C443" s="16">
        <v>46166</v>
      </c>
      <c r="D443">
        <v>980426.88999999932</v>
      </c>
    </row>
    <row r="444" spans="1:4" x14ac:dyDescent="0.3">
      <c r="A444" s="62" t="s">
        <v>22</v>
      </c>
      <c r="B444" s="62"/>
      <c r="C444" s="16">
        <v>46166</v>
      </c>
      <c r="D444">
        <v>141496.38</v>
      </c>
    </row>
    <row r="445" spans="1:4" x14ac:dyDescent="0.3">
      <c r="A445" s="62" t="s">
        <v>23</v>
      </c>
      <c r="B445" s="62"/>
      <c r="C445" s="16">
        <v>46166</v>
      </c>
      <c r="D445">
        <v>88090.37</v>
      </c>
    </row>
    <row r="446" spans="1:4" x14ac:dyDescent="0.3">
      <c r="A446" s="62" t="s">
        <v>24</v>
      </c>
      <c r="B446" s="62"/>
      <c r="C446" s="16">
        <v>46166</v>
      </c>
      <c r="D446">
        <v>2498.3999999999996</v>
      </c>
    </row>
    <row r="447" spans="1:4" x14ac:dyDescent="0.3">
      <c r="A447" s="62" t="s">
        <v>25</v>
      </c>
      <c r="B447" s="62"/>
      <c r="C447" s="16">
        <v>46166</v>
      </c>
      <c r="D447">
        <v>114.3</v>
      </c>
    </row>
    <row r="448" spans="1:4" x14ac:dyDescent="0.3">
      <c r="A448" s="62" t="s">
        <v>26</v>
      </c>
      <c r="B448" s="62"/>
      <c r="C448" s="16">
        <v>46166</v>
      </c>
      <c r="D448">
        <v>2267.7200000000003</v>
      </c>
    </row>
    <row r="449" spans="1:4" x14ac:dyDescent="0.3">
      <c r="A449" s="62" t="s">
        <v>27</v>
      </c>
      <c r="B449" s="62"/>
      <c r="C449" s="16">
        <v>46166</v>
      </c>
      <c r="D449">
        <v>3349.94</v>
      </c>
    </row>
    <row r="450" spans="1:4" x14ac:dyDescent="0.3">
      <c r="A450" s="62" t="s">
        <v>28</v>
      </c>
      <c r="B450" s="62"/>
      <c r="C450" s="16">
        <v>46166</v>
      </c>
      <c r="D450">
        <v>1968.99</v>
      </c>
    </row>
    <row r="451" spans="1:4" x14ac:dyDescent="0.3">
      <c r="A451" s="62" t="s">
        <v>29</v>
      </c>
      <c r="B451" s="62"/>
      <c r="C451" s="16">
        <v>46166</v>
      </c>
      <c r="D451">
        <v>901.34</v>
      </c>
    </row>
    <row r="452" spans="1:4" x14ac:dyDescent="0.3">
      <c r="A452" s="62" t="s">
        <v>30</v>
      </c>
      <c r="B452" s="62"/>
      <c r="C452" s="16">
        <v>46166</v>
      </c>
      <c r="D452">
        <v>1444.08</v>
      </c>
    </row>
    <row r="453" spans="1:4" x14ac:dyDescent="0.3">
      <c r="A453" s="62" t="s">
        <v>31</v>
      </c>
      <c r="B453" s="62"/>
      <c r="C453" s="16">
        <v>46166</v>
      </c>
      <c r="D453">
        <v>15463.59999999996</v>
      </c>
    </row>
    <row r="454" spans="1:4" x14ac:dyDescent="0.3">
      <c r="A454" s="62" t="s">
        <v>32</v>
      </c>
      <c r="B454" s="62"/>
      <c r="C454" s="16">
        <v>46166</v>
      </c>
      <c r="D454">
        <v>15120.060000000001</v>
      </c>
    </row>
    <row r="455" spans="1:4" x14ac:dyDescent="0.3">
      <c r="A455" s="62" t="s">
        <v>33</v>
      </c>
      <c r="B455" s="62"/>
      <c r="C455" s="16">
        <v>46166</v>
      </c>
      <c r="D455">
        <v>29206.27</v>
      </c>
    </row>
    <row r="456" spans="1:4" x14ac:dyDescent="0.3">
      <c r="A456" s="62" t="s">
        <v>34</v>
      </c>
      <c r="B456" s="62"/>
      <c r="C456" s="16">
        <v>46166</v>
      </c>
      <c r="D456">
        <v>345</v>
      </c>
    </row>
    <row r="457" spans="1:4" x14ac:dyDescent="0.3">
      <c r="A457" s="62" t="s">
        <v>35</v>
      </c>
      <c r="B457" s="62"/>
      <c r="C457" s="16">
        <v>46166</v>
      </c>
      <c r="D457">
        <v>8168.0700000000006</v>
      </c>
    </row>
    <row r="458" spans="1:4" x14ac:dyDescent="0.3">
      <c r="A458" s="62" t="s">
        <v>17</v>
      </c>
      <c r="B458" s="62"/>
      <c r="C458" s="16">
        <v>46167</v>
      </c>
      <c r="D458">
        <v>142321.80000000013</v>
      </c>
    </row>
    <row r="459" spans="1:4" x14ac:dyDescent="0.3">
      <c r="A459" s="62" t="s">
        <v>18</v>
      </c>
      <c r="B459" s="62"/>
      <c r="C459" s="16">
        <v>46167</v>
      </c>
      <c r="D459">
        <v>659760.15999999992</v>
      </c>
    </row>
    <row r="460" spans="1:4" x14ac:dyDescent="0.3">
      <c r="A460" s="62" t="s">
        <v>19</v>
      </c>
      <c r="B460" s="62"/>
      <c r="C460" s="16">
        <v>46167</v>
      </c>
      <c r="D460">
        <v>1669.89</v>
      </c>
    </row>
    <row r="461" spans="1:4" x14ac:dyDescent="0.3">
      <c r="A461" s="62" t="s">
        <v>20</v>
      </c>
      <c r="B461" s="62"/>
      <c r="C461" s="16">
        <v>46167</v>
      </c>
      <c r="D461">
        <v>497076.20999999985</v>
      </c>
    </row>
    <row r="462" spans="1:4" x14ac:dyDescent="0.3">
      <c r="A462" s="62" t="s">
        <v>21</v>
      </c>
      <c r="B462" s="62"/>
      <c r="C462" s="16">
        <v>46167</v>
      </c>
      <c r="D462">
        <v>980426.88999999932</v>
      </c>
    </row>
    <row r="463" spans="1:4" x14ac:dyDescent="0.3">
      <c r="A463" s="62" t="s">
        <v>22</v>
      </c>
      <c r="B463" s="62"/>
      <c r="C463" s="16">
        <v>46167</v>
      </c>
      <c r="D463">
        <v>141496.38</v>
      </c>
    </row>
    <row r="464" spans="1:4" x14ac:dyDescent="0.3">
      <c r="A464" s="62" t="s">
        <v>23</v>
      </c>
      <c r="B464" s="62"/>
      <c r="C464" s="16">
        <v>46167</v>
      </c>
      <c r="D464">
        <v>88090.37</v>
      </c>
    </row>
    <row r="465" spans="1:4" x14ac:dyDescent="0.3">
      <c r="A465" s="62" t="s">
        <v>24</v>
      </c>
      <c r="B465" s="62"/>
      <c r="C465" s="16">
        <v>46167</v>
      </c>
      <c r="D465">
        <v>2498.3999999999996</v>
      </c>
    </row>
    <row r="466" spans="1:4" x14ac:dyDescent="0.3">
      <c r="A466" s="62" t="s">
        <v>25</v>
      </c>
      <c r="B466" s="62"/>
      <c r="C466" s="16">
        <v>46167</v>
      </c>
      <c r="D466">
        <v>114.3</v>
      </c>
    </row>
    <row r="467" spans="1:4" x14ac:dyDescent="0.3">
      <c r="A467" s="62" t="s">
        <v>26</v>
      </c>
      <c r="B467" s="62"/>
      <c r="C467" s="16">
        <v>46167</v>
      </c>
      <c r="D467">
        <v>2267.7200000000003</v>
      </c>
    </row>
    <row r="468" spans="1:4" x14ac:dyDescent="0.3">
      <c r="A468" s="62" t="s">
        <v>27</v>
      </c>
      <c r="B468" s="62"/>
      <c r="C468" s="16">
        <v>46167</v>
      </c>
      <c r="D468">
        <v>3349.94</v>
      </c>
    </row>
    <row r="469" spans="1:4" x14ac:dyDescent="0.3">
      <c r="A469" s="62" t="s">
        <v>28</v>
      </c>
      <c r="B469" s="62"/>
      <c r="C469" s="16">
        <v>46167</v>
      </c>
      <c r="D469">
        <v>1968.99</v>
      </c>
    </row>
    <row r="470" spans="1:4" x14ac:dyDescent="0.3">
      <c r="A470" s="62" t="s">
        <v>29</v>
      </c>
      <c r="B470" s="62"/>
      <c r="C470" s="16">
        <v>46167</v>
      </c>
      <c r="D470">
        <v>901.34</v>
      </c>
    </row>
    <row r="471" spans="1:4" x14ac:dyDescent="0.3">
      <c r="A471" s="62" t="s">
        <v>30</v>
      </c>
      <c r="B471" s="62"/>
      <c r="C471" s="16">
        <v>46167</v>
      </c>
      <c r="D471">
        <v>1444.08</v>
      </c>
    </row>
    <row r="472" spans="1:4" x14ac:dyDescent="0.3">
      <c r="A472" s="62" t="s">
        <v>31</v>
      </c>
      <c r="B472" s="62"/>
      <c r="C472" s="16">
        <v>46167</v>
      </c>
      <c r="D472">
        <v>15463.59999999996</v>
      </c>
    </row>
    <row r="473" spans="1:4" x14ac:dyDescent="0.3">
      <c r="A473" s="62" t="s">
        <v>32</v>
      </c>
      <c r="B473" s="62"/>
      <c r="C473" s="16">
        <v>46167</v>
      </c>
      <c r="D473">
        <v>15120.060000000001</v>
      </c>
    </row>
    <row r="474" spans="1:4" x14ac:dyDescent="0.3">
      <c r="A474" s="62" t="s">
        <v>33</v>
      </c>
      <c r="B474" s="62"/>
      <c r="C474" s="16">
        <v>46167</v>
      </c>
      <c r="D474">
        <v>29206.27</v>
      </c>
    </row>
    <row r="475" spans="1:4" x14ac:dyDescent="0.3">
      <c r="A475" s="62" t="s">
        <v>34</v>
      </c>
      <c r="B475" s="62"/>
      <c r="C475" s="16">
        <v>46167</v>
      </c>
      <c r="D475">
        <v>345</v>
      </c>
    </row>
    <row r="476" spans="1:4" x14ac:dyDescent="0.3">
      <c r="A476" s="62" t="s">
        <v>35</v>
      </c>
      <c r="B476" s="62"/>
      <c r="C476" s="16">
        <v>46167</v>
      </c>
      <c r="D476">
        <v>8168.0700000000006</v>
      </c>
    </row>
    <row r="477" spans="1:4" x14ac:dyDescent="0.3">
      <c r="A477" s="62" t="s">
        <v>17</v>
      </c>
      <c r="B477" s="62"/>
      <c r="C477" s="16">
        <v>46168</v>
      </c>
      <c r="D477">
        <v>253154.33000000013</v>
      </c>
    </row>
    <row r="478" spans="1:4" x14ac:dyDescent="0.3">
      <c r="A478" s="62" t="s">
        <v>18</v>
      </c>
      <c r="B478" s="62"/>
      <c r="C478" s="16">
        <v>46168</v>
      </c>
      <c r="D478">
        <v>1259760.1600000001</v>
      </c>
    </row>
    <row r="479" spans="1:4" x14ac:dyDescent="0.3">
      <c r="A479" s="62" t="s">
        <v>19</v>
      </c>
      <c r="B479" s="62"/>
      <c r="C479" s="16">
        <v>46168</v>
      </c>
      <c r="D479">
        <v>1669.89</v>
      </c>
    </row>
    <row r="480" spans="1:4" x14ac:dyDescent="0.3">
      <c r="A480" s="62" t="s">
        <v>20</v>
      </c>
      <c r="B480" s="62"/>
      <c r="C480" s="16">
        <v>46168</v>
      </c>
      <c r="D480">
        <v>497076.20999999985</v>
      </c>
    </row>
    <row r="481" spans="1:4" x14ac:dyDescent="0.3">
      <c r="A481" s="62" t="s">
        <v>21</v>
      </c>
      <c r="B481" s="62"/>
      <c r="C481" s="16">
        <v>46168</v>
      </c>
      <c r="D481">
        <v>980426.88999999932</v>
      </c>
    </row>
    <row r="482" spans="1:4" x14ac:dyDescent="0.3">
      <c r="A482" s="62" t="s">
        <v>22</v>
      </c>
      <c r="B482" s="62"/>
      <c r="C482" s="16">
        <v>46168</v>
      </c>
      <c r="D482">
        <v>141496.38</v>
      </c>
    </row>
    <row r="483" spans="1:4" x14ac:dyDescent="0.3">
      <c r="A483" s="62" t="s">
        <v>23</v>
      </c>
      <c r="B483" s="62"/>
      <c r="C483" s="16">
        <v>46168</v>
      </c>
      <c r="D483">
        <v>88090.37</v>
      </c>
    </row>
    <row r="484" spans="1:4" x14ac:dyDescent="0.3">
      <c r="A484" s="62" t="s">
        <v>24</v>
      </c>
      <c r="B484" s="62"/>
      <c r="C484" s="16">
        <v>46168</v>
      </c>
      <c r="D484">
        <v>2498.3999999999996</v>
      </c>
    </row>
    <row r="485" spans="1:4" x14ac:dyDescent="0.3">
      <c r="A485" s="62" t="s">
        <v>25</v>
      </c>
      <c r="B485" s="62"/>
      <c r="C485" s="16">
        <v>46168</v>
      </c>
      <c r="D485">
        <v>114.3</v>
      </c>
    </row>
    <row r="486" spans="1:4" x14ac:dyDescent="0.3">
      <c r="A486" s="62" t="s">
        <v>26</v>
      </c>
      <c r="B486" s="62"/>
      <c r="C486" s="16">
        <v>46168</v>
      </c>
      <c r="D486">
        <v>2267.7200000000003</v>
      </c>
    </row>
    <row r="487" spans="1:4" x14ac:dyDescent="0.3">
      <c r="A487" s="62" t="s">
        <v>27</v>
      </c>
      <c r="B487" s="62"/>
      <c r="C487" s="16">
        <v>46168</v>
      </c>
      <c r="D487">
        <v>3349.94</v>
      </c>
    </row>
    <row r="488" spans="1:4" x14ac:dyDescent="0.3">
      <c r="A488" s="62" t="s">
        <v>28</v>
      </c>
      <c r="B488" s="62"/>
      <c r="C488" s="16">
        <v>46168</v>
      </c>
      <c r="D488">
        <v>1968.99</v>
      </c>
    </row>
    <row r="489" spans="1:4" x14ac:dyDescent="0.3">
      <c r="A489" s="62" t="s">
        <v>29</v>
      </c>
      <c r="B489" s="62"/>
      <c r="C489" s="16">
        <v>46168</v>
      </c>
      <c r="D489">
        <v>901.34</v>
      </c>
    </row>
    <row r="490" spans="1:4" x14ac:dyDescent="0.3">
      <c r="A490" s="62" t="s">
        <v>30</v>
      </c>
      <c r="B490" s="62"/>
      <c r="C490" s="16">
        <v>46168</v>
      </c>
      <c r="D490">
        <v>1444.08</v>
      </c>
    </row>
    <row r="491" spans="1:4" x14ac:dyDescent="0.3">
      <c r="A491" s="62" t="s">
        <v>31</v>
      </c>
      <c r="B491" s="62"/>
      <c r="C491" s="16">
        <v>46168</v>
      </c>
      <c r="D491">
        <v>15463.59999999996</v>
      </c>
    </row>
    <row r="492" spans="1:4" x14ac:dyDescent="0.3">
      <c r="A492" s="62" t="s">
        <v>32</v>
      </c>
      <c r="B492" s="62"/>
      <c r="C492" s="16">
        <v>46168</v>
      </c>
      <c r="D492">
        <v>15120.060000000001</v>
      </c>
    </row>
    <row r="493" spans="1:4" x14ac:dyDescent="0.3">
      <c r="A493" s="62" t="s">
        <v>33</v>
      </c>
      <c r="B493" s="62"/>
      <c r="C493" s="16">
        <v>46168</v>
      </c>
      <c r="D493">
        <v>29206.27</v>
      </c>
    </row>
    <row r="494" spans="1:4" x14ac:dyDescent="0.3">
      <c r="A494" s="62" t="s">
        <v>34</v>
      </c>
      <c r="B494" s="62"/>
      <c r="C494" s="16">
        <v>46168</v>
      </c>
      <c r="D494">
        <v>345</v>
      </c>
    </row>
    <row r="495" spans="1:4" x14ac:dyDescent="0.3">
      <c r="A495" s="62" t="s">
        <v>35</v>
      </c>
      <c r="B495" s="62"/>
      <c r="C495" s="16">
        <v>46168</v>
      </c>
      <c r="D495">
        <v>8168.0700000000006</v>
      </c>
    </row>
    <row r="496" spans="1:4" x14ac:dyDescent="0.3">
      <c r="A496" s="62" t="s">
        <v>17</v>
      </c>
      <c r="B496" s="62"/>
      <c r="C496" s="16">
        <v>46169</v>
      </c>
      <c r="D496">
        <v>259371.70000000013</v>
      </c>
    </row>
    <row r="497" spans="1:4" x14ac:dyDescent="0.3">
      <c r="A497" s="62" t="s">
        <v>18</v>
      </c>
      <c r="B497" s="62"/>
      <c r="C497" s="16">
        <v>46169</v>
      </c>
      <c r="D497">
        <v>1259760.1600000001</v>
      </c>
    </row>
    <row r="498" spans="1:4" x14ac:dyDescent="0.3">
      <c r="A498" s="62" t="s">
        <v>19</v>
      </c>
      <c r="B498" s="62"/>
      <c r="C498" s="16">
        <v>46169</v>
      </c>
      <c r="D498">
        <v>1669.89</v>
      </c>
    </row>
    <row r="499" spans="1:4" x14ac:dyDescent="0.3">
      <c r="A499" s="62" t="s">
        <v>20</v>
      </c>
      <c r="B499" s="62"/>
      <c r="C499" s="16">
        <v>46169</v>
      </c>
      <c r="D499">
        <v>514616.73999999987</v>
      </c>
    </row>
    <row r="500" spans="1:4" x14ac:dyDescent="0.3">
      <c r="A500" s="62" t="s">
        <v>21</v>
      </c>
      <c r="B500" s="62"/>
      <c r="C500" s="16">
        <v>46169</v>
      </c>
      <c r="D500">
        <v>980426.88999999932</v>
      </c>
    </row>
    <row r="501" spans="1:4" x14ac:dyDescent="0.3">
      <c r="A501" s="62" t="s">
        <v>22</v>
      </c>
      <c r="B501" s="62"/>
      <c r="C501" s="16">
        <v>46169</v>
      </c>
      <c r="D501">
        <v>131496.38</v>
      </c>
    </row>
    <row r="502" spans="1:4" x14ac:dyDescent="0.3">
      <c r="A502" s="62" t="s">
        <v>23</v>
      </c>
      <c r="B502" s="62"/>
      <c r="C502" s="16">
        <v>46169</v>
      </c>
      <c r="D502">
        <v>88090.37</v>
      </c>
    </row>
    <row r="503" spans="1:4" x14ac:dyDescent="0.3">
      <c r="A503" s="62" t="s">
        <v>24</v>
      </c>
      <c r="B503" s="62"/>
      <c r="C503" s="16">
        <v>46169</v>
      </c>
      <c r="D503">
        <v>2498.3999999999996</v>
      </c>
    </row>
    <row r="504" spans="1:4" x14ac:dyDescent="0.3">
      <c r="A504" s="62" t="s">
        <v>25</v>
      </c>
      <c r="B504" s="62"/>
      <c r="C504" s="16">
        <v>46169</v>
      </c>
      <c r="D504">
        <v>114.3</v>
      </c>
    </row>
    <row r="505" spans="1:4" x14ac:dyDescent="0.3">
      <c r="A505" s="62" t="s">
        <v>26</v>
      </c>
      <c r="B505" s="62"/>
      <c r="C505" s="16">
        <v>46169</v>
      </c>
      <c r="D505">
        <v>2267.7200000000003</v>
      </c>
    </row>
    <row r="506" spans="1:4" x14ac:dyDescent="0.3">
      <c r="A506" s="62" t="s">
        <v>27</v>
      </c>
      <c r="B506" s="62"/>
      <c r="C506" s="16">
        <v>46169</v>
      </c>
      <c r="D506">
        <v>3349.94</v>
      </c>
    </row>
    <row r="507" spans="1:4" x14ac:dyDescent="0.3">
      <c r="A507" s="62" t="s">
        <v>28</v>
      </c>
      <c r="B507" s="62"/>
      <c r="C507" s="16">
        <v>46169</v>
      </c>
      <c r="D507">
        <v>1968.99</v>
      </c>
    </row>
    <row r="508" spans="1:4" x14ac:dyDescent="0.3">
      <c r="A508" s="62" t="s">
        <v>29</v>
      </c>
      <c r="B508" s="62"/>
      <c r="C508" s="16">
        <v>46169</v>
      </c>
      <c r="D508">
        <v>901.34</v>
      </c>
    </row>
    <row r="509" spans="1:4" x14ac:dyDescent="0.3">
      <c r="A509" s="62" t="s">
        <v>30</v>
      </c>
      <c r="B509" s="62"/>
      <c r="C509" s="16">
        <v>46169</v>
      </c>
      <c r="D509">
        <v>1444.08</v>
      </c>
    </row>
    <row r="510" spans="1:4" x14ac:dyDescent="0.3">
      <c r="A510" s="62" t="s">
        <v>31</v>
      </c>
      <c r="B510" s="62"/>
      <c r="C510" s="16">
        <v>46169</v>
      </c>
      <c r="D510">
        <v>15463.59999999996</v>
      </c>
    </row>
    <row r="511" spans="1:4" x14ac:dyDescent="0.3">
      <c r="A511" s="62" t="s">
        <v>32</v>
      </c>
      <c r="B511" s="62"/>
      <c r="C511" s="16">
        <v>46169</v>
      </c>
      <c r="D511">
        <v>15120.060000000001</v>
      </c>
    </row>
    <row r="512" spans="1:4" x14ac:dyDescent="0.3">
      <c r="A512" s="62" t="s">
        <v>33</v>
      </c>
      <c r="B512" s="62"/>
      <c r="C512" s="16">
        <v>46169</v>
      </c>
      <c r="D512">
        <v>33606.270000000004</v>
      </c>
    </row>
    <row r="513" spans="1:4" x14ac:dyDescent="0.3">
      <c r="A513" s="62" t="s">
        <v>34</v>
      </c>
      <c r="B513" s="62"/>
      <c r="C513" s="16">
        <v>46169</v>
      </c>
      <c r="D513">
        <v>345</v>
      </c>
    </row>
    <row r="514" spans="1:4" x14ac:dyDescent="0.3">
      <c r="A514" s="62" t="s">
        <v>35</v>
      </c>
      <c r="B514" s="62"/>
      <c r="C514" s="16">
        <v>46169</v>
      </c>
      <c r="D514">
        <v>17588.03</v>
      </c>
    </row>
    <row r="515" spans="1:4" x14ac:dyDescent="0.3">
      <c r="A515" s="62" t="s">
        <v>17</v>
      </c>
      <c r="B515" s="62"/>
      <c r="C515" s="16">
        <v>46170</v>
      </c>
      <c r="D515">
        <v>986983.19000000006</v>
      </c>
    </row>
    <row r="516" spans="1:4" x14ac:dyDescent="0.3">
      <c r="A516" s="62" t="s">
        <v>18</v>
      </c>
      <c r="B516" s="62"/>
      <c r="C516" s="16">
        <v>46170</v>
      </c>
      <c r="D516">
        <v>62397.280000000173</v>
      </c>
    </row>
    <row r="517" spans="1:4" x14ac:dyDescent="0.3">
      <c r="A517" s="62" t="s">
        <v>19</v>
      </c>
      <c r="B517" s="62"/>
      <c r="C517" s="16">
        <v>46170</v>
      </c>
      <c r="D517">
        <v>1669.89</v>
      </c>
    </row>
    <row r="518" spans="1:4" x14ac:dyDescent="0.3">
      <c r="A518" s="62" t="s">
        <v>20</v>
      </c>
      <c r="B518" s="62"/>
      <c r="C518" s="16">
        <v>46170</v>
      </c>
      <c r="D518">
        <v>376595.84999999986</v>
      </c>
    </row>
    <row r="519" spans="1:4" x14ac:dyDescent="0.3">
      <c r="A519" s="62" t="s">
        <v>21</v>
      </c>
      <c r="B519" s="62"/>
      <c r="C519" s="16">
        <v>46170</v>
      </c>
      <c r="D519">
        <v>1090396.4799999993</v>
      </c>
    </row>
    <row r="520" spans="1:4" x14ac:dyDescent="0.3">
      <c r="A520" s="62" t="s">
        <v>22</v>
      </c>
      <c r="B520" s="62"/>
      <c r="C520" s="16">
        <v>46170</v>
      </c>
      <c r="D520">
        <v>131496.38</v>
      </c>
    </row>
    <row r="521" spans="1:4" x14ac:dyDescent="0.3">
      <c r="A521" s="62" t="s">
        <v>23</v>
      </c>
      <c r="B521" s="62"/>
      <c r="C521" s="16">
        <v>46170</v>
      </c>
      <c r="D521">
        <v>88090.37</v>
      </c>
    </row>
    <row r="522" spans="1:4" x14ac:dyDescent="0.3">
      <c r="A522" s="62" t="s">
        <v>24</v>
      </c>
      <c r="B522" s="62"/>
      <c r="C522" s="16">
        <v>46170</v>
      </c>
      <c r="D522">
        <v>2498.3999999999996</v>
      </c>
    </row>
    <row r="523" spans="1:4" x14ac:dyDescent="0.3">
      <c r="A523" s="62" t="s">
        <v>25</v>
      </c>
      <c r="B523" s="62"/>
      <c r="C523" s="16">
        <v>46170</v>
      </c>
      <c r="D523">
        <v>114.3</v>
      </c>
    </row>
    <row r="524" spans="1:4" x14ac:dyDescent="0.3">
      <c r="A524" s="62" t="s">
        <v>26</v>
      </c>
      <c r="B524" s="62"/>
      <c r="C524" s="16">
        <v>46170</v>
      </c>
      <c r="D524">
        <v>2267.7200000000003</v>
      </c>
    </row>
    <row r="525" spans="1:4" x14ac:dyDescent="0.3">
      <c r="A525" s="62" t="s">
        <v>27</v>
      </c>
      <c r="B525" s="62"/>
      <c r="C525" s="16">
        <v>46170</v>
      </c>
      <c r="D525">
        <v>3349.94</v>
      </c>
    </row>
    <row r="526" spans="1:4" x14ac:dyDescent="0.3">
      <c r="A526" s="62" t="s">
        <v>28</v>
      </c>
      <c r="B526" s="62"/>
      <c r="C526" s="16">
        <v>46170</v>
      </c>
      <c r="D526">
        <v>1968.99</v>
      </c>
    </row>
    <row r="527" spans="1:4" x14ac:dyDescent="0.3">
      <c r="A527" s="62" t="s">
        <v>29</v>
      </c>
      <c r="B527" s="62"/>
      <c r="C527" s="16">
        <v>46170</v>
      </c>
      <c r="D527">
        <v>901.34</v>
      </c>
    </row>
    <row r="528" spans="1:4" x14ac:dyDescent="0.3">
      <c r="A528" s="62" t="s">
        <v>30</v>
      </c>
      <c r="B528" s="62"/>
      <c r="C528" s="16">
        <v>46170</v>
      </c>
      <c r="D528">
        <v>1444.08</v>
      </c>
    </row>
    <row r="529" spans="1:4" x14ac:dyDescent="0.3">
      <c r="A529" s="62" t="s">
        <v>31</v>
      </c>
      <c r="B529" s="62"/>
      <c r="C529" s="16">
        <v>46170</v>
      </c>
      <c r="D529">
        <v>35463.599999999962</v>
      </c>
    </row>
    <row r="530" spans="1:4" x14ac:dyDescent="0.3">
      <c r="A530" s="62" t="s">
        <v>32</v>
      </c>
      <c r="B530" s="62"/>
      <c r="C530" s="16">
        <v>46170</v>
      </c>
      <c r="D530">
        <v>15120.060000000001</v>
      </c>
    </row>
    <row r="531" spans="1:4" x14ac:dyDescent="0.3">
      <c r="A531" s="62" t="s">
        <v>33</v>
      </c>
      <c r="B531" s="62"/>
      <c r="C531" s="16">
        <v>46170</v>
      </c>
      <c r="D531">
        <v>33606.270000000004</v>
      </c>
    </row>
    <row r="532" spans="1:4" x14ac:dyDescent="0.3">
      <c r="A532" s="62" t="s">
        <v>34</v>
      </c>
      <c r="B532" s="62"/>
      <c r="C532" s="16">
        <v>46170</v>
      </c>
      <c r="D532">
        <v>345</v>
      </c>
    </row>
    <row r="533" spans="1:4" x14ac:dyDescent="0.3">
      <c r="A533" s="62" t="s">
        <v>35</v>
      </c>
      <c r="B533" s="62"/>
      <c r="C533" s="16">
        <v>46170</v>
      </c>
      <c r="D533">
        <v>9076.2400000000016</v>
      </c>
    </row>
    <row r="534" spans="1:4" x14ac:dyDescent="0.3">
      <c r="A534" s="62" t="s">
        <v>17</v>
      </c>
      <c r="B534" s="62"/>
      <c r="C534" s="16">
        <v>46171</v>
      </c>
      <c r="D534">
        <v>983394.14000000013</v>
      </c>
    </row>
    <row r="535" spans="1:4" x14ac:dyDescent="0.3">
      <c r="A535" s="62" t="s">
        <v>18</v>
      </c>
      <c r="B535" s="62"/>
      <c r="C535" s="16">
        <v>46171</v>
      </c>
      <c r="D535">
        <v>62397.280000000173</v>
      </c>
    </row>
    <row r="536" spans="1:4" x14ac:dyDescent="0.3">
      <c r="A536" s="62" t="s">
        <v>19</v>
      </c>
      <c r="B536" s="62"/>
      <c r="C536" s="16">
        <v>46171</v>
      </c>
      <c r="D536">
        <v>1669.89</v>
      </c>
    </row>
    <row r="537" spans="1:4" x14ac:dyDescent="0.3">
      <c r="A537" s="62" t="s">
        <v>20</v>
      </c>
      <c r="B537" s="62"/>
      <c r="C537" s="16">
        <v>46171</v>
      </c>
      <c r="D537">
        <v>424853.11999999988</v>
      </c>
    </row>
    <row r="538" spans="1:4" x14ac:dyDescent="0.3">
      <c r="A538" s="62" t="s">
        <v>21</v>
      </c>
      <c r="B538" s="62"/>
      <c r="C538" s="16">
        <v>46171</v>
      </c>
      <c r="D538">
        <v>1015901.6699999992</v>
      </c>
    </row>
    <row r="539" spans="1:4" x14ac:dyDescent="0.3">
      <c r="A539" s="62" t="s">
        <v>22</v>
      </c>
      <c r="B539" s="62"/>
      <c r="C539" s="16">
        <v>46171</v>
      </c>
      <c r="D539">
        <v>131496.38</v>
      </c>
    </row>
    <row r="540" spans="1:4" x14ac:dyDescent="0.3">
      <c r="A540" s="62" t="s">
        <v>23</v>
      </c>
      <c r="B540" s="62"/>
      <c r="C540" s="16">
        <v>46171</v>
      </c>
      <c r="D540">
        <v>88090.37</v>
      </c>
    </row>
    <row r="541" spans="1:4" x14ac:dyDescent="0.3">
      <c r="A541" s="62" t="s">
        <v>24</v>
      </c>
      <c r="B541" s="62"/>
      <c r="C541" s="16">
        <v>46171</v>
      </c>
      <c r="D541">
        <v>1227.9699999999998</v>
      </c>
    </row>
    <row r="542" spans="1:4" x14ac:dyDescent="0.3">
      <c r="A542" s="62" t="s">
        <v>25</v>
      </c>
      <c r="B542" s="62"/>
      <c r="C542" s="16">
        <v>46171</v>
      </c>
      <c r="D542">
        <v>114.3</v>
      </c>
    </row>
    <row r="543" spans="1:4" x14ac:dyDescent="0.3">
      <c r="A543" s="62" t="s">
        <v>26</v>
      </c>
      <c r="B543" s="62"/>
      <c r="C543" s="16">
        <v>46171</v>
      </c>
      <c r="D543">
        <v>2267.7200000000003</v>
      </c>
    </row>
    <row r="544" spans="1:4" x14ac:dyDescent="0.3">
      <c r="A544" s="62" t="s">
        <v>27</v>
      </c>
      <c r="B544" s="62"/>
      <c r="C544" s="16">
        <v>46171</v>
      </c>
      <c r="D544">
        <v>3349.94</v>
      </c>
    </row>
    <row r="545" spans="1:4" x14ac:dyDescent="0.3">
      <c r="A545" s="62" t="s">
        <v>28</v>
      </c>
      <c r="B545" s="62"/>
      <c r="C545" s="16">
        <v>46171</v>
      </c>
      <c r="D545">
        <v>1968.99</v>
      </c>
    </row>
    <row r="546" spans="1:4" x14ac:dyDescent="0.3">
      <c r="A546" s="62" t="s">
        <v>29</v>
      </c>
      <c r="B546" s="62"/>
      <c r="C546" s="16">
        <v>46171</v>
      </c>
      <c r="D546">
        <v>901.34</v>
      </c>
    </row>
    <row r="547" spans="1:4" x14ac:dyDescent="0.3">
      <c r="A547" s="62" t="s">
        <v>30</v>
      </c>
      <c r="B547" s="62"/>
      <c r="C547" s="16">
        <v>46171</v>
      </c>
      <c r="D547">
        <v>1444.08</v>
      </c>
    </row>
    <row r="548" spans="1:4" x14ac:dyDescent="0.3">
      <c r="A548" s="62" t="s">
        <v>31</v>
      </c>
      <c r="B548" s="62"/>
      <c r="C548" s="16">
        <v>46171</v>
      </c>
      <c r="D548">
        <v>35448.599999999962</v>
      </c>
    </row>
    <row r="549" spans="1:4" x14ac:dyDescent="0.3">
      <c r="A549" s="62" t="s">
        <v>32</v>
      </c>
      <c r="B549" s="62"/>
      <c r="C549" s="16">
        <v>46171</v>
      </c>
      <c r="D549">
        <v>15120.060000000001</v>
      </c>
    </row>
    <row r="550" spans="1:4" x14ac:dyDescent="0.3">
      <c r="A550" s="62" t="s">
        <v>33</v>
      </c>
      <c r="B550" s="62"/>
      <c r="C550" s="16">
        <v>46171</v>
      </c>
      <c r="D550">
        <v>33606.270000000004</v>
      </c>
    </row>
    <row r="551" spans="1:4" x14ac:dyDescent="0.3">
      <c r="A551" s="62" t="s">
        <v>34</v>
      </c>
      <c r="B551" s="62"/>
      <c r="C551" s="16">
        <v>46171</v>
      </c>
      <c r="D551">
        <v>345</v>
      </c>
    </row>
    <row r="552" spans="1:4" x14ac:dyDescent="0.3">
      <c r="A552" s="62" t="s">
        <v>35</v>
      </c>
      <c r="B552" s="62"/>
      <c r="C552" s="16">
        <v>46171</v>
      </c>
      <c r="D552">
        <v>9076.2400000000016</v>
      </c>
    </row>
    <row r="553" spans="1:4" x14ac:dyDescent="0.3">
      <c r="A553" s="62" t="s">
        <v>17</v>
      </c>
      <c r="B553" s="62"/>
      <c r="C553" s="16">
        <v>46172</v>
      </c>
      <c r="D553">
        <v>983394.14000000013</v>
      </c>
    </row>
    <row r="554" spans="1:4" x14ac:dyDescent="0.3">
      <c r="A554" s="62" t="s">
        <v>18</v>
      </c>
      <c r="B554" s="62"/>
      <c r="C554" s="16">
        <v>46172</v>
      </c>
      <c r="D554">
        <v>62397.280000000173</v>
      </c>
    </row>
    <row r="555" spans="1:4" x14ac:dyDescent="0.3">
      <c r="A555" s="62" t="s">
        <v>19</v>
      </c>
      <c r="B555" s="62"/>
      <c r="C555" s="16">
        <v>46172</v>
      </c>
      <c r="D555">
        <v>1669.89</v>
      </c>
    </row>
    <row r="556" spans="1:4" x14ac:dyDescent="0.3">
      <c r="A556" s="62" t="s">
        <v>20</v>
      </c>
      <c r="B556" s="62"/>
      <c r="C556" s="16">
        <v>46172</v>
      </c>
      <c r="D556">
        <v>424853.11999999988</v>
      </c>
    </row>
    <row r="557" spans="1:4" x14ac:dyDescent="0.3">
      <c r="A557" s="62" t="s">
        <v>21</v>
      </c>
      <c r="B557" s="62"/>
      <c r="C557" s="16">
        <v>46172</v>
      </c>
      <c r="D557">
        <v>1015901.6699999992</v>
      </c>
    </row>
    <row r="558" spans="1:4" x14ac:dyDescent="0.3">
      <c r="A558" s="62" t="s">
        <v>22</v>
      </c>
      <c r="B558" s="62"/>
      <c r="C558" s="16">
        <v>46172</v>
      </c>
      <c r="D558">
        <v>131496.38</v>
      </c>
    </row>
    <row r="559" spans="1:4" x14ac:dyDescent="0.3">
      <c r="A559" s="62" t="s">
        <v>23</v>
      </c>
      <c r="B559" s="62"/>
      <c r="C559" s="16">
        <v>46172</v>
      </c>
      <c r="D559">
        <v>88090.37</v>
      </c>
    </row>
    <row r="560" spans="1:4" x14ac:dyDescent="0.3">
      <c r="A560" s="62" t="s">
        <v>24</v>
      </c>
      <c r="B560" s="62"/>
      <c r="C560" s="16">
        <v>46172</v>
      </c>
      <c r="D560">
        <v>1227.9699999999998</v>
      </c>
    </row>
    <row r="561" spans="1:4" x14ac:dyDescent="0.3">
      <c r="A561" s="62" t="s">
        <v>25</v>
      </c>
      <c r="B561" s="62"/>
      <c r="C561" s="16">
        <v>46172</v>
      </c>
      <c r="D561">
        <v>114.3</v>
      </c>
    </row>
    <row r="562" spans="1:4" x14ac:dyDescent="0.3">
      <c r="A562" s="62" t="s">
        <v>26</v>
      </c>
      <c r="B562" s="62"/>
      <c r="C562" s="16">
        <v>46172</v>
      </c>
      <c r="D562">
        <v>2267.7200000000003</v>
      </c>
    </row>
    <row r="563" spans="1:4" x14ac:dyDescent="0.3">
      <c r="A563" s="62" t="s">
        <v>27</v>
      </c>
      <c r="B563" s="62"/>
      <c r="C563" s="16">
        <v>46172</v>
      </c>
      <c r="D563">
        <v>3349.94</v>
      </c>
    </row>
    <row r="564" spans="1:4" x14ac:dyDescent="0.3">
      <c r="A564" s="62" t="s">
        <v>28</v>
      </c>
      <c r="B564" s="62"/>
      <c r="C564" s="16">
        <v>46172</v>
      </c>
      <c r="D564">
        <v>1968.99</v>
      </c>
    </row>
    <row r="565" spans="1:4" x14ac:dyDescent="0.3">
      <c r="A565" s="62" t="s">
        <v>29</v>
      </c>
      <c r="B565" s="62"/>
      <c r="C565" s="16">
        <v>46172</v>
      </c>
      <c r="D565">
        <v>901.34</v>
      </c>
    </row>
    <row r="566" spans="1:4" x14ac:dyDescent="0.3">
      <c r="A566" s="62" t="s">
        <v>30</v>
      </c>
      <c r="B566" s="62"/>
      <c r="C566" s="16">
        <v>46172</v>
      </c>
      <c r="D566">
        <v>1444.08</v>
      </c>
    </row>
    <row r="567" spans="1:4" x14ac:dyDescent="0.3">
      <c r="A567" s="62" t="s">
        <v>31</v>
      </c>
      <c r="B567" s="62"/>
      <c r="C567" s="16">
        <v>46172</v>
      </c>
      <c r="D567">
        <v>35448.599999999962</v>
      </c>
    </row>
    <row r="568" spans="1:4" x14ac:dyDescent="0.3">
      <c r="A568" s="62" t="s">
        <v>32</v>
      </c>
      <c r="B568" s="62"/>
      <c r="C568" s="16">
        <v>46172</v>
      </c>
      <c r="D568">
        <v>15120.060000000001</v>
      </c>
    </row>
    <row r="569" spans="1:4" x14ac:dyDescent="0.3">
      <c r="A569" s="62" t="s">
        <v>33</v>
      </c>
      <c r="B569" s="62"/>
      <c r="C569" s="16">
        <v>46172</v>
      </c>
      <c r="D569">
        <v>33606.270000000004</v>
      </c>
    </row>
    <row r="570" spans="1:4" x14ac:dyDescent="0.3">
      <c r="A570" s="62" t="s">
        <v>34</v>
      </c>
      <c r="B570" s="62"/>
      <c r="C570" s="16">
        <v>46172</v>
      </c>
      <c r="D570">
        <v>345</v>
      </c>
    </row>
    <row r="571" spans="1:4" x14ac:dyDescent="0.3">
      <c r="A571" s="62" t="s">
        <v>35</v>
      </c>
      <c r="B571" s="62"/>
      <c r="C571" s="16">
        <v>46172</v>
      </c>
      <c r="D571">
        <v>9076.2400000000016</v>
      </c>
    </row>
    <row r="572" spans="1:4" x14ac:dyDescent="0.3">
      <c r="A572" s="62" t="s">
        <v>17</v>
      </c>
      <c r="B572" s="62"/>
      <c r="C572" s="16">
        <v>46173</v>
      </c>
      <c r="D572">
        <v>983394.14000000013</v>
      </c>
    </row>
    <row r="573" spans="1:4" x14ac:dyDescent="0.3">
      <c r="A573" s="62" t="s">
        <v>18</v>
      </c>
      <c r="B573" s="62"/>
      <c r="C573" s="16">
        <v>46173</v>
      </c>
      <c r="D573">
        <v>62397.280000000173</v>
      </c>
    </row>
    <row r="574" spans="1:4" x14ac:dyDescent="0.3">
      <c r="A574" s="62" t="s">
        <v>19</v>
      </c>
      <c r="B574" s="62"/>
      <c r="C574" s="16">
        <v>46173</v>
      </c>
      <c r="D574">
        <v>1669.89</v>
      </c>
    </row>
    <row r="575" spans="1:4" x14ac:dyDescent="0.3">
      <c r="A575" s="62" t="s">
        <v>20</v>
      </c>
      <c r="B575" s="62"/>
      <c r="C575" s="16">
        <v>46173</v>
      </c>
      <c r="D575">
        <v>424853.11999999988</v>
      </c>
    </row>
    <row r="576" spans="1:4" x14ac:dyDescent="0.3">
      <c r="A576" s="62" t="s">
        <v>21</v>
      </c>
      <c r="B576" s="62"/>
      <c r="C576" s="16">
        <v>46173</v>
      </c>
      <c r="D576">
        <v>1015901.6699999992</v>
      </c>
    </row>
    <row r="577" spans="1:4" x14ac:dyDescent="0.3">
      <c r="A577" s="62" t="s">
        <v>22</v>
      </c>
      <c r="B577" s="62"/>
      <c r="C577" s="16">
        <v>46173</v>
      </c>
      <c r="D577">
        <v>131496.38</v>
      </c>
    </row>
    <row r="578" spans="1:4" x14ac:dyDescent="0.3">
      <c r="A578" s="62" t="s">
        <v>23</v>
      </c>
      <c r="B578" s="62"/>
      <c r="C578" s="16">
        <v>46173</v>
      </c>
      <c r="D578">
        <v>88090.37</v>
      </c>
    </row>
    <row r="579" spans="1:4" x14ac:dyDescent="0.3">
      <c r="A579" s="62" t="s">
        <v>24</v>
      </c>
      <c r="B579" s="62"/>
      <c r="C579" s="16">
        <v>46173</v>
      </c>
      <c r="D579">
        <v>1227.9699999999998</v>
      </c>
    </row>
    <row r="580" spans="1:4" x14ac:dyDescent="0.3">
      <c r="A580" s="62" t="s">
        <v>25</v>
      </c>
      <c r="B580" s="62"/>
      <c r="C580" s="16">
        <v>46173</v>
      </c>
      <c r="D580">
        <v>114.3</v>
      </c>
    </row>
    <row r="581" spans="1:4" x14ac:dyDescent="0.3">
      <c r="A581" s="62" t="s">
        <v>26</v>
      </c>
      <c r="B581" s="62"/>
      <c r="C581" s="16">
        <v>46173</v>
      </c>
      <c r="D581">
        <v>2267.7200000000003</v>
      </c>
    </row>
    <row r="582" spans="1:4" x14ac:dyDescent="0.3">
      <c r="A582" s="62" t="s">
        <v>27</v>
      </c>
      <c r="B582" s="62"/>
      <c r="C582" s="16">
        <v>46173</v>
      </c>
      <c r="D582">
        <v>3349.94</v>
      </c>
    </row>
    <row r="583" spans="1:4" x14ac:dyDescent="0.3">
      <c r="A583" s="62" t="s">
        <v>28</v>
      </c>
      <c r="B583" s="62"/>
      <c r="C583" s="16">
        <v>46173</v>
      </c>
      <c r="D583">
        <v>1968.99</v>
      </c>
    </row>
    <row r="584" spans="1:4" x14ac:dyDescent="0.3">
      <c r="A584" s="62" t="s">
        <v>29</v>
      </c>
      <c r="B584" s="62"/>
      <c r="C584" s="16">
        <v>46173</v>
      </c>
      <c r="D584">
        <v>901.34</v>
      </c>
    </row>
    <row r="585" spans="1:4" x14ac:dyDescent="0.3">
      <c r="A585" s="62" t="s">
        <v>30</v>
      </c>
      <c r="B585" s="62"/>
      <c r="C585" s="16">
        <v>46173</v>
      </c>
      <c r="D585">
        <v>1444.08</v>
      </c>
    </row>
    <row r="586" spans="1:4" x14ac:dyDescent="0.3">
      <c r="A586" s="62" t="s">
        <v>31</v>
      </c>
      <c r="B586" s="62"/>
      <c r="C586" s="16">
        <v>46173</v>
      </c>
      <c r="D586">
        <v>35448.599999999962</v>
      </c>
    </row>
    <row r="587" spans="1:4" x14ac:dyDescent="0.3">
      <c r="A587" s="62" t="s">
        <v>32</v>
      </c>
      <c r="B587" s="62"/>
      <c r="C587" s="16">
        <v>46173</v>
      </c>
      <c r="D587">
        <v>15120.060000000001</v>
      </c>
    </row>
    <row r="588" spans="1:4" x14ac:dyDescent="0.3">
      <c r="A588" s="62" t="s">
        <v>33</v>
      </c>
      <c r="B588" s="62"/>
      <c r="C588" s="16">
        <v>46173</v>
      </c>
      <c r="D588">
        <v>33606.270000000004</v>
      </c>
    </row>
    <row r="589" spans="1:4" x14ac:dyDescent="0.3">
      <c r="A589" s="62" t="s">
        <v>34</v>
      </c>
      <c r="B589" s="62"/>
      <c r="C589" s="16">
        <v>46173</v>
      </c>
      <c r="D589">
        <v>345</v>
      </c>
    </row>
    <row r="590" spans="1:4" x14ac:dyDescent="0.3">
      <c r="A590" s="62" t="s">
        <v>35</v>
      </c>
      <c r="B590" s="62"/>
      <c r="C590" s="16">
        <v>46173</v>
      </c>
      <c r="D590">
        <v>9076.2400000000016</v>
      </c>
    </row>
    <row r="591" spans="1:4" x14ac:dyDescent="0.3">
      <c r="A591" s="62" t="s">
        <v>17</v>
      </c>
      <c r="B591" s="62"/>
      <c r="C591" s="16">
        <v>46174</v>
      </c>
      <c r="D591">
        <v>983394.14000000013</v>
      </c>
    </row>
    <row r="592" spans="1:4" x14ac:dyDescent="0.3">
      <c r="A592" s="62" t="s">
        <v>18</v>
      </c>
      <c r="B592" s="62"/>
      <c r="C592" s="16">
        <v>46174</v>
      </c>
      <c r="D592">
        <v>69376.390000000174</v>
      </c>
    </row>
    <row r="593" spans="1:4" x14ac:dyDescent="0.3">
      <c r="A593" s="62" t="s">
        <v>19</v>
      </c>
      <c r="B593" s="62"/>
      <c r="C593" s="16">
        <v>46174</v>
      </c>
      <c r="D593">
        <v>1669.89</v>
      </c>
    </row>
    <row r="594" spans="1:4" x14ac:dyDescent="0.3">
      <c r="A594" s="62" t="s">
        <v>20</v>
      </c>
      <c r="B594" s="62"/>
      <c r="C594" s="16">
        <v>46174</v>
      </c>
      <c r="D594">
        <v>804853.11999999988</v>
      </c>
    </row>
    <row r="595" spans="1:4" x14ac:dyDescent="0.3">
      <c r="A595" s="62" t="s">
        <v>21</v>
      </c>
      <c r="B595" s="62"/>
      <c r="C595" s="16">
        <v>46174</v>
      </c>
      <c r="D595">
        <v>1015901.6699999992</v>
      </c>
    </row>
    <row r="596" spans="1:4" x14ac:dyDescent="0.3">
      <c r="A596" s="62" t="s">
        <v>22</v>
      </c>
      <c r="B596" s="62"/>
      <c r="C596" s="16">
        <v>46174</v>
      </c>
      <c r="D596">
        <v>131496.38</v>
      </c>
    </row>
    <row r="597" spans="1:4" x14ac:dyDescent="0.3">
      <c r="A597" s="62" t="s">
        <v>23</v>
      </c>
      <c r="B597" s="62"/>
      <c r="C597" s="16">
        <v>46174</v>
      </c>
      <c r="D597">
        <v>88090.37</v>
      </c>
    </row>
    <row r="598" spans="1:4" x14ac:dyDescent="0.3">
      <c r="A598" s="62" t="s">
        <v>24</v>
      </c>
      <c r="B598" s="62"/>
      <c r="C598" s="16">
        <v>46174</v>
      </c>
      <c r="D598">
        <v>1227.9699999999998</v>
      </c>
    </row>
    <row r="599" spans="1:4" x14ac:dyDescent="0.3">
      <c r="A599" s="62" t="s">
        <v>25</v>
      </c>
      <c r="B599" s="62"/>
      <c r="C599" s="16">
        <v>46174</v>
      </c>
      <c r="D599">
        <v>84.35</v>
      </c>
    </row>
    <row r="600" spans="1:4" x14ac:dyDescent="0.3">
      <c r="A600" s="62" t="s">
        <v>26</v>
      </c>
      <c r="B600" s="62"/>
      <c r="C600" s="16">
        <v>46174</v>
      </c>
      <c r="D600">
        <v>2237.77</v>
      </c>
    </row>
    <row r="601" spans="1:4" x14ac:dyDescent="0.3">
      <c r="A601" s="62" t="s">
        <v>27</v>
      </c>
      <c r="B601" s="62"/>
      <c r="C601" s="16">
        <v>46174</v>
      </c>
      <c r="D601">
        <v>3349.94</v>
      </c>
    </row>
    <row r="602" spans="1:4" x14ac:dyDescent="0.3">
      <c r="A602" s="62" t="s">
        <v>28</v>
      </c>
      <c r="B602" s="62"/>
      <c r="C602" s="16">
        <v>46174</v>
      </c>
      <c r="D602">
        <v>1968.99</v>
      </c>
    </row>
    <row r="603" spans="1:4" x14ac:dyDescent="0.3">
      <c r="A603" s="62" t="s">
        <v>29</v>
      </c>
      <c r="B603" s="62"/>
      <c r="C603" s="16">
        <v>46174</v>
      </c>
      <c r="D603">
        <v>901.34</v>
      </c>
    </row>
    <row r="604" spans="1:4" x14ac:dyDescent="0.3">
      <c r="A604" s="62" t="s">
        <v>30</v>
      </c>
      <c r="B604" s="62"/>
      <c r="C604" s="16">
        <v>46174</v>
      </c>
      <c r="D604">
        <v>1428.08</v>
      </c>
    </row>
    <row r="605" spans="1:4" x14ac:dyDescent="0.3">
      <c r="A605" s="62" t="s">
        <v>31</v>
      </c>
      <c r="B605" s="62"/>
      <c r="C605" s="16">
        <v>46174</v>
      </c>
      <c r="D605">
        <v>26416.26999999996</v>
      </c>
    </row>
    <row r="606" spans="1:4" x14ac:dyDescent="0.3">
      <c r="A606" s="62" t="s">
        <v>32</v>
      </c>
      <c r="B606" s="62"/>
      <c r="C606" s="16">
        <v>46174</v>
      </c>
      <c r="D606">
        <v>5321.4300000000021</v>
      </c>
    </row>
    <row r="607" spans="1:4" x14ac:dyDescent="0.3">
      <c r="A607" s="62" t="s">
        <v>33</v>
      </c>
      <c r="B607" s="62"/>
      <c r="C607" s="16">
        <v>46174</v>
      </c>
      <c r="D607">
        <v>24833.23</v>
      </c>
    </row>
    <row r="608" spans="1:4" x14ac:dyDescent="0.3">
      <c r="A608" s="62" t="s">
        <v>34</v>
      </c>
      <c r="B608" s="62"/>
      <c r="C608" s="16">
        <v>46174</v>
      </c>
      <c r="D608">
        <v>345</v>
      </c>
    </row>
    <row r="609" spans="1:4" x14ac:dyDescent="0.3">
      <c r="A609" s="62" t="s">
        <v>35</v>
      </c>
      <c r="B609" s="62"/>
      <c r="C609" s="16">
        <v>46174</v>
      </c>
      <c r="D609">
        <v>6824.47</v>
      </c>
    </row>
    <row r="610" spans="1:4" x14ac:dyDescent="0.3">
      <c r="A610" s="62" t="s">
        <v>17</v>
      </c>
      <c r="B610" s="62"/>
      <c r="C610" s="16">
        <v>46175</v>
      </c>
      <c r="D610">
        <v>983394.14000000013</v>
      </c>
    </row>
    <row r="611" spans="1:4" x14ac:dyDescent="0.3">
      <c r="A611" s="62" t="s">
        <v>18</v>
      </c>
      <c r="B611" s="62"/>
      <c r="C611" s="16">
        <v>46175</v>
      </c>
      <c r="D611">
        <v>69376.390000000174</v>
      </c>
    </row>
    <row r="612" spans="1:4" x14ac:dyDescent="0.3">
      <c r="A612" s="62" t="s">
        <v>19</v>
      </c>
      <c r="B612" s="62"/>
      <c r="C612" s="16">
        <v>46175</v>
      </c>
      <c r="D612">
        <v>1669.89</v>
      </c>
    </row>
    <row r="613" spans="1:4" x14ac:dyDescent="0.3">
      <c r="A613" s="62" t="s">
        <v>20</v>
      </c>
      <c r="B613" s="62"/>
      <c r="C613" s="16">
        <v>46175</v>
      </c>
      <c r="D613">
        <v>804853.11999999988</v>
      </c>
    </row>
    <row r="614" spans="1:4" x14ac:dyDescent="0.3">
      <c r="A614" s="62" t="s">
        <v>21</v>
      </c>
      <c r="B614" s="62"/>
      <c r="C614" s="16">
        <v>46175</v>
      </c>
      <c r="D614">
        <v>1015901.6699999992</v>
      </c>
    </row>
    <row r="615" spans="1:4" x14ac:dyDescent="0.3">
      <c r="A615" s="62" t="s">
        <v>22</v>
      </c>
      <c r="B615" s="62"/>
      <c r="C615" s="16">
        <v>46175</v>
      </c>
      <c r="D615">
        <v>131496.38</v>
      </c>
    </row>
    <row r="616" spans="1:4" x14ac:dyDescent="0.3">
      <c r="A616" s="62" t="s">
        <v>23</v>
      </c>
      <c r="B616" s="62"/>
      <c r="C616" s="16">
        <v>46175</v>
      </c>
      <c r="D616">
        <v>88090.37</v>
      </c>
    </row>
    <row r="617" spans="1:4" x14ac:dyDescent="0.3">
      <c r="A617" s="62" t="s">
        <v>24</v>
      </c>
      <c r="B617" s="62"/>
      <c r="C617" s="16">
        <v>46175</v>
      </c>
      <c r="D617">
        <v>1227.9699999999998</v>
      </c>
    </row>
    <row r="618" spans="1:4" x14ac:dyDescent="0.3">
      <c r="A618" s="62" t="s">
        <v>25</v>
      </c>
      <c r="B618" s="62"/>
      <c r="C618" s="16">
        <v>46175</v>
      </c>
      <c r="D618">
        <v>84.35</v>
      </c>
    </row>
    <row r="619" spans="1:4" x14ac:dyDescent="0.3">
      <c r="A619" s="62" t="s">
        <v>26</v>
      </c>
      <c r="B619" s="62"/>
      <c r="C619" s="16">
        <v>46175</v>
      </c>
      <c r="D619">
        <v>2237.77</v>
      </c>
    </row>
    <row r="620" spans="1:4" x14ac:dyDescent="0.3">
      <c r="A620" s="62" t="s">
        <v>27</v>
      </c>
      <c r="B620" s="62"/>
      <c r="C620" s="16">
        <v>46175</v>
      </c>
      <c r="D620">
        <v>3349.94</v>
      </c>
    </row>
    <row r="621" spans="1:4" x14ac:dyDescent="0.3">
      <c r="A621" s="62" t="s">
        <v>28</v>
      </c>
      <c r="B621" s="62"/>
      <c r="C621" s="16">
        <v>46175</v>
      </c>
      <c r="D621">
        <v>1968.99</v>
      </c>
    </row>
    <row r="622" spans="1:4" x14ac:dyDescent="0.3">
      <c r="A622" s="62" t="s">
        <v>29</v>
      </c>
      <c r="B622" s="62"/>
      <c r="C622" s="16">
        <v>46175</v>
      </c>
      <c r="D622">
        <v>901.34</v>
      </c>
    </row>
    <row r="623" spans="1:4" x14ac:dyDescent="0.3">
      <c r="A623" s="62" t="s">
        <v>30</v>
      </c>
      <c r="B623" s="62"/>
      <c r="C623" s="16">
        <v>46175</v>
      </c>
      <c r="D623">
        <v>1428.08</v>
      </c>
    </row>
    <row r="624" spans="1:4" x14ac:dyDescent="0.3">
      <c r="A624" s="62" t="s">
        <v>31</v>
      </c>
      <c r="B624" s="62"/>
      <c r="C624" s="16">
        <v>46175</v>
      </c>
      <c r="D624">
        <v>25789.969999999961</v>
      </c>
    </row>
    <row r="625" spans="1:4" x14ac:dyDescent="0.3">
      <c r="A625" s="62" t="s">
        <v>32</v>
      </c>
      <c r="B625" s="62"/>
      <c r="C625" s="16">
        <v>46175</v>
      </c>
      <c r="D625">
        <v>5321.4300000000021</v>
      </c>
    </row>
    <row r="626" spans="1:4" x14ac:dyDescent="0.3">
      <c r="A626" s="62" t="s">
        <v>33</v>
      </c>
      <c r="B626" s="62"/>
      <c r="C626" s="16">
        <v>46175</v>
      </c>
      <c r="D626">
        <v>24833.23</v>
      </c>
    </row>
    <row r="627" spans="1:4" x14ac:dyDescent="0.3">
      <c r="A627" s="62" t="s">
        <v>34</v>
      </c>
      <c r="B627" s="62"/>
      <c r="C627" s="16">
        <v>46175</v>
      </c>
      <c r="D627">
        <v>345</v>
      </c>
    </row>
    <row r="628" spans="1:4" x14ac:dyDescent="0.3">
      <c r="A628" s="62" t="s">
        <v>35</v>
      </c>
      <c r="B628" s="62"/>
      <c r="C628" s="16">
        <v>46175</v>
      </c>
      <c r="D628">
        <v>3514.8900000000012</v>
      </c>
    </row>
    <row r="629" spans="1:4" x14ac:dyDescent="0.3">
      <c r="A629" s="62" t="s">
        <v>17</v>
      </c>
      <c r="B629" s="62"/>
      <c r="C629" s="16">
        <v>46176</v>
      </c>
      <c r="D629">
        <v>983394.14000000013</v>
      </c>
    </row>
    <row r="630" spans="1:4" x14ac:dyDescent="0.3">
      <c r="A630" s="62" t="s">
        <v>18</v>
      </c>
      <c r="B630" s="62"/>
      <c r="C630" s="16">
        <v>46176</v>
      </c>
      <c r="D630">
        <v>69376.390000000174</v>
      </c>
    </row>
    <row r="631" spans="1:4" x14ac:dyDescent="0.3">
      <c r="A631" s="62" t="s">
        <v>19</v>
      </c>
      <c r="B631" s="62"/>
      <c r="C631" s="16">
        <v>46176</v>
      </c>
      <c r="D631">
        <v>1669.89</v>
      </c>
    </row>
    <row r="632" spans="1:4" x14ac:dyDescent="0.3">
      <c r="A632" s="62" t="s">
        <v>20</v>
      </c>
      <c r="B632" s="62"/>
      <c r="C632" s="16">
        <v>46176</v>
      </c>
      <c r="D632">
        <v>804853.11999999988</v>
      </c>
    </row>
    <row r="633" spans="1:4" x14ac:dyDescent="0.3">
      <c r="A633" s="62" t="s">
        <v>21</v>
      </c>
      <c r="B633" s="62"/>
      <c r="C633" s="16">
        <v>46176</v>
      </c>
      <c r="D633">
        <v>1015611.6599999993</v>
      </c>
    </row>
    <row r="634" spans="1:4" x14ac:dyDescent="0.3">
      <c r="A634" s="62" t="s">
        <v>22</v>
      </c>
      <c r="B634" s="62"/>
      <c r="C634" s="16">
        <v>46176</v>
      </c>
      <c r="D634">
        <v>125496.38</v>
      </c>
    </row>
    <row r="635" spans="1:4" x14ac:dyDescent="0.3">
      <c r="A635" s="62" t="s">
        <v>23</v>
      </c>
      <c r="B635" s="62"/>
      <c r="C635" s="16">
        <v>46176</v>
      </c>
      <c r="D635">
        <v>88090.37</v>
      </c>
    </row>
    <row r="636" spans="1:4" x14ac:dyDescent="0.3">
      <c r="A636" s="62" t="s">
        <v>24</v>
      </c>
      <c r="B636" s="62"/>
      <c r="C636" s="16">
        <v>46176</v>
      </c>
      <c r="D636">
        <v>1227.9699999999998</v>
      </c>
    </row>
    <row r="637" spans="1:4" x14ac:dyDescent="0.3">
      <c r="A637" s="62" t="s">
        <v>25</v>
      </c>
      <c r="B637" s="62"/>
      <c r="C637" s="16">
        <v>46176</v>
      </c>
      <c r="D637">
        <v>84.35</v>
      </c>
    </row>
    <row r="638" spans="1:4" x14ac:dyDescent="0.3">
      <c r="A638" s="62" t="s">
        <v>26</v>
      </c>
      <c r="B638" s="62"/>
      <c r="C638" s="16">
        <v>46176</v>
      </c>
      <c r="D638">
        <v>2237.77</v>
      </c>
    </row>
    <row r="639" spans="1:4" x14ac:dyDescent="0.3">
      <c r="A639" s="62" t="s">
        <v>27</v>
      </c>
      <c r="B639" s="62"/>
      <c r="C639" s="16">
        <v>46176</v>
      </c>
      <c r="D639">
        <v>3349.94</v>
      </c>
    </row>
    <row r="640" spans="1:4" x14ac:dyDescent="0.3">
      <c r="A640" s="62" t="s">
        <v>28</v>
      </c>
      <c r="B640" s="62"/>
      <c r="C640" s="16">
        <v>46176</v>
      </c>
      <c r="D640">
        <v>1968.99</v>
      </c>
    </row>
    <row r="641" spans="1:4" x14ac:dyDescent="0.3">
      <c r="A641" s="62" t="s">
        <v>29</v>
      </c>
      <c r="B641" s="62"/>
      <c r="C641" s="16">
        <v>46176</v>
      </c>
      <c r="D641">
        <v>901.34</v>
      </c>
    </row>
    <row r="642" spans="1:4" x14ac:dyDescent="0.3">
      <c r="A642" s="62" t="s">
        <v>30</v>
      </c>
      <c r="B642" s="62"/>
      <c r="C642" s="16">
        <v>46176</v>
      </c>
      <c r="D642">
        <v>1428.08</v>
      </c>
    </row>
    <row r="643" spans="1:4" x14ac:dyDescent="0.3">
      <c r="A643" s="62" t="s">
        <v>31</v>
      </c>
      <c r="B643" s="62"/>
      <c r="C643" s="16">
        <v>46176</v>
      </c>
      <c r="D643">
        <v>25789.969999999961</v>
      </c>
    </row>
    <row r="644" spans="1:4" x14ac:dyDescent="0.3">
      <c r="A644" s="62" t="s">
        <v>32</v>
      </c>
      <c r="B644" s="62"/>
      <c r="C644" s="16">
        <v>46176</v>
      </c>
      <c r="D644">
        <v>5321.4300000000021</v>
      </c>
    </row>
    <row r="645" spans="1:4" x14ac:dyDescent="0.3">
      <c r="A645" s="62" t="s">
        <v>33</v>
      </c>
      <c r="B645" s="62"/>
      <c r="C645" s="16">
        <v>46176</v>
      </c>
      <c r="D645">
        <v>24833.23</v>
      </c>
    </row>
    <row r="646" spans="1:4" x14ac:dyDescent="0.3">
      <c r="A646" s="62" t="s">
        <v>34</v>
      </c>
      <c r="B646" s="62"/>
      <c r="C646" s="16">
        <v>46176</v>
      </c>
      <c r="D646">
        <v>345</v>
      </c>
    </row>
    <row r="647" spans="1:4" x14ac:dyDescent="0.3">
      <c r="A647" s="62" t="s">
        <v>35</v>
      </c>
      <c r="B647" s="62"/>
      <c r="C647" s="16">
        <v>46176</v>
      </c>
      <c r="D647">
        <v>3514.8900000000012</v>
      </c>
    </row>
    <row r="648" spans="1:4" x14ac:dyDescent="0.3">
      <c r="A648" s="62" t="s">
        <v>17</v>
      </c>
      <c r="B648" s="62"/>
      <c r="C648" s="16">
        <v>46177</v>
      </c>
      <c r="D648">
        <v>733394.14000000013</v>
      </c>
    </row>
    <row r="649" spans="1:4" x14ac:dyDescent="0.3">
      <c r="A649" s="62" t="s">
        <v>18</v>
      </c>
      <c r="B649" s="62"/>
      <c r="C649" s="16">
        <v>46177</v>
      </c>
      <c r="D649">
        <v>69376.390000000174</v>
      </c>
    </row>
    <row r="650" spans="1:4" x14ac:dyDescent="0.3">
      <c r="A650" s="62" t="s">
        <v>19</v>
      </c>
      <c r="B650" s="62"/>
      <c r="C650" s="16">
        <v>46177</v>
      </c>
      <c r="D650">
        <v>1669.89</v>
      </c>
    </row>
    <row r="651" spans="1:4" x14ac:dyDescent="0.3">
      <c r="A651" s="62" t="s">
        <v>20</v>
      </c>
      <c r="B651" s="62"/>
      <c r="C651" s="16">
        <v>46177</v>
      </c>
      <c r="D651">
        <v>729545.23999999987</v>
      </c>
    </row>
    <row r="652" spans="1:4" x14ac:dyDescent="0.3">
      <c r="A652" s="62" t="s">
        <v>21</v>
      </c>
      <c r="B652" s="62"/>
      <c r="C652" s="16">
        <v>46177</v>
      </c>
      <c r="D652">
        <v>1171714.4499999993</v>
      </c>
    </row>
    <row r="653" spans="1:4" x14ac:dyDescent="0.3">
      <c r="A653" s="62" t="s">
        <v>22</v>
      </c>
      <c r="B653" s="62"/>
      <c r="C653" s="16">
        <v>46177</v>
      </c>
      <c r="D653">
        <v>116496.38</v>
      </c>
    </row>
    <row r="654" spans="1:4" x14ac:dyDescent="0.3">
      <c r="A654" s="62" t="s">
        <v>23</v>
      </c>
      <c r="B654" s="62"/>
      <c r="C654" s="16">
        <v>46177</v>
      </c>
      <c r="D654">
        <v>88090.37</v>
      </c>
    </row>
    <row r="655" spans="1:4" x14ac:dyDescent="0.3">
      <c r="A655" s="62" t="s">
        <v>24</v>
      </c>
      <c r="B655" s="62"/>
      <c r="C655" s="16">
        <v>46177</v>
      </c>
      <c r="D655">
        <v>1227.9699999999998</v>
      </c>
    </row>
    <row r="656" spans="1:4" x14ac:dyDescent="0.3">
      <c r="A656" s="62" t="s">
        <v>25</v>
      </c>
      <c r="B656" s="62"/>
      <c r="C656" s="16">
        <v>46177</v>
      </c>
      <c r="D656">
        <v>84.35</v>
      </c>
    </row>
    <row r="657" spans="1:4" x14ac:dyDescent="0.3">
      <c r="A657" s="62" t="s">
        <v>26</v>
      </c>
      <c r="B657" s="62"/>
      <c r="C657" s="16">
        <v>46177</v>
      </c>
      <c r="D657">
        <v>2237.77</v>
      </c>
    </row>
    <row r="658" spans="1:4" x14ac:dyDescent="0.3">
      <c r="A658" s="62" t="s">
        <v>27</v>
      </c>
      <c r="B658" s="62"/>
      <c r="C658" s="16">
        <v>46177</v>
      </c>
      <c r="D658">
        <v>3349.94</v>
      </c>
    </row>
    <row r="659" spans="1:4" x14ac:dyDescent="0.3">
      <c r="A659" s="62" t="s">
        <v>28</v>
      </c>
      <c r="B659" s="62"/>
      <c r="C659" s="16">
        <v>46177</v>
      </c>
      <c r="D659">
        <v>1968.99</v>
      </c>
    </row>
    <row r="660" spans="1:4" x14ac:dyDescent="0.3">
      <c r="A660" s="62" t="s">
        <v>29</v>
      </c>
      <c r="B660" s="62"/>
      <c r="C660" s="16">
        <v>46177</v>
      </c>
      <c r="D660">
        <v>382.69000000000005</v>
      </c>
    </row>
    <row r="661" spans="1:4" x14ac:dyDescent="0.3">
      <c r="A661" s="62" t="s">
        <v>30</v>
      </c>
      <c r="B661" s="62"/>
      <c r="C661" s="16">
        <v>46177</v>
      </c>
      <c r="D661">
        <v>1428.08</v>
      </c>
    </row>
    <row r="662" spans="1:4" x14ac:dyDescent="0.3">
      <c r="A662" s="62" t="s">
        <v>31</v>
      </c>
      <c r="B662" s="62"/>
      <c r="C662" s="16">
        <v>46177</v>
      </c>
      <c r="D662">
        <v>25789.969999999961</v>
      </c>
    </row>
    <row r="663" spans="1:4" x14ac:dyDescent="0.3">
      <c r="A663" s="62" t="s">
        <v>32</v>
      </c>
      <c r="B663" s="62"/>
      <c r="C663" s="16">
        <v>46177</v>
      </c>
      <c r="D663">
        <v>5321.4300000000021</v>
      </c>
    </row>
    <row r="664" spans="1:4" x14ac:dyDescent="0.3">
      <c r="A664" s="62" t="s">
        <v>33</v>
      </c>
      <c r="B664" s="62"/>
      <c r="C664" s="16">
        <v>46177</v>
      </c>
      <c r="D664">
        <v>24833.23</v>
      </c>
    </row>
    <row r="665" spans="1:4" x14ac:dyDescent="0.3">
      <c r="A665" s="62" t="s">
        <v>34</v>
      </c>
      <c r="B665" s="62"/>
      <c r="C665" s="16">
        <v>46177</v>
      </c>
      <c r="D665">
        <v>345</v>
      </c>
    </row>
    <row r="666" spans="1:4" x14ac:dyDescent="0.3">
      <c r="A666" s="62" t="s">
        <v>35</v>
      </c>
      <c r="B666" s="62"/>
      <c r="C666" s="16">
        <v>46177</v>
      </c>
      <c r="D666">
        <v>2422.7400000000016</v>
      </c>
    </row>
    <row r="667" spans="1:4" x14ac:dyDescent="0.3">
      <c r="A667" s="62" t="s">
        <v>17</v>
      </c>
      <c r="B667" s="62"/>
      <c r="C667" s="16">
        <v>46178</v>
      </c>
      <c r="D667">
        <v>733394.14000000013</v>
      </c>
    </row>
    <row r="668" spans="1:4" x14ac:dyDescent="0.3">
      <c r="A668" s="62" t="s">
        <v>18</v>
      </c>
      <c r="B668" s="62"/>
      <c r="C668" s="16">
        <v>46178</v>
      </c>
      <c r="D668">
        <v>69376.390000000174</v>
      </c>
    </row>
    <row r="669" spans="1:4" x14ac:dyDescent="0.3">
      <c r="A669" s="62" t="s">
        <v>19</v>
      </c>
      <c r="B669" s="62"/>
      <c r="C669" s="16">
        <v>46178</v>
      </c>
      <c r="D669">
        <v>1669.89</v>
      </c>
    </row>
    <row r="670" spans="1:4" x14ac:dyDescent="0.3">
      <c r="A670" s="62" t="s">
        <v>20</v>
      </c>
      <c r="B670" s="62"/>
      <c r="C670" s="16">
        <v>46178</v>
      </c>
      <c r="D670">
        <v>729545.23999999987</v>
      </c>
    </row>
    <row r="671" spans="1:4" x14ac:dyDescent="0.3">
      <c r="A671" s="62" t="s">
        <v>21</v>
      </c>
      <c r="B671" s="62"/>
      <c r="C671" s="16">
        <v>46178</v>
      </c>
      <c r="D671">
        <v>1164028.3199999994</v>
      </c>
    </row>
    <row r="672" spans="1:4" x14ac:dyDescent="0.3">
      <c r="A672" s="62" t="s">
        <v>22</v>
      </c>
      <c r="B672" s="62"/>
      <c r="C672" s="16">
        <v>46178</v>
      </c>
      <c r="D672">
        <v>116496.38</v>
      </c>
    </row>
    <row r="673" spans="1:4" x14ac:dyDescent="0.3">
      <c r="A673" s="62" t="s">
        <v>23</v>
      </c>
      <c r="B673" s="62"/>
      <c r="C673" s="16">
        <v>46178</v>
      </c>
      <c r="D673">
        <v>88090.37</v>
      </c>
    </row>
    <row r="674" spans="1:4" x14ac:dyDescent="0.3">
      <c r="A674" s="62" t="s">
        <v>24</v>
      </c>
      <c r="B674" s="62"/>
      <c r="C674" s="16">
        <v>46178</v>
      </c>
      <c r="D674">
        <v>1227.9699999999998</v>
      </c>
    </row>
    <row r="675" spans="1:4" x14ac:dyDescent="0.3">
      <c r="A675" s="62" t="s">
        <v>25</v>
      </c>
      <c r="B675" s="62"/>
      <c r="C675" s="16">
        <v>46178</v>
      </c>
      <c r="D675">
        <v>84.35</v>
      </c>
    </row>
    <row r="676" spans="1:4" x14ac:dyDescent="0.3">
      <c r="A676" s="62" t="s">
        <v>26</v>
      </c>
      <c r="B676" s="62"/>
      <c r="C676" s="16">
        <v>46178</v>
      </c>
      <c r="D676">
        <v>2237.77</v>
      </c>
    </row>
    <row r="677" spans="1:4" x14ac:dyDescent="0.3">
      <c r="A677" s="62" t="s">
        <v>27</v>
      </c>
      <c r="B677" s="62"/>
      <c r="C677" s="16">
        <v>46178</v>
      </c>
      <c r="D677">
        <v>3349.94</v>
      </c>
    </row>
    <row r="678" spans="1:4" x14ac:dyDescent="0.3">
      <c r="A678" s="62" t="s">
        <v>28</v>
      </c>
      <c r="B678" s="62"/>
      <c r="C678" s="16">
        <v>46178</v>
      </c>
      <c r="D678">
        <v>1968.99</v>
      </c>
    </row>
    <row r="679" spans="1:4" x14ac:dyDescent="0.3">
      <c r="A679" s="62" t="s">
        <v>29</v>
      </c>
      <c r="B679" s="62"/>
      <c r="C679" s="16">
        <v>46178</v>
      </c>
      <c r="D679">
        <v>382.69000000000005</v>
      </c>
    </row>
    <row r="680" spans="1:4" x14ac:dyDescent="0.3">
      <c r="A680" s="62" t="s">
        <v>30</v>
      </c>
      <c r="B680" s="62"/>
      <c r="C680" s="16">
        <v>46178</v>
      </c>
      <c r="D680">
        <v>1428.08</v>
      </c>
    </row>
    <row r="681" spans="1:4" x14ac:dyDescent="0.3">
      <c r="A681" s="62" t="s">
        <v>31</v>
      </c>
      <c r="B681" s="62"/>
      <c r="C681" s="16">
        <v>46178</v>
      </c>
      <c r="D681">
        <v>25789.969999999961</v>
      </c>
    </row>
    <row r="682" spans="1:4" x14ac:dyDescent="0.3">
      <c r="A682" s="62" t="s">
        <v>32</v>
      </c>
      <c r="B682" s="62"/>
      <c r="C682" s="16">
        <v>46178</v>
      </c>
      <c r="D682">
        <v>5321.4300000000021</v>
      </c>
    </row>
    <row r="683" spans="1:4" x14ac:dyDescent="0.3">
      <c r="A683" s="62" t="s">
        <v>33</v>
      </c>
      <c r="B683" s="62"/>
      <c r="C683" s="16">
        <v>46178</v>
      </c>
      <c r="D683">
        <v>24833.23</v>
      </c>
    </row>
    <row r="684" spans="1:4" x14ac:dyDescent="0.3">
      <c r="A684" s="62" t="s">
        <v>34</v>
      </c>
      <c r="B684" s="62"/>
      <c r="C684" s="16">
        <v>46178</v>
      </c>
      <c r="D684">
        <v>345</v>
      </c>
    </row>
    <row r="685" spans="1:4" x14ac:dyDescent="0.3">
      <c r="A685" s="62" t="s">
        <v>35</v>
      </c>
      <c r="B685" s="62"/>
      <c r="C685" s="16">
        <v>46178</v>
      </c>
      <c r="D685">
        <v>2422.7400000000016</v>
      </c>
    </row>
    <row r="686" spans="1:4" x14ac:dyDescent="0.3">
      <c r="A686" s="62" t="s">
        <v>17</v>
      </c>
      <c r="B686" s="62"/>
      <c r="C686" s="16">
        <v>46179</v>
      </c>
      <c r="D686">
        <v>733394.14000000013</v>
      </c>
    </row>
    <row r="687" spans="1:4" x14ac:dyDescent="0.3">
      <c r="A687" s="62" t="s">
        <v>18</v>
      </c>
      <c r="B687" s="62"/>
      <c r="C687" s="16">
        <v>46179</v>
      </c>
      <c r="D687">
        <v>69376.390000000174</v>
      </c>
    </row>
    <row r="688" spans="1:4" x14ac:dyDescent="0.3">
      <c r="A688" s="62" t="s">
        <v>19</v>
      </c>
      <c r="B688" s="62"/>
      <c r="C688" s="16">
        <v>46179</v>
      </c>
      <c r="D688">
        <v>1669.89</v>
      </c>
    </row>
    <row r="689" spans="1:4" x14ac:dyDescent="0.3">
      <c r="A689" s="62" t="s">
        <v>20</v>
      </c>
      <c r="B689" s="62"/>
      <c r="C689" s="16">
        <v>46179</v>
      </c>
      <c r="D689">
        <v>729545.23999999987</v>
      </c>
    </row>
    <row r="690" spans="1:4" x14ac:dyDescent="0.3">
      <c r="A690" s="62" t="s">
        <v>21</v>
      </c>
      <c r="B690" s="62"/>
      <c r="C690" s="16">
        <v>46179</v>
      </c>
      <c r="D690">
        <v>1164028.3199999994</v>
      </c>
    </row>
    <row r="691" spans="1:4" x14ac:dyDescent="0.3">
      <c r="A691" s="62" t="s">
        <v>22</v>
      </c>
      <c r="B691" s="62"/>
      <c r="C691" s="16">
        <v>46179</v>
      </c>
      <c r="D691">
        <v>116496.38</v>
      </c>
    </row>
    <row r="692" spans="1:4" x14ac:dyDescent="0.3">
      <c r="A692" s="62" t="s">
        <v>23</v>
      </c>
      <c r="B692" s="62"/>
      <c r="C692" s="16">
        <v>46179</v>
      </c>
      <c r="D692">
        <v>88090.37</v>
      </c>
    </row>
    <row r="693" spans="1:4" x14ac:dyDescent="0.3">
      <c r="A693" s="62" t="s">
        <v>24</v>
      </c>
      <c r="B693" s="62"/>
      <c r="C693" s="16">
        <v>46179</v>
      </c>
      <c r="D693">
        <v>1227.9699999999998</v>
      </c>
    </row>
    <row r="694" spans="1:4" x14ac:dyDescent="0.3">
      <c r="A694" s="62" t="s">
        <v>25</v>
      </c>
      <c r="B694" s="62"/>
      <c r="C694" s="16">
        <v>46179</v>
      </c>
      <c r="D694">
        <v>84.35</v>
      </c>
    </row>
    <row r="695" spans="1:4" x14ac:dyDescent="0.3">
      <c r="A695" s="62" t="s">
        <v>26</v>
      </c>
      <c r="B695" s="62"/>
      <c r="C695" s="16">
        <v>46179</v>
      </c>
      <c r="D695">
        <v>2237.77</v>
      </c>
    </row>
    <row r="696" spans="1:4" x14ac:dyDescent="0.3">
      <c r="A696" s="62" t="s">
        <v>27</v>
      </c>
      <c r="B696" s="62"/>
      <c r="C696" s="16">
        <v>46179</v>
      </c>
      <c r="D696">
        <v>3349.94</v>
      </c>
    </row>
    <row r="697" spans="1:4" x14ac:dyDescent="0.3">
      <c r="A697" s="62" t="s">
        <v>28</v>
      </c>
      <c r="B697" s="62"/>
      <c r="C697" s="16">
        <v>46179</v>
      </c>
      <c r="D697">
        <v>1968.99</v>
      </c>
    </row>
    <row r="698" spans="1:4" x14ac:dyDescent="0.3">
      <c r="A698" s="62" t="s">
        <v>29</v>
      </c>
      <c r="B698" s="62"/>
      <c r="C698" s="16">
        <v>46179</v>
      </c>
      <c r="D698">
        <v>382.69000000000005</v>
      </c>
    </row>
    <row r="699" spans="1:4" x14ac:dyDescent="0.3">
      <c r="A699" s="62" t="s">
        <v>30</v>
      </c>
      <c r="B699" s="62"/>
      <c r="C699" s="16">
        <v>46179</v>
      </c>
      <c r="D699">
        <v>1428.08</v>
      </c>
    </row>
    <row r="700" spans="1:4" x14ac:dyDescent="0.3">
      <c r="A700" s="62" t="s">
        <v>31</v>
      </c>
      <c r="B700" s="62"/>
      <c r="C700" s="16">
        <v>46179</v>
      </c>
      <c r="D700">
        <v>25789.969999999961</v>
      </c>
    </row>
    <row r="701" spans="1:4" x14ac:dyDescent="0.3">
      <c r="A701" s="62" t="s">
        <v>32</v>
      </c>
      <c r="B701" s="62"/>
      <c r="C701" s="16">
        <v>46179</v>
      </c>
      <c r="D701">
        <v>5321.4300000000021</v>
      </c>
    </row>
    <row r="702" spans="1:4" x14ac:dyDescent="0.3">
      <c r="A702" s="62" t="s">
        <v>33</v>
      </c>
      <c r="B702" s="62"/>
      <c r="C702" s="16">
        <v>46179</v>
      </c>
      <c r="D702">
        <v>24833.23</v>
      </c>
    </row>
    <row r="703" spans="1:4" x14ac:dyDescent="0.3">
      <c r="A703" s="62" t="s">
        <v>34</v>
      </c>
      <c r="B703" s="62"/>
      <c r="C703" s="16">
        <v>46179</v>
      </c>
      <c r="D703">
        <v>345</v>
      </c>
    </row>
    <row r="704" spans="1:4" x14ac:dyDescent="0.3">
      <c r="A704" s="62" t="s">
        <v>35</v>
      </c>
      <c r="B704" s="62"/>
      <c r="C704" s="16">
        <v>46179</v>
      </c>
      <c r="D704">
        <v>2422.7400000000016</v>
      </c>
    </row>
    <row r="705" spans="1:4" x14ac:dyDescent="0.3">
      <c r="A705" s="62" t="s">
        <v>17</v>
      </c>
      <c r="B705" s="62"/>
      <c r="C705" s="16">
        <v>46180</v>
      </c>
      <c r="D705">
        <v>733394.14000000013</v>
      </c>
    </row>
    <row r="706" spans="1:4" x14ac:dyDescent="0.3">
      <c r="A706" s="62" t="s">
        <v>18</v>
      </c>
      <c r="B706" s="62"/>
      <c r="C706" s="16">
        <v>46180</v>
      </c>
      <c r="D706">
        <v>69376.390000000174</v>
      </c>
    </row>
    <row r="707" spans="1:4" x14ac:dyDescent="0.3">
      <c r="A707" s="62" t="s">
        <v>19</v>
      </c>
      <c r="B707" s="62"/>
      <c r="C707" s="16">
        <v>46180</v>
      </c>
      <c r="D707">
        <v>1669.89</v>
      </c>
    </row>
    <row r="708" spans="1:4" x14ac:dyDescent="0.3">
      <c r="A708" s="62" t="s">
        <v>20</v>
      </c>
      <c r="B708" s="62"/>
      <c r="C708" s="16">
        <v>46180</v>
      </c>
      <c r="D708">
        <v>729545.23999999987</v>
      </c>
    </row>
    <row r="709" spans="1:4" x14ac:dyDescent="0.3">
      <c r="A709" s="62" t="s">
        <v>21</v>
      </c>
      <c r="B709" s="62"/>
      <c r="C709" s="16">
        <v>46180</v>
      </c>
      <c r="D709">
        <v>1164028.3199999994</v>
      </c>
    </row>
    <row r="710" spans="1:4" x14ac:dyDescent="0.3">
      <c r="A710" s="62" t="s">
        <v>22</v>
      </c>
      <c r="B710" s="62"/>
      <c r="C710" s="16">
        <v>46180</v>
      </c>
      <c r="D710">
        <v>116496.38</v>
      </c>
    </row>
    <row r="711" spans="1:4" x14ac:dyDescent="0.3">
      <c r="A711" s="62" t="s">
        <v>23</v>
      </c>
      <c r="B711" s="62"/>
      <c r="C711" s="16">
        <v>46180</v>
      </c>
      <c r="D711">
        <v>88090.37</v>
      </c>
    </row>
    <row r="712" spans="1:4" x14ac:dyDescent="0.3">
      <c r="A712" s="62" t="s">
        <v>24</v>
      </c>
      <c r="B712" s="62"/>
      <c r="C712" s="16">
        <v>46180</v>
      </c>
      <c r="D712">
        <v>1227.9699999999998</v>
      </c>
    </row>
    <row r="713" spans="1:4" x14ac:dyDescent="0.3">
      <c r="A713" s="62" t="s">
        <v>25</v>
      </c>
      <c r="B713" s="62"/>
      <c r="C713" s="16">
        <v>46180</v>
      </c>
      <c r="D713">
        <v>84.35</v>
      </c>
    </row>
    <row r="714" spans="1:4" x14ac:dyDescent="0.3">
      <c r="A714" s="62" t="s">
        <v>26</v>
      </c>
      <c r="B714" s="62"/>
      <c r="C714" s="16">
        <v>46180</v>
      </c>
      <c r="D714">
        <v>2237.77</v>
      </c>
    </row>
    <row r="715" spans="1:4" x14ac:dyDescent="0.3">
      <c r="A715" s="62" t="s">
        <v>27</v>
      </c>
      <c r="B715" s="62"/>
      <c r="C715" s="16">
        <v>46180</v>
      </c>
      <c r="D715">
        <v>3349.94</v>
      </c>
    </row>
    <row r="716" spans="1:4" x14ac:dyDescent="0.3">
      <c r="A716" s="62" t="s">
        <v>28</v>
      </c>
      <c r="B716" s="62"/>
      <c r="C716" s="16">
        <v>46180</v>
      </c>
      <c r="D716">
        <v>1968.99</v>
      </c>
    </row>
    <row r="717" spans="1:4" x14ac:dyDescent="0.3">
      <c r="A717" s="62" t="s">
        <v>29</v>
      </c>
      <c r="B717" s="62"/>
      <c r="C717" s="16">
        <v>46180</v>
      </c>
      <c r="D717">
        <v>382.69000000000005</v>
      </c>
    </row>
    <row r="718" spans="1:4" x14ac:dyDescent="0.3">
      <c r="A718" s="62" t="s">
        <v>30</v>
      </c>
      <c r="B718" s="62"/>
      <c r="C718" s="16">
        <v>46180</v>
      </c>
      <c r="D718">
        <v>1428.08</v>
      </c>
    </row>
    <row r="719" spans="1:4" x14ac:dyDescent="0.3">
      <c r="A719" s="62" t="s">
        <v>31</v>
      </c>
      <c r="B719" s="62"/>
      <c r="C719" s="16">
        <v>46180</v>
      </c>
      <c r="D719">
        <v>25789.969999999961</v>
      </c>
    </row>
    <row r="720" spans="1:4" x14ac:dyDescent="0.3">
      <c r="A720" s="62" t="s">
        <v>32</v>
      </c>
      <c r="B720" s="62"/>
      <c r="C720" s="16">
        <v>46180</v>
      </c>
      <c r="D720">
        <v>5321.4300000000021</v>
      </c>
    </row>
    <row r="721" spans="1:4" x14ac:dyDescent="0.3">
      <c r="A721" s="62" t="s">
        <v>33</v>
      </c>
      <c r="B721" s="62"/>
      <c r="C721" s="16">
        <v>46180</v>
      </c>
      <c r="D721">
        <v>24833.23</v>
      </c>
    </row>
    <row r="722" spans="1:4" x14ac:dyDescent="0.3">
      <c r="A722" s="62" t="s">
        <v>34</v>
      </c>
      <c r="B722" s="62"/>
      <c r="C722" s="16">
        <v>46180</v>
      </c>
      <c r="D722">
        <v>345</v>
      </c>
    </row>
    <row r="723" spans="1:4" x14ac:dyDescent="0.3">
      <c r="A723" s="62" t="s">
        <v>35</v>
      </c>
      <c r="B723" s="62"/>
      <c r="C723" s="16">
        <v>46180</v>
      </c>
      <c r="D723">
        <v>2422.7400000000016</v>
      </c>
    </row>
    <row r="724" spans="1:4" x14ac:dyDescent="0.3">
      <c r="A724" s="62" t="s">
        <v>17</v>
      </c>
      <c r="B724" s="62"/>
      <c r="C724" s="16">
        <v>46181</v>
      </c>
      <c r="D724">
        <v>733394.14000000013</v>
      </c>
    </row>
    <row r="725" spans="1:4" x14ac:dyDescent="0.3">
      <c r="A725" s="62" t="s">
        <v>18</v>
      </c>
      <c r="B725" s="62"/>
      <c r="C725" s="16">
        <v>46181</v>
      </c>
      <c r="D725">
        <v>69376.390000000174</v>
      </c>
    </row>
    <row r="726" spans="1:4" x14ac:dyDescent="0.3">
      <c r="A726" s="62" t="s">
        <v>19</v>
      </c>
      <c r="B726" s="62"/>
      <c r="C726" s="16">
        <v>46181</v>
      </c>
      <c r="D726">
        <v>1669.89</v>
      </c>
    </row>
    <row r="727" spans="1:4" x14ac:dyDescent="0.3">
      <c r="A727" s="62" t="s">
        <v>20</v>
      </c>
      <c r="B727" s="62"/>
      <c r="C727" s="16">
        <v>46181</v>
      </c>
      <c r="D727">
        <v>729545.23999999987</v>
      </c>
    </row>
    <row r="728" spans="1:4" x14ac:dyDescent="0.3">
      <c r="A728" s="62" t="s">
        <v>21</v>
      </c>
      <c r="B728" s="62"/>
      <c r="C728" s="16">
        <v>46181</v>
      </c>
      <c r="D728">
        <v>1164028.3199999994</v>
      </c>
    </row>
    <row r="729" spans="1:4" x14ac:dyDescent="0.3">
      <c r="A729" s="62" t="s">
        <v>22</v>
      </c>
      <c r="B729" s="62"/>
      <c r="C729" s="16">
        <v>46181</v>
      </c>
      <c r="D729">
        <v>116496.38</v>
      </c>
    </row>
    <row r="730" spans="1:4" x14ac:dyDescent="0.3">
      <c r="A730" s="62" t="s">
        <v>23</v>
      </c>
      <c r="B730" s="62"/>
      <c r="C730" s="16">
        <v>46181</v>
      </c>
      <c r="D730">
        <v>88090.37</v>
      </c>
    </row>
    <row r="731" spans="1:4" x14ac:dyDescent="0.3">
      <c r="A731" s="62" t="s">
        <v>24</v>
      </c>
      <c r="B731" s="62"/>
      <c r="C731" s="16">
        <v>46181</v>
      </c>
      <c r="D731">
        <v>1227.9699999999998</v>
      </c>
    </row>
    <row r="732" spans="1:4" x14ac:dyDescent="0.3">
      <c r="A732" s="62" t="s">
        <v>25</v>
      </c>
      <c r="B732" s="62"/>
      <c r="C732" s="16">
        <v>46181</v>
      </c>
      <c r="D732">
        <v>84.35</v>
      </c>
    </row>
    <row r="733" spans="1:4" x14ac:dyDescent="0.3">
      <c r="A733" s="62" t="s">
        <v>26</v>
      </c>
      <c r="B733" s="62"/>
      <c r="C733" s="16">
        <v>46181</v>
      </c>
      <c r="D733">
        <v>2237.77</v>
      </c>
    </row>
    <row r="734" spans="1:4" x14ac:dyDescent="0.3">
      <c r="A734" s="62" t="s">
        <v>27</v>
      </c>
      <c r="B734" s="62"/>
      <c r="C734" s="16">
        <v>46181</v>
      </c>
      <c r="D734">
        <v>3349.94</v>
      </c>
    </row>
    <row r="735" spans="1:4" x14ac:dyDescent="0.3">
      <c r="A735" s="62" t="s">
        <v>28</v>
      </c>
      <c r="B735" s="62"/>
      <c r="C735" s="16">
        <v>46181</v>
      </c>
      <c r="D735">
        <v>1968.99</v>
      </c>
    </row>
    <row r="736" spans="1:4" x14ac:dyDescent="0.3">
      <c r="A736" s="62" t="s">
        <v>29</v>
      </c>
      <c r="B736" s="62"/>
      <c r="C736" s="16">
        <v>46181</v>
      </c>
      <c r="D736">
        <v>382.69000000000005</v>
      </c>
    </row>
    <row r="737" spans="1:4" x14ac:dyDescent="0.3">
      <c r="A737" s="62" t="s">
        <v>30</v>
      </c>
      <c r="B737" s="62"/>
      <c r="C737" s="16">
        <v>46181</v>
      </c>
      <c r="D737">
        <v>1428.08</v>
      </c>
    </row>
    <row r="738" spans="1:4" x14ac:dyDescent="0.3">
      <c r="A738" s="62" t="s">
        <v>31</v>
      </c>
      <c r="B738" s="62"/>
      <c r="C738" s="16">
        <v>46181</v>
      </c>
      <c r="D738">
        <v>25789.969999999961</v>
      </c>
    </row>
    <row r="739" spans="1:4" x14ac:dyDescent="0.3">
      <c r="A739" s="62" t="s">
        <v>32</v>
      </c>
      <c r="B739" s="62"/>
      <c r="C739" s="16">
        <v>46181</v>
      </c>
      <c r="D739">
        <v>5321.4300000000021</v>
      </c>
    </row>
    <row r="740" spans="1:4" x14ac:dyDescent="0.3">
      <c r="A740" s="62" t="s">
        <v>33</v>
      </c>
      <c r="B740" s="62"/>
      <c r="C740" s="16">
        <v>46181</v>
      </c>
      <c r="D740">
        <v>24833.23</v>
      </c>
    </row>
    <row r="741" spans="1:4" x14ac:dyDescent="0.3">
      <c r="A741" s="62" t="s">
        <v>34</v>
      </c>
      <c r="B741" s="62"/>
      <c r="C741" s="16">
        <v>46181</v>
      </c>
      <c r="D741">
        <v>345</v>
      </c>
    </row>
    <row r="742" spans="1:4" x14ac:dyDescent="0.3">
      <c r="A742" s="62" t="s">
        <v>35</v>
      </c>
      <c r="B742" s="62"/>
      <c r="C742" s="16">
        <v>46181</v>
      </c>
      <c r="D742">
        <v>1451.1500000000015</v>
      </c>
    </row>
    <row r="743" spans="1:4" x14ac:dyDescent="0.3">
      <c r="A743" s="62" t="s">
        <v>17</v>
      </c>
      <c r="B743" s="62"/>
      <c r="C743" s="16">
        <v>46182</v>
      </c>
      <c r="D743">
        <v>847381.29000000015</v>
      </c>
    </row>
    <row r="744" spans="1:4" x14ac:dyDescent="0.3">
      <c r="A744" s="62" t="s">
        <v>18</v>
      </c>
      <c r="B744" s="62"/>
      <c r="C744" s="16">
        <v>46182</v>
      </c>
      <c r="D744">
        <v>69376.390000000174</v>
      </c>
    </row>
    <row r="745" spans="1:4" x14ac:dyDescent="0.3">
      <c r="A745" s="62" t="s">
        <v>19</v>
      </c>
      <c r="B745" s="62"/>
      <c r="C745" s="16">
        <v>46182</v>
      </c>
      <c r="D745">
        <v>1669.89</v>
      </c>
    </row>
    <row r="746" spans="1:4" x14ac:dyDescent="0.3">
      <c r="A746" s="62" t="s">
        <v>20</v>
      </c>
      <c r="B746" s="62"/>
      <c r="C746" s="16">
        <v>46182</v>
      </c>
      <c r="D746">
        <v>729545.23999999987</v>
      </c>
    </row>
    <row r="747" spans="1:4" x14ac:dyDescent="0.3">
      <c r="A747" s="62" t="s">
        <v>21</v>
      </c>
      <c r="B747" s="62"/>
      <c r="C747" s="16">
        <v>46182</v>
      </c>
      <c r="D747">
        <v>1160274.0499999993</v>
      </c>
    </row>
    <row r="748" spans="1:4" x14ac:dyDescent="0.3">
      <c r="A748" s="62" t="s">
        <v>22</v>
      </c>
      <c r="B748" s="62"/>
      <c r="C748" s="16">
        <v>46182</v>
      </c>
      <c r="D748">
        <v>116496.38</v>
      </c>
    </row>
    <row r="749" spans="1:4" x14ac:dyDescent="0.3">
      <c r="A749" s="62" t="s">
        <v>23</v>
      </c>
      <c r="B749" s="62"/>
      <c r="C749" s="16">
        <v>46182</v>
      </c>
      <c r="D749">
        <v>88090.37</v>
      </c>
    </row>
    <row r="750" spans="1:4" x14ac:dyDescent="0.3">
      <c r="A750" s="62" t="s">
        <v>24</v>
      </c>
      <c r="B750" s="62"/>
      <c r="C750" s="16">
        <v>46182</v>
      </c>
      <c r="D750">
        <v>1227.9699999999998</v>
      </c>
    </row>
    <row r="751" spans="1:4" x14ac:dyDescent="0.3">
      <c r="A751" s="62" t="s">
        <v>25</v>
      </c>
      <c r="B751" s="62"/>
      <c r="C751" s="16">
        <v>46182</v>
      </c>
      <c r="D751">
        <v>84.35</v>
      </c>
    </row>
    <row r="752" spans="1:4" x14ac:dyDescent="0.3">
      <c r="A752" s="62" t="s">
        <v>26</v>
      </c>
      <c r="B752" s="62"/>
      <c r="C752" s="16">
        <v>46182</v>
      </c>
      <c r="D752">
        <v>2237.77</v>
      </c>
    </row>
    <row r="753" spans="1:4" x14ac:dyDescent="0.3">
      <c r="A753" s="62" t="s">
        <v>27</v>
      </c>
      <c r="B753" s="62"/>
      <c r="C753" s="16">
        <v>46182</v>
      </c>
      <c r="D753">
        <v>3349.94</v>
      </c>
    </row>
    <row r="754" spans="1:4" x14ac:dyDescent="0.3">
      <c r="A754" s="62" t="s">
        <v>28</v>
      </c>
      <c r="B754" s="62"/>
      <c r="C754" s="16">
        <v>46182</v>
      </c>
      <c r="D754">
        <v>1968.99</v>
      </c>
    </row>
    <row r="755" spans="1:4" x14ac:dyDescent="0.3">
      <c r="A755" s="62" t="s">
        <v>29</v>
      </c>
      <c r="B755" s="62"/>
      <c r="C755" s="16">
        <v>46182</v>
      </c>
      <c r="D755">
        <v>382.69000000000005</v>
      </c>
    </row>
    <row r="756" spans="1:4" x14ac:dyDescent="0.3">
      <c r="A756" s="62" t="s">
        <v>30</v>
      </c>
      <c r="B756" s="62"/>
      <c r="C756" s="16">
        <v>46182</v>
      </c>
      <c r="D756">
        <v>1428.08</v>
      </c>
    </row>
    <row r="757" spans="1:4" x14ac:dyDescent="0.3">
      <c r="A757" s="62" t="s">
        <v>31</v>
      </c>
      <c r="B757" s="62"/>
      <c r="C757" s="16">
        <v>46182</v>
      </c>
      <c r="D757">
        <v>25789.969999999961</v>
      </c>
    </row>
    <row r="758" spans="1:4" x14ac:dyDescent="0.3">
      <c r="A758" s="62" t="s">
        <v>32</v>
      </c>
      <c r="B758" s="62"/>
      <c r="C758" s="16">
        <v>46182</v>
      </c>
      <c r="D758">
        <v>5321.4300000000021</v>
      </c>
    </row>
    <row r="759" spans="1:4" x14ac:dyDescent="0.3">
      <c r="A759" s="62" t="s">
        <v>33</v>
      </c>
      <c r="B759" s="62"/>
      <c r="C759" s="16">
        <v>46182</v>
      </c>
      <c r="D759">
        <v>24833.23</v>
      </c>
    </row>
    <row r="760" spans="1:4" x14ac:dyDescent="0.3">
      <c r="A760" s="62" t="s">
        <v>34</v>
      </c>
      <c r="B760" s="62"/>
      <c r="C760" s="16">
        <v>46182</v>
      </c>
      <c r="D760">
        <v>345</v>
      </c>
    </row>
    <row r="761" spans="1:4" x14ac:dyDescent="0.3">
      <c r="A761" s="62" t="s">
        <v>35</v>
      </c>
      <c r="B761" s="62"/>
      <c r="C761" s="16">
        <v>46182</v>
      </c>
      <c r="D761">
        <v>1289.7300000000014</v>
      </c>
    </row>
    <row r="762" spans="1:4" x14ac:dyDescent="0.3">
      <c r="A762" s="62" t="s">
        <v>17</v>
      </c>
      <c r="B762" s="62"/>
      <c r="C762" s="16">
        <v>46183</v>
      </c>
      <c r="D762">
        <v>2288745.9500000002</v>
      </c>
    </row>
    <row r="763" spans="1:4" x14ac:dyDescent="0.3">
      <c r="A763" s="62" t="s">
        <v>18</v>
      </c>
      <c r="B763" s="62"/>
      <c r="C763" s="16">
        <v>46183</v>
      </c>
      <c r="D763">
        <v>69376.390000000174</v>
      </c>
    </row>
    <row r="764" spans="1:4" x14ac:dyDescent="0.3">
      <c r="A764" s="62" t="s">
        <v>19</v>
      </c>
      <c r="B764" s="62"/>
      <c r="C764" s="16">
        <v>46183</v>
      </c>
      <c r="D764">
        <v>1669.89</v>
      </c>
    </row>
    <row r="765" spans="1:4" x14ac:dyDescent="0.3">
      <c r="A765" s="62" t="s">
        <v>20</v>
      </c>
      <c r="B765" s="62"/>
      <c r="C765" s="16">
        <v>46183</v>
      </c>
      <c r="D765">
        <v>744306.80999999982</v>
      </c>
    </row>
    <row r="766" spans="1:4" x14ac:dyDescent="0.3">
      <c r="A766" s="62" t="s">
        <v>21</v>
      </c>
      <c r="B766" s="62"/>
      <c r="C766" s="16">
        <v>46183</v>
      </c>
      <c r="D766">
        <v>1160274.0499999993</v>
      </c>
    </row>
    <row r="767" spans="1:4" x14ac:dyDescent="0.3">
      <c r="A767" s="62" t="s">
        <v>22</v>
      </c>
      <c r="B767" s="62"/>
      <c r="C767" s="16">
        <v>46183</v>
      </c>
      <c r="D767">
        <v>116496.38</v>
      </c>
    </row>
    <row r="768" spans="1:4" x14ac:dyDescent="0.3">
      <c r="A768" s="62" t="s">
        <v>23</v>
      </c>
      <c r="B768" s="62"/>
      <c r="C768" s="16">
        <v>46183</v>
      </c>
      <c r="D768">
        <v>88090.37</v>
      </c>
    </row>
    <row r="769" spans="1:4" x14ac:dyDescent="0.3">
      <c r="A769" s="62" t="s">
        <v>24</v>
      </c>
      <c r="B769" s="62"/>
      <c r="C769" s="16">
        <v>46183</v>
      </c>
      <c r="D769">
        <v>1227.9699999999998</v>
      </c>
    </row>
    <row r="770" spans="1:4" x14ac:dyDescent="0.3">
      <c r="A770" s="62" t="s">
        <v>25</v>
      </c>
      <c r="B770" s="62"/>
      <c r="C770" s="16">
        <v>46183</v>
      </c>
      <c r="D770">
        <v>84.35</v>
      </c>
    </row>
    <row r="771" spans="1:4" x14ac:dyDescent="0.3">
      <c r="A771" s="62" t="s">
        <v>26</v>
      </c>
      <c r="B771" s="62"/>
      <c r="C771" s="16">
        <v>46183</v>
      </c>
      <c r="D771">
        <v>2237.77</v>
      </c>
    </row>
    <row r="772" spans="1:4" x14ac:dyDescent="0.3">
      <c r="A772" s="62" t="s">
        <v>27</v>
      </c>
      <c r="B772" s="62"/>
      <c r="C772" s="16">
        <v>46183</v>
      </c>
      <c r="D772">
        <v>3349.94</v>
      </c>
    </row>
    <row r="773" spans="1:4" x14ac:dyDescent="0.3">
      <c r="A773" s="62" t="s">
        <v>28</v>
      </c>
      <c r="B773" s="62"/>
      <c r="C773" s="16">
        <v>46183</v>
      </c>
      <c r="D773">
        <v>1968.99</v>
      </c>
    </row>
    <row r="774" spans="1:4" x14ac:dyDescent="0.3">
      <c r="A774" s="62" t="s">
        <v>29</v>
      </c>
      <c r="B774" s="62"/>
      <c r="C774" s="16">
        <v>46183</v>
      </c>
      <c r="D774">
        <v>382.69000000000005</v>
      </c>
    </row>
    <row r="775" spans="1:4" x14ac:dyDescent="0.3">
      <c r="A775" s="62" t="s">
        <v>30</v>
      </c>
      <c r="B775" s="62"/>
      <c r="C775" s="16">
        <v>46183</v>
      </c>
      <c r="D775">
        <v>1428.08</v>
      </c>
    </row>
    <row r="776" spans="1:4" x14ac:dyDescent="0.3">
      <c r="A776" s="62" t="s">
        <v>31</v>
      </c>
      <c r="B776" s="62"/>
      <c r="C776" s="16">
        <v>46183</v>
      </c>
      <c r="D776">
        <v>25789.969999999961</v>
      </c>
    </row>
    <row r="777" spans="1:4" x14ac:dyDescent="0.3">
      <c r="A777" s="62" t="s">
        <v>32</v>
      </c>
      <c r="B777" s="62"/>
      <c r="C777" s="16">
        <v>46183</v>
      </c>
      <c r="D777">
        <v>5321.4300000000021</v>
      </c>
    </row>
    <row r="778" spans="1:4" x14ac:dyDescent="0.3">
      <c r="A778" s="62" t="s">
        <v>33</v>
      </c>
      <c r="B778" s="62"/>
      <c r="C778" s="16">
        <v>46183</v>
      </c>
      <c r="D778">
        <v>24743.98</v>
      </c>
    </row>
    <row r="779" spans="1:4" x14ac:dyDescent="0.3">
      <c r="A779" s="62" t="s">
        <v>34</v>
      </c>
      <c r="B779" s="62"/>
      <c r="C779" s="16">
        <v>46183</v>
      </c>
      <c r="D779">
        <v>345</v>
      </c>
    </row>
    <row r="780" spans="1:4" x14ac:dyDescent="0.3">
      <c r="A780" s="62" t="s">
        <v>35</v>
      </c>
      <c r="B780" s="62"/>
      <c r="C780" s="16">
        <v>46183</v>
      </c>
      <c r="D780">
        <v>1289.7300000000014</v>
      </c>
    </row>
    <row r="781" spans="1:4" x14ac:dyDescent="0.3">
      <c r="A781" s="62" t="s">
        <v>17</v>
      </c>
      <c r="B781" s="62"/>
      <c r="C781" s="16">
        <v>46184</v>
      </c>
      <c r="D781">
        <v>1837784.84</v>
      </c>
    </row>
    <row r="782" spans="1:4" x14ac:dyDescent="0.3">
      <c r="A782" s="62" t="s">
        <v>18</v>
      </c>
      <c r="B782" s="62"/>
      <c r="C782" s="16">
        <v>46184</v>
      </c>
      <c r="D782">
        <v>69376.390000000174</v>
      </c>
    </row>
    <row r="783" spans="1:4" x14ac:dyDescent="0.3">
      <c r="A783" s="62" t="s">
        <v>19</v>
      </c>
      <c r="B783" s="62"/>
      <c r="C783" s="16">
        <v>46184</v>
      </c>
      <c r="D783">
        <v>1669.89</v>
      </c>
    </row>
    <row r="784" spans="1:4" x14ac:dyDescent="0.3">
      <c r="A784" s="62" t="s">
        <v>20</v>
      </c>
      <c r="B784" s="62"/>
      <c r="C784" s="16">
        <v>46184</v>
      </c>
      <c r="D784">
        <v>564626.20999999985</v>
      </c>
    </row>
    <row r="785" spans="1:4" x14ac:dyDescent="0.3">
      <c r="A785" s="62" t="s">
        <v>21</v>
      </c>
      <c r="B785" s="62"/>
      <c r="C785" s="16">
        <v>46184</v>
      </c>
      <c r="D785">
        <v>794731.82999999926</v>
      </c>
    </row>
    <row r="786" spans="1:4" x14ac:dyDescent="0.3">
      <c r="A786" s="62" t="s">
        <v>22</v>
      </c>
      <c r="B786" s="62"/>
      <c r="C786" s="16">
        <v>46184</v>
      </c>
      <c r="D786">
        <v>116496.38</v>
      </c>
    </row>
    <row r="787" spans="1:4" x14ac:dyDescent="0.3">
      <c r="A787" s="62" t="s">
        <v>23</v>
      </c>
      <c r="B787" s="62"/>
      <c r="C787" s="16">
        <v>46184</v>
      </c>
      <c r="D787">
        <v>88090.37</v>
      </c>
    </row>
    <row r="788" spans="1:4" x14ac:dyDescent="0.3">
      <c r="A788" s="62" t="s">
        <v>24</v>
      </c>
      <c r="B788" s="62"/>
      <c r="C788" s="16">
        <v>46184</v>
      </c>
      <c r="D788">
        <v>1227.9699999999998</v>
      </c>
    </row>
    <row r="789" spans="1:4" x14ac:dyDescent="0.3">
      <c r="A789" s="62" t="s">
        <v>25</v>
      </c>
      <c r="B789" s="62"/>
      <c r="C789" s="16">
        <v>46184</v>
      </c>
      <c r="D789">
        <v>84.35</v>
      </c>
    </row>
    <row r="790" spans="1:4" x14ac:dyDescent="0.3">
      <c r="A790" s="62" t="s">
        <v>26</v>
      </c>
      <c r="B790" s="62"/>
      <c r="C790" s="16">
        <v>46184</v>
      </c>
      <c r="D790">
        <v>2237.77</v>
      </c>
    </row>
    <row r="791" spans="1:4" x14ac:dyDescent="0.3">
      <c r="A791" s="62" t="s">
        <v>27</v>
      </c>
      <c r="B791" s="62"/>
      <c r="C791" s="16">
        <v>46184</v>
      </c>
      <c r="D791">
        <v>3349.94</v>
      </c>
    </row>
    <row r="792" spans="1:4" x14ac:dyDescent="0.3">
      <c r="A792" s="62" t="s">
        <v>28</v>
      </c>
      <c r="B792" s="62"/>
      <c r="C792" s="16">
        <v>46184</v>
      </c>
      <c r="D792">
        <v>1968.99</v>
      </c>
    </row>
    <row r="793" spans="1:4" x14ac:dyDescent="0.3">
      <c r="A793" s="62" t="s">
        <v>29</v>
      </c>
      <c r="B793" s="62"/>
      <c r="C793" s="16">
        <v>46184</v>
      </c>
      <c r="D793">
        <v>382.69000000000005</v>
      </c>
    </row>
    <row r="794" spans="1:4" x14ac:dyDescent="0.3">
      <c r="A794" s="62" t="s">
        <v>30</v>
      </c>
      <c r="B794" s="62"/>
      <c r="C794" s="16">
        <v>46184</v>
      </c>
      <c r="D794">
        <v>1428.08</v>
      </c>
    </row>
    <row r="795" spans="1:4" x14ac:dyDescent="0.3">
      <c r="A795" s="62" t="s">
        <v>31</v>
      </c>
      <c r="B795" s="62"/>
      <c r="C795" s="16">
        <v>46184</v>
      </c>
      <c r="D795">
        <v>25789.969999999961</v>
      </c>
    </row>
    <row r="796" spans="1:4" x14ac:dyDescent="0.3">
      <c r="A796" s="62" t="s">
        <v>32</v>
      </c>
      <c r="B796" s="62"/>
      <c r="C796" s="16">
        <v>46184</v>
      </c>
      <c r="D796">
        <v>5321.4300000000021</v>
      </c>
    </row>
    <row r="797" spans="1:4" x14ac:dyDescent="0.3">
      <c r="A797" s="62" t="s">
        <v>33</v>
      </c>
      <c r="B797" s="62"/>
      <c r="C797" s="16">
        <v>46184</v>
      </c>
      <c r="D797">
        <v>24743.98</v>
      </c>
    </row>
    <row r="798" spans="1:4" x14ac:dyDescent="0.3">
      <c r="A798" s="62" t="s">
        <v>34</v>
      </c>
      <c r="B798" s="62"/>
      <c r="C798" s="16">
        <v>46184</v>
      </c>
      <c r="D798">
        <v>345</v>
      </c>
    </row>
    <row r="799" spans="1:4" x14ac:dyDescent="0.3">
      <c r="A799" s="62" t="s">
        <v>35</v>
      </c>
      <c r="B799" s="62"/>
      <c r="C799" s="16">
        <v>46184</v>
      </c>
      <c r="D799">
        <v>48774.73</v>
      </c>
    </row>
    <row r="800" spans="1:4" x14ac:dyDescent="0.3">
      <c r="A800" s="62" t="s">
        <v>17</v>
      </c>
      <c r="B800" s="62"/>
      <c r="C800" s="16">
        <v>46185</v>
      </c>
      <c r="D800">
        <v>1837784.84</v>
      </c>
    </row>
    <row r="801" spans="1:4" x14ac:dyDescent="0.3">
      <c r="A801" s="62" t="s">
        <v>18</v>
      </c>
      <c r="B801" s="62"/>
      <c r="C801" s="16">
        <v>46185</v>
      </c>
      <c r="D801">
        <v>69376.390000000174</v>
      </c>
    </row>
    <row r="802" spans="1:4" x14ac:dyDescent="0.3">
      <c r="A802" s="62" t="s">
        <v>19</v>
      </c>
      <c r="B802" s="62"/>
      <c r="C802" s="16">
        <v>46185</v>
      </c>
      <c r="D802">
        <v>1669.89</v>
      </c>
    </row>
    <row r="803" spans="1:4" x14ac:dyDescent="0.3">
      <c r="A803" s="62" t="s">
        <v>20</v>
      </c>
      <c r="B803" s="62"/>
      <c r="C803" s="16">
        <v>46185</v>
      </c>
      <c r="D803">
        <v>564626.20999999985</v>
      </c>
    </row>
    <row r="804" spans="1:4" x14ac:dyDescent="0.3">
      <c r="A804" s="62" t="s">
        <v>21</v>
      </c>
      <c r="B804" s="62"/>
      <c r="C804" s="16">
        <v>46185</v>
      </c>
      <c r="D804">
        <v>3763348.8299999996</v>
      </c>
    </row>
    <row r="805" spans="1:4" x14ac:dyDescent="0.3">
      <c r="A805" s="62" t="s">
        <v>22</v>
      </c>
      <c r="B805" s="62"/>
      <c r="C805" s="16">
        <v>46185</v>
      </c>
      <c r="D805">
        <v>116496.38</v>
      </c>
    </row>
    <row r="806" spans="1:4" x14ac:dyDescent="0.3">
      <c r="A806" s="62" t="s">
        <v>23</v>
      </c>
      <c r="B806" s="62"/>
      <c r="C806" s="16">
        <v>46185</v>
      </c>
      <c r="D806">
        <v>88090.37</v>
      </c>
    </row>
    <row r="807" spans="1:4" x14ac:dyDescent="0.3">
      <c r="A807" s="62" t="s">
        <v>24</v>
      </c>
      <c r="B807" s="62"/>
      <c r="C807" s="16">
        <v>46185</v>
      </c>
      <c r="D807">
        <v>1227.9699999999998</v>
      </c>
    </row>
    <row r="808" spans="1:4" x14ac:dyDescent="0.3">
      <c r="A808" s="62" t="s">
        <v>25</v>
      </c>
      <c r="B808" s="62"/>
      <c r="C808" s="16">
        <v>46185</v>
      </c>
      <c r="D808">
        <v>84.35</v>
      </c>
    </row>
    <row r="809" spans="1:4" x14ac:dyDescent="0.3">
      <c r="A809" s="62" t="s">
        <v>26</v>
      </c>
      <c r="B809" s="62"/>
      <c r="C809" s="16">
        <v>46185</v>
      </c>
      <c r="D809">
        <v>2237.77</v>
      </c>
    </row>
    <row r="810" spans="1:4" x14ac:dyDescent="0.3">
      <c r="A810" s="62" t="s">
        <v>27</v>
      </c>
      <c r="B810" s="62"/>
      <c r="C810" s="16">
        <v>46185</v>
      </c>
      <c r="D810">
        <v>3349.94</v>
      </c>
    </row>
    <row r="811" spans="1:4" x14ac:dyDescent="0.3">
      <c r="A811" s="62" t="s">
        <v>28</v>
      </c>
      <c r="B811" s="62"/>
      <c r="C811" s="16">
        <v>46185</v>
      </c>
      <c r="D811">
        <v>1968.99</v>
      </c>
    </row>
    <row r="812" spans="1:4" x14ac:dyDescent="0.3">
      <c r="A812" s="62" t="s">
        <v>29</v>
      </c>
      <c r="B812" s="62"/>
      <c r="C812" s="16">
        <v>46185</v>
      </c>
      <c r="D812">
        <v>382.69000000000005</v>
      </c>
    </row>
    <row r="813" spans="1:4" x14ac:dyDescent="0.3">
      <c r="A813" s="62" t="s">
        <v>30</v>
      </c>
      <c r="B813" s="62"/>
      <c r="C813" s="16">
        <v>46185</v>
      </c>
      <c r="D813">
        <v>1428.08</v>
      </c>
    </row>
    <row r="814" spans="1:4" x14ac:dyDescent="0.3">
      <c r="A814" s="62" t="s">
        <v>31</v>
      </c>
      <c r="B814" s="62"/>
      <c r="C814" s="16">
        <v>46185</v>
      </c>
      <c r="D814">
        <v>27789.969999999961</v>
      </c>
    </row>
    <row r="815" spans="1:4" x14ac:dyDescent="0.3">
      <c r="A815" s="62" t="s">
        <v>32</v>
      </c>
      <c r="B815" s="62"/>
      <c r="C815" s="16">
        <v>46185</v>
      </c>
      <c r="D815">
        <v>5321.4300000000021</v>
      </c>
    </row>
    <row r="816" spans="1:4" x14ac:dyDescent="0.3">
      <c r="A816" s="62" t="s">
        <v>33</v>
      </c>
      <c r="B816" s="62"/>
      <c r="C816" s="16">
        <v>46185</v>
      </c>
      <c r="D816">
        <v>24484.85</v>
      </c>
    </row>
    <row r="817" spans="1:4" x14ac:dyDescent="0.3">
      <c r="A817" s="62" t="s">
        <v>34</v>
      </c>
      <c r="B817" s="62"/>
      <c r="C817" s="16">
        <v>46185</v>
      </c>
      <c r="D817">
        <v>345</v>
      </c>
    </row>
    <row r="818" spans="1:4" x14ac:dyDescent="0.3">
      <c r="A818" s="62" t="s">
        <v>35</v>
      </c>
      <c r="B818" s="62"/>
      <c r="C818" s="16">
        <v>46185</v>
      </c>
      <c r="D818">
        <v>48774.73</v>
      </c>
    </row>
    <row r="819" spans="1:4" x14ac:dyDescent="0.3">
      <c r="A819" s="62" t="s">
        <v>17</v>
      </c>
      <c r="B819" s="62"/>
      <c r="C819" s="16">
        <v>46186</v>
      </c>
      <c r="D819">
        <v>1837784.84</v>
      </c>
    </row>
    <row r="820" spans="1:4" x14ac:dyDescent="0.3">
      <c r="A820" s="62" t="s">
        <v>18</v>
      </c>
      <c r="B820" s="62"/>
      <c r="C820" s="16">
        <v>46186</v>
      </c>
      <c r="D820">
        <v>69376.390000000174</v>
      </c>
    </row>
    <row r="821" spans="1:4" x14ac:dyDescent="0.3">
      <c r="A821" s="62" t="s">
        <v>19</v>
      </c>
      <c r="B821" s="62"/>
      <c r="C821" s="16">
        <v>46186</v>
      </c>
      <c r="D821">
        <v>1669.89</v>
      </c>
    </row>
    <row r="822" spans="1:4" x14ac:dyDescent="0.3">
      <c r="A822" s="62" t="s">
        <v>20</v>
      </c>
      <c r="B822" s="62"/>
      <c r="C822" s="16">
        <v>46186</v>
      </c>
      <c r="D822">
        <v>564626.20999999985</v>
      </c>
    </row>
    <row r="823" spans="1:4" x14ac:dyDescent="0.3">
      <c r="A823" s="62" t="s">
        <v>21</v>
      </c>
      <c r="B823" s="62"/>
      <c r="C823" s="16">
        <v>46186</v>
      </c>
      <c r="D823">
        <v>3763348.8299999996</v>
      </c>
    </row>
    <row r="824" spans="1:4" x14ac:dyDescent="0.3">
      <c r="A824" s="62" t="s">
        <v>22</v>
      </c>
      <c r="B824" s="62"/>
      <c r="C824" s="16">
        <v>46186</v>
      </c>
      <c r="D824">
        <v>116496.38</v>
      </c>
    </row>
    <row r="825" spans="1:4" x14ac:dyDescent="0.3">
      <c r="A825" s="62" t="s">
        <v>23</v>
      </c>
      <c r="B825" s="62"/>
      <c r="C825" s="16">
        <v>46186</v>
      </c>
      <c r="D825">
        <v>88090.37</v>
      </c>
    </row>
    <row r="826" spans="1:4" x14ac:dyDescent="0.3">
      <c r="A826" s="62" t="s">
        <v>24</v>
      </c>
      <c r="B826" s="62"/>
      <c r="C826" s="16">
        <v>46186</v>
      </c>
      <c r="D826">
        <v>1227.9699999999998</v>
      </c>
    </row>
    <row r="827" spans="1:4" x14ac:dyDescent="0.3">
      <c r="A827" s="62" t="s">
        <v>25</v>
      </c>
      <c r="B827" s="62"/>
      <c r="C827" s="16">
        <v>46186</v>
      </c>
      <c r="D827">
        <v>84.35</v>
      </c>
    </row>
    <row r="828" spans="1:4" x14ac:dyDescent="0.3">
      <c r="A828" s="62" t="s">
        <v>26</v>
      </c>
      <c r="B828" s="62"/>
      <c r="C828" s="16">
        <v>46186</v>
      </c>
      <c r="D828">
        <v>2237.77</v>
      </c>
    </row>
    <row r="829" spans="1:4" x14ac:dyDescent="0.3">
      <c r="A829" s="62" t="s">
        <v>27</v>
      </c>
      <c r="B829" s="62"/>
      <c r="C829" s="16">
        <v>46186</v>
      </c>
      <c r="D829">
        <v>3349.94</v>
      </c>
    </row>
    <row r="830" spans="1:4" x14ac:dyDescent="0.3">
      <c r="A830" s="62" t="s">
        <v>28</v>
      </c>
      <c r="B830" s="62"/>
      <c r="C830" s="16">
        <v>46186</v>
      </c>
      <c r="D830">
        <v>1968.99</v>
      </c>
    </row>
    <row r="831" spans="1:4" x14ac:dyDescent="0.3">
      <c r="A831" s="62" t="s">
        <v>29</v>
      </c>
      <c r="B831" s="62"/>
      <c r="C831" s="16">
        <v>46186</v>
      </c>
      <c r="D831">
        <v>382.69000000000005</v>
      </c>
    </row>
    <row r="832" spans="1:4" x14ac:dyDescent="0.3">
      <c r="A832" s="62" t="s">
        <v>30</v>
      </c>
      <c r="B832" s="62"/>
      <c r="C832" s="16">
        <v>46186</v>
      </c>
      <c r="D832">
        <v>1428.08</v>
      </c>
    </row>
    <row r="833" spans="1:4" x14ac:dyDescent="0.3">
      <c r="A833" s="62" t="s">
        <v>31</v>
      </c>
      <c r="B833" s="62"/>
      <c r="C833" s="16">
        <v>46186</v>
      </c>
      <c r="D833">
        <v>27789.969999999961</v>
      </c>
    </row>
    <row r="834" spans="1:4" x14ac:dyDescent="0.3">
      <c r="A834" s="62" t="s">
        <v>32</v>
      </c>
      <c r="B834" s="62"/>
      <c r="C834" s="16">
        <v>46186</v>
      </c>
      <c r="D834">
        <v>5321.4300000000021</v>
      </c>
    </row>
    <row r="835" spans="1:4" x14ac:dyDescent="0.3">
      <c r="A835" s="62" t="s">
        <v>33</v>
      </c>
      <c r="B835" s="62"/>
      <c r="C835" s="16">
        <v>46186</v>
      </c>
      <c r="D835">
        <v>24484.85</v>
      </c>
    </row>
    <row r="836" spans="1:4" x14ac:dyDescent="0.3">
      <c r="A836" s="62" t="s">
        <v>34</v>
      </c>
      <c r="B836" s="62"/>
      <c r="C836" s="16">
        <v>46186</v>
      </c>
      <c r="D836">
        <v>345</v>
      </c>
    </row>
    <row r="837" spans="1:4" x14ac:dyDescent="0.3">
      <c r="A837" s="62" t="s">
        <v>35</v>
      </c>
      <c r="B837" s="62"/>
      <c r="C837" s="16">
        <v>46186</v>
      </c>
      <c r="D837">
        <v>48774.73</v>
      </c>
    </row>
    <row r="838" spans="1:4" x14ac:dyDescent="0.3">
      <c r="A838" s="62" t="s">
        <v>17</v>
      </c>
      <c r="B838" s="62"/>
      <c r="C838" s="16">
        <v>46187</v>
      </c>
      <c r="D838">
        <v>1837784.84</v>
      </c>
    </row>
    <row r="839" spans="1:4" x14ac:dyDescent="0.3">
      <c r="A839" s="62" t="s">
        <v>18</v>
      </c>
      <c r="B839" s="62"/>
      <c r="C839" s="16">
        <v>46187</v>
      </c>
      <c r="D839">
        <v>69376.390000000174</v>
      </c>
    </row>
    <row r="840" spans="1:4" x14ac:dyDescent="0.3">
      <c r="A840" s="62" t="s">
        <v>19</v>
      </c>
      <c r="B840" s="62"/>
      <c r="C840" s="16">
        <v>46187</v>
      </c>
      <c r="D840">
        <v>1669.89</v>
      </c>
    </row>
    <row r="841" spans="1:4" x14ac:dyDescent="0.3">
      <c r="A841" s="62" t="s">
        <v>20</v>
      </c>
      <c r="B841" s="62"/>
      <c r="C841" s="16">
        <v>46187</v>
      </c>
      <c r="D841">
        <v>564626.20999999985</v>
      </c>
    </row>
    <row r="842" spans="1:4" x14ac:dyDescent="0.3">
      <c r="A842" s="62" t="s">
        <v>21</v>
      </c>
      <c r="B842" s="62"/>
      <c r="C842" s="16">
        <v>46187</v>
      </c>
      <c r="D842">
        <v>3763348.8299999996</v>
      </c>
    </row>
    <row r="843" spans="1:4" x14ac:dyDescent="0.3">
      <c r="A843" s="62" t="s">
        <v>22</v>
      </c>
      <c r="B843" s="62"/>
      <c r="C843" s="16">
        <v>46187</v>
      </c>
      <c r="D843">
        <v>116496.38</v>
      </c>
    </row>
    <row r="844" spans="1:4" x14ac:dyDescent="0.3">
      <c r="A844" s="62" t="s">
        <v>23</v>
      </c>
      <c r="B844" s="62"/>
      <c r="C844" s="16">
        <v>46187</v>
      </c>
      <c r="D844">
        <v>88090.37</v>
      </c>
    </row>
    <row r="845" spans="1:4" x14ac:dyDescent="0.3">
      <c r="A845" s="62" t="s">
        <v>24</v>
      </c>
      <c r="B845" s="62"/>
      <c r="C845" s="16">
        <v>46187</v>
      </c>
      <c r="D845">
        <v>1227.9699999999998</v>
      </c>
    </row>
    <row r="846" spans="1:4" x14ac:dyDescent="0.3">
      <c r="A846" s="62" t="s">
        <v>25</v>
      </c>
      <c r="B846" s="62"/>
      <c r="C846" s="16">
        <v>46187</v>
      </c>
      <c r="D846">
        <v>84.35</v>
      </c>
    </row>
    <row r="847" spans="1:4" x14ac:dyDescent="0.3">
      <c r="A847" s="62" t="s">
        <v>26</v>
      </c>
      <c r="B847" s="62"/>
      <c r="C847" s="16">
        <v>46187</v>
      </c>
      <c r="D847">
        <v>2237.77</v>
      </c>
    </row>
    <row r="848" spans="1:4" x14ac:dyDescent="0.3">
      <c r="A848" s="62" t="s">
        <v>27</v>
      </c>
      <c r="B848" s="62"/>
      <c r="C848" s="16">
        <v>46187</v>
      </c>
      <c r="D848">
        <v>3349.94</v>
      </c>
    </row>
    <row r="849" spans="1:4" x14ac:dyDescent="0.3">
      <c r="A849" s="62" t="s">
        <v>28</v>
      </c>
      <c r="B849" s="62"/>
      <c r="C849" s="16">
        <v>46187</v>
      </c>
      <c r="D849">
        <v>1968.99</v>
      </c>
    </row>
    <row r="850" spans="1:4" x14ac:dyDescent="0.3">
      <c r="A850" s="62" t="s">
        <v>29</v>
      </c>
      <c r="B850" s="62"/>
      <c r="C850" s="16">
        <v>46187</v>
      </c>
      <c r="D850">
        <v>382.69000000000005</v>
      </c>
    </row>
    <row r="851" spans="1:4" x14ac:dyDescent="0.3">
      <c r="A851" s="62" t="s">
        <v>30</v>
      </c>
      <c r="B851" s="62"/>
      <c r="C851" s="16">
        <v>46187</v>
      </c>
      <c r="D851">
        <v>1428.08</v>
      </c>
    </row>
    <row r="852" spans="1:4" x14ac:dyDescent="0.3">
      <c r="A852" s="62" t="s">
        <v>31</v>
      </c>
      <c r="B852" s="62"/>
      <c r="C852" s="16">
        <v>46187</v>
      </c>
      <c r="D852">
        <v>27789.969999999961</v>
      </c>
    </row>
    <row r="853" spans="1:4" x14ac:dyDescent="0.3">
      <c r="A853" s="62" t="s">
        <v>32</v>
      </c>
      <c r="B853" s="62"/>
      <c r="C853" s="16">
        <v>46187</v>
      </c>
      <c r="D853">
        <v>5321.4300000000021</v>
      </c>
    </row>
    <row r="854" spans="1:4" x14ac:dyDescent="0.3">
      <c r="A854" s="62" t="s">
        <v>33</v>
      </c>
      <c r="B854" s="62"/>
      <c r="C854" s="16">
        <v>46187</v>
      </c>
      <c r="D854">
        <v>24484.85</v>
      </c>
    </row>
    <row r="855" spans="1:4" x14ac:dyDescent="0.3">
      <c r="A855" s="62" t="s">
        <v>34</v>
      </c>
      <c r="B855" s="62"/>
      <c r="C855" s="16">
        <v>46187</v>
      </c>
      <c r="D855">
        <v>345</v>
      </c>
    </row>
    <row r="856" spans="1:4" x14ac:dyDescent="0.3">
      <c r="A856" s="62" t="s">
        <v>35</v>
      </c>
      <c r="B856" s="62"/>
      <c r="C856" s="16">
        <v>46187</v>
      </c>
      <c r="D856">
        <v>48774.73</v>
      </c>
    </row>
    <row r="857" spans="1:4" x14ac:dyDescent="0.3">
      <c r="A857" s="62" t="s">
        <v>17</v>
      </c>
      <c r="B857" s="62"/>
      <c r="C857" s="16">
        <v>46188</v>
      </c>
      <c r="D857">
        <v>985975.94000000029</v>
      </c>
    </row>
    <row r="858" spans="1:4" x14ac:dyDescent="0.3">
      <c r="A858" s="62" t="s">
        <v>18</v>
      </c>
      <c r="B858" s="62"/>
      <c r="C858" s="16">
        <v>46188</v>
      </c>
      <c r="D858">
        <v>69376.390000000174</v>
      </c>
    </row>
    <row r="859" spans="1:4" x14ac:dyDescent="0.3">
      <c r="A859" s="62" t="s">
        <v>19</v>
      </c>
      <c r="B859" s="62"/>
      <c r="C859" s="16">
        <v>46188</v>
      </c>
      <c r="D859">
        <v>1669.89</v>
      </c>
    </row>
    <row r="860" spans="1:4" x14ac:dyDescent="0.3">
      <c r="A860" s="62" t="s">
        <v>20</v>
      </c>
      <c r="B860" s="62"/>
      <c r="C860" s="16">
        <v>46188</v>
      </c>
      <c r="D860">
        <v>503904.80999999982</v>
      </c>
    </row>
    <row r="861" spans="1:4" x14ac:dyDescent="0.3">
      <c r="A861" s="62" t="s">
        <v>21</v>
      </c>
      <c r="B861" s="62"/>
      <c r="C861" s="16">
        <v>46188</v>
      </c>
      <c r="D861">
        <v>3331737.2399999998</v>
      </c>
    </row>
    <row r="862" spans="1:4" x14ac:dyDescent="0.3">
      <c r="A862" s="62" t="s">
        <v>22</v>
      </c>
      <c r="B862" s="62"/>
      <c r="C862" s="16">
        <v>46188</v>
      </c>
      <c r="D862">
        <v>116496.38</v>
      </c>
    </row>
    <row r="863" spans="1:4" x14ac:dyDescent="0.3">
      <c r="A863" s="62" t="s">
        <v>23</v>
      </c>
      <c r="B863" s="62"/>
      <c r="C863" s="16">
        <v>46188</v>
      </c>
      <c r="D863">
        <v>88090.37</v>
      </c>
    </row>
    <row r="864" spans="1:4" x14ac:dyDescent="0.3">
      <c r="A864" s="62" t="s">
        <v>24</v>
      </c>
      <c r="B864" s="62"/>
      <c r="C864" s="16">
        <v>46188</v>
      </c>
      <c r="D864">
        <v>1227.9699999999998</v>
      </c>
    </row>
    <row r="865" spans="1:4" x14ac:dyDescent="0.3">
      <c r="A865" s="62" t="s">
        <v>25</v>
      </c>
      <c r="B865" s="62"/>
      <c r="C865" s="16">
        <v>46188</v>
      </c>
      <c r="D865">
        <v>84.35</v>
      </c>
    </row>
    <row r="866" spans="1:4" x14ac:dyDescent="0.3">
      <c r="A866" s="62" t="s">
        <v>26</v>
      </c>
      <c r="B866" s="62"/>
      <c r="C866" s="16">
        <v>46188</v>
      </c>
      <c r="D866">
        <v>2237.77</v>
      </c>
    </row>
    <row r="867" spans="1:4" x14ac:dyDescent="0.3">
      <c r="A867" s="62" t="s">
        <v>27</v>
      </c>
      <c r="B867" s="62"/>
      <c r="C867" s="16">
        <v>46188</v>
      </c>
      <c r="D867">
        <v>3349.94</v>
      </c>
    </row>
    <row r="868" spans="1:4" x14ac:dyDescent="0.3">
      <c r="A868" s="62" t="s">
        <v>28</v>
      </c>
      <c r="B868" s="62"/>
      <c r="C868" s="16">
        <v>46188</v>
      </c>
      <c r="D868">
        <v>1968.99</v>
      </c>
    </row>
    <row r="869" spans="1:4" x14ac:dyDescent="0.3">
      <c r="A869" s="62" t="s">
        <v>29</v>
      </c>
      <c r="B869" s="62"/>
      <c r="C869" s="16">
        <v>46188</v>
      </c>
      <c r="D869">
        <v>382.69000000000005</v>
      </c>
    </row>
    <row r="870" spans="1:4" x14ac:dyDescent="0.3">
      <c r="A870" s="62" t="s">
        <v>30</v>
      </c>
      <c r="B870" s="62"/>
      <c r="C870" s="16">
        <v>46188</v>
      </c>
      <c r="D870">
        <v>1428.08</v>
      </c>
    </row>
    <row r="871" spans="1:4" x14ac:dyDescent="0.3">
      <c r="A871" s="62" t="s">
        <v>31</v>
      </c>
      <c r="B871" s="62"/>
      <c r="C871" s="16">
        <v>46188</v>
      </c>
      <c r="D871">
        <v>29789.969999999961</v>
      </c>
    </row>
    <row r="872" spans="1:4" x14ac:dyDescent="0.3">
      <c r="A872" s="62" t="s">
        <v>32</v>
      </c>
      <c r="B872" s="62"/>
      <c r="C872" s="16">
        <v>46188</v>
      </c>
      <c r="D872">
        <v>5321.4300000000021</v>
      </c>
    </row>
    <row r="873" spans="1:4" x14ac:dyDescent="0.3">
      <c r="A873" s="62" t="s">
        <v>33</v>
      </c>
      <c r="B873" s="62"/>
      <c r="C873" s="16">
        <v>46188</v>
      </c>
      <c r="D873">
        <v>20484.849999999999</v>
      </c>
    </row>
    <row r="874" spans="1:4" x14ac:dyDescent="0.3">
      <c r="A874" s="62" t="s">
        <v>34</v>
      </c>
      <c r="B874" s="62"/>
      <c r="C874" s="16">
        <v>46188</v>
      </c>
      <c r="D874">
        <v>345</v>
      </c>
    </row>
    <row r="875" spans="1:4" x14ac:dyDescent="0.3">
      <c r="A875" s="62" t="s">
        <v>35</v>
      </c>
      <c r="B875" s="62"/>
      <c r="C875" s="16">
        <v>46188</v>
      </c>
      <c r="D875">
        <v>48724.73</v>
      </c>
    </row>
    <row r="876" spans="1:4" x14ac:dyDescent="0.3">
      <c r="A876" s="62" t="s">
        <v>17</v>
      </c>
      <c r="B876" s="62"/>
      <c r="C876" s="16">
        <v>46189</v>
      </c>
      <c r="D876">
        <v>1086358.7500000002</v>
      </c>
    </row>
    <row r="877" spans="1:4" x14ac:dyDescent="0.3">
      <c r="A877" s="62" t="s">
        <v>18</v>
      </c>
      <c r="B877" s="62"/>
      <c r="C877" s="16">
        <v>46189</v>
      </c>
      <c r="D877">
        <v>69376.390000000174</v>
      </c>
    </row>
    <row r="878" spans="1:4" x14ac:dyDescent="0.3">
      <c r="A878" s="62" t="s">
        <v>19</v>
      </c>
      <c r="B878" s="62"/>
      <c r="C878" s="16">
        <v>46189</v>
      </c>
      <c r="D878">
        <v>1669.89</v>
      </c>
    </row>
    <row r="879" spans="1:4" x14ac:dyDescent="0.3">
      <c r="A879" s="62" t="s">
        <v>20</v>
      </c>
      <c r="B879" s="62"/>
      <c r="C879" s="16">
        <v>46189</v>
      </c>
      <c r="D879">
        <v>503904.80999999982</v>
      </c>
    </row>
    <row r="880" spans="1:4" x14ac:dyDescent="0.3">
      <c r="A880" s="62" t="s">
        <v>21</v>
      </c>
      <c r="B880" s="62"/>
      <c r="C880" s="16">
        <v>46189</v>
      </c>
      <c r="D880">
        <v>3329246.88</v>
      </c>
    </row>
    <row r="881" spans="1:4" x14ac:dyDescent="0.3">
      <c r="A881" s="62" t="s">
        <v>22</v>
      </c>
      <c r="B881" s="62"/>
      <c r="C881" s="16">
        <v>46189</v>
      </c>
      <c r="D881">
        <v>116496.38</v>
      </c>
    </row>
    <row r="882" spans="1:4" x14ac:dyDescent="0.3">
      <c r="A882" s="62" t="s">
        <v>23</v>
      </c>
      <c r="B882" s="62"/>
      <c r="C882" s="16">
        <v>46189</v>
      </c>
      <c r="D882">
        <v>88090.37</v>
      </c>
    </row>
    <row r="883" spans="1:4" x14ac:dyDescent="0.3">
      <c r="A883" s="62" t="s">
        <v>24</v>
      </c>
      <c r="B883" s="62"/>
      <c r="C883" s="16">
        <v>46189</v>
      </c>
      <c r="D883">
        <v>1227.9699999999998</v>
      </c>
    </row>
    <row r="884" spans="1:4" x14ac:dyDescent="0.3">
      <c r="A884" s="62" t="s">
        <v>25</v>
      </c>
      <c r="B884" s="62"/>
      <c r="C884" s="16">
        <v>46189</v>
      </c>
      <c r="D884">
        <v>84.35</v>
      </c>
    </row>
    <row r="885" spans="1:4" x14ac:dyDescent="0.3">
      <c r="A885" s="62" t="s">
        <v>26</v>
      </c>
      <c r="B885" s="62"/>
      <c r="C885" s="16">
        <v>46189</v>
      </c>
      <c r="D885">
        <v>2237.77</v>
      </c>
    </row>
    <row r="886" spans="1:4" x14ac:dyDescent="0.3">
      <c r="A886" s="62" t="s">
        <v>27</v>
      </c>
      <c r="B886" s="62"/>
      <c r="C886" s="16">
        <v>46189</v>
      </c>
      <c r="D886">
        <v>3349.94</v>
      </c>
    </row>
    <row r="887" spans="1:4" x14ac:dyDescent="0.3">
      <c r="A887" s="62" t="s">
        <v>28</v>
      </c>
      <c r="B887" s="62"/>
      <c r="C887" s="16">
        <v>46189</v>
      </c>
      <c r="D887">
        <v>1968.99</v>
      </c>
    </row>
    <row r="888" spans="1:4" x14ac:dyDescent="0.3">
      <c r="A888" s="62" t="s">
        <v>29</v>
      </c>
      <c r="B888" s="62"/>
      <c r="C888" s="16">
        <v>46189</v>
      </c>
      <c r="D888">
        <v>382.69000000000005</v>
      </c>
    </row>
    <row r="889" spans="1:4" x14ac:dyDescent="0.3">
      <c r="A889" s="62" t="s">
        <v>30</v>
      </c>
      <c r="B889" s="62"/>
      <c r="C889" s="16">
        <v>46189</v>
      </c>
      <c r="D889">
        <v>1428.08</v>
      </c>
    </row>
    <row r="890" spans="1:4" x14ac:dyDescent="0.3">
      <c r="A890" s="62" t="s">
        <v>31</v>
      </c>
      <c r="B890" s="62"/>
      <c r="C890" s="16">
        <v>46189</v>
      </c>
      <c r="D890">
        <v>29789.969999999961</v>
      </c>
    </row>
    <row r="891" spans="1:4" x14ac:dyDescent="0.3">
      <c r="A891" s="62" t="s">
        <v>32</v>
      </c>
      <c r="B891" s="62"/>
      <c r="C891" s="16">
        <v>46189</v>
      </c>
      <c r="D891">
        <v>20321.43</v>
      </c>
    </row>
    <row r="892" spans="1:4" x14ac:dyDescent="0.3">
      <c r="A892" s="62" t="s">
        <v>33</v>
      </c>
      <c r="B892" s="62"/>
      <c r="C892" s="16">
        <v>46189</v>
      </c>
      <c r="D892">
        <v>19811.349999999999</v>
      </c>
    </row>
    <row r="893" spans="1:4" x14ac:dyDescent="0.3">
      <c r="A893" s="62" t="s">
        <v>34</v>
      </c>
      <c r="B893" s="62"/>
      <c r="C893" s="16">
        <v>46189</v>
      </c>
      <c r="D893">
        <v>345</v>
      </c>
    </row>
    <row r="894" spans="1:4" x14ac:dyDescent="0.3">
      <c r="A894" s="62" t="s">
        <v>35</v>
      </c>
      <c r="B894" s="62"/>
      <c r="C894" s="16">
        <v>46189</v>
      </c>
      <c r="D894">
        <v>45519.01</v>
      </c>
    </row>
    <row r="895" spans="1:4" x14ac:dyDescent="0.3">
      <c r="A895" s="62" t="s">
        <v>17</v>
      </c>
      <c r="B895" s="62"/>
      <c r="C895" s="16">
        <v>46190</v>
      </c>
      <c r="D895">
        <v>1098358.7500000002</v>
      </c>
    </row>
    <row r="896" spans="1:4" x14ac:dyDescent="0.3">
      <c r="A896" s="62" t="s">
        <v>18</v>
      </c>
      <c r="B896" s="62"/>
      <c r="C896" s="16">
        <v>46190</v>
      </c>
      <c r="D896">
        <v>69376.390000000174</v>
      </c>
    </row>
    <row r="897" spans="1:4" x14ac:dyDescent="0.3">
      <c r="A897" s="62" t="s">
        <v>19</v>
      </c>
      <c r="B897" s="62"/>
      <c r="C897" s="16">
        <v>46190</v>
      </c>
      <c r="D897">
        <v>1669.89</v>
      </c>
    </row>
    <row r="898" spans="1:4" x14ac:dyDescent="0.3">
      <c r="A898" s="62" t="s">
        <v>20</v>
      </c>
      <c r="B898" s="62"/>
      <c r="C898" s="16">
        <v>46190</v>
      </c>
      <c r="D898">
        <v>503904.80999999982</v>
      </c>
    </row>
    <row r="899" spans="1:4" x14ac:dyDescent="0.3">
      <c r="A899" s="62" t="s">
        <v>21</v>
      </c>
      <c r="B899" s="62"/>
      <c r="C899" s="16">
        <v>46190</v>
      </c>
      <c r="D899">
        <v>3326863.3899999997</v>
      </c>
    </row>
    <row r="900" spans="1:4" x14ac:dyDescent="0.3">
      <c r="A900" s="62" t="s">
        <v>22</v>
      </c>
      <c r="B900" s="62"/>
      <c r="C900" s="16">
        <v>46190</v>
      </c>
      <c r="D900">
        <v>116496.38</v>
      </c>
    </row>
    <row r="901" spans="1:4" x14ac:dyDescent="0.3">
      <c r="A901" s="62" t="s">
        <v>23</v>
      </c>
      <c r="B901" s="62"/>
      <c r="C901" s="16">
        <v>46190</v>
      </c>
      <c r="D901">
        <v>88090.37</v>
      </c>
    </row>
    <row r="902" spans="1:4" x14ac:dyDescent="0.3">
      <c r="A902" s="62" t="s">
        <v>24</v>
      </c>
      <c r="B902" s="62"/>
      <c r="C902" s="16">
        <v>46190</v>
      </c>
      <c r="D902">
        <v>1227.9699999999998</v>
      </c>
    </row>
    <row r="903" spans="1:4" x14ac:dyDescent="0.3">
      <c r="A903" s="62" t="s">
        <v>25</v>
      </c>
      <c r="B903" s="62"/>
      <c r="C903" s="16">
        <v>46190</v>
      </c>
      <c r="D903">
        <v>84.35</v>
      </c>
    </row>
    <row r="904" spans="1:4" x14ac:dyDescent="0.3">
      <c r="A904" s="62" t="s">
        <v>26</v>
      </c>
      <c r="B904" s="62"/>
      <c r="C904" s="16">
        <v>46190</v>
      </c>
      <c r="D904">
        <v>2237.77</v>
      </c>
    </row>
    <row r="905" spans="1:4" x14ac:dyDescent="0.3">
      <c r="A905" s="62" t="s">
        <v>27</v>
      </c>
      <c r="B905" s="62"/>
      <c r="C905" s="16">
        <v>46190</v>
      </c>
      <c r="D905">
        <v>3349.94</v>
      </c>
    </row>
    <row r="906" spans="1:4" x14ac:dyDescent="0.3">
      <c r="A906" s="62" t="s">
        <v>28</v>
      </c>
      <c r="B906" s="62"/>
      <c r="C906" s="16">
        <v>46190</v>
      </c>
      <c r="D906">
        <v>1968.99</v>
      </c>
    </row>
    <row r="907" spans="1:4" x14ac:dyDescent="0.3">
      <c r="A907" s="62" t="s">
        <v>29</v>
      </c>
      <c r="B907" s="62"/>
      <c r="C907" s="16">
        <v>46190</v>
      </c>
      <c r="D907">
        <v>382.69000000000005</v>
      </c>
    </row>
    <row r="908" spans="1:4" x14ac:dyDescent="0.3">
      <c r="A908" s="62" t="s">
        <v>30</v>
      </c>
      <c r="B908" s="62"/>
      <c r="C908" s="16">
        <v>46190</v>
      </c>
      <c r="D908">
        <v>1428.08</v>
      </c>
    </row>
    <row r="909" spans="1:4" x14ac:dyDescent="0.3">
      <c r="A909" s="62" t="s">
        <v>31</v>
      </c>
      <c r="B909" s="62"/>
      <c r="C909" s="16">
        <v>46190</v>
      </c>
      <c r="D909">
        <v>29789.969999999961</v>
      </c>
    </row>
    <row r="910" spans="1:4" x14ac:dyDescent="0.3">
      <c r="A910" s="62" t="s">
        <v>32</v>
      </c>
      <c r="B910" s="62"/>
      <c r="C910" s="16">
        <v>46190</v>
      </c>
      <c r="D910">
        <v>20321.43</v>
      </c>
    </row>
    <row r="911" spans="1:4" x14ac:dyDescent="0.3">
      <c r="A911" s="62" t="s">
        <v>33</v>
      </c>
      <c r="B911" s="62"/>
      <c r="C911" s="16">
        <v>46190</v>
      </c>
      <c r="D911">
        <v>16681.349999999999</v>
      </c>
    </row>
    <row r="912" spans="1:4" x14ac:dyDescent="0.3">
      <c r="A912" s="62" t="s">
        <v>34</v>
      </c>
      <c r="B912" s="62"/>
      <c r="C912" s="16">
        <v>46190</v>
      </c>
      <c r="D912">
        <v>345</v>
      </c>
    </row>
    <row r="913" spans="1:4" x14ac:dyDescent="0.3">
      <c r="A913" s="62" t="s">
        <v>35</v>
      </c>
      <c r="B913" s="62"/>
      <c r="C913" s="16">
        <v>46190</v>
      </c>
      <c r="D913">
        <v>44519.01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2026-06-18T15:10:51Z</dcterms:modified>
  <dc:language>en-US</dc:language>
</cp:coreProperties>
</file>