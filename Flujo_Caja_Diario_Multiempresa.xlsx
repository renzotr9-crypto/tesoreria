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027" documentId="8_{BBC9EA4E-7F3B-475F-B61B-890F681C3A1C}" xr6:coauthVersionLast="47" xr6:coauthVersionMax="47" xr10:uidLastSave="{AE91D61F-C92B-4A39-9E0C-2312FB7C2B93}"/>
  <bookViews>
    <workbookView xWindow="-108" yWindow="-108" windowWidth="23256" windowHeight="12576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33" i="1" l="1"/>
  <c r="M533" i="1"/>
  <c r="N533" i="1"/>
  <c r="O533" i="1"/>
  <c r="P533" i="1" s="1"/>
  <c r="K534" i="1"/>
  <c r="M534" i="1"/>
  <c r="N534" i="1"/>
  <c r="O534" i="1"/>
  <c r="P534" i="1"/>
  <c r="K535" i="1"/>
  <c r="M535" i="1"/>
  <c r="N535" i="1"/>
  <c r="O535" i="1"/>
  <c r="P535" i="1"/>
  <c r="I533" i="1"/>
  <c r="I534" i="1"/>
  <c r="I535" i="1"/>
  <c r="C533" i="1"/>
  <c r="C534" i="1"/>
  <c r="C535" i="1"/>
  <c r="A75" i="6"/>
  <c r="K524" i="1"/>
  <c r="N524" i="1"/>
  <c r="O524" i="1"/>
  <c r="P524" i="1" s="1"/>
  <c r="K525" i="1"/>
  <c r="N525" i="1"/>
  <c r="O525" i="1"/>
  <c r="P525" i="1"/>
  <c r="K526" i="1"/>
  <c r="N526" i="1"/>
  <c r="O526" i="1"/>
  <c r="P526" i="1"/>
  <c r="K527" i="1"/>
  <c r="N527" i="1"/>
  <c r="O527" i="1"/>
  <c r="P527" i="1"/>
  <c r="K528" i="1"/>
  <c r="N528" i="1"/>
  <c r="O528" i="1"/>
  <c r="P528" i="1" s="1"/>
  <c r="K529" i="1"/>
  <c r="N529" i="1"/>
  <c r="P529" i="1" s="1"/>
  <c r="O529" i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H526" i="1"/>
  <c r="H527" i="1"/>
  <c r="H528" i="1"/>
  <c r="H529" i="1"/>
  <c r="H530" i="1"/>
  <c r="H531" i="1"/>
  <c r="H532" i="1"/>
  <c r="H524" i="1"/>
  <c r="I524" i="1"/>
  <c r="I525" i="1"/>
  <c r="I526" i="1"/>
  <c r="I527" i="1"/>
  <c r="I528" i="1"/>
  <c r="I529" i="1"/>
  <c r="I530" i="1"/>
  <c r="I531" i="1"/>
  <c r="I532" i="1"/>
  <c r="C524" i="1"/>
  <c r="C525" i="1"/>
  <c r="C526" i="1"/>
  <c r="C527" i="1"/>
  <c r="C528" i="1"/>
  <c r="C529" i="1"/>
  <c r="C530" i="1"/>
  <c r="C531" i="1"/>
  <c r="C532" i="1"/>
  <c r="A72" i="6"/>
  <c r="A73" i="6"/>
  <c r="A74" i="6"/>
  <c r="K444" i="1"/>
  <c r="N444" i="1"/>
  <c r="O444" i="1"/>
  <c r="P444" i="1" s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7" i="1"/>
  <c r="N477" i="1"/>
  <c r="O477" i="1"/>
  <c r="P477" i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/>
  <c r="K483" i="1"/>
  <c r="N483" i="1"/>
  <c r="O483" i="1"/>
  <c r="P483" i="1"/>
  <c r="I444" i="1"/>
  <c r="I472" i="1"/>
  <c r="I473" i="1"/>
  <c r="I474" i="1"/>
  <c r="I477" i="1"/>
  <c r="I478" i="1"/>
  <c r="I479" i="1"/>
  <c r="I480" i="1"/>
  <c r="I481" i="1"/>
  <c r="I483" i="1"/>
  <c r="C444" i="1"/>
  <c r="C472" i="1"/>
  <c r="C473" i="1"/>
  <c r="C474" i="1"/>
  <c r="C477" i="1"/>
  <c r="C478" i="1"/>
  <c r="C479" i="1"/>
  <c r="C480" i="1"/>
  <c r="C481" i="1"/>
  <c r="C483" i="1"/>
  <c r="U23" i="3" l="1"/>
  <c r="T32" i="3"/>
  <c r="T13" i="3"/>
  <c r="T28" i="3"/>
  <c r="T5" i="3"/>
  <c r="U15" i="3"/>
  <c r="T27" i="3"/>
  <c r="T4" i="3"/>
  <c r="U30" i="3"/>
  <c r="T2" i="3"/>
  <c r="T25" i="3"/>
  <c r="T9" i="3"/>
  <c r="U27" i="3"/>
  <c r="U5" i="3"/>
  <c r="V5" i="3" s="1"/>
  <c r="T24" i="3"/>
  <c r="T8" i="3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I512" i="1"/>
  <c r="I513" i="1"/>
  <c r="I514" i="1"/>
  <c r="I515" i="1"/>
  <c r="I516" i="1"/>
  <c r="I517" i="1"/>
  <c r="I518" i="1"/>
  <c r="I519" i="1"/>
  <c r="I520" i="1"/>
  <c r="I521" i="1"/>
  <c r="I522" i="1"/>
  <c r="I523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A70" i="6"/>
  <c r="A71" i="6"/>
  <c r="K484" i="1"/>
  <c r="N484" i="1"/>
  <c r="O484" i="1"/>
  <c r="P484" i="1" s="1"/>
  <c r="K487" i="1"/>
  <c r="N487" i="1"/>
  <c r="O487" i="1"/>
  <c r="P487" i="1" s="1"/>
  <c r="K488" i="1"/>
  <c r="N488" i="1"/>
  <c r="O488" i="1"/>
  <c r="P488" i="1" s="1"/>
  <c r="K485" i="1"/>
  <c r="N485" i="1"/>
  <c r="O485" i="1"/>
  <c r="P485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/>
  <c r="K486" i="1"/>
  <c r="N486" i="1"/>
  <c r="O486" i="1"/>
  <c r="P486" i="1" s="1"/>
  <c r="K502" i="1"/>
  <c r="N502" i="1"/>
  <c r="P502" i="1" s="1"/>
  <c r="O502" i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P507" i="1" s="1"/>
  <c r="O507" i="1"/>
  <c r="K508" i="1"/>
  <c r="N508" i="1"/>
  <c r="O508" i="1"/>
  <c r="P508" i="1" s="1"/>
  <c r="K509" i="1"/>
  <c r="N509" i="1"/>
  <c r="P509" i="1" s="1"/>
  <c r="O509" i="1"/>
  <c r="K510" i="1"/>
  <c r="N510" i="1"/>
  <c r="O510" i="1"/>
  <c r="P510" i="1" s="1"/>
  <c r="K511" i="1"/>
  <c r="N511" i="1"/>
  <c r="O511" i="1"/>
  <c r="P511" i="1" s="1"/>
  <c r="I484" i="1"/>
  <c r="I487" i="1"/>
  <c r="I488" i="1"/>
  <c r="I485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486" i="1"/>
  <c r="I502" i="1"/>
  <c r="I503" i="1"/>
  <c r="I504" i="1"/>
  <c r="I505" i="1"/>
  <c r="I506" i="1"/>
  <c r="I507" i="1"/>
  <c r="I508" i="1"/>
  <c r="I509" i="1"/>
  <c r="I510" i="1"/>
  <c r="I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444" i="1"/>
  <c r="E472" i="1"/>
  <c r="E473" i="1"/>
  <c r="E474" i="1"/>
  <c r="E477" i="1"/>
  <c r="E478" i="1"/>
  <c r="E479" i="1"/>
  <c r="E480" i="1"/>
  <c r="E481" i="1"/>
  <c r="E48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444" i="1"/>
  <c r="H472" i="1"/>
  <c r="H473" i="1"/>
  <c r="H474" i="1"/>
  <c r="H477" i="1"/>
  <c r="H478" i="1"/>
  <c r="H479" i="1"/>
  <c r="H480" i="1"/>
  <c r="H481" i="1"/>
  <c r="H483" i="1"/>
  <c r="H525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36" i="1"/>
  <c r="P536" i="1" s="1"/>
  <c r="O537" i="1"/>
  <c r="O538" i="1"/>
  <c r="O539" i="1"/>
  <c r="P539" i="1" s="1"/>
  <c r="O540" i="1"/>
  <c r="O541" i="1"/>
  <c r="P541" i="1" s="1"/>
  <c r="O542" i="1"/>
  <c r="P542" i="1" s="1"/>
  <c r="O543" i="1"/>
  <c r="P543" i="1" s="1"/>
  <c r="O544" i="1"/>
  <c r="P544" i="1" s="1"/>
  <c r="O545" i="1"/>
  <c r="O546" i="1"/>
  <c r="P546" i="1" s="1"/>
  <c r="O547" i="1"/>
  <c r="P547" i="1" s="1"/>
  <c r="O548" i="1"/>
  <c r="P548" i="1" s="1"/>
  <c r="O549" i="1"/>
  <c r="P549" i="1" s="1"/>
  <c r="O550" i="1"/>
  <c r="P550" i="1" s="1"/>
  <c r="O551" i="1"/>
  <c r="P551" i="1" s="1"/>
  <c r="O552" i="1"/>
  <c r="P552" i="1" s="1"/>
  <c r="O553" i="1"/>
  <c r="O554" i="1"/>
  <c r="O555" i="1"/>
  <c r="P555" i="1" s="1"/>
  <c r="O556" i="1"/>
  <c r="O557" i="1"/>
  <c r="P557" i="1" s="1"/>
  <c r="O558" i="1"/>
  <c r="P558" i="1" s="1"/>
  <c r="O559" i="1"/>
  <c r="P559" i="1" s="1"/>
  <c r="O560" i="1"/>
  <c r="P560" i="1" s="1"/>
  <c r="O561" i="1"/>
  <c r="O562" i="1"/>
  <c r="O563" i="1"/>
  <c r="P563" i="1" s="1"/>
  <c r="O564" i="1"/>
  <c r="P564" i="1" s="1"/>
  <c r="O565" i="1"/>
  <c r="P565" i="1" s="1"/>
  <c r="O566" i="1"/>
  <c r="P566" i="1" s="1"/>
  <c r="O567" i="1"/>
  <c r="P567" i="1" s="1"/>
  <c r="O568" i="1"/>
  <c r="P568" i="1" s="1"/>
  <c r="O569" i="1"/>
  <c r="O570" i="1"/>
  <c r="P570" i="1" s="1"/>
  <c r="O571" i="1"/>
  <c r="P571" i="1" s="1"/>
  <c r="O572" i="1"/>
  <c r="P572" i="1" s="1"/>
  <c r="O573" i="1"/>
  <c r="P573" i="1" s="1"/>
  <c r="O574" i="1"/>
  <c r="P574" i="1" s="1"/>
  <c r="O575" i="1"/>
  <c r="P575" i="1" s="1"/>
  <c r="O576" i="1"/>
  <c r="P576" i="1" s="1"/>
  <c r="O577" i="1"/>
  <c r="O578" i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O586" i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O610" i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O626" i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641" i="1"/>
  <c r="O642" i="1"/>
  <c r="O643" i="1"/>
  <c r="P643" i="1" s="1"/>
  <c r="O644" i="1"/>
  <c r="P644" i="1" s="1"/>
  <c r="O645" i="1"/>
  <c r="P645" i="1" s="1"/>
  <c r="O646" i="1"/>
  <c r="P646" i="1" s="1"/>
  <c r="O647" i="1"/>
  <c r="P647" i="1" s="1"/>
  <c r="O648" i="1"/>
  <c r="P648" i="1" s="1"/>
  <c r="O649" i="1"/>
  <c r="O650" i="1"/>
  <c r="O651" i="1"/>
  <c r="P651" i="1" s="1"/>
  <c r="O652" i="1"/>
  <c r="O653" i="1"/>
  <c r="P653" i="1" s="1"/>
  <c r="O654" i="1"/>
  <c r="P654" i="1" s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P663" i="1" s="1"/>
  <c r="O664" i="1"/>
  <c r="P664" i="1" s="1"/>
  <c r="O665" i="1"/>
  <c r="O666" i="1"/>
  <c r="O667" i="1"/>
  <c r="P667" i="1" s="1"/>
  <c r="O668" i="1"/>
  <c r="P668" i="1" s="1"/>
  <c r="O669" i="1"/>
  <c r="P669" i="1" s="1"/>
  <c r="O670" i="1"/>
  <c r="P670" i="1" s="1"/>
  <c r="O671" i="1"/>
  <c r="P671" i="1" s="1"/>
  <c r="O672" i="1"/>
  <c r="P672" i="1" s="1"/>
  <c r="O673" i="1"/>
  <c r="O674" i="1"/>
  <c r="O675" i="1"/>
  <c r="P675" i="1" s="1"/>
  <c r="O676" i="1"/>
  <c r="P676" i="1" s="1"/>
  <c r="O677" i="1"/>
  <c r="O678" i="1"/>
  <c r="P678" i="1" s="1"/>
  <c r="O679" i="1"/>
  <c r="P679" i="1" s="1"/>
  <c r="O680" i="1"/>
  <c r="P680" i="1" s="1"/>
  <c r="O681" i="1"/>
  <c r="O682" i="1"/>
  <c r="O683" i="1"/>
  <c r="P683" i="1" s="1"/>
  <c r="O684" i="1"/>
  <c r="P684" i="1" s="1"/>
  <c r="O685" i="1"/>
  <c r="P685" i="1" s="1"/>
  <c r="O686" i="1"/>
  <c r="P686" i="1" s="1"/>
  <c r="O687" i="1"/>
  <c r="P687" i="1" s="1"/>
  <c r="O688" i="1"/>
  <c r="P688" i="1" s="1"/>
  <c r="O689" i="1"/>
  <c r="O690" i="1"/>
  <c r="P690" i="1" s="1"/>
  <c r="O691" i="1"/>
  <c r="P691" i="1" s="1"/>
  <c r="O692" i="1"/>
  <c r="P692" i="1" s="1"/>
  <c r="O693" i="1"/>
  <c r="P693" i="1" s="1"/>
  <c r="O694" i="1"/>
  <c r="P694" i="1" s="1"/>
  <c r="O695" i="1"/>
  <c r="P695" i="1" s="1"/>
  <c r="O696" i="1"/>
  <c r="P696" i="1" s="1"/>
  <c r="O697" i="1"/>
  <c r="O698" i="1"/>
  <c r="O699" i="1"/>
  <c r="P699" i="1" s="1"/>
  <c r="O700" i="1"/>
  <c r="P700" i="1" s="1"/>
  <c r="O701" i="1"/>
  <c r="P701" i="1" s="1"/>
  <c r="O702" i="1"/>
  <c r="P702" i="1" s="1"/>
  <c r="O703" i="1"/>
  <c r="P703" i="1" s="1"/>
  <c r="O704" i="1"/>
  <c r="P704" i="1" s="1"/>
  <c r="O705" i="1"/>
  <c r="O706" i="1"/>
  <c r="O707" i="1"/>
  <c r="P707" i="1" s="1"/>
  <c r="O708" i="1"/>
  <c r="O709" i="1"/>
  <c r="P709" i="1" s="1"/>
  <c r="O710" i="1"/>
  <c r="P710" i="1" s="1"/>
  <c r="O711" i="1"/>
  <c r="P711" i="1" s="1"/>
  <c r="O712" i="1"/>
  <c r="P712" i="1" s="1"/>
  <c r="O713" i="1"/>
  <c r="O714" i="1"/>
  <c r="P714" i="1" s="1"/>
  <c r="O715" i="1"/>
  <c r="P715" i="1" s="1"/>
  <c r="O716" i="1"/>
  <c r="P716" i="1" s="1"/>
  <c r="O717" i="1"/>
  <c r="P717" i="1" s="1"/>
  <c r="O718" i="1"/>
  <c r="P718" i="1" s="1"/>
  <c r="O719" i="1"/>
  <c r="P719" i="1" s="1"/>
  <c r="O720" i="1"/>
  <c r="P720" i="1" s="1"/>
  <c r="O721" i="1"/>
  <c r="O722" i="1"/>
  <c r="O723" i="1"/>
  <c r="P723" i="1" s="1"/>
  <c r="O724" i="1"/>
  <c r="P724" i="1" s="1"/>
  <c r="P537" i="1"/>
  <c r="P538" i="1"/>
  <c r="P540" i="1"/>
  <c r="P545" i="1"/>
  <c r="P553" i="1"/>
  <c r="P554" i="1"/>
  <c r="P556" i="1"/>
  <c r="P561" i="1"/>
  <c r="P562" i="1"/>
  <c r="P569" i="1"/>
  <c r="P577" i="1"/>
  <c r="P578" i="1"/>
  <c r="P585" i="1"/>
  <c r="P586" i="1"/>
  <c r="P593" i="1"/>
  <c r="P601" i="1"/>
  <c r="P609" i="1"/>
  <c r="P610" i="1"/>
  <c r="P617" i="1"/>
  <c r="P618" i="1"/>
  <c r="P625" i="1"/>
  <c r="P626" i="1"/>
  <c r="P633" i="1"/>
  <c r="P641" i="1"/>
  <c r="P642" i="1"/>
  <c r="P649" i="1"/>
  <c r="P650" i="1"/>
  <c r="P652" i="1"/>
  <c r="P657" i="1"/>
  <c r="P665" i="1"/>
  <c r="P666" i="1"/>
  <c r="P673" i="1"/>
  <c r="P674" i="1"/>
  <c r="P677" i="1"/>
  <c r="P681" i="1"/>
  <c r="P682" i="1"/>
  <c r="P689" i="1"/>
  <c r="P697" i="1"/>
  <c r="P698" i="1"/>
  <c r="P705" i="1"/>
  <c r="P706" i="1"/>
  <c r="P708" i="1"/>
  <c r="P713" i="1"/>
  <c r="P721" i="1"/>
  <c r="P722" i="1"/>
  <c r="C484" i="1"/>
  <c r="C487" i="1"/>
  <c r="C488" i="1"/>
  <c r="C485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486" i="1"/>
  <c r="C502" i="1"/>
  <c r="C503" i="1"/>
  <c r="C504" i="1"/>
  <c r="C505" i="1"/>
  <c r="C506" i="1"/>
  <c r="C507" i="1"/>
  <c r="C508" i="1"/>
  <c r="C509" i="1"/>
  <c r="C510" i="1"/>
  <c r="C511" i="1"/>
  <c r="E484" i="1"/>
  <c r="E487" i="1"/>
  <c r="E488" i="1"/>
  <c r="E485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486" i="1"/>
  <c r="E502" i="1"/>
  <c r="E503" i="1"/>
  <c r="E504" i="1"/>
  <c r="E505" i="1"/>
  <c r="E506" i="1"/>
  <c r="E507" i="1"/>
  <c r="E508" i="1"/>
  <c r="E509" i="1"/>
  <c r="E510" i="1"/>
  <c r="E511" i="1"/>
  <c r="H484" i="1"/>
  <c r="H487" i="1"/>
  <c r="H488" i="1"/>
  <c r="H485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486" i="1"/>
  <c r="H502" i="1"/>
  <c r="H503" i="1"/>
  <c r="H504" i="1"/>
  <c r="H505" i="1"/>
  <c r="H506" i="1"/>
  <c r="H507" i="1"/>
  <c r="H508" i="1"/>
  <c r="H509" i="1"/>
  <c r="H510" i="1"/>
  <c r="H511" i="1"/>
  <c r="H35" i="3"/>
  <c r="I35" i="3" s="1"/>
  <c r="N482" i="1"/>
  <c r="O482" i="1"/>
  <c r="P482" i="1" s="1"/>
  <c r="K482" i="1"/>
  <c r="I482" i="1"/>
  <c r="C482" i="1"/>
  <c r="E482" i="1"/>
  <c r="H482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P435" i="1" s="1"/>
  <c r="O435" i="1"/>
  <c r="K436" i="1"/>
  <c r="N436" i="1"/>
  <c r="P436" i="1" s="1"/>
  <c r="O436" i="1"/>
  <c r="K437" i="1"/>
  <c r="N437" i="1"/>
  <c r="O437" i="1"/>
  <c r="P437" i="1" s="1"/>
  <c r="K438" i="1"/>
  <c r="N438" i="1"/>
  <c r="O438" i="1"/>
  <c r="P438" i="1" s="1"/>
  <c r="K439" i="1"/>
  <c r="N439" i="1"/>
  <c r="O439" i="1"/>
  <c r="P439" i="1" s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P449" i="1" s="1"/>
  <c r="O449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K453" i="1"/>
  <c r="N453" i="1"/>
  <c r="O453" i="1"/>
  <c r="P453" i="1" s="1"/>
  <c r="K454" i="1"/>
  <c r="N454" i="1"/>
  <c r="O454" i="1"/>
  <c r="P454" i="1" s="1"/>
  <c r="K455" i="1"/>
  <c r="N455" i="1"/>
  <c r="O455" i="1"/>
  <c r="P455" i="1" s="1"/>
  <c r="K456" i="1"/>
  <c r="N456" i="1"/>
  <c r="O456" i="1"/>
  <c r="P456" i="1" s="1"/>
  <c r="K457" i="1"/>
  <c r="N457" i="1"/>
  <c r="O457" i="1"/>
  <c r="P457" i="1" s="1"/>
  <c r="K458" i="1"/>
  <c r="N458" i="1"/>
  <c r="O458" i="1"/>
  <c r="P458" i="1" s="1"/>
  <c r="K459" i="1"/>
  <c r="N459" i="1"/>
  <c r="O459" i="1"/>
  <c r="P459" i="1" s="1"/>
  <c r="K460" i="1"/>
  <c r="N460" i="1"/>
  <c r="P460" i="1" s="1"/>
  <c r="O460" i="1"/>
  <c r="K461" i="1"/>
  <c r="N461" i="1"/>
  <c r="O461" i="1"/>
  <c r="P461" i="1" s="1"/>
  <c r="K462" i="1"/>
  <c r="N462" i="1"/>
  <c r="P462" i="1" s="1"/>
  <c r="O462" i="1"/>
  <c r="K463" i="1"/>
  <c r="N463" i="1"/>
  <c r="O463" i="1"/>
  <c r="P463" i="1" s="1"/>
  <c r="K464" i="1"/>
  <c r="N464" i="1"/>
  <c r="P464" i="1" s="1"/>
  <c r="O464" i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 s="1"/>
  <c r="K468" i="1"/>
  <c r="N468" i="1"/>
  <c r="O468" i="1"/>
  <c r="P468" i="1" s="1"/>
  <c r="K469" i="1"/>
  <c r="N469" i="1"/>
  <c r="O469" i="1"/>
  <c r="P469" i="1" s="1"/>
  <c r="K470" i="1"/>
  <c r="N470" i="1"/>
  <c r="O470" i="1"/>
  <c r="P470" i="1" s="1"/>
  <c r="K471" i="1"/>
  <c r="N471" i="1"/>
  <c r="O471" i="1"/>
  <c r="P471" i="1" s="1"/>
  <c r="K475" i="1"/>
  <c r="N475" i="1"/>
  <c r="O475" i="1"/>
  <c r="P475" i="1" s="1"/>
  <c r="K476" i="1"/>
  <c r="N476" i="1"/>
  <c r="O476" i="1"/>
  <c r="P476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V27" i="3" l="1"/>
  <c r="M528" i="1"/>
  <c r="M524" i="1"/>
  <c r="M525" i="1"/>
  <c r="M526" i="1"/>
  <c r="M527" i="1"/>
  <c r="M491" i="1"/>
  <c r="M49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5" i="1"/>
  <c r="I476" i="1"/>
  <c r="C475" i="1"/>
  <c r="C476" i="1"/>
  <c r="E475" i="1"/>
  <c r="E476" i="1"/>
  <c r="H475" i="1"/>
  <c r="H476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P11" i="3" s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13" i="3" l="1"/>
  <c r="O2" i="3"/>
  <c r="M507" i="1"/>
  <c r="M508" i="1"/>
  <c r="P9" i="3"/>
  <c r="P12" i="3"/>
  <c r="O12" i="3"/>
  <c r="J28" i="3"/>
  <c r="K28" i="3"/>
  <c r="O28" i="3"/>
  <c r="P28" i="3"/>
  <c r="M439" i="1"/>
  <c r="J30" i="3"/>
  <c r="O30" i="3"/>
  <c r="M441" i="1"/>
  <c r="P30" i="3"/>
  <c r="K30" i="3"/>
  <c r="P8" i="3"/>
  <c r="P34" i="3"/>
  <c r="P29" i="3"/>
  <c r="O29" i="3"/>
  <c r="P23" i="3"/>
  <c r="O23" i="3"/>
  <c r="K23" i="3"/>
  <c r="M438" i="1"/>
  <c r="O34" i="3"/>
  <c r="M462" i="1"/>
  <c r="P33" i="3"/>
  <c r="O33" i="3"/>
  <c r="J33" i="3"/>
  <c r="O19" i="3"/>
  <c r="P19" i="3"/>
  <c r="P3" i="3"/>
  <c r="O3" i="3"/>
  <c r="M437" i="1"/>
  <c r="J22" i="3"/>
  <c r="P22" i="3"/>
  <c r="K22" i="3"/>
  <c r="O22" i="3"/>
  <c r="O32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501" i="1" l="1"/>
  <c r="M458" i="1"/>
  <c r="M387" i="1"/>
  <c r="M386" i="1"/>
  <c r="J19" i="3"/>
  <c r="M415" i="1"/>
  <c r="M422" i="1"/>
  <c r="J32" i="3"/>
  <c r="P18" i="3"/>
  <c r="K18" i="3"/>
  <c r="O18" i="3"/>
  <c r="M433" i="1"/>
  <c r="M459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M489" i="1"/>
  <c r="K5" i="3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T16" i="3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34" i="3" l="1"/>
  <c r="T20" i="3"/>
  <c r="T29" i="3"/>
  <c r="T34" i="3"/>
  <c r="U26" i="3"/>
  <c r="U22" i="3"/>
  <c r="U35" i="3"/>
  <c r="T12" i="3"/>
  <c r="T21" i="3"/>
  <c r="T35" i="3"/>
  <c r="U18" i="3"/>
  <c r="M529" i="1"/>
  <c r="M473" i="1"/>
  <c r="T33" i="3"/>
  <c r="U9" i="3"/>
  <c r="V9" i="3" s="1"/>
  <c r="U17" i="3"/>
  <c r="U25" i="3"/>
  <c r="V25" i="3" s="1"/>
  <c r="U33" i="3"/>
  <c r="T7" i="3"/>
  <c r="T15" i="3"/>
  <c r="V15" i="3" s="1"/>
  <c r="T23" i="3"/>
  <c r="V23" i="3" s="1"/>
  <c r="U7" i="3"/>
  <c r="U11" i="3"/>
  <c r="U19" i="3"/>
  <c r="U3" i="3"/>
  <c r="U12" i="3"/>
  <c r="U20" i="3"/>
  <c r="V20" i="3" s="1"/>
  <c r="U28" i="3"/>
  <c r="V28" i="3" s="1"/>
  <c r="U2" i="3"/>
  <c r="V2" i="3" s="1"/>
  <c r="U4" i="3"/>
  <c r="V4" i="3" s="1"/>
  <c r="U13" i="3"/>
  <c r="V13" i="3" s="1"/>
  <c r="U21" i="3"/>
  <c r="V21" i="3" s="1"/>
  <c r="U29" i="3"/>
  <c r="V29" i="3" s="1"/>
  <c r="U6" i="3"/>
  <c r="U8" i="3"/>
  <c r="V8" i="3" s="1"/>
  <c r="U16" i="3"/>
  <c r="V16" i="3" s="1"/>
  <c r="U24" i="3"/>
  <c r="V24" i="3" s="1"/>
  <c r="U32" i="3"/>
  <c r="V32" i="3" s="1"/>
  <c r="T6" i="3"/>
  <c r="M477" i="1"/>
  <c r="M483" i="1"/>
  <c r="M480" i="1"/>
  <c r="M444" i="1"/>
  <c r="O35" i="3"/>
  <c r="O20" i="3"/>
  <c r="J26" i="3"/>
  <c r="O26" i="3"/>
  <c r="M481" i="1"/>
  <c r="J27" i="3"/>
  <c r="O24" i="3"/>
  <c r="K4" i="3"/>
  <c r="M472" i="1"/>
  <c r="O21" i="3"/>
  <c r="P26" i="3"/>
  <c r="P13" i="3"/>
  <c r="M478" i="1"/>
  <c r="O5" i="3"/>
  <c r="P21" i="3"/>
  <c r="K35" i="3"/>
  <c r="K26" i="3"/>
  <c r="M474" i="1"/>
  <c r="P2" i="3"/>
  <c r="P24" i="3"/>
  <c r="O11" i="3"/>
  <c r="O4" i="3"/>
  <c r="K24" i="3"/>
  <c r="J4" i="3"/>
  <c r="M479" i="1"/>
  <c r="M515" i="1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P32" i="3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T31" i="3" s="1"/>
  <c r="C339" i="1"/>
  <c r="C348" i="1"/>
  <c r="C349" i="1"/>
  <c r="C350" i="1"/>
  <c r="C351" i="1"/>
  <c r="C340" i="1"/>
  <c r="T14" i="3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T10" i="3" s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T17" i="3" s="1"/>
  <c r="C306" i="1"/>
  <c r="C283" i="1"/>
  <c r="V12" i="3" l="1"/>
  <c r="U14" i="3"/>
  <c r="V14" i="3" s="1"/>
  <c r="V33" i="3"/>
  <c r="V35" i="3"/>
  <c r="V34" i="3"/>
  <c r="V17" i="3"/>
  <c r="U75" i="6"/>
  <c r="M354" i="1"/>
  <c r="U10" i="3"/>
  <c r="V10" i="3" s="1"/>
  <c r="U31" i="3"/>
  <c r="V31" i="3" s="1"/>
  <c r="V7" i="3"/>
  <c r="T72" i="6"/>
  <c r="D75" i="6"/>
  <c r="I71" i="6"/>
  <c r="M531" i="1"/>
  <c r="M532" i="1"/>
  <c r="M530" i="1"/>
  <c r="H72" i="6"/>
  <c r="E74" i="6"/>
  <c r="D72" i="6"/>
  <c r="Q72" i="6"/>
  <c r="O74" i="6"/>
  <c r="O75" i="6"/>
  <c r="I74" i="6"/>
  <c r="L75" i="6"/>
  <c r="H74" i="6"/>
  <c r="I72" i="6"/>
  <c r="G75" i="6"/>
  <c r="J35" i="3"/>
  <c r="T18" i="3"/>
  <c r="V18" i="3" s="1"/>
  <c r="T26" i="3"/>
  <c r="V26" i="3" s="1"/>
  <c r="T3" i="3"/>
  <c r="V3" i="3" s="1"/>
  <c r="T11" i="3"/>
  <c r="V11" i="3" s="1"/>
  <c r="T19" i="3"/>
  <c r="V19" i="3" s="1"/>
  <c r="T22" i="3"/>
  <c r="V22" i="3" s="1"/>
  <c r="T30" i="3"/>
  <c r="V30" i="3" s="1"/>
  <c r="N74" i="6"/>
  <c r="M72" i="6"/>
  <c r="J72" i="6"/>
  <c r="F73" i="6"/>
  <c r="H73" i="6"/>
  <c r="I75" i="6"/>
  <c r="K74" i="6"/>
  <c r="N72" i="6"/>
  <c r="M75" i="6"/>
  <c r="G72" i="6"/>
  <c r="P74" i="6"/>
  <c r="C74" i="6"/>
  <c r="O73" i="6"/>
  <c r="U73" i="6"/>
  <c r="L73" i="6"/>
  <c r="G73" i="6"/>
  <c r="F74" i="6"/>
  <c r="L74" i="6"/>
  <c r="T74" i="6"/>
  <c r="N75" i="6"/>
  <c r="E75" i="6"/>
  <c r="Q74" i="6"/>
  <c r="D74" i="6"/>
  <c r="I73" i="6"/>
  <c r="P72" i="6"/>
  <c r="M74" i="6"/>
  <c r="O72" i="6"/>
  <c r="K73" i="6"/>
  <c r="V6" i="3"/>
  <c r="C73" i="6"/>
  <c r="J74" i="6"/>
  <c r="F75" i="6"/>
  <c r="M73" i="6"/>
  <c r="J73" i="6"/>
  <c r="F72" i="6"/>
  <c r="P73" i="6"/>
  <c r="U72" i="6"/>
  <c r="L72" i="6"/>
  <c r="R74" i="6"/>
  <c r="R73" i="6"/>
  <c r="U74" i="6"/>
  <c r="S75" i="6"/>
  <c r="C72" i="6"/>
  <c r="Q75" i="6"/>
  <c r="E72" i="6"/>
  <c r="T73" i="6"/>
  <c r="R72" i="6"/>
  <c r="N73" i="6"/>
  <c r="P75" i="6"/>
  <c r="S72" i="6"/>
  <c r="S73" i="6"/>
  <c r="K75" i="6"/>
  <c r="R75" i="6"/>
  <c r="E73" i="6"/>
  <c r="D73" i="6"/>
  <c r="K72" i="6"/>
  <c r="Q73" i="6"/>
  <c r="G74" i="6"/>
  <c r="H75" i="6"/>
  <c r="S74" i="6"/>
  <c r="T75" i="6"/>
  <c r="C75" i="6"/>
  <c r="J75" i="6"/>
  <c r="M522" i="1"/>
  <c r="M504" i="1"/>
  <c r="M521" i="1"/>
  <c r="M486" i="1"/>
  <c r="M506" i="1"/>
  <c r="M502" i="1"/>
  <c r="M520" i="1"/>
  <c r="M505" i="1"/>
  <c r="M503" i="1"/>
  <c r="M518" i="1"/>
  <c r="M495" i="1"/>
  <c r="M516" i="1"/>
  <c r="M497" i="1"/>
  <c r="M492" i="1"/>
  <c r="M519" i="1"/>
  <c r="M500" i="1"/>
  <c r="M496" i="1"/>
  <c r="M499" i="1"/>
  <c r="M517" i="1"/>
  <c r="M498" i="1"/>
  <c r="M494" i="1"/>
  <c r="M493" i="1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M488" i="1"/>
  <c r="M513" i="1"/>
  <c r="F64" i="6"/>
  <c r="M56" i="6"/>
  <c r="D46" i="6"/>
  <c r="O71" i="6"/>
  <c r="J71" i="6"/>
  <c r="G70" i="6"/>
  <c r="F70" i="6"/>
  <c r="J70" i="6"/>
  <c r="G71" i="6"/>
  <c r="M487" i="1"/>
  <c r="M484" i="1"/>
  <c r="H70" i="6"/>
  <c r="D71" i="6"/>
  <c r="L70" i="6"/>
  <c r="K70" i="6"/>
  <c r="T71" i="6"/>
  <c r="Q71" i="6"/>
  <c r="M523" i="1"/>
  <c r="M341" i="1"/>
  <c r="E69" i="6"/>
  <c r="O55" i="6"/>
  <c r="G59" i="6"/>
  <c r="N68" i="6"/>
  <c r="M70" i="6"/>
  <c r="Q70" i="6"/>
  <c r="R70" i="6"/>
  <c r="S70" i="6"/>
  <c r="M352" i="1"/>
  <c r="M510" i="1"/>
  <c r="M509" i="1"/>
  <c r="M511" i="1"/>
  <c r="M337" i="1"/>
  <c r="M485" i="1"/>
  <c r="I54" i="6"/>
  <c r="S43" i="6"/>
  <c r="M61" i="6"/>
  <c r="C70" i="6"/>
  <c r="I70" i="6"/>
  <c r="O70" i="6"/>
  <c r="U71" i="6"/>
  <c r="S62" i="6"/>
  <c r="J57" i="6"/>
  <c r="N70" i="6"/>
  <c r="R71" i="6"/>
  <c r="T70" i="6"/>
  <c r="M512" i="1"/>
  <c r="M514" i="1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440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443" i="1"/>
  <c r="M449" i="1"/>
  <c r="M377" i="1"/>
  <c r="M378" i="1"/>
  <c r="M413" i="1"/>
  <c r="M355" i="1"/>
  <c r="M356" i="1"/>
  <c r="M357" i="1"/>
  <c r="M333" i="1"/>
  <c r="M435" i="1"/>
  <c r="M436" i="1"/>
  <c r="M446" i="1"/>
  <c r="M447" i="1"/>
  <c r="M448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45" i="1"/>
  <c r="M475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82" i="1"/>
  <c r="M469" i="1"/>
  <c r="M466" i="1"/>
  <c r="M470" i="1"/>
  <c r="M476" i="1"/>
  <c r="M471" i="1"/>
  <c r="M465" i="1"/>
  <c r="M434" i="1"/>
  <c r="M468" i="1"/>
  <c r="M464" i="1"/>
  <c r="M467" i="1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M442" i="1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32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460" i="1"/>
  <c r="M461" i="1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451" i="1"/>
  <c r="M457" i="1"/>
  <c r="M450" i="1"/>
  <c r="M454" i="1"/>
  <c r="M452" i="1"/>
  <c r="M456" i="1"/>
  <c r="M455" i="1"/>
  <c r="M453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5" i="6" l="1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s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<sst xmlns="http://schemas.openxmlformats.org/spreadsheetml/2006/main" count="4679" uniqueCount="180">
  <si>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</si>
  <si>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</si>
  <si>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</si>
  <si>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</si>
  <si>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</si>
  <si>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</si>
  <si>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</si>
  <si>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</si>
  <si>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</si>
  <si>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</si>
  <si>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</si>
  <si>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</si>
  <si>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</si>
  <si>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</si>
  <si>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</si>
  <si>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</si>
  <si>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</si>
  <si>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</si>
  <si>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</si>
  <si>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</si>
  <si>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</si>
  <si>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</si>
  <si>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</si>
  <si>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</si>
  <si>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</si>
  <si>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</si>
  <si>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</si>
  <si>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</si>
  <si>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</si>
  <si>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</si>
  <si>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</si>
  <si>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</si>
  <si>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</si>
  <si>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</si>
  <si>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</si>
  <si>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</si>
  <si>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</si>
  <si>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</si>
  <si>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</si>
  <si>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</si>
  <si>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</si>
  <si>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</si>
  <si>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</si>
  <si>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</si>
  <si>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</si>
  <si>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</si>
  <si>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</si>
  <si>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</si>
  <si>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</si>
  <si>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</si>
  <si>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</si>
  <si>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</si>
  <si>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</si>
  <si>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</si>
  <si>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</si>
  <si>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</si>
  <si>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</si>
  <si>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</si>
  <si>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</si>
  <si>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</si>
  <si>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</si>
  <si>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</si>
  <si>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</si>
  <si>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</si>
  <si>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</si>
  <si>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</si>
  <si>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</si>
  <si>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</si>
  <si>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</si>
  <si>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</si>
  <si>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</si>
  <si>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</si>
  <si>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</si>
  <si>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</si>
  <si>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</si>
  <si>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</si>
  <si>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</si>
  <si>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</si>
  <si>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</si>
  <si>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</si>
  <si>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</si>
  <si>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</si>
  <si>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</si>
  <si>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</si>
  <si>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</si>
  <si>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</si>
  <si>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</si>
  <si>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</si>
  <si>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</si>
  <si>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</si>
  <si>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</si>
  <si>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</si>
  <si>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</si>
  <si>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</si>
  <si>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</si>
  <si>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</si>
  <si>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</si>
  <si>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</si>
  <si>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</si>
  <si>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</si>
  <si>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</si>
  <si>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</si>
  <si>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</si>
  <si>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</si>
  <si>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</si>
  <si>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</si>
  <si>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</si>
  <si>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</si>
  <si>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</si>
  <si>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</si>
  <si>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</si>
  <si>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</si>
  <si>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</si>
  <si>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</si>
  <si>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</si>
  <si>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</si>
  <si>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</si>
  <si>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</si>
  <si>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</si>
  <si>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</si>
  <si>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</si>
  <si>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</si>
  <si>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</si>
  <si>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</si>
  <si>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</si>
  <si>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</si>
  <si>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</si>
  <si>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</si>
  <si>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</si>
  <si>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</si>
  <si>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</si>
  <si>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</si>
  <si>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</si>
  <si>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</si>
  <si>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</si>
  <si>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</si>
  <si>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</si>
  <si>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</si>
  <si>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</si>
  <si>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</si>
  <si>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</si>
  <si>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</si>
  <si>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</si>
  <si>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</si>
  <si>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</si>
  <si>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</si>
  <si>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</si>
  <si>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</si>
  <si>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</si>
  <si>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</si>
  <si>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</si>
  <si>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</si>
  <si>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</si>
  <si>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</si>
  <si>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</si>
  <si>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</si>
  <si>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</si>
  <si>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</si>
  <si>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</si>
  <si>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</si>
  <si>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</si>
  <si>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</si>
  <si>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</si>
  <si>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</si>
  <si>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</si>
  <si>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</si>
  <si>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</si>
  <si>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</si>
  <si>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</si>
  <si>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</si>
  <si>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</si>
  <si>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</si>
  <si>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</si>
  <si>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</si>
  <si>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</si>
  <si>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</si>
  <si>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</si>
  <si>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</si>
  <si>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</si>
  <si>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Atributo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</si>
</sst>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0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numFmt numFmtId="0" formatCode="General"/>
    </dxf>
    <dxf>
      <numFmt numFmtId="0" formatCode="General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724">
    <sortCondition ref="B1:B724"/>
  </sortState>
  <tableColumns count="16">
    <tableColumn id="1" xr3:uid="{00000000-0010-0000-0000-000001000000}" name="ID"/>
    <tableColumn id="2" xr3:uid="{00000000-0010-0000-0000-000002000000}" name="Fecha" dataDxfId="39"/>
    <tableColumn id="3" xr3:uid="{00000000-0010-0000-0000-000003000000}" name="Empresa"/>
    <tableColumn id="4" xr3:uid="{00000000-0010-0000-0000-000004000000}" name="Cuenta Bancaria" dataDxfId="38"/>
    <tableColumn id="12" xr3:uid="{4E4C6484-6819-4411-A0F3-4017EFF8C28C}" name="Banco" dataDxfId="37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6"/>
    <tableColumn id="6" xr3:uid="{00000000-0010-0000-0000-000006000000}" name="Categoria / Concepto" dataDxfId="35"/>
    <tableColumn id="7" xr3:uid="{00000000-0010-0000-0000-000007000000}" name="Descripcion" dataDxfId="34">
      <calculatedColumnFormula>IFERROR(_xlfn.XLOOKUP(G2,Listas!E:E,Listas!F:F,""),"")</calculatedColumnFormula>
    </tableColumn>
    <tableColumn id="13" xr3:uid="{44ABE6CE-2513-45FC-BD14-32E930AFDBBD}" name="Ext/Int" dataDxfId="33"/>
    <tableColumn id="8" xr3:uid="{00000000-0010-0000-0000-000008000000}" name="Monto (S/)" dataDxfId="32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1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0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29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28" dataDxfId="26" headerRowBorderDxfId="27" tableBorderDxfId="25">
  <autoFilter ref="A1:V500" xr:uid="{F415436C-AC07-4BC7-AF63-CF4210A06BB4}"/>
  <tableColumns count="22">
    <tableColumn id="1" xr3:uid="{63FFD75C-E666-43DD-8029-F430E7835BEE}" name="Día" dataDxfId="24"/>
    <tableColumn id="2" xr3:uid="{3C0A637E-5BCF-4DAA-A47B-1062D26CE0FC}" name="Fecha" dataDxfId="23"/>
    <tableColumn id="3" xr3:uid="{AA52C2CE-0BC6-4D55-8E20-0938296D1C23}" name="CFT Group" dataDxfId="22"/>
    <tableColumn id="4" xr3:uid="{EE7D0652-E6C8-4122-A765-D1B09096A21E}" name="M1B" dataDxfId="21"/>
    <tableColumn id="5" xr3:uid="{B4646433-2F6C-4447-A177-6AD7A4B88B6F}" name="Durand" dataDxfId="20"/>
    <tableColumn id="6" xr3:uid="{DCA1C6D9-C3E1-43F4-A721-4008460687C7}" name="A&amp;M Imports" dataDxfId="19"/>
    <tableColumn id="7" xr3:uid="{D4A7DE77-6043-4E65-8D3F-445DF17D93F1}" name="SSP Capital" dataDxfId="18"/>
    <tableColumn id="8" xr3:uid="{64A897BF-46B4-411E-BA9D-FE799CF2FEFB}" name="Cross Family Trust" dataDxfId="17"/>
    <tableColumn id="9" xr3:uid="{22730D08-F998-46A3-A6B6-4BF23E38D8F9}" name="Cross Security Trust" dataDxfId="16"/>
    <tableColumn id="10" xr3:uid="{BB5B9930-003E-4DC5-8E5D-067C1CF1A456}" name="Electrama" dataDxfId="15"/>
    <tableColumn id="11" xr3:uid="{72B1FF5A-A2B1-4F18-A8C8-32EEB09E3A17}" name="Sacred Valley Capital" dataDxfId="14"/>
    <tableColumn id="12" xr3:uid="{8285724C-9042-463F-8339-13C60DCBF2F4}" name="YWC Capital" dataDxfId="13"/>
    <tableColumn id="13" xr3:uid="{A6BA6873-5C5A-44C1-A199-00F91718164E}" name="Soweto" dataDxfId="12"/>
    <tableColumn id="14" xr3:uid="{50FB5920-A571-4DC5-9E26-0EF4F33A880F}" name="Green Stone Trust" dataDxfId="11"/>
    <tableColumn id="15" xr3:uid="{F3DE628D-3663-4B8C-88C3-8ED6C47CDAD0}" name="EC Auto" dataDxfId="10"/>
    <tableColumn id="16" xr3:uid="{63079263-2DC8-47D4-869E-EF7FF8CC83E2}" name="Arbor Capital Properties" dataDxfId="9"/>
    <tableColumn id="17" xr3:uid="{F0CCDB07-528A-4A91-A40E-B313EA61AC5A}" name="2515 Overbrook" dataDxfId="8"/>
    <tableColumn id="18" xr3:uid="{A92B8B5E-42D0-409B-819B-93575E6B5338}" name="112 Florida Ave" dataDxfId="7"/>
    <tableColumn id="19" xr3:uid="{E8590E2C-955F-4887-9F19-BD4E50391F39}" name="3628 Thomas Ave" dataDxfId="6"/>
    <tableColumn id="20" xr3:uid="{C99311AE-E772-4C28-A5BF-F01473FDC99C}" name="Green Harbor Trust" dataDxfId="5"/>
    <tableColumn id="21" xr3:uid="{531291F0-F871-4ED7-85FB-D95349130FEE}" name="Go Blue" dataDxfId="4"/>
    <tableColumn id="22" xr3:uid="{9970DF30-CB1E-4EE7-A51A-8EEDF7EFDE4C}" name="TOTAL CONSOLIDADO" dataDxfId="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07" tableType="queryTable" totalsRowShown="0" headerRowDxfId="42">
  <autoFilter ref="A1:D1407" xr:uid="{2C5E576C-56D5-4661-AEE8-C56EAF46506C}"/>
  <tableColumns count="4">
    <tableColumn id="1" xr3:uid="{C5F72CE6-A217-4AAA-B890-634003E10415}" uniqueName="1" name="Atributo" queryTableFieldId="1" dataDxfId="41"/>
    <tableColumn id="4" xr3:uid="{1BFD00E9-36EE-42D9-A985-B1FC2CE4E317}" uniqueName="4" name="Saldo inicial" queryTableFieldId="4" dataDxfId="40"/>
    <tableColumn id="2" xr3:uid="{EA09EB92-4B2D-420E-B39F-7A131A47C123}" uniqueName="2" name="Fecha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D22" sqref="D2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128</v>
      </c>
      <c r="D21" s="10">
        <v>92.02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 t="s">
        <v>35</v>
      </c>
      <c r="B35" s="8" t="s">
        <v>174</v>
      </c>
      <c r="C35" s="9" t="s">
        <v>129</v>
      </c>
      <c r="D35" s="10">
        <v>5293.35</v>
      </c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38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zoomScale="70" zoomScaleNormal="70" workbookViewId="0">
      <pane ySplit="1" topLeftCell="A517" activePane="bottomLeft" state="frozen"/>
      <selection pane="bottomLeft" activeCell="P535" sqref="P535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47">
        <f t="shared" si="2"/>
        <v>-29.95</v>
      </c>
      <c r="L438" s="15" t="s">
        <v>129</v>
      </c>
      <c r="M438" s="58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8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47">
        <f t="shared" si="2"/>
        <v>-258.5</v>
      </c>
      <c r="L444" s="15" t="s">
        <v>129</v>
      </c>
      <c r="M444" s="58">
        <f>SUMIFS('Saldos Iniciales'!$D$2:$D$38,'Saldos Iniciales'!$A$2:$A$38,C444,'Saldos Iniciales'!$B$2:$B$38,D444)+SUMIFS($K$1:$K$724,$C$1:$C$724,C444,$D$1:$D$724,D444,$B$1:$B$724,"&lt;="&amp;B444)</f>
        <v>5034.8500000000004</v>
      </c>
      <c r="N444" s="67" t="str">
        <f>IF(tblMovimientos[[#This Row],[Tipo de Movimiento]]="Ingreso",tblMovimientos[[#This Row],[Monto (S/)]],"0")</f>
        <v>0</v>
      </c>
      <c r="O444" s="67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23057.39</v>
      </c>
      <c r="N445" s="67">
        <f>IF(tblMovimientos[[#This Row],[Tipo de Movimiento]]="Ingreso",tblMovimientos[[#This Row],[Monto (S/)]],"0")</f>
        <v>15280.15</v>
      </c>
      <c r="O445" s="67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350475.62999999989</v>
      </c>
      <c r="N448" s="67" t="str">
        <f>IF(tblMovimientos[[#This Row],[Tipo de Movimiento]]="Ingreso",tblMovimientos[[#This Row],[Monto (S/)]],"0")</f>
        <v>0</v>
      </c>
      <c r="O448" s="67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24085.559999999998</v>
      </c>
      <c r="N449" s="67">
        <f>IF(tblMovimientos[[#This Row],[Tipo de Movimiento]]="Ingreso",tblMovimientos[[#This Row],[Monto (S/)]],"0")</f>
        <v>4400</v>
      </c>
      <c r="O449" s="67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47">
        <f t="shared" si="2"/>
        <v>-3000</v>
      </c>
      <c r="L450" s="15" t="s">
        <v>129</v>
      </c>
      <c r="M450" s="58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47">
        <f t="shared" si="2"/>
        <v>-100000</v>
      </c>
      <c r="L456" s="15" t="s">
        <v>129</v>
      </c>
      <c r="M456" s="58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5551386.3600000003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111717.6</v>
      </c>
      <c r="N459" s="67" t="str">
        <f>IF(tblMovimientos[[#This Row],[Tipo de Movimiento]]="Ingreso",tblMovimientos[[#This Row],[Monto (S/)]],"0")</f>
        <v>0</v>
      </c>
      <c r="O459" s="67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>
        <f>IF(tblMovimientos[[#This Row],[Tipo de Movimiento]]="Ingreso",tblMovimientos[[#This Row],[Monto (S/)]],"0")</f>
        <v>150000</v>
      </c>
      <c r="O460" s="67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921698.75999999943</v>
      </c>
      <c r="N461" s="67" t="str">
        <f>IF(tblMovimientos[[#This Row],[Tipo de Movimiento]]="Ingreso",tblMovimientos[[#This Row],[Monto (S/)]],"0")</f>
        <v>0</v>
      </c>
      <c r="O461" s="67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47">
        <f t="shared" si="2"/>
        <v>20000</v>
      </c>
      <c r="L462" s="15" t="s">
        <v>129</v>
      </c>
      <c r="M462" s="58">
        <f>SUMIFS('Saldos Iniciales'!$D$2:$D$38,'Saldos Iniciales'!$A$2:$A$38,C462,'Saldos Iniciales'!$B$2:$B$38,D462)+SUMIFS($K$1:$K$724,$C$1:$C$724,C462,$D$1:$D$724,D462,$B$1:$B$724,"&lt;="&amp;B462)</f>
        <v>345</v>
      </c>
      <c r="N462" s="67">
        <f>IF(tblMovimientos[[#This Row],[Tipo de Movimiento]]="Ingreso",tblMovimientos[[#This Row],[Monto (S/)]],"0")</f>
        <v>20000</v>
      </c>
      <c r="O462" s="67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345</v>
      </c>
      <c r="N463" s="67" t="str">
        <f>IF(tblMovimientos[[#This Row],[Tipo de Movimiento]]="Ingreso",tblMovimientos[[#This Row],[Monto (S/)]],"0")</f>
        <v>0</v>
      </c>
      <c r="O463" s="67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>
        <f>IF(tblMovimientos[[#This Row],[Tipo de Movimiento]]="Ingreso",tblMovimientos[[#This Row],[Monto (S/)]],"0")</f>
        <v>20000</v>
      </c>
      <c r="O464" s="67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47">
        <f t="shared" si="2"/>
        <v>-15</v>
      </c>
      <c r="L468" s="15" t="s">
        <v>129</v>
      </c>
      <c r="M468" s="58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31206.370000000003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2"/>
        <v>-2363.85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28842.52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9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2"/>
        <v>-229.15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4276.5200000000004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2"/>
        <v>-499.22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4276.5200000000004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47">
        <f t="shared" si="2"/>
        <v>-29.96</v>
      </c>
      <c r="L474" s="15" t="s">
        <v>129</v>
      </c>
      <c r="M474" s="58">
        <f>SUMIFS('Saldos Iniciales'!$D$2:$D$38,'Saldos Iniciales'!$A$2:$A$38,C474,'Saldos Iniciales'!$B$2:$B$38,D474)+SUMIFS($K$1:$K$724,$C$1:$C$724,C474,$D$1:$D$724,D474,$B$1:$B$724,"&lt;="&amp;B474)</f>
        <v>4276.5200000000004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46209</v>
      </c>
      <c r="C475" s="46" t="str">
        <f>_xlfn.XLOOKUP(tblMovimientos[[#This Row],[Cuenta Bancaria]],Listas!$B:$B,Listas!$A:$A,"")</f>
        <v>SSP Capital</v>
      </c>
      <c r="D475" s="41" t="s">
        <v>101</v>
      </c>
      <c r="E475" s="4" t="str">
        <f>_xlfn.XLOOKUP(tblMovimientos[[#This Row],[Cuenta Bancaria]],Listas!$B:$B,Listas!$C:$C,"")</f>
        <v>Bank of America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538.41999999999996</v>
      </c>
      <c r="K475" s="5">
        <f t="shared" si="2"/>
        <v>-538.41999999999996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22518.97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538.41999999999996</v>
      </c>
      <c r="P475" s="28">
        <f>IF(tblMovimientos[[#This Row],[Tipo de Movimiento]]="Ingreso",tblMovimientos[[#This Row],[Ingreso]],-tblMovimientos[[#This Row],[Egreso]])</f>
        <v>-538.41999999999996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Go Blue</v>
      </c>
      <c r="D476" s="41" t="s">
        <v>126</v>
      </c>
      <c r="E476" s="4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17151.490000000002</v>
      </c>
      <c r="K476" s="5">
        <f t="shared" si="2"/>
        <v>-17151.490000000002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11691.029999999999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17151.490000000002</v>
      </c>
      <c r="P476" s="28">
        <f>IF(tblMovimientos[[#This Row],[Tipo de Movimiento]]="Ingreso",tblMovimientos[[#This Row],[Ingreso]],-tblMovimientos[[#This Row],[Egreso]])</f>
        <v>-17151.490000000002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174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30</v>
      </c>
      <c r="K477" s="5">
        <f t="shared" si="2"/>
        <v>-30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3474.3100000000004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30</v>
      </c>
      <c r="P477" s="28">
        <f>IF(tblMovimientos[[#This Row],[Tipo de Movimiento]]="Ingreso",tblMovimientos[[#This Row],[Ingreso]],-tblMovimientos[[#This Row],[Egreso]])</f>
        <v>-30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18</v>
      </c>
      <c r="K478" s="5">
        <f t="shared" si="2"/>
        <v>-18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3474.3100000000004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18</v>
      </c>
      <c r="P478" s="28">
        <f>IF(tblMovimientos[[#This Row],[Tipo de Movimiento]]="Ingreso",tblMovimientos[[#This Row],[Ingreso]],-tblMovimientos[[#This Row],[Egreso]])</f>
        <v>-18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458.35</v>
      </c>
      <c r="K479" s="5">
        <f t="shared" si="2"/>
        <v>-458.35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3474.3100000000004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458.35</v>
      </c>
      <c r="P479" s="28">
        <f>IF(tblMovimientos[[#This Row],[Tipo de Movimiento]]="Ingreso",tblMovimientos[[#This Row],[Ingreso]],-tblMovimientos[[#This Row],[Egreso]])</f>
        <v>-458.35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24</v>
      </c>
      <c r="K480" s="47">
        <f t="shared" si="2"/>
        <v>-24</v>
      </c>
      <c r="L480" s="15" t="s">
        <v>129</v>
      </c>
      <c r="M480" s="58">
        <f>SUMIFS('Saldos Iniciales'!$D$2:$D$38,'Saldos Iniciales'!$A$2:$A$38,C480,'Saldos Iniciales'!$B$2:$B$38,D480)+SUMIFS($K$1:$K$724,$C$1:$C$724,C480,$D$1:$D$724,D480,$B$1:$B$724,"&lt;="&amp;B480)</f>
        <v>3474.3100000000004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24</v>
      </c>
      <c r="P480" s="28">
        <f>IF(tblMovimientos[[#This Row],[Tipo de Movimiento]]="Ingreso",tblMovimientos[[#This Row],[Ingreso]],-tblMovimientos[[#This Row],[Egreso]])</f>
        <v>-24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271.86</v>
      </c>
      <c r="K481" s="5">
        <f t="shared" si="2"/>
        <v>-271.86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3474.3100000000004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271.86</v>
      </c>
      <c r="P481" s="28">
        <f>IF(tblMovimientos[[#This Row],[Tipo de Movimiento]]="Ingreso",tblMovimientos[[#This Row],[Ingreso]],-tblMovimientos[[#This Row],[Egreso]])</f>
        <v>-271.86</v>
      </c>
    </row>
    <row r="482" spans="2:16" x14ac:dyDescent="0.3">
      <c r="B482" s="39">
        <v>46210</v>
      </c>
      <c r="C482" s="46" t="str">
        <f>_xlfn.XLOOKUP(tblMovimientos[[#This Row],[Cuenta Bancaria]],Listas!$B:$B,Listas!$A:$A,"")</f>
        <v>Go Blue</v>
      </c>
      <c r="D482" s="41" t="s">
        <v>126</v>
      </c>
      <c r="E482" s="4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614.75</v>
      </c>
      <c r="K482" s="5">
        <f t="shared" si="2"/>
        <v>-614.75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11076.279999999999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614.75</v>
      </c>
      <c r="P482" s="28">
        <f>IF(tblMovimientos[[#This Row],[Tipo de Movimiento]]="Ingreso",tblMovimientos[[#This Row],[Ingreso]],-tblMovimientos[[#This Row],[Egreso]])</f>
        <v>-614.75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174</v>
      </c>
      <c r="E483" s="68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52</v>
      </c>
      <c r="K483" s="5">
        <f t="shared" si="2"/>
        <v>-52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3422.3100000000004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52</v>
      </c>
      <c r="P483" s="28">
        <f>IF(tblMovimientos[[#This Row],[Tipo de Movimiento]]="Ingreso",tblMovimientos[[#This Row],[Ingreso]],-tblMovimientos[[#This Row],[Egreso]])</f>
        <v>-52</v>
      </c>
    </row>
    <row r="484" spans="2:16" x14ac:dyDescent="0.3">
      <c r="B484" s="39">
        <v>46211</v>
      </c>
      <c r="C484" s="46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41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7679.78</v>
      </c>
      <c r="K484" s="5">
        <f t="shared" si="2"/>
        <v>-7679.78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14839.189999999999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7679.78</v>
      </c>
      <c r="P484" s="28">
        <f>IF(tblMovimientos[[#This Row],[Tipo de Movimiento]]="Ingreso",tblMovimientos[[#This Row],[Ingreso]],-tblMovimientos[[#This Row],[Egreso]])</f>
        <v>-7679.78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112 Florida Ave</v>
      </c>
      <c r="D485" s="41" t="s">
        <v>123</v>
      </c>
      <c r="E485" s="68" t="str">
        <f>_xlfn.XLOOKUP(tblMovimientos[[#This Row],[Cuenta Bancaria]],Listas!$B:$B,Listas!$C:$C,"")</f>
        <v>Bank of America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4000</v>
      </c>
      <c r="K485" s="5">
        <f t="shared" si="2"/>
        <v>-4000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6522.8000000000029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4000</v>
      </c>
      <c r="P485" s="28">
        <f>IF(tblMovimientos[[#This Row],[Tipo de Movimiento]]="Ingreso",tblMovimientos[[#This Row],[Ingreso]],-tblMovimientos[[#This Row],[Egreso]])</f>
        <v>-4000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104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1650.84</v>
      </c>
      <c r="K486" s="47">
        <f t="shared" si="2"/>
        <v>-1650.84</v>
      </c>
      <c r="L486" s="15" t="s">
        <v>129</v>
      </c>
      <c r="M486" s="58">
        <f>SUMIFS('Saldos Iniciales'!$D$2:$D$38,'Saldos Iniciales'!$A$2:$A$38,C486,'Saldos Iniciales'!$B$2:$B$38,D486)+SUMIFS($K$1:$K$724,$C$1:$C$724,C486,$D$1:$D$724,D486,$B$1:$B$724,"&lt;="&amp;B486)</f>
        <v>920047.91999999946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1650.84</v>
      </c>
      <c r="P486" s="28">
        <f>IF(tblMovimientos[[#This Row],[Tipo de Movimiento]]="Ingreso",tblMovimientos[[#This Row],[Ingreso]],-tblMovimientos[[#This Row],[Egreso]])</f>
        <v>-1650.84</v>
      </c>
    </row>
    <row r="487" spans="2:16" x14ac:dyDescent="0.3">
      <c r="B487" s="39">
        <v>46212</v>
      </c>
      <c r="C487" s="46" t="str">
        <f>_xlfn.XLOOKUP(tblMovimientos[[#This Row],[Cuenta Bancaria]],Listas!$B:$B,Listas!$A:$A,"")</f>
        <v>SSP Capital</v>
      </c>
      <c r="D487" s="41" t="s">
        <v>101</v>
      </c>
      <c r="E487" s="68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1291.6500000000001</v>
      </c>
      <c r="K487" s="5">
        <f t="shared" si="2"/>
        <v>-1291.6500000000001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13547.539999999999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1291.6500000000001</v>
      </c>
      <c r="P487" s="28">
        <f>IF(tblMovimientos[[#This Row],[Tipo de Movimiento]]="Ingreso",tblMovimientos[[#This Row],[Ingreso]],-tblMovimientos[[#This Row],[Egreso]])</f>
        <v>-1291.6500000000001</v>
      </c>
    </row>
    <row r="488" spans="2:16" x14ac:dyDescent="0.3">
      <c r="B488" s="39">
        <v>46212</v>
      </c>
      <c r="C488" s="46" t="str">
        <f>_xlfn.XLOOKUP(tblMovimientos[[#This Row],[Cuenta Bancaria]],Listas!$B:$B,Listas!$A:$A,"")</f>
        <v>A&amp;M Imports</v>
      </c>
      <c r="D488" s="41" t="s">
        <v>100</v>
      </c>
      <c r="E488" s="68" t="str">
        <f>_xlfn.XLOOKUP(tblMovimientos[[#This Row],[Cuenta Bancaria]],Listas!$B:$B,Listas!$C:$C,"")</f>
        <v>Bank of America</v>
      </c>
      <c r="F488" s="41" t="s">
        <v>10</v>
      </c>
      <c r="G488" s="41" t="s">
        <v>61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60000</v>
      </c>
      <c r="K488" s="5">
        <f t="shared" si="2"/>
        <v>-60000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290475.62999999989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60000</v>
      </c>
      <c r="P488" s="28">
        <f>IF(tblMovimientos[[#This Row],[Tipo de Movimiento]]="Ingreso",tblMovimientos[[#This Row],[Ingreso]],-tblMovimientos[[#This Row],[Egreso]])</f>
        <v>-60000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M1B</v>
      </c>
      <c r="D489" s="41" t="s">
        <v>97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5982</v>
      </c>
      <c r="K489" s="5">
        <f t="shared" si="2"/>
        <v>-5982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68157.680000000168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5982</v>
      </c>
      <c r="P489" s="28">
        <f>IF(tblMovimientos[[#This Row],[Tipo de Movimiento]]="Ingreso",tblMovimientos[[#This Row],[Ingreso]],-tblMovimientos[[#This Row],[Egreso]])</f>
        <v>-5982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Go Blue</v>
      </c>
      <c r="D490" s="41" t="s">
        <v>174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47.47</v>
      </c>
      <c r="K490" s="5">
        <f t="shared" si="2"/>
        <v>-47.47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3338.84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47.47</v>
      </c>
      <c r="P490" s="28">
        <f>IF(tblMovimientos[[#This Row],[Tipo de Movimiento]]="Ingreso",tblMovimientos[[#This Row],[Ingreso]],-tblMovimientos[[#This Row],[Egreso]])</f>
        <v>-47.47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Go Blue</v>
      </c>
      <c r="D491" s="41" t="s">
        <v>174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36</v>
      </c>
      <c r="K491" s="5">
        <f t="shared" si="2"/>
        <v>-36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3338.84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36</v>
      </c>
      <c r="P491" s="28">
        <f>IF(tblMovimientos[[#This Row],[Tipo de Movimiento]]="Ingreso",tblMovimientos[[#This Row],[Ingreso]],-tblMovimientos[[#This Row],[Egreso]])</f>
        <v>-36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CFT Group</v>
      </c>
      <c r="D492" s="41" t="s">
        <v>95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46</v>
      </c>
      <c r="H492" s="4" t="str">
        <f>IFERROR(_xlfn.XLOOKUP(G492,Listas!E:E,Listas!F:F,""),"")</f>
        <v>Financiamiento</v>
      </c>
      <c r="I492" s="46" t="str">
        <f>IFERROR(_xlfn.XLOOKUP(G492,Listas!E:E,Listas!G:G,""),"")</f>
        <v>Externo</v>
      </c>
      <c r="J492" s="43">
        <v>2975</v>
      </c>
      <c r="K492" s="47">
        <f t="shared" si="2"/>
        <v>-2975</v>
      </c>
      <c r="L492" s="15" t="s">
        <v>129</v>
      </c>
      <c r="M492" s="58">
        <f>SUMIFS('Saldos Iniciales'!$D$2:$D$38,'Saldos Iniciales'!$A$2:$A$38,C492,'Saldos Iniciales'!$B$2:$B$38,D492)+SUMIFS($K$1:$K$724,$C$1:$C$724,C492,$D$1:$D$724,D492,$B$1:$B$724,"&lt;="&amp;B492)</f>
        <v>4336744.6900000004</v>
      </c>
      <c r="N492" s="67" t="str">
        <f>IF(tblMovimientos[[#This Row],[Tipo de Movimiento]]="Ingreso",tblMovimientos[[#This Row],[Monto (S/)]],"0")</f>
        <v>0</v>
      </c>
      <c r="O492" s="67">
        <f>IF(tblMovimientos[[#This Row],[Tipo de Movimiento]]="Egreso",tblMovimientos[[#This Row],[Monto (S/)]],"0")</f>
        <v>2975</v>
      </c>
      <c r="P492" s="28">
        <f>IF(tblMovimientos[[#This Row],[Tipo de Movimiento]]="Ingreso",tblMovimientos[[#This Row],[Ingreso]],-tblMovimientos[[#This Row],[Egreso]])</f>
        <v>-2975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CFT Group</v>
      </c>
      <c r="D493" s="41" t="s">
        <v>95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46</v>
      </c>
      <c r="H493" s="4" t="str">
        <f>IFERROR(_xlfn.XLOOKUP(G493,Listas!E:E,Listas!F:F,""),"")</f>
        <v>Financiamiento</v>
      </c>
      <c r="I493" s="46" t="str">
        <f>IFERROR(_xlfn.XLOOKUP(G493,Listas!E:E,Listas!G:G,""),"")</f>
        <v>Externo</v>
      </c>
      <c r="J493" s="43">
        <v>11666.67</v>
      </c>
      <c r="K493" s="5">
        <f t="shared" si="2"/>
        <v>-11666.67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4336744.6900000004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11666.67</v>
      </c>
      <c r="P493" s="28">
        <f>IF(tblMovimientos[[#This Row],[Tipo de Movimiento]]="Ingreso",tblMovimientos[[#This Row],[Ingreso]],-tblMovimientos[[#This Row],[Egreso]])</f>
        <v>-11666.67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61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40000</v>
      </c>
      <c r="K494" s="5">
        <f t="shared" si="2"/>
        <v>-40000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4336744.6900000004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40000</v>
      </c>
      <c r="P494" s="28">
        <f>IF(tblMovimientos[[#This Row],[Tipo de Movimiento]]="Ingreso",tblMovimientos[[#This Row],[Ingreso]],-tblMovimientos[[#This Row],[Egreso]])</f>
        <v>-40000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61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60000</v>
      </c>
      <c r="K495" s="5">
        <f t="shared" si="2"/>
        <v>-60000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4336744.6900000004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60000</v>
      </c>
      <c r="P495" s="28">
        <f>IF(tblMovimientos[[#This Row],[Tipo de Movimiento]]="Ingreso",tblMovimientos[[#This Row],[Ingreso]],-tblMovimientos[[#This Row],[Egreso]])</f>
        <v>-60000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100000</v>
      </c>
      <c r="K496" s="5">
        <f t="shared" si="2"/>
        <v>-100000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4336744.6900000004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100000</v>
      </c>
      <c r="P496" s="28">
        <f>IF(tblMovimientos[[#This Row],[Tipo de Movimiento]]="Ingreso",tblMovimientos[[#This Row],[Ingreso]],-tblMovimientos[[#This Row],[Egreso]])</f>
        <v>-100000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8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100000</v>
      </c>
      <c r="K497" s="5">
        <f t="shared" si="2"/>
        <v>-100000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4336744.6900000004</v>
      </c>
      <c r="N497" s="67" t="str">
        <f>IF(tblMovimientos[[#This Row],[Tipo de Movimiento]]="Ingreso",tblMovimientos[[#This Row],[Monto (S/)]],"0")</f>
        <v>0</v>
      </c>
      <c r="O497" s="67">
        <f>IF(tblMovimientos[[#This Row],[Tipo de Movimiento]]="Egreso",tblMovimientos[[#This Row],[Monto (S/)]],"0")</f>
        <v>100000</v>
      </c>
      <c r="P497" s="28">
        <f>IF(tblMovimientos[[#This Row],[Tipo de Movimiento]]="Ingreso",tblMovimientos[[#This Row],[Ingreso]],-tblMovimientos[[#This Row],[Egreso]])</f>
        <v>-100000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47">
        <f t="shared" ref="K498:K523" si="3">IF(F498="Ingreso",J498,-J498)</f>
        <v>-100000</v>
      </c>
      <c r="L498" s="15" t="s">
        <v>129</v>
      </c>
      <c r="M498" s="58">
        <f>SUMIFS('Saldos Iniciales'!$D$2:$D$38,'Saldos Iniciales'!$A$2:$A$38,C498,'Saldos Iniciales'!$B$2:$B$38,D498)+SUMIFS($K$1:$K$724,$C$1:$C$724,C498,$D$1:$D$724,D498,$B$1:$B$724,"&lt;="&amp;B498)</f>
        <v>4336744.6900000004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48</v>
      </c>
      <c r="H499" s="4" t="str">
        <f>IFERROR(_xlfn.XLOOKUP(G499,Listas!E:E,Listas!F:F,""),"")</f>
        <v>Financiamiento</v>
      </c>
      <c r="I499" s="46" t="str">
        <f>IFERROR(_xlfn.XLOOKUP(G499,Listas!E:E,Listas!G:G,""),"")</f>
        <v>Externo</v>
      </c>
      <c r="J499" s="43">
        <v>200000</v>
      </c>
      <c r="K499" s="5">
        <f t="shared" si="3"/>
        <v>-200000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4336744.6900000004</v>
      </c>
      <c r="N499" s="67" t="str">
        <f>IF(tblMovimientos[[#This Row],[Tipo de Movimiento]]="Ingreso",tblMovimientos[[#This Row],[Monto (S/)]],"0")</f>
        <v>0</v>
      </c>
      <c r="O499" s="67">
        <f>IF(tblMovimientos[[#This Row],[Tipo de Movimiento]]="Egreso",tblMovimientos[[#This Row],[Monto (S/)]],"0")</f>
        <v>200000</v>
      </c>
      <c r="P499" s="28">
        <f>IF(tblMovimientos[[#This Row],[Tipo de Movimiento]]="Ingreso",tblMovimientos[[#This Row],[Ingreso]],-tblMovimientos[[#This Row],[Egreso]])</f>
        <v>-200000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62</v>
      </c>
      <c r="H500" s="4" t="str">
        <f>IFERROR(_xlfn.XLOOKUP(G500,Listas!E:E,Listas!F:F,""),"")</f>
        <v>Operativo</v>
      </c>
      <c r="I500" s="46" t="str">
        <f>IFERROR(_xlfn.XLOOKUP(G500,Listas!E:E,Listas!G:G,""),"")</f>
        <v>Interno</v>
      </c>
      <c r="J500" s="43">
        <v>600000</v>
      </c>
      <c r="K500" s="5">
        <f t="shared" si="3"/>
        <v>-600000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4336744.6900000004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600000</v>
      </c>
      <c r="P500" s="28">
        <f>IF(tblMovimientos[[#This Row],[Tipo de Movimiento]]="Ingreso",tblMovimientos[[#This Row],[Ingreso]],-tblMovimientos[[#This Row],[Egreso]])</f>
        <v>-600000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Cross Family Trust</v>
      </c>
      <c r="D501" s="41" t="s">
        <v>111</v>
      </c>
      <c r="E501" s="69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53</v>
      </c>
      <c r="H501" s="46" t="str">
        <f>IFERROR(_xlfn.XLOOKUP(G501,Listas!E:E,Listas!F:F,""),"")</f>
        <v>Inversion</v>
      </c>
      <c r="I501" s="46" t="str">
        <f>IFERROR(_xlfn.XLOOKUP(G501,Listas!E:E,Listas!G:G,""),"")</f>
        <v>Interno</v>
      </c>
      <c r="J501" s="43">
        <v>20000</v>
      </c>
      <c r="K501" s="5">
        <f t="shared" si="3"/>
        <v>-20000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91717.6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20000</v>
      </c>
      <c r="P501" s="28">
        <f>IF(tblMovimientos[[#This Row],[Tipo de Movimiento]]="Ingreso",tblMovimientos[[#This Row],[Ingreso]],-tblMovimientos[[#This Row],[Egreso]])</f>
        <v>-20000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SSP Capital</v>
      </c>
      <c r="D502" s="41" t="s">
        <v>104</v>
      </c>
      <c r="E502" s="68" t="str">
        <f>_xlfn.XLOOKUP(tblMovimientos[[#This Row],[Cuenta Bancaria]],Listas!$B:$B,Listas!$C:$C,"")</f>
        <v xml:space="preserve">Amerant Bank </v>
      </c>
      <c r="F502" s="41" t="s">
        <v>9</v>
      </c>
      <c r="G502" s="41" t="s">
        <v>75</v>
      </c>
      <c r="H502" s="4" t="str">
        <f>IFERROR(_xlfn.XLOOKUP(G502,Listas!E:E,Listas!F:F,""),"")</f>
        <v>Financiamiento</v>
      </c>
      <c r="I502" s="46" t="str">
        <f>IFERROR(_xlfn.XLOOKUP(G502,Listas!E:E,Listas!G:G,""),"")</f>
        <v>Interno</v>
      </c>
      <c r="J502" s="43">
        <v>600000</v>
      </c>
      <c r="K502" s="47">
        <f t="shared" si="3"/>
        <v>600000</v>
      </c>
      <c r="L502" s="15" t="s">
        <v>129</v>
      </c>
      <c r="M502" s="58">
        <f>SUMIFS('Saldos Iniciales'!$D$2:$D$38,'Saldos Iniciales'!$A$2:$A$38,C502,'Saldos Iniciales'!$B$2:$B$38,D502)+SUMIFS($K$1:$K$724,$C$1:$C$724,C502,$D$1:$D$724,D502,$B$1:$B$724,"&lt;="&amp;B502)</f>
        <v>1289236.6699999995</v>
      </c>
      <c r="N502" s="67">
        <f>IF(tblMovimientos[[#This Row],[Tipo de Movimiento]]="Ingreso",tblMovimientos[[#This Row],[Monto (S/)]],"0")</f>
        <v>600000</v>
      </c>
      <c r="O502" s="67" t="str">
        <f>IF(tblMovimientos[[#This Row],[Tipo de Movimiento]]="Egreso",tblMovimientos[[#This Row],[Monto (S/)]],"0")</f>
        <v>0</v>
      </c>
      <c r="P502" s="28">
        <f>IF(tblMovimientos[[#This Row],[Tipo de Movimiento]]="Ingreso",tblMovimientos[[#This Row],[Ingreso]],-tblMovimientos[[#This Row],[Egreso]])</f>
        <v>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SSP Capital</v>
      </c>
      <c r="D503" s="41" t="s">
        <v>104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295</v>
      </c>
      <c r="K503" s="5">
        <f t="shared" si="3"/>
        <v>-295</v>
      </c>
      <c r="L503" s="15" t="s">
        <v>129</v>
      </c>
      <c r="M503" s="44">
        <f>SUMIFS('Saldos Iniciales'!$D$2:$D$38,'Saldos Iniciales'!$A$2:$A$38,C503,'Saldos Iniciales'!$B$2:$B$38,D503)+SUMIFS($K$1:$K$724,$C$1:$C$724,C503,$D$1:$D$724,D503,$B$1:$B$724,"&lt;="&amp;B503)</f>
        <v>1289236.6699999995</v>
      </c>
      <c r="N503" s="67" t="str">
        <f>IF(tblMovimientos[[#This Row],[Tipo de Movimiento]]="Ingreso",tblMovimientos[[#This Row],[Monto (S/)]],"0")</f>
        <v>0</v>
      </c>
      <c r="O503" s="67">
        <f>IF(tblMovimientos[[#This Row],[Tipo de Movimiento]]="Egreso",tblMovimientos[[#This Row],[Monto (S/)]],"0")</f>
        <v>295</v>
      </c>
      <c r="P503" s="28">
        <f>IF(tblMovimientos[[#This Row],[Tipo de Movimiento]]="Ingreso",tblMovimientos[[#This Row],[Ingreso]],-tblMovimientos[[#This Row],[Egreso]])</f>
        <v>-295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38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24255</v>
      </c>
      <c r="K504" s="5">
        <f t="shared" si="3"/>
        <v>-24255</v>
      </c>
      <c r="L504" s="15" t="s">
        <v>129</v>
      </c>
      <c r="M504" s="44">
        <f>SUMIFS('Saldos Iniciales'!$D$2:$D$38,'Saldos Iniciales'!$A$2:$A$38,C504,'Saldos Iniciales'!$B$2:$B$38,D504)+SUMIFS($K$1:$K$724,$C$1:$C$724,C504,$D$1:$D$724,D504,$B$1:$B$724,"&lt;="&amp;B504)</f>
        <v>1289236.6699999995</v>
      </c>
      <c r="N504" s="67" t="str">
        <f>IF(tblMovimientos[[#This Row],[Tipo de Movimiento]]="Ingreso",tblMovimientos[[#This Row],[Monto (S/)]],"0")</f>
        <v>0</v>
      </c>
      <c r="O504" s="67">
        <f>IF(tblMovimientos[[#This Row],[Tipo de Movimiento]]="Egreso",tblMovimientos[[#This Row],[Monto (S/)]],"0")</f>
        <v>24255</v>
      </c>
      <c r="P504" s="28">
        <f>IF(tblMovimientos[[#This Row],[Tipo de Movimiento]]="Ingreso",tblMovimientos[[#This Row],[Ingreso]],-tblMovimientos[[#This Row],[Egreso]])</f>
        <v>-24255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66261.25</v>
      </c>
      <c r="K505" s="5">
        <f t="shared" si="3"/>
        <v>-66261.25</v>
      </c>
      <c r="L505" s="15" t="s">
        <v>129</v>
      </c>
      <c r="M505" s="44">
        <f>SUMIFS('Saldos Iniciales'!$D$2:$D$38,'Saldos Iniciales'!$A$2:$A$38,C505,'Saldos Iniciales'!$B$2:$B$38,D505)+SUMIFS($K$1:$K$724,$C$1:$C$724,C505,$D$1:$D$724,D505,$B$1:$B$724,"&lt;="&amp;B505)</f>
        <v>1289236.6699999995</v>
      </c>
      <c r="N505" s="67" t="str">
        <f>IF(tblMovimientos[[#This Row],[Tipo de Movimiento]]="Ingreso",tblMovimientos[[#This Row],[Monto (S/)]],"0")</f>
        <v>0</v>
      </c>
      <c r="O505" s="67">
        <f>IF(tblMovimientos[[#This Row],[Tipo de Movimiento]]="Egreso",tblMovimientos[[#This Row],[Monto (S/)]],"0")</f>
        <v>66261.25</v>
      </c>
      <c r="P505" s="28">
        <f>IF(tblMovimientos[[#This Row],[Tipo de Movimiento]]="Ingreso",tblMovimientos[[#This Row],[Ingreso]],-tblMovimientos[[#This Row],[Egreso]])</f>
        <v>-66261.25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60</v>
      </c>
      <c r="H506" s="4" t="str">
        <f>IFERROR(_xlfn.XLOOKUP(G506,Listas!E:E,Listas!F:F,""),"")</f>
        <v>Inversion</v>
      </c>
      <c r="I506" s="46" t="str">
        <f>IFERROR(_xlfn.XLOOKUP(G506,Listas!E:E,Listas!G:G,""),"")</f>
        <v>Interno</v>
      </c>
      <c r="J506" s="43">
        <v>140000</v>
      </c>
      <c r="K506" s="47">
        <f t="shared" si="3"/>
        <v>-140000</v>
      </c>
      <c r="L506" s="15" t="s">
        <v>129</v>
      </c>
      <c r="M506" s="58">
        <f>SUMIFS('Saldos Iniciales'!$D$2:$D$38,'Saldos Iniciales'!$A$2:$A$38,C506,'Saldos Iniciales'!$B$2:$B$38,D506)+SUMIFS($K$1:$K$724,$C$1:$C$724,C506,$D$1:$D$724,D506,$B$1:$B$724,"&lt;="&amp;B506)</f>
        <v>1289236.6699999995</v>
      </c>
      <c r="N506" s="67" t="str">
        <f>IF(tblMovimientos[[#This Row],[Tipo de Movimiento]]="Ingreso",tblMovimientos[[#This Row],[Monto (S/)]],"0")</f>
        <v>0</v>
      </c>
      <c r="O506" s="67">
        <f>IF(tblMovimientos[[#This Row],[Tipo de Movimiento]]="Egreso",tblMovimientos[[#This Row],[Monto (S/)]],"0")</f>
        <v>140000</v>
      </c>
      <c r="P506" s="28">
        <f>IF(tblMovimientos[[#This Row],[Tipo de Movimiento]]="Ingreso",tblMovimientos[[#This Row],[Ingreso]],-tblMovimientos[[#This Row],[Egreso]])</f>
        <v>-140000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Green Harbor Trust</v>
      </c>
      <c r="D507" s="41" t="s">
        <v>125</v>
      </c>
      <c r="E507" s="68" t="str">
        <f>_xlfn.XLOOKUP(tblMovimientos[[#This Row],[Cuenta Bancaria]],Listas!$B:$B,Listas!$C:$C,"")</f>
        <v xml:space="preserve">Amerant Bank </v>
      </c>
      <c r="F507" s="41" t="s">
        <v>9</v>
      </c>
      <c r="G507" s="41" t="s">
        <v>77</v>
      </c>
      <c r="H507" s="4" t="str">
        <f>IFERROR(_xlfn.XLOOKUP(G507,Listas!E:E,Listas!F:F,""),"")</f>
        <v>Inversion</v>
      </c>
      <c r="I507" s="46" t="str">
        <f>IFERROR(_xlfn.XLOOKUP(G507,Listas!E:E,Listas!G:G,""),"")</f>
        <v>Interno</v>
      </c>
      <c r="J507" s="43">
        <v>20000</v>
      </c>
      <c r="K507" s="5">
        <f t="shared" si="3"/>
        <v>20000</v>
      </c>
      <c r="L507" s="15" t="s">
        <v>129</v>
      </c>
      <c r="M507" s="44">
        <f>SUMIFS('Saldos Iniciales'!$D$2:$D$38,'Saldos Iniciales'!$A$2:$A$38,C507,'Saldos Iniciales'!$B$2:$B$38,D507)+SUMIFS($K$1:$K$724,$C$1:$C$724,C507,$D$1:$D$724,D507,$B$1:$B$724,"&lt;="&amp;B507)</f>
        <v>345</v>
      </c>
      <c r="N507" s="67">
        <f>IF(tblMovimientos[[#This Row],[Tipo de Movimiento]]="Ingreso",tblMovimientos[[#This Row],[Monto (S/)]],"0")</f>
        <v>20000</v>
      </c>
      <c r="O507" s="67" t="str">
        <f>IF(tblMovimientos[[#This Row],[Tipo de Movimiento]]="Egreso",tblMovimientos[[#This Row],[Monto (S/)]],"0")</f>
        <v>0</v>
      </c>
      <c r="P507" s="28">
        <f>IF(tblMovimientos[[#This Row],[Tipo de Movimiento]]="Ingreso",tblMovimientos[[#This Row],[Ingreso]],-tblMovimientos[[#This Row],[Egreso]])</f>
        <v>20000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Green Harbor Trust</v>
      </c>
      <c r="D508" s="41" t="s">
        <v>125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59</v>
      </c>
      <c r="H508" s="4" t="str">
        <f>IFERROR(_xlfn.XLOOKUP(G508,Listas!E:E,Listas!F:F,""),"")</f>
        <v>Inversion</v>
      </c>
      <c r="I508" s="46" t="str">
        <f>IFERROR(_xlfn.XLOOKUP(G508,Listas!E:E,Listas!G:G,""),"")</f>
        <v>Externo</v>
      </c>
      <c r="J508" s="43">
        <v>20000</v>
      </c>
      <c r="K508" s="5">
        <f t="shared" si="3"/>
        <v>-20000</v>
      </c>
      <c r="L508" s="15" t="s">
        <v>129</v>
      </c>
      <c r="M508" s="44">
        <f>SUMIFS('Saldos Iniciales'!$D$2:$D$38,'Saldos Iniciales'!$A$2:$A$38,C508,'Saldos Iniciales'!$B$2:$B$38,D508)+SUMIFS($K$1:$K$724,$C$1:$C$724,C508,$D$1:$D$724,D508,$B$1:$B$724,"&lt;="&amp;B508)</f>
        <v>345</v>
      </c>
      <c r="N508" s="67" t="str">
        <f>IF(tblMovimientos[[#This Row],[Tipo de Movimiento]]="Ingreso",tblMovimientos[[#This Row],[Monto (S/)]],"0")</f>
        <v>0</v>
      </c>
      <c r="O508" s="67">
        <f>IF(tblMovimientos[[#This Row],[Tipo de Movimiento]]="Egreso",tblMovimientos[[#This Row],[Monto (S/)]],"0")</f>
        <v>20000</v>
      </c>
      <c r="P508" s="28">
        <f>IF(tblMovimientos[[#This Row],[Tipo de Movimiento]]="Ingreso",tblMovimientos[[#This Row],[Ingreso]],-tblMovimientos[[#This Row],[Egreso]])</f>
        <v>-20000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Go Blue</v>
      </c>
      <c r="D509" s="41" t="s">
        <v>126</v>
      </c>
      <c r="E509" s="68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3"/>
        <v>20000</v>
      </c>
      <c r="L509" s="15" t="s">
        <v>129</v>
      </c>
      <c r="M509" s="44">
        <f>SUMIFS('Saldos Iniciales'!$D$2:$D$38,'Saldos Iniciales'!$A$2:$A$38,C509,'Saldos Iniciales'!$B$2:$B$38,D509)+SUMIFS($K$1:$K$724,$C$1:$C$724,C509,$D$1:$D$724,D509,$B$1:$B$724,"&lt;="&amp;B509)</f>
        <v>28561.279999999999</v>
      </c>
      <c r="N509" s="67">
        <f>IF(tblMovimientos[[#This Row],[Tipo de Movimiento]]="Ingreso",tblMovimientos[[#This Row],[Monto (S/)]],"0")</f>
        <v>20000</v>
      </c>
      <c r="O509" s="67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Go Blue</v>
      </c>
      <c r="D510" s="41" t="s">
        <v>126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2500</v>
      </c>
      <c r="K510" s="47">
        <f t="shared" si="3"/>
        <v>-2500</v>
      </c>
      <c r="L510" s="15" t="s">
        <v>129</v>
      </c>
      <c r="M510" s="58">
        <f>SUMIFS('Saldos Iniciales'!$D$2:$D$38,'Saldos Iniciales'!$A$2:$A$38,C510,'Saldos Iniciales'!$B$2:$B$38,D510)+SUMIFS($K$1:$K$724,$C$1:$C$724,C510,$D$1:$D$724,D510,$B$1:$B$724,"&lt;="&amp;B510)</f>
        <v>28561.279999999999</v>
      </c>
      <c r="N510" s="67" t="str">
        <f>IF(tblMovimientos[[#This Row],[Tipo de Movimiento]]="Ingreso",tblMovimientos[[#This Row],[Monto (S/)]],"0")</f>
        <v>0</v>
      </c>
      <c r="O510" s="67">
        <f>IF(tblMovimientos[[#This Row],[Tipo de Movimiento]]="Egreso",tblMovimientos[[#This Row],[Monto (S/)]],"0")</f>
        <v>2500</v>
      </c>
      <c r="P510" s="28">
        <f>IF(tblMovimientos[[#This Row],[Tipo de Movimiento]]="Ingreso",tblMovimientos[[#This Row],[Ingreso]],-tblMovimientos[[#This Row],[Egreso]])</f>
        <v>-2500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44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15</v>
      </c>
      <c r="K511" s="5">
        <f t="shared" si="3"/>
        <v>-15</v>
      </c>
      <c r="L511" s="15" t="s">
        <v>129</v>
      </c>
      <c r="M511" s="44">
        <f>SUMIFS('Saldos Iniciales'!$D$2:$D$38,'Saldos Iniciales'!$A$2:$A$38,C511,'Saldos Iniciales'!$B$2:$B$38,D511)+SUMIFS($K$1:$K$724,$C$1:$C$724,C511,$D$1:$D$724,D511,$B$1:$B$724,"&lt;="&amp;B511)</f>
        <v>28561.279999999999</v>
      </c>
      <c r="N511" s="67" t="str">
        <f>IF(tblMovimientos[[#This Row],[Tipo de Movimiento]]="Ingreso",tblMovimientos[[#This Row],[Monto (S/)]],"0")</f>
        <v>0</v>
      </c>
      <c r="O511" s="67">
        <f>IF(tblMovimientos[[#This Row],[Tipo de Movimiento]]="Egreso",tblMovimientos[[#This Row],[Monto (S/)]],"0")</f>
        <v>15</v>
      </c>
      <c r="P511" s="28">
        <f>IF(tblMovimientos[[#This Row],[Tipo de Movimiento]]="Ingreso",tblMovimientos[[#This Row],[Ingreso]],-tblMovimientos[[#This Row],[Egreso]])</f>
        <v>-15</v>
      </c>
    </row>
    <row r="512" spans="1:16" x14ac:dyDescent="0.3">
      <c r="B512" s="39">
        <v>46213</v>
      </c>
      <c r="C512" s="46" t="str">
        <f>_xlfn.XLOOKUP(tblMovimientos[[#This Row],[Cuenta Bancaria]],Listas!$B:$B,Listas!$A:$A,"")</f>
        <v>SSP Capital</v>
      </c>
      <c r="D512" s="41" t="s">
        <v>101</v>
      </c>
      <c r="E512" s="68" t="str">
        <f>_xlfn.XLOOKUP(tblMovimientos[[#This Row],[Cuenta Bancaria]],Listas!$B:$B,Listas!$C:$C,"")</f>
        <v>Bank of America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424</v>
      </c>
      <c r="K512" s="5">
        <f t="shared" si="3"/>
        <v>-424</v>
      </c>
      <c r="L512" s="15" t="s">
        <v>129</v>
      </c>
      <c r="M512" s="44">
        <f>SUMIFS('Saldos Iniciales'!$D$2:$D$38,'Saldos Iniciales'!$A$2:$A$38,C512,'Saldos Iniciales'!$B$2:$B$38,D512)+SUMIFS($K$1:$K$724,$C$1:$C$724,C512,$D$1:$D$724,D512,$B$1:$B$724,"&lt;="&amp;B512)</f>
        <v>13123.539999999999</v>
      </c>
      <c r="N512" s="67" t="str">
        <f>IF(tblMovimientos[[#This Row],[Tipo de Movimiento]]="Ingreso",tblMovimientos[[#This Row],[Monto (S/)]],"0")</f>
        <v>0</v>
      </c>
      <c r="O512" s="67">
        <f>IF(tblMovimientos[[#This Row],[Tipo de Movimiento]]="Egreso",tblMovimientos[[#This Row],[Monto (S/)]],"0")</f>
        <v>424</v>
      </c>
      <c r="P512" s="28">
        <f>IF(tblMovimientos[[#This Row],[Tipo de Movimiento]]="Ingreso",tblMovimientos[[#This Row],[Ingreso]],-tblMovimientos[[#This Row],[Egreso]])</f>
        <v>-424</v>
      </c>
    </row>
    <row r="513" spans="2:16" x14ac:dyDescent="0.3">
      <c r="B513" s="39">
        <v>46213</v>
      </c>
      <c r="C513" s="46" t="str">
        <f>_xlfn.XLOOKUP(tblMovimientos[[#This Row],[Cuenta Bancaria]],Listas!$B:$B,Listas!$A:$A,"")</f>
        <v>A&amp;M Imports</v>
      </c>
      <c r="D513" s="41" t="s">
        <v>100</v>
      </c>
      <c r="E513" s="68" t="str">
        <f>_xlfn.XLOOKUP(tblMovimientos[[#This Row],[Cuenta Bancaria]],Listas!$B:$B,Listas!$C:$C,"")</f>
        <v>Bank of America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334</v>
      </c>
      <c r="K513" s="5">
        <f t="shared" si="3"/>
        <v>-334</v>
      </c>
      <c r="L513" s="15" t="s">
        <v>129</v>
      </c>
      <c r="M513" s="44">
        <f>SUMIFS('Saldos Iniciales'!$D$2:$D$38,'Saldos Iniciales'!$A$2:$A$38,C513,'Saldos Iniciales'!$B$2:$B$38,D513)+SUMIFS($K$1:$K$724,$C$1:$C$724,C513,$D$1:$D$724,D513,$B$1:$B$724,"&lt;="&amp;B513)</f>
        <v>290141.62999999989</v>
      </c>
      <c r="N513" s="67" t="str">
        <f>IF(tblMovimientos[[#This Row],[Tipo de Movimiento]]="Ingreso",tblMovimientos[[#This Row],[Monto (S/)]],"0")</f>
        <v>0</v>
      </c>
      <c r="O513" s="67">
        <f>IF(tblMovimientos[[#This Row],[Tipo de Movimiento]]="Egreso",tblMovimientos[[#This Row],[Monto (S/)]],"0")</f>
        <v>334</v>
      </c>
      <c r="P513" s="28">
        <f>IF(tblMovimientos[[#This Row],[Tipo de Movimiento]]="Ingreso",tblMovimientos[[#This Row],[Ingreso]],-tblMovimientos[[#This Row],[Egreso]])</f>
        <v>-334</v>
      </c>
    </row>
    <row r="514" spans="2:16" x14ac:dyDescent="0.3">
      <c r="B514" s="39">
        <v>46213</v>
      </c>
      <c r="C514" s="46" t="str">
        <f>_xlfn.XLOOKUP(tblMovimientos[[#This Row],[Cuenta Bancaria]],Listas!$B:$B,Listas!$A:$A,"")</f>
        <v>CFT Group</v>
      </c>
      <c r="D514" s="41" t="s">
        <v>94</v>
      </c>
      <c r="E514" s="68" t="str">
        <f>_xlfn.XLOOKUP(tblMovimientos[[#This Row],[Cuenta Bancaria]],Listas!$B:$B,Listas!$C:$C,"")</f>
        <v>Bank of America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355</v>
      </c>
      <c r="K514" s="5">
        <f t="shared" si="3"/>
        <v>-355</v>
      </c>
      <c r="L514" s="15" t="s">
        <v>129</v>
      </c>
      <c r="M514" s="44">
        <f>SUMIFS('Saldos Iniciales'!$D$2:$D$38,'Saldos Iniciales'!$A$2:$A$38,C514,'Saldos Iniciales'!$B$2:$B$38,D514)+SUMIFS($K$1:$K$724,$C$1:$C$724,C514,$D$1:$D$724,D514,$B$1:$B$724,"&lt;="&amp;B514)</f>
        <v>35588.359999999986</v>
      </c>
      <c r="N514" s="67" t="str">
        <f>IF(tblMovimientos[[#This Row],[Tipo de Movimiento]]="Ingreso",tblMovimientos[[#This Row],[Monto (S/)]],"0")</f>
        <v>0</v>
      </c>
      <c r="O514" s="67">
        <f>IF(tblMovimientos[[#This Row],[Tipo de Movimiento]]="Egreso",tblMovimientos[[#This Row],[Monto (S/)]],"0")</f>
        <v>355</v>
      </c>
      <c r="P514" s="28">
        <f>IF(tblMovimientos[[#This Row],[Tipo de Movimiento]]="Ingreso",tblMovimientos[[#This Row],[Ingreso]],-tblMovimientos[[#This Row],[Egreso]])</f>
        <v>-355</v>
      </c>
    </row>
    <row r="515" spans="2:16" x14ac:dyDescent="0.3">
      <c r="B515" s="39">
        <v>46213</v>
      </c>
      <c r="C515" s="46" t="str">
        <f>_xlfn.XLOOKUP(tblMovimientos[[#This Row],[Cuenta Bancaria]],Listas!$B:$B,Listas!$A:$A,"")</f>
        <v>Go Blue</v>
      </c>
      <c r="D515" s="41" t="s">
        <v>174</v>
      </c>
      <c r="E515" s="68" t="str">
        <f>_xlfn.XLOOKUP(tblMovimientos[[#This Row],[Cuenta Bancaria]],Listas!$B:$B,Listas!$C:$C,"")</f>
        <v xml:space="preserve">Amerant Bank </v>
      </c>
      <c r="F515" s="41" t="s">
        <v>9</v>
      </c>
      <c r="G515" s="41" t="s">
        <v>85</v>
      </c>
      <c r="H515" s="4" t="str">
        <f>IFERROR(_xlfn.XLOOKUP(G515,Listas!E:E,Listas!F:F,""),"")</f>
        <v>Operativo</v>
      </c>
      <c r="I515" s="46" t="str">
        <f>IFERROR(_xlfn.XLOOKUP(G515,Listas!E:E,Listas!G:G,""),"")</f>
        <v>Interno</v>
      </c>
      <c r="J515" s="43">
        <v>2000</v>
      </c>
      <c r="K515" s="47">
        <f t="shared" si="3"/>
        <v>2000</v>
      </c>
      <c r="L515" s="15" t="s">
        <v>129</v>
      </c>
      <c r="M515" s="58">
        <f>SUMIFS('Saldos Iniciales'!$D$2:$D$38,'Saldos Iniciales'!$A$2:$A$38,C515,'Saldos Iniciales'!$B$2:$B$38,D515)+SUMIFS($K$1:$K$724,$C$1:$C$724,C515,$D$1:$D$724,D515,$B$1:$B$724,"&lt;="&amp;B515)</f>
        <v>5338.84</v>
      </c>
      <c r="N515" s="67">
        <f>IF(tblMovimientos[[#This Row],[Tipo de Movimiento]]="Ingreso",tblMovimientos[[#This Row],[Monto (S/)]],"0")</f>
        <v>2000</v>
      </c>
      <c r="O515" s="67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2000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CFT Group</v>
      </c>
      <c r="D516" s="41" t="s">
        <v>95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46</v>
      </c>
      <c r="H516" s="4" t="str">
        <f>IFERROR(_xlfn.XLOOKUP(G516,Listas!E:E,Listas!F:F,""),"")</f>
        <v>Financiamiento</v>
      </c>
      <c r="I516" s="46" t="str">
        <f>IFERROR(_xlfn.XLOOKUP(G516,Listas!E:E,Listas!G:G,""),"")</f>
        <v>Externo</v>
      </c>
      <c r="J516" s="43">
        <v>5000</v>
      </c>
      <c r="K516" s="5">
        <f t="shared" si="3"/>
        <v>-5000</v>
      </c>
      <c r="L516" s="15" t="s">
        <v>129</v>
      </c>
      <c r="M516" s="44">
        <f>SUMIFS('Saldos Iniciales'!$D$2:$D$38,'Saldos Iniciales'!$A$2:$A$38,C516,'Saldos Iniciales'!$B$2:$B$38,D516)+SUMIFS($K$1:$K$724,$C$1:$C$724,C516,$D$1:$D$724,D516,$B$1:$B$724,"&lt;="&amp;B516)</f>
        <v>4122911.3600000003</v>
      </c>
      <c r="N516" s="67" t="str">
        <f>IF(tblMovimientos[[#This Row],[Tipo de Movimiento]]="Ingreso",tblMovimientos[[#This Row],[Monto (S/)]],"0")</f>
        <v>0</v>
      </c>
      <c r="O516" s="67">
        <f>IF(tblMovimientos[[#This Row],[Tipo de Movimiento]]="Egreso",tblMovimientos[[#This Row],[Monto (S/)]],"0")</f>
        <v>5000</v>
      </c>
      <c r="P516" s="28">
        <f>IF(tblMovimientos[[#This Row],[Tipo de Movimiento]]="Ingreso",tblMovimientos[[#This Row],[Ingreso]],-tblMovimientos[[#This Row],[Egreso]])</f>
        <v>-5000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CFT Group</v>
      </c>
      <c r="D517" s="41" t="s">
        <v>95</v>
      </c>
      <c r="E517" s="68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46</v>
      </c>
      <c r="H517" s="4" t="str">
        <f>IFERROR(_xlfn.XLOOKUP(G517,Listas!E:E,Listas!F:F,""),"")</f>
        <v>Financiamiento</v>
      </c>
      <c r="I517" s="46" t="str">
        <f>IFERROR(_xlfn.XLOOKUP(G517,Listas!E:E,Listas!G:G,""),"")</f>
        <v>Externo</v>
      </c>
      <c r="J517" s="43">
        <v>56000</v>
      </c>
      <c r="K517" s="5">
        <f t="shared" si="3"/>
        <v>-56000</v>
      </c>
      <c r="L517" s="15" t="s">
        <v>129</v>
      </c>
      <c r="M517" s="44">
        <f>SUMIFS('Saldos Iniciales'!$D$2:$D$38,'Saldos Iniciales'!$A$2:$A$38,C517,'Saldos Iniciales'!$B$2:$B$38,D517)+SUMIFS($K$1:$K$724,$C$1:$C$724,C517,$D$1:$D$724,D517,$B$1:$B$724,"&lt;="&amp;B517)</f>
        <v>4122911.3600000003</v>
      </c>
      <c r="N517" s="67" t="str">
        <f>IF(tblMovimientos[[#This Row],[Tipo de Movimiento]]="Ingreso",tblMovimientos[[#This Row],[Monto (S/)]],"0")</f>
        <v>0</v>
      </c>
      <c r="O517" s="67">
        <f>IF(tblMovimientos[[#This Row],[Tipo de Movimiento]]="Egreso",tblMovimientos[[#This Row],[Monto (S/)]],"0")</f>
        <v>56000</v>
      </c>
      <c r="P517" s="28">
        <f>IF(tblMovimientos[[#This Row],[Tipo de Movimiento]]="Ingreso",tblMovimientos[[#This Row],[Ingreso]],-tblMovimientos[[#This Row],[Egreso]])</f>
        <v>-56000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46</v>
      </c>
      <c r="H518" s="4" t="str">
        <f>IFERROR(_xlfn.XLOOKUP(G518,Listas!E:E,Listas!F:F,""),"")</f>
        <v>Financiamiento</v>
      </c>
      <c r="I518" s="46" t="str">
        <f>IFERROR(_xlfn.XLOOKUP(G518,Listas!E:E,Listas!G:G,""),"")</f>
        <v>Externo</v>
      </c>
      <c r="J518" s="43">
        <v>70000</v>
      </c>
      <c r="K518" s="5">
        <f t="shared" si="3"/>
        <v>-70000</v>
      </c>
      <c r="L518" s="15" t="s">
        <v>129</v>
      </c>
      <c r="M518" s="44">
        <f>SUMIFS('Saldos Iniciales'!$D$2:$D$38,'Saldos Iniciales'!$A$2:$A$38,C518,'Saldos Iniciales'!$B$2:$B$38,D518)+SUMIFS($K$1:$K$724,$C$1:$C$724,C518,$D$1:$D$724,D518,$B$1:$B$724,"&lt;="&amp;B518)</f>
        <v>4122911.3600000003</v>
      </c>
      <c r="N518" s="67" t="str">
        <f>IF(tblMovimientos[[#This Row],[Tipo de Movimiento]]="Ingreso",tblMovimientos[[#This Row],[Monto (S/)]],"0")</f>
        <v>0</v>
      </c>
      <c r="O518" s="67">
        <f>IF(tblMovimientos[[#This Row],[Tipo de Movimiento]]="Egreso",tblMovimientos[[#This Row],[Monto (S/)]],"0")</f>
        <v>70000</v>
      </c>
      <c r="P518" s="28">
        <f>IF(tblMovimientos[[#This Row],[Tipo de Movimiento]]="Ingreso",tblMovimientos[[#This Row],[Ingreso]],-tblMovimientos[[#This Row],[Egreso]])</f>
        <v>-70000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95</v>
      </c>
      <c r="E519" s="68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46</v>
      </c>
      <c r="H519" s="4" t="str">
        <f>IFERROR(_xlfn.XLOOKUP(G519,Listas!E:E,Listas!F:F,""),"")</f>
        <v>Financiamiento</v>
      </c>
      <c r="I519" s="46" t="str">
        <f>IFERROR(_xlfn.XLOOKUP(G519,Listas!E:E,Listas!G:G,""),"")</f>
        <v>Externo</v>
      </c>
      <c r="J519" s="43">
        <v>82833.33</v>
      </c>
      <c r="K519" s="5">
        <f t="shared" si="3"/>
        <v>-82833.33</v>
      </c>
      <c r="L519" s="15" t="s">
        <v>129</v>
      </c>
      <c r="M519" s="44">
        <f>SUMIFS('Saldos Iniciales'!$D$2:$D$38,'Saldos Iniciales'!$A$2:$A$38,C519,'Saldos Iniciales'!$B$2:$B$38,D519)+SUMIFS($K$1:$K$724,$C$1:$C$724,C519,$D$1:$D$724,D519,$B$1:$B$724,"&lt;="&amp;B519)</f>
        <v>4122911.3600000003</v>
      </c>
      <c r="N519" s="67" t="str">
        <f>IF(tblMovimientos[[#This Row],[Tipo de Movimiento]]="Ingreso",tblMovimientos[[#This Row],[Monto (S/)]],"0")</f>
        <v>0</v>
      </c>
      <c r="O519" s="67">
        <f>IF(tblMovimientos[[#This Row],[Tipo de Movimiento]]="Egreso",tblMovimientos[[#This Row],[Monto (S/)]],"0")</f>
        <v>82833.33</v>
      </c>
      <c r="P519" s="28">
        <f>IF(tblMovimientos[[#This Row],[Tipo de Movimiento]]="Ingreso",tblMovimientos[[#This Row],[Ingreso]],-tblMovimientos[[#This Row],[Egreso]])</f>
        <v>-82833.33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SSP Capital</v>
      </c>
      <c r="D520" s="41" t="s">
        <v>104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9583.33</v>
      </c>
      <c r="K520" s="47">
        <f t="shared" si="3"/>
        <v>-9583.33</v>
      </c>
      <c r="L520" s="15" t="s">
        <v>129</v>
      </c>
      <c r="M520" s="58">
        <f>SUMIFS('Saldos Iniciales'!$D$2:$D$38,'Saldos Iniciales'!$A$2:$A$38,C520,'Saldos Iniciales'!$B$2:$B$38,D520)+SUMIFS($K$1:$K$724,$C$1:$C$724,C520,$D$1:$D$724,D520,$B$1:$B$724,"&lt;="&amp;B520)</f>
        <v>1091819.9999999993</v>
      </c>
      <c r="N520" s="67" t="str">
        <f>IF(tblMovimientos[[#This Row],[Tipo de Movimiento]]="Ingreso",tblMovimientos[[#This Row],[Monto (S/)]],"0")</f>
        <v>0</v>
      </c>
      <c r="O520" s="67">
        <f>IF(tblMovimientos[[#This Row],[Tipo de Movimiento]]="Egreso",tblMovimientos[[#This Row],[Monto (S/)]],"0")</f>
        <v>9583.33</v>
      </c>
      <c r="P520" s="28">
        <f>IF(tblMovimientos[[#This Row],[Tipo de Movimiento]]="Ingreso",tblMovimientos[[#This Row],[Ingreso]],-tblMovimientos[[#This Row],[Egreso]])</f>
        <v>-9583.33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SSP Capital</v>
      </c>
      <c r="D521" s="41" t="s">
        <v>104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53666.67</v>
      </c>
      <c r="K521" s="5">
        <f t="shared" si="3"/>
        <v>-53666.67</v>
      </c>
      <c r="L521" s="15" t="s">
        <v>129</v>
      </c>
      <c r="M521" s="44">
        <f>SUMIFS('Saldos Iniciales'!$D$2:$D$38,'Saldos Iniciales'!$A$2:$A$38,C521,'Saldos Iniciales'!$B$2:$B$38,D521)+SUMIFS($K$1:$K$724,$C$1:$C$724,C521,$D$1:$D$724,D521,$B$1:$B$724,"&lt;="&amp;B521)</f>
        <v>1091819.9999999993</v>
      </c>
      <c r="N521" s="67" t="str">
        <f>IF(tblMovimientos[[#This Row],[Tipo de Movimiento]]="Ingreso",tblMovimientos[[#This Row],[Monto (S/)]],"0")</f>
        <v>0</v>
      </c>
      <c r="O521" s="67">
        <f>IF(tblMovimientos[[#This Row],[Tipo de Movimiento]]="Egreso",tblMovimientos[[#This Row],[Monto (S/)]],"0")</f>
        <v>53666.67</v>
      </c>
      <c r="P521" s="28">
        <f>IF(tblMovimientos[[#This Row],[Tipo de Movimiento]]="Ingreso",tblMovimientos[[#This Row],[Ingreso]],-tblMovimientos[[#This Row],[Egreso]])</f>
        <v>-53666.67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SSP Capital</v>
      </c>
      <c r="D522" s="41" t="s">
        <v>104</v>
      </c>
      <c r="E522" s="68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134166.67000000001</v>
      </c>
      <c r="K522" s="5">
        <f t="shared" si="3"/>
        <v>-134166.67000000001</v>
      </c>
      <c r="L522" s="15" t="s">
        <v>129</v>
      </c>
      <c r="M522" s="44">
        <f>SUMIFS('Saldos Iniciales'!$D$2:$D$38,'Saldos Iniciales'!$A$2:$A$38,C522,'Saldos Iniciales'!$B$2:$B$38,D522)+SUMIFS($K$1:$K$724,$C$1:$C$724,C522,$D$1:$D$724,D522,$B$1:$B$724,"&lt;="&amp;B522)</f>
        <v>1091819.9999999993</v>
      </c>
      <c r="N522" s="67" t="str">
        <f>IF(tblMovimientos[[#This Row],[Tipo de Movimiento]]="Ingreso",tblMovimientos[[#This Row],[Monto (S/)]],"0")</f>
        <v>0</v>
      </c>
      <c r="O522" s="67">
        <f>IF(tblMovimientos[[#This Row],[Tipo de Movimiento]]="Egreso",tblMovimientos[[#This Row],[Monto (S/)]],"0")</f>
        <v>134166.67000000001</v>
      </c>
      <c r="P522" s="28">
        <f>IF(tblMovimientos[[#This Row],[Tipo de Movimiento]]="Ingreso",tblMovimientos[[#This Row],[Ingreso]],-tblMovimientos[[#This Row],[Egreso]])</f>
        <v>-134166.67000000001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Go Blue</v>
      </c>
      <c r="D523" s="41" t="s">
        <v>126</v>
      </c>
      <c r="E523" s="68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64</v>
      </c>
      <c r="H523" s="4" t="str">
        <f>IFERROR(_xlfn.XLOOKUP(G523,Listas!E:E,Listas!F:F,""),"")</f>
        <v>Operativo</v>
      </c>
      <c r="I523" s="46" t="str">
        <f>IFERROR(_xlfn.XLOOKUP(G523,Listas!E:E,Listas!G:G,""),"")</f>
        <v>Interno</v>
      </c>
      <c r="J523" s="43">
        <v>2000</v>
      </c>
      <c r="K523" s="5">
        <f t="shared" si="3"/>
        <v>-2000</v>
      </c>
      <c r="L523" s="15" t="s">
        <v>129</v>
      </c>
      <c r="M523" s="44">
        <f>SUMIFS('Saldos Iniciales'!$D$2:$D$38,'Saldos Iniciales'!$A$2:$A$38,C523,'Saldos Iniciales'!$B$2:$B$38,D523)+SUMIFS($K$1:$K$724,$C$1:$C$724,C523,$D$1:$D$724,D523,$B$1:$B$724,"&lt;="&amp;B523)</f>
        <v>26561.279999999999</v>
      </c>
      <c r="N523" s="67" t="str">
        <f>IF(tblMovimientos[[#This Row],[Tipo de Movimiento]]="Ingreso",tblMovimientos[[#This Row],[Monto (S/)]],"0")</f>
        <v>0</v>
      </c>
      <c r="O523" s="67">
        <f>IF(tblMovimientos[[#This Row],[Tipo de Movimiento]]="Egreso",tblMovimientos[[#This Row],[Monto (S/)]],"0")</f>
        <v>2000</v>
      </c>
      <c r="P523" s="28">
        <f>IF(tblMovimientos[[#This Row],[Tipo de Movimiento]]="Ingreso",tblMovimientos[[#This Row],[Ingreso]],-tblMovimientos[[#This Row],[Egreso]])</f>
        <v>-2000</v>
      </c>
    </row>
    <row r="524" spans="2:16" x14ac:dyDescent="0.3">
      <c r="B524" s="39">
        <v>46216</v>
      </c>
      <c r="C524" s="46" t="str">
        <f>_xlfn.XLOOKUP(tblMovimientos[[#This Row],[Cuenta Bancaria]],Listas!$B:$B,Listas!$A:$A,"")</f>
        <v>Go Blue</v>
      </c>
      <c r="D524" s="41" t="s">
        <v>174</v>
      </c>
      <c r="E524" s="68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24</v>
      </c>
      <c r="K524" s="47">
        <f t="shared" ref="K524:K532" si="4">IF(F524="Ingreso",J524,-J524)</f>
        <v>-24</v>
      </c>
      <c r="L524" s="15" t="s">
        <v>129</v>
      </c>
      <c r="M524" s="58">
        <f>SUMIFS('Saldos Iniciales'!$D$2:$D$38,'Saldos Iniciales'!$A$2:$A$38,C524,'Saldos Iniciales'!$B$2:$B$38,D524)+SUMIFS($K$1:$K$724,$C$1:$C$724,C524,$D$1:$D$724,D524,$B$1:$B$724,"&lt;="&amp;B524)</f>
        <v>4458</v>
      </c>
      <c r="N524" s="67" t="str">
        <f>IF(tblMovimientos[[#This Row],[Tipo de Movimiento]]="Ingreso",tblMovimientos[[#This Row],[Monto (S/)]],"0")</f>
        <v>0</v>
      </c>
      <c r="O524" s="67">
        <f>IF(tblMovimientos[[#This Row],[Tipo de Movimiento]]="Egreso",tblMovimientos[[#This Row],[Monto (S/)]],"0")</f>
        <v>24</v>
      </c>
      <c r="P524" s="28">
        <f>IF(tblMovimientos[[#This Row],[Tipo de Movimiento]]="Ingreso",tblMovimientos[[#This Row],[Ingreso]],-tblMovimientos[[#This Row],[Egreso]])</f>
        <v>-24</v>
      </c>
    </row>
    <row r="525" spans="2:16" x14ac:dyDescent="0.3">
      <c r="B525" s="39">
        <v>46216</v>
      </c>
      <c r="C525" s="46" t="str">
        <f>_xlfn.XLOOKUP(tblMovimientos[[#This Row],[Cuenta Bancaria]],Listas!$B:$B,Listas!$A:$A,"")</f>
        <v>Go Blue</v>
      </c>
      <c r="D525" s="41" t="s">
        <v>174</v>
      </c>
      <c r="E525" s="68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764.97</v>
      </c>
      <c r="K525" s="5">
        <f t="shared" si="4"/>
        <v>-764.97</v>
      </c>
      <c r="L525" s="15" t="s">
        <v>129</v>
      </c>
      <c r="M525" s="44">
        <f>SUMIFS('Saldos Iniciales'!$D$2:$D$38,'Saldos Iniciales'!$A$2:$A$38,C525,'Saldos Iniciales'!$B$2:$B$38,D525)+SUMIFS($K$1:$K$724,$C$1:$C$724,C525,$D$1:$D$724,D525,$B$1:$B$724,"&lt;="&amp;B525)</f>
        <v>4458</v>
      </c>
      <c r="N525" s="67" t="str">
        <f>IF(tblMovimientos[[#This Row],[Tipo de Movimiento]]="Ingreso",tblMovimientos[[#This Row],[Monto (S/)]],"0")</f>
        <v>0</v>
      </c>
      <c r="O525" s="67">
        <f>IF(tblMovimientos[[#This Row],[Tipo de Movimiento]]="Egreso",tblMovimientos[[#This Row],[Monto (S/)]],"0")</f>
        <v>764.97</v>
      </c>
      <c r="P525" s="28">
        <f>IF(tblMovimientos[[#This Row],[Tipo de Movimiento]]="Ingreso",tblMovimientos[[#This Row],[Ingreso]],-tblMovimientos[[#This Row],[Egreso]])</f>
        <v>-764.97</v>
      </c>
    </row>
    <row r="526" spans="2:16" x14ac:dyDescent="0.3">
      <c r="B526" s="39">
        <v>46216</v>
      </c>
      <c r="C526" s="46" t="str">
        <f>_xlfn.XLOOKUP(tblMovimientos[[#This Row],[Cuenta Bancaria]],Listas!$B:$B,Listas!$A:$A,"")</f>
        <v>Go Blue</v>
      </c>
      <c r="D526" s="41" t="s">
        <v>174</v>
      </c>
      <c r="E526" s="68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24</v>
      </c>
      <c r="K526" s="5">
        <f t="shared" si="4"/>
        <v>-24</v>
      </c>
      <c r="L526" s="15" t="s">
        <v>129</v>
      </c>
      <c r="M526" s="44">
        <f>SUMIFS('Saldos Iniciales'!$D$2:$D$38,'Saldos Iniciales'!$A$2:$A$38,C526,'Saldos Iniciales'!$B$2:$B$38,D526)+SUMIFS($K$1:$K$724,$C$1:$C$724,C526,$D$1:$D$724,D526,$B$1:$B$724,"&lt;="&amp;B526)</f>
        <v>4458</v>
      </c>
      <c r="N526" s="67" t="str">
        <f>IF(tblMovimientos[[#This Row],[Tipo de Movimiento]]="Ingreso",tblMovimientos[[#This Row],[Monto (S/)]],"0")</f>
        <v>0</v>
      </c>
      <c r="O526" s="67">
        <f>IF(tblMovimientos[[#This Row],[Tipo de Movimiento]]="Egreso",tblMovimientos[[#This Row],[Monto (S/)]],"0")</f>
        <v>24</v>
      </c>
      <c r="P526" s="28">
        <f>IF(tblMovimientos[[#This Row],[Tipo de Movimiento]]="Ingreso",tblMovimientos[[#This Row],[Ingreso]],-tblMovimientos[[#This Row],[Egreso]])</f>
        <v>-24</v>
      </c>
    </row>
    <row r="527" spans="2:16" x14ac:dyDescent="0.3">
      <c r="B527" s="39">
        <v>46216</v>
      </c>
      <c r="C527" s="46" t="str">
        <f>_xlfn.XLOOKUP(tblMovimientos[[#This Row],[Cuenta Bancaria]],Listas!$B:$B,Listas!$A:$A,"")</f>
        <v>Go Blue</v>
      </c>
      <c r="D527" s="41" t="s">
        <v>174</v>
      </c>
      <c r="E527" s="68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38</v>
      </c>
      <c r="H527" s="4" t="str">
        <f>IFERROR(_xlfn.XLOOKUP(G527,Listas!E:E,Listas!F:F,""),"")</f>
        <v>Operativo</v>
      </c>
      <c r="I527" s="46" t="str">
        <f>IFERROR(_xlfn.XLOOKUP(G527,Listas!E:E,Listas!G:G,""),"")</f>
        <v>Externo</v>
      </c>
      <c r="J527" s="43">
        <v>29.47</v>
      </c>
      <c r="K527" s="5">
        <f t="shared" si="4"/>
        <v>-29.47</v>
      </c>
      <c r="L527" s="15" t="s">
        <v>129</v>
      </c>
      <c r="M527" s="44">
        <f>SUMIFS('Saldos Iniciales'!$D$2:$D$38,'Saldos Iniciales'!$A$2:$A$38,C527,'Saldos Iniciales'!$B$2:$B$38,D527)+SUMIFS($K$1:$K$724,$C$1:$C$724,C527,$D$1:$D$724,D527,$B$1:$B$724,"&lt;="&amp;B527)</f>
        <v>4458</v>
      </c>
      <c r="N527" s="67" t="str">
        <f>IF(tblMovimientos[[#This Row],[Tipo de Movimiento]]="Ingreso",tblMovimientos[[#This Row],[Monto (S/)]],"0")</f>
        <v>0</v>
      </c>
      <c r="O527" s="67">
        <f>IF(tblMovimientos[[#This Row],[Tipo de Movimiento]]="Egreso",tblMovimientos[[#This Row],[Monto (S/)]],"0")</f>
        <v>29.47</v>
      </c>
      <c r="P527" s="28">
        <f>IF(tblMovimientos[[#This Row],[Tipo de Movimiento]]="Ingreso",tblMovimientos[[#This Row],[Ingreso]],-tblMovimientos[[#This Row],[Egreso]])</f>
        <v>-29.47</v>
      </c>
    </row>
    <row r="528" spans="2:16" x14ac:dyDescent="0.3">
      <c r="B528" s="39">
        <v>46216</v>
      </c>
      <c r="C528" s="46" t="str">
        <f>_xlfn.XLOOKUP(tblMovimientos[[#This Row],[Cuenta Bancaria]],Listas!$B:$B,Listas!$A:$A,"")</f>
        <v>Go Blue</v>
      </c>
      <c r="D528" s="41" t="s">
        <v>174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38.4</v>
      </c>
      <c r="K528" s="47">
        <f t="shared" si="4"/>
        <v>-38.4</v>
      </c>
      <c r="L528" s="15" t="s">
        <v>129</v>
      </c>
      <c r="M528" s="58">
        <f>SUMIFS('Saldos Iniciales'!$D$2:$D$38,'Saldos Iniciales'!$A$2:$A$38,C528,'Saldos Iniciales'!$B$2:$B$38,D528)+SUMIFS($K$1:$K$724,$C$1:$C$724,C528,$D$1:$D$724,D528,$B$1:$B$724,"&lt;="&amp;B528)</f>
        <v>4458</v>
      </c>
      <c r="N528" s="67" t="str">
        <f>IF(tblMovimientos[[#This Row],[Tipo de Movimiento]]="Ingreso",tblMovimientos[[#This Row],[Monto (S/)]],"0")</f>
        <v>0</v>
      </c>
      <c r="O528" s="67">
        <f>IF(tblMovimientos[[#This Row],[Tipo de Movimiento]]="Egreso",tblMovimientos[[#This Row],[Monto (S/)]],"0")</f>
        <v>38.4</v>
      </c>
      <c r="P528" s="28">
        <f>IF(tblMovimientos[[#This Row],[Tipo de Movimiento]]="Ingreso",tblMovimientos[[#This Row],[Ingreso]],-tblMovimientos[[#This Row],[Egreso]])</f>
        <v>-38.4</v>
      </c>
    </row>
    <row r="529" spans="2:16" x14ac:dyDescent="0.3">
      <c r="B529" s="39">
        <v>46216</v>
      </c>
      <c r="C529" s="46" t="str">
        <f>_xlfn.XLOOKUP(tblMovimientos[[#This Row],[Cuenta Bancaria]],Listas!$B:$B,Listas!$A:$A,"")</f>
        <v>EC Auto</v>
      </c>
      <c r="D529" s="41" t="s">
        <v>119</v>
      </c>
      <c r="E529" s="68" t="str">
        <f>_xlfn.XLOOKUP(tblMovimientos[[#This Row],[Cuenta Bancaria]],Listas!$B:$B,Listas!$C:$C,"")</f>
        <v xml:space="preserve">Amerant Bank </v>
      </c>
      <c r="F529" s="41" t="s">
        <v>9</v>
      </c>
      <c r="G529" s="41" t="s">
        <v>82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518.65</v>
      </c>
      <c r="K529" s="5">
        <f t="shared" si="4"/>
        <v>518.65</v>
      </c>
      <c r="L529" s="15" t="s">
        <v>129</v>
      </c>
      <c r="M529" s="44">
        <f>SUMIFS('Saldos Iniciales'!$D$2:$D$38,'Saldos Iniciales'!$A$2:$A$38,C529,'Saldos Iniciales'!$B$2:$B$38,D529)+SUMIFS($K$1:$K$724,$C$1:$C$724,C529,$D$1:$D$724,D529,$B$1:$B$724,"&lt;="&amp;B529)</f>
        <v>901.34</v>
      </c>
      <c r="N529" s="67">
        <f>IF(tblMovimientos[[#This Row],[Tipo de Movimiento]]="Ingreso",tblMovimientos[[#This Row],[Monto (S/)]],"0")</f>
        <v>518.65</v>
      </c>
      <c r="O529" s="67" t="str">
        <f>IF(tblMovimientos[[#This Row],[Tipo de Movimiento]]="Egreso",tblMovimientos[[#This Row],[Monto (S/)]],"0")</f>
        <v>0</v>
      </c>
      <c r="P529" s="28">
        <f>IF(tblMovimientos[[#This Row],[Tipo de Movimiento]]="Ingreso",tblMovimientos[[#This Row],[Ingreso]],-tblMovimientos[[#This Row],[Egreso]])</f>
        <v>518.65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126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1104.78</v>
      </c>
      <c r="K530" s="5">
        <f t="shared" si="4"/>
        <v>-1104.78</v>
      </c>
      <c r="L530" s="15" t="s">
        <v>129</v>
      </c>
      <c r="M530" s="44">
        <f>SUMIFS('Saldos Iniciales'!$D$2:$D$38,'Saldos Iniciales'!$A$2:$A$38,C530,'Saldos Iniciales'!$B$2:$B$38,D530)+SUMIFS($K$1:$K$724,$C$1:$C$724,C530,$D$1:$D$724,D530,$B$1:$B$724,"&lt;="&amp;B530)</f>
        <v>20740.239999999998</v>
      </c>
      <c r="N530" s="67" t="str">
        <f>IF(tblMovimientos[[#This Row],[Tipo de Movimiento]]="Ingreso",tblMovimientos[[#This Row],[Monto (S/)]],"0")</f>
        <v>0</v>
      </c>
      <c r="O530" s="67">
        <f>IF(tblMovimientos[[#This Row],[Tipo de Movimiento]]="Egreso",tblMovimientos[[#This Row],[Monto (S/)]],"0")</f>
        <v>1104.78</v>
      </c>
      <c r="P530" s="28">
        <f>IF(tblMovimientos[[#This Row],[Tipo de Movimiento]]="Ingreso",tblMovimientos[[#This Row],[Ingreso]],-tblMovimientos[[#This Row],[Egreso]])</f>
        <v>-1104.78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126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2209.56</v>
      </c>
      <c r="K531" s="5">
        <f t="shared" si="4"/>
        <v>-2209.56</v>
      </c>
      <c r="L531" s="15" t="s">
        <v>129</v>
      </c>
      <c r="M531" s="44">
        <f>SUMIFS('Saldos Iniciales'!$D$2:$D$38,'Saldos Iniciales'!$A$2:$A$38,C531,'Saldos Iniciales'!$B$2:$B$38,D531)+SUMIFS($K$1:$K$724,$C$1:$C$724,C531,$D$1:$D$724,D531,$B$1:$B$724,"&lt;="&amp;B531)</f>
        <v>20740.239999999998</v>
      </c>
      <c r="N531" s="67" t="str">
        <f>IF(tblMovimientos[[#This Row],[Tipo de Movimiento]]="Ingreso",tblMovimientos[[#This Row],[Monto (S/)]],"0")</f>
        <v>0</v>
      </c>
      <c r="O531" s="67">
        <f>IF(tblMovimientos[[#This Row],[Tipo de Movimiento]]="Egreso",tblMovimientos[[#This Row],[Monto (S/)]],"0")</f>
        <v>2209.56</v>
      </c>
      <c r="P531" s="28">
        <f>IF(tblMovimientos[[#This Row],[Tipo de Movimiento]]="Ingreso",tblMovimientos[[#This Row],[Ingreso]],-tblMovimientos[[#This Row],[Egreso]])</f>
        <v>-2209.56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126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2506.6999999999998</v>
      </c>
      <c r="K532" s="47">
        <f t="shared" si="4"/>
        <v>-2506.6999999999998</v>
      </c>
      <c r="L532" s="15" t="s">
        <v>129</v>
      </c>
      <c r="M532" s="58">
        <f>SUMIFS('Saldos Iniciales'!$D$2:$D$38,'Saldos Iniciales'!$A$2:$A$38,C532,'Saldos Iniciales'!$B$2:$B$38,D532)+SUMIFS($K$1:$K$724,$C$1:$C$724,C532,$D$1:$D$724,D532,$B$1:$B$724,"&lt;="&amp;B532)</f>
        <v>20740.239999999998</v>
      </c>
      <c r="N532" s="67" t="str">
        <f>IF(tblMovimientos[[#This Row],[Tipo de Movimiento]]="Ingreso",tblMovimientos[[#This Row],[Monto (S/)]],"0")</f>
        <v>0</v>
      </c>
      <c r="O532" s="67">
        <f>IF(tblMovimientos[[#This Row],[Tipo de Movimiento]]="Egreso",tblMovimientos[[#This Row],[Monto (S/)]],"0")</f>
        <v>2506.6999999999998</v>
      </c>
      <c r="P532" s="28">
        <f>IF(tblMovimientos[[#This Row],[Tipo de Movimiento]]="Ingreso",tblMovimientos[[#This Row],[Ingreso]],-tblMovimientos[[#This Row],[Egreso]])</f>
        <v>-2506.6999999999998</v>
      </c>
    </row>
    <row r="533" spans="2:16" x14ac:dyDescent="0.3">
      <c r="B533" s="39">
        <v>46206</v>
      </c>
      <c r="C533" s="46" t="str">
        <f>_xlfn.XLOOKUP(tblMovimientos[[#This Row],[Cuenta Bancaria]],Listas!$B:$B,Listas!$A:$A,"")</f>
        <v>Electrama</v>
      </c>
      <c r="D533" s="41" t="s">
        <v>113</v>
      </c>
      <c r="E533" s="68" t="str">
        <f>_xlfn.XLOOKUP(tblMovimientos[[#This Row],[Cuenta Bancaria]],Listas!$B:$B,Listas!$C:$C,"")</f>
        <v>Chase Bank</v>
      </c>
      <c r="F533" s="41" t="s">
        <v>10</v>
      </c>
      <c r="G533" s="41" t="s">
        <v>44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40</v>
      </c>
      <c r="K533" s="5">
        <f t="shared" ref="K533:K535" si="5">IF(F533="Ingreso",J533,-J533)</f>
        <v>-40</v>
      </c>
      <c r="L533" s="15" t="s">
        <v>129</v>
      </c>
      <c r="M533" s="44">
        <f>SUMIFS('Saldos Iniciales'!$D$2:$D$38,'Saldos Iniciales'!$A$2:$A$38,C533,'Saldos Iniciales'!$B$2:$B$38,D533)+SUMIFS($K$1:$K$724,$C$1:$C$724,C533,$D$1:$D$724,D533,$B$1:$B$724,"&lt;="&amp;B533)</f>
        <v>471.15999999999985</v>
      </c>
      <c r="N533" s="67" t="str">
        <f>IF(tblMovimientos[[#This Row],[Tipo de Movimiento]]="Ingreso",tblMovimientos[[#This Row],[Monto (S/)]],"0")</f>
        <v>0</v>
      </c>
      <c r="O533" s="67">
        <f>IF(tblMovimientos[[#This Row],[Tipo de Movimiento]]="Egreso",tblMovimientos[[#This Row],[Monto (S/)]],"0")</f>
        <v>40</v>
      </c>
      <c r="P533" s="28">
        <f>IF(tblMovimientos[[#This Row],[Tipo de Movimiento]]="Ingreso",tblMovimientos[[#This Row],[Ingreso]],-tblMovimientos[[#This Row],[Egreso]])</f>
        <v>-40</v>
      </c>
    </row>
    <row r="534" spans="2:16" x14ac:dyDescent="0.3">
      <c r="B534" s="39">
        <v>46212</v>
      </c>
      <c r="C534" s="46" t="str">
        <f>_xlfn.XLOOKUP(tblMovimientos[[#This Row],[Cuenta Bancaria]],Listas!$B:$B,Listas!$A:$A,"")</f>
        <v>Electrama</v>
      </c>
      <c r="D534" s="41" t="s">
        <v>113</v>
      </c>
      <c r="E534" s="68" t="str">
        <f>_xlfn.XLOOKUP(tblMovimientos[[#This Row],[Cuenta Bancaria]],Listas!$B:$B,Listas!$C:$C,"")</f>
        <v>Chase Bank</v>
      </c>
      <c r="F534" s="41" t="s">
        <v>9</v>
      </c>
      <c r="G534" s="41" t="s">
        <v>66</v>
      </c>
      <c r="H534" s="4" t="str">
        <f>IFERROR(_xlfn.XLOOKUP(G534,Listas!E:E,Listas!F:F,""),"")</f>
        <v>Inversion</v>
      </c>
      <c r="I534" s="46" t="str">
        <f>IFERROR(_xlfn.XLOOKUP(G534,Listas!E:E,Listas!G:G,""),"")</f>
        <v>Externo</v>
      </c>
      <c r="J534" s="43">
        <v>14659.29</v>
      </c>
      <c r="K534" s="47">
        <f t="shared" si="5"/>
        <v>14659.29</v>
      </c>
      <c r="L534" s="15" t="s">
        <v>129</v>
      </c>
      <c r="M534" s="58">
        <f>SUMIFS('Saldos Iniciales'!$D$2:$D$38,'Saldos Iniciales'!$A$2:$A$38,C534,'Saldos Iniciales'!$B$2:$B$38,D534)+SUMIFS($K$1:$K$724,$C$1:$C$724,C534,$D$1:$D$724,D534,$B$1:$B$724,"&lt;="&amp;B534)</f>
        <v>15130.45</v>
      </c>
      <c r="N534" s="67">
        <f>IF(tblMovimientos[[#This Row],[Tipo de Movimiento]]="Ingreso",tblMovimientos[[#This Row],[Monto (S/)]],"0")</f>
        <v>14659.29</v>
      </c>
      <c r="O534" s="67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14659.29</v>
      </c>
    </row>
    <row r="535" spans="2:16" x14ac:dyDescent="0.3">
      <c r="B535" s="39">
        <v>46213</v>
      </c>
      <c r="C535" s="46" t="str">
        <f>_xlfn.XLOOKUP(tblMovimientos[[#This Row],[Cuenta Bancaria]],Listas!$B:$B,Listas!$A:$A,"")</f>
        <v>Electrama</v>
      </c>
      <c r="D535" s="41" t="s">
        <v>113</v>
      </c>
      <c r="E535" s="68" t="str">
        <f>_xlfn.XLOOKUP(tblMovimientos[[#This Row],[Cuenta Bancaria]],Listas!$B:$B,Listas!$C:$C,"")</f>
        <v>Chase Bank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550</v>
      </c>
      <c r="K535" s="5">
        <f t="shared" si="5"/>
        <v>-550</v>
      </c>
      <c r="L535" s="15" t="s">
        <v>129</v>
      </c>
      <c r="M535" s="44">
        <f>SUMIFS('Saldos Iniciales'!$D$2:$D$38,'Saldos Iniciales'!$A$2:$A$38,C535,'Saldos Iniciales'!$B$2:$B$38,D535)+SUMIFS($K$1:$K$724,$C$1:$C$724,C535,$D$1:$D$724,D535,$B$1:$B$724,"&lt;="&amp;B535)</f>
        <v>14580.45</v>
      </c>
      <c r="N535" s="67" t="str">
        <f>IF(tblMovimientos[[#This Row],[Tipo de Movimiento]]="Ingreso",tblMovimientos[[#This Row],[Monto (S/)]],"0")</f>
        <v>0</v>
      </c>
      <c r="O535" s="67">
        <f>IF(tblMovimientos[[#This Row],[Tipo de Movimiento]]="Egreso",tblMovimientos[[#This Row],[Monto (S/)]],"0")</f>
        <v>550</v>
      </c>
      <c r="P535" s="28">
        <f>IF(tblMovimientos[[#This Row],[Tipo de Movimiento]]="Ingreso",tblMovimientos[[#This Row],[Ingreso]],-tblMovimientos[[#This Row],[Egreso]])</f>
        <v>-550</v>
      </c>
    </row>
    <row r="536" spans="2:16" x14ac:dyDescent="0.3">
      <c r="E536" s="68">
        <f>_xlfn.XLOOKUP(tblMovimientos[[#This Row],[Cuenta Bancaria]],Listas!$B:$B,Listas!$C:$C,"")</f>
        <v>0</v>
      </c>
      <c r="H536" s="4">
        <f>IFERROR(_xlfn.XLOOKUP(G536,Listas!E:E,Listas!F:F,""),"")</f>
        <v>0</v>
      </c>
      <c r="I536" s="68"/>
      <c r="N536" s="67" t="str">
        <f>IF(tblMovimientos[[#This Row],[Tipo de Movimiento]]="Ingreso",tblMovimientos[[#This Row],[Monto (S/)]],"0")</f>
        <v>0</v>
      </c>
      <c r="O536" s="67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0</v>
      </c>
    </row>
    <row r="537" spans="2:16" x14ac:dyDescent="0.3">
      <c r="E537" s="68">
        <f>_xlfn.XLOOKUP(tblMovimientos[[#This Row],[Cuenta Bancaria]],Listas!$B:$B,Listas!$C:$C,"")</f>
        <v>0</v>
      </c>
      <c r="H537" s="4">
        <f>IFERROR(_xlfn.XLOOKUP(G537,Listas!E:E,Listas!F:F,""),"")</f>
        <v>0</v>
      </c>
      <c r="I537" s="68"/>
      <c r="N537" s="67" t="str">
        <f>IF(tblMovimientos[[#This Row],[Tipo de Movimiento]]="Ingreso",tblMovimientos[[#This Row],[Monto (S/)]],"0")</f>
        <v>0</v>
      </c>
      <c r="O537" s="67" t="str">
        <f>IF(tblMovimientos[[#This Row],[Tipo de Movimiento]]="Egreso",tblMovimientos[[#This Row],[Monto (S/)]],"0")</f>
        <v>0</v>
      </c>
      <c r="P537" s="28">
        <f>IF(tblMovimientos[[#This Row],[Tipo de Movimiento]]="Ingreso",tblMovimientos[[#This Row],[Ingreso]],-tblMovimientos[[#This Row],[Egreso]])</f>
        <v>0</v>
      </c>
    </row>
    <row r="538" spans="2:16" x14ac:dyDescent="0.3">
      <c r="E538" s="68">
        <f>_xlfn.XLOOKUP(tblMovimientos[[#This Row],[Cuenta Bancaria]],Listas!$B:$B,Listas!$C:$C,"")</f>
        <v>0</v>
      </c>
      <c r="H538" s="4">
        <f>IFERROR(_xlfn.XLOOKUP(G538,Listas!E:E,Listas!F:F,""),"")</f>
        <v>0</v>
      </c>
      <c r="I538" s="68"/>
      <c r="N538" s="67" t="str">
        <f>IF(tblMovimientos[[#This Row],[Tipo de Movimiento]]="Ingreso",tblMovimientos[[#This Row],[Monto (S/)]],"0")</f>
        <v>0</v>
      </c>
      <c r="O538" s="67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0</v>
      </c>
    </row>
    <row r="539" spans="2:16" x14ac:dyDescent="0.3">
      <c r="E539" s="68">
        <f>_xlfn.XLOOKUP(tblMovimientos[[#This Row],[Cuenta Bancaria]],Listas!$B:$B,Listas!$C:$C,"")</f>
        <v>0</v>
      </c>
      <c r="H539" s="4">
        <f>IFERROR(_xlfn.XLOOKUP(G539,Listas!E:E,Listas!F:F,""),"")</f>
        <v>0</v>
      </c>
      <c r="I539" s="68"/>
      <c r="N539" s="67" t="str">
        <f>IF(tblMovimientos[[#This Row],[Tipo de Movimiento]]="Ingreso",tblMovimientos[[#This Row],[Monto (S/)]],"0")</f>
        <v>0</v>
      </c>
      <c r="O539" s="67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0</v>
      </c>
    </row>
    <row r="540" spans="2:16" x14ac:dyDescent="0.3">
      <c r="E540" s="68">
        <f>_xlfn.XLOOKUP(tblMovimientos[[#This Row],[Cuenta Bancaria]],Listas!$B:$B,Listas!$C:$C,"")</f>
        <v>0</v>
      </c>
      <c r="H540" s="4">
        <f>IFERROR(_xlfn.XLOOKUP(G540,Listas!E:E,Listas!F:F,""),"")</f>
        <v>0</v>
      </c>
      <c r="I540" s="68"/>
      <c r="N540" s="67" t="str">
        <f>IF(tblMovimientos[[#This Row],[Tipo de Movimiento]]="Ingreso",tblMovimientos[[#This Row],[Monto (S/)]],"0")</f>
        <v>0</v>
      </c>
      <c r="O540" s="67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0</v>
      </c>
    </row>
    <row r="541" spans="2:16" x14ac:dyDescent="0.3">
      <c r="E541" s="68">
        <f>_xlfn.XLOOKUP(tblMovimientos[[#This Row],[Cuenta Bancaria]],Listas!$B:$B,Listas!$C:$C,"")</f>
        <v>0</v>
      </c>
      <c r="H541" s="4">
        <f>IFERROR(_xlfn.XLOOKUP(G541,Listas!E:E,Listas!F:F,""),"")</f>
        <v>0</v>
      </c>
      <c r="I541" s="68"/>
      <c r="N541" s="67" t="str">
        <f>IF(tblMovimientos[[#This Row],[Tipo de Movimiento]]="Ingreso",tblMovimientos[[#This Row],[Monto (S/)]],"0")</f>
        <v>0</v>
      </c>
      <c r="O541" s="67" t="str">
        <f>IF(tblMovimientos[[#This Row],[Tipo de Movimiento]]="Egreso",tblMovimientos[[#This Row],[Monto (S/)]],"0")</f>
        <v>0</v>
      </c>
      <c r="P541" s="28">
        <f>IF(tblMovimientos[[#This Row],[Tipo de Movimiento]]="Ingreso",tblMovimientos[[#This Row],[Ingreso]],-tblMovimientos[[#This Row],[Egreso]])</f>
        <v>0</v>
      </c>
    </row>
    <row r="542" spans="2:16" x14ac:dyDescent="0.3">
      <c r="E542" s="68">
        <f>_xlfn.XLOOKUP(tblMovimientos[[#This Row],[Cuenta Bancaria]],Listas!$B:$B,Listas!$C:$C,"")</f>
        <v>0</v>
      </c>
      <c r="H542" s="4">
        <f>IFERROR(_xlfn.XLOOKUP(G542,Listas!E:E,Listas!F:F,""),"")</f>
        <v>0</v>
      </c>
      <c r="I542" s="68"/>
      <c r="N542" s="67" t="str">
        <f>IF(tblMovimientos[[#This Row],[Tipo de Movimiento]]="Ingreso",tblMovimientos[[#This Row],[Monto (S/)]],"0")</f>
        <v>0</v>
      </c>
      <c r="O542" s="67" t="str">
        <f>IF(tblMovimientos[[#This Row],[Tipo de Movimiento]]="Egreso",tblMovimientos[[#This Row],[Monto (S/)]],"0")</f>
        <v>0</v>
      </c>
      <c r="P542" s="28">
        <f>IF(tblMovimientos[[#This Row],[Tipo de Movimiento]]="Ingreso",tblMovimientos[[#This Row],[Ingreso]],-tblMovimientos[[#This Row],[Egreso]])</f>
        <v>0</v>
      </c>
    </row>
    <row r="543" spans="2:16" x14ac:dyDescent="0.3">
      <c r="E543" s="68">
        <f>_xlfn.XLOOKUP(tblMovimientos[[#This Row],[Cuenta Bancaria]],Listas!$B:$B,Listas!$C:$C,"")</f>
        <v>0</v>
      </c>
      <c r="H543" s="4">
        <f>IFERROR(_xlfn.XLOOKUP(G543,Listas!E:E,Listas!F:F,""),"")</f>
        <v>0</v>
      </c>
      <c r="I543" s="68"/>
      <c r="N543" s="67" t="str">
        <f>IF(tblMovimientos[[#This Row],[Tipo de Movimiento]]="Ingreso",tblMovimientos[[#This Row],[Monto (S/)]],"0")</f>
        <v>0</v>
      </c>
      <c r="O543" s="67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2:16" x14ac:dyDescent="0.3">
      <c r="E544" s="68">
        <f>_xlfn.XLOOKUP(tblMovimientos[[#This Row],[Cuenta Bancaria]],Listas!$B:$B,Listas!$C:$C,"")</f>
        <v>0</v>
      </c>
      <c r="H544" s="4">
        <f>IFERROR(_xlfn.XLOOKUP(G544,Listas!E:E,Listas!F:F,""),"")</f>
        <v>0</v>
      </c>
      <c r="I544" s="68"/>
      <c r="N544" s="67" t="str">
        <f>IF(tblMovimientos[[#This Row],[Tipo de Movimiento]]="Ingreso",tblMovimientos[[#This Row],[Monto (S/)]],"0")</f>
        <v>0</v>
      </c>
      <c r="O544" s="67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4">
        <f>IFERROR(_xlfn.XLOOKUP(G545,Listas!E:E,Listas!F:F,""),"")</f>
        <v>0</v>
      </c>
      <c r="I545" s="68"/>
      <c r="N545" s="67" t="str">
        <f>IF(tblMovimientos[[#This Row],[Tipo de Movimiento]]="Ingreso",tblMovimientos[[#This Row],[Monto (S/)]],"0")</f>
        <v>0</v>
      </c>
      <c r="O545" s="67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4">
        <f>IFERROR(_xlfn.XLOOKUP(G546,Listas!E:E,Listas!F:F,""),"")</f>
        <v>0</v>
      </c>
      <c r="I546" s="68"/>
      <c r="N546" s="67" t="str">
        <f>IF(tblMovimientos[[#This Row],[Tipo de Movimiento]]="Ingreso",tblMovimientos[[#This Row],[Monto (S/)]],"0")</f>
        <v>0</v>
      </c>
      <c r="O546" s="67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4">
        <f>IFERROR(_xlfn.XLOOKUP(G547,Listas!E:E,Listas!F:F,""),"")</f>
        <v>0</v>
      </c>
      <c r="I547" s="68"/>
      <c r="N547" s="67" t="str">
        <f>IF(tblMovimientos[[#This Row],[Tipo de Movimiento]]="Ingreso",tblMovimientos[[#This Row],[Monto (S/)]],"0")</f>
        <v>0</v>
      </c>
      <c r="O547" s="67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4">
        <f>IFERROR(_xlfn.XLOOKUP(G548,Listas!E:E,Listas!F:F,""),"")</f>
        <v>0</v>
      </c>
      <c r="I548" s="68"/>
      <c r="N548" s="67" t="str">
        <f>IF(tblMovimientos[[#This Row],[Tipo de Movimiento]]="Ingreso",tblMovimientos[[#This Row],[Monto (S/)]],"0")</f>
        <v>0</v>
      </c>
      <c r="O548" s="67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4">
        <f>IFERROR(_xlfn.XLOOKUP(G549,Listas!E:E,Listas!F:F,""),"")</f>
        <v>0</v>
      </c>
      <c r="I549" s="68"/>
      <c r="N549" s="67" t="str">
        <f>IF(tblMovimientos[[#This Row],[Tipo de Movimiento]]="Ingreso",tblMovimientos[[#This Row],[Monto (S/)]],"0")</f>
        <v>0</v>
      </c>
      <c r="O549" s="67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4">
        <f>IFERROR(_xlfn.XLOOKUP(G550,Listas!E:E,Listas!F:F,""),"")</f>
        <v>0</v>
      </c>
      <c r="I550" s="68"/>
      <c r="N550" s="67" t="str">
        <f>IF(tblMovimientos[[#This Row],[Tipo de Movimiento]]="Ingreso",tblMovimientos[[#This Row],[Monto (S/)]],"0")</f>
        <v>0</v>
      </c>
      <c r="O550" s="67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4">
        <f>IFERROR(_xlfn.XLOOKUP(G551,Listas!E:E,Listas!F:F,""),"")</f>
        <v>0</v>
      </c>
      <c r="I551" s="68"/>
      <c r="N551" s="67" t="str">
        <f>IF(tblMovimientos[[#This Row],[Tipo de Movimiento]]="Ingreso",tblMovimientos[[#This Row],[Monto (S/)]],"0")</f>
        <v>0</v>
      </c>
      <c r="O551" s="67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4">
        <f>IFERROR(_xlfn.XLOOKUP(G552,Listas!E:E,Listas!F:F,""),"")</f>
        <v>0</v>
      </c>
      <c r="I552" s="68"/>
      <c r="N552" s="67" t="str">
        <f>IF(tblMovimientos[[#This Row],[Tipo de Movimiento]]="Ingreso",tblMovimientos[[#This Row],[Monto (S/)]],"0")</f>
        <v>0</v>
      </c>
      <c r="O552" s="67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4">
        <f>IFERROR(_xlfn.XLOOKUP(G553,Listas!E:E,Listas!F:F,""),"")</f>
        <v>0</v>
      </c>
      <c r="I553" s="68"/>
      <c r="N553" s="67" t="str">
        <f>IF(tblMovimientos[[#This Row],[Tipo de Movimiento]]="Ingreso",tblMovimientos[[#This Row],[Monto (S/)]],"0")</f>
        <v>0</v>
      </c>
      <c r="O553" s="67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4">
        <f>IFERROR(_xlfn.XLOOKUP(G554,Listas!E:E,Listas!F:F,""),"")</f>
        <v>0</v>
      </c>
      <c r="I554" s="68"/>
      <c r="N554" s="67" t="str">
        <f>IF(tblMovimientos[[#This Row],[Tipo de Movimiento]]="Ingreso",tblMovimientos[[#This Row],[Monto (S/)]],"0")</f>
        <v>0</v>
      </c>
      <c r="O554" s="67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4">
        <f>IFERROR(_xlfn.XLOOKUP(G555,Listas!E:E,Listas!F:F,""),"")</f>
        <v>0</v>
      </c>
      <c r="I555" s="68"/>
      <c r="N555" s="67" t="str">
        <f>IF(tblMovimientos[[#This Row],[Tipo de Movimiento]]="Ingreso",tblMovimientos[[#This Row],[Monto (S/)]],"0")</f>
        <v>0</v>
      </c>
      <c r="O555" s="67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4">
        <f>IFERROR(_xlfn.XLOOKUP(G556,Listas!E:E,Listas!F:F,""),"")</f>
        <v>0</v>
      </c>
      <c r="I556" s="68"/>
      <c r="N556" s="67" t="str">
        <f>IF(tblMovimientos[[#This Row],[Tipo de Movimiento]]="Ingreso",tblMovimientos[[#This Row],[Monto (S/)]],"0")</f>
        <v>0</v>
      </c>
      <c r="O556" s="67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4">
        <f>IFERROR(_xlfn.XLOOKUP(G557,Listas!E:E,Listas!F:F,""),"")</f>
        <v>0</v>
      </c>
      <c r="I557" s="68"/>
      <c r="N557" s="67" t="str">
        <f>IF(tblMovimientos[[#This Row],[Tipo de Movimiento]]="Ingreso",tblMovimientos[[#This Row],[Monto (S/)]],"0")</f>
        <v>0</v>
      </c>
      <c r="O557" s="67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4">
        <f>IFERROR(_xlfn.XLOOKUP(G558,Listas!E:E,Listas!F:F,""),"")</f>
        <v>0</v>
      </c>
      <c r="I558" s="68"/>
      <c r="N558" s="67" t="str">
        <f>IF(tblMovimientos[[#This Row],[Tipo de Movimiento]]="Ingreso",tblMovimientos[[#This Row],[Monto (S/)]],"0")</f>
        <v>0</v>
      </c>
      <c r="O558" s="67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4">
        <f>IFERROR(_xlfn.XLOOKUP(G559,Listas!E:E,Listas!F:F,""),"")</f>
        <v>0</v>
      </c>
      <c r="I559" s="68"/>
      <c r="N559" s="67" t="str">
        <f>IF(tblMovimientos[[#This Row],[Tipo de Movimiento]]="Ingreso",tblMovimientos[[#This Row],[Monto (S/)]],"0")</f>
        <v>0</v>
      </c>
      <c r="O559" s="67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4">
        <f>IFERROR(_xlfn.XLOOKUP(G560,Listas!E:E,Listas!F:F,""),"")</f>
        <v>0</v>
      </c>
      <c r="I560" s="68"/>
      <c r="N560" s="67" t="str">
        <f>IF(tblMovimientos[[#This Row],[Tipo de Movimiento]]="Ingreso",tblMovimientos[[#This Row],[Monto (S/)]],"0")</f>
        <v>0</v>
      </c>
      <c r="O560" s="67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4">
        <f>IFERROR(_xlfn.XLOOKUP(G561,Listas!E:E,Listas!F:F,""),"")</f>
        <v>0</v>
      </c>
      <c r="I561" s="68"/>
      <c r="N561" s="67" t="str">
        <f>IF(tblMovimientos[[#This Row],[Tipo de Movimiento]]="Ingreso",tblMovimientos[[#This Row],[Monto (S/)]],"0")</f>
        <v>0</v>
      </c>
      <c r="O561" s="67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4">
        <f>IFERROR(_xlfn.XLOOKUP(G562,Listas!E:E,Listas!F:F,""),"")</f>
        <v>0</v>
      </c>
      <c r="I562" s="68"/>
      <c r="N562" s="67" t="str">
        <f>IF(tblMovimientos[[#This Row],[Tipo de Movimiento]]="Ingreso",tblMovimientos[[#This Row],[Monto (S/)]],"0")</f>
        <v>0</v>
      </c>
      <c r="O562" s="67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4">
        <f>IFERROR(_xlfn.XLOOKUP(G563,Listas!E:E,Listas!F:F,""),"")</f>
        <v>0</v>
      </c>
      <c r="I563" s="68"/>
      <c r="N563" s="67" t="str">
        <f>IF(tblMovimientos[[#This Row],[Tipo de Movimiento]]="Ingreso",tblMovimientos[[#This Row],[Monto (S/)]],"0")</f>
        <v>0</v>
      </c>
      <c r="O563" s="67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4">
        <f>IFERROR(_xlfn.XLOOKUP(G564,Listas!E:E,Listas!F:F,""),"")</f>
        <v>0</v>
      </c>
      <c r="I564" s="68"/>
      <c r="N564" s="67" t="str">
        <f>IF(tblMovimientos[[#This Row],[Tipo de Movimiento]]="Ingreso",tblMovimientos[[#This Row],[Monto (S/)]],"0")</f>
        <v>0</v>
      </c>
      <c r="O564" s="67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4">
        <f>IFERROR(_xlfn.XLOOKUP(G565,Listas!E:E,Listas!F:F,""),"")</f>
        <v>0</v>
      </c>
      <c r="I565" s="68"/>
      <c r="N565" s="67" t="str">
        <f>IF(tblMovimientos[[#This Row],[Tipo de Movimiento]]="Ingreso",tblMovimientos[[#This Row],[Monto (S/)]],"0")</f>
        <v>0</v>
      </c>
      <c r="O565" s="67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4">
        <f>IFERROR(_xlfn.XLOOKUP(G566,Listas!E:E,Listas!F:F,""),"")</f>
        <v>0</v>
      </c>
      <c r="I566" s="68"/>
      <c r="N566" s="67" t="str">
        <f>IF(tblMovimientos[[#This Row],[Tipo de Movimiento]]="Ingreso",tblMovimientos[[#This Row],[Monto (S/)]],"0")</f>
        <v>0</v>
      </c>
      <c r="O566" s="67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4">
        <f>IFERROR(_xlfn.XLOOKUP(G567,Listas!E:E,Listas!F:F,""),"")</f>
        <v>0</v>
      </c>
      <c r="I567" s="68"/>
      <c r="N567" s="67" t="str">
        <f>IF(tblMovimientos[[#This Row],[Tipo de Movimiento]]="Ingreso",tblMovimientos[[#This Row],[Monto (S/)]],"0")</f>
        <v>0</v>
      </c>
      <c r="O567" s="67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4">
        <f>IFERROR(_xlfn.XLOOKUP(G568,Listas!E:E,Listas!F:F,""),"")</f>
        <v>0</v>
      </c>
      <c r="I568" s="68"/>
      <c r="N568" s="67" t="str">
        <f>IF(tblMovimientos[[#This Row],[Tipo de Movimiento]]="Ingreso",tblMovimientos[[#This Row],[Monto (S/)]],"0")</f>
        <v>0</v>
      </c>
      <c r="O568" s="67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4">
        <f>IFERROR(_xlfn.XLOOKUP(G569,Listas!E:E,Listas!F:F,""),"")</f>
        <v>0</v>
      </c>
      <c r="I569" s="68"/>
      <c r="N569" s="67" t="str">
        <f>IF(tblMovimientos[[#This Row],[Tipo de Movimiento]]="Ingreso",tblMovimientos[[#This Row],[Monto (S/)]],"0")</f>
        <v>0</v>
      </c>
      <c r="O569" s="67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4">
        <f>IFERROR(_xlfn.XLOOKUP(G570,Listas!E:E,Listas!F:F,""),"")</f>
        <v>0</v>
      </c>
      <c r="I570" s="68"/>
      <c r="N570" s="67" t="str">
        <f>IF(tblMovimientos[[#This Row],[Tipo de Movimiento]]="Ingreso",tblMovimientos[[#This Row],[Monto (S/)]],"0")</f>
        <v>0</v>
      </c>
      <c r="O570" s="67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4">
        <f>IFERROR(_xlfn.XLOOKUP(G571,Listas!E:E,Listas!F:F,""),"")</f>
        <v>0</v>
      </c>
      <c r="I571" s="68"/>
      <c r="N571" s="67" t="str">
        <f>IF(tblMovimientos[[#This Row],[Tipo de Movimiento]]="Ingreso",tblMovimientos[[#This Row],[Monto (S/)]],"0")</f>
        <v>0</v>
      </c>
      <c r="O571" s="67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4">
        <f>IFERROR(_xlfn.XLOOKUP(G572,Listas!E:E,Listas!F:F,""),"")</f>
        <v>0</v>
      </c>
      <c r="I572" s="68"/>
      <c r="N572" s="67" t="str">
        <f>IF(tblMovimientos[[#This Row],[Tipo de Movimiento]]="Ingreso",tblMovimientos[[#This Row],[Monto (S/)]],"0")</f>
        <v>0</v>
      </c>
      <c r="O572" s="67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4">
        <f>IFERROR(_xlfn.XLOOKUP(G573,Listas!E:E,Listas!F:F,""),"")</f>
        <v>0</v>
      </c>
      <c r="I573" s="68"/>
      <c r="N573" s="67" t="str">
        <f>IF(tblMovimientos[[#This Row],[Tipo de Movimiento]]="Ingreso",tblMovimientos[[#This Row],[Monto (S/)]],"0")</f>
        <v>0</v>
      </c>
      <c r="O573" s="67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4">
        <f>IFERROR(_xlfn.XLOOKUP(G574,Listas!E:E,Listas!F:F,""),"")</f>
        <v>0</v>
      </c>
      <c r="I574" s="68"/>
      <c r="N574" s="67" t="str">
        <f>IF(tblMovimientos[[#This Row],[Tipo de Movimiento]]="Ingreso",tblMovimientos[[#This Row],[Monto (S/)]],"0")</f>
        <v>0</v>
      </c>
      <c r="O574" s="67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4">
        <f>IFERROR(_xlfn.XLOOKUP(G575,Listas!E:E,Listas!F:F,""),"")</f>
        <v>0</v>
      </c>
      <c r="I575" s="68"/>
      <c r="N575" s="67" t="str">
        <f>IF(tblMovimientos[[#This Row],[Tipo de Movimiento]]="Ingreso",tblMovimientos[[#This Row],[Monto (S/)]],"0")</f>
        <v>0</v>
      </c>
      <c r="O575" s="67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4">
        <f>IFERROR(_xlfn.XLOOKUP(G576,Listas!E:E,Listas!F:F,""),"")</f>
        <v>0</v>
      </c>
      <c r="I576" s="68"/>
      <c r="N576" s="67" t="str">
        <f>IF(tblMovimientos[[#This Row],[Tipo de Movimiento]]="Ingreso",tblMovimientos[[#This Row],[Monto (S/)]],"0")</f>
        <v>0</v>
      </c>
      <c r="O576" s="67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4">
        <f>IFERROR(_xlfn.XLOOKUP(G577,Listas!E:E,Listas!F:F,""),"")</f>
        <v>0</v>
      </c>
      <c r="I577" s="68"/>
      <c r="N577" s="67" t="str">
        <f>IF(tblMovimientos[[#This Row],[Tipo de Movimiento]]="Ingreso",tblMovimientos[[#This Row],[Monto (S/)]],"0")</f>
        <v>0</v>
      </c>
      <c r="O577" s="67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4">
        <f>IFERROR(_xlfn.XLOOKUP(G578,Listas!E:E,Listas!F:F,""),"")</f>
        <v>0</v>
      </c>
      <c r="I578" s="68"/>
      <c r="N578" s="67" t="str">
        <f>IF(tblMovimientos[[#This Row],[Tipo de Movimiento]]="Ingreso",tblMovimientos[[#This Row],[Monto (S/)]],"0")</f>
        <v>0</v>
      </c>
      <c r="O578" s="67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4">
        <f>IFERROR(_xlfn.XLOOKUP(G579,Listas!E:E,Listas!F:F,""),"")</f>
        <v>0</v>
      </c>
      <c r="I579" s="68"/>
      <c r="N579" s="67" t="str">
        <f>IF(tblMovimientos[[#This Row],[Tipo de Movimiento]]="Ingreso",tblMovimientos[[#This Row],[Monto (S/)]],"0")</f>
        <v>0</v>
      </c>
      <c r="O579" s="67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4">
        <f>IFERROR(_xlfn.XLOOKUP(G580,Listas!E:E,Listas!F:F,""),"")</f>
        <v>0</v>
      </c>
      <c r="I580" s="68"/>
      <c r="N580" s="67" t="str">
        <f>IF(tblMovimientos[[#This Row],[Tipo de Movimiento]]="Ingreso",tblMovimientos[[#This Row],[Monto (S/)]],"0")</f>
        <v>0</v>
      </c>
      <c r="O580" s="67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4">
        <f>IFERROR(_xlfn.XLOOKUP(G581,Listas!E:E,Listas!F:F,""),"")</f>
        <v>0</v>
      </c>
      <c r="I581" s="68"/>
      <c r="N581" s="67" t="str">
        <f>IF(tblMovimientos[[#This Row],[Tipo de Movimiento]]="Ingreso",tblMovimientos[[#This Row],[Monto (S/)]],"0")</f>
        <v>0</v>
      </c>
      <c r="O581" s="67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4">
        <f>IFERROR(_xlfn.XLOOKUP(G582,Listas!E:E,Listas!F:F,""),"")</f>
        <v>0</v>
      </c>
      <c r="I582" s="68"/>
      <c r="N582" s="67" t="str">
        <f>IF(tblMovimientos[[#This Row],[Tipo de Movimiento]]="Ingreso",tblMovimientos[[#This Row],[Monto (S/)]],"0")</f>
        <v>0</v>
      </c>
      <c r="O582" s="67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4">
        <f>IFERROR(_xlfn.XLOOKUP(G583,Listas!E:E,Listas!F:F,""),"")</f>
        <v>0</v>
      </c>
      <c r="I583" s="68"/>
      <c r="N583" s="67" t="str">
        <f>IF(tblMovimientos[[#This Row],[Tipo de Movimiento]]="Ingreso",tblMovimientos[[#This Row],[Monto (S/)]],"0")</f>
        <v>0</v>
      </c>
      <c r="O583" s="67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4">
        <f>IFERROR(_xlfn.XLOOKUP(G584,Listas!E:E,Listas!F:F,""),"")</f>
        <v>0</v>
      </c>
      <c r="I584" s="68"/>
      <c r="N584" s="67" t="str">
        <f>IF(tblMovimientos[[#This Row],[Tipo de Movimiento]]="Ingreso",tblMovimientos[[#This Row],[Monto (S/)]],"0")</f>
        <v>0</v>
      </c>
      <c r="O584" s="67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4">
        <f>IFERROR(_xlfn.XLOOKUP(G585,Listas!E:E,Listas!F:F,""),"")</f>
        <v>0</v>
      </c>
      <c r="I585" s="68"/>
      <c r="N585" s="67" t="str">
        <f>IF(tblMovimientos[[#This Row],[Tipo de Movimiento]]="Ingreso",tblMovimientos[[#This Row],[Monto (S/)]],"0")</f>
        <v>0</v>
      </c>
      <c r="O585" s="67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4">
        <f>IFERROR(_xlfn.XLOOKUP(G586,Listas!E:E,Listas!F:F,""),"")</f>
        <v>0</v>
      </c>
      <c r="I586" s="68"/>
      <c r="N586" s="67" t="str">
        <f>IF(tblMovimientos[[#This Row],[Tipo de Movimiento]]="Ingreso",tblMovimientos[[#This Row],[Monto (S/)]],"0")</f>
        <v>0</v>
      </c>
      <c r="O586" s="67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4">
        <f>IFERROR(_xlfn.XLOOKUP(G587,Listas!E:E,Listas!F:F,""),"")</f>
        <v>0</v>
      </c>
      <c r="I587" s="68"/>
      <c r="N587" s="67" t="str">
        <f>IF(tblMovimientos[[#This Row],[Tipo de Movimiento]]="Ingreso",tblMovimientos[[#This Row],[Monto (S/)]],"0")</f>
        <v>0</v>
      </c>
      <c r="O587" s="67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4">
        <f>IFERROR(_xlfn.XLOOKUP(G588,Listas!E:E,Listas!F:F,""),"")</f>
        <v>0</v>
      </c>
      <c r="I588" s="68"/>
      <c r="N588" s="67" t="str">
        <f>IF(tblMovimientos[[#This Row],[Tipo de Movimiento]]="Ingreso",tblMovimientos[[#This Row],[Monto (S/)]],"0")</f>
        <v>0</v>
      </c>
      <c r="O588" s="67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4">
        <f>IFERROR(_xlfn.XLOOKUP(G589,Listas!E:E,Listas!F:F,""),"")</f>
        <v>0</v>
      </c>
      <c r="I589" s="68"/>
      <c r="N589" s="67" t="str">
        <f>IF(tblMovimientos[[#This Row],[Tipo de Movimiento]]="Ingreso",tblMovimientos[[#This Row],[Monto (S/)]],"0")</f>
        <v>0</v>
      </c>
      <c r="O589" s="67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4">
        <f>IFERROR(_xlfn.XLOOKUP(G590,Listas!E:E,Listas!F:F,""),"")</f>
        <v>0</v>
      </c>
      <c r="I590" s="68"/>
      <c r="N590" s="67" t="str">
        <f>IF(tblMovimientos[[#This Row],[Tipo de Movimiento]]="Ingreso",tblMovimientos[[#This Row],[Monto (S/)]],"0")</f>
        <v>0</v>
      </c>
      <c r="O590" s="67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4">
        <f>IFERROR(_xlfn.XLOOKUP(G591,Listas!E:E,Listas!F:F,""),"")</f>
        <v>0</v>
      </c>
      <c r="I591" s="68"/>
      <c r="N591" s="67" t="str">
        <f>IF(tblMovimientos[[#This Row],[Tipo de Movimiento]]="Ingreso",tblMovimientos[[#This Row],[Monto (S/)]],"0")</f>
        <v>0</v>
      </c>
      <c r="O591" s="67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4">
        <f>IFERROR(_xlfn.XLOOKUP(G592,Listas!E:E,Listas!F:F,""),"")</f>
        <v>0</v>
      </c>
      <c r="I592" s="68"/>
      <c r="N592" s="67" t="str">
        <f>IF(tblMovimientos[[#This Row],[Tipo de Movimiento]]="Ingreso",tblMovimientos[[#This Row],[Monto (S/)]],"0")</f>
        <v>0</v>
      </c>
      <c r="O592" s="67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4">
        <f>IFERROR(_xlfn.XLOOKUP(G593,Listas!E:E,Listas!F:F,""),"")</f>
        <v>0</v>
      </c>
      <c r="I593" s="68"/>
      <c r="N593" s="67" t="str">
        <f>IF(tblMovimientos[[#This Row],[Tipo de Movimiento]]="Ingreso",tblMovimientos[[#This Row],[Monto (S/)]],"0")</f>
        <v>0</v>
      </c>
      <c r="O593" s="67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4">
        <f>IFERROR(_xlfn.XLOOKUP(G594,Listas!E:E,Listas!F:F,""),"")</f>
        <v>0</v>
      </c>
      <c r="I594" s="68"/>
      <c r="N594" s="67" t="str">
        <f>IF(tblMovimientos[[#This Row],[Tipo de Movimiento]]="Ingreso",tblMovimientos[[#This Row],[Monto (S/)]],"0")</f>
        <v>0</v>
      </c>
      <c r="O594" s="67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4">
        <f>IFERROR(_xlfn.XLOOKUP(G595,Listas!E:E,Listas!F:F,""),"")</f>
        <v>0</v>
      </c>
      <c r="I595" s="68"/>
      <c r="N595" s="67" t="str">
        <f>IF(tblMovimientos[[#This Row],[Tipo de Movimiento]]="Ingreso",tblMovimientos[[#This Row],[Monto (S/)]],"0")</f>
        <v>0</v>
      </c>
      <c r="O595" s="67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4">
        <f>IFERROR(_xlfn.XLOOKUP(G596,Listas!E:E,Listas!F:F,""),"")</f>
        <v>0</v>
      </c>
      <c r="I596" s="68"/>
      <c r="N596" s="67" t="str">
        <f>IF(tblMovimientos[[#This Row],[Tipo de Movimiento]]="Ingreso",tblMovimientos[[#This Row],[Monto (S/)]],"0")</f>
        <v>0</v>
      </c>
      <c r="O596" s="67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4">
        <f>IFERROR(_xlfn.XLOOKUP(G597,Listas!E:E,Listas!F:F,""),"")</f>
        <v>0</v>
      </c>
      <c r="I597" s="68"/>
      <c r="N597" s="67" t="str">
        <f>IF(tblMovimientos[[#This Row],[Tipo de Movimiento]]="Ingreso",tblMovimientos[[#This Row],[Monto (S/)]],"0")</f>
        <v>0</v>
      </c>
      <c r="O597" s="67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4">
        <f>IFERROR(_xlfn.XLOOKUP(G598,Listas!E:E,Listas!F:F,""),"")</f>
        <v>0</v>
      </c>
      <c r="I598" s="68"/>
      <c r="N598" s="67" t="str">
        <f>IF(tblMovimientos[[#This Row],[Tipo de Movimiento]]="Ingreso",tblMovimientos[[#This Row],[Monto (S/)]],"0")</f>
        <v>0</v>
      </c>
      <c r="O598" s="67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4">
        <f>IFERROR(_xlfn.XLOOKUP(G599,Listas!E:E,Listas!F:F,""),"")</f>
        <v>0</v>
      </c>
      <c r="I599" s="68"/>
      <c r="N599" s="67" t="str">
        <f>IF(tblMovimientos[[#This Row],[Tipo de Movimiento]]="Ingreso",tblMovimientos[[#This Row],[Monto (S/)]],"0")</f>
        <v>0</v>
      </c>
      <c r="O599" s="67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4">
        <f>IFERROR(_xlfn.XLOOKUP(G600,Listas!E:E,Listas!F:F,""),"")</f>
        <v>0</v>
      </c>
      <c r="I600" s="68"/>
      <c r="N600" s="67" t="str">
        <f>IF(tblMovimientos[[#This Row],[Tipo de Movimiento]]="Ingreso",tblMovimientos[[#This Row],[Monto (S/)]],"0")</f>
        <v>0</v>
      </c>
      <c r="O600" s="67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4">
        <f>IFERROR(_xlfn.XLOOKUP(G601,Listas!E:E,Listas!F:F,""),"")</f>
        <v>0</v>
      </c>
      <c r="I601" s="68"/>
      <c r="N601" s="67" t="str">
        <f>IF(tblMovimientos[[#This Row],[Tipo de Movimiento]]="Ingreso",tblMovimientos[[#This Row],[Monto (S/)]],"0")</f>
        <v>0</v>
      </c>
      <c r="O601" s="67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4">
        <f>IFERROR(_xlfn.XLOOKUP(G602,Listas!E:E,Listas!F:F,""),"")</f>
        <v>0</v>
      </c>
      <c r="I602" s="68"/>
      <c r="N602" s="67" t="str">
        <f>IF(tblMovimientos[[#This Row],[Tipo de Movimiento]]="Ingreso",tblMovimientos[[#This Row],[Monto (S/)]],"0")</f>
        <v>0</v>
      </c>
      <c r="O602" s="67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4">
        <f>IFERROR(_xlfn.XLOOKUP(G603,Listas!E:E,Listas!F:F,""),"")</f>
        <v>0</v>
      </c>
      <c r="I603" s="68"/>
      <c r="N603" s="67" t="str">
        <f>IF(tblMovimientos[[#This Row],[Tipo de Movimiento]]="Ingreso",tblMovimientos[[#This Row],[Monto (S/)]],"0")</f>
        <v>0</v>
      </c>
      <c r="O603" s="67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4">
        <f>IFERROR(_xlfn.XLOOKUP(G604,Listas!E:E,Listas!F:F,""),"")</f>
        <v>0</v>
      </c>
      <c r="I604" s="68"/>
      <c r="N604" s="67" t="str">
        <f>IF(tblMovimientos[[#This Row],[Tipo de Movimiento]]="Ingreso",tblMovimientos[[#This Row],[Monto (S/)]],"0")</f>
        <v>0</v>
      </c>
      <c r="O604" s="67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4">
        <f>IFERROR(_xlfn.XLOOKUP(G605,Listas!E:E,Listas!F:F,""),"")</f>
        <v>0</v>
      </c>
      <c r="I605" s="68"/>
      <c r="N605" s="67" t="str">
        <f>IF(tblMovimientos[[#This Row],[Tipo de Movimiento]]="Ingreso",tblMovimientos[[#This Row],[Monto (S/)]],"0")</f>
        <v>0</v>
      </c>
      <c r="O605" s="67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4">
        <f>IFERROR(_xlfn.XLOOKUP(G606,Listas!E:E,Listas!F:F,""),"")</f>
        <v>0</v>
      </c>
      <c r="I606" s="68"/>
      <c r="N606" s="67" t="str">
        <f>IF(tblMovimientos[[#This Row],[Tipo de Movimiento]]="Ingreso",tblMovimientos[[#This Row],[Monto (S/)]],"0")</f>
        <v>0</v>
      </c>
      <c r="O606" s="67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4">
        <f>IFERROR(_xlfn.XLOOKUP(G607,Listas!E:E,Listas!F:F,""),"")</f>
        <v>0</v>
      </c>
      <c r="I607" s="68"/>
      <c r="N607" s="67" t="str">
        <f>IF(tblMovimientos[[#This Row],[Tipo de Movimiento]]="Ingreso",tblMovimientos[[#This Row],[Monto (S/)]],"0")</f>
        <v>0</v>
      </c>
      <c r="O607" s="67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4">
        <f>IFERROR(_xlfn.XLOOKUP(G608,Listas!E:E,Listas!F:F,""),"")</f>
        <v>0</v>
      </c>
      <c r="I608" s="68"/>
      <c r="N608" s="67" t="str">
        <f>IF(tblMovimientos[[#This Row],[Tipo de Movimiento]]="Ingreso",tblMovimientos[[#This Row],[Monto (S/)]],"0")</f>
        <v>0</v>
      </c>
      <c r="O608" s="67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4">
        <f>IFERROR(_xlfn.XLOOKUP(G609,Listas!E:E,Listas!F:F,""),"")</f>
        <v>0</v>
      </c>
      <c r="I609" s="68"/>
      <c r="N609" s="67" t="str">
        <f>IF(tblMovimientos[[#This Row],[Tipo de Movimiento]]="Ingreso",tblMovimientos[[#This Row],[Monto (S/)]],"0")</f>
        <v>0</v>
      </c>
      <c r="O609" s="67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4">
        <f>IFERROR(_xlfn.XLOOKUP(G610,Listas!E:E,Listas!F:F,""),"")</f>
        <v>0</v>
      </c>
      <c r="I610" s="68"/>
      <c r="N610" s="67" t="str">
        <f>IF(tblMovimientos[[#This Row],[Tipo de Movimiento]]="Ingreso",tblMovimientos[[#This Row],[Monto (S/)]],"0")</f>
        <v>0</v>
      </c>
      <c r="O610" s="67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4">
        <f>IFERROR(_xlfn.XLOOKUP(G611,Listas!E:E,Listas!F:F,""),"")</f>
        <v>0</v>
      </c>
      <c r="I611" s="68"/>
      <c r="N611" s="67" t="str">
        <f>IF(tblMovimientos[[#This Row],[Tipo de Movimiento]]="Ingreso",tblMovimientos[[#This Row],[Monto (S/)]],"0")</f>
        <v>0</v>
      </c>
      <c r="O611" s="67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4">
        <f>IFERROR(_xlfn.XLOOKUP(G612,Listas!E:E,Listas!F:F,""),"")</f>
        <v>0</v>
      </c>
      <c r="I612" s="68"/>
      <c r="N612" s="67" t="str">
        <f>IF(tblMovimientos[[#This Row],[Tipo de Movimiento]]="Ingreso",tblMovimientos[[#This Row],[Monto (S/)]],"0")</f>
        <v>0</v>
      </c>
      <c r="O612" s="67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4">
        <f>IFERROR(_xlfn.XLOOKUP(G613,Listas!E:E,Listas!F:F,""),"")</f>
        <v>0</v>
      </c>
      <c r="I613" s="68"/>
      <c r="N613" s="67" t="str">
        <f>IF(tblMovimientos[[#This Row],[Tipo de Movimiento]]="Ingreso",tblMovimientos[[#This Row],[Monto (S/)]],"0")</f>
        <v>0</v>
      </c>
      <c r="O613" s="67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4">
        <f>IFERROR(_xlfn.XLOOKUP(G614,Listas!E:E,Listas!F:F,""),"")</f>
        <v>0</v>
      </c>
      <c r="I614" s="68"/>
      <c r="N614" s="67" t="str">
        <f>IF(tblMovimientos[[#This Row],[Tipo de Movimiento]]="Ingreso",tblMovimientos[[#This Row],[Monto (S/)]],"0")</f>
        <v>0</v>
      </c>
      <c r="O614" s="67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4">
        <f>IFERROR(_xlfn.XLOOKUP(G615,Listas!E:E,Listas!F:F,""),"")</f>
        <v>0</v>
      </c>
      <c r="I615" s="68"/>
      <c r="N615" s="67" t="str">
        <f>IF(tblMovimientos[[#This Row],[Tipo de Movimiento]]="Ingreso",tblMovimientos[[#This Row],[Monto (S/)]],"0")</f>
        <v>0</v>
      </c>
      <c r="O615" s="67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4">
        <f>IFERROR(_xlfn.XLOOKUP(G616,Listas!E:E,Listas!F:F,""),"")</f>
        <v>0</v>
      </c>
      <c r="I616" s="68"/>
      <c r="N616" s="67" t="str">
        <f>IF(tblMovimientos[[#This Row],[Tipo de Movimiento]]="Ingreso",tblMovimientos[[#This Row],[Monto (S/)]],"0")</f>
        <v>0</v>
      </c>
      <c r="O616" s="67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4">
        <f>IFERROR(_xlfn.XLOOKUP(G617,Listas!E:E,Listas!F:F,""),"")</f>
        <v>0</v>
      </c>
      <c r="I617" s="68"/>
      <c r="N617" s="67" t="str">
        <f>IF(tblMovimientos[[#This Row],[Tipo de Movimiento]]="Ingreso",tblMovimientos[[#This Row],[Monto (S/)]],"0")</f>
        <v>0</v>
      </c>
      <c r="O617" s="67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4">
        <f>IFERROR(_xlfn.XLOOKUP(G618,Listas!E:E,Listas!F:F,""),"")</f>
        <v>0</v>
      </c>
      <c r="I618" s="68"/>
      <c r="N618" s="67" t="str">
        <f>IF(tblMovimientos[[#This Row],[Tipo de Movimiento]]="Ingreso",tblMovimientos[[#This Row],[Monto (S/)]],"0")</f>
        <v>0</v>
      </c>
      <c r="O618" s="67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4">
        <f>IFERROR(_xlfn.XLOOKUP(G619,Listas!E:E,Listas!F:F,""),"")</f>
        <v>0</v>
      </c>
      <c r="I619" s="68"/>
      <c r="N619" s="67" t="str">
        <f>IF(tblMovimientos[[#This Row],[Tipo de Movimiento]]="Ingreso",tblMovimientos[[#This Row],[Monto (S/)]],"0")</f>
        <v>0</v>
      </c>
      <c r="O619" s="67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4">
        <f>IFERROR(_xlfn.XLOOKUP(G620,Listas!E:E,Listas!F:F,""),"")</f>
        <v>0</v>
      </c>
      <c r="I620" s="68"/>
      <c r="N620" s="67" t="str">
        <f>IF(tblMovimientos[[#This Row],[Tipo de Movimiento]]="Ingreso",tblMovimientos[[#This Row],[Monto (S/)]],"0")</f>
        <v>0</v>
      </c>
      <c r="O620" s="67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4">
        <f>IFERROR(_xlfn.XLOOKUP(G621,Listas!E:E,Listas!F:F,""),"")</f>
        <v>0</v>
      </c>
      <c r="I621" s="68"/>
      <c r="N621" s="67" t="str">
        <f>IF(tblMovimientos[[#This Row],[Tipo de Movimiento]]="Ingreso",tblMovimientos[[#This Row],[Monto (S/)]],"0")</f>
        <v>0</v>
      </c>
      <c r="O621" s="67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4">
        <f>IFERROR(_xlfn.XLOOKUP(G622,Listas!E:E,Listas!F:F,""),"")</f>
        <v>0</v>
      </c>
      <c r="I622" s="68"/>
      <c r="N622" s="67" t="str">
        <f>IF(tblMovimientos[[#This Row],[Tipo de Movimiento]]="Ingreso",tblMovimientos[[#This Row],[Monto (S/)]],"0")</f>
        <v>0</v>
      </c>
      <c r="O622" s="67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4">
        <f>IFERROR(_xlfn.XLOOKUP(G623,Listas!E:E,Listas!F:F,""),"")</f>
        <v>0</v>
      </c>
      <c r="I623" s="68"/>
      <c r="N623" s="67" t="str">
        <f>IF(tblMovimientos[[#This Row],[Tipo de Movimiento]]="Ingreso",tblMovimientos[[#This Row],[Monto (S/)]],"0")</f>
        <v>0</v>
      </c>
      <c r="O623" s="67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4">
        <f>IFERROR(_xlfn.XLOOKUP(G624,Listas!E:E,Listas!F:F,""),"")</f>
        <v>0</v>
      </c>
      <c r="I624" s="68"/>
      <c r="N624" s="67" t="str">
        <f>IF(tblMovimientos[[#This Row],[Tipo de Movimiento]]="Ingreso",tblMovimientos[[#This Row],[Monto (S/)]],"0")</f>
        <v>0</v>
      </c>
      <c r="O624" s="67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4">
        <f>IFERROR(_xlfn.XLOOKUP(G625,Listas!E:E,Listas!F:F,""),"")</f>
        <v>0</v>
      </c>
      <c r="I625" s="68"/>
      <c r="N625" s="67" t="str">
        <f>IF(tblMovimientos[[#This Row],[Tipo de Movimiento]]="Ingreso",tblMovimientos[[#This Row],[Monto (S/)]],"0")</f>
        <v>0</v>
      </c>
      <c r="O625" s="67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4">
        <f>IFERROR(_xlfn.XLOOKUP(G626,Listas!E:E,Listas!F:F,""),"")</f>
        <v>0</v>
      </c>
      <c r="I626" s="68"/>
      <c r="N626" s="67" t="str">
        <f>IF(tblMovimientos[[#This Row],[Tipo de Movimiento]]="Ingreso",tblMovimientos[[#This Row],[Monto (S/)]],"0")</f>
        <v>0</v>
      </c>
      <c r="O626" s="67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4">
        <f>IFERROR(_xlfn.XLOOKUP(G627,Listas!E:E,Listas!F:F,""),"")</f>
        <v>0</v>
      </c>
      <c r="I627" s="68"/>
      <c r="N627" s="67" t="str">
        <f>IF(tblMovimientos[[#This Row],[Tipo de Movimiento]]="Ingreso",tblMovimientos[[#This Row],[Monto (S/)]],"0")</f>
        <v>0</v>
      </c>
      <c r="O627" s="67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4">
        <f>IFERROR(_xlfn.XLOOKUP(G628,Listas!E:E,Listas!F:F,""),"")</f>
        <v>0</v>
      </c>
      <c r="I628" s="68"/>
      <c r="N628" s="67" t="str">
        <f>IF(tblMovimientos[[#This Row],[Tipo de Movimiento]]="Ingreso",tblMovimientos[[#This Row],[Monto (S/)]],"0")</f>
        <v>0</v>
      </c>
      <c r="O628" s="67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4">
        <f>IFERROR(_xlfn.XLOOKUP(G629,Listas!E:E,Listas!F:F,""),"")</f>
        <v>0</v>
      </c>
      <c r="I629" s="68"/>
      <c r="N629" s="67" t="str">
        <f>IF(tblMovimientos[[#This Row],[Tipo de Movimiento]]="Ingreso",tblMovimientos[[#This Row],[Monto (S/)]],"0")</f>
        <v>0</v>
      </c>
      <c r="O629" s="67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4">
        <f>IFERROR(_xlfn.XLOOKUP(G630,Listas!E:E,Listas!F:F,""),"")</f>
        <v>0</v>
      </c>
      <c r="I630" s="68"/>
      <c r="N630" s="67" t="str">
        <f>IF(tblMovimientos[[#This Row],[Tipo de Movimiento]]="Ingreso",tblMovimientos[[#This Row],[Monto (S/)]],"0")</f>
        <v>0</v>
      </c>
      <c r="O630" s="67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4">
        <f>IFERROR(_xlfn.XLOOKUP(G631,Listas!E:E,Listas!F:F,""),"")</f>
        <v>0</v>
      </c>
      <c r="I631" s="68"/>
      <c r="N631" s="67" t="str">
        <f>IF(tblMovimientos[[#This Row],[Tipo de Movimiento]]="Ingreso",tblMovimientos[[#This Row],[Monto (S/)]],"0")</f>
        <v>0</v>
      </c>
      <c r="O631" s="67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4">
        <f>IFERROR(_xlfn.XLOOKUP(G632,Listas!E:E,Listas!F:F,""),"")</f>
        <v>0</v>
      </c>
      <c r="I632" s="68"/>
      <c r="N632" s="67" t="str">
        <f>IF(tblMovimientos[[#This Row],[Tipo de Movimiento]]="Ingreso",tblMovimientos[[#This Row],[Monto (S/)]],"0")</f>
        <v>0</v>
      </c>
      <c r="O632" s="67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4">
        <f>IFERROR(_xlfn.XLOOKUP(G633,Listas!E:E,Listas!F:F,""),"")</f>
        <v>0</v>
      </c>
      <c r="I633" s="68"/>
      <c r="N633" s="67" t="str">
        <f>IF(tblMovimientos[[#This Row],[Tipo de Movimiento]]="Ingreso",tblMovimientos[[#This Row],[Monto (S/)]],"0")</f>
        <v>0</v>
      </c>
      <c r="O633" s="67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4">
        <f>IFERROR(_xlfn.XLOOKUP(G634,Listas!E:E,Listas!F:F,""),"")</f>
        <v>0</v>
      </c>
      <c r="I634" s="68"/>
      <c r="N634" s="67" t="str">
        <f>IF(tblMovimientos[[#This Row],[Tipo de Movimiento]]="Ingreso",tblMovimientos[[#This Row],[Monto (S/)]],"0")</f>
        <v>0</v>
      </c>
      <c r="O634" s="67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4">
        <f>IFERROR(_xlfn.XLOOKUP(G635,Listas!E:E,Listas!F:F,""),"")</f>
        <v>0</v>
      </c>
      <c r="I635" s="68"/>
      <c r="N635" s="67" t="str">
        <f>IF(tblMovimientos[[#This Row],[Tipo de Movimiento]]="Ingreso",tblMovimientos[[#This Row],[Monto (S/)]],"0")</f>
        <v>0</v>
      </c>
      <c r="O635" s="67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4">
        <f>IFERROR(_xlfn.XLOOKUP(G636,Listas!E:E,Listas!F:F,""),"")</f>
        <v>0</v>
      </c>
      <c r="I636" s="68"/>
      <c r="N636" s="67" t="str">
        <f>IF(tblMovimientos[[#This Row],[Tipo de Movimiento]]="Ingreso",tblMovimientos[[#This Row],[Monto (S/)]],"0")</f>
        <v>0</v>
      </c>
      <c r="O636" s="67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4">
        <f>IFERROR(_xlfn.XLOOKUP(G637,Listas!E:E,Listas!F:F,""),"")</f>
        <v>0</v>
      </c>
      <c r="I637" s="68"/>
      <c r="N637" s="67" t="str">
        <f>IF(tblMovimientos[[#This Row],[Tipo de Movimiento]]="Ingreso",tblMovimientos[[#This Row],[Monto (S/)]],"0")</f>
        <v>0</v>
      </c>
      <c r="O637" s="67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4">
        <f>IFERROR(_xlfn.XLOOKUP(G638,Listas!E:E,Listas!F:F,""),"")</f>
        <v>0</v>
      </c>
      <c r="I638" s="68"/>
      <c r="N638" s="67" t="str">
        <f>IF(tblMovimientos[[#This Row],[Tipo de Movimiento]]="Ingreso",tblMovimientos[[#This Row],[Monto (S/)]],"0")</f>
        <v>0</v>
      </c>
      <c r="O638" s="67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4">
        <f>IFERROR(_xlfn.XLOOKUP(G639,Listas!E:E,Listas!F:F,""),"")</f>
        <v>0</v>
      </c>
      <c r="I639" s="68"/>
      <c r="N639" s="67" t="str">
        <f>IF(tblMovimientos[[#This Row],[Tipo de Movimiento]]="Ingreso",tblMovimientos[[#This Row],[Monto (S/)]],"0")</f>
        <v>0</v>
      </c>
      <c r="O639" s="67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4">
        <f>IFERROR(_xlfn.XLOOKUP(G640,Listas!E:E,Listas!F:F,""),"")</f>
        <v>0</v>
      </c>
      <c r="I640" s="68"/>
      <c r="N640" s="67" t="str">
        <f>IF(tblMovimientos[[#This Row],[Tipo de Movimiento]]="Ingreso",tblMovimientos[[#This Row],[Monto (S/)]],"0")</f>
        <v>0</v>
      </c>
      <c r="O640" s="67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4">
        <f>IFERROR(_xlfn.XLOOKUP(G641,Listas!E:E,Listas!F:F,""),"")</f>
        <v>0</v>
      </c>
      <c r="I641" s="68"/>
      <c r="N641" s="67" t="str">
        <f>IF(tblMovimientos[[#This Row],[Tipo de Movimiento]]="Ingreso",tblMovimientos[[#This Row],[Monto (S/)]],"0")</f>
        <v>0</v>
      </c>
      <c r="O641" s="67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4">
        <f>IFERROR(_xlfn.XLOOKUP(G642,Listas!E:E,Listas!F:F,""),"")</f>
        <v>0</v>
      </c>
      <c r="I642" s="68"/>
      <c r="N642" s="67" t="str">
        <f>IF(tblMovimientos[[#This Row],[Tipo de Movimiento]]="Ingreso",tblMovimientos[[#This Row],[Monto (S/)]],"0")</f>
        <v>0</v>
      </c>
      <c r="O642" s="67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4">
        <f>IFERROR(_xlfn.XLOOKUP(G643,Listas!E:E,Listas!F:F,""),"")</f>
        <v>0</v>
      </c>
      <c r="I643" s="68"/>
      <c r="N643" s="67" t="str">
        <f>IF(tblMovimientos[[#This Row],[Tipo de Movimiento]]="Ingreso",tblMovimientos[[#This Row],[Monto (S/)]],"0")</f>
        <v>0</v>
      </c>
      <c r="O643" s="67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4">
        <f>IFERROR(_xlfn.XLOOKUP(G644,Listas!E:E,Listas!F:F,""),"")</f>
        <v>0</v>
      </c>
      <c r="I644" s="68"/>
      <c r="N644" s="67" t="str">
        <f>IF(tblMovimientos[[#This Row],[Tipo de Movimiento]]="Ingreso",tblMovimientos[[#This Row],[Monto (S/)]],"0")</f>
        <v>0</v>
      </c>
      <c r="O644" s="67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4">
        <f>IFERROR(_xlfn.XLOOKUP(G645,Listas!E:E,Listas!F:F,""),"")</f>
        <v>0</v>
      </c>
      <c r="I645" s="68"/>
      <c r="N645" s="67" t="str">
        <f>IF(tblMovimientos[[#This Row],[Tipo de Movimiento]]="Ingreso",tblMovimientos[[#This Row],[Monto (S/)]],"0")</f>
        <v>0</v>
      </c>
      <c r="O645" s="67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4">
        <f>IFERROR(_xlfn.XLOOKUP(G646,Listas!E:E,Listas!F:F,""),"")</f>
        <v>0</v>
      </c>
      <c r="I646" s="68"/>
      <c r="N646" s="67" t="str">
        <f>IF(tblMovimientos[[#This Row],[Tipo de Movimiento]]="Ingreso",tblMovimientos[[#This Row],[Monto (S/)]],"0")</f>
        <v>0</v>
      </c>
      <c r="O646" s="67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4">
        <f>IFERROR(_xlfn.XLOOKUP(G647,Listas!E:E,Listas!F:F,""),"")</f>
        <v>0</v>
      </c>
      <c r="I647" s="68"/>
      <c r="N647" s="67" t="str">
        <f>IF(tblMovimientos[[#This Row],[Tipo de Movimiento]]="Ingreso",tblMovimientos[[#This Row],[Monto (S/)]],"0")</f>
        <v>0</v>
      </c>
      <c r="O647" s="67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4">
        <f>IFERROR(_xlfn.XLOOKUP(G648,Listas!E:E,Listas!F:F,""),"")</f>
        <v>0</v>
      </c>
      <c r="I648" s="68"/>
      <c r="N648" s="67" t="str">
        <f>IF(tblMovimientos[[#This Row],[Tipo de Movimiento]]="Ingreso",tblMovimientos[[#This Row],[Monto (S/)]],"0")</f>
        <v>0</v>
      </c>
      <c r="O648" s="67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4">
        <f>IFERROR(_xlfn.XLOOKUP(G649,Listas!E:E,Listas!F:F,""),"")</f>
        <v>0</v>
      </c>
      <c r="I649" s="68"/>
      <c r="N649" s="67" t="str">
        <f>IF(tblMovimientos[[#This Row],[Tipo de Movimiento]]="Ingreso",tblMovimientos[[#This Row],[Monto (S/)]],"0")</f>
        <v>0</v>
      </c>
      <c r="O649" s="67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4">
        <f>IFERROR(_xlfn.XLOOKUP(G650,Listas!E:E,Listas!F:F,""),"")</f>
        <v>0</v>
      </c>
      <c r="I650" s="68"/>
      <c r="N650" s="67" t="str">
        <f>IF(tblMovimientos[[#This Row],[Tipo de Movimiento]]="Ingreso",tblMovimientos[[#This Row],[Monto (S/)]],"0")</f>
        <v>0</v>
      </c>
      <c r="O650" s="67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4">
        <f>IFERROR(_xlfn.XLOOKUP(G651,Listas!E:E,Listas!F:F,""),"")</f>
        <v>0</v>
      </c>
      <c r="I651" s="68"/>
      <c r="N651" s="67" t="str">
        <f>IF(tblMovimientos[[#This Row],[Tipo de Movimiento]]="Ingreso",tblMovimientos[[#This Row],[Monto (S/)]],"0")</f>
        <v>0</v>
      </c>
      <c r="O651" s="67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4">
        <f>IFERROR(_xlfn.XLOOKUP(G652,Listas!E:E,Listas!F:F,""),"")</f>
        <v>0</v>
      </c>
      <c r="I652" s="68"/>
      <c r="N652" s="67" t="str">
        <f>IF(tblMovimientos[[#This Row],[Tipo de Movimiento]]="Ingreso",tblMovimientos[[#This Row],[Monto (S/)]],"0")</f>
        <v>0</v>
      </c>
      <c r="O652" s="67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4">
        <f>IFERROR(_xlfn.XLOOKUP(G653,Listas!E:E,Listas!F:F,""),"")</f>
        <v>0</v>
      </c>
      <c r="I653" s="68"/>
      <c r="N653" s="67" t="str">
        <f>IF(tblMovimientos[[#This Row],[Tipo de Movimiento]]="Ingreso",tblMovimientos[[#This Row],[Monto (S/)]],"0")</f>
        <v>0</v>
      </c>
      <c r="O653" s="67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4">
        <f>IFERROR(_xlfn.XLOOKUP(G654,Listas!E:E,Listas!F:F,""),"")</f>
        <v>0</v>
      </c>
      <c r="I654" s="68"/>
      <c r="N654" s="67" t="str">
        <f>IF(tblMovimientos[[#This Row],[Tipo de Movimiento]]="Ingreso",tblMovimientos[[#This Row],[Monto (S/)]],"0")</f>
        <v>0</v>
      </c>
      <c r="O654" s="67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4">
        <f>IFERROR(_xlfn.XLOOKUP(G655,Listas!E:E,Listas!F:F,""),"")</f>
        <v>0</v>
      </c>
      <c r="I655" s="68"/>
      <c r="N655" s="67" t="str">
        <f>IF(tblMovimientos[[#This Row],[Tipo de Movimiento]]="Ingreso",tblMovimientos[[#This Row],[Monto (S/)]],"0")</f>
        <v>0</v>
      </c>
      <c r="O655" s="67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4">
        <f>IFERROR(_xlfn.XLOOKUP(G656,Listas!E:E,Listas!F:F,""),"")</f>
        <v>0</v>
      </c>
      <c r="I656" s="68"/>
      <c r="N656" s="67" t="str">
        <f>IF(tblMovimientos[[#This Row],[Tipo de Movimiento]]="Ingreso",tblMovimientos[[#This Row],[Monto (S/)]],"0")</f>
        <v>0</v>
      </c>
      <c r="O656" s="67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4">
        <f>IFERROR(_xlfn.XLOOKUP(G657,Listas!E:E,Listas!F:F,""),"")</f>
        <v>0</v>
      </c>
      <c r="I657" s="68"/>
      <c r="N657" s="67" t="str">
        <f>IF(tblMovimientos[[#This Row],[Tipo de Movimiento]]="Ingreso",tblMovimientos[[#This Row],[Monto (S/)]],"0")</f>
        <v>0</v>
      </c>
      <c r="O657" s="67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4">
        <f>IFERROR(_xlfn.XLOOKUP(G658,Listas!E:E,Listas!F:F,""),"")</f>
        <v>0</v>
      </c>
      <c r="I658" s="68"/>
      <c r="N658" s="67" t="str">
        <f>IF(tblMovimientos[[#This Row],[Tipo de Movimiento]]="Ingreso",tblMovimientos[[#This Row],[Monto (S/)]],"0")</f>
        <v>0</v>
      </c>
      <c r="O658" s="67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4">
        <f>IFERROR(_xlfn.XLOOKUP(G659,Listas!E:E,Listas!F:F,""),"")</f>
        <v>0</v>
      </c>
      <c r="I659" s="68"/>
      <c r="N659" s="67" t="str">
        <f>IF(tblMovimientos[[#This Row],[Tipo de Movimiento]]="Ingreso",tblMovimientos[[#This Row],[Monto (S/)]],"0")</f>
        <v>0</v>
      </c>
      <c r="O659" s="67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4">
        <f>IFERROR(_xlfn.XLOOKUP(G660,Listas!E:E,Listas!F:F,""),"")</f>
        <v>0</v>
      </c>
      <c r="I660" s="68"/>
      <c r="N660" s="67" t="str">
        <f>IF(tblMovimientos[[#This Row],[Tipo de Movimiento]]="Ingreso",tblMovimientos[[#This Row],[Monto (S/)]],"0")</f>
        <v>0</v>
      </c>
      <c r="O660" s="67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4">
        <f>IFERROR(_xlfn.XLOOKUP(G661,Listas!E:E,Listas!F:F,""),"")</f>
        <v>0</v>
      </c>
      <c r="I661" s="68"/>
      <c r="N661" s="67" t="str">
        <f>IF(tblMovimientos[[#This Row],[Tipo de Movimiento]]="Ingreso",tblMovimientos[[#This Row],[Monto (S/)]],"0")</f>
        <v>0</v>
      </c>
      <c r="O661" s="67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4">
        <f>IFERROR(_xlfn.XLOOKUP(G662,Listas!E:E,Listas!F:F,""),"")</f>
        <v>0</v>
      </c>
      <c r="I662" s="68"/>
      <c r="N662" s="67" t="str">
        <f>IF(tblMovimientos[[#This Row],[Tipo de Movimiento]]="Ingreso",tblMovimientos[[#This Row],[Monto (S/)]],"0")</f>
        <v>0</v>
      </c>
      <c r="O662" s="67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4">
        <f>IFERROR(_xlfn.XLOOKUP(G663,Listas!E:E,Listas!F:F,""),"")</f>
        <v>0</v>
      </c>
      <c r="I663" s="68"/>
      <c r="N663" s="67" t="str">
        <f>IF(tblMovimientos[[#This Row],[Tipo de Movimiento]]="Ingreso",tblMovimientos[[#This Row],[Monto (S/)]],"0")</f>
        <v>0</v>
      </c>
      <c r="O663" s="67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4">
        <f>IFERROR(_xlfn.XLOOKUP(G664,Listas!E:E,Listas!F:F,""),"")</f>
        <v>0</v>
      </c>
      <c r="I664" s="68"/>
      <c r="N664" s="67" t="str">
        <f>IF(tblMovimientos[[#This Row],[Tipo de Movimiento]]="Ingreso",tblMovimientos[[#This Row],[Monto (S/)]],"0")</f>
        <v>0</v>
      </c>
      <c r="O664" s="67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4">
        <f>IFERROR(_xlfn.XLOOKUP(G665,Listas!E:E,Listas!F:F,""),"")</f>
        <v>0</v>
      </c>
      <c r="I665" s="68"/>
      <c r="N665" s="67" t="str">
        <f>IF(tblMovimientos[[#This Row],[Tipo de Movimiento]]="Ingreso",tblMovimientos[[#This Row],[Monto (S/)]],"0")</f>
        <v>0</v>
      </c>
      <c r="O665" s="67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4">
        <f>IFERROR(_xlfn.XLOOKUP(G666,Listas!E:E,Listas!F:F,""),"")</f>
        <v>0</v>
      </c>
      <c r="I666" s="68"/>
      <c r="N666" s="67" t="str">
        <f>IF(tblMovimientos[[#This Row],[Tipo de Movimiento]]="Ingreso",tblMovimientos[[#This Row],[Monto (S/)]],"0")</f>
        <v>0</v>
      </c>
      <c r="O666" s="67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4">
        <f>IFERROR(_xlfn.XLOOKUP(G667,Listas!E:E,Listas!F:F,""),"")</f>
        <v>0</v>
      </c>
      <c r="I667" s="68"/>
      <c r="N667" s="67" t="str">
        <f>IF(tblMovimientos[[#This Row],[Tipo de Movimiento]]="Ingreso",tblMovimientos[[#This Row],[Monto (S/)]],"0")</f>
        <v>0</v>
      </c>
      <c r="O667" s="67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4">
        <f>IFERROR(_xlfn.XLOOKUP(G668,Listas!E:E,Listas!F:F,""),"")</f>
        <v>0</v>
      </c>
      <c r="I668" s="68"/>
      <c r="N668" s="67" t="str">
        <f>IF(tblMovimientos[[#This Row],[Tipo de Movimiento]]="Ingreso",tblMovimientos[[#This Row],[Monto (S/)]],"0")</f>
        <v>0</v>
      </c>
      <c r="O668" s="67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4">
        <f>IFERROR(_xlfn.XLOOKUP(G669,Listas!E:E,Listas!F:F,""),"")</f>
        <v>0</v>
      </c>
      <c r="I669" s="68"/>
      <c r="N669" s="67" t="str">
        <f>IF(tblMovimientos[[#This Row],[Tipo de Movimiento]]="Ingreso",tblMovimientos[[#This Row],[Monto (S/)]],"0")</f>
        <v>0</v>
      </c>
      <c r="O669" s="67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4">
        <f>IFERROR(_xlfn.XLOOKUP(G670,Listas!E:E,Listas!F:F,""),"")</f>
        <v>0</v>
      </c>
      <c r="I670" s="68"/>
      <c r="N670" s="67" t="str">
        <f>IF(tblMovimientos[[#This Row],[Tipo de Movimiento]]="Ingreso",tblMovimientos[[#This Row],[Monto (S/)]],"0")</f>
        <v>0</v>
      </c>
      <c r="O670" s="67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4">
        <f>IFERROR(_xlfn.XLOOKUP(G671,Listas!E:E,Listas!F:F,""),"")</f>
        <v>0</v>
      </c>
      <c r="I671" s="68"/>
      <c r="N671" s="67" t="str">
        <f>IF(tblMovimientos[[#This Row],[Tipo de Movimiento]]="Ingreso",tblMovimientos[[#This Row],[Monto (S/)]],"0")</f>
        <v>0</v>
      </c>
      <c r="O671" s="67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4">
        <f>IFERROR(_xlfn.XLOOKUP(G672,Listas!E:E,Listas!F:F,""),"")</f>
        <v>0</v>
      </c>
      <c r="I672" s="68"/>
      <c r="N672" s="67" t="str">
        <f>IF(tblMovimientos[[#This Row],[Tipo de Movimiento]]="Ingreso",tblMovimientos[[#This Row],[Monto (S/)]],"0")</f>
        <v>0</v>
      </c>
      <c r="O672" s="67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4">
        <f>IFERROR(_xlfn.XLOOKUP(G673,Listas!E:E,Listas!F:F,""),"")</f>
        <v>0</v>
      </c>
      <c r="I673" s="68"/>
      <c r="N673" s="67" t="str">
        <f>IF(tblMovimientos[[#This Row],[Tipo de Movimiento]]="Ingreso",tblMovimientos[[#This Row],[Monto (S/)]],"0")</f>
        <v>0</v>
      </c>
      <c r="O673" s="67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4">
        <f>IFERROR(_xlfn.XLOOKUP(G674,Listas!E:E,Listas!F:F,""),"")</f>
        <v>0</v>
      </c>
      <c r="I674" s="68"/>
      <c r="N674" s="67" t="str">
        <f>IF(tblMovimientos[[#This Row],[Tipo de Movimiento]]="Ingreso",tblMovimientos[[#This Row],[Monto (S/)]],"0")</f>
        <v>0</v>
      </c>
      <c r="O674" s="67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4">
        <f>IFERROR(_xlfn.XLOOKUP(G675,Listas!E:E,Listas!F:F,""),"")</f>
        <v>0</v>
      </c>
      <c r="I675" s="68"/>
      <c r="N675" s="67" t="str">
        <f>IF(tblMovimientos[[#This Row],[Tipo de Movimiento]]="Ingreso",tblMovimientos[[#This Row],[Monto (S/)]],"0")</f>
        <v>0</v>
      </c>
      <c r="O675" s="67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4">
        <f>IFERROR(_xlfn.XLOOKUP(G676,Listas!E:E,Listas!F:F,""),"")</f>
        <v>0</v>
      </c>
      <c r="I676" s="68"/>
      <c r="N676" s="67" t="str">
        <f>IF(tblMovimientos[[#This Row],[Tipo de Movimiento]]="Ingreso",tblMovimientos[[#This Row],[Monto (S/)]],"0")</f>
        <v>0</v>
      </c>
      <c r="O676" s="67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4">
        <f>IFERROR(_xlfn.XLOOKUP(G677,Listas!E:E,Listas!F:F,""),"")</f>
        <v>0</v>
      </c>
      <c r="I677" s="68"/>
      <c r="N677" s="67" t="str">
        <f>IF(tblMovimientos[[#This Row],[Tipo de Movimiento]]="Ingreso",tblMovimientos[[#This Row],[Monto (S/)]],"0")</f>
        <v>0</v>
      </c>
      <c r="O677" s="67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4">
        <f>IFERROR(_xlfn.XLOOKUP(G678,Listas!E:E,Listas!F:F,""),"")</f>
        <v>0</v>
      </c>
      <c r="I678" s="68"/>
      <c r="N678" s="67" t="str">
        <f>IF(tblMovimientos[[#This Row],[Tipo de Movimiento]]="Ingreso",tblMovimientos[[#This Row],[Monto (S/)]],"0")</f>
        <v>0</v>
      </c>
      <c r="O678" s="67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4">
        <f>IFERROR(_xlfn.XLOOKUP(G679,Listas!E:E,Listas!F:F,""),"")</f>
        <v>0</v>
      </c>
      <c r="I679" s="68"/>
      <c r="N679" s="67" t="str">
        <f>IF(tblMovimientos[[#This Row],[Tipo de Movimiento]]="Ingreso",tblMovimientos[[#This Row],[Monto (S/)]],"0")</f>
        <v>0</v>
      </c>
      <c r="O679" s="67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4">
        <f>IFERROR(_xlfn.XLOOKUP(G680,Listas!E:E,Listas!F:F,""),"")</f>
        <v>0</v>
      </c>
      <c r="I680" s="68"/>
      <c r="N680" s="67" t="str">
        <f>IF(tblMovimientos[[#This Row],[Tipo de Movimiento]]="Ingreso",tblMovimientos[[#This Row],[Monto (S/)]],"0")</f>
        <v>0</v>
      </c>
      <c r="O680" s="67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4">
        <f>IFERROR(_xlfn.XLOOKUP(G681,Listas!E:E,Listas!F:F,""),"")</f>
        <v>0</v>
      </c>
      <c r="I681" s="68"/>
      <c r="N681" s="67" t="str">
        <f>IF(tblMovimientos[[#This Row],[Tipo de Movimiento]]="Ingreso",tblMovimientos[[#This Row],[Monto (S/)]],"0")</f>
        <v>0</v>
      </c>
      <c r="O681" s="67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4">
        <f>IFERROR(_xlfn.XLOOKUP(G682,Listas!E:E,Listas!F:F,""),"")</f>
        <v>0</v>
      </c>
      <c r="I682" s="68"/>
      <c r="N682" s="67" t="str">
        <f>IF(tblMovimientos[[#This Row],[Tipo de Movimiento]]="Ingreso",tblMovimientos[[#This Row],[Monto (S/)]],"0")</f>
        <v>0</v>
      </c>
      <c r="O682" s="67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4">
        <f>IFERROR(_xlfn.XLOOKUP(G683,Listas!E:E,Listas!F:F,""),"")</f>
        <v>0</v>
      </c>
      <c r="I683" s="68"/>
      <c r="N683" s="67" t="str">
        <f>IF(tblMovimientos[[#This Row],[Tipo de Movimiento]]="Ingreso",tblMovimientos[[#This Row],[Monto (S/)]],"0")</f>
        <v>0</v>
      </c>
      <c r="O683" s="67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4">
        <f>IFERROR(_xlfn.XLOOKUP(G684,Listas!E:E,Listas!F:F,""),"")</f>
        <v>0</v>
      </c>
      <c r="I684" s="68"/>
      <c r="N684" s="67" t="str">
        <f>IF(tblMovimientos[[#This Row],[Tipo de Movimiento]]="Ingreso",tblMovimientos[[#This Row],[Monto (S/)]],"0")</f>
        <v>0</v>
      </c>
      <c r="O684" s="67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4">
        <f>IFERROR(_xlfn.XLOOKUP(G685,Listas!E:E,Listas!F:F,""),"")</f>
        <v>0</v>
      </c>
      <c r="I685" s="68"/>
      <c r="N685" s="67" t="str">
        <f>IF(tblMovimientos[[#This Row],[Tipo de Movimiento]]="Ingreso",tblMovimientos[[#This Row],[Monto (S/)]],"0")</f>
        <v>0</v>
      </c>
      <c r="O685" s="67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4">
        <f>IFERROR(_xlfn.XLOOKUP(G686,Listas!E:E,Listas!F:F,""),"")</f>
        <v>0</v>
      </c>
      <c r="I686" s="68"/>
      <c r="N686" s="67" t="str">
        <f>IF(tblMovimientos[[#This Row],[Tipo de Movimiento]]="Ingreso",tblMovimientos[[#This Row],[Monto (S/)]],"0")</f>
        <v>0</v>
      </c>
      <c r="O686" s="67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4">
        <f>IFERROR(_xlfn.XLOOKUP(G687,Listas!E:E,Listas!F:F,""),"")</f>
        <v>0</v>
      </c>
      <c r="I687" s="68"/>
      <c r="N687" s="67" t="str">
        <f>IF(tblMovimientos[[#This Row],[Tipo de Movimiento]]="Ingreso",tblMovimientos[[#This Row],[Monto (S/)]],"0")</f>
        <v>0</v>
      </c>
      <c r="O687" s="67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4">
        <f>IFERROR(_xlfn.XLOOKUP(G688,Listas!E:E,Listas!F:F,""),"")</f>
        <v>0</v>
      </c>
      <c r="I688" s="68"/>
      <c r="N688" s="67" t="str">
        <f>IF(tblMovimientos[[#This Row],[Tipo de Movimiento]]="Ingreso",tblMovimientos[[#This Row],[Monto (S/)]],"0")</f>
        <v>0</v>
      </c>
      <c r="O688" s="67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4">
        <f>IFERROR(_xlfn.XLOOKUP(G689,Listas!E:E,Listas!F:F,""),"")</f>
        <v>0</v>
      </c>
      <c r="I689" s="68"/>
      <c r="N689" s="67" t="str">
        <f>IF(tblMovimientos[[#This Row],[Tipo de Movimiento]]="Ingreso",tblMovimientos[[#This Row],[Monto (S/)]],"0")</f>
        <v>0</v>
      </c>
      <c r="O689" s="67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4">
        <f>IFERROR(_xlfn.XLOOKUP(G690,Listas!E:E,Listas!F:F,""),"")</f>
        <v>0</v>
      </c>
      <c r="I690" s="68"/>
      <c r="N690" s="67" t="str">
        <f>IF(tblMovimientos[[#This Row],[Tipo de Movimiento]]="Ingreso",tblMovimientos[[#This Row],[Monto (S/)]],"0")</f>
        <v>0</v>
      </c>
      <c r="O690" s="67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4">
        <f>IFERROR(_xlfn.XLOOKUP(G691,Listas!E:E,Listas!F:F,""),"")</f>
        <v>0</v>
      </c>
      <c r="I691" s="68"/>
      <c r="N691" s="67" t="str">
        <f>IF(tblMovimientos[[#This Row],[Tipo de Movimiento]]="Ingreso",tblMovimientos[[#This Row],[Monto (S/)]],"0")</f>
        <v>0</v>
      </c>
      <c r="O691" s="67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4">
        <f>IFERROR(_xlfn.XLOOKUP(G692,Listas!E:E,Listas!F:F,""),"")</f>
        <v>0</v>
      </c>
      <c r="I692" s="68"/>
      <c r="N692" s="67" t="str">
        <f>IF(tblMovimientos[[#This Row],[Tipo de Movimiento]]="Ingreso",tblMovimientos[[#This Row],[Monto (S/)]],"0")</f>
        <v>0</v>
      </c>
      <c r="O692" s="67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4">
        <f>IFERROR(_xlfn.XLOOKUP(G693,Listas!E:E,Listas!F:F,""),"")</f>
        <v>0</v>
      </c>
      <c r="I693" s="68"/>
      <c r="N693" s="67" t="str">
        <f>IF(tblMovimientos[[#This Row],[Tipo de Movimiento]]="Ingreso",tblMovimientos[[#This Row],[Monto (S/)]],"0")</f>
        <v>0</v>
      </c>
      <c r="O693" s="67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4">
        <f>IFERROR(_xlfn.XLOOKUP(G694,Listas!E:E,Listas!F:F,""),"")</f>
        <v>0</v>
      </c>
      <c r="I694" s="68"/>
      <c r="N694" s="67" t="str">
        <f>IF(tblMovimientos[[#This Row],[Tipo de Movimiento]]="Ingreso",tblMovimientos[[#This Row],[Monto (S/)]],"0")</f>
        <v>0</v>
      </c>
      <c r="O694" s="67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4">
        <f>IFERROR(_xlfn.XLOOKUP(G695,Listas!E:E,Listas!F:F,""),"")</f>
        <v>0</v>
      </c>
      <c r="I695" s="68"/>
      <c r="N695" s="67" t="str">
        <f>IF(tblMovimientos[[#This Row],[Tipo de Movimiento]]="Ingreso",tblMovimientos[[#This Row],[Monto (S/)]],"0")</f>
        <v>0</v>
      </c>
      <c r="O695" s="67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4">
        <f>IFERROR(_xlfn.XLOOKUP(G696,Listas!E:E,Listas!F:F,""),"")</f>
        <v>0</v>
      </c>
      <c r="I696" s="68"/>
      <c r="N696" s="67" t="str">
        <f>IF(tblMovimientos[[#This Row],[Tipo de Movimiento]]="Ingreso",tblMovimientos[[#This Row],[Monto (S/)]],"0")</f>
        <v>0</v>
      </c>
      <c r="O696" s="67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4">
        <f>IFERROR(_xlfn.XLOOKUP(G697,Listas!E:E,Listas!F:F,""),"")</f>
        <v>0</v>
      </c>
      <c r="I697" s="68"/>
      <c r="N697" s="67" t="str">
        <f>IF(tblMovimientos[[#This Row],[Tipo de Movimiento]]="Ingreso",tblMovimientos[[#This Row],[Monto (S/)]],"0")</f>
        <v>0</v>
      </c>
      <c r="O697" s="67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4">
        <f>IFERROR(_xlfn.XLOOKUP(G698,Listas!E:E,Listas!F:F,""),"")</f>
        <v>0</v>
      </c>
      <c r="I698" s="68"/>
      <c r="N698" s="67" t="str">
        <f>IF(tblMovimientos[[#This Row],[Tipo de Movimiento]]="Ingreso",tblMovimientos[[#This Row],[Monto (S/)]],"0")</f>
        <v>0</v>
      </c>
      <c r="O698" s="67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4">
        <f>IFERROR(_xlfn.XLOOKUP(G699,Listas!E:E,Listas!F:F,""),"")</f>
        <v>0</v>
      </c>
      <c r="I699" s="68"/>
      <c r="N699" s="67" t="str">
        <f>IF(tblMovimientos[[#This Row],[Tipo de Movimiento]]="Ingreso",tblMovimientos[[#This Row],[Monto (S/)]],"0")</f>
        <v>0</v>
      </c>
      <c r="O699" s="67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4">
        <f>IFERROR(_xlfn.XLOOKUP(G700,Listas!E:E,Listas!F:F,""),"")</f>
        <v>0</v>
      </c>
      <c r="I700" s="68"/>
      <c r="N700" s="67" t="str">
        <f>IF(tblMovimientos[[#This Row],[Tipo de Movimiento]]="Ingreso",tblMovimientos[[#This Row],[Monto (S/)]],"0")</f>
        <v>0</v>
      </c>
      <c r="O700" s="67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4">
        <f>IFERROR(_xlfn.XLOOKUP(G701,Listas!E:E,Listas!F:F,""),"")</f>
        <v>0</v>
      </c>
      <c r="I701" s="68"/>
      <c r="N701" s="67" t="str">
        <f>IF(tblMovimientos[[#This Row],[Tipo de Movimiento]]="Ingreso",tblMovimientos[[#This Row],[Monto (S/)]],"0")</f>
        <v>0</v>
      </c>
      <c r="O701" s="67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4">
        <f>IFERROR(_xlfn.XLOOKUP(G702,Listas!E:E,Listas!F:F,""),"")</f>
        <v>0</v>
      </c>
      <c r="I702" s="68"/>
      <c r="N702" s="67" t="str">
        <f>IF(tblMovimientos[[#This Row],[Tipo de Movimiento]]="Ingreso",tblMovimientos[[#This Row],[Monto (S/)]],"0")</f>
        <v>0</v>
      </c>
      <c r="O702" s="67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4">
        <f>IFERROR(_xlfn.XLOOKUP(G703,Listas!E:E,Listas!F:F,""),"")</f>
        <v>0</v>
      </c>
      <c r="I703" s="68"/>
      <c r="N703" s="67" t="str">
        <f>IF(tblMovimientos[[#This Row],[Tipo de Movimiento]]="Ingreso",tblMovimientos[[#This Row],[Monto (S/)]],"0")</f>
        <v>0</v>
      </c>
      <c r="O703" s="67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4">
        <f>IFERROR(_xlfn.XLOOKUP(G704,Listas!E:E,Listas!F:F,""),"")</f>
        <v>0</v>
      </c>
      <c r="I704" s="68"/>
      <c r="N704" s="67" t="str">
        <f>IF(tblMovimientos[[#This Row],[Tipo de Movimiento]]="Ingreso",tblMovimientos[[#This Row],[Monto (S/)]],"0")</f>
        <v>0</v>
      </c>
      <c r="O704" s="67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4">
        <f>IFERROR(_xlfn.XLOOKUP(G705,Listas!E:E,Listas!F:F,""),"")</f>
        <v>0</v>
      </c>
      <c r="I705" s="68"/>
      <c r="N705" s="67" t="str">
        <f>IF(tblMovimientos[[#This Row],[Tipo de Movimiento]]="Ingreso",tblMovimientos[[#This Row],[Monto (S/)]],"0")</f>
        <v>0</v>
      </c>
      <c r="O705" s="67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4">
        <f>IFERROR(_xlfn.XLOOKUP(G706,Listas!E:E,Listas!F:F,""),"")</f>
        <v>0</v>
      </c>
      <c r="I706" s="68"/>
      <c r="N706" s="67" t="str">
        <f>IF(tblMovimientos[[#This Row],[Tipo de Movimiento]]="Ingreso",tblMovimientos[[#This Row],[Monto (S/)]],"0")</f>
        <v>0</v>
      </c>
      <c r="O706" s="67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4">
        <f>IFERROR(_xlfn.XLOOKUP(G707,Listas!E:E,Listas!F:F,""),"")</f>
        <v>0</v>
      </c>
      <c r="I707" s="68"/>
      <c r="N707" s="67" t="str">
        <f>IF(tblMovimientos[[#This Row],[Tipo de Movimiento]]="Ingreso",tblMovimientos[[#This Row],[Monto (S/)]],"0")</f>
        <v>0</v>
      </c>
      <c r="O707" s="67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4">
        <f>IFERROR(_xlfn.XLOOKUP(G708,Listas!E:E,Listas!F:F,""),"")</f>
        <v>0</v>
      </c>
      <c r="I708" s="68"/>
      <c r="N708" s="67" t="str">
        <f>IF(tblMovimientos[[#This Row],[Tipo de Movimiento]]="Ingreso",tblMovimientos[[#This Row],[Monto (S/)]],"0")</f>
        <v>0</v>
      </c>
      <c r="O708" s="67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4">
        <f>IFERROR(_xlfn.XLOOKUP(G709,Listas!E:E,Listas!F:F,""),"")</f>
        <v>0</v>
      </c>
      <c r="I709" s="68"/>
      <c r="N709" s="67" t="str">
        <f>IF(tblMovimientos[[#This Row],[Tipo de Movimiento]]="Ingreso",tblMovimientos[[#This Row],[Monto (S/)]],"0")</f>
        <v>0</v>
      </c>
      <c r="O709" s="67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4">
        <f>IFERROR(_xlfn.XLOOKUP(G710,Listas!E:E,Listas!F:F,""),"")</f>
        <v>0</v>
      </c>
      <c r="I710" s="68"/>
      <c r="N710" s="67" t="str">
        <f>IF(tblMovimientos[[#This Row],[Tipo de Movimiento]]="Ingreso",tblMovimientos[[#This Row],[Monto (S/)]],"0")</f>
        <v>0</v>
      </c>
      <c r="O710" s="67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4">
        <f>IFERROR(_xlfn.XLOOKUP(G711,Listas!E:E,Listas!F:F,""),"")</f>
        <v>0</v>
      </c>
      <c r="I711" s="68"/>
      <c r="N711" s="67" t="str">
        <f>IF(tblMovimientos[[#This Row],[Tipo de Movimiento]]="Ingreso",tblMovimientos[[#This Row],[Monto (S/)]],"0")</f>
        <v>0</v>
      </c>
      <c r="O711" s="67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4">
        <f>IFERROR(_xlfn.XLOOKUP(G712,Listas!E:E,Listas!F:F,""),"")</f>
        <v>0</v>
      </c>
      <c r="I712" s="68"/>
      <c r="N712" s="67" t="str">
        <f>IF(tblMovimientos[[#This Row],[Tipo de Movimiento]]="Ingreso",tblMovimientos[[#This Row],[Monto (S/)]],"0")</f>
        <v>0</v>
      </c>
      <c r="O712" s="67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4">
        <f>IFERROR(_xlfn.XLOOKUP(G713,Listas!E:E,Listas!F:F,""),"")</f>
        <v>0</v>
      </c>
      <c r="I713" s="68"/>
      <c r="N713" s="67" t="str">
        <f>IF(tblMovimientos[[#This Row],[Tipo de Movimiento]]="Ingreso",tblMovimientos[[#This Row],[Monto (S/)]],"0")</f>
        <v>0</v>
      </c>
      <c r="O713" s="67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4">
        <f>IFERROR(_xlfn.XLOOKUP(G714,Listas!E:E,Listas!F:F,""),"")</f>
        <v>0</v>
      </c>
      <c r="I714" s="68"/>
      <c r="N714" s="67" t="str">
        <f>IF(tblMovimientos[[#This Row],[Tipo de Movimiento]]="Ingreso",tblMovimientos[[#This Row],[Monto (S/)]],"0")</f>
        <v>0</v>
      </c>
      <c r="O714" s="67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4">
        <f>IFERROR(_xlfn.XLOOKUP(G715,Listas!E:E,Listas!F:F,""),"")</f>
        <v>0</v>
      </c>
      <c r="I715" s="68"/>
      <c r="N715" s="67" t="str">
        <f>IF(tblMovimientos[[#This Row],[Tipo de Movimiento]]="Ingreso",tblMovimientos[[#This Row],[Monto (S/)]],"0")</f>
        <v>0</v>
      </c>
      <c r="O715" s="67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4">
        <f>IFERROR(_xlfn.XLOOKUP(G716,Listas!E:E,Listas!F:F,""),"")</f>
        <v>0</v>
      </c>
      <c r="I716" s="68"/>
      <c r="N716" s="67" t="str">
        <f>IF(tblMovimientos[[#This Row],[Tipo de Movimiento]]="Ingreso",tblMovimientos[[#This Row],[Monto (S/)]],"0")</f>
        <v>0</v>
      </c>
      <c r="O716" s="67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4">
        <f>IFERROR(_xlfn.XLOOKUP(G717,Listas!E:E,Listas!F:F,""),"")</f>
        <v>0</v>
      </c>
      <c r="I717" s="68"/>
      <c r="N717" s="67" t="str">
        <f>IF(tblMovimientos[[#This Row],[Tipo de Movimiento]]="Ingreso",tblMovimientos[[#This Row],[Monto (S/)]],"0")</f>
        <v>0</v>
      </c>
      <c r="O717" s="67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4">
        <f>IFERROR(_xlfn.XLOOKUP(G718,Listas!E:E,Listas!F:F,""),"")</f>
        <v>0</v>
      </c>
      <c r="I718" s="68"/>
      <c r="N718" s="67" t="str">
        <f>IF(tblMovimientos[[#This Row],[Tipo de Movimiento]]="Ingreso",tblMovimientos[[#This Row],[Monto (S/)]],"0")</f>
        <v>0</v>
      </c>
      <c r="O718" s="67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4">
        <f>IFERROR(_xlfn.XLOOKUP(G719,Listas!E:E,Listas!F:F,""),"")</f>
        <v>0</v>
      </c>
      <c r="I719" s="68"/>
      <c r="N719" s="67" t="str">
        <f>IF(tblMovimientos[[#This Row],[Tipo de Movimiento]]="Ingreso",tblMovimientos[[#This Row],[Monto (S/)]],"0")</f>
        <v>0</v>
      </c>
      <c r="O719" s="67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4">
        <f>IFERROR(_xlfn.XLOOKUP(G720,Listas!E:E,Listas!F:F,""),"")</f>
        <v>0</v>
      </c>
      <c r="I720" s="68"/>
      <c r="N720" s="67" t="str">
        <f>IF(tblMovimientos[[#This Row],[Tipo de Movimiento]]="Ingreso",tblMovimientos[[#This Row],[Monto (S/)]],"0")</f>
        <v>0</v>
      </c>
      <c r="O720" s="67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4">
        <f>IFERROR(_xlfn.XLOOKUP(G721,Listas!E:E,Listas!F:F,""),"")</f>
        <v>0</v>
      </c>
      <c r="I721" s="68"/>
      <c r="N721" s="67" t="str">
        <f>IF(tblMovimientos[[#This Row],[Tipo de Movimiento]]="Ingreso",tblMovimientos[[#This Row],[Monto (S/)]],"0")</f>
        <v>0</v>
      </c>
      <c r="O721" s="67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4">
        <f>IFERROR(_xlfn.XLOOKUP(G722,Listas!E:E,Listas!F:F,""),"")</f>
        <v>0</v>
      </c>
      <c r="I722" s="68"/>
      <c r="N722" s="67" t="str">
        <f>IF(tblMovimientos[[#This Row],[Tipo de Movimiento]]="Ingreso",tblMovimientos[[#This Row],[Monto (S/)]],"0")</f>
        <v>0</v>
      </c>
      <c r="O722" s="67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4">
        <f>IFERROR(_xlfn.XLOOKUP(G723,Listas!E:E,Listas!F:F,""),"")</f>
        <v>0</v>
      </c>
      <c r="I723" s="68"/>
      <c r="N723" s="67" t="str">
        <f>IF(tblMovimientos[[#This Row],[Tipo de Movimiento]]="Ingreso",tblMovimientos[[#This Row],[Monto (S/)]],"0")</f>
        <v>0</v>
      </c>
      <c r="O723" s="67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4">
        <f>IFERROR(_xlfn.XLOOKUP(G724,Listas!E:E,Listas!F:F,""),"")</f>
        <v>0</v>
      </c>
      <c r="I724" s="68"/>
      <c r="N724" s="67" t="str">
        <f>IF(tblMovimientos[[#This Row],[Tipo de Movimiento]]="Ingreso",tblMovimientos[[#This Row],[Monto (S/)]],"0")</f>
        <v>0</v>
      </c>
      <c r="O724" s="67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D444 D472:D724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40" sqref="C40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114587.74000000011</v>
      </c>
      <c r="E2" s="37">
        <f>C2+D2</f>
        <v>531266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5052100.1900000079</v>
      </c>
      <c r="E3" s="37">
        <f t="shared" ref="E3:E9" si="0">C3+D3</f>
        <v>6219401.7200000081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7">
        <f t="shared" si="0"/>
        <v>3349.94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H33" sqref="H3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142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SUMIFS(Movimientos!$J$1:$J$724,Movimientos!$C$1:$C$724,$B2,Movimientos!$D$1:$D$724,$C2,Movimientos!$L$1:$L$724,A$5,Movimientos!$F$1:$F$724,"Ingreso")</f>
        <v>0</v>
      </c>
      <c r="U2" s="44">
        <f>SUMIFS(Movimientos!$J$1:$J$724,Movimientos!$C$1:$C$724,$B2,Movimientos!$D$1:$D$724,$C2,Movimientos!$L$1:$L$724,A$5,Movimientos!$F$1:$F$724,"Egreso")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2131475</v>
      </c>
      <c r="Q3" s="7">
        <f t="shared" ref="Q3:Q34" si="1">+O3-P3</f>
        <v>-2131475</v>
      </c>
      <c r="R3" s="12">
        <f>N3+O3-P3</f>
        <v>4122911.3599999994</v>
      </c>
      <c r="S3" s="5">
        <f>R3</f>
        <v>4122911.3599999994</v>
      </c>
      <c r="T3" s="44">
        <f>SUMIFS(Movimientos!$J$1:$J$724,Movimientos!$C$1:$C$724,$B3,Movimientos!$D$1:$D$724,$C3,Movimientos!$L$1:$L$724,A$5,Movimientos!$F$1:$F$724,"Ingreso")</f>
        <v>0</v>
      </c>
      <c r="U3" s="44">
        <f>SUMIFS(Movimientos!$J$1:$J$724,Movimientos!$C$1:$C$724,$B3,Movimientos!$D$1:$D$724,$C3,Movimientos!$L$1:$L$724,A$5,Movimientos!$F$1:$F$724,"Egreso")</f>
        <v>0</v>
      </c>
      <c r="V3" s="7">
        <f t="shared" ref="V3:V35" si="2">+T3-U3</f>
        <v>0</v>
      </c>
      <c r="W3" s="12">
        <f>S3+T3-U3</f>
        <v>4122911.3599999994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SUMIFS(Movimientos!$J$1:$J$724,Movimientos!$C$1:$C$724,$B4,Movimientos!$D$1:$D$724,$C4,Movimientos!$L$1:$L$724,A$5,Movimientos!$F$1:$F$724,"Ingreso")</f>
        <v>0</v>
      </c>
      <c r="U4" s="44">
        <f>SUMIFS(Movimientos!$J$1:$J$724,Movimientos!$C$1:$C$724,$B4,Movimientos!$D$1:$D$724,$C4,Movimientos!$L$1:$L$724,A$5,Movimientos!$F$1:$F$724,"Egreso")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SUMIFS(Movimientos!$J$1:$J$724,Movimientos!$C$1:$C$724,$B5,Movimientos!$D$1:$D$724,$C5,Movimientos!$L$1:$L$724,A$5,Movimientos!$F$1:$F$724,"Ingreso")</f>
        <v>0</v>
      </c>
      <c r="U5" s="44">
        <f>SUMIFS(Movimientos!$J$1:$J$724,Movimientos!$C$1:$C$724,$B5,Movimientos!$D$1:$D$724,$C5,Movimientos!$L$1:$L$724,A$5,Movimientos!$F$1:$F$724,"Egreso")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SUMIFS(Movimientos!$J$1:$J$724,Movimientos!$C$1:$C$724,$B6,Movimientos!$D$1:$D$724,$C6,Movimientos!$L$1:$L$724,A$5,Movimientos!$F$1:$F$724,"Ingreso")</f>
        <v>0</v>
      </c>
      <c r="U6" s="44">
        <f>SUMIFS(Movimientos!$J$1:$J$724,Movimientos!$C$1:$C$724,$B6,Movimientos!$D$1:$D$724,$C6,Movimientos!$L$1:$L$724,A$5,Movimientos!$F$1:$F$724,"Egreso")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SUMIFS(Movimientos!$J$1:$J$724,Movimientos!$C$1:$C$724,$B7,Movimientos!$D$1:$D$724,$C7,Movimientos!$L$1:$L$724,A$5,Movimientos!$F$1:$F$724,"Ingreso")</f>
        <v>0</v>
      </c>
      <c r="U7" s="44">
        <f>SUMIFS(Movimientos!$J$1:$J$724,Movimientos!$C$1:$C$724,$B7,Movimientos!$D$1:$D$724,$C7,Movimientos!$L$1:$L$724,A$5,Movimientos!$F$1:$F$724,"Egreso")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SUMIFS(Movimientos!$J$1:$J$724,Movimientos!$C$1:$C$724,$B8,Movimientos!$D$1:$D$724,$C8,Movimientos!$L$1:$L$724,A$4,Movimientos!$F$1:$F$724,"Ingreso")</f>
        <v>18190.75</v>
      </c>
      <c r="P8" s="44">
        <f>SUMIFS(Movimientos!$J$1:$J$724,Movimientos!$C$1:$C$724,$B8,Movimientos!$D$1:$D$724,$C8,Movimientos!$L$1:$L$724,A$4,Movimientos!$F$1:$F$724,"Egreso")</f>
        <v>217794.75</v>
      </c>
      <c r="Q8" s="7">
        <f t="shared" si="1"/>
        <v>-199604</v>
      </c>
      <c r="R8" s="12">
        <f t="shared" si="7"/>
        <v>290141.62999999966</v>
      </c>
      <c r="S8" s="5">
        <f t="shared" si="8"/>
        <v>290141.62999999966</v>
      </c>
      <c r="T8" s="44">
        <f>SUMIFS(Movimientos!$J$1:$J$724,Movimientos!$C$1:$C$724,$B8,Movimientos!$D$1:$D$724,$C8,Movimientos!$L$1:$L$724,A$5,Movimientos!$F$1:$F$724,"Ingreso")</f>
        <v>0</v>
      </c>
      <c r="U8" s="44">
        <f>SUMIFS(Movimientos!$J$1:$J$724,Movimientos!$C$1:$C$724,$B8,Movimientos!$D$1:$D$724,$C8,Movimientos!$L$1:$L$724,A$5,Movimientos!$F$1:$F$724,"Egreso")</f>
        <v>0</v>
      </c>
      <c r="V8" s="7">
        <f t="shared" si="2"/>
        <v>0</v>
      </c>
      <c r="W8" s="12">
        <f t="shared" si="9"/>
        <v>290141.62999999966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9933.8499999999985</v>
      </c>
      <c r="Q9" s="7">
        <f t="shared" si="1"/>
        <v>5346.3000000000011</v>
      </c>
      <c r="R9" s="12">
        <f t="shared" si="7"/>
        <v>13123.54</v>
      </c>
      <c r="S9" s="5">
        <f t="shared" si="8"/>
        <v>13123.54</v>
      </c>
      <c r="T9" s="44">
        <f>SUMIFS(Movimientos!$J$1:$J$724,Movimientos!$C$1:$C$724,$B9,Movimientos!$D$1:$D$724,$C9,Movimientos!$L$1:$L$724,A$5,Movimientos!$F$1:$F$724,"Ingreso")</f>
        <v>0</v>
      </c>
      <c r="U9" s="44">
        <f>SUMIFS(Movimientos!$J$1:$J$724,Movimientos!$C$1:$C$724,$B9,Movimientos!$D$1:$D$724,$C9,Movimientos!$L$1:$L$724,A$5,Movimientos!$F$1:$F$724,"Egreso")</f>
        <v>0</v>
      </c>
      <c r="V9" s="7">
        <f t="shared" si="2"/>
        <v>0</v>
      </c>
      <c r="W9" s="12">
        <f t="shared" si="9"/>
        <v>13123.54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7"/>
        <v>366.92</v>
      </c>
      <c r="S10" s="5">
        <f t="shared" si="8"/>
        <v>366.92</v>
      </c>
      <c r="T10" s="44">
        <f>SUMIFS(Movimientos!$J$1:$J$724,Movimientos!$C$1:$C$724,$B10,Movimientos!$D$1:$D$724,$C10,Movimientos!$L$1:$L$724,A$5,Movimientos!$F$1:$F$724,"Ingreso")</f>
        <v>0</v>
      </c>
      <c r="U10" s="44">
        <f>SUMIFS(Movimientos!$J$1:$J$724,Movimientos!$C$1:$C$724,$B10,Movimientos!$D$1:$D$724,$C10,Movimientos!$L$1:$L$724,A$5,Movimientos!$F$1:$F$724,"Egreso")</f>
        <v>0</v>
      </c>
      <c r="V10" s="7">
        <f t="shared" si="2"/>
        <v>0</v>
      </c>
      <c r="W10" s="12">
        <f t="shared" si="9"/>
        <v>366.92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SUMIFS(Movimientos!$J$1:$J$724,Movimientos!$C$1:$C$724,$B11,Movimientos!$D$1:$D$724,$C11,Movimientos!$L$1:$L$724,A$5,Movimientos!$F$1:$F$724,"Ingreso")</f>
        <v>0</v>
      </c>
      <c r="U11" s="44">
        <f>SUMIFS(Movimientos!$J$1:$J$724,Movimientos!$C$1:$C$724,$B11,Movimientos!$D$1:$D$724,$C11,Movimientos!$L$1:$L$724,A$5,Movimientos!$F$1:$F$724,"Egreso")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529878.76</v>
      </c>
      <c r="Q12" s="7">
        <f t="shared" si="1"/>
        <v>220121.24</v>
      </c>
      <c r="R12" s="12">
        <f t="shared" si="7"/>
        <v>1091819.9999999988</v>
      </c>
      <c r="S12" s="5">
        <f t="shared" si="8"/>
        <v>1091819.9999999988</v>
      </c>
      <c r="T12" s="44">
        <f>SUMIFS(Movimientos!$J$1:$J$724,Movimientos!$C$1:$C$724,$B12,Movimientos!$D$1:$D$724,$C12,Movimientos!$L$1:$L$724,A$5,Movimientos!$F$1:$F$724,"Ingreso")</f>
        <v>0</v>
      </c>
      <c r="U12" s="44">
        <f>SUMIFS(Movimientos!$J$1:$J$724,Movimientos!$C$1:$C$724,$B12,Movimientos!$D$1:$D$724,$C12,Movimientos!$L$1:$L$724,A$5,Movimientos!$F$1:$F$724,"Egreso")</f>
        <v>0</v>
      </c>
      <c r="V12" s="7">
        <f t="shared" si="2"/>
        <v>0</v>
      </c>
      <c r="W12" s="12">
        <f t="shared" si="9"/>
        <v>1091819.9999999988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SUMIFS(Movimientos!$J$1:$J$724,Movimientos!$C$1:$C$724,$B13,Movimientos!$D$1:$D$724,$C13,Movimientos!$L$1:$L$724,A$5,Movimientos!$F$1:$F$724,"Ingreso")</f>
        <v>0</v>
      </c>
      <c r="U13" s="44">
        <f>SUMIFS(Movimientos!$J$1:$J$724,Movimientos!$C$1:$C$724,$B13,Movimientos!$D$1:$D$724,$C13,Movimientos!$L$1:$L$724,A$5,Movimientos!$F$1:$F$724,"Egreso")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SUMIFS(Movimientos!$J$1:$J$724,Movimientos!$C$1:$C$724,$B14,Movimientos!$D$1:$D$724,$C14,Movimientos!$L$1:$L$724,A$5,Movimientos!$F$1:$F$724,"Ingreso")</f>
        <v>0</v>
      </c>
      <c r="U14" s="44">
        <f>SUMIFS(Movimientos!$J$1:$J$724,Movimientos!$C$1:$C$724,$B14,Movimientos!$D$1:$D$724,$C14,Movimientos!$L$1:$L$724,A$5,Movimientos!$F$1:$F$724,"Egreso")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SUMIFS(Movimientos!$J$1:$J$724,Movimientos!$C$1:$C$724,$B15,Movimientos!$D$1:$D$724,$C15,Movimientos!$L$1:$L$724,A$5,Movimientos!$F$1:$F$724,"Ingreso")</f>
        <v>0</v>
      </c>
      <c r="U15" s="44">
        <f>SUMIFS(Movimientos!$J$1:$J$724,Movimientos!$C$1:$C$724,$B15,Movimientos!$D$1:$D$724,$C15,Movimientos!$L$1:$L$724,A$5,Movimientos!$F$1:$F$724,"Egreso")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SUMIFS(Movimientos!$J$1:$J$724,Movimientos!$C$1:$C$724,$B16,Movimientos!$D$1:$D$724,$C16,Movimientos!$L$1:$L$724,A$5,Movimientos!$F$1:$F$724,"Ingreso")</f>
        <v>0</v>
      </c>
      <c r="U16" s="44">
        <f>SUMIFS(Movimientos!$J$1:$J$724,Movimientos!$C$1:$C$724,$B16,Movimientos!$D$1:$D$724,$C16,Movimientos!$L$1:$L$724,A$5,Movimientos!$F$1:$F$724,"Egreso")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SUMIFS(Movimientos!$J$1:$J$724,Movimientos!$C$1:$C$724,$B17,Movimientos!$D$1:$D$724,$C17,Movimientos!$L$1:$L$724,A$5,Movimientos!$F$1:$F$724,"Ingreso")</f>
        <v>0</v>
      </c>
      <c r="U17" s="44">
        <f>SUMIFS(Movimientos!$J$1:$J$724,Movimientos!$C$1:$C$724,$B17,Movimientos!$D$1:$D$724,$C17,Movimientos!$L$1:$L$724,A$5,Movimientos!$F$1:$F$724,"Egreso")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SUMIFS(Movimientos!$J$1:$J$724,Movimientos!$C$1:$C$724,$B18,Movimientos!$D$1:$D$724,$C18,Movimientos!$L$1:$L$724,A$5,Movimientos!$F$1:$F$724,"Ingreso")</f>
        <v>0</v>
      </c>
      <c r="U18" s="44">
        <f>SUMIFS(Movimientos!$J$1:$J$724,Movimientos!$C$1:$C$724,$B18,Movimientos!$D$1:$D$724,$C18,Movimientos!$L$1:$L$724,A$5,Movimientos!$F$1:$F$724,"Egreso")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SUMIFS(Movimientos!$J$1:$J$724,Movimientos!$C$1:$C$724,$B19,Movimientos!$D$1:$D$724,$C19,Movimientos!$L$1:$L$724,A$5,Movimientos!$F$1:$F$724,"Ingreso")</f>
        <v>0</v>
      </c>
      <c r="U19" s="44">
        <f>SUMIFS(Movimientos!$J$1:$J$724,Movimientos!$C$1:$C$724,$B19,Movimientos!$D$1:$D$724,$C19,Movimientos!$L$1:$L$724,A$5,Movimientos!$F$1:$F$724,"Egreso")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SUMIFS(Movimientos!$J$1:$J$724,Movimientos!$C$1:$C$724,$B20,Movimientos!$D$1:$D$724,$C20,Movimientos!$L$1:$L$724,A$5,Movimientos!$F$1:$F$724,"Ingreso")</f>
        <v>0</v>
      </c>
      <c r="U20" s="44">
        <f>SUMIFS(Movimientos!$J$1:$J$724,Movimientos!$C$1:$C$724,$B20,Movimientos!$D$1:$D$724,$C20,Movimientos!$L$1:$L$724,A$5,Movimientos!$F$1:$F$724,"Egreso")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SUMIFS(Movimientos!$J$1:$J$724,Movimientos!$C$1:$C$724,$B21,Movimientos!$D$1:$D$724,$C21,Movimientos!$L$1:$L$724,A$4,Movimientos!$F$1:$F$724,"Ingreso")</f>
        <v>14659.29</v>
      </c>
      <c r="P21" s="44">
        <f>SUMIFS(Movimientos!$J$1:$J$724,Movimientos!$C$1:$C$724,$B21,Movimientos!$D$1:$D$724,$C21,Movimientos!$L$1:$L$724,A$4,Movimientos!$F$1:$F$724,"Egreso")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SUMIFS(Movimientos!$J$1:$J$724,Movimientos!$C$1:$C$724,$B21,Movimientos!$D$1:$D$724,$C21,Movimientos!$L$1:$L$724,A$5,Movimientos!$F$1:$F$724,"Ingreso")</f>
        <v>0</v>
      </c>
      <c r="U21" s="44">
        <f>SUMIFS(Movimientos!$J$1:$J$724,Movimientos!$C$1:$C$724,$B21,Movimientos!$D$1:$D$724,$C21,Movimientos!$L$1:$L$724,A$5,Movimientos!$F$1:$F$724,"Egreso")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SUMIFS(Movimientos!$J$1:$J$724,Movimientos!$C$1:$C$724,$B22,Movimientos!$D$1:$D$724,$C22,Movimientos!$L$1:$L$724,A$5,Movimientos!$F$1:$F$724,"Ingreso")</f>
        <v>0</v>
      </c>
      <c r="U22" s="44">
        <f>SUMIFS(Movimientos!$J$1:$J$724,Movimientos!$C$1:$C$724,$B22,Movimientos!$D$1:$D$724,$C22,Movimientos!$L$1:$L$724,A$5,Movimientos!$F$1:$F$724,"Egreso")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SUMIFS(Movimientos!$J$1:$J$724,Movimientos!$C$1:$C$724,$B23,Movimientos!$D$1:$D$724,$C23,Movimientos!$L$1:$L$724,A$5,Movimientos!$F$1:$F$724,"Ingreso")</f>
        <v>0</v>
      </c>
      <c r="U23" s="44">
        <f>SUMIFS(Movimientos!$J$1:$J$724,Movimientos!$C$1:$C$724,$B23,Movimientos!$D$1:$D$724,$C23,Movimientos!$L$1:$L$724,A$5,Movimientos!$F$1:$F$724,"Egreso")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SUMIFS(Movimientos!$J$1:$J$724,Movimientos!$C$1:$C$724,$B24,Movimientos!$D$1:$D$724,$C24,Movimientos!$L$1:$L$724,A$4,Movimientos!$F$1:$F$724,"Ingreso")</f>
        <v>0</v>
      </c>
      <c r="P24" s="44">
        <f>SUMIFS(Movimientos!$J$1:$J$724,Movimientos!$C$1:$C$724,$B24,Movimientos!$D$1:$D$724,$C24,Movimientos!$L$1:$L$724,A$4,Movimientos!$F$1:$F$724,"Egreso")</f>
        <v>0</v>
      </c>
      <c r="Q24" s="7">
        <f t="shared" si="1"/>
        <v>0</v>
      </c>
      <c r="R24" s="12">
        <f t="shared" si="7"/>
        <v>3349.94</v>
      </c>
      <c r="S24" s="5">
        <f t="shared" si="8"/>
        <v>3349.94</v>
      </c>
      <c r="T24" s="44">
        <f>SUMIFS(Movimientos!$J$1:$J$724,Movimientos!$C$1:$C$724,$B24,Movimientos!$D$1:$D$724,$C24,Movimientos!$L$1:$L$724,A$5,Movimientos!$F$1:$F$724,"Ingreso")</f>
        <v>0</v>
      </c>
      <c r="U24" s="44">
        <f>SUMIFS(Movimientos!$J$1:$J$724,Movimientos!$C$1:$C$724,$B24,Movimientos!$D$1:$D$724,$C24,Movimientos!$L$1:$L$724,A$5,Movimientos!$F$1:$F$724,"Egreso")</f>
        <v>0</v>
      </c>
      <c r="V24" s="7">
        <f t="shared" si="2"/>
        <v>0</v>
      </c>
      <c r="W24" s="12">
        <f t="shared" si="9"/>
        <v>3349.94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SUMIFS(Movimientos!$J$1:$J$724,Movimientos!$C$1:$C$724,$B25,Movimientos!$D$1:$D$724,$C25,Movimientos!$L$1:$L$724,A$5,Movimientos!$F$1:$F$724,"Ingreso")</f>
        <v>0</v>
      </c>
      <c r="U25" s="44">
        <f>SUMIFS(Movimientos!$J$1:$J$724,Movimientos!$C$1:$C$724,$B25,Movimientos!$D$1:$D$724,$C25,Movimientos!$L$1:$L$724,A$5,Movimientos!$F$1:$F$724,"Egreso")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SUMIFS(Movimientos!$J$1:$J$724,Movimientos!$C$1:$C$724,$B26,Movimientos!$D$1:$D$724,$C26,Movimientos!$L$1:$L$724,A$5,Movimientos!$F$1:$F$724,"Ingreso")</f>
        <v>0</v>
      </c>
      <c r="U26" s="44">
        <f>SUMIFS(Movimientos!$J$1:$J$724,Movimientos!$C$1:$C$724,$B26,Movimientos!$D$1:$D$724,$C26,Movimientos!$L$1:$L$724,A$5,Movimientos!$F$1:$F$724,"Egreso")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SUMIFS(Movimientos!$J$1:$J$724,Movimientos!$C$1:$C$724,$B27,Movimientos!$D$1:$D$724,$C27,Movimientos!$L$1:$L$724,A$4,Movimientos!$F$1:$F$724,"Ingreso")</f>
        <v>518.65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SUMIFS(Movimientos!$J$1:$J$724,Movimientos!$C$1:$C$724,$B27,Movimientos!$D$1:$D$724,$C27,Movimientos!$L$1:$L$724,A$5,Movimientos!$F$1:$F$724,"Ingreso")</f>
        <v>0</v>
      </c>
      <c r="U27" s="44">
        <f>SUMIFS(Movimientos!$J$1:$J$724,Movimientos!$C$1:$C$724,$B27,Movimientos!$D$1:$D$724,$C27,Movimientos!$L$1:$L$724,A$5,Movimientos!$F$1:$F$724,"Egreso")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SUMIFS(Movimientos!$J$1:$J$724,Movimientos!$C$1:$C$724,$B28,Movimientos!$D$1:$D$724,$C28,Movimientos!$L$1:$L$724,A$5,Movimientos!$F$1:$F$724,"Ingreso")</f>
        <v>0</v>
      </c>
      <c r="U28" s="44">
        <f>SUMIFS(Movimientos!$J$1:$J$724,Movimientos!$C$1:$C$724,$B28,Movimientos!$D$1:$D$724,$C28,Movimientos!$L$1:$L$724,A$5,Movimientos!$F$1:$F$724,"Egreso")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8533.33</v>
      </c>
      <c r="Q29" s="7">
        <f t="shared" si="1"/>
        <v>-8533.33</v>
      </c>
      <c r="R29" s="12">
        <f t="shared" si="7"/>
        <v>22176.219999999965</v>
      </c>
      <c r="S29" s="5">
        <f t="shared" si="8"/>
        <v>22176.219999999965</v>
      </c>
      <c r="T29" s="44">
        <f>SUMIFS(Movimientos!$J$1:$J$724,Movimientos!$C$1:$C$724,$B29,Movimientos!$D$1:$D$724,$C29,Movimientos!$L$1:$L$724,A$5,Movimientos!$F$1:$F$724,"Ingreso")</f>
        <v>0</v>
      </c>
      <c r="U29" s="44">
        <f>SUMIFS(Movimientos!$J$1:$J$724,Movimientos!$C$1:$C$724,$B29,Movimientos!$D$1:$D$724,$C29,Movimientos!$L$1:$L$724,A$5,Movimientos!$F$1:$F$724,"Egreso")</f>
        <v>0</v>
      </c>
      <c r="V29" s="7">
        <f t="shared" si="2"/>
        <v>0</v>
      </c>
      <c r="W29" s="12">
        <f t="shared" si="9"/>
        <v>22176.219999999965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SUMIFS(Movimientos!$J$1:$J$724,Movimientos!$C$1:$C$724,$B30,Movimientos!$D$1:$D$724,$C30,Movimientos!$L$1:$L$724,A$5,Movimientos!$F$1:$F$724,"Ingreso")</f>
        <v>0</v>
      </c>
      <c r="U30" s="44">
        <f>SUMIFS(Movimientos!$J$1:$J$724,Movimientos!$C$1:$C$724,$B30,Movimientos!$D$1:$D$724,$C30,Movimientos!$L$1:$L$724,A$5,Movimientos!$F$1:$F$724,"Egreso")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7"/>
        <v>6522.8000000000011</v>
      </c>
      <c r="S31" s="5">
        <f t="shared" si="8"/>
        <v>6522.8000000000011</v>
      </c>
      <c r="T31" s="44">
        <f>SUMIFS(Movimientos!$J$1:$J$724,Movimientos!$C$1:$C$724,$B31,Movimientos!$D$1:$D$724,$C31,Movimientos!$L$1:$L$724,A$5,Movimientos!$F$1:$F$724,"Ingreso")</f>
        <v>0</v>
      </c>
      <c r="U31" s="44">
        <f>SUMIFS(Movimientos!$J$1:$J$724,Movimientos!$C$1:$C$724,$B31,Movimientos!$D$1:$D$724,$C31,Movimientos!$L$1:$L$724,A$5,Movimientos!$F$1:$F$724,"Egreso")</f>
        <v>0</v>
      </c>
      <c r="V31" s="7">
        <f t="shared" si="2"/>
        <v>0</v>
      </c>
      <c r="W31" s="12">
        <f t="shared" si="9"/>
        <v>6522.8000000000011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SUMIFS(Movimientos!$J$1:$J$724,Movimientos!$C$1:$C$724,$B32,Movimientos!$D$1:$D$724,$C32,Movimientos!$L$1:$L$724,A$5,Movimientos!$F$1:$F$724,"Ingreso")</f>
        <v>0</v>
      </c>
      <c r="U32" s="44">
        <f>SUMIFS(Movimientos!$J$1:$J$724,Movimientos!$C$1:$C$724,$B32,Movimientos!$D$1:$D$724,$C32,Movimientos!$L$1:$L$724,A$5,Movimientos!$F$1:$F$724,"Egreso")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SUMIFS(Movimientos!$J$1:$J$724,Movimientos!$C$1:$C$724,$B33,Movimientos!$D$1:$D$724,$C33,Movimientos!$L$1:$L$724,A$5,Movimientos!$F$1:$F$724,"Ingreso")</f>
        <v>0</v>
      </c>
      <c r="U33" s="44">
        <f>SUMIFS(Movimientos!$J$1:$J$724,Movimientos!$C$1:$C$724,$B33,Movimientos!$D$1:$D$724,$C33,Movimientos!$L$1:$L$724,A$5,Movimientos!$F$1:$F$724,"Egreso")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37839.189999999995</v>
      </c>
      <c r="Q34" s="7">
        <f t="shared" si="1"/>
        <v>2160.8100000000049</v>
      </c>
      <c r="R34" s="12">
        <f t="shared" si="7"/>
        <v>20740.239999999991</v>
      </c>
      <c r="S34" s="5">
        <f t="shared" si="8"/>
        <v>20740.239999999991</v>
      </c>
      <c r="T34" s="44">
        <f>SUMIFS(Movimientos!$J$1:$J$724,Movimientos!$C$1:$C$724,$B34,Movimientos!$D$1:$D$724,$C34,Movimientos!$L$1:$L$724,A$5,Movimientos!$F$1:$F$724,"Ingreso")</f>
        <v>0</v>
      </c>
      <c r="U34" s="44">
        <f>SUMIFS(Movimientos!$J$1:$J$724,Movimientos!$C$1:$C$724,$B34,Movimientos!$D$1:$D$724,$C34,Movimientos!$L$1:$L$724,A$5,Movimientos!$F$1:$F$724,"Egreso")</f>
        <v>0</v>
      </c>
      <c r="V34" s="7">
        <f t="shared" si="2"/>
        <v>0</v>
      </c>
      <c r="W34" s="12">
        <f t="shared" si="9"/>
        <v>20740.239999999991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SUMIFS(Movimientos!$J$1:$J$724,Movimientos!$C$1:$C$724,$B35,Movimientos!$D$1:$D$724,$C35,Movimientos!$L$1:$L$724,A$4,Movimientos!$F$1:$F$724,"Ingreso")</f>
        <v>2000</v>
      </c>
      <c r="P35" s="44">
        <f>SUMIFS(Movimientos!$J$1:$J$724,Movimientos!$C$1:$C$724,$B35,Movimientos!$D$1:$D$724,$C35,Movimientos!$L$1:$L$724,A$4,Movimientos!$F$1:$F$724,"Egreso")</f>
        <v>2835.35</v>
      </c>
      <c r="Q35" s="7">
        <f t="shared" ref="Q35" si="15">+O35-P35</f>
        <v>-835.34999999999991</v>
      </c>
      <c r="R35" s="12">
        <f t="shared" ref="R35" si="16">N35+O35-P35</f>
        <v>4458</v>
      </c>
      <c r="S35" s="5">
        <f t="shared" si="8"/>
        <v>4458</v>
      </c>
      <c r="T35" s="44">
        <f>SUMIFS(Movimientos!$J$1:$J$724,Movimientos!$C$1:$C$724,$B35,Movimientos!$D$1:$D$724,$C35,Movimientos!$L$1:$L$724,A$5,Movimientos!$F$1:$F$724,"Ingreso")</f>
        <v>0</v>
      </c>
      <c r="U35" s="44">
        <f>SUMIFS(Movimientos!$J$1:$J$724,Movimientos!$C$1:$C$724,$B35,Movimientos!$D$1:$D$724,$C35,Movimientos!$L$1:$L$724,A$5,Movimientos!$F$1:$F$724,"Egreso")</f>
        <v>0</v>
      </c>
      <c r="V35" s="7">
        <f t="shared" si="2"/>
        <v>0</v>
      </c>
      <c r="W35" s="12">
        <f t="shared" si="9"/>
        <v>4458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5"/>
  <sheetViews>
    <sheetView showGridLines="0" zoomScale="80" zoomScaleNormal="80" workbookViewId="0">
      <pane xSplit="2" ySplit="1" topLeftCell="K62" activePane="bottomRight" state="frozen"/>
      <selection pane="topRight" activeCell="C1" sqref="C1"/>
      <selection pane="bottomLeft" activeCell="A2" sqref="A2"/>
      <selection pane="bottomRight" activeCell="U1" sqref="U1:U104857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1.664062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9.77734375" bestFit="1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511.15999999999985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511.15999999999985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511.15999999999985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511.15999999999985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511.15999999999985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511.15999999999985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511.15999999999985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511.15999999999985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511.15999999999985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511.15999999999985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511.15999999999985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511.15999999999985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511.15999999999985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511.15999999999985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511.15999999999985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511.15999999999985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511.15999999999985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511.15999999999985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511.15999999999985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511.15999999999985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511.15999999999985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511.15999999999985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511.15999999999985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511.15999999999985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511.15999999999985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511.15999999999985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511.15999999999985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75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511.15999999999985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511.15999999999985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511.15999999999985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511.15999999999985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511.15999999999985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471.15999999999985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471.15999999999985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471.15999999999985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471.15999999999985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471.15999999999985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471.15999999999985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3349.94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14498.59</v>
      </c>
      <c r="V70" s="25">
        <f t="shared" si="15"/>
        <v>8161949.2100000018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15130.45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3349.94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31900.120000000003</v>
      </c>
      <c r="V71" s="25">
        <f t="shared" si="15"/>
        <v>7261283.4600000018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Group")+SUMIFS(Movimientos!$K$1:$K$724,Movimientos!$C$1:$C$724,"CFT Group",Movimientos!$B$1:$B$724,"&lt;="&amp;$B72)</f>
        <v>4163755.7500000005</v>
      </c>
      <c r="D72" s="24">
        <f>SUMIFS('Saldos Iniciales'!$D:$D,'Saldos Iniciales'!$A:$A,"M1B")+SUMIFS(Movimientos!$K$1:$K$724,Movimientos!$C$1:$C$724,"M1B",Movimientos!$B$1:$B$724,"&lt;="&amp;$B72)</f>
        <v>73157.680000000168</v>
      </c>
      <c r="E72" s="24">
        <f>SUMIFS('Saldos Iniciales'!$D:$D,'Saldos Iniciales'!$A:$A,"Durand")+SUMIFS(Movimientos!$K$1:$K$724,Movimientos!$C$1:$C$724,"Durand",Movimientos!$B$1:$B$724,"&lt;="&amp;$B72)</f>
        <v>1669.89</v>
      </c>
      <c r="F72" s="24">
        <f>SUMIFS('Saldos Iniciales'!$D:$D,'Saldos Iniciales'!$A:$A,"A&amp;M Imports")+SUMIFS(Movimientos!$K$1:$K$724,Movimientos!$C$1:$C$724,"A&amp;M Imports",Movimientos!$B$1:$B$724,"&lt;="&amp;$B72)</f>
        <v>290141.62999999989</v>
      </c>
      <c r="G72" s="24">
        <f>SUMIFS('Saldos Iniciales'!$D:$D,'Saldos Iniciales'!$A:$A,"SSP Capital")+SUMIFS(Movimientos!$K$1:$K$724,Movimientos!$C$1:$C$724,"SSP Capital",Movimientos!$B$1:$B$724,"&lt;="&amp;$B72)</f>
        <v>1921752.2699999993</v>
      </c>
      <c r="H72" s="24">
        <f>SUMIFS('Saldos Iniciales'!$D:$D,'Saldos Iniciales'!$A:$A,"Cross Family Trust")+SUMIFS(Movimientos!$K$1:$K$724,Movimientos!$C$1:$C$724,"Cross Family Trust",Movimientos!$B$1:$B$724,"&lt;="&amp;$B72)</f>
        <v>200496.38</v>
      </c>
      <c r="I72" s="24">
        <f>SUMIFS('Saldos Iniciales'!$D:$D,'Saldos Iniciales'!$A:$A,"Cross Security Trust")+SUMIFS(Movimientos!$K$1:$K$724,Movimientos!$C$1:$C$724,"Cross Security Trust",Movimientos!$B$1:$B$724,"&lt;="&amp;$B72)</f>
        <v>88090.37</v>
      </c>
      <c r="J72" s="24">
        <f>SUMIFS('Saldos Iniciales'!$D:$D,'Saldos Iniciales'!$A:$A,"Electrama")+SUMIFS(Movimientos!$K$1:$K$724,Movimientos!$C$1:$C$724,"Electrama",Movimientos!$B$1:$B$724,"&lt;="&amp;$B72)</f>
        <v>14580.45</v>
      </c>
      <c r="K72" s="24">
        <f>SUMIFS('Saldos Iniciales'!$D:$D,'Saldos Iniciales'!$A:$A,"Sacred Valley Capital")+SUMIFS(Movimientos!$K$1:$K$724,Movimientos!$C$1:$C$724,"Sacred Valley Capital",Movimientos!$B$1:$B$724,"&lt;="&amp;$B72)</f>
        <v>54.400000000000006</v>
      </c>
      <c r="L72" s="24">
        <f>SUMIFS('Saldos Iniciales'!$D:$D,'Saldos Iniciales'!$A:$A,"YWC Capital")+SUMIFS(Movimientos!$K$1:$K$724,Movimientos!$C$1:$C$724,"YWC Capital",Movimientos!$B$1:$B$724,"&lt;="&amp;$B72)</f>
        <v>2207.8200000000002</v>
      </c>
      <c r="M72" s="24">
        <f>SUMIFS('Saldos Iniciales'!$D:$D,'Saldos Iniciales'!$A:$A,"Soweto")+SUMIFS(Movimientos!$K$1:$K$724,Movimientos!$C$1:$C$724,"Soweto",Movimientos!$B$1:$B$724,"&lt;="&amp;$B72)</f>
        <v>3349.94</v>
      </c>
      <c r="N72" s="24">
        <f>SUMIFS('Saldos Iniciales'!$D:$D,'Saldos Iniciales'!$A:$A,"Green Stone Trust")+SUMIFS(Movimientos!$K$1:$K$724,Movimientos!$C$1:$C$724,"Green Stone Trust",Movimientos!$B$1:$B$724,"&lt;="&amp;$B72)</f>
        <v>1968.99</v>
      </c>
      <c r="O72" s="24">
        <f>SUMIFS('Saldos Iniciales'!$D:$D,'Saldos Iniciales'!$A:$A,"EC Auto")+SUMIFS(Movimientos!$K$1:$K$724,Movimientos!$C$1:$C$724,"EC Auto",Movimientos!$B$1:$B$724,"&lt;="&amp;$B72)</f>
        <v>382.69000000000005</v>
      </c>
      <c r="P72" s="24">
        <f>SUMIFS('Saldos Iniciales'!$D:$D,'Saldos Iniciales'!$A:$A,"Arbor Capital Properties")+SUMIFS(Movimientos!$K$1:$K$724,Movimientos!$C$1:$C$724,"Arbor Capital Properties",Movimientos!$B$1:$B$724,"&lt;="&amp;$B72)</f>
        <v>1412.08</v>
      </c>
      <c r="Q72" s="24">
        <f>SUMIFS('Saldos Iniciales'!$D:$D,'Saldos Iniciales'!$A:$A,"2515 Overbrook")+SUMIFS(Movimientos!$K$1:$K$724,Movimientos!$C$1:$C$724,"2515 Overbrook",Movimientos!$B$1:$B$724,"&lt;="&amp;$B72)</f>
        <v>22496.639999999959</v>
      </c>
      <c r="R72" s="24">
        <f>SUMIFS('Saldos Iniciales'!$D:$D,'Saldos Iniciales'!$A:$A,"112 Florida Ave")+SUMIFS(Movimientos!$K$1:$K$724,Movimientos!$C$1:$C$724,"112 Florida Ave",Movimientos!$B$1:$B$724,"&lt;="&amp;$B72)</f>
        <v>6522.8000000000029</v>
      </c>
      <c r="S72" s="24">
        <f>SUMIFS('Saldos Iniciales'!$D:$D,'Saldos Iniciales'!$A:$A,"3628 Thomas Ave")+SUMIFS(Movimientos!$K$1:$K$724,Movimientos!$C$1:$C$724,"3628 Thomas Ave",Movimientos!$B$1:$B$724,"&lt;="&amp;$B72)</f>
        <v>24085.559999999998</v>
      </c>
      <c r="T72" s="24">
        <f>SUMIFS('Saldos Iniciales'!$D:$D,'Saldos Iniciales'!$A:$A,"Green Harbor Trust")+SUMIFS(Movimientos!$K$1:$K$724,Movimientos!$C$1:$C$724,"Green Harbor Trust",Movimientos!$B$1:$B$724,"&lt;="&amp;$B72)</f>
        <v>345</v>
      </c>
      <c r="U72" s="24">
        <f>SUMIFS('Saldos Iniciales'!$D:$D,'Saldos Iniciales'!$A:$A,"Go Blue")+SUMIFS(Movimientos!$K$1:$K$724,Movimientos!$C$1:$C$724,"Go Blue",Movimientos!$B$1:$B$724,"&lt;="&amp;$B72)</f>
        <v>31900.120000000003</v>
      </c>
      <c r="V72" s="25">
        <f t="shared" ref="V72:V74" si="16">SUM(C72:U72)</f>
        <v>6848370.4600000009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Group")+SUMIFS(Movimientos!$K$1:$K$724,Movimientos!$C$1:$C$724,"CFT Group",Movimientos!$B$1:$B$724,"&lt;="&amp;$B73)</f>
        <v>4163755.7500000005</v>
      </c>
      <c r="D73" s="24">
        <f>SUMIFS('Saldos Iniciales'!$D:$D,'Saldos Iniciales'!$A:$A,"M1B")+SUMIFS(Movimientos!$K$1:$K$724,Movimientos!$C$1:$C$724,"M1B",Movimientos!$B$1:$B$724,"&lt;="&amp;$B73)</f>
        <v>73157.680000000168</v>
      </c>
      <c r="E73" s="24">
        <f>SUMIFS('Saldos Iniciales'!$D:$D,'Saldos Iniciales'!$A:$A,"Durand")+SUMIFS(Movimientos!$K$1:$K$724,Movimientos!$C$1:$C$724,"Durand",Movimientos!$B$1:$B$724,"&lt;="&amp;$B73)</f>
        <v>1669.89</v>
      </c>
      <c r="F73" s="24">
        <f>SUMIFS('Saldos Iniciales'!$D:$D,'Saldos Iniciales'!$A:$A,"A&amp;M Imports")+SUMIFS(Movimientos!$K$1:$K$724,Movimientos!$C$1:$C$724,"A&amp;M Imports",Movimientos!$B$1:$B$724,"&lt;="&amp;$B73)</f>
        <v>290141.62999999989</v>
      </c>
      <c r="G73" s="24">
        <f>SUMIFS('Saldos Iniciales'!$D:$D,'Saldos Iniciales'!$A:$A,"SSP Capital")+SUMIFS(Movimientos!$K$1:$K$724,Movimientos!$C$1:$C$724,"SSP Capital",Movimientos!$B$1:$B$724,"&lt;="&amp;$B73)</f>
        <v>1921752.2699999993</v>
      </c>
      <c r="H73" s="24">
        <f>SUMIFS('Saldos Iniciales'!$D:$D,'Saldos Iniciales'!$A:$A,"Cross Family Trust")+SUMIFS(Movimientos!$K$1:$K$724,Movimientos!$C$1:$C$724,"Cross Family Trust",Movimientos!$B$1:$B$724,"&lt;="&amp;$B73)</f>
        <v>200496.38</v>
      </c>
      <c r="I73" s="24">
        <f>SUMIFS('Saldos Iniciales'!$D:$D,'Saldos Iniciales'!$A:$A,"Cross Security Trust")+SUMIFS(Movimientos!$K$1:$K$724,Movimientos!$C$1:$C$724,"Cross Security Trust",Movimientos!$B$1:$B$724,"&lt;="&amp;$B73)</f>
        <v>88090.37</v>
      </c>
      <c r="J73" s="24">
        <f>SUMIFS('Saldos Iniciales'!$D:$D,'Saldos Iniciales'!$A:$A,"Electrama")+SUMIFS(Movimientos!$K$1:$K$724,Movimientos!$C$1:$C$724,"Electrama",Movimientos!$B$1:$B$724,"&lt;="&amp;$B73)</f>
        <v>14580.45</v>
      </c>
      <c r="K73" s="24">
        <f>SUMIFS('Saldos Iniciales'!$D:$D,'Saldos Iniciales'!$A:$A,"Sacred Valley Capital")+SUMIFS(Movimientos!$K$1:$K$724,Movimientos!$C$1:$C$724,"Sacred Valley Capital",Movimientos!$B$1:$B$724,"&lt;="&amp;$B73)</f>
        <v>54.400000000000006</v>
      </c>
      <c r="L73" s="24">
        <f>SUMIFS('Saldos Iniciales'!$D:$D,'Saldos Iniciales'!$A:$A,"YWC Capital")+SUMIFS(Movimientos!$K$1:$K$724,Movimientos!$C$1:$C$724,"YWC Capital",Movimientos!$B$1:$B$724,"&lt;="&amp;$B73)</f>
        <v>2207.8200000000002</v>
      </c>
      <c r="M73" s="24">
        <f>SUMIFS('Saldos Iniciales'!$D:$D,'Saldos Iniciales'!$A:$A,"Soweto")+SUMIFS(Movimientos!$K$1:$K$724,Movimientos!$C$1:$C$724,"Soweto",Movimientos!$B$1:$B$724,"&lt;="&amp;$B73)</f>
        <v>3349.94</v>
      </c>
      <c r="N73" s="24">
        <f>SUMIFS('Saldos Iniciales'!$D:$D,'Saldos Iniciales'!$A:$A,"Green Stone Trust")+SUMIFS(Movimientos!$K$1:$K$724,Movimientos!$C$1:$C$724,"Green Stone Trust",Movimientos!$B$1:$B$724,"&lt;="&amp;$B73)</f>
        <v>1968.99</v>
      </c>
      <c r="O73" s="24">
        <f>SUMIFS('Saldos Iniciales'!$D:$D,'Saldos Iniciales'!$A:$A,"EC Auto")+SUMIFS(Movimientos!$K$1:$K$724,Movimientos!$C$1:$C$724,"EC Auto",Movimientos!$B$1:$B$724,"&lt;="&amp;$B73)</f>
        <v>382.69000000000005</v>
      </c>
      <c r="P73" s="24">
        <f>SUMIFS('Saldos Iniciales'!$D:$D,'Saldos Iniciales'!$A:$A,"Arbor Capital Properties")+SUMIFS(Movimientos!$K$1:$K$724,Movimientos!$C$1:$C$724,"Arbor Capital Properties",Movimientos!$B$1:$B$724,"&lt;="&amp;$B73)</f>
        <v>1412.08</v>
      </c>
      <c r="Q73" s="24">
        <f>SUMIFS('Saldos Iniciales'!$D:$D,'Saldos Iniciales'!$A:$A,"2515 Overbrook")+SUMIFS(Movimientos!$K$1:$K$724,Movimientos!$C$1:$C$724,"2515 Overbrook",Movimientos!$B$1:$B$724,"&lt;="&amp;$B73)</f>
        <v>22496.639999999959</v>
      </c>
      <c r="R73" s="24">
        <f>SUMIFS('Saldos Iniciales'!$D:$D,'Saldos Iniciales'!$A:$A,"112 Florida Ave")+SUMIFS(Movimientos!$K$1:$K$724,Movimientos!$C$1:$C$724,"112 Florida Ave",Movimientos!$B$1:$B$724,"&lt;="&amp;$B73)</f>
        <v>6522.8000000000029</v>
      </c>
      <c r="S73" s="24">
        <f>SUMIFS('Saldos Iniciales'!$D:$D,'Saldos Iniciales'!$A:$A,"3628 Thomas Ave")+SUMIFS(Movimientos!$K$1:$K$724,Movimientos!$C$1:$C$724,"3628 Thomas Ave",Movimientos!$B$1:$B$724,"&lt;="&amp;$B73)</f>
        <v>24085.559999999998</v>
      </c>
      <c r="T73" s="24">
        <f>SUMIFS('Saldos Iniciales'!$D:$D,'Saldos Iniciales'!$A:$A,"Green Harbor Trust")+SUMIFS(Movimientos!$K$1:$K$724,Movimientos!$C$1:$C$724,"Green Harbor Trust",Movimientos!$B$1:$B$724,"&lt;="&amp;$B73)</f>
        <v>345</v>
      </c>
      <c r="U73" s="24">
        <f>SUMIFS('Saldos Iniciales'!$D:$D,'Saldos Iniciales'!$A:$A,"Go Blue")+SUMIFS(Movimientos!$K$1:$K$724,Movimientos!$C$1:$C$724,"Go Blue",Movimientos!$B$1:$B$724,"&lt;="&amp;$B73)</f>
        <v>31900.120000000003</v>
      </c>
      <c r="V73" s="25">
        <f t="shared" si="16"/>
        <v>6848370.4600000009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Group")+SUMIFS(Movimientos!$K$1:$K$724,Movimientos!$C$1:$C$724,"CFT Group",Movimientos!$B$1:$B$724,"&lt;="&amp;$B74)</f>
        <v>4163755.7500000005</v>
      </c>
      <c r="D74" s="24">
        <f>SUMIFS('Saldos Iniciales'!$D:$D,'Saldos Iniciales'!$A:$A,"M1B")+SUMIFS(Movimientos!$K$1:$K$724,Movimientos!$C$1:$C$724,"M1B",Movimientos!$B$1:$B$724,"&lt;="&amp;$B74)</f>
        <v>73157.680000000168</v>
      </c>
      <c r="E74" s="24">
        <f>SUMIFS('Saldos Iniciales'!$D:$D,'Saldos Iniciales'!$A:$A,"Durand")+SUMIFS(Movimientos!$K$1:$K$724,Movimientos!$C$1:$C$724,"Durand",Movimientos!$B$1:$B$724,"&lt;="&amp;$B74)</f>
        <v>1669.89</v>
      </c>
      <c r="F74" s="24">
        <f>SUMIFS('Saldos Iniciales'!$D:$D,'Saldos Iniciales'!$A:$A,"A&amp;M Imports")+SUMIFS(Movimientos!$K$1:$K$724,Movimientos!$C$1:$C$724,"A&amp;M Imports",Movimientos!$B$1:$B$724,"&lt;="&amp;$B74)</f>
        <v>290141.62999999989</v>
      </c>
      <c r="G74" s="24">
        <f>SUMIFS('Saldos Iniciales'!$D:$D,'Saldos Iniciales'!$A:$A,"SSP Capital")+SUMIFS(Movimientos!$K$1:$K$724,Movimientos!$C$1:$C$724,"SSP Capital",Movimientos!$B$1:$B$724,"&lt;="&amp;$B74)</f>
        <v>1921752.2699999993</v>
      </c>
      <c r="H74" s="24">
        <f>SUMIFS('Saldos Iniciales'!$D:$D,'Saldos Iniciales'!$A:$A,"Cross Family Trust")+SUMIFS(Movimientos!$K$1:$K$724,Movimientos!$C$1:$C$724,"Cross Family Trust",Movimientos!$B$1:$B$724,"&lt;="&amp;$B74)</f>
        <v>200496.38</v>
      </c>
      <c r="I74" s="24">
        <f>SUMIFS('Saldos Iniciales'!$D:$D,'Saldos Iniciales'!$A:$A,"Cross Security Trust")+SUMIFS(Movimientos!$K$1:$K$724,Movimientos!$C$1:$C$724,"Cross Security Trust",Movimientos!$B$1:$B$724,"&lt;="&amp;$B74)</f>
        <v>88090.37</v>
      </c>
      <c r="J74" s="24">
        <f>SUMIFS('Saldos Iniciales'!$D:$D,'Saldos Iniciales'!$A:$A,"Electrama")+SUMIFS(Movimientos!$K$1:$K$724,Movimientos!$C$1:$C$724,"Electrama",Movimientos!$B$1:$B$724,"&lt;="&amp;$B74)</f>
        <v>14580.45</v>
      </c>
      <c r="K74" s="24">
        <f>SUMIFS('Saldos Iniciales'!$D:$D,'Saldos Iniciales'!$A:$A,"Sacred Valley Capital")+SUMIFS(Movimientos!$K$1:$K$724,Movimientos!$C$1:$C$724,"Sacred Valley Capital",Movimientos!$B$1:$B$724,"&lt;="&amp;$B74)</f>
        <v>54.400000000000006</v>
      </c>
      <c r="L74" s="24">
        <f>SUMIFS('Saldos Iniciales'!$D:$D,'Saldos Iniciales'!$A:$A,"YWC Capital")+SUMIFS(Movimientos!$K$1:$K$724,Movimientos!$C$1:$C$724,"YWC Capital",Movimientos!$B$1:$B$724,"&lt;="&amp;$B74)</f>
        <v>2207.8200000000002</v>
      </c>
      <c r="M74" s="24">
        <f>SUMIFS('Saldos Iniciales'!$D:$D,'Saldos Iniciales'!$A:$A,"Soweto")+SUMIFS(Movimientos!$K$1:$K$724,Movimientos!$C$1:$C$724,"Soweto",Movimientos!$B$1:$B$724,"&lt;="&amp;$B74)</f>
        <v>3349.94</v>
      </c>
      <c r="N74" s="24">
        <f>SUMIFS('Saldos Iniciales'!$D:$D,'Saldos Iniciales'!$A:$A,"Green Stone Trust")+SUMIFS(Movimientos!$K$1:$K$724,Movimientos!$C$1:$C$724,"Green Stone Trust",Movimientos!$B$1:$B$724,"&lt;="&amp;$B74)</f>
        <v>1968.99</v>
      </c>
      <c r="O74" s="24">
        <f>SUMIFS('Saldos Iniciales'!$D:$D,'Saldos Iniciales'!$A:$A,"EC Auto")+SUMIFS(Movimientos!$K$1:$K$724,Movimientos!$C$1:$C$724,"EC Auto",Movimientos!$B$1:$B$724,"&lt;="&amp;$B74)</f>
        <v>382.69000000000005</v>
      </c>
      <c r="P74" s="24">
        <f>SUMIFS('Saldos Iniciales'!$D:$D,'Saldos Iniciales'!$A:$A,"Arbor Capital Properties")+SUMIFS(Movimientos!$K$1:$K$724,Movimientos!$C$1:$C$724,"Arbor Capital Properties",Movimientos!$B$1:$B$724,"&lt;="&amp;$B74)</f>
        <v>1412.08</v>
      </c>
      <c r="Q74" s="24">
        <f>SUMIFS('Saldos Iniciales'!$D:$D,'Saldos Iniciales'!$A:$A,"2515 Overbrook")+SUMIFS(Movimientos!$K$1:$K$724,Movimientos!$C$1:$C$724,"2515 Overbrook",Movimientos!$B$1:$B$724,"&lt;="&amp;$B74)</f>
        <v>22496.639999999959</v>
      </c>
      <c r="R74" s="24">
        <f>SUMIFS('Saldos Iniciales'!$D:$D,'Saldos Iniciales'!$A:$A,"112 Florida Ave")+SUMIFS(Movimientos!$K$1:$K$724,Movimientos!$C$1:$C$724,"112 Florida Ave",Movimientos!$B$1:$B$724,"&lt;="&amp;$B74)</f>
        <v>6522.8000000000029</v>
      </c>
      <c r="S74" s="24">
        <f>SUMIFS('Saldos Iniciales'!$D:$D,'Saldos Iniciales'!$A:$A,"3628 Thomas Ave")+SUMIFS(Movimientos!$K$1:$K$724,Movimientos!$C$1:$C$724,"3628 Thomas Ave",Movimientos!$B$1:$B$724,"&lt;="&amp;$B74)</f>
        <v>24085.559999999998</v>
      </c>
      <c r="T74" s="24">
        <f>SUMIFS('Saldos Iniciales'!$D:$D,'Saldos Iniciales'!$A:$A,"Green Harbor Trust")+SUMIFS(Movimientos!$K$1:$K$724,Movimientos!$C$1:$C$724,"Green Harbor Trust",Movimientos!$B$1:$B$724,"&lt;="&amp;$B74)</f>
        <v>345</v>
      </c>
      <c r="U74" s="24">
        <f>SUMIFS('Saldos Iniciales'!$D:$D,'Saldos Iniciales'!$A:$A,"Go Blue")+SUMIFS(Movimientos!$K$1:$K$724,Movimientos!$C$1:$C$724,"Go Blue",Movimientos!$B$1:$B$724,"&lt;="&amp;$B74)</f>
        <v>31900.120000000003</v>
      </c>
      <c r="V74" s="25">
        <f t="shared" si="16"/>
        <v>6848370.4600000009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Group")+SUMIFS(Movimientos!$K$1:$K$724,Movimientos!$C$1:$C$724,"CFT Group",Movimientos!$B$1:$B$724,"&lt;="&amp;$B75)</f>
        <v>4163755.7500000005</v>
      </c>
      <c r="D75" s="24">
        <f>SUMIFS('Saldos Iniciales'!$D:$D,'Saldos Iniciales'!$A:$A,"M1B")+SUMIFS(Movimientos!$K$1:$K$724,Movimientos!$C$1:$C$724,"M1B",Movimientos!$B$1:$B$724,"&lt;="&amp;$B75)</f>
        <v>73157.680000000168</v>
      </c>
      <c r="E75" s="24">
        <f>SUMIFS('Saldos Iniciales'!$D:$D,'Saldos Iniciales'!$A:$A,"Durand")+SUMIFS(Movimientos!$K$1:$K$724,Movimientos!$C$1:$C$724,"Durand",Movimientos!$B$1:$B$724,"&lt;="&amp;$B75)</f>
        <v>1669.89</v>
      </c>
      <c r="F75" s="24">
        <f>SUMIFS('Saldos Iniciales'!$D:$D,'Saldos Iniciales'!$A:$A,"A&amp;M Imports")+SUMIFS(Movimientos!$K$1:$K$724,Movimientos!$C$1:$C$724,"A&amp;M Imports",Movimientos!$B$1:$B$724,"&lt;="&amp;$B75)</f>
        <v>290141.62999999989</v>
      </c>
      <c r="G75" s="24">
        <f>SUMIFS('Saldos Iniciales'!$D:$D,'Saldos Iniciales'!$A:$A,"SSP Capital")+SUMIFS(Movimientos!$K$1:$K$724,Movimientos!$C$1:$C$724,"SSP Capital",Movimientos!$B$1:$B$724,"&lt;="&amp;$B75)</f>
        <v>1921752.2699999993</v>
      </c>
      <c r="H75" s="24">
        <f>SUMIFS('Saldos Iniciales'!$D:$D,'Saldos Iniciales'!$A:$A,"Cross Family Trust")+SUMIFS(Movimientos!$K$1:$K$724,Movimientos!$C$1:$C$724,"Cross Family Trust",Movimientos!$B$1:$B$724,"&lt;="&amp;$B75)</f>
        <v>200496.38</v>
      </c>
      <c r="I75" s="24">
        <f>SUMIFS('Saldos Iniciales'!$D:$D,'Saldos Iniciales'!$A:$A,"Cross Security Trust")+SUMIFS(Movimientos!$K$1:$K$724,Movimientos!$C$1:$C$724,"Cross Security Trust",Movimientos!$B$1:$B$724,"&lt;="&amp;$B75)</f>
        <v>88090.37</v>
      </c>
      <c r="J75" s="24">
        <f>SUMIFS('Saldos Iniciales'!$D:$D,'Saldos Iniciales'!$A:$A,"Electrama")+SUMIFS(Movimientos!$K$1:$K$724,Movimientos!$C$1:$C$724,"Electrama",Movimientos!$B$1:$B$724,"&lt;="&amp;$B75)</f>
        <v>14580.45</v>
      </c>
      <c r="K75" s="24">
        <f>SUMIFS('Saldos Iniciales'!$D:$D,'Saldos Iniciales'!$A:$A,"Sacred Valley Capital")+SUMIFS(Movimientos!$K$1:$K$724,Movimientos!$C$1:$C$724,"Sacred Valley Capital",Movimientos!$B$1:$B$724,"&lt;="&amp;$B75)</f>
        <v>54.400000000000006</v>
      </c>
      <c r="L75" s="24">
        <f>SUMIFS('Saldos Iniciales'!$D:$D,'Saldos Iniciales'!$A:$A,"YWC Capital")+SUMIFS(Movimientos!$K$1:$K$724,Movimientos!$C$1:$C$724,"YWC Capital",Movimientos!$B$1:$B$724,"&lt;="&amp;$B75)</f>
        <v>2207.8200000000002</v>
      </c>
      <c r="M75" s="24">
        <f>SUMIFS('Saldos Iniciales'!$D:$D,'Saldos Iniciales'!$A:$A,"Soweto")+SUMIFS(Movimientos!$K$1:$K$724,Movimientos!$C$1:$C$724,"Soweto",Movimientos!$B$1:$B$724,"&lt;="&amp;$B75)</f>
        <v>3349.94</v>
      </c>
      <c r="N75" s="24">
        <f>SUMIFS('Saldos Iniciales'!$D:$D,'Saldos Iniciales'!$A:$A,"Green Stone Trust")+SUMIFS(Movimientos!$K$1:$K$724,Movimientos!$C$1:$C$724,"Green Stone Trust",Movimientos!$B$1:$B$724,"&lt;="&amp;$B75)</f>
        <v>1968.99</v>
      </c>
      <c r="O75" s="24">
        <f>SUMIFS('Saldos Iniciales'!$D:$D,'Saldos Iniciales'!$A:$A,"EC Auto")+SUMIFS(Movimientos!$K$1:$K$724,Movimientos!$C$1:$C$724,"EC Auto",Movimientos!$B$1:$B$724,"&lt;="&amp;$B75)</f>
        <v>901.34</v>
      </c>
      <c r="P75" s="24">
        <f>SUMIFS('Saldos Iniciales'!$D:$D,'Saldos Iniciales'!$A:$A,"Arbor Capital Properties")+SUMIFS(Movimientos!$K$1:$K$724,Movimientos!$C$1:$C$724,"Arbor Capital Properties",Movimientos!$B$1:$B$724,"&lt;="&amp;$B75)</f>
        <v>1412.08</v>
      </c>
      <c r="Q75" s="24">
        <f>SUMIFS('Saldos Iniciales'!$D:$D,'Saldos Iniciales'!$A:$A,"2515 Overbrook")+SUMIFS(Movimientos!$K$1:$K$724,Movimientos!$C$1:$C$724,"2515 Overbrook",Movimientos!$B$1:$B$724,"&lt;="&amp;$B75)</f>
        <v>22496.639999999959</v>
      </c>
      <c r="R75" s="24">
        <f>SUMIFS('Saldos Iniciales'!$D:$D,'Saldos Iniciales'!$A:$A,"112 Florida Ave")+SUMIFS(Movimientos!$K$1:$K$724,Movimientos!$C$1:$C$724,"112 Florida Ave",Movimientos!$B$1:$B$724,"&lt;="&amp;$B75)</f>
        <v>6522.8000000000029</v>
      </c>
      <c r="S75" s="24">
        <f>SUMIFS('Saldos Iniciales'!$D:$D,'Saldos Iniciales'!$A:$A,"3628 Thomas Ave")+SUMIFS(Movimientos!$K$1:$K$724,Movimientos!$C$1:$C$724,"3628 Thomas Ave",Movimientos!$B$1:$B$724,"&lt;="&amp;$B75)</f>
        <v>24085.559999999998</v>
      </c>
      <c r="T75" s="24">
        <f>SUMIFS('Saldos Iniciales'!$D:$D,'Saldos Iniciales'!$A:$A,"Green Harbor Trust")+SUMIFS(Movimientos!$K$1:$K$724,Movimientos!$C$1:$C$724,"Green Harbor Trust",Movimientos!$B$1:$B$724,"&lt;="&amp;$B75)</f>
        <v>345</v>
      </c>
      <c r="U75" s="24">
        <f>SUMIFS('Saldos Iniciales'!$D:$D,'Saldos Iniciales'!$A:$A,"Go Blue")+SUMIFS(Movimientos!$K$1:$K$724,Movimientos!$C$1:$C$724,"Go Blue",Movimientos!$B$1:$B$724,"&lt;="&amp;$B75)</f>
        <v>25198.240000000002</v>
      </c>
      <c r="V75" s="25">
        <f t="shared" ref="V75" si="17">SUM(C75:U75)</f>
        <v>6842187.2300000004</v>
      </c>
    </row>
  </sheetData>
  <conditionalFormatting sqref="C2:V75">
    <cfRule type="cellIs" dxfId="2" priority="1" operator="lessThan">
      <formula>0</formula>
    </cfRule>
  </conditionalFormatting>
  <conditionalFormatting sqref="V2:V75">
    <cfRule type="cellIs" dxfId="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07"/>
  <sheetViews>
    <sheetView tabSelected="1" zoomScale="80" zoomScaleNormal="80" workbookViewId="0">
      <pane ySplit="1" topLeftCell="A1382" activePane="bottomLeft" state="frozen"/>
      <selection pane="bottomLeft" activeCell="B1397" sqref="B139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179</v>
      </c>
      <c r="B1" s="60" t="s">
        <v>130</v>
      </c>
      <c r="C1" s="61" t="s">
        <v>1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511.15999999999985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12117.82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511.15999999999985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8808.2400000000016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511.15999999999985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8808.2400000000016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511.15999999999985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7716.0900000000038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511.15999999999985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7716.0900000000038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511.15999999999985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7716.0900000000038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511.15999999999985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7716.0900000000038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511.15999999999985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6744.5000000000036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511.15999999999985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6583.0800000000036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511.15999999999985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6583.0800000000036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511.15999999999985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54068.08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511.15999999999985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54068.08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511.15999999999985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54068.08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511.15999999999985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54068.08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511.15999999999985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54018.080000000002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511.15999999999985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51334.36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511.15999999999985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50334.36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511.15999999999985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50334.36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511.15999999999985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50334.36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511.15999999999985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50334.36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511.15999999999985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50334.36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511.15999999999985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50109.68</v>
      </c>
    </row>
    <row r="1009" spans="1:4" x14ac:dyDescent="0.3">
      <c r="A1009" t="s">
        <v>17</v>
      </c>
      <c r="C1009" s="16">
        <v>46196</v>
      </c>
      <c r="D1009">
        <v>7675741.5900000008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511.15999999999985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49981.31</v>
      </c>
    </row>
    <row r="1028" spans="1:4" x14ac:dyDescent="0.3">
      <c r="A1028" t="s">
        <v>17</v>
      </c>
      <c r="C1028" s="16">
        <v>46197</v>
      </c>
      <c r="D1028">
        <v>7742810.7100000009</v>
      </c>
    </row>
    <row r="1029" spans="1:4" x14ac:dyDescent="0.3">
      <c r="A1029" t="s">
        <v>18</v>
      </c>
      <c r="C1029" s="16">
        <v>46197</v>
      </c>
      <c r="D1029">
        <v>72386.190000000177</v>
      </c>
    </row>
    <row r="1030" spans="1:4" x14ac:dyDescent="0.3">
      <c r="A1030" t="s">
        <v>19</v>
      </c>
      <c r="C1030" s="16">
        <v>46197</v>
      </c>
      <c r="D1030">
        <v>1669.89</v>
      </c>
    </row>
    <row r="1031" spans="1:4" x14ac:dyDescent="0.3">
      <c r="A1031" t="s">
        <v>20</v>
      </c>
      <c r="C1031" s="16">
        <v>46197</v>
      </c>
      <c r="D1031">
        <v>532766.72999999986</v>
      </c>
    </row>
    <row r="1032" spans="1:4" x14ac:dyDescent="0.3">
      <c r="A1032" t="s">
        <v>21</v>
      </c>
      <c r="C1032" s="16">
        <v>46197</v>
      </c>
      <c r="D1032">
        <v>3325868.6899999995</v>
      </c>
    </row>
    <row r="1033" spans="1:4" x14ac:dyDescent="0.3">
      <c r="A1033" t="s">
        <v>22</v>
      </c>
      <c r="C1033" s="16">
        <v>46197</v>
      </c>
      <c r="D1033">
        <v>116496.38</v>
      </c>
    </row>
    <row r="1034" spans="1:4" x14ac:dyDescent="0.3">
      <c r="A1034" t="s">
        <v>23</v>
      </c>
      <c r="C1034" s="16">
        <v>46197</v>
      </c>
      <c r="D1034">
        <v>88090.37</v>
      </c>
    </row>
    <row r="1035" spans="1:4" x14ac:dyDescent="0.3">
      <c r="A1035" t="s">
        <v>24</v>
      </c>
      <c r="C1035" s="16">
        <v>46197</v>
      </c>
      <c r="D1035">
        <v>511.15999999999985</v>
      </c>
    </row>
    <row r="1036" spans="1:4" x14ac:dyDescent="0.3">
      <c r="A1036" t="s">
        <v>25</v>
      </c>
      <c r="C1036" s="16">
        <v>46197</v>
      </c>
      <c r="D1036">
        <v>84.35</v>
      </c>
    </row>
    <row r="1037" spans="1:4" x14ac:dyDescent="0.3">
      <c r="A1037" t="s">
        <v>26</v>
      </c>
      <c r="C1037" s="16">
        <v>46197</v>
      </c>
      <c r="D1037">
        <v>2237.77</v>
      </c>
    </row>
    <row r="1038" spans="1:4" x14ac:dyDescent="0.3">
      <c r="A1038" t="s">
        <v>27</v>
      </c>
      <c r="C1038" s="16">
        <v>46197</v>
      </c>
      <c r="D1038">
        <v>3349.94</v>
      </c>
    </row>
    <row r="1039" spans="1:4" x14ac:dyDescent="0.3">
      <c r="A1039" t="s">
        <v>28</v>
      </c>
      <c r="C1039" s="16">
        <v>46197</v>
      </c>
      <c r="D1039">
        <v>1968.99</v>
      </c>
    </row>
    <row r="1040" spans="1:4" x14ac:dyDescent="0.3">
      <c r="A1040" t="s">
        <v>29</v>
      </c>
      <c r="C1040" s="16">
        <v>46197</v>
      </c>
      <c r="D1040">
        <v>382.69000000000005</v>
      </c>
    </row>
    <row r="1041" spans="1:4" x14ac:dyDescent="0.3">
      <c r="A1041" t="s">
        <v>30</v>
      </c>
      <c r="C1041" s="16">
        <v>46197</v>
      </c>
      <c r="D1041">
        <v>1428.08</v>
      </c>
    </row>
    <row r="1042" spans="1:4" x14ac:dyDescent="0.3">
      <c r="A1042" t="s">
        <v>31</v>
      </c>
      <c r="C1042" s="16">
        <v>46197</v>
      </c>
      <c r="D1042">
        <v>31039.969999999961</v>
      </c>
    </row>
    <row r="1043" spans="1:4" x14ac:dyDescent="0.3">
      <c r="A1043" t="s">
        <v>32</v>
      </c>
      <c r="C1043" s="16">
        <v>46197</v>
      </c>
      <c r="D1043">
        <v>20321.43</v>
      </c>
    </row>
    <row r="1044" spans="1:4" x14ac:dyDescent="0.3">
      <c r="A1044" t="s">
        <v>33</v>
      </c>
      <c r="C1044" s="16">
        <v>46197</v>
      </c>
      <c r="D1044">
        <v>16681.349999999999</v>
      </c>
    </row>
    <row r="1045" spans="1:4" x14ac:dyDescent="0.3">
      <c r="A1045" t="s">
        <v>34</v>
      </c>
      <c r="C1045" s="16">
        <v>46197</v>
      </c>
      <c r="D1045">
        <v>345</v>
      </c>
    </row>
    <row r="1046" spans="1:4" x14ac:dyDescent="0.3">
      <c r="A1046" t="s">
        <v>35</v>
      </c>
      <c r="C1046" s="16">
        <v>46197</v>
      </c>
      <c r="D1046">
        <v>49981.31</v>
      </c>
    </row>
    <row r="1047" spans="1:4" x14ac:dyDescent="0.3">
      <c r="A1047" t="s">
        <v>17</v>
      </c>
      <c r="C1047" s="16">
        <v>46198</v>
      </c>
      <c r="D1047">
        <v>6298935.7100000009</v>
      </c>
    </row>
    <row r="1048" spans="1:4" x14ac:dyDescent="0.3">
      <c r="A1048" t="s">
        <v>18</v>
      </c>
      <c r="C1048" s="16">
        <v>46198</v>
      </c>
      <c r="D1048">
        <v>72386.190000000177</v>
      </c>
    </row>
    <row r="1049" spans="1:4" x14ac:dyDescent="0.3">
      <c r="A1049" t="s">
        <v>19</v>
      </c>
      <c r="C1049" s="16">
        <v>46198</v>
      </c>
      <c r="D1049">
        <v>1669.89</v>
      </c>
    </row>
    <row r="1050" spans="1:4" x14ac:dyDescent="0.3">
      <c r="A1050" t="s">
        <v>20</v>
      </c>
      <c r="C1050" s="16">
        <v>46198</v>
      </c>
      <c r="D1050">
        <v>472766.72999999986</v>
      </c>
    </row>
    <row r="1051" spans="1:4" x14ac:dyDescent="0.3">
      <c r="A1051" t="s">
        <v>21</v>
      </c>
      <c r="C1051" s="16">
        <v>46198</v>
      </c>
      <c r="D1051">
        <v>1933152.7099999995</v>
      </c>
    </row>
    <row r="1052" spans="1:4" x14ac:dyDescent="0.3">
      <c r="A1052" t="s">
        <v>22</v>
      </c>
      <c r="C1052" s="16">
        <v>46198</v>
      </c>
      <c r="D1052">
        <v>1996496.38</v>
      </c>
    </row>
    <row r="1053" spans="1:4" x14ac:dyDescent="0.3">
      <c r="A1053" t="s">
        <v>23</v>
      </c>
      <c r="C1053" s="16">
        <v>46198</v>
      </c>
      <c r="D1053">
        <v>88090.37</v>
      </c>
    </row>
    <row r="1054" spans="1:4" x14ac:dyDescent="0.3">
      <c r="A1054" t="s">
        <v>24</v>
      </c>
      <c r="C1054" s="16">
        <v>46198</v>
      </c>
      <c r="D1054">
        <v>511.15999999999985</v>
      </c>
    </row>
    <row r="1055" spans="1:4" x14ac:dyDescent="0.3">
      <c r="A1055" t="s">
        <v>25</v>
      </c>
      <c r="C1055" s="16">
        <v>46198</v>
      </c>
      <c r="D1055">
        <v>84.35</v>
      </c>
    </row>
    <row r="1056" spans="1:4" x14ac:dyDescent="0.3">
      <c r="A1056" t="s">
        <v>26</v>
      </c>
      <c r="C1056" s="16">
        <v>46198</v>
      </c>
      <c r="D1056">
        <v>2237.77</v>
      </c>
    </row>
    <row r="1057" spans="1:4" x14ac:dyDescent="0.3">
      <c r="A1057" t="s">
        <v>27</v>
      </c>
      <c r="C1057" s="16">
        <v>46198</v>
      </c>
      <c r="D1057">
        <v>3349.94</v>
      </c>
    </row>
    <row r="1058" spans="1:4" x14ac:dyDescent="0.3">
      <c r="A1058" t="s">
        <v>28</v>
      </c>
      <c r="C1058" s="16">
        <v>46198</v>
      </c>
      <c r="D1058">
        <v>1968.99</v>
      </c>
    </row>
    <row r="1059" spans="1:4" x14ac:dyDescent="0.3">
      <c r="A1059" t="s">
        <v>29</v>
      </c>
      <c r="C1059" s="16">
        <v>46198</v>
      </c>
      <c r="D1059">
        <v>382.69000000000005</v>
      </c>
    </row>
    <row r="1060" spans="1:4" x14ac:dyDescent="0.3">
      <c r="A1060" t="s">
        <v>30</v>
      </c>
      <c r="C1060" s="16">
        <v>46198</v>
      </c>
      <c r="D1060">
        <v>1428.08</v>
      </c>
    </row>
    <row r="1061" spans="1:4" x14ac:dyDescent="0.3">
      <c r="A1061" t="s">
        <v>31</v>
      </c>
      <c r="C1061" s="16">
        <v>46198</v>
      </c>
      <c r="D1061">
        <v>31039.969999999961</v>
      </c>
    </row>
    <row r="1062" spans="1:4" x14ac:dyDescent="0.3">
      <c r="A1062" t="s">
        <v>32</v>
      </c>
      <c r="C1062" s="16">
        <v>46198</v>
      </c>
      <c r="D1062">
        <v>20321.43</v>
      </c>
    </row>
    <row r="1063" spans="1:4" x14ac:dyDescent="0.3">
      <c r="A1063" t="s">
        <v>33</v>
      </c>
      <c r="C1063" s="16">
        <v>46198</v>
      </c>
      <c r="D1063">
        <v>28473.599999999999</v>
      </c>
    </row>
    <row r="1064" spans="1:4" x14ac:dyDescent="0.3">
      <c r="A1064" t="s">
        <v>34</v>
      </c>
      <c r="C1064" s="16">
        <v>46198</v>
      </c>
      <c r="D1064">
        <v>345</v>
      </c>
    </row>
    <row r="1065" spans="1:4" x14ac:dyDescent="0.3">
      <c r="A1065" t="s">
        <v>35</v>
      </c>
      <c r="C1065" s="16">
        <v>46198</v>
      </c>
      <c r="D1065">
        <v>38025.43</v>
      </c>
    </row>
    <row r="1066" spans="1:4" x14ac:dyDescent="0.3">
      <c r="A1066" t="s">
        <v>17</v>
      </c>
      <c r="C1066" s="16">
        <v>46199</v>
      </c>
      <c r="D1066">
        <v>6288055.7100000009</v>
      </c>
    </row>
    <row r="1067" spans="1:4" x14ac:dyDescent="0.3">
      <c r="A1067" t="s">
        <v>18</v>
      </c>
      <c r="C1067" s="16">
        <v>46199</v>
      </c>
      <c r="D1067">
        <v>72386.190000000177</v>
      </c>
    </row>
    <row r="1068" spans="1:4" x14ac:dyDescent="0.3">
      <c r="A1068" t="s">
        <v>19</v>
      </c>
      <c r="C1068" s="16">
        <v>46199</v>
      </c>
      <c r="D1068">
        <v>1669.89</v>
      </c>
    </row>
    <row r="1069" spans="1:4" x14ac:dyDescent="0.3">
      <c r="A1069" t="s">
        <v>20</v>
      </c>
      <c r="C1069" s="16">
        <v>46199</v>
      </c>
      <c r="D1069">
        <v>472766.72999999986</v>
      </c>
    </row>
    <row r="1070" spans="1:4" x14ac:dyDescent="0.3">
      <c r="A1070" t="s">
        <v>21</v>
      </c>
      <c r="C1070" s="16">
        <v>46199</v>
      </c>
      <c r="D1070">
        <v>1932389.7199999993</v>
      </c>
    </row>
    <row r="1071" spans="1:4" x14ac:dyDescent="0.3">
      <c r="A1071" t="s">
        <v>22</v>
      </c>
      <c r="C1071" s="16">
        <v>46199</v>
      </c>
      <c r="D1071">
        <v>1396496.38</v>
      </c>
    </row>
    <row r="1072" spans="1:4" x14ac:dyDescent="0.3">
      <c r="A1072" t="s">
        <v>23</v>
      </c>
      <c r="C1072" s="16">
        <v>46199</v>
      </c>
      <c r="D1072">
        <v>88090.37</v>
      </c>
    </row>
    <row r="1073" spans="1:4" x14ac:dyDescent="0.3">
      <c r="A1073" t="s">
        <v>24</v>
      </c>
      <c r="C1073" s="16">
        <v>46199</v>
      </c>
      <c r="D1073">
        <v>511.15999999999985</v>
      </c>
    </row>
    <row r="1074" spans="1:4" x14ac:dyDescent="0.3">
      <c r="A1074" t="s">
        <v>25</v>
      </c>
      <c r="C1074" s="16">
        <v>46199</v>
      </c>
      <c r="D1074">
        <v>84.35</v>
      </c>
    </row>
    <row r="1075" spans="1:4" x14ac:dyDescent="0.3">
      <c r="A1075" t="s">
        <v>26</v>
      </c>
      <c r="C1075" s="16">
        <v>46199</v>
      </c>
      <c r="D1075">
        <v>2237.77</v>
      </c>
    </row>
    <row r="1076" spans="1:4" x14ac:dyDescent="0.3">
      <c r="A1076" t="s">
        <v>27</v>
      </c>
      <c r="C1076" s="16">
        <v>46199</v>
      </c>
      <c r="D1076">
        <v>3349.94</v>
      </c>
    </row>
    <row r="1077" spans="1:4" x14ac:dyDescent="0.3">
      <c r="A1077" t="s">
        <v>28</v>
      </c>
      <c r="C1077" s="16">
        <v>46199</v>
      </c>
      <c r="D1077">
        <v>1968.99</v>
      </c>
    </row>
    <row r="1078" spans="1:4" x14ac:dyDescent="0.3">
      <c r="A1078" t="s">
        <v>29</v>
      </c>
      <c r="C1078" s="16">
        <v>46199</v>
      </c>
      <c r="D1078">
        <v>382.69000000000005</v>
      </c>
    </row>
    <row r="1079" spans="1:4" x14ac:dyDescent="0.3">
      <c r="A1079" t="s">
        <v>30</v>
      </c>
      <c r="C1079" s="16">
        <v>46199</v>
      </c>
      <c r="D1079">
        <v>1428.08</v>
      </c>
    </row>
    <row r="1080" spans="1:4" x14ac:dyDescent="0.3">
      <c r="A1080" t="s">
        <v>31</v>
      </c>
      <c r="C1080" s="16">
        <v>46199</v>
      </c>
      <c r="D1080">
        <v>31039.969999999961</v>
      </c>
    </row>
    <row r="1081" spans="1:4" x14ac:dyDescent="0.3">
      <c r="A1081" t="s">
        <v>32</v>
      </c>
      <c r="C1081" s="16">
        <v>46199</v>
      </c>
      <c r="D1081">
        <v>20321.43</v>
      </c>
    </row>
    <row r="1082" spans="1:4" x14ac:dyDescent="0.3">
      <c r="A1082" t="s">
        <v>33</v>
      </c>
      <c r="C1082" s="16">
        <v>46199</v>
      </c>
      <c r="D1082">
        <v>28458.6</v>
      </c>
    </row>
    <row r="1083" spans="1:4" x14ac:dyDescent="0.3">
      <c r="A1083" t="s">
        <v>34</v>
      </c>
      <c r="C1083" s="16">
        <v>46199</v>
      </c>
      <c r="D1083">
        <v>345</v>
      </c>
    </row>
    <row r="1084" spans="1:4" x14ac:dyDescent="0.3">
      <c r="A1084" t="s">
        <v>35</v>
      </c>
      <c r="C1084" s="16">
        <v>46199</v>
      </c>
      <c r="D1084">
        <v>29918.639999999999</v>
      </c>
    </row>
    <row r="1085" spans="1:4" x14ac:dyDescent="0.3">
      <c r="A1085" t="s">
        <v>17</v>
      </c>
      <c r="C1085" s="16">
        <v>46200</v>
      </c>
      <c r="D1085">
        <v>6288055.7100000009</v>
      </c>
    </row>
    <row r="1086" spans="1:4" x14ac:dyDescent="0.3">
      <c r="A1086" t="s">
        <v>18</v>
      </c>
      <c r="C1086" s="16">
        <v>46200</v>
      </c>
      <c r="D1086">
        <v>72386.190000000177</v>
      </c>
    </row>
    <row r="1087" spans="1:4" x14ac:dyDescent="0.3">
      <c r="A1087" t="s">
        <v>19</v>
      </c>
      <c r="C1087" s="16">
        <v>46200</v>
      </c>
      <c r="D1087">
        <v>1669.89</v>
      </c>
    </row>
    <row r="1088" spans="1:4" x14ac:dyDescent="0.3">
      <c r="A1088" t="s">
        <v>20</v>
      </c>
      <c r="C1088" s="16">
        <v>46200</v>
      </c>
      <c r="D1088">
        <v>472766.72999999986</v>
      </c>
    </row>
    <row r="1089" spans="1:4" x14ac:dyDescent="0.3">
      <c r="A1089" t="s">
        <v>21</v>
      </c>
      <c r="C1089" s="16">
        <v>46200</v>
      </c>
      <c r="D1089">
        <v>1932389.7199999993</v>
      </c>
    </row>
    <row r="1090" spans="1:4" x14ac:dyDescent="0.3">
      <c r="A1090" t="s">
        <v>22</v>
      </c>
      <c r="C1090" s="16">
        <v>46200</v>
      </c>
      <c r="D1090">
        <v>1396496.38</v>
      </c>
    </row>
    <row r="1091" spans="1:4" x14ac:dyDescent="0.3">
      <c r="A1091" t="s">
        <v>23</v>
      </c>
      <c r="C1091" s="16">
        <v>46200</v>
      </c>
      <c r="D1091">
        <v>88090.37</v>
      </c>
    </row>
    <row r="1092" spans="1:4" x14ac:dyDescent="0.3">
      <c r="A1092" t="s">
        <v>24</v>
      </c>
      <c r="C1092" s="16">
        <v>46200</v>
      </c>
      <c r="D1092">
        <v>511.15999999999985</v>
      </c>
    </row>
    <row r="1093" spans="1:4" x14ac:dyDescent="0.3">
      <c r="A1093" t="s">
        <v>25</v>
      </c>
      <c r="C1093" s="16">
        <v>46200</v>
      </c>
      <c r="D1093">
        <v>84.35</v>
      </c>
    </row>
    <row r="1094" spans="1:4" x14ac:dyDescent="0.3">
      <c r="A1094" t="s">
        <v>26</v>
      </c>
      <c r="C1094" s="16">
        <v>46200</v>
      </c>
      <c r="D1094">
        <v>2237.77</v>
      </c>
    </row>
    <row r="1095" spans="1:4" x14ac:dyDescent="0.3">
      <c r="A1095" t="s">
        <v>27</v>
      </c>
      <c r="C1095" s="16">
        <v>46200</v>
      </c>
      <c r="D1095">
        <v>3349.94</v>
      </c>
    </row>
    <row r="1096" spans="1:4" x14ac:dyDescent="0.3">
      <c r="A1096" t="s">
        <v>28</v>
      </c>
      <c r="C1096" s="16">
        <v>46200</v>
      </c>
      <c r="D1096">
        <v>1968.99</v>
      </c>
    </row>
    <row r="1097" spans="1:4" x14ac:dyDescent="0.3">
      <c r="A1097" t="s">
        <v>29</v>
      </c>
      <c r="C1097" s="16">
        <v>46200</v>
      </c>
      <c r="D1097">
        <v>382.69000000000005</v>
      </c>
    </row>
    <row r="1098" spans="1:4" x14ac:dyDescent="0.3">
      <c r="A1098" t="s">
        <v>30</v>
      </c>
      <c r="C1098" s="16">
        <v>46200</v>
      </c>
      <c r="D1098">
        <v>1428.08</v>
      </c>
    </row>
    <row r="1099" spans="1:4" x14ac:dyDescent="0.3">
      <c r="A1099" t="s">
        <v>31</v>
      </c>
      <c r="C1099" s="16">
        <v>46200</v>
      </c>
      <c r="D1099">
        <v>31039.969999999961</v>
      </c>
    </row>
    <row r="1100" spans="1:4" x14ac:dyDescent="0.3">
      <c r="A1100" t="s">
        <v>32</v>
      </c>
      <c r="C1100" s="16">
        <v>46200</v>
      </c>
      <c r="D1100">
        <v>20321.43</v>
      </c>
    </row>
    <row r="1101" spans="1:4" x14ac:dyDescent="0.3">
      <c r="A1101" t="s">
        <v>33</v>
      </c>
      <c r="C1101" s="16">
        <v>46200</v>
      </c>
      <c r="D1101">
        <v>28458.6</v>
      </c>
    </row>
    <row r="1102" spans="1:4" x14ac:dyDescent="0.3">
      <c r="A1102" t="s">
        <v>34</v>
      </c>
      <c r="C1102" s="16">
        <v>46200</v>
      </c>
      <c r="D1102">
        <v>345</v>
      </c>
    </row>
    <row r="1103" spans="1:4" x14ac:dyDescent="0.3">
      <c r="A1103" t="s">
        <v>35</v>
      </c>
      <c r="C1103" s="16">
        <v>46200</v>
      </c>
      <c r="D1103">
        <v>29918.639999999999</v>
      </c>
    </row>
    <row r="1104" spans="1:4" x14ac:dyDescent="0.3">
      <c r="A1104" t="s">
        <v>17</v>
      </c>
      <c r="C1104" s="16">
        <v>46201</v>
      </c>
      <c r="D1104">
        <v>6288055.7100000009</v>
      </c>
    </row>
    <row r="1105" spans="1:4" x14ac:dyDescent="0.3">
      <c r="A1105" t="s">
        <v>18</v>
      </c>
      <c r="C1105" s="16">
        <v>46201</v>
      </c>
      <c r="D1105">
        <v>72386.190000000177</v>
      </c>
    </row>
    <row r="1106" spans="1:4" x14ac:dyDescent="0.3">
      <c r="A1106" t="s">
        <v>19</v>
      </c>
      <c r="C1106" s="16">
        <v>46201</v>
      </c>
      <c r="D1106">
        <v>1669.89</v>
      </c>
    </row>
    <row r="1107" spans="1:4" x14ac:dyDescent="0.3">
      <c r="A1107" t="s">
        <v>20</v>
      </c>
      <c r="C1107" s="16">
        <v>46201</v>
      </c>
      <c r="D1107">
        <v>472766.72999999986</v>
      </c>
    </row>
    <row r="1108" spans="1:4" x14ac:dyDescent="0.3">
      <c r="A1108" t="s">
        <v>21</v>
      </c>
      <c r="C1108" s="16">
        <v>46201</v>
      </c>
      <c r="D1108">
        <v>1932389.7199999993</v>
      </c>
    </row>
    <row r="1109" spans="1:4" x14ac:dyDescent="0.3">
      <c r="A1109" t="s">
        <v>22</v>
      </c>
      <c r="C1109" s="16">
        <v>46201</v>
      </c>
      <c r="D1109">
        <v>1396496.38</v>
      </c>
    </row>
    <row r="1110" spans="1:4" x14ac:dyDescent="0.3">
      <c r="A1110" t="s">
        <v>23</v>
      </c>
      <c r="C1110" s="16">
        <v>46201</v>
      </c>
      <c r="D1110">
        <v>88090.37</v>
      </c>
    </row>
    <row r="1111" spans="1:4" x14ac:dyDescent="0.3">
      <c r="A1111" t="s">
        <v>24</v>
      </c>
      <c r="C1111" s="16">
        <v>46201</v>
      </c>
      <c r="D1111">
        <v>511.15999999999985</v>
      </c>
    </row>
    <row r="1112" spans="1:4" x14ac:dyDescent="0.3">
      <c r="A1112" t="s">
        <v>25</v>
      </c>
      <c r="C1112" s="16">
        <v>46201</v>
      </c>
      <c r="D1112">
        <v>84.35</v>
      </c>
    </row>
    <row r="1113" spans="1:4" x14ac:dyDescent="0.3">
      <c r="A1113" t="s">
        <v>26</v>
      </c>
      <c r="C1113" s="16">
        <v>46201</v>
      </c>
      <c r="D1113">
        <v>2237.77</v>
      </c>
    </row>
    <row r="1114" spans="1:4" x14ac:dyDescent="0.3">
      <c r="A1114" t="s">
        <v>27</v>
      </c>
      <c r="C1114" s="16">
        <v>46201</v>
      </c>
      <c r="D1114">
        <v>3349.94</v>
      </c>
    </row>
    <row r="1115" spans="1:4" x14ac:dyDescent="0.3">
      <c r="A1115" t="s">
        <v>28</v>
      </c>
      <c r="C1115" s="16">
        <v>46201</v>
      </c>
      <c r="D1115">
        <v>1968.99</v>
      </c>
    </row>
    <row r="1116" spans="1:4" x14ac:dyDescent="0.3">
      <c r="A1116" t="s">
        <v>29</v>
      </c>
      <c r="C1116" s="16">
        <v>46201</v>
      </c>
      <c r="D1116">
        <v>382.69000000000005</v>
      </c>
    </row>
    <row r="1117" spans="1:4" x14ac:dyDescent="0.3">
      <c r="A1117" t="s">
        <v>30</v>
      </c>
      <c r="C1117" s="16">
        <v>46201</v>
      </c>
      <c r="D1117">
        <v>1428.08</v>
      </c>
    </row>
    <row r="1118" spans="1:4" x14ac:dyDescent="0.3">
      <c r="A1118" t="s">
        <v>31</v>
      </c>
      <c r="C1118" s="16">
        <v>46201</v>
      </c>
      <c r="D1118">
        <v>31039.969999999961</v>
      </c>
    </row>
    <row r="1119" spans="1:4" x14ac:dyDescent="0.3">
      <c r="A1119" t="s">
        <v>32</v>
      </c>
      <c r="C1119" s="16">
        <v>46201</v>
      </c>
      <c r="D1119">
        <v>20321.43</v>
      </c>
    </row>
    <row r="1120" spans="1:4" x14ac:dyDescent="0.3">
      <c r="A1120" t="s">
        <v>33</v>
      </c>
      <c r="C1120" s="16">
        <v>46201</v>
      </c>
      <c r="D1120">
        <v>28458.6</v>
      </c>
    </row>
    <row r="1121" spans="1:4" x14ac:dyDescent="0.3">
      <c r="A1121" t="s">
        <v>34</v>
      </c>
      <c r="C1121" s="16">
        <v>46201</v>
      </c>
      <c r="D1121">
        <v>345</v>
      </c>
    </row>
    <row r="1122" spans="1:4" x14ac:dyDescent="0.3">
      <c r="A1122" t="s">
        <v>35</v>
      </c>
      <c r="C1122" s="16">
        <v>46201</v>
      </c>
      <c r="D1122">
        <v>29918.639999999999</v>
      </c>
    </row>
    <row r="1123" spans="1:4" x14ac:dyDescent="0.3">
      <c r="A1123" t="s">
        <v>17</v>
      </c>
      <c r="C1123" s="16">
        <v>46202</v>
      </c>
      <c r="D1123">
        <v>6299174.8100000015</v>
      </c>
    </row>
    <row r="1124" spans="1:4" x14ac:dyDescent="0.3">
      <c r="A1124" t="s">
        <v>18</v>
      </c>
      <c r="C1124" s="16">
        <v>46202</v>
      </c>
      <c r="D1124">
        <v>72386.190000000177</v>
      </c>
    </row>
    <row r="1125" spans="1:4" x14ac:dyDescent="0.3">
      <c r="A1125" t="s">
        <v>19</v>
      </c>
      <c r="C1125" s="16">
        <v>46202</v>
      </c>
      <c r="D1125">
        <v>1669.89</v>
      </c>
    </row>
    <row r="1126" spans="1:4" x14ac:dyDescent="0.3">
      <c r="A1126" t="s">
        <v>20</v>
      </c>
      <c r="C1126" s="16">
        <v>46202</v>
      </c>
      <c r="D1126">
        <v>489745.62999999989</v>
      </c>
    </row>
    <row r="1127" spans="1:4" x14ac:dyDescent="0.3">
      <c r="A1127" t="s">
        <v>21</v>
      </c>
      <c r="C1127" s="16">
        <v>46202</v>
      </c>
      <c r="D1127">
        <v>1768167.9199999995</v>
      </c>
    </row>
    <row r="1128" spans="1:4" x14ac:dyDescent="0.3">
      <c r="A1128" t="s">
        <v>22</v>
      </c>
      <c r="C1128" s="16">
        <v>46202</v>
      </c>
      <c r="D1128">
        <v>396496.38</v>
      </c>
    </row>
    <row r="1129" spans="1:4" x14ac:dyDescent="0.3">
      <c r="A1129" t="s">
        <v>23</v>
      </c>
      <c r="C1129" s="16">
        <v>46202</v>
      </c>
      <c r="D1129">
        <v>88090.37</v>
      </c>
    </row>
    <row r="1130" spans="1:4" x14ac:dyDescent="0.3">
      <c r="A1130" t="s">
        <v>24</v>
      </c>
      <c r="C1130" s="16">
        <v>46202</v>
      </c>
      <c r="D1130">
        <v>511.15999999999985</v>
      </c>
    </row>
    <row r="1131" spans="1:4" x14ac:dyDescent="0.3">
      <c r="A1131" t="s">
        <v>25</v>
      </c>
      <c r="C1131" s="16">
        <v>46202</v>
      </c>
      <c r="D1131">
        <v>84.35</v>
      </c>
    </row>
    <row r="1132" spans="1:4" x14ac:dyDescent="0.3">
      <c r="A1132" t="s">
        <v>26</v>
      </c>
      <c r="C1132" s="16">
        <v>46202</v>
      </c>
      <c r="D1132">
        <v>2237.77</v>
      </c>
    </row>
    <row r="1133" spans="1:4" x14ac:dyDescent="0.3">
      <c r="A1133" t="s">
        <v>27</v>
      </c>
      <c r="C1133" s="16">
        <v>46202</v>
      </c>
      <c r="D1133">
        <v>3349.94</v>
      </c>
    </row>
    <row r="1134" spans="1:4" x14ac:dyDescent="0.3">
      <c r="A1134" t="s">
        <v>28</v>
      </c>
      <c r="C1134" s="16">
        <v>46202</v>
      </c>
      <c r="D1134">
        <v>1968.99</v>
      </c>
    </row>
    <row r="1135" spans="1:4" x14ac:dyDescent="0.3">
      <c r="A1135" t="s">
        <v>29</v>
      </c>
      <c r="C1135" s="16">
        <v>46202</v>
      </c>
      <c r="D1135">
        <v>382.69000000000005</v>
      </c>
    </row>
    <row r="1136" spans="1:4" x14ac:dyDescent="0.3">
      <c r="A1136" t="s">
        <v>30</v>
      </c>
      <c r="C1136" s="16">
        <v>46202</v>
      </c>
      <c r="D1136">
        <v>1428.08</v>
      </c>
    </row>
    <row r="1137" spans="1:4" x14ac:dyDescent="0.3">
      <c r="A1137" t="s">
        <v>31</v>
      </c>
      <c r="C1137" s="16">
        <v>46202</v>
      </c>
      <c r="D1137">
        <v>31039.969999999961</v>
      </c>
    </row>
    <row r="1138" spans="1:4" x14ac:dyDescent="0.3">
      <c r="A1138" t="s">
        <v>32</v>
      </c>
      <c r="C1138" s="16">
        <v>46202</v>
      </c>
      <c r="D1138">
        <v>20321.43</v>
      </c>
    </row>
    <row r="1139" spans="1:4" x14ac:dyDescent="0.3">
      <c r="A1139" t="s">
        <v>33</v>
      </c>
      <c r="C1139" s="16">
        <v>46202</v>
      </c>
      <c r="D1139">
        <v>28458.6</v>
      </c>
    </row>
    <row r="1140" spans="1:4" x14ac:dyDescent="0.3">
      <c r="A1140" t="s">
        <v>34</v>
      </c>
      <c r="C1140" s="16">
        <v>46202</v>
      </c>
      <c r="D1140">
        <v>345</v>
      </c>
    </row>
    <row r="1141" spans="1:4" x14ac:dyDescent="0.3">
      <c r="A1141" t="s">
        <v>35</v>
      </c>
      <c r="C1141" s="16">
        <v>46202</v>
      </c>
      <c r="D1141">
        <v>23872.78</v>
      </c>
    </row>
    <row r="1142" spans="1:4" x14ac:dyDescent="0.3">
      <c r="A1142" t="s">
        <v>17</v>
      </c>
      <c r="C1142" s="16">
        <v>46203</v>
      </c>
      <c r="D1142">
        <v>6295585.7500000009</v>
      </c>
    </row>
    <row r="1143" spans="1:4" x14ac:dyDescent="0.3">
      <c r="A1143" t="s">
        <v>18</v>
      </c>
      <c r="C1143" s="16">
        <v>46203</v>
      </c>
      <c r="D1143">
        <v>79139.680000000168</v>
      </c>
    </row>
    <row r="1144" spans="1:4" x14ac:dyDescent="0.3">
      <c r="A1144" t="s">
        <v>19</v>
      </c>
      <c r="C1144" s="16">
        <v>46203</v>
      </c>
      <c r="D1144">
        <v>1669.89</v>
      </c>
    </row>
    <row r="1145" spans="1:4" x14ac:dyDescent="0.3">
      <c r="A1145" t="s">
        <v>20</v>
      </c>
      <c r="C1145" s="16">
        <v>46203</v>
      </c>
      <c r="D1145">
        <v>489745.62999999989</v>
      </c>
    </row>
    <row r="1146" spans="1:4" x14ac:dyDescent="0.3">
      <c r="A1146" t="s">
        <v>21</v>
      </c>
      <c r="C1146" s="16">
        <v>46203</v>
      </c>
      <c r="D1146">
        <v>1696284.7299999995</v>
      </c>
    </row>
    <row r="1147" spans="1:4" x14ac:dyDescent="0.3">
      <c r="A1147" t="s">
        <v>22</v>
      </c>
      <c r="C1147" s="16">
        <v>46203</v>
      </c>
      <c r="D1147">
        <v>390496.38</v>
      </c>
    </row>
    <row r="1148" spans="1:4" x14ac:dyDescent="0.3">
      <c r="A1148" t="s">
        <v>23</v>
      </c>
      <c r="C1148" s="16">
        <v>46203</v>
      </c>
      <c r="D1148">
        <v>88090.37</v>
      </c>
    </row>
    <row r="1149" spans="1:4" x14ac:dyDescent="0.3">
      <c r="A1149" t="s">
        <v>24</v>
      </c>
      <c r="C1149" s="16">
        <v>46203</v>
      </c>
      <c r="D1149">
        <v>511.15999999999985</v>
      </c>
    </row>
    <row r="1150" spans="1:4" x14ac:dyDescent="0.3">
      <c r="A1150" t="s">
        <v>25</v>
      </c>
      <c r="C1150" s="16">
        <v>46203</v>
      </c>
      <c r="D1150">
        <v>84.35</v>
      </c>
    </row>
    <row r="1151" spans="1:4" x14ac:dyDescent="0.3">
      <c r="A1151" t="s">
        <v>26</v>
      </c>
      <c r="C1151" s="16">
        <v>46203</v>
      </c>
      <c r="D1151">
        <v>2237.77</v>
      </c>
    </row>
    <row r="1152" spans="1:4" x14ac:dyDescent="0.3">
      <c r="A1152" t="s">
        <v>27</v>
      </c>
      <c r="C1152" s="16">
        <v>46203</v>
      </c>
      <c r="D1152">
        <v>3349.94</v>
      </c>
    </row>
    <row r="1153" spans="1:4" x14ac:dyDescent="0.3">
      <c r="A1153" t="s">
        <v>28</v>
      </c>
      <c r="C1153" s="16">
        <v>46203</v>
      </c>
      <c r="D1153">
        <v>1968.99</v>
      </c>
    </row>
    <row r="1154" spans="1:4" x14ac:dyDescent="0.3">
      <c r="A1154" t="s">
        <v>29</v>
      </c>
      <c r="C1154" s="16">
        <v>46203</v>
      </c>
      <c r="D1154">
        <v>382.69000000000005</v>
      </c>
    </row>
    <row r="1155" spans="1:4" x14ac:dyDescent="0.3">
      <c r="A1155" t="s">
        <v>30</v>
      </c>
      <c r="C1155" s="16">
        <v>46203</v>
      </c>
      <c r="D1155">
        <v>1428.08</v>
      </c>
    </row>
    <row r="1156" spans="1:4" x14ac:dyDescent="0.3">
      <c r="A1156" t="s">
        <v>31</v>
      </c>
      <c r="C1156" s="16">
        <v>46203</v>
      </c>
      <c r="D1156">
        <v>31039.969999999961</v>
      </c>
    </row>
    <row r="1157" spans="1:4" x14ac:dyDescent="0.3">
      <c r="A1157" t="s">
        <v>32</v>
      </c>
      <c r="C1157" s="16">
        <v>46203</v>
      </c>
      <c r="D1157">
        <v>20321.43</v>
      </c>
    </row>
    <row r="1158" spans="1:4" x14ac:dyDescent="0.3">
      <c r="A1158" t="s">
        <v>33</v>
      </c>
      <c r="C1158" s="16">
        <v>46203</v>
      </c>
      <c r="D1158">
        <v>28458.6</v>
      </c>
    </row>
    <row r="1159" spans="1:4" x14ac:dyDescent="0.3">
      <c r="A1159" t="s">
        <v>34</v>
      </c>
      <c r="C1159" s="16">
        <v>46203</v>
      </c>
      <c r="D1159">
        <v>345</v>
      </c>
    </row>
    <row r="1160" spans="1:4" x14ac:dyDescent="0.3">
      <c r="A1160" t="s">
        <v>35</v>
      </c>
      <c r="C1160" s="16">
        <v>46203</v>
      </c>
      <c r="D1160">
        <v>23872.78</v>
      </c>
    </row>
    <row r="1161" spans="1:4" x14ac:dyDescent="0.3">
      <c r="A1161" t="s">
        <v>17</v>
      </c>
      <c r="C1161" s="16">
        <v>46204</v>
      </c>
      <c r="D1161">
        <v>6295585.7500000009</v>
      </c>
    </row>
    <row r="1162" spans="1:4" x14ac:dyDescent="0.3">
      <c r="A1162" t="s">
        <v>18</v>
      </c>
      <c r="C1162" s="16">
        <v>46204</v>
      </c>
      <c r="D1162">
        <v>79139.680000000168</v>
      </c>
    </row>
    <row r="1163" spans="1:4" x14ac:dyDescent="0.3">
      <c r="A1163" t="s">
        <v>19</v>
      </c>
      <c r="C1163" s="16">
        <v>46204</v>
      </c>
      <c r="D1163">
        <v>1669.89</v>
      </c>
    </row>
    <row r="1164" spans="1:4" x14ac:dyDescent="0.3">
      <c r="A1164" t="s">
        <v>20</v>
      </c>
      <c r="C1164" s="16">
        <v>46204</v>
      </c>
      <c r="D1164">
        <v>507936.37999999989</v>
      </c>
    </row>
    <row r="1165" spans="1:4" x14ac:dyDescent="0.3">
      <c r="A1165" t="s">
        <v>21</v>
      </c>
      <c r="C1165" s="16">
        <v>46204</v>
      </c>
      <c r="D1165">
        <v>1696284.7299999995</v>
      </c>
    </row>
    <row r="1166" spans="1:4" x14ac:dyDescent="0.3">
      <c r="A1166" t="s">
        <v>22</v>
      </c>
      <c r="C1166" s="16">
        <v>46204</v>
      </c>
      <c r="D1166">
        <v>390496.38</v>
      </c>
    </row>
    <row r="1167" spans="1:4" x14ac:dyDescent="0.3">
      <c r="A1167" t="s">
        <v>23</v>
      </c>
      <c r="C1167" s="16">
        <v>46204</v>
      </c>
      <c r="D1167">
        <v>88090.37</v>
      </c>
    </row>
    <row r="1168" spans="1:4" x14ac:dyDescent="0.3">
      <c r="A1168" t="s">
        <v>24</v>
      </c>
      <c r="C1168" s="16">
        <v>46204</v>
      </c>
      <c r="D1168">
        <v>511.15999999999985</v>
      </c>
    </row>
    <row r="1169" spans="1:4" x14ac:dyDescent="0.3">
      <c r="A1169" t="s">
        <v>25</v>
      </c>
      <c r="C1169" s="16">
        <v>46204</v>
      </c>
      <c r="D1169">
        <v>54.400000000000006</v>
      </c>
    </row>
    <row r="1170" spans="1:4" x14ac:dyDescent="0.3">
      <c r="A1170" t="s">
        <v>26</v>
      </c>
      <c r="C1170" s="16">
        <v>46204</v>
      </c>
      <c r="D1170">
        <v>2207.8200000000002</v>
      </c>
    </row>
    <row r="1171" spans="1:4" x14ac:dyDescent="0.3">
      <c r="A1171" t="s">
        <v>27</v>
      </c>
      <c r="C1171" s="16">
        <v>46204</v>
      </c>
      <c r="D1171">
        <v>3349.94</v>
      </c>
    </row>
    <row r="1172" spans="1:4" x14ac:dyDescent="0.3">
      <c r="A1172" t="s">
        <v>28</v>
      </c>
      <c r="C1172" s="16">
        <v>46204</v>
      </c>
      <c r="D1172">
        <v>1968.99</v>
      </c>
    </row>
    <row r="1173" spans="1:4" x14ac:dyDescent="0.3">
      <c r="A1173" t="s">
        <v>29</v>
      </c>
      <c r="C1173" s="16">
        <v>46204</v>
      </c>
      <c r="D1173">
        <v>382.69000000000005</v>
      </c>
    </row>
    <row r="1174" spans="1:4" x14ac:dyDescent="0.3">
      <c r="A1174" t="s">
        <v>30</v>
      </c>
      <c r="C1174" s="16">
        <v>46204</v>
      </c>
      <c r="D1174">
        <v>1412.08</v>
      </c>
    </row>
    <row r="1175" spans="1:4" x14ac:dyDescent="0.3">
      <c r="A1175" t="s">
        <v>31</v>
      </c>
      <c r="C1175" s="16">
        <v>46204</v>
      </c>
      <c r="D1175">
        <v>22496.639999999959</v>
      </c>
    </row>
    <row r="1176" spans="1:4" x14ac:dyDescent="0.3">
      <c r="A1176" t="s">
        <v>32</v>
      </c>
      <c r="C1176" s="16">
        <v>46204</v>
      </c>
      <c r="D1176">
        <v>10522.800000000003</v>
      </c>
    </row>
    <row r="1177" spans="1:4" x14ac:dyDescent="0.3">
      <c r="A1177" t="s">
        <v>33</v>
      </c>
      <c r="C1177" s="16">
        <v>46204</v>
      </c>
      <c r="D1177">
        <v>19685.559999999998</v>
      </c>
    </row>
    <row r="1178" spans="1:4" x14ac:dyDescent="0.3">
      <c r="A1178" t="s">
        <v>34</v>
      </c>
      <c r="C1178" s="16">
        <v>46204</v>
      </c>
      <c r="D1178">
        <v>345</v>
      </c>
    </row>
    <row r="1179" spans="1:4" x14ac:dyDescent="0.3">
      <c r="A1179" t="s">
        <v>35</v>
      </c>
      <c r="C1179" s="16">
        <v>46204</v>
      </c>
      <c r="D1179">
        <v>23439.279999999999</v>
      </c>
    </row>
    <row r="1180" spans="1:4" x14ac:dyDescent="0.3">
      <c r="A1180" t="s">
        <v>17</v>
      </c>
      <c r="C1180" s="16">
        <v>46205</v>
      </c>
      <c r="D1180">
        <v>5592585.7500000009</v>
      </c>
    </row>
    <row r="1181" spans="1:4" x14ac:dyDescent="0.3">
      <c r="A1181" t="s">
        <v>18</v>
      </c>
      <c r="C1181" s="16">
        <v>46205</v>
      </c>
      <c r="D1181">
        <v>79139.680000000168</v>
      </c>
    </row>
    <row r="1182" spans="1:4" x14ac:dyDescent="0.3">
      <c r="A1182" t="s">
        <v>19</v>
      </c>
      <c r="C1182" s="16">
        <v>46205</v>
      </c>
      <c r="D1182">
        <v>1669.89</v>
      </c>
    </row>
    <row r="1183" spans="1:4" x14ac:dyDescent="0.3">
      <c r="A1183" t="s">
        <v>20</v>
      </c>
      <c r="C1183" s="16">
        <v>46205</v>
      </c>
      <c r="D1183">
        <v>350475.62999999989</v>
      </c>
    </row>
    <row r="1184" spans="1:4" x14ac:dyDescent="0.3">
      <c r="A1184" t="s">
        <v>21</v>
      </c>
      <c r="C1184" s="16">
        <v>46205</v>
      </c>
      <c r="D1184">
        <v>1761564.8799999994</v>
      </c>
    </row>
    <row r="1185" spans="1:4" x14ac:dyDescent="0.3">
      <c r="A1185" t="s">
        <v>22</v>
      </c>
      <c r="C1185" s="16">
        <v>46205</v>
      </c>
      <c r="D1185">
        <v>220496.38</v>
      </c>
    </row>
    <row r="1186" spans="1:4" x14ac:dyDescent="0.3">
      <c r="A1186" t="s">
        <v>23</v>
      </c>
      <c r="C1186" s="16">
        <v>46205</v>
      </c>
      <c r="D1186">
        <v>88090.37</v>
      </c>
    </row>
    <row r="1187" spans="1:4" x14ac:dyDescent="0.3">
      <c r="A1187" t="s">
        <v>24</v>
      </c>
      <c r="C1187" s="16">
        <v>46205</v>
      </c>
      <c r="D1187">
        <v>511.15999999999985</v>
      </c>
    </row>
    <row r="1188" spans="1:4" x14ac:dyDescent="0.3">
      <c r="A1188" t="s">
        <v>25</v>
      </c>
      <c r="C1188" s="16">
        <v>46205</v>
      </c>
      <c r="D1188">
        <v>54.400000000000006</v>
      </c>
    </row>
    <row r="1189" spans="1:4" x14ac:dyDescent="0.3">
      <c r="A1189" t="s">
        <v>26</v>
      </c>
      <c r="C1189" s="16">
        <v>46205</v>
      </c>
      <c r="D1189">
        <v>2207.8200000000002</v>
      </c>
    </row>
    <row r="1190" spans="1:4" x14ac:dyDescent="0.3">
      <c r="A1190" t="s">
        <v>27</v>
      </c>
      <c r="C1190" s="16">
        <v>46205</v>
      </c>
      <c r="D1190">
        <v>3349.94</v>
      </c>
    </row>
    <row r="1191" spans="1:4" x14ac:dyDescent="0.3">
      <c r="A1191" t="s">
        <v>28</v>
      </c>
      <c r="C1191" s="16">
        <v>46205</v>
      </c>
      <c r="D1191">
        <v>1968.99</v>
      </c>
    </row>
    <row r="1192" spans="1:4" x14ac:dyDescent="0.3">
      <c r="A1192" t="s">
        <v>29</v>
      </c>
      <c r="C1192" s="16">
        <v>46205</v>
      </c>
      <c r="D1192">
        <v>382.69000000000005</v>
      </c>
    </row>
    <row r="1193" spans="1:4" x14ac:dyDescent="0.3">
      <c r="A1193" t="s">
        <v>30</v>
      </c>
      <c r="C1193" s="16">
        <v>46205</v>
      </c>
      <c r="D1193">
        <v>1412.08</v>
      </c>
    </row>
    <row r="1194" spans="1:4" x14ac:dyDescent="0.3">
      <c r="A1194" t="s">
        <v>31</v>
      </c>
      <c r="C1194" s="16">
        <v>46205</v>
      </c>
      <c r="D1194">
        <v>22496.639999999959</v>
      </c>
    </row>
    <row r="1195" spans="1:4" x14ac:dyDescent="0.3">
      <c r="A1195" t="s">
        <v>32</v>
      </c>
      <c r="C1195" s="16">
        <v>46205</v>
      </c>
      <c r="D1195">
        <v>10522.800000000003</v>
      </c>
    </row>
    <row r="1196" spans="1:4" x14ac:dyDescent="0.3">
      <c r="A1196" t="s">
        <v>33</v>
      </c>
      <c r="C1196" s="16">
        <v>46205</v>
      </c>
      <c r="D1196">
        <v>24085.559999999998</v>
      </c>
    </row>
    <row r="1197" spans="1:4" x14ac:dyDescent="0.3">
      <c r="A1197" t="s">
        <v>34</v>
      </c>
      <c r="C1197" s="16">
        <v>46205</v>
      </c>
      <c r="D1197">
        <v>345</v>
      </c>
    </row>
    <row r="1198" spans="1:4" x14ac:dyDescent="0.3">
      <c r="A1198" t="s">
        <v>35</v>
      </c>
      <c r="C1198" s="16">
        <v>46205</v>
      </c>
      <c r="D1198">
        <v>36241.22</v>
      </c>
    </row>
    <row r="1199" spans="1:4" x14ac:dyDescent="0.3">
      <c r="A1199" t="s">
        <v>17</v>
      </c>
      <c r="C1199" s="16">
        <v>46206</v>
      </c>
      <c r="D1199">
        <v>5592585.7500000009</v>
      </c>
    </row>
    <row r="1200" spans="1:4" x14ac:dyDescent="0.3">
      <c r="A1200" t="s">
        <v>18</v>
      </c>
      <c r="C1200" s="16">
        <v>46206</v>
      </c>
      <c r="D1200">
        <v>79139.680000000168</v>
      </c>
    </row>
    <row r="1201" spans="1:4" x14ac:dyDescent="0.3">
      <c r="A1201" t="s">
        <v>19</v>
      </c>
      <c r="C1201" s="16">
        <v>46206</v>
      </c>
      <c r="D1201">
        <v>1669.89</v>
      </c>
    </row>
    <row r="1202" spans="1:4" x14ac:dyDescent="0.3">
      <c r="A1202" t="s">
        <v>20</v>
      </c>
      <c r="C1202" s="16">
        <v>46206</v>
      </c>
      <c r="D1202">
        <v>350475.62999999989</v>
      </c>
    </row>
    <row r="1203" spans="1:4" x14ac:dyDescent="0.3">
      <c r="A1203" t="s">
        <v>21</v>
      </c>
      <c r="C1203" s="16">
        <v>46206</v>
      </c>
      <c r="D1203">
        <v>1761564.8799999994</v>
      </c>
    </row>
    <row r="1204" spans="1:4" x14ac:dyDescent="0.3">
      <c r="A1204" t="s">
        <v>22</v>
      </c>
      <c r="C1204" s="16">
        <v>46206</v>
      </c>
      <c r="D1204">
        <v>220496.38</v>
      </c>
    </row>
    <row r="1205" spans="1:4" x14ac:dyDescent="0.3">
      <c r="A1205" t="s">
        <v>23</v>
      </c>
      <c r="C1205" s="16">
        <v>46206</v>
      </c>
      <c r="D1205">
        <v>88090.37</v>
      </c>
    </row>
    <row r="1206" spans="1:4" x14ac:dyDescent="0.3">
      <c r="A1206" t="s">
        <v>24</v>
      </c>
      <c r="C1206" s="16">
        <v>46206</v>
      </c>
      <c r="D1206">
        <v>471.15999999999985</v>
      </c>
    </row>
    <row r="1207" spans="1:4" x14ac:dyDescent="0.3">
      <c r="A1207" t="s">
        <v>25</v>
      </c>
      <c r="C1207" s="16">
        <v>46206</v>
      </c>
      <c r="D1207">
        <v>54.400000000000006</v>
      </c>
    </row>
    <row r="1208" spans="1:4" x14ac:dyDescent="0.3">
      <c r="A1208" t="s">
        <v>26</v>
      </c>
      <c r="C1208" s="16">
        <v>46206</v>
      </c>
      <c r="D1208">
        <v>2207.8200000000002</v>
      </c>
    </row>
    <row r="1209" spans="1:4" x14ac:dyDescent="0.3">
      <c r="A1209" t="s">
        <v>27</v>
      </c>
      <c r="C1209" s="16">
        <v>46206</v>
      </c>
      <c r="D1209">
        <v>3349.94</v>
      </c>
    </row>
    <row r="1210" spans="1:4" x14ac:dyDescent="0.3">
      <c r="A1210" t="s">
        <v>28</v>
      </c>
      <c r="C1210" s="16">
        <v>46206</v>
      </c>
      <c r="D1210">
        <v>1968.99</v>
      </c>
    </row>
    <row r="1211" spans="1:4" x14ac:dyDescent="0.3">
      <c r="A1211" t="s">
        <v>29</v>
      </c>
      <c r="C1211" s="16">
        <v>46206</v>
      </c>
      <c r="D1211">
        <v>382.69000000000005</v>
      </c>
    </row>
    <row r="1212" spans="1:4" x14ac:dyDescent="0.3">
      <c r="A1212" t="s">
        <v>30</v>
      </c>
      <c r="C1212" s="16">
        <v>46206</v>
      </c>
      <c r="D1212">
        <v>1412.08</v>
      </c>
    </row>
    <row r="1213" spans="1:4" x14ac:dyDescent="0.3">
      <c r="A1213" t="s">
        <v>31</v>
      </c>
      <c r="C1213" s="16">
        <v>46206</v>
      </c>
      <c r="D1213">
        <v>22496.639999999959</v>
      </c>
    </row>
    <row r="1214" spans="1:4" x14ac:dyDescent="0.3">
      <c r="A1214" t="s">
        <v>32</v>
      </c>
      <c r="C1214" s="16">
        <v>46206</v>
      </c>
      <c r="D1214">
        <v>10522.800000000003</v>
      </c>
    </row>
    <row r="1215" spans="1:4" x14ac:dyDescent="0.3">
      <c r="A1215" t="s">
        <v>33</v>
      </c>
      <c r="C1215" s="16">
        <v>46206</v>
      </c>
      <c r="D1215">
        <v>24085.559999999998</v>
      </c>
    </row>
    <row r="1216" spans="1:4" x14ac:dyDescent="0.3">
      <c r="A1216" t="s">
        <v>34</v>
      </c>
      <c r="C1216" s="16">
        <v>46206</v>
      </c>
      <c r="D1216">
        <v>345</v>
      </c>
    </row>
    <row r="1217" spans="1:4" x14ac:dyDescent="0.3">
      <c r="A1217" t="s">
        <v>35</v>
      </c>
      <c r="C1217" s="16">
        <v>46206</v>
      </c>
      <c r="D1217">
        <v>33119.040000000001</v>
      </c>
    </row>
    <row r="1218" spans="1:4" x14ac:dyDescent="0.3">
      <c r="A1218" t="s">
        <v>17</v>
      </c>
      <c r="C1218" s="16">
        <v>46207</v>
      </c>
      <c r="D1218">
        <v>5592585.7500000009</v>
      </c>
    </row>
    <row r="1219" spans="1:4" x14ac:dyDescent="0.3">
      <c r="A1219" t="s">
        <v>18</v>
      </c>
      <c r="C1219" s="16">
        <v>46207</v>
      </c>
      <c r="D1219">
        <v>79139.680000000168</v>
      </c>
    </row>
    <row r="1220" spans="1:4" x14ac:dyDescent="0.3">
      <c r="A1220" t="s">
        <v>19</v>
      </c>
      <c r="C1220" s="16">
        <v>46207</v>
      </c>
      <c r="D1220">
        <v>1669.89</v>
      </c>
    </row>
    <row r="1221" spans="1:4" x14ac:dyDescent="0.3">
      <c r="A1221" t="s">
        <v>20</v>
      </c>
      <c r="C1221" s="16">
        <v>46207</v>
      </c>
      <c r="D1221">
        <v>350475.62999999989</v>
      </c>
    </row>
    <row r="1222" spans="1:4" x14ac:dyDescent="0.3">
      <c r="A1222" t="s">
        <v>21</v>
      </c>
      <c r="C1222" s="16">
        <v>46207</v>
      </c>
      <c r="D1222">
        <v>1761564.8799999994</v>
      </c>
    </row>
    <row r="1223" spans="1:4" x14ac:dyDescent="0.3">
      <c r="A1223" t="s">
        <v>22</v>
      </c>
      <c r="C1223" s="16">
        <v>46207</v>
      </c>
      <c r="D1223">
        <v>220496.38</v>
      </c>
    </row>
    <row r="1224" spans="1:4" x14ac:dyDescent="0.3">
      <c r="A1224" t="s">
        <v>23</v>
      </c>
      <c r="C1224" s="16">
        <v>46207</v>
      </c>
      <c r="D1224">
        <v>88090.37</v>
      </c>
    </row>
    <row r="1225" spans="1:4" x14ac:dyDescent="0.3">
      <c r="A1225" t="s">
        <v>24</v>
      </c>
      <c r="C1225" s="16">
        <v>46207</v>
      </c>
      <c r="D1225">
        <v>471.15999999999985</v>
      </c>
    </row>
    <row r="1226" spans="1:4" x14ac:dyDescent="0.3">
      <c r="A1226" t="s">
        <v>25</v>
      </c>
      <c r="C1226" s="16">
        <v>46207</v>
      </c>
      <c r="D1226">
        <v>54.400000000000006</v>
      </c>
    </row>
    <row r="1227" spans="1:4" x14ac:dyDescent="0.3">
      <c r="A1227" t="s">
        <v>26</v>
      </c>
      <c r="C1227" s="16">
        <v>46207</v>
      </c>
      <c r="D1227">
        <v>2207.8200000000002</v>
      </c>
    </row>
    <row r="1228" spans="1:4" x14ac:dyDescent="0.3">
      <c r="A1228" t="s">
        <v>27</v>
      </c>
      <c r="C1228" s="16">
        <v>46207</v>
      </c>
      <c r="D1228">
        <v>3349.94</v>
      </c>
    </row>
    <row r="1229" spans="1:4" x14ac:dyDescent="0.3">
      <c r="A1229" t="s">
        <v>28</v>
      </c>
      <c r="C1229" s="16">
        <v>46207</v>
      </c>
      <c r="D1229">
        <v>1968.99</v>
      </c>
    </row>
    <row r="1230" spans="1:4" x14ac:dyDescent="0.3">
      <c r="A1230" t="s">
        <v>29</v>
      </c>
      <c r="C1230" s="16">
        <v>46207</v>
      </c>
      <c r="D1230">
        <v>382.69000000000005</v>
      </c>
    </row>
    <row r="1231" spans="1:4" x14ac:dyDescent="0.3">
      <c r="A1231" t="s">
        <v>30</v>
      </c>
      <c r="C1231" s="16">
        <v>46207</v>
      </c>
      <c r="D1231">
        <v>1412.08</v>
      </c>
    </row>
    <row r="1232" spans="1:4" x14ac:dyDescent="0.3">
      <c r="A1232" t="s">
        <v>31</v>
      </c>
      <c r="C1232" s="16">
        <v>46207</v>
      </c>
      <c r="D1232">
        <v>22496.639999999959</v>
      </c>
    </row>
    <row r="1233" spans="1:4" x14ac:dyDescent="0.3">
      <c r="A1233" t="s">
        <v>32</v>
      </c>
      <c r="C1233" s="16">
        <v>46207</v>
      </c>
      <c r="D1233">
        <v>10522.800000000003</v>
      </c>
    </row>
    <row r="1234" spans="1:4" x14ac:dyDescent="0.3">
      <c r="A1234" t="s">
        <v>33</v>
      </c>
      <c r="C1234" s="16">
        <v>46207</v>
      </c>
      <c r="D1234">
        <v>24085.559999999998</v>
      </c>
    </row>
    <row r="1235" spans="1:4" x14ac:dyDescent="0.3">
      <c r="A1235" t="s">
        <v>34</v>
      </c>
      <c r="C1235" s="16">
        <v>46207</v>
      </c>
      <c r="D1235">
        <v>345</v>
      </c>
    </row>
    <row r="1236" spans="1:4" x14ac:dyDescent="0.3">
      <c r="A1236" t="s">
        <v>35</v>
      </c>
      <c r="C1236" s="16">
        <v>46207</v>
      </c>
      <c r="D1236">
        <v>33119.040000000001</v>
      </c>
    </row>
    <row r="1237" spans="1:4" x14ac:dyDescent="0.3">
      <c r="A1237" t="s">
        <v>17</v>
      </c>
      <c r="C1237" s="16">
        <v>46208</v>
      </c>
      <c r="D1237">
        <v>5592585.7500000009</v>
      </c>
    </row>
    <row r="1238" spans="1:4" x14ac:dyDescent="0.3">
      <c r="A1238" t="s">
        <v>18</v>
      </c>
      <c r="C1238" s="16">
        <v>46208</v>
      </c>
      <c r="D1238">
        <v>79139.680000000168</v>
      </c>
    </row>
    <row r="1239" spans="1:4" x14ac:dyDescent="0.3">
      <c r="A1239" t="s">
        <v>19</v>
      </c>
      <c r="C1239" s="16">
        <v>46208</v>
      </c>
      <c r="D1239">
        <v>1669.89</v>
      </c>
    </row>
    <row r="1240" spans="1:4" x14ac:dyDescent="0.3">
      <c r="A1240" t="s">
        <v>20</v>
      </c>
      <c r="C1240" s="16">
        <v>46208</v>
      </c>
      <c r="D1240">
        <v>350475.62999999989</v>
      </c>
    </row>
    <row r="1241" spans="1:4" x14ac:dyDescent="0.3">
      <c r="A1241" t="s">
        <v>21</v>
      </c>
      <c r="C1241" s="16">
        <v>46208</v>
      </c>
      <c r="D1241">
        <v>1761564.8799999994</v>
      </c>
    </row>
    <row r="1242" spans="1:4" x14ac:dyDescent="0.3">
      <c r="A1242" t="s">
        <v>22</v>
      </c>
      <c r="C1242" s="16">
        <v>46208</v>
      </c>
      <c r="D1242">
        <v>220496.38</v>
      </c>
    </row>
    <row r="1243" spans="1:4" x14ac:dyDescent="0.3">
      <c r="A1243" t="s">
        <v>23</v>
      </c>
      <c r="C1243" s="16">
        <v>46208</v>
      </c>
      <c r="D1243">
        <v>88090.37</v>
      </c>
    </row>
    <row r="1244" spans="1:4" x14ac:dyDescent="0.3">
      <c r="A1244" t="s">
        <v>24</v>
      </c>
      <c r="C1244" s="16">
        <v>46208</v>
      </c>
      <c r="D1244">
        <v>471.15999999999985</v>
      </c>
    </row>
    <row r="1245" spans="1:4" x14ac:dyDescent="0.3">
      <c r="A1245" t="s">
        <v>25</v>
      </c>
      <c r="C1245" s="16">
        <v>46208</v>
      </c>
      <c r="D1245">
        <v>54.400000000000006</v>
      </c>
    </row>
    <row r="1246" spans="1:4" x14ac:dyDescent="0.3">
      <c r="A1246" t="s">
        <v>26</v>
      </c>
      <c r="C1246" s="16">
        <v>46208</v>
      </c>
      <c r="D1246">
        <v>2207.8200000000002</v>
      </c>
    </row>
    <row r="1247" spans="1:4" x14ac:dyDescent="0.3">
      <c r="A1247" t="s">
        <v>27</v>
      </c>
      <c r="C1247" s="16">
        <v>46208</v>
      </c>
      <c r="D1247">
        <v>3349.94</v>
      </c>
    </row>
    <row r="1248" spans="1:4" x14ac:dyDescent="0.3">
      <c r="A1248" t="s">
        <v>28</v>
      </c>
      <c r="C1248" s="16">
        <v>46208</v>
      </c>
      <c r="D1248">
        <v>1968.99</v>
      </c>
    </row>
    <row r="1249" spans="1:4" x14ac:dyDescent="0.3">
      <c r="A1249" t="s">
        <v>29</v>
      </c>
      <c r="C1249" s="16">
        <v>46208</v>
      </c>
      <c r="D1249">
        <v>382.69000000000005</v>
      </c>
    </row>
    <row r="1250" spans="1:4" x14ac:dyDescent="0.3">
      <c r="A1250" t="s">
        <v>30</v>
      </c>
      <c r="C1250" s="16">
        <v>46208</v>
      </c>
      <c r="D1250">
        <v>1412.08</v>
      </c>
    </row>
    <row r="1251" spans="1:4" x14ac:dyDescent="0.3">
      <c r="A1251" t="s">
        <v>31</v>
      </c>
      <c r="C1251" s="16">
        <v>46208</v>
      </c>
      <c r="D1251">
        <v>22496.639999999959</v>
      </c>
    </row>
    <row r="1252" spans="1:4" x14ac:dyDescent="0.3">
      <c r="A1252" t="s">
        <v>32</v>
      </c>
      <c r="C1252" s="16">
        <v>46208</v>
      </c>
      <c r="D1252">
        <v>10522.800000000003</v>
      </c>
    </row>
    <row r="1253" spans="1:4" x14ac:dyDescent="0.3">
      <c r="A1253" t="s">
        <v>33</v>
      </c>
      <c r="C1253" s="16">
        <v>46208</v>
      </c>
      <c r="D1253">
        <v>24085.559999999998</v>
      </c>
    </row>
    <row r="1254" spans="1:4" x14ac:dyDescent="0.3">
      <c r="A1254" t="s">
        <v>34</v>
      </c>
      <c r="C1254" s="16">
        <v>46208</v>
      </c>
      <c r="D1254">
        <v>345</v>
      </c>
    </row>
    <row r="1255" spans="1:4" x14ac:dyDescent="0.3">
      <c r="A1255" t="s">
        <v>35</v>
      </c>
      <c r="C1255" s="16">
        <v>46208</v>
      </c>
      <c r="D1255">
        <v>33119.040000000001</v>
      </c>
    </row>
    <row r="1256" spans="1:4" x14ac:dyDescent="0.3">
      <c r="A1256" t="s">
        <v>17</v>
      </c>
      <c r="C1256" s="16">
        <v>46209</v>
      </c>
      <c r="D1256">
        <v>5592585.7500000009</v>
      </c>
    </row>
    <row r="1257" spans="1:4" x14ac:dyDescent="0.3">
      <c r="A1257" t="s">
        <v>18</v>
      </c>
      <c r="C1257" s="16">
        <v>46209</v>
      </c>
      <c r="D1257">
        <v>79139.680000000168</v>
      </c>
    </row>
    <row r="1258" spans="1:4" x14ac:dyDescent="0.3">
      <c r="A1258" t="s">
        <v>19</v>
      </c>
      <c r="C1258" s="16">
        <v>46209</v>
      </c>
      <c r="D1258">
        <v>1669.89</v>
      </c>
    </row>
    <row r="1259" spans="1:4" x14ac:dyDescent="0.3">
      <c r="A1259" t="s">
        <v>20</v>
      </c>
      <c r="C1259" s="16">
        <v>46209</v>
      </c>
      <c r="D1259">
        <v>350475.62999999989</v>
      </c>
    </row>
    <row r="1260" spans="1:4" x14ac:dyDescent="0.3">
      <c r="A1260" t="s">
        <v>21</v>
      </c>
      <c r="C1260" s="16">
        <v>46209</v>
      </c>
      <c r="D1260">
        <v>1761026.4599999995</v>
      </c>
    </row>
    <row r="1261" spans="1:4" x14ac:dyDescent="0.3">
      <c r="A1261" t="s">
        <v>22</v>
      </c>
      <c r="C1261" s="16">
        <v>46209</v>
      </c>
      <c r="D1261">
        <v>220496.38</v>
      </c>
    </row>
    <row r="1262" spans="1:4" x14ac:dyDescent="0.3">
      <c r="A1262" t="s">
        <v>23</v>
      </c>
      <c r="C1262" s="16">
        <v>46209</v>
      </c>
      <c r="D1262">
        <v>88090.37</v>
      </c>
    </row>
    <row r="1263" spans="1:4" x14ac:dyDescent="0.3">
      <c r="A1263" t="s">
        <v>24</v>
      </c>
      <c r="C1263" s="16">
        <v>46209</v>
      </c>
      <c r="D1263">
        <v>471.15999999999985</v>
      </c>
    </row>
    <row r="1264" spans="1:4" x14ac:dyDescent="0.3">
      <c r="A1264" t="s">
        <v>25</v>
      </c>
      <c r="C1264" s="16">
        <v>46209</v>
      </c>
      <c r="D1264">
        <v>54.400000000000006</v>
      </c>
    </row>
    <row r="1265" spans="1:4" x14ac:dyDescent="0.3">
      <c r="A1265" t="s">
        <v>26</v>
      </c>
      <c r="C1265" s="16">
        <v>46209</v>
      </c>
      <c r="D1265">
        <v>2207.8200000000002</v>
      </c>
    </row>
    <row r="1266" spans="1:4" x14ac:dyDescent="0.3">
      <c r="A1266" t="s">
        <v>27</v>
      </c>
      <c r="C1266" s="16">
        <v>46209</v>
      </c>
      <c r="D1266">
        <v>3349.94</v>
      </c>
    </row>
    <row r="1267" spans="1:4" x14ac:dyDescent="0.3">
      <c r="A1267" t="s">
        <v>28</v>
      </c>
      <c r="C1267" s="16">
        <v>46209</v>
      </c>
      <c r="D1267">
        <v>1968.99</v>
      </c>
    </row>
    <row r="1268" spans="1:4" x14ac:dyDescent="0.3">
      <c r="A1268" t="s">
        <v>29</v>
      </c>
      <c r="C1268" s="16">
        <v>46209</v>
      </c>
      <c r="D1268">
        <v>382.69000000000005</v>
      </c>
    </row>
    <row r="1269" spans="1:4" x14ac:dyDescent="0.3">
      <c r="A1269" t="s">
        <v>30</v>
      </c>
      <c r="C1269" s="16">
        <v>46209</v>
      </c>
      <c r="D1269">
        <v>1412.08</v>
      </c>
    </row>
    <row r="1270" spans="1:4" x14ac:dyDescent="0.3">
      <c r="A1270" t="s">
        <v>31</v>
      </c>
      <c r="C1270" s="16">
        <v>46209</v>
      </c>
      <c r="D1270">
        <v>22496.639999999959</v>
      </c>
    </row>
    <row r="1271" spans="1:4" x14ac:dyDescent="0.3">
      <c r="A1271" t="s">
        <v>32</v>
      </c>
      <c r="C1271" s="16">
        <v>46209</v>
      </c>
      <c r="D1271">
        <v>10522.800000000003</v>
      </c>
    </row>
    <row r="1272" spans="1:4" x14ac:dyDescent="0.3">
      <c r="A1272" t="s">
        <v>33</v>
      </c>
      <c r="C1272" s="16">
        <v>46209</v>
      </c>
      <c r="D1272">
        <v>24085.559999999998</v>
      </c>
    </row>
    <row r="1273" spans="1:4" x14ac:dyDescent="0.3">
      <c r="A1273" t="s">
        <v>34</v>
      </c>
      <c r="C1273" s="16">
        <v>46209</v>
      </c>
      <c r="D1273">
        <v>345</v>
      </c>
    </row>
    <row r="1274" spans="1:4" x14ac:dyDescent="0.3">
      <c r="A1274" t="s">
        <v>35</v>
      </c>
      <c r="C1274" s="16">
        <v>46209</v>
      </c>
      <c r="D1274">
        <v>15165.34</v>
      </c>
    </row>
    <row r="1275" spans="1:4" x14ac:dyDescent="0.3">
      <c r="A1275" t="s">
        <v>17</v>
      </c>
      <c r="C1275" s="16">
        <v>46210</v>
      </c>
      <c r="D1275">
        <v>5592585.7500000009</v>
      </c>
    </row>
    <row r="1276" spans="1:4" x14ac:dyDescent="0.3">
      <c r="A1276" t="s">
        <v>18</v>
      </c>
      <c r="C1276" s="16">
        <v>46210</v>
      </c>
      <c r="D1276">
        <v>79139.680000000168</v>
      </c>
    </row>
    <row r="1277" spans="1:4" x14ac:dyDescent="0.3">
      <c r="A1277" t="s">
        <v>19</v>
      </c>
      <c r="C1277" s="16">
        <v>46210</v>
      </c>
      <c r="D1277">
        <v>1669.89</v>
      </c>
    </row>
    <row r="1278" spans="1:4" x14ac:dyDescent="0.3">
      <c r="A1278" t="s">
        <v>20</v>
      </c>
      <c r="C1278" s="16">
        <v>46210</v>
      </c>
      <c r="D1278">
        <v>350475.62999999989</v>
      </c>
    </row>
    <row r="1279" spans="1:4" x14ac:dyDescent="0.3">
      <c r="A1279" t="s">
        <v>21</v>
      </c>
      <c r="C1279" s="16">
        <v>46210</v>
      </c>
      <c r="D1279">
        <v>1761026.4599999995</v>
      </c>
    </row>
    <row r="1280" spans="1:4" x14ac:dyDescent="0.3">
      <c r="A1280" t="s">
        <v>22</v>
      </c>
      <c r="C1280" s="16">
        <v>46210</v>
      </c>
      <c r="D1280">
        <v>220496.38</v>
      </c>
    </row>
    <row r="1281" spans="1:4" x14ac:dyDescent="0.3">
      <c r="A1281" t="s">
        <v>23</v>
      </c>
      <c r="C1281" s="16">
        <v>46210</v>
      </c>
      <c r="D1281">
        <v>88090.37</v>
      </c>
    </row>
    <row r="1282" spans="1:4" x14ac:dyDescent="0.3">
      <c r="A1282" t="s">
        <v>24</v>
      </c>
      <c r="C1282" s="16">
        <v>46210</v>
      </c>
      <c r="D1282">
        <v>471.15999999999985</v>
      </c>
    </row>
    <row r="1283" spans="1:4" x14ac:dyDescent="0.3">
      <c r="A1283" t="s">
        <v>25</v>
      </c>
      <c r="C1283" s="16">
        <v>46210</v>
      </c>
      <c r="D1283">
        <v>54.400000000000006</v>
      </c>
    </row>
    <row r="1284" spans="1:4" x14ac:dyDescent="0.3">
      <c r="A1284" t="s">
        <v>26</v>
      </c>
      <c r="C1284" s="16">
        <v>46210</v>
      </c>
      <c r="D1284">
        <v>2207.8200000000002</v>
      </c>
    </row>
    <row r="1285" spans="1:4" x14ac:dyDescent="0.3">
      <c r="A1285" t="s">
        <v>27</v>
      </c>
      <c r="C1285" s="16">
        <v>46210</v>
      </c>
      <c r="D1285">
        <v>3349.94</v>
      </c>
    </row>
    <row r="1286" spans="1:4" x14ac:dyDescent="0.3">
      <c r="A1286" t="s">
        <v>28</v>
      </c>
      <c r="C1286" s="16">
        <v>46210</v>
      </c>
      <c r="D1286">
        <v>1968.99</v>
      </c>
    </row>
    <row r="1287" spans="1:4" x14ac:dyDescent="0.3">
      <c r="A1287" t="s">
        <v>29</v>
      </c>
      <c r="C1287" s="16">
        <v>46210</v>
      </c>
      <c r="D1287">
        <v>382.69000000000005</v>
      </c>
    </row>
    <row r="1288" spans="1:4" x14ac:dyDescent="0.3">
      <c r="A1288" t="s">
        <v>30</v>
      </c>
      <c r="C1288" s="16">
        <v>46210</v>
      </c>
      <c r="D1288">
        <v>1412.08</v>
      </c>
    </row>
    <row r="1289" spans="1:4" x14ac:dyDescent="0.3">
      <c r="A1289" t="s">
        <v>31</v>
      </c>
      <c r="C1289" s="16">
        <v>46210</v>
      </c>
      <c r="D1289">
        <v>22496.639999999959</v>
      </c>
    </row>
    <row r="1290" spans="1:4" x14ac:dyDescent="0.3">
      <c r="A1290" t="s">
        <v>32</v>
      </c>
      <c r="C1290" s="16">
        <v>46210</v>
      </c>
      <c r="D1290">
        <v>10522.800000000003</v>
      </c>
    </row>
    <row r="1291" spans="1:4" x14ac:dyDescent="0.3">
      <c r="A1291" t="s">
        <v>33</v>
      </c>
      <c r="C1291" s="16">
        <v>46210</v>
      </c>
      <c r="D1291">
        <v>24085.559999999998</v>
      </c>
    </row>
    <row r="1292" spans="1:4" x14ac:dyDescent="0.3">
      <c r="A1292" t="s">
        <v>34</v>
      </c>
      <c r="C1292" s="16">
        <v>46210</v>
      </c>
      <c r="D1292">
        <v>345</v>
      </c>
    </row>
    <row r="1293" spans="1:4" x14ac:dyDescent="0.3">
      <c r="A1293" t="s">
        <v>35</v>
      </c>
      <c r="C1293" s="16">
        <v>46210</v>
      </c>
      <c r="D1293">
        <v>14498.59</v>
      </c>
    </row>
    <row r="1294" spans="1:4" x14ac:dyDescent="0.3">
      <c r="A1294" t="s">
        <v>17</v>
      </c>
      <c r="C1294" s="16">
        <v>46211</v>
      </c>
      <c r="D1294">
        <v>5592585.7500000009</v>
      </c>
    </row>
    <row r="1295" spans="1:4" x14ac:dyDescent="0.3">
      <c r="A1295" t="s">
        <v>18</v>
      </c>
      <c r="C1295" s="16">
        <v>46211</v>
      </c>
      <c r="D1295">
        <v>79139.680000000168</v>
      </c>
    </row>
    <row r="1296" spans="1:4" x14ac:dyDescent="0.3">
      <c r="A1296" t="s">
        <v>19</v>
      </c>
      <c r="C1296" s="16">
        <v>46211</v>
      </c>
      <c r="D1296">
        <v>1669.89</v>
      </c>
    </row>
    <row r="1297" spans="1:4" x14ac:dyDescent="0.3">
      <c r="A1297" t="s">
        <v>20</v>
      </c>
      <c r="C1297" s="16">
        <v>46211</v>
      </c>
      <c r="D1297">
        <v>350475.62999999989</v>
      </c>
    </row>
    <row r="1298" spans="1:4" x14ac:dyDescent="0.3">
      <c r="A1298" t="s">
        <v>21</v>
      </c>
      <c r="C1298" s="16">
        <v>46211</v>
      </c>
      <c r="D1298">
        <v>1751695.8399999994</v>
      </c>
    </row>
    <row r="1299" spans="1:4" x14ac:dyDescent="0.3">
      <c r="A1299" t="s">
        <v>22</v>
      </c>
      <c r="C1299" s="16">
        <v>46211</v>
      </c>
      <c r="D1299">
        <v>220496.38</v>
      </c>
    </row>
    <row r="1300" spans="1:4" x14ac:dyDescent="0.3">
      <c r="A1300" t="s">
        <v>23</v>
      </c>
      <c r="C1300" s="16">
        <v>46211</v>
      </c>
      <c r="D1300">
        <v>88090.37</v>
      </c>
    </row>
    <row r="1301" spans="1:4" x14ac:dyDescent="0.3">
      <c r="A1301" t="s">
        <v>24</v>
      </c>
      <c r="C1301" s="16">
        <v>46211</v>
      </c>
      <c r="D1301">
        <v>471.15999999999985</v>
      </c>
    </row>
    <row r="1302" spans="1:4" x14ac:dyDescent="0.3">
      <c r="A1302" t="s">
        <v>25</v>
      </c>
      <c r="C1302" s="16">
        <v>46211</v>
      </c>
      <c r="D1302">
        <v>54.400000000000006</v>
      </c>
    </row>
    <row r="1303" spans="1:4" x14ac:dyDescent="0.3">
      <c r="A1303" t="s">
        <v>26</v>
      </c>
      <c r="C1303" s="16">
        <v>46211</v>
      </c>
      <c r="D1303">
        <v>2207.8200000000002</v>
      </c>
    </row>
    <row r="1304" spans="1:4" x14ac:dyDescent="0.3">
      <c r="A1304" t="s">
        <v>27</v>
      </c>
      <c r="C1304" s="16">
        <v>46211</v>
      </c>
      <c r="D1304">
        <v>3349.94</v>
      </c>
    </row>
    <row r="1305" spans="1:4" x14ac:dyDescent="0.3">
      <c r="A1305" t="s">
        <v>28</v>
      </c>
      <c r="C1305" s="16">
        <v>46211</v>
      </c>
      <c r="D1305">
        <v>1968.99</v>
      </c>
    </row>
    <row r="1306" spans="1:4" x14ac:dyDescent="0.3">
      <c r="A1306" t="s">
        <v>29</v>
      </c>
      <c r="C1306" s="16">
        <v>46211</v>
      </c>
      <c r="D1306">
        <v>382.69000000000005</v>
      </c>
    </row>
    <row r="1307" spans="1:4" x14ac:dyDescent="0.3">
      <c r="A1307" t="s">
        <v>30</v>
      </c>
      <c r="C1307" s="16">
        <v>46211</v>
      </c>
      <c r="D1307">
        <v>1412.08</v>
      </c>
    </row>
    <row r="1308" spans="1:4" x14ac:dyDescent="0.3">
      <c r="A1308" t="s">
        <v>31</v>
      </c>
      <c r="C1308" s="16">
        <v>46211</v>
      </c>
      <c r="D1308">
        <v>22496.639999999959</v>
      </c>
    </row>
    <row r="1309" spans="1:4" x14ac:dyDescent="0.3">
      <c r="A1309" t="s">
        <v>32</v>
      </c>
      <c r="C1309" s="16">
        <v>46211</v>
      </c>
      <c r="D1309">
        <v>6522.8000000000029</v>
      </c>
    </row>
    <row r="1310" spans="1:4" x14ac:dyDescent="0.3">
      <c r="A1310" t="s">
        <v>33</v>
      </c>
      <c r="C1310" s="16">
        <v>46211</v>
      </c>
      <c r="D1310">
        <v>24085.559999999998</v>
      </c>
    </row>
    <row r="1311" spans="1:4" x14ac:dyDescent="0.3">
      <c r="A1311" t="s">
        <v>34</v>
      </c>
      <c r="C1311" s="16">
        <v>46211</v>
      </c>
      <c r="D1311">
        <v>345</v>
      </c>
    </row>
    <row r="1312" spans="1:4" x14ac:dyDescent="0.3">
      <c r="A1312" t="s">
        <v>35</v>
      </c>
      <c r="C1312" s="16">
        <v>46211</v>
      </c>
      <c r="D1312">
        <v>14498.59</v>
      </c>
    </row>
    <row r="1313" spans="1:4" x14ac:dyDescent="0.3">
      <c r="A1313" t="s">
        <v>17</v>
      </c>
      <c r="C1313" s="16">
        <v>46212</v>
      </c>
      <c r="D1313">
        <v>4377944.080000001</v>
      </c>
    </row>
    <row r="1314" spans="1:4" x14ac:dyDescent="0.3">
      <c r="A1314" t="s">
        <v>18</v>
      </c>
      <c r="C1314" s="16">
        <v>46212</v>
      </c>
      <c r="D1314">
        <v>73157.680000000168</v>
      </c>
    </row>
    <row r="1315" spans="1:4" x14ac:dyDescent="0.3">
      <c r="A1315" t="s">
        <v>19</v>
      </c>
      <c r="C1315" s="16">
        <v>46212</v>
      </c>
      <c r="D1315">
        <v>1669.89</v>
      </c>
    </row>
    <row r="1316" spans="1:4" x14ac:dyDescent="0.3">
      <c r="A1316" t="s">
        <v>20</v>
      </c>
      <c r="C1316" s="16">
        <v>46212</v>
      </c>
      <c r="D1316">
        <v>290475.62999999989</v>
      </c>
    </row>
    <row r="1317" spans="1:4" x14ac:dyDescent="0.3">
      <c r="A1317" t="s">
        <v>21</v>
      </c>
      <c r="C1317" s="16">
        <v>46212</v>
      </c>
      <c r="D1317">
        <v>2119592.9399999995</v>
      </c>
    </row>
    <row r="1318" spans="1:4" x14ac:dyDescent="0.3">
      <c r="A1318" t="s">
        <v>22</v>
      </c>
      <c r="C1318" s="16">
        <v>46212</v>
      </c>
      <c r="D1318">
        <v>200496.38</v>
      </c>
    </row>
    <row r="1319" spans="1:4" x14ac:dyDescent="0.3">
      <c r="A1319" t="s">
        <v>23</v>
      </c>
      <c r="C1319" s="16">
        <v>46212</v>
      </c>
      <c r="D1319">
        <v>88090.37</v>
      </c>
    </row>
    <row r="1320" spans="1:4" x14ac:dyDescent="0.3">
      <c r="A1320" t="s">
        <v>24</v>
      </c>
      <c r="C1320" s="16">
        <v>46212</v>
      </c>
      <c r="D1320">
        <v>15130.45</v>
      </c>
    </row>
    <row r="1321" spans="1:4" x14ac:dyDescent="0.3">
      <c r="A1321" t="s">
        <v>25</v>
      </c>
      <c r="C1321" s="16">
        <v>46212</v>
      </c>
      <c r="D1321">
        <v>54.400000000000006</v>
      </c>
    </row>
    <row r="1322" spans="1:4" x14ac:dyDescent="0.3">
      <c r="A1322" t="s">
        <v>26</v>
      </c>
      <c r="C1322" s="16">
        <v>46212</v>
      </c>
      <c r="D1322">
        <v>2207.8200000000002</v>
      </c>
    </row>
    <row r="1323" spans="1:4" x14ac:dyDescent="0.3">
      <c r="A1323" t="s">
        <v>27</v>
      </c>
      <c r="C1323" s="16">
        <v>46212</v>
      </c>
      <c r="D1323">
        <v>3349.94</v>
      </c>
    </row>
    <row r="1324" spans="1:4" x14ac:dyDescent="0.3">
      <c r="A1324" t="s">
        <v>28</v>
      </c>
      <c r="C1324" s="16">
        <v>46212</v>
      </c>
      <c r="D1324">
        <v>1968.99</v>
      </c>
    </row>
    <row r="1325" spans="1:4" x14ac:dyDescent="0.3">
      <c r="A1325" t="s">
        <v>29</v>
      </c>
      <c r="C1325" s="16">
        <v>46212</v>
      </c>
      <c r="D1325">
        <v>382.69000000000005</v>
      </c>
    </row>
    <row r="1326" spans="1:4" x14ac:dyDescent="0.3">
      <c r="A1326" t="s">
        <v>30</v>
      </c>
      <c r="C1326" s="16">
        <v>46212</v>
      </c>
      <c r="D1326">
        <v>1412.08</v>
      </c>
    </row>
    <row r="1327" spans="1:4" x14ac:dyDescent="0.3">
      <c r="A1327" t="s">
        <v>31</v>
      </c>
      <c r="C1327" s="16">
        <v>46212</v>
      </c>
      <c r="D1327">
        <v>22496.639999999959</v>
      </c>
    </row>
    <row r="1328" spans="1:4" x14ac:dyDescent="0.3">
      <c r="A1328" t="s">
        <v>32</v>
      </c>
      <c r="C1328" s="16">
        <v>46212</v>
      </c>
      <c r="D1328">
        <v>6522.8000000000029</v>
      </c>
    </row>
    <row r="1329" spans="1:4" x14ac:dyDescent="0.3">
      <c r="A1329" t="s">
        <v>33</v>
      </c>
      <c r="C1329" s="16">
        <v>46212</v>
      </c>
      <c r="D1329">
        <v>24085.559999999998</v>
      </c>
    </row>
    <row r="1330" spans="1:4" x14ac:dyDescent="0.3">
      <c r="A1330" t="s">
        <v>34</v>
      </c>
      <c r="C1330" s="16">
        <v>46212</v>
      </c>
      <c r="D1330">
        <v>345</v>
      </c>
    </row>
    <row r="1331" spans="1:4" x14ac:dyDescent="0.3">
      <c r="A1331" t="s">
        <v>35</v>
      </c>
      <c r="C1331" s="16">
        <v>46212</v>
      </c>
      <c r="D1331">
        <v>31900.120000000003</v>
      </c>
    </row>
    <row r="1332" spans="1:4" x14ac:dyDescent="0.3">
      <c r="A1332" t="s">
        <v>17</v>
      </c>
      <c r="C1332" s="16">
        <v>46213</v>
      </c>
      <c r="D1332">
        <v>4163755.7500000005</v>
      </c>
    </row>
    <row r="1333" spans="1:4" x14ac:dyDescent="0.3">
      <c r="A1333" t="s">
        <v>18</v>
      </c>
      <c r="C1333" s="16">
        <v>46213</v>
      </c>
      <c r="D1333">
        <v>73157.680000000168</v>
      </c>
    </row>
    <row r="1334" spans="1:4" x14ac:dyDescent="0.3">
      <c r="A1334" t="s">
        <v>19</v>
      </c>
      <c r="C1334" s="16">
        <v>46213</v>
      </c>
      <c r="D1334">
        <v>1669.89</v>
      </c>
    </row>
    <row r="1335" spans="1:4" x14ac:dyDescent="0.3">
      <c r="A1335" t="s">
        <v>20</v>
      </c>
      <c r="C1335" s="16">
        <v>46213</v>
      </c>
      <c r="D1335">
        <v>290141.62999999989</v>
      </c>
    </row>
    <row r="1336" spans="1:4" x14ac:dyDescent="0.3">
      <c r="A1336" t="s">
        <v>21</v>
      </c>
      <c r="C1336" s="16">
        <v>46213</v>
      </c>
      <c r="D1336">
        <v>1921752.2699999993</v>
      </c>
    </row>
    <row r="1337" spans="1:4" x14ac:dyDescent="0.3">
      <c r="A1337" t="s">
        <v>22</v>
      </c>
      <c r="C1337" s="16">
        <v>46213</v>
      </c>
      <c r="D1337">
        <v>200496.38</v>
      </c>
    </row>
    <row r="1338" spans="1:4" x14ac:dyDescent="0.3">
      <c r="A1338" t="s">
        <v>23</v>
      </c>
      <c r="C1338" s="16">
        <v>46213</v>
      </c>
      <c r="D1338">
        <v>88090.37</v>
      </c>
    </row>
    <row r="1339" spans="1:4" x14ac:dyDescent="0.3">
      <c r="A1339" t="s">
        <v>24</v>
      </c>
      <c r="C1339" s="16">
        <v>46213</v>
      </c>
      <c r="D1339">
        <v>14580.45</v>
      </c>
    </row>
    <row r="1340" spans="1:4" x14ac:dyDescent="0.3">
      <c r="A1340" t="s">
        <v>25</v>
      </c>
      <c r="C1340" s="16">
        <v>46213</v>
      </c>
      <c r="D1340">
        <v>54.400000000000006</v>
      </c>
    </row>
    <row r="1341" spans="1:4" x14ac:dyDescent="0.3">
      <c r="A1341" t="s">
        <v>26</v>
      </c>
      <c r="C1341" s="16">
        <v>46213</v>
      </c>
      <c r="D1341">
        <v>2207.8200000000002</v>
      </c>
    </row>
    <row r="1342" spans="1:4" x14ac:dyDescent="0.3">
      <c r="A1342" t="s">
        <v>27</v>
      </c>
      <c r="C1342" s="16">
        <v>46213</v>
      </c>
      <c r="D1342">
        <v>3349.94</v>
      </c>
    </row>
    <row r="1343" spans="1:4" x14ac:dyDescent="0.3">
      <c r="A1343" t="s">
        <v>28</v>
      </c>
      <c r="C1343" s="16">
        <v>46213</v>
      </c>
      <c r="D1343">
        <v>1968.99</v>
      </c>
    </row>
    <row r="1344" spans="1:4" x14ac:dyDescent="0.3">
      <c r="A1344" t="s">
        <v>29</v>
      </c>
      <c r="C1344" s="16">
        <v>46213</v>
      </c>
      <c r="D1344">
        <v>382.69000000000005</v>
      </c>
    </row>
    <row r="1345" spans="1:4" x14ac:dyDescent="0.3">
      <c r="A1345" t="s">
        <v>30</v>
      </c>
      <c r="C1345" s="16">
        <v>46213</v>
      </c>
      <c r="D1345">
        <v>1412.08</v>
      </c>
    </row>
    <row r="1346" spans="1:4" x14ac:dyDescent="0.3">
      <c r="A1346" t="s">
        <v>31</v>
      </c>
      <c r="C1346" s="16">
        <v>46213</v>
      </c>
      <c r="D1346">
        <v>22496.639999999959</v>
      </c>
    </row>
    <row r="1347" spans="1:4" x14ac:dyDescent="0.3">
      <c r="A1347" t="s">
        <v>32</v>
      </c>
      <c r="C1347" s="16">
        <v>46213</v>
      </c>
      <c r="D1347">
        <v>6522.8000000000029</v>
      </c>
    </row>
    <row r="1348" spans="1:4" x14ac:dyDescent="0.3">
      <c r="A1348" t="s">
        <v>33</v>
      </c>
      <c r="C1348" s="16">
        <v>46213</v>
      </c>
      <c r="D1348">
        <v>24085.559999999998</v>
      </c>
    </row>
    <row r="1349" spans="1:4" x14ac:dyDescent="0.3">
      <c r="A1349" t="s">
        <v>34</v>
      </c>
      <c r="C1349" s="16">
        <v>46213</v>
      </c>
      <c r="D1349">
        <v>345</v>
      </c>
    </row>
    <row r="1350" spans="1:4" x14ac:dyDescent="0.3">
      <c r="A1350" t="s">
        <v>35</v>
      </c>
      <c r="C1350" s="16">
        <v>46213</v>
      </c>
      <c r="D1350">
        <v>31900.120000000003</v>
      </c>
    </row>
    <row r="1351" spans="1:4" x14ac:dyDescent="0.3">
      <c r="A1351" t="s">
        <v>17</v>
      </c>
      <c r="C1351" s="16">
        <v>46214</v>
      </c>
      <c r="D1351">
        <v>4163755.7500000005</v>
      </c>
    </row>
    <row r="1352" spans="1:4" x14ac:dyDescent="0.3">
      <c r="A1352" t="s">
        <v>18</v>
      </c>
      <c r="C1352" s="16">
        <v>46214</v>
      </c>
      <c r="D1352">
        <v>73157.680000000168</v>
      </c>
    </row>
    <row r="1353" spans="1:4" x14ac:dyDescent="0.3">
      <c r="A1353" t="s">
        <v>19</v>
      </c>
      <c r="C1353" s="16">
        <v>46214</v>
      </c>
      <c r="D1353">
        <v>1669.89</v>
      </c>
    </row>
    <row r="1354" spans="1:4" x14ac:dyDescent="0.3">
      <c r="A1354" t="s">
        <v>20</v>
      </c>
      <c r="C1354" s="16">
        <v>46214</v>
      </c>
      <c r="D1354">
        <v>290141.62999999989</v>
      </c>
    </row>
    <row r="1355" spans="1:4" x14ac:dyDescent="0.3">
      <c r="A1355" t="s">
        <v>21</v>
      </c>
      <c r="C1355" s="16">
        <v>46214</v>
      </c>
      <c r="D1355">
        <v>1921752.2699999993</v>
      </c>
    </row>
    <row r="1356" spans="1:4" x14ac:dyDescent="0.3">
      <c r="A1356" t="s">
        <v>22</v>
      </c>
      <c r="C1356" s="16">
        <v>46214</v>
      </c>
      <c r="D1356">
        <v>200496.38</v>
      </c>
    </row>
    <row r="1357" spans="1:4" x14ac:dyDescent="0.3">
      <c r="A1357" t="s">
        <v>23</v>
      </c>
      <c r="C1357" s="16">
        <v>46214</v>
      </c>
      <c r="D1357">
        <v>88090.37</v>
      </c>
    </row>
    <row r="1358" spans="1:4" x14ac:dyDescent="0.3">
      <c r="A1358" t="s">
        <v>24</v>
      </c>
      <c r="C1358" s="16">
        <v>46214</v>
      </c>
      <c r="D1358">
        <v>14580.45</v>
      </c>
    </row>
    <row r="1359" spans="1:4" x14ac:dyDescent="0.3">
      <c r="A1359" t="s">
        <v>25</v>
      </c>
      <c r="C1359" s="16">
        <v>46214</v>
      </c>
      <c r="D1359">
        <v>54.400000000000006</v>
      </c>
    </row>
    <row r="1360" spans="1:4" x14ac:dyDescent="0.3">
      <c r="A1360" t="s">
        <v>26</v>
      </c>
      <c r="C1360" s="16">
        <v>46214</v>
      </c>
      <c r="D1360">
        <v>2207.8200000000002</v>
      </c>
    </row>
    <row r="1361" spans="1:4" x14ac:dyDescent="0.3">
      <c r="A1361" t="s">
        <v>27</v>
      </c>
      <c r="C1361" s="16">
        <v>46214</v>
      </c>
      <c r="D1361">
        <v>3349.94</v>
      </c>
    </row>
    <row r="1362" spans="1:4" x14ac:dyDescent="0.3">
      <c r="A1362" t="s">
        <v>28</v>
      </c>
      <c r="C1362" s="16">
        <v>46214</v>
      </c>
      <c r="D1362">
        <v>1968.99</v>
      </c>
    </row>
    <row r="1363" spans="1:4" x14ac:dyDescent="0.3">
      <c r="A1363" t="s">
        <v>29</v>
      </c>
      <c r="C1363" s="16">
        <v>46214</v>
      </c>
      <c r="D1363">
        <v>382.69000000000005</v>
      </c>
    </row>
    <row r="1364" spans="1:4" x14ac:dyDescent="0.3">
      <c r="A1364" t="s">
        <v>30</v>
      </c>
      <c r="C1364" s="16">
        <v>46214</v>
      </c>
      <c r="D1364">
        <v>1412.08</v>
      </c>
    </row>
    <row r="1365" spans="1:4" x14ac:dyDescent="0.3">
      <c r="A1365" t="s">
        <v>31</v>
      </c>
      <c r="C1365" s="16">
        <v>46214</v>
      </c>
      <c r="D1365">
        <v>22496.639999999959</v>
      </c>
    </row>
    <row r="1366" spans="1:4" x14ac:dyDescent="0.3">
      <c r="A1366" t="s">
        <v>32</v>
      </c>
      <c r="C1366" s="16">
        <v>46214</v>
      </c>
      <c r="D1366">
        <v>6522.8000000000029</v>
      </c>
    </row>
    <row r="1367" spans="1:4" x14ac:dyDescent="0.3">
      <c r="A1367" t="s">
        <v>33</v>
      </c>
      <c r="C1367" s="16">
        <v>46214</v>
      </c>
      <c r="D1367">
        <v>24085.559999999998</v>
      </c>
    </row>
    <row r="1368" spans="1:4" x14ac:dyDescent="0.3">
      <c r="A1368" t="s">
        <v>34</v>
      </c>
      <c r="C1368" s="16">
        <v>46214</v>
      </c>
      <c r="D1368">
        <v>345</v>
      </c>
    </row>
    <row r="1369" spans="1:4" x14ac:dyDescent="0.3">
      <c r="A1369" t="s">
        <v>35</v>
      </c>
      <c r="C1369" s="16">
        <v>46214</v>
      </c>
      <c r="D1369">
        <v>31900.120000000003</v>
      </c>
    </row>
    <row r="1370" spans="1:4" x14ac:dyDescent="0.3">
      <c r="A1370" t="s">
        <v>17</v>
      </c>
      <c r="C1370" s="16">
        <v>46215</v>
      </c>
      <c r="D1370">
        <v>4163755.7500000005</v>
      </c>
    </row>
    <row r="1371" spans="1:4" x14ac:dyDescent="0.3">
      <c r="A1371" t="s">
        <v>18</v>
      </c>
      <c r="C1371" s="16">
        <v>46215</v>
      </c>
      <c r="D1371">
        <v>73157.680000000168</v>
      </c>
    </row>
    <row r="1372" spans="1:4" x14ac:dyDescent="0.3">
      <c r="A1372" t="s">
        <v>19</v>
      </c>
      <c r="C1372" s="16">
        <v>46215</v>
      </c>
      <c r="D1372">
        <v>1669.89</v>
      </c>
    </row>
    <row r="1373" spans="1:4" x14ac:dyDescent="0.3">
      <c r="A1373" t="s">
        <v>20</v>
      </c>
      <c r="C1373" s="16">
        <v>46215</v>
      </c>
      <c r="D1373">
        <v>290141.62999999989</v>
      </c>
    </row>
    <row r="1374" spans="1:4" x14ac:dyDescent="0.3">
      <c r="A1374" t="s">
        <v>21</v>
      </c>
      <c r="C1374" s="16">
        <v>46215</v>
      </c>
      <c r="D1374">
        <v>1921752.2699999993</v>
      </c>
    </row>
    <row r="1375" spans="1:4" x14ac:dyDescent="0.3">
      <c r="A1375" t="s">
        <v>22</v>
      </c>
      <c r="C1375" s="16">
        <v>46215</v>
      </c>
      <c r="D1375">
        <v>200496.38</v>
      </c>
    </row>
    <row r="1376" spans="1:4" x14ac:dyDescent="0.3">
      <c r="A1376" t="s">
        <v>23</v>
      </c>
      <c r="C1376" s="16">
        <v>46215</v>
      </c>
      <c r="D1376">
        <v>88090.37</v>
      </c>
    </row>
    <row r="1377" spans="1:4" x14ac:dyDescent="0.3">
      <c r="A1377" t="s">
        <v>24</v>
      </c>
      <c r="C1377" s="16">
        <v>46215</v>
      </c>
      <c r="D1377">
        <v>14580.45</v>
      </c>
    </row>
    <row r="1378" spans="1:4" x14ac:dyDescent="0.3">
      <c r="A1378" t="s">
        <v>25</v>
      </c>
      <c r="C1378" s="16">
        <v>46215</v>
      </c>
      <c r="D1378">
        <v>54.400000000000006</v>
      </c>
    </row>
    <row r="1379" spans="1:4" x14ac:dyDescent="0.3">
      <c r="A1379" t="s">
        <v>26</v>
      </c>
      <c r="C1379" s="16">
        <v>46215</v>
      </c>
      <c r="D1379">
        <v>2207.8200000000002</v>
      </c>
    </row>
    <row r="1380" spans="1:4" x14ac:dyDescent="0.3">
      <c r="A1380" t="s">
        <v>27</v>
      </c>
      <c r="C1380" s="16">
        <v>46215</v>
      </c>
      <c r="D1380">
        <v>3349.94</v>
      </c>
    </row>
    <row r="1381" spans="1:4" x14ac:dyDescent="0.3">
      <c r="A1381" t="s">
        <v>28</v>
      </c>
      <c r="C1381" s="16">
        <v>46215</v>
      </c>
      <c r="D1381">
        <v>1968.99</v>
      </c>
    </row>
    <row r="1382" spans="1:4" x14ac:dyDescent="0.3">
      <c r="A1382" t="s">
        <v>29</v>
      </c>
      <c r="C1382" s="16">
        <v>46215</v>
      </c>
      <c r="D1382">
        <v>382.69000000000005</v>
      </c>
    </row>
    <row r="1383" spans="1:4" x14ac:dyDescent="0.3">
      <c r="A1383" t="s">
        <v>30</v>
      </c>
      <c r="C1383" s="16">
        <v>46215</v>
      </c>
      <c r="D1383">
        <v>1412.08</v>
      </c>
    </row>
    <row r="1384" spans="1:4" x14ac:dyDescent="0.3">
      <c r="A1384" t="s">
        <v>31</v>
      </c>
      <c r="C1384" s="16">
        <v>46215</v>
      </c>
      <c r="D1384">
        <v>22496.639999999959</v>
      </c>
    </row>
    <row r="1385" spans="1:4" x14ac:dyDescent="0.3">
      <c r="A1385" t="s">
        <v>32</v>
      </c>
      <c r="C1385" s="16">
        <v>46215</v>
      </c>
      <c r="D1385">
        <v>6522.8000000000029</v>
      </c>
    </row>
    <row r="1386" spans="1:4" x14ac:dyDescent="0.3">
      <c r="A1386" t="s">
        <v>33</v>
      </c>
      <c r="C1386" s="16">
        <v>46215</v>
      </c>
      <c r="D1386">
        <v>24085.559999999998</v>
      </c>
    </row>
    <row r="1387" spans="1:4" x14ac:dyDescent="0.3">
      <c r="A1387" t="s">
        <v>34</v>
      </c>
      <c r="C1387" s="16">
        <v>46215</v>
      </c>
      <c r="D1387">
        <v>345</v>
      </c>
    </row>
    <row r="1388" spans="1:4" x14ac:dyDescent="0.3">
      <c r="A1388" t="s">
        <v>35</v>
      </c>
      <c r="C1388" s="16">
        <v>46215</v>
      </c>
      <c r="D1388">
        <v>31900.120000000003</v>
      </c>
    </row>
    <row r="1389" spans="1:4" x14ac:dyDescent="0.3">
      <c r="A1389" t="s">
        <v>17</v>
      </c>
      <c r="C1389" s="16">
        <v>46216</v>
      </c>
      <c r="D1389">
        <v>4163755.7500000005</v>
      </c>
    </row>
    <row r="1390" spans="1:4" x14ac:dyDescent="0.3">
      <c r="A1390" t="s">
        <v>18</v>
      </c>
      <c r="C1390" s="16">
        <v>46216</v>
      </c>
      <c r="D1390">
        <v>73157.680000000168</v>
      </c>
    </row>
    <row r="1391" spans="1:4" x14ac:dyDescent="0.3">
      <c r="A1391" t="s">
        <v>19</v>
      </c>
      <c r="C1391" s="16">
        <v>46216</v>
      </c>
      <c r="D1391">
        <v>1669.89</v>
      </c>
    </row>
    <row r="1392" spans="1:4" x14ac:dyDescent="0.3">
      <c r="A1392" t="s">
        <v>20</v>
      </c>
      <c r="C1392" s="16">
        <v>46216</v>
      </c>
      <c r="D1392">
        <v>290141.62999999989</v>
      </c>
    </row>
    <row r="1393" spans="1:4" x14ac:dyDescent="0.3">
      <c r="A1393" t="s">
        <v>21</v>
      </c>
      <c r="C1393" s="16">
        <v>46216</v>
      </c>
      <c r="D1393">
        <v>1921752.2699999993</v>
      </c>
    </row>
    <row r="1394" spans="1:4" x14ac:dyDescent="0.3">
      <c r="A1394" t="s">
        <v>22</v>
      </c>
      <c r="C1394" s="16">
        <v>46216</v>
      </c>
      <c r="D1394">
        <v>200496.38</v>
      </c>
    </row>
    <row r="1395" spans="1:4" x14ac:dyDescent="0.3">
      <c r="A1395" t="s">
        <v>23</v>
      </c>
      <c r="C1395" s="16">
        <v>46216</v>
      </c>
      <c r="D1395">
        <v>88090.37</v>
      </c>
    </row>
    <row r="1396" spans="1:4" x14ac:dyDescent="0.3">
      <c r="A1396" t="s">
        <v>24</v>
      </c>
      <c r="C1396" s="16">
        <v>46216</v>
      </c>
      <c r="D1396">
        <v>14580.45</v>
      </c>
    </row>
    <row r="1397" spans="1:4" x14ac:dyDescent="0.3">
      <c r="A1397" t="s">
        <v>25</v>
      </c>
      <c r="C1397" s="16">
        <v>46216</v>
      </c>
      <c r="D1397">
        <v>54.400000000000006</v>
      </c>
    </row>
    <row r="1398" spans="1:4" x14ac:dyDescent="0.3">
      <c r="A1398" t="s">
        <v>26</v>
      </c>
      <c r="C1398" s="16">
        <v>46216</v>
      </c>
      <c r="D1398">
        <v>2207.8200000000002</v>
      </c>
    </row>
    <row r="1399" spans="1:4" x14ac:dyDescent="0.3">
      <c r="A1399" t="s">
        <v>27</v>
      </c>
      <c r="C1399" s="16">
        <v>46216</v>
      </c>
      <c r="D1399">
        <v>3349.94</v>
      </c>
    </row>
    <row r="1400" spans="1:4" x14ac:dyDescent="0.3">
      <c r="A1400" t="s">
        <v>28</v>
      </c>
      <c r="C1400" s="16">
        <v>46216</v>
      </c>
      <c r="D1400">
        <v>1968.99</v>
      </c>
    </row>
    <row r="1401" spans="1:4" x14ac:dyDescent="0.3">
      <c r="A1401" t="s">
        <v>29</v>
      </c>
      <c r="C1401" s="16">
        <v>46216</v>
      </c>
      <c r="D1401">
        <v>901.34</v>
      </c>
    </row>
    <row r="1402" spans="1:4" x14ac:dyDescent="0.3">
      <c r="A1402" t="s">
        <v>30</v>
      </c>
      <c r="C1402" s="16">
        <v>46216</v>
      </c>
      <c r="D1402">
        <v>1412.08</v>
      </c>
    </row>
    <row r="1403" spans="1:4" x14ac:dyDescent="0.3">
      <c r="A1403" t="s">
        <v>31</v>
      </c>
      <c r="C1403" s="16">
        <v>46216</v>
      </c>
      <c r="D1403">
        <v>22496.639999999959</v>
      </c>
    </row>
    <row r="1404" spans="1:4" x14ac:dyDescent="0.3">
      <c r="A1404" t="s">
        <v>32</v>
      </c>
      <c r="C1404" s="16">
        <v>46216</v>
      </c>
      <c r="D1404">
        <v>6522.8000000000029</v>
      </c>
    </row>
    <row r="1405" spans="1:4" x14ac:dyDescent="0.3">
      <c r="A1405" t="s">
        <v>33</v>
      </c>
      <c r="C1405" s="16">
        <v>46216</v>
      </c>
      <c r="D1405">
        <v>24085.559999999998</v>
      </c>
    </row>
    <row r="1406" spans="1:4" x14ac:dyDescent="0.3">
      <c r="A1406" t="s">
        <v>34</v>
      </c>
      <c r="C1406" s="16">
        <v>46216</v>
      </c>
      <c r="D1406">
        <v>345</v>
      </c>
    </row>
    <row r="1407" spans="1:4" x14ac:dyDescent="0.3">
      <c r="A1407" t="s">
        <v>35</v>
      </c>
      <c r="C1407" s="16">
        <v>46216</v>
      </c>
      <c r="D1407">
        <v>25198.240000000002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2026-07-14T15:20:42Z</dcterms:modified>
  <dc:language>en-US</dc:language>
</cp:coreProperties>
</file>