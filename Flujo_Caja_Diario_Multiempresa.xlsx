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604" documentId="8_{BBC9EA4E-7F3B-475F-B61B-890F681C3A1C}" xr6:coauthVersionLast="47" xr6:coauthVersionMax="47" xr10:uidLastSave="{586DCF9A-E9D8-47BE-9A53-1E96E564F14B}"/>
  <bookViews>
    <workbookView xWindow="11520" yWindow="0" windowWidth="11520" windowHeight="12360" tabRatio="597" firstSheet="1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diaria'!$A$1:$D$932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9" i="1" l="1"/>
  <c r="M359" i="1" s="1"/>
  <c r="E359" i="1"/>
  <c r="H359" i="1"/>
  <c r="I359" i="1"/>
  <c r="K359" i="1"/>
  <c r="N359" i="1"/>
  <c r="O359" i="1"/>
  <c r="P359" i="1" s="1"/>
  <c r="C357" i="1"/>
  <c r="C358" i="1"/>
  <c r="N355" i="1"/>
  <c r="O355" i="1"/>
  <c r="P355" i="1" s="1"/>
  <c r="N356" i="1"/>
  <c r="O356" i="1"/>
  <c r="P356" i="1"/>
  <c r="N357" i="1"/>
  <c r="O357" i="1"/>
  <c r="P357" i="1"/>
  <c r="N358" i="1"/>
  <c r="O358" i="1"/>
  <c r="P358" i="1" s="1"/>
  <c r="K357" i="1"/>
  <c r="K358" i="1"/>
  <c r="I357" i="1"/>
  <c r="I358" i="1"/>
  <c r="E357" i="1"/>
  <c r="E358" i="1"/>
  <c r="H357" i="1"/>
  <c r="H358" i="1"/>
  <c r="C355" i="1"/>
  <c r="C356" i="1"/>
  <c r="K355" i="1"/>
  <c r="K356" i="1"/>
  <c r="I355" i="1"/>
  <c r="I356" i="1"/>
  <c r="E356" i="1"/>
  <c r="H356" i="1"/>
  <c r="E355" i="1"/>
  <c r="H355" i="1"/>
  <c r="A50" i="6"/>
  <c r="K353" i="1"/>
  <c r="K354" i="1"/>
  <c r="I353" i="1"/>
  <c r="I354" i="1"/>
  <c r="C353" i="1"/>
  <c r="C354" i="1"/>
  <c r="E354" i="1"/>
  <c r="H354" i="1"/>
  <c r="N354" i="1"/>
  <c r="O354" i="1"/>
  <c r="P354" i="1" s="1"/>
  <c r="E353" i="1"/>
  <c r="H353" i="1"/>
  <c r="N353" i="1"/>
  <c r="O353" i="1"/>
  <c r="P353" i="1" s="1"/>
  <c r="A49" i="6"/>
  <c r="O347" i="1"/>
  <c r="P347" i="1" s="1"/>
  <c r="O348" i="1"/>
  <c r="O349" i="1"/>
  <c r="P349" i="1" s="1"/>
  <c r="O350" i="1"/>
  <c r="P350" i="1" s="1"/>
  <c r="O351" i="1"/>
  <c r="P351" i="1" s="1"/>
  <c r="O352" i="1"/>
  <c r="P352" i="1" s="1"/>
  <c r="N347" i="1"/>
  <c r="N348" i="1"/>
  <c r="P348" i="1" s="1"/>
  <c r="N349" i="1"/>
  <c r="N350" i="1"/>
  <c r="N351" i="1"/>
  <c r="N352" i="1"/>
  <c r="K347" i="1"/>
  <c r="K348" i="1"/>
  <c r="K349" i="1"/>
  <c r="K350" i="1"/>
  <c r="K351" i="1"/>
  <c r="K352" i="1"/>
  <c r="I347" i="1"/>
  <c r="I348" i="1"/>
  <c r="I349" i="1"/>
  <c r="I350" i="1"/>
  <c r="I351" i="1"/>
  <c r="I352" i="1"/>
  <c r="C347" i="1"/>
  <c r="C348" i="1"/>
  <c r="C349" i="1"/>
  <c r="C350" i="1"/>
  <c r="C351" i="1"/>
  <c r="C352" i="1"/>
  <c r="E347" i="1"/>
  <c r="E348" i="1"/>
  <c r="E349" i="1"/>
  <c r="E350" i="1"/>
  <c r="E351" i="1"/>
  <c r="E352" i="1"/>
  <c r="H347" i="1"/>
  <c r="H348" i="1"/>
  <c r="H349" i="1"/>
  <c r="H350" i="1"/>
  <c r="H351" i="1"/>
  <c r="H352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K336" i="1"/>
  <c r="K337" i="1"/>
  <c r="K338" i="1"/>
  <c r="K339" i="1"/>
  <c r="K340" i="1"/>
  <c r="K341" i="1"/>
  <c r="K342" i="1"/>
  <c r="K343" i="1"/>
  <c r="K344" i="1"/>
  <c r="K345" i="1"/>
  <c r="K346" i="1"/>
  <c r="I336" i="1"/>
  <c r="I337" i="1"/>
  <c r="I338" i="1"/>
  <c r="I339" i="1"/>
  <c r="I340" i="1"/>
  <c r="I341" i="1"/>
  <c r="I342" i="1"/>
  <c r="I343" i="1"/>
  <c r="I344" i="1"/>
  <c r="I345" i="1"/>
  <c r="I346" i="1"/>
  <c r="C336" i="1"/>
  <c r="C337" i="1"/>
  <c r="C338" i="1"/>
  <c r="C339" i="1"/>
  <c r="C340" i="1"/>
  <c r="C341" i="1"/>
  <c r="C342" i="1"/>
  <c r="C343" i="1"/>
  <c r="C344" i="1"/>
  <c r="C345" i="1"/>
  <c r="C346" i="1"/>
  <c r="E336" i="1"/>
  <c r="E337" i="1"/>
  <c r="E338" i="1"/>
  <c r="E339" i="1"/>
  <c r="E340" i="1"/>
  <c r="E341" i="1"/>
  <c r="E342" i="1"/>
  <c r="E343" i="1"/>
  <c r="E344" i="1"/>
  <c r="E345" i="1"/>
  <c r="E346" i="1"/>
  <c r="H341" i="1"/>
  <c r="H342" i="1"/>
  <c r="H343" i="1"/>
  <c r="H344" i="1"/>
  <c r="H345" i="1"/>
  <c r="H346" i="1"/>
  <c r="N336" i="1"/>
  <c r="N337" i="1"/>
  <c r="N338" i="1"/>
  <c r="N339" i="1"/>
  <c r="N340" i="1"/>
  <c r="P340" i="1" s="1"/>
  <c r="N341" i="1"/>
  <c r="N342" i="1"/>
  <c r="N343" i="1"/>
  <c r="N344" i="1"/>
  <c r="N345" i="1"/>
  <c r="N346" i="1"/>
  <c r="P346" i="1" s="1"/>
  <c r="O336" i="1"/>
  <c r="P336" i="1" s="1"/>
  <c r="O337" i="1"/>
  <c r="O338" i="1"/>
  <c r="P338" i="1" s="1"/>
  <c r="O339" i="1"/>
  <c r="P339" i="1" s="1"/>
  <c r="O340" i="1"/>
  <c r="O341" i="1"/>
  <c r="P341" i="1" s="1"/>
  <c r="O342" i="1"/>
  <c r="P342" i="1" s="1"/>
  <c r="O343" i="1"/>
  <c r="P343" i="1" s="1"/>
  <c r="O344" i="1"/>
  <c r="P344" i="1" s="1"/>
  <c r="O345" i="1"/>
  <c r="P345" i="1" s="1"/>
  <c r="O346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C306" i="1"/>
  <c r="C307" i="1"/>
  <c r="C308" i="1"/>
  <c r="C309" i="1"/>
  <c r="C310" i="1"/>
  <c r="C311" i="1"/>
  <c r="C312" i="1"/>
  <c r="C313" i="1"/>
  <c r="C314" i="1"/>
  <c r="C315" i="1"/>
  <c r="C316" i="1"/>
  <c r="M316" i="1" s="1"/>
  <c r="C317" i="1"/>
  <c r="C318" i="1"/>
  <c r="C319" i="1"/>
  <c r="C320" i="1"/>
  <c r="C321" i="1"/>
  <c r="C322" i="1"/>
  <c r="C323" i="1"/>
  <c r="C324" i="1"/>
  <c r="M324" i="1" s="1"/>
  <c r="C325" i="1"/>
  <c r="C326" i="1"/>
  <c r="C327" i="1"/>
  <c r="C328" i="1"/>
  <c r="C329" i="1"/>
  <c r="C330" i="1"/>
  <c r="C331" i="1"/>
  <c r="C332" i="1"/>
  <c r="M332" i="1" s="1"/>
  <c r="C333" i="1"/>
  <c r="C334" i="1"/>
  <c r="C335" i="1"/>
  <c r="N310" i="1"/>
  <c r="O310" i="1"/>
  <c r="P310" i="1" s="1"/>
  <c r="N311" i="1"/>
  <c r="O311" i="1"/>
  <c r="P311" i="1" s="1"/>
  <c r="N312" i="1"/>
  <c r="O312" i="1"/>
  <c r="P312" i="1" s="1"/>
  <c r="N313" i="1"/>
  <c r="O313" i="1"/>
  <c r="P313" i="1" s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 s="1"/>
  <c r="N333" i="1"/>
  <c r="O333" i="1"/>
  <c r="P333" i="1" s="1"/>
  <c r="N334" i="1"/>
  <c r="O334" i="1"/>
  <c r="P334" i="1" s="1"/>
  <c r="N335" i="1"/>
  <c r="P335" i="1" s="1"/>
  <c r="O335" i="1"/>
  <c r="N306" i="1"/>
  <c r="P306" i="1" s="1"/>
  <c r="O309" i="1"/>
  <c r="P309" i="1" s="1"/>
  <c r="N309" i="1"/>
  <c r="O308" i="1"/>
  <c r="P308" i="1" s="1"/>
  <c r="N308" i="1"/>
  <c r="O307" i="1"/>
  <c r="P307" i="1" s="1"/>
  <c r="N307" i="1"/>
  <c r="O306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E302" i="1"/>
  <c r="E303" i="1"/>
  <c r="E304" i="1"/>
  <c r="E305" i="1"/>
  <c r="E299" i="1"/>
  <c r="E300" i="1"/>
  <c r="E301" i="1"/>
  <c r="C302" i="1"/>
  <c r="M302" i="1" s="1"/>
  <c r="C303" i="1"/>
  <c r="C304" i="1"/>
  <c r="M304" i="1" s="1"/>
  <c r="C305" i="1"/>
  <c r="M305" i="1" s="1"/>
  <c r="C299" i="1"/>
  <c r="M351" i="1" s="1"/>
  <c r="C300" i="1"/>
  <c r="M300" i="1" s="1"/>
  <c r="C301" i="1"/>
  <c r="M301" i="1" s="1"/>
  <c r="M313" i="1" l="1"/>
  <c r="M343" i="1"/>
  <c r="M329" i="1"/>
  <c r="M321" i="1"/>
  <c r="F45" i="6"/>
  <c r="J24" i="3"/>
  <c r="U42" i="6"/>
  <c r="J29" i="3"/>
  <c r="D36" i="6"/>
  <c r="U34" i="6"/>
  <c r="K31" i="3"/>
  <c r="F39" i="6"/>
  <c r="T43" i="6"/>
  <c r="T41" i="6"/>
  <c r="J18" i="3"/>
  <c r="P31" i="3"/>
  <c r="J15" i="3"/>
  <c r="O2" i="3"/>
  <c r="O49" i="6"/>
  <c r="M50" i="6"/>
  <c r="T36" i="6"/>
  <c r="K6" i="3"/>
  <c r="K45" i="6"/>
  <c r="P44" i="6"/>
  <c r="F50" i="6"/>
  <c r="E39" i="6"/>
  <c r="R45" i="6"/>
  <c r="R44" i="6"/>
  <c r="J8" i="3"/>
  <c r="J49" i="6"/>
  <c r="O34" i="3"/>
  <c r="J48" i="6"/>
  <c r="C38" i="6"/>
  <c r="L38" i="6"/>
  <c r="K9" i="3"/>
  <c r="H41" i="6"/>
  <c r="Q39" i="6"/>
  <c r="J26" i="3"/>
  <c r="C39" i="6"/>
  <c r="S39" i="6"/>
  <c r="J43" i="6"/>
  <c r="U38" i="6"/>
  <c r="F44" i="6"/>
  <c r="U39" i="6"/>
  <c r="J34" i="3"/>
  <c r="D43" i="6"/>
  <c r="H47" i="6"/>
  <c r="M34" i="6"/>
  <c r="N48" i="6"/>
  <c r="I36" i="6"/>
  <c r="M45" i="6"/>
  <c r="K39" i="6"/>
  <c r="N37" i="6"/>
  <c r="P15" i="3"/>
  <c r="J39" i="6"/>
  <c r="P18" i="3"/>
  <c r="K20" i="3"/>
  <c r="J6" i="3"/>
  <c r="Q48" i="6"/>
  <c r="K33" i="6"/>
  <c r="T49" i="6"/>
  <c r="D37" i="6"/>
  <c r="P48" i="6"/>
  <c r="J38" i="6"/>
  <c r="O30" i="3"/>
  <c r="M37" i="6"/>
  <c r="K28" i="3"/>
  <c r="E33" i="6"/>
  <c r="R37" i="6"/>
  <c r="K49" i="6"/>
  <c r="U41" i="6"/>
  <c r="D47" i="6"/>
  <c r="M48" i="6"/>
  <c r="M299" i="1"/>
  <c r="S38" i="6"/>
  <c r="I48" i="6"/>
  <c r="K33" i="3"/>
  <c r="G50" i="6"/>
  <c r="I37" i="6"/>
  <c r="E43" i="6"/>
  <c r="R48" i="6"/>
  <c r="C40" i="6"/>
  <c r="F38" i="6"/>
  <c r="K42" i="6"/>
  <c r="O13" i="3"/>
  <c r="E40" i="6"/>
  <c r="J20" i="3"/>
  <c r="S37" i="6"/>
  <c r="R42" i="6"/>
  <c r="T47" i="6"/>
  <c r="U33" i="6"/>
  <c r="P35" i="6"/>
  <c r="C47" i="6"/>
  <c r="L46" i="6"/>
  <c r="F43" i="6"/>
  <c r="D35" i="6"/>
  <c r="I42" i="6"/>
  <c r="F36" i="6"/>
  <c r="U36" i="6"/>
  <c r="I46" i="6"/>
  <c r="U40" i="6"/>
  <c r="P6" i="3"/>
  <c r="J11" i="3"/>
  <c r="P13" i="3"/>
  <c r="C35" i="6"/>
  <c r="H46" i="6"/>
  <c r="O46" i="6"/>
  <c r="F35" i="6"/>
  <c r="D50" i="6"/>
  <c r="G39" i="6"/>
  <c r="K26" i="3"/>
  <c r="E36" i="6"/>
  <c r="D41" i="6"/>
  <c r="T37" i="6"/>
  <c r="P36" i="6"/>
  <c r="O23" i="3"/>
  <c r="J13" i="3"/>
  <c r="O39" i="6"/>
  <c r="P33" i="3"/>
  <c r="K2" i="3"/>
  <c r="K11" i="3"/>
  <c r="R43" i="6"/>
  <c r="Q46" i="6"/>
  <c r="L36" i="6"/>
  <c r="I40" i="6"/>
  <c r="J33" i="6"/>
  <c r="J46" i="6"/>
  <c r="G45" i="6"/>
  <c r="O18" i="3"/>
  <c r="O28" i="3"/>
  <c r="J37" i="6"/>
  <c r="D45" i="6"/>
  <c r="O32" i="3"/>
  <c r="P2" i="3"/>
  <c r="K44" i="6"/>
  <c r="P23" i="3"/>
  <c r="L45" i="6"/>
  <c r="D48" i="6"/>
  <c r="M49" i="6"/>
  <c r="P7" i="3"/>
  <c r="H37" i="6"/>
  <c r="R35" i="6"/>
  <c r="L34" i="6"/>
  <c r="E45" i="6"/>
  <c r="H38" i="6"/>
  <c r="I43" i="6"/>
  <c r="U44" i="6"/>
  <c r="P46" i="6"/>
  <c r="C44" i="6"/>
  <c r="E42" i="6"/>
  <c r="E47" i="6"/>
  <c r="N49" i="6"/>
  <c r="F46" i="6"/>
  <c r="G34" i="6"/>
  <c r="O19" i="3"/>
  <c r="P16" i="3"/>
  <c r="E48" i="6"/>
  <c r="H35" i="6"/>
  <c r="G37" i="6"/>
  <c r="S49" i="6"/>
  <c r="M39" i="6"/>
  <c r="K34" i="3"/>
  <c r="E50" i="6"/>
  <c r="O4" i="3"/>
  <c r="U43" i="6"/>
  <c r="J35" i="6"/>
  <c r="D40" i="6"/>
  <c r="O45" i="6"/>
  <c r="J10" i="3"/>
  <c r="P37" i="6"/>
  <c r="O33" i="6"/>
  <c r="D44" i="6"/>
  <c r="K5" i="3"/>
  <c r="L44" i="6"/>
  <c r="J9" i="3"/>
  <c r="S44" i="6"/>
  <c r="O22" i="3"/>
  <c r="D46" i="6"/>
  <c r="T35" i="6"/>
  <c r="H45" i="6"/>
  <c r="F48" i="6"/>
  <c r="O7" i="3"/>
  <c r="R40" i="6"/>
  <c r="L35" i="6"/>
  <c r="I39" i="6"/>
  <c r="C42" i="6"/>
  <c r="K18" i="3"/>
  <c r="C43" i="6"/>
  <c r="O44" i="6"/>
  <c r="S33" i="6"/>
  <c r="J2" i="3"/>
  <c r="L50" i="6"/>
  <c r="J32" i="3"/>
  <c r="T34" i="6"/>
  <c r="O5" i="3"/>
  <c r="O34" i="6"/>
  <c r="Q35" i="6"/>
  <c r="P25" i="3"/>
  <c r="O33" i="3"/>
  <c r="N41" i="6"/>
  <c r="H49" i="6"/>
  <c r="P49" i="6"/>
  <c r="J17" i="3"/>
  <c r="I44" i="6"/>
  <c r="K19" i="3"/>
  <c r="O10" i="3"/>
  <c r="S48" i="6"/>
  <c r="K4" i="3"/>
  <c r="H36" i="6"/>
  <c r="Q36" i="6"/>
  <c r="P19" i="3"/>
  <c r="U50" i="6"/>
  <c r="K46" i="6"/>
  <c r="C36" i="6"/>
  <c r="K43" i="6"/>
  <c r="I33" i="6"/>
  <c r="P11" i="3"/>
  <c r="F34" i="6"/>
  <c r="G48" i="6"/>
  <c r="S40" i="6"/>
  <c r="F47" i="6"/>
  <c r="O50" i="6"/>
  <c r="O26" i="3"/>
  <c r="D34" i="6"/>
  <c r="P27" i="3"/>
  <c r="K24" i="3"/>
  <c r="P8" i="3"/>
  <c r="J21" i="3"/>
  <c r="U35" i="6"/>
  <c r="Q50" i="6"/>
  <c r="C45" i="6"/>
  <c r="U47" i="6"/>
  <c r="C46" i="6"/>
  <c r="K17" i="3"/>
  <c r="G36" i="6"/>
  <c r="P47" i="6"/>
  <c r="R46" i="6"/>
  <c r="O8" i="3"/>
  <c r="C49" i="6"/>
  <c r="T40" i="6"/>
  <c r="L37" i="6"/>
  <c r="H42" i="6"/>
  <c r="M36" i="6"/>
  <c r="R33" i="6"/>
  <c r="R49" i="6"/>
  <c r="J5" i="3"/>
  <c r="T33" i="6"/>
  <c r="P4" i="3"/>
  <c r="K32" i="3"/>
  <c r="K36" i="6"/>
  <c r="S47" i="6"/>
  <c r="M42" i="6"/>
  <c r="R38" i="6"/>
  <c r="T44" i="6"/>
  <c r="D38" i="6"/>
  <c r="P41" i="6"/>
  <c r="K7" i="3"/>
  <c r="R50" i="6"/>
  <c r="O27" i="3"/>
  <c r="K29" i="3"/>
  <c r="H39" i="6"/>
  <c r="L40" i="6"/>
  <c r="T48" i="6"/>
  <c r="D49" i="6"/>
  <c r="P43" i="6"/>
  <c r="S41" i="6"/>
  <c r="K38" i="6"/>
  <c r="J44" i="6"/>
  <c r="P39" i="6"/>
  <c r="I50" i="6"/>
  <c r="O9" i="3"/>
  <c r="J16" i="3"/>
  <c r="L47" i="6"/>
  <c r="G33" i="6"/>
  <c r="T50" i="6"/>
  <c r="K21" i="3"/>
  <c r="O40" i="6"/>
  <c r="E41" i="6"/>
  <c r="P40" i="6"/>
  <c r="Q49" i="6"/>
  <c r="N34" i="6"/>
  <c r="P45" i="6"/>
  <c r="K10" i="3"/>
  <c r="K35" i="6"/>
  <c r="I38" i="6"/>
  <c r="N38" i="6"/>
  <c r="O17" i="3"/>
  <c r="K15" i="3"/>
  <c r="K3" i="3"/>
  <c r="O31" i="3"/>
  <c r="M46" i="6"/>
  <c r="J23" i="3"/>
  <c r="G41" i="6"/>
  <c r="E38" i="6"/>
  <c r="U45" i="6"/>
  <c r="O15" i="3"/>
  <c r="E49" i="6"/>
  <c r="I41" i="6"/>
  <c r="J30" i="3"/>
  <c r="Q34" i="6"/>
  <c r="J33" i="3"/>
  <c r="F40" i="6"/>
  <c r="J22" i="3"/>
  <c r="E34" i="6"/>
  <c r="J42" i="6"/>
  <c r="J4" i="3"/>
  <c r="I34" i="6"/>
  <c r="O12" i="3"/>
  <c r="Q41" i="6"/>
  <c r="N39" i="6"/>
  <c r="T45" i="6"/>
  <c r="C33" i="6"/>
  <c r="Q44" i="6"/>
  <c r="Q37" i="6"/>
  <c r="K16" i="3"/>
  <c r="O16" i="3"/>
  <c r="H48" i="6"/>
  <c r="P3" i="3"/>
  <c r="P21" i="3"/>
  <c r="J12" i="3"/>
  <c r="J50" i="6"/>
  <c r="H50" i="6"/>
  <c r="O20" i="3"/>
  <c r="J27" i="3"/>
  <c r="K12" i="3"/>
  <c r="G35" i="6"/>
  <c r="K47" i="6"/>
  <c r="N42" i="6"/>
  <c r="K25" i="3"/>
  <c r="C34" i="6"/>
  <c r="J31" i="3"/>
  <c r="C48" i="6"/>
  <c r="E37" i="6"/>
  <c r="O3" i="3"/>
  <c r="E46" i="6"/>
  <c r="M33" i="6"/>
  <c r="Q45" i="6"/>
  <c r="M40" i="6"/>
  <c r="J41" i="6"/>
  <c r="N46" i="6"/>
  <c r="J25" i="3"/>
  <c r="L43" i="6"/>
  <c r="J36" i="6"/>
  <c r="O21" i="3"/>
  <c r="J3" i="3"/>
  <c r="I47" i="6"/>
  <c r="S45" i="6"/>
  <c r="I35" i="6"/>
  <c r="F33" i="6"/>
  <c r="Q42" i="6"/>
  <c r="O37" i="6"/>
  <c r="F42" i="6"/>
  <c r="L33" i="6"/>
  <c r="P32" i="3"/>
  <c r="N43" i="6"/>
  <c r="M35" i="6"/>
  <c r="O43" i="6"/>
  <c r="U46" i="6"/>
  <c r="N45" i="6"/>
  <c r="G47" i="6"/>
  <c r="G44" i="6"/>
  <c r="J7" i="3"/>
  <c r="O38" i="6"/>
  <c r="G42" i="6"/>
  <c r="R41" i="6"/>
  <c r="P28" i="3"/>
  <c r="R34" i="6"/>
  <c r="O47" i="6"/>
  <c r="J45" i="6"/>
  <c r="C50" i="6"/>
  <c r="K50" i="6"/>
  <c r="Q47" i="6"/>
  <c r="S46" i="6"/>
  <c r="P20" i="3"/>
  <c r="O14" i="3"/>
  <c r="O35" i="6"/>
  <c r="K37" i="6"/>
  <c r="U49" i="6"/>
  <c r="S42" i="6"/>
  <c r="R39" i="6"/>
  <c r="M41" i="6"/>
  <c r="C37" i="6"/>
  <c r="O6" i="3"/>
  <c r="P50" i="6"/>
  <c r="F49" i="6"/>
  <c r="P38" i="6"/>
  <c r="C41" i="6"/>
  <c r="N40" i="6"/>
  <c r="T39" i="6"/>
  <c r="P26" i="3"/>
  <c r="G43" i="6"/>
  <c r="M44" i="6"/>
  <c r="O11" i="3"/>
  <c r="F41" i="6"/>
  <c r="Q33" i="6"/>
  <c r="O41" i="6"/>
  <c r="G46" i="6"/>
  <c r="U37" i="6"/>
  <c r="O42" i="6"/>
  <c r="N35" i="6"/>
  <c r="D33" i="6"/>
  <c r="P34" i="6"/>
  <c r="P29" i="3"/>
  <c r="M43" i="6"/>
  <c r="P22" i="3"/>
  <c r="Q38" i="6"/>
  <c r="E35" i="6"/>
  <c r="J19" i="3"/>
  <c r="D42" i="6"/>
  <c r="G49" i="6"/>
  <c r="L42" i="6"/>
  <c r="P30" i="3"/>
  <c r="N36" i="6"/>
  <c r="I49" i="6"/>
  <c r="P14" i="3"/>
  <c r="H34" i="6"/>
  <c r="O25" i="3"/>
  <c r="K41" i="6"/>
  <c r="K48" i="6"/>
  <c r="P42" i="6"/>
  <c r="L48" i="6"/>
  <c r="K8" i="3"/>
  <c r="T38" i="6"/>
  <c r="S34" i="6"/>
  <c r="P9" i="3"/>
  <c r="S43" i="6"/>
  <c r="M347" i="1"/>
  <c r="P33" i="6"/>
  <c r="K23" i="3"/>
  <c r="R36" i="6"/>
  <c r="P12" i="3"/>
  <c r="T42" i="6"/>
  <c r="D39" i="6"/>
  <c r="U48" i="6"/>
  <c r="P17" i="3"/>
  <c r="N44" i="6"/>
  <c r="L39" i="6"/>
  <c r="J34" i="6"/>
  <c r="O29" i="3"/>
  <c r="K30" i="3"/>
  <c r="K13" i="3"/>
  <c r="S35" i="6"/>
  <c r="L41" i="6"/>
  <c r="E44" i="6"/>
  <c r="L49" i="6"/>
  <c r="H40" i="6"/>
  <c r="M38" i="6"/>
  <c r="K14" i="3"/>
  <c r="Q40" i="6"/>
  <c r="O36" i="6"/>
  <c r="N50" i="6"/>
  <c r="I45" i="6"/>
  <c r="J28" i="3"/>
  <c r="H43" i="6"/>
  <c r="O24" i="3"/>
  <c r="H33" i="6"/>
  <c r="J47" i="6"/>
  <c r="P10" i="3"/>
  <c r="M47" i="6"/>
  <c r="G38" i="6"/>
  <c r="S50" i="6"/>
  <c r="K27" i="3"/>
  <c r="J40" i="6"/>
  <c r="P5" i="3"/>
  <c r="K22" i="3"/>
  <c r="O48" i="6"/>
  <c r="G40" i="6"/>
  <c r="J14" i="3"/>
  <c r="F37" i="6"/>
  <c r="Q43" i="6"/>
  <c r="N33" i="6"/>
  <c r="H44" i="6"/>
  <c r="K34" i="6"/>
  <c r="S36" i="6"/>
  <c r="P24" i="3"/>
  <c r="T46" i="6"/>
  <c r="N47" i="6"/>
  <c r="K40" i="6"/>
  <c r="R47" i="6"/>
  <c r="P34" i="3"/>
  <c r="M328" i="1"/>
  <c r="M320" i="1"/>
  <c r="M312" i="1"/>
  <c r="M342" i="1"/>
  <c r="M353" i="1"/>
  <c r="M335" i="1"/>
  <c r="M327" i="1"/>
  <c r="M319" i="1"/>
  <c r="M311" i="1"/>
  <c r="M341" i="1"/>
  <c r="M349" i="1"/>
  <c r="M334" i="1"/>
  <c r="M326" i="1"/>
  <c r="M318" i="1"/>
  <c r="M310" i="1"/>
  <c r="M340" i="1"/>
  <c r="M352" i="1"/>
  <c r="M303" i="1"/>
  <c r="M333" i="1"/>
  <c r="M325" i="1"/>
  <c r="M317" i="1"/>
  <c r="M309" i="1"/>
  <c r="M339" i="1"/>
  <c r="M355" i="1"/>
  <c r="M308" i="1"/>
  <c r="M346" i="1"/>
  <c r="M338" i="1"/>
  <c r="M358" i="1"/>
  <c r="M354" i="1"/>
  <c r="M331" i="1"/>
  <c r="M323" i="1"/>
  <c r="M315" i="1"/>
  <c r="M307" i="1"/>
  <c r="M345" i="1"/>
  <c r="M337" i="1"/>
  <c r="M350" i="1"/>
  <c r="M356" i="1"/>
  <c r="M330" i="1"/>
  <c r="M322" i="1"/>
  <c r="M314" i="1"/>
  <c r="M306" i="1"/>
  <c r="M344" i="1"/>
  <c r="M336" i="1"/>
  <c r="M357" i="1"/>
  <c r="M348" i="1"/>
  <c r="P337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0" i="6" l="1"/>
  <c r="V49" i="6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<sst xmlns="http://schemas.openxmlformats.org/spreadsheetml/2006/main" count="3786" uniqueCount="175">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</sst>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0" fontId="3" fillId="11" borderId="0" xfId="0" applyFont="1" applyFill="1"/>
    <xf numFmtId="0" fontId="3" fillId="0" borderId="1" xfId="0" applyNumberFormat="1" applyFont="1" applyBorder="1"/>
  </cellXfs>
  <cellStyles count="1">
    <cellStyle name="Normal" xfId="0" builtinId="0"/>
  </cellStyles>
  <dxfs count="42"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59" totalsRowShown="0">
  <autoFilter ref="A1:P359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10"/>
    <tableColumn id="3" xr3:uid="{00000000-0010-0000-0000-000003000000}" name="Empresa"/>
    <tableColumn id="4" xr3:uid="{00000000-0010-0000-0000-000004000000}" name="Cuenta Bancaria" dataDxfId="9"/>
    <tableColumn id="12" xr3:uid="{4E4C6484-6819-4411-A0F3-4017EFF8C28C}" name="Banco" dataDxfId="8">
      <calculatedColumnFormula>_xlfn.XLOOKUP(tblMovimientos[[#This Row],[Cuenta Bancaria]],Listas!$B:$B,Listas!$C:$C,"")</calculatedColumnFormula>
    </tableColumn>
    <tableColumn id="5" xr3:uid="{00000000-0010-0000-0000-000005000000}" name="Tipo de Movimiento" dataDxfId="7"/>
    <tableColumn id="6" xr3:uid="{00000000-0010-0000-0000-000006000000}" name="Categoria / Concepto" dataDxfId="6"/>
    <tableColumn id="7" xr3:uid="{00000000-0010-0000-0000-000007000000}" name="Descripcion" dataDxfId="5">
      <calculatedColumnFormula>IFERROR(_xlfn.XLOOKUP(G2,Listas!E:E,Listas!F:F,""),"")</calculatedColumnFormula>
    </tableColumn>
    <tableColumn id="13" xr3:uid="{44ABE6CE-2513-45FC-BD14-32E930AFDBBD}" name="Ext/Int" dataDxfId="4"/>
    <tableColumn id="8" xr3:uid="{00000000-0010-0000-0000-000008000000}" name="Monto (S/)" dataDxfId="3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2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1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0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41" dataDxfId="39" headerRowBorderDxfId="40" tableBorderDxfId="38">
  <autoFilter ref="A1:V500" xr:uid="{F415436C-AC07-4BC7-AF63-CF4210A06BB4}"/>
  <tableColumns count="22">
    <tableColumn id="1" xr3:uid="{63FFD75C-E666-43DD-8029-F430E7835BEE}" name="Día" dataDxfId="37"/>
    <tableColumn id="2" xr3:uid="{3C0A637E-5BCF-4DAA-A47B-1062D26CE0FC}" name="Fecha" dataDxfId="36"/>
    <tableColumn id="3" xr3:uid="{AA52C2CE-0BC6-4D55-8E20-0938296D1C23}" name="CFT Group" dataDxfId="35"/>
    <tableColumn id="4" xr3:uid="{EE7D0652-E6C8-4122-A765-D1B09096A21E}" name="M1B" dataDxfId="34"/>
    <tableColumn id="5" xr3:uid="{B4646433-2F6C-4447-A177-6AD7A4B88B6F}" name="Durand" dataDxfId="33"/>
    <tableColumn id="6" xr3:uid="{DCA1C6D9-C3E1-43F4-A721-4008460687C7}" name="A&amp;M Imports" dataDxfId="32"/>
    <tableColumn id="7" xr3:uid="{D4A7DE77-6043-4E65-8D3F-445DF17D93F1}" name="SSP Capital" dataDxfId="31"/>
    <tableColumn id="8" xr3:uid="{64A897BF-46B4-411E-BA9D-FE799CF2FEFB}" name="Cross Family Trust" dataDxfId="30"/>
    <tableColumn id="9" xr3:uid="{22730D08-F998-46A3-A6B6-4BF23E38D8F9}" name="Cross Security Trust" dataDxfId="29"/>
    <tableColumn id="10" xr3:uid="{BB5B9930-003E-4DC5-8E5D-067C1CF1A456}" name="Electrama" dataDxfId="28"/>
    <tableColumn id="11" xr3:uid="{72B1FF5A-A2B1-4F18-A8C8-32EEB09E3A17}" name="Sacred Valley Capital" dataDxfId="27"/>
    <tableColumn id="12" xr3:uid="{8285724C-9042-463F-8339-13C60DCBF2F4}" name="YWC Capital" dataDxfId="26"/>
    <tableColumn id="13" xr3:uid="{A6BA6873-5C5A-44C1-A199-00F91718164E}" name="Soweto" dataDxfId="25"/>
    <tableColumn id="14" xr3:uid="{50FB5920-A571-4DC5-9E26-0EF4F33A880F}" name="Green Stone Trust" dataDxfId="24"/>
    <tableColumn id="15" xr3:uid="{F3DE628D-3663-4B8C-88C3-8ED6C47CDAD0}" name="EC Auto" dataDxfId="23"/>
    <tableColumn id="16" xr3:uid="{63079263-2DC8-47D4-869E-EF7FF8CC83E2}" name="Arbor Capital Properties" dataDxfId="22"/>
    <tableColumn id="17" xr3:uid="{F0CCDB07-528A-4A91-A40E-B313EA61AC5A}" name="2515 Overbrook" dataDxfId="21"/>
    <tableColumn id="18" xr3:uid="{A92B8B5E-42D0-409B-819B-93575E6B5338}" name="112 Florida Ave" dataDxfId="20"/>
    <tableColumn id="19" xr3:uid="{E8590E2C-955F-4887-9F19-BD4E50391F39}" name="3628 Thomas Ave" dataDxfId="19"/>
    <tableColumn id="20" xr3:uid="{C99311AE-E772-4C28-A5BF-F01473FDC99C}" name="Green Harbor Trust" dataDxfId="18"/>
    <tableColumn id="21" xr3:uid="{531291F0-F871-4ED7-85FB-D95349130FEE}" name="Go Blue" dataDxfId="17"/>
    <tableColumn id="22" xr3:uid="{9970DF30-CB1E-4EE7-A51A-8EEDF7EFDE4C}" name="TOTAL CONSOLIDADO" dataDxfId="1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932" tableType="queryTable" totalsRowShown="0">
  <autoFilter ref="A1:D932" xr:uid="{2C5E576C-56D5-4661-AEE8-C56EAF46506C}"/>
  <tableColumns count="4">
    <tableColumn id="1" xr3:uid="{C5F72CE6-A217-4AAA-B890-634003E10415}" uniqueName="1" name="Empresa" queryTableFieldId="1" dataDxfId="15"/>
    <tableColumn id="4" xr3:uid="{1BFD00E9-36EE-42D9-A985-B1FC2CE4E317}" uniqueName="4" name="Saldo inicial" queryTableFieldId="4" dataDxfId="14"/>
    <tableColumn id="2" xr3:uid="{EA09EB92-4B2D-420E-B39F-7A131A47C123}" uniqueName="2" name="Atributo " queryTableFieldId="2" dataDxfId="13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2" activePane="bottomLeft" state="frozen"/>
      <selection pane="bottomLeft" activeCell="D15" activeCellId="1" sqref="D6 D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59"/>
  <sheetViews>
    <sheetView tabSelected="1" topLeftCell="H1" zoomScale="70" zoomScaleNormal="70" workbookViewId="0">
      <pane ySplit="1" topLeftCell="A339" activePane="bottomLeft" state="frozen"/>
      <selection pane="bottomLeft" activeCell="D359" sqref="D359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4" t="str">
        <f>IFERROR(_xlfn.XLOOKUP(G4,Listas!E:E,Listas!F:F,""),"")</f>
        <v>Operativo</v>
      </c>
      <c r="I4" s="54" t="str">
        <f>IFERROR(_xlfn.XLOOKUP(G4,Listas!E:E,Listas!G:G,""),"")</f>
        <v>Externo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4" t="str">
        <f>IFERROR(_xlfn.XLOOKUP(G5,Listas!E:E,Listas!F:F,""),"")</f>
        <v>Operativo</v>
      </c>
      <c r="I5" s="54" t="str">
        <f>IFERROR(_xlfn.XLOOKUP(G5,Listas!E:E,Listas!G:G,""),"")</f>
        <v>Externo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4" t="str">
        <f>IFERROR(_xlfn.XLOOKUP(G6,Listas!E:E,Listas!F:F,""),"")</f>
        <v>Operativo</v>
      </c>
      <c r="I6" s="54" t="str">
        <f>IFERROR(_xlfn.XLOOKUP(G6,Listas!E:E,Listas!G:G,""),"")</f>
        <v>Externo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4" t="str">
        <f>IFERROR(_xlfn.XLOOKUP(G7,Listas!E:E,Listas!F:F,""),"")</f>
        <v>Operativo</v>
      </c>
      <c r="I7" s="54" t="str">
        <f>IFERROR(_xlfn.XLOOKUP(G7,Listas!E:E,Listas!G:G,""),"")</f>
        <v>Externo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4" t="str">
        <f>IFERROR(_xlfn.XLOOKUP(G8,Listas!E:E,Listas!F:F,""),"")</f>
        <v>Financiamiento</v>
      </c>
      <c r="I8" s="54" t="str">
        <f>IFERROR(_xlfn.XLOOKUP(G8,Listas!E:E,Listas!G:G,""),"")</f>
        <v>Externo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4" t="str">
        <f>IFERROR(_xlfn.XLOOKUP(G9,Listas!E:E,Listas!F:F,""),"")</f>
        <v>Operativo</v>
      </c>
      <c r="I9" s="54" t="str">
        <f>IFERROR(_xlfn.XLOOKUP(G9,Listas!E:E,Listas!G:G,""),"")</f>
        <v>Externo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4" t="str">
        <f>IFERROR(_xlfn.XLOOKUP(G10,Listas!E:E,Listas!F:F,""),"")</f>
        <v>Operativo</v>
      </c>
      <c r="I10" s="54" t="str">
        <f>IFERROR(_xlfn.XLOOKUP(G10,Listas!E:E,Listas!G:G,""),"")</f>
        <v>Externo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4" t="str">
        <f>IFERROR(_xlfn.XLOOKUP(G11,Listas!E:E,Listas!F:F,""),"")</f>
        <v>Operativo</v>
      </c>
      <c r="I11" s="54" t="str">
        <f>IFERROR(_xlfn.XLOOKUP(G11,Listas!E:E,Listas!G:G,""),"")</f>
        <v>Externo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4" t="str">
        <f>IFERROR(_xlfn.XLOOKUP(G12,Listas!E:E,Listas!F:F,""),"")</f>
        <v>Financiamiento</v>
      </c>
      <c r="I12" s="54" t="str">
        <f>IFERROR(_xlfn.XLOOKUP(G12,Listas!E:E,Listas!G:G,""),"")</f>
        <v>Externo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4" t="str">
        <f>IFERROR(_xlfn.XLOOKUP(G13,Listas!E:E,Listas!F:F,""),"")</f>
        <v>Operativo</v>
      </c>
      <c r="I13" s="54" t="str">
        <f>IFERROR(_xlfn.XLOOKUP(G13,Listas!E:E,Listas!G:G,""),"")</f>
        <v>Externo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4" t="str">
        <f>IFERROR(_xlfn.XLOOKUP(G14,Listas!E:E,Listas!F:F,""),"")</f>
        <v>Financiamiento</v>
      </c>
      <c r="I14" s="54" t="str">
        <f>IFERROR(_xlfn.XLOOKUP(G14,Listas!E:E,Listas!G:G,""),"")</f>
        <v>Externo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4" t="str">
        <f>IFERROR(_xlfn.XLOOKUP(G15,Listas!E:E,Listas!F:F,""),"")</f>
        <v>Operativo</v>
      </c>
      <c r="I15" s="54" t="str">
        <f>IFERROR(_xlfn.XLOOKUP(G15,Listas!E:E,Listas!G:G,""),"")</f>
        <v>Externo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4" t="str">
        <f>IFERROR(_xlfn.XLOOKUP(G16,Listas!E:E,Listas!F:F,""),"")</f>
        <v>Operativo</v>
      </c>
      <c r="I16" s="54" t="str">
        <f>IFERROR(_xlfn.XLOOKUP(G16,Listas!E:E,Listas!G:G,""),"")</f>
        <v>Externo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4" t="str">
        <f>IFERROR(_xlfn.XLOOKUP(G17,Listas!E:E,Listas!F:F,""),"")</f>
        <v>Operativo</v>
      </c>
      <c r="I17" s="54" t="str">
        <f>IFERROR(_xlfn.XLOOKUP(G17,Listas!E:E,Listas!G:G,""),"")</f>
        <v>Externo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4" t="str">
        <f>IFERROR(_xlfn.XLOOKUP(G18,Listas!E:E,Listas!F:F,""),"")</f>
        <v>Operativo</v>
      </c>
      <c r="I18" s="54" t="str">
        <f>IFERROR(_xlfn.XLOOKUP(G18,Listas!E:E,Listas!G:G,""),"")</f>
        <v>Externo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4" t="str">
        <f>IFERROR(_xlfn.XLOOKUP(G19,Listas!E:E,Listas!F:F,""),"")</f>
        <v>Operativo</v>
      </c>
      <c r="I19" s="54" t="str">
        <f>IFERROR(_xlfn.XLOOKUP(G19,Listas!E:E,Listas!G:G,""),"")</f>
        <v>Externo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4" t="str">
        <f>IFERROR(_xlfn.XLOOKUP(G20,Listas!E:E,Listas!F:F,""),"")</f>
        <v>Financiamiento</v>
      </c>
      <c r="I20" s="54" t="str">
        <f>IFERROR(_xlfn.XLOOKUP(G20,Listas!E:E,Listas!G:G,""),"")</f>
        <v>Externo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4" t="str">
        <f>IFERROR(_xlfn.XLOOKUP(G21,Listas!E:E,Listas!F:F,""),"")</f>
        <v>Operativo</v>
      </c>
      <c r="I21" s="54" t="str">
        <f>IFERROR(_xlfn.XLOOKUP(G21,Listas!E:E,Listas!G:G,""),"")</f>
        <v>Externo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4" t="str">
        <f>IFERROR(_xlfn.XLOOKUP(G22,Listas!E:E,Listas!F:F,""),"")</f>
        <v>Operativo</v>
      </c>
      <c r="I22" s="54" t="str">
        <f>IFERROR(_xlfn.XLOOKUP(G22,Listas!E:E,Listas!G:G,""),"")</f>
        <v>Externo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4" t="str">
        <f>IFERROR(_xlfn.XLOOKUP(G23,Listas!E:E,Listas!F:F,""),"")</f>
        <v>Operativo</v>
      </c>
      <c r="I23" s="54" t="str">
        <f>IFERROR(_xlfn.XLOOKUP(G23,Listas!E:E,Listas!G:G,""),"")</f>
        <v>Interno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4" t="str">
        <f>IFERROR(_xlfn.XLOOKUP(G24,Listas!E:E,Listas!F:F,""),"")</f>
        <v>Operativo</v>
      </c>
      <c r="I24" s="54" t="str">
        <f>IFERROR(_xlfn.XLOOKUP(G24,Listas!E:E,Listas!G:G,""),"")</f>
        <v>Externo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4" t="str">
        <f>IFERROR(_xlfn.XLOOKUP(G25,Listas!E:E,Listas!F:F,""),"")</f>
        <v>Inversion</v>
      </c>
      <c r="I25" s="54" t="str">
        <f>IFERROR(_xlfn.XLOOKUP(G25,Listas!E:E,Listas!G:G,""),"")</f>
        <v>Externo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4" t="str">
        <f>IFERROR(_xlfn.XLOOKUP(G26,Listas!E:E,Listas!F:F,""),"")</f>
        <v>Operativo</v>
      </c>
      <c r="I26" s="54" t="str">
        <f>IFERROR(_xlfn.XLOOKUP(G26,Listas!E:E,Listas!G:G,""),"")</f>
        <v>Interno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4" t="str">
        <f>IFERROR(_xlfn.XLOOKUP(G27,Listas!E:E,Listas!F:F,""),"")</f>
        <v>Operativo</v>
      </c>
      <c r="I27" s="54" t="str">
        <f>IFERROR(_xlfn.XLOOKUP(G27,Listas!E:E,Listas!G:G,""),"")</f>
        <v>Interno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4" t="str">
        <f>IFERROR(_xlfn.XLOOKUP(G28,Listas!E:E,Listas!F:F,""),"")</f>
        <v>Operativo</v>
      </c>
      <c r="I28" s="54" t="str">
        <f>IFERROR(_xlfn.XLOOKUP(G28,Listas!E:E,Listas!G:G,""),"")</f>
        <v>Interno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4" t="str">
        <f>IFERROR(_xlfn.XLOOKUP(G29,Listas!E:E,Listas!F:F,""),"")</f>
        <v>Operativo</v>
      </c>
      <c r="I29" s="54" t="str">
        <f>IFERROR(_xlfn.XLOOKUP(G29,Listas!E:E,Listas!G:G,""),"")</f>
        <v>Externo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4" t="str">
        <f>IFERROR(_xlfn.XLOOKUP(G30,Listas!E:E,Listas!F:F,""),"")</f>
        <v>Operativo</v>
      </c>
      <c r="I30" s="54" t="str">
        <f>IFERROR(_xlfn.XLOOKUP(G30,Listas!E:E,Listas!G:G,""),"")</f>
        <v>Externo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4" t="str">
        <f>IFERROR(_xlfn.XLOOKUP(G31,Listas!E:E,Listas!F:F,""),"")</f>
        <v>Financiamiento</v>
      </c>
      <c r="I31" s="54" t="str">
        <f>IFERROR(_xlfn.XLOOKUP(G31,Listas!E:E,Listas!G:G,""),"")</f>
        <v>Externo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 t="s">
        <v>76</v>
      </c>
      <c r="H32" s="4" t="str">
        <f>IFERROR(_xlfn.XLOOKUP(G32,Listas!E:E,Listas!F:F,""),"")</f>
        <v>Financiamiento</v>
      </c>
      <c r="I32" s="54" t="str">
        <f>IFERROR(_xlfn.XLOOKUP(G32,Listas!E:E,Listas!G:G,""),"")</f>
        <v>Externo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 t="s">
        <v>75</v>
      </c>
      <c r="H33" s="4" t="str">
        <f>IFERROR(_xlfn.XLOOKUP(G33,Listas!E:E,Listas!F:F,""),"")</f>
        <v>Financiamiento</v>
      </c>
      <c r="I33" s="54" t="str">
        <f>IFERROR(_xlfn.XLOOKUP(G33,Listas!E:E,Listas!G:G,""),"")</f>
        <v>Interno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 t="s">
        <v>38</v>
      </c>
      <c r="H34" s="4" t="str">
        <f>IFERROR(_xlfn.XLOOKUP(G34,Listas!E:E,Listas!F:F,""),"")</f>
        <v>Operativo</v>
      </c>
      <c r="I34" s="54" t="str">
        <f>IFERROR(_xlfn.XLOOKUP(G34,Listas!E:E,Listas!G:G,""),"")</f>
        <v>Externo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4" t="str">
        <f>IFERROR(_xlfn.XLOOKUP(G35,Listas!E:E,Listas!F:F,""),"")</f>
        <v>Operativo</v>
      </c>
      <c r="I35" s="54" t="str">
        <f>IFERROR(_xlfn.XLOOKUP(G35,Listas!E:E,Listas!G:G,""),"")</f>
        <v>Externo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4" t="str">
        <f>IFERROR(_xlfn.XLOOKUP(G36,Listas!E:E,Listas!F:F,""),"")</f>
        <v>Operativo</v>
      </c>
      <c r="I36" s="54" t="str">
        <f>IFERROR(_xlfn.XLOOKUP(G36,Listas!E:E,Listas!G:G,""),"")</f>
        <v>Externo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4" t="str">
        <f>IFERROR(_xlfn.XLOOKUP(G37,Listas!E:E,Listas!F:F,""),"")</f>
        <v>Operativo</v>
      </c>
      <c r="I37" s="54" t="str">
        <f>IFERROR(_xlfn.XLOOKUP(G37,Listas!E:E,Listas!G:G,""),"")</f>
        <v>Externo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4" t="str">
        <f>IFERROR(_xlfn.XLOOKUP(G38,Listas!E:E,Listas!F:F,""),"")</f>
        <v>Inversion</v>
      </c>
      <c r="I38" s="54" t="str">
        <f>IFERROR(_xlfn.XLOOKUP(G38,Listas!E:E,Listas!G:G,""),"")</f>
        <v>Interno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4" t="str">
        <f>IFERROR(_xlfn.XLOOKUP(G39,Listas!E:E,Listas!F:F,""),"")</f>
        <v>Inversion</v>
      </c>
      <c r="I39" s="54" t="str">
        <f>IFERROR(_xlfn.XLOOKUP(G39,Listas!E:E,Listas!G:G,""),"")</f>
        <v>Externo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4" t="str">
        <f>IFERROR(_xlfn.XLOOKUP(G40,Listas!E:E,Listas!F:F,""),"")</f>
        <v>Operativo</v>
      </c>
      <c r="I40" s="54" t="str">
        <f>IFERROR(_xlfn.XLOOKUP(G40,Listas!E:E,Listas!G:G,""),"")</f>
        <v>Interno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4" t="str">
        <f>IFERROR(_xlfn.XLOOKUP(G41,Listas!E:E,Listas!F:F,""),"")</f>
        <v>Financiamiento</v>
      </c>
      <c r="I41" s="54" t="str">
        <f>IFERROR(_xlfn.XLOOKUP(G41,Listas!E:E,Listas!G:G,""),"")</f>
        <v>Externo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4" t="str">
        <f>IFERROR(_xlfn.XLOOKUP(G42,Listas!E:E,Listas!F:F,""),"")</f>
        <v>Inversion</v>
      </c>
      <c r="I42" s="54" t="str">
        <f>IFERROR(_xlfn.XLOOKUP(G42,Listas!E:E,Listas!G:G,""),"")</f>
        <v>Externo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4" t="str">
        <f>IFERROR(_xlfn.XLOOKUP(G43,Listas!E:E,Listas!F:F,""),"")</f>
        <v>Financiamiento</v>
      </c>
      <c r="I43" s="54" t="str">
        <f>IFERROR(_xlfn.XLOOKUP(G43,Listas!E:E,Listas!G:G,""),"")</f>
        <v>Externo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4" t="str">
        <f>IFERROR(_xlfn.XLOOKUP(G44,Listas!E:E,Listas!F:F,""),"")</f>
        <v>Financiamiento</v>
      </c>
      <c r="I44" s="54" t="str">
        <f>IFERROR(_xlfn.XLOOKUP(G44,Listas!E:E,Listas!G:G,""),"")</f>
        <v>Externo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4" t="str">
        <f>IFERROR(_xlfn.XLOOKUP(G45,Listas!E:E,Listas!F:F,""),"")</f>
        <v>Operativo</v>
      </c>
      <c r="I45" s="54" t="str">
        <f>IFERROR(_xlfn.XLOOKUP(G45,Listas!E:E,Listas!G:G,""),"")</f>
        <v>Interno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4" t="str">
        <f>IFERROR(_xlfn.XLOOKUP(G46,Listas!E:E,Listas!F:F,""),"")</f>
        <v>Operativo</v>
      </c>
      <c r="I46" s="54" t="str">
        <f>IFERROR(_xlfn.XLOOKUP(G46,Listas!E:E,Listas!G:G,""),"")</f>
        <v>Interno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4" t="str">
        <f>IFERROR(_xlfn.XLOOKUP(G47,Listas!E:E,Listas!F:F,""),"")</f>
        <v>Financiamiento</v>
      </c>
      <c r="I47" s="54" t="str">
        <f>IFERROR(_xlfn.XLOOKUP(G47,Listas!E:E,Listas!G:G,""),"")</f>
        <v>Externo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4" t="str">
        <f>IFERROR(_xlfn.XLOOKUP(G48,Listas!E:E,Listas!F:F,""),"")</f>
        <v>Operativo</v>
      </c>
      <c r="I48" s="54" t="str">
        <f>IFERROR(_xlfn.XLOOKUP(G48,Listas!E:E,Listas!G:G,""),"")</f>
        <v>Interno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4" t="str">
        <f>IFERROR(_xlfn.XLOOKUP(G49,Listas!E:E,Listas!F:F,""),"")</f>
        <v>Operativo</v>
      </c>
      <c r="I49" s="54" t="str">
        <f>IFERROR(_xlfn.XLOOKUP(G49,Listas!E:E,Listas!G:G,""),"")</f>
        <v>Externo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4" t="str">
        <f>IFERROR(_xlfn.XLOOKUP(G50,Listas!E:E,Listas!F:F,""),"")</f>
        <v>Operativo</v>
      </c>
      <c r="I50" s="54" t="str">
        <f>IFERROR(_xlfn.XLOOKUP(G50,Listas!E:E,Listas!G:G,""),"")</f>
        <v>Externo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4" t="str">
        <f>IFERROR(_xlfn.XLOOKUP(G51,Listas!E:E,Listas!F:F,""),"")</f>
        <v>Operativo</v>
      </c>
      <c r="I51" s="54" t="str">
        <f>IFERROR(_xlfn.XLOOKUP(G51,Listas!E:E,Listas!G:G,""),"")</f>
        <v>Externo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4" t="str">
        <f>IFERROR(_xlfn.XLOOKUP(G52,Listas!E:E,Listas!F:F,""),"")</f>
        <v>Operativo</v>
      </c>
      <c r="I52" s="54" t="str">
        <f>IFERROR(_xlfn.XLOOKUP(G52,Listas!E:E,Listas!G:G,""),"")</f>
        <v>Externo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4" t="str">
        <f>IFERROR(_xlfn.XLOOKUP(G53,Listas!E:E,Listas!F:F,""),"")</f>
        <v>Inversion</v>
      </c>
      <c r="I53" s="54" t="str">
        <f>IFERROR(_xlfn.XLOOKUP(G53,Listas!E:E,Listas!G:G,""),"")</f>
        <v>Externo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4" t="str">
        <f>IFERROR(_xlfn.XLOOKUP(G54,Listas!E:E,Listas!F:F,""),"")</f>
        <v>Inversion</v>
      </c>
      <c r="I54" s="54" t="str">
        <f>IFERROR(_xlfn.XLOOKUP(G54,Listas!E:E,Listas!G:G,""),"")</f>
        <v>Externo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 t="s">
        <v>67</v>
      </c>
      <c r="H55" s="4" t="str">
        <f>IFERROR(_xlfn.XLOOKUP(G55,Listas!E:E,Listas!F:F,""),"")</f>
        <v>Inversion</v>
      </c>
      <c r="I55" s="54" t="str">
        <f>IFERROR(_xlfn.XLOOKUP(G55,Listas!E:E,Listas!G:G,""),"")</f>
        <v>Interno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4" t="str">
        <f>IFERROR(_xlfn.XLOOKUP(G56,Listas!E:E,Listas!F:F,""),"")</f>
        <v>Operativo</v>
      </c>
      <c r="I56" s="54" t="str">
        <f>IFERROR(_xlfn.XLOOKUP(G56,Listas!E:E,Listas!G:G,""),"")</f>
        <v>Externo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4" t="str">
        <f>IFERROR(_xlfn.XLOOKUP(G57,Listas!E:E,Listas!F:F,""),"")</f>
        <v>Operativo</v>
      </c>
      <c r="I57" s="54" t="str">
        <f>IFERROR(_xlfn.XLOOKUP(G57,Listas!E:E,Listas!G:G,""),"")</f>
        <v>Externo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4" t="str">
        <f>IFERROR(_xlfn.XLOOKUP(G58,Listas!E:E,Listas!F:F,""),"")</f>
        <v>Operativo</v>
      </c>
      <c r="I58" s="54" t="str">
        <f>IFERROR(_xlfn.XLOOKUP(G58,Listas!E:E,Listas!G:G,""),"")</f>
        <v>Externo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4" t="str">
        <f>IFERROR(_xlfn.XLOOKUP(G59,Listas!E:E,Listas!F:F,""),"")</f>
        <v>Operativo</v>
      </c>
      <c r="I59" s="54" t="str">
        <f>IFERROR(_xlfn.XLOOKUP(G59,Listas!E:E,Listas!G:G,""),"")</f>
        <v>Externo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4" t="str">
        <f>IFERROR(_xlfn.XLOOKUP(G60,Listas!E:E,Listas!F:F,""),"")</f>
        <v>Operativo</v>
      </c>
      <c r="I60" s="54" t="str">
        <f>IFERROR(_xlfn.XLOOKUP(G60,Listas!E:E,Listas!G:G,""),"")</f>
        <v>Externo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4" t="str">
        <f>IFERROR(_xlfn.XLOOKUP(G61,Listas!E:E,Listas!F:F,""),"")</f>
        <v>Operativo</v>
      </c>
      <c r="I61" s="54" t="str">
        <f>IFERROR(_xlfn.XLOOKUP(G61,Listas!E:E,Listas!G:G,""),"")</f>
        <v>Externo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4" t="str">
        <f>IFERROR(_xlfn.XLOOKUP(G62,Listas!E:E,Listas!F:F,""),"")</f>
        <v>Operativo</v>
      </c>
      <c r="I62" s="54" t="str">
        <f>IFERROR(_xlfn.XLOOKUP(G62,Listas!E:E,Listas!G:G,""),"")</f>
        <v>Externo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4" t="str">
        <f>IFERROR(_xlfn.XLOOKUP(G63,Listas!E:E,Listas!F:F,""),"")</f>
        <v>Operativo</v>
      </c>
      <c r="I63" s="54" t="str">
        <f>IFERROR(_xlfn.XLOOKUP(G63,Listas!E:E,Listas!G:G,""),"")</f>
        <v>Externo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4" t="str">
        <f>IFERROR(_xlfn.XLOOKUP(G64,Listas!E:E,Listas!F:F,""),"")</f>
        <v>Operativo</v>
      </c>
      <c r="I64" s="54" t="str">
        <f>IFERROR(_xlfn.XLOOKUP(G64,Listas!E:E,Listas!G:G,""),"")</f>
        <v>Externo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4" t="str">
        <f>IFERROR(_xlfn.XLOOKUP(G65,Listas!E:E,Listas!F:F,""),"")</f>
        <v>Inversion</v>
      </c>
      <c r="I65" s="54" t="str">
        <f>IFERROR(_xlfn.XLOOKUP(G65,Listas!E:E,Listas!G:G,""),"")</f>
        <v>Interno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 t="s">
        <v>59</v>
      </c>
      <c r="H66" s="4" t="str">
        <f>IFERROR(_xlfn.XLOOKUP(G66,Listas!E:E,Listas!F:F,""),"")</f>
        <v>Inversion</v>
      </c>
      <c r="I66" s="54" t="str">
        <f>IFERROR(_xlfn.XLOOKUP(G66,Listas!E:E,Listas!G:G,""),"")</f>
        <v>Externo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 t="s">
        <v>38</v>
      </c>
      <c r="H67" s="4" t="str">
        <f>IFERROR(_xlfn.XLOOKUP(G67,Listas!E:E,Listas!F:F,""),"")</f>
        <v>Operativo</v>
      </c>
      <c r="I67" s="54" t="str">
        <f>IFERROR(_xlfn.XLOOKUP(G67,Listas!E:E,Listas!G:G,""),"")</f>
        <v>Externo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4" t="str">
        <f>IFERROR(_xlfn.XLOOKUP(G68,Listas!E:E,Listas!F:F,""),"")</f>
        <v>Operativo</v>
      </c>
      <c r="I68" s="54" t="str">
        <f>IFERROR(_xlfn.XLOOKUP(G68,Listas!E:E,Listas!G:G,""),"")</f>
        <v>Externo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4" t="str">
        <f>IFERROR(_xlfn.XLOOKUP(G69,Listas!E:E,Listas!F:F,""),"")</f>
        <v>Operativo</v>
      </c>
      <c r="I69" s="54" t="str">
        <f>IFERROR(_xlfn.XLOOKUP(G69,Listas!E:E,Listas!G:G,""),"")</f>
        <v>Externo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4" t="str">
        <f>IFERROR(_xlfn.XLOOKUP(G70,Listas!E:E,Listas!F:F,""),"")</f>
        <v>Operativo</v>
      </c>
      <c r="I70" s="54" t="str">
        <f>IFERROR(_xlfn.XLOOKUP(G70,Listas!E:E,Listas!G:G,""),"")</f>
        <v>Externo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4" t="str">
        <f>IFERROR(_xlfn.XLOOKUP(G71,Listas!E:E,Listas!F:F,""),"")</f>
        <v>Operativo</v>
      </c>
      <c r="I71" s="54" t="str">
        <f>IFERROR(_xlfn.XLOOKUP(G71,Listas!E:E,Listas!G:G,""),"")</f>
        <v>Externo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4" t="str">
        <f>IFERROR(_xlfn.XLOOKUP(G72,Listas!E:E,Listas!F:F,""),"")</f>
        <v>Operativo</v>
      </c>
      <c r="I72" s="54" t="str">
        <f>IFERROR(_xlfn.XLOOKUP(G72,Listas!E:E,Listas!G:G,""),"")</f>
        <v>Externo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4" t="str">
        <f>IFERROR(_xlfn.XLOOKUP(G73,Listas!E:E,Listas!F:F,""),"")</f>
        <v>Operativo</v>
      </c>
      <c r="I73" s="54" t="str">
        <f>IFERROR(_xlfn.XLOOKUP(G73,Listas!E:E,Listas!G:G,""),"")</f>
        <v>Externo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4" t="str">
        <f>IFERROR(_xlfn.XLOOKUP(G74,Listas!E:E,Listas!F:F,""),"")</f>
        <v>Operativo</v>
      </c>
      <c r="I74" s="54" t="str">
        <f>IFERROR(_xlfn.XLOOKUP(G74,Listas!E:E,Listas!G:G,""),"")</f>
        <v>Externo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4" t="str">
        <f>IFERROR(_xlfn.XLOOKUP(G75,Listas!E:E,Listas!F:F,""),"")</f>
        <v>Inversion</v>
      </c>
      <c r="I75" s="54" t="str">
        <f>IFERROR(_xlfn.XLOOKUP(G75,Listas!E:E,Listas!G:G,""),"")</f>
        <v>Externo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4" t="str">
        <f>IFERROR(_xlfn.XLOOKUP(G76,Listas!E:E,Listas!F:F,""),"")</f>
        <v>Operativo</v>
      </c>
      <c r="I76" s="54" t="str">
        <f>IFERROR(_xlfn.XLOOKUP(G76,Listas!E:E,Listas!G:G,""),"")</f>
        <v>Externo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4" t="str">
        <f>IFERROR(_xlfn.XLOOKUP(G77,Listas!E:E,Listas!F:F,""),"")</f>
        <v>Operativo</v>
      </c>
      <c r="I77" s="54" t="str">
        <f>IFERROR(_xlfn.XLOOKUP(G77,Listas!E:E,Listas!G:G,""),"")</f>
        <v>Externo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4" t="str">
        <f>IFERROR(_xlfn.XLOOKUP(G78,Listas!E:E,Listas!F:F,""),"")</f>
        <v>Financiamiento</v>
      </c>
      <c r="I78" s="54" t="str">
        <f>IFERROR(_xlfn.XLOOKUP(G78,Listas!E:E,Listas!G:G,""),"")</f>
        <v>Externo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4" t="str">
        <f>IFERROR(_xlfn.XLOOKUP(G79,Listas!E:E,Listas!F:F,""),"")</f>
        <v>Operativo</v>
      </c>
      <c r="I79" s="54" t="str">
        <f>IFERROR(_xlfn.XLOOKUP(G79,Listas!E:E,Listas!G:G,""),"")</f>
        <v>Externo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4" t="str">
        <f>IFERROR(_xlfn.XLOOKUP(G80,Listas!E:E,Listas!F:F,""),"")</f>
        <v>Operativo</v>
      </c>
      <c r="I80" s="54" t="str">
        <f>IFERROR(_xlfn.XLOOKUP(G80,Listas!E:E,Listas!G:G,""),"")</f>
        <v>Externo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 t="s">
        <v>38</v>
      </c>
      <c r="H81" s="4" t="str">
        <f>IFERROR(_xlfn.XLOOKUP(G81,Listas!E:E,Listas!F:F,""),"")</f>
        <v>Operativo</v>
      </c>
      <c r="I81" s="54" t="str">
        <f>IFERROR(_xlfn.XLOOKUP(G81,Listas!E:E,Listas!G:G,""),"")</f>
        <v>Externo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 t="s">
        <v>38</v>
      </c>
      <c r="H82" s="4" t="str">
        <f>IFERROR(_xlfn.XLOOKUP(G82,Listas!E:E,Listas!F:F,""),"")</f>
        <v>Operativo</v>
      </c>
      <c r="I82" s="54" t="str">
        <f>IFERROR(_xlfn.XLOOKUP(G82,Listas!E:E,Listas!G:G,""),"")</f>
        <v>Externo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4" t="str">
        <f>IFERROR(_xlfn.XLOOKUP(G83,Listas!E:E,Listas!F:F,""),"")</f>
        <v>Operativo</v>
      </c>
      <c r="I83" s="54" t="str">
        <f>IFERROR(_xlfn.XLOOKUP(G83,Listas!E:E,Listas!G:G,""),"")</f>
        <v>Externo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4" t="str">
        <f>IFERROR(_xlfn.XLOOKUP(G84,Listas!E:E,Listas!F:F,""),"")</f>
        <v>Operativo</v>
      </c>
      <c r="I84" s="54" t="str">
        <f>IFERROR(_xlfn.XLOOKUP(G84,Listas!E:E,Listas!G:G,""),"")</f>
        <v>Externo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 t="s">
        <v>87</v>
      </c>
      <c r="H85" s="4" t="str">
        <f>IFERROR(_xlfn.XLOOKUP(G85,Listas!E:E,Listas!F:F,""),"")</f>
        <v>Operativo</v>
      </c>
      <c r="I85" s="54" t="str">
        <f>IFERROR(_xlfn.XLOOKUP(G85,Listas!E:E,Listas!G:G,""),"")</f>
        <v>Externo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 t="s">
        <v>38</v>
      </c>
      <c r="H86" s="4" t="str">
        <f>IFERROR(_xlfn.XLOOKUP(G86,Listas!E:E,Listas!F:F,""),"")</f>
        <v>Operativo</v>
      </c>
      <c r="I86" s="54" t="str">
        <f>IFERROR(_xlfn.XLOOKUP(G86,Listas!E:E,Listas!G:G,""),"")</f>
        <v>Externo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4" t="str">
        <f>IFERROR(_xlfn.XLOOKUP(G87,Listas!E:E,Listas!F:F,""),"")</f>
        <v>Operativo</v>
      </c>
      <c r="I87" s="54" t="str">
        <f>IFERROR(_xlfn.XLOOKUP(G87,Listas!E:E,Listas!G:G,""),"")</f>
        <v>Externo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4" t="str">
        <f>IFERROR(_xlfn.XLOOKUP(G88,Listas!E:E,Listas!F:F,""),"")</f>
        <v>Operativo</v>
      </c>
      <c r="I88" s="54" t="str">
        <f>IFERROR(_xlfn.XLOOKUP(G88,Listas!E:E,Listas!G:G,""),"")</f>
        <v>Externo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4" t="str">
        <f>IFERROR(_xlfn.XLOOKUP(G89,Listas!E:E,Listas!F:F,""),"")</f>
        <v>Financiamiento</v>
      </c>
      <c r="I89" s="54" t="str">
        <f>IFERROR(_xlfn.XLOOKUP(G89,Listas!E:E,Listas!G:G,""),"")</f>
        <v>Externo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4" t="str">
        <f>IFERROR(_xlfn.XLOOKUP(G90,Listas!E:E,Listas!F:F,""),"")</f>
        <v>Operativo</v>
      </c>
      <c r="I90" s="54" t="str">
        <f>IFERROR(_xlfn.XLOOKUP(G90,Listas!E:E,Listas!G:G,""),"")</f>
        <v>Externo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4" t="str">
        <f>IFERROR(_xlfn.XLOOKUP(G91,Listas!E:E,Listas!F:F,""),"")</f>
        <v>Operativo</v>
      </c>
      <c r="I91" s="54" t="str">
        <f>IFERROR(_xlfn.XLOOKUP(G91,Listas!E:E,Listas!G:G,""),"")</f>
        <v>Externo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4" t="str">
        <f>IFERROR(_xlfn.XLOOKUP(G92,Listas!E:E,Listas!F:F,""),"")</f>
        <v>Operativo</v>
      </c>
      <c r="I92" s="54" t="str">
        <f>IFERROR(_xlfn.XLOOKUP(G92,Listas!E:E,Listas!G:G,""),"")</f>
        <v>Externo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4" t="str">
        <f>IFERROR(_xlfn.XLOOKUP(G93,Listas!E:E,Listas!F:F,""),"")</f>
        <v>Operativo</v>
      </c>
      <c r="I93" s="54" t="str">
        <f>IFERROR(_xlfn.XLOOKUP(G93,Listas!E:E,Listas!G:G,""),"")</f>
        <v>Externo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4" t="str">
        <f>IFERROR(_xlfn.XLOOKUP(G94,Listas!E:E,Listas!F:F,""),"")</f>
        <v>Operativo</v>
      </c>
      <c r="I94" s="54" t="str">
        <f>IFERROR(_xlfn.XLOOKUP(G94,Listas!E:E,Listas!G:G,""),"")</f>
        <v>Interno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4" t="str">
        <f>IFERROR(_xlfn.XLOOKUP(G95,Listas!E:E,Listas!F:F,""),"")</f>
        <v>Operativo</v>
      </c>
      <c r="I95" s="54" t="str">
        <f>IFERROR(_xlfn.XLOOKUP(G95,Listas!E:E,Listas!G:G,""),"")</f>
        <v>Externo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4" t="str">
        <f>IFERROR(_xlfn.XLOOKUP(G96,Listas!E:E,Listas!F:F,""),"")</f>
        <v>Operativo</v>
      </c>
      <c r="I96" s="54" t="str">
        <f>IFERROR(_xlfn.XLOOKUP(G96,Listas!E:E,Listas!G:G,""),"")</f>
        <v>Externo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4" t="str">
        <f>IFERROR(_xlfn.XLOOKUP(G97,Listas!E:E,Listas!F:F,""),"")</f>
        <v>Operativo</v>
      </c>
      <c r="I97" s="54" t="str">
        <f>IFERROR(_xlfn.XLOOKUP(G97,Listas!E:E,Listas!G:G,""),"")</f>
        <v>Interno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4" t="str">
        <f>IFERROR(_xlfn.XLOOKUP(G98,Listas!E:E,Listas!F:F,""),"")</f>
        <v>Financiamiento</v>
      </c>
      <c r="I98" s="54" t="str">
        <f>IFERROR(_xlfn.XLOOKUP(G98,Listas!E:E,Listas!G:G,""),"")</f>
        <v>Externo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4" t="str">
        <f>IFERROR(_xlfn.XLOOKUP(G99,Listas!E:E,Listas!F:F,""),"")</f>
        <v>Financiamiento</v>
      </c>
      <c r="I99" s="54" t="str">
        <f>IFERROR(_xlfn.XLOOKUP(G99,Listas!E:E,Listas!G:G,""),"")</f>
        <v>Externo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4" t="str">
        <f>IFERROR(_xlfn.XLOOKUP(G100,Listas!E:E,Listas!F:F,""),"")</f>
        <v>Operativo</v>
      </c>
      <c r="I100" s="54" t="str">
        <f>IFERROR(_xlfn.XLOOKUP(G100,Listas!E:E,Listas!G:G,""),"")</f>
        <v>Externo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4" t="str">
        <f>IFERROR(_xlfn.XLOOKUP(G101,Listas!E:E,Listas!F:F,""),"")</f>
        <v>Financiamiento</v>
      </c>
      <c r="I101" s="54" t="str">
        <f>IFERROR(_xlfn.XLOOKUP(G101,Listas!E:E,Listas!G:G,""),"")</f>
        <v>Externo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4" t="str">
        <f>IFERROR(_xlfn.XLOOKUP(G102,Listas!E:E,Listas!F:F,""),"")</f>
        <v>Operativo</v>
      </c>
      <c r="I102" s="54" t="str">
        <f>IFERROR(_xlfn.XLOOKUP(G102,Listas!E:E,Listas!G:G,""),"")</f>
        <v>Externo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4" t="str">
        <f>IFERROR(_xlfn.XLOOKUP(G103,Listas!E:E,Listas!F:F,""),"")</f>
        <v>Financiamiento</v>
      </c>
      <c r="I103" s="54" t="str">
        <f>IFERROR(_xlfn.XLOOKUP(G103,Listas!E:E,Listas!G:G,""),"")</f>
        <v>Externo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4" t="str">
        <f>IFERROR(_xlfn.XLOOKUP(G104,Listas!E:E,Listas!F:F,""),"")</f>
        <v>Financiamiento</v>
      </c>
      <c r="I104" s="54" t="str">
        <f>IFERROR(_xlfn.XLOOKUP(G104,Listas!E:E,Listas!G:G,""),"")</f>
        <v>Externo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4" t="str">
        <f>IFERROR(_xlfn.XLOOKUP(G105,Listas!E:E,Listas!F:F,""),"")</f>
        <v>Inversion</v>
      </c>
      <c r="I105" s="54" t="str">
        <f>IFERROR(_xlfn.XLOOKUP(G105,Listas!E:E,Listas!G:G,""),"")</f>
        <v>Interno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4" t="str">
        <f>IFERROR(_xlfn.XLOOKUP(G106,Listas!E:E,Listas!F:F,""),"")</f>
        <v>Financiamiento</v>
      </c>
      <c r="I106" s="54" t="str">
        <f>IFERROR(_xlfn.XLOOKUP(G106,Listas!E:E,Listas!G:G,""),"")</f>
        <v>Externo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4" t="str">
        <f>IFERROR(_xlfn.XLOOKUP(G107,Listas!E:E,Listas!F:F,""),"")</f>
        <v>Financiamiento</v>
      </c>
      <c r="I107" s="54" t="str">
        <f>IFERROR(_xlfn.XLOOKUP(G107,Listas!E:E,Listas!G:G,""),"")</f>
        <v>Externo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4" t="str">
        <f>IFERROR(_xlfn.XLOOKUP(G108,Listas!E:E,Listas!F:F,""),"")</f>
        <v>Operativo</v>
      </c>
      <c r="I108" s="54" t="str">
        <f>IFERROR(_xlfn.XLOOKUP(G108,Listas!E:E,Listas!G:G,""),"")</f>
        <v>Externo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4" t="str">
        <f>IFERROR(_xlfn.XLOOKUP(G109,Listas!E:E,Listas!F:F,""),"")</f>
        <v>Operativo</v>
      </c>
      <c r="I109" s="54" t="str">
        <f>IFERROR(_xlfn.XLOOKUP(G109,Listas!E:E,Listas!G:G,""),"")</f>
        <v>Externo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4" t="str">
        <f>IFERROR(_xlfn.XLOOKUP(G110,Listas!E:E,Listas!F:F,""),"")</f>
        <v>Operativo</v>
      </c>
      <c r="I110" s="54" t="str">
        <f>IFERROR(_xlfn.XLOOKUP(G110,Listas!E:E,Listas!G:G,""),"")</f>
        <v>Externo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4" t="str">
        <f>IFERROR(_xlfn.XLOOKUP(G111,Listas!E:E,Listas!F:F,""),"")</f>
        <v>Operativo</v>
      </c>
      <c r="I111" s="54" t="str">
        <f>IFERROR(_xlfn.XLOOKUP(G111,Listas!E:E,Listas!G:G,""),"")</f>
        <v>Externo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4" t="str">
        <f>IFERROR(_xlfn.XLOOKUP(G112,Listas!E:E,Listas!F:F,""),"")</f>
        <v>Operativo</v>
      </c>
      <c r="I112" s="54" t="str">
        <f>IFERROR(_xlfn.XLOOKUP(G112,Listas!E:E,Listas!G:G,""),"")</f>
        <v>Externo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4" t="str">
        <f>IFERROR(_xlfn.XLOOKUP(G113,Listas!E:E,Listas!F:F,""),"")</f>
        <v>Operativo</v>
      </c>
      <c r="I113" s="54" t="str">
        <f>IFERROR(_xlfn.XLOOKUP(G113,Listas!E:E,Listas!G:G,""),"")</f>
        <v>Externo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4" t="str">
        <f>IFERROR(_xlfn.XLOOKUP(G114,Listas!E:E,Listas!F:F,""),"")</f>
        <v>Operativo</v>
      </c>
      <c r="I114" s="54" t="str">
        <f>IFERROR(_xlfn.XLOOKUP(G114,Listas!E:E,Listas!G:G,""),"")</f>
        <v>Externo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4" t="str">
        <f>IFERROR(_xlfn.XLOOKUP(G115,Listas!E:E,Listas!F:F,""),"")</f>
        <v>Operativo</v>
      </c>
      <c r="I115" s="54" t="str">
        <f>IFERROR(_xlfn.XLOOKUP(G115,Listas!E:E,Listas!G:G,""),"")</f>
        <v>Externo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4" t="str">
        <f>IFERROR(_xlfn.XLOOKUP(G116,Listas!E:E,Listas!F:F,""),"")</f>
        <v>Operativo</v>
      </c>
      <c r="I116" s="54" t="str">
        <f>IFERROR(_xlfn.XLOOKUP(G116,Listas!E:E,Listas!G:G,""),"")</f>
        <v>Externo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4" t="str">
        <f>IFERROR(_xlfn.XLOOKUP(G117,Listas!E:E,Listas!F:F,""),"")</f>
        <v>Operativo</v>
      </c>
      <c r="I117" s="54" t="str">
        <f>IFERROR(_xlfn.XLOOKUP(G117,Listas!E:E,Listas!G:G,""),"")</f>
        <v>Externo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4" t="str">
        <f>IFERROR(_xlfn.XLOOKUP(G118,Listas!E:E,Listas!F:F,""),"")</f>
        <v>Operativo</v>
      </c>
      <c r="I118" s="54" t="str">
        <f>IFERROR(_xlfn.XLOOKUP(G118,Listas!E:E,Listas!G:G,""),"")</f>
        <v>Externo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4" t="str">
        <f>IFERROR(_xlfn.XLOOKUP(G119,Listas!E:E,Listas!F:F,""),"")</f>
        <v>Operativo</v>
      </c>
      <c r="I119" s="54" t="str">
        <f>IFERROR(_xlfn.XLOOKUP(G119,Listas!E:E,Listas!G:G,""),"")</f>
        <v>Externo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4" t="str">
        <f>IFERROR(_xlfn.XLOOKUP(G120,Listas!E:E,Listas!F:F,""),"")</f>
        <v>Operativo</v>
      </c>
      <c r="I120" s="54" t="str">
        <f>IFERROR(_xlfn.XLOOKUP(G120,Listas!E:E,Listas!G:G,""),"")</f>
        <v>Externo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4" t="str">
        <f>IFERROR(_xlfn.XLOOKUP(G121,Listas!E:E,Listas!F:F,""),"")</f>
        <v>Operativo</v>
      </c>
      <c r="I121" s="54" t="str">
        <f>IFERROR(_xlfn.XLOOKUP(G121,Listas!E:E,Listas!G:G,""),"")</f>
        <v>Externo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4" t="str">
        <f>IFERROR(_xlfn.XLOOKUP(G122,Listas!E:E,Listas!F:F,""),"")</f>
        <v>Operativo</v>
      </c>
      <c r="I122" s="54" t="str">
        <f>IFERROR(_xlfn.XLOOKUP(G122,Listas!E:E,Listas!G:G,""),"")</f>
        <v>Externo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4" t="str">
        <f>IFERROR(_xlfn.XLOOKUP(G123,Listas!E:E,Listas!F:F,""),"")</f>
        <v>Operativo</v>
      </c>
      <c r="I123" s="54" t="str">
        <f>IFERROR(_xlfn.XLOOKUP(G123,Listas!E:E,Listas!G:G,""),"")</f>
        <v>Externo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4" t="str">
        <f>IFERROR(_xlfn.XLOOKUP(G124,Listas!E:E,Listas!F:F,""),"")</f>
        <v>Operativo</v>
      </c>
      <c r="I124" s="54" t="str">
        <f>IFERROR(_xlfn.XLOOKUP(G124,Listas!E:E,Listas!G:G,""),"")</f>
        <v>Externo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4" t="str">
        <f>IFERROR(_xlfn.XLOOKUP(G125,Listas!E:E,Listas!F:F,""),"")</f>
        <v>Operativo</v>
      </c>
      <c r="I125" s="54" t="str">
        <f>IFERROR(_xlfn.XLOOKUP(G125,Listas!E:E,Listas!G:G,""),"")</f>
        <v>Externo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4" t="str">
        <f>IFERROR(_xlfn.XLOOKUP(G126,Listas!E:E,Listas!F:F,""),"")</f>
        <v>Inversion</v>
      </c>
      <c r="I126" s="54" t="str">
        <f>IFERROR(_xlfn.XLOOKUP(G126,Listas!E:E,Listas!G:G,""),"")</f>
        <v>Interno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4" t="str">
        <f>IFERROR(_xlfn.XLOOKUP(G127,Listas!E:E,Listas!F:F,""),"")</f>
        <v>Operativo</v>
      </c>
      <c r="I127" s="54" t="str">
        <f>IFERROR(_xlfn.XLOOKUP(G127,Listas!E:E,Listas!G:G,""),"")</f>
        <v>Externo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4" t="str">
        <f>IFERROR(_xlfn.XLOOKUP(G128,Listas!E:E,Listas!F:F,""),"")</f>
        <v>Inversion</v>
      </c>
      <c r="I128" s="54" t="str">
        <f>IFERROR(_xlfn.XLOOKUP(G128,Listas!E:E,Listas!G:G,""),"")</f>
        <v>Interno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4" t="str">
        <f>IFERROR(_xlfn.XLOOKUP(G129,Listas!E:E,Listas!F:F,""),"")</f>
        <v>Operativo</v>
      </c>
      <c r="I129" s="54" t="str">
        <f>IFERROR(_xlfn.XLOOKUP(G129,Listas!E:E,Listas!G:G,""),"")</f>
        <v>Externo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4" t="str">
        <f>IFERROR(_xlfn.XLOOKUP(G130,Listas!E:E,Listas!F:F,""),"")</f>
        <v>Operativo</v>
      </c>
      <c r="I130" s="54" t="str">
        <f>IFERROR(_xlfn.XLOOKUP(G130,Listas!E:E,Listas!G:G,""),"")</f>
        <v>Externo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4" t="str">
        <f>IFERROR(_xlfn.XLOOKUP(G131,Listas!E:E,Listas!F:F,""),"")</f>
        <v>Financiamiento</v>
      </c>
      <c r="I131" s="54" t="str">
        <f>IFERROR(_xlfn.XLOOKUP(G131,Listas!E:E,Listas!G:G,""),"")</f>
        <v>Externo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4" t="str">
        <f>IFERROR(_xlfn.XLOOKUP(G132,Listas!E:E,Listas!F:F,""),"")</f>
        <v>Operativo</v>
      </c>
      <c r="I132" s="54" t="str">
        <f>IFERROR(_xlfn.XLOOKUP(G132,Listas!E:E,Listas!G:G,""),"")</f>
        <v>Externo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4" t="str">
        <f>IFERROR(_xlfn.XLOOKUP(G133,Listas!E:E,Listas!F:F,""),"")</f>
        <v>Operativo</v>
      </c>
      <c r="I133" s="54" t="str">
        <f>IFERROR(_xlfn.XLOOKUP(G133,Listas!E:E,Listas!G:G,""),"")</f>
        <v>Externo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4" t="str">
        <f>IFERROR(_xlfn.XLOOKUP(G134,Listas!E:E,Listas!F:F,""),"")</f>
        <v>Operativo</v>
      </c>
      <c r="I134" s="54" t="str">
        <f>IFERROR(_xlfn.XLOOKUP(G134,Listas!E:E,Listas!G:G,""),"")</f>
        <v>Externo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4" t="str">
        <f>IFERROR(_xlfn.XLOOKUP(G135,Listas!E:E,Listas!F:F,""),"")</f>
        <v>Financiamiento</v>
      </c>
      <c r="I135" s="54" t="str">
        <f>IFERROR(_xlfn.XLOOKUP(G135,Listas!E:E,Listas!G:G,""),"")</f>
        <v>Externo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4" t="str">
        <f>IFERROR(_xlfn.XLOOKUP(G136,Listas!E:E,Listas!F:F,""),"")</f>
        <v>Financiamiento</v>
      </c>
      <c r="I136" s="54" t="str">
        <f>IFERROR(_xlfn.XLOOKUP(G136,Listas!E:E,Listas!G:G,""),"")</f>
        <v>Externo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4" t="str">
        <f>IFERROR(_xlfn.XLOOKUP(G137,Listas!E:E,Listas!F:F,""),"")</f>
        <v>Financiamiento</v>
      </c>
      <c r="I137" s="54" t="str">
        <f>IFERROR(_xlfn.XLOOKUP(G137,Listas!E:E,Listas!G:G,""),"")</f>
        <v>Externo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4" t="str">
        <f>IFERROR(_xlfn.XLOOKUP(G138,Listas!E:E,Listas!F:F,""),"")</f>
        <v>Operativo</v>
      </c>
      <c r="I138" s="54" t="str">
        <f>IFERROR(_xlfn.XLOOKUP(G138,Listas!E:E,Listas!G:G,""),"")</f>
        <v>Externo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4" t="str">
        <f>IFERROR(_xlfn.XLOOKUP(G139,Listas!E:E,Listas!F:F,""),"")</f>
        <v>Operativo</v>
      </c>
      <c r="I139" s="54" t="str">
        <f>IFERROR(_xlfn.XLOOKUP(G139,Listas!E:E,Listas!G:G,""),"")</f>
        <v>Externo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4" t="str">
        <f>IFERROR(_xlfn.XLOOKUP(G140,Listas!E:E,Listas!F:F,""),"")</f>
        <v>Operativo</v>
      </c>
      <c r="I140" s="54" t="str">
        <f>IFERROR(_xlfn.XLOOKUP(G140,Listas!E:E,Listas!G:G,""),"")</f>
        <v>Externo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4" t="str">
        <f>IFERROR(_xlfn.XLOOKUP(G141,Listas!E:E,Listas!F:F,""),"")</f>
        <v>Operativo</v>
      </c>
      <c r="I141" s="54" t="str">
        <f>IFERROR(_xlfn.XLOOKUP(G141,Listas!E:E,Listas!G:G,""),"")</f>
        <v>Interno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4" t="str">
        <f>IFERROR(_xlfn.XLOOKUP(G142,Listas!E:E,Listas!F:F,""),"")</f>
        <v>Operativo</v>
      </c>
      <c r="I142" s="54" t="str">
        <f>IFERROR(_xlfn.XLOOKUP(G142,Listas!E:E,Listas!G:G,""),"")</f>
        <v>Externo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4" t="str">
        <f>IFERROR(_xlfn.XLOOKUP(G143,Listas!E:E,Listas!F:F,""),"")</f>
        <v>Inversion</v>
      </c>
      <c r="I143" s="54" t="str">
        <f>IFERROR(_xlfn.XLOOKUP(G143,Listas!E:E,Listas!G:G,""),"")</f>
        <v>Externo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4" t="str">
        <f>IFERROR(_xlfn.XLOOKUP(G144,Listas!E:E,Listas!F:F,""),"")</f>
        <v>Operativo</v>
      </c>
      <c r="I144" s="54" t="str">
        <f>IFERROR(_xlfn.XLOOKUP(G144,Listas!E:E,Listas!G:G,""),"")</f>
        <v>Externo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4" t="str">
        <f>IFERROR(_xlfn.XLOOKUP(G145,Listas!E:E,Listas!F:F,""),"")</f>
        <v>Operativo</v>
      </c>
      <c r="I145" s="54" t="str">
        <f>IFERROR(_xlfn.XLOOKUP(G145,Listas!E:E,Listas!G:G,""),"")</f>
        <v>Externo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4" t="str">
        <f>IFERROR(_xlfn.XLOOKUP(G146,Listas!E:E,Listas!F:F,""),"")</f>
        <v>Inversion</v>
      </c>
      <c r="I146" s="54" t="str">
        <f>IFERROR(_xlfn.XLOOKUP(G146,Listas!E:E,Listas!G:G,""),"")</f>
        <v>Externo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4" t="str">
        <f>IFERROR(_xlfn.XLOOKUP(G147,Listas!E:E,Listas!F:F,""),"")</f>
        <v>Operativo</v>
      </c>
      <c r="I147" s="54" t="str">
        <f>IFERROR(_xlfn.XLOOKUP(G147,Listas!E:E,Listas!G:G,""),"")</f>
        <v>Interno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4" t="str">
        <f>IFERROR(_xlfn.XLOOKUP(G148,Listas!E:E,Listas!F:F,""),"")</f>
        <v>Financiamiento</v>
      </c>
      <c r="I148" s="54" t="str">
        <f>IFERROR(_xlfn.XLOOKUP(G148,Listas!E:E,Listas!G:G,""),"")</f>
        <v>Externo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4" t="str">
        <f>IFERROR(_xlfn.XLOOKUP(G149,Listas!E:E,Listas!F:F,""),"")</f>
        <v>Financiamiento</v>
      </c>
      <c r="I149" s="54" t="str">
        <f>IFERROR(_xlfn.XLOOKUP(G149,Listas!E:E,Listas!G:G,""),"")</f>
        <v>Externo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4" t="str">
        <f>IFERROR(_xlfn.XLOOKUP(G150,Listas!E:E,Listas!F:F,""),"")</f>
        <v>Financiamiento</v>
      </c>
      <c r="I150" s="54" t="str">
        <f>IFERROR(_xlfn.XLOOKUP(G150,Listas!E:E,Listas!G:G,""),"")</f>
        <v>Externo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4" t="str">
        <f>IFERROR(_xlfn.XLOOKUP(G151,Listas!E:E,Listas!F:F,""),"")</f>
        <v>Financiamiento</v>
      </c>
      <c r="I151" s="54" t="str">
        <f>IFERROR(_xlfn.XLOOKUP(G151,Listas!E:E,Listas!G:G,""),"")</f>
        <v>Externo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4" t="str">
        <f>IFERROR(_xlfn.XLOOKUP(G152,Listas!E:E,Listas!F:F,""),"")</f>
        <v>Financiamiento</v>
      </c>
      <c r="I152" s="54" t="str">
        <f>IFERROR(_xlfn.XLOOKUP(G152,Listas!E:E,Listas!G:G,""),"")</f>
        <v>Externo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4" t="str">
        <f>IFERROR(_xlfn.XLOOKUP(G153,Listas!E:E,Listas!F:F,""),"")</f>
        <v>Financiamiento</v>
      </c>
      <c r="I153" s="54" t="str">
        <f>IFERROR(_xlfn.XLOOKUP(G153,Listas!E:E,Listas!G:G,""),"")</f>
        <v>Externo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4" t="str">
        <f>IFERROR(_xlfn.XLOOKUP(G154,Listas!E:E,Listas!F:F,""),"")</f>
        <v>Financiamiento</v>
      </c>
      <c r="I154" s="54" t="str">
        <f>IFERROR(_xlfn.XLOOKUP(G154,Listas!E:E,Listas!G:G,""),"")</f>
        <v>Externo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4" t="str">
        <f>IFERROR(_xlfn.XLOOKUP(G155,Listas!E:E,Listas!F:F,""),"")</f>
        <v>Financiamiento</v>
      </c>
      <c r="I155" s="54" t="str">
        <f>IFERROR(_xlfn.XLOOKUP(G155,Listas!E:E,Listas!G:G,""),"")</f>
        <v>Externo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4" t="str">
        <f>IFERROR(_xlfn.XLOOKUP(G156,Listas!E:E,Listas!F:F,""),"")</f>
        <v>Operativo</v>
      </c>
      <c r="I156" s="54" t="str">
        <f>IFERROR(_xlfn.XLOOKUP(G156,Listas!E:E,Listas!G:G,""),"")</f>
        <v>Externo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4" t="str">
        <f>IFERROR(_xlfn.XLOOKUP(G157,Listas!E:E,Listas!F:F,""),"")</f>
        <v>Operativo</v>
      </c>
      <c r="I157" s="54" t="str">
        <f>IFERROR(_xlfn.XLOOKUP(G157,Listas!E:E,Listas!G:G,""),"")</f>
        <v>Externo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4" t="str">
        <f>IFERROR(_xlfn.XLOOKUP(G158,Listas!E:E,Listas!F:F,""),"")</f>
        <v>Financiamiento</v>
      </c>
      <c r="I158" s="54" t="str">
        <f>IFERROR(_xlfn.XLOOKUP(G158,Listas!E:E,Listas!G:G,""),"")</f>
        <v>Externo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4" t="str">
        <f>IFERROR(_xlfn.XLOOKUP(G159,Listas!E:E,Listas!F:F,""),"")</f>
        <v>Operativo</v>
      </c>
      <c r="I159" s="54" t="str">
        <f>IFERROR(_xlfn.XLOOKUP(G159,Listas!E:E,Listas!G:G,""),"")</f>
        <v>Externo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4" t="str">
        <f>IFERROR(_xlfn.XLOOKUP(G160,Listas!E:E,Listas!F:F,""),"")</f>
        <v>Operativo</v>
      </c>
      <c r="I160" s="54" t="str">
        <f>IFERROR(_xlfn.XLOOKUP(G160,Listas!E:E,Listas!G:G,""),"")</f>
        <v>Interno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4" t="str">
        <f>IFERROR(_xlfn.XLOOKUP(G161,Listas!E:E,Listas!F:F,""),"")</f>
        <v>Inversion</v>
      </c>
      <c r="I161" s="54" t="str">
        <f>IFERROR(_xlfn.XLOOKUP(G161,Listas!E:E,Listas!G:G,""),"")</f>
        <v>Interno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4" t="str">
        <f>IFERROR(_xlfn.XLOOKUP(G162,Listas!E:E,Listas!F:F,""),"")</f>
        <v>Inversion</v>
      </c>
      <c r="I162" s="54" t="str">
        <f>IFERROR(_xlfn.XLOOKUP(G162,Listas!E:E,Listas!G:G,""),"")</f>
        <v>Interno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4" t="str">
        <f>IFERROR(_xlfn.XLOOKUP(G163,Listas!E:E,Listas!F:F,""),"")</f>
        <v>Financiamiento</v>
      </c>
      <c r="I163" s="54" t="str">
        <f>IFERROR(_xlfn.XLOOKUP(G163,Listas!E:E,Listas!G:G,""),"")</f>
        <v>Interno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4" t="str">
        <f>IFERROR(_xlfn.XLOOKUP(G164,Listas!E:E,Listas!F:F,""),"")</f>
        <v>Operativo</v>
      </c>
      <c r="I164" s="54" t="str">
        <f>IFERROR(_xlfn.XLOOKUP(G164,Listas!E:E,Listas!G:G,""),"")</f>
        <v>Externo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4" t="str">
        <f>IFERROR(_xlfn.XLOOKUP(G165,Listas!E:E,Listas!F:F,""),"")</f>
        <v>Operativo</v>
      </c>
      <c r="I165" s="54" t="str">
        <f>IFERROR(_xlfn.XLOOKUP(G165,Listas!E:E,Listas!G:G,""),"")</f>
        <v>Externo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4" t="str">
        <f>IFERROR(_xlfn.XLOOKUP(G166,Listas!E:E,Listas!F:F,""),"")</f>
        <v>Operativo</v>
      </c>
      <c r="I166" s="54" t="str">
        <f>IFERROR(_xlfn.XLOOKUP(G166,Listas!E:E,Listas!G:G,""),"")</f>
        <v>Externo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4" t="str">
        <f>IFERROR(_xlfn.XLOOKUP(G167,Listas!E:E,Listas!F:F,""),"")</f>
        <v>Inversion</v>
      </c>
      <c r="I167" s="54" t="str">
        <f>IFERROR(_xlfn.XLOOKUP(G167,Listas!E:E,Listas!G:G,""),"")</f>
        <v>Interno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4" t="str">
        <f>IFERROR(_xlfn.XLOOKUP(G168,Listas!E:E,Listas!F:F,""),"")</f>
        <v>Operativo</v>
      </c>
      <c r="I168" s="54" t="str">
        <f>IFERROR(_xlfn.XLOOKUP(G168,Listas!E:E,Listas!G:G,""),"")</f>
        <v>Externo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4" t="str">
        <f>IFERROR(_xlfn.XLOOKUP(G169,Listas!E:E,Listas!F:F,""),"")</f>
        <v>Operativo</v>
      </c>
      <c r="I169" s="54" t="str">
        <f>IFERROR(_xlfn.XLOOKUP(G169,Listas!E:E,Listas!G:G,""),"")</f>
        <v>Externo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4" t="str">
        <f>IFERROR(_xlfn.XLOOKUP(G170,Listas!E:E,Listas!F:F,""),"")</f>
        <v>Operativo</v>
      </c>
      <c r="I170" s="54" t="str">
        <f>IFERROR(_xlfn.XLOOKUP(G170,Listas!E:E,Listas!G:G,""),"")</f>
        <v>Externo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G171" s="45" t="s">
        <v>67</v>
      </c>
      <c r="H171" s="4" t="str">
        <f>IFERROR(_xlfn.XLOOKUP(G171,Listas!E:E,Listas!F:F,""),"")</f>
        <v>Inversion</v>
      </c>
      <c r="I171" s="54" t="str">
        <f>IFERROR(_xlfn.XLOOKUP(G171,Listas!E:E,Listas!G:G,""),"")</f>
        <v>Interno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4" t="str">
        <f>IFERROR(_xlfn.XLOOKUP(G172,Listas!E:E,Listas!F:F,""),"")</f>
        <v>Operativo</v>
      </c>
      <c r="I172" s="54" t="str">
        <f>IFERROR(_xlfn.XLOOKUP(G172,Listas!E:E,Listas!G:G,""),"")</f>
        <v>Externo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4" t="str">
        <f>IFERROR(_xlfn.XLOOKUP(G173,Listas!E:E,Listas!F:F,""),"")</f>
        <v>Operativo</v>
      </c>
      <c r="I173" s="54" t="str">
        <f>IFERROR(_xlfn.XLOOKUP(G173,Listas!E:E,Listas!G:G,""),"")</f>
        <v>Externo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4" t="str">
        <f>IFERROR(_xlfn.XLOOKUP(G174,Listas!E:E,Listas!F:F,""),"")</f>
        <v>Operativo</v>
      </c>
      <c r="I174" s="54" t="str">
        <f>IFERROR(_xlfn.XLOOKUP(G174,Listas!E:E,Listas!G:G,""),"")</f>
        <v>Externo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4" t="str">
        <f>IFERROR(_xlfn.XLOOKUP(G175,Listas!E:E,Listas!F:F,""),"")</f>
        <v>Operativo</v>
      </c>
      <c r="I175" s="54" t="str">
        <f>IFERROR(_xlfn.XLOOKUP(G175,Listas!E:E,Listas!G:G,""),"")</f>
        <v>Externo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4" t="str">
        <f>IFERROR(_xlfn.XLOOKUP(G176,Listas!E:E,Listas!F:F,""),"")</f>
        <v>Operativo</v>
      </c>
      <c r="I176" s="54" t="str">
        <f>IFERROR(_xlfn.XLOOKUP(G176,Listas!E:E,Listas!G:G,""),"")</f>
        <v>Externo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4" t="str">
        <f>IFERROR(_xlfn.XLOOKUP(G177,Listas!E:E,Listas!F:F,""),"")</f>
        <v>Operativo</v>
      </c>
      <c r="I177" s="54" t="str">
        <f>IFERROR(_xlfn.XLOOKUP(G177,Listas!E:E,Listas!G:G,""),"")</f>
        <v>Externo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4" t="str">
        <f>IFERROR(_xlfn.XLOOKUP(G178,Listas!E:E,Listas!F:F,""),"")</f>
        <v>Inversion</v>
      </c>
      <c r="I178" s="54" t="str">
        <f>IFERROR(_xlfn.XLOOKUP(G178,Listas!E:E,Listas!G:G,""),"")</f>
        <v>Interno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4" t="str">
        <f>IFERROR(_xlfn.XLOOKUP(G179,Listas!E:E,Listas!F:F,""),"")</f>
        <v>Inversion</v>
      </c>
      <c r="I179" s="54" t="str">
        <f>IFERROR(_xlfn.XLOOKUP(G179,Listas!E:E,Listas!G:G,""),"")</f>
        <v>Interno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4" t="str">
        <f>IFERROR(_xlfn.XLOOKUP(G180,Listas!E:E,Listas!F:F,""),"")</f>
        <v>Inversion</v>
      </c>
      <c r="I180" s="54" t="str">
        <f>IFERROR(_xlfn.XLOOKUP(G180,Listas!E:E,Listas!G:G,""),"")</f>
        <v>Interno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4" t="str">
        <f>IFERROR(_xlfn.XLOOKUP(G181,Listas!E:E,Listas!F:F,""),"")</f>
        <v>Operativo</v>
      </c>
      <c r="I181" s="54" t="str">
        <f>IFERROR(_xlfn.XLOOKUP(G181,Listas!E:E,Listas!G:G,""),"")</f>
        <v>Externo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4" t="str">
        <f>IFERROR(_xlfn.XLOOKUP(G182,Listas!E:E,Listas!F:F,""),"")</f>
        <v>Operativo</v>
      </c>
      <c r="I182" s="54" t="str">
        <f>IFERROR(_xlfn.XLOOKUP(G182,Listas!E:E,Listas!G:G,""),"")</f>
        <v>Externo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4" t="str">
        <f>IFERROR(_xlfn.XLOOKUP(G183,Listas!E:E,Listas!F:F,""),"")</f>
        <v>Inversion</v>
      </c>
      <c r="I183" s="54" t="str">
        <f>IFERROR(_xlfn.XLOOKUP(G183,Listas!E:E,Listas!G:G,""),"")</f>
        <v>Interno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4" t="str">
        <f>IFERROR(_xlfn.XLOOKUP(G184,Listas!E:E,Listas!F:F,""),"")</f>
        <v>Operativo</v>
      </c>
      <c r="I184" s="54" t="str">
        <f>IFERROR(_xlfn.XLOOKUP(G184,Listas!E:E,Listas!G:G,""),"")</f>
        <v>Externo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4" t="str">
        <f>IFERROR(_xlfn.XLOOKUP(G185,Listas!E:E,Listas!F:F,""),"")</f>
        <v>Operativo</v>
      </c>
      <c r="I185" s="54" t="str">
        <f>IFERROR(_xlfn.XLOOKUP(G185,Listas!E:E,Listas!G:G,""),"")</f>
        <v>Externo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4" t="str">
        <f>IFERROR(_xlfn.XLOOKUP(G186,Listas!E:E,Listas!F:F,""),"")</f>
        <v>Operativo</v>
      </c>
      <c r="I186" s="54" t="str">
        <f>IFERROR(_xlfn.XLOOKUP(G186,Listas!E:E,Listas!G:G,""),"")</f>
        <v>Externo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4" t="str">
        <f>IFERROR(_xlfn.XLOOKUP(G187,Listas!E:E,Listas!F:F,""),"")</f>
        <v>Operativo</v>
      </c>
      <c r="I187" s="54" t="str">
        <f>IFERROR(_xlfn.XLOOKUP(G187,Listas!E:E,Listas!G:G,""),"")</f>
        <v>Externo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4" t="str">
        <f>IFERROR(_xlfn.XLOOKUP(G188,Listas!E:E,Listas!F:F,""),"")</f>
        <v>Operativo</v>
      </c>
      <c r="I188" s="54" t="str">
        <f>IFERROR(_xlfn.XLOOKUP(G188,Listas!E:E,Listas!G:G,""),"")</f>
        <v>Externo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4" t="str">
        <f>IFERROR(_xlfn.XLOOKUP(G189,Listas!E:E,Listas!F:F,""),"")</f>
        <v>Operativo</v>
      </c>
      <c r="I189" s="54" t="str">
        <f>IFERROR(_xlfn.XLOOKUP(G189,Listas!E:E,Listas!G:G,""),"")</f>
        <v>Interno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4" t="str">
        <f>IFERROR(_xlfn.XLOOKUP(G190,Listas!E:E,Listas!F:F,""),"")</f>
        <v>Operativo</v>
      </c>
      <c r="I190" s="54" t="str">
        <f>IFERROR(_xlfn.XLOOKUP(G190,Listas!E:E,Listas!G:G,""),"")</f>
        <v>Externo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4" t="str">
        <f>IFERROR(_xlfn.XLOOKUP(G191,Listas!E:E,Listas!F:F,""),"")</f>
        <v>Operativo</v>
      </c>
      <c r="I191" s="54" t="str">
        <f>IFERROR(_xlfn.XLOOKUP(G191,Listas!E:E,Listas!G:G,""),"")</f>
        <v>Externo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4" t="str">
        <f>IFERROR(_xlfn.XLOOKUP(G192,Listas!E:E,Listas!F:F,""),"")</f>
        <v>Operativo</v>
      </c>
      <c r="I192" s="54" t="str">
        <f>IFERROR(_xlfn.XLOOKUP(G192,Listas!E:E,Listas!G:G,""),"")</f>
        <v>Externo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4" t="str">
        <f>IFERROR(_xlfn.XLOOKUP(G193,Listas!E:E,Listas!F:F,""),"")</f>
        <v>Financiamiento</v>
      </c>
      <c r="I193" s="54" t="str">
        <f>IFERROR(_xlfn.XLOOKUP(G193,Listas!E:E,Listas!G:G,""),"")</f>
        <v>Externo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4" t="str">
        <f>IFERROR(_xlfn.XLOOKUP(G194,Listas!E:E,Listas!F:F,""),"")</f>
        <v>Financiamiento</v>
      </c>
      <c r="I194" s="54" t="str">
        <f>IFERROR(_xlfn.XLOOKUP(G194,Listas!E:E,Listas!G:G,""),"")</f>
        <v>Externo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4" t="str">
        <f>IFERROR(_xlfn.XLOOKUP(G195,Listas!E:E,Listas!F:F,""),"")</f>
        <v>Financiamiento</v>
      </c>
      <c r="I195" s="54" t="str">
        <f>IFERROR(_xlfn.XLOOKUP(G195,Listas!E:E,Listas!G:G,""),"")</f>
        <v>Externo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4" t="str">
        <f>IFERROR(_xlfn.XLOOKUP(G196,Listas!E:E,Listas!F:F,""),"")</f>
        <v>Operativo</v>
      </c>
      <c r="I196" s="54" t="str">
        <f>IFERROR(_xlfn.XLOOKUP(G196,Listas!E:E,Listas!G:G,""),"")</f>
        <v>Externo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4" t="str">
        <f>IFERROR(_xlfn.XLOOKUP(G197,Listas!E:E,Listas!F:F,""),"")</f>
        <v>Operativo</v>
      </c>
      <c r="I197" s="54" t="str">
        <f>IFERROR(_xlfn.XLOOKUP(G197,Listas!E:E,Listas!G:G,""),"")</f>
        <v>Externo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4" t="str">
        <f>IFERROR(_xlfn.XLOOKUP(G198,Listas!E:E,Listas!F:F,""),"")</f>
        <v>Operativo</v>
      </c>
      <c r="I198" s="54" t="str">
        <f>IFERROR(_xlfn.XLOOKUP(G198,Listas!E:E,Listas!G:G,""),"")</f>
        <v>Externo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4" t="str">
        <f>IFERROR(_xlfn.XLOOKUP(G199,Listas!E:E,Listas!F:F,""),"")</f>
        <v>Operativo</v>
      </c>
      <c r="I199" s="54" t="str">
        <f>IFERROR(_xlfn.XLOOKUP(G199,Listas!E:E,Listas!G:G,""),"")</f>
        <v>Interno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4" t="str">
        <f>IFERROR(_xlfn.XLOOKUP(G200,Listas!E:E,Listas!F:F,""),"")</f>
        <v>Financiamiento</v>
      </c>
      <c r="I200" s="54" t="str">
        <f>IFERROR(_xlfn.XLOOKUP(G200,Listas!E:E,Listas!G:G,""),"")</f>
        <v>Interno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4" t="str">
        <f>IFERROR(_xlfn.XLOOKUP(G201,Listas!E:E,Listas!F:F,""),"")</f>
        <v>Operativo</v>
      </c>
      <c r="I201" s="54" t="str">
        <f>IFERROR(_xlfn.XLOOKUP(G201,Listas!E:E,Listas!G:G,""),"")</f>
        <v>Externo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4" t="str">
        <f>IFERROR(_xlfn.XLOOKUP(G202,Listas!E:E,Listas!F:F,""),"")</f>
        <v>Inversion</v>
      </c>
      <c r="I202" s="54" t="str">
        <f>IFERROR(_xlfn.XLOOKUP(G202,Listas!E:E,Listas!G:G,""),"")</f>
        <v>Externo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4" t="str">
        <f>IFERROR(_xlfn.XLOOKUP(G203,Listas!E:E,Listas!F:F,""),"")</f>
        <v>Operativo</v>
      </c>
      <c r="I203" s="54" t="str">
        <f>IFERROR(_xlfn.XLOOKUP(G203,Listas!E:E,Listas!G:G,""),"")</f>
        <v>Externo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4" t="str">
        <f>IFERROR(_xlfn.XLOOKUP(G204,Listas!E:E,Listas!F:F,""),"")</f>
        <v>Operativo</v>
      </c>
      <c r="I204" s="54" t="str">
        <f>IFERROR(_xlfn.XLOOKUP(G204,Listas!E:E,Listas!G:G,""),"")</f>
        <v>Externo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4" t="str">
        <f>IFERROR(_xlfn.XLOOKUP(G205,Listas!E:E,Listas!F:F,""),"")</f>
        <v>Operativo</v>
      </c>
      <c r="I205" s="54" t="str">
        <f>IFERROR(_xlfn.XLOOKUP(G205,Listas!E:E,Listas!G:G,""),"")</f>
        <v>Externo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4" t="str">
        <f>IFERROR(_xlfn.XLOOKUP(G206,Listas!E:E,Listas!F:F,""),"")</f>
        <v>Operativo</v>
      </c>
      <c r="I206" s="54" t="str">
        <f>IFERROR(_xlfn.XLOOKUP(G206,Listas!E:E,Listas!G:G,""),"")</f>
        <v>Externo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4" t="str">
        <f>IFERROR(_xlfn.XLOOKUP(G207,Listas!E:E,Listas!F:F,""),"")</f>
        <v>Operativo</v>
      </c>
      <c r="I207" s="54" t="str">
        <f>IFERROR(_xlfn.XLOOKUP(G207,Listas!E:E,Listas!G:G,""),"")</f>
        <v>Externo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4" t="str">
        <f>IFERROR(_xlfn.XLOOKUP(G208,Listas!E:E,Listas!F:F,""),"")</f>
        <v>Operativo</v>
      </c>
      <c r="I208" s="54" t="str">
        <f>IFERROR(_xlfn.XLOOKUP(G208,Listas!E:E,Listas!G:G,""),"")</f>
        <v>Externo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4" t="str">
        <f>IFERROR(_xlfn.XLOOKUP(G209,Listas!E:E,Listas!F:F,""),"")</f>
        <v>Operativo</v>
      </c>
      <c r="I209" s="54" t="str">
        <f>IFERROR(_xlfn.XLOOKUP(G209,Listas!E:E,Listas!G:G,""),"")</f>
        <v>Externo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4" t="str">
        <f>IFERROR(_xlfn.XLOOKUP(G210,Listas!E:E,Listas!F:F,""),"")</f>
        <v>Operativo</v>
      </c>
      <c r="I210" s="54" t="str">
        <f>IFERROR(_xlfn.XLOOKUP(G210,Listas!E:E,Listas!G:G,""),"")</f>
        <v>Externo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4" t="str">
        <f>IFERROR(_xlfn.XLOOKUP(G211,Listas!E:E,Listas!F:F,""),"")</f>
        <v>Operativo</v>
      </c>
      <c r="I211" s="54" t="str">
        <f>IFERROR(_xlfn.XLOOKUP(G211,Listas!E:E,Listas!G:G,""),"")</f>
        <v>Externo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4" t="str">
        <f>IFERROR(_xlfn.XLOOKUP(G212,Listas!E:E,Listas!F:F,""),"")</f>
        <v>Operativo</v>
      </c>
      <c r="I212" s="54" t="str">
        <f>IFERROR(_xlfn.XLOOKUP(G212,Listas!E:E,Listas!G:G,""),"")</f>
        <v>Externo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4" t="str">
        <f>IFERROR(_xlfn.XLOOKUP(G213,Listas!E:E,Listas!F:F,""),"")</f>
        <v>Operativo</v>
      </c>
      <c r="I213" s="54" t="str">
        <f>IFERROR(_xlfn.XLOOKUP(G213,Listas!E:E,Listas!G:G,""),"")</f>
        <v>Externo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4" t="str">
        <f>IFERROR(_xlfn.XLOOKUP(G214,Listas!E:E,Listas!F:F,""),"")</f>
        <v>Operativo</v>
      </c>
      <c r="I214" s="54" t="str">
        <f>IFERROR(_xlfn.XLOOKUP(G214,Listas!E:E,Listas!G:G,""),"")</f>
        <v>Externo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4" t="str">
        <f>IFERROR(_xlfn.XLOOKUP(G215,Listas!E:E,Listas!F:F,""),"")</f>
        <v>Operativo</v>
      </c>
      <c r="I215" s="54" t="str">
        <f>IFERROR(_xlfn.XLOOKUP(G215,Listas!E:E,Listas!G:G,""),"")</f>
        <v>Externo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4" t="str">
        <f>IFERROR(_xlfn.XLOOKUP(G216,Listas!E:E,Listas!F:F,""),"")</f>
        <v>Operativo</v>
      </c>
      <c r="I216" s="54" t="str">
        <f>IFERROR(_xlfn.XLOOKUP(G216,Listas!E:E,Listas!G:G,""),"")</f>
        <v>Externo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4" t="str">
        <f>IFERROR(_xlfn.XLOOKUP(G217,Listas!E:E,Listas!F:F,""),"")</f>
        <v>Operativo</v>
      </c>
      <c r="I217" s="54" t="str">
        <f>IFERROR(_xlfn.XLOOKUP(G217,Listas!E:E,Listas!G:G,""),"")</f>
        <v>Externo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4" t="str">
        <f>IFERROR(_xlfn.XLOOKUP(G218,Listas!E:E,Listas!F:F,""),"")</f>
        <v>Operativo</v>
      </c>
      <c r="I218" s="54" t="str">
        <f>IFERROR(_xlfn.XLOOKUP(G218,Listas!E:E,Listas!G:G,""),"")</f>
        <v>Externo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4" t="str">
        <f>IFERROR(_xlfn.XLOOKUP(G219,Listas!E:E,Listas!F:F,""),"")</f>
        <v>Operativo</v>
      </c>
      <c r="I219" s="54" t="str">
        <f>IFERROR(_xlfn.XLOOKUP(G219,Listas!E:E,Listas!G:G,""),"")</f>
        <v>Externo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G220" s="44" t="s">
        <v>38</v>
      </c>
      <c r="H220" s="4" t="str">
        <f>IFERROR(_xlfn.XLOOKUP(G220,Listas!E:E,Listas!F:F,""),"")</f>
        <v>Operativo</v>
      </c>
      <c r="I220" s="54" t="str">
        <f>IFERROR(_xlfn.XLOOKUP(G220,Listas!E:E,Listas!G:G,""),"")</f>
        <v>Externo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4" t="str">
        <f>IFERROR(_xlfn.XLOOKUP(G221,Listas!E:E,Listas!F:F,""),"")</f>
        <v>Operativo</v>
      </c>
      <c r="I221" s="54" t="str">
        <f>IFERROR(_xlfn.XLOOKUP(G221,Listas!E:E,Listas!G:G,""),"")</f>
        <v>Externo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4" t="str">
        <f>IFERROR(_xlfn.XLOOKUP(G222,Listas!E:E,Listas!F:F,""),"")</f>
        <v>Operativo</v>
      </c>
      <c r="I222" s="54" t="str">
        <f>IFERROR(_xlfn.XLOOKUP(G222,Listas!E:E,Listas!G:G,""),"")</f>
        <v>Externo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4" t="str">
        <f>IFERROR(_xlfn.XLOOKUP(G223,Listas!E:E,Listas!F:F,""),"")</f>
        <v>Operativo</v>
      </c>
      <c r="I223" s="54" t="str">
        <f>IFERROR(_xlfn.XLOOKUP(G223,Listas!E:E,Listas!G:G,""),"")</f>
        <v>Externo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4" t="str">
        <f>IFERROR(_xlfn.XLOOKUP(G224,Listas!E:E,Listas!F:F,""),"")</f>
        <v>Operativo</v>
      </c>
      <c r="I224" s="54" t="str">
        <f>IFERROR(_xlfn.XLOOKUP(G224,Listas!E:E,Listas!G:G,""),"")</f>
        <v>Externo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4" t="str">
        <f>IFERROR(_xlfn.XLOOKUP(G225,Listas!E:E,Listas!F:F,""),"")</f>
        <v>Operativo</v>
      </c>
      <c r="I225" s="54" t="str">
        <f>IFERROR(_xlfn.XLOOKUP(G225,Listas!E:E,Listas!G:G,""),"")</f>
        <v>Externo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4" t="str">
        <f>IFERROR(_xlfn.XLOOKUP(G226,Listas!E:E,Listas!F:F,""),"")</f>
        <v>Operativo</v>
      </c>
      <c r="I226" s="54" t="str">
        <f>IFERROR(_xlfn.XLOOKUP(G226,Listas!E:E,Listas!G:G,""),"")</f>
        <v>Externo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4" t="str">
        <f>IFERROR(_xlfn.XLOOKUP(G227,Listas!E:E,Listas!F:F,""),"")</f>
        <v>Operativo</v>
      </c>
      <c r="I227" s="54" t="str">
        <f>IFERROR(_xlfn.XLOOKUP(G227,Listas!E:E,Listas!G:G,""),"")</f>
        <v>Externo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4" t="str">
        <f>IFERROR(_xlfn.XLOOKUP(G228,Listas!E:E,Listas!F:F,""),"")</f>
        <v>Financiamiento</v>
      </c>
      <c r="I228" s="54" t="str">
        <f>IFERROR(_xlfn.XLOOKUP(G228,Listas!E:E,Listas!G:G,""),"")</f>
        <v>Externo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4" t="str">
        <f>IFERROR(_xlfn.XLOOKUP(G229,Listas!E:E,Listas!F:F,""),"")</f>
        <v>Financiamiento</v>
      </c>
      <c r="I229" s="54" t="str">
        <f>IFERROR(_xlfn.XLOOKUP(G229,Listas!E:E,Listas!G:G,""),"")</f>
        <v>Externo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4" t="str">
        <f>IFERROR(_xlfn.XLOOKUP(G230,Listas!E:E,Listas!F:F,""),"")</f>
        <v>Operativo</v>
      </c>
      <c r="I230" s="54" t="str">
        <f>IFERROR(_xlfn.XLOOKUP(G230,Listas!E:E,Listas!G:G,""),"")</f>
        <v>Externo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4" t="str">
        <f>IFERROR(_xlfn.XLOOKUP(G231,Listas!E:E,Listas!F:F,""),"")</f>
        <v>Operativo</v>
      </c>
      <c r="I231" s="54" t="str">
        <f>IFERROR(_xlfn.XLOOKUP(G231,Listas!E:E,Listas!G:G,""),"")</f>
        <v>Externo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4" t="str">
        <f>IFERROR(_xlfn.XLOOKUP(G232,Listas!E:E,Listas!F:F,""),"")</f>
        <v>Operativo</v>
      </c>
      <c r="I232" s="54" t="str">
        <f>IFERROR(_xlfn.XLOOKUP(G232,Listas!E:E,Listas!G:G,""),"")</f>
        <v>Externo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4" t="str">
        <f>IFERROR(_xlfn.XLOOKUP(G233,Listas!E:E,Listas!F:F,""),"")</f>
        <v>Operativo</v>
      </c>
      <c r="I233" s="54" t="str">
        <f>IFERROR(_xlfn.XLOOKUP(G233,Listas!E:E,Listas!G:G,""),"")</f>
        <v>Externo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4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4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4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4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4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4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4" t="str">
        <f>IFERROR(_xlfn.XLOOKUP(G240,Listas!E:E,Listas!F:F,""),"")</f>
        <v>Operativo</v>
      </c>
      <c r="I240" s="54" t="str">
        <f>IFERROR(_xlfn.XLOOKUP(G240,Listas!E:E,Listas!G:G,""),"")</f>
        <v>Externo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4" t="str">
        <f>IFERROR(_xlfn.XLOOKUP(G241,Listas!E:E,Listas!F:F,""),"")</f>
        <v>Financiamiento</v>
      </c>
      <c r="I241" s="54" t="str">
        <f>IFERROR(_xlfn.XLOOKUP(G241,Listas!E:E,Listas!G:G,""),"")</f>
        <v>Externo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4" t="str">
        <f>IFERROR(_xlfn.XLOOKUP(G242,Listas!E:E,Listas!F:F,""),"")</f>
        <v>Operativo</v>
      </c>
      <c r="I242" s="54" t="str">
        <f>IFERROR(_xlfn.XLOOKUP(G242,Listas!E:E,Listas!G:G,""),"")</f>
        <v>Interno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4" t="str">
        <f>IFERROR(_xlfn.XLOOKUP(G243,Listas!E:E,Listas!F:F,""),"")</f>
        <v>Operativo</v>
      </c>
      <c r="I243" s="54" t="str">
        <f>IFERROR(_xlfn.XLOOKUP(G243,Listas!E:E,Listas!G:G,""),"")</f>
        <v>Interno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4" t="str">
        <f>IFERROR(_xlfn.XLOOKUP(G244,Listas!E:E,Listas!F:F,""),"")</f>
        <v>Operativo</v>
      </c>
      <c r="I244" s="54" t="str">
        <f>IFERROR(_xlfn.XLOOKUP(G244,Listas!E:E,Listas!G:G,""),"")</f>
        <v>Externo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4" t="str">
        <f>IFERROR(_xlfn.XLOOKUP(G245,Listas!E:E,Listas!F:F,""),"")</f>
        <v>Operativo</v>
      </c>
      <c r="I245" s="54" t="str">
        <f>IFERROR(_xlfn.XLOOKUP(G245,Listas!E:E,Listas!G:G,""),"")</f>
        <v>Externo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4" t="str">
        <f>IFERROR(_xlfn.XLOOKUP(G246,Listas!E:E,Listas!F:F,""),"")</f>
        <v>Financiamiento</v>
      </c>
      <c r="I246" s="54" t="str">
        <f>IFERROR(_xlfn.XLOOKUP(G246,Listas!E:E,Listas!G:G,""),"")</f>
        <v>Externo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4" t="str">
        <f>IFERROR(_xlfn.XLOOKUP(G247,Listas!E:E,Listas!F:F,""),"")</f>
        <v>Operativo</v>
      </c>
      <c r="I247" s="54" t="str">
        <f>IFERROR(_xlfn.XLOOKUP(G247,Listas!E:E,Listas!G:G,""),"")</f>
        <v>Externo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4" t="str">
        <f>IFERROR(_xlfn.XLOOKUP(G248,Listas!E:E,Listas!F:F,""),"")</f>
        <v>Operativo</v>
      </c>
      <c r="I248" s="54" t="str">
        <f>IFERROR(_xlfn.XLOOKUP(G248,Listas!E:E,Listas!G:G,""),"")</f>
        <v>Interno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4" t="str">
        <f>IFERROR(_xlfn.XLOOKUP(G249,Listas!E:E,Listas!F:F,""),"")</f>
        <v>Financiamiento</v>
      </c>
      <c r="I249" s="54" t="str">
        <f>IFERROR(_xlfn.XLOOKUP(G249,Listas!E:E,Listas!G:G,""),"")</f>
        <v>Interno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4" t="str">
        <f>IFERROR(_xlfn.XLOOKUP(G250,Listas!E:E,Listas!F:F,""),"")</f>
        <v>Financiamiento</v>
      </c>
      <c r="I250" s="54" t="str">
        <f>IFERROR(_xlfn.XLOOKUP(G250,Listas!E:E,Listas!G:G,""),"")</f>
        <v>Externo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4" t="str">
        <f>IFERROR(_xlfn.XLOOKUP(G251,Listas!E:E,Listas!F:F,""),"")</f>
        <v>Operativo</v>
      </c>
      <c r="I251" s="54" t="str">
        <f>IFERROR(_xlfn.XLOOKUP(G251,Listas!E:E,Listas!G:G,""),"")</f>
        <v>Interno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4" t="str">
        <f>IFERROR(_xlfn.XLOOKUP(G252,Listas!E:E,Listas!F:F,""),"")</f>
        <v>Operativo</v>
      </c>
      <c r="I252" s="54" t="str">
        <f>IFERROR(_xlfn.XLOOKUP(G252,Listas!E:E,Listas!G:G,""),"")</f>
        <v>Interno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4" t="str">
        <f>IFERROR(_xlfn.XLOOKUP(G253,Listas!E:E,Listas!F:F,""),"")</f>
        <v>Operativo</v>
      </c>
      <c r="I253" s="54" t="str">
        <f>IFERROR(_xlfn.XLOOKUP(G253,Listas!E:E,Listas!G:G,""),"")</f>
        <v>Interno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4" t="str">
        <f>IFERROR(_xlfn.XLOOKUP(G254,Listas!E:E,Listas!F:F,""),"")</f>
        <v>Operativo</v>
      </c>
      <c r="I254" s="54" t="str">
        <f>IFERROR(_xlfn.XLOOKUP(G254,Listas!E:E,Listas!G:G,""),"")</f>
        <v>Externo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4" t="str">
        <f>IFERROR(_xlfn.XLOOKUP(G255,Listas!E:E,Listas!F:F,""),"")</f>
        <v>Operativo</v>
      </c>
      <c r="I255" s="54" t="str">
        <f>IFERROR(_xlfn.XLOOKUP(G255,Listas!E:E,Listas!G:G,""),"")</f>
        <v>Externo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4" t="str">
        <f>IFERROR(_xlfn.XLOOKUP(G256,Listas!E:E,Listas!F:F,""),"")</f>
        <v>Operativo</v>
      </c>
      <c r="I256" s="54" t="str">
        <f>IFERROR(_xlfn.XLOOKUP(G256,Listas!E:E,Listas!G:G,""),"")</f>
        <v>Externo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4" t="str">
        <f>IFERROR(_xlfn.XLOOKUP(G257,Listas!E:E,Listas!F:F,""),"")</f>
        <v>Operativo</v>
      </c>
      <c r="I257" s="54" t="str">
        <f>IFERROR(_xlfn.XLOOKUP(G257,Listas!E:E,Listas!G:G,""),"")</f>
        <v>Externo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4" t="str">
        <f>IFERROR(_xlfn.XLOOKUP(G258,Listas!E:E,Listas!F:F,""),"")</f>
        <v>Operativo</v>
      </c>
      <c r="I258" s="54" t="str">
        <f>IFERROR(_xlfn.XLOOKUP(G258,Listas!E:E,Listas!G:G,""),"")</f>
        <v>Externo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4" t="str">
        <f>IFERROR(_xlfn.XLOOKUP(G259,Listas!E:E,Listas!F:F,""),"")</f>
        <v>Operativo</v>
      </c>
      <c r="I259" s="54" t="str">
        <f>IFERROR(_xlfn.XLOOKUP(G259,Listas!E:E,Listas!G:G,""),"")</f>
        <v>Externo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4" t="str">
        <f>IFERROR(_xlfn.XLOOKUP(G260,Listas!E:E,Listas!F:F,""),"")</f>
        <v>Operativo</v>
      </c>
      <c r="I260" s="54" t="str">
        <f>IFERROR(_xlfn.XLOOKUP(G260,Listas!E:E,Listas!G:G,""),"")</f>
        <v>Externo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4" t="str">
        <f>IFERROR(_xlfn.XLOOKUP(G261,Listas!E:E,Listas!F:F,""),"")</f>
        <v>Operativo</v>
      </c>
      <c r="I261" s="54" t="str">
        <f>IFERROR(_xlfn.XLOOKUP(G261,Listas!E:E,Listas!G:G,""),"")</f>
        <v>Externo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4" t="str">
        <f>IFERROR(_xlfn.XLOOKUP(G262,Listas!E:E,Listas!F:F,""),"")</f>
        <v>Operativo</v>
      </c>
      <c r="I262" s="54" t="str">
        <f>IFERROR(_xlfn.XLOOKUP(G262,Listas!E:E,Listas!G:G,""),"")</f>
        <v>Externo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4" t="str">
        <f>IFERROR(_xlfn.XLOOKUP(G263,Listas!E:E,Listas!F:F,""),"")</f>
        <v>Operativo</v>
      </c>
      <c r="I263" s="54" t="str">
        <f>IFERROR(_xlfn.XLOOKUP(G263,Listas!E:E,Listas!G:G,""),"")</f>
        <v>Externo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4" t="str">
        <f>IFERROR(_xlfn.XLOOKUP(G264,Listas!E:E,Listas!F:F,""),"")</f>
        <v>Operativo</v>
      </c>
      <c r="I264" s="54" t="str">
        <f>IFERROR(_xlfn.XLOOKUP(G264,Listas!E:E,Listas!G:G,""),"")</f>
        <v>Externo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4" t="str">
        <f>IFERROR(_xlfn.XLOOKUP(G265,Listas!E:E,Listas!F:F,""),"")</f>
        <v>Operativo</v>
      </c>
      <c r="I265" s="54" t="str">
        <f>IFERROR(_xlfn.XLOOKUP(G265,Listas!E:E,Listas!G:G,""),"")</f>
        <v>Externo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4" t="str">
        <f>IFERROR(_xlfn.XLOOKUP(G266,Listas!E:E,Listas!F:F,""),"")</f>
        <v>Operativo</v>
      </c>
      <c r="I266" s="54" t="str">
        <f>IFERROR(_xlfn.XLOOKUP(G266,Listas!E:E,Listas!G:G,""),"")</f>
        <v>Externo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4" t="str">
        <f>IFERROR(_xlfn.XLOOKUP(G267,Listas!E:E,Listas!F:F,""),"")</f>
        <v>Operativo</v>
      </c>
      <c r="I267" s="54" t="str">
        <f>IFERROR(_xlfn.XLOOKUP(G267,Listas!E:E,Listas!G:G,""),"")</f>
        <v>Externo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4" t="str">
        <f>IFERROR(_xlfn.XLOOKUP(G268,Listas!E:E,Listas!F:F,""),"")</f>
        <v>Operativo</v>
      </c>
      <c r="I268" s="54" t="str">
        <f>IFERROR(_xlfn.XLOOKUP(G268,Listas!E:E,Listas!G:G,""),"")</f>
        <v>Externo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4" t="str">
        <f>IFERROR(_xlfn.XLOOKUP(G269,Listas!E:E,Listas!F:F,""),"")</f>
        <v>Operativo</v>
      </c>
      <c r="I269" s="54" t="str">
        <f>IFERROR(_xlfn.XLOOKUP(G269,Listas!E:E,Listas!G:G,""),"")</f>
        <v>Externo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4" t="str">
        <f>IFERROR(_xlfn.XLOOKUP(G270,Listas!E:E,Listas!F:F,""),"")</f>
        <v>Operativo</v>
      </c>
      <c r="I270" s="54" t="str">
        <f>IFERROR(_xlfn.XLOOKUP(G270,Listas!E:E,Listas!G:G,""),"")</f>
        <v>Externo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4" t="str">
        <f>IFERROR(_xlfn.XLOOKUP(G271,Listas!E:E,Listas!F:F,""),"")</f>
        <v>Financiamiento</v>
      </c>
      <c r="I271" s="54" t="str">
        <f>IFERROR(_xlfn.XLOOKUP(G271,Listas!E:E,Listas!G:G,""),"")</f>
        <v>Externo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4" t="str">
        <f>IFERROR(_xlfn.XLOOKUP(G272,Listas!E:E,Listas!F:F,""),"")</f>
        <v>Financiamiento</v>
      </c>
      <c r="I272" s="54" t="str">
        <f>IFERROR(_xlfn.XLOOKUP(G272,Listas!E:E,Listas!G:G,""),"")</f>
        <v>Externo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4" t="str">
        <f>IFERROR(_xlfn.XLOOKUP(G273,Listas!E:E,Listas!F:F,""),"")</f>
        <v>Operativo</v>
      </c>
      <c r="I273" s="54" t="str">
        <f>IFERROR(_xlfn.XLOOKUP(G273,Listas!E:E,Listas!G:G,""),"")</f>
        <v>Externo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4" t="str">
        <f>IFERROR(_xlfn.XLOOKUP(G274,Listas!E:E,Listas!F:F,""),"")</f>
        <v>Operativo</v>
      </c>
      <c r="I274" s="54" t="str">
        <f>IFERROR(_xlfn.XLOOKUP(G274,Listas!E:E,Listas!G:G,""),"")</f>
        <v>Externo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4" t="str">
        <f>IFERROR(_xlfn.XLOOKUP(G275,Listas!E:E,Listas!F:F,""),"")</f>
        <v>Operativo</v>
      </c>
      <c r="I275" s="54" t="str">
        <f>IFERROR(_xlfn.XLOOKUP(G275,Listas!E:E,Listas!G:G,""),"")</f>
        <v>Externo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4" t="str">
        <f>IFERROR(_xlfn.XLOOKUP(G276,Listas!E:E,Listas!F:F,""),"")</f>
        <v>Operativo</v>
      </c>
      <c r="I276" s="54" t="str">
        <f>IFERROR(_xlfn.XLOOKUP(G276,Listas!E:E,Listas!G:G,""),"")</f>
        <v>Externo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4" t="str">
        <f>IFERROR(_xlfn.XLOOKUP(G277,Listas!E:E,Listas!F:F,""),"")</f>
        <v>Operativo</v>
      </c>
      <c r="I277" s="54" t="str">
        <f>IFERROR(_xlfn.XLOOKUP(G277,Listas!E:E,Listas!G:G,""),"")</f>
        <v>Externo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4" t="str">
        <f>IFERROR(_xlfn.XLOOKUP(G278,Listas!E:E,Listas!F:F,""),"")</f>
        <v>Financiamiento</v>
      </c>
      <c r="I278" s="54" t="str">
        <f>IFERROR(_xlfn.XLOOKUP(G278,Listas!E:E,Listas!G:G,""),"")</f>
        <v>Externo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4" t="str">
        <f>IFERROR(_xlfn.XLOOKUP(G279,Listas!E:E,Listas!F:F,""),"")</f>
        <v>Financiamiento</v>
      </c>
      <c r="I279" s="54" t="str">
        <f>IFERROR(_xlfn.XLOOKUP(G279,Listas!E:E,Listas!G:G,""),"")</f>
        <v>Externo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4" t="str">
        <f>IFERROR(_xlfn.XLOOKUP(G280,Listas!E:E,Listas!F:F,""),"")</f>
        <v>Financiamiento</v>
      </c>
      <c r="I280" s="54" t="str">
        <f>IFERROR(_xlfn.XLOOKUP(G280,Listas!E:E,Listas!G:G,""),"")</f>
        <v>Externo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4" t="str">
        <f>IFERROR(_xlfn.XLOOKUP(G281,Listas!E:E,Listas!F:F,""),"")</f>
        <v>Financiamiento</v>
      </c>
      <c r="I281" s="54" t="str">
        <f>IFERROR(_xlfn.XLOOKUP(G281,Listas!E:E,Listas!G:G,""),"")</f>
        <v>Externo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4" t="str">
        <f>IFERROR(_xlfn.XLOOKUP(G282,Listas!E:E,Listas!F:F,""),"")</f>
        <v>Operativo</v>
      </c>
      <c r="I282" s="54" t="str">
        <f>IFERROR(_xlfn.XLOOKUP(G282,Listas!E:E,Listas!G:G,""),"")</f>
        <v>Externo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4" t="str">
        <f>IFERROR(_xlfn.XLOOKUP(G283,Listas!E:E,Listas!F:F,""),"")</f>
        <v>Financiamiento</v>
      </c>
      <c r="I283" s="54" t="str">
        <f>IFERROR(_xlfn.XLOOKUP(G283,Listas!E:E,Listas!G:G,""),"")</f>
        <v>Externo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4" t="str">
        <f>IFERROR(_xlfn.XLOOKUP(G284,Listas!E:E,Listas!F:F,""),"")</f>
        <v>Operativo</v>
      </c>
      <c r="I284" s="54" t="str">
        <f>IFERROR(_xlfn.XLOOKUP(G284,Listas!E:E,Listas!G:G,""),"")</f>
        <v>Externo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4" t="str">
        <f>IFERROR(_xlfn.XLOOKUP(G285,Listas!E:E,Listas!F:F,""),"")</f>
        <v>Financiamiento</v>
      </c>
      <c r="I285" s="54" t="str">
        <f>IFERROR(_xlfn.XLOOKUP(G285,Listas!E:E,Listas!G:G,""),"")</f>
        <v>Externo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4" t="str">
        <f>IFERROR(_xlfn.XLOOKUP(G286,Listas!E:E,Listas!F:F,""),"")</f>
        <v>Financiamiento</v>
      </c>
      <c r="I286" s="54" t="str">
        <f>IFERROR(_xlfn.XLOOKUP(G286,Listas!E:E,Listas!G:G,""),"")</f>
        <v>Externo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4" t="str">
        <f>IFERROR(_xlfn.XLOOKUP(G287,Listas!E:E,Listas!F:F,""),"")</f>
        <v>Operativo</v>
      </c>
      <c r="I287" s="54" t="str">
        <f>IFERROR(_xlfn.XLOOKUP(G287,Listas!E:E,Listas!G:G,""),"")</f>
        <v>Externo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4" t="str">
        <f>IFERROR(_xlfn.XLOOKUP(G288,Listas!E:E,Listas!F:F,""),"")</f>
        <v>Financiamiento</v>
      </c>
      <c r="I288" s="54" t="str">
        <f>IFERROR(_xlfn.XLOOKUP(G288,Listas!E:E,Listas!G:G,""),"")</f>
        <v>Interno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4" t="str">
        <f>IFERROR(_xlfn.XLOOKUP(G289,Listas!E:E,Listas!F:F,""),"")</f>
        <v>Operativo</v>
      </c>
      <c r="I289" s="54" t="str">
        <f>IFERROR(_xlfn.XLOOKUP(G289,Listas!E:E,Listas!G:G,""),"")</f>
        <v>Interno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4" t="str">
        <f>IFERROR(_xlfn.XLOOKUP(G290,Listas!E:E,Listas!F:F,""),"")</f>
        <v>Operativo</v>
      </c>
      <c r="I290" s="54" t="str">
        <f>IFERROR(_xlfn.XLOOKUP(G290,Listas!E:E,Listas!G:G,""),"")</f>
        <v>Externo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4" t="str">
        <f>IFERROR(_xlfn.XLOOKUP(G291,Listas!E:E,Listas!F:F,""),"")</f>
        <v>Financiamiento</v>
      </c>
      <c r="I291" s="54" t="str">
        <f>IFERROR(_xlfn.XLOOKUP(G291,Listas!E:E,Listas!G:G,""),"")</f>
        <v>Externo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4" t="str">
        <f>IFERROR(_xlfn.XLOOKUP(G292,Listas!E:E,Listas!F:F,""),"")</f>
        <v>Financiamiento</v>
      </c>
      <c r="I292" s="54" t="str">
        <f>IFERROR(_xlfn.XLOOKUP(G292,Listas!E:E,Listas!G:G,""),"")</f>
        <v>Externo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4" t="str">
        <f>IFERROR(_xlfn.XLOOKUP(G293,Listas!E:E,Listas!F:F,""),"")</f>
        <v>Financiamiento</v>
      </c>
      <c r="I293" s="54" t="str">
        <f>IFERROR(_xlfn.XLOOKUP(G293,Listas!E:E,Listas!G:G,""),"")</f>
        <v>Externo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4" t="str">
        <f>IFERROR(_xlfn.XLOOKUP(G294,Listas!E:E,Listas!F:F,""),"")</f>
        <v>Operativo</v>
      </c>
      <c r="I294" s="54" t="str">
        <f>IFERROR(_xlfn.XLOOKUP(G294,Listas!E:E,Listas!G:G,""),"")</f>
        <v>Interno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4" t="str">
        <f>IFERROR(_xlfn.XLOOKUP(G295,Listas!E:E,Listas!F:F,""),"")</f>
        <v>Operativo</v>
      </c>
      <c r="I295" s="54" t="str">
        <f>IFERROR(_xlfn.XLOOKUP(G295,Listas!E:E,Listas!G:G,""),"")</f>
        <v>Interno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4" t="str">
        <f>IFERROR(_xlfn.XLOOKUP(G296,Listas!E:E,Listas!F:F,""),"")</f>
        <v>Inversion</v>
      </c>
      <c r="I296" s="54" t="str">
        <f>IFERROR(_xlfn.XLOOKUP(G296,Listas!E:E,Listas!G:G,""),"")</f>
        <v>Externo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4" t="str">
        <f>IFERROR(_xlfn.XLOOKUP(G297,Listas!E:E,Listas!F:F,""),"")</f>
        <v>Financiamiento</v>
      </c>
      <c r="I297" s="54" t="str">
        <f>IFERROR(_xlfn.XLOOKUP(G297,Listas!E:E,Listas!G:G,""),"")</f>
        <v>Interno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4" t="str">
        <f>IFERROR(_xlfn.XLOOKUP(G298,Listas!E:E,Listas!F:F,""),"")</f>
        <v>Operativo</v>
      </c>
      <c r="I298" s="54" t="str">
        <f>IFERROR(_xlfn.XLOOKUP(G298,Listas!E:E,Listas!G:G,""),"")</f>
        <v>Interno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4" t="str">
        <f>IFERROR(_xlfn.XLOOKUP(G299,Listas!E:E,Listas!F:F,""),"")</f>
        <v>Financiamiento</v>
      </c>
      <c r="I299" s="54" t="str">
        <f>IFERROR(_xlfn.XLOOKUP(G299,Listas!E:E,Listas!G:G,""),"")</f>
        <v>Interno</v>
      </c>
      <c r="J299" s="47">
        <v>50000</v>
      </c>
      <c r="K299" s="5">
        <f t="shared" ref="K299:K358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Iniciales'!$B$2:$B$38,D299)+SUMIFS($K$1:$K$359,$C$1:$C$359,C299,$D$1:$D$359,D299,$B$1:$B$359,"&lt;="&amp;B299)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4" t="str">
        <f>IFERROR(_xlfn.XLOOKUP(G300,Listas!E:E,Listas!F:F,""),"")</f>
        <v>Operativo</v>
      </c>
      <c r="I300" s="5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Iniciales'!$B$2:$B$38,D300)+SUMIFS($K$1:$K$359,$C$1:$C$359,C300,$D$1:$D$359,D300,$B$1:$B$359,"&lt;="&amp;B300)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4" t="str">
        <f>IFERROR(_xlfn.XLOOKUP(G301,Listas!E:E,Listas!F:F,""),"")</f>
        <v>Operativo</v>
      </c>
      <c r="I301" s="5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Iniciales'!$B$2:$B$38,D301)+SUMIFS($K$1:$K$359,$C$1:$C$359,C301,$D$1:$D$359,D301,$B$1:$B$359,"&lt;="&amp;B301)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4" t="str">
        <f>IFERROR(_xlfn.XLOOKUP(G302,Listas!E:E,Listas!F:F,""),"")</f>
        <v>Operativo</v>
      </c>
      <c r="I302" s="5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Iniciales'!$B$2:$B$38,D302)+SUMIFS($K$1:$K$359,$C$1:$C$359,C302,$D$1:$D$359,D302,$B$1:$B$359,"&lt;="&amp;B302)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4" t="str">
        <f>IFERROR(_xlfn.XLOOKUP(G303,Listas!E:E,Listas!F:F,""),"")</f>
        <v>Operativo</v>
      </c>
      <c r="I303" s="5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Iniciales'!$B$2:$B$38,D303)+SUMIFS($K$1:$K$359,$C$1:$C$359,C303,$D$1:$D$359,D303,$B$1:$B$359,"&lt;="&amp;B303)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4" t="str">
        <f>IFERROR(_xlfn.XLOOKUP(G304,Listas!E:E,Listas!F:F,""),"")</f>
        <v>Operativo</v>
      </c>
      <c r="I304" s="5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Iniciales'!$B$2:$B$38,D304)+SUMIFS($K$1:$K$359,$C$1:$C$359,C304,$D$1:$D$359,D304,$B$1:$B$359,"&lt;="&amp;B304)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4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48">
        <f>SUMIFS('Saldos Iniciales'!$D$2:$D$38,'Saldos Iniciales'!$A$2:$A$38,C305,'Saldos Iniciales'!$B$2:$B$38,D305)+SUMIFS($K$1:$K$359,$C$1:$C$359,C305,$D$1:$D$359,D305,$B$1:$B$359,"&lt;="&amp;B305)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  <row r="306" spans="1:16" x14ac:dyDescent="0.3">
      <c r="B306" s="43">
        <v>46188</v>
      </c>
      <c r="C306" s="4" t="str">
        <f>_xlfn.XLOOKUP(tblMovimientos[[#This Row],[Cuenta Bancaria]],Listas!$B:$B,Listas!$A:$A,"")</f>
        <v>CFT Group</v>
      </c>
      <c r="D306" s="45" t="s">
        <v>95</v>
      </c>
      <c r="E306" s="54" t="str">
        <f>_xlfn.XLOOKUP(tblMovimientos[[#This Row],[Cuenta Bancaria]],Listas!$B:$B,Listas!$C:$C,"")</f>
        <v xml:space="preserve">Amerant Bank </v>
      </c>
      <c r="F306" s="45" t="s">
        <v>9</v>
      </c>
      <c r="G306" s="45" t="s">
        <v>85</v>
      </c>
      <c r="H306" s="4" t="str">
        <f>IFERROR(_xlfn.XLOOKUP(G306,Listas!E:E,Listas!F:F,""),"")</f>
        <v>Operativo</v>
      </c>
      <c r="I306" s="54" t="str">
        <f>IFERROR(_xlfn.XLOOKUP(G306,Listas!E:E,Listas!G:G,""),"")</f>
        <v>Interno</v>
      </c>
      <c r="J306" s="47">
        <v>270000</v>
      </c>
      <c r="K306" s="55">
        <f t="shared" si="0"/>
        <v>270000</v>
      </c>
      <c r="L306" s="15" t="s">
        <v>128</v>
      </c>
      <c r="M306" s="48">
        <f>SUMIFS('Saldos Iniciales'!$D$2:$D$38,'Saldos Iniciales'!$A$2:$A$38,C306,'Saldos Iniciales'!$B$2:$B$38,D306)+SUMIFS($K$1:$K$359,$C$1:$C$359,C306,$D$1:$D$359,D306,$B$1:$B$359,"&lt;="&amp;B306)</f>
        <v>968878.52000000025</v>
      </c>
      <c r="N306" s="28">
        <f>IF(tblMovimientos[[#This Row],[Tipo de Movimiento]]="Ingreso",tblMovimientos[[#This Row],[Monto (S/)]],"0")</f>
        <v>270000</v>
      </c>
      <c r="O306" s="28" t="str">
        <f>IF(tblMovimientos[[#This Row],[Tipo de Movimiento]]="Egreso",tblMovimientos[[#This Row],[Monto (S/)]],"0")</f>
        <v>0</v>
      </c>
      <c r="P306" s="31">
        <f>IF(tblMovimientos[[#This Row],[Tipo de Movimiento]]="Ingreso",tblMovimientos[[#This Row],[Ingreso]],-tblMovimientos[[#This Row],[Egreso]])</f>
        <v>270000</v>
      </c>
    </row>
    <row r="307" spans="1:16" x14ac:dyDescent="0.3">
      <c r="B307" s="43">
        <v>46188</v>
      </c>
      <c r="C307" s="4" t="str">
        <f>_xlfn.XLOOKUP(tblMovimientos[[#This Row],[Cuenta Bancaria]],Listas!$B:$B,Listas!$A:$A,"")</f>
        <v>CFT Group</v>
      </c>
      <c r="D307" s="45" t="s">
        <v>95</v>
      </c>
      <c r="E307" s="54" t="str">
        <f>_xlfn.XLOOKUP(tblMovimientos[[#This Row],[Cuenta Bancaria]],Listas!$B:$B,Listas!$C:$C,"")</f>
        <v xml:space="preserve">Amerant Bank </v>
      </c>
      <c r="F307" s="45" t="s">
        <v>10</v>
      </c>
      <c r="G307" s="45" t="s">
        <v>48</v>
      </c>
      <c r="H307" s="4" t="str">
        <f>IFERROR(_xlfn.XLOOKUP(G307,Listas!E:E,Listas!F:F,""),"")</f>
        <v>Financiamiento</v>
      </c>
      <c r="I307" s="54" t="str">
        <f>IFERROR(_xlfn.XLOOKUP(G307,Listas!E:E,Listas!G:G,""),"")</f>
        <v>Externo</v>
      </c>
      <c r="J307" s="47">
        <v>2366.67</v>
      </c>
      <c r="K307" s="55">
        <f t="shared" si="0"/>
        <v>-2366.67</v>
      </c>
      <c r="L307" s="15" t="s">
        <v>128</v>
      </c>
      <c r="M307" s="48">
        <f>SUMIFS('Saldos Iniciales'!$D$2:$D$38,'Saldos Iniciales'!$A$2:$A$38,C307,'Saldos Iniciales'!$B$2:$B$38,D307)+SUMIFS($K$1:$K$359,$C$1:$C$359,C307,$D$1:$D$359,D307,$B$1:$B$359,"&lt;="&amp;B307)</f>
        <v>968878.52000000025</v>
      </c>
      <c r="N307" s="28" t="str">
        <f>IF(tblMovimientos[[#This Row],[Tipo de Movimiento]]="Ingreso",tblMovimientos[[#This Row],[Monto (S/)]],"0")</f>
        <v>0</v>
      </c>
      <c r="O307" s="28">
        <f>IF(tblMovimientos[[#This Row],[Tipo de Movimiento]]="Egreso",tblMovimientos[[#This Row],[Monto (S/)]],"0")</f>
        <v>2366.67</v>
      </c>
      <c r="P307" s="31">
        <f>IF(tblMovimientos[[#This Row],[Tipo de Movimiento]]="Ingreso",tblMovimientos[[#This Row],[Ingreso]],-tblMovimientos[[#This Row],[Egreso]])</f>
        <v>-2366.67</v>
      </c>
    </row>
    <row r="308" spans="1:16" x14ac:dyDescent="0.3">
      <c r="B308" s="43">
        <v>46188</v>
      </c>
      <c r="C308" s="4" t="str">
        <f>_xlfn.XLOOKUP(tblMovimientos[[#This Row],[Cuenta Bancaria]],Listas!$B:$B,Listas!$A:$A,"")</f>
        <v>CFT Group</v>
      </c>
      <c r="D308" s="45" t="s">
        <v>95</v>
      </c>
      <c r="E308" s="54" t="str">
        <f>_xlfn.XLOOKUP(tblMovimientos[[#This Row],[Cuenta Bancaria]],Listas!$B:$B,Listas!$C:$C,"")</f>
        <v xml:space="preserve">Amerant Bank </v>
      </c>
      <c r="F308" s="45" t="s">
        <v>10</v>
      </c>
      <c r="G308" s="45" t="s">
        <v>48</v>
      </c>
      <c r="H308" s="4" t="str">
        <f>IFERROR(_xlfn.XLOOKUP(G308,Listas!E:E,Listas!F:F,""),"")</f>
        <v>Financiamiento</v>
      </c>
      <c r="I308" s="54" t="str">
        <f>IFERROR(_xlfn.XLOOKUP(G308,Listas!E:E,Listas!G:G,""),"")</f>
        <v>Externo</v>
      </c>
      <c r="J308" s="47">
        <v>3500</v>
      </c>
      <c r="K308" s="55">
        <f t="shared" si="0"/>
        <v>-3500</v>
      </c>
      <c r="L308" s="15" t="s">
        <v>128</v>
      </c>
      <c r="M308" s="48">
        <f>SUMIFS('Saldos Iniciales'!$D$2:$D$38,'Saldos Iniciales'!$A$2:$A$38,C308,'Saldos Iniciales'!$B$2:$B$38,D308)+SUMIFS($K$1:$K$359,$C$1:$C$359,C308,$D$1:$D$359,D308,$B$1:$B$359,"&lt;="&amp;B308)</f>
        <v>968878.52000000025</v>
      </c>
      <c r="N308" s="28" t="str">
        <f>IF(tblMovimientos[[#This Row],[Tipo de Movimiento]]="Ingreso",tblMovimientos[[#This Row],[Monto (S/)]],"0")</f>
        <v>0</v>
      </c>
      <c r="O308" s="28">
        <f>IF(tblMovimientos[[#This Row],[Tipo de Movimiento]]="Egreso",tblMovimientos[[#This Row],[Monto (S/)]],"0")</f>
        <v>3500</v>
      </c>
      <c r="P308" s="31">
        <f>IF(tblMovimientos[[#This Row],[Tipo de Movimiento]]="Ingreso",tblMovimientos[[#This Row],[Ingreso]],-tblMovimientos[[#This Row],[Egreso]])</f>
        <v>-3500</v>
      </c>
    </row>
    <row r="309" spans="1:16" x14ac:dyDescent="0.3">
      <c r="B309" s="43">
        <v>46188</v>
      </c>
      <c r="C309" s="54" t="str">
        <f>_xlfn.XLOOKUP(tblMovimientos[[#This Row],[Cuenta Bancaria]],Listas!$B:$B,Listas!$A:$A,"")</f>
        <v>CFT Group</v>
      </c>
      <c r="D309" s="45" t="s">
        <v>95</v>
      </c>
      <c r="E309" s="54" t="str">
        <f>_xlfn.XLOOKUP(tblMovimientos[[#This Row],[Cuenta Bancaria]],Listas!$B:$B,Listas!$C:$C,"")</f>
        <v xml:space="preserve">Amerant Bank </v>
      </c>
      <c r="F309" s="45" t="s">
        <v>10</v>
      </c>
      <c r="G309" s="45" t="s">
        <v>48</v>
      </c>
      <c r="H309" s="4" t="str">
        <f>IFERROR(_xlfn.XLOOKUP(G309,Listas!E:E,Listas!F:F,""),"")</f>
        <v>Financiamiento</v>
      </c>
      <c r="I309" s="54" t="str">
        <f>IFERROR(_xlfn.XLOOKUP(G309,Listas!E:E,Listas!G:G,""),"")</f>
        <v>Externo</v>
      </c>
      <c r="J309" s="47">
        <v>10608.89</v>
      </c>
      <c r="K309" s="55">
        <f t="shared" si="0"/>
        <v>-10608.89</v>
      </c>
      <c r="L309" s="15" t="s">
        <v>128</v>
      </c>
      <c r="M309" s="48">
        <f>SUMIFS('Saldos Iniciales'!$D$2:$D$38,'Saldos Iniciales'!$A$2:$A$38,C309,'Saldos Iniciales'!$B$2:$B$38,D309)+SUMIFS($K$1:$K$359,$C$1:$C$359,C309,$D$1:$D$359,D309,$B$1:$B$359,"&lt;="&amp;B309)</f>
        <v>968878.52000000025</v>
      </c>
      <c r="N309" s="28" t="str">
        <f>IF(tblMovimientos[[#This Row],[Tipo de Movimiento]]="Ingreso",tblMovimientos[[#This Row],[Monto (S/)]],"0")</f>
        <v>0</v>
      </c>
      <c r="O309" s="28">
        <f>IF(tblMovimientos[[#This Row],[Tipo de Movimiento]]="Egreso",tblMovimientos[[#This Row],[Monto (S/)]],"0")</f>
        <v>10608.89</v>
      </c>
      <c r="P309" s="31">
        <f>IF(tblMovimientos[[#This Row],[Tipo de Movimiento]]="Ingreso",tblMovimientos[[#This Row],[Ingreso]],-tblMovimientos[[#This Row],[Egreso]])</f>
        <v>-10608.89</v>
      </c>
    </row>
    <row r="310" spans="1:16" x14ac:dyDescent="0.3">
      <c r="B310" s="43">
        <v>46188</v>
      </c>
      <c r="C310" s="4" t="str">
        <f>_xlfn.XLOOKUP(tblMovimientos[[#This Row],[Cuenta Bancaria]],Listas!$B:$B,Listas!$A:$A,"")</f>
        <v>CFT Group</v>
      </c>
      <c r="D310" s="45" t="s">
        <v>95</v>
      </c>
      <c r="E310" s="54" t="str">
        <f>_xlfn.XLOOKUP(tblMovimientos[[#This Row],[Cuenta Bancaria]],Listas!$B:$B,Listas!$C:$C,"")</f>
        <v xml:space="preserve">Amerant Bank </v>
      </c>
      <c r="F310" s="45" t="s">
        <v>10</v>
      </c>
      <c r="G310" s="45" t="s">
        <v>48</v>
      </c>
      <c r="H310" s="4" t="str">
        <f>IFERROR(_xlfn.XLOOKUP(G310,Listas!E:E,Listas!F:F,""),"")</f>
        <v>Financiamiento</v>
      </c>
      <c r="I310" s="54" t="str">
        <f>IFERROR(_xlfn.XLOOKUP(G310,Listas!E:E,Listas!G:G,""),"")</f>
        <v>Externo</v>
      </c>
      <c r="J310" s="47">
        <v>12055.56</v>
      </c>
      <c r="K310" s="55">
        <f t="shared" si="0"/>
        <v>-12055.56</v>
      </c>
      <c r="L310" s="15" t="s">
        <v>128</v>
      </c>
      <c r="M310" s="48">
        <f>SUMIFS('Saldos Iniciales'!$D$2:$D$38,'Saldos Iniciales'!$A$2:$A$38,C310,'Saldos Iniciales'!$B$2:$B$38,D310)+SUMIFS($K$1:$K$359,$C$1:$C$359,C310,$D$1:$D$359,D310,$B$1:$B$359,"&lt;="&amp;B310)</f>
        <v>968878.52000000025</v>
      </c>
      <c r="N310" s="28" t="str">
        <f>IF(tblMovimientos[[#This Row],[Tipo de Movimiento]]="Ingreso",tblMovimientos[[#This Row],[Monto (S/)]],"0")</f>
        <v>0</v>
      </c>
      <c r="O310" s="28">
        <f>IF(tblMovimientos[[#This Row],[Tipo de Movimiento]]="Egreso",tblMovimientos[[#This Row],[Monto (S/)]],"0")</f>
        <v>12055.56</v>
      </c>
      <c r="P310" s="31">
        <f>IF(tblMovimientos[[#This Row],[Tipo de Movimiento]]="Ingreso",tblMovimientos[[#This Row],[Ingreso]],-tblMovimientos[[#This Row],[Egreso]])</f>
        <v>-12055.56</v>
      </c>
    </row>
    <row r="311" spans="1:16" x14ac:dyDescent="0.3">
      <c r="B311" s="43">
        <v>46188</v>
      </c>
      <c r="C311" s="4" t="str">
        <f>_xlfn.XLOOKUP(tblMovimientos[[#This Row],[Cuenta Bancaria]],Listas!$B:$B,Listas!$A:$A,"")</f>
        <v>CFT Group</v>
      </c>
      <c r="D311" s="45" t="s">
        <v>95</v>
      </c>
      <c r="E311" s="54" t="str">
        <f>_xlfn.XLOOKUP(tblMovimientos[[#This Row],[Cuenta Bancaria]],Listas!$B:$B,Listas!$C:$C,"")</f>
        <v xml:space="preserve">Amerant Bank </v>
      </c>
      <c r="F311" s="45" t="s">
        <v>10</v>
      </c>
      <c r="G311" s="45" t="s">
        <v>48</v>
      </c>
      <c r="H311" s="4" t="str">
        <f>IFERROR(_xlfn.XLOOKUP(G311,Listas!E:E,Listas!F:F,""),"")</f>
        <v>Financiamiento</v>
      </c>
      <c r="I311" s="54" t="str">
        <f>IFERROR(_xlfn.XLOOKUP(G311,Listas!E:E,Listas!G:G,""),"")</f>
        <v>Externo</v>
      </c>
      <c r="J311" s="47">
        <v>22166.67</v>
      </c>
      <c r="K311" s="55">
        <f t="shared" si="0"/>
        <v>-22166.67</v>
      </c>
      <c r="L311" s="15" t="s">
        <v>128</v>
      </c>
      <c r="M311" s="48">
        <f>SUMIFS('Saldos Iniciales'!$D$2:$D$38,'Saldos Iniciales'!$A$2:$A$38,C311,'Saldos Iniciales'!$B$2:$B$38,D311)+SUMIFS($K$1:$K$359,$C$1:$C$359,C311,$D$1:$D$359,D311,$B$1:$B$359,"&lt;="&amp;B311)</f>
        <v>968878.52000000025</v>
      </c>
      <c r="N311" s="28" t="str">
        <f>IF(tblMovimientos[[#This Row],[Tipo de Movimiento]]="Ingreso",tblMovimientos[[#This Row],[Monto (S/)]],"0")</f>
        <v>0</v>
      </c>
      <c r="O311" s="28">
        <f>IF(tblMovimientos[[#This Row],[Tipo de Movimiento]]="Egreso",tblMovimientos[[#This Row],[Monto (S/)]],"0")</f>
        <v>22166.67</v>
      </c>
      <c r="P311" s="31">
        <f>IF(tblMovimientos[[#This Row],[Tipo de Movimiento]]="Ingreso",tblMovimientos[[#This Row],[Ingreso]],-tblMovimientos[[#This Row],[Egreso]])</f>
        <v>-22166.67</v>
      </c>
    </row>
    <row r="312" spans="1:16" x14ac:dyDescent="0.3">
      <c r="B312" s="43">
        <v>46188</v>
      </c>
      <c r="C312" s="4" t="str">
        <f>_xlfn.XLOOKUP(tblMovimientos[[#This Row],[Cuenta Bancaria]],Listas!$B:$B,Listas!$A:$A,"")</f>
        <v>CFT Group</v>
      </c>
      <c r="D312" s="45" t="s">
        <v>95</v>
      </c>
      <c r="E312" s="54" t="str">
        <f>_xlfn.XLOOKUP(tblMovimientos[[#This Row],[Cuenta Bancaria]],Listas!$B:$B,Listas!$C:$C,"")</f>
        <v xml:space="preserve">Amerant Bank </v>
      </c>
      <c r="F312" s="45" t="s">
        <v>10</v>
      </c>
      <c r="G312" s="45" t="s">
        <v>48</v>
      </c>
      <c r="H312" s="4" t="str">
        <f>IFERROR(_xlfn.XLOOKUP(G312,Listas!E:E,Listas!F:F,""),"")</f>
        <v>Financiamiento</v>
      </c>
      <c r="I312" s="54" t="str">
        <f>IFERROR(_xlfn.XLOOKUP(G312,Listas!E:E,Listas!G:G,""),"")</f>
        <v>Externo</v>
      </c>
      <c r="J312" s="47">
        <v>24111.11</v>
      </c>
      <c r="K312" s="55">
        <f t="shared" si="0"/>
        <v>-24111.11</v>
      </c>
      <c r="L312" s="15" t="s">
        <v>128</v>
      </c>
      <c r="M312" s="48">
        <f>SUMIFS('Saldos Iniciales'!$D$2:$D$38,'Saldos Iniciales'!$A$2:$A$38,C312,'Saldos Iniciales'!$B$2:$B$38,D312)+SUMIFS($K$1:$K$359,$C$1:$C$359,C312,$D$1:$D$359,D312,$B$1:$B$359,"&lt;="&amp;B312)</f>
        <v>968878.52000000025</v>
      </c>
      <c r="N312" s="28" t="str">
        <f>IF(tblMovimientos[[#This Row],[Tipo de Movimiento]]="Ingreso",tblMovimientos[[#This Row],[Monto (S/)]],"0")</f>
        <v>0</v>
      </c>
      <c r="O312" s="28">
        <f>IF(tblMovimientos[[#This Row],[Tipo de Movimiento]]="Egreso",tblMovimientos[[#This Row],[Monto (S/)]],"0")</f>
        <v>24111.11</v>
      </c>
      <c r="P312" s="31">
        <f>IF(tblMovimientos[[#This Row],[Tipo de Movimiento]]="Ingreso",tblMovimientos[[#This Row],[Ingreso]],-tblMovimientos[[#This Row],[Egreso]])</f>
        <v>-24111.11</v>
      </c>
    </row>
    <row r="313" spans="1:16" x14ac:dyDescent="0.3">
      <c r="B313" s="43">
        <v>46188</v>
      </c>
      <c r="C313" s="54" t="str">
        <f>_xlfn.XLOOKUP(tblMovimientos[[#This Row],[Cuenta Bancaria]],Listas!$B:$B,Listas!$A:$A,"")</f>
        <v>CFT Group</v>
      </c>
      <c r="D313" s="45" t="s">
        <v>95</v>
      </c>
      <c r="E313" s="54" t="str">
        <f>_xlfn.XLOOKUP(tblMovimientos[[#This Row],[Cuenta Bancaria]],Listas!$B:$B,Listas!$C:$C,"")</f>
        <v xml:space="preserve">Amerant Bank </v>
      </c>
      <c r="F313" s="45" t="s">
        <v>10</v>
      </c>
      <c r="G313" s="45" t="s">
        <v>61</v>
      </c>
      <c r="H313" s="4" t="str">
        <f>IFERROR(_xlfn.XLOOKUP(G313,Listas!E:E,Listas!F:F,""),"")</f>
        <v>Operativo</v>
      </c>
      <c r="I313" s="54" t="str">
        <f>IFERROR(_xlfn.XLOOKUP(G313,Listas!E:E,Listas!G:G,""),"")</f>
        <v>Externo</v>
      </c>
      <c r="J313" s="47">
        <v>40000</v>
      </c>
      <c r="K313" s="55">
        <f t="shared" si="0"/>
        <v>-40000</v>
      </c>
      <c r="L313" s="15" t="s">
        <v>128</v>
      </c>
      <c r="M313" s="48">
        <f>SUMIFS('Saldos Iniciales'!$D$2:$D$38,'Saldos Iniciales'!$A$2:$A$38,C313,'Saldos Iniciales'!$B$2:$B$38,D313)+SUMIFS($K$1:$K$359,$C$1:$C$359,C313,$D$1:$D$359,D313,$B$1:$B$359,"&lt;="&amp;B313)</f>
        <v>968878.52000000025</v>
      </c>
      <c r="N313" s="28" t="str">
        <f>IF(tblMovimientos[[#This Row],[Tipo de Movimiento]]="Ingreso",tblMovimientos[[#This Row],[Monto (S/)]],"0")</f>
        <v>0</v>
      </c>
      <c r="O313" s="28">
        <f>IF(tblMovimientos[[#This Row],[Tipo de Movimiento]]="Egreso",tblMovimientos[[#This Row],[Monto (S/)]],"0")</f>
        <v>40000</v>
      </c>
      <c r="P313" s="31">
        <f>IF(tblMovimientos[[#This Row],[Tipo de Movimiento]]="Ingreso",tblMovimientos[[#This Row],[Ingreso]],-tblMovimientos[[#This Row],[Egreso]])</f>
        <v>-40000</v>
      </c>
    </row>
    <row r="314" spans="1:16" x14ac:dyDescent="0.3">
      <c r="B314" s="43">
        <v>46188</v>
      </c>
      <c r="C314" s="4" t="str">
        <f>_xlfn.XLOOKUP(tblMovimientos[[#This Row],[Cuenta Bancaria]],Listas!$B:$B,Listas!$A:$A,"")</f>
        <v>CFT Group</v>
      </c>
      <c r="D314" s="45" t="s">
        <v>95</v>
      </c>
      <c r="E314" s="54" t="str">
        <f>_xlfn.XLOOKUP(tblMovimientos[[#This Row],[Cuenta Bancaria]],Listas!$B:$B,Listas!$C:$C,"")</f>
        <v xml:space="preserve">Amerant Bank </v>
      </c>
      <c r="F314" s="45" t="s">
        <v>10</v>
      </c>
      <c r="G314" s="45" t="s">
        <v>61</v>
      </c>
      <c r="H314" s="4" t="str">
        <f>IFERROR(_xlfn.XLOOKUP(G314,Listas!E:E,Listas!F:F,""),"")</f>
        <v>Operativo</v>
      </c>
      <c r="I314" s="54" t="str">
        <f>IFERROR(_xlfn.XLOOKUP(G314,Listas!E:E,Listas!G:G,""),"")</f>
        <v>Externo</v>
      </c>
      <c r="J314" s="47">
        <v>60000</v>
      </c>
      <c r="K314" s="55">
        <f t="shared" si="0"/>
        <v>-60000</v>
      </c>
      <c r="L314" s="15" t="s">
        <v>128</v>
      </c>
      <c r="M314" s="48">
        <f>SUMIFS('Saldos Iniciales'!$D$2:$D$38,'Saldos Iniciales'!$A$2:$A$38,C314,'Saldos Iniciales'!$B$2:$B$38,D314)+SUMIFS($K$1:$K$359,$C$1:$C$359,C314,$D$1:$D$359,D314,$B$1:$B$359,"&lt;="&amp;B314)</f>
        <v>968878.52000000025</v>
      </c>
      <c r="N314" s="28" t="str">
        <f>IF(tblMovimientos[[#This Row],[Tipo de Movimiento]]="Ingreso",tblMovimientos[[#This Row],[Monto (S/)]],"0")</f>
        <v>0</v>
      </c>
      <c r="O314" s="28">
        <f>IF(tblMovimientos[[#This Row],[Tipo de Movimiento]]="Egreso",tblMovimientos[[#This Row],[Monto (S/)]],"0")</f>
        <v>60000</v>
      </c>
      <c r="P314" s="31">
        <f>IF(tblMovimientos[[#This Row],[Tipo de Movimiento]]="Ingreso",tblMovimientos[[#This Row],[Ingreso]],-tblMovimientos[[#This Row],[Egreso]])</f>
        <v>-60000</v>
      </c>
    </row>
    <row r="315" spans="1:16" x14ac:dyDescent="0.3">
      <c r="B315" s="43">
        <v>46188</v>
      </c>
      <c r="C315" s="4" t="str">
        <f>_xlfn.XLOOKUP(tblMovimientos[[#This Row],[Cuenta Bancaria]],Listas!$B:$B,Listas!$A:$A,"")</f>
        <v>CFT Group</v>
      </c>
      <c r="D315" s="45" t="s">
        <v>95</v>
      </c>
      <c r="E315" s="54" t="str">
        <f>_xlfn.XLOOKUP(tblMovimientos[[#This Row],[Cuenta Bancaria]],Listas!$B:$B,Listas!$C:$C,"")</f>
        <v xml:space="preserve">Amerant Bank </v>
      </c>
      <c r="F315" s="45" t="s">
        <v>10</v>
      </c>
      <c r="G315" s="45" t="s">
        <v>61</v>
      </c>
      <c r="H315" s="4" t="str">
        <f>IFERROR(_xlfn.XLOOKUP(G315,Listas!E:E,Listas!F:F,""),"")</f>
        <v>Operativo</v>
      </c>
      <c r="I315" s="54" t="str">
        <f>IFERROR(_xlfn.XLOOKUP(G315,Listas!E:E,Listas!G:G,""),"")</f>
        <v>Externo</v>
      </c>
      <c r="J315" s="47">
        <v>100000</v>
      </c>
      <c r="K315" s="55">
        <f t="shared" si="0"/>
        <v>-100000</v>
      </c>
      <c r="L315" s="15" t="s">
        <v>128</v>
      </c>
      <c r="M315" s="48">
        <f>SUMIFS('Saldos Iniciales'!$D$2:$D$38,'Saldos Iniciales'!$A$2:$A$38,C315,'Saldos Iniciales'!$B$2:$B$38,D315)+SUMIFS($K$1:$K$359,$C$1:$C$359,C315,$D$1:$D$359,D315,$B$1:$B$359,"&lt;="&amp;B315)</f>
        <v>968878.52000000025</v>
      </c>
      <c r="N315" s="28" t="str">
        <f>IF(tblMovimientos[[#This Row],[Tipo de Movimiento]]="Ingreso",tblMovimientos[[#This Row],[Monto (S/)]],"0")</f>
        <v>0</v>
      </c>
      <c r="O315" s="28">
        <f>IF(tblMovimientos[[#This Row],[Tipo de Movimiento]]="Egreso",tblMovimientos[[#This Row],[Monto (S/)]],"0")</f>
        <v>100000</v>
      </c>
      <c r="P315" s="31">
        <f>IF(tblMovimientos[[#This Row],[Tipo de Movimiento]]="Ingreso",tblMovimientos[[#This Row],[Ingreso]],-tblMovimientos[[#This Row],[Egreso]])</f>
        <v>-100000</v>
      </c>
    </row>
    <row r="316" spans="1:16" x14ac:dyDescent="0.3">
      <c r="B316" s="43">
        <v>46188</v>
      </c>
      <c r="C316" s="4" t="str">
        <f>_xlfn.XLOOKUP(tblMovimientos[[#This Row],[Cuenta Bancaria]],Listas!$B:$B,Listas!$A:$A,"")</f>
        <v>CFT Group</v>
      </c>
      <c r="D316" s="45" t="s">
        <v>95</v>
      </c>
      <c r="E316" s="54" t="str">
        <f>_xlfn.XLOOKUP(tblMovimientos[[#This Row],[Cuenta Bancaria]],Listas!$B:$B,Listas!$C:$C,"")</f>
        <v xml:space="preserve">Amerant Bank </v>
      </c>
      <c r="F316" s="45" t="s">
        <v>10</v>
      </c>
      <c r="G316" s="45" t="s">
        <v>61</v>
      </c>
      <c r="H316" s="4" t="str">
        <f>IFERROR(_xlfn.XLOOKUP(G316,Listas!E:E,Listas!F:F,""),"")</f>
        <v>Operativo</v>
      </c>
      <c r="I316" s="54" t="str">
        <f>IFERROR(_xlfn.XLOOKUP(G316,Listas!E:E,Listas!G:G,""),"")</f>
        <v>Externo</v>
      </c>
      <c r="J316" s="47">
        <v>150000</v>
      </c>
      <c r="K316" s="55">
        <f t="shared" si="0"/>
        <v>-150000</v>
      </c>
      <c r="L316" s="15" t="s">
        <v>128</v>
      </c>
      <c r="M316" s="48">
        <f>SUMIFS('Saldos Iniciales'!$D$2:$D$38,'Saldos Iniciales'!$A$2:$A$38,C316,'Saldos Iniciales'!$B$2:$B$38,D316)+SUMIFS($K$1:$K$359,$C$1:$C$359,C316,$D$1:$D$359,D316,$B$1:$B$359,"&lt;="&amp;B316)</f>
        <v>968878.52000000025</v>
      </c>
      <c r="N316" s="28" t="str">
        <f>IF(tblMovimientos[[#This Row],[Tipo de Movimiento]]="Ingreso",tblMovimientos[[#This Row],[Monto (S/)]],"0")</f>
        <v>0</v>
      </c>
      <c r="O316" s="28">
        <f>IF(tblMovimientos[[#This Row],[Tipo de Movimiento]]="Egreso",tblMovimientos[[#This Row],[Monto (S/)]],"0")</f>
        <v>150000</v>
      </c>
      <c r="P316" s="31">
        <f>IF(tblMovimientos[[#This Row],[Tipo de Movimiento]]="Ingreso",tblMovimientos[[#This Row],[Ingreso]],-tblMovimientos[[#This Row],[Egreso]])</f>
        <v>-150000</v>
      </c>
    </row>
    <row r="317" spans="1:16" x14ac:dyDescent="0.3">
      <c r="B317" s="43">
        <v>46188</v>
      </c>
      <c r="C317" s="54" t="str">
        <f>_xlfn.XLOOKUP(tblMovimientos[[#This Row],[Cuenta Bancaria]],Listas!$B:$B,Listas!$A:$A,"")</f>
        <v>CFT Group</v>
      </c>
      <c r="D317" s="45" t="s">
        <v>95</v>
      </c>
      <c r="E317" s="54" t="str">
        <f>_xlfn.XLOOKUP(tblMovimientos[[#This Row],[Cuenta Bancaria]],Listas!$B:$B,Listas!$C:$C,"")</f>
        <v xml:space="preserve">Amerant Bank </v>
      </c>
      <c r="F317" s="45" t="s">
        <v>10</v>
      </c>
      <c r="G317" s="45" t="s">
        <v>61</v>
      </c>
      <c r="H317" s="4" t="str">
        <f>IFERROR(_xlfn.XLOOKUP(G317,Listas!E:E,Listas!F:F,""),"")</f>
        <v>Operativo</v>
      </c>
      <c r="I317" s="54" t="str">
        <f>IFERROR(_xlfn.XLOOKUP(G317,Listas!E:E,Listas!G:G,""),"")</f>
        <v>Externo</v>
      </c>
      <c r="J317" s="47">
        <v>200000</v>
      </c>
      <c r="K317" s="55">
        <f t="shared" si="0"/>
        <v>-200000</v>
      </c>
      <c r="L317" s="15" t="s">
        <v>128</v>
      </c>
      <c r="M317" s="48">
        <f>SUMIFS('Saldos Iniciales'!$D$2:$D$38,'Saldos Iniciales'!$A$2:$A$38,C317,'Saldos Iniciales'!$B$2:$B$38,D317)+SUMIFS($K$1:$K$359,$C$1:$C$359,C317,$D$1:$D$359,D317,$B$1:$B$359,"&lt;="&amp;B317)</f>
        <v>968878.52000000025</v>
      </c>
      <c r="N317" s="28" t="str">
        <f>IF(tblMovimientos[[#This Row],[Tipo de Movimiento]]="Ingreso",tblMovimientos[[#This Row],[Monto (S/)]],"0")</f>
        <v>0</v>
      </c>
      <c r="O317" s="28">
        <f>IF(tblMovimientos[[#This Row],[Tipo de Movimiento]]="Egreso",tblMovimientos[[#This Row],[Monto (S/)]],"0")</f>
        <v>200000</v>
      </c>
      <c r="P317" s="31">
        <f>IF(tblMovimientos[[#This Row],[Tipo de Movimiento]]="Ingreso",tblMovimientos[[#This Row],[Ingreso]],-tblMovimientos[[#This Row],[Egreso]])</f>
        <v>-200000</v>
      </c>
    </row>
    <row r="318" spans="1:16" x14ac:dyDescent="0.3">
      <c r="B318" s="43">
        <v>46188</v>
      </c>
      <c r="C318" s="4" t="str">
        <f>_xlfn.XLOOKUP(tblMovimientos[[#This Row],[Cuenta Bancaria]],Listas!$B:$B,Listas!$A:$A,"")</f>
        <v>CFT Group</v>
      </c>
      <c r="D318" s="45" t="s">
        <v>95</v>
      </c>
      <c r="E318" s="54" t="str">
        <f>_xlfn.XLOOKUP(tblMovimientos[[#This Row],[Cuenta Bancaria]],Listas!$B:$B,Listas!$C:$C,"")</f>
        <v xml:space="preserve">Amerant Bank </v>
      </c>
      <c r="F318" s="45" t="s">
        <v>10</v>
      </c>
      <c r="G318" s="45" t="s">
        <v>61</v>
      </c>
      <c r="H318" s="4" t="str">
        <f>IFERROR(_xlfn.XLOOKUP(G318,Listas!E:E,Listas!F:F,""),"")</f>
        <v>Operativo</v>
      </c>
      <c r="I318" s="54" t="str">
        <f>IFERROR(_xlfn.XLOOKUP(G318,Listas!E:E,Listas!G:G,""),"")</f>
        <v>Externo</v>
      </c>
      <c r="J318" s="47">
        <v>200000</v>
      </c>
      <c r="K318" s="55">
        <f t="shared" si="0"/>
        <v>-200000</v>
      </c>
      <c r="L318" s="15" t="s">
        <v>128</v>
      </c>
      <c r="M318" s="48">
        <f>SUMIFS('Saldos Iniciales'!$D$2:$D$38,'Saldos Iniciales'!$A$2:$A$38,C318,'Saldos Iniciales'!$B$2:$B$38,D318)+SUMIFS($K$1:$K$359,$C$1:$C$359,C318,$D$1:$D$359,D318,$B$1:$B$359,"&lt;="&amp;B318)</f>
        <v>968878.52000000025</v>
      </c>
      <c r="N318" s="28" t="str">
        <f>IF(tblMovimientos[[#This Row],[Tipo de Movimiento]]="Ingreso",tblMovimientos[[#This Row],[Monto (S/)]],"0")</f>
        <v>0</v>
      </c>
      <c r="O318" s="28">
        <f>IF(tblMovimientos[[#This Row],[Tipo de Movimiento]]="Egreso",tblMovimientos[[#This Row],[Monto (S/)]],"0")</f>
        <v>200000</v>
      </c>
      <c r="P318" s="31">
        <f>IF(tblMovimientos[[#This Row],[Tipo de Movimiento]]="Ingreso",tblMovimientos[[#This Row],[Ingreso]],-tblMovimientos[[#This Row],[Egreso]])</f>
        <v>-200000</v>
      </c>
    </row>
    <row r="319" spans="1:16" x14ac:dyDescent="0.3">
      <c r="B319" s="43">
        <v>46188</v>
      </c>
      <c r="C319" s="4" t="str">
        <f>_xlfn.XLOOKUP(tblMovimientos[[#This Row],[Cuenta Bancaria]],Listas!$B:$B,Listas!$A:$A,"")</f>
        <v>SSP Capital</v>
      </c>
      <c r="D319" s="45" t="s">
        <v>104</v>
      </c>
      <c r="E319" s="54" t="str">
        <f>_xlfn.XLOOKUP(tblMovimientos[[#This Row],[Cuenta Bancaria]],Listas!$B:$B,Listas!$C:$C,"")</f>
        <v xml:space="preserve">Amerant Bank </v>
      </c>
      <c r="F319" s="45" t="s">
        <v>10</v>
      </c>
      <c r="G319" s="45" t="s">
        <v>48</v>
      </c>
      <c r="H319" s="4" t="str">
        <f>IFERROR(_xlfn.XLOOKUP(G319,Listas!E:E,Listas!F:F,""),"")</f>
        <v>Financiamiento</v>
      </c>
      <c r="I319" s="54" t="str">
        <f>IFERROR(_xlfn.XLOOKUP(G319,Listas!E:E,Listas!G:G,""),"")</f>
        <v>Externo</v>
      </c>
      <c r="J319" s="47">
        <v>26250</v>
      </c>
      <c r="K319" s="55">
        <f t="shared" si="0"/>
        <v>-26250</v>
      </c>
      <c r="L319" s="15" t="s">
        <v>128</v>
      </c>
      <c r="M319" s="48">
        <f>SUMIFS('Saldos Iniciales'!$D$2:$D$38,'Saldos Iniciales'!$A$2:$A$38,C319,'Saldos Iniciales'!$B$2:$B$38,D319)+SUMIFS($K$1:$K$359,$C$1:$C$359,C319,$D$1:$D$359,D319,$B$1:$B$359,"&lt;="&amp;B319)</f>
        <v>2502067.6299999994</v>
      </c>
      <c r="N319" s="28" t="str">
        <f>IF(tblMovimientos[[#This Row],[Tipo de Movimiento]]="Ingreso",tblMovimientos[[#This Row],[Monto (S/)]],"0")</f>
        <v>0</v>
      </c>
      <c r="O319" s="28">
        <f>IF(tblMovimientos[[#This Row],[Tipo de Movimiento]]="Egreso",tblMovimientos[[#This Row],[Monto (S/)]],"0")</f>
        <v>26250</v>
      </c>
      <c r="P319" s="31">
        <f>IF(tblMovimientos[[#This Row],[Tipo de Movimiento]]="Ingreso",tblMovimientos[[#This Row],[Ingreso]],-tblMovimientos[[#This Row],[Egreso]])</f>
        <v>-26250</v>
      </c>
    </row>
    <row r="320" spans="1:16" x14ac:dyDescent="0.3">
      <c r="B320" s="43">
        <v>46188</v>
      </c>
      <c r="C320" s="4" t="str">
        <f>_xlfn.XLOOKUP(tblMovimientos[[#This Row],[Cuenta Bancaria]],Listas!$B:$B,Listas!$A:$A,"")</f>
        <v>SSP Capital</v>
      </c>
      <c r="D320" s="45" t="s">
        <v>104</v>
      </c>
      <c r="E320" s="54" t="str">
        <f>_xlfn.XLOOKUP(tblMovimientos[[#This Row],[Cuenta Bancaria]],Listas!$B:$B,Listas!$C:$C,"")</f>
        <v xml:space="preserve">Amerant Bank </v>
      </c>
      <c r="F320" s="45" t="s">
        <v>10</v>
      </c>
      <c r="G320" s="45" t="s">
        <v>48</v>
      </c>
      <c r="H320" s="4" t="str">
        <f>IFERROR(_xlfn.XLOOKUP(G320,Listas!E:E,Listas!F:F,""),"")</f>
        <v>Financiamiento</v>
      </c>
      <c r="I320" s="54" t="str">
        <f>IFERROR(_xlfn.XLOOKUP(G320,Listas!E:E,Listas!G:G,""),"")</f>
        <v>Externo</v>
      </c>
      <c r="J320" s="47">
        <v>32435</v>
      </c>
      <c r="K320" s="55">
        <f t="shared" si="0"/>
        <v>-32435</v>
      </c>
      <c r="L320" s="15" t="s">
        <v>128</v>
      </c>
      <c r="M320" s="48">
        <f>SUMIFS('Saldos Iniciales'!$D$2:$D$38,'Saldos Iniciales'!$A$2:$A$38,C320,'Saldos Iniciales'!$B$2:$B$38,D320)+SUMIFS($K$1:$K$359,$C$1:$C$359,C320,$D$1:$D$359,D320,$B$1:$B$359,"&lt;="&amp;B320)</f>
        <v>2502067.6299999994</v>
      </c>
      <c r="N320" s="28" t="str">
        <f>IF(tblMovimientos[[#This Row],[Tipo de Movimiento]]="Ingreso",tblMovimientos[[#This Row],[Monto (S/)]],"0")</f>
        <v>0</v>
      </c>
      <c r="O320" s="28">
        <f>IF(tblMovimientos[[#This Row],[Tipo de Movimiento]]="Egreso",tblMovimientos[[#This Row],[Monto (S/)]],"0")</f>
        <v>32435</v>
      </c>
      <c r="P320" s="31">
        <f>IF(tblMovimientos[[#This Row],[Tipo de Movimiento]]="Ingreso",tblMovimientos[[#This Row],[Ingreso]],-tblMovimientos[[#This Row],[Egreso]])</f>
        <v>-32435</v>
      </c>
    </row>
    <row r="321" spans="1:16" x14ac:dyDescent="0.3">
      <c r="B321" s="43">
        <v>46188</v>
      </c>
      <c r="C321" s="54" t="str">
        <f>_xlfn.XLOOKUP(tblMovimientos[[#This Row],[Cuenta Bancaria]],Listas!$B:$B,Listas!$A:$A,"")</f>
        <v>SSP Capital</v>
      </c>
      <c r="D321" s="45" t="s">
        <v>104</v>
      </c>
      <c r="E321" s="54" t="str">
        <f>_xlfn.XLOOKUP(tblMovimientos[[#This Row],[Cuenta Bancaria]],Listas!$B:$B,Listas!$C:$C,"")</f>
        <v xml:space="preserve">Amerant Bank </v>
      </c>
      <c r="F321" s="45" t="s">
        <v>10</v>
      </c>
      <c r="G321" s="45" t="s">
        <v>48</v>
      </c>
      <c r="H321" s="4" t="str">
        <f>IFERROR(_xlfn.XLOOKUP(G321,Listas!E:E,Listas!F:F,""),"")</f>
        <v>Financiamiento</v>
      </c>
      <c r="I321" s="54" t="str">
        <f>IFERROR(_xlfn.XLOOKUP(G321,Listas!E:E,Listas!G:G,""),"")</f>
        <v>Externo</v>
      </c>
      <c r="J321" s="47">
        <v>49583.34</v>
      </c>
      <c r="K321" s="55">
        <f t="shared" si="0"/>
        <v>-49583.34</v>
      </c>
      <c r="L321" s="15" t="s">
        <v>128</v>
      </c>
      <c r="M321" s="48">
        <f>SUMIFS('Saldos Iniciales'!$D$2:$D$38,'Saldos Iniciales'!$A$2:$A$38,C321,'Saldos Iniciales'!$B$2:$B$38,D321)+SUMIFS($K$1:$K$359,$C$1:$C$359,C321,$D$1:$D$359,D321,$B$1:$B$359,"&lt;="&amp;B321)</f>
        <v>2502067.6299999994</v>
      </c>
      <c r="N321" s="28" t="str">
        <f>IF(tblMovimientos[[#This Row],[Tipo de Movimiento]]="Ingreso",tblMovimientos[[#This Row],[Monto (S/)]],"0")</f>
        <v>0</v>
      </c>
      <c r="O321" s="28">
        <f>IF(tblMovimientos[[#This Row],[Tipo de Movimiento]]="Egreso",tblMovimientos[[#This Row],[Monto (S/)]],"0")</f>
        <v>49583.34</v>
      </c>
      <c r="P321" s="31">
        <f>IF(tblMovimientos[[#This Row],[Tipo de Movimiento]]="Ingreso",tblMovimientos[[#This Row],[Ingreso]],-tblMovimientos[[#This Row],[Egreso]])</f>
        <v>-49583.34</v>
      </c>
    </row>
    <row r="322" spans="1:16" x14ac:dyDescent="0.3">
      <c r="B322" s="43">
        <v>46188</v>
      </c>
      <c r="C322" s="4" t="str">
        <f>_xlfn.XLOOKUP(tblMovimientos[[#This Row],[Cuenta Bancaria]],Listas!$B:$B,Listas!$A:$A,"")</f>
        <v>SSP Capital</v>
      </c>
      <c r="D322" s="45" t="s">
        <v>104</v>
      </c>
      <c r="E322" s="54" t="str">
        <f>_xlfn.XLOOKUP(tblMovimientos[[#This Row],[Cuenta Bancaria]],Listas!$B:$B,Listas!$C:$C,"")</f>
        <v xml:space="preserve">Amerant Bank </v>
      </c>
      <c r="F322" s="45" t="s">
        <v>10</v>
      </c>
      <c r="G322" s="45" t="s">
        <v>48</v>
      </c>
      <c r="H322" s="4" t="str">
        <f>IFERROR(_xlfn.XLOOKUP(G322,Listas!E:E,Listas!F:F,""),"")</f>
        <v>Financiamiento</v>
      </c>
      <c r="I322" s="54" t="str">
        <f>IFERROR(_xlfn.XLOOKUP(G322,Listas!E:E,Listas!G:G,""),"")</f>
        <v>Externo</v>
      </c>
      <c r="J322" s="47">
        <v>23313.83</v>
      </c>
      <c r="K322" s="55">
        <f t="shared" si="0"/>
        <v>-23313.83</v>
      </c>
      <c r="L322" s="15" t="s">
        <v>128</v>
      </c>
      <c r="M322" s="48">
        <f>SUMIFS('Saldos Iniciales'!$D$2:$D$38,'Saldos Iniciales'!$A$2:$A$38,C322,'Saldos Iniciales'!$B$2:$B$38,D322)+SUMIFS($K$1:$K$359,$C$1:$C$359,C322,$D$1:$D$359,D322,$B$1:$B$359,"&lt;="&amp;B322)</f>
        <v>2502067.6299999994</v>
      </c>
      <c r="N322" s="28" t="str">
        <f>IF(tblMovimientos[[#This Row],[Tipo de Movimiento]]="Ingreso",tblMovimientos[[#This Row],[Monto (S/)]],"0")</f>
        <v>0</v>
      </c>
      <c r="O322" s="28">
        <f>IF(tblMovimientos[[#This Row],[Tipo de Movimiento]]="Egreso",tblMovimientos[[#This Row],[Monto (S/)]],"0")</f>
        <v>23313.83</v>
      </c>
      <c r="P322" s="31">
        <f>IF(tblMovimientos[[#This Row],[Tipo de Movimiento]]="Ingreso",tblMovimientos[[#This Row],[Ingreso]],-tblMovimientos[[#This Row],[Egreso]])</f>
        <v>-23313.83</v>
      </c>
    </row>
    <row r="323" spans="1:16" x14ac:dyDescent="0.3">
      <c r="B323" s="43">
        <v>46188</v>
      </c>
      <c r="C323" s="4" t="str">
        <f>_xlfn.XLOOKUP(tblMovimientos[[#This Row],[Cuenta Bancaria]],Listas!$B:$B,Listas!$A:$A,"")</f>
        <v>SSP Capital</v>
      </c>
      <c r="D323" s="45" t="s">
        <v>104</v>
      </c>
      <c r="E323" s="54" t="str">
        <f>_xlfn.XLOOKUP(tblMovimientos[[#This Row],[Cuenta Bancaria]],Listas!$B:$B,Listas!$C:$C,"")</f>
        <v xml:space="preserve">Amerant Bank </v>
      </c>
      <c r="F323" s="45" t="s">
        <v>10</v>
      </c>
      <c r="G323" s="45" t="s">
        <v>64</v>
      </c>
      <c r="H323" s="4" t="str">
        <f>IFERROR(_xlfn.XLOOKUP(G323,Listas!E:E,Listas!F:F,""),"")</f>
        <v>Operativo</v>
      </c>
      <c r="I323" s="54" t="str">
        <f>IFERROR(_xlfn.XLOOKUP(G323,Listas!E:E,Listas!G:G,""),"")</f>
        <v>Interno</v>
      </c>
      <c r="J323" s="47">
        <v>54600</v>
      </c>
      <c r="K323" s="55">
        <f t="shared" si="0"/>
        <v>-54600</v>
      </c>
      <c r="L323" s="15" t="s">
        <v>128</v>
      </c>
      <c r="M323" s="48">
        <f>SUMIFS('Saldos Iniciales'!$D$2:$D$38,'Saldos Iniciales'!$A$2:$A$38,C323,'Saldos Iniciales'!$B$2:$B$38,D323)+SUMIFS($K$1:$K$359,$C$1:$C$359,C323,$D$1:$D$359,D323,$B$1:$B$359,"&lt;="&amp;B323)</f>
        <v>2502067.6299999994</v>
      </c>
      <c r="N323" s="28" t="str">
        <f>IF(tblMovimientos[[#This Row],[Tipo de Movimiento]]="Ingreso",tblMovimientos[[#This Row],[Monto (S/)]],"0")</f>
        <v>0</v>
      </c>
      <c r="O323" s="28">
        <f>IF(tblMovimientos[[#This Row],[Tipo de Movimiento]]="Egreso",tblMovimientos[[#This Row],[Monto (S/)]],"0")</f>
        <v>54600</v>
      </c>
      <c r="P323" s="31">
        <f>IF(tblMovimientos[[#This Row],[Tipo de Movimiento]]="Ingreso",tblMovimientos[[#This Row],[Ingreso]],-tblMovimientos[[#This Row],[Egreso]])</f>
        <v>-54600</v>
      </c>
    </row>
    <row r="324" spans="1:16" x14ac:dyDescent="0.3">
      <c r="B324" s="43">
        <v>46188</v>
      </c>
      <c r="C324" s="4" t="str">
        <f>_xlfn.XLOOKUP(tblMovimientos[[#This Row],[Cuenta Bancaria]],Listas!$B:$B,Listas!$A:$A,"")</f>
        <v>SSP Capital</v>
      </c>
      <c r="D324" s="45" t="s">
        <v>104</v>
      </c>
      <c r="E324" s="54" t="str">
        <f>_xlfn.XLOOKUP(tblMovimientos[[#This Row],[Cuenta Bancaria]],Listas!$B:$B,Listas!$C:$C,"")</f>
        <v xml:space="preserve">Amerant Bank </v>
      </c>
      <c r="F324" s="45" t="s">
        <v>10</v>
      </c>
      <c r="G324" s="45" t="s">
        <v>61</v>
      </c>
      <c r="H324" s="4" t="str">
        <f>IFERROR(_xlfn.XLOOKUP(G324,Listas!E:E,Listas!F:F,""),"")</f>
        <v>Operativo</v>
      </c>
      <c r="I324" s="54" t="str">
        <f>IFERROR(_xlfn.XLOOKUP(G324,Listas!E:E,Listas!G:G,""),"")</f>
        <v>Externo</v>
      </c>
      <c r="J324" s="47">
        <v>300000</v>
      </c>
      <c r="K324" s="55">
        <f t="shared" si="0"/>
        <v>-300000</v>
      </c>
      <c r="L324" s="15" t="s">
        <v>128</v>
      </c>
      <c r="M324" s="48">
        <f>SUMIFS('Saldos Iniciales'!$D$2:$D$38,'Saldos Iniciales'!$A$2:$A$38,C324,'Saldos Iniciales'!$B$2:$B$38,D324)+SUMIFS($K$1:$K$359,$C$1:$C$359,C324,$D$1:$D$359,D324,$B$1:$B$359,"&lt;="&amp;B324)</f>
        <v>2502067.6299999994</v>
      </c>
      <c r="N324" s="28" t="str">
        <f>IF(tblMovimientos[[#This Row],[Tipo de Movimiento]]="Ingreso",tblMovimientos[[#This Row],[Monto (S/)]],"0")</f>
        <v>0</v>
      </c>
      <c r="O324" s="28">
        <f>IF(tblMovimientos[[#This Row],[Tipo de Movimiento]]="Egreso",tblMovimientos[[#This Row],[Monto (S/)]],"0")</f>
        <v>300000</v>
      </c>
      <c r="P324" s="31">
        <f>IF(tblMovimientos[[#This Row],[Tipo de Movimiento]]="Ingreso",tblMovimientos[[#This Row],[Ingreso]],-tblMovimientos[[#This Row],[Egreso]])</f>
        <v>-300000</v>
      </c>
    </row>
    <row r="325" spans="1:16" x14ac:dyDescent="0.3">
      <c r="B325" s="43">
        <v>46188</v>
      </c>
      <c r="C325" s="54" t="str">
        <f>_xlfn.XLOOKUP(tblMovimientos[[#This Row],[Cuenta Bancaria]],Listas!$B:$B,Listas!$A:$A,"")</f>
        <v>Go Blue</v>
      </c>
      <c r="D325" s="45" t="s">
        <v>126</v>
      </c>
      <c r="E325" s="54" t="str">
        <f>_xlfn.XLOOKUP(tblMovimientos[[#This Row],[Cuenta Bancaria]],Listas!$B:$B,Listas!$C:$C,"")</f>
        <v xml:space="preserve">Amerant Bank </v>
      </c>
      <c r="F325" s="45" t="s">
        <v>10</v>
      </c>
      <c r="G325" s="45" t="s">
        <v>38</v>
      </c>
      <c r="H325" s="4" t="str">
        <f>IFERROR(_xlfn.XLOOKUP(G325,Listas!E:E,Listas!F:F,""),"")</f>
        <v>Operativo</v>
      </c>
      <c r="I325" s="54" t="str">
        <f>IFERROR(_xlfn.XLOOKUP(G325,Listas!E:E,Listas!G:G,""),"")</f>
        <v>Externo</v>
      </c>
      <c r="J325" s="47">
        <v>50</v>
      </c>
      <c r="K325" s="55">
        <f t="shared" si="0"/>
        <v>-50</v>
      </c>
      <c r="L325" s="15" t="s">
        <v>128</v>
      </c>
      <c r="M325" s="48">
        <f>SUMIFS('Saldos Iniciales'!$D$2:$D$38,'Saldos Iniciales'!$A$2:$A$38,C325,'Saldos Iniciales'!$B$2:$B$38,D325)+SUMIFS($K$1:$K$359,$C$1:$C$359,C325,$D$1:$D$359,D325,$B$1:$B$359,"&lt;="&amp;B325)</f>
        <v>48724.73</v>
      </c>
      <c r="N325" s="28" t="str">
        <f>IF(tblMovimientos[[#This Row],[Tipo de Movimiento]]="Ingreso",tblMovimientos[[#This Row],[Monto (S/)]],"0")</f>
        <v>0</v>
      </c>
      <c r="O325" s="28">
        <f>IF(tblMovimientos[[#This Row],[Tipo de Movimiento]]="Egreso",tblMovimientos[[#This Row],[Monto (S/)]],"0")</f>
        <v>50</v>
      </c>
      <c r="P325" s="31">
        <f>IF(tblMovimientos[[#This Row],[Tipo de Movimiento]]="Ingreso",tblMovimientos[[#This Row],[Ingreso]],-tblMovimientos[[#This Row],[Egreso]])</f>
        <v>-50</v>
      </c>
    </row>
    <row r="326" spans="1:16" x14ac:dyDescent="0.3">
      <c r="B326" s="43">
        <v>46189</v>
      </c>
      <c r="C326" s="4" t="str">
        <f>_xlfn.XLOOKUP(tblMovimientos[[#This Row],[Cuenta Bancaria]],Listas!$B:$B,Listas!$A:$A,"")</f>
        <v>Go Blue</v>
      </c>
      <c r="D326" s="45" t="s">
        <v>126</v>
      </c>
      <c r="E326" s="54" t="str">
        <f>_xlfn.XLOOKUP(tblMovimientos[[#This Row],[Cuenta Bancaria]],Listas!$B:$B,Listas!$C:$C,"")</f>
        <v xml:space="preserve">Amerant Bank </v>
      </c>
      <c r="F326" s="45" t="s">
        <v>10</v>
      </c>
      <c r="G326" s="45" t="s">
        <v>38</v>
      </c>
      <c r="H326" s="4" t="str">
        <f>IFERROR(_xlfn.XLOOKUP(G326,Listas!E:E,Listas!F:F,""),"")</f>
        <v>Operativo</v>
      </c>
      <c r="I326" s="54" t="str">
        <f>IFERROR(_xlfn.XLOOKUP(G326,Listas!E:E,Listas!G:G,""),"")</f>
        <v>Externo</v>
      </c>
      <c r="J326" s="47">
        <v>522</v>
      </c>
      <c r="K326" s="55">
        <f t="shared" si="0"/>
        <v>-522</v>
      </c>
      <c r="L326" s="15" t="s">
        <v>128</v>
      </c>
      <c r="M326" s="48">
        <f>SUMIFS('Saldos Iniciales'!$D$2:$D$38,'Saldos Iniciales'!$A$2:$A$38,C326,'Saldos Iniciales'!$B$2:$B$38,D326)+SUMIFS($K$1:$K$359,$C$1:$C$359,C326,$D$1:$D$359,D326,$B$1:$B$359,"&lt;="&amp;B326)</f>
        <v>45519.01</v>
      </c>
      <c r="N326" s="28" t="str">
        <f>IF(tblMovimientos[[#This Row],[Tipo de Movimiento]]="Ingreso",tblMovimientos[[#This Row],[Monto (S/)]],"0")</f>
        <v>0</v>
      </c>
      <c r="O326" s="28">
        <f>IF(tblMovimientos[[#This Row],[Tipo de Movimiento]]="Egreso",tblMovimientos[[#This Row],[Monto (S/)]],"0")</f>
        <v>522</v>
      </c>
      <c r="P326" s="31">
        <f>IF(tblMovimientos[[#This Row],[Tipo de Movimiento]]="Ingreso",tblMovimientos[[#This Row],[Ingreso]],-tblMovimientos[[#This Row],[Egreso]])</f>
        <v>-522</v>
      </c>
    </row>
    <row r="327" spans="1:16" x14ac:dyDescent="0.3">
      <c r="B327" s="43">
        <v>46189</v>
      </c>
      <c r="C327" s="4" t="str">
        <f>_xlfn.XLOOKUP(tblMovimientos[[#This Row],[Cuenta Bancaria]],Listas!$B:$B,Listas!$A:$A,"")</f>
        <v>Go Blue</v>
      </c>
      <c r="D327" s="45" t="s">
        <v>126</v>
      </c>
      <c r="E327" s="54" t="str">
        <f>_xlfn.XLOOKUP(tblMovimientos[[#This Row],[Cuenta Bancaria]],Listas!$B:$B,Listas!$C:$C,"")</f>
        <v xml:space="preserve">Amerant Bank </v>
      </c>
      <c r="F327" s="45" t="s">
        <v>10</v>
      </c>
      <c r="G327" s="45" t="s">
        <v>38</v>
      </c>
      <c r="H327" s="4" t="str">
        <f>IFERROR(_xlfn.XLOOKUP(G327,Listas!E:E,Listas!F:F,""),"")</f>
        <v>Operativo</v>
      </c>
      <c r="I327" s="54" t="str">
        <f>IFERROR(_xlfn.XLOOKUP(G327,Listas!E:E,Listas!G:G,""),"")</f>
        <v>Externo</v>
      </c>
      <c r="J327" s="47">
        <v>522</v>
      </c>
      <c r="K327" s="55">
        <f t="shared" si="0"/>
        <v>-522</v>
      </c>
      <c r="L327" s="15" t="s">
        <v>128</v>
      </c>
      <c r="M327" s="48">
        <f>SUMIFS('Saldos Iniciales'!$D$2:$D$38,'Saldos Iniciales'!$A$2:$A$38,C327,'Saldos Iniciales'!$B$2:$B$38,D327)+SUMIFS($K$1:$K$359,$C$1:$C$359,C327,$D$1:$D$359,D327,$B$1:$B$359,"&lt;="&amp;B327)</f>
        <v>45519.01</v>
      </c>
      <c r="N327" s="28" t="str">
        <f>IF(tblMovimientos[[#This Row],[Tipo de Movimiento]]="Ingreso",tblMovimientos[[#This Row],[Monto (S/)]],"0")</f>
        <v>0</v>
      </c>
      <c r="O327" s="28">
        <f>IF(tblMovimientos[[#This Row],[Tipo de Movimiento]]="Egreso",tblMovimientos[[#This Row],[Monto (S/)]],"0")</f>
        <v>522</v>
      </c>
      <c r="P327" s="31">
        <f>IF(tblMovimientos[[#This Row],[Tipo de Movimiento]]="Ingreso",tblMovimientos[[#This Row],[Ingreso]],-tblMovimientos[[#This Row],[Egreso]])</f>
        <v>-522</v>
      </c>
    </row>
    <row r="328" spans="1:16" x14ac:dyDescent="0.3">
      <c r="B328" s="43">
        <v>46189</v>
      </c>
      <c r="C328" s="4" t="str">
        <f>_xlfn.XLOOKUP(tblMovimientos[[#This Row],[Cuenta Bancaria]],Listas!$B:$B,Listas!$A:$A,"")</f>
        <v>Go Blue</v>
      </c>
      <c r="D328" s="45" t="s">
        <v>126</v>
      </c>
      <c r="E328" s="54" t="str">
        <f>_xlfn.XLOOKUP(tblMovimientos[[#This Row],[Cuenta Bancaria]],Listas!$B:$B,Listas!$C:$C,"")</f>
        <v xml:space="preserve">Amerant Bank </v>
      </c>
      <c r="F328" s="45" t="s">
        <v>10</v>
      </c>
      <c r="G328" s="45" t="s">
        <v>38</v>
      </c>
      <c r="H328" s="4" t="str">
        <f>IFERROR(_xlfn.XLOOKUP(G328,Listas!E:E,Listas!F:F,""),"")</f>
        <v>Operativo</v>
      </c>
      <c r="I328" s="54" t="str">
        <f>IFERROR(_xlfn.XLOOKUP(G328,Listas!E:E,Listas!G:G,""),"")</f>
        <v>Externo</v>
      </c>
      <c r="J328" s="47">
        <v>2161.7199999999998</v>
      </c>
      <c r="K328" s="55">
        <f t="shared" si="0"/>
        <v>-2161.7199999999998</v>
      </c>
      <c r="L328" s="15" t="s">
        <v>128</v>
      </c>
      <c r="M328" s="48">
        <f>SUMIFS('Saldos Iniciales'!$D$2:$D$38,'Saldos Iniciales'!$A$2:$A$38,C328,'Saldos Iniciales'!$B$2:$B$38,D328)+SUMIFS($K$1:$K$359,$C$1:$C$359,C328,$D$1:$D$359,D328,$B$1:$B$359,"&lt;="&amp;B328)</f>
        <v>45519.01</v>
      </c>
      <c r="N328" s="28" t="str">
        <f>IF(tblMovimientos[[#This Row],[Tipo de Movimiento]]="Ingreso",tblMovimientos[[#This Row],[Monto (S/)]],"0")</f>
        <v>0</v>
      </c>
      <c r="O328" s="28">
        <f>IF(tblMovimientos[[#This Row],[Tipo de Movimiento]]="Egreso",tblMovimientos[[#This Row],[Monto (S/)]],"0")</f>
        <v>2161.7199999999998</v>
      </c>
      <c r="P328" s="31">
        <f>IF(tblMovimientos[[#This Row],[Tipo de Movimiento]]="Ingreso",tblMovimientos[[#This Row],[Ingreso]],-tblMovimientos[[#This Row],[Egreso]])</f>
        <v>-2161.7199999999998</v>
      </c>
    </row>
    <row r="329" spans="1:16" x14ac:dyDescent="0.3">
      <c r="B329" s="43">
        <v>46188</v>
      </c>
      <c r="C329" s="54" t="str">
        <f>_xlfn.XLOOKUP(tblMovimientos[[#This Row],[Cuenta Bancaria]],Listas!$B:$B,Listas!$A:$A,"")</f>
        <v>SSP Capital</v>
      </c>
      <c r="D329" s="45" t="s">
        <v>102</v>
      </c>
      <c r="E329" s="54" t="str">
        <f>_xlfn.XLOOKUP(tblMovimientos[[#This Row],[Cuenta Bancaria]],Listas!$B:$B,Listas!$C:$C,"")</f>
        <v>Bank of America</v>
      </c>
      <c r="F329" s="45" t="s">
        <v>10</v>
      </c>
      <c r="G329" s="45" t="s">
        <v>44</v>
      </c>
      <c r="H329" s="4" t="str">
        <f>IFERROR(_xlfn.XLOOKUP(G329,Listas!E:E,Listas!F:F,""),"")</f>
        <v>Operativo</v>
      </c>
      <c r="I329" s="54" t="str">
        <f>IFERROR(_xlfn.XLOOKUP(G329,Listas!E:E,Listas!G:G,""),"")</f>
        <v>Externo</v>
      </c>
      <c r="J329" s="47">
        <v>29.42</v>
      </c>
      <c r="K329" s="55">
        <f t="shared" si="0"/>
        <v>-29.42</v>
      </c>
      <c r="L329" s="15" t="s">
        <v>128</v>
      </c>
      <c r="M329" s="48">
        <f>SUMIFS('Saldos Iniciales'!$D$2:$D$38,'Saldos Iniciales'!$A$2:$A$38,C329,'Saldos Iniciales'!$B$2:$B$38,D329)+SUMIFS($K$1:$K$359,$C$1:$C$359,C329,$D$1:$D$359,D329,$B$1:$B$359,"&lt;="&amp;B329)</f>
        <v>533.58000000000004</v>
      </c>
      <c r="N329" s="28" t="str">
        <f>IF(tblMovimientos[[#This Row],[Tipo de Movimiento]]="Ingreso",tblMovimientos[[#This Row],[Monto (S/)]],"0")</f>
        <v>0</v>
      </c>
      <c r="O329" s="28">
        <f>IF(tblMovimientos[[#This Row],[Tipo de Movimiento]]="Egreso",tblMovimientos[[#This Row],[Monto (S/)]],"0")</f>
        <v>29.42</v>
      </c>
      <c r="P329" s="31">
        <f>IF(tblMovimientos[[#This Row],[Tipo de Movimiento]]="Ingreso",tblMovimientos[[#This Row],[Ingreso]],-tblMovimientos[[#This Row],[Egreso]])</f>
        <v>-29.42</v>
      </c>
    </row>
    <row r="330" spans="1:16" x14ac:dyDescent="0.3">
      <c r="B330" s="43">
        <v>46188</v>
      </c>
      <c r="C330" s="4" t="str">
        <f>_xlfn.XLOOKUP(tblMovimientos[[#This Row],[Cuenta Bancaria]],Listas!$B:$B,Listas!$A:$A,"")</f>
        <v>A&amp;M Imports</v>
      </c>
      <c r="D330" s="45" t="s">
        <v>100</v>
      </c>
      <c r="E330" s="54" t="str">
        <f>_xlfn.XLOOKUP(tblMovimientos[[#This Row],[Cuenta Bancaria]],Listas!$B:$B,Listas!$C:$C,"")</f>
        <v>Bank of America</v>
      </c>
      <c r="F330" s="45" t="s">
        <v>10</v>
      </c>
      <c r="G330" s="45" t="s">
        <v>61</v>
      </c>
      <c r="H330" s="4" t="str">
        <f>IFERROR(_xlfn.XLOOKUP(G330,Listas!E:E,Listas!F:F,""),"")</f>
        <v>Operativo</v>
      </c>
      <c r="I330" s="54" t="str">
        <f>IFERROR(_xlfn.XLOOKUP(G330,Listas!E:E,Listas!G:G,""),"")</f>
        <v>Externo</v>
      </c>
      <c r="J330" s="47">
        <v>60000</v>
      </c>
      <c r="K330" s="55">
        <f t="shared" si="0"/>
        <v>-60000</v>
      </c>
      <c r="L330" s="15" t="s">
        <v>128</v>
      </c>
      <c r="M330" s="48">
        <f>SUMIFS('Saldos Iniciales'!$D$2:$D$38,'Saldos Iniciales'!$A$2:$A$38,C330,'Saldos Iniciales'!$B$2:$B$38,D330)+SUMIFS($K$1:$K$359,$C$1:$C$359,C330,$D$1:$D$359,D330,$B$1:$B$359,"&lt;="&amp;B330)</f>
        <v>503904.80999999982</v>
      </c>
      <c r="N330" s="28" t="str">
        <f>IF(tblMovimientos[[#This Row],[Tipo de Movimiento]]="Ingreso",tblMovimientos[[#This Row],[Monto (S/)]],"0")</f>
        <v>0</v>
      </c>
      <c r="O330" s="28">
        <f>IF(tblMovimientos[[#This Row],[Tipo de Movimiento]]="Egreso",tblMovimientos[[#This Row],[Monto (S/)]],"0")</f>
        <v>60000</v>
      </c>
      <c r="P330" s="31">
        <f>IF(tblMovimientos[[#This Row],[Tipo de Movimiento]]="Ingreso",tblMovimientos[[#This Row],[Ingreso]],-tblMovimientos[[#This Row],[Egreso]])</f>
        <v>-60000</v>
      </c>
    </row>
    <row r="331" spans="1:16" x14ac:dyDescent="0.3">
      <c r="B331" s="43">
        <v>46188</v>
      </c>
      <c r="C331" s="4" t="str">
        <f>_xlfn.XLOOKUP(tblMovimientos[[#This Row],[Cuenta Bancaria]],Listas!$B:$B,Listas!$A:$A,"")</f>
        <v>A&amp;M Imports</v>
      </c>
      <c r="D331" s="45" t="s">
        <v>100</v>
      </c>
      <c r="E331" s="54" t="str">
        <f>_xlfn.XLOOKUP(tblMovimientos[[#This Row],[Cuenta Bancaria]],Listas!$B:$B,Listas!$C:$C,"")</f>
        <v>Bank of America</v>
      </c>
      <c r="F331" s="45" t="s">
        <v>10</v>
      </c>
      <c r="G331" s="45" t="s">
        <v>44</v>
      </c>
      <c r="H331" s="4" t="str">
        <f>IFERROR(_xlfn.XLOOKUP(G331,Listas!E:E,Listas!F:F,""),"")</f>
        <v>Operativo</v>
      </c>
      <c r="I331" s="54" t="str">
        <f>IFERROR(_xlfn.XLOOKUP(G331,Listas!E:E,Listas!G:G,""),"")</f>
        <v>Externo</v>
      </c>
      <c r="J331" s="47">
        <v>721.4</v>
      </c>
      <c r="K331" s="55">
        <f t="shared" si="0"/>
        <v>-721.4</v>
      </c>
      <c r="L331" s="15" t="s">
        <v>128</v>
      </c>
      <c r="M331" s="48">
        <f>SUMIFS('Saldos Iniciales'!$D$2:$D$38,'Saldos Iniciales'!$A$2:$A$38,C331,'Saldos Iniciales'!$B$2:$B$38,D331)+SUMIFS($K$1:$K$359,$C$1:$C$359,C331,$D$1:$D$359,D331,$B$1:$B$359,"&lt;="&amp;B331)</f>
        <v>503904.80999999982</v>
      </c>
      <c r="N331" s="28" t="str">
        <f>IF(tblMovimientos[[#This Row],[Tipo de Movimiento]]="Ingreso",tblMovimientos[[#This Row],[Monto (S/)]],"0")</f>
        <v>0</v>
      </c>
      <c r="O331" s="28">
        <f>IF(tblMovimientos[[#This Row],[Tipo de Movimiento]]="Egreso",tblMovimientos[[#This Row],[Monto (S/)]],"0")</f>
        <v>721.4</v>
      </c>
      <c r="P331" s="31">
        <f>IF(tblMovimientos[[#This Row],[Tipo de Movimiento]]="Ingreso",tblMovimientos[[#This Row],[Ingreso]],-tblMovimientos[[#This Row],[Egreso]])</f>
        <v>-721.4</v>
      </c>
    </row>
    <row r="332" spans="1:16" x14ac:dyDescent="0.3">
      <c r="B332" s="43">
        <v>46188</v>
      </c>
      <c r="C332" s="4" t="str">
        <f>_xlfn.XLOOKUP(tblMovimientos[[#This Row],[Cuenta Bancaria]],Listas!$B:$B,Listas!$A:$A,"")</f>
        <v>CFT Group</v>
      </c>
      <c r="D332" s="45" t="s">
        <v>94</v>
      </c>
      <c r="E332" s="54" t="str">
        <f>_xlfn.XLOOKUP(tblMovimientos[[#This Row],[Cuenta Bancaria]],Listas!$B:$B,Listas!$C:$C,"")</f>
        <v>Bank of America</v>
      </c>
      <c r="F332" s="45" t="s">
        <v>10</v>
      </c>
      <c r="G332" s="45" t="s">
        <v>64</v>
      </c>
      <c r="H332" s="4" t="str">
        <f>IFERROR(_xlfn.XLOOKUP(G332,Listas!E:E,Listas!F:F,""),"")</f>
        <v>Operativo</v>
      </c>
      <c r="I332" s="54" t="str">
        <f>IFERROR(_xlfn.XLOOKUP(G332,Listas!E:E,Listas!G:G,""),"")</f>
        <v>Interno</v>
      </c>
      <c r="J332" s="47">
        <v>270000</v>
      </c>
      <c r="K332" s="55">
        <f t="shared" si="0"/>
        <v>-270000</v>
      </c>
      <c r="L332" s="15" t="s">
        <v>128</v>
      </c>
      <c r="M332" s="48">
        <f>SUMIFS('Saldos Iniciales'!$D$2:$D$38,'Saldos Iniciales'!$A$2:$A$38,C332,'Saldos Iniciales'!$B$2:$B$38,D332)+SUMIFS($K$1:$K$359,$C$1:$C$359,C332,$D$1:$D$359,D332,$B$1:$B$359,"&lt;="&amp;B332)</f>
        <v>11841.389999999985</v>
      </c>
      <c r="N332" s="28" t="str">
        <f>IF(tblMovimientos[[#This Row],[Tipo de Movimiento]]="Ingreso",tblMovimientos[[#This Row],[Monto (S/)]],"0")</f>
        <v>0</v>
      </c>
      <c r="O332" s="28">
        <f>IF(tblMovimientos[[#This Row],[Tipo de Movimiento]]="Egreso",tblMovimientos[[#This Row],[Monto (S/)]],"0")</f>
        <v>270000</v>
      </c>
      <c r="P332" s="31">
        <f>IF(tblMovimientos[[#This Row],[Tipo de Movimiento]]="Ingreso",tblMovimientos[[#This Row],[Ingreso]],-tblMovimientos[[#This Row],[Egreso]])</f>
        <v>-270000</v>
      </c>
    </row>
    <row r="333" spans="1:16" x14ac:dyDescent="0.3">
      <c r="B333" s="43">
        <v>46188</v>
      </c>
      <c r="C333" s="54" t="str">
        <f>_xlfn.XLOOKUP(tblMovimientos[[#This Row],[Cuenta Bancaria]],Listas!$B:$B,Listas!$A:$A,"")</f>
        <v>CFT Group</v>
      </c>
      <c r="D333" s="45" t="s">
        <v>94</v>
      </c>
      <c r="E333" s="54" t="str">
        <f>_xlfn.XLOOKUP(tblMovimientos[[#This Row],[Cuenta Bancaria]],Listas!$B:$B,Listas!$C:$C,"")</f>
        <v>Bank of America</v>
      </c>
      <c r="F333" s="45" t="s">
        <v>10</v>
      </c>
      <c r="G333" s="45" t="s">
        <v>62</v>
      </c>
      <c r="H333" s="4" t="str">
        <f>IFERROR(_xlfn.XLOOKUP(G333,Listas!E:E,Listas!F:F,""),"")</f>
        <v>Operativo</v>
      </c>
      <c r="I333" s="54" t="str">
        <f>IFERROR(_xlfn.XLOOKUP(G333,Listas!E:E,Listas!G:G,""),"")</f>
        <v>Interno</v>
      </c>
      <c r="J333" s="47">
        <v>12000</v>
      </c>
      <c r="K333" s="55">
        <f t="shared" si="0"/>
        <v>-12000</v>
      </c>
      <c r="L333" s="15" t="s">
        <v>128</v>
      </c>
      <c r="M333" s="48">
        <f>SUMIFS('Saldos Iniciales'!$D$2:$D$38,'Saldos Iniciales'!$A$2:$A$38,C333,'Saldos Iniciales'!$B$2:$B$38,D333)+SUMIFS($K$1:$K$359,$C$1:$C$359,C333,$D$1:$D$359,D333,$B$1:$B$359,"&lt;="&amp;B333)</f>
        <v>11841.389999999985</v>
      </c>
      <c r="N333" s="28" t="str">
        <f>IF(tblMovimientos[[#This Row],[Tipo de Movimiento]]="Ingreso",tblMovimientos[[#This Row],[Monto (S/)]],"0")</f>
        <v>0</v>
      </c>
      <c r="O333" s="28">
        <f>IF(tblMovimientos[[#This Row],[Tipo de Movimiento]]="Egreso",tblMovimientos[[#This Row],[Monto (S/)]],"0")</f>
        <v>12000</v>
      </c>
      <c r="P333" s="31">
        <f>IF(tblMovimientos[[#This Row],[Tipo de Movimiento]]="Ingreso",tblMovimientos[[#This Row],[Ingreso]],-tblMovimientos[[#This Row],[Egreso]])</f>
        <v>-12000</v>
      </c>
    </row>
    <row r="334" spans="1:16" x14ac:dyDescent="0.3">
      <c r="B334" s="43">
        <v>46188</v>
      </c>
      <c r="C334" s="4" t="str">
        <f>_xlfn.XLOOKUP(tblMovimientos[[#This Row],[Cuenta Bancaria]],Listas!$B:$B,Listas!$A:$A,"")</f>
        <v>CFT Group</v>
      </c>
      <c r="D334" s="45" t="s">
        <v>94</v>
      </c>
      <c r="E334" s="54" t="str">
        <f>_xlfn.XLOOKUP(tblMovimientos[[#This Row],[Cuenta Bancaria]],Listas!$B:$B,Listas!$C:$C,"")</f>
        <v>Bank of America</v>
      </c>
      <c r="F334" s="45" t="s">
        <v>10</v>
      </c>
      <c r="G334" s="45" t="s">
        <v>62</v>
      </c>
      <c r="H334" s="4" t="str">
        <f>IFERROR(_xlfn.XLOOKUP(G334,Listas!E:E,Listas!F:F,""),"")</f>
        <v>Operativo</v>
      </c>
      <c r="I334" s="54" t="str">
        <f>IFERROR(_xlfn.XLOOKUP(G334,Listas!E:E,Listas!G:G,""),"")</f>
        <v>Interno</v>
      </c>
      <c r="J334" s="47">
        <v>15000</v>
      </c>
      <c r="K334" s="55">
        <f t="shared" si="0"/>
        <v>-15000</v>
      </c>
      <c r="L334" s="15" t="s">
        <v>128</v>
      </c>
      <c r="M334" s="48">
        <f>SUMIFS('Saldos Iniciales'!$D$2:$D$38,'Saldos Iniciales'!$A$2:$A$38,C334,'Saldos Iniciales'!$B$2:$B$38,D334)+SUMIFS($K$1:$K$359,$C$1:$C$359,C334,$D$1:$D$359,D334,$B$1:$B$359,"&lt;="&amp;B334)</f>
        <v>11841.389999999985</v>
      </c>
      <c r="N334" s="28" t="str">
        <f>IF(tblMovimientos[[#This Row],[Tipo de Movimiento]]="Ingreso",tblMovimientos[[#This Row],[Monto (S/)]],"0")</f>
        <v>0</v>
      </c>
      <c r="O334" s="28">
        <f>IF(tblMovimientos[[#This Row],[Tipo de Movimiento]]="Egreso",tblMovimientos[[#This Row],[Monto (S/)]],"0")</f>
        <v>15000</v>
      </c>
      <c r="P334" s="31">
        <f>IF(tblMovimientos[[#This Row],[Tipo de Movimiento]]="Ingreso",tblMovimientos[[#This Row],[Ingreso]],-tblMovimientos[[#This Row],[Egreso]])</f>
        <v>-15000</v>
      </c>
    </row>
    <row r="335" spans="1:16" x14ac:dyDescent="0.3">
      <c r="A335" s="53"/>
      <c r="B335" s="43">
        <v>46188</v>
      </c>
      <c r="C335" s="4" t="str">
        <f>_xlfn.XLOOKUP(tblMovimientos[[#This Row],[Cuenta Bancaria]],Listas!$B:$B,Listas!$A:$A,"")</f>
        <v>2515 Overbrook</v>
      </c>
      <c r="D335" s="45" t="s">
        <v>121</v>
      </c>
      <c r="E335" s="54" t="str">
        <f>_xlfn.XLOOKUP(tblMovimientos[[#This Row],[Cuenta Bancaria]],Listas!$B:$B,Listas!$C:$C,"")</f>
        <v>Bank of America</v>
      </c>
      <c r="F335" s="45" t="s">
        <v>9</v>
      </c>
      <c r="G335" s="45" t="s">
        <v>81</v>
      </c>
      <c r="H335" s="4" t="str">
        <f>IFERROR(_xlfn.XLOOKUP(G335,Listas!E:E,Listas!F:F,""),"")</f>
        <v>Operativo</v>
      </c>
      <c r="I335" s="54" t="str">
        <f>IFERROR(_xlfn.XLOOKUP(G335,Listas!E:E,Listas!G:G,""),"")</f>
        <v>Externo</v>
      </c>
      <c r="J335" s="47">
        <v>2000</v>
      </c>
      <c r="K335" s="55">
        <f t="shared" si="0"/>
        <v>2000</v>
      </c>
      <c r="L335" s="15" t="s">
        <v>128</v>
      </c>
      <c r="M335" s="48">
        <f>SUMIFS('Saldos Iniciales'!$D$2:$D$38,'Saldos Iniciales'!$A$2:$A$38,C335,'Saldos Iniciales'!$B$2:$B$38,D335)+SUMIFS($K$1:$K$359,$C$1:$C$359,C335,$D$1:$D$359,D335,$B$1:$B$359,"&lt;="&amp;B335)</f>
        <v>29459.549999999963</v>
      </c>
      <c r="N335" s="28">
        <f>IF(tblMovimientos[[#This Row],[Tipo de Movimiento]]="Ingreso",tblMovimientos[[#This Row],[Monto (S/)]],"0")</f>
        <v>2000</v>
      </c>
      <c r="O335" s="28" t="str">
        <f>IF(tblMovimientos[[#This Row],[Tipo de Movimiento]]="Egreso",tblMovimientos[[#This Row],[Monto (S/)]],"0")</f>
        <v>0</v>
      </c>
      <c r="P335" s="31">
        <f>IF(tblMovimientos[[#This Row],[Tipo de Movimiento]]="Ingreso",tblMovimientos[[#This Row],[Ingreso]],-tblMovimientos[[#This Row],[Egreso]])</f>
        <v>2000</v>
      </c>
    </row>
    <row r="336" spans="1:16" x14ac:dyDescent="0.3">
      <c r="B336" s="43">
        <v>46189</v>
      </c>
      <c r="C336" s="4" t="str">
        <f>_xlfn.XLOOKUP(tblMovimientos[[#This Row],[Cuenta Bancaria]],Listas!$B:$B,Listas!$A:$A,"")</f>
        <v>SSP Capital</v>
      </c>
      <c r="D336" s="45" t="s">
        <v>101</v>
      </c>
      <c r="E336" s="4" t="str">
        <f>_xlfn.XLOOKUP(tblMovimientos[[#This Row],[Cuenta Bancaria]],Listas!$B:$B,Listas!$C:$C,"")</f>
        <v>Bank of America</v>
      </c>
      <c r="F336" s="45" t="s">
        <v>10</v>
      </c>
      <c r="G336" s="45" t="s">
        <v>38</v>
      </c>
      <c r="H336" s="4" t="str">
        <f>IFERROR(_xlfn.XLOOKUP(G336,Listas!E:E,Listas!F:F,""),"")</f>
        <v>Operativo</v>
      </c>
      <c r="I336" s="54" t="str">
        <f>IFERROR(_xlfn.XLOOKUP(G336,Listas!E:E,Listas!G:G,""),"")</f>
        <v>Externo</v>
      </c>
      <c r="J336" s="47">
        <v>2490.36</v>
      </c>
      <c r="K336" s="55">
        <f t="shared" si="0"/>
        <v>-2490.36</v>
      </c>
      <c r="L336" s="15" t="s">
        <v>128</v>
      </c>
      <c r="M336" s="48">
        <f>SUMIFS('Saldos Iniciales'!$D$2:$D$38,'Saldos Iniciales'!$A$2:$A$38,C336,'Saldos Iniciales'!$B$2:$B$38,D336)+SUMIFS($K$1:$K$359,$C$1:$C$359,C336,$D$1:$D$359,D336,$B$1:$B$359,"&lt;="&amp;B336)</f>
        <v>12471.52</v>
      </c>
      <c r="N336" s="28" t="str">
        <f>IF(tblMovimientos[[#This Row],[Tipo de Movimiento]]="Ingreso",tblMovimientos[[#This Row],[Monto (S/)]],"0")</f>
        <v>0</v>
      </c>
      <c r="O336" s="28">
        <f>IF(tblMovimientos[[#This Row],[Tipo de Movimiento]]="Egreso",tblMovimientos[[#This Row],[Monto (S/)]],"0")</f>
        <v>2490.36</v>
      </c>
      <c r="P336" s="31">
        <f>IF(tblMovimientos[[#This Row],[Tipo de Movimiento]]="Ingreso",tblMovimientos[[#This Row],[Ingreso]],-tblMovimientos[[#This Row],[Egreso]])</f>
        <v>-2490.36</v>
      </c>
    </row>
    <row r="337" spans="1:16" x14ac:dyDescent="0.3">
      <c r="B337" s="43">
        <v>46189</v>
      </c>
      <c r="C337" s="4" t="str">
        <f>_xlfn.XLOOKUP(tblMovimientos[[#This Row],[Cuenta Bancaria]],Listas!$B:$B,Listas!$A:$A,"")</f>
        <v>CFT Group</v>
      </c>
      <c r="D337" s="45" t="s">
        <v>94</v>
      </c>
      <c r="E337" s="4" t="str">
        <f>_xlfn.XLOOKUP(tblMovimientos[[#This Row],[Cuenta Bancaria]],Listas!$B:$B,Listas!$C:$C,"")</f>
        <v>Bank of America</v>
      </c>
      <c r="F337" s="45" t="s">
        <v>9</v>
      </c>
      <c r="G337" s="45" t="s">
        <v>72</v>
      </c>
      <c r="H337" s="4" t="str">
        <f>IFERROR(_xlfn.XLOOKUP(G337,Listas!E:E,Listas!F:F,""),"")</f>
        <v>Operativo</v>
      </c>
      <c r="I337" s="54" t="str">
        <f>IFERROR(_xlfn.XLOOKUP(G337,Listas!E:E,Listas!G:G,""),"")</f>
        <v>Externo</v>
      </c>
      <c r="J337" s="47">
        <v>100392.81</v>
      </c>
      <c r="K337" s="55">
        <f t="shared" si="0"/>
        <v>100392.81</v>
      </c>
      <c r="L337" s="15" t="s">
        <v>128</v>
      </c>
      <c r="M337" s="48">
        <f>SUMIFS('Saldos Iniciales'!$D$2:$D$38,'Saldos Iniciales'!$A$2:$A$38,C337,'Saldos Iniciales'!$B$2:$B$38,D337)+SUMIFS($K$1:$K$359,$C$1:$C$359,C337,$D$1:$D$359,D337,$B$1:$B$359,"&lt;="&amp;B337)</f>
        <v>112224.19999999998</v>
      </c>
      <c r="N337" s="28">
        <f>IF(tblMovimientos[[#This Row],[Tipo de Movimiento]]="Ingreso",tblMovimientos[[#This Row],[Monto (S/)]],"0")</f>
        <v>100392.81</v>
      </c>
      <c r="O337" s="28" t="str">
        <f>IF(tblMovimientos[[#This Row],[Tipo de Movimiento]]="Egreso",tblMovimientos[[#This Row],[Monto (S/)]],"0")</f>
        <v>0</v>
      </c>
      <c r="P337" s="31">
        <f>IF(tblMovimientos[[#This Row],[Tipo de Movimiento]]="Ingreso",tblMovimientos[[#This Row],[Ingreso]],-tblMovimientos[[#This Row],[Egreso]])</f>
        <v>100392.81</v>
      </c>
    </row>
    <row r="338" spans="1:16" x14ac:dyDescent="0.3">
      <c r="B338" s="43">
        <v>46189</v>
      </c>
      <c r="C338" s="4" t="str">
        <f>_xlfn.XLOOKUP(tblMovimientos[[#This Row],[Cuenta Bancaria]],Listas!$B:$B,Listas!$A:$A,"")</f>
        <v>CFT Group</v>
      </c>
      <c r="D338" s="45" t="s">
        <v>94</v>
      </c>
      <c r="E338" s="4" t="str">
        <f>_xlfn.XLOOKUP(tblMovimientos[[#This Row],[Cuenta Bancaria]],Listas!$B:$B,Listas!$C:$C,"")</f>
        <v>Bank of America</v>
      </c>
      <c r="F338" s="45" t="s">
        <v>10</v>
      </c>
      <c r="G338" s="45" t="s">
        <v>44</v>
      </c>
      <c r="H338" s="4" t="str">
        <f>IFERROR(_xlfn.XLOOKUP(G338,Listas!E:E,Listas!F:F,""),"")</f>
        <v>Operativo</v>
      </c>
      <c r="I338" s="54" t="str">
        <f>IFERROR(_xlfn.XLOOKUP(G338,Listas!E:E,Listas!G:G,""),"")</f>
        <v>Externo</v>
      </c>
      <c r="J338" s="47">
        <v>5</v>
      </c>
      <c r="K338" s="55">
        <f t="shared" si="0"/>
        <v>-5</v>
      </c>
      <c r="L338" s="15" t="s">
        <v>128</v>
      </c>
      <c r="M338" s="48">
        <f>SUMIFS('Saldos Iniciales'!$D$2:$D$38,'Saldos Iniciales'!$A$2:$A$38,C338,'Saldos Iniciales'!$B$2:$B$38,D338)+SUMIFS($K$1:$K$359,$C$1:$C$359,C338,$D$1:$D$359,D338,$B$1:$B$359,"&lt;="&amp;B338)</f>
        <v>112224.19999999998</v>
      </c>
      <c r="N338" s="28" t="str">
        <f>IF(tblMovimientos[[#This Row],[Tipo de Movimiento]]="Ingreso",tblMovimientos[[#This Row],[Monto (S/)]],"0")</f>
        <v>0</v>
      </c>
      <c r="O338" s="28">
        <f>IF(tblMovimientos[[#This Row],[Tipo de Movimiento]]="Egreso",tblMovimientos[[#This Row],[Monto (S/)]],"0")</f>
        <v>5</v>
      </c>
      <c r="P338" s="31">
        <f>IF(tblMovimientos[[#This Row],[Tipo de Movimiento]]="Ingreso",tblMovimientos[[#This Row],[Ingreso]],-tblMovimientos[[#This Row],[Egreso]])</f>
        <v>-5</v>
      </c>
    </row>
    <row r="339" spans="1:16" x14ac:dyDescent="0.3">
      <c r="B339" s="43">
        <v>46189</v>
      </c>
      <c r="C339" s="4" t="str">
        <f>_xlfn.XLOOKUP(tblMovimientos[[#This Row],[Cuenta Bancaria]],Listas!$B:$B,Listas!$A:$A,"")</f>
        <v>CFT Group</v>
      </c>
      <c r="D339" s="45" t="s">
        <v>94</v>
      </c>
      <c r="E339" s="4" t="str">
        <f>_xlfn.XLOOKUP(tblMovimientos[[#This Row],[Cuenta Bancaria]],Listas!$B:$B,Listas!$C:$C,"")</f>
        <v>Bank of America</v>
      </c>
      <c r="F339" s="45" t="s">
        <v>10</v>
      </c>
      <c r="G339" s="45" t="s">
        <v>44</v>
      </c>
      <c r="H339" s="4" t="str">
        <f>IFERROR(_xlfn.XLOOKUP(G339,Listas!E:E,Listas!F:F,""),"")</f>
        <v>Operativo</v>
      </c>
      <c r="I339" s="54" t="str">
        <f>IFERROR(_xlfn.XLOOKUP(G339,Listas!E:E,Listas!G:G,""),"")</f>
        <v>Externo</v>
      </c>
      <c r="J339" s="47">
        <v>5</v>
      </c>
      <c r="K339" s="55">
        <f t="shared" si="0"/>
        <v>-5</v>
      </c>
      <c r="L339" s="15" t="s">
        <v>128</v>
      </c>
      <c r="M339" s="48">
        <f>SUMIFS('Saldos Iniciales'!$D$2:$D$38,'Saldos Iniciales'!$A$2:$A$38,C339,'Saldos Iniciales'!$B$2:$B$38,D339)+SUMIFS($K$1:$K$359,$C$1:$C$359,C339,$D$1:$D$359,D339,$B$1:$B$359,"&lt;="&amp;B339)</f>
        <v>112224.19999999998</v>
      </c>
      <c r="N339" s="28" t="str">
        <f>IF(tblMovimientos[[#This Row],[Tipo de Movimiento]]="Ingreso",tblMovimientos[[#This Row],[Monto (S/)]],"0")</f>
        <v>0</v>
      </c>
      <c r="O339" s="28">
        <f>IF(tblMovimientos[[#This Row],[Tipo de Movimiento]]="Egreso",tblMovimientos[[#This Row],[Monto (S/)]],"0")</f>
        <v>5</v>
      </c>
      <c r="P339" s="31">
        <f>IF(tblMovimientos[[#This Row],[Tipo de Movimiento]]="Ingreso",tblMovimientos[[#This Row],[Ingreso]],-tblMovimientos[[#This Row],[Egreso]])</f>
        <v>-5</v>
      </c>
    </row>
    <row r="340" spans="1:16" x14ac:dyDescent="0.3">
      <c r="B340" s="43">
        <v>46189</v>
      </c>
      <c r="C340" s="4" t="str">
        <f>_xlfn.XLOOKUP(tblMovimientos[[#This Row],[Cuenta Bancaria]],Listas!$B:$B,Listas!$A:$A,"")</f>
        <v>112 Florida Ave</v>
      </c>
      <c r="D340" s="45" t="s">
        <v>123</v>
      </c>
      <c r="E340" s="4" t="str">
        <f>_xlfn.XLOOKUP(tblMovimientos[[#This Row],[Cuenta Bancaria]],Listas!$B:$B,Listas!$C:$C,"")</f>
        <v>Bank of America</v>
      </c>
      <c r="F340" s="45" t="s">
        <v>9</v>
      </c>
      <c r="G340" s="45" t="s">
        <v>75</v>
      </c>
      <c r="H340" s="4" t="str">
        <f>IFERROR(_xlfn.XLOOKUP(G340,Listas!E:E,Listas!F:F,""),"")</f>
        <v>Financiamiento</v>
      </c>
      <c r="I340" s="54" t="str">
        <f>IFERROR(_xlfn.XLOOKUP(G340,Listas!E:E,Listas!G:G,""),"")</f>
        <v>Interno</v>
      </c>
      <c r="J340" s="47">
        <v>15000</v>
      </c>
      <c r="K340" s="55">
        <f t="shared" si="0"/>
        <v>15000</v>
      </c>
      <c r="L340" s="15" t="s">
        <v>128</v>
      </c>
      <c r="M340" s="48">
        <f>SUMIFS('Saldos Iniciales'!$D$2:$D$38,'Saldos Iniciales'!$A$2:$A$38,C340,'Saldos Iniciales'!$B$2:$B$38,D340)+SUMIFS($K$1:$K$359,$C$1:$C$359,C340,$D$1:$D$359,D340,$B$1:$B$359,"&lt;="&amp;B340)</f>
        <v>20321.43</v>
      </c>
      <c r="N340" s="28">
        <f>IF(tblMovimientos[[#This Row],[Tipo de Movimiento]]="Ingreso",tblMovimientos[[#This Row],[Monto (S/)]],"0")</f>
        <v>15000</v>
      </c>
      <c r="O340" s="28" t="str">
        <f>IF(tblMovimientos[[#This Row],[Tipo de Movimiento]]="Egreso",tblMovimientos[[#This Row],[Monto (S/)]],"0")</f>
        <v>0</v>
      </c>
      <c r="P340" s="31">
        <f>IF(tblMovimientos[[#This Row],[Tipo de Movimiento]]="Ingreso",tblMovimientos[[#This Row],[Ingreso]],-tblMovimientos[[#This Row],[Egreso]])</f>
        <v>15000</v>
      </c>
    </row>
    <row r="341" spans="1:16" x14ac:dyDescent="0.3">
      <c r="B341" s="43">
        <v>46188</v>
      </c>
      <c r="C341" s="4" t="str">
        <f>_xlfn.XLOOKUP(tblMovimientos[[#This Row],[Cuenta Bancaria]],Listas!$B:$B,Listas!$A:$A,"")</f>
        <v>3628 Thomas Ave</v>
      </c>
      <c r="D341" s="45" t="s">
        <v>124</v>
      </c>
      <c r="E341" s="4" t="str">
        <f>_xlfn.XLOOKUP(tblMovimientos[[#This Row],[Cuenta Bancaria]],Listas!$B:$B,Listas!$C:$C,"")</f>
        <v>Bank of America</v>
      </c>
      <c r="F341" s="45" t="s">
        <v>10</v>
      </c>
      <c r="G341" s="45" t="s">
        <v>38</v>
      </c>
      <c r="H341" s="4" t="str">
        <f>IFERROR(_xlfn.XLOOKUP(G341,Listas!E:E,Listas!F:F,""),"")</f>
        <v>Operativo</v>
      </c>
      <c r="I341" s="54" t="str">
        <f>IFERROR(_xlfn.XLOOKUP(G341,Listas!E:E,Listas!G:G,""),"")</f>
        <v>Externo</v>
      </c>
      <c r="J341" s="47">
        <v>4000</v>
      </c>
      <c r="K341" s="55">
        <f t="shared" si="0"/>
        <v>-4000</v>
      </c>
      <c r="L341" s="15" t="s">
        <v>128</v>
      </c>
      <c r="M341" s="48">
        <f>SUMIFS('Saldos Iniciales'!$D$2:$D$38,'Saldos Iniciales'!$A$2:$A$38,C341,'Saldos Iniciales'!$B$2:$B$38,D341)+SUMIFS($K$1:$K$359,$C$1:$C$359,C341,$D$1:$D$359,D341,$B$1:$B$359,"&lt;="&amp;B341)</f>
        <v>20484.849999999999</v>
      </c>
      <c r="N341" s="28" t="str">
        <f>IF(tblMovimientos[[#This Row],[Tipo de Movimiento]]="Ingreso",tblMovimientos[[#This Row],[Monto (S/)]],"0")</f>
        <v>0</v>
      </c>
      <c r="O341" s="28">
        <f>IF(tblMovimientos[[#This Row],[Tipo de Movimiento]]="Egreso",tblMovimientos[[#This Row],[Monto (S/)]],"0")</f>
        <v>4000</v>
      </c>
      <c r="P341" s="31">
        <f>IF(tblMovimientos[[#This Row],[Tipo de Movimiento]]="Ingreso",tblMovimientos[[#This Row],[Ingreso]],-tblMovimientos[[#This Row],[Egreso]])</f>
        <v>-4000</v>
      </c>
    </row>
    <row r="342" spans="1:16" x14ac:dyDescent="0.3">
      <c r="B342" s="43">
        <v>46189</v>
      </c>
      <c r="C342" s="4" t="str">
        <f>_xlfn.XLOOKUP(tblMovimientos[[#This Row],[Cuenta Bancaria]],Listas!$B:$B,Listas!$A:$A,"")</f>
        <v>3628 Thomas Ave</v>
      </c>
      <c r="D342" s="45" t="s">
        <v>124</v>
      </c>
      <c r="E342" s="4" t="str">
        <f>_xlfn.XLOOKUP(tblMovimientos[[#This Row],[Cuenta Bancaria]],Listas!$B:$B,Listas!$C:$C,"")</f>
        <v>Bank of America</v>
      </c>
      <c r="F342" s="45" t="s">
        <v>10</v>
      </c>
      <c r="G342" s="45" t="s">
        <v>38</v>
      </c>
      <c r="H342" s="4" t="str">
        <f>IFERROR(_xlfn.XLOOKUP(G342,Listas!E:E,Listas!F:F,""),"")</f>
        <v>Operativo</v>
      </c>
      <c r="I342" s="54" t="str">
        <f>IFERROR(_xlfn.XLOOKUP(G342,Listas!E:E,Listas!G:G,""),"")</f>
        <v>Externo</v>
      </c>
      <c r="J342" s="47">
        <v>173.5</v>
      </c>
      <c r="K342" s="55">
        <f t="shared" si="0"/>
        <v>-173.5</v>
      </c>
      <c r="L342" s="15" t="s">
        <v>128</v>
      </c>
      <c r="M342" s="48">
        <f>SUMIFS('Saldos Iniciales'!$D$2:$D$38,'Saldos Iniciales'!$A$2:$A$38,C342,'Saldos Iniciales'!$B$2:$B$38,D342)+SUMIFS($K$1:$K$359,$C$1:$C$359,C342,$D$1:$D$359,D342,$B$1:$B$359,"&lt;="&amp;B342)</f>
        <v>19811.349999999999</v>
      </c>
      <c r="N342" s="28" t="str">
        <f>IF(tblMovimientos[[#This Row],[Tipo de Movimiento]]="Ingreso",tblMovimientos[[#This Row],[Monto (S/)]],"0")</f>
        <v>0</v>
      </c>
      <c r="O342" s="28">
        <f>IF(tblMovimientos[[#This Row],[Tipo de Movimiento]]="Egreso",tblMovimientos[[#This Row],[Monto (S/)]],"0")</f>
        <v>173.5</v>
      </c>
      <c r="P342" s="31">
        <f>IF(tblMovimientos[[#This Row],[Tipo de Movimiento]]="Ingreso",tblMovimientos[[#This Row],[Ingreso]],-tblMovimientos[[#This Row],[Egreso]])</f>
        <v>-173.5</v>
      </c>
    </row>
    <row r="343" spans="1:16" x14ac:dyDescent="0.3">
      <c r="B343" s="43">
        <v>46189</v>
      </c>
      <c r="C343" s="4" t="str">
        <f>_xlfn.XLOOKUP(tblMovimientos[[#This Row],[Cuenta Bancaria]],Listas!$B:$B,Listas!$A:$A,"")</f>
        <v>3628 Thomas Ave</v>
      </c>
      <c r="D343" s="45" t="s">
        <v>124</v>
      </c>
      <c r="E343" s="4" t="str">
        <f>_xlfn.XLOOKUP(tblMovimientos[[#This Row],[Cuenta Bancaria]],Listas!$B:$B,Listas!$C:$C,"")</f>
        <v>Bank of America</v>
      </c>
      <c r="F343" s="45" t="s">
        <v>10</v>
      </c>
      <c r="G343" s="45" t="s">
        <v>38</v>
      </c>
      <c r="H343" s="4" t="str">
        <f>IFERROR(_xlfn.XLOOKUP(G343,Listas!E:E,Listas!F:F,""),"")</f>
        <v>Operativo</v>
      </c>
      <c r="I343" s="54" t="str">
        <f>IFERROR(_xlfn.XLOOKUP(G343,Listas!E:E,Listas!G:G,""),"")</f>
        <v>Externo</v>
      </c>
      <c r="J343" s="47">
        <v>220</v>
      </c>
      <c r="K343" s="55">
        <f t="shared" si="0"/>
        <v>-220</v>
      </c>
      <c r="L343" s="15" t="s">
        <v>128</v>
      </c>
      <c r="M343" s="48">
        <f>SUMIFS('Saldos Iniciales'!$D$2:$D$38,'Saldos Iniciales'!$A$2:$A$38,C343,'Saldos Iniciales'!$B$2:$B$38,D343)+SUMIFS($K$1:$K$359,$C$1:$C$359,C343,$D$1:$D$359,D343,$B$1:$B$359,"&lt;="&amp;B343)</f>
        <v>19811.349999999999</v>
      </c>
      <c r="N343" s="28" t="str">
        <f>IF(tblMovimientos[[#This Row],[Tipo de Movimiento]]="Ingreso",tblMovimientos[[#This Row],[Monto (S/)]],"0")</f>
        <v>0</v>
      </c>
      <c r="O343" s="28">
        <f>IF(tblMovimientos[[#This Row],[Tipo de Movimiento]]="Egreso",tblMovimientos[[#This Row],[Monto (S/)]],"0")</f>
        <v>220</v>
      </c>
      <c r="P343" s="31">
        <f>IF(tblMovimientos[[#This Row],[Tipo de Movimiento]]="Ingreso",tblMovimientos[[#This Row],[Ingreso]],-tblMovimientos[[#This Row],[Egreso]])</f>
        <v>-220</v>
      </c>
    </row>
    <row r="344" spans="1:16" x14ac:dyDescent="0.3">
      <c r="B344" s="43">
        <v>46189</v>
      </c>
      <c r="C344" s="4" t="str">
        <f>_xlfn.XLOOKUP(tblMovimientos[[#This Row],[Cuenta Bancaria]],Listas!$B:$B,Listas!$A:$A,"")</f>
        <v>3628 Thomas Ave</v>
      </c>
      <c r="D344" s="45" t="s">
        <v>124</v>
      </c>
      <c r="E344" s="4" t="str">
        <f>_xlfn.XLOOKUP(tblMovimientos[[#This Row],[Cuenta Bancaria]],Listas!$B:$B,Listas!$C:$C,"")</f>
        <v>Bank of America</v>
      </c>
      <c r="F344" s="45" t="s">
        <v>10</v>
      </c>
      <c r="G344" s="45" t="s">
        <v>38</v>
      </c>
      <c r="H344" s="4" t="str">
        <f>IFERROR(_xlfn.XLOOKUP(G344,Listas!E:E,Listas!F:F,""),"")</f>
        <v>Operativo</v>
      </c>
      <c r="I344" s="54" t="str">
        <f>IFERROR(_xlfn.XLOOKUP(G344,Listas!E:E,Listas!G:G,""),"")</f>
        <v>Externo</v>
      </c>
      <c r="J344" s="47">
        <v>80</v>
      </c>
      <c r="K344" s="55">
        <f t="shared" si="0"/>
        <v>-80</v>
      </c>
      <c r="L344" s="15" t="s">
        <v>128</v>
      </c>
      <c r="M344" s="48">
        <f>SUMIFS('Saldos Iniciales'!$D$2:$D$38,'Saldos Iniciales'!$A$2:$A$38,C344,'Saldos Iniciales'!$B$2:$B$38,D344)+SUMIFS($K$1:$K$359,$C$1:$C$359,C344,$D$1:$D$359,D344,$B$1:$B$359,"&lt;="&amp;B344)</f>
        <v>19811.349999999999</v>
      </c>
      <c r="N344" s="28" t="str">
        <f>IF(tblMovimientos[[#This Row],[Tipo de Movimiento]]="Ingreso",tblMovimientos[[#This Row],[Monto (S/)]],"0")</f>
        <v>0</v>
      </c>
      <c r="O344" s="28">
        <f>IF(tblMovimientos[[#This Row],[Tipo de Movimiento]]="Egreso",tblMovimientos[[#This Row],[Monto (S/)]],"0")</f>
        <v>80</v>
      </c>
      <c r="P344" s="31">
        <f>IF(tblMovimientos[[#This Row],[Tipo de Movimiento]]="Ingreso",tblMovimientos[[#This Row],[Ingreso]],-tblMovimientos[[#This Row],[Egreso]])</f>
        <v>-80</v>
      </c>
    </row>
    <row r="345" spans="1:16" x14ac:dyDescent="0.3">
      <c r="B345" s="43">
        <v>46189</v>
      </c>
      <c r="C345" s="4" t="str">
        <f>_xlfn.XLOOKUP(tblMovimientos[[#This Row],[Cuenta Bancaria]],Listas!$B:$B,Listas!$A:$A,"")</f>
        <v>3628 Thomas Ave</v>
      </c>
      <c r="D345" s="45" t="s">
        <v>124</v>
      </c>
      <c r="E345" s="4" t="str">
        <f>_xlfn.XLOOKUP(tblMovimientos[[#This Row],[Cuenta Bancaria]],Listas!$B:$B,Listas!$C:$C,"")</f>
        <v>Bank of America</v>
      </c>
      <c r="F345" s="45" t="s">
        <v>10</v>
      </c>
      <c r="G345" s="45" t="s">
        <v>38</v>
      </c>
      <c r="H345" s="4" t="str">
        <f>IFERROR(_xlfn.XLOOKUP(G345,Listas!E:E,Listas!F:F,""),"")</f>
        <v>Operativo</v>
      </c>
      <c r="I345" s="54" t="str">
        <f>IFERROR(_xlfn.XLOOKUP(G345,Listas!E:E,Listas!G:G,""),"")</f>
        <v>Externo</v>
      </c>
      <c r="J345" s="47">
        <v>200</v>
      </c>
      <c r="K345" s="55">
        <f t="shared" si="0"/>
        <v>-200</v>
      </c>
      <c r="L345" s="15" t="s">
        <v>128</v>
      </c>
      <c r="M345" s="48">
        <f>SUMIFS('Saldos Iniciales'!$D$2:$D$38,'Saldos Iniciales'!$A$2:$A$38,C345,'Saldos Iniciales'!$B$2:$B$38,D345)+SUMIFS($K$1:$K$359,$C$1:$C$359,C345,$D$1:$D$359,D345,$B$1:$B$359,"&lt;="&amp;B345)</f>
        <v>19811.349999999999</v>
      </c>
      <c r="N345" s="28" t="str">
        <f>IF(tblMovimientos[[#This Row],[Tipo de Movimiento]]="Ingreso",tblMovimientos[[#This Row],[Monto (S/)]],"0")</f>
        <v>0</v>
      </c>
      <c r="O345" s="28">
        <f>IF(tblMovimientos[[#This Row],[Tipo de Movimiento]]="Egreso",tblMovimientos[[#This Row],[Monto (S/)]],"0")</f>
        <v>200</v>
      </c>
      <c r="P345" s="31">
        <f>IF(tblMovimientos[[#This Row],[Tipo de Movimiento]]="Ingreso",tblMovimientos[[#This Row],[Ingreso]],-tblMovimientos[[#This Row],[Egreso]])</f>
        <v>-200</v>
      </c>
    </row>
    <row r="346" spans="1:16" x14ac:dyDescent="0.3">
      <c r="A346" s="53"/>
      <c r="B346" s="43">
        <v>46188</v>
      </c>
      <c r="C346" s="4" t="str">
        <f>_xlfn.XLOOKUP(tblMovimientos[[#This Row],[Cuenta Bancaria]],Listas!$B:$B,Listas!$A:$A,"")</f>
        <v>SSP Capital</v>
      </c>
      <c r="D346" s="45" t="s">
        <v>106</v>
      </c>
      <c r="E346" s="54" t="str">
        <f>_xlfn.XLOOKUP(tblMovimientos[[#This Row],[Cuenta Bancaria]],Listas!$B:$B,Listas!$C:$C,"")</f>
        <v xml:space="preserve">Amerant Bank </v>
      </c>
      <c r="F346" s="45" t="s">
        <v>9</v>
      </c>
      <c r="G346" s="45" t="s">
        <v>85</v>
      </c>
      <c r="H346" s="54" t="str">
        <f>IFERROR(_xlfn.XLOOKUP(G346,Listas!E:E,Listas!F:F,""),"")</f>
        <v>Operativo</v>
      </c>
      <c r="I346" s="54" t="str">
        <f>IFERROR(_xlfn.XLOOKUP(G346,Listas!E:E,Listas!G:G,""),"")</f>
        <v>Interno</v>
      </c>
      <c r="J346" s="47">
        <v>54600</v>
      </c>
      <c r="K346" s="55">
        <f t="shared" si="0"/>
        <v>54600</v>
      </c>
      <c r="L346" s="15" t="s">
        <v>128</v>
      </c>
      <c r="M346" s="48">
        <f>SUMIFS('Saldos Iniciales'!$D$2:$D$38,'Saldos Iniciales'!$A$2:$A$38,C346,'Saldos Iniciales'!$B$2:$B$38,D346)+SUMIFS($K$1:$K$359,$C$1:$C$359,C346,$D$1:$D$359,D346,$B$1:$B$359,"&lt;="&amp;B346)</f>
        <v>804412.95</v>
      </c>
      <c r="N346" s="28">
        <f>IF(tblMovimientos[[#This Row],[Tipo de Movimiento]]="Ingreso",tblMovimientos[[#This Row],[Monto (S/)]],"0")</f>
        <v>54600</v>
      </c>
      <c r="O346" s="28" t="str">
        <f>IF(tblMovimientos[[#This Row],[Tipo de Movimiento]]="Egreso",tblMovimientos[[#This Row],[Monto (S/)]],"0")</f>
        <v>0</v>
      </c>
      <c r="P346" s="31">
        <f>IF(tblMovimientos[[#This Row],[Tipo de Movimiento]]="Ingreso",tblMovimientos[[#This Row],[Ingreso]],-tblMovimientos[[#This Row],[Egreso]])</f>
        <v>54600</v>
      </c>
    </row>
    <row r="347" spans="1:16" x14ac:dyDescent="0.3">
      <c r="B347" s="43">
        <v>46190</v>
      </c>
      <c r="C347" s="4" t="str">
        <f>_xlfn.XLOOKUP(tblMovimientos[[#This Row],[Cuenta Bancaria]],Listas!$B:$B,Listas!$A:$A,"")</f>
        <v>SSP Capital</v>
      </c>
      <c r="D347" s="45" t="s">
        <v>101</v>
      </c>
      <c r="E347" s="4" t="str">
        <f>_xlfn.XLOOKUP(tblMovimientos[[#This Row],[Cuenta Bancaria]],Listas!$B:$B,Listas!$C:$C,"")</f>
        <v>Bank of America</v>
      </c>
      <c r="F347" s="45" t="s">
        <v>10</v>
      </c>
      <c r="G347" s="45" t="s">
        <v>38</v>
      </c>
      <c r="H347" s="4" t="str">
        <f>IFERROR(_xlfn.XLOOKUP(G347,Listas!E:E,Listas!F:F,""),"")</f>
        <v>Operativo</v>
      </c>
      <c r="I347" s="54" t="str">
        <f>IFERROR(_xlfn.XLOOKUP(G347,Listas!E:E,Listas!G:G,""),"")</f>
        <v>Externo</v>
      </c>
      <c r="J347" s="47">
        <v>2383.4899999999998</v>
      </c>
      <c r="K347" s="55">
        <f t="shared" si="0"/>
        <v>-2383.4899999999998</v>
      </c>
      <c r="L347" s="15" t="s">
        <v>128</v>
      </c>
      <c r="M347" s="48">
        <f>SUMIFS('Saldos Iniciales'!$D$2:$D$38,'Saldos Iniciales'!$A$2:$A$38,C347,'Saldos Iniciales'!$B$2:$B$38,D347)+SUMIFS($K$1:$K$359,$C$1:$C$359,C347,$D$1:$D$359,D347,$B$1:$B$359,"&lt;="&amp;B347)</f>
        <v>10088.029999999999</v>
      </c>
      <c r="N347" s="28" t="str">
        <f>IF(tblMovimientos[[#This Row],[Tipo de Movimiento]]="Ingreso",tblMovimientos[[#This Row],[Monto (S/)]],"0")</f>
        <v>0</v>
      </c>
      <c r="O347" s="28">
        <f>IF(tblMovimientos[[#This Row],[Tipo de Movimiento]]="Egreso",tblMovimientos[[#This Row],[Monto (S/)]],"0")</f>
        <v>2383.4899999999998</v>
      </c>
      <c r="P347" s="31">
        <f>IF(tblMovimientos[[#This Row],[Tipo de Movimiento]]="Ingreso",tblMovimientos[[#This Row],[Ingreso]],-tblMovimientos[[#This Row],[Egreso]])</f>
        <v>-2383.4899999999998</v>
      </c>
    </row>
    <row r="348" spans="1:16" x14ac:dyDescent="0.3">
      <c r="B348" s="43">
        <v>46190</v>
      </c>
      <c r="C348" s="4" t="str">
        <f>_xlfn.XLOOKUP(tblMovimientos[[#This Row],[Cuenta Bancaria]],Listas!$B:$B,Listas!$A:$A,"")</f>
        <v>CFT Group</v>
      </c>
      <c r="D348" s="45" t="s">
        <v>94</v>
      </c>
      <c r="E348" s="4" t="str">
        <f>_xlfn.XLOOKUP(tblMovimientos[[#This Row],[Cuenta Bancaria]],Listas!$B:$B,Listas!$C:$C,"")</f>
        <v>Bank of America</v>
      </c>
      <c r="F348" s="45" t="s">
        <v>9</v>
      </c>
      <c r="G348" s="45" t="s">
        <v>75</v>
      </c>
      <c r="H348" s="4" t="str">
        <f>IFERROR(_xlfn.XLOOKUP(G348,Listas!E:E,Listas!F:F,""),"")</f>
        <v>Financiamiento</v>
      </c>
      <c r="I348" s="54" t="str">
        <f>IFERROR(_xlfn.XLOOKUP(G348,Listas!E:E,Listas!G:G,""),"")</f>
        <v>Interno</v>
      </c>
      <c r="J348" s="47">
        <v>12000</v>
      </c>
      <c r="K348" s="55">
        <f t="shared" si="0"/>
        <v>12000</v>
      </c>
      <c r="L348" s="15" t="s">
        <v>128</v>
      </c>
      <c r="M348" s="48">
        <f>SUMIFS('Saldos Iniciales'!$D$2:$D$38,'Saldos Iniciales'!$A$2:$A$38,C348,'Saldos Iniciales'!$B$2:$B$38,D348)+SUMIFS($K$1:$K$359,$C$1:$C$359,C348,$D$1:$D$359,D348,$B$1:$B$359,"&lt;="&amp;B348)</f>
        <v>124224.19999999998</v>
      </c>
      <c r="N348" s="28">
        <f>IF(tblMovimientos[[#This Row],[Tipo de Movimiento]]="Ingreso",tblMovimientos[[#This Row],[Monto (S/)]],"0")</f>
        <v>12000</v>
      </c>
      <c r="O348" s="28" t="str">
        <f>IF(tblMovimientos[[#This Row],[Tipo de Movimiento]]="Egreso",tblMovimientos[[#This Row],[Monto (S/)]],"0")</f>
        <v>0</v>
      </c>
      <c r="P348" s="31">
        <f>IF(tblMovimientos[[#This Row],[Tipo de Movimiento]]="Ingreso",tblMovimientos[[#This Row],[Ingreso]],-tblMovimientos[[#This Row],[Egreso]])</f>
        <v>12000</v>
      </c>
    </row>
    <row r="349" spans="1:16" x14ac:dyDescent="0.3">
      <c r="B349" s="43">
        <v>46190</v>
      </c>
      <c r="C349" s="4" t="str">
        <f>_xlfn.XLOOKUP(tblMovimientos[[#This Row],[Cuenta Bancaria]],Listas!$B:$B,Listas!$A:$A,"")</f>
        <v>3628 Thomas Ave</v>
      </c>
      <c r="D349" s="45" t="s">
        <v>124</v>
      </c>
      <c r="E349" s="4" t="str">
        <f>_xlfn.XLOOKUP(tblMovimientos[[#This Row],[Cuenta Bancaria]],Listas!$B:$B,Listas!$C:$C,"")</f>
        <v>Bank of America</v>
      </c>
      <c r="F349" s="45" t="s">
        <v>10</v>
      </c>
      <c r="G349" s="45" t="s">
        <v>38</v>
      </c>
      <c r="H349" s="4" t="str">
        <f>IFERROR(_xlfn.XLOOKUP(G349,Listas!E:E,Listas!F:F,""),"")</f>
        <v>Operativo</v>
      </c>
      <c r="I349" s="54" t="str">
        <f>IFERROR(_xlfn.XLOOKUP(G349,Listas!E:E,Listas!G:G,""),"")</f>
        <v>Externo</v>
      </c>
      <c r="J349" s="47">
        <v>2200</v>
      </c>
      <c r="K349" s="55">
        <f t="shared" si="0"/>
        <v>-2200</v>
      </c>
      <c r="L349" s="15" t="s">
        <v>128</v>
      </c>
      <c r="M349" s="48">
        <f>SUMIFS('Saldos Iniciales'!$D$2:$D$38,'Saldos Iniciales'!$A$2:$A$38,C349,'Saldos Iniciales'!$B$2:$B$38,D349)+SUMIFS($K$1:$K$359,$C$1:$C$359,C349,$D$1:$D$359,D349,$B$1:$B$359,"&lt;="&amp;B349)</f>
        <v>16681.349999999999</v>
      </c>
      <c r="N349" s="28" t="str">
        <f>IF(tblMovimientos[[#This Row],[Tipo de Movimiento]]="Ingreso",tblMovimientos[[#This Row],[Monto (S/)]],"0")</f>
        <v>0</v>
      </c>
      <c r="O349" s="28">
        <f>IF(tblMovimientos[[#This Row],[Tipo de Movimiento]]="Egreso",tblMovimientos[[#This Row],[Monto (S/)]],"0")</f>
        <v>2200</v>
      </c>
      <c r="P349" s="31">
        <f>IF(tblMovimientos[[#This Row],[Tipo de Movimiento]]="Ingreso",tblMovimientos[[#This Row],[Ingreso]],-tblMovimientos[[#This Row],[Egreso]])</f>
        <v>-2200</v>
      </c>
    </row>
    <row r="350" spans="1:16" x14ac:dyDescent="0.3">
      <c r="B350" s="43">
        <v>46190</v>
      </c>
      <c r="C350" s="4" t="str">
        <f>_xlfn.XLOOKUP(tblMovimientos[[#This Row],[Cuenta Bancaria]],Listas!$B:$B,Listas!$A:$A,"")</f>
        <v>3628 Thomas Ave</v>
      </c>
      <c r="D350" s="45" t="s">
        <v>124</v>
      </c>
      <c r="E350" s="4" t="str">
        <f>_xlfn.XLOOKUP(tblMovimientos[[#This Row],[Cuenta Bancaria]],Listas!$B:$B,Listas!$C:$C,"")</f>
        <v>Bank of America</v>
      </c>
      <c r="F350" s="45" t="s">
        <v>10</v>
      </c>
      <c r="G350" s="45" t="s">
        <v>38</v>
      </c>
      <c r="H350" s="4" t="str">
        <f>IFERROR(_xlfn.XLOOKUP(G350,Listas!E:E,Listas!F:F,""),"")</f>
        <v>Operativo</v>
      </c>
      <c r="I350" s="54" t="str">
        <f>IFERROR(_xlfn.XLOOKUP(G350,Listas!E:E,Listas!G:G,""),"")</f>
        <v>Externo</v>
      </c>
      <c r="J350" s="47">
        <v>900</v>
      </c>
      <c r="K350" s="55">
        <f t="shared" si="0"/>
        <v>-900</v>
      </c>
      <c r="L350" s="15" t="s">
        <v>128</v>
      </c>
      <c r="M350" s="48">
        <f>SUMIFS('Saldos Iniciales'!$D$2:$D$38,'Saldos Iniciales'!$A$2:$A$38,C350,'Saldos Iniciales'!$B$2:$B$38,D350)+SUMIFS($K$1:$K$359,$C$1:$C$359,C350,$D$1:$D$359,D350,$B$1:$B$359,"&lt;="&amp;B350)</f>
        <v>16681.349999999999</v>
      </c>
      <c r="N350" s="28" t="str">
        <f>IF(tblMovimientos[[#This Row],[Tipo de Movimiento]]="Ingreso",tblMovimientos[[#This Row],[Monto (S/)]],"0")</f>
        <v>0</v>
      </c>
      <c r="O350" s="28">
        <f>IF(tblMovimientos[[#This Row],[Tipo de Movimiento]]="Egreso",tblMovimientos[[#This Row],[Monto (S/)]],"0")</f>
        <v>900</v>
      </c>
      <c r="P350" s="31">
        <f>IF(tblMovimientos[[#This Row],[Tipo de Movimiento]]="Ingreso",tblMovimientos[[#This Row],[Ingreso]],-tblMovimientos[[#This Row],[Egreso]])</f>
        <v>-900</v>
      </c>
    </row>
    <row r="351" spans="1:16" x14ac:dyDescent="0.3">
      <c r="B351" s="43">
        <v>46190</v>
      </c>
      <c r="C351" s="4" t="str">
        <f>_xlfn.XLOOKUP(tblMovimientos[[#This Row],[Cuenta Bancaria]],Listas!$B:$B,Listas!$A:$A,"")</f>
        <v>3628 Thomas Ave</v>
      </c>
      <c r="D351" s="45" t="s">
        <v>124</v>
      </c>
      <c r="E351" s="4" t="str">
        <f>_xlfn.XLOOKUP(tblMovimientos[[#This Row],[Cuenta Bancaria]],Listas!$B:$B,Listas!$C:$C,"")</f>
        <v>Bank of America</v>
      </c>
      <c r="F351" s="45" t="s">
        <v>10</v>
      </c>
      <c r="G351" s="45" t="s">
        <v>44</v>
      </c>
      <c r="H351" s="4" t="str">
        <f>IFERROR(_xlfn.XLOOKUP(G351,Listas!E:E,Listas!F:F,""),"")</f>
        <v>Operativo</v>
      </c>
      <c r="I351" s="54" t="str">
        <f>IFERROR(_xlfn.XLOOKUP(G351,Listas!E:E,Listas!G:G,""),"")</f>
        <v>Externo</v>
      </c>
      <c r="J351" s="47">
        <v>30</v>
      </c>
      <c r="K351" s="55">
        <f t="shared" si="0"/>
        <v>-30</v>
      </c>
      <c r="L351" s="15" t="s">
        <v>128</v>
      </c>
      <c r="M351" s="48">
        <f>SUMIFS('Saldos Iniciales'!$D$2:$D$38,'Saldos Iniciales'!$A$2:$A$38,C351,'Saldos Iniciales'!$B$2:$B$38,D351)+SUMIFS($K$1:$K$359,$C$1:$C$359,C351,$D$1:$D$359,D351,$B$1:$B$359,"&lt;="&amp;B351)</f>
        <v>16681.349999999999</v>
      </c>
      <c r="N351" s="28" t="str">
        <f>IF(tblMovimientos[[#This Row],[Tipo de Movimiento]]="Ingreso",tblMovimientos[[#This Row],[Monto (S/)]],"0")</f>
        <v>0</v>
      </c>
      <c r="O351" s="28">
        <f>IF(tblMovimientos[[#This Row],[Tipo de Movimiento]]="Egreso",tblMovimientos[[#This Row],[Monto (S/)]],"0")</f>
        <v>30</v>
      </c>
      <c r="P351" s="31">
        <f>IF(tblMovimientos[[#This Row],[Tipo de Movimiento]]="Ingreso",tblMovimientos[[#This Row],[Ingreso]],-tblMovimientos[[#This Row],[Egreso]])</f>
        <v>-30</v>
      </c>
    </row>
    <row r="352" spans="1:16" x14ac:dyDescent="0.3">
      <c r="A352" s="53"/>
      <c r="B352" s="43">
        <v>46190</v>
      </c>
      <c r="C352" s="4" t="str">
        <f>_xlfn.XLOOKUP(tblMovimientos[[#This Row],[Cuenta Bancaria]],Listas!$B:$B,Listas!$A:$A,"")</f>
        <v>Go Blue</v>
      </c>
      <c r="D352" s="45" t="s">
        <v>126</v>
      </c>
      <c r="E352" s="54" t="str">
        <f>_xlfn.XLOOKUP(tblMovimientos[[#This Row],[Cuenta Bancaria]],Listas!$B:$B,Listas!$C:$C,"")</f>
        <v xml:space="preserve">Amerant Bank </v>
      </c>
      <c r="F352" s="45" t="s">
        <v>10</v>
      </c>
      <c r="G352" s="45" t="s">
        <v>38</v>
      </c>
      <c r="H352" s="54" t="str">
        <f>IFERROR(_xlfn.XLOOKUP(G352,Listas!E:E,Listas!F:F,""),"")</f>
        <v>Operativo</v>
      </c>
      <c r="I352" s="54" t="str">
        <f>IFERROR(_xlfn.XLOOKUP(G352,Listas!E:E,Listas!G:G,""),"")</f>
        <v>Externo</v>
      </c>
      <c r="J352" s="47">
        <v>1000</v>
      </c>
      <c r="K352" s="55">
        <f t="shared" si="0"/>
        <v>-1000</v>
      </c>
      <c r="L352" s="15" t="s">
        <v>128</v>
      </c>
      <c r="M352" s="48">
        <f>SUMIFS('Saldos Iniciales'!$D$2:$D$38,'Saldos Iniciales'!$A$2:$A$38,C352,'Saldos Iniciales'!$B$2:$B$38,D352)+SUMIFS($K$1:$K$359,$C$1:$C$359,C352,$D$1:$D$359,D352,$B$1:$B$359,"&lt;="&amp;B352)</f>
        <v>44519.01</v>
      </c>
      <c r="N352" s="28" t="str">
        <f>IF(tblMovimientos[[#This Row],[Tipo de Movimiento]]="Ingreso",tblMovimientos[[#This Row],[Monto (S/)]],"0")</f>
        <v>0</v>
      </c>
      <c r="O352" s="28">
        <f>IF(tblMovimientos[[#This Row],[Tipo de Movimiento]]="Egreso",tblMovimientos[[#This Row],[Monto (S/)]],"0")</f>
        <v>1000</v>
      </c>
      <c r="P352" s="31">
        <f>IF(tblMovimientos[[#This Row],[Tipo de Movimiento]]="Ingreso",tblMovimientos[[#This Row],[Ingreso]],-tblMovimientos[[#This Row],[Egreso]])</f>
        <v>-1000</v>
      </c>
    </row>
    <row r="353" spans="1:16" x14ac:dyDescent="0.3">
      <c r="B353" s="43">
        <v>46191</v>
      </c>
      <c r="C353" s="4" t="str">
        <f>_xlfn.XLOOKUP(tblMovimientos[[#This Row],[Cuenta Bancaria]],Listas!$B:$B,Listas!$A:$A,"")</f>
        <v>SSP Capital</v>
      </c>
      <c r="D353" s="45" t="s">
        <v>102</v>
      </c>
      <c r="E353" s="4" t="str">
        <f>_xlfn.XLOOKUP(tblMovimientos[[#This Row],[Cuenta Bancaria]],Listas!$B:$B,Listas!$C:$C,"")</f>
        <v>Bank of America</v>
      </c>
      <c r="F353" s="45" t="s">
        <v>10</v>
      </c>
      <c r="H353" s="4">
        <f>IFERROR(_xlfn.XLOOKUP(G353,Listas!E:E,Listas!F:F,""),"")</f>
        <v>0</v>
      </c>
      <c r="I353" s="54">
        <f>IFERROR(_xlfn.XLOOKUP(G353,Listas!E:E,Listas!G:G,""),"")</f>
        <v>0</v>
      </c>
      <c r="J353" s="47">
        <v>166.66</v>
      </c>
      <c r="K353" s="55">
        <f t="shared" si="0"/>
        <v>-166.66</v>
      </c>
      <c r="L353" s="15" t="s">
        <v>128</v>
      </c>
      <c r="M353" s="48">
        <f>SUMIFS('Saldos Iniciales'!$D$2:$D$38,'Saldos Iniciales'!$A$2:$A$38,C353,'Saldos Iniciales'!$B$2:$B$38,D353)+SUMIFS($K$1:$K$359,$C$1:$C$359,C353,$D$1:$D$359,D353,$B$1:$B$359,"&lt;="&amp;B353)</f>
        <v>366.92000000000007</v>
      </c>
      <c r="N353" s="28" t="str">
        <f>IF(tblMovimientos[[#This Row],[Tipo de Movimiento]]="Ingreso",tblMovimientos[[#This Row],[Monto (S/)]],"0")</f>
        <v>0</v>
      </c>
      <c r="O353" s="28">
        <f>IF(tblMovimientos[[#This Row],[Tipo de Movimiento]]="Egreso",tblMovimientos[[#This Row],[Monto (S/)]],"0")</f>
        <v>166.66</v>
      </c>
      <c r="P353" s="31">
        <f>IF(tblMovimientos[[#This Row],[Tipo de Movimiento]]="Ingreso",tblMovimientos[[#This Row],[Ingreso]],-tblMovimientos[[#This Row],[Egreso]])</f>
        <v>-166.66</v>
      </c>
    </row>
    <row r="354" spans="1:16" x14ac:dyDescent="0.3">
      <c r="A354" s="53"/>
      <c r="B354" s="43">
        <v>46191</v>
      </c>
      <c r="C354" s="4" t="str">
        <f>_xlfn.XLOOKUP(tblMovimientos[[#This Row],[Cuenta Bancaria]],Listas!$B:$B,Listas!$A:$A,"")</f>
        <v>Go Blue</v>
      </c>
      <c r="D354" s="45" t="s">
        <v>126</v>
      </c>
      <c r="E354" s="54" t="str">
        <f>_xlfn.XLOOKUP(tblMovimientos[[#This Row],[Cuenta Bancaria]],Listas!$B:$B,Listas!$C:$C,"")</f>
        <v xml:space="preserve">Amerant Bank </v>
      </c>
      <c r="F354" s="45" t="s">
        <v>10</v>
      </c>
      <c r="H354" s="54">
        <f>IFERROR(_xlfn.XLOOKUP(G354,Listas!E:E,Listas!F:F,""),"")</f>
        <v>0</v>
      </c>
      <c r="I354" s="54">
        <f>IFERROR(_xlfn.XLOOKUP(G354,Listas!E:E,Listas!G:G,""),"")</f>
        <v>0</v>
      </c>
      <c r="J354" s="47">
        <v>522</v>
      </c>
      <c r="K354" s="55">
        <f t="shared" si="0"/>
        <v>-522</v>
      </c>
      <c r="L354" s="15" t="s">
        <v>128</v>
      </c>
      <c r="M354" s="48">
        <f>SUMIFS('Saldos Iniciales'!$D$2:$D$38,'Saldos Iniciales'!$A$2:$A$38,C354,'Saldos Iniciales'!$B$2:$B$38,D354)+SUMIFS($K$1:$K$359,$C$1:$C$359,C354,$D$1:$D$359,D354,$B$1:$B$359,"&lt;="&amp;B354)</f>
        <v>43997.01</v>
      </c>
      <c r="N354" s="28" t="str">
        <f>IF(tblMovimientos[[#This Row],[Tipo de Movimiento]]="Ingreso",tblMovimientos[[#This Row],[Monto (S/)]],"0")</f>
        <v>0</v>
      </c>
      <c r="O354" s="28">
        <f>IF(tblMovimientos[[#This Row],[Tipo de Movimiento]]="Egreso",tblMovimientos[[#This Row],[Monto (S/)]],"0")</f>
        <v>522</v>
      </c>
      <c r="P354" s="31">
        <f>IF(tblMovimientos[[#This Row],[Tipo de Movimiento]]="Ingreso",tblMovimientos[[#This Row],[Ingreso]],-tblMovimientos[[#This Row],[Egreso]])</f>
        <v>-522</v>
      </c>
    </row>
    <row r="355" spans="1:16" x14ac:dyDescent="0.3">
      <c r="B355" s="43">
        <v>46191</v>
      </c>
      <c r="C355" s="4" t="str">
        <f>_xlfn.XLOOKUP(tblMovimientos[[#This Row],[Cuenta Bancaria]],Listas!$B:$B,Listas!$A:$A,"")</f>
        <v>M1B</v>
      </c>
      <c r="D355" s="57" t="s">
        <v>98</v>
      </c>
      <c r="E355" s="4" t="str">
        <f>_xlfn.XLOOKUP(tblMovimientos[[#This Row],[Cuenta Bancaria]],Listas!$B:$B,Listas!$C:$C,"")</f>
        <v xml:space="preserve">Amerant Bank </v>
      </c>
      <c r="F355" s="45" t="s">
        <v>10</v>
      </c>
      <c r="G355" s="45" t="s">
        <v>44</v>
      </c>
      <c r="H355" s="4" t="str">
        <f>IFERROR(_xlfn.XLOOKUP(G355,Listas!E:E,Listas!F:F,""),"")</f>
        <v>Operativo</v>
      </c>
      <c r="I355" s="54" t="str">
        <f>IFERROR(_xlfn.XLOOKUP(G355,Listas!E:E,Listas!G:G,""),"")</f>
        <v>Externo</v>
      </c>
      <c r="J355" s="47">
        <v>0</v>
      </c>
      <c r="K355" s="55">
        <f t="shared" si="0"/>
        <v>0</v>
      </c>
      <c r="L355" s="15" t="s">
        <v>128</v>
      </c>
      <c r="M355" s="48">
        <f>SUMIFS('Saldos Iniciales'!$D$2:$D$38,'Saldos Iniciales'!$A$2:$A$38,C355,'Saldos Iniciales'!$B$2:$B$38,D355)+SUMIFS($K$1:$K$359,$C$1:$C$359,C355,$D$1:$D$359,D355,$B$1:$B$359,"&lt;="&amp;B355)</f>
        <v>5000</v>
      </c>
      <c r="N355" s="28" t="str">
        <f>IF(tblMovimientos[[#This Row],[Tipo de Movimiento]]="Ingreso",tblMovimientos[[#This Row],[Monto (S/)]],"0")</f>
        <v>0</v>
      </c>
      <c r="O355" s="28">
        <f>IF(tblMovimientos[[#This Row],[Tipo de Movimiento]]="Egreso",tblMovimientos[[#This Row],[Monto (S/)]],"0")</f>
        <v>0</v>
      </c>
      <c r="P355" s="31">
        <f>IF(tblMovimientos[[#This Row],[Tipo de Movimiento]]="Ingreso",tblMovimientos[[#This Row],[Ingreso]],-tblMovimientos[[#This Row],[Egreso]])</f>
        <v>0</v>
      </c>
    </row>
    <row r="356" spans="1:16" x14ac:dyDescent="0.3">
      <c r="B356" s="43">
        <v>46191</v>
      </c>
      <c r="C356" s="4" t="str">
        <f>_xlfn.XLOOKUP(tblMovimientos[[#This Row],[Cuenta Bancaria]],Listas!$B:$B,Listas!$A:$A,"")</f>
        <v>SSP Capital</v>
      </c>
      <c r="D356" s="57" t="s">
        <v>107</v>
      </c>
      <c r="E356" s="4" t="str">
        <f>_xlfn.XLOOKUP(tblMovimientos[[#This Row],[Cuenta Bancaria]],Listas!$B:$B,Listas!$C:$C,"")</f>
        <v xml:space="preserve">Amerant Bank </v>
      </c>
      <c r="F356" s="45" t="s">
        <v>10</v>
      </c>
      <c r="G356" s="45" t="s">
        <v>44</v>
      </c>
      <c r="H356" s="4" t="str">
        <f>IFERROR(_xlfn.XLOOKUP(G356,Listas!E:E,Listas!F:F,""),"")</f>
        <v>Operativo</v>
      </c>
      <c r="I356" s="54" t="str">
        <f>IFERROR(_xlfn.XLOOKUP(G356,Listas!E:E,Listas!G:G,""),"")</f>
        <v>Externo</v>
      </c>
      <c r="J356" s="47">
        <v>0</v>
      </c>
      <c r="K356" s="55">
        <f t="shared" si="0"/>
        <v>0</v>
      </c>
      <c r="L356" s="15" t="s">
        <v>128</v>
      </c>
      <c r="M356" s="48">
        <f>SUMIFS('Saldos Iniciales'!$D$2:$D$38,'Saldos Iniciales'!$A$2:$A$38,C356,'Saldos Iniciales'!$B$2:$B$38,D356)+SUMIFS($K$1:$K$359,$C$1:$C$359,C356,$D$1:$D$359,D356,$B$1:$B$359,"&lt;="&amp;B356)</f>
        <v>5000</v>
      </c>
      <c r="N356" s="28" t="str">
        <f>IF(tblMovimientos[[#This Row],[Tipo de Movimiento]]="Ingreso",tblMovimientos[[#This Row],[Monto (S/)]],"0")</f>
        <v>0</v>
      </c>
      <c r="O356" s="28">
        <f>IF(tblMovimientos[[#This Row],[Tipo de Movimiento]]="Egreso",tblMovimientos[[#This Row],[Monto (S/)]],"0")</f>
        <v>0</v>
      </c>
      <c r="P356" s="31">
        <f>IF(tblMovimientos[[#This Row],[Tipo de Movimiento]]="Ingreso",tblMovimientos[[#This Row],[Ingreso]],-tblMovimientos[[#This Row],[Egreso]])</f>
        <v>0</v>
      </c>
    </row>
    <row r="357" spans="1:16" x14ac:dyDescent="0.3">
      <c r="B357" s="43">
        <v>46191</v>
      </c>
      <c r="C357" s="4" t="str">
        <f>_xlfn.XLOOKUP(tblMovimientos[[#This Row],[Cuenta Bancaria]],Listas!$B:$B,Listas!$A:$A,"")</f>
        <v>Cross Family Trust</v>
      </c>
      <c r="D357" s="57" t="s">
        <v>108</v>
      </c>
      <c r="E357" s="4" t="str">
        <f>_xlfn.XLOOKUP(tblMovimientos[[#This Row],[Cuenta Bancaria]],Listas!$B:$B,Listas!$C:$C,"")</f>
        <v>Ocean Bank</v>
      </c>
      <c r="F357" s="45" t="s">
        <v>10</v>
      </c>
      <c r="G357" s="45" t="s">
        <v>44</v>
      </c>
      <c r="H357" s="58" t="str">
        <f>IFERROR(_xlfn.XLOOKUP(G357,Listas!E:E,Listas!F:F,""),"")</f>
        <v>Operativo</v>
      </c>
      <c r="I357" s="54" t="str">
        <f>IFERROR(_xlfn.XLOOKUP(G357,Listas!E:E,Listas!G:G,""),"")</f>
        <v>Externo</v>
      </c>
      <c r="J357" s="47">
        <v>0</v>
      </c>
      <c r="K357" s="55">
        <f t="shared" si="0"/>
        <v>0</v>
      </c>
      <c r="L357" s="15" t="s">
        <v>128</v>
      </c>
      <c r="M357" s="48">
        <f>SUMIFS('Saldos Iniciales'!$D$2:$D$38,'Saldos Iniciales'!$A$2:$A$38,C357,'Saldos Iniciales'!$B$2:$B$38,D357)+SUMIFS($K$1:$K$359,$C$1:$C$359,C357,$D$1:$D$359,D357,$B$1:$B$359,"&lt;="&amp;B357)</f>
        <v>57206.89</v>
      </c>
      <c r="N357" s="28" t="str">
        <f>IF(tblMovimientos[[#This Row],[Tipo de Movimiento]]="Ingreso",tblMovimientos[[#This Row],[Monto (S/)]],"0")</f>
        <v>0</v>
      </c>
      <c r="O357" s="28">
        <f>IF(tblMovimientos[[#This Row],[Tipo de Movimiento]]="Egreso",tblMovimientos[[#This Row],[Monto (S/)]],"0")</f>
        <v>0</v>
      </c>
      <c r="P357" s="31">
        <f>IF(tblMovimientos[[#This Row],[Tipo de Movimiento]]="Ingreso",tblMovimientos[[#This Row],[Ingreso]],-tblMovimientos[[#This Row],[Egreso]])</f>
        <v>0</v>
      </c>
    </row>
    <row r="358" spans="1:16" x14ac:dyDescent="0.3">
      <c r="B358" s="43">
        <v>46191</v>
      </c>
      <c r="C358" s="4" t="str">
        <f>_xlfn.XLOOKUP(tblMovimientos[[#This Row],[Cuenta Bancaria]],Listas!$B:$B,Listas!$A:$A,"")</f>
        <v>Cross Family Trust</v>
      </c>
      <c r="D358" s="57" t="s">
        <v>109</v>
      </c>
      <c r="E358" s="4" t="str">
        <f>_xlfn.XLOOKUP(tblMovimientos[[#This Row],[Cuenta Bancaria]],Listas!$B:$B,Listas!$C:$C,"")</f>
        <v>Northern Trust</v>
      </c>
      <c r="F358" s="45" t="s">
        <v>10</v>
      </c>
      <c r="G358" s="45" t="s">
        <v>44</v>
      </c>
      <c r="H358" s="58" t="str">
        <f>IFERROR(_xlfn.XLOOKUP(G358,Listas!E:E,Listas!F:F,""),"")</f>
        <v>Operativo</v>
      </c>
      <c r="I358" s="54" t="str">
        <f>IFERROR(_xlfn.XLOOKUP(G358,Listas!E:E,Listas!G:G,""),"")</f>
        <v>Externo</v>
      </c>
      <c r="J358" s="47">
        <v>0</v>
      </c>
      <c r="K358" s="55">
        <f t="shared" si="0"/>
        <v>0</v>
      </c>
      <c r="L358" s="15" t="s">
        <v>128</v>
      </c>
      <c r="M358" s="48">
        <f>SUMIFS('Saldos Iniciales'!$D$2:$D$38,'Saldos Iniciales'!$A$2:$A$38,C358,'Saldos Iniciales'!$B$2:$B$38,D358)+SUMIFS($K$1:$K$359,$C$1:$C$359,C358,$D$1:$D$359,D358,$B$1:$B$359,"&lt;="&amp;B358)</f>
        <v>6365</v>
      </c>
      <c r="N358" s="28" t="str">
        <f>IF(tblMovimientos[[#This Row],[Tipo de Movimiento]]="Ingreso",tblMovimientos[[#This Row],[Monto (S/)]],"0")</f>
        <v>0</v>
      </c>
      <c r="O358" s="28">
        <f>IF(tblMovimientos[[#This Row],[Tipo de Movimiento]]="Egreso",tblMovimientos[[#This Row],[Monto (S/)]],"0")</f>
        <v>0</v>
      </c>
      <c r="P358" s="31">
        <f>IF(tblMovimientos[[#This Row],[Tipo de Movimiento]]="Ingreso",tblMovimientos[[#This Row],[Ingreso]],-tblMovimientos[[#This Row],[Egreso]])</f>
        <v>0</v>
      </c>
    </row>
    <row r="359" spans="1:16" x14ac:dyDescent="0.3">
      <c r="B359" s="43">
        <v>46191</v>
      </c>
      <c r="C359" s="4" t="str">
        <f>_xlfn.XLOOKUP(tblMovimientos[[#This Row],[Cuenta Bancaria]],Listas!$B:$B,Listas!$A:$A,"")</f>
        <v>Durand</v>
      </c>
      <c r="D359" s="57" t="s">
        <v>99</v>
      </c>
      <c r="E359" s="4" t="str">
        <f>_xlfn.XLOOKUP(tblMovimientos[[#This Row],[Cuenta Bancaria]],Listas!$B:$B,Listas!$C:$C,"")</f>
        <v xml:space="preserve">Amerant Bank </v>
      </c>
      <c r="F359" s="45" t="s">
        <v>10</v>
      </c>
      <c r="G359" s="45" t="s">
        <v>44</v>
      </c>
      <c r="H359" s="58" t="str">
        <f>IFERROR(_xlfn.XLOOKUP(G359,Listas!E:E,Listas!F:F,""),"")</f>
        <v>Operativo</v>
      </c>
      <c r="I359" s="54" t="str">
        <f>IFERROR(_xlfn.XLOOKUP(G359,Listas!E:E,Listas!G:G,""),"")</f>
        <v>Externo</v>
      </c>
      <c r="J359" s="47">
        <v>0</v>
      </c>
      <c r="K359" s="55">
        <f t="shared" ref="K359" si="1">IF(F359="Ingreso",J359,-J359)</f>
        <v>0</v>
      </c>
      <c r="L359" s="15" t="s">
        <v>128</v>
      </c>
      <c r="M359" s="48">
        <f>SUMIFS('Saldos Iniciales'!$D$2:$D$38,'Saldos Iniciales'!$A$2:$A$38,C359,'Saldos Iniciales'!$B$2:$B$38,D359)+SUMIFS($K$1:$K$359,$C$1:$C$359,C359,$D$1:$D$359,D359,$B$1:$B$359,"&lt;="&amp;B359)</f>
        <v>1669.89</v>
      </c>
      <c r="N359" s="28" t="str">
        <f>IF(tblMovimientos[[#This Row],[Tipo de Movimiento]]="Ingreso",tblMovimientos[[#This Row],[Monto (S/)]],"0")</f>
        <v>0</v>
      </c>
      <c r="O359" s="28">
        <f>IF(tblMovimientos[[#This Row],[Tipo de Movimiento]]="Egreso",tblMovimientos[[#This Row],[Monto (S/)]],"0")</f>
        <v>0</v>
      </c>
      <c r="P359" s="31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3 E305:G305 E303:G303 N303 E302:G302 N302 E300:G300 E299:G299 N299 E301:G301 N301 N300 E304:G304 N304 N305 E35:G54 E32:F32 J32:N32 E33:F33 J33:N33 E34:F34 J34:N34 E31:G31 J31:N31 J305:L305 J303:L303 J302:L302 J304:L304 E4:G30 J4:N30 J300:L300 J299:L299 J301:L301 J35:N298 E56:G65 E55:F55 E83:G84 E81:F82 E87:G170 E85:F85 E86:F86 E68:G80 E67:F67 E172:G219 E171:F171 E221:G298 E220:F220 E66:F66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C2:C359</xm:sqref>
        </x14:dataValidation>
        <x14:dataValidation type="list" allowBlank="1" xr:uid="{AAA2F2FB-5D82-4852-BA68-E541EA956BD2}">
          <x14:formula1>
            <xm:f>Listas!$B$2:$B$34</xm:f>
          </x14:formula1>
          <xm:sqref>D2:D359</xm:sqref>
        </x14:dataValidation>
        <x14:dataValidation type="list" allowBlank="1" xr:uid="{DC8BA3D2-F104-4639-8653-545CA2BBE131}">
          <x14:formula1>
            <xm:f>Listas!$E$2:$E$52</xm:f>
          </x14:formula1>
          <xm:sqref>G2:G359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F2:F359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433714.90000000014</v>
      </c>
      <c r="E2" s="41">
        <f>C2+D2</f>
        <v>850393.16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3235839.5000000005</v>
      </c>
      <c r="E3" s="41">
        <f t="shared" ref="E3:E9" si="0">C3+D3</f>
        <v>4397847.68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R35"/>
  <sheetViews>
    <sheetView zoomScale="65" zoomScaleNormal="65" workbookViewId="0">
      <pane xSplit="3" ySplit="1" topLeftCell="M9" activePane="bottomRight" state="frozen"/>
      <selection pane="topRight" activeCell="C1" sqref="C1"/>
      <selection pane="bottomLeft" activeCell="A5" sqref="A5"/>
      <selection pane="bottomRight" activeCell="C48" sqref="C48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hidden="1" customWidth="1" outlineLevel="1"/>
    <col min="11" max="11" width="13.33203125" hidden="1" customWidth="1" outlineLevel="1"/>
    <col min="12" max="12" width="14.21875" hidden="1" customWidth="1" outlineLevel="1"/>
    <col min="13" max="13" width="19.5546875" bestFit="1" customWidth="1" collapsed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hidden="1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56">
        <f>H2</f>
        <v>193489.58000000019</v>
      </c>
      <c r="J2" s="48">
        <f>SUMIFS(Movimientos!$J$1:$J$359,Movimientos!$C$1:$C$359,$B2,Movimientos!$D$1:$D$359,$C2,Movimientos!$L$1:$L$359,A$3,Movimientos!$F$1:$F$359,"Ingreso")</f>
        <v>412744.62</v>
      </c>
      <c r="K2" s="48">
        <f>SUMIFS(Movimientos!$J$1:$J$359,Movimientos!$C$1:$C$359,$B2,Movimientos!$D$1:$D$359,$C2,Movimientos!$L$1:$L$359,A$3,Movimientos!$F$1:$F$359,"Egreso")</f>
        <v>482010</v>
      </c>
      <c r="L2" s="7">
        <f>+J2-K2</f>
        <v>-69265.38</v>
      </c>
      <c r="M2" s="12">
        <f>I2+J2-K2</f>
        <v>124224.20000000019</v>
      </c>
      <c r="N2" s="5">
        <f>M2</f>
        <v>124224.20000000019</v>
      </c>
      <c r="O2" s="48">
        <f>SUMIFS(Movimientos!$J$1:$J$359,Movimientos!$C$1:$C$359,$B2,Movimientos!$D$1:$D$359,$C2,Movimientos!$L$1:$L$359,A$4,Movimientos!$F$1:$F$359,"Ingreso")</f>
        <v>0</v>
      </c>
      <c r="P2" s="48">
        <f>SUMIFS(Movimientos!$J$1:$J$359,Movimientos!$C$1:$C$359,$B2,Movimientos!$D$1:$D$359,$C2,Movimientos!$L$1:$L$359,A$4,Movimientos!$F$1:$F$359,"Egreso")</f>
        <v>0</v>
      </c>
      <c r="Q2" s="7">
        <f>+O2-P2</f>
        <v>0</v>
      </c>
      <c r="R2" s="12">
        <f>N2+O2-P2</f>
        <v>124224.20000000019</v>
      </c>
    </row>
    <row r="3" spans="1:18" hidden="1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56">
        <f>H3</f>
        <v>784648.53</v>
      </c>
      <c r="J3" s="48">
        <f>SUMIFS(Movimientos!$J$1:$J$359,Movimientos!$C$1:$C$359,$B3,Movimientos!$D$1:$D$359,$C3,Movimientos!$L$1:$L$359,A$3,Movimientos!$F$1:$F$359,"Ingreso")</f>
        <v>1710000</v>
      </c>
      <c r="K3" s="48">
        <f>SUMIFS(Movimientos!$J$1:$J$359,Movimientos!$C$1:$C$359,$B3,Movimientos!$D$1:$D$359,$C3,Movimientos!$L$1:$L$359,A$3,Movimientos!$F$1:$F$359,"Egreso")</f>
        <v>1525770.0100000002</v>
      </c>
      <c r="L3" s="7">
        <f t="shared" ref="L3:L34" si="0">+J3-K3</f>
        <v>184229.98999999976</v>
      </c>
      <c r="M3" s="12">
        <f>I3+J3-K3</f>
        <v>968878.52</v>
      </c>
      <c r="N3" s="5">
        <f>M3</f>
        <v>968878.52</v>
      </c>
      <c r="O3" s="48">
        <f>SUMIFS(Movimientos!$J$1:$J$359,Movimientos!$C$1:$C$359,$B3,Movimientos!$D$1:$D$359,$C3,Movimientos!$L$1:$L$359,A$4,Movimientos!$F$1:$F$359,"Ingreso")</f>
        <v>0</v>
      </c>
      <c r="P3" s="48">
        <f>SUMIFS(Movimientos!$J$1:$J$359,Movimientos!$C$1:$C$359,$B3,Movimientos!$D$1:$D$359,$C3,Movimientos!$L$1:$L$359,A$4,Movimientos!$F$1:$F$359,"Egreso")</f>
        <v>0</v>
      </c>
      <c r="Q3" s="7">
        <f t="shared" ref="Q3:Q34" si="1">+O3-P3</f>
        <v>0</v>
      </c>
      <c r="R3" s="12">
        <f>N3+O3-P3</f>
        <v>968878.52</v>
      </c>
    </row>
    <row r="4" spans="1:18" hidden="1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56">
        <f>H4</f>
        <v>5256.0300000000007</v>
      </c>
      <c r="J4" s="48">
        <f>SUMIFS(Movimientos!$J$1:$J$359,Movimientos!$C$1:$C$359,$B4,Movimientos!$D$1:$D$359,$C4,Movimientos!$L$1:$L$359,A$3,Movimientos!$F$1:$F$359,"Ingreso")</f>
        <v>0</v>
      </c>
      <c r="K4" s="48">
        <f>SUMIFS(Movimientos!$J$1:$J$359,Movimientos!$C$1:$C$359,$B4,Movimientos!$D$1:$D$359,$C4,Movimientos!$L$1:$L$359,A$3,Movimientos!$F$1:$F$359,"Egreso")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SUMIFS(Movimientos!$J$1:$J$359,Movimientos!$C$1:$C$359,$B4,Movimientos!$D$1:$D$359,$C4,Movimientos!$L$1:$L$359,A$4,Movimientos!$F$1:$F$359,"Ingreso")</f>
        <v>0</v>
      </c>
      <c r="P4" s="48">
        <f>SUMIFS(Movimientos!$J$1:$J$359,Movimientos!$C$1:$C$359,$B4,Movimientos!$D$1:$D$359,$C4,Movimientos!$L$1:$L$359,A$4,Movimientos!$F$1:$F$359,"Egreso")</f>
        <v>0</v>
      </c>
      <c r="Q4" s="7">
        <f t="shared" si="1"/>
        <v>0</v>
      </c>
      <c r="R4" s="12">
        <f>N4+O4-P4</f>
        <v>5256.0300000000007</v>
      </c>
    </row>
    <row r="5" spans="1:18" hidden="1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56">
        <f>H5</f>
        <v>57397.280000000261</v>
      </c>
      <c r="J5" s="48">
        <f>SUMIFS(Movimientos!$J$1:$J$359,Movimientos!$C$1:$C$359,$B5,Movimientos!$D$1:$D$359,$C5,Movimientos!$L$1:$L$359,A$3,Movimientos!$F$1:$F$359,"Ingreso")</f>
        <v>6979.11</v>
      </c>
      <c r="K5" s="48">
        <f>SUMIFS(Movimientos!$J$1:$J$359,Movimientos!$C$1:$C$359,$B5,Movimientos!$D$1:$D$359,$C5,Movimientos!$L$1:$L$359,A$3,Movimientos!$F$1:$F$359,"Egreso")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SUMIFS(Movimientos!$J$1:$J$359,Movimientos!$C$1:$C$359,$B5,Movimientos!$D$1:$D$359,$C5,Movimientos!$L$1:$L$359,A$4,Movimientos!$F$1:$F$359,"Ingreso")</f>
        <v>0</v>
      </c>
      <c r="P5" s="48">
        <f>SUMIFS(Movimientos!$J$1:$J$359,Movimientos!$C$1:$C$359,$B5,Movimientos!$D$1:$D$359,$C5,Movimientos!$L$1:$L$359,A$4,Movimientos!$F$1:$F$359,"Egreso")</f>
        <v>0</v>
      </c>
      <c r="Q5" s="7">
        <f t="shared" si="1"/>
        <v>0</v>
      </c>
      <c r="R5" s="12">
        <f>N5+O5-P5</f>
        <v>64376.390000000261</v>
      </c>
    </row>
    <row r="6" spans="1:18" hidden="1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56">
        <f>H6</f>
        <v>5000</v>
      </c>
      <c r="J6" s="48">
        <f>SUMIFS(Movimientos!$J$1:$J$359,Movimientos!$C$1:$C$359,$B6,Movimientos!$D$1:$D$359,$C6,Movimientos!$L$1:$L$359,A$3,Movimientos!$F$1:$F$359,"Ingreso")</f>
        <v>0</v>
      </c>
      <c r="K6" s="48">
        <f>SUMIFS(Movimientos!$J$1:$J$359,Movimientos!$C$1:$C$359,$B6,Movimientos!$D$1:$D$359,$C6,Movimientos!$L$1:$L$359,A$3,Movimientos!$F$1:$F$359,"Egreso")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SUMIFS(Movimientos!$J$1:$J$359,Movimientos!$C$1:$C$359,$B6,Movimientos!$D$1:$D$359,$C6,Movimientos!$L$1:$L$359,A$4,Movimientos!$F$1:$F$359,"Ingreso")</f>
        <v>0</v>
      </c>
      <c r="P6" s="48">
        <f>SUMIFS(Movimientos!$J$1:$J$359,Movimientos!$C$1:$C$359,$B6,Movimientos!$D$1:$D$359,$C6,Movimientos!$L$1:$L$359,A$4,Movimientos!$F$1:$F$359,"Egreso")</f>
        <v>0</v>
      </c>
      <c r="Q6" s="7">
        <f t="shared" si="1"/>
        <v>0</v>
      </c>
      <c r="R6" s="12">
        <f>N6+O6-P6</f>
        <v>5000</v>
      </c>
    </row>
    <row r="7" spans="1:18" hidden="1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56">
        <f t="shared" ref="I7:I34" si="3">H7</f>
        <v>1669.89</v>
      </c>
      <c r="J7" s="48">
        <f>SUMIFS(Movimientos!$J$1:$J$359,Movimientos!$C$1:$C$359,$B7,Movimientos!$D$1:$D$359,$C7,Movimientos!$L$1:$L$359,A$3,Movimientos!$F$1:$F$359,"Ingreso")</f>
        <v>0</v>
      </c>
      <c r="K7" s="48">
        <f>SUMIFS(Movimientos!$J$1:$J$359,Movimientos!$C$1:$C$359,$B7,Movimientos!$D$1:$D$359,$C7,Movimientos!$L$1:$L$359,A$3,Movimientos!$F$1:$F$359,"Egreso")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SUMIFS(Movimientos!$J$1:$J$359,Movimientos!$C$1:$C$359,$B7,Movimientos!$D$1:$D$359,$C7,Movimientos!$L$1:$L$359,A$4,Movimientos!$F$1:$F$359,"Ingreso")</f>
        <v>0</v>
      </c>
      <c r="P7" s="48">
        <f>SUMIFS(Movimientos!$J$1:$J$359,Movimientos!$C$1:$C$359,$B7,Movimientos!$D$1:$D$359,$C7,Movimientos!$L$1:$L$359,A$4,Movimientos!$F$1:$F$359,"Egreso")</f>
        <v>0</v>
      </c>
      <c r="Q7" s="7">
        <f t="shared" si="1"/>
        <v>0</v>
      </c>
      <c r="R7" s="12">
        <f t="shared" ref="R7:R34" si="6">N7+O7-P7</f>
        <v>1669.89</v>
      </c>
    </row>
    <row r="8" spans="1:18" hidden="1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56">
        <f t="shared" si="3"/>
        <v>424853.11999999965</v>
      </c>
      <c r="J8" s="48">
        <f>SUMIFS(Movimientos!$J$1:$J$359,Movimientos!$C$1:$C$359,$B8,Movimientos!$D$1:$D$359,$C8,Movimientos!$L$1:$L$359,A$3,Movimientos!$F$1:$F$359,"Ingreso")</f>
        <v>394761.57</v>
      </c>
      <c r="K8" s="48">
        <f>SUMIFS(Movimientos!$J$1:$J$359,Movimientos!$C$1:$C$359,$B8,Movimientos!$D$1:$D$359,$C8,Movimientos!$L$1:$L$359,A$3,Movimientos!$F$1:$F$359,"Egreso")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8">
        <f>SUMIFS(Movimientos!$J$1:$J$359,Movimientos!$C$1:$C$359,$B8,Movimientos!$D$1:$D$359,$C8,Movimientos!$L$1:$L$359,A$4,Movimientos!$F$1:$F$359,"Ingreso")</f>
        <v>0</v>
      </c>
      <c r="P8" s="48">
        <f>SUMIFS(Movimientos!$J$1:$J$359,Movimientos!$C$1:$C$359,$B8,Movimientos!$D$1:$D$359,$C8,Movimientos!$L$1:$L$359,A$4,Movimientos!$F$1:$F$359,"Egreso")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56">
        <f t="shared" si="3"/>
        <v>10843.21</v>
      </c>
      <c r="J9" s="48">
        <f>SUMIFS(Movimientos!$J$1:$J$359,Movimientos!$C$1:$C$359,$B9,Movimientos!$D$1:$D$359,$C9,Movimientos!$L$1:$L$359,A$3,Movimientos!$F$1:$F$359,"Ingreso")</f>
        <v>15307.88</v>
      </c>
      <c r="K9" s="48">
        <f>SUMIFS(Movimientos!$J$1:$J$359,Movimientos!$C$1:$C$359,$B9,Movimientos!$D$1:$D$359,$C9,Movimientos!$L$1:$L$359,A$3,Movimientos!$F$1:$F$359,"Egreso")</f>
        <v>16063.06</v>
      </c>
      <c r="L9" s="7">
        <f t="shared" si="0"/>
        <v>-755.18000000000029</v>
      </c>
      <c r="M9" s="12">
        <f t="shared" si="4"/>
        <v>10088.029999999997</v>
      </c>
      <c r="N9" s="5">
        <f t="shared" si="5"/>
        <v>10088.029999999997</v>
      </c>
      <c r="O9" s="48">
        <f>SUMIFS(Movimientos!$J$1:$J$359,Movimientos!$C$1:$C$359,$B9,Movimientos!$D$1:$D$359,$C9,Movimientos!$L$1:$L$359,A$4,Movimientos!$F$1:$F$359,"Ingreso")</f>
        <v>0</v>
      </c>
      <c r="P9" s="48">
        <f>SUMIFS(Movimientos!$J$1:$J$359,Movimientos!$C$1:$C$359,$B9,Movimientos!$D$1:$D$359,$C9,Movimientos!$L$1:$L$359,A$4,Movimientos!$F$1:$F$359,"Egreso")</f>
        <v>0</v>
      </c>
      <c r="Q9" s="7">
        <f t="shared" si="1"/>
        <v>0</v>
      </c>
      <c r="R9" s="12">
        <f t="shared" si="6"/>
        <v>10088.029999999997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56">
        <f t="shared" si="3"/>
        <v>563</v>
      </c>
      <c r="J10" s="48">
        <f>SUMIFS(Movimientos!$J$1:$J$359,Movimientos!$C$1:$C$359,$B10,Movimientos!$D$1:$D$359,$C10,Movimientos!$L$1:$L$359,A$3,Movimientos!$F$1:$F$359,"Ingreso")</f>
        <v>0</v>
      </c>
      <c r="K10" s="48">
        <f>SUMIFS(Movimientos!$J$1:$J$359,Movimientos!$C$1:$C$359,$B10,Movimientos!$D$1:$D$359,$C10,Movimientos!$L$1:$L$359,A$3,Movimientos!$F$1:$F$359,"Egreso")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8">
        <f>SUMIFS(Movimientos!$J$1:$J$359,Movimientos!$C$1:$C$359,$B10,Movimientos!$D$1:$D$359,$C10,Movimientos!$L$1:$L$359,A$4,Movimientos!$F$1:$F$359,"Ingreso")</f>
        <v>0</v>
      </c>
      <c r="P10" s="48">
        <f>SUMIFS(Movimientos!$J$1:$J$359,Movimientos!$C$1:$C$359,$B10,Movimientos!$D$1:$D$359,$C10,Movimientos!$L$1:$L$359,A$4,Movimientos!$F$1:$F$359,"Egreso")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56">
        <f t="shared" si="3"/>
        <v>0</v>
      </c>
      <c r="J11" s="48">
        <f>SUMIFS(Movimientos!$J$1:$J$359,Movimientos!$C$1:$C$359,$B11,Movimientos!$D$1:$D$359,$C11,Movimientos!$L$1:$L$359,A$3,Movimientos!$F$1:$F$359,"Ingreso")</f>
        <v>0</v>
      </c>
      <c r="K11" s="48">
        <f>SUMIFS(Movimientos!$J$1:$J$359,Movimientos!$C$1:$C$359,$B11,Movimientos!$D$1:$D$359,$C11,Movimientos!$L$1:$L$359,A$3,Movimientos!$F$1:$F$359,"Egreso")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SUMIFS(Movimientos!$J$1:$J$359,Movimientos!$C$1:$C$359,$B11,Movimientos!$D$1:$D$359,$C11,Movimientos!$L$1:$L$359,A$4,Movimientos!$F$1:$F$359,"Ingreso")</f>
        <v>0</v>
      </c>
      <c r="P11" s="48">
        <f>SUMIFS(Movimientos!$J$1:$J$359,Movimientos!$C$1:$C$359,$B11,Movimientos!$D$1:$D$359,$C11,Movimientos!$L$1:$L$359,A$4,Movimientos!$F$1:$F$359,"Egreso")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56">
        <f t="shared" si="3"/>
        <v>244921.30999999912</v>
      </c>
      <c r="J12" s="48">
        <f>SUMIFS(Movimientos!$J$1:$J$359,Movimientos!$C$1:$C$359,$B12,Movimientos!$D$1:$D$359,$C12,Movimientos!$L$1:$L$359,A$3,Movimientos!$F$1:$F$359,"Ingreso")</f>
        <v>3120000</v>
      </c>
      <c r="K12" s="48">
        <f>SUMIFS(Movimientos!$J$1:$J$359,Movimientos!$C$1:$C$359,$B12,Movimientos!$D$1:$D$359,$C12,Movimientos!$L$1:$L$359,A$3,Movimientos!$F$1:$F$359,"Egreso")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8">
        <f>SUMIFS(Movimientos!$J$1:$J$359,Movimientos!$C$1:$C$359,$B12,Movimientos!$D$1:$D$359,$C12,Movimientos!$L$1:$L$359,A$4,Movimientos!$F$1:$F$359,"Ingreso")</f>
        <v>0</v>
      </c>
      <c r="P12" s="48">
        <f>SUMIFS(Movimientos!$J$1:$J$359,Movimientos!$C$1:$C$359,$B12,Movimientos!$D$1:$D$359,$C12,Movimientos!$L$1:$L$359,A$4,Movimientos!$F$1:$F$359,"Egreso")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56">
        <f t="shared" si="3"/>
        <v>4761.2</v>
      </c>
      <c r="J13" s="48">
        <f>SUMIFS(Movimientos!$J$1:$J$359,Movimientos!$C$1:$C$359,$B13,Movimientos!$D$1:$D$359,$C13,Movimientos!$L$1:$L$359,A$3,Movimientos!$F$1:$F$359,"Ingreso")</f>
        <v>0</v>
      </c>
      <c r="K13" s="48">
        <f>SUMIFS(Movimientos!$J$1:$J$359,Movimientos!$C$1:$C$359,$B13,Movimientos!$D$1:$D$359,$C13,Movimientos!$L$1:$L$359,A$3,Movimientos!$F$1:$F$359,"Egreso")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SUMIFS(Movimientos!$J$1:$J$359,Movimientos!$C$1:$C$359,$B13,Movimientos!$D$1:$D$359,$C13,Movimientos!$L$1:$L$359,A$4,Movimientos!$F$1:$F$359,"Ingreso")</f>
        <v>0</v>
      </c>
      <c r="P13" s="48">
        <f>SUMIFS(Movimientos!$J$1:$J$359,Movimientos!$C$1:$C$359,$B13,Movimientos!$D$1:$D$359,$C13,Movimientos!$L$1:$L$359,A$4,Movimientos!$F$1:$F$359,"Egreso")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56">
        <f t="shared" si="3"/>
        <v>749812.95</v>
      </c>
      <c r="J14" s="48">
        <f>SUMIFS(Movimientos!$J$1:$J$359,Movimientos!$C$1:$C$359,$B14,Movimientos!$D$1:$D$359,$C14,Movimientos!$L$1:$L$359,A$3,Movimientos!$F$1:$F$359,"Ingreso")</f>
        <v>54600</v>
      </c>
      <c r="K14" s="48">
        <f>SUMIFS(Movimientos!$J$1:$J$359,Movimientos!$C$1:$C$359,$B14,Movimientos!$D$1:$D$359,$C14,Movimientos!$L$1:$L$359,A$3,Movimientos!$F$1:$F$359,"Egreso")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8">
        <f>SUMIFS(Movimientos!$J$1:$J$359,Movimientos!$C$1:$C$359,$B14,Movimientos!$D$1:$D$359,$C14,Movimientos!$L$1:$L$359,A$4,Movimientos!$F$1:$F$359,"Ingreso")</f>
        <v>0</v>
      </c>
      <c r="P14" s="48">
        <f>SUMIFS(Movimientos!$J$1:$J$359,Movimientos!$C$1:$C$359,$B14,Movimientos!$D$1:$D$359,$C14,Movimientos!$L$1:$L$359,A$4,Movimientos!$F$1:$F$359,"Egreso")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56">
        <f t="shared" si="3"/>
        <v>5000</v>
      </c>
      <c r="J15" s="48">
        <f>SUMIFS(Movimientos!$J$1:$J$359,Movimientos!$C$1:$C$359,$B15,Movimientos!$D$1:$D$359,$C15,Movimientos!$L$1:$L$359,A$3,Movimientos!$F$1:$F$359,"Ingreso")</f>
        <v>0</v>
      </c>
      <c r="K15" s="48">
        <f>SUMIFS(Movimientos!$J$1:$J$359,Movimientos!$C$1:$C$359,$B15,Movimientos!$D$1:$D$359,$C15,Movimientos!$L$1:$L$359,A$3,Movimientos!$F$1:$F$359,"Egreso")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SUMIFS(Movimientos!$J$1:$J$359,Movimientos!$C$1:$C$359,$B15,Movimientos!$D$1:$D$359,$C15,Movimientos!$L$1:$L$359,A$4,Movimientos!$F$1:$F$359,"Ingreso")</f>
        <v>0</v>
      </c>
      <c r="P15" s="48">
        <f>SUMIFS(Movimientos!$J$1:$J$359,Movimientos!$C$1:$C$359,$B15,Movimientos!$D$1:$D$359,$C15,Movimientos!$L$1:$L$359,A$4,Movimientos!$F$1:$F$359,"Egreso")</f>
        <v>0</v>
      </c>
      <c r="Q15" s="7">
        <f t="shared" si="1"/>
        <v>0</v>
      </c>
      <c r="R15" s="12">
        <f t="shared" si="6"/>
        <v>5000</v>
      </c>
    </row>
    <row r="16" spans="1:18" hidden="1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56">
        <f t="shared" si="3"/>
        <v>57206.89</v>
      </c>
      <c r="J16" s="48">
        <f>SUMIFS(Movimientos!$J$1:$J$359,Movimientos!$C$1:$C$359,$B16,Movimientos!$D$1:$D$359,$C16,Movimientos!$L$1:$L$359,A$3,Movimientos!$F$1:$F$359,"Ingreso")</f>
        <v>0</v>
      </c>
      <c r="K16" s="48">
        <f>SUMIFS(Movimientos!$J$1:$J$359,Movimientos!$C$1:$C$359,$B16,Movimientos!$D$1:$D$359,$C16,Movimientos!$L$1:$L$359,A$3,Movimientos!$F$1:$F$359,"Egreso")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SUMIFS(Movimientos!$J$1:$J$359,Movimientos!$C$1:$C$359,$B16,Movimientos!$D$1:$D$359,$C16,Movimientos!$L$1:$L$359,A$4,Movimientos!$F$1:$F$359,"Ingreso")</f>
        <v>0</v>
      </c>
      <c r="P16" s="48">
        <f>SUMIFS(Movimientos!$J$1:$J$359,Movimientos!$C$1:$C$359,$B16,Movimientos!$D$1:$D$359,$C16,Movimientos!$L$1:$L$359,A$4,Movimientos!$F$1:$F$359,"Egreso")</f>
        <v>0</v>
      </c>
      <c r="Q16" s="7">
        <f t="shared" si="1"/>
        <v>0</v>
      </c>
      <c r="R16" s="12">
        <f t="shared" si="6"/>
        <v>57206.89</v>
      </c>
    </row>
    <row r="17" spans="1:18" hidden="1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56">
        <f t="shared" si="3"/>
        <v>6365</v>
      </c>
      <c r="J17" s="48">
        <f>SUMIFS(Movimientos!$J$1:$J$359,Movimientos!$C$1:$C$359,$B17,Movimientos!$D$1:$D$359,$C17,Movimientos!$L$1:$L$359,A$3,Movimientos!$F$1:$F$359,"Ingreso")</f>
        <v>0</v>
      </c>
      <c r="K17" s="48">
        <f>SUMIFS(Movimientos!$J$1:$J$359,Movimientos!$C$1:$C$359,$B17,Movimientos!$D$1:$D$359,$C17,Movimientos!$L$1:$L$359,A$3,Movimientos!$F$1:$F$359,"Egreso")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SUMIFS(Movimientos!$J$1:$J$359,Movimientos!$C$1:$C$359,$B17,Movimientos!$D$1:$D$359,$C17,Movimientos!$L$1:$L$359,A$4,Movimientos!$F$1:$F$359,"Ingreso")</f>
        <v>0</v>
      </c>
      <c r="P17" s="48">
        <f>SUMIFS(Movimientos!$J$1:$J$359,Movimientos!$C$1:$C$359,$B17,Movimientos!$D$1:$D$359,$C17,Movimientos!$L$1:$L$359,A$4,Movimientos!$F$1:$F$359,"Egreso")</f>
        <v>0</v>
      </c>
      <c r="Q17" s="7">
        <f t="shared" si="1"/>
        <v>0</v>
      </c>
      <c r="R17" s="12">
        <f t="shared" si="6"/>
        <v>6365</v>
      </c>
    </row>
    <row r="18" spans="1:18" hidden="1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56">
        <f t="shared" si="3"/>
        <v>57206.89</v>
      </c>
      <c r="J18" s="48">
        <f>SUMIFS(Movimientos!$J$1:$J$359,Movimientos!$C$1:$C$359,$B18,Movimientos!$D$1:$D$359,$C18,Movimientos!$L$1:$L$359,A$3,Movimientos!$F$1:$F$359,"Ingreso")</f>
        <v>0</v>
      </c>
      <c r="K18" s="48">
        <f>SUMIFS(Movimientos!$J$1:$J$359,Movimientos!$C$1:$C$359,$B18,Movimientos!$D$1:$D$359,$C18,Movimientos!$L$1:$L$359,A$3,Movimientos!$F$1:$F$359,"Egreso")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SUMIFS(Movimientos!$J$1:$J$359,Movimientos!$C$1:$C$359,$B18,Movimientos!$D$1:$D$359,$C18,Movimientos!$L$1:$L$359,A$4,Movimientos!$F$1:$F$359,"Ingreso")</f>
        <v>0</v>
      </c>
      <c r="P18" s="48">
        <f>SUMIFS(Movimientos!$J$1:$J$359,Movimientos!$C$1:$C$359,$B18,Movimientos!$D$1:$D$359,$C18,Movimientos!$L$1:$L$359,A$4,Movimientos!$F$1:$F$359,"Egreso")</f>
        <v>0</v>
      </c>
      <c r="Q18" s="7">
        <f t="shared" si="1"/>
        <v>0</v>
      </c>
      <c r="R18" s="12">
        <f t="shared" si="6"/>
        <v>51206.89</v>
      </c>
    </row>
    <row r="19" spans="1:18" hidden="1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56">
        <f t="shared" si="3"/>
        <v>10717.600000000006</v>
      </c>
      <c r="J19" s="48">
        <f>SUMIFS(Movimientos!$J$1:$J$359,Movimientos!$C$1:$C$359,$B19,Movimientos!$D$1:$D$359,$C19,Movimientos!$L$1:$L$359,A$3,Movimientos!$F$1:$F$359,"Ingreso")</f>
        <v>50000</v>
      </c>
      <c r="K19" s="48">
        <f>SUMIFS(Movimientos!$J$1:$J$359,Movimientos!$C$1:$C$359,$B19,Movimientos!$D$1:$D$359,$C19,Movimientos!$L$1:$L$359,A$3,Movimientos!$F$1:$F$359,"Egreso")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SUMIFS(Movimientos!$J$1:$J$359,Movimientos!$C$1:$C$359,$B19,Movimientos!$D$1:$D$359,$C19,Movimientos!$L$1:$L$359,A$4,Movimientos!$F$1:$F$359,"Ingreso")</f>
        <v>0</v>
      </c>
      <c r="P19" s="48">
        <f>SUMIFS(Movimientos!$J$1:$J$359,Movimientos!$C$1:$C$359,$B19,Movimientos!$D$1:$D$359,$C19,Movimientos!$L$1:$L$359,A$4,Movimientos!$F$1:$F$359,"Egreso")</f>
        <v>0</v>
      </c>
      <c r="Q19" s="7">
        <f t="shared" si="1"/>
        <v>0</v>
      </c>
      <c r="R19" s="12">
        <f t="shared" si="6"/>
        <v>1717.6000000000058</v>
      </c>
    </row>
    <row r="20" spans="1:18" hidden="1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56">
        <f t="shared" si="3"/>
        <v>88090.370000000112</v>
      </c>
      <c r="J20" s="48">
        <f>SUMIFS(Movimientos!$J$1:$J$359,Movimientos!$C$1:$C$359,$B20,Movimientos!$D$1:$D$359,$C20,Movimientos!$L$1:$L$359,A$3,Movimientos!$F$1:$F$359,"Ingreso")</f>
        <v>0</v>
      </c>
      <c r="K20" s="48">
        <f>SUMIFS(Movimientos!$J$1:$J$359,Movimientos!$C$1:$C$359,$B20,Movimientos!$D$1:$D$359,$C20,Movimientos!$L$1:$L$359,A$3,Movimientos!$F$1:$F$359,"Egreso")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SUMIFS(Movimientos!$J$1:$J$359,Movimientos!$C$1:$C$359,$B20,Movimientos!$D$1:$D$359,$C20,Movimientos!$L$1:$L$359,A$4,Movimientos!$F$1:$F$359,"Ingreso")</f>
        <v>0</v>
      </c>
      <c r="P20" s="48">
        <f>SUMIFS(Movimientos!$J$1:$J$359,Movimientos!$C$1:$C$359,$B20,Movimientos!$D$1:$D$359,$C20,Movimientos!$L$1:$L$359,A$4,Movimientos!$F$1:$F$359,"Egreso")</f>
        <v>0</v>
      </c>
      <c r="Q20" s="7">
        <f t="shared" si="1"/>
        <v>0</v>
      </c>
      <c r="R20" s="12">
        <f t="shared" si="6"/>
        <v>88090.370000000112</v>
      </c>
    </row>
    <row r="21" spans="1:18" hidden="1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56">
        <f t="shared" si="3"/>
        <v>1227.9699999999998</v>
      </c>
      <c r="J21" s="48">
        <f>SUMIFS(Movimientos!$J$1:$J$359,Movimientos!$C$1:$C$359,$B21,Movimientos!$D$1:$D$359,$C21,Movimientos!$L$1:$L$359,A$3,Movimientos!$F$1:$F$359,"Ingreso")</f>
        <v>0</v>
      </c>
      <c r="K21" s="48">
        <f>SUMIFS(Movimientos!$J$1:$J$359,Movimientos!$C$1:$C$359,$B21,Movimientos!$D$1:$D$359,$C21,Movimientos!$L$1:$L$359,A$3,Movimientos!$F$1:$F$359,"Egreso")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SUMIFS(Movimientos!$J$1:$J$359,Movimientos!$C$1:$C$359,$B21,Movimientos!$D$1:$D$359,$C21,Movimientos!$L$1:$L$359,A$4,Movimientos!$F$1:$F$359,"Ingreso")</f>
        <v>0</v>
      </c>
      <c r="P21" s="48">
        <f>SUMIFS(Movimientos!$J$1:$J$359,Movimientos!$C$1:$C$359,$B21,Movimientos!$D$1:$D$359,$C21,Movimientos!$L$1:$L$359,A$4,Movimientos!$F$1:$F$359,"Egreso")</f>
        <v>0</v>
      </c>
      <c r="Q21" s="7">
        <f t="shared" si="1"/>
        <v>0</v>
      </c>
      <c r="R21" s="12">
        <f t="shared" si="6"/>
        <v>1227.9699999999998</v>
      </c>
    </row>
    <row r="22" spans="1:18" hidden="1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56">
        <f t="shared" si="3"/>
        <v>114.3</v>
      </c>
      <c r="J22" s="48">
        <f>SUMIFS(Movimientos!$J$1:$J$359,Movimientos!$C$1:$C$359,$B22,Movimientos!$D$1:$D$359,$C22,Movimientos!$L$1:$L$359,A$3,Movimientos!$F$1:$F$359,"Ingreso")</f>
        <v>0</v>
      </c>
      <c r="K22" s="48">
        <f>SUMIFS(Movimientos!$J$1:$J$359,Movimientos!$C$1:$C$359,$B22,Movimientos!$D$1:$D$359,$C22,Movimientos!$L$1:$L$359,A$3,Movimientos!$F$1:$F$359,"Egreso")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SUMIFS(Movimientos!$J$1:$J$359,Movimientos!$C$1:$C$359,$B22,Movimientos!$D$1:$D$359,$C22,Movimientos!$L$1:$L$359,A$4,Movimientos!$F$1:$F$359,"Ingreso")</f>
        <v>0</v>
      </c>
      <c r="P22" s="48">
        <f>SUMIFS(Movimientos!$J$1:$J$359,Movimientos!$C$1:$C$359,$B22,Movimientos!$D$1:$D$359,$C22,Movimientos!$L$1:$L$359,A$4,Movimientos!$F$1:$F$359,"Egreso")</f>
        <v>0</v>
      </c>
      <c r="Q22" s="7">
        <f t="shared" si="1"/>
        <v>0</v>
      </c>
      <c r="R22" s="12">
        <f t="shared" si="6"/>
        <v>84.35</v>
      </c>
    </row>
    <row r="23" spans="1:18" hidden="1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56">
        <f t="shared" si="3"/>
        <v>2267.7200000000003</v>
      </c>
      <c r="J23" s="48">
        <f>SUMIFS(Movimientos!$J$1:$J$359,Movimientos!$C$1:$C$359,$B23,Movimientos!$D$1:$D$359,$C23,Movimientos!$L$1:$L$359,A$3,Movimientos!$F$1:$F$359,"Ingreso")</f>
        <v>0</v>
      </c>
      <c r="K23" s="48">
        <f>SUMIFS(Movimientos!$J$1:$J$359,Movimientos!$C$1:$C$359,$B23,Movimientos!$D$1:$D$359,$C23,Movimientos!$L$1:$L$359,A$3,Movimientos!$F$1:$F$359,"Egreso")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SUMIFS(Movimientos!$J$1:$J$359,Movimientos!$C$1:$C$359,$B23,Movimientos!$D$1:$D$359,$C23,Movimientos!$L$1:$L$359,A$4,Movimientos!$F$1:$F$359,"Ingreso")</f>
        <v>0</v>
      </c>
      <c r="P23" s="48">
        <f>SUMIFS(Movimientos!$J$1:$J$359,Movimientos!$C$1:$C$359,$B23,Movimientos!$D$1:$D$359,$C23,Movimientos!$L$1:$L$359,A$4,Movimientos!$F$1:$F$359,"Egreso")</f>
        <v>0</v>
      </c>
      <c r="Q23" s="7">
        <f t="shared" si="1"/>
        <v>0</v>
      </c>
      <c r="R23" s="12">
        <f t="shared" si="6"/>
        <v>2237.7700000000004</v>
      </c>
    </row>
    <row r="24" spans="1:18" hidden="1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56">
        <f t="shared" si="3"/>
        <v>3349.94</v>
      </c>
      <c r="J24" s="48">
        <f>SUMIFS(Movimientos!$J$1:$J$359,Movimientos!$C$1:$C$359,$B24,Movimientos!$D$1:$D$359,$C24,Movimientos!$L$1:$L$359,A$3,Movimientos!$F$1:$F$359,"Ingreso")</f>
        <v>0</v>
      </c>
      <c r="K24" s="48">
        <f>SUMIFS(Movimientos!$J$1:$J$359,Movimientos!$C$1:$C$359,$B24,Movimientos!$D$1:$D$359,$C24,Movimientos!$L$1:$L$359,A$3,Movimientos!$F$1:$F$359,"Egreso")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SUMIFS(Movimientos!$J$1:$J$359,Movimientos!$C$1:$C$359,$B24,Movimientos!$D$1:$D$359,$C24,Movimientos!$L$1:$L$359,A$4,Movimientos!$F$1:$F$359,"Ingreso")</f>
        <v>0</v>
      </c>
      <c r="P24" s="48">
        <f>SUMIFS(Movimientos!$J$1:$J$359,Movimientos!$C$1:$C$359,$B24,Movimientos!$D$1:$D$359,$C24,Movimientos!$L$1:$L$359,A$4,Movimientos!$F$1:$F$359,"Egreso")</f>
        <v>0</v>
      </c>
      <c r="Q24" s="7">
        <f t="shared" si="1"/>
        <v>0</v>
      </c>
      <c r="R24" s="12">
        <f t="shared" si="6"/>
        <v>3349.94</v>
      </c>
    </row>
    <row r="25" spans="1:18" hidden="1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56">
        <f t="shared" si="3"/>
        <v>1968.99</v>
      </c>
      <c r="J25" s="48">
        <f>SUMIFS(Movimientos!$J$1:$J$359,Movimientos!$C$1:$C$359,$B25,Movimientos!$D$1:$D$359,$C25,Movimientos!$L$1:$L$359,A$3,Movimientos!$F$1:$F$359,"Ingreso")</f>
        <v>0</v>
      </c>
      <c r="K25" s="48">
        <f>SUMIFS(Movimientos!$J$1:$J$359,Movimientos!$C$1:$C$359,$B25,Movimientos!$D$1:$D$359,$C25,Movimientos!$L$1:$L$359,A$3,Movimientos!$F$1:$F$359,"Egreso")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SUMIFS(Movimientos!$J$1:$J$359,Movimientos!$C$1:$C$359,$B25,Movimientos!$D$1:$D$359,$C25,Movimientos!$L$1:$L$359,A$4,Movimientos!$F$1:$F$359,"Ingreso")</f>
        <v>0</v>
      </c>
      <c r="P25" s="48">
        <f>SUMIFS(Movimientos!$J$1:$J$359,Movimientos!$C$1:$C$359,$B25,Movimientos!$D$1:$D$359,$C25,Movimientos!$L$1:$L$359,A$4,Movimientos!$F$1:$F$359,"Egreso")</f>
        <v>0</v>
      </c>
      <c r="Q25" s="7">
        <f t="shared" si="1"/>
        <v>0</v>
      </c>
      <c r="R25" s="12">
        <f t="shared" si="6"/>
        <v>1968.99</v>
      </c>
    </row>
    <row r="26" spans="1:18" hidden="1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56">
        <f t="shared" si="3"/>
        <v>0</v>
      </c>
      <c r="J26" s="48">
        <f>SUMIFS(Movimientos!$J$1:$J$359,Movimientos!$C$1:$C$359,$B26,Movimientos!$D$1:$D$359,$C26,Movimientos!$L$1:$L$359,A$3,Movimientos!$F$1:$F$359,"Ingreso")</f>
        <v>0</v>
      </c>
      <c r="K26" s="48">
        <f>SUMIFS(Movimientos!$J$1:$J$359,Movimientos!$C$1:$C$359,$B26,Movimientos!$D$1:$D$359,$C26,Movimientos!$L$1:$L$359,A$3,Movimientos!$F$1:$F$359,"Egreso")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SUMIFS(Movimientos!$J$1:$J$359,Movimientos!$C$1:$C$359,$B26,Movimientos!$D$1:$D$359,$C26,Movimientos!$L$1:$L$359,A$4,Movimientos!$F$1:$F$359,"Ingreso")</f>
        <v>0</v>
      </c>
      <c r="P26" s="48">
        <f>SUMIFS(Movimientos!$J$1:$J$359,Movimientos!$C$1:$C$359,$B26,Movimientos!$D$1:$D$359,$C26,Movimientos!$L$1:$L$359,A$4,Movimientos!$F$1:$F$359,"Egreso")</f>
        <v>0</v>
      </c>
      <c r="Q26" s="7">
        <f t="shared" si="1"/>
        <v>0</v>
      </c>
      <c r="R26" s="12">
        <f t="shared" si="6"/>
        <v>0</v>
      </c>
    </row>
    <row r="27" spans="1:18" hidden="1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56">
        <f t="shared" si="3"/>
        <v>901.34</v>
      </c>
      <c r="J27" s="48">
        <f>SUMIFS(Movimientos!$J$1:$J$359,Movimientos!$C$1:$C$359,$B27,Movimientos!$D$1:$D$359,$C27,Movimientos!$L$1:$L$359,A$3,Movimientos!$F$1:$F$359,"Ingreso")</f>
        <v>0</v>
      </c>
      <c r="K27" s="48">
        <f>SUMIFS(Movimientos!$J$1:$J$359,Movimientos!$C$1:$C$359,$B27,Movimientos!$D$1:$D$359,$C27,Movimientos!$L$1:$L$359,A$3,Movimientos!$F$1:$F$359,"Egreso")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SUMIFS(Movimientos!$J$1:$J$359,Movimientos!$C$1:$C$359,$B27,Movimientos!$D$1:$D$359,$C27,Movimientos!$L$1:$L$359,A$4,Movimientos!$F$1:$F$359,"Ingreso")</f>
        <v>0</v>
      </c>
      <c r="P27" s="48">
        <f>SUMIFS(Movimientos!$J$1:$J$359,Movimientos!$C$1:$C$359,$B27,Movimientos!$D$1:$D$359,$C27,Movimientos!$L$1:$L$359,A$4,Movimientos!$F$1:$F$359,"Egreso")</f>
        <v>0</v>
      </c>
      <c r="Q27" s="7">
        <f t="shared" si="1"/>
        <v>0</v>
      </c>
      <c r="R27" s="12">
        <f t="shared" si="6"/>
        <v>382.69000000000005</v>
      </c>
    </row>
    <row r="28" spans="1:18" hidden="1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56">
        <f t="shared" si="3"/>
        <v>1444.08</v>
      </c>
      <c r="J28" s="48">
        <f>SUMIFS(Movimientos!$J$1:$J$359,Movimientos!$C$1:$C$359,$B28,Movimientos!$D$1:$D$359,$C28,Movimientos!$L$1:$L$359,A$3,Movimientos!$F$1:$F$359,"Ingreso")</f>
        <v>0</v>
      </c>
      <c r="K28" s="48">
        <f>SUMIFS(Movimientos!$J$1:$J$359,Movimientos!$C$1:$C$359,$B28,Movimientos!$D$1:$D$359,$C28,Movimientos!$L$1:$L$359,A$3,Movimientos!$F$1:$F$359,"Egreso")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SUMIFS(Movimientos!$J$1:$J$359,Movimientos!$C$1:$C$359,$B28,Movimientos!$D$1:$D$359,$C28,Movimientos!$L$1:$L$359,A$4,Movimientos!$F$1:$F$359,"Ingreso")</f>
        <v>0</v>
      </c>
      <c r="P28" s="48">
        <f>SUMIFS(Movimientos!$J$1:$J$359,Movimientos!$C$1:$C$359,$B28,Movimientos!$D$1:$D$359,$C28,Movimientos!$L$1:$L$359,A$4,Movimientos!$F$1:$F$359,"Egreso")</f>
        <v>0</v>
      </c>
      <c r="Q28" s="7">
        <f t="shared" si="1"/>
        <v>0</v>
      </c>
      <c r="R28" s="12">
        <f t="shared" si="6"/>
        <v>1428.08</v>
      </c>
    </row>
    <row r="29" spans="1:18" hidden="1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56">
        <f t="shared" si="3"/>
        <v>35108.179999999964</v>
      </c>
      <c r="J29" s="48">
        <f>SUMIFS(Movimientos!$J$1:$J$359,Movimientos!$C$1:$C$359,$B29,Movimientos!$D$1:$D$359,$C29,Movimientos!$L$1:$L$359,A$3,Movimientos!$F$1:$F$359,"Ingreso")</f>
        <v>4000</v>
      </c>
      <c r="K29" s="48">
        <f>SUMIFS(Movimientos!$J$1:$J$359,Movimientos!$C$1:$C$359,$B29,Movimientos!$D$1:$D$359,$C29,Movimientos!$L$1:$L$359,A$3,Movimientos!$F$1:$F$359,"Egreso")</f>
        <v>9648.6299999999992</v>
      </c>
      <c r="L29" s="7">
        <f t="shared" si="0"/>
        <v>-5648.6299999999992</v>
      </c>
      <c r="M29" s="12">
        <f t="shared" si="4"/>
        <v>29459.549999999967</v>
      </c>
      <c r="N29" s="5">
        <f t="shared" si="5"/>
        <v>29459.549999999967</v>
      </c>
      <c r="O29" s="48">
        <f>SUMIFS(Movimientos!$J$1:$J$359,Movimientos!$C$1:$C$359,$B29,Movimientos!$D$1:$D$359,$C29,Movimientos!$L$1:$L$359,A$4,Movimientos!$F$1:$F$359,"Ingreso")</f>
        <v>0</v>
      </c>
      <c r="P29" s="48">
        <f>SUMIFS(Movimientos!$J$1:$J$359,Movimientos!$C$1:$C$359,$B29,Movimientos!$D$1:$D$359,$C29,Movimientos!$L$1:$L$359,A$4,Movimientos!$F$1:$F$359,"Egreso")</f>
        <v>0</v>
      </c>
      <c r="Q29" s="7">
        <f t="shared" si="1"/>
        <v>0</v>
      </c>
      <c r="R29" s="12">
        <f t="shared" si="6"/>
        <v>29459.549999999967</v>
      </c>
    </row>
    <row r="30" spans="1:18" hidden="1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56">
        <f t="shared" si="3"/>
        <v>340.42</v>
      </c>
      <c r="J30" s="48">
        <f>SUMIFS(Movimientos!$J$1:$J$359,Movimientos!$C$1:$C$359,$B30,Movimientos!$D$1:$D$359,$C30,Movimientos!$L$1:$L$359,A$3,Movimientos!$F$1:$F$359,"Ingreso")</f>
        <v>0</v>
      </c>
      <c r="K30" s="48">
        <f>SUMIFS(Movimientos!$J$1:$J$359,Movimientos!$C$1:$C$359,$B30,Movimientos!$D$1:$D$359,$C30,Movimientos!$L$1:$L$359,A$3,Movimientos!$F$1:$F$359,"Egreso")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SUMIFS(Movimientos!$J$1:$J$359,Movimientos!$C$1:$C$359,$B30,Movimientos!$D$1:$D$359,$C30,Movimientos!$L$1:$L$359,A$4,Movimientos!$F$1:$F$359,"Ingreso")</f>
        <v>0</v>
      </c>
      <c r="P30" s="48">
        <f>SUMIFS(Movimientos!$J$1:$J$359,Movimientos!$C$1:$C$359,$B30,Movimientos!$D$1:$D$359,$C30,Movimientos!$L$1:$L$359,A$4,Movimientos!$F$1:$F$359,"Egreso")</f>
        <v>0</v>
      </c>
      <c r="Q30" s="7">
        <f t="shared" si="1"/>
        <v>0</v>
      </c>
      <c r="R30" s="12">
        <f t="shared" si="6"/>
        <v>330.42</v>
      </c>
    </row>
    <row r="31" spans="1:18" hidden="1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56">
        <f t="shared" si="3"/>
        <v>15120.060000000001</v>
      </c>
      <c r="J31" s="48">
        <f>SUMIFS(Movimientos!$J$1:$J$359,Movimientos!$C$1:$C$359,$B31,Movimientos!$D$1:$D$359,$C31,Movimientos!$L$1:$L$359,A$3,Movimientos!$F$1:$F$359,"Ingreso")</f>
        <v>15000</v>
      </c>
      <c r="K31" s="48">
        <f>SUMIFS(Movimientos!$J$1:$J$359,Movimientos!$C$1:$C$359,$B31,Movimientos!$D$1:$D$359,$C31,Movimientos!$L$1:$L$359,A$3,Movimientos!$F$1:$F$359,"Egreso")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8">
        <f>SUMIFS(Movimientos!$J$1:$J$359,Movimientos!$C$1:$C$359,$B31,Movimientos!$D$1:$D$359,$C31,Movimientos!$L$1:$L$359,A$4,Movimientos!$F$1:$F$359,"Ingreso")</f>
        <v>0</v>
      </c>
      <c r="P31" s="48">
        <f>SUMIFS(Movimientos!$J$1:$J$359,Movimientos!$C$1:$C$359,$B31,Movimientos!$D$1:$D$359,$C31,Movimientos!$L$1:$L$359,A$4,Movimientos!$F$1:$F$359,"Egreso")</f>
        <v>0</v>
      </c>
      <c r="Q31" s="7">
        <f t="shared" si="1"/>
        <v>0</v>
      </c>
      <c r="R31" s="12">
        <f t="shared" si="6"/>
        <v>20321.43</v>
      </c>
    </row>
    <row r="32" spans="1:18" hidden="1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56">
        <f t="shared" si="3"/>
        <v>33606.269999999997</v>
      </c>
      <c r="J32" s="48">
        <f>SUMIFS(Movimientos!$J$1:$J$359,Movimientos!$C$1:$C$359,$B32,Movimientos!$D$1:$D$359,$C32,Movimientos!$L$1:$L$359,A$3,Movimientos!$F$1:$F$359,"Ingreso")</f>
        <v>0</v>
      </c>
      <c r="K32" s="48">
        <f>SUMIFS(Movimientos!$J$1:$J$359,Movimientos!$C$1:$C$359,$B32,Movimientos!$D$1:$D$359,$C32,Movimientos!$L$1:$L$359,A$3,Movimientos!$F$1:$F$359,"Egreso")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8">
        <f>SUMIFS(Movimientos!$J$1:$J$359,Movimientos!$C$1:$C$359,$B32,Movimientos!$D$1:$D$359,$C32,Movimientos!$L$1:$L$359,A$4,Movimientos!$F$1:$F$359,"Ingreso")</f>
        <v>0</v>
      </c>
      <c r="P32" s="48">
        <f>SUMIFS(Movimientos!$J$1:$J$359,Movimientos!$C$1:$C$359,$B32,Movimientos!$D$1:$D$359,$C32,Movimientos!$L$1:$L$359,A$4,Movimientos!$F$1:$F$359,"Egreso")</f>
        <v>0</v>
      </c>
      <c r="Q32" s="7">
        <f t="shared" si="1"/>
        <v>0</v>
      </c>
      <c r="R32" s="12">
        <f t="shared" si="6"/>
        <v>16681.349999999999</v>
      </c>
    </row>
    <row r="33" spans="1:18" hidden="1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56">
        <f t="shared" si="3"/>
        <v>345</v>
      </c>
      <c r="J33" s="48">
        <f>SUMIFS(Movimientos!$J$1:$J$359,Movimientos!$C$1:$C$359,$B33,Movimientos!$D$1:$D$359,$C33,Movimientos!$L$1:$L$359,A$3,Movimientos!$F$1:$F$359,"Ingreso")</f>
        <v>59000</v>
      </c>
      <c r="K33" s="48">
        <f>SUMIFS(Movimientos!$J$1:$J$359,Movimientos!$C$1:$C$359,$B33,Movimientos!$D$1:$D$359,$C33,Movimientos!$L$1:$L$359,A$3,Movimientos!$F$1:$F$359,"Egreso")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SUMIFS(Movimientos!$J$1:$J$359,Movimientos!$C$1:$C$359,$B33,Movimientos!$D$1:$D$359,$C33,Movimientos!$L$1:$L$359,A$4,Movimientos!$F$1:$F$359,"Ingreso")</f>
        <v>0</v>
      </c>
      <c r="P33" s="48">
        <f>SUMIFS(Movimientos!$J$1:$J$359,Movimientos!$C$1:$C$359,$B33,Movimientos!$D$1:$D$359,$C33,Movimientos!$L$1:$L$359,A$4,Movimientos!$F$1:$F$359,"Egreso")</f>
        <v>0</v>
      </c>
      <c r="Q33" s="7">
        <f t="shared" si="1"/>
        <v>0</v>
      </c>
      <c r="R33" s="12">
        <f t="shared" si="6"/>
        <v>345</v>
      </c>
    </row>
    <row r="34" spans="1:18" hidden="1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56">
        <f t="shared" si="3"/>
        <v>9076.2399999999907</v>
      </c>
      <c r="J34" s="48">
        <f>SUMIFS(Movimientos!$J$1:$J$359,Movimientos!$C$1:$C$359,$B34,Movimientos!$D$1:$D$359,$C34,Movimientos!$L$1:$L$359,A$3,Movimientos!$F$1:$F$359,"Ingreso")</f>
        <v>59000</v>
      </c>
      <c r="K34" s="48">
        <f>SUMIFS(Movimientos!$J$1:$J$359,Movimientos!$C$1:$C$359,$B34,Movimientos!$D$1:$D$359,$C34,Movimientos!$L$1:$L$359,A$3,Movimientos!$F$1:$F$359,"Egreso")</f>
        <v>24079.23</v>
      </c>
      <c r="L34" s="7">
        <f t="shared" si="0"/>
        <v>34920.770000000004</v>
      </c>
      <c r="M34" s="12">
        <f t="shared" si="4"/>
        <v>43997.009999999995</v>
      </c>
      <c r="N34" s="5">
        <f t="shared" si="5"/>
        <v>43997.009999999995</v>
      </c>
      <c r="O34" s="48">
        <f>SUMIFS(Movimientos!$J$1:$J$359,Movimientos!$C$1:$C$359,$B34,Movimientos!$D$1:$D$359,$C34,Movimientos!$L$1:$L$359,A$4,Movimientos!$F$1:$F$359,"Ingreso")</f>
        <v>0</v>
      </c>
      <c r="P34" s="48">
        <f>SUMIFS(Movimientos!$J$1:$J$359,Movimientos!$C$1:$C$359,$B34,Movimientos!$D$1:$D$359,$C34,Movimientos!$L$1:$L$359,A$4,Movimientos!$F$1:$F$359,"Egreso")</f>
        <v>0</v>
      </c>
      <c r="Q34" s="7">
        <f t="shared" si="1"/>
        <v>0</v>
      </c>
      <c r="R34" s="12">
        <f t="shared" si="6"/>
        <v>43997.009999999995</v>
      </c>
    </row>
    <row r="35" spans="1:18" x14ac:dyDescent="0.3">
      <c r="C35" s="40"/>
    </row>
  </sheetData>
  <autoFilter ref="A1:C34" xr:uid="{00000000-0001-0000-0200-000000000000}">
    <filterColumn colId="2">
      <filters>
        <filter val="Amerant Bank  - SSP Capital - 4706-USD"/>
        <filter val="Amerant Bank DACA - SSP Capital - 9873-USD"/>
        <filter val="Amerant Bank Money Market - SSP Capital - 1006-USD"/>
        <filter val="Bank of America - SSP Capital - 1655-USD"/>
        <filter val="Bank of America - SSP Capital - 2580-USD"/>
        <filter val="EFG  - SSP Capital - 21.0-USD"/>
        <filter val="Northern Trust - SSP Capital - 1452-USD"/>
      </filters>
    </filterColumn>
  </autoFilter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36" activePane="bottomRight" state="frozen"/>
      <selection pane="topRight" activeCell="C1" sqref="C1"/>
      <selection pane="bottomLeft" activeCell="A2" sqref="A2"/>
      <selection pane="bottomRight" activeCell="C50" sqref="C50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Group")+SUMIFS(Movimientos!$K$1:$K$359,Movimientos!$C$1:$C$359,"CFT Group",Movimientos!$B$1:$B$359,"&lt;="&amp;$B33)</f>
        <v>983394.14000000013</v>
      </c>
      <c r="D33" s="24">
        <f>SUMIFS('Saldos Iniciales'!$D:$D,'Saldos Iniciales'!$A:$A,"M1B")+SUMIFS(Movimientos!$K$1:$K$359,Movimientos!$C$1:$C$359,"M1B",Movimientos!$B$1:$B$359,"&lt;="&amp;$B33)</f>
        <v>69376.390000000174</v>
      </c>
      <c r="E33" s="24">
        <f>SUMIFS('Saldos Iniciales'!$D:$D,'Saldos Iniciales'!$A:$A,"Durand")+SUMIFS(Movimientos!$K$1:$K$359,Movimientos!$C$1:$C$359,"Durand",Movimientos!$B$1:$B$359,"&lt;="&amp;$B33)</f>
        <v>1669.89</v>
      </c>
      <c r="F33" s="24">
        <f>SUMIFS('Saldos Iniciales'!$D:$D,'Saldos Iniciales'!$A:$A,"A&amp;M Imports")+SUMIFS(Movimientos!$K$1:$K$359,Movimientos!$C$1:$C$359,"A&amp;M Imports",Movimientos!$B$1:$B$359,"&lt;="&amp;$B33)</f>
        <v>804853.11999999988</v>
      </c>
      <c r="G33" s="24">
        <f>SUMIFS('Saldos Iniciales'!$D:$D,'Saldos Iniciales'!$A:$A,"SSP Capital")+SUMIFS(Movimientos!$K$1:$K$359,Movimientos!$C$1:$C$359,"SSP Capital",Movimientos!$B$1:$B$359,"&lt;="&amp;$B33)</f>
        <v>1015901.6699999992</v>
      </c>
      <c r="H33" s="24">
        <f>SUMIFS('Saldos Iniciales'!$D:$D,'Saldos Iniciales'!$A:$A,"Cross Family Trust")+SUMIFS(Movimientos!$K$1:$K$359,Movimientos!$C$1:$C$359,"Cross Family Trust",Movimientos!$B$1:$B$359,"&lt;="&amp;$B33)</f>
        <v>131496.38</v>
      </c>
      <c r="I33" s="24">
        <f>SUMIFS('Saldos Iniciales'!$D:$D,'Saldos Iniciales'!$A:$A,"Cross Security Trust")+SUMIFS(Movimientos!$K$1:$K$359,Movimientos!$C$1:$C$359,"Cross Security Trust",Movimientos!$B$1:$B$359,"&lt;="&amp;$B33)</f>
        <v>88090.37</v>
      </c>
      <c r="J33" s="24">
        <f>SUMIFS('Saldos Iniciales'!$D:$D,'Saldos Iniciales'!$A:$A,"Electrama")+SUMIFS(Movimientos!$K$1:$K$359,Movimientos!$C$1:$C$359,"Electrama",Movimientos!$B$1:$B$359,"&lt;="&amp;$B33)</f>
        <v>1227.9699999999998</v>
      </c>
      <c r="K33" s="24">
        <f>SUMIFS('Saldos Iniciales'!$D:$D,'Saldos Iniciales'!$A:$A,"Sacred Valley Capital")+SUMIFS(Movimientos!$K$1:$K$359,Movimientos!$C$1:$C$359,"Sacred Valley Capital",Movimientos!$B$1:$B$359,"&lt;="&amp;$B33)</f>
        <v>84.35</v>
      </c>
      <c r="L33" s="24">
        <f>SUMIFS('Saldos Iniciales'!$D:$D,'Saldos Iniciales'!$A:$A,"YWC Capital")+SUMIFS(Movimientos!$K$1:$K$359,Movimientos!$C$1:$C$359,"YWC Capital",Movimientos!$B$1:$B$359,"&lt;="&amp;$B33)</f>
        <v>2237.77</v>
      </c>
      <c r="M33" s="24">
        <f>SUMIFS('Saldos Iniciales'!$D:$D,'Saldos Iniciales'!$A:$A,"Soweto")+SUMIFS(Movimientos!$K$1:$K$359,Movimientos!$C$1:$C$359,"Soweto",Movimientos!$B$1:$B$359,"&lt;="&amp;$B33)</f>
        <v>3349.94</v>
      </c>
      <c r="N33" s="24">
        <f>SUMIFS('Saldos Iniciales'!$D:$D,'Saldos Iniciales'!$A:$A,"Green Stone Trust")+SUMIFS(Movimientos!$K$1:$K$359,Movimientos!$C$1:$C$359,"Green Stone Trust",Movimientos!$B$1:$B$359,"&lt;="&amp;$B33)</f>
        <v>1968.99</v>
      </c>
      <c r="O33" s="24">
        <f>SUMIFS('Saldos Iniciales'!$D:$D,'Saldos Iniciales'!$A:$A,"EC Auto")+SUMIFS(Movimientos!$K$1:$K$359,Movimientos!$C$1:$C$359,"EC Auto",Movimientos!$B$1:$B$359,"&lt;="&amp;$B33)</f>
        <v>901.34</v>
      </c>
      <c r="P33" s="24">
        <f>SUMIFS('Saldos Iniciales'!$D:$D,'Saldos Iniciales'!$A:$A,"Arbor Capital Properties")+SUMIFS(Movimientos!$K$1:$K$359,Movimientos!$C$1:$C$359,"Arbor Capital Properties",Movimientos!$B$1:$B$359,"&lt;="&amp;$B33)</f>
        <v>1428.08</v>
      </c>
      <c r="Q33" s="24">
        <f>SUMIFS('Saldos Iniciales'!$D:$D,'Saldos Iniciales'!$A:$A,"2515 Overbrook")+SUMIFS(Movimientos!$K$1:$K$359,Movimientos!$C$1:$C$359,"2515 Overbrook",Movimientos!$B$1:$B$359,"&lt;="&amp;$B33)</f>
        <v>26416.26999999996</v>
      </c>
      <c r="R33" s="24">
        <f>SUMIFS('Saldos Iniciales'!$D:$D,'Saldos Iniciales'!$A:$A,"112 Florida Ave")+SUMIFS(Movimientos!$K$1:$K$359,Movimientos!$C$1:$C$359,"112 Florida Ave",Movimientos!$B$1:$B$359,"&lt;="&amp;$B33)</f>
        <v>5321.4300000000021</v>
      </c>
      <c r="S33" s="24">
        <f>SUMIFS('Saldos Iniciales'!$D:$D,'Saldos Iniciales'!$A:$A,"3628 Thomas Ave")+SUMIFS(Movimientos!$K$1:$K$359,Movimientos!$C$1:$C$359,"3628 Thomas Ave",Movimientos!$B$1:$B$359,"&lt;="&amp;$B33)</f>
        <v>24833.23</v>
      </c>
      <c r="T33" s="24">
        <f>SUMIFS('Saldos Iniciales'!$D:$D,'Saldos Iniciales'!$A:$A,"Green Harbor Trust")+SUMIFS(Movimientos!$K$1:$K$359,Movimientos!$C$1:$C$359,"Green Harbor Trust",Movimientos!$B$1:$B$359,"&lt;="&amp;$B33)</f>
        <v>345</v>
      </c>
      <c r="U33" s="24">
        <f>SUMIFS('Saldos Iniciales'!$D:$D,'Saldos Iniciales'!$A:$A,"Go Blue")+SUMIFS(Movimientos!$K$1:$K$359,Movimientos!$C$1:$C$359,"Go Blue",Movimientos!$B$1:$B$359,"&lt;="&amp;$B33)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Group")+SUMIFS(Movimientos!$K$1:$K$359,Movimientos!$C$1:$C$359,"CFT Group",Movimientos!$B$1:$B$359,"&lt;="&amp;$B34)</f>
        <v>983394.14000000013</v>
      </c>
      <c r="D34" s="24">
        <f>SUMIFS('Saldos Iniciales'!$D:$D,'Saldos Iniciales'!$A:$A,"M1B")+SUMIFS(Movimientos!$K$1:$K$359,Movimientos!$C$1:$C$359,"M1B",Movimientos!$B$1:$B$359,"&lt;="&amp;$B34)</f>
        <v>69376.390000000174</v>
      </c>
      <c r="E34" s="24">
        <f>SUMIFS('Saldos Iniciales'!$D:$D,'Saldos Iniciales'!$A:$A,"Durand")+SUMIFS(Movimientos!$K$1:$K$359,Movimientos!$C$1:$C$359,"Durand",Movimientos!$B$1:$B$359,"&lt;="&amp;$B34)</f>
        <v>1669.89</v>
      </c>
      <c r="F34" s="24">
        <f>SUMIFS('Saldos Iniciales'!$D:$D,'Saldos Iniciales'!$A:$A,"A&amp;M Imports")+SUMIFS(Movimientos!$K$1:$K$359,Movimientos!$C$1:$C$359,"A&amp;M Imports",Movimientos!$B$1:$B$359,"&lt;="&amp;$B34)</f>
        <v>804853.11999999988</v>
      </c>
      <c r="G34" s="24">
        <f>SUMIFS('Saldos Iniciales'!$D:$D,'Saldos Iniciales'!$A:$A,"SSP Capital")+SUMIFS(Movimientos!$K$1:$K$359,Movimientos!$C$1:$C$359,"SSP Capital",Movimientos!$B$1:$B$359,"&lt;="&amp;$B34)</f>
        <v>1015901.6699999992</v>
      </c>
      <c r="H34" s="24">
        <f>SUMIFS('Saldos Iniciales'!$D:$D,'Saldos Iniciales'!$A:$A,"Cross Family Trust")+SUMIFS(Movimientos!$K$1:$K$359,Movimientos!$C$1:$C$359,"Cross Family Trust",Movimientos!$B$1:$B$359,"&lt;="&amp;$B34)</f>
        <v>131496.38</v>
      </c>
      <c r="I34" s="24">
        <f>SUMIFS('Saldos Iniciales'!$D:$D,'Saldos Iniciales'!$A:$A,"Cross Security Trust")+SUMIFS(Movimientos!$K$1:$K$359,Movimientos!$C$1:$C$359,"Cross Security Trust",Movimientos!$B$1:$B$359,"&lt;="&amp;$B34)</f>
        <v>88090.37</v>
      </c>
      <c r="J34" s="24">
        <f>SUMIFS('Saldos Iniciales'!$D:$D,'Saldos Iniciales'!$A:$A,"Electrama")+SUMIFS(Movimientos!$K$1:$K$359,Movimientos!$C$1:$C$359,"Electrama",Movimientos!$B$1:$B$359,"&lt;="&amp;$B34)</f>
        <v>1227.9699999999998</v>
      </c>
      <c r="K34" s="24">
        <f>SUMIFS('Saldos Iniciales'!$D:$D,'Saldos Iniciales'!$A:$A,"Sacred Valley Capital")+SUMIFS(Movimientos!$K$1:$K$359,Movimientos!$C$1:$C$359,"Sacred Valley Capital",Movimientos!$B$1:$B$359,"&lt;="&amp;$B34)</f>
        <v>84.35</v>
      </c>
      <c r="L34" s="24">
        <f>SUMIFS('Saldos Iniciales'!$D:$D,'Saldos Iniciales'!$A:$A,"YWC Capital")+SUMIFS(Movimientos!$K$1:$K$359,Movimientos!$C$1:$C$359,"YWC Capital",Movimientos!$B$1:$B$359,"&lt;="&amp;$B34)</f>
        <v>2237.77</v>
      </c>
      <c r="M34" s="24">
        <f>SUMIFS('Saldos Iniciales'!$D:$D,'Saldos Iniciales'!$A:$A,"Soweto")+SUMIFS(Movimientos!$K$1:$K$359,Movimientos!$C$1:$C$359,"Soweto",Movimientos!$B$1:$B$359,"&lt;="&amp;$B34)</f>
        <v>3349.94</v>
      </c>
      <c r="N34" s="24">
        <f>SUMIFS('Saldos Iniciales'!$D:$D,'Saldos Iniciales'!$A:$A,"Green Stone Trust")+SUMIFS(Movimientos!$K$1:$K$359,Movimientos!$C$1:$C$359,"Green Stone Trust",Movimientos!$B$1:$B$359,"&lt;="&amp;$B34)</f>
        <v>1968.99</v>
      </c>
      <c r="O34" s="24">
        <f>SUMIFS('Saldos Iniciales'!$D:$D,'Saldos Iniciales'!$A:$A,"EC Auto")+SUMIFS(Movimientos!$K$1:$K$359,Movimientos!$C$1:$C$359,"EC Auto",Movimientos!$B$1:$B$359,"&lt;="&amp;$B34)</f>
        <v>901.34</v>
      </c>
      <c r="P34" s="24">
        <f>SUMIFS('Saldos Iniciales'!$D:$D,'Saldos Iniciales'!$A:$A,"Arbor Capital Properties")+SUMIFS(Movimientos!$K$1:$K$359,Movimientos!$C$1:$C$359,"Arbor Capital Properties",Movimientos!$B$1:$B$359,"&lt;="&amp;$B34)</f>
        <v>1428.08</v>
      </c>
      <c r="Q34" s="24">
        <f>SUMIFS('Saldos Iniciales'!$D:$D,'Saldos Iniciales'!$A:$A,"2515 Overbrook")+SUMIFS(Movimientos!$K$1:$K$359,Movimientos!$C$1:$C$359,"2515 Overbrook",Movimientos!$B$1:$B$359,"&lt;="&amp;$B34)</f>
        <v>25789.969999999961</v>
      </c>
      <c r="R34" s="24">
        <f>SUMIFS('Saldos Iniciales'!$D:$D,'Saldos Iniciales'!$A:$A,"112 Florida Ave")+SUMIFS(Movimientos!$K$1:$K$359,Movimientos!$C$1:$C$359,"112 Florida Ave",Movimientos!$B$1:$B$359,"&lt;="&amp;$B34)</f>
        <v>5321.4300000000021</v>
      </c>
      <c r="S34" s="24">
        <f>SUMIFS('Saldos Iniciales'!$D:$D,'Saldos Iniciales'!$A:$A,"3628 Thomas Ave")+SUMIFS(Movimientos!$K$1:$K$359,Movimientos!$C$1:$C$359,"3628 Thomas Ave",Movimientos!$B$1:$B$359,"&lt;="&amp;$B34)</f>
        <v>24833.23</v>
      </c>
      <c r="T34" s="24">
        <f>SUMIFS('Saldos Iniciales'!$D:$D,'Saldos Iniciales'!$A:$A,"Green Harbor Trust")+SUMIFS(Movimientos!$K$1:$K$359,Movimientos!$C$1:$C$359,"Green Harbor Trust",Movimientos!$B$1:$B$359,"&lt;="&amp;$B34)</f>
        <v>345</v>
      </c>
      <c r="U34" s="24">
        <f>SUMIFS('Saldos Iniciales'!$D:$D,'Saldos Iniciales'!$A:$A,"Go Blue")+SUMIFS(Movimientos!$K$1:$K$359,Movimientos!$C$1:$C$359,"Go Blue",Movimientos!$B$1:$B$359,"&lt;="&amp;$B34)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Group")+SUMIFS(Movimientos!$K$1:$K$359,Movimientos!$C$1:$C$359,"CFT Group",Movimientos!$B$1:$B$359,"&lt;="&amp;$B35)</f>
        <v>983394.14000000013</v>
      </c>
      <c r="D35" s="24">
        <f>SUMIFS('Saldos Iniciales'!$D:$D,'Saldos Iniciales'!$A:$A,"M1B")+SUMIFS(Movimientos!$K$1:$K$359,Movimientos!$C$1:$C$359,"M1B",Movimientos!$B$1:$B$359,"&lt;="&amp;$B35)</f>
        <v>69376.390000000174</v>
      </c>
      <c r="E35" s="24">
        <f>SUMIFS('Saldos Iniciales'!$D:$D,'Saldos Iniciales'!$A:$A,"Durand")+SUMIFS(Movimientos!$K$1:$K$359,Movimientos!$C$1:$C$359,"Durand",Movimientos!$B$1:$B$359,"&lt;="&amp;$B35)</f>
        <v>1669.89</v>
      </c>
      <c r="F35" s="24">
        <f>SUMIFS('Saldos Iniciales'!$D:$D,'Saldos Iniciales'!$A:$A,"A&amp;M Imports")+SUMIFS(Movimientos!$K$1:$K$359,Movimientos!$C$1:$C$359,"A&amp;M Imports",Movimientos!$B$1:$B$359,"&lt;="&amp;$B35)</f>
        <v>804853.11999999988</v>
      </c>
      <c r="G35" s="24">
        <f>SUMIFS('Saldos Iniciales'!$D:$D,'Saldos Iniciales'!$A:$A,"SSP Capital")+SUMIFS(Movimientos!$K$1:$K$359,Movimientos!$C$1:$C$359,"SSP Capital",Movimientos!$B$1:$B$359,"&lt;="&amp;$B35)</f>
        <v>1015611.6599999993</v>
      </c>
      <c r="H35" s="24">
        <f>SUMIFS('Saldos Iniciales'!$D:$D,'Saldos Iniciales'!$A:$A,"Cross Family Trust")+SUMIFS(Movimientos!$K$1:$K$359,Movimientos!$C$1:$C$359,"Cross Family Trust",Movimientos!$B$1:$B$359,"&lt;="&amp;$B35)</f>
        <v>125496.38</v>
      </c>
      <c r="I35" s="24">
        <f>SUMIFS('Saldos Iniciales'!$D:$D,'Saldos Iniciales'!$A:$A,"Cross Security Trust")+SUMIFS(Movimientos!$K$1:$K$359,Movimientos!$C$1:$C$359,"Cross Security Trust",Movimientos!$B$1:$B$359,"&lt;="&amp;$B35)</f>
        <v>88090.37</v>
      </c>
      <c r="J35" s="24">
        <f>SUMIFS('Saldos Iniciales'!$D:$D,'Saldos Iniciales'!$A:$A,"Electrama")+SUMIFS(Movimientos!$K$1:$K$359,Movimientos!$C$1:$C$359,"Electrama",Movimientos!$B$1:$B$359,"&lt;="&amp;$B35)</f>
        <v>1227.9699999999998</v>
      </c>
      <c r="K35" s="24">
        <f>SUMIFS('Saldos Iniciales'!$D:$D,'Saldos Iniciales'!$A:$A,"Sacred Valley Capital")+SUMIFS(Movimientos!$K$1:$K$359,Movimientos!$C$1:$C$359,"Sacred Valley Capital",Movimientos!$B$1:$B$359,"&lt;="&amp;$B35)</f>
        <v>84.35</v>
      </c>
      <c r="L35" s="24">
        <f>SUMIFS('Saldos Iniciales'!$D:$D,'Saldos Iniciales'!$A:$A,"YWC Capital")+SUMIFS(Movimientos!$K$1:$K$359,Movimientos!$C$1:$C$359,"YWC Capital",Movimientos!$B$1:$B$359,"&lt;="&amp;$B35)</f>
        <v>2237.77</v>
      </c>
      <c r="M35" s="24">
        <f>SUMIFS('Saldos Iniciales'!$D:$D,'Saldos Iniciales'!$A:$A,"Soweto")+SUMIFS(Movimientos!$K$1:$K$359,Movimientos!$C$1:$C$359,"Soweto",Movimientos!$B$1:$B$359,"&lt;="&amp;$B35)</f>
        <v>3349.94</v>
      </c>
      <c r="N35" s="24">
        <f>SUMIFS('Saldos Iniciales'!$D:$D,'Saldos Iniciales'!$A:$A,"Green Stone Trust")+SUMIFS(Movimientos!$K$1:$K$359,Movimientos!$C$1:$C$359,"Green Stone Trust",Movimientos!$B$1:$B$359,"&lt;="&amp;$B35)</f>
        <v>1968.99</v>
      </c>
      <c r="O35" s="24">
        <f>SUMIFS('Saldos Iniciales'!$D:$D,'Saldos Iniciales'!$A:$A,"EC Auto")+SUMIFS(Movimientos!$K$1:$K$359,Movimientos!$C$1:$C$359,"EC Auto",Movimientos!$B$1:$B$359,"&lt;="&amp;$B35)</f>
        <v>901.34</v>
      </c>
      <c r="P35" s="24">
        <f>SUMIFS('Saldos Iniciales'!$D:$D,'Saldos Iniciales'!$A:$A,"Arbor Capital Properties")+SUMIFS(Movimientos!$K$1:$K$359,Movimientos!$C$1:$C$359,"Arbor Capital Properties",Movimientos!$B$1:$B$359,"&lt;="&amp;$B35)</f>
        <v>1428.08</v>
      </c>
      <c r="Q35" s="24">
        <f>SUMIFS('Saldos Iniciales'!$D:$D,'Saldos Iniciales'!$A:$A,"2515 Overbrook")+SUMIFS(Movimientos!$K$1:$K$359,Movimientos!$C$1:$C$359,"2515 Overbrook",Movimientos!$B$1:$B$359,"&lt;="&amp;$B35)</f>
        <v>25789.969999999961</v>
      </c>
      <c r="R35" s="24">
        <f>SUMIFS('Saldos Iniciales'!$D:$D,'Saldos Iniciales'!$A:$A,"112 Florida Ave")+SUMIFS(Movimientos!$K$1:$K$359,Movimientos!$C$1:$C$359,"112 Florida Ave",Movimientos!$B$1:$B$359,"&lt;="&amp;$B35)</f>
        <v>5321.4300000000021</v>
      </c>
      <c r="S35" s="24">
        <f>SUMIFS('Saldos Iniciales'!$D:$D,'Saldos Iniciales'!$A:$A,"3628 Thomas Ave")+SUMIFS(Movimientos!$K$1:$K$359,Movimientos!$C$1:$C$359,"3628 Thomas Ave",Movimientos!$B$1:$B$359,"&lt;="&amp;$B35)</f>
        <v>24833.23</v>
      </c>
      <c r="T35" s="24">
        <f>SUMIFS('Saldos Iniciales'!$D:$D,'Saldos Iniciales'!$A:$A,"Green Harbor Trust")+SUMIFS(Movimientos!$K$1:$K$359,Movimientos!$C$1:$C$359,"Green Harbor Trust",Movimientos!$B$1:$B$359,"&lt;="&amp;$B35)</f>
        <v>345</v>
      </c>
      <c r="U35" s="24">
        <f>SUMIFS('Saldos Iniciales'!$D:$D,'Saldos Iniciales'!$A:$A,"Go Blue")+SUMIFS(Movimientos!$K$1:$K$359,Movimientos!$C$1:$C$359,"Go Blue",Movimientos!$B$1:$B$359,"&lt;="&amp;$B35)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Group")+SUMIFS(Movimientos!$K$1:$K$359,Movimientos!$C$1:$C$359,"CFT Group",Movimientos!$B$1:$B$359,"&lt;="&amp;$B36)</f>
        <v>733394.14000000013</v>
      </c>
      <c r="D36" s="24">
        <f>SUMIFS('Saldos Iniciales'!$D:$D,'Saldos Iniciales'!$A:$A,"M1B")+SUMIFS(Movimientos!$K$1:$K$359,Movimientos!$C$1:$C$359,"M1B",Movimientos!$B$1:$B$359,"&lt;="&amp;$B36)</f>
        <v>69376.390000000174</v>
      </c>
      <c r="E36" s="24">
        <f>SUMIFS('Saldos Iniciales'!$D:$D,'Saldos Iniciales'!$A:$A,"Durand")+SUMIFS(Movimientos!$K$1:$K$359,Movimientos!$C$1:$C$359,"Durand",Movimientos!$B$1:$B$359,"&lt;="&amp;$B36)</f>
        <v>1669.89</v>
      </c>
      <c r="F36" s="24">
        <f>SUMIFS('Saldos Iniciales'!$D:$D,'Saldos Iniciales'!$A:$A,"A&amp;M Imports")+SUMIFS(Movimientos!$K$1:$K$359,Movimientos!$C$1:$C$359,"A&amp;M Imports",Movimientos!$B$1:$B$359,"&lt;="&amp;$B36)</f>
        <v>729545.23999999987</v>
      </c>
      <c r="G36" s="24">
        <f>SUMIFS('Saldos Iniciales'!$D:$D,'Saldos Iniciales'!$A:$A,"SSP Capital")+SUMIFS(Movimientos!$K$1:$K$359,Movimientos!$C$1:$C$359,"SSP Capital",Movimientos!$B$1:$B$359,"&lt;="&amp;$B36)</f>
        <v>1171714.4499999993</v>
      </c>
      <c r="H36" s="24">
        <f>SUMIFS('Saldos Iniciales'!$D:$D,'Saldos Iniciales'!$A:$A,"Cross Family Trust")+SUMIFS(Movimientos!$K$1:$K$359,Movimientos!$C$1:$C$359,"Cross Family Trust",Movimientos!$B$1:$B$359,"&lt;="&amp;$B36)</f>
        <v>116496.38</v>
      </c>
      <c r="I36" s="24">
        <f>SUMIFS('Saldos Iniciales'!$D:$D,'Saldos Iniciales'!$A:$A,"Cross Security Trust")+SUMIFS(Movimientos!$K$1:$K$359,Movimientos!$C$1:$C$359,"Cross Security Trust",Movimientos!$B$1:$B$359,"&lt;="&amp;$B36)</f>
        <v>88090.37</v>
      </c>
      <c r="J36" s="24">
        <f>SUMIFS('Saldos Iniciales'!$D:$D,'Saldos Iniciales'!$A:$A,"Electrama")+SUMIFS(Movimientos!$K$1:$K$359,Movimientos!$C$1:$C$359,"Electrama",Movimientos!$B$1:$B$359,"&lt;="&amp;$B36)</f>
        <v>1227.9699999999998</v>
      </c>
      <c r="K36" s="24">
        <f>SUMIFS('Saldos Iniciales'!$D:$D,'Saldos Iniciales'!$A:$A,"Sacred Valley Capital")+SUMIFS(Movimientos!$K$1:$K$359,Movimientos!$C$1:$C$359,"Sacred Valley Capital",Movimientos!$B$1:$B$359,"&lt;="&amp;$B36)</f>
        <v>84.35</v>
      </c>
      <c r="L36" s="24">
        <f>SUMIFS('Saldos Iniciales'!$D:$D,'Saldos Iniciales'!$A:$A,"YWC Capital")+SUMIFS(Movimientos!$K$1:$K$359,Movimientos!$C$1:$C$359,"YWC Capital",Movimientos!$B$1:$B$359,"&lt;="&amp;$B36)</f>
        <v>2237.77</v>
      </c>
      <c r="M36" s="24">
        <f>SUMIFS('Saldos Iniciales'!$D:$D,'Saldos Iniciales'!$A:$A,"Soweto")+SUMIFS(Movimientos!$K$1:$K$359,Movimientos!$C$1:$C$359,"Soweto",Movimientos!$B$1:$B$359,"&lt;="&amp;$B36)</f>
        <v>3349.94</v>
      </c>
      <c r="N36" s="24">
        <f>SUMIFS('Saldos Iniciales'!$D:$D,'Saldos Iniciales'!$A:$A,"Green Stone Trust")+SUMIFS(Movimientos!$K$1:$K$359,Movimientos!$C$1:$C$359,"Green Stone Trust",Movimientos!$B$1:$B$359,"&lt;="&amp;$B36)</f>
        <v>1968.99</v>
      </c>
      <c r="O36" s="24">
        <f>SUMIFS('Saldos Iniciales'!$D:$D,'Saldos Iniciales'!$A:$A,"EC Auto")+SUMIFS(Movimientos!$K$1:$K$359,Movimientos!$C$1:$C$359,"EC Auto",Movimientos!$B$1:$B$359,"&lt;="&amp;$B36)</f>
        <v>382.69000000000005</v>
      </c>
      <c r="P36" s="24">
        <f>SUMIFS('Saldos Iniciales'!$D:$D,'Saldos Iniciales'!$A:$A,"Arbor Capital Properties")+SUMIFS(Movimientos!$K$1:$K$359,Movimientos!$C$1:$C$359,"Arbor Capital Properties",Movimientos!$B$1:$B$359,"&lt;="&amp;$B36)</f>
        <v>1428.08</v>
      </c>
      <c r="Q36" s="24">
        <f>SUMIFS('Saldos Iniciales'!$D:$D,'Saldos Iniciales'!$A:$A,"2515 Overbrook")+SUMIFS(Movimientos!$K$1:$K$359,Movimientos!$C$1:$C$359,"2515 Overbrook",Movimientos!$B$1:$B$359,"&lt;="&amp;$B36)</f>
        <v>25789.969999999961</v>
      </c>
      <c r="R36" s="24">
        <f>SUMIFS('Saldos Iniciales'!$D:$D,'Saldos Iniciales'!$A:$A,"112 Florida Ave")+SUMIFS(Movimientos!$K$1:$K$359,Movimientos!$C$1:$C$359,"112 Florida Ave",Movimientos!$B$1:$B$359,"&lt;="&amp;$B36)</f>
        <v>5321.4300000000021</v>
      </c>
      <c r="S36" s="24">
        <f>SUMIFS('Saldos Iniciales'!$D:$D,'Saldos Iniciales'!$A:$A,"3628 Thomas Ave")+SUMIFS(Movimientos!$K$1:$K$359,Movimientos!$C$1:$C$359,"3628 Thomas Ave",Movimientos!$B$1:$B$359,"&lt;="&amp;$B36)</f>
        <v>24833.23</v>
      </c>
      <c r="T36" s="24">
        <f>SUMIFS('Saldos Iniciales'!$D:$D,'Saldos Iniciales'!$A:$A,"Green Harbor Trust")+SUMIFS(Movimientos!$K$1:$K$359,Movimientos!$C$1:$C$359,"Green Harbor Trust",Movimientos!$B$1:$B$359,"&lt;="&amp;$B36)</f>
        <v>345</v>
      </c>
      <c r="U36" s="24">
        <f>SUMIFS('Saldos Iniciales'!$D:$D,'Saldos Iniciales'!$A:$A,"Go Blue")+SUMIFS(Movimientos!$K$1:$K$359,Movimientos!$C$1:$C$359,"Go Blue",Movimientos!$B$1:$B$359,"&lt;="&amp;$B36)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Group")+SUMIFS(Movimientos!$K$1:$K$359,Movimientos!$C$1:$C$359,"CFT Group",Movimientos!$B$1:$B$359,"&lt;="&amp;$B37)</f>
        <v>733394.14000000013</v>
      </c>
      <c r="D37" s="24">
        <f>SUMIFS('Saldos Iniciales'!$D:$D,'Saldos Iniciales'!$A:$A,"M1B")+SUMIFS(Movimientos!$K$1:$K$359,Movimientos!$C$1:$C$359,"M1B",Movimientos!$B$1:$B$359,"&lt;="&amp;$B37)</f>
        <v>69376.390000000174</v>
      </c>
      <c r="E37" s="24">
        <f>SUMIFS('Saldos Iniciales'!$D:$D,'Saldos Iniciales'!$A:$A,"Durand")+SUMIFS(Movimientos!$K$1:$K$359,Movimientos!$C$1:$C$359,"Durand",Movimientos!$B$1:$B$359,"&lt;="&amp;$B37)</f>
        <v>1669.89</v>
      </c>
      <c r="F37" s="24">
        <f>SUMIFS('Saldos Iniciales'!$D:$D,'Saldos Iniciales'!$A:$A,"A&amp;M Imports")+SUMIFS(Movimientos!$K$1:$K$359,Movimientos!$C$1:$C$359,"A&amp;M Imports",Movimientos!$B$1:$B$359,"&lt;="&amp;$B37)</f>
        <v>729545.23999999987</v>
      </c>
      <c r="G37" s="24">
        <f>SUMIFS('Saldos Iniciales'!$D:$D,'Saldos Iniciales'!$A:$A,"SSP Capital")+SUMIFS(Movimientos!$K$1:$K$359,Movimientos!$C$1:$C$359,"SSP Capital",Movimientos!$B$1:$B$359,"&lt;="&amp;$B37)</f>
        <v>1164028.3199999994</v>
      </c>
      <c r="H37" s="24">
        <f>SUMIFS('Saldos Iniciales'!$D:$D,'Saldos Iniciales'!$A:$A,"Cross Family Trust")+SUMIFS(Movimientos!$K$1:$K$359,Movimientos!$C$1:$C$359,"Cross Family Trust",Movimientos!$B$1:$B$359,"&lt;="&amp;$B37)</f>
        <v>116496.38</v>
      </c>
      <c r="I37" s="24">
        <f>SUMIFS('Saldos Iniciales'!$D:$D,'Saldos Iniciales'!$A:$A,"Cross Security Trust")+SUMIFS(Movimientos!$K$1:$K$359,Movimientos!$C$1:$C$359,"Cross Security Trust",Movimientos!$B$1:$B$359,"&lt;="&amp;$B37)</f>
        <v>88090.37</v>
      </c>
      <c r="J37" s="24">
        <f>SUMIFS('Saldos Iniciales'!$D:$D,'Saldos Iniciales'!$A:$A,"Electrama")+SUMIFS(Movimientos!$K$1:$K$359,Movimientos!$C$1:$C$359,"Electrama",Movimientos!$B$1:$B$359,"&lt;="&amp;$B37)</f>
        <v>1227.9699999999998</v>
      </c>
      <c r="K37" s="24">
        <f>SUMIFS('Saldos Iniciales'!$D:$D,'Saldos Iniciales'!$A:$A,"Sacred Valley Capital")+SUMIFS(Movimientos!$K$1:$K$359,Movimientos!$C$1:$C$359,"Sacred Valley Capital",Movimientos!$B$1:$B$359,"&lt;="&amp;$B37)</f>
        <v>84.35</v>
      </c>
      <c r="L37" s="24">
        <f>SUMIFS('Saldos Iniciales'!$D:$D,'Saldos Iniciales'!$A:$A,"YWC Capital")+SUMIFS(Movimientos!$K$1:$K$359,Movimientos!$C$1:$C$359,"YWC Capital",Movimientos!$B$1:$B$359,"&lt;="&amp;$B37)</f>
        <v>2237.77</v>
      </c>
      <c r="M37" s="24">
        <f>SUMIFS('Saldos Iniciales'!$D:$D,'Saldos Iniciales'!$A:$A,"Soweto")+SUMIFS(Movimientos!$K$1:$K$359,Movimientos!$C$1:$C$359,"Soweto",Movimientos!$B$1:$B$359,"&lt;="&amp;$B37)</f>
        <v>3349.94</v>
      </c>
      <c r="N37" s="24">
        <f>SUMIFS('Saldos Iniciales'!$D:$D,'Saldos Iniciales'!$A:$A,"Green Stone Trust")+SUMIFS(Movimientos!$K$1:$K$359,Movimientos!$C$1:$C$359,"Green Stone Trust",Movimientos!$B$1:$B$359,"&lt;="&amp;$B37)</f>
        <v>1968.99</v>
      </c>
      <c r="O37" s="24">
        <f>SUMIFS('Saldos Iniciales'!$D:$D,'Saldos Iniciales'!$A:$A,"EC Auto")+SUMIFS(Movimientos!$K$1:$K$359,Movimientos!$C$1:$C$359,"EC Auto",Movimientos!$B$1:$B$359,"&lt;="&amp;$B37)</f>
        <v>382.69000000000005</v>
      </c>
      <c r="P37" s="24">
        <f>SUMIFS('Saldos Iniciales'!$D:$D,'Saldos Iniciales'!$A:$A,"Arbor Capital Properties")+SUMIFS(Movimientos!$K$1:$K$359,Movimientos!$C$1:$C$359,"Arbor Capital Properties",Movimientos!$B$1:$B$359,"&lt;="&amp;$B37)</f>
        <v>1428.08</v>
      </c>
      <c r="Q37" s="24">
        <f>SUMIFS('Saldos Iniciales'!$D:$D,'Saldos Iniciales'!$A:$A,"2515 Overbrook")+SUMIFS(Movimientos!$K$1:$K$359,Movimientos!$C$1:$C$359,"2515 Overbrook",Movimientos!$B$1:$B$359,"&lt;="&amp;$B37)</f>
        <v>25789.969999999961</v>
      </c>
      <c r="R37" s="24">
        <f>SUMIFS('Saldos Iniciales'!$D:$D,'Saldos Iniciales'!$A:$A,"112 Florida Ave")+SUMIFS(Movimientos!$K$1:$K$359,Movimientos!$C$1:$C$359,"112 Florida Ave",Movimientos!$B$1:$B$359,"&lt;="&amp;$B37)</f>
        <v>5321.4300000000021</v>
      </c>
      <c r="S37" s="24">
        <f>SUMIFS('Saldos Iniciales'!$D:$D,'Saldos Iniciales'!$A:$A,"3628 Thomas Ave")+SUMIFS(Movimientos!$K$1:$K$359,Movimientos!$C$1:$C$359,"3628 Thomas Ave",Movimientos!$B$1:$B$359,"&lt;="&amp;$B37)</f>
        <v>24833.23</v>
      </c>
      <c r="T37" s="24">
        <f>SUMIFS('Saldos Iniciales'!$D:$D,'Saldos Iniciales'!$A:$A,"Green Harbor Trust")+SUMIFS(Movimientos!$K$1:$K$359,Movimientos!$C$1:$C$359,"Green Harbor Trust",Movimientos!$B$1:$B$359,"&lt;="&amp;$B37)</f>
        <v>345</v>
      </c>
      <c r="U37" s="24">
        <f>SUMIFS('Saldos Iniciales'!$D:$D,'Saldos Iniciales'!$A:$A,"Go Blue")+SUMIFS(Movimientos!$K$1:$K$359,Movimientos!$C$1:$C$359,"Go Blue",Movimientos!$B$1:$B$359,"&lt;="&amp;$B37)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Group")+SUMIFS(Movimientos!$K$1:$K$359,Movimientos!$C$1:$C$359,"CFT Group",Movimientos!$B$1:$B$359,"&lt;="&amp;$B38)</f>
        <v>733394.14000000013</v>
      </c>
      <c r="D38" s="24">
        <f>SUMIFS('Saldos Iniciales'!$D:$D,'Saldos Iniciales'!$A:$A,"M1B")+SUMIFS(Movimientos!$K$1:$K$359,Movimientos!$C$1:$C$359,"M1B",Movimientos!$B$1:$B$359,"&lt;="&amp;$B38)</f>
        <v>69376.390000000174</v>
      </c>
      <c r="E38" s="24">
        <f>SUMIFS('Saldos Iniciales'!$D:$D,'Saldos Iniciales'!$A:$A,"Durand")+SUMIFS(Movimientos!$K$1:$K$359,Movimientos!$C$1:$C$359,"Durand",Movimientos!$B$1:$B$359,"&lt;="&amp;$B38)</f>
        <v>1669.89</v>
      </c>
      <c r="F38" s="24">
        <f>SUMIFS('Saldos Iniciales'!$D:$D,'Saldos Iniciales'!$A:$A,"A&amp;M Imports")+SUMIFS(Movimientos!$K$1:$K$359,Movimientos!$C$1:$C$359,"A&amp;M Imports",Movimientos!$B$1:$B$359,"&lt;="&amp;$B38)</f>
        <v>729545.23999999987</v>
      </c>
      <c r="G38" s="24">
        <f>SUMIFS('Saldos Iniciales'!$D:$D,'Saldos Iniciales'!$A:$A,"SSP Capital")+SUMIFS(Movimientos!$K$1:$K$359,Movimientos!$C$1:$C$359,"SSP Capital",Movimientos!$B$1:$B$359,"&lt;="&amp;$B38)</f>
        <v>1164028.3199999994</v>
      </c>
      <c r="H38" s="24">
        <f>SUMIFS('Saldos Iniciales'!$D:$D,'Saldos Iniciales'!$A:$A,"Cross Family Trust")+SUMIFS(Movimientos!$K$1:$K$359,Movimientos!$C$1:$C$359,"Cross Family Trust",Movimientos!$B$1:$B$359,"&lt;="&amp;$B38)</f>
        <v>116496.38</v>
      </c>
      <c r="I38" s="24">
        <f>SUMIFS('Saldos Iniciales'!$D:$D,'Saldos Iniciales'!$A:$A,"Cross Security Trust")+SUMIFS(Movimientos!$K$1:$K$359,Movimientos!$C$1:$C$359,"Cross Security Trust",Movimientos!$B$1:$B$359,"&lt;="&amp;$B38)</f>
        <v>88090.37</v>
      </c>
      <c r="J38" s="24">
        <f>SUMIFS('Saldos Iniciales'!$D:$D,'Saldos Iniciales'!$A:$A,"Electrama")+SUMIFS(Movimientos!$K$1:$K$359,Movimientos!$C$1:$C$359,"Electrama",Movimientos!$B$1:$B$359,"&lt;="&amp;$B38)</f>
        <v>1227.9699999999998</v>
      </c>
      <c r="K38" s="24">
        <f>SUMIFS('Saldos Iniciales'!$D:$D,'Saldos Iniciales'!$A:$A,"Sacred Valley Capital")+SUMIFS(Movimientos!$K$1:$K$359,Movimientos!$C$1:$C$359,"Sacred Valley Capital",Movimientos!$B$1:$B$359,"&lt;="&amp;$B38)</f>
        <v>84.35</v>
      </c>
      <c r="L38" s="24">
        <f>SUMIFS('Saldos Iniciales'!$D:$D,'Saldos Iniciales'!$A:$A,"YWC Capital")+SUMIFS(Movimientos!$K$1:$K$359,Movimientos!$C$1:$C$359,"YWC Capital",Movimientos!$B$1:$B$359,"&lt;="&amp;$B38)</f>
        <v>2237.77</v>
      </c>
      <c r="M38" s="24">
        <f>SUMIFS('Saldos Iniciales'!$D:$D,'Saldos Iniciales'!$A:$A,"Soweto")+SUMIFS(Movimientos!$K$1:$K$359,Movimientos!$C$1:$C$359,"Soweto",Movimientos!$B$1:$B$359,"&lt;="&amp;$B38)</f>
        <v>3349.94</v>
      </c>
      <c r="N38" s="24">
        <f>SUMIFS('Saldos Iniciales'!$D:$D,'Saldos Iniciales'!$A:$A,"Green Stone Trust")+SUMIFS(Movimientos!$K$1:$K$359,Movimientos!$C$1:$C$359,"Green Stone Trust",Movimientos!$B$1:$B$359,"&lt;="&amp;$B38)</f>
        <v>1968.99</v>
      </c>
      <c r="O38" s="24">
        <f>SUMIFS('Saldos Iniciales'!$D:$D,'Saldos Iniciales'!$A:$A,"EC Auto")+SUMIFS(Movimientos!$K$1:$K$359,Movimientos!$C$1:$C$359,"EC Auto",Movimientos!$B$1:$B$359,"&lt;="&amp;$B38)</f>
        <v>382.69000000000005</v>
      </c>
      <c r="P38" s="24">
        <f>SUMIFS('Saldos Iniciales'!$D:$D,'Saldos Iniciales'!$A:$A,"Arbor Capital Properties")+SUMIFS(Movimientos!$K$1:$K$359,Movimientos!$C$1:$C$359,"Arbor Capital Properties",Movimientos!$B$1:$B$359,"&lt;="&amp;$B38)</f>
        <v>1428.08</v>
      </c>
      <c r="Q38" s="24">
        <f>SUMIFS('Saldos Iniciales'!$D:$D,'Saldos Iniciales'!$A:$A,"2515 Overbrook")+SUMIFS(Movimientos!$K$1:$K$359,Movimientos!$C$1:$C$359,"2515 Overbrook",Movimientos!$B$1:$B$359,"&lt;="&amp;$B38)</f>
        <v>25789.969999999961</v>
      </c>
      <c r="R38" s="24">
        <f>SUMIFS('Saldos Iniciales'!$D:$D,'Saldos Iniciales'!$A:$A,"112 Florida Ave")+SUMIFS(Movimientos!$K$1:$K$359,Movimientos!$C$1:$C$359,"112 Florida Ave",Movimientos!$B$1:$B$359,"&lt;="&amp;$B38)</f>
        <v>5321.4300000000021</v>
      </c>
      <c r="S38" s="24">
        <f>SUMIFS('Saldos Iniciales'!$D:$D,'Saldos Iniciales'!$A:$A,"3628 Thomas Ave")+SUMIFS(Movimientos!$K$1:$K$359,Movimientos!$C$1:$C$359,"3628 Thomas Ave",Movimientos!$B$1:$B$359,"&lt;="&amp;$B38)</f>
        <v>24833.23</v>
      </c>
      <c r="T38" s="24">
        <f>SUMIFS('Saldos Iniciales'!$D:$D,'Saldos Iniciales'!$A:$A,"Green Harbor Trust")+SUMIFS(Movimientos!$K$1:$K$359,Movimientos!$C$1:$C$359,"Green Harbor Trust",Movimientos!$B$1:$B$359,"&lt;="&amp;$B38)</f>
        <v>345</v>
      </c>
      <c r="U38" s="24">
        <f>SUMIFS('Saldos Iniciales'!$D:$D,'Saldos Iniciales'!$A:$A,"Go Blue")+SUMIFS(Movimientos!$K$1:$K$359,Movimientos!$C$1:$C$359,"Go Blue",Movimientos!$B$1:$B$359,"&lt;="&amp;$B38)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Group")+SUMIFS(Movimientos!$K$1:$K$359,Movimientos!$C$1:$C$359,"CFT Group",Movimientos!$B$1:$B$359,"&lt;="&amp;$B39)</f>
        <v>733394.14000000013</v>
      </c>
      <c r="D39" s="24">
        <f>SUMIFS('Saldos Iniciales'!$D:$D,'Saldos Iniciales'!$A:$A,"M1B")+SUMIFS(Movimientos!$K$1:$K$359,Movimientos!$C$1:$C$359,"M1B",Movimientos!$B$1:$B$359,"&lt;="&amp;$B39)</f>
        <v>69376.390000000174</v>
      </c>
      <c r="E39" s="24">
        <f>SUMIFS('Saldos Iniciales'!$D:$D,'Saldos Iniciales'!$A:$A,"Durand")+SUMIFS(Movimientos!$K$1:$K$359,Movimientos!$C$1:$C$359,"Durand",Movimientos!$B$1:$B$359,"&lt;="&amp;$B39)</f>
        <v>1669.89</v>
      </c>
      <c r="F39" s="24">
        <f>SUMIFS('Saldos Iniciales'!$D:$D,'Saldos Iniciales'!$A:$A,"A&amp;M Imports")+SUMIFS(Movimientos!$K$1:$K$359,Movimientos!$C$1:$C$359,"A&amp;M Imports",Movimientos!$B$1:$B$359,"&lt;="&amp;$B39)</f>
        <v>729545.23999999987</v>
      </c>
      <c r="G39" s="24">
        <f>SUMIFS('Saldos Iniciales'!$D:$D,'Saldos Iniciales'!$A:$A,"SSP Capital")+SUMIFS(Movimientos!$K$1:$K$359,Movimientos!$C$1:$C$359,"SSP Capital",Movimientos!$B$1:$B$359,"&lt;="&amp;$B39)</f>
        <v>1164028.3199999994</v>
      </c>
      <c r="H39" s="24">
        <f>SUMIFS('Saldos Iniciales'!$D:$D,'Saldos Iniciales'!$A:$A,"Cross Family Trust")+SUMIFS(Movimientos!$K$1:$K$359,Movimientos!$C$1:$C$359,"Cross Family Trust",Movimientos!$B$1:$B$359,"&lt;="&amp;$B39)</f>
        <v>116496.38</v>
      </c>
      <c r="I39" s="24">
        <f>SUMIFS('Saldos Iniciales'!$D:$D,'Saldos Iniciales'!$A:$A,"Cross Security Trust")+SUMIFS(Movimientos!$K$1:$K$359,Movimientos!$C$1:$C$359,"Cross Security Trust",Movimientos!$B$1:$B$359,"&lt;="&amp;$B39)</f>
        <v>88090.37</v>
      </c>
      <c r="J39" s="24">
        <f>SUMIFS('Saldos Iniciales'!$D:$D,'Saldos Iniciales'!$A:$A,"Electrama")+SUMIFS(Movimientos!$K$1:$K$359,Movimientos!$C$1:$C$359,"Electrama",Movimientos!$B$1:$B$359,"&lt;="&amp;$B39)</f>
        <v>1227.9699999999998</v>
      </c>
      <c r="K39" s="24">
        <f>SUMIFS('Saldos Iniciales'!$D:$D,'Saldos Iniciales'!$A:$A,"Sacred Valley Capital")+SUMIFS(Movimientos!$K$1:$K$359,Movimientos!$C$1:$C$359,"Sacred Valley Capital",Movimientos!$B$1:$B$359,"&lt;="&amp;$B39)</f>
        <v>84.35</v>
      </c>
      <c r="L39" s="24">
        <f>SUMIFS('Saldos Iniciales'!$D:$D,'Saldos Iniciales'!$A:$A,"YWC Capital")+SUMIFS(Movimientos!$K$1:$K$359,Movimientos!$C$1:$C$359,"YWC Capital",Movimientos!$B$1:$B$359,"&lt;="&amp;$B39)</f>
        <v>2237.77</v>
      </c>
      <c r="M39" s="24">
        <f>SUMIFS('Saldos Iniciales'!$D:$D,'Saldos Iniciales'!$A:$A,"Soweto")+SUMIFS(Movimientos!$K$1:$K$359,Movimientos!$C$1:$C$359,"Soweto",Movimientos!$B$1:$B$359,"&lt;="&amp;$B39)</f>
        <v>3349.94</v>
      </c>
      <c r="N39" s="24">
        <f>SUMIFS('Saldos Iniciales'!$D:$D,'Saldos Iniciales'!$A:$A,"Green Stone Trust")+SUMIFS(Movimientos!$K$1:$K$359,Movimientos!$C$1:$C$359,"Green Stone Trust",Movimientos!$B$1:$B$359,"&lt;="&amp;$B39)</f>
        <v>1968.99</v>
      </c>
      <c r="O39" s="24">
        <f>SUMIFS('Saldos Iniciales'!$D:$D,'Saldos Iniciales'!$A:$A,"EC Auto")+SUMIFS(Movimientos!$K$1:$K$359,Movimientos!$C$1:$C$359,"EC Auto",Movimientos!$B$1:$B$359,"&lt;="&amp;$B39)</f>
        <v>382.69000000000005</v>
      </c>
      <c r="P39" s="24">
        <f>SUMIFS('Saldos Iniciales'!$D:$D,'Saldos Iniciales'!$A:$A,"Arbor Capital Properties")+SUMIFS(Movimientos!$K$1:$K$359,Movimientos!$C$1:$C$359,"Arbor Capital Properties",Movimientos!$B$1:$B$359,"&lt;="&amp;$B39)</f>
        <v>1428.08</v>
      </c>
      <c r="Q39" s="24">
        <f>SUMIFS('Saldos Iniciales'!$D:$D,'Saldos Iniciales'!$A:$A,"2515 Overbrook")+SUMIFS(Movimientos!$K$1:$K$359,Movimientos!$C$1:$C$359,"2515 Overbrook",Movimientos!$B$1:$B$359,"&lt;="&amp;$B39)</f>
        <v>25789.969999999961</v>
      </c>
      <c r="R39" s="24">
        <f>SUMIFS('Saldos Iniciales'!$D:$D,'Saldos Iniciales'!$A:$A,"112 Florida Ave")+SUMIFS(Movimientos!$K$1:$K$359,Movimientos!$C$1:$C$359,"112 Florida Ave",Movimientos!$B$1:$B$359,"&lt;="&amp;$B39)</f>
        <v>5321.4300000000021</v>
      </c>
      <c r="S39" s="24">
        <f>SUMIFS('Saldos Iniciales'!$D:$D,'Saldos Iniciales'!$A:$A,"3628 Thomas Ave")+SUMIFS(Movimientos!$K$1:$K$359,Movimientos!$C$1:$C$359,"3628 Thomas Ave",Movimientos!$B$1:$B$359,"&lt;="&amp;$B39)</f>
        <v>24833.23</v>
      </c>
      <c r="T39" s="24">
        <f>SUMIFS('Saldos Iniciales'!$D:$D,'Saldos Iniciales'!$A:$A,"Green Harbor Trust")+SUMIFS(Movimientos!$K$1:$K$359,Movimientos!$C$1:$C$359,"Green Harbor Trust",Movimientos!$B$1:$B$359,"&lt;="&amp;$B39)</f>
        <v>345</v>
      </c>
      <c r="U39" s="24">
        <f>SUMIFS('Saldos Iniciales'!$D:$D,'Saldos Iniciales'!$A:$A,"Go Blue")+SUMIFS(Movimientos!$K$1:$K$359,Movimientos!$C$1:$C$359,"Go Blue",Movimientos!$B$1:$B$359,"&lt;="&amp;$B39)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Group")+SUMIFS(Movimientos!$K$1:$K$359,Movimientos!$C$1:$C$359,"CFT Group",Movimientos!$B$1:$B$359,"&lt;="&amp;$B40)</f>
        <v>733394.14000000013</v>
      </c>
      <c r="D40" s="24">
        <f>SUMIFS('Saldos Iniciales'!$D:$D,'Saldos Iniciales'!$A:$A,"M1B")+SUMIFS(Movimientos!$K$1:$K$359,Movimientos!$C$1:$C$359,"M1B",Movimientos!$B$1:$B$359,"&lt;="&amp;$B40)</f>
        <v>69376.390000000174</v>
      </c>
      <c r="E40" s="24">
        <f>SUMIFS('Saldos Iniciales'!$D:$D,'Saldos Iniciales'!$A:$A,"Durand")+SUMIFS(Movimientos!$K$1:$K$359,Movimientos!$C$1:$C$359,"Durand",Movimientos!$B$1:$B$359,"&lt;="&amp;$B40)</f>
        <v>1669.89</v>
      </c>
      <c r="F40" s="24">
        <f>SUMIFS('Saldos Iniciales'!$D:$D,'Saldos Iniciales'!$A:$A,"A&amp;M Imports")+SUMIFS(Movimientos!$K$1:$K$359,Movimientos!$C$1:$C$359,"A&amp;M Imports",Movimientos!$B$1:$B$359,"&lt;="&amp;$B40)</f>
        <v>729545.23999999987</v>
      </c>
      <c r="G40" s="24">
        <f>SUMIFS('Saldos Iniciales'!$D:$D,'Saldos Iniciales'!$A:$A,"SSP Capital")+SUMIFS(Movimientos!$K$1:$K$359,Movimientos!$C$1:$C$359,"SSP Capital",Movimientos!$B$1:$B$359,"&lt;="&amp;$B40)</f>
        <v>1164028.3199999994</v>
      </c>
      <c r="H40" s="24">
        <f>SUMIFS('Saldos Iniciales'!$D:$D,'Saldos Iniciales'!$A:$A,"Cross Family Trust")+SUMIFS(Movimientos!$K$1:$K$359,Movimientos!$C$1:$C$359,"Cross Family Trust",Movimientos!$B$1:$B$359,"&lt;="&amp;$B40)</f>
        <v>116496.38</v>
      </c>
      <c r="I40" s="24">
        <f>SUMIFS('Saldos Iniciales'!$D:$D,'Saldos Iniciales'!$A:$A,"Cross Security Trust")+SUMIFS(Movimientos!$K$1:$K$359,Movimientos!$C$1:$C$359,"Cross Security Trust",Movimientos!$B$1:$B$359,"&lt;="&amp;$B40)</f>
        <v>88090.37</v>
      </c>
      <c r="J40" s="24">
        <f>SUMIFS('Saldos Iniciales'!$D:$D,'Saldos Iniciales'!$A:$A,"Electrama")+SUMIFS(Movimientos!$K$1:$K$359,Movimientos!$C$1:$C$359,"Electrama",Movimientos!$B$1:$B$359,"&lt;="&amp;$B40)</f>
        <v>1227.9699999999998</v>
      </c>
      <c r="K40" s="24">
        <f>SUMIFS('Saldos Iniciales'!$D:$D,'Saldos Iniciales'!$A:$A,"Sacred Valley Capital")+SUMIFS(Movimientos!$K$1:$K$359,Movimientos!$C$1:$C$359,"Sacred Valley Capital",Movimientos!$B$1:$B$359,"&lt;="&amp;$B40)</f>
        <v>84.35</v>
      </c>
      <c r="L40" s="24">
        <f>SUMIFS('Saldos Iniciales'!$D:$D,'Saldos Iniciales'!$A:$A,"YWC Capital")+SUMIFS(Movimientos!$K$1:$K$359,Movimientos!$C$1:$C$359,"YWC Capital",Movimientos!$B$1:$B$359,"&lt;="&amp;$B40)</f>
        <v>2237.77</v>
      </c>
      <c r="M40" s="24">
        <f>SUMIFS('Saldos Iniciales'!$D:$D,'Saldos Iniciales'!$A:$A,"Soweto")+SUMIFS(Movimientos!$K$1:$K$359,Movimientos!$C$1:$C$359,"Soweto",Movimientos!$B$1:$B$359,"&lt;="&amp;$B40)</f>
        <v>3349.94</v>
      </c>
      <c r="N40" s="24">
        <f>SUMIFS('Saldos Iniciales'!$D:$D,'Saldos Iniciales'!$A:$A,"Green Stone Trust")+SUMIFS(Movimientos!$K$1:$K$359,Movimientos!$C$1:$C$359,"Green Stone Trust",Movimientos!$B$1:$B$359,"&lt;="&amp;$B40)</f>
        <v>1968.99</v>
      </c>
      <c r="O40" s="24">
        <f>SUMIFS('Saldos Iniciales'!$D:$D,'Saldos Iniciales'!$A:$A,"EC Auto")+SUMIFS(Movimientos!$K$1:$K$359,Movimientos!$C$1:$C$359,"EC Auto",Movimientos!$B$1:$B$359,"&lt;="&amp;$B40)</f>
        <v>382.69000000000005</v>
      </c>
      <c r="P40" s="24">
        <f>SUMIFS('Saldos Iniciales'!$D:$D,'Saldos Iniciales'!$A:$A,"Arbor Capital Properties")+SUMIFS(Movimientos!$K$1:$K$359,Movimientos!$C$1:$C$359,"Arbor Capital Properties",Movimientos!$B$1:$B$359,"&lt;="&amp;$B40)</f>
        <v>1428.08</v>
      </c>
      <c r="Q40" s="24">
        <f>SUMIFS('Saldos Iniciales'!$D:$D,'Saldos Iniciales'!$A:$A,"2515 Overbrook")+SUMIFS(Movimientos!$K$1:$K$359,Movimientos!$C$1:$C$359,"2515 Overbrook",Movimientos!$B$1:$B$359,"&lt;="&amp;$B40)</f>
        <v>25789.969999999961</v>
      </c>
      <c r="R40" s="24">
        <f>SUMIFS('Saldos Iniciales'!$D:$D,'Saldos Iniciales'!$A:$A,"112 Florida Ave")+SUMIFS(Movimientos!$K$1:$K$359,Movimientos!$C$1:$C$359,"112 Florida Ave",Movimientos!$B$1:$B$359,"&lt;="&amp;$B40)</f>
        <v>5321.4300000000021</v>
      </c>
      <c r="S40" s="24">
        <f>SUMIFS('Saldos Iniciales'!$D:$D,'Saldos Iniciales'!$A:$A,"3628 Thomas Ave")+SUMIFS(Movimientos!$K$1:$K$359,Movimientos!$C$1:$C$359,"3628 Thomas Ave",Movimientos!$B$1:$B$359,"&lt;="&amp;$B40)</f>
        <v>24833.23</v>
      </c>
      <c r="T40" s="24">
        <f>SUMIFS('Saldos Iniciales'!$D:$D,'Saldos Iniciales'!$A:$A,"Green Harbor Trust")+SUMIFS(Movimientos!$K$1:$K$359,Movimientos!$C$1:$C$359,"Green Harbor Trust",Movimientos!$B$1:$B$359,"&lt;="&amp;$B40)</f>
        <v>345</v>
      </c>
      <c r="U40" s="24">
        <f>SUMIFS('Saldos Iniciales'!$D:$D,'Saldos Iniciales'!$A:$A,"Go Blue")+SUMIFS(Movimientos!$K$1:$K$359,Movimientos!$C$1:$C$359,"Go Blue",Movimientos!$B$1:$B$359,"&lt;="&amp;$B40)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Group")+SUMIFS(Movimientos!$K$1:$K$359,Movimientos!$C$1:$C$359,"CFT Group",Movimientos!$B$1:$B$359,"&lt;="&amp;$B41)</f>
        <v>847381.29000000015</v>
      </c>
      <c r="D41" s="24">
        <f>SUMIFS('Saldos Iniciales'!$D:$D,'Saldos Iniciales'!$A:$A,"M1B")+SUMIFS(Movimientos!$K$1:$K$359,Movimientos!$C$1:$C$359,"M1B",Movimientos!$B$1:$B$359,"&lt;="&amp;$B41)</f>
        <v>69376.390000000174</v>
      </c>
      <c r="E41" s="24">
        <f>SUMIFS('Saldos Iniciales'!$D:$D,'Saldos Iniciales'!$A:$A,"Durand")+SUMIFS(Movimientos!$K$1:$K$359,Movimientos!$C$1:$C$359,"Durand",Movimientos!$B$1:$B$359,"&lt;="&amp;$B41)</f>
        <v>1669.89</v>
      </c>
      <c r="F41" s="24">
        <f>SUMIFS('Saldos Iniciales'!$D:$D,'Saldos Iniciales'!$A:$A,"A&amp;M Imports")+SUMIFS(Movimientos!$K$1:$K$359,Movimientos!$C$1:$C$359,"A&amp;M Imports",Movimientos!$B$1:$B$359,"&lt;="&amp;$B41)</f>
        <v>729545.23999999987</v>
      </c>
      <c r="G41" s="24">
        <f>SUMIFS('Saldos Iniciales'!$D:$D,'Saldos Iniciales'!$A:$A,"SSP Capital")+SUMIFS(Movimientos!$K$1:$K$359,Movimientos!$C$1:$C$359,"SSP Capital",Movimientos!$B$1:$B$359,"&lt;="&amp;$B41)</f>
        <v>1160274.0499999993</v>
      </c>
      <c r="H41" s="24">
        <f>SUMIFS('Saldos Iniciales'!$D:$D,'Saldos Iniciales'!$A:$A,"Cross Family Trust")+SUMIFS(Movimientos!$K$1:$K$359,Movimientos!$C$1:$C$359,"Cross Family Trust",Movimientos!$B$1:$B$359,"&lt;="&amp;$B41)</f>
        <v>116496.38</v>
      </c>
      <c r="I41" s="24">
        <f>SUMIFS('Saldos Iniciales'!$D:$D,'Saldos Iniciales'!$A:$A,"Cross Security Trust")+SUMIFS(Movimientos!$K$1:$K$359,Movimientos!$C$1:$C$359,"Cross Security Trust",Movimientos!$B$1:$B$359,"&lt;="&amp;$B41)</f>
        <v>88090.37</v>
      </c>
      <c r="J41" s="24">
        <f>SUMIFS('Saldos Iniciales'!$D:$D,'Saldos Iniciales'!$A:$A,"Electrama")+SUMIFS(Movimientos!$K$1:$K$359,Movimientos!$C$1:$C$359,"Electrama",Movimientos!$B$1:$B$359,"&lt;="&amp;$B41)</f>
        <v>1227.9699999999998</v>
      </c>
      <c r="K41" s="24">
        <f>SUMIFS('Saldos Iniciales'!$D:$D,'Saldos Iniciales'!$A:$A,"Sacred Valley Capital")+SUMIFS(Movimientos!$K$1:$K$359,Movimientos!$C$1:$C$359,"Sacred Valley Capital",Movimientos!$B$1:$B$359,"&lt;="&amp;$B41)</f>
        <v>84.35</v>
      </c>
      <c r="L41" s="24">
        <f>SUMIFS('Saldos Iniciales'!$D:$D,'Saldos Iniciales'!$A:$A,"YWC Capital")+SUMIFS(Movimientos!$K$1:$K$359,Movimientos!$C$1:$C$359,"YWC Capital",Movimientos!$B$1:$B$359,"&lt;="&amp;$B41)</f>
        <v>2237.77</v>
      </c>
      <c r="M41" s="24">
        <f>SUMIFS('Saldos Iniciales'!$D:$D,'Saldos Iniciales'!$A:$A,"Soweto")+SUMIFS(Movimientos!$K$1:$K$359,Movimientos!$C$1:$C$359,"Soweto",Movimientos!$B$1:$B$359,"&lt;="&amp;$B41)</f>
        <v>3349.94</v>
      </c>
      <c r="N41" s="24">
        <f>SUMIFS('Saldos Iniciales'!$D:$D,'Saldos Iniciales'!$A:$A,"Green Stone Trust")+SUMIFS(Movimientos!$K$1:$K$359,Movimientos!$C$1:$C$359,"Green Stone Trust",Movimientos!$B$1:$B$359,"&lt;="&amp;$B41)</f>
        <v>1968.99</v>
      </c>
      <c r="O41" s="24">
        <f>SUMIFS('Saldos Iniciales'!$D:$D,'Saldos Iniciales'!$A:$A,"EC Auto")+SUMIFS(Movimientos!$K$1:$K$359,Movimientos!$C$1:$C$359,"EC Auto",Movimientos!$B$1:$B$359,"&lt;="&amp;$B41)</f>
        <v>382.69000000000005</v>
      </c>
      <c r="P41" s="24">
        <f>SUMIFS('Saldos Iniciales'!$D:$D,'Saldos Iniciales'!$A:$A,"Arbor Capital Properties")+SUMIFS(Movimientos!$K$1:$K$359,Movimientos!$C$1:$C$359,"Arbor Capital Properties",Movimientos!$B$1:$B$359,"&lt;="&amp;$B41)</f>
        <v>1428.08</v>
      </c>
      <c r="Q41" s="24">
        <f>SUMIFS('Saldos Iniciales'!$D:$D,'Saldos Iniciales'!$A:$A,"2515 Overbrook")+SUMIFS(Movimientos!$K$1:$K$359,Movimientos!$C$1:$C$359,"2515 Overbrook",Movimientos!$B$1:$B$359,"&lt;="&amp;$B41)</f>
        <v>25789.969999999961</v>
      </c>
      <c r="R41" s="24">
        <f>SUMIFS('Saldos Iniciales'!$D:$D,'Saldos Iniciales'!$A:$A,"112 Florida Ave")+SUMIFS(Movimientos!$K$1:$K$359,Movimientos!$C$1:$C$359,"112 Florida Ave",Movimientos!$B$1:$B$359,"&lt;="&amp;$B41)</f>
        <v>5321.4300000000021</v>
      </c>
      <c r="S41" s="24">
        <f>SUMIFS('Saldos Iniciales'!$D:$D,'Saldos Iniciales'!$A:$A,"3628 Thomas Ave")+SUMIFS(Movimientos!$K$1:$K$359,Movimientos!$C$1:$C$359,"3628 Thomas Ave",Movimientos!$B$1:$B$359,"&lt;="&amp;$B41)</f>
        <v>24833.23</v>
      </c>
      <c r="T41" s="24">
        <f>SUMIFS('Saldos Iniciales'!$D:$D,'Saldos Iniciales'!$A:$A,"Green Harbor Trust")+SUMIFS(Movimientos!$K$1:$K$359,Movimientos!$C$1:$C$359,"Green Harbor Trust",Movimientos!$B$1:$B$359,"&lt;="&amp;$B41)</f>
        <v>345</v>
      </c>
      <c r="U41" s="24">
        <f>SUMIFS('Saldos Iniciales'!$D:$D,'Saldos Iniciales'!$A:$A,"Go Blue")+SUMIFS(Movimientos!$K$1:$K$359,Movimientos!$C$1:$C$359,"Go Blue",Movimientos!$B$1:$B$359,"&lt;="&amp;$B41)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Group")+SUMIFS(Movimientos!$K$1:$K$359,Movimientos!$C$1:$C$359,"CFT Group",Movimientos!$B$1:$B$359,"&lt;="&amp;$B42)</f>
        <v>2288745.9500000002</v>
      </c>
      <c r="D42" s="24">
        <f>SUMIFS('Saldos Iniciales'!$D:$D,'Saldos Iniciales'!$A:$A,"M1B")+SUMIFS(Movimientos!$K$1:$K$359,Movimientos!$C$1:$C$359,"M1B",Movimientos!$B$1:$B$359,"&lt;="&amp;$B42)</f>
        <v>69376.390000000174</v>
      </c>
      <c r="E42" s="24">
        <f>SUMIFS('Saldos Iniciales'!$D:$D,'Saldos Iniciales'!$A:$A,"Durand")+SUMIFS(Movimientos!$K$1:$K$359,Movimientos!$C$1:$C$359,"Durand",Movimientos!$B$1:$B$359,"&lt;="&amp;$B42)</f>
        <v>1669.89</v>
      </c>
      <c r="F42" s="24">
        <f>SUMIFS('Saldos Iniciales'!$D:$D,'Saldos Iniciales'!$A:$A,"A&amp;M Imports")+SUMIFS(Movimientos!$K$1:$K$359,Movimientos!$C$1:$C$359,"A&amp;M Imports",Movimientos!$B$1:$B$359,"&lt;="&amp;$B42)</f>
        <v>744306.80999999982</v>
      </c>
      <c r="G42" s="24">
        <f>SUMIFS('Saldos Iniciales'!$D:$D,'Saldos Iniciales'!$A:$A,"SSP Capital")+SUMIFS(Movimientos!$K$1:$K$359,Movimientos!$C$1:$C$359,"SSP Capital",Movimientos!$B$1:$B$359,"&lt;="&amp;$B42)</f>
        <v>1160274.0499999993</v>
      </c>
      <c r="H42" s="24">
        <f>SUMIFS('Saldos Iniciales'!$D:$D,'Saldos Iniciales'!$A:$A,"Cross Family Trust")+SUMIFS(Movimientos!$K$1:$K$359,Movimientos!$C$1:$C$359,"Cross Family Trust",Movimientos!$B$1:$B$359,"&lt;="&amp;$B42)</f>
        <v>116496.38</v>
      </c>
      <c r="I42" s="24">
        <f>SUMIFS('Saldos Iniciales'!$D:$D,'Saldos Iniciales'!$A:$A,"Cross Security Trust")+SUMIFS(Movimientos!$K$1:$K$359,Movimientos!$C$1:$C$359,"Cross Security Trust",Movimientos!$B$1:$B$359,"&lt;="&amp;$B42)</f>
        <v>88090.37</v>
      </c>
      <c r="J42" s="24">
        <f>SUMIFS('Saldos Iniciales'!$D:$D,'Saldos Iniciales'!$A:$A,"Electrama")+SUMIFS(Movimientos!$K$1:$K$359,Movimientos!$C$1:$C$359,"Electrama",Movimientos!$B$1:$B$359,"&lt;="&amp;$B42)</f>
        <v>1227.9699999999998</v>
      </c>
      <c r="K42" s="24">
        <f>SUMIFS('Saldos Iniciales'!$D:$D,'Saldos Iniciales'!$A:$A,"Sacred Valley Capital")+SUMIFS(Movimientos!$K$1:$K$359,Movimientos!$C$1:$C$359,"Sacred Valley Capital",Movimientos!$B$1:$B$359,"&lt;="&amp;$B42)</f>
        <v>84.35</v>
      </c>
      <c r="L42" s="24">
        <f>SUMIFS('Saldos Iniciales'!$D:$D,'Saldos Iniciales'!$A:$A,"YWC Capital")+SUMIFS(Movimientos!$K$1:$K$359,Movimientos!$C$1:$C$359,"YWC Capital",Movimientos!$B$1:$B$359,"&lt;="&amp;$B42)</f>
        <v>2237.77</v>
      </c>
      <c r="M42" s="24">
        <f>SUMIFS('Saldos Iniciales'!$D:$D,'Saldos Iniciales'!$A:$A,"Soweto")+SUMIFS(Movimientos!$K$1:$K$359,Movimientos!$C$1:$C$359,"Soweto",Movimientos!$B$1:$B$359,"&lt;="&amp;$B42)</f>
        <v>3349.94</v>
      </c>
      <c r="N42" s="24">
        <f>SUMIFS('Saldos Iniciales'!$D:$D,'Saldos Iniciales'!$A:$A,"Green Stone Trust")+SUMIFS(Movimientos!$K$1:$K$359,Movimientos!$C$1:$C$359,"Green Stone Trust",Movimientos!$B$1:$B$359,"&lt;="&amp;$B42)</f>
        <v>1968.99</v>
      </c>
      <c r="O42" s="24">
        <f>SUMIFS('Saldos Iniciales'!$D:$D,'Saldos Iniciales'!$A:$A,"EC Auto")+SUMIFS(Movimientos!$K$1:$K$359,Movimientos!$C$1:$C$359,"EC Auto",Movimientos!$B$1:$B$359,"&lt;="&amp;$B42)</f>
        <v>382.69000000000005</v>
      </c>
      <c r="P42" s="24">
        <f>SUMIFS('Saldos Iniciales'!$D:$D,'Saldos Iniciales'!$A:$A,"Arbor Capital Properties")+SUMIFS(Movimientos!$K$1:$K$359,Movimientos!$C$1:$C$359,"Arbor Capital Properties",Movimientos!$B$1:$B$359,"&lt;="&amp;$B42)</f>
        <v>1428.08</v>
      </c>
      <c r="Q42" s="24">
        <f>SUMIFS('Saldos Iniciales'!$D:$D,'Saldos Iniciales'!$A:$A,"2515 Overbrook")+SUMIFS(Movimientos!$K$1:$K$359,Movimientos!$C$1:$C$359,"2515 Overbrook",Movimientos!$B$1:$B$359,"&lt;="&amp;$B42)</f>
        <v>25789.969999999961</v>
      </c>
      <c r="R42" s="24">
        <f>SUMIFS('Saldos Iniciales'!$D:$D,'Saldos Iniciales'!$A:$A,"112 Florida Ave")+SUMIFS(Movimientos!$K$1:$K$359,Movimientos!$C$1:$C$359,"112 Florida Ave",Movimientos!$B$1:$B$359,"&lt;="&amp;$B42)</f>
        <v>5321.4300000000021</v>
      </c>
      <c r="S42" s="24">
        <f>SUMIFS('Saldos Iniciales'!$D:$D,'Saldos Iniciales'!$A:$A,"3628 Thomas Ave")+SUMIFS(Movimientos!$K$1:$K$359,Movimientos!$C$1:$C$359,"3628 Thomas Ave",Movimientos!$B$1:$B$359,"&lt;="&amp;$B42)</f>
        <v>24743.98</v>
      </c>
      <c r="T42" s="24">
        <f>SUMIFS('Saldos Iniciales'!$D:$D,'Saldos Iniciales'!$A:$A,"Green Harbor Trust")+SUMIFS(Movimientos!$K$1:$K$359,Movimientos!$C$1:$C$359,"Green Harbor Trust",Movimientos!$B$1:$B$359,"&lt;="&amp;$B42)</f>
        <v>345</v>
      </c>
      <c r="U42" s="24">
        <f>SUMIFS('Saldos Iniciales'!$D:$D,'Saldos Iniciales'!$A:$A,"Go Blue")+SUMIFS(Movimientos!$K$1:$K$359,Movimientos!$C$1:$C$359,"Go Blue",Movimientos!$B$1:$B$359,"&lt;="&amp;$B42)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Group")+SUMIFS(Movimientos!$K$1:$K$359,Movimientos!$C$1:$C$359,"CFT Group",Movimientos!$B$1:$B$359,"&lt;="&amp;$B43)</f>
        <v>1837784.84</v>
      </c>
      <c r="D43" s="24">
        <f>SUMIFS('Saldos Iniciales'!$D:$D,'Saldos Iniciales'!$A:$A,"M1B")+SUMIFS(Movimientos!$K$1:$K$359,Movimientos!$C$1:$C$359,"M1B",Movimientos!$B$1:$B$359,"&lt;="&amp;$B43)</f>
        <v>69376.390000000174</v>
      </c>
      <c r="E43" s="24">
        <f>SUMIFS('Saldos Iniciales'!$D:$D,'Saldos Iniciales'!$A:$A,"Durand")+SUMIFS(Movimientos!$K$1:$K$359,Movimientos!$C$1:$C$359,"Durand",Movimientos!$B$1:$B$359,"&lt;="&amp;$B43)</f>
        <v>1669.89</v>
      </c>
      <c r="F43" s="24">
        <f>SUMIFS('Saldos Iniciales'!$D:$D,'Saldos Iniciales'!$A:$A,"A&amp;M Imports")+SUMIFS(Movimientos!$K$1:$K$359,Movimientos!$C$1:$C$359,"A&amp;M Imports",Movimientos!$B$1:$B$359,"&lt;="&amp;$B43)</f>
        <v>564626.20999999985</v>
      </c>
      <c r="G43" s="24">
        <f>SUMIFS('Saldos Iniciales'!$D:$D,'Saldos Iniciales'!$A:$A,"SSP Capital")+SUMIFS(Movimientos!$K$1:$K$359,Movimientos!$C$1:$C$359,"SSP Capital",Movimientos!$B$1:$B$359,"&lt;="&amp;$B43)</f>
        <v>794731.82999999926</v>
      </c>
      <c r="H43" s="24">
        <f>SUMIFS('Saldos Iniciales'!$D:$D,'Saldos Iniciales'!$A:$A,"Cross Family Trust")+SUMIFS(Movimientos!$K$1:$K$359,Movimientos!$C$1:$C$359,"Cross Family Trust",Movimientos!$B$1:$B$359,"&lt;="&amp;$B43)</f>
        <v>116496.38</v>
      </c>
      <c r="I43" s="24">
        <f>SUMIFS('Saldos Iniciales'!$D:$D,'Saldos Iniciales'!$A:$A,"Cross Security Trust")+SUMIFS(Movimientos!$K$1:$K$359,Movimientos!$C$1:$C$359,"Cross Security Trust",Movimientos!$B$1:$B$359,"&lt;="&amp;$B43)</f>
        <v>88090.37</v>
      </c>
      <c r="J43" s="24">
        <f>SUMIFS('Saldos Iniciales'!$D:$D,'Saldos Iniciales'!$A:$A,"Electrama")+SUMIFS(Movimientos!$K$1:$K$359,Movimientos!$C$1:$C$359,"Electrama",Movimientos!$B$1:$B$359,"&lt;="&amp;$B43)</f>
        <v>1227.9699999999998</v>
      </c>
      <c r="K43" s="24">
        <f>SUMIFS('Saldos Iniciales'!$D:$D,'Saldos Iniciales'!$A:$A,"Sacred Valley Capital")+SUMIFS(Movimientos!$K$1:$K$359,Movimientos!$C$1:$C$359,"Sacred Valley Capital",Movimientos!$B$1:$B$359,"&lt;="&amp;$B43)</f>
        <v>84.35</v>
      </c>
      <c r="L43" s="24">
        <f>SUMIFS('Saldos Iniciales'!$D:$D,'Saldos Iniciales'!$A:$A,"YWC Capital")+SUMIFS(Movimientos!$K$1:$K$359,Movimientos!$C$1:$C$359,"YWC Capital",Movimientos!$B$1:$B$359,"&lt;="&amp;$B43)</f>
        <v>2237.77</v>
      </c>
      <c r="M43" s="24">
        <f>SUMIFS('Saldos Iniciales'!$D:$D,'Saldos Iniciales'!$A:$A,"Soweto")+SUMIFS(Movimientos!$K$1:$K$359,Movimientos!$C$1:$C$359,"Soweto",Movimientos!$B$1:$B$359,"&lt;="&amp;$B43)</f>
        <v>3349.94</v>
      </c>
      <c r="N43" s="24">
        <f>SUMIFS('Saldos Iniciales'!$D:$D,'Saldos Iniciales'!$A:$A,"Green Stone Trust")+SUMIFS(Movimientos!$K$1:$K$359,Movimientos!$C$1:$C$359,"Green Stone Trust",Movimientos!$B$1:$B$359,"&lt;="&amp;$B43)</f>
        <v>1968.99</v>
      </c>
      <c r="O43" s="24">
        <f>SUMIFS('Saldos Iniciales'!$D:$D,'Saldos Iniciales'!$A:$A,"EC Auto")+SUMIFS(Movimientos!$K$1:$K$359,Movimientos!$C$1:$C$359,"EC Auto",Movimientos!$B$1:$B$359,"&lt;="&amp;$B43)</f>
        <v>382.69000000000005</v>
      </c>
      <c r="P43" s="24">
        <f>SUMIFS('Saldos Iniciales'!$D:$D,'Saldos Iniciales'!$A:$A,"Arbor Capital Properties")+SUMIFS(Movimientos!$K$1:$K$359,Movimientos!$C$1:$C$359,"Arbor Capital Properties",Movimientos!$B$1:$B$359,"&lt;="&amp;$B43)</f>
        <v>1428.08</v>
      </c>
      <c r="Q43" s="24">
        <f>SUMIFS('Saldos Iniciales'!$D:$D,'Saldos Iniciales'!$A:$A,"2515 Overbrook")+SUMIFS(Movimientos!$K$1:$K$359,Movimientos!$C$1:$C$359,"2515 Overbrook",Movimientos!$B$1:$B$359,"&lt;="&amp;$B43)</f>
        <v>25789.969999999961</v>
      </c>
      <c r="R43" s="24">
        <f>SUMIFS('Saldos Iniciales'!$D:$D,'Saldos Iniciales'!$A:$A,"112 Florida Ave")+SUMIFS(Movimientos!$K$1:$K$359,Movimientos!$C$1:$C$359,"112 Florida Ave",Movimientos!$B$1:$B$359,"&lt;="&amp;$B43)</f>
        <v>5321.4300000000021</v>
      </c>
      <c r="S43" s="24">
        <f>SUMIFS('Saldos Iniciales'!$D:$D,'Saldos Iniciales'!$A:$A,"3628 Thomas Ave")+SUMIFS(Movimientos!$K$1:$K$359,Movimientos!$C$1:$C$359,"3628 Thomas Ave",Movimientos!$B$1:$B$359,"&lt;="&amp;$B43)</f>
        <v>24743.98</v>
      </c>
      <c r="T43" s="24">
        <f>SUMIFS('Saldos Iniciales'!$D:$D,'Saldos Iniciales'!$A:$A,"Green Harbor Trust")+SUMIFS(Movimientos!$K$1:$K$359,Movimientos!$C$1:$C$359,"Green Harbor Trust",Movimientos!$B$1:$B$359,"&lt;="&amp;$B43)</f>
        <v>345</v>
      </c>
      <c r="U43" s="24">
        <f>SUMIFS('Saldos Iniciales'!$D:$D,'Saldos Iniciales'!$A:$A,"Go Blue")+SUMIFS(Movimientos!$K$1:$K$359,Movimientos!$C$1:$C$359,"Go Blue",Movimientos!$B$1:$B$359,"&lt;="&amp;$B43)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Group")+SUMIFS(Movimientos!$K$1:$K$359,Movimientos!$C$1:$C$359,"CFT Group",Movimientos!$B$1:$B$359,"&lt;="&amp;$B44)</f>
        <v>1837784.84</v>
      </c>
      <c r="D44" s="24">
        <f>SUMIFS('Saldos Iniciales'!$D:$D,'Saldos Iniciales'!$A:$A,"M1B")+SUMIFS(Movimientos!$K$1:$K$359,Movimientos!$C$1:$C$359,"M1B",Movimientos!$B$1:$B$359,"&lt;="&amp;$B44)</f>
        <v>69376.390000000174</v>
      </c>
      <c r="E44" s="24">
        <f>SUMIFS('Saldos Iniciales'!$D:$D,'Saldos Iniciales'!$A:$A,"Durand")+SUMIFS(Movimientos!$K$1:$K$359,Movimientos!$C$1:$C$359,"Durand",Movimientos!$B$1:$B$359,"&lt;="&amp;$B44)</f>
        <v>1669.89</v>
      </c>
      <c r="F44" s="24">
        <f>SUMIFS('Saldos Iniciales'!$D:$D,'Saldos Iniciales'!$A:$A,"A&amp;M Imports")+SUMIFS(Movimientos!$K$1:$K$359,Movimientos!$C$1:$C$359,"A&amp;M Imports",Movimientos!$B$1:$B$359,"&lt;="&amp;$B44)</f>
        <v>564626.20999999985</v>
      </c>
      <c r="G44" s="24">
        <f>SUMIFS('Saldos Iniciales'!$D:$D,'Saldos Iniciales'!$A:$A,"SSP Capital")+SUMIFS(Movimientos!$K$1:$K$359,Movimientos!$C$1:$C$359,"SSP Capital",Movimientos!$B$1:$B$359,"&lt;="&amp;$B44)</f>
        <v>3763348.8299999996</v>
      </c>
      <c r="H44" s="24">
        <f>SUMIFS('Saldos Iniciales'!$D:$D,'Saldos Iniciales'!$A:$A,"Cross Family Trust")+SUMIFS(Movimientos!$K$1:$K$359,Movimientos!$C$1:$C$359,"Cross Family Trust",Movimientos!$B$1:$B$359,"&lt;="&amp;$B44)</f>
        <v>116496.38</v>
      </c>
      <c r="I44" s="24">
        <f>SUMIFS('Saldos Iniciales'!$D:$D,'Saldos Iniciales'!$A:$A,"Cross Security Trust")+SUMIFS(Movimientos!$K$1:$K$359,Movimientos!$C$1:$C$359,"Cross Security Trust",Movimientos!$B$1:$B$359,"&lt;="&amp;$B44)</f>
        <v>88090.37</v>
      </c>
      <c r="J44" s="24">
        <f>SUMIFS('Saldos Iniciales'!$D:$D,'Saldos Iniciales'!$A:$A,"Electrama")+SUMIFS(Movimientos!$K$1:$K$359,Movimientos!$C$1:$C$359,"Electrama",Movimientos!$B$1:$B$359,"&lt;="&amp;$B44)</f>
        <v>1227.9699999999998</v>
      </c>
      <c r="K44" s="24">
        <f>SUMIFS('Saldos Iniciales'!$D:$D,'Saldos Iniciales'!$A:$A,"Sacred Valley Capital")+SUMIFS(Movimientos!$K$1:$K$359,Movimientos!$C$1:$C$359,"Sacred Valley Capital",Movimientos!$B$1:$B$359,"&lt;="&amp;$B44)</f>
        <v>84.35</v>
      </c>
      <c r="L44" s="24">
        <f>SUMIFS('Saldos Iniciales'!$D:$D,'Saldos Iniciales'!$A:$A,"YWC Capital")+SUMIFS(Movimientos!$K$1:$K$359,Movimientos!$C$1:$C$359,"YWC Capital",Movimientos!$B$1:$B$359,"&lt;="&amp;$B44)</f>
        <v>2237.77</v>
      </c>
      <c r="M44" s="24">
        <f>SUMIFS('Saldos Iniciales'!$D:$D,'Saldos Iniciales'!$A:$A,"Soweto")+SUMIFS(Movimientos!$K$1:$K$359,Movimientos!$C$1:$C$359,"Soweto",Movimientos!$B$1:$B$359,"&lt;="&amp;$B44)</f>
        <v>3349.94</v>
      </c>
      <c r="N44" s="24">
        <f>SUMIFS('Saldos Iniciales'!$D:$D,'Saldos Iniciales'!$A:$A,"Green Stone Trust")+SUMIFS(Movimientos!$K$1:$K$359,Movimientos!$C$1:$C$359,"Green Stone Trust",Movimientos!$B$1:$B$359,"&lt;="&amp;$B44)</f>
        <v>1968.99</v>
      </c>
      <c r="O44" s="24">
        <f>SUMIFS('Saldos Iniciales'!$D:$D,'Saldos Iniciales'!$A:$A,"EC Auto")+SUMIFS(Movimientos!$K$1:$K$359,Movimientos!$C$1:$C$359,"EC Auto",Movimientos!$B$1:$B$359,"&lt;="&amp;$B44)</f>
        <v>382.69000000000005</v>
      </c>
      <c r="P44" s="24">
        <f>SUMIFS('Saldos Iniciales'!$D:$D,'Saldos Iniciales'!$A:$A,"Arbor Capital Properties")+SUMIFS(Movimientos!$K$1:$K$359,Movimientos!$C$1:$C$359,"Arbor Capital Properties",Movimientos!$B$1:$B$359,"&lt;="&amp;$B44)</f>
        <v>1428.08</v>
      </c>
      <c r="Q44" s="24">
        <f>SUMIFS('Saldos Iniciales'!$D:$D,'Saldos Iniciales'!$A:$A,"2515 Overbrook")+SUMIFS(Movimientos!$K$1:$K$359,Movimientos!$C$1:$C$359,"2515 Overbrook",Movimientos!$B$1:$B$359,"&lt;="&amp;$B44)</f>
        <v>27789.969999999961</v>
      </c>
      <c r="R44" s="24">
        <f>SUMIFS('Saldos Iniciales'!$D:$D,'Saldos Iniciales'!$A:$A,"112 Florida Ave")+SUMIFS(Movimientos!$K$1:$K$359,Movimientos!$C$1:$C$359,"112 Florida Ave",Movimientos!$B$1:$B$359,"&lt;="&amp;$B44)</f>
        <v>5321.4300000000021</v>
      </c>
      <c r="S44" s="24">
        <f>SUMIFS('Saldos Iniciales'!$D:$D,'Saldos Iniciales'!$A:$A,"3628 Thomas Ave")+SUMIFS(Movimientos!$K$1:$K$359,Movimientos!$C$1:$C$359,"3628 Thomas Ave",Movimientos!$B$1:$B$359,"&lt;="&amp;$B44)</f>
        <v>24484.85</v>
      </c>
      <c r="T44" s="24">
        <f>SUMIFS('Saldos Iniciales'!$D:$D,'Saldos Iniciales'!$A:$A,"Green Harbor Trust")+SUMIFS(Movimientos!$K$1:$K$359,Movimientos!$C$1:$C$359,"Green Harbor Trust",Movimientos!$B$1:$B$359,"&lt;="&amp;$B44)</f>
        <v>345</v>
      </c>
      <c r="U44" s="24">
        <f>SUMIFS('Saldos Iniciales'!$D:$D,'Saldos Iniciales'!$A:$A,"Go Blue")+SUMIFS(Movimientos!$K$1:$K$359,Movimientos!$C$1:$C$359,"Go Blue",Movimientos!$B$1:$B$359,"&lt;="&amp;$B44)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Group")+SUMIFS(Movimientos!$K$1:$K$359,Movimientos!$C$1:$C$359,"CFT Group",Movimientos!$B$1:$B$359,"&lt;="&amp;$B45)</f>
        <v>1837784.84</v>
      </c>
      <c r="D45" s="24">
        <f>SUMIFS('Saldos Iniciales'!$D:$D,'Saldos Iniciales'!$A:$A,"M1B")+SUMIFS(Movimientos!$K$1:$K$359,Movimientos!$C$1:$C$359,"M1B",Movimientos!$B$1:$B$359,"&lt;="&amp;$B45)</f>
        <v>69376.390000000174</v>
      </c>
      <c r="E45" s="24">
        <f>SUMIFS('Saldos Iniciales'!$D:$D,'Saldos Iniciales'!$A:$A,"Durand")+SUMIFS(Movimientos!$K$1:$K$359,Movimientos!$C$1:$C$359,"Durand",Movimientos!$B$1:$B$359,"&lt;="&amp;$B45)</f>
        <v>1669.89</v>
      </c>
      <c r="F45" s="24">
        <f>SUMIFS('Saldos Iniciales'!$D:$D,'Saldos Iniciales'!$A:$A,"A&amp;M Imports")+SUMIFS(Movimientos!$K$1:$K$359,Movimientos!$C$1:$C$359,"A&amp;M Imports",Movimientos!$B$1:$B$359,"&lt;="&amp;$B45)</f>
        <v>564626.20999999985</v>
      </c>
      <c r="G45" s="24">
        <f>SUMIFS('Saldos Iniciales'!$D:$D,'Saldos Iniciales'!$A:$A,"SSP Capital")+SUMIFS(Movimientos!$K$1:$K$359,Movimientos!$C$1:$C$359,"SSP Capital",Movimientos!$B$1:$B$359,"&lt;="&amp;$B45)</f>
        <v>3763348.8299999996</v>
      </c>
      <c r="H45" s="24">
        <f>SUMIFS('Saldos Iniciales'!$D:$D,'Saldos Iniciales'!$A:$A,"Cross Family Trust")+SUMIFS(Movimientos!$K$1:$K$359,Movimientos!$C$1:$C$359,"Cross Family Trust",Movimientos!$B$1:$B$359,"&lt;="&amp;$B45)</f>
        <v>116496.38</v>
      </c>
      <c r="I45" s="24">
        <f>SUMIFS('Saldos Iniciales'!$D:$D,'Saldos Iniciales'!$A:$A,"Cross Security Trust")+SUMIFS(Movimientos!$K$1:$K$359,Movimientos!$C$1:$C$359,"Cross Security Trust",Movimientos!$B$1:$B$359,"&lt;="&amp;$B45)</f>
        <v>88090.37</v>
      </c>
      <c r="J45" s="24">
        <f>SUMIFS('Saldos Iniciales'!$D:$D,'Saldos Iniciales'!$A:$A,"Electrama")+SUMIFS(Movimientos!$K$1:$K$359,Movimientos!$C$1:$C$359,"Electrama",Movimientos!$B$1:$B$359,"&lt;="&amp;$B45)</f>
        <v>1227.9699999999998</v>
      </c>
      <c r="K45" s="24">
        <f>SUMIFS('Saldos Iniciales'!$D:$D,'Saldos Iniciales'!$A:$A,"Sacred Valley Capital")+SUMIFS(Movimientos!$K$1:$K$359,Movimientos!$C$1:$C$359,"Sacred Valley Capital",Movimientos!$B$1:$B$359,"&lt;="&amp;$B45)</f>
        <v>84.35</v>
      </c>
      <c r="L45" s="24">
        <f>SUMIFS('Saldos Iniciales'!$D:$D,'Saldos Iniciales'!$A:$A,"YWC Capital")+SUMIFS(Movimientos!$K$1:$K$359,Movimientos!$C$1:$C$359,"YWC Capital",Movimientos!$B$1:$B$359,"&lt;="&amp;$B45)</f>
        <v>2237.77</v>
      </c>
      <c r="M45" s="24">
        <f>SUMIFS('Saldos Iniciales'!$D:$D,'Saldos Iniciales'!$A:$A,"Soweto")+SUMIFS(Movimientos!$K$1:$K$359,Movimientos!$C$1:$C$359,"Soweto",Movimientos!$B$1:$B$359,"&lt;="&amp;$B45)</f>
        <v>3349.94</v>
      </c>
      <c r="N45" s="24">
        <f>SUMIFS('Saldos Iniciales'!$D:$D,'Saldos Iniciales'!$A:$A,"Green Stone Trust")+SUMIFS(Movimientos!$K$1:$K$359,Movimientos!$C$1:$C$359,"Green Stone Trust",Movimientos!$B$1:$B$359,"&lt;="&amp;$B45)</f>
        <v>1968.99</v>
      </c>
      <c r="O45" s="24">
        <f>SUMIFS('Saldos Iniciales'!$D:$D,'Saldos Iniciales'!$A:$A,"EC Auto")+SUMIFS(Movimientos!$K$1:$K$359,Movimientos!$C$1:$C$359,"EC Auto",Movimientos!$B$1:$B$359,"&lt;="&amp;$B45)</f>
        <v>382.69000000000005</v>
      </c>
      <c r="P45" s="24">
        <f>SUMIFS('Saldos Iniciales'!$D:$D,'Saldos Iniciales'!$A:$A,"Arbor Capital Properties")+SUMIFS(Movimientos!$K$1:$K$359,Movimientos!$C$1:$C$359,"Arbor Capital Properties",Movimientos!$B$1:$B$359,"&lt;="&amp;$B45)</f>
        <v>1428.08</v>
      </c>
      <c r="Q45" s="24">
        <f>SUMIFS('Saldos Iniciales'!$D:$D,'Saldos Iniciales'!$A:$A,"2515 Overbrook")+SUMIFS(Movimientos!$K$1:$K$359,Movimientos!$C$1:$C$359,"2515 Overbrook",Movimientos!$B$1:$B$359,"&lt;="&amp;$B45)</f>
        <v>27789.969999999961</v>
      </c>
      <c r="R45" s="24">
        <f>SUMIFS('Saldos Iniciales'!$D:$D,'Saldos Iniciales'!$A:$A,"112 Florida Ave")+SUMIFS(Movimientos!$K$1:$K$359,Movimientos!$C$1:$C$359,"112 Florida Ave",Movimientos!$B$1:$B$359,"&lt;="&amp;$B45)</f>
        <v>5321.4300000000021</v>
      </c>
      <c r="S45" s="24">
        <f>SUMIFS('Saldos Iniciales'!$D:$D,'Saldos Iniciales'!$A:$A,"3628 Thomas Ave")+SUMIFS(Movimientos!$K$1:$K$359,Movimientos!$C$1:$C$359,"3628 Thomas Ave",Movimientos!$B$1:$B$359,"&lt;="&amp;$B45)</f>
        <v>24484.85</v>
      </c>
      <c r="T45" s="24">
        <f>SUMIFS('Saldos Iniciales'!$D:$D,'Saldos Iniciales'!$A:$A,"Green Harbor Trust")+SUMIFS(Movimientos!$K$1:$K$359,Movimientos!$C$1:$C$359,"Green Harbor Trust",Movimientos!$B$1:$B$359,"&lt;="&amp;$B45)</f>
        <v>345</v>
      </c>
      <c r="U45" s="24">
        <f>SUMIFS('Saldos Iniciales'!$D:$D,'Saldos Iniciales'!$A:$A,"Go Blue")+SUMIFS(Movimientos!$K$1:$K$359,Movimientos!$C$1:$C$359,"Go Blue",Movimientos!$B$1:$B$359,"&lt;="&amp;$B45)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Group")+SUMIFS(Movimientos!$K$1:$K$359,Movimientos!$C$1:$C$359,"CFT Group",Movimientos!$B$1:$B$359,"&lt;="&amp;$B46)</f>
        <v>1837784.84</v>
      </c>
      <c r="D46" s="24">
        <f>SUMIFS('Saldos Iniciales'!$D:$D,'Saldos Iniciales'!$A:$A,"M1B")+SUMIFS(Movimientos!$K$1:$K$359,Movimientos!$C$1:$C$359,"M1B",Movimientos!$B$1:$B$359,"&lt;="&amp;$B46)</f>
        <v>69376.390000000174</v>
      </c>
      <c r="E46" s="24">
        <f>SUMIFS('Saldos Iniciales'!$D:$D,'Saldos Iniciales'!$A:$A,"Durand")+SUMIFS(Movimientos!$K$1:$K$359,Movimientos!$C$1:$C$359,"Durand",Movimientos!$B$1:$B$359,"&lt;="&amp;$B46)</f>
        <v>1669.89</v>
      </c>
      <c r="F46" s="24">
        <f>SUMIFS('Saldos Iniciales'!$D:$D,'Saldos Iniciales'!$A:$A,"A&amp;M Imports")+SUMIFS(Movimientos!$K$1:$K$359,Movimientos!$C$1:$C$359,"A&amp;M Imports",Movimientos!$B$1:$B$359,"&lt;="&amp;$B46)</f>
        <v>564626.20999999985</v>
      </c>
      <c r="G46" s="24">
        <f>SUMIFS('Saldos Iniciales'!$D:$D,'Saldos Iniciales'!$A:$A,"SSP Capital")+SUMIFS(Movimientos!$K$1:$K$359,Movimientos!$C$1:$C$359,"SSP Capital",Movimientos!$B$1:$B$359,"&lt;="&amp;$B46)</f>
        <v>3763348.8299999996</v>
      </c>
      <c r="H46" s="24">
        <f>SUMIFS('Saldos Iniciales'!$D:$D,'Saldos Iniciales'!$A:$A,"Cross Family Trust")+SUMIFS(Movimientos!$K$1:$K$359,Movimientos!$C$1:$C$359,"Cross Family Trust",Movimientos!$B$1:$B$359,"&lt;="&amp;$B46)</f>
        <v>116496.38</v>
      </c>
      <c r="I46" s="24">
        <f>SUMIFS('Saldos Iniciales'!$D:$D,'Saldos Iniciales'!$A:$A,"Cross Security Trust")+SUMIFS(Movimientos!$K$1:$K$359,Movimientos!$C$1:$C$359,"Cross Security Trust",Movimientos!$B$1:$B$359,"&lt;="&amp;$B46)</f>
        <v>88090.37</v>
      </c>
      <c r="J46" s="24">
        <f>SUMIFS('Saldos Iniciales'!$D:$D,'Saldos Iniciales'!$A:$A,"Electrama")+SUMIFS(Movimientos!$K$1:$K$359,Movimientos!$C$1:$C$359,"Electrama",Movimientos!$B$1:$B$359,"&lt;="&amp;$B46)</f>
        <v>1227.9699999999998</v>
      </c>
      <c r="K46" s="24">
        <f>SUMIFS('Saldos Iniciales'!$D:$D,'Saldos Iniciales'!$A:$A,"Sacred Valley Capital")+SUMIFS(Movimientos!$K$1:$K$359,Movimientos!$C$1:$C$359,"Sacred Valley Capital",Movimientos!$B$1:$B$359,"&lt;="&amp;$B46)</f>
        <v>84.35</v>
      </c>
      <c r="L46" s="24">
        <f>SUMIFS('Saldos Iniciales'!$D:$D,'Saldos Iniciales'!$A:$A,"YWC Capital")+SUMIFS(Movimientos!$K$1:$K$359,Movimientos!$C$1:$C$359,"YWC Capital",Movimientos!$B$1:$B$359,"&lt;="&amp;$B46)</f>
        <v>2237.77</v>
      </c>
      <c r="M46" s="24">
        <f>SUMIFS('Saldos Iniciales'!$D:$D,'Saldos Iniciales'!$A:$A,"Soweto")+SUMIFS(Movimientos!$K$1:$K$359,Movimientos!$C$1:$C$359,"Soweto",Movimientos!$B$1:$B$359,"&lt;="&amp;$B46)</f>
        <v>3349.94</v>
      </c>
      <c r="N46" s="24">
        <f>SUMIFS('Saldos Iniciales'!$D:$D,'Saldos Iniciales'!$A:$A,"Green Stone Trust")+SUMIFS(Movimientos!$K$1:$K$359,Movimientos!$C$1:$C$359,"Green Stone Trust",Movimientos!$B$1:$B$359,"&lt;="&amp;$B46)</f>
        <v>1968.99</v>
      </c>
      <c r="O46" s="24">
        <f>SUMIFS('Saldos Iniciales'!$D:$D,'Saldos Iniciales'!$A:$A,"EC Auto")+SUMIFS(Movimientos!$K$1:$K$359,Movimientos!$C$1:$C$359,"EC Auto",Movimientos!$B$1:$B$359,"&lt;="&amp;$B46)</f>
        <v>382.69000000000005</v>
      </c>
      <c r="P46" s="24">
        <f>SUMIFS('Saldos Iniciales'!$D:$D,'Saldos Iniciales'!$A:$A,"Arbor Capital Properties")+SUMIFS(Movimientos!$K$1:$K$359,Movimientos!$C$1:$C$359,"Arbor Capital Properties",Movimientos!$B$1:$B$359,"&lt;="&amp;$B46)</f>
        <v>1428.08</v>
      </c>
      <c r="Q46" s="24">
        <f>SUMIFS('Saldos Iniciales'!$D:$D,'Saldos Iniciales'!$A:$A,"2515 Overbrook")+SUMIFS(Movimientos!$K$1:$K$359,Movimientos!$C$1:$C$359,"2515 Overbrook",Movimientos!$B$1:$B$359,"&lt;="&amp;$B46)</f>
        <v>27789.969999999961</v>
      </c>
      <c r="R46" s="24">
        <f>SUMIFS('Saldos Iniciales'!$D:$D,'Saldos Iniciales'!$A:$A,"112 Florida Ave")+SUMIFS(Movimientos!$K$1:$K$359,Movimientos!$C$1:$C$359,"112 Florida Ave",Movimientos!$B$1:$B$359,"&lt;="&amp;$B46)</f>
        <v>5321.4300000000021</v>
      </c>
      <c r="S46" s="24">
        <f>SUMIFS('Saldos Iniciales'!$D:$D,'Saldos Iniciales'!$A:$A,"3628 Thomas Ave")+SUMIFS(Movimientos!$K$1:$K$359,Movimientos!$C$1:$C$359,"3628 Thomas Ave",Movimientos!$B$1:$B$359,"&lt;="&amp;$B46)</f>
        <v>24484.85</v>
      </c>
      <c r="T46" s="24">
        <f>SUMIFS('Saldos Iniciales'!$D:$D,'Saldos Iniciales'!$A:$A,"Green Harbor Trust")+SUMIFS(Movimientos!$K$1:$K$359,Movimientos!$C$1:$C$359,"Green Harbor Trust",Movimientos!$B$1:$B$359,"&lt;="&amp;$B46)</f>
        <v>345</v>
      </c>
      <c r="U46" s="24">
        <f>SUMIFS('Saldos Iniciales'!$D:$D,'Saldos Iniciales'!$A:$A,"Go Blue")+SUMIFS(Movimientos!$K$1:$K$359,Movimientos!$C$1:$C$359,"Go Blue",Movimientos!$B$1:$B$359,"&lt;="&amp;$B46)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Group")+SUMIFS(Movimientos!$K$1:$K$359,Movimientos!$C$1:$C$359,"CFT Group",Movimientos!$B$1:$B$359,"&lt;="&amp;$B47)</f>
        <v>985975.94000000029</v>
      </c>
      <c r="D47" s="24">
        <f>SUMIFS('Saldos Iniciales'!$D:$D,'Saldos Iniciales'!$A:$A,"M1B")+SUMIFS(Movimientos!$K$1:$K$359,Movimientos!$C$1:$C$359,"M1B",Movimientos!$B$1:$B$359,"&lt;="&amp;$B47)</f>
        <v>69376.390000000174</v>
      </c>
      <c r="E47" s="24">
        <f>SUMIFS('Saldos Iniciales'!$D:$D,'Saldos Iniciales'!$A:$A,"Durand")+SUMIFS(Movimientos!$K$1:$K$359,Movimientos!$C$1:$C$359,"Durand",Movimientos!$B$1:$B$359,"&lt;="&amp;$B47)</f>
        <v>1669.89</v>
      </c>
      <c r="F47" s="24">
        <f>SUMIFS('Saldos Iniciales'!$D:$D,'Saldos Iniciales'!$A:$A,"A&amp;M Imports")+SUMIFS(Movimientos!$K$1:$K$359,Movimientos!$C$1:$C$359,"A&amp;M Imports",Movimientos!$B$1:$B$359,"&lt;="&amp;$B47)</f>
        <v>503904.80999999982</v>
      </c>
      <c r="G47" s="24">
        <f>SUMIFS('Saldos Iniciales'!$D:$D,'Saldos Iniciales'!$A:$A,"SSP Capital")+SUMIFS(Movimientos!$K$1:$K$359,Movimientos!$C$1:$C$359,"SSP Capital",Movimientos!$B$1:$B$359,"&lt;="&amp;$B47)</f>
        <v>3331737.2399999998</v>
      </c>
      <c r="H47" s="24">
        <f>SUMIFS('Saldos Iniciales'!$D:$D,'Saldos Iniciales'!$A:$A,"Cross Family Trust")+SUMIFS(Movimientos!$K$1:$K$359,Movimientos!$C$1:$C$359,"Cross Family Trust",Movimientos!$B$1:$B$359,"&lt;="&amp;$B47)</f>
        <v>116496.38</v>
      </c>
      <c r="I47" s="24">
        <f>SUMIFS('Saldos Iniciales'!$D:$D,'Saldos Iniciales'!$A:$A,"Cross Security Trust")+SUMIFS(Movimientos!$K$1:$K$359,Movimientos!$C$1:$C$359,"Cross Security Trust",Movimientos!$B$1:$B$359,"&lt;="&amp;$B47)</f>
        <v>88090.37</v>
      </c>
      <c r="J47" s="24">
        <f>SUMIFS('Saldos Iniciales'!$D:$D,'Saldos Iniciales'!$A:$A,"Electrama")+SUMIFS(Movimientos!$K$1:$K$359,Movimientos!$C$1:$C$359,"Electrama",Movimientos!$B$1:$B$359,"&lt;="&amp;$B47)</f>
        <v>1227.9699999999998</v>
      </c>
      <c r="K47" s="24">
        <f>SUMIFS('Saldos Iniciales'!$D:$D,'Saldos Iniciales'!$A:$A,"Sacred Valley Capital")+SUMIFS(Movimientos!$K$1:$K$359,Movimientos!$C$1:$C$359,"Sacred Valley Capital",Movimientos!$B$1:$B$359,"&lt;="&amp;$B47)</f>
        <v>84.35</v>
      </c>
      <c r="L47" s="24">
        <f>SUMIFS('Saldos Iniciales'!$D:$D,'Saldos Iniciales'!$A:$A,"YWC Capital")+SUMIFS(Movimientos!$K$1:$K$359,Movimientos!$C$1:$C$359,"YWC Capital",Movimientos!$B$1:$B$359,"&lt;="&amp;$B47)</f>
        <v>2237.77</v>
      </c>
      <c r="M47" s="24">
        <f>SUMIFS('Saldos Iniciales'!$D:$D,'Saldos Iniciales'!$A:$A,"Soweto")+SUMIFS(Movimientos!$K$1:$K$359,Movimientos!$C$1:$C$359,"Soweto",Movimientos!$B$1:$B$359,"&lt;="&amp;$B47)</f>
        <v>3349.94</v>
      </c>
      <c r="N47" s="24">
        <f>SUMIFS('Saldos Iniciales'!$D:$D,'Saldos Iniciales'!$A:$A,"Green Stone Trust")+SUMIFS(Movimientos!$K$1:$K$359,Movimientos!$C$1:$C$359,"Green Stone Trust",Movimientos!$B$1:$B$359,"&lt;="&amp;$B47)</f>
        <v>1968.99</v>
      </c>
      <c r="O47" s="24">
        <f>SUMIFS('Saldos Iniciales'!$D:$D,'Saldos Iniciales'!$A:$A,"EC Auto")+SUMIFS(Movimientos!$K$1:$K$359,Movimientos!$C$1:$C$359,"EC Auto",Movimientos!$B$1:$B$359,"&lt;="&amp;$B47)</f>
        <v>382.69000000000005</v>
      </c>
      <c r="P47" s="24">
        <f>SUMIFS('Saldos Iniciales'!$D:$D,'Saldos Iniciales'!$A:$A,"Arbor Capital Properties")+SUMIFS(Movimientos!$K$1:$K$359,Movimientos!$C$1:$C$359,"Arbor Capital Properties",Movimientos!$B$1:$B$359,"&lt;="&amp;$B47)</f>
        <v>1428.08</v>
      </c>
      <c r="Q47" s="24">
        <f>SUMIFS('Saldos Iniciales'!$D:$D,'Saldos Iniciales'!$A:$A,"2515 Overbrook")+SUMIFS(Movimientos!$K$1:$K$359,Movimientos!$C$1:$C$359,"2515 Overbrook",Movimientos!$B$1:$B$359,"&lt;="&amp;$B47)</f>
        <v>29789.969999999961</v>
      </c>
      <c r="R47" s="24">
        <f>SUMIFS('Saldos Iniciales'!$D:$D,'Saldos Iniciales'!$A:$A,"112 Florida Ave")+SUMIFS(Movimientos!$K$1:$K$359,Movimientos!$C$1:$C$359,"112 Florida Ave",Movimientos!$B$1:$B$359,"&lt;="&amp;$B47)</f>
        <v>5321.4300000000021</v>
      </c>
      <c r="S47" s="24">
        <f>SUMIFS('Saldos Iniciales'!$D:$D,'Saldos Iniciales'!$A:$A,"3628 Thomas Ave")+SUMIFS(Movimientos!$K$1:$K$359,Movimientos!$C$1:$C$359,"3628 Thomas Ave",Movimientos!$B$1:$B$359,"&lt;="&amp;$B47)</f>
        <v>20484.849999999999</v>
      </c>
      <c r="T47" s="24">
        <f>SUMIFS('Saldos Iniciales'!$D:$D,'Saldos Iniciales'!$A:$A,"Green Harbor Trust")+SUMIFS(Movimientos!$K$1:$K$359,Movimientos!$C$1:$C$359,"Green Harbor Trust",Movimientos!$B$1:$B$359,"&lt;="&amp;$B47)</f>
        <v>345</v>
      </c>
      <c r="U47" s="24">
        <f>SUMIFS('Saldos Iniciales'!$D:$D,'Saldos Iniciales'!$A:$A,"Go Blue")+SUMIFS(Movimientos!$K$1:$K$359,Movimientos!$C$1:$C$359,"Go Blue",Movimientos!$B$1:$B$359,"&lt;="&amp;$B47)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Group")+SUMIFS(Movimientos!$K$1:$K$359,Movimientos!$C$1:$C$359,"CFT Group",Movimientos!$B$1:$B$359,"&lt;="&amp;$B48)</f>
        <v>1086358.7500000002</v>
      </c>
      <c r="D48" s="24">
        <f>SUMIFS('Saldos Iniciales'!$D:$D,'Saldos Iniciales'!$A:$A,"M1B")+SUMIFS(Movimientos!$K$1:$K$359,Movimientos!$C$1:$C$359,"M1B",Movimientos!$B$1:$B$359,"&lt;="&amp;$B48)</f>
        <v>69376.390000000174</v>
      </c>
      <c r="E48" s="24">
        <f>SUMIFS('Saldos Iniciales'!$D:$D,'Saldos Iniciales'!$A:$A,"Durand")+SUMIFS(Movimientos!$K$1:$K$359,Movimientos!$C$1:$C$359,"Durand",Movimientos!$B$1:$B$359,"&lt;="&amp;$B48)</f>
        <v>1669.89</v>
      </c>
      <c r="F48" s="24">
        <f>SUMIFS('Saldos Iniciales'!$D:$D,'Saldos Iniciales'!$A:$A,"A&amp;M Imports")+SUMIFS(Movimientos!$K$1:$K$359,Movimientos!$C$1:$C$359,"A&amp;M Imports",Movimientos!$B$1:$B$359,"&lt;="&amp;$B48)</f>
        <v>503904.80999999982</v>
      </c>
      <c r="G48" s="24">
        <f>SUMIFS('Saldos Iniciales'!$D:$D,'Saldos Iniciales'!$A:$A,"SSP Capital")+SUMIFS(Movimientos!$K$1:$K$359,Movimientos!$C$1:$C$359,"SSP Capital",Movimientos!$B$1:$B$359,"&lt;="&amp;$B48)</f>
        <v>3329246.88</v>
      </c>
      <c r="H48" s="24">
        <f>SUMIFS('Saldos Iniciales'!$D:$D,'Saldos Iniciales'!$A:$A,"Cross Family Trust")+SUMIFS(Movimientos!$K$1:$K$359,Movimientos!$C$1:$C$359,"Cross Family Trust",Movimientos!$B$1:$B$359,"&lt;="&amp;$B48)</f>
        <v>116496.38</v>
      </c>
      <c r="I48" s="24">
        <f>SUMIFS('Saldos Iniciales'!$D:$D,'Saldos Iniciales'!$A:$A,"Cross Security Trust")+SUMIFS(Movimientos!$K$1:$K$359,Movimientos!$C$1:$C$359,"Cross Security Trust",Movimientos!$B$1:$B$359,"&lt;="&amp;$B48)</f>
        <v>88090.37</v>
      </c>
      <c r="J48" s="24">
        <f>SUMIFS('Saldos Iniciales'!$D:$D,'Saldos Iniciales'!$A:$A,"Electrama")+SUMIFS(Movimientos!$K$1:$K$359,Movimientos!$C$1:$C$359,"Electrama",Movimientos!$B$1:$B$359,"&lt;="&amp;$B48)</f>
        <v>1227.9699999999998</v>
      </c>
      <c r="K48" s="24">
        <f>SUMIFS('Saldos Iniciales'!$D:$D,'Saldos Iniciales'!$A:$A,"Sacred Valley Capital")+SUMIFS(Movimientos!$K$1:$K$359,Movimientos!$C$1:$C$359,"Sacred Valley Capital",Movimientos!$B$1:$B$359,"&lt;="&amp;$B48)</f>
        <v>84.35</v>
      </c>
      <c r="L48" s="24">
        <f>SUMIFS('Saldos Iniciales'!$D:$D,'Saldos Iniciales'!$A:$A,"YWC Capital")+SUMIFS(Movimientos!$K$1:$K$359,Movimientos!$C$1:$C$359,"YWC Capital",Movimientos!$B$1:$B$359,"&lt;="&amp;$B48)</f>
        <v>2237.77</v>
      </c>
      <c r="M48" s="24">
        <f>SUMIFS('Saldos Iniciales'!$D:$D,'Saldos Iniciales'!$A:$A,"Soweto")+SUMIFS(Movimientos!$K$1:$K$359,Movimientos!$C$1:$C$359,"Soweto",Movimientos!$B$1:$B$359,"&lt;="&amp;$B48)</f>
        <v>3349.94</v>
      </c>
      <c r="N48" s="24">
        <f>SUMIFS('Saldos Iniciales'!$D:$D,'Saldos Iniciales'!$A:$A,"Green Stone Trust")+SUMIFS(Movimientos!$K$1:$K$359,Movimientos!$C$1:$C$359,"Green Stone Trust",Movimientos!$B$1:$B$359,"&lt;="&amp;$B48)</f>
        <v>1968.99</v>
      </c>
      <c r="O48" s="24">
        <f>SUMIFS('Saldos Iniciales'!$D:$D,'Saldos Iniciales'!$A:$A,"EC Auto")+SUMIFS(Movimientos!$K$1:$K$359,Movimientos!$C$1:$C$359,"EC Auto",Movimientos!$B$1:$B$359,"&lt;="&amp;$B48)</f>
        <v>382.69000000000005</v>
      </c>
      <c r="P48" s="24">
        <f>SUMIFS('Saldos Iniciales'!$D:$D,'Saldos Iniciales'!$A:$A,"Arbor Capital Properties")+SUMIFS(Movimientos!$K$1:$K$359,Movimientos!$C$1:$C$359,"Arbor Capital Properties",Movimientos!$B$1:$B$359,"&lt;="&amp;$B48)</f>
        <v>1428.08</v>
      </c>
      <c r="Q48" s="24">
        <f>SUMIFS('Saldos Iniciales'!$D:$D,'Saldos Iniciales'!$A:$A,"2515 Overbrook")+SUMIFS(Movimientos!$K$1:$K$359,Movimientos!$C$1:$C$359,"2515 Overbrook",Movimientos!$B$1:$B$359,"&lt;="&amp;$B48)</f>
        <v>29789.969999999961</v>
      </c>
      <c r="R48" s="24">
        <f>SUMIFS('Saldos Iniciales'!$D:$D,'Saldos Iniciales'!$A:$A,"112 Florida Ave")+SUMIFS(Movimientos!$K$1:$K$359,Movimientos!$C$1:$C$359,"112 Florida Ave",Movimientos!$B$1:$B$359,"&lt;="&amp;$B48)</f>
        <v>20321.43</v>
      </c>
      <c r="S48" s="24">
        <f>SUMIFS('Saldos Iniciales'!$D:$D,'Saldos Iniciales'!$A:$A,"3628 Thomas Ave")+SUMIFS(Movimientos!$K$1:$K$359,Movimientos!$C$1:$C$359,"3628 Thomas Ave",Movimientos!$B$1:$B$359,"&lt;="&amp;$B48)</f>
        <v>19811.349999999999</v>
      </c>
      <c r="T48" s="24">
        <f>SUMIFS('Saldos Iniciales'!$D:$D,'Saldos Iniciales'!$A:$A,"Green Harbor Trust")+SUMIFS(Movimientos!$K$1:$K$359,Movimientos!$C$1:$C$359,"Green Harbor Trust",Movimientos!$B$1:$B$359,"&lt;="&amp;$B48)</f>
        <v>345</v>
      </c>
      <c r="U48" s="24">
        <f>SUMIFS('Saldos Iniciales'!$D:$D,'Saldos Iniciales'!$A:$A,"Go Blue")+SUMIFS(Movimientos!$K$1:$K$359,Movimientos!$C$1:$C$359,"Go Blue",Movimientos!$B$1:$B$359,"&lt;="&amp;$B48)</f>
        <v>45519.01</v>
      </c>
      <c r="V48" s="25">
        <f t="shared" ref="V48" si="5">SUM(C48:U48)</f>
        <v>5321610.0199999986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Group")+SUMIFS(Movimientos!$K$1:$K$359,Movimientos!$C$1:$C$359,"CFT Group",Movimientos!$B$1:$B$359,"&lt;="&amp;$B49)</f>
        <v>1098358.7500000002</v>
      </c>
      <c r="D49" s="24">
        <f>SUMIFS('Saldos Iniciales'!$D:$D,'Saldos Iniciales'!$A:$A,"M1B")+SUMIFS(Movimientos!$K$1:$K$359,Movimientos!$C$1:$C$359,"M1B",Movimientos!$B$1:$B$359,"&lt;="&amp;$B49)</f>
        <v>69376.390000000174</v>
      </c>
      <c r="E49" s="24">
        <f>SUMIFS('Saldos Iniciales'!$D:$D,'Saldos Iniciales'!$A:$A,"Durand")+SUMIFS(Movimientos!$K$1:$K$359,Movimientos!$C$1:$C$359,"Durand",Movimientos!$B$1:$B$359,"&lt;="&amp;$B49)</f>
        <v>1669.89</v>
      </c>
      <c r="F49" s="24">
        <f>SUMIFS('Saldos Iniciales'!$D:$D,'Saldos Iniciales'!$A:$A,"A&amp;M Imports")+SUMIFS(Movimientos!$K$1:$K$359,Movimientos!$C$1:$C$359,"A&amp;M Imports",Movimientos!$B$1:$B$359,"&lt;="&amp;$B49)</f>
        <v>503904.80999999982</v>
      </c>
      <c r="G49" s="24">
        <f>SUMIFS('Saldos Iniciales'!$D:$D,'Saldos Iniciales'!$A:$A,"SSP Capital")+SUMIFS(Movimientos!$K$1:$K$359,Movimientos!$C$1:$C$359,"SSP Capital",Movimientos!$B$1:$B$359,"&lt;="&amp;$B49)</f>
        <v>3326863.3899999997</v>
      </c>
      <c r="H49" s="24">
        <f>SUMIFS('Saldos Iniciales'!$D:$D,'Saldos Iniciales'!$A:$A,"Cross Family Trust")+SUMIFS(Movimientos!$K$1:$K$359,Movimientos!$C$1:$C$359,"Cross Family Trust",Movimientos!$B$1:$B$359,"&lt;="&amp;$B49)</f>
        <v>116496.38</v>
      </c>
      <c r="I49" s="24">
        <f>SUMIFS('Saldos Iniciales'!$D:$D,'Saldos Iniciales'!$A:$A,"Cross Security Trust")+SUMIFS(Movimientos!$K$1:$K$359,Movimientos!$C$1:$C$359,"Cross Security Trust",Movimientos!$B$1:$B$359,"&lt;="&amp;$B49)</f>
        <v>88090.37</v>
      </c>
      <c r="J49" s="24">
        <f>SUMIFS('Saldos Iniciales'!$D:$D,'Saldos Iniciales'!$A:$A,"Electrama")+SUMIFS(Movimientos!$K$1:$K$359,Movimientos!$C$1:$C$359,"Electrama",Movimientos!$B$1:$B$359,"&lt;="&amp;$B49)</f>
        <v>1227.9699999999998</v>
      </c>
      <c r="K49" s="24">
        <f>SUMIFS('Saldos Iniciales'!$D:$D,'Saldos Iniciales'!$A:$A,"Sacred Valley Capital")+SUMIFS(Movimientos!$K$1:$K$359,Movimientos!$C$1:$C$359,"Sacred Valley Capital",Movimientos!$B$1:$B$359,"&lt;="&amp;$B49)</f>
        <v>84.35</v>
      </c>
      <c r="L49" s="24">
        <f>SUMIFS('Saldos Iniciales'!$D:$D,'Saldos Iniciales'!$A:$A,"YWC Capital")+SUMIFS(Movimientos!$K$1:$K$359,Movimientos!$C$1:$C$359,"YWC Capital",Movimientos!$B$1:$B$359,"&lt;="&amp;$B49)</f>
        <v>2237.77</v>
      </c>
      <c r="M49" s="24">
        <f>SUMIFS('Saldos Iniciales'!$D:$D,'Saldos Iniciales'!$A:$A,"Soweto")+SUMIFS(Movimientos!$K$1:$K$359,Movimientos!$C$1:$C$359,"Soweto",Movimientos!$B$1:$B$359,"&lt;="&amp;$B49)</f>
        <v>3349.94</v>
      </c>
      <c r="N49" s="24">
        <f>SUMIFS('Saldos Iniciales'!$D:$D,'Saldos Iniciales'!$A:$A,"Green Stone Trust")+SUMIFS(Movimientos!$K$1:$K$359,Movimientos!$C$1:$C$359,"Green Stone Trust",Movimientos!$B$1:$B$359,"&lt;="&amp;$B49)</f>
        <v>1968.99</v>
      </c>
      <c r="O49" s="24">
        <f>SUMIFS('Saldos Iniciales'!$D:$D,'Saldos Iniciales'!$A:$A,"EC Auto")+SUMIFS(Movimientos!$K$1:$K$359,Movimientos!$C$1:$C$359,"EC Auto",Movimientos!$B$1:$B$359,"&lt;="&amp;$B49)</f>
        <v>382.69000000000005</v>
      </c>
      <c r="P49" s="24">
        <f>SUMIFS('Saldos Iniciales'!$D:$D,'Saldos Iniciales'!$A:$A,"Arbor Capital Properties")+SUMIFS(Movimientos!$K$1:$K$359,Movimientos!$C$1:$C$359,"Arbor Capital Properties",Movimientos!$B$1:$B$359,"&lt;="&amp;$B49)</f>
        <v>1428.08</v>
      </c>
      <c r="Q49" s="24">
        <f>SUMIFS('Saldos Iniciales'!$D:$D,'Saldos Iniciales'!$A:$A,"2515 Overbrook")+SUMIFS(Movimientos!$K$1:$K$359,Movimientos!$C$1:$C$359,"2515 Overbrook",Movimientos!$B$1:$B$359,"&lt;="&amp;$B49)</f>
        <v>29789.969999999961</v>
      </c>
      <c r="R49" s="24">
        <f>SUMIFS('Saldos Iniciales'!$D:$D,'Saldos Iniciales'!$A:$A,"112 Florida Ave")+SUMIFS(Movimientos!$K$1:$K$359,Movimientos!$C$1:$C$359,"112 Florida Ave",Movimientos!$B$1:$B$359,"&lt;="&amp;$B49)</f>
        <v>20321.43</v>
      </c>
      <c r="S49" s="24">
        <f>SUMIFS('Saldos Iniciales'!$D:$D,'Saldos Iniciales'!$A:$A,"3628 Thomas Ave")+SUMIFS(Movimientos!$K$1:$K$359,Movimientos!$C$1:$C$359,"3628 Thomas Ave",Movimientos!$B$1:$B$359,"&lt;="&amp;$B49)</f>
        <v>16681.349999999999</v>
      </c>
      <c r="T49" s="24">
        <f>SUMIFS('Saldos Iniciales'!$D:$D,'Saldos Iniciales'!$A:$A,"Green Harbor Trust")+SUMIFS(Movimientos!$K$1:$K$359,Movimientos!$C$1:$C$359,"Green Harbor Trust",Movimientos!$B$1:$B$359,"&lt;="&amp;$B49)</f>
        <v>345</v>
      </c>
      <c r="U49" s="24">
        <f>SUMIFS('Saldos Iniciales'!$D:$D,'Saldos Iniciales'!$A:$A,"Go Blue")+SUMIFS(Movimientos!$K$1:$K$359,Movimientos!$C$1:$C$359,"Go Blue",Movimientos!$B$1:$B$359,"&lt;="&amp;$B49)</f>
        <v>44519.01</v>
      </c>
      <c r="V49" s="25">
        <f t="shared" ref="V49" si="6">SUM(C49:U49)</f>
        <v>5327096.5299999984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Group")+SUMIFS(Movimientos!$K$1:$K$359,Movimientos!$C$1:$C$359,"CFT Group",Movimientos!$B$1:$B$359,"&lt;="&amp;$B50)</f>
        <v>1098358.7500000002</v>
      </c>
      <c r="D50" s="24">
        <f>SUMIFS('Saldos Iniciales'!$D:$D,'Saldos Iniciales'!$A:$A,"M1B")+SUMIFS(Movimientos!$K$1:$K$359,Movimientos!$C$1:$C$359,"M1B",Movimientos!$B$1:$B$359,"&lt;="&amp;$B50)</f>
        <v>69376.390000000174</v>
      </c>
      <c r="E50" s="24">
        <f>SUMIFS('Saldos Iniciales'!$D:$D,'Saldos Iniciales'!$A:$A,"Durand")+SUMIFS(Movimientos!$K$1:$K$359,Movimientos!$C$1:$C$359,"Durand",Movimientos!$B$1:$B$359,"&lt;="&amp;$B50)</f>
        <v>1669.89</v>
      </c>
      <c r="F50" s="24">
        <f>SUMIFS('Saldos Iniciales'!$D:$D,'Saldos Iniciales'!$A:$A,"A&amp;M Imports")+SUMIFS(Movimientos!$K$1:$K$359,Movimientos!$C$1:$C$359,"A&amp;M Imports",Movimientos!$B$1:$B$359,"&lt;="&amp;$B50)</f>
        <v>503904.80999999982</v>
      </c>
      <c r="G50" s="24">
        <f>SUMIFS('Saldos Iniciales'!$D:$D,'Saldos Iniciales'!$A:$A,"SSP Capital")+SUMIFS(Movimientos!$K$1:$K$359,Movimientos!$C$1:$C$359,"SSP Capital",Movimientos!$B$1:$B$359,"&lt;="&amp;$B50)</f>
        <v>3326696.7299999995</v>
      </c>
      <c r="H50" s="24">
        <f>SUMIFS('Saldos Iniciales'!$D:$D,'Saldos Iniciales'!$A:$A,"Cross Family Trust")+SUMIFS(Movimientos!$K$1:$K$359,Movimientos!$C$1:$C$359,"Cross Family Trust",Movimientos!$B$1:$B$359,"&lt;="&amp;$B50)</f>
        <v>116496.38</v>
      </c>
      <c r="I50" s="24">
        <f>SUMIFS('Saldos Iniciales'!$D:$D,'Saldos Iniciales'!$A:$A,"Cross Security Trust")+SUMIFS(Movimientos!$K$1:$K$359,Movimientos!$C$1:$C$359,"Cross Security Trust",Movimientos!$B$1:$B$359,"&lt;="&amp;$B50)</f>
        <v>88090.37</v>
      </c>
      <c r="J50" s="24">
        <f>SUMIFS('Saldos Iniciales'!$D:$D,'Saldos Iniciales'!$A:$A,"Electrama")+SUMIFS(Movimientos!$K$1:$K$359,Movimientos!$C$1:$C$359,"Electrama",Movimientos!$B$1:$B$359,"&lt;="&amp;$B50)</f>
        <v>1227.9699999999998</v>
      </c>
      <c r="K50" s="24">
        <f>SUMIFS('Saldos Iniciales'!$D:$D,'Saldos Iniciales'!$A:$A,"Sacred Valley Capital")+SUMIFS(Movimientos!$K$1:$K$359,Movimientos!$C$1:$C$359,"Sacred Valley Capital",Movimientos!$B$1:$B$359,"&lt;="&amp;$B50)</f>
        <v>84.35</v>
      </c>
      <c r="L50" s="24">
        <f>SUMIFS('Saldos Iniciales'!$D:$D,'Saldos Iniciales'!$A:$A,"YWC Capital")+SUMIFS(Movimientos!$K$1:$K$359,Movimientos!$C$1:$C$359,"YWC Capital",Movimientos!$B$1:$B$359,"&lt;="&amp;$B50)</f>
        <v>2237.77</v>
      </c>
      <c r="M50" s="24">
        <f>SUMIFS('Saldos Iniciales'!$D:$D,'Saldos Iniciales'!$A:$A,"Soweto")+SUMIFS(Movimientos!$K$1:$K$359,Movimientos!$C$1:$C$359,"Soweto",Movimientos!$B$1:$B$359,"&lt;="&amp;$B50)</f>
        <v>3349.94</v>
      </c>
      <c r="N50" s="24">
        <f>SUMIFS('Saldos Iniciales'!$D:$D,'Saldos Iniciales'!$A:$A,"Green Stone Trust")+SUMIFS(Movimientos!$K$1:$K$359,Movimientos!$C$1:$C$359,"Green Stone Trust",Movimientos!$B$1:$B$359,"&lt;="&amp;$B50)</f>
        <v>1968.99</v>
      </c>
      <c r="O50" s="24">
        <f>SUMIFS('Saldos Iniciales'!$D:$D,'Saldos Iniciales'!$A:$A,"EC Auto")+SUMIFS(Movimientos!$K$1:$K$359,Movimientos!$C$1:$C$359,"EC Auto",Movimientos!$B$1:$B$359,"&lt;="&amp;$B50)</f>
        <v>382.69000000000005</v>
      </c>
      <c r="P50" s="24">
        <f>SUMIFS('Saldos Iniciales'!$D:$D,'Saldos Iniciales'!$A:$A,"Arbor Capital Properties")+SUMIFS(Movimientos!$K$1:$K$359,Movimientos!$C$1:$C$359,"Arbor Capital Properties",Movimientos!$B$1:$B$359,"&lt;="&amp;$B50)</f>
        <v>1428.08</v>
      </c>
      <c r="Q50" s="24">
        <f>SUMIFS('Saldos Iniciales'!$D:$D,'Saldos Iniciales'!$A:$A,"2515 Overbrook")+SUMIFS(Movimientos!$K$1:$K$359,Movimientos!$C$1:$C$359,"2515 Overbrook",Movimientos!$B$1:$B$359,"&lt;="&amp;$B50)</f>
        <v>29789.969999999961</v>
      </c>
      <c r="R50" s="24">
        <f>SUMIFS('Saldos Iniciales'!$D:$D,'Saldos Iniciales'!$A:$A,"112 Florida Ave")+SUMIFS(Movimientos!$K$1:$K$359,Movimientos!$C$1:$C$359,"112 Florida Ave",Movimientos!$B$1:$B$359,"&lt;="&amp;$B50)</f>
        <v>20321.43</v>
      </c>
      <c r="S50" s="24">
        <f>SUMIFS('Saldos Iniciales'!$D:$D,'Saldos Iniciales'!$A:$A,"3628 Thomas Ave")+SUMIFS(Movimientos!$K$1:$K$359,Movimientos!$C$1:$C$359,"3628 Thomas Ave",Movimientos!$B$1:$B$359,"&lt;="&amp;$B50)</f>
        <v>16681.349999999999</v>
      </c>
      <c r="T50" s="24">
        <f>SUMIFS('Saldos Iniciales'!$D:$D,'Saldos Iniciales'!$A:$A,"Green Harbor Trust")+SUMIFS(Movimientos!$K$1:$K$359,Movimientos!$C$1:$C$359,"Green Harbor Trust",Movimientos!$B$1:$B$359,"&lt;="&amp;$B50)</f>
        <v>345</v>
      </c>
      <c r="U50" s="24">
        <f>SUMIFS('Saldos Iniciales'!$D:$D,'Saldos Iniciales'!$A:$A,"Go Blue")+SUMIFS(Movimientos!$K$1:$K$359,Movimientos!$C$1:$C$359,"Go Blue",Movimientos!$B$1:$B$359,"&lt;="&amp;$B50)</f>
        <v>43997.01</v>
      </c>
      <c r="V50" s="25">
        <f t="shared" ref="V50" si="7">SUM(C50:U50)</f>
        <v>5326407.8699999982</v>
      </c>
    </row>
    <row r="51" spans="1:22" outlineLevel="1" x14ac:dyDescent="0.3">
      <c r="A51" s="22">
        <f t="shared" si="0"/>
        <v>50</v>
      </c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5"/>
    </row>
    <row r="52" spans="1:22" outlineLevel="1" x14ac:dyDescent="0.3">
      <c r="A52" s="22">
        <f t="shared" si="0"/>
        <v>51</v>
      </c>
      <c r="B52" s="2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outlineLevel="1" x14ac:dyDescent="0.3">
      <c r="A53" s="22">
        <f t="shared" si="0"/>
        <v>52</v>
      </c>
      <c r="B53" s="2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5"/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12" priority="1" operator="lessThan">
      <formula>0</formula>
    </cfRule>
  </conditionalFormatting>
  <conditionalFormatting sqref="V2:V62">
    <cfRule type="cellIs" dxfId="1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932"/>
  <sheetViews>
    <sheetView zoomScale="90" zoomScaleNormal="90" workbookViewId="0">
      <pane ySplit="1" topLeftCell="A921" activePane="bottomLeft" state="frozen"/>
      <selection pane="bottomLeft" activeCell="G924" sqref="G924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1.664062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1227.9699999999998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6824.47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1227.9699999999998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3514.8900000000012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1227.9699999999998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3514.8900000000012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1227.9699999999998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2422.7400000000016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1227.9699999999998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2422.7400000000016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1227.9699999999998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2422.7400000000016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1227.9699999999998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2422.7400000000016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1227.9699999999998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1451.1500000000015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1227.9699999999998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1289.7300000000014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1227.9699999999998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1289.7300000000014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1227.9699999999998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48774.73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1227.9699999999998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48774.73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1227.9699999999998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48774.73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1227.9699999999998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48774.73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1227.9699999999998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48724.73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1227.9699999999998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45519.01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1227.9699999999998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44519.01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1227.9699999999998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43997.01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2026-06-19T18:17:48Z</dcterms:modified>
  <dc:language>en-US</dc:language>
</cp:coreProperties>
</file>