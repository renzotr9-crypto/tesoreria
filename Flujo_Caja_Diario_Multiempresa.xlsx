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450" documentId="8_{BBC9EA4E-7F3B-475F-B61B-890F681C3A1C}" xr6:coauthVersionLast="47" xr6:coauthVersionMax="47" xr10:uidLastSave="{6429A5CB-A812-4260-8394-39415154D85C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diaria'!$A$1:$D$875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7" i="6" l="1"/>
  <c r="D47" i="6"/>
  <c r="E47" i="6"/>
  <c r="F47" i="6"/>
  <c r="G47" i="6"/>
  <c r="H47" i="6"/>
  <c r="I47" i="6"/>
  <c r="V47" i="6" s="1"/>
  <c r="J47" i="6"/>
  <c r="K47" i="6"/>
  <c r="L47" i="6"/>
  <c r="M47" i="6"/>
  <c r="N47" i="6"/>
  <c r="O47" i="6"/>
  <c r="P47" i="6"/>
  <c r="Q47" i="6"/>
  <c r="R47" i="6"/>
  <c r="S47" i="6"/>
  <c r="T47" i="6"/>
  <c r="U47" i="6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M329" i="1" s="1"/>
  <c r="C330" i="1"/>
  <c r="M330" i="1" s="1"/>
  <c r="C331" i="1"/>
  <c r="C332" i="1"/>
  <c r="C333" i="1"/>
  <c r="C334" i="1"/>
  <c r="C335" i="1"/>
  <c r="N310" i="1"/>
  <c r="O310" i="1"/>
  <c r="P310" i="1" s="1"/>
  <c r="N311" i="1"/>
  <c r="O311" i="1"/>
  <c r="P311" i="1"/>
  <c r="N312" i="1"/>
  <c r="O312" i="1"/>
  <c r="P312" i="1" s="1"/>
  <c r="N313" i="1"/>
  <c r="O313" i="1"/>
  <c r="P313" i="1"/>
  <c r="N314" i="1"/>
  <c r="O314" i="1"/>
  <c r="P314" i="1" s="1"/>
  <c r="N315" i="1"/>
  <c r="O315" i="1"/>
  <c r="P315" i="1"/>
  <c r="N316" i="1"/>
  <c r="O316" i="1"/>
  <c r="P316" i="1"/>
  <c r="N317" i="1"/>
  <c r="O317" i="1"/>
  <c r="P317" i="1"/>
  <c r="N318" i="1"/>
  <c r="O318" i="1"/>
  <c r="P318" i="1"/>
  <c r="N319" i="1"/>
  <c r="O319" i="1"/>
  <c r="P319" i="1"/>
  <c r="N320" i="1"/>
  <c r="O320" i="1"/>
  <c r="P320" i="1" s="1"/>
  <c r="N321" i="1"/>
  <c r="O321" i="1"/>
  <c r="P321" i="1"/>
  <c r="N322" i="1"/>
  <c r="O322" i="1"/>
  <c r="P322" i="1" s="1"/>
  <c r="N323" i="1"/>
  <c r="O323" i="1"/>
  <c r="P323" i="1"/>
  <c r="N324" i="1"/>
  <c r="O324" i="1"/>
  <c r="P324" i="1"/>
  <c r="N325" i="1"/>
  <c r="O325" i="1"/>
  <c r="P325" i="1"/>
  <c r="N326" i="1"/>
  <c r="O326" i="1"/>
  <c r="P326" i="1"/>
  <c r="N327" i="1"/>
  <c r="O327" i="1"/>
  <c r="P327" i="1"/>
  <c r="N328" i="1"/>
  <c r="O328" i="1"/>
  <c r="P328" i="1" s="1"/>
  <c r="N329" i="1"/>
  <c r="O329" i="1"/>
  <c r="P329" i="1"/>
  <c r="N330" i="1"/>
  <c r="O330" i="1"/>
  <c r="P330" i="1" s="1"/>
  <c r="N331" i="1"/>
  <c r="O331" i="1"/>
  <c r="P331" i="1"/>
  <c r="N332" i="1"/>
  <c r="O332" i="1"/>
  <c r="P332" i="1"/>
  <c r="N333" i="1"/>
  <c r="O333" i="1"/>
  <c r="P333" i="1"/>
  <c r="N334" i="1"/>
  <c r="O334" i="1"/>
  <c r="P334" i="1"/>
  <c r="N335" i="1"/>
  <c r="O335" i="1"/>
  <c r="P335" i="1"/>
  <c r="N306" i="1"/>
  <c r="P306" i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H302" i="1"/>
  <c r="I302" i="1"/>
  <c r="H303" i="1"/>
  <c r="I303" i="1"/>
  <c r="H304" i="1"/>
  <c r="I304" i="1"/>
  <c r="H305" i="1"/>
  <c r="I305" i="1"/>
  <c r="H299" i="1"/>
  <c r="I299" i="1"/>
  <c r="H300" i="1"/>
  <c r="I300" i="1"/>
  <c r="H301" i="1"/>
  <c r="I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C300" i="1"/>
  <c r="C301" i="1"/>
  <c r="M305" i="1" l="1"/>
  <c r="M334" i="1"/>
  <c r="M326" i="1"/>
  <c r="M335" i="1"/>
  <c r="M324" i="1"/>
  <c r="M328" i="1"/>
  <c r="M332" i="1"/>
  <c r="M309" i="1"/>
  <c r="M333" i="1"/>
  <c r="M331" i="1"/>
  <c r="M327" i="1"/>
  <c r="M325" i="1"/>
  <c r="M323" i="1"/>
  <c r="M321" i="1"/>
  <c r="M319" i="1"/>
  <c r="M317" i="1"/>
  <c r="M315" i="1"/>
  <c r="M313" i="1"/>
  <c r="M311" i="1"/>
  <c r="M307" i="1"/>
  <c r="R40" i="6"/>
  <c r="M310" i="1"/>
  <c r="M322" i="1"/>
  <c r="M320" i="1"/>
  <c r="M318" i="1"/>
  <c r="M316" i="1"/>
  <c r="M314" i="1"/>
  <c r="M312" i="1"/>
  <c r="M306" i="1"/>
  <c r="M308" i="1"/>
  <c r="D4" i="7"/>
  <c r="C42" i="6"/>
  <c r="M301" i="1"/>
  <c r="M302" i="1"/>
  <c r="M300" i="1"/>
  <c r="D45" i="6"/>
  <c r="K23" i="3"/>
  <c r="M303" i="1"/>
  <c r="D33" i="6"/>
  <c r="P38" i="6"/>
  <c r="K34" i="6"/>
  <c r="S37" i="6"/>
  <c r="O31" i="3"/>
  <c r="K40" i="6"/>
  <c r="C39" i="6"/>
  <c r="J42" i="6"/>
  <c r="J41" i="6"/>
  <c r="R38" i="6"/>
  <c r="S36" i="6"/>
  <c r="D42" i="6"/>
  <c r="H37" i="6"/>
  <c r="F40" i="6"/>
  <c r="D41" i="6"/>
  <c r="E33" i="6"/>
  <c r="K38" i="6"/>
  <c r="P14" i="3"/>
  <c r="U36" i="6"/>
  <c r="G34" i="6"/>
  <c r="C34" i="6"/>
  <c r="P36" i="6"/>
  <c r="R37" i="6"/>
  <c r="E37" i="6"/>
  <c r="F38" i="6"/>
  <c r="F34" i="6"/>
  <c r="O38" i="6"/>
  <c r="P34" i="6"/>
  <c r="J33" i="6"/>
  <c r="U38" i="6"/>
  <c r="P4" i="3"/>
  <c r="P10" i="3"/>
  <c r="J25" i="3"/>
  <c r="K33" i="3"/>
  <c r="R39" i="6"/>
  <c r="K16" i="3"/>
  <c r="K30" i="3"/>
  <c r="M35" i="6"/>
  <c r="J30" i="3"/>
  <c r="O30" i="3"/>
  <c r="O15" i="3"/>
  <c r="P23" i="3"/>
  <c r="K3" i="3"/>
  <c r="K24" i="3"/>
  <c r="O19" i="3"/>
  <c r="F43" i="6"/>
  <c r="J46" i="6"/>
  <c r="N45" i="6"/>
  <c r="U44" i="6"/>
  <c r="F44" i="6"/>
  <c r="J43" i="6"/>
  <c r="C43" i="6"/>
  <c r="G46" i="6"/>
  <c r="J44" i="6"/>
  <c r="L40" i="6"/>
  <c r="Q34" i="6"/>
  <c r="K42" i="6"/>
  <c r="S41" i="6"/>
  <c r="N41" i="6"/>
  <c r="O34" i="6"/>
  <c r="L42" i="6"/>
  <c r="H38" i="6"/>
  <c r="O40" i="6"/>
  <c r="E41" i="6"/>
  <c r="L36" i="6"/>
  <c r="G36" i="6"/>
  <c r="E40" i="6"/>
  <c r="D35" i="6"/>
  <c r="C33" i="6"/>
  <c r="J37" i="6"/>
  <c r="I36" i="6"/>
  <c r="S38" i="6"/>
  <c r="P39" i="6"/>
  <c r="S34" i="6"/>
  <c r="M37" i="6"/>
  <c r="D34" i="6"/>
  <c r="S39" i="6"/>
  <c r="J35" i="6"/>
  <c r="K27" i="3"/>
  <c r="J31" i="3"/>
  <c r="K9" i="3"/>
  <c r="O24" i="3"/>
  <c r="J9" i="3"/>
  <c r="J13" i="3"/>
  <c r="J19" i="3"/>
  <c r="J3" i="3"/>
  <c r="T38" i="6"/>
  <c r="K6" i="3"/>
  <c r="K29" i="3"/>
  <c r="O17" i="3"/>
  <c r="O22" i="3"/>
  <c r="P34" i="3"/>
  <c r="P21" i="3"/>
  <c r="P18" i="3"/>
  <c r="M299" i="1"/>
  <c r="N43" i="6"/>
  <c r="R46" i="6"/>
  <c r="C46" i="6"/>
  <c r="G45" i="6"/>
  <c r="N44" i="6"/>
  <c r="R43" i="6"/>
  <c r="K43" i="6"/>
  <c r="O46" i="6"/>
  <c r="P46" i="6"/>
  <c r="C40" i="6"/>
  <c r="K35" i="6"/>
  <c r="Q33" i="6"/>
  <c r="J14" i="3"/>
  <c r="P27" i="3"/>
  <c r="U40" i="6"/>
  <c r="F41" i="6"/>
  <c r="C36" i="6"/>
  <c r="R42" i="6"/>
  <c r="E42" i="6"/>
  <c r="L39" i="6"/>
  <c r="M42" i="6"/>
  <c r="J28" i="3"/>
  <c r="T33" i="6"/>
  <c r="I34" i="6"/>
  <c r="Q36" i="6"/>
  <c r="R33" i="6"/>
  <c r="N40" i="6"/>
  <c r="Q35" i="6"/>
  <c r="D38" i="6"/>
  <c r="F37" i="6"/>
  <c r="K33" i="6"/>
  <c r="G33" i="6"/>
  <c r="S33" i="6"/>
  <c r="G38" i="6"/>
  <c r="H34" i="6"/>
  <c r="K37" i="6"/>
  <c r="O33" i="3"/>
  <c r="F39" i="6"/>
  <c r="P13" i="3"/>
  <c r="J16" i="3"/>
  <c r="O8" i="3"/>
  <c r="J21" i="3"/>
  <c r="J5" i="3"/>
  <c r="O11" i="3"/>
  <c r="K28" i="3"/>
  <c r="K12" i="3"/>
  <c r="L35" i="6"/>
  <c r="K4" i="3"/>
  <c r="N37" i="6"/>
  <c r="P33" i="3"/>
  <c r="K5" i="3"/>
  <c r="K8" i="3"/>
  <c r="P20" i="3"/>
  <c r="O32" i="3"/>
  <c r="C44" i="6"/>
  <c r="G43" i="6"/>
  <c r="K46" i="6"/>
  <c r="O45" i="6"/>
  <c r="K45" i="6"/>
  <c r="G44" i="6"/>
  <c r="S43" i="6"/>
  <c r="D43" i="6"/>
  <c r="C45" i="6"/>
  <c r="U35" i="6"/>
  <c r="N33" i="6"/>
  <c r="T37" i="6"/>
  <c r="P6" i="3"/>
  <c r="K22" i="3"/>
  <c r="M40" i="6"/>
  <c r="T41" i="6"/>
  <c r="G41" i="6"/>
  <c r="Q37" i="6"/>
  <c r="S42" i="6"/>
  <c r="F42" i="6"/>
  <c r="T34" i="6"/>
  <c r="N42" i="6"/>
  <c r="D40" i="6"/>
  <c r="P37" i="6"/>
  <c r="M38" i="6"/>
  <c r="F33" i="6"/>
  <c r="S35" i="6"/>
  <c r="G40" i="6"/>
  <c r="E39" i="6"/>
  <c r="K21" i="3"/>
  <c r="F36" i="6"/>
  <c r="L38" i="6"/>
  <c r="N36" i="6"/>
  <c r="I39" i="6"/>
  <c r="O33" i="6"/>
  <c r="Q39" i="6"/>
  <c r="N39" i="6"/>
  <c r="K39" i="6"/>
  <c r="C35" i="6"/>
  <c r="J18" i="3"/>
  <c r="J32" i="3"/>
  <c r="K31" i="3"/>
  <c r="P26" i="3"/>
  <c r="P19" i="3"/>
  <c r="J7" i="3"/>
  <c r="P3" i="3"/>
  <c r="P2" i="3"/>
  <c r="K13" i="3"/>
  <c r="O16" i="3"/>
  <c r="O25" i="3"/>
  <c r="J34" i="3"/>
  <c r="O4" i="3"/>
  <c r="P30" i="3"/>
  <c r="P17" i="3"/>
  <c r="P22" i="3"/>
  <c r="K44" i="6"/>
  <c r="O43" i="6"/>
  <c r="S46" i="6"/>
  <c r="D46" i="6"/>
  <c r="H45" i="6"/>
  <c r="O44" i="6"/>
  <c r="H44" i="6"/>
  <c r="L43" i="6"/>
  <c r="U43" i="6"/>
  <c r="I33" i="6"/>
  <c r="U37" i="6"/>
  <c r="P5" i="3"/>
  <c r="O35" i="6"/>
  <c r="U41" i="6"/>
  <c r="H41" i="6"/>
  <c r="L41" i="6"/>
  <c r="K36" i="6"/>
  <c r="Q41" i="6"/>
  <c r="J23" i="3"/>
  <c r="G42" i="6"/>
  <c r="T42" i="6"/>
  <c r="R35" i="6"/>
  <c r="J34" i="6"/>
  <c r="M36" i="6"/>
  <c r="G39" i="6"/>
  <c r="F35" i="6"/>
  <c r="H33" i="6"/>
  <c r="K20" i="3"/>
  <c r="M39" i="6"/>
  <c r="J11" i="3"/>
  <c r="U39" i="6"/>
  <c r="K25" i="3"/>
  <c r="C37" i="6"/>
  <c r="O13" i="3"/>
  <c r="U34" i="6"/>
  <c r="P35" i="6"/>
  <c r="J38" i="6"/>
  <c r="K11" i="3"/>
  <c r="J29" i="3"/>
  <c r="O37" i="6"/>
  <c r="J20" i="3"/>
  <c r="K18" i="3"/>
  <c r="J6" i="3"/>
  <c r="K10" i="3"/>
  <c r="O34" i="3"/>
  <c r="J22" i="3"/>
  <c r="J2" i="3"/>
  <c r="J26" i="3"/>
  <c r="O12" i="3"/>
  <c r="K26" i="3"/>
  <c r="O29" i="3"/>
  <c r="P29" i="3"/>
  <c r="O5" i="3"/>
  <c r="L45" i="6"/>
  <c r="S44" i="6"/>
  <c r="D44" i="6"/>
  <c r="H43" i="6"/>
  <c r="L46" i="6"/>
  <c r="P45" i="6"/>
  <c r="I45" i="6"/>
  <c r="P44" i="6"/>
  <c r="T43" i="6"/>
  <c r="R44" i="6"/>
  <c r="J40" i="6"/>
  <c r="L33" i="6"/>
  <c r="I37" i="6"/>
  <c r="H35" i="6"/>
  <c r="J10" i="3"/>
  <c r="P40" i="6"/>
  <c r="N35" i="6"/>
  <c r="S40" i="6"/>
  <c r="O41" i="6"/>
  <c r="E36" i="6"/>
  <c r="R41" i="6"/>
  <c r="I40" i="6"/>
  <c r="H42" i="6"/>
  <c r="U42" i="6"/>
  <c r="H40" i="6"/>
  <c r="T35" i="6"/>
  <c r="T39" i="6"/>
  <c r="J36" i="6"/>
  <c r="M33" i="6"/>
  <c r="O36" i="6"/>
  <c r="K17" i="3"/>
  <c r="P33" i="6"/>
  <c r="O7" i="3"/>
  <c r="E34" i="6"/>
  <c r="P24" i="3"/>
  <c r="Q38" i="6"/>
  <c r="G35" i="6"/>
  <c r="I38" i="6"/>
  <c r="D39" i="6"/>
  <c r="E35" i="6"/>
  <c r="O26" i="3"/>
  <c r="K2" i="3"/>
  <c r="J39" i="6"/>
  <c r="O14" i="3"/>
  <c r="O9" i="3"/>
  <c r="J4" i="3"/>
  <c r="P9" i="3"/>
  <c r="O2" i="3"/>
  <c r="P11" i="3"/>
  <c r="O28" i="3"/>
  <c r="J24" i="3"/>
  <c r="K19" i="3"/>
  <c r="P16" i="3"/>
  <c r="R36" i="6"/>
  <c r="J33" i="3"/>
  <c r="T45" i="6"/>
  <c r="E45" i="6"/>
  <c r="L44" i="6"/>
  <c r="P43" i="6"/>
  <c r="T46" i="6"/>
  <c r="E46" i="6"/>
  <c r="Q45" i="6"/>
  <c r="H46" i="6"/>
  <c r="I44" i="6"/>
  <c r="M43" i="6"/>
  <c r="I41" i="6"/>
  <c r="K15" i="3"/>
  <c r="K34" i="3"/>
  <c r="Q40" i="6"/>
  <c r="D36" i="6"/>
  <c r="T40" i="6"/>
  <c r="P41" i="6"/>
  <c r="O27" i="3"/>
  <c r="I42" i="6"/>
  <c r="M41" i="6"/>
  <c r="Q42" i="6"/>
  <c r="O42" i="6"/>
  <c r="C41" i="6"/>
  <c r="O39" i="6"/>
  <c r="I35" i="6"/>
  <c r="H39" i="6"/>
  <c r="T36" i="6"/>
  <c r="C38" i="6"/>
  <c r="U33" i="6"/>
  <c r="D37" i="6"/>
  <c r="O6" i="3"/>
  <c r="L37" i="6"/>
  <c r="P15" i="3"/>
  <c r="M34" i="6"/>
  <c r="N38" i="6"/>
  <c r="N34" i="6"/>
  <c r="L34" i="6"/>
  <c r="J27" i="3"/>
  <c r="P7" i="3"/>
  <c r="O3" i="3"/>
  <c r="K14" i="3"/>
  <c r="J17" i="3"/>
  <c r="P32" i="3"/>
  <c r="J15" i="3"/>
  <c r="P8" i="3"/>
  <c r="O23" i="3"/>
  <c r="K7" i="3"/>
  <c r="O18" i="3"/>
  <c r="O21" i="3"/>
  <c r="O10" i="3"/>
  <c r="J8" i="3"/>
  <c r="E38" i="6"/>
  <c r="J12" i="3"/>
  <c r="M304" i="1"/>
  <c r="I46" i="6"/>
  <c r="M45" i="6"/>
  <c r="T44" i="6"/>
  <c r="E44" i="6"/>
  <c r="I43" i="6"/>
  <c r="M46" i="6"/>
  <c r="F46" i="6"/>
  <c r="J45" i="6"/>
  <c r="Q44" i="6"/>
  <c r="E43" i="6"/>
  <c r="K41" i="6"/>
  <c r="P42" i="6"/>
  <c r="H36" i="6"/>
  <c r="R34" i="6"/>
  <c r="G37" i="6"/>
  <c r="P31" i="3"/>
  <c r="O20" i="3"/>
  <c r="K32" i="3"/>
  <c r="P28" i="3"/>
  <c r="P25" i="3"/>
  <c r="P12" i="3"/>
  <c r="Q46" i="6"/>
  <c r="U45" i="6"/>
  <c r="F45" i="6"/>
  <c r="M44" i="6"/>
  <c r="Q43" i="6"/>
  <c r="U46" i="6"/>
  <c r="N46" i="6"/>
  <c r="R45" i="6"/>
  <c r="S45" i="6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6" i="6" l="1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<sst xmlns="http://schemas.openxmlformats.org/spreadsheetml/2006/main" count="4186" uniqueCount="175">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</sst>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</cellXfs>
  <cellStyles count="1">
    <cellStyle name="Normal" xfId="0" builtinId="0"/>
  </cellStyles>
  <dxfs count="42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35" totalsRowShown="0">
  <autoFilter ref="A1:P335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875" tableType="queryTable" totalsRowShown="0">
  <autoFilter ref="A1:D875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35"/>
  <sheetViews>
    <sheetView topLeftCell="D1" zoomScale="70" zoomScaleNormal="70" workbookViewId="0">
      <pane ySplit="1" topLeftCell="A301" activePane="bottomLeft" state="frozen"/>
      <selection pane="bottomLeft" activeCell="I333" sqref="I333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">
        <v>88</v>
      </c>
      <c r="I4" s="4" t="s">
        <v>158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">
        <v>88</v>
      </c>
      <c r="I5" s="4" t="s">
        <v>158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">
        <v>88</v>
      </c>
      <c r="I6" s="4" t="s">
        <v>158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">
        <v>88</v>
      </c>
      <c r="I7" s="4" t="s">
        <v>158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">
        <v>89</v>
      </c>
      <c r="I8" s="4" t="s">
        <v>158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">
        <v>88</v>
      </c>
      <c r="I9" s="4" t="s">
        <v>158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">
        <v>88</v>
      </c>
      <c r="I10" s="4" t="s">
        <v>158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">
        <v>88</v>
      </c>
      <c r="I11" s="4" t="s">
        <v>158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">
        <v>89</v>
      </c>
      <c r="I12" s="4" t="s">
        <v>158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">
        <v>88</v>
      </c>
      <c r="I13" s="4" t="s">
        <v>158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">
        <v>89</v>
      </c>
      <c r="I14" s="4" t="s">
        <v>158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">
        <v>88</v>
      </c>
      <c r="I15" s="4" t="s">
        <v>158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">
        <v>88</v>
      </c>
      <c r="I16" s="4" t="s">
        <v>158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">
        <v>88</v>
      </c>
      <c r="I17" s="4" t="s">
        <v>158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">
        <v>88</v>
      </c>
      <c r="I18" s="4" t="s">
        <v>158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">
        <v>88</v>
      </c>
      <c r="I19" s="4" t="s">
        <v>158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">
        <v>89</v>
      </c>
      <c r="I20" s="4" t="s">
        <v>158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">
        <v>88</v>
      </c>
      <c r="I21" s="4" t="s">
        <v>158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">
        <v>88</v>
      </c>
      <c r="I22" s="4" t="s">
        <v>158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">
        <v>88</v>
      </c>
      <c r="I23" s="4" t="s">
        <v>159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">
        <v>88</v>
      </c>
      <c r="I24" s="4" t="s">
        <v>158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">
        <v>90</v>
      </c>
      <c r="I25" s="4" t="s">
        <v>158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">
        <v>88</v>
      </c>
      <c r="I26" s="4" t="s">
        <v>159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">
        <v>88</v>
      </c>
      <c r="I27" s="4" t="s">
        <v>159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">
        <v>88</v>
      </c>
      <c r="I28" s="4" t="s">
        <v>159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">
        <v>88</v>
      </c>
      <c r="I29" s="4" t="s">
        <v>158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">
        <v>88</v>
      </c>
      <c r="I30" s="4" t="s">
        <v>158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">
        <v>89</v>
      </c>
      <c r="I31" s="4" t="s">
        <v>158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/>
      <c r="H32" s="4">
        <v>0</v>
      </c>
      <c r="I32" s="4">
        <v>0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/>
      <c r="H33" s="4">
        <v>0</v>
      </c>
      <c r="I33" s="4">
        <v>0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/>
      <c r="H34" s="4">
        <v>0</v>
      </c>
      <c r="I34" s="4">
        <v>0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">
        <v>88</v>
      </c>
      <c r="I35" s="4" t="s">
        <v>158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">
        <v>88</v>
      </c>
      <c r="I36" s="4" t="s">
        <v>158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">
        <v>88</v>
      </c>
      <c r="I37" s="4" t="s">
        <v>158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">
        <v>90</v>
      </c>
      <c r="I38" s="4" t="s">
        <v>159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">
        <v>90</v>
      </c>
      <c r="I39" s="4" t="s">
        <v>158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">
        <v>88</v>
      </c>
      <c r="I40" s="4" t="s">
        <v>159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">
        <v>89</v>
      </c>
      <c r="I41" s="4" t="s">
        <v>158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">
        <v>90</v>
      </c>
      <c r="I42" s="4" t="s">
        <v>158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">
        <v>89</v>
      </c>
      <c r="I43" s="4" t="s">
        <v>158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">
        <v>89</v>
      </c>
      <c r="I44" s="4" t="s">
        <v>158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">
        <v>88</v>
      </c>
      <c r="I45" s="4" t="s">
        <v>159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">
        <v>88</v>
      </c>
      <c r="I46" s="4" t="s">
        <v>159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">
        <v>89</v>
      </c>
      <c r="I47" s="4" t="s">
        <v>158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">
        <v>88</v>
      </c>
      <c r="I48" s="4" t="s">
        <v>159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">
        <v>88</v>
      </c>
      <c r="I49" s="4" t="s">
        <v>158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">
        <v>88</v>
      </c>
      <c r="I50" s="4" t="s">
        <v>158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">
        <v>88</v>
      </c>
      <c r="I51" s="4" t="s">
        <v>158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">
        <v>88</v>
      </c>
      <c r="I52" s="4" t="s">
        <v>158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">
        <v>90</v>
      </c>
      <c r="I53" s="4" t="s">
        <v>158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">
        <v>90</v>
      </c>
      <c r="I54" s="4" t="s">
        <v>158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/>
      <c r="H55" s="4">
        <v>0</v>
      </c>
      <c r="I55" s="4">
        <v>0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">
        <v>88</v>
      </c>
      <c r="I56" s="4" t="s">
        <v>158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">
        <v>88</v>
      </c>
      <c r="I57" s="4" t="s">
        <v>158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">
        <v>88</v>
      </c>
      <c r="I58" s="4" t="s">
        <v>158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">
        <v>88</v>
      </c>
      <c r="I59" s="4" t="s">
        <v>158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">
        <v>88</v>
      </c>
      <c r="I60" s="4" t="s">
        <v>158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">
        <v>88</v>
      </c>
      <c r="I61" s="4" t="s">
        <v>158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">
        <v>88</v>
      </c>
      <c r="I62" s="4" t="s">
        <v>158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">
        <v>88</v>
      </c>
      <c r="I63" s="4" t="s">
        <v>158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">
        <v>88</v>
      </c>
      <c r="I64" s="4" t="s">
        <v>158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">
        <v>90</v>
      </c>
      <c r="I65" s="4" t="s">
        <v>159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/>
      <c r="H66" s="4">
        <v>0</v>
      </c>
      <c r="I66" s="4">
        <v>0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/>
      <c r="H67" s="4">
        <v>0</v>
      </c>
      <c r="I67" s="4">
        <v>0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">
        <v>88</v>
      </c>
      <c r="I68" s="4" t="s">
        <v>158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">
        <v>88</v>
      </c>
      <c r="I69" s="4" t="s">
        <v>158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">
        <v>88</v>
      </c>
      <c r="I70" s="4" t="s">
        <v>158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">
        <v>88</v>
      </c>
      <c r="I71" s="4" t="s">
        <v>158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">
        <v>88</v>
      </c>
      <c r="I72" s="4" t="s">
        <v>158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">
        <v>88</v>
      </c>
      <c r="I73" s="4" t="s">
        <v>158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">
        <v>88</v>
      </c>
      <c r="I74" s="4" t="s">
        <v>158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">
        <v>90</v>
      </c>
      <c r="I75" s="4" t="s">
        <v>158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">
        <v>88</v>
      </c>
      <c r="I76" s="4" t="s">
        <v>158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">
        <v>88</v>
      </c>
      <c r="I77" s="4" t="s">
        <v>158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">
        <v>89</v>
      </c>
      <c r="I78" s="4" t="s">
        <v>158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">
        <v>88</v>
      </c>
      <c r="I79" s="4" t="s">
        <v>158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">
        <v>88</v>
      </c>
      <c r="I80" s="4" t="s">
        <v>158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/>
      <c r="H81" s="4">
        <v>0</v>
      </c>
      <c r="I81" s="4">
        <v>0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/>
      <c r="H82" s="4">
        <v>0</v>
      </c>
      <c r="I82" s="4">
        <v>0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">
        <v>88</v>
      </c>
      <c r="I83" s="4" t="s">
        <v>158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">
        <v>88</v>
      </c>
      <c r="I84" s="4" t="s">
        <v>158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/>
      <c r="H85" s="4">
        <v>0</v>
      </c>
      <c r="I85" s="4">
        <v>0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/>
      <c r="H86" s="4">
        <v>0</v>
      </c>
      <c r="I86" s="4">
        <v>0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">
        <v>88</v>
      </c>
      <c r="I87" s="4" t="s">
        <v>158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">
        <v>88</v>
      </c>
      <c r="I88" s="4" t="s">
        <v>158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">
        <v>89</v>
      </c>
      <c r="I89" s="4" t="s">
        <v>158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">
        <v>88</v>
      </c>
      <c r="I90" s="4" t="s">
        <v>158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">
        <v>88</v>
      </c>
      <c r="I91" s="4" t="s">
        <v>158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">
        <v>88</v>
      </c>
      <c r="I92" s="4" t="s">
        <v>158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">
        <v>88</v>
      </c>
      <c r="I93" s="4" t="s">
        <v>158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">
        <v>88</v>
      </c>
      <c r="I94" s="4" t="s">
        <v>159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">
        <v>88</v>
      </c>
      <c r="I95" s="4" t="s">
        <v>158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">
        <v>88</v>
      </c>
      <c r="I96" s="4" t="s">
        <v>158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">
        <v>88</v>
      </c>
      <c r="I97" s="4" t="s">
        <v>159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">
        <v>89</v>
      </c>
      <c r="I98" s="4" t="s">
        <v>158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">
        <v>89</v>
      </c>
      <c r="I99" s="4" t="s">
        <v>158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">
        <v>88</v>
      </c>
      <c r="I100" s="4" t="s">
        <v>158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">
        <v>89</v>
      </c>
      <c r="I101" s="4" t="s">
        <v>158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">
        <v>88</v>
      </c>
      <c r="I102" s="4" t="s">
        <v>158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">
        <v>89</v>
      </c>
      <c r="I103" s="4" t="s">
        <v>158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">
        <v>89</v>
      </c>
      <c r="I104" s="4" t="s">
        <v>158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">
        <v>90</v>
      </c>
      <c r="I105" s="4" t="s">
        <v>159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">
        <v>89</v>
      </c>
      <c r="I106" s="4" t="s">
        <v>158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">
        <v>89</v>
      </c>
      <c r="I107" s="4" t="s">
        <v>158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">
        <v>88</v>
      </c>
      <c r="I108" s="4" t="s">
        <v>158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">
        <v>88</v>
      </c>
      <c r="I109" s="4" t="s">
        <v>158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">
        <v>88</v>
      </c>
      <c r="I110" s="4" t="s">
        <v>158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">
        <v>88</v>
      </c>
      <c r="I111" s="4" t="s">
        <v>158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">
        <v>88</v>
      </c>
      <c r="I112" s="4" t="s">
        <v>158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">
        <v>88</v>
      </c>
      <c r="I113" s="4" t="s">
        <v>158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">
        <v>88</v>
      </c>
      <c r="I114" s="4" t="s">
        <v>158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">
        <v>88</v>
      </c>
      <c r="I115" s="4" t="s">
        <v>158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">
        <v>88</v>
      </c>
      <c r="I116" s="4" t="s">
        <v>158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">
        <v>88</v>
      </c>
      <c r="I117" s="4" t="s">
        <v>158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">
        <v>88</v>
      </c>
      <c r="I118" s="4" t="s">
        <v>158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">
        <v>88</v>
      </c>
      <c r="I119" s="4" t="s">
        <v>158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">
        <v>88</v>
      </c>
      <c r="I120" s="4" t="s">
        <v>158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">
        <v>88</v>
      </c>
      <c r="I121" s="4" t="s">
        <v>158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">
        <v>88</v>
      </c>
      <c r="I122" s="4" t="s">
        <v>158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">
        <v>88</v>
      </c>
      <c r="I123" s="4" t="s">
        <v>158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">
        <v>88</v>
      </c>
      <c r="I124" s="4" t="s">
        <v>158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">
        <v>88</v>
      </c>
      <c r="I125" s="4" t="s">
        <v>158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">
        <v>90</v>
      </c>
      <c r="I126" s="4" t="s">
        <v>159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">
        <v>88</v>
      </c>
      <c r="I127" s="4" t="s">
        <v>158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">
        <v>90</v>
      </c>
      <c r="I128" s="4" t="s">
        <v>159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">
        <v>88</v>
      </c>
      <c r="I129" s="4" t="s">
        <v>158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">
        <v>88</v>
      </c>
      <c r="I130" s="4" t="s">
        <v>158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">
        <v>89</v>
      </c>
      <c r="I131" s="4" t="s">
        <v>158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">
        <v>88</v>
      </c>
      <c r="I132" s="4" t="s">
        <v>158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">
        <v>88</v>
      </c>
      <c r="I133" s="4" t="s">
        <v>158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">
        <v>88</v>
      </c>
      <c r="I134" s="4" t="s">
        <v>158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">
        <v>89</v>
      </c>
      <c r="I135" s="4" t="s">
        <v>158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">
        <v>89</v>
      </c>
      <c r="I136" s="4" t="s">
        <v>158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">
        <v>89</v>
      </c>
      <c r="I137" s="4" t="s">
        <v>158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">
        <v>88</v>
      </c>
      <c r="I138" s="4" t="s">
        <v>158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">
        <v>88</v>
      </c>
      <c r="I139" s="4" t="s">
        <v>158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">
        <v>88</v>
      </c>
      <c r="I140" s="4" t="s">
        <v>158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">
        <v>88</v>
      </c>
      <c r="I141" s="4" t="s">
        <v>159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">
        <v>88</v>
      </c>
      <c r="I142" s="4" t="s">
        <v>158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">
        <v>90</v>
      </c>
      <c r="I143" s="4" t="s">
        <v>158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">
        <v>88</v>
      </c>
      <c r="I144" s="4" t="s">
        <v>158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">
        <v>88</v>
      </c>
      <c r="I145" s="4" t="s">
        <v>158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">
        <v>90</v>
      </c>
      <c r="I146" s="4" t="s">
        <v>158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">
        <v>88</v>
      </c>
      <c r="I147" s="4" t="s">
        <v>159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">
        <v>89</v>
      </c>
      <c r="I148" s="4" t="s">
        <v>158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">
        <v>89</v>
      </c>
      <c r="I149" s="4" t="s">
        <v>158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">
        <v>89</v>
      </c>
      <c r="I150" s="4" t="s">
        <v>158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">
        <v>89</v>
      </c>
      <c r="I151" s="4" t="s">
        <v>158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">
        <v>89</v>
      </c>
      <c r="I152" s="4" t="s">
        <v>158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">
        <v>89</v>
      </c>
      <c r="I153" s="4" t="s">
        <v>158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">
        <v>89</v>
      </c>
      <c r="I154" s="4" t="s">
        <v>158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">
        <v>89</v>
      </c>
      <c r="I155" s="4" t="s">
        <v>158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">
        <v>88</v>
      </c>
      <c r="I156" s="4" t="s">
        <v>158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">
        <v>88</v>
      </c>
      <c r="I157" s="4" t="s">
        <v>158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">
        <v>89</v>
      </c>
      <c r="I158" s="4" t="s">
        <v>158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">
        <v>88</v>
      </c>
      <c r="I159" s="4" t="s">
        <v>158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">
        <v>88</v>
      </c>
      <c r="I160" s="4" t="s">
        <v>159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">
        <v>90</v>
      </c>
      <c r="I161" s="4" t="s">
        <v>159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">
        <v>90</v>
      </c>
      <c r="I162" s="4" t="s">
        <v>159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">
        <v>89</v>
      </c>
      <c r="I163" s="4" t="s">
        <v>159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">
        <v>88</v>
      </c>
      <c r="I164" s="4" t="s">
        <v>158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">
        <v>88</v>
      </c>
      <c r="I165" s="4" t="s">
        <v>158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">
        <v>88</v>
      </c>
      <c r="I166" s="4" t="s">
        <v>158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">
        <v>90</v>
      </c>
      <c r="I167" s="4" t="s">
        <v>159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">
        <v>88</v>
      </c>
      <c r="I168" s="4" t="s">
        <v>158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">
        <v>88</v>
      </c>
      <c r="I169" s="4" t="s">
        <v>158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">
        <v>88</v>
      </c>
      <c r="I170" s="4" t="s">
        <v>158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H171" s="4">
        <v>0</v>
      </c>
      <c r="I171" s="4">
        <v>0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">
        <v>88</v>
      </c>
      <c r="I172" s="4" t="s">
        <v>158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">
        <v>88</v>
      </c>
      <c r="I173" s="4" t="s">
        <v>158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">
        <v>88</v>
      </c>
      <c r="I174" s="4" t="s">
        <v>158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">
        <v>88</v>
      </c>
      <c r="I175" s="4" t="s">
        <v>158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">
        <v>88</v>
      </c>
      <c r="I176" s="4" t="s">
        <v>158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">
        <v>88</v>
      </c>
      <c r="I177" s="4" t="s">
        <v>158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">
        <v>90</v>
      </c>
      <c r="I178" s="4" t="s">
        <v>159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">
        <v>90</v>
      </c>
      <c r="I179" s="4" t="s">
        <v>159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">
        <v>90</v>
      </c>
      <c r="I180" s="4" t="s">
        <v>159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">
        <v>88</v>
      </c>
      <c r="I181" s="4" t="s">
        <v>158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">
        <v>88</v>
      </c>
      <c r="I182" s="4" t="s">
        <v>158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">
        <v>90</v>
      </c>
      <c r="I183" s="4" t="s">
        <v>159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">
        <v>88</v>
      </c>
      <c r="I184" s="4" t="s">
        <v>158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">
        <v>88</v>
      </c>
      <c r="I185" s="4" t="s">
        <v>158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">
        <v>88</v>
      </c>
      <c r="I186" s="4" t="s">
        <v>158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">
        <v>88</v>
      </c>
      <c r="I187" s="4" t="s">
        <v>158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">
        <v>88</v>
      </c>
      <c r="I188" s="4" t="s">
        <v>158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">
        <v>88</v>
      </c>
      <c r="I189" s="4" t="s">
        <v>159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">
        <v>88</v>
      </c>
      <c r="I190" s="4" t="s">
        <v>158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">
        <v>88</v>
      </c>
      <c r="I191" s="4" t="s">
        <v>159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">
        <v>88</v>
      </c>
      <c r="I192" s="4" t="s">
        <v>159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">
        <v>89</v>
      </c>
      <c r="I193" s="4" t="s">
        <v>158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">
        <v>89</v>
      </c>
      <c r="I194" s="4" t="s">
        <v>158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">
        <v>89</v>
      </c>
      <c r="I195" s="4" t="s">
        <v>158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">
        <v>88</v>
      </c>
      <c r="I196" s="4" t="s">
        <v>158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">
        <v>88</v>
      </c>
      <c r="I197" s="4" t="s">
        <v>158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">
        <v>88</v>
      </c>
      <c r="I198" s="4" t="s">
        <v>158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">
        <v>88</v>
      </c>
      <c r="I199" s="4" t="s">
        <v>159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">
        <v>89</v>
      </c>
      <c r="I200" s="4" t="s">
        <v>159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">
        <v>88</v>
      </c>
      <c r="I201" s="4" t="s">
        <v>158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">
        <v>90</v>
      </c>
      <c r="I202" s="4" t="s">
        <v>158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">
        <v>88</v>
      </c>
      <c r="I203" s="4" t="s">
        <v>158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">
        <v>88</v>
      </c>
      <c r="I204" s="4" t="s">
        <v>158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">
        <v>88</v>
      </c>
      <c r="I205" s="4" t="s">
        <v>158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">
        <v>88</v>
      </c>
      <c r="I206" s="4" t="s">
        <v>158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">
        <v>88</v>
      </c>
      <c r="I207" s="4" t="s">
        <v>158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">
        <v>88</v>
      </c>
      <c r="I208" s="4" t="s">
        <v>158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">
        <v>88</v>
      </c>
      <c r="I209" s="4" t="s">
        <v>158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">
        <v>88</v>
      </c>
      <c r="I210" s="4" t="s">
        <v>158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">
        <v>88</v>
      </c>
      <c r="I211" s="4" t="s">
        <v>158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">
        <v>88</v>
      </c>
      <c r="I212" s="4" t="s">
        <v>158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">
        <v>88</v>
      </c>
      <c r="I213" s="4" t="s">
        <v>158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">
        <v>88</v>
      </c>
      <c r="I214" s="4" t="s">
        <v>158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">
        <v>88</v>
      </c>
      <c r="I215" s="4" t="s">
        <v>158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">
        <v>88</v>
      </c>
      <c r="I216" s="4" t="s">
        <v>158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">
        <v>88</v>
      </c>
      <c r="I217" s="4" t="s">
        <v>158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">
        <v>88</v>
      </c>
      <c r="I218" s="4" t="s">
        <v>158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">
        <v>88</v>
      </c>
      <c r="I219" s="4" t="s">
        <v>158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H220" s="4">
        <v>0</v>
      </c>
      <c r="I220" s="4">
        <v>0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">
        <v>88</v>
      </c>
      <c r="I221" s="4" t="s">
        <v>158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">
        <v>88</v>
      </c>
      <c r="I222" s="4" t="s">
        <v>158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">
        <v>88</v>
      </c>
      <c r="I223" s="4" t="s">
        <v>158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">
        <v>88</v>
      </c>
      <c r="I224" s="4" t="s">
        <v>158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">
        <v>88</v>
      </c>
      <c r="I225" s="4" t="s">
        <v>158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">
        <v>88</v>
      </c>
      <c r="I226" s="4" t="s">
        <v>158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">
        <v>88</v>
      </c>
      <c r="I227" s="4" t="s">
        <v>158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">
        <v>89</v>
      </c>
      <c r="I228" s="4" t="s">
        <v>158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">
        <v>89</v>
      </c>
      <c r="I229" s="4" t="s">
        <v>158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">
        <v>88</v>
      </c>
      <c r="I230" s="4" t="s">
        <v>158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">
        <v>88</v>
      </c>
      <c r="I231" s="4" t="s">
        <v>158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">
        <v>88</v>
      </c>
      <c r="I232" s="4" t="s">
        <v>158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">
        <v>88</v>
      </c>
      <c r="I233" s="4" t="s">
        <v>158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">
        <v>88</v>
      </c>
      <c r="I234" s="4" t="s">
        <v>158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">
        <v>88</v>
      </c>
      <c r="I235" s="4" t="s">
        <v>158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">
        <v>88</v>
      </c>
      <c r="I236" s="4" t="s">
        <v>158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">
        <v>88</v>
      </c>
      <c r="I237" s="4" t="s">
        <v>158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">
        <v>88</v>
      </c>
      <c r="I238" s="4" t="s">
        <v>158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">
        <v>88</v>
      </c>
      <c r="I239" s="4" t="s">
        <v>158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">
        <v>88</v>
      </c>
      <c r="I240" s="4" t="s">
        <v>158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">
        <v>89</v>
      </c>
      <c r="I241" s="4" t="s">
        <v>158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">
        <v>88</v>
      </c>
      <c r="I242" s="4" t="s">
        <v>159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">
        <v>88</v>
      </c>
      <c r="I243" s="4" t="s">
        <v>159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">
        <v>88</v>
      </c>
      <c r="I244" s="4" t="s">
        <v>158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">
        <v>88</v>
      </c>
      <c r="I245" s="4" t="s">
        <v>158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">
        <v>89</v>
      </c>
      <c r="I246" s="4" t="s">
        <v>158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">
        <v>88</v>
      </c>
      <c r="I247" s="4" t="s">
        <v>158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">
        <v>88</v>
      </c>
      <c r="I248" s="4" t="s">
        <v>159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">
        <v>89</v>
      </c>
      <c r="I249" s="4" t="s">
        <v>159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">
        <v>89</v>
      </c>
      <c r="I250" s="4" t="s">
        <v>158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">
        <v>88</v>
      </c>
      <c r="I251" s="4" t="s">
        <v>159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">
        <v>88</v>
      </c>
      <c r="I252" s="4" t="s">
        <v>159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">
        <v>88</v>
      </c>
      <c r="I253" s="4" t="s">
        <v>159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">
        <v>88</v>
      </c>
      <c r="I254" s="4" t="s">
        <v>158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">
        <v>88</v>
      </c>
      <c r="I255" s="4" t="s">
        <v>158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">
        <v>88</v>
      </c>
      <c r="I256" s="4" t="s">
        <v>158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">
        <v>88</v>
      </c>
      <c r="I257" s="4" t="s">
        <v>158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">
        <v>88</v>
      </c>
      <c r="I258" s="4" t="s">
        <v>158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">
        <v>88</v>
      </c>
      <c r="I259" s="4" t="s">
        <v>158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">
        <v>88</v>
      </c>
      <c r="I260" s="4" t="s">
        <v>158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">
        <v>88</v>
      </c>
      <c r="I261" s="4" t="s">
        <v>158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">
        <v>88</v>
      </c>
      <c r="I262" s="4" t="s">
        <v>158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">
        <v>88</v>
      </c>
      <c r="I263" s="4" t="s">
        <v>158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">
        <v>88</v>
      </c>
      <c r="I264" s="4" t="s">
        <v>158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">
        <v>88</v>
      </c>
      <c r="I265" s="4" t="s">
        <v>158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">
        <v>88</v>
      </c>
      <c r="I266" s="4" t="s">
        <v>158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">
        <v>88</v>
      </c>
      <c r="I267" s="4" t="s">
        <v>158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">
        <v>88</v>
      </c>
      <c r="I268" s="4" t="s">
        <v>158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">
        <v>88</v>
      </c>
      <c r="I269" s="4" t="s">
        <v>158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">
        <v>88</v>
      </c>
      <c r="I270" s="4" t="s">
        <v>158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">
        <v>89</v>
      </c>
      <c r="I271" s="4" t="s">
        <v>158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">
        <v>89</v>
      </c>
      <c r="I272" s="4" t="s">
        <v>158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">
        <v>88</v>
      </c>
      <c r="I273" s="4" t="s">
        <v>158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">
        <v>88</v>
      </c>
      <c r="I274" s="4" t="s">
        <v>158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">
        <v>88</v>
      </c>
      <c r="I275" s="4" t="s">
        <v>158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">
        <v>88</v>
      </c>
      <c r="I276" s="4" t="s">
        <v>158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">
        <v>88</v>
      </c>
      <c r="I277" s="4" t="s">
        <v>158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">
        <v>89</v>
      </c>
      <c r="I278" s="4" t="s">
        <v>158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">
        <v>89</v>
      </c>
      <c r="I279" s="4" t="s">
        <v>158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">
        <v>89</v>
      </c>
      <c r="I280" s="4" t="s">
        <v>158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">
        <v>89</v>
      </c>
      <c r="I281" s="4" t="s">
        <v>158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">
        <v>88</v>
      </c>
      <c r="I282" s="4" t="s">
        <v>158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">
        <v>89</v>
      </c>
      <c r="I283" s="4" t="s">
        <v>158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">
        <v>88</v>
      </c>
      <c r="I284" s="4" t="s">
        <v>158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">
        <v>89</v>
      </c>
      <c r="I285" s="4" t="s">
        <v>158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">
        <v>89</v>
      </c>
      <c r="I286" s="4" t="s">
        <v>158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">
        <v>88</v>
      </c>
      <c r="I287" s="4" t="s">
        <v>158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">
        <v>89</v>
      </c>
      <c r="I288" s="4" t="s">
        <v>159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">
        <v>88</v>
      </c>
      <c r="I289" s="4" t="s">
        <v>159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">
        <v>88</v>
      </c>
      <c r="I290" s="4" t="s">
        <v>158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">
        <v>89</v>
      </c>
      <c r="I291" s="4" t="s">
        <v>158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">
        <v>89</v>
      </c>
      <c r="I292" s="4" t="s">
        <v>158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">
        <v>89</v>
      </c>
      <c r="I293" s="4" t="s">
        <v>158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">
        <v>88</v>
      </c>
      <c r="I294" s="4" t="s">
        <v>159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">
        <v>88</v>
      </c>
      <c r="I295" s="4" t="s">
        <v>159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">
        <v>90</v>
      </c>
      <c r="I296" s="4" t="s">
        <v>158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">
        <v>89</v>
      </c>
      <c r="I297" s="4" t="s">
        <v>159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">
        <v>88</v>
      </c>
      <c r="I298" s="4" t="s">
        <v>159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4" t="str">
        <f>IFERROR(_xlfn.XLOOKUP(G299,Listas!E:E,Listas!G:G,""),"")</f>
        <v>Interno</v>
      </c>
      <c r="J299" s="47">
        <v>50000</v>
      </c>
      <c r="K299" s="5">
        <f t="shared" ref="K299:K335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Iniciales'!$B$2:$B$38,D299)+SUMIFS($K$1:$K$335,$C$1:$C$335,C299,$D$1:$D$335,D299,$B$1:$B$335,"&lt;="&amp;B299)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Iniciales'!$B$2:$B$38,D300)+SUMIFS($K$1:$K$335,$C$1:$C$335,C300,$D$1:$D$335,D300,$B$1:$B$335,"&lt;="&amp;B300)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Iniciales'!$B$2:$B$38,D301)+SUMIFS($K$1:$K$335,$C$1:$C$335,C301,$D$1:$D$335,D301,$B$1:$B$335,"&lt;="&amp;B301)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Iniciales'!$B$2:$B$38,D302)+SUMIFS($K$1:$K$335,$C$1:$C$335,C302,$D$1:$D$335,D302,$B$1:$B$335,"&lt;="&amp;B302)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Iniciales'!$B$2:$B$38,D303)+SUMIFS($K$1:$K$335,$C$1:$C$335,C303,$D$1:$D$335,D303,$B$1:$B$335,"&lt;="&amp;B303)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Iniciales'!$B$2:$B$38,D304)+SUMIFS($K$1:$K$335,$C$1:$C$335,C304,$D$1:$D$335,D304,$B$1:$B$335,"&lt;="&amp;B304)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5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Iniciales'!$B$2:$B$38,D305)+SUMIFS($K$1:$K$335,$C$1:$C$335,C305,$D$1:$D$335,D305,$B$1:$B$335,"&lt;="&amp;B305)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Iniciales'!$B$2:$B$38,D306)+SUMIFS($K$1:$K$335,$C$1:$C$335,C306,$D$1:$D$335,D306,$B$1:$B$335,"&lt;="&amp;B306)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Iniciales'!$B$2:$B$38,D307)+SUMIFS($K$1:$K$335,$C$1:$C$335,C307,$D$1:$D$335,D307,$B$1:$B$335,"&lt;="&amp;B307)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Iniciales'!$B$2:$B$38,D308)+SUMIFS($K$1:$K$335,$C$1:$C$335,C308,$D$1:$D$335,D308,$B$1:$B$335,"&lt;="&amp;B308)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Iniciales'!$B$2:$B$38,D309)+SUMIFS($K$1:$K$335,$C$1:$C$335,C309,$D$1:$D$335,D309,$B$1:$B$335,"&lt;="&amp;B309)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Iniciales'!$B$2:$B$38,D310)+SUMIFS($K$1:$K$335,$C$1:$C$335,C310,$D$1:$D$335,D310,$B$1:$B$335,"&lt;="&amp;B310)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Iniciales'!$B$2:$B$38,D311)+SUMIFS($K$1:$K$335,$C$1:$C$335,C311,$D$1:$D$335,D311,$B$1:$B$335,"&lt;="&amp;B311)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Iniciales'!$B$2:$B$38,D312)+SUMIFS($K$1:$K$335,$C$1:$C$335,C312,$D$1:$D$335,D312,$B$1:$B$335,"&lt;="&amp;B312)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Iniciales'!$B$2:$B$38,D313)+SUMIFS($K$1:$K$335,$C$1:$C$335,C313,$D$1:$D$335,D313,$B$1:$B$335,"&lt;="&amp;B313)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Iniciales'!$B$2:$B$38,D314)+SUMIFS($K$1:$K$335,$C$1:$C$335,C314,$D$1:$D$335,D314,$B$1:$B$335,"&lt;="&amp;B314)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Iniciales'!$B$2:$B$38,D315)+SUMIFS($K$1:$K$335,$C$1:$C$335,C315,$D$1:$D$335,D315,$B$1:$B$335,"&lt;="&amp;B315)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Iniciales'!$B$2:$B$38,D316)+SUMIFS($K$1:$K$335,$C$1:$C$335,C316,$D$1:$D$335,D316,$B$1:$B$335,"&lt;="&amp;B316)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Iniciales'!$B$2:$B$38,D317)+SUMIFS($K$1:$K$335,$C$1:$C$335,C317,$D$1:$D$335,D317,$B$1:$B$335,"&lt;="&amp;B317)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Iniciales'!$B$2:$B$38,D318)+SUMIFS($K$1:$K$335,$C$1:$C$335,C318,$D$1:$D$335,D318,$B$1:$B$335,"&lt;="&amp;B318)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Iniciales'!$B$2:$B$38,D319)+SUMIFS($K$1:$K$335,$C$1:$C$335,C319,$D$1:$D$335,D319,$B$1:$B$335,"&lt;="&amp;B319)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Iniciales'!$B$2:$B$38,D320)+SUMIFS($K$1:$K$335,$C$1:$C$335,C320,$D$1:$D$335,D320,$B$1:$B$335,"&lt;="&amp;B320)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Iniciales'!$B$2:$B$38,D321)+SUMIFS($K$1:$K$335,$C$1:$C$335,C321,$D$1:$D$335,D321,$B$1:$B$335,"&lt;="&amp;B321)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Iniciales'!$B$2:$B$38,D322)+SUMIFS($K$1:$K$335,$C$1:$C$335,C322,$D$1:$D$335,D322,$B$1:$B$335,"&lt;="&amp;B322)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H323" s="4">
        <f>IFERROR(_xlfn.XLOOKUP(G323,Listas!E:E,Listas!F:F,""),"")</f>
        <v>0</v>
      </c>
      <c r="I323" s="54">
        <f>IFERROR(_xlfn.XLOOKUP(G323,Listas!E:E,Listas!G:G,""),"")</f>
        <v>0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Iniciales'!$B$2:$B$38,D323)+SUMIFS($K$1:$K$335,$C$1:$C$335,C323,$D$1:$D$335,D323,$B$1:$B$335,"&lt;="&amp;B323)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Iniciales'!$B$2:$B$38,D324)+SUMIFS($K$1:$K$335,$C$1:$C$335,C324,$D$1:$D$335,D324,$B$1:$B$335,"&lt;="&amp;B324)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Iniciales'!$B$2:$B$38,D325)+SUMIFS($K$1:$K$335,$C$1:$C$335,C325,$D$1:$D$335,D325,$B$1:$B$335,"&lt;="&amp;B325)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Iniciales'!$B$2:$B$38,D326)+SUMIFS($K$1:$K$335,$C$1:$C$335,C326,$D$1:$D$335,D326,$B$1:$B$335,"&lt;="&amp;B326)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Iniciales'!$B$2:$B$38,D327)+SUMIFS($K$1:$K$335,$C$1:$C$335,C327,$D$1:$D$335,D327,$B$1:$B$335,"&lt;="&amp;B327)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Iniciales'!$B$2:$B$38,D328)+SUMIFS($K$1:$K$335,$C$1:$C$335,C328,$D$1:$D$335,D328,$B$1:$B$335,"&lt;="&amp;B328)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Iniciales'!$B$2:$B$38,D329)+SUMIFS($K$1:$K$335,$C$1:$C$335,C329,$D$1:$D$335,D329,$B$1:$B$335,"&lt;="&amp;B329)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Iniciales'!$B$2:$B$38,D330)+SUMIFS($K$1:$K$335,$C$1:$C$335,C330,$D$1:$D$335,D330,$B$1:$B$335,"&lt;="&amp;B330)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Iniciales'!$B$2:$B$38,D331)+SUMIFS($K$1:$K$335,$C$1:$C$335,C331,$D$1:$D$335,D331,$B$1:$B$335,"&lt;="&amp;B331)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Iniciales'!$B$2:$B$38,D332)+SUMIFS($K$1:$K$335,$C$1:$C$335,C332,$D$1:$D$335,D332,$B$1:$B$335,"&lt;="&amp;B332)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H333" s="4">
        <f>IFERROR(_xlfn.XLOOKUP(G333,Listas!E:E,Listas!F:F,""),"")</f>
        <v>0</v>
      </c>
      <c r="I333" s="54">
        <f>IFERROR(_xlfn.XLOOKUP(G333,Listas!E:E,Listas!G:G,""),"")</f>
        <v>0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Iniciales'!$B$2:$B$38,D333)+SUMIFS($K$1:$K$335,$C$1:$C$335,C333,$D$1:$D$335,D333,$B$1:$B$335,"&lt;="&amp;B333)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H334" s="4">
        <f>IFERROR(_xlfn.XLOOKUP(G334,Listas!E:E,Listas!F:F,""),"")</f>
        <v>0</v>
      </c>
      <c r="I334" s="54">
        <f>IFERROR(_xlfn.XLOOKUP(G334,Listas!E:E,Listas!G:G,""),"")</f>
        <v>0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Iniciales'!$B$2:$B$38,D334)+SUMIFS($K$1:$K$335,$C$1:$C$335,C334,$D$1:$D$335,D334,$B$1:$B$335,"&lt;="&amp;B334)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5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Iniciales'!$B$2:$B$38,D335)+SUMIFS($K$1:$K$335,$C$1:$C$335,C335,$D$1:$D$335,D335,$B$1:$B$335,"&lt;="&amp;B335)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298 E305:L305 E303:L303 N303 E302:L302 N302 E300:L300 E299:L299 N299 E301:L301 N301 N300 E304:L304 N304 N30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C2:C335</xm:sqref>
        </x14:dataValidation>
        <x14:dataValidation type="list" allowBlank="1" xr:uid="{AAA2F2FB-5D82-4852-BA68-E541EA956BD2}">
          <x14:formula1>
            <xm:f>Listas!$B$2:$B$34</xm:f>
          </x14:formula1>
          <xm:sqref>D2:D335</xm:sqref>
        </x14:dataValidation>
        <x14:dataValidation type="list" allowBlank="1" xr:uid="{DC8BA3D2-F104-4639-8653-545CA2BBE131}">
          <x14:formula1>
            <xm:f>Listas!$E$2:$E$52</xm:f>
          </x14:formula1>
          <xm:sqref>G2:G335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D5" sqref="D5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319176.10000000009</v>
      </c>
      <c r="E2" s="41">
        <f>C2+D2</f>
        <v>735854.36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3182761.5000000005</v>
      </c>
      <c r="E3" s="41">
        <f t="shared" ref="E3:E9" si="0">C3+D3</f>
        <v>4344769.68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8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J11" sqref="J1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">
        <f>H2</f>
        <v>193489.58000000019</v>
      </c>
      <c r="J2" s="48">
        <f>SUMIFS(Movimientos!$J$1:$J$335,Movimientos!$C$1:$C$335,$B2,Movimientos!$D$1:$D$335,$C2,Movimientos!$L$1:$L$335,A$3,Movimientos!$F$1:$F$335,"Ingreso")</f>
        <v>300351.81</v>
      </c>
      <c r="K2" s="48">
        <f>SUMIFS(Movimientos!$J$1:$J$335,Movimientos!$C$1:$C$335,$B2,Movimientos!$D$1:$D$335,$C2,Movimientos!$L$1:$L$335,A$3,Movimientos!$F$1:$F$335,"Egreso")</f>
        <v>482000</v>
      </c>
      <c r="L2" s="7">
        <f>+J2-K2</f>
        <v>-181648.19</v>
      </c>
      <c r="M2" s="12">
        <f>I2+J2-K2</f>
        <v>11841.390000000189</v>
      </c>
      <c r="N2" s="5">
        <f>M2</f>
        <v>11841.390000000189</v>
      </c>
      <c r="O2" s="48">
        <f>SUMIFS(Movimientos!$J$1:$J$335,Movimientos!$C$1:$C$335,$B2,Movimientos!$D$1:$D$335,$C2,Movimientos!$L$1:$L$335,A$4,Movimientos!$F$1:$F$335,"Ingreso")</f>
        <v>0</v>
      </c>
      <c r="P2" s="48">
        <f>SUMIFS(Movimientos!$J$1:$J$335,Movimientos!$C$1:$C$335,$B2,Movimientos!$D$1:$D$335,$C2,Movimientos!$L$1:$L$335,A$4,Movimientos!$F$1:$F$335,"Egreso")</f>
        <v>0</v>
      </c>
      <c r="Q2" s="7">
        <f>+O2-P2</f>
        <v>0</v>
      </c>
      <c r="R2" s="12">
        <f>N2+O2-P2</f>
        <v>11841.390000000189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">
        <f>H3</f>
        <v>784648.53</v>
      </c>
      <c r="J3" s="48">
        <f>SUMIFS(Movimientos!$J$1:$J$335,Movimientos!$C$1:$C$335,$B3,Movimientos!$D$1:$D$335,$C3,Movimientos!$L$1:$L$335,A$3,Movimientos!$F$1:$F$335,"Ingreso")</f>
        <v>1710000</v>
      </c>
      <c r="K3" s="48">
        <f>SUMIFS(Movimientos!$J$1:$J$335,Movimientos!$C$1:$C$335,$B3,Movimientos!$D$1:$D$335,$C3,Movimientos!$L$1:$L$335,A$3,Movimientos!$F$1:$F$335,"Egreso")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SUMIFS(Movimientos!$J$1:$J$335,Movimientos!$C$1:$C$335,$B3,Movimientos!$D$1:$D$335,$C3,Movimientos!$L$1:$L$335,A$4,Movimientos!$F$1:$F$335,"Ingreso")</f>
        <v>0</v>
      </c>
      <c r="P3" s="48">
        <f>SUMIFS(Movimientos!$J$1:$J$335,Movimientos!$C$1:$C$335,$B3,Movimientos!$D$1:$D$335,$C3,Movimientos!$L$1:$L$335,A$4,Movimientos!$F$1:$F$335,"Egreso")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">
        <f>H4</f>
        <v>5256.0300000000007</v>
      </c>
      <c r="J4" s="48">
        <f>SUMIFS(Movimientos!$J$1:$J$335,Movimientos!$C$1:$C$335,$B4,Movimientos!$D$1:$D$335,$C4,Movimientos!$L$1:$L$335,A$3,Movimientos!$F$1:$F$335,"Ingreso")</f>
        <v>0</v>
      </c>
      <c r="K4" s="48">
        <f>SUMIFS(Movimientos!$J$1:$J$335,Movimientos!$C$1:$C$335,$B4,Movimientos!$D$1:$D$335,$C4,Movimientos!$L$1:$L$335,A$3,Movimientos!$F$1:$F$335,"Egreso")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SUMIFS(Movimientos!$J$1:$J$335,Movimientos!$C$1:$C$335,$B4,Movimientos!$D$1:$D$335,$C4,Movimientos!$L$1:$L$335,A$4,Movimientos!$F$1:$F$335,"Ingreso")</f>
        <v>0</v>
      </c>
      <c r="P4" s="48">
        <f>SUMIFS(Movimientos!$J$1:$J$335,Movimientos!$C$1:$C$335,$B4,Movimientos!$D$1:$D$335,$C4,Movimientos!$L$1:$L$335,A$4,Movimientos!$F$1:$F$335,"Egreso")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">
        <f>H5</f>
        <v>57397.280000000261</v>
      </c>
      <c r="J5" s="48">
        <f>SUMIFS(Movimientos!$J$1:$J$335,Movimientos!$C$1:$C$335,$B5,Movimientos!$D$1:$D$335,$C5,Movimientos!$L$1:$L$335,A$3,Movimientos!$F$1:$F$335,"Ingreso")</f>
        <v>6979.11</v>
      </c>
      <c r="K5" s="48">
        <f>SUMIFS(Movimientos!$J$1:$J$335,Movimientos!$C$1:$C$335,$B5,Movimientos!$D$1:$D$335,$C5,Movimientos!$L$1:$L$335,A$3,Movimientos!$F$1:$F$335,"Egreso")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SUMIFS(Movimientos!$J$1:$J$335,Movimientos!$C$1:$C$335,$B5,Movimientos!$D$1:$D$335,$C5,Movimientos!$L$1:$L$335,A$4,Movimientos!$F$1:$F$335,"Ingreso")</f>
        <v>0</v>
      </c>
      <c r="P5" s="48">
        <f>SUMIFS(Movimientos!$J$1:$J$335,Movimientos!$C$1:$C$335,$B5,Movimientos!$D$1:$D$335,$C5,Movimientos!$L$1:$L$335,A$4,Movimientos!$F$1:$F$335,"Egreso")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">
        <f>H6</f>
        <v>5000</v>
      </c>
      <c r="J6" s="48">
        <f>SUMIFS(Movimientos!$J$1:$J$335,Movimientos!$C$1:$C$335,$B6,Movimientos!$D$1:$D$335,$C6,Movimientos!$L$1:$L$335,A$3,Movimientos!$F$1:$F$335,"Ingreso")</f>
        <v>0</v>
      </c>
      <c r="K6" s="48">
        <f>SUMIFS(Movimientos!$J$1:$J$335,Movimientos!$C$1:$C$335,$B6,Movimientos!$D$1:$D$335,$C6,Movimientos!$L$1:$L$335,A$3,Movimientos!$F$1:$F$335,"Egreso")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SUMIFS(Movimientos!$J$1:$J$335,Movimientos!$C$1:$C$335,$B6,Movimientos!$D$1:$D$335,$C6,Movimientos!$L$1:$L$335,A$4,Movimientos!$F$1:$F$335,"Ingreso")</f>
        <v>0</v>
      </c>
      <c r="P6" s="48">
        <f>SUMIFS(Movimientos!$J$1:$J$335,Movimientos!$C$1:$C$335,$B6,Movimientos!$D$1:$D$335,$C6,Movimientos!$L$1:$L$335,A$4,Movimientos!$F$1:$F$335,"Egreso")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">
        <f t="shared" ref="I7:I34" si="3">H7</f>
        <v>1669.89</v>
      </c>
      <c r="J7" s="48">
        <f>SUMIFS(Movimientos!$J$1:$J$335,Movimientos!$C$1:$C$335,$B7,Movimientos!$D$1:$D$335,$C7,Movimientos!$L$1:$L$335,A$3,Movimientos!$F$1:$F$335,"Ingreso")</f>
        <v>0</v>
      </c>
      <c r="K7" s="48">
        <f>SUMIFS(Movimientos!$J$1:$J$335,Movimientos!$C$1:$C$335,$B7,Movimientos!$D$1:$D$335,$C7,Movimientos!$L$1:$L$335,A$3,Movimientos!$F$1:$F$335,"Egreso")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SUMIFS(Movimientos!$J$1:$J$335,Movimientos!$C$1:$C$335,$B7,Movimientos!$D$1:$D$335,$C7,Movimientos!$L$1:$L$335,A$4,Movimientos!$F$1:$F$335,"Ingreso")</f>
        <v>0</v>
      </c>
      <c r="P7" s="48">
        <f>SUMIFS(Movimientos!$J$1:$J$335,Movimientos!$C$1:$C$335,$B7,Movimientos!$D$1:$D$335,$C7,Movimientos!$L$1:$L$335,A$4,Movimientos!$F$1:$F$335,"Egreso")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">
        <f t="shared" si="3"/>
        <v>424853.11999999965</v>
      </c>
      <c r="J8" s="48">
        <f>SUMIFS(Movimientos!$J$1:$J$335,Movimientos!$C$1:$C$335,$B8,Movimientos!$D$1:$D$335,$C8,Movimientos!$L$1:$L$335,A$3,Movimientos!$F$1:$F$335,"Ingreso")</f>
        <v>394761.57</v>
      </c>
      <c r="K8" s="48">
        <f>SUMIFS(Movimientos!$J$1:$J$335,Movimientos!$C$1:$C$335,$B8,Movimientos!$D$1:$D$335,$C8,Movimientos!$L$1:$L$335,A$3,Movimientos!$F$1:$F$335,"Egreso")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SUMIFS(Movimientos!$J$1:$J$335,Movimientos!$C$1:$C$335,$B8,Movimientos!$D$1:$D$335,$C8,Movimientos!$L$1:$L$335,A$4,Movimientos!$F$1:$F$335,"Ingreso")</f>
        <v>0</v>
      </c>
      <c r="P8" s="48">
        <f>SUMIFS(Movimientos!$J$1:$J$335,Movimientos!$C$1:$C$335,$B8,Movimientos!$D$1:$D$335,$C8,Movimientos!$L$1:$L$335,A$4,Movimientos!$F$1:$F$335,"Egreso")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">
        <f t="shared" si="3"/>
        <v>10843.21</v>
      </c>
      <c r="J9" s="48">
        <f>SUMIFS(Movimientos!$J$1:$J$335,Movimientos!$C$1:$C$335,$B9,Movimientos!$D$1:$D$335,$C9,Movimientos!$L$1:$L$335,A$3,Movimientos!$F$1:$F$335,"Ingreso")</f>
        <v>15307.88</v>
      </c>
      <c r="K9" s="48">
        <f>SUMIFS(Movimientos!$J$1:$J$335,Movimientos!$C$1:$C$335,$B9,Movimientos!$D$1:$D$335,$C9,Movimientos!$L$1:$L$335,A$3,Movimientos!$F$1:$F$335,"Egreso")</f>
        <v>11189.21</v>
      </c>
      <c r="L9" s="7">
        <f t="shared" si="0"/>
        <v>4118.67</v>
      </c>
      <c r="M9" s="12">
        <f t="shared" si="4"/>
        <v>14961.879999999997</v>
      </c>
      <c r="N9" s="5">
        <f t="shared" si="5"/>
        <v>14961.879999999997</v>
      </c>
      <c r="O9" s="48">
        <f>SUMIFS(Movimientos!$J$1:$J$335,Movimientos!$C$1:$C$335,$B9,Movimientos!$D$1:$D$335,$C9,Movimientos!$L$1:$L$335,A$4,Movimientos!$F$1:$F$335,"Ingreso")</f>
        <v>0</v>
      </c>
      <c r="P9" s="48">
        <f>SUMIFS(Movimientos!$J$1:$J$335,Movimientos!$C$1:$C$335,$B9,Movimientos!$D$1:$D$335,$C9,Movimientos!$L$1:$L$335,A$4,Movimientos!$F$1:$F$335,"Egreso")</f>
        <v>0</v>
      </c>
      <c r="Q9" s="7">
        <f t="shared" si="1"/>
        <v>0</v>
      </c>
      <c r="R9" s="12">
        <f t="shared" si="6"/>
        <v>14961.879999999997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">
        <f t="shared" si="3"/>
        <v>563</v>
      </c>
      <c r="J10" s="48">
        <f>SUMIFS(Movimientos!$J$1:$J$335,Movimientos!$C$1:$C$335,$B10,Movimientos!$D$1:$D$335,$C10,Movimientos!$L$1:$L$335,A$3,Movimientos!$F$1:$F$335,"Ingreso")</f>
        <v>0</v>
      </c>
      <c r="K10" s="48">
        <f>SUMIFS(Movimientos!$J$1:$J$335,Movimientos!$C$1:$C$335,$B10,Movimientos!$D$1:$D$335,$C10,Movimientos!$L$1:$L$335,A$3,Movimientos!$F$1:$F$335,"Egreso")</f>
        <v>29.42</v>
      </c>
      <c r="L10" s="7">
        <f t="shared" si="0"/>
        <v>-29.42</v>
      </c>
      <c r="M10" s="12">
        <f t="shared" si="4"/>
        <v>533.58000000000004</v>
      </c>
      <c r="N10" s="5">
        <f t="shared" si="5"/>
        <v>533.58000000000004</v>
      </c>
      <c r="O10" s="48">
        <f>SUMIFS(Movimientos!$J$1:$J$335,Movimientos!$C$1:$C$335,$B10,Movimientos!$D$1:$D$335,$C10,Movimientos!$L$1:$L$335,A$4,Movimientos!$F$1:$F$335,"Ingreso")</f>
        <v>0</v>
      </c>
      <c r="P10" s="48">
        <f>SUMIFS(Movimientos!$J$1:$J$335,Movimientos!$C$1:$C$335,$B10,Movimientos!$D$1:$D$335,$C10,Movimientos!$L$1:$L$335,A$4,Movimientos!$F$1:$F$335,"Egreso")</f>
        <v>0</v>
      </c>
      <c r="Q10" s="7">
        <f t="shared" si="1"/>
        <v>0</v>
      </c>
      <c r="R10" s="12">
        <f t="shared" si="6"/>
        <v>533.58000000000004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">
        <f t="shared" si="3"/>
        <v>0</v>
      </c>
      <c r="J11" s="48">
        <f>SUMIFS(Movimientos!$J$1:$J$335,Movimientos!$C$1:$C$335,$B11,Movimientos!$D$1:$D$335,$C11,Movimientos!$L$1:$L$335,A$3,Movimientos!$F$1:$F$335,"Ingreso")</f>
        <v>0</v>
      </c>
      <c r="K11" s="48">
        <f>SUMIFS(Movimientos!$J$1:$J$335,Movimientos!$C$1:$C$335,$B11,Movimientos!$D$1:$D$335,$C11,Movimientos!$L$1:$L$335,A$3,Movimientos!$F$1:$F$335,"Egreso")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SUMIFS(Movimientos!$J$1:$J$335,Movimientos!$C$1:$C$335,$B11,Movimientos!$D$1:$D$335,$C11,Movimientos!$L$1:$L$335,A$4,Movimientos!$F$1:$F$335,"Ingreso")</f>
        <v>0</v>
      </c>
      <c r="P11" s="48">
        <f>SUMIFS(Movimientos!$J$1:$J$335,Movimientos!$C$1:$C$335,$B11,Movimientos!$D$1:$D$335,$C11,Movimientos!$L$1:$L$335,A$4,Movimientos!$F$1:$F$335,"Egreso")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">
        <f t="shared" si="3"/>
        <v>244921.30999999912</v>
      </c>
      <c r="J12" s="48">
        <f>SUMIFS(Movimientos!$J$1:$J$335,Movimientos!$C$1:$C$335,$B12,Movimientos!$D$1:$D$335,$C12,Movimientos!$L$1:$L$335,A$3,Movimientos!$F$1:$F$335,"Ingreso")</f>
        <v>3120000</v>
      </c>
      <c r="K12" s="48">
        <f>SUMIFS(Movimientos!$J$1:$J$335,Movimientos!$C$1:$C$335,$B12,Movimientos!$D$1:$D$335,$C12,Movimientos!$L$1:$L$335,A$3,Movimientos!$F$1:$F$335,"Egreso")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SUMIFS(Movimientos!$J$1:$J$335,Movimientos!$C$1:$C$335,$B12,Movimientos!$D$1:$D$335,$C12,Movimientos!$L$1:$L$335,A$4,Movimientos!$F$1:$F$335,"Ingreso")</f>
        <v>0</v>
      </c>
      <c r="P12" s="48">
        <f>SUMIFS(Movimientos!$J$1:$J$335,Movimientos!$C$1:$C$335,$B12,Movimientos!$D$1:$D$335,$C12,Movimientos!$L$1:$L$335,A$4,Movimientos!$F$1:$F$335,"Egreso")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">
        <f t="shared" si="3"/>
        <v>4761.2</v>
      </c>
      <c r="J13" s="48">
        <f>SUMIFS(Movimientos!$J$1:$J$335,Movimientos!$C$1:$C$335,$B13,Movimientos!$D$1:$D$335,$C13,Movimientos!$L$1:$L$335,A$3,Movimientos!$F$1:$F$335,"Ingreso")</f>
        <v>0</v>
      </c>
      <c r="K13" s="48">
        <f>SUMIFS(Movimientos!$J$1:$J$335,Movimientos!$C$1:$C$335,$B13,Movimientos!$D$1:$D$335,$C13,Movimientos!$L$1:$L$335,A$3,Movimientos!$F$1:$F$335,"Egreso")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SUMIFS(Movimientos!$J$1:$J$335,Movimientos!$C$1:$C$335,$B13,Movimientos!$D$1:$D$335,$C13,Movimientos!$L$1:$L$335,A$4,Movimientos!$F$1:$F$335,"Ingreso")</f>
        <v>0</v>
      </c>
      <c r="P13" s="48">
        <f>SUMIFS(Movimientos!$J$1:$J$335,Movimientos!$C$1:$C$335,$B13,Movimientos!$D$1:$D$335,$C13,Movimientos!$L$1:$L$335,A$4,Movimientos!$F$1:$F$335,"Egreso")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">
        <f t="shared" si="3"/>
        <v>749812.95</v>
      </c>
      <c r="J14" s="48">
        <f>SUMIFS(Movimientos!$J$1:$J$335,Movimientos!$C$1:$C$335,$B14,Movimientos!$D$1:$D$335,$C14,Movimientos!$L$1:$L$335,A$3,Movimientos!$F$1:$F$335,"Ingreso")</f>
        <v>0</v>
      </c>
      <c r="K14" s="48">
        <f>SUMIFS(Movimientos!$J$1:$J$335,Movimientos!$C$1:$C$335,$B14,Movimientos!$D$1:$D$335,$C14,Movimientos!$L$1:$L$335,A$3,Movimientos!$F$1:$F$335,"Egreso")</f>
        <v>0</v>
      </c>
      <c r="L14" s="7">
        <f t="shared" si="0"/>
        <v>0</v>
      </c>
      <c r="M14" s="12">
        <f t="shared" si="4"/>
        <v>749812.95</v>
      </c>
      <c r="N14" s="5">
        <f t="shared" si="5"/>
        <v>749812.95</v>
      </c>
      <c r="O14" s="48">
        <f>SUMIFS(Movimientos!$J$1:$J$335,Movimientos!$C$1:$C$335,$B14,Movimientos!$D$1:$D$335,$C14,Movimientos!$L$1:$L$335,A$4,Movimientos!$F$1:$F$335,"Ingreso")</f>
        <v>0</v>
      </c>
      <c r="P14" s="48">
        <f>SUMIFS(Movimientos!$J$1:$J$335,Movimientos!$C$1:$C$335,$B14,Movimientos!$D$1:$D$335,$C14,Movimientos!$L$1:$L$335,A$4,Movimientos!$F$1:$F$335,"Egreso")</f>
        <v>0</v>
      </c>
      <c r="Q14" s="7">
        <f t="shared" si="1"/>
        <v>0</v>
      </c>
      <c r="R14" s="12">
        <f t="shared" si="6"/>
        <v>749812.95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">
        <f t="shared" si="3"/>
        <v>5000</v>
      </c>
      <c r="J15" s="48">
        <f>SUMIFS(Movimientos!$J$1:$J$335,Movimientos!$C$1:$C$335,$B15,Movimientos!$D$1:$D$335,$C15,Movimientos!$L$1:$L$335,A$3,Movimientos!$F$1:$F$335,"Ingreso")</f>
        <v>0</v>
      </c>
      <c r="K15" s="48">
        <f>SUMIFS(Movimientos!$J$1:$J$335,Movimientos!$C$1:$C$335,$B15,Movimientos!$D$1:$D$335,$C15,Movimientos!$L$1:$L$335,A$3,Movimientos!$F$1:$F$335,"Egreso")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SUMIFS(Movimientos!$J$1:$J$335,Movimientos!$C$1:$C$335,$B15,Movimientos!$D$1:$D$335,$C15,Movimientos!$L$1:$L$335,A$4,Movimientos!$F$1:$F$335,"Ingreso")</f>
        <v>0</v>
      </c>
      <c r="P15" s="48">
        <f>SUMIFS(Movimientos!$J$1:$J$335,Movimientos!$C$1:$C$335,$B15,Movimientos!$D$1:$D$335,$C15,Movimientos!$L$1:$L$335,A$4,Movimientos!$F$1:$F$335,"Egreso")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">
        <f t="shared" si="3"/>
        <v>57206.89</v>
      </c>
      <c r="J16" s="48">
        <f>SUMIFS(Movimientos!$J$1:$J$335,Movimientos!$C$1:$C$335,$B16,Movimientos!$D$1:$D$335,$C16,Movimientos!$L$1:$L$335,A$3,Movimientos!$F$1:$F$335,"Ingreso")</f>
        <v>0</v>
      </c>
      <c r="K16" s="48">
        <f>SUMIFS(Movimientos!$J$1:$J$335,Movimientos!$C$1:$C$335,$B16,Movimientos!$D$1:$D$335,$C16,Movimientos!$L$1:$L$335,A$3,Movimientos!$F$1:$F$335,"Egreso")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SUMIFS(Movimientos!$J$1:$J$335,Movimientos!$C$1:$C$335,$B16,Movimientos!$D$1:$D$335,$C16,Movimientos!$L$1:$L$335,A$4,Movimientos!$F$1:$F$335,"Ingreso")</f>
        <v>0</v>
      </c>
      <c r="P16" s="48">
        <f>SUMIFS(Movimientos!$J$1:$J$335,Movimientos!$C$1:$C$335,$B16,Movimientos!$D$1:$D$335,$C16,Movimientos!$L$1:$L$335,A$4,Movimientos!$F$1:$F$335,"Egreso")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">
        <f t="shared" si="3"/>
        <v>6365</v>
      </c>
      <c r="J17" s="48">
        <f>SUMIFS(Movimientos!$J$1:$J$335,Movimientos!$C$1:$C$335,$B17,Movimientos!$D$1:$D$335,$C17,Movimientos!$L$1:$L$335,A$3,Movimientos!$F$1:$F$335,"Ingreso")</f>
        <v>0</v>
      </c>
      <c r="K17" s="48">
        <f>SUMIFS(Movimientos!$J$1:$J$335,Movimientos!$C$1:$C$335,$B17,Movimientos!$D$1:$D$335,$C17,Movimientos!$L$1:$L$335,A$3,Movimientos!$F$1:$F$335,"Egreso")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SUMIFS(Movimientos!$J$1:$J$335,Movimientos!$C$1:$C$335,$B17,Movimientos!$D$1:$D$335,$C17,Movimientos!$L$1:$L$335,A$4,Movimientos!$F$1:$F$335,"Ingreso")</f>
        <v>0</v>
      </c>
      <c r="P17" s="48">
        <f>SUMIFS(Movimientos!$J$1:$J$335,Movimientos!$C$1:$C$335,$B17,Movimientos!$D$1:$D$335,$C17,Movimientos!$L$1:$L$335,A$4,Movimientos!$F$1:$F$335,"Egreso")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">
        <f t="shared" si="3"/>
        <v>57206.89</v>
      </c>
      <c r="J18" s="48">
        <f>SUMIFS(Movimientos!$J$1:$J$335,Movimientos!$C$1:$C$335,$B18,Movimientos!$D$1:$D$335,$C18,Movimientos!$L$1:$L$335,A$3,Movimientos!$F$1:$F$335,"Ingreso")</f>
        <v>0</v>
      </c>
      <c r="K18" s="48">
        <f>SUMIFS(Movimientos!$J$1:$J$335,Movimientos!$C$1:$C$335,$B18,Movimientos!$D$1:$D$335,$C18,Movimientos!$L$1:$L$335,A$3,Movimientos!$F$1:$F$335,"Egreso")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SUMIFS(Movimientos!$J$1:$J$335,Movimientos!$C$1:$C$335,$B18,Movimientos!$D$1:$D$335,$C18,Movimientos!$L$1:$L$335,A$4,Movimientos!$F$1:$F$335,"Ingreso")</f>
        <v>0</v>
      </c>
      <c r="P18" s="48">
        <f>SUMIFS(Movimientos!$J$1:$J$335,Movimientos!$C$1:$C$335,$B18,Movimientos!$D$1:$D$335,$C18,Movimientos!$L$1:$L$335,A$4,Movimientos!$F$1:$F$335,"Egreso")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">
        <f t="shared" si="3"/>
        <v>10717.600000000006</v>
      </c>
      <c r="J19" s="48">
        <f>SUMIFS(Movimientos!$J$1:$J$335,Movimientos!$C$1:$C$335,$B19,Movimientos!$D$1:$D$335,$C19,Movimientos!$L$1:$L$335,A$3,Movimientos!$F$1:$F$335,"Ingreso")</f>
        <v>50000</v>
      </c>
      <c r="K19" s="48">
        <f>SUMIFS(Movimientos!$J$1:$J$335,Movimientos!$C$1:$C$335,$B19,Movimientos!$D$1:$D$335,$C19,Movimientos!$L$1:$L$335,A$3,Movimientos!$F$1:$F$335,"Egreso")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SUMIFS(Movimientos!$J$1:$J$335,Movimientos!$C$1:$C$335,$B19,Movimientos!$D$1:$D$335,$C19,Movimientos!$L$1:$L$335,A$4,Movimientos!$F$1:$F$335,"Ingreso")</f>
        <v>0</v>
      </c>
      <c r="P19" s="48">
        <f>SUMIFS(Movimientos!$J$1:$J$335,Movimientos!$C$1:$C$335,$B19,Movimientos!$D$1:$D$335,$C19,Movimientos!$L$1:$L$335,A$4,Movimientos!$F$1:$F$335,"Egreso")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">
        <f t="shared" si="3"/>
        <v>88090.370000000112</v>
      </c>
      <c r="J20" s="48">
        <f>SUMIFS(Movimientos!$J$1:$J$335,Movimientos!$C$1:$C$335,$B20,Movimientos!$D$1:$D$335,$C20,Movimientos!$L$1:$L$335,A$3,Movimientos!$F$1:$F$335,"Ingreso")</f>
        <v>0</v>
      </c>
      <c r="K20" s="48">
        <f>SUMIFS(Movimientos!$J$1:$J$335,Movimientos!$C$1:$C$335,$B20,Movimientos!$D$1:$D$335,$C20,Movimientos!$L$1:$L$335,A$3,Movimientos!$F$1:$F$335,"Egreso")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SUMIFS(Movimientos!$J$1:$J$335,Movimientos!$C$1:$C$335,$B20,Movimientos!$D$1:$D$335,$C20,Movimientos!$L$1:$L$335,A$4,Movimientos!$F$1:$F$335,"Ingreso")</f>
        <v>0</v>
      </c>
      <c r="P20" s="48">
        <f>SUMIFS(Movimientos!$J$1:$J$335,Movimientos!$C$1:$C$335,$B20,Movimientos!$D$1:$D$335,$C20,Movimientos!$L$1:$L$335,A$4,Movimientos!$F$1:$F$335,"Egreso")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">
        <f t="shared" si="3"/>
        <v>1227.9699999999998</v>
      </c>
      <c r="J21" s="48">
        <f>SUMIFS(Movimientos!$J$1:$J$335,Movimientos!$C$1:$C$335,$B21,Movimientos!$D$1:$D$335,$C21,Movimientos!$L$1:$L$335,A$3,Movimientos!$F$1:$F$335,"Ingreso")</f>
        <v>0</v>
      </c>
      <c r="K21" s="48">
        <f>SUMIFS(Movimientos!$J$1:$J$335,Movimientos!$C$1:$C$335,$B21,Movimientos!$D$1:$D$335,$C21,Movimientos!$L$1:$L$335,A$3,Movimientos!$F$1:$F$335,"Egreso")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SUMIFS(Movimientos!$J$1:$J$335,Movimientos!$C$1:$C$335,$B21,Movimientos!$D$1:$D$335,$C21,Movimientos!$L$1:$L$335,A$4,Movimientos!$F$1:$F$335,"Ingreso")</f>
        <v>0</v>
      </c>
      <c r="P21" s="48">
        <f>SUMIFS(Movimientos!$J$1:$J$335,Movimientos!$C$1:$C$335,$B21,Movimientos!$D$1:$D$335,$C21,Movimientos!$L$1:$L$335,A$4,Movimientos!$F$1:$F$335,"Egreso")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">
        <f t="shared" si="3"/>
        <v>114.3</v>
      </c>
      <c r="J22" s="48">
        <f>SUMIFS(Movimientos!$J$1:$J$335,Movimientos!$C$1:$C$335,$B22,Movimientos!$D$1:$D$335,$C22,Movimientos!$L$1:$L$335,A$3,Movimientos!$F$1:$F$335,"Ingreso")</f>
        <v>0</v>
      </c>
      <c r="K22" s="48">
        <f>SUMIFS(Movimientos!$J$1:$J$335,Movimientos!$C$1:$C$335,$B22,Movimientos!$D$1:$D$335,$C22,Movimientos!$L$1:$L$335,A$3,Movimientos!$F$1:$F$335,"Egreso")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SUMIFS(Movimientos!$J$1:$J$335,Movimientos!$C$1:$C$335,$B22,Movimientos!$D$1:$D$335,$C22,Movimientos!$L$1:$L$335,A$4,Movimientos!$F$1:$F$335,"Ingreso")</f>
        <v>0</v>
      </c>
      <c r="P22" s="48">
        <f>SUMIFS(Movimientos!$J$1:$J$335,Movimientos!$C$1:$C$335,$B22,Movimientos!$D$1:$D$335,$C22,Movimientos!$L$1:$L$335,A$4,Movimientos!$F$1:$F$335,"Egreso")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">
        <f t="shared" si="3"/>
        <v>2267.7200000000003</v>
      </c>
      <c r="J23" s="48">
        <f>SUMIFS(Movimientos!$J$1:$J$335,Movimientos!$C$1:$C$335,$B23,Movimientos!$D$1:$D$335,$C23,Movimientos!$L$1:$L$335,A$3,Movimientos!$F$1:$F$335,"Ingreso")</f>
        <v>0</v>
      </c>
      <c r="K23" s="48">
        <f>SUMIFS(Movimientos!$J$1:$J$335,Movimientos!$C$1:$C$335,$B23,Movimientos!$D$1:$D$335,$C23,Movimientos!$L$1:$L$335,A$3,Movimientos!$F$1:$F$335,"Egreso")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SUMIFS(Movimientos!$J$1:$J$335,Movimientos!$C$1:$C$335,$B23,Movimientos!$D$1:$D$335,$C23,Movimientos!$L$1:$L$335,A$4,Movimientos!$F$1:$F$335,"Ingreso")</f>
        <v>0</v>
      </c>
      <c r="P23" s="48">
        <f>SUMIFS(Movimientos!$J$1:$J$335,Movimientos!$C$1:$C$335,$B23,Movimientos!$D$1:$D$335,$C23,Movimientos!$L$1:$L$335,A$4,Movimientos!$F$1:$F$335,"Egreso")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">
        <f t="shared" si="3"/>
        <v>3349.94</v>
      </c>
      <c r="J24" s="48">
        <f>SUMIFS(Movimientos!$J$1:$J$335,Movimientos!$C$1:$C$335,$B24,Movimientos!$D$1:$D$335,$C24,Movimientos!$L$1:$L$335,A$3,Movimientos!$F$1:$F$335,"Ingreso")</f>
        <v>0</v>
      </c>
      <c r="K24" s="48">
        <f>SUMIFS(Movimientos!$J$1:$J$335,Movimientos!$C$1:$C$335,$B24,Movimientos!$D$1:$D$335,$C24,Movimientos!$L$1:$L$335,A$3,Movimientos!$F$1:$F$335,"Egreso")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SUMIFS(Movimientos!$J$1:$J$335,Movimientos!$C$1:$C$335,$B24,Movimientos!$D$1:$D$335,$C24,Movimientos!$L$1:$L$335,A$4,Movimientos!$F$1:$F$335,"Ingreso")</f>
        <v>0</v>
      </c>
      <c r="P24" s="48">
        <f>SUMIFS(Movimientos!$J$1:$J$335,Movimientos!$C$1:$C$335,$B24,Movimientos!$D$1:$D$335,$C24,Movimientos!$L$1:$L$335,A$4,Movimientos!$F$1:$F$335,"Egreso")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">
        <f t="shared" si="3"/>
        <v>1968.99</v>
      </c>
      <c r="J25" s="48">
        <f>SUMIFS(Movimientos!$J$1:$J$335,Movimientos!$C$1:$C$335,$B25,Movimientos!$D$1:$D$335,$C25,Movimientos!$L$1:$L$335,A$3,Movimientos!$F$1:$F$335,"Ingreso")</f>
        <v>0</v>
      </c>
      <c r="K25" s="48">
        <f>SUMIFS(Movimientos!$J$1:$J$335,Movimientos!$C$1:$C$335,$B25,Movimientos!$D$1:$D$335,$C25,Movimientos!$L$1:$L$335,A$3,Movimientos!$F$1:$F$335,"Egreso")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SUMIFS(Movimientos!$J$1:$J$335,Movimientos!$C$1:$C$335,$B25,Movimientos!$D$1:$D$335,$C25,Movimientos!$L$1:$L$335,A$4,Movimientos!$F$1:$F$335,"Ingreso")</f>
        <v>0</v>
      </c>
      <c r="P25" s="48">
        <f>SUMIFS(Movimientos!$J$1:$J$335,Movimientos!$C$1:$C$335,$B25,Movimientos!$D$1:$D$335,$C25,Movimientos!$L$1:$L$335,A$4,Movimientos!$F$1:$F$335,"Egreso")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">
        <f t="shared" si="3"/>
        <v>0</v>
      </c>
      <c r="J26" s="48">
        <f>SUMIFS(Movimientos!$J$1:$J$335,Movimientos!$C$1:$C$335,$B26,Movimientos!$D$1:$D$335,$C26,Movimientos!$L$1:$L$335,A$3,Movimientos!$F$1:$F$335,"Ingreso")</f>
        <v>0</v>
      </c>
      <c r="K26" s="48">
        <f>SUMIFS(Movimientos!$J$1:$J$335,Movimientos!$C$1:$C$335,$B26,Movimientos!$D$1:$D$335,$C26,Movimientos!$L$1:$L$335,A$3,Movimientos!$F$1:$F$335,"Egreso")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SUMIFS(Movimientos!$J$1:$J$335,Movimientos!$C$1:$C$335,$B26,Movimientos!$D$1:$D$335,$C26,Movimientos!$L$1:$L$335,A$4,Movimientos!$F$1:$F$335,"Ingreso")</f>
        <v>0</v>
      </c>
      <c r="P26" s="48">
        <f>SUMIFS(Movimientos!$J$1:$J$335,Movimientos!$C$1:$C$335,$B26,Movimientos!$D$1:$D$335,$C26,Movimientos!$L$1:$L$335,A$4,Movimientos!$F$1:$F$335,"Egreso")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">
        <f t="shared" si="3"/>
        <v>901.34</v>
      </c>
      <c r="J27" s="48">
        <f>SUMIFS(Movimientos!$J$1:$J$335,Movimientos!$C$1:$C$335,$B27,Movimientos!$D$1:$D$335,$C27,Movimientos!$L$1:$L$335,A$3,Movimientos!$F$1:$F$335,"Ingreso")</f>
        <v>0</v>
      </c>
      <c r="K27" s="48">
        <f>SUMIFS(Movimientos!$J$1:$J$335,Movimientos!$C$1:$C$335,$B27,Movimientos!$D$1:$D$335,$C27,Movimientos!$L$1:$L$335,A$3,Movimientos!$F$1:$F$335,"Egreso")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SUMIFS(Movimientos!$J$1:$J$335,Movimientos!$C$1:$C$335,$B27,Movimientos!$D$1:$D$335,$C27,Movimientos!$L$1:$L$335,A$4,Movimientos!$F$1:$F$335,"Ingreso")</f>
        <v>0</v>
      </c>
      <c r="P27" s="48">
        <f>SUMIFS(Movimientos!$J$1:$J$335,Movimientos!$C$1:$C$335,$B27,Movimientos!$D$1:$D$335,$C27,Movimientos!$L$1:$L$335,A$4,Movimientos!$F$1:$F$335,"Egreso")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">
        <f t="shared" si="3"/>
        <v>1444.08</v>
      </c>
      <c r="J28" s="48">
        <f>SUMIFS(Movimientos!$J$1:$J$335,Movimientos!$C$1:$C$335,$B28,Movimientos!$D$1:$D$335,$C28,Movimientos!$L$1:$L$335,A$3,Movimientos!$F$1:$F$335,"Ingreso")</f>
        <v>0</v>
      </c>
      <c r="K28" s="48">
        <f>SUMIFS(Movimientos!$J$1:$J$335,Movimientos!$C$1:$C$335,$B28,Movimientos!$D$1:$D$335,$C28,Movimientos!$L$1:$L$335,A$3,Movimientos!$F$1:$F$335,"Egreso")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SUMIFS(Movimientos!$J$1:$J$335,Movimientos!$C$1:$C$335,$B28,Movimientos!$D$1:$D$335,$C28,Movimientos!$L$1:$L$335,A$4,Movimientos!$F$1:$F$335,"Ingreso")</f>
        <v>0</v>
      </c>
      <c r="P28" s="48">
        <f>SUMIFS(Movimientos!$J$1:$J$335,Movimientos!$C$1:$C$335,$B28,Movimientos!$D$1:$D$335,$C28,Movimientos!$L$1:$L$335,A$4,Movimientos!$F$1:$F$335,"Egreso")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">
        <f t="shared" si="3"/>
        <v>35108.179999999964</v>
      </c>
      <c r="J29" s="48">
        <f>SUMIFS(Movimientos!$J$1:$J$335,Movimientos!$C$1:$C$335,$B29,Movimientos!$D$1:$D$335,$C29,Movimientos!$L$1:$L$335,A$3,Movimientos!$F$1:$F$335,"Ingreso")</f>
        <v>4000</v>
      </c>
      <c r="K29" s="48">
        <f>SUMIFS(Movimientos!$J$1:$J$335,Movimientos!$C$1:$C$335,$B29,Movimientos!$D$1:$D$335,$C29,Movimientos!$L$1:$L$335,A$3,Movimientos!$F$1:$F$335,"Egreso")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SUMIFS(Movimientos!$J$1:$J$335,Movimientos!$C$1:$C$335,$B29,Movimientos!$D$1:$D$335,$C29,Movimientos!$L$1:$L$335,A$4,Movimientos!$F$1:$F$335,"Ingreso")</f>
        <v>0</v>
      </c>
      <c r="P29" s="48">
        <f>SUMIFS(Movimientos!$J$1:$J$335,Movimientos!$C$1:$C$335,$B29,Movimientos!$D$1:$D$335,$C29,Movimientos!$L$1:$L$335,A$4,Movimientos!$F$1:$F$335,"Egreso")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">
        <f t="shared" si="3"/>
        <v>340.42</v>
      </c>
      <c r="J30" s="48">
        <f>SUMIFS(Movimientos!$J$1:$J$335,Movimientos!$C$1:$C$335,$B30,Movimientos!$D$1:$D$335,$C30,Movimientos!$L$1:$L$335,A$3,Movimientos!$F$1:$F$335,"Ingreso")</f>
        <v>0</v>
      </c>
      <c r="K30" s="48">
        <f>SUMIFS(Movimientos!$J$1:$J$335,Movimientos!$C$1:$C$335,$B30,Movimientos!$D$1:$D$335,$C30,Movimientos!$L$1:$L$335,A$3,Movimientos!$F$1:$F$335,"Egreso")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SUMIFS(Movimientos!$J$1:$J$335,Movimientos!$C$1:$C$335,$B30,Movimientos!$D$1:$D$335,$C30,Movimientos!$L$1:$L$335,A$4,Movimientos!$F$1:$F$335,"Ingreso")</f>
        <v>0</v>
      </c>
      <c r="P30" s="48">
        <f>SUMIFS(Movimientos!$J$1:$J$335,Movimientos!$C$1:$C$335,$B30,Movimientos!$D$1:$D$335,$C30,Movimientos!$L$1:$L$335,A$4,Movimientos!$F$1:$F$335,"Egreso")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">
        <f t="shared" si="3"/>
        <v>15120.060000000001</v>
      </c>
      <c r="J31" s="48">
        <f>SUMIFS(Movimientos!$J$1:$J$335,Movimientos!$C$1:$C$335,$B31,Movimientos!$D$1:$D$335,$C31,Movimientos!$L$1:$L$335,A$3,Movimientos!$F$1:$F$335,"Ingreso")</f>
        <v>0</v>
      </c>
      <c r="K31" s="48">
        <f>SUMIFS(Movimientos!$J$1:$J$335,Movimientos!$C$1:$C$335,$B31,Movimientos!$D$1:$D$335,$C31,Movimientos!$L$1:$L$335,A$3,Movimientos!$F$1:$F$335,"Egreso")</f>
        <v>9798.6299999999992</v>
      </c>
      <c r="L31" s="7">
        <f t="shared" si="0"/>
        <v>-9798.6299999999992</v>
      </c>
      <c r="M31" s="12">
        <f t="shared" si="4"/>
        <v>5321.4300000000021</v>
      </c>
      <c r="N31" s="5">
        <f t="shared" si="5"/>
        <v>5321.4300000000021</v>
      </c>
      <c r="O31" s="48">
        <f>SUMIFS(Movimientos!$J$1:$J$335,Movimientos!$C$1:$C$335,$B31,Movimientos!$D$1:$D$335,$C31,Movimientos!$L$1:$L$335,A$4,Movimientos!$F$1:$F$335,"Ingreso")</f>
        <v>0</v>
      </c>
      <c r="P31" s="48">
        <f>SUMIFS(Movimientos!$J$1:$J$335,Movimientos!$C$1:$C$335,$B31,Movimientos!$D$1:$D$335,$C31,Movimientos!$L$1:$L$335,A$4,Movimientos!$F$1:$F$335,"Egreso")</f>
        <v>0</v>
      </c>
      <c r="Q31" s="7">
        <f t="shared" si="1"/>
        <v>0</v>
      </c>
      <c r="R31" s="12">
        <f t="shared" si="6"/>
        <v>5321.4300000000021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">
        <f t="shared" si="3"/>
        <v>33606.269999999997</v>
      </c>
      <c r="J32" s="48">
        <f>SUMIFS(Movimientos!$J$1:$J$335,Movimientos!$C$1:$C$335,$B32,Movimientos!$D$1:$D$335,$C32,Movimientos!$L$1:$L$335,A$3,Movimientos!$F$1:$F$335,"Ingreso")</f>
        <v>0</v>
      </c>
      <c r="K32" s="48">
        <f>SUMIFS(Movimientos!$J$1:$J$335,Movimientos!$C$1:$C$335,$B32,Movimientos!$D$1:$D$335,$C32,Movimientos!$L$1:$L$335,A$3,Movimientos!$F$1:$F$335,"Egreso")</f>
        <v>9121.42</v>
      </c>
      <c r="L32" s="7">
        <f t="shared" si="0"/>
        <v>-9121.42</v>
      </c>
      <c r="M32" s="12">
        <f t="shared" si="4"/>
        <v>24484.85</v>
      </c>
      <c r="N32" s="5">
        <f t="shared" si="5"/>
        <v>24484.85</v>
      </c>
      <c r="O32" s="48">
        <f>SUMIFS(Movimientos!$J$1:$J$335,Movimientos!$C$1:$C$335,$B32,Movimientos!$D$1:$D$335,$C32,Movimientos!$L$1:$L$335,A$4,Movimientos!$F$1:$F$335,"Ingreso")</f>
        <v>0</v>
      </c>
      <c r="P32" s="48">
        <f>SUMIFS(Movimientos!$J$1:$J$335,Movimientos!$C$1:$C$335,$B32,Movimientos!$D$1:$D$335,$C32,Movimientos!$L$1:$L$335,A$4,Movimientos!$F$1:$F$335,"Egreso")</f>
        <v>0</v>
      </c>
      <c r="Q32" s="7">
        <f t="shared" si="1"/>
        <v>0</v>
      </c>
      <c r="R32" s="12">
        <f t="shared" si="6"/>
        <v>24484.85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">
        <f t="shared" si="3"/>
        <v>345</v>
      </c>
      <c r="J33" s="48">
        <f>SUMIFS(Movimientos!$J$1:$J$335,Movimientos!$C$1:$C$335,$B33,Movimientos!$D$1:$D$335,$C33,Movimientos!$L$1:$L$335,A$3,Movimientos!$F$1:$F$335,"Ingreso")</f>
        <v>59000</v>
      </c>
      <c r="K33" s="48">
        <f>SUMIFS(Movimientos!$J$1:$J$335,Movimientos!$C$1:$C$335,$B33,Movimientos!$D$1:$D$335,$C33,Movimientos!$L$1:$L$335,A$3,Movimientos!$F$1:$F$335,"Egreso")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SUMIFS(Movimientos!$J$1:$J$335,Movimientos!$C$1:$C$335,$B33,Movimientos!$D$1:$D$335,$C33,Movimientos!$L$1:$L$335,A$4,Movimientos!$F$1:$F$335,"Ingreso")</f>
        <v>0</v>
      </c>
      <c r="P33" s="48">
        <f>SUMIFS(Movimientos!$J$1:$J$335,Movimientos!$C$1:$C$335,$B33,Movimientos!$D$1:$D$335,$C33,Movimientos!$L$1:$L$335,A$4,Movimientos!$F$1:$F$335,"Egreso")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">
        <f t="shared" si="3"/>
        <v>9076.2399999999907</v>
      </c>
      <c r="J34" s="48">
        <f>SUMIFS(Movimientos!$J$1:$J$335,Movimientos!$C$1:$C$335,$B34,Movimientos!$D$1:$D$335,$C34,Movimientos!$L$1:$L$335,A$3,Movimientos!$F$1:$F$335,"Ingreso")</f>
        <v>59000</v>
      </c>
      <c r="K34" s="48">
        <f>SUMIFS(Movimientos!$J$1:$J$335,Movimientos!$C$1:$C$335,$B34,Movimientos!$D$1:$D$335,$C34,Movimientos!$L$1:$L$335,A$3,Movimientos!$F$1:$F$335,"Egreso")</f>
        <v>22557.23</v>
      </c>
      <c r="L34" s="7">
        <f t="shared" si="0"/>
        <v>36442.770000000004</v>
      </c>
      <c r="M34" s="12">
        <f t="shared" si="4"/>
        <v>45519.009999999995</v>
      </c>
      <c r="N34" s="5">
        <f t="shared" si="5"/>
        <v>45519.009999999995</v>
      </c>
      <c r="O34" s="48">
        <f>SUMIFS(Movimientos!$J$1:$J$335,Movimientos!$C$1:$C$335,$B34,Movimientos!$D$1:$D$335,$C34,Movimientos!$L$1:$L$335,A$4,Movimientos!$F$1:$F$335,"Ingreso")</f>
        <v>0</v>
      </c>
      <c r="P34" s="48">
        <f>SUMIFS(Movimientos!$J$1:$J$335,Movimientos!$C$1:$C$335,$B34,Movimientos!$D$1:$D$335,$C34,Movimientos!$L$1:$L$335,A$4,Movimientos!$F$1:$F$335,"Egreso")</f>
        <v>0</v>
      </c>
      <c r="Q34" s="7">
        <f t="shared" si="1"/>
        <v>0</v>
      </c>
      <c r="R34" s="12">
        <f t="shared" si="6"/>
        <v>45519.009999999995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P51" sqref="P5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Group")+SUMIFS(Movimientos!$K$1:$K$335,Movimientos!$C$1:$C$335,"CFT Group",Movimientos!$B$1:$B$335,"&lt;="&amp;$B33)</f>
        <v>983394.14000000013</v>
      </c>
      <c r="D33" s="24">
        <f>SUMIFS('Saldos Iniciales'!$D:$D,'Saldos Iniciales'!$A:$A,"M1B")+SUMIFS(Movimientos!$K$1:$K$335,Movimientos!$C$1:$C$335,"M1B",Movimientos!$B$1:$B$335,"&lt;="&amp;$B33)</f>
        <v>69376.390000000174</v>
      </c>
      <c r="E33" s="24">
        <f>SUMIFS('Saldos Iniciales'!$D:$D,'Saldos Iniciales'!$A:$A,"Durand")+SUMIFS(Movimientos!$K$1:$K$335,Movimientos!$C$1:$C$335,"Durand",Movimientos!$B$1:$B$335,"&lt;="&amp;$B33)</f>
        <v>1669.89</v>
      </c>
      <c r="F33" s="24">
        <f>SUMIFS('Saldos Iniciales'!$D:$D,'Saldos Iniciales'!$A:$A,"A&amp;M Imports")+SUMIFS(Movimientos!$K$1:$K$335,Movimientos!$C$1:$C$335,"A&amp;M Imports",Movimientos!$B$1:$B$335,"&lt;="&amp;$B33)</f>
        <v>804853.11999999988</v>
      </c>
      <c r="G33" s="24">
        <f>SUMIFS('Saldos Iniciales'!$D:$D,'Saldos Iniciales'!$A:$A,"SSP Capital")+SUMIFS(Movimientos!$K$1:$K$335,Movimientos!$C$1:$C$335,"SSP Capital",Movimientos!$B$1:$B$335,"&lt;="&amp;$B33)</f>
        <v>1015901.6699999992</v>
      </c>
      <c r="H33" s="24">
        <f>SUMIFS('Saldos Iniciales'!$D:$D,'Saldos Iniciales'!$A:$A,"Cross Family Trust")+SUMIFS(Movimientos!$K$1:$K$335,Movimientos!$C$1:$C$335,"Cross Family Trust",Movimientos!$B$1:$B$335,"&lt;="&amp;$B33)</f>
        <v>131496.38</v>
      </c>
      <c r="I33" s="24">
        <f>SUMIFS('Saldos Iniciales'!$D:$D,'Saldos Iniciales'!$A:$A,"Cross Security Trust")+SUMIFS(Movimientos!$K$1:$K$335,Movimientos!$C$1:$C$335,"Cross Security Trust",Movimientos!$B$1:$B$335,"&lt;="&amp;$B33)</f>
        <v>88090.37</v>
      </c>
      <c r="J33" s="24">
        <f>SUMIFS('Saldos Iniciales'!$D:$D,'Saldos Iniciales'!$A:$A,"Electrama")+SUMIFS(Movimientos!$K$1:$K$335,Movimientos!$C$1:$C$335,"Electrama",Movimientos!$B$1:$B$335,"&lt;="&amp;$B33)</f>
        <v>1227.9699999999998</v>
      </c>
      <c r="K33" s="24">
        <f>SUMIFS('Saldos Iniciales'!$D:$D,'Saldos Iniciales'!$A:$A,"Sacred Valley Capital")+SUMIFS(Movimientos!$K$1:$K$335,Movimientos!$C$1:$C$335,"Sacred Valley Capital",Movimientos!$B$1:$B$335,"&lt;="&amp;$B33)</f>
        <v>84.35</v>
      </c>
      <c r="L33" s="24">
        <f>SUMIFS('Saldos Iniciales'!$D:$D,'Saldos Iniciales'!$A:$A,"YWC Capital")+SUMIFS(Movimientos!$K$1:$K$335,Movimientos!$C$1:$C$335,"YWC Capital",Movimientos!$B$1:$B$335,"&lt;="&amp;$B33)</f>
        <v>2237.77</v>
      </c>
      <c r="M33" s="24">
        <f>SUMIFS('Saldos Iniciales'!$D:$D,'Saldos Iniciales'!$A:$A,"Soweto")+SUMIFS(Movimientos!$K$1:$K$335,Movimientos!$C$1:$C$335,"Soweto",Movimientos!$B$1:$B$335,"&lt;="&amp;$B33)</f>
        <v>3349.94</v>
      </c>
      <c r="N33" s="24">
        <f>SUMIFS('Saldos Iniciales'!$D:$D,'Saldos Iniciales'!$A:$A,"Green Stone Trust")+SUMIFS(Movimientos!$K$1:$K$335,Movimientos!$C$1:$C$335,"Green Stone Trust",Movimientos!$B$1:$B$335,"&lt;="&amp;$B33)</f>
        <v>1968.99</v>
      </c>
      <c r="O33" s="24">
        <f>SUMIFS('Saldos Iniciales'!$D:$D,'Saldos Iniciales'!$A:$A,"EC Auto")+SUMIFS(Movimientos!$K$1:$K$335,Movimientos!$C$1:$C$335,"EC Auto",Movimientos!$B$1:$B$335,"&lt;="&amp;$B33)</f>
        <v>901.34</v>
      </c>
      <c r="P33" s="24">
        <f>SUMIFS('Saldos Iniciales'!$D:$D,'Saldos Iniciales'!$A:$A,"Arbor Capital Properties")+SUMIFS(Movimientos!$K$1:$K$335,Movimientos!$C$1:$C$335,"Arbor Capital Properties",Movimientos!$B$1:$B$335,"&lt;="&amp;$B33)</f>
        <v>1428.08</v>
      </c>
      <c r="Q33" s="24">
        <f>SUMIFS('Saldos Iniciales'!$D:$D,'Saldos Iniciales'!$A:$A,"2515 Overbrook")+SUMIFS(Movimientos!$K$1:$K$335,Movimientos!$C$1:$C$335,"2515 Overbrook",Movimientos!$B$1:$B$335,"&lt;="&amp;$B33)</f>
        <v>26416.26999999996</v>
      </c>
      <c r="R33" s="24">
        <f>SUMIFS('Saldos Iniciales'!$D:$D,'Saldos Iniciales'!$A:$A,"112 Florida Ave")+SUMIFS(Movimientos!$K$1:$K$335,Movimientos!$C$1:$C$335,"112 Florida Ave",Movimientos!$B$1:$B$335,"&lt;="&amp;$B33)</f>
        <v>5321.4300000000021</v>
      </c>
      <c r="S33" s="24">
        <f>SUMIFS('Saldos Iniciales'!$D:$D,'Saldos Iniciales'!$A:$A,"3628 Thomas Ave")+SUMIFS(Movimientos!$K$1:$K$335,Movimientos!$C$1:$C$335,"3628 Thomas Ave",Movimientos!$B$1:$B$335,"&lt;="&amp;$B33)</f>
        <v>24833.23</v>
      </c>
      <c r="T33" s="24">
        <f>SUMIFS('Saldos Iniciales'!$D:$D,'Saldos Iniciales'!$A:$A,"Green Harbor Trust")+SUMIFS(Movimientos!$K$1:$K$335,Movimientos!$C$1:$C$335,"Green Harbor Trust",Movimientos!$B$1:$B$335,"&lt;="&amp;$B33)</f>
        <v>345</v>
      </c>
      <c r="U33" s="24">
        <f>SUMIFS('Saldos Iniciales'!$D:$D,'Saldos Iniciales'!$A:$A,"Go Blue")+SUMIFS(Movimientos!$K$1:$K$335,Movimientos!$C$1:$C$335,"Go Blue",Movimientos!$B$1:$B$335,"&lt;="&amp;$B33)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Group")+SUMIFS(Movimientos!$K$1:$K$335,Movimientos!$C$1:$C$335,"CFT Group",Movimientos!$B$1:$B$335,"&lt;="&amp;$B34)</f>
        <v>983394.14000000013</v>
      </c>
      <c r="D34" s="24">
        <f>SUMIFS('Saldos Iniciales'!$D:$D,'Saldos Iniciales'!$A:$A,"M1B")+SUMIFS(Movimientos!$K$1:$K$335,Movimientos!$C$1:$C$335,"M1B",Movimientos!$B$1:$B$335,"&lt;="&amp;$B34)</f>
        <v>69376.390000000174</v>
      </c>
      <c r="E34" s="24">
        <f>SUMIFS('Saldos Iniciales'!$D:$D,'Saldos Iniciales'!$A:$A,"Durand")+SUMIFS(Movimientos!$K$1:$K$335,Movimientos!$C$1:$C$335,"Durand",Movimientos!$B$1:$B$335,"&lt;="&amp;$B34)</f>
        <v>1669.89</v>
      </c>
      <c r="F34" s="24">
        <f>SUMIFS('Saldos Iniciales'!$D:$D,'Saldos Iniciales'!$A:$A,"A&amp;M Imports")+SUMIFS(Movimientos!$K$1:$K$335,Movimientos!$C$1:$C$335,"A&amp;M Imports",Movimientos!$B$1:$B$335,"&lt;="&amp;$B34)</f>
        <v>804853.11999999988</v>
      </c>
      <c r="G34" s="24">
        <f>SUMIFS('Saldos Iniciales'!$D:$D,'Saldos Iniciales'!$A:$A,"SSP Capital")+SUMIFS(Movimientos!$K$1:$K$335,Movimientos!$C$1:$C$335,"SSP Capital",Movimientos!$B$1:$B$335,"&lt;="&amp;$B34)</f>
        <v>1015901.6699999992</v>
      </c>
      <c r="H34" s="24">
        <f>SUMIFS('Saldos Iniciales'!$D:$D,'Saldos Iniciales'!$A:$A,"Cross Family Trust")+SUMIFS(Movimientos!$K$1:$K$335,Movimientos!$C$1:$C$335,"Cross Family Trust",Movimientos!$B$1:$B$335,"&lt;="&amp;$B34)</f>
        <v>131496.38</v>
      </c>
      <c r="I34" s="24">
        <f>SUMIFS('Saldos Iniciales'!$D:$D,'Saldos Iniciales'!$A:$A,"Cross Security Trust")+SUMIFS(Movimientos!$K$1:$K$335,Movimientos!$C$1:$C$335,"Cross Security Trust",Movimientos!$B$1:$B$335,"&lt;="&amp;$B34)</f>
        <v>88090.37</v>
      </c>
      <c r="J34" s="24">
        <f>SUMIFS('Saldos Iniciales'!$D:$D,'Saldos Iniciales'!$A:$A,"Electrama")+SUMIFS(Movimientos!$K$1:$K$335,Movimientos!$C$1:$C$335,"Electrama",Movimientos!$B$1:$B$335,"&lt;="&amp;$B34)</f>
        <v>1227.9699999999998</v>
      </c>
      <c r="K34" s="24">
        <f>SUMIFS('Saldos Iniciales'!$D:$D,'Saldos Iniciales'!$A:$A,"Sacred Valley Capital")+SUMIFS(Movimientos!$K$1:$K$335,Movimientos!$C$1:$C$335,"Sacred Valley Capital",Movimientos!$B$1:$B$335,"&lt;="&amp;$B34)</f>
        <v>84.35</v>
      </c>
      <c r="L34" s="24">
        <f>SUMIFS('Saldos Iniciales'!$D:$D,'Saldos Iniciales'!$A:$A,"YWC Capital")+SUMIFS(Movimientos!$K$1:$K$335,Movimientos!$C$1:$C$335,"YWC Capital",Movimientos!$B$1:$B$335,"&lt;="&amp;$B34)</f>
        <v>2237.77</v>
      </c>
      <c r="M34" s="24">
        <f>SUMIFS('Saldos Iniciales'!$D:$D,'Saldos Iniciales'!$A:$A,"Soweto")+SUMIFS(Movimientos!$K$1:$K$335,Movimientos!$C$1:$C$335,"Soweto",Movimientos!$B$1:$B$335,"&lt;="&amp;$B34)</f>
        <v>3349.94</v>
      </c>
      <c r="N34" s="24">
        <f>SUMIFS('Saldos Iniciales'!$D:$D,'Saldos Iniciales'!$A:$A,"Green Stone Trust")+SUMIFS(Movimientos!$K$1:$K$335,Movimientos!$C$1:$C$335,"Green Stone Trust",Movimientos!$B$1:$B$335,"&lt;="&amp;$B34)</f>
        <v>1968.99</v>
      </c>
      <c r="O34" s="24">
        <f>SUMIFS('Saldos Iniciales'!$D:$D,'Saldos Iniciales'!$A:$A,"EC Auto")+SUMIFS(Movimientos!$K$1:$K$335,Movimientos!$C$1:$C$335,"EC Auto",Movimientos!$B$1:$B$335,"&lt;="&amp;$B34)</f>
        <v>901.34</v>
      </c>
      <c r="P34" s="24">
        <f>SUMIFS('Saldos Iniciales'!$D:$D,'Saldos Iniciales'!$A:$A,"Arbor Capital Properties")+SUMIFS(Movimientos!$K$1:$K$335,Movimientos!$C$1:$C$335,"Arbor Capital Properties",Movimientos!$B$1:$B$335,"&lt;="&amp;$B34)</f>
        <v>1428.08</v>
      </c>
      <c r="Q34" s="24">
        <f>SUMIFS('Saldos Iniciales'!$D:$D,'Saldos Iniciales'!$A:$A,"2515 Overbrook")+SUMIFS(Movimientos!$K$1:$K$335,Movimientos!$C$1:$C$335,"2515 Overbrook",Movimientos!$B$1:$B$335,"&lt;="&amp;$B34)</f>
        <v>25789.969999999961</v>
      </c>
      <c r="R34" s="24">
        <f>SUMIFS('Saldos Iniciales'!$D:$D,'Saldos Iniciales'!$A:$A,"112 Florida Ave")+SUMIFS(Movimientos!$K$1:$K$335,Movimientos!$C$1:$C$335,"112 Florida Ave",Movimientos!$B$1:$B$335,"&lt;="&amp;$B34)</f>
        <v>5321.4300000000021</v>
      </c>
      <c r="S34" s="24">
        <f>SUMIFS('Saldos Iniciales'!$D:$D,'Saldos Iniciales'!$A:$A,"3628 Thomas Ave")+SUMIFS(Movimientos!$K$1:$K$335,Movimientos!$C$1:$C$335,"3628 Thomas Ave",Movimientos!$B$1:$B$335,"&lt;="&amp;$B34)</f>
        <v>24833.23</v>
      </c>
      <c r="T34" s="24">
        <f>SUMIFS('Saldos Iniciales'!$D:$D,'Saldos Iniciales'!$A:$A,"Green Harbor Trust")+SUMIFS(Movimientos!$K$1:$K$335,Movimientos!$C$1:$C$335,"Green Harbor Trust",Movimientos!$B$1:$B$335,"&lt;="&amp;$B34)</f>
        <v>345</v>
      </c>
      <c r="U34" s="24">
        <f>SUMIFS('Saldos Iniciales'!$D:$D,'Saldos Iniciales'!$A:$A,"Go Blue")+SUMIFS(Movimientos!$K$1:$K$335,Movimientos!$C$1:$C$335,"Go Blue",Movimientos!$B$1:$B$335,"&lt;="&amp;$B34)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Group")+SUMIFS(Movimientos!$K$1:$K$335,Movimientos!$C$1:$C$335,"CFT Group",Movimientos!$B$1:$B$335,"&lt;="&amp;$B35)</f>
        <v>983394.14000000013</v>
      </c>
      <c r="D35" s="24">
        <f>SUMIFS('Saldos Iniciales'!$D:$D,'Saldos Iniciales'!$A:$A,"M1B")+SUMIFS(Movimientos!$K$1:$K$335,Movimientos!$C$1:$C$335,"M1B",Movimientos!$B$1:$B$335,"&lt;="&amp;$B35)</f>
        <v>69376.390000000174</v>
      </c>
      <c r="E35" s="24">
        <f>SUMIFS('Saldos Iniciales'!$D:$D,'Saldos Iniciales'!$A:$A,"Durand")+SUMIFS(Movimientos!$K$1:$K$335,Movimientos!$C$1:$C$335,"Durand",Movimientos!$B$1:$B$335,"&lt;="&amp;$B35)</f>
        <v>1669.89</v>
      </c>
      <c r="F35" s="24">
        <f>SUMIFS('Saldos Iniciales'!$D:$D,'Saldos Iniciales'!$A:$A,"A&amp;M Imports")+SUMIFS(Movimientos!$K$1:$K$335,Movimientos!$C$1:$C$335,"A&amp;M Imports",Movimientos!$B$1:$B$335,"&lt;="&amp;$B35)</f>
        <v>804853.11999999988</v>
      </c>
      <c r="G35" s="24">
        <f>SUMIFS('Saldos Iniciales'!$D:$D,'Saldos Iniciales'!$A:$A,"SSP Capital")+SUMIFS(Movimientos!$K$1:$K$335,Movimientos!$C$1:$C$335,"SSP Capital",Movimientos!$B$1:$B$335,"&lt;="&amp;$B35)</f>
        <v>1015611.6599999993</v>
      </c>
      <c r="H35" s="24">
        <f>SUMIFS('Saldos Iniciales'!$D:$D,'Saldos Iniciales'!$A:$A,"Cross Family Trust")+SUMIFS(Movimientos!$K$1:$K$335,Movimientos!$C$1:$C$335,"Cross Family Trust",Movimientos!$B$1:$B$335,"&lt;="&amp;$B35)</f>
        <v>125496.38</v>
      </c>
      <c r="I35" s="24">
        <f>SUMIFS('Saldos Iniciales'!$D:$D,'Saldos Iniciales'!$A:$A,"Cross Security Trust")+SUMIFS(Movimientos!$K$1:$K$335,Movimientos!$C$1:$C$335,"Cross Security Trust",Movimientos!$B$1:$B$335,"&lt;="&amp;$B35)</f>
        <v>88090.37</v>
      </c>
      <c r="J35" s="24">
        <f>SUMIFS('Saldos Iniciales'!$D:$D,'Saldos Iniciales'!$A:$A,"Electrama")+SUMIFS(Movimientos!$K$1:$K$335,Movimientos!$C$1:$C$335,"Electrama",Movimientos!$B$1:$B$335,"&lt;="&amp;$B35)</f>
        <v>1227.9699999999998</v>
      </c>
      <c r="K35" s="24">
        <f>SUMIFS('Saldos Iniciales'!$D:$D,'Saldos Iniciales'!$A:$A,"Sacred Valley Capital")+SUMIFS(Movimientos!$K$1:$K$335,Movimientos!$C$1:$C$335,"Sacred Valley Capital",Movimientos!$B$1:$B$335,"&lt;="&amp;$B35)</f>
        <v>84.35</v>
      </c>
      <c r="L35" s="24">
        <f>SUMIFS('Saldos Iniciales'!$D:$D,'Saldos Iniciales'!$A:$A,"YWC Capital")+SUMIFS(Movimientos!$K$1:$K$335,Movimientos!$C$1:$C$335,"YWC Capital",Movimientos!$B$1:$B$335,"&lt;="&amp;$B35)</f>
        <v>2237.77</v>
      </c>
      <c r="M35" s="24">
        <f>SUMIFS('Saldos Iniciales'!$D:$D,'Saldos Iniciales'!$A:$A,"Soweto")+SUMIFS(Movimientos!$K$1:$K$335,Movimientos!$C$1:$C$335,"Soweto",Movimientos!$B$1:$B$335,"&lt;="&amp;$B35)</f>
        <v>3349.94</v>
      </c>
      <c r="N35" s="24">
        <f>SUMIFS('Saldos Iniciales'!$D:$D,'Saldos Iniciales'!$A:$A,"Green Stone Trust")+SUMIFS(Movimientos!$K$1:$K$335,Movimientos!$C$1:$C$335,"Green Stone Trust",Movimientos!$B$1:$B$335,"&lt;="&amp;$B35)</f>
        <v>1968.99</v>
      </c>
      <c r="O35" s="24">
        <f>SUMIFS('Saldos Iniciales'!$D:$D,'Saldos Iniciales'!$A:$A,"EC Auto")+SUMIFS(Movimientos!$K$1:$K$335,Movimientos!$C$1:$C$335,"EC Auto",Movimientos!$B$1:$B$335,"&lt;="&amp;$B35)</f>
        <v>901.34</v>
      </c>
      <c r="P35" s="24">
        <f>SUMIFS('Saldos Iniciales'!$D:$D,'Saldos Iniciales'!$A:$A,"Arbor Capital Properties")+SUMIFS(Movimientos!$K$1:$K$335,Movimientos!$C$1:$C$335,"Arbor Capital Properties",Movimientos!$B$1:$B$335,"&lt;="&amp;$B35)</f>
        <v>1428.08</v>
      </c>
      <c r="Q35" s="24">
        <f>SUMIFS('Saldos Iniciales'!$D:$D,'Saldos Iniciales'!$A:$A,"2515 Overbrook")+SUMIFS(Movimientos!$K$1:$K$335,Movimientos!$C$1:$C$335,"2515 Overbrook",Movimientos!$B$1:$B$335,"&lt;="&amp;$B35)</f>
        <v>25789.969999999961</v>
      </c>
      <c r="R35" s="24">
        <f>SUMIFS('Saldos Iniciales'!$D:$D,'Saldos Iniciales'!$A:$A,"112 Florida Ave")+SUMIFS(Movimientos!$K$1:$K$335,Movimientos!$C$1:$C$335,"112 Florida Ave",Movimientos!$B$1:$B$335,"&lt;="&amp;$B35)</f>
        <v>5321.4300000000021</v>
      </c>
      <c r="S35" s="24">
        <f>SUMIFS('Saldos Iniciales'!$D:$D,'Saldos Iniciales'!$A:$A,"3628 Thomas Ave")+SUMIFS(Movimientos!$K$1:$K$335,Movimientos!$C$1:$C$335,"3628 Thomas Ave",Movimientos!$B$1:$B$335,"&lt;="&amp;$B35)</f>
        <v>24833.23</v>
      </c>
      <c r="T35" s="24">
        <f>SUMIFS('Saldos Iniciales'!$D:$D,'Saldos Iniciales'!$A:$A,"Green Harbor Trust")+SUMIFS(Movimientos!$K$1:$K$335,Movimientos!$C$1:$C$335,"Green Harbor Trust",Movimientos!$B$1:$B$335,"&lt;="&amp;$B35)</f>
        <v>345</v>
      </c>
      <c r="U35" s="24">
        <f>SUMIFS('Saldos Iniciales'!$D:$D,'Saldos Iniciales'!$A:$A,"Go Blue")+SUMIFS(Movimientos!$K$1:$K$335,Movimientos!$C$1:$C$335,"Go Blue",Movimientos!$B$1:$B$335,"&lt;="&amp;$B35)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Group")+SUMIFS(Movimientos!$K$1:$K$335,Movimientos!$C$1:$C$335,"CFT Group",Movimientos!$B$1:$B$335,"&lt;="&amp;$B36)</f>
        <v>733394.14000000013</v>
      </c>
      <c r="D36" s="24">
        <f>SUMIFS('Saldos Iniciales'!$D:$D,'Saldos Iniciales'!$A:$A,"M1B")+SUMIFS(Movimientos!$K$1:$K$335,Movimientos!$C$1:$C$335,"M1B",Movimientos!$B$1:$B$335,"&lt;="&amp;$B36)</f>
        <v>69376.390000000174</v>
      </c>
      <c r="E36" s="24">
        <f>SUMIFS('Saldos Iniciales'!$D:$D,'Saldos Iniciales'!$A:$A,"Durand")+SUMIFS(Movimientos!$K$1:$K$335,Movimientos!$C$1:$C$335,"Durand",Movimientos!$B$1:$B$335,"&lt;="&amp;$B36)</f>
        <v>1669.89</v>
      </c>
      <c r="F36" s="24">
        <f>SUMIFS('Saldos Iniciales'!$D:$D,'Saldos Iniciales'!$A:$A,"A&amp;M Imports")+SUMIFS(Movimientos!$K$1:$K$335,Movimientos!$C$1:$C$335,"A&amp;M Imports",Movimientos!$B$1:$B$335,"&lt;="&amp;$B36)</f>
        <v>729545.23999999987</v>
      </c>
      <c r="G36" s="24">
        <f>SUMIFS('Saldos Iniciales'!$D:$D,'Saldos Iniciales'!$A:$A,"SSP Capital")+SUMIFS(Movimientos!$K$1:$K$335,Movimientos!$C$1:$C$335,"SSP Capital",Movimientos!$B$1:$B$335,"&lt;="&amp;$B36)</f>
        <v>1171714.4499999993</v>
      </c>
      <c r="H36" s="24">
        <f>SUMIFS('Saldos Iniciales'!$D:$D,'Saldos Iniciales'!$A:$A,"Cross Family Trust")+SUMIFS(Movimientos!$K$1:$K$335,Movimientos!$C$1:$C$335,"Cross Family Trust",Movimientos!$B$1:$B$335,"&lt;="&amp;$B36)</f>
        <v>116496.38</v>
      </c>
      <c r="I36" s="24">
        <f>SUMIFS('Saldos Iniciales'!$D:$D,'Saldos Iniciales'!$A:$A,"Cross Security Trust")+SUMIFS(Movimientos!$K$1:$K$335,Movimientos!$C$1:$C$335,"Cross Security Trust",Movimientos!$B$1:$B$335,"&lt;="&amp;$B36)</f>
        <v>88090.37</v>
      </c>
      <c r="J36" s="24">
        <f>SUMIFS('Saldos Iniciales'!$D:$D,'Saldos Iniciales'!$A:$A,"Electrama")+SUMIFS(Movimientos!$K$1:$K$335,Movimientos!$C$1:$C$335,"Electrama",Movimientos!$B$1:$B$335,"&lt;="&amp;$B36)</f>
        <v>1227.9699999999998</v>
      </c>
      <c r="K36" s="24">
        <f>SUMIFS('Saldos Iniciales'!$D:$D,'Saldos Iniciales'!$A:$A,"Sacred Valley Capital")+SUMIFS(Movimientos!$K$1:$K$335,Movimientos!$C$1:$C$335,"Sacred Valley Capital",Movimientos!$B$1:$B$335,"&lt;="&amp;$B36)</f>
        <v>84.35</v>
      </c>
      <c r="L36" s="24">
        <f>SUMIFS('Saldos Iniciales'!$D:$D,'Saldos Iniciales'!$A:$A,"YWC Capital")+SUMIFS(Movimientos!$K$1:$K$335,Movimientos!$C$1:$C$335,"YWC Capital",Movimientos!$B$1:$B$335,"&lt;="&amp;$B36)</f>
        <v>2237.77</v>
      </c>
      <c r="M36" s="24">
        <f>SUMIFS('Saldos Iniciales'!$D:$D,'Saldos Iniciales'!$A:$A,"Soweto")+SUMIFS(Movimientos!$K$1:$K$335,Movimientos!$C$1:$C$335,"Soweto",Movimientos!$B$1:$B$335,"&lt;="&amp;$B36)</f>
        <v>3349.94</v>
      </c>
      <c r="N36" s="24">
        <f>SUMIFS('Saldos Iniciales'!$D:$D,'Saldos Iniciales'!$A:$A,"Green Stone Trust")+SUMIFS(Movimientos!$K$1:$K$335,Movimientos!$C$1:$C$335,"Green Stone Trust",Movimientos!$B$1:$B$335,"&lt;="&amp;$B36)</f>
        <v>1968.99</v>
      </c>
      <c r="O36" s="24">
        <f>SUMIFS('Saldos Iniciales'!$D:$D,'Saldos Iniciales'!$A:$A,"EC Auto")+SUMIFS(Movimientos!$K$1:$K$335,Movimientos!$C$1:$C$335,"EC Auto",Movimientos!$B$1:$B$335,"&lt;="&amp;$B36)</f>
        <v>382.69000000000005</v>
      </c>
      <c r="P36" s="24">
        <f>SUMIFS('Saldos Iniciales'!$D:$D,'Saldos Iniciales'!$A:$A,"Arbor Capital Properties")+SUMIFS(Movimientos!$K$1:$K$335,Movimientos!$C$1:$C$335,"Arbor Capital Properties",Movimientos!$B$1:$B$335,"&lt;="&amp;$B36)</f>
        <v>1428.08</v>
      </c>
      <c r="Q36" s="24">
        <f>SUMIFS('Saldos Iniciales'!$D:$D,'Saldos Iniciales'!$A:$A,"2515 Overbrook")+SUMIFS(Movimientos!$K$1:$K$335,Movimientos!$C$1:$C$335,"2515 Overbrook",Movimientos!$B$1:$B$335,"&lt;="&amp;$B36)</f>
        <v>25789.969999999961</v>
      </c>
      <c r="R36" s="24">
        <f>SUMIFS('Saldos Iniciales'!$D:$D,'Saldos Iniciales'!$A:$A,"112 Florida Ave")+SUMIFS(Movimientos!$K$1:$K$335,Movimientos!$C$1:$C$335,"112 Florida Ave",Movimientos!$B$1:$B$335,"&lt;="&amp;$B36)</f>
        <v>5321.4300000000021</v>
      </c>
      <c r="S36" s="24">
        <f>SUMIFS('Saldos Iniciales'!$D:$D,'Saldos Iniciales'!$A:$A,"3628 Thomas Ave")+SUMIFS(Movimientos!$K$1:$K$335,Movimientos!$C$1:$C$335,"3628 Thomas Ave",Movimientos!$B$1:$B$335,"&lt;="&amp;$B36)</f>
        <v>24833.23</v>
      </c>
      <c r="T36" s="24">
        <f>SUMIFS('Saldos Iniciales'!$D:$D,'Saldos Iniciales'!$A:$A,"Green Harbor Trust")+SUMIFS(Movimientos!$K$1:$K$335,Movimientos!$C$1:$C$335,"Green Harbor Trust",Movimientos!$B$1:$B$335,"&lt;="&amp;$B36)</f>
        <v>345</v>
      </c>
      <c r="U36" s="24">
        <f>SUMIFS('Saldos Iniciales'!$D:$D,'Saldos Iniciales'!$A:$A,"Go Blue")+SUMIFS(Movimientos!$K$1:$K$335,Movimientos!$C$1:$C$335,"Go Blue",Movimientos!$B$1:$B$335,"&lt;="&amp;$B36)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Group")+SUMIFS(Movimientos!$K$1:$K$335,Movimientos!$C$1:$C$335,"CFT Group",Movimientos!$B$1:$B$335,"&lt;="&amp;$B37)</f>
        <v>733394.14000000013</v>
      </c>
      <c r="D37" s="24">
        <f>SUMIFS('Saldos Iniciales'!$D:$D,'Saldos Iniciales'!$A:$A,"M1B")+SUMIFS(Movimientos!$K$1:$K$335,Movimientos!$C$1:$C$335,"M1B",Movimientos!$B$1:$B$335,"&lt;="&amp;$B37)</f>
        <v>69376.390000000174</v>
      </c>
      <c r="E37" s="24">
        <f>SUMIFS('Saldos Iniciales'!$D:$D,'Saldos Iniciales'!$A:$A,"Durand")+SUMIFS(Movimientos!$K$1:$K$335,Movimientos!$C$1:$C$335,"Durand",Movimientos!$B$1:$B$335,"&lt;="&amp;$B37)</f>
        <v>1669.89</v>
      </c>
      <c r="F37" s="24">
        <f>SUMIFS('Saldos Iniciales'!$D:$D,'Saldos Iniciales'!$A:$A,"A&amp;M Imports")+SUMIFS(Movimientos!$K$1:$K$335,Movimientos!$C$1:$C$335,"A&amp;M Imports",Movimientos!$B$1:$B$335,"&lt;="&amp;$B37)</f>
        <v>729545.23999999987</v>
      </c>
      <c r="G37" s="24">
        <f>SUMIFS('Saldos Iniciales'!$D:$D,'Saldos Iniciales'!$A:$A,"SSP Capital")+SUMIFS(Movimientos!$K$1:$K$335,Movimientos!$C$1:$C$335,"SSP Capital",Movimientos!$B$1:$B$335,"&lt;="&amp;$B37)</f>
        <v>1164028.3199999994</v>
      </c>
      <c r="H37" s="24">
        <f>SUMIFS('Saldos Iniciales'!$D:$D,'Saldos Iniciales'!$A:$A,"Cross Family Trust")+SUMIFS(Movimientos!$K$1:$K$335,Movimientos!$C$1:$C$335,"Cross Family Trust",Movimientos!$B$1:$B$335,"&lt;="&amp;$B37)</f>
        <v>116496.38</v>
      </c>
      <c r="I37" s="24">
        <f>SUMIFS('Saldos Iniciales'!$D:$D,'Saldos Iniciales'!$A:$A,"Cross Security Trust")+SUMIFS(Movimientos!$K$1:$K$335,Movimientos!$C$1:$C$335,"Cross Security Trust",Movimientos!$B$1:$B$335,"&lt;="&amp;$B37)</f>
        <v>88090.37</v>
      </c>
      <c r="J37" s="24">
        <f>SUMIFS('Saldos Iniciales'!$D:$D,'Saldos Iniciales'!$A:$A,"Electrama")+SUMIFS(Movimientos!$K$1:$K$335,Movimientos!$C$1:$C$335,"Electrama",Movimientos!$B$1:$B$335,"&lt;="&amp;$B37)</f>
        <v>1227.9699999999998</v>
      </c>
      <c r="K37" s="24">
        <f>SUMIFS('Saldos Iniciales'!$D:$D,'Saldos Iniciales'!$A:$A,"Sacred Valley Capital")+SUMIFS(Movimientos!$K$1:$K$335,Movimientos!$C$1:$C$335,"Sacred Valley Capital",Movimientos!$B$1:$B$335,"&lt;="&amp;$B37)</f>
        <v>84.35</v>
      </c>
      <c r="L37" s="24">
        <f>SUMIFS('Saldos Iniciales'!$D:$D,'Saldos Iniciales'!$A:$A,"YWC Capital")+SUMIFS(Movimientos!$K$1:$K$335,Movimientos!$C$1:$C$335,"YWC Capital",Movimientos!$B$1:$B$335,"&lt;="&amp;$B37)</f>
        <v>2237.77</v>
      </c>
      <c r="M37" s="24">
        <f>SUMIFS('Saldos Iniciales'!$D:$D,'Saldos Iniciales'!$A:$A,"Soweto")+SUMIFS(Movimientos!$K$1:$K$335,Movimientos!$C$1:$C$335,"Soweto",Movimientos!$B$1:$B$335,"&lt;="&amp;$B37)</f>
        <v>3349.94</v>
      </c>
      <c r="N37" s="24">
        <f>SUMIFS('Saldos Iniciales'!$D:$D,'Saldos Iniciales'!$A:$A,"Green Stone Trust")+SUMIFS(Movimientos!$K$1:$K$335,Movimientos!$C$1:$C$335,"Green Stone Trust",Movimientos!$B$1:$B$335,"&lt;="&amp;$B37)</f>
        <v>1968.99</v>
      </c>
      <c r="O37" s="24">
        <f>SUMIFS('Saldos Iniciales'!$D:$D,'Saldos Iniciales'!$A:$A,"EC Auto")+SUMIFS(Movimientos!$K$1:$K$335,Movimientos!$C$1:$C$335,"EC Auto",Movimientos!$B$1:$B$335,"&lt;="&amp;$B37)</f>
        <v>382.69000000000005</v>
      </c>
      <c r="P37" s="24">
        <f>SUMIFS('Saldos Iniciales'!$D:$D,'Saldos Iniciales'!$A:$A,"Arbor Capital Properties")+SUMIFS(Movimientos!$K$1:$K$335,Movimientos!$C$1:$C$335,"Arbor Capital Properties",Movimientos!$B$1:$B$335,"&lt;="&amp;$B37)</f>
        <v>1428.08</v>
      </c>
      <c r="Q37" s="24">
        <f>SUMIFS('Saldos Iniciales'!$D:$D,'Saldos Iniciales'!$A:$A,"2515 Overbrook")+SUMIFS(Movimientos!$K$1:$K$335,Movimientos!$C$1:$C$335,"2515 Overbrook",Movimientos!$B$1:$B$335,"&lt;="&amp;$B37)</f>
        <v>25789.969999999961</v>
      </c>
      <c r="R37" s="24">
        <f>SUMIFS('Saldos Iniciales'!$D:$D,'Saldos Iniciales'!$A:$A,"112 Florida Ave")+SUMIFS(Movimientos!$K$1:$K$335,Movimientos!$C$1:$C$335,"112 Florida Ave",Movimientos!$B$1:$B$335,"&lt;="&amp;$B37)</f>
        <v>5321.4300000000021</v>
      </c>
      <c r="S37" s="24">
        <f>SUMIFS('Saldos Iniciales'!$D:$D,'Saldos Iniciales'!$A:$A,"3628 Thomas Ave")+SUMIFS(Movimientos!$K$1:$K$335,Movimientos!$C$1:$C$335,"3628 Thomas Ave",Movimientos!$B$1:$B$335,"&lt;="&amp;$B37)</f>
        <v>24833.23</v>
      </c>
      <c r="T37" s="24">
        <f>SUMIFS('Saldos Iniciales'!$D:$D,'Saldos Iniciales'!$A:$A,"Green Harbor Trust")+SUMIFS(Movimientos!$K$1:$K$335,Movimientos!$C$1:$C$335,"Green Harbor Trust",Movimientos!$B$1:$B$335,"&lt;="&amp;$B37)</f>
        <v>345</v>
      </c>
      <c r="U37" s="24">
        <f>SUMIFS('Saldos Iniciales'!$D:$D,'Saldos Iniciales'!$A:$A,"Go Blue")+SUMIFS(Movimientos!$K$1:$K$335,Movimientos!$C$1:$C$335,"Go Blue",Movimientos!$B$1:$B$335,"&lt;="&amp;$B37)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Group")+SUMIFS(Movimientos!$K$1:$K$335,Movimientos!$C$1:$C$335,"CFT Group",Movimientos!$B$1:$B$335,"&lt;="&amp;$B38)</f>
        <v>733394.14000000013</v>
      </c>
      <c r="D38" s="24">
        <f>SUMIFS('Saldos Iniciales'!$D:$D,'Saldos Iniciales'!$A:$A,"M1B")+SUMIFS(Movimientos!$K$1:$K$335,Movimientos!$C$1:$C$335,"M1B",Movimientos!$B$1:$B$335,"&lt;="&amp;$B38)</f>
        <v>69376.390000000174</v>
      </c>
      <c r="E38" s="24">
        <f>SUMIFS('Saldos Iniciales'!$D:$D,'Saldos Iniciales'!$A:$A,"Durand")+SUMIFS(Movimientos!$K$1:$K$335,Movimientos!$C$1:$C$335,"Durand",Movimientos!$B$1:$B$335,"&lt;="&amp;$B38)</f>
        <v>1669.89</v>
      </c>
      <c r="F38" s="24">
        <f>SUMIFS('Saldos Iniciales'!$D:$D,'Saldos Iniciales'!$A:$A,"A&amp;M Imports")+SUMIFS(Movimientos!$K$1:$K$335,Movimientos!$C$1:$C$335,"A&amp;M Imports",Movimientos!$B$1:$B$335,"&lt;="&amp;$B38)</f>
        <v>729545.23999999987</v>
      </c>
      <c r="G38" s="24">
        <f>SUMIFS('Saldos Iniciales'!$D:$D,'Saldos Iniciales'!$A:$A,"SSP Capital")+SUMIFS(Movimientos!$K$1:$K$335,Movimientos!$C$1:$C$335,"SSP Capital",Movimientos!$B$1:$B$335,"&lt;="&amp;$B38)</f>
        <v>1164028.3199999994</v>
      </c>
      <c r="H38" s="24">
        <f>SUMIFS('Saldos Iniciales'!$D:$D,'Saldos Iniciales'!$A:$A,"Cross Family Trust")+SUMIFS(Movimientos!$K$1:$K$335,Movimientos!$C$1:$C$335,"Cross Family Trust",Movimientos!$B$1:$B$335,"&lt;="&amp;$B38)</f>
        <v>116496.38</v>
      </c>
      <c r="I38" s="24">
        <f>SUMIFS('Saldos Iniciales'!$D:$D,'Saldos Iniciales'!$A:$A,"Cross Security Trust")+SUMIFS(Movimientos!$K$1:$K$335,Movimientos!$C$1:$C$335,"Cross Security Trust",Movimientos!$B$1:$B$335,"&lt;="&amp;$B38)</f>
        <v>88090.37</v>
      </c>
      <c r="J38" s="24">
        <f>SUMIFS('Saldos Iniciales'!$D:$D,'Saldos Iniciales'!$A:$A,"Electrama")+SUMIFS(Movimientos!$K$1:$K$335,Movimientos!$C$1:$C$335,"Electrama",Movimientos!$B$1:$B$335,"&lt;="&amp;$B38)</f>
        <v>1227.9699999999998</v>
      </c>
      <c r="K38" s="24">
        <f>SUMIFS('Saldos Iniciales'!$D:$D,'Saldos Iniciales'!$A:$A,"Sacred Valley Capital")+SUMIFS(Movimientos!$K$1:$K$335,Movimientos!$C$1:$C$335,"Sacred Valley Capital",Movimientos!$B$1:$B$335,"&lt;="&amp;$B38)</f>
        <v>84.35</v>
      </c>
      <c r="L38" s="24">
        <f>SUMIFS('Saldos Iniciales'!$D:$D,'Saldos Iniciales'!$A:$A,"YWC Capital")+SUMIFS(Movimientos!$K$1:$K$335,Movimientos!$C$1:$C$335,"YWC Capital",Movimientos!$B$1:$B$335,"&lt;="&amp;$B38)</f>
        <v>2237.77</v>
      </c>
      <c r="M38" s="24">
        <f>SUMIFS('Saldos Iniciales'!$D:$D,'Saldos Iniciales'!$A:$A,"Soweto")+SUMIFS(Movimientos!$K$1:$K$335,Movimientos!$C$1:$C$335,"Soweto",Movimientos!$B$1:$B$335,"&lt;="&amp;$B38)</f>
        <v>3349.94</v>
      </c>
      <c r="N38" s="24">
        <f>SUMIFS('Saldos Iniciales'!$D:$D,'Saldos Iniciales'!$A:$A,"Green Stone Trust")+SUMIFS(Movimientos!$K$1:$K$335,Movimientos!$C$1:$C$335,"Green Stone Trust",Movimientos!$B$1:$B$335,"&lt;="&amp;$B38)</f>
        <v>1968.99</v>
      </c>
      <c r="O38" s="24">
        <f>SUMIFS('Saldos Iniciales'!$D:$D,'Saldos Iniciales'!$A:$A,"EC Auto")+SUMIFS(Movimientos!$K$1:$K$335,Movimientos!$C$1:$C$335,"EC Auto",Movimientos!$B$1:$B$335,"&lt;="&amp;$B38)</f>
        <v>382.69000000000005</v>
      </c>
      <c r="P38" s="24">
        <f>SUMIFS('Saldos Iniciales'!$D:$D,'Saldos Iniciales'!$A:$A,"Arbor Capital Properties")+SUMIFS(Movimientos!$K$1:$K$335,Movimientos!$C$1:$C$335,"Arbor Capital Properties",Movimientos!$B$1:$B$335,"&lt;="&amp;$B38)</f>
        <v>1428.08</v>
      </c>
      <c r="Q38" s="24">
        <f>SUMIFS('Saldos Iniciales'!$D:$D,'Saldos Iniciales'!$A:$A,"2515 Overbrook")+SUMIFS(Movimientos!$K$1:$K$335,Movimientos!$C$1:$C$335,"2515 Overbrook",Movimientos!$B$1:$B$335,"&lt;="&amp;$B38)</f>
        <v>25789.969999999961</v>
      </c>
      <c r="R38" s="24">
        <f>SUMIFS('Saldos Iniciales'!$D:$D,'Saldos Iniciales'!$A:$A,"112 Florida Ave")+SUMIFS(Movimientos!$K$1:$K$335,Movimientos!$C$1:$C$335,"112 Florida Ave",Movimientos!$B$1:$B$335,"&lt;="&amp;$B38)</f>
        <v>5321.4300000000021</v>
      </c>
      <c r="S38" s="24">
        <f>SUMIFS('Saldos Iniciales'!$D:$D,'Saldos Iniciales'!$A:$A,"3628 Thomas Ave")+SUMIFS(Movimientos!$K$1:$K$335,Movimientos!$C$1:$C$335,"3628 Thomas Ave",Movimientos!$B$1:$B$335,"&lt;="&amp;$B38)</f>
        <v>24833.23</v>
      </c>
      <c r="T38" s="24">
        <f>SUMIFS('Saldos Iniciales'!$D:$D,'Saldos Iniciales'!$A:$A,"Green Harbor Trust")+SUMIFS(Movimientos!$K$1:$K$335,Movimientos!$C$1:$C$335,"Green Harbor Trust",Movimientos!$B$1:$B$335,"&lt;="&amp;$B38)</f>
        <v>345</v>
      </c>
      <c r="U38" s="24">
        <f>SUMIFS('Saldos Iniciales'!$D:$D,'Saldos Iniciales'!$A:$A,"Go Blue")+SUMIFS(Movimientos!$K$1:$K$335,Movimientos!$C$1:$C$335,"Go Blue",Movimientos!$B$1:$B$335,"&lt;="&amp;$B38)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Group")+SUMIFS(Movimientos!$K$1:$K$335,Movimientos!$C$1:$C$335,"CFT Group",Movimientos!$B$1:$B$335,"&lt;="&amp;$B39)</f>
        <v>733394.14000000013</v>
      </c>
      <c r="D39" s="24">
        <f>SUMIFS('Saldos Iniciales'!$D:$D,'Saldos Iniciales'!$A:$A,"M1B")+SUMIFS(Movimientos!$K$1:$K$335,Movimientos!$C$1:$C$335,"M1B",Movimientos!$B$1:$B$335,"&lt;="&amp;$B39)</f>
        <v>69376.390000000174</v>
      </c>
      <c r="E39" s="24">
        <f>SUMIFS('Saldos Iniciales'!$D:$D,'Saldos Iniciales'!$A:$A,"Durand")+SUMIFS(Movimientos!$K$1:$K$335,Movimientos!$C$1:$C$335,"Durand",Movimientos!$B$1:$B$335,"&lt;="&amp;$B39)</f>
        <v>1669.89</v>
      </c>
      <c r="F39" s="24">
        <f>SUMIFS('Saldos Iniciales'!$D:$D,'Saldos Iniciales'!$A:$A,"A&amp;M Imports")+SUMIFS(Movimientos!$K$1:$K$335,Movimientos!$C$1:$C$335,"A&amp;M Imports",Movimientos!$B$1:$B$335,"&lt;="&amp;$B39)</f>
        <v>729545.23999999987</v>
      </c>
      <c r="G39" s="24">
        <f>SUMIFS('Saldos Iniciales'!$D:$D,'Saldos Iniciales'!$A:$A,"SSP Capital")+SUMIFS(Movimientos!$K$1:$K$335,Movimientos!$C$1:$C$335,"SSP Capital",Movimientos!$B$1:$B$335,"&lt;="&amp;$B39)</f>
        <v>1164028.3199999994</v>
      </c>
      <c r="H39" s="24">
        <f>SUMIFS('Saldos Iniciales'!$D:$D,'Saldos Iniciales'!$A:$A,"Cross Family Trust")+SUMIFS(Movimientos!$K$1:$K$335,Movimientos!$C$1:$C$335,"Cross Family Trust",Movimientos!$B$1:$B$335,"&lt;="&amp;$B39)</f>
        <v>116496.38</v>
      </c>
      <c r="I39" s="24">
        <f>SUMIFS('Saldos Iniciales'!$D:$D,'Saldos Iniciales'!$A:$A,"Cross Security Trust")+SUMIFS(Movimientos!$K$1:$K$335,Movimientos!$C$1:$C$335,"Cross Security Trust",Movimientos!$B$1:$B$335,"&lt;="&amp;$B39)</f>
        <v>88090.37</v>
      </c>
      <c r="J39" s="24">
        <f>SUMIFS('Saldos Iniciales'!$D:$D,'Saldos Iniciales'!$A:$A,"Electrama")+SUMIFS(Movimientos!$K$1:$K$335,Movimientos!$C$1:$C$335,"Electrama",Movimientos!$B$1:$B$335,"&lt;="&amp;$B39)</f>
        <v>1227.9699999999998</v>
      </c>
      <c r="K39" s="24">
        <f>SUMIFS('Saldos Iniciales'!$D:$D,'Saldos Iniciales'!$A:$A,"Sacred Valley Capital")+SUMIFS(Movimientos!$K$1:$K$335,Movimientos!$C$1:$C$335,"Sacred Valley Capital",Movimientos!$B$1:$B$335,"&lt;="&amp;$B39)</f>
        <v>84.35</v>
      </c>
      <c r="L39" s="24">
        <f>SUMIFS('Saldos Iniciales'!$D:$D,'Saldos Iniciales'!$A:$A,"YWC Capital")+SUMIFS(Movimientos!$K$1:$K$335,Movimientos!$C$1:$C$335,"YWC Capital",Movimientos!$B$1:$B$335,"&lt;="&amp;$B39)</f>
        <v>2237.77</v>
      </c>
      <c r="M39" s="24">
        <f>SUMIFS('Saldos Iniciales'!$D:$D,'Saldos Iniciales'!$A:$A,"Soweto")+SUMIFS(Movimientos!$K$1:$K$335,Movimientos!$C$1:$C$335,"Soweto",Movimientos!$B$1:$B$335,"&lt;="&amp;$B39)</f>
        <v>3349.94</v>
      </c>
      <c r="N39" s="24">
        <f>SUMIFS('Saldos Iniciales'!$D:$D,'Saldos Iniciales'!$A:$A,"Green Stone Trust")+SUMIFS(Movimientos!$K$1:$K$335,Movimientos!$C$1:$C$335,"Green Stone Trust",Movimientos!$B$1:$B$335,"&lt;="&amp;$B39)</f>
        <v>1968.99</v>
      </c>
      <c r="O39" s="24">
        <f>SUMIFS('Saldos Iniciales'!$D:$D,'Saldos Iniciales'!$A:$A,"EC Auto")+SUMIFS(Movimientos!$K$1:$K$335,Movimientos!$C$1:$C$335,"EC Auto",Movimientos!$B$1:$B$335,"&lt;="&amp;$B39)</f>
        <v>382.69000000000005</v>
      </c>
      <c r="P39" s="24">
        <f>SUMIFS('Saldos Iniciales'!$D:$D,'Saldos Iniciales'!$A:$A,"Arbor Capital Properties")+SUMIFS(Movimientos!$K$1:$K$335,Movimientos!$C$1:$C$335,"Arbor Capital Properties",Movimientos!$B$1:$B$335,"&lt;="&amp;$B39)</f>
        <v>1428.08</v>
      </c>
      <c r="Q39" s="24">
        <f>SUMIFS('Saldos Iniciales'!$D:$D,'Saldos Iniciales'!$A:$A,"2515 Overbrook")+SUMIFS(Movimientos!$K$1:$K$335,Movimientos!$C$1:$C$335,"2515 Overbrook",Movimientos!$B$1:$B$335,"&lt;="&amp;$B39)</f>
        <v>25789.969999999961</v>
      </c>
      <c r="R39" s="24">
        <f>SUMIFS('Saldos Iniciales'!$D:$D,'Saldos Iniciales'!$A:$A,"112 Florida Ave")+SUMIFS(Movimientos!$K$1:$K$335,Movimientos!$C$1:$C$335,"112 Florida Ave",Movimientos!$B$1:$B$335,"&lt;="&amp;$B39)</f>
        <v>5321.4300000000021</v>
      </c>
      <c r="S39" s="24">
        <f>SUMIFS('Saldos Iniciales'!$D:$D,'Saldos Iniciales'!$A:$A,"3628 Thomas Ave")+SUMIFS(Movimientos!$K$1:$K$335,Movimientos!$C$1:$C$335,"3628 Thomas Ave",Movimientos!$B$1:$B$335,"&lt;="&amp;$B39)</f>
        <v>24833.23</v>
      </c>
      <c r="T39" s="24">
        <f>SUMIFS('Saldos Iniciales'!$D:$D,'Saldos Iniciales'!$A:$A,"Green Harbor Trust")+SUMIFS(Movimientos!$K$1:$K$335,Movimientos!$C$1:$C$335,"Green Harbor Trust",Movimientos!$B$1:$B$335,"&lt;="&amp;$B39)</f>
        <v>345</v>
      </c>
      <c r="U39" s="24">
        <f>SUMIFS('Saldos Iniciales'!$D:$D,'Saldos Iniciales'!$A:$A,"Go Blue")+SUMIFS(Movimientos!$K$1:$K$335,Movimientos!$C$1:$C$335,"Go Blue",Movimientos!$B$1:$B$335,"&lt;="&amp;$B39)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Group")+SUMIFS(Movimientos!$K$1:$K$335,Movimientos!$C$1:$C$335,"CFT Group",Movimientos!$B$1:$B$335,"&lt;="&amp;$B40)</f>
        <v>733394.14000000013</v>
      </c>
      <c r="D40" s="24">
        <f>SUMIFS('Saldos Iniciales'!$D:$D,'Saldos Iniciales'!$A:$A,"M1B")+SUMIFS(Movimientos!$K$1:$K$335,Movimientos!$C$1:$C$335,"M1B",Movimientos!$B$1:$B$335,"&lt;="&amp;$B40)</f>
        <v>69376.390000000174</v>
      </c>
      <c r="E40" s="24">
        <f>SUMIFS('Saldos Iniciales'!$D:$D,'Saldos Iniciales'!$A:$A,"Durand")+SUMIFS(Movimientos!$K$1:$K$335,Movimientos!$C$1:$C$335,"Durand",Movimientos!$B$1:$B$335,"&lt;="&amp;$B40)</f>
        <v>1669.89</v>
      </c>
      <c r="F40" s="24">
        <f>SUMIFS('Saldos Iniciales'!$D:$D,'Saldos Iniciales'!$A:$A,"A&amp;M Imports")+SUMIFS(Movimientos!$K$1:$K$335,Movimientos!$C$1:$C$335,"A&amp;M Imports",Movimientos!$B$1:$B$335,"&lt;="&amp;$B40)</f>
        <v>729545.23999999987</v>
      </c>
      <c r="G40" s="24">
        <f>SUMIFS('Saldos Iniciales'!$D:$D,'Saldos Iniciales'!$A:$A,"SSP Capital")+SUMIFS(Movimientos!$K$1:$K$335,Movimientos!$C$1:$C$335,"SSP Capital",Movimientos!$B$1:$B$335,"&lt;="&amp;$B40)</f>
        <v>1164028.3199999994</v>
      </c>
      <c r="H40" s="24">
        <f>SUMIFS('Saldos Iniciales'!$D:$D,'Saldos Iniciales'!$A:$A,"Cross Family Trust")+SUMIFS(Movimientos!$K$1:$K$335,Movimientos!$C$1:$C$335,"Cross Family Trust",Movimientos!$B$1:$B$335,"&lt;="&amp;$B40)</f>
        <v>116496.38</v>
      </c>
      <c r="I40" s="24">
        <f>SUMIFS('Saldos Iniciales'!$D:$D,'Saldos Iniciales'!$A:$A,"Cross Security Trust")+SUMIFS(Movimientos!$K$1:$K$335,Movimientos!$C$1:$C$335,"Cross Security Trust",Movimientos!$B$1:$B$335,"&lt;="&amp;$B40)</f>
        <v>88090.37</v>
      </c>
      <c r="J40" s="24">
        <f>SUMIFS('Saldos Iniciales'!$D:$D,'Saldos Iniciales'!$A:$A,"Electrama")+SUMIFS(Movimientos!$K$1:$K$335,Movimientos!$C$1:$C$335,"Electrama",Movimientos!$B$1:$B$335,"&lt;="&amp;$B40)</f>
        <v>1227.9699999999998</v>
      </c>
      <c r="K40" s="24">
        <f>SUMIFS('Saldos Iniciales'!$D:$D,'Saldos Iniciales'!$A:$A,"Sacred Valley Capital")+SUMIFS(Movimientos!$K$1:$K$335,Movimientos!$C$1:$C$335,"Sacred Valley Capital",Movimientos!$B$1:$B$335,"&lt;="&amp;$B40)</f>
        <v>84.35</v>
      </c>
      <c r="L40" s="24">
        <f>SUMIFS('Saldos Iniciales'!$D:$D,'Saldos Iniciales'!$A:$A,"YWC Capital")+SUMIFS(Movimientos!$K$1:$K$335,Movimientos!$C$1:$C$335,"YWC Capital",Movimientos!$B$1:$B$335,"&lt;="&amp;$B40)</f>
        <v>2237.77</v>
      </c>
      <c r="M40" s="24">
        <f>SUMIFS('Saldos Iniciales'!$D:$D,'Saldos Iniciales'!$A:$A,"Soweto")+SUMIFS(Movimientos!$K$1:$K$335,Movimientos!$C$1:$C$335,"Soweto",Movimientos!$B$1:$B$335,"&lt;="&amp;$B40)</f>
        <v>3349.94</v>
      </c>
      <c r="N40" s="24">
        <f>SUMIFS('Saldos Iniciales'!$D:$D,'Saldos Iniciales'!$A:$A,"Green Stone Trust")+SUMIFS(Movimientos!$K$1:$K$335,Movimientos!$C$1:$C$335,"Green Stone Trust",Movimientos!$B$1:$B$335,"&lt;="&amp;$B40)</f>
        <v>1968.99</v>
      </c>
      <c r="O40" s="24">
        <f>SUMIFS('Saldos Iniciales'!$D:$D,'Saldos Iniciales'!$A:$A,"EC Auto")+SUMIFS(Movimientos!$K$1:$K$335,Movimientos!$C$1:$C$335,"EC Auto",Movimientos!$B$1:$B$335,"&lt;="&amp;$B40)</f>
        <v>382.69000000000005</v>
      </c>
      <c r="P40" s="24">
        <f>SUMIFS('Saldos Iniciales'!$D:$D,'Saldos Iniciales'!$A:$A,"Arbor Capital Properties")+SUMIFS(Movimientos!$K$1:$K$335,Movimientos!$C$1:$C$335,"Arbor Capital Properties",Movimientos!$B$1:$B$335,"&lt;="&amp;$B40)</f>
        <v>1428.08</v>
      </c>
      <c r="Q40" s="24">
        <f>SUMIFS('Saldos Iniciales'!$D:$D,'Saldos Iniciales'!$A:$A,"2515 Overbrook")+SUMIFS(Movimientos!$K$1:$K$335,Movimientos!$C$1:$C$335,"2515 Overbrook",Movimientos!$B$1:$B$335,"&lt;="&amp;$B40)</f>
        <v>25789.969999999961</v>
      </c>
      <c r="R40" s="24">
        <f>SUMIFS('Saldos Iniciales'!$D:$D,'Saldos Iniciales'!$A:$A,"112 Florida Ave")+SUMIFS(Movimientos!$K$1:$K$335,Movimientos!$C$1:$C$335,"112 Florida Ave",Movimientos!$B$1:$B$335,"&lt;="&amp;$B40)</f>
        <v>5321.4300000000021</v>
      </c>
      <c r="S40" s="24">
        <f>SUMIFS('Saldos Iniciales'!$D:$D,'Saldos Iniciales'!$A:$A,"3628 Thomas Ave")+SUMIFS(Movimientos!$K$1:$K$335,Movimientos!$C$1:$C$335,"3628 Thomas Ave",Movimientos!$B$1:$B$335,"&lt;="&amp;$B40)</f>
        <v>24833.23</v>
      </c>
      <c r="T40" s="24">
        <f>SUMIFS('Saldos Iniciales'!$D:$D,'Saldos Iniciales'!$A:$A,"Green Harbor Trust")+SUMIFS(Movimientos!$K$1:$K$335,Movimientos!$C$1:$C$335,"Green Harbor Trust",Movimientos!$B$1:$B$335,"&lt;="&amp;$B40)</f>
        <v>345</v>
      </c>
      <c r="U40" s="24">
        <f>SUMIFS('Saldos Iniciales'!$D:$D,'Saldos Iniciales'!$A:$A,"Go Blue")+SUMIFS(Movimientos!$K$1:$K$335,Movimientos!$C$1:$C$335,"Go Blue",Movimientos!$B$1:$B$335,"&lt;="&amp;$B40)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Group")+SUMIFS(Movimientos!$K$1:$K$335,Movimientos!$C$1:$C$335,"CFT Group",Movimientos!$B$1:$B$335,"&lt;="&amp;$B41)</f>
        <v>847381.29000000015</v>
      </c>
      <c r="D41" s="24">
        <f>SUMIFS('Saldos Iniciales'!$D:$D,'Saldos Iniciales'!$A:$A,"M1B")+SUMIFS(Movimientos!$K$1:$K$335,Movimientos!$C$1:$C$335,"M1B",Movimientos!$B$1:$B$335,"&lt;="&amp;$B41)</f>
        <v>69376.390000000174</v>
      </c>
      <c r="E41" s="24">
        <f>SUMIFS('Saldos Iniciales'!$D:$D,'Saldos Iniciales'!$A:$A,"Durand")+SUMIFS(Movimientos!$K$1:$K$335,Movimientos!$C$1:$C$335,"Durand",Movimientos!$B$1:$B$335,"&lt;="&amp;$B41)</f>
        <v>1669.89</v>
      </c>
      <c r="F41" s="24">
        <f>SUMIFS('Saldos Iniciales'!$D:$D,'Saldos Iniciales'!$A:$A,"A&amp;M Imports")+SUMIFS(Movimientos!$K$1:$K$335,Movimientos!$C$1:$C$335,"A&amp;M Imports",Movimientos!$B$1:$B$335,"&lt;="&amp;$B41)</f>
        <v>729545.23999999987</v>
      </c>
      <c r="G41" s="24">
        <f>SUMIFS('Saldos Iniciales'!$D:$D,'Saldos Iniciales'!$A:$A,"SSP Capital")+SUMIFS(Movimientos!$K$1:$K$335,Movimientos!$C$1:$C$335,"SSP Capital",Movimientos!$B$1:$B$335,"&lt;="&amp;$B41)</f>
        <v>1160274.0499999993</v>
      </c>
      <c r="H41" s="24">
        <f>SUMIFS('Saldos Iniciales'!$D:$D,'Saldos Iniciales'!$A:$A,"Cross Family Trust")+SUMIFS(Movimientos!$K$1:$K$335,Movimientos!$C$1:$C$335,"Cross Family Trust",Movimientos!$B$1:$B$335,"&lt;="&amp;$B41)</f>
        <v>116496.38</v>
      </c>
      <c r="I41" s="24">
        <f>SUMIFS('Saldos Iniciales'!$D:$D,'Saldos Iniciales'!$A:$A,"Cross Security Trust")+SUMIFS(Movimientos!$K$1:$K$335,Movimientos!$C$1:$C$335,"Cross Security Trust",Movimientos!$B$1:$B$335,"&lt;="&amp;$B41)</f>
        <v>88090.37</v>
      </c>
      <c r="J41" s="24">
        <f>SUMIFS('Saldos Iniciales'!$D:$D,'Saldos Iniciales'!$A:$A,"Electrama")+SUMIFS(Movimientos!$K$1:$K$335,Movimientos!$C$1:$C$335,"Electrama",Movimientos!$B$1:$B$335,"&lt;="&amp;$B41)</f>
        <v>1227.9699999999998</v>
      </c>
      <c r="K41" s="24">
        <f>SUMIFS('Saldos Iniciales'!$D:$D,'Saldos Iniciales'!$A:$A,"Sacred Valley Capital")+SUMIFS(Movimientos!$K$1:$K$335,Movimientos!$C$1:$C$335,"Sacred Valley Capital",Movimientos!$B$1:$B$335,"&lt;="&amp;$B41)</f>
        <v>84.35</v>
      </c>
      <c r="L41" s="24">
        <f>SUMIFS('Saldos Iniciales'!$D:$D,'Saldos Iniciales'!$A:$A,"YWC Capital")+SUMIFS(Movimientos!$K$1:$K$335,Movimientos!$C$1:$C$335,"YWC Capital",Movimientos!$B$1:$B$335,"&lt;="&amp;$B41)</f>
        <v>2237.77</v>
      </c>
      <c r="M41" s="24">
        <f>SUMIFS('Saldos Iniciales'!$D:$D,'Saldos Iniciales'!$A:$A,"Soweto")+SUMIFS(Movimientos!$K$1:$K$335,Movimientos!$C$1:$C$335,"Soweto",Movimientos!$B$1:$B$335,"&lt;="&amp;$B41)</f>
        <v>3349.94</v>
      </c>
      <c r="N41" s="24">
        <f>SUMIFS('Saldos Iniciales'!$D:$D,'Saldos Iniciales'!$A:$A,"Green Stone Trust")+SUMIFS(Movimientos!$K$1:$K$335,Movimientos!$C$1:$C$335,"Green Stone Trust",Movimientos!$B$1:$B$335,"&lt;="&amp;$B41)</f>
        <v>1968.99</v>
      </c>
      <c r="O41" s="24">
        <f>SUMIFS('Saldos Iniciales'!$D:$D,'Saldos Iniciales'!$A:$A,"EC Auto")+SUMIFS(Movimientos!$K$1:$K$335,Movimientos!$C$1:$C$335,"EC Auto",Movimientos!$B$1:$B$335,"&lt;="&amp;$B41)</f>
        <v>382.69000000000005</v>
      </c>
      <c r="P41" s="24">
        <f>SUMIFS('Saldos Iniciales'!$D:$D,'Saldos Iniciales'!$A:$A,"Arbor Capital Properties")+SUMIFS(Movimientos!$K$1:$K$335,Movimientos!$C$1:$C$335,"Arbor Capital Properties",Movimientos!$B$1:$B$335,"&lt;="&amp;$B41)</f>
        <v>1428.08</v>
      </c>
      <c r="Q41" s="24">
        <f>SUMIFS('Saldos Iniciales'!$D:$D,'Saldos Iniciales'!$A:$A,"2515 Overbrook")+SUMIFS(Movimientos!$K$1:$K$335,Movimientos!$C$1:$C$335,"2515 Overbrook",Movimientos!$B$1:$B$335,"&lt;="&amp;$B41)</f>
        <v>25789.969999999961</v>
      </c>
      <c r="R41" s="24">
        <f>SUMIFS('Saldos Iniciales'!$D:$D,'Saldos Iniciales'!$A:$A,"112 Florida Ave")+SUMIFS(Movimientos!$K$1:$K$335,Movimientos!$C$1:$C$335,"112 Florida Ave",Movimientos!$B$1:$B$335,"&lt;="&amp;$B41)</f>
        <v>5321.4300000000021</v>
      </c>
      <c r="S41" s="24">
        <f>SUMIFS('Saldos Iniciales'!$D:$D,'Saldos Iniciales'!$A:$A,"3628 Thomas Ave")+SUMIFS(Movimientos!$K$1:$K$335,Movimientos!$C$1:$C$335,"3628 Thomas Ave",Movimientos!$B$1:$B$335,"&lt;="&amp;$B41)</f>
        <v>24833.23</v>
      </c>
      <c r="T41" s="24">
        <f>SUMIFS('Saldos Iniciales'!$D:$D,'Saldos Iniciales'!$A:$A,"Green Harbor Trust")+SUMIFS(Movimientos!$K$1:$K$335,Movimientos!$C$1:$C$335,"Green Harbor Trust",Movimientos!$B$1:$B$335,"&lt;="&amp;$B41)</f>
        <v>345</v>
      </c>
      <c r="U41" s="24">
        <f>SUMIFS('Saldos Iniciales'!$D:$D,'Saldos Iniciales'!$A:$A,"Go Blue")+SUMIFS(Movimientos!$K$1:$K$335,Movimientos!$C$1:$C$335,"Go Blue",Movimientos!$B$1:$B$335,"&lt;="&amp;$B41)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Group")+SUMIFS(Movimientos!$K$1:$K$335,Movimientos!$C$1:$C$335,"CFT Group",Movimientos!$B$1:$B$335,"&lt;="&amp;$B42)</f>
        <v>2288745.9500000002</v>
      </c>
      <c r="D42" s="24">
        <f>SUMIFS('Saldos Iniciales'!$D:$D,'Saldos Iniciales'!$A:$A,"M1B")+SUMIFS(Movimientos!$K$1:$K$335,Movimientos!$C$1:$C$335,"M1B",Movimientos!$B$1:$B$335,"&lt;="&amp;$B42)</f>
        <v>69376.390000000174</v>
      </c>
      <c r="E42" s="24">
        <f>SUMIFS('Saldos Iniciales'!$D:$D,'Saldos Iniciales'!$A:$A,"Durand")+SUMIFS(Movimientos!$K$1:$K$335,Movimientos!$C$1:$C$335,"Durand",Movimientos!$B$1:$B$335,"&lt;="&amp;$B42)</f>
        <v>1669.89</v>
      </c>
      <c r="F42" s="24">
        <f>SUMIFS('Saldos Iniciales'!$D:$D,'Saldos Iniciales'!$A:$A,"A&amp;M Imports")+SUMIFS(Movimientos!$K$1:$K$335,Movimientos!$C$1:$C$335,"A&amp;M Imports",Movimientos!$B$1:$B$335,"&lt;="&amp;$B42)</f>
        <v>744306.80999999982</v>
      </c>
      <c r="G42" s="24">
        <f>SUMIFS('Saldos Iniciales'!$D:$D,'Saldos Iniciales'!$A:$A,"SSP Capital")+SUMIFS(Movimientos!$K$1:$K$335,Movimientos!$C$1:$C$335,"SSP Capital",Movimientos!$B$1:$B$335,"&lt;="&amp;$B42)</f>
        <v>1160274.0499999993</v>
      </c>
      <c r="H42" s="24">
        <f>SUMIFS('Saldos Iniciales'!$D:$D,'Saldos Iniciales'!$A:$A,"Cross Family Trust")+SUMIFS(Movimientos!$K$1:$K$335,Movimientos!$C$1:$C$335,"Cross Family Trust",Movimientos!$B$1:$B$335,"&lt;="&amp;$B42)</f>
        <v>116496.38</v>
      </c>
      <c r="I42" s="24">
        <f>SUMIFS('Saldos Iniciales'!$D:$D,'Saldos Iniciales'!$A:$A,"Cross Security Trust")+SUMIFS(Movimientos!$K$1:$K$335,Movimientos!$C$1:$C$335,"Cross Security Trust",Movimientos!$B$1:$B$335,"&lt;="&amp;$B42)</f>
        <v>88090.37</v>
      </c>
      <c r="J42" s="24">
        <f>SUMIFS('Saldos Iniciales'!$D:$D,'Saldos Iniciales'!$A:$A,"Electrama")+SUMIFS(Movimientos!$K$1:$K$335,Movimientos!$C$1:$C$335,"Electrama",Movimientos!$B$1:$B$335,"&lt;="&amp;$B42)</f>
        <v>1227.9699999999998</v>
      </c>
      <c r="K42" s="24">
        <f>SUMIFS('Saldos Iniciales'!$D:$D,'Saldos Iniciales'!$A:$A,"Sacred Valley Capital")+SUMIFS(Movimientos!$K$1:$K$335,Movimientos!$C$1:$C$335,"Sacred Valley Capital",Movimientos!$B$1:$B$335,"&lt;="&amp;$B42)</f>
        <v>84.35</v>
      </c>
      <c r="L42" s="24">
        <f>SUMIFS('Saldos Iniciales'!$D:$D,'Saldos Iniciales'!$A:$A,"YWC Capital")+SUMIFS(Movimientos!$K$1:$K$335,Movimientos!$C$1:$C$335,"YWC Capital",Movimientos!$B$1:$B$335,"&lt;="&amp;$B42)</f>
        <v>2237.77</v>
      </c>
      <c r="M42" s="24">
        <f>SUMIFS('Saldos Iniciales'!$D:$D,'Saldos Iniciales'!$A:$A,"Soweto")+SUMIFS(Movimientos!$K$1:$K$335,Movimientos!$C$1:$C$335,"Soweto",Movimientos!$B$1:$B$335,"&lt;="&amp;$B42)</f>
        <v>3349.94</v>
      </c>
      <c r="N42" s="24">
        <f>SUMIFS('Saldos Iniciales'!$D:$D,'Saldos Iniciales'!$A:$A,"Green Stone Trust")+SUMIFS(Movimientos!$K$1:$K$335,Movimientos!$C$1:$C$335,"Green Stone Trust",Movimientos!$B$1:$B$335,"&lt;="&amp;$B42)</f>
        <v>1968.99</v>
      </c>
      <c r="O42" s="24">
        <f>SUMIFS('Saldos Iniciales'!$D:$D,'Saldos Iniciales'!$A:$A,"EC Auto")+SUMIFS(Movimientos!$K$1:$K$335,Movimientos!$C$1:$C$335,"EC Auto",Movimientos!$B$1:$B$335,"&lt;="&amp;$B42)</f>
        <v>382.69000000000005</v>
      </c>
      <c r="P42" s="24">
        <f>SUMIFS('Saldos Iniciales'!$D:$D,'Saldos Iniciales'!$A:$A,"Arbor Capital Properties")+SUMIFS(Movimientos!$K$1:$K$335,Movimientos!$C$1:$C$335,"Arbor Capital Properties",Movimientos!$B$1:$B$335,"&lt;="&amp;$B42)</f>
        <v>1428.08</v>
      </c>
      <c r="Q42" s="24">
        <f>SUMIFS('Saldos Iniciales'!$D:$D,'Saldos Iniciales'!$A:$A,"2515 Overbrook")+SUMIFS(Movimientos!$K$1:$K$335,Movimientos!$C$1:$C$335,"2515 Overbrook",Movimientos!$B$1:$B$335,"&lt;="&amp;$B42)</f>
        <v>25789.969999999961</v>
      </c>
      <c r="R42" s="24">
        <f>SUMIFS('Saldos Iniciales'!$D:$D,'Saldos Iniciales'!$A:$A,"112 Florida Ave")+SUMIFS(Movimientos!$K$1:$K$335,Movimientos!$C$1:$C$335,"112 Florida Ave",Movimientos!$B$1:$B$335,"&lt;="&amp;$B42)</f>
        <v>5321.4300000000021</v>
      </c>
      <c r="S42" s="24">
        <f>SUMIFS('Saldos Iniciales'!$D:$D,'Saldos Iniciales'!$A:$A,"3628 Thomas Ave")+SUMIFS(Movimientos!$K$1:$K$335,Movimientos!$C$1:$C$335,"3628 Thomas Ave",Movimientos!$B$1:$B$335,"&lt;="&amp;$B42)</f>
        <v>24743.98</v>
      </c>
      <c r="T42" s="24">
        <f>SUMIFS('Saldos Iniciales'!$D:$D,'Saldos Iniciales'!$A:$A,"Green Harbor Trust")+SUMIFS(Movimientos!$K$1:$K$335,Movimientos!$C$1:$C$335,"Green Harbor Trust",Movimientos!$B$1:$B$335,"&lt;="&amp;$B42)</f>
        <v>345</v>
      </c>
      <c r="U42" s="24">
        <f>SUMIFS('Saldos Iniciales'!$D:$D,'Saldos Iniciales'!$A:$A,"Go Blue")+SUMIFS(Movimientos!$K$1:$K$335,Movimientos!$C$1:$C$335,"Go Blue",Movimientos!$B$1:$B$335,"&lt;="&amp;$B42)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Group")+SUMIFS(Movimientos!$K$1:$K$335,Movimientos!$C$1:$C$335,"CFT Group",Movimientos!$B$1:$B$335,"&lt;="&amp;$B43)</f>
        <v>1837784.84</v>
      </c>
      <c r="D43" s="24">
        <f>SUMIFS('Saldos Iniciales'!$D:$D,'Saldos Iniciales'!$A:$A,"M1B")+SUMIFS(Movimientos!$K$1:$K$335,Movimientos!$C$1:$C$335,"M1B",Movimientos!$B$1:$B$335,"&lt;="&amp;$B43)</f>
        <v>69376.390000000174</v>
      </c>
      <c r="E43" s="24">
        <f>SUMIFS('Saldos Iniciales'!$D:$D,'Saldos Iniciales'!$A:$A,"Durand")+SUMIFS(Movimientos!$K$1:$K$335,Movimientos!$C$1:$C$335,"Durand",Movimientos!$B$1:$B$335,"&lt;="&amp;$B43)</f>
        <v>1669.89</v>
      </c>
      <c r="F43" s="24">
        <f>SUMIFS('Saldos Iniciales'!$D:$D,'Saldos Iniciales'!$A:$A,"A&amp;M Imports")+SUMIFS(Movimientos!$K$1:$K$335,Movimientos!$C$1:$C$335,"A&amp;M Imports",Movimientos!$B$1:$B$335,"&lt;="&amp;$B43)</f>
        <v>564626.20999999985</v>
      </c>
      <c r="G43" s="24">
        <f>SUMIFS('Saldos Iniciales'!$D:$D,'Saldos Iniciales'!$A:$A,"SSP Capital")+SUMIFS(Movimientos!$K$1:$K$335,Movimientos!$C$1:$C$335,"SSP Capital",Movimientos!$B$1:$B$335,"&lt;="&amp;$B43)</f>
        <v>794731.82999999926</v>
      </c>
      <c r="H43" s="24">
        <f>SUMIFS('Saldos Iniciales'!$D:$D,'Saldos Iniciales'!$A:$A,"Cross Family Trust")+SUMIFS(Movimientos!$K$1:$K$335,Movimientos!$C$1:$C$335,"Cross Family Trust",Movimientos!$B$1:$B$335,"&lt;="&amp;$B43)</f>
        <v>116496.38</v>
      </c>
      <c r="I43" s="24">
        <f>SUMIFS('Saldos Iniciales'!$D:$D,'Saldos Iniciales'!$A:$A,"Cross Security Trust")+SUMIFS(Movimientos!$K$1:$K$335,Movimientos!$C$1:$C$335,"Cross Security Trust",Movimientos!$B$1:$B$335,"&lt;="&amp;$B43)</f>
        <v>88090.37</v>
      </c>
      <c r="J43" s="24">
        <f>SUMIFS('Saldos Iniciales'!$D:$D,'Saldos Iniciales'!$A:$A,"Electrama")+SUMIFS(Movimientos!$K$1:$K$335,Movimientos!$C$1:$C$335,"Electrama",Movimientos!$B$1:$B$335,"&lt;="&amp;$B43)</f>
        <v>1227.9699999999998</v>
      </c>
      <c r="K43" s="24">
        <f>SUMIFS('Saldos Iniciales'!$D:$D,'Saldos Iniciales'!$A:$A,"Sacred Valley Capital")+SUMIFS(Movimientos!$K$1:$K$335,Movimientos!$C$1:$C$335,"Sacred Valley Capital",Movimientos!$B$1:$B$335,"&lt;="&amp;$B43)</f>
        <v>84.35</v>
      </c>
      <c r="L43" s="24">
        <f>SUMIFS('Saldos Iniciales'!$D:$D,'Saldos Iniciales'!$A:$A,"YWC Capital")+SUMIFS(Movimientos!$K$1:$K$335,Movimientos!$C$1:$C$335,"YWC Capital",Movimientos!$B$1:$B$335,"&lt;="&amp;$B43)</f>
        <v>2237.77</v>
      </c>
      <c r="M43" s="24">
        <f>SUMIFS('Saldos Iniciales'!$D:$D,'Saldos Iniciales'!$A:$A,"Soweto")+SUMIFS(Movimientos!$K$1:$K$335,Movimientos!$C$1:$C$335,"Soweto",Movimientos!$B$1:$B$335,"&lt;="&amp;$B43)</f>
        <v>3349.94</v>
      </c>
      <c r="N43" s="24">
        <f>SUMIFS('Saldos Iniciales'!$D:$D,'Saldos Iniciales'!$A:$A,"Green Stone Trust")+SUMIFS(Movimientos!$K$1:$K$335,Movimientos!$C$1:$C$335,"Green Stone Trust",Movimientos!$B$1:$B$335,"&lt;="&amp;$B43)</f>
        <v>1968.99</v>
      </c>
      <c r="O43" s="24">
        <f>SUMIFS('Saldos Iniciales'!$D:$D,'Saldos Iniciales'!$A:$A,"EC Auto")+SUMIFS(Movimientos!$K$1:$K$335,Movimientos!$C$1:$C$335,"EC Auto",Movimientos!$B$1:$B$335,"&lt;="&amp;$B43)</f>
        <v>382.69000000000005</v>
      </c>
      <c r="P43" s="24">
        <f>SUMIFS('Saldos Iniciales'!$D:$D,'Saldos Iniciales'!$A:$A,"Arbor Capital Properties")+SUMIFS(Movimientos!$K$1:$K$335,Movimientos!$C$1:$C$335,"Arbor Capital Properties",Movimientos!$B$1:$B$335,"&lt;="&amp;$B43)</f>
        <v>1428.08</v>
      </c>
      <c r="Q43" s="24">
        <f>SUMIFS('Saldos Iniciales'!$D:$D,'Saldos Iniciales'!$A:$A,"2515 Overbrook")+SUMIFS(Movimientos!$K$1:$K$335,Movimientos!$C$1:$C$335,"2515 Overbrook",Movimientos!$B$1:$B$335,"&lt;="&amp;$B43)</f>
        <v>25789.969999999961</v>
      </c>
      <c r="R43" s="24">
        <f>SUMIFS('Saldos Iniciales'!$D:$D,'Saldos Iniciales'!$A:$A,"112 Florida Ave")+SUMIFS(Movimientos!$K$1:$K$335,Movimientos!$C$1:$C$335,"112 Florida Ave",Movimientos!$B$1:$B$335,"&lt;="&amp;$B43)</f>
        <v>5321.4300000000021</v>
      </c>
      <c r="S43" s="24">
        <f>SUMIFS('Saldos Iniciales'!$D:$D,'Saldos Iniciales'!$A:$A,"3628 Thomas Ave")+SUMIFS(Movimientos!$K$1:$K$335,Movimientos!$C$1:$C$335,"3628 Thomas Ave",Movimientos!$B$1:$B$335,"&lt;="&amp;$B43)</f>
        <v>24743.98</v>
      </c>
      <c r="T43" s="24">
        <f>SUMIFS('Saldos Iniciales'!$D:$D,'Saldos Iniciales'!$A:$A,"Green Harbor Trust")+SUMIFS(Movimientos!$K$1:$K$335,Movimientos!$C$1:$C$335,"Green Harbor Trust",Movimientos!$B$1:$B$335,"&lt;="&amp;$B43)</f>
        <v>345</v>
      </c>
      <c r="U43" s="24">
        <f>SUMIFS('Saldos Iniciales'!$D:$D,'Saldos Iniciales'!$A:$A,"Go Blue")+SUMIFS(Movimientos!$K$1:$K$335,Movimientos!$C$1:$C$335,"Go Blue",Movimientos!$B$1:$B$335,"&lt;="&amp;$B43)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Group")+SUMIFS(Movimientos!$K$1:$K$335,Movimientos!$C$1:$C$335,"CFT Group",Movimientos!$B$1:$B$335,"&lt;="&amp;$B44)</f>
        <v>1837784.84</v>
      </c>
      <c r="D44" s="24">
        <f>SUMIFS('Saldos Iniciales'!$D:$D,'Saldos Iniciales'!$A:$A,"M1B")+SUMIFS(Movimientos!$K$1:$K$335,Movimientos!$C$1:$C$335,"M1B",Movimientos!$B$1:$B$335,"&lt;="&amp;$B44)</f>
        <v>69376.390000000174</v>
      </c>
      <c r="E44" s="24">
        <f>SUMIFS('Saldos Iniciales'!$D:$D,'Saldos Iniciales'!$A:$A,"Durand")+SUMIFS(Movimientos!$K$1:$K$335,Movimientos!$C$1:$C$335,"Durand",Movimientos!$B$1:$B$335,"&lt;="&amp;$B44)</f>
        <v>1669.89</v>
      </c>
      <c r="F44" s="24">
        <f>SUMIFS('Saldos Iniciales'!$D:$D,'Saldos Iniciales'!$A:$A,"A&amp;M Imports")+SUMIFS(Movimientos!$K$1:$K$335,Movimientos!$C$1:$C$335,"A&amp;M Imports",Movimientos!$B$1:$B$335,"&lt;="&amp;$B44)</f>
        <v>564626.20999999985</v>
      </c>
      <c r="G44" s="24">
        <f>SUMIFS('Saldos Iniciales'!$D:$D,'Saldos Iniciales'!$A:$A,"SSP Capital")+SUMIFS(Movimientos!$K$1:$K$335,Movimientos!$C$1:$C$335,"SSP Capital",Movimientos!$B$1:$B$335,"&lt;="&amp;$B44)</f>
        <v>3763348.8299999996</v>
      </c>
      <c r="H44" s="24">
        <f>SUMIFS('Saldos Iniciales'!$D:$D,'Saldos Iniciales'!$A:$A,"Cross Family Trust")+SUMIFS(Movimientos!$K$1:$K$335,Movimientos!$C$1:$C$335,"Cross Family Trust",Movimientos!$B$1:$B$335,"&lt;="&amp;$B44)</f>
        <v>116496.38</v>
      </c>
      <c r="I44" s="24">
        <f>SUMIFS('Saldos Iniciales'!$D:$D,'Saldos Iniciales'!$A:$A,"Cross Security Trust")+SUMIFS(Movimientos!$K$1:$K$335,Movimientos!$C$1:$C$335,"Cross Security Trust",Movimientos!$B$1:$B$335,"&lt;="&amp;$B44)</f>
        <v>88090.37</v>
      </c>
      <c r="J44" s="24">
        <f>SUMIFS('Saldos Iniciales'!$D:$D,'Saldos Iniciales'!$A:$A,"Electrama")+SUMIFS(Movimientos!$K$1:$K$335,Movimientos!$C$1:$C$335,"Electrama",Movimientos!$B$1:$B$335,"&lt;="&amp;$B44)</f>
        <v>1227.9699999999998</v>
      </c>
      <c r="K44" s="24">
        <f>SUMIFS('Saldos Iniciales'!$D:$D,'Saldos Iniciales'!$A:$A,"Sacred Valley Capital")+SUMIFS(Movimientos!$K$1:$K$335,Movimientos!$C$1:$C$335,"Sacred Valley Capital",Movimientos!$B$1:$B$335,"&lt;="&amp;$B44)</f>
        <v>84.35</v>
      </c>
      <c r="L44" s="24">
        <f>SUMIFS('Saldos Iniciales'!$D:$D,'Saldos Iniciales'!$A:$A,"YWC Capital")+SUMIFS(Movimientos!$K$1:$K$335,Movimientos!$C$1:$C$335,"YWC Capital",Movimientos!$B$1:$B$335,"&lt;="&amp;$B44)</f>
        <v>2237.77</v>
      </c>
      <c r="M44" s="24">
        <f>SUMIFS('Saldos Iniciales'!$D:$D,'Saldos Iniciales'!$A:$A,"Soweto")+SUMIFS(Movimientos!$K$1:$K$335,Movimientos!$C$1:$C$335,"Soweto",Movimientos!$B$1:$B$335,"&lt;="&amp;$B44)</f>
        <v>3349.94</v>
      </c>
      <c r="N44" s="24">
        <f>SUMIFS('Saldos Iniciales'!$D:$D,'Saldos Iniciales'!$A:$A,"Green Stone Trust")+SUMIFS(Movimientos!$K$1:$K$335,Movimientos!$C$1:$C$335,"Green Stone Trust",Movimientos!$B$1:$B$335,"&lt;="&amp;$B44)</f>
        <v>1968.99</v>
      </c>
      <c r="O44" s="24">
        <f>SUMIFS('Saldos Iniciales'!$D:$D,'Saldos Iniciales'!$A:$A,"EC Auto")+SUMIFS(Movimientos!$K$1:$K$335,Movimientos!$C$1:$C$335,"EC Auto",Movimientos!$B$1:$B$335,"&lt;="&amp;$B44)</f>
        <v>382.69000000000005</v>
      </c>
      <c r="P44" s="24">
        <f>SUMIFS('Saldos Iniciales'!$D:$D,'Saldos Iniciales'!$A:$A,"Arbor Capital Properties")+SUMIFS(Movimientos!$K$1:$K$335,Movimientos!$C$1:$C$335,"Arbor Capital Properties",Movimientos!$B$1:$B$335,"&lt;="&amp;$B44)</f>
        <v>1428.08</v>
      </c>
      <c r="Q44" s="24">
        <f>SUMIFS('Saldos Iniciales'!$D:$D,'Saldos Iniciales'!$A:$A,"2515 Overbrook")+SUMIFS(Movimientos!$K$1:$K$335,Movimientos!$C$1:$C$335,"2515 Overbrook",Movimientos!$B$1:$B$335,"&lt;="&amp;$B44)</f>
        <v>27789.969999999961</v>
      </c>
      <c r="R44" s="24">
        <f>SUMIFS('Saldos Iniciales'!$D:$D,'Saldos Iniciales'!$A:$A,"112 Florida Ave")+SUMIFS(Movimientos!$K$1:$K$335,Movimientos!$C$1:$C$335,"112 Florida Ave",Movimientos!$B$1:$B$335,"&lt;="&amp;$B44)</f>
        <v>5321.4300000000021</v>
      </c>
      <c r="S44" s="24">
        <f>SUMIFS('Saldos Iniciales'!$D:$D,'Saldos Iniciales'!$A:$A,"3628 Thomas Ave")+SUMIFS(Movimientos!$K$1:$K$335,Movimientos!$C$1:$C$335,"3628 Thomas Ave",Movimientos!$B$1:$B$335,"&lt;="&amp;$B44)</f>
        <v>24484.85</v>
      </c>
      <c r="T44" s="24">
        <f>SUMIFS('Saldos Iniciales'!$D:$D,'Saldos Iniciales'!$A:$A,"Green Harbor Trust")+SUMIFS(Movimientos!$K$1:$K$335,Movimientos!$C$1:$C$335,"Green Harbor Trust",Movimientos!$B$1:$B$335,"&lt;="&amp;$B44)</f>
        <v>345</v>
      </c>
      <c r="U44" s="24">
        <f>SUMIFS('Saldos Iniciales'!$D:$D,'Saldos Iniciales'!$A:$A,"Go Blue")+SUMIFS(Movimientos!$K$1:$K$335,Movimientos!$C$1:$C$335,"Go Blue",Movimientos!$B$1:$B$335,"&lt;="&amp;$B44)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Group")+SUMIFS(Movimientos!$K$1:$K$335,Movimientos!$C$1:$C$335,"CFT Group",Movimientos!$B$1:$B$335,"&lt;="&amp;$B45)</f>
        <v>1837784.84</v>
      </c>
      <c r="D45" s="24">
        <f>SUMIFS('Saldos Iniciales'!$D:$D,'Saldos Iniciales'!$A:$A,"M1B")+SUMIFS(Movimientos!$K$1:$K$335,Movimientos!$C$1:$C$335,"M1B",Movimientos!$B$1:$B$335,"&lt;="&amp;$B45)</f>
        <v>69376.390000000174</v>
      </c>
      <c r="E45" s="24">
        <f>SUMIFS('Saldos Iniciales'!$D:$D,'Saldos Iniciales'!$A:$A,"Durand")+SUMIFS(Movimientos!$K$1:$K$335,Movimientos!$C$1:$C$335,"Durand",Movimientos!$B$1:$B$335,"&lt;="&amp;$B45)</f>
        <v>1669.89</v>
      </c>
      <c r="F45" s="24">
        <f>SUMIFS('Saldos Iniciales'!$D:$D,'Saldos Iniciales'!$A:$A,"A&amp;M Imports")+SUMIFS(Movimientos!$K$1:$K$335,Movimientos!$C$1:$C$335,"A&amp;M Imports",Movimientos!$B$1:$B$335,"&lt;="&amp;$B45)</f>
        <v>564626.20999999985</v>
      </c>
      <c r="G45" s="24">
        <f>SUMIFS('Saldos Iniciales'!$D:$D,'Saldos Iniciales'!$A:$A,"SSP Capital")+SUMIFS(Movimientos!$K$1:$K$335,Movimientos!$C$1:$C$335,"SSP Capital",Movimientos!$B$1:$B$335,"&lt;="&amp;$B45)</f>
        <v>3763348.8299999996</v>
      </c>
      <c r="H45" s="24">
        <f>SUMIFS('Saldos Iniciales'!$D:$D,'Saldos Iniciales'!$A:$A,"Cross Family Trust")+SUMIFS(Movimientos!$K$1:$K$335,Movimientos!$C$1:$C$335,"Cross Family Trust",Movimientos!$B$1:$B$335,"&lt;="&amp;$B45)</f>
        <v>116496.38</v>
      </c>
      <c r="I45" s="24">
        <f>SUMIFS('Saldos Iniciales'!$D:$D,'Saldos Iniciales'!$A:$A,"Cross Security Trust")+SUMIFS(Movimientos!$K$1:$K$335,Movimientos!$C$1:$C$335,"Cross Security Trust",Movimientos!$B$1:$B$335,"&lt;="&amp;$B45)</f>
        <v>88090.37</v>
      </c>
      <c r="J45" s="24">
        <f>SUMIFS('Saldos Iniciales'!$D:$D,'Saldos Iniciales'!$A:$A,"Electrama")+SUMIFS(Movimientos!$K$1:$K$335,Movimientos!$C$1:$C$335,"Electrama",Movimientos!$B$1:$B$335,"&lt;="&amp;$B45)</f>
        <v>1227.9699999999998</v>
      </c>
      <c r="K45" s="24">
        <f>SUMIFS('Saldos Iniciales'!$D:$D,'Saldos Iniciales'!$A:$A,"Sacred Valley Capital")+SUMIFS(Movimientos!$K$1:$K$335,Movimientos!$C$1:$C$335,"Sacred Valley Capital",Movimientos!$B$1:$B$335,"&lt;="&amp;$B45)</f>
        <v>84.35</v>
      </c>
      <c r="L45" s="24">
        <f>SUMIFS('Saldos Iniciales'!$D:$D,'Saldos Iniciales'!$A:$A,"YWC Capital")+SUMIFS(Movimientos!$K$1:$K$335,Movimientos!$C$1:$C$335,"YWC Capital",Movimientos!$B$1:$B$335,"&lt;="&amp;$B45)</f>
        <v>2237.77</v>
      </c>
      <c r="M45" s="24">
        <f>SUMIFS('Saldos Iniciales'!$D:$D,'Saldos Iniciales'!$A:$A,"Soweto")+SUMIFS(Movimientos!$K$1:$K$335,Movimientos!$C$1:$C$335,"Soweto",Movimientos!$B$1:$B$335,"&lt;="&amp;$B45)</f>
        <v>3349.94</v>
      </c>
      <c r="N45" s="24">
        <f>SUMIFS('Saldos Iniciales'!$D:$D,'Saldos Iniciales'!$A:$A,"Green Stone Trust")+SUMIFS(Movimientos!$K$1:$K$335,Movimientos!$C$1:$C$335,"Green Stone Trust",Movimientos!$B$1:$B$335,"&lt;="&amp;$B45)</f>
        <v>1968.99</v>
      </c>
      <c r="O45" s="24">
        <f>SUMIFS('Saldos Iniciales'!$D:$D,'Saldos Iniciales'!$A:$A,"EC Auto")+SUMIFS(Movimientos!$K$1:$K$335,Movimientos!$C$1:$C$335,"EC Auto",Movimientos!$B$1:$B$335,"&lt;="&amp;$B45)</f>
        <v>382.69000000000005</v>
      </c>
      <c r="P45" s="24">
        <f>SUMIFS('Saldos Iniciales'!$D:$D,'Saldos Iniciales'!$A:$A,"Arbor Capital Properties")+SUMIFS(Movimientos!$K$1:$K$335,Movimientos!$C$1:$C$335,"Arbor Capital Properties",Movimientos!$B$1:$B$335,"&lt;="&amp;$B45)</f>
        <v>1428.08</v>
      </c>
      <c r="Q45" s="24">
        <f>SUMIFS('Saldos Iniciales'!$D:$D,'Saldos Iniciales'!$A:$A,"2515 Overbrook")+SUMIFS(Movimientos!$K$1:$K$335,Movimientos!$C$1:$C$335,"2515 Overbrook",Movimientos!$B$1:$B$335,"&lt;="&amp;$B45)</f>
        <v>27789.969999999961</v>
      </c>
      <c r="R45" s="24">
        <f>SUMIFS('Saldos Iniciales'!$D:$D,'Saldos Iniciales'!$A:$A,"112 Florida Ave")+SUMIFS(Movimientos!$K$1:$K$335,Movimientos!$C$1:$C$335,"112 Florida Ave",Movimientos!$B$1:$B$335,"&lt;="&amp;$B45)</f>
        <v>5321.4300000000021</v>
      </c>
      <c r="S45" s="24">
        <f>SUMIFS('Saldos Iniciales'!$D:$D,'Saldos Iniciales'!$A:$A,"3628 Thomas Ave")+SUMIFS(Movimientos!$K$1:$K$335,Movimientos!$C$1:$C$335,"3628 Thomas Ave",Movimientos!$B$1:$B$335,"&lt;="&amp;$B45)</f>
        <v>24484.85</v>
      </c>
      <c r="T45" s="24">
        <f>SUMIFS('Saldos Iniciales'!$D:$D,'Saldos Iniciales'!$A:$A,"Green Harbor Trust")+SUMIFS(Movimientos!$K$1:$K$335,Movimientos!$C$1:$C$335,"Green Harbor Trust",Movimientos!$B$1:$B$335,"&lt;="&amp;$B45)</f>
        <v>345</v>
      </c>
      <c r="U45" s="24">
        <f>SUMIFS('Saldos Iniciales'!$D:$D,'Saldos Iniciales'!$A:$A,"Go Blue")+SUMIFS(Movimientos!$K$1:$K$335,Movimientos!$C$1:$C$335,"Go Blue",Movimientos!$B$1:$B$335,"&lt;="&amp;$B45)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Group")+SUMIFS(Movimientos!$K$1:$K$335,Movimientos!$C$1:$C$335,"CFT Group",Movimientos!$B$1:$B$335,"&lt;="&amp;$B46)</f>
        <v>1837784.84</v>
      </c>
      <c r="D46" s="24">
        <f>SUMIFS('Saldos Iniciales'!$D:$D,'Saldos Iniciales'!$A:$A,"M1B")+SUMIFS(Movimientos!$K$1:$K$335,Movimientos!$C$1:$C$335,"M1B",Movimientos!$B$1:$B$335,"&lt;="&amp;$B46)</f>
        <v>69376.390000000174</v>
      </c>
      <c r="E46" s="24">
        <f>SUMIFS('Saldos Iniciales'!$D:$D,'Saldos Iniciales'!$A:$A,"Durand")+SUMIFS(Movimientos!$K$1:$K$335,Movimientos!$C$1:$C$335,"Durand",Movimientos!$B$1:$B$335,"&lt;="&amp;$B46)</f>
        <v>1669.89</v>
      </c>
      <c r="F46" s="24">
        <f>SUMIFS('Saldos Iniciales'!$D:$D,'Saldos Iniciales'!$A:$A,"A&amp;M Imports")+SUMIFS(Movimientos!$K$1:$K$335,Movimientos!$C$1:$C$335,"A&amp;M Imports",Movimientos!$B$1:$B$335,"&lt;="&amp;$B46)</f>
        <v>564626.20999999985</v>
      </c>
      <c r="G46" s="24">
        <f>SUMIFS('Saldos Iniciales'!$D:$D,'Saldos Iniciales'!$A:$A,"SSP Capital")+SUMIFS(Movimientos!$K$1:$K$335,Movimientos!$C$1:$C$335,"SSP Capital",Movimientos!$B$1:$B$335,"&lt;="&amp;$B46)</f>
        <v>3763348.8299999996</v>
      </c>
      <c r="H46" s="24">
        <f>SUMIFS('Saldos Iniciales'!$D:$D,'Saldos Iniciales'!$A:$A,"Cross Family Trust")+SUMIFS(Movimientos!$K$1:$K$335,Movimientos!$C$1:$C$335,"Cross Family Trust",Movimientos!$B$1:$B$335,"&lt;="&amp;$B46)</f>
        <v>116496.38</v>
      </c>
      <c r="I46" s="24">
        <f>SUMIFS('Saldos Iniciales'!$D:$D,'Saldos Iniciales'!$A:$A,"Cross Security Trust")+SUMIFS(Movimientos!$K$1:$K$335,Movimientos!$C$1:$C$335,"Cross Security Trust",Movimientos!$B$1:$B$335,"&lt;="&amp;$B46)</f>
        <v>88090.37</v>
      </c>
      <c r="J46" s="24">
        <f>SUMIFS('Saldos Iniciales'!$D:$D,'Saldos Iniciales'!$A:$A,"Electrama")+SUMIFS(Movimientos!$K$1:$K$335,Movimientos!$C$1:$C$335,"Electrama",Movimientos!$B$1:$B$335,"&lt;="&amp;$B46)</f>
        <v>1227.9699999999998</v>
      </c>
      <c r="K46" s="24">
        <f>SUMIFS('Saldos Iniciales'!$D:$D,'Saldos Iniciales'!$A:$A,"Sacred Valley Capital")+SUMIFS(Movimientos!$K$1:$K$335,Movimientos!$C$1:$C$335,"Sacred Valley Capital",Movimientos!$B$1:$B$335,"&lt;="&amp;$B46)</f>
        <v>84.35</v>
      </c>
      <c r="L46" s="24">
        <f>SUMIFS('Saldos Iniciales'!$D:$D,'Saldos Iniciales'!$A:$A,"YWC Capital")+SUMIFS(Movimientos!$K$1:$K$335,Movimientos!$C$1:$C$335,"YWC Capital",Movimientos!$B$1:$B$335,"&lt;="&amp;$B46)</f>
        <v>2237.77</v>
      </c>
      <c r="M46" s="24">
        <f>SUMIFS('Saldos Iniciales'!$D:$D,'Saldos Iniciales'!$A:$A,"Soweto")+SUMIFS(Movimientos!$K$1:$K$335,Movimientos!$C$1:$C$335,"Soweto",Movimientos!$B$1:$B$335,"&lt;="&amp;$B46)</f>
        <v>3349.94</v>
      </c>
      <c r="N46" s="24">
        <f>SUMIFS('Saldos Iniciales'!$D:$D,'Saldos Iniciales'!$A:$A,"Green Stone Trust")+SUMIFS(Movimientos!$K$1:$K$335,Movimientos!$C$1:$C$335,"Green Stone Trust",Movimientos!$B$1:$B$335,"&lt;="&amp;$B46)</f>
        <v>1968.99</v>
      </c>
      <c r="O46" s="24">
        <f>SUMIFS('Saldos Iniciales'!$D:$D,'Saldos Iniciales'!$A:$A,"EC Auto")+SUMIFS(Movimientos!$K$1:$K$335,Movimientos!$C$1:$C$335,"EC Auto",Movimientos!$B$1:$B$335,"&lt;="&amp;$B46)</f>
        <v>382.69000000000005</v>
      </c>
      <c r="P46" s="24">
        <f>SUMIFS('Saldos Iniciales'!$D:$D,'Saldos Iniciales'!$A:$A,"Arbor Capital Properties")+SUMIFS(Movimientos!$K$1:$K$335,Movimientos!$C$1:$C$335,"Arbor Capital Properties",Movimientos!$B$1:$B$335,"&lt;="&amp;$B46)</f>
        <v>1428.08</v>
      </c>
      <c r="Q46" s="24">
        <f>SUMIFS('Saldos Iniciales'!$D:$D,'Saldos Iniciales'!$A:$A,"2515 Overbrook")+SUMIFS(Movimientos!$K$1:$K$335,Movimientos!$C$1:$C$335,"2515 Overbrook",Movimientos!$B$1:$B$335,"&lt;="&amp;$B46)</f>
        <v>27789.969999999961</v>
      </c>
      <c r="R46" s="24">
        <f>SUMIFS('Saldos Iniciales'!$D:$D,'Saldos Iniciales'!$A:$A,"112 Florida Ave")+SUMIFS(Movimientos!$K$1:$K$335,Movimientos!$C$1:$C$335,"112 Florida Ave",Movimientos!$B$1:$B$335,"&lt;="&amp;$B46)</f>
        <v>5321.4300000000021</v>
      </c>
      <c r="S46" s="24">
        <f>SUMIFS('Saldos Iniciales'!$D:$D,'Saldos Iniciales'!$A:$A,"3628 Thomas Ave")+SUMIFS(Movimientos!$K$1:$K$335,Movimientos!$C$1:$C$335,"3628 Thomas Ave",Movimientos!$B$1:$B$335,"&lt;="&amp;$B46)</f>
        <v>24484.85</v>
      </c>
      <c r="T46" s="24">
        <f>SUMIFS('Saldos Iniciales'!$D:$D,'Saldos Iniciales'!$A:$A,"Green Harbor Trust")+SUMIFS(Movimientos!$K$1:$K$335,Movimientos!$C$1:$C$335,"Green Harbor Trust",Movimientos!$B$1:$B$335,"&lt;="&amp;$B46)</f>
        <v>345</v>
      </c>
      <c r="U46" s="24">
        <f>SUMIFS('Saldos Iniciales'!$D:$D,'Saldos Iniciales'!$A:$A,"Go Blue")+SUMIFS(Movimientos!$K$1:$K$335,Movimientos!$C$1:$C$335,"Go Blue",Movimientos!$B$1:$B$335,"&lt;="&amp;$B46)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Group")+SUMIFS(Movimientos!$K$1:$K$335,Movimientos!$C$1:$C$335,"CFT Group",Movimientos!$B$1:$B$335,"&lt;="&amp;$B47)</f>
        <v>985975.94000000029</v>
      </c>
      <c r="D47" s="24">
        <f>SUMIFS('Saldos Iniciales'!$D:$D,'Saldos Iniciales'!$A:$A,"M1B")+SUMIFS(Movimientos!$K$1:$K$335,Movimientos!$C$1:$C$335,"M1B",Movimientos!$B$1:$B$335,"&lt;="&amp;$B47)</f>
        <v>69376.390000000174</v>
      </c>
      <c r="E47" s="24">
        <f>SUMIFS('Saldos Iniciales'!$D:$D,'Saldos Iniciales'!$A:$A,"Durand")+SUMIFS(Movimientos!$K$1:$K$335,Movimientos!$C$1:$C$335,"Durand",Movimientos!$B$1:$B$335,"&lt;="&amp;$B47)</f>
        <v>1669.89</v>
      </c>
      <c r="F47" s="24">
        <f>SUMIFS('Saldos Iniciales'!$D:$D,'Saldos Iniciales'!$A:$A,"A&amp;M Imports")+SUMIFS(Movimientos!$K$1:$K$335,Movimientos!$C$1:$C$335,"A&amp;M Imports",Movimientos!$B$1:$B$335,"&lt;="&amp;$B47)</f>
        <v>503904.80999999982</v>
      </c>
      <c r="G47" s="24">
        <f>SUMIFS('Saldos Iniciales'!$D:$D,'Saldos Iniciales'!$A:$A,"SSP Capital")+SUMIFS(Movimientos!$K$1:$K$335,Movimientos!$C$1:$C$335,"SSP Capital",Movimientos!$B$1:$B$335,"&lt;="&amp;$B47)</f>
        <v>3277137.2399999998</v>
      </c>
      <c r="H47" s="24">
        <f>SUMIFS('Saldos Iniciales'!$D:$D,'Saldos Iniciales'!$A:$A,"Cross Family Trust")+SUMIFS(Movimientos!$K$1:$K$335,Movimientos!$C$1:$C$335,"Cross Family Trust",Movimientos!$B$1:$B$335,"&lt;="&amp;$B47)</f>
        <v>116496.38</v>
      </c>
      <c r="I47" s="24">
        <f>SUMIFS('Saldos Iniciales'!$D:$D,'Saldos Iniciales'!$A:$A,"Cross Security Trust")+SUMIFS(Movimientos!$K$1:$K$335,Movimientos!$C$1:$C$335,"Cross Security Trust",Movimientos!$B$1:$B$335,"&lt;="&amp;$B47)</f>
        <v>88090.37</v>
      </c>
      <c r="J47" s="24">
        <f>SUMIFS('Saldos Iniciales'!$D:$D,'Saldos Iniciales'!$A:$A,"Electrama")+SUMIFS(Movimientos!$K$1:$K$335,Movimientos!$C$1:$C$335,"Electrama",Movimientos!$B$1:$B$335,"&lt;="&amp;$B47)</f>
        <v>1227.9699999999998</v>
      </c>
      <c r="K47" s="24">
        <f>SUMIFS('Saldos Iniciales'!$D:$D,'Saldos Iniciales'!$A:$A,"Sacred Valley Capital")+SUMIFS(Movimientos!$K$1:$K$335,Movimientos!$C$1:$C$335,"Sacred Valley Capital",Movimientos!$B$1:$B$335,"&lt;="&amp;$B47)</f>
        <v>84.35</v>
      </c>
      <c r="L47" s="24">
        <f>SUMIFS('Saldos Iniciales'!$D:$D,'Saldos Iniciales'!$A:$A,"YWC Capital")+SUMIFS(Movimientos!$K$1:$K$335,Movimientos!$C$1:$C$335,"YWC Capital",Movimientos!$B$1:$B$335,"&lt;="&amp;$B47)</f>
        <v>2237.77</v>
      </c>
      <c r="M47" s="24">
        <f>SUMIFS('Saldos Iniciales'!$D:$D,'Saldos Iniciales'!$A:$A,"Soweto")+SUMIFS(Movimientos!$K$1:$K$335,Movimientos!$C$1:$C$335,"Soweto",Movimientos!$B$1:$B$335,"&lt;="&amp;$B47)</f>
        <v>3349.94</v>
      </c>
      <c r="N47" s="24">
        <f>SUMIFS('Saldos Iniciales'!$D:$D,'Saldos Iniciales'!$A:$A,"Green Stone Trust")+SUMIFS(Movimientos!$K$1:$K$335,Movimientos!$C$1:$C$335,"Green Stone Trust",Movimientos!$B$1:$B$335,"&lt;="&amp;$B47)</f>
        <v>1968.99</v>
      </c>
      <c r="O47" s="24">
        <f>SUMIFS('Saldos Iniciales'!$D:$D,'Saldos Iniciales'!$A:$A,"EC Auto")+SUMIFS(Movimientos!$K$1:$K$335,Movimientos!$C$1:$C$335,"EC Auto",Movimientos!$B$1:$B$335,"&lt;="&amp;$B47)</f>
        <v>382.69000000000005</v>
      </c>
      <c r="P47" s="24">
        <f>SUMIFS('Saldos Iniciales'!$D:$D,'Saldos Iniciales'!$A:$A,"Arbor Capital Properties")+SUMIFS(Movimientos!$K$1:$K$335,Movimientos!$C$1:$C$335,"Arbor Capital Properties",Movimientos!$B$1:$B$335,"&lt;="&amp;$B47)</f>
        <v>1428.08</v>
      </c>
      <c r="Q47" s="24">
        <f>SUMIFS('Saldos Iniciales'!$D:$D,'Saldos Iniciales'!$A:$A,"2515 Overbrook")+SUMIFS(Movimientos!$K$1:$K$335,Movimientos!$C$1:$C$335,"2515 Overbrook",Movimientos!$B$1:$B$335,"&lt;="&amp;$B47)</f>
        <v>29789.969999999961</v>
      </c>
      <c r="R47" s="24">
        <f>SUMIFS('Saldos Iniciales'!$D:$D,'Saldos Iniciales'!$A:$A,"112 Florida Ave")+SUMIFS(Movimientos!$K$1:$K$335,Movimientos!$C$1:$C$335,"112 Florida Ave",Movimientos!$B$1:$B$335,"&lt;="&amp;$B47)</f>
        <v>5321.4300000000021</v>
      </c>
      <c r="S47" s="24">
        <f>SUMIFS('Saldos Iniciales'!$D:$D,'Saldos Iniciales'!$A:$A,"3628 Thomas Ave")+SUMIFS(Movimientos!$K$1:$K$335,Movimientos!$C$1:$C$335,"3628 Thomas Ave",Movimientos!$B$1:$B$335,"&lt;="&amp;$B47)</f>
        <v>24484.85</v>
      </c>
      <c r="T47" s="24">
        <f>SUMIFS('Saldos Iniciales'!$D:$D,'Saldos Iniciales'!$A:$A,"Green Harbor Trust")+SUMIFS(Movimientos!$K$1:$K$335,Movimientos!$C$1:$C$335,"Green Harbor Trust",Movimientos!$B$1:$B$335,"&lt;="&amp;$B47)</f>
        <v>345</v>
      </c>
      <c r="U47" s="24">
        <f>SUMIFS('Saldos Iniciales'!$D:$D,'Saldos Iniciales'!$A:$A,"Go Blue")+SUMIFS(Movimientos!$K$1:$K$335,Movimientos!$C$1:$C$335,"Go Blue",Movimientos!$B$1:$B$335,"&lt;="&amp;$B47)</f>
        <v>48724.73</v>
      </c>
      <c r="V47" s="25">
        <f t="shared" ref="V47" si="4">SUM(C47:U47)</f>
        <v>5161996.7899999991</v>
      </c>
    </row>
    <row r="48" spans="1:22" outlineLevel="1" x14ac:dyDescent="0.3">
      <c r="A48" s="22">
        <f t="shared" si="0"/>
        <v>47</v>
      </c>
      <c r="B48" s="23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5"/>
    </row>
    <row r="49" spans="1:22" outlineLevel="1" x14ac:dyDescent="0.3">
      <c r="A49" s="22">
        <f t="shared" si="0"/>
        <v>48</v>
      </c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5"/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2" priority="1" operator="lessThan">
      <formula>0</formula>
    </cfRule>
  </conditionalFormatting>
  <conditionalFormatting sqref="V2:V62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875"/>
  <sheetViews>
    <sheetView tabSelected="1" workbookViewId="0">
      <pane ySplit="1" topLeftCell="A866" activePane="bottomLeft" state="frozen"/>
      <selection pane="bottomLeft" activeCell="G870" sqref="G870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3277137.2399999998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24484.85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2026-06-16T15:36:31Z</dcterms:modified>
  <dc:language>en-US</dc:language>
</cp:coreProperties>
</file>